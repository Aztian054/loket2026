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erifikator" sheetId="2" r:id="rId6"/>
    <sheet state="visible" name="JS" sheetId="3" r:id="rId7"/>
    <sheet state="visible" name="C1" sheetId="4" r:id="rId8"/>
    <sheet state="visible" name="C2" sheetId="5" r:id="rId9"/>
    <sheet state="visible" name="C3" sheetId="6" r:id="rId10"/>
    <sheet state="visible" name="C4" sheetId="7" r:id="rId11"/>
    <sheet state="visible" name="C5" sheetId="8" r:id="rId12"/>
    <sheet state="visible" name="C6"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7">
      <text>
        <t xml:space="preserve">Responder updated this value.</t>
      </text>
    </comment>
    <comment authorId="0" ref="B893">
      <text>
        <t xml:space="preserve">Responder updated this value.</t>
      </text>
    </comment>
    <comment authorId="0" ref="C765">
      <text>
        <t xml:space="preserve">Responder updated this value.</t>
      </text>
    </comment>
    <comment authorId="0" ref="D765">
      <text>
        <t xml:space="preserve">Responder updated this value.</t>
      </text>
    </comment>
    <comment authorId="0" ref="B1467">
      <text>
        <t xml:space="preserve">Responder updated this value.</t>
      </text>
    </comment>
    <comment authorId="0" ref="E765">
      <text>
        <t xml:space="preserve">Responder updated this value.</t>
      </text>
    </comment>
    <comment authorId="0" ref="F765">
      <text>
        <t xml:space="preserve">Responder updated this value.</t>
      </text>
    </comment>
    <comment authorId="0" ref="I765">
      <text>
        <t xml:space="preserve">Responder updated this value.</t>
      </text>
    </comment>
    <comment authorId="0" ref="F786">
      <text>
        <t xml:space="preserve">Responder updated this value.</t>
      </text>
    </comment>
    <comment authorId="0" ref="F299">
      <text>
        <t xml:space="preserve">Responder updated this value.</t>
      </text>
    </comment>
    <comment authorId="0" ref="C1063">
      <text>
        <t xml:space="preserve">Responder updated this value.</t>
      </text>
    </comment>
    <comment authorId="0" ref="D1063">
      <text>
        <t xml:space="preserve">Responder updated this value.</t>
      </text>
    </comment>
    <comment authorId="0" ref="E1063">
      <text>
        <t xml:space="preserve">Responder updated this value.</t>
      </text>
    </comment>
    <comment authorId="0" ref="F1063">
      <text>
        <t xml:space="preserve">Responder updated this value.</t>
      </text>
    </comment>
    <comment authorId="0" ref="I1063">
      <text>
        <t xml:space="preserve">Responder updated this value.</t>
      </text>
    </comment>
    <comment authorId="0" ref="B473">
      <text>
        <t xml:space="preserve">Responder updated this value.</t>
      </text>
    </comment>
    <comment authorId="0" ref="C473">
      <text>
        <t xml:space="preserve">Responder updated this value.</t>
      </text>
    </comment>
    <comment authorId="0" ref="F1212">
      <text>
        <t xml:space="preserve">Responder updated this value.</t>
      </text>
    </comment>
    <comment authorId="0" ref="D473">
      <text>
        <t xml:space="preserve">Responder updated this value.</t>
      </text>
    </comment>
    <comment authorId="0" ref="F473">
      <text>
        <t xml:space="preserve">Responder updated this value.</t>
      </text>
    </comment>
    <comment authorId="0" ref="I473">
      <text>
        <t xml:space="preserve">Responder updated this value.</t>
      </text>
    </comment>
    <comment authorId="0" ref="B655">
      <text>
        <t xml:space="preserve">Responder updated this value.</t>
      </text>
    </comment>
    <comment authorId="0" ref="C655">
      <text>
        <t xml:space="preserve">Responder updated this value.</t>
      </text>
    </comment>
    <comment authorId="0" ref="D655">
      <text>
        <t xml:space="preserve">Responder updated this value.</t>
      </text>
    </comment>
    <comment authorId="0" ref="F655">
      <text>
        <t xml:space="preserve">Responder updated this value.</t>
      </text>
    </comment>
    <comment authorId="0" ref="C907">
      <text>
        <t xml:space="preserve">Responder updated this value.</t>
      </text>
    </comment>
    <comment authorId="0" ref="H655">
      <text>
        <t xml:space="preserve">Responder updated this value.</t>
      </text>
    </comment>
    <comment authorId="0" ref="F300">
      <text>
        <t xml:space="preserve">Responder updated this value.</t>
      </text>
    </comment>
    <comment authorId="0" ref="I655">
      <text>
        <t xml:space="preserve">Responder updated this value.</t>
      </text>
    </comment>
    <comment authorId="0" ref="B325">
      <text>
        <t xml:space="preserve">Responder updated this value.</t>
      </text>
    </comment>
    <comment authorId="0" ref="C1345">
      <text>
        <t xml:space="preserve">Responder updated this value.</t>
      </text>
    </comment>
    <comment authorId="0" ref="D1345">
      <text>
        <t xml:space="preserve">Responder updated this value.</t>
      </text>
    </comment>
    <comment authorId="0" ref="F226">
      <text>
        <t xml:space="preserve">Responder updated this value.</t>
      </text>
    </comment>
    <comment authorId="0" ref="C511">
      <text>
        <t xml:space="preserve">Responder updated this value.</t>
      </text>
    </comment>
    <comment authorId="0" ref="E1345">
      <text>
        <t xml:space="preserve">Responder updated this value.</t>
      </text>
    </comment>
    <comment authorId="0" ref="D511">
      <text>
        <t xml:space="preserve">Responder updated this value.</t>
      </text>
    </comment>
    <comment authorId="0" ref="F1345">
      <text>
        <t xml:space="preserve">Responder updated this value.</t>
      </text>
    </comment>
    <comment authorId="0" ref="E511">
      <text>
        <t xml:space="preserve">Responder updated this value.</t>
      </text>
    </comment>
    <comment authorId="0" ref="F511">
      <text>
        <t xml:space="preserve">Responder updated this value.</t>
      </text>
    </comment>
    <comment authorId="0" ref="I1345">
      <text>
        <t xml:space="preserve">Responder updated this value.</t>
      </text>
    </comment>
    <comment authorId="0" ref="I511">
      <text>
        <t xml:space="preserve">Responder updated this value.</t>
      </text>
    </comment>
    <comment authorId="0" ref="H474">
      <text>
        <t xml:space="preserve">Responder updated this value.</t>
      </text>
    </comment>
    <comment authorId="0" ref="B1098">
      <text>
        <t xml:space="preserve">Responder updated this value.</t>
      </text>
    </comment>
    <comment authorId="0" ref="C136">
      <text>
        <t xml:space="preserve">Responder updated this value.</t>
      </text>
    </comment>
    <comment authorId="0" ref="B644">
      <text>
        <t xml:space="preserve">Responder updated this value.</t>
      </text>
    </comment>
    <comment authorId="0" ref="B834">
      <text>
        <t xml:space="preserve">Responder updated this value.</t>
      </text>
    </comment>
    <comment authorId="0" ref="F1350">
      <text>
        <t xml:space="preserve">Responder updated this value.</t>
      </text>
    </comment>
    <comment authorId="0" ref="I227">
      <text>
        <t xml:space="preserve">Responder updated this value.</t>
      </text>
    </comment>
    <comment authorId="0" ref="F1342">
      <text>
        <t xml:space="preserve">Responder updated this value.</t>
      </text>
    </comment>
    <comment authorId="0" ref="C236">
      <text>
        <t xml:space="preserve">Responder updated this value.</t>
      </text>
    </comment>
    <comment authorId="0" ref="B1227">
      <text>
        <t xml:space="preserve">Responder updated this value.</t>
      </text>
    </comment>
    <comment authorId="0" ref="F430">
      <text>
        <t xml:space="preserve">Responder updated this value.</t>
      </text>
    </comment>
  </commentList>
</comments>
</file>

<file path=xl/sharedStrings.xml><?xml version="1.0" encoding="utf-8"?>
<sst xmlns="http://schemas.openxmlformats.org/spreadsheetml/2006/main" count="19879" uniqueCount="5736">
  <si>
    <t>Timestamp</t>
  </si>
  <si>
    <t>FORM CETAK ILA NOFRI</t>
  </si>
  <si>
    <t>Nomor Tiket 
(Kode Loket/No Antrian/ddmmyy/No urut berkas)</t>
  </si>
  <si>
    <t>Nama Pemohon</t>
  </si>
  <si>
    <t>Nomor Telpon (pastikan nomor tlpn aktif)</t>
  </si>
  <si>
    <t>m.2442/tanjung seneng / 3</t>
  </si>
  <si>
    <t>Jenis Permohonan</t>
  </si>
  <si>
    <r>
      <t xml:space="preserve">Nomor Hak Sebelum Gandes (jika ada) </t>
    </r>
    <r>
      <rPr>
        <rFont val="Arial"/>
        <b val="0"/>
        <i/>
        <color theme="1"/>
      </rPr>
      <t xml:space="preserve">
*</t>
    </r>
    <r>
      <rPr>
        <rFont val="Arial"/>
        <b val="0"/>
        <color theme="1"/>
      </rPr>
      <t>Format</t>
    </r>
    <r>
      <rPr>
        <rFont val="Arial"/>
        <b val="0"/>
        <i/>
        <color theme="1"/>
      </rPr>
      <t xml:space="preserve"> (</t>
    </r>
    <r>
      <rPr>
        <rFont val="Arial"/>
        <i/>
        <color theme="1"/>
      </rPr>
      <t>Jenis Hak.Nomor Hak/Kelurahan-Sekarang;Jenis Hak.Nomor Hak/Kelurahan-Dahulu</t>
    </r>
    <r>
      <rPr>
        <rFont val="Arial"/>
        <b val="0"/>
        <i/>
        <color theme="1"/>
      </rPr>
      <t>)
*</t>
    </r>
    <r>
      <rPr>
        <rFont val="Arial"/>
        <b val="0"/>
        <color theme="1"/>
      </rPr>
      <t xml:space="preserve">Jika tanpa Sertipikat beri </t>
    </r>
    <r>
      <rPr>
        <rFont val="Arial"/>
        <i/>
        <color theme="1"/>
      </rPr>
      <t>"-"</t>
    </r>
  </si>
  <si>
    <t>Nama Petugas Loket</t>
  </si>
  <si>
    <t>Pembetulan Berkas ke....</t>
  </si>
  <si>
    <t>Kelurahan Sekarang</t>
  </si>
  <si>
    <t>Klik Disini</t>
  </si>
  <si>
    <r>
      <t>Nomor Hak Sebelum Gandes (jika ada)</t>
    </r>
    <r>
      <rPr>
        <rFont val="Arial"/>
        <b val="0"/>
        <i/>
        <color theme="1"/>
      </rPr>
      <t xml:space="preserve">
*Format ( </t>
    </r>
    <r>
      <rPr>
        <rFont val="Arial"/>
        <i/>
        <color theme="1"/>
      </rPr>
      <t>Jenis Hak.Nomor Hak/Kelurahan-Sekarang</t>
    </r>
    <r>
      <rPr>
        <rFont val="Arial"/>
        <b val="0"/>
        <i/>
        <color theme="1"/>
      </rPr>
      <t xml:space="preserve">)
*Jika tanpa Sertipikat beri atau tidak gandes beri tanda </t>
    </r>
    <r>
      <rPr>
        <rFont val="Arial"/>
        <i/>
        <color theme="1"/>
      </rPr>
      <t>"-"</t>
    </r>
  </si>
  <si>
    <t>Combine</t>
  </si>
  <si>
    <t>L/1/141024/1</t>
  </si>
  <si>
    <t>CHAIRUL ANWAR SATAR</t>
  </si>
  <si>
    <t>082175406622</t>
  </si>
  <si>
    <t>ROYA</t>
  </si>
  <si>
    <t>HM 9463/GEDUNG MENENG</t>
  </si>
  <si>
    <t>Deby</t>
  </si>
  <si>
    <t>P0</t>
  </si>
  <si>
    <t>GEDUNG MENENG</t>
  </si>
  <si>
    <t>L/2/141024/1</t>
  </si>
  <si>
    <t>RIRIN OKTARINA</t>
  </si>
  <si>
    <t>089632241202</t>
  </si>
  <si>
    <t>HM 17565/SUKARAME I</t>
  </si>
  <si>
    <t>SUKARAME I</t>
  </si>
  <si>
    <t>K/3/141024/1</t>
  </si>
  <si>
    <t>GURUH SAMODRA AJI, ST.MT/WAHYUDIN</t>
  </si>
  <si>
    <t>082371259997</t>
  </si>
  <si>
    <t>PTPGT</t>
  </si>
  <si>
    <t>-</t>
  </si>
  <si>
    <t>Baynur</t>
  </si>
  <si>
    <t xml:space="preserve">WAY LAGA </t>
  </si>
  <si>
    <t>FORM CETAK KHOLFA</t>
  </si>
  <si>
    <t>K/4/141024/2</t>
  </si>
  <si>
    <t>L/5/141024/1</t>
  </si>
  <si>
    <t>SITI NAZROH</t>
  </si>
  <si>
    <t>08117208600</t>
  </si>
  <si>
    <t>HOME</t>
  </si>
  <si>
    <t>M.9974/TANJUNG BARU</t>
  </si>
  <si>
    <t>Nuraini</t>
  </si>
  <si>
    <t>TANJUNG BARU</t>
  </si>
  <si>
    <t>L/6/141024/1</t>
  </si>
  <si>
    <t>EMY MARSINEM</t>
  </si>
  <si>
    <t>081272529928</t>
  </si>
  <si>
    <t>PLOT SERTIPIKAT HILANG</t>
  </si>
  <si>
    <t xml:space="preserve"> HM 154/SUSUNAN BARU</t>
  </si>
  <si>
    <t>SUSUNAN BARU</t>
  </si>
  <si>
    <t>K/7/141024/1</t>
  </si>
  <si>
    <t>IKE FEBRINA, S.IP</t>
  </si>
  <si>
    <t>081927983379</t>
  </si>
  <si>
    <t>ANGKAT SITA</t>
  </si>
  <si>
    <t>M. 631/Pahoman- sekarang; M. 631/Pahoman-Dahulu</t>
  </si>
  <si>
    <t>Hananda</t>
  </si>
  <si>
    <t>PAHOMAN</t>
  </si>
  <si>
    <t>L/8/141024/1</t>
  </si>
  <si>
    <t>JUNAIDI</t>
  </si>
  <si>
    <t>082377111476</t>
  </si>
  <si>
    <t>HAPUS BPHTB</t>
  </si>
  <si>
    <t>M.1134/GULAK GALIK</t>
  </si>
  <si>
    <t>GULAK GALIK</t>
  </si>
  <si>
    <t>K/9/141024/1</t>
  </si>
  <si>
    <t>FORM CETAK GINTA MONITA</t>
  </si>
  <si>
    <t>LEOSA AUGDETA/LINGGA AYU B</t>
  </si>
  <si>
    <t>FORM CETAK PERBAIKAN</t>
  </si>
  <si>
    <t>082175944544</t>
  </si>
  <si>
    <t>M.11980/JAGABAYA II</t>
  </si>
  <si>
    <t>JAGABAYA II</t>
  </si>
  <si>
    <t>L/11/141024/1</t>
  </si>
  <si>
    <t>HENNY INDRIYANI</t>
  </si>
  <si>
    <t>081369690601</t>
  </si>
  <si>
    <t>HM 1505 LABUHAN DALAM &amp; HM 1506 LABUHAN DALAM</t>
  </si>
  <si>
    <t>FORM CETAK MAHARANI</t>
  </si>
  <si>
    <t>LABUHAN DALAM</t>
  </si>
  <si>
    <t>Nomor Tiket</t>
  </si>
  <si>
    <t>K/10/141024/2</t>
  </si>
  <si>
    <t>ANTONI SINULINGGA /LINGGA A</t>
  </si>
  <si>
    <t>GANDES</t>
  </si>
  <si>
    <t>FORM CETAK ZEVINA</t>
  </si>
  <si>
    <t>TANJUNG SENENG</t>
  </si>
  <si>
    <t>K/12/141024/1</t>
  </si>
  <si>
    <t>META ARIDHOTU PRANATA /PANARY SITOPU</t>
  </si>
  <si>
    <t>081361444098</t>
  </si>
  <si>
    <t>FORM CETAK FIKKA</t>
  </si>
  <si>
    <t>M.3326/LANGKAPURA</t>
  </si>
  <si>
    <t>LANGKAPURA</t>
  </si>
  <si>
    <t>K/13/141024/2</t>
  </si>
  <si>
    <t>APRILIA/PANARY SITOPU</t>
  </si>
  <si>
    <t>M.1088/NEGERI OLOK GADING-SEKARANG;B.1201/NEGERI OLOK GADING-DAHULU</t>
  </si>
  <si>
    <t>K/24/211024/1</t>
  </si>
  <si>
    <t>NEGERI OLOK GADING</t>
  </si>
  <si>
    <t>K/14/141024/3</t>
  </si>
  <si>
    <t>M.988/NEGERI OLOK GADING-SEKARANG;B.1050/NEGERI OLOK GADING-DAHULU</t>
  </si>
  <si>
    <t>K/15/141024/4</t>
  </si>
  <si>
    <t>PANGGARA PAGARISI/PANARY SITOPU</t>
  </si>
  <si>
    <t>PENINGKATAN HAK</t>
  </si>
  <si>
    <t>K/16/141024/1</t>
  </si>
  <si>
    <t>TITIK WIJAYANTI/SENDI DINI HARIYATI</t>
  </si>
  <si>
    <t>089618401409</t>
  </si>
  <si>
    <t>SKPT</t>
  </si>
  <si>
    <t>M.9137/GEDONG MENENG</t>
  </si>
  <si>
    <t>GEDONG MENENG</t>
  </si>
  <si>
    <t xml:space="preserve"> `</t>
  </si>
  <si>
    <t>L/17/141024/1</t>
  </si>
  <si>
    <t>SARIFUDDIN HUTAGALUNG</t>
  </si>
  <si>
    <t>081369303456</t>
  </si>
  <si>
    <t>HM 2144/WAY KANDIS</t>
  </si>
  <si>
    <t>kf</t>
  </si>
  <si>
    <t>WAY KANDIS</t>
  </si>
  <si>
    <t>K/19/141024/1</t>
  </si>
  <si>
    <t>ROSIDA LINGSA KENCANA/RAHMADIYANTI</t>
  </si>
  <si>
    <t>082182090051</t>
  </si>
  <si>
    <t>PERALIHAN JUAL BELI</t>
  </si>
  <si>
    <t>M.16678/SUKABUMI</t>
  </si>
  <si>
    <t>SUKABUMI</t>
  </si>
  <si>
    <t>L/18/141024/1</t>
  </si>
  <si>
    <t>SUNILA HAKI</t>
  </si>
  <si>
    <t>082279144608</t>
  </si>
  <si>
    <t>BLOKIR</t>
  </si>
  <si>
    <t>M.331/NUSANTARA PERMAI;B.389/CAMPANG RAYA-DAHULU</t>
  </si>
  <si>
    <t>NUSANTARA PERMAI</t>
  </si>
  <si>
    <t>K/20/141024/1</t>
  </si>
  <si>
    <t>BERRYAN AULIA UMAM J/HARITO WIDODO</t>
  </si>
  <si>
    <t>082279441318</t>
  </si>
  <si>
    <t>M.12883/RAJABASA-SEKARANG;B.1210/RAJABASA-DAHULU</t>
  </si>
  <si>
    <t>RAJABASA</t>
  </si>
  <si>
    <t>L/21/141024/1</t>
  </si>
  <si>
    <t>DWI ASTANTO</t>
  </si>
  <si>
    <t>081369408334</t>
  </si>
  <si>
    <t>HM 1812/TANJUNG SENANG</t>
  </si>
  <si>
    <t>TANJUNG SENANG</t>
  </si>
  <si>
    <t>K/22/141024/1</t>
  </si>
  <si>
    <t>MURSALIN</t>
  </si>
  <si>
    <t>085383885939</t>
  </si>
  <si>
    <t>M. 6977/ TANJUNG SENANG</t>
  </si>
  <si>
    <t>K/23/141024/2</t>
  </si>
  <si>
    <t>PLOTTING</t>
  </si>
  <si>
    <t>M. 246/ GUNUNG SULAH</t>
  </si>
  <si>
    <t>GUNUNG SULAH</t>
  </si>
  <si>
    <t>L/24/141024/1</t>
  </si>
  <si>
    <t>DEWI YULIANA</t>
  </si>
  <si>
    <t>082269444244</t>
  </si>
  <si>
    <t>M.2064/GUNUNG TERANG</t>
  </si>
  <si>
    <t>GUNUNG TERANG</t>
  </si>
  <si>
    <t>K/25/141024/3</t>
  </si>
  <si>
    <t>M. 133/ SUKARAME BARU- SEKARANG; B. 144/ SUKARAME BARU-DAHULU; B. 4605/SUKARAME I-DAHULU</t>
  </si>
  <si>
    <t>SUKARAME BARU</t>
  </si>
  <si>
    <t>K/26/141024/1</t>
  </si>
  <si>
    <t>KHARISMA MANISHA CECILIYA/ILANUR</t>
  </si>
  <si>
    <t>081295653816</t>
  </si>
  <si>
    <t>M.2094/CAMPANG JAYA</t>
  </si>
  <si>
    <t>CAMPANG JAYA</t>
  </si>
  <si>
    <t>K/27/141024/4</t>
  </si>
  <si>
    <t>M. 13414/ SUKABUMI</t>
  </si>
  <si>
    <t>K/28/141024/1</t>
  </si>
  <si>
    <t>ADE HERDIANYAH/WHINDA YULIANTI</t>
  </si>
  <si>
    <t>081255572168</t>
  </si>
  <si>
    <t>B.895/BERINGIN JAYA</t>
  </si>
  <si>
    <t>BERINGIN JAYA</t>
  </si>
  <si>
    <t>K/29/141024/1</t>
  </si>
  <si>
    <t>GUNAWAN</t>
  </si>
  <si>
    <t>085273192152</t>
  </si>
  <si>
    <t>PTPGT PEMECAHAN</t>
  </si>
  <si>
    <t>M. 2445/ SUKADANA HAM</t>
  </si>
  <si>
    <t>SUKADANA HAM</t>
  </si>
  <si>
    <t>K/30/141024/1</t>
  </si>
  <si>
    <t>SUHARTONO/KRISTINA SIAHAAN</t>
  </si>
  <si>
    <t>085359481748</t>
  </si>
  <si>
    <t>M.2617/WAY KANDIS</t>
  </si>
  <si>
    <t>K/31/141024/1</t>
  </si>
  <si>
    <t>APRILLIYANI</t>
  </si>
  <si>
    <t>081367846284</t>
  </si>
  <si>
    <t>PERUBAHAN HAK</t>
  </si>
  <si>
    <t>NIBEL 1691/ SUKABUMI INDAH</t>
  </si>
  <si>
    <t>SUKABUMI INDAH</t>
  </si>
  <si>
    <t>L/34/141024/1</t>
  </si>
  <si>
    <t>RENNY SILALAHI</t>
  </si>
  <si>
    <t>08127222057</t>
  </si>
  <si>
    <t>PERTAMA KALI</t>
  </si>
  <si>
    <t>KORPRI JAYA</t>
  </si>
  <si>
    <t>SUKARAME</t>
  </si>
  <si>
    <t>L/33/141024/1</t>
  </si>
  <si>
    <t>MOCHAMAD MA'RUF</t>
  </si>
  <si>
    <t>081369994969</t>
  </si>
  <si>
    <t>M.1540/GUNUNG TERANG;B.17/GU TERANG-DAHULU</t>
  </si>
  <si>
    <t>K/32/141024/1</t>
  </si>
  <si>
    <t>ICHWANTO/BUDI KRISTIYANTO</t>
  </si>
  <si>
    <t>0858-6816-7367</t>
  </si>
  <si>
    <t>M.10108/LABUHAN RATU</t>
  </si>
  <si>
    <t>LABUHAN RATU</t>
  </si>
  <si>
    <t>L/35/141024/1</t>
  </si>
  <si>
    <t>DEBY JULISDA</t>
  </si>
  <si>
    <t>088276777557</t>
  </si>
  <si>
    <t>ROYA LELANG</t>
  </si>
  <si>
    <t>M.676/SAWAH BREBES</t>
  </si>
  <si>
    <t>SAWAH BREBES</t>
  </si>
  <si>
    <t>K/36/141024/1</t>
  </si>
  <si>
    <t>YUDA SAPUTRA/I MADE RETUG</t>
  </si>
  <si>
    <t>K/11/211024/2</t>
  </si>
  <si>
    <t>0853-8479-7293</t>
  </si>
  <si>
    <t xml:space="preserve">PERALIHAN JUAL BELI </t>
  </si>
  <si>
    <t>M.250/LANGKAPURA BARU</t>
  </si>
  <si>
    <t>LANGKAPURA BARU</t>
  </si>
  <si>
    <t>K/37/141024/1</t>
  </si>
  <si>
    <t>PT KEONG NUSANTARA ABADI/KHRESNA DJUAINI</t>
  </si>
  <si>
    <t>081369381711</t>
  </si>
  <si>
    <t>Pembetulan Berkas Ke</t>
  </si>
  <si>
    <t>TELUK BETUNG</t>
  </si>
  <si>
    <t>K/38/141024/1</t>
  </si>
  <si>
    <t>ISMARINA</t>
  </si>
  <si>
    <t>081377641549</t>
  </si>
  <si>
    <t>PERALIHAN HAK JUAL BELI</t>
  </si>
  <si>
    <t>M. 3157/ LABUHAN DALAM</t>
  </si>
  <si>
    <t>K/39/141024/1</t>
  </si>
  <si>
    <t>MAHRODIN/VITTA N</t>
  </si>
  <si>
    <t>0821-8133-7272</t>
  </si>
  <si>
    <t xml:space="preserve">M.379/KALI BALAU KENCANA </t>
  </si>
  <si>
    <t xml:space="preserve">KALI BALAU KENCANA </t>
  </si>
  <si>
    <t>K/40/141024/5</t>
  </si>
  <si>
    <t>NIBEL 2507/ SUMUR BATU</t>
  </si>
  <si>
    <t>Tanggal Pemohonan Masuk</t>
  </si>
  <si>
    <t>SUMUR BATU</t>
  </si>
  <si>
    <t>Nomor</t>
  </si>
  <si>
    <t>K/42/141024/1</t>
  </si>
  <si>
    <t>DARWIN RUSLINUR/EWON GUNAWAN</t>
  </si>
  <si>
    <t>0812-8569-8185</t>
  </si>
  <si>
    <t>M.10676/KEDATON</t>
  </si>
  <si>
    <t>Catatan</t>
  </si>
  <si>
    <t>KEDATON</t>
  </si>
  <si>
    <t>K/41/141024/1</t>
  </si>
  <si>
    <t>RAHMADIYANTI</t>
  </si>
  <si>
    <t>Nomor Telpon</t>
  </si>
  <si>
    <t xml:space="preserve">ROYA </t>
  </si>
  <si>
    <t>M. 2283/ GEDONG AIR</t>
  </si>
  <si>
    <t>GEDONG AIR</t>
  </si>
  <si>
    <t>K/43/141024/1</t>
  </si>
  <si>
    <t>PT SUKSES CIPTAGRIYA LESTARI/PANARY SITOPU</t>
  </si>
  <si>
    <t>0889-2977-399</t>
  </si>
  <si>
    <t>Nomor Hak</t>
  </si>
  <si>
    <t>B.2096/CAMPANG RAYA</t>
  </si>
  <si>
    <t>Kelurahan</t>
  </si>
  <si>
    <t>CAMPANG RAYA</t>
  </si>
  <si>
    <t>K/44/141024/2</t>
  </si>
  <si>
    <t>B.2095/CAMPANG RAYA</t>
  </si>
  <si>
    <t>K/45/151024/1</t>
  </si>
  <si>
    <t>ABDUL GANI/ DODI SUWANTO CS</t>
  </si>
  <si>
    <t>+62 895-6401-98434</t>
  </si>
  <si>
    <t>PERALIHAN HAK KEWARISAN</t>
  </si>
  <si>
    <t>M. 2732/ KOTA BARU</t>
  </si>
  <si>
    <t>Nama Verifikator</t>
  </si>
  <si>
    <t>Rapita</t>
  </si>
  <si>
    <t>kOTA BARU</t>
  </si>
  <si>
    <t>Tanggal Terima Berkas (Verifikator)</t>
  </si>
  <si>
    <t>K/46/151024/2</t>
  </si>
  <si>
    <t>ABDUL GANI/ SUHARI YANTI</t>
  </si>
  <si>
    <t>M. 534/ SUMBEREJO SEJAHTERA</t>
  </si>
  <si>
    <t>Catatan 
1</t>
  </si>
  <si>
    <t>SUMBEREJO SEJAHTERA</t>
  </si>
  <si>
    <t>K/1/151024/1</t>
  </si>
  <si>
    <t>Catatan 
2</t>
  </si>
  <si>
    <t>CITRA AYU WARDANI/ ASTARI</t>
  </si>
  <si>
    <t>089633785366</t>
  </si>
  <si>
    <t>PENGECEKKAN</t>
  </si>
  <si>
    <t>M. 777/ GEDONG PAKUON</t>
  </si>
  <si>
    <t>Catatan 
3</t>
  </si>
  <si>
    <t>GEDONG PAKUON</t>
  </si>
  <si>
    <t>K/2/151024/2</t>
  </si>
  <si>
    <t>Catatan 
4</t>
  </si>
  <si>
    <t>CITRA AYU W/ RISHNALDI</t>
  </si>
  <si>
    <t>M. 12840/ SEGALA MIDER</t>
  </si>
  <si>
    <t>Catatan 
5</t>
  </si>
  <si>
    <t>SEGALA MIDER</t>
  </si>
  <si>
    <t>K/3/151024/1</t>
  </si>
  <si>
    <t>Catatan 
6</t>
  </si>
  <si>
    <t>EVA SURIANI / YOSEF OKTOROZI</t>
  </si>
  <si>
    <t>+62 811-724-041</t>
  </si>
  <si>
    <t>B. 613/ SUMUR PUTRI</t>
  </si>
  <si>
    <t>Catatan 
7</t>
  </si>
  <si>
    <t>SUMUR PUTRI</t>
  </si>
  <si>
    <t>K/4/151024/1</t>
  </si>
  <si>
    <t>Catatan 
8</t>
  </si>
  <si>
    <t>Renaldi Pratama S/ Rahmat Mirzani D</t>
  </si>
  <si>
    <t>+62 823-7375-9878</t>
  </si>
  <si>
    <t>Roya</t>
  </si>
  <si>
    <t>M. 10315/ Rajabasa</t>
  </si>
  <si>
    <t>Catatan 
9</t>
  </si>
  <si>
    <t>Rajabasa</t>
  </si>
  <si>
    <t>K/5/151024/2</t>
  </si>
  <si>
    <t>Catatan 
10</t>
  </si>
  <si>
    <t>Renaldi Pratama S/ Nurul S</t>
  </si>
  <si>
    <t xml:space="preserve">Roya </t>
  </si>
  <si>
    <t>M. 1952/ Langkapura</t>
  </si>
  <si>
    <t>Status Berkas</t>
  </si>
  <si>
    <t>Langkapura</t>
  </si>
  <si>
    <t>L/8/151024/1</t>
  </si>
  <si>
    <t>Tanggal Selesai Verifikasi</t>
  </si>
  <si>
    <t>MALA HARTIANA</t>
  </si>
  <si>
    <t>081379431418</t>
  </si>
  <si>
    <t>NIB 0801000002556/KEMILING PERMAI</t>
  </si>
  <si>
    <t>Cetak Form Perbaikan</t>
  </si>
  <si>
    <t>KEMILING PERMAI</t>
  </si>
  <si>
    <t>Kolom sajian Perbaiakan</t>
  </si>
  <si>
    <t>K/7/151024/1</t>
  </si>
  <si>
    <t>ALI LIUS / ANTHONY</t>
  </si>
  <si>
    <t>082279404843</t>
  </si>
  <si>
    <t>NIBEL 874/ BUMI KEDAMAIAN</t>
  </si>
  <si>
    <t>TANGGAL DIKEMBALIKAN</t>
  </si>
  <si>
    <t>BUMI KEDAMAIAN</t>
  </si>
  <si>
    <t>catatan</t>
  </si>
  <si>
    <t>K/6/151024/1</t>
  </si>
  <si>
    <t>Ilanur/ Doni Kris M</t>
  </si>
  <si>
    <t>08979122178</t>
  </si>
  <si>
    <t>BN Jual Beli</t>
  </si>
  <si>
    <t>M. 1931/ Campang Jaya</t>
  </si>
  <si>
    <t>Campang Jaya</t>
  </si>
  <si>
    <t>K/9/151024/2</t>
  </si>
  <si>
    <t>Ilanur/ Ailing</t>
  </si>
  <si>
    <t>M. 2400/ NOG;  M. 811/ Bakung; M. 131/NOG:</t>
  </si>
  <si>
    <t>Negeri Olok Gading</t>
  </si>
  <si>
    <t>L/10/151024/1</t>
  </si>
  <si>
    <t>AHMAD SUKRI</t>
  </si>
  <si>
    <t>085366776727</t>
  </si>
  <si>
    <t>B.561/NUSANTARA PERMAI;B.329/CAMPANG RAYA-DAHULU</t>
  </si>
  <si>
    <t>K/11/151024/1</t>
  </si>
  <si>
    <t>Maryanti Kurniawan/ Suprapti R</t>
  </si>
  <si>
    <t>+62 811-7212-168</t>
  </si>
  <si>
    <t>Nibel. M. 1869/ Sepang Jaya</t>
  </si>
  <si>
    <t>Sepang Jaya</t>
  </si>
  <si>
    <t>K/12/151024/2</t>
  </si>
  <si>
    <t>Maryanti K/ Joko Setiawan</t>
  </si>
  <si>
    <t>M. 288/ Kaliawi</t>
  </si>
  <si>
    <t>Kaliawi</t>
  </si>
  <si>
    <t>K/13/151024/3</t>
  </si>
  <si>
    <t>Maryanti K/ Asri</t>
  </si>
  <si>
    <t>M. 41/ Kota Sepang</t>
  </si>
  <si>
    <t>Kota Sepang</t>
  </si>
  <si>
    <t>K/14/151024/1</t>
  </si>
  <si>
    <t>Reflan R/ Mardhatillah</t>
  </si>
  <si>
    <t>+62 822-6948-0192</t>
  </si>
  <si>
    <t>M. 3901/ Tanjung Senang</t>
  </si>
  <si>
    <t>Tanjung Senang</t>
  </si>
  <si>
    <t>K/15/151024/1</t>
  </si>
  <si>
    <t>M ARIEF S/ KADEK SETIAWAN</t>
  </si>
  <si>
    <t>081369113355</t>
  </si>
  <si>
    <t>BN JUAL BELI</t>
  </si>
  <si>
    <t>M. 2424/ KEDAUNG</t>
  </si>
  <si>
    <t>KEDAUNG</t>
  </si>
  <si>
    <t>K/16/151024/2</t>
  </si>
  <si>
    <t>M ARIEF S/ AKHMAD RIDHO</t>
  </si>
  <si>
    <t>08139113355</t>
  </si>
  <si>
    <t>M. 2418/ KEDAUNG</t>
  </si>
  <si>
    <t>L/18/151024/1</t>
  </si>
  <si>
    <t>ABU BAKAR</t>
  </si>
  <si>
    <t>085279056001</t>
  </si>
  <si>
    <t>HM 1527/RAJABASA NUNYAI (SUPER PRIORITAS)</t>
  </si>
  <si>
    <t>RAJABASA NUNYAI</t>
  </si>
  <si>
    <t>L/19/151024/1</t>
  </si>
  <si>
    <t>JUMENAH</t>
  </si>
  <si>
    <t>085789986547</t>
  </si>
  <si>
    <t>M.178/GARUNTANG</t>
  </si>
  <si>
    <t>GARUNTANG</t>
  </si>
  <si>
    <t>L/20/151024/1</t>
  </si>
  <si>
    <t>BUDY RAHARJO</t>
  </si>
  <si>
    <t>082372872024</t>
  </si>
  <si>
    <t>GANTI NAMA</t>
  </si>
  <si>
    <t>NIB 0801000023950/SUKARAME</t>
  </si>
  <si>
    <t>K/17/151024/1</t>
  </si>
  <si>
    <t>BAMBANG ABIYONO / EDY</t>
  </si>
  <si>
    <t>082269212060</t>
  </si>
  <si>
    <t>M. 13602/ SEGALA MIDER</t>
  </si>
  <si>
    <t>K/21/151024/1</t>
  </si>
  <si>
    <t>RAHMADIYANTI / SORAYA SOPHA</t>
  </si>
  <si>
    <t>+62 821-8209-0051</t>
  </si>
  <si>
    <t>M. 652/ PINANG JAYA</t>
  </si>
  <si>
    <t>PINANG JAYA</t>
  </si>
  <si>
    <t>K/24/151024/1</t>
  </si>
  <si>
    <t xml:space="preserve">Zul April/ M Fajar S </t>
  </si>
  <si>
    <t>082175111121</t>
  </si>
  <si>
    <t>Pengecekan</t>
  </si>
  <si>
    <t>M. 2009/ Campang Jaya</t>
  </si>
  <si>
    <t>L/26/151024/1</t>
  </si>
  <si>
    <t>MUHAMMAD ROCYCH</t>
  </si>
  <si>
    <t>081379031346</t>
  </si>
  <si>
    <t>HM 401/KALI BALAU KENCANA</t>
  </si>
  <si>
    <t>KALI BALAU KENCANA</t>
  </si>
  <si>
    <t>K/25/151024/2</t>
  </si>
  <si>
    <t>Zul April/ M Fajar S P</t>
  </si>
  <si>
    <t>M. 2010/ Campang Jaya</t>
  </si>
  <si>
    <t>K/22/151024/2</t>
  </si>
  <si>
    <t>RAHMADIYANTI/ RUDIYAN</t>
  </si>
  <si>
    <t>NIBEL 3118/ SEGALA MIDER</t>
  </si>
  <si>
    <t>K/27/151024/1</t>
  </si>
  <si>
    <t>LENI MASITA CS/ACHMAD ROSWANTAMA</t>
  </si>
  <si>
    <t>0813-6948-8565</t>
  </si>
  <si>
    <t>M.629/RAWA LAUT</t>
  </si>
  <si>
    <t>RAWA LAUT</t>
  </si>
  <si>
    <t>K/23/151024/3</t>
  </si>
  <si>
    <t>RAHMADIYANTI/ SELVI HELINA</t>
  </si>
  <si>
    <t>M. 509/ LABUHAN RATU RAYA</t>
  </si>
  <si>
    <t xml:space="preserve"> LABUHAN RATU RAYA</t>
  </si>
  <si>
    <t>K/28/151024/1</t>
  </si>
  <si>
    <t>Eka Sari T/ Misgianto</t>
  </si>
  <si>
    <t>0895363114046</t>
  </si>
  <si>
    <t>Gandes</t>
  </si>
  <si>
    <t>B. 309/ Way Kandis</t>
  </si>
  <si>
    <t>Way Kandis</t>
  </si>
  <si>
    <t>K/29/151024/2</t>
  </si>
  <si>
    <t>Eka Sari T/ Desi Arita</t>
  </si>
  <si>
    <t>08953631114046</t>
  </si>
  <si>
    <t>Perubahan Hak</t>
  </si>
  <si>
    <t>Nibel. B. 2015/ Pinang Jaya</t>
  </si>
  <si>
    <t>Pinang Jaya</t>
  </si>
  <si>
    <t>K/30/151024/1</t>
  </si>
  <si>
    <t>NENY SWEET MIDEARTI/NINA ZUSANTI</t>
  </si>
  <si>
    <t>0811796717</t>
  </si>
  <si>
    <t>M.3814/SUKADANAHAM</t>
  </si>
  <si>
    <t>SUKADANAHAM</t>
  </si>
  <si>
    <t>L/31/151024/1</t>
  </si>
  <si>
    <t>HERLINA SARI</t>
  </si>
  <si>
    <t>085357550232</t>
  </si>
  <si>
    <t>B.91/GUNUNG TERANG</t>
  </si>
  <si>
    <t>Fikka</t>
  </si>
  <si>
    <t>K/32/151024/1</t>
  </si>
  <si>
    <t>Junaidi saptopo/ Yohanes Herman</t>
  </si>
  <si>
    <t>+62 821-3710-5199</t>
  </si>
  <si>
    <t>Cabut Blokir</t>
  </si>
  <si>
    <t>M. 11169/ Tanjung Baru</t>
  </si>
  <si>
    <t>Tanjung Baru</t>
  </si>
  <si>
    <t>K/34/151024/2</t>
  </si>
  <si>
    <t>Ayi Ruhiat/ Eri Yulianti</t>
  </si>
  <si>
    <t>081272519799</t>
  </si>
  <si>
    <t>BN Hibah</t>
  </si>
  <si>
    <t>M. 1311/ Beringin Jaya; dahulu B. 2093/ Beringin Raya</t>
  </si>
  <si>
    <t>Beringin Jaya</t>
  </si>
  <si>
    <t>K/36/151024/1</t>
  </si>
  <si>
    <t>LINA YOSEPA/HERIYANSYAH</t>
  </si>
  <si>
    <t>081373440861</t>
  </si>
  <si>
    <t>PERALIHAN LELANG</t>
  </si>
  <si>
    <t>M.4791/BERINGIN RAYA-SEKARANG;B.1135/SUMBERREJO-DAHULU</t>
  </si>
  <si>
    <t>BERINGIN RAYA</t>
  </si>
  <si>
    <t>K/33/151024/1</t>
  </si>
  <si>
    <t>Ayi Ruhiat/ Rakhmat A S</t>
  </si>
  <si>
    <t>PLOTING + VALBID</t>
  </si>
  <si>
    <t>+62 812-7251-9799</t>
  </si>
  <si>
    <t>M. 933/ Sukarame</t>
  </si>
  <si>
    <t>Sukarame</t>
  </si>
  <si>
    <t>K/37/151024/1</t>
  </si>
  <si>
    <t>BEDA NAMA PEMILIK ANTARA SERTIPIKAT DAN KTP</t>
  </si>
  <si>
    <t>IG YOGA/ OMO KUSNADI</t>
  </si>
  <si>
    <t>085234301007</t>
  </si>
  <si>
    <t>GANTI KELURAHAN</t>
  </si>
  <si>
    <t>M. 3954/ BERINGIN RAYA-SEKARANG; B.4107/ BERINGIN RAYA-DAHULU</t>
  </si>
  <si>
    <t>SUMBERREJO SEJAHTERA</t>
  </si>
  <si>
    <t>L/35/151024/1</t>
  </si>
  <si>
    <t>FIRMANSYAH/CS</t>
  </si>
  <si>
    <t>082278291330</t>
  </si>
  <si>
    <t>BN PUTUSAN PENGADILAN (AHLI WARIS)</t>
  </si>
  <si>
    <t>HM 479/HARAPAN JAYA (DAHULU)-HM 49/KORPRI JAYA (SEKARANG)</t>
  </si>
  <si>
    <t>K/38/151024/2</t>
  </si>
  <si>
    <t>M. 1904/ KALIAWI</t>
  </si>
  <si>
    <t>KALIAWI PERSADA</t>
  </si>
  <si>
    <t>K/39/151024/1</t>
  </si>
  <si>
    <t>SUMIRAT/RINI ANHARI</t>
  </si>
  <si>
    <t>085368337655</t>
  </si>
  <si>
    <t>M.13978/TANJUNG BARU</t>
  </si>
  <si>
    <t>K/40/151024/1</t>
  </si>
  <si>
    <t>Fahrul Rozi/ Lela Monika</t>
  </si>
  <si>
    <t>+62 821-7585-0002</t>
  </si>
  <si>
    <t>M. 2800/ Sumber Rejo</t>
  </si>
  <si>
    <t>PERBAIKAN</t>
  </si>
  <si>
    <t>Sumber Rejo</t>
  </si>
  <si>
    <t>L/43/151024/1</t>
  </si>
  <si>
    <t>SEPTA RENI</t>
  </si>
  <si>
    <t>082375239888</t>
  </si>
  <si>
    <t>HM 4010/TANJUNG SENANG</t>
  </si>
  <si>
    <t>K/41/151024/2</t>
  </si>
  <si>
    <t>Fahrul Rozi/Novarida</t>
  </si>
  <si>
    <t>M. 11294/ Labuhan Ratu</t>
  </si>
  <si>
    <t>Labuhan Ratu</t>
  </si>
  <si>
    <t>K/44/151024/1</t>
  </si>
  <si>
    <t>TITIK WIJAYANTI/SENDI DINI H</t>
  </si>
  <si>
    <t>Cetak</t>
  </si>
  <si>
    <t>M.1375/PERUMNAS WAY HALIM-SEKARANG;B.2097/KEDATON-DAHULU</t>
  </si>
  <si>
    <t>PERUMNAS WAY HALIM</t>
  </si>
  <si>
    <t>K/42/151024/3</t>
  </si>
  <si>
    <t>Fahrul Rozi/ Winarni</t>
  </si>
  <si>
    <t>BN Kewarisan</t>
  </si>
  <si>
    <t>M. 2589/ Kota Baru</t>
  </si>
  <si>
    <t>Kota Baru</t>
  </si>
  <si>
    <t>K/47/151024/1</t>
  </si>
  <si>
    <t>NEDI HERYANDI/ YULIA IKA W</t>
  </si>
  <si>
    <t>0811721165</t>
  </si>
  <si>
    <t>B. 176/ LABUHAN RATU RAYA</t>
  </si>
  <si>
    <t>LABUHAN RATU RAYA</t>
  </si>
  <si>
    <t>K/48/151024/1</t>
  </si>
  <si>
    <t>ROHAYATI/SUJONO PARYONO</t>
  </si>
  <si>
    <t>081363461868</t>
  </si>
  <si>
    <t>M.550/KORPRI RAYA-SEKARANG;M.10135/SUKARAME U-DAHULU</t>
  </si>
  <si>
    <t>KORPRI RAYA</t>
  </si>
  <si>
    <t>L/49/151024/1</t>
  </si>
  <si>
    <t>SOENANTO</t>
  </si>
  <si>
    <t>082179371160</t>
  </si>
  <si>
    <t>B.238/BERINGIN RAYA;B.238/BERINGIN JAYA-DAHULU</t>
  </si>
  <si>
    <t>L/50/151024/1</t>
  </si>
  <si>
    <t>ALDY DIAN SATRIA</t>
  </si>
  <si>
    <t>089510529644</t>
  </si>
  <si>
    <t>BN JUAL-BELI</t>
  </si>
  <si>
    <t>HM 1763/RAJABASA NUNYAI</t>
  </si>
  <si>
    <t>K/51/151024/1</t>
  </si>
  <si>
    <t>Rendy Renaldy/ Rusgani</t>
  </si>
  <si>
    <t>089508956656</t>
  </si>
  <si>
    <t>M. 2411/ Kota Karang</t>
  </si>
  <si>
    <t>Kota Karang</t>
  </si>
  <si>
    <t>K/52/151024/1</t>
  </si>
  <si>
    <t>ANDRY YULIAN/ KASIH PUWANINGSIH CS</t>
  </si>
  <si>
    <t>082186949749</t>
  </si>
  <si>
    <t>BN WARIS</t>
  </si>
  <si>
    <t>M. 579/ KUPANG KOTA</t>
  </si>
  <si>
    <t>KUPANG KOTA</t>
  </si>
  <si>
    <t>K/53/151024/4</t>
  </si>
  <si>
    <t>Fahrul Rozi/ Hermansyah H</t>
  </si>
  <si>
    <t>082175850002</t>
  </si>
  <si>
    <t>M. 672/ Tanjung Karang</t>
  </si>
  <si>
    <t>Tanjung Karang</t>
  </si>
  <si>
    <t>K/54/151024/1</t>
  </si>
  <si>
    <t xml:space="preserve">HARUN AMIN/CHRISTINA ULINA </t>
  </si>
  <si>
    <t>0821-7879-5856</t>
  </si>
  <si>
    <t>PLOTING</t>
  </si>
  <si>
    <t>M.131/PENGAJARAN</t>
  </si>
  <si>
    <t>PENGAJARAN</t>
  </si>
  <si>
    <t>K/55/151024/1</t>
  </si>
  <si>
    <t>Mahfud/ Tozien</t>
  </si>
  <si>
    <t>085709139403</t>
  </si>
  <si>
    <t>M. 1402/ Tanjung Raya</t>
  </si>
  <si>
    <t>Tanjung Raya</t>
  </si>
  <si>
    <t>K/56/151024/2</t>
  </si>
  <si>
    <t>Mahfud/ Masrudin</t>
  </si>
  <si>
    <t>Ploting</t>
  </si>
  <si>
    <t>M. 345/ Rajabasa Jaya; dahulu M. 9164/Rajabasa</t>
  </si>
  <si>
    <t>Rajabasa Jaya</t>
  </si>
  <si>
    <t>K/57/151024/3</t>
  </si>
  <si>
    <t>Mahfud/ Abaston</t>
  </si>
  <si>
    <t>M. 590/ Pematang Wangi; 382/ Tanjung Senang dahulu</t>
  </si>
  <si>
    <t>Pematang Wangi</t>
  </si>
  <si>
    <t>L/58/151024/1</t>
  </si>
  <si>
    <t>SAMSUL BAHRI</t>
  </si>
  <si>
    <t>085366116470</t>
  </si>
  <si>
    <t>PENGHAPUSAN BPHTB</t>
  </si>
  <si>
    <t>HM 730/SAWAH LAMA</t>
  </si>
  <si>
    <t>SAWAH LAMA</t>
  </si>
  <si>
    <t>K/59/151024/1</t>
  </si>
  <si>
    <t>IRMA SILVIA/ I MADE RETUG</t>
  </si>
  <si>
    <t>085384797293</t>
  </si>
  <si>
    <t xml:space="preserve">B.522/BERINGIN JAYA </t>
  </si>
  <si>
    <t xml:space="preserve">ERINGIN JAYA </t>
  </si>
  <si>
    <t>K/1/161024/1</t>
  </si>
  <si>
    <t>RUSMIATI/ADE ISKANDAR BUNARI</t>
  </si>
  <si>
    <t>085279213533</t>
  </si>
  <si>
    <t>PERALIHAN KEWARISAN</t>
  </si>
  <si>
    <t>NIBEL M.2600/SUKARAME</t>
  </si>
  <si>
    <t>K/2/161024/1</t>
  </si>
  <si>
    <t>Dedi Setiawan/ Yosi Mariani</t>
  </si>
  <si>
    <t>+62 853-8112-5445</t>
  </si>
  <si>
    <t>Nibel. M. 2246/ Sumber Agung</t>
  </si>
  <si>
    <t>Sumber Agung</t>
  </si>
  <si>
    <t>K/3/161024/2</t>
  </si>
  <si>
    <t>Adnan/ Junifa Andrian</t>
  </si>
  <si>
    <t>M. 1217/ Campang Jaya</t>
  </si>
  <si>
    <t>M.2094/M.2094/CAMPANG JAYA</t>
  </si>
  <si>
    <t>P1</t>
  </si>
  <si>
    <t>L/4/161024/1</t>
  </si>
  <si>
    <t>HELDAYANI CS</t>
  </si>
  <si>
    <t>085279793617</t>
  </si>
  <si>
    <t>SKPT INFORMASI PEMBAHARUAN</t>
  </si>
  <si>
    <t>B.3464/SUKABUMI</t>
  </si>
  <si>
    <t>K/5/161024/1</t>
  </si>
  <si>
    <t>Reflan Rasyid/ Ria Meilani</t>
  </si>
  <si>
    <t>M. 1818/ Kupang Teba</t>
  </si>
  <si>
    <t>Kupang Teba</t>
  </si>
  <si>
    <t>K/6/161024/1</t>
  </si>
  <si>
    <t>DITO SAPUTRA/ TITIK WIJAYANTI</t>
  </si>
  <si>
    <t>081369350683</t>
  </si>
  <si>
    <t>SKPT LELANG</t>
  </si>
  <si>
    <t>M. 1560/ Bumi Waras</t>
  </si>
  <si>
    <t>Bumi Waras</t>
  </si>
  <si>
    <t>K/7/161024/2</t>
  </si>
  <si>
    <t>Ila Nofri</t>
  </si>
  <si>
    <t>M. 617/ SAWAH LAMA</t>
  </si>
  <si>
    <t>L/8/161024/1</t>
  </si>
  <si>
    <t>EVIE MUARA</t>
  </si>
  <si>
    <t>082281379361</t>
  </si>
  <si>
    <t>B.834/PWK;B.763/WAY KANDIS-DAHULU</t>
  </si>
  <si>
    <t>PERUMNAS WAY KANDIS</t>
  </si>
  <si>
    <t>K/9/161024/1</t>
  </si>
  <si>
    <t>Validator (Tanggal lahir berbeda pada sertipikat dan kkp) (15-10-2024)</t>
  </si>
  <si>
    <t>tony azhari/ aris putra</t>
  </si>
  <si>
    <t>082373759876</t>
  </si>
  <si>
    <t>Ganti Kelurahan</t>
  </si>
  <si>
    <t>M. 3934/ Way Kandis - sekarang/ B. 923/ Way Kandis -dahulu</t>
  </si>
  <si>
    <t xml:space="preserve">Perumnas Way Kandis </t>
  </si>
  <si>
    <t>K/10/161024/1</t>
  </si>
  <si>
    <t>KUMALA RATNA SARI/PANARY SITOPU</t>
  </si>
  <si>
    <t>NIBEL M.2729/GUNUNG SULAH</t>
  </si>
  <si>
    <t>K/11/161024/2</t>
  </si>
  <si>
    <t>CHRISTYAN BILLY/PANARY SITOPU</t>
  </si>
  <si>
    <t>PERALIHAN BALIK NAMA</t>
  </si>
  <si>
    <t>NIBEL B.2730/GUNUNG SULAH</t>
  </si>
  <si>
    <t>K/12/161024/3</t>
  </si>
  <si>
    <t>CHRISTYNA BELLY/PANARY SITOPU</t>
  </si>
  <si>
    <t>B.545/GUNUNG SULAH</t>
  </si>
  <si>
    <t>K/13/161024/1</t>
  </si>
  <si>
    <t>A. Roswantama/ Mardi</t>
  </si>
  <si>
    <t>+62 813-6948-8565</t>
  </si>
  <si>
    <t>M. 1186/ Enggal</t>
  </si>
  <si>
    <t xml:space="preserve"> Enggal</t>
  </si>
  <si>
    <t>K/14/161024/2</t>
  </si>
  <si>
    <t>A. Roswantama/ Assabiqun Alpan</t>
  </si>
  <si>
    <t>SELESAI (LENGKAP)</t>
  </si>
  <si>
    <t>M. 5621/ Langkapura</t>
  </si>
  <si>
    <t xml:space="preserve"> Langkapura</t>
  </si>
  <si>
    <t>K/15/161024/1</t>
  </si>
  <si>
    <t>ENDANG APRILIA/ ADE MALIANA</t>
  </si>
  <si>
    <t>085655746261</t>
  </si>
  <si>
    <t>M. 639/ PEMATANG WANGI</t>
  </si>
  <si>
    <t>PEMATANG WANGI</t>
  </si>
  <si>
    <t>L/16/161024/1</t>
  </si>
  <si>
    <t>LILY KURNIATI</t>
  </si>
  <si>
    <t>081367968071</t>
  </si>
  <si>
    <t>M.1095/NOG</t>
  </si>
  <si>
    <t>K/17/161024/1</t>
  </si>
  <si>
    <t>DINI ISABELLA / M SABAN</t>
  </si>
  <si>
    <t>085709721097</t>
  </si>
  <si>
    <t>M. 12720/ SUKABUMI</t>
  </si>
  <si>
    <t>validator</t>
  </si>
  <si>
    <t>K/18/161024/1</t>
  </si>
  <si>
    <t>FERAWATI/ SRI YANTI</t>
  </si>
  <si>
    <t>08127284776</t>
  </si>
  <si>
    <t>HAPUS BHPTB</t>
  </si>
  <si>
    <t>M. 1213/ SUKARAME II</t>
  </si>
  <si>
    <t>SUKARAME II</t>
  </si>
  <si>
    <t>L/19/161024/1</t>
  </si>
  <si>
    <t>FATMAWATI ASLAM</t>
  </si>
  <si>
    <t>081369482223</t>
  </si>
  <si>
    <t>BN HIBAH</t>
  </si>
  <si>
    <t>HM 3925/BERINGIN RAYA (SEBELUM NYA) HM 1609/SS (SEKARANG)</t>
  </si>
  <si>
    <t>K/20/161024/1</t>
  </si>
  <si>
    <t>JONEA GRADIANTO CS/RICHARD ADI P</t>
  </si>
  <si>
    <t>085279997821</t>
  </si>
  <si>
    <t>M.48/KALI BALAU KENCANA-SEKARANG;B.46/KALI BALAU KENCANA -DAHULU</t>
  </si>
  <si>
    <t>K/21/161024/1</t>
  </si>
  <si>
    <t>Rizki Febrian/ Nuraini Wahyu</t>
  </si>
  <si>
    <t>089527350367</t>
  </si>
  <si>
    <t>BN PHB</t>
  </si>
  <si>
    <t>M. 651/ Durian Payung</t>
  </si>
  <si>
    <t>Durian Payung</t>
  </si>
  <si>
    <t>K/23/161024/1</t>
  </si>
  <si>
    <t>NUR HAYATI/ JONNI MURSALIM</t>
  </si>
  <si>
    <t>08117222871</t>
  </si>
  <si>
    <t>NIBEL 2899/ RAWA LAUT</t>
  </si>
  <si>
    <t>K/25/161024/1</t>
  </si>
  <si>
    <t>FACHRUDDIN</t>
  </si>
  <si>
    <t>ASPEK</t>
  </si>
  <si>
    <t>K/25/161024/2</t>
  </si>
  <si>
    <t>Asmara/Samah</t>
  </si>
  <si>
    <t>+62 887-7936-809</t>
  </si>
  <si>
    <t>Hapus BPHTB</t>
  </si>
  <si>
    <t>M. 1443/ Batu Putuk</t>
  </si>
  <si>
    <t>Batu Putuk</t>
  </si>
  <si>
    <t>K/24/161024/2</t>
  </si>
  <si>
    <t>NUR HAYATI / KARNO</t>
  </si>
  <si>
    <t>082124830712</t>
  </si>
  <si>
    <t>M. 1535/ KEDAUNG</t>
  </si>
  <si>
    <t>K/27/161024/1</t>
  </si>
  <si>
    <t>Fahrul Rozi/ Kevin A S P</t>
  </si>
  <si>
    <t>M. 12564/ Rajabasa Nunyai; 1137/ Rajabasa Dahulu</t>
  </si>
  <si>
    <t>Rajabasa Nunyai</t>
  </si>
  <si>
    <t>K/28/161024/1</t>
  </si>
  <si>
    <t>tony azhari</t>
  </si>
  <si>
    <t>082373759878</t>
  </si>
  <si>
    <t>PEMECAHAN BIDANG</t>
  </si>
  <si>
    <t>M. 68/ Perumnas Way Kandis</t>
  </si>
  <si>
    <t>Perumnas Way Kandis</t>
  </si>
  <si>
    <t>K/29/161024/2</t>
  </si>
  <si>
    <t>TONY AZHARI/ ARIS</t>
  </si>
  <si>
    <t>M. 8953/ KAMPUNG BARU</t>
  </si>
  <si>
    <t>RAJABASA JAYA</t>
  </si>
  <si>
    <t>K/30/161024/1</t>
  </si>
  <si>
    <t>Atiansya Febra/ Candra Putra</t>
  </si>
  <si>
    <t>M. 4485/ Beringin Raya; B. 1808/ Beringin Raya</t>
  </si>
  <si>
    <t>Beringin Raya</t>
  </si>
  <si>
    <t>L/31/161024/1</t>
  </si>
  <si>
    <t>RATNA</t>
  </si>
  <si>
    <t>085218739479</t>
  </si>
  <si>
    <t>BUMI WARAS</t>
  </si>
  <si>
    <t>K/32/161024/1</t>
  </si>
  <si>
    <t>ENDANG APRILIA/ DESTA YOZA</t>
  </si>
  <si>
    <t>082177803999</t>
  </si>
  <si>
    <t>B. 598/ SUMBER AGUNG</t>
  </si>
  <si>
    <t>SUMBER AGUNG</t>
  </si>
  <si>
    <t>L/34/161024/1</t>
  </si>
  <si>
    <t>ABDUL KARIM PAYOPO</t>
  </si>
  <si>
    <t>089652098074</t>
  </si>
  <si>
    <t>M.1450/SUMBERREJO SEJAHTERA</t>
  </si>
  <si>
    <t>K/33/161024/2</t>
  </si>
  <si>
    <t>ENDANG APRILIA/ WAHYU</t>
  </si>
  <si>
    <t>B. 592/ SUMBER AGUNG</t>
  </si>
  <si>
    <t>K/35/161024/1</t>
  </si>
  <si>
    <t>DEVI ERIZAL/WARDIYAH</t>
  </si>
  <si>
    <t>085378050909</t>
  </si>
  <si>
    <t>M.11916/SUKABUMI-SEKARANG;B.3374/SUKABUMI-DAHULU</t>
  </si>
  <si>
    <t>K/36/161024/1</t>
  </si>
  <si>
    <t>mustaredi/ mat ali</t>
  </si>
  <si>
    <t>082280012224</t>
  </si>
  <si>
    <t>M. 16685/ SUKABUMI</t>
  </si>
  <si>
    <t>Validasi bidang /TT (15-10-2024)</t>
  </si>
  <si>
    <t>K/37/161024/1</t>
  </si>
  <si>
    <t>Nanik Maryani/ Siwi A</t>
  </si>
  <si>
    <t>083178501348</t>
  </si>
  <si>
    <t>M. 16119/ Sukabumi</t>
  </si>
  <si>
    <t>Legalisir KTP kreditur</t>
  </si>
  <si>
    <t>Sukabumi</t>
  </si>
  <si>
    <t>K/38/161024/1</t>
  </si>
  <si>
    <t>Chandra Alam/ Heri S. cs</t>
  </si>
  <si>
    <t>081272000069</t>
  </si>
  <si>
    <t>M. 2904/ Gedong Air</t>
  </si>
  <si>
    <t>Gedong Air</t>
  </si>
  <si>
    <t>K/39/161024/1</t>
  </si>
  <si>
    <t>IG YOGA/ DEBI HARDIAN</t>
  </si>
  <si>
    <t>M. 1812/ Rajabasa Nunyai-</t>
  </si>
  <si>
    <t>M. 1812/ Rajabasa Nunyai-sekarang; M. 10019/ Rajabasa Nunyai-dahulu</t>
  </si>
  <si>
    <t>K/40/161024/1</t>
  </si>
  <si>
    <t>SULASTRI/CHRISTINA ULINA</t>
  </si>
  <si>
    <t>081369223454</t>
  </si>
  <si>
    <t>M.5925/TANJUNG SENENG</t>
  </si>
  <si>
    <t>K/1/171024/1</t>
  </si>
  <si>
    <t>RAHMAWATI CS/SABBIHIS</t>
  </si>
  <si>
    <t>085382949861</t>
  </si>
  <si>
    <t>B.1379/SUKABUMI</t>
  </si>
  <si>
    <t>K/2/171024/1</t>
  </si>
  <si>
    <t>M.HUSNUN/ MARKIM</t>
  </si>
  <si>
    <t>0895337550583</t>
  </si>
  <si>
    <t>M. 525/ Sumber Agung</t>
  </si>
  <si>
    <t>L/3/171024/1</t>
  </si>
  <si>
    <t>BETI ASTRI NINGSIH</t>
  </si>
  <si>
    <t>089517341312</t>
  </si>
  <si>
    <t>HAPUS BPTHB</t>
  </si>
  <si>
    <t>M 3895/CAMPANG RAYA</t>
  </si>
  <si>
    <t>CAMPANF RAYA</t>
  </si>
  <si>
    <t>K/4/171024/1</t>
  </si>
  <si>
    <t>IRMA SURYANI HARAHAP/ISMARINA</t>
  </si>
  <si>
    <t>NIBEL B.2410/RAJABASA NUNYAI</t>
  </si>
  <si>
    <t>K/5/171024/1</t>
  </si>
  <si>
    <t>Rahmadiyanti/ Aryudi Cs</t>
  </si>
  <si>
    <t>BN Waris</t>
  </si>
  <si>
    <t>M. 14030/ Tanjung Baru; M. 13709/ Kedamaian-dahulu</t>
  </si>
  <si>
    <t>L/6/171024/1</t>
  </si>
  <si>
    <t>GUSMAYANTI</t>
  </si>
  <si>
    <t>081272750041</t>
  </si>
  <si>
    <t>M.13036/SUKABUMI</t>
  </si>
  <si>
    <t>K/7/171024/1</t>
  </si>
  <si>
    <t>Fitriana/ Paiman</t>
  </si>
  <si>
    <t>089661010669</t>
  </si>
  <si>
    <t>Pemecahan</t>
  </si>
  <si>
    <t>M. 2174/ Way Kandis</t>
  </si>
  <si>
    <t>K/8/171024/1</t>
  </si>
  <si>
    <t>ELVILLIANA FRANSISCA/AFRIZAL</t>
  </si>
  <si>
    <t>0813-6751-6751</t>
  </si>
  <si>
    <t>M.779/NEGERI OLOK GADING-SEKARANG;B.579/NEGERI OLOK GADING-DAHULU</t>
  </si>
  <si>
    <t>K/9/171024/1</t>
  </si>
  <si>
    <t>EKA SARI TAHERAH/ WARDAH AFIF</t>
  </si>
  <si>
    <t>M. 18422/ SUKARAME I</t>
  </si>
  <si>
    <t>K/10/171024/2</t>
  </si>
  <si>
    <t>EKA SARI TAHERAH/ DENDI INDRAJAYA</t>
  </si>
  <si>
    <t>M. 511/ PEMATANG WANGI</t>
  </si>
  <si>
    <t>L/11/171024/1</t>
  </si>
  <si>
    <t>SYAMSUARDI</t>
  </si>
  <si>
    <t>081376166504</t>
  </si>
  <si>
    <t>HGB 416/WAY KANDIS</t>
  </si>
  <si>
    <t>K/12/171024/3</t>
  </si>
  <si>
    <t>eka sari taherah/m azmi</t>
  </si>
  <si>
    <t>BN Jual beli</t>
  </si>
  <si>
    <t>M. 2463/ Pinang Jaya</t>
  </si>
  <si>
    <t>K/13/171024/4</t>
  </si>
  <si>
    <t>eka sari taherah/devita dina mentari</t>
  </si>
  <si>
    <t>M. 2523/ Pinang Jaya</t>
  </si>
  <si>
    <t>K/14/171024/5</t>
  </si>
  <si>
    <t>eka sari taherah/ yayan kesuma</t>
  </si>
  <si>
    <t>M. 2465/ Pinang jaya</t>
  </si>
  <si>
    <t>K/15/171024/1</t>
  </si>
  <si>
    <t>NISWATUN HASANAH/FAUZIYAH ASTUTI SEMBIRING</t>
  </si>
  <si>
    <t>089634272029</t>
  </si>
  <si>
    <t>PENGUKURAN ULANG</t>
  </si>
  <si>
    <t>M.10543/GEDONG MENENG</t>
  </si>
  <si>
    <t>K/16/171024/1</t>
  </si>
  <si>
    <t>Hariyo Widodo/ Sulaiman</t>
  </si>
  <si>
    <t>Plotting</t>
  </si>
  <si>
    <t>M. 3235/ Rajabasa Jaya</t>
  </si>
  <si>
    <t>K/17/171024/1</t>
  </si>
  <si>
    <t>Zul April/ Siswanto Cs</t>
  </si>
  <si>
    <t>08217511121</t>
  </si>
  <si>
    <t>M. 560/ Korpri Raya; 9773/ Sukarame-dahulu</t>
  </si>
  <si>
    <t>Korpri Raya</t>
  </si>
  <si>
    <t>K/18/171024/1</t>
  </si>
  <si>
    <t>ALI LIUS /HEFRIZON</t>
  </si>
  <si>
    <t>082279104843</t>
  </si>
  <si>
    <t>M. 111/ KEMILING RAYA</t>
  </si>
  <si>
    <t>KEMILING RAYA</t>
  </si>
  <si>
    <t>K/19/171024/1</t>
  </si>
  <si>
    <t>TITIK WIJAYANTI/RIFKI KURNIAWAN SAPUTRA</t>
  </si>
  <si>
    <t>081379016000</t>
  </si>
  <si>
    <t>M.2442/TANJUNG SENENG</t>
  </si>
  <si>
    <t>K/21/171024/2</t>
  </si>
  <si>
    <t>ali lius / hefrizin qq putri naura</t>
  </si>
  <si>
    <t>M. 128/ Kemiling Raya</t>
  </si>
  <si>
    <t>Kemiling Raya</t>
  </si>
  <si>
    <t>K/20/171024/2</t>
  </si>
  <si>
    <t xml:space="preserve">SKPT </t>
  </si>
  <si>
    <t>M.11594/JAGABAYA II</t>
  </si>
  <si>
    <t>ACC TGL 22-10-2024</t>
  </si>
  <si>
    <t>K/22/171024/1</t>
  </si>
  <si>
    <t>Mursalin/ Andrianus B S</t>
  </si>
  <si>
    <t>081274812720</t>
  </si>
  <si>
    <t>Nibel. M. 118/ Rajabasa Raya</t>
  </si>
  <si>
    <t>Rajabasa Raya</t>
  </si>
  <si>
    <t>ALI LIUS/ANTHONY TANJUNG</t>
  </si>
  <si>
    <t>+62 822-7940-4843</t>
  </si>
  <si>
    <t>NIBEL874/ BUMI KEDAMAIAN</t>
  </si>
  <si>
    <t>L/23/171024/1</t>
  </si>
  <si>
    <t>ROSNAWATI BR TARIGAN</t>
  </si>
  <si>
    <t>081375251107</t>
  </si>
  <si>
    <t>HGB 556/WAY KANDIS</t>
  </si>
  <si>
    <t>K/24/171024/1</t>
  </si>
  <si>
    <t>KORNELIUS SULEMI/SERUNI WIDYAWATI</t>
  </si>
  <si>
    <t>0895-6092-80120</t>
  </si>
  <si>
    <t>NIBEL M.370/GUNUNG SULAH</t>
  </si>
  <si>
    <t>K/25/171024/1</t>
  </si>
  <si>
    <t>Ilanur/ Etika Fitri S</t>
  </si>
  <si>
    <t>Nibel. M. 1067/ Sukarame Baru</t>
  </si>
  <si>
    <t>Sukarame Baru</t>
  </si>
  <si>
    <t>K/26/171024/2</t>
  </si>
  <si>
    <t>Ilanur/ Dhita A</t>
  </si>
  <si>
    <t>Nibel. M. 1066/ Sukarame Baru</t>
  </si>
  <si>
    <t>K/27/171024/1</t>
  </si>
  <si>
    <t>Dian Eka Sari/ Mardan V</t>
  </si>
  <si>
    <t>08228299990</t>
  </si>
  <si>
    <t>M. 3797/ Keteguhan</t>
  </si>
  <si>
    <t>Keteguhan</t>
  </si>
  <si>
    <t>K/29/171024/1</t>
  </si>
  <si>
    <t>SYOGITRI EVALIANTI/MOHAMAD ARIF SOEHARNOKO</t>
  </si>
  <si>
    <t>0853-5788-8886</t>
  </si>
  <si>
    <t>M.617/SUKARAJA</t>
  </si>
  <si>
    <t>SUKARAJA</t>
  </si>
  <si>
    <t>K/28/171024/2</t>
  </si>
  <si>
    <t>Dian Eka Sari/ M. Nizar</t>
  </si>
  <si>
    <t>082282999990</t>
  </si>
  <si>
    <t>M. 182/ Way Kandis</t>
  </si>
  <si>
    <t>K/30/171024/2</t>
  </si>
  <si>
    <t>TARMIN CECEP/M ARIF SOEHARNOKO</t>
  </si>
  <si>
    <t>M.9272/RAJABASA</t>
  </si>
  <si>
    <t>K/31/171024/1</t>
  </si>
  <si>
    <t>richard adi/ randi sutrisno</t>
  </si>
  <si>
    <t>M. 2933/ Sukarame II</t>
  </si>
  <si>
    <t>Sukarame II</t>
  </si>
  <si>
    <t>L/32/171024/1</t>
  </si>
  <si>
    <t>SLAMET RIYADI</t>
  </si>
  <si>
    <t>08127901155</t>
  </si>
  <si>
    <t>PEMISAHAN</t>
  </si>
  <si>
    <t>M.1520/BATU PUTUK</t>
  </si>
  <si>
    <t>BATU PUTUK</t>
  </si>
  <si>
    <t>K/34/171024/2</t>
  </si>
  <si>
    <t>richard adi / agus prasetyo</t>
  </si>
  <si>
    <t>M. 2924/ Sukarame II</t>
  </si>
  <si>
    <t>L/35/171024/1</t>
  </si>
  <si>
    <t>SUSYANA</t>
  </si>
  <si>
    <t>081379392546</t>
  </si>
  <si>
    <t>HM 296/RAJABASA RAYA</t>
  </si>
  <si>
    <t>RAJABASA RAYA</t>
  </si>
  <si>
    <t>K/33/171024/1</t>
  </si>
  <si>
    <t xml:space="preserve">HENI NURMAINI/ANDRIANTO </t>
  </si>
  <si>
    <t>089632910764</t>
  </si>
  <si>
    <t>NIBEL M.1652/LABUHAN DALAM</t>
  </si>
  <si>
    <t>K/36/171024/2</t>
  </si>
  <si>
    <t>NODIS HENDRI/ANDRIANTO</t>
  </si>
  <si>
    <t>0813-7389-3119</t>
  </si>
  <si>
    <t>M.789/PELITA</t>
  </si>
  <si>
    <t>PELITA</t>
  </si>
  <si>
    <t>K/37/171024/1</t>
  </si>
  <si>
    <t>Angga Purnama/ Yolanda A</t>
  </si>
  <si>
    <t>+62 895-3553-08122</t>
  </si>
  <si>
    <t>M. 1305/ KBK; B. 185/KBK-dahulu</t>
  </si>
  <si>
    <t>Kali Balau Kencana</t>
  </si>
  <si>
    <t>K/38/171024/2</t>
  </si>
  <si>
    <t>Angga Purnama/ Farida N</t>
  </si>
  <si>
    <t>M. 4522/ Gunung Terang</t>
  </si>
  <si>
    <t>Gunung Terang</t>
  </si>
  <si>
    <t>K/39/171024/3</t>
  </si>
  <si>
    <t>Angga Purnama/ Rajabasa Jaya</t>
  </si>
  <si>
    <t>M. 1461/ Rajabasa Jaya</t>
  </si>
  <si>
    <t>L/40/171024/1</t>
  </si>
  <si>
    <t>ACENG SOLEHUDIN</t>
  </si>
  <si>
    <t>081272825300</t>
  </si>
  <si>
    <t>HM 1375/TANJUNG SENENG</t>
  </si>
  <si>
    <t>K/41/171024/1</t>
  </si>
  <si>
    <t>Reflan Rasyid/ Rulli Anisasi</t>
  </si>
  <si>
    <t>M. 11796/ Sukabumi; B. 3316/ Sukabumi-dahulu</t>
  </si>
  <si>
    <t>K/42/171024/1</t>
  </si>
  <si>
    <t>endang aprilia/okta kaisar saputra</t>
  </si>
  <si>
    <t>082289235722</t>
  </si>
  <si>
    <t>B. 649/ Sumber Agung</t>
  </si>
  <si>
    <t>K/43/171024/1</t>
  </si>
  <si>
    <t>Sujono P/ Halilintar Duta M</t>
  </si>
  <si>
    <t>M. 600/ Rajabasa Nunyai</t>
  </si>
  <si>
    <t>L/44/171024/1</t>
  </si>
  <si>
    <t>MAYLINA</t>
  </si>
  <si>
    <t>082181153329</t>
  </si>
  <si>
    <t>HM 16138/SUKARAME I</t>
  </si>
  <si>
    <t>K/45/171024/1</t>
  </si>
  <si>
    <t>maya ayuningtias/ johanes</t>
  </si>
  <si>
    <t>081278444450</t>
  </si>
  <si>
    <t>pengecekkan</t>
  </si>
  <si>
    <t>B. 903/ Kemiling Permai</t>
  </si>
  <si>
    <t>Kemiling Permai</t>
  </si>
  <si>
    <t>K/46/171024/1</t>
  </si>
  <si>
    <t>FAJRI ROBIANSYAH/REFLAN RASYID</t>
  </si>
  <si>
    <t>081367516751</t>
  </si>
  <si>
    <t>M.9381/SURABAYA</t>
  </si>
  <si>
    <t>SURABAYA</t>
  </si>
  <si>
    <t>K/47/171024/1</t>
  </si>
  <si>
    <t>mahfud/rukmiati</t>
  </si>
  <si>
    <t>plotting</t>
  </si>
  <si>
    <t>M. 463/ Sukaraja</t>
  </si>
  <si>
    <t>sukaraja</t>
  </si>
  <si>
    <t>K/48/171024/1</t>
  </si>
  <si>
    <t>Fahrul Rozi/ Andika Hendri</t>
  </si>
  <si>
    <t>M. 6466/ Way kandis</t>
  </si>
  <si>
    <t>ACC TGL15-10-2024</t>
  </si>
  <si>
    <t>K/49/171024/2</t>
  </si>
  <si>
    <t>Fahrul Rozi/ Harlinda</t>
  </si>
  <si>
    <t>M. 3265/ Gedong Air</t>
  </si>
  <si>
    <t>K/50/171024/3</t>
  </si>
  <si>
    <t>Fahrul Rozi/ I Putu Purwa</t>
  </si>
  <si>
    <t>M. 2502/ Kemiling Permai- B. 248/ Kemiling Permai-dahulu</t>
  </si>
  <si>
    <t>K/51/171024/1</t>
  </si>
  <si>
    <t xml:space="preserve">ABDUL SOMAD/JUANDA </t>
  </si>
  <si>
    <t>082181683841</t>
  </si>
  <si>
    <t>PEMECAHAN</t>
  </si>
  <si>
    <t>M.178/PERWATA</t>
  </si>
  <si>
    <t>PERWATA</t>
  </si>
  <si>
    <t>K/52/171024/1</t>
  </si>
  <si>
    <t xml:space="preserve">SUROTO/CHRISTINA ULINA </t>
  </si>
  <si>
    <t xml:space="preserve">PENGECEKAN </t>
  </si>
  <si>
    <t>M.3877/TANJUNG SENENG</t>
  </si>
  <si>
    <t>ANJUNG SENENG</t>
  </si>
  <si>
    <t>K/53/171024/2</t>
  </si>
  <si>
    <t>RUDI YANTO/CHRISTINA ULINA</t>
  </si>
  <si>
    <t>PENGECEKAN</t>
  </si>
  <si>
    <t xml:space="preserve">M.1183/PERUMNAS WAY KANDIS </t>
  </si>
  <si>
    <t xml:space="preserve">PERUMNAS WAY KANDIS </t>
  </si>
  <si>
    <t>K/54/171024/3</t>
  </si>
  <si>
    <t xml:space="preserve">NGATIMAH/CHRISTINA ULINA </t>
  </si>
  <si>
    <t xml:space="preserve">M.1473/KUPANG TEBA </t>
  </si>
  <si>
    <t xml:space="preserve">KUPANG TEBA </t>
  </si>
  <si>
    <t>K/56/171024/1</t>
  </si>
  <si>
    <t>RIKA WISANGRATRI/ JULIUS BUTAR BUTAR</t>
  </si>
  <si>
    <t>+62 831-6815-4278</t>
  </si>
  <si>
    <t>M. 377/ ENGGAL</t>
  </si>
  <si>
    <t>ENGGAL</t>
  </si>
  <si>
    <t>L/57/181024/1</t>
  </si>
  <si>
    <t>MUJAMIL</t>
  </si>
  <si>
    <t>081272530866</t>
  </si>
  <si>
    <t>M.13833/RAJABASA</t>
  </si>
  <si>
    <t>K/1/181024/1</t>
  </si>
  <si>
    <t>ISMARINA/ NASRULLAH</t>
  </si>
  <si>
    <t>NIBEL 1145/ SUKAMAJU</t>
  </si>
  <si>
    <t>SUKAMAJU</t>
  </si>
  <si>
    <t>K/4/181024/1</t>
  </si>
  <si>
    <t>Vitta N/ Yanni</t>
  </si>
  <si>
    <t>082181337272</t>
  </si>
  <si>
    <t>M. 1401/ K B K SHT 3354/2013 dan 590/2017</t>
  </si>
  <si>
    <t>K/2/181024/2</t>
  </si>
  <si>
    <t>M. 596/ Gunung Terang</t>
  </si>
  <si>
    <t>K/3/181024/3</t>
  </si>
  <si>
    <t>ISMARINA/M VENDY</t>
  </si>
  <si>
    <t>B. 538/ SUKARAME BARU</t>
  </si>
  <si>
    <t>K/5/181024/1</t>
  </si>
  <si>
    <t>Yulian Suhandi/ Leni Ervina</t>
  </si>
  <si>
    <t>081369428366</t>
  </si>
  <si>
    <t>B. 164/ Rawa Laut</t>
  </si>
  <si>
    <t>Rawa Laut</t>
  </si>
  <si>
    <t>K/8/181024/1</t>
  </si>
  <si>
    <t>RAHMADIYANTI/RAIHAN AZHAR</t>
  </si>
  <si>
    <t>M. 227/ Sukarame Baru- sekarang; M. 13036/ Sukarame I- dahulu</t>
  </si>
  <si>
    <t>sukarame Baru</t>
  </si>
  <si>
    <t>K/6/181024/1</t>
  </si>
  <si>
    <t>Afrizal/ Welly H</t>
  </si>
  <si>
    <t>+62 813-6751-6751</t>
  </si>
  <si>
    <t>B. 653; 654/ Pesawahan dan SHT 1213/2008 dan SHT 3013/2006</t>
  </si>
  <si>
    <t>Pesawahan</t>
  </si>
  <si>
    <t>K/9/181024/1</t>
  </si>
  <si>
    <t xml:space="preserve">VERA ANDRIYANI PUTRI/A.ROSWANTAMA </t>
  </si>
  <si>
    <t>M.5070/RAJABASA JAYA</t>
  </si>
  <si>
    <t>K/7/181024/2</t>
  </si>
  <si>
    <t>Afrizal/ Andrew Rusli</t>
  </si>
  <si>
    <t>B. 696/ Peswahan dan SHT 3014/2006</t>
  </si>
  <si>
    <t>Peswahan</t>
  </si>
  <si>
    <t>L/10/181024/1</t>
  </si>
  <si>
    <t>HAPPY JOY PW SIREGAR</t>
  </si>
  <si>
    <t>082176075079</t>
  </si>
  <si>
    <t>SERTIPIKAT HILANG</t>
  </si>
  <si>
    <t>HGB.4629/BERINGIN RAYA</t>
  </si>
  <si>
    <t>K/11/181024/1</t>
  </si>
  <si>
    <t>DRS.M NADJIB RIPHAT/DRA HJ MASDALIZA JN</t>
  </si>
  <si>
    <t>081271839521</t>
  </si>
  <si>
    <t>M.1637/BUMI KEDAMAIAN-SEKARANG;M.13670/KEDAMAIAN-DAHULU</t>
  </si>
  <si>
    <t>K/12/181024/1</t>
  </si>
  <si>
    <t>Ilanur/ Basariyah</t>
  </si>
  <si>
    <t>M. 13899/ Rajabasa</t>
  </si>
  <si>
    <t>L/13/181024/1</t>
  </si>
  <si>
    <t>HGB.1333/JG II</t>
  </si>
  <si>
    <t>K/14/181024/1</t>
  </si>
  <si>
    <t>Intan Avita S/ Heru Sugianto</t>
  </si>
  <si>
    <t>08994048236</t>
  </si>
  <si>
    <t>M. 13267/ Sukabumi</t>
  </si>
  <si>
    <t xml:space="preserve"> Sukabumi</t>
  </si>
  <si>
    <t>K/15/181024/1</t>
  </si>
  <si>
    <t>GEREJA KRISTUS  TELUK BETUNG/NICO HIDAYAT</t>
  </si>
  <si>
    <t>08127915352</t>
  </si>
  <si>
    <t>SKPT PERPANJANGAN</t>
  </si>
  <si>
    <t>B.921/NEGERI OLOK GADING</t>
  </si>
  <si>
    <t>K/16/181024/1</t>
  </si>
  <si>
    <t>nanik maryani/ darwin</t>
  </si>
  <si>
    <t>perubahan hak</t>
  </si>
  <si>
    <t>Nibel 2006/ sumur putri</t>
  </si>
  <si>
    <t>sumur putri</t>
  </si>
  <si>
    <t>Lampirkan fotokopi KTP penerima kuasa (15-10-2024)</t>
  </si>
  <si>
    <t>K/17/181024/2</t>
  </si>
  <si>
    <t>nanik maryani/ nuryani</t>
  </si>
  <si>
    <t>Tanda tangan pembeli berbeda pada KTP, akta, surat kuasa, surat pernyataan</t>
  </si>
  <si>
    <t>ganti kelurahan</t>
  </si>
  <si>
    <t>M. 443/ Sukarame</t>
  </si>
  <si>
    <t>K/18/181024/1</t>
  </si>
  <si>
    <t>PAINO/MULYADI RASYID</t>
  </si>
  <si>
    <t>081379115116</t>
  </si>
  <si>
    <t xml:space="preserve">M.4511/WAY KANDIS </t>
  </si>
  <si>
    <t xml:space="preserve">WAY KANDIS </t>
  </si>
  <si>
    <t>K/19/181024/2</t>
  </si>
  <si>
    <t>M.4510/WAY KANDIS</t>
  </si>
  <si>
    <t>K/20/181024/1</t>
  </si>
  <si>
    <t>Irawati Kurniawan/ Yani Aria</t>
  </si>
  <si>
    <t>085368608866</t>
  </si>
  <si>
    <t>M. 501/ Campang Jaya</t>
  </si>
  <si>
    <t>K/21/181024/1</t>
  </si>
  <si>
    <t>Rafico/ Vonita</t>
  </si>
  <si>
    <t>082282168354</t>
  </si>
  <si>
    <t>B. 616/ Campang Raya</t>
  </si>
  <si>
    <t>Campang Raya</t>
  </si>
  <si>
    <t>K/22/181024/2</t>
  </si>
  <si>
    <t>B. 641/ Campang Raya</t>
  </si>
  <si>
    <t>K/23/181024/1</t>
  </si>
  <si>
    <t>Nurhayati/ Yolanda Regina</t>
  </si>
  <si>
    <t>07218012898</t>
  </si>
  <si>
    <t>M. 224/ Kampung Baru Raya</t>
  </si>
  <si>
    <t>Kampung Baru Raya</t>
  </si>
  <si>
    <t>K/24/181024/1</t>
  </si>
  <si>
    <t xml:space="preserve">novan saputra/ nirwan adi </t>
  </si>
  <si>
    <t>088276780643</t>
  </si>
  <si>
    <t>M. 1371/ Pengajaran</t>
  </si>
  <si>
    <t>Pengajaran</t>
  </si>
  <si>
    <t>K/25/181024/1</t>
  </si>
  <si>
    <t>Angga Yustian/ Daryati</t>
  </si>
  <si>
    <t>081366060045</t>
  </si>
  <si>
    <t>M. 3996/ Rajabasa Jaya</t>
  </si>
  <si>
    <t>K/26/181024/1</t>
  </si>
  <si>
    <t>Desta Pandu W/ Samira K Cs</t>
  </si>
  <si>
    <t>08117971982</t>
  </si>
  <si>
    <t>M. 114/ Tanjung Karang</t>
  </si>
  <si>
    <t>K/27/181024/1</t>
  </si>
  <si>
    <t>Rendy Renaldy/ Arif Basuki</t>
  </si>
  <si>
    <t>+62 895-0895-6656</t>
  </si>
  <si>
    <t>M. 193/ Palapa</t>
  </si>
  <si>
    <t>Palapa</t>
  </si>
  <si>
    <t>K/28/181024/1</t>
  </si>
  <si>
    <t>Novalia Eka P/ Dian Ratna W</t>
  </si>
  <si>
    <t>+62 896-9947-6813</t>
  </si>
  <si>
    <t>M. 690/ Sumur Putri dan SHT 4003/ 2013</t>
  </si>
  <si>
    <t>Sumur Putri</t>
  </si>
  <si>
    <t>K/29/181024/1</t>
  </si>
  <si>
    <t>Kiki Astuti/ Suyanti</t>
  </si>
  <si>
    <t>082311993330</t>
  </si>
  <si>
    <t>Pengukuran Hgb Berakhir</t>
  </si>
  <si>
    <t>B. 02/ Gunung Mas</t>
  </si>
  <si>
    <t>Gunung Mas</t>
  </si>
  <si>
    <t>K/30/181024/1</t>
  </si>
  <si>
    <t>Budi K/ Indrawati</t>
  </si>
  <si>
    <t>085868167367</t>
  </si>
  <si>
    <t>M. 10206/ Segala Mider</t>
  </si>
  <si>
    <t>Segala Mider</t>
  </si>
  <si>
    <t>K/31/181024/2</t>
  </si>
  <si>
    <t>Budi K/ Dedi Rahman</t>
  </si>
  <si>
    <t>M. 1134/ Sukamaju</t>
  </si>
  <si>
    <t>Sukamaju</t>
  </si>
  <si>
    <t>K/32/181024/3</t>
  </si>
  <si>
    <t>Budi K/ sugiyanto</t>
  </si>
  <si>
    <t>M. 2500/ Sumberejo kemiling</t>
  </si>
  <si>
    <t>K/36/131124/1</t>
  </si>
  <si>
    <t>Sumberejo kemiling</t>
  </si>
  <si>
    <t>K/33/181024/1</t>
  </si>
  <si>
    <t>JULIANTO WIBOWO/ANNA PURNAMASARI</t>
  </si>
  <si>
    <t>08117211611</t>
  </si>
  <si>
    <t>M.3314/KOTA KARANG</t>
  </si>
  <si>
    <t>KOTA KARANG</t>
  </si>
  <si>
    <t>K/34/181024/2</t>
  </si>
  <si>
    <t>SUHESTI/ANNA PURNAMASARI</t>
  </si>
  <si>
    <t>M.1552/PESAWAHAN</t>
  </si>
  <si>
    <t>PESAWAHAN</t>
  </si>
  <si>
    <t>K/35/181024/1</t>
  </si>
  <si>
    <t>JUSUFIN/MAYA AYUNINGTIAS</t>
  </si>
  <si>
    <t>0813-6999-9971</t>
  </si>
  <si>
    <t xml:space="preserve">PENINGKATAN </t>
  </si>
  <si>
    <t>B.936/JAGABAYA III-SEKARANG;B.1342/JAGABAYA II-DAHULU</t>
  </si>
  <si>
    <t>JAGABAYA III</t>
  </si>
  <si>
    <t>K/36/181024/1</t>
  </si>
  <si>
    <t>Seruni W/ Nabila F S</t>
  </si>
  <si>
    <t>0895609280120</t>
  </si>
  <si>
    <t>Nibel. M. 379/ Gunung Sulah</t>
  </si>
  <si>
    <t>Gunung Sulah</t>
  </si>
  <si>
    <t>K/37/181024/3</t>
  </si>
  <si>
    <t>I KETUT WARDANA/ANNA PURNAMASARI</t>
  </si>
  <si>
    <t>0811-7211-611</t>
  </si>
  <si>
    <t>M.1593/BUMI KEDAMAIAN-SEKARANG;M.10186/KEDAMAIAN-DAHULU</t>
  </si>
  <si>
    <t>K/38/181024/1</t>
  </si>
  <si>
    <t>Akhmadi Dachlan/ Dian Dwi A</t>
  </si>
  <si>
    <t>M. 370/ Korpri Raya-sekarang; M. 9602/ Sukarame I-dahulu</t>
  </si>
  <si>
    <t>K/40/181024/1</t>
  </si>
  <si>
    <t>Evi Udin/ Endah M</t>
  </si>
  <si>
    <t>082185999559</t>
  </si>
  <si>
    <t>Nibel. M. 816/ Durian Payung</t>
  </si>
  <si>
    <t>K/39/181024/2</t>
  </si>
  <si>
    <t>akhmadi dachlan/ johny efendy</t>
  </si>
  <si>
    <t>M. 37/ KUPANG TEBA</t>
  </si>
  <si>
    <t>KUPANG TEBA</t>
  </si>
  <si>
    <t>K/41/181024/1</t>
  </si>
  <si>
    <t>Lampirkan PJB No.3 tgl. 2-8-2024 (15-10-2024)</t>
  </si>
  <si>
    <t>Reflan Rasyid/ Sefti Maria</t>
  </si>
  <si>
    <t>082178795856</t>
  </si>
  <si>
    <t>M. 1504/ Batu Putuk</t>
  </si>
  <si>
    <t>Kalimat penutup akta agar dilengkapi</t>
  </si>
  <si>
    <t>Lampirkan bukti Bayar BPHTB yang terbaca</t>
  </si>
  <si>
    <t>K/43/181024/1</t>
  </si>
  <si>
    <t>Endang Aprilia/ M Ma'ruf</t>
  </si>
  <si>
    <t>+62 822-8923-5722</t>
  </si>
  <si>
    <t>Nama pembeli pada SP BPHTB M. Ismunadi</t>
  </si>
  <si>
    <t>M. 3058/ Gunung Terang</t>
  </si>
  <si>
    <t>Nama pembeli pada SP keterlambatan pendaftaran yusuf hasyim</t>
  </si>
  <si>
    <t>K/45/181024/1</t>
  </si>
  <si>
    <t>acc</t>
  </si>
  <si>
    <t>SITI KHONNIA/ANDRI NOVIAR</t>
  </si>
  <si>
    <t>0899-6468-550</t>
  </si>
  <si>
    <t>KEWARISAN</t>
  </si>
  <si>
    <t>M.2473/RAJABASA JAYA</t>
  </si>
  <si>
    <t>K/42/181024/2</t>
  </si>
  <si>
    <t>REFLAN RASYID/ M.YUDHA CS</t>
  </si>
  <si>
    <t>M. 1938/ Kupang Kota</t>
  </si>
  <si>
    <t>Kupang Kota</t>
  </si>
  <si>
    <t>K/46/181024/2</t>
  </si>
  <si>
    <t>SRI ELFINA PUJIATI/ANDRI NOVIAR</t>
  </si>
  <si>
    <t>M.598/GUNUNG TERANG</t>
  </si>
  <si>
    <t>K/47/181024/3</t>
  </si>
  <si>
    <t>SRI RAHAYU/ANDRI NOVIAR</t>
  </si>
  <si>
    <t>M.1297/GUNUNG TERANG</t>
  </si>
  <si>
    <t>K/48/181024/4</t>
  </si>
  <si>
    <t>ROBERTUS BUDIONO/ANDRI NOVIAR</t>
  </si>
  <si>
    <t>M.9733/SURABAYA-SEKARANG;B.249/SURABAYA-DAHULU</t>
  </si>
  <si>
    <t>K/44/181024/2</t>
  </si>
  <si>
    <t>Endang Aprilia/ Fani Mutia S</t>
  </si>
  <si>
    <t>Nibel. B. 2430/ Kemiling Permai</t>
  </si>
  <si>
    <t>K/49/181024/4</t>
  </si>
  <si>
    <t>ARLIZA RESYAD/ANNA PURNAMASARI</t>
  </si>
  <si>
    <t>PERALIHAN HAK</t>
  </si>
  <si>
    <t>M.2892/SUKARAME BARU-SEKARANG;B.3671/SUKARAME I-DAHULU</t>
  </si>
  <si>
    <t>SUKAARME</t>
  </si>
  <si>
    <t>L/50/191024/1</t>
  </si>
  <si>
    <t>EVTI APRILIYANI</t>
  </si>
  <si>
    <t>085384338054</t>
  </si>
  <si>
    <t>M.3937/WAY KANDIS</t>
  </si>
  <si>
    <t>L/52/191024/1</t>
  </si>
  <si>
    <t>YULIA</t>
  </si>
  <si>
    <t>08127259592</t>
  </si>
  <si>
    <t>M.9013/GEDONGMENENG</t>
  </si>
  <si>
    <t>GEDONGMENENG</t>
  </si>
  <si>
    <t>L/53/191024/1</t>
  </si>
  <si>
    <t>MUHAMMAD HATTA</t>
  </si>
  <si>
    <t>08127975750</t>
  </si>
  <si>
    <t>CEKPLOT GANTI BLANGKO LAMA</t>
  </si>
  <si>
    <t>M.13681/LABUHAN RATU</t>
  </si>
  <si>
    <t>K/1/211024/1</t>
  </si>
  <si>
    <t>Eko Juni W/ Yuliansyah</t>
  </si>
  <si>
    <t>082175420910</t>
  </si>
  <si>
    <t>B. 1370/ Kemiling Permai; B. 1441/ Su K</t>
  </si>
  <si>
    <t>K/3/211024/1</t>
  </si>
  <si>
    <t>AHMAD SIDIK/MUSA</t>
  </si>
  <si>
    <t>0895326309661</t>
  </si>
  <si>
    <t>B.530/CAMPANG JAYA</t>
  </si>
  <si>
    <t>K/4/211024/1</t>
  </si>
  <si>
    <t>Nanik M/ Ronauli Panjaitan N</t>
  </si>
  <si>
    <t>+62 831-7850-1348</t>
  </si>
  <si>
    <t>B. 327/ Labuhan Ratu</t>
  </si>
  <si>
    <t>K/5/211024/2</t>
  </si>
  <si>
    <t xml:space="preserve"> Labuhan Ratu</t>
  </si>
  <si>
    <t>B. 324/ Labuhan Ratu</t>
  </si>
  <si>
    <t>K/6/211024/3</t>
  </si>
  <si>
    <t>B. 326/ Labuhan Ratu</t>
  </si>
  <si>
    <t>L/7/211024/1</t>
  </si>
  <si>
    <t>ALDINO AHMAD</t>
  </si>
  <si>
    <t>085279172005</t>
  </si>
  <si>
    <t>BALIK NAMA LELANG</t>
  </si>
  <si>
    <t>NIB 08010000029980/WAY GUBAK</t>
  </si>
  <si>
    <t>WAY GUBAK</t>
  </si>
  <si>
    <t>L/8/211024/1</t>
  </si>
  <si>
    <t>ANASTASIA ASTUTI</t>
  </si>
  <si>
    <t>081272031979</t>
  </si>
  <si>
    <t>HM 15995/SUKARAME I</t>
  </si>
  <si>
    <t>L/9/211024/1</t>
  </si>
  <si>
    <t>PETRUS</t>
  </si>
  <si>
    <t>0811797250</t>
  </si>
  <si>
    <t>HM 2993/CAMPANG RAYA-SEKARANG;HGB 2402/CAMPANG RAYA-DAHULU</t>
  </si>
  <si>
    <t>K/10/211024/1</t>
  </si>
  <si>
    <t>Panary S/ Lili Meilani</t>
  </si>
  <si>
    <t>+62 889-2977-399</t>
  </si>
  <si>
    <t>B. 606/ Sumur Putri</t>
  </si>
  <si>
    <t>Panary S/Joseph Edo T</t>
  </si>
  <si>
    <t>B. 763/ Sumur Putri</t>
  </si>
  <si>
    <t>Ginta Monita</t>
  </si>
  <si>
    <t>K/12/211024/3</t>
  </si>
  <si>
    <t>Panary S/ Sugianto</t>
  </si>
  <si>
    <t>Nibel. B. 2432/ N O G</t>
  </si>
  <si>
    <t>K/13/211024/4</t>
  </si>
  <si>
    <t>Panary S/ Lay Herlinawati</t>
  </si>
  <si>
    <t>Nibel. B. 2361/ N O G</t>
  </si>
  <si>
    <t>K/15/211024/1</t>
  </si>
  <si>
    <t>ASMA'I AFRIZAL MUSTAFA/SUPRIYATIN</t>
  </si>
  <si>
    <t>085279460348</t>
  </si>
  <si>
    <t>PBT 162/2024 KEL. LABUHAN DALAM</t>
  </si>
  <si>
    <t>K/14/211024/1</t>
  </si>
  <si>
    <t>Yudeni T/ Wita A</t>
  </si>
  <si>
    <t>+62 856-6464-4484</t>
  </si>
  <si>
    <t>M. 11632/ Sukarame</t>
  </si>
  <si>
    <t>K/16/211024/2</t>
  </si>
  <si>
    <t>Yudeni T/ M Rully A</t>
  </si>
  <si>
    <t>M. 467/ Sumur Putri</t>
  </si>
  <si>
    <t>K/17/211024/1</t>
  </si>
  <si>
    <t>A. Roswantama/ Meiliyana</t>
  </si>
  <si>
    <t>M. 4393/ Gunung Terang</t>
  </si>
  <si>
    <t>K/18/211024/1</t>
  </si>
  <si>
    <t>eka sari taherah/ Riyanto</t>
  </si>
  <si>
    <t>Bn Jual Beli</t>
  </si>
  <si>
    <t>B. 209/ Campang Jaya</t>
  </si>
  <si>
    <t>K/19/211024/2</t>
  </si>
  <si>
    <t>Eka sari taherah/ nova astamin</t>
  </si>
  <si>
    <t>M. 4625/ Sukadana Ham</t>
  </si>
  <si>
    <t>Sukadana Ham</t>
  </si>
  <si>
    <t>K/22/211024/1</t>
  </si>
  <si>
    <t>Ajeng W/ Kuswan</t>
  </si>
  <si>
    <t>081379726397</t>
  </si>
  <si>
    <t>M. 2644/ Sumber Rejo</t>
  </si>
  <si>
    <t>K/20/211024/3</t>
  </si>
  <si>
    <t>eka sari taherah/ firda ningsih</t>
  </si>
  <si>
    <t>M. 2226/ kedaung</t>
  </si>
  <si>
    <t>Kedaung</t>
  </si>
  <si>
    <t>K/21/211024/4</t>
  </si>
  <si>
    <t>Eka Sari Taherah/ Ferri Gunadi</t>
  </si>
  <si>
    <t>M. 2263/ Kedaung</t>
  </si>
  <si>
    <t>L/23/211024/1</t>
  </si>
  <si>
    <t>RIFAI ISRON SALEH</t>
  </si>
  <si>
    <t>082175401376</t>
  </si>
  <si>
    <t>PH</t>
  </si>
  <si>
    <t>HGB 3764/BERINGIN RAYA</t>
  </si>
  <si>
    <t>Nur Hayati/ Ani Liani CS</t>
  </si>
  <si>
    <t>081271262228</t>
  </si>
  <si>
    <t>M. 12665/ Kali Balau Kencana-sekarang; M. 12665/ Tanjung Baru- dahulu</t>
  </si>
  <si>
    <t>Kali Balu Kencana</t>
  </si>
  <si>
    <t>K/25/211024/2</t>
  </si>
  <si>
    <t>Nur Hayati/ Iskandar</t>
  </si>
  <si>
    <t>M. 215/ Beringin Raya</t>
  </si>
  <si>
    <t>L/26/211024/1</t>
  </si>
  <si>
    <t>ETIK YULIANTI</t>
  </si>
  <si>
    <t>0811790025</t>
  </si>
  <si>
    <t>B.97/BILABONG JAYA;B.28/SUSUNAN BARU-DAHULU</t>
  </si>
  <si>
    <t>BILABONG JAYA</t>
  </si>
  <si>
    <t>K/27/211024/1</t>
  </si>
  <si>
    <t>Paimo Saputra/ Waras S</t>
  </si>
  <si>
    <t>082380104665</t>
  </si>
  <si>
    <t>PTPGT (Pemecahan)</t>
  </si>
  <si>
    <t>M. 1717/ Batu Putuk</t>
  </si>
  <si>
    <t>BAtu Putuk</t>
  </si>
  <si>
    <t>L/28/211024/1</t>
  </si>
  <si>
    <t>WARSONO</t>
  </si>
  <si>
    <t>081272239666</t>
  </si>
  <si>
    <t>HM 2414/KUPANG TEBA</t>
  </si>
  <si>
    <t>K/29/211024/1</t>
  </si>
  <si>
    <t>Richard Adi P/ Herfina</t>
  </si>
  <si>
    <t>0852799997821</t>
  </si>
  <si>
    <t>M. 14789/ Sukarame; B. 2781/ Sukarame-dahulu; SHT 2097/2010 dan SHT 1880/2008</t>
  </si>
  <si>
    <t>K/30/211024/2</t>
  </si>
  <si>
    <t>Richar Adi P/ Angga Aldimas</t>
  </si>
  <si>
    <t>M. 2661/ Sukarame Baru</t>
  </si>
  <si>
    <t>K/31/211024/1</t>
  </si>
  <si>
    <t>HERNANTO DWI NUGROHO/TONY AZHARI</t>
  </si>
  <si>
    <t>0823-7375-9878</t>
  </si>
  <si>
    <t>M.658/GUNUNG TERANG</t>
  </si>
  <si>
    <t>K/32/211024/1</t>
  </si>
  <si>
    <t>MUHAMMAD MIRZA /RENALDY PRATAMA SIRYA</t>
  </si>
  <si>
    <t>PLOT</t>
  </si>
  <si>
    <t>M.466/GUBUNG MAS-SEKARANG;M 466/GUNUNG MAS -DAHULU</t>
  </si>
  <si>
    <t>GUNUNG MAS</t>
  </si>
  <si>
    <t>L/33/211024/1</t>
  </si>
  <si>
    <t>NURLELA</t>
  </si>
  <si>
    <t>081279802812</t>
  </si>
  <si>
    <t>HM 180/PINANG JAYA</t>
  </si>
  <si>
    <t>K/34/211024/1</t>
  </si>
  <si>
    <t>agus supriyanti</t>
  </si>
  <si>
    <t>082128965800</t>
  </si>
  <si>
    <t>SKPT Lelang</t>
  </si>
  <si>
    <t>M. 1594/ langkapura</t>
  </si>
  <si>
    <t>langkapura</t>
  </si>
  <si>
    <t>K/35/211024/2</t>
  </si>
  <si>
    <t>AGUS SUPRIYANTO</t>
  </si>
  <si>
    <t>M.181/ Bumi Kedamaian</t>
  </si>
  <si>
    <t>Bumi Kedamaian</t>
  </si>
  <si>
    <t>K/36/211024/3</t>
  </si>
  <si>
    <t>Agus Supriyanto</t>
  </si>
  <si>
    <t>M. 977/ Tanjung Gading</t>
  </si>
  <si>
    <t>Tanjung Gading</t>
  </si>
  <si>
    <t>K/38/211024/1</t>
  </si>
  <si>
    <t>BPJN LAMPUNG/WAHYUDIN</t>
  </si>
  <si>
    <t>PERMOHONAN SK</t>
  </si>
  <si>
    <t xml:space="preserve">PBT 26/2024 KEL. WAY LAGA </t>
  </si>
  <si>
    <t>K/25/011124/2</t>
  </si>
  <si>
    <t>K/37/211024/1</t>
  </si>
  <si>
    <t>David Handoko/ Ermina</t>
  </si>
  <si>
    <t>+62 895-1511-3169</t>
  </si>
  <si>
    <t>PTPGT (Hgb Berakhir)</t>
  </si>
  <si>
    <t>B. 354/ Kangkung; PBT. 98/2024</t>
  </si>
  <si>
    <t>Kangkung</t>
  </si>
  <si>
    <t>L/40/211024/1</t>
  </si>
  <si>
    <t>RIZKY PRIMASARI AMALIA</t>
  </si>
  <si>
    <t>081392009494</t>
  </si>
  <si>
    <t>HM 101/KEMILING RAYA</t>
  </si>
  <si>
    <t>K/39/211024/2</t>
  </si>
  <si>
    <t xml:space="preserve">BPJN LAMPUNG/WAHYUDIN </t>
  </si>
  <si>
    <t>PBT 27/2024 KEL. WAY GUBAK</t>
  </si>
  <si>
    <t>K/41/211024/1</t>
  </si>
  <si>
    <t>TAMAULI SITOHANG/SAHAT VAULIAN</t>
  </si>
  <si>
    <t>082186748468</t>
  </si>
  <si>
    <t>B.569/NUSANTARA PERMAI-SEKARANG;B.336/CAMPANG RAYA-DAHULU</t>
  </si>
  <si>
    <t>K/44/211024/1</t>
  </si>
  <si>
    <t>nuryati/ Ridho Saputra</t>
  </si>
  <si>
    <t>08151674299</t>
  </si>
  <si>
    <t>M. 19255/ Sukarame</t>
  </si>
  <si>
    <t>K/45/211024/1</t>
  </si>
  <si>
    <t>Ayi Ruhiat/ Mas Panji S</t>
  </si>
  <si>
    <t>082141770001</t>
  </si>
  <si>
    <t>M. 2245/ Sukarame Baru; B. 4947/Sukarame-dahulu</t>
  </si>
  <si>
    <t>K/46/211024/2</t>
  </si>
  <si>
    <t>Ayi Ruhiat/ M. Fauzi K</t>
  </si>
  <si>
    <t>B. 1717/ Jagabaya II; SHT 5850/2013 dan SHT 763/2015</t>
  </si>
  <si>
    <t>Jagabaya III</t>
  </si>
  <si>
    <t>K/47/211024/1</t>
  </si>
  <si>
    <t>RADEN MUHAMAD ILYAS/ARIE MAULUDI</t>
  </si>
  <si>
    <t>081279407900</t>
  </si>
  <si>
    <t>M.2704/SUKARAME BARU-SEKARANG;B.986/SUKARAME -DAHULU</t>
  </si>
  <si>
    <t>K/48/211024/1</t>
  </si>
  <si>
    <t>Reflan Rasyid/ Ari Pran</t>
  </si>
  <si>
    <t>082282626966</t>
  </si>
  <si>
    <t>M. 240/ Kemiling Permai</t>
  </si>
  <si>
    <t>L/49/211024/1</t>
  </si>
  <si>
    <t>NETTI FITRIA</t>
  </si>
  <si>
    <t>082185969191</t>
  </si>
  <si>
    <t>NIB 0801000019330/NOG</t>
  </si>
  <si>
    <t>K/50/211024/1</t>
  </si>
  <si>
    <t>Budi K/ Debora A T</t>
  </si>
  <si>
    <t>+62 858-6816-7367</t>
  </si>
  <si>
    <t>M. 13651/ Labuhan Ratu; SHT 2739/2019</t>
  </si>
  <si>
    <t>K/51/211024/2</t>
  </si>
  <si>
    <t>Budi K/ Andri Adi</t>
  </si>
  <si>
    <t>M. 923/ Gunung Sulah</t>
  </si>
  <si>
    <t>K/52/211024/1</t>
  </si>
  <si>
    <t>Rendy Renaldy/ / Marya Laila</t>
  </si>
  <si>
    <t>M. 1885/ Sumberejo/ Kemiling</t>
  </si>
  <si>
    <t>K/53/211024/1</t>
  </si>
  <si>
    <t>Rendy Renaldy/ Hairiwi U</t>
  </si>
  <si>
    <t>M. 666/ Beringin Jaya</t>
  </si>
  <si>
    <t>0896-1840-1409</t>
  </si>
  <si>
    <t>K/54/211024/1</t>
  </si>
  <si>
    <t>Rendy Renaldy/ Bani Fitriansyah</t>
  </si>
  <si>
    <t>B. 578/ Negeri Olok Gading</t>
  </si>
  <si>
    <t>K/1/221024/1</t>
  </si>
  <si>
    <t>EVA SURIANI</t>
  </si>
  <si>
    <t>M. 2232/ KUPANG TEBA</t>
  </si>
  <si>
    <t>K/2/221024/2</t>
  </si>
  <si>
    <t>A roswantama/ Rudy</t>
  </si>
  <si>
    <t>M. 1556/ Bumi Waras</t>
  </si>
  <si>
    <t>K/3/221024/1c</t>
  </si>
  <si>
    <t>PADIMIN/ CITRA AYU WARDANI</t>
  </si>
  <si>
    <t>0852-6682-2866</t>
  </si>
  <si>
    <t>M.1260/SUKAJAWA</t>
  </si>
  <si>
    <t>SUKAJAWA</t>
  </si>
  <si>
    <t>L/4/221024/1</t>
  </si>
  <si>
    <t>DINA JULIANA/CS</t>
  </si>
  <si>
    <t>083136396614</t>
  </si>
  <si>
    <t>HM 3875/LANGKAPURA</t>
  </si>
  <si>
    <t>K/5/221024/1</t>
  </si>
  <si>
    <t>Dodi Setiawan/ Sriwati</t>
  </si>
  <si>
    <t>082180486700</t>
  </si>
  <si>
    <t>B. 308/ Pematang Wangi; B. 964/ Tanjung Senang</t>
  </si>
  <si>
    <t>L/6/221024/1</t>
  </si>
  <si>
    <t>DRISNAF SWASTYARDI</t>
  </si>
  <si>
    <t>081341521961</t>
  </si>
  <si>
    <t>SHGB.262/KAMPUNG BARU DAN SHGB.258/KAMPUNG BARU</t>
  </si>
  <si>
    <t>KAMPUNG BARU</t>
  </si>
  <si>
    <t>K/7/221024/1</t>
  </si>
  <si>
    <t>Feryana/ M. Nasir</t>
  </si>
  <si>
    <t>082182675496</t>
  </si>
  <si>
    <t>M. 2222/ Way Kandis; SHT 1348/ 2018</t>
  </si>
  <si>
    <t>L/8/221024/1</t>
  </si>
  <si>
    <t>TAUFIK</t>
  </si>
  <si>
    <t>08127255358</t>
  </si>
  <si>
    <t>HGB 143/KAMPUNG BARU</t>
  </si>
  <si>
    <t>K/9/221024/1</t>
  </si>
  <si>
    <t>HELMA DEVIANTI/KRISTIA AGUSTINA</t>
  </si>
  <si>
    <t>085269215040</t>
  </si>
  <si>
    <t>M.26/LANGKAPURA BARU-SEKARANG;B.113/LANGKAPURA-DAHULU</t>
  </si>
  <si>
    <t>K/10/221024/1</t>
  </si>
  <si>
    <t>EMILIA AGUSTINI/LAKSAMANA SAMUDRA MAHARDIKA</t>
  </si>
  <si>
    <t>081997964858</t>
  </si>
  <si>
    <t>M.13711/RAJABASA</t>
  </si>
  <si>
    <t>K/13/221024/1</t>
  </si>
  <si>
    <t>Nanik Maryani/ Nikki F &amp; Indi</t>
  </si>
  <si>
    <t>Nibel. M. 1167/ Tanjung Gading</t>
  </si>
  <si>
    <t>L/12/221024/1</t>
  </si>
  <si>
    <t>INDRA KURNIAWAN</t>
  </si>
  <si>
    <t>081369773888</t>
  </si>
  <si>
    <t>HM 769/WHP</t>
  </si>
  <si>
    <t>WAY HALIM PERMAI</t>
  </si>
  <si>
    <t>L/11/221024/1</t>
  </si>
  <si>
    <t>SIGID APRIADI</t>
  </si>
  <si>
    <t>08127243640</t>
  </si>
  <si>
    <t>M.12607/RAJABASA;B.1164/RAJABASA-DAHULU</t>
  </si>
  <si>
    <t>K/15/221024/1</t>
  </si>
  <si>
    <t>zul april/ yayan</t>
  </si>
  <si>
    <t>+62 821-7511-1121</t>
  </si>
  <si>
    <t>Pengecekkan</t>
  </si>
  <si>
    <t>M. 1415/ Labuhan Dalam</t>
  </si>
  <si>
    <t>Labuhan Dalam</t>
  </si>
  <si>
    <t>K/16/221024/2</t>
  </si>
  <si>
    <t>Zul April/ Penny W</t>
  </si>
  <si>
    <t>M. 48/ Kedaton</t>
  </si>
  <si>
    <t xml:space="preserve"> Kedaton</t>
  </si>
  <si>
    <t>K/14/221024/2</t>
  </si>
  <si>
    <t>Nanik Maryani/ Hilda S Cs</t>
  </si>
  <si>
    <t>M. 3903/ Way Kandis</t>
  </si>
  <si>
    <t>K/17/221024/3</t>
  </si>
  <si>
    <t>Zul april/ Enjah CS</t>
  </si>
  <si>
    <t>M. 8998/ Surabaya</t>
  </si>
  <si>
    <t>Surabaya</t>
  </si>
  <si>
    <t>K/18/221024/4</t>
  </si>
  <si>
    <t>Zul April/ Enjah</t>
  </si>
  <si>
    <t>M. 5809/ Surabaya</t>
  </si>
  <si>
    <t>K/19/221024/5</t>
  </si>
  <si>
    <t>M. 9899/ Surabaya</t>
  </si>
  <si>
    <t>K/20/221024/6</t>
  </si>
  <si>
    <t>M. 8940/ Surabaya</t>
  </si>
  <si>
    <t>K/21/221024/7</t>
  </si>
  <si>
    <t>Zul APril/ Enjah</t>
  </si>
  <si>
    <t>M. 9894/ Surabaya</t>
  </si>
  <si>
    <t>K/22/221024/1</t>
  </si>
  <si>
    <t>MARCUS/WHINDA YULIANTI</t>
  </si>
  <si>
    <t>0812-5557-2168</t>
  </si>
  <si>
    <t>NIBEL M.2999/BUMI KEDAMAIAN</t>
  </si>
  <si>
    <t>K/23/221024/8</t>
  </si>
  <si>
    <t>Zul April/ Siswanto CS</t>
  </si>
  <si>
    <t>M. 560/ Korpri Raya - sekarang; M. 9773/ Sukarame I-Dahulu</t>
  </si>
  <si>
    <t>K/24/221024/3</t>
  </si>
  <si>
    <t>Nanik Maryani/ Ronauli P</t>
  </si>
  <si>
    <t>B. 314/ Labuhan Ratu</t>
  </si>
  <si>
    <t>K/25/221024/4</t>
  </si>
  <si>
    <t>B. 330/ Labuhan Ratu</t>
  </si>
  <si>
    <t>K/26/221024/5</t>
  </si>
  <si>
    <t>B. 325/ Labuhan Ratu</t>
  </si>
  <si>
    <t>K/28/221024/1</t>
  </si>
  <si>
    <t>Herlina Ratna SN/ Yudha O</t>
  </si>
  <si>
    <t>081369070444</t>
  </si>
  <si>
    <t>B. 1206/ Kemiling Permai</t>
  </si>
  <si>
    <t>K/27/221024/1</t>
  </si>
  <si>
    <t xml:space="preserve">SURYATI/WAYAN RASTA </t>
  </si>
  <si>
    <t>082282013347</t>
  </si>
  <si>
    <t>M.1252/LANGKAPURA BARU</t>
  </si>
  <si>
    <t>K/29/221024/1</t>
  </si>
  <si>
    <t>SUNARMI/AMARULLAH</t>
  </si>
  <si>
    <t>0812-7906-5959</t>
  </si>
  <si>
    <t>M.1636/SUMBEREJO/KEMILING</t>
  </si>
  <si>
    <t>SUMBEREJO/KEMILING</t>
  </si>
  <si>
    <t>K/30/221024/2</t>
  </si>
  <si>
    <t>EMI KASMINI/AMARULLAH</t>
  </si>
  <si>
    <t>M.1898/BUMI WARAS</t>
  </si>
  <si>
    <t>K/32/221024/1</t>
  </si>
  <si>
    <t>Imelda Pasaribu/ Rotua P</t>
  </si>
  <si>
    <t>+62 812-7933-577</t>
  </si>
  <si>
    <t>Nibel. B. 2386/ P W K</t>
  </si>
  <si>
    <t>K/31/221024/3</t>
  </si>
  <si>
    <t>HERMASNYAH/AMARULLAH</t>
  </si>
  <si>
    <t>M.1459/KEMILING PERMAI</t>
  </si>
  <si>
    <t>K/33/221024/1</t>
  </si>
  <si>
    <t>Evi Udin/ Seftiana</t>
  </si>
  <si>
    <t>+62 821-8499-9559</t>
  </si>
  <si>
    <t>M. 2679/ Kota Baru</t>
  </si>
  <si>
    <t>ktp susy marduli</t>
  </si>
  <si>
    <t>K/34/221024/1</t>
  </si>
  <si>
    <t>RIVA YOHANA/NOVALIA EKA PUTRI</t>
  </si>
  <si>
    <t>089699476813</t>
  </si>
  <si>
    <t>PKKPR</t>
  </si>
  <si>
    <t xml:space="preserve">M.2138/NEGERI OLOK GADING </t>
  </si>
  <si>
    <t xml:space="preserve">NEGERI OLOK GADING </t>
  </si>
  <si>
    <t>K/35/221024/1</t>
  </si>
  <si>
    <t>Afrikianza Arla/ Suntoro</t>
  </si>
  <si>
    <t>089524950982</t>
  </si>
  <si>
    <t>PTPGT Pemecahan</t>
  </si>
  <si>
    <t>M. 10040/ Segala Mider</t>
  </si>
  <si>
    <t xml:space="preserve"> Segala Mider</t>
  </si>
  <si>
    <t>K/36/221024/1</t>
  </si>
  <si>
    <t>Endang Aprilia/ Fitri R S</t>
  </si>
  <si>
    <t>M. 1399/ Beringin Jaya; M. 2912 Beringin Raya-dahulu; B. 2928/ Berringin Raya-dahulu</t>
  </si>
  <si>
    <t>K/38/221024/2</t>
  </si>
  <si>
    <t>Endang Aprilia/ Erwin S Cs</t>
  </si>
  <si>
    <t>M. 2050/ L R R; M. 11134/ Labuhan Ratu-dahulu</t>
  </si>
  <si>
    <t>Labuhan Ratu Raya</t>
  </si>
  <si>
    <t>K/37/221024/1</t>
  </si>
  <si>
    <t>Yudeni Thoha/ Fitta Anggairi</t>
  </si>
  <si>
    <t>085664644484</t>
  </si>
  <si>
    <t>M. 14029/ Tanjung Baru</t>
  </si>
  <si>
    <t>K/42/221024/4</t>
  </si>
  <si>
    <t>Panary S/ Indra K</t>
  </si>
  <si>
    <t>088929773999</t>
  </si>
  <si>
    <t>M. 5090/ Way Kandis</t>
  </si>
  <si>
    <t>K/41/221024/3</t>
  </si>
  <si>
    <t>Panary S/ Arif K</t>
  </si>
  <si>
    <t>M. 1069/ Rajabasa Pemuka</t>
  </si>
  <si>
    <t>Rajabasa Pemuka</t>
  </si>
  <si>
    <t>K/40/221024/2</t>
  </si>
  <si>
    <t>Panary S/ Azhari</t>
  </si>
  <si>
    <t>M. 2152/ Sepang Jaya</t>
  </si>
  <si>
    <t>K/39/221024/1</t>
  </si>
  <si>
    <t>Panary S/ Amirhan</t>
  </si>
  <si>
    <t>M. 6475/ Way Kandis</t>
  </si>
  <si>
    <t>K/43/221024/1</t>
  </si>
  <si>
    <t>Adnan/ Wasilawati</t>
  </si>
  <si>
    <t>085269824476</t>
  </si>
  <si>
    <t>M. 5455/ Tanjung Seneng</t>
  </si>
  <si>
    <t>Tanjung Seneng</t>
  </si>
  <si>
    <t>K/44/221024/2</t>
  </si>
  <si>
    <t>Adnan/ Lieta Devi</t>
  </si>
  <si>
    <t>M. 2956/ Sukarame Baru- sekarang; M. 16805/ Sukarame I</t>
  </si>
  <si>
    <t>K/45/221024/1</t>
  </si>
  <si>
    <t>Nur Hayati/Rubiyanto</t>
  </si>
  <si>
    <t>M. 543/ Sumur Putri</t>
  </si>
  <si>
    <t>K/46/221024/1</t>
  </si>
  <si>
    <t>Ria Natalya/ Cahyan</t>
  </si>
  <si>
    <t>089634287894</t>
  </si>
  <si>
    <t>M. 12400/ Kedaton</t>
  </si>
  <si>
    <t>Kedaton</t>
  </si>
  <si>
    <t>K/47/221024/1</t>
  </si>
  <si>
    <t>Hariyo Widodo/ Edy Nefo</t>
  </si>
  <si>
    <t>+62 822-7944-1318</t>
  </si>
  <si>
    <t>M. 417/ Nusantara Permai</t>
  </si>
  <si>
    <t>Nusantara Permai</t>
  </si>
  <si>
    <t>K/49/221024/1</t>
  </si>
  <si>
    <t>Hera Agustianti/ Seto Irawan</t>
  </si>
  <si>
    <t>081365483482</t>
  </si>
  <si>
    <t>M. 351/ Sumber Rejo</t>
  </si>
  <si>
    <t>Nedi Heryandi/ Yulia Eka</t>
  </si>
  <si>
    <t>B. 176/ Labuhan Ratu Raya</t>
  </si>
  <si>
    <t>K/50/221024/1</t>
  </si>
  <si>
    <t>Budi K/ Sukandar</t>
  </si>
  <si>
    <t>M. 1410/ Bumi Waras</t>
  </si>
  <si>
    <t>bumi raya</t>
  </si>
  <si>
    <t>K/48/221024/1</t>
  </si>
  <si>
    <t>TERESIA OLIVIA OENNUS/MAYA AYUNINGTIAS</t>
  </si>
  <si>
    <t>B.578/KEMILING PERMAI</t>
  </si>
  <si>
    <t>L/54/221024/1</t>
  </si>
  <si>
    <t>RAHADIAN</t>
  </si>
  <si>
    <t>0811456895</t>
  </si>
  <si>
    <t>HM 2260/NOG</t>
  </si>
  <si>
    <t>K/51/221024/1</t>
  </si>
  <si>
    <t>Mahfud/ Tritis</t>
  </si>
  <si>
    <t>M. 1358/ Sukajawa</t>
  </si>
  <si>
    <t>Sukajawa</t>
  </si>
  <si>
    <t>K/55/221024/1</t>
  </si>
  <si>
    <t>TATO NIKO/RENALDI PRATAMA SIRYA</t>
  </si>
  <si>
    <t>M.671/ENGGAL</t>
  </si>
  <si>
    <t>K/57/221024/1</t>
  </si>
  <si>
    <t>Budi K/ Darmin</t>
  </si>
  <si>
    <t>0721263769</t>
  </si>
  <si>
    <t>M. 1470/ Sukamaju</t>
  </si>
  <si>
    <t>K/52/221024/2</t>
  </si>
  <si>
    <t>Mahfud/ Putri A</t>
  </si>
  <si>
    <t>+62 857-0913-9403</t>
  </si>
  <si>
    <t>M. 1991/ L R R</t>
  </si>
  <si>
    <t>K/53/221024/3</t>
  </si>
  <si>
    <t>M. 1992/ L R R</t>
  </si>
  <si>
    <t>K/58/221024/2</t>
  </si>
  <si>
    <t>M. 1469/ Sukamaju</t>
  </si>
  <si>
    <t>K/56/221024/2</t>
  </si>
  <si>
    <t>NURHUDA ATIJA CS/RENALDI PRATAMA SIRYA</t>
  </si>
  <si>
    <t>M.1107/PEMATANG WANGI-SEKARANG;M.792/TANJUNG SENENG-DAHULU</t>
  </si>
  <si>
    <t>K/59/221024/1</t>
  </si>
  <si>
    <t>TITI DWI KORANTI CS/DEWI SUKMASARI</t>
  </si>
  <si>
    <t>0821-8694-9749</t>
  </si>
  <si>
    <t>M.118/GEDUNG MENENG BARU-SEKARANG;M.9441/GEDUNG MENENG-DAHULU</t>
  </si>
  <si>
    <t>GEDUNG MENENG BARU</t>
  </si>
  <si>
    <t>M Arief S/Akhmad Ridho</t>
  </si>
  <si>
    <t>M. 2418/ Kedaung</t>
  </si>
  <si>
    <t xml:space="preserve">Alamat di PBB dan IMB berbeda </t>
  </si>
  <si>
    <t>K/61/221024/1</t>
  </si>
  <si>
    <t>Andrianto/ Tjen Ona K</t>
  </si>
  <si>
    <t>+62 813-7389-3119</t>
  </si>
  <si>
    <t>Nibel. M. 1018/ Tanjung Baru</t>
  </si>
  <si>
    <t>IMB nya ruko?</t>
  </si>
  <si>
    <t>K/64/221024/1</t>
  </si>
  <si>
    <t>M Arief S/ Indari</t>
  </si>
  <si>
    <t>M. 16736/ Sukabumi</t>
  </si>
  <si>
    <t>K/62/221024/2</t>
  </si>
  <si>
    <t>Andrianto/ Eka Wijaya</t>
  </si>
  <si>
    <t>M. 1603/ Bumi Kedamaian</t>
  </si>
  <si>
    <t>K/65/221024/2</t>
  </si>
  <si>
    <t>M Arief S / Prasojo</t>
  </si>
  <si>
    <t>M. 16640/ Sukabumi</t>
  </si>
  <si>
    <t>K/63/221024/3</t>
  </si>
  <si>
    <t>Andrianto/ Wiwik A</t>
  </si>
  <si>
    <t>M. 1601/ Bumi Kedamaian</t>
  </si>
  <si>
    <t>K/60/221024/2</t>
  </si>
  <si>
    <t>LUNA KARINA/ANDRI YULIAN</t>
  </si>
  <si>
    <t>HIBAH</t>
  </si>
  <si>
    <t>NIBEL M 859/NUSANTARA PERMAI</t>
  </si>
  <si>
    <t>K/1/231024/1</t>
  </si>
  <si>
    <t>Moh Reza/ M. Lanando Azhari</t>
  </si>
  <si>
    <t>082180710101</t>
  </si>
  <si>
    <t>M. 2889/ Sukarame Baru- sekarang; M. 16509/ Sukarame-dahulu</t>
  </si>
  <si>
    <t>K/2/231024/2</t>
  </si>
  <si>
    <t>Moh Reza/ M Lanando</t>
  </si>
  <si>
    <t>ACC TGL 22 OKT 24</t>
  </si>
  <si>
    <t>M. 2888/ Sukarame Baru- sekarang; M. 17475/ Sukarame I</t>
  </si>
  <si>
    <t>K/3/231024/1</t>
  </si>
  <si>
    <t>Anna P/ Imam Firdaus</t>
  </si>
  <si>
    <t>082279126650</t>
  </si>
  <si>
    <t>M. 1186/ Teluk betung</t>
  </si>
  <si>
    <t>Teluk betung</t>
  </si>
  <si>
    <t>K/4/231024/2</t>
  </si>
  <si>
    <t>Anna Purnamasari/ Winarti</t>
  </si>
  <si>
    <t>M. 1238/ Sukamaju</t>
  </si>
  <si>
    <t xml:space="preserve"> Sukamaju</t>
  </si>
  <si>
    <t>K/5/231024/1</t>
  </si>
  <si>
    <t>Bambang Abiyono/ Nurhayati</t>
  </si>
  <si>
    <t>M. 1046/ Kupang Teba</t>
  </si>
  <si>
    <t>Kupang Tteba</t>
  </si>
  <si>
    <t xml:space="preserve">Eka Sari T/ Desi Arita	</t>
  </si>
  <si>
    <t>085213163644</t>
  </si>
  <si>
    <t xml:space="preserve"> Pinang Jaya</t>
  </si>
  <si>
    <t>K/6/231024/1</t>
  </si>
  <si>
    <t>Sukijo B S/ Jumangin</t>
  </si>
  <si>
    <t>0895616082379</t>
  </si>
  <si>
    <t>M. 149/ Bakung</t>
  </si>
  <si>
    <t>Bakung</t>
  </si>
  <si>
    <t>L/7/231024/1</t>
  </si>
  <si>
    <t>SATRIA DINATA CS</t>
  </si>
  <si>
    <t>081329247775</t>
  </si>
  <si>
    <t>ROYA WARIS</t>
  </si>
  <si>
    <t>M.1326/KOTA BARU</t>
  </si>
  <si>
    <t>KOTA BARU</t>
  </si>
  <si>
    <t>K/8/231024/1</t>
  </si>
  <si>
    <t>Rahmadiyanti/ Muswardi</t>
  </si>
  <si>
    <t>M. 547/ Sukajawa</t>
  </si>
  <si>
    <t>Sukajawa Baru</t>
  </si>
  <si>
    <t>K/9/231024/2</t>
  </si>
  <si>
    <t>Rahmadiyanti/ Fredy</t>
  </si>
  <si>
    <t>M. 1636/ Bumi Kedamaian- Sekarang; M. 7926/ Kedamaian- dahulu</t>
  </si>
  <si>
    <t>K/10/231024/3</t>
  </si>
  <si>
    <t>Rahmadiyanti/ cindra viktor</t>
  </si>
  <si>
    <t>M. 10670/ Kedaton</t>
  </si>
  <si>
    <t>kedaton</t>
  </si>
  <si>
    <t>K/12/231024/1</t>
  </si>
  <si>
    <t>Agustina S/  Hamim P</t>
  </si>
  <si>
    <t>+62 822-5081-6900</t>
  </si>
  <si>
    <t>M. 10719/ Segala Mider</t>
  </si>
  <si>
    <t>K/11/231024/4</t>
  </si>
  <si>
    <t>Rahmadiyanti/ Rizal Chaniago</t>
  </si>
  <si>
    <t>M. 395/ Kebon Jeruk</t>
  </si>
  <si>
    <t>kebon jeruk</t>
  </si>
  <si>
    <t>K/13/231024/1</t>
  </si>
  <si>
    <t>Maryanti K/ Sri Rahayu</t>
  </si>
  <si>
    <t>B. 645/ Jagabaya III; 4216/Sukarame-dahulu</t>
  </si>
  <si>
    <t>L/14/231024/1</t>
  </si>
  <si>
    <t>SAMANAN</t>
  </si>
  <si>
    <t>08127945974</t>
  </si>
  <si>
    <t>HM 14460/SUKABUMI</t>
  </si>
  <si>
    <t xml:space="preserve">	Roya</t>
  </si>
  <si>
    <t>K/15/231024/1</t>
  </si>
  <si>
    <t>Reflan R/ Winny W</t>
  </si>
  <si>
    <t>M. 8119/ Sukabumi</t>
  </si>
  <si>
    <t>L/16/231024/1</t>
  </si>
  <si>
    <t>EDI SUYANTO</t>
  </si>
  <si>
    <t>082177373779</t>
  </si>
  <si>
    <t>M.3338/SUKADANA HAM</t>
  </si>
  <si>
    <t>L/17/231024/2</t>
  </si>
  <si>
    <t>Renvoi pekerjaan Henny Dewi (belum direnvoi)</t>
  </si>
  <si>
    <t>M.3337/SUKADANA HAM</t>
  </si>
  <si>
    <t>K/18/231024/1</t>
  </si>
  <si>
    <t>Aditya/ Henny</t>
  </si>
  <si>
    <t>082179705566</t>
  </si>
  <si>
    <t>BN Lelang</t>
  </si>
  <si>
    <t>Nibel 3407/ Jagabaya II</t>
  </si>
  <si>
    <t>Jagabaya II</t>
  </si>
  <si>
    <t>L/19/231024/1</t>
  </si>
  <si>
    <t>SHOLEH</t>
  </si>
  <si>
    <t>08127251105</t>
  </si>
  <si>
    <t>HM 409/KBK</t>
  </si>
  <si>
    <t>K/20/231024/1</t>
  </si>
  <si>
    <t>NURHIKMAH IMANI/ANDRY YULIAN</t>
  </si>
  <si>
    <t>NIBEL M.2396/KORPRI RAYA</t>
  </si>
  <si>
    <t>K/22/231024/1</t>
  </si>
  <si>
    <t>Nanik M/ Findalia</t>
  </si>
  <si>
    <t>M. 6306/ Way Kandis</t>
  </si>
  <si>
    <t>K/21/231024/1</t>
  </si>
  <si>
    <t>Panary Sitopu/ Sherly Sagita E</t>
  </si>
  <si>
    <t>Nibel. B. 2499/ Sumur Putri</t>
  </si>
  <si>
    <t>K/23/231024/2</t>
  </si>
  <si>
    <t>Panary Sitopu/  PT Sukses Cipta G L</t>
  </si>
  <si>
    <t>B. 922/ Campang Raya</t>
  </si>
  <si>
    <t>K/24/231024/1</t>
  </si>
  <si>
    <t>EKA PUTRI PALAM SILABAN/BUDI KRISTIYANTO</t>
  </si>
  <si>
    <t>M.2226/SUKARAME BARU</t>
  </si>
  <si>
    <t>K/25/231024/2</t>
  </si>
  <si>
    <t>M.2225/SUKARAME BARU</t>
  </si>
  <si>
    <t>K/26/231024/2</t>
  </si>
  <si>
    <t>Nanik Maryani/ Imas</t>
  </si>
  <si>
    <t>082250816900</t>
  </si>
  <si>
    <t>Nibel 2486/ Sumur Putri</t>
  </si>
  <si>
    <t>K/27/231024/3</t>
  </si>
  <si>
    <t>Nanik Maryani/ tasmiyati</t>
  </si>
  <si>
    <t>M. 9026/ Labuhan Ratu</t>
  </si>
  <si>
    <t>K/28/231024/1</t>
  </si>
  <si>
    <t>Marissa valina/ Heliana Sihotang</t>
  </si>
  <si>
    <t>081360001109</t>
  </si>
  <si>
    <t>M. 2446/ Way Kandis</t>
  </si>
  <si>
    <t>K/30/231024/1</t>
  </si>
  <si>
    <t>M FARREL F P/TRIADI KURNIAWAN</t>
  </si>
  <si>
    <t>082177159938</t>
  </si>
  <si>
    <t>NIBEL M.661/BILABONG JAYA</t>
  </si>
  <si>
    <t>Abdul Gani/ Suhari Yanti</t>
  </si>
  <si>
    <t>M. 534/ Sumberejo Sejahtera</t>
  </si>
  <si>
    <t>Sumberejo Sejahtera</t>
  </si>
  <si>
    <t>K/31/231024/1</t>
  </si>
  <si>
    <t>Ida Farida/ Hayula Mega</t>
  </si>
  <si>
    <t>+62 853-7895-0941</t>
  </si>
  <si>
    <t>Nibel.2638/ Sumberejo/Kemiling</t>
  </si>
  <si>
    <t>L/32/231024/1</t>
  </si>
  <si>
    <t>BUDIYANTO</t>
  </si>
  <si>
    <t>082175321555</t>
  </si>
  <si>
    <t>B.1072/CAMPANG JAYA</t>
  </si>
  <si>
    <t xml:space="preserve">Ilanur/ Doni Kris M	</t>
  </si>
  <si>
    <t>+62 897-9122-178</t>
  </si>
  <si>
    <t xml:space="preserve">M. 1931/ Campang Jaya	</t>
  </si>
  <si>
    <t xml:space="preserve">Campang Jaya	</t>
  </si>
  <si>
    <t>K/33/231024/1</t>
  </si>
  <si>
    <t>Budi K/ Nurmaitun</t>
  </si>
  <si>
    <t>M. 1666/ Way Halim Permai; SHT 1552/2016</t>
  </si>
  <si>
    <t>Way Halim Permai</t>
  </si>
  <si>
    <t>K/34/231024/2</t>
  </si>
  <si>
    <t>Budi K/ Kusnadi</t>
  </si>
  <si>
    <t>M. 19/ L R R</t>
  </si>
  <si>
    <t>K/35/231024/3</t>
  </si>
  <si>
    <t>Budi K/ Endriyani</t>
  </si>
  <si>
    <t>M. 113/ Rajabasa Pemuka</t>
  </si>
  <si>
    <t>K/36/231024/4</t>
  </si>
  <si>
    <t>M. 112/ Rajabasa Pemuka</t>
  </si>
  <si>
    <t>L/37/231024/1</t>
  </si>
  <si>
    <t>SITTI SUBAIDAH</t>
  </si>
  <si>
    <t>0875958885</t>
  </si>
  <si>
    <t>HM 1642/KOTA KARANG</t>
  </si>
  <si>
    <t>K/38/231024/1</t>
  </si>
  <si>
    <t>Ismarina/ Siti fajar</t>
  </si>
  <si>
    <t>Nibel 2815/  Kemiling raya</t>
  </si>
  <si>
    <t>kemiling raya</t>
  </si>
  <si>
    <t>K/39/231024/1</t>
  </si>
  <si>
    <t>Evi Yuriyanti/ Sunarto</t>
  </si>
  <si>
    <t>Renvoi NIB di AJB (15-10-2024)</t>
  </si>
  <si>
    <t>085658346264</t>
  </si>
  <si>
    <t>M. 2683/ Sukadana Ham</t>
  </si>
  <si>
    <t>L/40/231024/1</t>
  </si>
  <si>
    <t>HENNY KARTIKA H (BU DIANING)</t>
  </si>
  <si>
    <t>082281515000</t>
  </si>
  <si>
    <t>B.1044/KEMILING PERMAI</t>
  </si>
  <si>
    <t>M. 4485/ Beringin Raya</t>
  </si>
  <si>
    <t xml:space="preserve"> Beringin Raya</t>
  </si>
  <si>
    <t>L/41/231024/1</t>
  </si>
  <si>
    <t>ROHMAYATI</t>
  </si>
  <si>
    <t>083181909364</t>
  </si>
  <si>
    <t>M.1801/KELAPA TIGA</t>
  </si>
  <si>
    <t>KELAPA TIGA</t>
  </si>
  <si>
    <t>K/42/231024/1</t>
  </si>
  <si>
    <t>FAIZAL RIZAL/NAZAIRONI A</t>
  </si>
  <si>
    <t>0822-4928-5823</t>
  </si>
  <si>
    <t>M.1878/KEDAUNG</t>
  </si>
  <si>
    <t>K/43/231024/1</t>
  </si>
  <si>
    <t>TB Lukman Suheru/ Andi S</t>
  </si>
  <si>
    <t>081212840100</t>
  </si>
  <si>
    <t>Nibel. B. 3306/ Kedamaian</t>
  </si>
  <si>
    <t>MURSALIN/ JOKO</t>
  </si>
  <si>
    <t>M. 133/ SUKARAME BARU</t>
  </si>
  <si>
    <t xml:space="preserve"> SUKARAME BARU</t>
  </si>
  <si>
    <t>MURSALIN/ ELISABETH</t>
  </si>
  <si>
    <t>M. 6977/ Tanjung Senang</t>
  </si>
  <si>
    <t>MURSALIN/WENNEDY SAGALA</t>
  </si>
  <si>
    <t>M. 13414/ Sukabumi</t>
  </si>
  <si>
    <t>K/44/231024/1</t>
  </si>
  <si>
    <t>Suwarno/ Susilawaty CS</t>
  </si>
  <si>
    <t>082185000608</t>
  </si>
  <si>
    <t>M. 11085/ Kedamaian; SHT 4351/2015</t>
  </si>
  <si>
    <t>Kedamaian</t>
  </si>
  <si>
    <t>K/45/231024/1</t>
  </si>
  <si>
    <t>KOESMIARSIH/NURYATI</t>
  </si>
  <si>
    <t>0895-3802-21877</t>
  </si>
  <si>
    <t>M.4728/TANJUNG SENENG</t>
  </si>
  <si>
    <t>K/46/231024/2</t>
  </si>
  <si>
    <t>DWI IRIANI/NURYATI</t>
  </si>
  <si>
    <t>M.1395/WAY HALIM PERMAI</t>
  </si>
  <si>
    <t>K/47/231024/1</t>
  </si>
  <si>
    <t>Evi Udin/ Rini Zainuddin</t>
  </si>
  <si>
    <t>B. 2082/ Sukabumi</t>
  </si>
  <si>
    <t>K/48/231024/2</t>
  </si>
  <si>
    <t>Evi Udin/ Sumiati</t>
  </si>
  <si>
    <t>Nibel. M. 2130/ Panjang Selatan</t>
  </si>
  <si>
    <t>Panjang Selatan</t>
  </si>
  <si>
    <t>K/49/231024/1</t>
  </si>
  <si>
    <t>NURHAYATI</t>
  </si>
  <si>
    <t>M. 2278/ Rajabasa Jaya</t>
  </si>
  <si>
    <t>K/50/231024/1</t>
  </si>
  <si>
    <t>ANDI WIDODO/NOVALIA EKA P</t>
  </si>
  <si>
    <t>0896-4922-2167</t>
  </si>
  <si>
    <t>M.4449/SUKADANAHAM</t>
  </si>
  <si>
    <t>K/51/231024/1</t>
  </si>
  <si>
    <t>SANTI MUHAMAD SALIM/MOH MEINAZIER Z</t>
  </si>
  <si>
    <t>0852-6792-2307</t>
  </si>
  <si>
    <t>M.2040/SUSUNAN BARU</t>
  </si>
  <si>
    <t>K/52/231024/2</t>
  </si>
  <si>
    <t>ANDRYAS CHANDRA/MOH MEINAZIER ZEIN</t>
  </si>
  <si>
    <t xml:space="preserve">B.288/KELAPA TIGA </t>
  </si>
  <si>
    <t xml:space="preserve">KELAPA TIGA </t>
  </si>
  <si>
    <t>K/1/241024/1</t>
  </si>
  <si>
    <t>RIO VALUVI/IG YOGA ADI N</t>
  </si>
  <si>
    <t>0812-7927-3921</t>
  </si>
  <si>
    <t>M.2632/SUMBER AGUNG</t>
  </si>
  <si>
    <t>K/2/241024/1</t>
  </si>
  <si>
    <t>Vitta N/ Sukardi</t>
  </si>
  <si>
    <t>roya</t>
  </si>
  <si>
    <t>M. 3219/ Way Kandis</t>
  </si>
  <si>
    <t>K/3/241024/2</t>
  </si>
  <si>
    <t>vitta N/ Pepang qq Daniella</t>
  </si>
  <si>
    <t>M. 379/ Kali Balau Kencana</t>
  </si>
  <si>
    <t>K/4/241024/1</t>
  </si>
  <si>
    <t>Dedi Setiawan/ Riski Jaya P</t>
  </si>
  <si>
    <t>M. 2271/ Rajabasa Jaya</t>
  </si>
  <si>
    <t>K/5/241024/2</t>
  </si>
  <si>
    <t>Adnan/ Yanti S H</t>
  </si>
  <si>
    <t>VALBID</t>
  </si>
  <si>
    <t xml:space="preserve">M. 2955/ Sukarame Baru; M. 16806/ Sukarame-dahulu; B. 2357/ Sukarame-dahulu; </t>
  </si>
  <si>
    <t>KENAPA SHT PERINGKAT I TIDAK DI ROYA ?</t>
  </si>
  <si>
    <t>K/6/241024/3</t>
  </si>
  <si>
    <t>Vitta N/ pepang qq daniella</t>
  </si>
  <si>
    <t>0821813637272</t>
  </si>
  <si>
    <t>M. 1498/ Kali Balau Kencana-sekarang; M. 11808/ Tanjung Baru-dahulu</t>
  </si>
  <si>
    <t>K/7/241024/1</t>
  </si>
  <si>
    <t xml:space="preserve">FRANYCO HENDRI F.S/MONICA </t>
  </si>
  <si>
    <t>082281914856</t>
  </si>
  <si>
    <t>M.1116/LABUHAN RATU RAYA</t>
  </si>
  <si>
    <t>K/8/241024/4</t>
  </si>
  <si>
    <t>Vitta N / Pepang qq daniella</t>
  </si>
  <si>
    <t>M. 369/ Kali Balau Kencana</t>
  </si>
  <si>
    <t>K/9/241024/1</t>
  </si>
  <si>
    <t>Luciana/ Kessica L Cs</t>
  </si>
  <si>
    <t>081279224123</t>
  </si>
  <si>
    <t>M. 9800/ Kedamaian; SHT 2878/2017 dan SHT 1059/20211</t>
  </si>
  <si>
    <t>K/10/241024/1</t>
  </si>
  <si>
    <t>NOVALIA ISABELA/PANARY SITOPU</t>
  </si>
  <si>
    <t>NIBEL M. 2525/WAY HALIM PERMAI</t>
  </si>
  <si>
    <t>K/12/241024/1</t>
  </si>
  <si>
    <t>Herlina Ratna SN/ Siti Ayu KS</t>
  </si>
  <si>
    <t>+62 813-6907-0444</t>
  </si>
  <si>
    <t>M. 1651/ Sukarame II</t>
  </si>
  <si>
    <t>K/11/241024/1</t>
  </si>
  <si>
    <t>A Roswantama/ Sulaiman cs</t>
  </si>
  <si>
    <t>081369488565</t>
  </si>
  <si>
    <t>M. 2231/ Durian Payung</t>
  </si>
  <si>
    <t>K/13/241024/2</t>
  </si>
  <si>
    <t>A Roswantama/ Abdil Hafizh</t>
  </si>
  <si>
    <t>M. 1832/ Sumberrejo sejahtera-sekarang; M.1090/ Sumberrejo Dahulu</t>
  </si>
  <si>
    <t>Sumberrejo Sejahtera</t>
  </si>
  <si>
    <t>L/14/241024/1</t>
  </si>
  <si>
    <t>PRATIKNO</t>
  </si>
  <si>
    <t>081379220949</t>
  </si>
  <si>
    <t>M.16877/SUKARAME I</t>
  </si>
  <si>
    <t>L/15/241024/1</t>
  </si>
  <si>
    <t>MARGARETA YULIANTI</t>
  </si>
  <si>
    <t>082377136096</t>
  </si>
  <si>
    <t>HM 5933/WAY KANDIS</t>
  </si>
  <si>
    <t>089506584856</t>
  </si>
  <si>
    <t>K/16/241024/1</t>
  </si>
  <si>
    <t>Bambang ABiyono/ izhar Qamara</t>
  </si>
  <si>
    <t>085273072656</t>
  </si>
  <si>
    <t>Nibel 1410/ Kemiling Permai</t>
  </si>
  <si>
    <t>K/17/241024/1</t>
  </si>
  <si>
    <t>Rizal E/ Mars Dwi T</t>
  </si>
  <si>
    <t>081366411971</t>
  </si>
  <si>
    <t>M. 2476/ Sukadana Ham</t>
  </si>
  <si>
    <t xml:space="preserve"> Sukadana Ham</t>
  </si>
  <si>
    <t>L/20/241024/1</t>
  </si>
  <si>
    <t>SUTADI</t>
  </si>
  <si>
    <t>087802000489</t>
  </si>
  <si>
    <t>NIB 16050/CAMPANG RAYA</t>
  </si>
  <si>
    <t>L/18/241024/1</t>
  </si>
  <si>
    <t>MUHAMAD WAHYU HARSENO</t>
  </si>
  <si>
    <t>085382077174</t>
  </si>
  <si>
    <t>SITA</t>
  </si>
  <si>
    <t>M.1248/SUKARAME BARU</t>
  </si>
  <si>
    <t>L/19/241024/2</t>
  </si>
  <si>
    <t>M.1249/SUKARAME BARU</t>
  </si>
  <si>
    <t>K/21/241024/1</t>
  </si>
  <si>
    <t>Rahmadiyanti/ Ganda</t>
  </si>
  <si>
    <t>M. 217/ Bilabong Jaya-sekarang; M.880/ susunan Baru-dahulu</t>
  </si>
  <si>
    <t xml:space="preserve"> Bilabong Jaya</t>
  </si>
  <si>
    <t>L/22/241024/1</t>
  </si>
  <si>
    <t>SYAIFUL ANTONI</t>
  </si>
  <si>
    <t>08127254464</t>
  </si>
  <si>
    <t>HM 1366/KALIAWI</t>
  </si>
  <si>
    <t>KALIAWI</t>
  </si>
  <si>
    <t>K/23/241024/1</t>
  </si>
  <si>
    <t>M. Areif S/ Ardi K A</t>
  </si>
  <si>
    <t>+62 853-5788-8886</t>
  </si>
  <si>
    <t>M. 16697/ Sukabumi</t>
  </si>
  <si>
    <t>K/24/241024/1</t>
  </si>
  <si>
    <t>AGUS LATEST/ENDANG APRILIA</t>
  </si>
  <si>
    <t>0822-8923-5722</t>
  </si>
  <si>
    <t>PENINGKATAN</t>
  </si>
  <si>
    <t>NIBEL B.2466/SUKABUMI</t>
  </si>
  <si>
    <t>K/25/241024/2</t>
  </si>
  <si>
    <t>FEBRIANSYAH/ENDANG APRILIA</t>
  </si>
  <si>
    <t>B.627/KEMILING PERMAI</t>
  </si>
  <si>
    <t>K/26/241024/3</t>
  </si>
  <si>
    <t>JARWOTO/ENDANG APRILIA</t>
  </si>
  <si>
    <t>B.657/KEMILING PERMAI</t>
  </si>
  <si>
    <t>L/27/241024/1</t>
  </si>
  <si>
    <t>SURIYONO LOEKITO</t>
  </si>
  <si>
    <t>081279588866</t>
  </si>
  <si>
    <t>SKPT INFORMASI</t>
  </si>
  <si>
    <t>HM 1540/SUKARAME BARU</t>
  </si>
  <si>
    <t>K/28/241024/1</t>
  </si>
  <si>
    <t>M. Meinazir/ Yayah Cs</t>
  </si>
  <si>
    <t>+62 852-6792-2307</t>
  </si>
  <si>
    <t>Nibel. M. 2140/ Kupang Raya</t>
  </si>
  <si>
    <t>Kupang Raya</t>
  </si>
  <si>
    <t>K/29/241024/1</t>
  </si>
  <si>
    <t>HARIYO WIDODO/ DARMAWAN</t>
  </si>
  <si>
    <t>m. 2395/ CAMPANG JAYA-SEKARANG; M. 1702/ CAMPANG RAYA-DAHULU</t>
  </si>
  <si>
    <t>L/31/241024/1</t>
  </si>
  <si>
    <t>DADAG WIJANARKO</t>
  </si>
  <si>
    <t>082190470550</t>
  </si>
  <si>
    <t>B.311/PEMATANG WANGI;B.546/TJ SENANG-DAHULU</t>
  </si>
  <si>
    <t>K/30/241024/2</t>
  </si>
  <si>
    <t>hariyo widodo/ rospita</t>
  </si>
  <si>
    <t>M. 5834/ Way kandis</t>
  </si>
  <si>
    <t>K/32/241024/1</t>
  </si>
  <si>
    <t>hariyo widodo/ sarno</t>
  </si>
  <si>
    <t>M. 1120/ Sukajawa</t>
  </si>
  <si>
    <t>K/33/241024/2</t>
  </si>
  <si>
    <t>M. Arief S/ Nur Azizah</t>
  </si>
  <si>
    <t>M. 16698/ Sukabumi</t>
  </si>
  <si>
    <t xml:space="preserve">Evi Udin/ Endah M		</t>
  </si>
  <si>
    <t>087877884040</t>
  </si>
  <si>
    <t xml:space="preserve">Nibel. M. 816/ Durian Payung	</t>
  </si>
  <si>
    <t xml:space="preserve">Durian Payung	</t>
  </si>
  <si>
    <t>Renaldi Pratama S/ Rahmat M D</t>
  </si>
  <si>
    <t>087878784040</t>
  </si>
  <si>
    <t xml:space="preserve">M. 10315/ Rajabasa	</t>
  </si>
  <si>
    <t xml:space="preserve">Rajabasa	</t>
  </si>
  <si>
    <t>K/34/241024/1</t>
  </si>
  <si>
    <t>Renaldi Pratama S/ Iria Z A</t>
  </si>
  <si>
    <t>M. 709/ Pahoman</t>
  </si>
  <si>
    <t>Pahoman</t>
  </si>
  <si>
    <t>K/35/241024/2</t>
  </si>
  <si>
    <t>Tony Azhari/ Siti Aminah</t>
  </si>
  <si>
    <t>M. 11671/ Kedamaian</t>
  </si>
  <si>
    <t>K/38/241024/1</t>
  </si>
  <si>
    <t xml:space="preserve">SULASTRI/CHRISTINA ULINA </t>
  </si>
  <si>
    <t>K/36/241024/1</t>
  </si>
  <si>
    <t>Yuni Astuti/ Istikariana CS</t>
  </si>
  <si>
    <t>085267545947</t>
  </si>
  <si>
    <t>Pengukuran Pertama Kali</t>
  </si>
  <si>
    <t>Tanah mentah</t>
  </si>
  <si>
    <t>Kaliawi Persada</t>
  </si>
  <si>
    <t>K/37/241024/2</t>
  </si>
  <si>
    <t>Yuni Astuti u/ Istikariana</t>
  </si>
  <si>
    <t>Tanah Mentah</t>
  </si>
  <si>
    <t>kaliawi Persada</t>
  </si>
  <si>
    <t>Ismarina/ nasrullah</t>
  </si>
  <si>
    <t>Nibel 1145/ Sukamaju</t>
  </si>
  <si>
    <t>K/40/241024/1</t>
  </si>
  <si>
    <t>TARMIZI/NOVALIA EKA P</t>
  </si>
  <si>
    <t>M.852/KEMILING RAYA</t>
  </si>
  <si>
    <t>K/39/241024/1</t>
  </si>
  <si>
    <t>Nuryati/ Fitri F</t>
  </si>
  <si>
    <t>+62 895-3802-21877</t>
  </si>
  <si>
    <t>M. 2583/ Rajabasa Jaya</t>
  </si>
  <si>
    <t xml:space="preserve">M. 6466/ Way kandis	</t>
  </si>
  <si>
    <t xml:space="preserve">Way kandis	</t>
  </si>
  <si>
    <t>K/41/241024/1</t>
  </si>
  <si>
    <t>Budi K/ boby Ronaldo</t>
  </si>
  <si>
    <t>082183123047</t>
  </si>
  <si>
    <t>HMASRS/64/I/MASRS/Tanjung karang</t>
  </si>
  <si>
    <t>Tanjung karang</t>
  </si>
  <si>
    <t xml:space="preserve">M. 13651/ Labuhan Ratu; SHT 2739/2019	</t>
  </si>
  <si>
    <t>K/42/241024/2</t>
  </si>
  <si>
    <t>Budi K/ Roby Ronaldo</t>
  </si>
  <si>
    <t>HMASRS/ 178/ I/MASRS/Tanjungkarang</t>
  </si>
  <si>
    <t>Tanjungkarang</t>
  </si>
  <si>
    <t>K/43/241024/1</t>
  </si>
  <si>
    <t>NURUL HIDAYAH/ABDI HARI K</t>
  </si>
  <si>
    <t>0821-8241-4776</t>
  </si>
  <si>
    <t>M.2065/GUNUNG TERANG</t>
  </si>
  <si>
    <t>K/44/241024/1</t>
  </si>
  <si>
    <t>SOLIHIN SAPUTRA/RICHARD ADI P</t>
  </si>
  <si>
    <t>0852-7999-7821</t>
  </si>
  <si>
    <t xml:space="preserve">M.6404/WAY KANDIS </t>
  </si>
  <si>
    <t>K/45/241024/2</t>
  </si>
  <si>
    <t>PRIO NUR UTOMO/RICHARD ADI P</t>
  </si>
  <si>
    <t>M. 6618/TANJUNG SENENG</t>
  </si>
  <si>
    <t>K/46/241024/1</t>
  </si>
  <si>
    <t>Nediu Heryandi/ Ninik Surtini</t>
  </si>
  <si>
    <t>M. 105/ Penengahan</t>
  </si>
  <si>
    <t>Penengahan</t>
  </si>
  <si>
    <t>0857-0912-8336</t>
  </si>
  <si>
    <t>K/47/241024/1</t>
  </si>
  <si>
    <t>Nanik M/ Barabas</t>
  </si>
  <si>
    <t>M. 308/ Kupang Kota</t>
  </si>
  <si>
    <t>K/48/241024/1</t>
  </si>
  <si>
    <t>Feby Fitria Cs</t>
  </si>
  <si>
    <t>089519940402</t>
  </si>
  <si>
    <t>Cekplot S. Hilang</t>
  </si>
  <si>
    <t>M. 1348/ Kaliawi</t>
  </si>
  <si>
    <t>K/49/241024/2</t>
  </si>
  <si>
    <t>nanik maryani/ asep yaya</t>
  </si>
  <si>
    <t>M. 16581/ Sukabumi</t>
  </si>
  <si>
    <t>K/50/241024/3</t>
  </si>
  <si>
    <t>Nanik Maryani/ Eva Rina</t>
  </si>
  <si>
    <t>Nibel 923/ Rajabasa Raya</t>
  </si>
  <si>
    <t>K/51/241024/4</t>
  </si>
  <si>
    <t>Nanik Maryani</t>
  </si>
  <si>
    <t>Nibel 1674/ Sumur Putri</t>
  </si>
  <si>
    <t>K/52/241024/1</t>
  </si>
  <si>
    <t>BAMBANG PURWANTO/I MADE RETUG</t>
  </si>
  <si>
    <t>M.221/BILABONG JAYA</t>
  </si>
  <si>
    <t>K/53/241024/1</t>
  </si>
  <si>
    <t>Riadh I/ Eddy</t>
  </si>
  <si>
    <t>+62 822-8415-9202</t>
  </si>
  <si>
    <t>M. 561/ Tanjung Senang</t>
  </si>
  <si>
    <t>K/54/241024/2</t>
  </si>
  <si>
    <t>M. 4838/ Tanjung Senang</t>
  </si>
  <si>
    <t>K/1/251024/1</t>
  </si>
  <si>
    <t>Juriansyah/ m Eko</t>
  </si>
  <si>
    <t>085346863422</t>
  </si>
  <si>
    <t>M. 2799/ Sumberrejo</t>
  </si>
  <si>
    <t>Sumberrejo</t>
  </si>
  <si>
    <t>K/2/251024/2</t>
  </si>
  <si>
    <t>Juriansyah/ M eko winangto</t>
  </si>
  <si>
    <t>085346063422</t>
  </si>
  <si>
    <t>M. 2798/ Sumberrejo</t>
  </si>
  <si>
    <t xml:space="preserve">Rendy Renaldy/ Arif Basuki		</t>
  </si>
  <si>
    <t xml:space="preserve">M. 193/ Palapa	</t>
  </si>
  <si>
    <t xml:space="preserve">Palapa	</t>
  </si>
  <si>
    <t>0878784040</t>
  </si>
  <si>
    <t>K/3/251024/1</t>
  </si>
  <si>
    <t>YUKIO NISHIMURA/LINGGA AYU B</t>
  </si>
  <si>
    <t>0896-3360-1521</t>
  </si>
  <si>
    <t>M.2066/RAJABASA RAYA</t>
  </si>
  <si>
    <t>M. 1213/ Sukarame II</t>
  </si>
  <si>
    <t>L/4/251024/1</t>
  </si>
  <si>
    <t>ZUBAIDAH/CS</t>
  </si>
  <si>
    <t>0813696678722</t>
  </si>
  <si>
    <t>NIB 2765/PWH</t>
  </si>
  <si>
    <t>PWH</t>
  </si>
  <si>
    <t>K/5/251024/1</t>
  </si>
  <si>
    <t>Habibah/ Lestari CS</t>
  </si>
  <si>
    <t>082282730177</t>
  </si>
  <si>
    <t>Nibel. M. 1272/ Rajabasa Jaya</t>
  </si>
  <si>
    <t>K/6/251024/1</t>
  </si>
  <si>
    <t>NIBEL B.748/KANGKUNG</t>
  </si>
  <si>
    <t>KANGKUNG</t>
  </si>
  <si>
    <t>L/9/251024/1</t>
  </si>
  <si>
    <t>NABILA</t>
  </si>
  <si>
    <t>082175727637</t>
  </si>
  <si>
    <t>HM 12867/TANJUNG BARU</t>
  </si>
  <si>
    <t>K/8/251024/1</t>
  </si>
  <si>
    <t>Nuryati/ Christina</t>
  </si>
  <si>
    <t>M. 13993/ SukarameI, M. 13992/ Sukarame I-sekarang; B. 443/ Way Halim Permai, B. 984/ Way Halim Permai-dahulu</t>
  </si>
  <si>
    <t>Sukarame I</t>
  </si>
  <si>
    <t>K/7/251024/2</t>
  </si>
  <si>
    <t>ELMIRA TJAHYA/KHRESNA DJUAINI</t>
  </si>
  <si>
    <t xml:space="preserve">BN HIBAH </t>
  </si>
  <si>
    <t>NIBEL B.2134/KAMPUNG BARU RAYA</t>
  </si>
  <si>
    <t>KAMPUNG BARU RAYA</t>
  </si>
  <si>
    <t>K/11/251024/1</t>
  </si>
  <si>
    <t>Fahmi Sasmita/ Erilisa</t>
  </si>
  <si>
    <t>082181667663</t>
  </si>
  <si>
    <t>M. 13693/ Korpri Raya; M. 13693/ Sukarame-dahulu</t>
  </si>
  <si>
    <t>L/10/251024/1</t>
  </si>
  <si>
    <t>EDWAR JUANDA RUSYDI</t>
  </si>
  <si>
    <t>0811790586</t>
  </si>
  <si>
    <t>M.14233/SEGALA MIDER</t>
  </si>
  <si>
    <t xml:space="preserve">Ilanur/ Etika Fitri S	</t>
  </si>
  <si>
    <t>089502021991</t>
  </si>
  <si>
    <t xml:space="preserve">Ilanur/ Basariyah		</t>
  </si>
  <si>
    <t xml:space="preserve">M. 13899/ Rajabasa	</t>
  </si>
  <si>
    <t>K/12/251024/1</t>
  </si>
  <si>
    <t>Yudeni T/ Daniel Fajar</t>
  </si>
  <si>
    <t>Nibel. M. 1424/ Jagabaya II</t>
  </si>
  <si>
    <t>K/13/251024/1</t>
  </si>
  <si>
    <t>ROMLI/MUHAMMAD IWAN KURNIAWAN</t>
  </si>
  <si>
    <t>081373383283</t>
  </si>
  <si>
    <t>M.990/DURIAN PAYUNG</t>
  </si>
  <si>
    <t>DURIAN PAYUNG</t>
  </si>
  <si>
    <t>K/14/251024/1</t>
  </si>
  <si>
    <t>IR KETUT PASEK/GUSTI KOMANG OKA TRIO PUTRA</t>
  </si>
  <si>
    <t>M.37/LABUHAN DALAM</t>
  </si>
  <si>
    <t>L/15/251024/1</t>
  </si>
  <si>
    <t>M RONI</t>
  </si>
  <si>
    <t>089515113169</t>
  </si>
  <si>
    <t>SIDODADI</t>
  </si>
  <si>
    <t>K/16/251024/1</t>
  </si>
  <si>
    <t>Eka Sari T/ Ary Y</t>
  </si>
  <si>
    <t>+62 895-3631-14046</t>
  </si>
  <si>
    <t>M. 2543/ Pinang Jaya</t>
  </si>
  <si>
    <t>K/19/251024/1</t>
  </si>
  <si>
    <t>NURHAYATI/VIVI INGGRIT LESTARI</t>
  </si>
  <si>
    <t>081272099992</t>
  </si>
  <si>
    <t>M.1833/RAJABASA JAYA</t>
  </si>
  <si>
    <t>K/17/251024/2</t>
  </si>
  <si>
    <t>Eka Sari T/ Emilia</t>
  </si>
  <si>
    <t>M. 2394/ Pinang Jaya</t>
  </si>
  <si>
    <t>K/18/251024/3</t>
  </si>
  <si>
    <t>Eka Sari T/ Ilmiati S</t>
  </si>
  <si>
    <t>M. 2528/ Pinang Jaya</t>
  </si>
  <si>
    <t>rahmadiyanti</t>
  </si>
  <si>
    <t>M. 652/ Pinang Jaya</t>
  </si>
  <si>
    <t>K/20/251024/1</t>
  </si>
  <si>
    <t>Agustina S/ Erdi Purnomo</t>
  </si>
  <si>
    <t>M. 2051/ L R R; M. 11392/ L R</t>
  </si>
  <si>
    <t>K/21/251024/1</t>
  </si>
  <si>
    <t xml:space="preserve">Titik Wijayanti/Dito </t>
  </si>
  <si>
    <t>M. 1360/ Tanjungkarang</t>
  </si>
  <si>
    <t>K/22/251024/2</t>
  </si>
  <si>
    <t>dito saputra</t>
  </si>
  <si>
    <t>M. 63/ Labuhan Dalam</t>
  </si>
  <si>
    <t>K/23/251024/3</t>
  </si>
  <si>
    <t>skpt lelang</t>
  </si>
  <si>
    <t>M. 1255/ Gunung Terang</t>
  </si>
  <si>
    <t>K/24/251024/4</t>
  </si>
  <si>
    <t>DITO SAPUTRA</t>
  </si>
  <si>
    <t>K/25/251024/5</t>
  </si>
  <si>
    <t>M. 9350/ Segala mider</t>
  </si>
  <si>
    <t>Segala mider</t>
  </si>
  <si>
    <t>B. 1370/ Kemiling Permai; B. 1441/ Su K-dahulu</t>
  </si>
  <si>
    <t>richard/ randi</t>
  </si>
  <si>
    <t>K/27/251024/1</t>
  </si>
  <si>
    <t>TRIADI K/ JOKO</t>
  </si>
  <si>
    <t>081369279395</t>
  </si>
  <si>
    <t>M. 2572/ Gedong Air</t>
  </si>
  <si>
    <t>K/28/251024/2</t>
  </si>
  <si>
    <t>M. 2585/ Gedong Air</t>
  </si>
  <si>
    <t>K/29/251024/3</t>
  </si>
  <si>
    <t>triadi k/ joko</t>
  </si>
  <si>
    <t>bn jual beli</t>
  </si>
  <si>
    <t>m. 2586/ Gedong AIr</t>
  </si>
  <si>
    <t>Gedong AIr</t>
  </si>
  <si>
    <t>L/32/251024/1</t>
  </si>
  <si>
    <t>TJIA BENNY</t>
  </si>
  <si>
    <t>082180346550</t>
  </si>
  <si>
    <t>PENDAFTARAN SK HAK</t>
  </si>
  <si>
    <t>PBT243/2023</t>
  </si>
  <si>
    <t>PERBAIKI KELURAHAN PADA KUITANSI</t>
  </si>
  <si>
    <t>PANJANG UTARA</t>
  </si>
  <si>
    <t>K/30/251024/1</t>
  </si>
  <si>
    <t>Reflan R/ ALex P</t>
  </si>
  <si>
    <t>M. 18118/ Sukarame</t>
  </si>
  <si>
    <t>K/31/251024/2</t>
  </si>
  <si>
    <t>Reflan R/ Dwi M</t>
  </si>
  <si>
    <t>B. 503/ Gunung Sulah</t>
  </si>
  <si>
    <t>K/33/251024/1</t>
  </si>
  <si>
    <t>DINI MAYSURI SIBRON/M. FAJAR DIFITRI</t>
  </si>
  <si>
    <t xml:space="preserve">NIBEL M.2482/KOTA BARU </t>
  </si>
  <si>
    <t xml:space="preserve">KOTA BARU </t>
  </si>
  <si>
    <t>L/34/251024/1</t>
  </si>
  <si>
    <t>SUMARSIH</t>
  </si>
  <si>
    <t>081329348777</t>
  </si>
  <si>
    <t>HGB 254/CAMPANG RAYA</t>
  </si>
  <si>
    <t xml:space="preserve">M. 12564/ Rajabasa Nunyai	</t>
  </si>
  <si>
    <t xml:space="preserve">Rajabasa Nunyai	</t>
  </si>
  <si>
    <t>K/35/251024/1</t>
  </si>
  <si>
    <t>TITIK WIJAYANTI/AGUS SUPRIYANTO</t>
  </si>
  <si>
    <t>M.11312/KEDAMAIAN</t>
  </si>
  <si>
    <t>KEDAMAIAN</t>
  </si>
  <si>
    <t>K/36/251024/2</t>
  </si>
  <si>
    <t>M.1268/BUMI WARAS</t>
  </si>
  <si>
    <t>K/37/251024/1</t>
  </si>
  <si>
    <t>Angga Purnama/ Siti M</t>
  </si>
  <si>
    <t>M. 3227/Gunung Terang</t>
  </si>
  <si>
    <t>K/39/251024/1</t>
  </si>
  <si>
    <t>YANTI/MARISA EVALINA</t>
  </si>
  <si>
    <t>NIBEL M 1086/KOTA KARANG</t>
  </si>
  <si>
    <t>K/38/251024/2</t>
  </si>
  <si>
    <t>Angga Purnama/ Camelis Cs</t>
  </si>
  <si>
    <t>Nibel. M. 2592/ Beringin Raya</t>
  </si>
  <si>
    <t>L/40/251024/1</t>
  </si>
  <si>
    <t>VIVI INGGRIT LESTARI</t>
  </si>
  <si>
    <t>08127209992</t>
  </si>
  <si>
    <t>HM 3757/RAJABASA JAYA</t>
  </si>
  <si>
    <t>K/41/251024/1</t>
  </si>
  <si>
    <t>Ira Familia/ Budiono</t>
  </si>
  <si>
    <t>082180223747</t>
  </si>
  <si>
    <t>M. 1824/ Beringin Jaya ; M. 944/ Beringin Raya-dahulu; B. 718/ Beringin Raya-dahulu</t>
  </si>
  <si>
    <t>K/42/251024/1</t>
  </si>
  <si>
    <t>achmad mulya/oktavianus</t>
  </si>
  <si>
    <t>085269925488</t>
  </si>
  <si>
    <t>M. 11524/ Kedamaian</t>
  </si>
  <si>
    <t>K/43/251024/2</t>
  </si>
  <si>
    <t>ACHMAD MULYA/ ALIH FAHRUL</t>
  </si>
  <si>
    <t>M. 3289/ kota baru</t>
  </si>
  <si>
    <t>kota baru</t>
  </si>
  <si>
    <t>L//251024/1</t>
  </si>
  <si>
    <t>ADRIAWAN TIRTA</t>
  </si>
  <si>
    <t>08117220504</t>
  </si>
  <si>
    <t>BN LELANG</t>
  </si>
  <si>
    <t>NIB 3303/WAY LAGA</t>
  </si>
  <si>
    <t>WAY LAGA</t>
  </si>
  <si>
    <t>K/44/251024/3</t>
  </si>
  <si>
    <t>ACHMAD MULYA/ KRISTIN</t>
  </si>
  <si>
    <t>M. 13663/ Segala Mider</t>
  </si>
  <si>
    <t>L/48/251024/1</t>
  </si>
  <si>
    <t>HERMIYATI</t>
  </si>
  <si>
    <t>082378544563</t>
  </si>
  <si>
    <t>GANTI TAHUN LAHIR</t>
  </si>
  <si>
    <t>HGB 1368/KEMILING PERMAI</t>
  </si>
  <si>
    <t>K/46/251024/1</t>
  </si>
  <si>
    <t>Sendi Dini/ Titik W</t>
  </si>
  <si>
    <t>M. 4231/ Rajabasa Jaya; 10134/ Rajabasa-dahulu</t>
  </si>
  <si>
    <t>L/49/251024/1</t>
  </si>
  <si>
    <t>IAN RAHMADI</t>
  </si>
  <si>
    <t>085269828672</t>
  </si>
  <si>
    <t xml:space="preserve">B.355 DAN B.356/LABUHAN RATU </t>
  </si>
  <si>
    <t xml:space="preserve">LABUHAN RATU </t>
  </si>
  <si>
    <t>K/47/251024/2</t>
  </si>
  <si>
    <t>Sendi Dini H/ Titik W</t>
  </si>
  <si>
    <t>M. 3605/ Rajabasa Jaya; M. 10913/ Rajabasa</t>
  </si>
  <si>
    <t xml:space="preserve"> Rajabasa Jaya</t>
  </si>
  <si>
    <t>MURSALIN/ I MADE SUKANTRA</t>
  </si>
  <si>
    <t>0895378277577</t>
  </si>
  <si>
    <t>Nibel 2507/ Sumur Batu</t>
  </si>
  <si>
    <t xml:space="preserve"> Sumur Batu</t>
  </si>
  <si>
    <t>K/50/251024/1</t>
  </si>
  <si>
    <t>Fahrul Rozi/ Titien A</t>
  </si>
  <si>
    <t>Nibel. M. 2897/ Kota Baru</t>
  </si>
  <si>
    <t>K/51/251024/1</t>
  </si>
  <si>
    <t>Panary Sitopu/ Mustopa</t>
  </si>
  <si>
    <t>089892977399</t>
  </si>
  <si>
    <t>M. 1543/ Kupang Kota</t>
  </si>
  <si>
    <t xml:space="preserve"> Kupang Kota</t>
  </si>
  <si>
    <t>K/52/251024/2</t>
  </si>
  <si>
    <t>08892937399</t>
  </si>
  <si>
    <t>M/ 1544/ Kupang Kota</t>
  </si>
  <si>
    <t>K/53/251024/1</t>
  </si>
  <si>
    <t>Rendy R/ Suryono</t>
  </si>
  <si>
    <t>M. 22/ Perwata dan SHT 7366/2013</t>
  </si>
  <si>
    <t>Perwata</t>
  </si>
  <si>
    <t>K/54/251024/1</t>
  </si>
  <si>
    <t>LPS/PENI WAHYUDI</t>
  </si>
  <si>
    <t>081211507733</t>
  </si>
  <si>
    <t>M.1393/SUKAJAWA</t>
  </si>
  <si>
    <t>K/55/251024/2</t>
  </si>
  <si>
    <t>M.1741/SUKAJAWA</t>
  </si>
  <si>
    <t xml:space="preserve">M. 14789/ Sukarame; B. 2781/ Sukarame-dahulu; SHT 2097/2010 dan SHT 1880/2008	</t>
  </si>
  <si>
    <t xml:space="preserve"> Sukarame</t>
  </si>
  <si>
    <t xml:space="preserve">Afrizal/ Welly H	</t>
  </si>
  <si>
    <t>087878840404</t>
  </si>
  <si>
    <t xml:space="preserve">Pesawahan </t>
  </si>
  <si>
    <t>L/26/251024/1</t>
  </si>
  <si>
    <t>RUDI SIREGAR</t>
  </si>
  <si>
    <t>08975777816</t>
  </si>
  <si>
    <t>M.15567/S I</t>
  </si>
  <si>
    <t>L/1/261024/1</t>
  </si>
  <si>
    <t>NIA FAUNIA</t>
  </si>
  <si>
    <t>081278313262</t>
  </si>
  <si>
    <t>HGB 208/PWK</t>
  </si>
  <si>
    <t>K/1/281024/1</t>
  </si>
  <si>
    <t>EVA SURIANI/ CHRISTIAN LIEANDOE</t>
  </si>
  <si>
    <t>B. 770/ SUMUR PUTRI</t>
  </si>
  <si>
    <t>L/2/281024/1</t>
  </si>
  <si>
    <t>FITRIA AGUSTINA</t>
  </si>
  <si>
    <t>08117208663</t>
  </si>
  <si>
    <t>TANJUNG AGUNG</t>
  </si>
  <si>
    <t>K/3/281024/1</t>
  </si>
  <si>
    <t>dito saputra/titik w</t>
  </si>
  <si>
    <t>M. 139/ rajabasa Jaya</t>
  </si>
  <si>
    <t>rajabasa Jaya</t>
  </si>
  <si>
    <t>K/4/281024/2</t>
  </si>
  <si>
    <t>dito saputra/titik wijayanti</t>
  </si>
  <si>
    <t>SKPT lelang</t>
  </si>
  <si>
    <t>M. 660/ Tanjung Gading</t>
  </si>
  <si>
    <t>K/5/281024/1</t>
  </si>
  <si>
    <t>Evi Udin/ Wong Tjhi Mie</t>
  </si>
  <si>
    <t>Ganti Nama</t>
  </si>
  <si>
    <t>M. 1409/ Panjang Utara</t>
  </si>
  <si>
    <t>Panjang Utara</t>
  </si>
  <si>
    <t>L/6/281024/1</t>
  </si>
  <si>
    <t>IMAWAN SUTAMTO</t>
  </si>
  <si>
    <t>085279872831</t>
  </si>
  <si>
    <t>HM 8198/SUKABUMI</t>
  </si>
  <si>
    <t>K/7/281024/1</t>
  </si>
  <si>
    <t>Mahfud/ Alwiyah ALi</t>
  </si>
  <si>
    <t>082309139403</t>
  </si>
  <si>
    <t>Nibel. M. 1226/ Gulak Galik</t>
  </si>
  <si>
    <t>Gulak Galik</t>
  </si>
  <si>
    <t>K/9/281024/1</t>
  </si>
  <si>
    <t>DYAH NINGTIYA ASTUTI/ISMARIN</t>
  </si>
  <si>
    <t>0813-6761-0046</t>
  </si>
  <si>
    <t>M.1591/RAJABASA NUNYAI-SEKARANG;B.347/RAJABASA NUNYAI-DAHULU</t>
  </si>
  <si>
    <t>RAJABASA NUNYAI-</t>
  </si>
  <si>
    <t>K/8/281024/1</t>
  </si>
  <si>
    <t>Hendri Irawan/ Rachmat Mulyadi</t>
  </si>
  <si>
    <t>089631160111</t>
  </si>
  <si>
    <t>M. 3464/ Gunung Terang</t>
  </si>
  <si>
    <t>L/10/281024/1</t>
  </si>
  <si>
    <t>NURAINI RAHIM</t>
  </si>
  <si>
    <t>081281066680</t>
  </si>
  <si>
    <t>CEKPLOT HILANG</t>
  </si>
  <si>
    <t>M.1465/KEDAMAIAN</t>
  </si>
  <si>
    <t>L/11/281024/2</t>
  </si>
  <si>
    <t>M.11474/KEDAMAIAN-SERTIPIKAT TETANGGA</t>
  </si>
  <si>
    <t>K/12/281024/1</t>
  </si>
  <si>
    <t>SOPHI YULITA PRASIPI/FERAWATI</t>
  </si>
  <si>
    <t>089632743500</t>
  </si>
  <si>
    <t>M.2877/SUKARAME II</t>
  </si>
  <si>
    <t>K/13/281024/1</t>
  </si>
  <si>
    <t>Nur Hayati/ Herni Sutedja</t>
  </si>
  <si>
    <t>M. 1317/ Kupang Teba</t>
  </si>
  <si>
    <t>K/14/281024/2</t>
  </si>
  <si>
    <t>Nur Hayati/ Juliani</t>
  </si>
  <si>
    <t>M. 45/ Kupang Teba</t>
  </si>
  <si>
    <t>K/13/281024/2</t>
  </si>
  <si>
    <t xml:space="preserve">Perubahan Hak </t>
  </si>
  <si>
    <t>Nibel 2342/ Sumur Putri</t>
  </si>
  <si>
    <t xml:space="preserve"> Sumur Putri</t>
  </si>
  <si>
    <t>087878404040</t>
  </si>
  <si>
    <t xml:space="preserve">M. 14030/ Tanjung Baru; M. 13709/ Kedamaian-dahulu	</t>
  </si>
  <si>
    <t>L/16/281024/1</t>
  </si>
  <si>
    <t>NORMANSYAH</t>
  </si>
  <si>
    <t>081213610270</t>
  </si>
  <si>
    <t>M.739/NOG</t>
  </si>
  <si>
    <t>NOG</t>
  </si>
  <si>
    <t>K/17/281024/1</t>
  </si>
  <si>
    <t>Effendi. M Satam</t>
  </si>
  <si>
    <t>085384417903</t>
  </si>
  <si>
    <t>S. Hilang</t>
  </si>
  <si>
    <t>M. 1597/ Gedong Air</t>
  </si>
  <si>
    <t>K/15/281024/1</t>
  </si>
  <si>
    <t>ANNA P/ RISMAN CS</t>
  </si>
  <si>
    <t>082279206650</t>
  </si>
  <si>
    <t>M. 9417/ Sidodadi</t>
  </si>
  <si>
    <t>Sidodadi</t>
  </si>
  <si>
    <t>Perumnas  Way Kandis</t>
  </si>
  <si>
    <t>K/19/281024/1</t>
  </si>
  <si>
    <t xml:space="preserve">SHOBARIAH/MYRDA LIBRINA </t>
  </si>
  <si>
    <t>085764690616</t>
  </si>
  <si>
    <t>M.231/CAMPANG JAYA-SEKARANG;M.231/NUSANTARA PERMAI-DAHULU</t>
  </si>
  <si>
    <t>K/20/281024/2</t>
  </si>
  <si>
    <t xml:space="preserve">DELI SATRIA/MYRDA LIBRINA </t>
  </si>
  <si>
    <t>M.2072/CAMPANG JAYA-SEKARANG;M 247/NUSANTARA PERMAI-DAHULU</t>
  </si>
  <si>
    <t>K/18/281024/1</t>
  </si>
  <si>
    <t>Heriyantoni/ Merlinda Yanti</t>
  </si>
  <si>
    <t>+62 812-7155-6796</t>
  </si>
  <si>
    <t>M. 811/ Way Dadi</t>
  </si>
  <si>
    <t>L/22/281024/1</t>
  </si>
  <si>
    <t>SLAMET PUROYO</t>
  </si>
  <si>
    <t>081379370009</t>
  </si>
  <si>
    <t>HGB 3734/BERINGIN RAYA</t>
  </si>
  <si>
    <t>BERIGNIN RAYA</t>
  </si>
  <si>
    <t>K/21/281024/1</t>
  </si>
  <si>
    <t>ROSIDAH/TEDDY WAN</t>
  </si>
  <si>
    <t>082184153778</t>
  </si>
  <si>
    <t>M.466/WAY TATAAN</t>
  </si>
  <si>
    <t>WAY TATAAN</t>
  </si>
  <si>
    <t>K/23/281024/1</t>
  </si>
  <si>
    <t>Ria Yuliana/ Redo R</t>
  </si>
  <si>
    <t>085764679569</t>
  </si>
  <si>
    <t>Nibel. M. 1929/ Beringin Raya</t>
  </si>
  <si>
    <t>K/24/281024/1</t>
  </si>
  <si>
    <t>Renaldi P/ Iria Zaita</t>
  </si>
  <si>
    <t>081366788967</t>
  </si>
  <si>
    <t>K/25/281024/2</t>
  </si>
  <si>
    <t>Renaldi P/ M Mirza</t>
  </si>
  <si>
    <t>Ganti Kecamatan</t>
  </si>
  <si>
    <t>M. 466/ Gunung Mas</t>
  </si>
  <si>
    <t>K/27/281024/1</t>
  </si>
  <si>
    <t>Eka Sari T/ Misgiantho</t>
  </si>
  <si>
    <t>Kholfa</t>
  </si>
  <si>
    <t>089536311146</t>
  </si>
  <si>
    <t>B. 835/ Perumnas Way Kandis; B. 309/ Way Kandis</t>
  </si>
  <si>
    <t>K/30/281024/1</t>
  </si>
  <si>
    <t>NGADINEM/YUSRIZAL DARWIS</t>
  </si>
  <si>
    <t>0816409666</t>
  </si>
  <si>
    <t>M.3414/SUMBEREJO/KEMILING</t>
  </si>
  <si>
    <t>Beda nama  pemilik SHAT pada Surat Permohonan KPKNL dengan Fc SHAT terlampir</t>
  </si>
  <si>
    <t>L/31/281024/1</t>
  </si>
  <si>
    <t>DINI DEWINDARU</t>
  </si>
  <si>
    <t>08117990432</t>
  </si>
  <si>
    <t>M.2112 SUMBEREJO/KEMILING</t>
  </si>
  <si>
    <t>Kurang input data pemilik SHAT di KKP</t>
  </si>
  <si>
    <t>K/28/281024/1</t>
  </si>
  <si>
    <t>ILANUR/ MIKO DWI</t>
  </si>
  <si>
    <t>M. 2095/ Campang Jaya</t>
  </si>
  <si>
    <t>L/32/281024/1</t>
  </si>
  <si>
    <t>MIDUK SIANTURI</t>
  </si>
  <si>
    <t>081377797875</t>
  </si>
  <si>
    <t>B.244/LRR;B.28/LR-DAHULU</t>
  </si>
  <si>
    <t>L/33/281024/2</t>
  </si>
  <si>
    <t>B.161/LRR;B.161/LR-DAHULU</t>
  </si>
  <si>
    <t>K/34/281024/1</t>
  </si>
  <si>
    <t>NURKHOLIS/ISMARINA</t>
  </si>
  <si>
    <t>NIBEL M.2194/GUNUNG TERANG</t>
  </si>
  <si>
    <t>K/29/281024/1</t>
  </si>
  <si>
    <t>B, 570/ Nusantara Permai</t>
  </si>
  <si>
    <t>K/35/281024/1</t>
  </si>
  <si>
    <t>Budi K/ Desi Arif Y</t>
  </si>
  <si>
    <t>Nibel. M. 2665/ Beringin Raya</t>
  </si>
  <si>
    <t>GUNAWAN/ SRI UJI</t>
  </si>
  <si>
    <t>M. 2445/ Sukadana Ham</t>
  </si>
  <si>
    <t>K/36/281024/1</t>
  </si>
  <si>
    <t>ELVAN SIUS/ PONIAH</t>
  </si>
  <si>
    <t>085709443520</t>
  </si>
  <si>
    <t>M. 1142/ Kemiling Raya</t>
  </si>
  <si>
    <t>M ARIEF / M YUDHA CS</t>
  </si>
  <si>
    <t>+62 821-7879-5856</t>
  </si>
  <si>
    <t>K/37/281024/1</t>
  </si>
  <si>
    <t xml:space="preserve">RESTI NUR INDAH O P/ANDRIANTO </t>
  </si>
  <si>
    <t>M.1602/BUMI KEDAMAIAN</t>
  </si>
  <si>
    <t>M Arief S</t>
  </si>
  <si>
    <t>K/38/281024/2</t>
  </si>
  <si>
    <t>BRAN RESMANA/ANDRIANTO</t>
  </si>
  <si>
    <t xml:space="preserve">M.9123/TANJUNG BARU </t>
  </si>
  <si>
    <t xml:space="preserve">TANJUNG BARU </t>
  </si>
  <si>
    <t>K/39/281024/3</t>
  </si>
  <si>
    <t>ZARTINI/ANDRIANTO</t>
  </si>
  <si>
    <t>M.10097/TANJUNG BARU</t>
  </si>
  <si>
    <t>K/40/281024/1</t>
  </si>
  <si>
    <t>MAYA AYU/ RUSLY</t>
  </si>
  <si>
    <t>+62 813-6999-9971</t>
  </si>
  <si>
    <t>K/41/281024/2</t>
  </si>
  <si>
    <t>maya ayu/ hedar</t>
  </si>
  <si>
    <t>M. 9110/ Kedaton</t>
  </si>
  <si>
    <t>K/42/281024/1</t>
  </si>
  <si>
    <t>Sunarso/ Firdaus</t>
  </si>
  <si>
    <t>083170680922</t>
  </si>
  <si>
    <t>Pembaharuan R Susun</t>
  </si>
  <si>
    <t>Nibel. 3488/ Tanjungkarang</t>
  </si>
  <si>
    <t xml:space="preserve"> Tanjungkarang</t>
  </si>
  <si>
    <t xml:space="preserve">M. 3058/ Gunung Terang	</t>
  </si>
  <si>
    <t xml:space="preserve">Gunung Terang	</t>
  </si>
  <si>
    <t>K/43/281024/1</t>
  </si>
  <si>
    <t>MARTINUS HANDOYO S/PANARY SITOPU</t>
  </si>
  <si>
    <t xml:space="preserve">BN JUAL BELI </t>
  </si>
  <si>
    <t>B.605/SUMUR PUTRI</t>
  </si>
  <si>
    <t>K/44/281024/2</t>
  </si>
  <si>
    <t>YANTI MEUTIA S/PANARY SITOPU</t>
  </si>
  <si>
    <t>B.721/SUMUR PUTRI</t>
  </si>
  <si>
    <t>L/1/291024/1</t>
  </si>
  <si>
    <t>HERU PRATIKNO</t>
  </si>
  <si>
    <t>08117204544</t>
  </si>
  <si>
    <t>CEK PLOT SERTIPIKAT HILANG</t>
  </si>
  <si>
    <t>HM 12271/LABUHAN RATU (SHM TETANGGA)</t>
  </si>
  <si>
    <t>L/2/291024/1</t>
  </si>
  <si>
    <t>HAJARUL HAITOMI</t>
  </si>
  <si>
    <t>081272742815</t>
  </si>
  <si>
    <t>HM 208/KUPANG RAYA</t>
  </si>
  <si>
    <t>KUPANG RAYA</t>
  </si>
  <si>
    <t>K/3/291024/1</t>
  </si>
  <si>
    <t>Mahfud/ Zam Zami</t>
  </si>
  <si>
    <t>081271762628</t>
  </si>
  <si>
    <t>M. 711/ Penengahan</t>
  </si>
  <si>
    <t xml:space="preserve">Mahfud/ Putri A	</t>
  </si>
  <si>
    <t xml:space="preserve">M. 1991/ L R R	</t>
  </si>
  <si>
    <t>M HUSNUN/ MARKIM</t>
  </si>
  <si>
    <t>PEMECHAN BIDANG</t>
  </si>
  <si>
    <t>K/4/291024/1</t>
  </si>
  <si>
    <t>Tjhia Giok T/ Hairul Azhari</t>
  </si>
  <si>
    <t>+62 812-7305-5495</t>
  </si>
  <si>
    <t>M. 3413/ Kota Baru</t>
  </si>
  <si>
    <t>K/5/291024/1</t>
  </si>
  <si>
    <t>DYAH NINGTIYASTUTI/ISMARINA</t>
  </si>
  <si>
    <t>M.1397/RAJABASA NUNYAI-SEKARANG;B.346/RAJABASA NUNYAI-DAHULU</t>
  </si>
  <si>
    <t>K/6/291024/1</t>
  </si>
  <si>
    <t>rahmadiyanti/ lidya sari</t>
  </si>
  <si>
    <t>M. 1350/ Perumnas Way Halim</t>
  </si>
  <si>
    <t>Perumnas Way Halim</t>
  </si>
  <si>
    <t>K/1/291024/1</t>
  </si>
  <si>
    <t>RIZA MARROSKA/CHRISTINA ULINA</t>
  </si>
  <si>
    <t>NIBEL B.2359/PERUMNAS WAY KANDIS</t>
  </si>
  <si>
    <t>K/8/291024/1</t>
  </si>
  <si>
    <t>RISHNALDI/CITRA AYU WARDANI</t>
  </si>
  <si>
    <t>M.12840/SEGALA MIDER-SEKARANG;B.114/SEGALA MIDER-DAHULU</t>
  </si>
  <si>
    <t>K/7/291024/2</t>
  </si>
  <si>
    <t>rahmadiyanti/ dahlia cs</t>
  </si>
  <si>
    <t>bn waris</t>
  </si>
  <si>
    <t>M. 2590/ Beringin Raya - sekarang; B. 2536/ Beringin raya-dahulu</t>
  </si>
  <si>
    <t>K/9/291024/2</t>
  </si>
  <si>
    <t>SALIMAN/CITRA AYU WARDANI</t>
  </si>
  <si>
    <t>Beda tgl lahir pemilik pada SHAT dengan Fc KTP terlampir</t>
  </si>
  <si>
    <t>M.1586/SUMUR BATU;SHT. 5389/2018</t>
  </si>
  <si>
    <t>K/11/291024/1</t>
  </si>
  <si>
    <t>Vitta N/ Yan Bastian</t>
  </si>
  <si>
    <t>+62 821-8133-7272</t>
  </si>
  <si>
    <t>Pendaftaran SK Perpanjangan</t>
  </si>
  <si>
    <t>B. 1045/ Negeri olok gading</t>
  </si>
  <si>
    <t>Negeri olok gading</t>
  </si>
  <si>
    <t xml:space="preserve">Nibel. M. 1066/ Sukarame Baru	</t>
  </si>
  <si>
    <t xml:space="preserve">Sukarame Baru	</t>
  </si>
  <si>
    <t>K/12/291024/1</t>
  </si>
  <si>
    <t>RENI F/ MARIA REYNELDA</t>
  </si>
  <si>
    <t>089633674976</t>
  </si>
  <si>
    <t>Nibel 1193/ Jagabaya III</t>
  </si>
  <si>
    <t>K/13/291024/1</t>
  </si>
  <si>
    <t>FITROUL/AMARULLAH</t>
  </si>
  <si>
    <t>M.14139/KEDAMAIAN</t>
  </si>
  <si>
    <t>K/14/291024/2</t>
  </si>
  <si>
    <t>DARWANIAH NASUTION/AMARULLAH</t>
  </si>
  <si>
    <t>M.60/RAJABASA JAYA</t>
  </si>
  <si>
    <t>K/15/291024/1</t>
  </si>
  <si>
    <t>Teddy Saputra/ Dahlia</t>
  </si>
  <si>
    <t>085133331397</t>
  </si>
  <si>
    <t>M. 534/ Sumur Batu</t>
  </si>
  <si>
    <t>Sumur Batu</t>
  </si>
  <si>
    <t>acc 22/10/2024</t>
  </si>
  <si>
    <t>L/16/291024/1</t>
  </si>
  <si>
    <t>M IQBAL RAMADHAN</t>
  </si>
  <si>
    <t>081291252926</t>
  </si>
  <si>
    <t>M.715/PINANG JAYA</t>
  </si>
  <si>
    <t>K/18/291024/1</t>
  </si>
  <si>
    <t>NOVALIA EKA PUTRI/ SITI NUR HAYANI</t>
  </si>
  <si>
    <t>M. 1304/ Sumur Putri</t>
  </si>
  <si>
    <t>K/17/291024/1</t>
  </si>
  <si>
    <t>Romi Zam Zami/ Lendrawati</t>
  </si>
  <si>
    <t>082177919544</t>
  </si>
  <si>
    <t>SKPT Informasi</t>
  </si>
  <si>
    <t>NIbel. B. 133/ Kelapa Tiga</t>
  </si>
  <si>
    <t xml:space="preserve"> Kelapa Tiga</t>
  </si>
  <si>
    <t>K/19/291024/1</t>
  </si>
  <si>
    <t>Maryanti K/ Suhoko</t>
  </si>
  <si>
    <t>M. 910/ Jagabaya III</t>
  </si>
  <si>
    <t>K/20/291024/1</t>
  </si>
  <si>
    <t>hera Agustianti/ nunung</t>
  </si>
  <si>
    <t>M. 3225/ Kupang Teba</t>
  </si>
  <si>
    <t>L/23/291024/1</t>
  </si>
  <si>
    <t>LINDA AMELIA</t>
  </si>
  <si>
    <t>081272702870</t>
  </si>
  <si>
    <t>M.2281/SU HAM</t>
  </si>
  <si>
    <t>K/21/291024/1</t>
  </si>
  <si>
    <t>Endang Aprilia/ Raras F</t>
  </si>
  <si>
    <t>Nibel. B. 1478/ Kemiling Permai</t>
  </si>
  <si>
    <t>K/22/291024/2</t>
  </si>
  <si>
    <t>Endang Aprilia/ Dennis  A</t>
  </si>
  <si>
    <t>Nibel. B. 2603/ Kemiling Permai</t>
  </si>
  <si>
    <t>K/24/291024/1</t>
  </si>
  <si>
    <t>JAMILAH SISWATI/AYI RUHIAT</t>
  </si>
  <si>
    <t>0812-7251-9799</t>
  </si>
  <si>
    <t xml:space="preserve">B.138/KEMILING PERMAI </t>
  </si>
  <si>
    <t xml:space="preserve">KEMILING PERMAI </t>
  </si>
  <si>
    <t xml:space="preserve">M. 1601/ Bumi Kedamaian	</t>
  </si>
  <si>
    <t xml:space="preserve"> Bumi Kedamaian</t>
  </si>
  <si>
    <t>nur hayati/ rubiyanto</t>
  </si>
  <si>
    <t>62 811-7222-871</t>
  </si>
  <si>
    <t>087878774040</t>
  </si>
  <si>
    <t>K/26/291024/1</t>
  </si>
  <si>
    <t>Andrianto/ Ryan Aditya</t>
  </si>
  <si>
    <t xml:space="preserve">M. 3082/ Labuhan Dalam </t>
  </si>
  <si>
    <t xml:space="preserve">Labuhan Dalam </t>
  </si>
  <si>
    <t>L/27/291024/1</t>
  </si>
  <si>
    <t>ANE INDAH KURNIA</t>
  </si>
  <si>
    <t>082387831096</t>
  </si>
  <si>
    <t>HM 1472/DURIAN PAYUNG</t>
  </si>
  <si>
    <t>L/28/291024/1</t>
  </si>
  <si>
    <t>CIPTO NUGROHO</t>
  </si>
  <si>
    <t>081278572547</t>
  </si>
  <si>
    <t>M.13498/SUKABUMI;B.2732/SUKABUMI-DAHULU</t>
  </si>
  <si>
    <t>K/29/291024/1</t>
  </si>
  <si>
    <t>Mulhan/ Viah</t>
  </si>
  <si>
    <t>081274118361</t>
  </si>
  <si>
    <t>M. 9298/ Rajabasa</t>
  </si>
  <si>
    <t>K/30/291024/1</t>
  </si>
  <si>
    <t>I Made R/ Miswanto</t>
  </si>
  <si>
    <t>081384797293</t>
  </si>
  <si>
    <t>M. 1891/ Beringin Jaya; M. 1233/ Beringin Jaya-dahulu</t>
  </si>
  <si>
    <t>K/31/291024/1</t>
  </si>
  <si>
    <t>HJ MEGAWATI/LAZMAWATI</t>
  </si>
  <si>
    <t>081272198194</t>
  </si>
  <si>
    <t>SARUSUN 54/I/MASRS/TANJUNG KARANG</t>
  </si>
  <si>
    <t>TANJUNG KARANG</t>
  </si>
  <si>
    <t>K/32/291024/2</t>
  </si>
  <si>
    <t>SARUSUN 53/I/MASRS/TANJUNG KARANG</t>
  </si>
  <si>
    <t>K/33/291024/1</t>
  </si>
  <si>
    <t>Fahrul Rozi/ Maria Evi Cs</t>
  </si>
  <si>
    <t>M. 1126/ Gotong Royong</t>
  </si>
  <si>
    <t>Gotong Royong</t>
  </si>
  <si>
    <t>K/34/291024/1</t>
  </si>
  <si>
    <t>Desi PUSPITA SARI/ MARIMAN</t>
  </si>
  <si>
    <t>08127344961</t>
  </si>
  <si>
    <t>M. 1279/ SUKAJAWA</t>
  </si>
  <si>
    <t>K/35/291024/1</t>
  </si>
  <si>
    <t>Angga Yustian/ Andika</t>
  </si>
  <si>
    <t>62 813-6606-0045</t>
  </si>
  <si>
    <t>M. 1647/ Rajabasa Pemuka</t>
  </si>
  <si>
    <t>L/37/291024/1</t>
  </si>
  <si>
    <t xml:space="preserve">SITI TRI </t>
  </si>
  <si>
    <t>089611138881</t>
  </si>
  <si>
    <t>PLOT SHM HILANG</t>
  </si>
  <si>
    <t>HM 12538/JAGABAYA II (SHM TETANGGA)</t>
  </si>
  <si>
    <t>K/36/291024/1</t>
  </si>
  <si>
    <t>MARIA APRILIA VINA DWIYANTI/MAYA AYUNINGTIAS</t>
  </si>
  <si>
    <t>SARUSUN 180/SUMUR PUTRI</t>
  </si>
  <si>
    <t>L/38/291024/1</t>
  </si>
  <si>
    <t>MADE JANJI</t>
  </si>
  <si>
    <t>082185222224</t>
  </si>
  <si>
    <t>HM 29/RAJABASA NUNYAI</t>
  </si>
  <si>
    <t>K/39/291024/1</t>
  </si>
  <si>
    <t>MASDALENA/SUJONO PARYONO</t>
  </si>
  <si>
    <t>B.1431/PEMATANG WANGI-SEKARANG;B.805/TANJUNG SENENG</t>
  </si>
  <si>
    <t>K/40/291024/2</t>
  </si>
  <si>
    <t>M.11470/KEDATON</t>
  </si>
  <si>
    <t>K/41/291024/3</t>
  </si>
  <si>
    <t>SUDARYONO/SUJONO PARYONO</t>
  </si>
  <si>
    <t>M.1321/SUSUNAN BARU</t>
  </si>
  <si>
    <t>K/43/291024/1</t>
  </si>
  <si>
    <t>nanik maryani/abdul mukti</t>
  </si>
  <si>
    <t>M. 6486/ Way Kandis</t>
  </si>
  <si>
    <t>K/42/291024/4</t>
  </si>
  <si>
    <t>JEPRI YANTO/SUJONO PARYONO</t>
  </si>
  <si>
    <t>M.600/RAJABASA NUNYAI</t>
  </si>
  <si>
    <t>K/44/291024/1</t>
  </si>
  <si>
    <t>YULINAR/ABDI HARI KURNIAWAN</t>
  </si>
  <si>
    <t>M.3081/BERINGIN RAYA-SEKARANG;B.139/SUMBER REJO-DAHULU</t>
  </si>
  <si>
    <t>L/45/291024/1</t>
  </si>
  <si>
    <t>M CHANDRA TASLI</t>
  </si>
  <si>
    <t>081367111714</t>
  </si>
  <si>
    <t>K/46/291024/1</t>
  </si>
  <si>
    <t>ALI SAPTO/ RIKA WISANGRATRI</t>
  </si>
  <si>
    <t>M. 1894/ Sukaraja</t>
  </si>
  <si>
    <t>Sukaraja</t>
  </si>
  <si>
    <t>K/47/291024/2</t>
  </si>
  <si>
    <t>ALI SAPTO/ RIKA</t>
  </si>
  <si>
    <t>Nibel 2137/ Telukbetung</t>
  </si>
  <si>
    <t>Telukbetung</t>
  </si>
  <si>
    <t>L/48/291024/1</t>
  </si>
  <si>
    <t>ARIF BUDIYANTO (PERMOHONAN TGL 28 BLM INPUT KODE TIKET)</t>
  </si>
  <si>
    <t>HM 2643/GUNUNG TERANG</t>
  </si>
  <si>
    <t>BAMBANG ABIYONO/ NURHAYATI</t>
  </si>
  <si>
    <t xml:space="preserve"> K/32/241024/1</t>
  </si>
  <si>
    <t>HARIYO WIDODO/SARNO</t>
  </si>
  <si>
    <t xml:space="preserve"> Sukajawa</t>
  </si>
  <si>
    <t>NURYATI/ CHRISTINA</t>
  </si>
  <si>
    <t>M. 13993,13992/ Sukarame I</t>
  </si>
  <si>
    <t>Afrikianza arla u/ Suntoro</t>
  </si>
  <si>
    <t>L/1/301024/1</t>
  </si>
  <si>
    <t>SUKANTO</t>
  </si>
  <si>
    <t>082579980777</t>
  </si>
  <si>
    <t>HM 2509/WAY KANDIS</t>
  </si>
  <si>
    <t>L/1/301024/2</t>
  </si>
  <si>
    <t>Surat Pernyataan Kuasa Jual masih berlaku dari pemberi kuasa</t>
  </si>
  <si>
    <t>085279980777</t>
  </si>
  <si>
    <t>HM 2000/WAY KANDIS</t>
  </si>
  <si>
    <t>K/2/301024/1</t>
  </si>
  <si>
    <t>NANIK MARYANI/ PUNGKY</t>
  </si>
  <si>
    <t>M. 2375/ Kedaung</t>
  </si>
  <si>
    <t xml:space="preserve"> Kedaung</t>
  </si>
  <si>
    <t>K/3/301024/2</t>
  </si>
  <si>
    <t>nanik maryani/ rusnadi</t>
  </si>
  <si>
    <t>M. 2398/ Kedaung</t>
  </si>
  <si>
    <t>K/4/301024/3</t>
  </si>
  <si>
    <t>NANIK MARYANI/ NENG TIARA</t>
  </si>
  <si>
    <t>M. 2390/ Kedaung</t>
  </si>
  <si>
    <t>K/5/301024/4</t>
  </si>
  <si>
    <t>nanik maryan/agnes</t>
  </si>
  <si>
    <t>M. 17942/ Sukarame</t>
  </si>
  <si>
    <t>0878778784040</t>
  </si>
  <si>
    <t xml:space="preserve">M. 3903/ Way Kandis	</t>
  </si>
  <si>
    <t xml:space="preserve">Way Kandis	</t>
  </si>
  <si>
    <t>L/6/301024/1</t>
  </si>
  <si>
    <t>HENNY CHRISTYANTI MD</t>
  </si>
  <si>
    <t>08974775000</t>
  </si>
  <si>
    <t>M.217/TJ RAYA</t>
  </si>
  <si>
    <t>TANJUNG RAYA</t>
  </si>
  <si>
    <t>K/7/301024/1</t>
  </si>
  <si>
    <t>Ismarina/ Dikdo W</t>
  </si>
  <si>
    <t>+62 813-6761-0046</t>
  </si>
  <si>
    <t>M. 17182/ Sukarame; B. 1230/ Sukarame-dahulu</t>
  </si>
  <si>
    <t>K/9/301024/1</t>
  </si>
  <si>
    <t>Evi Udin/ Valeri A W</t>
  </si>
  <si>
    <t>M. 18827/ Sukarame</t>
  </si>
  <si>
    <t>Anna P</t>
  </si>
  <si>
    <t>M. 1186/ Telukbetung</t>
  </si>
  <si>
    <t>K/8/301024/1</t>
  </si>
  <si>
    <t>SUHENDAR ZUBER/TRIADI KURNIAWAN</t>
  </si>
  <si>
    <t>0821-7715-9938</t>
  </si>
  <si>
    <t>M.1814/RAJABASA NUNYAI</t>
  </si>
  <si>
    <t>K/10/301024/1</t>
  </si>
  <si>
    <t>FRANCO LUCAS/HERA AGUSTIANTI PUTRI</t>
  </si>
  <si>
    <t>0813-6548-3482</t>
  </si>
  <si>
    <t>M.220/BATU PUTU</t>
  </si>
  <si>
    <t>BATU PUTU</t>
  </si>
  <si>
    <t>L/11/301024/1</t>
  </si>
  <si>
    <t>AWALUDIN</t>
  </si>
  <si>
    <t>HGB 1677/SUKARAME I</t>
  </si>
  <si>
    <t>K/12/301024/1</t>
  </si>
  <si>
    <t>Ewon G/ Wirhaida CS</t>
  </si>
  <si>
    <t>+62 895-0611-5259</t>
  </si>
  <si>
    <t>M. 2009/ Tanjung Senang</t>
  </si>
  <si>
    <t>Eka Sari Taherah</t>
  </si>
  <si>
    <t>K/14/301024/1</t>
  </si>
  <si>
    <t>DODDY SETIAWAN/PANARY SITOPU</t>
  </si>
  <si>
    <t>M.422/KUPANG RAYA</t>
  </si>
  <si>
    <t>L/15/301024/1</t>
  </si>
  <si>
    <t>SUNNY WADHWA</t>
  </si>
  <si>
    <t>082279910992</t>
  </si>
  <si>
    <t>HM 617/SUKARAJA</t>
  </si>
  <si>
    <t>L/16/301024/1</t>
  </si>
  <si>
    <t>SISKA DAMAYANTI</t>
  </si>
  <si>
    <t>0811727255</t>
  </si>
  <si>
    <t>HM 2070/PWH</t>
  </si>
  <si>
    <t>K/17/301024/1</t>
  </si>
  <si>
    <t>DEDI/ TURSINA</t>
  </si>
  <si>
    <t>M. 10866/ SUKARAME I</t>
  </si>
  <si>
    <t xml:space="preserve">SUKARAME </t>
  </si>
  <si>
    <t>K/18/301024/1</t>
  </si>
  <si>
    <t>0856-6464-4484</t>
  </si>
  <si>
    <t>TITAWATI CS/HENGKI KURNIAWAN</t>
  </si>
  <si>
    <t>M.9567/SUKABUMI</t>
  </si>
  <si>
    <t>L/21/301024/1</t>
  </si>
  <si>
    <t>ARSIYA ERLINDA</t>
  </si>
  <si>
    <t>082111430027</t>
  </si>
  <si>
    <t>M.12717/S I</t>
  </si>
  <si>
    <t>K/19/301024/2</t>
  </si>
  <si>
    <t xml:space="preserve">TITAWATI CS/HENGKI KURNIAWAN </t>
  </si>
  <si>
    <t>M.11025/SUKABUMI</t>
  </si>
  <si>
    <t>K/20/301024/3</t>
  </si>
  <si>
    <t>TITAWATI CS/HENGKI GUSTIAWAN</t>
  </si>
  <si>
    <t>M.9801/SUKABUMI</t>
  </si>
  <si>
    <t>Adnan</t>
  </si>
  <si>
    <t>M. 2956/ Sukarame Baru</t>
  </si>
  <si>
    <t>L/22/301024/1</t>
  </si>
  <si>
    <t>LISMAWATI</t>
  </si>
  <si>
    <t>082279699048</t>
  </si>
  <si>
    <t>HM 11867/LABUHAN RATU</t>
  </si>
  <si>
    <t>Budi Kristiyanto</t>
  </si>
  <si>
    <t>K/23/301024/1</t>
  </si>
  <si>
    <t>Budi K/ Buyung Cs</t>
  </si>
  <si>
    <t>M. 10292/ Segala Mider</t>
  </si>
  <si>
    <t>K/24/301024/2</t>
  </si>
  <si>
    <t>Budi K/ Arianto</t>
  </si>
  <si>
    <t>M. 2314/ NOG; B. 558/ NOG</t>
  </si>
  <si>
    <t>K/25/301024/1</t>
  </si>
  <si>
    <t>TRI RUMIYANI/SERUNI WIDYAWATI</t>
  </si>
  <si>
    <t>M.5568/LANGKAPURA</t>
  </si>
  <si>
    <t>K/26/301024/2</t>
  </si>
  <si>
    <t>HERLIYANTI/SERUNI WIDYAWATI</t>
  </si>
  <si>
    <t>M.11542/LABUHAN RATU</t>
  </si>
  <si>
    <t>K/27/301024/3</t>
  </si>
  <si>
    <t>MARYANA/SERUNI WIDYAWATI</t>
  </si>
  <si>
    <t>M.10426/KAMPUNG BARU</t>
  </si>
  <si>
    <t>K/28/301024/1</t>
  </si>
  <si>
    <t>M.74/TANJUNG AGUNG</t>
  </si>
  <si>
    <t>K/29/301024/1</t>
  </si>
  <si>
    <t>SERUNI WIDYAWATI</t>
  </si>
  <si>
    <t>+62 895-6092-80120</t>
  </si>
  <si>
    <t>M. 1927/ Labuhan Dalam</t>
  </si>
  <si>
    <t>K/31/301024/1</t>
  </si>
  <si>
    <t>TITIK WIJAYANTI/VYATRA EKO SUSANTO</t>
  </si>
  <si>
    <t>081279240846</t>
  </si>
  <si>
    <t>M.12541/TANJUNG BARU</t>
  </si>
  <si>
    <t>K/32/301024/2</t>
  </si>
  <si>
    <t>M.9564/TANJUNG BARU</t>
  </si>
  <si>
    <t>L/30/301024/1</t>
  </si>
  <si>
    <t>AMINAH</t>
  </si>
  <si>
    <t>085809536263</t>
  </si>
  <si>
    <t>HM 1525/BERINGIN RAYA</t>
  </si>
  <si>
    <t>K/33/301024/3</t>
  </si>
  <si>
    <t>M.13730/TANJUNG BARU</t>
  </si>
  <si>
    <t>K/35/301024/1</t>
  </si>
  <si>
    <t>Apriga P/ Azwan E</t>
  </si>
  <si>
    <t>085769564094</t>
  </si>
  <si>
    <t>M. 10396/ Labuhan Ratu</t>
  </si>
  <si>
    <t>L/38/301024/1</t>
  </si>
  <si>
    <t>PURNOMO</t>
  </si>
  <si>
    <t>081379019529</t>
  </si>
  <si>
    <t>HM 1869/TANJUNG SENANG</t>
  </si>
  <si>
    <t>K/36/301024/1</t>
  </si>
  <si>
    <t>MAHFUD/ MUSRIAH</t>
  </si>
  <si>
    <t>M. 476/ SUKARAJA</t>
  </si>
  <si>
    <t>K/37/301024/2</t>
  </si>
  <si>
    <t>MAHFUD/ DASRUL</t>
  </si>
  <si>
    <t>M. 13119/ SUKARAME I</t>
  </si>
  <si>
    <t xml:space="preserve">Evi Udin/ Rini Zainuddin	</t>
  </si>
  <si>
    <t>0878787874040</t>
  </si>
  <si>
    <t xml:space="preserve">B. 2082/ Sukabumi	</t>
  </si>
  <si>
    <t xml:space="preserve">Sukabumi	</t>
  </si>
  <si>
    <t>L/39/301024/1</t>
  </si>
  <si>
    <t>ARNIS BAHAR</t>
  </si>
  <si>
    <t>081279059719</t>
  </si>
  <si>
    <t>M.11011/KEDAMAIAN- HT 5445/2014</t>
  </si>
  <si>
    <t>0887878784040</t>
  </si>
  <si>
    <t xml:space="preserve">Endang Aprilia/ Fitri R S	</t>
  </si>
  <si>
    <t xml:space="preserve">M. 1399/ Beringin Jaya; M. 2912 Beringin Raya-dahulu; B. 2928/ Berringin Raya-dahulu	</t>
  </si>
  <si>
    <t xml:space="preserve">M. 561/ Tanjung Senang	</t>
  </si>
  <si>
    <t xml:space="preserve">Tanjung Senang	</t>
  </si>
  <si>
    <t>K/40/301024/1</t>
  </si>
  <si>
    <t>Mahfud/ Sumyati</t>
  </si>
  <si>
    <t>M. 2285/ Bumi Waras</t>
  </si>
  <si>
    <t xml:space="preserve">Nibel. M. 118/ Rajabasa Raya	</t>
  </si>
  <si>
    <t xml:space="preserve">Rajabasa Raya	</t>
  </si>
  <si>
    <t>K/34/301024/4</t>
  </si>
  <si>
    <t>M.11237/TANJUNG BARU</t>
  </si>
  <si>
    <t xml:space="preserve">NIRWATI/CHRISTINA ULINA </t>
  </si>
  <si>
    <t>M.1704/PERUMNAS WAY HALIM-SEKARANG;B.562/KEDATON-DAHULU</t>
  </si>
  <si>
    <t>L/1/311024/1</t>
  </si>
  <si>
    <t>FERNANDO HUTAGALUNG</t>
  </si>
  <si>
    <t>082181018118</t>
  </si>
  <si>
    <t>B.1037/CAMPANG JAYA;B.1083/CAMPANG RAYA-DAHULU</t>
  </si>
  <si>
    <t>VITTA N</t>
  </si>
  <si>
    <t xml:space="preserve">Feryana/ M. Nasir	</t>
  </si>
  <si>
    <t xml:space="preserve">M. 2222/ Way Kandis; SHT 1348/ 2018	</t>
  </si>
  <si>
    <t>K/3/311024/1</t>
  </si>
  <si>
    <t>M. 5834/ Way Kandis</t>
  </si>
  <si>
    <t xml:space="preserve"> Way Kandis</t>
  </si>
  <si>
    <t>K/2/311024/1</t>
  </si>
  <si>
    <t>MISWANTO CS/ZAHRA</t>
  </si>
  <si>
    <t>082279400938</t>
  </si>
  <si>
    <t>M.702/KORPRI JAYA-SEKARANG;M12004/SUKARAME I-DAHULU</t>
  </si>
  <si>
    <t xml:space="preserve">M. 8119/ Sukabumi	</t>
  </si>
  <si>
    <t>K/5/311024/1</t>
  </si>
  <si>
    <t>Reflan R/ Antika D</t>
  </si>
  <si>
    <t>+62 813-7760-9339</t>
  </si>
  <si>
    <t>M. 213/ K B K</t>
  </si>
  <si>
    <t>K/4/311024/2</t>
  </si>
  <si>
    <t>kusniyah/ hariyo widodo</t>
  </si>
  <si>
    <t>082279841382</t>
  </si>
  <si>
    <t>M. 228/ Jagabaya I</t>
  </si>
  <si>
    <t>Jagabaya I</t>
  </si>
  <si>
    <t xml:space="preserve"> K/10/231024/3</t>
  </si>
  <si>
    <t>Kebon Jeruk</t>
  </si>
  <si>
    <t>K/6/311024/1</t>
  </si>
  <si>
    <t>Indah Syafitri/ Saipulloh</t>
  </si>
  <si>
    <t>+62 852-6993-7753</t>
  </si>
  <si>
    <t>Maharani</t>
  </si>
  <si>
    <t>M. 948/ Campang Raya; B. 200/ CR-dahulu</t>
  </si>
  <si>
    <t>L/11/311024/1</t>
  </si>
  <si>
    <t>SUHENDRA</t>
  </si>
  <si>
    <t>085238420525</t>
  </si>
  <si>
    <t>HM 1362/WHP</t>
  </si>
  <si>
    <t>Beda nama antara KTP (Caecilia Sri Uji Hardiyanti) dan Sertipikat (Sri Uji Hardiyanti) terlalu jauh. Berkas sudah pernah masuk di loket 1 tgl 16/07/2024, lengkapi perbaikan sesuai catatan</t>
  </si>
  <si>
    <t>WHP</t>
  </si>
  <si>
    <t>K/7/311024/1</t>
  </si>
  <si>
    <t xml:space="preserve">LINDA ASTUTI/EDYAWATY </t>
  </si>
  <si>
    <t>081541360418</t>
  </si>
  <si>
    <t>B.3378/SUKABUMI</t>
  </si>
  <si>
    <t>K/8/311024/2</t>
  </si>
  <si>
    <t>NOVI FIRDAYANTI/EDYAWATI</t>
  </si>
  <si>
    <t>M.1565/KEMILING PERMAI</t>
  </si>
  <si>
    <t>L/12/311024/1</t>
  </si>
  <si>
    <t>DASWAN</t>
  </si>
  <si>
    <t>083856389061</t>
  </si>
  <si>
    <t>HM 13738/SUKABUMI</t>
  </si>
  <si>
    <t>K/9/311024/3</t>
  </si>
  <si>
    <t>NOVIFIRDAYANTI/EDYAWATI</t>
  </si>
  <si>
    <t>M.9492/SEGALAMIDER</t>
  </si>
  <si>
    <t>SEGALAMIDER</t>
  </si>
  <si>
    <t>K/10/311024/4</t>
  </si>
  <si>
    <t>NOVI FIRDAYANTI CS/EDYAWATI</t>
  </si>
  <si>
    <t>M.1563/KEMILING PERMAI</t>
  </si>
  <si>
    <t>L/13/311024/1</t>
  </si>
  <si>
    <t>HADI YANI</t>
  </si>
  <si>
    <t>08153805577</t>
  </si>
  <si>
    <t>B.1043/RJB</t>
  </si>
  <si>
    <t>K/15/311024/1</t>
  </si>
  <si>
    <t>AFRIZAL/ ARIF ANDI</t>
  </si>
  <si>
    <t>M. 15125/ Sukabumi</t>
  </si>
  <si>
    <t>K/14/311024/1</t>
  </si>
  <si>
    <t>Eka Chandre/ Nelly S</t>
  </si>
  <si>
    <t>+62 895-4178-90270</t>
  </si>
  <si>
    <t>Nibel. M. 642/ Jagabaya II</t>
  </si>
  <si>
    <t xml:space="preserve">M. 4393/ Gunung Terang	</t>
  </si>
  <si>
    <t xml:space="preserve"> Gunung Terang	</t>
  </si>
  <si>
    <t>K/16/311024/1</t>
  </si>
  <si>
    <t>Irawati K/ Sarinawaty T</t>
  </si>
  <si>
    <t>M. 11645/ Sukarame</t>
  </si>
  <si>
    <t>K/17/311024/1</t>
  </si>
  <si>
    <t>ewon gunawan</t>
  </si>
  <si>
    <t>089506115259</t>
  </si>
  <si>
    <t>plottting</t>
  </si>
  <si>
    <t>M. 13031/ Sukarame</t>
  </si>
  <si>
    <t>L/18/311024/1</t>
  </si>
  <si>
    <t>ERNAWATY SILVYA</t>
  </si>
  <si>
    <t>081279766197</t>
  </si>
  <si>
    <t>HM 1915/GUNUNG TERANG</t>
  </si>
  <si>
    <t>L/19/311024/1</t>
  </si>
  <si>
    <t>MANSYURSYAH BASTARI</t>
  </si>
  <si>
    <t>081369998920</t>
  </si>
  <si>
    <t>M.2510/KP;B.175/KP-DAHULU</t>
  </si>
  <si>
    <t>K/20/311024/1</t>
  </si>
  <si>
    <t>Priyo Susilo/ Lukita S</t>
  </si>
  <si>
    <t>081278581675</t>
  </si>
  <si>
    <t>M. 101/ P W K</t>
  </si>
  <si>
    <t>Perumahan Way Kandis</t>
  </si>
  <si>
    <t>K/21/311024/1</t>
  </si>
  <si>
    <t>SAHRUL BAHRI/ EVI NURLELI</t>
  </si>
  <si>
    <t>089630598142</t>
  </si>
  <si>
    <t>GANTI KECAMATAN</t>
  </si>
  <si>
    <t>M. 815/ PASIR GINTUNG</t>
  </si>
  <si>
    <t>PASIR GINTUNG</t>
  </si>
  <si>
    <t>K/22/311024/1</t>
  </si>
  <si>
    <t>YETTY HERAWATY/M FAJAR DIFITRI</t>
  </si>
  <si>
    <t>B.698/NEGERI OLOK GADING</t>
  </si>
  <si>
    <t>K/23/311024/1</t>
  </si>
  <si>
    <t>HERRI WIBOWO/ABDI  HARI KURNIAWAN</t>
  </si>
  <si>
    <t>M.3135/TANJUNG SENENG</t>
  </si>
  <si>
    <t>K/24/311024/2</t>
  </si>
  <si>
    <t>GIM DIRMAN/ABDI HARI KURNIAWAN</t>
  </si>
  <si>
    <t>M.11853/LABUHAN RATU</t>
  </si>
  <si>
    <t>L/25/311024/1</t>
  </si>
  <si>
    <t>YOGI RIAWAN</t>
  </si>
  <si>
    <t>0877-0112-2017</t>
  </si>
  <si>
    <t>M.10385/KEDAMAIAN</t>
  </si>
  <si>
    <t>L/26/311024/1</t>
  </si>
  <si>
    <t>SUSISWO</t>
  </si>
  <si>
    <t>082186446842</t>
  </si>
  <si>
    <t>HGB 138/KEMILING PERMAI</t>
  </si>
  <si>
    <t>L/27/311024/1</t>
  </si>
  <si>
    <t>MUHAMAD YUSUF</t>
  </si>
  <si>
    <t>08127965679</t>
  </si>
  <si>
    <t>M.2818/GU.T;B.92/GU.T-DAHULU</t>
  </si>
  <si>
    <t>K/28/311024/1</t>
  </si>
  <si>
    <t>Destia Liana P/ Harti W</t>
  </si>
  <si>
    <t>085269075370</t>
  </si>
  <si>
    <t>B. 1546/ Sukabumi</t>
  </si>
  <si>
    <t>K/29/311024/1</t>
  </si>
  <si>
    <t>NANIK MARYANI/ HUMAIDI</t>
  </si>
  <si>
    <t>B. 1655/ KANGKUNG</t>
  </si>
  <si>
    <t>K/32/311024/1</t>
  </si>
  <si>
    <t>ABDUL MANAN/BUDI KRISTIANTO</t>
  </si>
  <si>
    <t>Data tidak di temukan di KKP dan TT</t>
  </si>
  <si>
    <t>M.11880/SEGALA MIDER</t>
  </si>
  <si>
    <t>K/33/311024/2</t>
  </si>
  <si>
    <t>MAULANA MUHAMMAD RANGGA/BUDI KRISTIANTO</t>
  </si>
  <si>
    <t>M.9885/KEDATON</t>
  </si>
  <si>
    <t>K/34/311024/3</t>
  </si>
  <si>
    <t>ANGELINA ALI/BUDI KRISTIANTO</t>
  </si>
  <si>
    <t>B.535/BAKUNG</t>
  </si>
  <si>
    <t>BAKUNG</t>
  </si>
  <si>
    <t>K/30/311024/2</t>
  </si>
  <si>
    <t>NANIK MARYANI</t>
  </si>
  <si>
    <t>M. 520/ Gunung Agung</t>
  </si>
  <si>
    <t xml:space="preserve"> Gunung Agung</t>
  </si>
  <si>
    <t>K/35/311024/1</t>
  </si>
  <si>
    <t>M. Arief S/ Maulia A P</t>
  </si>
  <si>
    <t>M. 16570/ Sukabumi</t>
  </si>
  <si>
    <t>K/31/311024/3</t>
  </si>
  <si>
    <t>nanik/ dina</t>
  </si>
  <si>
    <t>M. 3998/ Rajabasa Jaya</t>
  </si>
  <si>
    <t>K/36/311024/1</t>
  </si>
  <si>
    <t>VONITA/RAFICO</t>
  </si>
  <si>
    <t>B.571/NUSANTARA PERMAI-SEKARANG;B.616/CAMPANG RAYA-DAHULU</t>
  </si>
  <si>
    <t>K/37/311024/1</t>
  </si>
  <si>
    <t>NYIMAS AYU ANGGUN SHINTIYA CS/LILIS DAMAYANTI</t>
  </si>
  <si>
    <t>0852-6957-4899</t>
  </si>
  <si>
    <t>M.9511/SIDODADI</t>
  </si>
  <si>
    <t>K/38/311024/1</t>
  </si>
  <si>
    <t>Ernawati/ Elvina (BPR Adji Caka)</t>
  </si>
  <si>
    <t>082176516885</t>
  </si>
  <si>
    <t>Ganti Nama Kreditur</t>
  </si>
  <si>
    <t>M. 2181/ Kemiling Permai; SHT 1853/2019</t>
  </si>
  <si>
    <t>K/39/311024/1</t>
  </si>
  <si>
    <t>KASIRAH/CHRISTINA ULINA</t>
  </si>
  <si>
    <t>M.183/LABUHAN RATU RAYA</t>
  </si>
  <si>
    <t>K/40/311024/2</t>
  </si>
  <si>
    <t>NURMA/CHRISTINA ULINA</t>
  </si>
  <si>
    <t>M.1183/PERUMNAS WAY KANDIS</t>
  </si>
  <si>
    <t>08787874040</t>
  </si>
  <si>
    <t xml:space="preserve">M. 2589/ Kota Baru	</t>
  </si>
  <si>
    <t xml:space="preserve"> Kota Baru	</t>
  </si>
  <si>
    <t>K/41/311024/1</t>
  </si>
  <si>
    <t>Reflan R/ Riang Budi S</t>
  </si>
  <si>
    <t>M. 3912/ Sukadana Ham</t>
  </si>
  <si>
    <t>K/42/311024/1</t>
  </si>
  <si>
    <t>ILANUR</t>
  </si>
  <si>
    <t>M. 1333/ SEPANG JAYA</t>
  </si>
  <si>
    <t>SEPANG JAYA</t>
  </si>
  <si>
    <t>K/43/311024/1</t>
  </si>
  <si>
    <t>Budi K/ Vilyanti Fernandez W</t>
  </si>
  <si>
    <t>M. 860/ Tanjung Gading</t>
  </si>
  <si>
    <t xml:space="preserve"> Tanjung Gading</t>
  </si>
  <si>
    <t>K/44/311024/2</t>
  </si>
  <si>
    <t>Budi K/ Vilaynti F W</t>
  </si>
  <si>
    <t>M. 858/ Tanjung Gading</t>
  </si>
  <si>
    <t>L/46/311024/1</t>
  </si>
  <si>
    <t>EFENDI SUYANTO</t>
  </si>
  <si>
    <t>082111113895</t>
  </si>
  <si>
    <t>M.1462/SS.B</t>
  </si>
  <si>
    <t>K/45/311024/3</t>
  </si>
  <si>
    <t>Budi K/ Vilaynti Fernandez W</t>
  </si>
  <si>
    <t>M. 859/ Tanjung Gading</t>
  </si>
  <si>
    <t>K/47/311024/1</t>
  </si>
  <si>
    <t>SUJONO PARYONO</t>
  </si>
  <si>
    <t>+62 857-0912-8336</t>
  </si>
  <si>
    <t>M. 1057/ BERINGIN RAYA</t>
  </si>
  <si>
    <t>SUMBERAGUNG</t>
  </si>
  <si>
    <t>K/48/311024/1</t>
  </si>
  <si>
    <t>SRI SURYANI CS/NOVALIA EKA PUTRI</t>
  </si>
  <si>
    <t>M.233/PERUMNAS WAY KANDIS-SEKARANG;B.233/KEDATON-DAHULU</t>
  </si>
  <si>
    <t>K/49/311024/2</t>
  </si>
  <si>
    <t>ASTRID TANDIARI/NOVALIA EKA PUTRI</t>
  </si>
  <si>
    <t>M.1351/WAY HALIM PERMAI-SEKARANG;B.437/JAGABAYA II-DAHULU</t>
  </si>
  <si>
    <t>L/54/311024/1</t>
  </si>
  <si>
    <t>NIB 1772/SUKARAME</t>
  </si>
  <si>
    <t xml:space="preserve">SUKARAME  </t>
  </si>
  <si>
    <t>K/50/311024/3</t>
  </si>
  <si>
    <t>MAIMUNAH CS/NOVALIA EKA PUTRI</t>
  </si>
  <si>
    <t>M.5980/WAY KANDIS</t>
  </si>
  <si>
    <t>K/51/311024/4</t>
  </si>
  <si>
    <t>M.5979/WAY KANDIS</t>
  </si>
  <si>
    <t>K/52/311024/1</t>
  </si>
  <si>
    <t>NIBEL 2355/ SUKABUMI</t>
  </si>
  <si>
    <t xml:space="preserve"> SUKABUMI</t>
  </si>
  <si>
    <t>K/53/311024/2</t>
  </si>
  <si>
    <t>annisa/ rahmadiyanti</t>
  </si>
  <si>
    <t>Nibel 2354/ Sukabumi</t>
  </si>
  <si>
    <t>K/55/311024/2</t>
  </si>
  <si>
    <t>Reflan R/ Radiyo</t>
  </si>
  <si>
    <t>Nibel.M. 2744/ Sukarame Baru</t>
  </si>
  <si>
    <t>K/56/311024/3</t>
  </si>
  <si>
    <t>Nibel. M. 2743/ Sukarame Baru</t>
  </si>
  <si>
    <t>K/57/311024/1</t>
  </si>
  <si>
    <t>ENDANG/ ENRIKO</t>
  </si>
  <si>
    <t>B. 581/ Sumber Agung</t>
  </si>
  <si>
    <t>K/59/311024/1</t>
  </si>
  <si>
    <t>ZUKI LOEKMAN/HERA AGUSTIANTI PUTRI</t>
  </si>
  <si>
    <t>M.9662/KEDAMAIAN</t>
  </si>
  <si>
    <t xml:space="preserve">Andrianto/ Eka Wijaya	</t>
  </si>
  <si>
    <t xml:space="preserve">M. 1603/ Bumi Kedamaian	</t>
  </si>
  <si>
    <t xml:space="preserve">Bumi Kedamaian	</t>
  </si>
  <si>
    <t xml:space="preserve">Agustina S/ Erdi Purnomo	</t>
  </si>
  <si>
    <t xml:space="preserve">M. 2051/ L R R; M. 11392/ L R	</t>
  </si>
  <si>
    <t>K/60/311024/1</t>
  </si>
  <si>
    <t xml:space="preserve">Mahfud/ Eka C </t>
  </si>
  <si>
    <t>M. 12416/ Sukabumi; B. 4544/ Sukabumi</t>
  </si>
  <si>
    <t>K/58/311024/2</t>
  </si>
  <si>
    <t>endang aprilia/ ingga</t>
  </si>
  <si>
    <t>M. 6488/ Way Kandis</t>
  </si>
  <si>
    <t>K/61/311024/2</t>
  </si>
  <si>
    <t>Mahfud/ Bambang P</t>
  </si>
  <si>
    <t>Pengukuran HGB Berakhir</t>
  </si>
  <si>
    <t>B. 944/ Kedaton</t>
  </si>
  <si>
    <t>K/62/311024/3</t>
  </si>
  <si>
    <t>endang aprilia/ billy</t>
  </si>
  <si>
    <t>B. 578/ Sumber Agung</t>
  </si>
  <si>
    <t>K/65/311024/2</t>
  </si>
  <si>
    <t>Richard Adi P/ Chytia R M</t>
  </si>
  <si>
    <t>+62 852-7999-7821</t>
  </si>
  <si>
    <t>B. 103/ Nusantara Permai</t>
  </si>
  <si>
    <t>K/66/311024/1</t>
  </si>
  <si>
    <t>ZAMRONI/ WIDODO</t>
  </si>
  <si>
    <t>082379007960</t>
  </si>
  <si>
    <t>M. 1871/ Tanjung Seneng</t>
  </si>
  <si>
    <t xml:space="preserve"> Tanjung Seneng</t>
  </si>
  <si>
    <t>K/64/311024/1</t>
  </si>
  <si>
    <t>Richard Adi P/ Ferawati J</t>
  </si>
  <si>
    <t>B. 256/ Nusantara Permai</t>
  </si>
  <si>
    <t>K/67/311024/1</t>
  </si>
  <si>
    <t>WINDA KARTIKA/ANDRY YULIAN</t>
  </si>
  <si>
    <t>M.2446/RAJABASA JAYA</t>
  </si>
  <si>
    <t>K/68/311024/2</t>
  </si>
  <si>
    <t>MOHAMAD FADIL/DEWI SUKMASARI</t>
  </si>
  <si>
    <t>M.11378/SEGALA MIDER</t>
  </si>
  <si>
    <t>K/69/311024/3</t>
  </si>
  <si>
    <t>SRI RISMA YENNY/DWI SUKMASARI</t>
  </si>
  <si>
    <t>M.10150/SUKAMENANTI</t>
  </si>
  <si>
    <t>SUKAMENANTI</t>
  </si>
  <si>
    <t>K/1/45597/1</t>
  </si>
  <si>
    <t xml:space="preserve">AZHAR KOMAR/RUMAIDA </t>
  </si>
  <si>
    <t>081275389468</t>
  </si>
  <si>
    <t>M.4660/LANGKAPURA</t>
  </si>
  <si>
    <t>L/2/11124/1</t>
  </si>
  <si>
    <t>ADELLA WULAN SAPTIANA</t>
  </si>
  <si>
    <t>081329364753</t>
  </si>
  <si>
    <t>HGB 403/SUKARAME BARU</t>
  </si>
  <si>
    <t>P2</t>
  </si>
  <si>
    <t xml:space="preserve">KOTA BARU	</t>
  </si>
  <si>
    <t>K/3/11124/1</t>
  </si>
  <si>
    <t>REFLAN/ BOY</t>
  </si>
  <si>
    <t>M. 11571/ TANJUNG BARU</t>
  </si>
  <si>
    <t>K/4/11124/2</t>
  </si>
  <si>
    <t>REFLAN RASYID/ BOY</t>
  </si>
  <si>
    <t>M. 599/ KALI BALAU KENCANA</t>
  </si>
  <si>
    <t xml:space="preserve"> KALI BALAU KENCANA</t>
  </si>
  <si>
    <t>K/5/11124/1</t>
  </si>
  <si>
    <t>rizal effendi/ irvan</t>
  </si>
  <si>
    <t>M. 6050/ Way Kandis</t>
  </si>
  <si>
    <t>K/6/11124/1</t>
  </si>
  <si>
    <t>RAHMADIYANTI/ AGRI</t>
  </si>
  <si>
    <t>M. 6570/ TANJUNG SENANG</t>
  </si>
  <si>
    <t>K/8/011124/1</t>
  </si>
  <si>
    <t>Hera A P/ May Duma</t>
  </si>
  <si>
    <t>+62 813-6548-3482</t>
  </si>
  <si>
    <t>B. 65/ Labuhan Dalam</t>
  </si>
  <si>
    <t>K/9/011124/2</t>
  </si>
  <si>
    <t>Hera A P/ Dede Kurniawan</t>
  </si>
  <si>
    <t>M. 1322/ Labuhan Dalam</t>
  </si>
  <si>
    <t>K/10/011124/1</t>
  </si>
  <si>
    <t>RENI DEVITASARI/LINGGA AYU BURDANI</t>
  </si>
  <si>
    <t>M.1915/SUKARAME BARU</t>
  </si>
  <si>
    <t>K/7/011124/1</t>
  </si>
  <si>
    <t>Ilanur/ Taryadi Ilyas</t>
  </si>
  <si>
    <t>M. 2869/ Sukarame Baru</t>
  </si>
  <si>
    <t>K/11/011124/2</t>
  </si>
  <si>
    <t>MURHASANAH CS/LINGGA AYU BURDHANI</t>
  </si>
  <si>
    <t>M.505/SUKABUMI INDAH</t>
  </si>
  <si>
    <t>Ilanur/ Taryadi Ilayas</t>
  </si>
  <si>
    <t>L/12/011124/1</t>
  </si>
  <si>
    <t>ANISA CAHAYA PRATIWI</t>
  </si>
  <si>
    <t>085840525648</t>
  </si>
  <si>
    <t>TANAH MENTAH</t>
  </si>
  <si>
    <t>SUMBER AGUNG, KEMILING</t>
  </si>
  <si>
    <t>KEMILING</t>
  </si>
  <si>
    <t xml:space="preserve">M. 651/ Durian Payung	</t>
  </si>
  <si>
    <t>K/13/011124/1</t>
  </si>
  <si>
    <t>elvan Sius/ Lie Tjie Jin</t>
  </si>
  <si>
    <t>PTPGT HGB BERAKHIR</t>
  </si>
  <si>
    <t>PBT 131/2024</t>
  </si>
  <si>
    <t>KOTA KARANG RAYA</t>
  </si>
  <si>
    <t>K/14/011124/1</t>
  </si>
  <si>
    <t>Richard Adi P/ Andhika S</t>
  </si>
  <si>
    <t>M. 3651/ Surabaya</t>
  </si>
  <si>
    <t>K/17/011124/1</t>
  </si>
  <si>
    <t>LIUS SANDI SAPUTRA/PANARY SITOPU</t>
  </si>
  <si>
    <t>M.1014/BUMI KEDAMAIAN-SEKARANG;M.12108/KEDAMAIAN-DAHULU</t>
  </si>
  <si>
    <t>K/15/011124/2</t>
  </si>
  <si>
    <t>Richard Adi/ Iwan S</t>
  </si>
  <si>
    <t>B. 127/ Nusantara Permai</t>
  </si>
  <si>
    <t>K/16/011124/3</t>
  </si>
  <si>
    <t>Richard Adi P/ Welly P</t>
  </si>
  <si>
    <t>B. 128/ Nusantara Permai</t>
  </si>
  <si>
    <t>L/18/011124/1</t>
  </si>
  <si>
    <t>YOGASARI HAYUNINGTYAS</t>
  </si>
  <si>
    <t>0821369262358</t>
  </si>
  <si>
    <t>HM 1095/GEDONG AIR</t>
  </si>
  <si>
    <t>L/13/301024/1</t>
  </si>
  <si>
    <t>EMYLYA KRISTINA</t>
  </si>
  <si>
    <t>081379441176</t>
  </si>
  <si>
    <t>M.15228/S I</t>
  </si>
  <si>
    <t>K/19/011124/2</t>
  </si>
  <si>
    <t>INGGIT PUTRIA MARGA/PANARY SITOPU</t>
  </si>
  <si>
    <t>B.752/SUMUR PUTRI</t>
  </si>
  <si>
    <t>K/20/011124/1</t>
  </si>
  <si>
    <t>ANDRI NOVIAR/ RIDWAN</t>
  </si>
  <si>
    <t>+62 821-8254-2262</t>
  </si>
  <si>
    <t xml:space="preserve">Nibel 2191/ Gunung Terang </t>
  </si>
  <si>
    <t xml:space="preserve">Gunung Terang </t>
  </si>
  <si>
    <t>K/21/011124/1</t>
  </si>
  <si>
    <t>PT UTAMI JAYA MANDIRI/ISMARINA</t>
  </si>
  <si>
    <t>B.4381/SUKARAME I</t>
  </si>
  <si>
    <t xml:space="preserve">Panary S/ Lili Meilani	</t>
  </si>
  <si>
    <t xml:space="preserve">B. 606/ </t>
  </si>
  <si>
    <t xml:space="preserve">Sumur Putri	</t>
  </si>
  <si>
    <t xml:space="preserve">Panary Sitopu/ Sherly Sagita E	</t>
  </si>
  <si>
    <t xml:space="preserve">Panary S/ Amirhan	</t>
  </si>
  <si>
    <t xml:space="preserve">M. 6475/ Way Kandis	</t>
  </si>
  <si>
    <t>K/22/011124/2</t>
  </si>
  <si>
    <t xml:space="preserve">DIKDO WIRATNO/ISMARINA </t>
  </si>
  <si>
    <t>M.17182/SUKARAME-SEKARANG'B.1230/SUKARAME I</t>
  </si>
  <si>
    <t>K/23/011124/1</t>
  </si>
  <si>
    <t>ERNY OKTAVIA</t>
  </si>
  <si>
    <t>082281928080</t>
  </si>
  <si>
    <t>NIBEL 2563/ BERINGIN RAYA</t>
  </si>
  <si>
    <t>K/24/011124/1</t>
  </si>
  <si>
    <t>I GUSTI NGURAH BIANTARA/NINA HANDAYANI</t>
  </si>
  <si>
    <t>081279010099</t>
  </si>
  <si>
    <t>M NIEBL 1952/LABUHAN DALAM</t>
  </si>
  <si>
    <t>Pada Surat Permohonan, Surat Kuasa, Surat Pernyataan Absentee, dan Surat Pernyataan BPHTB perbaiki alamat I Made Sukantra</t>
  </si>
  <si>
    <t>Beda Nama Aya Sophia dan Aya Sofia serta Beda Nama Eddy Mahdi dan Eddi Mahdi</t>
  </si>
  <si>
    <t>NIBEL M 1953/LABUHAN DALAM</t>
  </si>
  <si>
    <t>Kenapa di AJB anak Aya Sophia yang bernama Derra Rizka tidak memberi persetujuan ?</t>
  </si>
  <si>
    <t>K/26/011124/1</t>
  </si>
  <si>
    <t>SEPRIYANTONI/NOVALIA EKA PUTRI</t>
  </si>
  <si>
    <t>AJB hlm 2 perbaiki nomor Akta Kematian, AJB hlm. 3 perbaiki tgl lahir I Made Sukantra dan Nomor NIBEL</t>
  </si>
  <si>
    <t>M.5014/RAJABASA JAYA-SEKARANG;M.9263/RAJABASA-DAHULU</t>
  </si>
  <si>
    <t>Di AJB saksi bernama Cori Anggraini tetapi yang ttd saksinya bernama Selvi Meilinda ?</t>
  </si>
  <si>
    <t>Perbaikan ke dua : Poin 2 belum dipenuhi dan AJB setiap hlm kurang paraf</t>
  </si>
  <si>
    <t>ENDANG / WAHYU AJI P</t>
  </si>
  <si>
    <t>B. 592/ Sumber Agung</t>
  </si>
  <si>
    <t>K/27/011124/1</t>
  </si>
  <si>
    <t>ENDANG APRILIA</t>
  </si>
  <si>
    <t>K/28/011124/2</t>
  </si>
  <si>
    <t>endang</t>
  </si>
  <si>
    <t>nibel 1096/ kemiling permai</t>
  </si>
  <si>
    <t>kemiling permai</t>
  </si>
  <si>
    <t>K/29/011124/3</t>
  </si>
  <si>
    <t>Nibel 2430/ kemiling permai</t>
  </si>
  <si>
    <t>K/30/011124/1</t>
  </si>
  <si>
    <t>I Made R/ yudha S</t>
  </si>
  <si>
    <t>+62 853-8479-7293</t>
  </si>
  <si>
    <t>PTPGT (Pertama Kali)</t>
  </si>
  <si>
    <t>PBT. 87/2024</t>
  </si>
  <si>
    <t>K/31/011124/2</t>
  </si>
  <si>
    <t>I Made R/ Susi F</t>
  </si>
  <si>
    <t>M. 2996/ Sukadana Ham</t>
  </si>
  <si>
    <t xml:space="preserve">Budi K/ Desi Arif Y	</t>
  </si>
  <si>
    <t xml:space="preserve">Nibel. M. 2665/ Beringin Raya	</t>
  </si>
  <si>
    <t xml:space="preserve">Beringin Raya	</t>
  </si>
  <si>
    <t>K/32/011124/1</t>
  </si>
  <si>
    <t>IDA YUDIKA ESTOMIHI N/AYI RUHIYAT</t>
  </si>
  <si>
    <t>B.1127/KEMILING PERMAI</t>
  </si>
  <si>
    <t>K/33/011124/1</t>
  </si>
  <si>
    <t>RIZKI PARLIANSYAH/DZAKY AGUSTHOMI</t>
  </si>
  <si>
    <t>M.16627/SUKABUMI</t>
  </si>
  <si>
    <t xml:space="preserve">Fahrul Rozi/ Harlinda	</t>
  </si>
  <si>
    <t xml:space="preserve">M. 3265/ Gedong Air	</t>
  </si>
  <si>
    <t xml:space="preserve"> Gedong Air	</t>
  </si>
  <si>
    <t>K/34/011124/1</t>
  </si>
  <si>
    <t>rani prameswari cs/algy belamy deseandre</t>
  </si>
  <si>
    <t>0895635586705</t>
  </si>
  <si>
    <t>ploting</t>
  </si>
  <si>
    <t>M.1342/SUMUR PUTRI-SEKARANG;B.1342/SUMUR PUTRI-DAHULU</t>
  </si>
  <si>
    <t xml:space="preserve">Herlina Ratna SN/ Yudha O	</t>
  </si>
  <si>
    <t xml:space="preserve">B. 1206/ Kemiling Permai	</t>
  </si>
  <si>
    <t xml:space="preserve">Kemiling Permai	</t>
  </si>
  <si>
    <t>K/35/011124/1</t>
  </si>
  <si>
    <t>WHINDA YULIANTI/ SURI</t>
  </si>
  <si>
    <t>08966390447</t>
  </si>
  <si>
    <t>B. 946/ Beringin Jaya</t>
  </si>
  <si>
    <t>K/37/011124/1</t>
  </si>
  <si>
    <t>Reflan R/ Andy Suherman</t>
  </si>
  <si>
    <t>M. 429/ Gedong Pakuon</t>
  </si>
  <si>
    <t>Gedong Pakuon</t>
  </si>
  <si>
    <t>K/36/011124/2</t>
  </si>
  <si>
    <t>WHINDA Y</t>
  </si>
  <si>
    <t>089663904479</t>
  </si>
  <si>
    <t>Nibel 626/ Campang Raya</t>
  </si>
  <si>
    <t>K/38/011124/2</t>
  </si>
  <si>
    <t>Reflan R/ Hermawati</t>
  </si>
  <si>
    <t>M. 141/ Talang (gedung pakuon Talang)</t>
  </si>
  <si>
    <t>Talang</t>
  </si>
  <si>
    <t>K/39/011124/3</t>
  </si>
  <si>
    <t>Reflan R/ Risneni</t>
  </si>
  <si>
    <t>M. 963; 932/ Pengajaran; SHT2637/2017 dan SHT 2144/2017</t>
  </si>
  <si>
    <t>K/40/011124/1</t>
  </si>
  <si>
    <t>Febriyanti prisca Sutikna/ Livia Yonathan</t>
  </si>
  <si>
    <t>081220025200</t>
  </si>
  <si>
    <t>M. 551/ Way Halim Permai</t>
  </si>
  <si>
    <t>K/41/011124/1</t>
  </si>
  <si>
    <t>Siti Fatimah/ Hadiyanto</t>
  </si>
  <si>
    <t>0895323589944</t>
  </si>
  <si>
    <t>M. 624/ Sukarame</t>
  </si>
  <si>
    <t>K/42/011124/2</t>
  </si>
  <si>
    <t>Siti Fatimah/ Tety Herawaty</t>
  </si>
  <si>
    <t>M. 379/ Kemiling Permai</t>
  </si>
  <si>
    <t>K/1/041124/1</t>
  </si>
  <si>
    <t>Fahmi Sasmita/ Agus S</t>
  </si>
  <si>
    <t>+62 852-6657-1953</t>
  </si>
  <si>
    <t>M. 2498/ Way Laga</t>
  </si>
  <si>
    <t>Way Laga</t>
  </si>
  <si>
    <t>K/2/041125/1</t>
  </si>
  <si>
    <t>ARIS ARDIANSYAH/ EPI PARELA</t>
  </si>
  <si>
    <t>082111164075</t>
  </si>
  <si>
    <t>M. 1233/ Talang</t>
  </si>
  <si>
    <t>IG YOGA/ DEBY HARDIAN</t>
  </si>
  <si>
    <t>M. 1812/ Rajabasa Nunyai</t>
  </si>
  <si>
    <t>K/3/041124/1</t>
  </si>
  <si>
    <t>IG YOGA/ ERPIALIS</t>
  </si>
  <si>
    <t>M. 1357/ KETEGUHAN</t>
  </si>
  <si>
    <t>KETEGUHAN</t>
  </si>
  <si>
    <t>K/4/041124/1</t>
  </si>
  <si>
    <t>Indah S/ Nita A</t>
  </si>
  <si>
    <t>+62 896-3133-6683</t>
  </si>
  <si>
    <t>M. 6423/ Gunung Sulah</t>
  </si>
  <si>
    <t>K/5/041124/1</t>
  </si>
  <si>
    <t>Triadi K/ William Felix</t>
  </si>
  <si>
    <t>+62 821-7715-9938</t>
  </si>
  <si>
    <t>M. 2126/ Kangkung</t>
  </si>
  <si>
    <t>K/6/041124/1</t>
  </si>
  <si>
    <t>HARIYO WIDODO/ MELDA</t>
  </si>
  <si>
    <t>M. 746/ JAGABAYA III</t>
  </si>
  <si>
    <t>K/7/041124/2</t>
  </si>
  <si>
    <t>HARIYO WIDODO</t>
  </si>
  <si>
    <t>M. 4993/ TANJUNG SENENG</t>
  </si>
  <si>
    <t>L/63/311024/1</t>
  </si>
  <si>
    <t>LURMI HAYATI MANURUNG</t>
  </si>
  <si>
    <t>081374405957</t>
  </si>
  <si>
    <t>B.764/WAY KANDIS</t>
  </si>
  <si>
    <t>K/9/041124/1</t>
  </si>
  <si>
    <t>PT CIPTA ABADI PRIMA SEJAHTERA/WHINDA YULIANTI</t>
  </si>
  <si>
    <t>IBEL B.640/CAMPANG RAYA</t>
  </si>
  <si>
    <t>K/10/041124/2</t>
  </si>
  <si>
    <t>PT GUNUNG SULAH MEDIKA/WHINDA YULIANTI</t>
  </si>
  <si>
    <t>NIBEL B.506/GUNUNG SULAH</t>
  </si>
  <si>
    <t>K/12/041124/3</t>
  </si>
  <si>
    <t>NIBEL B.508/GUNUNG SULAH</t>
  </si>
  <si>
    <t>K/13/041124/4</t>
  </si>
  <si>
    <t>NIBEL B.507/GUNUNG SULAH</t>
  </si>
  <si>
    <t>K/8/041124/1</t>
  </si>
  <si>
    <t>A ROSWANTAMA/ EMITA CS</t>
  </si>
  <si>
    <t>M. 3227/ TANJUNG SENENG</t>
  </si>
  <si>
    <t>L/15/041131/1</t>
  </si>
  <si>
    <t>EDIYANTO</t>
  </si>
  <si>
    <t>08538461141</t>
  </si>
  <si>
    <t>M.24/NUSANTARA PERMAI-SEKARANG; M.32/CAMPANG RAYA -DAHULU</t>
  </si>
  <si>
    <t>L/16/041132/1</t>
  </si>
  <si>
    <t>A SYAFARI</t>
  </si>
  <si>
    <t>085769554244</t>
  </si>
  <si>
    <t>B.4891 / BERINGIN RAYA</t>
  </si>
  <si>
    <t>K/18/041124/1</t>
  </si>
  <si>
    <t>Intan Avita S/ Yuly Wina A</t>
  </si>
  <si>
    <t>+62 899-2158-512</t>
  </si>
  <si>
    <t>M. 2289/ Perumnas Way Halim</t>
  </si>
  <si>
    <t xml:space="preserve"> Perumnas Way Halim</t>
  </si>
  <si>
    <t>K/19/041124/1</t>
  </si>
  <si>
    <t>HAMDA YUPI/ RAHMI GUSTINA</t>
  </si>
  <si>
    <t>085161541553</t>
  </si>
  <si>
    <t>PTPGT TANAH MENDTAH</t>
  </si>
  <si>
    <t>PBT 90/2024</t>
  </si>
  <si>
    <t>K/11/041124/1</t>
  </si>
  <si>
    <t>Dian Eka S. Gustia Yolanda</t>
  </si>
  <si>
    <t>+62 821-8404-4433</t>
  </si>
  <si>
    <t>M. 1346/ Sumberrejo</t>
  </si>
  <si>
    <t>L/16/041124/1</t>
  </si>
  <si>
    <t>SRI AGUSTINA</t>
  </si>
  <si>
    <t>088707089799</t>
  </si>
  <si>
    <t>K/21/041124/1</t>
  </si>
  <si>
    <t>IDAYATI SISWANTO/AFRIZAL</t>
  </si>
  <si>
    <t>M.1031/NEGERI OLOK GADING-SEKARANG;B.975/NEGERI OLOK GADING-DAHULU</t>
  </si>
  <si>
    <t>L/24/041124/1</t>
  </si>
  <si>
    <t>RAHMAT EDWARD</t>
  </si>
  <si>
    <t>081540951977</t>
  </si>
  <si>
    <t>M.11580/SEGALA MIDER</t>
  </si>
  <si>
    <t>K/22/041124/2</t>
  </si>
  <si>
    <t>YUSUF EFFENDI/AFRIZAL</t>
  </si>
  <si>
    <t>M.2660/SUMBER AGUNG-SEKARANG;M.90/BERINGIN RAYA-DAHULU</t>
  </si>
  <si>
    <t>K/23/041124/3</t>
  </si>
  <si>
    <t>ERIC TJONG/AFRIZAL</t>
  </si>
  <si>
    <t>NIBEL B.3071.1/KETEGUHAN</t>
  </si>
  <si>
    <t>K/25/041124/1</t>
  </si>
  <si>
    <t>EVI UDIN/ TONI SETIAWAN</t>
  </si>
  <si>
    <t>M. 3488/ Kota Baru</t>
  </si>
  <si>
    <t>L/30/041124/1</t>
  </si>
  <si>
    <t>TARWIYAH</t>
  </si>
  <si>
    <t>081399987822</t>
  </si>
  <si>
    <t>M.13763/RAJABASA</t>
  </si>
  <si>
    <t>K/26/041124/2</t>
  </si>
  <si>
    <t>EVI UDIN/ NIRAWATI TAN</t>
  </si>
  <si>
    <t>081285999559</t>
  </si>
  <si>
    <t>Nibel 2271/ Way Halim Permai</t>
  </si>
  <si>
    <t>K/27/041124/1</t>
  </si>
  <si>
    <t>Ilanur/ Amin Nudin</t>
  </si>
  <si>
    <t>M. 2800/ Sukarame II</t>
  </si>
  <si>
    <t xml:space="preserve"> Campang Jaya</t>
  </si>
  <si>
    <t>K/28/041124/2</t>
  </si>
  <si>
    <t>Ilanur/ Clara C D</t>
  </si>
  <si>
    <t>M. 2253/ Kedaung</t>
  </si>
  <si>
    <t>K/29/041124/3</t>
  </si>
  <si>
    <t>Ilanur/ Erensia D N</t>
  </si>
  <si>
    <t>M. 2322/ Kedaung</t>
  </si>
  <si>
    <t>L/31/041124/1</t>
  </si>
  <si>
    <t>RACMA WATI</t>
  </si>
  <si>
    <t>08179162550</t>
  </si>
  <si>
    <t>B.1202/SUKABUMI INDAH-SEKARANG; B.1339/SUKABUMI-DAHULU</t>
  </si>
  <si>
    <t xml:space="preserve">Dedi Setiawan/ Riski Jaya P	</t>
  </si>
  <si>
    <t xml:space="preserve">M. 2271/ Rajabasa Jaya	</t>
  </si>
  <si>
    <t xml:space="preserve">Rajabasa Jaya	</t>
  </si>
  <si>
    <t>K/32/041124/1</t>
  </si>
  <si>
    <t>Nuryati/ Rosdiana H Cs</t>
  </si>
  <si>
    <t>M. 9246/ Kedamaian</t>
  </si>
  <si>
    <t>K/33/041124/1</t>
  </si>
  <si>
    <t>Erista S/ Desi S</t>
  </si>
  <si>
    <t>+62 822-8262-6966</t>
  </si>
  <si>
    <t>Nibel. M. 2196/ Gunung Terang</t>
  </si>
  <si>
    <t>K/34/041124/1</t>
  </si>
  <si>
    <t>Robin/ Samaya Cs</t>
  </si>
  <si>
    <t>081911299239</t>
  </si>
  <si>
    <t>M. 2958/ Kota Baru</t>
  </si>
  <si>
    <t>K/35/041124/1</t>
  </si>
  <si>
    <t>haryono/ nurhayati</t>
  </si>
  <si>
    <t>M. 9268/ Sidodadi</t>
  </si>
  <si>
    <t>K/36/041124/2</t>
  </si>
  <si>
    <t>sri Fatria/ nur hayati</t>
  </si>
  <si>
    <t>M. 10227/ Segala Mider</t>
  </si>
  <si>
    <t>K/37/041124/3</t>
  </si>
  <si>
    <t>AGUSRI SYATIF/ NUR HAYATI</t>
  </si>
  <si>
    <t>PENATAAN BATAS</t>
  </si>
  <si>
    <t>M. 12471/ Kedamaian</t>
  </si>
  <si>
    <t xml:space="preserve">M. 1666/ Way Halim Permai; SHT 1552/2016	</t>
  </si>
  <si>
    <t>K/38/041124/4</t>
  </si>
  <si>
    <t>FIRMANSYAH</t>
  </si>
  <si>
    <t>+62 821-7714-1515</t>
  </si>
  <si>
    <t xml:space="preserve">B. 1406/ Jagabaya II </t>
  </si>
  <si>
    <t xml:space="preserve">Jagabaya II </t>
  </si>
  <si>
    <t>K/39/041124/1</t>
  </si>
  <si>
    <t>DADANG SUDRAJAT/BUDI KRISTIYANTO</t>
  </si>
  <si>
    <t>M.1773/SUKAJAWA</t>
  </si>
  <si>
    <t>L/40/041124/1</t>
  </si>
  <si>
    <t>08127946484</t>
  </si>
  <si>
    <t>M.1706/PERUMNAS WAY HALIM</t>
  </si>
  <si>
    <t>K/41/041124/1</t>
  </si>
  <si>
    <t>Ade Putra/ Ilhammuddin</t>
  </si>
  <si>
    <t>085664706701</t>
  </si>
  <si>
    <t>B. 1481/ Tanjung Senang</t>
  </si>
  <si>
    <t>L/42/041124/1</t>
  </si>
  <si>
    <t>ASEP SULAIMAN</t>
  </si>
  <si>
    <t>085279898343</t>
  </si>
  <si>
    <t>B.661/SUKABUMI INDAH</t>
  </si>
  <si>
    <t>K/43/041124/1</t>
  </si>
  <si>
    <t>aditya/ Icha</t>
  </si>
  <si>
    <t>M. 2684/ Pinang Jaya-sekarang; B. 12782/ Pinang Jaya</t>
  </si>
  <si>
    <t>K/44/041124/1</t>
  </si>
  <si>
    <t>MAYA AYU</t>
  </si>
  <si>
    <t>HMASRS/ 152/ SUMUR PUTRI</t>
  </si>
  <si>
    <t>K/45/041124/1</t>
  </si>
  <si>
    <t>PERIU HALIM/ EVA SI=URIANI</t>
  </si>
  <si>
    <t>B. 756/ Sumur Putri</t>
  </si>
  <si>
    <t>K/46/041124/2</t>
  </si>
  <si>
    <t>EVA SURIANI/NURBAITI</t>
  </si>
  <si>
    <t>M. 146/ Kampung Baru Raya</t>
  </si>
  <si>
    <t xml:space="preserve"> Kampung Baru Raya</t>
  </si>
  <si>
    <t>K/47/041124/1</t>
  </si>
  <si>
    <t>Andry Yulian/ Murni A</t>
  </si>
  <si>
    <t>+62 821-8694-9749</t>
  </si>
  <si>
    <t>Nibel. M. 693/ Segala Mider</t>
  </si>
  <si>
    <t>NIB 50 BLM VALBID</t>
  </si>
  <si>
    <t>S.Pernyataan BPHTB blm ditandatangani seluruh ahli waris</t>
  </si>
  <si>
    <t>K/48/041124/2</t>
  </si>
  <si>
    <t>Andry Yulian/ Novi  W</t>
  </si>
  <si>
    <t>Ada catatan Perkara di KKP(terlampir surat keterangan dari PN Tanjungkarang terkait Perkara No.67/Pdt.G/2023/PN.Tjk</t>
  </si>
  <si>
    <t>M. 1113/ Pematang Wangi; M. 3217/ Tanjung Senang-dahulu</t>
  </si>
  <si>
    <t>Lampirkan Bukti Bayar PBB 2024</t>
  </si>
  <si>
    <t>K/49/041124/1</t>
  </si>
  <si>
    <t>DEWI MAYANG SURI DJAUSAL/RICHARD ADI PRASTYA</t>
  </si>
  <si>
    <t>M.9336/GEDONG MENENG</t>
  </si>
  <si>
    <t>K/50/041124/1</t>
  </si>
  <si>
    <t>FAHRUL ROZI</t>
  </si>
  <si>
    <t>M. 884/ SUMBER AGUNG</t>
  </si>
  <si>
    <t>K/51/041124/1</t>
  </si>
  <si>
    <t>ANIS JULIANA SARI/THABRANI</t>
  </si>
  <si>
    <t>0813-9373-8080</t>
  </si>
  <si>
    <t>M.4157/LANGKAPURA</t>
  </si>
  <si>
    <t>Aisyah</t>
  </si>
  <si>
    <t>K/52/041124/1</t>
  </si>
  <si>
    <t>INDAH WAHYU NINGSIH/IBK SUKASANA</t>
  </si>
  <si>
    <t>0812-7219-5650</t>
  </si>
  <si>
    <t>M.548/RAJABASA PEMUKA</t>
  </si>
  <si>
    <t>RAJABASA PEMUKA</t>
  </si>
  <si>
    <t>Moh Reza</t>
  </si>
  <si>
    <t>K/1/051124/1</t>
  </si>
  <si>
    <t>LISMIYATI/RENALDI PRATAMA SIRYA</t>
  </si>
  <si>
    <t>M.1892/LANGKAPURA</t>
  </si>
  <si>
    <t>K/2/051124/2</t>
  </si>
  <si>
    <t>WURI VALENDZA WIJAYA</t>
  </si>
  <si>
    <t>M.631/LANGKAPURA BARU</t>
  </si>
  <si>
    <t>K/3/051124/3</t>
  </si>
  <si>
    <t>NOVI ETRISIA/RENALDI PRATAMA SIRYA</t>
  </si>
  <si>
    <t>M.1524/RAJABASA JAYA</t>
  </si>
  <si>
    <t>K/4/051124/1</t>
  </si>
  <si>
    <t>Reflan Rasyid/ Vega A P</t>
  </si>
  <si>
    <t>+62 821-8048-6700</t>
  </si>
  <si>
    <t>M. 11995/ Segala Mider</t>
  </si>
  <si>
    <t>Effendi/ M Satam</t>
  </si>
  <si>
    <t xml:space="preserve">M. 1597/ Gedong Air	</t>
  </si>
  <si>
    <t xml:space="preserve">Gedong Air	</t>
  </si>
  <si>
    <t>K/6/051124/1</t>
  </si>
  <si>
    <t>BAHARUDIN/HARIYO WIDODO</t>
  </si>
  <si>
    <t>0822-7944-1318</t>
  </si>
  <si>
    <t>M.1447/KOTA KARANG</t>
  </si>
  <si>
    <t>L/8/051124/1</t>
  </si>
  <si>
    <t>NUR BAIDI</t>
  </si>
  <si>
    <t>082176802586</t>
  </si>
  <si>
    <t>SERTIFIKAT PENGGANTI KARENA HILANG</t>
  </si>
  <si>
    <t xml:space="preserve">M.1311 /GUNUNG SULAH </t>
  </si>
  <si>
    <t>M.1311/GUNUNG SULAH</t>
  </si>
  <si>
    <t>K/7/051124/2</t>
  </si>
  <si>
    <t>ZURAIDAH/HARIYO WIDODO</t>
  </si>
  <si>
    <t>m.1815/RAJABASA NUNYAI_SEKARANG;b.1210/RAJABASA-DAHULU</t>
  </si>
  <si>
    <t>K/5/051124/1</t>
  </si>
  <si>
    <t>A JAZULI MADJID/ JONI</t>
  </si>
  <si>
    <t>082179138453</t>
  </si>
  <si>
    <t>SERTIPKAT HILANG</t>
  </si>
  <si>
    <t>M. 4226/ LANGKAPURA</t>
  </si>
  <si>
    <t>K/9/051124/1</t>
  </si>
  <si>
    <t>Sugiat/ Eka Agustina</t>
  </si>
  <si>
    <t>085269810008</t>
  </si>
  <si>
    <t>M. 236/ L R R</t>
  </si>
  <si>
    <t>K/10/051124/1</t>
  </si>
  <si>
    <t>A. Roswantama/ Hafifi</t>
  </si>
  <si>
    <t>M. 253/ Tanjung Raya</t>
  </si>
  <si>
    <t>K/12/051124/3</t>
  </si>
  <si>
    <t>SAFITRI HANDAYANI/HARIYO WIDODO</t>
  </si>
  <si>
    <t>M.417/NUSANTARA PERMAI-SEKARANG;B.381/CAMPANG RAYA-DAHULU</t>
  </si>
  <si>
    <t>K/11/051124/2</t>
  </si>
  <si>
    <t>A. Roswantama/ Jodi G K</t>
  </si>
  <si>
    <t>M. 184/ Gunung Terang</t>
  </si>
  <si>
    <t>K/13/051124/1</t>
  </si>
  <si>
    <t>Mahfud/ Ferryana Subiyakti</t>
  </si>
  <si>
    <t>M. 471/ Harapan Jaya</t>
  </si>
  <si>
    <t>Korpri Jaya</t>
  </si>
  <si>
    <t>K/14/051124/2</t>
  </si>
  <si>
    <t>Mahfud/ Hadijah</t>
  </si>
  <si>
    <t>M. 1110/ Sumur Putri</t>
  </si>
  <si>
    <t>VITTA n</t>
  </si>
  <si>
    <t>PENDAFTARAN SK</t>
  </si>
  <si>
    <t>K/15/051124/3</t>
  </si>
  <si>
    <t>Mahfud/ Arya D S</t>
  </si>
  <si>
    <t>M. 937/ Gunung Terang</t>
  </si>
  <si>
    <t>K/16/051124/1</t>
  </si>
  <si>
    <t>ANDI SUHARDI/RIZAL EFFENDI</t>
  </si>
  <si>
    <t>0813-6641-1971</t>
  </si>
  <si>
    <t>M.6050/WAY KANDIS</t>
  </si>
  <si>
    <t>K/17/051124/1</t>
  </si>
  <si>
    <t>Imelda P/ Halim B</t>
  </si>
  <si>
    <t>Perbaikan AJB= Alamat Direktur Utama  PT, beda dengan Fc KTP terlampir</t>
  </si>
  <si>
    <t>M. 776/ NOG; B. 809/ N O G-dahulu</t>
  </si>
  <si>
    <t>L/18/051124/1</t>
  </si>
  <si>
    <t>ANDRI NOPIRIANTO</t>
  </si>
  <si>
    <t>081368284621</t>
  </si>
  <si>
    <t>M.4410/BERINGIN RAYA</t>
  </si>
  <si>
    <t>K/19/051124/1</t>
  </si>
  <si>
    <t>MAISAROH/HERLINA RATNA SN</t>
  </si>
  <si>
    <t>0813-6907-0444</t>
  </si>
  <si>
    <t>M.2429/KEDAUNG</t>
  </si>
  <si>
    <t>K/20/051124/1</t>
  </si>
  <si>
    <t>Maya A/ Nurul Habibah</t>
  </si>
  <si>
    <t>62 813-6999-9971</t>
  </si>
  <si>
    <t>Nibel. B. 3021/ Kemiling Permai</t>
  </si>
  <si>
    <t>K/21/051124/2</t>
  </si>
  <si>
    <t>Maya A N/ Nofrizal</t>
  </si>
  <si>
    <t>B. 208/ Gunung Sari</t>
  </si>
  <si>
    <t>Gunung Sari</t>
  </si>
  <si>
    <t>K/22/051124/2</t>
  </si>
  <si>
    <t>JIMMI AFRIANDO AKBAR/HERLINA RATNA  SN</t>
  </si>
  <si>
    <t>M.2425/KEDAUNG</t>
  </si>
  <si>
    <t>K/23/051124/1</t>
  </si>
  <si>
    <t>WHINDA Y/ SOEWONDO</t>
  </si>
  <si>
    <t>089636904479</t>
  </si>
  <si>
    <t>Nibel 641/ Gunung Sulah</t>
  </si>
  <si>
    <t>K/24/051124/2</t>
  </si>
  <si>
    <t>whinda y/ soewondo</t>
  </si>
  <si>
    <t>Nibel 504/ Gunung Sulah</t>
  </si>
  <si>
    <t>K/26/051124/1</t>
  </si>
  <si>
    <t>Evi Udin/ Agustino H</t>
  </si>
  <si>
    <t>M. 14387/ Rajabasa; SHT 2838/ 2018</t>
  </si>
  <si>
    <t>L/28/051124/1</t>
  </si>
  <si>
    <t>NANI YULIANINGSIH</t>
  </si>
  <si>
    <t>089613368012</t>
  </si>
  <si>
    <t>PERMOHONAN SK HAK MILIK PERORANGAN</t>
  </si>
  <si>
    <t>K/27/051124/2</t>
  </si>
  <si>
    <t>Evi Udin/ Sylvia W S Cs</t>
  </si>
  <si>
    <t>M. 2693/ Sukadana Ham</t>
  </si>
  <si>
    <t>K/25/051124/3</t>
  </si>
  <si>
    <t>WHINDA YULIANTI/ SOEWONDO</t>
  </si>
  <si>
    <t>Nibel 505/ Gunung Sulah</t>
  </si>
  <si>
    <t xml:space="preserve"> Gunung Sulah</t>
  </si>
  <si>
    <t>K/29/051124/4</t>
  </si>
  <si>
    <t>WHINDA y/ bUDI s</t>
  </si>
  <si>
    <t>M. 168/ Bumi Raya</t>
  </si>
  <si>
    <t>Bumi Raya</t>
  </si>
  <si>
    <t>K/30/051124/5</t>
  </si>
  <si>
    <t>WHINDA YULIANTI</t>
  </si>
  <si>
    <t>M. 1055/ PemaTang Wangi</t>
  </si>
  <si>
    <t>PemaTang Wangi</t>
  </si>
  <si>
    <t>L/31/051124/1</t>
  </si>
  <si>
    <t>KADEK AGUS SUWITRA</t>
  </si>
  <si>
    <t>082280102412</t>
  </si>
  <si>
    <t>M.286/LABUHAN RATU RAYA</t>
  </si>
  <si>
    <t>RAFICO/ VONITA</t>
  </si>
  <si>
    <t>K/32/051124/1</t>
  </si>
  <si>
    <t>M. 11712/ Sukarame</t>
  </si>
  <si>
    <t>L/33/051124/1</t>
  </si>
  <si>
    <t>SERTIPIKAT PENGGANTI KARENA HILANG</t>
  </si>
  <si>
    <t>M.154/SUSUNAN BARU</t>
  </si>
  <si>
    <t>K/34/051124/1</t>
  </si>
  <si>
    <t>DESIANTI/PANARY SITOPU</t>
  </si>
  <si>
    <t>B.818/SUMUR PUTRI</t>
  </si>
  <si>
    <t>K/35/051124/1</t>
  </si>
  <si>
    <t>ABDI HARI KUNIAWAN/ MARHAN</t>
  </si>
  <si>
    <t>081368599886</t>
  </si>
  <si>
    <t>M. 12144/ SUKARAME I</t>
  </si>
  <si>
    <t>K/38/051124/1</t>
  </si>
  <si>
    <t>ZUHRI MUTTAQIN/RENALDI PRATAMA SIRYA</t>
  </si>
  <si>
    <t xml:space="preserve">M.573/PERUMNAS WAY KANDIS-SEKARANG;B.419/WAY KANDIS </t>
  </si>
  <si>
    <t>K/36/051124/2</t>
  </si>
  <si>
    <t>abdi hari/ mareduansyah</t>
  </si>
  <si>
    <t>M. 2167/ Labuhan Dalam</t>
  </si>
  <si>
    <t>K/39/051124/1</t>
  </si>
  <si>
    <t>Sony Hanata P/ Dhany K</t>
  </si>
  <si>
    <t>081572583065</t>
  </si>
  <si>
    <t>M. 876/ Korpri Jaya</t>
  </si>
  <si>
    <t xml:space="preserve"> K/37/051124/3</t>
  </si>
  <si>
    <t>ABDI HARI/ ASNI</t>
  </si>
  <si>
    <t>M. 1790/ Bakung</t>
  </si>
  <si>
    <t xml:space="preserve"> Bakung</t>
  </si>
  <si>
    <t>K/41/051124/1</t>
  </si>
  <si>
    <t>JURIAH/HALIYUN</t>
  </si>
  <si>
    <t>081279248567</t>
  </si>
  <si>
    <t>M.2303/CAMPANG JAYA-SEKARANG;M.1537/CAMPANG RAYA-DAHULU</t>
  </si>
  <si>
    <t>K/40/051124/4</t>
  </si>
  <si>
    <t>ABDI HARI/ ALEXANDER</t>
  </si>
  <si>
    <t>+62 813-6859-9886</t>
  </si>
  <si>
    <t>M. 1372/ RAJABASA RAYA</t>
  </si>
  <si>
    <t xml:space="preserve"> RAJABASA RAYA</t>
  </si>
  <si>
    <t>K/42/051124/1</t>
  </si>
  <si>
    <t>RAHMADIYANTI/ HENDRY RIDUAN</t>
  </si>
  <si>
    <t>M. 1979/ Way Halim Permai</t>
  </si>
  <si>
    <t>K/43/051124/2</t>
  </si>
  <si>
    <t>M. 2660/ Sukarame Baru</t>
  </si>
  <si>
    <t xml:space="preserve"> Sukarame Baru</t>
  </si>
  <si>
    <t xml:space="preserve">Fahmi Sasmita/ Erilisa	</t>
  </si>
  <si>
    <t>K/44/051124/1</t>
  </si>
  <si>
    <t>M.3994/WAY KANDIS</t>
  </si>
  <si>
    <t>L/45/051124/1</t>
  </si>
  <si>
    <t>ZAINAL ABIDIN</t>
  </si>
  <si>
    <t>089655573204</t>
  </si>
  <si>
    <t>K/47/051124/1</t>
  </si>
  <si>
    <t>FAHMI SASMITA/RISYADI CS</t>
  </si>
  <si>
    <t>M. 1825/ Panjang Utara</t>
  </si>
  <si>
    <t>K/46/051124/4</t>
  </si>
  <si>
    <t>BUDI KRISTIYANTO/HENDRI IR. MM</t>
  </si>
  <si>
    <t>GANTI NAMA KREDITUR</t>
  </si>
  <si>
    <t>M.12226/SUKABUMI-SEKARANG;B.2222/SUKABUMI-DAHULU</t>
  </si>
  <si>
    <t>L/49/051124/1</t>
  </si>
  <si>
    <t>ZAINAL</t>
  </si>
  <si>
    <t>08979740551</t>
  </si>
  <si>
    <t>M.1669/KALIAWI</t>
  </si>
  <si>
    <t>K/50/051124/1</t>
  </si>
  <si>
    <t>K/48/051124/1</t>
  </si>
  <si>
    <t>M. Arief S/ Febriyant</t>
  </si>
  <si>
    <t>M. 2268/ Pinang Jaya</t>
  </si>
  <si>
    <t>K/52/051124/2</t>
  </si>
  <si>
    <t>BUDI KRISTIYANTO/SOFYAN ISMAIL</t>
  </si>
  <si>
    <t>M.2421/WAY KANDIS</t>
  </si>
  <si>
    <t>K/53/051124/1</t>
  </si>
  <si>
    <t>ARPAN/WAHYUNI</t>
  </si>
  <si>
    <t>082288238139</t>
  </si>
  <si>
    <t>M.344/BAKUNG</t>
  </si>
  <si>
    <t>K/51/051124/1</t>
  </si>
  <si>
    <t>J Aman S/ Juliaty</t>
  </si>
  <si>
    <t>081379007765</t>
  </si>
  <si>
    <t>M. 2122/ Way Kandis</t>
  </si>
  <si>
    <t xml:space="preserve">Andrianto/ Tjen Ona K	</t>
  </si>
  <si>
    <t xml:space="preserve">Nibel. M. 1018/ Tanjung Baru	</t>
  </si>
  <si>
    <t xml:space="preserve">Tanjung Baru	</t>
  </si>
  <si>
    <t>K/54/051124/1</t>
  </si>
  <si>
    <t>Andrianto/ Ferdiawan S</t>
  </si>
  <si>
    <t>081373893119</t>
  </si>
  <si>
    <t>M. 591/ Rajabasa Jaya</t>
  </si>
  <si>
    <t>K/55/051124/1</t>
  </si>
  <si>
    <t>ILANUR/ NYOMAN ARTE</t>
  </si>
  <si>
    <t>M. 3237/ Labuhan Dalam</t>
  </si>
  <si>
    <t>K/56/051124/1</t>
  </si>
  <si>
    <t>Elvan Sius S/ Marianus S</t>
  </si>
  <si>
    <t>Nibel. M. 1926/ Keteguhan</t>
  </si>
  <si>
    <t>K/58/051124/1</t>
  </si>
  <si>
    <t>EKO TAMINA/HERIYANTOMO T</t>
  </si>
  <si>
    <t>089503023565</t>
  </si>
  <si>
    <t>M.13163/KEDAMAIAN</t>
  </si>
  <si>
    <t>K/59/051124/1</t>
  </si>
  <si>
    <t>ADES PIANA</t>
  </si>
  <si>
    <t>Nibel 435/ Kemiling Permai</t>
  </si>
  <si>
    <t>K/57/051124/1</t>
  </si>
  <si>
    <t>ARI SEPTIANA/MURSALIN</t>
  </si>
  <si>
    <t>0895-6405-40824</t>
  </si>
  <si>
    <t>M.1132/SEPANG JAYA</t>
  </si>
  <si>
    <t>K/60/051124/2</t>
  </si>
  <si>
    <t>DWI DOSO ANGGORO</t>
  </si>
  <si>
    <t>Nibel 448/ Kemiling Permai</t>
  </si>
  <si>
    <t>K/61/051124/3</t>
  </si>
  <si>
    <t>ardiansyah</t>
  </si>
  <si>
    <t>Nibel 394/ Kemiling Permai</t>
  </si>
  <si>
    <t>K/63/051124/1</t>
  </si>
  <si>
    <t>IDA ARITONANG/CHRISTINA ULINA</t>
  </si>
  <si>
    <t>M.2297/TANJUNG SENENG</t>
  </si>
  <si>
    <t>K/62/051124/4</t>
  </si>
  <si>
    <t>EDI/ NUR HAYATI</t>
  </si>
  <si>
    <t>M. 12720/ Kedaton</t>
  </si>
  <si>
    <t>K/64/051124/1</t>
  </si>
  <si>
    <t>DENI ATIKA</t>
  </si>
  <si>
    <t>0852797417124</t>
  </si>
  <si>
    <t>M. 11579/ Rajabasa</t>
  </si>
  <si>
    <t>K/65/051124/2</t>
  </si>
  <si>
    <t>deni atika</t>
  </si>
  <si>
    <t>085279717124</t>
  </si>
  <si>
    <t>PTPGT PEMECHAN</t>
  </si>
  <si>
    <t>M. 3787/ rajabasa jaya</t>
  </si>
  <si>
    <t>rajabasa jaya</t>
  </si>
  <si>
    <t>K/1/061124/1</t>
  </si>
  <si>
    <t>MAGHDALENA/CITRA AYU WARDANI</t>
  </si>
  <si>
    <t>DYAH NINGTIYA ASTUTI/ISMARINA</t>
  </si>
  <si>
    <t>K/2/061124/1</t>
  </si>
  <si>
    <t>ISMARINA/ASIH PURWANTI</t>
  </si>
  <si>
    <t>NIBEL M.5648/ENGGAL</t>
  </si>
  <si>
    <t xml:space="preserve">Teddy Saputra/ Dahlia	</t>
  </si>
  <si>
    <t xml:space="preserve">M. 534/ Sumur Batu	</t>
  </si>
  <si>
    <t xml:space="preserve">Sumur Batu	</t>
  </si>
  <si>
    <t>K/3/061124/2</t>
  </si>
  <si>
    <t>AHMAD HUSIN DAULAY/CITRA AYU WARDANI</t>
  </si>
  <si>
    <t>M.1588/SUMUR BATU</t>
  </si>
  <si>
    <t>L/4/061124/1</t>
  </si>
  <si>
    <t>JALALUDIN</t>
  </si>
  <si>
    <t>081365030182</t>
  </si>
  <si>
    <t>NIB 1770/PINANG JAYA</t>
  </si>
  <si>
    <t>PINNAG JAYA</t>
  </si>
  <si>
    <t>K/5/061124/1</t>
  </si>
  <si>
    <t>Abdul Gani/ Suhari Y</t>
  </si>
  <si>
    <t>M. 534/ Sumberrejo Sejahtera</t>
  </si>
  <si>
    <t>K/6/061124/1</t>
  </si>
  <si>
    <t>M FAHRI ALVANZY RAFIQI/ANNA PUNAMASARI</t>
  </si>
  <si>
    <t>M.3348/KEMILING PERMAI-SEKARANG;M.1620-SUMBEREJO/KEMILING-DAHULU</t>
  </si>
  <si>
    <t>L/7/061124/1</t>
  </si>
  <si>
    <t>WONG PIX JUNG</t>
  </si>
  <si>
    <t>082278483001</t>
  </si>
  <si>
    <t>HM 1120/BUMI KEDAMAIAN</t>
  </si>
  <si>
    <t>K/9/061124/1</t>
  </si>
  <si>
    <t>SUGIARNO/ ADITYA</t>
  </si>
  <si>
    <t>Nibel 7188/ Gunung Sulah</t>
  </si>
  <si>
    <t>K/11/061124/1</t>
  </si>
  <si>
    <t>Imelda Pasaribu/ Petrus S</t>
  </si>
  <si>
    <t>M. 927/ Pelita; SHT 2384/2014 dan SHT 4033/2018</t>
  </si>
  <si>
    <t>Pelita</t>
  </si>
  <si>
    <t>K/10/061124/2</t>
  </si>
  <si>
    <t>ELITA PURBA CS</t>
  </si>
  <si>
    <t>08217970556</t>
  </si>
  <si>
    <t xml:space="preserve"> M. 2147/ Way Halim Permai</t>
  </si>
  <si>
    <t xml:space="preserve"> Way Halim Permai</t>
  </si>
  <si>
    <t>M. 1498/ Kali Balau Kencana</t>
  </si>
  <si>
    <t>K/12/061124/1</t>
  </si>
  <si>
    <t>Rahmadiyanti/ Iponi</t>
  </si>
  <si>
    <t>M. 4132/ Keteguhan</t>
  </si>
  <si>
    <t xml:space="preserve"> Keteguhan</t>
  </si>
  <si>
    <t xml:space="preserve">Richard Adi P/ Chytia R M	</t>
  </si>
  <si>
    <t xml:space="preserve">B. 103/ Nusantara Permai	</t>
  </si>
  <si>
    <t xml:space="preserve">Nusantara Permai	</t>
  </si>
  <si>
    <t>M NIBEL 1952/LABUHAN DALAM</t>
  </si>
  <si>
    <t xml:space="preserve">Richard Adi P/ Welly P	</t>
  </si>
  <si>
    <t xml:space="preserve">B. 128/ Nusantara Permai	</t>
  </si>
  <si>
    <t>L/13/061124/1</t>
  </si>
  <si>
    <t>WAYAN DARMIYATI</t>
  </si>
  <si>
    <t>081367766357</t>
  </si>
  <si>
    <t>K/14/061124/1</t>
  </si>
  <si>
    <t>DEMMY ANNE WINGARDI/EFFENDY</t>
  </si>
  <si>
    <t>Surat Keterlambatan Pendaftaran</t>
  </si>
  <si>
    <t>+62 812-7940-253</t>
  </si>
  <si>
    <t>M.1511/BUMI WARAS</t>
  </si>
  <si>
    <t xml:space="preserve"> ELITA PURBA CS/ ADITYA</t>
  </si>
  <si>
    <t>M. 2147/ WAY HALIM PERMAI</t>
  </si>
  <si>
    <t>K/16/061124/1</t>
  </si>
  <si>
    <t>Richard Adi P/ Antonius D A</t>
  </si>
  <si>
    <t>B. 105/ Nusantara Permai</t>
  </si>
  <si>
    <t>K/15/061124/2</t>
  </si>
  <si>
    <t>KARTIKA UTAMI/ SHERLY</t>
  </si>
  <si>
    <t>M.05/GUNUNG SARI</t>
  </si>
  <si>
    <t>GUNUNG SARI</t>
  </si>
  <si>
    <t>K/17/061124/1</t>
  </si>
  <si>
    <t>APRIANA INDARWATI/NOVALIA EKA PUTRI</t>
  </si>
  <si>
    <t>M.1375/BERINGIN JAYA-SEKARANG;B.2740/BERINGIN RAYA-DAHULU</t>
  </si>
  <si>
    <t xml:space="preserve">B. 606/ Sumur Putri	</t>
  </si>
  <si>
    <t>08787884040</t>
  </si>
  <si>
    <t>L/18/061124/1</t>
  </si>
  <si>
    <t>RINA</t>
  </si>
  <si>
    <t>081366417030</t>
  </si>
  <si>
    <t>HM 13595/SUKABUMI</t>
  </si>
  <si>
    <t>K/19/061124/1</t>
  </si>
  <si>
    <t>PANARY SITOPU/ JUNJUNGAN</t>
  </si>
  <si>
    <t>081361444094</t>
  </si>
  <si>
    <t>M. 1704/ Way Kandis</t>
  </si>
  <si>
    <t>L/20/061124/1</t>
  </si>
  <si>
    <t>JUJU JURIAH</t>
  </si>
  <si>
    <t>081272809520</t>
  </si>
  <si>
    <t>HM 2606/WAY KANDIS</t>
  </si>
  <si>
    <t>K/21/061124/1</t>
  </si>
  <si>
    <t>Adnan/ Risna Umami</t>
  </si>
  <si>
    <t>085381125445</t>
  </si>
  <si>
    <t>M. 1538/ Keteguhan</t>
  </si>
  <si>
    <t>L/22/061124/1</t>
  </si>
  <si>
    <t>A GUNAWAN</t>
  </si>
  <si>
    <t>081369066996</t>
  </si>
  <si>
    <t>HGB 216/RAJABASA PEMUKA</t>
  </si>
  <si>
    <t>K/24/061124/1</t>
  </si>
  <si>
    <t>REFIYANTI/ ADITYA WIJAYA</t>
  </si>
  <si>
    <t>081369347857</t>
  </si>
  <si>
    <t>B. 388/ Panjang Utara</t>
  </si>
  <si>
    <t>K/23/061124/1</t>
  </si>
  <si>
    <t>Junaidi Saptopo/ Yohanes Herman</t>
  </si>
  <si>
    <t>NOVAN SAPUTRA</t>
  </si>
  <si>
    <t>+62 882-7678-0643</t>
  </si>
  <si>
    <t>K/25/061124/1</t>
  </si>
  <si>
    <t>BUDI K/ GERRY GIOVANNI</t>
  </si>
  <si>
    <t>Nibel 1278/ Gunung terang</t>
  </si>
  <si>
    <t>Gunung terang</t>
  </si>
  <si>
    <t>L//061124/1</t>
  </si>
  <si>
    <t>RITA PURNAMAWATI</t>
  </si>
  <si>
    <t>082183180011</t>
  </si>
  <si>
    <t>ALI LIUS</t>
  </si>
  <si>
    <t>M. 128/ Kemiling raya</t>
  </si>
  <si>
    <t>Kemiling raya</t>
  </si>
  <si>
    <t xml:space="preserve">Fahrul Rozi/ Maria Evi Cs	</t>
  </si>
  <si>
    <t xml:space="preserve">M. 1126/ Gotong Royong	</t>
  </si>
  <si>
    <t xml:space="preserve">Gotong Royong	</t>
  </si>
  <si>
    <t>L//061124/2</t>
  </si>
  <si>
    <t>K/29/061124/1</t>
  </si>
  <si>
    <t>Mahfud/ Zamzami</t>
  </si>
  <si>
    <t>K/30/061124/2</t>
  </si>
  <si>
    <t>Mahfud/ Me Nie</t>
  </si>
  <si>
    <t>M. 725/ Kupang Teba</t>
  </si>
  <si>
    <t>L/28/061124/3</t>
  </si>
  <si>
    <t>RITA PURNAMASARI</t>
  </si>
  <si>
    <t>08218318001</t>
  </si>
  <si>
    <t xml:space="preserve">Nibel. M. 1226/ Gulak Galik	</t>
  </si>
  <si>
    <t xml:space="preserve">Gulak Galik	</t>
  </si>
  <si>
    <t>Beda nama pemilik SHAT dengan Fc KTP terlampir</t>
  </si>
  <si>
    <t>K/31/061124/1</t>
  </si>
  <si>
    <t>Fahrul R/ Chandra I</t>
  </si>
  <si>
    <t>B. 254/ Nusantara Permai</t>
  </si>
  <si>
    <t xml:space="preserve"> Nusantara Permai</t>
  </si>
  <si>
    <t>K/32/061124/2</t>
  </si>
  <si>
    <t>Fahrul R/ Prayoga P P</t>
  </si>
  <si>
    <t>M. 901/ Sumberrejo Sehatera</t>
  </si>
  <si>
    <t>Sumberrejo Sehatera</t>
  </si>
  <si>
    <t>K/33/061124/3</t>
  </si>
  <si>
    <t>Fahrul R/ Leonita</t>
  </si>
  <si>
    <t>B. 1017/ Keteguhan</t>
  </si>
  <si>
    <t>K/34/061124/1</t>
  </si>
  <si>
    <t>SEPTIANA/DEWI SUKMASARI</t>
  </si>
  <si>
    <t>M.1929/KALI BALAU KENCANA</t>
  </si>
  <si>
    <t>K/36/061124/1</t>
  </si>
  <si>
    <t xml:space="preserve">LILIS LISIANI HARSONO/TJHIA GIOK TJOE </t>
  </si>
  <si>
    <t>0812-7305-5495</t>
  </si>
  <si>
    <t>NIBEL M.1005/TANJUNGKARANG</t>
  </si>
  <si>
    <t>TANJUNGKARANG</t>
  </si>
  <si>
    <t>K/35/061124/1</t>
  </si>
  <si>
    <t>Iqbal A/ Yuliati</t>
  </si>
  <si>
    <t>+62 813-7396-3448</t>
  </si>
  <si>
    <t>M. 1440/ Pesawahan</t>
  </si>
  <si>
    <t>ELVAN SIUS</t>
  </si>
  <si>
    <t>+62 857-0944-3520</t>
  </si>
  <si>
    <t>PTPGT HGB MATI</t>
  </si>
  <si>
    <t>PBT 131/2024 / B.213/ Kota Karang</t>
  </si>
  <si>
    <t>Kota Karang raya</t>
  </si>
  <si>
    <t>L/37/061124/1</t>
  </si>
  <si>
    <t>EDI PURWONO</t>
  </si>
  <si>
    <t>082371015013</t>
  </si>
  <si>
    <t>HGB 811/KETEGUHAN</t>
  </si>
  <si>
    <t xml:space="preserve"> K/46/291024/1</t>
  </si>
  <si>
    <t>RIKA WISANGRATRI</t>
  </si>
  <si>
    <t>K/39/061124/1</t>
  </si>
  <si>
    <t>Kusno/ Muhijan</t>
  </si>
  <si>
    <t>081279223499</t>
  </si>
  <si>
    <t>PBT. 148/2024</t>
  </si>
  <si>
    <t>K/38/061124/1</t>
  </si>
  <si>
    <t>ENDANG APRILIA/CHANDRA WISNU WARDANA DAN RIZKI AGUNG PRASETYO</t>
  </si>
  <si>
    <t>NIBEL M. 3311/LABUHAN RATU RAYA</t>
  </si>
  <si>
    <t>L/41/061124/1</t>
  </si>
  <si>
    <t>JAP IE LIEN</t>
  </si>
  <si>
    <t>089696390321</t>
  </si>
  <si>
    <t>HM 13950/SUKABUMI</t>
  </si>
  <si>
    <t>K/40/061124/1</t>
  </si>
  <si>
    <t>SUPAWIT/RENI FEBRIANI</t>
  </si>
  <si>
    <t>M.541/SAWAH LAMA</t>
  </si>
  <si>
    <t>K/42/061124/1</t>
  </si>
  <si>
    <t>RIKA/ ROBET</t>
  </si>
  <si>
    <t>M. 2206/ Perumnas Way Halim</t>
  </si>
  <si>
    <t>RENDY RENALDY</t>
  </si>
  <si>
    <t>K/43/061124/1</t>
  </si>
  <si>
    <t>TITIK WIJAYANTI</t>
  </si>
  <si>
    <t>+62 813-6935-0683</t>
  </si>
  <si>
    <t>M. 11916/ tanjung baru</t>
  </si>
  <si>
    <t>K/44/061124/2</t>
  </si>
  <si>
    <t>M. 1126/ Jagabaya III</t>
  </si>
  <si>
    <t>K/45/061124/3</t>
  </si>
  <si>
    <t>M. 11414/ Jagabaya II</t>
  </si>
  <si>
    <t>L/46/061124/1</t>
  </si>
  <si>
    <t>LIE LIANAWATY</t>
  </si>
  <si>
    <t>085171114648</t>
  </si>
  <si>
    <t>HM 1570/JAGABAYA III</t>
  </si>
  <si>
    <t>K/47/061124/1</t>
  </si>
  <si>
    <t>NANIK MARYANI/RAKHMA WATI</t>
  </si>
  <si>
    <t>M.16239/SUKABUMI</t>
  </si>
  <si>
    <t>K/50/061124/1</t>
  </si>
  <si>
    <t>RENDY RENALDY/ ELIYAH</t>
  </si>
  <si>
    <t>M. 2096/ Kangkung</t>
  </si>
  <si>
    <t>K/48/061124/2</t>
  </si>
  <si>
    <t>NANIK MARYANI/NILA PERMATA SARI</t>
  </si>
  <si>
    <t>M.3451/KOTABARU-SEKARANG;B.211/KOTA BARU-DAHULU</t>
  </si>
  <si>
    <t>K/51/061124/1</t>
  </si>
  <si>
    <t xml:space="preserve">PURWANTI/CHRISTINA ULINA </t>
  </si>
  <si>
    <t>M.2019/LABUHAN DALAM</t>
  </si>
  <si>
    <t xml:space="preserve">Rendy R/ Suryono	</t>
  </si>
  <si>
    <t xml:space="preserve">M. 22/ Perwata dan SHT 7366/2013	</t>
  </si>
  <si>
    <t xml:space="preserve">I Made R/ Susi F	</t>
  </si>
  <si>
    <t>K/53/061124/1</t>
  </si>
  <si>
    <t>SUTIKNO/EWON GUNAWAN</t>
  </si>
  <si>
    <t>M.11612/SEGALA MIDER</t>
  </si>
  <si>
    <t>K/52/061124/1</t>
  </si>
  <si>
    <t>Husin AS/ Sri Indarti</t>
  </si>
  <si>
    <t>085382963775</t>
  </si>
  <si>
    <t>Nibel. B. 2254/ Kedamaian</t>
  </si>
  <si>
    <t>K/54/061124/1</t>
  </si>
  <si>
    <t>Rendy R/ PT Pegadaian</t>
  </si>
  <si>
    <t>PTPGT (Perpanjangan)</t>
  </si>
  <si>
    <t>B. 121/ Kupang Kota</t>
  </si>
  <si>
    <t>K/55/061124/2</t>
  </si>
  <si>
    <t xml:space="preserve">B. 120/ Kupang Kota	</t>
  </si>
  <si>
    <t xml:space="preserve">Kupang Kota	</t>
  </si>
  <si>
    <t>K/49/061124/3</t>
  </si>
  <si>
    <t>NANIK MARYANI / DAUD HADI WINARTO</t>
  </si>
  <si>
    <t>B.1777/JAGABAYA II-SEKARANG;B.354/JAGABAYA III-DAHULU</t>
  </si>
  <si>
    <t>NUR HAYATI</t>
  </si>
  <si>
    <t>WARIS</t>
  </si>
  <si>
    <t xml:space="preserve">Sugiat/ Eka Agustina	</t>
  </si>
  <si>
    <t xml:space="preserve">M. 236/ L R R	</t>
  </si>
  <si>
    <t>K/1/071124/1</t>
  </si>
  <si>
    <t>Ismarina/ Muji Rahayu</t>
  </si>
  <si>
    <t>BN Jul Beli</t>
  </si>
  <si>
    <t>M. 5102/ Rajabasa Jaya</t>
  </si>
  <si>
    <t>K/2/071124/1</t>
  </si>
  <si>
    <t>YUNI ASTUTI/ SITI AMINAH CS</t>
  </si>
  <si>
    <t>M. 4107/ Tanjung Seneng</t>
  </si>
  <si>
    <t>K/3/071124/1</t>
  </si>
  <si>
    <t>EKO TAMINA / SUSI ASTUTIE</t>
  </si>
  <si>
    <t>+62 896-2886-4906</t>
  </si>
  <si>
    <t>BN AKTA JUAL BELI</t>
  </si>
  <si>
    <t>M.1615/SUKABUMI INDAH</t>
  </si>
  <si>
    <t>K/4/071124/1</t>
  </si>
  <si>
    <t>MARSALI/YENI EKAWATI</t>
  </si>
  <si>
    <t>0823-7481-3314</t>
  </si>
  <si>
    <t>M.1758/KUPANG KOTA</t>
  </si>
  <si>
    <t xml:space="preserve">Ajeng W/ Kuswan	</t>
  </si>
  <si>
    <t xml:space="preserve">M. 2644/ Sumber Rejo	</t>
  </si>
  <si>
    <t xml:space="preserve">Sumber Rejo	</t>
  </si>
  <si>
    <t>K/5/071124/1</t>
  </si>
  <si>
    <t>Ria Natalya/ Nurhayati  cs</t>
  </si>
  <si>
    <t>+62 822-6133-8686</t>
  </si>
  <si>
    <t>M. 71/ Sawah Lama</t>
  </si>
  <si>
    <t>Sawah Lama</t>
  </si>
  <si>
    <t>K/6/071124/1</t>
  </si>
  <si>
    <t>YULIANA LUISYE K/VITTA NOGOSANNYONO</t>
  </si>
  <si>
    <t>B.798/SUMUR PUTRI</t>
  </si>
  <si>
    <t>K/7/071124/1</t>
  </si>
  <si>
    <t>AMARULLAH / SUNARMI</t>
  </si>
  <si>
    <t>+62 812-7906-5959</t>
  </si>
  <si>
    <t xml:space="preserve">M. Arief S/ Maulia A P	</t>
  </si>
  <si>
    <t xml:space="preserve">M. 16570/ Sukabumi	</t>
  </si>
  <si>
    <t>K/9/071124/2</t>
  </si>
  <si>
    <t>M. Arif S/ Daniq M A</t>
  </si>
  <si>
    <t>M.2428/ Kedaung</t>
  </si>
  <si>
    <t>K/12/071124/1</t>
  </si>
  <si>
    <t>DEA FRISKA RUSDARA / TOHARI</t>
  </si>
  <si>
    <t>+62 895-0658-4856</t>
  </si>
  <si>
    <t>M.12905/RAJABASA</t>
  </si>
  <si>
    <t>K/8/071124/1</t>
  </si>
  <si>
    <t>M. Arif S/ Tiara Ayu</t>
  </si>
  <si>
    <t>Nibel. B. 2237/ Sukarame</t>
  </si>
  <si>
    <t>K/14/071124/1</t>
  </si>
  <si>
    <t>BUDI K</t>
  </si>
  <si>
    <t>M. 2226/ Gunung Terang</t>
  </si>
  <si>
    <t>K/10/071124/3</t>
  </si>
  <si>
    <t>M. Arif S/ Kevin Ahada R</t>
  </si>
  <si>
    <t>Perbaiki AJB = Tgl lahir istri penjual salah</t>
  </si>
  <si>
    <t>M. 2430/ Kedaung</t>
  </si>
  <si>
    <t xml:space="preserve">Perbaiki AJB= No.Surat Ukur salah </t>
  </si>
  <si>
    <t>K/11/071124/4</t>
  </si>
  <si>
    <t>M. Arif S/ Friska AFR</t>
  </si>
  <si>
    <t>Perbaiki AJB= No.NOP blm ada</t>
  </si>
  <si>
    <t>M. 2426/ Kedaung</t>
  </si>
  <si>
    <t>K/13/071124/2</t>
  </si>
  <si>
    <t>DEA FRISKA RUSDARA / JERRY YANTO</t>
  </si>
  <si>
    <t>M. 2150/SUKARAME BARU-SEKARANG;B. 2323/SUKARAME-DAHULU</t>
  </si>
  <si>
    <t>K/15/071124/1</t>
  </si>
  <si>
    <t>LELI SEPTIANA/EKA SARI TAHERAH</t>
  </si>
  <si>
    <t>0895-3631-14046</t>
  </si>
  <si>
    <t>M.2555/PINANG JAYA</t>
  </si>
  <si>
    <t>K/19/071124/2</t>
  </si>
  <si>
    <t>BUDI KRISTIYANTO</t>
  </si>
  <si>
    <t>Nibel 3070/ keteguhan</t>
  </si>
  <si>
    <t>keteguhan</t>
  </si>
  <si>
    <t>K/16/071124/2</t>
  </si>
  <si>
    <t>APRIZAL/EKA SARI TAHERAH</t>
  </si>
  <si>
    <t>M.4696/SUKADANAHAM</t>
  </si>
  <si>
    <t>K/17/071124/3</t>
  </si>
  <si>
    <t>ANDRE SETIAWAN/EKA SARI TAHERAH</t>
  </si>
  <si>
    <t>M.4706/SUKADANAHAM</t>
  </si>
  <si>
    <t>K/18/071124/4</t>
  </si>
  <si>
    <t>ADI WIDODO/EKA SARI TAHERAH</t>
  </si>
  <si>
    <t>M.2475/PINANG JAYA</t>
  </si>
  <si>
    <t xml:space="preserve">Mahfud/ Eka C 	</t>
  </si>
  <si>
    <t xml:space="preserve">Evi Udin/ Agustino H	</t>
  </si>
  <si>
    <t xml:space="preserve">M. 14387/ Rajabasa; SHT 2838/ 2018	</t>
  </si>
  <si>
    <t xml:space="preserve">Eka Sari T/ Ilmiati S	</t>
  </si>
  <si>
    <t xml:space="preserve">M. 2528/ Pinang Jaya	</t>
  </si>
  <si>
    <t>K/20/071124/1</t>
  </si>
  <si>
    <t>NOVALIA EKA PUTRI / ROSMAWATI</t>
  </si>
  <si>
    <t>+62 896-4922-2167</t>
  </si>
  <si>
    <t>M. 141/ PERUMNAS WAY KANDIS-SEKARANG; B. 250/ WAY KANDIS-DAHULU</t>
  </si>
  <si>
    <t>K/21/071124/1</t>
  </si>
  <si>
    <t>Richard Adi P/ Achmad A</t>
  </si>
  <si>
    <t>M. 4901/ Langkapura</t>
  </si>
  <si>
    <t>L/22/071124/1</t>
  </si>
  <si>
    <t>TAUPIK AKBAR</t>
  </si>
  <si>
    <t>081369751666</t>
  </si>
  <si>
    <t>HM 2435/PANJANG UTARA</t>
  </si>
  <si>
    <t>K/23/071124/1</t>
  </si>
  <si>
    <t>GITA ATIKA/SALIM WIJAYA</t>
  </si>
  <si>
    <t>08127952668</t>
  </si>
  <si>
    <t>M. 16717/ Sukarame I</t>
  </si>
  <si>
    <t>K/24/071124/1</t>
  </si>
  <si>
    <t>TONY AZHARI</t>
  </si>
  <si>
    <t>M. 658/ Gunung Terang</t>
  </si>
  <si>
    <t xml:space="preserve"> Gunung Terang</t>
  </si>
  <si>
    <t>L/25/071124/1</t>
  </si>
  <si>
    <t>TIAS SANGUN RATU</t>
  </si>
  <si>
    <t>082248921191</t>
  </si>
  <si>
    <t>085377824672</t>
  </si>
  <si>
    <t>K/29/071124/1</t>
  </si>
  <si>
    <t>DESSY NOFITA / ADRISMAN</t>
  </si>
  <si>
    <t>+62 896-1883-4154</t>
  </si>
  <si>
    <t>M. 439/KALIAWI PERSADA-SEKARANG;B.41/SUKADANA HAM-DAHULU</t>
  </si>
  <si>
    <t>K/26/071124/1</t>
  </si>
  <si>
    <t>Ilanur/ Rudi M Irawan</t>
  </si>
  <si>
    <t>M. 445/ Kota Sepang</t>
  </si>
  <si>
    <t xml:space="preserve"> Kota Sepang</t>
  </si>
  <si>
    <t>K/27/071124/2</t>
  </si>
  <si>
    <t>Ilanur/ Siti Nurhasanah</t>
  </si>
  <si>
    <t>M. 87/ L R R</t>
  </si>
  <si>
    <t>K/28/071124/3</t>
  </si>
  <si>
    <t>Nibel. M. 699/ Kota Sepang</t>
  </si>
  <si>
    <t>K/30/071124/1</t>
  </si>
  <si>
    <t>KRESHNA/ RITA</t>
  </si>
  <si>
    <t>Nibel 3504/ Bumi Kedamaian</t>
  </si>
  <si>
    <t>NIB 930 Blm Validasi Bidang</t>
  </si>
  <si>
    <t>K/31/071124/1</t>
  </si>
  <si>
    <t>Abdul Gani/ Sarwan</t>
  </si>
  <si>
    <t>Nibel. M. 2217/ Sukabumi</t>
  </si>
  <si>
    <t>K/32/071124/1</t>
  </si>
  <si>
    <t>EVI UDIN / PONO SUSANTO</t>
  </si>
  <si>
    <t>M. 12112/TANJUNG BARU</t>
  </si>
  <si>
    <t>L/34/071124/1</t>
  </si>
  <si>
    <t>ABDUL RACHMAN</t>
  </si>
  <si>
    <t>085159711522</t>
  </si>
  <si>
    <t>HM 15030/SUKARAME I (SHM TETANGGA)</t>
  </si>
  <si>
    <t>SUKARAME-SUKARAME BARU</t>
  </si>
  <si>
    <t>K/35/071124/1</t>
  </si>
  <si>
    <t>LILIS DAMAYANTI</t>
  </si>
  <si>
    <t>085269574899</t>
  </si>
  <si>
    <t>M. 10980/ Segala Mider</t>
  </si>
  <si>
    <t>K/38/071124/3</t>
  </si>
  <si>
    <t>Endang A/ Sri Wahyuni</t>
  </si>
  <si>
    <t>B. 716/ Kemiling Permai</t>
  </si>
  <si>
    <t>K/37/071124/2</t>
  </si>
  <si>
    <t>Endang A/ Fadel F</t>
  </si>
  <si>
    <t>082289235723</t>
  </si>
  <si>
    <t>B. 621/ Kemiling Permai</t>
  </si>
  <si>
    <t>K/39/071124/1</t>
  </si>
  <si>
    <t>NINIK SURTINI/NEDI HERYANDI</t>
  </si>
  <si>
    <t>0821-8036-8994</t>
  </si>
  <si>
    <t>M.105/PENENGAHAN</t>
  </si>
  <si>
    <t>PENENGAHAN</t>
  </si>
  <si>
    <t>K/36/071124/1</t>
  </si>
  <si>
    <t>Endang A/ Rita M S</t>
  </si>
  <si>
    <t>B. 919/ Beringin Jaya</t>
  </si>
  <si>
    <t>Endang A/ Fadel A</t>
  </si>
  <si>
    <t>K/40/071124/1</t>
  </si>
  <si>
    <t>Fahrul Rozi/ Jainuri</t>
  </si>
  <si>
    <t>B. 1118/ Keteguhan</t>
  </si>
  <si>
    <t>K/41/071124/1</t>
  </si>
  <si>
    <t>RICHARD ADI/CITRA YULIA</t>
  </si>
  <si>
    <t>M. 1254/ Langkapura Baru</t>
  </si>
  <si>
    <t>Langkapura Baru</t>
  </si>
  <si>
    <t>K/25/291024/1</t>
  </si>
  <si>
    <t>AZMI ARDIANSYAH/YENI EKAWATI</t>
  </si>
  <si>
    <t>M.697/GUNUNG AGUNG</t>
  </si>
  <si>
    <t>GUNUNG AGUNG</t>
  </si>
  <si>
    <t>0878788404040</t>
  </si>
  <si>
    <t>K/33/071124/2</t>
  </si>
  <si>
    <t>EVI UDIN / YOHANES CS</t>
  </si>
  <si>
    <t>M. 676/BUMI KEDAMAIAN</t>
  </si>
  <si>
    <t>K/1/081124/1</t>
  </si>
  <si>
    <t>FAIZAL SUBNI/ANNA PURNAMASARI</t>
  </si>
  <si>
    <t>M.1419/SUSUNAN BARU</t>
  </si>
  <si>
    <t>L/3/081124/1</t>
  </si>
  <si>
    <t>HM 10617/KEDAMAIAN (SHM TETANGGA)</t>
  </si>
  <si>
    <t>KEDAMADIAN</t>
  </si>
  <si>
    <t>K/2/081124/2</t>
  </si>
  <si>
    <t>REFYATI/ANNA PURNAMASARI</t>
  </si>
  <si>
    <t>M. 1892/BERINGIN JAYA-SEKARANG;M.1538/BERINGIN RAYA-DAHULU</t>
  </si>
  <si>
    <t>L/5/081124/1</t>
  </si>
  <si>
    <t>MARLIN KRISTINA</t>
  </si>
  <si>
    <t>085809665817</t>
  </si>
  <si>
    <t>HM 12327/LABUHAN RATU</t>
  </si>
  <si>
    <t>K/6/081124/1</t>
  </si>
  <si>
    <t>LIDYA MARDIANA SIREGAR/IG YOGA NUGROHO</t>
  </si>
  <si>
    <t>M.12571/BERINGIN RAYA-SEKARANG;B.2268/BERINGIN RAYA</t>
  </si>
  <si>
    <t>K/8/081124/1</t>
  </si>
  <si>
    <t>JUNAEDI ARMAN/ACHMAD ROSWANTAMA</t>
  </si>
  <si>
    <t>M.5182/RAJABASA JAYA</t>
  </si>
  <si>
    <t>K/7/081124/1</t>
  </si>
  <si>
    <t>M ANDRIZA/ VITO</t>
  </si>
  <si>
    <t>085269021511</t>
  </si>
  <si>
    <t>M. 10329/ Segala Mider</t>
  </si>
  <si>
    <t>L/9/081124/1</t>
  </si>
  <si>
    <t>SULYA YENI</t>
  </si>
  <si>
    <t>08127926501</t>
  </si>
  <si>
    <t>SULYA YENTY</t>
  </si>
  <si>
    <t>GM 613/PEMATANG WANGI</t>
  </si>
  <si>
    <t>K/10/081124/1</t>
  </si>
  <si>
    <t>YENI EKAWATI</t>
  </si>
  <si>
    <t>+62 823-7481-3314</t>
  </si>
  <si>
    <t>B. 4954, 4958/ Kali Balau Kencana</t>
  </si>
  <si>
    <t>NOMOR SHT DAN APHT PADA KKP BEDA DGN SERTIPIKAT</t>
  </si>
  <si>
    <t xml:space="preserve"> Kali Balau Kencana</t>
  </si>
  <si>
    <t>AROSWANTAMA</t>
  </si>
  <si>
    <t>KTP PENERIMA KUASA</t>
  </si>
  <si>
    <t>Sumberrejo sejahtera</t>
  </si>
  <si>
    <t>Roswantama/ Assabiqun Alpan</t>
  </si>
  <si>
    <t>L/11/081124/1</t>
  </si>
  <si>
    <t>HARYATI</t>
  </si>
  <si>
    <t>081369038380</t>
  </si>
  <si>
    <t>HM 837/SUKARAME BARU</t>
  </si>
  <si>
    <t>K/4/081124/1</t>
  </si>
  <si>
    <t>DIAN EKA SARI / HAPPY YUNITA SUMAKA</t>
  </si>
  <si>
    <t>M. 1242/SUKABUMI INDAH</t>
  </si>
  <si>
    <t xml:space="preserve">Yudeni T/ Daniel Fajar	</t>
  </si>
  <si>
    <t xml:space="preserve">Nibel. M. 1424/ Jagabaya II	</t>
  </si>
  <si>
    <t xml:space="preserve">Jagabaya II	</t>
  </si>
  <si>
    <t>yudeni thoha</t>
  </si>
  <si>
    <t>ACC 22/10/2024</t>
  </si>
  <si>
    <t xml:space="preserve"> Tanjung Baru</t>
  </si>
  <si>
    <t>K/12/081124/1</t>
  </si>
  <si>
    <t>NANIK MARYANI / RUDY HERIJANTO WIDJAJA</t>
  </si>
  <si>
    <t>M. 2353/SUKARAME BARU-SEKARANG;M.17754/SUKARAME-DAHULU</t>
  </si>
  <si>
    <t>L/13/081124/1</t>
  </si>
  <si>
    <t>SUTOYO</t>
  </si>
  <si>
    <t>082186447011</t>
  </si>
  <si>
    <t>HM 271/RAJABSA NUNYAI</t>
  </si>
  <si>
    <t xml:space="preserve">Robin/ Samaya Cs	</t>
  </si>
  <si>
    <t>0878788784040</t>
  </si>
  <si>
    <t xml:space="preserve">M. 2958/ Kota Baru	</t>
  </si>
  <si>
    <t xml:space="preserve">Kota Baru	</t>
  </si>
  <si>
    <t>K/14/081124/1</t>
  </si>
  <si>
    <t>YAN BASTIAN/VITTA NOGOSANNYONO</t>
  </si>
  <si>
    <t xml:space="preserve">PENDAFTARAN SK PERPANJANGAN </t>
  </si>
  <si>
    <t>B.223/NEGERI OLOK GADING</t>
  </si>
  <si>
    <t xml:space="preserve">Herlina Ratna SN/ Siti Ayu KS	</t>
  </si>
  <si>
    <t xml:space="preserve">M. 1651/ Sukarame II	</t>
  </si>
  <si>
    <t>K/15/081124/1</t>
  </si>
  <si>
    <t>ABDI HARI KURNIAWAN / MUSLIM</t>
  </si>
  <si>
    <t>+62 821-8241-4776</t>
  </si>
  <si>
    <t>NIBEL M. 2040/HARAPAN JAYA</t>
  </si>
  <si>
    <t>HARAPAN JAYA</t>
  </si>
  <si>
    <t>K/16/081124/2</t>
  </si>
  <si>
    <t>NIBEL. M 2976/KORPRI RAYA</t>
  </si>
  <si>
    <t>L/17/081124/1</t>
  </si>
  <si>
    <t>HM 1134/GULAK GALIK</t>
  </si>
  <si>
    <t>K/18/081124/1</t>
  </si>
  <si>
    <t>+62 896-1840-1409</t>
  </si>
  <si>
    <t>M. 1479/ Serengsem</t>
  </si>
  <si>
    <t>Serengsem</t>
  </si>
  <si>
    <t>K/19/081124/1</t>
  </si>
  <si>
    <t>JAROT/ ADITYA</t>
  </si>
  <si>
    <t>+62 821-7970-5566</t>
  </si>
  <si>
    <t>Nibel 8260/ Negeri Olok gading</t>
  </si>
  <si>
    <t>Negeri Olok gading</t>
  </si>
  <si>
    <t>K/20/081124/1</t>
  </si>
  <si>
    <t>HAR NELI DEWI/ISMARINA</t>
  </si>
  <si>
    <t>M.1712/RAJABASA NUNYAI</t>
  </si>
  <si>
    <t>K/21/081124/1</t>
  </si>
  <si>
    <t>SYAMSIAH</t>
  </si>
  <si>
    <t>M. N12856/ RAJABASA</t>
  </si>
  <si>
    <t>K/22/081124/2</t>
  </si>
  <si>
    <t>YULIWATI</t>
  </si>
  <si>
    <t>M. 12543/ Tanjung Baru</t>
  </si>
  <si>
    <t>K/23/081124/1</t>
  </si>
  <si>
    <t>RAHMADIYANTI/ YASRANUDDIN</t>
  </si>
  <si>
    <t>Nibel 1229/ Labuhan Dalam</t>
  </si>
  <si>
    <t xml:space="preserve"> Labuhan Dalam</t>
  </si>
  <si>
    <t>K/24/081124/2</t>
  </si>
  <si>
    <t>M. 813/WAY DADI- SEKARANG; M. 13188/SUKARAME I</t>
  </si>
  <si>
    <t>WAY DADI</t>
  </si>
  <si>
    <t>K/25/081124/1</t>
  </si>
  <si>
    <t>RICHARD ADI P</t>
  </si>
  <si>
    <t>M. 2076/ Kota Baru</t>
  </si>
  <si>
    <t>RENVOI NOMOR SU PADA AJB</t>
  </si>
  <si>
    <t>BUKTI BAYAR PBB 2024</t>
  </si>
  <si>
    <t>PERBAIKI TGL LAHIR PADA SP ABSENTE</t>
  </si>
  <si>
    <t>KUITANSI JUAL BELI</t>
  </si>
  <si>
    <t>K/26/081124/2</t>
  </si>
  <si>
    <t>M.1711/RAJABASA NUNYAI</t>
  </si>
  <si>
    <t>L/27/081124/1</t>
  </si>
  <si>
    <t>FRIDA CHRISNASARI DEWI</t>
  </si>
  <si>
    <t>0815321512124</t>
  </si>
  <si>
    <t>HM 683/JAGABAYA III</t>
  </si>
  <si>
    <t>K/28/081124/1</t>
  </si>
  <si>
    <t>EWON GUNAWAN/ HANDI KAUNANG</t>
  </si>
  <si>
    <t>M. 1079/ JAGABAYA III</t>
  </si>
  <si>
    <t xml:space="preserve"> K/29/081124/2</t>
  </si>
  <si>
    <t>EWON GUNAWAN</t>
  </si>
  <si>
    <t>M. 2329/ SEPANG JAYA</t>
  </si>
  <si>
    <t>K/30/081124/3</t>
  </si>
  <si>
    <t>M. 695/ RAJABASA NUNYAI</t>
  </si>
  <si>
    <t>ACC 23/10/2024</t>
  </si>
  <si>
    <t xml:space="preserve"> RAJABSAA NUNYAI</t>
  </si>
  <si>
    <t xml:space="preserve">Ilanur/ Clara C D	</t>
  </si>
  <si>
    <t xml:space="preserve">M. 2253/ Kedaung	</t>
  </si>
  <si>
    <t xml:space="preserve">Kedaung	</t>
  </si>
  <si>
    <t xml:space="preserve">Ilanur/ Amin Nudin	</t>
  </si>
  <si>
    <t xml:space="preserve">M. 2800/ Sukarame II	</t>
  </si>
  <si>
    <t xml:space="preserve">Sukarame II	</t>
  </si>
  <si>
    <t xml:space="preserve">Ilanur/ Taryadi Ilayas	</t>
  </si>
  <si>
    <t>08787878404040</t>
  </si>
  <si>
    <t xml:space="preserve">M. 2869/ Sukarame Baru	</t>
  </si>
  <si>
    <t>K/31/081124/1</t>
  </si>
  <si>
    <t>BINNA RL SIMBOLON/CHRISTINA ULINA</t>
  </si>
  <si>
    <t xml:space="preserve">PLOTING </t>
  </si>
  <si>
    <t xml:space="preserve">M.301/PERUMNAS WAY KANDIS-SEKARANG;B.695/WAY KANDIS </t>
  </si>
  <si>
    <t>K/32/081124/2</t>
  </si>
  <si>
    <t>ROSIDAH/CHRISTINA ULINA</t>
  </si>
  <si>
    <t>M.970/KUPANG KOTA</t>
  </si>
  <si>
    <t>K/33/081124/3</t>
  </si>
  <si>
    <t>ISYADI/CHRISTINA ULINA</t>
  </si>
  <si>
    <t>M.6974/TANJUNG SENENG</t>
  </si>
  <si>
    <t>K/34/081124/4</t>
  </si>
  <si>
    <t>ROHMAN/CHRISTINA ULINA</t>
  </si>
  <si>
    <t>M.6814/TANJUNG SENENG</t>
  </si>
  <si>
    <t>K/35/081124/5</t>
  </si>
  <si>
    <t>RAIHAN SUDRAJAT/CHRISTINA ULINA</t>
  </si>
  <si>
    <t>M.6867/TANJUNG SENENG</t>
  </si>
  <si>
    <t>K/36/081124/1</t>
  </si>
  <si>
    <t xml:space="preserve">PANARY SITOPU / MUHAMMAD MAHDI </t>
  </si>
  <si>
    <t>M. 6416/WAY KANDIS</t>
  </si>
  <si>
    <t>K/39/081124/1</t>
  </si>
  <si>
    <t>Ilanur/ Trian H</t>
  </si>
  <si>
    <t>0897799122178</t>
  </si>
  <si>
    <t>Nibel. M.3301/ Tanjung Senang</t>
  </si>
  <si>
    <t>K/37/081124/2</t>
  </si>
  <si>
    <t>PANARY SITOPU / MELJI</t>
  </si>
  <si>
    <t>NIBEL M. 6180/PELITA</t>
  </si>
  <si>
    <t>K/38/081124/3</t>
  </si>
  <si>
    <t>NIBEL M. 6138/PELITA</t>
  </si>
  <si>
    <t>K/40/081124/1</t>
  </si>
  <si>
    <t>Novalia E P/ Gusnawati</t>
  </si>
  <si>
    <t>M. 70/ Garuntang</t>
  </si>
  <si>
    <t>Garuntang</t>
  </si>
  <si>
    <t>K/41/081124/1</t>
  </si>
  <si>
    <t>ENDANG APRILIA / ACHMAD IQBAL</t>
  </si>
  <si>
    <t>M. 72/ LANGKAPURA BARU</t>
  </si>
  <si>
    <t>K/42/081124/1</t>
  </si>
  <si>
    <t>JUNIARTHI FATHIAH CS/LILIS DAMAYANTI</t>
  </si>
  <si>
    <t xml:space="preserve">KEWARISAN </t>
  </si>
  <si>
    <t xml:space="preserve">M.4432/GUNUNG TERANG </t>
  </si>
  <si>
    <t xml:space="preserve">GUNUNG TERANG </t>
  </si>
  <si>
    <t>K/43/081124/1</t>
  </si>
  <si>
    <t>HERA A/ DEDE K</t>
  </si>
  <si>
    <t>K/44/081124/2</t>
  </si>
  <si>
    <t>HERA A/ ZUKI LOEKMAN</t>
  </si>
  <si>
    <t>M. 9662/ KEDAMAIAN</t>
  </si>
  <si>
    <t>L/45/081124/1</t>
  </si>
  <si>
    <t>JUWITA SARI</t>
  </si>
  <si>
    <t>082184128620</t>
  </si>
  <si>
    <t>HGB 4249/BERINGIN RAYA</t>
  </si>
  <si>
    <t xml:space="preserve"> Sumber Agung</t>
  </si>
  <si>
    <t xml:space="preserve">Intan Avita S/ Yuly Wina A	</t>
  </si>
  <si>
    <t>K/47/081124/1</t>
  </si>
  <si>
    <t>ANGGI PRATIWI/ANDRI YULIAN</t>
  </si>
  <si>
    <t>M.2593/CAMPANG RAYA-SEKARANG;B.2035/CAMPANG RAYA-DAHULU</t>
  </si>
  <si>
    <t>K/46/081124/1</t>
  </si>
  <si>
    <t>Mursalin/ Nurul Q</t>
  </si>
  <si>
    <t>M. 1450/ Kupang Teba</t>
  </si>
  <si>
    <t xml:space="preserve">Talang </t>
  </si>
  <si>
    <t xml:space="preserve">Reflan R/ Andy Suherman	</t>
  </si>
  <si>
    <t xml:space="preserve">M. 429/ Gedong Pakuon	</t>
  </si>
  <si>
    <t xml:space="preserve">Gedong Pakuon	</t>
  </si>
  <si>
    <t>K/48/081124/1</t>
  </si>
  <si>
    <t>M.1114/PEMATANG WANGI</t>
  </si>
  <si>
    <t xml:space="preserve">I Made R/ Miswanto	</t>
  </si>
  <si>
    <t>K/49/081124/1</t>
  </si>
  <si>
    <t>M. 3493/ Kota Baru</t>
  </si>
  <si>
    <t xml:space="preserve"> Kota Baru</t>
  </si>
  <si>
    <t>K/50/081124/1</t>
  </si>
  <si>
    <t>I Made R/ Ning Surahman Cs</t>
  </si>
  <si>
    <t>B. 1183/ Sukabumi Indah</t>
  </si>
  <si>
    <t>Sukabumi Indah</t>
  </si>
  <si>
    <t>K/51/081124/1</t>
  </si>
  <si>
    <t>RENI FEBRIANI / YUNINGSIH AMBARYANI</t>
  </si>
  <si>
    <t>+62 896-3367-4976</t>
  </si>
  <si>
    <t>M. 541/ SAWAH LAMA</t>
  </si>
  <si>
    <t>K/52/081124/2</t>
  </si>
  <si>
    <t>I Made R/ Desy Malia</t>
  </si>
  <si>
    <t>M. 19646/ Sukarame</t>
  </si>
  <si>
    <t>K/53/081124/1</t>
  </si>
  <si>
    <t>Rendy Ry/ Okta Rika</t>
  </si>
  <si>
    <t>M. 324/ Korpri Raya</t>
  </si>
  <si>
    <t>PERIU HALIM/ EVA SURIANI</t>
  </si>
  <si>
    <t>BN JUAL BEL</t>
  </si>
  <si>
    <t>BEDA TAHUN LAHIR ANTARA SERTIPIKAT DAN KTP</t>
  </si>
  <si>
    <t>K/1/091124/1</t>
  </si>
  <si>
    <t>RIA NATALYA / THEN EFFENDY</t>
  </si>
  <si>
    <t>M. 9754/KEDAMAIAN</t>
  </si>
  <si>
    <t>K/2/111124/1</t>
  </si>
  <si>
    <t>EVA SURIANI/ DWI ARIYANTI</t>
  </si>
  <si>
    <t>Nibel 3185/ Beringin Raya</t>
  </si>
  <si>
    <t>L/3/111124/1</t>
  </si>
  <si>
    <t>MARGIE BRITE</t>
  </si>
  <si>
    <t>085813717327</t>
  </si>
  <si>
    <t>HM 11988/LABUHAN RATU</t>
  </si>
  <si>
    <t>K/4/111124/1</t>
  </si>
  <si>
    <t>KOMARUZZAMAN /RENALDI PRATAMA SIRYA</t>
  </si>
  <si>
    <t>M.103/PINANG JAYA</t>
  </si>
  <si>
    <t>K/7/111124/1</t>
  </si>
  <si>
    <t>IMELDA MARGARETHA/RIA NATALYA</t>
  </si>
  <si>
    <t>M.1550/BUMI KEDAMAIAN-SEKARANG;M.6824/KEDAMAIAN-DAHULU</t>
  </si>
  <si>
    <t>K/5/111124/1</t>
  </si>
  <si>
    <t>Evi Udin/ Rachel Risiana</t>
  </si>
  <si>
    <t>M. 1638/ Bumi Kedamaian</t>
  </si>
  <si>
    <t>ACC 21/10/2024</t>
  </si>
  <si>
    <t>K/6/111124/2</t>
  </si>
  <si>
    <t>EVi Udin/ Hwa Nio Cs</t>
  </si>
  <si>
    <t>M. 9657/ Labuhan Ratu</t>
  </si>
  <si>
    <t>NIBEL B.640/CAMPANG RAYA</t>
  </si>
  <si>
    <t>089663904769</t>
  </si>
  <si>
    <t>K/8/111124/1</t>
  </si>
  <si>
    <t>Yulian Suhandi/ Natasha S A</t>
  </si>
  <si>
    <t>M. 3347/ Kemiling Raya</t>
  </si>
  <si>
    <t>K/9/111124/1</t>
  </si>
  <si>
    <t>ERWIN ZULIAN</t>
  </si>
  <si>
    <t>M. 815/ Rajabasa Pemuka</t>
  </si>
  <si>
    <t xml:space="preserve"> Rajabasa Pemuka</t>
  </si>
  <si>
    <t>K/10/111124/1</t>
  </si>
  <si>
    <t>FITRIANA/ HEVY</t>
  </si>
  <si>
    <t>0821479978</t>
  </si>
  <si>
    <t>M. 10853/ Jagabaya II</t>
  </si>
  <si>
    <t xml:space="preserve"> Jagabaya II</t>
  </si>
  <si>
    <t>K/11/111124/1</t>
  </si>
  <si>
    <t>AFRIZAL / SHEN HANA LIANI SANJAYA</t>
  </si>
  <si>
    <t>M. 11329/TANJUNG BARU</t>
  </si>
  <si>
    <t>K/12/111124/1</t>
  </si>
  <si>
    <t>Renaldi P S/ Arienanda D</t>
  </si>
  <si>
    <t>Nibel. M. 1113/ Bumi Raya</t>
  </si>
  <si>
    <t>K/13/111124/1</t>
  </si>
  <si>
    <t>SIBEL ALBERRY/RIADH INDRAWAN</t>
  </si>
  <si>
    <t>0822-8415-9202</t>
  </si>
  <si>
    <t xml:space="preserve">M.8738/SUKABUMI </t>
  </si>
  <si>
    <t xml:space="preserve">SUKABUMI </t>
  </si>
  <si>
    <t>K/14/111124/2</t>
  </si>
  <si>
    <t xml:space="preserve">POGET SAPUTRA/RIADH INDRAWAN </t>
  </si>
  <si>
    <t>M. 428/SAWAH BREBES</t>
  </si>
  <si>
    <t>K/15/111124/1</t>
  </si>
  <si>
    <t>M Arief Soeharnoko</t>
  </si>
  <si>
    <t>M. 16629/ Sukabumi</t>
  </si>
  <si>
    <t>K/16/111124/1</t>
  </si>
  <si>
    <t>TURSINA/DEDI SETIAWAN</t>
  </si>
  <si>
    <t>0853-8112-5445</t>
  </si>
  <si>
    <t>M.10866/SUKARAME I</t>
  </si>
  <si>
    <t>K/17/111124/1</t>
  </si>
  <si>
    <t>Maryanti Kurniwan/ Kuni</t>
  </si>
  <si>
    <t>M. 657/ Kangkung</t>
  </si>
  <si>
    <t>K/18/111124/1</t>
  </si>
  <si>
    <t>RENALDI PRATAMA S/ LITA</t>
  </si>
  <si>
    <t>081366988967</t>
  </si>
  <si>
    <t>M. 6354/ Gunung Sulah</t>
  </si>
  <si>
    <t>K/19/111124/1</t>
  </si>
  <si>
    <t>Seruni W/ Nadila A</t>
  </si>
  <si>
    <t>M. 3209/ Labuhan Dalam</t>
  </si>
  <si>
    <t>K/20/111124/2</t>
  </si>
  <si>
    <t>Seruni W/ Iskandar Johar</t>
  </si>
  <si>
    <t>Nibel. M. 3511/ Gedong Meneng</t>
  </si>
  <si>
    <t>Gedong Meneng</t>
  </si>
  <si>
    <t>K/22/111124/2</t>
  </si>
  <si>
    <t>RENALDI PRATAMA SIRYA</t>
  </si>
  <si>
    <t>Nibel 1517/ Sawah Brebes</t>
  </si>
  <si>
    <t xml:space="preserve"> Sawah Brebes</t>
  </si>
  <si>
    <t>K/23/111124/1</t>
  </si>
  <si>
    <t>MAYA AYUNINGTYAS / RUDY</t>
  </si>
  <si>
    <t>HMASRS. 152/SUMUR PUTRI</t>
  </si>
  <si>
    <t>K/21/111124/1</t>
  </si>
  <si>
    <t>MAY DUMA/HERA AGUSTIANTI PUTRI</t>
  </si>
  <si>
    <t>B.65/LABUHAN DALAM</t>
  </si>
  <si>
    <t>K/25/111124/1</t>
  </si>
  <si>
    <t>NURLAILA</t>
  </si>
  <si>
    <t>08122439900</t>
  </si>
  <si>
    <t>Nibel 3510/ Rajabasa Pemuka</t>
  </si>
  <si>
    <t>ZUL APRIL</t>
  </si>
  <si>
    <t>M. 560/ KORPRI RAYA</t>
  </si>
  <si>
    <t>K/26/111124/1</t>
  </si>
  <si>
    <t>ELTI YUNANI / AWALUDIN</t>
  </si>
  <si>
    <t>+62 882-7627-6883</t>
  </si>
  <si>
    <t>B. 1677/ SUKARAME</t>
  </si>
  <si>
    <t>K/28/111124/1</t>
  </si>
  <si>
    <t>NURMAWATI CS/CHRISTINA ULINA</t>
  </si>
  <si>
    <t>M.1280/KELAPA TIGA</t>
  </si>
  <si>
    <t>K/27/111124/1</t>
  </si>
  <si>
    <t>Budi K/ Bank Hibank</t>
  </si>
  <si>
    <t>M. 1467; 1474/ Tanjung Karang; SHT 5221/2017 dan 2980/2017 dan 3713/2017 dan 3715/2017 dan 2985/2017</t>
  </si>
  <si>
    <t>K/31/111124/1</t>
  </si>
  <si>
    <t>B. 256/ Kota Baru</t>
  </si>
  <si>
    <t>K/24/111124/1</t>
  </si>
  <si>
    <t>Thabrani/ Sumiati</t>
  </si>
  <si>
    <t>081393738080</t>
  </si>
  <si>
    <t>Nibel. M. 2723/ Kedaton</t>
  </si>
  <si>
    <t>K/29/111124/3</t>
  </si>
  <si>
    <t>Evi Udin/ Evi SDS</t>
  </si>
  <si>
    <t>M. 867/ Kupang Teba</t>
  </si>
  <si>
    <t>K/30/111124/4</t>
  </si>
  <si>
    <t>Evi Udin/ Krisnandar Cs</t>
  </si>
  <si>
    <t>M. 12739/ Kedaton</t>
  </si>
  <si>
    <t>K/32/111124/2</t>
  </si>
  <si>
    <t>MAYA AYUNINGTYAS / DHANNY YURISTIAWAN</t>
  </si>
  <si>
    <t>M.9663/SEGALA MIDER</t>
  </si>
  <si>
    <t>K/33/111124/1</t>
  </si>
  <si>
    <t>RIDHO ISRA YANTO/RICHARD ADI PRASTYA</t>
  </si>
  <si>
    <t>M.2945/SUKARAME II</t>
  </si>
  <si>
    <t>K/34/111124/1</t>
  </si>
  <si>
    <t>Reflan R/ Maya W P</t>
  </si>
  <si>
    <t>M. 1320/ Gedong Air</t>
  </si>
  <si>
    <t>K/35/111124/1</t>
  </si>
  <si>
    <t>YENI EKAWATI / NURLELA</t>
  </si>
  <si>
    <t>0895600617771</t>
  </si>
  <si>
    <t>BN APHB</t>
  </si>
  <si>
    <t>NIBEL M. 2683/ PENENGAHAN RAYA</t>
  </si>
  <si>
    <t>PENENGAHAN RAYA</t>
  </si>
  <si>
    <t>L/36/111124/1</t>
  </si>
  <si>
    <t>BEDA NAMA DAN TANGGAL LAHIR PEMILIK ANTARA KTP DAN SERTIPIKAT</t>
  </si>
  <si>
    <t>HAZIM</t>
  </si>
  <si>
    <t>08157960245</t>
  </si>
  <si>
    <t>HM 1934/PENGAJARAN</t>
  </si>
  <si>
    <t>L/37/111124/1</t>
  </si>
  <si>
    <t>SRI SUHARNI</t>
  </si>
  <si>
    <t>081379416006</t>
  </si>
  <si>
    <t>HM 17234/SUKARAME</t>
  </si>
  <si>
    <t>K/38/111124/2</t>
  </si>
  <si>
    <t>Reflan R/ Margareta Y</t>
  </si>
  <si>
    <t xml:space="preserve">+62 822-6948-0192 </t>
  </si>
  <si>
    <t>M. 5933/ Way Kandis</t>
  </si>
  <si>
    <t>K/39/111124/1</t>
  </si>
  <si>
    <t>IBK SUKASANA/ARI NURWENI</t>
  </si>
  <si>
    <t>081272195650</t>
  </si>
  <si>
    <t>M. 1775/ Rajabasa Pemuka</t>
  </si>
  <si>
    <t>K/40/111124/1</t>
  </si>
  <si>
    <t xml:space="preserve">TIORISMA SINURAT CS/NAZAIRONI ASIBRIYHA </t>
  </si>
  <si>
    <t>M.868/BAKUNG</t>
  </si>
  <si>
    <t>L/41/111124/1</t>
  </si>
  <si>
    <t>HM 4762/TANJUNG SENANG</t>
  </si>
  <si>
    <t>081227777277</t>
  </si>
  <si>
    <t>K/42/111124/1</t>
  </si>
  <si>
    <t>Anggun Y/ Susanto</t>
  </si>
  <si>
    <t>085213181309</t>
  </si>
  <si>
    <t>M. 2213/ Labuhan Dalam</t>
  </si>
  <si>
    <t>K/43/111124/1</t>
  </si>
  <si>
    <t>RENDY RENDALDY / SUMARSIH CS</t>
  </si>
  <si>
    <t>M. 8979/ JAGABAYA II</t>
  </si>
  <si>
    <t>K/44/111124/1</t>
  </si>
  <si>
    <t>TEDDY WAN / MARIA YESSI</t>
  </si>
  <si>
    <t>+62 821-8415-3778</t>
  </si>
  <si>
    <t>M.18234/SUKARAME</t>
  </si>
  <si>
    <t>K/45/111124/2</t>
  </si>
  <si>
    <t>TEDDY WAN / KURNIA SANTOSO</t>
  </si>
  <si>
    <t>B.277/ BAKUNG</t>
  </si>
  <si>
    <t xml:space="preserve"> BAKUNG</t>
  </si>
  <si>
    <t>Reflan R/ Maya W</t>
  </si>
  <si>
    <t>K/2/121124/1</t>
  </si>
  <si>
    <t>ANGGA PURNAMA</t>
  </si>
  <si>
    <t>M. 7935/ Kedamaian</t>
  </si>
  <si>
    <t>bumi Kedamaian</t>
  </si>
  <si>
    <t>K/1/121124/1</t>
  </si>
  <si>
    <t>Reka Surabaja AS/ Bernadeth WWR</t>
  </si>
  <si>
    <t>081372676640</t>
  </si>
  <si>
    <t>B. 215/ Kota Baru</t>
  </si>
  <si>
    <t>K/3/121124/2</t>
  </si>
  <si>
    <t>ANGGA P/ HABRIN</t>
  </si>
  <si>
    <t>M. 181/ Bumi Kedamaian; SHT 05715/2018</t>
  </si>
  <si>
    <t>K/4/121124/1</t>
  </si>
  <si>
    <t>MOH REZA</t>
  </si>
  <si>
    <t>M. 1541/ Keteguhan</t>
  </si>
  <si>
    <t>K/5/121124/1</t>
  </si>
  <si>
    <t>TITIK WIJAYANTI/ADE FIRMANSYAH</t>
  </si>
  <si>
    <t>082175979305</t>
  </si>
  <si>
    <t>M.67/SUMBEREJO SEJAHTERA</t>
  </si>
  <si>
    <t>K/6/121124/2</t>
  </si>
  <si>
    <t xml:space="preserve">B.865/KETEGUHAN </t>
  </si>
  <si>
    <t xml:space="preserve">KETEGUHAN </t>
  </si>
  <si>
    <t>K/7/121124/1</t>
  </si>
  <si>
    <t>Eko Tamina/ Indra Yama CS</t>
  </si>
  <si>
    <t>M. 1103/ Sukamaju</t>
  </si>
  <si>
    <t>K/8/121124/1</t>
  </si>
  <si>
    <t xml:space="preserve"> AROSWANTAMA/ RINAWATI</t>
  </si>
  <si>
    <t>M. 467/ Kota Sepang</t>
  </si>
  <si>
    <t>K/9/121124/2</t>
  </si>
  <si>
    <t>A ROSWANTAMA/ DWI</t>
  </si>
  <si>
    <t>Nibel 2551/ Bumi raya</t>
  </si>
  <si>
    <t xml:space="preserve"> Bumi raya</t>
  </si>
  <si>
    <t xml:space="preserve"> K/14/171024/5</t>
  </si>
  <si>
    <t>M. 2465/ Pinang Jaya</t>
  </si>
  <si>
    <t>K/10/121124/1</t>
  </si>
  <si>
    <t>EVI UDIN/ RONI CAHYADI</t>
  </si>
  <si>
    <t xml:space="preserve">M. 370/ Campang Raya </t>
  </si>
  <si>
    <t xml:space="preserve">Campang Raya </t>
  </si>
  <si>
    <t>K/11/121124/1</t>
  </si>
  <si>
    <t>MIRANDA OKTAVIA/EKA SARI TAHERAH</t>
  </si>
  <si>
    <t>M.5073/RAJABASA JAYA</t>
  </si>
  <si>
    <t>K/12/121124/2</t>
  </si>
  <si>
    <t>EMAWATY/EKA SARI TAHERAH</t>
  </si>
  <si>
    <t>M.2462/PINANG JAYA</t>
  </si>
  <si>
    <t>L/13/121124/1</t>
  </si>
  <si>
    <t>AIDEL FIANDRA</t>
  </si>
  <si>
    <t>08982292280</t>
  </si>
  <si>
    <t>NIB 7691/SUKARAME</t>
  </si>
  <si>
    <t>K/14/121124/1</t>
  </si>
  <si>
    <t>M. 1004/ Gunung Agung-SEKARANG; M. 9784/ SEGALA MIDER-DAHULU</t>
  </si>
  <si>
    <t>Gunung Agung</t>
  </si>
  <si>
    <t>K/16/121124/1</t>
  </si>
  <si>
    <t>Dzaky Agustomi/ Elly R</t>
  </si>
  <si>
    <t>Penurunan Hak</t>
  </si>
  <si>
    <t>M. 253/ Kemiling Permai</t>
  </si>
  <si>
    <t>K/15/121124/2</t>
  </si>
  <si>
    <t>RICHARD ADI/ ELLY KASIM</t>
  </si>
  <si>
    <t>M. 787, 786, 773/ Rajabasa Jaya</t>
  </si>
  <si>
    <t>K/17/121124/3</t>
  </si>
  <si>
    <t>RASIMAN/EKA SARI TAHERAH</t>
  </si>
  <si>
    <t>M.15/RAJABASA JAYA</t>
  </si>
  <si>
    <t>K/18/121124/1</t>
  </si>
  <si>
    <t>KHOLILAH</t>
  </si>
  <si>
    <t>Nibel 5278/ kemiling raya</t>
  </si>
  <si>
    <t xml:space="preserve"> kemiling raya</t>
  </si>
  <si>
    <t>K/19/121124/1</t>
  </si>
  <si>
    <t>BILLY OBOR ABABIL / ACHMAD RIATAMA</t>
  </si>
  <si>
    <t>089605394389</t>
  </si>
  <si>
    <t>B. 225/ LABUHAN RATU RAYA</t>
  </si>
  <si>
    <t>K/20/121124/1</t>
  </si>
  <si>
    <t>ASNIDIA/MAHFUD</t>
  </si>
  <si>
    <t>0857-0913-9403</t>
  </si>
  <si>
    <t>M.18944/SUKARAME I-SEKARANG;B.5019/SUKARAME I-DAHULU</t>
  </si>
  <si>
    <t>K/21/121124/1</t>
  </si>
  <si>
    <t>Aditya/ Mena</t>
  </si>
  <si>
    <t>089654416662</t>
  </si>
  <si>
    <t>M. 12302/ Jagabaya II</t>
  </si>
  <si>
    <t>L/22/121124/1</t>
  </si>
  <si>
    <t>TRIASIH FAJARWATI</t>
  </si>
  <si>
    <t>082177076635</t>
  </si>
  <si>
    <t>K/23/121124/1</t>
  </si>
  <si>
    <t>NANIK MARYANI/ WENDY</t>
  </si>
  <si>
    <t>Nibel 1221/ Durian Payung</t>
  </si>
  <si>
    <t>K/25/121124/1</t>
  </si>
  <si>
    <t>SINTA WULAN DESI / HERU WIRYOKO</t>
  </si>
  <si>
    <t>085379950896</t>
  </si>
  <si>
    <t>M. 2237/LANGKAPURA</t>
  </si>
  <si>
    <t>K/24/121124/2</t>
  </si>
  <si>
    <t>B. 668/ Sukabumi Indah</t>
  </si>
  <si>
    <t>K/26/121124/3</t>
  </si>
  <si>
    <t>M. 16695/ Sukabumi</t>
  </si>
  <si>
    <t>L/27/121124/1</t>
  </si>
  <si>
    <t>SAIFUL FITRI</t>
  </si>
  <si>
    <t>081369177009</t>
  </si>
  <si>
    <t>HM 10312/SUKABUMI</t>
  </si>
  <si>
    <t>K/28/121124/1</t>
  </si>
  <si>
    <t>Richard Adi P/ Henny Cs</t>
  </si>
  <si>
    <t>Nibel. M. 8263/ Pesawahan</t>
  </si>
  <si>
    <t xml:space="preserve"> Pesawahan</t>
  </si>
  <si>
    <t>L/29/121124/1</t>
  </si>
  <si>
    <t>ASTRID TANDIARI</t>
  </si>
  <si>
    <t>08127211135</t>
  </si>
  <si>
    <t>HM 358/WHP</t>
  </si>
  <si>
    <t>K/30/121124/1</t>
  </si>
  <si>
    <t>AAN/PANARY SITOPU</t>
  </si>
  <si>
    <t>M.1142/BUMI KEDAMAIAN</t>
  </si>
  <si>
    <t>K/31/121124/2</t>
  </si>
  <si>
    <t>WAHYUDI/PANARY SITOPU</t>
  </si>
  <si>
    <t>M.14216/RAJABASA</t>
  </si>
  <si>
    <t>K/32/121124/3</t>
  </si>
  <si>
    <t>M THOLIB/PANARY SITOPU</t>
  </si>
  <si>
    <t>B.1269/SUMBERREJO</t>
  </si>
  <si>
    <t>SUMBERREJO</t>
  </si>
  <si>
    <t>L/33/121124/1</t>
  </si>
  <si>
    <t>NONING VERAWATI</t>
  </si>
  <si>
    <t>081392853835</t>
  </si>
  <si>
    <t>HM 838/PINANG JAYA</t>
  </si>
  <si>
    <t>WURI VALENDZA WIJAYA/RENALDI PRATAMA SIRYA</t>
  </si>
  <si>
    <t>TUMPANG TINDIH</t>
  </si>
  <si>
    <t>K/34/121124/1</t>
  </si>
  <si>
    <t>Imelda P/ Awalusin A Cs</t>
  </si>
  <si>
    <t>M. 121/ Enggal</t>
  </si>
  <si>
    <t>Enggal</t>
  </si>
  <si>
    <t>K/36/121124/1</t>
  </si>
  <si>
    <t>AFRIDA CS/NURYATI</t>
  </si>
  <si>
    <t>M.1599/WAY KANDIS</t>
  </si>
  <si>
    <t>L/37/121124/1</t>
  </si>
  <si>
    <t>TJANDERA WIDJONO</t>
  </si>
  <si>
    <t>082177030557</t>
  </si>
  <si>
    <t>NIB7348/TANJUNG BARU</t>
  </si>
  <si>
    <t>K/35/121124/1</t>
  </si>
  <si>
    <t>RENALDI PRATAMA SIRYA / LISMIYATI</t>
  </si>
  <si>
    <t>M. 1892/LANGKAPURA</t>
  </si>
  <si>
    <t>K/38/121124/1</t>
  </si>
  <si>
    <t>Vivi A/ Nurhayati</t>
  </si>
  <si>
    <t>Penataan Batas</t>
  </si>
  <si>
    <t>M. 1833/ Rajabasa Jaya</t>
  </si>
  <si>
    <t>L/39/121124/1</t>
  </si>
  <si>
    <t>AMIRUDDIN SIREGAR</t>
  </si>
  <si>
    <t>08127219870</t>
  </si>
  <si>
    <t>HM 614/RAJABASA PEMUKA</t>
  </si>
  <si>
    <t>K/40/121124/1</t>
  </si>
  <si>
    <t>ISMARINA/ ACHMAD</t>
  </si>
  <si>
    <t>M. 9364/ Kampung Baru</t>
  </si>
  <si>
    <t xml:space="preserve"> Kampung Baru</t>
  </si>
  <si>
    <t>K/41/121124/2</t>
  </si>
  <si>
    <t>ISMARINA/ BELA</t>
  </si>
  <si>
    <t>M. 306/ Kota Sepang</t>
  </si>
  <si>
    <t>K/42/121124/3</t>
  </si>
  <si>
    <t>ISMARINA/YULI</t>
  </si>
  <si>
    <t>M. 914/ Kemiling Permai</t>
  </si>
  <si>
    <t xml:space="preserve"> Kemiling Permai</t>
  </si>
  <si>
    <t>K/45/121124/1</t>
  </si>
  <si>
    <t xml:space="preserve">MAIMUNAH CS/NOVALIA EKA PUTRI </t>
  </si>
  <si>
    <t>K/43/121124/4</t>
  </si>
  <si>
    <t>IAMARINA/ DEDEN HERDIANSYAH</t>
  </si>
  <si>
    <t>Nibel 367/ Gunung Sulah</t>
  </si>
  <si>
    <t>K/44/121124/5</t>
  </si>
  <si>
    <t>ISMARINA/ CITA</t>
  </si>
  <si>
    <t>Nibel 371/ Gunung Sulah</t>
  </si>
  <si>
    <t>L/46/121124/1</t>
  </si>
  <si>
    <t>NURUL HODAYATI</t>
  </si>
  <si>
    <t>081369057575</t>
  </si>
  <si>
    <t>HM 755/RAJABASA RAYA</t>
  </si>
  <si>
    <t>K/47/121124/1</t>
  </si>
  <si>
    <t>FAHRUL ROZI / ANDRE WIBOWO</t>
  </si>
  <si>
    <t>M. 4936/ SUKADANA HAM</t>
  </si>
  <si>
    <t>L/48/121124/1</t>
  </si>
  <si>
    <t>HGB 836/PWK</t>
  </si>
  <si>
    <t>PWK</t>
  </si>
  <si>
    <t>K/49/121124/1</t>
  </si>
  <si>
    <t>MURSALIN/ UMAR SULAIMAN</t>
  </si>
  <si>
    <t>M. 1756/ Rajabasa Nunyai</t>
  </si>
  <si>
    <t>K/50/121124/1</t>
  </si>
  <si>
    <t>ERLY REBEKA SIMANJUNTAK/CHRISTINA ULINA</t>
  </si>
  <si>
    <t>NIBEL M.1785/SUMUR PUTRI</t>
  </si>
  <si>
    <t>K/1/131124/1</t>
  </si>
  <si>
    <t>Titik W/ Yuli S</t>
  </si>
  <si>
    <t>085269123525</t>
  </si>
  <si>
    <t>M. 10732/ Rajabasa</t>
  </si>
  <si>
    <t>K/2/131124/2</t>
  </si>
  <si>
    <t>M. 1713/ Sukamaju</t>
  </si>
  <si>
    <t>K/3/131124/3</t>
  </si>
  <si>
    <t>M. 1714/ Sukamaju</t>
  </si>
  <si>
    <t>Plotting : Cek plot bentuk bidang</t>
  </si>
  <si>
    <t>Surat Waris dilegalisir</t>
  </si>
  <si>
    <t>ANDRI NOVIAR</t>
  </si>
  <si>
    <t>Nibel 2191/ Gunung Terang</t>
  </si>
  <si>
    <t>Tgl lahir Homsah di KTP dan Surat Ket. Kematian berbeda</t>
  </si>
  <si>
    <t>K/4/131124/1</t>
  </si>
  <si>
    <t>FRANKI MALAU</t>
  </si>
  <si>
    <t>+62 812-8057-4365</t>
  </si>
  <si>
    <t>Beda nama Slamet Riyadi dan Selamat Riyadi (di KK Dodi Suswanto)</t>
  </si>
  <si>
    <t>M. 4605/ Rajabasa Jaya</t>
  </si>
  <si>
    <t>Perbaikan ke 2 : Masih ada kesalahan pengetikan nama Slamet Riyadi</t>
  </si>
  <si>
    <t>K/5/131124/2</t>
  </si>
  <si>
    <t xml:space="preserve"> rahmadiyanti</t>
  </si>
  <si>
    <t xml:space="preserve"> +62 821-8209-0051</t>
  </si>
  <si>
    <t>gandes</t>
  </si>
  <si>
    <t>m. 542/ beringin jaya</t>
  </si>
  <si>
    <t>sumberrejo sejahtera</t>
  </si>
  <si>
    <t>L/6/131124/1</t>
  </si>
  <si>
    <t>DIAN PERDANA</t>
  </si>
  <si>
    <t>0811200687</t>
  </si>
  <si>
    <t>K/7/131124/1</t>
  </si>
  <si>
    <t>BERNARDO OTTO MARTIANUS/PANARY SITOPU</t>
  </si>
  <si>
    <t>M.342/RAJABASA JAYA</t>
  </si>
  <si>
    <t>L/8/131124/1</t>
  </si>
  <si>
    <t xml:space="preserve"> M.2593/CAMPANG RAYA-SEKARANG;B.2035/CAMPANG RAYA-DAHULU</t>
  </si>
  <si>
    <t>L/9/131124/1</t>
  </si>
  <si>
    <t>08128106680</t>
  </si>
  <si>
    <t>HM 11474/KEDAMAIAN (SHM TETANGGA)</t>
  </si>
  <si>
    <t>K/10/131124/1</t>
  </si>
  <si>
    <t>Andry Yulian/ Efnita N R</t>
  </si>
  <si>
    <t>M. 1193/ Sukadana Ham</t>
  </si>
  <si>
    <t>L/12/131124/1</t>
  </si>
  <si>
    <t>ERNI ANGGRAINI</t>
  </si>
  <si>
    <t>082375922166</t>
  </si>
  <si>
    <t>HM 1424/BAKUNG &amp; HM 1423/BAKUNG</t>
  </si>
  <si>
    <t>K/11/131124/1</t>
  </si>
  <si>
    <t>ROMI ZAMZAMI/ LENDRAWATI</t>
  </si>
  <si>
    <t>PERMOHONAN SK PERPANJANGAN</t>
  </si>
  <si>
    <t>Nibel 133/ Kelapa Tiga</t>
  </si>
  <si>
    <t>Kelapa Tiga</t>
  </si>
  <si>
    <t>K/13/131124/1</t>
  </si>
  <si>
    <t>EVI UDIN/ TRIYOKO</t>
  </si>
  <si>
    <t>M. 2268/ Campang Jaya-SEKARANG; m. 1520/ CAMPANG RAYA-DULU</t>
  </si>
  <si>
    <t>K/14/131124/2</t>
  </si>
  <si>
    <t>BN JUAL JUAL BELI</t>
  </si>
  <si>
    <t>M. 346/ Sawah Lama</t>
  </si>
  <si>
    <t>K/15/131124/3</t>
  </si>
  <si>
    <t>evi udin/triyoko</t>
  </si>
  <si>
    <t>M. 86/ Sawah Brebes</t>
  </si>
  <si>
    <t>Sawah Brebes</t>
  </si>
  <si>
    <t>K/16/131124/1</t>
  </si>
  <si>
    <t>Naditha A/ Sarwan</t>
  </si>
  <si>
    <t>081367957957</t>
  </si>
  <si>
    <t>M. 561/ Bumi Kedamaian</t>
  </si>
  <si>
    <t>K/17/131124/1</t>
  </si>
  <si>
    <t>YUDENI THOHA / AL FARIZI QQ DR. MOHAMMAD RULLY ARDIANSYAH</t>
  </si>
  <si>
    <t>M. 468/SUMUR PUTRI</t>
  </si>
  <si>
    <t>L/18/131124/1</t>
  </si>
  <si>
    <t>FEMI ARYANI</t>
  </si>
  <si>
    <t>08127957831</t>
  </si>
  <si>
    <t>HGB 706/CAMPANG RAYA</t>
  </si>
  <si>
    <t>K/19/131124/1</t>
  </si>
  <si>
    <t>Maryanti K/Vivi M Cs</t>
  </si>
  <si>
    <t>M. 1845/ Kaliawi</t>
  </si>
  <si>
    <t xml:space="preserve"> Kaliawi</t>
  </si>
  <si>
    <t>K/20/131124/1</t>
  </si>
  <si>
    <t>FRANKI MALAU/ AUFA</t>
  </si>
  <si>
    <t>M. 942/ Sumur Putri</t>
  </si>
  <si>
    <t>K/21/131124/1</t>
  </si>
  <si>
    <t>LINA DJUARSA CS/DESSY NOFITA</t>
  </si>
  <si>
    <t>089618834154</t>
  </si>
  <si>
    <t>M.10630/SIDODADI</t>
  </si>
  <si>
    <t>K/22/131124/1</t>
  </si>
  <si>
    <t>NUR HAYATI/ STEVANUS</t>
  </si>
  <si>
    <t>B. 326/ Negeri Olok Gading</t>
  </si>
  <si>
    <t>K/23/131124/1</t>
  </si>
  <si>
    <t>Fahrul R/ Rama Agil S</t>
  </si>
  <si>
    <t>M. 4937/ Sukadana Ham</t>
  </si>
  <si>
    <t>Lampirkan Surat Pernyataan Keterlambatan Pendaftaran</t>
  </si>
  <si>
    <t>Lampirkan Surat Keterangan belum menikah an. Caprina Syukrie</t>
  </si>
  <si>
    <t>K/24/131124/2</t>
  </si>
  <si>
    <t>Fahrul R/ Andrian A</t>
  </si>
  <si>
    <t>Kuasa Menjual hlm 4 belum dilampirkan</t>
  </si>
  <si>
    <t>M. 4977/ Sukadana Ham</t>
  </si>
  <si>
    <t>AJB hlm 2 perbaiki tahun Surat Ukur</t>
  </si>
  <si>
    <t>HARIYO WIDODO/ KUSNIYAH</t>
  </si>
  <si>
    <t>082279461318</t>
  </si>
  <si>
    <t>Lampirkan Kwitansi</t>
  </si>
  <si>
    <t>M. 228/ JAGABAYA I</t>
  </si>
  <si>
    <t xml:space="preserve"> JAGABAYA I</t>
  </si>
  <si>
    <t>L/25/131124/1</t>
  </si>
  <si>
    <t>DHANNY SETYAWAN</t>
  </si>
  <si>
    <t>08131678312</t>
  </si>
  <si>
    <t>HM 1075/RAJABASA RAYA</t>
  </si>
  <si>
    <t>K/26/131124/1</t>
  </si>
  <si>
    <t>Reflan R/ Imam R</t>
  </si>
  <si>
    <t>0895417890270</t>
  </si>
  <si>
    <t>B. 385/ Campang Raya</t>
  </si>
  <si>
    <t xml:space="preserve"> Campang Raya</t>
  </si>
  <si>
    <t>K/27/131124/1</t>
  </si>
  <si>
    <t>ABDI HARI KURNIAWAN / MULYADI</t>
  </si>
  <si>
    <t>M.1877/ BUMI WARAS</t>
  </si>
  <si>
    <t>K/28/131124/2</t>
  </si>
  <si>
    <t>ABDI HARI KURNIAWAN / WIRAHAYU</t>
  </si>
  <si>
    <t>M. 1635 / PANJANG SELATAN</t>
  </si>
  <si>
    <t>PANJANG SELATAN</t>
  </si>
  <si>
    <t>K/29/131124/1</t>
  </si>
  <si>
    <t>TJHIA GIOK TJOE / BUDI SISWA</t>
  </si>
  <si>
    <t>081273055495</t>
  </si>
  <si>
    <t>M. 1200 / GULAK GALIK-SEKARANG;M. 66/SUMUR BATU-DAHULU</t>
  </si>
  <si>
    <t>K/30/131124/1</t>
  </si>
  <si>
    <t>Nuryati/ Rosdiana Cs</t>
  </si>
  <si>
    <t>M. 9210/ Kedamaian</t>
  </si>
  <si>
    <t>K/31/131124/2</t>
  </si>
  <si>
    <t>Nuryati/ Gita H</t>
  </si>
  <si>
    <t>M. 1114/ Pematang Wangi</t>
  </si>
  <si>
    <t xml:space="preserve"> Pematang Wangi</t>
  </si>
  <si>
    <t>L/32/131124/1</t>
  </si>
  <si>
    <t>HADI WAHYUDI</t>
  </si>
  <si>
    <t>08122112508</t>
  </si>
  <si>
    <t>HM 380/SUKARAJA</t>
  </si>
  <si>
    <t>K/34/131124/1</t>
  </si>
  <si>
    <t>RENDY RENALDY/ AGUS</t>
  </si>
  <si>
    <t>M. 4728/ Langkapura</t>
  </si>
  <si>
    <t>K/35/131124/2</t>
  </si>
  <si>
    <t>RENDY RENALDY/ RAKA</t>
  </si>
  <si>
    <t>M. 10668/ Kedaton</t>
  </si>
  <si>
    <t>Endang A/ Dede H</t>
  </si>
  <si>
    <t>081289235722</t>
  </si>
  <si>
    <t>M. 1816/ Rajabasa Nunyai</t>
  </si>
  <si>
    <t>L/33/131124/2</t>
  </si>
  <si>
    <t>HM 381/SUKARAJA</t>
  </si>
  <si>
    <t>K/37/131124/1</t>
  </si>
  <si>
    <t>ANDRIANTO / TJEN ONA KEMBARA</t>
  </si>
  <si>
    <t>M. 9123 / TANJUNG BARU</t>
  </si>
  <si>
    <t>K/38/131124/1</t>
  </si>
  <si>
    <t>SITI FATIMAH / HADIYANTO</t>
  </si>
  <si>
    <t>+62 895-3235-89944</t>
  </si>
  <si>
    <t>M. 624 / SUKARAME II</t>
  </si>
  <si>
    <t>L/1/141124/1</t>
  </si>
  <si>
    <t>NIB 9499/SUKARAME BARU</t>
  </si>
  <si>
    <t>L/5/141124/1</t>
  </si>
  <si>
    <t>FRINSYS DOA RAYA</t>
  </si>
  <si>
    <t>081279127774</t>
  </si>
  <si>
    <t>HM 9337/SEGALA MIDER</t>
  </si>
  <si>
    <t>K/2/141124/1</t>
  </si>
  <si>
    <t>FRANSISCA/ EVA SURIANI</t>
  </si>
  <si>
    <t>B. 799/ Sumur Putri</t>
  </si>
  <si>
    <t>K/3/141124/2</t>
  </si>
  <si>
    <t>EVA SURIANI/ MAHYATIN</t>
  </si>
  <si>
    <t>M. 10144/ Kampung Baru</t>
  </si>
  <si>
    <t>K/4/141124/3</t>
  </si>
  <si>
    <t>Lampirkan Akta Cerai yang disebutkan di Kuasa Jual dan AJB</t>
  </si>
  <si>
    <t>B. 335/ Kampung Baru</t>
  </si>
  <si>
    <t>Kampung Baru</t>
  </si>
  <si>
    <t>K/6/141124/1</t>
  </si>
  <si>
    <t>RENALDI PRATAMA SIRYA / EKA NURFANI</t>
  </si>
  <si>
    <t>M. 6925/TANJUNG SENANG</t>
  </si>
  <si>
    <t>K/7/141124/1</t>
  </si>
  <si>
    <t>BAMBANG ABIYONO / WINDI KANIASARI</t>
  </si>
  <si>
    <t>+62 852-7307-2656</t>
  </si>
  <si>
    <t>NIBEL M. 1762/PEMATANG WANGI</t>
  </si>
  <si>
    <t>L/10/141124/1</t>
  </si>
  <si>
    <t>HANAFI</t>
  </si>
  <si>
    <t>082175390279</t>
  </si>
  <si>
    <t>HM 17408/SUKARAME</t>
  </si>
  <si>
    <t>K/9/141124/1</t>
  </si>
  <si>
    <t>EVI UDIN</t>
  </si>
  <si>
    <t>M. 740/ Perwata</t>
  </si>
  <si>
    <t>erwata</t>
  </si>
  <si>
    <t>K/11/141124/1</t>
  </si>
  <si>
    <t>FITRIANA</t>
  </si>
  <si>
    <t>+62 857-1609-3300</t>
  </si>
  <si>
    <t>M. 13164/ Tanjung Baru</t>
  </si>
  <si>
    <t>K/12/141124/1</t>
  </si>
  <si>
    <t>AGUNG ADITYA PRATAMA/RICHARD ADI PRASTYA</t>
  </si>
  <si>
    <t>M.2944/SUKARAME II</t>
  </si>
  <si>
    <t>K/13/141124/1</t>
  </si>
  <si>
    <t>Nibel 2718/ Perumnas Way Kandis</t>
  </si>
  <si>
    <t>K/14/141124/2</t>
  </si>
  <si>
    <t>Nibel 2441/ Perumnas Way Kandis</t>
  </si>
  <si>
    <t>K/15/141124/3</t>
  </si>
  <si>
    <t>M. 693/ Gedong Air</t>
  </si>
  <si>
    <t>L/17/141124/1</t>
  </si>
  <si>
    <t>RIO TRIVALDI</t>
  </si>
  <si>
    <t>081322040755</t>
  </si>
  <si>
    <t>HM 13818/SUKABUMI</t>
  </si>
  <si>
    <t>K/16/141124/1</t>
  </si>
  <si>
    <t>SAIDA FITRI YANA / SUBHAN ROZI</t>
  </si>
  <si>
    <t>+62 812-7954-4555</t>
  </si>
  <si>
    <t>NIBEL B 2726</t>
  </si>
  <si>
    <t>K/19/141124/2</t>
  </si>
  <si>
    <t>SAIDA FITRI YANA / FARIDA</t>
  </si>
  <si>
    <t>NIBEL B 2208/BERINGIN JAYA</t>
  </si>
  <si>
    <t>K/20/141124/3</t>
  </si>
  <si>
    <t>NIBEL B. 2343/BERINGIN JAYA</t>
  </si>
  <si>
    <t>L/18/141124/1</t>
  </si>
  <si>
    <t>0821750390279</t>
  </si>
  <si>
    <t>HM 17028/SUKARAME</t>
  </si>
  <si>
    <t>K/21/141124/1</t>
  </si>
  <si>
    <t>PANARY SITOPU</t>
  </si>
  <si>
    <t>B. 773/ Sumur Putri</t>
  </si>
  <si>
    <t>K/22/141124/1</t>
  </si>
  <si>
    <t>KADEK SANTI/ISMARINA</t>
  </si>
  <si>
    <t>B.815/SUKABUMI INDAH</t>
  </si>
  <si>
    <t>K/23/141124/1</t>
  </si>
  <si>
    <t>NINIK SULISTIYORINI CS/NURYATI</t>
  </si>
  <si>
    <t>NIBEL M.3412/LABUHAN RATU</t>
  </si>
  <si>
    <t>K/24/141124/1</t>
  </si>
  <si>
    <t>Ilanur/ Lina qq Peng Dachuan</t>
  </si>
  <si>
    <t>M. 2871/ Sukarame Baru</t>
  </si>
  <si>
    <t>K/25/141124/1</t>
  </si>
  <si>
    <t>DEWI SUKMASARI / FATHUR ROHMI</t>
  </si>
  <si>
    <t>M. 6036/WAY KANDIS</t>
  </si>
  <si>
    <t>K/28/141124/1</t>
  </si>
  <si>
    <t>PT INTISUMBER HASILSEMPURNA/NANIK MARYANI</t>
  </si>
  <si>
    <t>0831-7850-1348</t>
  </si>
  <si>
    <t>NIBEL B.1608/CAMPANG RAYA</t>
  </si>
  <si>
    <t>K/29/141124/2</t>
  </si>
  <si>
    <t>NIBEL B.2258/CAMPANG RAYA</t>
  </si>
  <si>
    <t>L/26/141124/1</t>
  </si>
  <si>
    <t>ERWIN S PURBA</t>
  </si>
  <si>
    <t>0813246537</t>
  </si>
  <si>
    <t>HM 2548/WAY KANDIS</t>
  </si>
  <si>
    <t>K/27/141124/1</t>
  </si>
  <si>
    <t>ELTI YUNANI</t>
  </si>
  <si>
    <t>Pada Surat Permohonan dan Surat Kuasa perbaiki NIBEL dan Kelurahan</t>
  </si>
  <si>
    <t>M. 1432/ SUMUR PUTRI</t>
  </si>
  <si>
    <t>Pada Surat Pernyataan Absentee dan Surat Pernyataan BPHTB perbaiki NIBEL</t>
  </si>
  <si>
    <t>K/30/141124/1</t>
  </si>
  <si>
    <t>AYI RUHIYAT / SUHARTINI MASHUR</t>
  </si>
  <si>
    <t>AJB hlm 2 perbaiki bulan lahir Anthony Tanjung</t>
  </si>
  <si>
    <t>PBT. NO 24/2024/KEMILING PERMAI</t>
  </si>
  <si>
    <t>AJB hlm 3 perbaiki nama kelurahan</t>
  </si>
  <si>
    <t>L/31/141124/1</t>
  </si>
  <si>
    <t>AGUS DJOHAN</t>
  </si>
  <si>
    <t>082182073279</t>
  </si>
  <si>
    <t>HM 2692/KOTA BARU</t>
  </si>
  <si>
    <t>K/32/141124/1</t>
  </si>
  <si>
    <t>ARI ANGGRAINI/ENDANG APRILIA</t>
  </si>
  <si>
    <t>NIBEL B.3054/KEMILING PERMAI</t>
  </si>
  <si>
    <t>K/33/141124/2</t>
  </si>
  <si>
    <t>INTAN KUSUMA DEWI/ENDANG APRILIA</t>
  </si>
  <si>
    <t>NIBEL B.2993/KEMILING PERMAI</t>
  </si>
  <si>
    <t>K/36/141124/1</t>
  </si>
  <si>
    <t>Dito Saputra</t>
  </si>
  <si>
    <t>B. 387/ Telukbetung</t>
  </si>
  <si>
    <t xml:space="preserve"> Telukbetung</t>
  </si>
  <si>
    <t>K/34/141124/1</t>
  </si>
  <si>
    <t>Andrianto/ Tjen Ona</t>
  </si>
  <si>
    <t>M.14031/ Tanjung Baru</t>
  </si>
  <si>
    <t>ACC TGL 17/10/2024</t>
  </si>
  <si>
    <t>K/37/141124/2</t>
  </si>
  <si>
    <t>B. 384/ Telukbetung</t>
  </si>
  <si>
    <t>K/41/141124/1</t>
  </si>
  <si>
    <t>WILLIAM TANDEAN/NEDI HERYANDI</t>
  </si>
  <si>
    <t>M.14809/RAJABASA</t>
  </si>
  <si>
    <t>K/42/141124/2</t>
  </si>
  <si>
    <t>DEFTI NUGRAHENI/NEDI HERYANDI</t>
  </si>
  <si>
    <t>M.3233/GEDONG AIR</t>
  </si>
  <si>
    <t>K/35/141124/2</t>
  </si>
  <si>
    <t>Andrianto/ Kurniawan Halim Cs</t>
  </si>
  <si>
    <t>M. 789/ Pelita</t>
  </si>
  <si>
    <t>K/43/141124/3</t>
  </si>
  <si>
    <t>M.14810/RAJABASA</t>
  </si>
  <si>
    <t>K/38/141124/3</t>
  </si>
  <si>
    <t>M. 1252/ Kangkung</t>
  </si>
  <si>
    <t>K/39/141124/4</t>
  </si>
  <si>
    <t>M. 385/ Sukaraja</t>
  </si>
  <si>
    <t>K/40/141124/5</t>
  </si>
  <si>
    <t>M. 2806/ Beringin Raya</t>
  </si>
  <si>
    <t>K/44/141124/1</t>
  </si>
  <si>
    <t>M. 26/ Kampung Baru Raya</t>
  </si>
  <si>
    <t>K/45/141124/2</t>
  </si>
  <si>
    <t>M. 88/ Kampung Baru Raya</t>
  </si>
  <si>
    <t>K/47/141124/1</t>
  </si>
  <si>
    <t>Mahfud/ Sutan Kesuma W</t>
  </si>
  <si>
    <t>M. 1721/ Labuhan Dalam</t>
  </si>
  <si>
    <t>K/46/141124/3</t>
  </si>
  <si>
    <t>M. 12/ Kampung Baru raya</t>
  </si>
  <si>
    <t>Kampung Baru raya</t>
  </si>
  <si>
    <t>K/49/141124/1</t>
  </si>
  <si>
    <t xml:space="preserve">HARUN/WILSON </t>
  </si>
  <si>
    <t>0811791136</t>
  </si>
  <si>
    <t>K/48/141124/1</t>
  </si>
  <si>
    <t>Djoni/ Yayasan Jannatun Naim</t>
  </si>
  <si>
    <t>+62 815-4024-599</t>
  </si>
  <si>
    <t>Nibel. B. 5029/ Batu Putuk</t>
  </si>
  <si>
    <t>K/50/141124/1</t>
  </si>
  <si>
    <t>fahrul rozi</t>
  </si>
  <si>
    <t>M. 3242/ Labuhan Dalam</t>
  </si>
  <si>
    <t>LAbuhan Dalam</t>
  </si>
  <si>
    <t>K/51/141124/1</t>
  </si>
  <si>
    <t>RITO PRIASMORO/ RISA</t>
  </si>
  <si>
    <t>082186668010</t>
  </si>
  <si>
    <t>PENGUKURAN PERTAMA KALI</t>
  </si>
  <si>
    <t>K/1/151124/1</t>
  </si>
  <si>
    <t>ETI NUR CAHYA</t>
  </si>
  <si>
    <t>088269576756</t>
  </si>
  <si>
    <t>Nibel 3493/ Kemiling Permai</t>
  </si>
  <si>
    <t>K/2/151124/1</t>
  </si>
  <si>
    <t>CITRA AYU WARDANI</t>
  </si>
  <si>
    <t>M. 576/ JAGABAYA III</t>
  </si>
  <si>
    <t>L/3/151124/1</t>
  </si>
  <si>
    <t>JAYADI YASA</t>
  </si>
  <si>
    <t>08117913013</t>
  </si>
  <si>
    <t>HGB 4020/SUKABUMI</t>
  </si>
  <si>
    <t>K/4/151124/1</t>
  </si>
  <si>
    <t>SUGIATI/MUSA</t>
  </si>
  <si>
    <t>M.4148/LANGKAPURA</t>
  </si>
  <si>
    <t>L/5/151124/1</t>
  </si>
  <si>
    <t>HENNY KARTIKA</t>
  </si>
  <si>
    <t>3960/KEMILING PERMAI</t>
  </si>
  <si>
    <t>L/6/151124/1</t>
  </si>
  <si>
    <t>SUROSO</t>
  </si>
  <si>
    <t>085764393710</t>
  </si>
  <si>
    <t>HM 605/SUMBER REJO</t>
  </si>
  <si>
    <t>SUMBER REJO</t>
  </si>
  <si>
    <t>K/7/151124/1</t>
  </si>
  <si>
    <t>JURIANSYAH</t>
  </si>
  <si>
    <t>+62 853-4606-3422</t>
  </si>
  <si>
    <t>B. 1290/ Campang Raya</t>
  </si>
  <si>
    <t>K/8/151124/2</t>
  </si>
  <si>
    <t>TONI ABDULLAH</t>
  </si>
  <si>
    <t>M. 2001/ Tanjung Seneng</t>
  </si>
  <si>
    <t>L/9/151124/1</t>
  </si>
  <si>
    <t>RIZKI NUANSA</t>
  </si>
  <si>
    <t>081314486836</t>
  </si>
  <si>
    <t>HM 3174/GUNUNG TERANG</t>
  </si>
  <si>
    <t>K/10/151124/1</t>
  </si>
  <si>
    <t>Hariyo Widodo/ Baharudin</t>
  </si>
  <si>
    <t>M. 1447/ Kota Karang</t>
  </si>
  <si>
    <t>Kota Karang Raya</t>
  </si>
  <si>
    <t>K/11/151124/2</t>
  </si>
  <si>
    <t>Hariyo Widodo/ Fahrul Rozi</t>
  </si>
  <si>
    <t>M. 1884/ Sukabumi Indah</t>
  </si>
  <si>
    <t>K/12/151124/1</t>
  </si>
  <si>
    <t>SENDI DINI</t>
  </si>
  <si>
    <t>M. 1436/ Kuripan</t>
  </si>
  <si>
    <t>Kuripan</t>
  </si>
  <si>
    <t>K/13/151124/2</t>
  </si>
  <si>
    <t>M. 1185/ Kuripan</t>
  </si>
  <si>
    <t xml:space="preserve"> Kuripan</t>
  </si>
  <si>
    <t>K/14/151124/3</t>
  </si>
  <si>
    <t>M. 295/ Tanjung Raya</t>
  </si>
  <si>
    <t xml:space="preserve"> Tanjung Raya</t>
  </si>
  <si>
    <t>K/16/151124/1</t>
  </si>
  <si>
    <t>MARZUKI/YUNAH CS</t>
  </si>
  <si>
    <t>087868921817</t>
  </si>
  <si>
    <t>M.10613/KEDAMAIAN</t>
  </si>
  <si>
    <t>L/18/151124/1</t>
  </si>
  <si>
    <t>HGB 584/WAY KANDIS</t>
  </si>
  <si>
    <t>081369548932</t>
  </si>
  <si>
    <t>K/15/151124/1</t>
  </si>
  <si>
    <t>DITO S</t>
  </si>
  <si>
    <t>M. 769/ Sukaraja</t>
  </si>
  <si>
    <t>K/17/151124/1</t>
  </si>
  <si>
    <t>WILAN KESUMA JAYA/ROSIAH WAHAB</t>
  </si>
  <si>
    <t>081211024016</t>
  </si>
  <si>
    <t>BUKA BLOKIR</t>
  </si>
  <si>
    <t>M.944/SUKAMAJU</t>
  </si>
  <si>
    <t>K/19/151124/1</t>
  </si>
  <si>
    <t>EKA SARI TAHERAH</t>
  </si>
  <si>
    <t>BN JUAL BE;I</t>
  </si>
  <si>
    <t xml:space="preserve"> M. 2517/ Pinang Jaya</t>
  </si>
  <si>
    <t>K/20/151124/1</t>
  </si>
  <si>
    <t>AMHAR PASYA CS/BUDI KRISTIYANTO</t>
  </si>
  <si>
    <t>K/21/151124/2</t>
  </si>
  <si>
    <t>ANGELIA ALI/BUDI KRISTIYANTO</t>
  </si>
  <si>
    <t>K/22/151124/3</t>
  </si>
  <si>
    <t>SUGIYANTO/BUDI KRISTIYANTO</t>
  </si>
  <si>
    <t>M.2500/SUMBEREJO/KEMILING</t>
  </si>
  <si>
    <t>K/23/151124/2</t>
  </si>
  <si>
    <t>M. 2483/ Pinang Jaya</t>
  </si>
  <si>
    <t>L/25/151124/1</t>
  </si>
  <si>
    <t>RITATI</t>
  </si>
  <si>
    <t>081379035245</t>
  </si>
  <si>
    <t>HGB 560/WAY KANDIS</t>
  </si>
  <si>
    <t>K/26/151124/1</t>
  </si>
  <si>
    <t>Perbaiki NIBEL pada Surat Kuasa</t>
  </si>
  <si>
    <t>M. 2553/ Pinang Jaya</t>
  </si>
  <si>
    <t>L/27/151124/1</t>
  </si>
  <si>
    <t>PRIHATIKA</t>
  </si>
  <si>
    <t>082281628607</t>
  </si>
  <si>
    <t>HGB 569/WAY KANDIS</t>
  </si>
  <si>
    <t>K/28/151124/1</t>
  </si>
  <si>
    <t>TRI TRISNO/RENI FEBRIANI</t>
  </si>
  <si>
    <t>B.1746/SUKARAME I</t>
  </si>
  <si>
    <t>K/24/151124/1</t>
  </si>
  <si>
    <t>DEMMY ANNE WINGARDI / LIAUW DIANA SUSILAWATI</t>
  </si>
  <si>
    <t>M. 1717/SUMBERREJO SEJAHTERA</t>
  </si>
  <si>
    <t>K/29/151124/1</t>
  </si>
  <si>
    <t>Richard Adi P/ Fermayuni</t>
  </si>
  <si>
    <t>M. 168/ Tanjung Senang</t>
  </si>
  <si>
    <t>SURADI / RAMIYAH</t>
  </si>
  <si>
    <t>081278818908</t>
  </si>
  <si>
    <t>M. 9311/ TANJUNG BARU</t>
  </si>
  <si>
    <t>K/31/151124/1</t>
  </si>
  <si>
    <t>Maryanti K/ Vivi M Cs</t>
  </si>
  <si>
    <t>M. 1250/ Kaliawi</t>
  </si>
  <si>
    <t>K/32/151124/1</t>
  </si>
  <si>
    <t>Hari Noor Y/ Darli</t>
  </si>
  <si>
    <t>Nibel. M. 992/ Way Kandis</t>
  </si>
  <si>
    <t>K/33/151124/2</t>
  </si>
  <si>
    <t>Hari Noor Y/ Ulfa T</t>
  </si>
  <si>
    <t>M. 2669/ Sumberrejo</t>
  </si>
  <si>
    <t>L/34/151124/1</t>
  </si>
  <si>
    <t>TRIAN HERMAWAN</t>
  </si>
  <si>
    <t>082280678384</t>
  </si>
  <si>
    <t>NIB 2708/NUSANTARA PERMAI</t>
  </si>
  <si>
    <t>K/35/151124/1</t>
  </si>
  <si>
    <t>Priyo Susilo/ Lukita Sari</t>
  </si>
  <si>
    <t>L/36/151124/1</t>
  </si>
  <si>
    <t>DIDIT SUHARMAWAN</t>
  </si>
  <si>
    <t>081369377179</t>
  </si>
  <si>
    <t>HGB 1204/SUKABUMI INDAH</t>
  </si>
  <si>
    <t>L/38/151124/1</t>
  </si>
  <si>
    <t>MUHADI</t>
  </si>
  <si>
    <t>085366118689</t>
  </si>
  <si>
    <t>HM 2221/SUKABUMI</t>
  </si>
  <si>
    <t>K/37/151124/1</t>
  </si>
  <si>
    <t>I Made Retug/ Indah Mayang</t>
  </si>
  <si>
    <t>PTPGT Pertama Kali</t>
  </si>
  <si>
    <t>PBT 47/2024 Sukarame</t>
  </si>
  <si>
    <t>L/39/151124/1</t>
  </si>
  <si>
    <t>LUH PENDRIATI</t>
  </si>
  <si>
    <t>08127940510</t>
  </si>
  <si>
    <t>HGB 172/LABUHAN DALAM</t>
  </si>
  <si>
    <t>K/40/151124/1</t>
  </si>
  <si>
    <t>RATNA OKTARINA HANDAYANI/KRESHNA DJUAINI</t>
  </si>
  <si>
    <t>0895-0658-4856</t>
  </si>
  <si>
    <t>M.1375/KALI BALAU KENCANA</t>
  </si>
  <si>
    <t>K/41/151124/2</t>
  </si>
  <si>
    <t>DANNIE HAVIULLAH/KRESHNA DJUAINI</t>
  </si>
  <si>
    <t>M.2721/SUMBER REJO</t>
  </si>
  <si>
    <t>K/42/151124/1</t>
  </si>
  <si>
    <t>PUJI ASTUTIK CS/MEINAZIER ZEIN</t>
  </si>
  <si>
    <t>M.42/KORPRI RAYA-SEKARANG;M.9925/SUKARAME I-DAHULU</t>
  </si>
  <si>
    <t>K/43/151124/1</t>
  </si>
  <si>
    <t>Fatimah/ Widodo</t>
  </si>
  <si>
    <t>0896010465666</t>
  </si>
  <si>
    <t>Nibel B. 2838/ Kampung Baru Raya</t>
  </si>
  <si>
    <t>L/45/151124/1</t>
  </si>
  <si>
    <t>HGB 1677/SUKARAME</t>
  </si>
  <si>
    <t>087899728209</t>
  </si>
  <si>
    <t>B JUAL - BELI</t>
  </si>
  <si>
    <t>K/44/151124/1</t>
  </si>
  <si>
    <t>Wahyuni/ Arpan</t>
  </si>
  <si>
    <t>M. 344/ Bakung</t>
  </si>
  <si>
    <t>K/46/151124/1</t>
  </si>
  <si>
    <t>BHERTA SRI EKO MURTININGSIH/NOVALIA EKA PUTRI</t>
  </si>
  <si>
    <t>M.10069/SIDODADI</t>
  </si>
  <si>
    <t>L/53/151124/1</t>
  </si>
  <si>
    <t>NELIYATI</t>
  </si>
  <si>
    <t>081379444711</t>
  </si>
  <si>
    <t>NIB 8621/SUMBEREJO K</t>
  </si>
  <si>
    <t>SUMBEREJO K</t>
  </si>
  <si>
    <t>K/47/151124/1</t>
  </si>
  <si>
    <t>AYES / SUNARSIH</t>
  </si>
  <si>
    <t>+62 857-6469-0616</t>
  </si>
  <si>
    <t>GANDES (PERBAIKAN DATA SU)</t>
  </si>
  <si>
    <t>M.2316/GUNUNG TERANG</t>
  </si>
  <si>
    <t>K/57/151124/1</t>
  </si>
  <si>
    <t>APRIL LISTIANI/THABRANI</t>
  </si>
  <si>
    <t>M.1183/SUMBER AGUNG</t>
  </si>
  <si>
    <t>K/60/151124/2</t>
  </si>
  <si>
    <t>Fahrul Rozi/ Zaini Nurman</t>
  </si>
  <si>
    <t>M. 6414/ Gunung Sulah</t>
  </si>
  <si>
    <t>K/59/151124/1</t>
  </si>
  <si>
    <t>M. 6417/ Gunung Sulah</t>
  </si>
  <si>
    <t>K/58/151124/1</t>
  </si>
  <si>
    <t>Reflan R/ Antika d CS</t>
  </si>
  <si>
    <t>K/54/151124/1</t>
  </si>
  <si>
    <t>Maryanti K/ Lidya C J</t>
  </si>
  <si>
    <t>M. 1646/ Negeri Olok Gading</t>
  </si>
  <si>
    <t>K/55/151124/2</t>
  </si>
  <si>
    <t>Maryanti K/ Netty</t>
  </si>
  <si>
    <t>M. 1806/ Way Gubak</t>
  </si>
  <si>
    <t>Way Gubak</t>
  </si>
  <si>
    <t>K/56/151124/3</t>
  </si>
  <si>
    <t>Maryanti K/ Harun</t>
  </si>
  <si>
    <t>Pentaan Batas</t>
  </si>
  <si>
    <t>M. 663/ Way Gubak</t>
  </si>
  <si>
    <t>K/49/151124/2</t>
  </si>
  <si>
    <t>Fahrul R/ Zaini N</t>
  </si>
  <si>
    <t>M. 6396/ Gunung Sulah</t>
  </si>
  <si>
    <t>K/48/151124/1</t>
  </si>
  <si>
    <t>Fahrul Rozi/ Zaini M</t>
  </si>
  <si>
    <t>M. 6411/ Gunung Sulah</t>
  </si>
  <si>
    <t>K/50/151124/3</t>
  </si>
  <si>
    <t>Fahrul R/ Zaini M</t>
  </si>
  <si>
    <t>M. 6408/ Gunung Sulah</t>
  </si>
  <si>
    <t>K/51/151124/4</t>
  </si>
  <si>
    <t>M. 6415/ Gunung Sulah</t>
  </si>
  <si>
    <t>K/52/151124/5</t>
  </si>
  <si>
    <t>M. 6416/ Gunung Sulah</t>
  </si>
  <si>
    <t>K/61/151124/2</t>
  </si>
  <si>
    <t>Reflan R/ Andi A S J</t>
  </si>
  <si>
    <t>M. 1429/ Tanjung Gading</t>
  </si>
  <si>
    <t>K/62/151124/3</t>
  </si>
  <si>
    <t>Reflan R/ Andi A SJ</t>
  </si>
  <si>
    <t>M. 1430/ Tanjung Gading</t>
  </si>
  <si>
    <t>L/1/161124/1</t>
  </si>
  <si>
    <t>SANDY BERIA</t>
  </si>
  <si>
    <t>08137365762</t>
  </si>
  <si>
    <t>NIB 3420/TANJUNG SENANG</t>
  </si>
  <si>
    <t>L/2/161124/1</t>
  </si>
  <si>
    <t>HM 10314/SUKABUMI</t>
  </si>
  <si>
    <t>L/3/161124/1</t>
  </si>
  <si>
    <t>PRA RIZKA</t>
  </si>
  <si>
    <t>08975733229</t>
  </si>
  <si>
    <t>NIB 2757/GUNTER</t>
  </si>
  <si>
    <t>GUNTER</t>
  </si>
  <si>
    <t>L/4/161124/1</t>
  </si>
  <si>
    <t>FRIMANSYAH CHANDERA</t>
  </si>
  <si>
    <t>0811728968</t>
  </si>
  <si>
    <t>HGB 50/DURIAN PAYUNG</t>
  </si>
  <si>
    <t>L/5/161124/1</t>
  </si>
  <si>
    <t>FIRMANSYAH CHANDRA</t>
  </si>
  <si>
    <t>HM 691/DURIAN PAYUNG</t>
  </si>
  <si>
    <t>L/1/171125/1</t>
  </si>
  <si>
    <t>MOH SOCHIB HIDAYATULLAH</t>
  </si>
  <si>
    <t>085378788988</t>
  </si>
  <si>
    <t>B. 1356/TANJUNG SENENG</t>
  </si>
  <si>
    <t>Lampirkan FC KTP PPAT</t>
  </si>
  <si>
    <t>Lampirkan RUPS terbaru PT. Sinar Waluyo yang memuat susunan direksi (karena RUPS yang treakhir dilampirkan tahun 2008)</t>
  </si>
  <si>
    <t>SK pengangkatan Pimpinan Cabang tgl 24 Maret 2008 apakah masih berlaku? (sudah 16 tahun )</t>
  </si>
  <si>
    <t>Dalam berkas PT yang dilampirkan tidak menyebutkan SHGB No berapa yang akan dijual belikan? Serta tidak ada kuasa jual dari direksi kepada pimpinan cabang untuk menjual?</t>
  </si>
  <si>
    <t>PBB kurang bayar (16-10-2024)</t>
  </si>
  <si>
    <t>acc (16-10-2024)</t>
  </si>
  <si>
    <t>Nama penjual berbeda pada KTP, akta sertipikat (17-10-2024)</t>
  </si>
  <si>
    <t>Lampirkan bukti lunas PBB</t>
  </si>
  <si>
    <t>PBB kurang bayar (17-10-2024)</t>
  </si>
  <si>
    <t>Pada dokumen tekstual TT (17-10-2024)</t>
  </si>
  <si>
    <t>Surat keterangan kewarisan yang dilampirkan untuk mengurus administrasi pensiun janda ? perbaiki surat kewarisan dan lampirkan asli surat</t>
  </si>
  <si>
    <t>Lampirkan fotokopi KK ahli waris</t>
  </si>
  <si>
    <t>Lampirkan surat nikah</t>
  </si>
  <si>
    <t>lampirkan bukti lunas PBB</t>
  </si>
  <si>
    <t>SP BPHTB dan permohonan diisi lengkap</t>
  </si>
  <si>
    <t>SP Absente diiisi lengkap dan di tanda tangan</t>
  </si>
  <si>
    <t>SELESAI</t>
  </si>
  <si>
    <t>cek warkah 17-10-2024</t>
  </si>
  <si>
    <t>acc (17-10-2024)</t>
  </si>
  <si>
    <t>BPHTB kurang bayar Rp. 1 (17-10-2024)</t>
  </si>
  <si>
    <t>RUPS No, 114 dilegalisir</t>
  </si>
  <si>
    <t>Lampirkan SP keterlambatan pendaftaran (17-10-2024)</t>
  </si>
  <si>
    <t>Bagian bawah setiap halaman akta diisi lengkap nama dan daerah kerja PPAT</t>
  </si>
  <si>
    <t>ACC</t>
  </si>
  <si>
    <t>Validasi bidang (16-10-2024)</t>
  </si>
  <si>
    <t>PBB kurang bayar</t>
  </si>
  <si>
    <t>Surat keterangan dari lurah agar dicantumkan nomor sertipikat</t>
  </si>
  <si>
    <t>1. Lampirkan Surat Pernyataan bahwa tidak dalam jaminan di bank
2. Sertipikat Kel. Beringin Raya, PBB Kel. Pinang Jaya ?
3. Lampirkan berkas cek ploy No 77/2024
4. Validasi bidang</t>
  </si>
  <si>
    <t>DIKEMBALIKAN TGL. 6-11-2024 TANPA TANDA TERIMA</t>
  </si>
  <si>
    <t>RENVOI NOP PADA AJB</t>
  </si>
  <si>
    <t>NAMA PEMBELI ANTARA KTP DAN KK BEDA</t>
  </si>
  <si>
    <t>LENGKAPI PERMOHONAN DAN SURAT KUASA</t>
  </si>
  <si>
    <t>SURAT ROYA YG DILAMPIRKAN UNTUK SHM 1376/TANJUNG SENENG</t>
  </si>
  <si>
    <t>LAMPIRKAN SP INDUK</t>
  </si>
  <si>
    <t>SUKET KETERLAMBATAN PENDAFTARAN TANDATANGAN BASAH</t>
  </si>
  <si>
    <t>PARAF NOTARIS TIAP HALAMAN PADA KUASA MENJUAL</t>
  </si>
  <si>
    <t>RENVOI NIK DAN ALAMAT SITI IROH DI APHB</t>
  </si>
  <si>
    <t>NIB 2894 belum valbid</t>
  </si>
  <si>
    <t>barcode surat KPKNL tidak terbaca</t>
  </si>
  <si>
    <t>ktp saksi irwansyah</t>
  </si>
  <si>
    <t>lupa klik slesai jadi tglnya telat</t>
  </si>
  <si>
    <t>ACC dari tgl 18/10/2024</t>
  </si>
  <si>
    <t>Ada perbedaan nama suami Supriatun di KK dan di Surat Kematian</t>
  </si>
  <si>
    <t>Siapa Hendrik Wijaya berdasarkan KTP yg dilampirkan?</t>
  </si>
  <si>
    <t>NOP PBB yang dilampirkan berbeda dengan PPH dan BPHTB</t>
  </si>
  <si>
    <t>AJB dan PPJB hlm 2 perbaiki NIB</t>
  </si>
  <si>
    <t>Lampirkan kwitansi jual beli</t>
  </si>
  <si>
    <t>Perbaikan kedua :
Surat beda nama dibuat dari kelurahan</t>
  </si>
  <si>
    <t>Pada lembar kuning BPHTB, periksa kembali nomor hak</t>
  </si>
  <si>
    <t>AJB hlm 3 perbaiki NOP</t>
  </si>
  <si>
    <t>Pada Surat Pernyataan BPHTB perbsiki Nomor SHM</t>
  </si>
  <si>
    <t>Periksa kembali AJB hlm. 2</t>
  </si>
  <si>
    <t>Lampirkan Surat Perwalian</t>
  </si>
  <si>
    <t>Pengecekan Ulang</t>
  </si>
  <si>
    <t>AJB hlm 1 perbaiki bulan lahir Mohammad Amran Satya Nagara</t>
  </si>
  <si>
    <t>Lampirkan Kwitansi Jual Beli</t>
  </si>
  <si>
    <t>Lampirkan FC KTP Wahyu Aji Pulungan yang terbaca jelas</t>
  </si>
  <si>
    <t>AJB hlm 4 perbaiki NIB</t>
  </si>
  <si>
    <t>Pengecekan ulang</t>
  </si>
  <si>
    <t>Pada lembar pengecekan, nama Theresia Gustan berbeda dengan KTP</t>
  </si>
  <si>
    <t>Theresia Gustan menikah tgl 27/09/2004, SHM didapatkan tahun 2007, dan bercerai tgl 28/09/2021. Jadi SHM 1186 merupakan harta bersama. Kenapa di AJB tidak memerlukan persetujuan suami? (dan lampirkan FC KTP mantan suami)</t>
  </si>
  <si>
    <t>Surat Permohonan belum diberi tanggal</t>
  </si>
  <si>
    <t>Lampirkan FC KK Yosi Mariani yang terbaca jelas</t>
  </si>
  <si>
    <t>Di Surat Kuasa Untuk Menjual  dan AJB hlm 3 seharusnya sudah menyebutkan NIB elektronik, karena sertipikat sudah berubah nomor haknya menjadi 08.01.000002246.0 sejak 17/09/2024</t>
  </si>
  <si>
    <t>Kuasa Untuk menjual lampirkan yang asli</t>
  </si>
  <si>
    <t>AJB lm 2 perbaik kata "bawah"</t>
  </si>
  <si>
    <t>berkas blm bisa di acc krn bt su blm ditemukan, berkas ada di loker</t>
  </si>
  <si>
    <t>selesai</t>
  </si>
  <si>
    <t>perbaikan</t>
  </si>
  <si>
    <t>Surat dari KPKNL no. S-3397/KNL.05.02/2024 tgl. 9-10-2024 barcode tdk terbaca.Lampirkan surat yang lengkap (18-10-2024)</t>
  </si>
  <si>
    <t>acc kholfa 22/10/2024</t>
  </si>
  <si>
    <t>diserahkan ke loket tanpa tanda terima lelang tgl 23-10-2024</t>
  </si>
  <si>
    <t>RENVOI APHB HAL. 5</t>
  </si>
  <si>
    <t>Perbaikan data di KKP</t>
  </si>
  <si>
    <t>Beda bulan lahir Sri Rahayu di sertipikat dan di KTP</t>
  </si>
  <si>
    <t>ACC tgl 24-10-2024, di batalkan karen ada perkara, berkas sudah diloket</t>
  </si>
  <si>
    <t>DIBATALKAN</t>
  </si>
  <si>
    <t>PERBAIKAN (BERKAS DIPELAJARI P HADI), berkas diserahkan ke p hadi tgl.25 okt 24 tanpa tanda terima</t>
  </si>
  <si>
    <t>KK Gilang Erlangga</t>
  </si>
  <si>
    <t>Renvoi KTP Tias Budi Hastuti</t>
  </si>
  <si>
    <t>pbb 2024 dan bukti lunas</t>
  </si>
  <si>
    <t>renvoi nomor surat persetujuan dan kuasa dari ny tri andini</t>
  </si>
  <si>
    <t>BELUM VALBID</t>
  </si>
  <si>
    <t>Belum ada catatan BPHTB terhutang di KKP</t>
  </si>
  <si>
    <t>Beda tgl lahir KKP (9/9/1990) dengan sertipikat (5/3/1984)</t>
  </si>
  <si>
    <t>NIB 232 belum validasi bidang</t>
  </si>
  <si>
    <t>Perbaiki AJB hal 2 (Salah ketik alamat)</t>
  </si>
  <si>
    <t>Perbaiki AJB hal 6 (Kesalahan ketik nama pembeli)</t>
  </si>
  <si>
    <t>NIb 1444 blm valbid</t>
  </si>
  <si>
    <t xml:space="preserve">Isi lengkap blangko permohonan </t>
  </si>
  <si>
    <t>Perbaiki kelurahan pada blangko permohonan</t>
  </si>
  <si>
    <t>Surat Pernyataan Absente belum dilampirkan</t>
  </si>
  <si>
    <t>Perbaiki Tgl pada blangko permohonan, surat kuasa dan surat pernyataan BPHTB di coret-coretan smua</t>
  </si>
  <si>
    <t>Perbaiki AJB hal 3 (No SU)</t>
  </si>
  <si>
    <t>Lampirkan Fc.KTP penerima kuasa</t>
  </si>
  <si>
    <t>Lampirkan bukti bayar BPHTB</t>
  </si>
  <si>
    <t>Lampirkan kwitansi Jual Beli</t>
  </si>
  <si>
    <t>Beda tgl lahir pemilik pada KKP(10/10/1978) SHAT(10/10/1976)</t>
  </si>
  <si>
    <t>Perbaiki AJB (tgl lahir pembeli salah ketik)</t>
  </si>
  <si>
    <t>S.Pernyataan BPHTB ditandatangani 3 orang sesuai APHB</t>
  </si>
  <si>
    <t>Lampirkan KTP Penerima Kuasa</t>
  </si>
  <si>
    <t>KK SUHARDI</t>
  </si>
  <si>
    <t>Surat Pernyataan ahli waris satu-satunya dari ahli waris</t>
  </si>
  <si>
    <t>RENVOI ALAMAT REGINA MIHARDJA</t>
  </si>
  <si>
    <t>LEMBAR PENGECEKAN TIDAK ADA</t>
  </si>
  <si>
    <t>JIKA TANGGAL PD AKTA DAN LEMBAR PENGECEKAN LEBIH DARI 7 HARI KERJA MAKA LAKUKAN PENGECEKAN ULANG</t>
  </si>
  <si>
    <t>Pada Surat Permohonan, Surat Pernyataan Absentee, dan Surat Pernyataan BPHTB tulis NIB sesuai sertipikat elektronik</t>
  </si>
  <si>
    <t>Pada Risalah Lelang, Kwitansi Lelang, dan Surat Pernyataan Lelang periksa kembali nama kecamatan</t>
  </si>
  <si>
    <t>Di Keputusan Dewan Komisaris tgl 16 Agustus 2023, persetujuan dewan komisaris untuk kawasan Citra Garden Kel. Negeri Olok Gading, bukan untuk kawasan Citraland Kel. Sumur Putri ?</t>
  </si>
  <si>
    <t>Bukti bayar PPH kurang</t>
  </si>
  <si>
    <t>Perbaikan kedua : poin satu belum dipenuhi</t>
  </si>
  <si>
    <t>Kuasa Menjual yang dilampirkan salah</t>
  </si>
  <si>
    <t>Surat Permohonan Lelang dari KPKNL barcodenya tidak bisa di scan</t>
  </si>
  <si>
    <t>Perbaikan ke dua : No hak di Surat permohonan lelang salah</t>
  </si>
  <si>
    <t>Beda nama Bani Fitranysyah (di KTP) dengan Bani Fitransyah (di sertipikat)</t>
  </si>
  <si>
    <t>Validasi bidang</t>
  </si>
  <si>
    <t>Perbaikan tahun lahir pemilik di KKP</t>
  </si>
  <si>
    <t>Pada Surat Keterangan Roya, perbaiki bulan SHT</t>
  </si>
  <si>
    <t>Isi lengkap SPernyataan BPHTB</t>
  </si>
  <si>
    <t>Fc RUPS dan Akta pendirian PT terlampir blm di cap &amp;paraf notaris tiap halaman</t>
  </si>
  <si>
    <t>Beda nama pemilik di KKP(M Agus Muslim) dengan Sertipikat(M Agus Salim)</t>
  </si>
  <si>
    <t>akta kuasa jual terlampir(No.01) beda dengan yg disebutkan pada AJB(No.199)</t>
  </si>
  <si>
    <t>Beda nama pada sertipikat(M Agus Salim )dan KTP (M Agus Muslim</t>
  </si>
  <si>
    <t>nib 3169 blm plotting</t>
  </si>
  <si>
    <t>nib 8278 tumpang tindih</t>
  </si>
  <si>
    <t>TTS KUSWAN DI SURAT KUASA</t>
  </si>
  <si>
    <t>LENGKAPI NAMA DI TTD SURAT PERNYATAAN</t>
  </si>
  <si>
    <t>PERMOHONAN HANYA UTK TURUN WARIS. JIKA INGIN DISERAHKAN KE SALAH SATU AHLI WARIS, PERMOHONAN SELANJUTNYA YG DIMOHONKAN APHB</t>
  </si>
  <si>
    <t>CEK KEMBALI TTD</t>
  </si>
  <si>
    <t>SURAT KETERANGAN BEDA NAMA BAHARUDDIN SYAH MUAFFAQ DAN MUWAFFAQ</t>
  </si>
  <si>
    <t>SURAT PERSETUJUAN/ AKTA KUASA MENJUAL DARI KOMISARIS KEPADA DIREKTUR BAMBANG GUNAWAN UNTUK MELAKUKAN PENJUALAN</t>
  </si>
  <si>
    <t>tumpang tindih</t>
  </si>
  <si>
    <t>perbaiki permohonan 13</t>
  </si>
  <si>
    <t>belum valbid</t>
  </si>
  <si>
    <t>PLOTTING + VALBID</t>
  </si>
  <si>
    <t>PERBAIKI SP BPHTB</t>
  </si>
  <si>
    <t>PERBAIKI NIK BERLIANA PADA PPJB DAN AJB</t>
  </si>
  <si>
    <t>LAMPIRKAN AKTA KUASA MENJUAL NO. 04 TGL 6-2-2024</t>
  </si>
  <si>
    <t>RENVOI ALAMAT ROY HUDSON PADA AJB DAN PPJB</t>
  </si>
  <si>
    <t>RENVOI GAMBAR SITUASI PADA AJB</t>
  </si>
  <si>
    <t>SURAT KUASA JANGAN CAP PPAT</t>
  </si>
  <si>
    <t>Lampirkan surat Ketelambatan pendaftaran</t>
  </si>
  <si>
    <t>Perbaiki No SHM pada SP Absentee</t>
  </si>
  <si>
    <t>Beda harga transaksi pada PPJB , AJB dan Kwitansi terlampir</t>
  </si>
  <si>
    <t>Lampirkan Fc KK penjual</t>
  </si>
  <si>
    <t>kenapa kwitansi diubah sama dengan PPJB = 150 juta sedangkan pada AJB dan BPHTB nilai transaksi 149.400.000</t>
  </si>
  <si>
    <t>Beda  tgl lahir KKP (31/12/1974) dgn SHAT dn Fc KTP terlampir (29/6/64)</t>
  </si>
  <si>
    <t>Perbaiki NIK dan pengetikan alamat pada AJB hal 2</t>
  </si>
  <si>
    <t>Sticker Roya blm di tempel di sertipikat</t>
  </si>
  <si>
    <t>Perbaiki AJB HAL 3 (NOP)</t>
  </si>
  <si>
    <t>Perbaiki tgl lahir pemilik sertipikat di KKP sesuai KTP (01/01/1959)</t>
  </si>
  <si>
    <t>Perbaiki AJB hal 2 (alamat pembeli)</t>
  </si>
  <si>
    <t>Fc.KTP kreditur blm cap Bank</t>
  </si>
  <si>
    <t>Fc SHAT terlampir untuk NIBEL B 2432</t>
  </si>
  <si>
    <t>Tanggal. 25-10-2024
1.        Renvoi nama istri penjual
2.        Akta tgl. 9-9-2024, permohonan, surat kuasa,surat pernyataan tgl. 6-9-2024
3.        Renvoi pekerjaan pembeli : mengurus rumah tangga</t>
  </si>
  <si>
    <t>seleaai</t>
  </si>
  <si>
    <t>Tanggal. 25-10-2024
1.        Renvoi tanggal surat ukur pada akta dan perbaiki pada surat kuasa
2.        Lampirkan kuitansi jual beli</t>
  </si>
  <si>
    <t>Tanggal. 25-10-2024
1.  Validasi bidang
2.  PBB kurang bayar tahun
3.  Perbaiki Alamat ahli waris (nurmasnyah extrasona) pada permohonan, surat kuasa,surat pernyataan
4.  Lampirkan surat keterangan beda nama pewaris pada akta kelahiran ahli waris</t>
  </si>
  <si>
    <t>BIMO</t>
  </si>
  <si>
    <t>Tanggal. 25-10-2024
1.        Renvoi No. NIB pada akta 
2.        Perbaiki SP keterlambatan pendaftaran, yang di lampirkan an. Riki Yanwar ?
3.        Lampirkan fotokopi legalisir bukti bayar PPH
4.        Perbaiki pekerjaan dan alamat pembeli pada permohonan dan surat pernyataan
5.        Perbaiki nama pembeli pada surat pernyataan BPHTB
6.        Akta jual beli tgl. 27-8-2024, pengecekan tgl. 16-10-2024, lampirkan surat pernyataan keterlambatan pengecekan</t>
  </si>
  <si>
    <t>ACC KEKURANGAN NYUSUL PARAF P HADI (29-10-2024) ARI MUSIK SUDAH LAPOR P KKN</t>
  </si>
  <si>
    <t>BERKAS DISERAHKAN KE PEMEMOHON</t>
  </si>
  <si>
    <t>DISERAHKAN TGL. 1-11-2024 TANPA TANDA TERIMA</t>
  </si>
  <si>
    <t xml:space="preserve">1. Pengecekan Ulang
2. Stiker pengecekan belum ditempel di sertipikat dan lampirkan stiker pengecekan satu lagi untuk di BT
3. Pada Surat Pernyataan BPHTB lengkapi tgl dan Nomor AJB
4. Lampirkan FC KK Mardiyanah yang terbaca jelas
5. AJB hlm 6 belum di ttd PPAT dan </t>
  </si>
  <si>
    <t>Lampirkan Surat Keterangan PPH (yang ada barcode nya)</t>
  </si>
  <si>
    <t>Perbaiki nama pemilik di KKP</t>
  </si>
  <si>
    <t>Lampirkan Surat Pernyataan Bukan Untuk Kaplingan</t>
  </si>
  <si>
    <t>PAK HASBI</t>
  </si>
  <si>
    <t>1. Surat pernyataan BPHTB belum diberi tanggak
2. Beda nama Achmad Alie dan Achmad Alie Wardi
3. Beda nama Djumarian, Djumariah, Djumriah, dan Djumariyah</t>
  </si>
  <si>
    <t>1. Lampirkan Surat pernyataan absentee dan SUrat pernyataan BPHTB
2. Lampirkan Surat keterangan ahli waris yg fc nya terbaca jelas (cap lurah camat tidak terlihat jelas)</t>
  </si>
  <si>
    <t>1. Di AktaPersetujuan dan Kuasa hlm 1 perbaiki data Ari Dwi Kusuma dan Astri Desy Yanti dan hlm 3 lengkapi nama Kecamatan
2. AJB hlm 2 perbaiki nama Sri Muliana</t>
  </si>
  <si>
    <t>1. Pada surat pernyataan absentee lengkapi No dan tgl AJB
2. PBB, PPH dan BPHTB serta bukti bayar yang dilampirkan bukan untuk SHM 1470</t>
  </si>
  <si>
    <t>AJB hlm 2 perbaiki tgl lahir Puspa Kencana</t>
  </si>
  <si>
    <t>Pada Surat Pernyataan Absentee perbaiki No SHM</t>
  </si>
  <si>
    <t>1. Pada surat kuasa, jenis permohonan : pemisahan
2. Luas tanah yg akan dipisah 1.000 m2 tetapi di PBB hanya 300 m2 ??
3. Beda nama M. Holiluddin (sertipikat) dan M. Holiludin (KTP)
4. Beda tgl lahir Siti Wasila di sertipikat dan KTP
5. Beda NIK Mirwan Zahri di KTP dan KK</t>
  </si>
  <si>
    <t>GANDES (SETELAH HAPUS BPHTB)</t>
  </si>
  <si>
    <t>TGL KEMATIAN WARLIYUS ANTARA SUKET KEMATIAN DAN SUKET AHLI WARIS BERBEDA</t>
  </si>
  <si>
    <t>PERBAIKI KELURAHAN DAN NOMOR SERTIPIKAT DI PERMOHONAN DAN SURAT KUASA</t>
  </si>
  <si>
    <t>KK PEMILIK</t>
  </si>
  <si>
    <t>PBB ATAS NAMA M. MARPAUNG ? LUAS TANAH 90 M2 ?</t>
  </si>
  <si>
    <t>NO GAMBAR SITUASI BELUM NGELINK DGN SHM</t>
  </si>
  <si>
    <t>PERBAIKI NOMOR SHM PADA PERMOHONAN</t>
  </si>
  <si>
    <t>RENVOI TGL LAHIR PUSPA KENCANA PADA AJB</t>
  </si>
  <si>
    <t>RENVOI NIK DAN ALAMAT SUBIYANTO</t>
  </si>
  <si>
    <t>TTD HASBUNA ANTARA KTP, KK, AJB BERBEDA-BEDA ?</t>
  </si>
  <si>
    <t>AKTA KEMATIAN SUAMI BELUM DIJABARKAN PADA AKTA</t>
  </si>
  <si>
    <t>BEDA TGL LAHIR ANTARA SERTIPIKAT DAN AKTA KEMATIAN</t>
  </si>
  <si>
    <t>BEDA NAMA DARWIN BAHAR DGN DARWIN (PADA KK BOBBY)</t>
  </si>
  <si>
    <t>Beda nama sertipikat (Hasanuddin Jalil) dgn KKP (Hasnuddin Jalil)</t>
  </si>
  <si>
    <t>Beda nama sertipikat (Hasanuddin Jalil) dgn KTP&amp;KK(Hasanudin Jalil)</t>
  </si>
  <si>
    <t>Lampirkan S.Ket Wasiat dari Kemenkumham</t>
  </si>
  <si>
    <t>Fc Surat Pernyataan dari roby Ronaldo di waarmerking notaris</t>
  </si>
  <si>
    <t>Zevina</t>
  </si>
  <si>
    <t xml:space="preserve"> </t>
  </si>
  <si>
    <t>TTD PENERIMA KUASA PADA SURAT KUASA</t>
  </si>
  <si>
    <t>BUKTI BAYAR PPH KENAPA BEDA DGN SUKET PPH ?</t>
  </si>
  <si>
    <t>PERBAIKI NO SHM DI PERMOHONAN. SURAT KUASA, SP BPHTB DAN SP ABSENTE</t>
  </si>
  <si>
    <t>LAMPIRKAN SURAT PERNYATAAN TIDAK TERIKAT PERKAWINAN SEPERTI YG DIJABARKAN DALAM AJB</t>
  </si>
  <si>
    <t>RENVOI TGL SU PADA AJB</t>
  </si>
  <si>
    <t>RENVOI NIK YULY SUSANTI PADA AJB</t>
  </si>
  <si>
    <t>RENVOI ALAMAT ANDRE AGASI DI AJB</t>
  </si>
  <si>
    <t>ALAMAT PEMBELI ANTARA KTP DAN KK BERBEDA</t>
  </si>
  <si>
    <t>PERBAIKAN SURAT PERINTAH MELAKSANAKAN PENYITAAN</t>
  </si>
  <si>
    <t>Lampirkan Surat Kuasa</t>
  </si>
  <si>
    <t>Beda nama sertipikat(Meilana Eko Winangto)  dengan KTP dan KKP(M. Eko Winangto)</t>
  </si>
  <si>
    <t>Beda tgl lahir pada sertipikat (16/8/1966) dan KKP (26/8/1966)</t>
  </si>
  <si>
    <t>SHM 355 dan 356 TT</t>
  </si>
  <si>
    <t xml:space="preserve">1. Cek kembali sket pemecahan yang digambarkan, samakan dengan gambar di sertipikat
2. Lampirkan Surat Kuasa
3. Beda nama M. Eko Winangto (KTP) dan Meilana Eko Winangto (Sertipikat)
4. Nominal PBB 2024 di SPPT PBB dan bukti bayar PBB berbeda ?
</t>
  </si>
  <si>
    <t>1. AJB hlm 2 perbaiki NOP
2. Beda nama M. Yusman Arif dan Muhamma Yusman Arief</t>
  </si>
  <si>
    <t>Stiker pengecekan belum di tempel disertipikat dan lampirkan satu lagi stiker pengecekan untuk di buku tanah</t>
  </si>
  <si>
    <t>Perbaikan nama pemilik di KKP</t>
  </si>
  <si>
    <t>Isi lengkap Surat Kuasa</t>
  </si>
  <si>
    <t>BERKAS DIKEMBALIKAN BUAT LANGSUNG DAFTAR PTPGT PEMBAHARUAN OLEH AHLI WARIS. DIBAWAH 2 TAHUN TIDAK PERLU NGUKUR KE LAPANGAN LAGI. SUDAH KONSUL PAK NASRUL</t>
  </si>
  <si>
    <t>SUKET PPH</t>
  </si>
  <si>
    <t>RENVOI ALAMAT ROGAYAH PADA AJB</t>
  </si>
  <si>
    <t>PBB YG DILAMPIRKAN SHM 7761 ?</t>
  </si>
  <si>
    <t>NOMOR SHM PADA SURAT ROYA SALAH</t>
  </si>
  <si>
    <t>pelataran</t>
  </si>
  <si>
    <t>IMB yang dilampirkan tidak sesuai dengan objek sertipikat dan tidak sesuai juga dengan PBB</t>
  </si>
  <si>
    <t>Surat Roya belum di cap bank</t>
  </si>
  <si>
    <t>perbaikan backoffice: nama di kkp berbeda, shm belum ngelink dgn nib\</t>
  </si>
  <si>
    <t>belum validasi bidang</t>
  </si>
  <si>
    <t>BLM VALBID</t>
  </si>
  <si>
    <t>SUKET KEHILANGAN KEPOLISIAN HARUS ASLI</t>
  </si>
  <si>
    <t>DOKUMEN FC LEGALISIR</t>
  </si>
  <si>
    <t>FC SERTIPIKAT</t>
  </si>
  <si>
    <t>MASIH TUMPANG TINDIH</t>
  </si>
  <si>
    <t>di Jalan Untung Suropati 2bidang B.161 dan B244 RUKO sdh konsul&amp;ACC Pak Hadi (04/11/2024)</t>
  </si>
  <si>
    <t>Perbaiki AJb hal 2 (tgl SU)</t>
  </si>
  <si>
    <t>SP INDUK</t>
  </si>
  <si>
    <t>GANDES ? PBB DAN LEMBAR KUNING BPHTB YG DILAMPIRKAN DESA DURIAN PAYUNG</t>
  </si>
  <si>
    <t>RENVOI ALAMAT PEMBELI DI AJB SESUAI KTP</t>
  </si>
  <si>
    <t xml:space="preserve">PERBAIKI LUAS DI SP ABSENTE </t>
  </si>
  <si>
    <t>PERBAIKAN KKP</t>
  </si>
  <si>
    <t>1. Surat Permohonan, Surat Kuasa, Surat Pernyataan Absentee, dan Surat Pernyataan BPHTB tidak untuk berkas yang di mohon, silahkan periksa kembali
2. Lampirkan FC KTP PPAT
3. Bukti bayar BPHTB belum dilegalisir</t>
  </si>
  <si>
    <t>Perbaikan nama di KKP</t>
  </si>
  <si>
    <t>Lampirkan Surat Pernyataan Induk</t>
  </si>
  <si>
    <t>1. Periksa kembali surat permohonan (tidak pakai cap ppat)
2. AJB hlm 6 perbaiki nama Anna Suvenah</t>
  </si>
  <si>
    <t>No SHM di Surat Permohonan masih ada kesalahan</t>
  </si>
  <si>
    <t>konsul Pa Hadi peningktan ruko di Jl.Untung Suropati</t>
  </si>
  <si>
    <t>RENVOI AJB ABDIL HAFIZH</t>
  </si>
  <si>
    <t>BUKTI LUNAS BPHTB</t>
  </si>
  <si>
    <t>ALAMAT BERBEDA, DI PBB C 07/58, DI PBG C 07/068</t>
  </si>
  <si>
    <t>salah input data permohonan</t>
  </si>
  <si>
    <t>SURAT ROYA ASLI</t>
  </si>
  <si>
    <t>Perbaikan KKP</t>
  </si>
  <si>
    <t>1. Pada surat pernyataan BPHTB perbaiki No. AKta Hibah
2. Lampirkan FC KK Abu Bakar Ali terbaru (yg ada nama istrinya)
3. Akta Hibah hlm 3 perbaiki SHM Nibel.............</t>
  </si>
  <si>
    <t>Perbaikan ke 2 : poin 2 belum dipenuhi</t>
  </si>
  <si>
    <t>Pada Surat Permohonan, Surat Kuasa dan Surat Pernyataan Absentee perbaiki alamat Deli Satria</t>
  </si>
  <si>
    <t>Pada Surat Keterangan Beda Nama Roesminah, kurang menyebutkan beda nama Rosmina (di KK Fajar Windoro)</t>
  </si>
  <si>
    <t>RENVOI NOP PBB</t>
  </si>
  <si>
    <t>PERBAIKI NOMOR HAK DI PERMOHONAN, SURAT KUASA DAN PERNYATAAN</t>
  </si>
  <si>
    <t>MENGAPA MEMBUAT AKTA DULU SEBELUM PENGECEKAN?</t>
  </si>
  <si>
    <t>SURAT PERYATAAN KETERLAMBATAN PENDAFTARAN</t>
  </si>
  <si>
    <t>BEDA NAMA</t>
  </si>
  <si>
    <t>SURAT KUASA BELUM TTD SELURUH AHLI WARIS</t>
  </si>
  <si>
    <t>BEDA TGL LAHIR ANTARA SERTIPIKAT DAN KTP</t>
  </si>
  <si>
    <t>LAMPIRKAN SKPT</t>
  </si>
  <si>
    <t>RENVOI NIB PADA AJB</t>
  </si>
  <si>
    <t>RENVOI TGL LAHIR YUNIAR TRI LESTARI DI AJB</t>
  </si>
  <si>
    <t>RENVOI ALAMAT MUHAMAD EKO PADA AJB</t>
  </si>
  <si>
    <t>LAMPIRKAN BUKU NIKAH MUHAMAD EKO</t>
  </si>
  <si>
    <t>perbaiki nama dan NIK pd surat2 permohonan</t>
  </si>
  <si>
    <t>Pada surat pernyataan pemilikan, dikuasai oleh M Roni tgl 19 Februari 1995. sedangkan di Surat Pernyataan yang dibuat Doris, M Roni dan Dewi Fatimah tgl 10 Februari 1995. mana yang benar?</t>
  </si>
  <si>
    <t>Surat keterangan beda nama paimin dan paiman. Pada surat pernyataan pemilikan, berita acara tua2 kampung disebutkan Paiman, sedangkan di akta kematian, suket ahli waris 372/09.0106.1989, surat izin pemakaian tanah negara Paimin.</t>
  </si>
  <si>
    <t>Alas hak Paimin yaitu surat izin pemakaian tanah negara diterbitkan tgl 27 juli 1979 sedangkan pada surat pernyataan pemilikan M Roni dikuasai oleh Paimin sejak tahun 1960. mana yg benar? Jika yg benar 1979, siapa pemilik tahun 1960? Lampirkan alas hak tahun 1960</t>
  </si>
  <si>
    <t>Sura Keterangan Ahli Waris almh Saminah, yang menerangkan ahli waris saminah siapa saja. Surat tersebut juga menerangkan bahwa surat keterangan waris sebelumnya yang telah dibuat (Surat Keterangan ahli waris alm Paimin hanya menyebutkan Saminah sebagai ahli waris) adalah benar</t>
  </si>
  <si>
    <t>Ktp dan KK seluruh ahli waris saminah</t>
  </si>
  <si>
    <t>Surat Pernyataan Ahli Waris bahwa tanah diserahkan kepada salah satu ahli waris M RONI</t>
  </si>
  <si>
    <t>Akta Pembagian Hak Bersama yang menjelaskan seluruh ahli waris sepakat memberikan kepada salah satu ahli waris yaitu M RONI</t>
  </si>
  <si>
    <t>BEDA TGL LAHIR PEMILIK</t>
  </si>
  <si>
    <t>1. Pada Surat Permohonan dan Surat Kuasa periksa kembali NIK PPAT
2. Pada Surat Keputusan Dewan Komisaris tgl 16/08/2023 menyebutkan citra garden sedangkan permohonan ini di citra land?
3. Periksa kembali NOP di bukti bayar PBB</t>
  </si>
  <si>
    <t>Perbaiki AJB hal 1 (alamat pemilik SHAT)</t>
  </si>
  <si>
    <t>Perbaiki AJB hal 2 (No SU)</t>
  </si>
  <si>
    <t>Hapus catatan sita dahulu dengan melampirkan surat pencabutan sita diterbitkan oleh instansi berwenang/putusan badan penyelesaian sengketa pajak/surat lain yg diterbitkan menteri</t>
  </si>
  <si>
    <t>Lampirkan Asli risalah lelang untuk dicocokan</t>
  </si>
  <si>
    <t xml:space="preserve">Fc Risalah Lelang terlampir No SHM salah </t>
  </si>
  <si>
    <t>Fc Surat/Akta Kematian an Hamim</t>
  </si>
  <si>
    <t>Fc Ket.Waris legalisir</t>
  </si>
  <si>
    <t>Fc.Kwitansi lelang legalisir</t>
  </si>
  <si>
    <t>Fc. SSP PPh legalisir</t>
  </si>
  <si>
    <t>Beda nama orang tua ahli waris pada Fc KK terlampir (Hamim-Hamin)</t>
  </si>
  <si>
    <t>Cek letak bidang di KKP</t>
  </si>
  <si>
    <t>1. Beda nama A. Arfan F Dallmunthe di sertipikat, surat waris, akta kematian dan FC KK Rizskaya
2. Beda nama M. Ageng Dirdja P Dalimunthe di KTP dan KK</t>
  </si>
  <si>
    <t>Surat Ket beda nama dibuat dari kelurahan</t>
  </si>
  <si>
    <t>1. Lampirkan surat pernyataan kterlambatan pendaftaran
2. Pada surat permohonan dan surat kuasa jangan pakai cap PPAT
3. Lampirkan akta kematian AMinah (istri Suparjo)
4. Lampirkan fc KTP Andri yg terbaca jelas
5. Periksa kembali sampul AJB</t>
  </si>
  <si>
    <t>1. Beda tahun lahir Miswanto di KTP dan Sertipikat
2. Permohonan pemecahan atau pemisahan ?</t>
  </si>
  <si>
    <t>Lengkapi luas yg akan dipecah pada blanko permohonan dan sket pemecahan</t>
  </si>
  <si>
    <t>1. Periksa Surat Roya (perbaiki no surat ukur)
2. Cek plot Luas
3. Cek nama pemilik di bagian info (KKP)</t>
  </si>
  <si>
    <t>1. Lengkapi surat pernyataan BPHTB
2. Beda tgl lahir Helmi Subing di Surat Waris dan KTP
3. Lampirkan FC KTP PPAT
4. Beda nama Musauwir dan Musawir</t>
  </si>
  <si>
    <t>Surat beda nama dibuat dari Kelurahan</t>
  </si>
  <si>
    <t>1. Lampirkan FC KTP PPAT
2. AJB hlm 3 perbaiki NIB dan isi nominal jual beli</t>
  </si>
  <si>
    <t>1. Beda nama dan Tgl lahir Tati Yosepha dan Tati Yosepa antara Surat Waris, KTP, KK
2. Beda nama, NIK, dan Tgl lahir Rachmat Mahendra dan Rachmad Mahendra antara Surat waris, KTP, dan KK
3. Beda nama Maulidin dan Maulidin NM</t>
  </si>
  <si>
    <t>Perbaiki tgl Surat Ukur</t>
  </si>
  <si>
    <t>SUKET KETERLAMBATAN PENDAFTARAN</t>
  </si>
  <si>
    <t>SURAT PERSETUJUAN KOMISARIS BELUM MENYEBUTKAN NOMOR SERTIPIKAT</t>
  </si>
  <si>
    <t>BEDA NAMA AH MARHENDRA ANTARA KTP DAN RUPS</t>
  </si>
  <si>
    <t>TGL LAHIR DWI RATIH PADA SUKET BEDA NAMA MASIH SALAH</t>
  </si>
  <si>
    <t>LENGKAPI SP BPHTB</t>
  </si>
  <si>
    <t>PERBAIKI HARGA JUAL PADA SURAT PERNYATAAN JUAL BELI</t>
  </si>
  <si>
    <t>BEDA NAMA SUAMI ANTARA KK DGN SURAT KEMATIAN</t>
  </si>
  <si>
    <t>RENVOI SHGB PADA AJB</t>
  </si>
  <si>
    <t>HARGA JUAL BELI ANTARA AJB DAN KUITANSI BEDA</t>
  </si>
  <si>
    <t>PERBAIKI PERMOHONAN</t>
  </si>
  <si>
    <t>STATUS SUHERMANTO PADA AKTA NIKAH NOMOR 756/35/XII/2009 ADALAH DUDA. APAKAH SUDAH PERNAH BERCERAI ? CERAI DGN SIAPA ? LAMPIRKAN AKTA CERAINYA.</t>
  </si>
  <si>
    <t>DGN ITRI PERTAMA NIKAH TGL 14-07-2001, AKTA NIKAH DIKELUARKAN TGL 10-07-2013 ?</t>
  </si>
  <si>
    <t>BEDA NOMOR RUMAH ANTARA PBB DAN SUKET RUMAH TINGGAL</t>
  </si>
  <si>
    <t>Beda tgl lahir SHAT,KTP (1/1/1973) dengan KKP(1/1/1990)</t>
  </si>
  <si>
    <t>1.Lampiran Fc KTP an Nadia Fandarina (yg terbaca jelas)
2.Lampirkan Fc KK an. M.Fahrur Rozi (yg terbaca tgl lahirnya)
3.Beda nama SHAT(Muhammad Fadli Husin) dengan KTP (M.Fadli Husin)</t>
  </si>
  <si>
    <t>Perbaiki AJB hal 3 (alamat penjual, NoSHM , Luas, terbilang luas, NIB, Kelurahan )</t>
  </si>
  <si>
    <t>Perbaiki AJB hal 3 (NOP)</t>
  </si>
  <si>
    <t>Kuasa Bertingkat tidak boleh (David --- Yulis___ Ilanur)</t>
  </si>
  <si>
    <t>Beda tgl lahir KKP (5/4/1971) dengan SHAT dan KTP(20/4/1987)</t>
  </si>
  <si>
    <t>PERBAIAKN</t>
  </si>
  <si>
    <t>KONSUL PTSL NIB 149,192  /RAJABASA JAYA 6-11-2024</t>
  </si>
  <si>
    <t>KONSUL PJB HPL 03</t>
  </si>
  <si>
    <t>KONSUL LOKASI DAN LUAS DIPLANGAN BERBEDA DG FISIK, UKUR ULANG SELEDAI HAPUS BPHTB 6-11-2024</t>
  </si>
  <si>
    <t>1. Nominal Jual Beli di PPJB, AJB, dan Kwitansi Jual Beli berbeda
2. Perbaiki tgl lahir pemilik di KKP</t>
  </si>
  <si>
    <t>lengkapi cap notaris di legalisir PBB</t>
  </si>
  <si>
    <t>1. Periksa kembali Kel dan Kec di Surat Pernyataan Induk
2. NOP di bukti bayar BPHTB berbeda</t>
  </si>
  <si>
    <t>1. Lampirkan Surat Pernyataan Induk
2. Di PPJB hlm 1 jabatan Mohamad Andy Trevino adalah direktur, bukan direktur utama</t>
  </si>
  <si>
    <t xml:space="preserve">1. Lampirkan SP Keterlambatan
2. Lengkapi Surat Pernyataan BPHTB
3. Perbaiki tgl SUrat Kuasa di Surat Permohonan
4. Lampirkan FC KK Rita Dewi yang terbaca jelas
5. Nominal bukti bayar PBB berbeda antara bukti bayar dan SPPT
6. Nominal pembayaran BPHTB antara lembar kuning dan bukti bayar berbeda
</t>
  </si>
  <si>
    <t>Surat Permohonan belum di ttd PPAT</t>
  </si>
  <si>
    <t>1. Perbaiki NIK Penerima Kuasa di Surat Permohonan dan Surat Kuasa
2. Kawasan Citra Garden x Kawasan Citra Land</t>
  </si>
  <si>
    <t>1. Lamprkan FC KTP PPAT
2. Lampirkan FC KTP dan FC KK Agri Firendranata yg terbaca jelas
3. Lampirkan FC KK Siti Aminah yg terbaca jelas</t>
  </si>
  <si>
    <t>1. TT
2. Cek luas pemecahan pada sket lokasi yang digambarkan</t>
  </si>
  <si>
    <t>Perbaiki permohonan , surat kuasa (tgl lahir pemberi kuasa)</t>
  </si>
  <si>
    <t>HT 2637/2017 di KKP peringkat 3 , fisik berkas HT peringkat 2</t>
  </si>
  <si>
    <t>Lampirkan S.Keterlambatan Pendaftaran</t>
  </si>
  <si>
    <t>1. Lampirkan Fc.NIB PT CIta Abadi Prima Sejahtera
2.Lampirkan KKPR"</t>
  </si>
  <si>
    <t>1.Fc.RUPS terlampir belum di paraf
2.Lampirkan Fc.Akta pendirian +pengesahan</t>
  </si>
  <si>
    <t>RENVOI NIK WELY PADA AJB</t>
  </si>
  <si>
    <t>PERBAIKI NAMA WELY PADA SP ABSENTE</t>
  </si>
  <si>
    <t>PERBAIKI NAMA PEMILIK PADA SURAT KUASA</t>
  </si>
  <si>
    <t>1. Lampirkan FC KK Chandra K Djohan yg terbava jelas
2. AJB tiap hlm kurang paraf</t>
  </si>
  <si>
    <t>1. Cek No SHM pada surat permohonan
2. Lampirkan FC KTP Yuly
3. Lampirkan FV KK Zam Hasri</t>
  </si>
  <si>
    <t>1. Lampirkan Akta Pendirian PT. Karya Indra
2. AJB hlm 6 perbaiki tgl lahir Eric</t>
  </si>
  <si>
    <t>Lampirkan Fc NIB PT Gunung Sulah Mediika</t>
  </si>
  <si>
    <t>1. Lampirkan Fc.NIB PT CIta Abadi Prima Sejahtera
2.Lampirkan KKPR</t>
  </si>
  <si>
    <t>1.Cek kembali nama pemilik sertipikat di KKP (Endang Mulya sari ) di sertipikat (pirmansyah)
2.Beda nama Ktp (Firmansyah) dengan SHAT (Pirmansyah)</t>
  </si>
  <si>
    <t>NIB 1085 blm valbid</t>
  </si>
  <si>
    <t>BEDA TGL LAHIR NAPSIAH ANTARA SERTIPIKAT DAN KTP</t>
  </si>
  <si>
    <t>BEDA NAMA MUHAMMAD JAM'AN ANTARA SERTIPIKAT DAN KTP</t>
  </si>
  <si>
    <t>BEDA NAMA MUHAMMAD SAM'UN ANTARA SERTIPIKAT DAN KTP</t>
  </si>
  <si>
    <t>NOMOR SU PADA PPJB DAN AJB SALAH</t>
  </si>
  <si>
    <t>PERBAIKI TGL SHT PADA SURAT ROYA</t>
  </si>
  <si>
    <t>foto geotagging</t>
  </si>
  <si>
    <t>nama di kkp salah</t>
  </si>
  <si>
    <t>blm valbid</t>
  </si>
  <si>
    <t>PERBAIKI LUAS PADA SURAT KEHILANGAN KEPOLISIAN</t>
  </si>
  <si>
    <t>RENVOI TGL LAHIR SUMARDI PADA AJB</t>
  </si>
  <si>
    <t>PERBAIKI KELURAHAN PADA SP KETERLAMBATAN PENDAFTARAN</t>
  </si>
  <si>
    <t>ALAMAT NYOMAN ARTE PADA AJB BEDA DGN KTP</t>
  </si>
  <si>
    <t>SP KETERLAMBATAN PENDAFTARAN</t>
  </si>
  <si>
    <t>PERBAIKI ALAMAT PEMBELI DI AJB SESUAI KTP</t>
  </si>
  <si>
    <t>PERBAIKI SU PADA  AJB</t>
  </si>
  <si>
    <t>TERBILANG PADA HARGA TRRANSAKSI BELUM DIJABARKAN</t>
  </si>
  <si>
    <t>AKTA KEMATIAN SUAMI BELUM DIJABARKAN PADA AKTA HIBAH</t>
  </si>
  <si>
    <t>LENGKAPI TGL PADA SP KETERLAMBATAN PENDAFTARAN</t>
  </si>
  <si>
    <t>LUAS PERKIRAAN PEMECAHAN</t>
  </si>
  <si>
    <t>suket beda nama theo, angelique. stefen yan di ktp, kk dan suket kematian</t>
  </si>
  <si>
    <t>kkp tidak ditemukan</t>
  </si>
  <si>
    <t>PERBAIKAN ALIH MEDIA</t>
  </si>
  <si>
    <t>ACC MENUNGGU WARKAH</t>
  </si>
  <si>
    <t>PERBAIKAN BIDANG SERTIPIKAT DAN KKP TDK SAMA</t>
  </si>
  <si>
    <t>ttl di kkp berbeda</t>
  </si>
  <si>
    <t>1. Di kwitansi lelang kenapa tidak ada nama pemenang lelang?
2. Lampirkan pph lelang</t>
  </si>
  <si>
    <t>fc ktp tetangga berbatas</t>
  </si>
  <si>
    <t>cap PT pada tetangga berbatas</t>
  </si>
  <si>
    <t>1. TT
2. Lampirkan surat ijin dari pemegang hpl (perum perumnas) untuk peningkatan</t>
  </si>
  <si>
    <t>DI bawa oleh Ode (katanya sudah menghadap Pak Kakan)</t>
  </si>
  <si>
    <t>1. Lampirkan SP Induk dari pemilik sertipiikat (PPJB msh M.855/G.sulah)
2.Lampirkan Fc NIB PT Gunung Sulah Medika</t>
  </si>
  <si>
    <t>1.Beda tgl lahir di SHAT(20/3/1941) dengan KKP (20/3/1939)
2.NIB 338 belum valbid
3.Lampirkan Fc penerima kuasa</t>
  </si>
  <si>
    <t>Beda tgl lahir di SHAT(20/3/1941) dengan KKP (20/3/1939)</t>
  </si>
  <si>
    <t>Bidang TT, NIB 5069 blm valbid, Luas sertipikat=102 m Luas KKP=75m</t>
  </si>
  <si>
    <t>1.Perbaiki No SHM pada permohonan (tertulis M.2269)
2.Lampirkan SP dari pemilik bahwa kuasa jual No 20 tgl 13/9/2022 masih berlaku</t>
  </si>
  <si>
    <t>Di Keputusan Dewan Komisaris disebutkan Objek Citra Garden di kel. NOG. Sedangkan yang dimohong Citraland di kel. Sumur Putri</t>
  </si>
  <si>
    <t>lampirkan SP Induk</t>
  </si>
  <si>
    <t>1. Lampirkan lembar cek plot sertipikat hilang
2. Pada surat permohonan, lengkapi nama kecamatan
3. Legalisir SPPT PBB
4. Cek kembali surat kehilangan dari kepolisian</t>
  </si>
  <si>
    <t>nama di kkp berbeda, nib tidak ditemukan</t>
  </si>
  <si>
    <t>perbaiki nama di ttd AJB JONI ARBI</t>
  </si>
  <si>
    <t>tt</t>
  </si>
  <si>
    <t>TT</t>
  </si>
  <si>
    <t>NIB</t>
  </si>
  <si>
    <t>NAMA DI KKP BERBEDA DGN SERTIPIKAT</t>
  </si>
  <si>
    <t>AKTA KELAHIRAN MUHAMMAD FAHRI</t>
  </si>
  <si>
    <t>PIHAK PERTAMA PADA AJB BELUM DITAMBAH QQ</t>
  </si>
  <si>
    <t>RENVOI NIK CHANDRA IMAWAN DI AJB</t>
  </si>
  <si>
    <t>CAP PT PADA PIHAK PERTAMA AJB</t>
  </si>
  <si>
    <t>RENVOI TGL LAHIR RISNA UMAMI</t>
  </si>
  <si>
    <t>RENVOI NIB</t>
  </si>
  <si>
    <t>RENVOI KECAMATAN</t>
  </si>
  <si>
    <t>TGL LAHIR IRENE NATALIE DI SUKET AHLI WARIS BEDA DGN KTP</t>
  </si>
  <si>
    <t>NAMA YOSEPHINE ANTARA KTP KK BEDA</t>
  </si>
  <si>
    <t>PADA SUKET AHLI WARIS, ELITA PURBA BELUM TTD</t>
  </si>
  <si>
    <t>TIDAK BOLEH KUASA BERTINGKAT</t>
  </si>
  <si>
    <t>SURAT KUASA, SP ABSENTE, SP BPHTB TTD SELURUH AHLI WARIS</t>
  </si>
  <si>
    <t>1. Lampirkan Asli Surat Kuasa tgl 12 Sept 2024
2. Di APHB hlm 2 nama M. Arya Arthana Syahrie ditulis sesuai KTP dan sertipikat saja</t>
  </si>
  <si>
    <t>Lampirkan NIB dan NPWP PT Gunung Sulah</t>
  </si>
  <si>
    <t>Perbaiki nama kelurahan dan kecamatan di surat permohonan</t>
  </si>
  <si>
    <t>1. Beda nama Edy Purwono dan Edi Purwono
2. Perbaikan tgl lahir di KKP</t>
  </si>
  <si>
    <t>Perbaiknan nama di KKP</t>
  </si>
  <si>
    <t>Kenapa Syamsiah cap jempol di Ajb</t>
  </si>
  <si>
    <t>Kenapa di FC KK Endang keterangannya kawin tercatat sedangkan sudah bercerai</t>
  </si>
  <si>
    <t>SERTIPIKAT PTSL</t>
  </si>
  <si>
    <t>perbaikan, berkas diserahkan ke aisyah tanpa tanda terima</t>
  </si>
  <si>
    <t xml:space="preserve">PERBAIKI SURAT PERNYATAAN TDK SENGKETA, SURAT KUASA, SURAT PERNYATAAN BPHTB </t>
  </si>
  <si>
    <t>Lampirkan IMB (Ruko di Jl Yos Sudarso) Momoyo Outlet 
Kawasan Perdagangan&amp;Jasa</t>
  </si>
  <si>
    <t>Perbaiki Kecamatan pada Permohonan dan S.Kuasa</t>
  </si>
  <si>
    <t>Tgl lahir pemilik SHAT blm input</t>
  </si>
  <si>
    <t>Bidang TT dengan NIB 1732&amp;1733</t>
  </si>
  <si>
    <t xml:space="preserve">LAMPIRKAN SURAT PERNYATAAN BAHWA WILLIAM FELIX ADALAH SATU2NYA AHLI WARIS </t>
  </si>
  <si>
    <t>RENVOI AJB HAL 4</t>
  </si>
  <si>
    <t xml:space="preserve">PERBAIKI SURAT KET KEWARISAN </t>
  </si>
  <si>
    <t>Fc Akta Pendirian+ RUPS blm paraf notaris</t>
  </si>
  <si>
    <t>FC KTP KREDITOR</t>
  </si>
  <si>
    <t>SKET LOKASI PERMOHONAN BELUM DILAMPIRKAN</t>
  </si>
  <si>
    <t>LAMPIRKAN SUKET DAN SUPER WARIS NURBAYTI</t>
  </si>
  <si>
    <t>LAMPIRKAN KTP-KK AHLI WARIS NURBAYTI</t>
  </si>
  <si>
    <t>TOTAL BAYAR BPHTB BEDA ANTARA LEMBAR KUNING DAN BUKTI BAYAR</t>
  </si>
  <si>
    <t>KELURAHAN PADA KUASA MENJUAL SALAH</t>
  </si>
  <si>
    <t>PERIKSA NAMA SAKSI PADA AJB</t>
  </si>
  <si>
    <t>ASLI KWITANSI</t>
  </si>
  <si>
    <t>ASLI SSP</t>
  </si>
  <si>
    <t>KUASA DIREKSI TIDAK ADA NOMOR SHGB 798 MAUPUIN INDUKNYA SHGB NO 720</t>
  </si>
  <si>
    <t>1. Surat Permohonan belum diberi tanggal
2. FC KTP PPAT</t>
  </si>
  <si>
    <t>1. FC KTP Azis dan istri blm di legalisir
2. Lampirkan FC KK Azis yang terbaca jelas</t>
  </si>
  <si>
    <t>1. Cek kembali FC KTP dan FC KK (ada yg belum td di cap legalisir)
2. Cek nominal jual beli pada kwitansi</t>
  </si>
  <si>
    <t>1. Pada surat permohonan perbaiki No SHm dan No Ajb
2. AJB hlm 3 perbaiki NIB</t>
  </si>
  <si>
    <t>1. Lampirkan lembar stiker pengecekan
2. Cek No SHm pada lembar kuning BPHTB
3. Lampirkan FC KTP Dessy Nofita
4. Lampirkan Akta Kematian Suami Rina Agustini</t>
  </si>
  <si>
    <t>Perbaiki tgl lahir pemilik di KKP</t>
  </si>
  <si>
    <t>1. Lampirkan FC KTP PPAT
2. Surat Ket Beda nama Eliyana wati dibuat baru
3. Beda nama Bambang Sumarjo dan Bambang Sumardjo
Kenapa di Ajb yg memberi persetujuan hanya q anak, 5 anak lainnya kemana?</t>
  </si>
  <si>
    <t xml:space="preserve">1. Lampirkan FC KTP PPAT
2. Beda tahun lahir Lazuardhi di KTP dan sertipikat
3. Periksa kembali tulisan di AJB hlm 3
4. Lampirkan FC KK Okta Rika yg terbaca </t>
  </si>
  <si>
    <t>TTD DAN KTP BATAS UTARA DAN TIMUR</t>
  </si>
  <si>
    <t>BATAS UTARA PADA PERMOHONAN KENAPA BEDA-BEDA ?</t>
  </si>
  <si>
    <t>NAMA ISTRI PENJUAL ANTARA KTP DAN AKTA PERKAWINAN BERBEDA</t>
  </si>
  <si>
    <t>PERBAIKI NOMOR SHM PADA SP KETERLAMBATAN PENDAFTARAN</t>
  </si>
  <si>
    <t>PERBAIKI KELURAHAN PADA SP BPHTB</t>
  </si>
  <si>
    <t>PERBAIKI TGL PERMOHONAN</t>
  </si>
  <si>
    <t>PERBAIKI TGL PADA COVER AKTA</t>
  </si>
  <si>
    <t>PERMOHONAN HANYA UTK TURUN WARIS, JIKA MAU DIJUAL BUAT AKTA JUAL BELI</t>
  </si>
  <si>
    <t xml:space="preserve">lampirkan alas hak aslinya </t>
  </si>
  <si>
    <t>Beda tgl lahir KKP(31/3/1978) dengan SHAT (31/3/1987)</t>
  </si>
  <si>
    <t>1. M.11329 data tekstual tidak ditemukan di KKP
2.Plotting</t>
  </si>
  <si>
    <t>Bidang TT dengan NIB 547</t>
  </si>
  <si>
    <t>SURAT PERNYATAAN BUKAN KAVLINGAN/KOMERSIL</t>
  </si>
  <si>
    <t>BELUM DILAKUKAN PENGECEKAN</t>
  </si>
  <si>
    <t>LAMPIRKAN SP KENAPA BIKIN AJB SEBELUM PENGECEKAN ?</t>
  </si>
  <si>
    <t>RENVOI STATUS PEMBELI PADA AJB</t>
  </si>
  <si>
    <t>PERBARUI NOMOR SERTIPIKAT ELEKTRONIK PADA PERMOHONAN, KUASA, SP ABSENTE DAN SP BPHTB</t>
  </si>
  <si>
    <t>BEDA TAHUN LAHIR PENJUAL ANTARA SERTIPIKAT DAN KTP</t>
  </si>
  <si>
    <t>RENVOI NIK ANISA NURMOULIDAH DI AJB</t>
  </si>
  <si>
    <t>RENVOI NIK DAN ALAMAT MARGININGSIH DI AJB</t>
  </si>
  <si>
    <t>LAMPIRKAN LEMBAR KUNING BPHTB</t>
  </si>
  <si>
    <t>PERBAIKI NAMA SUSANTO DI SURAT KUASA</t>
  </si>
  <si>
    <t>1.Plotting dulu, posisi M1465 dan M 10617(SHM tetangga blm jelas
2.Data tekstual dan spasial M.1365/Kdm tidak ditemukan di KKP
3.Lampirkan lembar cekplot</t>
  </si>
  <si>
    <t>1.Tgl lahir KKP (1/4/1938) di Sertipikat (1/4/1958)
2.Beda nama KTP (Taupik Akbar) dengan akta kelahiran terlampir (Taufik Akbar)</t>
  </si>
  <si>
    <t>TT dengan NIB 417 Kota Sepang\</t>
  </si>
  <si>
    <t>Lampirkan lembar cekplot</t>
  </si>
  <si>
    <t>PERBAIKAN (CEK WARKAH NAMA BEDA PADA KKP , MENUNGGU WARKAH</t>
  </si>
  <si>
    <t>Perbaiki permohonan dan kuasa(Kelurahan &amp;Kecamatan)</t>
  </si>
  <si>
    <t>1.Ada catatan Penghapusan Hak di KKP
2.Plotting</t>
  </si>
  <si>
    <t>PERBAIKI TGL SURAT KUASA DI PERMOHONAN</t>
  </si>
  <si>
    <t>SURAT PERSETUJUAN KOMISARIS TERTANGGAL 24-11-2024 APAKAH MASIH BERLAKU ?</t>
  </si>
  <si>
    <t>PADA SURAT PERSETUJUAN KOMISARIS TIDAK TERDAPAT LEGALISASI SEPERTI YG DI SEBUTKAN PADA AJB</t>
  </si>
  <si>
    <t>PERBAIKI NO DAN TGL SURAT KUASA PADA PERMOHONAN</t>
  </si>
  <si>
    <t>1. Perbaiki Surat Kuasa dan Surat Pernyataan BPHTB
2. Beda tgl lahir Angsar Sinurat di sertipikat dan surat kematian
3. Di Surat beda nama Lies Anggraini blm ada nomer, tgl serta ttd  camat
4. Beda nama dan tahun lahir Fitri Sinurat di KTP dan KK</t>
  </si>
  <si>
    <t>1. Beda nama Tintin dan Tintin Gunawan
2. Perbaiki AJB hlm 3</t>
  </si>
  <si>
    <t>Lampirkan stiker roya</t>
  </si>
  <si>
    <t>Perbaiki Surat Keterangan Lurah</t>
  </si>
  <si>
    <t>1. Isi tgl pada surat permohonan
2. Cap bank pada surat roya
3. Perbaikan tgl lahir di KKP</t>
  </si>
  <si>
    <t>1. Perbaikan nama kecamatan di Surat Permohonan
2. Perbaikan tgl di sampul Ajb</t>
  </si>
  <si>
    <t>ktp andre wibowo tidak terbaca, lampirkan yg jelas</t>
  </si>
  <si>
    <t>pekerjaan andre wibowo tidak bekerja bukan swasta, renvoi ajb</t>
  </si>
  <si>
    <t>no shm di ajb salah</t>
  </si>
  <si>
    <t>mengapa membuat akta dulu sebelum pengecekan?</t>
  </si>
  <si>
    <t>komparisi saksi yang di renvoi belum dicoret</t>
  </si>
  <si>
    <t>LENGKAPI PERMOHONAN</t>
  </si>
  <si>
    <t>SURAT PERNYATAAN PEMILIKAN BELUM ADA TANGGAL</t>
  </si>
  <si>
    <t>KTP &amp; KK JONI AB, ISTRI JONI = BUNYATI</t>
  </si>
  <si>
    <t>SUKET BEDA NAMA ABU BAKAR DI SURAT PERNYATAAN PEMILIKAN JONI AB, SURAT PERNYATAAN PEMILIKAN TANAH TIAS SANGUN RATU</t>
  </si>
  <si>
    <t>SUKET BEDA NAMA RAMAN DI SURAT PERNYATAAN PEMILIKAN JONI AB, SURAT PERNYATAAN PEMILIKAN TANAH TIAS SANGUN RATU, SURAT KET DJOEAL BELI TANAH RAMAN KE ABOE BAKAR.</t>
  </si>
  <si>
    <t>SUKET BEDA NAMA JONI AB DI SUKET WARIS HANYA JONI</t>
  </si>
  <si>
    <t>PADA SUKET WARIS ABU BAKAR, ISTRI ABU BAKAR  HJ DANDIAN APAKAH SUDAH MENINGGAL/?</t>
  </si>
  <si>
    <t xml:space="preserve">PADA SURAT PERNYATAAN AHLI WARIS ABU BAKAR, PARA AHLI WARIS HANYA MEMBER KUASA  UNTUK PENGURUSAN BERKAITAN AHLI WARIS BUKAN HAK MENGUASAI TANAH TSB </t>
  </si>
  <si>
    <t>ALAS HAK TAHUN 1960 YG DIMILIKI RAHMAN</t>
  </si>
  <si>
    <t>PADA SURAT PERNYATAAN PEMILIKAN RITA, PERALIHAN DARI ERIZA KE RITA TGL 17 NOV 2016 SEDANGKAN DI SPORADIK RITA PERALIHAN SEJAK TGL 17 NOV 24. MANA YG BENAR? PERBAIKI YG SALAH</t>
  </si>
  <si>
    <t>TINGKATKAN SUKET JUAL BELI ERIZA MAHARANI KE RITA MENJADI AJB</t>
  </si>
  <si>
    <t>PENCATATAN PENGURANGAN LUAS SUKET JUAL BELI TANAH KAPLING DARI MARYATI KE MAT BAHARI  DIKETAHUI LURAH</t>
  </si>
  <si>
    <t>KTP &amp; KK ERIZA MAHARANI</t>
  </si>
  <si>
    <t>ALAS HAK PERALIHAN DARI M DAHLAN KE MARYATI</t>
  </si>
  <si>
    <t>ALAS HAK TAHUN 1960 YANG DIMILIKI M DAHLAN</t>
  </si>
  <si>
    <t>SHM 1423 PLOTTING + VALBID</t>
  </si>
  <si>
    <t>RENVOI ALAMAT GITA HANINA DI AJB</t>
  </si>
  <si>
    <t>RENVOI DAN PERBAIKI AJB</t>
  </si>
  <si>
    <t>PERBAIKI NAMA PEMBELI PADA KUITANSI</t>
  </si>
  <si>
    <t>PERBAIKI SURAT KUASA, SP ABSENTE , SP BPHTB</t>
  </si>
  <si>
    <t>Beda nama pemilik SHAT (WIRAHAYU)  dengan KKP (ANDRY YULIAN)</t>
  </si>
  <si>
    <t>Lampirkan kuasa jual no .12 (22/12/2022) masih berlaku dari pemberi kuasa</t>
  </si>
  <si>
    <t>SURAT KUASA DAN PERNYATAAN TGL 4-9-2019? MENGAPA? APAKAH MASIH BERLAKU</t>
  </si>
  <si>
    <t>MENGAPA MEMBUAT AJB TAHUN 2019 BARU DI DAFTARKAN SEKARANG?</t>
  </si>
  <si>
    <t>RENVOI NOMOR SURAT PERSETUJUAN ANAK DI AJB</t>
  </si>
  <si>
    <t>1. Pada blanko permohonan hlm 1 dan 2 tgl jangan dicoret
2. Pada blanko permohonan hlm 2 materai jangan dicoret</t>
  </si>
  <si>
    <t>1. Legalisir surat kuasa
2. FC KTP dilegalisir cap basah</t>
  </si>
  <si>
    <t>1. Lengkapi Nomor Surat Kuasa
2. Lampirkan FC KK Rama Agil yang terbaca jelas
3. AJB hlm 1 (lembar kedua)</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</si>
  <si>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t>
  </si>
  <si>
    <t>NIB TIDAK NGELINK DGN SHM</t>
  </si>
  <si>
    <t>PERBAIKAN (BERKAS DIPELAJARI P HADI), berkas diserahkan ke p hadi tgl.15-11- 24 tanpa tanda terima sama dengan m. 468 sumur putri</t>
  </si>
  <si>
    <t>KONSUL, SERTIPIKAT PTSL NIB BEDA DG SERTIPIKAT,SUDAH ALIH MEDIA,TDK ADA CATATAN PENGHAPUSAN DI KKP</t>
  </si>
  <si>
    <t>KOORDINAT PADA FOTOGEOTAGGING BERADA DIPINGGIR JALAN KI MAJA</t>
  </si>
  <si>
    <t>PERBARUI NOMOR SERTIPIKAT PADA SUKET DARI KELURAHAN</t>
  </si>
  <si>
    <t>PERBAIKI LUAS PADA SURAT PERNYATAAN TGL 04-11-2024</t>
  </si>
  <si>
    <t>BEDA DATA</t>
  </si>
  <si>
    <t>TGL PERKAWINAN PADA KK YULIANA GUNAWAN DAN TAN NANANG TANUJAYA KENAPA BEDA? LAMPIRKAN AKTA PERKAWINAN</t>
  </si>
  <si>
    <t>PADA KEPUTUSAN DEWAN KOMISARIS LETAK OBYEK CITRAGARDEN DI KELURAHAN NOG ?</t>
  </si>
  <si>
    <t xml:space="preserve">1. Surat Keterlambatan Pendaftaran belum diberi tanggal
2. Kenapa NOP dibukti bayar PPH berbeda?
3. Akta Kuasa Direksi No 34 tidak ada SHGB yg berkaitan dengan berkas
4. Di Surat keputusan dewan komisari menyebutkan citra garden sedangkan permohonan ini di citra land?
5. AJb hlm 7-9 kurang paraf
</t>
  </si>
  <si>
    <t>Lengkapi NOP di Surat Persetujuan dan Kuasa</t>
  </si>
  <si>
    <t>1. Di Surat permohonan dan Surat Kuasa nama kelurahan dan kecamatan tertukar
2. Perbaiki Nomor SHM di Surat Pernyataan Absentee</t>
  </si>
  <si>
    <t>Beda tgl lahir sertipikat (31/10/1979) dgn KKP (26/4/1970)</t>
  </si>
  <si>
    <t>Beda tgl lahir sertipikat (25/4/1972) dgn KKP (24/4/1971)</t>
  </si>
  <si>
    <t>Perbaiki permohonan tertulis M.26/Kampung Baru Raya</t>
  </si>
  <si>
    <t>PELATARAN</t>
  </si>
  <si>
    <t>TT + VALBID</t>
  </si>
  <si>
    <t>PERBAIKI KECAMATAN PADA SURAT KUASA</t>
  </si>
  <si>
    <t>TTD + KTP TETANGGA BATAS UTARA DAN TIMUR</t>
  </si>
  <si>
    <t>KTP BATAS BARAT</t>
  </si>
  <si>
    <t>PERBAIKI LUAS PADA SP ABSENTE</t>
  </si>
  <si>
    <t>PADA KKP TERDAPAT BLOKIR SEMENTARA</t>
  </si>
  <si>
    <t>BEDA NAMA PADA SUKET AHLI WARIS DAN KK YULIATI</t>
  </si>
  <si>
    <t>PARAF TIAP HALAMAN PADA PPJB</t>
  </si>
  <si>
    <t>PADA PPJB DIJELASKAN JUAL BELI SEHARGA RP 147.000.000 ITU UNTUK 1 SHM APA 2 SHM ?</t>
  </si>
  <si>
    <t>RENVOI TGL LAHIR NURUL AINI DI AJB</t>
  </si>
  <si>
    <t>LENGKAPI NAMA PADA SURAT KUASA</t>
  </si>
  <si>
    <t>TERDAPAT PERMOHONAN YG BELUM DITTD</t>
  </si>
  <si>
    <t>PADA SUPER MATKASAH TTG TUKAR MENUKAR TGL 07-12-1959 TIDAK MENYEBUTKAN BERAPA LUAS TANAH YG DITUKAR</t>
  </si>
  <si>
    <t>PENCATATAN PENGURANGAN LUAS PADA SUPER RAKIM TGL 23-12-2011 BERDASARKAN LUAS YG DIMOHON DGN DIKETAHUI LURAH + CAP</t>
  </si>
  <si>
    <t>BEDA NAMA RAKIM DGN MAT RAKIM</t>
  </si>
  <si>
    <t>NOP PADA AJB BEDA DGN NOP PBB</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</si>
</sst>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HH:mm:ss"/>
    <numFmt numFmtId="166" formatCode="dddd&quot; &quot;d&quot; &quot;mmmm&quot; &quot;yyyy"/>
  </numFmts>
  <fonts count="14">
    <font>
      <sz val="10.0"/>
      <color rgb="FF000000"/>
      <name val="Arial"/>
      <scheme val="minor"/>
    </font>
    <font>
      <color theme="1"/>
      <name val="Arial"/>
      <scheme val="minor"/>
    </font>
    <font>
      <u/>
      <color rgb="FF0000FF"/>
    </font>
    <font>
      <b/>
      <u/>
      <sz val="16.0"/>
      <color rgb="FF0000FF"/>
    </font>
    <font>
      <b/>
      <color theme="1"/>
      <name val="Arial"/>
      <scheme val="minor"/>
    </font>
    <font>
      <b/>
      <color theme="1"/>
      <name val="Comic Sans MS"/>
    </font>
    <font>
      <color rgb="FFFFFFFF"/>
      <name val="Arial"/>
      <scheme val="minor"/>
    </font>
    <font>
      <b/>
      <color rgb="FFFFFFFF"/>
      <name val="Arial"/>
      <scheme val="minor"/>
    </font>
    <font>
      <b/>
      <color theme="0"/>
      <name val="Arial"/>
      <scheme val="minor"/>
    </font>
    <font>
      <color theme="0"/>
      <name val="Arial"/>
      <scheme val="minor"/>
    </font>
    <font>
      <color rgb="FF434343"/>
      <name val="&quot;docs-Roboto&quot;"/>
    </font>
    <font>
      <u/>
      <color rgb="FF0000FF"/>
      <name val="Roboto"/>
    </font>
    <font>
      <color rgb="FF434343"/>
      <name val="Roboto"/>
    </font>
    <font>
      <sz val="9.0"/>
      <color theme="1"/>
      <name val="Arial"/>
      <scheme val="minor"/>
    </font>
  </fonts>
  <fills count="8">
    <fill>
      <patternFill patternType="none"/>
    </fill>
    <fill>
      <patternFill patternType="lightGray"/>
    </fill>
    <fill>
      <patternFill patternType="solid">
        <fgColor rgb="FFFF0000"/>
        <bgColor rgb="FFFF0000"/>
      </patternFill>
    </fill>
    <fill>
      <patternFill patternType="solid">
        <fgColor rgb="FFF6F8F9"/>
        <bgColor rgb="FFF6F8F9"/>
      </patternFill>
    </fill>
    <fill>
      <patternFill patternType="solid">
        <fgColor theme="0"/>
        <bgColor theme="0"/>
      </patternFill>
    </fill>
    <fill>
      <patternFill patternType="solid">
        <fgColor rgb="FF00FFFF"/>
        <bgColor rgb="FF00FFFF"/>
      </patternFill>
    </fill>
    <fill>
      <patternFill patternType="solid">
        <fgColor rgb="FFCCCCCC"/>
        <bgColor rgb="FFCCCCCC"/>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1" fillId="0" fontId="1" numFmtId="0" xfId="0" applyAlignment="1" applyBorder="1" applyFont="1">
      <alignment readingOrder="0"/>
    </xf>
    <xf borderId="0" fillId="0" fontId="1" numFmtId="0" xfId="0" applyAlignment="1" applyFont="1">
      <alignment readingOrder="0"/>
    </xf>
    <xf borderId="0" fillId="0" fontId="1" numFmtId="0" xfId="0" applyAlignment="1" applyFont="1">
      <alignment readingOrder="0"/>
    </xf>
    <xf borderId="0" fillId="2" fontId="1" numFmtId="0" xfId="0" applyFill="1" applyFont="1"/>
    <xf borderId="0" fillId="0" fontId="1" numFmtId="164"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xf>
    <xf borderId="1" fillId="0" fontId="2" numFmtId="0" xfId="0" applyAlignment="1" applyBorder="1" applyFont="1">
      <alignment horizontal="center" readingOrder="0"/>
    </xf>
    <xf borderId="0" fillId="0" fontId="3" numFmtId="0" xfId="0" applyAlignment="1" applyFont="1">
      <alignment horizontal="center" readingOrder="0"/>
    </xf>
    <xf borderId="0" fillId="0" fontId="4" numFmtId="0" xfId="0" applyAlignment="1" applyFont="1">
      <alignment horizontal="center" readingOrder="0"/>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wrapText="1"/>
    </xf>
    <xf borderId="0" fillId="3" fontId="9" numFmtId="0" xfId="0" applyFill="1" applyFont="1"/>
    <xf borderId="0" fillId="0" fontId="1" numFmtId="0" xfId="0" applyAlignment="1" applyFont="1">
      <alignment horizontal="center" shrinkToFit="0" vertical="center" wrapText="1"/>
    </xf>
    <xf borderId="0" fillId="0" fontId="5" numFmtId="0" xfId="0" applyAlignment="1" applyFont="1">
      <alignment readingOrder="0" shrinkToFit="0" wrapText="1"/>
    </xf>
    <xf borderId="0" fillId="4" fontId="1" numFmtId="0" xfId="0" applyFill="1" applyFont="1"/>
    <xf borderId="0" fillId="4" fontId="9" numFmtId="0" xfId="0" applyFill="1" applyFont="1"/>
    <xf borderId="0" fillId="4" fontId="9" numFmtId="0" xfId="0" applyAlignment="1" applyFill="1" applyFont="1">
      <alignment readingOrder="0"/>
    </xf>
    <xf borderId="0" fillId="0" fontId="1" numFmtId="0" xfId="0" applyAlignment="1" applyFont="1">
      <alignment horizontal="center" readingOrder="0" shrinkToFit="0" vertical="center" wrapText="1"/>
    </xf>
    <xf borderId="1" fillId="0" fontId="4" numFmtId="0" xfId="0" applyAlignment="1" applyBorder="1" applyFont="1">
      <alignment horizontal="center" readingOrder="0"/>
    </xf>
    <xf borderId="0" fillId="2" fontId="1" numFmtId="0" xfId="0" applyAlignment="1" applyFill="1" applyFont="1">
      <alignment readingOrder="0" vertical="center"/>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vertical="top"/>
    </xf>
    <xf borderId="0" fillId="0" fontId="1" numFmtId="49" xfId="0" applyAlignment="1" applyFont="1" applyNumberFormat="1">
      <alignment horizontal="center"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left" shrinkToFit="0" vertical="center" wrapText="1"/>
    </xf>
    <xf borderId="0" fillId="0" fontId="1" numFmtId="0" xfId="0" applyAlignment="1" applyFont="1">
      <alignment vertical="center"/>
    </xf>
    <xf borderId="1" fillId="0" fontId="1" numFmtId="0" xfId="0" applyAlignment="1" applyBorder="1" applyFont="1">
      <alignment horizontal="left" shrinkToFit="0" wrapText="1"/>
    </xf>
    <xf borderId="1" fillId="0" fontId="1" numFmtId="0" xfId="0" applyAlignment="1" applyBorder="1" applyFont="1">
      <alignment horizontal="center"/>
    </xf>
    <xf borderId="0" fillId="5" fontId="1" numFmtId="0" xfId="0" applyAlignment="1" applyFill="1" applyFon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center" vertical="center"/>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166" xfId="0" applyFont="1" applyNumberFormat="1"/>
    <xf borderId="0" fillId="6" fontId="1"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0" xfId="0" applyAlignment="1" applyFont="1">
      <alignment shrinkToFit="0" vertical="center" wrapText="0"/>
    </xf>
    <xf borderId="0" fillId="0" fontId="11" numFmtId="0" xfId="0" applyAlignment="1" applyFont="1">
      <alignment readingOrder="0" shrinkToFit="0" vertical="center" wrapText="0"/>
    </xf>
    <xf borderId="0" fillId="6" fontId="1" numFmtId="0" xfId="0" applyAlignment="1" applyFill="1" applyFont="1">
      <alignment readingOrder="0" shrinkToFit="0" vertical="center" wrapText="0"/>
    </xf>
    <xf borderId="0" fillId="6" fontId="1" numFmtId="164" xfId="0" applyAlignment="1" applyFill="1" applyFont="1" applyNumberFormat="1">
      <alignment shrinkToFit="0" vertical="center" wrapText="0"/>
    </xf>
    <xf borderId="0" fillId="0" fontId="1" numFmtId="0" xfId="0" applyFont="1"/>
    <xf borderId="2" fillId="7" fontId="12" numFmtId="0" xfId="0" applyAlignment="1" applyBorder="1" applyFill="1" applyFont="1">
      <alignment shrinkToFit="0" vertical="center" wrapText="0"/>
    </xf>
    <xf borderId="0" fillId="0" fontId="1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6" fontId="1" numFmtId="0" xfId="0" applyAlignment="1" applyFill="1" applyFont="1">
      <alignment shrinkToFit="0" vertical="center" wrapText="0"/>
    </xf>
    <xf borderId="0" fillId="5" fontId="1"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263EBF"/>
          <bgColor rgb="FF263EBF"/>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263EBF"/>
        </left>
        <right style="thin">
          <color rgb="FF263EBF"/>
        </right>
        <top style="thin">
          <color rgb="FF263EBF"/>
        </top>
        <bottom style="thin">
          <color rgb="FF263EBF"/>
        </bottom>
      </border>
    </dxf>
  </dxfs>
  <tableStyles count="1">
    <tableStyle count="4" pivot="0" name="Verifikat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Z4002" displayName="Table_Kerja_Verifiaktor_Berkas" name="Table_Kerja_Verifiaktor_Berkas" id="1">
  <tableColumns count="25">
    <tableColumn name="Nomor Tiket" id="1"/>
    <tableColumn name="Tanggal Pemohonan Masuk" id="2"/>
    <tableColumn name="Combine" id="3"/>
    <tableColumn name="Nama Pemohon" id="4"/>
    <tableColumn name="Nomor Telpon" id="5"/>
    <tableColumn name="Jenis Permohonan" id="6"/>
    <tableColumn name="Nomor Hak" id="7"/>
    <tableColumn name="Kelurahan" id="8"/>
    <tableColumn name="Nama Petugas Loket" id="9"/>
    <tableColumn name="Nama Verifikator" id="10"/>
    <tableColumn name="Tanggal Terima Berkas (Verifikator)" id="11"/>
    <tableColumn name="Catatan _x000a_1" id="12"/>
    <tableColumn name="Catatan _x000a_2" id="13"/>
    <tableColumn name="Catatan _x000a_3" id="14"/>
    <tableColumn name="Catatan _x000a_4" id="15"/>
    <tableColumn name="Catatan _x000a_5" id="16"/>
    <tableColumn name="Catatan _x000a_6" id="17"/>
    <tableColumn name="Catatan _x000a_7" id="18"/>
    <tableColumn name="Catatan _x000a_8" id="19"/>
    <tableColumn name="Catatan _x000a_9" id="20"/>
    <tableColumn name="Catatan _x000a_10" id="21"/>
    <tableColumn name="Status Berkas" id="22"/>
    <tableColumn name="Tanggal Selesai Verifikasi" id="23"/>
    <tableColumn name="Cetak Form Perbaikan" id="24"/>
    <tableColumn name="Kolom sajian Perbaiakan" id="25"/>
  </tableColumns>
  <tableStyleInfo name="Verifikat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18.88"/>
  </cols>
  <sheetData>
    <row r="1">
      <c r="A1" s="1" t="s">
        <v>0</v>
      </c>
      <c r="B1" s="1" t="s">
        <v>2</v>
      </c>
      <c r="C1" s="1" t="s">
        <v>3</v>
      </c>
      <c r="D1" s="1" t="s">
        <v>4</v>
      </c>
      <c r="E1" s="5" t="s">
        <v>6</v>
      </c>
      <c r="F1" s="5" t="s">
        <v>7</v>
      </c>
      <c r="G1" s="5" t="s">
        <v>8</v>
      </c>
      <c r="H1" s="5" t="s">
        <v>9</v>
      </c>
      <c r="I1" s="5" t="s">
        <v>10</v>
      </c>
      <c r="J1" s="5" t="s">
        <v>12</v>
      </c>
      <c r="K1" s="4"/>
      <c r="L1" s="4" t="s">
        <v>13</v>
      </c>
    </row>
    <row r="2">
      <c r="A2" s="7"/>
    </row>
    <row r="3">
      <c r="A3" s="7"/>
    </row>
    <row r="4">
      <c r="A4" s="7">
        <v>45579.36115568287</v>
      </c>
      <c r="B4" s="4" t="s">
        <v>14</v>
      </c>
      <c r="C4" s="4" t="s">
        <v>15</v>
      </c>
      <c r="D4" s="8" t="s">
        <v>16</v>
      </c>
      <c r="E4" s="4" t="s">
        <v>17</v>
      </c>
      <c r="F4" s="4" t="s">
        <v>18</v>
      </c>
      <c r="G4" s="4" t="s">
        <v>19</v>
      </c>
      <c r="H4" s="4" t="s">
        <v>20</v>
      </c>
      <c r="I4" s="4" t="s">
        <v>21</v>
      </c>
    </row>
    <row r="5">
      <c r="A5" s="7">
        <v>45579.37694246528</v>
      </c>
      <c r="B5" s="9" t="s">
        <v>22</v>
      </c>
      <c r="C5" s="4" t="s">
        <v>23</v>
      </c>
      <c r="D5" s="8" t="s">
        <v>24</v>
      </c>
      <c r="E5" s="4" t="s">
        <v>17</v>
      </c>
      <c r="F5" s="4" t="s">
        <v>25</v>
      </c>
      <c r="G5" s="4" t="s">
        <v>19</v>
      </c>
      <c r="H5" s="4" t="s">
        <v>20</v>
      </c>
      <c r="I5" s="4" t="s">
        <v>26</v>
      </c>
    </row>
    <row r="6">
      <c r="A6" s="7">
        <v>45579.39939559028</v>
      </c>
      <c r="B6" s="4" t="s">
        <v>27</v>
      </c>
      <c r="C6" s="4" t="s">
        <v>28</v>
      </c>
      <c r="D6" s="8" t="s">
        <v>29</v>
      </c>
      <c r="E6" s="4" t="s">
        <v>30</v>
      </c>
      <c r="F6" s="4" t="s">
        <v>31</v>
      </c>
      <c r="G6" s="4" t="s">
        <v>32</v>
      </c>
      <c r="H6" s="4" t="s">
        <v>20</v>
      </c>
      <c r="I6" s="4" t="s">
        <v>33</v>
      </c>
    </row>
    <row r="7">
      <c r="A7" s="7">
        <v>45579.40069350695</v>
      </c>
      <c r="B7" s="4" t="s">
        <v>35</v>
      </c>
      <c r="C7" s="4" t="s">
        <v>28</v>
      </c>
      <c r="D7" s="8" t="s">
        <v>29</v>
      </c>
      <c r="E7" s="4" t="s">
        <v>30</v>
      </c>
      <c r="F7" s="4" t="s">
        <v>31</v>
      </c>
      <c r="G7" s="4" t="s">
        <v>32</v>
      </c>
      <c r="H7" s="4" t="s">
        <v>20</v>
      </c>
      <c r="I7" s="4" t="s">
        <v>33</v>
      </c>
    </row>
    <row r="8">
      <c r="A8" s="7">
        <v>45579.40328578703</v>
      </c>
      <c r="B8" s="4" t="s">
        <v>36</v>
      </c>
      <c r="C8" s="4" t="s">
        <v>37</v>
      </c>
      <c r="D8" s="8" t="s">
        <v>38</v>
      </c>
      <c r="E8" s="4" t="s">
        <v>17</v>
      </c>
      <c r="F8" s="4" t="s">
        <v>40</v>
      </c>
      <c r="G8" s="4" t="s">
        <v>41</v>
      </c>
      <c r="H8" s="4" t="s">
        <v>20</v>
      </c>
      <c r="I8" s="4" t="s">
        <v>42</v>
      </c>
    </row>
    <row r="9">
      <c r="A9" s="7">
        <v>45579.40467556713</v>
      </c>
      <c r="B9" s="4" t="s">
        <v>43</v>
      </c>
      <c r="C9" s="4" t="s">
        <v>44</v>
      </c>
      <c r="D9" s="8" t="s">
        <v>45</v>
      </c>
      <c r="E9" s="4" t="s">
        <v>46</v>
      </c>
      <c r="F9" s="4" t="s">
        <v>47</v>
      </c>
      <c r="G9" s="4" t="s">
        <v>19</v>
      </c>
      <c r="H9" s="4" t="s">
        <v>20</v>
      </c>
      <c r="I9" s="4" t="s">
        <v>48</v>
      </c>
    </row>
    <row r="10">
      <c r="A10" s="7">
        <v>45579.40998118056</v>
      </c>
      <c r="B10" s="4" t="s">
        <v>49</v>
      </c>
      <c r="C10" s="4" t="s">
        <v>50</v>
      </c>
      <c r="D10" s="8" t="s">
        <v>51</v>
      </c>
      <c r="E10" s="4" t="s">
        <v>52</v>
      </c>
      <c r="F10" s="4" t="s">
        <v>53</v>
      </c>
      <c r="G10" s="4" t="s">
        <v>54</v>
      </c>
      <c r="H10" s="4" t="s">
        <v>20</v>
      </c>
      <c r="I10" s="4" t="s">
        <v>55</v>
      </c>
    </row>
    <row r="11">
      <c r="A11" s="7">
        <v>45579.416174513884</v>
      </c>
      <c r="B11" s="4" t="s">
        <v>56</v>
      </c>
      <c r="C11" s="4" t="s">
        <v>57</v>
      </c>
      <c r="D11" s="8" t="s">
        <v>58</v>
      </c>
      <c r="E11" s="4" t="s">
        <v>59</v>
      </c>
      <c r="F11" s="4" t="s">
        <v>60</v>
      </c>
      <c r="G11" s="4" t="s">
        <v>41</v>
      </c>
      <c r="H11" s="4" t="s">
        <v>20</v>
      </c>
      <c r="I11" s="4" t="s">
        <v>61</v>
      </c>
    </row>
    <row r="12">
      <c r="A12" s="7">
        <v>45579.42397335648</v>
      </c>
      <c r="B12" s="4" t="s">
        <v>62</v>
      </c>
      <c r="C12" s="4" t="s">
        <v>64</v>
      </c>
      <c r="D12" s="8" t="s">
        <v>66</v>
      </c>
      <c r="E12" s="4" t="s">
        <v>17</v>
      </c>
      <c r="F12" s="4" t="s">
        <v>67</v>
      </c>
      <c r="G12" s="4" t="s">
        <v>32</v>
      </c>
      <c r="H12" s="4" t="s">
        <v>20</v>
      </c>
      <c r="I12" s="4" t="s">
        <v>68</v>
      </c>
    </row>
    <row r="13">
      <c r="A13" s="7">
        <v>45579.43479998843</v>
      </c>
      <c r="B13" s="4" t="s">
        <v>69</v>
      </c>
      <c r="C13" s="4" t="s">
        <v>70</v>
      </c>
      <c r="D13" s="8" t="s">
        <v>71</v>
      </c>
      <c r="E13" s="4" t="s">
        <v>17</v>
      </c>
      <c r="F13" s="4" t="s">
        <v>72</v>
      </c>
      <c r="G13" s="4" t="s">
        <v>19</v>
      </c>
      <c r="H13" s="4" t="s">
        <v>20</v>
      </c>
      <c r="I13" s="4" t="s">
        <v>74</v>
      </c>
    </row>
    <row r="14">
      <c r="A14" s="7">
        <v>45579.4453597338</v>
      </c>
      <c r="B14" s="4" t="s">
        <v>76</v>
      </c>
      <c r="C14" s="4" t="s">
        <v>77</v>
      </c>
      <c r="D14" s="8" t="s">
        <v>66</v>
      </c>
      <c r="E14" s="4" t="s">
        <v>78</v>
      </c>
      <c r="F14" s="4" t="s">
        <v>31</v>
      </c>
      <c r="G14" s="4" t="s">
        <v>32</v>
      </c>
      <c r="H14" s="4" t="s">
        <v>20</v>
      </c>
      <c r="I14" s="4" t="s">
        <v>80</v>
      </c>
    </row>
    <row r="15">
      <c r="A15" s="7">
        <v>45579.44647563658</v>
      </c>
      <c r="B15" s="4" t="s">
        <v>81</v>
      </c>
      <c r="C15" s="4" t="s">
        <v>82</v>
      </c>
      <c r="D15" s="8" t="s">
        <v>83</v>
      </c>
      <c r="E15" s="4" t="s">
        <v>17</v>
      </c>
      <c r="F15" s="4" t="s">
        <v>85</v>
      </c>
      <c r="G15" s="4" t="s">
        <v>32</v>
      </c>
      <c r="H15" s="4" t="s">
        <v>20</v>
      </c>
      <c r="I15" s="4" t="s">
        <v>86</v>
      </c>
    </row>
    <row r="16">
      <c r="A16" s="7">
        <v>45579.448010532404</v>
      </c>
      <c r="B16" s="4" t="s">
        <v>87</v>
      </c>
      <c r="C16" s="4" t="s">
        <v>88</v>
      </c>
      <c r="D16" s="8" t="s">
        <v>83</v>
      </c>
      <c r="E16" s="4" t="s">
        <v>17</v>
      </c>
      <c r="F16" s="4" t="s">
        <v>89</v>
      </c>
      <c r="G16" s="4" t="s">
        <v>32</v>
      </c>
      <c r="H16" s="4" t="s">
        <v>20</v>
      </c>
      <c r="I16" s="4" t="s">
        <v>91</v>
      </c>
    </row>
    <row r="17">
      <c r="A17" s="7">
        <v>45579.44913846065</v>
      </c>
      <c r="B17" s="4" t="s">
        <v>92</v>
      </c>
      <c r="C17" s="4" t="s">
        <v>88</v>
      </c>
      <c r="D17" s="8" t="s">
        <v>83</v>
      </c>
      <c r="E17" s="4" t="s">
        <v>17</v>
      </c>
      <c r="F17" s="4" t="s">
        <v>93</v>
      </c>
      <c r="G17" s="4" t="s">
        <v>32</v>
      </c>
      <c r="H17" s="4" t="s">
        <v>20</v>
      </c>
      <c r="I17" s="4" t="s">
        <v>91</v>
      </c>
    </row>
    <row r="18">
      <c r="A18" s="7">
        <v>45579.45057248842</v>
      </c>
      <c r="B18" s="4" t="s">
        <v>94</v>
      </c>
      <c r="C18" s="4" t="s">
        <v>95</v>
      </c>
      <c r="D18" s="8" t="s">
        <v>83</v>
      </c>
      <c r="E18" s="4" t="s">
        <v>96</v>
      </c>
      <c r="F18" s="4" t="s">
        <v>31</v>
      </c>
      <c r="G18" s="4" t="s">
        <v>32</v>
      </c>
      <c r="H18" s="4" t="s">
        <v>20</v>
      </c>
      <c r="I18" s="4" t="s">
        <v>91</v>
      </c>
    </row>
    <row r="19">
      <c r="A19" s="7">
        <v>45579.46382863426</v>
      </c>
      <c r="B19" s="4" t="s">
        <v>97</v>
      </c>
      <c r="C19" s="4" t="s">
        <v>98</v>
      </c>
      <c r="D19" s="8" t="s">
        <v>99</v>
      </c>
      <c r="E19" s="4" t="s">
        <v>100</v>
      </c>
      <c r="F19" s="4" t="s">
        <v>101</v>
      </c>
      <c r="G19" s="4" t="s">
        <v>32</v>
      </c>
      <c r="H19" s="4" t="s">
        <v>20</v>
      </c>
      <c r="I19" s="4" t="s">
        <v>102</v>
      </c>
    </row>
    <row r="20">
      <c r="A20" s="7">
        <v>45579.47772299769</v>
      </c>
      <c r="B20" s="4" t="s">
        <v>104</v>
      </c>
      <c r="C20" s="4" t="s">
        <v>105</v>
      </c>
      <c r="D20" s="8" t="s">
        <v>106</v>
      </c>
      <c r="E20" s="4" t="s">
        <v>17</v>
      </c>
      <c r="F20" s="4" t="s">
        <v>107</v>
      </c>
      <c r="G20" s="4" t="s">
        <v>19</v>
      </c>
      <c r="H20" s="4" t="s">
        <v>20</v>
      </c>
      <c r="I20" s="4" t="s">
        <v>109</v>
      </c>
    </row>
    <row r="21">
      <c r="A21" s="7">
        <v>45579.48395140046</v>
      </c>
      <c r="B21" s="4" t="s">
        <v>110</v>
      </c>
      <c r="C21" s="4" t="s">
        <v>111</v>
      </c>
      <c r="D21" s="8" t="s">
        <v>112</v>
      </c>
      <c r="E21" s="4" t="s">
        <v>113</v>
      </c>
      <c r="F21" s="4" t="s">
        <v>114</v>
      </c>
      <c r="G21" s="4" t="s">
        <v>32</v>
      </c>
      <c r="H21" s="4" t="s">
        <v>20</v>
      </c>
      <c r="I21" s="4" t="s">
        <v>115</v>
      </c>
    </row>
    <row r="22">
      <c r="A22" s="7">
        <v>45579.484038842595</v>
      </c>
      <c r="B22" s="4" t="s">
        <v>116</v>
      </c>
      <c r="C22" s="4" t="s">
        <v>117</v>
      </c>
      <c r="D22" s="8" t="s">
        <v>118</v>
      </c>
      <c r="E22" s="4" t="s">
        <v>119</v>
      </c>
      <c r="F22" s="4" t="s">
        <v>120</v>
      </c>
      <c r="G22" s="4" t="s">
        <v>41</v>
      </c>
      <c r="H22" s="4" t="s">
        <v>20</v>
      </c>
      <c r="I22" s="4" t="s">
        <v>121</v>
      </c>
    </row>
    <row r="23">
      <c r="A23" s="7">
        <v>45579.48986872685</v>
      </c>
      <c r="B23" s="4" t="s">
        <v>122</v>
      </c>
      <c r="C23" s="4" t="s">
        <v>123</v>
      </c>
      <c r="D23" s="8" t="s">
        <v>124</v>
      </c>
      <c r="E23" s="4" t="s">
        <v>78</v>
      </c>
      <c r="F23" s="4" t="s">
        <v>125</v>
      </c>
      <c r="G23" s="4" t="s">
        <v>32</v>
      </c>
      <c r="H23" s="4" t="s">
        <v>20</v>
      </c>
      <c r="I23" s="4" t="s">
        <v>126</v>
      </c>
    </row>
    <row r="24">
      <c r="A24" s="7">
        <v>45579.49266887731</v>
      </c>
      <c r="B24" s="4" t="s">
        <v>127</v>
      </c>
      <c r="C24" s="4" t="s">
        <v>128</v>
      </c>
      <c r="D24" s="8" t="s">
        <v>129</v>
      </c>
      <c r="E24" s="4" t="s">
        <v>17</v>
      </c>
      <c r="F24" s="4" t="s">
        <v>130</v>
      </c>
      <c r="G24" s="4" t="s">
        <v>19</v>
      </c>
      <c r="H24" s="4" t="s">
        <v>20</v>
      </c>
      <c r="I24" s="4" t="s">
        <v>131</v>
      </c>
    </row>
    <row r="25">
      <c r="A25" s="7">
        <v>45579.49679517361</v>
      </c>
      <c r="B25" s="4" t="s">
        <v>132</v>
      </c>
      <c r="C25" s="4" t="s">
        <v>133</v>
      </c>
      <c r="D25" s="8" t="s">
        <v>134</v>
      </c>
      <c r="E25" s="4" t="s">
        <v>113</v>
      </c>
      <c r="F25" s="4" t="s">
        <v>135</v>
      </c>
      <c r="G25" s="4" t="s">
        <v>54</v>
      </c>
      <c r="H25" s="4" t="s">
        <v>20</v>
      </c>
      <c r="I25" s="4" t="s">
        <v>131</v>
      </c>
    </row>
    <row r="26">
      <c r="A26" s="7">
        <v>45579.500235740736</v>
      </c>
      <c r="B26" s="4" t="s">
        <v>136</v>
      </c>
      <c r="C26" s="4" t="s">
        <v>133</v>
      </c>
      <c r="D26" s="8" t="s">
        <v>134</v>
      </c>
      <c r="E26" s="4" t="s">
        <v>137</v>
      </c>
      <c r="F26" s="4" t="s">
        <v>138</v>
      </c>
      <c r="G26" s="4" t="s">
        <v>54</v>
      </c>
      <c r="H26" s="4" t="s">
        <v>20</v>
      </c>
      <c r="I26" s="4" t="s">
        <v>139</v>
      </c>
    </row>
    <row r="27">
      <c r="A27" s="7">
        <v>45579.50035021991</v>
      </c>
      <c r="B27" s="4" t="s">
        <v>140</v>
      </c>
      <c r="C27" s="4" t="s">
        <v>141</v>
      </c>
      <c r="D27" s="8" t="s">
        <v>142</v>
      </c>
      <c r="E27" s="4" t="s">
        <v>17</v>
      </c>
      <c r="F27" s="4" t="s">
        <v>143</v>
      </c>
      <c r="G27" s="4" t="s">
        <v>41</v>
      </c>
      <c r="H27" s="4" t="s">
        <v>20</v>
      </c>
      <c r="I27" s="4" t="s">
        <v>144</v>
      </c>
    </row>
    <row r="28">
      <c r="A28" s="7">
        <v>45579.55981415509</v>
      </c>
      <c r="B28" s="4" t="s">
        <v>145</v>
      </c>
      <c r="C28" s="4" t="s">
        <v>133</v>
      </c>
      <c r="D28" s="8" t="s">
        <v>134</v>
      </c>
      <c r="E28" s="4" t="s">
        <v>113</v>
      </c>
      <c r="F28" s="4" t="s">
        <v>146</v>
      </c>
      <c r="G28" s="4" t="s">
        <v>54</v>
      </c>
      <c r="H28" s="4" t="s">
        <v>20</v>
      </c>
      <c r="I28" s="4" t="s">
        <v>147</v>
      </c>
    </row>
    <row r="29">
      <c r="A29" s="7">
        <v>45579.565665312504</v>
      </c>
      <c r="B29" s="4" t="s">
        <v>148</v>
      </c>
      <c r="C29" s="4" t="s">
        <v>149</v>
      </c>
      <c r="D29" s="8" t="s">
        <v>150</v>
      </c>
      <c r="E29" s="4" t="s">
        <v>113</v>
      </c>
      <c r="F29" s="4" t="s">
        <v>151</v>
      </c>
      <c r="G29" s="4" t="s">
        <v>32</v>
      </c>
      <c r="H29" s="4" t="s">
        <v>20</v>
      </c>
      <c r="I29" s="4" t="s">
        <v>152</v>
      </c>
    </row>
    <row r="30">
      <c r="A30" s="7">
        <v>45579.57014332176</v>
      </c>
      <c r="B30" s="4" t="s">
        <v>153</v>
      </c>
      <c r="C30" s="4" t="s">
        <v>133</v>
      </c>
      <c r="D30" s="8" t="s">
        <v>134</v>
      </c>
      <c r="E30" s="4" t="s">
        <v>113</v>
      </c>
      <c r="F30" s="4" t="s">
        <v>154</v>
      </c>
      <c r="G30" s="4" t="s">
        <v>54</v>
      </c>
      <c r="H30" s="4" t="s">
        <v>20</v>
      </c>
      <c r="I30" s="4" t="s">
        <v>115</v>
      </c>
    </row>
    <row r="31">
      <c r="A31" s="7">
        <v>45579.572772569445</v>
      </c>
      <c r="B31" s="4" t="s">
        <v>155</v>
      </c>
      <c r="C31" s="4" t="s">
        <v>156</v>
      </c>
      <c r="D31" s="8" t="s">
        <v>157</v>
      </c>
      <c r="E31" s="4" t="s">
        <v>113</v>
      </c>
      <c r="F31" s="4" t="s">
        <v>158</v>
      </c>
      <c r="G31" s="4" t="s">
        <v>32</v>
      </c>
      <c r="H31" s="4" t="s">
        <v>20</v>
      </c>
      <c r="I31" s="4" t="s">
        <v>159</v>
      </c>
    </row>
    <row r="32">
      <c r="A32" s="7">
        <v>45579.577937511574</v>
      </c>
      <c r="B32" s="4" t="s">
        <v>160</v>
      </c>
      <c r="C32" s="4" t="s">
        <v>161</v>
      </c>
      <c r="D32" s="8" t="s">
        <v>162</v>
      </c>
      <c r="E32" s="4" t="s">
        <v>163</v>
      </c>
      <c r="F32" s="4" t="s">
        <v>164</v>
      </c>
      <c r="G32" s="4" t="s">
        <v>54</v>
      </c>
      <c r="H32" s="4" t="s">
        <v>20</v>
      </c>
      <c r="I32" s="4" t="s">
        <v>165</v>
      </c>
    </row>
    <row r="33">
      <c r="A33" s="7">
        <v>45579.580212719906</v>
      </c>
      <c r="B33" s="4" t="s">
        <v>166</v>
      </c>
      <c r="C33" s="4" t="s">
        <v>167</v>
      </c>
      <c r="D33" s="8" t="s">
        <v>168</v>
      </c>
      <c r="E33" s="4" t="s">
        <v>17</v>
      </c>
      <c r="F33" s="4" t="s">
        <v>169</v>
      </c>
      <c r="G33" s="4" t="s">
        <v>32</v>
      </c>
      <c r="H33" s="4" t="s">
        <v>20</v>
      </c>
      <c r="I33" s="4" t="s">
        <v>109</v>
      </c>
    </row>
    <row r="34">
      <c r="A34" s="7">
        <v>45579.584890625</v>
      </c>
      <c r="B34" s="4" t="s">
        <v>170</v>
      </c>
      <c r="C34" s="4" t="s">
        <v>171</v>
      </c>
      <c r="D34" s="8" t="s">
        <v>172</v>
      </c>
      <c r="E34" s="4" t="s">
        <v>173</v>
      </c>
      <c r="F34" s="4" t="s">
        <v>174</v>
      </c>
      <c r="G34" s="4" t="s">
        <v>54</v>
      </c>
      <c r="H34" s="4" t="s">
        <v>20</v>
      </c>
      <c r="I34" s="4" t="s">
        <v>175</v>
      </c>
    </row>
    <row r="35">
      <c r="A35" s="7">
        <v>45579.591902245375</v>
      </c>
      <c r="B35" s="4" t="s">
        <v>176</v>
      </c>
      <c r="C35" s="4" t="s">
        <v>177</v>
      </c>
      <c r="D35" s="8" t="s">
        <v>178</v>
      </c>
      <c r="E35" s="4" t="s">
        <v>179</v>
      </c>
      <c r="F35" s="4" t="s">
        <v>180</v>
      </c>
      <c r="G35" s="4" t="s">
        <v>19</v>
      </c>
      <c r="H35" s="4" t="s">
        <v>20</v>
      </c>
      <c r="I35" s="4" t="s">
        <v>181</v>
      </c>
    </row>
    <row r="36">
      <c r="A36" s="7">
        <v>45579.59196659722</v>
      </c>
      <c r="B36" s="4" t="s">
        <v>182</v>
      </c>
      <c r="C36" s="4" t="s">
        <v>183</v>
      </c>
      <c r="D36" s="8" t="s">
        <v>184</v>
      </c>
      <c r="E36" s="4" t="s">
        <v>17</v>
      </c>
      <c r="F36" s="4" t="s">
        <v>185</v>
      </c>
      <c r="G36" s="4" t="s">
        <v>41</v>
      </c>
      <c r="H36" s="4" t="s">
        <v>20</v>
      </c>
      <c r="I36" s="4" t="s">
        <v>144</v>
      </c>
    </row>
    <row r="37">
      <c r="A37" s="7">
        <v>45579.59303643518</v>
      </c>
      <c r="B37" s="4" t="s">
        <v>186</v>
      </c>
      <c r="C37" s="4" t="s">
        <v>187</v>
      </c>
      <c r="D37" s="4" t="s">
        <v>188</v>
      </c>
      <c r="E37" s="4" t="s">
        <v>78</v>
      </c>
      <c r="F37" s="4" t="s">
        <v>189</v>
      </c>
      <c r="G37" s="4" t="s">
        <v>32</v>
      </c>
      <c r="H37" s="4" t="s">
        <v>20</v>
      </c>
      <c r="I37" s="4" t="s">
        <v>190</v>
      </c>
    </row>
    <row r="38">
      <c r="A38" s="7">
        <v>45579.59566706019</v>
      </c>
      <c r="B38" s="4" t="s">
        <v>191</v>
      </c>
      <c r="C38" s="4" t="s">
        <v>192</v>
      </c>
      <c r="D38" s="8" t="s">
        <v>193</v>
      </c>
      <c r="E38" s="4" t="s">
        <v>194</v>
      </c>
      <c r="F38" s="4" t="s">
        <v>195</v>
      </c>
      <c r="G38" s="4" t="s">
        <v>41</v>
      </c>
      <c r="H38" s="4" t="s">
        <v>20</v>
      </c>
      <c r="I38" s="4" t="s">
        <v>196</v>
      </c>
    </row>
    <row r="39">
      <c r="A39" s="7">
        <v>45579.59832927083</v>
      </c>
      <c r="B39" s="4" t="s">
        <v>197</v>
      </c>
      <c r="C39" s="4" t="s">
        <v>198</v>
      </c>
      <c r="D39" s="4" t="s">
        <v>200</v>
      </c>
      <c r="E39" s="4" t="s">
        <v>201</v>
      </c>
      <c r="F39" s="4" t="s">
        <v>202</v>
      </c>
      <c r="G39" s="4" t="s">
        <v>32</v>
      </c>
      <c r="H39" s="4" t="s">
        <v>20</v>
      </c>
      <c r="I39" s="4" t="s">
        <v>203</v>
      </c>
    </row>
    <row r="40">
      <c r="A40" s="7">
        <v>45579.60091741898</v>
      </c>
      <c r="B40" s="4" t="s">
        <v>204</v>
      </c>
      <c r="C40" s="4" t="s">
        <v>205</v>
      </c>
      <c r="D40" s="8" t="s">
        <v>206</v>
      </c>
      <c r="E40" s="4" t="s">
        <v>201</v>
      </c>
      <c r="F40" s="4" t="s">
        <v>31</v>
      </c>
      <c r="G40" s="4" t="s">
        <v>32</v>
      </c>
      <c r="H40" s="4" t="s">
        <v>20</v>
      </c>
      <c r="I40" s="4" t="s">
        <v>208</v>
      </c>
    </row>
    <row r="41">
      <c r="A41" s="7">
        <v>45579.60111422454</v>
      </c>
      <c r="B41" s="4" t="s">
        <v>209</v>
      </c>
      <c r="C41" s="4" t="s">
        <v>210</v>
      </c>
      <c r="D41" s="8" t="s">
        <v>211</v>
      </c>
      <c r="E41" s="4" t="s">
        <v>212</v>
      </c>
      <c r="F41" s="4" t="s">
        <v>213</v>
      </c>
      <c r="G41" s="4" t="s">
        <v>54</v>
      </c>
      <c r="H41" s="4" t="s">
        <v>20</v>
      </c>
      <c r="I41" s="4" t="s">
        <v>74</v>
      </c>
    </row>
    <row r="42">
      <c r="A42" s="7">
        <v>45579.60447009259</v>
      </c>
      <c r="B42" s="4" t="s">
        <v>214</v>
      </c>
      <c r="C42" s="4" t="s">
        <v>215</v>
      </c>
      <c r="D42" s="4" t="s">
        <v>216</v>
      </c>
      <c r="E42" s="4" t="s">
        <v>78</v>
      </c>
      <c r="F42" s="4" t="s">
        <v>217</v>
      </c>
      <c r="G42" s="4" t="s">
        <v>32</v>
      </c>
      <c r="H42" s="4" t="s">
        <v>20</v>
      </c>
      <c r="I42" s="4" t="s">
        <v>218</v>
      </c>
    </row>
    <row r="43">
      <c r="A43" s="7">
        <v>45579.608445578706</v>
      </c>
      <c r="B43" s="4" t="s">
        <v>219</v>
      </c>
      <c r="C43" s="4" t="s">
        <v>133</v>
      </c>
      <c r="D43" s="8" t="s">
        <v>134</v>
      </c>
      <c r="E43" s="4" t="s">
        <v>113</v>
      </c>
      <c r="F43" s="4" t="s">
        <v>220</v>
      </c>
      <c r="G43" s="4" t="s">
        <v>54</v>
      </c>
      <c r="H43" s="4" t="s">
        <v>20</v>
      </c>
      <c r="I43" s="4" t="s">
        <v>222</v>
      </c>
    </row>
    <row r="44">
      <c r="A44" s="7">
        <v>45579.61593804398</v>
      </c>
      <c r="B44" s="4" t="s">
        <v>224</v>
      </c>
      <c r="C44" s="4" t="s">
        <v>225</v>
      </c>
      <c r="D44" s="4" t="s">
        <v>226</v>
      </c>
      <c r="E44" s="4" t="s">
        <v>78</v>
      </c>
      <c r="F44" s="4" t="s">
        <v>227</v>
      </c>
      <c r="G44" s="4" t="s">
        <v>32</v>
      </c>
      <c r="H44" s="4" t="s">
        <v>20</v>
      </c>
      <c r="I44" s="4" t="s">
        <v>229</v>
      </c>
    </row>
    <row r="45">
      <c r="A45" s="7">
        <v>45579.61630037037</v>
      </c>
      <c r="B45" s="4" t="s">
        <v>230</v>
      </c>
      <c r="C45" s="4" t="s">
        <v>231</v>
      </c>
      <c r="D45" s="8" t="s">
        <v>112</v>
      </c>
      <c r="E45" s="4" t="s">
        <v>233</v>
      </c>
      <c r="F45" s="4" t="s">
        <v>234</v>
      </c>
      <c r="G45" s="4" t="s">
        <v>54</v>
      </c>
      <c r="H45" s="4" t="s">
        <v>20</v>
      </c>
      <c r="I45" s="4" t="s">
        <v>235</v>
      </c>
    </row>
    <row r="46">
      <c r="A46" s="7">
        <v>45579.62726357639</v>
      </c>
      <c r="B46" s="4" t="s">
        <v>236</v>
      </c>
      <c r="C46" s="4" t="s">
        <v>237</v>
      </c>
      <c r="D46" s="4" t="s">
        <v>238</v>
      </c>
      <c r="E46" s="4" t="s">
        <v>78</v>
      </c>
      <c r="F46" s="4" t="s">
        <v>240</v>
      </c>
      <c r="G46" s="4" t="s">
        <v>32</v>
      </c>
      <c r="H46" s="4" t="s">
        <v>20</v>
      </c>
      <c r="I46" s="4" t="s">
        <v>242</v>
      </c>
    </row>
    <row r="47">
      <c r="A47" s="7">
        <v>45579.62802350694</v>
      </c>
      <c r="B47" s="4" t="s">
        <v>243</v>
      </c>
      <c r="C47" s="4" t="s">
        <v>237</v>
      </c>
      <c r="D47" s="4" t="s">
        <v>238</v>
      </c>
      <c r="E47" s="4" t="s">
        <v>78</v>
      </c>
      <c r="F47" s="4" t="s">
        <v>244</v>
      </c>
      <c r="G47" s="4" t="s">
        <v>32</v>
      </c>
      <c r="H47" s="4" t="s">
        <v>20</v>
      </c>
      <c r="I47" s="4" t="s">
        <v>242</v>
      </c>
    </row>
    <row r="48">
      <c r="A48" s="7">
        <v>45580.36647100694</v>
      </c>
      <c r="B48" s="4" t="s">
        <v>245</v>
      </c>
      <c r="C48" s="4" t="s">
        <v>246</v>
      </c>
      <c r="D48" s="4" t="s">
        <v>247</v>
      </c>
      <c r="E48" s="4" t="s">
        <v>248</v>
      </c>
      <c r="F48" s="4" t="s">
        <v>249</v>
      </c>
      <c r="G48" s="4" t="s">
        <v>251</v>
      </c>
      <c r="H48" s="4" t="s">
        <v>20</v>
      </c>
      <c r="I48" s="4" t="s">
        <v>252</v>
      </c>
    </row>
    <row r="49">
      <c r="A49" s="7">
        <v>45580.36855835648</v>
      </c>
      <c r="B49" s="4" t="s">
        <v>254</v>
      </c>
      <c r="C49" s="4" t="s">
        <v>255</v>
      </c>
      <c r="D49" s="4" t="s">
        <v>247</v>
      </c>
      <c r="E49" s="4" t="s">
        <v>30</v>
      </c>
      <c r="F49" s="4" t="s">
        <v>256</v>
      </c>
      <c r="G49" s="4" t="s">
        <v>251</v>
      </c>
      <c r="H49" s="4" t="s">
        <v>20</v>
      </c>
      <c r="I49" s="4" t="s">
        <v>258</v>
      </c>
    </row>
    <row r="50">
      <c r="A50" s="7">
        <v>45580.38408798611</v>
      </c>
      <c r="B50" s="4" t="s">
        <v>259</v>
      </c>
      <c r="C50" s="4" t="s">
        <v>261</v>
      </c>
      <c r="D50" s="8" t="s">
        <v>262</v>
      </c>
      <c r="E50" s="4" t="s">
        <v>263</v>
      </c>
      <c r="F50" s="4" t="s">
        <v>264</v>
      </c>
      <c r="G50" s="4" t="s">
        <v>54</v>
      </c>
      <c r="H50" s="4" t="s">
        <v>20</v>
      </c>
      <c r="I50" s="4" t="s">
        <v>266</v>
      </c>
    </row>
    <row r="51">
      <c r="A51" s="7">
        <v>45580.385649131946</v>
      </c>
      <c r="B51" s="4" t="s">
        <v>267</v>
      </c>
      <c r="C51" s="4" t="s">
        <v>269</v>
      </c>
      <c r="D51" s="8" t="s">
        <v>262</v>
      </c>
      <c r="E51" s="4" t="s">
        <v>263</v>
      </c>
      <c r="F51" s="4" t="s">
        <v>270</v>
      </c>
      <c r="G51" s="4" t="s">
        <v>54</v>
      </c>
      <c r="H51" s="4" t="s">
        <v>20</v>
      </c>
      <c r="I51" s="4" t="s">
        <v>272</v>
      </c>
    </row>
    <row r="52">
      <c r="A52" s="7">
        <v>45580.394699537035</v>
      </c>
      <c r="B52" s="4" t="s">
        <v>273</v>
      </c>
      <c r="C52" s="4" t="s">
        <v>275</v>
      </c>
      <c r="D52" s="4" t="s">
        <v>276</v>
      </c>
      <c r="E52" s="4" t="s">
        <v>113</v>
      </c>
      <c r="F52" s="4" t="s">
        <v>277</v>
      </c>
      <c r="G52" s="4" t="s">
        <v>54</v>
      </c>
      <c r="H52" s="4" t="s">
        <v>20</v>
      </c>
      <c r="I52" s="4" t="s">
        <v>279</v>
      </c>
    </row>
    <row r="53">
      <c r="A53" s="7">
        <v>45580.39812384259</v>
      </c>
      <c r="B53" s="4" t="s">
        <v>280</v>
      </c>
      <c r="C53" s="4" t="s">
        <v>282</v>
      </c>
      <c r="D53" s="4" t="s">
        <v>283</v>
      </c>
      <c r="E53" s="4" t="s">
        <v>284</v>
      </c>
      <c r="F53" s="4" t="s">
        <v>285</v>
      </c>
      <c r="G53" s="4" t="s">
        <v>251</v>
      </c>
      <c r="H53" s="4" t="s">
        <v>20</v>
      </c>
      <c r="I53" s="4" t="s">
        <v>287</v>
      </c>
    </row>
    <row r="54">
      <c r="A54" s="7">
        <v>45580.401090810185</v>
      </c>
      <c r="B54" s="4" t="s">
        <v>288</v>
      </c>
      <c r="C54" s="4" t="s">
        <v>290</v>
      </c>
      <c r="D54" s="4" t="s">
        <v>283</v>
      </c>
      <c r="E54" s="4" t="s">
        <v>291</v>
      </c>
      <c r="F54" s="4" t="s">
        <v>292</v>
      </c>
      <c r="G54" s="4" t="s">
        <v>251</v>
      </c>
      <c r="H54" s="4" t="s">
        <v>20</v>
      </c>
      <c r="I54" s="4" t="s">
        <v>294</v>
      </c>
    </row>
    <row r="55">
      <c r="A55" s="7">
        <v>45580.40741165509</v>
      </c>
      <c r="B55" s="4" t="s">
        <v>295</v>
      </c>
      <c r="C55" s="4" t="s">
        <v>297</v>
      </c>
      <c r="D55" s="8" t="s">
        <v>298</v>
      </c>
      <c r="E55" s="4" t="s">
        <v>173</v>
      </c>
      <c r="F55" s="4" t="s">
        <v>299</v>
      </c>
      <c r="G55" s="4" t="s">
        <v>19</v>
      </c>
      <c r="H55" s="4" t="s">
        <v>20</v>
      </c>
      <c r="I55" s="4" t="s">
        <v>301</v>
      </c>
    </row>
    <row r="56">
      <c r="A56" s="7">
        <v>45580.40826240741</v>
      </c>
      <c r="B56" s="4" t="s">
        <v>303</v>
      </c>
      <c r="C56" s="4" t="s">
        <v>304</v>
      </c>
      <c r="D56" s="8" t="s">
        <v>305</v>
      </c>
      <c r="E56" s="4" t="s">
        <v>113</v>
      </c>
      <c r="F56" s="4" t="s">
        <v>306</v>
      </c>
      <c r="G56" s="4" t="s">
        <v>54</v>
      </c>
      <c r="H56" s="4" t="s">
        <v>20</v>
      </c>
      <c r="I56" s="4" t="s">
        <v>308</v>
      </c>
    </row>
    <row r="57">
      <c r="A57" s="7">
        <v>45580.412339918985</v>
      </c>
      <c r="B57" s="4" t="s">
        <v>310</v>
      </c>
      <c r="C57" s="4" t="s">
        <v>311</v>
      </c>
      <c r="D57" s="8" t="s">
        <v>312</v>
      </c>
      <c r="E57" s="4" t="s">
        <v>313</v>
      </c>
      <c r="F57" s="4" t="s">
        <v>314</v>
      </c>
      <c r="G57" s="4" t="s">
        <v>251</v>
      </c>
      <c r="H57" s="4" t="s">
        <v>20</v>
      </c>
      <c r="I57" s="4" t="s">
        <v>315</v>
      </c>
    </row>
    <row r="58">
      <c r="A58" s="7">
        <v>45580.41903491898</v>
      </c>
      <c r="B58" s="4" t="s">
        <v>316</v>
      </c>
      <c r="C58" s="4" t="s">
        <v>317</v>
      </c>
      <c r="D58" s="8" t="s">
        <v>312</v>
      </c>
      <c r="E58" s="4" t="s">
        <v>313</v>
      </c>
      <c r="F58" s="4" t="s">
        <v>318</v>
      </c>
      <c r="G58" s="4" t="s">
        <v>251</v>
      </c>
      <c r="H58" s="4" t="s">
        <v>20</v>
      </c>
      <c r="I58" s="4" t="s">
        <v>319</v>
      </c>
    </row>
    <row r="59">
      <c r="A59" s="7">
        <v>45580.42200319444</v>
      </c>
      <c r="B59" s="4" t="s">
        <v>320</v>
      </c>
      <c r="C59" s="4" t="s">
        <v>321</v>
      </c>
      <c r="D59" s="8" t="s">
        <v>322</v>
      </c>
      <c r="E59" s="4" t="s">
        <v>173</v>
      </c>
      <c r="F59" s="4" t="s">
        <v>323</v>
      </c>
      <c r="G59" s="4" t="s">
        <v>41</v>
      </c>
      <c r="H59" s="4" t="s">
        <v>20</v>
      </c>
      <c r="I59" s="4" t="s">
        <v>121</v>
      </c>
    </row>
    <row r="60">
      <c r="A60" s="7">
        <v>45580.42409033565</v>
      </c>
      <c r="B60" s="4" t="s">
        <v>324</v>
      </c>
      <c r="C60" s="4" t="s">
        <v>325</v>
      </c>
      <c r="D60" s="4" t="s">
        <v>326</v>
      </c>
      <c r="E60" s="4" t="s">
        <v>313</v>
      </c>
      <c r="F60" s="4" t="s">
        <v>327</v>
      </c>
      <c r="G60" s="4" t="s">
        <v>251</v>
      </c>
      <c r="H60" s="4" t="s">
        <v>20</v>
      </c>
      <c r="I60" s="4" t="s">
        <v>328</v>
      </c>
    </row>
    <row r="61">
      <c r="A61" s="7">
        <v>45580.42576048611</v>
      </c>
      <c r="B61" s="4" t="s">
        <v>329</v>
      </c>
      <c r="C61" s="4" t="s">
        <v>330</v>
      </c>
      <c r="D61" s="4" t="s">
        <v>326</v>
      </c>
      <c r="E61" s="4" t="s">
        <v>313</v>
      </c>
      <c r="F61" s="4" t="s">
        <v>331</v>
      </c>
      <c r="G61" s="4" t="s">
        <v>251</v>
      </c>
      <c r="H61" s="4" t="s">
        <v>20</v>
      </c>
      <c r="I61" s="4" t="s">
        <v>332</v>
      </c>
    </row>
    <row r="62">
      <c r="A62" s="7">
        <v>45580.427211574075</v>
      </c>
      <c r="B62" s="4" t="s">
        <v>333</v>
      </c>
      <c r="C62" s="4" t="s">
        <v>334</v>
      </c>
      <c r="D62" s="4" t="s">
        <v>326</v>
      </c>
      <c r="E62" s="4" t="s">
        <v>313</v>
      </c>
      <c r="F62" s="4" t="s">
        <v>335</v>
      </c>
      <c r="G62" s="4" t="s">
        <v>251</v>
      </c>
      <c r="H62" s="4" t="s">
        <v>20</v>
      </c>
      <c r="I62" s="4" t="s">
        <v>336</v>
      </c>
    </row>
    <row r="63">
      <c r="A63" s="7">
        <v>45580.43018231481</v>
      </c>
      <c r="B63" s="4" t="s">
        <v>337</v>
      </c>
      <c r="C63" s="4" t="s">
        <v>338</v>
      </c>
      <c r="D63" s="4" t="s">
        <v>339</v>
      </c>
      <c r="E63" s="4" t="s">
        <v>284</v>
      </c>
      <c r="F63" s="4" t="s">
        <v>340</v>
      </c>
      <c r="G63" s="4" t="s">
        <v>251</v>
      </c>
      <c r="H63" s="4" t="s">
        <v>20</v>
      </c>
      <c r="I63" s="4" t="s">
        <v>341</v>
      </c>
    </row>
    <row r="64">
      <c r="A64" s="7">
        <v>45580.43752939814</v>
      </c>
      <c r="B64" s="4" t="s">
        <v>342</v>
      </c>
      <c r="C64" s="4" t="s">
        <v>343</v>
      </c>
      <c r="D64" s="8" t="s">
        <v>344</v>
      </c>
      <c r="E64" s="4" t="s">
        <v>345</v>
      </c>
      <c r="F64" s="4" t="s">
        <v>346</v>
      </c>
      <c r="G64" s="4" t="s">
        <v>54</v>
      </c>
      <c r="H64" s="4" t="s">
        <v>20</v>
      </c>
      <c r="I64" s="4" t="s">
        <v>347</v>
      </c>
    </row>
    <row r="65">
      <c r="A65" s="7">
        <v>45580.44058946759</v>
      </c>
      <c r="B65" s="4" t="s">
        <v>348</v>
      </c>
      <c r="C65" s="4" t="s">
        <v>349</v>
      </c>
      <c r="D65" s="8" t="s">
        <v>350</v>
      </c>
      <c r="E65" s="4" t="s">
        <v>345</v>
      </c>
      <c r="F65" s="4" t="s">
        <v>351</v>
      </c>
      <c r="G65" s="4" t="s">
        <v>54</v>
      </c>
      <c r="H65" s="4" t="s">
        <v>20</v>
      </c>
      <c r="I65" s="4" t="s">
        <v>347</v>
      </c>
    </row>
    <row r="66">
      <c r="A66" s="7">
        <v>45580.44300060185</v>
      </c>
      <c r="B66" s="4" t="s">
        <v>352</v>
      </c>
      <c r="C66" s="4" t="s">
        <v>353</v>
      </c>
      <c r="D66" s="8" t="s">
        <v>354</v>
      </c>
      <c r="E66" s="4" t="s">
        <v>345</v>
      </c>
      <c r="F66" s="4" t="s">
        <v>355</v>
      </c>
      <c r="G66" s="4" t="s">
        <v>19</v>
      </c>
      <c r="H66" s="4" t="s">
        <v>20</v>
      </c>
      <c r="I66" s="4" t="s">
        <v>356</v>
      </c>
    </row>
    <row r="67">
      <c r="A67" s="7">
        <v>45580.446338344904</v>
      </c>
      <c r="B67" s="4" t="s">
        <v>357</v>
      </c>
      <c r="C67" s="4" t="s">
        <v>358</v>
      </c>
      <c r="D67" s="8" t="s">
        <v>359</v>
      </c>
      <c r="E67" s="4" t="s">
        <v>78</v>
      </c>
      <c r="F67" s="4" t="s">
        <v>360</v>
      </c>
      <c r="G67" s="4" t="s">
        <v>41</v>
      </c>
      <c r="H67" s="4" t="s">
        <v>20</v>
      </c>
      <c r="I67" s="4" t="s">
        <v>361</v>
      </c>
    </row>
    <row r="68">
      <c r="A68" s="7">
        <v>45580.45502780093</v>
      </c>
      <c r="B68" s="4" t="s">
        <v>362</v>
      </c>
      <c r="C68" s="4" t="s">
        <v>363</v>
      </c>
      <c r="D68" s="8" t="s">
        <v>364</v>
      </c>
      <c r="E68" s="4" t="s">
        <v>365</v>
      </c>
      <c r="F68" s="4" t="s">
        <v>366</v>
      </c>
      <c r="G68" s="4" t="s">
        <v>19</v>
      </c>
      <c r="H68" s="4" t="s">
        <v>20</v>
      </c>
      <c r="I68" s="4" t="s">
        <v>181</v>
      </c>
    </row>
    <row r="69">
      <c r="A69" s="7">
        <v>45580.46981002315</v>
      </c>
      <c r="B69" s="4" t="s">
        <v>367</v>
      </c>
      <c r="C69" s="4" t="s">
        <v>368</v>
      </c>
      <c r="D69" s="8" t="s">
        <v>369</v>
      </c>
      <c r="E69" s="4" t="s">
        <v>345</v>
      </c>
      <c r="F69" s="4" t="s">
        <v>370</v>
      </c>
      <c r="G69" s="4" t="s">
        <v>54</v>
      </c>
      <c r="H69" s="4" t="s">
        <v>20</v>
      </c>
      <c r="I69" s="4" t="s">
        <v>272</v>
      </c>
    </row>
    <row r="70">
      <c r="A70" s="7">
        <v>45580.47268</v>
      </c>
      <c r="B70" s="4" t="s">
        <v>371</v>
      </c>
      <c r="C70" s="4" t="s">
        <v>372</v>
      </c>
      <c r="D70" s="4" t="s">
        <v>373</v>
      </c>
      <c r="E70" s="4" t="s">
        <v>345</v>
      </c>
      <c r="F70" s="4" t="s">
        <v>374</v>
      </c>
      <c r="G70" s="4" t="s">
        <v>54</v>
      </c>
      <c r="H70" s="4" t="s">
        <v>20</v>
      </c>
      <c r="I70" s="4" t="s">
        <v>375</v>
      </c>
    </row>
    <row r="71">
      <c r="A71" s="7">
        <v>45580.47344811342</v>
      </c>
      <c r="B71" s="4" t="s">
        <v>376</v>
      </c>
      <c r="C71" s="4" t="s">
        <v>377</v>
      </c>
      <c r="D71" s="8" t="s">
        <v>378</v>
      </c>
      <c r="E71" s="4" t="s">
        <v>379</v>
      </c>
      <c r="F71" s="4" t="s">
        <v>380</v>
      </c>
      <c r="G71" s="4" t="s">
        <v>251</v>
      </c>
      <c r="H71" s="4" t="s">
        <v>20</v>
      </c>
      <c r="I71" s="4" t="s">
        <v>315</v>
      </c>
    </row>
    <row r="72">
      <c r="A72" s="7">
        <v>45580.47411325232</v>
      </c>
      <c r="B72" s="4" t="s">
        <v>381</v>
      </c>
      <c r="C72" s="4" t="s">
        <v>382</v>
      </c>
      <c r="D72" s="8" t="s">
        <v>383</v>
      </c>
      <c r="E72" s="4" t="s">
        <v>17</v>
      </c>
      <c r="F72" s="4" t="s">
        <v>384</v>
      </c>
      <c r="G72" s="4" t="s">
        <v>19</v>
      </c>
      <c r="H72" s="4" t="s">
        <v>20</v>
      </c>
      <c r="I72" s="4" t="s">
        <v>385</v>
      </c>
    </row>
    <row r="73">
      <c r="A73" s="7">
        <v>45580.47578221065</v>
      </c>
      <c r="B73" s="4" t="s">
        <v>386</v>
      </c>
      <c r="C73" s="4" t="s">
        <v>387</v>
      </c>
      <c r="D73" s="8" t="s">
        <v>378</v>
      </c>
      <c r="E73" s="4" t="s">
        <v>379</v>
      </c>
      <c r="F73" s="4" t="s">
        <v>388</v>
      </c>
      <c r="G73" s="4" t="s">
        <v>251</v>
      </c>
      <c r="H73" s="4" t="s">
        <v>20</v>
      </c>
      <c r="I73" s="4" t="s">
        <v>315</v>
      </c>
    </row>
    <row r="74">
      <c r="A74" s="7">
        <v>45580.477096215276</v>
      </c>
      <c r="B74" s="4" t="s">
        <v>389</v>
      </c>
      <c r="C74" s="4" t="s">
        <v>390</v>
      </c>
      <c r="D74" s="4" t="s">
        <v>373</v>
      </c>
      <c r="E74" s="4" t="s">
        <v>345</v>
      </c>
      <c r="F74" s="4" t="s">
        <v>391</v>
      </c>
      <c r="G74" s="4" t="s">
        <v>54</v>
      </c>
      <c r="H74" s="4" t="s">
        <v>20</v>
      </c>
      <c r="I74" s="4" t="s">
        <v>272</v>
      </c>
    </row>
    <row r="75">
      <c r="A75" s="7">
        <v>45580.47836738426</v>
      </c>
      <c r="B75" s="4" t="s">
        <v>392</v>
      </c>
      <c r="C75" s="4" t="s">
        <v>393</v>
      </c>
      <c r="D75" s="4" t="s">
        <v>394</v>
      </c>
      <c r="E75" s="4" t="s">
        <v>78</v>
      </c>
      <c r="F75" s="4" t="s">
        <v>395</v>
      </c>
      <c r="G75" s="4" t="s">
        <v>32</v>
      </c>
      <c r="H75" s="4" t="s">
        <v>20</v>
      </c>
      <c r="I75" s="4" t="s">
        <v>396</v>
      </c>
    </row>
    <row r="76">
      <c r="A76" s="7">
        <v>45580.4800118287</v>
      </c>
      <c r="B76" s="4" t="s">
        <v>397</v>
      </c>
      <c r="C76" s="4" t="s">
        <v>398</v>
      </c>
      <c r="D76" s="4" t="s">
        <v>373</v>
      </c>
      <c r="E76" s="4" t="s">
        <v>345</v>
      </c>
      <c r="F76" s="4" t="s">
        <v>399</v>
      </c>
      <c r="G76" s="4" t="s">
        <v>54</v>
      </c>
      <c r="H76" s="4" t="s">
        <v>20</v>
      </c>
      <c r="I76" s="4" t="s">
        <v>400</v>
      </c>
    </row>
    <row r="77">
      <c r="A77" s="7">
        <v>45580.48194575231</v>
      </c>
      <c r="B77" s="4" t="s">
        <v>401</v>
      </c>
      <c r="C77" s="4" t="s">
        <v>402</v>
      </c>
      <c r="D77" s="8" t="s">
        <v>403</v>
      </c>
      <c r="E77" s="4" t="s">
        <v>404</v>
      </c>
      <c r="F77" s="4" t="s">
        <v>405</v>
      </c>
      <c r="G77" s="4" t="s">
        <v>251</v>
      </c>
      <c r="H77" s="4" t="s">
        <v>20</v>
      </c>
      <c r="I77" s="4" t="s">
        <v>406</v>
      </c>
    </row>
    <row r="78">
      <c r="A78" s="7">
        <v>45580.48416207176</v>
      </c>
      <c r="B78" s="4" t="s">
        <v>407</v>
      </c>
      <c r="C78" s="4" t="s">
        <v>408</v>
      </c>
      <c r="D78" s="8" t="s">
        <v>409</v>
      </c>
      <c r="E78" s="4" t="s">
        <v>410</v>
      </c>
      <c r="F78" s="4" t="s">
        <v>411</v>
      </c>
      <c r="G78" s="4" t="s">
        <v>251</v>
      </c>
      <c r="H78" s="4" t="s">
        <v>20</v>
      </c>
      <c r="I78" s="4" t="s">
        <v>412</v>
      </c>
    </row>
    <row r="79">
      <c r="A79" s="7">
        <v>45580.54480939815</v>
      </c>
      <c r="B79" s="4" t="s">
        <v>413</v>
      </c>
      <c r="C79" s="4" t="s">
        <v>414</v>
      </c>
      <c r="D79" s="8" t="s">
        <v>415</v>
      </c>
      <c r="E79" s="4" t="s">
        <v>59</v>
      </c>
      <c r="F79" s="4" t="s">
        <v>416</v>
      </c>
      <c r="G79" s="4" t="s">
        <v>32</v>
      </c>
      <c r="H79" s="4" t="s">
        <v>20</v>
      </c>
      <c r="I79" s="4" t="s">
        <v>417</v>
      </c>
    </row>
    <row r="80">
      <c r="A80" s="7">
        <v>45580.569989456024</v>
      </c>
      <c r="B80" s="4" t="s">
        <v>418</v>
      </c>
      <c r="C80" s="4" t="s">
        <v>419</v>
      </c>
      <c r="D80" s="8" t="s">
        <v>420</v>
      </c>
      <c r="E80" s="4" t="s">
        <v>173</v>
      </c>
      <c r="F80" s="4" t="s">
        <v>421</v>
      </c>
      <c r="G80" s="4" t="s">
        <v>41</v>
      </c>
      <c r="H80" s="4" t="s">
        <v>20</v>
      </c>
      <c r="I80" s="4" t="s">
        <v>144</v>
      </c>
    </row>
    <row r="81">
      <c r="A81" s="7">
        <v>45580.575810787035</v>
      </c>
      <c r="B81" s="4" t="s">
        <v>423</v>
      </c>
      <c r="C81" s="4" t="s">
        <v>424</v>
      </c>
      <c r="D81" s="4" t="s">
        <v>425</v>
      </c>
      <c r="E81" s="4" t="s">
        <v>426</v>
      </c>
      <c r="F81" s="4" t="s">
        <v>427</v>
      </c>
      <c r="G81" s="4" t="s">
        <v>251</v>
      </c>
      <c r="H81" s="4" t="s">
        <v>20</v>
      </c>
      <c r="I81" s="4" t="s">
        <v>428</v>
      </c>
    </row>
    <row r="82">
      <c r="A82" s="7">
        <v>45580.57893325231</v>
      </c>
      <c r="B82" s="4" t="s">
        <v>429</v>
      </c>
      <c r="C82" s="4" t="s">
        <v>430</v>
      </c>
      <c r="D82" s="8" t="s">
        <v>431</v>
      </c>
      <c r="E82" s="4" t="s">
        <v>432</v>
      </c>
      <c r="F82" s="4" t="s">
        <v>433</v>
      </c>
      <c r="G82" s="4" t="s">
        <v>251</v>
      </c>
      <c r="H82" s="4" t="s">
        <v>20</v>
      </c>
      <c r="I82" s="4" t="s">
        <v>434</v>
      </c>
    </row>
    <row r="83">
      <c r="A83" s="7">
        <v>45580.5815102662</v>
      </c>
      <c r="B83" s="4" t="s">
        <v>435</v>
      </c>
      <c r="C83" s="4" t="s">
        <v>436</v>
      </c>
      <c r="D83" s="8" t="s">
        <v>437</v>
      </c>
      <c r="E83" s="4" t="s">
        <v>438</v>
      </c>
      <c r="F83" s="4" t="s">
        <v>439</v>
      </c>
      <c r="G83" s="4" t="s">
        <v>32</v>
      </c>
      <c r="H83" s="4" t="s">
        <v>20</v>
      </c>
      <c r="I83" s="4" t="s">
        <v>440</v>
      </c>
    </row>
    <row r="84">
      <c r="A84" s="7">
        <v>45580.581754328705</v>
      </c>
      <c r="B84" s="4" t="s">
        <v>441</v>
      </c>
      <c r="C84" s="4" t="s">
        <v>442</v>
      </c>
      <c r="D84" s="4" t="s">
        <v>444</v>
      </c>
      <c r="E84" s="4" t="s">
        <v>404</v>
      </c>
      <c r="F84" s="4" t="s">
        <v>445</v>
      </c>
      <c r="G84" s="4" t="s">
        <v>251</v>
      </c>
      <c r="H84" s="4" t="s">
        <v>20</v>
      </c>
      <c r="I84" s="4" t="s">
        <v>446</v>
      </c>
    </row>
    <row r="85">
      <c r="A85" s="7">
        <v>45580.583908368055</v>
      </c>
      <c r="B85" s="4" t="s">
        <v>447</v>
      </c>
      <c r="C85" s="4" t="s">
        <v>449</v>
      </c>
      <c r="D85" s="8" t="s">
        <v>450</v>
      </c>
      <c r="E85" s="4" t="s">
        <v>451</v>
      </c>
      <c r="F85" s="4" t="s">
        <v>452</v>
      </c>
      <c r="G85" s="4" t="s">
        <v>54</v>
      </c>
      <c r="H85" s="4" t="s">
        <v>20</v>
      </c>
      <c r="I85" s="4" t="s">
        <v>453</v>
      </c>
    </row>
    <row r="86">
      <c r="A86" s="7">
        <v>45580.585208449076</v>
      </c>
      <c r="B86" s="4" t="s">
        <v>454</v>
      </c>
      <c r="C86" s="4" t="s">
        <v>455</v>
      </c>
      <c r="D86" s="8" t="s">
        <v>456</v>
      </c>
      <c r="E86" s="4" t="s">
        <v>457</v>
      </c>
      <c r="F86" s="4" t="s">
        <v>458</v>
      </c>
      <c r="G86" s="4" t="s">
        <v>19</v>
      </c>
      <c r="H86" s="4" t="s">
        <v>20</v>
      </c>
      <c r="I86" s="4" t="s">
        <v>180</v>
      </c>
    </row>
    <row r="87">
      <c r="A87" s="7">
        <v>45580.5854624537</v>
      </c>
      <c r="B87" s="4" t="s">
        <v>459</v>
      </c>
      <c r="C87" s="4" t="s">
        <v>449</v>
      </c>
      <c r="D87" s="8" t="s">
        <v>450</v>
      </c>
      <c r="E87" s="4" t="s">
        <v>78</v>
      </c>
      <c r="F87" s="4" t="s">
        <v>460</v>
      </c>
      <c r="G87" s="4" t="s">
        <v>54</v>
      </c>
      <c r="H87" s="4" t="s">
        <v>20</v>
      </c>
      <c r="I87" s="4" t="s">
        <v>461</v>
      </c>
    </row>
    <row r="88">
      <c r="A88" s="7">
        <v>45580.58769320602</v>
      </c>
      <c r="B88" s="4" t="s">
        <v>462</v>
      </c>
      <c r="C88" s="4" t="s">
        <v>463</v>
      </c>
      <c r="D88" s="8" t="s">
        <v>464</v>
      </c>
      <c r="E88" s="4" t="s">
        <v>113</v>
      </c>
      <c r="F88" s="4" t="s">
        <v>465</v>
      </c>
      <c r="G88" s="4" t="s">
        <v>32</v>
      </c>
      <c r="H88" s="4" t="s">
        <v>20</v>
      </c>
      <c r="I88" s="4" t="s">
        <v>42</v>
      </c>
    </row>
    <row r="89">
      <c r="A89" s="7">
        <v>45580.590163298606</v>
      </c>
      <c r="B89" s="4" t="s">
        <v>466</v>
      </c>
      <c r="C89" s="4" t="s">
        <v>467</v>
      </c>
      <c r="D89" s="4" t="s">
        <v>468</v>
      </c>
      <c r="E89" s="4" t="s">
        <v>313</v>
      </c>
      <c r="F89" s="4" t="s">
        <v>469</v>
      </c>
      <c r="G89" s="4" t="s">
        <v>251</v>
      </c>
      <c r="H89" s="4" t="s">
        <v>20</v>
      </c>
      <c r="I89" s="4" t="s">
        <v>471</v>
      </c>
    </row>
    <row r="90">
      <c r="A90" s="7">
        <v>45580.59199082176</v>
      </c>
      <c r="B90" s="4" t="s">
        <v>472</v>
      </c>
      <c r="C90" s="4" t="s">
        <v>473</v>
      </c>
      <c r="D90" s="8" t="s">
        <v>474</v>
      </c>
      <c r="E90" s="4" t="s">
        <v>17</v>
      </c>
      <c r="F90" s="4" t="s">
        <v>475</v>
      </c>
      <c r="G90" s="4" t="s">
        <v>19</v>
      </c>
      <c r="H90" s="4" t="s">
        <v>20</v>
      </c>
      <c r="I90" s="4" t="s">
        <v>131</v>
      </c>
    </row>
    <row r="91">
      <c r="A91" s="7">
        <v>45580.59360407408</v>
      </c>
      <c r="B91" s="4" t="s">
        <v>476</v>
      </c>
      <c r="C91" s="4" t="s">
        <v>477</v>
      </c>
      <c r="D91" s="4" t="s">
        <v>468</v>
      </c>
      <c r="E91" s="4" t="s">
        <v>313</v>
      </c>
      <c r="F91" s="4" t="s">
        <v>478</v>
      </c>
      <c r="G91" s="4" t="s">
        <v>251</v>
      </c>
      <c r="H91" s="4" t="s">
        <v>20</v>
      </c>
      <c r="I91" s="4" t="s">
        <v>479</v>
      </c>
    </row>
    <row r="92">
      <c r="A92" s="7">
        <v>45580.59473335648</v>
      </c>
      <c r="B92" s="4" t="s">
        <v>480</v>
      </c>
      <c r="C92" s="4" t="s">
        <v>481</v>
      </c>
      <c r="D92" s="8" t="s">
        <v>99</v>
      </c>
      <c r="E92" s="4" t="s">
        <v>100</v>
      </c>
      <c r="F92" s="4" t="s">
        <v>483</v>
      </c>
      <c r="G92" s="4" t="s">
        <v>32</v>
      </c>
      <c r="H92" s="4" t="s">
        <v>20</v>
      </c>
      <c r="I92" s="4" t="s">
        <v>484</v>
      </c>
    </row>
    <row r="93">
      <c r="A93" s="7">
        <v>45580.596932650464</v>
      </c>
      <c r="B93" s="4" t="s">
        <v>485</v>
      </c>
      <c r="C93" s="4" t="s">
        <v>486</v>
      </c>
      <c r="D93" s="4" t="s">
        <v>468</v>
      </c>
      <c r="E93" s="4" t="s">
        <v>487</v>
      </c>
      <c r="F93" s="4" t="s">
        <v>488</v>
      </c>
      <c r="G93" s="4" t="s">
        <v>251</v>
      </c>
      <c r="H93" s="4" t="s">
        <v>20</v>
      </c>
      <c r="I93" s="4" t="s">
        <v>489</v>
      </c>
    </row>
    <row r="94">
      <c r="A94" s="7">
        <v>45580.60010206018</v>
      </c>
      <c r="B94" s="4" t="s">
        <v>490</v>
      </c>
      <c r="C94" s="4" t="s">
        <v>491</v>
      </c>
      <c r="D94" s="8" t="s">
        <v>492</v>
      </c>
      <c r="E94" s="4" t="s">
        <v>345</v>
      </c>
      <c r="F94" s="4" t="s">
        <v>493</v>
      </c>
      <c r="G94" s="4" t="s">
        <v>54</v>
      </c>
      <c r="H94" s="4" t="s">
        <v>20</v>
      </c>
      <c r="I94" s="4" t="s">
        <v>494</v>
      </c>
    </row>
    <row r="95">
      <c r="A95" s="7">
        <v>45580.604247650466</v>
      </c>
      <c r="B95" s="4" t="s">
        <v>495</v>
      </c>
      <c r="C95" s="4" t="s">
        <v>496</v>
      </c>
      <c r="D95" s="8" t="s">
        <v>497</v>
      </c>
      <c r="E95" s="4" t="s">
        <v>113</v>
      </c>
      <c r="F95" s="4" t="s">
        <v>498</v>
      </c>
      <c r="G95" s="4" t="s">
        <v>32</v>
      </c>
      <c r="H95" s="4" t="s">
        <v>20</v>
      </c>
      <c r="I95" s="4" t="s">
        <v>499</v>
      </c>
    </row>
    <row r="96">
      <c r="A96" s="7">
        <v>45580.60850206019</v>
      </c>
      <c r="B96" s="4" t="s">
        <v>500</v>
      </c>
      <c r="C96" s="4" t="s">
        <v>501</v>
      </c>
      <c r="D96" s="8" t="s">
        <v>502</v>
      </c>
      <c r="E96" s="4" t="s">
        <v>173</v>
      </c>
      <c r="F96" s="4" t="s">
        <v>503</v>
      </c>
      <c r="G96" s="4" t="s">
        <v>41</v>
      </c>
      <c r="H96" s="4" t="s">
        <v>20</v>
      </c>
      <c r="I96" s="4" t="s">
        <v>440</v>
      </c>
    </row>
    <row r="97">
      <c r="A97" s="7">
        <v>45580.61031559028</v>
      </c>
      <c r="B97" s="4" t="s">
        <v>504</v>
      </c>
      <c r="C97" s="4" t="s">
        <v>505</v>
      </c>
      <c r="D97" s="8" t="s">
        <v>506</v>
      </c>
      <c r="E97" s="4" t="s">
        <v>507</v>
      </c>
      <c r="F97" s="4" t="s">
        <v>508</v>
      </c>
      <c r="G97" s="4" t="s">
        <v>19</v>
      </c>
      <c r="H97" s="4" t="s">
        <v>20</v>
      </c>
      <c r="I97" s="4" t="s">
        <v>356</v>
      </c>
    </row>
    <row r="98">
      <c r="A98" s="7">
        <v>45580.61462719907</v>
      </c>
      <c r="B98" s="4" t="s">
        <v>509</v>
      </c>
      <c r="C98" s="4" t="s">
        <v>510</v>
      </c>
      <c r="D98" s="8" t="s">
        <v>511</v>
      </c>
      <c r="E98" s="4" t="s">
        <v>404</v>
      </c>
      <c r="F98" s="4" t="s">
        <v>512</v>
      </c>
      <c r="G98" s="4" t="s">
        <v>251</v>
      </c>
      <c r="H98" s="4" t="s">
        <v>20</v>
      </c>
      <c r="I98" s="4" t="s">
        <v>513</v>
      </c>
    </row>
    <row r="99">
      <c r="A99" s="7">
        <v>45580.6185305324</v>
      </c>
      <c r="B99" s="4" t="s">
        <v>514</v>
      </c>
      <c r="C99" s="4" t="s">
        <v>515</v>
      </c>
      <c r="D99" s="8" t="s">
        <v>516</v>
      </c>
      <c r="E99" s="4" t="s">
        <v>517</v>
      </c>
      <c r="F99" s="4" t="s">
        <v>518</v>
      </c>
      <c r="G99" s="4" t="s">
        <v>54</v>
      </c>
      <c r="H99" s="4" t="s">
        <v>20</v>
      </c>
      <c r="I99" s="4" t="s">
        <v>519</v>
      </c>
    </row>
    <row r="100">
      <c r="A100" s="7">
        <v>45580.62490565972</v>
      </c>
      <c r="B100" s="4" t="s">
        <v>520</v>
      </c>
      <c r="C100" s="4" t="s">
        <v>521</v>
      </c>
      <c r="D100" s="8" t="s">
        <v>522</v>
      </c>
      <c r="E100" s="4" t="s">
        <v>404</v>
      </c>
      <c r="F100" s="4" t="s">
        <v>523</v>
      </c>
      <c r="G100" s="4" t="s">
        <v>251</v>
      </c>
      <c r="H100" s="4" t="s">
        <v>20</v>
      </c>
      <c r="I100" s="4" t="s">
        <v>524</v>
      </c>
    </row>
    <row r="101">
      <c r="A101" s="7">
        <v>45580.63203491898</v>
      </c>
      <c r="B101" s="4" t="s">
        <v>525</v>
      </c>
      <c r="C101" s="4" t="s">
        <v>526</v>
      </c>
      <c r="D101" s="4" t="s">
        <v>527</v>
      </c>
      <c r="E101" s="4" t="s">
        <v>528</v>
      </c>
      <c r="F101" s="4" t="s">
        <v>529</v>
      </c>
      <c r="G101" s="4" t="s">
        <v>32</v>
      </c>
      <c r="H101" s="4" t="s">
        <v>20</v>
      </c>
      <c r="I101" s="4" t="s">
        <v>530</v>
      </c>
    </row>
    <row r="102">
      <c r="A102" s="7">
        <v>45580.63240973379</v>
      </c>
      <c r="B102" s="4" t="s">
        <v>531</v>
      </c>
      <c r="C102" s="4" t="s">
        <v>532</v>
      </c>
      <c r="D102" s="8" t="s">
        <v>533</v>
      </c>
      <c r="E102" s="4" t="s">
        <v>313</v>
      </c>
      <c r="F102" s="4" t="s">
        <v>534</v>
      </c>
      <c r="G102" s="4" t="s">
        <v>251</v>
      </c>
      <c r="H102" s="4" t="s">
        <v>20</v>
      </c>
      <c r="I102" s="4" t="s">
        <v>535</v>
      </c>
    </row>
    <row r="103">
      <c r="A103" s="7">
        <v>45580.63431175926</v>
      </c>
      <c r="B103" s="4" t="s">
        <v>536</v>
      </c>
      <c r="C103" s="4" t="s">
        <v>537</v>
      </c>
      <c r="D103" s="8" t="s">
        <v>533</v>
      </c>
      <c r="E103" s="4" t="s">
        <v>538</v>
      </c>
      <c r="F103" s="4" t="s">
        <v>539</v>
      </c>
      <c r="G103" s="4" t="s">
        <v>251</v>
      </c>
      <c r="H103" s="4" t="s">
        <v>20</v>
      </c>
      <c r="I103" s="4" t="s">
        <v>540</v>
      </c>
    </row>
    <row r="104">
      <c r="A104" s="7">
        <v>45580.63574103009</v>
      </c>
      <c r="B104" s="4" t="s">
        <v>541</v>
      </c>
      <c r="C104" s="4" t="s">
        <v>542</v>
      </c>
      <c r="D104" s="8" t="s">
        <v>533</v>
      </c>
      <c r="E104" s="4" t="s">
        <v>284</v>
      </c>
      <c r="F104" s="4" t="s">
        <v>543</v>
      </c>
      <c r="G104" s="4" t="s">
        <v>251</v>
      </c>
      <c r="H104" s="4" t="s">
        <v>20</v>
      </c>
      <c r="I104" s="4" t="s">
        <v>544</v>
      </c>
    </row>
    <row r="105">
      <c r="A105" s="7">
        <v>45580.64101980324</v>
      </c>
      <c r="B105" s="4" t="s">
        <v>545</v>
      </c>
      <c r="C105" s="4" t="s">
        <v>546</v>
      </c>
      <c r="D105" s="8" t="s">
        <v>547</v>
      </c>
      <c r="E105" s="4" t="s">
        <v>548</v>
      </c>
      <c r="F105" s="4" t="s">
        <v>549</v>
      </c>
      <c r="G105" s="4" t="s">
        <v>19</v>
      </c>
      <c r="H105" s="4" t="s">
        <v>20</v>
      </c>
      <c r="I105" s="4" t="s">
        <v>550</v>
      </c>
    </row>
    <row r="106">
      <c r="A106" s="7">
        <v>45580.64728799769</v>
      </c>
      <c r="B106" s="4" t="s">
        <v>551</v>
      </c>
      <c r="C106" s="4" t="s">
        <v>552</v>
      </c>
      <c r="D106" s="8" t="s">
        <v>553</v>
      </c>
      <c r="E106" s="4" t="s">
        <v>201</v>
      </c>
      <c r="F106" s="4" t="s">
        <v>554</v>
      </c>
      <c r="G106" s="4" t="s">
        <v>32</v>
      </c>
      <c r="H106" s="4" t="s">
        <v>20</v>
      </c>
      <c r="I106" s="4" t="s">
        <v>555</v>
      </c>
    </row>
    <row r="107">
      <c r="A107" s="7">
        <v>45581.38195368055</v>
      </c>
      <c r="B107" s="4" t="s">
        <v>556</v>
      </c>
      <c r="C107" s="4" t="s">
        <v>557</v>
      </c>
      <c r="D107" s="8" t="s">
        <v>558</v>
      </c>
      <c r="E107" s="4" t="s">
        <v>559</v>
      </c>
      <c r="F107" s="4" t="s">
        <v>560</v>
      </c>
      <c r="G107" s="4" t="s">
        <v>32</v>
      </c>
      <c r="H107" s="4" t="s">
        <v>20</v>
      </c>
      <c r="I107" s="4" t="s">
        <v>181</v>
      </c>
    </row>
    <row r="108">
      <c r="A108" s="7">
        <v>45581.38880053241</v>
      </c>
      <c r="B108" s="4" t="s">
        <v>561</v>
      </c>
      <c r="C108" s="4" t="s">
        <v>562</v>
      </c>
      <c r="D108" s="4" t="s">
        <v>563</v>
      </c>
      <c r="E108" s="4" t="s">
        <v>313</v>
      </c>
      <c r="F108" s="4" t="s">
        <v>564</v>
      </c>
      <c r="G108" s="4" t="s">
        <v>251</v>
      </c>
      <c r="H108" s="4" t="s">
        <v>20</v>
      </c>
      <c r="I108" s="4" t="s">
        <v>565</v>
      </c>
    </row>
    <row r="109">
      <c r="A109" s="7">
        <v>45581.3905655787</v>
      </c>
      <c r="B109" s="4" t="s">
        <v>566</v>
      </c>
      <c r="C109" s="4" t="s">
        <v>567</v>
      </c>
      <c r="D109" s="4" t="s">
        <v>563</v>
      </c>
      <c r="E109" s="4" t="s">
        <v>313</v>
      </c>
      <c r="F109" s="4" t="s">
        <v>568</v>
      </c>
      <c r="G109" s="4" t="s">
        <v>251</v>
      </c>
      <c r="H109" s="4" t="s">
        <v>20</v>
      </c>
      <c r="I109" s="4" t="s">
        <v>315</v>
      </c>
    </row>
    <row r="110">
      <c r="A110" s="7">
        <v>45581.39905273148</v>
      </c>
      <c r="B110" s="4" t="s">
        <v>148</v>
      </c>
      <c r="C110" s="4" t="s">
        <v>149</v>
      </c>
      <c r="D110" s="8" t="s">
        <v>150</v>
      </c>
      <c r="E110" s="4" t="s">
        <v>113</v>
      </c>
      <c r="F110" s="4" t="s">
        <v>569</v>
      </c>
      <c r="G110" s="4" t="s">
        <v>32</v>
      </c>
      <c r="H110" s="4" t="s">
        <v>570</v>
      </c>
      <c r="I110" s="4" t="s">
        <v>152</v>
      </c>
    </row>
    <row r="111">
      <c r="A111" s="7">
        <v>45581.3995169213</v>
      </c>
      <c r="B111" s="4" t="s">
        <v>571</v>
      </c>
      <c r="C111" s="4" t="s">
        <v>572</v>
      </c>
      <c r="D111" s="8" t="s">
        <v>573</v>
      </c>
      <c r="E111" s="4" t="s">
        <v>574</v>
      </c>
      <c r="F111" s="4" t="s">
        <v>575</v>
      </c>
      <c r="G111" s="4" t="s">
        <v>41</v>
      </c>
      <c r="H111" s="4" t="s">
        <v>20</v>
      </c>
      <c r="I111" s="4" t="s">
        <v>115</v>
      </c>
    </row>
    <row r="112">
      <c r="A112" s="7">
        <v>45581.40296290509</v>
      </c>
      <c r="B112" s="4" t="s">
        <v>576</v>
      </c>
      <c r="C112" s="4" t="s">
        <v>577</v>
      </c>
      <c r="D112" s="4" t="s">
        <v>339</v>
      </c>
      <c r="E112" s="4" t="s">
        <v>313</v>
      </c>
      <c r="F112" s="4" t="s">
        <v>578</v>
      </c>
      <c r="G112" s="4" t="s">
        <v>251</v>
      </c>
      <c r="H112" s="4" t="s">
        <v>20</v>
      </c>
      <c r="I112" s="4" t="s">
        <v>579</v>
      </c>
    </row>
    <row r="113">
      <c r="A113" s="7">
        <v>45581.4054884375</v>
      </c>
      <c r="B113" s="4" t="s">
        <v>580</v>
      </c>
      <c r="C113" s="4" t="s">
        <v>581</v>
      </c>
      <c r="D113" s="8" t="s">
        <v>582</v>
      </c>
      <c r="E113" s="4" t="s">
        <v>583</v>
      </c>
      <c r="F113" s="4" t="s">
        <v>584</v>
      </c>
      <c r="G113" s="4" t="s">
        <v>54</v>
      </c>
      <c r="H113" s="4" t="s">
        <v>20</v>
      </c>
      <c r="I113" s="4" t="s">
        <v>585</v>
      </c>
    </row>
    <row r="114">
      <c r="A114" s="7">
        <v>45581.40765490741</v>
      </c>
      <c r="B114" s="4" t="s">
        <v>586</v>
      </c>
      <c r="C114" s="4" t="s">
        <v>581</v>
      </c>
      <c r="D114" s="8" t="s">
        <v>582</v>
      </c>
      <c r="E114" s="4" t="s">
        <v>583</v>
      </c>
      <c r="F114" s="4" t="s">
        <v>588</v>
      </c>
      <c r="G114" s="4" t="s">
        <v>54</v>
      </c>
      <c r="H114" s="4" t="s">
        <v>20</v>
      </c>
      <c r="I114" s="4" t="s">
        <v>550</v>
      </c>
    </row>
    <row r="115">
      <c r="A115" s="7">
        <v>45581.417020023146</v>
      </c>
      <c r="B115" s="4" t="s">
        <v>589</v>
      </c>
      <c r="C115" s="4" t="s">
        <v>590</v>
      </c>
      <c r="D115" s="8" t="s">
        <v>591</v>
      </c>
      <c r="E115" s="4" t="s">
        <v>173</v>
      </c>
      <c r="F115" s="4" t="s">
        <v>592</v>
      </c>
      <c r="G115" s="4" t="s">
        <v>41</v>
      </c>
      <c r="H115" s="4" t="s">
        <v>20</v>
      </c>
      <c r="I115" s="4" t="s">
        <v>593</v>
      </c>
    </row>
    <row r="116">
      <c r="A116" s="7">
        <v>45581.430449618056</v>
      </c>
      <c r="B116" s="4" t="s">
        <v>594</v>
      </c>
      <c r="C116" s="4" t="s">
        <v>596</v>
      </c>
      <c r="D116" s="8" t="s">
        <v>597</v>
      </c>
      <c r="E116" s="4" t="s">
        <v>598</v>
      </c>
      <c r="F116" s="4" t="s">
        <v>599</v>
      </c>
      <c r="G116" s="4" t="s">
        <v>54</v>
      </c>
      <c r="H116" s="4" t="s">
        <v>20</v>
      </c>
      <c r="I116" s="4" t="s">
        <v>600</v>
      </c>
    </row>
    <row r="117">
      <c r="A117" s="7">
        <v>45581.435807800925</v>
      </c>
      <c r="B117" s="4" t="s">
        <v>601</v>
      </c>
      <c r="C117" s="4" t="s">
        <v>602</v>
      </c>
      <c r="D117" s="8" t="s">
        <v>83</v>
      </c>
      <c r="E117" s="4" t="s">
        <v>113</v>
      </c>
      <c r="F117" s="4" t="s">
        <v>603</v>
      </c>
      <c r="G117" s="4" t="s">
        <v>32</v>
      </c>
      <c r="H117" s="4" t="s">
        <v>20</v>
      </c>
      <c r="I117" s="4" t="s">
        <v>139</v>
      </c>
    </row>
    <row r="118">
      <c r="A118" s="7">
        <v>45581.43662146991</v>
      </c>
      <c r="B118" s="4" t="s">
        <v>604</v>
      </c>
      <c r="C118" s="4" t="s">
        <v>605</v>
      </c>
      <c r="D118" s="8" t="s">
        <v>83</v>
      </c>
      <c r="E118" s="4" t="s">
        <v>606</v>
      </c>
      <c r="F118" s="4" t="s">
        <v>607</v>
      </c>
      <c r="G118" s="4" t="s">
        <v>32</v>
      </c>
      <c r="H118" s="4" t="s">
        <v>20</v>
      </c>
      <c r="I118" s="4" t="s">
        <v>139</v>
      </c>
    </row>
    <row r="119">
      <c r="A119" s="7">
        <v>45581.43738870371</v>
      </c>
      <c r="B119" s="4" t="s">
        <v>608</v>
      </c>
      <c r="C119" s="4" t="s">
        <v>609</v>
      </c>
      <c r="D119" s="8" t="s">
        <v>83</v>
      </c>
      <c r="E119" s="4" t="s">
        <v>113</v>
      </c>
      <c r="F119" s="4" t="s">
        <v>610</v>
      </c>
      <c r="G119" s="4" t="s">
        <v>32</v>
      </c>
      <c r="H119" s="4" t="s">
        <v>20</v>
      </c>
      <c r="I119" s="4" t="s">
        <v>139</v>
      </c>
    </row>
    <row r="120">
      <c r="A120" s="7">
        <v>45581.43797126158</v>
      </c>
      <c r="B120" s="4" t="s">
        <v>611</v>
      </c>
      <c r="C120" s="4" t="s">
        <v>612</v>
      </c>
      <c r="D120" s="4" t="s">
        <v>613</v>
      </c>
      <c r="E120" s="4" t="s">
        <v>313</v>
      </c>
      <c r="F120" s="4" t="s">
        <v>614</v>
      </c>
      <c r="G120" s="4" t="s">
        <v>251</v>
      </c>
      <c r="H120" s="4" t="s">
        <v>20</v>
      </c>
      <c r="I120" s="4" t="s">
        <v>615</v>
      </c>
    </row>
    <row r="121">
      <c r="A121" s="7">
        <v>45581.440413206015</v>
      </c>
      <c r="B121" s="4" t="s">
        <v>616</v>
      </c>
      <c r="C121" s="4" t="s">
        <v>617</v>
      </c>
      <c r="D121" s="4" t="s">
        <v>613</v>
      </c>
      <c r="E121" s="4" t="s">
        <v>313</v>
      </c>
      <c r="F121" s="4" t="s">
        <v>619</v>
      </c>
      <c r="G121" s="4" t="s">
        <v>251</v>
      </c>
      <c r="H121" s="4" t="s">
        <v>20</v>
      </c>
      <c r="I121" s="4" t="s">
        <v>620</v>
      </c>
    </row>
    <row r="122">
      <c r="A122" s="7">
        <v>45581.44720471065</v>
      </c>
      <c r="B122" s="4" t="s">
        <v>621</v>
      </c>
      <c r="C122" s="4" t="s">
        <v>622</v>
      </c>
      <c r="D122" s="8" t="s">
        <v>623</v>
      </c>
      <c r="E122" s="4" t="s">
        <v>137</v>
      </c>
      <c r="F122" s="4" t="s">
        <v>624</v>
      </c>
      <c r="G122" s="4" t="s">
        <v>54</v>
      </c>
      <c r="H122" s="4" t="s">
        <v>20</v>
      </c>
      <c r="I122" s="4" t="s">
        <v>625</v>
      </c>
    </row>
    <row r="123">
      <c r="A123" s="7">
        <v>45581.450085289354</v>
      </c>
      <c r="B123" s="4" t="s">
        <v>626</v>
      </c>
      <c r="C123" s="4" t="s">
        <v>627</v>
      </c>
      <c r="D123" s="8" t="s">
        <v>628</v>
      </c>
      <c r="E123" s="4" t="s">
        <v>17</v>
      </c>
      <c r="F123" s="4" t="s">
        <v>629</v>
      </c>
      <c r="G123" s="4" t="s">
        <v>41</v>
      </c>
      <c r="H123" s="4" t="s">
        <v>20</v>
      </c>
      <c r="I123" s="4" t="s">
        <v>91</v>
      </c>
    </row>
    <row r="124">
      <c r="A124" s="7">
        <v>45581.471058888885</v>
      </c>
      <c r="B124" s="4" t="s">
        <v>630</v>
      </c>
      <c r="C124" s="4" t="s">
        <v>631</v>
      </c>
      <c r="D124" s="8" t="s">
        <v>632</v>
      </c>
      <c r="E124" s="4" t="s">
        <v>263</v>
      </c>
      <c r="F124" s="4" t="s">
        <v>633</v>
      </c>
      <c r="G124" s="4" t="s">
        <v>54</v>
      </c>
      <c r="H124" s="4" t="s">
        <v>20</v>
      </c>
      <c r="I124" s="4" t="s">
        <v>115</v>
      </c>
    </row>
    <row r="125">
      <c r="A125" s="7">
        <v>45581.47877324074</v>
      </c>
      <c r="B125" s="4" t="s">
        <v>635</v>
      </c>
      <c r="C125" s="4" t="s">
        <v>636</v>
      </c>
      <c r="D125" s="8" t="s">
        <v>637</v>
      </c>
      <c r="E125" s="4" t="s">
        <v>638</v>
      </c>
      <c r="F125" s="4" t="s">
        <v>639</v>
      </c>
      <c r="G125" s="4" t="s">
        <v>54</v>
      </c>
      <c r="H125" s="4" t="s">
        <v>20</v>
      </c>
      <c r="I125" s="4" t="s">
        <v>640</v>
      </c>
    </row>
    <row r="126">
      <c r="A126" s="7">
        <v>45581.47973150463</v>
      </c>
      <c r="B126" s="4" t="s">
        <v>641</v>
      </c>
      <c r="C126" s="4" t="s">
        <v>642</v>
      </c>
      <c r="D126" s="8" t="s">
        <v>643</v>
      </c>
      <c r="E126" s="4" t="s">
        <v>644</v>
      </c>
      <c r="F126" s="4" t="s">
        <v>645</v>
      </c>
      <c r="G126" s="4" t="s">
        <v>19</v>
      </c>
      <c r="H126" s="4" t="s">
        <v>20</v>
      </c>
      <c r="I126" s="4" t="s">
        <v>258</v>
      </c>
    </row>
    <row r="127">
      <c r="A127" s="7">
        <v>45581.482823541664</v>
      </c>
      <c r="B127" s="4" t="s">
        <v>646</v>
      </c>
      <c r="C127" s="4" t="s">
        <v>647</v>
      </c>
      <c r="D127" s="8" t="s">
        <v>648</v>
      </c>
      <c r="E127" s="4" t="s">
        <v>559</v>
      </c>
      <c r="F127" s="4" t="s">
        <v>649</v>
      </c>
      <c r="G127" s="4" t="s">
        <v>32</v>
      </c>
      <c r="H127" s="4" t="s">
        <v>20</v>
      </c>
      <c r="I127" s="4" t="s">
        <v>385</v>
      </c>
    </row>
    <row r="128">
      <c r="A128" s="7">
        <v>45581.486140787034</v>
      </c>
      <c r="B128" s="4" t="s">
        <v>650</v>
      </c>
      <c r="C128" s="4" t="s">
        <v>651</v>
      </c>
      <c r="D128" s="8" t="s">
        <v>652</v>
      </c>
      <c r="E128" s="4" t="s">
        <v>653</v>
      </c>
      <c r="F128" s="4" t="s">
        <v>654</v>
      </c>
      <c r="G128" s="4" t="s">
        <v>251</v>
      </c>
      <c r="H128" s="4" t="s">
        <v>20</v>
      </c>
      <c r="I128" s="4" t="s">
        <v>655</v>
      </c>
    </row>
    <row r="129">
      <c r="A129" s="7">
        <v>45581.56868027778</v>
      </c>
      <c r="B129" s="4" t="s">
        <v>656</v>
      </c>
      <c r="C129" s="4" t="s">
        <v>657</v>
      </c>
      <c r="D129" s="8" t="s">
        <v>658</v>
      </c>
      <c r="E129" s="4" t="s">
        <v>345</v>
      </c>
      <c r="F129" s="4" t="s">
        <v>659</v>
      </c>
      <c r="G129" s="4" t="s">
        <v>54</v>
      </c>
      <c r="H129" s="4" t="s">
        <v>20</v>
      </c>
      <c r="I129" s="4" t="s">
        <v>396</v>
      </c>
    </row>
    <row r="130">
      <c r="A130" s="7">
        <v>45581.5698384375</v>
      </c>
      <c r="B130" s="4" t="s">
        <v>660</v>
      </c>
      <c r="C130" s="4" t="s">
        <v>661</v>
      </c>
      <c r="D130" s="4" t="s">
        <v>31</v>
      </c>
      <c r="E130" s="4" t="s">
        <v>662</v>
      </c>
      <c r="F130" s="4" t="s">
        <v>31</v>
      </c>
      <c r="G130" s="4" t="s">
        <v>19</v>
      </c>
      <c r="H130" s="4" t="s">
        <v>20</v>
      </c>
      <c r="I130" s="4" t="s">
        <v>272</v>
      </c>
    </row>
    <row r="131">
      <c r="A131" s="7">
        <v>45581.570522696755</v>
      </c>
      <c r="B131" s="4" t="s">
        <v>663</v>
      </c>
      <c r="C131" s="4" t="s">
        <v>664</v>
      </c>
      <c r="D131" s="4" t="s">
        <v>665</v>
      </c>
      <c r="E131" s="4" t="s">
        <v>666</v>
      </c>
      <c r="F131" s="4" t="s">
        <v>667</v>
      </c>
      <c r="G131" s="4" t="s">
        <v>251</v>
      </c>
      <c r="H131" s="4" t="s">
        <v>20</v>
      </c>
      <c r="I131" s="4" t="s">
        <v>668</v>
      </c>
    </row>
    <row r="132">
      <c r="A132" s="7">
        <v>45581.570660937505</v>
      </c>
      <c r="B132" s="4" t="s">
        <v>669</v>
      </c>
      <c r="C132" s="4" t="s">
        <v>670</v>
      </c>
      <c r="D132" s="8" t="s">
        <v>671</v>
      </c>
      <c r="E132" s="4" t="s">
        <v>345</v>
      </c>
      <c r="F132" s="4" t="s">
        <v>672</v>
      </c>
      <c r="G132" s="4" t="s">
        <v>54</v>
      </c>
      <c r="H132" s="4" t="s">
        <v>20</v>
      </c>
      <c r="I132" s="4" t="s">
        <v>347</v>
      </c>
    </row>
    <row r="133">
      <c r="A133" s="7">
        <v>45581.57970383102</v>
      </c>
      <c r="B133" s="4" t="s">
        <v>673</v>
      </c>
      <c r="C133" s="4" t="s">
        <v>674</v>
      </c>
      <c r="D133" s="4" t="s">
        <v>468</v>
      </c>
      <c r="E133" s="4" t="s">
        <v>313</v>
      </c>
      <c r="F133" s="4" t="s">
        <v>675</v>
      </c>
      <c r="G133" s="4" t="s">
        <v>251</v>
      </c>
      <c r="H133" s="4" t="s">
        <v>20</v>
      </c>
      <c r="I133" s="4" t="s">
        <v>676</v>
      </c>
    </row>
    <row r="134">
      <c r="A134" s="7">
        <v>45581.58029027778</v>
      </c>
      <c r="B134" s="4" t="s">
        <v>677</v>
      </c>
      <c r="C134" s="4" t="s">
        <v>678</v>
      </c>
      <c r="D134" s="8" t="s">
        <v>679</v>
      </c>
      <c r="E134" s="4" t="s">
        <v>680</v>
      </c>
      <c r="F134" s="4" t="s">
        <v>681</v>
      </c>
      <c r="G134" s="4" t="s">
        <v>54</v>
      </c>
      <c r="H134" s="4" t="s">
        <v>20</v>
      </c>
      <c r="I134" s="4" t="s">
        <v>682</v>
      </c>
    </row>
    <row r="135">
      <c r="A135" s="7">
        <v>45581.58124284723</v>
      </c>
      <c r="B135" s="4" t="s">
        <v>683</v>
      </c>
      <c r="C135" s="4" t="s">
        <v>684</v>
      </c>
      <c r="D135" s="8" t="s">
        <v>679</v>
      </c>
      <c r="E135" s="4" t="s">
        <v>451</v>
      </c>
      <c r="F135" s="4" t="s">
        <v>685</v>
      </c>
      <c r="G135" s="4" t="s">
        <v>54</v>
      </c>
      <c r="H135" s="4" t="s">
        <v>20</v>
      </c>
      <c r="I135" s="4" t="s">
        <v>686</v>
      </c>
    </row>
    <row r="136">
      <c r="A136" s="7">
        <v>45581.602824456015</v>
      </c>
      <c r="B136" s="4" t="s">
        <v>687</v>
      </c>
      <c r="C136" s="4" t="s">
        <v>688</v>
      </c>
      <c r="D136" s="4" t="s">
        <v>468</v>
      </c>
      <c r="E136" s="4" t="s">
        <v>313</v>
      </c>
      <c r="F136" s="4" t="s">
        <v>689</v>
      </c>
      <c r="G136" s="4" t="s">
        <v>251</v>
      </c>
      <c r="H136" s="4" t="s">
        <v>20</v>
      </c>
      <c r="I136" s="4" t="s">
        <v>690</v>
      </c>
    </row>
    <row r="137">
      <c r="A137" s="7">
        <v>45581.58323256944</v>
      </c>
      <c r="B137" s="4" t="s">
        <v>691</v>
      </c>
      <c r="C137" s="4" t="s">
        <v>692</v>
      </c>
      <c r="D137" s="8" t="s">
        <v>693</v>
      </c>
      <c r="E137" s="4" t="s">
        <v>179</v>
      </c>
      <c r="F137" s="4" t="s">
        <v>31</v>
      </c>
      <c r="G137" s="4" t="s">
        <v>19</v>
      </c>
      <c r="H137" s="4" t="s">
        <v>20</v>
      </c>
      <c r="I137" s="4" t="s">
        <v>694</v>
      </c>
    </row>
    <row r="138">
      <c r="A138" s="7">
        <v>45581.58637694444</v>
      </c>
      <c r="B138" s="4" t="s">
        <v>695</v>
      </c>
      <c r="C138" s="4" t="s">
        <v>696</v>
      </c>
      <c r="D138" s="8" t="s">
        <v>697</v>
      </c>
      <c r="E138" s="4" t="s">
        <v>345</v>
      </c>
      <c r="F138" s="4" t="s">
        <v>698</v>
      </c>
      <c r="G138" s="4" t="s">
        <v>54</v>
      </c>
      <c r="H138" s="4" t="s">
        <v>20</v>
      </c>
      <c r="I138" s="4" t="s">
        <v>699</v>
      </c>
    </row>
    <row r="139">
      <c r="A139" s="7">
        <v>45581.58918888889</v>
      </c>
      <c r="B139" s="4" t="s">
        <v>700</v>
      </c>
      <c r="C139" s="4" t="s">
        <v>701</v>
      </c>
      <c r="D139" s="8" t="s">
        <v>702</v>
      </c>
      <c r="E139" s="4" t="s">
        <v>59</v>
      </c>
      <c r="F139" s="4" t="s">
        <v>703</v>
      </c>
      <c r="G139" s="4" t="s">
        <v>41</v>
      </c>
      <c r="H139" s="4" t="s">
        <v>20</v>
      </c>
      <c r="I139" s="4" t="s">
        <v>453</v>
      </c>
    </row>
    <row r="140">
      <c r="A140" s="7">
        <v>45581.58977552083</v>
      </c>
      <c r="B140" s="4" t="s">
        <v>704</v>
      </c>
      <c r="C140" s="4" t="s">
        <v>705</v>
      </c>
      <c r="D140" s="8" t="s">
        <v>697</v>
      </c>
      <c r="E140" s="4" t="s">
        <v>345</v>
      </c>
      <c r="F140" s="4" t="s">
        <v>706</v>
      </c>
      <c r="G140" s="4" t="s">
        <v>54</v>
      </c>
      <c r="H140" s="4" t="s">
        <v>20</v>
      </c>
      <c r="I140" s="4" t="s">
        <v>699</v>
      </c>
    </row>
    <row r="141">
      <c r="A141" s="7">
        <v>45581.59411423611</v>
      </c>
      <c r="B141" s="4" t="s">
        <v>707</v>
      </c>
      <c r="C141" s="4" t="s">
        <v>708</v>
      </c>
      <c r="D141" s="8" t="s">
        <v>709</v>
      </c>
      <c r="E141" s="4" t="s">
        <v>17</v>
      </c>
      <c r="F141" s="4" t="s">
        <v>710</v>
      </c>
      <c r="G141" s="4" t="s">
        <v>32</v>
      </c>
      <c r="H141" s="4" t="s">
        <v>20</v>
      </c>
      <c r="I141" s="4" t="s">
        <v>115</v>
      </c>
    </row>
    <row r="142">
      <c r="A142" s="7">
        <v>45581.60120488426</v>
      </c>
      <c r="B142" s="4" t="s">
        <v>711</v>
      </c>
      <c r="C142" s="4" t="s">
        <v>712</v>
      </c>
      <c r="D142" s="8" t="s">
        <v>713</v>
      </c>
      <c r="E142" s="4" t="s">
        <v>680</v>
      </c>
      <c r="F142" s="4" t="s">
        <v>714</v>
      </c>
      <c r="G142" s="4" t="s">
        <v>54</v>
      </c>
      <c r="H142" s="4" t="s">
        <v>20</v>
      </c>
      <c r="I142" s="4" t="s">
        <v>115</v>
      </c>
    </row>
    <row r="143">
      <c r="A143" s="7">
        <v>45581.603724733795</v>
      </c>
      <c r="B143" s="4" t="s">
        <v>716</v>
      </c>
      <c r="C143" s="4" t="s">
        <v>717</v>
      </c>
      <c r="D143" s="8" t="s">
        <v>718</v>
      </c>
      <c r="E143" s="4" t="s">
        <v>313</v>
      </c>
      <c r="F143" s="4" t="s">
        <v>719</v>
      </c>
      <c r="G143" s="4" t="s">
        <v>251</v>
      </c>
      <c r="H143" s="4" t="s">
        <v>20</v>
      </c>
      <c r="I143" s="4" t="s">
        <v>721</v>
      </c>
    </row>
    <row r="144">
      <c r="A144" s="7">
        <v>45581.60956753472</v>
      </c>
      <c r="B144" s="4" t="s">
        <v>722</v>
      </c>
      <c r="C144" s="4" t="s">
        <v>723</v>
      </c>
      <c r="D144" s="8" t="s">
        <v>724</v>
      </c>
      <c r="E144" s="4" t="s">
        <v>666</v>
      </c>
      <c r="F144" s="4" t="s">
        <v>725</v>
      </c>
      <c r="G144" s="4" t="s">
        <v>251</v>
      </c>
      <c r="H144" s="4" t="s">
        <v>20</v>
      </c>
      <c r="I144" s="4" t="s">
        <v>726</v>
      </c>
    </row>
    <row r="145">
      <c r="A145" s="7">
        <v>45581.61554396991</v>
      </c>
      <c r="B145" s="4" t="s">
        <v>727</v>
      </c>
      <c r="C145" s="4" t="s">
        <v>728</v>
      </c>
      <c r="D145" s="8" t="s">
        <v>450</v>
      </c>
      <c r="E145" s="4" t="s">
        <v>313</v>
      </c>
      <c r="F145" s="4" t="s">
        <v>729</v>
      </c>
      <c r="G145" s="4" t="s">
        <v>54</v>
      </c>
      <c r="H145" s="4" t="s">
        <v>20</v>
      </c>
      <c r="I145" s="4" t="s">
        <v>730</v>
      </c>
    </row>
    <row r="146">
      <c r="A146" s="7">
        <v>45581.616174062496</v>
      </c>
      <c r="B146" s="4" t="s">
        <v>731</v>
      </c>
      <c r="C146" s="4" t="s">
        <v>732</v>
      </c>
      <c r="D146" s="8" t="s">
        <v>733</v>
      </c>
      <c r="E146" s="4" t="s">
        <v>59</v>
      </c>
      <c r="F146" s="4" t="s">
        <v>734</v>
      </c>
      <c r="G146" s="4" t="s">
        <v>32</v>
      </c>
      <c r="H146" s="4" t="s">
        <v>20</v>
      </c>
      <c r="I146" s="4" t="s">
        <v>80</v>
      </c>
    </row>
    <row r="147">
      <c r="A147" s="7">
        <v>45582.40406702546</v>
      </c>
      <c r="B147" s="4" t="s">
        <v>735</v>
      </c>
      <c r="C147" s="4" t="s">
        <v>736</v>
      </c>
      <c r="D147" s="8" t="s">
        <v>737</v>
      </c>
      <c r="E147" s="4" t="s">
        <v>78</v>
      </c>
      <c r="F147" s="4" t="s">
        <v>738</v>
      </c>
      <c r="G147" s="4" t="s">
        <v>32</v>
      </c>
      <c r="H147" s="4" t="s">
        <v>20</v>
      </c>
      <c r="I147" s="4" t="s">
        <v>115</v>
      </c>
    </row>
    <row r="148">
      <c r="A148" s="7">
        <v>45582.40807489584</v>
      </c>
      <c r="B148" s="4" t="s">
        <v>739</v>
      </c>
      <c r="C148" s="4" t="s">
        <v>740</v>
      </c>
      <c r="D148" s="8" t="s">
        <v>741</v>
      </c>
      <c r="E148" s="4" t="s">
        <v>680</v>
      </c>
      <c r="F148" s="4" t="s">
        <v>742</v>
      </c>
      <c r="G148" s="4" t="s">
        <v>54</v>
      </c>
      <c r="H148" s="4" t="s">
        <v>20</v>
      </c>
      <c r="I148" s="4" t="s">
        <v>565</v>
      </c>
    </row>
    <row r="149">
      <c r="A149" s="7">
        <v>45582.4096537963</v>
      </c>
      <c r="B149" s="4" t="s">
        <v>743</v>
      </c>
      <c r="C149" s="4" t="s">
        <v>744</v>
      </c>
      <c r="D149" s="8" t="s">
        <v>745</v>
      </c>
      <c r="E149" s="4" t="s">
        <v>746</v>
      </c>
      <c r="F149" s="4" t="s">
        <v>747</v>
      </c>
      <c r="G149" s="4" t="s">
        <v>19</v>
      </c>
      <c r="H149" s="4" t="s">
        <v>20</v>
      </c>
      <c r="I149" s="4" t="s">
        <v>748</v>
      </c>
    </row>
    <row r="150">
      <c r="A150" s="7">
        <v>45582.419087939816</v>
      </c>
      <c r="B150" s="4" t="s">
        <v>749</v>
      </c>
      <c r="C150" s="4" t="s">
        <v>750</v>
      </c>
      <c r="D150" s="8" t="s">
        <v>211</v>
      </c>
      <c r="E150" s="4" t="s">
        <v>96</v>
      </c>
      <c r="F150" s="4" t="s">
        <v>751</v>
      </c>
      <c r="G150" s="4" t="s">
        <v>32</v>
      </c>
      <c r="H150" s="4" t="s">
        <v>20</v>
      </c>
      <c r="I150" s="4" t="s">
        <v>356</v>
      </c>
    </row>
    <row r="151">
      <c r="A151" s="7">
        <v>45582.42341761574</v>
      </c>
      <c r="B151" s="4" t="s">
        <v>752</v>
      </c>
      <c r="C151" s="4" t="s">
        <v>753</v>
      </c>
      <c r="D151" s="4" t="s">
        <v>373</v>
      </c>
      <c r="E151" s="4" t="s">
        <v>754</v>
      </c>
      <c r="F151" s="4" t="s">
        <v>755</v>
      </c>
      <c r="G151" s="4" t="s">
        <v>251</v>
      </c>
      <c r="H151" s="4" t="s">
        <v>20</v>
      </c>
      <c r="I151" s="4" t="s">
        <v>428</v>
      </c>
    </row>
    <row r="152">
      <c r="A152" s="7">
        <v>45582.423913680555</v>
      </c>
      <c r="B152" s="4" t="s">
        <v>756</v>
      </c>
      <c r="C152" s="4" t="s">
        <v>757</v>
      </c>
      <c r="D152" s="8" t="s">
        <v>758</v>
      </c>
      <c r="E152" s="4" t="s">
        <v>17</v>
      </c>
      <c r="F152" s="4" t="s">
        <v>759</v>
      </c>
      <c r="G152" s="4" t="s">
        <v>41</v>
      </c>
      <c r="H152" s="4" t="s">
        <v>20</v>
      </c>
      <c r="I152" s="4" t="s">
        <v>115</v>
      </c>
    </row>
    <row r="153">
      <c r="A153" s="7">
        <v>45582.43222515046</v>
      </c>
      <c r="B153" s="4" t="s">
        <v>760</v>
      </c>
      <c r="C153" s="4" t="s">
        <v>761</v>
      </c>
      <c r="D153" s="8" t="s">
        <v>762</v>
      </c>
      <c r="E153" s="4" t="s">
        <v>763</v>
      </c>
      <c r="F153" s="4" t="s">
        <v>764</v>
      </c>
      <c r="G153" s="4" t="s">
        <v>251</v>
      </c>
      <c r="H153" s="4" t="s">
        <v>20</v>
      </c>
      <c r="I153" s="4" t="s">
        <v>406</v>
      </c>
    </row>
    <row r="154">
      <c r="A154" s="7">
        <v>45582.43544243056</v>
      </c>
      <c r="B154" s="4" t="s">
        <v>765</v>
      </c>
      <c r="C154" s="4" t="s">
        <v>766</v>
      </c>
      <c r="D154" s="4" t="s">
        <v>767</v>
      </c>
      <c r="E154" s="4" t="s">
        <v>113</v>
      </c>
      <c r="F154" s="4" t="s">
        <v>768</v>
      </c>
      <c r="G154" s="4" t="s">
        <v>32</v>
      </c>
      <c r="H154" s="4" t="s">
        <v>20</v>
      </c>
      <c r="I154" s="4" t="s">
        <v>91</v>
      </c>
    </row>
    <row r="155">
      <c r="A155" s="7">
        <v>45582.44572096065</v>
      </c>
      <c r="B155" s="4" t="s">
        <v>769</v>
      </c>
      <c r="C155" s="4" t="s">
        <v>770</v>
      </c>
      <c r="D155" s="8" t="s">
        <v>403</v>
      </c>
      <c r="E155" s="4" t="s">
        <v>451</v>
      </c>
      <c r="F155" s="4" t="s">
        <v>771</v>
      </c>
      <c r="G155" s="4" t="s">
        <v>54</v>
      </c>
      <c r="H155" s="4" t="s">
        <v>20</v>
      </c>
      <c r="I155" s="4" t="s">
        <v>181</v>
      </c>
    </row>
    <row r="156">
      <c r="A156" s="7">
        <v>45582.45584084491</v>
      </c>
      <c r="B156" s="4" t="s">
        <v>772</v>
      </c>
      <c r="C156" s="4" t="s">
        <v>773</v>
      </c>
      <c r="D156" s="8" t="s">
        <v>403</v>
      </c>
      <c r="E156" s="4" t="s">
        <v>345</v>
      </c>
      <c r="F156" s="4" t="s">
        <v>774</v>
      </c>
      <c r="G156" s="4" t="s">
        <v>54</v>
      </c>
      <c r="H156" s="4" t="s">
        <v>20</v>
      </c>
      <c r="I156" s="4" t="s">
        <v>625</v>
      </c>
    </row>
    <row r="157">
      <c r="A157" s="7">
        <v>45582.45850644676</v>
      </c>
      <c r="B157" s="4" t="s">
        <v>775</v>
      </c>
      <c r="C157" s="4" t="s">
        <v>776</v>
      </c>
      <c r="D157" s="8" t="s">
        <v>777</v>
      </c>
      <c r="E157" s="4" t="s">
        <v>17</v>
      </c>
      <c r="F157" s="4" t="s">
        <v>778</v>
      </c>
      <c r="G157" s="4" t="s">
        <v>19</v>
      </c>
      <c r="H157" s="4" t="s">
        <v>20</v>
      </c>
      <c r="I157" s="4" t="s">
        <v>109</v>
      </c>
    </row>
    <row r="158">
      <c r="A158" s="7">
        <v>45582.45988246528</v>
      </c>
      <c r="B158" s="4" t="s">
        <v>779</v>
      </c>
      <c r="C158" s="4" t="s">
        <v>780</v>
      </c>
      <c r="D158" s="8" t="s">
        <v>403</v>
      </c>
      <c r="E158" s="4" t="s">
        <v>781</v>
      </c>
      <c r="F158" s="4" t="s">
        <v>782</v>
      </c>
      <c r="G158" s="4" t="s">
        <v>54</v>
      </c>
      <c r="H158" s="4" t="s">
        <v>20</v>
      </c>
      <c r="I158" s="4" t="s">
        <v>412</v>
      </c>
    </row>
    <row r="159">
      <c r="A159" s="7">
        <v>45582.46349180555</v>
      </c>
      <c r="B159" s="4" t="s">
        <v>783</v>
      </c>
      <c r="C159" s="4" t="s">
        <v>784</v>
      </c>
      <c r="D159" s="8" t="s">
        <v>403</v>
      </c>
      <c r="E159" s="4" t="s">
        <v>781</v>
      </c>
      <c r="F159" s="4" t="s">
        <v>785</v>
      </c>
      <c r="G159" s="4" t="s">
        <v>54</v>
      </c>
      <c r="H159" s="4" t="s">
        <v>20</v>
      </c>
      <c r="I159" s="4" t="s">
        <v>412</v>
      </c>
    </row>
    <row r="160">
      <c r="A160" s="7">
        <v>45582.467181597225</v>
      </c>
      <c r="B160" s="4" t="s">
        <v>786</v>
      </c>
      <c r="C160" s="4" t="s">
        <v>787</v>
      </c>
      <c r="D160" s="8" t="s">
        <v>403</v>
      </c>
      <c r="E160" s="4" t="s">
        <v>313</v>
      </c>
      <c r="F160" s="4" t="s">
        <v>788</v>
      </c>
      <c r="G160" s="4" t="s">
        <v>54</v>
      </c>
      <c r="H160" s="4" t="s">
        <v>20</v>
      </c>
      <c r="I160" s="4" t="s">
        <v>375</v>
      </c>
    </row>
    <row r="161">
      <c r="A161" s="7">
        <v>45582.481657847224</v>
      </c>
      <c r="B161" s="4" t="s">
        <v>789</v>
      </c>
      <c r="C161" s="4" t="s">
        <v>790</v>
      </c>
      <c r="D161" s="8" t="s">
        <v>791</v>
      </c>
      <c r="E161" s="4" t="s">
        <v>792</v>
      </c>
      <c r="F161" s="4" t="s">
        <v>793</v>
      </c>
      <c r="G161" s="4" t="s">
        <v>32</v>
      </c>
      <c r="H161" s="4" t="s">
        <v>20</v>
      </c>
      <c r="I161" s="4" t="s">
        <v>102</v>
      </c>
    </row>
    <row r="162">
      <c r="A162" s="7">
        <v>45582.48306077546</v>
      </c>
      <c r="B162" s="4" t="s">
        <v>794</v>
      </c>
      <c r="C162" s="4" t="s">
        <v>795</v>
      </c>
      <c r="D162" s="8" t="s">
        <v>124</v>
      </c>
      <c r="E162" s="4" t="s">
        <v>796</v>
      </c>
      <c r="F162" s="4" t="s">
        <v>797</v>
      </c>
      <c r="G162" s="4" t="s">
        <v>251</v>
      </c>
      <c r="H162" s="4" t="s">
        <v>20</v>
      </c>
      <c r="I162" s="4" t="s">
        <v>540</v>
      </c>
    </row>
    <row r="163">
      <c r="A163" s="7">
        <v>45582.48653599537</v>
      </c>
      <c r="B163" s="4" t="s">
        <v>798</v>
      </c>
      <c r="C163" s="4" t="s">
        <v>799</v>
      </c>
      <c r="D163" s="8" t="s">
        <v>800</v>
      </c>
      <c r="E163" s="4" t="s">
        <v>379</v>
      </c>
      <c r="F163" s="4" t="s">
        <v>801</v>
      </c>
      <c r="G163" s="4" t="s">
        <v>251</v>
      </c>
      <c r="H163" s="4" t="s">
        <v>20</v>
      </c>
      <c r="I163" s="4" t="s">
        <v>802</v>
      </c>
    </row>
    <row r="164">
      <c r="A164" s="7">
        <v>45582.48818104167</v>
      </c>
      <c r="B164" s="4" t="s">
        <v>803</v>
      </c>
      <c r="C164" s="4" t="s">
        <v>804</v>
      </c>
      <c r="D164" s="8" t="s">
        <v>805</v>
      </c>
      <c r="E164" s="4" t="s">
        <v>345</v>
      </c>
      <c r="F164" s="4" t="s">
        <v>806</v>
      </c>
      <c r="G164" s="4" t="s">
        <v>54</v>
      </c>
      <c r="H164" s="4" t="s">
        <v>20</v>
      </c>
      <c r="I164" s="4" t="s">
        <v>807</v>
      </c>
    </row>
    <row r="165">
      <c r="A165" s="7">
        <v>45582.49042100694</v>
      </c>
      <c r="B165" s="4" t="s">
        <v>808</v>
      </c>
      <c r="C165" s="4" t="s">
        <v>809</v>
      </c>
      <c r="D165" s="8" t="s">
        <v>810</v>
      </c>
      <c r="E165" s="4" t="s">
        <v>583</v>
      </c>
      <c r="F165" s="4" t="s">
        <v>811</v>
      </c>
      <c r="G165" s="4" t="s">
        <v>32</v>
      </c>
      <c r="H165" s="4" t="s">
        <v>20</v>
      </c>
      <c r="I165" s="4" t="s">
        <v>80</v>
      </c>
    </row>
    <row r="166">
      <c r="A166" s="7">
        <v>45582.4908203125</v>
      </c>
      <c r="B166" s="4" t="s">
        <v>812</v>
      </c>
      <c r="C166" s="4" t="s">
        <v>813</v>
      </c>
      <c r="D166" s="8" t="s">
        <v>305</v>
      </c>
      <c r="E166" s="4" t="s">
        <v>313</v>
      </c>
      <c r="F166" s="4" t="s">
        <v>814</v>
      </c>
      <c r="G166" s="4" t="s">
        <v>54</v>
      </c>
      <c r="H166" s="4" t="s">
        <v>20</v>
      </c>
      <c r="I166" s="4" t="s">
        <v>815</v>
      </c>
    </row>
    <row r="167">
      <c r="A167" s="7">
        <v>45582.491129375005</v>
      </c>
      <c r="B167" s="4" t="s">
        <v>816</v>
      </c>
      <c r="C167" s="4" t="s">
        <v>809</v>
      </c>
      <c r="D167" s="8" t="s">
        <v>810</v>
      </c>
      <c r="E167" s="4" t="s">
        <v>817</v>
      </c>
      <c r="F167" s="4" t="s">
        <v>818</v>
      </c>
      <c r="G167" s="4" t="s">
        <v>32</v>
      </c>
      <c r="H167" s="4" t="s">
        <v>20</v>
      </c>
      <c r="I167" s="4" t="s">
        <v>68</v>
      </c>
    </row>
    <row r="168">
      <c r="A168" s="7">
        <v>45582.49305085649</v>
      </c>
      <c r="B168" s="4" t="s">
        <v>820</v>
      </c>
      <c r="C168" s="4" t="s">
        <v>821</v>
      </c>
      <c r="D168" s="8" t="s">
        <v>822</v>
      </c>
      <c r="E168" s="4" t="s">
        <v>313</v>
      </c>
      <c r="F168" s="4" t="s">
        <v>823</v>
      </c>
      <c r="G168" s="4" t="s">
        <v>251</v>
      </c>
      <c r="H168" s="4" t="s">
        <v>20</v>
      </c>
      <c r="I168" s="4" t="s">
        <v>824</v>
      </c>
    </row>
    <row r="169">
      <c r="A169" s="7">
        <v>45582.55103577547</v>
      </c>
      <c r="B169" s="4" t="s">
        <v>303</v>
      </c>
      <c r="C169" s="4" t="s">
        <v>825</v>
      </c>
      <c r="D169" s="4" t="s">
        <v>826</v>
      </c>
      <c r="E169" s="4" t="s">
        <v>345</v>
      </c>
      <c r="F169" s="4" t="s">
        <v>827</v>
      </c>
      <c r="G169" s="4" t="s">
        <v>54</v>
      </c>
      <c r="H169" s="4" t="s">
        <v>570</v>
      </c>
      <c r="I169" s="4" t="s">
        <v>308</v>
      </c>
    </row>
    <row r="170">
      <c r="A170" s="7">
        <v>45582.558614027774</v>
      </c>
      <c r="B170" s="4" t="s">
        <v>828</v>
      </c>
      <c r="C170" s="4" t="s">
        <v>829</v>
      </c>
      <c r="D170" s="8" t="s">
        <v>830</v>
      </c>
      <c r="E170" s="4" t="s">
        <v>78</v>
      </c>
      <c r="F170" s="4" t="s">
        <v>831</v>
      </c>
      <c r="G170" s="4" t="s">
        <v>19</v>
      </c>
      <c r="H170" s="4" t="s">
        <v>20</v>
      </c>
      <c r="I170" s="4" t="s">
        <v>109</v>
      </c>
    </row>
    <row r="171">
      <c r="A171" s="7">
        <v>45582.56040822917</v>
      </c>
      <c r="B171" s="4" t="s">
        <v>832</v>
      </c>
      <c r="C171" s="4" t="s">
        <v>833</v>
      </c>
      <c r="D171" s="4" t="s">
        <v>834</v>
      </c>
      <c r="E171" s="4" t="s">
        <v>113</v>
      </c>
      <c r="F171" s="4" t="s">
        <v>835</v>
      </c>
      <c r="G171" s="4" t="s">
        <v>32</v>
      </c>
      <c r="H171" s="4" t="s">
        <v>20</v>
      </c>
      <c r="I171" s="4" t="s">
        <v>139</v>
      </c>
    </row>
    <row r="172">
      <c r="A172" s="7">
        <v>45582.56123482639</v>
      </c>
      <c r="B172" s="4" t="s">
        <v>836</v>
      </c>
      <c r="C172" s="4" t="s">
        <v>837</v>
      </c>
      <c r="D172" s="8" t="s">
        <v>312</v>
      </c>
      <c r="E172" s="4" t="s">
        <v>313</v>
      </c>
      <c r="F172" s="4" t="s">
        <v>838</v>
      </c>
      <c r="G172" s="4" t="s">
        <v>251</v>
      </c>
      <c r="H172" s="4" t="s">
        <v>20</v>
      </c>
      <c r="I172" s="4" t="s">
        <v>839</v>
      </c>
    </row>
    <row r="173">
      <c r="A173" s="7">
        <v>45582.56277592592</v>
      </c>
      <c r="B173" s="4" t="s">
        <v>840</v>
      </c>
      <c r="C173" s="4" t="s">
        <v>841</v>
      </c>
      <c r="D173" s="8" t="s">
        <v>312</v>
      </c>
      <c r="E173" s="4" t="s">
        <v>313</v>
      </c>
      <c r="F173" s="4" t="s">
        <v>842</v>
      </c>
      <c r="G173" s="4" t="s">
        <v>251</v>
      </c>
      <c r="H173" s="4" t="s">
        <v>20</v>
      </c>
      <c r="I173" s="4" t="s">
        <v>839</v>
      </c>
    </row>
    <row r="174">
      <c r="A174" s="7">
        <v>45582.56674642361</v>
      </c>
      <c r="B174" s="4" t="s">
        <v>843</v>
      </c>
      <c r="C174" s="4" t="s">
        <v>844</v>
      </c>
      <c r="D174" s="8" t="s">
        <v>845</v>
      </c>
      <c r="E174" s="4" t="s">
        <v>313</v>
      </c>
      <c r="F174" s="4" t="s">
        <v>846</v>
      </c>
      <c r="G174" s="4" t="s">
        <v>251</v>
      </c>
      <c r="H174" s="4" t="s">
        <v>20</v>
      </c>
      <c r="I174" s="4" t="s">
        <v>847</v>
      </c>
    </row>
    <row r="175">
      <c r="A175" s="7">
        <v>45582.56720800926</v>
      </c>
      <c r="B175" s="4" t="s">
        <v>848</v>
      </c>
      <c r="C175" s="4" t="s">
        <v>849</v>
      </c>
      <c r="D175" s="4" t="s">
        <v>850</v>
      </c>
      <c r="E175" s="4" t="s">
        <v>78</v>
      </c>
      <c r="F175" s="4" t="s">
        <v>851</v>
      </c>
      <c r="G175" s="4" t="s">
        <v>32</v>
      </c>
      <c r="H175" s="4" t="s">
        <v>20</v>
      </c>
      <c r="I175" s="4" t="s">
        <v>852</v>
      </c>
    </row>
    <row r="176">
      <c r="A176" s="7">
        <v>45582.56845333333</v>
      </c>
      <c r="B176" s="4" t="s">
        <v>853</v>
      </c>
      <c r="C176" s="4" t="s">
        <v>854</v>
      </c>
      <c r="D176" s="8" t="s">
        <v>855</v>
      </c>
      <c r="E176" s="4" t="s">
        <v>313</v>
      </c>
      <c r="F176" s="4" t="s">
        <v>856</v>
      </c>
      <c r="G176" s="4" t="s">
        <v>251</v>
      </c>
      <c r="H176" s="4" t="s">
        <v>20</v>
      </c>
      <c r="I176" s="4" t="s">
        <v>406</v>
      </c>
    </row>
    <row r="177">
      <c r="A177" s="7">
        <v>45582.569694502316</v>
      </c>
      <c r="B177" s="4" t="s">
        <v>857</v>
      </c>
      <c r="C177" s="4" t="s">
        <v>858</v>
      </c>
      <c r="D177" s="4" t="s">
        <v>850</v>
      </c>
      <c r="E177" s="4" t="s">
        <v>528</v>
      </c>
      <c r="F177" s="4" t="s">
        <v>859</v>
      </c>
      <c r="G177" s="4" t="s">
        <v>32</v>
      </c>
      <c r="H177" s="4" t="s">
        <v>20</v>
      </c>
      <c r="I177" s="4" t="s">
        <v>126</v>
      </c>
    </row>
    <row r="178">
      <c r="A178" s="7">
        <v>45582.569698657404</v>
      </c>
      <c r="B178" s="4" t="s">
        <v>860</v>
      </c>
      <c r="C178" s="4" t="s">
        <v>861</v>
      </c>
      <c r="D178" s="8" t="s">
        <v>648</v>
      </c>
      <c r="E178" s="4" t="s">
        <v>313</v>
      </c>
      <c r="F178" s="4" t="s">
        <v>862</v>
      </c>
      <c r="G178" s="4" t="s">
        <v>54</v>
      </c>
      <c r="H178" s="4" t="s">
        <v>20</v>
      </c>
      <c r="I178" s="4" t="s">
        <v>863</v>
      </c>
    </row>
    <row r="179">
      <c r="A179" s="7">
        <v>45582.57046574074</v>
      </c>
      <c r="B179" s="4" t="s">
        <v>864</v>
      </c>
      <c r="C179" s="4" t="s">
        <v>865</v>
      </c>
      <c r="D179" s="8" t="s">
        <v>866</v>
      </c>
      <c r="E179" s="4" t="s">
        <v>867</v>
      </c>
      <c r="F179" s="4" t="s">
        <v>868</v>
      </c>
      <c r="G179" s="4" t="s">
        <v>41</v>
      </c>
      <c r="H179" s="4" t="s">
        <v>20</v>
      </c>
      <c r="I179" s="4" t="s">
        <v>869</v>
      </c>
    </row>
    <row r="180">
      <c r="A180" s="7">
        <v>45582.570906458335</v>
      </c>
      <c r="B180" s="4" t="s">
        <v>166</v>
      </c>
      <c r="C180" s="4" t="s">
        <v>167</v>
      </c>
      <c r="D180" s="8" t="s">
        <v>168</v>
      </c>
      <c r="E180" s="4" t="s">
        <v>17</v>
      </c>
      <c r="F180" s="4" t="s">
        <v>169</v>
      </c>
      <c r="G180" s="4" t="s">
        <v>32</v>
      </c>
      <c r="H180" s="4" t="s">
        <v>570</v>
      </c>
      <c r="I180" s="4" t="s">
        <v>109</v>
      </c>
    </row>
    <row r="181">
      <c r="A181" s="7">
        <v>45582.57259609953</v>
      </c>
      <c r="B181" s="4" t="s">
        <v>870</v>
      </c>
      <c r="C181" s="4" t="s">
        <v>871</v>
      </c>
      <c r="D181" s="8" t="s">
        <v>648</v>
      </c>
      <c r="E181" s="4" t="s">
        <v>313</v>
      </c>
      <c r="F181" s="4" t="s">
        <v>872</v>
      </c>
      <c r="G181" s="4" t="s">
        <v>54</v>
      </c>
      <c r="H181" s="4" t="s">
        <v>20</v>
      </c>
      <c r="I181" s="4" t="s">
        <v>863</v>
      </c>
    </row>
    <row r="182">
      <c r="A182" s="7">
        <v>45582.577999409725</v>
      </c>
      <c r="B182" s="4" t="s">
        <v>873</v>
      </c>
      <c r="C182" s="4" t="s">
        <v>874</v>
      </c>
      <c r="D182" s="8" t="s">
        <v>875</v>
      </c>
      <c r="E182" s="4" t="s">
        <v>17</v>
      </c>
      <c r="F182" s="4" t="s">
        <v>876</v>
      </c>
      <c r="G182" s="4" t="s">
        <v>19</v>
      </c>
      <c r="H182" s="4" t="s">
        <v>20</v>
      </c>
      <c r="I182" s="4" t="s">
        <v>877</v>
      </c>
    </row>
    <row r="183">
      <c r="A183" s="7">
        <v>45582.58034702546</v>
      </c>
      <c r="B183" s="4" t="s">
        <v>878</v>
      </c>
      <c r="C183" s="4" t="s">
        <v>879</v>
      </c>
      <c r="D183" s="8" t="s">
        <v>880</v>
      </c>
      <c r="E183" s="4" t="s">
        <v>113</v>
      </c>
      <c r="F183" s="4" t="s">
        <v>881</v>
      </c>
      <c r="G183" s="4" t="s">
        <v>32</v>
      </c>
      <c r="H183" s="4" t="s">
        <v>20</v>
      </c>
      <c r="I183" s="4" t="s">
        <v>74</v>
      </c>
    </row>
    <row r="184">
      <c r="A184" s="7">
        <v>45582.581733831015</v>
      </c>
      <c r="B184" s="4" t="s">
        <v>882</v>
      </c>
      <c r="C184" s="4" t="s">
        <v>883</v>
      </c>
      <c r="D184" s="4" t="s">
        <v>884</v>
      </c>
      <c r="E184" s="4" t="s">
        <v>78</v>
      </c>
      <c r="F184" s="4" t="s">
        <v>885</v>
      </c>
      <c r="G184" s="4" t="s">
        <v>32</v>
      </c>
      <c r="H184" s="4" t="s">
        <v>20</v>
      </c>
      <c r="I184" s="4" t="s">
        <v>886</v>
      </c>
    </row>
    <row r="185">
      <c r="A185" s="7">
        <v>45582.58336697917</v>
      </c>
      <c r="B185" s="4" t="s">
        <v>887</v>
      </c>
      <c r="C185" s="4" t="s">
        <v>888</v>
      </c>
      <c r="D185" s="4" t="s">
        <v>889</v>
      </c>
      <c r="E185" s="4" t="s">
        <v>313</v>
      </c>
      <c r="F185" s="4" t="s">
        <v>890</v>
      </c>
      <c r="G185" s="4" t="s">
        <v>251</v>
      </c>
      <c r="H185" s="4" t="s">
        <v>20</v>
      </c>
      <c r="I185" s="4" t="s">
        <v>891</v>
      </c>
    </row>
    <row r="186">
      <c r="A186" s="7">
        <v>45582.58544946759</v>
      </c>
      <c r="B186" s="4" t="s">
        <v>892</v>
      </c>
      <c r="C186" s="4" t="s">
        <v>893</v>
      </c>
      <c r="D186" s="4" t="s">
        <v>889</v>
      </c>
      <c r="E186" s="4" t="s">
        <v>313</v>
      </c>
      <c r="F186" s="4" t="s">
        <v>894</v>
      </c>
      <c r="G186" s="4" t="s">
        <v>251</v>
      </c>
      <c r="H186" s="4" t="s">
        <v>20</v>
      </c>
      <c r="I186" s="4" t="s">
        <v>895</v>
      </c>
    </row>
    <row r="187">
      <c r="A187" s="7">
        <v>45582.58710409723</v>
      </c>
      <c r="B187" s="4" t="s">
        <v>896</v>
      </c>
      <c r="C187" s="4" t="s">
        <v>897</v>
      </c>
      <c r="D187" s="4" t="s">
        <v>889</v>
      </c>
      <c r="E187" s="4" t="s">
        <v>666</v>
      </c>
      <c r="F187" s="4" t="s">
        <v>898</v>
      </c>
      <c r="G187" s="4" t="s">
        <v>251</v>
      </c>
      <c r="H187" s="4" t="s">
        <v>20</v>
      </c>
      <c r="I187" s="4" t="s">
        <v>540</v>
      </c>
    </row>
    <row r="188">
      <c r="A188" s="7">
        <v>45582.593075729164</v>
      </c>
      <c r="B188" s="4" t="s">
        <v>899</v>
      </c>
      <c r="C188" s="4" t="s">
        <v>900</v>
      </c>
      <c r="D188" s="8" t="s">
        <v>901</v>
      </c>
      <c r="E188" s="4" t="s">
        <v>17</v>
      </c>
      <c r="F188" s="4" t="s">
        <v>902</v>
      </c>
      <c r="G188" s="4" t="s">
        <v>19</v>
      </c>
      <c r="H188" s="4" t="s">
        <v>20</v>
      </c>
      <c r="I188" s="4" t="s">
        <v>80</v>
      </c>
    </row>
    <row r="189">
      <c r="A189" s="7">
        <v>45582.59361457176</v>
      </c>
      <c r="B189" s="4" t="s">
        <v>903</v>
      </c>
      <c r="C189" s="4" t="s">
        <v>904</v>
      </c>
      <c r="D189" s="4" t="s">
        <v>339</v>
      </c>
      <c r="E189" s="4" t="s">
        <v>284</v>
      </c>
      <c r="F189" s="4" t="s">
        <v>905</v>
      </c>
      <c r="G189" s="4" t="s">
        <v>251</v>
      </c>
      <c r="H189" s="4" t="s">
        <v>20</v>
      </c>
      <c r="I189" s="4" t="s">
        <v>721</v>
      </c>
    </row>
    <row r="190">
      <c r="A190" s="7">
        <v>45582.59670804398</v>
      </c>
      <c r="B190" s="4" t="s">
        <v>906</v>
      </c>
      <c r="C190" s="4" t="s">
        <v>907</v>
      </c>
      <c r="D190" s="8" t="s">
        <v>908</v>
      </c>
      <c r="E190" s="4" t="s">
        <v>313</v>
      </c>
      <c r="F190" s="4" t="s">
        <v>909</v>
      </c>
      <c r="G190" s="4" t="s">
        <v>54</v>
      </c>
      <c r="H190" s="4" t="s">
        <v>20</v>
      </c>
      <c r="I190" s="4" t="s">
        <v>565</v>
      </c>
    </row>
    <row r="191">
      <c r="A191" s="7">
        <v>45582.60169236111</v>
      </c>
      <c r="B191" s="4" t="s">
        <v>910</v>
      </c>
      <c r="C191" s="4" t="s">
        <v>911</v>
      </c>
      <c r="D191" s="8" t="s">
        <v>497</v>
      </c>
      <c r="E191" s="4" t="s">
        <v>379</v>
      </c>
      <c r="F191" s="4" t="s">
        <v>912</v>
      </c>
      <c r="G191" s="4" t="s">
        <v>251</v>
      </c>
      <c r="H191" s="4" t="s">
        <v>20</v>
      </c>
      <c r="I191" s="4" t="s">
        <v>676</v>
      </c>
    </row>
    <row r="192">
      <c r="A192" s="7">
        <v>45582.60236096065</v>
      </c>
      <c r="B192" s="4" t="s">
        <v>913</v>
      </c>
      <c r="C192" s="4" t="s">
        <v>914</v>
      </c>
      <c r="D192" s="8" t="s">
        <v>915</v>
      </c>
      <c r="E192" s="4" t="s">
        <v>17</v>
      </c>
      <c r="F192" s="4" t="s">
        <v>916</v>
      </c>
      <c r="G192" s="4" t="s">
        <v>19</v>
      </c>
      <c r="H192" s="4" t="s">
        <v>20</v>
      </c>
      <c r="I192" s="4" t="s">
        <v>26</v>
      </c>
    </row>
    <row r="193">
      <c r="A193" s="7">
        <v>45582.616140625</v>
      </c>
      <c r="B193" s="4" t="s">
        <v>917</v>
      </c>
      <c r="C193" s="4" t="s">
        <v>918</v>
      </c>
      <c r="D193" s="8" t="s">
        <v>919</v>
      </c>
      <c r="E193" s="4" t="s">
        <v>920</v>
      </c>
      <c r="F193" s="4" t="s">
        <v>921</v>
      </c>
      <c r="G193" s="4" t="s">
        <v>54</v>
      </c>
      <c r="H193" s="4" t="s">
        <v>20</v>
      </c>
      <c r="I193" s="4" t="s">
        <v>922</v>
      </c>
    </row>
    <row r="194">
      <c r="A194" s="7">
        <v>45582.61485027778</v>
      </c>
      <c r="B194" s="4" t="s">
        <v>923</v>
      </c>
      <c r="C194" s="4" t="s">
        <v>924</v>
      </c>
      <c r="D194" s="8" t="s">
        <v>925</v>
      </c>
      <c r="E194" s="4" t="s">
        <v>113</v>
      </c>
      <c r="F194" s="4" t="s">
        <v>926</v>
      </c>
      <c r="G194" s="4" t="s">
        <v>32</v>
      </c>
      <c r="H194" s="4" t="s">
        <v>20</v>
      </c>
      <c r="I194" s="4" t="s">
        <v>927</v>
      </c>
    </row>
    <row r="195">
      <c r="A195" s="7">
        <v>45582.61752167824</v>
      </c>
      <c r="B195" s="4" t="s">
        <v>928</v>
      </c>
      <c r="C195" s="4" t="s">
        <v>929</v>
      </c>
      <c r="D195" s="8" t="s">
        <v>533</v>
      </c>
      <c r="E195" s="4" t="s">
        <v>930</v>
      </c>
      <c r="F195" s="4" t="s">
        <v>931</v>
      </c>
      <c r="G195" s="4" t="s">
        <v>54</v>
      </c>
      <c r="H195" s="4" t="s">
        <v>20</v>
      </c>
      <c r="I195" s="4" t="s">
        <v>932</v>
      </c>
    </row>
    <row r="196">
      <c r="A196" s="7">
        <v>45582.61895701389</v>
      </c>
      <c r="B196" s="4" t="s">
        <v>933</v>
      </c>
      <c r="C196" s="4" t="s">
        <v>934</v>
      </c>
      <c r="D196" s="4" t="s">
        <v>468</v>
      </c>
      <c r="E196" s="4" t="s">
        <v>313</v>
      </c>
      <c r="F196" s="4" t="s">
        <v>935</v>
      </c>
      <c r="G196" s="4" t="s">
        <v>251</v>
      </c>
      <c r="H196" s="4" t="s">
        <v>20</v>
      </c>
      <c r="I196" s="4" t="s">
        <v>406</v>
      </c>
    </row>
    <row r="197">
      <c r="A197" s="7">
        <v>45582.61983060185</v>
      </c>
      <c r="B197" s="4" t="s">
        <v>937</v>
      </c>
      <c r="C197" s="4" t="s">
        <v>938</v>
      </c>
      <c r="D197" s="4" t="s">
        <v>468</v>
      </c>
      <c r="E197" s="4" t="s">
        <v>313</v>
      </c>
      <c r="F197" s="4" t="s">
        <v>939</v>
      </c>
      <c r="G197" s="4" t="s">
        <v>251</v>
      </c>
      <c r="H197" s="4" t="s">
        <v>20</v>
      </c>
      <c r="I197" s="4" t="s">
        <v>726</v>
      </c>
    </row>
    <row r="198">
      <c r="A198" s="7">
        <v>45582.62063601852</v>
      </c>
      <c r="B198" s="4" t="s">
        <v>940</v>
      </c>
      <c r="C198" s="4" t="s">
        <v>941</v>
      </c>
      <c r="D198" s="4" t="s">
        <v>468</v>
      </c>
      <c r="E198" s="4" t="s">
        <v>284</v>
      </c>
      <c r="F198" s="4" t="s">
        <v>942</v>
      </c>
      <c r="G198" s="4" t="s">
        <v>251</v>
      </c>
      <c r="H198" s="4" t="s">
        <v>20</v>
      </c>
      <c r="I198" s="4" t="s">
        <v>922</v>
      </c>
    </row>
    <row r="199">
      <c r="A199" s="7">
        <v>45582.62126435185</v>
      </c>
      <c r="B199" s="4" t="s">
        <v>943</v>
      </c>
      <c r="C199" s="4" t="s">
        <v>944</v>
      </c>
      <c r="D199" s="8" t="s">
        <v>945</v>
      </c>
      <c r="E199" s="4" t="s">
        <v>946</v>
      </c>
      <c r="F199" s="4" t="s">
        <v>947</v>
      </c>
      <c r="G199" s="4" t="s">
        <v>32</v>
      </c>
      <c r="H199" s="4" t="s">
        <v>20</v>
      </c>
      <c r="I199" s="4" t="s">
        <v>948</v>
      </c>
    </row>
    <row r="200">
      <c r="A200" s="7">
        <v>45582.632845</v>
      </c>
      <c r="B200" s="4" t="s">
        <v>949</v>
      </c>
      <c r="C200" s="4" t="s">
        <v>950</v>
      </c>
      <c r="D200" s="4" t="s">
        <v>527</v>
      </c>
      <c r="E200" s="4" t="s">
        <v>951</v>
      </c>
      <c r="F200" s="4" t="s">
        <v>952</v>
      </c>
      <c r="G200" s="4" t="s">
        <v>32</v>
      </c>
      <c r="H200" s="4" t="s">
        <v>20</v>
      </c>
      <c r="I200" s="4" t="s">
        <v>953</v>
      </c>
    </row>
    <row r="201">
      <c r="A201" s="7">
        <v>45582.63373731481</v>
      </c>
      <c r="B201" s="4" t="s">
        <v>954</v>
      </c>
      <c r="C201" s="4" t="s">
        <v>955</v>
      </c>
      <c r="D201" s="4" t="s">
        <v>527</v>
      </c>
      <c r="E201" s="4" t="s">
        <v>956</v>
      </c>
      <c r="F201" s="4" t="s">
        <v>957</v>
      </c>
      <c r="G201" s="4" t="s">
        <v>32</v>
      </c>
      <c r="H201" s="4" t="s">
        <v>20</v>
      </c>
      <c r="I201" s="4" t="s">
        <v>958</v>
      </c>
    </row>
    <row r="202">
      <c r="A202" s="7">
        <v>45582.634807916664</v>
      </c>
      <c r="B202" s="4" t="s">
        <v>959</v>
      </c>
      <c r="C202" s="4" t="s">
        <v>960</v>
      </c>
      <c r="D202" s="4" t="s">
        <v>527</v>
      </c>
      <c r="E202" s="4" t="s">
        <v>528</v>
      </c>
      <c r="F202" s="4" t="s">
        <v>961</v>
      </c>
      <c r="G202" s="4" t="s">
        <v>32</v>
      </c>
      <c r="H202" s="4" t="s">
        <v>20</v>
      </c>
      <c r="I202" s="4" t="s">
        <v>962</v>
      </c>
    </row>
    <row r="203">
      <c r="A203" s="7">
        <v>45582.65453685186</v>
      </c>
      <c r="B203" s="4" t="s">
        <v>963</v>
      </c>
      <c r="C203" s="4" t="s">
        <v>964</v>
      </c>
      <c r="D203" s="4" t="s">
        <v>965</v>
      </c>
      <c r="E203" s="4" t="s">
        <v>17</v>
      </c>
      <c r="F203" s="4" t="s">
        <v>966</v>
      </c>
      <c r="G203" s="4" t="s">
        <v>54</v>
      </c>
      <c r="H203" s="4" t="s">
        <v>20</v>
      </c>
      <c r="I203" s="4" t="s">
        <v>967</v>
      </c>
    </row>
    <row r="204">
      <c r="A204" s="7">
        <v>45583.39713790509</v>
      </c>
      <c r="B204" s="4" t="s">
        <v>968</v>
      </c>
      <c r="C204" s="4" t="s">
        <v>969</v>
      </c>
      <c r="D204" s="8" t="s">
        <v>970</v>
      </c>
      <c r="E204" s="4" t="s">
        <v>17</v>
      </c>
      <c r="F204" s="4" t="s">
        <v>971</v>
      </c>
      <c r="G204" s="4" t="s">
        <v>41</v>
      </c>
      <c r="H204" s="4" t="s">
        <v>20</v>
      </c>
      <c r="I204" s="4" t="s">
        <v>126</v>
      </c>
    </row>
    <row r="205">
      <c r="A205" s="7">
        <v>45583.410131122684</v>
      </c>
      <c r="B205" s="4" t="s">
        <v>972</v>
      </c>
      <c r="C205" s="4" t="s">
        <v>973</v>
      </c>
      <c r="D205" s="8" t="s">
        <v>211</v>
      </c>
      <c r="E205" s="4" t="s">
        <v>653</v>
      </c>
      <c r="F205" s="4" t="s">
        <v>974</v>
      </c>
      <c r="G205" s="4" t="s">
        <v>54</v>
      </c>
      <c r="H205" s="4" t="s">
        <v>20</v>
      </c>
      <c r="I205" s="4" t="s">
        <v>975</v>
      </c>
    </row>
    <row r="206">
      <c r="A206" s="7">
        <v>45583.41040465278</v>
      </c>
      <c r="B206" s="4" t="s">
        <v>976</v>
      </c>
      <c r="C206" s="4" t="s">
        <v>977</v>
      </c>
      <c r="D206" s="8" t="s">
        <v>978</v>
      </c>
      <c r="E206" s="4" t="s">
        <v>284</v>
      </c>
      <c r="F206" s="4" t="s">
        <v>979</v>
      </c>
      <c r="G206" s="4" t="s">
        <v>251</v>
      </c>
      <c r="H206" s="4" t="s">
        <v>20</v>
      </c>
      <c r="I206" s="4" t="s">
        <v>891</v>
      </c>
    </row>
    <row r="207">
      <c r="A207" s="7">
        <v>45583.41585362269</v>
      </c>
      <c r="B207" s="4" t="s">
        <v>980</v>
      </c>
      <c r="C207" s="4" t="s">
        <v>210</v>
      </c>
      <c r="D207" s="8" t="s">
        <v>211</v>
      </c>
      <c r="E207" s="4" t="s">
        <v>345</v>
      </c>
      <c r="F207" s="4" t="s">
        <v>981</v>
      </c>
      <c r="G207" s="4" t="s">
        <v>54</v>
      </c>
      <c r="H207" s="4" t="s">
        <v>20</v>
      </c>
      <c r="I207" s="4" t="s">
        <v>895</v>
      </c>
    </row>
    <row r="208">
      <c r="A208" s="7">
        <v>45583.42008490741</v>
      </c>
      <c r="B208" s="4" t="s">
        <v>982</v>
      </c>
      <c r="C208" s="4" t="s">
        <v>983</v>
      </c>
      <c r="D208" s="8" t="s">
        <v>211</v>
      </c>
      <c r="E208" s="4" t="s">
        <v>345</v>
      </c>
      <c r="F208" s="4" t="s">
        <v>984</v>
      </c>
      <c r="G208" s="4" t="s">
        <v>54</v>
      </c>
      <c r="H208" s="4" t="s">
        <v>20</v>
      </c>
      <c r="I208" s="4" t="s">
        <v>147</v>
      </c>
    </row>
    <row r="209">
      <c r="A209" s="7">
        <v>45583.429904641205</v>
      </c>
      <c r="B209" s="4" t="s">
        <v>985</v>
      </c>
      <c r="C209" s="4" t="s">
        <v>986</v>
      </c>
      <c r="D209" s="8" t="s">
        <v>987</v>
      </c>
      <c r="E209" s="4" t="s">
        <v>313</v>
      </c>
      <c r="F209" s="4" t="s">
        <v>988</v>
      </c>
      <c r="G209" s="4" t="s">
        <v>251</v>
      </c>
      <c r="H209" s="4" t="s">
        <v>20</v>
      </c>
      <c r="I209" s="4" t="s">
        <v>989</v>
      </c>
    </row>
    <row r="210">
      <c r="A210" s="7">
        <v>45583.4365762963</v>
      </c>
      <c r="B210" s="4" t="s">
        <v>990</v>
      </c>
      <c r="C210" s="4" t="s">
        <v>991</v>
      </c>
      <c r="D210" s="4" t="s">
        <v>373</v>
      </c>
      <c r="E210" s="4" t="s">
        <v>345</v>
      </c>
      <c r="F210" s="4" t="s">
        <v>992</v>
      </c>
      <c r="G210" s="4" t="s">
        <v>54</v>
      </c>
      <c r="H210" s="4" t="s">
        <v>20</v>
      </c>
      <c r="I210" s="4" t="s">
        <v>993</v>
      </c>
    </row>
    <row r="211">
      <c r="A211" s="7">
        <v>45583.4378553125</v>
      </c>
      <c r="B211" s="4" t="s">
        <v>994</v>
      </c>
      <c r="C211" s="4" t="s">
        <v>995</v>
      </c>
      <c r="D211" s="4" t="s">
        <v>996</v>
      </c>
      <c r="E211" s="4" t="s">
        <v>284</v>
      </c>
      <c r="F211" s="4" t="s">
        <v>997</v>
      </c>
      <c r="G211" s="4" t="s">
        <v>251</v>
      </c>
      <c r="H211" s="4" t="s">
        <v>20</v>
      </c>
      <c r="I211" s="4" t="s">
        <v>998</v>
      </c>
    </row>
    <row r="212">
      <c r="A212" s="7">
        <v>45583.43806460648</v>
      </c>
      <c r="B212" s="4" t="s">
        <v>999</v>
      </c>
      <c r="C212" s="4" t="s">
        <v>1000</v>
      </c>
      <c r="D212" s="4" t="s">
        <v>394</v>
      </c>
      <c r="E212" s="4" t="s">
        <v>113</v>
      </c>
      <c r="F212" s="4" t="s">
        <v>1001</v>
      </c>
      <c r="G212" s="4" t="s">
        <v>32</v>
      </c>
      <c r="H212" s="4" t="s">
        <v>20</v>
      </c>
      <c r="I212" s="4" t="s">
        <v>686</v>
      </c>
    </row>
    <row r="213">
      <c r="A213" s="7">
        <v>45583.43899255787</v>
      </c>
      <c r="B213" s="4" t="s">
        <v>1002</v>
      </c>
      <c r="C213" s="4" t="s">
        <v>1003</v>
      </c>
      <c r="D213" s="4" t="s">
        <v>996</v>
      </c>
      <c r="E213" s="4" t="s">
        <v>284</v>
      </c>
      <c r="F213" s="4" t="s">
        <v>1004</v>
      </c>
      <c r="G213" s="4" t="s">
        <v>251</v>
      </c>
      <c r="H213" s="4" t="s">
        <v>20</v>
      </c>
      <c r="I213" s="4" t="s">
        <v>1005</v>
      </c>
    </row>
    <row r="214">
      <c r="A214" s="7">
        <v>45583.44937987268</v>
      </c>
      <c r="B214" s="4" t="s">
        <v>1006</v>
      </c>
      <c r="C214" s="4" t="s">
        <v>1007</v>
      </c>
      <c r="D214" s="8" t="s">
        <v>1008</v>
      </c>
      <c r="E214" s="4" t="s">
        <v>1009</v>
      </c>
      <c r="F214" s="4" t="s">
        <v>1010</v>
      </c>
      <c r="G214" s="4" t="s">
        <v>41</v>
      </c>
      <c r="H214" s="4" t="s">
        <v>20</v>
      </c>
      <c r="I214" s="4" t="s">
        <v>440</v>
      </c>
    </row>
    <row r="215">
      <c r="A215" s="7">
        <v>45583.45149019676</v>
      </c>
      <c r="B215" s="4" t="s">
        <v>1011</v>
      </c>
      <c r="C215" s="4" t="s">
        <v>1012</v>
      </c>
      <c r="D215" s="8" t="s">
        <v>1013</v>
      </c>
      <c r="E215" s="4" t="s">
        <v>946</v>
      </c>
      <c r="F215" s="4" t="s">
        <v>1014</v>
      </c>
      <c r="G215" s="4" t="s">
        <v>32</v>
      </c>
      <c r="H215" s="4" t="s">
        <v>20</v>
      </c>
      <c r="I215" s="4" t="s">
        <v>308</v>
      </c>
    </row>
    <row r="216">
      <c r="A216" s="7">
        <v>45583.45676685185</v>
      </c>
      <c r="B216" s="4" t="s">
        <v>1015</v>
      </c>
      <c r="C216" s="4" t="s">
        <v>1016</v>
      </c>
      <c r="D216" s="8" t="s">
        <v>312</v>
      </c>
      <c r="E216" s="4" t="s">
        <v>313</v>
      </c>
      <c r="F216" s="4" t="s">
        <v>1017</v>
      </c>
      <c r="G216" s="4" t="s">
        <v>251</v>
      </c>
      <c r="H216" s="4" t="s">
        <v>20</v>
      </c>
      <c r="I216" s="4" t="s">
        <v>287</v>
      </c>
    </row>
    <row r="217">
      <c r="A217" s="7">
        <v>45583.457875127315</v>
      </c>
      <c r="B217" s="4" t="s">
        <v>1018</v>
      </c>
      <c r="C217" s="4" t="s">
        <v>627</v>
      </c>
      <c r="D217" s="8" t="s">
        <v>628</v>
      </c>
      <c r="E217" s="4" t="s">
        <v>78</v>
      </c>
      <c r="F217" s="4" t="s">
        <v>1019</v>
      </c>
      <c r="G217" s="4" t="s">
        <v>41</v>
      </c>
      <c r="H217" s="4" t="s">
        <v>20</v>
      </c>
      <c r="I217" s="4" t="s">
        <v>68</v>
      </c>
    </row>
    <row r="218">
      <c r="A218" s="7">
        <v>45583.465276504634</v>
      </c>
      <c r="B218" s="4" t="s">
        <v>1020</v>
      </c>
      <c r="C218" s="4" t="s">
        <v>1021</v>
      </c>
      <c r="D218" s="8" t="s">
        <v>1022</v>
      </c>
      <c r="E218" s="4" t="s">
        <v>313</v>
      </c>
      <c r="F218" s="4" t="s">
        <v>1023</v>
      </c>
      <c r="G218" s="4" t="s">
        <v>251</v>
      </c>
      <c r="H218" s="4" t="s">
        <v>20</v>
      </c>
      <c r="I218" s="4" t="s">
        <v>1024</v>
      </c>
    </row>
    <row r="219">
      <c r="A219" s="7">
        <v>45583.46533533565</v>
      </c>
      <c r="B219" s="4" t="s">
        <v>1025</v>
      </c>
      <c r="C219" s="4" t="s">
        <v>1026</v>
      </c>
      <c r="D219" s="8" t="s">
        <v>1027</v>
      </c>
      <c r="E219" s="4" t="s">
        <v>1028</v>
      </c>
      <c r="F219" s="4" t="s">
        <v>1029</v>
      </c>
      <c r="G219" s="4" t="s">
        <v>32</v>
      </c>
      <c r="H219" s="4" t="s">
        <v>20</v>
      </c>
      <c r="I219" s="4" t="s">
        <v>91</v>
      </c>
    </row>
    <row r="220">
      <c r="A220" s="7">
        <v>45583.465745208334</v>
      </c>
      <c r="B220" s="4" t="s">
        <v>1030</v>
      </c>
      <c r="C220" s="4" t="s">
        <v>1031</v>
      </c>
      <c r="D220" s="8" t="s">
        <v>718</v>
      </c>
      <c r="E220" s="4" t="s">
        <v>1032</v>
      </c>
      <c r="F220" s="4" t="s">
        <v>1033</v>
      </c>
      <c r="G220" s="4" t="s">
        <v>54</v>
      </c>
      <c r="H220" s="4" t="s">
        <v>20</v>
      </c>
      <c r="I220" s="4" t="s">
        <v>1034</v>
      </c>
    </row>
    <row r="221">
      <c r="A221" s="7">
        <v>45583.46774597222</v>
      </c>
      <c r="B221" s="4" t="s">
        <v>1036</v>
      </c>
      <c r="C221" s="4" t="s">
        <v>1037</v>
      </c>
      <c r="D221" s="8" t="s">
        <v>718</v>
      </c>
      <c r="E221" s="4" t="s">
        <v>1039</v>
      </c>
      <c r="F221" s="4" t="s">
        <v>1040</v>
      </c>
      <c r="G221" s="4" t="s">
        <v>54</v>
      </c>
      <c r="H221" s="4" t="s">
        <v>20</v>
      </c>
      <c r="I221" s="4" t="s">
        <v>839</v>
      </c>
    </row>
    <row r="222">
      <c r="A222" s="7">
        <v>45583.46943628472</v>
      </c>
      <c r="B222" s="4" t="s">
        <v>1041</v>
      </c>
      <c r="C222" s="4" t="s">
        <v>1042</v>
      </c>
      <c r="D222" s="8" t="s">
        <v>1043</v>
      </c>
      <c r="E222" s="4" t="s">
        <v>946</v>
      </c>
      <c r="F222" s="4" t="s">
        <v>1044</v>
      </c>
      <c r="G222" s="4" t="s">
        <v>32</v>
      </c>
      <c r="H222" s="4" t="s">
        <v>20</v>
      </c>
      <c r="I222" s="4" t="s">
        <v>1045</v>
      </c>
    </row>
    <row r="223">
      <c r="A223" s="7">
        <v>45583.469993715276</v>
      </c>
      <c r="B223" s="4" t="s">
        <v>1046</v>
      </c>
      <c r="C223" s="4" t="s">
        <v>1042</v>
      </c>
      <c r="D223" s="8" t="s">
        <v>1043</v>
      </c>
      <c r="E223" s="4" t="s">
        <v>946</v>
      </c>
      <c r="F223" s="4" t="s">
        <v>1047</v>
      </c>
      <c r="G223" s="4" t="s">
        <v>32</v>
      </c>
      <c r="H223" s="4" t="s">
        <v>20</v>
      </c>
      <c r="I223" s="4" t="s">
        <v>109</v>
      </c>
    </row>
    <row r="224">
      <c r="A224" s="7">
        <v>45583.47171454861</v>
      </c>
      <c r="B224" s="4" t="s">
        <v>1048</v>
      </c>
      <c r="C224" s="4" t="s">
        <v>1049</v>
      </c>
      <c r="D224" s="8" t="s">
        <v>1050</v>
      </c>
      <c r="E224" s="4" t="s">
        <v>666</v>
      </c>
      <c r="F224" s="4" t="s">
        <v>1051</v>
      </c>
      <c r="G224" s="4" t="s">
        <v>251</v>
      </c>
      <c r="H224" s="4" t="s">
        <v>20</v>
      </c>
      <c r="I224" s="4" t="s">
        <v>315</v>
      </c>
    </row>
    <row r="225">
      <c r="A225" s="7">
        <v>45583.48062410879</v>
      </c>
      <c r="B225" s="4" t="s">
        <v>1052</v>
      </c>
      <c r="C225" s="4" t="s">
        <v>1053</v>
      </c>
      <c r="D225" s="8" t="s">
        <v>1054</v>
      </c>
      <c r="E225" s="4" t="s">
        <v>404</v>
      </c>
      <c r="F225" s="4" t="s">
        <v>1055</v>
      </c>
      <c r="G225" s="4" t="s">
        <v>251</v>
      </c>
      <c r="H225" s="4" t="s">
        <v>20</v>
      </c>
      <c r="I225" s="4" t="s">
        <v>1056</v>
      </c>
    </row>
    <row r="226">
      <c r="A226" s="7">
        <v>45583.55113146991</v>
      </c>
      <c r="B226" s="4" t="s">
        <v>1057</v>
      </c>
      <c r="C226" s="4" t="s">
        <v>1053</v>
      </c>
      <c r="D226" s="8" t="s">
        <v>1054</v>
      </c>
      <c r="E226" s="4" t="s">
        <v>404</v>
      </c>
      <c r="F226" s="4" t="s">
        <v>1058</v>
      </c>
      <c r="G226" s="4" t="s">
        <v>251</v>
      </c>
      <c r="H226" s="4" t="s">
        <v>20</v>
      </c>
      <c r="I226" s="4" t="s">
        <v>1056</v>
      </c>
    </row>
    <row r="227">
      <c r="A227" s="7">
        <v>45583.58127837963</v>
      </c>
      <c r="B227" s="4" t="s">
        <v>1059</v>
      </c>
      <c r="C227" s="4" t="s">
        <v>1060</v>
      </c>
      <c r="D227" s="8" t="s">
        <v>1061</v>
      </c>
      <c r="E227" s="4" t="s">
        <v>313</v>
      </c>
      <c r="F227" s="4" t="s">
        <v>1062</v>
      </c>
      <c r="G227" s="4" t="s">
        <v>251</v>
      </c>
      <c r="H227" s="4" t="s">
        <v>20</v>
      </c>
      <c r="I227" s="4" t="s">
        <v>1063</v>
      </c>
    </row>
    <row r="228">
      <c r="A228" s="7">
        <v>45583.55506929399</v>
      </c>
      <c r="B228" s="4" t="s">
        <v>1064</v>
      </c>
      <c r="C228" s="4" t="s">
        <v>1065</v>
      </c>
      <c r="D228" s="8" t="s">
        <v>1066</v>
      </c>
      <c r="E228" s="4" t="s">
        <v>432</v>
      </c>
      <c r="F228" s="4" t="s">
        <v>1067</v>
      </c>
      <c r="G228" s="4" t="s">
        <v>54</v>
      </c>
      <c r="H228" s="4" t="s">
        <v>20</v>
      </c>
      <c r="I228" s="4" t="s">
        <v>1068</v>
      </c>
    </row>
    <row r="229">
      <c r="A229" s="7">
        <v>45583.58111298611</v>
      </c>
      <c r="B229" s="4" t="s">
        <v>1069</v>
      </c>
      <c r="C229" s="4" t="s">
        <v>1070</v>
      </c>
      <c r="D229" s="8" t="s">
        <v>1071</v>
      </c>
      <c r="E229" s="4" t="s">
        <v>313</v>
      </c>
      <c r="F229" s="4" t="s">
        <v>1072</v>
      </c>
      <c r="G229" s="4" t="s">
        <v>54</v>
      </c>
      <c r="H229" s="4" t="s">
        <v>20</v>
      </c>
      <c r="I229" s="4" t="s">
        <v>540</v>
      </c>
    </row>
    <row r="230">
      <c r="A230" s="7">
        <v>45583.58288606482</v>
      </c>
      <c r="B230" s="4" t="s">
        <v>1073</v>
      </c>
      <c r="C230" s="4" t="s">
        <v>1074</v>
      </c>
      <c r="D230" s="8" t="s">
        <v>1075</v>
      </c>
      <c r="E230" s="4" t="s">
        <v>404</v>
      </c>
      <c r="F230" s="4" t="s">
        <v>1076</v>
      </c>
      <c r="G230" s="4" t="s">
        <v>251</v>
      </c>
      <c r="H230" s="4" t="s">
        <v>20</v>
      </c>
      <c r="I230" s="4" t="s">
        <v>524</v>
      </c>
    </row>
    <row r="231">
      <c r="A231" s="7">
        <v>45583.586042442126</v>
      </c>
      <c r="B231" s="4" t="s">
        <v>1077</v>
      </c>
      <c r="C231" s="4" t="s">
        <v>1078</v>
      </c>
      <c r="D231" s="4" t="s">
        <v>1079</v>
      </c>
      <c r="E231" s="4" t="s">
        <v>763</v>
      </c>
      <c r="F231" s="4" t="s">
        <v>1080</v>
      </c>
      <c r="G231" s="4" t="s">
        <v>251</v>
      </c>
      <c r="H231" s="4" t="s">
        <v>20</v>
      </c>
      <c r="I231" s="4" t="s">
        <v>1081</v>
      </c>
    </row>
    <row r="232">
      <c r="A232" s="7">
        <v>45583.59042688657</v>
      </c>
      <c r="B232" s="4" t="s">
        <v>1082</v>
      </c>
      <c r="C232" s="4" t="s">
        <v>1083</v>
      </c>
      <c r="D232" s="4" t="s">
        <v>1084</v>
      </c>
      <c r="E232" s="4" t="s">
        <v>284</v>
      </c>
      <c r="F232" s="4" t="s">
        <v>1085</v>
      </c>
      <c r="G232" s="4" t="s">
        <v>251</v>
      </c>
      <c r="H232" s="4" t="s">
        <v>20</v>
      </c>
      <c r="I232" s="4" t="s">
        <v>1086</v>
      </c>
    </row>
    <row r="233">
      <c r="A233" s="7">
        <v>45583.597956875004</v>
      </c>
      <c r="B233" s="4" t="s">
        <v>1087</v>
      </c>
      <c r="C233" s="4" t="s">
        <v>1088</v>
      </c>
      <c r="D233" s="8" t="s">
        <v>1089</v>
      </c>
      <c r="E233" s="4" t="s">
        <v>1090</v>
      </c>
      <c r="F233" s="4" t="s">
        <v>1091</v>
      </c>
      <c r="G233" s="4" t="s">
        <v>251</v>
      </c>
      <c r="H233" s="4" t="s">
        <v>20</v>
      </c>
      <c r="I233" s="4" t="s">
        <v>1092</v>
      </c>
    </row>
    <row r="234">
      <c r="A234" s="7">
        <v>45583.59886336805</v>
      </c>
      <c r="B234" s="4" t="s">
        <v>1093</v>
      </c>
      <c r="C234" s="4" t="s">
        <v>1094</v>
      </c>
      <c r="D234" s="8" t="s">
        <v>1095</v>
      </c>
      <c r="E234" s="4" t="s">
        <v>796</v>
      </c>
      <c r="F234" s="4" t="s">
        <v>1096</v>
      </c>
      <c r="G234" s="4" t="s">
        <v>54</v>
      </c>
      <c r="H234" s="4" t="s">
        <v>20</v>
      </c>
      <c r="I234" s="4" t="s">
        <v>1097</v>
      </c>
    </row>
    <row r="235">
      <c r="A235" s="7">
        <v>45583.60035670139</v>
      </c>
      <c r="B235" s="4" t="s">
        <v>1098</v>
      </c>
      <c r="C235" s="4" t="s">
        <v>1099</v>
      </c>
      <c r="D235" s="8" t="s">
        <v>1095</v>
      </c>
      <c r="E235" s="4" t="s">
        <v>930</v>
      </c>
      <c r="F235" s="4" t="s">
        <v>1100</v>
      </c>
      <c r="G235" s="4" t="s">
        <v>54</v>
      </c>
      <c r="H235" s="4" t="s">
        <v>20</v>
      </c>
      <c r="I235" s="4" t="s">
        <v>1101</v>
      </c>
    </row>
    <row r="236">
      <c r="A236" s="7">
        <v>45583.6046418287</v>
      </c>
      <c r="B236" s="4" t="s">
        <v>1102</v>
      </c>
      <c r="C236" s="4" t="s">
        <v>1103</v>
      </c>
      <c r="D236" s="8" t="s">
        <v>1095</v>
      </c>
      <c r="E236" s="4" t="s">
        <v>930</v>
      </c>
      <c r="F236" s="4" t="s">
        <v>1104</v>
      </c>
      <c r="G236" s="4" t="s">
        <v>54</v>
      </c>
      <c r="H236" s="4" t="s">
        <v>20</v>
      </c>
      <c r="I236" s="4" t="s">
        <v>1106</v>
      </c>
    </row>
    <row r="237">
      <c r="A237" s="7">
        <v>45583.603707291666</v>
      </c>
      <c r="B237" s="4" t="s">
        <v>1107</v>
      </c>
      <c r="C237" s="4" t="s">
        <v>1108</v>
      </c>
      <c r="D237" s="8" t="s">
        <v>1109</v>
      </c>
      <c r="E237" s="4" t="s">
        <v>113</v>
      </c>
      <c r="F237" s="4" t="s">
        <v>1110</v>
      </c>
      <c r="G237" s="4" t="s">
        <v>32</v>
      </c>
      <c r="H237" s="4" t="s">
        <v>20</v>
      </c>
      <c r="I237" s="4" t="s">
        <v>1111</v>
      </c>
    </row>
    <row r="238">
      <c r="A238" s="7">
        <v>45583.605460011575</v>
      </c>
      <c r="B238" s="4" t="s">
        <v>1112</v>
      </c>
      <c r="C238" s="4" t="s">
        <v>1113</v>
      </c>
      <c r="D238" s="8" t="s">
        <v>1109</v>
      </c>
      <c r="E238" s="4" t="s">
        <v>113</v>
      </c>
      <c r="F238" s="4" t="s">
        <v>1114</v>
      </c>
      <c r="G238" s="4" t="s">
        <v>32</v>
      </c>
      <c r="H238" s="4" t="s">
        <v>20</v>
      </c>
      <c r="I238" s="4" t="s">
        <v>1115</v>
      </c>
    </row>
    <row r="239">
      <c r="A239" s="7">
        <v>45583.60650234953</v>
      </c>
      <c r="B239" s="4" t="s">
        <v>1116</v>
      </c>
      <c r="C239" s="4" t="s">
        <v>1117</v>
      </c>
      <c r="D239" s="4" t="s">
        <v>1118</v>
      </c>
      <c r="E239" s="4" t="s">
        <v>1119</v>
      </c>
      <c r="F239" s="4" t="s">
        <v>1120</v>
      </c>
      <c r="G239" s="4" t="s">
        <v>32</v>
      </c>
      <c r="H239" s="4" t="s">
        <v>20</v>
      </c>
      <c r="I239" s="4" t="s">
        <v>1121</v>
      </c>
    </row>
    <row r="240">
      <c r="A240" s="7">
        <v>45583.60826586805</v>
      </c>
      <c r="B240" s="4" t="s">
        <v>1122</v>
      </c>
      <c r="C240" s="4" t="s">
        <v>1123</v>
      </c>
      <c r="D240" s="8" t="s">
        <v>1124</v>
      </c>
      <c r="E240" s="4" t="s">
        <v>313</v>
      </c>
      <c r="F240" s="4" t="s">
        <v>1125</v>
      </c>
      <c r="G240" s="4" t="s">
        <v>251</v>
      </c>
      <c r="H240" s="4" t="s">
        <v>20</v>
      </c>
      <c r="I240" s="4" t="s">
        <v>1126</v>
      </c>
    </row>
    <row r="241">
      <c r="A241" s="7">
        <v>45583.610580925924</v>
      </c>
      <c r="B241" s="4" t="s">
        <v>1127</v>
      </c>
      <c r="C241" s="4" t="s">
        <v>1128</v>
      </c>
      <c r="D241" s="4" t="s">
        <v>1129</v>
      </c>
      <c r="E241" s="4" t="s">
        <v>113</v>
      </c>
      <c r="F241" s="4" t="s">
        <v>1130</v>
      </c>
      <c r="G241" s="4" t="s">
        <v>32</v>
      </c>
      <c r="H241" s="4" t="s">
        <v>20</v>
      </c>
      <c r="I241" s="4" t="s">
        <v>308</v>
      </c>
    </row>
    <row r="242">
      <c r="A242" s="7">
        <v>45583.61317225694</v>
      </c>
      <c r="B242" s="4" t="s">
        <v>1131</v>
      </c>
      <c r="C242" s="4" t="s">
        <v>1132</v>
      </c>
      <c r="D242" s="4" t="s">
        <v>996</v>
      </c>
      <c r="E242" s="4" t="s">
        <v>313</v>
      </c>
      <c r="F242" s="4" t="s">
        <v>1133</v>
      </c>
      <c r="G242" s="4" t="s">
        <v>54</v>
      </c>
      <c r="H242" s="4" t="s">
        <v>20</v>
      </c>
      <c r="I242" s="4" t="s">
        <v>802</v>
      </c>
    </row>
    <row r="243">
      <c r="A243" s="7">
        <v>45583.61476814815</v>
      </c>
      <c r="B243" s="4" t="s">
        <v>1134</v>
      </c>
      <c r="C243" s="4" t="s">
        <v>1135</v>
      </c>
      <c r="D243" s="8" t="s">
        <v>1136</v>
      </c>
      <c r="E243" s="4" t="s">
        <v>781</v>
      </c>
      <c r="F243" s="4" t="s">
        <v>1137</v>
      </c>
      <c r="G243" s="4" t="s">
        <v>251</v>
      </c>
      <c r="H243" s="4" t="s">
        <v>20</v>
      </c>
      <c r="I243" s="4" t="s">
        <v>655</v>
      </c>
    </row>
    <row r="244">
      <c r="A244" s="7">
        <v>45583.61580299769</v>
      </c>
      <c r="B244" s="4" t="s">
        <v>1138</v>
      </c>
      <c r="C244" s="4" t="s">
        <v>1139</v>
      </c>
      <c r="D244" s="4" t="s">
        <v>996</v>
      </c>
      <c r="E244" s="4" t="s">
        <v>17</v>
      </c>
      <c r="F244" s="4" t="s">
        <v>1140</v>
      </c>
      <c r="G244" s="4" t="s">
        <v>54</v>
      </c>
      <c r="H244" s="4" t="s">
        <v>20</v>
      </c>
      <c r="I244" s="4" t="s">
        <v>1141</v>
      </c>
    </row>
    <row r="245">
      <c r="A245" s="7">
        <v>45583.62141465278</v>
      </c>
      <c r="B245" s="4" t="s">
        <v>1142</v>
      </c>
      <c r="C245" s="4" t="s">
        <v>1144</v>
      </c>
      <c r="D245" s="8" t="s">
        <v>1145</v>
      </c>
      <c r="E245" s="4" t="s">
        <v>313</v>
      </c>
      <c r="F245" s="4" t="s">
        <v>1146</v>
      </c>
      <c r="G245" s="4" t="s">
        <v>54</v>
      </c>
      <c r="H245" s="4" t="s">
        <v>20</v>
      </c>
      <c r="I245" s="4" t="s">
        <v>668</v>
      </c>
    </row>
    <row r="246">
      <c r="A246" s="7">
        <v>45583.6238725463</v>
      </c>
      <c r="B246" s="4" t="s">
        <v>1149</v>
      </c>
      <c r="C246" s="4" t="s">
        <v>1150</v>
      </c>
      <c r="D246" s="4" t="s">
        <v>1151</v>
      </c>
      <c r="E246" s="4" t="s">
        <v>666</v>
      </c>
      <c r="F246" s="4" t="s">
        <v>1153</v>
      </c>
      <c r="G246" s="4" t="s">
        <v>251</v>
      </c>
      <c r="H246" s="4" t="s">
        <v>20</v>
      </c>
      <c r="I246" s="4" t="s">
        <v>895</v>
      </c>
    </row>
    <row r="247">
      <c r="A247" s="7">
        <v>45583.62462383102</v>
      </c>
      <c r="B247" s="4" t="s">
        <v>1155</v>
      </c>
      <c r="C247" s="4" t="s">
        <v>1157</v>
      </c>
      <c r="D247" s="4" t="s">
        <v>1158</v>
      </c>
      <c r="E247" s="4" t="s">
        <v>1159</v>
      </c>
      <c r="F247" s="4" t="s">
        <v>1160</v>
      </c>
      <c r="G247" s="4" t="s">
        <v>32</v>
      </c>
      <c r="H247" s="4" t="s">
        <v>20</v>
      </c>
      <c r="I247" s="4" t="s">
        <v>686</v>
      </c>
    </row>
    <row r="248">
      <c r="A248" s="7">
        <v>45583.62509340278</v>
      </c>
      <c r="B248" s="4" t="s">
        <v>1161</v>
      </c>
      <c r="C248" s="4" t="s">
        <v>1162</v>
      </c>
      <c r="D248" s="8" t="s">
        <v>1145</v>
      </c>
      <c r="E248" s="4" t="s">
        <v>653</v>
      </c>
      <c r="F248" s="4" t="s">
        <v>1163</v>
      </c>
      <c r="G248" s="4" t="s">
        <v>54</v>
      </c>
      <c r="H248" s="4" t="s">
        <v>20</v>
      </c>
      <c r="I248" s="4" t="s">
        <v>1164</v>
      </c>
    </row>
    <row r="249">
      <c r="A249" s="7">
        <v>45583.625519918976</v>
      </c>
      <c r="B249" s="4" t="s">
        <v>1165</v>
      </c>
      <c r="C249" s="4" t="s">
        <v>1166</v>
      </c>
      <c r="D249" s="4" t="s">
        <v>1158</v>
      </c>
      <c r="E249" s="4" t="s">
        <v>1159</v>
      </c>
      <c r="F249" s="4" t="s">
        <v>1167</v>
      </c>
      <c r="G249" s="4" t="s">
        <v>32</v>
      </c>
      <c r="H249" s="4" t="s">
        <v>20</v>
      </c>
      <c r="I249" s="4" t="s">
        <v>144</v>
      </c>
    </row>
    <row r="250">
      <c r="A250" s="7">
        <v>45583.62611053241</v>
      </c>
      <c r="B250" s="4" t="s">
        <v>1168</v>
      </c>
      <c r="C250" s="4" t="s">
        <v>1169</v>
      </c>
      <c r="D250" s="4" t="s">
        <v>1158</v>
      </c>
      <c r="E250" s="4" t="s">
        <v>1159</v>
      </c>
      <c r="F250" s="4" t="s">
        <v>1170</v>
      </c>
      <c r="G250" s="4" t="s">
        <v>32</v>
      </c>
      <c r="H250" s="4" t="s">
        <v>20</v>
      </c>
      <c r="I250" s="4" t="s">
        <v>144</v>
      </c>
    </row>
    <row r="251">
      <c r="A251" s="7">
        <v>45583.62718256944</v>
      </c>
      <c r="B251" s="4" t="s">
        <v>1171</v>
      </c>
      <c r="C251" s="4" t="s">
        <v>1172</v>
      </c>
      <c r="D251" s="4" t="s">
        <v>1158</v>
      </c>
      <c r="E251" s="4" t="s">
        <v>194</v>
      </c>
      <c r="F251" s="4" t="s">
        <v>1173</v>
      </c>
      <c r="G251" s="4" t="s">
        <v>32</v>
      </c>
      <c r="H251" s="4" t="s">
        <v>20</v>
      </c>
      <c r="I251" s="4" t="s">
        <v>927</v>
      </c>
    </row>
    <row r="252">
      <c r="A252" s="7">
        <v>45583.62853648148</v>
      </c>
      <c r="B252" s="4" t="s">
        <v>1174</v>
      </c>
      <c r="C252" s="4" t="s">
        <v>1175</v>
      </c>
      <c r="D252" s="4" t="s">
        <v>1151</v>
      </c>
      <c r="E252" s="4" t="s">
        <v>410</v>
      </c>
      <c r="F252" s="4" t="s">
        <v>1176</v>
      </c>
      <c r="G252" s="4" t="s">
        <v>251</v>
      </c>
      <c r="H252" s="4" t="s">
        <v>20</v>
      </c>
      <c r="I252" s="4" t="s">
        <v>922</v>
      </c>
    </row>
    <row r="253">
      <c r="A253" s="7">
        <v>45583.63185965278</v>
      </c>
      <c r="B253" s="4" t="s">
        <v>1177</v>
      </c>
      <c r="C253" s="4" t="s">
        <v>1178</v>
      </c>
      <c r="D253" s="4" t="s">
        <v>1129</v>
      </c>
      <c r="E253" s="4" t="s">
        <v>1179</v>
      </c>
      <c r="F253" s="4" t="s">
        <v>1180</v>
      </c>
      <c r="G253" s="4" t="s">
        <v>32</v>
      </c>
      <c r="H253" s="4" t="s">
        <v>20</v>
      </c>
      <c r="I253" s="4" t="s">
        <v>1181</v>
      </c>
    </row>
    <row r="254">
      <c r="A254" s="7">
        <v>45584.39489998843</v>
      </c>
      <c r="B254" s="4" t="s">
        <v>1182</v>
      </c>
      <c r="C254" s="4" t="s">
        <v>1183</v>
      </c>
      <c r="D254" s="8" t="s">
        <v>1184</v>
      </c>
      <c r="E254" s="4" t="s">
        <v>17</v>
      </c>
      <c r="F254" s="4" t="s">
        <v>1185</v>
      </c>
      <c r="G254" s="4" t="s">
        <v>41</v>
      </c>
      <c r="H254" s="4" t="s">
        <v>20</v>
      </c>
      <c r="I254" s="4" t="s">
        <v>109</v>
      </c>
    </row>
    <row r="255">
      <c r="A255" s="7">
        <v>45584.433043136574</v>
      </c>
      <c r="B255" s="4" t="s">
        <v>1186</v>
      </c>
      <c r="C255" s="4" t="s">
        <v>1187</v>
      </c>
      <c r="D255" s="8" t="s">
        <v>1188</v>
      </c>
      <c r="E255" s="4" t="s">
        <v>78</v>
      </c>
      <c r="F255" s="4" t="s">
        <v>1189</v>
      </c>
      <c r="G255" s="4" t="s">
        <v>41</v>
      </c>
      <c r="H255" s="4" t="s">
        <v>20</v>
      </c>
      <c r="I255" s="4" t="s">
        <v>1190</v>
      </c>
    </row>
    <row r="256">
      <c r="A256" s="7">
        <v>45584.43982126158</v>
      </c>
      <c r="B256" s="4" t="s">
        <v>1191</v>
      </c>
      <c r="C256" s="4" t="s">
        <v>1192</v>
      </c>
      <c r="D256" s="8" t="s">
        <v>1193</v>
      </c>
      <c r="E256" s="4" t="s">
        <v>1194</v>
      </c>
      <c r="F256" s="4" t="s">
        <v>1195</v>
      </c>
      <c r="G256" s="4" t="s">
        <v>41</v>
      </c>
      <c r="H256" s="4" t="s">
        <v>20</v>
      </c>
      <c r="I256" s="4" t="s">
        <v>190</v>
      </c>
    </row>
    <row r="257">
      <c r="A257" s="7">
        <v>45586.36775601852</v>
      </c>
      <c r="B257" s="4" t="s">
        <v>1196</v>
      </c>
      <c r="C257" s="4" t="s">
        <v>1197</v>
      </c>
      <c r="D257" s="8" t="s">
        <v>1198</v>
      </c>
      <c r="E257" s="4" t="s">
        <v>410</v>
      </c>
      <c r="F257" s="4" t="s">
        <v>1199</v>
      </c>
      <c r="G257" s="4" t="s">
        <v>251</v>
      </c>
      <c r="H257" s="4" t="s">
        <v>20</v>
      </c>
      <c r="I257" s="4" t="s">
        <v>922</v>
      </c>
    </row>
    <row r="258">
      <c r="A258" s="7">
        <v>45586.369165763885</v>
      </c>
      <c r="B258" s="4" t="s">
        <v>273</v>
      </c>
      <c r="C258" s="4" t="s">
        <v>275</v>
      </c>
      <c r="D258" s="4" t="s">
        <v>276</v>
      </c>
      <c r="E258" s="4" t="s">
        <v>345</v>
      </c>
      <c r="F258" s="4" t="s">
        <v>277</v>
      </c>
      <c r="G258" s="4" t="s">
        <v>54</v>
      </c>
      <c r="H258" s="4" t="s">
        <v>570</v>
      </c>
      <c r="I258" s="4" t="s">
        <v>279</v>
      </c>
    </row>
    <row r="259">
      <c r="A259" s="7">
        <v>45586.38950822917</v>
      </c>
      <c r="B259" s="4" t="s">
        <v>1200</v>
      </c>
      <c r="C259" s="4" t="s">
        <v>1201</v>
      </c>
      <c r="D259" s="8" t="s">
        <v>1202</v>
      </c>
      <c r="E259" s="4" t="s">
        <v>96</v>
      </c>
      <c r="F259" s="4" t="s">
        <v>1203</v>
      </c>
      <c r="G259" s="4" t="s">
        <v>32</v>
      </c>
      <c r="H259" s="4" t="s">
        <v>20</v>
      </c>
      <c r="I259" s="4" t="s">
        <v>152</v>
      </c>
    </row>
    <row r="260">
      <c r="A260" s="7">
        <v>45586.415747418985</v>
      </c>
      <c r="B260" s="4" t="s">
        <v>1204</v>
      </c>
      <c r="C260" s="4" t="s">
        <v>1205</v>
      </c>
      <c r="D260" s="4" t="s">
        <v>1206</v>
      </c>
      <c r="E260" s="4" t="s">
        <v>404</v>
      </c>
      <c r="F260" s="4" t="s">
        <v>1207</v>
      </c>
      <c r="G260" s="4" t="s">
        <v>251</v>
      </c>
      <c r="H260" s="4" t="s">
        <v>20</v>
      </c>
      <c r="I260" s="4" t="s">
        <v>1207</v>
      </c>
    </row>
    <row r="261">
      <c r="A261" s="7">
        <v>45586.41635734953</v>
      </c>
      <c r="B261" s="4" t="s">
        <v>1208</v>
      </c>
      <c r="C261" s="4" t="s">
        <v>1205</v>
      </c>
      <c r="D261" s="4" t="s">
        <v>1209</v>
      </c>
      <c r="E261" s="4" t="s">
        <v>404</v>
      </c>
      <c r="F261" s="4" t="s">
        <v>1210</v>
      </c>
      <c r="G261" s="4" t="s">
        <v>251</v>
      </c>
      <c r="H261" s="4" t="s">
        <v>20</v>
      </c>
      <c r="I261" s="4" t="s">
        <v>1209</v>
      </c>
    </row>
    <row r="262">
      <c r="A262" s="7">
        <v>45586.417069675925</v>
      </c>
      <c r="B262" s="4" t="s">
        <v>1211</v>
      </c>
      <c r="C262" s="4" t="s">
        <v>1205</v>
      </c>
      <c r="D262" s="4" t="s">
        <v>1206</v>
      </c>
      <c r="E262" s="4" t="s">
        <v>404</v>
      </c>
      <c r="F262" s="4" t="s">
        <v>1212</v>
      </c>
      <c r="G262" s="4" t="s">
        <v>251</v>
      </c>
      <c r="H262" s="4" t="s">
        <v>20</v>
      </c>
      <c r="I262" s="4" t="s">
        <v>479</v>
      </c>
    </row>
    <row r="263">
      <c r="A263" s="7">
        <v>45586.424342384256</v>
      </c>
      <c r="B263" s="4" t="s">
        <v>1213</v>
      </c>
      <c r="C263" s="4" t="s">
        <v>1214</v>
      </c>
      <c r="D263" s="8" t="s">
        <v>1215</v>
      </c>
      <c r="E263" s="4" t="s">
        <v>1216</v>
      </c>
      <c r="F263" s="4" t="s">
        <v>1217</v>
      </c>
      <c r="G263" s="4" t="s">
        <v>19</v>
      </c>
      <c r="H263" s="4" t="s">
        <v>20</v>
      </c>
      <c r="I263" s="4" t="s">
        <v>1218</v>
      </c>
    </row>
    <row r="264">
      <c r="A264" s="7">
        <v>45586.428483090276</v>
      </c>
      <c r="B264" s="4" t="s">
        <v>1219</v>
      </c>
      <c r="C264" s="4" t="s">
        <v>1220</v>
      </c>
      <c r="D264" s="8" t="s">
        <v>1221</v>
      </c>
      <c r="E264" s="4" t="s">
        <v>17</v>
      </c>
      <c r="F264" s="4" t="s">
        <v>1222</v>
      </c>
      <c r="G264" s="4" t="s">
        <v>19</v>
      </c>
      <c r="H264" s="4" t="s">
        <v>20</v>
      </c>
      <c r="I264" s="4" t="s">
        <v>26</v>
      </c>
    </row>
    <row r="265">
      <c r="A265" s="7">
        <v>45586.433526493056</v>
      </c>
      <c r="B265" s="4" t="s">
        <v>1223</v>
      </c>
      <c r="C265" s="4" t="s">
        <v>1224</v>
      </c>
      <c r="D265" s="8" t="s">
        <v>1225</v>
      </c>
      <c r="E265" s="4" t="s">
        <v>17</v>
      </c>
      <c r="F265" s="4" t="s">
        <v>1226</v>
      </c>
      <c r="G265" s="4" t="s">
        <v>19</v>
      </c>
      <c r="H265" s="4" t="s">
        <v>20</v>
      </c>
      <c r="I265" s="4" t="s">
        <v>748</v>
      </c>
    </row>
    <row r="266">
      <c r="A266" s="7">
        <v>45586.43605934028</v>
      </c>
      <c r="B266" s="4" t="s">
        <v>1227</v>
      </c>
      <c r="C266" s="4" t="s">
        <v>1228</v>
      </c>
      <c r="D266" s="4" t="s">
        <v>1229</v>
      </c>
      <c r="E266" s="4" t="s">
        <v>313</v>
      </c>
      <c r="F266" s="4" t="s">
        <v>1230</v>
      </c>
      <c r="G266" s="4" t="s">
        <v>251</v>
      </c>
      <c r="H266" s="4" t="s">
        <v>20</v>
      </c>
      <c r="I266" s="4" t="s">
        <v>1086</v>
      </c>
    </row>
    <row r="267">
      <c r="A267" s="7">
        <v>45586.4373816088</v>
      </c>
      <c r="B267" s="4" t="s">
        <v>199</v>
      </c>
      <c r="C267" s="4" t="s">
        <v>1231</v>
      </c>
      <c r="D267" s="4" t="s">
        <v>1229</v>
      </c>
      <c r="E267" s="4" t="s">
        <v>313</v>
      </c>
      <c r="F267" s="4" t="s">
        <v>1232</v>
      </c>
      <c r="G267" s="4" t="s">
        <v>251</v>
      </c>
      <c r="H267" s="4" t="s">
        <v>20</v>
      </c>
      <c r="I267" s="4" t="s">
        <v>1086</v>
      </c>
    </row>
    <row r="268">
      <c r="A268" s="7">
        <v>45586.43935042824</v>
      </c>
      <c r="B268" s="4" t="s">
        <v>1234</v>
      </c>
      <c r="C268" s="4" t="s">
        <v>1235</v>
      </c>
      <c r="D268" s="4" t="s">
        <v>1229</v>
      </c>
      <c r="E268" s="4" t="s">
        <v>410</v>
      </c>
      <c r="F268" s="4" t="s">
        <v>1236</v>
      </c>
      <c r="G268" s="4" t="s">
        <v>251</v>
      </c>
      <c r="H268" s="4" t="s">
        <v>20</v>
      </c>
      <c r="I268" s="4" t="s">
        <v>319</v>
      </c>
    </row>
    <row r="269">
      <c r="A269" s="7">
        <v>45586.440448298614</v>
      </c>
      <c r="B269" s="4" t="s">
        <v>1237</v>
      </c>
      <c r="C269" s="4" t="s">
        <v>1238</v>
      </c>
      <c r="D269" s="4" t="s">
        <v>1229</v>
      </c>
      <c r="E269" s="4" t="s">
        <v>410</v>
      </c>
      <c r="F269" s="4" t="s">
        <v>1239</v>
      </c>
      <c r="G269" s="4" t="s">
        <v>251</v>
      </c>
      <c r="H269" s="4" t="s">
        <v>20</v>
      </c>
      <c r="I269" s="4" t="s">
        <v>319</v>
      </c>
    </row>
    <row r="270">
      <c r="A270" s="7">
        <v>45586.446084490744</v>
      </c>
      <c r="B270" s="4" t="s">
        <v>1240</v>
      </c>
      <c r="C270" s="4" t="s">
        <v>1241</v>
      </c>
      <c r="D270" s="8" t="s">
        <v>1242</v>
      </c>
      <c r="E270" s="4" t="s">
        <v>30</v>
      </c>
      <c r="F270" s="4" t="s">
        <v>1243</v>
      </c>
      <c r="G270" s="4" t="s">
        <v>32</v>
      </c>
      <c r="H270" s="4" t="s">
        <v>20</v>
      </c>
      <c r="I270" s="4" t="s">
        <v>74</v>
      </c>
    </row>
    <row r="271">
      <c r="A271" s="7">
        <v>45586.44863460648</v>
      </c>
      <c r="B271" s="4" t="s">
        <v>1244</v>
      </c>
      <c r="C271" s="4" t="s">
        <v>1245</v>
      </c>
      <c r="D271" s="4" t="s">
        <v>1246</v>
      </c>
      <c r="E271" s="4" t="s">
        <v>313</v>
      </c>
      <c r="F271" s="4" t="s">
        <v>1247</v>
      </c>
      <c r="G271" s="4" t="s">
        <v>251</v>
      </c>
      <c r="H271" s="4" t="s">
        <v>20</v>
      </c>
      <c r="I271" s="4" t="s">
        <v>446</v>
      </c>
    </row>
    <row r="272">
      <c r="A272" s="7">
        <v>45586.44995195602</v>
      </c>
      <c r="B272" s="4" t="s">
        <v>1248</v>
      </c>
      <c r="C272" s="4" t="s">
        <v>1249</v>
      </c>
      <c r="D272" s="4" t="s">
        <v>1246</v>
      </c>
      <c r="E272" s="4" t="s">
        <v>313</v>
      </c>
      <c r="F272" s="4" t="s">
        <v>1250</v>
      </c>
      <c r="G272" s="4" t="s">
        <v>251</v>
      </c>
      <c r="H272" s="4" t="s">
        <v>20</v>
      </c>
      <c r="I272" s="4" t="s">
        <v>1086</v>
      </c>
    </row>
    <row r="273">
      <c r="A273" s="7">
        <v>45586.459929317134</v>
      </c>
      <c r="B273" s="4" t="s">
        <v>1251</v>
      </c>
      <c r="C273" s="4" t="s">
        <v>1252</v>
      </c>
      <c r="D273" s="4" t="s">
        <v>613</v>
      </c>
      <c r="E273" s="4" t="s">
        <v>313</v>
      </c>
      <c r="F273" s="4" t="s">
        <v>1253</v>
      </c>
      <c r="G273" s="4" t="s">
        <v>251</v>
      </c>
      <c r="H273" s="4" t="s">
        <v>20</v>
      </c>
      <c r="I273" s="4" t="s">
        <v>895</v>
      </c>
    </row>
    <row r="274">
      <c r="A274" s="7">
        <v>45586.47370008102</v>
      </c>
      <c r="B274" s="4" t="s">
        <v>1254</v>
      </c>
      <c r="C274" s="4" t="s">
        <v>1255</v>
      </c>
      <c r="D274" s="8" t="s">
        <v>403</v>
      </c>
      <c r="E274" s="4" t="s">
        <v>1256</v>
      </c>
      <c r="F274" s="4" t="s">
        <v>1257</v>
      </c>
      <c r="G274" s="4" t="s">
        <v>54</v>
      </c>
      <c r="H274" s="4" t="s">
        <v>20</v>
      </c>
      <c r="I274" s="4" t="s">
        <v>315</v>
      </c>
    </row>
    <row r="275">
      <c r="A275" s="7">
        <v>45586.47666724537</v>
      </c>
      <c r="B275" s="4" t="s">
        <v>1258</v>
      </c>
      <c r="C275" s="4" t="s">
        <v>1259</v>
      </c>
      <c r="D275" s="8" t="s">
        <v>403</v>
      </c>
      <c r="E275" s="4" t="s">
        <v>313</v>
      </c>
      <c r="F275" s="4" t="s">
        <v>1260</v>
      </c>
      <c r="G275" s="4" t="s">
        <v>54</v>
      </c>
      <c r="H275" s="4" t="s">
        <v>20</v>
      </c>
      <c r="I275" s="4" t="s">
        <v>1261</v>
      </c>
    </row>
    <row r="276">
      <c r="A276" s="7">
        <v>45586.47820508102</v>
      </c>
      <c r="B276" s="4" t="s">
        <v>1262</v>
      </c>
      <c r="C276" s="4" t="s">
        <v>1263</v>
      </c>
      <c r="D276" s="8" t="s">
        <v>1264</v>
      </c>
      <c r="E276" s="4" t="s">
        <v>754</v>
      </c>
      <c r="F276" s="4" t="s">
        <v>1265</v>
      </c>
      <c r="G276" s="4" t="s">
        <v>251</v>
      </c>
      <c r="H276" s="4" t="s">
        <v>20</v>
      </c>
      <c r="I276" s="4" t="s">
        <v>471</v>
      </c>
    </row>
    <row r="277">
      <c r="A277" s="7">
        <v>45586.47962856482</v>
      </c>
      <c r="B277" s="4" t="s">
        <v>1266</v>
      </c>
      <c r="C277" s="4" t="s">
        <v>1267</v>
      </c>
      <c r="D277" s="8" t="s">
        <v>403</v>
      </c>
      <c r="E277" s="4" t="s">
        <v>313</v>
      </c>
      <c r="F277" s="4" t="s">
        <v>1268</v>
      </c>
      <c r="G277" s="4" t="s">
        <v>54</v>
      </c>
      <c r="H277" s="4" t="s">
        <v>20</v>
      </c>
      <c r="I277" s="4" t="s">
        <v>1269</v>
      </c>
    </row>
    <row r="278">
      <c r="A278" s="7">
        <v>45586.482989861106</v>
      </c>
      <c r="B278" s="4" t="s">
        <v>1270</v>
      </c>
      <c r="C278" s="4" t="s">
        <v>1271</v>
      </c>
      <c r="D278" s="8" t="s">
        <v>403</v>
      </c>
      <c r="E278" s="4" t="s">
        <v>313</v>
      </c>
      <c r="F278" s="4" t="s">
        <v>1272</v>
      </c>
      <c r="G278" s="4" t="s">
        <v>54</v>
      </c>
      <c r="H278" s="4" t="s">
        <v>20</v>
      </c>
      <c r="I278" s="4" t="s">
        <v>1269</v>
      </c>
    </row>
    <row r="279">
      <c r="A279" s="7">
        <v>45586.488383090276</v>
      </c>
      <c r="B279" s="4" t="s">
        <v>1273</v>
      </c>
      <c r="C279" s="4" t="s">
        <v>1274</v>
      </c>
      <c r="D279" s="8" t="s">
        <v>1275</v>
      </c>
      <c r="E279" s="4" t="s">
        <v>1276</v>
      </c>
      <c r="F279" s="4" t="s">
        <v>1277</v>
      </c>
      <c r="G279" s="4" t="s">
        <v>19</v>
      </c>
      <c r="H279" s="4" t="s">
        <v>20</v>
      </c>
      <c r="I279" s="4" t="s">
        <v>440</v>
      </c>
    </row>
    <row r="280">
      <c r="A280" s="7">
        <v>45586.493045428244</v>
      </c>
      <c r="B280" s="4" t="s">
        <v>90</v>
      </c>
      <c r="C280" s="4" t="s">
        <v>1278</v>
      </c>
      <c r="D280" s="8" t="s">
        <v>1279</v>
      </c>
      <c r="E280" s="4" t="s">
        <v>754</v>
      </c>
      <c r="F280" s="4" t="s">
        <v>1280</v>
      </c>
      <c r="G280" s="4" t="s">
        <v>54</v>
      </c>
      <c r="H280" s="4" t="s">
        <v>20</v>
      </c>
      <c r="I280" s="4" t="s">
        <v>1281</v>
      </c>
    </row>
    <row r="281">
      <c r="A281" s="7">
        <v>45586.49594504629</v>
      </c>
      <c r="B281" s="4" t="s">
        <v>1282</v>
      </c>
      <c r="C281" s="4" t="s">
        <v>1283</v>
      </c>
      <c r="D281" s="8" t="s">
        <v>658</v>
      </c>
      <c r="E281" s="4" t="s">
        <v>313</v>
      </c>
      <c r="F281" s="4" t="s">
        <v>1284</v>
      </c>
      <c r="G281" s="4" t="s">
        <v>54</v>
      </c>
      <c r="H281" s="4" t="s">
        <v>20</v>
      </c>
      <c r="I281" s="4" t="s">
        <v>690</v>
      </c>
    </row>
    <row r="282">
      <c r="A282" s="7">
        <v>45586.554170682866</v>
      </c>
      <c r="B282" s="4" t="s">
        <v>1285</v>
      </c>
      <c r="C282" s="4" t="s">
        <v>1286</v>
      </c>
      <c r="D282" s="8" t="s">
        <v>1287</v>
      </c>
      <c r="E282" s="4" t="s">
        <v>173</v>
      </c>
      <c r="F282" s="4" t="s">
        <v>1288</v>
      </c>
      <c r="G282" s="4" t="s">
        <v>41</v>
      </c>
      <c r="H282" s="4" t="s">
        <v>20</v>
      </c>
      <c r="I282" s="4" t="s">
        <v>1289</v>
      </c>
    </row>
    <row r="283">
      <c r="A283" s="7">
        <v>45586.56267208333</v>
      </c>
      <c r="B283" s="4" t="s">
        <v>1290</v>
      </c>
      <c r="C283" s="4" t="s">
        <v>1291</v>
      </c>
      <c r="D283" s="8" t="s">
        <v>1292</v>
      </c>
      <c r="E283" s="4" t="s">
        <v>1293</v>
      </c>
      <c r="F283" s="4" t="s">
        <v>1294</v>
      </c>
      <c r="G283" s="4" t="s">
        <v>251</v>
      </c>
      <c r="H283" s="4" t="s">
        <v>20</v>
      </c>
      <c r="I283" s="4" t="s">
        <v>1295</v>
      </c>
    </row>
    <row r="284">
      <c r="A284" s="7">
        <v>45586.563376018516</v>
      </c>
      <c r="B284" s="4" t="s">
        <v>1296</v>
      </c>
      <c r="C284" s="4" t="s">
        <v>1297</v>
      </c>
      <c r="D284" s="8" t="s">
        <v>1298</v>
      </c>
      <c r="E284" s="4" t="s">
        <v>17</v>
      </c>
      <c r="F284" s="4" t="s">
        <v>1299</v>
      </c>
      <c r="G284" s="4" t="s">
        <v>19</v>
      </c>
      <c r="H284" s="4" t="s">
        <v>20</v>
      </c>
      <c r="I284" s="4" t="s">
        <v>1141</v>
      </c>
    </row>
    <row r="285">
      <c r="A285" s="7">
        <v>45586.57569236111</v>
      </c>
      <c r="B285" s="4" t="s">
        <v>1300</v>
      </c>
      <c r="C285" s="4" t="s">
        <v>1301</v>
      </c>
      <c r="D285" s="8" t="s">
        <v>1302</v>
      </c>
      <c r="E285" s="4" t="s">
        <v>284</v>
      </c>
      <c r="F285" s="4" t="s">
        <v>1303</v>
      </c>
      <c r="G285" s="4" t="s">
        <v>251</v>
      </c>
      <c r="H285" s="4" t="s">
        <v>20</v>
      </c>
      <c r="I285" s="4" t="s">
        <v>446</v>
      </c>
    </row>
    <row r="286">
      <c r="A286" s="7">
        <v>45586.577285231484</v>
      </c>
      <c r="B286" s="4" t="s">
        <v>1304</v>
      </c>
      <c r="C286" s="4" t="s">
        <v>1305</v>
      </c>
      <c r="D286" s="8" t="s">
        <v>648</v>
      </c>
      <c r="E286" s="4" t="s">
        <v>313</v>
      </c>
      <c r="F286" s="4" t="s">
        <v>1306</v>
      </c>
      <c r="G286" s="4" t="s">
        <v>251</v>
      </c>
      <c r="H286" s="4" t="s">
        <v>20</v>
      </c>
      <c r="I286" s="4" t="s">
        <v>839</v>
      </c>
    </row>
    <row r="287">
      <c r="A287" s="7">
        <v>45586.57799196759</v>
      </c>
      <c r="B287" s="4" t="s">
        <v>1307</v>
      </c>
      <c r="C287" s="4" t="s">
        <v>1308</v>
      </c>
      <c r="D287" s="4" t="s">
        <v>1309</v>
      </c>
      <c r="E287" s="4" t="s">
        <v>528</v>
      </c>
      <c r="F287" s="4" t="s">
        <v>1310</v>
      </c>
      <c r="G287" s="4" t="s">
        <v>32</v>
      </c>
      <c r="H287" s="4" t="s">
        <v>20</v>
      </c>
      <c r="I287" s="4" t="s">
        <v>144</v>
      </c>
    </row>
    <row r="288">
      <c r="A288" s="7">
        <v>45586.57933738426</v>
      </c>
      <c r="B288" s="4" t="s">
        <v>1311</v>
      </c>
      <c r="C288" s="4" t="s">
        <v>1312</v>
      </c>
      <c r="D288" s="4" t="s">
        <v>1309</v>
      </c>
      <c r="E288" s="4" t="s">
        <v>1313</v>
      </c>
      <c r="F288" s="4" t="s">
        <v>1314</v>
      </c>
      <c r="G288" s="4" t="s">
        <v>32</v>
      </c>
      <c r="H288" s="4" t="s">
        <v>20</v>
      </c>
      <c r="I288" s="4" t="s">
        <v>1315</v>
      </c>
    </row>
    <row r="289">
      <c r="A289" s="7">
        <v>45586.58033521991</v>
      </c>
      <c r="B289" s="4" t="s">
        <v>1316</v>
      </c>
      <c r="C289" s="4" t="s">
        <v>1317</v>
      </c>
      <c r="D289" s="8" t="s">
        <v>1318</v>
      </c>
      <c r="E289" s="4" t="s">
        <v>17</v>
      </c>
      <c r="F289" s="4" t="s">
        <v>1319</v>
      </c>
      <c r="G289" s="4" t="s">
        <v>19</v>
      </c>
      <c r="H289" s="4" t="s">
        <v>20</v>
      </c>
      <c r="I289" s="4" t="s">
        <v>375</v>
      </c>
    </row>
    <row r="290">
      <c r="A290" s="7">
        <v>45586.58868630787</v>
      </c>
      <c r="B290" s="4" t="s">
        <v>1320</v>
      </c>
      <c r="C290" s="4" t="s">
        <v>1321</v>
      </c>
      <c r="D290" s="8" t="s">
        <v>1322</v>
      </c>
      <c r="E290" s="4" t="s">
        <v>1323</v>
      </c>
      <c r="F290" s="4" t="s">
        <v>1324</v>
      </c>
      <c r="G290" s="4" t="s">
        <v>54</v>
      </c>
      <c r="H290" s="4" t="s">
        <v>20</v>
      </c>
      <c r="I290" s="4" t="s">
        <v>1325</v>
      </c>
    </row>
    <row r="291">
      <c r="A291" s="7">
        <v>45586.59003659722</v>
      </c>
      <c r="B291" s="4" t="s">
        <v>1326</v>
      </c>
      <c r="C291" s="4" t="s">
        <v>1327</v>
      </c>
      <c r="D291" s="8" t="s">
        <v>1322</v>
      </c>
      <c r="E291" s="4" t="s">
        <v>583</v>
      </c>
      <c r="F291" s="4" t="s">
        <v>1328</v>
      </c>
      <c r="G291" s="4" t="s">
        <v>54</v>
      </c>
      <c r="H291" s="4" t="s">
        <v>20</v>
      </c>
      <c r="I291" s="4" t="s">
        <v>1329</v>
      </c>
    </row>
    <row r="292">
      <c r="A292" s="7">
        <v>45586.59182375</v>
      </c>
      <c r="B292" s="4" t="s">
        <v>1330</v>
      </c>
      <c r="C292" s="4" t="s">
        <v>1331</v>
      </c>
      <c r="D292" s="8" t="s">
        <v>1322</v>
      </c>
      <c r="E292" s="4" t="s">
        <v>1323</v>
      </c>
      <c r="F292" s="4" t="s">
        <v>1332</v>
      </c>
      <c r="G292" s="4" t="s">
        <v>54</v>
      </c>
      <c r="H292" s="4" t="s">
        <v>20</v>
      </c>
      <c r="I292" s="4" t="s">
        <v>1333</v>
      </c>
    </row>
    <row r="293">
      <c r="A293" s="7">
        <v>45586.59239065972</v>
      </c>
      <c r="B293" s="4" t="s">
        <v>1334</v>
      </c>
      <c r="C293" s="4" t="s">
        <v>1335</v>
      </c>
      <c r="D293" s="8" t="s">
        <v>29</v>
      </c>
      <c r="E293" s="4" t="s">
        <v>1336</v>
      </c>
      <c r="F293" s="4" t="s">
        <v>1337</v>
      </c>
      <c r="G293" s="4" t="s">
        <v>32</v>
      </c>
      <c r="H293" s="4" t="s">
        <v>20</v>
      </c>
      <c r="I293" s="4" t="s">
        <v>33</v>
      </c>
    </row>
    <row r="294">
      <c r="A294" s="7">
        <v>45586.59264203704</v>
      </c>
      <c r="B294" s="4" t="s">
        <v>1339</v>
      </c>
      <c r="C294" s="4" t="s">
        <v>1340</v>
      </c>
      <c r="D294" s="4" t="s">
        <v>1341</v>
      </c>
      <c r="E294" s="4" t="s">
        <v>1342</v>
      </c>
      <c r="F294" s="4" t="s">
        <v>1343</v>
      </c>
      <c r="G294" s="4" t="s">
        <v>251</v>
      </c>
      <c r="H294" s="4" t="s">
        <v>20</v>
      </c>
      <c r="I294" s="4" t="s">
        <v>1344</v>
      </c>
    </row>
    <row r="295">
      <c r="A295" s="7">
        <v>45586.59312777778</v>
      </c>
      <c r="B295" s="4" t="s">
        <v>1345</v>
      </c>
      <c r="C295" s="4" t="s">
        <v>1346</v>
      </c>
      <c r="D295" s="8" t="s">
        <v>1347</v>
      </c>
      <c r="E295" s="4" t="s">
        <v>194</v>
      </c>
      <c r="F295" s="4" t="s">
        <v>1348</v>
      </c>
      <c r="G295" s="4" t="s">
        <v>19</v>
      </c>
      <c r="H295" s="4" t="s">
        <v>20</v>
      </c>
      <c r="I295" s="4" t="s">
        <v>807</v>
      </c>
    </row>
    <row r="296">
      <c r="A296" s="7">
        <v>45586.59960403935</v>
      </c>
      <c r="B296" s="4" t="s">
        <v>1349</v>
      </c>
      <c r="C296" s="4" t="s">
        <v>1350</v>
      </c>
      <c r="D296" s="8" t="s">
        <v>29</v>
      </c>
      <c r="E296" s="4" t="s">
        <v>1336</v>
      </c>
      <c r="F296" s="4" t="s">
        <v>1351</v>
      </c>
      <c r="G296" s="4" t="s">
        <v>32</v>
      </c>
      <c r="H296" s="4" t="s">
        <v>20</v>
      </c>
      <c r="I296" s="4" t="s">
        <v>1218</v>
      </c>
    </row>
    <row r="297">
      <c r="A297" s="7">
        <v>45586.60118070601</v>
      </c>
      <c r="B297" s="4" t="s">
        <v>1352</v>
      </c>
      <c r="C297" s="4" t="s">
        <v>1353</v>
      </c>
      <c r="D297" s="8" t="s">
        <v>1354</v>
      </c>
      <c r="E297" s="4" t="s">
        <v>96</v>
      </c>
      <c r="F297" s="4" t="s">
        <v>1355</v>
      </c>
      <c r="G297" s="4" t="s">
        <v>32</v>
      </c>
      <c r="H297" s="4" t="s">
        <v>20</v>
      </c>
      <c r="I297" s="4" t="s">
        <v>121</v>
      </c>
    </row>
    <row r="298">
      <c r="A298" s="7">
        <v>45586.60514197916</v>
      </c>
      <c r="B298" s="4" t="s">
        <v>1356</v>
      </c>
      <c r="C298" s="4" t="s">
        <v>1357</v>
      </c>
      <c r="D298" s="8" t="s">
        <v>1358</v>
      </c>
      <c r="E298" s="4" t="s">
        <v>313</v>
      </c>
      <c r="F298" s="4" t="s">
        <v>1359</v>
      </c>
      <c r="G298" s="4" t="s">
        <v>54</v>
      </c>
      <c r="H298" s="4" t="s">
        <v>20</v>
      </c>
      <c r="I298" s="4" t="s">
        <v>446</v>
      </c>
    </row>
    <row r="299">
      <c r="A299" s="7">
        <v>45586.60815702546</v>
      </c>
      <c r="B299" s="4" t="s">
        <v>1360</v>
      </c>
      <c r="C299" s="4" t="s">
        <v>1361</v>
      </c>
      <c r="D299" s="8" t="s">
        <v>1362</v>
      </c>
      <c r="E299" s="4" t="s">
        <v>313</v>
      </c>
      <c r="F299" s="4" t="s">
        <v>1363</v>
      </c>
      <c r="G299" s="4" t="s">
        <v>251</v>
      </c>
      <c r="H299" s="4" t="s">
        <v>20</v>
      </c>
      <c r="I299" s="4" t="s">
        <v>839</v>
      </c>
    </row>
    <row r="300">
      <c r="A300" s="7">
        <v>45586.621708935185</v>
      </c>
      <c r="B300" s="4" t="s">
        <v>1364</v>
      </c>
      <c r="C300" s="4" t="s">
        <v>1365</v>
      </c>
      <c r="D300" s="8" t="s">
        <v>1362</v>
      </c>
      <c r="E300" s="4" t="s">
        <v>284</v>
      </c>
      <c r="F300" s="4" t="s">
        <v>1366</v>
      </c>
      <c r="G300" s="4" t="s">
        <v>251</v>
      </c>
      <c r="H300" s="4" t="s">
        <v>20</v>
      </c>
      <c r="I300" s="4" t="s">
        <v>1367</v>
      </c>
    </row>
    <row r="301">
      <c r="A301" s="7">
        <v>45586.61618981481</v>
      </c>
      <c r="B301" s="4" t="s">
        <v>1368</v>
      </c>
      <c r="C301" s="4" t="s">
        <v>1369</v>
      </c>
      <c r="D301" s="8" t="s">
        <v>1370</v>
      </c>
      <c r="E301" s="4" t="s">
        <v>113</v>
      </c>
      <c r="F301" s="4" t="s">
        <v>1371</v>
      </c>
      <c r="G301" s="4" t="s">
        <v>32</v>
      </c>
      <c r="H301" s="4" t="s">
        <v>20</v>
      </c>
      <c r="I301" s="4" t="s">
        <v>147</v>
      </c>
    </row>
    <row r="302">
      <c r="A302" s="7">
        <v>45586.61763685185</v>
      </c>
      <c r="B302" s="4" t="s">
        <v>1372</v>
      </c>
      <c r="C302" s="4" t="s">
        <v>1373</v>
      </c>
      <c r="D302" s="8" t="s">
        <v>1374</v>
      </c>
      <c r="E302" s="4" t="s">
        <v>313</v>
      </c>
      <c r="F302" s="4" t="s">
        <v>1375</v>
      </c>
      <c r="G302" s="4" t="s">
        <v>54</v>
      </c>
      <c r="H302" s="4" t="s">
        <v>20</v>
      </c>
      <c r="I302" s="4" t="s">
        <v>922</v>
      </c>
    </row>
    <row r="303">
      <c r="A303" s="7">
        <v>45586.61770418982</v>
      </c>
      <c r="B303" s="4" t="s">
        <v>1376</v>
      </c>
      <c r="C303" s="4" t="s">
        <v>1377</v>
      </c>
      <c r="D303" s="8" t="s">
        <v>1378</v>
      </c>
      <c r="E303" s="4" t="s">
        <v>1276</v>
      </c>
      <c r="F303" s="4" t="s">
        <v>1379</v>
      </c>
      <c r="G303" s="4" t="s">
        <v>19</v>
      </c>
      <c r="H303" s="4" t="s">
        <v>20</v>
      </c>
      <c r="I303" s="4" t="s">
        <v>91</v>
      </c>
    </row>
    <row r="304">
      <c r="A304" s="7">
        <v>45586.623078055556</v>
      </c>
      <c r="B304" s="4" t="s">
        <v>1380</v>
      </c>
      <c r="C304" s="4" t="s">
        <v>1381</v>
      </c>
      <c r="D304" s="4" t="s">
        <v>1382</v>
      </c>
      <c r="E304" s="4" t="s">
        <v>284</v>
      </c>
      <c r="F304" s="4" t="s">
        <v>1383</v>
      </c>
      <c r="G304" s="4" t="s">
        <v>251</v>
      </c>
      <c r="H304" s="4" t="s">
        <v>20</v>
      </c>
      <c r="I304" s="4" t="s">
        <v>479</v>
      </c>
    </row>
    <row r="305">
      <c r="A305" s="7">
        <v>45586.62575166667</v>
      </c>
      <c r="B305" s="4" t="s">
        <v>1384</v>
      </c>
      <c r="C305" s="4" t="s">
        <v>1385</v>
      </c>
      <c r="D305" s="4" t="s">
        <v>1382</v>
      </c>
      <c r="E305" s="4" t="s">
        <v>313</v>
      </c>
      <c r="F305" s="4" t="s">
        <v>1386</v>
      </c>
      <c r="G305" s="4" t="s">
        <v>251</v>
      </c>
      <c r="H305" s="4" t="s">
        <v>20</v>
      </c>
      <c r="I305" s="4" t="s">
        <v>1126</v>
      </c>
    </row>
    <row r="306">
      <c r="A306" s="7">
        <v>45586.642234652776</v>
      </c>
      <c r="B306" s="4" t="s">
        <v>1387</v>
      </c>
      <c r="C306" s="4" t="s">
        <v>1388</v>
      </c>
      <c r="D306" s="8" t="s">
        <v>511</v>
      </c>
      <c r="E306" s="4" t="s">
        <v>404</v>
      </c>
      <c r="F306" s="4" t="s">
        <v>1389</v>
      </c>
      <c r="G306" s="4" t="s">
        <v>251</v>
      </c>
      <c r="H306" s="4" t="s">
        <v>20</v>
      </c>
      <c r="I306" s="4" t="s">
        <v>922</v>
      </c>
    </row>
    <row r="307">
      <c r="A307" s="7">
        <v>45586.64783069445</v>
      </c>
      <c r="B307" s="4" t="s">
        <v>1390</v>
      </c>
      <c r="C307" s="4" t="s">
        <v>1391</v>
      </c>
      <c r="D307" s="8" t="s">
        <v>511</v>
      </c>
      <c r="E307" s="4" t="s">
        <v>313</v>
      </c>
      <c r="F307" s="4" t="s">
        <v>1392</v>
      </c>
      <c r="G307" s="4" t="s">
        <v>251</v>
      </c>
      <c r="H307" s="4" t="s">
        <v>20</v>
      </c>
      <c r="I307" s="4" t="s">
        <v>434</v>
      </c>
    </row>
    <row r="308">
      <c r="A308" s="7">
        <v>45586.648061678236</v>
      </c>
      <c r="B308" s="4" t="s">
        <v>480</v>
      </c>
      <c r="C308" s="4" t="s">
        <v>481</v>
      </c>
      <c r="D308" s="4" t="s">
        <v>1393</v>
      </c>
      <c r="E308" s="4" t="s">
        <v>481</v>
      </c>
      <c r="F308" s="4" t="s">
        <v>483</v>
      </c>
      <c r="G308" s="4" t="s">
        <v>32</v>
      </c>
      <c r="H308" s="4" t="s">
        <v>570</v>
      </c>
      <c r="I308" s="4" t="s">
        <v>484</v>
      </c>
    </row>
    <row r="309">
      <c r="A309" s="7">
        <v>45586.65351978009</v>
      </c>
      <c r="B309" s="4" t="s">
        <v>1394</v>
      </c>
      <c r="C309" s="4" t="s">
        <v>1395</v>
      </c>
      <c r="D309" s="4" t="s">
        <v>1079</v>
      </c>
      <c r="E309" s="4" t="s">
        <v>284</v>
      </c>
      <c r="F309" s="4" t="s">
        <v>1396</v>
      </c>
      <c r="G309" s="4" t="s">
        <v>54</v>
      </c>
      <c r="H309" s="4" t="s">
        <v>20</v>
      </c>
      <c r="I309" s="4" t="s">
        <v>319</v>
      </c>
    </row>
    <row r="310">
      <c r="A310" s="7">
        <v>45587.381703125</v>
      </c>
      <c r="B310" s="4" t="s">
        <v>1397</v>
      </c>
      <c r="C310" s="4" t="s">
        <v>1398</v>
      </c>
      <c r="D310" s="4" t="s">
        <v>276</v>
      </c>
      <c r="E310" s="4" t="s">
        <v>17</v>
      </c>
      <c r="F310" s="4" t="s">
        <v>1399</v>
      </c>
      <c r="G310" s="4" t="s">
        <v>54</v>
      </c>
      <c r="H310" s="4" t="s">
        <v>20</v>
      </c>
      <c r="I310" s="4" t="s">
        <v>1141</v>
      </c>
    </row>
    <row r="311">
      <c r="A311" s="7">
        <v>45587.38308005787</v>
      </c>
      <c r="B311" s="4" t="s">
        <v>1400</v>
      </c>
      <c r="C311" s="4" t="s">
        <v>1401</v>
      </c>
      <c r="D311" s="4" t="s">
        <v>613</v>
      </c>
      <c r="E311" s="4" t="s">
        <v>284</v>
      </c>
      <c r="F311" s="4" t="s">
        <v>1402</v>
      </c>
      <c r="G311" s="4" t="s">
        <v>54</v>
      </c>
      <c r="H311" s="4" t="s">
        <v>20</v>
      </c>
      <c r="I311" s="4" t="s">
        <v>585</v>
      </c>
    </row>
    <row r="312">
      <c r="A312" s="7">
        <v>45587.38516306713</v>
      </c>
      <c r="B312" s="4" t="s">
        <v>1403</v>
      </c>
      <c r="C312" s="4" t="s">
        <v>1404</v>
      </c>
      <c r="D312" s="4" t="s">
        <v>1405</v>
      </c>
      <c r="E312" s="4" t="s">
        <v>17</v>
      </c>
      <c r="F312" s="4" t="s">
        <v>1406</v>
      </c>
      <c r="G312" s="4" t="s">
        <v>32</v>
      </c>
      <c r="H312" s="4" t="s">
        <v>20</v>
      </c>
      <c r="I312" s="4" t="s">
        <v>1407</v>
      </c>
    </row>
    <row r="313">
      <c r="A313" s="7">
        <v>45587.385280891205</v>
      </c>
      <c r="B313" s="4" t="s">
        <v>1408</v>
      </c>
      <c r="C313" s="4" t="s">
        <v>1409</v>
      </c>
      <c r="D313" s="8" t="s">
        <v>1410</v>
      </c>
      <c r="E313" s="4" t="s">
        <v>517</v>
      </c>
      <c r="F313" s="4" t="s">
        <v>1411</v>
      </c>
      <c r="G313" s="4" t="s">
        <v>19</v>
      </c>
      <c r="H313" s="4" t="s">
        <v>20</v>
      </c>
      <c r="I313" s="4" t="s">
        <v>86</v>
      </c>
    </row>
    <row r="314">
      <c r="A314" s="7">
        <v>45587.388472858795</v>
      </c>
      <c r="B314" s="4" t="s">
        <v>1412</v>
      </c>
      <c r="C314" s="4" t="s">
        <v>1413</v>
      </c>
      <c r="D314" s="8" t="s">
        <v>1414</v>
      </c>
      <c r="E314" s="4" t="s">
        <v>410</v>
      </c>
      <c r="F314" s="4" t="s">
        <v>1415</v>
      </c>
      <c r="G314" s="4" t="s">
        <v>251</v>
      </c>
      <c r="H314" s="4" t="s">
        <v>20</v>
      </c>
      <c r="I314" s="4" t="s">
        <v>544</v>
      </c>
    </row>
    <row r="315">
      <c r="A315" s="7">
        <v>45587.38905109954</v>
      </c>
      <c r="B315" s="4" t="s">
        <v>1416</v>
      </c>
      <c r="C315" s="4" t="s">
        <v>1417</v>
      </c>
      <c r="D315" s="8" t="s">
        <v>1418</v>
      </c>
      <c r="E315" s="4" t="s">
        <v>17</v>
      </c>
      <c r="F315" s="4" t="s">
        <v>1419</v>
      </c>
      <c r="G315" s="4" t="s">
        <v>41</v>
      </c>
      <c r="H315" s="4" t="s">
        <v>20</v>
      </c>
      <c r="I315" s="4" t="s">
        <v>1420</v>
      </c>
    </row>
    <row r="316">
      <c r="A316" s="7">
        <v>45587.395896331014</v>
      </c>
      <c r="B316" s="4" t="s">
        <v>1421</v>
      </c>
      <c r="C316" s="4" t="s">
        <v>1422</v>
      </c>
      <c r="D316" s="8" t="s">
        <v>1423</v>
      </c>
      <c r="E316" s="4" t="s">
        <v>284</v>
      </c>
      <c r="F316" s="4" t="s">
        <v>1424</v>
      </c>
      <c r="G316" s="4" t="s">
        <v>251</v>
      </c>
      <c r="H316" s="4" t="s">
        <v>20</v>
      </c>
      <c r="I316" s="4" t="s">
        <v>406</v>
      </c>
    </row>
    <row r="317">
      <c r="A317" s="7">
        <v>45587.396322824075</v>
      </c>
      <c r="B317" s="4" t="s">
        <v>1425</v>
      </c>
      <c r="C317" s="4" t="s">
        <v>1426</v>
      </c>
      <c r="D317" s="8" t="s">
        <v>1427</v>
      </c>
      <c r="E317" s="4" t="s">
        <v>17</v>
      </c>
      <c r="F317" s="4" t="s">
        <v>1428</v>
      </c>
      <c r="G317" s="4" t="s">
        <v>19</v>
      </c>
      <c r="H317" s="4" t="s">
        <v>20</v>
      </c>
      <c r="I317" s="4" t="s">
        <v>1420</v>
      </c>
    </row>
    <row r="318">
      <c r="A318" s="7">
        <v>45587.409204606476</v>
      </c>
      <c r="B318" s="4" t="s">
        <v>1429</v>
      </c>
      <c r="C318" s="4" t="s">
        <v>1430</v>
      </c>
      <c r="D318" s="8" t="s">
        <v>1431</v>
      </c>
      <c r="E318" s="4" t="s">
        <v>17</v>
      </c>
      <c r="F318" s="4" t="s">
        <v>1432</v>
      </c>
      <c r="G318" s="4" t="s">
        <v>32</v>
      </c>
      <c r="H318" s="4" t="s">
        <v>20</v>
      </c>
      <c r="I318" s="4" t="s">
        <v>203</v>
      </c>
    </row>
    <row r="319">
      <c r="A319" s="7">
        <v>45587.40977484954</v>
      </c>
      <c r="B319" s="4" t="s">
        <v>1433</v>
      </c>
      <c r="C319" s="4" t="s">
        <v>1434</v>
      </c>
      <c r="D319" s="8" t="s">
        <v>1435</v>
      </c>
      <c r="E319" s="4" t="s">
        <v>78</v>
      </c>
      <c r="F319" s="4" t="s">
        <v>1436</v>
      </c>
      <c r="G319" s="4" t="s">
        <v>32</v>
      </c>
      <c r="H319" s="4" t="s">
        <v>20</v>
      </c>
      <c r="I319" s="4" t="s">
        <v>126</v>
      </c>
    </row>
    <row r="320">
      <c r="A320" s="7">
        <v>45587.4142662963</v>
      </c>
      <c r="B320" s="4" t="s">
        <v>1437</v>
      </c>
      <c r="C320" s="4" t="s">
        <v>1438</v>
      </c>
      <c r="D320" s="4" t="s">
        <v>1206</v>
      </c>
      <c r="E320" s="4" t="s">
        <v>313</v>
      </c>
      <c r="F320" s="4" t="s">
        <v>1439</v>
      </c>
      <c r="G320" s="4" t="s">
        <v>251</v>
      </c>
      <c r="H320" s="4" t="s">
        <v>20</v>
      </c>
      <c r="I320" s="4" t="s">
        <v>1333</v>
      </c>
    </row>
    <row r="321">
      <c r="A321" s="7">
        <v>45587.41470333333</v>
      </c>
      <c r="B321" s="4" t="s">
        <v>1440</v>
      </c>
      <c r="C321" s="4" t="s">
        <v>1441</v>
      </c>
      <c r="D321" s="8" t="s">
        <v>1442</v>
      </c>
      <c r="E321" s="4" t="s">
        <v>17</v>
      </c>
      <c r="F321" s="4" t="s">
        <v>1443</v>
      </c>
      <c r="G321" s="4" t="s">
        <v>19</v>
      </c>
      <c r="H321" s="4" t="s">
        <v>20</v>
      </c>
      <c r="I321" s="4" t="s">
        <v>1444</v>
      </c>
    </row>
    <row r="322">
      <c r="A322" s="7">
        <v>45587.41688658565</v>
      </c>
      <c r="B322" s="4" t="s">
        <v>1445</v>
      </c>
      <c r="C322" s="4" t="s">
        <v>1446</v>
      </c>
      <c r="D322" s="8" t="s">
        <v>1447</v>
      </c>
      <c r="E322" s="4" t="s">
        <v>17</v>
      </c>
      <c r="F322" s="4" t="s">
        <v>1448</v>
      </c>
      <c r="G322" s="4" t="s">
        <v>41</v>
      </c>
      <c r="H322" s="4" t="s">
        <v>20</v>
      </c>
      <c r="I322" s="4" t="s">
        <v>126</v>
      </c>
    </row>
    <row r="323">
      <c r="A323" s="7">
        <v>45587.417818692134</v>
      </c>
      <c r="B323" s="4" t="s">
        <v>1449</v>
      </c>
      <c r="C323" s="4" t="s">
        <v>1450</v>
      </c>
      <c r="D323" s="4" t="s">
        <v>1451</v>
      </c>
      <c r="E323" s="4" t="s">
        <v>1452</v>
      </c>
      <c r="F323" s="4" t="s">
        <v>1453</v>
      </c>
      <c r="G323" s="4" t="s">
        <v>54</v>
      </c>
      <c r="H323" s="4" t="s">
        <v>20</v>
      </c>
      <c r="I323" s="4" t="s">
        <v>1454</v>
      </c>
    </row>
    <row r="324">
      <c r="A324" s="7">
        <v>45587.420446805554</v>
      </c>
      <c r="B324" s="4" t="s">
        <v>1455</v>
      </c>
      <c r="C324" s="4" t="s">
        <v>1456</v>
      </c>
      <c r="D324" s="4" t="s">
        <v>1451</v>
      </c>
      <c r="E324" s="4" t="s">
        <v>1452</v>
      </c>
      <c r="F324" s="4" t="s">
        <v>1457</v>
      </c>
      <c r="G324" s="4" t="s">
        <v>54</v>
      </c>
      <c r="H324" s="4" t="s">
        <v>20</v>
      </c>
      <c r="I324" s="4" t="s">
        <v>1458</v>
      </c>
    </row>
    <row r="325">
      <c r="A325" s="7">
        <v>45587.42740284722</v>
      </c>
      <c r="B325" s="4" t="s">
        <v>1459</v>
      </c>
      <c r="C325" s="4" t="s">
        <v>1460</v>
      </c>
      <c r="D325" s="4" t="s">
        <v>1206</v>
      </c>
      <c r="E325" s="4" t="s">
        <v>754</v>
      </c>
      <c r="F325" s="4" t="s">
        <v>1461</v>
      </c>
      <c r="G325" s="4" t="s">
        <v>251</v>
      </c>
      <c r="H325" s="4" t="s">
        <v>20</v>
      </c>
      <c r="I325" s="4" t="s">
        <v>406</v>
      </c>
    </row>
    <row r="326">
      <c r="A326" s="7">
        <v>45587.421017824076</v>
      </c>
      <c r="B326" s="4" t="s">
        <v>1462</v>
      </c>
      <c r="C326" s="4" t="s">
        <v>1463</v>
      </c>
      <c r="D326" s="4" t="s">
        <v>1451</v>
      </c>
      <c r="E326" s="4" t="s">
        <v>1452</v>
      </c>
      <c r="F326" s="4" t="s">
        <v>1464</v>
      </c>
      <c r="G326" s="4" t="s">
        <v>54</v>
      </c>
      <c r="H326" s="4" t="s">
        <v>20</v>
      </c>
      <c r="I326" s="4" t="s">
        <v>1465</v>
      </c>
    </row>
    <row r="327">
      <c r="A327" s="7">
        <v>45587.421650868055</v>
      </c>
      <c r="B327" s="4" t="s">
        <v>1466</v>
      </c>
      <c r="C327" s="4" t="s">
        <v>1467</v>
      </c>
      <c r="D327" s="4" t="s">
        <v>1451</v>
      </c>
      <c r="E327" s="4" t="s">
        <v>1452</v>
      </c>
      <c r="F327" s="4" t="s">
        <v>1468</v>
      </c>
      <c r="G327" s="4" t="s">
        <v>54</v>
      </c>
      <c r="H327" s="4" t="s">
        <v>20</v>
      </c>
      <c r="I327" s="4" t="s">
        <v>1465</v>
      </c>
    </row>
    <row r="328">
      <c r="A328" s="7">
        <v>45587.42220045139</v>
      </c>
      <c r="B328" s="4" t="s">
        <v>1469</v>
      </c>
      <c r="C328" s="4" t="s">
        <v>1467</v>
      </c>
      <c r="D328" s="4" t="s">
        <v>1451</v>
      </c>
      <c r="E328" s="4" t="s">
        <v>1452</v>
      </c>
      <c r="F328" s="4" t="s">
        <v>1470</v>
      </c>
      <c r="G328" s="4" t="s">
        <v>54</v>
      </c>
      <c r="H328" s="4" t="s">
        <v>20</v>
      </c>
      <c r="I328" s="4" t="s">
        <v>1465</v>
      </c>
    </row>
    <row r="329">
      <c r="A329" s="7">
        <v>45587.42303204861</v>
      </c>
      <c r="B329" s="4" t="s">
        <v>1471</v>
      </c>
      <c r="C329" s="4" t="s">
        <v>1467</v>
      </c>
      <c r="D329" s="4" t="s">
        <v>1451</v>
      </c>
      <c r="E329" s="4" t="s">
        <v>1452</v>
      </c>
      <c r="F329" s="4" t="s">
        <v>1472</v>
      </c>
      <c r="G329" s="4" t="s">
        <v>54</v>
      </c>
      <c r="H329" s="4" t="s">
        <v>20</v>
      </c>
      <c r="I329" s="4" t="s">
        <v>1465</v>
      </c>
    </row>
    <row r="330">
      <c r="A330" s="7">
        <v>45587.423726678244</v>
      </c>
      <c r="B330" s="4" t="s">
        <v>1473</v>
      </c>
      <c r="C330" s="4" t="s">
        <v>1474</v>
      </c>
      <c r="D330" s="4" t="s">
        <v>1451</v>
      </c>
      <c r="E330" s="4" t="s">
        <v>1452</v>
      </c>
      <c r="F330" s="4" t="s">
        <v>1475</v>
      </c>
      <c r="G330" s="4" t="s">
        <v>54</v>
      </c>
      <c r="H330" s="4" t="s">
        <v>20</v>
      </c>
      <c r="I330" s="4" t="s">
        <v>1465</v>
      </c>
    </row>
    <row r="331">
      <c r="A331" s="7">
        <v>45587.42464409722</v>
      </c>
      <c r="B331" s="4" t="s">
        <v>1476</v>
      </c>
      <c r="C331" s="4" t="s">
        <v>1477</v>
      </c>
      <c r="D331" s="4" t="s">
        <v>1478</v>
      </c>
      <c r="E331" s="4" t="s">
        <v>113</v>
      </c>
      <c r="F331" s="4" t="s">
        <v>1479</v>
      </c>
      <c r="G331" s="4" t="s">
        <v>32</v>
      </c>
      <c r="H331" s="4" t="s">
        <v>20</v>
      </c>
      <c r="I331" s="4" t="s">
        <v>308</v>
      </c>
    </row>
    <row r="332">
      <c r="A332" s="7">
        <v>45587.42691368055</v>
      </c>
      <c r="B332" s="4" t="s">
        <v>1480</v>
      </c>
      <c r="C332" s="4" t="s">
        <v>1481</v>
      </c>
      <c r="D332" s="4" t="s">
        <v>1451</v>
      </c>
      <c r="E332" s="4" t="s">
        <v>754</v>
      </c>
      <c r="F332" s="4" t="s">
        <v>1482</v>
      </c>
      <c r="G332" s="4" t="s">
        <v>54</v>
      </c>
      <c r="H332" s="4" t="s">
        <v>20</v>
      </c>
      <c r="I332" s="4" t="s">
        <v>802</v>
      </c>
    </row>
    <row r="333">
      <c r="A333" s="7">
        <v>45587.428794085645</v>
      </c>
      <c r="B333" s="4" t="s">
        <v>1483</v>
      </c>
      <c r="C333" s="4" t="s">
        <v>1484</v>
      </c>
      <c r="D333" s="4" t="s">
        <v>1206</v>
      </c>
      <c r="E333" s="4" t="s">
        <v>404</v>
      </c>
      <c r="F333" s="4" t="s">
        <v>1485</v>
      </c>
      <c r="G333" s="4" t="s">
        <v>251</v>
      </c>
      <c r="H333" s="4" t="s">
        <v>20</v>
      </c>
      <c r="I333" s="4" t="s">
        <v>479</v>
      </c>
    </row>
    <row r="334">
      <c r="A334" s="7">
        <v>45587.42931101852</v>
      </c>
      <c r="B334" s="4" t="s">
        <v>1486</v>
      </c>
      <c r="C334" s="4" t="s">
        <v>1484</v>
      </c>
      <c r="D334" s="4" t="s">
        <v>1206</v>
      </c>
      <c r="E334" s="4" t="s">
        <v>404</v>
      </c>
      <c r="F334" s="4" t="s">
        <v>1487</v>
      </c>
      <c r="G334" s="4" t="s">
        <v>251</v>
      </c>
      <c r="H334" s="4" t="s">
        <v>20</v>
      </c>
      <c r="I334" s="4" t="s">
        <v>1209</v>
      </c>
    </row>
    <row r="335">
      <c r="A335" s="7">
        <v>45587.4297930787</v>
      </c>
      <c r="B335" s="4" t="s">
        <v>1488</v>
      </c>
      <c r="C335" s="4" t="s">
        <v>1484</v>
      </c>
      <c r="D335" s="4" t="s">
        <v>1206</v>
      </c>
      <c r="E335" s="4" t="s">
        <v>404</v>
      </c>
      <c r="F335" s="4" t="s">
        <v>1489</v>
      </c>
      <c r="G335" s="4" t="s">
        <v>251</v>
      </c>
      <c r="H335" s="4" t="s">
        <v>20</v>
      </c>
      <c r="I335" s="4" t="s">
        <v>479</v>
      </c>
    </row>
    <row r="336">
      <c r="A336" s="7">
        <v>45587.441205995376</v>
      </c>
      <c r="B336" s="4" t="s">
        <v>1490</v>
      </c>
      <c r="C336" s="4" t="s">
        <v>1491</v>
      </c>
      <c r="D336" s="8" t="s">
        <v>1492</v>
      </c>
      <c r="E336" s="4" t="s">
        <v>1256</v>
      </c>
      <c r="F336" s="4" t="s">
        <v>1493</v>
      </c>
      <c r="G336" s="4" t="s">
        <v>251</v>
      </c>
      <c r="H336" s="4" t="s">
        <v>20</v>
      </c>
      <c r="I336" s="4" t="s">
        <v>922</v>
      </c>
    </row>
    <row r="337">
      <c r="A337" s="7">
        <v>45587.44417716435</v>
      </c>
      <c r="B337" s="4" t="s">
        <v>1494</v>
      </c>
      <c r="C337" s="4" t="s">
        <v>1495</v>
      </c>
      <c r="D337" s="8" t="s">
        <v>1496</v>
      </c>
      <c r="E337" s="4" t="s">
        <v>113</v>
      </c>
      <c r="F337" s="4" t="s">
        <v>1497</v>
      </c>
      <c r="G337" s="4" t="s">
        <v>32</v>
      </c>
      <c r="H337" s="4" t="s">
        <v>20</v>
      </c>
      <c r="I337" s="4" t="s">
        <v>203</v>
      </c>
    </row>
    <row r="338">
      <c r="A338" s="7">
        <v>45587.44474337963</v>
      </c>
      <c r="B338" s="4" t="s">
        <v>1498</v>
      </c>
      <c r="C338" s="4" t="s">
        <v>1499</v>
      </c>
      <c r="D338" s="4" t="s">
        <v>1500</v>
      </c>
      <c r="E338" s="4" t="s">
        <v>528</v>
      </c>
      <c r="F338" s="4" t="s">
        <v>1501</v>
      </c>
      <c r="G338" s="4" t="s">
        <v>32</v>
      </c>
      <c r="H338" s="4" t="s">
        <v>20</v>
      </c>
      <c r="I338" s="4" t="s">
        <v>1502</v>
      </c>
    </row>
    <row r="339">
      <c r="A339" s="7">
        <v>45587.445385706014</v>
      </c>
      <c r="B339" s="4" t="s">
        <v>1503</v>
      </c>
      <c r="C339" s="4" t="s">
        <v>1504</v>
      </c>
      <c r="D339" s="4" t="s">
        <v>1500</v>
      </c>
      <c r="E339" s="4" t="s">
        <v>528</v>
      </c>
      <c r="F339" s="4" t="s">
        <v>1505</v>
      </c>
      <c r="G339" s="4" t="s">
        <v>32</v>
      </c>
      <c r="H339" s="4" t="s">
        <v>20</v>
      </c>
      <c r="I339" s="4" t="s">
        <v>694</v>
      </c>
    </row>
    <row r="340">
      <c r="A340" s="7">
        <v>45587.446112743055</v>
      </c>
      <c r="B340" s="4" t="s">
        <v>1506</v>
      </c>
      <c r="C340" s="4" t="s">
        <v>1507</v>
      </c>
      <c r="D340" s="4" t="s">
        <v>1508</v>
      </c>
      <c r="E340" s="4" t="s">
        <v>410</v>
      </c>
      <c r="F340" s="4" t="s">
        <v>1509</v>
      </c>
      <c r="G340" s="4" t="s">
        <v>251</v>
      </c>
      <c r="H340" s="4" t="s">
        <v>20</v>
      </c>
      <c r="I340" s="4" t="s">
        <v>682</v>
      </c>
    </row>
    <row r="341">
      <c r="A341" s="7">
        <v>45587.4464021412</v>
      </c>
      <c r="B341" s="4" t="s">
        <v>1510</v>
      </c>
      <c r="C341" s="4" t="s">
        <v>1511</v>
      </c>
      <c r="D341" s="4" t="s">
        <v>1500</v>
      </c>
      <c r="E341" s="4" t="s">
        <v>113</v>
      </c>
      <c r="F341" s="4" t="s">
        <v>1512</v>
      </c>
      <c r="G341" s="4" t="s">
        <v>32</v>
      </c>
      <c r="H341" s="4" t="s">
        <v>20</v>
      </c>
      <c r="I341" s="4" t="s">
        <v>301</v>
      </c>
    </row>
    <row r="342">
      <c r="A342" s="7">
        <v>45587.44848931713</v>
      </c>
      <c r="B342" s="4" t="s">
        <v>1513</v>
      </c>
      <c r="C342" s="4" t="s">
        <v>1514</v>
      </c>
      <c r="D342" s="4" t="s">
        <v>1515</v>
      </c>
      <c r="E342" s="4" t="s">
        <v>313</v>
      </c>
      <c r="F342" s="4" t="s">
        <v>1516</v>
      </c>
      <c r="G342" s="4" t="s">
        <v>251</v>
      </c>
      <c r="H342" s="4" t="s">
        <v>20</v>
      </c>
      <c r="I342" s="4" t="s">
        <v>489</v>
      </c>
    </row>
    <row r="343">
      <c r="A343" s="7">
        <v>45587.45460321759</v>
      </c>
      <c r="B343" s="4" t="s">
        <v>1518</v>
      </c>
      <c r="C343" s="4" t="s">
        <v>1519</v>
      </c>
      <c r="D343" s="8" t="s">
        <v>1520</v>
      </c>
      <c r="E343" s="4" t="s">
        <v>113</v>
      </c>
      <c r="F343" s="4" t="s">
        <v>1522</v>
      </c>
      <c r="G343" s="4" t="s">
        <v>32</v>
      </c>
      <c r="H343" s="4" t="s">
        <v>20</v>
      </c>
      <c r="I343" s="4" t="s">
        <v>1523</v>
      </c>
    </row>
    <row r="344">
      <c r="A344" s="7">
        <v>45587.457091122684</v>
      </c>
      <c r="B344" s="4" t="s">
        <v>1524</v>
      </c>
      <c r="C344" s="4" t="s">
        <v>1525</v>
      </c>
      <c r="D344" s="8" t="s">
        <v>1526</v>
      </c>
      <c r="E344" s="4" t="s">
        <v>1527</v>
      </c>
      <c r="F344" s="4" t="s">
        <v>1528</v>
      </c>
      <c r="G344" s="4" t="s">
        <v>54</v>
      </c>
      <c r="H344" s="4" t="s">
        <v>20</v>
      </c>
      <c r="I344" s="4" t="s">
        <v>1529</v>
      </c>
    </row>
    <row r="345">
      <c r="A345" s="7">
        <v>45587.461173414355</v>
      </c>
      <c r="B345" s="4" t="s">
        <v>1530</v>
      </c>
      <c r="C345" s="4" t="s">
        <v>1531</v>
      </c>
      <c r="D345" s="8" t="s">
        <v>908</v>
      </c>
      <c r="E345" s="4" t="s">
        <v>313</v>
      </c>
      <c r="F345" s="4" t="s">
        <v>1532</v>
      </c>
      <c r="G345" s="4" t="s">
        <v>251</v>
      </c>
      <c r="H345" s="4" t="s">
        <v>20</v>
      </c>
      <c r="I345" s="4" t="s">
        <v>434</v>
      </c>
    </row>
    <row r="346">
      <c r="A346" s="7">
        <v>45587.475602719904</v>
      </c>
      <c r="B346" s="4" t="s">
        <v>1533</v>
      </c>
      <c r="C346" s="4" t="s">
        <v>1534</v>
      </c>
      <c r="D346" s="4" t="s">
        <v>1151</v>
      </c>
      <c r="E346" s="4" t="s">
        <v>754</v>
      </c>
      <c r="F346" s="4" t="s">
        <v>1535</v>
      </c>
      <c r="G346" s="4" t="s">
        <v>251</v>
      </c>
      <c r="H346" s="4" t="s">
        <v>20</v>
      </c>
      <c r="I346" s="4" t="s">
        <v>1536</v>
      </c>
    </row>
    <row r="347">
      <c r="A347" s="7">
        <v>45587.47480353009</v>
      </c>
      <c r="B347" s="4" t="s">
        <v>1537</v>
      </c>
      <c r="C347" s="4" t="s">
        <v>1538</v>
      </c>
      <c r="D347" s="8" t="s">
        <v>1539</v>
      </c>
      <c r="E347" s="4" t="s">
        <v>432</v>
      </c>
      <c r="F347" s="4" t="s">
        <v>1540</v>
      </c>
      <c r="G347" s="4" t="s">
        <v>54</v>
      </c>
      <c r="H347" s="4" t="s">
        <v>20</v>
      </c>
      <c r="I347" s="4" t="s">
        <v>428</v>
      </c>
    </row>
    <row r="348">
      <c r="A348" s="7">
        <v>45587.48073591435</v>
      </c>
      <c r="B348" s="4" t="s">
        <v>1541</v>
      </c>
      <c r="C348" s="4" t="s">
        <v>1542</v>
      </c>
      <c r="D348" s="8" t="s">
        <v>1543</v>
      </c>
      <c r="E348" s="4" t="s">
        <v>666</v>
      </c>
      <c r="F348" s="4" t="s">
        <v>1544</v>
      </c>
      <c r="G348" s="4" t="s">
        <v>251</v>
      </c>
      <c r="H348" s="4" t="s">
        <v>20</v>
      </c>
      <c r="I348" s="4" t="s">
        <v>406</v>
      </c>
    </row>
    <row r="349">
      <c r="A349" s="7">
        <v>45587.48185287037</v>
      </c>
      <c r="B349" s="4" t="s">
        <v>1545</v>
      </c>
      <c r="C349" s="4" t="s">
        <v>1546</v>
      </c>
      <c r="D349" s="4" t="s">
        <v>1229</v>
      </c>
      <c r="E349" s="4" t="s">
        <v>313</v>
      </c>
      <c r="F349" s="4" t="s">
        <v>1547</v>
      </c>
      <c r="G349" s="4" t="s">
        <v>251</v>
      </c>
      <c r="H349" s="4" t="s">
        <v>20</v>
      </c>
      <c r="I349" s="4" t="s">
        <v>1548</v>
      </c>
    </row>
    <row r="350">
      <c r="A350" s="7">
        <v>45587.4828199537</v>
      </c>
      <c r="B350" s="4" t="s">
        <v>1549</v>
      </c>
      <c r="C350" s="4" t="s">
        <v>1550</v>
      </c>
      <c r="D350" s="4" t="s">
        <v>1229</v>
      </c>
      <c r="E350" s="4" t="s">
        <v>313</v>
      </c>
      <c r="F350" s="4" t="s">
        <v>1551</v>
      </c>
      <c r="G350" s="4" t="s">
        <v>251</v>
      </c>
      <c r="H350" s="4" t="s">
        <v>20</v>
      </c>
      <c r="I350" s="4" t="s">
        <v>328</v>
      </c>
    </row>
    <row r="351">
      <c r="A351" s="7">
        <v>45587.48373765046</v>
      </c>
      <c r="B351" s="4" t="s">
        <v>1552</v>
      </c>
      <c r="C351" s="4" t="s">
        <v>1553</v>
      </c>
      <c r="D351" s="4" t="s">
        <v>1229</v>
      </c>
      <c r="E351" s="4" t="s">
        <v>313</v>
      </c>
      <c r="F351" s="4" t="s">
        <v>1554</v>
      </c>
      <c r="G351" s="4" t="s">
        <v>251</v>
      </c>
      <c r="H351" s="4" t="s">
        <v>20</v>
      </c>
      <c r="I351" s="4" t="s">
        <v>406</v>
      </c>
    </row>
    <row r="352">
      <c r="A352" s="7">
        <v>45587.48945622685</v>
      </c>
      <c r="B352" s="4" t="s">
        <v>1555</v>
      </c>
      <c r="C352" s="4" t="s">
        <v>1556</v>
      </c>
      <c r="D352" s="8" t="s">
        <v>1557</v>
      </c>
      <c r="E352" s="4" t="s">
        <v>313</v>
      </c>
      <c r="F352" s="4" t="s">
        <v>1558</v>
      </c>
      <c r="G352" s="4" t="s">
        <v>54</v>
      </c>
      <c r="H352" s="4" t="s">
        <v>20</v>
      </c>
      <c r="I352" s="4" t="s">
        <v>1559</v>
      </c>
    </row>
    <row r="353">
      <c r="A353" s="7">
        <v>45587.49386756944</v>
      </c>
      <c r="B353" s="4" t="s">
        <v>1560</v>
      </c>
      <c r="C353" s="4" t="s">
        <v>1561</v>
      </c>
      <c r="D353" s="8" t="s">
        <v>1557</v>
      </c>
      <c r="E353" s="4" t="s">
        <v>754</v>
      </c>
      <c r="F353" s="4" t="s">
        <v>1562</v>
      </c>
      <c r="G353" s="4" t="s">
        <v>54</v>
      </c>
      <c r="H353" s="4" t="s">
        <v>20</v>
      </c>
      <c r="I353" s="4" t="s">
        <v>839</v>
      </c>
    </row>
    <row r="354">
      <c r="A354" s="7">
        <v>45587.55794190972</v>
      </c>
      <c r="B354" s="4" t="s">
        <v>1563</v>
      </c>
      <c r="C354" s="4" t="s">
        <v>1564</v>
      </c>
      <c r="D354" s="8" t="s">
        <v>671</v>
      </c>
      <c r="E354" s="4" t="s">
        <v>284</v>
      </c>
      <c r="F354" s="4" t="s">
        <v>1565</v>
      </c>
      <c r="G354" s="4" t="s">
        <v>54</v>
      </c>
      <c r="H354" s="4" t="s">
        <v>20</v>
      </c>
      <c r="I354" s="4" t="s">
        <v>1086</v>
      </c>
    </row>
    <row r="355">
      <c r="A355" s="7">
        <v>45587.57033728009</v>
      </c>
      <c r="B355" s="4" t="s">
        <v>1566</v>
      </c>
      <c r="C355" s="4" t="s">
        <v>1567</v>
      </c>
      <c r="D355" s="8" t="s">
        <v>1568</v>
      </c>
      <c r="E355" s="4" t="s">
        <v>796</v>
      </c>
      <c r="F355" s="4" t="s">
        <v>1569</v>
      </c>
      <c r="G355" s="4" t="s">
        <v>54</v>
      </c>
      <c r="H355" s="4" t="s">
        <v>20</v>
      </c>
      <c r="I355" s="4" t="s">
        <v>1570</v>
      </c>
    </row>
    <row r="356">
      <c r="A356" s="7">
        <v>45587.58135</v>
      </c>
      <c r="B356" s="4" t="s">
        <v>1571</v>
      </c>
      <c r="C356" s="4" t="s">
        <v>1572</v>
      </c>
      <c r="D356" s="4" t="s">
        <v>1573</v>
      </c>
      <c r="E356" s="4" t="s">
        <v>796</v>
      </c>
      <c r="F356" s="4" t="s">
        <v>1574</v>
      </c>
      <c r="G356" s="4" t="s">
        <v>251</v>
      </c>
      <c r="H356" s="4" t="s">
        <v>20</v>
      </c>
      <c r="I356" s="4" t="s">
        <v>1575</v>
      </c>
    </row>
    <row r="357">
      <c r="A357" s="7">
        <v>45587.58496446759</v>
      </c>
      <c r="B357" s="4" t="s">
        <v>1576</v>
      </c>
      <c r="C357" s="4" t="s">
        <v>1577</v>
      </c>
      <c r="D357" s="8" t="s">
        <v>1578</v>
      </c>
      <c r="E357" s="4" t="s">
        <v>284</v>
      </c>
      <c r="F357" s="4" t="s">
        <v>1579</v>
      </c>
      <c r="G357" s="4" t="s">
        <v>54</v>
      </c>
      <c r="H357" s="4" t="s">
        <v>20</v>
      </c>
      <c r="I357" s="4" t="s">
        <v>471</v>
      </c>
    </row>
    <row r="358">
      <c r="A358" s="7">
        <v>45587.594799618055</v>
      </c>
      <c r="B358" s="4" t="s">
        <v>490</v>
      </c>
      <c r="C358" s="4" t="s">
        <v>1580</v>
      </c>
      <c r="D358" s="8" t="s">
        <v>492</v>
      </c>
      <c r="E358" s="4" t="s">
        <v>313</v>
      </c>
      <c r="F358" s="4" t="s">
        <v>1581</v>
      </c>
      <c r="G358" s="4" t="s">
        <v>54</v>
      </c>
      <c r="H358" s="4" t="s">
        <v>570</v>
      </c>
      <c r="I358" s="4" t="s">
        <v>1536</v>
      </c>
    </row>
    <row r="359">
      <c r="A359" s="7">
        <v>45587.59922646991</v>
      </c>
      <c r="B359" s="4" t="s">
        <v>1582</v>
      </c>
      <c r="C359" s="4" t="s">
        <v>1583</v>
      </c>
      <c r="D359" s="8" t="s">
        <v>1095</v>
      </c>
      <c r="E359" s="4" t="s">
        <v>598</v>
      </c>
      <c r="F359" s="4" t="s">
        <v>1584</v>
      </c>
      <c r="G359" s="4" t="s">
        <v>54</v>
      </c>
      <c r="H359" s="4" t="s">
        <v>20</v>
      </c>
      <c r="I359" s="4" t="s">
        <v>1585</v>
      </c>
    </row>
    <row r="360">
      <c r="A360" s="7">
        <v>45587.60553356481</v>
      </c>
      <c r="B360" s="4" t="s">
        <v>1586</v>
      </c>
      <c r="C360" s="4" t="s">
        <v>1587</v>
      </c>
      <c r="D360" s="4" t="s">
        <v>1118</v>
      </c>
      <c r="E360" s="4" t="s">
        <v>113</v>
      </c>
      <c r="F360" s="4" t="s">
        <v>1588</v>
      </c>
      <c r="G360" s="4" t="s">
        <v>32</v>
      </c>
      <c r="H360" s="4" t="s">
        <v>20</v>
      </c>
      <c r="I360" s="4" t="s">
        <v>301</v>
      </c>
    </row>
    <row r="361">
      <c r="A361" s="7">
        <v>45587.60581368055</v>
      </c>
      <c r="B361" s="4" t="s">
        <v>1589</v>
      </c>
      <c r="C361" s="4" t="s">
        <v>1590</v>
      </c>
      <c r="D361" s="8" t="s">
        <v>1591</v>
      </c>
      <c r="E361" s="4" t="s">
        <v>78</v>
      </c>
      <c r="F361" s="4" t="s">
        <v>1592</v>
      </c>
      <c r="G361" s="4" t="s">
        <v>19</v>
      </c>
      <c r="H361" s="4" t="s">
        <v>20</v>
      </c>
      <c r="I361" s="4" t="s">
        <v>91</v>
      </c>
    </row>
    <row r="362">
      <c r="A362" s="7">
        <v>45587.60662450231</v>
      </c>
      <c r="B362" s="4" t="s">
        <v>1593</v>
      </c>
      <c r="C362" s="4" t="s">
        <v>1594</v>
      </c>
      <c r="D362" s="8" t="s">
        <v>533</v>
      </c>
      <c r="E362" s="4" t="s">
        <v>796</v>
      </c>
      <c r="F362" s="4" t="s">
        <v>1595</v>
      </c>
      <c r="G362" s="4" t="s">
        <v>251</v>
      </c>
      <c r="H362" s="4" t="s">
        <v>20</v>
      </c>
      <c r="I362" s="4" t="s">
        <v>1596</v>
      </c>
    </row>
    <row r="363">
      <c r="A363" s="7">
        <v>45587.60667075231</v>
      </c>
      <c r="B363" s="4" t="s">
        <v>1597</v>
      </c>
      <c r="C363" s="4" t="s">
        <v>1598</v>
      </c>
      <c r="D363" s="4" t="s">
        <v>1309</v>
      </c>
      <c r="E363" s="4" t="s">
        <v>113</v>
      </c>
      <c r="F363" s="4" t="s">
        <v>1599</v>
      </c>
      <c r="G363" s="4" t="s">
        <v>32</v>
      </c>
      <c r="H363" s="4" t="s">
        <v>20</v>
      </c>
      <c r="I363" s="4" t="s">
        <v>967</v>
      </c>
    </row>
    <row r="364">
      <c r="A364" s="7">
        <v>45587.60725702546</v>
      </c>
      <c r="B364" s="4" t="s">
        <v>1600</v>
      </c>
      <c r="C364" s="4" t="s">
        <v>1601</v>
      </c>
      <c r="D364" s="8" t="s">
        <v>1602</v>
      </c>
      <c r="E364" s="4" t="s">
        <v>313</v>
      </c>
      <c r="F364" s="4" t="s">
        <v>1603</v>
      </c>
      <c r="G364" s="4" t="s">
        <v>54</v>
      </c>
      <c r="H364" s="4" t="s">
        <v>20</v>
      </c>
      <c r="I364" s="4" t="s">
        <v>1101</v>
      </c>
    </row>
    <row r="365">
      <c r="A365" s="7">
        <v>45587.60911331019</v>
      </c>
      <c r="B365" s="4" t="s">
        <v>1604</v>
      </c>
      <c r="C365" s="4" t="s">
        <v>1605</v>
      </c>
      <c r="D365" s="4" t="s">
        <v>1606</v>
      </c>
      <c r="E365" s="4" t="s">
        <v>313</v>
      </c>
      <c r="F365" s="4" t="s">
        <v>1607</v>
      </c>
      <c r="G365" s="4" t="s">
        <v>251</v>
      </c>
      <c r="H365" s="4" t="s">
        <v>20</v>
      </c>
      <c r="I365" s="4" t="s">
        <v>1536</v>
      </c>
    </row>
    <row r="366">
      <c r="A366" s="7">
        <v>45587.6097255787</v>
      </c>
      <c r="B366" s="4" t="s">
        <v>1608</v>
      </c>
      <c r="C366" s="4" t="s">
        <v>1605</v>
      </c>
      <c r="D366" s="4" t="s">
        <v>1606</v>
      </c>
      <c r="E366" s="4" t="s">
        <v>313</v>
      </c>
      <c r="F366" s="4" t="s">
        <v>1609</v>
      </c>
      <c r="G366" s="4" t="s">
        <v>251</v>
      </c>
      <c r="H366" s="4" t="s">
        <v>20</v>
      </c>
      <c r="I366" s="4" t="s">
        <v>1536</v>
      </c>
    </row>
    <row r="367">
      <c r="A367" s="7">
        <v>45587.60989170139</v>
      </c>
      <c r="B367" s="4" t="s">
        <v>1610</v>
      </c>
      <c r="C367" s="4" t="s">
        <v>1601</v>
      </c>
      <c r="D367" s="8" t="s">
        <v>1602</v>
      </c>
      <c r="E367" s="4" t="s">
        <v>313</v>
      </c>
      <c r="F367" s="4" t="s">
        <v>1611</v>
      </c>
      <c r="G367" s="4" t="s">
        <v>54</v>
      </c>
      <c r="H367" s="4" t="s">
        <v>20</v>
      </c>
      <c r="I367" s="4" t="s">
        <v>1101</v>
      </c>
    </row>
    <row r="368">
      <c r="A368" s="7">
        <v>45587.610606111106</v>
      </c>
      <c r="B368" s="4" t="s">
        <v>531</v>
      </c>
      <c r="C368" s="4" t="s">
        <v>532</v>
      </c>
      <c r="D368" s="4" t="s">
        <v>1606</v>
      </c>
      <c r="E368" s="4" t="s">
        <v>313</v>
      </c>
      <c r="F368" s="4" t="s">
        <v>534</v>
      </c>
      <c r="G368" s="4" t="s">
        <v>251</v>
      </c>
      <c r="H368" s="4" t="s">
        <v>570</v>
      </c>
      <c r="I368" s="4" t="s">
        <v>535</v>
      </c>
    </row>
    <row r="369">
      <c r="A369" s="7">
        <v>45587.618830983796</v>
      </c>
      <c r="B369" s="4" t="s">
        <v>288</v>
      </c>
      <c r="C369" s="4" t="s">
        <v>290</v>
      </c>
      <c r="D369" s="4" t="s">
        <v>283</v>
      </c>
      <c r="E369" s="4" t="s">
        <v>291</v>
      </c>
      <c r="F369" s="4" t="s">
        <v>292</v>
      </c>
      <c r="G369" s="4" t="s">
        <v>251</v>
      </c>
      <c r="H369" s="4" t="s">
        <v>570</v>
      </c>
      <c r="I369" s="4" t="s">
        <v>294</v>
      </c>
    </row>
    <row r="370">
      <c r="A370" s="7">
        <v>45587.62249206018</v>
      </c>
      <c r="B370" s="4" t="s">
        <v>1612</v>
      </c>
      <c r="C370" s="4" t="s">
        <v>1613</v>
      </c>
      <c r="D370" s="4" t="s">
        <v>1309</v>
      </c>
      <c r="E370" s="4" t="s">
        <v>867</v>
      </c>
      <c r="F370" s="4" t="s">
        <v>1614</v>
      </c>
      <c r="G370" s="4" t="s">
        <v>32</v>
      </c>
      <c r="H370" s="4" t="s">
        <v>20</v>
      </c>
      <c r="I370" s="4" t="s">
        <v>625</v>
      </c>
    </row>
    <row r="371">
      <c r="A371" s="7">
        <v>45587.623435671296</v>
      </c>
      <c r="B371" s="4" t="s">
        <v>1615</v>
      </c>
      <c r="C371" s="4" t="s">
        <v>1616</v>
      </c>
      <c r="D371" s="4" t="s">
        <v>1617</v>
      </c>
      <c r="E371" s="4" t="s">
        <v>1159</v>
      </c>
      <c r="F371" s="4" t="s">
        <v>1618</v>
      </c>
      <c r="G371" s="4" t="s">
        <v>32</v>
      </c>
      <c r="H371" s="4" t="s">
        <v>20</v>
      </c>
      <c r="I371" s="4" t="s">
        <v>1619</v>
      </c>
    </row>
    <row r="372">
      <c r="A372" s="7">
        <v>45587.6266108912</v>
      </c>
      <c r="B372" s="4" t="s">
        <v>348</v>
      </c>
      <c r="C372" s="4" t="s">
        <v>1620</v>
      </c>
      <c r="D372" s="8" t="s">
        <v>344</v>
      </c>
      <c r="E372" s="4" t="s">
        <v>313</v>
      </c>
      <c r="F372" s="4" t="s">
        <v>1621</v>
      </c>
      <c r="G372" s="4" t="s">
        <v>54</v>
      </c>
      <c r="H372" s="4" t="s">
        <v>570</v>
      </c>
      <c r="I372" s="4" t="s">
        <v>1269</v>
      </c>
    </row>
    <row r="373">
      <c r="A373" s="7">
        <v>45587.628765208334</v>
      </c>
      <c r="B373" s="4" t="s">
        <v>1623</v>
      </c>
      <c r="C373" s="4" t="s">
        <v>1624</v>
      </c>
      <c r="D373" s="4" t="s">
        <v>1625</v>
      </c>
      <c r="E373" s="4" t="s">
        <v>313</v>
      </c>
      <c r="F373" s="4" t="s">
        <v>1626</v>
      </c>
      <c r="G373" s="4" t="s">
        <v>251</v>
      </c>
      <c r="H373" s="4" t="s">
        <v>20</v>
      </c>
      <c r="I373" s="4" t="s">
        <v>428</v>
      </c>
    </row>
    <row r="374">
      <c r="A374" s="7">
        <v>45587.62963005787</v>
      </c>
      <c r="B374" s="4" t="s">
        <v>1628</v>
      </c>
      <c r="C374" s="4" t="s">
        <v>1629</v>
      </c>
      <c r="D374" s="8" t="s">
        <v>344</v>
      </c>
      <c r="E374" s="4" t="s">
        <v>313</v>
      </c>
      <c r="F374" s="4" t="s">
        <v>1630</v>
      </c>
      <c r="G374" s="4" t="s">
        <v>54</v>
      </c>
      <c r="H374" s="4" t="s">
        <v>20</v>
      </c>
      <c r="I374" s="4" t="s">
        <v>721</v>
      </c>
    </row>
    <row r="375">
      <c r="A375" s="7">
        <v>45587.63113847222</v>
      </c>
      <c r="B375" s="4" t="s">
        <v>1631</v>
      </c>
      <c r="C375" s="4" t="s">
        <v>1632</v>
      </c>
      <c r="D375" s="4" t="s">
        <v>1625</v>
      </c>
      <c r="E375" s="4" t="s">
        <v>313</v>
      </c>
      <c r="F375" s="4" t="s">
        <v>1633</v>
      </c>
      <c r="G375" s="4" t="s">
        <v>251</v>
      </c>
      <c r="H375" s="4" t="s">
        <v>20</v>
      </c>
      <c r="I375" s="4" t="s">
        <v>1329</v>
      </c>
    </row>
    <row r="376">
      <c r="A376" s="7">
        <v>45587.63164871528</v>
      </c>
      <c r="B376" s="4" t="s">
        <v>1634</v>
      </c>
      <c r="C376" s="4" t="s">
        <v>1635</v>
      </c>
      <c r="D376" s="8" t="s">
        <v>344</v>
      </c>
      <c r="E376" s="4" t="s">
        <v>313</v>
      </c>
      <c r="F376" s="4" t="s">
        <v>1636</v>
      </c>
      <c r="G376" s="4" t="s">
        <v>54</v>
      </c>
      <c r="H376" s="4" t="s">
        <v>20</v>
      </c>
      <c r="I376" s="4" t="s">
        <v>721</v>
      </c>
    </row>
    <row r="377">
      <c r="A377" s="7">
        <v>45587.6334872338</v>
      </c>
      <c r="B377" s="4" t="s">
        <v>1637</v>
      </c>
      <c r="C377" s="4" t="s">
        <v>1638</v>
      </c>
      <c r="D377" s="4" t="s">
        <v>1625</v>
      </c>
      <c r="E377" s="4" t="s">
        <v>313</v>
      </c>
      <c r="F377" s="4" t="s">
        <v>1639</v>
      </c>
      <c r="G377" s="4" t="s">
        <v>251</v>
      </c>
      <c r="H377" s="4" t="s">
        <v>20</v>
      </c>
      <c r="I377" s="4" t="s">
        <v>1329</v>
      </c>
    </row>
    <row r="378">
      <c r="A378" s="7">
        <v>45588.358201863426</v>
      </c>
      <c r="B378" s="4" t="s">
        <v>1640</v>
      </c>
      <c r="C378" s="4" t="s">
        <v>1641</v>
      </c>
      <c r="D378" s="4" t="s">
        <v>1617</v>
      </c>
      <c r="E378" s="4" t="s">
        <v>1642</v>
      </c>
      <c r="F378" s="4" t="s">
        <v>1643</v>
      </c>
      <c r="G378" s="4" t="s">
        <v>32</v>
      </c>
      <c r="H378" s="4" t="s">
        <v>20</v>
      </c>
      <c r="I378" s="4" t="s">
        <v>121</v>
      </c>
    </row>
    <row r="379">
      <c r="A379" s="7">
        <v>45588.369877453704</v>
      </c>
      <c r="B379" s="4" t="s">
        <v>1644</v>
      </c>
      <c r="C379" s="4" t="s">
        <v>1645</v>
      </c>
      <c r="D379" s="8" t="s">
        <v>1646</v>
      </c>
      <c r="E379" s="4" t="s">
        <v>432</v>
      </c>
      <c r="F379" s="4" t="s">
        <v>1647</v>
      </c>
      <c r="G379" s="4" t="s">
        <v>54</v>
      </c>
      <c r="H379" s="4" t="s">
        <v>20</v>
      </c>
      <c r="I379" s="4" t="s">
        <v>839</v>
      </c>
    </row>
    <row r="380">
      <c r="A380" s="7">
        <v>45588.37441638889</v>
      </c>
      <c r="B380" s="4" t="s">
        <v>1648</v>
      </c>
      <c r="C380" s="4" t="s">
        <v>1649</v>
      </c>
      <c r="D380" s="8" t="s">
        <v>1646</v>
      </c>
      <c r="E380" s="4" t="s">
        <v>432</v>
      </c>
      <c r="F380" s="4" t="s">
        <v>1651</v>
      </c>
      <c r="G380" s="4" t="s">
        <v>54</v>
      </c>
      <c r="H380" s="4" t="s">
        <v>20</v>
      </c>
      <c r="I380" s="4" t="s">
        <v>839</v>
      </c>
    </row>
    <row r="381">
      <c r="A381" s="7">
        <v>45588.39353365741</v>
      </c>
      <c r="B381" s="4" t="s">
        <v>1652</v>
      </c>
      <c r="C381" s="4" t="s">
        <v>1653</v>
      </c>
      <c r="D381" s="8" t="s">
        <v>1654</v>
      </c>
      <c r="E381" s="4" t="s">
        <v>432</v>
      </c>
      <c r="F381" s="4" t="s">
        <v>1655</v>
      </c>
      <c r="G381" s="4" t="s">
        <v>54</v>
      </c>
      <c r="H381" s="4" t="s">
        <v>20</v>
      </c>
      <c r="I381" s="4" t="s">
        <v>1656</v>
      </c>
    </row>
    <row r="382">
      <c r="A382" s="7">
        <v>45588.40785108796</v>
      </c>
      <c r="B382" s="4" t="s">
        <v>1657</v>
      </c>
      <c r="C382" s="4" t="s">
        <v>1658</v>
      </c>
      <c r="D382" s="8" t="s">
        <v>1654</v>
      </c>
      <c r="E382" s="4" t="s">
        <v>796</v>
      </c>
      <c r="F382" s="4" t="s">
        <v>1659</v>
      </c>
      <c r="G382" s="4" t="s">
        <v>54</v>
      </c>
      <c r="H382" s="4" t="s">
        <v>20</v>
      </c>
      <c r="I382" s="4" t="s">
        <v>1660</v>
      </c>
    </row>
    <row r="383">
      <c r="A383" s="7">
        <v>45588.43544973379</v>
      </c>
      <c r="B383" s="4" t="s">
        <v>1661</v>
      </c>
      <c r="C383" s="4" t="s">
        <v>1662</v>
      </c>
      <c r="D383" s="8" t="s">
        <v>369</v>
      </c>
      <c r="E383" s="4" t="s">
        <v>284</v>
      </c>
      <c r="F383" s="4" t="s">
        <v>1663</v>
      </c>
      <c r="G383" s="4" t="s">
        <v>54</v>
      </c>
      <c r="H383" s="4" t="s">
        <v>20</v>
      </c>
      <c r="I383" s="4" t="s">
        <v>1664</v>
      </c>
    </row>
    <row r="384">
      <c r="A384" s="7">
        <v>45588.43901288194</v>
      </c>
      <c r="B384" s="4" t="s">
        <v>407</v>
      </c>
      <c r="C384" s="4" t="s">
        <v>1665</v>
      </c>
      <c r="D384" s="8" t="s">
        <v>1666</v>
      </c>
      <c r="E384" s="4" t="s">
        <v>410</v>
      </c>
      <c r="F384" s="4" t="s">
        <v>411</v>
      </c>
      <c r="G384" s="4" t="s">
        <v>251</v>
      </c>
      <c r="H384" s="4" t="s">
        <v>570</v>
      </c>
      <c r="I384" s="4" t="s">
        <v>1667</v>
      </c>
    </row>
    <row r="385">
      <c r="A385" s="7">
        <v>45588.44665532408</v>
      </c>
      <c r="B385" s="4" t="s">
        <v>1668</v>
      </c>
      <c r="C385" s="4" t="s">
        <v>1669</v>
      </c>
      <c r="D385" s="8" t="s">
        <v>1670</v>
      </c>
      <c r="E385" s="4" t="s">
        <v>763</v>
      </c>
      <c r="F385" s="4" t="s">
        <v>1671</v>
      </c>
      <c r="G385" s="4" t="s">
        <v>251</v>
      </c>
      <c r="H385" s="4" t="s">
        <v>20</v>
      </c>
      <c r="I385" s="4" t="s">
        <v>1672</v>
      </c>
    </row>
    <row r="386">
      <c r="A386" s="7">
        <v>45588.446748483795</v>
      </c>
      <c r="B386" s="4" t="s">
        <v>1673</v>
      </c>
      <c r="C386" s="4" t="s">
        <v>1674</v>
      </c>
      <c r="D386" s="8" t="s">
        <v>1675</v>
      </c>
      <c r="E386" s="4" t="s">
        <v>1676</v>
      </c>
      <c r="F386" s="4" t="s">
        <v>1677</v>
      </c>
      <c r="G386" s="4" t="s">
        <v>41</v>
      </c>
      <c r="H386" s="4" t="s">
        <v>20</v>
      </c>
      <c r="I386" s="4" t="s">
        <v>1678</v>
      </c>
    </row>
    <row r="387">
      <c r="A387" s="7">
        <v>45588.44990761574</v>
      </c>
      <c r="B387" s="4" t="s">
        <v>1679</v>
      </c>
      <c r="C387" s="4" t="s">
        <v>1680</v>
      </c>
      <c r="D387" s="4" t="s">
        <v>373</v>
      </c>
      <c r="E387" s="4" t="s">
        <v>598</v>
      </c>
      <c r="F387" s="4" t="s">
        <v>1681</v>
      </c>
      <c r="G387" s="4" t="s">
        <v>54</v>
      </c>
      <c r="H387" s="4" t="s">
        <v>20</v>
      </c>
      <c r="I387" s="4" t="s">
        <v>1682</v>
      </c>
    </row>
    <row r="388">
      <c r="A388" s="7">
        <v>45588.45241753472</v>
      </c>
      <c r="B388" s="4" t="s">
        <v>1683</v>
      </c>
      <c r="C388" s="4" t="s">
        <v>1684</v>
      </c>
      <c r="D388" s="4" t="s">
        <v>373</v>
      </c>
      <c r="E388" s="4" t="s">
        <v>313</v>
      </c>
      <c r="F388" s="4" t="s">
        <v>1685</v>
      </c>
      <c r="G388" s="4" t="s">
        <v>54</v>
      </c>
      <c r="H388" s="4" t="s">
        <v>20</v>
      </c>
      <c r="I388" s="4" t="s">
        <v>1329</v>
      </c>
    </row>
    <row r="389">
      <c r="A389" s="7">
        <v>45588.453967071764</v>
      </c>
      <c r="B389" s="4" t="s">
        <v>1686</v>
      </c>
      <c r="C389" s="4" t="s">
        <v>1687</v>
      </c>
      <c r="D389" s="4" t="s">
        <v>373</v>
      </c>
      <c r="E389" s="4" t="s">
        <v>284</v>
      </c>
      <c r="F389" s="4" t="s">
        <v>1688</v>
      </c>
      <c r="G389" s="4" t="s">
        <v>54</v>
      </c>
      <c r="H389" s="4" t="s">
        <v>20</v>
      </c>
      <c r="I389" s="4" t="s">
        <v>1689</v>
      </c>
    </row>
    <row r="390">
      <c r="A390" s="7">
        <v>45588.45569859954</v>
      </c>
      <c r="B390" s="4" t="s">
        <v>1690</v>
      </c>
      <c r="C390" s="4" t="s">
        <v>1691</v>
      </c>
      <c r="D390" s="4" t="s">
        <v>1692</v>
      </c>
      <c r="E390" s="4" t="s">
        <v>313</v>
      </c>
      <c r="F390" s="4" t="s">
        <v>1693</v>
      </c>
      <c r="G390" s="4" t="s">
        <v>251</v>
      </c>
      <c r="H390" s="4" t="s">
        <v>20</v>
      </c>
      <c r="I390" s="4" t="s">
        <v>1097</v>
      </c>
    </row>
    <row r="391">
      <c r="A391" s="7">
        <v>45588.45686119213</v>
      </c>
      <c r="B391" s="4" t="s">
        <v>1694</v>
      </c>
      <c r="C391" s="4" t="s">
        <v>1695</v>
      </c>
      <c r="D391" s="4" t="s">
        <v>373</v>
      </c>
      <c r="E391" s="4" t="s">
        <v>781</v>
      </c>
      <c r="F391" s="4" t="s">
        <v>1696</v>
      </c>
      <c r="G391" s="4" t="s">
        <v>54</v>
      </c>
      <c r="H391" s="4" t="s">
        <v>20</v>
      </c>
      <c r="I391" s="4" t="s">
        <v>1697</v>
      </c>
    </row>
    <row r="392">
      <c r="A392" s="7">
        <v>45588.45810532407</v>
      </c>
      <c r="B392" s="4" t="s">
        <v>1698</v>
      </c>
      <c r="C392" s="4" t="s">
        <v>1699</v>
      </c>
      <c r="D392" s="4" t="s">
        <v>326</v>
      </c>
      <c r="E392" s="4" t="s">
        <v>410</v>
      </c>
      <c r="F392" s="4" t="s">
        <v>1700</v>
      </c>
      <c r="G392" s="4" t="s">
        <v>251</v>
      </c>
      <c r="H392" s="4" t="s">
        <v>20</v>
      </c>
      <c r="I392" s="4" t="s">
        <v>1367</v>
      </c>
    </row>
    <row r="393">
      <c r="A393" s="7">
        <v>45588.4605293287</v>
      </c>
      <c r="B393" s="4" t="s">
        <v>1701</v>
      </c>
      <c r="C393" s="4" t="s">
        <v>1702</v>
      </c>
      <c r="D393" s="8" t="s">
        <v>1703</v>
      </c>
      <c r="E393" s="4" t="s">
        <v>548</v>
      </c>
      <c r="F393" s="4" t="s">
        <v>1704</v>
      </c>
      <c r="G393" s="4" t="s">
        <v>19</v>
      </c>
      <c r="H393" s="4" t="s">
        <v>20</v>
      </c>
      <c r="I393" s="4" t="s">
        <v>115</v>
      </c>
    </row>
    <row r="394">
      <c r="A394" s="7">
        <v>45588.46182491898</v>
      </c>
      <c r="B394" s="4" t="s">
        <v>337</v>
      </c>
      <c r="C394" s="4" t="s">
        <v>338</v>
      </c>
      <c r="D394" s="4" t="s">
        <v>339</v>
      </c>
      <c r="E394" s="4" t="s">
        <v>1705</v>
      </c>
      <c r="F394" s="4" t="s">
        <v>340</v>
      </c>
      <c r="G394" s="4" t="s">
        <v>251</v>
      </c>
      <c r="H394" s="4" t="s">
        <v>570</v>
      </c>
      <c r="I394" s="4" t="s">
        <v>341</v>
      </c>
    </row>
    <row r="395">
      <c r="A395" s="7">
        <v>45588.46327813657</v>
      </c>
      <c r="B395" s="4" t="s">
        <v>1706</v>
      </c>
      <c r="C395" s="4" t="s">
        <v>1707</v>
      </c>
      <c r="D395" s="4" t="s">
        <v>339</v>
      </c>
      <c r="E395" s="4" t="s">
        <v>313</v>
      </c>
      <c r="F395" s="4" t="s">
        <v>1708</v>
      </c>
      <c r="G395" s="4" t="s">
        <v>251</v>
      </c>
      <c r="H395" s="4" t="s">
        <v>20</v>
      </c>
      <c r="I395" s="4" t="s">
        <v>721</v>
      </c>
    </row>
    <row r="396">
      <c r="A396" s="7">
        <v>45588.47713393519</v>
      </c>
      <c r="B396" s="4" t="s">
        <v>1709</v>
      </c>
      <c r="C396" s="4" t="s">
        <v>1710</v>
      </c>
      <c r="D396" s="8" t="s">
        <v>1711</v>
      </c>
      <c r="E396" s="4" t="s">
        <v>1009</v>
      </c>
      <c r="F396" s="4" t="s">
        <v>1712</v>
      </c>
      <c r="G396" s="4" t="s">
        <v>41</v>
      </c>
      <c r="H396" s="4" t="s">
        <v>20</v>
      </c>
      <c r="I396" s="4" t="s">
        <v>165</v>
      </c>
    </row>
    <row r="397">
      <c r="A397" s="7">
        <v>45588.478669108794</v>
      </c>
      <c r="B397" s="4" t="s">
        <v>1713</v>
      </c>
      <c r="C397" s="4" t="s">
        <v>1710</v>
      </c>
      <c r="D397" s="8" t="s">
        <v>1711</v>
      </c>
      <c r="E397" s="4" t="s">
        <v>1009</v>
      </c>
      <c r="F397" s="4" t="s">
        <v>1715</v>
      </c>
      <c r="G397" s="4" t="s">
        <v>41</v>
      </c>
      <c r="H397" s="4" t="s">
        <v>20</v>
      </c>
      <c r="I397" s="4" t="s">
        <v>165</v>
      </c>
    </row>
    <row r="398">
      <c r="A398" s="7">
        <v>45588.47981784723</v>
      </c>
      <c r="B398" s="4" t="s">
        <v>1716</v>
      </c>
      <c r="C398" s="4" t="s">
        <v>1717</v>
      </c>
      <c r="D398" s="8" t="s">
        <v>1718</v>
      </c>
      <c r="E398" s="4" t="s">
        <v>1719</v>
      </c>
      <c r="F398" s="4" t="s">
        <v>1720</v>
      </c>
      <c r="G398" s="4" t="s">
        <v>54</v>
      </c>
      <c r="H398" s="4" t="s">
        <v>20</v>
      </c>
      <c r="I398" s="4" t="s">
        <v>1721</v>
      </c>
    </row>
    <row r="399">
      <c r="A399" s="7">
        <v>45588.482928032405</v>
      </c>
      <c r="B399" s="4" t="s">
        <v>1722</v>
      </c>
      <c r="C399" s="4" t="s">
        <v>1723</v>
      </c>
      <c r="D399" s="8" t="s">
        <v>1724</v>
      </c>
      <c r="E399" s="4" t="s">
        <v>17</v>
      </c>
      <c r="F399" s="4" t="s">
        <v>1725</v>
      </c>
      <c r="G399" s="4" t="s">
        <v>19</v>
      </c>
      <c r="H399" s="4" t="s">
        <v>20</v>
      </c>
      <c r="I399" s="4" t="s">
        <v>385</v>
      </c>
    </row>
    <row r="400">
      <c r="A400" s="7">
        <v>45588.48675913195</v>
      </c>
      <c r="B400" s="4" t="s">
        <v>1726</v>
      </c>
      <c r="C400" s="4" t="s">
        <v>1727</v>
      </c>
      <c r="D400" s="4" t="s">
        <v>1617</v>
      </c>
      <c r="E400" s="4" t="s">
        <v>345</v>
      </c>
      <c r="F400" s="4" t="s">
        <v>1728</v>
      </c>
      <c r="G400" s="4" t="s">
        <v>32</v>
      </c>
      <c r="H400" s="4" t="s">
        <v>20</v>
      </c>
      <c r="I400" s="4" t="s">
        <v>499</v>
      </c>
    </row>
    <row r="401">
      <c r="A401" s="7">
        <v>45588.49031159723</v>
      </c>
      <c r="B401" s="4" t="s">
        <v>1729</v>
      </c>
      <c r="C401" s="4" t="s">
        <v>1730</v>
      </c>
      <c r="D401" s="4" t="s">
        <v>1206</v>
      </c>
      <c r="E401" s="4" t="s">
        <v>313</v>
      </c>
      <c r="F401" s="4" t="s">
        <v>1731</v>
      </c>
      <c r="G401" s="4" t="s">
        <v>54</v>
      </c>
      <c r="H401" s="4" t="s">
        <v>20</v>
      </c>
      <c r="I401" s="4" t="s">
        <v>406</v>
      </c>
    </row>
    <row r="402">
      <c r="A402" s="7">
        <v>45588.49184159722</v>
      </c>
      <c r="B402" s="4" t="s">
        <v>1732</v>
      </c>
      <c r="C402" s="4" t="s">
        <v>1733</v>
      </c>
      <c r="D402" s="4" t="s">
        <v>1229</v>
      </c>
      <c r="E402" s="4" t="s">
        <v>410</v>
      </c>
      <c r="F402" s="4" t="s">
        <v>1734</v>
      </c>
      <c r="G402" s="4" t="s">
        <v>251</v>
      </c>
      <c r="H402" s="4" t="s">
        <v>20</v>
      </c>
      <c r="I402" s="4" t="s">
        <v>1086</v>
      </c>
    </row>
    <row r="403">
      <c r="A403" s="7">
        <v>45588.492941296296</v>
      </c>
      <c r="B403" s="4" t="s">
        <v>1735</v>
      </c>
      <c r="C403" s="4" t="s">
        <v>1736</v>
      </c>
      <c r="D403" s="4" t="s">
        <v>1229</v>
      </c>
      <c r="E403" s="4" t="s">
        <v>538</v>
      </c>
      <c r="F403" s="4" t="s">
        <v>1737</v>
      </c>
      <c r="G403" s="4" t="s">
        <v>251</v>
      </c>
      <c r="H403" s="4" t="s">
        <v>20</v>
      </c>
      <c r="I403" s="4" t="s">
        <v>1737</v>
      </c>
    </row>
    <row r="404">
      <c r="A404" s="7">
        <v>45588.4939905787</v>
      </c>
      <c r="B404" s="4" t="s">
        <v>1738</v>
      </c>
      <c r="C404" s="4" t="s">
        <v>1739</v>
      </c>
      <c r="D404" s="4" t="s">
        <v>188</v>
      </c>
      <c r="E404" s="4" t="s">
        <v>345</v>
      </c>
      <c r="F404" s="4" t="s">
        <v>1740</v>
      </c>
      <c r="G404" s="4" t="s">
        <v>32</v>
      </c>
      <c r="H404" s="4" t="s">
        <v>20</v>
      </c>
      <c r="I404" s="4" t="s">
        <v>147</v>
      </c>
    </row>
    <row r="405">
      <c r="A405" s="7">
        <v>45588.4949709375</v>
      </c>
      <c r="B405" s="4" t="s">
        <v>1741</v>
      </c>
      <c r="C405" s="4" t="s">
        <v>1739</v>
      </c>
      <c r="D405" s="4" t="s">
        <v>188</v>
      </c>
      <c r="E405" s="4" t="s">
        <v>345</v>
      </c>
      <c r="F405" s="4" t="s">
        <v>1742</v>
      </c>
      <c r="G405" s="4" t="s">
        <v>32</v>
      </c>
      <c r="H405" s="4" t="s">
        <v>20</v>
      </c>
      <c r="I405" s="4" t="s">
        <v>147</v>
      </c>
    </row>
    <row r="406">
      <c r="A406" s="7">
        <v>45588.495652997684</v>
      </c>
      <c r="B406" s="4" t="s">
        <v>1743</v>
      </c>
      <c r="C406" s="4" t="s">
        <v>1744</v>
      </c>
      <c r="D406" s="8" t="s">
        <v>1745</v>
      </c>
      <c r="E406" s="4" t="s">
        <v>410</v>
      </c>
      <c r="F406" s="4" t="s">
        <v>1746</v>
      </c>
      <c r="G406" s="4" t="s">
        <v>54</v>
      </c>
      <c r="H406" s="4" t="s">
        <v>20</v>
      </c>
      <c r="I406" s="4" t="s">
        <v>1086</v>
      </c>
    </row>
    <row r="407">
      <c r="A407" s="7">
        <v>45588.49938630787</v>
      </c>
      <c r="B407" s="4" t="s">
        <v>1747</v>
      </c>
      <c r="C407" s="4" t="s">
        <v>1748</v>
      </c>
      <c r="D407" s="8" t="s">
        <v>1745</v>
      </c>
      <c r="E407" s="4" t="s">
        <v>796</v>
      </c>
      <c r="F407" s="4" t="s">
        <v>1749</v>
      </c>
      <c r="G407" s="4" t="s">
        <v>54</v>
      </c>
      <c r="H407" s="4" t="s">
        <v>20</v>
      </c>
      <c r="I407" s="4" t="s">
        <v>1209</v>
      </c>
    </row>
    <row r="408">
      <c r="A408" s="7">
        <v>45588.555914375</v>
      </c>
      <c r="B408" s="4" t="s">
        <v>1750</v>
      </c>
      <c r="C408" s="4" t="s">
        <v>1751</v>
      </c>
      <c r="D408" s="8" t="s">
        <v>1752</v>
      </c>
      <c r="E408" s="4" t="s">
        <v>284</v>
      </c>
      <c r="F408" s="4" t="s">
        <v>1753</v>
      </c>
      <c r="G408" s="4" t="s">
        <v>54</v>
      </c>
      <c r="H408" s="4" t="s">
        <v>20</v>
      </c>
      <c r="I408" s="4" t="s">
        <v>406</v>
      </c>
    </row>
    <row r="409">
      <c r="A409" s="7">
        <v>45588.564258819446</v>
      </c>
      <c r="B409" s="4" t="s">
        <v>1754</v>
      </c>
      <c r="C409" s="4" t="s">
        <v>1755</v>
      </c>
      <c r="D409" s="8" t="s">
        <v>1756</v>
      </c>
      <c r="E409" s="4" t="s">
        <v>345</v>
      </c>
      <c r="F409" s="4" t="s">
        <v>1757</v>
      </c>
      <c r="G409" s="4" t="s">
        <v>32</v>
      </c>
      <c r="H409" s="4" t="s">
        <v>20</v>
      </c>
      <c r="I409" s="4" t="s">
        <v>1289</v>
      </c>
    </row>
    <row r="410">
      <c r="A410" s="7">
        <v>45588.56720230324</v>
      </c>
      <c r="B410" s="4" t="s">
        <v>254</v>
      </c>
      <c r="C410" s="4" t="s">
        <v>1758</v>
      </c>
      <c r="D410" s="4" t="s">
        <v>247</v>
      </c>
      <c r="E410" s="4" t="s">
        <v>30</v>
      </c>
      <c r="F410" s="4" t="s">
        <v>1759</v>
      </c>
      <c r="G410" s="4" t="s">
        <v>251</v>
      </c>
      <c r="H410" s="4" t="s">
        <v>570</v>
      </c>
      <c r="I410" s="4" t="s">
        <v>1760</v>
      </c>
    </row>
    <row r="411">
      <c r="A411" s="7">
        <v>45588.56878037037</v>
      </c>
      <c r="B411" s="4" t="s">
        <v>1761</v>
      </c>
      <c r="C411" s="4" t="s">
        <v>1762</v>
      </c>
      <c r="D411" s="4" t="s">
        <v>1763</v>
      </c>
      <c r="E411" s="4" t="s">
        <v>404</v>
      </c>
      <c r="F411" s="4" t="s">
        <v>1764</v>
      </c>
      <c r="G411" s="4" t="s">
        <v>251</v>
      </c>
      <c r="H411" s="4" t="s">
        <v>20</v>
      </c>
      <c r="I411" s="4" t="s">
        <v>922</v>
      </c>
    </row>
    <row r="412">
      <c r="A412" s="7">
        <v>45588.57020722222</v>
      </c>
      <c r="B412" s="4" t="s">
        <v>1765</v>
      </c>
      <c r="C412" s="4" t="s">
        <v>1766</v>
      </c>
      <c r="D412" s="8" t="s">
        <v>1767</v>
      </c>
      <c r="E412" s="4" t="s">
        <v>173</v>
      </c>
      <c r="F412" s="4" t="s">
        <v>1768</v>
      </c>
      <c r="G412" s="4" t="s">
        <v>41</v>
      </c>
      <c r="H412" s="4" t="s">
        <v>20</v>
      </c>
      <c r="I412" s="4" t="s">
        <v>152</v>
      </c>
    </row>
    <row r="413">
      <c r="A413" s="7">
        <v>45588.57859819444</v>
      </c>
      <c r="B413" s="4" t="s">
        <v>310</v>
      </c>
      <c r="C413" s="4" t="s">
        <v>1769</v>
      </c>
      <c r="D413" s="4" t="s">
        <v>1770</v>
      </c>
      <c r="E413" s="4" t="s">
        <v>313</v>
      </c>
      <c r="F413" s="4" t="s">
        <v>1771</v>
      </c>
      <c r="G413" s="4" t="s">
        <v>251</v>
      </c>
      <c r="H413" s="4" t="s">
        <v>570</v>
      </c>
      <c r="I413" s="4" t="s">
        <v>1772</v>
      </c>
    </row>
    <row r="414">
      <c r="A414" s="7">
        <v>45588.58259431713</v>
      </c>
      <c r="B414" s="4" t="s">
        <v>1773</v>
      </c>
      <c r="C414" s="4" t="s">
        <v>1774</v>
      </c>
      <c r="D414" s="8" t="s">
        <v>1095</v>
      </c>
      <c r="E414" s="4" t="s">
        <v>284</v>
      </c>
      <c r="F414" s="4" t="s">
        <v>1775</v>
      </c>
      <c r="G414" s="4" t="s">
        <v>251</v>
      </c>
      <c r="H414" s="4" t="s">
        <v>20</v>
      </c>
      <c r="I414" s="4" t="s">
        <v>1776</v>
      </c>
    </row>
    <row r="415">
      <c r="A415" s="7">
        <v>45588.5842471412</v>
      </c>
      <c r="B415" s="4" t="s">
        <v>1777</v>
      </c>
      <c r="C415" s="4" t="s">
        <v>1778</v>
      </c>
      <c r="D415" s="4" t="s">
        <v>1382</v>
      </c>
      <c r="E415" s="4" t="s">
        <v>538</v>
      </c>
      <c r="F415" s="4" t="s">
        <v>1779</v>
      </c>
      <c r="G415" s="4" t="s">
        <v>251</v>
      </c>
      <c r="H415" s="4" t="s">
        <v>20</v>
      </c>
      <c r="I415" s="4" t="s">
        <v>1536</v>
      </c>
    </row>
    <row r="416">
      <c r="A416" s="7">
        <v>45588.584838483795</v>
      </c>
      <c r="B416" s="4" t="s">
        <v>1780</v>
      </c>
      <c r="C416" s="4" t="s">
        <v>1781</v>
      </c>
      <c r="D416" s="4" t="s">
        <v>1382</v>
      </c>
      <c r="E416" s="4" t="s">
        <v>538</v>
      </c>
      <c r="F416" s="4" t="s">
        <v>1782</v>
      </c>
      <c r="G416" s="4" t="s">
        <v>251</v>
      </c>
      <c r="H416" s="4" t="s">
        <v>20</v>
      </c>
      <c r="I416" s="4" t="s">
        <v>1548</v>
      </c>
    </row>
    <row r="417">
      <c r="A417" s="7">
        <v>45588.58535364583</v>
      </c>
      <c r="B417" s="4" t="s">
        <v>1783</v>
      </c>
      <c r="C417" s="4" t="s">
        <v>1781</v>
      </c>
      <c r="D417" s="4" t="s">
        <v>1382</v>
      </c>
      <c r="E417" s="4" t="s">
        <v>538</v>
      </c>
      <c r="F417" s="4" t="s">
        <v>1784</v>
      </c>
      <c r="G417" s="4" t="s">
        <v>251</v>
      </c>
      <c r="H417" s="4" t="s">
        <v>20</v>
      </c>
      <c r="I417" s="4" t="s">
        <v>1548</v>
      </c>
    </row>
    <row r="418">
      <c r="A418" s="7">
        <v>45588.58694217593</v>
      </c>
      <c r="B418" s="4" t="s">
        <v>1785</v>
      </c>
      <c r="C418" s="4" t="s">
        <v>1786</v>
      </c>
      <c r="D418" s="8" t="s">
        <v>1787</v>
      </c>
      <c r="E418" s="4" t="s">
        <v>17</v>
      </c>
      <c r="F418" s="4" t="s">
        <v>1788</v>
      </c>
      <c r="G418" s="4" t="s">
        <v>19</v>
      </c>
      <c r="H418" s="4" t="s">
        <v>20</v>
      </c>
      <c r="I418" s="4" t="s">
        <v>1111</v>
      </c>
    </row>
    <row r="419">
      <c r="A419" s="7">
        <v>45588.58915855324</v>
      </c>
      <c r="B419" s="4" t="s">
        <v>1789</v>
      </c>
      <c r="C419" s="4" t="s">
        <v>1790</v>
      </c>
      <c r="D419" s="8" t="s">
        <v>211</v>
      </c>
      <c r="E419" s="4" t="s">
        <v>410</v>
      </c>
      <c r="F419" s="4" t="s">
        <v>1791</v>
      </c>
      <c r="G419" s="4" t="s">
        <v>54</v>
      </c>
      <c r="H419" s="4" t="s">
        <v>20</v>
      </c>
      <c r="I419" s="4" t="s">
        <v>1792</v>
      </c>
    </row>
    <row r="420">
      <c r="A420" s="7">
        <v>45588.589179456016</v>
      </c>
      <c r="B420" s="4" t="s">
        <v>1793</v>
      </c>
      <c r="C420" s="4" t="s">
        <v>1794</v>
      </c>
      <c r="D420" s="8" t="s">
        <v>1796</v>
      </c>
      <c r="E420" s="4" t="s">
        <v>1293</v>
      </c>
      <c r="F420" s="4" t="s">
        <v>1797</v>
      </c>
      <c r="G420" s="4" t="s">
        <v>251</v>
      </c>
      <c r="H420" s="4" t="s">
        <v>20</v>
      </c>
      <c r="I420" s="4" t="s">
        <v>1261</v>
      </c>
    </row>
    <row r="421">
      <c r="A421" s="7">
        <v>45588.594434803235</v>
      </c>
      <c r="B421" s="4" t="s">
        <v>1798</v>
      </c>
      <c r="C421" s="4" t="s">
        <v>1799</v>
      </c>
      <c r="D421" s="8" t="s">
        <v>1800</v>
      </c>
      <c r="E421" s="4" t="s">
        <v>17</v>
      </c>
      <c r="F421" s="4" t="s">
        <v>1801</v>
      </c>
      <c r="G421" s="4" t="s">
        <v>41</v>
      </c>
      <c r="H421" s="4" t="s">
        <v>20</v>
      </c>
      <c r="I421" s="4" t="s">
        <v>301</v>
      </c>
    </row>
    <row r="422">
      <c r="A422" s="7">
        <v>45588.595331979166</v>
      </c>
      <c r="B422" s="4" t="s">
        <v>687</v>
      </c>
      <c r="C422" s="4" t="s">
        <v>688</v>
      </c>
      <c r="D422" s="8" t="s">
        <v>522</v>
      </c>
      <c r="E422" s="4" t="s">
        <v>313</v>
      </c>
      <c r="F422" s="4" t="s">
        <v>1802</v>
      </c>
      <c r="G422" s="4" t="s">
        <v>251</v>
      </c>
      <c r="H422" s="4" t="s">
        <v>570</v>
      </c>
      <c r="I422" s="4" t="s">
        <v>1803</v>
      </c>
    </row>
    <row r="423">
      <c r="A423" s="7">
        <v>45588.59655836805</v>
      </c>
      <c r="B423" s="4" t="s">
        <v>466</v>
      </c>
      <c r="C423" s="4" t="s">
        <v>467</v>
      </c>
      <c r="D423" s="4" t="s">
        <v>468</v>
      </c>
      <c r="E423" s="4" t="s">
        <v>313</v>
      </c>
      <c r="F423" s="4" t="s">
        <v>469</v>
      </c>
      <c r="G423" s="4" t="s">
        <v>251</v>
      </c>
      <c r="H423" s="4" t="s">
        <v>570</v>
      </c>
      <c r="I423" s="4" t="s">
        <v>471</v>
      </c>
    </row>
    <row r="424">
      <c r="A424" s="7">
        <v>45588.59933143518</v>
      </c>
      <c r="B424" s="4" t="s">
        <v>1804</v>
      </c>
      <c r="C424" s="4" t="s">
        <v>1805</v>
      </c>
      <c r="D424" s="8" t="s">
        <v>1806</v>
      </c>
      <c r="E424" s="4" t="s">
        <v>17</v>
      </c>
      <c r="F424" s="4" t="s">
        <v>1807</v>
      </c>
      <c r="G424" s="4" t="s">
        <v>41</v>
      </c>
      <c r="H424" s="4" t="s">
        <v>20</v>
      </c>
      <c r="I424" s="4" t="s">
        <v>1808</v>
      </c>
    </row>
    <row r="425">
      <c r="A425" s="7">
        <v>45588.6032277662</v>
      </c>
      <c r="B425" s="4" t="s">
        <v>1809</v>
      </c>
      <c r="C425" s="4" t="s">
        <v>1810</v>
      </c>
      <c r="D425" s="4" t="s">
        <v>1811</v>
      </c>
      <c r="E425" s="4" t="s">
        <v>345</v>
      </c>
      <c r="F425" s="4" t="s">
        <v>1812</v>
      </c>
      <c r="G425" s="4" t="s">
        <v>32</v>
      </c>
      <c r="H425" s="4" t="s">
        <v>20</v>
      </c>
      <c r="I425" s="4" t="s">
        <v>347</v>
      </c>
    </row>
    <row r="426">
      <c r="A426" s="7">
        <v>45588.604127592596</v>
      </c>
      <c r="B426" s="4" t="s">
        <v>1813</v>
      </c>
      <c r="C426" s="4" t="s">
        <v>1814</v>
      </c>
      <c r="D426" s="8" t="s">
        <v>1815</v>
      </c>
      <c r="E426" s="4" t="s">
        <v>404</v>
      </c>
      <c r="F426" s="4" t="s">
        <v>1816</v>
      </c>
      <c r="G426" s="4" t="s">
        <v>251</v>
      </c>
      <c r="H426" s="4" t="s">
        <v>20</v>
      </c>
      <c r="I426" s="4" t="s">
        <v>1329</v>
      </c>
    </row>
    <row r="427">
      <c r="A427" s="7">
        <v>45588.606235150466</v>
      </c>
      <c r="B427" s="4" t="s">
        <v>145</v>
      </c>
      <c r="C427" s="4" t="s">
        <v>1817</v>
      </c>
      <c r="D427" s="8" t="s">
        <v>134</v>
      </c>
      <c r="E427" s="4" t="s">
        <v>345</v>
      </c>
      <c r="F427" s="4" t="s">
        <v>1818</v>
      </c>
      <c r="G427" s="4" t="s">
        <v>54</v>
      </c>
      <c r="H427" s="4" t="s">
        <v>570</v>
      </c>
      <c r="I427" s="4" t="s">
        <v>1819</v>
      </c>
    </row>
    <row r="428">
      <c r="A428" s="7">
        <v>45588.60830891204</v>
      </c>
      <c r="B428" s="4" t="s">
        <v>132</v>
      </c>
      <c r="C428" s="4" t="s">
        <v>1820</v>
      </c>
      <c r="D428" s="8" t="s">
        <v>134</v>
      </c>
      <c r="E428" s="4" t="s">
        <v>345</v>
      </c>
      <c r="F428" s="4" t="s">
        <v>1821</v>
      </c>
      <c r="G428" s="4" t="s">
        <v>54</v>
      </c>
      <c r="H428" s="4" t="s">
        <v>570</v>
      </c>
      <c r="I428" s="4" t="s">
        <v>341</v>
      </c>
    </row>
    <row r="429">
      <c r="A429" s="7">
        <v>45588.609945185184</v>
      </c>
      <c r="B429" s="4" t="s">
        <v>153</v>
      </c>
      <c r="C429" s="4" t="s">
        <v>1822</v>
      </c>
      <c r="D429" s="8" t="s">
        <v>134</v>
      </c>
      <c r="E429" s="4" t="s">
        <v>345</v>
      </c>
      <c r="F429" s="4" t="s">
        <v>1823</v>
      </c>
      <c r="G429" s="4" t="s">
        <v>54</v>
      </c>
      <c r="H429" s="4" t="s">
        <v>570</v>
      </c>
      <c r="I429" s="4" t="s">
        <v>721</v>
      </c>
    </row>
    <row r="430">
      <c r="A430" s="7">
        <v>45588.612230439816</v>
      </c>
      <c r="B430" s="4" t="s">
        <v>1824</v>
      </c>
      <c r="C430" s="4" t="s">
        <v>1825</v>
      </c>
      <c r="D430" s="8" t="s">
        <v>1826</v>
      </c>
      <c r="E430" s="4" t="s">
        <v>284</v>
      </c>
      <c r="F430" s="4" t="s">
        <v>1827</v>
      </c>
      <c r="G430" s="4" t="s">
        <v>251</v>
      </c>
      <c r="H430" s="4" t="s">
        <v>20</v>
      </c>
      <c r="I430" s="4" t="s">
        <v>1828</v>
      </c>
    </row>
    <row r="431">
      <c r="A431" s="7">
        <v>45588.61628072917</v>
      </c>
      <c r="B431" s="4" t="s">
        <v>1829</v>
      </c>
      <c r="C431" s="4" t="s">
        <v>1830</v>
      </c>
      <c r="D431" s="4" t="s">
        <v>1831</v>
      </c>
      <c r="E431" s="4" t="s">
        <v>78</v>
      </c>
      <c r="F431" s="4" t="s">
        <v>1832</v>
      </c>
      <c r="G431" s="4" t="s">
        <v>32</v>
      </c>
      <c r="H431" s="4" t="s">
        <v>20</v>
      </c>
      <c r="I431" s="4" t="s">
        <v>80</v>
      </c>
    </row>
    <row r="432">
      <c r="A432" s="7">
        <v>45588.61688133102</v>
      </c>
      <c r="B432" s="4" t="s">
        <v>1833</v>
      </c>
      <c r="C432" s="4" t="s">
        <v>1834</v>
      </c>
      <c r="D432" s="4" t="s">
        <v>1831</v>
      </c>
      <c r="E432" s="4" t="s">
        <v>78</v>
      </c>
      <c r="F432" s="4" t="s">
        <v>1835</v>
      </c>
      <c r="G432" s="4" t="s">
        <v>32</v>
      </c>
      <c r="H432" s="4" t="s">
        <v>20</v>
      </c>
      <c r="I432" s="4" t="s">
        <v>1444</v>
      </c>
    </row>
    <row r="433">
      <c r="A433" s="7">
        <v>45588.618485370374</v>
      </c>
      <c r="B433" s="4" t="s">
        <v>1836</v>
      </c>
      <c r="C433" s="4" t="s">
        <v>1837</v>
      </c>
      <c r="D433" s="4" t="s">
        <v>1515</v>
      </c>
      <c r="E433" s="4" t="s">
        <v>754</v>
      </c>
      <c r="F433" s="4" t="s">
        <v>1838</v>
      </c>
      <c r="G433" s="4" t="s">
        <v>251</v>
      </c>
      <c r="H433" s="4" t="s">
        <v>20</v>
      </c>
      <c r="I433" s="4" t="s">
        <v>721</v>
      </c>
    </row>
    <row r="434">
      <c r="A434" s="7">
        <v>45588.62350966435</v>
      </c>
      <c r="B434" s="4" t="s">
        <v>1839</v>
      </c>
      <c r="C434" s="4" t="s">
        <v>1840</v>
      </c>
      <c r="D434" s="4" t="s">
        <v>1515</v>
      </c>
      <c r="E434" s="4" t="s">
        <v>313</v>
      </c>
      <c r="F434" s="4" t="s">
        <v>1841</v>
      </c>
      <c r="G434" s="4" t="s">
        <v>251</v>
      </c>
      <c r="H434" s="4" t="s">
        <v>20</v>
      </c>
      <c r="I434" s="4" t="s">
        <v>1842</v>
      </c>
    </row>
    <row r="435">
      <c r="A435" s="7">
        <v>45588.62482144676</v>
      </c>
      <c r="B435" s="4" t="s">
        <v>1843</v>
      </c>
      <c r="C435" s="4" t="s">
        <v>1844</v>
      </c>
      <c r="D435" s="8" t="s">
        <v>658</v>
      </c>
      <c r="E435" s="4" t="s">
        <v>345</v>
      </c>
      <c r="F435" s="4" t="s">
        <v>1845</v>
      </c>
      <c r="G435" s="4" t="s">
        <v>54</v>
      </c>
      <c r="H435" s="4" t="s">
        <v>20</v>
      </c>
      <c r="I435" s="4" t="s">
        <v>540</v>
      </c>
    </row>
    <row r="436">
      <c r="A436" s="7">
        <v>45588.62825981481</v>
      </c>
      <c r="B436" s="4" t="s">
        <v>1846</v>
      </c>
      <c r="C436" s="4" t="s">
        <v>1847</v>
      </c>
      <c r="D436" s="4" t="s">
        <v>1848</v>
      </c>
      <c r="E436" s="4" t="s">
        <v>345</v>
      </c>
      <c r="F436" s="4" t="s">
        <v>1849</v>
      </c>
      <c r="G436" s="4" t="s">
        <v>32</v>
      </c>
      <c r="H436" s="4" t="s">
        <v>20</v>
      </c>
      <c r="I436" s="4" t="s">
        <v>417</v>
      </c>
    </row>
    <row r="437">
      <c r="A437" s="7">
        <v>45588.63220078703</v>
      </c>
      <c r="B437" s="4" t="s">
        <v>1850</v>
      </c>
      <c r="C437" s="4" t="s">
        <v>1851</v>
      </c>
      <c r="D437" s="4" t="s">
        <v>1852</v>
      </c>
      <c r="E437" s="4" t="s">
        <v>1313</v>
      </c>
      <c r="F437" s="4" t="s">
        <v>1853</v>
      </c>
      <c r="G437" s="4" t="s">
        <v>32</v>
      </c>
      <c r="H437" s="4" t="s">
        <v>20</v>
      </c>
      <c r="I437" s="4" t="s">
        <v>48</v>
      </c>
    </row>
    <row r="438">
      <c r="A438" s="7">
        <v>45588.63283986111</v>
      </c>
      <c r="B438" s="4" t="s">
        <v>1854</v>
      </c>
      <c r="C438" s="4" t="s">
        <v>1855</v>
      </c>
      <c r="D438" s="4" t="s">
        <v>1852</v>
      </c>
      <c r="E438" s="4" t="s">
        <v>1313</v>
      </c>
      <c r="F438" s="4" t="s">
        <v>1856</v>
      </c>
      <c r="G438" s="4" t="s">
        <v>32</v>
      </c>
      <c r="H438" s="4" t="s">
        <v>20</v>
      </c>
      <c r="I438" s="4" t="s">
        <v>1857</v>
      </c>
    </row>
    <row r="439">
      <c r="A439" s="7">
        <v>45589.376797372686</v>
      </c>
      <c r="B439" s="4" t="s">
        <v>1858</v>
      </c>
      <c r="C439" s="4" t="s">
        <v>1859</v>
      </c>
      <c r="D439" s="4" t="s">
        <v>1860</v>
      </c>
      <c r="E439" s="4" t="s">
        <v>345</v>
      </c>
      <c r="F439" s="4" t="s">
        <v>1861</v>
      </c>
      <c r="G439" s="4" t="s">
        <v>32</v>
      </c>
      <c r="H439" s="4" t="s">
        <v>20</v>
      </c>
      <c r="I439" s="4" t="s">
        <v>699</v>
      </c>
    </row>
    <row r="440">
      <c r="A440" s="7">
        <v>45589.37948550926</v>
      </c>
      <c r="B440" s="4" t="s">
        <v>1862</v>
      </c>
      <c r="C440" s="4" t="s">
        <v>1863</v>
      </c>
      <c r="D440" s="8" t="s">
        <v>978</v>
      </c>
      <c r="E440" s="4" t="s">
        <v>1864</v>
      </c>
      <c r="F440" s="4" t="s">
        <v>1865</v>
      </c>
      <c r="G440" s="4" t="s">
        <v>54</v>
      </c>
      <c r="H440" s="4" t="s">
        <v>20</v>
      </c>
      <c r="I440" s="4" t="s">
        <v>406</v>
      </c>
    </row>
    <row r="441">
      <c r="A441" s="7">
        <v>45589.387782708334</v>
      </c>
      <c r="B441" s="4" t="s">
        <v>1866</v>
      </c>
      <c r="C441" s="4" t="s">
        <v>1867</v>
      </c>
      <c r="D441" s="8" t="s">
        <v>978</v>
      </c>
      <c r="E441" s="4" t="s">
        <v>313</v>
      </c>
      <c r="F441" s="4" t="s">
        <v>1868</v>
      </c>
      <c r="G441" s="4" t="s">
        <v>54</v>
      </c>
      <c r="H441" s="4" t="s">
        <v>20</v>
      </c>
      <c r="I441" s="4" t="s">
        <v>891</v>
      </c>
    </row>
    <row r="442">
      <c r="A442" s="7">
        <v>45589.38948428241</v>
      </c>
      <c r="B442" s="4" t="s">
        <v>1869</v>
      </c>
      <c r="C442" s="4" t="s">
        <v>1870</v>
      </c>
      <c r="D442" s="4" t="s">
        <v>563</v>
      </c>
      <c r="E442" s="4" t="s">
        <v>313</v>
      </c>
      <c r="F442" s="4" t="s">
        <v>1871</v>
      </c>
      <c r="G442" s="4" t="s">
        <v>251</v>
      </c>
      <c r="H442" s="4" t="s">
        <v>20</v>
      </c>
      <c r="I442" s="4" t="s">
        <v>540</v>
      </c>
    </row>
    <row r="443">
      <c r="A443" s="7">
        <v>45589.39086505787</v>
      </c>
      <c r="B443" s="4" t="s">
        <v>1872</v>
      </c>
      <c r="C443" s="4" t="s">
        <v>1873</v>
      </c>
      <c r="D443" s="4" t="s">
        <v>563</v>
      </c>
      <c r="E443" s="4" t="s">
        <v>754</v>
      </c>
      <c r="F443" s="4" t="s">
        <v>1875</v>
      </c>
      <c r="G443" s="4" t="s">
        <v>251</v>
      </c>
      <c r="H443" s="4" t="s">
        <v>20</v>
      </c>
      <c r="I443" s="4" t="s">
        <v>839</v>
      </c>
    </row>
    <row r="444">
      <c r="A444" s="7">
        <v>45589.39131489584</v>
      </c>
      <c r="B444" s="4" t="s">
        <v>1877</v>
      </c>
      <c r="C444" s="4" t="s">
        <v>1878</v>
      </c>
      <c r="D444" s="8" t="s">
        <v>1879</v>
      </c>
      <c r="E444" s="4" t="s">
        <v>313</v>
      </c>
      <c r="F444" s="4" t="s">
        <v>1880</v>
      </c>
      <c r="G444" s="4" t="s">
        <v>54</v>
      </c>
      <c r="H444" s="4" t="s">
        <v>20</v>
      </c>
      <c r="I444" s="4" t="s">
        <v>891</v>
      </c>
    </row>
    <row r="445">
      <c r="A445" s="7">
        <v>45589.39145285879</v>
      </c>
      <c r="B445" s="4" t="s">
        <v>1881</v>
      </c>
      <c r="C445" s="4" t="s">
        <v>1882</v>
      </c>
      <c r="D445" s="8" t="s">
        <v>1883</v>
      </c>
      <c r="E445" s="4" t="s">
        <v>17</v>
      </c>
      <c r="F445" s="4" t="s">
        <v>1884</v>
      </c>
      <c r="G445" s="4" t="s">
        <v>32</v>
      </c>
      <c r="H445" s="4" t="s">
        <v>20</v>
      </c>
      <c r="I445" s="4" t="s">
        <v>494</v>
      </c>
    </row>
    <row r="446">
      <c r="A446" s="7">
        <v>45589.394623182874</v>
      </c>
      <c r="B446" s="4" t="s">
        <v>1885</v>
      </c>
      <c r="C446" s="4" t="s">
        <v>1886</v>
      </c>
      <c r="D446" s="8" t="s">
        <v>978</v>
      </c>
      <c r="E446" s="4" t="s">
        <v>313</v>
      </c>
      <c r="F446" s="4" t="s">
        <v>1887</v>
      </c>
      <c r="G446" s="4" t="s">
        <v>54</v>
      </c>
      <c r="H446" s="4" t="s">
        <v>20</v>
      </c>
      <c r="I446" s="4" t="s">
        <v>891</v>
      </c>
    </row>
    <row r="447">
      <c r="A447" s="7">
        <v>45589.39704913195</v>
      </c>
      <c r="B447" s="4" t="s">
        <v>1888</v>
      </c>
      <c r="C447" s="4" t="s">
        <v>1889</v>
      </c>
      <c r="D447" s="8" t="s">
        <v>1890</v>
      </c>
      <c r="E447" s="4" t="s">
        <v>284</v>
      </c>
      <c r="F447" s="4" t="s">
        <v>1891</v>
      </c>
      <c r="G447" s="4" t="s">
        <v>251</v>
      </c>
      <c r="H447" s="4" t="s">
        <v>20</v>
      </c>
      <c r="I447" s="4" t="s">
        <v>1828</v>
      </c>
    </row>
    <row r="448">
      <c r="A448" s="7">
        <v>45589.40898528935</v>
      </c>
      <c r="B448" s="4" t="s">
        <v>1892</v>
      </c>
      <c r="C448" s="4" t="s">
        <v>1893</v>
      </c>
      <c r="D448" s="4" t="s">
        <v>238</v>
      </c>
      <c r="E448" s="4" t="s">
        <v>345</v>
      </c>
      <c r="F448" s="4" t="s">
        <v>1894</v>
      </c>
      <c r="G448" s="4" t="s">
        <v>32</v>
      </c>
      <c r="H448" s="4" t="s">
        <v>20</v>
      </c>
      <c r="I448" s="4" t="s">
        <v>1444</v>
      </c>
    </row>
    <row r="449">
      <c r="A449" s="7">
        <v>45589.415776064816</v>
      </c>
      <c r="B449" s="4" t="s">
        <v>1895</v>
      </c>
      <c r="C449" s="4" t="s">
        <v>1896</v>
      </c>
      <c r="D449" s="4" t="s">
        <v>1897</v>
      </c>
      <c r="E449" s="4" t="s">
        <v>313</v>
      </c>
      <c r="F449" s="4" t="s">
        <v>1898</v>
      </c>
      <c r="G449" s="4" t="s">
        <v>251</v>
      </c>
      <c r="H449" s="4" t="s">
        <v>20</v>
      </c>
      <c r="I449" s="4" t="s">
        <v>863</v>
      </c>
    </row>
    <row r="450">
      <c r="A450" s="7">
        <v>45589.41736193287</v>
      </c>
      <c r="B450" s="4" t="s">
        <v>1899</v>
      </c>
      <c r="C450" s="4" t="s">
        <v>1900</v>
      </c>
      <c r="D450" s="8" t="s">
        <v>1901</v>
      </c>
      <c r="E450" s="4" t="s">
        <v>754</v>
      </c>
      <c r="F450" s="4" t="s">
        <v>1902</v>
      </c>
      <c r="G450" s="4" t="s">
        <v>54</v>
      </c>
      <c r="H450" s="4" t="s">
        <v>20</v>
      </c>
      <c r="I450" s="4" t="s">
        <v>655</v>
      </c>
    </row>
    <row r="451">
      <c r="A451" s="7">
        <v>45589.42179195602</v>
      </c>
      <c r="B451" s="4" t="s">
        <v>1903</v>
      </c>
      <c r="C451" s="4" t="s">
        <v>1904</v>
      </c>
      <c r="D451" s="8" t="s">
        <v>1901</v>
      </c>
      <c r="E451" s="4" t="s">
        <v>313</v>
      </c>
      <c r="F451" s="4" t="s">
        <v>1905</v>
      </c>
      <c r="G451" s="4" t="s">
        <v>54</v>
      </c>
      <c r="H451" s="4" t="s">
        <v>20</v>
      </c>
      <c r="I451" s="4" t="s">
        <v>1906</v>
      </c>
    </row>
    <row r="452">
      <c r="A452" s="7">
        <v>45589.42290450231</v>
      </c>
      <c r="B452" s="4" t="s">
        <v>1907</v>
      </c>
      <c r="C452" s="4" t="s">
        <v>1908</v>
      </c>
      <c r="D452" s="8" t="s">
        <v>1909</v>
      </c>
      <c r="E452" s="4" t="s">
        <v>17</v>
      </c>
      <c r="F452" s="4" t="s">
        <v>1910</v>
      </c>
      <c r="G452" s="4" t="s">
        <v>41</v>
      </c>
      <c r="H452" s="4" t="s">
        <v>20</v>
      </c>
      <c r="I452" s="4" t="s">
        <v>26</v>
      </c>
    </row>
    <row r="453">
      <c r="A453" s="7">
        <v>45589.43548476852</v>
      </c>
      <c r="B453" s="4" t="s">
        <v>1911</v>
      </c>
      <c r="C453" s="4" t="s">
        <v>1912</v>
      </c>
      <c r="D453" s="8" t="s">
        <v>1913</v>
      </c>
      <c r="E453" s="4" t="s">
        <v>30</v>
      </c>
      <c r="F453" s="4" t="s">
        <v>1914</v>
      </c>
      <c r="G453" s="4" t="s">
        <v>19</v>
      </c>
      <c r="H453" s="4" t="s">
        <v>20</v>
      </c>
      <c r="I453" s="4" t="s">
        <v>109</v>
      </c>
    </row>
    <row r="454">
      <c r="A454" s="7">
        <v>45589.44053046296</v>
      </c>
      <c r="B454" s="4" t="s">
        <v>765</v>
      </c>
      <c r="C454" s="4" t="s">
        <v>766</v>
      </c>
      <c r="D454" s="4" t="s">
        <v>767</v>
      </c>
      <c r="E454" s="4" t="s">
        <v>113</v>
      </c>
      <c r="F454" s="4" t="s">
        <v>768</v>
      </c>
      <c r="G454" s="4" t="s">
        <v>32</v>
      </c>
      <c r="H454" s="4" t="s">
        <v>570</v>
      </c>
      <c r="I454" s="4" t="s">
        <v>91</v>
      </c>
    </row>
    <row r="455">
      <c r="A455" s="7">
        <v>45589.44279206019</v>
      </c>
      <c r="B455" s="4" t="s">
        <v>197</v>
      </c>
      <c r="C455" s="4" t="s">
        <v>198</v>
      </c>
      <c r="D455" s="8" t="s">
        <v>1915</v>
      </c>
      <c r="E455" s="4" t="s">
        <v>201</v>
      </c>
      <c r="F455" s="4" t="s">
        <v>202</v>
      </c>
      <c r="G455" s="4" t="s">
        <v>32</v>
      </c>
      <c r="H455" s="4" t="s">
        <v>570</v>
      </c>
      <c r="I455" s="4" t="s">
        <v>203</v>
      </c>
    </row>
    <row r="456">
      <c r="A456" s="7">
        <v>45589.44924155093</v>
      </c>
      <c r="B456" s="4" t="s">
        <v>1916</v>
      </c>
      <c r="C456" s="4" t="s">
        <v>1917</v>
      </c>
      <c r="D456" s="8" t="s">
        <v>1918</v>
      </c>
      <c r="E456" s="4" t="s">
        <v>781</v>
      </c>
      <c r="F456" s="4" t="s">
        <v>1919</v>
      </c>
      <c r="G456" s="4" t="s">
        <v>54</v>
      </c>
      <c r="H456" s="4" t="s">
        <v>20</v>
      </c>
      <c r="I456" s="4" t="s">
        <v>922</v>
      </c>
    </row>
    <row r="457">
      <c r="A457" s="7">
        <v>45589.4546916088</v>
      </c>
      <c r="B457" s="4" t="s">
        <v>1920</v>
      </c>
      <c r="C457" s="4" t="s">
        <v>1921</v>
      </c>
      <c r="D457" s="8" t="s">
        <v>1922</v>
      </c>
      <c r="E457" s="4" t="s">
        <v>379</v>
      </c>
      <c r="F457" s="4" t="s">
        <v>1923</v>
      </c>
      <c r="G457" s="4" t="s">
        <v>251</v>
      </c>
      <c r="H457" s="4" t="s">
        <v>20</v>
      </c>
      <c r="I457" s="4" t="s">
        <v>1924</v>
      </c>
    </row>
    <row r="458">
      <c r="A458" s="7">
        <v>45589.45942771991</v>
      </c>
      <c r="B458" s="4" t="s">
        <v>1925</v>
      </c>
      <c r="C458" s="4" t="s">
        <v>1926</v>
      </c>
      <c r="D458" s="8" t="s">
        <v>1927</v>
      </c>
      <c r="E458" s="4" t="s">
        <v>78</v>
      </c>
      <c r="F458" s="4" t="s">
        <v>1928</v>
      </c>
      <c r="G458" s="4" t="s">
        <v>19</v>
      </c>
      <c r="H458" s="4" t="s">
        <v>20</v>
      </c>
      <c r="I458" s="4" t="s">
        <v>242</v>
      </c>
    </row>
    <row r="459">
      <c r="A459" s="7">
        <v>45589.459759363424</v>
      </c>
      <c r="B459" s="4" t="s">
        <v>1929</v>
      </c>
      <c r="C459" s="4" t="s">
        <v>1930</v>
      </c>
      <c r="D459" s="8" t="s">
        <v>1931</v>
      </c>
      <c r="E459" s="4" t="s">
        <v>1932</v>
      </c>
      <c r="F459" s="4" t="s">
        <v>1933</v>
      </c>
      <c r="G459" s="4" t="s">
        <v>41</v>
      </c>
      <c r="H459" s="4" t="s">
        <v>20</v>
      </c>
      <c r="I459" s="4" t="s">
        <v>147</v>
      </c>
    </row>
    <row r="460">
      <c r="A460" s="7">
        <v>45589.460310636576</v>
      </c>
      <c r="B460" s="4" t="s">
        <v>1934</v>
      </c>
      <c r="C460" s="4" t="s">
        <v>1930</v>
      </c>
      <c r="D460" s="8" t="s">
        <v>1931</v>
      </c>
      <c r="E460" s="4" t="s">
        <v>1932</v>
      </c>
      <c r="F460" s="4" t="s">
        <v>1935</v>
      </c>
      <c r="G460" s="4" t="s">
        <v>41</v>
      </c>
      <c r="H460" s="4" t="s">
        <v>20</v>
      </c>
      <c r="I460" s="4" t="s">
        <v>147</v>
      </c>
    </row>
    <row r="461">
      <c r="A461" s="7">
        <v>45589.474373206016</v>
      </c>
      <c r="B461" s="4" t="s">
        <v>1936</v>
      </c>
      <c r="C461" s="4" t="s">
        <v>1937</v>
      </c>
      <c r="D461" s="4" t="s">
        <v>373</v>
      </c>
      <c r="E461" s="4" t="s">
        <v>313</v>
      </c>
      <c r="F461" s="4" t="s">
        <v>1938</v>
      </c>
      <c r="G461" s="4" t="s">
        <v>54</v>
      </c>
      <c r="H461" s="4" t="s">
        <v>20</v>
      </c>
      <c r="I461" s="4" t="s">
        <v>1939</v>
      </c>
    </row>
    <row r="462">
      <c r="A462" s="7">
        <v>45589.47456685185</v>
      </c>
      <c r="B462" s="4" t="s">
        <v>1940</v>
      </c>
      <c r="C462" s="4" t="s">
        <v>1941</v>
      </c>
      <c r="D462" s="8" t="s">
        <v>1942</v>
      </c>
      <c r="E462" s="4" t="s">
        <v>17</v>
      </c>
      <c r="F462" s="4" t="s">
        <v>1943</v>
      </c>
      <c r="G462" s="4" t="s">
        <v>19</v>
      </c>
      <c r="H462" s="4" t="s">
        <v>20</v>
      </c>
      <c r="I462" s="4" t="s">
        <v>1944</v>
      </c>
    </row>
    <row r="463">
      <c r="A463" s="7">
        <v>45589.477249247684</v>
      </c>
      <c r="B463" s="4" t="s">
        <v>1945</v>
      </c>
      <c r="C463" s="4" t="s">
        <v>1946</v>
      </c>
      <c r="D463" s="4" t="s">
        <v>1947</v>
      </c>
      <c r="E463" s="4" t="s">
        <v>313</v>
      </c>
      <c r="F463" s="4" t="s">
        <v>1948</v>
      </c>
      <c r="G463" s="4" t="s">
        <v>251</v>
      </c>
      <c r="H463" s="4" t="s">
        <v>20</v>
      </c>
      <c r="I463" s="4" t="s">
        <v>721</v>
      </c>
    </row>
    <row r="464">
      <c r="A464" s="7">
        <v>45589.48029</v>
      </c>
      <c r="B464" s="4" t="s">
        <v>1949</v>
      </c>
      <c r="C464" s="4" t="s">
        <v>1950</v>
      </c>
      <c r="D464" s="4" t="s">
        <v>1951</v>
      </c>
      <c r="E464" s="4" t="s">
        <v>1952</v>
      </c>
      <c r="F464" s="4" t="s">
        <v>1953</v>
      </c>
      <c r="G464" s="4" t="s">
        <v>32</v>
      </c>
      <c r="H464" s="4" t="s">
        <v>20</v>
      </c>
      <c r="I464" s="4" t="s">
        <v>115</v>
      </c>
    </row>
    <row r="465">
      <c r="A465" s="7">
        <v>45589.480981388886</v>
      </c>
      <c r="B465" s="4" t="s">
        <v>1954</v>
      </c>
      <c r="C465" s="4" t="s">
        <v>1955</v>
      </c>
      <c r="D465" s="4" t="s">
        <v>1951</v>
      </c>
      <c r="E465" s="4" t="s">
        <v>345</v>
      </c>
      <c r="F465" s="4" t="s">
        <v>1956</v>
      </c>
      <c r="G465" s="4" t="s">
        <v>32</v>
      </c>
      <c r="H465" s="4" t="s">
        <v>20</v>
      </c>
      <c r="I465" s="4" t="s">
        <v>301</v>
      </c>
    </row>
    <row r="466">
      <c r="A466" s="7">
        <v>45589.481542361114</v>
      </c>
      <c r="B466" s="4" t="s">
        <v>1957</v>
      </c>
      <c r="C466" s="4" t="s">
        <v>1958</v>
      </c>
      <c r="D466" s="4" t="s">
        <v>1951</v>
      </c>
      <c r="E466" s="4" t="s">
        <v>345</v>
      </c>
      <c r="F466" s="4" t="s">
        <v>1959</v>
      </c>
      <c r="G466" s="4" t="s">
        <v>32</v>
      </c>
      <c r="H466" s="4" t="s">
        <v>20</v>
      </c>
      <c r="I466" s="4" t="s">
        <v>301</v>
      </c>
    </row>
    <row r="467">
      <c r="A467" s="7">
        <v>45589.48914146991</v>
      </c>
      <c r="B467" s="4" t="s">
        <v>1960</v>
      </c>
      <c r="C467" s="4" t="s">
        <v>1961</v>
      </c>
      <c r="D467" s="8" t="s">
        <v>1962</v>
      </c>
      <c r="E467" s="4" t="s">
        <v>1963</v>
      </c>
      <c r="F467" s="4" t="s">
        <v>1964</v>
      </c>
      <c r="G467" s="4" t="s">
        <v>19</v>
      </c>
      <c r="H467" s="4" t="s">
        <v>20</v>
      </c>
      <c r="I467" s="4" t="s">
        <v>147</v>
      </c>
    </row>
    <row r="468">
      <c r="A468" s="7">
        <v>45589.4914375463</v>
      </c>
      <c r="B468" s="4" t="s">
        <v>1965</v>
      </c>
      <c r="C468" s="4" t="s">
        <v>1966</v>
      </c>
      <c r="D468" s="4" t="s">
        <v>1967</v>
      </c>
      <c r="E468" s="4" t="s">
        <v>763</v>
      </c>
      <c r="F468" s="4" t="s">
        <v>1968</v>
      </c>
      <c r="G468" s="4" t="s">
        <v>251</v>
      </c>
      <c r="H468" s="4" t="s">
        <v>20</v>
      </c>
      <c r="I468" s="4" t="s">
        <v>1969</v>
      </c>
    </row>
    <row r="469">
      <c r="A469" s="7">
        <v>45589.49342087963</v>
      </c>
      <c r="B469" s="4" t="s">
        <v>1970</v>
      </c>
      <c r="C469" s="4" t="s">
        <v>1971</v>
      </c>
      <c r="D469" s="8" t="s">
        <v>124</v>
      </c>
      <c r="E469" s="4" t="s">
        <v>137</v>
      </c>
      <c r="F469" s="4" t="s">
        <v>1972</v>
      </c>
      <c r="G469" s="4" t="s">
        <v>54</v>
      </c>
      <c r="H469" s="4" t="s">
        <v>20</v>
      </c>
      <c r="I469" s="4" t="s">
        <v>152</v>
      </c>
    </row>
    <row r="470">
      <c r="A470" s="7">
        <v>45589.493608564815</v>
      </c>
      <c r="B470" s="4" t="s">
        <v>1973</v>
      </c>
      <c r="C470" s="4" t="s">
        <v>1974</v>
      </c>
      <c r="D470" s="8" t="s">
        <v>1975</v>
      </c>
      <c r="E470" s="4" t="s">
        <v>173</v>
      </c>
      <c r="F470" s="4" t="s">
        <v>1976</v>
      </c>
      <c r="G470" s="4" t="s">
        <v>41</v>
      </c>
      <c r="H470" s="4" t="s">
        <v>20</v>
      </c>
      <c r="I470" s="4" t="s">
        <v>625</v>
      </c>
    </row>
    <row r="471">
      <c r="A471" s="7">
        <v>45589.494891504626</v>
      </c>
      <c r="B471" s="4" t="s">
        <v>1977</v>
      </c>
      <c r="C471" s="4" t="s">
        <v>1978</v>
      </c>
      <c r="D471" s="8" t="s">
        <v>124</v>
      </c>
      <c r="E471" s="4" t="s">
        <v>930</v>
      </c>
      <c r="F471" s="4" t="s">
        <v>1979</v>
      </c>
      <c r="G471" s="4" t="s">
        <v>54</v>
      </c>
      <c r="H471" s="4" t="s">
        <v>20</v>
      </c>
      <c r="I471" s="4" t="s">
        <v>406</v>
      </c>
    </row>
    <row r="472">
      <c r="A472" s="7">
        <v>45589.547535844904</v>
      </c>
      <c r="B472" s="4" t="s">
        <v>1980</v>
      </c>
      <c r="C472" s="4" t="s">
        <v>1981</v>
      </c>
      <c r="D472" s="4" t="s">
        <v>1573</v>
      </c>
      <c r="E472" s="4" t="s">
        <v>1864</v>
      </c>
      <c r="F472" s="4" t="s">
        <v>1982</v>
      </c>
      <c r="G472" s="4" t="s">
        <v>54</v>
      </c>
      <c r="H472" s="4" t="s">
        <v>20</v>
      </c>
      <c r="I472" s="4" t="s">
        <v>1596</v>
      </c>
    </row>
    <row r="473">
      <c r="A473" s="7">
        <v>45589.566821608794</v>
      </c>
      <c r="B473" s="4" t="s">
        <v>1983</v>
      </c>
      <c r="C473" s="4" t="s">
        <v>1984</v>
      </c>
      <c r="D473" s="4" t="s">
        <v>1947</v>
      </c>
      <c r="E473" s="4" t="s">
        <v>313</v>
      </c>
      <c r="F473" s="4" t="s">
        <v>1985</v>
      </c>
      <c r="G473" s="4" t="s">
        <v>251</v>
      </c>
      <c r="H473" s="4" t="s">
        <v>20</v>
      </c>
      <c r="I473" s="4" t="s">
        <v>721</v>
      </c>
    </row>
    <row r="474">
      <c r="A474" s="7">
        <v>45589.57221085648</v>
      </c>
      <c r="B474" s="4" t="s">
        <v>1134</v>
      </c>
      <c r="C474" s="4" t="s">
        <v>1986</v>
      </c>
      <c r="D474" s="8" t="s">
        <v>1987</v>
      </c>
      <c r="E474" s="4" t="s">
        <v>781</v>
      </c>
      <c r="F474" s="4" t="s">
        <v>1988</v>
      </c>
      <c r="G474" s="4" t="s">
        <v>251</v>
      </c>
      <c r="H474" s="4" t="s">
        <v>570</v>
      </c>
      <c r="I474" s="4" t="s">
        <v>1989</v>
      </c>
    </row>
    <row r="475">
      <c r="A475" s="7">
        <v>45589.57324090278</v>
      </c>
      <c r="B475" s="4" t="s">
        <v>280</v>
      </c>
      <c r="C475" s="4" t="s">
        <v>1990</v>
      </c>
      <c r="D475" s="8" t="s">
        <v>1991</v>
      </c>
      <c r="E475" s="4" t="s">
        <v>284</v>
      </c>
      <c r="F475" s="4" t="s">
        <v>1992</v>
      </c>
      <c r="G475" s="4" t="s">
        <v>251</v>
      </c>
      <c r="H475" s="4" t="s">
        <v>570</v>
      </c>
      <c r="I475" s="4" t="s">
        <v>1993</v>
      </c>
    </row>
    <row r="476">
      <c r="A476" s="7">
        <v>45589.57441664352</v>
      </c>
      <c r="B476" s="4" t="s">
        <v>1994</v>
      </c>
      <c r="C476" s="4" t="s">
        <v>1995</v>
      </c>
      <c r="D476" s="4" t="s">
        <v>283</v>
      </c>
      <c r="E476" s="4" t="s">
        <v>538</v>
      </c>
      <c r="F476" s="4" t="s">
        <v>1996</v>
      </c>
      <c r="G476" s="4" t="s">
        <v>251</v>
      </c>
      <c r="H476" s="4" t="s">
        <v>20</v>
      </c>
      <c r="I476" s="4" t="s">
        <v>1997</v>
      </c>
    </row>
    <row r="477">
      <c r="A477" s="7">
        <v>45589.57560930555</v>
      </c>
      <c r="B477" s="4" t="s">
        <v>1998</v>
      </c>
      <c r="C477" s="4" t="s">
        <v>1999</v>
      </c>
      <c r="D477" s="4" t="s">
        <v>283</v>
      </c>
      <c r="E477" s="4" t="s">
        <v>538</v>
      </c>
      <c r="F477" s="4" t="s">
        <v>2000</v>
      </c>
      <c r="G477" s="4" t="s">
        <v>251</v>
      </c>
      <c r="H477" s="4" t="s">
        <v>570</v>
      </c>
      <c r="I477" s="4" t="s">
        <v>1828</v>
      </c>
    </row>
    <row r="478">
      <c r="A478" s="7">
        <v>45589.580101342595</v>
      </c>
      <c r="B478" s="4" t="s">
        <v>2001</v>
      </c>
      <c r="C478" s="4" t="s">
        <v>2002</v>
      </c>
      <c r="D478" s="4" t="s">
        <v>527</v>
      </c>
      <c r="E478" s="4" t="s">
        <v>956</v>
      </c>
      <c r="F478" s="4" t="s">
        <v>734</v>
      </c>
      <c r="G478" s="4" t="s">
        <v>32</v>
      </c>
      <c r="H478" s="4" t="s">
        <v>20</v>
      </c>
      <c r="I478" s="4" t="s">
        <v>80</v>
      </c>
    </row>
    <row r="479">
      <c r="A479" s="7">
        <v>45589.58173346065</v>
      </c>
      <c r="B479" s="4" t="s">
        <v>2003</v>
      </c>
      <c r="C479" s="4" t="s">
        <v>2004</v>
      </c>
      <c r="D479" s="8" t="s">
        <v>2005</v>
      </c>
      <c r="E479" s="4" t="s">
        <v>2006</v>
      </c>
      <c r="F479" s="4" t="s">
        <v>2007</v>
      </c>
      <c r="G479" s="4" t="s">
        <v>54</v>
      </c>
      <c r="H479" s="4" t="s">
        <v>20</v>
      </c>
      <c r="I479" s="4" t="s">
        <v>2008</v>
      </c>
    </row>
    <row r="480">
      <c r="A480" s="7">
        <v>45589.58340722222</v>
      </c>
      <c r="B480" s="4" t="s">
        <v>2009</v>
      </c>
      <c r="C480" s="4" t="s">
        <v>2010</v>
      </c>
      <c r="D480" s="8" t="s">
        <v>2005</v>
      </c>
      <c r="E480" s="4" t="s">
        <v>2006</v>
      </c>
      <c r="F480" s="4" t="s">
        <v>2011</v>
      </c>
      <c r="G480" s="4" t="s">
        <v>54</v>
      </c>
      <c r="H480" s="4" t="s">
        <v>20</v>
      </c>
      <c r="I480" s="4" t="s">
        <v>2012</v>
      </c>
    </row>
    <row r="481">
      <c r="A481" s="7">
        <v>45589.586185810185</v>
      </c>
      <c r="B481" s="4" t="s">
        <v>972</v>
      </c>
      <c r="C481" s="4" t="s">
        <v>2013</v>
      </c>
      <c r="D481" s="8" t="s">
        <v>211</v>
      </c>
      <c r="E481" s="4" t="s">
        <v>653</v>
      </c>
      <c r="F481" s="4" t="s">
        <v>2014</v>
      </c>
      <c r="G481" s="4" t="s">
        <v>54</v>
      </c>
      <c r="H481" s="4" t="s">
        <v>570</v>
      </c>
      <c r="I481" s="4" t="s">
        <v>1101</v>
      </c>
    </row>
    <row r="482">
      <c r="A482" s="7">
        <v>45589.59181554399</v>
      </c>
      <c r="B482" s="4" t="s">
        <v>2015</v>
      </c>
      <c r="C482" s="4" t="s">
        <v>2016</v>
      </c>
      <c r="D482" s="4" t="s">
        <v>1848</v>
      </c>
      <c r="E482" s="4" t="s">
        <v>59</v>
      </c>
      <c r="F482" s="4" t="s">
        <v>2017</v>
      </c>
      <c r="G482" s="4" t="s">
        <v>32</v>
      </c>
      <c r="H482" s="4" t="s">
        <v>20</v>
      </c>
      <c r="I482" s="4" t="s">
        <v>807</v>
      </c>
    </row>
    <row r="483">
      <c r="A483" s="7">
        <v>45589.59579969908</v>
      </c>
      <c r="B483" s="4" t="s">
        <v>2018</v>
      </c>
      <c r="C483" s="4" t="s">
        <v>2019</v>
      </c>
      <c r="D483" s="4" t="s">
        <v>2020</v>
      </c>
      <c r="E483" s="4" t="s">
        <v>313</v>
      </c>
      <c r="F483" s="4" t="s">
        <v>2021</v>
      </c>
      <c r="G483" s="4" t="s">
        <v>251</v>
      </c>
      <c r="H483" s="4" t="s">
        <v>20</v>
      </c>
      <c r="I483" s="4" t="s">
        <v>540</v>
      </c>
    </row>
    <row r="484">
      <c r="A484" s="7">
        <v>45589.60158041667</v>
      </c>
      <c r="B484" s="4" t="s">
        <v>933</v>
      </c>
      <c r="C484" s="4" t="s">
        <v>934</v>
      </c>
      <c r="D484" s="4" t="s">
        <v>468</v>
      </c>
      <c r="E484" s="4" t="s">
        <v>313</v>
      </c>
      <c r="F484" s="4" t="s">
        <v>2022</v>
      </c>
      <c r="G484" s="4" t="s">
        <v>251</v>
      </c>
      <c r="H484" s="4" t="s">
        <v>570</v>
      </c>
      <c r="I484" s="4" t="s">
        <v>2023</v>
      </c>
    </row>
    <row r="485">
      <c r="A485" s="7">
        <v>45589.60344041667</v>
      </c>
      <c r="B485" s="4" t="s">
        <v>2024</v>
      </c>
      <c r="C485" s="4" t="s">
        <v>2025</v>
      </c>
      <c r="D485" s="8" t="s">
        <v>2026</v>
      </c>
      <c r="E485" s="4" t="s">
        <v>754</v>
      </c>
      <c r="F485" s="4" t="s">
        <v>2027</v>
      </c>
      <c r="G485" s="4" t="s">
        <v>54</v>
      </c>
      <c r="H485" s="4" t="s">
        <v>20</v>
      </c>
      <c r="I485" s="4" t="s">
        <v>2028</v>
      </c>
    </row>
    <row r="486">
      <c r="A486" s="7">
        <v>45589.605776111115</v>
      </c>
      <c r="B486" s="4" t="s">
        <v>1380</v>
      </c>
      <c r="C486" s="4" t="s">
        <v>1381</v>
      </c>
      <c r="D486" s="8" t="s">
        <v>1095</v>
      </c>
      <c r="E486" s="4" t="s">
        <v>284</v>
      </c>
      <c r="F486" s="4" t="s">
        <v>2029</v>
      </c>
      <c r="G486" s="4" t="s">
        <v>251</v>
      </c>
      <c r="H486" s="4" t="s">
        <v>570</v>
      </c>
      <c r="I486" s="4" t="s">
        <v>479</v>
      </c>
    </row>
    <row r="487">
      <c r="A487" s="7">
        <v>45589.60622180556</v>
      </c>
      <c r="B487" s="4" t="s">
        <v>2030</v>
      </c>
      <c r="C487" s="4" t="s">
        <v>2031</v>
      </c>
      <c r="D487" s="8" t="s">
        <v>2026</v>
      </c>
      <c r="E487" s="4" t="s">
        <v>754</v>
      </c>
      <c r="F487" s="4" t="s">
        <v>2032</v>
      </c>
      <c r="G487" s="4" t="s">
        <v>54</v>
      </c>
      <c r="H487" s="4" t="s">
        <v>20</v>
      </c>
      <c r="I487" s="4" t="s">
        <v>2033</v>
      </c>
    </row>
    <row r="488">
      <c r="A488" s="7">
        <v>45589.609901539356</v>
      </c>
      <c r="B488" s="4" t="s">
        <v>2034</v>
      </c>
      <c r="C488" s="4" t="s">
        <v>2035</v>
      </c>
      <c r="D488" s="4" t="s">
        <v>2036</v>
      </c>
      <c r="E488" s="4" t="s">
        <v>17</v>
      </c>
      <c r="F488" s="4" t="s">
        <v>2037</v>
      </c>
      <c r="G488" s="4" t="s">
        <v>32</v>
      </c>
      <c r="H488" s="4" t="s">
        <v>20</v>
      </c>
      <c r="I488" s="4" t="s">
        <v>144</v>
      </c>
    </row>
    <row r="489">
      <c r="A489" s="7">
        <v>45589.61073707176</v>
      </c>
      <c r="B489" s="4" t="s">
        <v>2038</v>
      </c>
      <c r="C489" s="4" t="s">
        <v>2039</v>
      </c>
      <c r="D489" s="4" t="s">
        <v>2040</v>
      </c>
      <c r="E489" s="4" t="s">
        <v>345</v>
      </c>
      <c r="F489" s="4" t="s">
        <v>2041</v>
      </c>
      <c r="G489" s="4" t="s">
        <v>32</v>
      </c>
      <c r="H489" s="4" t="s">
        <v>20</v>
      </c>
      <c r="I489" s="4" t="s">
        <v>1045</v>
      </c>
    </row>
    <row r="490">
      <c r="A490" s="7">
        <v>45589.61137570602</v>
      </c>
      <c r="B490" s="4" t="s">
        <v>2042</v>
      </c>
      <c r="C490" s="4" t="s">
        <v>2043</v>
      </c>
      <c r="D490" s="4" t="s">
        <v>2040</v>
      </c>
      <c r="E490" s="4" t="s">
        <v>345</v>
      </c>
      <c r="F490" s="4" t="s">
        <v>2044</v>
      </c>
      <c r="G490" s="4" t="s">
        <v>32</v>
      </c>
      <c r="H490" s="4" t="s">
        <v>20</v>
      </c>
      <c r="I490" s="4" t="s">
        <v>80</v>
      </c>
    </row>
    <row r="491">
      <c r="A491" s="7">
        <v>45589.6127075</v>
      </c>
      <c r="B491" s="4" t="s">
        <v>2045</v>
      </c>
      <c r="C491" s="4" t="s">
        <v>2046</v>
      </c>
      <c r="D491" s="8" t="s">
        <v>492</v>
      </c>
      <c r="E491" s="4" t="s">
        <v>796</v>
      </c>
      <c r="F491" s="4" t="s">
        <v>2047</v>
      </c>
      <c r="G491" s="4" t="s">
        <v>54</v>
      </c>
      <c r="H491" s="4" t="s">
        <v>20</v>
      </c>
      <c r="I491" s="4" t="s">
        <v>2048</v>
      </c>
    </row>
    <row r="492">
      <c r="A492" s="7">
        <v>45589.61436237268</v>
      </c>
      <c r="B492" s="4" t="s">
        <v>495</v>
      </c>
      <c r="C492" s="4" t="s">
        <v>496</v>
      </c>
      <c r="D492" s="4" t="s">
        <v>2049</v>
      </c>
      <c r="E492" s="4" t="s">
        <v>113</v>
      </c>
      <c r="F492" s="4" t="s">
        <v>498</v>
      </c>
      <c r="G492" s="4" t="s">
        <v>32</v>
      </c>
      <c r="H492" s="4" t="s">
        <v>570</v>
      </c>
      <c r="I492" s="4" t="s">
        <v>499</v>
      </c>
    </row>
    <row r="493">
      <c r="A493" s="7">
        <v>45589.62075803241</v>
      </c>
      <c r="B493" s="4" t="s">
        <v>2050</v>
      </c>
      <c r="C493" s="4" t="s">
        <v>2051</v>
      </c>
      <c r="D493" s="8" t="s">
        <v>718</v>
      </c>
      <c r="E493" s="4" t="s">
        <v>313</v>
      </c>
      <c r="F493" s="4" t="s">
        <v>2052</v>
      </c>
      <c r="G493" s="4" t="s">
        <v>54</v>
      </c>
      <c r="H493" s="4" t="s">
        <v>20</v>
      </c>
      <c r="I493" s="4" t="s">
        <v>1164</v>
      </c>
    </row>
    <row r="494">
      <c r="A494" s="7">
        <v>45589.623453252316</v>
      </c>
      <c r="B494" s="4" t="s">
        <v>2053</v>
      </c>
      <c r="C494" s="4" t="s">
        <v>2054</v>
      </c>
      <c r="D494" s="8" t="s">
        <v>2055</v>
      </c>
      <c r="E494" s="4" t="s">
        <v>2056</v>
      </c>
      <c r="F494" s="4" t="s">
        <v>2057</v>
      </c>
      <c r="G494" s="4" t="s">
        <v>251</v>
      </c>
      <c r="H494" s="4" t="s">
        <v>20</v>
      </c>
      <c r="I494" s="4" t="s">
        <v>332</v>
      </c>
    </row>
    <row r="495">
      <c r="A495" s="7">
        <v>45589.623921875</v>
      </c>
      <c r="B495" s="4" t="s">
        <v>2058</v>
      </c>
      <c r="C495" s="4" t="s">
        <v>2059</v>
      </c>
      <c r="D495" s="8" t="s">
        <v>718</v>
      </c>
      <c r="E495" s="4" t="s">
        <v>313</v>
      </c>
      <c r="F495" s="4" t="s">
        <v>2060</v>
      </c>
      <c r="G495" s="4" t="s">
        <v>54</v>
      </c>
      <c r="H495" s="4" t="s">
        <v>20</v>
      </c>
      <c r="I495" s="4" t="s">
        <v>721</v>
      </c>
    </row>
    <row r="496">
      <c r="A496" s="7">
        <v>45589.62624096065</v>
      </c>
      <c r="B496" s="4" t="s">
        <v>2061</v>
      </c>
      <c r="C496" s="4" t="s">
        <v>2062</v>
      </c>
      <c r="D496" s="8" t="s">
        <v>718</v>
      </c>
      <c r="E496" s="4" t="s">
        <v>1256</v>
      </c>
      <c r="F496" s="4" t="s">
        <v>2063</v>
      </c>
      <c r="G496" s="4" t="s">
        <v>54</v>
      </c>
      <c r="H496" s="4" t="s">
        <v>20</v>
      </c>
      <c r="I496" s="4" t="s">
        <v>824</v>
      </c>
    </row>
    <row r="497">
      <c r="A497" s="7">
        <v>45589.62891974537</v>
      </c>
      <c r="B497" s="4" t="s">
        <v>2064</v>
      </c>
      <c r="C497" s="4" t="s">
        <v>2065</v>
      </c>
      <c r="D497" s="4" t="s">
        <v>1206</v>
      </c>
      <c r="E497" s="4" t="s">
        <v>410</v>
      </c>
      <c r="F497" s="4" t="s">
        <v>2066</v>
      </c>
      <c r="G497" s="4" t="s">
        <v>54</v>
      </c>
      <c r="H497" s="4" t="s">
        <v>20</v>
      </c>
      <c r="I497" s="4" t="s">
        <v>1086</v>
      </c>
    </row>
    <row r="498">
      <c r="A498" s="7">
        <v>45589.628941874995</v>
      </c>
      <c r="B498" s="4" t="s">
        <v>2067</v>
      </c>
      <c r="C498" s="4" t="s">
        <v>2068</v>
      </c>
      <c r="D498" s="4" t="s">
        <v>200</v>
      </c>
      <c r="E498" s="4" t="s">
        <v>345</v>
      </c>
      <c r="F498" s="4" t="s">
        <v>2069</v>
      </c>
      <c r="G498" s="4" t="s">
        <v>32</v>
      </c>
      <c r="H498" s="4" t="s">
        <v>20</v>
      </c>
      <c r="I498" s="4" t="s">
        <v>1289</v>
      </c>
    </row>
    <row r="499">
      <c r="A499" s="7">
        <v>45589.63271585648</v>
      </c>
      <c r="B499" s="4" t="s">
        <v>2070</v>
      </c>
      <c r="C499" s="4" t="s">
        <v>2071</v>
      </c>
      <c r="D499" s="4" t="s">
        <v>2072</v>
      </c>
      <c r="E499" s="4" t="s">
        <v>313</v>
      </c>
      <c r="F499" s="4" t="s">
        <v>2073</v>
      </c>
      <c r="G499" s="4" t="s">
        <v>251</v>
      </c>
      <c r="H499" s="4" t="s">
        <v>20</v>
      </c>
      <c r="I499" s="4" t="s">
        <v>341</v>
      </c>
    </row>
    <row r="500">
      <c r="A500" s="7">
        <v>45589.63340064815</v>
      </c>
      <c r="B500" s="4" t="s">
        <v>2074</v>
      </c>
      <c r="C500" s="4" t="s">
        <v>2071</v>
      </c>
      <c r="D500" s="4" t="s">
        <v>2072</v>
      </c>
      <c r="E500" s="4" t="s">
        <v>313</v>
      </c>
      <c r="F500" s="4" t="s">
        <v>2075</v>
      </c>
      <c r="G500" s="4" t="s">
        <v>251</v>
      </c>
      <c r="H500" s="4" t="s">
        <v>20</v>
      </c>
      <c r="I500" s="4" t="s">
        <v>341</v>
      </c>
    </row>
    <row r="501">
      <c r="A501" s="7">
        <v>45590.38118319445</v>
      </c>
      <c r="B501" s="4" t="s">
        <v>2076</v>
      </c>
      <c r="C501" s="4" t="s">
        <v>2077</v>
      </c>
      <c r="D501" s="8" t="s">
        <v>2078</v>
      </c>
      <c r="E501" s="4" t="s">
        <v>1527</v>
      </c>
      <c r="F501" s="4" t="s">
        <v>2079</v>
      </c>
      <c r="G501" s="4" t="s">
        <v>54</v>
      </c>
      <c r="H501" s="4" t="s">
        <v>20</v>
      </c>
      <c r="I501" s="4" t="s">
        <v>2080</v>
      </c>
    </row>
    <row r="502">
      <c r="A502" s="7">
        <v>45590.383504212965</v>
      </c>
      <c r="B502" s="4" t="s">
        <v>2081</v>
      </c>
      <c r="C502" s="4" t="s">
        <v>2082</v>
      </c>
      <c r="D502" s="8" t="s">
        <v>2083</v>
      </c>
      <c r="E502" s="4" t="s">
        <v>1527</v>
      </c>
      <c r="F502" s="4" t="s">
        <v>2084</v>
      </c>
      <c r="G502" s="4" t="s">
        <v>54</v>
      </c>
      <c r="H502" s="4" t="s">
        <v>20</v>
      </c>
      <c r="I502" s="4" t="s">
        <v>2080</v>
      </c>
    </row>
    <row r="503">
      <c r="A503" s="7">
        <v>45590.397482280096</v>
      </c>
      <c r="B503" s="4" t="s">
        <v>1077</v>
      </c>
      <c r="C503" s="4" t="s">
        <v>2085</v>
      </c>
      <c r="D503" s="4" t="s">
        <v>1079</v>
      </c>
      <c r="E503" s="4" t="s">
        <v>763</v>
      </c>
      <c r="F503" s="4" t="s">
        <v>2086</v>
      </c>
      <c r="G503" s="4" t="s">
        <v>251</v>
      </c>
      <c r="H503" s="4" t="s">
        <v>570</v>
      </c>
      <c r="I503" s="4" t="s">
        <v>2087</v>
      </c>
    </row>
    <row r="504">
      <c r="A504" s="7">
        <v>45590.40745204861</v>
      </c>
      <c r="B504" s="4" t="s">
        <v>1364</v>
      </c>
      <c r="C504" s="4" t="s">
        <v>1365</v>
      </c>
      <c r="D504" s="8" t="s">
        <v>2088</v>
      </c>
      <c r="E504" s="4" t="s">
        <v>284</v>
      </c>
      <c r="F504" s="4" t="s">
        <v>1366</v>
      </c>
      <c r="G504" s="4" t="s">
        <v>251</v>
      </c>
      <c r="H504" s="4" t="s">
        <v>570</v>
      </c>
      <c r="I504" s="4" t="s">
        <v>1721</v>
      </c>
    </row>
    <row r="505">
      <c r="A505" s="7">
        <v>45590.40937721065</v>
      </c>
      <c r="B505" s="4" t="s">
        <v>2089</v>
      </c>
      <c r="C505" s="4" t="s">
        <v>2090</v>
      </c>
      <c r="D505" s="4" t="s">
        <v>2091</v>
      </c>
      <c r="E505" s="4" t="s">
        <v>345</v>
      </c>
      <c r="F505" s="4" t="s">
        <v>2092</v>
      </c>
      <c r="G505" s="4" t="s">
        <v>32</v>
      </c>
      <c r="H505" s="4" t="s">
        <v>20</v>
      </c>
      <c r="I505" s="4" t="s">
        <v>877</v>
      </c>
    </row>
    <row r="506">
      <c r="A506" s="7">
        <v>45590.412493055555</v>
      </c>
      <c r="B506" s="4" t="s">
        <v>635</v>
      </c>
      <c r="C506" s="4" t="s">
        <v>636</v>
      </c>
      <c r="D506" s="8" t="s">
        <v>1991</v>
      </c>
      <c r="E506" s="4" t="s">
        <v>59</v>
      </c>
      <c r="F506" s="4" t="s">
        <v>2093</v>
      </c>
      <c r="G506" s="4" t="s">
        <v>54</v>
      </c>
      <c r="H506" s="4" t="s">
        <v>570</v>
      </c>
      <c r="I506" s="4" t="s">
        <v>863</v>
      </c>
    </row>
    <row r="507">
      <c r="A507" s="7">
        <v>45590.41778135417</v>
      </c>
      <c r="B507" s="4" t="s">
        <v>2094</v>
      </c>
      <c r="C507" s="4" t="s">
        <v>2095</v>
      </c>
      <c r="D507" s="8" t="s">
        <v>2096</v>
      </c>
      <c r="E507" s="4" t="s">
        <v>517</v>
      </c>
      <c r="F507" s="4" t="s">
        <v>2097</v>
      </c>
      <c r="G507" s="4" t="s">
        <v>19</v>
      </c>
      <c r="H507" s="4" t="s">
        <v>20</v>
      </c>
      <c r="I507" s="4" t="s">
        <v>2098</v>
      </c>
    </row>
    <row r="508">
      <c r="A508" s="7">
        <v>45590.41871603009</v>
      </c>
      <c r="B508" s="4" t="s">
        <v>2099</v>
      </c>
      <c r="C508" s="4" t="s">
        <v>2100</v>
      </c>
      <c r="D508" s="8" t="s">
        <v>2101</v>
      </c>
      <c r="E508" s="4" t="s">
        <v>763</v>
      </c>
      <c r="F508" s="4" t="s">
        <v>2102</v>
      </c>
      <c r="G508" s="4" t="s">
        <v>251</v>
      </c>
      <c r="H508" s="4" t="s">
        <v>20</v>
      </c>
      <c r="I508" s="4" t="s">
        <v>540</v>
      </c>
    </row>
    <row r="509">
      <c r="A509" s="7">
        <v>45590.42176164352</v>
      </c>
      <c r="B509" s="4" t="s">
        <v>2103</v>
      </c>
      <c r="C509" s="4" t="s">
        <v>205</v>
      </c>
      <c r="D509" s="8" t="s">
        <v>1915</v>
      </c>
      <c r="E509" s="4" t="s">
        <v>345</v>
      </c>
      <c r="F509" s="4" t="s">
        <v>2104</v>
      </c>
      <c r="G509" s="4" t="s">
        <v>32</v>
      </c>
      <c r="H509" s="4" t="s">
        <v>20</v>
      </c>
      <c r="I509" s="4" t="s">
        <v>2105</v>
      </c>
    </row>
    <row r="510">
      <c r="A510" s="7">
        <v>45590.4250694213</v>
      </c>
      <c r="B510" s="4" t="s">
        <v>2106</v>
      </c>
      <c r="C510" s="4" t="s">
        <v>2107</v>
      </c>
      <c r="D510" s="8" t="s">
        <v>2108</v>
      </c>
      <c r="E510" s="4" t="s">
        <v>17</v>
      </c>
      <c r="F510" s="4" t="s">
        <v>2109</v>
      </c>
      <c r="G510" s="4" t="s">
        <v>19</v>
      </c>
      <c r="H510" s="4" t="s">
        <v>20</v>
      </c>
      <c r="I510" s="4" t="s">
        <v>2107</v>
      </c>
    </row>
    <row r="511">
      <c r="A511" s="7">
        <v>45590.4624009838</v>
      </c>
      <c r="B511" s="4" t="s">
        <v>2110</v>
      </c>
      <c r="C511" s="4" t="s">
        <v>2111</v>
      </c>
      <c r="D511" s="8" t="s">
        <v>1358</v>
      </c>
      <c r="E511" s="4" t="s">
        <v>284</v>
      </c>
      <c r="F511" s="4" t="s">
        <v>2112</v>
      </c>
      <c r="G511" s="4" t="s">
        <v>54</v>
      </c>
      <c r="H511" s="4" t="s">
        <v>20</v>
      </c>
      <c r="I511" s="4" t="s">
        <v>2113</v>
      </c>
    </row>
    <row r="512">
      <c r="A512" s="7">
        <v>45590.427260648146</v>
      </c>
      <c r="B512" s="4" t="s">
        <v>2114</v>
      </c>
      <c r="C512" s="4" t="s">
        <v>2115</v>
      </c>
      <c r="D512" s="8" t="s">
        <v>1915</v>
      </c>
      <c r="E512" s="4" t="s">
        <v>2116</v>
      </c>
      <c r="F512" s="4" t="s">
        <v>2117</v>
      </c>
      <c r="G512" s="4" t="s">
        <v>32</v>
      </c>
      <c r="H512" s="4" t="s">
        <v>20</v>
      </c>
      <c r="I512" s="4" t="s">
        <v>2118</v>
      </c>
    </row>
    <row r="513">
      <c r="A513" s="7">
        <v>45590.43062642361</v>
      </c>
      <c r="B513" s="4" t="s">
        <v>2119</v>
      </c>
      <c r="C513" s="4" t="s">
        <v>2120</v>
      </c>
      <c r="D513" s="8" t="s">
        <v>2121</v>
      </c>
      <c r="E513" s="4" t="s">
        <v>432</v>
      </c>
      <c r="F513" s="4" t="s">
        <v>2122</v>
      </c>
      <c r="G513" s="4" t="s">
        <v>251</v>
      </c>
      <c r="H513" s="4" t="s">
        <v>20</v>
      </c>
      <c r="I513" s="4" t="s">
        <v>802</v>
      </c>
    </row>
    <row r="514">
      <c r="A514" s="7">
        <v>45590.43399478009</v>
      </c>
      <c r="B514" s="4" t="s">
        <v>2123</v>
      </c>
      <c r="C514" s="4" t="s">
        <v>2124</v>
      </c>
      <c r="D514" s="8" t="s">
        <v>2125</v>
      </c>
      <c r="E514" s="4" t="s">
        <v>946</v>
      </c>
      <c r="F514" s="4" t="s">
        <v>2126</v>
      </c>
      <c r="G514" s="4" t="s">
        <v>41</v>
      </c>
      <c r="H514" s="4" t="s">
        <v>20</v>
      </c>
      <c r="I514" s="4" t="s">
        <v>272</v>
      </c>
    </row>
    <row r="515">
      <c r="A515" s="7">
        <v>45590.43730471065</v>
      </c>
      <c r="B515" s="4" t="s">
        <v>836</v>
      </c>
      <c r="C515" s="4" t="s">
        <v>2127</v>
      </c>
      <c r="D515" s="8" t="s">
        <v>2128</v>
      </c>
      <c r="E515" s="4" t="s">
        <v>313</v>
      </c>
      <c r="F515" s="4" t="s">
        <v>838</v>
      </c>
      <c r="G515" s="4" t="s">
        <v>251</v>
      </c>
      <c r="H515" s="4" t="s">
        <v>570</v>
      </c>
      <c r="I515" s="4" t="s">
        <v>839</v>
      </c>
    </row>
    <row r="516">
      <c r="A516" s="7">
        <v>45590.43789771991</v>
      </c>
      <c r="B516" s="4" t="s">
        <v>1015</v>
      </c>
      <c r="C516" s="4" t="s">
        <v>2129</v>
      </c>
      <c r="D516" s="8" t="s">
        <v>2128</v>
      </c>
      <c r="E516" s="4" t="s">
        <v>313</v>
      </c>
      <c r="F516" s="4" t="s">
        <v>2130</v>
      </c>
      <c r="G516" s="4" t="s">
        <v>251</v>
      </c>
      <c r="H516" s="4" t="s">
        <v>570</v>
      </c>
      <c r="I516" s="4" t="s">
        <v>1993</v>
      </c>
    </row>
    <row r="517">
      <c r="A517" s="7">
        <v>45590.44860020833</v>
      </c>
      <c r="B517" s="4" t="s">
        <v>2131</v>
      </c>
      <c r="C517" s="4" t="s">
        <v>2132</v>
      </c>
      <c r="D517" s="8" t="s">
        <v>1539</v>
      </c>
      <c r="E517" s="4" t="s">
        <v>432</v>
      </c>
      <c r="F517" s="4" t="s">
        <v>2133</v>
      </c>
      <c r="G517" s="4" t="s">
        <v>251</v>
      </c>
      <c r="H517" s="4" t="s">
        <v>20</v>
      </c>
      <c r="I517" s="4" t="s">
        <v>1721</v>
      </c>
    </row>
    <row r="518">
      <c r="A518" s="7">
        <v>45590.456297384255</v>
      </c>
      <c r="B518" s="4" t="s">
        <v>2134</v>
      </c>
      <c r="C518" s="4" t="s">
        <v>2135</v>
      </c>
      <c r="D518" s="8" t="s">
        <v>2136</v>
      </c>
      <c r="E518" s="4" t="s">
        <v>17</v>
      </c>
      <c r="F518" s="4" t="s">
        <v>2137</v>
      </c>
      <c r="G518" s="4" t="s">
        <v>32</v>
      </c>
      <c r="H518" s="4" t="s">
        <v>20</v>
      </c>
      <c r="I518" s="4" t="s">
        <v>2138</v>
      </c>
    </row>
    <row r="519">
      <c r="A519" s="7">
        <v>45590.4571380787</v>
      </c>
      <c r="B519" s="4" t="s">
        <v>2139</v>
      </c>
      <c r="C519" s="4" t="s">
        <v>2140</v>
      </c>
      <c r="D519" s="8" t="s">
        <v>855</v>
      </c>
      <c r="E519" s="4" t="s">
        <v>78</v>
      </c>
      <c r="F519" s="4" t="s">
        <v>2141</v>
      </c>
      <c r="G519" s="4" t="s">
        <v>32</v>
      </c>
      <c r="H519" s="4" t="s">
        <v>20</v>
      </c>
      <c r="I519" s="4" t="s">
        <v>74</v>
      </c>
    </row>
    <row r="520">
      <c r="A520" s="7">
        <v>45590.46005574074</v>
      </c>
      <c r="B520" s="4" t="s">
        <v>2142</v>
      </c>
      <c r="C520" s="4" t="s">
        <v>2143</v>
      </c>
      <c r="D520" s="8" t="s">
        <v>2144</v>
      </c>
      <c r="E520" s="4" t="s">
        <v>662</v>
      </c>
      <c r="F520" s="4" t="s">
        <v>2145</v>
      </c>
      <c r="G520" s="4" t="s">
        <v>19</v>
      </c>
      <c r="H520" s="4" t="s">
        <v>20</v>
      </c>
      <c r="I520" s="4" t="s">
        <v>2145</v>
      </c>
    </row>
    <row r="521">
      <c r="A521" s="7">
        <v>45590.46879186343</v>
      </c>
      <c r="B521" s="4" t="s">
        <v>2146</v>
      </c>
      <c r="C521" s="4" t="s">
        <v>2147</v>
      </c>
      <c r="D521" s="4" t="s">
        <v>2148</v>
      </c>
      <c r="E521" s="4" t="s">
        <v>313</v>
      </c>
      <c r="F521" s="4" t="s">
        <v>2149</v>
      </c>
      <c r="G521" s="4" t="s">
        <v>251</v>
      </c>
      <c r="H521" s="4" t="s">
        <v>20</v>
      </c>
      <c r="I521" s="4" t="s">
        <v>412</v>
      </c>
    </row>
    <row r="522">
      <c r="A522" s="7">
        <v>45590.46976792824</v>
      </c>
      <c r="B522" s="4" t="s">
        <v>2150</v>
      </c>
      <c r="C522" s="4" t="s">
        <v>2151</v>
      </c>
      <c r="D522" s="8" t="s">
        <v>2152</v>
      </c>
      <c r="E522" s="4" t="s">
        <v>59</v>
      </c>
      <c r="F522" s="4" t="s">
        <v>2153</v>
      </c>
      <c r="G522" s="4" t="s">
        <v>32</v>
      </c>
      <c r="H522" s="4" t="s">
        <v>20</v>
      </c>
      <c r="I522" s="4" t="s">
        <v>686</v>
      </c>
    </row>
    <row r="523">
      <c r="A523" s="7">
        <v>45590.47026585648</v>
      </c>
      <c r="B523" s="4" t="s">
        <v>2154</v>
      </c>
      <c r="C523" s="4" t="s">
        <v>2155</v>
      </c>
      <c r="D523" s="4" t="s">
        <v>2148</v>
      </c>
      <c r="E523" s="4" t="s">
        <v>313</v>
      </c>
      <c r="F523" s="4" t="s">
        <v>2156</v>
      </c>
      <c r="G523" s="4" t="s">
        <v>251</v>
      </c>
      <c r="H523" s="4" t="s">
        <v>20</v>
      </c>
      <c r="I523" s="4" t="s">
        <v>412</v>
      </c>
    </row>
    <row r="524">
      <c r="A524" s="7">
        <v>45590.47119265047</v>
      </c>
      <c r="B524" s="4" t="s">
        <v>2157</v>
      </c>
      <c r="C524" s="4" t="s">
        <v>2158</v>
      </c>
      <c r="D524" s="4" t="s">
        <v>2148</v>
      </c>
      <c r="E524" s="4" t="s">
        <v>313</v>
      </c>
      <c r="F524" s="4" t="s">
        <v>2159</v>
      </c>
      <c r="G524" s="4" t="s">
        <v>251</v>
      </c>
      <c r="H524" s="4" t="s">
        <v>20</v>
      </c>
      <c r="I524" s="4" t="s">
        <v>412</v>
      </c>
    </row>
    <row r="525">
      <c r="A525" s="7">
        <v>45590.52943851852</v>
      </c>
      <c r="B525" s="4" t="s">
        <v>371</v>
      </c>
      <c r="C525" s="4" t="s">
        <v>2160</v>
      </c>
      <c r="D525" s="4" t="s">
        <v>373</v>
      </c>
      <c r="E525" s="4" t="s">
        <v>313</v>
      </c>
      <c r="F525" s="4" t="s">
        <v>2161</v>
      </c>
      <c r="G525" s="4" t="s">
        <v>54</v>
      </c>
      <c r="H525" s="4" t="s">
        <v>570</v>
      </c>
      <c r="I525" s="4" t="s">
        <v>412</v>
      </c>
    </row>
    <row r="526">
      <c r="A526" s="7">
        <v>45590.54771767361</v>
      </c>
      <c r="B526" s="4" t="s">
        <v>2162</v>
      </c>
      <c r="C526" s="4" t="s">
        <v>2163</v>
      </c>
      <c r="D526" s="4" t="s">
        <v>1692</v>
      </c>
      <c r="E526" s="4" t="s">
        <v>313</v>
      </c>
      <c r="F526" s="4" t="s">
        <v>2164</v>
      </c>
      <c r="G526" s="4" t="s">
        <v>251</v>
      </c>
      <c r="H526" s="4" t="s">
        <v>20</v>
      </c>
      <c r="I526" s="4" t="s">
        <v>479</v>
      </c>
    </row>
    <row r="527">
      <c r="A527" s="7">
        <v>45590.547792604164</v>
      </c>
      <c r="B527" s="4" t="s">
        <v>1326</v>
      </c>
      <c r="C527" s="4" t="s">
        <v>1331</v>
      </c>
      <c r="D527" s="8" t="s">
        <v>1322</v>
      </c>
      <c r="E527" s="4" t="s">
        <v>583</v>
      </c>
      <c r="F527" s="4" t="s">
        <v>1328</v>
      </c>
      <c r="G527" s="4" t="s">
        <v>54</v>
      </c>
      <c r="H527" s="4" t="s">
        <v>570</v>
      </c>
      <c r="I527" s="4" t="s">
        <v>1329</v>
      </c>
    </row>
    <row r="528">
      <c r="A528" s="7">
        <v>45590.55264710648</v>
      </c>
      <c r="B528" s="4" t="s">
        <v>2165</v>
      </c>
      <c r="C528" s="4" t="s">
        <v>2166</v>
      </c>
      <c r="D528" s="8" t="s">
        <v>582</v>
      </c>
      <c r="E528" s="4" t="s">
        <v>583</v>
      </c>
      <c r="F528" s="4" t="s">
        <v>2167</v>
      </c>
      <c r="G528" s="4" t="s">
        <v>54</v>
      </c>
      <c r="H528" s="4" t="s">
        <v>20</v>
      </c>
      <c r="I528" s="4" t="s">
        <v>2033</v>
      </c>
    </row>
    <row r="529">
      <c r="A529" s="7">
        <v>45590.553775057866</v>
      </c>
      <c r="B529" s="4" t="s">
        <v>2168</v>
      </c>
      <c r="C529" s="4" t="s">
        <v>2169</v>
      </c>
      <c r="D529" s="8" t="s">
        <v>582</v>
      </c>
      <c r="E529" s="4" t="s">
        <v>583</v>
      </c>
      <c r="F529" s="4" t="s">
        <v>2170</v>
      </c>
      <c r="G529" s="4" t="s">
        <v>54</v>
      </c>
      <c r="H529" s="4" t="s">
        <v>20</v>
      </c>
      <c r="I529" s="4" t="s">
        <v>1454</v>
      </c>
    </row>
    <row r="530">
      <c r="A530" s="7">
        <v>45590.55509581018</v>
      </c>
      <c r="B530" s="4" t="s">
        <v>2171</v>
      </c>
      <c r="C530" s="4" t="s">
        <v>2169</v>
      </c>
      <c r="D530" s="8" t="s">
        <v>582</v>
      </c>
      <c r="E530" s="4" t="s">
        <v>2172</v>
      </c>
      <c r="F530" s="4" t="s">
        <v>2173</v>
      </c>
      <c r="G530" s="4" t="s">
        <v>54</v>
      </c>
      <c r="H530" s="4" t="s">
        <v>20</v>
      </c>
      <c r="I530" s="4" t="s">
        <v>895</v>
      </c>
    </row>
    <row r="531">
      <c r="A531" s="7">
        <v>45590.55623884259</v>
      </c>
      <c r="B531" s="4" t="s">
        <v>2174</v>
      </c>
      <c r="C531" s="4" t="s">
        <v>2175</v>
      </c>
      <c r="D531" s="8" t="s">
        <v>582</v>
      </c>
      <c r="E531" s="4" t="s">
        <v>583</v>
      </c>
      <c r="F531" s="4" t="s">
        <v>2173</v>
      </c>
      <c r="G531" s="4" t="s">
        <v>54</v>
      </c>
      <c r="H531" s="4" t="s">
        <v>20</v>
      </c>
      <c r="I531" s="4" t="s">
        <v>895</v>
      </c>
    </row>
    <row r="532">
      <c r="A532" s="7">
        <v>45590.55815571759</v>
      </c>
      <c r="B532" s="4" t="s">
        <v>2176</v>
      </c>
      <c r="C532" s="4" t="s">
        <v>2175</v>
      </c>
      <c r="D532" s="8" t="s">
        <v>582</v>
      </c>
      <c r="E532" s="4" t="s">
        <v>583</v>
      </c>
      <c r="F532" s="4" t="s">
        <v>2177</v>
      </c>
      <c r="G532" s="4" t="s">
        <v>54</v>
      </c>
      <c r="H532" s="4" t="s">
        <v>20</v>
      </c>
      <c r="I532" s="4" t="s">
        <v>2178</v>
      </c>
    </row>
    <row r="533">
      <c r="A533" s="7">
        <v>45590.55967362269</v>
      </c>
      <c r="B533" s="4" t="s">
        <v>1196</v>
      </c>
      <c r="C533" s="4" t="s">
        <v>1197</v>
      </c>
      <c r="D533" s="8" t="s">
        <v>1991</v>
      </c>
      <c r="E533" s="4" t="s">
        <v>410</v>
      </c>
      <c r="F533" s="4" t="s">
        <v>2179</v>
      </c>
      <c r="G533" s="4" t="s">
        <v>251</v>
      </c>
      <c r="H533" s="4" t="s">
        <v>20</v>
      </c>
      <c r="I533" s="4" t="s">
        <v>922</v>
      </c>
    </row>
    <row r="534">
      <c r="A534" s="7">
        <v>45590.5600040162</v>
      </c>
      <c r="B534" s="4" t="s">
        <v>860</v>
      </c>
      <c r="C534" s="4" t="s">
        <v>2180</v>
      </c>
      <c r="D534" s="8" t="s">
        <v>648</v>
      </c>
      <c r="E534" s="4" t="s">
        <v>345</v>
      </c>
      <c r="F534" s="4" t="s">
        <v>862</v>
      </c>
      <c r="G534" s="4" t="s">
        <v>54</v>
      </c>
      <c r="H534" s="4" t="s">
        <v>570</v>
      </c>
      <c r="I534" s="4" t="s">
        <v>863</v>
      </c>
    </row>
    <row r="535">
      <c r="A535" s="7">
        <v>45590.562656678245</v>
      </c>
      <c r="B535" s="4" t="s">
        <v>2181</v>
      </c>
      <c r="C535" s="4" t="s">
        <v>2182</v>
      </c>
      <c r="D535" s="8" t="s">
        <v>2183</v>
      </c>
      <c r="E535" s="4" t="s">
        <v>345</v>
      </c>
      <c r="F535" s="4" t="s">
        <v>2184</v>
      </c>
      <c r="G535" s="4" t="s">
        <v>54</v>
      </c>
      <c r="H535" s="4" t="s">
        <v>20</v>
      </c>
      <c r="I535" s="4" t="s">
        <v>726</v>
      </c>
    </row>
    <row r="536">
      <c r="A536" s="7">
        <v>45590.564807835646</v>
      </c>
      <c r="B536" s="4" t="s">
        <v>2185</v>
      </c>
      <c r="C536" s="4" t="s">
        <v>2182</v>
      </c>
      <c r="D536" s="8" t="s">
        <v>2183</v>
      </c>
      <c r="E536" s="4" t="s">
        <v>345</v>
      </c>
      <c r="F536" s="4" t="s">
        <v>2186</v>
      </c>
      <c r="G536" s="4" t="s">
        <v>54</v>
      </c>
      <c r="H536" s="4" t="s">
        <v>20</v>
      </c>
      <c r="I536" s="4" t="s">
        <v>726</v>
      </c>
    </row>
    <row r="537">
      <c r="A537" s="7">
        <v>45590.56617048611</v>
      </c>
      <c r="B537" s="4" t="s">
        <v>2187</v>
      </c>
      <c r="C537" s="4" t="s">
        <v>2188</v>
      </c>
      <c r="D537" s="8" t="s">
        <v>2183</v>
      </c>
      <c r="E537" s="4" t="s">
        <v>2189</v>
      </c>
      <c r="F537" s="4" t="s">
        <v>2190</v>
      </c>
      <c r="G537" s="4" t="s">
        <v>54</v>
      </c>
      <c r="H537" s="4" t="s">
        <v>20</v>
      </c>
      <c r="I537" s="4" t="s">
        <v>2191</v>
      </c>
    </row>
    <row r="538">
      <c r="A538" s="7">
        <v>45590.570520451394</v>
      </c>
      <c r="B538" s="4" t="s">
        <v>2192</v>
      </c>
      <c r="C538" s="4" t="s">
        <v>2193</v>
      </c>
      <c r="D538" s="8" t="s">
        <v>2194</v>
      </c>
      <c r="E538" s="4" t="s">
        <v>2195</v>
      </c>
      <c r="F538" s="4" t="s">
        <v>2196</v>
      </c>
      <c r="G538" s="4" t="s">
        <v>41</v>
      </c>
      <c r="H538" s="4" t="s">
        <v>20</v>
      </c>
      <c r="I538" s="4" t="s">
        <v>2198</v>
      </c>
    </row>
    <row r="539">
      <c r="A539" s="7">
        <v>45590.572070752314</v>
      </c>
      <c r="B539" s="4" t="s">
        <v>2199</v>
      </c>
      <c r="C539" s="4" t="s">
        <v>2200</v>
      </c>
      <c r="D539" s="4" t="s">
        <v>339</v>
      </c>
      <c r="E539" s="4" t="s">
        <v>313</v>
      </c>
      <c r="F539" s="4" t="s">
        <v>2201</v>
      </c>
      <c r="G539" s="4" t="s">
        <v>251</v>
      </c>
      <c r="H539" s="4" t="s">
        <v>20</v>
      </c>
      <c r="I539" s="4" t="s">
        <v>446</v>
      </c>
    </row>
    <row r="540">
      <c r="A540" s="7">
        <v>45590.572903657405</v>
      </c>
      <c r="B540" s="4" t="s">
        <v>2202</v>
      </c>
      <c r="C540" s="4" t="s">
        <v>2203</v>
      </c>
      <c r="D540" s="4" t="s">
        <v>339</v>
      </c>
      <c r="E540" s="4" t="s">
        <v>410</v>
      </c>
      <c r="F540" s="4" t="s">
        <v>2204</v>
      </c>
      <c r="G540" s="4" t="s">
        <v>251</v>
      </c>
      <c r="H540" s="4" t="s">
        <v>20</v>
      </c>
      <c r="I540" s="4" t="s">
        <v>1126</v>
      </c>
    </row>
    <row r="541">
      <c r="A541" s="7">
        <v>45590.57344821759</v>
      </c>
      <c r="B541" s="4" t="s">
        <v>2205</v>
      </c>
      <c r="C541" s="4" t="s">
        <v>2206</v>
      </c>
      <c r="D541" s="4" t="s">
        <v>2036</v>
      </c>
      <c r="E541" s="4" t="s">
        <v>163</v>
      </c>
      <c r="F541" s="4" t="s">
        <v>2207</v>
      </c>
      <c r="G541" s="4" t="s">
        <v>32</v>
      </c>
      <c r="H541" s="4" t="s">
        <v>20</v>
      </c>
      <c r="I541" s="4" t="s">
        <v>2208</v>
      </c>
    </row>
    <row r="542">
      <c r="A542" s="7">
        <v>45590.5781649537</v>
      </c>
      <c r="B542" s="4" t="s">
        <v>2209</v>
      </c>
      <c r="C542" s="4" t="s">
        <v>2210</v>
      </c>
      <c r="D542" s="8" t="s">
        <v>2211</v>
      </c>
      <c r="E542" s="4" t="s">
        <v>17</v>
      </c>
      <c r="F542" s="4" t="s">
        <v>2212</v>
      </c>
      <c r="G542" s="4" t="s">
        <v>19</v>
      </c>
      <c r="H542" s="4" t="s">
        <v>20</v>
      </c>
      <c r="I542" s="4" t="s">
        <v>242</v>
      </c>
    </row>
    <row r="543">
      <c r="A543" s="7">
        <v>45590.58110701389</v>
      </c>
      <c r="B543" s="4" t="s">
        <v>892</v>
      </c>
      <c r="C543" s="4" t="s">
        <v>893</v>
      </c>
      <c r="D543" s="8" t="s">
        <v>2088</v>
      </c>
      <c r="E543" s="4" t="s">
        <v>313</v>
      </c>
      <c r="F543" s="4" t="s">
        <v>894</v>
      </c>
      <c r="G543" s="4" t="s">
        <v>251</v>
      </c>
      <c r="H543" s="4" t="s">
        <v>570</v>
      </c>
      <c r="I543" s="4" t="s">
        <v>895</v>
      </c>
    </row>
    <row r="544">
      <c r="A544" s="7">
        <v>45590.58218253472</v>
      </c>
      <c r="B544" s="4" t="s">
        <v>673</v>
      </c>
      <c r="C544" s="4" t="s">
        <v>674</v>
      </c>
      <c r="D544" s="8" t="s">
        <v>2088</v>
      </c>
      <c r="E544" s="4" t="s">
        <v>313</v>
      </c>
      <c r="F544" s="4" t="s">
        <v>2213</v>
      </c>
      <c r="G544" s="4" t="s">
        <v>251</v>
      </c>
      <c r="H544" s="4" t="s">
        <v>570</v>
      </c>
      <c r="I544" s="4" t="s">
        <v>2214</v>
      </c>
    </row>
    <row r="545">
      <c r="A545" s="7">
        <v>45590.583058344906</v>
      </c>
      <c r="B545" s="4" t="s">
        <v>2215</v>
      </c>
      <c r="C545" s="4" t="s">
        <v>2216</v>
      </c>
      <c r="D545" s="8" t="s">
        <v>1322</v>
      </c>
      <c r="E545" s="4" t="s">
        <v>817</v>
      </c>
      <c r="F545" s="4" t="s">
        <v>2217</v>
      </c>
      <c r="G545" s="4" t="s">
        <v>32</v>
      </c>
      <c r="H545" s="4" t="s">
        <v>20</v>
      </c>
      <c r="I545" s="4" t="s">
        <v>2218</v>
      </c>
    </row>
    <row r="546">
      <c r="A546" s="7">
        <v>45590.58375583333</v>
      </c>
      <c r="B546" s="4" t="s">
        <v>2219</v>
      </c>
      <c r="C546" s="4" t="s">
        <v>2216</v>
      </c>
      <c r="D546" s="8" t="s">
        <v>1322</v>
      </c>
      <c r="E546" s="4" t="s">
        <v>100</v>
      </c>
      <c r="F546" s="4" t="s">
        <v>2220</v>
      </c>
      <c r="G546" s="4" t="s">
        <v>32</v>
      </c>
      <c r="H546" s="4" t="s">
        <v>20</v>
      </c>
      <c r="I546" s="4" t="s">
        <v>694</v>
      </c>
    </row>
    <row r="547">
      <c r="A547" s="7">
        <v>45590.58916744213</v>
      </c>
      <c r="B547" s="4" t="s">
        <v>2221</v>
      </c>
      <c r="C547" s="4" t="s">
        <v>2222</v>
      </c>
      <c r="D547" s="4" t="s">
        <v>889</v>
      </c>
      <c r="E547" s="4" t="s">
        <v>313</v>
      </c>
      <c r="F547" s="4" t="s">
        <v>2223</v>
      </c>
      <c r="G547" s="4" t="s">
        <v>251</v>
      </c>
      <c r="H547" s="4" t="s">
        <v>20</v>
      </c>
      <c r="I547" s="4" t="s">
        <v>895</v>
      </c>
    </row>
    <row r="548">
      <c r="A548" s="7">
        <v>45590.589604768524</v>
      </c>
      <c r="B548" s="4" t="s">
        <v>2224</v>
      </c>
      <c r="C548" s="4" t="s">
        <v>2225</v>
      </c>
      <c r="D548" s="8" t="s">
        <v>1752</v>
      </c>
      <c r="E548" s="4" t="s">
        <v>345</v>
      </c>
      <c r="F548" s="4" t="s">
        <v>2226</v>
      </c>
      <c r="G548" s="4" t="s">
        <v>32</v>
      </c>
      <c r="H548" s="4" t="s">
        <v>20</v>
      </c>
      <c r="I548" s="4" t="s">
        <v>1111</v>
      </c>
    </row>
    <row r="549">
      <c r="A549" s="7">
        <v>45590.59000359954</v>
      </c>
      <c r="B549" s="4" t="s">
        <v>2227</v>
      </c>
      <c r="C549" s="4" t="s">
        <v>2228</v>
      </c>
      <c r="D549" s="4" t="s">
        <v>889</v>
      </c>
      <c r="E549" s="4" t="s">
        <v>754</v>
      </c>
      <c r="F549" s="4" t="s">
        <v>2229</v>
      </c>
      <c r="G549" s="4" t="s">
        <v>251</v>
      </c>
      <c r="H549" s="4" t="s">
        <v>20</v>
      </c>
      <c r="I549" s="4" t="s">
        <v>690</v>
      </c>
    </row>
    <row r="550">
      <c r="A550" s="7">
        <v>45590.59204377315</v>
      </c>
      <c r="B550" s="4" t="s">
        <v>2230</v>
      </c>
      <c r="C550" s="4" t="s">
        <v>2231</v>
      </c>
      <c r="D550" s="8" t="s">
        <v>2232</v>
      </c>
      <c r="E550" s="4" t="s">
        <v>548</v>
      </c>
      <c r="F550" s="4" t="s">
        <v>2233</v>
      </c>
      <c r="G550" s="4" t="s">
        <v>19</v>
      </c>
      <c r="H550" s="4" t="s">
        <v>20</v>
      </c>
      <c r="I550" s="4" t="s">
        <v>686</v>
      </c>
    </row>
    <row r="551">
      <c r="A551" s="7">
        <v>45590.60574111111</v>
      </c>
      <c r="B551" s="4" t="s">
        <v>2234</v>
      </c>
      <c r="C551" s="4" t="s">
        <v>2235</v>
      </c>
      <c r="D551" s="8" t="s">
        <v>2236</v>
      </c>
      <c r="E551" s="4" t="s">
        <v>313</v>
      </c>
      <c r="F551" s="4" t="s">
        <v>2237</v>
      </c>
      <c r="G551" s="4" t="s">
        <v>251</v>
      </c>
      <c r="H551" s="4" t="s">
        <v>20</v>
      </c>
      <c r="I551" s="4" t="s">
        <v>434</v>
      </c>
    </row>
    <row r="552">
      <c r="A552" s="7">
        <v>45590.60840612269</v>
      </c>
      <c r="B552" s="4" t="s">
        <v>2238</v>
      </c>
      <c r="C552" s="4" t="s">
        <v>2239</v>
      </c>
      <c r="D552" s="8" t="s">
        <v>2240</v>
      </c>
      <c r="E552" s="4" t="s">
        <v>345</v>
      </c>
      <c r="F552" s="4" t="s">
        <v>2241</v>
      </c>
      <c r="G552" s="4" t="s">
        <v>54</v>
      </c>
      <c r="H552" s="4" t="s">
        <v>20</v>
      </c>
      <c r="I552" s="4" t="s">
        <v>1828</v>
      </c>
    </row>
    <row r="553">
      <c r="A553" s="7">
        <v>45590.60982233797</v>
      </c>
      <c r="B553" s="4" t="s">
        <v>2242</v>
      </c>
      <c r="C553" s="4" t="s">
        <v>2243</v>
      </c>
      <c r="D553" s="8" t="s">
        <v>2240</v>
      </c>
      <c r="E553" s="4" t="s">
        <v>17</v>
      </c>
      <c r="F553" s="4" t="s">
        <v>2244</v>
      </c>
      <c r="G553" s="4" t="s">
        <v>54</v>
      </c>
      <c r="H553" s="4" t="s">
        <v>20</v>
      </c>
      <c r="I553" s="4" t="s">
        <v>2245</v>
      </c>
    </row>
    <row r="554">
      <c r="A554" s="7">
        <v>45590.61038896991</v>
      </c>
      <c r="B554" s="4" t="s">
        <v>1127</v>
      </c>
      <c r="C554" s="4" t="s">
        <v>1128</v>
      </c>
      <c r="D554" s="4" t="s">
        <v>1129</v>
      </c>
      <c r="E554" s="4" t="s">
        <v>345</v>
      </c>
      <c r="F554" s="4" t="s">
        <v>1130</v>
      </c>
      <c r="G554" s="4" t="s">
        <v>32</v>
      </c>
      <c r="H554" s="4" t="s">
        <v>570</v>
      </c>
      <c r="I554" s="4" t="s">
        <v>308</v>
      </c>
    </row>
    <row r="555">
      <c r="A555" s="7">
        <v>45590.61065560185</v>
      </c>
      <c r="B555" s="4" t="s">
        <v>2246</v>
      </c>
      <c r="C555" s="4" t="s">
        <v>2247</v>
      </c>
      <c r="D555" s="8" t="s">
        <v>2248</v>
      </c>
      <c r="E555" s="4" t="s">
        <v>2249</v>
      </c>
      <c r="F555" s="4" t="s">
        <v>2250</v>
      </c>
      <c r="G555" s="4" t="s">
        <v>19</v>
      </c>
      <c r="H555" s="4" t="s">
        <v>20</v>
      </c>
      <c r="I555" s="4" t="s">
        <v>2251</v>
      </c>
    </row>
    <row r="556">
      <c r="A556" s="7">
        <v>45590.61116076389</v>
      </c>
      <c r="B556" s="4" t="s">
        <v>2252</v>
      </c>
      <c r="C556" s="4" t="s">
        <v>2253</v>
      </c>
      <c r="D556" s="8" t="s">
        <v>2240</v>
      </c>
      <c r="E556" s="4" t="s">
        <v>17</v>
      </c>
      <c r="F556" s="4" t="s">
        <v>2254</v>
      </c>
      <c r="G556" s="4" t="s">
        <v>54</v>
      </c>
      <c r="H556" s="4" t="s">
        <v>20</v>
      </c>
      <c r="I556" s="4" t="s">
        <v>1097</v>
      </c>
    </row>
    <row r="557">
      <c r="A557" s="7">
        <v>45590.614115081014</v>
      </c>
      <c r="B557" s="4" t="s">
        <v>2255</v>
      </c>
      <c r="C557" s="4" t="s">
        <v>2256</v>
      </c>
      <c r="D557" s="8" t="s">
        <v>2257</v>
      </c>
      <c r="E557" s="4" t="s">
        <v>2258</v>
      </c>
      <c r="F557" s="4" t="s">
        <v>2259</v>
      </c>
      <c r="G557" s="4" t="s">
        <v>19</v>
      </c>
      <c r="H557" s="4" t="s">
        <v>20</v>
      </c>
      <c r="I557" s="4" t="s">
        <v>301</v>
      </c>
    </row>
    <row r="558">
      <c r="A558" s="7">
        <v>45590.615328078704</v>
      </c>
      <c r="B558" s="4" t="s">
        <v>2260</v>
      </c>
      <c r="C558" s="4" t="s">
        <v>2261</v>
      </c>
      <c r="D558" s="8" t="s">
        <v>99</v>
      </c>
      <c r="E558" s="4" t="s">
        <v>1323</v>
      </c>
      <c r="F558" s="4" t="s">
        <v>2262</v>
      </c>
      <c r="G558" s="4" t="s">
        <v>251</v>
      </c>
      <c r="H558" s="4" t="s">
        <v>20</v>
      </c>
      <c r="I558" s="4" t="s">
        <v>540</v>
      </c>
    </row>
    <row r="559">
      <c r="A559" s="7">
        <v>45590.615725763884</v>
      </c>
      <c r="B559" s="4" t="s">
        <v>2263</v>
      </c>
      <c r="C559" s="4" t="s">
        <v>2264</v>
      </c>
      <c r="D559" s="8" t="s">
        <v>2265</v>
      </c>
      <c r="E559" s="4" t="s">
        <v>17</v>
      </c>
      <c r="F559" s="4" t="s">
        <v>2266</v>
      </c>
      <c r="G559" s="4" t="s">
        <v>41</v>
      </c>
      <c r="H559" s="4" t="s">
        <v>20</v>
      </c>
      <c r="I559" s="4" t="s">
        <v>2267</v>
      </c>
    </row>
    <row r="560">
      <c r="A560" s="7">
        <v>45590.616597500004</v>
      </c>
      <c r="B560" s="4" t="s">
        <v>2268</v>
      </c>
      <c r="C560" s="4" t="s">
        <v>2269</v>
      </c>
      <c r="D560" s="8" t="s">
        <v>99</v>
      </c>
      <c r="E560" s="4" t="s">
        <v>1323</v>
      </c>
      <c r="F560" s="4" t="s">
        <v>2270</v>
      </c>
      <c r="G560" s="4" t="s">
        <v>251</v>
      </c>
      <c r="H560" s="4" t="s">
        <v>20</v>
      </c>
      <c r="I560" s="4" t="s">
        <v>2271</v>
      </c>
    </row>
    <row r="561">
      <c r="A561" s="7">
        <v>45590.62088241898</v>
      </c>
      <c r="B561" s="4" t="s">
        <v>219</v>
      </c>
      <c r="C561" s="4" t="s">
        <v>2272</v>
      </c>
      <c r="D561" s="8" t="s">
        <v>2273</v>
      </c>
      <c r="E561" s="4" t="s">
        <v>345</v>
      </c>
      <c r="F561" s="4" t="s">
        <v>2274</v>
      </c>
      <c r="G561" s="4" t="s">
        <v>54</v>
      </c>
      <c r="H561" s="4" t="s">
        <v>570</v>
      </c>
      <c r="I561" s="4" t="s">
        <v>2275</v>
      </c>
    </row>
    <row r="562">
      <c r="A562" s="7">
        <v>45590.62098890047</v>
      </c>
      <c r="B562" s="4" t="s">
        <v>2276</v>
      </c>
      <c r="C562" s="4" t="s">
        <v>2277</v>
      </c>
      <c r="D562" s="4" t="s">
        <v>468</v>
      </c>
      <c r="E562" s="4" t="s">
        <v>313</v>
      </c>
      <c r="F562" s="4" t="s">
        <v>2278</v>
      </c>
      <c r="G562" s="4" t="s">
        <v>251</v>
      </c>
      <c r="H562" s="4" t="s">
        <v>20</v>
      </c>
      <c r="I562" s="4" t="s">
        <v>489</v>
      </c>
    </row>
    <row r="563">
      <c r="A563" s="7">
        <v>45590.634079826385</v>
      </c>
      <c r="B563" s="4" t="s">
        <v>245</v>
      </c>
      <c r="C563" s="4" t="s">
        <v>246</v>
      </c>
      <c r="D563" s="4" t="s">
        <v>247</v>
      </c>
      <c r="E563" s="4" t="s">
        <v>248</v>
      </c>
      <c r="F563" s="4" t="s">
        <v>249</v>
      </c>
      <c r="G563" s="4" t="s">
        <v>251</v>
      </c>
      <c r="H563" s="4" t="s">
        <v>570</v>
      </c>
      <c r="I563" s="4" t="s">
        <v>1678</v>
      </c>
    </row>
    <row r="564">
      <c r="A564" s="7">
        <v>45590.63700105324</v>
      </c>
      <c r="B564" s="4" t="s">
        <v>2279</v>
      </c>
      <c r="C564" s="4" t="s">
        <v>2280</v>
      </c>
      <c r="D564" s="8" t="s">
        <v>2281</v>
      </c>
      <c r="E564" s="4" t="s">
        <v>313</v>
      </c>
      <c r="F564" s="4" t="s">
        <v>2282</v>
      </c>
      <c r="G564" s="4" t="s">
        <v>251</v>
      </c>
      <c r="H564" s="4" t="s">
        <v>20</v>
      </c>
      <c r="I564" s="4" t="s">
        <v>2283</v>
      </c>
    </row>
    <row r="565">
      <c r="A565" s="7">
        <v>45590.63782966435</v>
      </c>
      <c r="B565" s="4" t="s">
        <v>2284</v>
      </c>
      <c r="C565" s="4" t="s">
        <v>2280</v>
      </c>
      <c r="D565" s="8" t="s">
        <v>2285</v>
      </c>
      <c r="E565" s="4" t="s">
        <v>313</v>
      </c>
      <c r="F565" s="4" t="s">
        <v>2286</v>
      </c>
      <c r="G565" s="4" t="s">
        <v>251</v>
      </c>
      <c r="H565" s="4" t="s">
        <v>20</v>
      </c>
      <c r="I565" s="4" t="s">
        <v>2283</v>
      </c>
    </row>
    <row r="566">
      <c r="A566" s="7">
        <v>45590.64692097223</v>
      </c>
      <c r="B566" s="4" t="s">
        <v>2287</v>
      </c>
      <c r="C566" s="4" t="s">
        <v>2288</v>
      </c>
      <c r="D566" s="4" t="s">
        <v>1079</v>
      </c>
      <c r="E566" s="4" t="s">
        <v>284</v>
      </c>
      <c r="F566" s="4" t="s">
        <v>2289</v>
      </c>
      <c r="G566" s="4" t="s">
        <v>251</v>
      </c>
      <c r="H566" s="4" t="s">
        <v>20</v>
      </c>
      <c r="I566" s="4" t="s">
        <v>2290</v>
      </c>
    </row>
    <row r="567">
      <c r="A567" s="7">
        <v>45590.66200648148</v>
      </c>
      <c r="B567" s="4" t="s">
        <v>2291</v>
      </c>
      <c r="C567" s="4" t="s">
        <v>2292</v>
      </c>
      <c r="D567" s="8" t="s">
        <v>2293</v>
      </c>
      <c r="E567" s="4" t="s">
        <v>1932</v>
      </c>
      <c r="F567" s="4" t="s">
        <v>2294</v>
      </c>
      <c r="G567" s="4" t="s">
        <v>32</v>
      </c>
      <c r="H567" s="4" t="s">
        <v>20</v>
      </c>
      <c r="I567" s="4" t="s">
        <v>1407</v>
      </c>
    </row>
    <row r="568">
      <c r="A568" s="7">
        <v>45590.66259231481</v>
      </c>
      <c r="B568" s="4" t="s">
        <v>2295</v>
      </c>
      <c r="C568" s="4" t="s">
        <v>2292</v>
      </c>
      <c r="D568" s="8" t="s">
        <v>2293</v>
      </c>
      <c r="E568" s="4" t="s">
        <v>1932</v>
      </c>
      <c r="F568" s="4" t="s">
        <v>2296</v>
      </c>
      <c r="G568" s="4" t="s">
        <v>32</v>
      </c>
      <c r="H568" s="4" t="s">
        <v>20</v>
      </c>
      <c r="I568" s="4" t="s">
        <v>1407</v>
      </c>
    </row>
    <row r="569">
      <c r="A569" s="7">
        <v>45590.66553371528</v>
      </c>
      <c r="B569" s="4" t="s">
        <v>1300</v>
      </c>
      <c r="C569" s="4" t="s">
        <v>1301</v>
      </c>
      <c r="D569" s="8" t="s">
        <v>2088</v>
      </c>
      <c r="E569" s="4" t="s">
        <v>284</v>
      </c>
      <c r="F569" s="4" t="s">
        <v>2297</v>
      </c>
      <c r="G569" s="4" t="s">
        <v>251</v>
      </c>
      <c r="H569" s="4" t="s">
        <v>570</v>
      </c>
      <c r="I569" s="4" t="s">
        <v>2298</v>
      </c>
    </row>
    <row r="570">
      <c r="A570" s="7">
        <v>45590.666485636575</v>
      </c>
      <c r="B570" s="4" t="s">
        <v>994</v>
      </c>
      <c r="C570" s="4" t="s">
        <v>2299</v>
      </c>
      <c r="D570" s="8" t="s">
        <v>2300</v>
      </c>
      <c r="E570" s="4" t="s">
        <v>284</v>
      </c>
      <c r="F570" s="4" t="s">
        <v>997</v>
      </c>
      <c r="G570" s="4" t="s">
        <v>251</v>
      </c>
      <c r="H570" s="4" t="s">
        <v>570</v>
      </c>
      <c r="I570" s="4" t="s">
        <v>2301</v>
      </c>
    </row>
    <row r="571">
      <c r="A571" s="7">
        <v>45590.70029408565</v>
      </c>
      <c r="B571" s="4" t="s">
        <v>2302</v>
      </c>
      <c r="C571" s="4" t="s">
        <v>2303</v>
      </c>
      <c r="D571" s="8" t="s">
        <v>2304</v>
      </c>
      <c r="E571" s="4" t="s">
        <v>17</v>
      </c>
      <c r="F571" s="4" t="s">
        <v>2305</v>
      </c>
      <c r="G571" s="4" t="s">
        <v>41</v>
      </c>
      <c r="H571" s="4" t="s">
        <v>20</v>
      </c>
      <c r="I571" s="4" t="s">
        <v>26</v>
      </c>
    </row>
    <row r="572">
      <c r="A572" s="7">
        <v>45591.4153316088</v>
      </c>
      <c r="B572" s="4" t="s">
        <v>2306</v>
      </c>
      <c r="C572" s="4" t="s">
        <v>2307</v>
      </c>
      <c r="D572" s="8" t="s">
        <v>2308</v>
      </c>
      <c r="E572" s="4" t="s">
        <v>17</v>
      </c>
      <c r="F572" s="4" t="s">
        <v>2309</v>
      </c>
      <c r="G572" s="4" t="s">
        <v>19</v>
      </c>
      <c r="H572" s="4" t="s">
        <v>20</v>
      </c>
      <c r="I572" s="4" t="s">
        <v>593</v>
      </c>
    </row>
    <row r="573">
      <c r="A573" s="7">
        <v>45593.374504340274</v>
      </c>
      <c r="B573" s="4" t="s">
        <v>2310</v>
      </c>
      <c r="C573" s="4" t="s">
        <v>2311</v>
      </c>
      <c r="D573" s="4" t="s">
        <v>276</v>
      </c>
      <c r="E573" s="4" t="s">
        <v>345</v>
      </c>
      <c r="F573" s="4" t="s">
        <v>2312</v>
      </c>
      <c r="G573" s="4" t="s">
        <v>54</v>
      </c>
      <c r="H573" s="4" t="s">
        <v>20</v>
      </c>
      <c r="I573" s="4" t="s">
        <v>279</v>
      </c>
    </row>
    <row r="574">
      <c r="A574" s="7">
        <v>45593.377906875</v>
      </c>
      <c r="B574" s="4" t="s">
        <v>2313</v>
      </c>
      <c r="C574" s="4" t="s">
        <v>2314</v>
      </c>
      <c r="D574" s="8" t="s">
        <v>2315</v>
      </c>
      <c r="E574" s="4" t="s">
        <v>179</v>
      </c>
      <c r="F574" s="4" t="s">
        <v>2316</v>
      </c>
      <c r="G574" s="4" t="s">
        <v>19</v>
      </c>
      <c r="H574" s="4" t="s">
        <v>20</v>
      </c>
      <c r="I574" s="4" t="s">
        <v>2316</v>
      </c>
    </row>
    <row r="575">
      <c r="A575" s="7">
        <v>45593.380978506946</v>
      </c>
      <c r="B575" s="4" t="s">
        <v>2317</v>
      </c>
      <c r="C575" s="4" t="s">
        <v>2318</v>
      </c>
      <c r="D575" s="8" t="s">
        <v>582</v>
      </c>
      <c r="E575" s="4" t="s">
        <v>1323</v>
      </c>
      <c r="F575" s="4" t="s">
        <v>2319</v>
      </c>
      <c r="G575" s="4" t="s">
        <v>54</v>
      </c>
      <c r="H575" s="4" t="s">
        <v>20</v>
      </c>
      <c r="I575" s="4" t="s">
        <v>2320</v>
      </c>
    </row>
    <row r="576">
      <c r="A576" s="7">
        <v>45593.38483789352</v>
      </c>
      <c r="B576" s="4" t="s">
        <v>2321</v>
      </c>
      <c r="C576" s="4" t="s">
        <v>2322</v>
      </c>
      <c r="D576" s="8" t="s">
        <v>582</v>
      </c>
      <c r="E576" s="4" t="s">
        <v>2323</v>
      </c>
      <c r="F576" s="4" t="s">
        <v>2324</v>
      </c>
      <c r="G576" s="4" t="s">
        <v>54</v>
      </c>
      <c r="H576" s="4" t="s">
        <v>20</v>
      </c>
      <c r="I576" s="4" t="s">
        <v>1333</v>
      </c>
    </row>
    <row r="577">
      <c r="A577" s="7">
        <v>45593.388390810185</v>
      </c>
      <c r="B577" s="4" t="s">
        <v>2325</v>
      </c>
      <c r="C577" s="4" t="s">
        <v>2326</v>
      </c>
      <c r="D577" s="4" t="s">
        <v>1515</v>
      </c>
      <c r="E577" s="4" t="s">
        <v>2327</v>
      </c>
      <c r="F577" s="4" t="s">
        <v>2328</v>
      </c>
      <c r="G577" s="4" t="s">
        <v>251</v>
      </c>
      <c r="H577" s="4" t="s">
        <v>20</v>
      </c>
      <c r="I577" s="4" t="s">
        <v>2329</v>
      </c>
    </row>
    <row r="578">
      <c r="A578" s="7">
        <v>45593.39435988426</v>
      </c>
      <c r="B578" s="4" t="s">
        <v>2330</v>
      </c>
      <c r="C578" s="4" t="s">
        <v>2331</v>
      </c>
      <c r="D578" s="8" t="s">
        <v>2332</v>
      </c>
      <c r="E578" s="4" t="s">
        <v>2249</v>
      </c>
      <c r="F578" s="4" t="s">
        <v>2333</v>
      </c>
      <c r="G578" s="4" t="s">
        <v>19</v>
      </c>
      <c r="H578" s="4" t="s">
        <v>20</v>
      </c>
      <c r="I578" s="4" t="s">
        <v>115</v>
      </c>
    </row>
    <row r="579">
      <c r="A579" s="7">
        <v>45593.40090392361</v>
      </c>
      <c r="B579" s="4" t="s">
        <v>2334</v>
      </c>
      <c r="C579" s="4" t="s">
        <v>2335</v>
      </c>
      <c r="D579" s="8" t="s">
        <v>2336</v>
      </c>
      <c r="E579" s="4" t="s">
        <v>432</v>
      </c>
      <c r="F579" s="4" t="s">
        <v>2337</v>
      </c>
      <c r="G579" s="4" t="s">
        <v>251</v>
      </c>
      <c r="H579" s="4" t="s">
        <v>20</v>
      </c>
      <c r="I579" s="4" t="s">
        <v>2338</v>
      </c>
    </row>
    <row r="580">
      <c r="A580" s="7">
        <v>45593.4030053125</v>
      </c>
      <c r="B580" s="4" t="s">
        <v>2339</v>
      </c>
      <c r="C580" s="4" t="s">
        <v>2340</v>
      </c>
      <c r="D580" s="4" t="s">
        <v>2341</v>
      </c>
      <c r="E580" s="4" t="s">
        <v>345</v>
      </c>
      <c r="F580" s="4" t="s">
        <v>2342</v>
      </c>
      <c r="G580" s="4" t="s">
        <v>32</v>
      </c>
      <c r="H580" s="4" t="s">
        <v>20</v>
      </c>
      <c r="I580" s="4" t="s">
        <v>2343</v>
      </c>
    </row>
    <row r="581">
      <c r="A581" s="7">
        <v>45593.40304275463</v>
      </c>
      <c r="B581" s="4" t="s">
        <v>2344</v>
      </c>
      <c r="C581" s="4" t="s">
        <v>2345</v>
      </c>
      <c r="D581" s="8" t="s">
        <v>2346</v>
      </c>
      <c r="E581" s="4" t="s">
        <v>1527</v>
      </c>
      <c r="F581" s="4" t="s">
        <v>2347</v>
      </c>
      <c r="G581" s="4" t="s">
        <v>54</v>
      </c>
      <c r="H581" s="4" t="s">
        <v>20</v>
      </c>
      <c r="I581" s="4" t="s">
        <v>895</v>
      </c>
    </row>
    <row r="582">
      <c r="A582" s="7">
        <v>45593.40696090278</v>
      </c>
      <c r="B582" s="4" t="s">
        <v>2348</v>
      </c>
      <c r="C582" s="4" t="s">
        <v>2349</v>
      </c>
      <c r="D582" s="8" t="s">
        <v>2350</v>
      </c>
      <c r="E582" s="4" t="s">
        <v>2351</v>
      </c>
      <c r="F582" s="4" t="s">
        <v>2352</v>
      </c>
      <c r="G582" s="4" t="s">
        <v>41</v>
      </c>
      <c r="H582" s="4" t="s">
        <v>20</v>
      </c>
      <c r="I582" s="4" t="s">
        <v>2218</v>
      </c>
    </row>
    <row r="583">
      <c r="A583" s="7">
        <v>45593.40769876157</v>
      </c>
      <c r="B583" s="4" t="s">
        <v>2353</v>
      </c>
      <c r="C583" s="4" t="s">
        <v>2349</v>
      </c>
      <c r="D583" s="8" t="s">
        <v>2350</v>
      </c>
      <c r="E583" s="4" t="s">
        <v>2351</v>
      </c>
      <c r="F583" s="4" t="s">
        <v>2354</v>
      </c>
      <c r="G583" s="4" t="s">
        <v>41</v>
      </c>
      <c r="H583" s="4" t="s">
        <v>20</v>
      </c>
      <c r="I583" s="4" t="s">
        <v>2218</v>
      </c>
    </row>
    <row r="584">
      <c r="A584" s="7">
        <v>45593.40916332176</v>
      </c>
      <c r="B584" s="4" t="s">
        <v>2355</v>
      </c>
      <c r="C584" s="4" t="s">
        <v>2356</v>
      </c>
      <c r="D584" s="8" t="s">
        <v>2357</v>
      </c>
      <c r="E584" s="4" t="s">
        <v>345</v>
      </c>
      <c r="F584" s="4" t="s">
        <v>2358</v>
      </c>
      <c r="G584" s="4" t="s">
        <v>32</v>
      </c>
      <c r="H584" s="4" t="s">
        <v>20</v>
      </c>
      <c r="I584" s="4" t="s">
        <v>640</v>
      </c>
    </row>
    <row r="585">
      <c r="A585" s="7">
        <v>45593.41614886574</v>
      </c>
      <c r="B585" s="4" t="s">
        <v>2359</v>
      </c>
      <c r="C585" s="4" t="s">
        <v>2360</v>
      </c>
      <c r="D585" s="8" t="s">
        <v>658</v>
      </c>
      <c r="E585" s="4" t="s">
        <v>284</v>
      </c>
      <c r="F585" s="4" t="s">
        <v>2361</v>
      </c>
      <c r="G585" s="4" t="s">
        <v>54</v>
      </c>
      <c r="H585" s="4" t="s">
        <v>20</v>
      </c>
      <c r="I585" s="4" t="s">
        <v>579</v>
      </c>
    </row>
    <row r="586">
      <c r="A586" s="7">
        <v>45593.418670555555</v>
      </c>
      <c r="B586" s="4" t="s">
        <v>2362</v>
      </c>
      <c r="C586" s="4" t="s">
        <v>2363</v>
      </c>
      <c r="D586" s="8" t="s">
        <v>658</v>
      </c>
      <c r="E586" s="4" t="s">
        <v>284</v>
      </c>
      <c r="F586" s="4" t="s">
        <v>2364</v>
      </c>
      <c r="G586" s="4" t="s">
        <v>54</v>
      </c>
      <c r="H586" s="4" t="s">
        <v>20</v>
      </c>
      <c r="I586" s="4" t="s">
        <v>579</v>
      </c>
    </row>
    <row r="587">
      <c r="A587" s="7">
        <v>45593.42185427083</v>
      </c>
      <c r="B587" s="4" t="s">
        <v>2365</v>
      </c>
      <c r="C587" s="4" t="s">
        <v>2065</v>
      </c>
      <c r="D587" s="8" t="s">
        <v>718</v>
      </c>
      <c r="E587" s="4" t="s">
        <v>2366</v>
      </c>
      <c r="F587" s="4" t="s">
        <v>2367</v>
      </c>
      <c r="G587" s="4" t="s">
        <v>54</v>
      </c>
      <c r="H587" s="4" t="s">
        <v>20</v>
      </c>
      <c r="I587" s="4" t="s">
        <v>2368</v>
      </c>
    </row>
    <row r="588">
      <c r="A588" s="7">
        <v>45593.42542690972</v>
      </c>
      <c r="B588" s="4" t="s">
        <v>752</v>
      </c>
      <c r="C588" s="4" t="s">
        <v>753</v>
      </c>
      <c r="D588" s="8" t="s">
        <v>2369</v>
      </c>
      <c r="E588" s="4" t="s">
        <v>754</v>
      </c>
      <c r="F588" s="4" t="s">
        <v>2370</v>
      </c>
      <c r="G588" s="4" t="s">
        <v>251</v>
      </c>
      <c r="H588" s="4" t="s">
        <v>570</v>
      </c>
      <c r="I588" s="4" t="s">
        <v>428</v>
      </c>
    </row>
    <row r="589">
      <c r="A589" s="7">
        <v>45593.42732096065</v>
      </c>
      <c r="B589" s="4" t="s">
        <v>2371</v>
      </c>
      <c r="C589" s="4" t="s">
        <v>2372</v>
      </c>
      <c r="D589" s="8" t="s">
        <v>2373</v>
      </c>
      <c r="E589" s="4" t="s">
        <v>17</v>
      </c>
      <c r="F589" s="4" t="s">
        <v>2374</v>
      </c>
      <c r="G589" s="4" t="s">
        <v>41</v>
      </c>
      <c r="H589" s="4" t="s">
        <v>20</v>
      </c>
      <c r="I589" s="4" t="s">
        <v>2375</v>
      </c>
    </row>
    <row r="590">
      <c r="A590" s="7">
        <v>45593.42812116898</v>
      </c>
      <c r="B590" s="4" t="s">
        <v>2376</v>
      </c>
      <c r="C590" s="4" t="s">
        <v>2377</v>
      </c>
      <c r="D590" s="8" t="s">
        <v>2378</v>
      </c>
      <c r="E590" s="4" t="s">
        <v>2379</v>
      </c>
      <c r="F590" s="4" t="s">
        <v>2380</v>
      </c>
      <c r="G590" s="4" t="s">
        <v>251</v>
      </c>
      <c r="H590" s="4" t="s">
        <v>20</v>
      </c>
      <c r="I590" s="4" t="s">
        <v>726</v>
      </c>
    </row>
    <row r="591">
      <c r="A591" s="7">
        <v>45593.42998346065</v>
      </c>
      <c r="B591" s="4" t="s">
        <v>2381</v>
      </c>
      <c r="C591" s="4" t="s">
        <v>2382</v>
      </c>
      <c r="D591" s="8" t="s">
        <v>2383</v>
      </c>
      <c r="E591" s="4" t="s">
        <v>517</v>
      </c>
      <c r="F591" s="4" t="s">
        <v>2384</v>
      </c>
      <c r="G591" s="4" t="s">
        <v>54</v>
      </c>
      <c r="H591" s="4" t="s">
        <v>20</v>
      </c>
      <c r="I591" s="4" t="s">
        <v>2385</v>
      </c>
    </row>
    <row r="592">
      <c r="A592" s="7">
        <v>45593.44350530092</v>
      </c>
      <c r="B592" s="4" t="s">
        <v>1506</v>
      </c>
      <c r="C592" s="4" t="s">
        <v>1507</v>
      </c>
      <c r="D592" s="8" t="s">
        <v>1991</v>
      </c>
      <c r="E592" s="4" t="s">
        <v>410</v>
      </c>
      <c r="F592" s="4" t="s">
        <v>1509</v>
      </c>
      <c r="G592" s="4" t="s">
        <v>251</v>
      </c>
      <c r="H592" s="4" t="s">
        <v>570</v>
      </c>
      <c r="I592" s="4" t="s">
        <v>2386</v>
      </c>
    </row>
    <row r="593">
      <c r="A593" s="7">
        <v>45593.444187280096</v>
      </c>
      <c r="B593" s="4" t="s">
        <v>561</v>
      </c>
      <c r="C593" s="4" t="s">
        <v>562</v>
      </c>
      <c r="D593" s="8" t="s">
        <v>2369</v>
      </c>
      <c r="E593" s="4" t="s">
        <v>313</v>
      </c>
      <c r="F593" s="4" t="s">
        <v>564</v>
      </c>
      <c r="G593" s="4" t="s">
        <v>251</v>
      </c>
      <c r="H593" s="4" t="s">
        <v>570</v>
      </c>
      <c r="I593" s="4" t="s">
        <v>565</v>
      </c>
    </row>
    <row r="594">
      <c r="A594" s="7">
        <v>45593.44786320602</v>
      </c>
      <c r="B594" s="4" t="s">
        <v>2387</v>
      </c>
      <c r="C594" s="4" t="s">
        <v>2388</v>
      </c>
      <c r="D594" s="8" t="s">
        <v>2389</v>
      </c>
      <c r="E594" s="4" t="s">
        <v>345</v>
      </c>
      <c r="F594" s="4" t="s">
        <v>2390</v>
      </c>
      <c r="G594" s="4" t="s">
        <v>32</v>
      </c>
      <c r="H594" s="4" t="s">
        <v>20</v>
      </c>
      <c r="I594" s="4" t="s">
        <v>152</v>
      </c>
    </row>
    <row r="595">
      <c r="A595" s="7">
        <v>45593.44889914352</v>
      </c>
      <c r="B595" s="4" t="s">
        <v>2391</v>
      </c>
      <c r="C595" s="4" t="s">
        <v>2392</v>
      </c>
      <c r="D595" s="8" t="s">
        <v>2389</v>
      </c>
      <c r="E595" s="4" t="s">
        <v>345</v>
      </c>
      <c r="F595" s="4" t="s">
        <v>2393</v>
      </c>
      <c r="G595" s="4" t="s">
        <v>32</v>
      </c>
      <c r="H595" s="4" t="s">
        <v>20</v>
      </c>
      <c r="I595" s="4" t="s">
        <v>152</v>
      </c>
    </row>
    <row r="596">
      <c r="A596" s="7">
        <v>45593.47226635416</v>
      </c>
      <c r="B596" s="4" t="s">
        <v>2394</v>
      </c>
      <c r="C596" s="4" t="s">
        <v>2395</v>
      </c>
      <c r="D596" s="4" t="s">
        <v>2396</v>
      </c>
      <c r="E596" s="4" t="s">
        <v>313</v>
      </c>
      <c r="F596" s="4" t="s">
        <v>2397</v>
      </c>
      <c r="G596" s="4" t="s">
        <v>251</v>
      </c>
      <c r="H596" s="4" t="s">
        <v>20</v>
      </c>
      <c r="I596" s="4" t="s">
        <v>406</v>
      </c>
    </row>
    <row r="597">
      <c r="A597" s="7">
        <v>45593.45570349537</v>
      </c>
      <c r="B597" s="4" t="s">
        <v>2398</v>
      </c>
      <c r="C597" s="4" t="s">
        <v>2399</v>
      </c>
      <c r="D597" s="8" t="s">
        <v>2400</v>
      </c>
      <c r="E597" s="4" t="s">
        <v>1276</v>
      </c>
      <c r="F597" s="4" t="s">
        <v>2401</v>
      </c>
      <c r="G597" s="4" t="s">
        <v>19</v>
      </c>
      <c r="H597" s="4" t="s">
        <v>20</v>
      </c>
      <c r="I597" s="4" t="s">
        <v>2402</v>
      </c>
    </row>
    <row r="598">
      <c r="A598" s="7">
        <v>45593.45580652778</v>
      </c>
      <c r="B598" s="4" t="s">
        <v>2403</v>
      </c>
      <c r="C598" s="4" t="s">
        <v>2404</v>
      </c>
      <c r="D598" s="8" t="s">
        <v>2405</v>
      </c>
      <c r="E598" s="4" t="s">
        <v>345</v>
      </c>
      <c r="F598" s="4" t="s">
        <v>2406</v>
      </c>
      <c r="G598" s="4" t="s">
        <v>32</v>
      </c>
      <c r="H598" s="4" t="s">
        <v>20</v>
      </c>
      <c r="I598" s="4" t="s">
        <v>2407</v>
      </c>
    </row>
    <row r="599">
      <c r="A599" s="7">
        <v>45593.47322869213</v>
      </c>
      <c r="B599" s="4" t="s">
        <v>2408</v>
      </c>
      <c r="C599" s="4" t="s">
        <v>2409</v>
      </c>
      <c r="D599" s="8" t="s">
        <v>2410</v>
      </c>
      <c r="E599" s="4" t="s">
        <v>313</v>
      </c>
      <c r="F599" s="4" t="s">
        <v>2411</v>
      </c>
      <c r="G599" s="4" t="s">
        <v>251</v>
      </c>
      <c r="H599" s="4" t="s">
        <v>20</v>
      </c>
      <c r="I599" s="4" t="s">
        <v>690</v>
      </c>
    </row>
    <row r="600">
      <c r="A600" s="7">
        <v>45593.473884189814</v>
      </c>
      <c r="B600" s="4" t="s">
        <v>2412</v>
      </c>
      <c r="C600" s="4" t="s">
        <v>2413</v>
      </c>
      <c r="D600" s="8" t="s">
        <v>2414</v>
      </c>
      <c r="E600" s="4" t="s">
        <v>598</v>
      </c>
      <c r="F600" s="4" t="s">
        <v>1996</v>
      </c>
      <c r="G600" s="4" t="s">
        <v>54</v>
      </c>
      <c r="H600" s="4" t="s">
        <v>20</v>
      </c>
      <c r="I600" s="4" t="s">
        <v>1997</v>
      </c>
    </row>
    <row r="601">
      <c r="A601" s="7">
        <v>45593.475005555556</v>
      </c>
      <c r="B601" s="4" t="s">
        <v>2415</v>
      </c>
      <c r="C601" s="4" t="s">
        <v>2416</v>
      </c>
      <c r="D601" s="8" t="s">
        <v>2414</v>
      </c>
      <c r="E601" s="4" t="s">
        <v>2417</v>
      </c>
      <c r="F601" s="4" t="s">
        <v>2418</v>
      </c>
      <c r="G601" s="4" t="s">
        <v>54</v>
      </c>
      <c r="H601" s="4" t="s">
        <v>20</v>
      </c>
      <c r="I601" s="4" t="s">
        <v>1092</v>
      </c>
    </row>
    <row r="602">
      <c r="A602" s="7">
        <v>45593.49006699074</v>
      </c>
      <c r="B602" s="4" t="s">
        <v>2419</v>
      </c>
      <c r="C602" s="4" t="s">
        <v>2420</v>
      </c>
      <c r="D602" s="8" t="s">
        <v>2422</v>
      </c>
      <c r="E602" s="4" t="s">
        <v>410</v>
      </c>
      <c r="F602" s="4" t="s">
        <v>2423</v>
      </c>
      <c r="G602" s="4" t="s">
        <v>251</v>
      </c>
      <c r="H602" s="4" t="s">
        <v>20</v>
      </c>
      <c r="I602" s="4" t="s">
        <v>682</v>
      </c>
    </row>
    <row r="603">
      <c r="A603" s="7">
        <v>45593.561079861116</v>
      </c>
      <c r="B603" s="4" t="s">
        <v>2424</v>
      </c>
      <c r="C603" s="4" t="s">
        <v>2425</v>
      </c>
      <c r="D603" s="8" t="s">
        <v>2426</v>
      </c>
      <c r="E603" s="4" t="s">
        <v>78</v>
      </c>
      <c r="F603" s="4" t="s">
        <v>2427</v>
      </c>
      <c r="G603" s="4" t="s">
        <v>32</v>
      </c>
      <c r="H603" s="4" t="s">
        <v>20</v>
      </c>
      <c r="I603" s="4" t="s">
        <v>1502</v>
      </c>
    </row>
    <row r="604">
      <c r="A604" s="7">
        <v>45593.56179222222</v>
      </c>
      <c r="B604" s="4" t="s">
        <v>2429</v>
      </c>
      <c r="C604" s="4" t="s">
        <v>2430</v>
      </c>
      <c r="D604" s="8" t="s">
        <v>2431</v>
      </c>
      <c r="E604" s="4" t="s">
        <v>17</v>
      </c>
      <c r="F604" s="4" t="s">
        <v>2432</v>
      </c>
      <c r="G604" s="4" t="s">
        <v>41</v>
      </c>
      <c r="H604" s="4" t="s">
        <v>20</v>
      </c>
      <c r="I604" s="4" t="s">
        <v>1502</v>
      </c>
    </row>
    <row r="605">
      <c r="A605" s="7">
        <v>45593.562247800925</v>
      </c>
      <c r="B605" s="4" t="s">
        <v>2434</v>
      </c>
      <c r="C605" s="4" t="s">
        <v>2435</v>
      </c>
      <c r="D605" s="8" t="s">
        <v>150</v>
      </c>
      <c r="E605" s="4" t="s">
        <v>345</v>
      </c>
      <c r="F605" s="4" t="s">
        <v>2436</v>
      </c>
      <c r="G605" s="4" t="s">
        <v>54</v>
      </c>
      <c r="H605" s="4" t="s">
        <v>20</v>
      </c>
      <c r="I605" s="4" t="s">
        <v>315</v>
      </c>
    </row>
    <row r="606">
      <c r="A606" s="7">
        <v>45593.57287230324</v>
      </c>
      <c r="B606" s="4" t="s">
        <v>2437</v>
      </c>
      <c r="C606" s="4" t="s">
        <v>2438</v>
      </c>
      <c r="D606" s="8" t="s">
        <v>2439</v>
      </c>
      <c r="E606" s="4" t="s">
        <v>173</v>
      </c>
      <c r="F606" s="4" t="s">
        <v>2440</v>
      </c>
      <c r="G606" s="4" t="s">
        <v>41</v>
      </c>
      <c r="H606" s="4" t="s">
        <v>20</v>
      </c>
      <c r="I606" s="4" t="s">
        <v>494</v>
      </c>
    </row>
    <row r="607">
      <c r="A607" s="7">
        <v>45593.575709490746</v>
      </c>
      <c r="B607" s="4" t="s">
        <v>2441</v>
      </c>
      <c r="C607" s="4" t="s">
        <v>2438</v>
      </c>
      <c r="D607" s="8" t="s">
        <v>2439</v>
      </c>
      <c r="E607" s="4" t="s">
        <v>173</v>
      </c>
      <c r="F607" s="4" t="s">
        <v>2442</v>
      </c>
      <c r="G607" s="4" t="s">
        <v>41</v>
      </c>
      <c r="H607" s="4" t="s">
        <v>20</v>
      </c>
      <c r="I607" s="4" t="s">
        <v>494</v>
      </c>
    </row>
    <row r="608">
      <c r="A608" s="7">
        <v>45593.58049028935</v>
      </c>
      <c r="B608" s="4" t="s">
        <v>2443</v>
      </c>
      <c r="C608" s="4" t="s">
        <v>2444</v>
      </c>
      <c r="D608" s="4" t="s">
        <v>2341</v>
      </c>
      <c r="E608" s="4" t="s">
        <v>345</v>
      </c>
      <c r="F608" s="4" t="s">
        <v>2445</v>
      </c>
      <c r="G608" s="4" t="s">
        <v>32</v>
      </c>
      <c r="H608" s="4" t="s">
        <v>20</v>
      </c>
      <c r="I608" s="4" t="s">
        <v>144</v>
      </c>
    </row>
    <row r="609">
      <c r="A609" s="7">
        <v>45593.5809753125</v>
      </c>
      <c r="B609" s="4" t="s">
        <v>2446</v>
      </c>
      <c r="C609" s="4" t="s">
        <v>1053</v>
      </c>
      <c r="D609" s="8" t="s">
        <v>1054</v>
      </c>
      <c r="E609" s="4" t="s">
        <v>410</v>
      </c>
      <c r="F609" s="4" t="s">
        <v>2447</v>
      </c>
      <c r="G609" s="4" t="s">
        <v>54</v>
      </c>
      <c r="H609" s="4" t="s">
        <v>20</v>
      </c>
      <c r="I609" s="4" t="s">
        <v>1575</v>
      </c>
    </row>
    <row r="610">
      <c r="A610" s="7">
        <v>45593.58325077547</v>
      </c>
      <c r="B610" s="4" t="s">
        <v>2448</v>
      </c>
      <c r="C610" s="4" t="s">
        <v>2449</v>
      </c>
      <c r="D610" s="8" t="s">
        <v>1095</v>
      </c>
      <c r="E610" s="4" t="s">
        <v>313</v>
      </c>
      <c r="F610" s="4" t="s">
        <v>2450</v>
      </c>
      <c r="G610" s="4" t="s">
        <v>251</v>
      </c>
      <c r="H610" s="4" t="s">
        <v>20</v>
      </c>
      <c r="I610" s="4" t="s">
        <v>690</v>
      </c>
    </row>
    <row r="611">
      <c r="A611" s="7">
        <v>45593.58716060185</v>
      </c>
      <c r="B611" s="4" t="s">
        <v>160</v>
      </c>
      <c r="C611" s="4" t="s">
        <v>2451</v>
      </c>
      <c r="D611" s="8" t="s">
        <v>162</v>
      </c>
      <c r="E611" s="4" t="s">
        <v>1527</v>
      </c>
      <c r="F611" s="4" t="s">
        <v>2452</v>
      </c>
      <c r="G611" s="4" t="s">
        <v>54</v>
      </c>
      <c r="H611" s="4" t="s">
        <v>570</v>
      </c>
      <c r="I611" s="4" t="s">
        <v>1924</v>
      </c>
    </row>
    <row r="612">
      <c r="A612" s="7">
        <v>45593.59300625</v>
      </c>
      <c r="B612" s="4" t="s">
        <v>2453</v>
      </c>
      <c r="C612" s="4" t="s">
        <v>2454</v>
      </c>
      <c r="D612" s="8" t="s">
        <v>2455</v>
      </c>
      <c r="E612" s="4" t="s">
        <v>59</v>
      </c>
      <c r="F612" s="4" t="s">
        <v>2456</v>
      </c>
      <c r="G612" s="4" t="s">
        <v>54</v>
      </c>
      <c r="H612" s="4" t="s">
        <v>20</v>
      </c>
      <c r="I612" s="4" t="s">
        <v>815</v>
      </c>
    </row>
    <row r="613">
      <c r="A613" s="7">
        <v>45593.60349105324</v>
      </c>
      <c r="B613" s="4" t="s">
        <v>1161</v>
      </c>
      <c r="C613" s="4" t="s">
        <v>2457</v>
      </c>
      <c r="D613" s="4" t="s">
        <v>2458</v>
      </c>
      <c r="E613" s="4" t="s">
        <v>653</v>
      </c>
      <c r="F613" s="4" t="s">
        <v>1163</v>
      </c>
      <c r="G613" s="4" t="s">
        <v>54</v>
      </c>
      <c r="H613" s="4" t="s">
        <v>570</v>
      </c>
      <c r="I613" s="4" t="s">
        <v>1164</v>
      </c>
    </row>
    <row r="614">
      <c r="A614" s="7">
        <v>45593.60364971065</v>
      </c>
      <c r="B614" s="4" t="s">
        <v>2459</v>
      </c>
      <c r="C614" s="4" t="s">
        <v>2460</v>
      </c>
      <c r="D614" s="4" t="s">
        <v>884</v>
      </c>
      <c r="E614" s="4" t="s">
        <v>345</v>
      </c>
      <c r="F614" s="4" t="s">
        <v>2461</v>
      </c>
      <c r="G614" s="4" t="s">
        <v>32</v>
      </c>
      <c r="H614" s="4" t="s">
        <v>20</v>
      </c>
      <c r="I614" s="4" t="s">
        <v>308</v>
      </c>
    </row>
    <row r="615">
      <c r="A615" s="7">
        <v>45593.60449452546</v>
      </c>
      <c r="B615" s="4" t="s">
        <v>1634</v>
      </c>
      <c r="C615" s="4" t="s">
        <v>2462</v>
      </c>
      <c r="D615" s="4" t="s">
        <v>1947</v>
      </c>
      <c r="E615" s="4" t="s">
        <v>313</v>
      </c>
      <c r="F615" s="4" t="s">
        <v>1636</v>
      </c>
      <c r="G615" s="4" t="s">
        <v>54</v>
      </c>
      <c r="H615" s="4" t="s">
        <v>570</v>
      </c>
      <c r="I615" s="4" t="s">
        <v>721</v>
      </c>
    </row>
    <row r="616">
      <c r="A616" s="7">
        <v>45593.60859127315</v>
      </c>
      <c r="B616" s="4" t="s">
        <v>2463</v>
      </c>
      <c r="C616" s="4" t="s">
        <v>2464</v>
      </c>
      <c r="D616" s="4" t="s">
        <v>884</v>
      </c>
      <c r="E616" s="4" t="s">
        <v>78</v>
      </c>
      <c r="F616" s="4" t="s">
        <v>2465</v>
      </c>
      <c r="G616" s="4" t="s">
        <v>32</v>
      </c>
      <c r="H616" s="4" t="s">
        <v>20</v>
      </c>
      <c r="I616" s="4" t="s">
        <v>2466</v>
      </c>
    </row>
    <row r="617">
      <c r="A617" s="7">
        <v>45593.60938974537</v>
      </c>
      <c r="B617" s="4" t="s">
        <v>2467</v>
      </c>
      <c r="C617" s="4" t="s">
        <v>2468</v>
      </c>
      <c r="D617" s="4" t="s">
        <v>884</v>
      </c>
      <c r="E617" s="4" t="s">
        <v>78</v>
      </c>
      <c r="F617" s="4" t="s">
        <v>2469</v>
      </c>
      <c r="G617" s="4" t="s">
        <v>32</v>
      </c>
      <c r="H617" s="4" t="s">
        <v>20</v>
      </c>
      <c r="I617" s="4" t="s">
        <v>42</v>
      </c>
    </row>
    <row r="618">
      <c r="A618" s="7">
        <v>45593.611443229165</v>
      </c>
      <c r="B618" s="4" t="s">
        <v>2470</v>
      </c>
      <c r="C618" s="4" t="s">
        <v>2471</v>
      </c>
      <c r="D618" s="4" t="s">
        <v>2472</v>
      </c>
      <c r="E618" s="4" t="s">
        <v>345</v>
      </c>
      <c r="F618" s="4" t="s">
        <v>921</v>
      </c>
      <c r="G618" s="4" t="s">
        <v>54</v>
      </c>
      <c r="H618" s="4" t="s">
        <v>20</v>
      </c>
      <c r="I618" s="4" t="s">
        <v>922</v>
      </c>
    </row>
    <row r="619">
      <c r="A619" s="7">
        <v>45593.61377707176</v>
      </c>
      <c r="B619" s="4" t="s">
        <v>2473</v>
      </c>
      <c r="C619" s="4" t="s">
        <v>2474</v>
      </c>
      <c r="D619" s="4" t="s">
        <v>2472</v>
      </c>
      <c r="E619" s="4" t="s">
        <v>1039</v>
      </c>
      <c r="F619" s="4" t="s">
        <v>2475</v>
      </c>
      <c r="G619" s="4" t="s">
        <v>54</v>
      </c>
      <c r="H619" s="4" t="s">
        <v>20</v>
      </c>
      <c r="I619" s="4" t="s">
        <v>1570</v>
      </c>
    </row>
    <row r="620">
      <c r="A620" s="7">
        <v>45593.62142403935</v>
      </c>
      <c r="B620" s="4" t="s">
        <v>2476</v>
      </c>
      <c r="C620" s="4" t="s">
        <v>2477</v>
      </c>
      <c r="D620" s="8" t="s">
        <v>2478</v>
      </c>
      <c r="E620" s="4" t="s">
        <v>2479</v>
      </c>
      <c r="F620" s="4" t="s">
        <v>2480</v>
      </c>
      <c r="G620" s="4" t="s">
        <v>251</v>
      </c>
      <c r="H620" s="4" t="s">
        <v>20</v>
      </c>
      <c r="I620" s="4" t="s">
        <v>2481</v>
      </c>
    </row>
    <row r="621">
      <c r="A621" s="7">
        <v>45593.62652362269</v>
      </c>
      <c r="B621" s="4" t="s">
        <v>199</v>
      </c>
      <c r="C621" s="4" t="s">
        <v>1231</v>
      </c>
      <c r="D621" s="8" t="s">
        <v>1991</v>
      </c>
      <c r="E621" s="4" t="s">
        <v>313</v>
      </c>
      <c r="F621" s="4" t="s">
        <v>1232</v>
      </c>
      <c r="G621" s="4" t="s">
        <v>251</v>
      </c>
      <c r="H621" s="4" t="s">
        <v>570</v>
      </c>
      <c r="I621" s="4" t="s">
        <v>1086</v>
      </c>
    </row>
    <row r="622">
      <c r="A622" s="7">
        <v>45593.62745636574</v>
      </c>
      <c r="B622" s="4" t="s">
        <v>1149</v>
      </c>
      <c r="C622" s="4" t="s">
        <v>1150</v>
      </c>
      <c r="D622" s="8" t="s">
        <v>1991</v>
      </c>
      <c r="E622" s="4" t="s">
        <v>666</v>
      </c>
      <c r="F622" s="4" t="s">
        <v>2482</v>
      </c>
      <c r="G622" s="4" t="s">
        <v>251</v>
      </c>
      <c r="H622" s="4" t="s">
        <v>570</v>
      </c>
      <c r="I622" s="4" t="s">
        <v>2483</v>
      </c>
    </row>
    <row r="623">
      <c r="A623" s="7">
        <v>45593.667010624995</v>
      </c>
      <c r="B623" s="4" t="s">
        <v>2484</v>
      </c>
      <c r="C623" s="4" t="s">
        <v>2485</v>
      </c>
      <c r="D623" s="4" t="s">
        <v>238</v>
      </c>
      <c r="E623" s="4" t="s">
        <v>2486</v>
      </c>
      <c r="F623" s="4" t="s">
        <v>2487</v>
      </c>
      <c r="G623" s="4" t="s">
        <v>32</v>
      </c>
      <c r="H623" s="4" t="s">
        <v>20</v>
      </c>
      <c r="I623" s="4" t="s">
        <v>279</v>
      </c>
    </row>
    <row r="624">
      <c r="A624" s="7">
        <v>45593.66777597222</v>
      </c>
      <c r="B624" s="4" t="s">
        <v>2488</v>
      </c>
      <c r="C624" s="4" t="s">
        <v>2489</v>
      </c>
      <c r="D624" s="4" t="s">
        <v>238</v>
      </c>
      <c r="E624" s="4" t="s">
        <v>345</v>
      </c>
      <c r="F624" s="4" t="s">
        <v>2490</v>
      </c>
      <c r="G624" s="4" t="s">
        <v>32</v>
      </c>
      <c r="H624" s="4" t="s">
        <v>20</v>
      </c>
      <c r="I624" s="4" t="s">
        <v>279</v>
      </c>
    </row>
    <row r="625">
      <c r="A625" s="7">
        <v>45594.37286224537</v>
      </c>
      <c r="B625" s="4" t="s">
        <v>2491</v>
      </c>
      <c r="C625" s="4" t="s">
        <v>2492</v>
      </c>
      <c r="D625" s="8" t="s">
        <v>2493</v>
      </c>
      <c r="E625" s="4" t="s">
        <v>2494</v>
      </c>
      <c r="F625" s="4" t="s">
        <v>2495</v>
      </c>
      <c r="G625" s="4" t="s">
        <v>19</v>
      </c>
      <c r="H625" s="4" t="s">
        <v>20</v>
      </c>
      <c r="I625" s="4" t="s">
        <v>190</v>
      </c>
    </row>
    <row r="626">
      <c r="A626" s="7">
        <v>45594.38542006945</v>
      </c>
      <c r="B626" s="4" t="s">
        <v>2496</v>
      </c>
      <c r="C626" s="4" t="s">
        <v>2497</v>
      </c>
      <c r="D626" s="8" t="s">
        <v>2498</v>
      </c>
      <c r="E626" s="4" t="s">
        <v>17</v>
      </c>
      <c r="F626" s="4" t="s">
        <v>2499</v>
      </c>
      <c r="G626" s="4" t="s">
        <v>19</v>
      </c>
      <c r="H626" s="4" t="s">
        <v>20</v>
      </c>
      <c r="I626" s="4" t="s">
        <v>2500</v>
      </c>
    </row>
    <row r="627">
      <c r="A627" s="7">
        <v>45594.399443726856</v>
      </c>
      <c r="B627" s="4" t="s">
        <v>2501</v>
      </c>
      <c r="C627" s="4" t="s">
        <v>2502</v>
      </c>
      <c r="D627" s="8" t="s">
        <v>2503</v>
      </c>
      <c r="E627" s="4" t="s">
        <v>404</v>
      </c>
      <c r="F627" s="4" t="s">
        <v>2504</v>
      </c>
      <c r="G627" s="4" t="s">
        <v>251</v>
      </c>
      <c r="H627" s="4" t="s">
        <v>20</v>
      </c>
      <c r="I627" s="4" t="s">
        <v>2048</v>
      </c>
    </row>
    <row r="628">
      <c r="A628" s="7">
        <v>45594.41118762732</v>
      </c>
      <c r="B628" s="4" t="s">
        <v>1604</v>
      </c>
      <c r="C628" s="4" t="s">
        <v>2505</v>
      </c>
      <c r="D628" s="8" t="s">
        <v>2088</v>
      </c>
      <c r="E628" s="4" t="s">
        <v>313</v>
      </c>
      <c r="F628" s="4" t="s">
        <v>2506</v>
      </c>
      <c r="G628" s="4" t="s">
        <v>251</v>
      </c>
      <c r="H628" s="4" t="s">
        <v>570</v>
      </c>
      <c r="I628" s="4" t="s">
        <v>1536</v>
      </c>
    </row>
    <row r="629">
      <c r="A629" s="7">
        <v>45594.41706908565</v>
      </c>
      <c r="B629" s="4" t="s">
        <v>739</v>
      </c>
      <c r="C629" s="4" t="s">
        <v>2507</v>
      </c>
      <c r="D629" s="8" t="s">
        <v>741</v>
      </c>
      <c r="E629" s="4" t="s">
        <v>2508</v>
      </c>
      <c r="F629" s="4" t="s">
        <v>742</v>
      </c>
      <c r="G629" s="4" t="s">
        <v>54</v>
      </c>
      <c r="H629" s="4" t="s">
        <v>570</v>
      </c>
      <c r="I629" s="4" t="s">
        <v>565</v>
      </c>
    </row>
    <row r="630">
      <c r="A630" s="7">
        <v>45594.42177299768</v>
      </c>
      <c r="B630" s="4" t="s">
        <v>2509</v>
      </c>
      <c r="C630" s="4" t="s">
        <v>2510</v>
      </c>
      <c r="D630" s="4" t="s">
        <v>2511</v>
      </c>
      <c r="E630" s="4" t="s">
        <v>313</v>
      </c>
      <c r="F630" s="4" t="s">
        <v>2512</v>
      </c>
      <c r="G630" s="4" t="s">
        <v>251</v>
      </c>
      <c r="H630" s="4" t="s">
        <v>20</v>
      </c>
      <c r="I630" s="4" t="s">
        <v>489</v>
      </c>
    </row>
    <row r="631">
      <c r="A631" s="7">
        <v>45594.42349261574</v>
      </c>
      <c r="B631" s="4" t="s">
        <v>2513</v>
      </c>
      <c r="C631" s="4" t="s">
        <v>2514</v>
      </c>
      <c r="D631" s="4" t="s">
        <v>2341</v>
      </c>
      <c r="E631" s="4" t="s">
        <v>345</v>
      </c>
      <c r="F631" s="4" t="s">
        <v>2515</v>
      </c>
      <c r="G631" s="4" t="s">
        <v>32</v>
      </c>
      <c r="H631" s="4" t="s">
        <v>20</v>
      </c>
      <c r="I631" s="4" t="s">
        <v>356</v>
      </c>
    </row>
    <row r="632">
      <c r="A632" s="7">
        <v>45594.42791020834</v>
      </c>
      <c r="B632" s="4" t="s">
        <v>2516</v>
      </c>
      <c r="C632" s="4" t="s">
        <v>2517</v>
      </c>
      <c r="D632" s="4" t="s">
        <v>373</v>
      </c>
      <c r="E632" s="4" t="s">
        <v>1864</v>
      </c>
      <c r="F632" s="4" t="s">
        <v>2518</v>
      </c>
      <c r="G632" s="4" t="s">
        <v>54</v>
      </c>
      <c r="H632" s="4" t="s">
        <v>20</v>
      </c>
      <c r="I632" s="4" t="s">
        <v>2519</v>
      </c>
    </row>
    <row r="633">
      <c r="A633" s="7">
        <v>45594.428174016204</v>
      </c>
      <c r="B633" s="4" t="s">
        <v>2520</v>
      </c>
      <c r="C633" s="4" t="s">
        <v>2521</v>
      </c>
      <c r="D633" s="4" t="s">
        <v>527</v>
      </c>
      <c r="E633" s="4" t="s">
        <v>1952</v>
      </c>
      <c r="F633" s="4" t="s">
        <v>2522</v>
      </c>
      <c r="G633" s="4" t="s">
        <v>32</v>
      </c>
      <c r="H633" s="4" t="s">
        <v>20</v>
      </c>
      <c r="I633" s="4" t="s">
        <v>593</v>
      </c>
    </row>
    <row r="634">
      <c r="A634" s="7">
        <v>45594.42928040509</v>
      </c>
      <c r="B634" s="4" t="s">
        <v>2523</v>
      </c>
      <c r="C634" s="4" t="s">
        <v>2524</v>
      </c>
      <c r="D634" s="8" t="s">
        <v>262</v>
      </c>
      <c r="E634" s="4" t="s">
        <v>956</v>
      </c>
      <c r="F634" s="4" t="s">
        <v>2525</v>
      </c>
      <c r="G634" s="4" t="s">
        <v>32</v>
      </c>
      <c r="H634" s="4" t="s">
        <v>20</v>
      </c>
      <c r="I634" s="4" t="s">
        <v>272</v>
      </c>
    </row>
    <row r="635">
      <c r="A635" s="7">
        <v>45594.43112872685</v>
      </c>
      <c r="B635" s="4" t="s">
        <v>2526</v>
      </c>
      <c r="C635" s="4" t="s">
        <v>2527</v>
      </c>
      <c r="D635" s="4" t="s">
        <v>373</v>
      </c>
      <c r="E635" s="4" t="s">
        <v>2528</v>
      </c>
      <c r="F635" s="4" t="s">
        <v>2529</v>
      </c>
      <c r="G635" s="4" t="s">
        <v>54</v>
      </c>
      <c r="H635" s="4" t="s">
        <v>20</v>
      </c>
      <c r="I635" s="4" t="s">
        <v>690</v>
      </c>
    </row>
    <row r="636">
      <c r="A636" s="7">
        <v>45594.43415527778</v>
      </c>
      <c r="B636" s="4" t="s">
        <v>2530</v>
      </c>
      <c r="C636" s="4" t="s">
        <v>2531</v>
      </c>
      <c r="D636" s="8" t="s">
        <v>262</v>
      </c>
      <c r="E636" s="4" t="s">
        <v>17</v>
      </c>
      <c r="F636" s="4" t="s">
        <v>2533</v>
      </c>
      <c r="G636" s="4" t="s">
        <v>32</v>
      </c>
      <c r="H636" s="4" t="s">
        <v>20</v>
      </c>
      <c r="I636" s="4" t="s">
        <v>222</v>
      </c>
    </row>
    <row r="637">
      <c r="A637" s="7">
        <v>45594.45209274306</v>
      </c>
      <c r="B637" s="4" t="s">
        <v>2534</v>
      </c>
      <c r="C637" s="4" t="s">
        <v>2535</v>
      </c>
      <c r="D637" s="4" t="s">
        <v>2536</v>
      </c>
      <c r="E637" s="4" t="s">
        <v>2537</v>
      </c>
      <c r="F637" s="4" t="s">
        <v>2538</v>
      </c>
      <c r="G637" s="4" t="s">
        <v>54</v>
      </c>
      <c r="H637" s="4" t="s">
        <v>20</v>
      </c>
      <c r="I637" s="4" t="s">
        <v>2539</v>
      </c>
    </row>
    <row r="638">
      <c r="A638" s="7">
        <v>45594.454893449074</v>
      </c>
      <c r="B638" s="4" t="s">
        <v>840</v>
      </c>
      <c r="C638" s="4" t="s">
        <v>841</v>
      </c>
      <c r="D638" s="8" t="s">
        <v>2369</v>
      </c>
      <c r="E638" s="4" t="s">
        <v>313</v>
      </c>
      <c r="F638" s="4" t="s">
        <v>2540</v>
      </c>
      <c r="G638" s="4" t="s">
        <v>251</v>
      </c>
      <c r="H638" s="4" t="s">
        <v>570</v>
      </c>
      <c r="I638" s="4" t="s">
        <v>2541</v>
      </c>
    </row>
    <row r="639">
      <c r="A639" s="7">
        <v>45594.46594539352</v>
      </c>
      <c r="B639" s="4" t="s">
        <v>2542</v>
      </c>
      <c r="C639" s="4" t="s">
        <v>2543</v>
      </c>
      <c r="D639" s="8" t="s">
        <v>2544</v>
      </c>
      <c r="E639" s="4" t="s">
        <v>173</v>
      </c>
      <c r="F639" s="4" t="s">
        <v>2545</v>
      </c>
      <c r="G639" s="4" t="s">
        <v>54</v>
      </c>
      <c r="H639" s="4" t="s">
        <v>20</v>
      </c>
      <c r="I639" s="4" t="s">
        <v>1367</v>
      </c>
    </row>
    <row r="640">
      <c r="A640" s="7">
        <v>45594.47250549769</v>
      </c>
      <c r="B640" s="4" t="s">
        <v>2546</v>
      </c>
      <c r="C640" s="4" t="s">
        <v>2547</v>
      </c>
      <c r="D640" s="4" t="s">
        <v>1500</v>
      </c>
      <c r="E640" s="4" t="s">
        <v>2486</v>
      </c>
      <c r="F640" s="4" t="s">
        <v>2548</v>
      </c>
      <c r="G640" s="4" t="s">
        <v>32</v>
      </c>
      <c r="H640" s="4" t="s">
        <v>20</v>
      </c>
      <c r="I640" s="4" t="s">
        <v>2218</v>
      </c>
    </row>
    <row r="641">
      <c r="A641" s="7">
        <v>45594.473472812504</v>
      </c>
      <c r="B641" s="4" t="s">
        <v>2549</v>
      </c>
      <c r="C641" s="4" t="s">
        <v>2550</v>
      </c>
      <c r="D641" s="4" t="s">
        <v>1500</v>
      </c>
      <c r="E641" s="4" t="s">
        <v>528</v>
      </c>
      <c r="F641" s="4" t="s">
        <v>2551</v>
      </c>
      <c r="G641" s="4" t="s">
        <v>32</v>
      </c>
      <c r="H641" s="4" t="s">
        <v>20</v>
      </c>
      <c r="I641" s="4" t="s">
        <v>686</v>
      </c>
    </row>
    <row r="642">
      <c r="A642" s="7">
        <v>45594.48087980324</v>
      </c>
      <c r="B642" s="4" t="s">
        <v>2552</v>
      </c>
      <c r="C642" s="4" t="s">
        <v>2553</v>
      </c>
      <c r="D642" s="8" t="s">
        <v>2554</v>
      </c>
      <c r="E642" s="4" t="s">
        <v>313</v>
      </c>
      <c r="F642" s="4" t="s">
        <v>2555</v>
      </c>
      <c r="G642" s="4" t="s">
        <v>251</v>
      </c>
      <c r="H642" s="4" t="s">
        <v>20</v>
      </c>
      <c r="I642" s="4" t="s">
        <v>2556</v>
      </c>
    </row>
    <row r="643">
      <c r="A643" s="7">
        <v>45594.4820443287</v>
      </c>
      <c r="B643" s="4" t="s">
        <v>2558</v>
      </c>
      <c r="C643" s="4" t="s">
        <v>2559</v>
      </c>
      <c r="D643" s="8" t="s">
        <v>2560</v>
      </c>
      <c r="E643" s="4" t="s">
        <v>17</v>
      </c>
      <c r="F643" s="4" t="s">
        <v>2561</v>
      </c>
      <c r="G643" s="4" t="s">
        <v>41</v>
      </c>
      <c r="H643" s="4" t="s">
        <v>20</v>
      </c>
      <c r="I643" s="4" t="s">
        <v>375</v>
      </c>
    </row>
    <row r="644">
      <c r="A644" s="7">
        <v>45594.49731880787</v>
      </c>
      <c r="B644" s="4" t="s">
        <v>2562</v>
      </c>
      <c r="C644" s="4" t="s">
        <v>2563</v>
      </c>
      <c r="D644" s="8" t="s">
        <v>1520</v>
      </c>
      <c r="E644" s="4" t="s">
        <v>345</v>
      </c>
      <c r="F644" s="4" t="s">
        <v>2564</v>
      </c>
      <c r="G644" s="4" t="s">
        <v>54</v>
      </c>
      <c r="H644" s="4" t="s">
        <v>20</v>
      </c>
      <c r="I644" s="4" t="s">
        <v>1086</v>
      </c>
    </row>
    <row r="645">
      <c r="A645" s="7">
        <v>45594.49441900463</v>
      </c>
      <c r="B645" s="4" t="s">
        <v>2565</v>
      </c>
      <c r="C645" s="4" t="s">
        <v>2566</v>
      </c>
      <c r="D645" s="8" t="s">
        <v>2567</v>
      </c>
      <c r="E645" s="4" t="s">
        <v>2568</v>
      </c>
      <c r="F645" s="4" t="s">
        <v>2569</v>
      </c>
      <c r="G645" s="4" t="s">
        <v>251</v>
      </c>
      <c r="H645" s="4" t="s">
        <v>20</v>
      </c>
      <c r="I645" s="4" t="s">
        <v>2570</v>
      </c>
    </row>
    <row r="646">
      <c r="A646" s="7">
        <v>45594.49856221065</v>
      </c>
      <c r="B646" s="4" t="s">
        <v>2571</v>
      </c>
      <c r="C646" s="4" t="s">
        <v>2572</v>
      </c>
      <c r="D646" s="4" t="s">
        <v>326</v>
      </c>
      <c r="E646" s="4" t="s">
        <v>404</v>
      </c>
      <c r="F646" s="4" t="s">
        <v>2573</v>
      </c>
      <c r="G646" s="4" t="s">
        <v>251</v>
      </c>
      <c r="H646" s="4" t="s">
        <v>20</v>
      </c>
      <c r="I646" s="4" t="s">
        <v>1367</v>
      </c>
    </row>
    <row r="647">
      <c r="A647" s="7">
        <v>45594.5550884375</v>
      </c>
      <c r="B647" s="4" t="s">
        <v>2574</v>
      </c>
      <c r="C647" s="4" t="s">
        <v>2575</v>
      </c>
      <c r="D647" s="8" t="s">
        <v>1578</v>
      </c>
      <c r="E647" s="4" t="s">
        <v>930</v>
      </c>
      <c r="F647" s="4" t="s">
        <v>2576</v>
      </c>
      <c r="G647" s="4" t="s">
        <v>54</v>
      </c>
      <c r="H647" s="4" t="s">
        <v>20</v>
      </c>
      <c r="I647" s="4" t="s">
        <v>579</v>
      </c>
    </row>
    <row r="648">
      <c r="A648" s="7">
        <v>45594.56794226852</v>
      </c>
      <c r="B648" s="4" t="s">
        <v>2577</v>
      </c>
      <c r="C648" s="4" t="s">
        <v>2578</v>
      </c>
      <c r="D648" s="8" t="s">
        <v>2579</v>
      </c>
      <c r="E648" s="4" t="s">
        <v>17</v>
      </c>
      <c r="F648" s="4" t="s">
        <v>2580</v>
      </c>
      <c r="G648" s="4" t="s">
        <v>41</v>
      </c>
      <c r="H648" s="4" t="s">
        <v>20</v>
      </c>
      <c r="I648" s="4" t="s">
        <v>165</v>
      </c>
    </row>
    <row r="649">
      <c r="A649" s="7">
        <v>45594.57120435185</v>
      </c>
      <c r="B649" s="4" t="s">
        <v>2581</v>
      </c>
      <c r="C649" s="4" t="s">
        <v>2582</v>
      </c>
      <c r="D649" s="4" t="s">
        <v>1151</v>
      </c>
      <c r="E649" s="4" t="s">
        <v>410</v>
      </c>
      <c r="F649" s="4" t="s">
        <v>2583</v>
      </c>
      <c r="G649" s="4" t="s">
        <v>251</v>
      </c>
      <c r="H649" s="4" t="s">
        <v>20</v>
      </c>
      <c r="I649" s="4" t="s">
        <v>922</v>
      </c>
    </row>
    <row r="650">
      <c r="A650" s="7">
        <v>45594.57177023149</v>
      </c>
      <c r="B650" s="4" t="s">
        <v>2584</v>
      </c>
      <c r="C650" s="4" t="s">
        <v>2585</v>
      </c>
      <c r="D650" s="4" t="s">
        <v>1151</v>
      </c>
      <c r="E650" s="4" t="s">
        <v>410</v>
      </c>
      <c r="F650" s="4" t="s">
        <v>2586</v>
      </c>
      <c r="G650" s="4" t="s">
        <v>251</v>
      </c>
      <c r="H650" s="4" t="s">
        <v>20</v>
      </c>
      <c r="I650" s="4" t="s">
        <v>922</v>
      </c>
    </row>
    <row r="651">
      <c r="A651" s="7">
        <v>45594.575026631945</v>
      </c>
      <c r="B651" s="4" t="s">
        <v>2587</v>
      </c>
      <c r="C651" s="4" t="s">
        <v>2588</v>
      </c>
      <c r="D651" s="4" t="s">
        <v>2589</v>
      </c>
      <c r="E651" s="4" t="s">
        <v>345</v>
      </c>
      <c r="F651" s="4" t="s">
        <v>2590</v>
      </c>
      <c r="G651" s="4" t="s">
        <v>32</v>
      </c>
      <c r="H651" s="4" t="s">
        <v>20</v>
      </c>
      <c r="I651" s="4" t="s">
        <v>2591</v>
      </c>
    </row>
    <row r="652">
      <c r="A652" s="7">
        <v>45594.57554122685</v>
      </c>
      <c r="B652" s="4" t="s">
        <v>1637</v>
      </c>
      <c r="C652" s="4" t="s">
        <v>1638</v>
      </c>
      <c r="D652" s="8" t="s">
        <v>1991</v>
      </c>
      <c r="E652" s="4" t="s">
        <v>313</v>
      </c>
      <c r="F652" s="4" t="s">
        <v>2592</v>
      </c>
      <c r="G652" s="4" t="s">
        <v>251</v>
      </c>
      <c r="H652" s="4" t="s">
        <v>570</v>
      </c>
      <c r="I652" s="4" t="s">
        <v>2593</v>
      </c>
    </row>
    <row r="653">
      <c r="A653" s="7">
        <v>45594.575980243055</v>
      </c>
      <c r="B653" s="4" t="s">
        <v>1563</v>
      </c>
      <c r="C653" s="4" t="s">
        <v>2594</v>
      </c>
      <c r="D653" s="4" t="s">
        <v>2595</v>
      </c>
      <c r="E653" s="4" t="s">
        <v>284</v>
      </c>
      <c r="F653" s="4" t="s">
        <v>1565</v>
      </c>
      <c r="G653" s="4" t="s">
        <v>54</v>
      </c>
      <c r="H653" s="4" t="s">
        <v>570</v>
      </c>
      <c r="I653" s="4" t="s">
        <v>1086</v>
      </c>
    </row>
    <row r="654">
      <c r="A654" s="7">
        <v>45594.5764047338</v>
      </c>
      <c r="B654" s="4" t="s">
        <v>429</v>
      </c>
      <c r="C654" s="4" t="s">
        <v>430</v>
      </c>
      <c r="D654" s="8" t="s">
        <v>2596</v>
      </c>
      <c r="E654" s="4" t="s">
        <v>432</v>
      </c>
      <c r="F654" s="4" t="s">
        <v>433</v>
      </c>
      <c r="G654" s="4" t="s">
        <v>251</v>
      </c>
      <c r="H654" s="4" t="s">
        <v>570</v>
      </c>
      <c r="I654" s="4" t="s">
        <v>434</v>
      </c>
    </row>
    <row r="655">
      <c r="A655" s="7">
        <v>45594.587413553236</v>
      </c>
      <c r="B655" s="4" t="s">
        <v>1754</v>
      </c>
      <c r="C655" s="4" t="s">
        <v>1755</v>
      </c>
      <c r="D655" s="8" t="s">
        <v>1756</v>
      </c>
      <c r="E655" s="4" t="s">
        <v>345</v>
      </c>
      <c r="F655" s="4" t="s">
        <v>1757</v>
      </c>
      <c r="G655" s="4" t="s">
        <v>32</v>
      </c>
      <c r="H655" s="4" t="s">
        <v>570</v>
      </c>
      <c r="I655" s="4" t="s">
        <v>1289</v>
      </c>
    </row>
    <row r="656">
      <c r="A656" s="7">
        <v>45594.58212375</v>
      </c>
      <c r="B656" s="4" t="s">
        <v>2597</v>
      </c>
      <c r="C656" s="4" t="s">
        <v>2598</v>
      </c>
      <c r="D656" s="4" t="s">
        <v>1625</v>
      </c>
      <c r="E656" s="4" t="s">
        <v>313</v>
      </c>
      <c r="F656" s="4" t="s">
        <v>2599</v>
      </c>
      <c r="G656" s="4" t="s">
        <v>54</v>
      </c>
      <c r="H656" s="4" t="s">
        <v>20</v>
      </c>
      <c r="I656" s="4" t="s">
        <v>2600</v>
      </c>
    </row>
    <row r="657">
      <c r="A657" s="7">
        <v>45594.583922777776</v>
      </c>
      <c r="B657" s="4" t="s">
        <v>2601</v>
      </c>
      <c r="C657" s="4" t="s">
        <v>2602</v>
      </c>
      <c r="D657" s="8" t="s">
        <v>2603</v>
      </c>
      <c r="E657" s="4" t="s">
        <v>17</v>
      </c>
      <c r="F657" s="4" t="s">
        <v>2604</v>
      </c>
      <c r="G657" s="4" t="s">
        <v>19</v>
      </c>
      <c r="H657" s="4" t="s">
        <v>20</v>
      </c>
      <c r="I657" s="4" t="s">
        <v>2138</v>
      </c>
    </row>
    <row r="658">
      <c r="A658" s="7">
        <v>45594.58890960648</v>
      </c>
      <c r="B658" s="4" t="s">
        <v>2605</v>
      </c>
      <c r="C658" s="4" t="s">
        <v>2606</v>
      </c>
      <c r="D658" s="8" t="s">
        <v>2607</v>
      </c>
      <c r="E658" s="4" t="s">
        <v>17</v>
      </c>
      <c r="F658" s="4" t="s">
        <v>2608</v>
      </c>
      <c r="G658" s="4" t="s">
        <v>41</v>
      </c>
      <c r="H658" s="4" t="s">
        <v>20</v>
      </c>
      <c r="I658" s="4" t="s">
        <v>115</v>
      </c>
    </row>
    <row r="659">
      <c r="A659" s="7">
        <v>45594.59423283565</v>
      </c>
      <c r="B659" s="4" t="s">
        <v>2609</v>
      </c>
      <c r="C659" s="4" t="s">
        <v>2610</v>
      </c>
      <c r="D659" s="8" t="s">
        <v>2611</v>
      </c>
      <c r="E659" s="4" t="s">
        <v>284</v>
      </c>
      <c r="F659" s="4" t="s">
        <v>2612</v>
      </c>
      <c r="G659" s="4" t="s">
        <v>251</v>
      </c>
      <c r="H659" s="4" t="s">
        <v>20</v>
      </c>
      <c r="I659" s="4" t="s">
        <v>287</v>
      </c>
    </row>
    <row r="660">
      <c r="A660" s="7">
        <v>45594.59633424769</v>
      </c>
      <c r="B660" s="4" t="s">
        <v>2613</v>
      </c>
      <c r="C660" s="4" t="s">
        <v>2614</v>
      </c>
      <c r="D660" s="8" t="s">
        <v>2615</v>
      </c>
      <c r="E660" s="4" t="s">
        <v>1293</v>
      </c>
      <c r="F660" s="4" t="s">
        <v>2616</v>
      </c>
      <c r="G660" s="4" t="s">
        <v>251</v>
      </c>
      <c r="H660" s="4" t="s">
        <v>20</v>
      </c>
      <c r="I660" s="4" t="s">
        <v>434</v>
      </c>
    </row>
    <row r="661">
      <c r="A661" s="7">
        <v>45594.598807789356</v>
      </c>
      <c r="B661" s="4" t="s">
        <v>2617</v>
      </c>
      <c r="C661" s="4" t="s">
        <v>2618</v>
      </c>
      <c r="D661" s="8" t="s">
        <v>2619</v>
      </c>
      <c r="E661" s="4" t="s">
        <v>78</v>
      </c>
      <c r="F661" s="4" t="s">
        <v>2620</v>
      </c>
      <c r="G661" s="4" t="s">
        <v>32</v>
      </c>
      <c r="H661" s="4" t="s">
        <v>20</v>
      </c>
      <c r="I661" s="4" t="s">
        <v>2621</v>
      </c>
    </row>
    <row r="662">
      <c r="A662" s="7">
        <v>45594.59971072916</v>
      </c>
      <c r="B662" s="4" t="s">
        <v>2622</v>
      </c>
      <c r="C662" s="4" t="s">
        <v>2618</v>
      </c>
      <c r="D662" s="8" t="s">
        <v>2619</v>
      </c>
      <c r="E662" s="4" t="s">
        <v>78</v>
      </c>
      <c r="F662" s="4" t="s">
        <v>2623</v>
      </c>
      <c r="G662" s="4" t="s">
        <v>32</v>
      </c>
      <c r="H662" s="4" t="s">
        <v>20</v>
      </c>
      <c r="I662" s="4" t="s">
        <v>2621</v>
      </c>
    </row>
    <row r="663">
      <c r="A663" s="7">
        <v>45594.60672333333</v>
      </c>
      <c r="B663" s="4" t="s">
        <v>2624</v>
      </c>
      <c r="C663" s="4" t="s">
        <v>2625</v>
      </c>
      <c r="D663" s="4" t="s">
        <v>468</v>
      </c>
      <c r="E663" s="4" t="s">
        <v>754</v>
      </c>
      <c r="F663" s="4" t="s">
        <v>2626</v>
      </c>
      <c r="G663" s="4" t="s">
        <v>251</v>
      </c>
      <c r="H663" s="4" t="s">
        <v>20</v>
      </c>
      <c r="I663" s="4" t="s">
        <v>2627</v>
      </c>
    </row>
    <row r="664">
      <c r="A664" s="7">
        <v>45594.60996728009</v>
      </c>
      <c r="B664" s="4" t="s">
        <v>2628</v>
      </c>
      <c r="C664" s="4" t="s">
        <v>2629</v>
      </c>
      <c r="D664" s="8" t="s">
        <v>2630</v>
      </c>
      <c r="E664" s="4" t="s">
        <v>17</v>
      </c>
      <c r="F664" s="4" t="s">
        <v>2631</v>
      </c>
      <c r="G664" s="4" t="s">
        <v>54</v>
      </c>
      <c r="H664" s="4" t="s">
        <v>20</v>
      </c>
      <c r="I664" s="4" t="s">
        <v>1407</v>
      </c>
    </row>
    <row r="665">
      <c r="A665" s="7">
        <v>45594.61268185185</v>
      </c>
      <c r="B665" s="4" t="s">
        <v>2632</v>
      </c>
      <c r="C665" s="4" t="s">
        <v>2633</v>
      </c>
      <c r="D665" s="4" t="s">
        <v>2634</v>
      </c>
      <c r="E665" s="4" t="s">
        <v>313</v>
      </c>
      <c r="F665" s="4" t="s">
        <v>2635</v>
      </c>
      <c r="G665" s="4" t="s">
        <v>251</v>
      </c>
      <c r="H665" s="4" t="s">
        <v>20</v>
      </c>
      <c r="I665" s="4" t="s">
        <v>1548</v>
      </c>
    </row>
    <row r="666">
      <c r="A666" s="7">
        <v>45594.62017434028</v>
      </c>
      <c r="B666" s="4" t="s">
        <v>2636</v>
      </c>
      <c r="C666" s="4" t="s">
        <v>2637</v>
      </c>
      <c r="D666" s="8" t="s">
        <v>2638</v>
      </c>
      <c r="E666" s="4" t="s">
        <v>2639</v>
      </c>
      <c r="F666" s="4" t="s">
        <v>2640</v>
      </c>
      <c r="G666" s="4" t="s">
        <v>19</v>
      </c>
      <c r="H666" s="4" t="s">
        <v>20</v>
      </c>
      <c r="I666" s="4" t="s">
        <v>68</v>
      </c>
    </row>
    <row r="667">
      <c r="A667" s="7">
        <v>45594.62042664352</v>
      </c>
      <c r="B667" s="4" t="s">
        <v>2641</v>
      </c>
      <c r="C667" s="4" t="s">
        <v>2642</v>
      </c>
      <c r="D667" s="4" t="s">
        <v>1118</v>
      </c>
      <c r="E667" s="4" t="s">
        <v>2486</v>
      </c>
      <c r="F667" s="4" t="s">
        <v>2643</v>
      </c>
      <c r="G667" s="4" t="s">
        <v>32</v>
      </c>
      <c r="H667" s="4" t="s">
        <v>20</v>
      </c>
      <c r="I667" s="4" t="s">
        <v>279</v>
      </c>
    </row>
    <row r="668">
      <c r="A668" s="7">
        <v>45594.62133872685</v>
      </c>
      <c r="B668" s="4" t="s">
        <v>2644</v>
      </c>
      <c r="C668" s="4" t="s">
        <v>2645</v>
      </c>
      <c r="D668" s="8" t="s">
        <v>2646</v>
      </c>
      <c r="E668" s="4" t="s">
        <v>17</v>
      </c>
      <c r="F668" s="4" t="s">
        <v>2647</v>
      </c>
      <c r="G668" s="4" t="s">
        <v>19</v>
      </c>
      <c r="H668" s="4" t="s">
        <v>20</v>
      </c>
      <c r="I668" s="4" t="s">
        <v>356</v>
      </c>
    </row>
    <row r="669">
      <c r="A669" s="7">
        <v>45594.62777902778</v>
      </c>
      <c r="B669" s="4" t="s">
        <v>2648</v>
      </c>
      <c r="C669" s="4" t="s">
        <v>2649</v>
      </c>
      <c r="D669" s="4" t="s">
        <v>2049</v>
      </c>
      <c r="E669" s="4" t="s">
        <v>956</v>
      </c>
      <c r="F669" s="4" t="s">
        <v>2650</v>
      </c>
      <c r="G669" s="4" t="s">
        <v>32</v>
      </c>
      <c r="H669" s="4" t="s">
        <v>20</v>
      </c>
      <c r="I669" s="4" t="s">
        <v>625</v>
      </c>
    </row>
    <row r="670">
      <c r="A670" s="7">
        <v>45594.62843806713</v>
      </c>
      <c r="B670" s="4" t="s">
        <v>2651</v>
      </c>
      <c r="C670" s="4" t="s">
        <v>2649</v>
      </c>
      <c r="D670" s="4" t="s">
        <v>2049</v>
      </c>
      <c r="E670" s="4" t="s">
        <v>956</v>
      </c>
      <c r="F670" s="4" t="s">
        <v>2652</v>
      </c>
      <c r="G670" s="4" t="s">
        <v>32</v>
      </c>
      <c r="H670" s="4" t="s">
        <v>20</v>
      </c>
      <c r="I670" s="4" t="s">
        <v>229</v>
      </c>
    </row>
    <row r="671">
      <c r="A671" s="7">
        <v>45594.62915842593</v>
      </c>
      <c r="B671" s="4" t="s">
        <v>2653</v>
      </c>
      <c r="C671" s="4" t="s">
        <v>2654</v>
      </c>
      <c r="D671" s="4" t="s">
        <v>2049</v>
      </c>
      <c r="E671" s="4" t="s">
        <v>528</v>
      </c>
      <c r="F671" s="4" t="s">
        <v>2655</v>
      </c>
      <c r="G671" s="4" t="s">
        <v>32</v>
      </c>
      <c r="H671" s="4" t="s">
        <v>20</v>
      </c>
      <c r="I671" s="4" t="s">
        <v>48</v>
      </c>
    </row>
    <row r="672">
      <c r="A672" s="7">
        <v>45594.629639074075</v>
      </c>
      <c r="B672" s="4" t="s">
        <v>2656</v>
      </c>
      <c r="C672" s="4" t="s">
        <v>2657</v>
      </c>
      <c r="D672" s="8" t="s">
        <v>718</v>
      </c>
      <c r="E672" s="4" t="s">
        <v>313</v>
      </c>
      <c r="F672" s="4" t="s">
        <v>2658</v>
      </c>
      <c r="G672" s="4" t="s">
        <v>54</v>
      </c>
      <c r="H672" s="4" t="s">
        <v>20</v>
      </c>
      <c r="I672" s="4" t="s">
        <v>406</v>
      </c>
    </row>
    <row r="673">
      <c r="A673" s="7">
        <v>45594.630032291665</v>
      </c>
      <c r="B673" s="4" t="s">
        <v>2659</v>
      </c>
      <c r="C673" s="4" t="s">
        <v>2660</v>
      </c>
      <c r="D673" s="4" t="s">
        <v>2049</v>
      </c>
      <c r="E673" s="4" t="s">
        <v>2249</v>
      </c>
      <c r="F673" s="4" t="s">
        <v>2661</v>
      </c>
      <c r="G673" s="4" t="s">
        <v>32</v>
      </c>
      <c r="H673" s="4" t="s">
        <v>20</v>
      </c>
      <c r="I673" s="4" t="s">
        <v>356</v>
      </c>
    </row>
    <row r="674">
      <c r="A674" s="7">
        <v>45594.64388387732</v>
      </c>
      <c r="B674" s="4" t="s">
        <v>2662</v>
      </c>
      <c r="C674" s="4" t="s">
        <v>2663</v>
      </c>
      <c r="D674" s="4" t="s">
        <v>2036</v>
      </c>
      <c r="E674" s="4" t="s">
        <v>528</v>
      </c>
      <c r="F674" s="4" t="s">
        <v>2664</v>
      </c>
      <c r="G674" s="4" t="s">
        <v>32</v>
      </c>
      <c r="H674" s="4" t="s">
        <v>20</v>
      </c>
      <c r="I674" s="4" t="s">
        <v>440</v>
      </c>
    </row>
    <row r="675">
      <c r="A675" s="7">
        <v>45594.65174103009</v>
      </c>
      <c r="B675" s="4" t="s">
        <v>2665</v>
      </c>
      <c r="C675" s="4" t="s">
        <v>2666</v>
      </c>
      <c r="D675" s="8" t="s">
        <v>2667</v>
      </c>
      <c r="E675" s="4" t="s">
        <v>662</v>
      </c>
      <c r="F675" s="4" t="s">
        <v>31</v>
      </c>
      <c r="G675" s="4" t="s">
        <v>41</v>
      </c>
      <c r="H675" s="4" t="s">
        <v>20</v>
      </c>
      <c r="I675" s="4" t="s">
        <v>229</v>
      </c>
    </row>
    <row r="676">
      <c r="A676" s="7">
        <v>45594.66186521991</v>
      </c>
      <c r="B676" s="4" t="s">
        <v>2668</v>
      </c>
      <c r="C676" s="4" t="s">
        <v>2669</v>
      </c>
      <c r="D676" s="4" t="s">
        <v>965</v>
      </c>
      <c r="E676" s="4" t="s">
        <v>345</v>
      </c>
      <c r="F676" s="4" t="s">
        <v>2670</v>
      </c>
      <c r="G676" s="4" t="s">
        <v>54</v>
      </c>
      <c r="H676" s="4" t="s">
        <v>20</v>
      </c>
      <c r="I676" s="4" t="s">
        <v>2671</v>
      </c>
    </row>
    <row r="677">
      <c r="A677" s="7">
        <v>45594.6650037037</v>
      </c>
      <c r="B677" s="4" t="s">
        <v>2672</v>
      </c>
      <c r="C677" s="4" t="s">
        <v>2673</v>
      </c>
      <c r="D677" s="4" t="s">
        <v>965</v>
      </c>
      <c r="E677" s="4" t="s">
        <v>345</v>
      </c>
      <c r="F677" s="4" t="s">
        <v>2674</v>
      </c>
      <c r="G677" s="4" t="s">
        <v>54</v>
      </c>
      <c r="H677" s="4" t="s">
        <v>20</v>
      </c>
      <c r="I677" s="4" t="s">
        <v>2675</v>
      </c>
    </row>
    <row r="678">
      <c r="A678" s="7">
        <v>45594.66518660879</v>
      </c>
      <c r="B678" s="4" t="s">
        <v>2676</v>
      </c>
      <c r="C678" s="4" t="s">
        <v>2677</v>
      </c>
      <c r="D678" s="4" t="s">
        <v>31</v>
      </c>
      <c r="E678" s="4" t="s">
        <v>17</v>
      </c>
      <c r="F678" s="4" t="s">
        <v>2678</v>
      </c>
      <c r="G678" s="4" t="s">
        <v>19</v>
      </c>
      <c r="H678" s="4" t="s">
        <v>20</v>
      </c>
      <c r="I678" s="4" t="s">
        <v>144</v>
      </c>
    </row>
    <row r="679">
      <c r="A679" s="7">
        <v>45595.360875983795</v>
      </c>
      <c r="B679" s="4" t="s">
        <v>1661</v>
      </c>
      <c r="C679" s="4" t="s">
        <v>2679</v>
      </c>
      <c r="D679" s="8" t="s">
        <v>369</v>
      </c>
      <c r="E679" s="4" t="s">
        <v>17</v>
      </c>
      <c r="F679" s="4" t="s">
        <v>1663</v>
      </c>
      <c r="G679" s="4" t="s">
        <v>54</v>
      </c>
      <c r="H679" s="4" t="s">
        <v>570</v>
      </c>
      <c r="I679" s="4" t="s">
        <v>579</v>
      </c>
    </row>
    <row r="680">
      <c r="A680" s="7">
        <v>45595.36184224537</v>
      </c>
      <c r="B680" s="4" t="s">
        <v>2680</v>
      </c>
      <c r="C680" s="4" t="s">
        <v>2681</v>
      </c>
      <c r="D680" s="4" t="s">
        <v>1573</v>
      </c>
      <c r="E680" s="4" t="s">
        <v>17</v>
      </c>
      <c r="F680" s="4" t="s">
        <v>1982</v>
      </c>
      <c r="G680" s="4" t="s">
        <v>54</v>
      </c>
      <c r="H680" s="4" t="s">
        <v>570</v>
      </c>
      <c r="I680" s="4" t="s">
        <v>2682</v>
      </c>
    </row>
    <row r="681">
      <c r="A681" s="7">
        <v>45595.36268626158</v>
      </c>
      <c r="B681" s="4" t="s">
        <v>2110</v>
      </c>
      <c r="C681" s="4" t="s">
        <v>2683</v>
      </c>
      <c r="D681" s="8" t="s">
        <v>1358</v>
      </c>
      <c r="E681" s="4" t="s">
        <v>17</v>
      </c>
      <c r="F681" s="4" t="s">
        <v>2684</v>
      </c>
      <c r="G681" s="4" t="s">
        <v>54</v>
      </c>
      <c r="H681" s="4" t="s">
        <v>570</v>
      </c>
      <c r="I681" s="4" t="s">
        <v>2113</v>
      </c>
    </row>
    <row r="682">
      <c r="A682" s="7">
        <v>45595.36339344908</v>
      </c>
      <c r="B682" s="4" t="s">
        <v>1524</v>
      </c>
      <c r="C682" s="4" t="s">
        <v>2685</v>
      </c>
      <c r="D682" s="8" t="s">
        <v>1526</v>
      </c>
      <c r="E682" s="4" t="s">
        <v>1527</v>
      </c>
      <c r="F682" s="4" t="s">
        <v>1528</v>
      </c>
      <c r="G682" s="4" t="s">
        <v>54</v>
      </c>
      <c r="H682" s="4" t="s">
        <v>570</v>
      </c>
      <c r="I682" s="4" t="s">
        <v>1097</v>
      </c>
    </row>
    <row r="683">
      <c r="A683" s="7">
        <v>45595.37981791666</v>
      </c>
      <c r="B683" s="4" t="s">
        <v>2686</v>
      </c>
      <c r="C683" s="4" t="s">
        <v>2687</v>
      </c>
      <c r="D683" s="8" t="s">
        <v>2688</v>
      </c>
      <c r="E683" s="4" t="s">
        <v>17</v>
      </c>
      <c r="F683" s="4" t="s">
        <v>2689</v>
      </c>
      <c r="G683" s="4" t="s">
        <v>19</v>
      </c>
      <c r="H683" s="4" t="s">
        <v>20</v>
      </c>
      <c r="I683" s="4" t="s">
        <v>109</v>
      </c>
    </row>
    <row r="684">
      <c r="A684" s="7">
        <v>45595.38105570602</v>
      </c>
      <c r="B684" s="4" t="s">
        <v>2690</v>
      </c>
      <c r="C684" s="4" t="s">
        <v>2687</v>
      </c>
      <c r="D684" s="8" t="s">
        <v>2692</v>
      </c>
      <c r="E684" s="4" t="s">
        <v>17</v>
      </c>
      <c r="F684" s="4" t="s">
        <v>2693</v>
      </c>
      <c r="G684" s="4" t="s">
        <v>19</v>
      </c>
      <c r="H684" s="4" t="s">
        <v>20</v>
      </c>
      <c r="I684" s="4" t="s">
        <v>109</v>
      </c>
    </row>
    <row r="685">
      <c r="A685" s="7">
        <v>45595.395438796295</v>
      </c>
      <c r="B685" s="4" t="s">
        <v>2061</v>
      </c>
      <c r="C685" s="4" t="s">
        <v>2065</v>
      </c>
      <c r="D685" s="8" t="s">
        <v>718</v>
      </c>
      <c r="E685" s="4" t="s">
        <v>345</v>
      </c>
      <c r="F685" s="4" t="s">
        <v>2063</v>
      </c>
      <c r="G685" s="4" t="s">
        <v>54</v>
      </c>
      <c r="H685" s="4" t="s">
        <v>20</v>
      </c>
      <c r="I685" s="4" t="s">
        <v>824</v>
      </c>
    </row>
    <row r="686">
      <c r="A686" s="7">
        <v>45595.400421701386</v>
      </c>
      <c r="B686" s="4" t="s">
        <v>2694</v>
      </c>
      <c r="C686" s="4" t="s">
        <v>2695</v>
      </c>
      <c r="D686" s="8" t="s">
        <v>718</v>
      </c>
      <c r="E686" s="4" t="s">
        <v>345</v>
      </c>
      <c r="F686" s="4" t="s">
        <v>2696</v>
      </c>
      <c r="G686" s="4" t="s">
        <v>54</v>
      </c>
      <c r="H686" s="4" t="s">
        <v>20</v>
      </c>
      <c r="I686" s="4" t="s">
        <v>2697</v>
      </c>
    </row>
    <row r="687">
      <c r="A687" s="7">
        <v>45595.402377743056</v>
      </c>
      <c r="B687" s="4" t="s">
        <v>2698</v>
      </c>
      <c r="C687" s="4" t="s">
        <v>2699</v>
      </c>
      <c r="D687" s="8" t="s">
        <v>718</v>
      </c>
      <c r="E687" s="4" t="s">
        <v>2189</v>
      </c>
      <c r="F687" s="4" t="s">
        <v>2700</v>
      </c>
      <c r="G687" s="4" t="s">
        <v>54</v>
      </c>
      <c r="H687" s="4" t="s">
        <v>20</v>
      </c>
      <c r="I687" s="4" t="s">
        <v>1269</v>
      </c>
    </row>
    <row r="688">
      <c r="A688" s="7">
        <v>45595.40356197917</v>
      </c>
      <c r="B688" s="4" t="s">
        <v>2701</v>
      </c>
      <c r="C688" s="4" t="s">
        <v>2702</v>
      </c>
      <c r="D688" s="8" t="s">
        <v>718</v>
      </c>
      <c r="E688" s="4" t="s">
        <v>345</v>
      </c>
      <c r="F688" s="4" t="s">
        <v>2703</v>
      </c>
      <c r="G688" s="4" t="s">
        <v>54</v>
      </c>
      <c r="H688" s="4" t="s">
        <v>20</v>
      </c>
      <c r="I688" s="4" t="s">
        <v>1269</v>
      </c>
    </row>
    <row r="689">
      <c r="A689" s="7">
        <v>45595.408617395835</v>
      </c>
      <c r="B689" s="4" t="s">
        <v>2704</v>
      </c>
      <c r="C689" s="4" t="s">
        <v>2705</v>
      </c>
      <c r="D689" s="8" t="s">
        <v>718</v>
      </c>
      <c r="E689" s="4" t="s">
        <v>345</v>
      </c>
      <c r="F689" s="4" t="s">
        <v>2706</v>
      </c>
      <c r="G689" s="4" t="s">
        <v>54</v>
      </c>
      <c r="H689" s="4" t="s">
        <v>20</v>
      </c>
      <c r="I689" s="4" t="s">
        <v>2298</v>
      </c>
    </row>
    <row r="690">
      <c r="A690" s="7">
        <v>45595.41696693287</v>
      </c>
      <c r="B690" s="4" t="s">
        <v>1459</v>
      </c>
      <c r="C690" s="4" t="s">
        <v>754</v>
      </c>
      <c r="D690" s="8" t="s">
        <v>2707</v>
      </c>
      <c r="E690" s="4" t="s">
        <v>1460</v>
      </c>
      <c r="F690" s="4" t="s">
        <v>2708</v>
      </c>
      <c r="G690" s="4" t="s">
        <v>251</v>
      </c>
      <c r="H690" s="4" t="s">
        <v>570</v>
      </c>
      <c r="I690" s="4" t="s">
        <v>2709</v>
      </c>
    </row>
    <row r="691">
      <c r="A691" s="7">
        <v>45595.41966703704</v>
      </c>
      <c r="B691" s="4" t="s">
        <v>2710</v>
      </c>
      <c r="C691" s="4" t="s">
        <v>2711</v>
      </c>
      <c r="D691" s="8" t="s">
        <v>2712</v>
      </c>
      <c r="E691" s="4" t="s">
        <v>17</v>
      </c>
      <c r="F691" s="4" t="s">
        <v>2713</v>
      </c>
      <c r="G691" s="4" t="s">
        <v>41</v>
      </c>
      <c r="H691" s="4" t="s">
        <v>20</v>
      </c>
      <c r="I691" s="4" t="s">
        <v>2714</v>
      </c>
    </row>
    <row r="692">
      <c r="A692" s="7">
        <v>45595.43144886574</v>
      </c>
      <c r="B692" s="4" t="s">
        <v>2715</v>
      </c>
      <c r="C692" s="4" t="s">
        <v>2716</v>
      </c>
      <c r="D692" s="4" t="s">
        <v>2717</v>
      </c>
      <c r="E692" s="4" t="s">
        <v>404</v>
      </c>
      <c r="F692" s="4" t="s">
        <v>2718</v>
      </c>
      <c r="G692" s="4" t="s">
        <v>251</v>
      </c>
      <c r="H692" s="4" t="s">
        <v>20</v>
      </c>
      <c r="I692" s="4" t="s">
        <v>446</v>
      </c>
    </row>
    <row r="693">
      <c r="A693" s="7">
        <v>45595.442708518516</v>
      </c>
      <c r="B693" s="4" t="s">
        <v>1743</v>
      </c>
      <c r="C693" s="4" t="s">
        <v>2065</v>
      </c>
      <c r="D693" s="8" t="s">
        <v>718</v>
      </c>
      <c r="E693" s="4" t="s">
        <v>410</v>
      </c>
      <c r="F693" s="4" t="s">
        <v>1746</v>
      </c>
      <c r="G693" s="4" t="s">
        <v>54</v>
      </c>
      <c r="H693" s="4" t="s">
        <v>570</v>
      </c>
      <c r="I693" s="4" t="s">
        <v>1086</v>
      </c>
    </row>
    <row r="694">
      <c r="A694" s="7">
        <v>45595.44309075232</v>
      </c>
      <c r="B694" s="4" t="s">
        <v>2719</v>
      </c>
      <c r="C694" s="4" t="s">
        <v>2720</v>
      </c>
      <c r="D694" s="4" t="s">
        <v>1515</v>
      </c>
      <c r="E694" s="4" t="s">
        <v>313</v>
      </c>
      <c r="F694" s="4" t="s">
        <v>2721</v>
      </c>
      <c r="G694" s="4" t="s">
        <v>251</v>
      </c>
      <c r="H694" s="4" t="s">
        <v>20</v>
      </c>
      <c r="I694" s="4" t="s">
        <v>446</v>
      </c>
    </row>
    <row r="695">
      <c r="A695" s="7">
        <v>45595.44421052083</v>
      </c>
      <c r="B695" s="4" t="s">
        <v>1652</v>
      </c>
      <c r="C695" s="4" t="s">
        <v>2722</v>
      </c>
      <c r="D695" s="8" t="s">
        <v>1654</v>
      </c>
      <c r="E695" s="4" t="s">
        <v>432</v>
      </c>
      <c r="F695" s="4" t="s">
        <v>2723</v>
      </c>
      <c r="G695" s="4" t="s">
        <v>54</v>
      </c>
      <c r="H695" s="4" t="s">
        <v>570</v>
      </c>
      <c r="I695" s="4" t="s">
        <v>2675</v>
      </c>
    </row>
    <row r="696">
      <c r="A696" s="7">
        <v>45595.44814403935</v>
      </c>
      <c r="B696" s="4" t="s">
        <v>2724</v>
      </c>
      <c r="C696" s="4" t="s">
        <v>2725</v>
      </c>
      <c r="D696" s="4" t="s">
        <v>2726</v>
      </c>
      <c r="E696" s="4" t="s">
        <v>345</v>
      </c>
      <c r="F696" s="4" t="s">
        <v>2727</v>
      </c>
      <c r="G696" s="4" t="s">
        <v>32</v>
      </c>
      <c r="H696" s="4" t="s">
        <v>20</v>
      </c>
      <c r="I696" s="4" t="s">
        <v>356</v>
      </c>
    </row>
    <row r="697">
      <c r="A697" s="7">
        <v>45595.448890775464</v>
      </c>
      <c r="B697" s="4" t="s">
        <v>2728</v>
      </c>
      <c r="C697" s="4" t="s">
        <v>2729</v>
      </c>
      <c r="D697" s="4" t="s">
        <v>2730</v>
      </c>
      <c r="E697" s="4" t="s">
        <v>528</v>
      </c>
      <c r="F697" s="4" t="s">
        <v>2731</v>
      </c>
      <c r="G697" s="4" t="s">
        <v>32</v>
      </c>
      <c r="H697" s="4" t="s">
        <v>20</v>
      </c>
      <c r="I697" s="4" t="s">
        <v>2732</v>
      </c>
    </row>
    <row r="698">
      <c r="A698" s="7">
        <v>45595.453191759254</v>
      </c>
      <c r="B698" s="4" t="s">
        <v>1165</v>
      </c>
      <c r="C698" s="4" t="s">
        <v>1166</v>
      </c>
      <c r="D698" s="4" t="s">
        <v>238</v>
      </c>
      <c r="E698" s="4" t="s">
        <v>1159</v>
      </c>
      <c r="F698" s="4" t="s">
        <v>1167</v>
      </c>
      <c r="G698" s="4" t="s">
        <v>32</v>
      </c>
      <c r="H698" s="4" t="s">
        <v>570</v>
      </c>
      <c r="I698" s="4" t="s">
        <v>144</v>
      </c>
    </row>
    <row r="699">
      <c r="A699" s="7">
        <v>45595.45459141204</v>
      </c>
      <c r="B699" s="4" t="s">
        <v>1168</v>
      </c>
      <c r="C699" s="4" t="s">
        <v>1169</v>
      </c>
      <c r="D699" s="4" t="s">
        <v>238</v>
      </c>
      <c r="E699" s="4" t="s">
        <v>1159</v>
      </c>
      <c r="F699" s="4" t="s">
        <v>1170</v>
      </c>
      <c r="G699" s="4" t="s">
        <v>32</v>
      </c>
      <c r="H699" s="4" t="s">
        <v>570</v>
      </c>
      <c r="I699" s="4" t="s">
        <v>144</v>
      </c>
    </row>
    <row r="700">
      <c r="A700" s="7">
        <v>45595.45607921296</v>
      </c>
      <c r="B700" s="4" t="s">
        <v>2733</v>
      </c>
      <c r="C700" s="4" t="s">
        <v>2734</v>
      </c>
      <c r="D700" s="4" t="s">
        <v>31</v>
      </c>
      <c r="E700" s="4" t="s">
        <v>78</v>
      </c>
      <c r="F700" s="4" t="s">
        <v>2735</v>
      </c>
      <c r="G700" s="4" t="s">
        <v>19</v>
      </c>
      <c r="H700" s="4" t="s">
        <v>20</v>
      </c>
      <c r="I700" s="4" t="s">
        <v>181</v>
      </c>
    </row>
    <row r="701">
      <c r="A701" s="7">
        <v>45595.45741461805</v>
      </c>
      <c r="B701" s="4" t="s">
        <v>2736</v>
      </c>
      <c r="C701" s="4" t="s">
        <v>2737</v>
      </c>
      <c r="D701" s="4" t="s">
        <v>2738</v>
      </c>
      <c r="E701" s="4" t="s">
        <v>754</v>
      </c>
      <c r="F701" s="4" t="s">
        <v>2739</v>
      </c>
      <c r="G701" s="4" t="s">
        <v>251</v>
      </c>
      <c r="H701" s="4" t="s">
        <v>20</v>
      </c>
      <c r="I701" s="4" t="s">
        <v>341</v>
      </c>
    </row>
    <row r="702">
      <c r="A702" s="7">
        <v>45595.45838114583</v>
      </c>
      <c r="B702" s="4" t="s">
        <v>783</v>
      </c>
      <c r="C702" s="4" t="s">
        <v>2740</v>
      </c>
      <c r="D702" s="8" t="s">
        <v>403</v>
      </c>
      <c r="E702" s="4" t="s">
        <v>781</v>
      </c>
      <c r="F702" s="4" t="s">
        <v>785</v>
      </c>
      <c r="G702" s="4" t="s">
        <v>54</v>
      </c>
      <c r="H702" s="4" t="s">
        <v>570</v>
      </c>
      <c r="I702" s="4" t="s">
        <v>412</v>
      </c>
    </row>
    <row r="703">
      <c r="A703" s="7">
        <v>45595.462941875</v>
      </c>
      <c r="B703" s="4" t="s">
        <v>2741</v>
      </c>
      <c r="C703" s="4" t="s">
        <v>2742</v>
      </c>
      <c r="D703" s="4" t="s">
        <v>238</v>
      </c>
      <c r="E703" s="4" t="s">
        <v>345</v>
      </c>
      <c r="F703" s="4" t="s">
        <v>2743</v>
      </c>
      <c r="G703" s="4" t="s">
        <v>32</v>
      </c>
      <c r="H703" s="4" t="s">
        <v>20</v>
      </c>
      <c r="I703" s="4" t="s">
        <v>2500</v>
      </c>
    </row>
    <row r="704">
      <c r="A704" s="7">
        <v>45595.463396238425</v>
      </c>
      <c r="B704" s="4" t="s">
        <v>2744</v>
      </c>
      <c r="C704" s="4" t="s">
        <v>2745</v>
      </c>
      <c r="D704" s="8" t="s">
        <v>2746</v>
      </c>
      <c r="E704" s="4" t="s">
        <v>194</v>
      </c>
      <c r="F704" s="4" t="s">
        <v>2747</v>
      </c>
      <c r="G704" s="4" t="s">
        <v>19</v>
      </c>
      <c r="H704" s="4" t="s">
        <v>20</v>
      </c>
      <c r="I704" s="4" t="s">
        <v>852</v>
      </c>
    </row>
    <row r="705">
      <c r="A705" s="7">
        <v>45595.47246527778</v>
      </c>
      <c r="B705" s="4" t="s">
        <v>923</v>
      </c>
      <c r="C705" s="4" t="s">
        <v>924</v>
      </c>
      <c r="D705" s="4" t="s">
        <v>767</v>
      </c>
      <c r="E705" s="4" t="s">
        <v>113</v>
      </c>
      <c r="F705" s="4" t="s">
        <v>926</v>
      </c>
      <c r="G705" s="4" t="s">
        <v>32</v>
      </c>
      <c r="H705" s="4" t="s">
        <v>570</v>
      </c>
      <c r="I705" s="4" t="s">
        <v>927</v>
      </c>
    </row>
    <row r="706">
      <c r="A706" s="7">
        <v>45595.47334386574</v>
      </c>
      <c r="B706" s="4" t="s">
        <v>2748</v>
      </c>
      <c r="C706" s="4" t="s">
        <v>2749</v>
      </c>
      <c r="D706" s="8" t="s">
        <v>2750</v>
      </c>
      <c r="E706" s="4" t="s">
        <v>17</v>
      </c>
      <c r="F706" s="4" t="s">
        <v>2751</v>
      </c>
      <c r="G706" s="4" t="s">
        <v>19</v>
      </c>
      <c r="H706" s="4" t="s">
        <v>20</v>
      </c>
      <c r="I706" s="4" t="s">
        <v>2098</v>
      </c>
    </row>
    <row r="707">
      <c r="A707" s="7">
        <v>45595.480712916666</v>
      </c>
      <c r="B707" s="4" t="s">
        <v>2752</v>
      </c>
      <c r="C707" s="4" t="s">
        <v>2753</v>
      </c>
      <c r="D707" s="4" t="s">
        <v>563</v>
      </c>
      <c r="E707" s="4" t="s">
        <v>137</v>
      </c>
      <c r="F707" s="4" t="s">
        <v>2754</v>
      </c>
      <c r="G707" s="4" t="s">
        <v>54</v>
      </c>
      <c r="H707" s="4" t="s">
        <v>20</v>
      </c>
      <c r="I707" s="4" t="s">
        <v>2755</v>
      </c>
    </row>
    <row r="708">
      <c r="A708" s="7">
        <v>45595.48175634259</v>
      </c>
      <c r="B708" s="4" t="s">
        <v>2756</v>
      </c>
      <c r="C708" s="4" t="s">
        <v>233</v>
      </c>
      <c r="D708" s="4" t="s">
        <v>2757</v>
      </c>
      <c r="E708" s="4" t="s">
        <v>2758</v>
      </c>
      <c r="F708" s="4" t="s">
        <v>2759</v>
      </c>
      <c r="G708" s="4" t="s">
        <v>32</v>
      </c>
      <c r="H708" s="4" t="s">
        <v>20</v>
      </c>
      <c r="I708" s="4" t="s">
        <v>115</v>
      </c>
    </row>
    <row r="709">
      <c r="A709" s="7">
        <v>45595.48208630787</v>
      </c>
      <c r="B709" s="4" t="s">
        <v>2760</v>
      </c>
      <c r="C709" s="4" t="s">
        <v>2761</v>
      </c>
      <c r="D709" s="8" t="s">
        <v>2762</v>
      </c>
      <c r="E709" s="4" t="s">
        <v>1963</v>
      </c>
      <c r="F709" s="4" t="s">
        <v>2763</v>
      </c>
      <c r="G709" s="4" t="s">
        <v>41</v>
      </c>
      <c r="H709" s="4" t="s">
        <v>20</v>
      </c>
      <c r="I709" s="4" t="s">
        <v>26</v>
      </c>
    </row>
    <row r="710">
      <c r="A710" s="7">
        <v>45595.48251886574</v>
      </c>
      <c r="B710" s="4" t="s">
        <v>2764</v>
      </c>
      <c r="C710" s="4" t="s">
        <v>2765</v>
      </c>
      <c r="D710" s="4" t="s">
        <v>2757</v>
      </c>
      <c r="E710" s="4" t="s">
        <v>17</v>
      </c>
      <c r="F710" s="4" t="s">
        <v>2766</v>
      </c>
      <c r="G710" s="4" t="s">
        <v>32</v>
      </c>
      <c r="H710" s="4" t="s">
        <v>20</v>
      </c>
      <c r="I710" s="4" t="s">
        <v>115</v>
      </c>
    </row>
    <row r="711">
      <c r="A711" s="7">
        <v>45595.483269143515</v>
      </c>
      <c r="B711" s="4" t="s">
        <v>2767</v>
      </c>
      <c r="C711" s="4" t="s">
        <v>2768</v>
      </c>
      <c r="D711" s="4" t="s">
        <v>2757</v>
      </c>
      <c r="E711" s="4" t="s">
        <v>17</v>
      </c>
      <c r="F711" s="4" t="s">
        <v>2769</v>
      </c>
      <c r="G711" s="4" t="s">
        <v>32</v>
      </c>
      <c r="H711" s="4" t="s">
        <v>20</v>
      </c>
      <c r="I711" s="4" t="s">
        <v>115</v>
      </c>
    </row>
    <row r="712">
      <c r="A712" s="7">
        <v>45595.49120929398</v>
      </c>
      <c r="B712" s="4" t="s">
        <v>1560</v>
      </c>
      <c r="C712" s="4" t="s">
        <v>2770</v>
      </c>
      <c r="D712" s="4" t="s">
        <v>563</v>
      </c>
      <c r="E712" s="4" t="s">
        <v>754</v>
      </c>
      <c r="F712" s="4" t="s">
        <v>2771</v>
      </c>
      <c r="G712" s="4" t="s">
        <v>54</v>
      </c>
      <c r="H712" s="4" t="s">
        <v>570</v>
      </c>
      <c r="I712" s="4" t="s">
        <v>839</v>
      </c>
    </row>
    <row r="713">
      <c r="A713" s="7">
        <v>45595.55807734954</v>
      </c>
      <c r="B713" s="4" t="s">
        <v>2772</v>
      </c>
      <c r="C713" s="4" t="s">
        <v>2773</v>
      </c>
      <c r="D713" s="8" t="s">
        <v>2774</v>
      </c>
      <c r="E713" s="4" t="s">
        <v>17</v>
      </c>
      <c r="F713" s="4" t="s">
        <v>2775</v>
      </c>
      <c r="G713" s="4" t="s">
        <v>19</v>
      </c>
      <c r="H713" s="4" t="s">
        <v>20</v>
      </c>
      <c r="I713" s="4" t="s">
        <v>2773</v>
      </c>
    </row>
    <row r="714">
      <c r="A714" s="7">
        <v>45595.56420957176</v>
      </c>
      <c r="B714" s="4" t="s">
        <v>1610</v>
      </c>
      <c r="C714" s="4" t="s">
        <v>2776</v>
      </c>
      <c r="D714" s="4" t="s">
        <v>1382</v>
      </c>
      <c r="E714" s="4" t="s">
        <v>313</v>
      </c>
      <c r="F714" s="4" t="s">
        <v>1611</v>
      </c>
      <c r="G714" s="4" t="s">
        <v>54</v>
      </c>
      <c r="H714" s="4" t="s">
        <v>570</v>
      </c>
      <c r="I714" s="4" t="s">
        <v>1101</v>
      </c>
    </row>
    <row r="715">
      <c r="A715" s="7">
        <v>45595.564926481486</v>
      </c>
      <c r="B715" s="4" t="s">
        <v>1600</v>
      </c>
      <c r="C715" s="4" t="s">
        <v>2776</v>
      </c>
      <c r="D715" s="4" t="s">
        <v>1382</v>
      </c>
      <c r="E715" s="4" t="s">
        <v>313</v>
      </c>
      <c r="F715" s="4" t="s">
        <v>1603</v>
      </c>
      <c r="G715" s="4" t="s">
        <v>54</v>
      </c>
      <c r="H715" s="4" t="s">
        <v>570</v>
      </c>
      <c r="I715" s="4" t="s">
        <v>1101</v>
      </c>
    </row>
    <row r="716">
      <c r="A716" s="7">
        <v>45595.570613020835</v>
      </c>
      <c r="B716" s="4" t="s">
        <v>2777</v>
      </c>
      <c r="C716" s="4" t="s">
        <v>2778</v>
      </c>
      <c r="D716" s="4" t="s">
        <v>1382</v>
      </c>
      <c r="E716" s="4" t="s">
        <v>404</v>
      </c>
      <c r="F716" s="4" t="s">
        <v>2779</v>
      </c>
      <c r="G716" s="4" t="s">
        <v>251</v>
      </c>
      <c r="H716" s="4" t="s">
        <v>20</v>
      </c>
      <c r="I716" s="4" t="s">
        <v>1097</v>
      </c>
    </row>
    <row r="717">
      <c r="A717" s="7">
        <v>45595.571982071764</v>
      </c>
      <c r="B717" s="4" t="s">
        <v>2780</v>
      </c>
      <c r="C717" s="4" t="s">
        <v>2781</v>
      </c>
      <c r="D717" s="4" t="s">
        <v>1382</v>
      </c>
      <c r="E717" s="4" t="s">
        <v>313</v>
      </c>
      <c r="F717" s="4" t="s">
        <v>2782</v>
      </c>
      <c r="G717" s="4" t="s">
        <v>251</v>
      </c>
      <c r="H717" s="4" t="s">
        <v>20</v>
      </c>
      <c r="I717" s="4" t="s">
        <v>319</v>
      </c>
    </row>
    <row r="718">
      <c r="A718" s="7">
        <v>45595.57715702546</v>
      </c>
      <c r="B718" s="4" t="s">
        <v>2783</v>
      </c>
      <c r="C718" s="4" t="s">
        <v>2784</v>
      </c>
      <c r="D718" s="4" t="s">
        <v>834</v>
      </c>
      <c r="E718" s="4" t="s">
        <v>345</v>
      </c>
      <c r="F718" s="4" t="s">
        <v>2785</v>
      </c>
      <c r="G718" s="4" t="s">
        <v>32</v>
      </c>
      <c r="H718" s="4" t="s">
        <v>20</v>
      </c>
      <c r="I718" s="4" t="s">
        <v>86</v>
      </c>
    </row>
    <row r="719">
      <c r="A719" s="7">
        <v>45595.57784591435</v>
      </c>
      <c r="B719" s="4" t="s">
        <v>2786</v>
      </c>
      <c r="C719" s="4" t="s">
        <v>2787</v>
      </c>
      <c r="D719" s="4" t="s">
        <v>834</v>
      </c>
      <c r="E719" s="4" t="s">
        <v>1642</v>
      </c>
      <c r="F719" s="4" t="s">
        <v>2788</v>
      </c>
      <c r="G719" s="4" t="s">
        <v>32</v>
      </c>
      <c r="H719" s="4" t="s">
        <v>20</v>
      </c>
      <c r="I719" s="4" t="s">
        <v>190</v>
      </c>
    </row>
    <row r="720">
      <c r="A720" s="7">
        <v>45595.57854644676</v>
      </c>
      <c r="B720" s="4" t="s">
        <v>2789</v>
      </c>
      <c r="C720" s="4" t="s">
        <v>2790</v>
      </c>
      <c r="D720" s="4" t="s">
        <v>834</v>
      </c>
      <c r="E720" s="4" t="s">
        <v>345</v>
      </c>
      <c r="F720" s="4" t="s">
        <v>2791</v>
      </c>
      <c r="G720" s="4" t="s">
        <v>32</v>
      </c>
      <c r="H720" s="4" t="s">
        <v>20</v>
      </c>
      <c r="I720" s="4" t="s">
        <v>1420</v>
      </c>
    </row>
    <row r="721">
      <c r="A721" s="7">
        <v>45595.58056793982</v>
      </c>
      <c r="B721" s="4" t="s">
        <v>2792</v>
      </c>
      <c r="C721" s="4" t="s">
        <v>2216</v>
      </c>
      <c r="D721" s="8" t="s">
        <v>1322</v>
      </c>
      <c r="E721" s="4" t="s">
        <v>583</v>
      </c>
      <c r="F721" s="4" t="s">
        <v>2793</v>
      </c>
      <c r="G721" s="4" t="s">
        <v>32</v>
      </c>
      <c r="H721" s="4" t="s">
        <v>20</v>
      </c>
      <c r="I721" s="4" t="s">
        <v>2316</v>
      </c>
    </row>
    <row r="722">
      <c r="A722" s="7">
        <v>45595.58268960648</v>
      </c>
      <c r="B722" s="4" t="s">
        <v>2794</v>
      </c>
      <c r="C722" s="4" t="s">
        <v>2795</v>
      </c>
      <c r="D722" s="4" t="s">
        <v>2796</v>
      </c>
      <c r="E722" s="4" t="s">
        <v>17</v>
      </c>
      <c r="F722" s="4" t="s">
        <v>2797</v>
      </c>
      <c r="G722" s="4" t="s">
        <v>54</v>
      </c>
      <c r="H722" s="4" t="s">
        <v>20</v>
      </c>
      <c r="I722" s="4" t="s">
        <v>1454</v>
      </c>
    </row>
    <row r="723">
      <c r="A723" s="7">
        <v>45595.58606230324</v>
      </c>
      <c r="B723" s="4" t="s">
        <v>1510</v>
      </c>
      <c r="C723" s="4" t="s">
        <v>1511</v>
      </c>
      <c r="D723" s="4" t="s">
        <v>1500</v>
      </c>
      <c r="E723" s="4" t="s">
        <v>113</v>
      </c>
      <c r="F723" s="4" t="s">
        <v>1512</v>
      </c>
      <c r="G723" s="4" t="s">
        <v>32</v>
      </c>
      <c r="H723" s="4" t="s">
        <v>570</v>
      </c>
      <c r="I723" s="4" t="s">
        <v>301</v>
      </c>
    </row>
    <row r="724">
      <c r="A724" s="7">
        <v>45595.60211760417</v>
      </c>
      <c r="B724" s="4" t="s">
        <v>2798</v>
      </c>
      <c r="C724" s="4" t="s">
        <v>2799</v>
      </c>
      <c r="D724" s="8" t="s">
        <v>2800</v>
      </c>
      <c r="E724" s="4" t="s">
        <v>100</v>
      </c>
      <c r="F724" s="4" t="s">
        <v>2801</v>
      </c>
      <c r="G724" s="4" t="s">
        <v>32</v>
      </c>
      <c r="H724" s="4" t="s">
        <v>20</v>
      </c>
      <c r="I724" s="4" t="s">
        <v>42</v>
      </c>
    </row>
    <row r="725">
      <c r="A725" s="7">
        <v>45595.60289793981</v>
      </c>
      <c r="B725" s="4" t="s">
        <v>2802</v>
      </c>
      <c r="C725" s="4" t="s">
        <v>2799</v>
      </c>
      <c r="D725" s="8" t="s">
        <v>2800</v>
      </c>
      <c r="E725" s="4" t="s">
        <v>100</v>
      </c>
      <c r="F725" s="4" t="s">
        <v>2803</v>
      </c>
      <c r="G725" s="4" t="s">
        <v>32</v>
      </c>
      <c r="H725" s="4" t="s">
        <v>20</v>
      </c>
      <c r="I725" s="4" t="s">
        <v>42</v>
      </c>
    </row>
    <row r="726">
      <c r="A726" s="7">
        <v>45595.60315758102</v>
      </c>
      <c r="B726" s="4" t="s">
        <v>2804</v>
      </c>
      <c r="C726" s="4" t="s">
        <v>2805</v>
      </c>
      <c r="D726" s="8" t="s">
        <v>2806</v>
      </c>
      <c r="E726" s="4" t="s">
        <v>78</v>
      </c>
      <c r="F726" s="4" t="s">
        <v>2807</v>
      </c>
      <c r="G726" s="4" t="s">
        <v>19</v>
      </c>
      <c r="H726" s="4" t="s">
        <v>20</v>
      </c>
      <c r="I726" s="4" t="s">
        <v>440</v>
      </c>
    </row>
    <row r="727">
      <c r="A727" s="7">
        <v>45595.6039509375</v>
      </c>
      <c r="B727" s="4" t="s">
        <v>2808</v>
      </c>
      <c r="C727" s="4" t="s">
        <v>2799</v>
      </c>
      <c r="D727" s="8" t="s">
        <v>2800</v>
      </c>
      <c r="E727" s="4" t="s">
        <v>100</v>
      </c>
      <c r="F727" s="4" t="s">
        <v>2809</v>
      </c>
      <c r="G727" s="4" t="s">
        <v>32</v>
      </c>
      <c r="H727" s="4" t="s">
        <v>20</v>
      </c>
      <c r="I727" s="4" t="s">
        <v>42</v>
      </c>
    </row>
    <row r="728">
      <c r="A728" s="7">
        <v>45595.61170429398</v>
      </c>
      <c r="B728" s="4" t="s">
        <v>2810</v>
      </c>
      <c r="C728" s="4" t="s">
        <v>2811</v>
      </c>
      <c r="D728" s="8" t="s">
        <v>2812</v>
      </c>
      <c r="E728" s="4" t="s">
        <v>404</v>
      </c>
      <c r="F728" s="4" t="s">
        <v>2813</v>
      </c>
      <c r="G728" s="4" t="s">
        <v>251</v>
      </c>
      <c r="H728" s="4" t="s">
        <v>20</v>
      </c>
      <c r="I728" s="4" t="s">
        <v>1536</v>
      </c>
    </row>
    <row r="729">
      <c r="A729" s="7">
        <v>45595.60946003472</v>
      </c>
      <c r="B729" s="4" t="s">
        <v>2814</v>
      </c>
      <c r="C729" s="4" t="s">
        <v>2815</v>
      </c>
      <c r="D729" s="8" t="s">
        <v>2816</v>
      </c>
      <c r="E729" s="4" t="s">
        <v>17</v>
      </c>
      <c r="F729" s="4" t="s">
        <v>2817</v>
      </c>
      <c r="G729" s="4" t="s">
        <v>19</v>
      </c>
      <c r="H729" s="4" t="s">
        <v>20</v>
      </c>
      <c r="I729" s="4" t="s">
        <v>131</v>
      </c>
    </row>
    <row r="730">
      <c r="A730" s="7">
        <v>45595.60984042824</v>
      </c>
      <c r="B730" s="4" t="s">
        <v>2818</v>
      </c>
      <c r="C730" s="4" t="s">
        <v>2819</v>
      </c>
      <c r="D730" s="8" t="s">
        <v>533</v>
      </c>
      <c r="E730" s="4" t="s">
        <v>1039</v>
      </c>
      <c r="F730" s="4" t="s">
        <v>2820</v>
      </c>
      <c r="G730" s="4" t="s">
        <v>54</v>
      </c>
      <c r="H730" s="4" t="s">
        <v>20</v>
      </c>
      <c r="I730" s="4" t="s">
        <v>852</v>
      </c>
    </row>
    <row r="731">
      <c r="A731" s="7">
        <v>45595.610794479166</v>
      </c>
      <c r="B731" s="4" t="s">
        <v>2821</v>
      </c>
      <c r="C731" s="4" t="s">
        <v>2822</v>
      </c>
      <c r="D731" s="8" t="s">
        <v>533</v>
      </c>
      <c r="E731" s="4" t="s">
        <v>137</v>
      </c>
      <c r="F731" s="4" t="s">
        <v>2823</v>
      </c>
      <c r="G731" s="4" t="s">
        <v>54</v>
      </c>
      <c r="H731" s="4" t="s">
        <v>20</v>
      </c>
      <c r="I731" s="4" t="s">
        <v>26</v>
      </c>
    </row>
    <row r="732">
      <c r="A732" s="7">
        <v>45595.612104907406</v>
      </c>
      <c r="B732" s="4" t="s">
        <v>1836</v>
      </c>
      <c r="C732" s="4" t="s">
        <v>2824</v>
      </c>
      <c r="D732" s="8" t="s">
        <v>2825</v>
      </c>
      <c r="E732" s="4" t="s">
        <v>754</v>
      </c>
      <c r="F732" s="4" t="s">
        <v>2826</v>
      </c>
      <c r="G732" s="4" t="s">
        <v>251</v>
      </c>
      <c r="H732" s="4" t="s">
        <v>570</v>
      </c>
      <c r="I732" s="4" t="s">
        <v>2827</v>
      </c>
    </row>
    <row r="733">
      <c r="A733" s="7">
        <v>45595.61308336805</v>
      </c>
      <c r="B733" s="4" t="s">
        <v>1360</v>
      </c>
      <c r="C733" s="4" t="s">
        <v>1361</v>
      </c>
      <c r="D733" s="8" t="s">
        <v>1991</v>
      </c>
      <c r="E733" s="4" t="s">
        <v>313</v>
      </c>
      <c r="F733" s="4" t="s">
        <v>1363</v>
      </c>
      <c r="G733" s="4" t="s">
        <v>251</v>
      </c>
      <c r="H733" s="4" t="s">
        <v>570</v>
      </c>
      <c r="I733" s="4" t="s">
        <v>839</v>
      </c>
    </row>
    <row r="734">
      <c r="A734" s="7">
        <v>45595.62086270833</v>
      </c>
      <c r="B734" s="4" t="s">
        <v>2828</v>
      </c>
      <c r="C734" s="4" t="s">
        <v>2829</v>
      </c>
      <c r="D734" s="8" t="s">
        <v>2830</v>
      </c>
      <c r="E734" s="4" t="s">
        <v>17</v>
      </c>
      <c r="F734" s="4" t="s">
        <v>2831</v>
      </c>
      <c r="G734" s="4" t="s">
        <v>41</v>
      </c>
      <c r="H734" s="4" t="s">
        <v>20</v>
      </c>
      <c r="I734" s="4" t="s">
        <v>2218</v>
      </c>
    </row>
    <row r="735">
      <c r="A735" s="7">
        <v>45595.62309443287</v>
      </c>
      <c r="B735" s="4" t="s">
        <v>1533</v>
      </c>
      <c r="C735" s="4" t="s">
        <v>1534</v>
      </c>
      <c r="D735" s="8" t="s">
        <v>2832</v>
      </c>
      <c r="E735" s="4" t="s">
        <v>754</v>
      </c>
      <c r="F735" s="4" t="s">
        <v>1535</v>
      </c>
      <c r="G735" s="4" t="s">
        <v>251</v>
      </c>
      <c r="H735" s="4" t="s">
        <v>570</v>
      </c>
      <c r="I735" s="4" t="s">
        <v>1536</v>
      </c>
    </row>
    <row r="736">
      <c r="A736" s="7">
        <v>45595.62386208333</v>
      </c>
      <c r="B736" s="4" t="s">
        <v>1530</v>
      </c>
      <c r="C736" s="4" t="s">
        <v>2833</v>
      </c>
      <c r="D736" s="8" t="s">
        <v>1991</v>
      </c>
      <c r="E736" s="4" t="s">
        <v>313</v>
      </c>
      <c r="F736" s="4" t="s">
        <v>2834</v>
      </c>
      <c r="G736" s="4" t="s">
        <v>251</v>
      </c>
      <c r="H736" s="4" t="s">
        <v>570</v>
      </c>
      <c r="I736" s="4" t="s">
        <v>434</v>
      </c>
    </row>
    <row r="737">
      <c r="A737" s="7">
        <v>45595.624697141204</v>
      </c>
      <c r="B737" s="4" t="s">
        <v>2070</v>
      </c>
      <c r="C737" s="4" t="s">
        <v>2071</v>
      </c>
      <c r="D737" s="8" t="s">
        <v>1991</v>
      </c>
      <c r="E737" s="4" t="s">
        <v>313</v>
      </c>
      <c r="F737" s="4" t="s">
        <v>2835</v>
      </c>
      <c r="G737" s="4" t="s">
        <v>251</v>
      </c>
      <c r="H737" s="4" t="s">
        <v>570</v>
      </c>
      <c r="I737" s="4" t="s">
        <v>2836</v>
      </c>
    </row>
    <row r="738">
      <c r="A738" s="7">
        <v>45595.62655074074</v>
      </c>
      <c r="B738" s="4" t="s">
        <v>2837</v>
      </c>
      <c r="C738" s="4" t="s">
        <v>2838</v>
      </c>
      <c r="D738" s="4" t="s">
        <v>1606</v>
      </c>
      <c r="E738" s="4" t="s">
        <v>653</v>
      </c>
      <c r="F738" s="4" t="s">
        <v>2839</v>
      </c>
      <c r="G738" s="4" t="s">
        <v>251</v>
      </c>
      <c r="H738" s="4" t="s">
        <v>20</v>
      </c>
      <c r="I738" s="4" t="s">
        <v>585</v>
      </c>
    </row>
    <row r="739">
      <c r="A739" s="7">
        <v>45595.62836681713</v>
      </c>
      <c r="B739" s="4" t="s">
        <v>820</v>
      </c>
      <c r="C739" s="4" t="s">
        <v>821</v>
      </c>
      <c r="D739" s="8" t="s">
        <v>1991</v>
      </c>
      <c r="E739" s="4" t="s">
        <v>313</v>
      </c>
      <c r="F739" s="4" t="s">
        <v>2840</v>
      </c>
      <c r="G739" s="4" t="s">
        <v>251</v>
      </c>
      <c r="H739" s="4" t="s">
        <v>570</v>
      </c>
      <c r="I739" s="4" t="s">
        <v>2841</v>
      </c>
    </row>
    <row r="740">
      <c r="A740" s="7">
        <v>45595.63508960648</v>
      </c>
      <c r="B740" s="4" t="s">
        <v>2842</v>
      </c>
      <c r="C740" s="4" t="s">
        <v>2799</v>
      </c>
      <c r="D740" s="8" t="s">
        <v>2800</v>
      </c>
      <c r="E740" s="4" t="s">
        <v>100</v>
      </c>
      <c r="F740" s="4" t="s">
        <v>2843</v>
      </c>
      <c r="G740" s="4" t="s">
        <v>32</v>
      </c>
      <c r="H740" s="4" t="s">
        <v>20</v>
      </c>
      <c r="I740" s="4" t="s">
        <v>42</v>
      </c>
    </row>
    <row r="741">
      <c r="A741" s="7">
        <v>45595.63604481482</v>
      </c>
      <c r="B741" s="4" t="s">
        <v>2837</v>
      </c>
      <c r="C741" s="4" t="s">
        <v>2844</v>
      </c>
      <c r="D741" s="4" t="s">
        <v>527</v>
      </c>
      <c r="E741" s="4" t="s">
        <v>528</v>
      </c>
      <c r="F741" s="4" t="s">
        <v>2845</v>
      </c>
      <c r="G741" s="4" t="s">
        <v>32</v>
      </c>
      <c r="H741" s="4" t="s">
        <v>20</v>
      </c>
      <c r="I741" s="4" t="s">
        <v>484</v>
      </c>
    </row>
    <row r="742">
      <c r="A742" s="7">
        <v>45596.37272865741</v>
      </c>
      <c r="B742" s="4" t="s">
        <v>2846</v>
      </c>
      <c r="C742" s="4" t="s">
        <v>2847</v>
      </c>
      <c r="D742" s="8" t="s">
        <v>2848</v>
      </c>
      <c r="E742" s="4" t="s">
        <v>173</v>
      </c>
      <c r="F742" s="4" t="s">
        <v>2849</v>
      </c>
      <c r="G742" s="4" t="s">
        <v>41</v>
      </c>
      <c r="H742" s="4" t="s">
        <v>20</v>
      </c>
      <c r="I742" s="4" t="s">
        <v>152</v>
      </c>
    </row>
    <row r="743">
      <c r="A743" s="7">
        <v>45596.37962569445</v>
      </c>
      <c r="B743" s="4" t="s">
        <v>1885</v>
      </c>
      <c r="C743" s="4" t="s">
        <v>2850</v>
      </c>
      <c r="D743" s="4" t="s">
        <v>2536</v>
      </c>
      <c r="E743" s="4" t="s">
        <v>345</v>
      </c>
      <c r="F743" s="4" t="s">
        <v>1887</v>
      </c>
      <c r="G743" s="4" t="s">
        <v>54</v>
      </c>
      <c r="H743" s="4" t="s">
        <v>570</v>
      </c>
      <c r="I743" s="4" t="s">
        <v>891</v>
      </c>
    </row>
    <row r="744">
      <c r="A744" s="7">
        <v>45596.38399584491</v>
      </c>
      <c r="B744" s="4" t="s">
        <v>1421</v>
      </c>
      <c r="C744" s="4" t="s">
        <v>2851</v>
      </c>
      <c r="D744" s="8" t="s">
        <v>2088</v>
      </c>
      <c r="E744" s="4" t="s">
        <v>284</v>
      </c>
      <c r="F744" s="4" t="s">
        <v>2852</v>
      </c>
      <c r="G744" s="4" t="s">
        <v>251</v>
      </c>
      <c r="H744" s="4" t="s">
        <v>570</v>
      </c>
      <c r="I744" s="4" t="s">
        <v>406</v>
      </c>
    </row>
    <row r="745">
      <c r="A745" s="7">
        <v>45596.39462238426</v>
      </c>
      <c r="B745" s="4" t="s">
        <v>2853</v>
      </c>
      <c r="C745" s="4" t="s">
        <v>1978</v>
      </c>
      <c r="D745" s="8" t="s">
        <v>124</v>
      </c>
      <c r="E745" s="4" t="s">
        <v>59</v>
      </c>
      <c r="F745" s="4" t="s">
        <v>2854</v>
      </c>
      <c r="G745" s="4" t="s">
        <v>54</v>
      </c>
      <c r="H745" s="4" t="s">
        <v>20</v>
      </c>
      <c r="I745" s="4" t="s">
        <v>2855</v>
      </c>
    </row>
    <row r="746">
      <c r="A746" s="7">
        <v>45596.3956071412</v>
      </c>
      <c r="B746" s="4" t="s">
        <v>2856</v>
      </c>
      <c r="C746" s="4" t="s">
        <v>2857</v>
      </c>
      <c r="D746" s="8" t="s">
        <v>2858</v>
      </c>
      <c r="E746" s="4" t="s">
        <v>946</v>
      </c>
      <c r="F746" s="4" t="s">
        <v>2859</v>
      </c>
      <c r="G746" s="4" t="s">
        <v>32</v>
      </c>
      <c r="H746" s="4" t="s">
        <v>20</v>
      </c>
      <c r="I746" s="4" t="s">
        <v>180</v>
      </c>
    </row>
    <row r="747">
      <c r="A747" s="7">
        <v>45596.396520787035</v>
      </c>
      <c r="B747" s="4" t="s">
        <v>1706</v>
      </c>
      <c r="C747" s="4" t="s">
        <v>1707</v>
      </c>
      <c r="D747" s="8" t="s">
        <v>1991</v>
      </c>
      <c r="E747" s="4" t="s">
        <v>313</v>
      </c>
      <c r="F747" s="4" t="s">
        <v>2860</v>
      </c>
      <c r="G747" s="4" t="s">
        <v>251</v>
      </c>
      <c r="H747" s="4" t="s">
        <v>570</v>
      </c>
      <c r="I747" s="4" t="s">
        <v>721</v>
      </c>
    </row>
    <row r="748">
      <c r="A748" s="7">
        <v>45596.39750665509</v>
      </c>
      <c r="B748" s="4" t="s">
        <v>2861</v>
      </c>
      <c r="C748" s="4" t="s">
        <v>2862</v>
      </c>
      <c r="D748" s="4" t="s">
        <v>2863</v>
      </c>
      <c r="E748" s="4" t="s">
        <v>404</v>
      </c>
      <c r="F748" s="4" t="s">
        <v>2864</v>
      </c>
      <c r="G748" s="4" t="s">
        <v>251</v>
      </c>
      <c r="H748" s="4" t="s">
        <v>20</v>
      </c>
      <c r="I748" s="4" t="s">
        <v>891</v>
      </c>
    </row>
    <row r="749">
      <c r="A749" s="7">
        <v>45596.40108887732</v>
      </c>
      <c r="B749" s="4" t="s">
        <v>2865</v>
      </c>
      <c r="C749" s="4" t="s">
        <v>2866</v>
      </c>
      <c r="D749" s="8" t="s">
        <v>2867</v>
      </c>
      <c r="E749" s="4" t="s">
        <v>17</v>
      </c>
      <c r="F749" s="4" t="s">
        <v>2868</v>
      </c>
      <c r="G749" s="4" t="s">
        <v>54</v>
      </c>
      <c r="H749" s="4" t="s">
        <v>20</v>
      </c>
      <c r="I749" s="4" t="s">
        <v>2869</v>
      </c>
    </row>
    <row r="750">
      <c r="A750" s="7">
        <v>45596.40872097222</v>
      </c>
      <c r="B750" s="4" t="s">
        <v>2870</v>
      </c>
      <c r="C750" s="4" t="s">
        <v>231</v>
      </c>
      <c r="D750" s="4" t="s">
        <v>373</v>
      </c>
      <c r="E750" s="4" t="s">
        <v>17</v>
      </c>
      <c r="F750" s="4" t="s">
        <v>1688</v>
      </c>
      <c r="G750" s="4" t="s">
        <v>54</v>
      </c>
      <c r="H750" s="4" t="s">
        <v>570</v>
      </c>
      <c r="I750" s="4" t="s">
        <v>1458</v>
      </c>
    </row>
    <row r="751">
      <c r="A751" s="7">
        <v>45596.40969325231</v>
      </c>
      <c r="B751" s="4" t="s">
        <v>1694</v>
      </c>
      <c r="C751" s="4" t="s">
        <v>231</v>
      </c>
      <c r="D751" s="4" t="s">
        <v>373</v>
      </c>
      <c r="E751" s="4" t="s">
        <v>345</v>
      </c>
      <c r="F751" s="4" t="s">
        <v>1696</v>
      </c>
      <c r="G751" s="4" t="s">
        <v>54</v>
      </c>
      <c r="H751" s="4" t="s">
        <v>570</v>
      </c>
      <c r="I751" s="4" t="s">
        <v>2871</v>
      </c>
    </row>
    <row r="752">
      <c r="A752" s="7">
        <v>45596.416365324076</v>
      </c>
      <c r="B752" s="4" t="s">
        <v>2872</v>
      </c>
      <c r="C752" s="4" t="s">
        <v>2873</v>
      </c>
      <c r="D752" s="4" t="s">
        <v>2874</v>
      </c>
      <c r="E752" s="4" t="s">
        <v>313</v>
      </c>
      <c r="F752" s="4" t="s">
        <v>2876</v>
      </c>
      <c r="G752" s="4" t="s">
        <v>251</v>
      </c>
      <c r="H752" s="4" t="s">
        <v>20</v>
      </c>
      <c r="I752" s="4" t="s">
        <v>1056</v>
      </c>
    </row>
    <row r="753">
      <c r="A753" s="7">
        <v>45596.42052868055</v>
      </c>
      <c r="B753" s="4" t="s">
        <v>2877</v>
      </c>
      <c r="C753" s="4" t="s">
        <v>2878</v>
      </c>
      <c r="D753" s="8" t="s">
        <v>2879</v>
      </c>
      <c r="E753" s="4" t="s">
        <v>17</v>
      </c>
      <c r="F753" s="4" t="s">
        <v>2880</v>
      </c>
      <c r="G753" s="4" t="s">
        <v>19</v>
      </c>
      <c r="H753" s="4" t="s">
        <v>20</v>
      </c>
      <c r="I753" s="4" t="s">
        <v>2882</v>
      </c>
    </row>
    <row r="754">
      <c r="A754" s="7">
        <v>45596.422280659724</v>
      </c>
      <c r="B754" s="4" t="s">
        <v>2883</v>
      </c>
      <c r="C754" s="4" t="s">
        <v>2884</v>
      </c>
      <c r="D754" s="8" t="s">
        <v>2885</v>
      </c>
      <c r="E754" s="4" t="s">
        <v>1642</v>
      </c>
      <c r="F754" s="4" t="s">
        <v>2886</v>
      </c>
      <c r="G754" s="4" t="s">
        <v>32</v>
      </c>
      <c r="H754" s="4" t="s">
        <v>20</v>
      </c>
      <c r="I754" s="4" t="s">
        <v>115</v>
      </c>
    </row>
    <row r="755">
      <c r="A755" s="7">
        <v>45596.423320856484</v>
      </c>
      <c r="B755" s="4" t="s">
        <v>2887</v>
      </c>
      <c r="C755" s="4" t="s">
        <v>2888</v>
      </c>
      <c r="D755" s="8" t="s">
        <v>2885</v>
      </c>
      <c r="E755" s="4" t="s">
        <v>345</v>
      </c>
      <c r="F755" s="4" t="s">
        <v>2889</v>
      </c>
      <c r="G755" s="4" t="s">
        <v>32</v>
      </c>
      <c r="H755" s="4" t="s">
        <v>20</v>
      </c>
      <c r="I755" s="4" t="s">
        <v>301</v>
      </c>
    </row>
    <row r="756">
      <c r="A756" s="7">
        <v>45596.42365991898</v>
      </c>
      <c r="B756" s="4" t="s">
        <v>2890</v>
      </c>
      <c r="C756" s="4" t="s">
        <v>2891</v>
      </c>
      <c r="D756" s="8" t="s">
        <v>2892</v>
      </c>
      <c r="E756" s="4" t="s">
        <v>17</v>
      </c>
      <c r="F756" s="4" t="s">
        <v>2893</v>
      </c>
      <c r="G756" s="4" t="s">
        <v>19</v>
      </c>
      <c r="H756" s="4" t="s">
        <v>20</v>
      </c>
      <c r="I756" s="4" t="s">
        <v>115</v>
      </c>
    </row>
    <row r="757">
      <c r="A757" s="7">
        <v>45596.42439806713</v>
      </c>
      <c r="B757" s="4" t="s">
        <v>2894</v>
      </c>
      <c r="C757" s="4" t="s">
        <v>2895</v>
      </c>
      <c r="D757" s="8" t="s">
        <v>2885</v>
      </c>
      <c r="E757" s="4" t="s">
        <v>345</v>
      </c>
      <c r="F757" s="4" t="s">
        <v>2896</v>
      </c>
      <c r="G757" s="4" t="s">
        <v>32</v>
      </c>
      <c r="H757" s="4" t="s">
        <v>20</v>
      </c>
      <c r="I757" s="4" t="s">
        <v>2897</v>
      </c>
    </row>
    <row r="758">
      <c r="A758" s="7">
        <v>45596.426696678245</v>
      </c>
      <c r="B758" s="4" t="s">
        <v>2898</v>
      </c>
      <c r="C758" s="4" t="s">
        <v>2899</v>
      </c>
      <c r="D758" s="8" t="s">
        <v>2885</v>
      </c>
      <c r="E758" s="4" t="s">
        <v>1159</v>
      </c>
      <c r="F758" s="4" t="s">
        <v>2900</v>
      </c>
      <c r="G758" s="4" t="s">
        <v>32</v>
      </c>
      <c r="H758" s="4" t="s">
        <v>20</v>
      </c>
      <c r="I758" s="4" t="s">
        <v>301</v>
      </c>
    </row>
    <row r="759">
      <c r="A759" s="7">
        <v>45596.43871930556</v>
      </c>
      <c r="B759" s="4" t="s">
        <v>2901</v>
      </c>
      <c r="C759" s="4" t="s">
        <v>2902</v>
      </c>
      <c r="D759" s="8" t="s">
        <v>2903</v>
      </c>
      <c r="E759" s="4" t="s">
        <v>78</v>
      </c>
      <c r="F759" s="4" t="s">
        <v>2904</v>
      </c>
      <c r="G759" s="4" t="s">
        <v>41</v>
      </c>
      <c r="H759" s="4" t="s">
        <v>20</v>
      </c>
      <c r="I759" s="4" t="s">
        <v>126</v>
      </c>
    </row>
    <row r="760">
      <c r="A760" s="7">
        <v>45596.4395631713</v>
      </c>
      <c r="B760" s="4" t="s">
        <v>999</v>
      </c>
      <c r="C760" s="4" t="s">
        <v>1000</v>
      </c>
      <c r="D760" s="4" t="s">
        <v>394</v>
      </c>
      <c r="E760" s="4" t="s">
        <v>113</v>
      </c>
      <c r="F760" s="4" t="s">
        <v>1001</v>
      </c>
      <c r="G760" s="4" t="s">
        <v>32</v>
      </c>
      <c r="H760" s="4" t="s">
        <v>570</v>
      </c>
      <c r="I760" s="4" t="s">
        <v>686</v>
      </c>
    </row>
    <row r="761">
      <c r="A761" s="7">
        <v>45596.446298622686</v>
      </c>
      <c r="B761" s="4" t="s">
        <v>2905</v>
      </c>
      <c r="C761" s="4" t="s">
        <v>2906</v>
      </c>
      <c r="D761" s="4" t="s">
        <v>996</v>
      </c>
      <c r="E761" s="4" t="s">
        <v>345</v>
      </c>
      <c r="F761" s="4" t="s">
        <v>2907</v>
      </c>
      <c r="G761" s="4" t="s">
        <v>54</v>
      </c>
      <c r="H761" s="4" t="s">
        <v>20</v>
      </c>
      <c r="I761" s="4" t="s">
        <v>721</v>
      </c>
    </row>
    <row r="762">
      <c r="A762" s="7">
        <v>45596.44680549769</v>
      </c>
      <c r="B762" s="4" t="s">
        <v>2908</v>
      </c>
      <c r="C762" s="4" t="s">
        <v>2909</v>
      </c>
      <c r="D762" s="4" t="s">
        <v>2910</v>
      </c>
      <c r="E762" s="4" t="s">
        <v>313</v>
      </c>
      <c r="F762" s="4" t="s">
        <v>2911</v>
      </c>
      <c r="G762" s="4" t="s">
        <v>251</v>
      </c>
      <c r="H762" s="4" t="s">
        <v>20</v>
      </c>
      <c r="I762" s="4" t="s">
        <v>1721</v>
      </c>
    </row>
    <row r="763">
      <c r="A763" s="7">
        <v>45596.457281689814</v>
      </c>
      <c r="B763" s="4" t="s">
        <v>1251</v>
      </c>
      <c r="C763" s="4" t="s">
        <v>1252</v>
      </c>
      <c r="D763" s="8" t="s">
        <v>1991</v>
      </c>
      <c r="E763" s="4" t="s">
        <v>313</v>
      </c>
      <c r="F763" s="4" t="s">
        <v>2912</v>
      </c>
      <c r="G763" s="4" t="s">
        <v>251</v>
      </c>
      <c r="H763" s="4" t="s">
        <v>570</v>
      </c>
      <c r="I763" s="4" t="s">
        <v>2913</v>
      </c>
    </row>
    <row r="764">
      <c r="A764" s="7">
        <v>45596.46312601852</v>
      </c>
      <c r="B764" s="4" t="s">
        <v>2914</v>
      </c>
      <c r="C764" s="4" t="s">
        <v>2915</v>
      </c>
      <c r="D764" s="8" t="s">
        <v>1050</v>
      </c>
      <c r="E764" s="4" t="s">
        <v>379</v>
      </c>
      <c r="F764" s="4" t="s">
        <v>2916</v>
      </c>
      <c r="G764" s="4" t="s">
        <v>251</v>
      </c>
      <c r="H764" s="4" t="s">
        <v>20</v>
      </c>
      <c r="I764" s="4" t="s">
        <v>446</v>
      </c>
    </row>
    <row r="765">
      <c r="A765" s="7">
        <v>45596.47378186343</v>
      </c>
      <c r="B765" s="4" t="s">
        <v>2917</v>
      </c>
      <c r="C765" s="4" t="s">
        <v>2918</v>
      </c>
      <c r="D765" s="8" t="s">
        <v>2919</v>
      </c>
      <c r="E765" s="4" t="s">
        <v>2920</v>
      </c>
      <c r="F765" s="4" t="s">
        <v>2921</v>
      </c>
      <c r="G765" s="4" t="s">
        <v>54</v>
      </c>
      <c r="H765" s="4" t="s">
        <v>20</v>
      </c>
      <c r="I765" s="4" t="s">
        <v>446</v>
      </c>
    </row>
    <row r="766">
      <c r="A766" s="7">
        <v>45596.46877386574</v>
      </c>
      <c r="B766" s="4" t="s">
        <v>2922</v>
      </c>
      <c r="C766" s="4" t="s">
        <v>2923</v>
      </c>
      <c r="D766" s="8" t="s">
        <v>2924</v>
      </c>
      <c r="E766" s="4" t="s">
        <v>17</v>
      </c>
      <c r="F766" s="4" t="s">
        <v>2925</v>
      </c>
      <c r="G766" s="4" t="s">
        <v>19</v>
      </c>
      <c r="H766" s="4" t="s">
        <v>20</v>
      </c>
      <c r="I766" s="4" t="s">
        <v>144</v>
      </c>
    </row>
    <row r="767">
      <c r="A767" s="7">
        <v>45596.476223680555</v>
      </c>
      <c r="B767" s="4" t="s">
        <v>2926</v>
      </c>
      <c r="C767" s="4" t="s">
        <v>2927</v>
      </c>
      <c r="D767" s="8" t="s">
        <v>2928</v>
      </c>
      <c r="E767" s="4" t="s">
        <v>17</v>
      </c>
      <c r="F767" s="4" t="s">
        <v>2929</v>
      </c>
      <c r="G767" s="4" t="s">
        <v>41</v>
      </c>
      <c r="H767" s="4" t="s">
        <v>20</v>
      </c>
      <c r="I767" s="4" t="s">
        <v>301</v>
      </c>
    </row>
    <row r="768">
      <c r="A768" s="7">
        <v>45596.48070280092</v>
      </c>
      <c r="B768" s="4" t="s">
        <v>2930</v>
      </c>
      <c r="C768" s="4" t="s">
        <v>2931</v>
      </c>
      <c r="D768" s="8" t="s">
        <v>2932</v>
      </c>
      <c r="E768" s="4" t="s">
        <v>1293</v>
      </c>
      <c r="F768" s="4" t="s">
        <v>2933</v>
      </c>
      <c r="G768" s="4" t="s">
        <v>251</v>
      </c>
      <c r="H768" s="4" t="s">
        <v>20</v>
      </c>
      <c r="I768" s="4" t="s">
        <v>2934</v>
      </c>
    </row>
    <row r="769">
      <c r="A769" s="7">
        <v>45596.48074636574</v>
      </c>
      <c r="B769" s="4" t="s">
        <v>2935</v>
      </c>
      <c r="C769" s="4" t="s">
        <v>2936</v>
      </c>
      <c r="D769" s="8" t="s">
        <v>2937</v>
      </c>
      <c r="E769" s="4" t="s">
        <v>2938</v>
      </c>
      <c r="F769" s="4" t="s">
        <v>2939</v>
      </c>
      <c r="G769" s="4" t="s">
        <v>54</v>
      </c>
      <c r="H769" s="4" t="s">
        <v>20</v>
      </c>
      <c r="I769" s="4" t="s">
        <v>2940</v>
      </c>
    </row>
    <row r="770">
      <c r="A770" s="7">
        <v>45596.48718287037</v>
      </c>
      <c r="B770" s="4" t="s">
        <v>2941</v>
      </c>
      <c r="C770" s="4" t="s">
        <v>2942</v>
      </c>
      <c r="D770" s="4" t="s">
        <v>2036</v>
      </c>
      <c r="E770" s="4" t="s">
        <v>1952</v>
      </c>
      <c r="F770" s="4" t="s">
        <v>2943</v>
      </c>
      <c r="G770" s="4" t="s">
        <v>32</v>
      </c>
      <c r="H770" s="4" t="s">
        <v>20</v>
      </c>
      <c r="I770" s="4" t="s">
        <v>91</v>
      </c>
    </row>
    <row r="771">
      <c r="A771" s="7">
        <v>45596.48969113426</v>
      </c>
      <c r="B771" s="4" t="s">
        <v>2944</v>
      </c>
      <c r="C771" s="4" t="s">
        <v>2945</v>
      </c>
      <c r="D771" s="4" t="s">
        <v>2036</v>
      </c>
      <c r="E771" s="4" t="s">
        <v>17</v>
      </c>
      <c r="F771" s="4" t="s">
        <v>2946</v>
      </c>
      <c r="G771" s="4" t="s">
        <v>32</v>
      </c>
      <c r="H771" s="4" t="s">
        <v>20</v>
      </c>
      <c r="I771" s="4" t="s">
        <v>80</v>
      </c>
    </row>
    <row r="772">
      <c r="A772" s="7">
        <v>45596.49029321759</v>
      </c>
      <c r="B772" s="4" t="s">
        <v>2947</v>
      </c>
      <c r="C772" s="4" t="s">
        <v>2948</v>
      </c>
      <c r="D772" s="4" t="s">
        <v>2036</v>
      </c>
      <c r="E772" s="4" t="s">
        <v>528</v>
      </c>
      <c r="F772" s="4" t="s">
        <v>2949</v>
      </c>
      <c r="G772" s="4" t="s">
        <v>32</v>
      </c>
      <c r="H772" s="4" t="s">
        <v>20</v>
      </c>
      <c r="I772" s="4" t="s">
        <v>190</v>
      </c>
    </row>
    <row r="773">
      <c r="A773" s="7">
        <v>45596.491203425925</v>
      </c>
      <c r="B773" s="4" t="s">
        <v>2950</v>
      </c>
      <c r="C773" s="4" t="s">
        <v>2951</v>
      </c>
      <c r="D773" s="4" t="s">
        <v>2952</v>
      </c>
      <c r="E773" s="4" t="s">
        <v>2351</v>
      </c>
      <c r="F773" s="4" t="s">
        <v>2953</v>
      </c>
      <c r="G773" s="4" t="s">
        <v>41</v>
      </c>
      <c r="H773" s="4" t="s">
        <v>20</v>
      </c>
      <c r="I773" s="4" t="s">
        <v>2218</v>
      </c>
    </row>
    <row r="774">
      <c r="A774" s="7">
        <v>45596.55343010416</v>
      </c>
      <c r="B774" s="4" t="s">
        <v>2954</v>
      </c>
      <c r="C774" s="4" t="s">
        <v>2955</v>
      </c>
      <c r="D774" s="8" t="s">
        <v>2956</v>
      </c>
      <c r="E774" s="4" t="s">
        <v>17</v>
      </c>
      <c r="F774" s="4" t="s">
        <v>2957</v>
      </c>
      <c r="G774" s="4" t="s">
        <v>19</v>
      </c>
      <c r="H774" s="4" t="s">
        <v>20</v>
      </c>
      <c r="I774" s="4" t="s">
        <v>301</v>
      </c>
    </row>
    <row r="775">
      <c r="A775" s="7">
        <v>45596.55648914352</v>
      </c>
      <c r="B775" s="4" t="s">
        <v>2958</v>
      </c>
      <c r="C775" s="4" t="s">
        <v>2959</v>
      </c>
      <c r="D775" s="8" t="s">
        <v>2960</v>
      </c>
      <c r="E775" s="4" t="s">
        <v>17</v>
      </c>
      <c r="F775" s="4" t="s">
        <v>2961</v>
      </c>
      <c r="G775" s="4" t="s">
        <v>41</v>
      </c>
      <c r="H775" s="4" t="s">
        <v>20</v>
      </c>
      <c r="I775" s="4" t="s">
        <v>144</v>
      </c>
    </row>
    <row r="776">
      <c r="A776" s="7">
        <v>45596.5577418287</v>
      </c>
      <c r="B776" s="4" t="s">
        <v>2962</v>
      </c>
      <c r="C776" s="4" t="s">
        <v>2963</v>
      </c>
      <c r="D776" s="8" t="s">
        <v>2964</v>
      </c>
      <c r="E776" s="4" t="s">
        <v>410</v>
      </c>
      <c r="F776" s="4" t="s">
        <v>2965</v>
      </c>
      <c r="G776" s="4" t="s">
        <v>251</v>
      </c>
      <c r="H776" s="4" t="s">
        <v>20</v>
      </c>
      <c r="I776" s="4" t="s">
        <v>1024</v>
      </c>
    </row>
    <row r="777">
      <c r="A777" s="7">
        <v>45596.56939053241</v>
      </c>
      <c r="B777" s="4" t="s">
        <v>2966</v>
      </c>
      <c r="C777" s="4" t="s">
        <v>2967</v>
      </c>
      <c r="D777" s="8" t="s">
        <v>718</v>
      </c>
      <c r="E777" s="4" t="s">
        <v>653</v>
      </c>
      <c r="F777" s="4" t="s">
        <v>2968</v>
      </c>
      <c r="G777" s="4" t="s">
        <v>54</v>
      </c>
      <c r="H777" s="4" t="s">
        <v>20</v>
      </c>
      <c r="I777" s="4" t="s">
        <v>2105</v>
      </c>
    </row>
    <row r="778">
      <c r="A778" s="7">
        <v>45596.57069361111</v>
      </c>
      <c r="B778" s="4" t="s">
        <v>2969</v>
      </c>
      <c r="C778" s="4" t="s">
        <v>2970</v>
      </c>
      <c r="D778" s="4" t="s">
        <v>188</v>
      </c>
      <c r="E778" s="4" t="s">
        <v>528</v>
      </c>
      <c r="F778" s="4" t="s">
        <v>2972</v>
      </c>
      <c r="G778" s="4" t="s">
        <v>32</v>
      </c>
      <c r="H778" s="4" t="s">
        <v>20</v>
      </c>
      <c r="I778" s="4" t="s">
        <v>272</v>
      </c>
    </row>
    <row r="779">
      <c r="A779" s="7">
        <v>45596.5713421875</v>
      </c>
      <c r="B779" s="4" t="s">
        <v>2973</v>
      </c>
      <c r="C779" s="4" t="s">
        <v>2974</v>
      </c>
      <c r="D779" s="4" t="s">
        <v>188</v>
      </c>
      <c r="E779" s="4" t="s">
        <v>528</v>
      </c>
      <c r="F779" s="4" t="s">
        <v>2975</v>
      </c>
      <c r="G779" s="4" t="s">
        <v>32</v>
      </c>
      <c r="H779" s="4" t="s">
        <v>20</v>
      </c>
      <c r="I779" s="4" t="s">
        <v>229</v>
      </c>
    </row>
    <row r="780">
      <c r="A780" s="7">
        <v>45596.572055763885</v>
      </c>
      <c r="B780" s="4" t="s">
        <v>2976</v>
      </c>
      <c r="C780" s="4" t="s">
        <v>2977</v>
      </c>
      <c r="D780" s="4" t="s">
        <v>188</v>
      </c>
      <c r="E780" s="4" t="s">
        <v>528</v>
      </c>
      <c r="F780" s="4" t="s">
        <v>2978</v>
      </c>
      <c r="G780" s="4" t="s">
        <v>32</v>
      </c>
      <c r="H780" s="4" t="s">
        <v>20</v>
      </c>
      <c r="I780" s="4" t="s">
        <v>2979</v>
      </c>
    </row>
    <row r="781">
      <c r="A781" s="7">
        <v>45596.57358271991</v>
      </c>
      <c r="B781" s="4" t="s">
        <v>2980</v>
      </c>
      <c r="C781" s="4" t="s">
        <v>2981</v>
      </c>
      <c r="D781" s="8" t="s">
        <v>718</v>
      </c>
      <c r="E781" s="4" t="s">
        <v>345</v>
      </c>
      <c r="F781" s="4" t="s">
        <v>2982</v>
      </c>
      <c r="G781" s="4" t="s">
        <v>54</v>
      </c>
      <c r="H781" s="4" t="s">
        <v>20</v>
      </c>
      <c r="I781" s="4" t="s">
        <v>2983</v>
      </c>
    </row>
    <row r="782">
      <c r="A782" s="7">
        <v>45596.57594938658</v>
      </c>
      <c r="B782" s="4" t="s">
        <v>2984</v>
      </c>
      <c r="C782" s="4" t="s">
        <v>2985</v>
      </c>
      <c r="D782" s="4" t="s">
        <v>1947</v>
      </c>
      <c r="E782" s="4" t="s">
        <v>313</v>
      </c>
      <c r="F782" s="4" t="s">
        <v>2986</v>
      </c>
      <c r="G782" s="4" t="s">
        <v>251</v>
      </c>
      <c r="H782" s="4" t="s">
        <v>20</v>
      </c>
      <c r="I782" s="4" t="s">
        <v>721</v>
      </c>
    </row>
    <row r="783">
      <c r="A783" s="7">
        <v>45596.575977291664</v>
      </c>
      <c r="B783" s="4" t="s">
        <v>2987</v>
      </c>
      <c r="C783" s="4" t="s">
        <v>2988</v>
      </c>
      <c r="D783" s="8" t="s">
        <v>718</v>
      </c>
      <c r="E783" s="4" t="s">
        <v>2189</v>
      </c>
      <c r="F783" s="4" t="s">
        <v>2989</v>
      </c>
      <c r="G783" s="4" t="s">
        <v>54</v>
      </c>
      <c r="H783" s="4" t="s">
        <v>20</v>
      </c>
      <c r="I783" s="4" t="s">
        <v>540</v>
      </c>
    </row>
    <row r="784">
      <c r="A784" s="7">
        <v>45596.57915755787</v>
      </c>
      <c r="B784" s="4" t="s">
        <v>2990</v>
      </c>
      <c r="C784" s="4" t="s">
        <v>2991</v>
      </c>
      <c r="D784" s="8" t="s">
        <v>1054</v>
      </c>
      <c r="E784" s="4" t="s">
        <v>1952</v>
      </c>
      <c r="F784" s="4" t="s">
        <v>2992</v>
      </c>
      <c r="G784" s="4" t="s">
        <v>32</v>
      </c>
      <c r="H784" s="4" t="s">
        <v>20</v>
      </c>
      <c r="I784" s="4" t="s">
        <v>121</v>
      </c>
    </row>
    <row r="785">
      <c r="A785" s="7">
        <v>45596.57994122685</v>
      </c>
      <c r="B785" s="4" t="s">
        <v>2993</v>
      </c>
      <c r="C785" s="4" t="s">
        <v>2994</v>
      </c>
      <c r="D785" s="4" t="s">
        <v>2995</v>
      </c>
      <c r="E785" s="4" t="s">
        <v>1642</v>
      </c>
      <c r="F785" s="4" t="s">
        <v>2996</v>
      </c>
      <c r="G785" s="4" t="s">
        <v>32</v>
      </c>
      <c r="H785" s="4" t="s">
        <v>20</v>
      </c>
      <c r="I785" s="4" t="s">
        <v>2145</v>
      </c>
    </row>
    <row r="786">
      <c r="A786" s="7">
        <v>45596.58770575232</v>
      </c>
      <c r="B786" s="4" t="s">
        <v>2997</v>
      </c>
      <c r="C786" s="4" t="s">
        <v>2998</v>
      </c>
      <c r="D786" s="8" t="s">
        <v>2999</v>
      </c>
      <c r="E786" s="4" t="s">
        <v>3000</v>
      </c>
      <c r="F786" s="4" t="s">
        <v>3001</v>
      </c>
      <c r="G786" s="4" t="s">
        <v>251</v>
      </c>
      <c r="H786" s="4" t="s">
        <v>20</v>
      </c>
      <c r="I786" s="4" t="s">
        <v>922</v>
      </c>
    </row>
    <row r="787">
      <c r="A787" s="7">
        <v>45596.59034563658</v>
      </c>
      <c r="B787" s="4" t="s">
        <v>3002</v>
      </c>
      <c r="C787" s="4" t="s">
        <v>3003</v>
      </c>
      <c r="D787" s="4" t="s">
        <v>527</v>
      </c>
      <c r="E787" s="4" t="s">
        <v>345</v>
      </c>
      <c r="F787" s="4" t="s">
        <v>3004</v>
      </c>
      <c r="G787" s="4" t="s">
        <v>32</v>
      </c>
      <c r="H787" s="4" t="s">
        <v>20</v>
      </c>
      <c r="I787" s="4" t="s">
        <v>494</v>
      </c>
    </row>
    <row r="788">
      <c r="A788" s="7">
        <v>45596.59088243055</v>
      </c>
      <c r="B788" s="4" t="s">
        <v>3005</v>
      </c>
      <c r="C788" s="4" t="s">
        <v>3006</v>
      </c>
      <c r="D788" s="4" t="s">
        <v>527</v>
      </c>
      <c r="E788" s="4" t="s">
        <v>345</v>
      </c>
      <c r="F788" s="4" t="s">
        <v>3007</v>
      </c>
      <c r="G788" s="4" t="s">
        <v>32</v>
      </c>
      <c r="H788" s="4" t="s">
        <v>20</v>
      </c>
      <c r="I788" s="4" t="s">
        <v>593</v>
      </c>
    </row>
    <row r="789">
      <c r="A789" s="7">
        <v>45596.594675810185</v>
      </c>
      <c r="B789" s="4" t="s">
        <v>485</v>
      </c>
      <c r="C789" s="4" t="s">
        <v>486</v>
      </c>
      <c r="D789" s="8" t="s">
        <v>3008</v>
      </c>
      <c r="E789" s="4" t="s">
        <v>487</v>
      </c>
      <c r="F789" s="4" t="s">
        <v>3009</v>
      </c>
      <c r="G789" s="4" t="s">
        <v>251</v>
      </c>
      <c r="H789" s="4" t="s">
        <v>570</v>
      </c>
      <c r="I789" s="4" t="s">
        <v>3010</v>
      </c>
    </row>
    <row r="790">
      <c r="A790" s="7">
        <v>45596.59708099537</v>
      </c>
      <c r="B790" s="4" t="s">
        <v>3011</v>
      </c>
      <c r="C790" s="4" t="s">
        <v>3012</v>
      </c>
      <c r="D790" s="4" t="s">
        <v>339</v>
      </c>
      <c r="E790" s="4" t="s">
        <v>313</v>
      </c>
      <c r="F790" s="4" t="s">
        <v>3013</v>
      </c>
      <c r="G790" s="4" t="s">
        <v>251</v>
      </c>
      <c r="H790" s="4" t="s">
        <v>20</v>
      </c>
      <c r="I790" s="4" t="s">
        <v>1261</v>
      </c>
    </row>
    <row r="791">
      <c r="A791" s="7">
        <v>45596.600041446756</v>
      </c>
      <c r="B791" s="4" t="s">
        <v>3014</v>
      </c>
      <c r="C791" s="4" t="s">
        <v>3015</v>
      </c>
      <c r="D791" s="8" t="s">
        <v>150</v>
      </c>
      <c r="E791" s="4" t="s">
        <v>17</v>
      </c>
      <c r="F791" s="4" t="s">
        <v>3016</v>
      </c>
      <c r="G791" s="4" t="s">
        <v>54</v>
      </c>
      <c r="H791" s="4" t="s">
        <v>20</v>
      </c>
      <c r="I791" s="4" t="s">
        <v>3017</v>
      </c>
    </row>
    <row r="792">
      <c r="A792" s="7">
        <v>45596.60688508102</v>
      </c>
      <c r="B792" s="4" t="s">
        <v>3018</v>
      </c>
      <c r="C792" s="4" t="s">
        <v>3019</v>
      </c>
      <c r="D792" s="4" t="s">
        <v>1382</v>
      </c>
      <c r="E792" s="4" t="s">
        <v>432</v>
      </c>
      <c r="F792" s="4" t="s">
        <v>3020</v>
      </c>
      <c r="G792" s="4" t="s">
        <v>251</v>
      </c>
      <c r="H792" s="4" t="s">
        <v>20</v>
      </c>
      <c r="I792" s="4" t="s">
        <v>3021</v>
      </c>
    </row>
    <row r="793">
      <c r="A793" s="7">
        <v>45596.6075806713</v>
      </c>
      <c r="B793" s="4" t="s">
        <v>3022</v>
      </c>
      <c r="C793" s="4" t="s">
        <v>3023</v>
      </c>
      <c r="D793" s="4" t="s">
        <v>1382</v>
      </c>
      <c r="E793" s="4" t="s">
        <v>432</v>
      </c>
      <c r="F793" s="4" t="s">
        <v>3024</v>
      </c>
      <c r="G793" s="4" t="s">
        <v>251</v>
      </c>
      <c r="H793" s="4" t="s">
        <v>20</v>
      </c>
      <c r="I793" s="4" t="s">
        <v>3021</v>
      </c>
    </row>
    <row r="794">
      <c r="A794" s="7">
        <v>45596.6080325</v>
      </c>
      <c r="B794" s="4" t="s">
        <v>3025</v>
      </c>
      <c r="C794" s="4" t="s">
        <v>3026</v>
      </c>
      <c r="D794" s="8" t="s">
        <v>3027</v>
      </c>
      <c r="E794" s="4" t="s">
        <v>17</v>
      </c>
      <c r="F794" s="4" t="s">
        <v>3028</v>
      </c>
      <c r="G794" s="4" t="s">
        <v>41</v>
      </c>
      <c r="H794" s="4" t="s">
        <v>20</v>
      </c>
      <c r="I794" s="4" t="s">
        <v>48</v>
      </c>
    </row>
    <row r="795">
      <c r="A795" s="7">
        <v>45596.60879932871</v>
      </c>
      <c r="B795" s="4" t="s">
        <v>3029</v>
      </c>
      <c r="C795" s="4" t="s">
        <v>3030</v>
      </c>
      <c r="D795" s="4" t="s">
        <v>1382</v>
      </c>
      <c r="E795" s="4" t="s">
        <v>432</v>
      </c>
      <c r="F795" s="4" t="s">
        <v>3031</v>
      </c>
      <c r="G795" s="4" t="s">
        <v>251</v>
      </c>
      <c r="H795" s="4" t="s">
        <v>20</v>
      </c>
      <c r="I795" s="4" t="s">
        <v>1333</v>
      </c>
    </row>
    <row r="796">
      <c r="A796" s="7">
        <v>45596.60972409722</v>
      </c>
      <c r="B796" s="4" t="s">
        <v>3032</v>
      </c>
      <c r="C796" s="4" t="s">
        <v>3033</v>
      </c>
      <c r="D796" s="4" t="s">
        <v>3034</v>
      </c>
      <c r="E796" s="4" t="s">
        <v>451</v>
      </c>
      <c r="F796" s="4" t="s">
        <v>3035</v>
      </c>
      <c r="G796" s="4" t="s">
        <v>54</v>
      </c>
      <c r="H796" s="4" t="s">
        <v>20</v>
      </c>
      <c r="I796" s="4" t="s">
        <v>3036</v>
      </c>
    </row>
    <row r="797">
      <c r="A797" s="7">
        <v>45596.61166822916</v>
      </c>
      <c r="B797" s="4" t="s">
        <v>3037</v>
      </c>
      <c r="C797" s="4" t="s">
        <v>3038</v>
      </c>
      <c r="D797" s="4" t="s">
        <v>1848</v>
      </c>
      <c r="E797" s="4" t="s">
        <v>538</v>
      </c>
      <c r="F797" s="4" t="s">
        <v>3039</v>
      </c>
      <c r="G797" s="4" t="s">
        <v>32</v>
      </c>
      <c r="H797" s="4" t="s">
        <v>20</v>
      </c>
      <c r="I797" s="4" t="s">
        <v>958</v>
      </c>
    </row>
    <row r="798">
      <c r="A798" s="7">
        <v>45596.61253802083</v>
      </c>
      <c r="B798" s="4" t="s">
        <v>3040</v>
      </c>
      <c r="C798" s="4" t="s">
        <v>3041</v>
      </c>
      <c r="D798" s="4" t="s">
        <v>1848</v>
      </c>
      <c r="E798" s="4" t="s">
        <v>528</v>
      </c>
      <c r="F798" s="4" t="s">
        <v>3042</v>
      </c>
      <c r="G798" s="4" t="s">
        <v>32</v>
      </c>
      <c r="H798" s="4" t="s">
        <v>20</v>
      </c>
      <c r="I798" s="4" t="s">
        <v>1444</v>
      </c>
    </row>
    <row r="799">
      <c r="A799" s="7">
        <v>45596.61309613426</v>
      </c>
      <c r="B799" s="4" t="s">
        <v>3043</v>
      </c>
      <c r="C799" s="4" t="s">
        <v>2247</v>
      </c>
      <c r="D799" s="8" t="s">
        <v>2248</v>
      </c>
      <c r="E799" s="4" t="s">
        <v>2249</v>
      </c>
      <c r="F799" s="4" t="s">
        <v>3044</v>
      </c>
      <c r="G799" s="4" t="s">
        <v>19</v>
      </c>
      <c r="H799" s="4" t="s">
        <v>20</v>
      </c>
      <c r="I799" s="4" t="s">
        <v>3045</v>
      </c>
    </row>
    <row r="800">
      <c r="A800" s="7">
        <v>45596.613222037035</v>
      </c>
      <c r="B800" s="4" t="s">
        <v>3046</v>
      </c>
      <c r="C800" s="4" t="s">
        <v>3047</v>
      </c>
      <c r="D800" s="4" t="s">
        <v>1848</v>
      </c>
      <c r="E800" s="4" t="s">
        <v>1159</v>
      </c>
      <c r="F800" s="4" t="s">
        <v>3048</v>
      </c>
      <c r="G800" s="4" t="s">
        <v>32</v>
      </c>
      <c r="H800" s="4" t="s">
        <v>20</v>
      </c>
      <c r="I800" s="4" t="s">
        <v>109</v>
      </c>
    </row>
    <row r="801">
      <c r="A801" s="7">
        <v>45596.61385631944</v>
      </c>
      <c r="B801" s="4" t="s">
        <v>3049</v>
      </c>
      <c r="C801" s="4" t="s">
        <v>3047</v>
      </c>
      <c r="D801" s="4" t="s">
        <v>1848</v>
      </c>
      <c r="E801" s="4" t="s">
        <v>1159</v>
      </c>
      <c r="F801" s="4" t="s">
        <v>3050</v>
      </c>
      <c r="G801" s="4" t="s">
        <v>32</v>
      </c>
      <c r="H801" s="4" t="s">
        <v>20</v>
      </c>
      <c r="I801" s="4" t="s">
        <v>109</v>
      </c>
    </row>
    <row r="802">
      <c r="A802" s="7">
        <v>45596.61394760417</v>
      </c>
      <c r="B802" s="4" t="s">
        <v>3051</v>
      </c>
      <c r="C802" s="4" t="s">
        <v>231</v>
      </c>
      <c r="D802" s="4" t="s">
        <v>373</v>
      </c>
      <c r="E802" s="4" t="s">
        <v>173</v>
      </c>
      <c r="F802" s="4" t="s">
        <v>3052</v>
      </c>
      <c r="G802" s="4" t="s">
        <v>54</v>
      </c>
      <c r="H802" s="4" t="s">
        <v>20</v>
      </c>
      <c r="I802" s="4" t="s">
        <v>3053</v>
      </c>
    </row>
    <row r="803">
      <c r="A803" s="7">
        <v>45596.61590143519</v>
      </c>
      <c r="B803" s="4" t="s">
        <v>3054</v>
      </c>
      <c r="C803" s="4" t="s">
        <v>3055</v>
      </c>
      <c r="D803" s="4" t="s">
        <v>373</v>
      </c>
      <c r="E803" s="4" t="s">
        <v>1032</v>
      </c>
      <c r="F803" s="4" t="s">
        <v>3056</v>
      </c>
      <c r="G803" s="4" t="s">
        <v>54</v>
      </c>
      <c r="H803" s="4" t="s">
        <v>20</v>
      </c>
      <c r="I803" s="4" t="s">
        <v>721</v>
      </c>
    </row>
    <row r="804">
      <c r="A804" s="7">
        <v>45596.618478923614</v>
      </c>
      <c r="B804" s="4" t="s">
        <v>3057</v>
      </c>
      <c r="C804" s="4" t="s">
        <v>3058</v>
      </c>
      <c r="D804" s="4" t="s">
        <v>339</v>
      </c>
      <c r="E804" s="4" t="s">
        <v>1293</v>
      </c>
      <c r="F804" s="4" t="s">
        <v>3059</v>
      </c>
      <c r="G804" s="4" t="s">
        <v>251</v>
      </c>
      <c r="H804" s="4" t="s">
        <v>20</v>
      </c>
      <c r="I804" s="4" t="s">
        <v>839</v>
      </c>
    </row>
    <row r="805">
      <c r="A805" s="7">
        <v>45596.61927863426</v>
      </c>
      <c r="B805" s="4" t="s">
        <v>3060</v>
      </c>
      <c r="C805" s="4" t="s">
        <v>3058</v>
      </c>
      <c r="D805" s="4" t="s">
        <v>339</v>
      </c>
      <c r="E805" s="4" t="s">
        <v>1293</v>
      </c>
      <c r="F805" s="4" t="s">
        <v>3061</v>
      </c>
      <c r="G805" s="4" t="s">
        <v>251</v>
      </c>
      <c r="H805" s="4" t="s">
        <v>20</v>
      </c>
      <c r="I805" s="4" t="s">
        <v>839</v>
      </c>
    </row>
    <row r="806">
      <c r="A806" s="7">
        <v>45596.620140451385</v>
      </c>
      <c r="B806" s="4" t="s">
        <v>3062</v>
      </c>
      <c r="C806" s="4" t="s">
        <v>3063</v>
      </c>
      <c r="D806" s="8" t="s">
        <v>697</v>
      </c>
      <c r="E806" s="4" t="s">
        <v>345</v>
      </c>
      <c r="F806" s="4" t="s">
        <v>3064</v>
      </c>
      <c r="G806" s="4" t="s">
        <v>54</v>
      </c>
      <c r="H806" s="4" t="s">
        <v>20</v>
      </c>
      <c r="I806" s="4" t="s">
        <v>565</v>
      </c>
    </row>
    <row r="807">
      <c r="A807" s="7">
        <v>45596.620208356486</v>
      </c>
      <c r="B807" s="4" t="s">
        <v>3065</v>
      </c>
      <c r="C807" s="4" t="s">
        <v>3066</v>
      </c>
      <c r="D807" s="4" t="s">
        <v>2730</v>
      </c>
      <c r="E807" s="4" t="s">
        <v>528</v>
      </c>
      <c r="F807" s="4" t="s">
        <v>3067</v>
      </c>
      <c r="G807" s="4" t="s">
        <v>32</v>
      </c>
      <c r="H807" s="4" t="s">
        <v>20</v>
      </c>
      <c r="I807" s="4" t="s">
        <v>2218</v>
      </c>
    </row>
    <row r="808">
      <c r="A808" s="7">
        <v>45596.620348321754</v>
      </c>
      <c r="B808" s="4" t="s">
        <v>1631</v>
      </c>
      <c r="C808" s="4" t="s">
        <v>3068</v>
      </c>
      <c r="D808" s="8" t="s">
        <v>2369</v>
      </c>
      <c r="E808" s="4" t="s">
        <v>313</v>
      </c>
      <c r="F808" s="4" t="s">
        <v>3069</v>
      </c>
      <c r="G808" s="4" t="s">
        <v>251</v>
      </c>
      <c r="H808" s="4" t="s">
        <v>570</v>
      </c>
      <c r="I808" s="4" t="s">
        <v>3070</v>
      </c>
    </row>
    <row r="809">
      <c r="A809" s="7">
        <v>45596.621024699074</v>
      </c>
      <c r="B809" s="4" t="s">
        <v>2162</v>
      </c>
      <c r="C809" s="4" t="s">
        <v>3071</v>
      </c>
      <c r="D809" s="8" t="s">
        <v>2088</v>
      </c>
      <c r="E809" s="4" t="s">
        <v>313</v>
      </c>
      <c r="F809" s="4" t="s">
        <v>3072</v>
      </c>
      <c r="G809" s="4" t="s">
        <v>251</v>
      </c>
      <c r="H809" s="4" t="s">
        <v>570</v>
      </c>
      <c r="I809" s="4" t="s">
        <v>1536</v>
      </c>
    </row>
    <row r="810">
      <c r="A810" s="7">
        <v>45596.62287425926</v>
      </c>
      <c r="B810" s="4" t="s">
        <v>3073</v>
      </c>
      <c r="C810" s="4" t="s">
        <v>3074</v>
      </c>
      <c r="D810" s="4" t="s">
        <v>1606</v>
      </c>
      <c r="E810" s="4" t="s">
        <v>313</v>
      </c>
      <c r="F810" s="4" t="s">
        <v>3075</v>
      </c>
      <c r="G810" s="4" t="s">
        <v>251</v>
      </c>
      <c r="H810" s="4" t="s">
        <v>20</v>
      </c>
      <c r="I810" s="4" t="s">
        <v>721</v>
      </c>
    </row>
    <row r="811">
      <c r="A811" s="7">
        <v>45596.62394355324</v>
      </c>
      <c r="B811" s="4" t="s">
        <v>2038</v>
      </c>
      <c r="C811" s="4" t="s">
        <v>2039</v>
      </c>
      <c r="D811" s="4" t="s">
        <v>2040</v>
      </c>
      <c r="E811" s="4" t="s">
        <v>345</v>
      </c>
      <c r="F811" s="4" t="s">
        <v>2041</v>
      </c>
      <c r="G811" s="4" t="s">
        <v>32</v>
      </c>
      <c r="H811" s="4" t="s">
        <v>570</v>
      </c>
      <c r="I811" s="4" t="s">
        <v>1045</v>
      </c>
    </row>
    <row r="812">
      <c r="A812" s="7">
        <v>45596.62435655092</v>
      </c>
      <c r="B812" s="4" t="s">
        <v>3076</v>
      </c>
      <c r="C812" s="4" t="s">
        <v>3077</v>
      </c>
      <c r="D812" s="8" t="s">
        <v>697</v>
      </c>
      <c r="E812" s="4" t="s">
        <v>345</v>
      </c>
      <c r="F812" s="4" t="s">
        <v>3078</v>
      </c>
      <c r="G812" s="4" t="s">
        <v>54</v>
      </c>
      <c r="H812" s="4" t="s">
        <v>20</v>
      </c>
      <c r="I812" s="4" t="s">
        <v>406</v>
      </c>
    </row>
    <row r="813">
      <c r="A813" s="7">
        <v>45596.62440847223</v>
      </c>
      <c r="B813" s="4" t="s">
        <v>2042</v>
      </c>
      <c r="C813" s="4" t="s">
        <v>2043</v>
      </c>
      <c r="D813" s="4" t="s">
        <v>2040</v>
      </c>
      <c r="E813" s="4" t="s">
        <v>345</v>
      </c>
      <c r="F813" s="4" t="s">
        <v>2044</v>
      </c>
      <c r="G813" s="4" t="s">
        <v>32</v>
      </c>
      <c r="H813" s="4" t="s">
        <v>570</v>
      </c>
      <c r="I813" s="4" t="s">
        <v>80</v>
      </c>
    </row>
    <row r="814">
      <c r="A814" s="7">
        <v>45596.626555497685</v>
      </c>
      <c r="B814" s="4" t="s">
        <v>3079</v>
      </c>
      <c r="C814" s="4" t="s">
        <v>3080</v>
      </c>
      <c r="D814" s="8" t="s">
        <v>533</v>
      </c>
      <c r="E814" s="4" t="s">
        <v>3081</v>
      </c>
      <c r="F814" s="4" t="s">
        <v>3082</v>
      </c>
      <c r="G814" s="4" t="s">
        <v>251</v>
      </c>
      <c r="H814" s="4" t="s">
        <v>20</v>
      </c>
      <c r="I814" s="4" t="s">
        <v>2519</v>
      </c>
    </row>
    <row r="815">
      <c r="A815" s="7">
        <v>45596.62730050926</v>
      </c>
      <c r="B815" s="4" t="s">
        <v>3083</v>
      </c>
      <c r="C815" s="4" t="s">
        <v>3084</v>
      </c>
      <c r="D815" s="8" t="s">
        <v>697</v>
      </c>
      <c r="E815" s="4" t="s">
        <v>2189</v>
      </c>
      <c r="F815" s="4" t="s">
        <v>3085</v>
      </c>
      <c r="G815" s="4" t="s">
        <v>54</v>
      </c>
      <c r="H815" s="4" t="s">
        <v>20</v>
      </c>
      <c r="I815" s="4" t="s">
        <v>565</v>
      </c>
    </row>
    <row r="816">
      <c r="A816" s="7">
        <v>45596.63629956018</v>
      </c>
      <c r="B816" s="4" t="s">
        <v>3086</v>
      </c>
      <c r="C816" s="4" t="s">
        <v>3087</v>
      </c>
      <c r="D816" s="4" t="s">
        <v>3088</v>
      </c>
      <c r="E816" s="4" t="s">
        <v>313</v>
      </c>
      <c r="F816" s="4" t="s">
        <v>3089</v>
      </c>
      <c r="G816" s="4" t="s">
        <v>251</v>
      </c>
      <c r="H816" s="4" t="s">
        <v>20</v>
      </c>
      <c r="I816" s="4" t="s">
        <v>1575</v>
      </c>
    </row>
    <row r="817">
      <c r="A817" s="7">
        <v>45596.63841480324</v>
      </c>
      <c r="B817" s="4" t="s">
        <v>3090</v>
      </c>
      <c r="C817" s="4" t="s">
        <v>3091</v>
      </c>
      <c r="D817" s="8" t="s">
        <v>3092</v>
      </c>
      <c r="E817" s="4" t="s">
        <v>2249</v>
      </c>
      <c r="F817" s="4" t="s">
        <v>3093</v>
      </c>
      <c r="G817" s="4" t="s">
        <v>54</v>
      </c>
      <c r="H817" s="4" t="s">
        <v>20</v>
      </c>
      <c r="I817" s="4" t="s">
        <v>3094</v>
      </c>
    </row>
    <row r="818">
      <c r="A818" s="7">
        <v>45596.6390727199</v>
      </c>
      <c r="B818" s="4" t="s">
        <v>3095</v>
      </c>
      <c r="C818" s="4" t="s">
        <v>3096</v>
      </c>
      <c r="D818" s="4" t="s">
        <v>3088</v>
      </c>
      <c r="E818" s="4" t="s">
        <v>313</v>
      </c>
      <c r="F818" s="4" t="s">
        <v>3097</v>
      </c>
      <c r="G818" s="4" t="s">
        <v>251</v>
      </c>
      <c r="H818" s="4" t="s">
        <v>20</v>
      </c>
      <c r="I818" s="4" t="s">
        <v>1575</v>
      </c>
    </row>
    <row r="819">
      <c r="A819" s="7">
        <v>45596.64137857639</v>
      </c>
      <c r="B819" s="4" t="s">
        <v>3098</v>
      </c>
      <c r="C819" s="4" t="s">
        <v>3099</v>
      </c>
      <c r="D819" s="4" t="s">
        <v>1617</v>
      </c>
      <c r="E819" s="4" t="s">
        <v>345</v>
      </c>
      <c r="F819" s="4" t="s">
        <v>3100</v>
      </c>
      <c r="G819" s="4" t="s">
        <v>32</v>
      </c>
      <c r="H819" s="4" t="s">
        <v>20</v>
      </c>
      <c r="I819" s="4" t="s">
        <v>686</v>
      </c>
    </row>
    <row r="820">
      <c r="A820" s="7">
        <v>45596.64218589121</v>
      </c>
      <c r="B820" s="4" t="s">
        <v>3101</v>
      </c>
      <c r="C820" s="4" t="s">
        <v>3102</v>
      </c>
      <c r="D820" s="4" t="s">
        <v>1617</v>
      </c>
      <c r="E820" s="4" t="s">
        <v>345</v>
      </c>
      <c r="F820" s="4" t="s">
        <v>3103</v>
      </c>
      <c r="G820" s="4" t="s">
        <v>32</v>
      </c>
      <c r="H820" s="4" t="s">
        <v>20</v>
      </c>
      <c r="I820" s="4" t="s">
        <v>272</v>
      </c>
    </row>
    <row r="821">
      <c r="A821" s="7">
        <v>45596.64292925926</v>
      </c>
      <c r="B821" s="4" t="s">
        <v>3104</v>
      </c>
      <c r="C821" s="4" t="s">
        <v>3105</v>
      </c>
      <c r="D821" s="4" t="s">
        <v>1617</v>
      </c>
      <c r="E821" s="4" t="s">
        <v>345</v>
      </c>
      <c r="F821" s="4" t="s">
        <v>3106</v>
      </c>
      <c r="G821" s="4" t="s">
        <v>32</v>
      </c>
      <c r="H821" s="4" t="s">
        <v>20</v>
      </c>
      <c r="I821" s="4" t="s">
        <v>3107</v>
      </c>
    </row>
    <row r="822">
      <c r="A822" s="7">
        <v>45597.36252697917</v>
      </c>
      <c r="B822" s="4" t="s">
        <v>3108</v>
      </c>
      <c r="C822" s="4" t="s">
        <v>3109</v>
      </c>
      <c r="D822" s="8" t="s">
        <v>3110</v>
      </c>
      <c r="E822" s="4" t="s">
        <v>59</v>
      </c>
      <c r="F822" s="4" t="s">
        <v>3111</v>
      </c>
      <c r="G822" s="4" t="s">
        <v>32</v>
      </c>
      <c r="H822" s="4" t="s">
        <v>20</v>
      </c>
      <c r="I822" s="4" t="s">
        <v>86</v>
      </c>
    </row>
    <row r="823">
      <c r="A823" s="7">
        <v>45597.38294693287</v>
      </c>
      <c r="B823" s="4" t="s">
        <v>3112</v>
      </c>
      <c r="C823" s="4" t="s">
        <v>3113</v>
      </c>
      <c r="D823" s="8" t="s">
        <v>3114</v>
      </c>
      <c r="E823" s="4" t="s">
        <v>173</v>
      </c>
      <c r="F823" s="4" t="s">
        <v>3115</v>
      </c>
      <c r="G823" s="4" t="s">
        <v>19</v>
      </c>
      <c r="H823" s="4" t="s">
        <v>20</v>
      </c>
      <c r="I823" s="4" t="s">
        <v>147</v>
      </c>
    </row>
    <row r="824">
      <c r="A824" s="7">
        <v>45597.38880561343</v>
      </c>
      <c r="B824" s="4" t="s">
        <v>245</v>
      </c>
      <c r="C824" s="4" t="s">
        <v>246</v>
      </c>
      <c r="D824" s="8" t="s">
        <v>1991</v>
      </c>
      <c r="E824" s="4" t="s">
        <v>248</v>
      </c>
      <c r="F824" s="4" t="s">
        <v>249</v>
      </c>
      <c r="G824" s="4" t="s">
        <v>251</v>
      </c>
      <c r="H824" s="4" t="s">
        <v>3116</v>
      </c>
      <c r="I824" s="4" t="s">
        <v>3117</v>
      </c>
    </row>
    <row r="825">
      <c r="A825" s="7">
        <v>45597.39651550926</v>
      </c>
      <c r="B825" s="4" t="s">
        <v>3118</v>
      </c>
      <c r="C825" s="4" t="s">
        <v>3119</v>
      </c>
      <c r="D825" s="4" t="s">
        <v>339</v>
      </c>
      <c r="E825" s="4" t="s">
        <v>451</v>
      </c>
      <c r="F825" s="4" t="s">
        <v>3120</v>
      </c>
      <c r="G825" s="4" t="s">
        <v>54</v>
      </c>
      <c r="H825" s="4" t="s">
        <v>20</v>
      </c>
      <c r="I825" s="4" t="s">
        <v>385</v>
      </c>
    </row>
    <row r="826">
      <c r="A826" s="7">
        <v>45597.39785123843</v>
      </c>
      <c r="B826" s="4" t="s">
        <v>3121</v>
      </c>
      <c r="C826" s="4" t="s">
        <v>3122</v>
      </c>
      <c r="D826" s="4" t="s">
        <v>339</v>
      </c>
      <c r="E826" s="4" t="s">
        <v>451</v>
      </c>
      <c r="F826" s="4" t="s">
        <v>3123</v>
      </c>
      <c r="G826" s="4" t="s">
        <v>54</v>
      </c>
      <c r="H826" s="4" t="s">
        <v>20</v>
      </c>
      <c r="I826" s="4" t="s">
        <v>3124</v>
      </c>
    </row>
    <row r="827">
      <c r="A827" s="7">
        <v>45597.40594975694</v>
      </c>
      <c r="B827" s="4" t="s">
        <v>3125</v>
      </c>
      <c r="C827" s="4" t="s">
        <v>3126</v>
      </c>
      <c r="D827" s="8" t="s">
        <v>1922</v>
      </c>
      <c r="E827" s="4" t="s">
        <v>920</v>
      </c>
      <c r="F827" s="4" t="s">
        <v>3127</v>
      </c>
      <c r="G827" s="4" t="s">
        <v>54</v>
      </c>
      <c r="H827" s="4" t="s">
        <v>20</v>
      </c>
      <c r="I827" s="4" t="s">
        <v>406</v>
      </c>
    </row>
    <row r="828">
      <c r="A828" s="7">
        <v>45597.43461928241</v>
      </c>
      <c r="B828" s="4" t="s">
        <v>3128</v>
      </c>
      <c r="C828" s="4" t="s">
        <v>3129</v>
      </c>
      <c r="D828" s="8" t="s">
        <v>112</v>
      </c>
      <c r="E828" s="4" t="s">
        <v>345</v>
      </c>
      <c r="F828" s="4" t="s">
        <v>3130</v>
      </c>
      <c r="G828" s="4" t="s">
        <v>54</v>
      </c>
      <c r="H828" s="4" t="s">
        <v>20</v>
      </c>
      <c r="I828" s="4" t="s">
        <v>131</v>
      </c>
    </row>
    <row r="829">
      <c r="A829" s="7">
        <v>45597.438918263884</v>
      </c>
      <c r="B829" s="4" t="s">
        <v>3131</v>
      </c>
      <c r="C829" s="4" t="s">
        <v>3132</v>
      </c>
      <c r="D829" s="4" t="s">
        <v>3133</v>
      </c>
      <c r="E829" s="4" t="s">
        <v>538</v>
      </c>
      <c r="F829" s="4" t="s">
        <v>3134</v>
      </c>
      <c r="G829" s="4" t="s">
        <v>251</v>
      </c>
      <c r="H829" s="4" t="s">
        <v>20</v>
      </c>
      <c r="I829" s="4" t="s">
        <v>1454</v>
      </c>
    </row>
    <row r="830">
      <c r="A830" s="7">
        <v>45597.439773680555</v>
      </c>
      <c r="B830" s="4" t="s">
        <v>3135</v>
      </c>
      <c r="C830" s="4" t="s">
        <v>3136</v>
      </c>
      <c r="D830" s="4" t="s">
        <v>3133</v>
      </c>
      <c r="E830" s="4" t="s">
        <v>538</v>
      </c>
      <c r="F830" s="4" t="s">
        <v>3137</v>
      </c>
      <c r="G830" s="4" t="s">
        <v>251</v>
      </c>
      <c r="H830" s="4" t="s">
        <v>20</v>
      </c>
      <c r="I830" s="4" t="s">
        <v>1454</v>
      </c>
    </row>
    <row r="831">
      <c r="A831" s="7">
        <v>45597.44724270834</v>
      </c>
      <c r="B831" s="4" t="s">
        <v>3138</v>
      </c>
      <c r="C831" s="4" t="s">
        <v>3139</v>
      </c>
      <c r="D831" s="4" t="s">
        <v>2091</v>
      </c>
      <c r="E831" s="4" t="s">
        <v>345</v>
      </c>
      <c r="F831" s="4" t="s">
        <v>3140</v>
      </c>
      <c r="G831" s="4" t="s">
        <v>32</v>
      </c>
      <c r="H831" s="4" t="s">
        <v>20</v>
      </c>
      <c r="I831" s="4" t="s">
        <v>147</v>
      </c>
    </row>
    <row r="832">
      <c r="A832" s="7">
        <v>45597.447811527774</v>
      </c>
      <c r="B832" s="4" t="s">
        <v>3141</v>
      </c>
      <c r="C832" s="4" t="s">
        <v>3142</v>
      </c>
      <c r="D832" s="4" t="s">
        <v>31</v>
      </c>
      <c r="E832" s="4" t="s">
        <v>313</v>
      </c>
      <c r="F832" s="4" t="s">
        <v>3143</v>
      </c>
      <c r="G832" s="4" t="s">
        <v>251</v>
      </c>
      <c r="H832" s="4" t="s">
        <v>20</v>
      </c>
      <c r="I832" s="4" t="s">
        <v>839</v>
      </c>
    </row>
    <row r="833">
      <c r="A833" s="7">
        <v>45597.44787289352</v>
      </c>
      <c r="B833" s="4" t="s">
        <v>3144</v>
      </c>
      <c r="C833" s="4" t="s">
        <v>3145</v>
      </c>
      <c r="D833" s="4" t="s">
        <v>2091</v>
      </c>
      <c r="E833" s="4" t="s">
        <v>1159</v>
      </c>
      <c r="F833" s="4" t="s">
        <v>3146</v>
      </c>
      <c r="G833" s="4" t="s">
        <v>32</v>
      </c>
      <c r="H833" s="4" t="s">
        <v>20</v>
      </c>
      <c r="I833" s="4" t="s">
        <v>175</v>
      </c>
    </row>
    <row r="834">
      <c r="A834" s="7">
        <v>45597.44909465278</v>
      </c>
      <c r="B834" s="4" t="s">
        <v>3141</v>
      </c>
      <c r="C834" s="4" t="s">
        <v>3147</v>
      </c>
      <c r="D834" s="8" t="s">
        <v>312</v>
      </c>
      <c r="E834" s="4" t="s">
        <v>313</v>
      </c>
      <c r="F834" s="4" t="s">
        <v>3143</v>
      </c>
      <c r="G834" s="4" t="s">
        <v>251</v>
      </c>
      <c r="H834" s="4" t="s">
        <v>20</v>
      </c>
      <c r="I834" s="4" t="s">
        <v>839</v>
      </c>
    </row>
    <row r="835">
      <c r="A835" s="7">
        <v>45597.44937</v>
      </c>
      <c r="B835" s="4" t="s">
        <v>3148</v>
      </c>
      <c r="C835" s="4" t="s">
        <v>3149</v>
      </c>
      <c r="D835" s="8" t="s">
        <v>3150</v>
      </c>
      <c r="E835" s="4" t="s">
        <v>3151</v>
      </c>
      <c r="F835" s="4" t="s">
        <v>3152</v>
      </c>
      <c r="G835" s="4" t="s">
        <v>19</v>
      </c>
      <c r="H835" s="4" t="s">
        <v>20</v>
      </c>
      <c r="I835" s="4" t="s">
        <v>3153</v>
      </c>
    </row>
    <row r="836">
      <c r="A836" s="7">
        <v>45597.453199606476</v>
      </c>
      <c r="B836" s="4" t="s">
        <v>650</v>
      </c>
      <c r="C836" s="4" t="s">
        <v>651</v>
      </c>
      <c r="D836" s="8" t="s">
        <v>1991</v>
      </c>
      <c r="E836" s="4" t="s">
        <v>653</v>
      </c>
      <c r="F836" s="4" t="s">
        <v>3154</v>
      </c>
      <c r="G836" s="4" t="s">
        <v>251</v>
      </c>
      <c r="H836" s="4" t="s">
        <v>570</v>
      </c>
      <c r="I836" s="4" t="s">
        <v>1989</v>
      </c>
    </row>
    <row r="837">
      <c r="A837" s="7">
        <v>45597.46951913195</v>
      </c>
      <c r="B837" s="4" t="s">
        <v>3155</v>
      </c>
      <c r="C837" s="4" t="s">
        <v>3156</v>
      </c>
      <c r="D837" s="8" t="s">
        <v>2455</v>
      </c>
      <c r="E837" s="4" t="s">
        <v>3157</v>
      </c>
      <c r="F837" s="4" t="s">
        <v>3158</v>
      </c>
      <c r="G837" s="4" t="s">
        <v>54</v>
      </c>
      <c r="H837" s="4" t="s">
        <v>20</v>
      </c>
      <c r="I837" s="4" t="s">
        <v>3159</v>
      </c>
    </row>
    <row r="838">
      <c r="A838" s="7">
        <v>45597.47056627314</v>
      </c>
      <c r="B838" s="4" t="s">
        <v>1171</v>
      </c>
      <c r="C838" s="4" t="s">
        <v>1172</v>
      </c>
      <c r="D838" s="4" t="s">
        <v>238</v>
      </c>
      <c r="E838" s="4" t="s">
        <v>194</v>
      </c>
      <c r="F838" s="4" t="s">
        <v>1173</v>
      </c>
      <c r="G838" s="4" t="s">
        <v>32</v>
      </c>
      <c r="H838" s="4" t="s">
        <v>570</v>
      </c>
      <c r="I838" s="4" t="s">
        <v>927</v>
      </c>
    </row>
    <row r="839">
      <c r="A839" s="7">
        <v>45597.47369949074</v>
      </c>
      <c r="B839" s="4" t="s">
        <v>3160</v>
      </c>
      <c r="C839" s="4" t="s">
        <v>3161</v>
      </c>
      <c r="D839" s="8" t="s">
        <v>648</v>
      </c>
      <c r="E839" s="4" t="s">
        <v>404</v>
      </c>
      <c r="F839" s="4" t="s">
        <v>3162</v>
      </c>
      <c r="G839" s="4" t="s">
        <v>251</v>
      </c>
      <c r="H839" s="4" t="s">
        <v>20</v>
      </c>
      <c r="I839" s="4" t="s">
        <v>1465</v>
      </c>
    </row>
    <row r="840">
      <c r="A840" s="7">
        <v>45597.47735513889</v>
      </c>
      <c r="B840" s="4" t="s">
        <v>3163</v>
      </c>
      <c r="C840" s="4" t="s">
        <v>3164</v>
      </c>
      <c r="D840" s="4" t="s">
        <v>238</v>
      </c>
      <c r="E840" s="4" t="s">
        <v>345</v>
      </c>
      <c r="F840" s="4" t="s">
        <v>3165</v>
      </c>
      <c r="G840" s="4" t="s">
        <v>32</v>
      </c>
      <c r="H840" s="4" t="s">
        <v>20</v>
      </c>
      <c r="I840" s="4" t="s">
        <v>308</v>
      </c>
    </row>
    <row r="841">
      <c r="A841" s="7">
        <v>45597.478845578706</v>
      </c>
      <c r="B841" s="4" t="s">
        <v>3166</v>
      </c>
      <c r="C841" s="4" t="s">
        <v>3167</v>
      </c>
      <c r="D841" s="8" t="s">
        <v>648</v>
      </c>
      <c r="E841" s="4" t="s">
        <v>313</v>
      </c>
      <c r="F841" s="4" t="s">
        <v>3168</v>
      </c>
      <c r="G841" s="4" t="s">
        <v>251</v>
      </c>
      <c r="H841" s="4" t="s">
        <v>20</v>
      </c>
      <c r="I841" s="4" t="s">
        <v>1575</v>
      </c>
    </row>
    <row r="842">
      <c r="A842" s="7">
        <v>45597.479876377314</v>
      </c>
      <c r="B842" s="4" t="s">
        <v>3169</v>
      </c>
      <c r="C842" s="4" t="s">
        <v>3170</v>
      </c>
      <c r="D842" s="8" t="s">
        <v>648</v>
      </c>
      <c r="E842" s="4" t="s">
        <v>313</v>
      </c>
      <c r="F842" s="4" t="s">
        <v>3171</v>
      </c>
      <c r="G842" s="4" t="s">
        <v>251</v>
      </c>
      <c r="H842" s="4" t="s">
        <v>20</v>
      </c>
      <c r="I842" s="4" t="s">
        <v>1575</v>
      </c>
    </row>
    <row r="843">
      <c r="A843" s="7">
        <v>45597.48116923611</v>
      </c>
      <c r="B843" s="4" t="s">
        <v>3172</v>
      </c>
      <c r="C843" s="4" t="s">
        <v>3173</v>
      </c>
      <c r="D843" s="8" t="s">
        <v>3174</v>
      </c>
      <c r="E843" s="4" t="s">
        <v>17</v>
      </c>
      <c r="F843" s="4" t="s">
        <v>3175</v>
      </c>
      <c r="G843" s="4" t="s">
        <v>19</v>
      </c>
      <c r="H843" s="4" t="s">
        <v>20</v>
      </c>
      <c r="I843" s="4" t="s">
        <v>235</v>
      </c>
    </row>
    <row r="844">
      <c r="A844" s="7">
        <v>45597.52169650463</v>
      </c>
      <c r="B844" s="4" t="s">
        <v>3176</v>
      </c>
      <c r="C844" s="4" t="s">
        <v>3177</v>
      </c>
      <c r="D844" s="8" t="s">
        <v>3178</v>
      </c>
      <c r="E844" s="4" t="s">
        <v>17</v>
      </c>
      <c r="F844" s="4" t="s">
        <v>3179</v>
      </c>
      <c r="G844" s="4" t="s">
        <v>41</v>
      </c>
      <c r="H844" s="4" t="s">
        <v>20</v>
      </c>
      <c r="I844" s="4" t="s">
        <v>26</v>
      </c>
    </row>
    <row r="845">
      <c r="A845" s="7">
        <v>45597.52650818287</v>
      </c>
      <c r="B845" s="4" t="s">
        <v>3180</v>
      </c>
      <c r="C845" s="4" t="s">
        <v>3181</v>
      </c>
      <c r="D845" s="4" t="s">
        <v>238</v>
      </c>
      <c r="E845" s="4" t="s">
        <v>345</v>
      </c>
      <c r="F845" s="4" t="s">
        <v>3182</v>
      </c>
      <c r="G845" s="4" t="s">
        <v>32</v>
      </c>
      <c r="H845" s="4" t="s">
        <v>20</v>
      </c>
      <c r="I845" s="4" t="s">
        <v>279</v>
      </c>
    </row>
    <row r="846">
      <c r="A846" s="7">
        <v>45597.554914409724</v>
      </c>
      <c r="B846" s="4" t="s">
        <v>3183</v>
      </c>
      <c r="C846" s="4" t="s">
        <v>3184</v>
      </c>
      <c r="D846" s="4" t="s">
        <v>3185</v>
      </c>
      <c r="E846" s="4" t="s">
        <v>345</v>
      </c>
      <c r="F846" s="4" t="s">
        <v>3186</v>
      </c>
      <c r="G846" s="4" t="s">
        <v>54</v>
      </c>
      <c r="H846" s="4" t="s">
        <v>20</v>
      </c>
      <c r="I846" s="4" t="s">
        <v>3187</v>
      </c>
    </row>
    <row r="847">
      <c r="A847" s="7">
        <v>45597.565332592596</v>
      </c>
      <c r="B847" s="4" t="s">
        <v>3188</v>
      </c>
      <c r="C847" s="4" t="s">
        <v>3189</v>
      </c>
      <c r="D847" s="4" t="s">
        <v>2341</v>
      </c>
      <c r="E847" s="4" t="s">
        <v>78</v>
      </c>
      <c r="F847" s="4" t="s">
        <v>3190</v>
      </c>
      <c r="G847" s="4" t="s">
        <v>32</v>
      </c>
      <c r="H847" s="4" t="s">
        <v>20</v>
      </c>
      <c r="I847" s="4" t="s">
        <v>26</v>
      </c>
    </row>
    <row r="848">
      <c r="A848" s="7">
        <v>45597.56653384259</v>
      </c>
      <c r="B848" s="4" t="s">
        <v>1227</v>
      </c>
      <c r="C848" s="4" t="s">
        <v>3191</v>
      </c>
      <c r="D848" s="8" t="s">
        <v>3008</v>
      </c>
      <c r="E848" s="4" t="s">
        <v>313</v>
      </c>
      <c r="F848" s="4" t="s">
        <v>3192</v>
      </c>
      <c r="G848" s="4" t="s">
        <v>251</v>
      </c>
      <c r="H848" s="4" t="s">
        <v>570</v>
      </c>
      <c r="I848" s="4" t="s">
        <v>3193</v>
      </c>
    </row>
    <row r="849">
      <c r="A849" s="7">
        <v>45597.56723444445</v>
      </c>
      <c r="B849" s="4" t="s">
        <v>1732</v>
      </c>
      <c r="C849" s="4" t="s">
        <v>3194</v>
      </c>
      <c r="D849" s="8" t="s">
        <v>1991</v>
      </c>
      <c r="E849" s="4" t="s">
        <v>410</v>
      </c>
      <c r="F849" s="4" t="s">
        <v>1734</v>
      </c>
      <c r="G849" s="4" t="s">
        <v>251</v>
      </c>
      <c r="H849" s="4" t="s">
        <v>570</v>
      </c>
      <c r="I849" s="4" t="s">
        <v>1086</v>
      </c>
    </row>
    <row r="850">
      <c r="A850" s="7">
        <v>45597.56803758102</v>
      </c>
      <c r="B850" s="4" t="s">
        <v>1552</v>
      </c>
      <c r="C850" s="4" t="s">
        <v>3195</v>
      </c>
      <c r="D850" s="8" t="s">
        <v>2369</v>
      </c>
      <c r="E850" s="4" t="s">
        <v>313</v>
      </c>
      <c r="F850" s="4" t="s">
        <v>3196</v>
      </c>
      <c r="G850" s="4" t="s">
        <v>251</v>
      </c>
      <c r="H850" s="4" t="s">
        <v>570</v>
      </c>
      <c r="I850" s="4" t="s">
        <v>2709</v>
      </c>
    </row>
    <row r="851">
      <c r="A851" s="7">
        <v>45597.574015081016</v>
      </c>
      <c r="B851" s="4" t="s">
        <v>3197</v>
      </c>
      <c r="C851" s="4" t="s">
        <v>3198</v>
      </c>
      <c r="D851" s="4" t="s">
        <v>2341</v>
      </c>
      <c r="E851" s="4" t="s">
        <v>17</v>
      </c>
      <c r="F851" s="4" t="s">
        <v>3199</v>
      </c>
      <c r="G851" s="4" t="s">
        <v>32</v>
      </c>
      <c r="H851" s="4" t="s">
        <v>20</v>
      </c>
      <c r="I851" s="4" t="s">
        <v>181</v>
      </c>
    </row>
    <row r="852">
      <c r="A852" s="7">
        <v>45597.57464851852</v>
      </c>
      <c r="B852" s="4" t="s">
        <v>1518</v>
      </c>
      <c r="C852" s="4" t="s">
        <v>1519</v>
      </c>
      <c r="D852" s="4" t="s">
        <v>1848</v>
      </c>
      <c r="E852" s="4" t="s">
        <v>113</v>
      </c>
      <c r="F852" s="4" t="s">
        <v>1522</v>
      </c>
      <c r="G852" s="4" t="s">
        <v>32</v>
      </c>
      <c r="H852" s="4" t="s">
        <v>570</v>
      </c>
      <c r="I852" s="4" t="s">
        <v>1523</v>
      </c>
    </row>
    <row r="853">
      <c r="A853" s="7">
        <v>45597.58188096065</v>
      </c>
      <c r="B853" s="4" t="s">
        <v>3200</v>
      </c>
      <c r="C853" s="4" t="s">
        <v>3201</v>
      </c>
      <c r="D853" s="8" t="s">
        <v>3202</v>
      </c>
      <c r="E853" s="4" t="s">
        <v>451</v>
      </c>
      <c r="F853" s="4" t="s">
        <v>3203</v>
      </c>
      <c r="G853" s="4" t="s">
        <v>54</v>
      </c>
      <c r="H853" s="4" t="s">
        <v>20</v>
      </c>
      <c r="I853" s="4" t="s">
        <v>453</v>
      </c>
    </row>
    <row r="854">
      <c r="A854" s="7">
        <v>45597.585839328705</v>
      </c>
      <c r="B854" s="4" t="s">
        <v>3204</v>
      </c>
      <c r="C854" s="4" t="s">
        <v>3205</v>
      </c>
      <c r="D854" s="8" t="s">
        <v>3206</v>
      </c>
      <c r="E854" s="4" t="s">
        <v>30</v>
      </c>
      <c r="F854" s="4" t="s">
        <v>3207</v>
      </c>
      <c r="G854" s="4" t="s">
        <v>32</v>
      </c>
      <c r="H854" s="4" t="s">
        <v>20</v>
      </c>
      <c r="I854" s="4" t="s">
        <v>74</v>
      </c>
    </row>
    <row r="855">
      <c r="A855" s="7">
        <v>45597.58682898148</v>
      </c>
      <c r="B855" s="4" t="s">
        <v>1338</v>
      </c>
      <c r="C855" s="4" t="s">
        <v>3205</v>
      </c>
      <c r="D855" s="8" t="s">
        <v>3206</v>
      </c>
      <c r="E855" s="4" t="s">
        <v>30</v>
      </c>
      <c r="F855" s="4" t="s">
        <v>3210</v>
      </c>
      <c r="G855" s="4" t="s">
        <v>32</v>
      </c>
      <c r="H855" s="4" t="s">
        <v>20</v>
      </c>
      <c r="I855" s="4" t="s">
        <v>74</v>
      </c>
    </row>
    <row r="856">
      <c r="A856" s="7">
        <v>45597.58834579861</v>
      </c>
      <c r="B856" s="4" t="s">
        <v>3212</v>
      </c>
      <c r="C856" s="4" t="s">
        <v>3213</v>
      </c>
      <c r="D856" s="4" t="s">
        <v>1848</v>
      </c>
      <c r="E856" s="4" t="s">
        <v>345</v>
      </c>
      <c r="F856" s="4" t="s">
        <v>3215</v>
      </c>
      <c r="G856" s="4" t="s">
        <v>32</v>
      </c>
      <c r="H856" s="4" t="s">
        <v>20</v>
      </c>
      <c r="I856" s="4" t="s">
        <v>686</v>
      </c>
    </row>
    <row r="857">
      <c r="A857" s="7">
        <v>45597.58845916667</v>
      </c>
      <c r="B857" s="4" t="s">
        <v>704</v>
      </c>
      <c r="C857" s="4" t="s">
        <v>3218</v>
      </c>
      <c r="D857" s="8" t="s">
        <v>697</v>
      </c>
      <c r="E857" s="4" t="s">
        <v>781</v>
      </c>
      <c r="F857" s="4" t="s">
        <v>3219</v>
      </c>
      <c r="G857" s="4" t="s">
        <v>54</v>
      </c>
      <c r="H857" s="4" t="s">
        <v>570</v>
      </c>
      <c r="I857" s="4" t="s">
        <v>565</v>
      </c>
    </row>
    <row r="858">
      <c r="A858" s="7">
        <v>45597.592945613425</v>
      </c>
      <c r="B858" s="4" t="s">
        <v>3220</v>
      </c>
      <c r="C858" s="4" t="s">
        <v>3221</v>
      </c>
      <c r="D858" s="8" t="s">
        <v>697</v>
      </c>
      <c r="E858" s="4" t="s">
        <v>345</v>
      </c>
      <c r="F858" s="4" t="s">
        <v>624</v>
      </c>
      <c r="G858" s="4" t="s">
        <v>54</v>
      </c>
      <c r="H858" s="4" t="s">
        <v>20</v>
      </c>
      <c r="I858" s="4" t="s">
        <v>625</v>
      </c>
    </row>
    <row r="859">
      <c r="A859" s="7">
        <v>45597.59378462963</v>
      </c>
      <c r="B859" s="4" t="s">
        <v>3222</v>
      </c>
      <c r="C859" s="4" t="s">
        <v>3223</v>
      </c>
      <c r="D859" s="8" t="s">
        <v>908</v>
      </c>
      <c r="E859" s="4" t="s">
        <v>930</v>
      </c>
      <c r="F859" s="4" t="s">
        <v>3224</v>
      </c>
      <c r="G859" s="4" t="s">
        <v>54</v>
      </c>
      <c r="H859" s="4" t="s">
        <v>20</v>
      </c>
      <c r="I859" s="4" t="s">
        <v>3225</v>
      </c>
    </row>
    <row r="860">
      <c r="A860" s="7">
        <v>45597.59551644676</v>
      </c>
      <c r="B860" s="4" t="s">
        <v>3226</v>
      </c>
      <c r="C860" s="4" t="s">
        <v>3223</v>
      </c>
      <c r="D860" s="8" t="s">
        <v>908</v>
      </c>
      <c r="E860" s="4" t="s">
        <v>930</v>
      </c>
      <c r="F860" s="4" t="s">
        <v>3227</v>
      </c>
      <c r="G860" s="4" t="s">
        <v>54</v>
      </c>
      <c r="H860" s="4" t="s">
        <v>20</v>
      </c>
      <c r="I860" s="4" t="s">
        <v>3225</v>
      </c>
    </row>
    <row r="861">
      <c r="A861" s="7">
        <v>45597.59707398148</v>
      </c>
      <c r="B861" s="4" t="s">
        <v>3228</v>
      </c>
      <c r="C861" s="4" t="s">
        <v>3229</v>
      </c>
      <c r="D861" s="4" t="s">
        <v>3230</v>
      </c>
      <c r="E861" s="4" t="s">
        <v>3231</v>
      </c>
      <c r="F861" s="4" t="s">
        <v>3232</v>
      </c>
      <c r="G861" s="4" t="s">
        <v>251</v>
      </c>
      <c r="H861" s="4" t="s">
        <v>20</v>
      </c>
      <c r="I861" s="4" t="s">
        <v>446</v>
      </c>
    </row>
    <row r="862">
      <c r="A862" s="7">
        <v>45597.59872969908</v>
      </c>
      <c r="B862" s="4" t="s">
        <v>3233</v>
      </c>
      <c r="C862" s="4" t="s">
        <v>3234</v>
      </c>
      <c r="D862" s="4" t="s">
        <v>3230</v>
      </c>
      <c r="E862" s="4" t="s">
        <v>313</v>
      </c>
      <c r="F862" s="4" t="s">
        <v>3235</v>
      </c>
      <c r="G862" s="4" t="s">
        <v>251</v>
      </c>
      <c r="H862" s="4" t="s">
        <v>20</v>
      </c>
      <c r="I862" s="4" t="s">
        <v>1261</v>
      </c>
    </row>
    <row r="863">
      <c r="A863" s="7">
        <v>45597.6006997338</v>
      </c>
      <c r="B863" s="4" t="s">
        <v>2448</v>
      </c>
      <c r="C863" s="4" t="s">
        <v>3236</v>
      </c>
      <c r="D863" s="8" t="s">
        <v>2369</v>
      </c>
      <c r="E863" s="4" t="s">
        <v>313</v>
      </c>
      <c r="F863" s="4" t="s">
        <v>3237</v>
      </c>
      <c r="G863" s="4" t="s">
        <v>251</v>
      </c>
      <c r="H863" s="4" t="s">
        <v>570</v>
      </c>
      <c r="I863" s="4" t="s">
        <v>3238</v>
      </c>
    </row>
    <row r="864">
      <c r="A864" s="7">
        <v>45597.60318460648</v>
      </c>
      <c r="B864" s="4" t="s">
        <v>3239</v>
      </c>
      <c r="C864" s="4" t="s">
        <v>3240</v>
      </c>
      <c r="D864" s="4" t="s">
        <v>2589</v>
      </c>
      <c r="E864" s="4" t="s">
        <v>345</v>
      </c>
      <c r="F864" s="4" t="s">
        <v>3241</v>
      </c>
      <c r="G864" s="4" t="s">
        <v>32</v>
      </c>
      <c r="H864" s="4" t="s">
        <v>20</v>
      </c>
      <c r="I864" s="4" t="s">
        <v>301</v>
      </c>
    </row>
    <row r="865">
      <c r="A865" s="7">
        <v>45597.61062364583</v>
      </c>
      <c r="B865" s="4" t="s">
        <v>3242</v>
      </c>
      <c r="C865" s="4" t="s">
        <v>3243</v>
      </c>
      <c r="D865" s="8" t="s">
        <v>1745</v>
      </c>
      <c r="E865" s="4" t="s">
        <v>345</v>
      </c>
      <c r="F865" s="4" t="s">
        <v>3244</v>
      </c>
      <c r="G865" s="4" t="s">
        <v>32</v>
      </c>
      <c r="H865" s="4" t="s">
        <v>20</v>
      </c>
      <c r="I865" s="4" t="s">
        <v>115</v>
      </c>
    </row>
    <row r="866">
      <c r="A866" s="7">
        <v>45597.61065263889</v>
      </c>
      <c r="B866" s="4" t="s">
        <v>937</v>
      </c>
      <c r="C866" s="4" t="s">
        <v>3245</v>
      </c>
      <c r="D866" s="8" t="s">
        <v>2088</v>
      </c>
      <c r="E866" s="4" t="s">
        <v>313</v>
      </c>
      <c r="F866" s="4" t="s">
        <v>3246</v>
      </c>
      <c r="G866" s="4" t="s">
        <v>251</v>
      </c>
      <c r="H866" s="4" t="s">
        <v>570</v>
      </c>
      <c r="I866" s="4" t="s">
        <v>3247</v>
      </c>
    </row>
    <row r="867">
      <c r="A867" s="7">
        <v>45597.61413916667</v>
      </c>
      <c r="B867" s="4" t="s">
        <v>3248</v>
      </c>
      <c r="C867" s="4" t="s">
        <v>3249</v>
      </c>
      <c r="D867" s="8" t="s">
        <v>3250</v>
      </c>
      <c r="E867" s="4" t="s">
        <v>3251</v>
      </c>
      <c r="F867" s="4" t="s">
        <v>3252</v>
      </c>
      <c r="G867" s="4" t="s">
        <v>32</v>
      </c>
      <c r="H867" s="4" t="s">
        <v>20</v>
      </c>
      <c r="I867" s="4" t="s">
        <v>279</v>
      </c>
    </row>
    <row r="868">
      <c r="A868" s="7">
        <v>45597.620775752315</v>
      </c>
      <c r="B868" s="4" t="s">
        <v>1490</v>
      </c>
      <c r="C868" s="4" t="s">
        <v>3253</v>
      </c>
      <c r="D868" s="8" t="s">
        <v>1991</v>
      </c>
      <c r="E868" s="4" t="s">
        <v>1256</v>
      </c>
      <c r="F868" s="4" t="s">
        <v>3254</v>
      </c>
      <c r="G868" s="4" t="s">
        <v>251</v>
      </c>
      <c r="H868" s="4" t="s">
        <v>570</v>
      </c>
      <c r="I868" s="4" t="s">
        <v>3255</v>
      </c>
    </row>
    <row r="869">
      <c r="A869" s="7">
        <v>45597.623480891205</v>
      </c>
      <c r="B869" s="4" t="s">
        <v>3256</v>
      </c>
      <c r="C869" s="4" t="s">
        <v>3257</v>
      </c>
      <c r="D869" s="8" t="s">
        <v>3258</v>
      </c>
      <c r="E869" s="4" t="s">
        <v>313</v>
      </c>
      <c r="F869" s="4" t="s">
        <v>3259</v>
      </c>
      <c r="G869" s="4" t="s">
        <v>54</v>
      </c>
      <c r="H869" s="4" t="s">
        <v>20</v>
      </c>
      <c r="I869" s="4" t="s">
        <v>434</v>
      </c>
    </row>
    <row r="870">
      <c r="A870" s="7">
        <v>45597.62399258102</v>
      </c>
      <c r="B870" s="4" t="s">
        <v>3260</v>
      </c>
      <c r="C870" s="4" t="s">
        <v>3261</v>
      </c>
      <c r="D870" s="4" t="s">
        <v>339</v>
      </c>
      <c r="E870" s="4" t="s">
        <v>653</v>
      </c>
      <c r="F870" s="4" t="s">
        <v>3262</v>
      </c>
      <c r="G870" s="4" t="s">
        <v>251</v>
      </c>
      <c r="H870" s="4" t="s">
        <v>20</v>
      </c>
      <c r="I870" s="4" t="s">
        <v>3263</v>
      </c>
    </row>
    <row r="871">
      <c r="A871" s="7">
        <v>45597.62494930555</v>
      </c>
      <c r="B871" s="4" t="s">
        <v>3264</v>
      </c>
      <c r="C871" s="4" t="s">
        <v>3265</v>
      </c>
      <c r="D871" s="8" t="s">
        <v>3266</v>
      </c>
      <c r="E871" s="4" t="s">
        <v>345</v>
      </c>
      <c r="F871" s="4" t="s">
        <v>3267</v>
      </c>
      <c r="G871" s="4" t="s">
        <v>54</v>
      </c>
      <c r="H871" s="4" t="s">
        <v>20</v>
      </c>
      <c r="I871" s="4" t="s">
        <v>1056</v>
      </c>
    </row>
    <row r="872">
      <c r="A872" s="7">
        <v>45597.626792800926</v>
      </c>
      <c r="B872" s="4" t="s">
        <v>3268</v>
      </c>
      <c r="C872" s="4" t="s">
        <v>3269</v>
      </c>
      <c r="D872" s="4" t="s">
        <v>339</v>
      </c>
      <c r="E872" s="4" t="s">
        <v>313</v>
      </c>
      <c r="F872" s="4" t="s">
        <v>3270</v>
      </c>
      <c r="G872" s="4" t="s">
        <v>251</v>
      </c>
      <c r="H872" s="4" t="s">
        <v>20</v>
      </c>
      <c r="I872" s="4" t="s">
        <v>3271</v>
      </c>
    </row>
    <row r="873">
      <c r="A873" s="7">
        <v>45597.62910662037</v>
      </c>
      <c r="B873" s="4" t="s">
        <v>3272</v>
      </c>
      <c r="C873" s="4" t="s">
        <v>3273</v>
      </c>
      <c r="D873" s="4" t="s">
        <v>339</v>
      </c>
      <c r="E873" s="4" t="s">
        <v>284</v>
      </c>
      <c r="F873" s="4" t="s">
        <v>3274</v>
      </c>
      <c r="G873" s="4" t="s">
        <v>251</v>
      </c>
      <c r="H873" s="4" t="s">
        <v>20</v>
      </c>
      <c r="I873" s="4" t="s">
        <v>1068</v>
      </c>
    </row>
    <row r="874">
      <c r="A874" s="7">
        <v>45597.63250652778</v>
      </c>
      <c r="B874" s="4" t="s">
        <v>3275</v>
      </c>
      <c r="C874" s="4" t="s">
        <v>3276</v>
      </c>
      <c r="D874" s="8" t="s">
        <v>3277</v>
      </c>
      <c r="E874" s="4" t="s">
        <v>432</v>
      </c>
      <c r="F874" s="4" t="s">
        <v>3278</v>
      </c>
      <c r="G874" s="4" t="s">
        <v>54</v>
      </c>
      <c r="H874" s="4" t="s">
        <v>20</v>
      </c>
      <c r="I874" s="4" t="s">
        <v>1776</v>
      </c>
    </row>
    <row r="875">
      <c r="A875" s="7">
        <v>45597.63341587963</v>
      </c>
      <c r="B875" s="4" t="s">
        <v>3279</v>
      </c>
      <c r="C875" s="4" t="s">
        <v>3280</v>
      </c>
      <c r="D875" s="8" t="s">
        <v>3281</v>
      </c>
      <c r="E875" s="4" t="s">
        <v>379</v>
      </c>
      <c r="F875" s="4" t="s">
        <v>3282</v>
      </c>
      <c r="G875" s="4" t="s">
        <v>251</v>
      </c>
      <c r="H875" s="4" t="s">
        <v>20</v>
      </c>
      <c r="I875" s="4" t="s">
        <v>446</v>
      </c>
    </row>
    <row r="876">
      <c r="A876" s="7">
        <v>45597.63418959491</v>
      </c>
      <c r="B876" s="4" t="s">
        <v>3283</v>
      </c>
      <c r="C876" s="4" t="s">
        <v>3284</v>
      </c>
      <c r="D876" s="8" t="s">
        <v>3281</v>
      </c>
      <c r="E876" s="4" t="s">
        <v>538</v>
      </c>
      <c r="F876" s="4" t="s">
        <v>3285</v>
      </c>
      <c r="G876" s="4" t="s">
        <v>251</v>
      </c>
      <c r="H876" s="4" t="s">
        <v>20</v>
      </c>
      <c r="I876" s="4" t="s">
        <v>922</v>
      </c>
    </row>
    <row r="877">
      <c r="A877" s="7">
        <v>45600.37665387732</v>
      </c>
      <c r="B877" s="4" t="s">
        <v>3286</v>
      </c>
      <c r="C877" s="4" t="s">
        <v>3287</v>
      </c>
      <c r="D877" s="4" t="s">
        <v>3288</v>
      </c>
      <c r="E877" s="4" t="s">
        <v>666</v>
      </c>
      <c r="F877" s="4" t="s">
        <v>3289</v>
      </c>
      <c r="G877" s="4" t="s">
        <v>251</v>
      </c>
      <c r="H877" s="4" t="s">
        <v>20</v>
      </c>
      <c r="I877" s="4" t="s">
        <v>3290</v>
      </c>
    </row>
    <row r="878">
      <c r="A878" s="7">
        <v>45600.394084155094</v>
      </c>
      <c r="B878" s="4" t="s">
        <v>3291</v>
      </c>
      <c r="C878" s="4" t="s">
        <v>3292</v>
      </c>
      <c r="D878" s="8" t="s">
        <v>3293</v>
      </c>
      <c r="E878" s="4" t="s">
        <v>17</v>
      </c>
      <c r="F878" s="4" t="s">
        <v>3294</v>
      </c>
      <c r="G878" s="4" t="s">
        <v>54</v>
      </c>
      <c r="H878" s="4" t="s">
        <v>20</v>
      </c>
      <c r="I878" s="4" t="s">
        <v>3271</v>
      </c>
    </row>
    <row r="879">
      <c r="A879" s="7">
        <v>45600.40309865741</v>
      </c>
      <c r="B879" s="4" t="s">
        <v>727</v>
      </c>
      <c r="C879" s="4" t="s">
        <v>3295</v>
      </c>
      <c r="D879" s="8" t="s">
        <v>450</v>
      </c>
      <c r="E879" s="4" t="s">
        <v>345</v>
      </c>
      <c r="F879" s="4" t="s">
        <v>3296</v>
      </c>
      <c r="G879" s="4" t="s">
        <v>54</v>
      </c>
      <c r="H879" s="4" t="s">
        <v>570</v>
      </c>
      <c r="I879" s="4" t="s">
        <v>676</v>
      </c>
    </row>
    <row r="880">
      <c r="A880" s="7">
        <v>45600.40669746528</v>
      </c>
      <c r="B880" s="4" t="s">
        <v>3297</v>
      </c>
      <c r="C880" s="4" t="s">
        <v>3298</v>
      </c>
      <c r="D880" s="8" t="s">
        <v>450</v>
      </c>
      <c r="E880" s="4" t="s">
        <v>451</v>
      </c>
      <c r="F880" s="4" t="s">
        <v>3299</v>
      </c>
      <c r="G880" s="4" t="s">
        <v>54</v>
      </c>
      <c r="H880" s="4" t="s">
        <v>20</v>
      </c>
      <c r="I880" s="4" t="s">
        <v>3300</v>
      </c>
    </row>
    <row r="881">
      <c r="A881" s="7">
        <v>45600.41211482639</v>
      </c>
      <c r="B881" s="4" t="s">
        <v>3301</v>
      </c>
      <c r="C881" s="4" t="s">
        <v>3302</v>
      </c>
      <c r="D881" s="4" t="s">
        <v>3303</v>
      </c>
      <c r="E881" s="4" t="s">
        <v>432</v>
      </c>
      <c r="F881" s="4" t="s">
        <v>3304</v>
      </c>
      <c r="G881" s="4" t="s">
        <v>251</v>
      </c>
      <c r="H881" s="4" t="s">
        <v>20</v>
      </c>
      <c r="I881" s="4" t="s">
        <v>1126</v>
      </c>
    </row>
    <row r="882">
      <c r="A882" s="7">
        <v>45600.419663796296</v>
      </c>
      <c r="B882" s="4" t="s">
        <v>3305</v>
      </c>
      <c r="C882" s="4" t="s">
        <v>3306</v>
      </c>
      <c r="D882" s="4" t="s">
        <v>3307</v>
      </c>
      <c r="E882" s="4" t="s">
        <v>754</v>
      </c>
      <c r="F882" s="4" t="s">
        <v>3308</v>
      </c>
      <c r="G882" s="4" t="s">
        <v>251</v>
      </c>
      <c r="H882" s="4" t="s">
        <v>20</v>
      </c>
      <c r="I882" s="4" t="s">
        <v>1344</v>
      </c>
    </row>
    <row r="883">
      <c r="A883" s="7">
        <v>45600.42169265046</v>
      </c>
      <c r="B883" s="4" t="s">
        <v>3309</v>
      </c>
      <c r="C883" s="4" t="s">
        <v>3310</v>
      </c>
      <c r="D883" s="8" t="s">
        <v>124</v>
      </c>
      <c r="E883" s="4" t="s">
        <v>137</v>
      </c>
      <c r="F883" s="4" t="s">
        <v>3311</v>
      </c>
      <c r="G883" s="4" t="s">
        <v>54</v>
      </c>
      <c r="H883" s="4" t="s">
        <v>20</v>
      </c>
      <c r="I883" s="4" t="s">
        <v>1121</v>
      </c>
    </row>
    <row r="884">
      <c r="A884" s="7">
        <v>45600.42472148148</v>
      </c>
      <c r="B884" s="4" t="s">
        <v>3312</v>
      </c>
      <c r="C884" s="4" t="s">
        <v>3313</v>
      </c>
      <c r="D884" s="8" t="s">
        <v>124</v>
      </c>
      <c r="E884" s="4" t="s">
        <v>2938</v>
      </c>
      <c r="F884" s="4" t="s">
        <v>3314</v>
      </c>
      <c r="G884" s="4" t="s">
        <v>54</v>
      </c>
      <c r="H884" s="4" t="s">
        <v>20</v>
      </c>
      <c r="I884" s="4" t="s">
        <v>80</v>
      </c>
    </row>
    <row r="885">
      <c r="A885" s="7">
        <v>45600.427902048614</v>
      </c>
      <c r="B885" s="4" t="s">
        <v>3315</v>
      </c>
      <c r="C885" s="4" t="s">
        <v>3316</v>
      </c>
      <c r="D885" s="8" t="s">
        <v>3317</v>
      </c>
      <c r="E885" s="4" t="s">
        <v>17</v>
      </c>
      <c r="F885" s="4" t="s">
        <v>3318</v>
      </c>
      <c r="G885" s="4" t="s">
        <v>41</v>
      </c>
      <c r="H885" s="4" t="s">
        <v>20</v>
      </c>
      <c r="I885" s="4" t="s">
        <v>109</v>
      </c>
    </row>
    <row r="886">
      <c r="A886" s="7">
        <v>45600.42920266204</v>
      </c>
      <c r="B886" s="4" t="s">
        <v>3319</v>
      </c>
      <c r="C886" s="4" t="s">
        <v>3320</v>
      </c>
      <c r="D886" s="4" t="s">
        <v>1478</v>
      </c>
      <c r="E886" s="4" t="s">
        <v>345</v>
      </c>
      <c r="F886" s="4" t="s">
        <v>3321</v>
      </c>
      <c r="G886" s="4" t="s">
        <v>32</v>
      </c>
      <c r="H886" s="4" t="s">
        <v>20</v>
      </c>
      <c r="I886" s="4" t="s">
        <v>242</v>
      </c>
    </row>
    <row r="887">
      <c r="A887" s="7">
        <v>45600.43012377315</v>
      </c>
      <c r="B887" s="4" t="s">
        <v>3322</v>
      </c>
      <c r="C887" s="4" t="s">
        <v>3323</v>
      </c>
      <c r="D887" s="4" t="s">
        <v>1478</v>
      </c>
      <c r="E887" s="4" t="s">
        <v>345</v>
      </c>
      <c r="F887" s="4" t="s">
        <v>3324</v>
      </c>
      <c r="G887" s="4" t="s">
        <v>32</v>
      </c>
      <c r="H887" s="4" t="s">
        <v>20</v>
      </c>
      <c r="I887" s="4" t="s">
        <v>139</v>
      </c>
    </row>
    <row r="888">
      <c r="A888" s="7">
        <v>45600.43875541667</v>
      </c>
      <c r="B888" s="4" t="s">
        <v>3325</v>
      </c>
      <c r="C888" s="4" t="s">
        <v>3323</v>
      </c>
      <c r="D888" s="4" t="s">
        <v>1478</v>
      </c>
      <c r="E888" s="4" t="s">
        <v>2486</v>
      </c>
      <c r="F888" s="4" t="s">
        <v>3326</v>
      </c>
      <c r="G888" s="4" t="s">
        <v>32</v>
      </c>
      <c r="H888" s="4" t="s">
        <v>20</v>
      </c>
      <c r="I888" s="4" t="s">
        <v>139</v>
      </c>
    </row>
    <row r="889">
      <c r="A889" s="7">
        <v>45600.43984357639</v>
      </c>
      <c r="B889" s="4" t="s">
        <v>3327</v>
      </c>
      <c r="C889" s="4" t="s">
        <v>3323</v>
      </c>
      <c r="D889" s="4" t="s">
        <v>1478</v>
      </c>
      <c r="E889" s="4" t="s">
        <v>345</v>
      </c>
      <c r="F889" s="4" t="s">
        <v>3328</v>
      </c>
      <c r="G889" s="4" t="s">
        <v>32</v>
      </c>
      <c r="H889" s="4" t="s">
        <v>20</v>
      </c>
      <c r="I889" s="4" t="s">
        <v>139</v>
      </c>
    </row>
    <row r="890">
      <c r="A890" s="7">
        <v>45600.44639165509</v>
      </c>
      <c r="B890" s="4" t="s">
        <v>3329</v>
      </c>
      <c r="C890" s="4" t="s">
        <v>3330</v>
      </c>
      <c r="D890" s="4" t="s">
        <v>613</v>
      </c>
      <c r="E890" s="4" t="s">
        <v>517</v>
      </c>
      <c r="F890" s="4" t="s">
        <v>3331</v>
      </c>
      <c r="G890" s="4" t="s">
        <v>54</v>
      </c>
      <c r="H890" s="4" t="s">
        <v>20</v>
      </c>
      <c r="I890" s="4" t="s">
        <v>80</v>
      </c>
    </row>
    <row r="891">
      <c r="A891" s="7">
        <v>45600.45174991898</v>
      </c>
      <c r="B891" s="4" t="s">
        <v>3332</v>
      </c>
      <c r="C891" s="4" t="s">
        <v>3333</v>
      </c>
      <c r="D891" s="8" t="s">
        <v>3334</v>
      </c>
      <c r="E891" s="4" t="s">
        <v>17</v>
      </c>
      <c r="F891" s="4" t="s">
        <v>3335</v>
      </c>
      <c r="G891" s="4" t="s">
        <v>19</v>
      </c>
      <c r="H891" s="4" t="s">
        <v>20</v>
      </c>
      <c r="I891" s="4" t="s">
        <v>121</v>
      </c>
    </row>
    <row r="892">
      <c r="A892" s="7">
        <v>45600.46072315972</v>
      </c>
      <c r="B892" s="4" t="s">
        <v>3336</v>
      </c>
      <c r="C892" s="4" t="s">
        <v>3337</v>
      </c>
      <c r="D892" s="8" t="s">
        <v>3338</v>
      </c>
      <c r="E892" s="4" t="s">
        <v>173</v>
      </c>
      <c r="F892" s="4" t="s">
        <v>3339</v>
      </c>
      <c r="G892" s="4" t="s">
        <v>19</v>
      </c>
      <c r="H892" s="4" t="s">
        <v>20</v>
      </c>
      <c r="I892" s="4" t="s">
        <v>440</v>
      </c>
    </row>
    <row r="893">
      <c r="A893" s="7">
        <v>45600.47040638889</v>
      </c>
      <c r="B893" s="4" t="s">
        <v>3340</v>
      </c>
      <c r="C893" s="4" t="s">
        <v>3341</v>
      </c>
      <c r="D893" s="4" t="s">
        <v>3342</v>
      </c>
      <c r="E893" s="4" t="s">
        <v>313</v>
      </c>
      <c r="F893" s="4" t="s">
        <v>3343</v>
      </c>
      <c r="G893" s="4" t="s">
        <v>251</v>
      </c>
      <c r="H893" s="4" t="s">
        <v>20</v>
      </c>
      <c r="I893" s="4" t="s">
        <v>3344</v>
      </c>
    </row>
    <row r="894">
      <c r="A894" s="7">
        <v>45600.473461030095</v>
      </c>
      <c r="B894" s="4" t="s">
        <v>3345</v>
      </c>
      <c r="C894" s="4" t="s">
        <v>3346</v>
      </c>
      <c r="D894" s="8" t="s">
        <v>3347</v>
      </c>
      <c r="E894" s="4" t="s">
        <v>3348</v>
      </c>
      <c r="F894" s="4" t="s">
        <v>3349</v>
      </c>
      <c r="G894" s="4" t="s">
        <v>54</v>
      </c>
      <c r="H894" s="4" t="s">
        <v>570</v>
      </c>
      <c r="I894" s="4" t="s">
        <v>1407</v>
      </c>
    </row>
    <row r="895">
      <c r="A895" s="7">
        <v>45600.47428300926</v>
      </c>
      <c r="B895" s="4" t="s">
        <v>3350</v>
      </c>
      <c r="C895" s="4" t="s">
        <v>3351</v>
      </c>
      <c r="D895" s="4" t="s">
        <v>3352</v>
      </c>
      <c r="E895" s="4" t="s">
        <v>313</v>
      </c>
      <c r="F895" s="4" t="s">
        <v>3353</v>
      </c>
      <c r="G895" s="4" t="s">
        <v>251</v>
      </c>
      <c r="H895" s="4" t="s">
        <v>20</v>
      </c>
      <c r="I895" s="4" t="s">
        <v>2080</v>
      </c>
    </row>
    <row r="896">
      <c r="A896" s="7">
        <v>45600.476428043985</v>
      </c>
      <c r="B896" s="4" t="s">
        <v>3354</v>
      </c>
      <c r="C896" s="4" t="s">
        <v>3355</v>
      </c>
      <c r="D896" s="8" t="s">
        <v>3356</v>
      </c>
      <c r="E896" s="4" t="s">
        <v>662</v>
      </c>
      <c r="F896" s="4" t="s">
        <v>31</v>
      </c>
      <c r="G896" s="4" t="s">
        <v>19</v>
      </c>
      <c r="H896" s="4" t="s">
        <v>20</v>
      </c>
      <c r="I896" s="4" t="s">
        <v>258</v>
      </c>
    </row>
    <row r="897">
      <c r="A897" s="7">
        <v>45600.477455115746</v>
      </c>
      <c r="B897" s="4" t="s">
        <v>3357</v>
      </c>
      <c r="C897" s="4" t="s">
        <v>3358</v>
      </c>
      <c r="D897" s="4" t="s">
        <v>767</v>
      </c>
      <c r="E897" s="4" t="s">
        <v>345</v>
      </c>
      <c r="F897" s="4" t="s">
        <v>3359</v>
      </c>
      <c r="G897" s="4" t="s">
        <v>32</v>
      </c>
      <c r="H897" s="4" t="s">
        <v>20</v>
      </c>
      <c r="I897" s="4" t="s">
        <v>91</v>
      </c>
    </row>
    <row r="898">
      <c r="A898" s="7">
        <v>45600.48175460648</v>
      </c>
      <c r="B898" s="4" t="s">
        <v>2526</v>
      </c>
      <c r="C898" s="4" t="s">
        <v>231</v>
      </c>
      <c r="D898" s="4" t="s">
        <v>373</v>
      </c>
      <c r="E898" s="4" t="s">
        <v>517</v>
      </c>
      <c r="F898" s="4" t="s">
        <v>2529</v>
      </c>
      <c r="G898" s="4" t="s">
        <v>54</v>
      </c>
      <c r="H898" s="4" t="s">
        <v>570</v>
      </c>
      <c r="I898" s="4" t="s">
        <v>690</v>
      </c>
    </row>
    <row r="899">
      <c r="A899" s="7">
        <v>45600.48432484954</v>
      </c>
      <c r="B899" s="4" t="s">
        <v>3360</v>
      </c>
      <c r="C899" s="4" t="s">
        <v>3361</v>
      </c>
      <c r="D899" s="8" t="s">
        <v>3362</v>
      </c>
      <c r="E899" s="4" t="s">
        <v>17</v>
      </c>
      <c r="F899" s="4" t="s">
        <v>3363</v>
      </c>
      <c r="G899" s="4" t="s">
        <v>19</v>
      </c>
      <c r="H899" s="4" t="s">
        <v>20</v>
      </c>
      <c r="I899" s="4" t="s">
        <v>272</v>
      </c>
    </row>
    <row r="900">
      <c r="A900" s="7">
        <v>45600.48712423611</v>
      </c>
      <c r="B900" s="4" t="s">
        <v>3364</v>
      </c>
      <c r="C900" s="4" t="s">
        <v>3365</v>
      </c>
      <c r="D900" s="4" t="s">
        <v>767</v>
      </c>
      <c r="E900" s="4" t="s">
        <v>345</v>
      </c>
      <c r="F900" s="4" t="s">
        <v>3366</v>
      </c>
      <c r="G900" s="4" t="s">
        <v>32</v>
      </c>
      <c r="H900" s="4" t="s">
        <v>20</v>
      </c>
      <c r="I900" s="4" t="s">
        <v>699</v>
      </c>
    </row>
    <row r="901">
      <c r="A901" s="7">
        <v>45600.48878193287</v>
      </c>
      <c r="B901" s="4" t="s">
        <v>3367</v>
      </c>
      <c r="C901" s="4" t="s">
        <v>3368</v>
      </c>
      <c r="D901" s="4" t="s">
        <v>767</v>
      </c>
      <c r="E901" s="4" t="s">
        <v>345</v>
      </c>
      <c r="F901" s="4" t="s">
        <v>3369</v>
      </c>
      <c r="G901" s="4" t="s">
        <v>32</v>
      </c>
      <c r="H901" s="4" t="s">
        <v>20</v>
      </c>
      <c r="I901" s="4" t="s">
        <v>3300</v>
      </c>
    </row>
    <row r="902">
      <c r="A902" s="7">
        <v>45600.48910144676</v>
      </c>
      <c r="B902" s="4" t="s">
        <v>3370</v>
      </c>
      <c r="C902" s="4" t="s">
        <v>3371</v>
      </c>
      <c r="D902" s="8" t="s">
        <v>1136</v>
      </c>
      <c r="E902" s="4" t="s">
        <v>345</v>
      </c>
      <c r="F902" s="4" t="s">
        <v>3372</v>
      </c>
      <c r="G902" s="4" t="s">
        <v>54</v>
      </c>
      <c r="H902" s="4" t="s">
        <v>20</v>
      </c>
      <c r="I902" s="4" t="s">
        <v>489</v>
      </c>
    </row>
    <row r="903">
      <c r="A903" s="7">
        <v>45600.4927649537</v>
      </c>
      <c r="B903" s="4" t="s">
        <v>3373</v>
      </c>
      <c r="C903" s="4" t="s">
        <v>3374</v>
      </c>
      <c r="D903" s="8" t="s">
        <v>3375</v>
      </c>
      <c r="E903" s="4" t="s">
        <v>17</v>
      </c>
      <c r="F903" s="4" t="s">
        <v>3376</v>
      </c>
      <c r="G903" s="4" t="s">
        <v>19</v>
      </c>
      <c r="H903" s="4" t="s">
        <v>20</v>
      </c>
      <c r="I903" s="4" t="s">
        <v>126</v>
      </c>
    </row>
    <row r="904">
      <c r="A904" s="7">
        <v>45600.49369020833</v>
      </c>
      <c r="B904" s="4" t="s">
        <v>3377</v>
      </c>
      <c r="C904" s="4" t="s">
        <v>3378</v>
      </c>
      <c r="D904" s="8" t="s">
        <v>3379</v>
      </c>
      <c r="E904" s="4" t="s">
        <v>345</v>
      </c>
      <c r="F904" s="4" t="s">
        <v>3380</v>
      </c>
      <c r="G904" s="4" t="s">
        <v>54</v>
      </c>
      <c r="H904" s="4" t="s">
        <v>20</v>
      </c>
      <c r="I904" s="4" t="s">
        <v>1776</v>
      </c>
    </row>
    <row r="905">
      <c r="A905" s="7">
        <v>45600.49404150463</v>
      </c>
      <c r="B905" s="4" t="s">
        <v>3381</v>
      </c>
      <c r="C905" s="4" t="s">
        <v>3382</v>
      </c>
      <c r="D905" s="4" t="s">
        <v>1770</v>
      </c>
      <c r="E905" s="4" t="s">
        <v>313</v>
      </c>
      <c r="F905" s="4" t="s">
        <v>3383</v>
      </c>
      <c r="G905" s="4" t="s">
        <v>251</v>
      </c>
      <c r="H905" s="4" t="s">
        <v>20</v>
      </c>
      <c r="I905" s="4" t="s">
        <v>863</v>
      </c>
    </row>
    <row r="906">
      <c r="A906" s="7">
        <v>45600.49495042824</v>
      </c>
      <c r="B906" s="4" t="s">
        <v>2434</v>
      </c>
      <c r="C906" s="4" t="s">
        <v>2435</v>
      </c>
      <c r="D906" s="8" t="s">
        <v>150</v>
      </c>
      <c r="E906" s="4" t="s">
        <v>345</v>
      </c>
      <c r="F906" s="4" t="s">
        <v>2436</v>
      </c>
      <c r="G906" s="4" t="s">
        <v>54</v>
      </c>
      <c r="H906" s="4" t="s">
        <v>20</v>
      </c>
      <c r="I906" s="4" t="s">
        <v>3384</v>
      </c>
    </row>
    <row r="907">
      <c r="A907" s="7">
        <v>45600.49641960648</v>
      </c>
      <c r="B907" s="4" t="s">
        <v>3385</v>
      </c>
      <c r="C907" s="4" t="s">
        <v>3386</v>
      </c>
      <c r="D907" s="4" t="s">
        <v>1770</v>
      </c>
      <c r="E907" s="4" t="s">
        <v>313</v>
      </c>
      <c r="F907" s="4" t="s">
        <v>3387</v>
      </c>
      <c r="G907" s="4" t="s">
        <v>251</v>
      </c>
      <c r="H907" s="4" t="s">
        <v>20</v>
      </c>
      <c r="I907" s="4" t="s">
        <v>2697</v>
      </c>
    </row>
    <row r="908">
      <c r="A908" s="7">
        <v>45600.497262164354</v>
      </c>
      <c r="B908" s="4" t="s">
        <v>3388</v>
      </c>
      <c r="C908" s="4" t="s">
        <v>3389</v>
      </c>
      <c r="D908" s="4" t="s">
        <v>1770</v>
      </c>
      <c r="E908" s="4" t="s">
        <v>313</v>
      </c>
      <c r="F908" s="4" t="s">
        <v>3390</v>
      </c>
      <c r="G908" s="4" t="s">
        <v>251</v>
      </c>
      <c r="H908" s="4" t="s">
        <v>20</v>
      </c>
      <c r="I908" s="4" t="s">
        <v>2697</v>
      </c>
    </row>
    <row r="909">
      <c r="A909" s="7">
        <v>45600.500901782405</v>
      </c>
      <c r="B909" s="4" t="s">
        <v>3391</v>
      </c>
      <c r="C909" s="4" t="s">
        <v>3392</v>
      </c>
      <c r="D909" s="8" t="s">
        <v>3393</v>
      </c>
      <c r="E909" s="4" t="s">
        <v>173</v>
      </c>
      <c r="F909" s="4" t="s">
        <v>3394</v>
      </c>
      <c r="G909" s="4" t="s">
        <v>19</v>
      </c>
      <c r="H909" s="4" t="s">
        <v>20</v>
      </c>
      <c r="I909" s="4" t="s">
        <v>175</v>
      </c>
    </row>
    <row r="910">
      <c r="A910" s="7">
        <v>45600.545629942135</v>
      </c>
      <c r="B910" s="4" t="s">
        <v>1869</v>
      </c>
      <c r="C910" s="4" t="s">
        <v>3395</v>
      </c>
      <c r="D910" s="8" t="s">
        <v>1991</v>
      </c>
      <c r="E910" s="4" t="s">
        <v>313</v>
      </c>
      <c r="F910" s="4" t="s">
        <v>3396</v>
      </c>
      <c r="G910" s="4" t="s">
        <v>251</v>
      </c>
      <c r="H910" s="4" t="s">
        <v>570</v>
      </c>
      <c r="I910" s="4" t="s">
        <v>3397</v>
      </c>
    </row>
    <row r="911">
      <c r="A911" s="7">
        <v>45600.54986650463</v>
      </c>
      <c r="B911" s="4" t="s">
        <v>3398</v>
      </c>
      <c r="C911" s="4" t="s">
        <v>3399</v>
      </c>
      <c r="D911" s="4" t="s">
        <v>2020</v>
      </c>
      <c r="E911" s="4" t="s">
        <v>404</v>
      </c>
      <c r="F911" s="4" t="s">
        <v>3400</v>
      </c>
      <c r="G911" s="4" t="s">
        <v>251</v>
      </c>
      <c r="H911" s="4" t="s">
        <v>20</v>
      </c>
      <c r="I911" s="4" t="s">
        <v>1828</v>
      </c>
    </row>
    <row r="912">
      <c r="A912" s="7">
        <v>45600.56736487268</v>
      </c>
      <c r="B912" s="4" t="s">
        <v>3401</v>
      </c>
      <c r="C912" s="4" t="s">
        <v>3402</v>
      </c>
      <c r="D912" s="4" t="s">
        <v>3403</v>
      </c>
      <c r="E912" s="4" t="s">
        <v>313</v>
      </c>
      <c r="F912" s="4" t="s">
        <v>3404</v>
      </c>
      <c r="G912" s="4" t="s">
        <v>251</v>
      </c>
      <c r="H912" s="4" t="s">
        <v>20</v>
      </c>
      <c r="I912" s="4" t="s">
        <v>895</v>
      </c>
    </row>
    <row r="913">
      <c r="A913" s="7">
        <v>45600.57295104167</v>
      </c>
      <c r="B913" s="4" t="s">
        <v>3405</v>
      </c>
      <c r="C913" s="4" t="s">
        <v>3406</v>
      </c>
      <c r="D913" s="8" t="s">
        <v>3407</v>
      </c>
      <c r="E913" s="4" t="s">
        <v>1293</v>
      </c>
      <c r="F913" s="4" t="s">
        <v>3408</v>
      </c>
      <c r="G913" s="4" t="s">
        <v>251</v>
      </c>
      <c r="H913" s="4" t="s">
        <v>20</v>
      </c>
      <c r="I913" s="4" t="s">
        <v>489</v>
      </c>
    </row>
    <row r="914">
      <c r="A914" s="7">
        <v>45600.57382185185</v>
      </c>
      <c r="B914" s="4" t="s">
        <v>3409</v>
      </c>
      <c r="C914" s="4" t="s">
        <v>3410</v>
      </c>
      <c r="D914" s="8" t="s">
        <v>658</v>
      </c>
      <c r="E914" s="4" t="s">
        <v>1864</v>
      </c>
      <c r="F914" s="4" t="s">
        <v>3411</v>
      </c>
      <c r="G914" s="4" t="s">
        <v>54</v>
      </c>
      <c r="H914" s="4" t="s">
        <v>20</v>
      </c>
      <c r="I914" s="4" t="s">
        <v>2385</v>
      </c>
    </row>
    <row r="915">
      <c r="A915" s="7">
        <v>45600.57502297453</v>
      </c>
      <c r="B915" s="4" t="s">
        <v>3412</v>
      </c>
      <c r="C915" s="4" t="s">
        <v>3413</v>
      </c>
      <c r="D915" s="8" t="s">
        <v>658</v>
      </c>
      <c r="E915" s="4" t="s">
        <v>1864</v>
      </c>
      <c r="F915" s="4" t="s">
        <v>3414</v>
      </c>
      <c r="G915" s="4" t="s">
        <v>54</v>
      </c>
      <c r="H915" s="4" t="s">
        <v>20</v>
      </c>
      <c r="I915" s="4" t="s">
        <v>1097</v>
      </c>
    </row>
    <row r="916">
      <c r="A916" s="7">
        <v>45600.577322337966</v>
      </c>
      <c r="B916" s="4" t="s">
        <v>3415</v>
      </c>
      <c r="C916" s="4" t="s">
        <v>3416</v>
      </c>
      <c r="D916" s="8" t="s">
        <v>658</v>
      </c>
      <c r="E916" s="4" t="s">
        <v>3417</v>
      </c>
      <c r="F916" s="4" t="s">
        <v>3418</v>
      </c>
      <c r="G916" s="4" t="s">
        <v>54</v>
      </c>
      <c r="H916" s="4" t="s">
        <v>20</v>
      </c>
      <c r="I916" s="4" t="s">
        <v>1828</v>
      </c>
    </row>
    <row r="917">
      <c r="A917" s="7">
        <v>45600.5808008912</v>
      </c>
      <c r="B917" s="4" t="s">
        <v>1773</v>
      </c>
      <c r="C917" s="4" t="s">
        <v>1774</v>
      </c>
      <c r="D917" s="8" t="s">
        <v>1991</v>
      </c>
      <c r="E917" s="4" t="s">
        <v>284</v>
      </c>
      <c r="F917" s="4" t="s">
        <v>3419</v>
      </c>
      <c r="G917" s="4" t="s">
        <v>251</v>
      </c>
      <c r="H917" s="4" t="s">
        <v>570</v>
      </c>
      <c r="I917" s="4" t="s">
        <v>1776</v>
      </c>
    </row>
    <row r="918">
      <c r="A918" s="7">
        <v>45600.58113131944</v>
      </c>
      <c r="B918" s="4" t="s">
        <v>3420</v>
      </c>
      <c r="C918" s="4" t="s">
        <v>3421</v>
      </c>
      <c r="D918" s="4" t="s">
        <v>3422</v>
      </c>
      <c r="E918" s="4" t="s">
        <v>17</v>
      </c>
      <c r="F918" s="4" t="s">
        <v>3423</v>
      </c>
      <c r="G918" s="4" t="s">
        <v>54</v>
      </c>
      <c r="H918" s="4" t="s">
        <v>20</v>
      </c>
      <c r="I918" s="4" t="s">
        <v>3424</v>
      </c>
    </row>
    <row r="919">
      <c r="A919" s="7">
        <v>45600.585889953705</v>
      </c>
      <c r="B919" s="4" t="s">
        <v>3425</v>
      </c>
      <c r="C919" s="4" t="s">
        <v>3426</v>
      </c>
      <c r="D919" s="4" t="s">
        <v>188</v>
      </c>
      <c r="E919" s="4" t="s">
        <v>345</v>
      </c>
      <c r="F919" s="4" t="s">
        <v>3427</v>
      </c>
      <c r="G919" s="4" t="s">
        <v>32</v>
      </c>
      <c r="H919" s="4" t="s">
        <v>20</v>
      </c>
      <c r="I919" s="4" t="s">
        <v>1407</v>
      </c>
    </row>
    <row r="920">
      <c r="A920" s="7">
        <v>45600.59082909722</v>
      </c>
      <c r="B920" s="4" t="s">
        <v>3428</v>
      </c>
      <c r="C920" s="4" t="s">
        <v>3421</v>
      </c>
      <c r="D920" s="8" t="s">
        <v>3429</v>
      </c>
      <c r="E920" s="4" t="s">
        <v>17</v>
      </c>
      <c r="F920" s="4" t="s">
        <v>3430</v>
      </c>
      <c r="G920" s="4" t="s">
        <v>19</v>
      </c>
      <c r="H920" s="4" t="s">
        <v>20</v>
      </c>
      <c r="I920" s="4" t="s">
        <v>484</v>
      </c>
    </row>
    <row r="921">
      <c r="A921" s="7">
        <v>45600.592076319444</v>
      </c>
      <c r="B921" s="4" t="s">
        <v>3431</v>
      </c>
      <c r="C921" s="4" t="s">
        <v>3432</v>
      </c>
      <c r="D921" s="8" t="s">
        <v>3433</v>
      </c>
      <c r="E921" s="4" t="s">
        <v>404</v>
      </c>
      <c r="F921" s="4" t="s">
        <v>3434</v>
      </c>
      <c r="G921" s="4" t="s">
        <v>251</v>
      </c>
      <c r="H921" s="4" t="s">
        <v>20</v>
      </c>
      <c r="I921" s="4" t="s">
        <v>544</v>
      </c>
    </row>
    <row r="922">
      <c r="A922" s="7">
        <v>45600.601190914356</v>
      </c>
      <c r="B922" s="4" t="s">
        <v>3435</v>
      </c>
      <c r="C922" s="4" t="s">
        <v>3436</v>
      </c>
      <c r="D922" s="8" t="s">
        <v>3437</v>
      </c>
      <c r="E922" s="4" t="s">
        <v>17</v>
      </c>
      <c r="F922" s="4" t="s">
        <v>3438</v>
      </c>
      <c r="G922" s="4" t="s">
        <v>19</v>
      </c>
      <c r="H922" s="4" t="s">
        <v>20</v>
      </c>
      <c r="I922" s="4" t="s">
        <v>175</v>
      </c>
    </row>
    <row r="923">
      <c r="A923" s="7">
        <v>45600.60533431713</v>
      </c>
      <c r="B923" s="4" t="s">
        <v>3439</v>
      </c>
      <c r="C923" s="4" t="s">
        <v>3440</v>
      </c>
      <c r="D923" s="8" t="s">
        <v>1718</v>
      </c>
      <c r="E923" s="4" t="s">
        <v>1719</v>
      </c>
      <c r="F923" s="4" t="s">
        <v>3441</v>
      </c>
      <c r="G923" s="4" t="s">
        <v>54</v>
      </c>
      <c r="H923" s="4" t="s">
        <v>20</v>
      </c>
      <c r="I923" s="4" t="s">
        <v>412</v>
      </c>
    </row>
    <row r="924">
      <c r="A924" s="7">
        <v>45600.607456701386</v>
      </c>
      <c r="B924" s="4" t="s">
        <v>3442</v>
      </c>
      <c r="C924" s="4" t="s">
        <v>3443</v>
      </c>
      <c r="D924" s="4" t="s">
        <v>2472</v>
      </c>
      <c r="E924" s="4" t="s">
        <v>263</v>
      </c>
      <c r="F924" s="4" t="s">
        <v>3444</v>
      </c>
      <c r="G924" s="4" t="s">
        <v>54</v>
      </c>
      <c r="H924" s="4" t="s">
        <v>20</v>
      </c>
      <c r="I924" s="4" t="s">
        <v>279</v>
      </c>
    </row>
    <row r="925">
      <c r="A925" s="7">
        <v>45600.60995790509</v>
      </c>
      <c r="B925" s="4" t="s">
        <v>3445</v>
      </c>
      <c r="C925" s="4" t="s">
        <v>3446</v>
      </c>
      <c r="D925" s="4" t="s">
        <v>276</v>
      </c>
      <c r="E925" s="4" t="s">
        <v>345</v>
      </c>
      <c r="F925" s="4" t="s">
        <v>3447</v>
      </c>
      <c r="G925" s="4" t="s">
        <v>54</v>
      </c>
      <c r="H925" s="4" t="s">
        <v>20</v>
      </c>
      <c r="I925" s="4" t="s">
        <v>1086</v>
      </c>
    </row>
    <row r="926">
      <c r="A926" s="7">
        <v>45600.611563530096</v>
      </c>
      <c r="B926" s="4" t="s">
        <v>3448</v>
      </c>
      <c r="C926" s="4" t="s">
        <v>3449</v>
      </c>
      <c r="D926" s="4" t="s">
        <v>276</v>
      </c>
      <c r="E926" s="4" t="s">
        <v>345</v>
      </c>
      <c r="F926" s="4" t="s">
        <v>3450</v>
      </c>
      <c r="G926" s="4" t="s">
        <v>54</v>
      </c>
      <c r="H926" s="4" t="s">
        <v>20</v>
      </c>
      <c r="I926" s="4" t="s">
        <v>3451</v>
      </c>
    </row>
    <row r="927">
      <c r="A927" s="7">
        <v>45600.61395771991</v>
      </c>
      <c r="B927" s="4" t="s">
        <v>3452</v>
      </c>
      <c r="C927" s="4" t="s">
        <v>3453</v>
      </c>
      <c r="D927" s="4" t="s">
        <v>3454</v>
      </c>
      <c r="E927" s="4" t="s">
        <v>313</v>
      </c>
      <c r="F927" s="4" t="s">
        <v>3455</v>
      </c>
      <c r="G927" s="4" t="s">
        <v>251</v>
      </c>
      <c r="H927" s="4" t="s">
        <v>20</v>
      </c>
      <c r="I927" s="4" t="s">
        <v>1097</v>
      </c>
    </row>
    <row r="928">
      <c r="A928" s="7">
        <v>45600.61490388889</v>
      </c>
      <c r="B928" s="4" t="s">
        <v>3458</v>
      </c>
      <c r="C928" s="4" t="s">
        <v>3459</v>
      </c>
      <c r="D928" s="4" t="s">
        <v>3454</v>
      </c>
      <c r="E928" s="4" t="s">
        <v>313</v>
      </c>
      <c r="F928" s="4" t="s">
        <v>3461</v>
      </c>
      <c r="G928" s="4" t="s">
        <v>251</v>
      </c>
      <c r="H928" s="4" t="s">
        <v>20</v>
      </c>
      <c r="I928" s="4" t="s">
        <v>544</v>
      </c>
    </row>
    <row r="929">
      <c r="A929" s="7">
        <v>45600.618520034724</v>
      </c>
      <c r="B929" s="4" t="s">
        <v>3463</v>
      </c>
      <c r="C929" s="4" t="s">
        <v>3464</v>
      </c>
      <c r="D929" s="4" t="s">
        <v>2040</v>
      </c>
      <c r="E929" s="4" t="s">
        <v>1642</v>
      </c>
      <c r="F929" s="4" t="s">
        <v>3465</v>
      </c>
      <c r="G929" s="4" t="s">
        <v>32</v>
      </c>
      <c r="H929" s="4" t="s">
        <v>20</v>
      </c>
      <c r="I929" s="4" t="s">
        <v>102</v>
      </c>
    </row>
    <row r="930">
      <c r="A930" s="7">
        <v>45600.62568303241</v>
      </c>
      <c r="B930" s="4" t="s">
        <v>3466</v>
      </c>
      <c r="C930" s="4" t="s">
        <v>3467</v>
      </c>
      <c r="D930" s="4" t="s">
        <v>468</v>
      </c>
      <c r="E930" s="4" t="s">
        <v>345</v>
      </c>
      <c r="F930" s="4" t="s">
        <v>3468</v>
      </c>
      <c r="G930" s="4" t="s">
        <v>54</v>
      </c>
      <c r="H930" s="4" t="s">
        <v>20</v>
      </c>
      <c r="I930" s="4" t="s">
        <v>699</v>
      </c>
    </row>
    <row r="931">
      <c r="A931" s="7">
        <v>45600.63331994213</v>
      </c>
      <c r="B931" s="4" t="s">
        <v>3469</v>
      </c>
      <c r="C931" s="4" t="s">
        <v>3470</v>
      </c>
      <c r="D931" s="4" t="s">
        <v>3471</v>
      </c>
      <c r="E931" s="4" t="s">
        <v>345</v>
      </c>
      <c r="F931" s="4" t="s">
        <v>3472</v>
      </c>
      <c r="G931" s="4" t="s">
        <v>3473</v>
      </c>
      <c r="H931" s="4" t="s">
        <v>20</v>
      </c>
      <c r="I931" s="4" t="s">
        <v>86</v>
      </c>
    </row>
    <row r="932">
      <c r="A932" s="7">
        <v>45600.63433130787</v>
      </c>
      <c r="B932" s="4" t="s">
        <v>3474</v>
      </c>
      <c r="C932" s="4" t="s">
        <v>3475</v>
      </c>
      <c r="D932" s="4" t="s">
        <v>3476</v>
      </c>
      <c r="E932" s="4" t="s">
        <v>345</v>
      </c>
      <c r="F932" s="4" t="s">
        <v>3477</v>
      </c>
      <c r="G932" s="4" t="s">
        <v>3473</v>
      </c>
      <c r="H932" s="4" t="s">
        <v>20</v>
      </c>
      <c r="I932" s="4" t="s">
        <v>3478</v>
      </c>
    </row>
    <row r="933">
      <c r="A933" s="7">
        <v>45601.37530697917</v>
      </c>
      <c r="B933" s="4" t="s">
        <v>1644</v>
      </c>
      <c r="C933" s="4" t="s">
        <v>3479</v>
      </c>
      <c r="D933" s="8" t="s">
        <v>1646</v>
      </c>
      <c r="E933" s="4" t="s">
        <v>432</v>
      </c>
      <c r="F933" s="4" t="s">
        <v>1647</v>
      </c>
      <c r="G933" s="4" t="s">
        <v>54</v>
      </c>
      <c r="H933" s="4" t="s">
        <v>570</v>
      </c>
      <c r="I933" s="4" t="s">
        <v>839</v>
      </c>
    </row>
    <row r="934">
      <c r="A934" s="7">
        <v>45601.39725393518</v>
      </c>
      <c r="B934" s="4" t="s">
        <v>3480</v>
      </c>
      <c r="C934" s="4" t="s">
        <v>3481</v>
      </c>
      <c r="D934" s="4" t="s">
        <v>1309</v>
      </c>
      <c r="E934" s="4" t="s">
        <v>528</v>
      </c>
      <c r="F934" s="4" t="s">
        <v>3482</v>
      </c>
      <c r="G934" s="4" t="s">
        <v>32</v>
      </c>
      <c r="H934" s="4" t="s">
        <v>20</v>
      </c>
      <c r="I934" s="4" t="s">
        <v>86</v>
      </c>
    </row>
    <row r="935">
      <c r="A935" s="7">
        <v>45601.397938379625</v>
      </c>
      <c r="B935" s="4" t="s">
        <v>3483</v>
      </c>
      <c r="C935" s="4" t="s">
        <v>3484</v>
      </c>
      <c r="D935" s="4" t="s">
        <v>1309</v>
      </c>
      <c r="E935" s="4" t="s">
        <v>345</v>
      </c>
      <c r="F935" s="4" t="s">
        <v>3485</v>
      </c>
      <c r="G935" s="4" t="s">
        <v>32</v>
      </c>
      <c r="H935" s="4" t="s">
        <v>20</v>
      </c>
      <c r="I935" s="4" t="s">
        <v>203</v>
      </c>
    </row>
    <row r="936">
      <c r="A936" s="7">
        <v>45601.39871758102</v>
      </c>
      <c r="B936" s="4" t="s">
        <v>3486</v>
      </c>
      <c r="C936" s="4" t="s">
        <v>3487</v>
      </c>
      <c r="D936" s="4" t="s">
        <v>1309</v>
      </c>
      <c r="E936" s="4" t="s">
        <v>345</v>
      </c>
      <c r="F936" s="4" t="s">
        <v>3488</v>
      </c>
      <c r="G936" s="4" t="s">
        <v>32</v>
      </c>
      <c r="H936" s="4" t="s">
        <v>20</v>
      </c>
      <c r="I936" s="4" t="s">
        <v>686</v>
      </c>
    </row>
    <row r="937">
      <c r="A937" s="7">
        <v>45601.4069334838</v>
      </c>
      <c r="B937" s="4" t="s">
        <v>3489</v>
      </c>
      <c r="C937" s="4" t="s">
        <v>3490</v>
      </c>
      <c r="D937" s="4" t="s">
        <v>3491</v>
      </c>
      <c r="E937" s="4" t="s">
        <v>432</v>
      </c>
      <c r="F937" s="4" t="s">
        <v>3492</v>
      </c>
      <c r="G937" s="4" t="s">
        <v>251</v>
      </c>
      <c r="H937" s="4" t="s">
        <v>20</v>
      </c>
      <c r="I937" s="4" t="s">
        <v>1097</v>
      </c>
    </row>
    <row r="938">
      <c r="A938" s="7">
        <v>45601.409241064815</v>
      </c>
      <c r="B938" s="4" t="s">
        <v>2376</v>
      </c>
      <c r="C938" s="4" t="s">
        <v>3493</v>
      </c>
      <c r="D938" s="8" t="s">
        <v>2369</v>
      </c>
      <c r="E938" s="4" t="s">
        <v>2379</v>
      </c>
      <c r="F938" s="4" t="s">
        <v>3494</v>
      </c>
      <c r="G938" s="4" t="s">
        <v>251</v>
      </c>
      <c r="H938" s="4" t="s">
        <v>570</v>
      </c>
      <c r="I938" s="4" t="s">
        <v>3495</v>
      </c>
    </row>
    <row r="939">
      <c r="A939" s="7">
        <v>45601.410608680555</v>
      </c>
      <c r="B939" s="4" t="s">
        <v>3496</v>
      </c>
      <c r="C939" s="4" t="s">
        <v>3497</v>
      </c>
      <c r="D939" s="4" t="s">
        <v>3498</v>
      </c>
      <c r="E939" s="4" t="s">
        <v>528</v>
      </c>
      <c r="F939" s="4" t="s">
        <v>3499</v>
      </c>
      <c r="G939" s="4" t="s">
        <v>32</v>
      </c>
      <c r="H939" s="4" t="s">
        <v>20</v>
      </c>
      <c r="I939" s="4" t="s">
        <v>1111</v>
      </c>
    </row>
    <row r="940">
      <c r="A940" s="7">
        <v>45601.41149758102</v>
      </c>
      <c r="B940" s="4" t="s">
        <v>3500</v>
      </c>
      <c r="C940" s="4" t="s">
        <v>3501</v>
      </c>
      <c r="D940" s="8" t="s">
        <v>3502</v>
      </c>
      <c r="E940" s="4" t="s">
        <v>3503</v>
      </c>
      <c r="F940" s="4" t="s">
        <v>3504</v>
      </c>
      <c r="G940" s="4" t="s">
        <v>19</v>
      </c>
      <c r="H940" s="4" t="s">
        <v>20</v>
      </c>
      <c r="I940" s="4" t="s">
        <v>3505</v>
      </c>
    </row>
    <row r="941">
      <c r="A941" s="7">
        <v>45601.41183173611</v>
      </c>
      <c r="B941" s="4" t="s">
        <v>3506</v>
      </c>
      <c r="C941" s="4" t="s">
        <v>3507</v>
      </c>
      <c r="D941" s="4" t="s">
        <v>3498</v>
      </c>
      <c r="E941" s="4" t="s">
        <v>345</v>
      </c>
      <c r="F941" s="4" t="s">
        <v>3508</v>
      </c>
      <c r="G941" s="4" t="s">
        <v>32</v>
      </c>
      <c r="H941" s="4" t="s">
        <v>20</v>
      </c>
      <c r="I941" s="4" t="s">
        <v>356</v>
      </c>
    </row>
    <row r="942">
      <c r="A942" s="7">
        <v>45601.413256307875</v>
      </c>
      <c r="B942" s="4" t="s">
        <v>3509</v>
      </c>
      <c r="C942" s="4" t="s">
        <v>3510</v>
      </c>
      <c r="D942" s="8" t="s">
        <v>3511</v>
      </c>
      <c r="E942" s="4" t="s">
        <v>3512</v>
      </c>
      <c r="F942" s="4" t="s">
        <v>3513</v>
      </c>
      <c r="G942" s="4" t="s">
        <v>54</v>
      </c>
      <c r="H942" s="4" t="s">
        <v>20</v>
      </c>
      <c r="I942" s="4" t="s">
        <v>86</v>
      </c>
    </row>
    <row r="943">
      <c r="A943" s="7">
        <v>45601.41477239583</v>
      </c>
      <c r="B943" s="4" t="s">
        <v>3514</v>
      </c>
      <c r="C943" s="4" t="s">
        <v>3515</v>
      </c>
      <c r="D943" s="8" t="s">
        <v>3516</v>
      </c>
      <c r="E943" s="4" t="s">
        <v>1293</v>
      </c>
      <c r="F943" s="4" t="s">
        <v>3517</v>
      </c>
      <c r="G943" s="4" t="s">
        <v>251</v>
      </c>
      <c r="H943" s="4" t="s">
        <v>20</v>
      </c>
      <c r="I943" s="4" t="s">
        <v>1536</v>
      </c>
    </row>
    <row r="944">
      <c r="A944" s="7">
        <v>45601.425865173616</v>
      </c>
      <c r="B944" s="4" t="s">
        <v>3518</v>
      </c>
      <c r="C944" s="4" t="s">
        <v>3519</v>
      </c>
      <c r="D944" s="4" t="s">
        <v>613</v>
      </c>
      <c r="E944" s="4" t="s">
        <v>404</v>
      </c>
      <c r="F944" s="4" t="s">
        <v>3520</v>
      </c>
      <c r="G944" s="4" t="s">
        <v>251</v>
      </c>
      <c r="H944" s="4" t="s">
        <v>20</v>
      </c>
      <c r="I944" s="4" t="s">
        <v>535</v>
      </c>
    </row>
    <row r="945">
      <c r="A945" s="7">
        <v>45601.4264755787</v>
      </c>
      <c r="B945" s="4" t="s">
        <v>3521</v>
      </c>
      <c r="C945" s="4" t="s">
        <v>3522</v>
      </c>
      <c r="D945" s="4" t="s">
        <v>3498</v>
      </c>
      <c r="E945" s="4" t="s">
        <v>345</v>
      </c>
      <c r="F945" s="4" t="s">
        <v>3523</v>
      </c>
      <c r="G945" s="4" t="s">
        <v>32</v>
      </c>
      <c r="H945" s="4" t="s">
        <v>20</v>
      </c>
      <c r="I945" s="4" t="s">
        <v>121</v>
      </c>
    </row>
    <row r="946">
      <c r="A946" s="7">
        <v>45601.42650412037</v>
      </c>
      <c r="B946" s="4" t="s">
        <v>3524</v>
      </c>
      <c r="C946" s="4" t="s">
        <v>3525</v>
      </c>
      <c r="D946" s="4" t="s">
        <v>613</v>
      </c>
      <c r="E946" s="4" t="s">
        <v>404</v>
      </c>
      <c r="F946" s="4" t="s">
        <v>3526</v>
      </c>
      <c r="G946" s="4" t="s">
        <v>251</v>
      </c>
      <c r="H946" s="4" t="s">
        <v>20</v>
      </c>
      <c r="I946" s="4" t="s">
        <v>895</v>
      </c>
    </row>
    <row r="947">
      <c r="A947" s="7">
        <v>45601.42786591435</v>
      </c>
      <c r="B947" s="4" t="s">
        <v>3527</v>
      </c>
      <c r="C947" s="4" t="s">
        <v>3528</v>
      </c>
      <c r="D947" s="4" t="s">
        <v>1606</v>
      </c>
      <c r="E947" s="4" t="s">
        <v>404</v>
      </c>
      <c r="F947" s="4" t="s">
        <v>3529</v>
      </c>
      <c r="G947" s="4" t="s">
        <v>251</v>
      </c>
      <c r="H947" s="4" t="s">
        <v>20</v>
      </c>
      <c r="I947" s="4" t="s">
        <v>3530</v>
      </c>
    </row>
    <row r="948">
      <c r="A948" s="7">
        <v>45601.42931680556</v>
      </c>
      <c r="B948" s="4" t="s">
        <v>3531</v>
      </c>
      <c r="C948" s="4" t="s">
        <v>3532</v>
      </c>
      <c r="D948" s="4" t="s">
        <v>1606</v>
      </c>
      <c r="E948" s="4" t="s">
        <v>538</v>
      </c>
      <c r="F948" s="4" t="s">
        <v>3533</v>
      </c>
      <c r="G948" s="4" t="s">
        <v>251</v>
      </c>
      <c r="H948" s="4" t="s">
        <v>20</v>
      </c>
      <c r="I948" s="4" t="s">
        <v>1086</v>
      </c>
    </row>
    <row r="949">
      <c r="A949" s="7">
        <v>45601.434122199076</v>
      </c>
      <c r="B949" s="4" t="s">
        <v>2534</v>
      </c>
      <c r="C949" s="4" t="s">
        <v>3534</v>
      </c>
      <c r="D949" s="4" t="s">
        <v>2536</v>
      </c>
      <c r="E949" s="4" t="s">
        <v>3535</v>
      </c>
      <c r="F949" s="4" t="s">
        <v>2538</v>
      </c>
      <c r="G949" s="4" t="s">
        <v>54</v>
      </c>
      <c r="H949" s="4" t="s">
        <v>570</v>
      </c>
      <c r="I949" s="4" t="s">
        <v>2539</v>
      </c>
    </row>
    <row r="950">
      <c r="A950" s="7">
        <v>45601.434973090276</v>
      </c>
      <c r="B950" s="4" t="s">
        <v>3536</v>
      </c>
      <c r="C950" s="4" t="s">
        <v>3537</v>
      </c>
      <c r="D950" s="4" t="s">
        <v>1606</v>
      </c>
      <c r="E950" s="4" t="s">
        <v>653</v>
      </c>
      <c r="F950" s="4" t="s">
        <v>3538</v>
      </c>
      <c r="G950" s="4" t="s">
        <v>251</v>
      </c>
      <c r="H950" s="4" t="s">
        <v>20</v>
      </c>
      <c r="I950" s="4" t="s">
        <v>895</v>
      </c>
    </row>
    <row r="951">
      <c r="A951" s="7">
        <v>45601.436919201384</v>
      </c>
      <c r="B951" s="4" t="s">
        <v>3539</v>
      </c>
      <c r="C951" s="4" t="s">
        <v>3540</v>
      </c>
      <c r="D951" s="4" t="s">
        <v>3541</v>
      </c>
      <c r="E951" s="4" t="s">
        <v>345</v>
      </c>
      <c r="F951" s="4" t="s">
        <v>3542</v>
      </c>
      <c r="G951" s="4" t="s">
        <v>32</v>
      </c>
      <c r="H951" s="4" t="s">
        <v>20</v>
      </c>
      <c r="I951" s="4" t="s">
        <v>109</v>
      </c>
    </row>
    <row r="952">
      <c r="A952" s="7">
        <v>45601.44950234954</v>
      </c>
      <c r="B952" s="4" t="s">
        <v>3543</v>
      </c>
      <c r="C952" s="4" t="s">
        <v>3544</v>
      </c>
      <c r="D952" s="4" t="s">
        <v>1508</v>
      </c>
      <c r="E952" s="4" t="s">
        <v>284</v>
      </c>
      <c r="F952" s="4" t="s">
        <v>3546</v>
      </c>
      <c r="G952" s="4" t="s">
        <v>251</v>
      </c>
      <c r="H952" s="4" t="s">
        <v>20</v>
      </c>
      <c r="I952" s="4" t="s">
        <v>319</v>
      </c>
    </row>
    <row r="953">
      <c r="A953" s="7">
        <v>45601.45360835648</v>
      </c>
      <c r="B953" s="4" t="s">
        <v>3547</v>
      </c>
      <c r="C953" s="4" t="s">
        <v>3548</v>
      </c>
      <c r="D953" s="8" t="s">
        <v>3549</v>
      </c>
      <c r="E953" s="4" t="s">
        <v>17</v>
      </c>
      <c r="F953" s="4" t="s">
        <v>3550</v>
      </c>
      <c r="G953" s="4" t="s">
        <v>19</v>
      </c>
      <c r="H953" s="4" t="s">
        <v>20</v>
      </c>
      <c r="I953" s="4" t="s">
        <v>440</v>
      </c>
    </row>
    <row r="954">
      <c r="A954" s="7">
        <v>45601.46082412037</v>
      </c>
      <c r="B954" s="4" t="s">
        <v>3551</v>
      </c>
      <c r="C954" s="4" t="s">
        <v>3552</v>
      </c>
      <c r="D954" s="4" t="s">
        <v>3553</v>
      </c>
      <c r="E954" s="4" t="s">
        <v>345</v>
      </c>
      <c r="F954" s="4" t="s">
        <v>3554</v>
      </c>
      <c r="G954" s="4" t="s">
        <v>32</v>
      </c>
      <c r="H954" s="4" t="s">
        <v>20</v>
      </c>
      <c r="I954" s="4" t="s">
        <v>347</v>
      </c>
    </row>
    <row r="955">
      <c r="A955" s="7">
        <v>45601.46138491898</v>
      </c>
      <c r="B955" s="4" t="s">
        <v>3555</v>
      </c>
      <c r="C955" s="4" t="s">
        <v>3556</v>
      </c>
      <c r="D955" s="4" t="s">
        <v>3557</v>
      </c>
      <c r="E955" s="4" t="s">
        <v>410</v>
      </c>
      <c r="F955" s="4" t="s">
        <v>3558</v>
      </c>
      <c r="G955" s="4" t="s">
        <v>251</v>
      </c>
      <c r="H955" s="4" t="s">
        <v>20</v>
      </c>
      <c r="I955" s="4" t="s">
        <v>922</v>
      </c>
    </row>
    <row r="956">
      <c r="A956" s="7">
        <v>45601.46337600694</v>
      </c>
      <c r="B956" s="4" t="s">
        <v>3559</v>
      </c>
      <c r="C956" s="4" t="s">
        <v>3560</v>
      </c>
      <c r="D956" s="4" t="s">
        <v>3557</v>
      </c>
      <c r="E956" s="4" t="s">
        <v>379</v>
      </c>
      <c r="F956" s="4" t="s">
        <v>3561</v>
      </c>
      <c r="G956" s="4" t="s">
        <v>251</v>
      </c>
      <c r="H956" s="4" t="s">
        <v>20</v>
      </c>
      <c r="I956" s="4" t="s">
        <v>3562</v>
      </c>
    </row>
    <row r="957">
      <c r="A957" s="7">
        <v>45601.464712141205</v>
      </c>
      <c r="B957" s="4" t="s">
        <v>3563</v>
      </c>
      <c r="C957" s="4" t="s">
        <v>3564</v>
      </c>
      <c r="D957" s="4" t="s">
        <v>3553</v>
      </c>
      <c r="E957" s="4" t="s">
        <v>345</v>
      </c>
      <c r="F957" s="4" t="s">
        <v>3565</v>
      </c>
      <c r="G957" s="4" t="s">
        <v>32</v>
      </c>
      <c r="H957" s="4" t="s">
        <v>20</v>
      </c>
      <c r="I957" s="4" t="s">
        <v>347</v>
      </c>
    </row>
    <row r="958">
      <c r="A958" s="7">
        <v>45601.465599641204</v>
      </c>
      <c r="B958" s="4" t="s">
        <v>3566</v>
      </c>
      <c r="C958" s="4" t="s">
        <v>3567</v>
      </c>
      <c r="D958" s="8" t="s">
        <v>3568</v>
      </c>
      <c r="E958" s="4" t="s">
        <v>345</v>
      </c>
      <c r="F958" s="4" t="s">
        <v>3569</v>
      </c>
      <c r="G958" s="4" t="s">
        <v>54</v>
      </c>
      <c r="H958" s="4" t="s">
        <v>20</v>
      </c>
      <c r="I958" s="4" t="s">
        <v>1126</v>
      </c>
    </row>
    <row r="959">
      <c r="A959" s="7">
        <v>45601.473108356484</v>
      </c>
      <c r="B959" s="4" t="s">
        <v>3570</v>
      </c>
      <c r="C959" s="4" t="s">
        <v>3571</v>
      </c>
      <c r="D959" s="8" t="s">
        <v>3266</v>
      </c>
      <c r="E959" s="4" t="s">
        <v>345</v>
      </c>
      <c r="F959" s="4" t="s">
        <v>3572</v>
      </c>
      <c r="G959" s="4" t="s">
        <v>54</v>
      </c>
      <c r="H959" s="4" t="s">
        <v>20</v>
      </c>
      <c r="I959" s="4" t="s">
        <v>1126</v>
      </c>
    </row>
    <row r="960">
      <c r="A960" s="7">
        <v>45601.47375273149</v>
      </c>
      <c r="B960" s="4" t="s">
        <v>3573</v>
      </c>
      <c r="C960" s="4" t="s">
        <v>3574</v>
      </c>
      <c r="D960" s="4" t="s">
        <v>1515</v>
      </c>
      <c r="E960" s="4" t="s">
        <v>284</v>
      </c>
      <c r="F960" s="4" t="s">
        <v>3575</v>
      </c>
      <c r="G960" s="4" t="s">
        <v>251</v>
      </c>
      <c r="H960" s="4" t="s">
        <v>20</v>
      </c>
      <c r="I960" s="4" t="s">
        <v>287</v>
      </c>
    </row>
    <row r="961">
      <c r="A961" s="7">
        <v>45601.47495590278</v>
      </c>
      <c r="B961" s="4" t="s">
        <v>3576</v>
      </c>
      <c r="C961" s="4" t="s">
        <v>3577</v>
      </c>
      <c r="D961" s="8" t="s">
        <v>3578</v>
      </c>
      <c r="E961" s="4" t="s">
        <v>3579</v>
      </c>
      <c r="F961" s="4" t="s">
        <v>31</v>
      </c>
      <c r="G961" s="4" t="s">
        <v>19</v>
      </c>
      <c r="H961" s="4" t="s">
        <v>20</v>
      </c>
      <c r="I961" s="4" t="s">
        <v>2979</v>
      </c>
    </row>
    <row r="962">
      <c r="A962" s="7">
        <v>45601.476252395834</v>
      </c>
      <c r="B962" s="4" t="s">
        <v>3580</v>
      </c>
      <c r="C962" s="4" t="s">
        <v>3581</v>
      </c>
      <c r="D962" s="4" t="s">
        <v>1515</v>
      </c>
      <c r="E962" s="4" t="s">
        <v>754</v>
      </c>
      <c r="F962" s="4" t="s">
        <v>3582</v>
      </c>
      <c r="G962" s="4" t="s">
        <v>251</v>
      </c>
      <c r="H962" s="4" t="s">
        <v>20</v>
      </c>
      <c r="I962" s="4" t="s">
        <v>1261</v>
      </c>
    </row>
    <row r="963">
      <c r="A963" s="7">
        <v>45601.47636239583</v>
      </c>
      <c r="B963" s="4" t="s">
        <v>3583</v>
      </c>
      <c r="C963" s="4" t="s">
        <v>3584</v>
      </c>
      <c r="D963" s="8" t="s">
        <v>3266</v>
      </c>
      <c r="E963" s="4" t="s">
        <v>345</v>
      </c>
      <c r="F963" s="4" t="s">
        <v>3585</v>
      </c>
      <c r="G963" s="4" t="s">
        <v>54</v>
      </c>
      <c r="H963" s="4" t="s">
        <v>20</v>
      </c>
      <c r="I963" s="4" t="s">
        <v>3586</v>
      </c>
    </row>
    <row r="964">
      <c r="A964" s="7">
        <v>45601.47926310185</v>
      </c>
      <c r="B964" s="4" t="s">
        <v>3587</v>
      </c>
      <c r="C964" s="4" t="s">
        <v>3588</v>
      </c>
      <c r="D964" s="8" t="s">
        <v>3266</v>
      </c>
      <c r="E964" s="4" t="s">
        <v>345</v>
      </c>
      <c r="F964" s="4" t="s">
        <v>3589</v>
      </c>
      <c r="G964" s="4" t="s">
        <v>54</v>
      </c>
      <c r="H964" s="4" t="s">
        <v>20</v>
      </c>
      <c r="I964" s="4" t="s">
        <v>3590</v>
      </c>
    </row>
    <row r="965">
      <c r="A965" s="7">
        <v>45601.480954108796</v>
      </c>
      <c r="B965" s="4" t="s">
        <v>3591</v>
      </c>
      <c r="C965" s="4" t="s">
        <v>3592</v>
      </c>
      <c r="D965" s="8" t="s">
        <v>3266</v>
      </c>
      <c r="E965" s="4" t="s">
        <v>345</v>
      </c>
      <c r="F965" s="4" t="s">
        <v>3593</v>
      </c>
      <c r="G965" s="4" t="s">
        <v>54</v>
      </c>
      <c r="H965" s="4" t="s">
        <v>20</v>
      </c>
      <c r="I965" s="4" t="s">
        <v>3594</v>
      </c>
    </row>
    <row r="966">
      <c r="A966" s="7">
        <v>45601.48284261574</v>
      </c>
      <c r="B966" s="4" t="s">
        <v>3595</v>
      </c>
      <c r="C966" s="4" t="s">
        <v>3596</v>
      </c>
      <c r="D966" s="8" t="s">
        <v>3597</v>
      </c>
      <c r="E966" s="4" t="s">
        <v>17</v>
      </c>
      <c r="F966" s="4" t="s">
        <v>3598</v>
      </c>
      <c r="G966" s="4" t="s">
        <v>19</v>
      </c>
      <c r="H966" s="4" t="s">
        <v>20</v>
      </c>
      <c r="I966" s="4" t="s">
        <v>3598</v>
      </c>
    </row>
    <row r="967">
      <c r="A967" s="7">
        <v>45601.485757476854</v>
      </c>
      <c r="B967" s="4" t="s">
        <v>2446</v>
      </c>
      <c r="C967" s="4" t="s">
        <v>3599</v>
      </c>
      <c r="D967" s="8" t="s">
        <v>1054</v>
      </c>
      <c r="E967" s="4" t="s">
        <v>173</v>
      </c>
      <c r="F967" s="4" t="s">
        <v>2447</v>
      </c>
      <c r="G967" s="4" t="s">
        <v>54</v>
      </c>
      <c r="H967" s="4" t="s">
        <v>570</v>
      </c>
      <c r="I967" s="4" t="s">
        <v>1575</v>
      </c>
    </row>
    <row r="968">
      <c r="A968" s="7">
        <v>45601.48711825232</v>
      </c>
      <c r="B968" s="4" t="s">
        <v>3600</v>
      </c>
      <c r="C968" s="4" t="s">
        <v>3601</v>
      </c>
      <c r="D968" s="4" t="s">
        <v>2148</v>
      </c>
      <c r="E968" s="4" t="s">
        <v>404</v>
      </c>
      <c r="F968" s="4" t="s">
        <v>3601</v>
      </c>
      <c r="G968" s="4" t="s">
        <v>251</v>
      </c>
      <c r="H968" s="4" t="s">
        <v>20</v>
      </c>
      <c r="I968" s="4" t="s">
        <v>839</v>
      </c>
    </row>
    <row r="969">
      <c r="A969" s="7">
        <v>45601.49158011574</v>
      </c>
      <c r="B969" s="4" t="s">
        <v>3602</v>
      </c>
      <c r="C969" s="4" t="s">
        <v>44</v>
      </c>
      <c r="D969" s="8" t="s">
        <v>45</v>
      </c>
      <c r="E969" s="4" t="s">
        <v>3603</v>
      </c>
      <c r="F969" s="4" t="s">
        <v>3604</v>
      </c>
      <c r="G969" s="4" t="s">
        <v>19</v>
      </c>
      <c r="H969" s="4" t="s">
        <v>20</v>
      </c>
      <c r="I969" s="4" t="s">
        <v>3604</v>
      </c>
    </row>
    <row r="970">
      <c r="A970" s="7">
        <v>45601.4920931713</v>
      </c>
      <c r="B970" s="4" t="s">
        <v>3605</v>
      </c>
      <c r="C970" s="4" t="s">
        <v>3606</v>
      </c>
      <c r="D970" s="4" t="s">
        <v>238</v>
      </c>
      <c r="E970" s="4" t="s">
        <v>345</v>
      </c>
      <c r="F970" s="4" t="s">
        <v>3607</v>
      </c>
      <c r="G970" s="4" t="s">
        <v>32</v>
      </c>
      <c r="H970" s="4" t="s">
        <v>20</v>
      </c>
      <c r="I970" s="4" t="s">
        <v>279</v>
      </c>
    </row>
    <row r="971">
      <c r="A971" s="7">
        <v>45601.551324988424</v>
      </c>
      <c r="B971" s="4" t="s">
        <v>3608</v>
      </c>
      <c r="C971" s="4" t="s">
        <v>3609</v>
      </c>
      <c r="D971" s="8" t="s">
        <v>3610</v>
      </c>
      <c r="E971" s="4" t="s">
        <v>137</v>
      </c>
      <c r="F971" s="4" t="s">
        <v>3611</v>
      </c>
      <c r="G971" s="4" t="s">
        <v>54</v>
      </c>
      <c r="H971" s="4" t="s">
        <v>20</v>
      </c>
      <c r="I971" s="4" t="s">
        <v>26</v>
      </c>
    </row>
    <row r="972">
      <c r="A972" s="7">
        <v>45601.555483275464</v>
      </c>
      <c r="B972" s="4" t="s">
        <v>3612</v>
      </c>
      <c r="C972" s="4" t="s">
        <v>3613</v>
      </c>
      <c r="D972" s="4" t="s">
        <v>1309</v>
      </c>
      <c r="E972" s="4" t="s">
        <v>345</v>
      </c>
      <c r="F972" s="4" t="s">
        <v>3614</v>
      </c>
      <c r="G972" s="4" t="s">
        <v>32</v>
      </c>
      <c r="H972" s="4" t="s">
        <v>20</v>
      </c>
      <c r="I972" s="4" t="s">
        <v>958</v>
      </c>
    </row>
    <row r="973">
      <c r="A973" s="7">
        <v>45601.55622559028</v>
      </c>
      <c r="B973" s="4" t="s">
        <v>3615</v>
      </c>
      <c r="C973" s="4" t="s">
        <v>3616</v>
      </c>
      <c r="D973" s="8" t="s">
        <v>3610</v>
      </c>
      <c r="E973" s="4" t="s">
        <v>59</v>
      </c>
      <c r="F973" s="4" t="s">
        <v>3617</v>
      </c>
      <c r="G973" s="4" t="s">
        <v>54</v>
      </c>
      <c r="H973" s="4" t="s">
        <v>20</v>
      </c>
      <c r="I973" s="4" t="s">
        <v>1454</v>
      </c>
    </row>
    <row r="974">
      <c r="A974" s="7">
        <v>45601.55762097222</v>
      </c>
      <c r="B974" s="4" t="s">
        <v>3618</v>
      </c>
      <c r="C974" s="4" t="s">
        <v>3619</v>
      </c>
      <c r="D974" s="8" t="s">
        <v>3620</v>
      </c>
      <c r="E974" s="4" t="s">
        <v>313</v>
      </c>
      <c r="F974" s="4" t="s">
        <v>3621</v>
      </c>
      <c r="G974" s="4" t="s">
        <v>251</v>
      </c>
      <c r="H974" s="4" t="s">
        <v>20</v>
      </c>
      <c r="I974" s="4" t="s">
        <v>3530</v>
      </c>
    </row>
    <row r="975">
      <c r="A975" s="7">
        <v>45601.558503692126</v>
      </c>
      <c r="B975" s="4" t="s">
        <v>3622</v>
      </c>
      <c r="C975" s="4" t="s">
        <v>3623</v>
      </c>
      <c r="D975" s="8" t="s">
        <v>3610</v>
      </c>
      <c r="E975" s="4" t="s">
        <v>59</v>
      </c>
      <c r="F975" s="4" t="s">
        <v>3624</v>
      </c>
      <c r="G975" s="4" t="s">
        <v>54</v>
      </c>
      <c r="H975" s="4" t="s">
        <v>20</v>
      </c>
      <c r="I975" s="4" t="s">
        <v>3625</v>
      </c>
    </row>
    <row r="976">
      <c r="A976" s="7">
        <v>45601.561373171295</v>
      </c>
      <c r="B976" s="4" t="s">
        <v>3626</v>
      </c>
      <c r="C976" s="4" t="s">
        <v>3627</v>
      </c>
      <c r="D976" s="8" t="s">
        <v>3628</v>
      </c>
      <c r="E976" s="4" t="s">
        <v>345</v>
      </c>
      <c r="F976" s="4" t="s">
        <v>3629</v>
      </c>
      <c r="G976" s="4" t="s">
        <v>32</v>
      </c>
      <c r="H976" s="4" t="s">
        <v>20</v>
      </c>
      <c r="I976" s="4" t="s">
        <v>152</v>
      </c>
    </row>
    <row r="977">
      <c r="A977" s="7">
        <v>45601.56811445602</v>
      </c>
      <c r="B977" s="4" t="s">
        <v>3630</v>
      </c>
      <c r="C977" s="4" t="s">
        <v>3631</v>
      </c>
      <c r="D977" s="4" t="s">
        <v>3632</v>
      </c>
      <c r="E977" s="4" t="s">
        <v>59</v>
      </c>
      <c r="F977" s="4" t="s">
        <v>3633</v>
      </c>
      <c r="G977" s="4" t="s">
        <v>54</v>
      </c>
      <c r="H977" s="4" t="s">
        <v>20</v>
      </c>
      <c r="I977" s="4" t="s">
        <v>3634</v>
      </c>
    </row>
    <row r="978">
      <c r="A978" s="7">
        <v>45601.5701824537</v>
      </c>
      <c r="B978" s="4" t="s">
        <v>3635</v>
      </c>
      <c r="C978" s="4" t="s">
        <v>3636</v>
      </c>
      <c r="D978" s="4" t="s">
        <v>373</v>
      </c>
      <c r="E978" s="4" t="s">
        <v>345</v>
      </c>
      <c r="F978" s="4" t="s">
        <v>3637</v>
      </c>
      <c r="G978" s="4" t="s">
        <v>54</v>
      </c>
      <c r="H978" s="4" t="s">
        <v>20</v>
      </c>
      <c r="I978" s="4" t="s">
        <v>1776</v>
      </c>
    </row>
    <row r="979">
      <c r="A979" s="7">
        <v>45601.57170053241</v>
      </c>
      <c r="B979" s="4" t="s">
        <v>3638</v>
      </c>
      <c r="C979" s="4" t="s">
        <v>231</v>
      </c>
      <c r="D979" s="4" t="s">
        <v>373</v>
      </c>
      <c r="E979" s="4" t="s">
        <v>313</v>
      </c>
      <c r="F979" s="4" t="s">
        <v>3639</v>
      </c>
      <c r="G979" s="4" t="s">
        <v>54</v>
      </c>
      <c r="H979" s="4" t="s">
        <v>20</v>
      </c>
      <c r="I979" s="4" t="s">
        <v>3640</v>
      </c>
    </row>
    <row r="980">
      <c r="A980" s="7">
        <v>45601.57336628472</v>
      </c>
      <c r="B980" s="4" t="s">
        <v>2119</v>
      </c>
      <c r="C980" s="4" t="s">
        <v>3641</v>
      </c>
      <c r="D980" s="8" t="s">
        <v>1991</v>
      </c>
      <c r="E980" s="4" t="s">
        <v>432</v>
      </c>
      <c r="F980" s="4" t="s">
        <v>2122</v>
      </c>
      <c r="G980" s="4" t="s">
        <v>251</v>
      </c>
      <c r="H980" s="4" t="s">
        <v>570</v>
      </c>
      <c r="I980" s="4" t="s">
        <v>802</v>
      </c>
    </row>
    <row r="981">
      <c r="A981" s="7">
        <v>45601.5779499537</v>
      </c>
      <c r="B981" s="4" t="s">
        <v>3642</v>
      </c>
      <c r="C981" s="4" t="s">
        <v>3047</v>
      </c>
      <c r="D981" s="4" t="s">
        <v>1848</v>
      </c>
      <c r="E981" s="4" t="s">
        <v>1159</v>
      </c>
      <c r="F981" s="4" t="s">
        <v>3643</v>
      </c>
      <c r="G981" s="4" t="s">
        <v>32</v>
      </c>
      <c r="H981" s="4" t="s">
        <v>20</v>
      </c>
      <c r="I981" s="4" t="s">
        <v>109</v>
      </c>
    </row>
    <row r="982">
      <c r="A982" s="7">
        <v>45601.5794753588</v>
      </c>
      <c r="B982" s="4" t="s">
        <v>3644</v>
      </c>
      <c r="C982" s="4" t="s">
        <v>3645</v>
      </c>
      <c r="D982" s="8" t="s">
        <v>3646</v>
      </c>
      <c r="E982" s="4" t="s">
        <v>662</v>
      </c>
      <c r="F982" s="4" t="s">
        <v>927</v>
      </c>
      <c r="G982" s="4" t="s">
        <v>19</v>
      </c>
      <c r="H982" s="4" t="s">
        <v>20</v>
      </c>
      <c r="I982" s="4" t="s">
        <v>927</v>
      </c>
    </row>
    <row r="983">
      <c r="A983" s="7">
        <v>45601.58597373843</v>
      </c>
      <c r="B983" s="4" t="s">
        <v>3647</v>
      </c>
      <c r="C983" s="4" t="s">
        <v>3648</v>
      </c>
      <c r="D983" s="4" t="s">
        <v>3288</v>
      </c>
      <c r="E983" s="4" t="s">
        <v>517</v>
      </c>
      <c r="F983" s="4" t="s">
        <v>3649</v>
      </c>
      <c r="G983" s="4" t="s">
        <v>54</v>
      </c>
      <c r="H983" s="4" t="s">
        <v>20</v>
      </c>
      <c r="I983" s="4" t="s">
        <v>2329</v>
      </c>
    </row>
    <row r="984">
      <c r="A984" s="7">
        <v>45601.58714577546</v>
      </c>
      <c r="B984" s="4" t="s">
        <v>3650</v>
      </c>
      <c r="C984" s="4" t="s">
        <v>3651</v>
      </c>
      <c r="D984" s="4" t="s">
        <v>1382</v>
      </c>
      <c r="E984" s="4" t="s">
        <v>3652</v>
      </c>
      <c r="F984" s="4" t="s">
        <v>3653</v>
      </c>
      <c r="G984" s="4" t="s">
        <v>3473</v>
      </c>
      <c r="H984" s="4" t="s">
        <v>20</v>
      </c>
      <c r="I984" s="4" t="s">
        <v>115</v>
      </c>
    </row>
    <row r="985">
      <c r="A985" s="7">
        <v>45601.589027905095</v>
      </c>
      <c r="B985" s="4" t="s">
        <v>990</v>
      </c>
      <c r="C985" s="4" t="s">
        <v>991</v>
      </c>
      <c r="D985" s="4" t="s">
        <v>373</v>
      </c>
      <c r="E985" s="4" t="s">
        <v>345</v>
      </c>
      <c r="F985" s="4" t="s">
        <v>992</v>
      </c>
      <c r="G985" s="4" t="s">
        <v>54</v>
      </c>
      <c r="H985" s="4" t="s">
        <v>570</v>
      </c>
      <c r="I985" s="4" t="s">
        <v>839</v>
      </c>
    </row>
    <row r="986">
      <c r="A986" s="7">
        <v>45601.59003402777</v>
      </c>
      <c r="B986" s="4" t="s">
        <v>3654</v>
      </c>
      <c r="C986" s="4" t="s">
        <v>3655</v>
      </c>
      <c r="D986" s="8" t="s">
        <v>3656</v>
      </c>
      <c r="E986" s="4" t="s">
        <v>17</v>
      </c>
      <c r="F986" s="4" t="s">
        <v>3657</v>
      </c>
      <c r="G986" s="4" t="s">
        <v>19</v>
      </c>
      <c r="H986" s="4" t="s">
        <v>20</v>
      </c>
      <c r="I986" s="4" t="s">
        <v>1944</v>
      </c>
    </row>
    <row r="987">
      <c r="A987" s="7">
        <v>45601.59095273148</v>
      </c>
      <c r="B987" s="4" t="s">
        <v>3658</v>
      </c>
      <c r="C987" s="4" t="s">
        <v>1504</v>
      </c>
      <c r="D987" s="4" t="s">
        <v>1500</v>
      </c>
      <c r="E987" s="4" t="s">
        <v>78</v>
      </c>
      <c r="F987" s="4" t="s">
        <v>1505</v>
      </c>
      <c r="G987" s="4" t="s">
        <v>32</v>
      </c>
      <c r="H987" s="4" t="s">
        <v>20</v>
      </c>
      <c r="I987" s="4" t="s">
        <v>694</v>
      </c>
    </row>
    <row r="988">
      <c r="A988" s="7">
        <v>45601.592384918986</v>
      </c>
      <c r="B988" s="4" t="s">
        <v>3659</v>
      </c>
      <c r="C988" s="4" t="s">
        <v>3660</v>
      </c>
      <c r="D988" s="4" t="s">
        <v>1947</v>
      </c>
      <c r="E988" s="4" t="s">
        <v>313</v>
      </c>
      <c r="F988" s="4" t="s">
        <v>3661</v>
      </c>
      <c r="G988" s="4" t="s">
        <v>251</v>
      </c>
      <c r="H988" s="4" t="s">
        <v>20</v>
      </c>
      <c r="I988" s="4" t="s">
        <v>1667</v>
      </c>
    </row>
    <row r="989">
      <c r="A989" s="7">
        <v>45601.59258305556</v>
      </c>
      <c r="B989" s="4" t="s">
        <v>3662</v>
      </c>
      <c r="C989" s="4" t="s">
        <v>3663</v>
      </c>
      <c r="D989" s="4" t="s">
        <v>1382</v>
      </c>
      <c r="E989" s="4" t="s">
        <v>137</v>
      </c>
      <c r="F989" s="4" t="s">
        <v>3664</v>
      </c>
      <c r="G989" s="4" t="s">
        <v>3473</v>
      </c>
      <c r="H989" s="4" t="s">
        <v>20</v>
      </c>
      <c r="I989" s="4" t="s">
        <v>109</v>
      </c>
    </row>
    <row r="990">
      <c r="A990" s="7">
        <v>45601.593811053244</v>
      </c>
      <c r="B990" s="4" t="s">
        <v>3665</v>
      </c>
      <c r="C990" s="4" t="s">
        <v>3666</v>
      </c>
      <c r="D990" s="8" t="s">
        <v>3667</v>
      </c>
      <c r="E990" s="4" t="s">
        <v>30</v>
      </c>
      <c r="F990" s="4" t="s">
        <v>3668</v>
      </c>
      <c r="G990" s="4" t="s">
        <v>32</v>
      </c>
      <c r="H990" s="4" t="s">
        <v>20</v>
      </c>
      <c r="I990" s="4" t="s">
        <v>2979</v>
      </c>
    </row>
    <row r="991">
      <c r="A991" s="7">
        <v>45601.594444884264</v>
      </c>
      <c r="B991" s="4" t="s">
        <v>3669</v>
      </c>
      <c r="C991" s="4" t="s">
        <v>3670</v>
      </c>
      <c r="D991" s="8" t="s">
        <v>3671</v>
      </c>
      <c r="E991" s="4" t="s">
        <v>2327</v>
      </c>
      <c r="F991" s="4" t="s">
        <v>3672</v>
      </c>
      <c r="G991" s="4" t="s">
        <v>251</v>
      </c>
      <c r="H991" s="4" t="s">
        <v>20</v>
      </c>
      <c r="I991" s="4" t="s">
        <v>406</v>
      </c>
    </row>
    <row r="992">
      <c r="A992" s="7">
        <v>45601.60532248842</v>
      </c>
      <c r="B992" s="4" t="s">
        <v>1623</v>
      </c>
      <c r="C992" s="4" t="s">
        <v>3673</v>
      </c>
      <c r="D992" s="8" t="s">
        <v>1991</v>
      </c>
      <c r="E992" s="4" t="s">
        <v>313</v>
      </c>
      <c r="F992" s="4" t="s">
        <v>3674</v>
      </c>
      <c r="G992" s="4" t="s">
        <v>251</v>
      </c>
      <c r="H992" s="4" t="s">
        <v>570</v>
      </c>
      <c r="I992" s="4" t="s">
        <v>3675</v>
      </c>
    </row>
    <row r="993">
      <c r="A993" s="7">
        <v>45601.611457604165</v>
      </c>
      <c r="B993" s="4" t="s">
        <v>3676</v>
      </c>
      <c r="C993" s="4" t="s">
        <v>3677</v>
      </c>
      <c r="D993" s="8" t="s">
        <v>3678</v>
      </c>
      <c r="E993" s="4" t="s">
        <v>313</v>
      </c>
      <c r="F993" s="4" t="s">
        <v>3679</v>
      </c>
      <c r="G993" s="4" t="s">
        <v>251</v>
      </c>
      <c r="H993" s="4" t="s">
        <v>20</v>
      </c>
      <c r="I993" s="4" t="s">
        <v>2271</v>
      </c>
    </row>
    <row r="994">
      <c r="A994" s="7">
        <v>45601.61252228009</v>
      </c>
      <c r="B994" s="4" t="s">
        <v>3680</v>
      </c>
      <c r="C994" s="4" t="s">
        <v>3681</v>
      </c>
      <c r="D994" s="8" t="s">
        <v>150</v>
      </c>
      <c r="E994" s="4" t="s">
        <v>345</v>
      </c>
      <c r="F994" s="4" t="s">
        <v>3682</v>
      </c>
      <c r="G994" s="4" t="s">
        <v>54</v>
      </c>
      <c r="H994" s="4" t="s">
        <v>20</v>
      </c>
      <c r="I994" s="4" t="s">
        <v>1454</v>
      </c>
    </row>
    <row r="995">
      <c r="A995" s="7">
        <v>45601.6144530787</v>
      </c>
      <c r="B995" s="4" t="s">
        <v>2024</v>
      </c>
      <c r="C995" s="4" t="s">
        <v>2025</v>
      </c>
      <c r="D995" s="4" t="s">
        <v>1382</v>
      </c>
      <c r="E995" s="4" t="s">
        <v>754</v>
      </c>
      <c r="F995" s="4" t="s">
        <v>2027</v>
      </c>
      <c r="G995" s="4" t="s">
        <v>54</v>
      </c>
      <c r="H995" s="4" t="s">
        <v>570</v>
      </c>
      <c r="I995" s="4" t="s">
        <v>2028</v>
      </c>
    </row>
    <row r="996">
      <c r="A996" s="7">
        <v>45601.62224685185</v>
      </c>
      <c r="B996" s="4" t="s">
        <v>3683</v>
      </c>
      <c r="C996" s="4" t="s">
        <v>3684</v>
      </c>
      <c r="D996" s="8" t="s">
        <v>2455</v>
      </c>
      <c r="E996" s="4" t="s">
        <v>313</v>
      </c>
      <c r="F996" s="4" t="s">
        <v>3685</v>
      </c>
      <c r="G996" s="4" t="s">
        <v>251</v>
      </c>
      <c r="H996" s="4" t="s">
        <v>20</v>
      </c>
      <c r="I996" s="4" t="s">
        <v>847</v>
      </c>
    </row>
    <row r="997">
      <c r="A997" s="7">
        <v>45601.623616909725</v>
      </c>
      <c r="B997" s="4" t="s">
        <v>3686</v>
      </c>
      <c r="C997" s="4" t="s">
        <v>3687</v>
      </c>
      <c r="D997" s="8" t="s">
        <v>3688</v>
      </c>
      <c r="E997" s="4" t="s">
        <v>2938</v>
      </c>
      <c r="F997" s="4" t="s">
        <v>3689</v>
      </c>
      <c r="G997" s="4" t="s">
        <v>3473</v>
      </c>
      <c r="H997" s="4" t="s">
        <v>20</v>
      </c>
      <c r="I997" s="4" t="s">
        <v>2218</v>
      </c>
    </row>
    <row r="998">
      <c r="A998" s="7">
        <v>45601.627533101855</v>
      </c>
      <c r="B998" s="4" t="s">
        <v>2641</v>
      </c>
      <c r="C998" s="4" t="s">
        <v>2642</v>
      </c>
      <c r="D998" s="4" t="s">
        <v>2472</v>
      </c>
      <c r="E998" s="4" t="s">
        <v>2486</v>
      </c>
      <c r="F998" s="4" t="s">
        <v>2643</v>
      </c>
      <c r="G998" s="4" t="s">
        <v>32</v>
      </c>
      <c r="H998" s="4" t="s">
        <v>570</v>
      </c>
      <c r="I998" s="4" t="s">
        <v>279</v>
      </c>
    </row>
    <row r="999">
      <c r="A999" s="7">
        <v>45601.62787232639</v>
      </c>
      <c r="B999" s="4" t="s">
        <v>3690</v>
      </c>
      <c r="C999" s="4" t="s">
        <v>3691</v>
      </c>
      <c r="D999" s="4" t="s">
        <v>3422</v>
      </c>
      <c r="E999" s="4" t="s">
        <v>345</v>
      </c>
      <c r="F999" s="4" t="s">
        <v>3692</v>
      </c>
      <c r="G999" s="4" t="s">
        <v>54</v>
      </c>
      <c r="H999" s="4" t="s">
        <v>20</v>
      </c>
      <c r="I999" s="4" t="s">
        <v>922</v>
      </c>
    </row>
    <row r="1000">
      <c r="A1000" s="7">
        <v>45601.630608506945</v>
      </c>
      <c r="B1000" s="4" t="s">
        <v>3693</v>
      </c>
      <c r="C1000" s="4" t="s">
        <v>3694</v>
      </c>
      <c r="D1000" s="4" t="s">
        <v>3695</v>
      </c>
      <c r="E1000" s="4" t="s">
        <v>528</v>
      </c>
      <c r="F1000" s="4" t="s">
        <v>3696</v>
      </c>
      <c r="G1000" s="4" t="s">
        <v>32</v>
      </c>
      <c r="H1000" s="4" t="s">
        <v>20</v>
      </c>
      <c r="I1000" s="4" t="s">
        <v>3017</v>
      </c>
    </row>
    <row r="1001">
      <c r="A1001" s="7">
        <v>45601.63383</v>
      </c>
      <c r="B1001" s="4" t="s">
        <v>3697</v>
      </c>
      <c r="C1001" s="4" t="s">
        <v>3698</v>
      </c>
      <c r="D1001" s="8" t="s">
        <v>658</v>
      </c>
      <c r="E1001" s="4" t="s">
        <v>345</v>
      </c>
      <c r="F1001" s="4" t="s">
        <v>3699</v>
      </c>
      <c r="G1001" s="4" t="s">
        <v>54</v>
      </c>
      <c r="H1001" s="4" t="s">
        <v>20</v>
      </c>
      <c r="I1001" s="4" t="s">
        <v>922</v>
      </c>
    </row>
    <row r="1002">
      <c r="A1002" s="7">
        <v>45601.634803692126</v>
      </c>
      <c r="B1002" s="4" t="s">
        <v>3700</v>
      </c>
      <c r="C1002" s="4" t="s">
        <v>3701</v>
      </c>
      <c r="D1002" s="8" t="s">
        <v>658</v>
      </c>
      <c r="E1002" s="4" t="s">
        <v>345</v>
      </c>
      <c r="F1002" s="4" t="s">
        <v>3702</v>
      </c>
      <c r="G1002" s="4" t="s">
        <v>54</v>
      </c>
      <c r="H1002" s="4" t="s">
        <v>20</v>
      </c>
      <c r="I1002" s="4" t="s">
        <v>922</v>
      </c>
    </row>
    <row r="1003">
      <c r="A1003" s="7">
        <v>45601.63544574074</v>
      </c>
      <c r="B1003" s="4" t="s">
        <v>3703</v>
      </c>
      <c r="C1003" s="4" t="s">
        <v>3704</v>
      </c>
      <c r="D1003" s="4" t="s">
        <v>527</v>
      </c>
      <c r="E1003" s="4" t="s">
        <v>78</v>
      </c>
      <c r="F1003" s="4" t="s">
        <v>3705</v>
      </c>
      <c r="G1003" s="4" t="s">
        <v>32</v>
      </c>
      <c r="H1003" s="4" t="s">
        <v>20</v>
      </c>
      <c r="I1003" s="4" t="s">
        <v>80</v>
      </c>
    </row>
    <row r="1004">
      <c r="A1004" s="7">
        <v>45601.635875196764</v>
      </c>
      <c r="B1004" s="4" t="s">
        <v>3706</v>
      </c>
      <c r="C1004" s="4" t="s">
        <v>3707</v>
      </c>
      <c r="D1004" s="8" t="s">
        <v>658</v>
      </c>
      <c r="E1004" s="4" t="s">
        <v>345</v>
      </c>
      <c r="F1004" s="4" t="s">
        <v>3708</v>
      </c>
      <c r="G1004" s="4" t="s">
        <v>54</v>
      </c>
      <c r="H1004" s="4" t="s">
        <v>20</v>
      </c>
      <c r="I1004" s="4" t="s">
        <v>1458</v>
      </c>
    </row>
    <row r="1005">
      <c r="A1005" s="7">
        <v>45601.637257939816</v>
      </c>
      <c r="B1005" s="4" t="s">
        <v>3709</v>
      </c>
      <c r="C1005" s="4" t="s">
        <v>3710</v>
      </c>
      <c r="D1005" s="8" t="s">
        <v>3711</v>
      </c>
      <c r="E1005" s="4" t="s">
        <v>1963</v>
      </c>
      <c r="F1005" s="4" t="s">
        <v>3712</v>
      </c>
      <c r="G1005" s="4" t="s">
        <v>54</v>
      </c>
      <c r="H1005" s="4" t="s">
        <v>20</v>
      </c>
      <c r="I1005" s="4" t="s">
        <v>287</v>
      </c>
    </row>
    <row r="1006">
      <c r="A1006" s="7">
        <v>45601.638523726855</v>
      </c>
      <c r="B1006" s="4" t="s">
        <v>3713</v>
      </c>
      <c r="C1006" s="4" t="s">
        <v>3714</v>
      </c>
      <c r="D1006" s="8" t="s">
        <v>3715</v>
      </c>
      <c r="E1006" s="4" t="s">
        <v>3716</v>
      </c>
      <c r="F1006" s="4" t="s">
        <v>3717</v>
      </c>
      <c r="G1006" s="4" t="s">
        <v>54</v>
      </c>
      <c r="H1006" s="4" t="s">
        <v>20</v>
      </c>
      <c r="I1006" s="4" t="s">
        <v>3718</v>
      </c>
    </row>
    <row r="1007">
      <c r="A1007" s="7">
        <v>45601.640740891205</v>
      </c>
      <c r="B1007" s="4" t="s">
        <v>906</v>
      </c>
      <c r="C1007" s="4" t="s">
        <v>3221</v>
      </c>
      <c r="D1007" s="8" t="s">
        <v>697</v>
      </c>
      <c r="E1007" s="4" t="s">
        <v>345</v>
      </c>
      <c r="F1007" s="4" t="s">
        <v>909</v>
      </c>
      <c r="G1007" s="4" t="s">
        <v>54</v>
      </c>
      <c r="H1007" s="4" t="s">
        <v>570</v>
      </c>
      <c r="I1007" s="4" t="s">
        <v>565</v>
      </c>
    </row>
    <row r="1008">
      <c r="A1008" s="7">
        <v>45602.36498391203</v>
      </c>
      <c r="B1008" s="4" t="s">
        <v>3719</v>
      </c>
      <c r="C1008" s="4" t="s">
        <v>3720</v>
      </c>
      <c r="D1008" s="8" t="s">
        <v>262</v>
      </c>
      <c r="E1008" s="4" t="s">
        <v>345</v>
      </c>
      <c r="F1008" s="4" t="s">
        <v>2525</v>
      </c>
      <c r="G1008" s="4" t="s">
        <v>32</v>
      </c>
      <c r="H1008" s="4" t="s">
        <v>20</v>
      </c>
      <c r="I1008" s="4" t="s">
        <v>272</v>
      </c>
    </row>
    <row r="1009">
      <c r="A1009" s="7">
        <v>45602.36644974537</v>
      </c>
      <c r="B1009" s="4" t="s">
        <v>2339</v>
      </c>
      <c r="C1009" s="4" t="s">
        <v>3721</v>
      </c>
      <c r="D1009" s="4" t="s">
        <v>2341</v>
      </c>
      <c r="E1009" s="4" t="s">
        <v>345</v>
      </c>
      <c r="F1009" s="4" t="s">
        <v>2342</v>
      </c>
      <c r="G1009" s="4" t="s">
        <v>32</v>
      </c>
      <c r="H1009" s="4" t="s">
        <v>570</v>
      </c>
      <c r="I1009" s="4" t="s">
        <v>356</v>
      </c>
    </row>
    <row r="1010">
      <c r="A1010" s="7">
        <v>45602.36901258102</v>
      </c>
      <c r="B1010" s="4" t="s">
        <v>3722</v>
      </c>
      <c r="C1010" s="4" t="s">
        <v>3723</v>
      </c>
      <c r="D1010" s="4" t="s">
        <v>2717</v>
      </c>
      <c r="E1010" s="4" t="s">
        <v>345</v>
      </c>
      <c r="F1010" s="4" t="s">
        <v>3724</v>
      </c>
      <c r="G1010" s="4" t="s">
        <v>3473</v>
      </c>
      <c r="H1010" s="4" t="s">
        <v>20</v>
      </c>
      <c r="I1010" s="4" t="s">
        <v>967</v>
      </c>
    </row>
    <row r="1011">
      <c r="A1011" s="7">
        <v>45602.37202579861</v>
      </c>
      <c r="B1011" s="4" t="s">
        <v>2552</v>
      </c>
      <c r="C1011" s="4" t="s">
        <v>3725</v>
      </c>
      <c r="D1011" s="8" t="s">
        <v>1991</v>
      </c>
      <c r="E1011" s="4" t="s">
        <v>313</v>
      </c>
      <c r="F1011" s="4" t="s">
        <v>3726</v>
      </c>
      <c r="G1011" s="4" t="s">
        <v>251</v>
      </c>
      <c r="H1011" s="4" t="s">
        <v>570</v>
      </c>
      <c r="I1011" s="4" t="s">
        <v>3727</v>
      </c>
    </row>
    <row r="1012">
      <c r="A1012" s="7">
        <v>45602.374799791665</v>
      </c>
      <c r="B1012" s="4" t="s">
        <v>3728</v>
      </c>
      <c r="C1012" s="4" t="s">
        <v>3729</v>
      </c>
      <c r="D1012" s="8" t="s">
        <v>262</v>
      </c>
      <c r="E1012" s="4" t="s">
        <v>792</v>
      </c>
      <c r="F1012" s="4" t="s">
        <v>3730</v>
      </c>
      <c r="G1012" s="4" t="s">
        <v>32</v>
      </c>
      <c r="H1012" s="4" t="s">
        <v>20</v>
      </c>
      <c r="I1012" s="4" t="s">
        <v>222</v>
      </c>
    </row>
    <row r="1013">
      <c r="A1013" s="7">
        <v>45602.38796818287</v>
      </c>
      <c r="B1013" s="4" t="s">
        <v>3731</v>
      </c>
      <c r="C1013" s="4" t="s">
        <v>3732</v>
      </c>
      <c r="D1013" s="8" t="s">
        <v>3733</v>
      </c>
      <c r="E1013" s="4" t="s">
        <v>1276</v>
      </c>
      <c r="F1013" s="4" t="s">
        <v>3734</v>
      </c>
      <c r="G1013" s="4" t="s">
        <v>19</v>
      </c>
      <c r="H1013" s="4" t="s">
        <v>20</v>
      </c>
      <c r="I1013" s="4" t="s">
        <v>3735</v>
      </c>
    </row>
    <row r="1014">
      <c r="A1014" s="7">
        <v>45602.39179709491</v>
      </c>
      <c r="B1014" s="4" t="s">
        <v>3736</v>
      </c>
      <c r="C1014" s="4" t="s">
        <v>3737</v>
      </c>
      <c r="D1014" s="4" t="s">
        <v>247</v>
      </c>
      <c r="E1014" s="4" t="s">
        <v>763</v>
      </c>
      <c r="F1014" s="4" t="s">
        <v>3738</v>
      </c>
      <c r="G1014" s="4" t="s">
        <v>251</v>
      </c>
      <c r="H1014" s="4" t="s">
        <v>20</v>
      </c>
      <c r="I1014" s="4" t="s">
        <v>1906</v>
      </c>
    </row>
    <row r="1015">
      <c r="A1015" s="7">
        <v>45602.3951283912</v>
      </c>
      <c r="B1015" s="4" t="s">
        <v>3739</v>
      </c>
      <c r="C1015" s="4" t="s">
        <v>3740</v>
      </c>
      <c r="D1015" s="4" t="s">
        <v>1129</v>
      </c>
      <c r="E1015" s="4" t="s">
        <v>345</v>
      </c>
      <c r="F1015" s="4" t="s">
        <v>3741</v>
      </c>
      <c r="G1015" s="4" t="s">
        <v>32</v>
      </c>
      <c r="H1015" s="4" t="s">
        <v>20</v>
      </c>
      <c r="I1015" s="4" t="s">
        <v>301</v>
      </c>
    </row>
    <row r="1016">
      <c r="A1016" s="7">
        <v>45602.41193862268</v>
      </c>
      <c r="B1016" s="4" t="s">
        <v>3742</v>
      </c>
      <c r="C1016" s="4" t="s">
        <v>3743</v>
      </c>
      <c r="D1016" s="8" t="s">
        <v>3744</v>
      </c>
      <c r="E1016" s="4" t="s">
        <v>119</v>
      </c>
      <c r="F1016" s="4" t="s">
        <v>3745</v>
      </c>
      <c r="G1016" s="4" t="s">
        <v>19</v>
      </c>
      <c r="H1016" s="4" t="s">
        <v>20</v>
      </c>
      <c r="I1016" s="4" t="s">
        <v>308</v>
      </c>
    </row>
    <row r="1017">
      <c r="A1017" s="7">
        <v>45602.414499085644</v>
      </c>
      <c r="B1017" s="4" t="s">
        <v>3746</v>
      </c>
      <c r="C1017" s="4" t="s">
        <v>3747</v>
      </c>
      <c r="D1017" s="8" t="s">
        <v>1718</v>
      </c>
      <c r="E1017" s="4" t="s">
        <v>2249</v>
      </c>
      <c r="F1017" s="4" t="s">
        <v>3748</v>
      </c>
      <c r="G1017" s="4" t="s">
        <v>54</v>
      </c>
      <c r="H1017" s="4" t="s">
        <v>20</v>
      </c>
      <c r="I1017" s="4" t="s">
        <v>3586</v>
      </c>
    </row>
    <row r="1018">
      <c r="A1018" s="7">
        <v>45602.415042685185</v>
      </c>
      <c r="B1018" s="4" t="s">
        <v>3749</v>
      </c>
      <c r="C1018" s="4" t="s">
        <v>3750</v>
      </c>
      <c r="D1018" s="4" t="s">
        <v>1508</v>
      </c>
      <c r="E1018" s="4" t="s">
        <v>284</v>
      </c>
      <c r="F1018" s="4" t="s">
        <v>3751</v>
      </c>
      <c r="G1018" s="4" t="s">
        <v>251</v>
      </c>
      <c r="H1018" s="4" t="s">
        <v>20</v>
      </c>
      <c r="I1018" s="4" t="s">
        <v>3752</v>
      </c>
    </row>
    <row r="1019">
      <c r="A1019" s="7">
        <v>45602.41704399306</v>
      </c>
      <c r="B1019" s="4" t="s">
        <v>3753</v>
      </c>
      <c r="C1019" s="4" t="s">
        <v>3754</v>
      </c>
      <c r="D1019" s="8" t="s">
        <v>3755</v>
      </c>
      <c r="E1019" s="4" t="s">
        <v>517</v>
      </c>
      <c r="F1019" s="4" t="s">
        <v>3756</v>
      </c>
      <c r="G1019" s="4" t="s">
        <v>54</v>
      </c>
      <c r="H1019" s="4" t="s">
        <v>570</v>
      </c>
      <c r="I1019" s="4" t="s">
        <v>3757</v>
      </c>
    </row>
    <row r="1020">
      <c r="A1020" s="7">
        <v>45602.4262247338</v>
      </c>
      <c r="B1020" s="4" t="s">
        <v>1885</v>
      </c>
      <c r="C1020" s="4" t="s">
        <v>2850</v>
      </c>
      <c r="D1020" s="4" t="s">
        <v>2536</v>
      </c>
      <c r="E1020" s="4" t="s">
        <v>345</v>
      </c>
      <c r="F1020" s="4" t="s">
        <v>1887</v>
      </c>
      <c r="G1020" s="4" t="s">
        <v>54</v>
      </c>
      <c r="H1020" s="4" t="s">
        <v>3116</v>
      </c>
      <c r="I1020" s="4" t="s">
        <v>891</v>
      </c>
    </row>
    <row r="1021">
      <c r="A1021" s="7">
        <v>45602.43130810185</v>
      </c>
      <c r="B1021" s="4" t="s">
        <v>1877</v>
      </c>
      <c r="C1021" s="4" t="s">
        <v>2850</v>
      </c>
      <c r="D1021" s="4" t="s">
        <v>2536</v>
      </c>
      <c r="E1021" s="4" t="s">
        <v>345</v>
      </c>
      <c r="F1021" s="4" t="s">
        <v>3758</v>
      </c>
      <c r="G1021" s="4" t="s">
        <v>54</v>
      </c>
      <c r="H1021" s="4" t="s">
        <v>570</v>
      </c>
      <c r="I1021" s="4" t="s">
        <v>891</v>
      </c>
    </row>
    <row r="1022">
      <c r="A1022" s="7">
        <v>45602.441787187505</v>
      </c>
      <c r="B1022" s="4" t="s">
        <v>3759</v>
      </c>
      <c r="C1022" s="4" t="s">
        <v>3760</v>
      </c>
      <c r="D1022" s="4" t="s">
        <v>373</v>
      </c>
      <c r="E1022" s="4" t="s">
        <v>313</v>
      </c>
      <c r="F1022" s="4" t="s">
        <v>3761</v>
      </c>
      <c r="G1022" s="4" t="s">
        <v>251</v>
      </c>
      <c r="H1022" s="4" t="s">
        <v>20</v>
      </c>
      <c r="I1022" s="4" t="s">
        <v>3762</v>
      </c>
    </row>
    <row r="1023">
      <c r="A1023" s="7">
        <v>45602.44615134259</v>
      </c>
      <c r="B1023" s="4" t="s">
        <v>1338</v>
      </c>
      <c r="C1023" s="4" t="s">
        <v>3205</v>
      </c>
      <c r="D1023" s="8" t="s">
        <v>3206</v>
      </c>
      <c r="E1023" s="4" t="s">
        <v>30</v>
      </c>
      <c r="F1023" s="4" t="s">
        <v>3210</v>
      </c>
      <c r="G1023" s="4" t="s">
        <v>32</v>
      </c>
      <c r="H1023" s="4" t="s">
        <v>570</v>
      </c>
      <c r="I1023" s="4" t="s">
        <v>74</v>
      </c>
    </row>
    <row r="1024">
      <c r="A1024" s="7">
        <v>45602.44625736111</v>
      </c>
      <c r="B1024" s="4" t="s">
        <v>3086</v>
      </c>
      <c r="C1024" s="4" t="s">
        <v>3763</v>
      </c>
      <c r="D1024" s="8" t="s">
        <v>1991</v>
      </c>
      <c r="E1024" s="4" t="s">
        <v>313</v>
      </c>
      <c r="F1024" s="4" t="s">
        <v>3764</v>
      </c>
      <c r="G1024" s="4" t="s">
        <v>251</v>
      </c>
      <c r="H1024" s="4" t="s">
        <v>570</v>
      </c>
      <c r="I1024" s="4" t="s">
        <v>3765</v>
      </c>
    </row>
    <row r="1025">
      <c r="A1025" s="7">
        <v>45602.446815243056</v>
      </c>
      <c r="B1025" s="4" t="s">
        <v>3204</v>
      </c>
      <c r="C1025" s="4" t="s">
        <v>3205</v>
      </c>
      <c r="D1025" s="8" t="s">
        <v>3206</v>
      </c>
      <c r="E1025" s="4" t="s">
        <v>30</v>
      </c>
      <c r="F1025" s="4" t="s">
        <v>3766</v>
      </c>
      <c r="G1025" s="4" t="s">
        <v>32</v>
      </c>
      <c r="H1025" s="4" t="s">
        <v>570</v>
      </c>
      <c r="I1025" s="4" t="s">
        <v>74</v>
      </c>
    </row>
    <row r="1026">
      <c r="A1026" s="7">
        <v>45602.44689310185</v>
      </c>
      <c r="B1026" s="4" t="s">
        <v>3169</v>
      </c>
      <c r="C1026" s="4" t="s">
        <v>3767</v>
      </c>
      <c r="D1026" s="8" t="s">
        <v>1991</v>
      </c>
      <c r="E1026" s="4" t="s">
        <v>313</v>
      </c>
      <c r="F1026" s="4" t="s">
        <v>3768</v>
      </c>
      <c r="G1026" s="4" t="s">
        <v>251</v>
      </c>
      <c r="H1026" s="4" t="s">
        <v>570</v>
      </c>
      <c r="I1026" s="4" t="s">
        <v>3765</v>
      </c>
    </row>
    <row r="1027">
      <c r="A1027" s="7">
        <v>45602.44842850695</v>
      </c>
      <c r="B1027" s="4" t="s">
        <v>2042</v>
      </c>
      <c r="C1027" s="4" t="s">
        <v>2043</v>
      </c>
      <c r="D1027" s="4" t="s">
        <v>2040</v>
      </c>
      <c r="E1027" s="4" t="s">
        <v>345</v>
      </c>
      <c r="F1027" s="4" t="s">
        <v>2044</v>
      </c>
      <c r="G1027" s="4" t="s">
        <v>32</v>
      </c>
      <c r="H1027" s="4" t="s">
        <v>570</v>
      </c>
      <c r="I1027" s="4" t="s">
        <v>80</v>
      </c>
    </row>
    <row r="1028">
      <c r="A1028" s="7">
        <v>45602.449928472226</v>
      </c>
      <c r="B1028" s="4" t="s">
        <v>3769</v>
      </c>
      <c r="C1028" s="4" t="s">
        <v>3770</v>
      </c>
      <c r="D1028" s="8" t="s">
        <v>3771</v>
      </c>
      <c r="E1028" s="4" t="s">
        <v>179</v>
      </c>
      <c r="F1028" s="4" t="s">
        <v>686</v>
      </c>
      <c r="G1028" s="4" t="s">
        <v>19</v>
      </c>
      <c r="H1028" s="4" t="s">
        <v>20</v>
      </c>
      <c r="I1028" s="4" t="s">
        <v>686</v>
      </c>
    </row>
    <row r="1029">
      <c r="A1029" s="7">
        <v>45602.45261512732</v>
      </c>
      <c r="B1029" s="4" t="s">
        <v>3772</v>
      </c>
      <c r="C1029" s="4" t="s">
        <v>3773</v>
      </c>
      <c r="D1029" s="4" t="s">
        <v>3775</v>
      </c>
      <c r="E1029" s="4" t="s">
        <v>345</v>
      </c>
      <c r="F1029" s="4" t="s">
        <v>3776</v>
      </c>
      <c r="G1029" s="4" t="s">
        <v>3473</v>
      </c>
      <c r="H1029" s="4" t="s">
        <v>20</v>
      </c>
      <c r="I1029" s="4" t="s">
        <v>694</v>
      </c>
    </row>
    <row r="1030">
      <c r="A1030" s="7">
        <v>45602.45268619213</v>
      </c>
      <c r="B1030" s="4" t="s">
        <v>3753</v>
      </c>
      <c r="C1030" s="4" t="s">
        <v>3777</v>
      </c>
      <c r="D1030" s="8" t="s">
        <v>1718</v>
      </c>
      <c r="E1030" s="4" t="s">
        <v>517</v>
      </c>
      <c r="F1030" s="4" t="s">
        <v>3778</v>
      </c>
      <c r="G1030" s="4" t="s">
        <v>54</v>
      </c>
      <c r="H1030" s="4" t="s">
        <v>20</v>
      </c>
      <c r="I1030" s="4" t="s">
        <v>1444</v>
      </c>
    </row>
    <row r="1031">
      <c r="A1031" s="7">
        <v>45602.45852082176</v>
      </c>
      <c r="B1031" s="4" t="s">
        <v>3779</v>
      </c>
      <c r="C1031" s="4" t="s">
        <v>3780</v>
      </c>
      <c r="D1031" s="8" t="s">
        <v>648</v>
      </c>
      <c r="E1031" s="4" t="s">
        <v>313</v>
      </c>
      <c r="F1031" s="4" t="s">
        <v>3781</v>
      </c>
      <c r="G1031" s="4" t="s">
        <v>251</v>
      </c>
      <c r="H1031" s="4" t="s">
        <v>20</v>
      </c>
      <c r="I1031" s="4" t="s">
        <v>1575</v>
      </c>
    </row>
    <row r="1032">
      <c r="A1032" s="7">
        <v>45602.458822245375</v>
      </c>
      <c r="B1032" s="4" t="s">
        <v>3782</v>
      </c>
      <c r="C1032" s="4" t="s">
        <v>3783</v>
      </c>
      <c r="D1032" s="4" t="s">
        <v>3775</v>
      </c>
      <c r="E1032" s="4" t="s">
        <v>644</v>
      </c>
      <c r="F1032" s="4" t="s">
        <v>3784</v>
      </c>
      <c r="G1032" s="4" t="s">
        <v>3473</v>
      </c>
      <c r="H1032" s="4" t="s">
        <v>20</v>
      </c>
      <c r="I1032" s="4" t="s">
        <v>3785</v>
      </c>
    </row>
    <row r="1033">
      <c r="A1033" s="7">
        <v>45602.462799479166</v>
      </c>
      <c r="B1033" s="4" t="s">
        <v>3786</v>
      </c>
      <c r="C1033" s="4" t="s">
        <v>3787</v>
      </c>
      <c r="D1033" s="4" t="s">
        <v>1848</v>
      </c>
      <c r="E1033" s="4" t="s">
        <v>345</v>
      </c>
      <c r="F1033" s="4" t="s">
        <v>3788</v>
      </c>
      <c r="G1033" s="4" t="s">
        <v>32</v>
      </c>
      <c r="H1033" s="4" t="s">
        <v>20</v>
      </c>
      <c r="I1033" s="4" t="s">
        <v>159</v>
      </c>
    </row>
    <row r="1034">
      <c r="A1034" s="7">
        <v>45602.465115115745</v>
      </c>
      <c r="B1034" s="4" t="s">
        <v>1227</v>
      </c>
      <c r="C1034" s="4" t="s">
        <v>3191</v>
      </c>
      <c r="D1034" s="8" t="s">
        <v>2369</v>
      </c>
      <c r="E1034" s="4" t="s">
        <v>313</v>
      </c>
      <c r="F1034" s="4" t="s">
        <v>3789</v>
      </c>
      <c r="G1034" s="4" t="s">
        <v>251</v>
      </c>
      <c r="H1034" s="4" t="s">
        <v>3116</v>
      </c>
      <c r="I1034" s="4" t="s">
        <v>3193</v>
      </c>
    </row>
    <row r="1035">
      <c r="A1035" s="7">
        <v>45602.46644788195</v>
      </c>
      <c r="B1035" s="4" t="s">
        <v>1552</v>
      </c>
      <c r="C1035" s="4" t="s">
        <v>1553</v>
      </c>
      <c r="D1035" s="8" t="s">
        <v>3790</v>
      </c>
      <c r="E1035" s="4" t="s">
        <v>313</v>
      </c>
      <c r="F1035" s="4" t="s">
        <v>3196</v>
      </c>
      <c r="G1035" s="4" t="s">
        <v>251</v>
      </c>
      <c r="H1035" s="4" t="s">
        <v>3116</v>
      </c>
      <c r="I1035" s="4" t="s">
        <v>2709</v>
      </c>
    </row>
    <row r="1036">
      <c r="A1036" s="7">
        <v>45602.46919640046</v>
      </c>
      <c r="B1036" s="4" t="s">
        <v>3791</v>
      </c>
      <c r="C1036" s="4" t="s">
        <v>3792</v>
      </c>
      <c r="D1036" s="8" t="s">
        <v>3793</v>
      </c>
      <c r="E1036" s="4" t="s">
        <v>17</v>
      </c>
      <c r="F1036" s="4" t="s">
        <v>3794</v>
      </c>
      <c r="G1036" s="4" t="s">
        <v>19</v>
      </c>
      <c r="H1036" s="4" t="s">
        <v>20</v>
      </c>
      <c r="I1036" s="4" t="s">
        <v>115</v>
      </c>
    </row>
    <row r="1037">
      <c r="A1037" s="7">
        <v>45602.47057679398</v>
      </c>
      <c r="B1037" s="4" t="s">
        <v>3795</v>
      </c>
      <c r="C1037" s="4" t="s">
        <v>3796</v>
      </c>
      <c r="D1037" s="8" t="s">
        <v>3797</v>
      </c>
      <c r="E1037" s="4" t="s">
        <v>17</v>
      </c>
      <c r="F1037" s="4" t="s">
        <v>3798</v>
      </c>
      <c r="G1037" s="4" t="s">
        <v>54</v>
      </c>
      <c r="H1037" s="4" t="s">
        <v>20</v>
      </c>
      <c r="I1037" s="4" t="s">
        <v>406</v>
      </c>
    </row>
    <row r="1038">
      <c r="A1038" s="7">
        <v>45602.47159965278</v>
      </c>
      <c r="B1038" s="4" t="s">
        <v>2484</v>
      </c>
      <c r="C1038" s="4" t="s">
        <v>2485</v>
      </c>
      <c r="D1038" s="4" t="s">
        <v>238</v>
      </c>
      <c r="E1038" s="4" t="s">
        <v>2486</v>
      </c>
      <c r="F1038" s="4" t="s">
        <v>2487</v>
      </c>
      <c r="G1038" s="4" t="s">
        <v>32</v>
      </c>
      <c r="H1038" s="4" t="s">
        <v>570</v>
      </c>
      <c r="I1038" s="4" t="s">
        <v>279</v>
      </c>
    </row>
    <row r="1039">
      <c r="A1039" s="7">
        <v>45602.477295358796</v>
      </c>
      <c r="B1039" s="4" t="s">
        <v>3799</v>
      </c>
      <c r="C1039" s="4" t="s">
        <v>3800</v>
      </c>
      <c r="D1039" s="8" t="s">
        <v>3801</v>
      </c>
      <c r="E1039" s="4" t="s">
        <v>30</v>
      </c>
      <c r="F1039" s="4" t="s">
        <v>3802</v>
      </c>
      <c r="G1039" s="4" t="s">
        <v>19</v>
      </c>
      <c r="H1039" s="4" t="s">
        <v>20</v>
      </c>
      <c r="I1039" s="4" t="s">
        <v>109</v>
      </c>
    </row>
    <row r="1040">
      <c r="A1040" s="7">
        <v>45602.48073490741</v>
      </c>
      <c r="B1040" s="4" t="s">
        <v>3803</v>
      </c>
      <c r="C1040" s="4" t="s">
        <v>3804</v>
      </c>
      <c r="D1040" s="8" t="s">
        <v>3805</v>
      </c>
      <c r="E1040" s="4" t="s">
        <v>313</v>
      </c>
      <c r="F1040" s="4" t="s">
        <v>3806</v>
      </c>
      <c r="G1040" s="4" t="s">
        <v>251</v>
      </c>
      <c r="H1040" s="4" t="s">
        <v>20</v>
      </c>
      <c r="I1040" s="4" t="s">
        <v>847</v>
      </c>
    </row>
    <row r="1041">
      <c r="A1041" s="7">
        <v>45602.48362932871</v>
      </c>
      <c r="B1041" s="4" t="s">
        <v>3807</v>
      </c>
      <c r="C1041" s="4" t="s">
        <v>3808</v>
      </c>
      <c r="D1041" s="8" t="s">
        <v>3809</v>
      </c>
      <c r="E1041" s="4" t="s">
        <v>173</v>
      </c>
      <c r="F1041" s="4" t="s">
        <v>3810</v>
      </c>
      <c r="G1041" s="4" t="s">
        <v>19</v>
      </c>
      <c r="H1041" s="4" t="s">
        <v>20</v>
      </c>
      <c r="I1041" s="4" t="s">
        <v>3478</v>
      </c>
    </row>
    <row r="1042">
      <c r="A1042" s="7">
        <v>45602.48831936343</v>
      </c>
      <c r="B1042" s="4" t="s">
        <v>3811</v>
      </c>
      <c r="C1042" s="4" t="s">
        <v>3812</v>
      </c>
      <c r="D1042" s="8" t="s">
        <v>3813</v>
      </c>
      <c r="E1042" s="4" t="s">
        <v>173</v>
      </c>
      <c r="F1042" s="4" t="s">
        <v>3814</v>
      </c>
      <c r="G1042" s="4" t="s">
        <v>54</v>
      </c>
      <c r="H1042" s="4" t="s">
        <v>20</v>
      </c>
      <c r="I1042" s="4" t="s">
        <v>2329</v>
      </c>
    </row>
    <row r="1043">
      <c r="A1043" s="7">
        <v>45602.4892715162</v>
      </c>
      <c r="B1043" s="4" t="s">
        <v>3815</v>
      </c>
      <c r="C1043" s="4" t="s">
        <v>3816</v>
      </c>
      <c r="D1043" s="4" t="s">
        <v>425</v>
      </c>
      <c r="E1043" s="4" t="s">
        <v>1719</v>
      </c>
      <c r="F1043" s="4" t="s">
        <v>427</v>
      </c>
      <c r="G1043" s="4" t="s">
        <v>251</v>
      </c>
      <c r="H1043" s="4" t="s">
        <v>20</v>
      </c>
      <c r="I1043" s="4" t="s">
        <v>428</v>
      </c>
    </row>
    <row r="1044">
      <c r="A1044" s="7">
        <v>45602.54330525463</v>
      </c>
      <c r="B1044" s="4" t="s">
        <v>1064</v>
      </c>
      <c r="C1044" s="4" t="s">
        <v>3817</v>
      </c>
      <c r="D1044" s="4" t="s">
        <v>3818</v>
      </c>
      <c r="E1044" s="4" t="s">
        <v>644</v>
      </c>
      <c r="F1044" s="4" t="s">
        <v>1067</v>
      </c>
      <c r="G1044" s="4" t="s">
        <v>54</v>
      </c>
      <c r="H1044" s="4" t="s">
        <v>570</v>
      </c>
      <c r="I1044" s="4" t="s">
        <v>1068</v>
      </c>
    </row>
    <row r="1045">
      <c r="A1045" s="7">
        <v>45602.55429935185</v>
      </c>
      <c r="B1045" s="4" t="s">
        <v>3819</v>
      </c>
      <c r="C1045" s="4" t="s">
        <v>3820</v>
      </c>
      <c r="D1045" s="4" t="s">
        <v>1382</v>
      </c>
      <c r="E1045" s="4" t="s">
        <v>173</v>
      </c>
      <c r="F1045" s="4" t="s">
        <v>3821</v>
      </c>
      <c r="G1045" s="4" t="s">
        <v>54</v>
      </c>
      <c r="H1045" s="4" t="s">
        <v>20</v>
      </c>
      <c r="I1045" s="4" t="s">
        <v>3822</v>
      </c>
    </row>
    <row r="1046">
      <c r="A1046" s="7">
        <v>45602.568472430554</v>
      </c>
      <c r="B1046" s="4" t="s">
        <v>3823</v>
      </c>
      <c r="C1046" s="4" t="s">
        <v>3824</v>
      </c>
      <c r="D1046" s="8" t="s">
        <v>3825</v>
      </c>
      <c r="E1046" s="4" t="s">
        <v>3151</v>
      </c>
      <c r="F1046" s="4" t="s">
        <v>869</v>
      </c>
      <c r="G1046" s="4" t="s">
        <v>19</v>
      </c>
      <c r="H1046" s="4" t="s">
        <v>20</v>
      </c>
      <c r="I1046" s="4" t="s">
        <v>869</v>
      </c>
    </row>
    <row r="1047">
      <c r="A1047" s="7">
        <v>45602.568473287036</v>
      </c>
      <c r="B1047" s="4" t="s">
        <v>812</v>
      </c>
      <c r="C1047" s="4" t="s">
        <v>3826</v>
      </c>
      <c r="D1047" s="4" t="s">
        <v>826</v>
      </c>
      <c r="E1047" s="4" t="s">
        <v>345</v>
      </c>
      <c r="F1047" s="4" t="s">
        <v>3827</v>
      </c>
      <c r="G1047" s="4" t="s">
        <v>54</v>
      </c>
      <c r="H1047" s="4" t="s">
        <v>570</v>
      </c>
      <c r="I1047" s="4" t="s">
        <v>3828</v>
      </c>
    </row>
    <row r="1048">
      <c r="A1048" s="7">
        <v>45602.56971045139</v>
      </c>
      <c r="B1048" s="4" t="s">
        <v>2624</v>
      </c>
      <c r="C1048" s="4" t="s">
        <v>3829</v>
      </c>
      <c r="D1048" s="8" t="s">
        <v>2369</v>
      </c>
      <c r="E1048" s="4" t="s">
        <v>754</v>
      </c>
      <c r="F1048" s="4" t="s">
        <v>3830</v>
      </c>
      <c r="G1048" s="4" t="s">
        <v>251</v>
      </c>
      <c r="H1048" s="4" t="s">
        <v>570</v>
      </c>
      <c r="I1048" s="4" t="s">
        <v>3831</v>
      </c>
    </row>
    <row r="1049">
      <c r="A1049" s="7">
        <v>45602.571871215274</v>
      </c>
      <c r="B1049" s="4" t="s">
        <v>3832</v>
      </c>
      <c r="C1049" s="4" t="s">
        <v>3824</v>
      </c>
      <c r="D1049" s="8" t="s">
        <v>3825</v>
      </c>
      <c r="E1049" s="4" t="s">
        <v>3151</v>
      </c>
      <c r="F1049" s="4" t="s">
        <v>869</v>
      </c>
      <c r="G1049" s="4" t="s">
        <v>19</v>
      </c>
      <c r="H1049" s="4" t="s">
        <v>20</v>
      </c>
      <c r="I1049" s="4" t="s">
        <v>869</v>
      </c>
    </row>
    <row r="1050">
      <c r="A1050" s="7">
        <v>45602.57368548611</v>
      </c>
      <c r="B1050" s="4" t="s">
        <v>3833</v>
      </c>
      <c r="C1050" s="4" t="s">
        <v>3834</v>
      </c>
      <c r="D1050" s="4" t="s">
        <v>1606</v>
      </c>
      <c r="E1050" s="4" t="s">
        <v>538</v>
      </c>
      <c r="F1050" s="4" t="s">
        <v>2504</v>
      </c>
      <c r="G1050" s="4" t="s">
        <v>251</v>
      </c>
      <c r="H1050" s="4" t="s">
        <v>20</v>
      </c>
      <c r="I1050" s="4" t="s">
        <v>2048</v>
      </c>
    </row>
    <row r="1051">
      <c r="A1051" s="7">
        <v>45602.57421395833</v>
      </c>
      <c r="B1051" s="4" t="s">
        <v>3835</v>
      </c>
      <c r="C1051" s="4" t="s">
        <v>3836</v>
      </c>
      <c r="D1051" s="4" t="s">
        <v>1606</v>
      </c>
      <c r="E1051" s="4" t="s">
        <v>404</v>
      </c>
      <c r="F1051" s="4" t="s">
        <v>3837</v>
      </c>
      <c r="G1051" s="4" t="s">
        <v>251</v>
      </c>
      <c r="H1051" s="4" t="s">
        <v>20</v>
      </c>
      <c r="I1051" s="4" t="s">
        <v>579</v>
      </c>
    </row>
    <row r="1052">
      <c r="A1052" s="7">
        <v>45602.57526547454</v>
      </c>
      <c r="B1052" s="4" t="s">
        <v>3838</v>
      </c>
      <c r="C1052" s="4" t="s">
        <v>3839</v>
      </c>
      <c r="D1052" s="8" t="s">
        <v>3840</v>
      </c>
      <c r="E1052" s="4" t="s">
        <v>3151</v>
      </c>
      <c r="F1052" s="4" t="s">
        <v>2732</v>
      </c>
      <c r="G1052" s="4" t="s">
        <v>19</v>
      </c>
      <c r="H1052" s="4" t="s">
        <v>20</v>
      </c>
      <c r="I1052" s="4" t="s">
        <v>2732</v>
      </c>
    </row>
    <row r="1053">
      <c r="A1053" s="7">
        <v>45602.576655613426</v>
      </c>
      <c r="B1053" s="4" t="s">
        <v>2334</v>
      </c>
      <c r="C1053" s="4" t="s">
        <v>2335</v>
      </c>
      <c r="D1053" s="8" t="s">
        <v>2369</v>
      </c>
      <c r="E1053" s="4" t="s">
        <v>432</v>
      </c>
      <c r="F1053" s="4" t="s">
        <v>3841</v>
      </c>
      <c r="G1053" s="4" t="s">
        <v>251</v>
      </c>
      <c r="H1053" s="4" t="s">
        <v>570</v>
      </c>
      <c r="I1053" s="4" t="s">
        <v>3842</v>
      </c>
    </row>
    <row r="1054">
      <c r="A1054" s="7">
        <v>45602.57977678241</v>
      </c>
      <c r="B1054" s="4" t="s">
        <v>3844</v>
      </c>
      <c r="C1054" s="4" t="s">
        <v>3845</v>
      </c>
      <c r="D1054" s="4" t="s">
        <v>468</v>
      </c>
      <c r="E1054" s="4" t="s">
        <v>1256</v>
      </c>
      <c r="F1054" s="4" t="s">
        <v>3846</v>
      </c>
      <c r="G1054" s="4" t="s">
        <v>251</v>
      </c>
      <c r="H1054" s="4" t="s">
        <v>20</v>
      </c>
      <c r="I1054" s="4" t="s">
        <v>3847</v>
      </c>
    </row>
    <row r="1055">
      <c r="A1055" s="7">
        <v>45602.58284721065</v>
      </c>
      <c r="B1055" s="4" t="s">
        <v>3848</v>
      </c>
      <c r="C1055" s="4" t="s">
        <v>3849</v>
      </c>
      <c r="D1055" s="4" t="s">
        <v>468</v>
      </c>
      <c r="E1055" s="4" t="s">
        <v>313</v>
      </c>
      <c r="F1055" s="4" t="s">
        <v>3850</v>
      </c>
      <c r="G1055" s="4" t="s">
        <v>251</v>
      </c>
      <c r="H1055" s="4" t="s">
        <v>20</v>
      </c>
      <c r="I1055" s="4" t="s">
        <v>3851</v>
      </c>
    </row>
    <row r="1056">
      <c r="A1056" s="7">
        <v>45602.58430939815</v>
      </c>
      <c r="B1056" s="4" t="s">
        <v>3852</v>
      </c>
      <c r="C1056" s="4" t="s">
        <v>3853</v>
      </c>
      <c r="D1056" s="4" t="s">
        <v>468</v>
      </c>
      <c r="E1056" s="4" t="s">
        <v>313</v>
      </c>
      <c r="F1056" s="4" t="s">
        <v>3854</v>
      </c>
      <c r="G1056" s="4" t="s">
        <v>251</v>
      </c>
      <c r="H1056" s="4" t="s">
        <v>20</v>
      </c>
      <c r="I1056" s="4" t="s">
        <v>847</v>
      </c>
    </row>
    <row r="1057">
      <c r="A1057" s="7">
        <v>45602.58441115741</v>
      </c>
      <c r="B1057" s="4" t="s">
        <v>3855</v>
      </c>
      <c r="C1057" s="4" t="s">
        <v>3856</v>
      </c>
      <c r="D1057" s="4" t="s">
        <v>1617</v>
      </c>
      <c r="E1057" s="4" t="s">
        <v>345</v>
      </c>
      <c r="F1057" s="4" t="s">
        <v>3857</v>
      </c>
      <c r="G1057" s="4" t="s">
        <v>32</v>
      </c>
      <c r="H1057" s="4" t="s">
        <v>20</v>
      </c>
      <c r="I1057" s="4" t="s">
        <v>385</v>
      </c>
    </row>
    <row r="1058">
      <c r="A1058" s="7">
        <v>45602.591530370366</v>
      </c>
      <c r="B1058" s="4" t="s">
        <v>3858</v>
      </c>
      <c r="C1058" s="4" t="s">
        <v>3859</v>
      </c>
      <c r="D1058" s="4" t="s">
        <v>3860</v>
      </c>
      <c r="E1058" s="4" t="s">
        <v>345</v>
      </c>
      <c r="F1058" s="4" t="s">
        <v>3861</v>
      </c>
      <c r="G1058" s="4" t="s">
        <v>32</v>
      </c>
      <c r="H1058" s="4" t="s">
        <v>20</v>
      </c>
      <c r="I1058" s="4" t="s">
        <v>3862</v>
      </c>
    </row>
    <row r="1059">
      <c r="A1059" s="7">
        <v>45602.59181863426</v>
      </c>
      <c r="B1059" s="4" t="s">
        <v>3863</v>
      </c>
      <c r="C1059" s="4" t="s">
        <v>3864</v>
      </c>
      <c r="D1059" s="4" t="s">
        <v>3865</v>
      </c>
      <c r="E1059" s="4" t="s">
        <v>313</v>
      </c>
      <c r="F1059" s="4" t="s">
        <v>3866</v>
      </c>
      <c r="G1059" s="4" t="s">
        <v>251</v>
      </c>
      <c r="H1059" s="4" t="s">
        <v>20</v>
      </c>
      <c r="I1059" s="4" t="s">
        <v>998</v>
      </c>
    </row>
    <row r="1060">
      <c r="A1060" s="7">
        <v>45602.59521547453</v>
      </c>
      <c r="B1060" s="4" t="s">
        <v>3155</v>
      </c>
      <c r="C1060" s="4" t="s">
        <v>3867</v>
      </c>
      <c r="D1060" s="4" t="s">
        <v>3868</v>
      </c>
      <c r="E1060" s="4" t="s">
        <v>3869</v>
      </c>
      <c r="F1060" s="4" t="s">
        <v>3870</v>
      </c>
      <c r="G1060" s="4" t="s">
        <v>54</v>
      </c>
      <c r="H1060" s="4" t="s">
        <v>570</v>
      </c>
      <c r="I1060" s="4" t="s">
        <v>3871</v>
      </c>
    </row>
    <row r="1061">
      <c r="A1061" s="7">
        <v>45602.59533957176</v>
      </c>
      <c r="B1061" s="4" t="s">
        <v>3872</v>
      </c>
      <c r="C1061" s="4" t="s">
        <v>3873</v>
      </c>
      <c r="D1061" s="8" t="s">
        <v>3874</v>
      </c>
      <c r="E1061" s="4" t="s">
        <v>1276</v>
      </c>
      <c r="F1061" s="4" t="s">
        <v>3875</v>
      </c>
      <c r="G1061" s="4" t="s">
        <v>19</v>
      </c>
      <c r="H1061" s="4" t="s">
        <v>20</v>
      </c>
      <c r="I1061" s="4" t="s">
        <v>3300</v>
      </c>
    </row>
    <row r="1062">
      <c r="A1062" s="7">
        <v>45602.5981187963</v>
      </c>
      <c r="B1062" s="4" t="s">
        <v>3876</v>
      </c>
      <c r="C1062" s="4" t="s">
        <v>3877</v>
      </c>
      <c r="D1062" s="4" t="s">
        <v>965</v>
      </c>
      <c r="E1062" s="4" t="s">
        <v>345</v>
      </c>
      <c r="F1062" s="4" t="s">
        <v>2670</v>
      </c>
      <c r="G1062" s="4" t="s">
        <v>54</v>
      </c>
      <c r="H1062" s="4" t="s">
        <v>570</v>
      </c>
      <c r="I1062" s="4" t="s">
        <v>2671</v>
      </c>
    </row>
    <row r="1063">
      <c r="A1063" s="7">
        <v>45602.622433125</v>
      </c>
      <c r="B1063" s="4" t="s">
        <v>3878</v>
      </c>
      <c r="C1063" s="4" t="s">
        <v>3879</v>
      </c>
      <c r="D1063" s="8" t="s">
        <v>3880</v>
      </c>
      <c r="E1063" s="4" t="s">
        <v>3231</v>
      </c>
      <c r="F1063" s="4" t="s">
        <v>3881</v>
      </c>
      <c r="G1063" s="4" t="s">
        <v>251</v>
      </c>
      <c r="H1063" s="4" t="s">
        <v>20</v>
      </c>
      <c r="I1063" s="4" t="s">
        <v>315</v>
      </c>
    </row>
    <row r="1064">
      <c r="A1064" s="7">
        <v>45602.60119443287</v>
      </c>
      <c r="B1064" s="4" t="s">
        <v>3882</v>
      </c>
      <c r="C1064" s="4" t="s">
        <v>3883</v>
      </c>
      <c r="D1064" s="4" t="s">
        <v>1151</v>
      </c>
      <c r="E1064" s="4" t="s">
        <v>30</v>
      </c>
      <c r="F1064" s="4" t="s">
        <v>3884</v>
      </c>
      <c r="G1064" s="4" t="s">
        <v>3473</v>
      </c>
      <c r="H1064" s="4" t="s">
        <v>20</v>
      </c>
      <c r="I1064" s="4" t="s">
        <v>494</v>
      </c>
    </row>
    <row r="1065">
      <c r="A1065" s="7">
        <v>45602.60216554398</v>
      </c>
      <c r="B1065" s="4" t="s">
        <v>3885</v>
      </c>
      <c r="C1065" s="4" t="s">
        <v>3886</v>
      </c>
      <c r="D1065" s="8" t="s">
        <v>3887</v>
      </c>
      <c r="E1065" s="4" t="s">
        <v>30</v>
      </c>
      <c r="F1065" s="4" t="s">
        <v>3888</v>
      </c>
      <c r="G1065" s="4" t="s">
        <v>19</v>
      </c>
      <c r="H1065" s="4" t="s">
        <v>20</v>
      </c>
      <c r="I1065" s="4" t="s">
        <v>115</v>
      </c>
    </row>
    <row r="1066">
      <c r="A1066" s="7">
        <v>45602.60247302083</v>
      </c>
      <c r="B1066" s="4" t="s">
        <v>3889</v>
      </c>
      <c r="C1066" s="4" t="s">
        <v>3890</v>
      </c>
      <c r="D1066" s="8" t="s">
        <v>2544</v>
      </c>
      <c r="E1066" s="4" t="s">
        <v>956</v>
      </c>
      <c r="F1066" s="4" t="s">
        <v>3891</v>
      </c>
      <c r="G1066" s="4" t="s">
        <v>32</v>
      </c>
      <c r="H1066" s="4" t="s">
        <v>20</v>
      </c>
      <c r="I1066" s="4" t="s">
        <v>550</v>
      </c>
    </row>
    <row r="1067">
      <c r="A1067" s="7">
        <v>45602.60595041666</v>
      </c>
      <c r="B1067" s="4" t="s">
        <v>3892</v>
      </c>
      <c r="C1067" s="4" t="s">
        <v>3893</v>
      </c>
      <c r="D1067" s="4" t="s">
        <v>965</v>
      </c>
      <c r="E1067" s="4" t="s">
        <v>345</v>
      </c>
      <c r="F1067" s="4" t="s">
        <v>3894</v>
      </c>
      <c r="G1067" s="4" t="s">
        <v>54</v>
      </c>
      <c r="H1067" s="4" t="s">
        <v>20</v>
      </c>
      <c r="I1067" s="4" t="s">
        <v>2519</v>
      </c>
    </row>
    <row r="1068">
      <c r="A1068" s="7">
        <v>45602.60680259259</v>
      </c>
      <c r="B1068" s="4" t="s">
        <v>1394</v>
      </c>
      <c r="C1068" s="4" t="s">
        <v>3895</v>
      </c>
      <c r="D1068" s="8" t="s">
        <v>511</v>
      </c>
      <c r="E1068" s="4" t="s">
        <v>17</v>
      </c>
      <c r="F1068" s="4" t="s">
        <v>1396</v>
      </c>
      <c r="G1068" s="4" t="s">
        <v>54</v>
      </c>
      <c r="H1068" s="4" t="s">
        <v>570</v>
      </c>
      <c r="I1068" s="4" t="s">
        <v>319</v>
      </c>
    </row>
    <row r="1069">
      <c r="A1069" s="7">
        <v>45602.60929951389</v>
      </c>
      <c r="B1069" s="4" t="s">
        <v>3896</v>
      </c>
      <c r="C1069" s="4" t="s">
        <v>3897</v>
      </c>
      <c r="D1069" s="4" t="s">
        <v>3898</v>
      </c>
      <c r="E1069" s="4" t="s">
        <v>583</v>
      </c>
      <c r="F1069" s="4" t="s">
        <v>3899</v>
      </c>
      <c r="G1069" s="4" t="s">
        <v>54</v>
      </c>
      <c r="H1069" s="4" t="s">
        <v>20</v>
      </c>
      <c r="I1069" s="4" t="s">
        <v>1121</v>
      </c>
    </row>
    <row r="1070">
      <c r="A1070" s="7">
        <v>45602.612409270834</v>
      </c>
      <c r="B1070" s="4" t="s">
        <v>3005</v>
      </c>
      <c r="C1070" s="4" t="s">
        <v>3006</v>
      </c>
      <c r="D1070" s="4" t="s">
        <v>527</v>
      </c>
      <c r="E1070" s="4" t="s">
        <v>345</v>
      </c>
      <c r="F1070" s="4" t="s">
        <v>3007</v>
      </c>
      <c r="G1070" s="4" t="s">
        <v>32</v>
      </c>
      <c r="H1070" s="4" t="s">
        <v>20</v>
      </c>
      <c r="I1070" s="4" t="s">
        <v>593</v>
      </c>
    </row>
    <row r="1071">
      <c r="A1071" s="7">
        <v>45602.61241391204</v>
      </c>
      <c r="B1071" s="4" t="s">
        <v>3900</v>
      </c>
      <c r="C1071" s="4" t="s">
        <v>3897</v>
      </c>
      <c r="D1071" s="4" t="s">
        <v>3898</v>
      </c>
      <c r="E1071" s="4" t="s">
        <v>583</v>
      </c>
      <c r="F1071" s="4" t="s">
        <v>3901</v>
      </c>
      <c r="G1071" s="4" t="s">
        <v>54</v>
      </c>
      <c r="H1071" s="4" t="s">
        <v>20</v>
      </c>
      <c r="I1071" s="4" t="s">
        <v>1367</v>
      </c>
    </row>
    <row r="1072">
      <c r="A1072" s="7">
        <v>45602.613703703704</v>
      </c>
      <c r="B1072" s="4" t="s">
        <v>3902</v>
      </c>
      <c r="C1072" s="4" t="s">
        <v>3897</v>
      </c>
      <c r="D1072" s="4" t="s">
        <v>3898</v>
      </c>
      <c r="E1072" s="4" t="s">
        <v>583</v>
      </c>
      <c r="F1072" s="4" t="s">
        <v>3903</v>
      </c>
      <c r="G1072" s="4" t="s">
        <v>54</v>
      </c>
      <c r="H1072" s="4" t="s">
        <v>20</v>
      </c>
      <c r="I1072" s="4" t="s">
        <v>1721</v>
      </c>
    </row>
    <row r="1073">
      <c r="A1073" s="7">
        <v>45602.61701548611</v>
      </c>
      <c r="B1073" s="4" t="s">
        <v>3904</v>
      </c>
      <c r="C1073" s="4" t="s">
        <v>3905</v>
      </c>
      <c r="D1073" s="8" t="s">
        <v>3906</v>
      </c>
      <c r="E1073" s="4" t="s">
        <v>46</v>
      </c>
      <c r="F1073" s="4" t="s">
        <v>3907</v>
      </c>
      <c r="G1073" s="4" t="s">
        <v>19</v>
      </c>
      <c r="H1073" s="4" t="s">
        <v>20</v>
      </c>
      <c r="I1073" s="4" t="s">
        <v>1121</v>
      </c>
    </row>
    <row r="1074">
      <c r="A1074" s="7">
        <v>45602.618600057875</v>
      </c>
      <c r="B1074" s="4" t="s">
        <v>3908</v>
      </c>
      <c r="C1074" s="4" t="s">
        <v>3909</v>
      </c>
      <c r="D1074" s="4" t="s">
        <v>1692</v>
      </c>
      <c r="E1074" s="4" t="s">
        <v>345</v>
      </c>
      <c r="F1074" s="4" t="s">
        <v>3910</v>
      </c>
      <c r="G1074" s="4" t="s">
        <v>3473</v>
      </c>
      <c r="H1074" s="4" t="s">
        <v>20</v>
      </c>
      <c r="I1074" s="4" t="s">
        <v>115</v>
      </c>
    </row>
    <row r="1075">
      <c r="A1075" s="7">
        <v>45602.619200127316</v>
      </c>
      <c r="B1075" s="4" t="s">
        <v>3911</v>
      </c>
      <c r="C1075" s="4" t="s">
        <v>3912</v>
      </c>
      <c r="D1075" s="4" t="s">
        <v>1079</v>
      </c>
      <c r="E1075" s="4" t="s">
        <v>17</v>
      </c>
      <c r="F1075" s="4" t="s">
        <v>3913</v>
      </c>
      <c r="G1075" s="4" t="s">
        <v>54</v>
      </c>
      <c r="H1075" s="4" t="s">
        <v>20</v>
      </c>
      <c r="I1075" s="4" t="s">
        <v>1344</v>
      </c>
    </row>
    <row r="1076">
      <c r="A1076" s="7">
        <v>45602.62058113426</v>
      </c>
      <c r="B1076" s="4" t="s">
        <v>3914</v>
      </c>
      <c r="C1076" s="4" t="s">
        <v>3915</v>
      </c>
      <c r="D1076" s="4" t="s">
        <v>1692</v>
      </c>
      <c r="E1076" s="4" t="s">
        <v>345</v>
      </c>
      <c r="F1076" s="4" t="s">
        <v>3916</v>
      </c>
      <c r="G1076" s="4" t="s">
        <v>3473</v>
      </c>
      <c r="H1076" s="4" t="s">
        <v>20</v>
      </c>
      <c r="I1076" s="4" t="s">
        <v>1678</v>
      </c>
    </row>
    <row r="1077">
      <c r="A1077" s="7">
        <v>45602.623674780094</v>
      </c>
      <c r="B1077" s="4" t="s">
        <v>3917</v>
      </c>
      <c r="C1077" s="4" t="s">
        <v>3918</v>
      </c>
      <c r="D1077" s="4" t="s">
        <v>527</v>
      </c>
      <c r="E1077" s="4" t="s">
        <v>345</v>
      </c>
      <c r="F1077" s="4" t="s">
        <v>3919</v>
      </c>
      <c r="G1077" s="4" t="s">
        <v>32</v>
      </c>
      <c r="H1077" s="4" t="s">
        <v>20</v>
      </c>
      <c r="I1077" s="4" t="s">
        <v>74</v>
      </c>
    </row>
    <row r="1078">
      <c r="A1078" s="7">
        <v>45602.62367538194</v>
      </c>
      <c r="B1078" s="4" t="s">
        <v>2365</v>
      </c>
      <c r="C1078" s="4" t="s">
        <v>2981</v>
      </c>
      <c r="D1078" s="4" t="s">
        <v>1206</v>
      </c>
      <c r="E1078" s="4" t="s">
        <v>173</v>
      </c>
      <c r="F1078" s="4" t="s">
        <v>2367</v>
      </c>
      <c r="G1078" s="4" t="s">
        <v>54</v>
      </c>
      <c r="H1078" s="4" t="s">
        <v>570</v>
      </c>
      <c r="I1078" s="4" t="s">
        <v>1086</v>
      </c>
    </row>
    <row r="1079">
      <c r="A1079" s="7">
        <v>45602.62729527778</v>
      </c>
      <c r="B1079" s="4" t="s">
        <v>2287</v>
      </c>
      <c r="C1079" s="4" t="s">
        <v>3920</v>
      </c>
      <c r="D1079" s="8" t="s">
        <v>1991</v>
      </c>
      <c r="E1079" s="4" t="s">
        <v>284</v>
      </c>
      <c r="F1079" s="4" t="s">
        <v>3921</v>
      </c>
      <c r="G1079" s="4" t="s">
        <v>251</v>
      </c>
      <c r="H1079" s="4" t="s">
        <v>570</v>
      </c>
      <c r="I1079" s="4" t="s">
        <v>2290</v>
      </c>
    </row>
    <row r="1080">
      <c r="A1080" s="7">
        <v>45602.62788112268</v>
      </c>
      <c r="B1080" s="4" t="s">
        <v>3233</v>
      </c>
      <c r="C1080" s="4" t="s">
        <v>3922</v>
      </c>
      <c r="D1080" s="8" t="s">
        <v>1991</v>
      </c>
      <c r="E1080" s="4" t="s">
        <v>313</v>
      </c>
      <c r="F1080" s="4" t="s">
        <v>3235</v>
      </c>
      <c r="G1080" s="4" t="s">
        <v>251</v>
      </c>
      <c r="H1080" s="4" t="s">
        <v>570</v>
      </c>
      <c r="I1080" s="4" t="s">
        <v>1261</v>
      </c>
    </row>
    <row r="1081">
      <c r="A1081" s="7">
        <v>45602.63178466435</v>
      </c>
      <c r="B1081" s="4" t="s">
        <v>3923</v>
      </c>
      <c r="C1081" s="4" t="s">
        <v>3924</v>
      </c>
      <c r="D1081" s="8" t="s">
        <v>2919</v>
      </c>
      <c r="E1081" s="4" t="s">
        <v>17</v>
      </c>
      <c r="F1081" s="4" t="s">
        <v>3925</v>
      </c>
      <c r="G1081" s="4" t="s">
        <v>32</v>
      </c>
      <c r="H1081" s="4" t="s">
        <v>20</v>
      </c>
      <c r="I1081" s="4" t="s">
        <v>272</v>
      </c>
    </row>
    <row r="1082">
      <c r="A1082" s="7">
        <v>45602.633249502316</v>
      </c>
      <c r="B1082" s="4" t="s">
        <v>3926</v>
      </c>
      <c r="C1082" s="4" t="s">
        <v>3927</v>
      </c>
      <c r="D1082" s="8" t="s">
        <v>3928</v>
      </c>
      <c r="E1082" s="4" t="s">
        <v>2568</v>
      </c>
      <c r="F1082" s="4" t="s">
        <v>3929</v>
      </c>
      <c r="G1082" s="4" t="s">
        <v>251</v>
      </c>
      <c r="H1082" s="4" t="s">
        <v>20</v>
      </c>
      <c r="I1082" s="4" t="s">
        <v>1828</v>
      </c>
    </row>
    <row r="1083">
      <c r="A1083" s="7">
        <v>45602.634951064814</v>
      </c>
      <c r="B1083" s="4" t="s">
        <v>3930</v>
      </c>
      <c r="C1083" s="4" t="s">
        <v>3931</v>
      </c>
      <c r="D1083" s="4" t="s">
        <v>1079</v>
      </c>
      <c r="E1083" s="4" t="s">
        <v>3932</v>
      </c>
      <c r="F1083" s="4" t="s">
        <v>3933</v>
      </c>
      <c r="G1083" s="4" t="s">
        <v>251</v>
      </c>
      <c r="H1083" s="4" t="s">
        <v>20</v>
      </c>
      <c r="I1083" s="4" t="s">
        <v>1164</v>
      </c>
    </row>
    <row r="1084">
      <c r="A1084" s="7">
        <v>45602.63631163194</v>
      </c>
      <c r="B1084" s="4" t="s">
        <v>3934</v>
      </c>
      <c r="C1084" s="4" t="s">
        <v>3931</v>
      </c>
      <c r="D1084" s="4" t="s">
        <v>1079</v>
      </c>
      <c r="E1084" s="4" t="s">
        <v>3932</v>
      </c>
      <c r="F1084" s="4" t="s">
        <v>3935</v>
      </c>
      <c r="G1084" s="4" t="s">
        <v>251</v>
      </c>
      <c r="H1084" s="4" t="s">
        <v>20</v>
      </c>
      <c r="I1084" s="4" t="s">
        <v>3936</v>
      </c>
    </row>
    <row r="1085">
      <c r="A1085" s="7">
        <v>45602.63679621527</v>
      </c>
      <c r="B1085" s="4" t="s">
        <v>3937</v>
      </c>
      <c r="C1085" s="4" t="s">
        <v>3938</v>
      </c>
      <c r="D1085" s="4" t="s">
        <v>1692</v>
      </c>
      <c r="E1085" s="4" t="s">
        <v>1276</v>
      </c>
      <c r="F1085" s="4" t="s">
        <v>3939</v>
      </c>
      <c r="G1085" s="4" t="s">
        <v>3473</v>
      </c>
      <c r="H1085" s="4" t="s">
        <v>20</v>
      </c>
      <c r="I1085" s="4" t="s">
        <v>68</v>
      </c>
    </row>
    <row r="1086">
      <c r="A1086" s="7">
        <v>45602.6369759375</v>
      </c>
      <c r="B1086" s="4" t="s">
        <v>90</v>
      </c>
      <c r="C1086" s="4" t="s">
        <v>3940</v>
      </c>
      <c r="D1086" s="4" t="s">
        <v>3422</v>
      </c>
      <c r="E1086" s="4" t="s">
        <v>3941</v>
      </c>
      <c r="F1086" s="4" t="s">
        <v>1280</v>
      </c>
      <c r="G1086" s="4" t="s">
        <v>54</v>
      </c>
      <c r="H1086" s="4" t="s">
        <v>570</v>
      </c>
      <c r="I1086" s="4" t="s">
        <v>891</v>
      </c>
    </row>
    <row r="1087">
      <c r="A1087" s="7">
        <v>45602.69082454861</v>
      </c>
      <c r="B1087" s="4" t="s">
        <v>3514</v>
      </c>
      <c r="C1087" s="4" t="s">
        <v>3942</v>
      </c>
      <c r="D1087" s="8" t="s">
        <v>1991</v>
      </c>
      <c r="E1087" s="4" t="s">
        <v>1293</v>
      </c>
      <c r="F1087" s="4" t="s">
        <v>3943</v>
      </c>
      <c r="G1087" s="4" t="s">
        <v>251</v>
      </c>
      <c r="H1087" s="4" t="s">
        <v>570</v>
      </c>
      <c r="I1087" s="4" t="s">
        <v>1536</v>
      </c>
    </row>
    <row r="1088">
      <c r="A1088" s="7">
        <v>45603.36771789352</v>
      </c>
      <c r="B1088" s="4" t="s">
        <v>3944</v>
      </c>
      <c r="C1088" s="4" t="s">
        <v>3945</v>
      </c>
      <c r="D1088" s="4" t="s">
        <v>2717</v>
      </c>
      <c r="E1088" s="4" t="s">
        <v>3946</v>
      </c>
      <c r="F1088" s="4" t="s">
        <v>3947</v>
      </c>
      <c r="G1088" s="4" t="s">
        <v>251</v>
      </c>
      <c r="H1088" s="4" t="s">
        <v>20</v>
      </c>
      <c r="I1088" s="4" t="s">
        <v>540</v>
      </c>
    </row>
    <row r="1089">
      <c r="A1089" s="7">
        <v>45603.381714131945</v>
      </c>
      <c r="B1089" s="4" t="s">
        <v>3948</v>
      </c>
      <c r="C1089" s="4" t="s">
        <v>3949</v>
      </c>
      <c r="D1089" s="8" t="s">
        <v>2005</v>
      </c>
      <c r="E1089" s="4" t="s">
        <v>517</v>
      </c>
      <c r="F1089" s="4" t="s">
        <v>3950</v>
      </c>
      <c r="G1089" s="4" t="s">
        <v>54</v>
      </c>
      <c r="H1089" s="4" t="s">
        <v>20</v>
      </c>
      <c r="I1089" s="4" t="s">
        <v>1559</v>
      </c>
    </row>
    <row r="1090">
      <c r="A1090" s="7">
        <v>45603.392875439815</v>
      </c>
      <c r="B1090" s="4" t="s">
        <v>3951</v>
      </c>
      <c r="C1090" s="4" t="s">
        <v>3952</v>
      </c>
      <c r="D1090" s="4" t="s">
        <v>3953</v>
      </c>
      <c r="E1090" s="4" t="s">
        <v>3954</v>
      </c>
      <c r="F1090" s="4" t="s">
        <v>3955</v>
      </c>
      <c r="G1090" s="4" t="s">
        <v>3473</v>
      </c>
      <c r="H1090" s="4" t="s">
        <v>20</v>
      </c>
      <c r="I1090" s="4" t="s">
        <v>175</v>
      </c>
    </row>
    <row r="1091">
      <c r="A1091" s="7">
        <v>45603.404873761574</v>
      </c>
      <c r="B1091" s="4" t="s">
        <v>2376</v>
      </c>
      <c r="C1091" s="4" t="s">
        <v>2377</v>
      </c>
      <c r="D1091" s="8" t="s">
        <v>1991</v>
      </c>
      <c r="E1091" s="4" t="s">
        <v>2379</v>
      </c>
      <c r="F1091" s="4" t="s">
        <v>3494</v>
      </c>
      <c r="G1091" s="4" t="s">
        <v>251</v>
      </c>
      <c r="H1091" s="4" t="s">
        <v>3116</v>
      </c>
      <c r="I1091" s="4" t="s">
        <v>3495</v>
      </c>
    </row>
    <row r="1092">
      <c r="A1092" s="7">
        <v>45603.40514016204</v>
      </c>
      <c r="B1092" s="4" t="s">
        <v>3956</v>
      </c>
      <c r="C1092" s="4" t="s">
        <v>3957</v>
      </c>
      <c r="D1092" s="4" t="s">
        <v>3958</v>
      </c>
      <c r="E1092" s="4" t="s">
        <v>528</v>
      </c>
      <c r="F1092" s="4" t="s">
        <v>3959</v>
      </c>
      <c r="G1092" s="4" t="s">
        <v>32</v>
      </c>
      <c r="H1092" s="4" t="s">
        <v>20</v>
      </c>
      <c r="I1092" s="4" t="s">
        <v>519</v>
      </c>
    </row>
    <row r="1093">
      <c r="A1093" s="7">
        <v>45603.405653483795</v>
      </c>
      <c r="B1093" s="4" t="s">
        <v>1262</v>
      </c>
      <c r="C1093" s="4" t="s">
        <v>3960</v>
      </c>
      <c r="D1093" s="8" t="s">
        <v>1991</v>
      </c>
      <c r="E1093" s="4" t="s">
        <v>754</v>
      </c>
      <c r="F1093" s="4" t="s">
        <v>3961</v>
      </c>
      <c r="G1093" s="4" t="s">
        <v>251</v>
      </c>
      <c r="H1093" s="4" t="s">
        <v>570</v>
      </c>
      <c r="I1093" s="4" t="s">
        <v>3962</v>
      </c>
    </row>
    <row r="1094">
      <c r="A1094" s="7">
        <v>45603.41239524305</v>
      </c>
      <c r="B1094" s="4" t="s">
        <v>3963</v>
      </c>
      <c r="C1094" s="4" t="s">
        <v>3964</v>
      </c>
      <c r="D1094" s="4" t="s">
        <v>3965</v>
      </c>
      <c r="E1094" s="4" t="s">
        <v>404</v>
      </c>
      <c r="F1094" s="4" t="s">
        <v>3966</v>
      </c>
      <c r="G1094" s="4" t="s">
        <v>251</v>
      </c>
      <c r="H1094" s="4" t="s">
        <v>20</v>
      </c>
      <c r="I1094" s="4" t="s">
        <v>3967</v>
      </c>
    </row>
    <row r="1095">
      <c r="A1095" s="7">
        <v>45603.422649409724</v>
      </c>
      <c r="B1095" s="4" t="s">
        <v>3968</v>
      </c>
      <c r="C1095" s="4" t="s">
        <v>3969</v>
      </c>
      <c r="D1095" s="4" t="s">
        <v>216</v>
      </c>
      <c r="E1095" s="4" t="s">
        <v>345</v>
      </c>
      <c r="F1095" s="4" t="s">
        <v>3970</v>
      </c>
      <c r="G1095" s="4" t="s">
        <v>32</v>
      </c>
      <c r="H1095" s="4" t="s">
        <v>20</v>
      </c>
      <c r="I1095" s="4" t="s">
        <v>279</v>
      </c>
    </row>
    <row r="1096">
      <c r="A1096" s="7">
        <v>45603.42950646991</v>
      </c>
      <c r="B1096" s="4" t="s">
        <v>3971</v>
      </c>
      <c r="C1096" s="4" t="s">
        <v>3972</v>
      </c>
      <c r="D1096" s="4" t="s">
        <v>3973</v>
      </c>
      <c r="E1096" s="4" t="s">
        <v>78</v>
      </c>
      <c r="F1096" s="4" t="s">
        <v>1501</v>
      </c>
      <c r="G1096" s="4" t="s">
        <v>3473</v>
      </c>
      <c r="H1096" s="4" t="s">
        <v>20</v>
      </c>
      <c r="I1096" s="4" t="s">
        <v>1502</v>
      </c>
    </row>
    <row r="1097">
      <c r="A1097" s="7">
        <v>45603.434233692125</v>
      </c>
      <c r="B1097" s="4" t="s">
        <v>2984</v>
      </c>
      <c r="C1097" s="4" t="s">
        <v>3974</v>
      </c>
      <c r="D1097" s="8" t="s">
        <v>1991</v>
      </c>
      <c r="E1097" s="4" t="s">
        <v>313</v>
      </c>
      <c r="F1097" s="4" t="s">
        <v>3975</v>
      </c>
      <c r="G1097" s="4" t="s">
        <v>251</v>
      </c>
      <c r="H1097" s="4" t="s">
        <v>570</v>
      </c>
      <c r="I1097" s="4" t="s">
        <v>2827</v>
      </c>
    </row>
    <row r="1098">
      <c r="A1098" s="7">
        <v>45603.4433696412</v>
      </c>
      <c r="B1098" s="4" t="s">
        <v>3976</v>
      </c>
      <c r="C1098" s="4" t="s">
        <v>3977</v>
      </c>
      <c r="D1098" s="4" t="s">
        <v>1947</v>
      </c>
      <c r="E1098" s="4" t="s">
        <v>313</v>
      </c>
      <c r="F1098" s="4" t="s">
        <v>3978</v>
      </c>
      <c r="G1098" s="4" t="s">
        <v>251</v>
      </c>
      <c r="H1098" s="4" t="s">
        <v>20</v>
      </c>
      <c r="I1098" s="4" t="s">
        <v>1269</v>
      </c>
    </row>
    <row r="1099">
      <c r="A1099" s="7">
        <v>45603.44132583334</v>
      </c>
      <c r="B1099" s="4" t="s">
        <v>3979</v>
      </c>
      <c r="C1099" s="4" t="s">
        <v>3980</v>
      </c>
      <c r="D1099" s="4" t="s">
        <v>3981</v>
      </c>
      <c r="E1099" s="4" t="s">
        <v>78</v>
      </c>
      <c r="F1099" s="4" t="s">
        <v>3982</v>
      </c>
      <c r="G1099" s="4" t="s">
        <v>3473</v>
      </c>
      <c r="H1099" s="4" t="s">
        <v>20</v>
      </c>
      <c r="I1099" s="4" t="s">
        <v>126</v>
      </c>
    </row>
    <row r="1100">
      <c r="A1100" s="7">
        <v>45603.44431096065</v>
      </c>
      <c r="B1100" s="4" t="s">
        <v>3983</v>
      </c>
      <c r="C1100" s="4" t="s">
        <v>3984</v>
      </c>
      <c r="D1100" s="4" t="s">
        <v>1947</v>
      </c>
      <c r="E1100" s="4" t="s">
        <v>1719</v>
      </c>
      <c r="F1100" s="4" t="s">
        <v>3985</v>
      </c>
      <c r="G1100" s="4" t="s">
        <v>251</v>
      </c>
      <c r="H1100" s="4" t="s">
        <v>20</v>
      </c>
      <c r="I1100" s="4" t="s">
        <v>446</v>
      </c>
    </row>
    <row r="1101">
      <c r="A1101" s="7">
        <v>45603.44487361111</v>
      </c>
      <c r="B1101" s="4" t="s">
        <v>3986</v>
      </c>
      <c r="C1101" s="4" t="s">
        <v>3987</v>
      </c>
      <c r="D1101" s="4" t="s">
        <v>1382</v>
      </c>
      <c r="E1101" s="4" t="s">
        <v>2938</v>
      </c>
      <c r="F1101" s="4" t="s">
        <v>3988</v>
      </c>
      <c r="G1101" s="4" t="s">
        <v>54</v>
      </c>
      <c r="H1101" s="4" t="s">
        <v>20</v>
      </c>
      <c r="I1101" s="4" t="s">
        <v>895</v>
      </c>
    </row>
    <row r="1102">
      <c r="A1102" s="7">
        <v>45603.4449525463</v>
      </c>
      <c r="B1102" s="4" t="s">
        <v>3989</v>
      </c>
      <c r="C1102" s="4" t="s">
        <v>3990</v>
      </c>
      <c r="D1102" s="4" t="s">
        <v>1947</v>
      </c>
      <c r="E1102" s="4" t="s">
        <v>313</v>
      </c>
      <c r="F1102" s="4" t="s">
        <v>3992</v>
      </c>
      <c r="G1102" s="4" t="s">
        <v>251</v>
      </c>
      <c r="H1102" s="4" t="s">
        <v>20</v>
      </c>
      <c r="I1102" s="4" t="s">
        <v>1269</v>
      </c>
    </row>
    <row r="1103">
      <c r="A1103" s="7">
        <v>45603.445558657404</v>
      </c>
      <c r="B1103" s="4" t="s">
        <v>3994</v>
      </c>
      <c r="C1103" s="4" t="s">
        <v>3995</v>
      </c>
      <c r="D1103" s="4" t="s">
        <v>1947</v>
      </c>
      <c r="E1103" s="4" t="s">
        <v>313</v>
      </c>
      <c r="F1103" s="4" t="s">
        <v>3997</v>
      </c>
      <c r="G1103" s="4" t="s">
        <v>251</v>
      </c>
      <c r="H1103" s="4" t="s">
        <v>20</v>
      </c>
      <c r="I1103" s="4" t="s">
        <v>1269</v>
      </c>
    </row>
    <row r="1104">
      <c r="A1104" s="7">
        <v>45603.44707106482</v>
      </c>
      <c r="B1104" s="4" t="s">
        <v>3998</v>
      </c>
      <c r="C1104" s="4" t="s">
        <v>3999</v>
      </c>
      <c r="D1104" s="4" t="s">
        <v>3981</v>
      </c>
      <c r="E1104" s="4" t="s">
        <v>17</v>
      </c>
      <c r="F1104" s="4" t="s">
        <v>4000</v>
      </c>
      <c r="G1104" s="4" t="s">
        <v>3473</v>
      </c>
      <c r="H1104" s="4" t="s">
        <v>20</v>
      </c>
      <c r="I1104" s="4" t="s">
        <v>147</v>
      </c>
    </row>
    <row r="1105">
      <c r="A1105" s="7">
        <v>45603.44739770833</v>
      </c>
      <c r="B1105" s="4" t="s">
        <v>4001</v>
      </c>
      <c r="C1105" s="4" t="s">
        <v>4002</v>
      </c>
      <c r="D1105" s="4" t="s">
        <v>4003</v>
      </c>
      <c r="E1105" s="4" t="s">
        <v>345</v>
      </c>
      <c r="F1105" s="4" t="s">
        <v>4004</v>
      </c>
      <c r="G1105" s="4" t="s">
        <v>32</v>
      </c>
      <c r="H1105" s="4" t="s">
        <v>20</v>
      </c>
      <c r="I1105" s="4" t="s">
        <v>375</v>
      </c>
    </row>
    <row r="1106">
      <c r="A1106" s="7">
        <v>45603.44785701389</v>
      </c>
      <c r="B1106" s="4" t="s">
        <v>4005</v>
      </c>
      <c r="C1106" s="4" t="s">
        <v>4006</v>
      </c>
      <c r="D1106" s="8" t="s">
        <v>1602</v>
      </c>
      <c r="E1106" s="4" t="s">
        <v>345</v>
      </c>
      <c r="F1106" s="4" t="s">
        <v>4007</v>
      </c>
      <c r="G1106" s="4" t="s">
        <v>54</v>
      </c>
      <c r="H1106" s="4" t="s">
        <v>20</v>
      </c>
      <c r="I1106" s="4" t="s">
        <v>4008</v>
      </c>
    </row>
    <row r="1107">
      <c r="A1107" s="7">
        <v>45603.4480965625</v>
      </c>
      <c r="B1107" s="4" t="s">
        <v>4009</v>
      </c>
      <c r="C1107" s="4" t="s">
        <v>4010</v>
      </c>
      <c r="D1107" s="4" t="s">
        <v>4003</v>
      </c>
      <c r="E1107" s="4" t="s">
        <v>345</v>
      </c>
      <c r="F1107" s="4" t="s">
        <v>4011</v>
      </c>
      <c r="G1107" s="4" t="s">
        <v>32</v>
      </c>
      <c r="H1107" s="4" t="s">
        <v>20</v>
      </c>
      <c r="I1107" s="4" t="s">
        <v>417</v>
      </c>
    </row>
    <row r="1108">
      <c r="A1108" s="7">
        <v>45603.449586215276</v>
      </c>
      <c r="B1108" s="4" t="s">
        <v>4012</v>
      </c>
      <c r="C1108" s="4" t="s">
        <v>4013</v>
      </c>
      <c r="D1108" s="4" t="s">
        <v>4003</v>
      </c>
      <c r="E1108" s="4" t="s">
        <v>345</v>
      </c>
      <c r="F1108" s="4" t="s">
        <v>4014</v>
      </c>
      <c r="G1108" s="4" t="s">
        <v>32</v>
      </c>
      <c r="H1108" s="4" t="s">
        <v>20</v>
      </c>
      <c r="I1108" s="4" t="s">
        <v>417</v>
      </c>
    </row>
    <row r="1109">
      <c r="A1109" s="7">
        <v>45603.45032097222</v>
      </c>
      <c r="B1109" s="4" t="s">
        <v>4015</v>
      </c>
      <c r="C1109" s="4" t="s">
        <v>4016</v>
      </c>
      <c r="D1109" s="4" t="s">
        <v>4003</v>
      </c>
      <c r="E1109" s="4" t="s">
        <v>345</v>
      </c>
      <c r="F1109" s="4" t="s">
        <v>4017</v>
      </c>
      <c r="G1109" s="4" t="s">
        <v>32</v>
      </c>
      <c r="H1109" s="4" t="s">
        <v>20</v>
      </c>
      <c r="I1109" s="4" t="s">
        <v>375</v>
      </c>
    </row>
    <row r="1110">
      <c r="A1110" s="7">
        <v>45603.45138733796</v>
      </c>
      <c r="B1110" s="4" t="s">
        <v>3073</v>
      </c>
      <c r="C1110" s="4" t="s">
        <v>4018</v>
      </c>
      <c r="D1110" s="8" t="s">
        <v>2088</v>
      </c>
      <c r="E1110" s="4" t="s">
        <v>313</v>
      </c>
      <c r="F1110" s="4" t="s">
        <v>3075</v>
      </c>
      <c r="G1110" s="4" t="s">
        <v>251</v>
      </c>
      <c r="H1110" s="4" t="s">
        <v>570</v>
      </c>
      <c r="I1110" s="4" t="s">
        <v>721</v>
      </c>
    </row>
    <row r="1111">
      <c r="A1111" s="7">
        <v>45603.453210011576</v>
      </c>
      <c r="B1111" s="4" t="s">
        <v>3573</v>
      </c>
      <c r="C1111" s="4" t="s">
        <v>4019</v>
      </c>
      <c r="D1111" s="8" t="s">
        <v>1991</v>
      </c>
      <c r="E1111" s="4" t="s">
        <v>284</v>
      </c>
      <c r="F1111" s="4" t="s">
        <v>4020</v>
      </c>
      <c r="G1111" s="4" t="s">
        <v>251</v>
      </c>
      <c r="H1111" s="4" t="s">
        <v>570</v>
      </c>
      <c r="I1111" s="4" t="s">
        <v>287</v>
      </c>
    </row>
    <row r="1112">
      <c r="A1112" s="7">
        <v>45603.4549665625</v>
      </c>
      <c r="B1112" s="4" t="s">
        <v>2887</v>
      </c>
      <c r="C1112" s="4" t="s">
        <v>2888</v>
      </c>
      <c r="D1112" s="8" t="s">
        <v>2885</v>
      </c>
      <c r="E1112" s="4" t="s">
        <v>345</v>
      </c>
      <c r="F1112" s="4" t="s">
        <v>2889</v>
      </c>
      <c r="G1112" s="4" t="s">
        <v>32</v>
      </c>
      <c r="H1112" s="4" t="s">
        <v>570</v>
      </c>
      <c r="I1112" s="4" t="s">
        <v>301</v>
      </c>
    </row>
    <row r="1113">
      <c r="A1113" s="7">
        <v>45603.45565751157</v>
      </c>
      <c r="B1113" s="4" t="s">
        <v>2883</v>
      </c>
      <c r="C1113" s="4" t="s">
        <v>2884</v>
      </c>
      <c r="D1113" s="8" t="s">
        <v>2885</v>
      </c>
      <c r="E1113" s="4" t="s">
        <v>1642</v>
      </c>
      <c r="F1113" s="4" t="s">
        <v>2886</v>
      </c>
      <c r="G1113" s="4" t="s">
        <v>32</v>
      </c>
      <c r="H1113" s="4" t="s">
        <v>570</v>
      </c>
      <c r="I1113" s="4" t="s">
        <v>115</v>
      </c>
    </row>
    <row r="1114">
      <c r="A1114" s="7">
        <v>45603.45602409722</v>
      </c>
      <c r="B1114" s="4" t="s">
        <v>2157</v>
      </c>
      <c r="C1114" s="4" t="s">
        <v>4021</v>
      </c>
      <c r="D1114" s="8" t="s">
        <v>1991</v>
      </c>
      <c r="E1114" s="4" t="s">
        <v>313</v>
      </c>
      <c r="F1114" s="4" t="s">
        <v>4022</v>
      </c>
      <c r="G1114" s="4" t="s">
        <v>251</v>
      </c>
      <c r="H1114" s="4" t="s">
        <v>570</v>
      </c>
      <c r="I1114" s="4" t="s">
        <v>412</v>
      </c>
    </row>
    <row r="1115">
      <c r="A1115" s="7">
        <v>45603.45674533564</v>
      </c>
      <c r="B1115" s="4" t="s">
        <v>2780</v>
      </c>
      <c r="C1115" s="4" t="s">
        <v>2781</v>
      </c>
      <c r="D1115" s="8" t="s">
        <v>1991</v>
      </c>
      <c r="E1115" s="4" t="s">
        <v>313</v>
      </c>
      <c r="F1115" s="4" t="s">
        <v>2782</v>
      </c>
      <c r="G1115" s="4" t="s">
        <v>251</v>
      </c>
      <c r="H1115" s="4" t="s">
        <v>570</v>
      </c>
      <c r="I1115" s="4" t="s">
        <v>319</v>
      </c>
    </row>
    <row r="1116">
      <c r="A1116" s="7">
        <v>45603.465972314814</v>
      </c>
      <c r="B1116" s="4" t="s">
        <v>4023</v>
      </c>
      <c r="C1116" s="4" t="s">
        <v>4024</v>
      </c>
      <c r="D1116" s="4" t="s">
        <v>4025</v>
      </c>
      <c r="E1116" s="4" t="s">
        <v>345</v>
      </c>
      <c r="F1116" s="4" t="s">
        <v>4026</v>
      </c>
      <c r="G1116" s="4" t="s">
        <v>3473</v>
      </c>
      <c r="H1116" s="4" t="s">
        <v>20</v>
      </c>
      <c r="I1116" s="4" t="s">
        <v>109</v>
      </c>
    </row>
    <row r="1117">
      <c r="A1117" s="7">
        <v>45603.47188484954</v>
      </c>
      <c r="B1117" s="4" t="s">
        <v>4027</v>
      </c>
      <c r="C1117" s="4" t="s">
        <v>4028</v>
      </c>
      <c r="D1117" s="4" t="s">
        <v>3088</v>
      </c>
      <c r="E1117" s="4" t="s">
        <v>666</v>
      </c>
      <c r="F1117" s="4" t="s">
        <v>4029</v>
      </c>
      <c r="G1117" s="4" t="s">
        <v>251</v>
      </c>
      <c r="H1117" s="4" t="s">
        <v>20</v>
      </c>
      <c r="I1117" s="4" t="s">
        <v>294</v>
      </c>
    </row>
    <row r="1118">
      <c r="A1118" s="7">
        <v>45603.48048945602</v>
      </c>
      <c r="B1118" s="4" t="s">
        <v>4030</v>
      </c>
      <c r="C1118" s="4" t="s">
        <v>4031</v>
      </c>
      <c r="D1118" s="8" t="s">
        <v>4032</v>
      </c>
      <c r="E1118" s="4" t="s">
        <v>644</v>
      </c>
      <c r="F1118" s="4" t="s">
        <v>4033</v>
      </c>
      <c r="G1118" s="4" t="s">
        <v>19</v>
      </c>
      <c r="H1118" s="4" t="s">
        <v>20</v>
      </c>
      <c r="I1118" s="4" t="s">
        <v>2198</v>
      </c>
    </row>
    <row r="1119">
      <c r="A1119" s="7">
        <v>45603.54728204861</v>
      </c>
      <c r="B1119" s="4" t="s">
        <v>4034</v>
      </c>
      <c r="C1119" s="4" t="s">
        <v>4035</v>
      </c>
      <c r="D1119" s="8" t="s">
        <v>4036</v>
      </c>
      <c r="E1119" s="4" t="s">
        <v>17</v>
      </c>
      <c r="F1119" s="4" t="s">
        <v>4037</v>
      </c>
      <c r="G1119" s="4" t="s">
        <v>54</v>
      </c>
      <c r="H1119" s="4" t="s">
        <v>20</v>
      </c>
      <c r="I1119" s="4" t="s">
        <v>2113</v>
      </c>
    </row>
    <row r="1120">
      <c r="A1120" s="7">
        <v>45603.55134460648</v>
      </c>
      <c r="B1120" s="4" t="s">
        <v>4038</v>
      </c>
      <c r="C1120" s="4" t="s">
        <v>4039</v>
      </c>
      <c r="D1120" s="4" t="s">
        <v>283</v>
      </c>
      <c r="E1120" s="4" t="s">
        <v>2938</v>
      </c>
      <c r="F1120" s="4" t="s">
        <v>4040</v>
      </c>
      <c r="G1120" s="4" t="s">
        <v>54</v>
      </c>
      <c r="H1120" s="4" t="s">
        <v>20</v>
      </c>
      <c r="I1120" s="4" t="s">
        <v>4041</v>
      </c>
    </row>
    <row r="1121">
      <c r="A1121" s="7">
        <v>45603.553184027776</v>
      </c>
      <c r="B1121" s="4" t="s">
        <v>4042</v>
      </c>
      <c r="C1121" s="4" t="s">
        <v>4043</v>
      </c>
      <c r="D1121" s="8" t="s">
        <v>4044</v>
      </c>
      <c r="E1121" s="4" t="s">
        <v>179</v>
      </c>
      <c r="F1121" s="4" t="s">
        <v>2316</v>
      </c>
      <c r="G1121" s="4" t="s">
        <v>19</v>
      </c>
      <c r="H1121" s="4" t="s">
        <v>20</v>
      </c>
      <c r="I1121" s="4" t="s">
        <v>2316</v>
      </c>
    </row>
    <row r="1122">
      <c r="A1122" s="7">
        <v>45603.56548041667</v>
      </c>
      <c r="B1122" s="4" t="s">
        <v>3665</v>
      </c>
      <c r="C1122" s="4" t="s">
        <v>3666</v>
      </c>
      <c r="D1122" s="8" t="s">
        <v>4045</v>
      </c>
      <c r="E1122" s="4" t="s">
        <v>30</v>
      </c>
      <c r="F1122" s="4" t="s">
        <v>3668</v>
      </c>
      <c r="G1122" s="4" t="s">
        <v>32</v>
      </c>
      <c r="H1122" s="4" t="s">
        <v>570</v>
      </c>
      <c r="I1122" s="4" t="s">
        <v>2979</v>
      </c>
    </row>
    <row r="1123">
      <c r="A1123" s="7">
        <v>45603.57218402778</v>
      </c>
      <c r="B1123" s="4" t="s">
        <v>4046</v>
      </c>
      <c r="C1123" s="4" t="s">
        <v>4047</v>
      </c>
      <c r="D1123" s="4" t="s">
        <v>4048</v>
      </c>
      <c r="E1123" s="4" t="s">
        <v>345</v>
      </c>
      <c r="F1123" s="4" t="s">
        <v>4049</v>
      </c>
      <c r="G1123" s="4" t="s">
        <v>3473</v>
      </c>
      <c r="H1123" s="4" t="s">
        <v>20</v>
      </c>
      <c r="I1123" s="4" t="s">
        <v>461</v>
      </c>
    </row>
    <row r="1124">
      <c r="A1124" s="7">
        <v>45603.56992285879</v>
      </c>
      <c r="B1124" s="4" t="s">
        <v>4050</v>
      </c>
      <c r="C1124" s="4" t="s">
        <v>4051</v>
      </c>
      <c r="D1124" s="4" t="s">
        <v>1770</v>
      </c>
      <c r="E1124" s="4" t="s">
        <v>313</v>
      </c>
      <c r="F1124" s="4" t="s">
        <v>4052</v>
      </c>
      <c r="G1124" s="4" t="s">
        <v>251</v>
      </c>
      <c r="H1124" s="4" t="s">
        <v>20</v>
      </c>
      <c r="I1124" s="4" t="s">
        <v>4053</v>
      </c>
    </row>
    <row r="1125">
      <c r="A1125" s="7">
        <v>45603.57056961805</v>
      </c>
      <c r="B1125" s="4" t="s">
        <v>4054</v>
      </c>
      <c r="C1125" s="4" t="s">
        <v>4055</v>
      </c>
      <c r="D1125" s="4" t="s">
        <v>1770</v>
      </c>
      <c r="E1125" s="4" t="s">
        <v>313</v>
      </c>
      <c r="F1125" s="4" t="s">
        <v>4056</v>
      </c>
      <c r="G1125" s="4" t="s">
        <v>251</v>
      </c>
      <c r="H1125" s="4" t="s">
        <v>20</v>
      </c>
      <c r="I1125" s="4" t="s">
        <v>1536</v>
      </c>
    </row>
    <row r="1126">
      <c r="A1126" s="7">
        <v>45603.571239247685</v>
      </c>
      <c r="B1126" s="4" t="s">
        <v>4057</v>
      </c>
      <c r="C1126" s="4" t="s">
        <v>4051</v>
      </c>
      <c r="D1126" s="4" t="s">
        <v>1770</v>
      </c>
      <c r="E1126" s="4" t="s">
        <v>313</v>
      </c>
      <c r="F1126" s="4" t="s">
        <v>4058</v>
      </c>
      <c r="G1126" s="4" t="s">
        <v>251</v>
      </c>
      <c r="H1126" s="4" t="s">
        <v>20</v>
      </c>
      <c r="I1126" s="4" t="s">
        <v>336</v>
      </c>
    </row>
    <row r="1127">
      <c r="A1127" s="7">
        <v>45603.5759029051</v>
      </c>
      <c r="B1127" s="4" t="s">
        <v>4059</v>
      </c>
      <c r="C1127" s="4" t="s">
        <v>4060</v>
      </c>
      <c r="D1127" s="8" t="s">
        <v>1915</v>
      </c>
      <c r="E1127" s="4" t="s">
        <v>345</v>
      </c>
      <c r="F1127" s="4" t="s">
        <v>4061</v>
      </c>
      <c r="G1127" s="4" t="s">
        <v>54</v>
      </c>
      <c r="H1127" s="4" t="s">
        <v>20</v>
      </c>
      <c r="I1127" s="4" t="s">
        <v>2593</v>
      </c>
    </row>
    <row r="1128">
      <c r="A1128" s="7">
        <v>45603.5798646412</v>
      </c>
      <c r="B1128" s="4" t="s">
        <v>4063</v>
      </c>
      <c r="C1128" s="4" t="s">
        <v>4064</v>
      </c>
      <c r="D1128" s="4" t="s">
        <v>247</v>
      </c>
      <c r="E1128" s="4" t="s">
        <v>1293</v>
      </c>
      <c r="F1128" s="4" t="s">
        <v>4065</v>
      </c>
      <c r="G1128" s="4" t="s">
        <v>251</v>
      </c>
      <c r="H1128" s="4" t="s">
        <v>20</v>
      </c>
      <c r="I1128" s="4" t="s">
        <v>721</v>
      </c>
    </row>
    <row r="1129">
      <c r="A1129" s="7">
        <v>45603.58977439815</v>
      </c>
      <c r="B1129" s="4" t="s">
        <v>4066</v>
      </c>
      <c r="C1129" s="4" t="s">
        <v>4067</v>
      </c>
      <c r="D1129" s="4" t="s">
        <v>1515</v>
      </c>
      <c r="E1129" s="4" t="s">
        <v>17</v>
      </c>
      <c r="F1129" s="4" t="s">
        <v>4068</v>
      </c>
      <c r="G1129" s="4" t="s">
        <v>3473</v>
      </c>
      <c r="H1129" s="4" t="s">
        <v>20</v>
      </c>
      <c r="I1129" s="4" t="s">
        <v>42</v>
      </c>
    </row>
    <row r="1130">
      <c r="A1130" s="7">
        <v>45603.59087453704</v>
      </c>
      <c r="B1130" s="4" t="s">
        <v>4069</v>
      </c>
      <c r="C1130" s="4" t="s">
        <v>4070</v>
      </c>
      <c r="D1130" s="8" t="s">
        <v>4071</v>
      </c>
      <c r="E1130" s="4" t="s">
        <v>1009</v>
      </c>
      <c r="F1130" s="4" t="s">
        <v>4072</v>
      </c>
      <c r="G1130" s="4" t="s">
        <v>19</v>
      </c>
      <c r="H1130" s="4" t="s">
        <v>20</v>
      </c>
      <c r="I1130" s="4" t="s">
        <v>4073</v>
      </c>
    </row>
    <row r="1131">
      <c r="A1131" s="7">
        <v>45603.59192653935</v>
      </c>
      <c r="B1131" s="4" t="s">
        <v>4074</v>
      </c>
      <c r="C1131" s="4" t="s">
        <v>4075</v>
      </c>
      <c r="D1131" s="8" t="s">
        <v>4076</v>
      </c>
      <c r="E1131" s="4" t="s">
        <v>313</v>
      </c>
      <c r="F1131" s="4" t="s">
        <v>4077</v>
      </c>
      <c r="G1131" s="4" t="s">
        <v>54</v>
      </c>
      <c r="H1131" s="4" t="s">
        <v>20</v>
      </c>
      <c r="I1131" s="4" t="s">
        <v>1097</v>
      </c>
    </row>
    <row r="1132">
      <c r="A1132" s="7">
        <v>45603.59738950232</v>
      </c>
      <c r="B1132" s="4" t="s">
        <v>4078</v>
      </c>
      <c r="C1132" s="4" t="s">
        <v>4079</v>
      </c>
      <c r="D1132" s="8" t="s">
        <v>908</v>
      </c>
      <c r="E1132" s="4" t="s">
        <v>313</v>
      </c>
      <c r="F1132" s="4" t="s">
        <v>4080</v>
      </c>
      <c r="G1132" s="4" t="s">
        <v>251</v>
      </c>
      <c r="H1132" s="4" t="s">
        <v>20</v>
      </c>
      <c r="I1132" s="4" t="s">
        <v>922</v>
      </c>
    </row>
    <row r="1133">
      <c r="A1133" s="7">
        <v>45603.598085219906</v>
      </c>
      <c r="B1133" s="4" t="s">
        <v>4081</v>
      </c>
      <c r="C1133" s="4" t="s">
        <v>4082</v>
      </c>
      <c r="D1133" s="8" t="s">
        <v>4083</v>
      </c>
      <c r="E1133" s="4" t="s">
        <v>313</v>
      </c>
      <c r="F1133" s="4" t="s">
        <v>4084</v>
      </c>
      <c r="G1133" s="4" t="s">
        <v>251</v>
      </c>
      <c r="H1133" s="4" t="s">
        <v>570</v>
      </c>
      <c r="I1133" s="4" t="s">
        <v>922</v>
      </c>
    </row>
    <row r="1134">
      <c r="A1134" s="7">
        <v>45603.598962372685</v>
      </c>
      <c r="B1134" s="4" t="s">
        <v>4085</v>
      </c>
      <c r="C1134" s="4" t="s">
        <v>4086</v>
      </c>
      <c r="D1134" s="4" t="s">
        <v>4087</v>
      </c>
      <c r="E1134" s="4" t="s">
        <v>78</v>
      </c>
      <c r="F1134" s="4" t="s">
        <v>4088</v>
      </c>
      <c r="G1134" s="4" t="s">
        <v>32</v>
      </c>
      <c r="H1134" s="4" t="s">
        <v>20</v>
      </c>
      <c r="I1134" s="4" t="s">
        <v>4089</v>
      </c>
    </row>
    <row r="1135">
      <c r="A1135" s="7">
        <v>45603.598982118056</v>
      </c>
      <c r="B1135" s="4" t="s">
        <v>4090</v>
      </c>
      <c r="C1135" s="4" t="s">
        <v>4091</v>
      </c>
      <c r="D1135" s="8" t="s">
        <v>908</v>
      </c>
      <c r="E1135" s="4" t="s">
        <v>313</v>
      </c>
      <c r="F1135" s="4" t="s">
        <v>4092</v>
      </c>
      <c r="G1135" s="4" t="s">
        <v>251</v>
      </c>
      <c r="H1135" s="4" t="s">
        <v>20</v>
      </c>
      <c r="I1135" s="4" t="s">
        <v>1575</v>
      </c>
    </row>
    <row r="1136">
      <c r="A1136" s="7">
        <v>45603.60083144676</v>
      </c>
      <c r="B1136" s="4" t="s">
        <v>4081</v>
      </c>
      <c r="C1136" s="4" t="s">
        <v>4093</v>
      </c>
      <c r="D1136" s="4" t="s">
        <v>1151</v>
      </c>
      <c r="E1136" s="4" t="s">
        <v>313</v>
      </c>
      <c r="F1136" s="4" t="s">
        <v>4084</v>
      </c>
      <c r="G1136" s="4" t="s">
        <v>251</v>
      </c>
      <c r="H1136" s="4" t="s">
        <v>20</v>
      </c>
      <c r="I1136" s="4" t="s">
        <v>922</v>
      </c>
    </row>
    <row r="1137">
      <c r="A1137" s="7">
        <v>45603.60381100695</v>
      </c>
      <c r="B1137" s="4" t="s">
        <v>1533</v>
      </c>
      <c r="C1137" s="4" t="s">
        <v>1534</v>
      </c>
      <c r="D1137" s="8" t="s">
        <v>2369</v>
      </c>
      <c r="E1137" s="4" t="s">
        <v>754</v>
      </c>
      <c r="F1137" s="4" t="s">
        <v>1535</v>
      </c>
      <c r="G1137" s="4" t="s">
        <v>251</v>
      </c>
      <c r="H1137" s="4" t="s">
        <v>570</v>
      </c>
      <c r="I1137" s="4" t="s">
        <v>1536</v>
      </c>
    </row>
    <row r="1138">
      <c r="A1138" s="7">
        <v>45603.61605304398</v>
      </c>
      <c r="B1138" s="4" t="s">
        <v>4094</v>
      </c>
      <c r="C1138" s="4" t="s">
        <v>4095</v>
      </c>
      <c r="D1138" s="4" t="s">
        <v>468</v>
      </c>
      <c r="E1138" s="4" t="s">
        <v>313</v>
      </c>
      <c r="F1138" s="4" t="s">
        <v>4096</v>
      </c>
      <c r="G1138" s="4" t="s">
        <v>251</v>
      </c>
      <c r="H1138" s="4" t="s">
        <v>20</v>
      </c>
      <c r="I1138" s="4" t="s">
        <v>3762</v>
      </c>
    </row>
    <row r="1139">
      <c r="A1139" s="7">
        <v>45603.61736265046</v>
      </c>
      <c r="B1139" s="4" t="s">
        <v>3166</v>
      </c>
      <c r="C1139" s="4" t="s">
        <v>3167</v>
      </c>
      <c r="D1139" s="8" t="s">
        <v>1991</v>
      </c>
      <c r="E1139" s="4" t="s">
        <v>313</v>
      </c>
      <c r="F1139" s="4" t="s">
        <v>3168</v>
      </c>
      <c r="G1139" s="4" t="s">
        <v>251</v>
      </c>
      <c r="H1139" s="4" t="s">
        <v>570</v>
      </c>
      <c r="I1139" s="4" t="s">
        <v>1575</v>
      </c>
    </row>
    <row r="1140">
      <c r="A1140" s="7">
        <v>45603.61744605324</v>
      </c>
      <c r="B1140" s="4" t="s">
        <v>4097</v>
      </c>
      <c r="C1140" s="4" t="s">
        <v>4098</v>
      </c>
      <c r="D1140" s="4" t="s">
        <v>3088</v>
      </c>
      <c r="E1140" s="4" t="s">
        <v>345</v>
      </c>
      <c r="F1140" s="4" t="s">
        <v>4099</v>
      </c>
      <c r="G1140" s="4" t="s">
        <v>54</v>
      </c>
      <c r="H1140" s="4" t="s">
        <v>20</v>
      </c>
      <c r="I1140" s="4" t="s">
        <v>4100</v>
      </c>
    </row>
    <row r="1141">
      <c r="A1141" s="7">
        <v>45603.62831190972</v>
      </c>
      <c r="B1141" s="4" t="s">
        <v>4101</v>
      </c>
      <c r="C1141" s="4" t="s">
        <v>4102</v>
      </c>
      <c r="D1141" s="4" t="s">
        <v>3958</v>
      </c>
      <c r="E1141" s="4" t="s">
        <v>345</v>
      </c>
      <c r="F1141" s="4" t="s">
        <v>4103</v>
      </c>
      <c r="G1141" s="4" t="s">
        <v>32</v>
      </c>
      <c r="H1141" s="4" t="s">
        <v>20</v>
      </c>
      <c r="I1141" s="4" t="s">
        <v>4104</v>
      </c>
    </row>
    <row r="1142">
      <c r="A1142" s="7">
        <v>45603.63153238426</v>
      </c>
      <c r="B1142" s="4" t="s">
        <v>3458</v>
      </c>
      <c r="C1142" s="4" t="s">
        <v>3459</v>
      </c>
      <c r="D1142" s="8" t="s">
        <v>4105</v>
      </c>
      <c r="E1142" s="4" t="s">
        <v>313</v>
      </c>
      <c r="F1142" s="4" t="s">
        <v>3461</v>
      </c>
      <c r="G1142" s="4" t="s">
        <v>251</v>
      </c>
      <c r="H1142" s="4" t="s">
        <v>570</v>
      </c>
      <c r="I1142" s="4" t="s">
        <v>544</v>
      </c>
    </row>
    <row r="1143">
      <c r="A1143" s="7">
        <v>45604.38531107639</v>
      </c>
      <c r="B1143" s="4" t="s">
        <v>4106</v>
      </c>
      <c r="C1143" s="4" t="s">
        <v>4107</v>
      </c>
      <c r="D1143" s="4" t="s">
        <v>1515</v>
      </c>
      <c r="E1143" s="4" t="s">
        <v>517</v>
      </c>
      <c r="F1143" s="4" t="s">
        <v>4108</v>
      </c>
      <c r="G1143" s="4" t="s">
        <v>3473</v>
      </c>
      <c r="H1143" s="4" t="s">
        <v>20</v>
      </c>
      <c r="I1143" s="4" t="s">
        <v>308</v>
      </c>
    </row>
    <row r="1144">
      <c r="A1144" s="7">
        <v>45604.38598716435</v>
      </c>
      <c r="B1144" s="4" t="s">
        <v>4109</v>
      </c>
      <c r="C1144" s="4" t="s">
        <v>4110</v>
      </c>
      <c r="D1144" s="4" t="s">
        <v>1129</v>
      </c>
      <c r="E1144" s="4" t="s">
        <v>345</v>
      </c>
      <c r="F1144" s="4" t="s">
        <v>4111</v>
      </c>
      <c r="G1144" s="4" t="s">
        <v>32</v>
      </c>
      <c r="H1144" s="4" t="s">
        <v>20</v>
      </c>
      <c r="I1144" s="4" t="s">
        <v>48</v>
      </c>
    </row>
    <row r="1145">
      <c r="A1145" s="7">
        <v>45604.38624891204</v>
      </c>
      <c r="B1145" s="4" t="s">
        <v>4112</v>
      </c>
      <c r="C1145" s="4" t="s">
        <v>2349</v>
      </c>
      <c r="D1145" s="8" t="s">
        <v>2350</v>
      </c>
      <c r="E1145" s="4" t="s">
        <v>1009</v>
      </c>
      <c r="F1145" s="4" t="s">
        <v>4113</v>
      </c>
      <c r="G1145" s="4" t="s">
        <v>19</v>
      </c>
      <c r="H1145" s="4" t="s">
        <v>20</v>
      </c>
      <c r="I1145" s="4" t="s">
        <v>4114</v>
      </c>
    </row>
    <row r="1146">
      <c r="A1146" s="7">
        <v>45604.387459791666</v>
      </c>
      <c r="B1146" s="4" t="s">
        <v>4115</v>
      </c>
      <c r="C1146" s="4" t="s">
        <v>4116</v>
      </c>
      <c r="D1146" s="4" t="s">
        <v>1129</v>
      </c>
      <c r="E1146" s="4" t="s">
        <v>1642</v>
      </c>
      <c r="F1146" s="4" t="s">
        <v>4117</v>
      </c>
      <c r="G1146" s="4" t="s">
        <v>32</v>
      </c>
      <c r="H1146" s="4" t="s">
        <v>20</v>
      </c>
      <c r="I1146" s="4" t="s">
        <v>159</v>
      </c>
    </row>
    <row r="1147">
      <c r="A1147" s="7">
        <v>45604.394748819446</v>
      </c>
      <c r="B1147" s="4" t="s">
        <v>4118</v>
      </c>
      <c r="C1147" s="4" t="s">
        <v>4119</v>
      </c>
      <c r="D1147" s="8" t="s">
        <v>4120</v>
      </c>
      <c r="E1147" s="4" t="s">
        <v>17</v>
      </c>
      <c r="F1147" s="4" t="s">
        <v>4121</v>
      </c>
      <c r="G1147" s="4" t="s">
        <v>19</v>
      </c>
      <c r="H1147" s="4" t="s">
        <v>20</v>
      </c>
      <c r="I1147" s="4" t="s">
        <v>190</v>
      </c>
    </row>
    <row r="1148">
      <c r="A1148" s="7">
        <v>45604.39915247685</v>
      </c>
      <c r="B1148" s="4" t="s">
        <v>4122</v>
      </c>
      <c r="C1148" s="4" t="s">
        <v>4123</v>
      </c>
      <c r="D1148" s="4" t="s">
        <v>1860</v>
      </c>
      <c r="E1148" s="4" t="s">
        <v>528</v>
      </c>
      <c r="F1148" s="4" t="s">
        <v>4124</v>
      </c>
      <c r="G1148" s="4" t="s">
        <v>32</v>
      </c>
      <c r="H1148" s="4" t="s">
        <v>20</v>
      </c>
      <c r="I1148" s="4" t="s">
        <v>440</v>
      </c>
    </row>
    <row r="1149">
      <c r="A1149" s="7">
        <v>45604.407911539354</v>
      </c>
      <c r="B1149" s="4" t="s">
        <v>4125</v>
      </c>
      <c r="C1149" s="4" t="s">
        <v>4126</v>
      </c>
      <c r="D1149" s="4" t="s">
        <v>394</v>
      </c>
      <c r="E1149" s="4" t="s">
        <v>345</v>
      </c>
      <c r="F1149" s="4" t="s">
        <v>4127</v>
      </c>
      <c r="G1149" s="4" t="s">
        <v>32</v>
      </c>
      <c r="H1149" s="4" t="s">
        <v>20</v>
      </c>
      <c r="I1149" s="4" t="s">
        <v>686</v>
      </c>
    </row>
    <row r="1150">
      <c r="A1150" s="7">
        <v>45604.40859398148</v>
      </c>
      <c r="B1150" s="4" t="s">
        <v>4128</v>
      </c>
      <c r="C1150" s="4" t="s">
        <v>4129</v>
      </c>
      <c r="D1150" s="8" t="s">
        <v>4130</v>
      </c>
      <c r="E1150" s="4" t="s">
        <v>345</v>
      </c>
      <c r="F1150" s="4" t="s">
        <v>4131</v>
      </c>
      <c r="G1150" s="4" t="s">
        <v>54</v>
      </c>
      <c r="H1150" s="4" t="s">
        <v>20</v>
      </c>
      <c r="I1150" s="4" t="s">
        <v>1097</v>
      </c>
    </row>
    <row r="1151">
      <c r="A1151" s="7">
        <v>45604.41045300926</v>
      </c>
      <c r="B1151" s="4" t="s">
        <v>4132</v>
      </c>
      <c r="C1151" s="4" t="s">
        <v>4133</v>
      </c>
      <c r="D1151" s="8" t="s">
        <v>4134</v>
      </c>
      <c r="E1151" s="4" t="s">
        <v>4135</v>
      </c>
      <c r="F1151" s="4" t="s">
        <v>4136</v>
      </c>
      <c r="G1151" s="4" t="s">
        <v>19</v>
      </c>
      <c r="H1151" s="4" t="s">
        <v>20</v>
      </c>
      <c r="I1151" s="4" t="s">
        <v>625</v>
      </c>
    </row>
    <row r="1152">
      <c r="A1152" s="7">
        <v>45604.4158359375</v>
      </c>
      <c r="B1152" s="4" t="s">
        <v>4137</v>
      </c>
      <c r="C1152" s="4" t="s">
        <v>4138</v>
      </c>
      <c r="D1152" s="4" t="s">
        <v>4139</v>
      </c>
      <c r="E1152" s="4" t="s">
        <v>17</v>
      </c>
      <c r="F1152" s="4" t="s">
        <v>4140</v>
      </c>
      <c r="G1152" s="4" t="s">
        <v>54</v>
      </c>
      <c r="H1152" s="4" t="s">
        <v>20</v>
      </c>
      <c r="I1152" s="4" t="s">
        <v>4142</v>
      </c>
    </row>
    <row r="1153">
      <c r="A1153" s="7">
        <v>45604.41726461805</v>
      </c>
      <c r="B1153" s="4" t="s">
        <v>1903</v>
      </c>
      <c r="C1153" s="4" t="s">
        <v>4143</v>
      </c>
      <c r="D1153" s="4" t="s">
        <v>613</v>
      </c>
      <c r="E1153" s="4" t="s">
        <v>345</v>
      </c>
      <c r="F1153" s="4" t="s">
        <v>1905</v>
      </c>
      <c r="G1153" s="4" t="s">
        <v>54</v>
      </c>
      <c r="H1153" s="4" t="s">
        <v>570</v>
      </c>
      <c r="I1153" s="4" t="s">
        <v>4145</v>
      </c>
    </row>
    <row r="1154">
      <c r="A1154" s="7">
        <v>45604.41877877315</v>
      </c>
      <c r="B1154" s="4" t="s">
        <v>616</v>
      </c>
      <c r="C1154" s="4" t="s">
        <v>4146</v>
      </c>
      <c r="D1154" s="8" t="s">
        <v>1991</v>
      </c>
      <c r="E1154" s="4" t="s">
        <v>313</v>
      </c>
      <c r="F1154" s="4" t="s">
        <v>619</v>
      </c>
      <c r="G1154" s="4" t="s">
        <v>251</v>
      </c>
      <c r="H1154" s="4" t="s">
        <v>570</v>
      </c>
      <c r="I1154" s="4" t="s">
        <v>294</v>
      </c>
    </row>
    <row r="1155">
      <c r="A1155" s="7">
        <v>45604.419212939814</v>
      </c>
      <c r="B1155" s="4" t="s">
        <v>4147</v>
      </c>
      <c r="C1155" s="4" t="s">
        <v>4148</v>
      </c>
      <c r="D1155" s="8" t="s">
        <v>4149</v>
      </c>
      <c r="E1155" s="4" t="s">
        <v>194</v>
      </c>
      <c r="F1155" s="4" t="s">
        <v>4150</v>
      </c>
      <c r="G1155" s="4" t="s">
        <v>19</v>
      </c>
      <c r="H1155" s="4" t="s">
        <v>20</v>
      </c>
      <c r="I1155" s="4" t="s">
        <v>147</v>
      </c>
    </row>
    <row r="1156">
      <c r="A1156" s="7">
        <v>45604.423642361115</v>
      </c>
      <c r="B1156" s="4" t="s">
        <v>2391</v>
      </c>
      <c r="C1156" s="4" t="s">
        <v>2392</v>
      </c>
      <c r="D1156" s="8" t="s">
        <v>2389</v>
      </c>
      <c r="E1156" s="4" t="s">
        <v>345</v>
      </c>
      <c r="F1156" s="4" t="s">
        <v>2393</v>
      </c>
      <c r="G1156" s="4" t="s">
        <v>32</v>
      </c>
      <c r="H1156" s="4" t="s">
        <v>570</v>
      </c>
      <c r="I1156" s="4" t="s">
        <v>152</v>
      </c>
    </row>
    <row r="1157">
      <c r="A1157" s="7">
        <v>45604.42506368055</v>
      </c>
      <c r="B1157" s="4" t="s">
        <v>4151</v>
      </c>
      <c r="C1157" s="4" t="s">
        <v>4152</v>
      </c>
      <c r="D1157" s="4" t="s">
        <v>3352</v>
      </c>
      <c r="E1157" s="4" t="s">
        <v>345</v>
      </c>
      <c r="F1157" s="4" t="s">
        <v>4153</v>
      </c>
      <c r="G1157" s="4" t="s">
        <v>3473</v>
      </c>
      <c r="H1157" s="4" t="s">
        <v>20</v>
      </c>
      <c r="I1157" s="4" t="s">
        <v>175</v>
      </c>
    </row>
    <row r="1158">
      <c r="A1158" s="7">
        <v>45604.42532855324</v>
      </c>
      <c r="B1158" s="4" t="s">
        <v>2131</v>
      </c>
      <c r="C1158" s="4" t="s">
        <v>4154</v>
      </c>
      <c r="D1158" s="8" t="s">
        <v>1991</v>
      </c>
      <c r="E1158" s="4" t="s">
        <v>432</v>
      </c>
      <c r="F1158" s="4" t="s">
        <v>4155</v>
      </c>
      <c r="G1158" s="4" t="s">
        <v>251</v>
      </c>
      <c r="H1158" s="4" t="s">
        <v>570</v>
      </c>
      <c r="I1158" s="4" t="s">
        <v>4156</v>
      </c>
    </row>
    <row r="1159">
      <c r="A1159" s="7">
        <v>45604.426321747684</v>
      </c>
      <c r="B1159" s="4" t="s">
        <v>1537</v>
      </c>
      <c r="C1159" s="4" t="s">
        <v>4157</v>
      </c>
      <c r="D1159" s="4" t="s">
        <v>1246</v>
      </c>
      <c r="E1159" s="4" t="s">
        <v>644</v>
      </c>
      <c r="F1159" s="4" t="s">
        <v>1540</v>
      </c>
      <c r="G1159" s="4" t="s">
        <v>54</v>
      </c>
      <c r="H1159" s="4" t="s">
        <v>570</v>
      </c>
      <c r="I1159" s="4" t="s">
        <v>4159</v>
      </c>
    </row>
    <row r="1160">
      <c r="A1160" s="7">
        <v>45604.440248645835</v>
      </c>
      <c r="B1160" s="4" t="s">
        <v>4160</v>
      </c>
      <c r="C1160" s="4" t="s">
        <v>4161</v>
      </c>
      <c r="D1160" s="4" t="s">
        <v>1206</v>
      </c>
      <c r="E1160" s="4" t="s">
        <v>345</v>
      </c>
      <c r="F1160" s="4" t="s">
        <v>4162</v>
      </c>
      <c r="G1160" s="4" t="s">
        <v>3473</v>
      </c>
      <c r="H1160" s="4" t="s">
        <v>20</v>
      </c>
      <c r="I1160" s="4" t="s">
        <v>147</v>
      </c>
    </row>
    <row r="1161">
      <c r="A1161" s="7">
        <v>45604.43170266204</v>
      </c>
      <c r="B1161" s="4" t="s">
        <v>4163</v>
      </c>
      <c r="C1161" s="4" t="s">
        <v>4164</v>
      </c>
      <c r="D1161" s="8" t="s">
        <v>4165</v>
      </c>
      <c r="E1161" s="4" t="s">
        <v>17</v>
      </c>
      <c r="F1161" s="4" t="s">
        <v>4166</v>
      </c>
      <c r="G1161" s="4" t="s">
        <v>19</v>
      </c>
      <c r="H1161" s="4" t="s">
        <v>20</v>
      </c>
      <c r="I1161" s="4" t="s">
        <v>356</v>
      </c>
    </row>
    <row r="1162">
      <c r="A1162" s="7">
        <v>45604.43962430555</v>
      </c>
      <c r="B1162" s="4" t="s">
        <v>3405</v>
      </c>
      <c r="C1162" s="4" t="s">
        <v>4167</v>
      </c>
      <c r="D1162" s="8" t="s">
        <v>4168</v>
      </c>
      <c r="E1162" s="4" t="s">
        <v>1293</v>
      </c>
      <c r="F1162" s="4" t="s">
        <v>4169</v>
      </c>
      <c r="G1162" s="4" t="s">
        <v>251</v>
      </c>
      <c r="H1162" s="4" t="s">
        <v>570</v>
      </c>
      <c r="I1162" s="4" t="s">
        <v>4170</v>
      </c>
    </row>
    <row r="1163">
      <c r="A1163" s="7">
        <v>45604.43985681713</v>
      </c>
      <c r="B1163" s="4" t="s">
        <v>4171</v>
      </c>
      <c r="C1163" s="4" t="s">
        <v>4172</v>
      </c>
      <c r="D1163" s="4" t="s">
        <v>216</v>
      </c>
      <c r="E1163" s="4" t="s">
        <v>4173</v>
      </c>
      <c r="F1163" s="4" t="s">
        <v>4174</v>
      </c>
      <c r="G1163" s="4" t="s">
        <v>32</v>
      </c>
      <c r="H1163" s="4" t="s">
        <v>20</v>
      </c>
      <c r="I1163" s="4" t="s">
        <v>91</v>
      </c>
    </row>
    <row r="1164">
      <c r="A1164" s="7">
        <v>45604.44042315972</v>
      </c>
      <c r="B1164" s="4" t="s">
        <v>1895</v>
      </c>
      <c r="C1164" s="4" t="s">
        <v>4175</v>
      </c>
      <c r="D1164" s="8" t="s">
        <v>1991</v>
      </c>
      <c r="E1164" s="4" t="s">
        <v>313</v>
      </c>
      <c r="F1164" s="4" t="s">
        <v>4176</v>
      </c>
      <c r="G1164" s="4" t="s">
        <v>251</v>
      </c>
      <c r="H1164" s="4" t="s">
        <v>570</v>
      </c>
      <c r="I1164" s="4" t="s">
        <v>863</v>
      </c>
    </row>
    <row r="1165">
      <c r="A1165" s="7">
        <v>45604.441384826394</v>
      </c>
      <c r="B1165" s="4" t="s">
        <v>4177</v>
      </c>
      <c r="C1165" s="4" t="s">
        <v>4178</v>
      </c>
      <c r="D1165" s="4" t="s">
        <v>4179</v>
      </c>
      <c r="E1165" s="4" t="s">
        <v>78</v>
      </c>
      <c r="F1165" s="4" t="s">
        <v>4180</v>
      </c>
      <c r="G1165" s="4" t="s">
        <v>3473</v>
      </c>
      <c r="H1165" s="4" t="s">
        <v>20</v>
      </c>
      <c r="I1165" s="4" t="s">
        <v>4181</v>
      </c>
    </row>
    <row r="1166">
      <c r="A1166" s="7">
        <v>45604.44262524306</v>
      </c>
      <c r="B1166" s="4" t="s">
        <v>4182</v>
      </c>
      <c r="C1166" s="4" t="s">
        <v>4178</v>
      </c>
      <c r="D1166" s="4" t="s">
        <v>4179</v>
      </c>
      <c r="E1166" s="4" t="s">
        <v>78</v>
      </c>
      <c r="F1166" s="4" t="s">
        <v>4183</v>
      </c>
      <c r="G1166" s="4" t="s">
        <v>3473</v>
      </c>
      <c r="H1166" s="4" t="s">
        <v>20</v>
      </c>
      <c r="I1166" s="4" t="s">
        <v>499</v>
      </c>
    </row>
    <row r="1167">
      <c r="A1167" s="7">
        <v>45604.44796800926</v>
      </c>
      <c r="B1167" s="4" t="s">
        <v>4184</v>
      </c>
      <c r="C1167" s="4" t="s">
        <v>57</v>
      </c>
      <c r="D1167" s="8" t="s">
        <v>58</v>
      </c>
      <c r="E1167" s="4" t="s">
        <v>3417</v>
      </c>
      <c r="F1167" s="4" t="s">
        <v>4185</v>
      </c>
      <c r="G1167" s="4" t="s">
        <v>19</v>
      </c>
      <c r="H1167" s="4" t="s">
        <v>20</v>
      </c>
      <c r="I1167" s="4" t="s">
        <v>61</v>
      </c>
    </row>
    <row r="1168">
      <c r="A1168" s="7">
        <v>45604.45212328703</v>
      </c>
      <c r="B1168" s="4" t="s">
        <v>4186</v>
      </c>
      <c r="C1168" s="4" t="s">
        <v>2261</v>
      </c>
      <c r="D1168" s="4" t="s">
        <v>4187</v>
      </c>
      <c r="E1168" s="4" t="s">
        <v>1323</v>
      </c>
      <c r="F1168" s="4" t="s">
        <v>4188</v>
      </c>
      <c r="G1168" s="4" t="s">
        <v>251</v>
      </c>
      <c r="H1168" s="4" t="s">
        <v>20</v>
      </c>
      <c r="I1168" s="4" t="s">
        <v>4189</v>
      </c>
    </row>
    <row r="1169">
      <c r="A1169" s="7">
        <v>45604.45392277778</v>
      </c>
      <c r="B1169" s="4" t="s">
        <v>4190</v>
      </c>
      <c r="C1169" s="4" t="s">
        <v>4191</v>
      </c>
      <c r="D1169" s="4" t="s">
        <v>4192</v>
      </c>
      <c r="E1169" s="4" t="s">
        <v>2249</v>
      </c>
      <c r="F1169" s="4" t="s">
        <v>4193</v>
      </c>
      <c r="G1169" s="4" t="s">
        <v>54</v>
      </c>
      <c r="H1169" s="4" t="s">
        <v>20</v>
      </c>
      <c r="I1169" s="4" t="s">
        <v>4194</v>
      </c>
    </row>
    <row r="1170">
      <c r="A1170" s="7">
        <v>45604.457568032405</v>
      </c>
      <c r="B1170" s="4" t="s">
        <v>4195</v>
      </c>
      <c r="C1170" s="4" t="s">
        <v>345</v>
      </c>
      <c r="D1170" s="4" t="s">
        <v>2341</v>
      </c>
      <c r="E1170" s="4" t="s">
        <v>4196</v>
      </c>
      <c r="F1170" s="4" t="s">
        <v>4197</v>
      </c>
      <c r="G1170" s="4" t="s">
        <v>32</v>
      </c>
      <c r="H1170" s="4" t="s">
        <v>20</v>
      </c>
      <c r="I1170" s="4" t="s">
        <v>356</v>
      </c>
    </row>
    <row r="1171">
      <c r="A1171" s="7">
        <v>45604.45991686343</v>
      </c>
      <c r="B1171" s="4" t="s">
        <v>3128</v>
      </c>
      <c r="C1171" s="4" t="s">
        <v>3129</v>
      </c>
      <c r="D1171" s="4" t="s">
        <v>373</v>
      </c>
      <c r="E1171" s="4" t="s">
        <v>345</v>
      </c>
      <c r="F1171" s="4" t="s">
        <v>3130</v>
      </c>
      <c r="G1171" s="4" t="s">
        <v>54</v>
      </c>
      <c r="H1171" s="4" t="s">
        <v>570</v>
      </c>
      <c r="I1171" s="4" t="s">
        <v>131</v>
      </c>
    </row>
    <row r="1172">
      <c r="A1172" s="7">
        <v>45604.46160271991</v>
      </c>
      <c r="B1172" s="4" t="s">
        <v>4198</v>
      </c>
      <c r="C1172" s="4" t="s">
        <v>4199</v>
      </c>
      <c r="D1172" s="8" t="s">
        <v>658</v>
      </c>
      <c r="E1172" s="4" t="s">
        <v>451</v>
      </c>
      <c r="F1172" s="4" t="s">
        <v>4200</v>
      </c>
      <c r="G1172" s="4" t="s">
        <v>54</v>
      </c>
      <c r="H1172" s="4" t="s">
        <v>20</v>
      </c>
      <c r="I1172" s="4" t="s">
        <v>356</v>
      </c>
    </row>
    <row r="1173">
      <c r="A1173" s="7">
        <v>45604.46247982639</v>
      </c>
      <c r="B1173" s="4" t="s">
        <v>4201</v>
      </c>
      <c r="C1173" s="4" t="s">
        <v>4202</v>
      </c>
      <c r="D1173" s="8" t="s">
        <v>658</v>
      </c>
      <c r="E1173" s="4" t="s">
        <v>451</v>
      </c>
      <c r="F1173" s="4" t="s">
        <v>4203</v>
      </c>
      <c r="G1173" s="4" t="s">
        <v>54</v>
      </c>
      <c r="H1173" s="4" t="s">
        <v>20</v>
      </c>
      <c r="I1173" s="4" t="s">
        <v>428</v>
      </c>
    </row>
    <row r="1174">
      <c r="A1174" s="7">
        <v>45604.464527372686</v>
      </c>
      <c r="B1174" s="4" t="s">
        <v>4204</v>
      </c>
      <c r="C1174" s="4" t="s">
        <v>4205</v>
      </c>
      <c r="D1174" s="4" t="s">
        <v>373</v>
      </c>
      <c r="E1174" s="4" t="s">
        <v>345</v>
      </c>
      <c r="F1174" s="4" t="s">
        <v>4206</v>
      </c>
      <c r="G1174" s="4" t="s">
        <v>54</v>
      </c>
      <c r="H1174" s="4" t="s">
        <v>20</v>
      </c>
      <c r="I1174" s="4" t="s">
        <v>4207</v>
      </c>
    </row>
    <row r="1175">
      <c r="A1175" s="7">
        <v>45604.46835609953</v>
      </c>
      <c r="B1175" s="4" t="s">
        <v>4208</v>
      </c>
      <c r="C1175" s="4" t="s">
        <v>231</v>
      </c>
      <c r="D1175" s="4" t="s">
        <v>373</v>
      </c>
      <c r="E1175" s="4" t="s">
        <v>345</v>
      </c>
      <c r="F1175" s="4" t="s">
        <v>4209</v>
      </c>
      <c r="G1175" s="4" t="s">
        <v>54</v>
      </c>
      <c r="H1175" s="4" t="s">
        <v>20</v>
      </c>
      <c r="I1175" s="4" t="s">
        <v>4210</v>
      </c>
    </row>
    <row r="1176">
      <c r="A1176" s="7">
        <v>45604.47064638889</v>
      </c>
      <c r="B1176" s="4" t="s">
        <v>4211</v>
      </c>
      <c r="C1176" s="4" t="s">
        <v>4212</v>
      </c>
      <c r="D1176" s="8" t="s">
        <v>648</v>
      </c>
      <c r="E1176" s="4" t="s">
        <v>345</v>
      </c>
      <c r="F1176" s="4" t="s">
        <v>4213</v>
      </c>
      <c r="G1176" s="4" t="s">
        <v>54</v>
      </c>
      <c r="H1176" s="4" t="s">
        <v>20</v>
      </c>
      <c r="I1176" s="4" t="s">
        <v>489</v>
      </c>
    </row>
    <row r="1177">
      <c r="A1177" s="7">
        <v>45604.559293645834</v>
      </c>
      <c r="B1177" s="4" t="s">
        <v>3163</v>
      </c>
      <c r="C1177" s="4" t="s">
        <v>3164</v>
      </c>
      <c r="D1177" s="4" t="s">
        <v>238</v>
      </c>
      <c r="E1177" s="4" t="s">
        <v>345</v>
      </c>
      <c r="F1177" s="4" t="s">
        <v>3165</v>
      </c>
      <c r="G1177" s="4" t="s">
        <v>32</v>
      </c>
      <c r="H1177" s="4" t="s">
        <v>570</v>
      </c>
      <c r="I1177" s="4" t="s">
        <v>308</v>
      </c>
    </row>
    <row r="1178">
      <c r="A1178" s="7">
        <v>45604.56037957176</v>
      </c>
      <c r="B1178" s="4" t="s">
        <v>1155</v>
      </c>
      <c r="C1178" s="4" t="s">
        <v>1157</v>
      </c>
      <c r="D1178" s="4" t="s">
        <v>238</v>
      </c>
      <c r="E1178" s="4" t="s">
        <v>1159</v>
      </c>
      <c r="F1178" s="4" t="s">
        <v>1160</v>
      </c>
      <c r="G1178" s="4" t="s">
        <v>32</v>
      </c>
      <c r="H1178" s="4" t="s">
        <v>570</v>
      </c>
      <c r="I1178" s="4" t="s">
        <v>686</v>
      </c>
    </row>
    <row r="1179">
      <c r="A1179" s="7">
        <v>45604.56166959491</v>
      </c>
      <c r="B1179" s="4" t="s">
        <v>3680</v>
      </c>
      <c r="C1179" s="4" t="s">
        <v>3681</v>
      </c>
      <c r="D1179" s="8" t="s">
        <v>150</v>
      </c>
      <c r="E1179" s="4" t="s">
        <v>345</v>
      </c>
      <c r="F1179" s="4" t="s">
        <v>3682</v>
      </c>
      <c r="G1179" s="4" t="s">
        <v>54</v>
      </c>
      <c r="H1179" s="4" t="s">
        <v>570</v>
      </c>
      <c r="I1179" s="4" t="s">
        <v>1454</v>
      </c>
    </row>
    <row r="1180">
      <c r="A1180" s="7">
        <v>45604.56175020833</v>
      </c>
      <c r="B1180" s="4" t="s">
        <v>3180</v>
      </c>
      <c r="C1180" s="4" t="s">
        <v>3181</v>
      </c>
      <c r="D1180" s="4" t="s">
        <v>238</v>
      </c>
      <c r="E1180" s="4" t="s">
        <v>345</v>
      </c>
      <c r="F1180" s="4" t="s">
        <v>3182</v>
      </c>
      <c r="G1180" s="4" t="s">
        <v>32</v>
      </c>
      <c r="H1180" s="4" t="s">
        <v>570</v>
      </c>
      <c r="I1180" s="4" t="s">
        <v>279</v>
      </c>
    </row>
    <row r="1181">
      <c r="A1181" s="7">
        <v>45604.56382896991</v>
      </c>
      <c r="B1181" s="4" t="s">
        <v>4218</v>
      </c>
      <c r="C1181" s="4" t="s">
        <v>4196</v>
      </c>
      <c r="D1181" s="4" t="s">
        <v>2341</v>
      </c>
      <c r="E1181" s="4" t="s">
        <v>345</v>
      </c>
      <c r="F1181" s="4" t="s">
        <v>4219</v>
      </c>
      <c r="G1181" s="4" t="s">
        <v>32</v>
      </c>
      <c r="H1181" s="4" t="s">
        <v>20</v>
      </c>
      <c r="I1181" s="4" t="s">
        <v>356</v>
      </c>
    </row>
    <row r="1182">
      <c r="A1182" s="7">
        <v>45604.56507532408</v>
      </c>
      <c r="B1182" s="4" t="s">
        <v>4220</v>
      </c>
      <c r="C1182" s="4" t="s">
        <v>4221</v>
      </c>
      <c r="D1182" s="8" t="s">
        <v>4222</v>
      </c>
      <c r="E1182" s="4" t="s">
        <v>17</v>
      </c>
      <c r="F1182" s="4" t="s">
        <v>4223</v>
      </c>
      <c r="G1182" s="4" t="s">
        <v>19</v>
      </c>
      <c r="H1182" s="4" t="s">
        <v>20</v>
      </c>
      <c r="I1182" s="4" t="s">
        <v>1121</v>
      </c>
    </row>
    <row r="1183">
      <c r="A1183" s="7">
        <v>45604.56870532407</v>
      </c>
      <c r="B1183" s="4" t="s">
        <v>4224</v>
      </c>
      <c r="C1183" s="4" t="s">
        <v>4225</v>
      </c>
      <c r="D1183" s="4" t="s">
        <v>2738</v>
      </c>
      <c r="E1183" s="4" t="s">
        <v>2938</v>
      </c>
      <c r="F1183" s="4" t="s">
        <v>4226</v>
      </c>
      <c r="G1183" s="4" t="s">
        <v>54</v>
      </c>
      <c r="H1183" s="4" t="s">
        <v>20</v>
      </c>
      <c r="I1183" s="4" t="s">
        <v>1121</v>
      </c>
    </row>
    <row r="1184">
      <c r="A1184" s="7">
        <v>45604.569910289356</v>
      </c>
      <c r="B1184" s="4" t="s">
        <v>4227</v>
      </c>
      <c r="C1184" s="4" t="s">
        <v>4228</v>
      </c>
      <c r="D1184" s="4" t="s">
        <v>2738</v>
      </c>
      <c r="E1184" s="4" t="s">
        <v>263</v>
      </c>
      <c r="F1184" s="4" t="s">
        <v>4229</v>
      </c>
      <c r="G1184" s="4" t="s">
        <v>54</v>
      </c>
      <c r="H1184" s="4" t="s">
        <v>20</v>
      </c>
      <c r="I1184" s="4" t="s">
        <v>3017</v>
      </c>
    </row>
    <row r="1185">
      <c r="A1185" s="7">
        <v>45604.596696990746</v>
      </c>
      <c r="B1185" s="4" t="s">
        <v>4230</v>
      </c>
      <c r="C1185" s="4" t="s">
        <v>4228</v>
      </c>
      <c r="D1185" s="4" t="s">
        <v>2738</v>
      </c>
      <c r="E1185" s="4" t="s">
        <v>263</v>
      </c>
      <c r="F1185" s="4" t="s">
        <v>4231</v>
      </c>
      <c r="G1185" s="4" t="s">
        <v>54</v>
      </c>
      <c r="H1185" s="4" t="s">
        <v>20</v>
      </c>
      <c r="I1185" s="4" t="s">
        <v>4233</v>
      </c>
    </row>
    <row r="1186">
      <c r="A1186" s="7">
        <v>45604.571210381946</v>
      </c>
      <c r="B1186" s="4" t="s">
        <v>3385</v>
      </c>
      <c r="C1186" s="4" t="s">
        <v>4234</v>
      </c>
      <c r="D1186" s="8" t="s">
        <v>1991</v>
      </c>
      <c r="E1186" s="4" t="s">
        <v>313</v>
      </c>
      <c r="F1186" s="4" t="s">
        <v>4235</v>
      </c>
      <c r="G1186" s="4" t="s">
        <v>251</v>
      </c>
      <c r="H1186" s="4" t="s">
        <v>570</v>
      </c>
      <c r="I1186" s="4" t="s">
        <v>4236</v>
      </c>
    </row>
    <row r="1187">
      <c r="A1187" s="7">
        <v>45604.5724183912</v>
      </c>
      <c r="B1187" s="4" t="s">
        <v>3381</v>
      </c>
      <c r="C1187" s="4" t="s">
        <v>4237</v>
      </c>
      <c r="D1187" s="8" t="s">
        <v>1991</v>
      </c>
      <c r="E1187" s="4" t="s">
        <v>313</v>
      </c>
      <c r="F1187" s="4" t="s">
        <v>4238</v>
      </c>
      <c r="G1187" s="4" t="s">
        <v>251</v>
      </c>
      <c r="H1187" s="4" t="s">
        <v>570</v>
      </c>
      <c r="I1187" s="4" t="s">
        <v>4239</v>
      </c>
    </row>
    <row r="1188">
      <c r="A1188" s="7">
        <v>45604.57335236111</v>
      </c>
      <c r="B1188" s="4" t="s">
        <v>3141</v>
      </c>
      <c r="C1188" s="4" t="s">
        <v>4240</v>
      </c>
      <c r="D1188" s="8" t="s">
        <v>4241</v>
      </c>
      <c r="E1188" s="4" t="s">
        <v>313</v>
      </c>
      <c r="F1188" s="4" t="s">
        <v>4242</v>
      </c>
      <c r="G1188" s="4" t="s">
        <v>251</v>
      </c>
      <c r="H1188" s="4" t="s">
        <v>570</v>
      </c>
      <c r="I1188" s="4" t="s">
        <v>2541</v>
      </c>
    </row>
    <row r="1189">
      <c r="A1189" s="7">
        <v>45604.57411755787</v>
      </c>
      <c r="B1189" s="4" t="s">
        <v>4243</v>
      </c>
      <c r="C1189" s="4" t="s">
        <v>4244</v>
      </c>
      <c r="D1189" s="4" t="s">
        <v>527</v>
      </c>
      <c r="E1189" s="4" t="s">
        <v>4245</v>
      </c>
      <c r="F1189" s="4" t="s">
        <v>4246</v>
      </c>
      <c r="G1189" s="4" t="s">
        <v>32</v>
      </c>
      <c r="H1189" s="4" t="s">
        <v>20</v>
      </c>
      <c r="I1189" s="4" t="s">
        <v>593</v>
      </c>
    </row>
    <row r="1190">
      <c r="A1190" s="7">
        <v>45604.57552521991</v>
      </c>
      <c r="B1190" s="4" t="s">
        <v>4247</v>
      </c>
      <c r="C1190" s="4" t="s">
        <v>4248</v>
      </c>
      <c r="D1190" s="4" t="s">
        <v>527</v>
      </c>
      <c r="E1190" s="4" t="s">
        <v>528</v>
      </c>
      <c r="F1190" s="4" t="s">
        <v>4249</v>
      </c>
      <c r="G1190" s="4" t="s">
        <v>32</v>
      </c>
      <c r="H1190" s="4" t="s">
        <v>20</v>
      </c>
      <c r="I1190" s="4" t="s">
        <v>519</v>
      </c>
    </row>
    <row r="1191">
      <c r="A1191" s="7">
        <v>45604.576217071764</v>
      </c>
      <c r="B1191" s="4" t="s">
        <v>4250</v>
      </c>
      <c r="C1191" s="4" t="s">
        <v>4251</v>
      </c>
      <c r="D1191" s="4" t="s">
        <v>527</v>
      </c>
      <c r="E1191" s="4" t="s">
        <v>956</v>
      </c>
      <c r="F1191" s="4" t="s">
        <v>4252</v>
      </c>
      <c r="G1191" s="4" t="s">
        <v>32</v>
      </c>
      <c r="H1191" s="4" t="s">
        <v>20</v>
      </c>
      <c r="I1191" s="4" t="s">
        <v>80</v>
      </c>
    </row>
    <row r="1192">
      <c r="A1192" s="7">
        <v>45604.57690546296</v>
      </c>
      <c r="B1192" s="4" t="s">
        <v>4253</v>
      </c>
      <c r="C1192" s="4" t="s">
        <v>4254</v>
      </c>
      <c r="D1192" s="4" t="s">
        <v>527</v>
      </c>
      <c r="E1192" s="4" t="s">
        <v>956</v>
      </c>
      <c r="F1192" s="4" t="s">
        <v>4255</v>
      </c>
      <c r="G1192" s="4" t="s">
        <v>32</v>
      </c>
      <c r="H1192" s="4" t="s">
        <v>20</v>
      </c>
      <c r="I1192" s="4" t="s">
        <v>80</v>
      </c>
    </row>
    <row r="1193">
      <c r="A1193" s="7">
        <v>45604.57775041666</v>
      </c>
      <c r="B1193" s="4" t="s">
        <v>4256</v>
      </c>
      <c r="C1193" s="4" t="s">
        <v>4257</v>
      </c>
      <c r="D1193" s="4" t="s">
        <v>527</v>
      </c>
      <c r="E1193" s="4" t="s">
        <v>345</v>
      </c>
      <c r="F1193" s="4" t="s">
        <v>4258</v>
      </c>
      <c r="G1193" s="4" t="s">
        <v>32</v>
      </c>
      <c r="H1193" s="4" t="s">
        <v>20</v>
      </c>
      <c r="I1193" s="4" t="s">
        <v>80</v>
      </c>
    </row>
    <row r="1194">
      <c r="A1194" s="7">
        <v>45604.579122916664</v>
      </c>
      <c r="B1194" s="4" t="s">
        <v>4259</v>
      </c>
      <c r="C1194" s="4" t="s">
        <v>4260</v>
      </c>
      <c r="D1194" s="4" t="s">
        <v>1229</v>
      </c>
      <c r="E1194" s="4" t="s">
        <v>345</v>
      </c>
      <c r="F1194" s="4" t="s">
        <v>4261</v>
      </c>
      <c r="G1194" s="4" t="s">
        <v>3473</v>
      </c>
      <c r="H1194" s="4" t="s">
        <v>20</v>
      </c>
      <c r="I1194" s="4" t="s">
        <v>109</v>
      </c>
    </row>
    <row r="1195">
      <c r="A1195" s="7">
        <v>45604.5795674074</v>
      </c>
      <c r="B1195" s="4" t="s">
        <v>4262</v>
      </c>
      <c r="C1195" s="4" t="s">
        <v>4263</v>
      </c>
      <c r="D1195" s="8" t="s">
        <v>4264</v>
      </c>
      <c r="E1195" s="4" t="s">
        <v>1719</v>
      </c>
      <c r="F1195" s="4" t="s">
        <v>4265</v>
      </c>
      <c r="G1195" s="4" t="s">
        <v>251</v>
      </c>
      <c r="H1195" s="4" t="s">
        <v>20</v>
      </c>
      <c r="I1195" s="4" t="s">
        <v>341</v>
      </c>
    </row>
    <row r="1196">
      <c r="A1196" s="7">
        <v>45604.57998550926</v>
      </c>
      <c r="B1196" s="4" t="s">
        <v>4266</v>
      </c>
      <c r="C1196" s="4" t="s">
        <v>4267</v>
      </c>
      <c r="D1196" s="4" t="s">
        <v>1229</v>
      </c>
      <c r="E1196" s="4" t="s">
        <v>345</v>
      </c>
      <c r="F1196" s="4" t="s">
        <v>4268</v>
      </c>
      <c r="G1196" s="4" t="s">
        <v>3473</v>
      </c>
      <c r="H1196" s="4" t="s">
        <v>20</v>
      </c>
      <c r="I1196" s="4" t="s">
        <v>886</v>
      </c>
    </row>
    <row r="1197">
      <c r="A1197" s="7">
        <v>45604.58062033565</v>
      </c>
      <c r="B1197" s="4" t="s">
        <v>4269</v>
      </c>
      <c r="C1197" s="4" t="s">
        <v>4267</v>
      </c>
      <c r="D1197" s="4" t="s">
        <v>1229</v>
      </c>
      <c r="E1197" s="4" t="s">
        <v>345</v>
      </c>
      <c r="F1197" s="4" t="s">
        <v>4270</v>
      </c>
      <c r="G1197" s="4" t="s">
        <v>3473</v>
      </c>
      <c r="H1197" s="4" t="s">
        <v>20</v>
      </c>
      <c r="I1197" s="4" t="s">
        <v>886</v>
      </c>
    </row>
    <row r="1198">
      <c r="A1198" s="7">
        <v>45604.58649868055</v>
      </c>
      <c r="B1198" s="4" t="s">
        <v>4271</v>
      </c>
      <c r="C1198" s="4" t="s">
        <v>4272</v>
      </c>
      <c r="D1198" s="8" t="s">
        <v>1520</v>
      </c>
      <c r="E1198" s="4" t="s">
        <v>754</v>
      </c>
      <c r="F1198" s="4" t="s">
        <v>4273</v>
      </c>
      <c r="G1198" s="4" t="s">
        <v>251</v>
      </c>
      <c r="H1198" s="4" t="s">
        <v>20</v>
      </c>
      <c r="I1198" s="4" t="s">
        <v>4274</v>
      </c>
    </row>
    <row r="1199">
      <c r="A1199" s="7">
        <v>45604.58963918981</v>
      </c>
      <c r="B1199" s="4" t="s">
        <v>4275</v>
      </c>
      <c r="C1199" s="4" t="s">
        <v>4276</v>
      </c>
      <c r="D1199" s="4" t="s">
        <v>1151</v>
      </c>
      <c r="E1199" s="4" t="s">
        <v>137</v>
      </c>
      <c r="F1199" s="4" t="s">
        <v>4277</v>
      </c>
      <c r="G1199" s="4" t="s">
        <v>3473</v>
      </c>
      <c r="H1199" s="4" t="s">
        <v>20</v>
      </c>
      <c r="I1199" s="4" t="s">
        <v>203</v>
      </c>
    </row>
    <row r="1200">
      <c r="A1200" s="7">
        <v>45604.59225591435</v>
      </c>
      <c r="B1200" s="4" t="s">
        <v>4278</v>
      </c>
      <c r="C1200" s="4" t="s">
        <v>4279</v>
      </c>
      <c r="D1200" s="4" t="s">
        <v>2995</v>
      </c>
      <c r="E1200" s="4" t="s">
        <v>4280</v>
      </c>
      <c r="F1200" s="4" t="s">
        <v>4281</v>
      </c>
      <c r="G1200" s="4" t="s">
        <v>32</v>
      </c>
      <c r="H1200" s="4" t="s">
        <v>20</v>
      </c>
      <c r="I1200" s="4" t="s">
        <v>4282</v>
      </c>
    </row>
    <row r="1201">
      <c r="A1201" s="7">
        <v>45604.597747754626</v>
      </c>
      <c r="B1201" s="4" t="s">
        <v>4283</v>
      </c>
      <c r="C1201" s="4" t="s">
        <v>4284</v>
      </c>
      <c r="D1201" s="8" t="s">
        <v>1578</v>
      </c>
      <c r="E1201" s="4" t="s">
        <v>17</v>
      </c>
      <c r="F1201" s="4" t="s">
        <v>3137</v>
      </c>
      <c r="G1201" s="4" t="s">
        <v>54</v>
      </c>
      <c r="H1201" s="4" t="s">
        <v>20</v>
      </c>
      <c r="I1201" s="4" t="s">
        <v>1454</v>
      </c>
    </row>
    <row r="1202">
      <c r="A1202" s="7">
        <v>45604.60299748843</v>
      </c>
      <c r="B1202" s="4" t="s">
        <v>4285</v>
      </c>
      <c r="C1202" s="4" t="s">
        <v>4286</v>
      </c>
      <c r="D1202" s="8" t="s">
        <v>1578</v>
      </c>
      <c r="E1202" s="4" t="s">
        <v>2938</v>
      </c>
      <c r="F1202" s="4" t="s">
        <v>4287</v>
      </c>
      <c r="G1202" s="4" t="s">
        <v>54</v>
      </c>
      <c r="H1202" s="4" t="s">
        <v>20</v>
      </c>
      <c r="I1202" s="4" t="s">
        <v>2218</v>
      </c>
    </row>
    <row r="1203">
      <c r="A1203" s="7">
        <v>45604.606182233794</v>
      </c>
      <c r="B1203" s="4" t="s">
        <v>3083</v>
      </c>
      <c r="C1203" s="4" t="s">
        <v>3084</v>
      </c>
      <c r="D1203" s="4" t="s">
        <v>1151</v>
      </c>
      <c r="E1203" s="4" t="s">
        <v>345</v>
      </c>
      <c r="F1203" s="4" t="s">
        <v>3085</v>
      </c>
      <c r="G1203" s="4" t="s">
        <v>54</v>
      </c>
      <c r="H1203" s="4" t="s">
        <v>570</v>
      </c>
      <c r="I1203" s="4" t="s">
        <v>565</v>
      </c>
    </row>
    <row r="1204">
      <c r="A1204" s="7">
        <v>45604.60696417824</v>
      </c>
      <c r="B1204" s="4" t="s">
        <v>4288</v>
      </c>
      <c r="C1204" s="4" t="s">
        <v>4289</v>
      </c>
      <c r="D1204" s="8" t="s">
        <v>4290</v>
      </c>
      <c r="E1204" s="4" t="s">
        <v>78</v>
      </c>
      <c r="F1204" s="4" t="s">
        <v>4291</v>
      </c>
      <c r="G1204" s="4" t="s">
        <v>19</v>
      </c>
      <c r="H1204" s="4" t="s">
        <v>20</v>
      </c>
      <c r="I1204" s="4" t="s">
        <v>440</v>
      </c>
    </row>
    <row r="1205">
      <c r="A1205" s="7">
        <v>45604.60935457176</v>
      </c>
      <c r="B1205" s="4" t="s">
        <v>2030</v>
      </c>
      <c r="C1205" s="4" t="s">
        <v>2031</v>
      </c>
      <c r="D1205" s="4" t="s">
        <v>1151</v>
      </c>
      <c r="E1205" s="4" t="s">
        <v>754</v>
      </c>
      <c r="F1205" s="4" t="s">
        <v>2032</v>
      </c>
      <c r="G1205" s="4" t="s">
        <v>54</v>
      </c>
      <c r="H1205" s="4" t="s">
        <v>570</v>
      </c>
      <c r="I1205" s="4" t="s">
        <v>2033</v>
      </c>
    </row>
    <row r="1206">
      <c r="A1206" s="7">
        <v>45604.61014449074</v>
      </c>
      <c r="B1206" s="4" t="s">
        <v>3076</v>
      </c>
      <c r="C1206" s="4" t="s">
        <v>3077</v>
      </c>
      <c r="D1206" s="4" t="s">
        <v>1151</v>
      </c>
      <c r="E1206" s="4" t="s">
        <v>345</v>
      </c>
      <c r="F1206" s="4" t="s">
        <v>3078</v>
      </c>
      <c r="G1206" s="4" t="s">
        <v>54</v>
      </c>
      <c r="H1206" s="4" t="s">
        <v>570</v>
      </c>
      <c r="I1206" s="4" t="s">
        <v>406</v>
      </c>
    </row>
    <row r="1207">
      <c r="A1207" s="7">
        <v>45604.610772685184</v>
      </c>
      <c r="B1207" s="4" t="s">
        <v>3062</v>
      </c>
      <c r="C1207" s="4" t="s">
        <v>3063</v>
      </c>
      <c r="D1207" s="4" t="s">
        <v>1151</v>
      </c>
      <c r="E1207" s="4" t="s">
        <v>345</v>
      </c>
      <c r="F1207" s="4" t="s">
        <v>3064</v>
      </c>
      <c r="G1207" s="4" t="s">
        <v>54</v>
      </c>
      <c r="H1207" s="4" t="s">
        <v>570</v>
      </c>
      <c r="I1207" s="4" t="s">
        <v>4292</v>
      </c>
    </row>
    <row r="1208">
      <c r="A1208" s="7">
        <v>45604.61269841435</v>
      </c>
      <c r="B1208" s="4" t="s">
        <v>3340</v>
      </c>
      <c r="C1208" s="4" t="s">
        <v>4293</v>
      </c>
      <c r="D1208" s="8" t="s">
        <v>1991</v>
      </c>
      <c r="E1208" s="4" t="s">
        <v>313</v>
      </c>
      <c r="F1208" s="4" t="s">
        <v>3343</v>
      </c>
      <c r="G1208" s="4" t="s">
        <v>251</v>
      </c>
      <c r="H1208" s="4" t="s">
        <v>570</v>
      </c>
      <c r="I1208" s="4" t="s">
        <v>2519</v>
      </c>
    </row>
    <row r="1209">
      <c r="A1209" s="7">
        <v>45604.61389354167</v>
      </c>
      <c r="B1209" s="4" t="s">
        <v>4294</v>
      </c>
      <c r="C1209" s="4" t="s">
        <v>4295</v>
      </c>
      <c r="D1209" s="4" t="s">
        <v>1617</v>
      </c>
      <c r="E1209" s="4" t="s">
        <v>17</v>
      </c>
      <c r="F1209" s="4" t="s">
        <v>4296</v>
      </c>
      <c r="G1209" s="4" t="s">
        <v>32</v>
      </c>
      <c r="H1209" s="4" t="s">
        <v>20</v>
      </c>
      <c r="I1209" s="4" t="s">
        <v>242</v>
      </c>
    </row>
    <row r="1210">
      <c r="A1210" s="7">
        <v>45604.61466141204</v>
      </c>
      <c r="B1210" s="4" t="s">
        <v>2628</v>
      </c>
      <c r="C1210" s="4" t="s">
        <v>2629</v>
      </c>
      <c r="D1210" s="8" t="s">
        <v>2630</v>
      </c>
      <c r="E1210" s="4" t="s">
        <v>17</v>
      </c>
      <c r="F1210" s="4" t="s">
        <v>2631</v>
      </c>
      <c r="G1210" s="4" t="s">
        <v>54</v>
      </c>
      <c r="H1210" s="4" t="s">
        <v>570</v>
      </c>
      <c r="I1210" s="4" t="s">
        <v>1407</v>
      </c>
    </row>
    <row r="1211">
      <c r="A1211" s="7">
        <v>45604.61641607639</v>
      </c>
      <c r="B1211" s="4" t="s">
        <v>2597</v>
      </c>
      <c r="C1211" s="4" t="s">
        <v>2598</v>
      </c>
      <c r="D1211" s="4" t="s">
        <v>1625</v>
      </c>
      <c r="E1211" s="4" t="s">
        <v>313</v>
      </c>
      <c r="F1211" s="4" t="s">
        <v>2599</v>
      </c>
      <c r="G1211" s="4" t="s">
        <v>54</v>
      </c>
      <c r="H1211" s="4" t="s">
        <v>570</v>
      </c>
      <c r="I1211" s="4" t="s">
        <v>2600</v>
      </c>
    </row>
    <row r="1212">
      <c r="A1212" s="7">
        <v>45604.61834119213</v>
      </c>
      <c r="B1212" s="4" t="s">
        <v>4297</v>
      </c>
      <c r="C1212" s="4" t="s">
        <v>4298</v>
      </c>
      <c r="D1212" s="8" t="s">
        <v>2273</v>
      </c>
      <c r="E1212" s="4" t="s">
        <v>313</v>
      </c>
      <c r="F1212" s="4" t="s">
        <v>4299</v>
      </c>
      <c r="G1212" s="4" t="s">
        <v>251</v>
      </c>
      <c r="H1212" s="4" t="s">
        <v>20</v>
      </c>
      <c r="I1212" s="4" t="s">
        <v>579</v>
      </c>
    </row>
    <row r="1213">
      <c r="A1213" s="7">
        <v>45604.618654398146</v>
      </c>
      <c r="B1213" s="4" t="s">
        <v>2459</v>
      </c>
      <c r="C1213" s="4" t="s">
        <v>2460</v>
      </c>
      <c r="D1213" s="4" t="s">
        <v>884</v>
      </c>
      <c r="E1213" s="4" t="s">
        <v>345</v>
      </c>
      <c r="F1213" s="4" t="s">
        <v>2461</v>
      </c>
      <c r="G1213" s="4" t="s">
        <v>32</v>
      </c>
      <c r="H1213" s="4" t="s">
        <v>570</v>
      </c>
      <c r="I1213" s="4" t="s">
        <v>308</v>
      </c>
    </row>
    <row r="1214">
      <c r="A1214" s="7">
        <v>45604.619108125</v>
      </c>
      <c r="B1214" s="4" t="s">
        <v>3268</v>
      </c>
      <c r="C1214" s="4" t="s">
        <v>3269</v>
      </c>
      <c r="D1214" s="8" t="s">
        <v>1991</v>
      </c>
      <c r="E1214" s="4" t="s">
        <v>313</v>
      </c>
      <c r="F1214" s="4" t="s">
        <v>3270</v>
      </c>
      <c r="G1214" s="4" t="s">
        <v>251</v>
      </c>
      <c r="H1214" s="4" t="s">
        <v>570</v>
      </c>
      <c r="I1214" s="4" t="s">
        <v>4300</v>
      </c>
    </row>
    <row r="1215">
      <c r="A1215" s="7">
        <v>45604.619931469904</v>
      </c>
      <c r="B1215" s="4" t="s">
        <v>3260</v>
      </c>
      <c r="C1215" s="4" t="s">
        <v>4301</v>
      </c>
      <c r="D1215" s="8" t="s">
        <v>1991</v>
      </c>
      <c r="E1215" s="4" t="s">
        <v>653</v>
      </c>
      <c r="F1215" s="4" t="s">
        <v>4302</v>
      </c>
      <c r="G1215" s="4" t="s">
        <v>251</v>
      </c>
      <c r="H1215" s="4" t="s">
        <v>570</v>
      </c>
      <c r="I1215" s="4" t="s">
        <v>4303</v>
      </c>
    </row>
    <row r="1216">
      <c r="A1216" s="7">
        <v>45604.62036050926</v>
      </c>
      <c r="B1216" s="4" t="s">
        <v>4304</v>
      </c>
      <c r="C1216" s="4" t="s">
        <v>1830</v>
      </c>
      <c r="D1216" s="4" t="s">
        <v>1831</v>
      </c>
      <c r="E1216" s="4" t="s">
        <v>956</v>
      </c>
      <c r="F1216" s="4" t="s">
        <v>4305</v>
      </c>
      <c r="G1216" s="4" t="s">
        <v>32</v>
      </c>
      <c r="H1216" s="4" t="s">
        <v>20</v>
      </c>
      <c r="I1216" s="4" t="s">
        <v>625</v>
      </c>
    </row>
    <row r="1217">
      <c r="A1217" s="7">
        <v>45604.622961608795</v>
      </c>
      <c r="B1217" s="4" t="s">
        <v>2613</v>
      </c>
      <c r="C1217" s="4" t="s">
        <v>4306</v>
      </c>
      <c r="D1217" s="8" t="s">
        <v>1991</v>
      </c>
      <c r="E1217" s="4" t="s">
        <v>1293</v>
      </c>
      <c r="F1217" s="4" t="s">
        <v>2616</v>
      </c>
      <c r="G1217" s="4" t="s">
        <v>251</v>
      </c>
      <c r="H1217" s="4" t="s">
        <v>570</v>
      </c>
      <c r="I1217" s="4" t="s">
        <v>434</v>
      </c>
    </row>
    <row r="1218">
      <c r="A1218" s="7">
        <v>45604.625023229164</v>
      </c>
      <c r="B1218" s="4" t="s">
        <v>4307</v>
      </c>
      <c r="C1218" s="4" t="s">
        <v>3877</v>
      </c>
      <c r="D1218" s="4" t="s">
        <v>965</v>
      </c>
      <c r="E1218" s="4" t="s">
        <v>345</v>
      </c>
      <c r="F1218" s="4" t="s">
        <v>4308</v>
      </c>
      <c r="G1218" s="4" t="s">
        <v>54</v>
      </c>
      <c r="H1218" s="4" t="s">
        <v>20</v>
      </c>
      <c r="I1218" s="4" t="s">
        <v>4309</v>
      </c>
    </row>
    <row r="1219">
      <c r="A1219" s="7">
        <v>45604.63098809028</v>
      </c>
      <c r="B1219" s="4" t="s">
        <v>3367</v>
      </c>
      <c r="C1219" s="4" t="s">
        <v>3368</v>
      </c>
      <c r="D1219" s="4" t="s">
        <v>767</v>
      </c>
      <c r="E1219" s="4" t="s">
        <v>345</v>
      </c>
      <c r="F1219" s="4" t="s">
        <v>3369</v>
      </c>
      <c r="G1219" s="4" t="s">
        <v>32</v>
      </c>
      <c r="H1219" s="4" t="s">
        <v>570</v>
      </c>
      <c r="I1219" s="4" t="s">
        <v>3300</v>
      </c>
    </row>
    <row r="1220">
      <c r="A1220" s="7">
        <v>45604.632405185184</v>
      </c>
      <c r="B1220" s="4" t="s">
        <v>4310</v>
      </c>
      <c r="C1220" s="4" t="s">
        <v>4311</v>
      </c>
      <c r="D1220" s="4" t="s">
        <v>3230</v>
      </c>
      <c r="E1220" s="4" t="s">
        <v>3081</v>
      </c>
      <c r="F1220" s="4" t="s">
        <v>4312</v>
      </c>
      <c r="G1220" s="4" t="s">
        <v>251</v>
      </c>
      <c r="H1220" s="4" t="s">
        <v>20</v>
      </c>
      <c r="I1220" s="4" t="s">
        <v>4313</v>
      </c>
    </row>
    <row r="1221">
      <c r="A1221" s="7">
        <v>45604.633179004624</v>
      </c>
      <c r="B1221" s="4" t="s">
        <v>4314</v>
      </c>
      <c r="C1221" s="4" t="s">
        <v>4315</v>
      </c>
      <c r="D1221" s="4" t="s">
        <v>4316</v>
      </c>
      <c r="E1221" s="4" t="s">
        <v>644</v>
      </c>
      <c r="F1221" s="4" t="s">
        <v>4317</v>
      </c>
      <c r="G1221" s="4" t="s">
        <v>3473</v>
      </c>
      <c r="H1221" s="4" t="s">
        <v>20</v>
      </c>
      <c r="I1221" s="4" t="s">
        <v>550</v>
      </c>
    </row>
    <row r="1222">
      <c r="A1222" s="7">
        <v>45604.639242708334</v>
      </c>
      <c r="B1222" s="4" t="s">
        <v>4318</v>
      </c>
      <c r="C1222" s="4" t="s">
        <v>4319</v>
      </c>
      <c r="D1222" s="4" t="s">
        <v>3230</v>
      </c>
      <c r="E1222" s="4" t="s">
        <v>313</v>
      </c>
      <c r="F1222" s="4" t="s">
        <v>4320</v>
      </c>
      <c r="G1222" s="4" t="s">
        <v>251</v>
      </c>
      <c r="H1222" s="4" t="s">
        <v>20</v>
      </c>
      <c r="I1222" s="4" t="s">
        <v>446</v>
      </c>
    </row>
    <row r="1223">
      <c r="A1223" s="7">
        <v>45604.642175381945</v>
      </c>
      <c r="B1223" s="4" t="s">
        <v>4321</v>
      </c>
      <c r="C1223" s="4" t="s">
        <v>4322</v>
      </c>
      <c r="D1223" s="4" t="s">
        <v>1079</v>
      </c>
      <c r="E1223" s="4" t="s">
        <v>432</v>
      </c>
      <c r="F1223" s="4" t="s">
        <v>4323</v>
      </c>
      <c r="G1223" s="4" t="s">
        <v>251</v>
      </c>
      <c r="H1223" s="4" t="s">
        <v>20</v>
      </c>
      <c r="I1223" s="4" t="s">
        <v>802</v>
      </c>
    </row>
    <row r="1224">
      <c r="A1224" s="7">
        <v>45607.35736638889</v>
      </c>
      <c r="B1224" s="4" t="s">
        <v>3445</v>
      </c>
      <c r="C1224" s="4" t="s">
        <v>4324</v>
      </c>
      <c r="D1224" s="4" t="s">
        <v>276</v>
      </c>
      <c r="E1224" s="4" t="s">
        <v>4325</v>
      </c>
      <c r="F1224" s="4" t="s">
        <v>3447</v>
      </c>
      <c r="G1224" s="4" t="s">
        <v>54</v>
      </c>
      <c r="H1224" s="4" t="s">
        <v>570</v>
      </c>
      <c r="I1224" s="4" t="s">
        <v>1086</v>
      </c>
    </row>
    <row r="1225">
      <c r="A1225" s="7">
        <v>45607.371779444446</v>
      </c>
      <c r="B1225" s="4" t="s">
        <v>2898</v>
      </c>
      <c r="C1225" s="4" t="s">
        <v>2899</v>
      </c>
      <c r="D1225" s="8" t="s">
        <v>2885</v>
      </c>
      <c r="E1225" s="4" t="s">
        <v>1159</v>
      </c>
      <c r="F1225" s="4" t="s">
        <v>2900</v>
      </c>
      <c r="G1225" s="4" t="s">
        <v>32</v>
      </c>
      <c r="H1225" s="4" t="s">
        <v>570</v>
      </c>
      <c r="I1225" s="4" t="s">
        <v>301</v>
      </c>
    </row>
    <row r="1226">
      <c r="A1226" s="7">
        <v>45607.37377097222</v>
      </c>
      <c r="B1226" s="4" t="s">
        <v>4327</v>
      </c>
      <c r="C1226" s="4" t="s">
        <v>4328</v>
      </c>
      <c r="D1226" s="8" t="s">
        <v>1568</v>
      </c>
      <c r="E1226" s="4" t="s">
        <v>137</v>
      </c>
      <c r="F1226" s="4" t="s">
        <v>4329</v>
      </c>
      <c r="G1226" s="4" t="s">
        <v>3473</v>
      </c>
      <c r="H1226" s="4" t="s">
        <v>20</v>
      </c>
      <c r="I1226" s="4" t="s">
        <v>2218</v>
      </c>
    </row>
    <row r="1227">
      <c r="A1227" s="7">
        <v>45607.42112135417</v>
      </c>
      <c r="B1227" s="4" t="s">
        <v>4330</v>
      </c>
      <c r="C1227" s="4" t="s">
        <v>4331</v>
      </c>
      <c r="D1227" s="4" t="s">
        <v>276</v>
      </c>
      <c r="E1227" s="4" t="s">
        <v>345</v>
      </c>
      <c r="F1227" s="4" t="s">
        <v>4332</v>
      </c>
      <c r="G1227" s="4" t="s">
        <v>54</v>
      </c>
      <c r="H1227" s="4" t="s">
        <v>20</v>
      </c>
      <c r="I1227" s="4" t="s">
        <v>690</v>
      </c>
    </row>
    <row r="1228">
      <c r="A1228" s="7">
        <v>45607.38600722222</v>
      </c>
      <c r="B1228" s="4" t="s">
        <v>4333</v>
      </c>
      <c r="C1228" s="4" t="s">
        <v>4334</v>
      </c>
      <c r="D1228" s="8" t="s">
        <v>4335</v>
      </c>
      <c r="E1228" s="4" t="s">
        <v>17</v>
      </c>
      <c r="F1228" s="4" t="s">
        <v>4336</v>
      </c>
      <c r="G1228" s="4" t="s">
        <v>19</v>
      </c>
      <c r="H1228" s="4" t="s">
        <v>20</v>
      </c>
      <c r="I1228" s="4" t="s">
        <v>190</v>
      </c>
    </row>
    <row r="1229">
      <c r="A1229" s="7">
        <v>45607.40299002315</v>
      </c>
      <c r="B1229" s="4" t="s">
        <v>4337</v>
      </c>
      <c r="C1229" s="4" t="s">
        <v>4338</v>
      </c>
      <c r="D1229" s="4" t="s">
        <v>1309</v>
      </c>
      <c r="E1229" s="4" t="s">
        <v>528</v>
      </c>
      <c r="F1229" s="4" t="s">
        <v>4339</v>
      </c>
      <c r="G1229" s="4" t="s">
        <v>32</v>
      </c>
      <c r="H1229" s="4" t="s">
        <v>20</v>
      </c>
      <c r="I1229" s="4" t="s">
        <v>375</v>
      </c>
    </row>
    <row r="1230">
      <c r="A1230" s="7">
        <v>45607.410950439815</v>
      </c>
      <c r="B1230" s="4" t="s">
        <v>4340</v>
      </c>
      <c r="C1230" s="4" t="s">
        <v>4341</v>
      </c>
      <c r="D1230" s="8" t="s">
        <v>1568</v>
      </c>
      <c r="E1230" s="4" t="s">
        <v>528</v>
      </c>
      <c r="F1230" s="4" t="s">
        <v>4342</v>
      </c>
      <c r="G1230" s="4" t="s">
        <v>32</v>
      </c>
      <c r="H1230" s="4" t="s">
        <v>20</v>
      </c>
      <c r="I1230" s="4" t="s">
        <v>308</v>
      </c>
    </row>
    <row r="1231">
      <c r="A1231" s="7">
        <v>45607.411996111114</v>
      </c>
      <c r="B1231" s="4" t="s">
        <v>4343</v>
      </c>
      <c r="C1231" s="4" t="s">
        <v>4344</v>
      </c>
      <c r="D1231" s="4" t="s">
        <v>1515</v>
      </c>
      <c r="E1231" s="4" t="s">
        <v>754</v>
      </c>
      <c r="F1231" s="4" t="s">
        <v>4345</v>
      </c>
      <c r="G1231" s="4" t="s">
        <v>251</v>
      </c>
      <c r="H1231" s="4" t="s">
        <v>20</v>
      </c>
      <c r="I1231" s="4" t="s">
        <v>2593</v>
      </c>
    </row>
    <row r="1232">
      <c r="A1232" s="7">
        <v>45607.41286931713</v>
      </c>
      <c r="B1232" s="4" t="s">
        <v>4347</v>
      </c>
      <c r="C1232" s="4" t="s">
        <v>4348</v>
      </c>
      <c r="D1232" s="4" t="s">
        <v>1515</v>
      </c>
      <c r="E1232" s="4" t="s">
        <v>754</v>
      </c>
      <c r="F1232" s="4" t="s">
        <v>4349</v>
      </c>
      <c r="G1232" s="4" t="s">
        <v>251</v>
      </c>
      <c r="H1232" s="4" t="s">
        <v>20</v>
      </c>
      <c r="I1232" s="4" t="s">
        <v>479</v>
      </c>
    </row>
    <row r="1233">
      <c r="A1233" s="7">
        <v>45607.419032881946</v>
      </c>
      <c r="B1233" s="4" t="s">
        <v>3319</v>
      </c>
      <c r="C1233" s="4" t="s">
        <v>3320</v>
      </c>
      <c r="D1233" s="4" t="s">
        <v>1478</v>
      </c>
      <c r="E1233" s="4" t="s">
        <v>345</v>
      </c>
      <c r="F1233" s="4" t="s">
        <v>4350</v>
      </c>
      <c r="G1233" s="4" t="s">
        <v>32</v>
      </c>
      <c r="H1233" s="4" t="s">
        <v>570</v>
      </c>
      <c r="I1233" s="4" t="s">
        <v>242</v>
      </c>
    </row>
    <row r="1234">
      <c r="A1234" s="7">
        <v>45607.420155879634</v>
      </c>
      <c r="B1234" s="4" t="s">
        <v>3327</v>
      </c>
      <c r="C1234" s="4" t="s">
        <v>3323</v>
      </c>
      <c r="D1234" s="4" t="s">
        <v>1478</v>
      </c>
      <c r="E1234" s="4" t="s">
        <v>345</v>
      </c>
      <c r="F1234" s="4" t="s">
        <v>3328</v>
      </c>
      <c r="G1234" s="4" t="s">
        <v>32</v>
      </c>
      <c r="H1234" s="4" t="s">
        <v>570</v>
      </c>
      <c r="I1234" s="4" t="s">
        <v>139</v>
      </c>
    </row>
    <row r="1235">
      <c r="A1235" s="7">
        <v>45607.421702673615</v>
      </c>
      <c r="B1235" s="4" t="s">
        <v>3570</v>
      </c>
      <c r="C1235" s="4" t="s">
        <v>3571</v>
      </c>
      <c r="D1235" s="8" t="s">
        <v>3266</v>
      </c>
      <c r="E1235" s="4" t="s">
        <v>345</v>
      </c>
      <c r="F1235" s="4" t="s">
        <v>3572</v>
      </c>
      <c r="G1235" s="4" t="s">
        <v>54</v>
      </c>
      <c r="H1235" s="4" t="s">
        <v>570</v>
      </c>
      <c r="I1235" s="4" t="s">
        <v>3586</v>
      </c>
    </row>
    <row r="1236">
      <c r="A1236" s="7">
        <v>45607.42278502315</v>
      </c>
      <c r="B1236" s="4" t="s">
        <v>3264</v>
      </c>
      <c r="C1236" s="4" t="s">
        <v>3265</v>
      </c>
      <c r="D1236" s="8" t="s">
        <v>4351</v>
      </c>
      <c r="E1236" s="4" t="s">
        <v>345</v>
      </c>
      <c r="F1236" s="4" t="s">
        <v>3267</v>
      </c>
      <c r="G1236" s="4" t="s">
        <v>54</v>
      </c>
      <c r="H1236" s="4" t="s">
        <v>570</v>
      </c>
      <c r="I1236" s="4" t="s">
        <v>1056</v>
      </c>
    </row>
    <row r="1237">
      <c r="A1237" s="7">
        <v>45607.423734930555</v>
      </c>
      <c r="B1237" s="4" t="s">
        <v>3566</v>
      </c>
      <c r="C1237" s="4" t="s">
        <v>3567</v>
      </c>
      <c r="D1237" s="8" t="s">
        <v>3266</v>
      </c>
      <c r="E1237" s="4" t="s">
        <v>345</v>
      </c>
      <c r="F1237" s="4" t="s">
        <v>3569</v>
      </c>
      <c r="G1237" s="4" t="s">
        <v>54</v>
      </c>
      <c r="H1237" s="4" t="s">
        <v>570</v>
      </c>
      <c r="I1237" s="4" t="s">
        <v>1126</v>
      </c>
    </row>
    <row r="1238">
      <c r="A1238" s="7">
        <v>45607.424735162036</v>
      </c>
      <c r="B1238" s="4" t="s">
        <v>3412</v>
      </c>
      <c r="C1238" s="4" t="s">
        <v>3413</v>
      </c>
      <c r="D1238" s="4" t="s">
        <v>3422</v>
      </c>
      <c r="E1238" s="4" t="s">
        <v>1864</v>
      </c>
      <c r="F1238" s="4" t="s">
        <v>3414</v>
      </c>
      <c r="G1238" s="4" t="s">
        <v>54</v>
      </c>
      <c r="H1238" s="4" t="s">
        <v>570</v>
      </c>
      <c r="I1238" s="4" t="s">
        <v>1529</v>
      </c>
    </row>
    <row r="1239">
      <c r="A1239" s="7">
        <v>45607.42520805556</v>
      </c>
      <c r="B1239" s="4" t="s">
        <v>4352</v>
      </c>
      <c r="C1239" s="4" t="s">
        <v>4353</v>
      </c>
      <c r="D1239" s="8" t="s">
        <v>987</v>
      </c>
      <c r="E1239" s="4" t="s">
        <v>313</v>
      </c>
      <c r="F1239" s="4" t="s">
        <v>4354</v>
      </c>
      <c r="G1239" s="4" t="s">
        <v>251</v>
      </c>
      <c r="H1239" s="4" t="s">
        <v>20</v>
      </c>
      <c r="I1239" s="4" t="s">
        <v>815</v>
      </c>
    </row>
    <row r="1240">
      <c r="A1240" s="7">
        <v>45607.42579702546</v>
      </c>
      <c r="B1240" s="4" t="s">
        <v>3638</v>
      </c>
      <c r="C1240" s="4" t="s">
        <v>231</v>
      </c>
      <c r="D1240" s="4" t="s">
        <v>373</v>
      </c>
      <c r="E1240" s="4" t="s">
        <v>345</v>
      </c>
      <c r="F1240" s="4" t="s">
        <v>3639</v>
      </c>
      <c r="G1240" s="4" t="s">
        <v>54</v>
      </c>
      <c r="H1240" s="4" t="s">
        <v>570</v>
      </c>
      <c r="I1240" s="4" t="s">
        <v>839</v>
      </c>
    </row>
    <row r="1241">
      <c r="A1241" s="7">
        <v>45607.44411696759</v>
      </c>
      <c r="B1241" s="4" t="s">
        <v>4355</v>
      </c>
      <c r="C1241" s="4" t="s">
        <v>4356</v>
      </c>
      <c r="D1241" s="8" t="s">
        <v>1718</v>
      </c>
      <c r="E1241" s="4" t="s">
        <v>2249</v>
      </c>
      <c r="F1241" s="4" t="s">
        <v>4357</v>
      </c>
      <c r="G1241" s="4" t="s">
        <v>54</v>
      </c>
      <c r="H1241" s="4" t="s">
        <v>20</v>
      </c>
      <c r="I1241" s="4" t="s">
        <v>4358</v>
      </c>
    </row>
    <row r="1242">
      <c r="A1242" s="7">
        <v>45607.446170509254</v>
      </c>
      <c r="B1242" s="4" t="s">
        <v>4359</v>
      </c>
      <c r="C1242" s="4" t="s">
        <v>4360</v>
      </c>
      <c r="D1242" s="8" t="s">
        <v>4361</v>
      </c>
      <c r="E1242" s="4" t="s">
        <v>17</v>
      </c>
      <c r="F1242" s="4" t="s">
        <v>4362</v>
      </c>
      <c r="G1242" s="4" t="s">
        <v>54</v>
      </c>
      <c r="H1242" s="4" t="s">
        <v>20</v>
      </c>
      <c r="I1242" s="4" t="s">
        <v>4363</v>
      </c>
    </row>
    <row r="1243">
      <c r="A1243" s="7">
        <v>45607.45589111111</v>
      </c>
      <c r="B1243" s="4" t="s">
        <v>4364</v>
      </c>
      <c r="C1243" s="4" t="s">
        <v>4365</v>
      </c>
      <c r="D1243" s="4" t="s">
        <v>996</v>
      </c>
      <c r="E1243" s="4" t="s">
        <v>17</v>
      </c>
      <c r="F1243" s="4" t="s">
        <v>4366</v>
      </c>
      <c r="G1243" s="4" t="s">
        <v>3473</v>
      </c>
      <c r="H1243" s="4" t="s">
        <v>20</v>
      </c>
      <c r="I1243" s="4" t="s">
        <v>42</v>
      </c>
    </row>
    <row r="1244">
      <c r="A1244" s="7">
        <v>45607.45826861111</v>
      </c>
      <c r="B1244" s="4" t="s">
        <v>4367</v>
      </c>
      <c r="C1244" s="4" t="s">
        <v>4368</v>
      </c>
      <c r="D1244" s="4" t="s">
        <v>283</v>
      </c>
      <c r="E1244" s="4" t="s">
        <v>1719</v>
      </c>
      <c r="F1244" s="4" t="s">
        <v>4369</v>
      </c>
      <c r="G1244" s="4" t="s">
        <v>251</v>
      </c>
      <c r="H1244" s="4" t="s">
        <v>20</v>
      </c>
      <c r="I1244" s="4" t="s">
        <v>3590</v>
      </c>
    </row>
    <row r="1245">
      <c r="A1245" s="7">
        <v>45607.46058291667</v>
      </c>
      <c r="B1245" s="4" t="s">
        <v>4370</v>
      </c>
      <c r="C1245" s="4" t="s">
        <v>4371</v>
      </c>
      <c r="D1245" s="4" t="s">
        <v>4372</v>
      </c>
      <c r="E1245" s="4" t="s">
        <v>345</v>
      </c>
      <c r="F1245" s="4" t="s">
        <v>4373</v>
      </c>
      <c r="G1245" s="4" t="s">
        <v>32</v>
      </c>
      <c r="H1245" s="4" t="s">
        <v>20</v>
      </c>
      <c r="I1245" s="4" t="s">
        <v>4374</v>
      </c>
    </row>
    <row r="1246">
      <c r="A1246" s="7">
        <v>45607.46174431713</v>
      </c>
      <c r="B1246" s="4" t="s">
        <v>4375</v>
      </c>
      <c r="C1246" s="4" t="s">
        <v>4376</v>
      </c>
      <c r="D1246" s="4" t="s">
        <v>4372</v>
      </c>
      <c r="E1246" s="4" t="s">
        <v>2486</v>
      </c>
      <c r="F1246" s="4" t="s">
        <v>4377</v>
      </c>
      <c r="G1246" s="4" t="s">
        <v>32</v>
      </c>
      <c r="H1246" s="4" t="s">
        <v>20</v>
      </c>
      <c r="I1246" s="4" t="s">
        <v>196</v>
      </c>
    </row>
    <row r="1247">
      <c r="A1247" s="7">
        <v>45607.467446180555</v>
      </c>
      <c r="B1247" s="4" t="s">
        <v>4378</v>
      </c>
      <c r="C1247" s="4" t="s">
        <v>4379</v>
      </c>
      <c r="D1247" s="8" t="s">
        <v>344</v>
      </c>
      <c r="E1247" s="4" t="s">
        <v>313</v>
      </c>
      <c r="F1247" s="4" t="s">
        <v>4380</v>
      </c>
      <c r="G1247" s="4" t="s">
        <v>54</v>
      </c>
      <c r="H1247" s="4" t="s">
        <v>20</v>
      </c>
      <c r="I1247" s="4" t="s">
        <v>1024</v>
      </c>
    </row>
    <row r="1248">
      <c r="A1248" s="7">
        <v>45607.47770898148</v>
      </c>
      <c r="B1248" s="4" t="s">
        <v>4381</v>
      </c>
      <c r="C1248" s="4" t="s">
        <v>4382</v>
      </c>
      <c r="D1248" s="4" t="s">
        <v>4383</v>
      </c>
      <c r="E1248" s="4" t="s">
        <v>78</v>
      </c>
      <c r="F1248" s="4" t="s">
        <v>4384</v>
      </c>
      <c r="G1248" s="4" t="s">
        <v>32</v>
      </c>
      <c r="H1248" s="4" t="s">
        <v>20</v>
      </c>
      <c r="I1248" s="4" t="s">
        <v>26</v>
      </c>
    </row>
    <row r="1249">
      <c r="A1249" s="7">
        <v>45607.55046506945</v>
      </c>
      <c r="B1249" s="4" t="s">
        <v>2783</v>
      </c>
      <c r="C1249" s="4" t="s">
        <v>2784</v>
      </c>
      <c r="D1249" s="4" t="s">
        <v>834</v>
      </c>
      <c r="E1249" s="4" t="s">
        <v>345</v>
      </c>
      <c r="F1249" s="4" t="s">
        <v>2785</v>
      </c>
      <c r="G1249" s="4" t="s">
        <v>32</v>
      </c>
      <c r="H1249" s="4" t="s">
        <v>570</v>
      </c>
      <c r="I1249" s="4" t="s">
        <v>86</v>
      </c>
    </row>
    <row r="1250">
      <c r="A1250" s="7">
        <v>45607.55936010416</v>
      </c>
      <c r="B1250" s="4" t="s">
        <v>4385</v>
      </c>
      <c r="C1250" s="4" t="s">
        <v>4386</v>
      </c>
      <c r="D1250" s="4" t="s">
        <v>326</v>
      </c>
      <c r="E1250" s="4" t="s">
        <v>313</v>
      </c>
      <c r="F1250" s="4" t="s">
        <v>4387</v>
      </c>
      <c r="G1250" s="4" t="s">
        <v>251</v>
      </c>
      <c r="H1250" s="4" t="s">
        <v>20</v>
      </c>
      <c r="I1250" s="4" t="s">
        <v>1344</v>
      </c>
    </row>
    <row r="1251">
      <c r="A1251" s="7">
        <v>45607.559473009256</v>
      </c>
      <c r="B1251" s="4" t="s">
        <v>4388</v>
      </c>
      <c r="C1251" s="4" t="s">
        <v>4389</v>
      </c>
      <c r="D1251" s="8" t="s">
        <v>4390</v>
      </c>
      <c r="E1251" s="4" t="s">
        <v>644</v>
      </c>
      <c r="F1251" s="4" t="s">
        <v>4391</v>
      </c>
      <c r="G1251" s="4" t="s">
        <v>54</v>
      </c>
      <c r="H1251" s="4" t="s">
        <v>20</v>
      </c>
      <c r="I1251" s="4" t="s">
        <v>1126</v>
      </c>
    </row>
    <row r="1252">
      <c r="A1252" s="7">
        <v>45607.56834709491</v>
      </c>
      <c r="B1252" s="4" t="s">
        <v>4392</v>
      </c>
      <c r="C1252" s="4" t="s">
        <v>4393</v>
      </c>
      <c r="D1252" s="4" t="s">
        <v>2796</v>
      </c>
      <c r="E1252" s="4" t="s">
        <v>313</v>
      </c>
      <c r="F1252" s="4" t="s">
        <v>4394</v>
      </c>
      <c r="G1252" s="4" t="s">
        <v>251</v>
      </c>
      <c r="H1252" s="4" t="s">
        <v>20</v>
      </c>
      <c r="I1252" s="4" t="s">
        <v>1454</v>
      </c>
    </row>
    <row r="1253">
      <c r="A1253" s="7">
        <v>45607.56920408565</v>
      </c>
      <c r="B1253" s="4" t="s">
        <v>4395</v>
      </c>
      <c r="C1253" s="4" t="s">
        <v>4396</v>
      </c>
      <c r="D1253" s="4" t="s">
        <v>2796</v>
      </c>
      <c r="E1253" s="4" t="s">
        <v>313</v>
      </c>
      <c r="F1253" s="4" t="s">
        <v>4397</v>
      </c>
      <c r="G1253" s="4" t="s">
        <v>251</v>
      </c>
      <c r="H1253" s="4" t="s">
        <v>20</v>
      </c>
      <c r="I1253" s="4" t="s">
        <v>4398</v>
      </c>
    </row>
    <row r="1254">
      <c r="A1254" s="7">
        <v>45607.56995497685</v>
      </c>
      <c r="B1254" s="4" t="s">
        <v>4399</v>
      </c>
      <c r="C1254" s="4" t="s">
        <v>4400</v>
      </c>
      <c r="D1254" s="8" t="s">
        <v>2414</v>
      </c>
      <c r="E1254" s="4" t="s">
        <v>345</v>
      </c>
      <c r="F1254" s="4" t="s">
        <v>4401</v>
      </c>
      <c r="G1254" s="4" t="s">
        <v>54</v>
      </c>
      <c r="H1254" s="4" t="s">
        <v>20</v>
      </c>
      <c r="I1254" s="4" t="s">
        <v>4402</v>
      </c>
    </row>
    <row r="1255">
      <c r="A1255" s="7">
        <v>45607.58612118056</v>
      </c>
      <c r="B1255" s="4" t="s">
        <v>4403</v>
      </c>
      <c r="C1255" s="4" t="s">
        <v>4404</v>
      </c>
      <c r="D1255" s="4" t="s">
        <v>2472</v>
      </c>
      <c r="E1255" s="4" t="s">
        <v>345</v>
      </c>
      <c r="F1255" s="4" t="s">
        <v>4405</v>
      </c>
      <c r="G1255" s="4" t="s">
        <v>3473</v>
      </c>
      <c r="H1255" s="4" t="s">
        <v>20</v>
      </c>
      <c r="I1255" s="4" t="s">
        <v>279</v>
      </c>
    </row>
    <row r="1256">
      <c r="A1256" s="7">
        <v>45607.57487538195</v>
      </c>
      <c r="B1256" s="4" t="s">
        <v>4406</v>
      </c>
      <c r="C1256" s="4" t="s">
        <v>4407</v>
      </c>
      <c r="D1256" s="4" t="s">
        <v>2730</v>
      </c>
      <c r="E1256" s="4" t="s">
        <v>17</v>
      </c>
      <c r="F1256" s="4" t="s">
        <v>4408</v>
      </c>
      <c r="G1256" s="4" t="s">
        <v>32</v>
      </c>
      <c r="H1256" s="4" t="s">
        <v>20</v>
      </c>
      <c r="I1256" s="4" t="s">
        <v>74</v>
      </c>
    </row>
    <row r="1257">
      <c r="A1257" s="7">
        <v>45607.57947611111</v>
      </c>
      <c r="B1257" s="4" t="s">
        <v>4409</v>
      </c>
      <c r="C1257" s="4" t="s">
        <v>4410</v>
      </c>
      <c r="D1257" s="8" t="s">
        <v>4411</v>
      </c>
      <c r="E1257" s="4" t="s">
        <v>345</v>
      </c>
      <c r="F1257" s="4" t="s">
        <v>4412</v>
      </c>
      <c r="G1257" s="4" t="s">
        <v>54</v>
      </c>
      <c r="H1257" s="4" t="s">
        <v>20</v>
      </c>
      <c r="I1257" s="4" t="s">
        <v>1548</v>
      </c>
    </row>
    <row r="1258">
      <c r="A1258" s="7">
        <v>45607.58065099537</v>
      </c>
      <c r="B1258" s="4" t="s">
        <v>1480</v>
      </c>
      <c r="C1258" s="4" t="s">
        <v>4413</v>
      </c>
      <c r="D1258" s="4" t="s">
        <v>1451</v>
      </c>
      <c r="E1258" s="4" t="s">
        <v>517</v>
      </c>
      <c r="F1258" s="4" t="s">
        <v>4414</v>
      </c>
      <c r="G1258" s="4" t="s">
        <v>54</v>
      </c>
      <c r="H1258" s="4" t="s">
        <v>570</v>
      </c>
      <c r="I1258" s="4" t="s">
        <v>499</v>
      </c>
    </row>
    <row r="1259">
      <c r="A1259" s="7">
        <v>45607.58682280093</v>
      </c>
      <c r="B1259" s="4" t="s">
        <v>4415</v>
      </c>
      <c r="C1259" s="4" t="s">
        <v>4416</v>
      </c>
      <c r="D1259" s="4" t="s">
        <v>4417</v>
      </c>
      <c r="E1259" s="4" t="s">
        <v>956</v>
      </c>
      <c r="F1259" s="4" t="s">
        <v>4418</v>
      </c>
      <c r="G1259" s="4" t="s">
        <v>3473</v>
      </c>
      <c r="H1259" s="4" t="s">
        <v>20</v>
      </c>
      <c r="I1259" s="4" t="s">
        <v>181</v>
      </c>
    </row>
    <row r="1260">
      <c r="A1260" s="7">
        <v>45607.58855666667</v>
      </c>
      <c r="B1260" s="4" t="s">
        <v>4419</v>
      </c>
      <c r="C1260" s="4" t="s">
        <v>4420</v>
      </c>
      <c r="D1260" s="4" t="s">
        <v>527</v>
      </c>
      <c r="E1260" s="4" t="s">
        <v>1159</v>
      </c>
      <c r="F1260" s="4" t="s">
        <v>4421</v>
      </c>
      <c r="G1260" s="4" t="s">
        <v>32</v>
      </c>
      <c r="H1260" s="4" t="s">
        <v>20</v>
      </c>
      <c r="I1260" s="4" t="s">
        <v>1808</v>
      </c>
    </row>
    <row r="1261">
      <c r="A1261" s="7">
        <v>45607.58909472222</v>
      </c>
      <c r="B1261" s="4" t="s">
        <v>4422</v>
      </c>
      <c r="C1261" s="4" t="s">
        <v>4423</v>
      </c>
      <c r="D1261" s="4" t="s">
        <v>1382</v>
      </c>
      <c r="E1261" s="4" t="s">
        <v>3000</v>
      </c>
      <c r="F1261" s="4" t="s">
        <v>4424</v>
      </c>
      <c r="G1261" s="4" t="s">
        <v>251</v>
      </c>
      <c r="H1261" s="4" t="s">
        <v>20</v>
      </c>
      <c r="I1261" s="4" t="s">
        <v>524</v>
      </c>
    </row>
    <row r="1262">
      <c r="A1262" s="7">
        <v>45607.5974305787</v>
      </c>
      <c r="B1262" s="4" t="s">
        <v>4425</v>
      </c>
      <c r="C1262" s="4" t="s">
        <v>3015</v>
      </c>
      <c r="D1262" s="8" t="s">
        <v>150</v>
      </c>
      <c r="E1262" s="4" t="s">
        <v>345</v>
      </c>
      <c r="F1262" s="4" t="s">
        <v>4426</v>
      </c>
      <c r="G1262" s="4" t="s">
        <v>54</v>
      </c>
      <c r="H1262" s="4" t="s">
        <v>20</v>
      </c>
      <c r="I1262" s="4" t="s">
        <v>489</v>
      </c>
    </row>
    <row r="1263">
      <c r="A1263" s="7">
        <v>45607.6010590625</v>
      </c>
      <c r="B1263" s="4" t="s">
        <v>4427</v>
      </c>
      <c r="C1263" s="4" t="s">
        <v>4428</v>
      </c>
      <c r="D1263" s="8" t="s">
        <v>4429</v>
      </c>
      <c r="E1263" s="4" t="s">
        <v>313</v>
      </c>
      <c r="F1263" s="4" t="s">
        <v>4430</v>
      </c>
      <c r="G1263" s="4" t="s">
        <v>251</v>
      </c>
      <c r="H1263" s="4" t="s">
        <v>20</v>
      </c>
      <c r="I1263" s="4" t="s">
        <v>1458</v>
      </c>
    </row>
    <row r="1264">
      <c r="A1264" s="7">
        <v>45607.602016770834</v>
      </c>
      <c r="B1264" s="4" t="s">
        <v>4431</v>
      </c>
      <c r="C1264" s="4" t="s">
        <v>4432</v>
      </c>
      <c r="D1264" s="4" t="s">
        <v>1515</v>
      </c>
      <c r="E1264" s="4" t="s">
        <v>313</v>
      </c>
      <c r="F1264" s="4" t="s">
        <v>4433</v>
      </c>
      <c r="G1264" s="4" t="s">
        <v>251</v>
      </c>
      <c r="H1264" s="4" t="s">
        <v>20</v>
      </c>
      <c r="I1264" s="4" t="s">
        <v>579</v>
      </c>
    </row>
    <row r="1265">
      <c r="A1265" s="7">
        <v>45607.602616759264</v>
      </c>
      <c r="B1265" s="4" t="s">
        <v>4434</v>
      </c>
      <c r="C1265" s="4" t="s">
        <v>4435</v>
      </c>
      <c r="D1265" s="4" t="s">
        <v>1515</v>
      </c>
      <c r="E1265" s="4" t="s">
        <v>754</v>
      </c>
      <c r="F1265" s="4" t="s">
        <v>4436</v>
      </c>
      <c r="G1265" s="4" t="s">
        <v>251</v>
      </c>
      <c r="H1265" s="4" t="s">
        <v>20</v>
      </c>
      <c r="I1265" s="4" t="s">
        <v>1570</v>
      </c>
    </row>
    <row r="1266">
      <c r="A1266" s="7">
        <v>45607.605434930556</v>
      </c>
      <c r="B1266" s="4" t="s">
        <v>4437</v>
      </c>
      <c r="C1266" s="4" t="s">
        <v>4438</v>
      </c>
      <c r="D1266" s="4" t="s">
        <v>2472</v>
      </c>
      <c r="E1266" s="4" t="s">
        <v>137</v>
      </c>
      <c r="F1266" s="4" t="s">
        <v>4439</v>
      </c>
      <c r="G1266" s="4" t="s">
        <v>3473</v>
      </c>
      <c r="H1266" s="4" t="s">
        <v>20</v>
      </c>
      <c r="I1266" s="4" t="s">
        <v>272</v>
      </c>
    </row>
    <row r="1267">
      <c r="A1267" s="7">
        <v>45607.60907453704</v>
      </c>
      <c r="B1267" s="4" t="s">
        <v>4440</v>
      </c>
      <c r="C1267" s="4" t="s">
        <v>4441</v>
      </c>
      <c r="D1267" s="4" t="s">
        <v>2040</v>
      </c>
      <c r="E1267" s="4" t="s">
        <v>345</v>
      </c>
      <c r="F1267" s="4" t="s">
        <v>4442</v>
      </c>
      <c r="G1267" s="4" t="s">
        <v>32</v>
      </c>
      <c r="H1267" s="4" t="s">
        <v>20</v>
      </c>
      <c r="I1267" s="4" t="s">
        <v>640</v>
      </c>
    </row>
    <row r="1268">
      <c r="A1268" s="7">
        <v>45607.609397430555</v>
      </c>
      <c r="B1268" s="4" t="s">
        <v>4443</v>
      </c>
      <c r="C1268" s="4" t="s">
        <v>4444</v>
      </c>
      <c r="D1268" s="4" t="s">
        <v>339</v>
      </c>
      <c r="E1268" s="4" t="s">
        <v>313</v>
      </c>
      <c r="F1268" s="4" t="s">
        <v>4445</v>
      </c>
      <c r="G1268" s="4" t="s">
        <v>251</v>
      </c>
      <c r="H1268" s="4" t="s">
        <v>570</v>
      </c>
      <c r="I1268" s="4" t="s">
        <v>726</v>
      </c>
    </row>
    <row r="1269">
      <c r="A1269" s="7">
        <v>45607.609753067125</v>
      </c>
      <c r="B1269" s="4" t="s">
        <v>4446</v>
      </c>
      <c r="C1269" s="4" t="s">
        <v>4447</v>
      </c>
      <c r="D1269" s="8" t="s">
        <v>4448</v>
      </c>
      <c r="E1269" s="4" t="s">
        <v>4449</v>
      </c>
      <c r="F1269" s="4" t="s">
        <v>4450</v>
      </c>
      <c r="G1269" s="4" t="s">
        <v>3473</v>
      </c>
      <c r="H1269" s="4" t="s">
        <v>20</v>
      </c>
      <c r="I1269" s="4" t="s">
        <v>4451</v>
      </c>
    </row>
    <row r="1270">
      <c r="A1270" s="7">
        <v>45607.61285844907</v>
      </c>
      <c r="B1270" s="4" t="s">
        <v>4452</v>
      </c>
      <c r="C1270" s="4" t="s">
        <v>4454</v>
      </c>
      <c r="D1270" s="8" t="s">
        <v>4455</v>
      </c>
      <c r="E1270" s="4" t="s">
        <v>517</v>
      </c>
      <c r="F1270" s="4" t="s">
        <v>4456</v>
      </c>
      <c r="G1270" s="4" t="s">
        <v>19</v>
      </c>
      <c r="H1270" s="4" t="s">
        <v>20</v>
      </c>
      <c r="I1270" s="4" t="s">
        <v>530</v>
      </c>
    </row>
    <row r="1271">
      <c r="A1271" s="7">
        <v>45607.61732826389</v>
      </c>
      <c r="B1271" s="4" t="s">
        <v>4457</v>
      </c>
      <c r="C1271" s="4" t="s">
        <v>4458</v>
      </c>
      <c r="D1271" s="8" t="s">
        <v>4459</v>
      </c>
      <c r="E1271" s="4" t="s">
        <v>17</v>
      </c>
      <c r="F1271" s="4" t="s">
        <v>4460</v>
      </c>
      <c r="G1271" s="4" t="s">
        <v>19</v>
      </c>
      <c r="H1271" s="4" t="s">
        <v>20</v>
      </c>
      <c r="I1271" s="4" t="s">
        <v>181</v>
      </c>
    </row>
    <row r="1272">
      <c r="A1272" s="7">
        <v>45607.62588112269</v>
      </c>
      <c r="B1272" s="4" t="s">
        <v>4461</v>
      </c>
      <c r="C1272" s="4" t="s">
        <v>4462</v>
      </c>
      <c r="D1272" s="4" t="s">
        <v>4463</v>
      </c>
      <c r="E1272" s="4" t="s">
        <v>763</v>
      </c>
      <c r="F1272" s="4" t="s">
        <v>4464</v>
      </c>
      <c r="G1272" s="4" t="s">
        <v>251</v>
      </c>
      <c r="H1272" s="4" t="s">
        <v>20</v>
      </c>
      <c r="I1272" s="4" t="s">
        <v>406</v>
      </c>
    </row>
    <row r="1273">
      <c r="A1273" s="7">
        <v>45607.626805277774</v>
      </c>
      <c r="B1273" s="4" t="s">
        <v>4465</v>
      </c>
      <c r="C1273" s="4" t="s">
        <v>4466</v>
      </c>
      <c r="D1273" s="8" t="s">
        <v>4467</v>
      </c>
      <c r="E1273" s="4" t="s">
        <v>345</v>
      </c>
      <c r="F1273" s="4" t="s">
        <v>4468</v>
      </c>
      <c r="G1273" s="4" t="s">
        <v>54</v>
      </c>
      <c r="H1273" s="4" t="s">
        <v>20</v>
      </c>
      <c r="I1273" s="4" t="s">
        <v>1548</v>
      </c>
    </row>
    <row r="1274">
      <c r="A1274" s="7">
        <v>45607.626991111116</v>
      </c>
      <c r="B1274" s="4" t="s">
        <v>4469</v>
      </c>
      <c r="C1274" s="4" t="s">
        <v>4470</v>
      </c>
      <c r="D1274" s="4" t="s">
        <v>1811</v>
      </c>
      <c r="E1274" s="4" t="s">
        <v>1159</v>
      </c>
      <c r="F1274" s="4" t="s">
        <v>4471</v>
      </c>
      <c r="G1274" s="4" t="s">
        <v>32</v>
      </c>
      <c r="H1274" s="4" t="s">
        <v>20</v>
      </c>
      <c r="I1274" s="4" t="s">
        <v>2979</v>
      </c>
    </row>
    <row r="1275">
      <c r="A1275" s="7">
        <v>45607.628093865744</v>
      </c>
      <c r="B1275" s="4" t="s">
        <v>4472</v>
      </c>
      <c r="C1275" s="4" t="s">
        <v>4473</v>
      </c>
      <c r="D1275" s="8" t="s">
        <v>4474</v>
      </c>
      <c r="E1275" s="4" t="s">
        <v>17</v>
      </c>
      <c r="F1275" s="4" t="s">
        <v>4473</v>
      </c>
      <c r="G1275" s="4" t="s">
        <v>19</v>
      </c>
      <c r="H1275" s="4" t="s">
        <v>20</v>
      </c>
      <c r="I1275" s="4" t="s">
        <v>131</v>
      </c>
    </row>
    <row r="1276">
      <c r="A1276" s="7">
        <v>45607.63010797453</v>
      </c>
      <c r="B1276" s="4" t="s">
        <v>4475</v>
      </c>
      <c r="C1276" s="4" t="s">
        <v>4476</v>
      </c>
      <c r="D1276" s="8" t="s">
        <v>4477</v>
      </c>
      <c r="E1276" s="4" t="s">
        <v>763</v>
      </c>
      <c r="F1276" s="4" t="s">
        <v>4478</v>
      </c>
      <c r="G1276" s="4" t="s">
        <v>251</v>
      </c>
      <c r="H1276" s="4" t="s">
        <v>20</v>
      </c>
      <c r="I1276" s="4" t="s">
        <v>4207</v>
      </c>
    </row>
    <row r="1277">
      <c r="A1277" s="7">
        <v>45607.63470635416</v>
      </c>
      <c r="B1277" s="4" t="s">
        <v>4479</v>
      </c>
      <c r="C1277" s="4" t="s">
        <v>4480</v>
      </c>
      <c r="D1277" s="4" t="s">
        <v>1079</v>
      </c>
      <c r="E1277" s="4" t="s">
        <v>2938</v>
      </c>
      <c r="F1277" s="4" t="s">
        <v>4481</v>
      </c>
      <c r="G1277" s="4" t="s">
        <v>3473</v>
      </c>
      <c r="H1277" s="4" t="s">
        <v>20</v>
      </c>
      <c r="I1277" s="4" t="s">
        <v>68</v>
      </c>
    </row>
    <row r="1278">
      <c r="A1278" s="7">
        <v>45607.639963842594</v>
      </c>
      <c r="B1278" s="4" t="s">
        <v>4482</v>
      </c>
      <c r="C1278" s="4" t="s">
        <v>4483</v>
      </c>
      <c r="D1278" s="4" t="s">
        <v>4484</v>
      </c>
      <c r="E1278" s="4" t="s">
        <v>78</v>
      </c>
      <c r="F1278" s="4" t="s">
        <v>4485</v>
      </c>
      <c r="G1278" s="4" t="s">
        <v>3473</v>
      </c>
      <c r="H1278" s="4" t="s">
        <v>20</v>
      </c>
      <c r="I1278" s="4" t="s">
        <v>181</v>
      </c>
    </row>
    <row r="1279">
      <c r="A1279" s="7">
        <v>45607.64183313657</v>
      </c>
      <c r="B1279" s="4" t="s">
        <v>4486</v>
      </c>
      <c r="C1279" s="4" t="s">
        <v>4487</v>
      </c>
      <c r="D1279" s="4" t="s">
        <v>4484</v>
      </c>
      <c r="E1279" s="4" t="s">
        <v>17</v>
      </c>
      <c r="F1279" s="4" t="s">
        <v>4488</v>
      </c>
      <c r="G1279" s="4" t="s">
        <v>3473</v>
      </c>
      <c r="H1279" s="4" t="s">
        <v>20</v>
      </c>
      <c r="I1279" s="4" t="s">
        <v>4489</v>
      </c>
    </row>
    <row r="1280">
      <c r="A1280" s="7">
        <v>45607.66095697916</v>
      </c>
      <c r="B1280" s="4" t="s">
        <v>4443</v>
      </c>
      <c r="C1280" s="4" t="s">
        <v>4490</v>
      </c>
      <c r="D1280" s="4" t="s">
        <v>339</v>
      </c>
      <c r="E1280" s="4" t="s">
        <v>313</v>
      </c>
      <c r="F1280" s="4" t="s">
        <v>4445</v>
      </c>
      <c r="G1280" s="4" t="s">
        <v>251</v>
      </c>
      <c r="H1280" s="4" t="s">
        <v>20</v>
      </c>
      <c r="I1280" s="4" t="s">
        <v>726</v>
      </c>
    </row>
    <row r="1281">
      <c r="A1281" s="7">
        <v>45608.38587215278</v>
      </c>
      <c r="B1281" s="4" t="s">
        <v>4491</v>
      </c>
      <c r="C1281" s="4" t="s">
        <v>4492</v>
      </c>
      <c r="D1281" s="4" t="s">
        <v>889</v>
      </c>
      <c r="E1281" s="4" t="s">
        <v>451</v>
      </c>
      <c r="F1281" s="4" t="s">
        <v>4493</v>
      </c>
      <c r="G1281" s="4" t="s">
        <v>54</v>
      </c>
      <c r="H1281" s="4" t="s">
        <v>20</v>
      </c>
      <c r="I1281" s="4" t="s">
        <v>4494</v>
      </c>
    </row>
    <row r="1282">
      <c r="A1282" s="7">
        <v>45608.38676662037</v>
      </c>
      <c r="B1282" s="4" t="s">
        <v>4495</v>
      </c>
      <c r="C1282" s="4" t="s">
        <v>4496</v>
      </c>
      <c r="D1282" s="8" t="s">
        <v>4497</v>
      </c>
      <c r="E1282" s="4" t="s">
        <v>410</v>
      </c>
      <c r="F1282" s="4" t="s">
        <v>4498</v>
      </c>
      <c r="G1282" s="4" t="s">
        <v>251</v>
      </c>
      <c r="H1282" s="4" t="s">
        <v>20</v>
      </c>
      <c r="I1282" s="4" t="s">
        <v>489</v>
      </c>
    </row>
    <row r="1283">
      <c r="A1283" s="7">
        <v>45608.38953346065</v>
      </c>
      <c r="B1283" s="4" t="s">
        <v>4499</v>
      </c>
      <c r="C1283" s="4" t="s">
        <v>4500</v>
      </c>
      <c r="D1283" s="4" t="s">
        <v>889</v>
      </c>
      <c r="E1283" s="4" t="s">
        <v>17</v>
      </c>
      <c r="F1283" s="4" t="s">
        <v>4501</v>
      </c>
      <c r="G1283" s="4" t="s">
        <v>54</v>
      </c>
      <c r="H1283" s="4" t="s">
        <v>20</v>
      </c>
      <c r="I1283" s="4" t="s">
        <v>1329</v>
      </c>
    </row>
    <row r="1284">
      <c r="A1284" s="7">
        <v>45608.393796585646</v>
      </c>
      <c r="B1284" s="4" t="s">
        <v>4502</v>
      </c>
      <c r="C1284" s="4" t="s">
        <v>4503</v>
      </c>
      <c r="D1284" s="8" t="s">
        <v>1646</v>
      </c>
      <c r="E1284" s="4" t="s">
        <v>653</v>
      </c>
      <c r="F1284" s="4" t="s">
        <v>4504</v>
      </c>
      <c r="G1284" s="4" t="s">
        <v>54</v>
      </c>
      <c r="H1284" s="4" t="s">
        <v>20</v>
      </c>
      <c r="I1284" s="4" t="s">
        <v>847</v>
      </c>
    </row>
    <row r="1285">
      <c r="A1285" s="7">
        <v>45608.40214525463</v>
      </c>
      <c r="B1285" s="4" t="s">
        <v>4505</v>
      </c>
      <c r="C1285" s="4" t="s">
        <v>4506</v>
      </c>
      <c r="D1285" s="8" t="s">
        <v>4507</v>
      </c>
      <c r="E1285" s="4" t="s">
        <v>583</v>
      </c>
      <c r="F1285" s="4" t="s">
        <v>4508</v>
      </c>
      <c r="G1285" s="4" t="s">
        <v>32</v>
      </c>
      <c r="H1285" s="4" t="s">
        <v>20</v>
      </c>
      <c r="I1285" s="4" t="s">
        <v>258</v>
      </c>
    </row>
    <row r="1286">
      <c r="A1286" s="7">
        <v>45608.40290365741</v>
      </c>
      <c r="B1286" s="4" t="s">
        <v>4509</v>
      </c>
      <c r="C1286" s="4" t="s">
        <v>4506</v>
      </c>
      <c r="D1286" s="8" t="s">
        <v>4507</v>
      </c>
      <c r="E1286" s="4" t="s">
        <v>583</v>
      </c>
      <c r="F1286" s="4" t="s">
        <v>4510</v>
      </c>
      <c r="G1286" s="4" t="s">
        <v>32</v>
      </c>
      <c r="H1286" s="4" t="s">
        <v>20</v>
      </c>
      <c r="I1286" s="4" t="s">
        <v>4511</v>
      </c>
    </row>
    <row r="1287">
      <c r="A1287" s="7">
        <v>45608.40704747685</v>
      </c>
      <c r="B1287" s="4" t="s">
        <v>462</v>
      </c>
      <c r="C1287" s="4" t="s">
        <v>463</v>
      </c>
      <c r="D1287" s="8" t="s">
        <v>464</v>
      </c>
      <c r="E1287" s="4" t="s">
        <v>113</v>
      </c>
      <c r="F1287" s="4" t="s">
        <v>465</v>
      </c>
      <c r="G1287" s="4" t="s">
        <v>32</v>
      </c>
      <c r="H1287" s="4" t="s">
        <v>570</v>
      </c>
      <c r="I1287" s="4" t="s">
        <v>42</v>
      </c>
    </row>
    <row r="1288">
      <c r="A1288" s="7">
        <v>45608.408832615736</v>
      </c>
      <c r="B1288" s="4" t="s">
        <v>4512</v>
      </c>
      <c r="C1288" s="4" t="s">
        <v>4513</v>
      </c>
      <c r="D1288" s="8" t="s">
        <v>3688</v>
      </c>
      <c r="E1288" s="4" t="s">
        <v>754</v>
      </c>
      <c r="F1288" s="4" t="s">
        <v>4514</v>
      </c>
      <c r="G1288" s="4" t="s">
        <v>251</v>
      </c>
      <c r="H1288" s="4" t="s">
        <v>20</v>
      </c>
      <c r="I1288" s="4" t="s">
        <v>1101</v>
      </c>
    </row>
    <row r="1289">
      <c r="A1289" s="7">
        <v>45608.410708842595</v>
      </c>
      <c r="B1289" s="4" t="s">
        <v>4515</v>
      </c>
      <c r="C1289" s="4" t="s">
        <v>4516</v>
      </c>
      <c r="D1289" s="4" t="s">
        <v>613</v>
      </c>
      <c r="E1289" s="4" t="s">
        <v>345</v>
      </c>
      <c r="F1289" s="4" t="s">
        <v>4517</v>
      </c>
      <c r="G1289" s="4" t="s">
        <v>54</v>
      </c>
      <c r="H1289" s="4" t="s">
        <v>20</v>
      </c>
      <c r="I1289" s="4" t="s">
        <v>4053</v>
      </c>
    </row>
    <row r="1290">
      <c r="A1290" s="7">
        <v>45608.41305479167</v>
      </c>
      <c r="B1290" s="4" t="s">
        <v>4518</v>
      </c>
      <c r="C1290" s="4" t="s">
        <v>4519</v>
      </c>
      <c r="D1290" s="4" t="s">
        <v>613</v>
      </c>
      <c r="E1290" s="4" t="s">
        <v>653</v>
      </c>
      <c r="F1290" s="4" t="s">
        <v>4520</v>
      </c>
      <c r="G1290" s="4" t="s">
        <v>54</v>
      </c>
      <c r="H1290" s="4" t="s">
        <v>20</v>
      </c>
      <c r="I1290" s="4" t="s">
        <v>4521</v>
      </c>
    </row>
    <row r="1291">
      <c r="A1291" s="7">
        <v>45608.41586111111</v>
      </c>
      <c r="B1291" s="4" t="s">
        <v>4522</v>
      </c>
      <c r="C1291" s="4" t="s">
        <v>2740</v>
      </c>
      <c r="D1291" s="4" t="s">
        <v>2148</v>
      </c>
      <c r="E1291" s="4" t="s">
        <v>345</v>
      </c>
      <c r="F1291" s="4" t="s">
        <v>4523</v>
      </c>
      <c r="G1291" s="4" t="s">
        <v>54</v>
      </c>
      <c r="H1291" s="4" t="s">
        <v>20</v>
      </c>
      <c r="I1291" s="4" t="s">
        <v>1667</v>
      </c>
    </row>
    <row r="1292">
      <c r="A1292" s="7">
        <v>45608.429747800925</v>
      </c>
      <c r="B1292" s="4" t="s">
        <v>4524</v>
      </c>
      <c r="C1292" s="4" t="s">
        <v>4525</v>
      </c>
      <c r="D1292" s="4" t="s">
        <v>1515</v>
      </c>
      <c r="E1292" s="4" t="s">
        <v>17</v>
      </c>
      <c r="F1292" s="4" t="s">
        <v>4526</v>
      </c>
      <c r="G1292" s="4" t="s">
        <v>54</v>
      </c>
      <c r="H1292" s="4" t="s">
        <v>20</v>
      </c>
      <c r="I1292" s="4" t="s">
        <v>4527</v>
      </c>
    </row>
    <row r="1293">
      <c r="A1293" s="7">
        <v>45608.43061657407</v>
      </c>
      <c r="B1293" s="4" t="s">
        <v>4528</v>
      </c>
      <c r="C1293" s="4" t="s">
        <v>4529</v>
      </c>
      <c r="D1293" s="4" t="s">
        <v>4003</v>
      </c>
      <c r="E1293" s="4" t="s">
        <v>345</v>
      </c>
      <c r="F1293" s="4" t="s">
        <v>4530</v>
      </c>
      <c r="G1293" s="4" t="s">
        <v>32</v>
      </c>
      <c r="H1293" s="4" t="s">
        <v>20</v>
      </c>
      <c r="I1293" s="4" t="s">
        <v>686</v>
      </c>
    </row>
    <row r="1294">
      <c r="A1294" s="7">
        <v>45608.43149136574</v>
      </c>
      <c r="B1294" s="4" t="s">
        <v>4531</v>
      </c>
      <c r="C1294" s="4" t="s">
        <v>4532</v>
      </c>
      <c r="D1294" s="4" t="s">
        <v>4003</v>
      </c>
      <c r="E1294" s="4" t="s">
        <v>345</v>
      </c>
      <c r="F1294" s="4" t="s">
        <v>4533</v>
      </c>
      <c r="G1294" s="4" t="s">
        <v>32</v>
      </c>
      <c r="H1294" s="4" t="s">
        <v>20</v>
      </c>
      <c r="I1294" s="4" t="s">
        <v>375</v>
      </c>
    </row>
    <row r="1295">
      <c r="A1295" s="7">
        <v>45608.44054548611</v>
      </c>
      <c r="B1295" s="4" t="s">
        <v>4534</v>
      </c>
      <c r="C1295" s="4" t="s">
        <v>4535</v>
      </c>
      <c r="D1295" s="8" t="s">
        <v>4536</v>
      </c>
      <c r="E1295" s="4" t="s">
        <v>78</v>
      </c>
      <c r="F1295" s="4" t="s">
        <v>4537</v>
      </c>
      <c r="G1295" s="4" t="s">
        <v>19</v>
      </c>
      <c r="H1295" s="4" t="s">
        <v>20</v>
      </c>
      <c r="I1295" s="4" t="s">
        <v>2755</v>
      </c>
    </row>
    <row r="1296">
      <c r="A1296" s="7">
        <v>45608.44277638889</v>
      </c>
      <c r="B1296" s="4" t="s">
        <v>4538</v>
      </c>
      <c r="C1296" s="4" t="s">
        <v>231</v>
      </c>
      <c r="D1296" s="4" t="s">
        <v>373</v>
      </c>
      <c r="E1296" s="4" t="s">
        <v>644</v>
      </c>
      <c r="F1296" s="4" t="s">
        <v>4539</v>
      </c>
      <c r="G1296" s="4" t="s">
        <v>54</v>
      </c>
      <c r="H1296" s="4" t="s">
        <v>20</v>
      </c>
      <c r="I1296" s="4" t="s">
        <v>4540</v>
      </c>
    </row>
    <row r="1297">
      <c r="A1297" s="7">
        <v>45608.44115085648</v>
      </c>
      <c r="B1297" s="4" t="s">
        <v>3551</v>
      </c>
      <c r="C1297" s="4" t="s">
        <v>3552</v>
      </c>
      <c r="D1297" s="4" t="s">
        <v>3553</v>
      </c>
      <c r="E1297" s="4" t="s">
        <v>345</v>
      </c>
      <c r="F1297" s="4" t="s">
        <v>3554</v>
      </c>
      <c r="G1297" s="4" t="s">
        <v>32</v>
      </c>
      <c r="H1297" s="4" t="s">
        <v>570</v>
      </c>
      <c r="I1297" s="4" t="s">
        <v>347</v>
      </c>
    </row>
    <row r="1298">
      <c r="A1298" s="7">
        <v>45608.44263582176</v>
      </c>
      <c r="B1298" s="4" t="s">
        <v>4541</v>
      </c>
      <c r="C1298" s="4" t="s">
        <v>4542</v>
      </c>
      <c r="D1298" s="4" t="s">
        <v>1692</v>
      </c>
      <c r="E1298" s="4" t="s">
        <v>4543</v>
      </c>
      <c r="F1298" s="4" t="s">
        <v>4544</v>
      </c>
      <c r="G1298" s="4" t="s">
        <v>251</v>
      </c>
      <c r="H1298" s="4" t="s">
        <v>20</v>
      </c>
      <c r="I1298" s="4" t="s">
        <v>922</v>
      </c>
    </row>
    <row r="1299">
      <c r="A1299" s="7">
        <v>45608.44573944445</v>
      </c>
      <c r="B1299" s="4" t="s">
        <v>4545</v>
      </c>
      <c r="C1299" s="4" t="s">
        <v>4546</v>
      </c>
      <c r="D1299" s="4" t="s">
        <v>373</v>
      </c>
      <c r="E1299" s="4" t="s">
        <v>17</v>
      </c>
      <c r="F1299" s="4" t="s">
        <v>4547</v>
      </c>
      <c r="G1299" s="4" t="s">
        <v>54</v>
      </c>
      <c r="H1299" s="4" t="s">
        <v>20</v>
      </c>
      <c r="I1299" s="4" t="s">
        <v>540</v>
      </c>
    </row>
    <row r="1300">
      <c r="A1300" s="7">
        <v>45608.44637240741</v>
      </c>
      <c r="B1300" s="4" t="s">
        <v>4548</v>
      </c>
      <c r="C1300" s="4" t="s">
        <v>4549</v>
      </c>
      <c r="D1300" s="4" t="s">
        <v>4003</v>
      </c>
      <c r="E1300" s="4" t="s">
        <v>17</v>
      </c>
      <c r="F1300" s="4" t="s">
        <v>4550</v>
      </c>
      <c r="G1300" s="4" t="s">
        <v>32</v>
      </c>
      <c r="H1300" s="4" t="s">
        <v>20</v>
      </c>
      <c r="I1300" s="4" t="s">
        <v>686</v>
      </c>
    </row>
    <row r="1301">
      <c r="A1301" s="7">
        <v>45608.44736614583</v>
      </c>
      <c r="B1301" s="4" t="s">
        <v>4551</v>
      </c>
      <c r="C1301" s="4" t="s">
        <v>4552</v>
      </c>
      <c r="D1301" s="4" t="s">
        <v>3422</v>
      </c>
      <c r="E1301" s="4" t="s">
        <v>2249</v>
      </c>
      <c r="F1301" s="4" t="s">
        <v>4553</v>
      </c>
      <c r="G1301" s="4" t="s">
        <v>54</v>
      </c>
      <c r="H1301" s="4" t="s">
        <v>20</v>
      </c>
      <c r="I1301" s="4" t="s">
        <v>4554</v>
      </c>
    </row>
    <row r="1302">
      <c r="A1302" s="7">
        <v>45608.4538525463</v>
      </c>
      <c r="B1302" s="4" t="s">
        <v>4555</v>
      </c>
      <c r="C1302" s="4" t="s">
        <v>4556</v>
      </c>
      <c r="D1302" s="8" t="s">
        <v>4557</v>
      </c>
      <c r="E1302" s="4" t="s">
        <v>1276</v>
      </c>
      <c r="F1302" s="4" t="s">
        <v>4558</v>
      </c>
      <c r="G1302" s="4" t="s">
        <v>3473</v>
      </c>
      <c r="H1302" s="4" t="s">
        <v>20</v>
      </c>
      <c r="I1302" s="4" t="s">
        <v>494</v>
      </c>
    </row>
    <row r="1303">
      <c r="A1303" s="7">
        <v>45608.4491333912</v>
      </c>
      <c r="B1303" s="4" t="s">
        <v>2704</v>
      </c>
      <c r="C1303" s="4" t="s">
        <v>2981</v>
      </c>
      <c r="D1303" s="8" t="s">
        <v>1745</v>
      </c>
      <c r="E1303" s="4" t="s">
        <v>345</v>
      </c>
      <c r="F1303" s="4" t="s">
        <v>2706</v>
      </c>
      <c r="G1303" s="4" t="s">
        <v>54</v>
      </c>
      <c r="H1303" s="4" t="s">
        <v>570</v>
      </c>
      <c r="I1303" s="4" t="s">
        <v>446</v>
      </c>
    </row>
    <row r="1304">
      <c r="A1304" s="7">
        <v>45608.45222409722</v>
      </c>
      <c r="B1304" s="4" t="s">
        <v>4559</v>
      </c>
      <c r="C1304" s="4" t="s">
        <v>4560</v>
      </c>
      <c r="D1304" s="4" t="s">
        <v>4561</v>
      </c>
      <c r="E1304" s="4" t="s">
        <v>528</v>
      </c>
      <c r="F1304" s="4" t="s">
        <v>4562</v>
      </c>
      <c r="G1304" s="4" t="s">
        <v>32</v>
      </c>
      <c r="H1304" s="4" t="s">
        <v>20</v>
      </c>
      <c r="I1304" s="4" t="s">
        <v>26</v>
      </c>
    </row>
    <row r="1305">
      <c r="A1305" s="7">
        <v>45608.45593497685</v>
      </c>
      <c r="B1305" s="4" t="s">
        <v>4563</v>
      </c>
      <c r="C1305" s="4" t="s">
        <v>4564</v>
      </c>
      <c r="D1305" s="8" t="s">
        <v>4565</v>
      </c>
      <c r="E1305" s="4" t="s">
        <v>1293</v>
      </c>
      <c r="F1305" s="4" t="s">
        <v>4566</v>
      </c>
      <c r="G1305" s="4" t="s">
        <v>251</v>
      </c>
      <c r="H1305" s="4" t="s">
        <v>20</v>
      </c>
      <c r="I1305" s="4" t="s">
        <v>1721</v>
      </c>
    </row>
    <row r="1306">
      <c r="A1306" s="7">
        <v>45608.45638737269</v>
      </c>
      <c r="B1306" s="4" t="s">
        <v>4567</v>
      </c>
      <c r="C1306" s="4" t="s">
        <v>4568</v>
      </c>
      <c r="D1306" s="8" t="s">
        <v>4569</v>
      </c>
      <c r="E1306" s="4" t="s">
        <v>1336</v>
      </c>
      <c r="F1306" s="4" t="s">
        <v>301</v>
      </c>
      <c r="G1306" s="4" t="s">
        <v>19</v>
      </c>
      <c r="H1306" s="4" t="s">
        <v>20</v>
      </c>
      <c r="I1306" s="4" t="s">
        <v>301</v>
      </c>
    </row>
    <row r="1307">
      <c r="A1307" s="7">
        <v>45608.46093952547</v>
      </c>
      <c r="B1307" s="4" t="s">
        <v>4570</v>
      </c>
      <c r="C1307" s="4" t="s">
        <v>4571</v>
      </c>
      <c r="D1307" s="8" t="s">
        <v>1745</v>
      </c>
      <c r="E1307" s="4" t="s">
        <v>173</v>
      </c>
      <c r="F1307" s="4" t="s">
        <v>4572</v>
      </c>
      <c r="G1307" s="4" t="s">
        <v>54</v>
      </c>
      <c r="H1307" s="4" t="s">
        <v>20</v>
      </c>
      <c r="I1307" s="4" t="s">
        <v>655</v>
      </c>
    </row>
    <row r="1308">
      <c r="A1308" s="7">
        <v>45608.474850694445</v>
      </c>
      <c r="B1308" s="4" t="s">
        <v>4573</v>
      </c>
      <c r="C1308" s="4" t="s">
        <v>4574</v>
      </c>
      <c r="D1308" s="8" t="s">
        <v>4575</v>
      </c>
      <c r="E1308" s="4" t="s">
        <v>17</v>
      </c>
      <c r="F1308" s="4" t="s">
        <v>4576</v>
      </c>
      <c r="G1308" s="4" t="s">
        <v>3473</v>
      </c>
      <c r="H1308" s="4" t="s">
        <v>20</v>
      </c>
      <c r="I1308" s="4" t="s">
        <v>86</v>
      </c>
    </row>
    <row r="1309">
      <c r="A1309" s="7">
        <v>45608.46953318287</v>
      </c>
      <c r="B1309" s="4" t="s">
        <v>4577</v>
      </c>
      <c r="C1309" s="4" t="s">
        <v>2981</v>
      </c>
      <c r="D1309" s="8" t="s">
        <v>1745</v>
      </c>
      <c r="E1309" s="4" t="s">
        <v>345</v>
      </c>
      <c r="F1309" s="4" t="s">
        <v>4578</v>
      </c>
      <c r="G1309" s="4" t="s">
        <v>54</v>
      </c>
      <c r="H1309" s="4" t="s">
        <v>20</v>
      </c>
      <c r="I1309" s="4" t="s">
        <v>4313</v>
      </c>
    </row>
    <row r="1310">
      <c r="A1310" s="7">
        <v>45608.477359756944</v>
      </c>
      <c r="B1310" s="4" t="s">
        <v>4579</v>
      </c>
      <c r="C1310" s="4" t="s">
        <v>2981</v>
      </c>
      <c r="D1310" s="8" t="s">
        <v>1745</v>
      </c>
      <c r="E1310" s="4" t="s">
        <v>345</v>
      </c>
      <c r="F1310" s="4" t="s">
        <v>4580</v>
      </c>
      <c r="G1310" s="4" t="s">
        <v>54</v>
      </c>
      <c r="H1310" s="4" t="s">
        <v>20</v>
      </c>
      <c r="I1310" s="4" t="s">
        <v>721</v>
      </c>
    </row>
    <row r="1311">
      <c r="A1311" s="7">
        <v>45608.47976619213</v>
      </c>
      <c r="B1311" s="4" t="s">
        <v>4581</v>
      </c>
      <c r="C1311" s="4" t="s">
        <v>4582</v>
      </c>
      <c r="D1311" s="8" t="s">
        <v>4583</v>
      </c>
      <c r="E1311" s="4" t="s">
        <v>30</v>
      </c>
      <c r="F1311" s="4" t="s">
        <v>4584</v>
      </c>
      <c r="G1311" s="4" t="s">
        <v>19</v>
      </c>
      <c r="H1311" s="4" t="s">
        <v>20</v>
      </c>
      <c r="I1311" s="4" t="s">
        <v>115</v>
      </c>
    </row>
    <row r="1312">
      <c r="A1312" s="7">
        <v>45608.48531089121</v>
      </c>
      <c r="B1312" s="4" t="s">
        <v>4585</v>
      </c>
      <c r="C1312" s="4" t="s">
        <v>4586</v>
      </c>
      <c r="D1312" s="4" t="s">
        <v>3088</v>
      </c>
      <c r="E1312" s="4" t="s">
        <v>754</v>
      </c>
      <c r="F1312" s="4" t="s">
        <v>4587</v>
      </c>
      <c r="G1312" s="4" t="s">
        <v>251</v>
      </c>
      <c r="H1312" s="4" t="s">
        <v>20</v>
      </c>
      <c r="I1312" s="4" t="s">
        <v>4588</v>
      </c>
    </row>
    <row r="1313">
      <c r="A1313" s="7">
        <v>45608.485900671294</v>
      </c>
      <c r="B1313" s="4" t="s">
        <v>4589</v>
      </c>
      <c r="C1313" s="4" t="s">
        <v>4590</v>
      </c>
      <c r="D1313" s="8" t="s">
        <v>4591</v>
      </c>
      <c r="E1313" s="4" t="s">
        <v>17</v>
      </c>
      <c r="F1313" s="4" t="s">
        <v>4592</v>
      </c>
      <c r="G1313" s="4" t="s">
        <v>19</v>
      </c>
      <c r="H1313" s="4" t="s">
        <v>20</v>
      </c>
      <c r="I1313" s="4" t="s">
        <v>1444</v>
      </c>
    </row>
    <row r="1314">
      <c r="A1314" s="7">
        <v>45608.49061787037</v>
      </c>
      <c r="B1314" s="4" t="s">
        <v>4593</v>
      </c>
      <c r="C1314" s="4" t="s">
        <v>4594</v>
      </c>
      <c r="D1314" s="4" t="s">
        <v>238</v>
      </c>
      <c r="E1314" s="4" t="s">
        <v>345</v>
      </c>
      <c r="F1314" s="4" t="s">
        <v>4595</v>
      </c>
      <c r="G1314" s="4" t="s">
        <v>32</v>
      </c>
      <c r="H1314" s="4" t="s">
        <v>20</v>
      </c>
      <c r="I1314" s="4" t="s">
        <v>308</v>
      </c>
    </row>
    <row r="1315">
      <c r="A1315" s="7">
        <v>45608.49126181713</v>
      </c>
      <c r="B1315" s="4" t="s">
        <v>4596</v>
      </c>
      <c r="C1315" s="4" t="s">
        <v>4597</v>
      </c>
      <c r="D1315" s="4" t="s">
        <v>238</v>
      </c>
      <c r="E1315" s="4" t="s">
        <v>17</v>
      </c>
      <c r="F1315" s="4" t="s">
        <v>4598</v>
      </c>
      <c r="G1315" s="4" t="s">
        <v>32</v>
      </c>
      <c r="H1315" s="4" t="s">
        <v>20</v>
      </c>
      <c r="I1315" s="4" t="s">
        <v>126</v>
      </c>
    </row>
    <row r="1316">
      <c r="A1316" s="7">
        <v>45608.49194277778</v>
      </c>
      <c r="B1316" s="4" t="s">
        <v>4599</v>
      </c>
      <c r="C1316" s="4" t="s">
        <v>4600</v>
      </c>
      <c r="D1316" s="4" t="s">
        <v>238</v>
      </c>
      <c r="E1316" s="4" t="s">
        <v>528</v>
      </c>
      <c r="F1316" s="4" t="s">
        <v>4601</v>
      </c>
      <c r="G1316" s="4" t="s">
        <v>32</v>
      </c>
      <c r="H1316" s="4" t="s">
        <v>20</v>
      </c>
      <c r="I1316" s="4" t="s">
        <v>4602</v>
      </c>
    </row>
    <row r="1317">
      <c r="A1317" s="7">
        <v>45608.5465416088</v>
      </c>
      <c r="B1317" s="4" t="s">
        <v>4603</v>
      </c>
      <c r="C1317" s="4" t="s">
        <v>4604</v>
      </c>
      <c r="D1317" s="8" t="s">
        <v>4605</v>
      </c>
      <c r="E1317" s="4" t="s">
        <v>17</v>
      </c>
      <c r="F1317" s="4" t="s">
        <v>4606</v>
      </c>
      <c r="G1317" s="4" t="s">
        <v>19</v>
      </c>
      <c r="H1317" s="4" t="s">
        <v>20</v>
      </c>
      <c r="I1317" s="4" t="s">
        <v>375</v>
      </c>
    </row>
    <row r="1318">
      <c r="A1318" s="7">
        <v>45608.54850524306</v>
      </c>
      <c r="B1318" s="4" t="s">
        <v>3483</v>
      </c>
      <c r="C1318" s="4" t="s">
        <v>4607</v>
      </c>
      <c r="D1318" s="4" t="s">
        <v>1309</v>
      </c>
      <c r="E1318" s="4" t="s">
        <v>345</v>
      </c>
      <c r="F1318" s="4" t="s">
        <v>3485</v>
      </c>
      <c r="G1318" s="4" t="s">
        <v>32</v>
      </c>
      <c r="H1318" s="4" t="s">
        <v>570</v>
      </c>
      <c r="I1318" s="4" t="s">
        <v>203</v>
      </c>
    </row>
    <row r="1319">
      <c r="A1319" s="7">
        <v>45608.54896956019</v>
      </c>
      <c r="B1319" s="4" t="s">
        <v>4609</v>
      </c>
      <c r="C1319" s="4" t="s">
        <v>4610</v>
      </c>
      <c r="D1319" s="4" t="s">
        <v>1508</v>
      </c>
      <c r="E1319" s="4" t="s">
        <v>754</v>
      </c>
      <c r="F1319" s="4" t="s">
        <v>4611</v>
      </c>
      <c r="G1319" s="4" t="s">
        <v>251</v>
      </c>
      <c r="H1319" s="4" t="s">
        <v>20</v>
      </c>
      <c r="I1319" s="4" t="s">
        <v>4612</v>
      </c>
    </row>
    <row r="1320">
      <c r="A1320" s="7">
        <v>45608.562849131944</v>
      </c>
      <c r="B1320" s="4" t="s">
        <v>4613</v>
      </c>
      <c r="C1320" s="4" t="s">
        <v>4614</v>
      </c>
      <c r="D1320" s="4" t="s">
        <v>1831</v>
      </c>
      <c r="E1320" s="4" t="s">
        <v>78</v>
      </c>
      <c r="F1320" s="4" t="s">
        <v>4615</v>
      </c>
      <c r="G1320" s="4" t="s">
        <v>32</v>
      </c>
      <c r="H1320" s="4" t="s">
        <v>20</v>
      </c>
      <c r="I1320" s="4" t="s">
        <v>109</v>
      </c>
    </row>
    <row r="1321">
      <c r="A1321" s="7">
        <v>45608.56343365741</v>
      </c>
      <c r="B1321" s="4" t="s">
        <v>4616</v>
      </c>
      <c r="C1321" s="4" t="s">
        <v>4617</v>
      </c>
      <c r="D1321" s="8" t="s">
        <v>4618</v>
      </c>
      <c r="E1321" s="4" t="s">
        <v>1276</v>
      </c>
      <c r="F1321" s="4" t="s">
        <v>4619</v>
      </c>
      <c r="G1321" s="4" t="s">
        <v>19</v>
      </c>
      <c r="H1321" s="4" t="s">
        <v>20</v>
      </c>
      <c r="I1321" s="4" t="s">
        <v>42</v>
      </c>
    </row>
    <row r="1322">
      <c r="A1322" s="7">
        <v>45608.56600364583</v>
      </c>
      <c r="B1322" s="4" t="s">
        <v>4620</v>
      </c>
      <c r="C1322" s="4" t="s">
        <v>4621</v>
      </c>
      <c r="D1322" s="4" t="s">
        <v>283</v>
      </c>
      <c r="E1322" s="4" t="s">
        <v>78</v>
      </c>
      <c r="F1322" s="4" t="s">
        <v>4622</v>
      </c>
      <c r="G1322" s="4" t="s">
        <v>3473</v>
      </c>
      <c r="H1322" s="4" t="s">
        <v>20</v>
      </c>
      <c r="I1322" s="4" t="s">
        <v>86</v>
      </c>
    </row>
    <row r="1323">
      <c r="A1323" s="7">
        <v>45608.56961939815</v>
      </c>
      <c r="B1323" s="4" t="s">
        <v>4623</v>
      </c>
      <c r="C1323" s="4" t="s">
        <v>4624</v>
      </c>
      <c r="D1323" s="8" t="s">
        <v>2152</v>
      </c>
      <c r="E1323" s="4" t="s">
        <v>4625</v>
      </c>
      <c r="F1323" s="4" t="s">
        <v>4626</v>
      </c>
      <c r="G1323" s="4" t="s">
        <v>251</v>
      </c>
      <c r="H1323" s="4" t="s">
        <v>20</v>
      </c>
      <c r="I1323" s="4" t="s">
        <v>540</v>
      </c>
    </row>
    <row r="1324">
      <c r="A1324" s="7">
        <v>45608.57170204861</v>
      </c>
      <c r="B1324" s="4" t="s">
        <v>3049</v>
      </c>
      <c r="C1324" s="4" t="s">
        <v>3047</v>
      </c>
      <c r="D1324" s="4" t="s">
        <v>1848</v>
      </c>
      <c r="E1324" s="4" t="s">
        <v>1159</v>
      </c>
      <c r="F1324" s="4" t="s">
        <v>3050</v>
      </c>
      <c r="G1324" s="4" t="s">
        <v>32</v>
      </c>
      <c r="H1324" s="4" t="s">
        <v>570</v>
      </c>
      <c r="I1324" s="4" t="s">
        <v>109</v>
      </c>
    </row>
    <row r="1325">
      <c r="A1325" s="7">
        <v>45608.57322226852</v>
      </c>
      <c r="B1325" s="4" t="s">
        <v>3786</v>
      </c>
      <c r="C1325" s="4" t="s">
        <v>3787</v>
      </c>
      <c r="D1325" s="4" t="s">
        <v>1848</v>
      </c>
      <c r="E1325" s="4" t="s">
        <v>345</v>
      </c>
      <c r="F1325" s="4" t="s">
        <v>3788</v>
      </c>
      <c r="G1325" s="4" t="s">
        <v>32</v>
      </c>
      <c r="H1325" s="4" t="s">
        <v>570</v>
      </c>
      <c r="I1325" s="4" t="s">
        <v>159</v>
      </c>
    </row>
    <row r="1326">
      <c r="A1326" s="7">
        <v>45608.573854594906</v>
      </c>
      <c r="B1326" s="4" t="s">
        <v>4627</v>
      </c>
      <c r="C1326" s="4" t="s">
        <v>4628</v>
      </c>
      <c r="D1326" s="8" t="s">
        <v>4629</v>
      </c>
      <c r="E1326" s="4" t="s">
        <v>17</v>
      </c>
      <c r="F1326" s="4" t="s">
        <v>4630</v>
      </c>
      <c r="G1326" s="4" t="s">
        <v>19</v>
      </c>
      <c r="H1326" s="4" t="s">
        <v>20</v>
      </c>
      <c r="I1326" s="4" t="s">
        <v>3478</v>
      </c>
    </row>
    <row r="1327">
      <c r="A1327" s="7">
        <v>45608.575270208334</v>
      </c>
      <c r="B1327" s="4" t="s">
        <v>4631</v>
      </c>
      <c r="C1327" s="4" t="s">
        <v>4632</v>
      </c>
      <c r="D1327" s="8" t="s">
        <v>211</v>
      </c>
      <c r="E1327" s="4" t="s">
        <v>345</v>
      </c>
      <c r="F1327" s="4" t="s">
        <v>4633</v>
      </c>
      <c r="G1327" s="4" t="s">
        <v>54</v>
      </c>
      <c r="H1327" s="4" t="s">
        <v>20</v>
      </c>
      <c r="I1327" s="4" t="s">
        <v>4634</v>
      </c>
    </row>
    <row r="1328">
      <c r="A1328" s="7">
        <v>45608.57761061343</v>
      </c>
      <c r="B1328" s="4" t="s">
        <v>4635</v>
      </c>
      <c r="C1328" s="4" t="s">
        <v>4636</v>
      </c>
      <c r="D1328" s="8" t="s">
        <v>211</v>
      </c>
      <c r="E1328" s="4" t="s">
        <v>345</v>
      </c>
      <c r="F1328" s="4" t="s">
        <v>4637</v>
      </c>
      <c r="G1328" s="4" t="s">
        <v>54</v>
      </c>
      <c r="H1328" s="4" t="s">
        <v>20</v>
      </c>
      <c r="I1328" s="4" t="s">
        <v>336</v>
      </c>
    </row>
    <row r="1329">
      <c r="A1329" s="7">
        <v>45608.57900532408</v>
      </c>
      <c r="B1329" s="4" t="s">
        <v>4638</v>
      </c>
      <c r="C1329" s="4" t="s">
        <v>4639</v>
      </c>
      <c r="D1329" s="8" t="s">
        <v>211</v>
      </c>
      <c r="E1329" s="4" t="s">
        <v>345</v>
      </c>
      <c r="F1329" s="4" t="s">
        <v>4640</v>
      </c>
      <c r="G1329" s="4" t="s">
        <v>54</v>
      </c>
      <c r="H1329" s="4" t="s">
        <v>20</v>
      </c>
      <c r="I1329" s="4" t="s">
        <v>4641</v>
      </c>
    </row>
    <row r="1330">
      <c r="A1330" s="7">
        <v>45608.5801878125</v>
      </c>
      <c r="B1330" s="4" t="s">
        <v>4642</v>
      </c>
      <c r="C1330" s="4" t="s">
        <v>4643</v>
      </c>
      <c r="D1330" s="4" t="s">
        <v>1848</v>
      </c>
      <c r="E1330" s="4" t="s">
        <v>528</v>
      </c>
      <c r="F1330" s="4" t="s">
        <v>3643</v>
      </c>
      <c r="G1330" s="4" t="s">
        <v>32</v>
      </c>
      <c r="H1330" s="4" t="s">
        <v>20</v>
      </c>
      <c r="I1330" s="4" t="s">
        <v>109</v>
      </c>
    </row>
    <row r="1331">
      <c r="A1331" s="7">
        <v>45608.58103907407</v>
      </c>
      <c r="B1331" s="4" t="s">
        <v>4644</v>
      </c>
      <c r="C1331" s="4" t="s">
        <v>4645</v>
      </c>
      <c r="D1331" s="8" t="s">
        <v>211</v>
      </c>
      <c r="E1331" s="4" t="s">
        <v>345</v>
      </c>
      <c r="F1331" s="4" t="s">
        <v>4646</v>
      </c>
      <c r="G1331" s="4" t="s">
        <v>54</v>
      </c>
      <c r="H1331" s="4" t="s">
        <v>20</v>
      </c>
      <c r="I1331" s="4" t="s">
        <v>1126</v>
      </c>
    </row>
    <row r="1332">
      <c r="A1332" s="7">
        <v>45608.582202164354</v>
      </c>
      <c r="B1332" s="4" t="s">
        <v>4647</v>
      </c>
      <c r="C1332" s="4" t="s">
        <v>4648</v>
      </c>
      <c r="D1332" s="8" t="s">
        <v>211</v>
      </c>
      <c r="E1332" s="4" t="s">
        <v>345</v>
      </c>
      <c r="F1332" s="4" t="s">
        <v>4649</v>
      </c>
      <c r="G1332" s="4" t="s">
        <v>54</v>
      </c>
      <c r="H1332" s="4" t="s">
        <v>20</v>
      </c>
      <c r="I1332" s="4" t="s">
        <v>1126</v>
      </c>
    </row>
    <row r="1333">
      <c r="A1333" s="7">
        <v>45608.584214386574</v>
      </c>
      <c r="B1333" s="4" t="s">
        <v>4650</v>
      </c>
      <c r="C1333" s="4" t="s">
        <v>4651</v>
      </c>
      <c r="D1333" s="8" t="s">
        <v>4652</v>
      </c>
      <c r="E1333" s="4" t="s">
        <v>17</v>
      </c>
      <c r="F1333" s="4" t="s">
        <v>4653</v>
      </c>
      <c r="G1333" s="4" t="s">
        <v>19</v>
      </c>
      <c r="H1333" s="4" t="s">
        <v>20</v>
      </c>
      <c r="I1333" s="4" t="s">
        <v>877</v>
      </c>
    </row>
    <row r="1334">
      <c r="A1334" s="7">
        <v>45608.584809733795</v>
      </c>
      <c r="B1334" s="4" t="s">
        <v>3322</v>
      </c>
      <c r="C1334" s="4" t="s">
        <v>3323</v>
      </c>
      <c r="D1334" s="4" t="s">
        <v>1478</v>
      </c>
      <c r="E1334" s="4" t="s">
        <v>345</v>
      </c>
      <c r="F1334" s="4" t="s">
        <v>3324</v>
      </c>
      <c r="G1334" s="4" t="s">
        <v>32</v>
      </c>
      <c r="H1334" s="4" t="s">
        <v>570</v>
      </c>
      <c r="I1334" s="4" t="s">
        <v>139</v>
      </c>
    </row>
    <row r="1335">
      <c r="A1335" s="7">
        <v>45608.58920811342</v>
      </c>
      <c r="B1335" s="4" t="s">
        <v>4654</v>
      </c>
      <c r="C1335" s="4" t="s">
        <v>4655</v>
      </c>
      <c r="D1335" s="4" t="s">
        <v>468</v>
      </c>
      <c r="E1335" s="4" t="s">
        <v>345</v>
      </c>
      <c r="F1335" s="4" t="s">
        <v>4656</v>
      </c>
      <c r="G1335" s="4" t="s">
        <v>3473</v>
      </c>
      <c r="H1335" s="4" t="s">
        <v>20</v>
      </c>
      <c r="I1335" s="4" t="s">
        <v>165</v>
      </c>
    </row>
    <row r="1336">
      <c r="A1336" s="7">
        <v>45608.592440810186</v>
      </c>
      <c r="B1336" s="4" t="s">
        <v>4657</v>
      </c>
      <c r="C1336" s="4" t="s">
        <v>829</v>
      </c>
      <c r="D1336" s="8" t="s">
        <v>830</v>
      </c>
      <c r="E1336" s="4" t="s">
        <v>173</v>
      </c>
      <c r="F1336" s="4" t="s">
        <v>4658</v>
      </c>
      <c r="G1336" s="4" t="s">
        <v>19</v>
      </c>
      <c r="H1336" s="4" t="s">
        <v>20</v>
      </c>
      <c r="I1336" s="4" t="s">
        <v>4659</v>
      </c>
    </row>
    <row r="1337">
      <c r="A1337" s="7">
        <v>45608.59602019676</v>
      </c>
      <c r="B1337" s="4" t="s">
        <v>4660</v>
      </c>
      <c r="C1337" s="4" t="s">
        <v>4661</v>
      </c>
      <c r="D1337" s="8" t="s">
        <v>134</v>
      </c>
      <c r="E1337" s="4" t="s">
        <v>345</v>
      </c>
      <c r="F1337" s="4" t="s">
        <v>4662</v>
      </c>
      <c r="G1337" s="4" t="s">
        <v>54</v>
      </c>
      <c r="H1337" s="4" t="s">
        <v>20</v>
      </c>
      <c r="I1337" s="4" t="s">
        <v>676</v>
      </c>
    </row>
    <row r="1338">
      <c r="A1338" s="7">
        <v>45608.60606519676</v>
      </c>
      <c r="B1338" s="4" t="s">
        <v>4663</v>
      </c>
      <c r="C1338" s="4" t="s">
        <v>4664</v>
      </c>
      <c r="D1338" s="4" t="s">
        <v>527</v>
      </c>
      <c r="E1338" s="4" t="s">
        <v>345</v>
      </c>
      <c r="F1338" s="4" t="s">
        <v>4665</v>
      </c>
      <c r="G1338" s="4" t="s">
        <v>32</v>
      </c>
      <c r="H1338" s="4" t="s">
        <v>20</v>
      </c>
      <c r="I1338" s="4" t="s">
        <v>279</v>
      </c>
    </row>
    <row r="1339">
      <c r="A1339" s="7">
        <v>45609.35983768519</v>
      </c>
      <c r="B1339" s="4" t="s">
        <v>3719</v>
      </c>
      <c r="C1339" s="4" t="s">
        <v>3720</v>
      </c>
      <c r="D1339" s="8" t="s">
        <v>262</v>
      </c>
      <c r="E1339" s="4" t="s">
        <v>345</v>
      </c>
      <c r="F1339" s="4" t="s">
        <v>2525</v>
      </c>
      <c r="G1339" s="4" t="s">
        <v>32</v>
      </c>
      <c r="H1339" s="4" t="s">
        <v>570</v>
      </c>
      <c r="I1339" s="4" t="s">
        <v>272</v>
      </c>
    </row>
    <row r="1340">
      <c r="A1340" s="7">
        <v>45609.3688677662</v>
      </c>
      <c r="B1340" s="4" t="s">
        <v>4666</v>
      </c>
      <c r="C1340" s="4" t="s">
        <v>4667</v>
      </c>
      <c r="D1340" s="8" t="s">
        <v>4668</v>
      </c>
      <c r="E1340" s="4" t="s">
        <v>1323</v>
      </c>
      <c r="F1340" s="4" t="s">
        <v>4669</v>
      </c>
      <c r="G1340" s="4" t="s">
        <v>251</v>
      </c>
      <c r="H1340" s="4" t="s">
        <v>20</v>
      </c>
      <c r="I1340" s="4" t="s">
        <v>287</v>
      </c>
    </row>
    <row r="1341">
      <c r="A1341" s="7">
        <v>45609.36959244213</v>
      </c>
      <c r="B1341" s="4" t="s">
        <v>4670</v>
      </c>
      <c r="C1341" s="4" t="s">
        <v>4667</v>
      </c>
      <c r="D1341" s="8" t="s">
        <v>4668</v>
      </c>
      <c r="E1341" s="4" t="s">
        <v>1323</v>
      </c>
      <c r="F1341" s="4" t="s">
        <v>4671</v>
      </c>
      <c r="G1341" s="4" t="s">
        <v>251</v>
      </c>
      <c r="H1341" s="4" t="s">
        <v>20</v>
      </c>
      <c r="I1341" s="4" t="s">
        <v>1101</v>
      </c>
    </row>
    <row r="1342">
      <c r="A1342" s="7">
        <v>45609.432577604166</v>
      </c>
      <c r="B1342" s="4" t="s">
        <v>4672</v>
      </c>
      <c r="C1342" s="4" t="s">
        <v>4667</v>
      </c>
      <c r="D1342" s="8" t="s">
        <v>4668</v>
      </c>
      <c r="E1342" s="4" t="s">
        <v>1323</v>
      </c>
      <c r="F1342" s="4" t="s">
        <v>4673</v>
      </c>
      <c r="G1342" s="4" t="s">
        <v>251</v>
      </c>
      <c r="H1342" s="4" t="s">
        <v>20</v>
      </c>
      <c r="I1342" s="4" t="s">
        <v>1660</v>
      </c>
    </row>
    <row r="1343">
      <c r="A1343" s="7">
        <v>45609.371991249995</v>
      </c>
      <c r="B1343" s="4" t="s">
        <v>3183</v>
      </c>
      <c r="C1343" s="4" t="s">
        <v>4676</v>
      </c>
      <c r="D1343" s="4" t="s">
        <v>3185</v>
      </c>
      <c r="E1343" s="4" t="s">
        <v>345</v>
      </c>
      <c r="F1343" s="4" t="s">
        <v>4677</v>
      </c>
      <c r="G1343" s="4" t="s">
        <v>54</v>
      </c>
      <c r="H1343" s="4" t="s">
        <v>570</v>
      </c>
      <c r="I1343" s="4" t="s">
        <v>895</v>
      </c>
    </row>
    <row r="1344">
      <c r="A1344" s="7">
        <v>45609.376994039354</v>
      </c>
      <c r="B1344" s="4" t="s">
        <v>4679</v>
      </c>
      <c r="C1344" s="4" t="s">
        <v>4680</v>
      </c>
      <c r="D1344" s="4" t="s">
        <v>4681</v>
      </c>
      <c r="E1344" s="4" t="s">
        <v>345</v>
      </c>
      <c r="F1344" s="4" t="s">
        <v>4683</v>
      </c>
      <c r="G1344" s="4" t="s">
        <v>54</v>
      </c>
      <c r="H1344" s="4" t="s">
        <v>20</v>
      </c>
      <c r="I1344" s="4" t="s">
        <v>540</v>
      </c>
    </row>
    <row r="1345">
      <c r="A1345" s="7">
        <v>45609.43066997685</v>
      </c>
      <c r="B1345" s="4" t="s">
        <v>4685</v>
      </c>
      <c r="C1345" s="4" t="s">
        <v>4686</v>
      </c>
      <c r="D1345" s="4" t="s">
        <v>4687</v>
      </c>
      <c r="E1345" s="4" t="s">
        <v>4688</v>
      </c>
      <c r="F1345" s="4" t="s">
        <v>4689</v>
      </c>
      <c r="G1345" s="4" t="s">
        <v>54</v>
      </c>
      <c r="H1345" s="4" t="s">
        <v>20</v>
      </c>
      <c r="I1345" s="4" t="s">
        <v>4690</v>
      </c>
    </row>
    <row r="1346">
      <c r="A1346" s="7">
        <v>45609.39046927083</v>
      </c>
      <c r="B1346" s="4" t="s">
        <v>4691</v>
      </c>
      <c r="C1346" s="4" t="s">
        <v>4692</v>
      </c>
      <c r="D1346" s="8" t="s">
        <v>4693</v>
      </c>
      <c r="E1346" s="4" t="s">
        <v>3151</v>
      </c>
      <c r="F1346" s="4" t="s">
        <v>181</v>
      </c>
      <c r="G1346" s="4" t="s">
        <v>19</v>
      </c>
      <c r="H1346" s="4" t="s">
        <v>20</v>
      </c>
      <c r="I1346" s="4" t="s">
        <v>181</v>
      </c>
    </row>
    <row r="1347">
      <c r="A1347" s="7">
        <v>45609.41330188657</v>
      </c>
      <c r="B1347" s="4" t="s">
        <v>4694</v>
      </c>
      <c r="C1347" s="4" t="s">
        <v>4695</v>
      </c>
      <c r="D1347" s="4" t="s">
        <v>238</v>
      </c>
      <c r="E1347" s="4" t="s">
        <v>17</v>
      </c>
      <c r="F1347" s="4" t="s">
        <v>4696</v>
      </c>
      <c r="G1347" s="4" t="s">
        <v>32</v>
      </c>
      <c r="H1347" s="4" t="s">
        <v>20</v>
      </c>
      <c r="I1347" s="4" t="s">
        <v>686</v>
      </c>
    </row>
    <row r="1348">
      <c r="A1348" s="7">
        <v>45609.41589379629</v>
      </c>
      <c r="B1348" s="4" t="s">
        <v>4697</v>
      </c>
      <c r="C1348" s="4" t="s">
        <v>829</v>
      </c>
      <c r="D1348" s="8" t="s">
        <v>830</v>
      </c>
      <c r="E1348" s="4" t="s">
        <v>1276</v>
      </c>
      <c r="F1348" s="4" t="s">
        <v>4658</v>
      </c>
      <c r="G1348" s="4" t="s">
        <v>19</v>
      </c>
      <c r="H1348" s="4" t="s">
        <v>20</v>
      </c>
      <c r="I1348" s="4" t="s">
        <v>593</v>
      </c>
    </row>
    <row r="1349">
      <c r="A1349" s="7">
        <v>45609.422217071755</v>
      </c>
      <c r="B1349" s="4" t="s">
        <v>4294</v>
      </c>
      <c r="C1349" s="4" t="s">
        <v>4295</v>
      </c>
      <c r="D1349" s="4" t="s">
        <v>1617</v>
      </c>
      <c r="E1349" s="4" t="s">
        <v>17</v>
      </c>
      <c r="F1349" s="4" t="s">
        <v>4698</v>
      </c>
      <c r="G1349" s="4" t="s">
        <v>32</v>
      </c>
      <c r="H1349" s="4" t="s">
        <v>570</v>
      </c>
      <c r="I1349" s="4" t="s">
        <v>242</v>
      </c>
    </row>
    <row r="1350">
      <c r="A1350" s="7">
        <v>45609.42892975695</v>
      </c>
      <c r="B1350" s="4" t="s">
        <v>4699</v>
      </c>
      <c r="C1350" s="4" t="s">
        <v>2349</v>
      </c>
      <c r="D1350" s="8" t="s">
        <v>4700</v>
      </c>
      <c r="E1350" s="4" t="s">
        <v>1009</v>
      </c>
      <c r="F1350" s="4" t="s">
        <v>4701</v>
      </c>
      <c r="G1350" s="4" t="s">
        <v>19</v>
      </c>
      <c r="H1350" s="4" t="s">
        <v>20</v>
      </c>
      <c r="I1350" s="4" t="s">
        <v>2218</v>
      </c>
    </row>
    <row r="1351">
      <c r="A1351" s="7">
        <v>45609.43314663194</v>
      </c>
      <c r="B1351" s="4" t="s">
        <v>4702</v>
      </c>
      <c r="C1351" s="4" t="s">
        <v>4703</v>
      </c>
      <c r="D1351" s="8" t="s">
        <v>516</v>
      </c>
      <c r="E1351" s="4" t="s">
        <v>313</v>
      </c>
      <c r="F1351" s="4" t="s">
        <v>4704</v>
      </c>
      <c r="G1351" s="4" t="s">
        <v>251</v>
      </c>
      <c r="H1351" s="4" t="s">
        <v>20</v>
      </c>
      <c r="I1351" s="4" t="s">
        <v>1924</v>
      </c>
    </row>
    <row r="1352">
      <c r="A1352" s="7">
        <v>45609.435086446756</v>
      </c>
      <c r="B1352" s="4" t="s">
        <v>3563</v>
      </c>
      <c r="C1352" s="4" t="s">
        <v>3564</v>
      </c>
      <c r="D1352" s="4" t="s">
        <v>3553</v>
      </c>
      <c r="E1352" s="4" t="s">
        <v>345</v>
      </c>
      <c r="F1352" s="4" t="s">
        <v>3565</v>
      </c>
      <c r="G1352" s="4" t="s">
        <v>32</v>
      </c>
      <c r="H1352" s="4" t="s">
        <v>570</v>
      </c>
      <c r="I1352" s="4" t="s">
        <v>347</v>
      </c>
    </row>
    <row r="1353">
      <c r="A1353" s="7">
        <v>45609.43631211805</v>
      </c>
      <c r="B1353" s="4" t="s">
        <v>4705</v>
      </c>
      <c r="C1353" s="4" t="s">
        <v>4706</v>
      </c>
      <c r="D1353" s="8" t="s">
        <v>4707</v>
      </c>
      <c r="E1353" s="4" t="s">
        <v>17</v>
      </c>
      <c r="F1353" s="4" t="s">
        <v>4708</v>
      </c>
      <c r="G1353" s="4" t="s">
        <v>19</v>
      </c>
      <c r="H1353" s="4" t="s">
        <v>20</v>
      </c>
      <c r="I1353" s="4" t="s">
        <v>2979</v>
      </c>
    </row>
    <row r="1354">
      <c r="A1354" s="7">
        <v>45609.438627766205</v>
      </c>
      <c r="B1354" s="4" t="s">
        <v>4709</v>
      </c>
      <c r="C1354" s="4" t="s">
        <v>4710</v>
      </c>
      <c r="D1354" s="8" t="s">
        <v>2567</v>
      </c>
      <c r="E1354" s="4" t="s">
        <v>4711</v>
      </c>
      <c r="F1354" s="4" t="s">
        <v>4712</v>
      </c>
      <c r="G1354" s="4" t="s">
        <v>54</v>
      </c>
      <c r="H1354" s="4" t="s">
        <v>20</v>
      </c>
      <c r="I1354" s="4" t="s">
        <v>4713</v>
      </c>
    </row>
    <row r="1355">
      <c r="A1355" s="7">
        <v>45609.44684471065</v>
      </c>
      <c r="B1355" s="4" t="s">
        <v>4714</v>
      </c>
      <c r="C1355" s="4" t="s">
        <v>4715</v>
      </c>
      <c r="D1355" s="4" t="s">
        <v>1515</v>
      </c>
      <c r="E1355" s="4" t="s">
        <v>345</v>
      </c>
      <c r="F1355" s="4" t="s">
        <v>4716</v>
      </c>
      <c r="G1355" s="4" t="s">
        <v>54</v>
      </c>
      <c r="H1355" s="4" t="s">
        <v>20</v>
      </c>
      <c r="I1355" s="4" t="s">
        <v>152</v>
      </c>
    </row>
    <row r="1356">
      <c r="A1356" s="7">
        <v>45609.45579487269</v>
      </c>
      <c r="B1356" s="4" t="s">
        <v>4717</v>
      </c>
      <c r="C1356" s="4" t="s">
        <v>4715</v>
      </c>
      <c r="D1356" s="4" t="s">
        <v>1515</v>
      </c>
      <c r="E1356" s="4" t="s">
        <v>4718</v>
      </c>
      <c r="F1356" s="4" t="s">
        <v>4719</v>
      </c>
      <c r="G1356" s="4" t="s">
        <v>54</v>
      </c>
      <c r="H1356" s="4" t="s">
        <v>20</v>
      </c>
      <c r="I1356" s="4" t="s">
        <v>3967</v>
      </c>
    </row>
    <row r="1357">
      <c r="A1357" s="7">
        <v>45609.458632442125</v>
      </c>
      <c r="B1357" s="4" t="s">
        <v>4720</v>
      </c>
      <c r="C1357" s="4" t="s">
        <v>4721</v>
      </c>
      <c r="D1357" s="4" t="s">
        <v>1515</v>
      </c>
      <c r="E1357" s="4" t="s">
        <v>345</v>
      </c>
      <c r="F1357" s="4" t="s">
        <v>4722</v>
      </c>
      <c r="G1357" s="4" t="s">
        <v>54</v>
      </c>
      <c r="H1357" s="4" t="s">
        <v>20</v>
      </c>
      <c r="I1357" s="4" t="s">
        <v>4723</v>
      </c>
    </row>
    <row r="1358">
      <c r="A1358" s="7">
        <v>45609.474920243054</v>
      </c>
      <c r="B1358" s="4" t="s">
        <v>4724</v>
      </c>
      <c r="C1358" s="4" t="s">
        <v>4725</v>
      </c>
      <c r="D1358" s="8" t="s">
        <v>4726</v>
      </c>
      <c r="E1358" s="4" t="s">
        <v>666</v>
      </c>
      <c r="F1358" s="4" t="s">
        <v>4727</v>
      </c>
      <c r="G1358" s="4" t="s">
        <v>251</v>
      </c>
      <c r="H1358" s="4" t="s">
        <v>20</v>
      </c>
      <c r="I1358" s="4" t="s">
        <v>1329</v>
      </c>
    </row>
    <row r="1359">
      <c r="A1359" s="7">
        <v>45609.48725824074</v>
      </c>
      <c r="B1359" s="4" t="s">
        <v>4728</v>
      </c>
      <c r="C1359" s="4" t="s">
        <v>4729</v>
      </c>
      <c r="D1359" s="8" t="s">
        <v>1539</v>
      </c>
      <c r="E1359" s="4" t="s">
        <v>345</v>
      </c>
      <c r="F1359" s="4" t="s">
        <v>4730</v>
      </c>
      <c r="G1359" s="4" t="s">
        <v>3473</v>
      </c>
      <c r="H1359" s="4" t="s">
        <v>20</v>
      </c>
      <c r="I1359" s="4" t="s">
        <v>279</v>
      </c>
    </row>
    <row r="1360">
      <c r="A1360" s="7">
        <v>45609.490145856485</v>
      </c>
      <c r="B1360" s="4" t="s">
        <v>4731</v>
      </c>
      <c r="C1360" s="4" t="s">
        <v>4732</v>
      </c>
      <c r="D1360" s="8" t="s">
        <v>4733</v>
      </c>
      <c r="E1360" s="4" t="s">
        <v>1963</v>
      </c>
      <c r="F1360" s="4" t="s">
        <v>4734</v>
      </c>
      <c r="G1360" s="4" t="s">
        <v>19</v>
      </c>
      <c r="H1360" s="4" t="s">
        <v>20</v>
      </c>
      <c r="I1360" s="4" t="s">
        <v>242</v>
      </c>
    </row>
    <row r="1361">
      <c r="A1361" s="7">
        <v>45609.54510993056</v>
      </c>
      <c r="B1361" s="4" t="s">
        <v>4735</v>
      </c>
      <c r="C1361" s="4" t="s">
        <v>4736</v>
      </c>
      <c r="D1361" s="4" t="s">
        <v>326</v>
      </c>
      <c r="E1361" s="4" t="s">
        <v>754</v>
      </c>
      <c r="F1361" s="4" t="s">
        <v>4737</v>
      </c>
      <c r="G1361" s="4" t="s">
        <v>251</v>
      </c>
      <c r="H1361" s="4" t="s">
        <v>20</v>
      </c>
      <c r="I1361" s="4" t="s">
        <v>4738</v>
      </c>
    </row>
    <row r="1362">
      <c r="A1362" s="7">
        <v>45609.55405048611</v>
      </c>
      <c r="B1362" s="4" t="s">
        <v>4739</v>
      </c>
      <c r="C1362" s="4" t="s">
        <v>4740</v>
      </c>
      <c r="D1362" s="4" t="s">
        <v>4681</v>
      </c>
      <c r="E1362" s="4" t="s">
        <v>345</v>
      </c>
      <c r="F1362" s="4" t="s">
        <v>4741</v>
      </c>
      <c r="G1362" s="4" t="s">
        <v>54</v>
      </c>
      <c r="H1362" s="4" t="s">
        <v>20</v>
      </c>
      <c r="I1362" s="4" t="s">
        <v>2368</v>
      </c>
    </row>
    <row r="1363">
      <c r="A1363" s="7">
        <v>45609.56040798611</v>
      </c>
      <c r="B1363" s="4" t="s">
        <v>4742</v>
      </c>
      <c r="C1363" s="4" t="s">
        <v>4743</v>
      </c>
      <c r="D1363" s="8" t="s">
        <v>4744</v>
      </c>
      <c r="E1363" s="4" t="s">
        <v>1159</v>
      </c>
      <c r="F1363" s="4" t="s">
        <v>4745</v>
      </c>
      <c r="G1363" s="4" t="s">
        <v>32</v>
      </c>
      <c r="H1363" s="4" t="s">
        <v>20</v>
      </c>
      <c r="I1363" s="4" t="s">
        <v>2145</v>
      </c>
    </row>
    <row r="1364">
      <c r="A1364" s="7">
        <v>45609.562033124996</v>
      </c>
      <c r="B1364" s="4" t="s">
        <v>4746</v>
      </c>
      <c r="C1364" s="4" t="s">
        <v>4747</v>
      </c>
      <c r="D1364" s="8" t="s">
        <v>658</v>
      </c>
      <c r="E1364" s="4" t="s">
        <v>17</v>
      </c>
      <c r="F1364" s="4" t="s">
        <v>4748</v>
      </c>
      <c r="G1364" s="4" t="s">
        <v>54</v>
      </c>
      <c r="H1364" s="4" t="s">
        <v>20</v>
      </c>
      <c r="I1364" s="4" t="s">
        <v>319</v>
      </c>
    </row>
    <row r="1365">
      <c r="A1365" s="7">
        <v>45609.56784503472</v>
      </c>
      <c r="B1365" s="4" t="s">
        <v>4749</v>
      </c>
      <c r="C1365" s="4" t="s">
        <v>4750</v>
      </c>
      <c r="D1365" s="4" t="s">
        <v>468</v>
      </c>
      <c r="E1365" s="4" t="s">
        <v>313</v>
      </c>
      <c r="F1365" s="4" t="s">
        <v>4751</v>
      </c>
      <c r="G1365" s="4" t="s">
        <v>251</v>
      </c>
      <c r="H1365" s="4" t="s">
        <v>20</v>
      </c>
      <c r="I1365" s="4" t="s">
        <v>1261</v>
      </c>
    </row>
    <row r="1366">
      <c r="A1366" s="7">
        <v>45609.56866321759</v>
      </c>
      <c r="B1366" s="4" t="s">
        <v>4754</v>
      </c>
      <c r="C1366" s="4" t="s">
        <v>4755</v>
      </c>
      <c r="D1366" s="4" t="s">
        <v>468</v>
      </c>
      <c r="E1366" s="4" t="s">
        <v>313</v>
      </c>
      <c r="F1366" s="4" t="s">
        <v>4757</v>
      </c>
      <c r="G1366" s="4" t="s">
        <v>251</v>
      </c>
      <c r="H1366" s="4" t="s">
        <v>20</v>
      </c>
      <c r="I1366" s="4" t="s">
        <v>1261</v>
      </c>
    </row>
    <row r="1367">
      <c r="A1367" s="7">
        <v>45609.56896039352</v>
      </c>
      <c r="B1367" s="4" t="s">
        <v>2865</v>
      </c>
      <c r="C1367" s="4" t="s">
        <v>4759</v>
      </c>
      <c r="D1367" s="8" t="s">
        <v>4760</v>
      </c>
      <c r="E1367" s="4" t="s">
        <v>17</v>
      </c>
      <c r="F1367" s="4" t="s">
        <v>4762</v>
      </c>
      <c r="G1367" s="4" t="s">
        <v>54</v>
      </c>
      <c r="H1367" s="4" t="s">
        <v>570</v>
      </c>
      <c r="I1367" s="4" t="s">
        <v>4763</v>
      </c>
    </row>
    <row r="1368">
      <c r="A1368" s="7">
        <v>45609.571168194445</v>
      </c>
      <c r="B1368" s="4" t="s">
        <v>4764</v>
      </c>
      <c r="C1368" s="4" t="s">
        <v>4765</v>
      </c>
      <c r="D1368" s="8" t="s">
        <v>4766</v>
      </c>
      <c r="E1368" s="4" t="s">
        <v>17</v>
      </c>
      <c r="F1368" s="4" t="s">
        <v>4767</v>
      </c>
      <c r="G1368" s="4" t="s">
        <v>19</v>
      </c>
      <c r="H1368" s="4" t="s">
        <v>20</v>
      </c>
      <c r="I1368" s="4" t="s">
        <v>877</v>
      </c>
    </row>
    <row r="1369">
      <c r="A1369" s="7">
        <v>45609.5759353125</v>
      </c>
      <c r="B1369" s="4" t="s">
        <v>4768</v>
      </c>
      <c r="C1369" s="4" t="s">
        <v>4769</v>
      </c>
      <c r="D1369" s="8" t="s">
        <v>4770</v>
      </c>
      <c r="E1369" s="4" t="s">
        <v>404</v>
      </c>
      <c r="F1369" s="4" t="s">
        <v>4771</v>
      </c>
      <c r="G1369" s="4" t="s">
        <v>251</v>
      </c>
      <c r="H1369" s="4" t="s">
        <v>20</v>
      </c>
      <c r="I1369" s="4" t="s">
        <v>4772</v>
      </c>
    </row>
    <row r="1370">
      <c r="A1370" s="7">
        <v>45609.576873391205</v>
      </c>
      <c r="B1370" s="4" t="s">
        <v>3104</v>
      </c>
      <c r="C1370" s="4" t="s">
        <v>3105</v>
      </c>
      <c r="D1370" s="4" t="s">
        <v>1617</v>
      </c>
      <c r="E1370" s="4" t="s">
        <v>345</v>
      </c>
      <c r="F1370" s="4" t="s">
        <v>3106</v>
      </c>
      <c r="G1370" s="4" t="s">
        <v>32</v>
      </c>
      <c r="H1370" s="4" t="s">
        <v>570</v>
      </c>
      <c r="I1370" s="4" t="s">
        <v>3107</v>
      </c>
    </row>
    <row r="1371">
      <c r="A1371" s="7">
        <v>45609.57877900463</v>
      </c>
      <c r="B1371" s="4" t="s">
        <v>4773</v>
      </c>
      <c r="C1371" s="4" t="s">
        <v>4774</v>
      </c>
      <c r="D1371" s="4" t="s">
        <v>4179</v>
      </c>
      <c r="E1371" s="4" t="s">
        <v>137</v>
      </c>
      <c r="F1371" s="4" t="s">
        <v>4775</v>
      </c>
      <c r="G1371" s="4" t="s">
        <v>3473</v>
      </c>
      <c r="H1371" s="4" t="s">
        <v>20</v>
      </c>
      <c r="I1371" s="4" t="s">
        <v>694</v>
      </c>
    </row>
    <row r="1372">
      <c r="A1372" s="7">
        <v>45609.58003182871</v>
      </c>
      <c r="B1372" s="4" t="s">
        <v>4776</v>
      </c>
      <c r="C1372" s="4" t="s">
        <v>4777</v>
      </c>
      <c r="D1372" s="4" t="s">
        <v>4179</v>
      </c>
      <c r="E1372" s="4" t="s">
        <v>17</v>
      </c>
      <c r="F1372" s="4" t="s">
        <v>4778</v>
      </c>
      <c r="G1372" s="4" t="s">
        <v>3473</v>
      </c>
      <c r="H1372" s="4" t="s">
        <v>20</v>
      </c>
      <c r="I1372" s="4" t="s">
        <v>4779</v>
      </c>
    </row>
    <row r="1373">
      <c r="A1373" s="7">
        <v>45609.58451703704</v>
      </c>
      <c r="B1373" s="4" t="s">
        <v>4780</v>
      </c>
      <c r="C1373" s="4" t="s">
        <v>4781</v>
      </c>
      <c r="D1373" s="8" t="s">
        <v>4782</v>
      </c>
      <c r="E1373" s="4" t="s">
        <v>345</v>
      </c>
      <c r="F1373" s="4" t="s">
        <v>4783</v>
      </c>
      <c r="G1373" s="4" t="s">
        <v>3473</v>
      </c>
      <c r="H1373" s="4" t="s">
        <v>20</v>
      </c>
      <c r="I1373" s="4" t="s">
        <v>61</v>
      </c>
    </row>
    <row r="1374">
      <c r="A1374" s="7">
        <v>45609.58576834491</v>
      </c>
      <c r="B1374" s="4" t="s">
        <v>3046</v>
      </c>
      <c r="C1374" s="4" t="s">
        <v>3047</v>
      </c>
      <c r="D1374" s="4" t="s">
        <v>1848</v>
      </c>
      <c r="E1374" s="4" t="s">
        <v>1159</v>
      </c>
      <c r="F1374" s="4" t="s">
        <v>3048</v>
      </c>
      <c r="G1374" s="4" t="s">
        <v>32</v>
      </c>
      <c r="H1374" s="4" t="s">
        <v>570</v>
      </c>
      <c r="I1374" s="4" t="s">
        <v>109</v>
      </c>
    </row>
    <row r="1375">
      <c r="A1375" s="7">
        <v>45609.58601510417</v>
      </c>
      <c r="B1375" s="4" t="s">
        <v>4784</v>
      </c>
      <c r="C1375" s="4" t="s">
        <v>4785</v>
      </c>
      <c r="D1375" s="4" t="s">
        <v>2020</v>
      </c>
      <c r="E1375" s="4" t="s">
        <v>754</v>
      </c>
      <c r="F1375" s="4" t="s">
        <v>4786</v>
      </c>
      <c r="G1375" s="4" t="s">
        <v>251</v>
      </c>
      <c r="H1375" s="4" t="s">
        <v>20</v>
      </c>
      <c r="I1375" s="4" t="s">
        <v>1828</v>
      </c>
    </row>
    <row r="1376">
      <c r="A1376" s="7">
        <v>45609.58858481482</v>
      </c>
      <c r="B1376" s="4" t="s">
        <v>4787</v>
      </c>
      <c r="C1376" s="4" t="s">
        <v>4788</v>
      </c>
      <c r="D1376" s="4" t="s">
        <v>2020</v>
      </c>
      <c r="E1376" s="4" t="s">
        <v>313</v>
      </c>
      <c r="F1376" s="4" t="s">
        <v>4789</v>
      </c>
      <c r="G1376" s="4" t="s">
        <v>251</v>
      </c>
      <c r="H1376" s="4" t="s">
        <v>20</v>
      </c>
      <c r="I1376" s="4" t="s">
        <v>4790</v>
      </c>
    </row>
    <row r="1377">
      <c r="A1377" s="7">
        <v>45609.61088586805</v>
      </c>
      <c r="B1377" s="4" t="s">
        <v>4791</v>
      </c>
      <c r="C1377" s="4" t="s">
        <v>4792</v>
      </c>
      <c r="D1377" s="8" t="s">
        <v>4793</v>
      </c>
      <c r="E1377" s="4" t="s">
        <v>119</v>
      </c>
      <c r="F1377" s="4" t="s">
        <v>4794</v>
      </c>
      <c r="G1377" s="4" t="s">
        <v>19</v>
      </c>
      <c r="H1377" s="4" t="s">
        <v>20</v>
      </c>
      <c r="I1377" s="4" t="s">
        <v>852</v>
      </c>
    </row>
    <row r="1378">
      <c r="A1378" s="7">
        <v>45609.61122049768</v>
      </c>
      <c r="B1378" s="4" t="s">
        <v>4795</v>
      </c>
      <c r="C1378" s="4" t="s">
        <v>4796</v>
      </c>
      <c r="D1378" s="8" t="s">
        <v>511</v>
      </c>
      <c r="E1378" s="4" t="s">
        <v>345</v>
      </c>
      <c r="F1378" s="4" t="s">
        <v>4797</v>
      </c>
      <c r="G1378" s="4" t="s">
        <v>54</v>
      </c>
      <c r="H1378" s="4" t="s">
        <v>20</v>
      </c>
      <c r="I1378" s="4" t="s">
        <v>620</v>
      </c>
    </row>
    <row r="1379">
      <c r="A1379" s="7">
        <v>45609.612733182876</v>
      </c>
      <c r="B1379" s="4" t="s">
        <v>4798</v>
      </c>
      <c r="C1379" s="4" t="s">
        <v>4799</v>
      </c>
      <c r="D1379" s="8" t="s">
        <v>511</v>
      </c>
      <c r="E1379" s="4" t="s">
        <v>644</v>
      </c>
      <c r="F1379" s="4" t="s">
        <v>4800</v>
      </c>
      <c r="G1379" s="4" t="s">
        <v>54</v>
      </c>
      <c r="H1379" s="4" t="s">
        <v>20</v>
      </c>
      <c r="I1379" s="4" t="s">
        <v>1458</v>
      </c>
    </row>
    <row r="1380">
      <c r="A1380" s="7">
        <v>45609.61368895833</v>
      </c>
      <c r="B1380" s="4" t="s">
        <v>1105</v>
      </c>
      <c r="C1380" s="4" t="s">
        <v>4801</v>
      </c>
      <c r="D1380" s="8" t="s">
        <v>4802</v>
      </c>
      <c r="E1380" s="4" t="s">
        <v>313</v>
      </c>
      <c r="F1380" s="4" t="s">
        <v>4803</v>
      </c>
      <c r="G1380" s="4" t="s">
        <v>251</v>
      </c>
      <c r="H1380" s="4" t="s">
        <v>20</v>
      </c>
      <c r="I1380" s="4" t="s">
        <v>676</v>
      </c>
    </row>
    <row r="1381">
      <c r="A1381" s="7">
        <v>45609.61578596065</v>
      </c>
      <c r="B1381" s="4" t="s">
        <v>4804</v>
      </c>
      <c r="C1381" s="4" t="s">
        <v>4792</v>
      </c>
      <c r="D1381" s="8" t="s">
        <v>4793</v>
      </c>
      <c r="E1381" s="4" t="s">
        <v>119</v>
      </c>
      <c r="F1381" s="4" t="s">
        <v>4805</v>
      </c>
      <c r="G1381" s="4" t="s">
        <v>19</v>
      </c>
      <c r="H1381" s="4" t="s">
        <v>20</v>
      </c>
      <c r="I1381" s="4" t="s">
        <v>852</v>
      </c>
    </row>
    <row r="1382">
      <c r="A1382" s="7">
        <v>45609.618495462964</v>
      </c>
      <c r="B1382" s="4" t="s">
        <v>4806</v>
      </c>
      <c r="C1382" s="4" t="s">
        <v>4807</v>
      </c>
      <c r="D1382" s="8" t="s">
        <v>3678</v>
      </c>
      <c r="E1382" s="4" t="s">
        <v>345</v>
      </c>
      <c r="F1382" s="4" t="s">
        <v>4808</v>
      </c>
      <c r="G1382" s="4" t="s">
        <v>3473</v>
      </c>
      <c r="H1382" s="4" t="s">
        <v>20</v>
      </c>
      <c r="I1382" s="4" t="s">
        <v>42</v>
      </c>
    </row>
    <row r="1383">
      <c r="A1383" s="7">
        <v>45609.62132859953</v>
      </c>
      <c r="B1383" s="4" t="s">
        <v>4809</v>
      </c>
      <c r="C1383" s="4" t="s">
        <v>4810</v>
      </c>
      <c r="D1383" s="4" t="s">
        <v>4811</v>
      </c>
      <c r="E1383" s="4" t="s">
        <v>137</v>
      </c>
      <c r="F1383" s="4" t="s">
        <v>4812</v>
      </c>
      <c r="G1383" s="4" t="s">
        <v>3473</v>
      </c>
      <c r="H1383" s="4" t="s">
        <v>20</v>
      </c>
      <c r="I1383" s="4" t="s">
        <v>640</v>
      </c>
    </row>
    <row r="1384">
      <c r="A1384" s="7">
        <v>45610.378965497686</v>
      </c>
      <c r="B1384" s="4" t="s">
        <v>4813</v>
      </c>
      <c r="C1384" s="4" t="s">
        <v>4148</v>
      </c>
      <c r="D1384" s="8" t="s">
        <v>4149</v>
      </c>
      <c r="E1384" s="4" t="s">
        <v>2249</v>
      </c>
      <c r="F1384" s="4" t="s">
        <v>4814</v>
      </c>
      <c r="G1384" s="4" t="s">
        <v>19</v>
      </c>
      <c r="H1384" s="4" t="s">
        <v>20</v>
      </c>
      <c r="I1384" s="4" t="s">
        <v>147</v>
      </c>
    </row>
    <row r="1385">
      <c r="A1385" s="7">
        <v>45610.389659374996</v>
      </c>
      <c r="B1385" s="4" t="s">
        <v>4815</v>
      </c>
      <c r="C1385" s="4" t="s">
        <v>4816</v>
      </c>
      <c r="D1385" s="8" t="s">
        <v>4817</v>
      </c>
      <c r="E1385" s="4" t="s">
        <v>1676</v>
      </c>
      <c r="F1385" s="4" t="s">
        <v>4818</v>
      </c>
      <c r="G1385" s="4" t="s">
        <v>19</v>
      </c>
      <c r="H1385" s="4" t="s">
        <v>20</v>
      </c>
      <c r="I1385" s="4" t="s">
        <v>272</v>
      </c>
    </row>
    <row r="1386">
      <c r="A1386" s="7">
        <v>45610.390757650464</v>
      </c>
      <c r="B1386" s="4" t="s">
        <v>4819</v>
      </c>
      <c r="C1386" s="4" t="s">
        <v>4820</v>
      </c>
      <c r="D1386" s="4" t="s">
        <v>276</v>
      </c>
      <c r="E1386" s="4" t="s">
        <v>345</v>
      </c>
      <c r="F1386" s="4" t="s">
        <v>4821</v>
      </c>
      <c r="G1386" s="4" t="s">
        <v>54</v>
      </c>
      <c r="H1386" s="4" t="s">
        <v>20</v>
      </c>
      <c r="I1386" s="4" t="s">
        <v>1086</v>
      </c>
    </row>
    <row r="1387">
      <c r="A1387" s="7">
        <v>45610.3923062963</v>
      </c>
      <c r="B1387" s="4" t="s">
        <v>4822</v>
      </c>
      <c r="C1387" s="4" t="s">
        <v>4823</v>
      </c>
      <c r="D1387" s="4" t="s">
        <v>276</v>
      </c>
      <c r="E1387" s="4" t="s">
        <v>17</v>
      </c>
      <c r="F1387" s="4" t="s">
        <v>4824</v>
      </c>
      <c r="G1387" s="4" t="s">
        <v>54</v>
      </c>
      <c r="H1387" s="4" t="s">
        <v>20</v>
      </c>
      <c r="I1387" s="4" t="s">
        <v>4634</v>
      </c>
    </row>
    <row r="1388">
      <c r="A1388" s="7">
        <v>45610.395799375</v>
      </c>
      <c r="B1388" s="4" t="s">
        <v>4825</v>
      </c>
      <c r="C1388" s="4" t="s">
        <v>4823</v>
      </c>
      <c r="D1388" s="4" t="s">
        <v>276</v>
      </c>
      <c r="E1388" s="4" t="s">
        <v>173</v>
      </c>
      <c r="F1388" s="4" t="s">
        <v>4827</v>
      </c>
      <c r="G1388" s="4" t="s">
        <v>54</v>
      </c>
      <c r="H1388" s="4" t="s">
        <v>20</v>
      </c>
      <c r="I1388" s="4" t="s">
        <v>4828</v>
      </c>
    </row>
    <row r="1389">
      <c r="A1389" s="7">
        <v>45610.39785303241</v>
      </c>
      <c r="B1389" s="4" t="s">
        <v>4829</v>
      </c>
      <c r="C1389" s="4" t="s">
        <v>4830</v>
      </c>
      <c r="D1389" s="4" t="s">
        <v>283</v>
      </c>
      <c r="E1389" s="4" t="s">
        <v>345</v>
      </c>
      <c r="F1389" s="4" t="s">
        <v>4831</v>
      </c>
      <c r="G1389" s="4" t="s">
        <v>3473</v>
      </c>
      <c r="H1389" s="4" t="s">
        <v>20</v>
      </c>
      <c r="I1389" s="4" t="s">
        <v>131</v>
      </c>
    </row>
    <row r="1390">
      <c r="A1390" s="7">
        <v>45610.40380023148</v>
      </c>
      <c r="B1390" s="4" t="s">
        <v>4832</v>
      </c>
      <c r="C1390" s="4" t="s">
        <v>4833</v>
      </c>
      <c r="D1390" s="4" t="s">
        <v>4834</v>
      </c>
      <c r="E1390" s="4" t="s">
        <v>345</v>
      </c>
      <c r="F1390" s="4" t="s">
        <v>4835</v>
      </c>
      <c r="G1390" s="4" t="s">
        <v>3473</v>
      </c>
      <c r="H1390" s="4" t="s">
        <v>20</v>
      </c>
      <c r="I1390" s="4" t="s">
        <v>625</v>
      </c>
    </row>
    <row r="1391">
      <c r="A1391" s="7">
        <v>45610.41060092593</v>
      </c>
      <c r="B1391" s="4" t="s">
        <v>4836</v>
      </c>
      <c r="C1391" s="4" t="s">
        <v>4837</v>
      </c>
      <c r="D1391" s="8" t="s">
        <v>4838</v>
      </c>
      <c r="E1391" s="4" t="s">
        <v>17</v>
      </c>
      <c r="F1391" s="4" t="s">
        <v>4839</v>
      </c>
      <c r="G1391" s="4" t="s">
        <v>19</v>
      </c>
      <c r="H1391" s="4" t="s">
        <v>20</v>
      </c>
      <c r="I1391" s="4" t="s">
        <v>181</v>
      </c>
    </row>
    <row r="1392">
      <c r="A1392" s="7">
        <v>45610.41360581019</v>
      </c>
      <c r="B1392" s="4" t="s">
        <v>4840</v>
      </c>
      <c r="C1392" s="4" t="s">
        <v>4841</v>
      </c>
      <c r="D1392" s="4" t="s">
        <v>1515</v>
      </c>
      <c r="E1392" s="4" t="s">
        <v>345</v>
      </c>
      <c r="F1392" s="4" t="s">
        <v>4842</v>
      </c>
      <c r="G1392" s="4" t="s">
        <v>54</v>
      </c>
      <c r="H1392" s="4" t="s">
        <v>20</v>
      </c>
      <c r="I1392" s="4" t="s">
        <v>4843</v>
      </c>
    </row>
    <row r="1393">
      <c r="A1393" s="7">
        <v>45610.43919585648</v>
      </c>
      <c r="B1393" s="4" t="s">
        <v>4844</v>
      </c>
      <c r="C1393" s="4" t="s">
        <v>4845</v>
      </c>
      <c r="D1393" s="4" t="s">
        <v>4846</v>
      </c>
      <c r="E1393" s="4" t="s">
        <v>17</v>
      </c>
      <c r="F1393" s="4" t="s">
        <v>4847</v>
      </c>
      <c r="G1393" s="4" t="s">
        <v>54</v>
      </c>
      <c r="H1393" s="4" t="s">
        <v>20</v>
      </c>
      <c r="I1393" s="4" t="s">
        <v>428</v>
      </c>
    </row>
    <row r="1394">
      <c r="A1394" s="7">
        <v>45610.45235047454</v>
      </c>
      <c r="B1394" s="4" t="s">
        <v>4848</v>
      </c>
      <c r="C1394" s="4" t="s">
        <v>4849</v>
      </c>
      <c r="D1394" s="4" t="s">
        <v>2040</v>
      </c>
      <c r="E1394" s="4" t="s">
        <v>345</v>
      </c>
      <c r="F1394" s="4" t="s">
        <v>4850</v>
      </c>
      <c r="G1394" s="4" t="s">
        <v>32</v>
      </c>
      <c r="H1394" s="4" t="s">
        <v>20</v>
      </c>
      <c r="I1394" s="4" t="s">
        <v>640</v>
      </c>
    </row>
    <row r="1395">
      <c r="A1395" s="7">
        <v>45610.45834469907</v>
      </c>
      <c r="B1395" s="4" t="s">
        <v>4851</v>
      </c>
      <c r="C1395" s="4" t="s">
        <v>231</v>
      </c>
      <c r="D1395" s="4" t="s">
        <v>373</v>
      </c>
      <c r="E1395" s="4" t="s">
        <v>173</v>
      </c>
      <c r="F1395" s="4" t="s">
        <v>4852</v>
      </c>
      <c r="G1395" s="4" t="s">
        <v>54</v>
      </c>
      <c r="H1395" s="4" t="s">
        <v>20</v>
      </c>
      <c r="I1395" s="4" t="s">
        <v>682</v>
      </c>
    </row>
    <row r="1396">
      <c r="A1396" s="7">
        <v>45610.45948362269</v>
      </c>
      <c r="B1396" s="4" t="s">
        <v>4853</v>
      </c>
      <c r="C1396" s="4" t="s">
        <v>231</v>
      </c>
      <c r="D1396" s="4" t="s">
        <v>373</v>
      </c>
      <c r="E1396" s="4" t="s">
        <v>173</v>
      </c>
      <c r="F1396" s="4" t="s">
        <v>4854</v>
      </c>
      <c r="G1396" s="4" t="s">
        <v>54</v>
      </c>
      <c r="H1396" s="4" t="s">
        <v>20</v>
      </c>
      <c r="I1396" s="4" t="s">
        <v>682</v>
      </c>
    </row>
    <row r="1397">
      <c r="A1397" s="7">
        <v>45610.46164299769</v>
      </c>
      <c r="B1397" s="4" t="s">
        <v>4855</v>
      </c>
      <c r="C1397" s="4" t="s">
        <v>231</v>
      </c>
      <c r="D1397" s="4" t="s">
        <v>373</v>
      </c>
      <c r="E1397" s="4" t="s">
        <v>644</v>
      </c>
      <c r="F1397" s="4" t="s">
        <v>4856</v>
      </c>
      <c r="G1397" s="4" t="s">
        <v>54</v>
      </c>
      <c r="H1397" s="4" t="s">
        <v>20</v>
      </c>
      <c r="I1397" s="4" t="s">
        <v>726</v>
      </c>
    </row>
    <row r="1398">
      <c r="A1398" s="7">
        <v>45610.476313611114</v>
      </c>
      <c r="B1398" s="4" t="s">
        <v>4857</v>
      </c>
      <c r="C1398" s="4" t="s">
        <v>4858</v>
      </c>
      <c r="D1398" s="8" t="s">
        <v>4859</v>
      </c>
      <c r="E1398" s="4" t="s">
        <v>17</v>
      </c>
      <c r="F1398" s="4" t="s">
        <v>4860</v>
      </c>
      <c r="G1398" s="4" t="s">
        <v>19</v>
      </c>
      <c r="H1398" s="4" t="s">
        <v>20</v>
      </c>
      <c r="I1398" s="4" t="s">
        <v>115</v>
      </c>
    </row>
    <row r="1399">
      <c r="A1399" s="7">
        <v>45610.4777422801</v>
      </c>
      <c r="B1399" s="4" t="s">
        <v>4861</v>
      </c>
      <c r="C1399" s="4" t="s">
        <v>4862</v>
      </c>
      <c r="D1399" s="4" t="s">
        <v>4863</v>
      </c>
      <c r="E1399" s="4" t="s">
        <v>173</v>
      </c>
      <c r="F1399" s="4" t="s">
        <v>4864</v>
      </c>
      <c r="G1399" s="4" t="s">
        <v>3473</v>
      </c>
      <c r="H1399" s="4" t="s">
        <v>20</v>
      </c>
      <c r="I1399" s="4" t="s">
        <v>159</v>
      </c>
    </row>
    <row r="1400">
      <c r="A1400" s="7">
        <v>45610.47877908565</v>
      </c>
      <c r="B1400" s="4" t="s">
        <v>4865</v>
      </c>
      <c r="C1400" s="4" t="s">
        <v>4866</v>
      </c>
      <c r="D1400" s="4" t="s">
        <v>4863</v>
      </c>
      <c r="E1400" s="4" t="s">
        <v>173</v>
      </c>
      <c r="F1400" s="4" t="s">
        <v>4867</v>
      </c>
      <c r="G1400" s="4" t="s">
        <v>3473</v>
      </c>
      <c r="H1400" s="4" t="s">
        <v>20</v>
      </c>
      <c r="I1400" s="4" t="s">
        <v>159</v>
      </c>
    </row>
    <row r="1401">
      <c r="A1401" s="7">
        <v>45610.479901886574</v>
      </c>
      <c r="B1401" s="4" t="s">
        <v>4868</v>
      </c>
      <c r="C1401" s="4" t="s">
        <v>4866</v>
      </c>
      <c r="D1401" s="4" t="s">
        <v>4863</v>
      </c>
      <c r="E1401" s="4" t="s">
        <v>173</v>
      </c>
      <c r="F1401" s="4" t="s">
        <v>4869</v>
      </c>
      <c r="G1401" s="4" t="s">
        <v>3473</v>
      </c>
      <c r="H1401" s="4" t="s">
        <v>20</v>
      </c>
      <c r="I1401" s="4" t="s">
        <v>159</v>
      </c>
    </row>
    <row r="1402">
      <c r="A1402" s="7">
        <v>45610.48057491898</v>
      </c>
      <c r="B1402" s="4" t="s">
        <v>4870</v>
      </c>
      <c r="C1402" s="4" t="s">
        <v>4837</v>
      </c>
      <c r="D1402" s="8" t="s">
        <v>4871</v>
      </c>
      <c r="E1402" s="4" t="s">
        <v>17</v>
      </c>
      <c r="F1402" s="4" t="s">
        <v>4872</v>
      </c>
      <c r="G1402" s="4" t="s">
        <v>19</v>
      </c>
      <c r="H1402" s="4" t="s">
        <v>20</v>
      </c>
      <c r="I1402" s="4" t="s">
        <v>181</v>
      </c>
    </row>
    <row r="1403">
      <c r="A1403" s="7">
        <v>45610.49203439815</v>
      </c>
      <c r="B1403" s="4" t="s">
        <v>4873</v>
      </c>
      <c r="C1403" s="4" t="s">
        <v>4874</v>
      </c>
      <c r="D1403" s="8" t="s">
        <v>83</v>
      </c>
      <c r="E1403" s="4" t="s">
        <v>345</v>
      </c>
      <c r="F1403" s="4" t="s">
        <v>4875</v>
      </c>
      <c r="G1403" s="4" t="s">
        <v>54</v>
      </c>
      <c r="H1403" s="4" t="s">
        <v>20</v>
      </c>
      <c r="I1403" s="4" t="s">
        <v>2368</v>
      </c>
    </row>
    <row r="1404">
      <c r="A1404" s="7">
        <v>45610.56321994213</v>
      </c>
      <c r="B1404" s="4" t="s">
        <v>4876</v>
      </c>
      <c r="C1404" s="4" t="s">
        <v>4877</v>
      </c>
      <c r="D1404" s="4" t="s">
        <v>2341</v>
      </c>
      <c r="E1404" s="4" t="s">
        <v>345</v>
      </c>
      <c r="F1404" s="4" t="s">
        <v>4878</v>
      </c>
      <c r="G1404" s="4" t="s">
        <v>32</v>
      </c>
      <c r="H1404" s="4" t="s">
        <v>20</v>
      </c>
      <c r="I1404" s="4" t="s">
        <v>175</v>
      </c>
    </row>
    <row r="1405">
      <c r="A1405" s="7">
        <v>45610.56693178241</v>
      </c>
      <c r="B1405" s="4" t="s">
        <v>3098</v>
      </c>
      <c r="C1405" s="4" t="s">
        <v>3099</v>
      </c>
      <c r="D1405" s="4" t="s">
        <v>1617</v>
      </c>
      <c r="E1405" s="4" t="s">
        <v>345</v>
      </c>
      <c r="F1405" s="4" t="s">
        <v>3100</v>
      </c>
      <c r="G1405" s="4" t="s">
        <v>32</v>
      </c>
      <c r="H1405" s="4" t="s">
        <v>570</v>
      </c>
      <c r="I1405" s="4" t="s">
        <v>686</v>
      </c>
    </row>
    <row r="1406">
      <c r="A1406" s="7">
        <v>45610.568865810186</v>
      </c>
      <c r="B1406" s="4" t="s">
        <v>4879</v>
      </c>
      <c r="C1406" s="4" t="s">
        <v>4880</v>
      </c>
      <c r="D1406" s="4" t="s">
        <v>1831</v>
      </c>
      <c r="E1406" s="4" t="s">
        <v>78</v>
      </c>
      <c r="F1406" s="4" t="s">
        <v>4881</v>
      </c>
      <c r="G1406" s="4" t="s">
        <v>32</v>
      </c>
      <c r="H1406" s="4" t="s">
        <v>20</v>
      </c>
      <c r="I1406" s="4" t="s">
        <v>190</v>
      </c>
    </row>
    <row r="1407">
      <c r="A1407" s="7">
        <v>45610.573931817125</v>
      </c>
      <c r="B1407" s="4" t="s">
        <v>4882</v>
      </c>
      <c r="C1407" s="4" t="s">
        <v>4883</v>
      </c>
      <c r="D1407" s="4" t="s">
        <v>1770</v>
      </c>
      <c r="E1407" s="4" t="s">
        <v>313</v>
      </c>
      <c r="F1407" s="4" t="s">
        <v>4884</v>
      </c>
      <c r="G1407" s="4" t="s">
        <v>251</v>
      </c>
      <c r="H1407" s="4" t="s">
        <v>20</v>
      </c>
      <c r="I1407" s="4" t="s">
        <v>839</v>
      </c>
    </row>
    <row r="1408">
      <c r="A1408" s="7">
        <v>45610.574778368056</v>
      </c>
      <c r="B1408" s="4" t="s">
        <v>4885</v>
      </c>
      <c r="C1408" s="4" t="s">
        <v>4886</v>
      </c>
      <c r="D1408" s="4" t="s">
        <v>3454</v>
      </c>
      <c r="E1408" s="4" t="s">
        <v>345</v>
      </c>
      <c r="F1408" s="4" t="s">
        <v>4887</v>
      </c>
      <c r="G1408" s="4" t="s">
        <v>3473</v>
      </c>
      <c r="H1408" s="4" t="s">
        <v>20</v>
      </c>
      <c r="I1408" s="4" t="s">
        <v>109</v>
      </c>
    </row>
    <row r="1409">
      <c r="A1409" s="7">
        <v>45610.58078135416</v>
      </c>
      <c r="B1409" s="4" t="s">
        <v>4888</v>
      </c>
      <c r="C1409" s="4" t="s">
        <v>4889</v>
      </c>
      <c r="D1409" s="4" t="s">
        <v>4890</v>
      </c>
      <c r="E1409" s="4" t="s">
        <v>345</v>
      </c>
      <c r="F1409" s="4" t="s">
        <v>4891</v>
      </c>
      <c r="G1409" s="4" t="s">
        <v>32</v>
      </c>
      <c r="H1409" s="4" t="s">
        <v>20</v>
      </c>
      <c r="I1409" s="4" t="s">
        <v>242</v>
      </c>
    </row>
    <row r="1410">
      <c r="A1410" s="7">
        <v>45610.58174122685</v>
      </c>
      <c r="B1410" s="4" t="s">
        <v>4892</v>
      </c>
      <c r="C1410" s="4" t="s">
        <v>4889</v>
      </c>
      <c r="D1410" s="4" t="s">
        <v>4890</v>
      </c>
      <c r="E1410" s="4" t="s">
        <v>345</v>
      </c>
      <c r="F1410" s="4" t="s">
        <v>4893</v>
      </c>
      <c r="G1410" s="4" t="s">
        <v>32</v>
      </c>
      <c r="H1410" s="4" t="s">
        <v>20</v>
      </c>
      <c r="I1410" s="4" t="s">
        <v>242</v>
      </c>
    </row>
    <row r="1411">
      <c r="A1411" s="7">
        <v>45610.58179082176</v>
      </c>
      <c r="B1411" s="4" t="s">
        <v>4894</v>
      </c>
      <c r="C1411" s="4" t="s">
        <v>4895</v>
      </c>
      <c r="D1411" s="8" t="s">
        <v>4896</v>
      </c>
      <c r="E1411" s="4" t="s">
        <v>17</v>
      </c>
      <c r="F1411" s="4" t="s">
        <v>4897</v>
      </c>
      <c r="G1411" s="4" t="s">
        <v>19</v>
      </c>
      <c r="H1411" s="4" t="s">
        <v>20</v>
      </c>
      <c r="I1411" s="4" t="s">
        <v>109</v>
      </c>
    </row>
    <row r="1412">
      <c r="A1412" s="7">
        <v>45610.584696273145</v>
      </c>
      <c r="B1412" s="4" t="s">
        <v>4898</v>
      </c>
      <c r="C1412" s="4" t="s">
        <v>4899</v>
      </c>
      <c r="D1412" s="4" t="s">
        <v>4417</v>
      </c>
      <c r="E1412" s="4" t="s">
        <v>263</v>
      </c>
      <c r="F1412" s="4" t="s">
        <v>4901</v>
      </c>
      <c r="G1412" s="4" t="s">
        <v>54</v>
      </c>
      <c r="H1412" s="4" t="s">
        <v>20</v>
      </c>
      <c r="I1412" s="4" t="s">
        <v>279</v>
      </c>
    </row>
    <row r="1413">
      <c r="A1413" s="7">
        <v>45610.58696291667</v>
      </c>
      <c r="B1413" s="4" t="s">
        <v>4903</v>
      </c>
      <c r="C1413" s="4" t="s">
        <v>4904</v>
      </c>
      <c r="D1413" s="4" t="s">
        <v>444</v>
      </c>
      <c r="E1413" s="4" t="s">
        <v>30</v>
      </c>
      <c r="F1413" s="4" t="s">
        <v>4906</v>
      </c>
      <c r="G1413" s="4" t="s">
        <v>3473</v>
      </c>
      <c r="H1413" s="4" t="s">
        <v>20</v>
      </c>
      <c r="I1413" s="4" t="s">
        <v>301</v>
      </c>
    </row>
    <row r="1414">
      <c r="A1414" s="7">
        <v>45610.59343631944</v>
      </c>
      <c r="B1414" s="4" t="s">
        <v>4908</v>
      </c>
      <c r="C1414" s="4" t="s">
        <v>4909</v>
      </c>
      <c r="D1414" s="8" t="s">
        <v>4910</v>
      </c>
      <c r="E1414" s="4" t="s">
        <v>30</v>
      </c>
      <c r="F1414" s="4" t="s">
        <v>4911</v>
      </c>
      <c r="G1414" s="4" t="s">
        <v>19</v>
      </c>
      <c r="H1414" s="4" t="s">
        <v>20</v>
      </c>
      <c r="I1414" s="4" t="s">
        <v>1678</v>
      </c>
    </row>
    <row r="1415">
      <c r="A1415" s="7">
        <v>45610.59508557871</v>
      </c>
      <c r="B1415" s="4" t="s">
        <v>4912</v>
      </c>
      <c r="C1415" s="4" t="s">
        <v>4913</v>
      </c>
      <c r="D1415" s="4" t="s">
        <v>1951</v>
      </c>
      <c r="E1415" s="4" t="s">
        <v>1952</v>
      </c>
      <c r="F1415" s="4" t="s">
        <v>4914</v>
      </c>
      <c r="G1415" s="4" t="s">
        <v>32</v>
      </c>
      <c r="H1415" s="4" t="s">
        <v>20</v>
      </c>
      <c r="I1415" s="4" t="s">
        <v>301</v>
      </c>
    </row>
    <row r="1416">
      <c r="A1416" s="7">
        <v>45610.59585603009</v>
      </c>
      <c r="B1416" s="4" t="s">
        <v>4915</v>
      </c>
      <c r="C1416" s="4" t="s">
        <v>4916</v>
      </c>
      <c r="D1416" s="4" t="s">
        <v>1951</v>
      </c>
      <c r="E1416" s="4" t="s">
        <v>96</v>
      </c>
      <c r="F1416" s="4" t="s">
        <v>4917</v>
      </c>
      <c r="G1416" s="4" t="s">
        <v>32</v>
      </c>
      <c r="H1416" s="4" t="s">
        <v>20</v>
      </c>
      <c r="I1416" s="4" t="s">
        <v>301</v>
      </c>
    </row>
    <row r="1417">
      <c r="A1417" s="7">
        <v>45610.59778574074</v>
      </c>
      <c r="B1417" s="4" t="s">
        <v>4918</v>
      </c>
      <c r="C1417" s="4" t="s">
        <v>4919</v>
      </c>
      <c r="D1417" s="8" t="s">
        <v>582</v>
      </c>
      <c r="E1417" s="4" t="s">
        <v>1323</v>
      </c>
      <c r="F1417" s="4" t="s">
        <v>4920</v>
      </c>
      <c r="G1417" s="4" t="s">
        <v>54</v>
      </c>
      <c r="H1417" s="4" t="s">
        <v>20</v>
      </c>
      <c r="I1417" s="4" t="s">
        <v>4921</v>
      </c>
    </row>
    <row r="1418">
      <c r="A1418" s="7">
        <v>45610.598113217595</v>
      </c>
      <c r="B1418" s="4" t="s">
        <v>4922</v>
      </c>
      <c r="C1418" s="4" t="s">
        <v>4923</v>
      </c>
      <c r="D1418" s="4" t="s">
        <v>1625</v>
      </c>
      <c r="E1418" s="4" t="s">
        <v>313</v>
      </c>
      <c r="F1418" s="4" t="s">
        <v>4924</v>
      </c>
      <c r="G1418" s="4" t="s">
        <v>251</v>
      </c>
      <c r="H1418" s="4" t="s">
        <v>20</v>
      </c>
      <c r="I1418" s="4" t="s">
        <v>4159</v>
      </c>
    </row>
    <row r="1419">
      <c r="A1419" s="7">
        <v>45610.60070675926</v>
      </c>
      <c r="B1419" s="4" t="s">
        <v>4926</v>
      </c>
      <c r="C1419" s="4" t="s">
        <v>2175</v>
      </c>
      <c r="D1419" s="8" t="s">
        <v>582</v>
      </c>
      <c r="E1419" s="4" t="s">
        <v>583</v>
      </c>
      <c r="F1419" s="4" t="s">
        <v>4927</v>
      </c>
      <c r="G1419" s="4" t="s">
        <v>54</v>
      </c>
      <c r="H1419" s="4" t="s">
        <v>20</v>
      </c>
      <c r="I1419" s="4" t="s">
        <v>2675</v>
      </c>
    </row>
    <row r="1420">
      <c r="A1420" s="7">
        <v>45610.60219837963</v>
      </c>
      <c r="B1420" s="4" t="s">
        <v>4928</v>
      </c>
      <c r="C1420" s="4" t="s">
        <v>4929</v>
      </c>
      <c r="D1420" s="4" t="s">
        <v>4087</v>
      </c>
      <c r="E1420" s="4" t="s">
        <v>345</v>
      </c>
      <c r="F1420" s="4" t="s">
        <v>4930</v>
      </c>
      <c r="G1420" s="4" t="s">
        <v>32</v>
      </c>
      <c r="H1420" s="4" t="s">
        <v>20</v>
      </c>
      <c r="I1420" s="4" t="s">
        <v>126</v>
      </c>
    </row>
    <row r="1421">
      <c r="A1421" s="7">
        <v>45610.60309255787</v>
      </c>
      <c r="B1421" s="4" t="s">
        <v>4931</v>
      </c>
      <c r="C1421" s="4" t="s">
        <v>4932</v>
      </c>
      <c r="D1421" s="4" t="s">
        <v>4087</v>
      </c>
      <c r="E1421" s="4" t="s">
        <v>345</v>
      </c>
      <c r="F1421" s="4" t="s">
        <v>4933</v>
      </c>
      <c r="G1421" s="4" t="s">
        <v>32</v>
      </c>
      <c r="H1421" s="4" t="s">
        <v>20</v>
      </c>
      <c r="I1421" s="4" t="s">
        <v>235</v>
      </c>
    </row>
    <row r="1422">
      <c r="A1422" s="7">
        <v>45610.603961597226</v>
      </c>
      <c r="B1422" s="4" t="s">
        <v>4934</v>
      </c>
      <c r="C1422" s="4" t="s">
        <v>4935</v>
      </c>
      <c r="D1422" s="4" t="s">
        <v>1625</v>
      </c>
      <c r="E1422" s="4" t="s">
        <v>313</v>
      </c>
      <c r="F1422" s="4" t="s">
        <v>4936</v>
      </c>
      <c r="G1422" s="4" t="s">
        <v>251</v>
      </c>
      <c r="H1422" s="4" t="s">
        <v>20</v>
      </c>
      <c r="I1422" s="4" t="s">
        <v>3752</v>
      </c>
    </row>
    <row r="1423">
      <c r="A1423" s="7">
        <v>45610.603982141205</v>
      </c>
      <c r="B1423" s="4" t="s">
        <v>4937</v>
      </c>
      <c r="C1423" s="4" t="s">
        <v>4929</v>
      </c>
      <c r="D1423" s="4" t="s">
        <v>4087</v>
      </c>
      <c r="E1423" s="4" t="s">
        <v>345</v>
      </c>
      <c r="F1423" s="4" t="s">
        <v>4938</v>
      </c>
      <c r="G1423" s="4" t="s">
        <v>32</v>
      </c>
      <c r="H1423" s="4" t="s">
        <v>20</v>
      </c>
      <c r="I1423" s="4" t="s">
        <v>126</v>
      </c>
    </row>
    <row r="1424">
      <c r="A1424" s="7">
        <v>45610.60471050926</v>
      </c>
      <c r="B1424" s="4" t="s">
        <v>4939</v>
      </c>
      <c r="C1424" s="4" t="s">
        <v>2175</v>
      </c>
      <c r="D1424" s="8" t="s">
        <v>582</v>
      </c>
      <c r="E1424" s="4" t="s">
        <v>583</v>
      </c>
      <c r="F1424" s="4" t="s">
        <v>4940</v>
      </c>
      <c r="G1424" s="4" t="s">
        <v>54</v>
      </c>
      <c r="H1424" s="4" t="s">
        <v>20</v>
      </c>
      <c r="I1424" s="4" t="s">
        <v>1344</v>
      </c>
    </row>
    <row r="1425">
      <c r="A1425" s="7">
        <v>45610.60645791667</v>
      </c>
      <c r="B1425" s="4" t="s">
        <v>4941</v>
      </c>
      <c r="C1425" s="4" t="s">
        <v>2175</v>
      </c>
      <c r="D1425" s="8" t="s">
        <v>582</v>
      </c>
      <c r="E1425" s="4" t="s">
        <v>583</v>
      </c>
      <c r="F1425" s="4" t="s">
        <v>4942</v>
      </c>
      <c r="G1425" s="4" t="s">
        <v>54</v>
      </c>
      <c r="H1425" s="4" t="s">
        <v>20</v>
      </c>
      <c r="I1425" s="4" t="s">
        <v>2671</v>
      </c>
    </row>
    <row r="1426">
      <c r="A1426" s="7">
        <v>45610.60834234954</v>
      </c>
      <c r="B1426" s="4" t="s">
        <v>4943</v>
      </c>
      <c r="C1426" s="4" t="s">
        <v>2175</v>
      </c>
      <c r="D1426" s="8" t="s">
        <v>582</v>
      </c>
      <c r="E1426" s="4" t="s">
        <v>583</v>
      </c>
      <c r="F1426" s="4" t="s">
        <v>4944</v>
      </c>
      <c r="G1426" s="4" t="s">
        <v>54</v>
      </c>
      <c r="H1426" s="4" t="s">
        <v>20</v>
      </c>
      <c r="I1426" s="4" t="s">
        <v>1803</v>
      </c>
    </row>
    <row r="1427">
      <c r="A1427" s="7">
        <v>45610.61093722223</v>
      </c>
      <c r="B1427" s="4" t="s">
        <v>4945</v>
      </c>
      <c r="C1427" s="4" t="s">
        <v>3940</v>
      </c>
      <c r="D1427" s="8" t="s">
        <v>658</v>
      </c>
      <c r="E1427" s="4" t="s">
        <v>17</v>
      </c>
      <c r="F1427" s="4" t="s">
        <v>4946</v>
      </c>
      <c r="G1427" s="4" t="s">
        <v>54</v>
      </c>
      <c r="H1427" s="4" t="s">
        <v>20</v>
      </c>
      <c r="I1427" s="4" t="s">
        <v>1063</v>
      </c>
    </row>
    <row r="1428">
      <c r="A1428" s="7">
        <v>45610.61214590278</v>
      </c>
      <c r="B1428" s="4" t="s">
        <v>4947</v>
      </c>
      <c r="C1428" s="4" t="s">
        <v>3940</v>
      </c>
      <c r="D1428" s="8" t="s">
        <v>658</v>
      </c>
      <c r="E1428" s="4" t="s">
        <v>17</v>
      </c>
      <c r="F1428" s="4" t="s">
        <v>4948</v>
      </c>
      <c r="G1428" s="4" t="s">
        <v>54</v>
      </c>
      <c r="H1428" s="4" t="s">
        <v>20</v>
      </c>
      <c r="I1428" s="4" t="s">
        <v>3451</v>
      </c>
    </row>
    <row r="1429">
      <c r="A1429" s="7">
        <v>45610.61382490741</v>
      </c>
      <c r="B1429" s="4" t="s">
        <v>4949</v>
      </c>
      <c r="C1429" s="4" t="s">
        <v>4950</v>
      </c>
      <c r="D1429" s="8" t="s">
        <v>533</v>
      </c>
      <c r="E1429" s="4" t="s">
        <v>284</v>
      </c>
      <c r="F1429" s="4" t="s">
        <v>4951</v>
      </c>
      <c r="G1429" s="4" t="s">
        <v>251</v>
      </c>
      <c r="H1429" s="4" t="s">
        <v>20</v>
      </c>
      <c r="I1429" s="4" t="s">
        <v>1454</v>
      </c>
    </row>
    <row r="1430">
      <c r="A1430" s="7">
        <v>45610.621729942126</v>
      </c>
      <c r="B1430" s="4" t="s">
        <v>4952</v>
      </c>
      <c r="C1430" s="4" t="s">
        <v>3940</v>
      </c>
      <c r="D1430" s="8" t="s">
        <v>658</v>
      </c>
      <c r="E1430" s="4" t="s">
        <v>17</v>
      </c>
      <c r="F1430" s="4" t="s">
        <v>4953</v>
      </c>
      <c r="G1430" s="4" t="s">
        <v>54</v>
      </c>
      <c r="H1430" s="4" t="s">
        <v>20</v>
      </c>
      <c r="I1430" s="4" t="s">
        <v>4954</v>
      </c>
    </row>
    <row r="1431">
      <c r="A1431" s="7">
        <v>45610.621783622686</v>
      </c>
      <c r="B1431" s="4" t="s">
        <v>4955</v>
      </c>
      <c r="C1431" s="4" t="s">
        <v>4956</v>
      </c>
      <c r="D1431" s="8" t="s">
        <v>4957</v>
      </c>
      <c r="E1431" s="4" t="s">
        <v>3151</v>
      </c>
      <c r="F1431" s="4" t="s">
        <v>1218</v>
      </c>
      <c r="G1431" s="4" t="s">
        <v>32</v>
      </c>
      <c r="H1431" s="4" t="s">
        <v>20</v>
      </c>
      <c r="I1431" s="4" t="s">
        <v>1218</v>
      </c>
    </row>
    <row r="1432">
      <c r="A1432" s="7">
        <v>45610.632567002314</v>
      </c>
      <c r="B1432" s="4" t="s">
        <v>4958</v>
      </c>
      <c r="C1432" s="4" t="s">
        <v>4959</v>
      </c>
      <c r="D1432" s="4" t="s">
        <v>4960</v>
      </c>
      <c r="E1432" s="4" t="s">
        <v>432</v>
      </c>
      <c r="F1432" s="4" t="s">
        <v>4961</v>
      </c>
      <c r="G1432" s="4" t="s">
        <v>251</v>
      </c>
      <c r="H1432" s="4" t="s">
        <v>20</v>
      </c>
      <c r="I1432" s="4" t="s">
        <v>668</v>
      </c>
    </row>
    <row r="1433">
      <c r="A1433" s="7">
        <v>45611.34080185185</v>
      </c>
      <c r="B1433" s="4" t="s">
        <v>4962</v>
      </c>
      <c r="C1433" s="4" t="s">
        <v>4963</v>
      </c>
      <c r="D1433" s="4" t="s">
        <v>468</v>
      </c>
      <c r="E1433" s="4" t="s">
        <v>313</v>
      </c>
      <c r="F1433" s="4" t="s">
        <v>4964</v>
      </c>
      <c r="G1433" s="4" t="s">
        <v>54</v>
      </c>
      <c r="H1433" s="4" t="s">
        <v>20</v>
      </c>
      <c r="I1433" s="4" t="s">
        <v>4965</v>
      </c>
    </row>
    <row r="1434">
      <c r="A1434" s="7">
        <v>45611.34403359954</v>
      </c>
      <c r="B1434" s="4" t="s">
        <v>4966</v>
      </c>
      <c r="C1434" s="4" t="s">
        <v>4967</v>
      </c>
      <c r="D1434" s="8" t="s">
        <v>4968</v>
      </c>
      <c r="E1434" s="4" t="s">
        <v>4969</v>
      </c>
      <c r="F1434" s="4" t="s">
        <v>3151</v>
      </c>
      <c r="G1434" s="4" t="s">
        <v>54</v>
      </c>
      <c r="H1434" s="4" t="s">
        <v>20</v>
      </c>
      <c r="I1434" s="4" t="s">
        <v>86</v>
      </c>
    </row>
    <row r="1435">
      <c r="A1435" s="7">
        <v>45611.37416244213</v>
      </c>
      <c r="B1435" s="4" t="s">
        <v>4970</v>
      </c>
      <c r="C1435" s="4" t="s">
        <v>4971</v>
      </c>
      <c r="D1435" s="8" t="s">
        <v>4972</v>
      </c>
      <c r="E1435" s="4" t="s">
        <v>451</v>
      </c>
      <c r="F1435" s="4" t="s">
        <v>4973</v>
      </c>
      <c r="G1435" s="4" t="s">
        <v>54</v>
      </c>
      <c r="H1435" s="4" t="s">
        <v>20</v>
      </c>
      <c r="I1435" s="4" t="s">
        <v>807</v>
      </c>
    </row>
    <row r="1436">
      <c r="A1436" s="7">
        <v>45611.37833129629</v>
      </c>
      <c r="B1436" s="4" t="s">
        <v>4974</v>
      </c>
      <c r="C1436" s="4" t="s">
        <v>4975</v>
      </c>
      <c r="D1436" s="8" t="s">
        <v>262</v>
      </c>
      <c r="E1436" s="4" t="s">
        <v>263</v>
      </c>
      <c r="F1436" s="4" t="s">
        <v>4976</v>
      </c>
      <c r="G1436" s="4" t="s">
        <v>54</v>
      </c>
      <c r="H1436" s="4" t="s">
        <v>20</v>
      </c>
      <c r="I1436" s="4" t="s">
        <v>1121</v>
      </c>
    </row>
    <row r="1437">
      <c r="A1437" s="7">
        <v>45611.37945712963</v>
      </c>
      <c r="B1437" s="4" t="s">
        <v>4977</v>
      </c>
      <c r="C1437" s="4" t="s">
        <v>4978</v>
      </c>
      <c r="D1437" s="8" t="s">
        <v>4979</v>
      </c>
      <c r="E1437" s="4" t="s">
        <v>17</v>
      </c>
      <c r="F1437" s="4" t="s">
        <v>4980</v>
      </c>
      <c r="G1437" s="4" t="s">
        <v>19</v>
      </c>
      <c r="H1437" s="4" t="s">
        <v>20</v>
      </c>
      <c r="I1437" s="4" t="s">
        <v>115</v>
      </c>
    </row>
    <row r="1438">
      <c r="A1438" s="7">
        <v>45611.383768750005</v>
      </c>
      <c r="B1438" s="4" t="s">
        <v>4981</v>
      </c>
      <c r="C1438" s="4" t="s">
        <v>4982</v>
      </c>
      <c r="D1438" s="8" t="s">
        <v>1202</v>
      </c>
      <c r="E1438" s="4" t="s">
        <v>17</v>
      </c>
      <c r="F1438" s="4" t="s">
        <v>4983</v>
      </c>
      <c r="G1438" s="4" t="s">
        <v>32</v>
      </c>
      <c r="H1438" s="4" t="s">
        <v>20</v>
      </c>
      <c r="I1438" s="4" t="s">
        <v>86</v>
      </c>
    </row>
    <row r="1439">
      <c r="A1439" s="7">
        <v>45611.39483171296</v>
      </c>
      <c r="B1439" s="4" t="s">
        <v>4984</v>
      </c>
      <c r="C1439" s="4" t="s">
        <v>4985</v>
      </c>
      <c r="D1439" s="8" t="s">
        <v>1800</v>
      </c>
      <c r="E1439" s="4" t="s">
        <v>30</v>
      </c>
      <c r="F1439" s="4" t="s">
        <v>4986</v>
      </c>
      <c r="G1439" s="4" t="s">
        <v>19</v>
      </c>
      <c r="H1439" s="4" t="s">
        <v>20</v>
      </c>
      <c r="I1439" s="4" t="s">
        <v>301</v>
      </c>
    </row>
    <row r="1440">
      <c r="A1440" s="7">
        <v>45611.41023108797</v>
      </c>
      <c r="B1440" s="4" t="s">
        <v>4987</v>
      </c>
      <c r="C1440" s="4" t="s">
        <v>4988</v>
      </c>
      <c r="D1440" s="8" t="s">
        <v>4989</v>
      </c>
      <c r="E1440" s="4" t="s">
        <v>17</v>
      </c>
      <c r="F1440" s="4" t="s">
        <v>4990</v>
      </c>
      <c r="G1440" s="4" t="s">
        <v>19</v>
      </c>
      <c r="H1440" s="4" t="s">
        <v>20</v>
      </c>
      <c r="I1440" s="4" t="s">
        <v>4991</v>
      </c>
    </row>
    <row r="1441">
      <c r="A1441" s="7">
        <v>45611.40112363426</v>
      </c>
      <c r="B1441" s="4" t="s">
        <v>4992</v>
      </c>
      <c r="C1441" s="4" t="s">
        <v>4993</v>
      </c>
      <c r="D1441" s="4" t="s">
        <v>4994</v>
      </c>
      <c r="E1441" s="4" t="s">
        <v>583</v>
      </c>
      <c r="F1441" s="4" t="s">
        <v>4995</v>
      </c>
      <c r="G1441" s="4" t="s">
        <v>54</v>
      </c>
      <c r="H1441" s="4" t="s">
        <v>20</v>
      </c>
      <c r="I1441" s="4" t="s">
        <v>1056</v>
      </c>
    </row>
    <row r="1442">
      <c r="A1442" s="7">
        <v>45611.40398688657</v>
      </c>
      <c r="B1442" s="4" t="s">
        <v>4996</v>
      </c>
      <c r="C1442" s="4" t="s">
        <v>4997</v>
      </c>
      <c r="D1442" s="8" t="s">
        <v>1646</v>
      </c>
      <c r="E1442" s="4" t="s">
        <v>3417</v>
      </c>
      <c r="F1442" s="4" t="s">
        <v>4998</v>
      </c>
      <c r="G1442" s="4" t="s">
        <v>54</v>
      </c>
      <c r="H1442" s="4" t="s">
        <v>20</v>
      </c>
      <c r="I1442" s="4" t="s">
        <v>1559</v>
      </c>
    </row>
    <row r="1443">
      <c r="A1443" s="7">
        <v>45611.41072598379</v>
      </c>
      <c r="B1443" s="4" t="s">
        <v>4999</v>
      </c>
      <c r="C1443" s="4" t="s">
        <v>5000</v>
      </c>
      <c r="D1443" s="8" t="s">
        <v>5001</v>
      </c>
      <c r="E1443" s="4" t="s">
        <v>59</v>
      </c>
      <c r="F1443" s="4" t="s">
        <v>5002</v>
      </c>
      <c r="G1443" s="4" t="s">
        <v>19</v>
      </c>
      <c r="H1443" s="4" t="s">
        <v>20</v>
      </c>
      <c r="I1443" s="4" t="s">
        <v>144</v>
      </c>
    </row>
    <row r="1444">
      <c r="A1444" s="7">
        <v>45611.41258508102</v>
      </c>
      <c r="B1444" s="4" t="s">
        <v>3739</v>
      </c>
      <c r="C1444" s="4" t="s">
        <v>3740</v>
      </c>
      <c r="D1444" s="4" t="s">
        <v>1129</v>
      </c>
      <c r="E1444" s="4" t="s">
        <v>345</v>
      </c>
      <c r="F1444" s="4" t="s">
        <v>3741</v>
      </c>
      <c r="G1444" s="4" t="s">
        <v>32</v>
      </c>
      <c r="H1444" s="4" t="s">
        <v>570</v>
      </c>
      <c r="I1444" s="4" t="s">
        <v>301</v>
      </c>
    </row>
    <row r="1445">
      <c r="A1445" s="7">
        <v>45611.41322335648</v>
      </c>
      <c r="B1445" s="4" t="s">
        <v>5003</v>
      </c>
      <c r="C1445" s="4" t="s">
        <v>5004</v>
      </c>
      <c r="D1445" s="8" t="s">
        <v>124</v>
      </c>
      <c r="E1445" s="4" t="s">
        <v>404</v>
      </c>
      <c r="F1445" s="4" t="s">
        <v>5005</v>
      </c>
      <c r="G1445" s="4" t="s">
        <v>251</v>
      </c>
      <c r="H1445" s="4" t="s">
        <v>20</v>
      </c>
      <c r="I1445" s="4" t="s">
        <v>5006</v>
      </c>
    </row>
    <row r="1446">
      <c r="A1446" s="7">
        <v>45611.4151491088</v>
      </c>
      <c r="B1446" s="4" t="s">
        <v>5007</v>
      </c>
      <c r="C1446" s="4" t="s">
        <v>5008</v>
      </c>
      <c r="D1446" s="8" t="s">
        <v>124</v>
      </c>
      <c r="E1446" s="4" t="s">
        <v>796</v>
      </c>
      <c r="F1446" s="4" t="s">
        <v>5009</v>
      </c>
      <c r="G1446" s="4" t="s">
        <v>251</v>
      </c>
      <c r="H1446" s="4" t="s">
        <v>20</v>
      </c>
      <c r="I1446" s="4" t="s">
        <v>4313</v>
      </c>
    </row>
    <row r="1447">
      <c r="A1447" s="7">
        <v>45611.42342056713</v>
      </c>
      <c r="B1447" s="4" t="s">
        <v>5010</v>
      </c>
      <c r="C1447" s="4" t="s">
        <v>5011</v>
      </c>
      <c r="D1447" s="8" t="s">
        <v>99</v>
      </c>
      <c r="E1447" s="4" t="s">
        <v>583</v>
      </c>
      <c r="F1447" s="4" t="s">
        <v>5012</v>
      </c>
      <c r="G1447" s="4" t="s">
        <v>54</v>
      </c>
      <c r="H1447" s="4" t="s">
        <v>20</v>
      </c>
      <c r="I1447" s="4" t="s">
        <v>5013</v>
      </c>
    </row>
    <row r="1448">
      <c r="A1448" s="7">
        <v>45611.42584606481</v>
      </c>
      <c r="B1448" s="4" t="s">
        <v>5014</v>
      </c>
      <c r="C1448" s="4" t="s">
        <v>5011</v>
      </c>
      <c r="D1448" s="8" t="s">
        <v>99</v>
      </c>
      <c r="E1448" s="4" t="s">
        <v>583</v>
      </c>
      <c r="F1448" s="4" t="s">
        <v>5015</v>
      </c>
      <c r="G1448" s="4" t="s">
        <v>54</v>
      </c>
      <c r="H1448" s="4" t="s">
        <v>20</v>
      </c>
      <c r="I1448" s="4" t="s">
        <v>5016</v>
      </c>
    </row>
    <row r="1449">
      <c r="A1449" s="7">
        <v>45611.427301979165</v>
      </c>
      <c r="B1449" s="4" t="s">
        <v>5017</v>
      </c>
      <c r="C1449" s="4" t="s">
        <v>5011</v>
      </c>
      <c r="D1449" s="8" t="s">
        <v>99</v>
      </c>
      <c r="E1449" s="4" t="s">
        <v>583</v>
      </c>
      <c r="F1449" s="4" t="s">
        <v>5018</v>
      </c>
      <c r="G1449" s="4" t="s">
        <v>54</v>
      </c>
      <c r="H1449" s="4" t="s">
        <v>20</v>
      </c>
      <c r="I1449" s="4" t="s">
        <v>5019</v>
      </c>
    </row>
    <row r="1450">
      <c r="A1450" s="7">
        <v>45611.43033335648</v>
      </c>
      <c r="B1450" s="4" t="s">
        <v>5020</v>
      </c>
      <c r="C1450" s="4" t="s">
        <v>5021</v>
      </c>
      <c r="D1450" s="8" t="s">
        <v>5022</v>
      </c>
      <c r="E1450" s="4" t="s">
        <v>517</v>
      </c>
      <c r="F1450" s="4" t="s">
        <v>5023</v>
      </c>
      <c r="G1450" s="4" t="s">
        <v>3473</v>
      </c>
      <c r="H1450" s="4" t="s">
        <v>20</v>
      </c>
      <c r="I1450" s="4" t="s">
        <v>2218</v>
      </c>
    </row>
    <row r="1451">
      <c r="A1451" s="7">
        <v>45611.436486597224</v>
      </c>
      <c r="B1451" s="4" t="s">
        <v>5024</v>
      </c>
      <c r="C1451" s="4" t="s">
        <v>5025</v>
      </c>
      <c r="D1451" s="8" t="s">
        <v>5026</v>
      </c>
      <c r="E1451" s="4" t="s">
        <v>78</v>
      </c>
      <c r="F1451" s="4" t="s">
        <v>5025</v>
      </c>
      <c r="G1451" s="4" t="s">
        <v>19</v>
      </c>
      <c r="H1451" s="4" t="s">
        <v>20</v>
      </c>
      <c r="I1451" s="4" t="s">
        <v>109</v>
      </c>
    </row>
    <row r="1452">
      <c r="A1452" s="7">
        <v>45611.43688508101</v>
      </c>
      <c r="B1452" s="4" t="s">
        <v>5027</v>
      </c>
      <c r="C1452" s="4" t="s">
        <v>5028</v>
      </c>
      <c r="D1452" s="4" t="s">
        <v>3898</v>
      </c>
      <c r="E1452" s="4" t="s">
        <v>583</v>
      </c>
      <c r="F1452" s="4" t="s">
        <v>5029</v>
      </c>
      <c r="G1452" s="4" t="s">
        <v>54</v>
      </c>
      <c r="H1452" s="4" t="s">
        <v>20</v>
      </c>
      <c r="I1452" s="4" t="s">
        <v>2671</v>
      </c>
    </row>
    <row r="1453">
      <c r="A1453" s="7">
        <v>45611.438006805554</v>
      </c>
      <c r="B1453" s="4" t="s">
        <v>5030</v>
      </c>
      <c r="C1453" s="4" t="s">
        <v>5031</v>
      </c>
      <c r="D1453" s="8" t="s">
        <v>5032</v>
      </c>
      <c r="E1453" s="4" t="s">
        <v>5033</v>
      </c>
      <c r="F1453" s="4" t="s">
        <v>5034</v>
      </c>
      <c r="G1453" s="4" t="s">
        <v>3473</v>
      </c>
      <c r="H1453" s="4" t="s">
        <v>20</v>
      </c>
      <c r="I1453" s="4" t="s">
        <v>975</v>
      </c>
    </row>
    <row r="1454">
      <c r="A1454" s="7">
        <v>45611.43873721064</v>
      </c>
      <c r="B1454" s="4" t="s">
        <v>5035</v>
      </c>
      <c r="C1454" s="4" t="s">
        <v>5036</v>
      </c>
      <c r="D1454" s="8" t="s">
        <v>403</v>
      </c>
      <c r="E1454" s="4" t="s">
        <v>5037</v>
      </c>
      <c r="F1454" s="4" t="s">
        <v>5038</v>
      </c>
      <c r="G1454" s="4" t="s">
        <v>54</v>
      </c>
      <c r="H1454" s="4" t="s">
        <v>20</v>
      </c>
      <c r="I1454" s="4" t="s">
        <v>412</v>
      </c>
    </row>
    <row r="1455">
      <c r="A1455" s="7">
        <v>45611.44058657407</v>
      </c>
      <c r="B1455" s="4" t="s">
        <v>5039</v>
      </c>
      <c r="C1455" s="4" t="s">
        <v>5040</v>
      </c>
      <c r="D1455" s="4" t="s">
        <v>188</v>
      </c>
      <c r="E1455" s="4" t="s">
        <v>1159</v>
      </c>
      <c r="F1455" s="4" t="s">
        <v>189</v>
      </c>
      <c r="G1455" s="4" t="s">
        <v>32</v>
      </c>
      <c r="H1455" s="4" t="s">
        <v>20</v>
      </c>
      <c r="I1455" s="4" t="s">
        <v>190</v>
      </c>
    </row>
    <row r="1456">
      <c r="A1456" s="7">
        <v>45611.441319942125</v>
      </c>
      <c r="B1456" s="4" t="s">
        <v>5041</v>
      </c>
      <c r="C1456" s="4" t="s">
        <v>5042</v>
      </c>
      <c r="D1456" s="4" t="s">
        <v>188</v>
      </c>
      <c r="E1456" s="4" t="s">
        <v>194</v>
      </c>
      <c r="F1456" s="4" t="s">
        <v>2978</v>
      </c>
      <c r="G1456" s="4" t="s">
        <v>32</v>
      </c>
      <c r="H1456" s="4" t="s">
        <v>20</v>
      </c>
      <c r="I1456" s="4" t="s">
        <v>2979</v>
      </c>
    </row>
    <row r="1457">
      <c r="A1457" s="7">
        <v>45611.44215675926</v>
      </c>
      <c r="B1457" s="4" t="s">
        <v>5043</v>
      </c>
      <c r="C1457" s="4" t="s">
        <v>5044</v>
      </c>
      <c r="D1457" s="4" t="s">
        <v>188</v>
      </c>
      <c r="E1457" s="4" t="s">
        <v>78</v>
      </c>
      <c r="F1457" s="4" t="s">
        <v>5045</v>
      </c>
      <c r="G1457" s="4" t="s">
        <v>32</v>
      </c>
      <c r="H1457" s="4" t="s">
        <v>20</v>
      </c>
      <c r="I1457" s="4" t="s">
        <v>1502</v>
      </c>
    </row>
    <row r="1458">
      <c r="A1458" s="7">
        <v>45611.44545537037</v>
      </c>
      <c r="B1458" s="4" t="s">
        <v>5046</v>
      </c>
      <c r="C1458" s="4" t="s">
        <v>5036</v>
      </c>
      <c r="D1458" s="4" t="s">
        <v>2148</v>
      </c>
      <c r="E1458" s="4" t="s">
        <v>345</v>
      </c>
      <c r="F1458" s="4" t="s">
        <v>5047</v>
      </c>
      <c r="G1458" s="4" t="s">
        <v>54</v>
      </c>
      <c r="H1458" s="4" t="s">
        <v>20</v>
      </c>
      <c r="I1458" s="4" t="s">
        <v>1667</v>
      </c>
    </row>
    <row r="1459">
      <c r="A1459" s="7">
        <v>45611.44652428241</v>
      </c>
      <c r="B1459" s="4" t="s">
        <v>4001</v>
      </c>
      <c r="C1459" s="4" t="s">
        <v>4002</v>
      </c>
      <c r="D1459" s="4" t="s">
        <v>4003</v>
      </c>
      <c r="E1459" s="4" t="s">
        <v>345</v>
      </c>
      <c r="F1459" s="4" t="s">
        <v>4004</v>
      </c>
      <c r="G1459" s="4" t="s">
        <v>32</v>
      </c>
      <c r="H1459" s="4" t="s">
        <v>570</v>
      </c>
      <c r="I1459" s="4" t="s">
        <v>375</v>
      </c>
    </row>
    <row r="1460">
      <c r="A1460" s="7">
        <v>45611.44823740741</v>
      </c>
      <c r="B1460" s="4" t="s">
        <v>5048</v>
      </c>
      <c r="C1460" s="4" t="s">
        <v>5049</v>
      </c>
      <c r="D1460" s="8" t="s">
        <v>5050</v>
      </c>
      <c r="E1460" s="4" t="s">
        <v>78</v>
      </c>
      <c r="F1460" s="4" t="s">
        <v>5051</v>
      </c>
      <c r="G1460" s="4" t="s">
        <v>19</v>
      </c>
      <c r="H1460" s="4" t="s">
        <v>20</v>
      </c>
      <c r="I1460" s="4" t="s">
        <v>109</v>
      </c>
    </row>
    <row r="1461">
      <c r="A1461" s="7">
        <v>45611.45147664352</v>
      </c>
      <c r="B1461" s="4" t="s">
        <v>4531</v>
      </c>
      <c r="C1461" s="4" t="s">
        <v>4532</v>
      </c>
      <c r="D1461" s="4" t="s">
        <v>4003</v>
      </c>
      <c r="E1461" s="4" t="s">
        <v>345</v>
      </c>
      <c r="F1461" s="4" t="s">
        <v>4533</v>
      </c>
      <c r="G1461" s="4" t="s">
        <v>32</v>
      </c>
      <c r="H1461" s="4" t="s">
        <v>570</v>
      </c>
      <c r="I1461" s="4" t="s">
        <v>375</v>
      </c>
    </row>
    <row r="1462">
      <c r="A1462" s="7">
        <v>45611.45371746528</v>
      </c>
      <c r="B1462" s="4" t="s">
        <v>5052</v>
      </c>
      <c r="C1462" s="4" t="s">
        <v>5036</v>
      </c>
      <c r="D1462" s="4" t="s">
        <v>2148</v>
      </c>
      <c r="E1462" s="4" t="s">
        <v>345</v>
      </c>
      <c r="F1462" s="4" t="s">
        <v>5054</v>
      </c>
      <c r="G1462" s="4" t="s">
        <v>54</v>
      </c>
      <c r="H1462" s="4" t="s">
        <v>20</v>
      </c>
      <c r="I1462" s="4" t="s">
        <v>412</v>
      </c>
    </row>
    <row r="1463">
      <c r="A1463" s="7">
        <v>45611.463211979164</v>
      </c>
      <c r="B1463" s="4" t="s">
        <v>5055</v>
      </c>
      <c r="C1463" s="4" t="s">
        <v>5056</v>
      </c>
      <c r="D1463" s="8" t="s">
        <v>5057</v>
      </c>
      <c r="E1463" s="4" t="s">
        <v>78</v>
      </c>
      <c r="F1463" s="4" t="s">
        <v>5058</v>
      </c>
      <c r="G1463" s="4" t="s">
        <v>19</v>
      </c>
      <c r="H1463" s="4" t="s">
        <v>20</v>
      </c>
      <c r="I1463" s="4" t="s">
        <v>109</v>
      </c>
    </row>
    <row r="1464">
      <c r="A1464" s="7">
        <v>45611.46550140047</v>
      </c>
      <c r="B1464" s="4" t="s">
        <v>5059</v>
      </c>
      <c r="C1464" s="4" t="s">
        <v>5060</v>
      </c>
      <c r="D1464" s="8" t="s">
        <v>2544</v>
      </c>
      <c r="E1464" s="4" t="s">
        <v>528</v>
      </c>
      <c r="F1464" s="4" t="s">
        <v>5061</v>
      </c>
      <c r="G1464" s="4" t="s">
        <v>32</v>
      </c>
      <c r="H1464" s="4" t="s">
        <v>20</v>
      </c>
      <c r="I1464" s="4" t="s">
        <v>26</v>
      </c>
    </row>
    <row r="1465">
      <c r="A1465" s="7">
        <v>45611.465771296294</v>
      </c>
      <c r="B1465" s="4" t="s">
        <v>5062</v>
      </c>
      <c r="C1465" s="4" t="s">
        <v>5063</v>
      </c>
      <c r="D1465" s="4" t="s">
        <v>3775</v>
      </c>
      <c r="E1465" s="4" t="s">
        <v>345</v>
      </c>
      <c r="F1465" s="4" t="s">
        <v>5064</v>
      </c>
      <c r="G1465" s="4" t="s">
        <v>3473</v>
      </c>
      <c r="H1465" s="4" t="s">
        <v>20</v>
      </c>
      <c r="I1465" s="4" t="s">
        <v>453</v>
      </c>
    </row>
    <row r="1466">
      <c r="A1466" s="7">
        <v>45611.47473652777</v>
      </c>
      <c r="B1466" s="4" t="s">
        <v>5065</v>
      </c>
      <c r="C1466" s="4" t="s">
        <v>5066</v>
      </c>
      <c r="D1466" s="8" t="s">
        <v>648</v>
      </c>
      <c r="E1466" s="4" t="s">
        <v>404</v>
      </c>
      <c r="F1466" s="4" t="s">
        <v>5067</v>
      </c>
      <c r="G1466" s="4" t="s">
        <v>251</v>
      </c>
      <c r="H1466" s="4" t="s">
        <v>20</v>
      </c>
      <c r="I1466" s="4" t="s">
        <v>341</v>
      </c>
    </row>
    <row r="1467">
      <c r="A1467" s="7">
        <v>45611.48071221064</v>
      </c>
      <c r="B1467" s="4" t="s">
        <v>5065</v>
      </c>
      <c r="C1467" s="4" t="s">
        <v>5068</v>
      </c>
      <c r="D1467" s="8" t="s">
        <v>5069</v>
      </c>
      <c r="E1467" s="4" t="s">
        <v>2938</v>
      </c>
      <c r="F1467" s="4" t="s">
        <v>5070</v>
      </c>
      <c r="G1467" s="4" t="s">
        <v>3473</v>
      </c>
      <c r="H1467" s="4" t="s">
        <v>20</v>
      </c>
      <c r="I1467" s="4" t="s">
        <v>42</v>
      </c>
    </row>
    <row r="1468">
      <c r="A1468" s="7">
        <v>45611.54241900463</v>
      </c>
      <c r="B1468" s="4" t="s">
        <v>5071</v>
      </c>
      <c r="C1468" s="4" t="s">
        <v>5072</v>
      </c>
      <c r="D1468" s="4" t="s">
        <v>326</v>
      </c>
      <c r="E1468" s="4" t="s">
        <v>754</v>
      </c>
      <c r="F1468" s="4" t="s">
        <v>5073</v>
      </c>
      <c r="G1468" s="4" t="s">
        <v>251</v>
      </c>
      <c r="H1468" s="4" t="s">
        <v>20</v>
      </c>
      <c r="I1468" s="4" t="s">
        <v>332</v>
      </c>
    </row>
    <row r="1469">
      <c r="A1469" s="7">
        <v>45611.543318993055</v>
      </c>
      <c r="B1469" s="4" t="s">
        <v>5074</v>
      </c>
      <c r="C1469" s="4" t="s">
        <v>5075</v>
      </c>
      <c r="D1469" s="4" t="s">
        <v>965</v>
      </c>
      <c r="E1469" s="4" t="s">
        <v>313</v>
      </c>
      <c r="F1469" s="4" t="s">
        <v>5076</v>
      </c>
      <c r="G1469" s="4" t="s">
        <v>251</v>
      </c>
      <c r="H1469" s="4" t="s">
        <v>20</v>
      </c>
      <c r="I1469" s="4" t="s">
        <v>406</v>
      </c>
    </row>
    <row r="1470">
      <c r="A1470" s="7">
        <v>45611.54401065972</v>
      </c>
      <c r="B1470" s="4" t="s">
        <v>5077</v>
      </c>
      <c r="C1470" s="4" t="s">
        <v>5078</v>
      </c>
      <c r="D1470" s="4" t="s">
        <v>965</v>
      </c>
      <c r="E1470" s="4" t="s">
        <v>313</v>
      </c>
      <c r="F1470" s="4" t="s">
        <v>5079</v>
      </c>
      <c r="G1470" s="4" t="s">
        <v>251</v>
      </c>
      <c r="H1470" s="4" t="s">
        <v>20</v>
      </c>
      <c r="I1470" s="4" t="s">
        <v>2080</v>
      </c>
    </row>
    <row r="1471">
      <c r="A1471" s="7">
        <v>45611.54782554398</v>
      </c>
      <c r="B1471" s="4" t="s">
        <v>5080</v>
      </c>
      <c r="C1471" s="4" t="s">
        <v>5081</v>
      </c>
      <c r="D1471" s="8" t="s">
        <v>5082</v>
      </c>
      <c r="E1471" s="4" t="s">
        <v>2249</v>
      </c>
      <c r="F1471" s="4" t="s">
        <v>5083</v>
      </c>
      <c r="G1471" s="4" t="s">
        <v>19</v>
      </c>
      <c r="H1471" s="4" t="s">
        <v>20</v>
      </c>
      <c r="I1471" s="4" t="s">
        <v>121</v>
      </c>
    </row>
    <row r="1472">
      <c r="A1472" s="7">
        <v>45611.55792373842</v>
      </c>
      <c r="B1472" s="4" t="s">
        <v>5084</v>
      </c>
      <c r="C1472" s="4" t="s">
        <v>5085</v>
      </c>
      <c r="D1472" s="8" t="s">
        <v>2932</v>
      </c>
      <c r="E1472" s="4" t="s">
        <v>763</v>
      </c>
      <c r="F1472" s="4" t="s">
        <v>2933</v>
      </c>
      <c r="G1472" s="4" t="s">
        <v>251</v>
      </c>
      <c r="H1472" s="4" t="s">
        <v>20</v>
      </c>
      <c r="I1472" s="4" t="s">
        <v>682</v>
      </c>
    </row>
    <row r="1473">
      <c r="A1473" s="7">
        <v>45611.55897633102</v>
      </c>
      <c r="B1473" s="4" t="s">
        <v>5086</v>
      </c>
      <c r="C1473" s="4" t="s">
        <v>5087</v>
      </c>
      <c r="D1473" s="8" t="s">
        <v>5088</v>
      </c>
      <c r="E1473" s="4" t="s">
        <v>173</v>
      </c>
      <c r="F1473" s="4" t="s">
        <v>5089</v>
      </c>
      <c r="G1473" s="4" t="s">
        <v>19</v>
      </c>
      <c r="H1473" s="4" t="s">
        <v>20</v>
      </c>
      <c r="I1473" s="4" t="s">
        <v>175</v>
      </c>
    </row>
    <row r="1474">
      <c r="A1474" s="7">
        <v>45611.57123821759</v>
      </c>
      <c r="B1474" s="4" t="s">
        <v>5090</v>
      </c>
      <c r="C1474" s="4" t="s">
        <v>5091</v>
      </c>
      <c r="D1474" s="8" t="s">
        <v>5092</v>
      </c>
      <c r="E1474" s="4" t="s">
        <v>78</v>
      </c>
      <c r="F1474" s="4" t="s">
        <v>5093</v>
      </c>
      <c r="G1474" s="4" t="s">
        <v>19</v>
      </c>
      <c r="H1474" s="4" t="s">
        <v>20</v>
      </c>
      <c r="I1474" s="4" t="s">
        <v>115</v>
      </c>
    </row>
    <row r="1475">
      <c r="A1475" s="7">
        <v>45611.571968414355</v>
      </c>
      <c r="B1475" s="4" t="s">
        <v>5094</v>
      </c>
      <c r="C1475" s="4" t="s">
        <v>5095</v>
      </c>
      <c r="D1475" s="4" t="s">
        <v>3230</v>
      </c>
      <c r="E1475" s="4" t="s">
        <v>5096</v>
      </c>
      <c r="F1475" s="4" t="s">
        <v>5097</v>
      </c>
      <c r="G1475" s="4" t="s">
        <v>54</v>
      </c>
      <c r="H1475" s="4" t="s">
        <v>20</v>
      </c>
      <c r="I1475" s="4" t="s">
        <v>446</v>
      </c>
    </row>
    <row r="1476">
      <c r="A1476" s="7">
        <v>45611.585107534724</v>
      </c>
      <c r="B1476" s="4" t="s">
        <v>5098</v>
      </c>
      <c r="C1476" s="4" t="s">
        <v>5099</v>
      </c>
      <c r="D1476" s="8" t="s">
        <v>5100</v>
      </c>
      <c r="E1476" s="4" t="s">
        <v>17</v>
      </c>
      <c r="F1476" s="4" t="s">
        <v>5101</v>
      </c>
      <c r="G1476" s="4" t="s">
        <v>19</v>
      </c>
      <c r="H1476" s="4" t="s">
        <v>20</v>
      </c>
      <c r="I1476" s="4" t="s">
        <v>74</v>
      </c>
    </row>
    <row r="1477">
      <c r="A1477" s="7">
        <v>45611.58690627315</v>
      </c>
      <c r="B1477" s="4" t="s">
        <v>5102</v>
      </c>
      <c r="C1477" s="4" t="s">
        <v>5103</v>
      </c>
      <c r="D1477" s="4" t="s">
        <v>5104</v>
      </c>
      <c r="E1477" s="4" t="s">
        <v>345</v>
      </c>
      <c r="F1477" s="4" t="s">
        <v>5105</v>
      </c>
      <c r="G1477" s="4" t="s">
        <v>32</v>
      </c>
      <c r="H1477" s="4" t="s">
        <v>20</v>
      </c>
      <c r="I1477" s="4" t="s">
        <v>385</v>
      </c>
    </row>
    <row r="1478">
      <c r="A1478" s="7">
        <v>45611.58760789352</v>
      </c>
      <c r="B1478" s="4" t="s">
        <v>5106</v>
      </c>
      <c r="C1478" s="4" t="s">
        <v>5107</v>
      </c>
      <c r="D1478" s="4" t="s">
        <v>5104</v>
      </c>
      <c r="E1478" s="4" t="s">
        <v>345</v>
      </c>
      <c r="F1478" s="4" t="s">
        <v>5108</v>
      </c>
      <c r="G1478" s="4" t="s">
        <v>32</v>
      </c>
      <c r="H1478" s="4" t="s">
        <v>20</v>
      </c>
      <c r="I1478" s="4" t="s">
        <v>4991</v>
      </c>
    </row>
    <row r="1479">
      <c r="A1479" s="7">
        <v>45611.58946574074</v>
      </c>
      <c r="B1479" s="4" t="s">
        <v>5109</v>
      </c>
      <c r="C1479" s="4" t="s">
        <v>5110</v>
      </c>
      <c r="D1479" s="4" t="s">
        <v>1852</v>
      </c>
      <c r="E1479" s="4" t="s">
        <v>1159</v>
      </c>
      <c r="F1479" s="4" t="s">
        <v>5111</v>
      </c>
      <c r="G1479" s="4" t="s">
        <v>32</v>
      </c>
      <c r="H1479" s="4" t="s">
        <v>20</v>
      </c>
      <c r="I1479" s="4" t="s">
        <v>499</v>
      </c>
    </row>
    <row r="1480">
      <c r="A1480" s="7">
        <v>45611.59015396991</v>
      </c>
      <c r="B1480" s="4" t="s">
        <v>5112</v>
      </c>
      <c r="C1480" s="4" t="s">
        <v>5113</v>
      </c>
      <c r="D1480" s="8" t="s">
        <v>5114</v>
      </c>
      <c r="E1480" s="4" t="s">
        <v>410</v>
      </c>
      <c r="F1480" s="4" t="s">
        <v>5115</v>
      </c>
      <c r="G1480" s="4" t="s">
        <v>251</v>
      </c>
      <c r="H1480" s="4" t="s">
        <v>20</v>
      </c>
      <c r="I1480" s="4" t="s">
        <v>3451</v>
      </c>
    </row>
    <row r="1481">
      <c r="A1481" s="7">
        <v>45611.59517908565</v>
      </c>
      <c r="B1481" s="4" t="s">
        <v>5116</v>
      </c>
      <c r="C1481" s="4" t="s">
        <v>5117</v>
      </c>
      <c r="D1481" s="8" t="s">
        <v>5118</v>
      </c>
      <c r="E1481" s="4" t="s">
        <v>5119</v>
      </c>
      <c r="F1481" s="4" t="s">
        <v>5117</v>
      </c>
      <c r="G1481" s="4" t="s">
        <v>19</v>
      </c>
      <c r="H1481" s="4" t="s">
        <v>20</v>
      </c>
      <c r="I1481" s="4" t="s">
        <v>181</v>
      </c>
    </row>
    <row r="1482">
      <c r="A1482" s="7">
        <v>45611.59645877314</v>
      </c>
      <c r="B1482" s="4" t="s">
        <v>5120</v>
      </c>
      <c r="C1482" s="4" t="s">
        <v>5121</v>
      </c>
      <c r="D1482" s="8" t="s">
        <v>3667</v>
      </c>
      <c r="E1482" s="4" t="s">
        <v>763</v>
      </c>
      <c r="F1482" s="4" t="s">
        <v>5122</v>
      </c>
      <c r="G1482" s="4" t="s">
        <v>251</v>
      </c>
      <c r="H1482" s="4" t="s">
        <v>20</v>
      </c>
      <c r="I1482" s="4" t="s">
        <v>1672</v>
      </c>
    </row>
    <row r="1483">
      <c r="A1483" s="7">
        <v>45611.598602708335</v>
      </c>
      <c r="B1483" s="4" t="s">
        <v>5123</v>
      </c>
      <c r="C1483" s="4" t="s">
        <v>5124</v>
      </c>
      <c r="D1483" s="4" t="s">
        <v>1848</v>
      </c>
      <c r="E1483" s="4" t="s">
        <v>528</v>
      </c>
      <c r="F1483" s="4" t="s">
        <v>5125</v>
      </c>
      <c r="G1483" s="4" t="s">
        <v>32</v>
      </c>
      <c r="H1483" s="4" t="s">
        <v>20</v>
      </c>
      <c r="I1483" s="4" t="s">
        <v>2145</v>
      </c>
    </row>
    <row r="1484">
      <c r="A1484" s="7">
        <v>45611.60083675926</v>
      </c>
      <c r="B1484" s="4" t="s">
        <v>5126</v>
      </c>
      <c r="C1484" s="4" t="s">
        <v>5127</v>
      </c>
      <c r="D1484" s="8" t="s">
        <v>5128</v>
      </c>
      <c r="E1484" s="4" t="s">
        <v>78</v>
      </c>
      <c r="F1484" s="4" t="s">
        <v>5129</v>
      </c>
      <c r="G1484" s="4" t="s">
        <v>19</v>
      </c>
      <c r="H1484" s="4" t="s">
        <v>20</v>
      </c>
      <c r="I1484" s="4" t="s">
        <v>5130</v>
      </c>
    </row>
    <row r="1485">
      <c r="A1485" s="7">
        <v>45611.600867037036</v>
      </c>
      <c r="B1485" s="4" t="s">
        <v>5131</v>
      </c>
      <c r="C1485" s="4" t="s">
        <v>5132</v>
      </c>
      <c r="D1485" s="4" t="s">
        <v>5133</v>
      </c>
      <c r="E1485" s="4" t="s">
        <v>5134</v>
      </c>
      <c r="F1485" s="4" t="s">
        <v>5135</v>
      </c>
      <c r="G1485" s="4" t="s">
        <v>3473</v>
      </c>
      <c r="H1485" s="4" t="s">
        <v>20</v>
      </c>
      <c r="I1485" s="4" t="s">
        <v>144</v>
      </c>
    </row>
    <row r="1486">
      <c r="A1486" s="7">
        <v>45611.61044871528</v>
      </c>
      <c r="B1486" s="4" t="s">
        <v>5136</v>
      </c>
      <c r="C1486" s="4" t="s">
        <v>5137</v>
      </c>
      <c r="D1486" s="4" t="s">
        <v>3471</v>
      </c>
      <c r="E1486" s="4" t="s">
        <v>528</v>
      </c>
      <c r="F1486" s="4" t="s">
        <v>5138</v>
      </c>
      <c r="G1486" s="4" t="s">
        <v>32</v>
      </c>
      <c r="H1486" s="4" t="s">
        <v>20</v>
      </c>
      <c r="I1486" s="4" t="s">
        <v>699</v>
      </c>
    </row>
    <row r="1487">
      <c r="A1487" s="7">
        <v>45611.620110034724</v>
      </c>
      <c r="B1487" s="4" t="s">
        <v>5139</v>
      </c>
      <c r="C1487" s="4" t="s">
        <v>5140</v>
      </c>
      <c r="D1487" s="4" t="s">
        <v>468</v>
      </c>
      <c r="E1487" s="4" t="s">
        <v>313</v>
      </c>
      <c r="F1487" s="4" t="s">
        <v>5141</v>
      </c>
      <c r="G1487" s="4" t="s">
        <v>251</v>
      </c>
      <c r="H1487" s="4" t="s">
        <v>20</v>
      </c>
      <c r="I1487" s="4" t="s">
        <v>1126</v>
      </c>
    </row>
    <row r="1488">
      <c r="A1488" s="7">
        <v>45611.621027615736</v>
      </c>
      <c r="B1488" s="4" t="s">
        <v>5142</v>
      </c>
      <c r="C1488" s="4" t="s">
        <v>5140</v>
      </c>
      <c r="D1488" s="4" t="s">
        <v>468</v>
      </c>
      <c r="E1488" s="4" t="s">
        <v>313</v>
      </c>
      <c r="F1488" s="4" t="s">
        <v>5143</v>
      </c>
      <c r="G1488" s="4" t="s">
        <v>251</v>
      </c>
      <c r="H1488" s="4" t="s">
        <v>20</v>
      </c>
      <c r="I1488" s="4" t="s">
        <v>1126</v>
      </c>
    </row>
    <row r="1489">
      <c r="A1489" s="7">
        <v>45611.621853564815</v>
      </c>
      <c r="B1489" s="4" t="s">
        <v>5144</v>
      </c>
      <c r="C1489" s="4" t="s">
        <v>5145</v>
      </c>
      <c r="D1489" s="4" t="s">
        <v>339</v>
      </c>
      <c r="E1489" s="4" t="s">
        <v>754</v>
      </c>
      <c r="F1489" s="4" t="s">
        <v>2864</v>
      </c>
      <c r="G1489" s="4" t="s">
        <v>251</v>
      </c>
      <c r="H1489" s="4" t="s">
        <v>20</v>
      </c>
      <c r="I1489" s="4" t="s">
        <v>891</v>
      </c>
    </row>
    <row r="1490">
      <c r="A1490" s="7">
        <v>45611.623095312505</v>
      </c>
      <c r="B1490" s="4" t="s">
        <v>5146</v>
      </c>
      <c r="C1490" s="4" t="s">
        <v>5147</v>
      </c>
      <c r="D1490" s="4" t="s">
        <v>326</v>
      </c>
      <c r="E1490" s="4" t="s">
        <v>313</v>
      </c>
      <c r="F1490" s="4" t="s">
        <v>5148</v>
      </c>
      <c r="G1490" s="4" t="s">
        <v>251</v>
      </c>
      <c r="H1490" s="4" t="s">
        <v>20</v>
      </c>
      <c r="I1490" s="4" t="s">
        <v>319</v>
      </c>
    </row>
    <row r="1491">
      <c r="A1491" s="7">
        <v>45611.62408574074</v>
      </c>
      <c r="B1491" s="4" t="s">
        <v>5149</v>
      </c>
      <c r="C1491" s="4" t="s">
        <v>5150</v>
      </c>
      <c r="D1491" s="4" t="s">
        <v>326</v>
      </c>
      <c r="E1491" s="4" t="s">
        <v>4625</v>
      </c>
      <c r="F1491" s="4" t="s">
        <v>5151</v>
      </c>
      <c r="G1491" s="4" t="s">
        <v>251</v>
      </c>
      <c r="H1491" s="4" t="s">
        <v>20</v>
      </c>
      <c r="I1491" s="4" t="s">
        <v>5152</v>
      </c>
    </row>
    <row r="1492">
      <c r="A1492" s="7">
        <v>45611.629504930555</v>
      </c>
      <c r="B1492" s="4" t="s">
        <v>5153</v>
      </c>
      <c r="C1492" s="4" t="s">
        <v>5154</v>
      </c>
      <c r="D1492" s="4" t="s">
        <v>326</v>
      </c>
      <c r="E1492" s="4" t="s">
        <v>5155</v>
      </c>
      <c r="F1492" s="4" t="s">
        <v>5156</v>
      </c>
      <c r="G1492" s="4" t="s">
        <v>251</v>
      </c>
      <c r="H1492" s="4" t="s">
        <v>20</v>
      </c>
      <c r="I1492" s="4" t="s">
        <v>5152</v>
      </c>
    </row>
    <row r="1493">
      <c r="A1493" s="7">
        <v>45611.63144537037</v>
      </c>
      <c r="B1493" s="4" t="s">
        <v>5157</v>
      </c>
      <c r="C1493" s="4" t="s">
        <v>5158</v>
      </c>
      <c r="D1493" s="4" t="s">
        <v>468</v>
      </c>
      <c r="E1493" s="4" t="s">
        <v>313</v>
      </c>
      <c r="F1493" s="4" t="s">
        <v>5159</v>
      </c>
      <c r="G1493" s="4" t="s">
        <v>251</v>
      </c>
      <c r="H1493" s="4" t="s">
        <v>20</v>
      </c>
      <c r="I1493" s="4" t="s">
        <v>1126</v>
      </c>
    </row>
    <row r="1494">
      <c r="A1494" s="7">
        <v>45611.63247314814</v>
      </c>
      <c r="B1494" s="4" t="s">
        <v>5160</v>
      </c>
      <c r="C1494" s="4" t="s">
        <v>5161</v>
      </c>
      <c r="D1494" s="4" t="s">
        <v>468</v>
      </c>
      <c r="E1494" s="4" t="s">
        <v>313</v>
      </c>
      <c r="F1494" s="4" t="s">
        <v>5162</v>
      </c>
      <c r="G1494" s="4" t="s">
        <v>251</v>
      </c>
      <c r="H1494" s="4" t="s">
        <v>20</v>
      </c>
      <c r="I1494" s="4" t="s">
        <v>1126</v>
      </c>
    </row>
    <row r="1495">
      <c r="A1495" s="7">
        <v>45611.63311850694</v>
      </c>
      <c r="B1495" s="4" t="s">
        <v>5163</v>
      </c>
      <c r="C1495" s="4" t="s">
        <v>5164</v>
      </c>
      <c r="D1495" s="4" t="s">
        <v>468</v>
      </c>
      <c r="E1495" s="4" t="s">
        <v>313</v>
      </c>
      <c r="F1495" s="4" t="s">
        <v>5165</v>
      </c>
      <c r="G1495" s="4" t="s">
        <v>251</v>
      </c>
      <c r="H1495" s="4" t="s">
        <v>20</v>
      </c>
      <c r="I1495" s="4" t="s">
        <v>1126</v>
      </c>
    </row>
    <row r="1496">
      <c r="A1496" s="7">
        <v>45611.633786666665</v>
      </c>
      <c r="B1496" s="4" t="s">
        <v>5166</v>
      </c>
      <c r="C1496" s="4" t="s">
        <v>5164</v>
      </c>
      <c r="D1496" s="4" t="s">
        <v>468</v>
      </c>
      <c r="E1496" s="4" t="s">
        <v>313</v>
      </c>
      <c r="F1496" s="4" t="s">
        <v>5167</v>
      </c>
      <c r="G1496" s="4" t="s">
        <v>251</v>
      </c>
      <c r="H1496" s="4" t="s">
        <v>20</v>
      </c>
      <c r="I1496" s="4" t="s">
        <v>1126</v>
      </c>
    </row>
    <row r="1497">
      <c r="A1497" s="7">
        <v>45611.63507621527</v>
      </c>
      <c r="B1497" s="4" t="s">
        <v>5168</v>
      </c>
      <c r="C1497" s="4" t="s">
        <v>5158</v>
      </c>
      <c r="D1497" s="4" t="s">
        <v>468</v>
      </c>
      <c r="E1497" s="4" t="s">
        <v>313</v>
      </c>
      <c r="F1497" s="4" t="s">
        <v>5169</v>
      </c>
      <c r="G1497" s="4" t="s">
        <v>251</v>
      </c>
      <c r="H1497" s="4" t="s">
        <v>20</v>
      </c>
      <c r="I1497" s="4" t="s">
        <v>1126</v>
      </c>
    </row>
    <row r="1498">
      <c r="A1498" s="7">
        <v>45611.638114699075</v>
      </c>
      <c r="B1498" s="4" t="s">
        <v>5170</v>
      </c>
      <c r="C1498" s="4" t="s">
        <v>5171</v>
      </c>
      <c r="D1498" s="4" t="s">
        <v>339</v>
      </c>
      <c r="E1498" s="4" t="s">
        <v>432</v>
      </c>
      <c r="F1498" s="4" t="s">
        <v>5172</v>
      </c>
      <c r="G1498" s="4" t="s">
        <v>251</v>
      </c>
      <c r="H1498" s="4" t="s">
        <v>20</v>
      </c>
      <c r="I1498" s="4" t="s">
        <v>1333</v>
      </c>
    </row>
    <row r="1499">
      <c r="A1499" s="7">
        <v>45611.63930766204</v>
      </c>
      <c r="B1499" s="4" t="s">
        <v>5173</v>
      </c>
      <c r="C1499" s="4" t="s">
        <v>5174</v>
      </c>
      <c r="D1499" s="4" t="s">
        <v>339</v>
      </c>
      <c r="E1499" s="4" t="s">
        <v>432</v>
      </c>
      <c r="F1499" s="4" t="s">
        <v>5175</v>
      </c>
      <c r="G1499" s="4" t="s">
        <v>251</v>
      </c>
      <c r="H1499" s="4" t="s">
        <v>20</v>
      </c>
      <c r="I1499" s="4" t="s">
        <v>1333</v>
      </c>
    </row>
    <row r="1500">
      <c r="A1500" s="7">
        <v>45612.38727041667</v>
      </c>
      <c r="B1500" s="4" t="s">
        <v>5176</v>
      </c>
      <c r="C1500" s="4" t="s">
        <v>5177</v>
      </c>
      <c r="D1500" s="8" t="s">
        <v>5178</v>
      </c>
      <c r="E1500" s="4" t="s">
        <v>2249</v>
      </c>
      <c r="F1500" s="4" t="s">
        <v>5179</v>
      </c>
      <c r="G1500" s="4" t="s">
        <v>19</v>
      </c>
      <c r="H1500" s="4" t="s">
        <v>20</v>
      </c>
      <c r="I1500" s="4" t="s">
        <v>131</v>
      </c>
    </row>
    <row r="1501">
      <c r="A1501" s="7">
        <v>45612.41471449074</v>
      </c>
      <c r="B1501" s="4" t="s">
        <v>5180</v>
      </c>
      <c r="C1501" s="4" t="s">
        <v>4582</v>
      </c>
      <c r="D1501" s="8" t="s">
        <v>4583</v>
      </c>
      <c r="E1501" s="4" t="s">
        <v>946</v>
      </c>
      <c r="F1501" s="4" t="s">
        <v>5181</v>
      </c>
      <c r="G1501" s="4" t="s">
        <v>19</v>
      </c>
      <c r="H1501" s="4" t="s">
        <v>20</v>
      </c>
      <c r="I1501" s="4" t="s">
        <v>115</v>
      </c>
    </row>
    <row r="1502">
      <c r="A1502" s="7">
        <v>45612.46867584491</v>
      </c>
      <c r="B1502" s="4" t="s">
        <v>5182</v>
      </c>
      <c r="C1502" s="4" t="s">
        <v>5183</v>
      </c>
      <c r="D1502" s="8" t="s">
        <v>5184</v>
      </c>
      <c r="E1502" s="4" t="s">
        <v>2249</v>
      </c>
      <c r="F1502" s="4" t="s">
        <v>5185</v>
      </c>
      <c r="G1502" s="4" t="s">
        <v>19</v>
      </c>
      <c r="H1502" s="4" t="s">
        <v>20</v>
      </c>
      <c r="I1502" s="4" t="s">
        <v>5186</v>
      </c>
    </row>
    <row r="1503">
      <c r="A1503" s="7">
        <v>45612.486527789355</v>
      </c>
      <c r="B1503" s="4" t="s">
        <v>5187</v>
      </c>
      <c r="C1503" s="4" t="s">
        <v>5188</v>
      </c>
      <c r="D1503" s="8" t="s">
        <v>5189</v>
      </c>
      <c r="E1503" s="4" t="s">
        <v>17</v>
      </c>
      <c r="F1503" s="4" t="s">
        <v>5190</v>
      </c>
      <c r="G1503" s="4" t="s">
        <v>19</v>
      </c>
      <c r="H1503" s="4" t="s">
        <v>20</v>
      </c>
      <c r="I1503" s="4" t="s">
        <v>2138</v>
      </c>
    </row>
    <row r="1504">
      <c r="A1504" s="7">
        <v>45612.490200706015</v>
      </c>
      <c r="B1504" s="4" t="s">
        <v>5191</v>
      </c>
      <c r="C1504" s="4" t="s">
        <v>5192</v>
      </c>
      <c r="D1504" s="8" t="s">
        <v>5189</v>
      </c>
      <c r="E1504" s="4" t="s">
        <v>17</v>
      </c>
      <c r="F1504" s="4" t="s">
        <v>5193</v>
      </c>
      <c r="G1504" s="4" t="s">
        <v>19</v>
      </c>
      <c r="H1504" s="4" t="s">
        <v>20</v>
      </c>
      <c r="I1504" s="4" t="s">
        <v>2138</v>
      </c>
    </row>
    <row r="1505">
      <c r="A1505" s="7">
        <v>45613.434333321755</v>
      </c>
      <c r="B1505" s="4" t="s">
        <v>5194</v>
      </c>
      <c r="C1505" s="4" t="s">
        <v>5195</v>
      </c>
      <c r="D1505" s="8" t="s">
        <v>5196</v>
      </c>
      <c r="E1505" s="4" t="s">
        <v>1963</v>
      </c>
      <c r="F1505" s="4" t="s">
        <v>5197</v>
      </c>
      <c r="G1505" s="4" t="s">
        <v>54</v>
      </c>
      <c r="H1505" s="4" t="s">
        <v>20</v>
      </c>
      <c r="I1505" s="4" t="s">
        <v>80</v>
      </c>
    </row>
    <row r="1506">
      <c r="L1506" s="53" t="str">
        <f t="shared" ref="L1506:L2604" si="1">if(A1506="","", CONCATENATE("Sekarang;",F1506,"
Dahulu;",J1506))</f>
        <v/>
      </c>
    </row>
    <row r="1507">
      <c r="L1507" s="53" t="str">
        <f t="shared" si="1"/>
        <v/>
      </c>
    </row>
    <row r="1508">
      <c r="L1508" s="53" t="str">
        <f t="shared" si="1"/>
        <v/>
      </c>
    </row>
    <row r="1509">
      <c r="L1509" s="53" t="str">
        <f t="shared" si="1"/>
        <v/>
      </c>
    </row>
    <row r="1510">
      <c r="L1510" s="53" t="str">
        <f t="shared" si="1"/>
        <v/>
      </c>
    </row>
    <row r="1511">
      <c r="L1511" s="53" t="str">
        <f t="shared" si="1"/>
        <v/>
      </c>
    </row>
    <row r="1512">
      <c r="L1512" s="53" t="str">
        <f t="shared" si="1"/>
        <v/>
      </c>
    </row>
    <row r="1513">
      <c r="L1513" s="53" t="str">
        <f t="shared" si="1"/>
        <v/>
      </c>
    </row>
    <row r="1514">
      <c r="L1514" s="53" t="str">
        <f t="shared" si="1"/>
        <v/>
      </c>
    </row>
    <row r="1515">
      <c r="L1515" s="53" t="str">
        <f t="shared" si="1"/>
        <v/>
      </c>
    </row>
    <row r="1516">
      <c r="L1516" s="53" t="str">
        <f t="shared" si="1"/>
        <v/>
      </c>
    </row>
    <row r="1517">
      <c r="L1517" s="53" t="str">
        <f t="shared" si="1"/>
        <v/>
      </c>
    </row>
    <row r="1518">
      <c r="L1518" s="53" t="str">
        <f t="shared" si="1"/>
        <v/>
      </c>
    </row>
    <row r="1519">
      <c r="L1519" s="53" t="str">
        <f t="shared" si="1"/>
        <v/>
      </c>
    </row>
    <row r="1520">
      <c r="L1520" s="53" t="str">
        <f t="shared" si="1"/>
        <v/>
      </c>
    </row>
    <row r="1521">
      <c r="L1521" s="53" t="str">
        <f t="shared" si="1"/>
        <v/>
      </c>
    </row>
    <row r="1522">
      <c r="L1522" s="53" t="str">
        <f t="shared" si="1"/>
        <v/>
      </c>
    </row>
    <row r="1523">
      <c r="L1523" s="53" t="str">
        <f t="shared" si="1"/>
        <v/>
      </c>
    </row>
    <row r="1524">
      <c r="L1524" s="53" t="str">
        <f t="shared" si="1"/>
        <v/>
      </c>
    </row>
    <row r="1525">
      <c r="L1525" s="53" t="str">
        <f t="shared" si="1"/>
        <v/>
      </c>
    </row>
    <row r="1526">
      <c r="L1526" s="53" t="str">
        <f t="shared" si="1"/>
        <v/>
      </c>
    </row>
    <row r="1527">
      <c r="L1527" s="53" t="str">
        <f t="shared" si="1"/>
        <v/>
      </c>
    </row>
    <row r="1528">
      <c r="L1528" s="53" t="str">
        <f t="shared" si="1"/>
        <v/>
      </c>
    </row>
    <row r="1529">
      <c r="L1529" s="53" t="str">
        <f t="shared" si="1"/>
        <v/>
      </c>
    </row>
    <row r="1530">
      <c r="L1530" s="53" t="str">
        <f t="shared" si="1"/>
        <v/>
      </c>
    </row>
    <row r="1531">
      <c r="L1531" s="53" t="str">
        <f t="shared" si="1"/>
        <v/>
      </c>
    </row>
    <row r="1532">
      <c r="L1532" s="53" t="str">
        <f t="shared" si="1"/>
        <v/>
      </c>
    </row>
    <row r="1533">
      <c r="L1533" s="53" t="str">
        <f t="shared" si="1"/>
        <v/>
      </c>
    </row>
    <row r="1534">
      <c r="L1534" s="53" t="str">
        <f t="shared" si="1"/>
        <v/>
      </c>
    </row>
    <row r="1535">
      <c r="L1535" s="53" t="str">
        <f t="shared" si="1"/>
        <v/>
      </c>
    </row>
    <row r="1536">
      <c r="L1536" s="53" t="str">
        <f t="shared" si="1"/>
        <v/>
      </c>
    </row>
    <row r="1537">
      <c r="L1537" s="53" t="str">
        <f t="shared" si="1"/>
        <v/>
      </c>
    </row>
    <row r="1538">
      <c r="L1538" s="53" t="str">
        <f t="shared" si="1"/>
        <v/>
      </c>
    </row>
    <row r="1539">
      <c r="L1539" s="53" t="str">
        <f t="shared" si="1"/>
        <v/>
      </c>
    </row>
    <row r="1540">
      <c r="L1540" s="53" t="str">
        <f t="shared" si="1"/>
        <v/>
      </c>
    </row>
    <row r="1541">
      <c r="L1541" s="53" t="str">
        <f t="shared" si="1"/>
        <v/>
      </c>
    </row>
    <row r="1542">
      <c r="L1542" s="53" t="str">
        <f t="shared" si="1"/>
        <v/>
      </c>
    </row>
    <row r="1543">
      <c r="L1543" s="53" t="str">
        <f t="shared" si="1"/>
        <v/>
      </c>
    </row>
    <row r="1544">
      <c r="L1544" s="53" t="str">
        <f t="shared" si="1"/>
        <v/>
      </c>
    </row>
    <row r="1545">
      <c r="L1545" s="53" t="str">
        <f t="shared" si="1"/>
        <v/>
      </c>
    </row>
    <row r="1546">
      <c r="L1546" s="53" t="str">
        <f t="shared" si="1"/>
        <v/>
      </c>
    </row>
    <row r="1547">
      <c r="L1547" s="53" t="str">
        <f t="shared" si="1"/>
        <v/>
      </c>
    </row>
    <row r="1548">
      <c r="L1548" s="53" t="str">
        <f t="shared" si="1"/>
        <v/>
      </c>
    </row>
    <row r="1549">
      <c r="L1549" s="53" t="str">
        <f t="shared" si="1"/>
        <v/>
      </c>
    </row>
    <row r="1550">
      <c r="L1550" s="53" t="str">
        <f t="shared" si="1"/>
        <v/>
      </c>
    </row>
    <row r="1551">
      <c r="L1551" s="53" t="str">
        <f t="shared" si="1"/>
        <v/>
      </c>
    </row>
    <row r="1552">
      <c r="L1552" s="53" t="str">
        <f t="shared" si="1"/>
        <v/>
      </c>
    </row>
    <row r="1553">
      <c r="L1553" s="53" t="str">
        <f t="shared" si="1"/>
        <v/>
      </c>
    </row>
    <row r="1554">
      <c r="L1554" s="53" t="str">
        <f t="shared" si="1"/>
        <v/>
      </c>
    </row>
    <row r="1555">
      <c r="L1555" s="53" t="str">
        <f t="shared" si="1"/>
        <v/>
      </c>
    </row>
    <row r="1556">
      <c r="L1556" s="53" t="str">
        <f t="shared" si="1"/>
        <v/>
      </c>
    </row>
    <row r="1557">
      <c r="L1557" s="53" t="str">
        <f t="shared" si="1"/>
        <v/>
      </c>
    </row>
    <row r="1558">
      <c r="L1558" s="53" t="str">
        <f t="shared" si="1"/>
        <v/>
      </c>
    </row>
    <row r="1559">
      <c r="L1559" s="53" t="str">
        <f t="shared" si="1"/>
        <v/>
      </c>
    </row>
    <row r="1560">
      <c r="L1560" s="53" t="str">
        <f t="shared" si="1"/>
        <v/>
      </c>
    </row>
    <row r="1561">
      <c r="L1561" s="53" t="str">
        <f t="shared" si="1"/>
        <v/>
      </c>
    </row>
    <row r="1562">
      <c r="L1562" s="53" t="str">
        <f t="shared" si="1"/>
        <v/>
      </c>
    </row>
    <row r="1563">
      <c r="L1563" s="53" t="str">
        <f t="shared" si="1"/>
        <v/>
      </c>
    </row>
    <row r="1564">
      <c r="L1564" s="53" t="str">
        <f t="shared" si="1"/>
        <v/>
      </c>
    </row>
    <row r="1565">
      <c r="L1565" s="53" t="str">
        <f t="shared" si="1"/>
        <v/>
      </c>
    </row>
    <row r="1566">
      <c r="L1566" s="53" t="str">
        <f t="shared" si="1"/>
        <v/>
      </c>
    </row>
    <row r="1567">
      <c r="L1567" s="53" t="str">
        <f t="shared" si="1"/>
        <v/>
      </c>
    </row>
    <row r="1568">
      <c r="L1568" s="53" t="str">
        <f t="shared" si="1"/>
        <v/>
      </c>
    </row>
    <row r="1569">
      <c r="L1569" s="53" t="str">
        <f t="shared" si="1"/>
        <v/>
      </c>
    </row>
    <row r="1570">
      <c r="L1570" s="53" t="str">
        <f t="shared" si="1"/>
        <v/>
      </c>
    </row>
    <row r="1571">
      <c r="L1571" s="53" t="str">
        <f t="shared" si="1"/>
        <v/>
      </c>
    </row>
    <row r="1572">
      <c r="L1572" s="53" t="str">
        <f t="shared" si="1"/>
        <v/>
      </c>
    </row>
    <row r="1573">
      <c r="L1573" s="53" t="str">
        <f t="shared" si="1"/>
        <v/>
      </c>
    </row>
    <row r="1574">
      <c r="L1574" s="53" t="str">
        <f t="shared" si="1"/>
        <v/>
      </c>
    </row>
    <row r="1575">
      <c r="L1575" s="53" t="str">
        <f t="shared" si="1"/>
        <v/>
      </c>
    </row>
    <row r="1576">
      <c r="L1576" s="53" t="str">
        <f t="shared" si="1"/>
        <v/>
      </c>
    </row>
    <row r="1577">
      <c r="L1577" s="53" t="str">
        <f t="shared" si="1"/>
        <v/>
      </c>
    </row>
    <row r="1578">
      <c r="L1578" s="53" t="str">
        <f t="shared" si="1"/>
        <v/>
      </c>
    </row>
    <row r="1579">
      <c r="L1579" s="53" t="str">
        <f t="shared" si="1"/>
        <v/>
      </c>
    </row>
    <row r="1580">
      <c r="L1580" s="53" t="str">
        <f t="shared" si="1"/>
        <v/>
      </c>
    </row>
    <row r="1581">
      <c r="L1581" s="53" t="str">
        <f t="shared" si="1"/>
        <v/>
      </c>
    </row>
    <row r="1582">
      <c r="L1582" s="53" t="str">
        <f t="shared" si="1"/>
        <v/>
      </c>
    </row>
    <row r="1583">
      <c r="L1583" s="53" t="str">
        <f t="shared" si="1"/>
        <v/>
      </c>
    </row>
    <row r="1584">
      <c r="L1584" s="53" t="str">
        <f t="shared" si="1"/>
        <v/>
      </c>
    </row>
    <row r="1585">
      <c r="L1585" s="53" t="str">
        <f t="shared" si="1"/>
        <v/>
      </c>
    </row>
    <row r="1586">
      <c r="L1586" s="53" t="str">
        <f t="shared" si="1"/>
        <v/>
      </c>
    </row>
    <row r="1587">
      <c r="L1587" s="53" t="str">
        <f t="shared" si="1"/>
        <v/>
      </c>
    </row>
    <row r="1588">
      <c r="L1588" s="53" t="str">
        <f t="shared" si="1"/>
        <v/>
      </c>
    </row>
    <row r="1589">
      <c r="L1589" s="53" t="str">
        <f t="shared" si="1"/>
        <v/>
      </c>
    </row>
    <row r="1590">
      <c r="L1590" s="53" t="str">
        <f t="shared" si="1"/>
        <v/>
      </c>
    </row>
    <row r="1591">
      <c r="L1591" s="53" t="str">
        <f t="shared" si="1"/>
        <v/>
      </c>
    </row>
    <row r="1592">
      <c r="L1592" s="53" t="str">
        <f t="shared" si="1"/>
        <v/>
      </c>
    </row>
    <row r="1593">
      <c r="L1593" s="53" t="str">
        <f t="shared" si="1"/>
        <v/>
      </c>
    </row>
    <row r="1594">
      <c r="L1594" s="53" t="str">
        <f t="shared" si="1"/>
        <v/>
      </c>
    </row>
    <row r="1595">
      <c r="L1595" s="53" t="str">
        <f t="shared" si="1"/>
        <v/>
      </c>
    </row>
    <row r="1596">
      <c r="L1596" s="53" t="str">
        <f t="shared" si="1"/>
        <v/>
      </c>
    </row>
    <row r="1597">
      <c r="L1597" s="53" t="str">
        <f t="shared" si="1"/>
        <v/>
      </c>
    </row>
    <row r="1598">
      <c r="L1598" s="53" t="str">
        <f t="shared" si="1"/>
        <v/>
      </c>
    </row>
    <row r="1599">
      <c r="L1599" s="53" t="str">
        <f t="shared" si="1"/>
        <v/>
      </c>
    </row>
    <row r="1600">
      <c r="L1600" s="53" t="str">
        <f t="shared" si="1"/>
        <v/>
      </c>
    </row>
    <row r="1601">
      <c r="L1601" s="53" t="str">
        <f t="shared" si="1"/>
        <v/>
      </c>
    </row>
    <row r="1602">
      <c r="L1602" s="53" t="str">
        <f t="shared" si="1"/>
        <v/>
      </c>
    </row>
    <row r="1603">
      <c r="L1603" s="53" t="str">
        <f t="shared" si="1"/>
        <v/>
      </c>
    </row>
    <row r="1604">
      <c r="L1604" s="53" t="str">
        <f t="shared" si="1"/>
        <v/>
      </c>
    </row>
    <row r="1605">
      <c r="L1605" s="53" t="str">
        <f t="shared" si="1"/>
        <v/>
      </c>
    </row>
    <row r="1606">
      <c r="L1606" s="53" t="str">
        <f t="shared" si="1"/>
        <v/>
      </c>
    </row>
    <row r="1607">
      <c r="L1607" s="53" t="str">
        <f t="shared" si="1"/>
        <v/>
      </c>
    </row>
    <row r="1608">
      <c r="L1608" s="53" t="str">
        <f t="shared" si="1"/>
        <v/>
      </c>
    </row>
    <row r="1609">
      <c r="L1609" s="53" t="str">
        <f t="shared" si="1"/>
        <v/>
      </c>
    </row>
    <row r="1610">
      <c r="L1610" s="53" t="str">
        <f t="shared" si="1"/>
        <v/>
      </c>
    </row>
    <row r="1611">
      <c r="L1611" s="53" t="str">
        <f t="shared" si="1"/>
        <v/>
      </c>
    </row>
    <row r="1612">
      <c r="L1612" s="53" t="str">
        <f t="shared" si="1"/>
        <v/>
      </c>
    </row>
    <row r="1613">
      <c r="L1613" s="53" t="str">
        <f t="shared" si="1"/>
        <v/>
      </c>
    </row>
    <row r="1614">
      <c r="L1614" s="53" t="str">
        <f t="shared" si="1"/>
        <v/>
      </c>
    </row>
    <row r="1615">
      <c r="L1615" s="53" t="str">
        <f t="shared" si="1"/>
        <v/>
      </c>
    </row>
    <row r="1616">
      <c r="L1616" s="53" t="str">
        <f t="shared" si="1"/>
        <v/>
      </c>
    </row>
    <row r="1617">
      <c r="L1617" s="53" t="str">
        <f t="shared" si="1"/>
        <v/>
      </c>
    </row>
    <row r="1618">
      <c r="L1618" s="53" t="str">
        <f t="shared" si="1"/>
        <v/>
      </c>
    </row>
    <row r="1619">
      <c r="L1619" s="53" t="str">
        <f t="shared" si="1"/>
        <v/>
      </c>
    </row>
    <row r="1620">
      <c r="L1620" s="53" t="str">
        <f t="shared" si="1"/>
        <v/>
      </c>
    </row>
    <row r="1621">
      <c r="L1621" s="53" t="str">
        <f t="shared" si="1"/>
        <v/>
      </c>
    </row>
    <row r="1622">
      <c r="L1622" s="53" t="str">
        <f t="shared" si="1"/>
        <v/>
      </c>
    </row>
    <row r="1623">
      <c r="L1623" s="53" t="str">
        <f t="shared" si="1"/>
        <v/>
      </c>
    </row>
    <row r="1624">
      <c r="L1624" s="53" t="str">
        <f t="shared" si="1"/>
        <v/>
      </c>
    </row>
    <row r="1625">
      <c r="L1625" s="53" t="str">
        <f t="shared" si="1"/>
        <v/>
      </c>
    </row>
    <row r="1626">
      <c r="L1626" s="53" t="str">
        <f t="shared" si="1"/>
        <v/>
      </c>
    </row>
    <row r="1627">
      <c r="L1627" s="53" t="str">
        <f t="shared" si="1"/>
        <v/>
      </c>
    </row>
    <row r="1628">
      <c r="L1628" s="53" t="str">
        <f t="shared" si="1"/>
        <v/>
      </c>
    </row>
    <row r="1629">
      <c r="L1629" s="53" t="str">
        <f t="shared" si="1"/>
        <v/>
      </c>
    </row>
    <row r="1630">
      <c r="L1630" s="53" t="str">
        <f t="shared" si="1"/>
        <v/>
      </c>
    </row>
    <row r="1631">
      <c r="L1631" s="53" t="str">
        <f t="shared" si="1"/>
        <v/>
      </c>
    </row>
    <row r="1632">
      <c r="L1632" s="53" t="str">
        <f t="shared" si="1"/>
        <v/>
      </c>
    </row>
    <row r="1633">
      <c r="L1633" s="53" t="str">
        <f t="shared" si="1"/>
        <v/>
      </c>
    </row>
    <row r="1634">
      <c r="L1634" s="53" t="str">
        <f t="shared" si="1"/>
        <v/>
      </c>
    </row>
    <row r="1635">
      <c r="L1635" s="53" t="str">
        <f t="shared" si="1"/>
        <v/>
      </c>
    </row>
    <row r="1636">
      <c r="L1636" s="53" t="str">
        <f t="shared" si="1"/>
        <v/>
      </c>
    </row>
    <row r="1637">
      <c r="L1637" s="53" t="str">
        <f t="shared" si="1"/>
        <v/>
      </c>
    </row>
    <row r="1638">
      <c r="L1638" s="53" t="str">
        <f t="shared" si="1"/>
        <v/>
      </c>
    </row>
    <row r="1639">
      <c r="L1639" s="53" t="str">
        <f t="shared" si="1"/>
        <v/>
      </c>
    </row>
    <row r="1640">
      <c r="L1640" s="53" t="str">
        <f t="shared" si="1"/>
        <v/>
      </c>
    </row>
    <row r="1641">
      <c r="L1641" s="53" t="str">
        <f t="shared" si="1"/>
        <v/>
      </c>
    </row>
    <row r="1642">
      <c r="L1642" s="53" t="str">
        <f t="shared" si="1"/>
        <v/>
      </c>
    </row>
    <row r="1643">
      <c r="L1643" s="53" t="str">
        <f t="shared" si="1"/>
        <v/>
      </c>
    </row>
    <row r="1644">
      <c r="L1644" s="53" t="str">
        <f t="shared" si="1"/>
        <v/>
      </c>
    </row>
    <row r="1645">
      <c r="L1645" s="53" t="str">
        <f t="shared" si="1"/>
        <v/>
      </c>
    </row>
    <row r="1646">
      <c r="L1646" s="53" t="str">
        <f t="shared" si="1"/>
        <v/>
      </c>
    </row>
    <row r="1647">
      <c r="L1647" s="53" t="str">
        <f t="shared" si="1"/>
        <v/>
      </c>
    </row>
    <row r="1648">
      <c r="L1648" s="53" t="str">
        <f t="shared" si="1"/>
        <v/>
      </c>
    </row>
    <row r="1649">
      <c r="L1649" s="53" t="str">
        <f t="shared" si="1"/>
        <v/>
      </c>
    </row>
    <row r="1650">
      <c r="L1650" s="53" t="str">
        <f t="shared" si="1"/>
        <v/>
      </c>
    </row>
    <row r="1651">
      <c r="L1651" s="53" t="str">
        <f t="shared" si="1"/>
        <v/>
      </c>
    </row>
    <row r="1652">
      <c r="L1652" s="53" t="str">
        <f t="shared" si="1"/>
        <v/>
      </c>
    </row>
    <row r="1653">
      <c r="L1653" s="53" t="str">
        <f t="shared" si="1"/>
        <v/>
      </c>
    </row>
    <row r="1654">
      <c r="L1654" s="53" t="str">
        <f t="shared" si="1"/>
        <v/>
      </c>
    </row>
    <row r="1655">
      <c r="L1655" s="53" t="str">
        <f t="shared" si="1"/>
        <v/>
      </c>
    </row>
    <row r="1656">
      <c r="L1656" s="53" t="str">
        <f t="shared" si="1"/>
        <v/>
      </c>
    </row>
    <row r="1657">
      <c r="L1657" s="53" t="str">
        <f t="shared" si="1"/>
        <v/>
      </c>
    </row>
    <row r="1658">
      <c r="L1658" s="53" t="str">
        <f t="shared" si="1"/>
        <v/>
      </c>
    </row>
    <row r="1659">
      <c r="L1659" s="53" t="str">
        <f t="shared" si="1"/>
        <v/>
      </c>
    </row>
    <row r="1660">
      <c r="L1660" s="53" t="str">
        <f t="shared" si="1"/>
        <v/>
      </c>
    </row>
    <row r="1661">
      <c r="L1661" s="53" t="str">
        <f t="shared" si="1"/>
        <v/>
      </c>
    </row>
    <row r="1662">
      <c r="L1662" s="53" t="str">
        <f t="shared" si="1"/>
        <v/>
      </c>
    </row>
    <row r="1663">
      <c r="L1663" s="53" t="str">
        <f t="shared" si="1"/>
        <v/>
      </c>
    </row>
    <row r="1664">
      <c r="L1664" s="53" t="str">
        <f t="shared" si="1"/>
        <v/>
      </c>
    </row>
    <row r="1665">
      <c r="L1665" s="53" t="str">
        <f t="shared" si="1"/>
        <v/>
      </c>
    </row>
    <row r="1666">
      <c r="L1666" s="53" t="str">
        <f t="shared" si="1"/>
        <v/>
      </c>
    </row>
    <row r="1667">
      <c r="L1667" s="53" t="str">
        <f t="shared" si="1"/>
        <v/>
      </c>
    </row>
    <row r="1668">
      <c r="L1668" s="53" t="str">
        <f t="shared" si="1"/>
        <v/>
      </c>
    </row>
    <row r="1669">
      <c r="L1669" s="53" t="str">
        <f t="shared" si="1"/>
        <v/>
      </c>
    </row>
    <row r="1670">
      <c r="L1670" s="53" t="str">
        <f t="shared" si="1"/>
        <v/>
      </c>
    </row>
    <row r="1671">
      <c r="L1671" s="53" t="str">
        <f t="shared" si="1"/>
        <v/>
      </c>
    </row>
    <row r="1672">
      <c r="L1672" s="53" t="str">
        <f t="shared" si="1"/>
        <v/>
      </c>
    </row>
    <row r="1673">
      <c r="L1673" s="53" t="str">
        <f t="shared" si="1"/>
        <v/>
      </c>
    </row>
    <row r="1674">
      <c r="L1674" s="53" t="str">
        <f t="shared" si="1"/>
        <v/>
      </c>
    </row>
    <row r="1675">
      <c r="L1675" s="53" t="str">
        <f t="shared" si="1"/>
        <v/>
      </c>
    </row>
    <row r="1676">
      <c r="L1676" s="53" t="str">
        <f t="shared" si="1"/>
        <v/>
      </c>
    </row>
    <row r="1677">
      <c r="L1677" s="53" t="str">
        <f t="shared" si="1"/>
        <v/>
      </c>
    </row>
    <row r="1678">
      <c r="L1678" s="53" t="str">
        <f t="shared" si="1"/>
        <v/>
      </c>
    </row>
    <row r="1679">
      <c r="L1679" s="53" t="str">
        <f t="shared" si="1"/>
        <v/>
      </c>
    </row>
    <row r="1680">
      <c r="L1680" s="53" t="str">
        <f t="shared" si="1"/>
        <v/>
      </c>
    </row>
    <row r="1681">
      <c r="L1681" s="53" t="str">
        <f t="shared" si="1"/>
        <v/>
      </c>
    </row>
    <row r="1682">
      <c r="L1682" s="53" t="str">
        <f t="shared" si="1"/>
        <v/>
      </c>
    </row>
    <row r="1683">
      <c r="L1683" s="53" t="str">
        <f t="shared" si="1"/>
        <v/>
      </c>
    </row>
    <row r="1684">
      <c r="L1684" s="53" t="str">
        <f t="shared" si="1"/>
        <v/>
      </c>
    </row>
    <row r="1685">
      <c r="L1685" s="53" t="str">
        <f t="shared" si="1"/>
        <v/>
      </c>
    </row>
    <row r="1686">
      <c r="L1686" s="53" t="str">
        <f t="shared" si="1"/>
        <v/>
      </c>
    </row>
    <row r="1687">
      <c r="L1687" s="53" t="str">
        <f t="shared" si="1"/>
        <v/>
      </c>
    </row>
    <row r="1688">
      <c r="L1688" s="53" t="str">
        <f t="shared" si="1"/>
        <v/>
      </c>
    </row>
    <row r="1689">
      <c r="L1689" s="53" t="str">
        <f t="shared" si="1"/>
        <v/>
      </c>
    </row>
    <row r="1690">
      <c r="L1690" s="53" t="str">
        <f t="shared" si="1"/>
        <v/>
      </c>
    </row>
    <row r="1691">
      <c r="L1691" s="53" t="str">
        <f t="shared" si="1"/>
        <v/>
      </c>
    </row>
    <row r="1692">
      <c r="L1692" s="53" t="str">
        <f t="shared" si="1"/>
        <v/>
      </c>
    </row>
    <row r="1693">
      <c r="L1693" s="53" t="str">
        <f t="shared" si="1"/>
        <v/>
      </c>
    </row>
    <row r="1694">
      <c r="L1694" s="53" t="str">
        <f t="shared" si="1"/>
        <v/>
      </c>
    </row>
    <row r="1695">
      <c r="L1695" s="53" t="str">
        <f t="shared" si="1"/>
        <v/>
      </c>
    </row>
    <row r="1696">
      <c r="L1696" s="53" t="str">
        <f t="shared" si="1"/>
        <v/>
      </c>
    </row>
    <row r="1697">
      <c r="L1697" s="53" t="str">
        <f t="shared" si="1"/>
        <v/>
      </c>
    </row>
    <row r="1698">
      <c r="L1698" s="53" t="str">
        <f t="shared" si="1"/>
        <v/>
      </c>
    </row>
    <row r="1699">
      <c r="L1699" s="53" t="str">
        <f t="shared" si="1"/>
        <v/>
      </c>
    </row>
    <row r="1700">
      <c r="L1700" s="53" t="str">
        <f t="shared" si="1"/>
        <v/>
      </c>
    </row>
    <row r="1701">
      <c r="L1701" s="53" t="str">
        <f t="shared" si="1"/>
        <v/>
      </c>
    </row>
    <row r="1702">
      <c r="L1702" s="53" t="str">
        <f t="shared" si="1"/>
        <v/>
      </c>
    </row>
    <row r="1703">
      <c r="L1703" s="53" t="str">
        <f t="shared" si="1"/>
        <v/>
      </c>
    </row>
    <row r="1704">
      <c r="L1704" s="53" t="str">
        <f t="shared" si="1"/>
        <v/>
      </c>
    </row>
    <row r="1705">
      <c r="L1705" s="53" t="str">
        <f t="shared" si="1"/>
        <v/>
      </c>
    </row>
    <row r="1706">
      <c r="L1706" s="53" t="str">
        <f t="shared" si="1"/>
        <v/>
      </c>
    </row>
    <row r="1707">
      <c r="L1707" s="53" t="str">
        <f t="shared" si="1"/>
        <v/>
      </c>
    </row>
    <row r="1708">
      <c r="L1708" s="53" t="str">
        <f t="shared" si="1"/>
        <v/>
      </c>
    </row>
    <row r="1709">
      <c r="L1709" s="53" t="str">
        <f t="shared" si="1"/>
        <v/>
      </c>
    </row>
    <row r="1710">
      <c r="L1710" s="53" t="str">
        <f t="shared" si="1"/>
        <v/>
      </c>
    </row>
    <row r="1711">
      <c r="L1711" s="53" t="str">
        <f t="shared" si="1"/>
        <v/>
      </c>
    </row>
    <row r="1712">
      <c r="L1712" s="53" t="str">
        <f t="shared" si="1"/>
        <v/>
      </c>
    </row>
    <row r="1713">
      <c r="L1713" s="53" t="str">
        <f t="shared" si="1"/>
        <v/>
      </c>
    </row>
    <row r="1714">
      <c r="L1714" s="53" t="str">
        <f t="shared" si="1"/>
        <v/>
      </c>
    </row>
    <row r="1715">
      <c r="L1715" s="53" t="str">
        <f t="shared" si="1"/>
        <v/>
      </c>
    </row>
    <row r="1716">
      <c r="L1716" s="53" t="str">
        <f t="shared" si="1"/>
        <v/>
      </c>
    </row>
    <row r="1717">
      <c r="L1717" s="53" t="str">
        <f t="shared" si="1"/>
        <v/>
      </c>
    </row>
    <row r="1718">
      <c r="L1718" s="53" t="str">
        <f t="shared" si="1"/>
        <v/>
      </c>
    </row>
    <row r="1719">
      <c r="L1719" s="53" t="str">
        <f t="shared" si="1"/>
        <v/>
      </c>
    </row>
    <row r="1720">
      <c r="L1720" s="53" t="str">
        <f t="shared" si="1"/>
        <v/>
      </c>
    </row>
    <row r="1721">
      <c r="L1721" s="53" t="str">
        <f t="shared" si="1"/>
        <v/>
      </c>
    </row>
    <row r="1722">
      <c r="L1722" s="53" t="str">
        <f t="shared" si="1"/>
        <v/>
      </c>
    </row>
    <row r="1723">
      <c r="L1723" s="53" t="str">
        <f t="shared" si="1"/>
        <v/>
      </c>
    </row>
    <row r="1724">
      <c r="L1724" s="53" t="str">
        <f t="shared" si="1"/>
        <v/>
      </c>
    </row>
    <row r="1725">
      <c r="L1725" s="53" t="str">
        <f t="shared" si="1"/>
        <v/>
      </c>
    </row>
    <row r="1726">
      <c r="L1726" s="53" t="str">
        <f t="shared" si="1"/>
        <v/>
      </c>
    </row>
    <row r="1727">
      <c r="L1727" s="53" t="str">
        <f t="shared" si="1"/>
        <v/>
      </c>
    </row>
    <row r="1728">
      <c r="L1728" s="53" t="str">
        <f t="shared" si="1"/>
        <v/>
      </c>
    </row>
    <row r="1729">
      <c r="L1729" s="53" t="str">
        <f t="shared" si="1"/>
        <v/>
      </c>
    </row>
    <row r="1730">
      <c r="L1730" s="53" t="str">
        <f t="shared" si="1"/>
        <v/>
      </c>
    </row>
    <row r="1731">
      <c r="L1731" s="53" t="str">
        <f t="shared" si="1"/>
        <v/>
      </c>
    </row>
    <row r="1732">
      <c r="L1732" s="53" t="str">
        <f t="shared" si="1"/>
        <v/>
      </c>
    </row>
    <row r="1733">
      <c r="L1733" s="53" t="str">
        <f t="shared" si="1"/>
        <v/>
      </c>
    </row>
    <row r="1734">
      <c r="L1734" s="53" t="str">
        <f t="shared" si="1"/>
        <v/>
      </c>
    </row>
    <row r="1735">
      <c r="L1735" s="53" t="str">
        <f t="shared" si="1"/>
        <v/>
      </c>
    </row>
    <row r="1736">
      <c r="L1736" s="53" t="str">
        <f t="shared" si="1"/>
        <v/>
      </c>
    </row>
    <row r="1737">
      <c r="L1737" s="53" t="str">
        <f t="shared" si="1"/>
        <v/>
      </c>
    </row>
    <row r="1738">
      <c r="L1738" s="53" t="str">
        <f t="shared" si="1"/>
        <v/>
      </c>
    </row>
    <row r="1739">
      <c r="L1739" s="53" t="str">
        <f t="shared" si="1"/>
        <v/>
      </c>
    </row>
    <row r="1740">
      <c r="L1740" s="53" t="str">
        <f t="shared" si="1"/>
        <v/>
      </c>
    </row>
    <row r="1741">
      <c r="L1741" s="53" t="str">
        <f t="shared" si="1"/>
        <v/>
      </c>
    </row>
    <row r="1742">
      <c r="L1742" s="53" t="str">
        <f t="shared" si="1"/>
        <v/>
      </c>
    </row>
    <row r="1743">
      <c r="L1743" s="53" t="str">
        <f t="shared" si="1"/>
        <v/>
      </c>
    </row>
    <row r="1744">
      <c r="L1744" s="53" t="str">
        <f t="shared" si="1"/>
        <v/>
      </c>
    </row>
    <row r="1745">
      <c r="L1745" s="53" t="str">
        <f t="shared" si="1"/>
        <v/>
      </c>
    </row>
    <row r="1746">
      <c r="L1746" s="53" t="str">
        <f t="shared" si="1"/>
        <v/>
      </c>
    </row>
    <row r="1747">
      <c r="L1747" s="53" t="str">
        <f t="shared" si="1"/>
        <v/>
      </c>
    </row>
    <row r="1748">
      <c r="L1748" s="53" t="str">
        <f t="shared" si="1"/>
        <v/>
      </c>
    </row>
    <row r="1749">
      <c r="L1749" s="53" t="str">
        <f t="shared" si="1"/>
        <v/>
      </c>
    </row>
    <row r="1750">
      <c r="L1750" s="53" t="str">
        <f t="shared" si="1"/>
        <v/>
      </c>
    </row>
    <row r="1751">
      <c r="L1751" s="53" t="str">
        <f t="shared" si="1"/>
        <v/>
      </c>
    </row>
    <row r="1752">
      <c r="L1752" s="53" t="str">
        <f t="shared" si="1"/>
        <v/>
      </c>
    </row>
    <row r="1753">
      <c r="L1753" s="53" t="str">
        <f t="shared" si="1"/>
        <v/>
      </c>
    </row>
    <row r="1754">
      <c r="L1754" s="53" t="str">
        <f t="shared" si="1"/>
        <v/>
      </c>
    </row>
    <row r="1755">
      <c r="L1755" s="53" t="str">
        <f t="shared" si="1"/>
        <v/>
      </c>
    </row>
    <row r="1756">
      <c r="L1756" s="53" t="str">
        <f t="shared" si="1"/>
        <v/>
      </c>
    </row>
    <row r="1757">
      <c r="L1757" s="53" t="str">
        <f t="shared" si="1"/>
        <v/>
      </c>
    </row>
    <row r="1758">
      <c r="L1758" s="53" t="str">
        <f t="shared" si="1"/>
        <v/>
      </c>
    </row>
    <row r="1759">
      <c r="L1759" s="53" t="str">
        <f t="shared" si="1"/>
        <v/>
      </c>
    </row>
    <row r="1760">
      <c r="L1760" s="53" t="str">
        <f t="shared" si="1"/>
        <v/>
      </c>
    </row>
    <row r="1761">
      <c r="L1761" s="53" t="str">
        <f t="shared" si="1"/>
        <v/>
      </c>
    </row>
    <row r="1762">
      <c r="L1762" s="53" t="str">
        <f t="shared" si="1"/>
        <v/>
      </c>
    </row>
    <row r="1763">
      <c r="L1763" s="53" t="str">
        <f t="shared" si="1"/>
        <v/>
      </c>
    </row>
    <row r="1764">
      <c r="L1764" s="53" t="str">
        <f t="shared" si="1"/>
        <v/>
      </c>
    </row>
    <row r="1765">
      <c r="L1765" s="53" t="str">
        <f t="shared" si="1"/>
        <v/>
      </c>
    </row>
    <row r="1766">
      <c r="L1766" s="53" t="str">
        <f t="shared" si="1"/>
        <v/>
      </c>
    </row>
    <row r="1767">
      <c r="L1767" s="53" t="str">
        <f t="shared" si="1"/>
        <v/>
      </c>
    </row>
    <row r="1768">
      <c r="L1768" s="53" t="str">
        <f t="shared" si="1"/>
        <v/>
      </c>
    </row>
    <row r="1769">
      <c r="L1769" s="53" t="str">
        <f t="shared" si="1"/>
        <v/>
      </c>
    </row>
    <row r="1770">
      <c r="L1770" s="53" t="str">
        <f t="shared" si="1"/>
        <v/>
      </c>
    </row>
    <row r="1771">
      <c r="L1771" s="53" t="str">
        <f t="shared" si="1"/>
        <v/>
      </c>
    </row>
    <row r="1772">
      <c r="L1772" s="53" t="str">
        <f t="shared" si="1"/>
        <v/>
      </c>
    </row>
    <row r="1773">
      <c r="L1773" s="53" t="str">
        <f t="shared" si="1"/>
        <v/>
      </c>
    </row>
    <row r="1774">
      <c r="L1774" s="53" t="str">
        <f t="shared" si="1"/>
        <v/>
      </c>
    </row>
    <row r="1775">
      <c r="L1775" s="53" t="str">
        <f t="shared" si="1"/>
        <v/>
      </c>
    </row>
    <row r="1776">
      <c r="L1776" s="53" t="str">
        <f t="shared" si="1"/>
        <v/>
      </c>
    </row>
    <row r="1777">
      <c r="L1777" s="53" t="str">
        <f t="shared" si="1"/>
        <v/>
      </c>
    </row>
    <row r="1778">
      <c r="L1778" s="53" t="str">
        <f t="shared" si="1"/>
        <v/>
      </c>
    </row>
    <row r="1779">
      <c r="L1779" s="53" t="str">
        <f t="shared" si="1"/>
        <v/>
      </c>
    </row>
    <row r="1780">
      <c r="L1780" s="53" t="str">
        <f t="shared" si="1"/>
        <v/>
      </c>
    </row>
    <row r="1781">
      <c r="L1781" s="53" t="str">
        <f t="shared" si="1"/>
        <v/>
      </c>
    </row>
    <row r="1782">
      <c r="L1782" s="53" t="str">
        <f t="shared" si="1"/>
        <v/>
      </c>
    </row>
    <row r="1783">
      <c r="L1783" s="53" t="str">
        <f t="shared" si="1"/>
        <v/>
      </c>
    </row>
    <row r="1784">
      <c r="L1784" s="53" t="str">
        <f t="shared" si="1"/>
        <v/>
      </c>
    </row>
    <row r="1785">
      <c r="L1785" s="53" t="str">
        <f t="shared" si="1"/>
        <v/>
      </c>
    </row>
    <row r="1786">
      <c r="L1786" s="53" t="str">
        <f t="shared" si="1"/>
        <v/>
      </c>
    </row>
    <row r="1787">
      <c r="L1787" s="53" t="str">
        <f t="shared" si="1"/>
        <v/>
      </c>
    </row>
    <row r="1788">
      <c r="L1788" s="53" t="str">
        <f t="shared" si="1"/>
        <v/>
      </c>
    </row>
    <row r="1789">
      <c r="L1789" s="53" t="str">
        <f t="shared" si="1"/>
        <v/>
      </c>
    </row>
    <row r="1790">
      <c r="L1790" s="53" t="str">
        <f t="shared" si="1"/>
        <v/>
      </c>
    </row>
    <row r="1791">
      <c r="L1791" s="53" t="str">
        <f t="shared" si="1"/>
        <v/>
      </c>
    </row>
    <row r="1792">
      <c r="L1792" s="53" t="str">
        <f t="shared" si="1"/>
        <v/>
      </c>
    </row>
    <row r="1793">
      <c r="L1793" s="53" t="str">
        <f t="shared" si="1"/>
        <v/>
      </c>
    </row>
    <row r="1794">
      <c r="L1794" s="53" t="str">
        <f t="shared" si="1"/>
        <v/>
      </c>
    </row>
    <row r="1795">
      <c r="L1795" s="53" t="str">
        <f t="shared" si="1"/>
        <v/>
      </c>
    </row>
    <row r="1796">
      <c r="L1796" s="53" t="str">
        <f t="shared" si="1"/>
        <v/>
      </c>
    </row>
    <row r="1797">
      <c r="L1797" s="53" t="str">
        <f t="shared" si="1"/>
        <v/>
      </c>
    </row>
    <row r="1798">
      <c r="L1798" s="53" t="str">
        <f t="shared" si="1"/>
        <v/>
      </c>
    </row>
    <row r="1799">
      <c r="L1799" s="53" t="str">
        <f t="shared" si="1"/>
        <v/>
      </c>
    </row>
    <row r="1800">
      <c r="L1800" s="53" t="str">
        <f t="shared" si="1"/>
        <v/>
      </c>
    </row>
    <row r="1801">
      <c r="L1801" s="53" t="str">
        <f t="shared" si="1"/>
        <v/>
      </c>
    </row>
    <row r="1802">
      <c r="L1802" s="53" t="str">
        <f t="shared" si="1"/>
        <v/>
      </c>
    </row>
    <row r="1803">
      <c r="L1803" s="53" t="str">
        <f t="shared" si="1"/>
        <v/>
      </c>
    </row>
    <row r="1804">
      <c r="L1804" s="53" t="str">
        <f t="shared" si="1"/>
        <v/>
      </c>
    </row>
    <row r="1805">
      <c r="L1805" s="53" t="str">
        <f t="shared" si="1"/>
        <v/>
      </c>
    </row>
    <row r="1806">
      <c r="L1806" s="53" t="str">
        <f t="shared" si="1"/>
        <v/>
      </c>
    </row>
    <row r="1807">
      <c r="L1807" s="53" t="str">
        <f t="shared" si="1"/>
        <v/>
      </c>
    </row>
    <row r="1808">
      <c r="L1808" s="53" t="str">
        <f t="shared" si="1"/>
        <v/>
      </c>
    </row>
    <row r="1809">
      <c r="L1809" s="53" t="str">
        <f t="shared" si="1"/>
        <v/>
      </c>
    </row>
    <row r="1810">
      <c r="L1810" s="53" t="str">
        <f t="shared" si="1"/>
        <v/>
      </c>
    </row>
    <row r="1811">
      <c r="L1811" s="53" t="str">
        <f t="shared" si="1"/>
        <v/>
      </c>
    </row>
    <row r="1812">
      <c r="L1812" s="53" t="str">
        <f t="shared" si="1"/>
        <v/>
      </c>
    </row>
    <row r="1813">
      <c r="L1813" s="53" t="str">
        <f t="shared" si="1"/>
        <v/>
      </c>
    </row>
    <row r="1814">
      <c r="L1814" s="53" t="str">
        <f t="shared" si="1"/>
        <v/>
      </c>
    </row>
    <row r="1815">
      <c r="L1815" s="53" t="str">
        <f t="shared" si="1"/>
        <v/>
      </c>
    </row>
    <row r="1816">
      <c r="L1816" s="53" t="str">
        <f t="shared" si="1"/>
        <v/>
      </c>
    </row>
    <row r="1817">
      <c r="L1817" s="53" t="str">
        <f t="shared" si="1"/>
        <v/>
      </c>
    </row>
    <row r="1818">
      <c r="L1818" s="53" t="str">
        <f t="shared" si="1"/>
        <v/>
      </c>
    </row>
    <row r="1819">
      <c r="L1819" s="53" t="str">
        <f t="shared" si="1"/>
        <v/>
      </c>
    </row>
    <row r="1820">
      <c r="L1820" s="53" t="str">
        <f t="shared" si="1"/>
        <v/>
      </c>
    </row>
    <row r="1821">
      <c r="L1821" s="53" t="str">
        <f t="shared" si="1"/>
        <v/>
      </c>
    </row>
    <row r="1822">
      <c r="L1822" s="53" t="str">
        <f t="shared" si="1"/>
        <v/>
      </c>
    </row>
    <row r="1823">
      <c r="L1823" s="53" t="str">
        <f t="shared" si="1"/>
        <v/>
      </c>
    </row>
    <row r="1824">
      <c r="L1824" s="53" t="str">
        <f t="shared" si="1"/>
        <v/>
      </c>
    </row>
    <row r="1825">
      <c r="L1825" s="53" t="str">
        <f t="shared" si="1"/>
        <v/>
      </c>
    </row>
    <row r="1826">
      <c r="L1826" s="53" t="str">
        <f t="shared" si="1"/>
        <v/>
      </c>
    </row>
    <row r="1827">
      <c r="L1827" s="53" t="str">
        <f t="shared" si="1"/>
        <v/>
      </c>
    </row>
    <row r="1828">
      <c r="L1828" s="53" t="str">
        <f t="shared" si="1"/>
        <v/>
      </c>
    </row>
    <row r="1829">
      <c r="L1829" s="53" t="str">
        <f t="shared" si="1"/>
        <v/>
      </c>
    </row>
    <row r="1830">
      <c r="L1830" s="53" t="str">
        <f t="shared" si="1"/>
        <v/>
      </c>
    </row>
    <row r="1831">
      <c r="L1831" s="53" t="str">
        <f t="shared" si="1"/>
        <v/>
      </c>
    </row>
    <row r="1832">
      <c r="L1832" s="53" t="str">
        <f t="shared" si="1"/>
        <v/>
      </c>
    </row>
    <row r="1833">
      <c r="L1833" s="53" t="str">
        <f t="shared" si="1"/>
        <v/>
      </c>
    </row>
    <row r="1834">
      <c r="L1834" s="53" t="str">
        <f t="shared" si="1"/>
        <v/>
      </c>
    </row>
    <row r="1835">
      <c r="L1835" s="53" t="str">
        <f t="shared" si="1"/>
        <v/>
      </c>
    </row>
    <row r="1836">
      <c r="L1836" s="53" t="str">
        <f t="shared" si="1"/>
        <v/>
      </c>
    </row>
    <row r="1837">
      <c r="L1837" s="53" t="str">
        <f t="shared" si="1"/>
        <v/>
      </c>
    </row>
    <row r="1838">
      <c r="L1838" s="53" t="str">
        <f t="shared" si="1"/>
        <v/>
      </c>
    </row>
    <row r="1839">
      <c r="L1839" s="53" t="str">
        <f t="shared" si="1"/>
        <v/>
      </c>
    </row>
    <row r="1840">
      <c r="L1840" s="53" t="str">
        <f t="shared" si="1"/>
        <v/>
      </c>
    </row>
    <row r="1841">
      <c r="L1841" s="53" t="str">
        <f t="shared" si="1"/>
        <v/>
      </c>
    </row>
    <row r="1842">
      <c r="L1842" s="53" t="str">
        <f t="shared" si="1"/>
        <v/>
      </c>
    </row>
    <row r="1843">
      <c r="L1843" s="53" t="str">
        <f t="shared" si="1"/>
        <v/>
      </c>
    </row>
    <row r="1844">
      <c r="L1844" s="53" t="str">
        <f t="shared" si="1"/>
        <v/>
      </c>
    </row>
    <row r="1845">
      <c r="L1845" s="53" t="str">
        <f t="shared" si="1"/>
        <v/>
      </c>
    </row>
    <row r="1846">
      <c r="L1846" s="53" t="str">
        <f t="shared" si="1"/>
        <v/>
      </c>
    </row>
    <row r="1847">
      <c r="L1847" s="53" t="str">
        <f t="shared" si="1"/>
        <v/>
      </c>
    </row>
    <row r="1848">
      <c r="L1848" s="53" t="str">
        <f t="shared" si="1"/>
        <v/>
      </c>
    </row>
    <row r="1849">
      <c r="L1849" s="53" t="str">
        <f t="shared" si="1"/>
        <v/>
      </c>
    </row>
    <row r="1850">
      <c r="L1850" s="53" t="str">
        <f t="shared" si="1"/>
        <v/>
      </c>
    </row>
    <row r="1851">
      <c r="L1851" s="53" t="str">
        <f t="shared" si="1"/>
        <v/>
      </c>
    </row>
    <row r="1852">
      <c r="L1852" s="53" t="str">
        <f t="shared" si="1"/>
        <v/>
      </c>
    </row>
    <row r="1853">
      <c r="L1853" s="53" t="str">
        <f t="shared" si="1"/>
        <v/>
      </c>
    </row>
    <row r="1854">
      <c r="L1854" s="53" t="str">
        <f t="shared" si="1"/>
        <v/>
      </c>
    </row>
    <row r="1855">
      <c r="L1855" s="53" t="str">
        <f t="shared" si="1"/>
        <v/>
      </c>
    </row>
    <row r="1856">
      <c r="L1856" s="53" t="str">
        <f t="shared" si="1"/>
        <v/>
      </c>
    </row>
    <row r="1857">
      <c r="L1857" s="53" t="str">
        <f t="shared" si="1"/>
        <v/>
      </c>
    </row>
    <row r="1858">
      <c r="L1858" s="53" t="str">
        <f t="shared" si="1"/>
        <v/>
      </c>
    </row>
    <row r="1859">
      <c r="L1859" s="53" t="str">
        <f t="shared" si="1"/>
        <v/>
      </c>
    </row>
    <row r="1860">
      <c r="L1860" s="53" t="str">
        <f t="shared" si="1"/>
        <v/>
      </c>
    </row>
    <row r="1861">
      <c r="L1861" s="53" t="str">
        <f t="shared" si="1"/>
        <v/>
      </c>
    </row>
    <row r="1862">
      <c r="L1862" s="53" t="str">
        <f t="shared" si="1"/>
        <v/>
      </c>
    </row>
    <row r="1863">
      <c r="L1863" s="53" t="str">
        <f t="shared" si="1"/>
        <v/>
      </c>
    </row>
    <row r="1864">
      <c r="L1864" s="53" t="str">
        <f t="shared" si="1"/>
        <v/>
      </c>
    </row>
    <row r="1865">
      <c r="L1865" s="53" t="str">
        <f t="shared" si="1"/>
        <v/>
      </c>
    </row>
    <row r="1866">
      <c r="L1866" s="53" t="str">
        <f t="shared" si="1"/>
        <v/>
      </c>
    </row>
    <row r="1867">
      <c r="L1867" s="53" t="str">
        <f t="shared" si="1"/>
        <v/>
      </c>
    </row>
    <row r="1868">
      <c r="L1868" s="53" t="str">
        <f t="shared" si="1"/>
        <v/>
      </c>
    </row>
    <row r="1869">
      <c r="L1869" s="53" t="str">
        <f t="shared" si="1"/>
        <v/>
      </c>
    </row>
    <row r="1870">
      <c r="L1870" s="53" t="str">
        <f t="shared" si="1"/>
        <v/>
      </c>
    </row>
    <row r="1871">
      <c r="L1871" s="53" t="str">
        <f t="shared" si="1"/>
        <v/>
      </c>
    </row>
    <row r="1872">
      <c r="L1872" s="53" t="str">
        <f t="shared" si="1"/>
        <v/>
      </c>
    </row>
    <row r="1873">
      <c r="L1873" s="53" t="str">
        <f t="shared" si="1"/>
        <v/>
      </c>
    </row>
    <row r="1874">
      <c r="L1874" s="53" t="str">
        <f t="shared" si="1"/>
        <v/>
      </c>
    </row>
    <row r="1875">
      <c r="L1875" s="53" t="str">
        <f t="shared" si="1"/>
        <v/>
      </c>
    </row>
    <row r="1876">
      <c r="L1876" s="53" t="str">
        <f t="shared" si="1"/>
        <v/>
      </c>
    </row>
    <row r="1877">
      <c r="L1877" s="53" t="str">
        <f t="shared" si="1"/>
        <v/>
      </c>
    </row>
    <row r="1878">
      <c r="L1878" s="53" t="str">
        <f t="shared" si="1"/>
        <v/>
      </c>
    </row>
    <row r="1879">
      <c r="L1879" s="53" t="str">
        <f t="shared" si="1"/>
        <v/>
      </c>
    </row>
    <row r="1880">
      <c r="L1880" s="53" t="str">
        <f t="shared" si="1"/>
        <v/>
      </c>
    </row>
    <row r="1881">
      <c r="L1881" s="53" t="str">
        <f t="shared" si="1"/>
        <v/>
      </c>
    </row>
    <row r="1882">
      <c r="L1882" s="53" t="str">
        <f t="shared" si="1"/>
        <v/>
      </c>
    </row>
    <row r="1883">
      <c r="L1883" s="53" t="str">
        <f t="shared" si="1"/>
        <v/>
      </c>
    </row>
    <row r="1884">
      <c r="L1884" s="53" t="str">
        <f t="shared" si="1"/>
        <v/>
      </c>
    </row>
    <row r="1885">
      <c r="L1885" s="53" t="str">
        <f t="shared" si="1"/>
        <v/>
      </c>
    </row>
    <row r="1886">
      <c r="L1886" s="53" t="str">
        <f t="shared" si="1"/>
        <v/>
      </c>
    </row>
    <row r="1887">
      <c r="L1887" s="53" t="str">
        <f t="shared" si="1"/>
        <v/>
      </c>
    </row>
    <row r="1888">
      <c r="L1888" s="53" t="str">
        <f t="shared" si="1"/>
        <v/>
      </c>
    </row>
    <row r="1889">
      <c r="L1889" s="53" t="str">
        <f t="shared" si="1"/>
        <v/>
      </c>
    </row>
    <row r="1890">
      <c r="L1890" s="53" t="str">
        <f t="shared" si="1"/>
        <v/>
      </c>
    </row>
    <row r="1891">
      <c r="L1891" s="53" t="str">
        <f t="shared" si="1"/>
        <v/>
      </c>
    </row>
    <row r="1892">
      <c r="L1892" s="53" t="str">
        <f t="shared" si="1"/>
        <v/>
      </c>
    </row>
    <row r="1893">
      <c r="L1893" s="53" t="str">
        <f t="shared" si="1"/>
        <v/>
      </c>
    </row>
    <row r="1894">
      <c r="L1894" s="53" t="str">
        <f t="shared" si="1"/>
        <v/>
      </c>
    </row>
    <row r="1895">
      <c r="L1895" s="53" t="str">
        <f t="shared" si="1"/>
        <v/>
      </c>
    </row>
    <row r="1896">
      <c r="L1896" s="53" t="str">
        <f t="shared" si="1"/>
        <v/>
      </c>
    </row>
    <row r="1897">
      <c r="L1897" s="53" t="str">
        <f t="shared" si="1"/>
        <v/>
      </c>
    </row>
    <row r="1898">
      <c r="L1898" s="53" t="str">
        <f t="shared" si="1"/>
        <v/>
      </c>
    </row>
    <row r="1899">
      <c r="L1899" s="53" t="str">
        <f t="shared" si="1"/>
        <v/>
      </c>
    </row>
    <row r="1900">
      <c r="L1900" s="53" t="str">
        <f t="shared" si="1"/>
        <v/>
      </c>
    </row>
    <row r="1901">
      <c r="L1901" s="53" t="str">
        <f t="shared" si="1"/>
        <v/>
      </c>
    </row>
    <row r="1902">
      <c r="L1902" s="53" t="str">
        <f t="shared" si="1"/>
        <v/>
      </c>
    </row>
    <row r="1903">
      <c r="L1903" s="53" t="str">
        <f t="shared" si="1"/>
        <v/>
      </c>
    </row>
    <row r="1904">
      <c r="L1904" s="53" t="str">
        <f t="shared" si="1"/>
        <v/>
      </c>
    </row>
    <row r="1905">
      <c r="L1905" s="53" t="str">
        <f t="shared" si="1"/>
        <v/>
      </c>
    </row>
    <row r="1906">
      <c r="L1906" s="53" t="str">
        <f t="shared" si="1"/>
        <v/>
      </c>
    </row>
    <row r="1907">
      <c r="L1907" s="53" t="str">
        <f t="shared" si="1"/>
        <v/>
      </c>
    </row>
    <row r="1908">
      <c r="L1908" s="53" t="str">
        <f t="shared" si="1"/>
        <v/>
      </c>
    </row>
    <row r="1909">
      <c r="L1909" s="53" t="str">
        <f t="shared" si="1"/>
        <v/>
      </c>
    </row>
    <row r="1910">
      <c r="L1910" s="53" t="str">
        <f t="shared" si="1"/>
        <v/>
      </c>
    </row>
    <row r="1911">
      <c r="L1911" s="53" t="str">
        <f t="shared" si="1"/>
        <v/>
      </c>
    </row>
    <row r="1912">
      <c r="L1912" s="53" t="str">
        <f t="shared" si="1"/>
        <v/>
      </c>
    </row>
    <row r="1913">
      <c r="L1913" s="53" t="str">
        <f t="shared" si="1"/>
        <v/>
      </c>
    </row>
    <row r="1914">
      <c r="L1914" s="53" t="str">
        <f t="shared" si="1"/>
        <v/>
      </c>
    </row>
    <row r="1915">
      <c r="L1915" s="53" t="str">
        <f t="shared" si="1"/>
        <v/>
      </c>
    </row>
    <row r="1916">
      <c r="L1916" s="53" t="str">
        <f t="shared" si="1"/>
        <v/>
      </c>
    </row>
    <row r="1917">
      <c r="L1917" s="53" t="str">
        <f t="shared" si="1"/>
        <v/>
      </c>
    </row>
    <row r="1918">
      <c r="L1918" s="53" t="str">
        <f t="shared" si="1"/>
        <v/>
      </c>
    </row>
    <row r="1919">
      <c r="L1919" s="53" t="str">
        <f t="shared" si="1"/>
        <v/>
      </c>
    </row>
    <row r="1920">
      <c r="L1920" s="53" t="str">
        <f t="shared" si="1"/>
        <v/>
      </c>
    </row>
    <row r="1921">
      <c r="L1921" s="53" t="str">
        <f t="shared" si="1"/>
        <v/>
      </c>
    </row>
    <row r="1922">
      <c r="L1922" s="53" t="str">
        <f t="shared" si="1"/>
        <v/>
      </c>
    </row>
    <row r="1923">
      <c r="L1923" s="53" t="str">
        <f t="shared" si="1"/>
        <v/>
      </c>
    </row>
    <row r="1924">
      <c r="L1924" s="53" t="str">
        <f t="shared" si="1"/>
        <v/>
      </c>
    </row>
    <row r="1925">
      <c r="L1925" s="53" t="str">
        <f t="shared" si="1"/>
        <v/>
      </c>
    </row>
    <row r="1926">
      <c r="L1926" s="53" t="str">
        <f t="shared" si="1"/>
        <v/>
      </c>
    </row>
    <row r="1927">
      <c r="L1927" s="53" t="str">
        <f t="shared" si="1"/>
        <v/>
      </c>
    </row>
    <row r="1928">
      <c r="L1928" s="53" t="str">
        <f t="shared" si="1"/>
        <v/>
      </c>
    </row>
    <row r="1929">
      <c r="L1929" s="53" t="str">
        <f t="shared" si="1"/>
        <v/>
      </c>
    </row>
    <row r="1930">
      <c r="L1930" s="53" t="str">
        <f t="shared" si="1"/>
        <v/>
      </c>
    </row>
    <row r="1931">
      <c r="L1931" s="53" t="str">
        <f t="shared" si="1"/>
        <v/>
      </c>
    </row>
    <row r="1932">
      <c r="L1932" s="53" t="str">
        <f t="shared" si="1"/>
        <v/>
      </c>
    </row>
    <row r="1933">
      <c r="L1933" s="53" t="str">
        <f t="shared" si="1"/>
        <v/>
      </c>
    </row>
    <row r="1934">
      <c r="L1934" s="53" t="str">
        <f t="shared" si="1"/>
        <v/>
      </c>
    </row>
    <row r="1935">
      <c r="L1935" s="53" t="str">
        <f t="shared" si="1"/>
        <v/>
      </c>
    </row>
    <row r="1936">
      <c r="L1936" s="53" t="str">
        <f t="shared" si="1"/>
        <v/>
      </c>
    </row>
    <row r="1937">
      <c r="L1937" s="53" t="str">
        <f t="shared" si="1"/>
        <v/>
      </c>
    </row>
    <row r="1938">
      <c r="L1938" s="53" t="str">
        <f t="shared" si="1"/>
        <v/>
      </c>
    </row>
    <row r="1939">
      <c r="L1939" s="53" t="str">
        <f t="shared" si="1"/>
        <v/>
      </c>
    </row>
    <row r="1940">
      <c r="L1940" s="53" t="str">
        <f t="shared" si="1"/>
        <v/>
      </c>
    </row>
    <row r="1941">
      <c r="L1941" s="53" t="str">
        <f t="shared" si="1"/>
        <v/>
      </c>
    </row>
    <row r="1942">
      <c r="L1942" s="53" t="str">
        <f t="shared" si="1"/>
        <v/>
      </c>
    </row>
    <row r="1943">
      <c r="L1943" s="53" t="str">
        <f t="shared" si="1"/>
        <v/>
      </c>
    </row>
    <row r="1944">
      <c r="L1944" s="53" t="str">
        <f t="shared" si="1"/>
        <v/>
      </c>
    </row>
    <row r="1945">
      <c r="L1945" s="53" t="str">
        <f t="shared" si="1"/>
        <v/>
      </c>
    </row>
    <row r="1946">
      <c r="L1946" s="53" t="str">
        <f t="shared" si="1"/>
        <v/>
      </c>
    </row>
    <row r="1947">
      <c r="L1947" s="53" t="str">
        <f t="shared" si="1"/>
        <v/>
      </c>
    </row>
    <row r="1948">
      <c r="L1948" s="53" t="str">
        <f t="shared" si="1"/>
        <v/>
      </c>
    </row>
    <row r="1949">
      <c r="L1949" s="53" t="str">
        <f t="shared" si="1"/>
        <v/>
      </c>
    </row>
    <row r="1950">
      <c r="L1950" s="53" t="str">
        <f t="shared" si="1"/>
        <v/>
      </c>
    </row>
    <row r="1951">
      <c r="L1951" s="53" t="str">
        <f t="shared" si="1"/>
        <v/>
      </c>
    </row>
    <row r="1952">
      <c r="L1952" s="53" t="str">
        <f t="shared" si="1"/>
        <v/>
      </c>
    </row>
    <row r="1953">
      <c r="L1953" s="53" t="str">
        <f t="shared" si="1"/>
        <v/>
      </c>
    </row>
    <row r="1954">
      <c r="L1954" s="53" t="str">
        <f t="shared" si="1"/>
        <v/>
      </c>
    </row>
    <row r="1955">
      <c r="L1955" s="53" t="str">
        <f t="shared" si="1"/>
        <v/>
      </c>
    </row>
    <row r="1956">
      <c r="L1956" s="53" t="str">
        <f t="shared" si="1"/>
        <v/>
      </c>
    </row>
    <row r="1957">
      <c r="L1957" s="53" t="str">
        <f t="shared" si="1"/>
        <v/>
      </c>
    </row>
    <row r="1958">
      <c r="L1958" s="53" t="str">
        <f t="shared" si="1"/>
        <v/>
      </c>
    </row>
    <row r="1959">
      <c r="L1959" s="53" t="str">
        <f t="shared" si="1"/>
        <v/>
      </c>
    </row>
    <row r="1960">
      <c r="L1960" s="53" t="str">
        <f t="shared" si="1"/>
        <v/>
      </c>
    </row>
    <row r="1961">
      <c r="L1961" s="53" t="str">
        <f t="shared" si="1"/>
        <v/>
      </c>
    </row>
    <row r="1962">
      <c r="L1962" s="53" t="str">
        <f t="shared" si="1"/>
        <v/>
      </c>
    </row>
    <row r="1963">
      <c r="L1963" s="53" t="str">
        <f t="shared" si="1"/>
        <v/>
      </c>
    </row>
    <row r="1964">
      <c r="L1964" s="53" t="str">
        <f t="shared" si="1"/>
        <v/>
      </c>
    </row>
    <row r="1965">
      <c r="L1965" s="53" t="str">
        <f t="shared" si="1"/>
        <v/>
      </c>
    </row>
    <row r="1966">
      <c r="L1966" s="53" t="str">
        <f t="shared" si="1"/>
        <v/>
      </c>
    </row>
    <row r="1967">
      <c r="L1967" s="53" t="str">
        <f t="shared" si="1"/>
        <v/>
      </c>
    </row>
    <row r="1968">
      <c r="L1968" s="53" t="str">
        <f t="shared" si="1"/>
        <v/>
      </c>
    </row>
    <row r="1969">
      <c r="L1969" s="53" t="str">
        <f t="shared" si="1"/>
        <v/>
      </c>
    </row>
    <row r="1970">
      <c r="L1970" s="53" t="str">
        <f t="shared" si="1"/>
        <v/>
      </c>
    </row>
    <row r="1971">
      <c r="L1971" s="53" t="str">
        <f t="shared" si="1"/>
        <v/>
      </c>
    </row>
    <row r="1972">
      <c r="L1972" s="53" t="str">
        <f t="shared" si="1"/>
        <v/>
      </c>
    </row>
    <row r="1973">
      <c r="L1973" s="53" t="str">
        <f t="shared" si="1"/>
        <v/>
      </c>
    </row>
    <row r="1974">
      <c r="L1974" s="53" t="str">
        <f t="shared" si="1"/>
        <v/>
      </c>
    </row>
    <row r="1975">
      <c r="L1975" s="53" t="str">
        <f t="shared" si="1"/>
        <v/>
      </c>
    </row>
    <row r="1976">
      <c r="L1976" s="53" t="str">
        <f t="shared" si="1"/>
        <v/>
      </c>
    </row>
    <row r="1977">
      <c r="L1977" s="53" t="str">
        <f t="shared" si="1"/>
        <v/>
      </c>
    </row>
    <row r="1978">
      <c r="L1978" s="53" t="str">
        <f t="shared" si="1"/>
        <v/>
      </c>
    </row>
    <row r="1979">
      <c r="L1979" s="53" t="str">
        <f t="shared" si="1"/>
        <v/>
      </c>
    </row>
    <row r="1980">
      <c r="L1980" s="53" t="str">
        <f t="shared" si="1"/>
        <v/>
      </c>
    </row>
    <row r="1981">
      <c r="L1981" s="53" t="str">
        <f t="shared" si="1"/>
        <v/>
      </c>
    </row>
    <row r="1982">
      <c r="L1982" s="53" t="str">
        <f t="shared" si="1"/>
        <v/>
      </c>
    </row>
    <row r="1983">
      <c r="L1983" s="53" t="str">
        <f t="shared" si="1"/>
        <v/>
      </c>
    </row>
    <row r="1984">
      <c r="L1984" s="53" t="str">
        <f t="shared" si="1"/>
        <v/>
      </c>
    </row>
    <row r="1985">
      <c r="L1985" s="53" t="str">
        <f t="shared" si="1"/>
        <v/>
      </c>
    </row>
    <row r="1986">
      <c r="L1986" s="53" t="str">
        <f t="shared" si="1"/>
        <v/>
      </c>
    </row>
    <row r="1987">
      <c r="L1987" s="53" t="str">
        <f t="shared" si="1"/>
        <v/>
      </c>
    </row>
    <row r="1988">
      <c r="L1988" s="53" t="str">
        <f t="shared" si="1"/>
        <v/>
      </c>
    </row>
    <row r="1989">
      <c r="L1989" s="53" t="str">
        <f t="shared" si="1"/>
        <v/>
      </c>
    </row>
    <row r="1990">
      <c r="L1990" s="53" t="str">
        <f t="shared" si="1"/>
        <v/>
      </c>
    </row>
    <row r="1991">
      <c r="L1991" s="53" t="str">
        <f t="shared" si="1"/>
        <v/>
      </c>
    </row>
    <row r="1992">
      <c r="L1992" s="53" t="str">
        <f t="shared" si="1"/>
        <v/>
      </c>
    </row>
    <row r="1993">
      <c r="L1993" s="53" t="str">
        <f t="shared" si="1"/>
        <v/>
      </c>
    </row>
    <row r="1994">
      <c r="L1994" s="53" t="str">
        <f t="shared" si="1"/>
        <v/>
      </c>
    </row>
    <row r="1995">
      <c r="L1995" s="53" t="str">
        <f t="shared" si="1"/>
        <v/>
      </c>
    </row>
    <row r="1996">
      <c r="L1996" s="53" t="str">
        <f t="shared" si="1"/>
        <v/>
      </c>
    </row>
    <row r="1997">
      <c r="L1997" s="53" t="str">
        <f t="shared" si="1"/>
        <v/>
      </c>
    </row>
    <row r="1998">
      <c r="L1998" s="53" t="str">
        <f t="shared" si="1"/>
        <v/>
      </c>
    </row>
    <row r="1999">
      <c r="L1999" s="53" t="str">
        <f t="shared" si="1"/>
        <v/>
      </c>
    </row>
    <row r="2000">
      <c r="L2000" s="53" t="str">
        <f t="shared" si="1"/>
        <v/>
      </c>
    </row>
    <row r="2001">
      <c r="L2001" s="53" t="str">
        <f t="shared" si="1"/>
        <v/>
      </c>
    </row>
    <row r="2002">
      <c r="L2002" s="53" t="str">
        <f t="shared" si="1"/>
        <v/>
      </c>
    </row>
    <row r="2003">
      <c r="L2003" s="53" t="str">
        <f t="shared" si="1"/>
        <v/>
      </c>
    </row>
    <row r="2004">
      <c r="L2004" s="53" t="str">
        <f t="shared" si="1"/>
        <v/>
      </c>
    </row>
    <row r="2005">
      <c r="L2005" s="53" t="str">
        <f t="shared" si="1"/>
        <v/>
      </c>
    </row>
    <row r="2006">
      <c r="L2006" s="53" t="str">
        <f t="shared" si="1"/>
        <v/>
      </c>
    </row>
    <row r="2007">
      <c r="L2007" s="53" t="str">
        <f t="shared" si="1"/>
        <v/>
      </c>
    </row>
    <row r="2008">
      <c r="L2008" s="53" t="str">
        <f t="shared" si="1"/>
        <v/>
      </c>
    </row>
    <row r="2009">
      <c r="L2009" s="53" t="str">
        <f t="shared" si="1"/>
        <v/>
      </c>
    </row>
    <row r="2010">
      <c r="L2010" s="53" t="str">
        <f t="shared" si="1"/>
        <v/>
      </c>
    </row>
    <row r="2011">
      <c r="L2011" s="53" t="str">
        <f t="shared" si="1"/>
        <v/>
      </c>
    </row>
    <row r="2012">
      <c r="L2012" s="53" t="str">
        <f t="shared" si="1"/>
        <v/>
      </c>
    </row>
    <row r="2013">
      <c r="L2013" s="53" t="str">
        <f t="shared" si="1"/>
        <v/>
      </c>
    </row>
    <row r="2014">
      <c r="L2014" s="53" t="str">
        <f t="shared" si="1"/>
        <v/>
      </c>
    </row>
    <row r="2015">
      <c r="L2015" s="53" t="str">
        <f t="shared" si="1"/>
        <v/>
      </c>
    </row>
    <row r="2016">
      <c r="L2016" s="53" t="str">
        <f t="shared" si="1"/>
        <v/>
      </c>
    </row>
    <row r="2017">
      <c r="L2017" s="53" t="str">
        <f t="shared" si="1"/>
        <v/>
      </c>
    </row>
    <row r="2018">
      <c r="L2018" s="53" t="str">
        <f t="shared" si="1"/>
        <v/>
      </c>
    </row>
    <row r="2019">
      <c r="L2019" s="53" t="str">
        <f t="shared" si="1"/>
        <v/>
      </c>
    </row>
    <row r="2020">
      <c r="L2020" s="53" t="str">
        <f t="shared" si="1"/>
        <v/>
      </c>
    </row>
    <row r="2021">
      <c r="L2021" s="53" t="str">
        <f t="shared" si="1"/>
        <v/>
      </c>
    </row>
    <row r="2022">
      <c r="L2022" s="53" t="str">
        <f t="shared" si="1"/>
        <v/>
      </c>
    </row>
    <row r="2023">
      <c r="L2023" s="53" t="str">
        <f t="shared" si="1"/>
        <v/>
      </c>
    </row>
    <row r="2024">
      <c r="L2024" s="53" t="str">
        <f t="shared" si="1"/>
        <v/>
      </c>
    </row>
    <row r="2025">
      <c r="L2025" s="53" t="str">
        <f t="shared" si="1"/>
        <v/>
      </c>
    </row>
    <row r="2026">
      <c r="L2026" s="53" t="str">
        <f t="shared" si="1"/>
        <v/>
      </c>
    </row>
    <row r="2027">
      <c r="L2027" s="53" t="str">
        <f t="shared" si="1"/>
        <v/>
      </c>
    </row>
    <row r="2028">
      <c r="L2028" s="53" t="str">
        <f t="shared" si="1"/>
        <v/>
      </c>
    </row>
    <row r="2029">
      <c r="L2029" s="53" t="str">
        <f t="shared" si="1"/>
        <v/>
      </c>
    </row>
    <row r="2030">
      <c r="L2030" s="53" t="str">
        <f t="shared" si="1"/>
        <v/>
      </c>
    </row>
    <row r="2031">
      <c r="L2031" s="53" t="str">
        <f t="shared" si="1"/>
        <v/>
      </c>
    </row>
    <row r="2032">
      <c r="L2032" s="53" t="str">
        <f t="shared" si="1"/>
        <v/>
      </c>
    </row>
    <row r="2033">
      <c r="L2033" s="53" t="str">
        <f t="shared" si="1"/>
        <v/>
      </c>
    </row>
    <row r="2034">
      <c r="L2034" s="53" t="str">
        <f t="shared" si="1"/>
        <v/>
      </c>
    </row>
    <row r="2035">
      <c r="L2035" s="53" t="str">
        <f t="shared" si="1"/>
        <v/>
      </c>
    </row>
    <row r="2036">
      <c r="L2036" s="53" t="str">
        <f t="shared" si="1"/>
        <v/>
      </c>
    </row>
    <row r="2037">
      <c r="L2037" s="53" t="str">
        <f t="shared" si="1"/>
        <v/>
      </c>
    </row>
    <row r="2038">
      <c r="L2038" s="53" t="str">
        <f t="shared" si="1"/>
        <v/>
      </c>
    </row>
    <row r="2039">
      <c r="L2039" s="53" t="str">
        <f t="shared" si="1"/>
        <v/>
      </c>
    </row>
    <row r="2040">
      <c r="L2040" s="53" t="str">
        <f t="shared" si="1"/>
        <v/>
      </c>
    </row>
    <row r="2041">
      <c r="L2041" s="53" t="str">
        <f t="shared" si="1"/>
        <v/>
      </c>
    </row>
    <row r="2042">
      <c r="L2042" s="53" t="str">
        <f t="shared" si="1"/>
        <v/>
      </c>
    </row>
    <row r="2043">
      <c r="L2043" s="53" t="str">
        <f t="shared" si="1"/>
        <v/>
      </c>
    </row>
    <row r="2044">
      <c r="L2044" s="53" t="str">
        <f t="shared" si="1"/>
        <v/>
      </c>
    </row>
    <row r="2045">
      <c r="L2045" s="53" t="str">
        <f t="shared" si="1"/>
        <v/>
      </c>
    </row>
    <row r="2046">
      <c r="L2046" s="53" t="str">
        <f t="shared" si="1"/>
        <v/>
      </c>
    </row>
    <row r="2047">
      <c r="L2047" s="53" t="str">
        <f t="shared" si="1"/>
        <v/>
      </c>
    </row>
    <row r="2048">
      <c r="L2048" s="53" t="str">
        <f t="shared" si="1"/>
        <v/>
      </c>
    </row>
    <row r="2049">
      <c r="L2049" s="53" t="str">
        <f t="shared" si="1"/>
        <v/>
      </c>
    </row>
    <row r="2050">
      <c r="L2050" s="53" t="str">
        <f t="shared" si="1"/>
        <v/>
      </c>
    </row>
    <row r="2051">
      <c r="L2051" s="53" t="str">
        <f t="shared" si="1"/>
        <v/>
      </c>
    </row>
    <row r="2052">
      <c r="L2052" s="53" t="str">
        <f t="shared" si="1"/>
        <v/>
      </c>
    </row>
    <row r="2053">
      <c r="L2053" s="53" t="str">
        <f t="shared" si="1"/>
        <v/>
      </c>
    </row>
    <row r="2054">
      <c r="L2054" s="53" t="str">
        <f t="shared" si="1"/>
        <v/>
      </c>
    </row>
    <row r="2055">
      <c r="L2055" s="53" t="str">
        <f t="shared" si="1"/>
        <v/>
      </c>
    </row>
    <row r="2056">
      <c r="L2056" s="53" t="str">
        <f t="shared" si="1"/>
        <v/>
      </c>
    </row>
    <row r="2057">
      <c r="L2057" s="53" t="str">
        <f t="shared" si="1"/>
        <v/>
      </c>
    </row>
    <row r="2058">
      <c r="L2058" s="53" t="str">
        <f t="shared" si="1"/>
        <v/>
      </c>
    </row>
    <row r="2059">
      <c r="L2059" s="53" t="str">
        <f t="shared" si="1"/>
        <v/>
      </c>
    </row>
    <row r="2060">
      <c r="L2060" s="53" t="str">
        <f t="shared" si="1"/>
        <v/>
      </c>
    </row>
    <row r="2061">
      <c r="L2061" s="53" t="str">
        <f t="shared" si="1"/>
        <v/>
      </c>
    </row>
    <row r="2062">
      <c r="L2062" s="53" t="str">
        <f t="shared" si="1"/>
        <v/>
      </c>
    </row>
    <row r="2063">
      <c r="L2063" s="53" t="str">
        <f t="shared" si="1"/>
        <v/>
      </c>
    </row>
    <row r="2064">
      <c r="L2064" s="53" t="str">
        <f t="shared" si="1"/>
        <v/>
      </c>
    </row>
    <row r="2065">
      <c r="L2065" s="53" t="str">
        <f t="shared" si="1"/>
        <v/>
      </c>
    </row>
    <row r="2066">
      <c r="L2066" s="53" t="str">
        <f t="shared" si="1"/>
        <v/>
      </c>
    </row>
    <row r="2067">
      <c r="L2067" s="53" t="str">
        <f t="shared" si="1"/>
        <v/>
      </c>
    </row>
    <row r="2068">
      <c r="L2068" s="53" t="str">
        <f t="shared" si="1"/>
        <v/>
      </c>
    </row>
    <row r="2069">
      <c r="L2069" s="53" t="str">
        <f t="shared" si="1"/>
        <v/>
      </c>
    </row>
    <row r="2070">
      <c r="L2070" s="53" t="str">
        <f t="shared" si="1"/>
        <v/>
      </c>
    </row>
    <row r="2071">
      <c r="L2071" s="53" t="str">
        <f t="shared" si="1"/>
        <v/>
      </c>
    </row>
    <row r="2072">
      <c r="L2072" s="53" t="str">
        <f t="shared" si="1"/>
        <v/>
      </c>
    </row>
    <row r="2073">
      <c r="L2073" s="53" t="str">
        <f t="shared" si="1"/>
        <v/>
      </c>
    </row>
    <row r="2074">
      <c r="L2074" s="53" t="str">
        <f t="shared" si="1"/>
        <v/>
      </c>
    </row>
    <row r="2075">
      <c r="L2075" s="53" t="str">
        <f t="shared" si="1"/>
        <v/>
      </c>
    </row>
    <row r="2076">
      <c r="L2076" s="53" t="str">
        <f t="shared" si="1"/>
        <v/>
      </c>
    </row>
    <row r="2077">
      <c r="L2077" s="53" t="str">
        <f t="shared" si="1"/>
        <v/>
      </c>
    </row>
    <row r="2078">
      <c r="L2078" s="53" t="str">
        <f t="shared" si="1"/>
        <v/>
      </c>
    </row>
    <row r="2079">
      <c r="L2079" s="53" t="str">
        <f t="shared" si="1"/>
        <v/>
      </c>
    </row>
    <row r="2080">
      <c r="L2080" s="53" t="str">
        <f t="shared" si="1"/>
        <v/>
      </c>
    </row>
    <row r="2081">
      <c r="L2081" s="53" t="str">
        <f t="shared" si="1"/>
        <v/>
      </c>
    </row>
    <row r="2082">
      <c r="L2082" s="53" t="str">
        <f t="shared" si="1"/>
        <v/>
      </c>
    </row>
    <row r="2083">
      <c r="L2083" s="53" t="str">
        <f t="shared" si="1"/>
        <v/>
      </c>
    </row>
    <row r="2084">
      <c r="L2084" s="53" t="str">
        <f t="shared" si="1"/>
        <v/>
      </c>
    </row>
    <row r="2085">
      <c r="L2085" s="53" t="str">
        <f t="shared" si="1"/>
        <v/>
      </c>
    </row>
    <row r="2086">
      <c r="L2086" s="53" t="str">
        <f t="shared" si="1"/>
        <v/>
      </c>
    </row>
    <row r="2087">
      <c r="L2087" s="53" t="str">
        <f t="shared" si="1"/>
        <v/>
      </c>
    </row>
    <row r="2088">
      <c r="L2088" s="53" t="str">
        <f t="shared" si="1"/>
        <v/>
      </c>
    </row>
    <row r="2089">
      <c r="L2089" s="53" t="str">
        <f t="shared" si="1"/>
        <v/>
      </c>
    </row>
    <row r="2090">
      <c r="L2090" s="53" t="str">
        <f t="shared" si="1"/>
        <v/>
      </c>
    </row>
    <row r="2091">
      <c r="L2091" s="53" t="str">
        <f t="shared" si="1"/>
        <v/>
      </c>
    </row>
    <row r="2092">
      <c r="L2092" s="53" t="str">
        <f t="shared" si="1"/>
        <v/>
      </c>
    </row>
    <row r="2093">
      <c r="L2093" s="53" t="str">
        <f t="shared" si="1"/>
        <v/>
      </c>
    </row>
    <row r="2094">
      <c r="L2094" s="53" t="str">
        <f t="shared" si="1"/>
        <v/>
      </c>
    </row>
    <row r="2095">
      <c r="L2095" s="53" t="str">
        <f t="shared" si="1"/>
        <v/>
      </c>
    </row>
    <row r="2096">
      <c r="L2096" s="53" t="str">
        <f t="shared" si="1"/>
        <v/>
      </c>
    </row>
    <row r="2097">
      <c r="L2097" s="53" t="str">
        <f t="shared" si="1"/>
        <v/>
      </c>
    </row>
    <row r="2098">
      <c r="L2098" s="53" t="str">
        <f t="shared" si="1"/>
        <v/>
      </c>
    </row>
    <row r="2099">
      <c r="L2099" s="53" t="str">
        <f t="shared" si="1"/>
        <v/>
      </c>
    </row>
    <row r="2100">
      <c r="L2100" s="53" t="str">
        <f t="shared" si="1"/>
        <v/>
      </c>
    </row>
    <row r="2101">
      <c r="L2101" s="53" t="str">
        <f t="shared" si="1"/>
        <v/>
      </c>
    </row>
    <row r="2102">
      <c r="L2102" s="53" t="str">
        <f t="shared" si="1"/>
        <v/>
      </c>
    </row>
    <row r="2103">
      <c r="L2103" s="53" t="str">
        <f t="shared" si="1"/>
        <v/>
      </c>
    </row>
    <row r="2104">
      <c r="L2104" s="53" t="str">
        <f t="shared" si="1"/>
        <v/>
      </c>
    </row>
    <row r="2105">
      <c r="L2105" s="53" t="str">
        <f t="shared" si="1"/>
        <v/>
      </c>
    </row>
    <row r="2106">
      <c r="L2106" s="53" t="str">
        <f t="shared" si="1"/>
        <v/>
      </c>
    </row>
    <row r="2107">
      <c r="L2107" s="53" t="str">
        <f t="shared" si="1"/>
        <v/>
      </c>
    </row>
    <row r="2108">
      <c r="L2108" s="53" t="str">
        <f t="shared" si="1"/>
        <v/>
      </c>
    </row>
    <row r="2109">
      <c r="L2109" s="53" t="str">
        <f t="shared" si="1"/>
        <v/>
      </c>
    </row>
    <row r="2110">
      <c r="L2110" s="53" t="str">
        <f t="shared" si="1"/>
        <v/>
      </c>
    </row>
    <row r="2111">
      <c r="L2111" s="53" t="str">
        <f t="shared" si="1"/>
        <v/>
      </c>
    </row>
    <row r="2112">
      <c r="L2112" s="53" t="str">
        <f t="shared" si="1"/>
        <v/>
      </c>
    </row>
    <row r="2113">
      <c r="L2113" s="53" t="str">
        <f t="shared" si="1"/>
        <v/>
      </c>
    </row>
    <row r="2114">
      <c r="L2114" s="53" t="str">
        <f t="shared" si="1"/>
        <v/>
      </c>
    </row>
    <row r="2115">
      <c r="L2115" s="53" t="str">
        <f t="shared" si="1"/>
        <v/>
      </c>
    </row>
    <row r="2116">
      <c r="L2116" s="53" t="str">
        <f t="shared" si="1"/>
        <v/>
      </c>
    </row>
    <row r="2117">
      <c r="L2117" s="53" t="str">
        <f t="shared" si="1"/>
        <v/>
      </c>
    </row>
    <row r="2118">
      <c r="L2118" s="53" t="str">
        <f t="shared" si="1"/>
        <v/>
      </c>
    </row>
    <row r="2119">
      <c r="L2119" s="53" t="str">
        <f t="shared" si="1"/>
        <v/>
      </c>
    </row>
    <row r="2120">
      <c r="L2120" s="53" t="str">
        <f t="shared" si="1"/>
        <v/>
      </c>
    </row>
    <row r="2121">
      <c r="L2121" s="53" t="str">
        <f t="shared" si="1"/>
        <v/>
      </c>
    </row>
    <row r="2122">
      <c r="L2122" s="53" t="str">
        <f t="shared" si="1"/>
        <v/>
      </c>
    </row>
    <row r="2123">
      <c r="L2123" s="53" t="str">
        <f t="shared" si="1"/>
        <v/>
      </c>
    </row>
    <row r="2124">
      <c r="L2124" s="53" t="str">
        <f t="shared" si="1"/>
        <v/>
      </c>
    </row>
    <row r="2125">
      <c r="L2125" s="53" t="str">
        <f t="shared" si="1"/>
        <v/>
      </c>
    </row>
    <row r="2126">
      <c r="L2126" s="53" t="str">
        <f t="shared" si="1"/>
        <v/>
      </c>
    </row>
    <row r="2127">
      <c r="L2127" s="53" t="str">
        <f t="shared" si="1"/>
        <v/>
      </c>
    </row>
    <row r="2128">
      <c r="L2128" s="53" t="str">
        <f t="shared" si="1"/>
        <v/>
      </c>
    </row>
    <row r="2129">
      <c r="L2129" s="53" t="str">
        <f t="shared" si="1"/>
        <v/>
      </c>
    </row>
    <row r="2130">
      <c r="L2130" s="53" t="str">
        <f t="shared" si="1"/>
        <v/>
      </c>
    </row>
    <row r="2131">
      <c r="L2131" s="53" t="str">
        <f t="shared" si="1"/>
        <v/>
      </c>
    </row>
    <row r="2132">
      <c r="L2132" s="53" t="str">
        <f t="shared" si="1"/>
        <v/>
      </c>
    </row>
    <row r="2133">
      <c r="L2133" s="53" t="str">
        <f t="shared" si="1"/>
        <v/>
      </c>
    </row>
    <row r="2134">
      <c r="L2134" s="53" t="str">
        <f t="shared" si="1"/>
        <v/>
      </c>
    </row>
    <row r="2135">
      <c r="L2135" s="53" t="str">
        <f t="shared" si="1"/>
        <v/>
      </c>
    </row>
    <row r="2136">
      <c r="L2136" s="53" t="str">
        <f t="shared" si="1"/>
        <v/>
      </c>
    </row>
    <row r="2137">
      <c r="L2137" s="53" t="str">
        <f t="shared" si="1"/>
        <v/>
      </c>
    </row>
    <row r="2138">
      <c r="L2138" s="53" t="str">
        <f t="shared" si="1"/>
        <v/>
      </c>
    </row>
    <row r="2139">
      <c r="L2139" s="53" t="str">
        <f t="shared" si="1"/>
        <v/>
      </c>
    </row>
    <row r="2140">
      <c r="L2140" s="53" t="str">
        <f t="shared" si="1"/>
        <v/>
      </c>
    </row>
    <row r="2141">
      <c r="L2141" s="53" t="str">
        <f t="shared" si="1"/>
        <v/>
      </c>
    </row>
    <row r="2142">
      <c r="L2142" s="53" t="str">
        <f t="shared" si="1"/>
        <v/>
      </c>
    </row>
    <row r="2143">
      <c r="L2143" s="53" t="str">
        <f t="shared" si="1"/>
        <v/>
      </c>
    </row>
    <row r="2144">
      <c r="L2144" s="53" t="str">
        <f t="shared" si="1"/>
        <v/>
      </c>
    </row>
    <row r="2145">
      <c r="L2145" s="53" t="str">
        <f t="shared" si="1"/>
        <v/>
      </c>
    </row>
    <row r="2146">
      <c r="L2146" s="53" t="str">
        <f t="shared" si="1"/>
        <v/>
      </c>
    </row>
    <row r="2147">
      <c r="L2147" s="53" t="str">
        <f t="shared" si="1"/>
        <v/>
      </c>
    </row>
    <row r="2148">
      <c r="L2148" s="53" t="str">
        <f t="shared" si="1"/>
        <v/>
      </c>
    </row>
    <row r="2149">
      <c r="L2149" s="53" t="str">
        <f t="shared" si="1"/>
        <v/>
      </c>
    </row>
    <row r="2150">
      <c r="L2150" s="53" t="str">
        <f t="shared" si="1"/>
        <v/>
      </c>
    </row>
    <row r="2151">
      <c r="L2151" s="53" t="str">
        <f t="shared" si="1"/>
        <v/>
      </c>
    </row>
    <row r="2152">
      <c r="L2152" s="53" t="str">
        <f t="shared" si="1"/>
        <v/>
      </c>
    </row>
    <row r="2153">
      <c r="L2153" s="53" t="str">
        <f t="shared" si="1"/>
        <v/>
      </c>
    </row>
    <row r="2154">
      <c r="L2154" s="53" t="str">
        <f t="shared" si="1"/>
        <v/>
      </c>
    </row>
    <row r="2155">
      <c r="L2155" s="53" t="str">
        <f t="shared" si="1"/>
        <v/>
      </c>
    </row>
    <row r="2156">
      <c r="L2156" s="53" t="str">
        <f t="shared" si="1"/>
        <v/>
      </c>
    </row>
    <row r="2157">
      <c r="L2157" s="53" t="str">
        <f t="shared" si="1"/>
        <v/>
      </c>
    </row>
    <row r="2158">
      <c r="L2158" s="53" t="str">
        <f t="shared" si="1"/>
        <v/>
      </c>
    </row>
    <row r="2159">
      <c r="L2159" s="53" t="str">
        <f t="shared" si="1"/>
        <v/>
      </c>
    </row>
    <row r="2160">
      <c r="L2160" s="53" t="str">
        <f t="shared" si="1"/>
        <v/>
      </c>
    </row>
    <row r="2161">
      <c r="L2161" s="53" t="str">
        <f t="shared" si="1"/>
        <v/>
      </c>
    </row>
    <row r="2162">
      <c r="L2162" s="53" t="str">
        <f t="shared" si="1"/>
        <v/>
      </c>
    </row>
    <row r="2163">
      <c r="L2163" s="53" t="str">
        <f t="shared" si="1"/>
        <v/>
      </c>
    </row>
    <row r="2164">
      <c r="L2164" s="53" t="str">
        <f t="shared" si="1"/>
        <v/>
      </c>
    </row>
    <row r="2165">
      <c r="L2165" s="53" t="str">
        <f t="shared" si="1"/>
        <v/>
      </c>
    </row>
    <row r="2166">
      <c r="L2166" s="53" t="str">
        <f t="shared" si="1"/>
        <v/>
      </c>
    </row>
    <row r="2167">
      <c r="L2167" s="53" t="str">
        <f t="shared" si="1"/>
        <v/>
      </c>
    </row>
    <row r="2168">
      <c r="L2168" s="53" t="str">
        <f t="shared" si="1"/>
        <v/>
      </c>
    </row>
    <row r="2169">
      <c r="L2169" s="53" t="str">
        <f t="shared" si="1"/>
        <v/>
      </c>
    </row>
    <row r="2170">
      <c r="L2170" s="53" t="str">
        <f t="shared" si="1"/>
        <v/>
      </c>
    </row>
    <row r="2171">
      <c r="L2171" s="53" t="str">
        <f t="shared" si="1"/>
        <v/>
      </c>
    </row>
    <row r="2172">
      <c r="L2172" s="53" t="str">
        <f t="shared" si="1"/>
        <v/>
      </c>
    </row>
    <row r="2173">
      <c r="L2173" s="53" t="str">
        <f t="shared" si="1"/>
        <v/>
      </c>
    </row>
    <row r="2174">
      <c r="L2174" s="53" t="str">
        <f t="shared" si="1"/>
        <v/>
      </c>
    </row>
    <row r="2175">
      <c r="L2175" s="53" t="str">
        <f t="shared" si="1"/>
        <v/>
      </c>
    </row>
    <row r="2176">
      <c r="L2176" s="53" t="str">
        <f t="shared" si="1"/>
        <v/>
      </c>
    </row>
    <row r="2177">
      <c r="L2177" s="53" t="str">
        <f t="shared" si="1"/>
        <v/>
      </c>
    </row>
    <row r="2178">
      <c r="L2178" s="53" t="str">
        <f t="shared" si="1"/>
        <v/>
      </c>
    </row>
    <row r="2179">
      <c r="L2179" s="53" t="str">
        <f t="shared" si="1"/>
        <v/>
      </c>
    </row>
    <row r="2180">
      <c r="L2180" s="53" t="str">
        <f t="shared" si="1"/>
        <v/>
      </c>
    </row>
    <row r="2181">
      <c r="L2181" s="53" t="str">
        <f t="shared" si="1"/>
        <v/>
      </c>
    </row>
    <row r="2182">
      <c r="L2182" s="53" t="str">
        <f t="shared" si="1"/>
        <v/>
      </c>
    </row>
    <row r="2183">
      <c r="L2183" s="53" t="str">
        <f t="shared" si="1"/>
        <v/>
      </c>
    </row>
    <row r="2184">
      <c r="L2184" s="53" t="str">
        <f t="shared" si="1"/>
        <v/>
      </c>
    </row>
    <row r="2185">
      <c r="L2185" s="53" t="str">
        <f t="shared" si="1"/>
        <v/>
      </c>
    </row>
    <row r="2186">
      <c r="L2186" s="53" t="str">
        <f t="shared" si="1"/>
        <v/>
      </c>
    </row>
    <row r="2187">
      <c r="L2187" s="53" t="str">
        <f t="shared" si="1"/>
        <v/>
      </c>
    </row>
    <row r="2188">
      <c r="L2188" s="53" t="str">
        <f t="shared" si="1"/>
        <v/>
      </c>
    </row>
    <row r="2189">
      <c r="L2189" s="53" t="str">
        <f t="shared" si="1"/>
        <v/>
      </c>
    </row>
    <row r="2190">
      <c r="L2190" s="53" t="str">
        <f t="shared" si="1"/>
        <v/>
      </c>
    </row>
    <row r="2191">
      <c r="L2191" s="53" t="str">
        <f t="shared" si="1"/>
        <v/>
      </c>
    </row>
    <row r="2192">
      <c r="L2192" s="53" t="str">
        <f t="shared" si="1"/>
        <v/>
      </c>
    </row>
    <row r="2193">
      <c r="L2193" s="53" t="str">
        <f t="shared" si="1"/>
        <v/>
      </c>
    </row>
    <row r="2194">
      <c r="L2194" s="53" t="str">
        <f t="shared" si="1"/>
        <v/>
      </c>
    </row>
    <row r="2195">
      <c r="L2195" s="53" t="str">
        <f t="shared" si="1"/>
        <v/>
      </c>
    </row>
    <row r="2196">
      <c r="L2196" s="53" t="str">
        <f t="shared" si="1"/>
        <v/>
      </c>
    </row>
    <row r="2197">
      <c r="L2197" s="53" t="str">
        <f t="shared" si="1"/>
        <v/>
      </c>
    </row>
    <row r="2198">
      <c r="L2198" s="53" t="str">
        <f t="shared" si="1"/>
        <v/>
      </c>
    </row>
    <row r="2199">
      <c r="L2199" s="53" t="str">
        <f t="shared" si="1"/>
        <v/>
      </c>
    </row>
    <row r="2200">
      <c r="L2200" s="53" t="str">
        <f t="shared" si="1"/>
        <v/>
      </c>
    </row>
    <row r="2201">
      <c r="L2201" s="53" t="str">
        <f t="shared" si="1"/>
        <v/>
      </c>
    </row>
    <row r="2202">
      <c r="L2202" s="53" t="str">
        <f t="shared" si="1"/>
        <v/>
      </c>
    </row>
    <row r="2203">
      <c r="L2203" s="53" t="str">
        <f t="shared" si="1"/>
        <v/>
      </c>
    </row>
    <row r="2204">
      <c r="L2204" s="53" t="str">
        <f t="shared" si="1"/>
        <v/>
      </c>
    </row>
    <row r="2205">
      <c r="L2205" s="53" t="str">
        <f t="shared" si="1"/>
        <v/>
      </c>
    </row>
    <row r="2206">
      <c r="L2206" s="53" t="str">
        <f t="shared" si="1"/>
        <v/>
      </c>
    </row>
    <row r="2207">
      <c r="L2207" s="53" t="str">
        <f t="shared" si="1"/>
        <v/>
      </c>
    </row>
    <row r="2208">
      <c r="L2208" s="53" t="str">
        <f t="shared" si="1"/>
        <v/>
      </c>
    </row>
    <row r="2209">
      <c r="L2209" s="53" t="str">
        <f t="shared" si="1"/>
        <v/>
      </c>
    </row>
    <row r="2210">
      <c r="L2210" s="53" t="str">
        <f t="shared" si="1"/>
        <v/>
      </c>
    </row>
    <row r="2211">
      <c r="L2211" s="53" t="str">
        <f t="shared" si="1"/>
        <v/>
      </c>
    </row>
    <row r="2212">
      <c r="L2212" s="53" t="str">
        <f t="shared" si="1"/>
        <v/>
      </c>
    </row>
    <row r="2213">
      <c r="L2213" s="53" t="str">
        <f t="shared" si="1"/>
        <v/>
      </c>
    </row>
    <row r="2214">
      <c r="L2214" s="53" t="str">
        <f t="shared" si="1"/>
        <v/>
      </c>
    </row>
    <row r="2215">
      <c r="L2215" s="53" t="str">
        <f t="shared" si="1"/>
        <v/>
      </c>
    </row>
    <row r="2216">
      <c r="L2216" s="53" t="str">
        <f t="shared" si="1"/>
        <v/>
      </c>
    </row>
    <row r="2217">
      <c r="L2217" s="53" t="str">
        <f t="shared" si="1"/>
        <v/>
      </c>
    </row>
    <row r="2218">
      <c r="L2218" s="53" t="str">
        <f t="shared" si="1"/>
        <v/>
      </c>
    </row>
    <row r="2219">
      <c r="L2219" s="53" t="str">
        <f t="shared" si="1"/>
        <v/>
      </c>
    </row>
    <row r="2220">
      <c r="L2220" s="53" t="str">
        <f t="shared" si="1"/>
        <v/>
      </c>
    </row>
    <row r="2221">
      <c r="L2221" s="53" t="str">
        <f t="shared" si="1"/>
        <v/>
      </c>
    </row>
    <row r="2222">
      <c r="L2222" s="53" t="str">
        <f t="shared" si="1"/>
        <v/>
      </c>
    </row>
    <row r="2223">
      <c r="L2223" s="53" t="str">
        <f t="shared" si="1"/>
        <v/>
      </c>
    </row>
    <row r="2224">
      <c r="L2224" s="53" t="str">
        <f t="shared" si="1"/>
        <v/>
      </c>
    </row>
    <row r="2225">
      <c r="L2225" s="53" t="str">
        <f t="shared" si="1"/>
        <v/>
      </c>
    </row>
    <row r="2226">
      <c r="L2226" s="53" t="str">
        <f t="shared" si="1"/>
        <v/>
      </c>
    </row>
    <row r="2227">
      <c r="L2227" s="53" t="str">
        <f t="shared" si="1"/>
        <v/>
      </c>
    </row>
    <row r="2228">
      <c r="L2228" s="53" t="str">
        <f t="shared" si="1"/>
        <v/>
      </c>
    </row>
    <row r="2229">
      <c r="L2229" s="53" t="str">
        <f t="shared" si="1"/>
        <v/>
      </c>
    </row>
    <row r="2230">
      <c r="L2230" s="53" t="str">
        <f t="shared" si="1"/>
        <v/>
      </c>
    </row>
    <row r="2231">
      <c r="L2231" s="53" t="str">
        <f t="shared" si="1"/>
        <v/>
      </c>
    </row>
    <row r="2232">
      <c r="L2232" s="53" t="str">
        <f t="shared" si="1"/>
        <v/>
      </c>
    </row>
    <row r="2233">
      <c r="L2233" s="53" t="str">
        <f t="shared" si="1"/>
        <v/>
      </c>
    </row>
    <row r="2234">
      <c r="L2234" s="53" t="str">
        <f t="shared" si="1"/>
        <v/>
      </c>
    </row>
    <row r="2235">
      <c r="L2235" s="53" t="str">
        <f t="shared" si="1"/>
        <v/>
      </c>
    </row>
    <row r="2236">
      <c r="L2236" s="53" t="str">
        <f t="shared" si="1"/>
        <v/>
      </c>
    </row>
    <row r="2237">
      <c r="L2237" s="53" t="str">
        <f t="shared" si="1"/>
        <v/>
      </c>
    </row>
    <row r="2238">
      <c r="L2238" s="53" t="str">
        <f t="shared" si="1"/>
        <v/>
      </c>
    </row>
    <row r="2239">
      <c r="L2239" s="53" t="str">
        <f t="shared" si="1"/>
        <v/>
      </c>
    </row>
    <row r="2240">
      <c r="L2240" s="53" t="str">
        <f t="shared" si="1"/>
        <v/>
      </c>
    </row>
    <row r="2241">
      <c r="L2241" s="53" t="str">
        <f t="shared" si="1"/>
        <v/>
      </c>
    </row>
    <row r="2242">
      <c r="L2242" s="53" t="str">
        <f t="shared" si="1"/>
        <v/>
      </c>
    </row>
    <row r="2243">
      <c r="L2243" s="53" t="str">
        <f t="shared" si="1"/>
        <v/>
      </c>
    </row>
    <row r="2244">
      <c r="L2244" s="53" t="str">
        <f t="shared" si="1"/>
        <v/>
      </c>
    </row>
    <row r="2245">
      <c r="L2245" s="53" t="str">
        <f t="shared" si="1"/>
        <v/>
      </c>
    </row>
    <row r="2246">
      <c r="L2246" s="53" t="str">
        <f t="shared" si="1"/>
        <v/>
      </c>
    </row>
    <row r="2247">
      <c r="L2247" s="53" t="str">
        <f t="shared" si="1"/>
        <v/>
      </c>
    </row>
    <row r="2248">
      <c r="L2248" s="53" t="str">
        <f t="shared" si="1"/>
        <v/>
      </c>
    </row>
    <row r="2249">
      <c r="L2249" s="53" t="str">
        <f t="shared" si="1"/>
        <v/>
      </c>
    </row>
    <row r="2250">
      <c r="L2250" s="53" t="str">
        <f t="shared" si="1"/>
        <v/>
      </c>
    </row>
    <row r="2251">
      <c r="L2251" s="53" t="str">
        <f t="shared" si="1"/>
        <v/>
      </c>
    </row>
    <row r="2252">
      <c r="L2252" s="53" t="str">
        <f t="shared" si="1"/>
        <v/>
      </c>
    </row>
    <row r="2253">
      <c r="L2253" s="53" t="str">
        <f t="shared" si="1"/>
        <v/>
      </c>
    </row>
    <row r="2254">
      <c r="L2254" s="53" t="str">
        <f t="shared" si="1"/>
        <v/>
      </c>
    </row>
    <row r="2255">
      <c r="L2255" s="53" t="str">
        <f t="shared" si="1"/>
        <v/>
      </c>
    </row>
    <row r="2256">
      <c r="L2256" s="53" t="str">
        <f t="shared" si="1"/>
        <v/>
      </c>
    </row>
    <row r="2257">
      <c r="L2257" s="53" t="str">
        <f t="shared" si="1"/>
        <v/>
      </c>
    </row>
    <row r="2258">
      <c r="L2258" s="53" t="str">
        <f t="shared" si="1"/>
        <v/>
      </c>
    </row>
    <row r="2259">
      <c r="L2259" s="53" t="str">
        <f t="shared" si="1"/>
        <v/>
      </c>
    </row>
    <row r="2260">
      <c r="L2260" s="53" t="str">
        <f t="shared" si="1"/>
        <v/>
      </c>
    </row>
    <row r="2261">
      <c r="L2261" s="53" t="str">
        <f t="shared" si="1"/>
        <v/>
      </c>
    </row>
    <row r="2262">
      <c r="L2262" s="53" t="str">
        <f t="shared" si="1"/>
        <v/>
      </c>
    </row>
    <row r="2263">
      <c r="L2263" s="53" t="str">
        <f t="shared" si="1"/>
        <v/>
      </c>
    </row>
    <row r="2264">
      <c r="L2264" s="53" t="str">
        <f t="shared" si="1"/>
        <v/>
      </c>
    </row>
    <row r="2265">
      <c r="L2265" s="53" t="str">
        <f t="shared" si="1"/>
        <v/>
      </c>
    </row>
    <row r="2266">
      <c r="L2266" s="53" t="str">
        <f t="shared" si="1"/>
        <v/>
      </c>
    </row>
    <row r="2267">
      <c r="L2267" s="53" t="str">
        <f t="shared" si="1"/>
        <v/>
      </c>
    </row>
    <row r="2268">
      <c r="L2268" s="53" t="str">
        <f t="shared" si="1"/>
        <v/>
      </c>
    </row>
    <row r="2269">
      <c r="L2269" s="53" t="str">
        <f t="shared" si="1"/>
        <v/>
      </c>
    </row>
    <row r="2270">
      <c r="L2270" s="53" t="str">
        <f t="shared" si="1"/>
        <v/>
      </c>
    </row>
    <row r="2271">
      <c r="L2271" s="53" t="str">
        <f t="shared" si="1"/>
        <v/>
      </c>
    </row>
    <row r="2272">
      <c r="L2272" s="53" t="str">
        <f t="shared" si="1"/>
        <v/>
      </c>
    </row>
    <row r="2273">
      <c r="L2273" s="53" t="str">
        <f t="shared" si="1"/>
        <v/>
      </c>
    </row>
    <row r="2274">
      <c r="L2274" s="53" t="str">
        <f t="shared" si="1"/>
        <v/>
      </c>
    </row>
    <row r="2275">
      <c r="L2275" s="53" t="str">
        <f t="shared" si="1"/>
        <v/>
      </c>
    </row>
    <row r="2276">
      <c r="L2276" s="53" t="str">
        <f t="shared" si="1"/>
        <v/>
      </c>
    </row>
    <row r="2277">
      <c r="L2277" s="53" t="str">
        <f t="shared" si="1"/>
        <v/>
      </c>
    </row>
    <row r="2278">
      <c r="L2278" s="53" t="str">
        <f t="shared" si="1"/>
        <v/>
      </c>
    </row>
    <row r="2279">
      <c r="L2279" s="53" t="str">
        <f t="shared" si="1"/>
        <v/>
      </c>
    </row>
    <row r="2280">
      <c r="L2280" s="53" t="str">
        <f t="shared" si="1"/>
        <v/>
      </c>
    </row>
    <row r="2281">
      <c r="L2281" s="53" t="str">
        <f t="shared" si="1"/>
        <v/>
      </c>
    </row>
    <row r="2282">
      <c r="L2282" s="53" t="str">
        <f t="shared" si="1"/>
        <v/>
      </c>
    </row>
    <row r="2283">
      <c r="L2283" s="53" t="str">
        <f t="shared" si="1"/>
        <v/>
      </c>
    </row>
    <row r="2284">
      <c r="L2284" s="53" t="str">
        <f t="shared" si="1"/>
        <v/>
      </c>
    </row>
    <row r="2285">
      <c r="L2285" s="53" t="str">
        <f t="shared" si="1"/>
        <v/>
      </c>
    </row>
    <row r="2286">
      <c r="L2286" s="53" t="str">
        <f t="shared" si="1"/>
        <v/>
      </c>
    </row>
    <row r="2287">
      <c r="L2287" s="53" t="str">
        <f t="shared" si="1"/>
        <v/>
      </c>
    </row>
    <row r="2288">
      <c r="L2288" s="53" t="str">
        <f t="shared" si="1"/>
        <v/>
      </c>
    </row>
    <row r="2289">
      <c r="L2289" s="53" t="str">
        <f t="shared" si="1"/>
        <v/>
      </c>
    </row>
    <row r="2290">
      <c r="L2290" s="53" t="str">
        <f t="shared" si="1"/>
        <v/>
      </c>
    </row>
    <row r="2291">
      <c r="L2291" s="53" t="str">
        <f t="shared" si="1"/>
        <v/>
      </c>
    </row>
    <row r="2292">
      <c r="L2292" s="53" t="str">
        <f t="shared" si="1"/>
        <v/>
      </c>
    </row>
    <row r="2293">
      <c r="L2293" s="53" t="str">
        <f t="shared" si="1"/>
        <v/>
      </c>
    </row>
    <row r="2294">
      <c r="L2294" s="53" t="str">
        <f t="shared" si="1"/>
        <v/>
      </c>
    </row>
    <row r="2295">
      <c r="L2295" s="53" t="str">
        <f t="shared" si="1"/>
        <v/>
      </c>
    </row>
    <row r="2296">
      <c r="L2296" s="53" t="str">
        <f t="shared" si="1"/>
        <v/>
      </c>
    </row>
    <row r="2297">
      <c r="L2297" s="53" t="str">
        <f t="shared" si="1"/>
        <v/>
      </c>
    </row>
    <row r="2298">
      <c r="L2298" s="53" t="str">
        <f t="shared" si="1"/>
        <v/>
      </c>
    </row>
    <row r="2299">
      <c r="L2299" s="53" t="str">
        <f t="shared" si="1"/>
        <v/>
      </c>
    </row>
    <row r="2300">
      <c r="L2300" s="53" t="str">
        <f t="shared" si="1"/>
        <v/>
      </c>
    </row>
    <row r="2301">
      <c r="L2301" s="53" t="str">
        <f t="shared" si="1"/>
        <v/>
      </c>
    </row>
    <row r="2302">
      <c r="L2302" s="53" t="str">
        <f t="shared" si="1"/>
        <v/>
      </c>
    </row>
    <row r="2303">
      <c r="L2303" s="53" t="str">
        <f t="shared" si="1"/>
        <v/>
      </c>
    </row>
    <row r="2304">
      <c r="L2304" s="53" t="str">
        <f t="shared" si="1"/>
        <v/>
      </c>
    </row>
    <row r="2305">
      <c r="L2305" s="53" t="str">
        <f t="shared" si="1"/>
        <v/>
      </c>
    </row>
    <row r="2306">
      <c r="L2306" s="53" t="str">
        <f t="shared" si="1"/>
        <v/>
      </c>
    </row>
    <row r="2307">
      <c r="L2307" s="53" t="str">
        <f t="shared" si="1"/>
        <v/>
      </c>
    </row>
    <row r="2308">
      <c r="L2308" s="53" t="str">
        <f t="shared" si="1"/>
        <v/>
      </c>
    </row>
    <row r="2309">
      <c r="L2309" s="53" t="str">
        <f t="shared" si="1"/>
        <v/>
      </c>
    </row>
    <row r="2310">
      <c r="L2310" s="53" t="str">
        <f t="shared" si="1"/>
        <v/>
      </c>
    </row>
    <row r="2311">
      <c r="L2311" s="53" t="str">
        <f t="shared" si="1"/>
        <v/>
      </c>
    </row>
    <row r="2312">
      <c r="L2312" s="53" t="str">
        <f t="shared" si="1"/>
        <v/>
      </c>
    </row>
    <row r="2313">
      <c r="L2313" s="53" t="str">
        <f t="shared" si="1"/>
        <v/>
      </c>
    </row>
    <row r="2314">
      <c r="L2314" s="53" t="str">
        <f t="shared" si="1"/>
        <v/>
      </c>
    </row>
    <row r="2315">
      <c r="L2315" s="53" t="str">
        <f t="shared" si="1"/>
        <v/>
      </c>
    </row>
    <row r="2316">
      <c r="L2316" s="53" t="str">
        <f t="shared" si="1"/>
        <v/>
      </c>
    </row>
    <row r="2317">
      <c r="L2317" s="53" t="str">
        <f t="shared" si="1"/>
        <v/>
      </c>
    </row>
    <row r="2318">
      <c r="L2318" s="53" t="str">
        <f t="shared" si="1"/>
        <v/>
      </c>
    </row>
    <row r="2319">
      <c r="L2319" s="53" t="str">
        <f t="shared" si="1"/>
        <v/>
      </c>
    </row>
    <row r="2320">
      <c r="L2320" s="53" t="str">
        <f t="shared" si="1"/>
        <v/>
      </c>
    </row>
    <row r="2321">
      <c r="L2321" s="53" t="str">
        <f t="shared" si="1"/>
        <v/>
      </c>
    </row>
    <row r="2322">
      <c r="L2322" s="53" t="str">
        <f t="shared" si="1"/>
        <v/>
      </c>
    </row>
    <row r="2323">
      <c r="L2323" s="53" t="str">
        <f t="shared" si="1"/>
        <v/>
      </c>
    </row>
    <row r="2324">
      <c r="L2324" s="53" t="str">
        <f t="shared" si="1"/>
        <v/>
      </c>
    </row>
    <row r="2325">
      <c r="L2325" s="53" t="str">
        <f t="shared" si="1"/>
        <v/>
      </c>
    </row>
    <row r="2326">
      <c r="L2326" s="53" t="str">
        <f t="shared" si="1"/>
        <v/>
      </c>
    </row>
    <row r="2327">
      <c r="L2327" s="53" t="str">
        <f t="shared" si="1"/>
        <v/>
      </c>
    </row>
    <row r="2328">
      <c r="L2328" s="53" t="str">
        <f t="shared" si="1"/>
        <v/>
      </c>
    </row>
    <row r="2329">
      <c r="L2329" s="53" t="str">
        <f t="shared" si="1"/>
        <v/>
      </c>
    </row>
    <row r="2330">
      <c r="L2330" s="53" t="str">
        <f t="shared" si="1"/>
        <v/>
      </c>
    </row>
    <row r="2331">
      <c r="L2331" s="53" t="str">
        <f t="shared" si="1"/>
        <v/>
      </c>
    </row>
    <row r="2332">
      <c r="L2332" s="53" t="str">
        <f t="shared" si="1"/>
        <v/>
      </c>
    </row>
    <row r="2333">
      <c r="L2333" s="53" t="str">
        <f t="shared" si="1"/>
        <v/>
      </c>
    </row>
    <row r="2334">
      <c r="L2334" s="53" t="str">
        <f t="shared" si="1"/>
        <v/>
      </c>
    </row>
    <row r="2335">
      <c r="L2335" s="53" t="str">
        <f t="shared" si="1"/>
        <v/>
      </c>
    </row>
    <row r="2336">
      <c r="L2336" s="53" t="str">
        <f t="shared" si="1"/>
        <v/>
      </c>
    </row>
    <row r="2337">
      <c r="L2337" s="53" t="str">
        <f t="shared" si="1"/>
        <v/>
      </c>
    </row>
    <row r="2338">
      <c r="L2338" s="53" t="str">
        <f t="shared" si="1"/>
        <v/>
      </c>
    </row>
    <row r="2339">
      <c r="L2339" s="53" t="str">
        <f t="shared" si="1"/>
        <v/>
      </c>
    </row>
    <row r="2340">
      <c r="L2340" s="53" t="str">
        <f t="shared" si="1"/>
        <v/>
      </c>
    </row>
    <row r="2341">
      <c r="L2341" s="53" t="str">
        <f t="shared" si="1"/>
        <v/>
      </c>
    </row>
    <row r="2342">
      <c r="L2342" s="53" t="str">
        <f t="shared" si="1"/>
        <v/>
      </c>
    </row>
    <row r="2343">
      <c r="L2343" s="53" t="str">
        <f t="shared" si="1"/>
        <v/>
      </c>
    </row>
    <row r="2344">
      <c r="L2344" s="53" t="str">
        <f t="shared" si="1"/>
        <v/>
      </c>
    </row>
    <row r="2345">
      <c r="L2345" s="53" t="str">
        <f t="shared" si="1"/>
        <v/>
      </c>
    </row>
    <row r="2346">
      <c r="L2346" s="53" t="str">
        <f t="shared" si="1"/>
        <v/>
      </c>
    </row>
    <row r="2347">
      <c r="L2347" s="53" t="str">
        <f t="shared" si="1"/>
        <v/>
      </c>
    </row>
    <row r="2348">
      <c r="L2348" s="53" t="str">
        <f t="shared" si="1"/>
        <v/>
      </c>
    </row>
    <row r="2349">
      <c r="L2349" s="53" t="str">
        <f t="shared" si="1"/>
        <v/>
      </c>
    </row>
    <row r="2350">
      <c r="L2350" s="53" t="str">
        <f t="shared" si="1"/>
        <v/>
      </c>
    </row>
    <row r="2351">
      <c r="L2351" s="53" t="str">
        <f t="shared" si="1"/>
        <v/>
      </c>
    </row>
    <row r="2352">
      <c r="L2352" s="53" t="str">
        <f t="shared" si="1"/>
        <v/>
      </c>
    </row>
    <row r="2353">
      <c r="L2353" s="53" t="str">
        <f t="shared" si="1"/>
        <v/>
      </c>
    </row>
    <row r="2354">
      <c r="L2354" s="53" t="str">
        <f t="shared" si="1"/>
        <v/>
      </c>
    </row>
    <row r="2355">
      <c r="L2355" s="53" t="str">
        <f t="shared" si="1"/>
        <v/>
      </c>
    </row>
    <row r="2356">
      <c r="L2356" s="53" t="str">
        <f t="shared" si="1"/>
        <v/>
      </c>
    </row>
    <row r="2357">
      <c r="L2357" s="53" t="str">
        <f t="shared" si="1"/>
        <v/>
      </c>
    </row>
    <row r="2358">
      <c r="L2358" s="53" t="str">
        <f t="shared" si="1"/>
        <v/>
      </c>
    </row>
    <row r="2359">
      <c r="L2359" s="53" t="str">
        <f t="shared" si="1"/>
        <v/>
      </c>
    </row>
    <row r="2360">
      <c r="L2360" s="53" t="str">
        <f t="shared" si="1"/>
        <v/>
      </c>
    </row>
    <row r="2361">
      <c r="L2361" s="53" t="str">
        <f t="shared" si="1"/>
        <v/>
      </c>
    </row>
    <row r="2362">
      <c r="L2362" s="53" t="str">
        <f t="shared" si="1"/>
        <v/>
      </c>
    </row>
    <row r="2363">
      <c r="L2363" s="53" t="str">
        <f t="shared" si="1"/>
        <v/>
      </c>
    </row>
    <row r="2364">
      <c r="L2364" s="53" t="str">
        <f t="shared" si="1"/>
        <v/>
      </c>
    </row>
    <row r="2365">
      <c r="L2365" s="53" t="str">
        <f t="shared" si="1"/>
        <v/>
      </c>
    </row>
    <row r="2366">
      <c r="L2366" s="53" t="str">
        <f t="shared" si="1"/>
        <v/>
      </c>
    </row>
    <row r="2367">
      <c r="L2367" s="53" t="str">
        <f t="shared" si="1"/>
        <v/>
      </c>
    </row>
    <row r="2368">
      <c r="L2368" s="53" t="str">
        <f t="shared" si="1"/>
        <v/>
      </c>
    </row>
    <row r="2369">
      <c r="L2369" s="53" t="str">
        <f t="shared" si="1"/>
        <v/>
      </c>
    </row>
    <row r="2370">
      <c r="L2370" s="53" t="str">
        <f t="shared" si="1"/>
        <v/>
      </c>
    </row>
    <row r="2371">
      <c r="L2371" s="53" t="str">
        <f t="shared" si="1"/>
        <v/>
      </c>
    </row>
    <row r="2372">
      <c r="L2372" s="53" t="str">
        <f t="shared" si="1"/>
        <v/>
      </c>
    </row>
    <row r="2373">
      <c r="L2373" s="53" t="str">
        <f t="shared" si="1"/>
        <v/>
      </c>
    </row>
    <row r="2374">
      <c r="L2374" s="53" t="str">
        <f t="shared" si="1"/>
        <v/>
      </c>
    </row>
    <row r="2375">
      <c r="L2375" s="53" t="str">
        <f t="shared" si="1"/>
        <v/>
      </c>
    </row>
    <row r="2376">
      <c r="L2376" s="53" t="str">
        <f t="shared" si="1"/>
        <v/>
      </c>
    </row>
    <row r="2377">
      <c r="L2377" s="53" t="str">
        <f t="shared" si="1"/>
        <v/>
      </c>
    </row>
    <row r="2378">
      <c r="L2378" s="53" t="str">
        <f t="shared" si="1"/>
        <v/>
      </c>
    </row>
    <row r="2379">
      <c r="L2379" s="53" t="str">
        <f t="shared" si="1"/>
        <v/>
      </c>
    </row>
    <row r="2380">
      <c r="L2380" s="53" t="str">
        <f t="shared" si="1"/>
        <v/>
      </c>
    </row>
    <row r="2381">
      <c r="L2381" s="53" t="str">
        <f t="shared" si="1"/>
        <v/>
      </c>
    </row>
    <row r="2382">
      <c r="L2382" s="53" t="str">
        <f t="shared" si="1"/>
        <v/>
      </c>
    </row>
    <row r="2383">
      <c r="L2383" s="53" t="str">
        <f t="shared" si="1"/>
        <v/>
      </c>
    </row>
    <row r="2384">
      <c r="L2384" s="53" t="str">
        <f t="shared" si="1"/>
        <v/>
      </c>
    </row>
    <row r="2385">
      <c r="L2385" s="53" t="str">
        <f t="shared" si="1"/>
        <v/>
      </c>
    </row>
    <row r="2386">
      <c r="L2386" s="53" t="str">
        <f t="shared" si="1"/>
        <v/>
      </c>
    </row>
    <row r="2387">
      <c r="L2387" s="53" t="str">
        <f t="shared" si="1"/>
        <v/>
      </c>
    </row>
    <row r="2388">
      <c r="L2388" s="53" t="str">
        <f t="shared" si="1"/>
        <v/>
      </c>
    </row>
    <row r="2389">
      <c r="L2389" s="53" t="str">
        <f t="shared" si="1"/>
        <v/>
      </c>
    </row>
    <row r="2390">
      <c r="L2390" s="53" t="str">
        <f t="shared" si="1"/>
        <v/>
      </c>
    </row>
    <row r="2391">
      <c r="L2391" s="53" t="str">
        <f t="shared" si="1"/>
        <v/>
      </c>
    </row>
    <row r="2392">
      <c r="L2392" s="53" t="str">
        <f t="shared" si="1"/>
        <v/>
      </c>
    </row>
    <row r="2393">
      <c r="L2393" s="53" t="str">
        <f t="shared" si="1"/>
        <v/>
      </c>
    </row>
    <row r="2394">
      <c r="L2394" s="53" t="str">
        <f t="shared" si="1"/>
        <v/>
      </c>
    </row>
    <row r="2395">
      <c r="L2395" s="53" t="str">
        <f t="shared" si="1"/>
        <v/>
      </c>
    </row>
    <row r="2396">
      <c r="L2396" s="53" t="str">
        <f t="shared" si="1"/>
        <v/>
      </c>
    </row>
    <row r="2397">
      <c r="L2397" s="53" t="str">
        <f t="shared" si="1"/>
        <v/>
      </c>
    </row>
    <row r="2398">
      <c r="L2398" s="53" t="str">
        <f t="shared" si="1"/>
        <v/>
      </c>
    </row>
    <row r="2399">
      <c r="L2399" s="53" t="str">
        <f t="shared" si="1"/>
        <v/>
      </c>
    </row>
    <row r="2400">
      <c r="L2400" s="53" t="str">
        <f t="shared" si="1"/>
        <v/>
      </c>
    </row>
    <row r="2401">
      <c r="L2401" s="53" t="str">
        <f t="shared" si="1"/>
        <v/>
      </c>
    </row>
    <row r="2402">
      <c r="L2402" s="53" t="str">
        <f t="shared" si="1"/>
        <v/>
      </c>
    </row>
    <row r="2403">
      <c r="L2403" s="53" t="str">
        <f t="shared" si="1"/>
        <v/>
      </c>
    </row>
    <row r="2404">
      <c r="L2404" s="53" t="str">
        <f t="shared" si="1"/>
        <v/>
      </c>
    </row>
    <row r="2405">
      <c r="L2405" s="53" t="str">
        <f t="shared" si="1"/>
        <v/>
      </c>
    </row>
    <row r="2406">
      <c r="L2406" s="53" t="str">
        <f t="shared" si="1"/>
        <v/>
      </c>
    </row>
    <row r="2407">
      <c r="L2407" s="53" t="str">
        <f t="shared" si="1"/>
        <v/>
      </c>
    </row>
    <row r="2408">
      <c r="L2408" s="53" t="str">
        <f t="shared" si="1"/>
        <v/>
      </c>
    </row>
    <row r="2409">
      <c r="L2409" s="53" t="str">
        <f t="shared" si="1"/>
        <v/>
      </c>
    </row>
    <row r="2410">
      <c r="L2410" s="53" t="str">
        <f t="shared" si="1"/>
        <v/>
      </c>
    </row>
    <row r="2411">
      <c r="L2411" s="53" t="str">
        <f t="shared" si="1"/>
        <v/>
      </c>
    </row>
    <row r="2412">
      <c r="L2412" s="53" t="str">
        <f t="shared" si="1"/>
        <v/>
      </c>
    </row>
    <row r="2413">
      <c r="L2413" s="53" t="str">
        <f t="shared" si="1"/>
        <v/>
      </c>
    </row>
    <row r="2414">
      <c r="L2414" s="53" t="str">
        <f t="shared" si="1"/>
        <v/>
      </c>
    </row>
    <row r="2415">
      <c r="L2415" s="53" t="str">
        <f t="shared" si="1"/>
        <v/>
      </c>
    </row>
    <row r="2416">
      <c r="L2416" s="53" t="str">
        <f t="shared" si="1"/>
        <v/>
      </c>
    </row>
    <row r="2417">
      <c r="L2417" s="53" t="str">
        <f t="shared" si="1"/>
        <v/>
      </c>
    </row>
    <row r="2418">
      <c r="L2418" s="53" t="str">
        <f t="shared" si="1"/>
        <v/>
      </c>
    </row>
    <row r="2419">
      <c r="L2419" s="53" t="str">
        <f t="shared" si="1"/>
        <v/>
      </c>
    </row>
    <row r="2420">
      <c r="L2420" s="53" t="str">
        <f t="shared" si="1"/>
        <v/>
      </c>
    </row>
    <row r="2421">
      <c r="L2421" s="53" t="str">
        <f t="shared" si="1"/>
        <v/>
      </c>
    </row>
    <row r="2422">
      <c r="L2422" s="53" t="str">
        <f t="shared" si="1"/>
        <v/>
      </c>
    </row>
    <row r="2423">
      <c r="L2423" s="53" t="str">
        <f t="shared" si="1"/>
        <v/>
      </c>
    </row>
    <row r="2424">
      <c r="L2424" s="53" t="str">
        <f t="shared" si="1"/>
        <v/>
      </c>
    </row>
    <row r="2425">
      <c r="L2425" s="53" t="str">
        <f t="shared" si="1"/>
        <v/>
      </c>
    </row>
    <row r="2426">
      <c r="L2426" s="53" t="str">
        <f t="shared" si="1"/>
        <v/>
      </c>
    </row>
    <row r="2427">
      <c r="L2427" s="53" t="str">
        <f t="shared" si="1"/>
        <v/>
      </c>
    </row>
    <row r="2428">
      <c r="L2428" s="53" t="str">
        <f t="shared" si="1"/>
        <v/>
      </c>
    </row>
    <row r="2429">
      <c r="L2429" s="53" t="str">
        <f t="shared" si="1"/>
        <v/>
      </c>
    </row>
    <row r="2430">
      <c r="L2430" s="53" t="str">
        <f t="shared" si="1"/>
        <v/>
      </c>
    </row>
    <row r="2431">
      <c r="L2431" s="53" t="str">
        <f t="shared" si="1"/>
        <v/>
      </c>
    </row>
    <row r="2432">
      <c r="L2432" s="53" t="str">
        <f t="shared" si="1"/>
        <v/>
      </c>
    </row>
    <row r="2433">
      <c r="L2433" s="53" t="str">
        <f t="shared" si="1"/>
        <v/>
      </c>
    </row>
    <row r="2434">
      <c r="L2434" s="53" t="str">
        <f t="shared" si="1"/>
        <v/>
      </c>
    </row>
    <row r="2435">
      <c r="L2435" s="53" t="str">
        <f t="shared" si="1"/>
        <v/>
      </c>
    </row>
    <row r="2436">
      <c r="L2436" s="53" t="str">
        <f t="shared" si="1"/>
        <v/>
      </c>
    </row>
    <row r="2437">
      <c r="L2437" s="53" t="str">
        <f t="shared" si="1"/>
        <v/>
      </c>
    </row>
    <row r="2438">
      <c r="L2438" s="53" t="str">
        <f t="shared" si="1"/>
        <v/>
      </c>
    </row>
    <row r="2439">
      <c r="L2439" s="53" t="str">
        <f t="shared" si="1"/>
        <v/>
      </c>
    </row>
    <row r="2440">
      <c r="L2440" s="53" t="str">
        <f t="shared" si="1"/>
        <v/>
      </c>
    </row>
    <row r="2441">
      <c r="L2441" s="53" t="str">
        <f t="shared" si="1"/>
        <v/>
      </c>
    </row>
    <row r="2442">
      <c r="L2442" s="53" t="str">
        <f t="shared" si="1"/>
        <v/>
      </c>
    </row>
    <row r="2443">
      <c r="L2443" s="53" t="str">
        <f t="shared" si="1"/>
        <v/>
      </c>
    </row>
    <row r="2444">
      <c r="L2444" s="53" t="str">
        <f t="shared" si="1"/>
        <v/>
      </c>
    </row>
    <row r="2445">
      <c r="L2445" s="53" t="str">
        <f t="shared" si="1"/>
        <v/>
      </c>
    </row>
    <row r="2446">
      <c r="L2446" s="53" t="str">
        <f t="shared" si="1"/>
        <v/>
      </c>
    </row>
    <row r="2447">
      <c r="L2447" s="53" t="str">
        <f t="shared" si="1"/>
        <v/>
      </c>
    </row>
    <row r="2448">
      <c r="L2448" s="53" t="str">
        <f t="shared" si="1"/>
        <v/>
      </c>
    </row>
    <row r="2449">
      <c r="L2449" s="53" t="str">
        <f t="shared" si="1"/>
        <v/>
      </c>
    </row>
    <row r="2450">
      <c r="L2450" s="53" t="str">
        <f t="shared" si="1"/>
        <v/>
      </c>
    </row>
    <row r="2451">
      <c r="L2451" s="53" t="str">
        <f t="shared" si="1"/>
        <v/>
      </c>
    </row>
    <row r="2452">
      <c r="L2452" s="53" t="str">
        <f t="shared" si="1"/>
        <v/>
      </c>
    </row>
    <row r="2453">
      <c r="L2453" s="53" t="str">
        <f t="shared" si="1"/>
        <v/>
      </c>
    </row>
    <row r="2454">
      <c r="L2454" s="53" t="str">
        <f t="shared" si="1"/>
        <v/>
      </c>
    </row>
    <row r="2455">
      <c r="L2455" s="53" t="str">
        <f t="shared" si="1"/>
        <v/>
      </c>
    </row>
    <row r="2456">
      <c r="L2456" s="53" t="str">
        <f t="shared" si="1"/>
        <v/>
      </c>
    </row>
    <row r="2457">
      <c r="L2457" s="53" t="str">
        <f t="shared" si="1"/>
        <v/>
      </c>
    </row>
    <row r="2458">
      <c r="L2458" s="53" t="str">
        <f t="shared" si="1"/>
        <v/>
      </c>
    </row>
    <row r="2459">
      <c r="L2459" s="53" t="str">
        <f t="shared" si="1"/>
        <v/>
      </c>
    </row>
    <row r="2460">
      <c r="L2460" s="53" t="str">
        <f t="shared" si="1"/>
        <v/>
      </c>
    </row>
    <row r="2461">
      <c r="L2461" s="53" t="str">
        <f t="shared" si="1"/>
        <v/>
      </c>
    </row>
    <row r="2462">
      <c r="L2462" s="53" t="str">
        <f t="shared" si="1"/>
        <v/>
      </c>
    </row>
    <row r="2463">
      <c r="L2463" s="53" t="str">
        <f t="shared" si="1"/>
        <v/>
      </c>
    </row>
    <row r="2464">
      <c r="L2464" s="53" t="str">
        <f t="shared" si="1"/>
        <v/>
      </c>
    </row>
    <row r="2465">
      <c r="L2465" s="53" t="str">
        <f t="shared" si="1"/>
        <v/>
      </c>
    </row>
    <row r="2466">
      <c r="L2466" s="53" t="str">
        <f t="shared" si="1"/>
        <v/>
      </c>
    </row>
    <row r="2467">
      <c r="L2467" s="53" t="str">
        <f t="shared" si="1"/>
        <v/>
      </c>
    </row>
    <row r="2468">
      <c r="L2468" s="53" t="str">
        <f t="shared" si="1"/>
        <v/>
      </c>
    </row>
    <row r="2469">
      <c r="L2469" s="53" t="str">
        <f t="shared" si="1"/>
        <v/>
      </c>
    </row>
    <row r="2470">
      <c r="L2470" s="53" t="str">
        <f t="shared" si="1"/>
        <v/>
      </c>
    </row>
    <row r="2471">
      <c r="L2471" s="53" t="str">
        <f t="shared" si="1"/>
        <v/>
      </c>
    </row>
    <row r="2472">
      <c r="L2472" s="53" t="str">
        <f t="shared" si="1"/>
        <v/>
      </c>
    </row>
    <row r="2473">
      <c r="L2473" s="53" t="str">
        <f t="shared" si="1"/>
        <v/>
      </c>
    </row>
    <row r="2474">
      <c r="L2474" s="53" t="str">
        <f t="shared" si="1"/>
        <v/>
      </c>
    </row>
    <row r="2475">
      <c r="L2475" s="53" t="str">
        <f t="shared" si="1"/>
        <v/>
      </c>
    </row>
    <row r="2476">
      <c r="L2476" s="53" t="str">
        <f t="shared" si="1"/>
        <v/>
      </c>
    </row>
    <row r="2477">
      <c r="L2477" s="53" t="str">
        <f t="shared" si="1"/>
        <v/>
      </c>
    </row>
    <row r="2478">
      <c r="L2478" s="53" t="str">
        <f t="shared" si="1"/>
        <v/>
      </c>
    </row>
    <row r="2479">
      <c r="L2479" s="53" t="str">
        <f t="shared" si="1"/>
        <v/>
      </c>
    </row>
    <row r="2480">
      <c r="L2480" s="53" t="str">
        <f t="shared" si="1"/>
        <v/>
      </c>
    </row>
    <row r="2481">
      <c r="L2481" s="53" t="str">
        <f t="shared" si="1"/>
        <v/>
      </c>
    </row>
    <row r="2482">
      <c r="L2482" s="53" t="str">
        <f t="shared" si="1"/>
        <v/>
      </c>
    </row>
    <row r="2483">
      <c r="L2483" s="53" t="str">
        <f t="shared" si="1"/>
        <v/>
      </c>
    </row>
    <row r="2484">
      <c r="L2484" s="53" t="str">
        <f t="shared" si="1"/>
        <v/>
      </c>
    </row>
    <row r="2485">
      <c r="L2485" s="53" t="str">
        <f t="shared" si="1"/>
        <v/>
      </c>
    </row>
    <row r="2486">
      <c r="L2486" s="53" t="str">
        <f t="shared" si="1"/>
        <v/>
      </c>
    </row>
    <row r="2487">
      <c r="L2487" s="53" t="str">
        <f t="shared" si="1"/>
        <v/>
      </c>
    </row>
    <row r="2488">
      <c r="L2488" s="53" t="str">
        <f t="shared" si="1"/>
        <v/>
      </c>
    </row>
    <row r="2489">
      <c r="L2489" s="53" t="str">
        <f t="shared" si="1"/>
        <v/>
      </c>
    </row>
    <row r="2490">
      <c r="L2490" s="53" t="str">
        <f t="shared" si="1"/>
        <v/>
      </c>
    </row>
    <row r="2491">
      <c r="L2491" s="53" t="str">
        <f t="shared" si="1"/>
        <v/>
      </c>
    </row>
    <row r="2492">
      <c r="L2492" s="53" t="str">
        <f t="shared" si="1"/>
        <v/>
      </c>
    </row>
    <row r="2493">
      <c r="L2493" s="53" t="str">
        <f t="shared" si="1"/>
        <v/>
      </c>
    </row>
    <row r="2494">
      <c r="L2494" s="53" t="str">
        <f t="shared" si="1"/>
        <v/>
      </c>
    </row>
    <row r="2495">
      <c r="L2495" s="53" t="str">
        <f t="shared" si="1"/>
        <v/>
      </c>
    </row>
    <row r="2496">
      <c r="L2496" s="53" t="str">
        <f t="shared" si="1"/>
        <v/>
      </c>
    </row>
    <row r="2497">
      <c r="L2497" s="53" t="str">
        <f t="shared" si="1"/>
        <v/>
      </c>
    </row>
    <row r="2498">
      <c r="L2498" s="53" t="str">
        <f t="shared" si="1"/>
        <v/>
      </c>
    </row>
    <row r="2499">
      <c r="L2499" s="53" t="str">
        <f t="shared" si="1"/>
        <v/>
      </c>
    </row>
    <row r="2500">
      <c r="L2500" s="53" t="str">
        <f t="shared" si="1"/>
        <v/>
      </c>
    </row>
    <row r="2501">
      <c r="L2501" s="53" t="str">
        <f t="shared" si="1"/>
        <v/>
      </c>
    </row>
    <row r="2502">
      <c r="L2502" s="53" t="str">
        <f t="shared" si="1"/>
        <v/>
      </c>
    </row>
    <row r="2503">
      <c r="L2503" s="53" t="str">
        <f t="shared" si="1"/>
        <v/>
      </c>
    </row>
    <row r="2504">
      <c r="L2504" s="53" t="str">
        <f t="shared" si="1"/>
        <v/>
      </c>
    </row>
    <row r="2505">
      <c r="L2505" s="53" t="str">
        <f t="shared" si="1"/>
        <v/>
      </c>
    </row>
    <row r="2506">
      <c r="L2506" s="53" t="str">
        <f t="shared" si="1"/>
        <v/>
      </c>
    </row>
    <row r="2507">
      <c r="L2507" s="53" t="str">
        <f t="shared" si="1"/>
        <v/>
      </c>
    </row>
    <row r="2508">
      <c r="L2508" s="53" t="str">
        <f t="shared" si="1"/>
        <v/>
      </c>
    </row>
    <row r="2509">
      <c r="L2509" s="53" t="str">
        <f t="shared" si="1"/>
        <v/>
      </c>
    </row>
    <row r="2510">
      <c r="L2510" s="53" t="str">
        <f t="shared" si="1"/>
        <v/>
      </c>
    </row>
    <row r="2511">
      <c r="L2511" s="53" t="str">
        <f t="shared" si="1"/>
        <v/>
      </c>
    </row>
    <row r="2512">
      <c r="L2512" s="53" t="str">
        <f t="shared" si="1"/>
        <v/>
      </c>
    </row>
    <row r="2513">
      <c r="L2513" s="53" t="str">
        <f t="shared" si="1"/>
        <v/>
      </c>
    </row>
    <row r="2514">
      <c r="L2514" s="53" t="str">
        <f t="shared" si="1"/>
        <v/>
      </c>
    </row>
    <row r="2515">
      <c r="L2515" s="53" t="str">
        <f t="shared" si="1"/>
        <v/>
      </c>
    </row>
    <row r="2516">
      <c r="L2516" s="53" t="str">
        <f t="shared" si="1"/>
        <v/>
      </c>
    </row>
    <row r="2517">
      <c r="L2517" s="53" t="str">
        <f t="shared" si="1"/>
        <v/>
      </c>
    </row>
    <row r="2518">
      <c r="L2518" s="53" t="str">
        <f t="shared" si="1"/>
        <v/>
      </c>
    </row>
    <row r="2519">
      <c r="L2519" s="53" t="str">
        <f t="shared" si="1"/>
        <v/>
      </c>
    </row>
    <row r="2520">
      <c r="L2520" s="53" t="str">
        <f t="shared" si="1"/>
        <v/>
      </c>
    </row>
    <row r="2521">
      <c r="L2521" s="53" t="str">
        <f t="shared" si="1"/>
        <v/>
      </c>
    </row>
    <row r="2522">
      <c r="L2522" s="53" t="str">
        <f t="shared" si="1"/>
        <v/>
      </c>
    </row>
    <row r="2523">
      <c r="L2523" s="53" t="str">
        <f t="shared" si="1"/>
        <v/>
      </c>
    </row>
    <row r="2524">
      <c r="L2524" s="53" t="str">
        <f t="shared" si="1"/>
        <v/>
      </c>
    </row>
    <row r="2525">
      <c r="L2525" s="53" t="str">
        <f t="shared" si="1"/>
        <v/>
      </c>
    </row>
    <row r="2526">
      <c r="L2526" s="53" t="str">
        <f t="shared" si="1"/>
        <v/>
      </c>
    </row>
    <row r="2527">
      <c r="L2527" s="53" t="str">
        <f t="shared" si="1"/>
        <v/>
      </c>
    </row>
    <row r="2528">
      <c r="L2528" s="53" t="str">
        <f t="shared" si="1"/>
        <v/>
      </c>
    </row>
    <row r="2529">
      <c r="L2529" s="53" t="str">
        <f t="shared" si="1"/>
        <v/>
      </c>
    </row>
    <row r="2530">
      <c r="L2530" s="53" t="str">
        <f t="shared" si="1"/>
        <v/>
      </c>
    </row>
    <row r="2531">
      <c r="L2531" s="53" t="str">
        <f t="shared" si="1"/>
        <v/>
      </c>
    </row>
    <row r="2532">
      <c r="L2532" s="53" t="str">
        <f t="shared" si="1"/>
        <v/>
      </c>
    </row>
    <row r="2533">
      <c r="L2533" s="53" t="str">
        <f t="shared" si="1"/>
        <v/>
      </c>
    </row>
    <row r="2534">
      <c r="L2534" s="53" t="str">
        <f t="shared" si="1"/>
        <v/>
      </c>
    </row>
    <row r="2535">
      <c r="L2535" s="53" t="str">
        <f t="shared" si="1"/>
        <v/>
      </c>
    </row>
    <row r="2536">
      <c r="L2536" s="53" t="str">
        <f t="shared" si="1"/>
        <v/>
      </c>
    </row>
    <row r="2537">
      <c r="L2537" s="53" t="str">
        <f t="shared" si="1"/>
        <v/>
      </c>
    </row>
    <row r="2538">
      <c r="L2538" s="53" t="str">
        <f t="shared" si="1"/>
        <v/>
      </c>
    </row>
    <row r="2539">
      <c r="L2539" s="53" t="str">
        <f t="shared" si="1"/>
        <v/>
      </c>
    </row>
    <row r="2540">
      <c r="L2540" s="53" t="str">
        <f t="shared" si="1"/>
        <v/>
      </c>
    </row>
    <row r="2541">
      <c r="L2541" s="53" t="str">
        <f t="shared" si="1"/>
        <v/>
      </c>
    </row>
    <row r="2542">
      <c r="L2542" s="53" t="str">
        <f t="shared" si="1"/>
        <v/>
      </c>
    </row>
    <row r="2543">
      <c r="L2543" s="53" t="str">
        <f t="shared" si="1"/>
        <v/>
      </c>
    </row>
    <row r="2544">
      <c r="L2544" s="53" t="str">
        <f t="shared" si="1"/>
        <v/>
      </c>
    </row>
    <row r="2545">
      <c r="L2545" s="53" t="str">
        <f t="shared" si="1"/>
        <v/>
      </c>
    </row>
    <row r="2546">
      <c r="L2546" s="53" t="str">
        <f t="shared" si="1"/>
        <v/>
      </c>
    </row>
    <row r="2547">
      <c r="L2547" s="53" t="str">
        <f t="shared" si="1"/>
        <v/>
      </c>
    </row>
    <row r="2548">
      <c r="L2548" s="53" t="str">
        <f t="shared" si="1"/>
        <v/>
      </c>
    </row>
    <row r="2549">
      <c r="L2549" s="53" t="str">
        <f t="shared" si="1"/>
        <v/>
      </c>
    </row>
    <row r="2550">
      <c r="L2550" s="53" t="str">
        <f t="shared" si="1"/>
        <v/>
      </c>
    </row>
    <row r="2551">
      <c r="L2551" s="53" t="str">
        <f t="shared" si="1"/>
        <v/>
      </c>
    </row>
    <row r="2552">
      <c r="L2552" s="53" t="str">
        <f t="shared" si="1"/>
        <v/>
      </c>
    </row>
    <row r="2553">
      <c r="L2553" s="53" t="str">
        <f t="shared" si="1"/>
        <v/>
      </c>
    </row>
    <row r="2554">
      <c r="L2554" s="53" t="str">
        <f t="shared" si="1"/>
        <v/>
      </c>
    </row>
    <row r="2555">
      <c r="L2555" s="53" t="str">
        <f t="shared" si="1"/>
        <v/>
      </c>
    </row>
    <row r="2556">
      <c r="L2556" s="53" t="str">
        <f t="shared" si="1"/>
        <v/>
      </c>
    </row>
    <row r="2557">
      <c r="L2557" s="53" t="str">
        <f t="shared" si="1"/>
        <v/>
      </c>
    </row>
    <row r="2558">
      <c r="L2558" s="53" t="str">
        <f t="shared" si="1"/>
        <v/>
      </c>
    </row>
    <row r="2559">
      <c r="L2559" s="53" t="str">
        <f t="shared" si="1"/>
        <v/>
      </c>
    </row>
    <row r="2560">
      <c r="L2560" s="53" t="str">
        <f t="shared" si="1"/>
        <v/>
      </c>
    </row>
    <row r="2561">
      <c r="L2561" s="53" t="str">
        <f t="shared" si="1"/>
        <v/>
      </c>
    </row>
    <row r="2562">
      <c r="L2562" s="53" t="str">
        <f t="shared" si="1"/>
        <v/>
      </c>
    </row>
    <row r="2563">
      <c r="L2563" s="53" t="str">
        <f t="shared" si="1"/>
        <v/>
      </c>
    </row>
    <row r="2564">
      <c r="L2564" s="53" t="str">
        <f t="shared" si="1"/>
        <v/>
      </c>
    </row>
    <row r="2565">
      <c r="L2565" s="53" t="str">
        <f t="shared" si="1"/>
        <v/>
      </c>
    </row>
    <row r="2566">
      <c r="L2566" s="53" t="str">
        <f t="shared" si="1"/>
        <v/>
      </c>
    </row>
    <row r="2567">
      <c r="L2567" s="53" t="str">
        <f t="shared" si="1"/>
        <v/>
      </c>
    </row>
    <row r="2568">
      <c r="L2568" s="53" t="str">
        <f t="shared" si="1"/>
        <v/>
      </c>
    </row>
    <row r="2569">
      <c r="L2569" s="53" t="str">
        <f t="shared" si="1"/>
        <v/>
      </c>
    </row>
    <row r="2570">
      <c r="L2570" s="53" t="str">
        <f t="shared" si="1"/>
        <v/>
      </c>
    </row>
    <row r="2571">
      <c r="L2571" s="53" t="str">
        <f t="shared" si="1"/>
        <v/>
      </c>
    </row>
    <row r="2572">
      <c r="L2572" s="53" t="str">
        <f t="shared" si="1"/>
        <v/>
      </c>
    </row>
    <row r="2573">
      <c r="L2573" s="53" t="str">
        <f t="shared" si="1"/>
        <v/>
      </c>
    </row>
    <row r="2574">
      <c r="L2574" s="53" t="str">
        <f t="shared" si="1"/>
        <v/>
      </c>
    </row>
    <row r="2575">
      <c r="L2575" s="53" t="str">
        <f t="shared" si="1"/>
        <v/>
      </c>
    </row>
    <row r="2576">
      <c r="L2576" s="53" t="str">
        <f t="shared" si="1"/>
        <v/>
      </c>
    </row>
    <row r="2577">
      <c r="L2577" s="53" t="str">
        <f t="shared" si="1"/>
        <v/>
      </c>
    </row>
    <row r="2578">
      <c r="L2578" s="53" t="str">
        <f t="shared" si="1"/>
        <v/>
      </c>
    </row>
    <row r="2579">
      <c r="L2579" s="53" t="str">
        <f t="shared" si="1"/>
        <v/>
      </c>
    </row>
    <row r="2580">
      <c r="L2580" s="53" t="str">
        <f t="shared" si="1"/>
        <v/>
      </c>
    </row>
    <row r="2581">
      <c r="L2581" s="53" t="str">
        <f t="shared" si="1"/>
        <v/>
      </c>
    </row>
    <row r="2582">
      <c r="L2582" s="53" t="str">
        <f t="shared" si="1"/>
        <v/>
      </c>
    </row>
    <row r="2583">
      <c r="L2583" s="53" t="str">
        <f t="shared" si="1"/>
        <v/>
      </c>
    </row>
    <row r="2584">
      <c r="L2584" s="53" t="str">
        <f t="shared" si="1"/>
        <v/>
      </c>
    </row>
    <row r="2585">
      <c r="L2585" s="53" t="str">
        <f t="shared" si="1"/>
        <v/>
      </c>
    </row>
    <row r="2586">
      <c r="L2586" s="53" t="str">
        <f t="shared" si="1"/>
        <v/>
      </c>
    </row>
    <row r="2587">
      <c r="L2587" s="53" t="str">
        <f t="shared" si="1"/>
        <v/>
      </c>
    </row>
    <row r="2588">
      <c r="L2588" s="53" t="str">
        <f t="shared" si="1"/>
        <v/>
      </c>
    </row>
    <row r="2589">
      <c r="L2589" s="53" t="str">
        <f t="shared" si="1"/>
        <v/>
      </c>
    </row>
    <row r="2590">
      <c r="L2590" s="53" t="str">
        <f t="shared" si="1"/>
        <v/>
      </c>
    </row>
    <row r="2591">
      <c r="L2591" s="53" t="str">
        <f t="shared" si="1"/>
        <v/>
      </c>
    </row>
    <row r="2592">
      <c r="L2592" s="53" t="str">
        <f t="shared" si="1"/>
        <v/>
      </c>
    </row>
    <row r="2593">
      <c r="L2593" s="53" t="str">
        <f t="shared" si="1"/>
        <v/>
      </c>
    </row>
    <row r="2594">
      <c r="L2594" s="53" t="str">
        <f t="shared" si="1"/>
        <v/>
      </c>
    </row>
    <row r="2595">
      <c r="L2595" s="53" t="str">
        <f t="shared" si="1"/>
        <v/>
      </c>
    </row>
    <row r="2596">
      <c r="L2596" s="53" t="str">
        <f t="shared" si="1"/>
        <v/>
      </c>
    </row>
    <row r="2597">
      <c r="L2597" s="53" t="str">
        <f t="shared" si="1"/>
        <v/>
      </c>
    </row>
    <row r="2598">
      <c r="L2598" s="53" t="str">
        <f t="shared" si="1"/>
        <v/>
      </c>
    </row>
    <row r="2599">
      <c r="L2599" s="53" t="str">
        <f t="shared" si="1"/>
        <v/>
      </c>
    </row>
    <row r="2600">
      <c r="L2600" s="53" t="str">
        <f t="shared" si="1"/>
        <v/>
      </c>
    </row>
    <row r="2601">
      <c r="L2601" s="53" t="str">
        <f t="shared" si="1"/>
        <v/>
      </c>
    </row>
    <row r="2602">
      <c r="L2602" s="53" t="str">
        <f t="shared" si="1"/>
        <v/>
      </c>
    </row>
    <row r="2603">
      <c r="L2603" s="53" t="str">
        <f t="shared" si="1"/>
        <v/>
      </c>
    </row>
    <row r="2604">
      <c r="L2604" s="53" t="str">
        <f t="shared" si="1"/>
        <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13"/>
    <col customWidth="1" min="2" max="2" width="19.63"/>
    <col customWidth="1" min="3" max="3" width="20.13"/>
    <col customWidth="1" hidden="1" min="4" max="4" width="16.88"/>
    <col customWidth="1" min="5" max="5" width="20.75"/>
    <col customWidth="1" min="7" max="7" width="15.63"/>
    <col customWidth="1" min="8" max="8" width="22.63"/>
    <col customWidth="1" min="9" max="10" width="15.63"/>
    <col customWidth="1" min="11" max="11" width="17.38"/>
    <col customWidth="1" min="12" max="12" width="14.5"/>
    <col customWidth="1" min="13" max="13" width="19.25"/>
    <col customWidth="1" min="14" max="14" width="14.5"/>
    <col customWidth="1" min="17" max="17" width="14.5"/>
    <col customWidth="1" min="22" max="22" width="19.75"/>
    <col customWidth="1" min="23" max="23" width="19.38"/>
    <col customWidth="1" min="24" max="24" width="17.5"/>
    <col customWidth="1" min="25" max="25" width="13.38"/>
    <col customWidth="1" hidden="1" min="26" max="26" width="17.5"/>
    <col customWidth="1" min="27" max="27" width="30.88"/>
  </cols>
  <sheetData>
    <row r="1">
      <c r="A1" s="15" t="s">
        <v>103</v>
      </c>
      <c r="B1" s="16" t="s">
        <v>108</v>
      </c>
      <c r="C1" s="17">
        <v>2.0</v>
      </c>
      <c r="D1" s="18">
        <f t="shared" ref="D1:H1" si="1">C1+1</f>
        <v>3</v>
      </c>
      <c r="E1" s="18">
        <f t="shared" si="1"/>
        <v>4</v>
      </c>
      <c r="F1" s="18">
        <f t="shared" si="1"/>
        <v>5</v>
      </c>
      <c r="G1" s="18">
        <f t="shared" si="1"/>
        <v>6</v>
      </c>
      <c r="H1" s="18">
        <f t="shared" si="1"/>
        <v>7</v>
      </c>
      <c r="I1" s="18"/>
      <c r="J1" s="18">
        <f>H1+1</f>
        <v>8</v>
      </c>
      <c r="K1" s="18">
        <f t="shared" ref="K1:V1" si="2">J1+1</f>
        <v>9</v>
      </c>
      <c r="L1" s="18">
        <f t="shared" si="2"/>
        <v>10</v>
      </c>
      <c r="M1" s="18">
        <f t="shared" si="2"/>
        <v>11</v>
      </c>
      <c r="N1" s="18">
        <f t="shared" si="2"/>
        <v>12</v>
      </c>
      <c r="O1" s="18">
        <f t="shared" si="2"/>
        <v>13</v>
      </c>
      <c r="P1" s="18">
        <f t="shared" si="2"/>
        <v>14</v>
      </c>
      <c r="Q1" s="18">
        <f t="shared" si="2"/>
        <v>15</v>
      </c>
      <c r="R1" s="18">
        <f t="shared" si="2"/>
        <v>16</v>
      </c>
      <c r="S1" s="18">
        <f t="shared" si="2"/>
        <v>17</v>
      </c>
      <c r="T1" s="18">
        <f t="shared" si="2"/>
        <v>18</v>
      </c>
      <c r="U1" s="18">
        <f t="shared" si="2"/>
        <v>19</v>
      </c>
      <c r="V1" s="18">
        <f t="shared" si="2"/>
        <v>20</v>
      </c>
      <c r="W1" s="18"/>
      <c r="X1" s="18">
        <f>V1+1</f>
        <v>21</v>
      </c>
      <c r="Y1" s="18">
        <f>X1+1</f>
        <v>22</v>
      </c>
      <c r="Z1" s="19"/>
      <c r="AA1" s="19"/>
      <c r="AB1" s="19"/>
      <c r="AC1" s="19"/>
      <c r="AD1" s="19"/>
      <c r="AE1" s="19"/>
      <c r="AF1" s="19"/>
      <c r="AG1" s="19"/>
      <c r="AH1" s="19"/>
    </row>
    <row r="2">
      <c r="A2" s="20"/>
      <c r="B2" s="21"/>
      <c r="C2" s="21"/>
      <c r="D2" s="21"/>
      <c r="E2" s="22"/>
      <c r="F2" s="22"/>
      <c r="G2" s="21"/>
      <c r="H2" s="21"/>
      <c r="I2" s="21"/>
      <c r="J2" s="21"/>
      <c r="K2" s="21"/>
      <c r="L2" s="21"/>
      <c r="M2" s="21"/>
      <c r="N2" s="21"/>
      <c r="O2" s="21"/>
      <c r="P2" s="21"/>
      <c r="Q2" s="21"/>
      <c r="R2" s="21"/>
      <c r="S2" s="21"/>
      <c r="T2" s="21"/>
      <c r="U2" s="21"/>
      <c r="V2" s="21"/>
      <c r="W2" s="21"/>
      <c r="X2" s="21"/>
      <c r="Y2" s="21"/>
      <c r="Z2" s="24"/>
      <c r="AA2" s="24"/>
      <c r="AB2" s="24"/>
      <c r="AC2" s="24"/>
      <c r="AD2" s="24"/>
      <c r="AE2" s="24"/>
      <c r="AF2" s="24"/>
      <c r="AG2" s="24"/>
      <c r="AH2" s="24"/>
    </row>
    <row r="3" ht="22.5" customHeight="1">
      <c r="A3" s="20"/>
      <c r="B3" s="29" t="s">
        <v>75</v>
      </c>
      <c r="C3" s="29" t="s">
        <v>221</v>
      </c>
      <c r="D3" s="29" t="s">
        <v>13</v>
      </c>
      <c r="E3" s="32" t="s">
        <v>3</v>
      </c>
      <c r="F3" s="32" t="s">
        <v>232</v>
      </c>
      <c r="G3" s="29" t="s">
        <v>6</v>
      </c>
      <c r="H3" s="29" t="s">
        <v>239</v>
      </c>
      <c r="I3" s="34" t="s">
        <v>241</v>
      </c>
      <c r="J3" s="29" t="s">
        <v>8</v>
      </c>
      <c r="K3" s="29" t="s">
        <v>250</v>
      </c>
      <c r="L3" s="34" t="s">
        <v>253</v>
      </c>
      <c r="M3" s="29" t="s">
        <v>257</v>
      </c>
      <c r="N3" s="29" t="s">
        <v>260</v>
      </c>
      <c r="O3" s="29" t="s">
        <v>265</v>
      </c>
      <c r="P3" s="29" t="s">
        <v>268</v>
      </c>
      <c r="Q3" s="29" t="s">
        <v>271</v>
      </c>
      <c r="R3" s="29" t="s">
        <v>274</v>
      </c>
      <c r="S3" s="29" t="s">
        <v>278</v>
      </c>
      <c r="T3" s="29" t="s">
        <v>281</v>
      </c>
      <c r="U3" s="29" t="s">
        <v>286</v>
      </c>
      <c r="V3" s="29" t="s">
        <v>289</v>
      </c>
      <c r="W3" s="29" t="s">
        <v>293</v>
      </c>
      <c r="X3" s="34" t="s">
        <v>296</v>
      </c>
      <c r="Y3" s="29" t="s">
        <v>300</v>
      </c>
      <c r="Z3" s="29" t="s">
        <v>302</v>
      </c>
      <c r="AA3" s="40" t="s">
        <v>307</v>
      </c>
      <c r="AB3" s="20" t="s">
        <v>309</v>
      </c>
      <c r="AC3" s="24"/>
      <c r="AD3" s="24"/>
      <c r="AE3" s="24"/>
      <c r="AF3" s="24"/>
      <c r="AG3" s="24"/>
      <c r="AH3" s="24"/>
    </row>
    <row r="4" ht="22.5" customHeight="1">
      <c r="B4" s="41" t="s">
        <v>104</v>
      </c>
      <c r="C4" s="43">
        <f t="array" ref="C4">IF(B4="","",_xlfn.XLOOKUP(B4,'Form responses 1'!$B$2:$B$2604,'Form responses 1'!$A$2:$A$2604,""))</f>
        <v>45579.47772</v>
      </c>
      <c r="D4" s="44" t="str">
        <f t="shared" ref="D4:D4002" si="3">if(and(B4="",C4=""),"",CONCATENATE(B4,"_",C4))</f>
        <v>L/17/141024/1_45579.4777229977</v>
      </c>
      <c r="E4" s="44" t="str">
        <f t="array" ref="E4">IF(B4="","",_xlfn.XLOOKUP(B4,'Form responses 1'!$B$2:$B$2604,'Form responses 1'!$C$2:$C$2604,""))</f>
        <v>SARIFUDDIN HUTAGALUNG</v>
      </c>
      <c r="F4" s="44" t="str">
        <f t="array" ref="F4">IF(B4="","",_xlfn.XLOOKUP(B4,'Form responses 1'!$B$2:$B$2604,'Form responses 1'!$D$2:$D$2604,""))</f>
        <v>081369303456</v>
      </c>
      <c r="G4" s="44" t="str">
        <f t="array" ref="G4">IF(B4="","",_xlfn.XLOOKUP(B4,'Form responses 1'!$B$2:$B$2604,'Form responses 1'!$E$2:$E$2604,""))</f>
        <v>ROYA</v>
      </c>
      <c r="H4" s="44" t="str">
        <f t="array" ref="H4">IF(B4="","",_xlfn.XLOOKUP(B4,'Form responses 1'!$B$2:$B$2604,'Form responses 1'!$F$2:$F$2604,""))</f>
        <v>HM 2144/WAY KANDIS</v>
      </c>
      <c r="I4" s="44" t="str">
        <f t="array" ref="I4">IF(B4="","",_xlfn.XLOOKUP(B4,'Form responses 1'!$B$2:$B$2604,'Form responses 1'!$I$2:$I$2604,""))</f>
        <v>WAY KANDIS</v>
      </c>
      <c r="J4" s="44" t="str">
        <f t="array" ref="J4">IF(B4="","",_xlfn.XLOOKUP(B4,'Form responses 1'!$B$2:$B$2604,'Form responses 1'!$G$2:$G$2604,""))</f>
        <v>Deby</v>
      </c>
      <c r="K4" s="41" t="s">
        <v>422</v>
      </c>
      <c r="L4" s="46">
        <f t="shared" ref="L4:L6" si="4">IF(K4&lt;&gt;"",IF(L4&lt;&gt;"",L4,NOW()),"")</f>
        <v>45579.71201</v>
      </c>
      <c r="M4" s="47" t="s">
        <v>443</v>
      </c>
      <c r="N4" s="48" t="s">
        <v>448</v>
      </c>
      <c r="O4" s="47"/>
      <c r="P4" s="49"/>
      <c r="Q4" s="49"/>
      <c r="R4" s="47"/>
      <c r="S4" s="47"/>
      <c r="T4" s="47"/>
      <c r="U4" s="49"/>
      <c r="V4" s="49"/>
      <c r="W4" s="41" t="s">
        <v>470</v>
      </c>
      <c r="X4" s="46">
        <f t="shared" ref="X4:X4002" si="5">IF(W4&lt;&gt;"",IF(X4&lt;&gt;"",X4,NOW()),"")</f>
        <v>45579.69691</v>
      </c>
      <c r="Y4" s="50" t="s">
        <v>482</v>
      </c>
      <c r="Z4" s="49">
        <f t="shared" ref="Z4:Z4002" si="6">COUNTA(M4:V4)</f>
        <v>2</v>
      </c>
    </row>
    <row r="5" ht="22.5" customHeight="1">
      <c r="B5" s="41" t="s">
        <v>230</v>
      </c>
      <c r="C5" s="43">
        <f t="array" ref="C5">IF(B5="","",_xlfn.XLOOKUP(B5,'Form responses 1'!$B$2:$B$2604,'Form responses 1'!$A$2:$A$2604,""))</f>
        <v>45579.6163</v>
      </c>
      <c r="D5" s="44" t="str">
        <f t="shared" si="3"/>
        <v>K/41/141024/1_45579.6163003704</v>
      </c>
      <c r="E5" s="44" t="str">
        <f t="array" ref="E5">IF(B5="","",_xlfn.XLOOKUP(B5,'Form responses 1'!$B$2:$B$2604,'Form responses 1'!$C$2:$C$2604,""))</f>
        <v>RAHMADIYANTI</v>
      </c>
      <c r="F5" s="44" t="str">
        <f t="array" ref="F5">IF(B5="","",_xlfn.XLOOKUP(B5,'Form responses 1'!$B$2:$B$2604,'Form responses 1'!$D$2:$D$2604,""))</f>
        <v>082182090051</v>
      </c>
      <c r="G5" s="44" t="str">
        <f t="array" ref="G5">IF(B5="","",_xlfn.XLOOKUP(B5,'Form responses 1'!$B$2:$B$2604,'Form responses 1'!$E$2:$E$2604,""))</f>
        <v>ROYA </v>
      </c>
      <c r="H5" s="44" t="str">
        <f t="array" ref="H5">IF(B5="","",_xlfn.XLOOKUP(B5,'Form responses 1'!$B$2:$B$2604,'Form responses 1'!$F$2:$F$2604,""))</f>
        <v>M. 2283/ GEDONG AIR</v>
      </c>
      <c r="I5" s="44" t="str">
        <f t="array" ref="I5">IF(B5="","",_xlfn.XLOOKUP(B5,'Form responses 1'!$B$2:$B$2604,'Form responses 1'!$I$2:$I$2604,""))</f>
        <v>GEDONG AIR</v>
      </c>
      <c r="J5" s="44" t="str">
        <f t="array" ref="J5">IF(B5="","",_xlfn.XLOOKUP(B5,'Form responses 1'!$B$2:$B$2604,'Form responses 1'!$G$2:$G$2604,""))</f>
        <v>Hananda</v>
      </c>
      <c r="K5" s="41" t="s">
        <v>587</v>
      </c>
      <c r="L5" s="46">
        <f t="shared" si="4"/>
        <v>45579.71172</v>
      </c>
      <c r="M5" s="47" t="s">
        <v>595</v>
      </c>
      <c r="N5" s="47"/>
      <c r="O5" s="47"/>
      <c r="P5" s="49"/>
      <c r="Q5" s="47"/>
      <c r="R5" s="47"/>
      <c r="S5" s="49"/>
      <c r="T5" s="47"/>
      <c r="U5" s="47"/>
      <c r="V5" s="49"/>
      <c r="W5" s="41" t="s">
        <v>618</v>
      </c>
      <c r="X5" s="46">
        <f t="shared" si="5"/>
        <v>45580.62592</v>
      </c>
      <c r="Y5" s="50" t="s">
        <v>482</v>
      </c>
      <c r="Z5" s="49">
        <f t="shared" si="6"/>
        <v>1</v>
      </c>
      <c r="AB5" s="4" t="s">
        <v>634</v>
      </c>
    </row>
    <row r="6" ht="22.5" customHeight="1">
      <c r="B6" s="41" t="s">
        <v>62</v>
      </c>
      <c r="C6" s="43">
        <f t="array" ref="C6">IF(B6="","",_xlfn.XLOOKUP(B6,'Form responses 1'!$B$2:$B$2604,'Form responses 1'!$A$2:$A$2604,""))</f>
        <v>45579.42397</v>
      </c>
      <c r="D6" s="44" t="str">
        <f t="shared" si="3"/>
        <v>K/9/141024/1_45579.4239733565</v>
      </c>
      <c r="E6" s="44" t="str">
        <f t="array" ref="E6">IF(B6="","",_xlfn.XLOOKUP(B6,'Form responses 1'!$B$2:$B$2604,'Form responses 1'!$C$2:$C$2604,""))</f>
        <v>LEOSA AUGDETA/LINGGA AYU B</v>
      </c>
      <c r="F6" s="44" t="str">
        <f t="array" ref="F6">IF(B6="","",_xlfn.XLOOKUP(B6,'Form responses 1'!$B$2:$B$2604,'Form responses 1'!$D$2:$D$2604,""))</f>
        <v>082175944544</v>
      </c>
      <c r="G6" s="44" t="str">
        <f t="array" ref="G6">IF(B6="","",_xlfn.XLOOKUP(B6,'Form responses 1'!$B$2:$B$2604,'Form responses 1'!$E$2:$E$2604,""))</f>
        <v>ROYA</v>
      </c>
      <c r="H6" s="44" t="str">
        <f t="array" ref="H6">IF(B6="","",_xlfn.XLOOKUP(B6,'Form responses 1'!$B$2:$B$2604,'Form responses 1'!$F$2:$F$2604,""))</f>
        <v>M.11980/JAGABAYA II</v>
      </c>
      <c r="I6" s="44" t="str">
        <f t="array" ref="I6">IF(B6="","",_xlfn.XLOOKUP(B6,'Form responses 1'!$B$2:$B$2604,'Form responses 1'!$I$2:$I$2604,""))</f>
        <v>JAGABAYA II</v>
      </c>
      <c r="J6" s="44" t="str">
        <f t="array" ref="J6">IF(B6="","",_xlfn.XLOOKUP(B6,'Form responses 1'!$B$2:$B$2604,'Form responses 1'!$G$2:$G$2604,""))</f>
        <v>Baynur</v>
      </c>
      <c r="K6" s="41" t="s">
        <v>587</v>
      </c>
      <c r="L6" s="46">
        <f t="shared" si="4"/>
        <v>45579.71204</v>
      </c>
      <c r="M6" s="47" t="s">
        <v>715</v>
      </c>
      <c r="N6" s="47" t="s">
        <v>720</v>
      </c>
      <c r="O6" s="47"/>
      <c r="P6" s="49"/>
      <c r="Q6" s="49"/>
      <c r="R6" s="49"/>
      <c r="S6" s="49"/>
      <c r="T6" s="49"/>
      <c r="U6" s="49"/>
      <c r="V6" s="49"/>
      <c r="W6" s="41" t="s">
        <v>470</v>
      </c>
      <c r="X6" s="46">
        <f t="shared" si="5"/>
        <v>45580.58319</v>
      </c>
      <c r="Y6" s="50" t="s">
        <v>482</v>
      </c>
      <c r="Z6" s="49">
        <f t="shared" si="6"/>
        <v>2</v>
      </c>
      <c r="AB6" s="4" t="s">
        <v>634</v>
      </c>
    </row>
    <row r="7" ht="22.5" customHeight="1">
      <c r="B7" s="41" t="s">
        <v>166</v>
      </c>
      <c r="C7" s="43">
        <f t="array" ref="C7">IF(B7="","",_xlfn.XLOOKUP(B7,'Form responses 1'!$B$2:$B$2604,'Form responses 1'!$A$2:$A$2604,""))</f>
        <v>45579.58021</v>
      </c>
      <c r="D7" s="44" t="str">
        <f t="shared" si="3"/>
        <v>K/30/141024/1_45579.5802127199</v>
      </c>
      <c r="E7" s="44" t="str">
        <f t="array" ref="E7">IF(B7="","",_xlfn.XLOOKUP(B7,'Form responses 1'!$B$2:$B$2604,'Form responses 1'!$C$2:$C$2604,""))</f>
        <v>SUHARTONO/KRISTINA SIAHAAN</v>
      </c>
      <c r="F7" s="44" t="str">
        <f t="array" ref="F7">IF(B7="","",_xlfn.XLOOKUP(B7,'Form responses 1'!$B$2:$B$2604,'Form responses 1'!$D$2:$D$2604,""))</f>
        <v>085359481748</v>
      </c>
      <c r="G7" s="44" t="str">
        <f t="array" ref="G7">IF(B7="","",_xlfn.XLOOKUP(B7,'Form responses 1'!$B$2:$B$2604,'Form responses 1'!$E$2:$E$2604,""))</f>
        <v>ROYA</v>
      </c>
      <c r="H7" s="44" t="str">
        <f t="array" ref="H7">IF(B7="","",_xlfn.XLOOKUP(B7,'Form responses 1'!$B$2:$B$2604,'Form responses 1'!$F$2:$F$2604,""))</f>
        <v>M.2617/WAY KANDIS</v>
      </c>
      <c r="I7" s="44" t="str">
        <f t="array" ref="I7">IF(B7="","",_xlfn.XLOOKUP(B7,'Form responses 1'!$B$2:$B$2604,'Form responses 1'!$I$2:$I$2604,""))</f>
        <v>WAY KANDIS</v>
      </c>
      <c r="J7" s="44" t="str">
        <f t="array" ref="J7">IF(B7="","",_xlfn.XLOOKUP(B7,'Form responses 1'!$B$2:$B$2604,'Form responses 1'!$G$2:$G$2604,""))</f>
        <v>Baynur</v>
      </c>
      <c r="K7" s="41" t="s">
        <v>587</v>
      </c>
      <c r="L7" s="51"/>
      <c r="M7" s="47" t="s">
        <v>819</v>
      </c>
      <c r="N7" s="47"/>
      <c r="O7" s="49"/>
      <c r="P7" s="49"/>
      <c r="Q7" s="49"/>
      <c r="R7" s="49"/>
      <c r="S7" s="49"/>
      <c r="T7" s="49"/>
      <c r="U7" s="49"/>
      <c r="V7" s="49"/>
      <c r="W7" s="41" t="s">
        <v>618</v>
      </c>
      <c r="X7" s="46">
        <f t="shared" si="5"/>
        <v>45583.59769</v>
      </c>
      <c r="Y7" s="50" t="s">
        <v>482</v>
      </c>
      <c r="Z7" s="49">
        <f t="shared" si="6"/>
        <v>1</v>
      </c>
    </row>
    <row r="8" ht="22.5" customHeight="1">
      <c r="B8" s="41" t="s">
        <v>56</v>
      </c>
      <c r="C8" s="43">
        <f t="array" ref="C8">IF(B8="","",_xlfn.XLOOKUP(B8,'Form responses 1'!$B$2:$B$2604,'Form responses 1'!$A$2:$A$2604,""))</f>
        <v>45579.41617</v>
      </c>
      <c r="D8" s="44" t="str">
        <f t="shared" si="3"/>
        <v>L/8/141024/1_45579.4161745139</v>
      </c>
      <c r="E8" s="44" t="str">
        <f t="array" ref="E8">IF(B8="","",_xlfn.XLOOKUP(B8,'Form responses 1'!$B$2:$B$2604,'Form responses 1'!$C$2:$C$2604,""))</f>
        <v>JUNAIDI</v>
      </c>
      <c r="F8" s="44" t="str">
        <f t="array" ref="F8">IF(B8="","",_xlfn.XLOOKUP(B8,'Form responses 1'!$B$2:$B$2604,'Form responses 1'!$D$2:$D$2604,""))</f>
        <v>082377111476</v>
      </c>
      <c r="G8" s="44" t="str">
        <f t="array" ref="G8">IF(B8="","",_xlfn.XLOOKUP(B8,'Form responses 1'!$B$2:$B$2604,'Form responses 1'!$E$2:$E$2604,""))</f>
        <v>HAPUS BPHTB</v>
      </c>
      <c r="H8" s="44" t="str">
        <f t="array" ref="H8">IF(B8="","",_xlfn.XLOOKUP(B8,'Form responses 1'!$B$2:$B$2604,'Form responses 1'!$F$2:$F$2604,""))</f>
        <v>M.1134/GULAK GALIK</v>
      </c>
      <c r="I8" s="44" t="str">
        <f t="array" ref="I8">IF(B8="","",_xlfn.XLOOKUP(B8,'Form responses 1'!$B$2:$B$2604,'Form responses 1'!$I$2:$I$2604,""))</f>
        <v>GULAK GALIK</v>
      </c>
      <c r="J8" s="44" t="str">
        <f t="array" ref="J8">IF(B8="","",_xlfn.XLOOKUP(B8,'Form responses 1'!$B$2:$B$2604,'Form responses 1'!$G$2:$G$2604,""))</f>
        <v>Nuraini</v>
      </c>
      <c r="K8" s="41" t="s">
        <v>587</v>
      </c>
      <c r="L8" s="52">
        <f t="shared" ref="L8:L4002" si="7">IF(K8&lt;&gt;"",IF(L8&lt;&gt;"",L8,NOW()),"")</f>
        <v>45579.71239</v>
      </c>
      <c r="M8" s="47" t="s">
        <v>936</v>
      </c>
      <c r="N8" s="49"/>
      <c r="O8" s="49"/>
      <c r="P8" s="49"/>
      <c r="Q8" s="49"/>
      <c r="R8" s="49"/>
      <c r="S8" s="49"/>
      <c r="T8" s="49"/>
      <c r="U8" s="49"/>
      <c r="V8" s="49"/>
      <c r="W8" s="41" t="s">
        <v>618</v>
      </c>
      <c r="X8" s="46">
        <f t="shared" si="5"/>
        <v>45580.61691</v>
      </c>
      <c r="Y8" s="50" t="s">
        <v>482</v>
      </c>
      <c r="Z8" s="49">
        <f t="shared" si="6"/>
        <v>1</v>
      </c>
    </row>
    <row r="9" ht="22.5" customHeight="1">
      <c r="B9" s="41" t="s">
        <v>197</v>
      </c>
      <c r="C9" s="43">
        <f t="array" ref="C9">IF(B9="","",_xlfn.XLOOKUP(B9,'Form responses 1'!$B$2:$B$2604,'Form responses 1'!$A$2:$A$2604,""))</f>
        <v>45579.59833</v>
      </c>
      <c r="D9" s="44" t="str">
        <f t="shared" si="3"/>
        <v>K/36/141024/1_45579.5983292708</v>
      </c>
      <c r="E9" s="44" t="str">
        <f t="array" ref="E9">IF(B9="","",_xlfn.XLOOKUP(B9,'Form responses 1'!$B$2:$B$2604,'Form responses 1'!$C$2:$C$2604,""))</f>
        <v>YUDA SAPUTRA/I MADE RETUG</v>
      </c>
      <c r="F9" s="44" t="str">
        <f t="array" ref="F9">IF(B9="","",_xlfn.XLOOKUP(B9,'Form responses 1'!$B$2:$B$2604,'Form responses 1'!$D$2:$D$2604,""))</f>
        <v>0853-8479-7293</v>
      </c>
      <c r="G9" s="44" t="str">
        <f t="array" ref="G9">IF(B9="","",_xlfn.XLOOKUP(B9,'Form responses 1'!$B$2:$B$2604,'Form responses 1'!$E$2:$E$2604,""))</f>
        <v>PERALIHAN JUAL BELI </v>
      </c>
      <c r="H9" s="44" t="str">
        <f t="array" ref="H9">IF(B9="","",_xlfn.XLOOKUP(B9,'Form responses 1'!$B$2:$B$2604,'Form responses 1'!$F$2:$F$2604,""))</f>
        <v>M.250/LANGKAPURA BARU</v>
      </c>
      <c r="I9" s="44" t="str">
        <f t="array" ref="I9">IF(B9="","",_xlfn.XLOOKUP(B9,'Form responses 1'!$B$2:$B$2604,'Form responses 1'!$I$2:$I$2604,""))</f>
        <v>LANGKAPURA BARU</v>
      </c>
      <c r="J9" s="44" t="str">
        <f t="array" ref="J9">IF(B9="","",_xlfn.XLOOKUP(B9,'Form responses 1'!$B$2:$B$2604,'Form responses 1'!$G$2:$G$2604,""))</f>
        <v>Baynur</v>
      </c>
      <c r="K9" s="41" t="s">
        <v>587</v>
      </c>
      <c r="L9" s="52">
        <f t="shared" si="7"/>
        <v>45579.71255</v>
      </c>
      <c r="M9" s="47" t="s">
        <v>1035</v>
      </c>
      <c r="N9" s="47" t="s">
        <v>1038</v>
      </c>
      <c r="O9" s="49"/>
      <c r="P9" s="49"/>
      <c r="Q9" s="49"/>
      <c r="R9" s="49"/>
      <c r="S9" s="49"/>
      <c r="T9" s="49"/>
      <c r="U9" s="49"/>
      <c r="V9" s="49"/>
      <c r="W9" s="41" t="s">
        <v>470</v>
      </c>
      <c r="X9" s="46">
        <f t="shared" si="5"/>
        <v>45580.62602</v>
      </c>
      <c r="Y9" s="50" t="s">
        <v>482</v>
      </c>
      <c r="Z9" s="49">
        <f t="shared" si="6"/>
        <v>2</v>
      </c>
    </row>
    <row r="10" ht="22.5" customHeight="1">
      <c r="B10" s="41" t="s">
        <v>132</v>
      </c>
      <c r="C10" s="43">
        <f t="array" ref="C10">IF(B10="","",_xlfn.XLOOKUP(B10,'Form responses 1'!$B$2:$B$2604,'Form responses 1'!$A$2:$A$2604,""))</f>
        <v>45579.4968</v>
      </c>
      <c r="D10" s="44" t="str">
        <f t="shared" si="3"/>
        <v>K/22/141024/1_45579.4967951736</v>
      </c>
      <c r="E10" s="44" t="str">
        <f t="array" ref="E10">IF(B10="","",_xlfn.XLOOKUP(B10,'Form responses 1'!$B$2:$B$2604,'Form responses 1'!$C$2:$C$2604,""))</f>
        <v>MURSALIN</v>
      </c>
      <c r="F10" s="44" t="str">
        <f t="array" ref="F10">IF(B10="","",_xlfn.XLOOKUP(B10,'Form responses 1'!$B$2:$B$2604,'Form responses 1'!$D$2:$D$2604,""))</f>
        <v>085383885939</v>
      </c>
      <c r="G10" s="44" t="str">
        <f t="array" ref="G10">IF(B10="","",_xlfn.XLOOKUP(B10,'Form responses 1'!$B$2:$B$2604,'Form responses 1'!$E$2:$E$2604,""))</f>
        <v>PERALIHAN JUAL BELI</v>
      </c>
      <c r="H10" s="44" t="str">
        <f t="array" ref="H10">IF(B10="","",_xlfn.XLOOKUP(B10,'Form responses 1'!$B$2:$B$2604,'Form responses 1'!$F$2:$F$2604,""))</f>
        <v>M. 6977/ TANJUNG SENANG</v>
      </c>
      <c r="I10" s="44" t="str">
        <f t="array" ref="I10">IF(B10="","",_xlfn.XLOOKUP(B10,'Form responses 1'!$B$2:$B$2604,'Form responses 1'!$I$2:$I$2604,""))</f>
        <v>TANJUNG SENANG</v>
      </c>
      <c r="J10" s="44" t="str">
        <f t="array" ref="J10">IF(B10="","",_xlfn.XLOOKUP(B10,'Form responses 1'!$B$2:$B$2604,'Form responses 1'!$G$2:$G$2604,""))</f>
        <v>Hananda</v>
      </c>
      <c r="K10" s="41" t="s">
        <v>587</v>
      </c>
      <c r="L10" s="52">
        <f t="shared" si="7"/>
        <v>45579.71285</v>
      </c>
      <c r="M10" s="47" t="s">
        <v>1143</v>
      </c>
      <c r="N10" s="47" t="s">
        <v>1147</v>
      </c>
      <c r="O10" s="47" t="s">
        <v>1148</v>
      </c>
      <c r="P10" s="47" t="s">
        <v>1152</v>
      </c>
      <c r="Q10" s="47" t="s">
        <v>1154</v>
      </c>
      <c r="R10" s="47" t="s">
        <v>1156</v>
      </c>
      <c r="S10" s="49"/>
      <c r="T10" s="49"/>
      <c r="U10" s="49"/>
      <c r="V10" s="49"/>
      <c r="W10" s="41" t="s">
        <v>618</v>
      </c>
      <c r="X10" s="46">
        <f t="shared" si="5"/>
        <v>45589.41996</v>
      </c>
      <c r="Y10" s="50" t="s">
        <v>482</v>
      </c>
      <c r="Z10" s="49">
        <f t="shared" si="6"/>
        <v>6</v>
      </c>
    </row>
    <row r="11" ht="22.5" customHeight="1">
      <c r="B11" s="41" t="s">
        <v>127</v>
      </c>
      <c r="C11" s="43">
        <f t="array" ref="C11">IF(B11="","",_xlfn.XLOOKUP(B11,'Form responses 1'!$B$2:$B$2604,'Form responses 1'!$A$2:$A$2604,""))</f>
        <v>45579.49267</v>
      </c>
      <c r="D11" s="44" t="str">
        <f t="shared" si="3"/>
        <v>L/21/141024/1_45579.4926688773</v>
      </c>
      <c r="E11" s="44" t="str">
        <f t="array" ref="E11">IF(B11="","",_xlfn.XLOOKUP(B11,'Form responses 1'!$B$2:$B$2604,'Form responses 1'!$C$2:$C$2604,""))</f>
        <v>DWI ASTANTO</v>
      </c>
      <c r="F11" s="44" t="str">
        <f t="array" ref="F11">IF(B11="","",_xlfn.XLOOKUP(B11,'Form responses 1'!$B$2:$B$2604,'Form responses 1'!$D$2:$D$2604,""))</f>
        <v>081369408334</v>
      </c>
      <c r="G11" s="44" t="str">
        <f t="array" ref="G11">IF(B11="","",_xlfn.XLOOKUP(B11,'Form responses 1'!$B$2:$B$2604,'Form responses 1'!$E$2:$E$2604,""))</f>
        <v>ROYA</v>
      </c>
      <c r="H11" s="44" t="str">
        <f t="array" ref="H11">IF(B11="","",_xlfn.XLOOKUP(B11,'Form responses 1'!$B$2:$B$2604,'Form responses 1'!$F$2:$F$2604,""))</f>
        <v>HM 1812/TANJUNG SENANG</v>
      </c>
      <c r="I11" s="44" t="str">
        <f t="array" ref="I11">IF(B11="","",_xlfn.XLOOKUP(B11,'Form responses 1'!$B$2:$B$2604,'Form responses 1'!$I$2:$I$2604,""))</f>
        <v>TANJUNG SENANG</v>
      </c>
      <c r="J11" s="44" t="str">
        <f t="array" ref="J11">IF(B11="","",_xlfn.XLOOKUP(B11,'Form responses 1'!$B$2:$B$2604,'Form responses 1'!$G$2:$G$2604,""))</f>
        <v>Deby</v>
      </c>
      <c r="K11" s="41" t="s">
        <v>1233</v>
      </c>
      <c r="L11" s="52">
        <f t="shared" si="7"/>
        <v>45580.37169</v>
      </c>
      <c r="M11" s="49"/>
      <c r="N11" s="49"/>
      <c r="O11" s="49"/>
      <c r="P11" s="49"/>
      <c r="Q11" s="49"/>
      <c r="R11" s="49"/>
      <c r="S11" s="49"/>
      <c r="T11" s="49"/>
      <c r="U11" s="49"/>
      <c r="V11" s="49"/>
      <c r="W11" s="41" t="s">
        <v>618</v>
      </c>
      <c r="X11" s="46">
        <f t="shared" si="5"/>
        <v>45580.43278</v>
      </c>
      <c r="Y11" s="50" t="s">
        <v>482</v>
      </c>
      <c r="Z11" s="49">
        <f t="shared" si="6"/>
        <v>0</v>
      </c>
    </row>
    <row r="12" ht="22.5" customHeight="1">
      <c r="B12" s="41" t="s">
        <v>22</v>
      </c>
      <c r="C12" s="43">
        <f t="array" ref="C12">IF(B12="","",_xlfn.XLOOKUP(B12,'Form responses 1'!$B$2:$B$2604,'Form responses 1'!$A$2:$A$2604,""))</f>
        <v>45579.37694</v>
      </c>
      <c r="D12" s="44" t="str">
        <f t="shared" si="3"/>
        <v>L/2/141024/1_45579.3769424653</v>
      </c>
      <c r="E12" s="44" t="str">
        <f t="array" ref="E12">IF(B12="","",_xlfn.XLOOKUP(B12,'Form responses 1'!$B$2:$B$2604,'Form responses 1'!$C$2:$C$2604,""))</f>
        <v>RIRIN OKTARINA</v>
      </c>
      <c r="F12" s="44" t="str">
        <f t="array" ref="F12">IF(B12="","",_xlfn.XLOOKUP(B12,'Form responses 1'!$B$2:$B$2604,'Form responses 1'!$D$2:$D$2604,""))</f>
        <v>089632241202</v>
      </c>
      <c r="G12" s="44" t="str">
        <f t="array" ref="G12">IF(B12="","",_xlfn.XLOOKUP(B12,'Form responses 1'!$B$2:$B$2604,'Form responses 1'!$E$2:$E$2604,""))</f>
        <v>ROYA</v>
      </c>
      <c r="H12" s="44" t="str">
        <f t="array" ref="H12">IF(B12="","",_xlfn.XLOOKUP(B12,'Form responses 1'!$B$2:$B$2604,'Form responses 1'!$F$2:$F$2604,""))</f>
        <v>HM 17565/SUKARAME I</v>
      </c>
      <c r="I12" s="44" t="str">
        <f t="array" ref="I12">IF(B12="","",_xlfn.XLOOKUP(B12,'Form responses 1'!$B$2:$B$2604,'Form responses 1'!$I$2:$I$2604,""))</f>
        <v>SUKARAME I</v>
      </c>
      <c r="J12" s="44" t="str">
        <f t="array" ref="J12">IF(B12="","",_xlfn.XLOOKUP(B12,'Form responses 1'!$B$2:$B$2604,'Form responses 1'!$G$2:$G$2604,""))</f>
        <v>Deby</v>
      </c>
      <c r="K12" s="41" t="s">
        <v>1233</v>
      </c>
      <c r="L12" s="52">
        <f t="shared" si="7"/>
        <v>45580.37346</v>
      </c>
      <c r="M12" s="49"/>
      <c r="N12" s="49"/>
      <c r="O12" s="49"/>
      <c r="P12" s="49"/>
      <c r="Q12" s="49"/>
      <c r="R12" s="49"/>
      <c r="S12" s="49"/>
      <c r="T12" s="49"/>
      <c r="U12" s="49"/>
      <c r="V12" s="49"/>
      <c r="W12" s="41" t="s">
        <v>618</v>
      </c>
      <c r="X12" s="46">
        <f t="shared" si="5"/>
        <v>45580.42599</v>
      </c>
      <c r="Y12" s="50" t="s">
        <v>482</v>
      </c>
      <c r="Z12" s="49">
        <f t="shared" si="6"/>
        <v>0</v>
      </c>
    </row>
    <row r="13" ht="22.5" customHeight="1">
      <c r="B13" s="41" t="s">
        <v>191</v>
      </c>
      <c r="C13" s="43">
        <f t="array" ref="C13">IF(B13="","",_xlfn.XLOOKUP(B13,'Form responses 1'!$B$2:$B$2604,'Form responses 1'!$A$2:$A$2604,""))</f>
        <v>45579.59567</v>
      </c>
      <c r="D13" s="44" t="str">
        <f t="shared" si="3"/>
        <v>L/35/141024/1_45579.5956670602</v>
      </c>
      <c r="E13" s="44" t="str">
        <f t="array" ref="E13">IF(B13="","",_xlfn.XLOOKUP(B13,'Form responses 1'!$B$2:$B$2604,'Form responses 1'!$C$2:$C$2604,""))</f>
        <v>DEBY JULISDA</v>
      </c>
      <c r="F13" s="44" t="str">
        <f t="array" ref="F13">IF(B13="","",_xlfn.XLOOKUP(B13,'Form responses 1'!$B$2:$B$2604,'Form responses 1'!$D$2:$D$2604,""))</f>
        <v>088276777557</v>
      </c>
      <c r="G13" s="44" t="str">
        <f t="array" ref="G13">IF(B13="","",_xlfn.XLOOKUP(B13,'Form responses 1'!$B$2:$B$2604,'Form responses 1'!$E$2:$E$2604,""))</f>
        <v>ROYA LELANG</v>
      </c>
      <c r="H13" s="44" t="str">
        <f t="array" ref="H13">IF(B13="","",_xlfn.XLOOKUP(B13,'Form responses 1'!$B$2:$B$2604,'Form responses 1'!$F$2:$F$2604,""))</f>
        <v>M.676/SAWAH BREBES</v>
      </c>
      <c r="I13" s="44" t="str">
        <f t="array" ref="I13">IF(B13="","",_xlfn.XLOOKUP(B13,'Form responses 1'!$B$2:$B$2604,'Form responses 1'!$I$2:$I$2604,""))</f>
        <v>SAWAH BREBES</v>
      </c>
      <c r="J13" s="44" t="str">
        <f t="array" ref="J13">IF(B13="","",_xlfn.XLOOKUP(B13,'Form responses 1'!$B$2:$B$2604,'Form responses 1'!$G$2:$G$2604,""))</f>
        <v>Nuraini</v>
      </c>
      <c r="K13" s="41" t="s">
        <v>1233</v>
      </c>
      <c r="L13" s="52">
        <f t="shared" si="7"/>
        <v>45580.37357</v>
      </c>
      <c r="M13" s="49"/>
      <c r="N13" s="49"/>
      <c r="O13" s="49"/>
      <c r="P13" s="49"/>
      <c r="Q13" s="49"/>
      <c r="R13" s="49"/>
      <c r="S13" s="49"/>
      <c r="T13" s="49"/>
      <c r="U13" s="49"/>
      <c r="V13" s="49"/>
      <c r="W13" s="41" t="s">
        <v>618</v>
      </c>
      <c r="X13" s="46">
        <f t="shared" si="5"/>
        <v>45580.43657</v>
      </c>
      <c r="Y13" s="50" t="s">
        <v>482</v>
      </c>
      <c r="Z13" s="49">
        <f t="shared" si="6"/>
        <v>0</v>
      </c>
    </row>
    <row r="14" ht="22.5" customHeight="1">
      <c r="B14" s="41" t="s">
        <v>204</v>
      </c>
      <c r="C14" s="43">
        <f t="array" ref="C14">IF(B14="","",_xlfn.XLOOKUP(B14,'Form responses 1'!$B$2:$B$2604,'Form responses 1'!$A$2:$A$2604,""))</f>
        <v>45579.60092</v>
      </c>
      <c r="D14" s="44" t="str">
        <f t="shared" si="3"/>
        <v>K/37/141024/1_45579.600917419</v>
      </c>
      <c r="E14" s="44" t="str">
        <f t="array" ref="E14">IF(B14="","",_xlfn.XLOOKUP(B14,'Form responses 1'!$B$2:$B$2604,'Form responses 1'!$C$2:$C$2604,""))</f>
        <v>PT KEONG NUSANTARA ABADI/KHRESNA DJUAINI</v>
      </c>
      <c r="F14" s="44" t="str">
        <f t="array" ref="F14">IF(B14="","",_xlfn.XLOOKUP(B14,'Form responses 1'!$B$2:$B$2604,'Form responses 1'!$D$2:$D$2604,""))</f>
        <v>081369381711</v>
      </c>
      <c r="G14" s="44" t="str">
        <f t="array" ref="G14">IF(B14="","",_xlfn.XLOOKUP(B14,'Form responses 1'!$B$2:$B$2604,'Form responses 1'!$E$2:$E$2604,""))</f>
        <v>PERALIHAN JUAL BELI </v>
      </c>
      <c r="H14" s="44" t="str">
        <f t="array" ref="H14">IF(B14="","",_xlfn.XLOOKUP(B14,'Form responses 1'!$B$2:$B$2604,'Form responses 1'!$F$2:$F$2604,""))</f>
        <v>-</v>
      </c>
      <c r="I14" s="44" t="str">
        <f t="array" ref="I14">IF(B14="","",_xlfn.XLOOKUP(B14,'Form responses 1'!$B$2:$B$2604,'Form responses 1'!$I$2:$I$2604,""))</f>
        <v>TELUK BETUNG</v>
      </c>
      <c r="J14" s="44" t="str">
        <f t="array" ref="J14">IF(B14="","",_xlfn.XLOOKUP(B14,'Form responses 1'!$B$2:$B$2604,'Form responses 1'!$G$2:$G$2604,""))</f>
        <v>Baynur</v>
      </c>
      <c r="K14" s="41" t="s">
        <v>1233</v>
      </c>
      <c r="L14" s="52">
        <f t="shared" si="7"/>
        <v>45580.37393</v>
      </c>
      <c r="M14" s="47" t="s">
        <v>1517</v>
      </c>
      <c r="N14" s="47" t="s">
        <v>1521</v>
      </c>
      <c r="O14" s="49"/>
      <c r="P14" s="49"/>
      <c r="Q14" s="49"/>
      <c r="R14" s="49"/>
      <c r="S14" s="49"/>
      <c r="T14" s="49"/>
      <c r="U14" s="49"/>
      <c r="V14" s="49"/>
      <c r="W14" s="41" t="s">
        <v>618</v>
      </c>
      <c r="X14" s="46">
        <f t="shared" si="5"/>
        <v>45590.48581</v>
      </c>
      <c r="Y14" s="50" t="s">
        <v>482</v>
      </c>
      <c r="Z14" s="49">
        <f t="shared" si="6"/>
        <v>2</v>
      </c>
    </row>
    <row r="15" ht="22.5" customHeight="1">
      <c r="B15" s="41" t="s">
        <v>94</v>
      </c>
      <c r="C15" s="43">
        <f t="array" ref="C15">IF(B15="","",_xlfn.XLOOKUP(B15,'Form responses 1'!$B$2:$B$2604,'Form responses 1'!$A$2:$A$2604,""))</f>
        <v>45579.45057</v>
      </c>
      <c r="D15" s="44" t="str">
        <f t="shared" si="3"/>
        <v>K/15/141024/4_45579.4505724884</v>
      </c>
      <c r="E15" s="44" t="str">
        <f t="array" ref="E15">IF(B15="","",_xlfn.XLOOKUP(B15,'Form responses 1'!$B$2:$B$2604,'Form responses 1'!$C$2:$C$2604,""))</f>
        <v>PANGGARA PAGARISI/PANARY SITOPU</v>
      </c>
      <c r="F15" s="44" t="str">
        <f t="array" ref="F15">IF(B15="","",_xlfn.XLOOKUP(B15,'Form responses 1'!$B$2:$B$2604,'Form responses 1'!$D$2:$D$2604,""))</f>
        <v>081361444098</v>
      </c>
      <c r="G15" s="44" t="str">
        <f t="array" ref="G15">IF(B15="","",_xlfn.XLOOKUP(B15,'Form responses 1'!$B$2:$B$2604,'Form responses 1'!$E$2:$E$2604,""))</f>
        <v>PENINGKATAN HAK</v>
      </c>
      <c r="H15" s="44" t="str">
        <f t="array" ref="H15">IF(B15="","",_xlfn.XLOOKUP(B15,'Form responses 1'!$B$2:$B$2604,'Form responses 1'!$F$2:$F$2604,""))</f>
        <v>-</v>
      </c>
      <c r="I15" s="44" t="str">
        <f t="array" ref="I15">IF(B15="","",_xlfn.XLOOKUP(B15,'Form responses 1'!$B$2:$B$2604,'Form responses 1'!$I$2:$I$2604,""))</f>
        <v>NEGERI OLOK GADING</v>
      </c>
      <c r="J15" s="44" t="str">
        <f t="array" ref="J15">IF(B15="","",_xlfn.XLOOKUP(B15,'Form responses 1'!$B$2:$B$2604,'Form responses 1'!$G$2:$G$2604,""))</f>
        <v>Baynur</v>
      </c>
      <c r="K15" s="41" t="s">
        <v>1233</v>
      </c>
      <c r="L15" s="52">
        <f t="shared" si="7"/>
        <v>45580.37415</v>
      </c>
      <c r="M15" s="47" t="s">
        <v>1622</v>
      </c>
      <c r="N15" s="47" t="s">
        <v>1627</v>
      </c>
      <c r="O15" s="49"/>
      <c r="P15" s="49"/>
      <c r="Q15" s="49"/>
      <c r="R15" s="49"/>
      <c r="S15" s="49"/>
      <c r="T15" s="49"/>
      <c r="U15" s="49"/>
      <c r="V15" s="49"/>
      <c r="W15" s="41" t="s">
        <v>618</v>
      </c>
      <c r="X15" s="46">
        <f t="shared" si="5"/>
        <v>45580.40062</v>
      </c>
      <c r="Y15" s="50" t="s">
        <v>482</v>
      </c>
      <c r="Z15" s="49">
        <f t="shared" si="6"/>
        <v>2</v>
      </c>
      <c r="AA15" s="4" t="s">
        <v>1650</v>
      </c>
    </row>
    <row r="16" ht="22.5" customHeight="1">
      <c r="B16" s="41" t="s">
        <v>153</v>
      </c>
      <c r="C16" s="43">
        <f t="array" ref="C16">IF(B16="","",_xlfn.XLOOKUP(B16,'Form responses 1'!$B$2:$B$2604,'Form responses 1'!$A$2:$A$2604,""))</f>
        <v>45579.57014</v>
      </c>
      <c r="D16" s="44" t="str">
        <f t="shared" si="3"/>
        <v>K/27/141024/4_45579.5701433218</v>
      </c>
      <c r="E16" s="44" t="str">
        <f t="array" ref="E16">IF(B16="","",_xlfn.XLOOKUP(B16,'Form responses 1'!$B$2:$B$2604,'Form responses 1'!$C$2:$C$2604,""))</f>
        <v>MURSALIN</v>
      </c>
      <c r="F16" s="44" t="str">
        <f t="array" ref="F16">IF(B16="","",_xlfn.XLOOKUP(B16,'Form responses 1'!$B$2:$B$2604,'Form responses 1'!$D$2:$D$2604,""))</f>
        <v>085383885939</v>
      </c>
      <c r="G16" s="44" t="str">
        <f t="array" ref="G16">IF(B16="","",_xlfn.XLOOKUP(B16,'Form responses 1'!$B$2:$B$2604,'Form responses 1'!$E$2:$E$2604,""))</f>
        <v>PERALIHAN JUAL BELI</v>
      </c>
      <c r="H16" s="44" t="str">
        <f t="array" ref="H16">IF(B16="","",_xlfn.XLOOKUP(B16,'Form responses 1'!$B$2:$B$2604,'Form responses 1'!$F$2:$F$2604,""))</f>
        <v>M. 13414/ SUKABUMI</v>
      </c>
      <c r="I16" s="44" t="str">
        <f t="array" ref="I16">IF(B16="","",_xlfn.XLOOKUP(B16,'Form responses 1'!$B$2:$B$2604,'Form responses 1'!$I$2:$I$2604,""))</f>
        <v>SUKABUMI</v>
      </c>
      <c r="J16" s="44" t="str">
        <f t="array" ref="J16">IF(B16="","",_xlfn.XLOOKUP(B16,'Form responses 1'!$B$2:$B$2604,'Form responses 1'!$G$2:$G$2604,""))</f>
        <v>Hananda</v>
      </c>
      <c r="K16" s="41" t="s">
        <v>1233</v>
      </c>
      <c r="L16" s="52">
        <f t="shared" si="7"/>
        <v>45580.37445</v>
      </c>
      <c r="M16" s="47" t="s">
        <v>1714</v>
      </c>
      <c r="N16" s="49"/>
      <c r="O16" s="49"/>
      <c r="P16" s="49"/>
      <c r="Q16" s="49"/>
      <c r="R16" s="49"/>
      <c r="S16" s="49"/>
      <c r="T16" s="49"/>
      <c r="U16" s="49"/>
      <c r="V16" s="49"/>
      <c r="W16" s="41" t="s">
        <v>618</v>
      </c>
      <c r="X16" s="46">
        <f t="shared" si="5"/>
        <v>45595.35896</v>
      </c>
      <c r="Y16" s="50" t="s">
        <v>482</v>
      </c>
      <c r="Z16" s="49">
        <f t="shared" si="6"/>
        <v>1</v>
      </c>
    </row>
    <row r="17" ht="22.5" customHeight="1">
      <c r="B17" s="41" t="s">
        <v>145</v>
      </c>
      <c r="C17" s="43">
        <f t="array" ref="C17">IF(B17="","",_xlfn.XLOOKUP(B17,'Form responses 1'!$B$2:$B$2604,'Form responses 1'!$A$2:$A$2604,""))</f>
        <v>45579.55981</v>
      </c>
      <c r="D17" s="44" t="str">
        <f t="shared" si="3"/>
        <v>K/25/141024/3_45579.5598141551</v>
      </c>
      <c r="E17" s="44" t="str">
        <f t="array" ref="E17">IF(B17="","",_xlfn.XLOOKUP(B17,'Form responses 1'!$B$2:$B$2604,'Form responses 1'!$C$2:$C$2604,""))</f>
        <v>MURSALIN</v>
      </c>
      <c r="F17" s="44" t="str">
        <f t="array" ref="F17">IF(B17="","",_xlfn.XLOOKUP(B17,'Form responses 1'!$B$2:$B$2604,'Form responses 1'!$D$2:$D$2604,""))</f>
        <v>085383885939</v>
      </c>
      <c r="G17" s="44" t="str">
        <f t="array" ref="G17">IF(B17="","",_xlfn.XLOOKUP(B17,'Form responses 1'!$B$2:$B$2604,'Form responses 1'!$E$2:$E$2604,""))</f>
        <v>PERALIHAN JUAL BELI</v>
      </c>
      <c r="H17" s="44" t="str">
        <f t="array" ref="H17">IF(B17="","",_xlfn.XLOOKUP(B17,'Form responses 1'!$B$2:$B$2604,'Form responses 1'!$F$2:$F$2604,""))</f>
        <v>M. 133/ SUKARAME BARU- SEKARANG; B. 144/ SUKARAME BARU-DAHULU; B. 4605/SUKARAME I-DAHULU</v>
      </c>
      <c r="I17" s="44" t="str">
        <f t="array" ref="I17">IF(B17="","",_xlfn.XLOOKUP(B17,'Form responses 1'!$B$2:$B$2604,'Form responses 1'!$I$2:$I$2604,""))</f>
        <v>SUKARAME BARU</v>
      </c>
      <c r="J17" s="44" t="str">
        <f t="array" ref="J17">IF(B17="","",_xlfn.XLOOKUP(B17,'Form responses 1'!$B$2:$B$2604,'Form responses 1'!$G$2:$G$2604,""))</f>
        <v>Hananda</v>
      </c>
      <c r="K17" s="41" t="s">
        <v>1233</v>
      </c>
      <c r="L17" s="52">
        <f t="shared" si="7"/>
        <v>45580.37464</v>
      </c>
      <c r="M17" s="47" t="s">
        <v>1795</v>
      </c>
      <c r="N17" s="49"/>
      <c r="O17" s="49"/>
      <c r="P17" s="49"/>
      <c r="Q17" s="49"/>
      <c r="R17" s="49"/>
      <c r="S17" s="49"/>
      <c r="T17" s="49"/>
      <c r="U17" s="49"/>
      <c r="V17" s="49"/>
      <c r="W17" s="41" t="s">
        <v>618</v>
      </c>
      <c r="X17" s="46">
        <f t="shared" si="5"/>
        <v>45593.43583</v>
      </c>
      <c r="Y17" s="50" t="s">
        <v>482</v>
      </c>
      <c r="Z17" s="49">
        <f t="shared" si="6"/>
        <v>1</v>
      </c>
    </row>
    <row r="18" ht="22.5" customHeight="1">
      <c r="B18" s="41" t="s">
        <v>182</v>
      </c>
      <c r="C18" s="43">
        <f t="array" ref="C18">IF(B18="","",_xlfn.XLOOKUP(B18,'Form responses 1'!$B$2:$B$2604,'Form responses 1'!$A$2:$A$2604,""))</f>
        <v>45579.59197</v>
      </c>
      <c r="D18" s="44" t="str">
        <f t="shared" si="3"/>
        <v>L/33/141024/1_45579.5919665972</v>
      </c>
      <c r="E18" s="44" t="str">
        <f t="array" ref="E18">IF(B18="","",_xlfn.XLOOKUP(B18,'Form responses 1'!$B$2:$B$2604,'Form responses 1'!$C$2:$C$2604,""))</f>
        <v>MOCHAMAD MA'RUF</v>
      </c>
      <c r="F18" s="44" t="str">
        <f t="array" ref="F18">IF(B18="","",_xlfn.XLOOKUP(B18,'Form responses 1'!$B$2:$B$2604,'Form responses 1'!$D$2:$D$2604,""))</f>
        <v>081369994969</v>
      </c>
      <c r="G18" s="44" t="str">
        <f t="array" ref="G18">IF(B18="","",_xlfn.XLOOKUP(B18,'Form responses 1'!$B$2:$B$2604,'Form responses 1'!$E$2:$E$2604,""))</f>
        <v>ROYA</v>
      </c>
      <c r="H18" s="44" t="str">
        <f t="array" ref="H18">IF(B18="","",_xlfn.XLOOKUP(B18,'Form responses 1'!$B$2:$B$2604,'Form responses 1'!$F$2:$F$2604,""))</f>
        <v>M.1540/GUNUNG TERANG;B.17/GU TERANG-DAHULU</v>
      </c>
      <c r="I18" s="44" t="str">
        <f t="array" ref="I18">IF(B18="","",_xlfn.XLOOKUP(B18,'Form responses 1'!$B$2:$B$2604,'Form responses 1'!$I$2:$I$2604,""))</f>
        <v>GUNUNG TERANG</v>
      </c>
      <c r="J18" s="44" t="str">
        <f t="array" ref="J18">IF(B18="","",_xlfn.XLOOKUP(B18,'Form responses 1'!$B$2:$B$2604,'Form responses 1'!$G$2:$G$2604,""))</f>
        <v>Nuraini</v>
      </c>
      <c r="K18" s="41" t="s">
        <v>422</v>
      </c>
      <c r="L18" s="52">
        <f t="shared" si="7"/>
        <v>45580.37498</v>
      </c>
      <c r="M18" s="47" t="s">
        <v>1874</v>
      </c>
      <c r="N18" s="47" t="s">
        <v>1876</v>
      </c>
      <c r="O18" s="49"/>
      <c r="P18" s="49"/>
      <c r="Q18" s="49"/>
      <c r="R18" s="49"/>
      <c r="S18" s="49"/>
      <c r="T18" s="49"/>
      <c r="U18" s="49"/>
      <c r="V18" s="49"/>
      <c r="W18" s="41" t="s">
        <v>618</v>
      </c>
      <c r="X18" s="46">
        <f t="shared" si="5"/>
        <v>45580.41074</v>
      </c>
      <c r="Y18" s="50" t="s">
        <v>482</v>
      </c>
      <c r="Z18" s="49">
        <f t="shared" si="6"/>
        <v>2</v>
      </c>
    </row>
    <row r="19" ht="22.5" customHeight="1">
      <c r="B19" s="41" t="s">
        <v>92</v>
      </c>
      <c r="C19" s="43">
        <f t="array" ref="C19">IF(B19="","",_xlfn.XLOOKUP(B19,'Form responses 1'!$B$2:$B$2604,'Form responses 1'!$A$2:$A$2604,""))</f>
        <v>45579.44914</v>
      </c>
      <c r="D19" s="44" t="str">
        <f t="shared" si="3"/>
        <v>K/14/141024/3_45579.4491384607</v>
      </c>
      <c r="E19" s="44" t="str">
        <f t="array" ref="E19">IF(B19="","",_xlfn.XLOOKUP(B19,'Form responses 1'!$B$2:$B$2604,'Form responses 1'!$C$2:$C$2604,""))</f>
        <v>APRILIA/PANARY SITOPU</v>
      </c>
      <c r="F19" s="44" t="str">
        <f t="array" ref="F19">IF(B19="","",_xlfn.XLOOKUP(B19,'Form responses 1'!$B$2:$B$2604,'Form responses 1'!$D$2:$D$2604,""))</f>
        <v>081361444098</v>
      </c>
      <c r="G19" s="44" t="str">
        <f t="array" ref="G19">IF(B19="","",_xlfn.XLOOKUP(B19,'Form responses 1'!$B$2:$B$2604,'Form responses 1'!$E$2:$E$2604,""))</f>
        <v>ROYA</v>
      </c>
      <c r="H19" s="44" t="str">
        <f t="array" ref="H19">IF(B19="","",_xlfn.XLOOKUP(B19,'Form responses 1'!$B$2:$B$2604,'Form responses 1'!$F$2:$F$2604,""))</f>
        <v>M.988/NEGERI OLOK GADING-SEKARANG;B.1050/NEGERI OLOK GADING-DAHULU</v>
      </c>
      <c r="I19" s="44" t="str">
        <f t="array" ref="I19">IF(B19="","",_xlfn.XLOOKUP(B19,'Form responses 1'!$B$2:$B$2604,'Form responses 1'!$I$2:$I$2604,""))</f>
        <v>NEGERI OLOK GADING</v>
      </c>
      <c r="J19" s="44" t="str">
        <f t="array" ref="J19">IF(B19="","",_xlfn.XLOOKUP(B19,'Form responses 1'!$B$2:$B$2604,'Form responses 1'!$G$2:$G$2604,""))</f>
        <v>Baynur</v>
      </c>
      <c r="K19" s="41" t="s">
        <v>422</v>
      </c>
      <c r="L19" s="52">
        <f t="shared" si="7"/>
        <v>45580.3757</v>
      </c>
      <c r="M19" s="49"/>
      <c r="N19" s="49"/>
      <c r="O19" s="49"/>
      <c r="P19" s="49"/>
      <c r="Q19" s="49"/>
      <c r="R19" s="49"/>
      <c r="S19" s="49"/>
      <c r="T19" s="49"/>
      <c r="U19" s="49"/>
      <c r="V19" s="49"/>
      <c r="W19" s="41" t="s">
        <v>618</v>
      </c>
      <c r="X19" s="46">
        <f t="shared" si="5"/>
        <v>45580.4192</v>
      </c>
      <c r="Y19" s="50" t="s">
        <v>482</v>
      </c>
      <c r="Z19" s="49">
        <f t="shared" si="6"/>
        <v>0</v>
      </c>
    </row>
    <row r="20" ht="22.5" customHeight="1">
      <c r="B20" s="41" t="s">
        <v>116</v>
      </c>
      <c r="C20" s="43">
        <f t="array" ref="C20">IF(B20="","",_xlfn.XLOOKUP(B20,'Form responses 1'!$B$2:$B$2604,'Form responses 1'!$A$2:$A$2604,""))</f>
        <v>45579.48404</v>
      </c>
      <c r="D20" s="44" t="str">
        <f t="shared" si="3"/>
        <v>L/18/141024/1_45579.4840388426</v>
      </c>
      <c r="E20" s="44" t="str">
        <f t="array" ref="E20">IF(B20="","",_xlfn.XLOOKUP(B20,'Form responses 1'!$B$2:$B$2604,'Form responses 1'!$C$2:$C$2604,""))</f>
        <v>SUNILA HAKI</v>
      </c>
      <c r="F20" s="44" t="str">
        <f t="array" ref="F20">IF(B20="","",_xlfn.XLOOKUP(B20,'Form responses 1'!$B$2:$B$2604,'Form responses 1'!$D$2:$D$2604,""))</f>
        <v>082279144608</v>
      </c>
      <c r="G20" s="44" t="str">
        <f t="array" ref="G20">IF(B20="","",_xlfn.XLOOKUP(B20,'Form responses 1'!$B$2:$B$2604,'Form responses 1'!$E$2:$E$2604,""))</f>
        <v>BLOKIR</v>
      </c>
      <c r="H20" s="44" t="str">
        <f t="array" ref="H20">IF(B20="","",_xlfn.XLOOKUP(B20,'Form responses 1'!$B$2:$B$2604,'Form responses 1'!$F$2:$F$2604,""))</f>
        <v>M.331/NUSANTARA PERMAI;B.389/CAMPANG RAYA-DAHULU</v>
      </c>
      <c r="I20" s="44" t="str">
        <f t="array" ref="I20">IF(B20="","",_xlfn.XLOOKUP(B20,'Form responses 1'!$B$2:$B$2604,'Form responses 1'!$I$2:$I$2604,""))</f>
        <v>NUSANTARA PERMAI</v>
      </c>
      <c r="J20" s="44" t="str">
        <f t="array" ref="J20">IF(B20="","",_xlfn.XLOOKUP(B20,'Form responses 1'!$B$2:$B$2604,'Form responses 1'!$G$2:$G$2604,""))</f>
        <v>Nuraini</v>
      </c>
      <c r="K20" s="41" t="s">
        <v>422</v>
      </c>
      <c r="L20" s="52">
        <f t="shared" si="7"/>
        <v>45580.37572</v>
      </c>
      <c r="M20" s="49"/>
      <c r="N20" s="49"/>
      <c r="O20" s="49"/>
      <c r="P20" s="49"/>
      <c r="Q20" s="49"/>
      <c r="R20" s="49"/>
      <c r="S20" s="49"/>
      <c r="T20" s="49"/>
      <c r="U20" s="49"/>
      <c r="V20" s="49"/>
      <c r="W20" s="41" t="s">
        <v>618</v>
      </c>
      <c r="X20" s="46">
        <f t="shared" si="5"/>
        <v>45580.56984</v>
      </c>
      <c r="Y20" s="50" t="s">
        <v>482</v>
      </c>
      <c r="Z20" s="49">
        <f t="shared" si="6"/>
        <v>0</v>
      </c>
    </row>
    <row r="21" ht="22.5" customHeight="1">
      <c r="B21" s="41" t="s">
        <v>49</v>
      </c>
      <c r="C21" s="43">
        <f t="array" ref="C21">IF(B21="","",_xlfn.XLOOKUP(B21,'Form responses 1'!$B$2:$B$2604,'Form responses 1'!$A$2:$A$2604,""))</f>
        <v>45579.40998</v>
      </c>
      <c r="D21" s="44" t="str">
        <f t="shared" si="3"/>
        <v>K/7/141024/1_45579.4099811806</v>
      </c>
      <c r="E21" s="44" t="str">
        <f t="array" ref="E21">IF(B21="","",_xlfn.XLOOKUP(B21,'Form responses 1'!$B$2:$B$2604,'Form responses 1'!$C$2:$C$2604,""))</f>
        <v>IKE FEBRINA, S.IP</v>
      </c>
      <c r="F21" s="44" t="str">
        <f t="array" ref="F21">IF(B21="","",_xlfn.XLOOKUP(B21,'Form responses 1'!$B$2:$B$2604,'Form responses 1'!$D$2:$D$2604,""))</f>
        <v>081927983379</v>
      </c>
      <c r="G21" s="44" t="str">
        <f t="array" ref="G21">IF(B21="","",_xlfn.XLOOKUP(B21,'Form responses 1'!$B$2:$B$2604,'Form responses 1'!$E$2:$E$2604,""))</f>
        <v>ANGKAT SITA</v>
      </c>
      <c r="H21" s="44" t="str">
        <f t="array" ref="H21">IF(B21="","",_xlfn.XLOOKUP(B21,'Form responses 1'!$B$2:$B$2604,'Form responses 1'!$F$2:$F$2604,""))</f>
        <v>M. 631/Pahoman- sekarang; M. 631/Pahoman-Dahulu</v>
      </c>
      <c r="I21" s="44" t="str">
        <f t="array" ref="I21">IF(B21="","",_xlfn.XLOOKUP(B21,'Form responses 1'!$B$2:$B$2604,'Form responses 1'!$I$2:$I$2604,""))</f>
        <v>PAHOMAN</v>
      </c>
      <c r="J21" s="44" t="str">
        <f t="array" ref="J21">IF(B21="","",_xlfn.XLOOKUP(B21,'Form responses 1'!$B$2:$B$2604,'Form responses 1'!$G$2:$G$2604,""))</f>
        <v>Hananda</v>
      </c>
      <c r="K21" s="41" t="s">
        <v>422</v>
      </c>
      <c r="L21" s="52">
        <f t="shared" si="7"/>
        <v>45580.37574</v>
      </c>
      <c r="M21" s="49"/>
      <c r="N21" s="49"/>
      <c r="O21" s="49"/>
      <c r="P21" s="49"/>
      <c r="Q21" s="49"/>
      <c r="R21" s="49"/>
      <c r="S21" s="49"/>
      <c r="T21" s="49"/>
      <c r="U21" s="49"/>
      <c r="V21" s="49"/>
      <c r="W21" s="41" t="s">
        <v>618</v>
      </c>
      <c r="X21" s="46">
        <f t="shared" si="5"/>
        <v>45580.57079</v>
      </c>
      <c r="Y21" s="50" t="s">
        <v>482</v>
      </c>
      <c r="Z21" s="49">
        <f t="shared" si="6"/>
        <v>0</v>
      </c>
    </row>
    <row r="22" ht="22.5" customHeight="1">
      <c r="B22" s="41" t="s">
        <v>148</v>
      </c>
      <c r="C22" s="43">
        <f t="array" ref="C22">IF(B22="","",_xlfn.XLOOKUP(B22,'Form responses 1'!$B$2:$B$2604,'Form responses 1'!$A$2:$A$2604,""))</f>
        <v>45579.56567</v>
      </c>
      <c r="D22" s="44" t="str">
        <f t="shared" si="3"/>
        <v>K/26/141024/1_45579.5656653125</v>
      </c>
      <c r="E22" s="44" t="str">
        <f t="array" ref="E22">IF(B22="","",_xlfn.XLOOKUP(B22,'Form responses 1'!$B$2:$B$2604,'Form responses 1'!$C$2:$C$2604,""))</f>
        <v>KHARISMA MANISHA CECILIYA/ILANUR</v>
      </c>
      <c r="F22" s="44" t="str">
        <f t="array" ref="F22">IF(B22="","",_xlfn.XLOOKUP(B22,'Form responses 1'!$B$2:$B$2604,'Form responses 1'!$D$2:$D$2604,""))</f>
        <v>081295653816</v>
      </c>
      <c r="G22" s="44" t="str">
        <f t="array" ref="G22">IF(B22="","",_xlfn.XLOOKUP(B22,'Form responses 1'!$B$2:$B$2604,'Form responses 1'!$E$2:$E$2604,""))</f>
        <v>PERALIHAN JUAL BELI</v>
      </c>
      <c r="H22" s="44" t="str">
        <f t="array" ref="H22">IF(B22="","",_xlfn.XLOOKUP(B22,'Form responses 1'!$B$2:$B$2604,'Form responses 1'!$F$2:$F$2604,""))</f>
        <v>M.2094/CAMPANG JAYA</v>
      </c>
      <c r="I22" s="44" t="str">
        <f t="array" ref="I22">IF(B22="","",_xlfn.XLOOKUP(B22,'Form responses 1'!$B$2:$B$2604,'Form responses 1'!$I$2:$I$2604,""))</f>
        <v>CAMPANG JAYA</v>
      </c>
      <c r="J22" s="44" t="str">
        <f t="array" ref="J22">IF(B22="","",_xlfn.XLOOKUP(B22,'Form responses 1'!$B$2:$B$2604,'Form responses 1'!$G$2:$G$2604,""))</f>
        <v>Baynur</v>
      </c>
      <c r="K22" s="41" t="s">
        <v>422</v>
      </c>
      <c r="L22" s="52">
        <f t="shared" si="7"/>
        <v>45580.37576</v>
      </c>
      <c r="M22" s="47" t="s">
        <v>2197</v>
      </c>
      <c r="N22" s="49"/>
      <c r="O22" s="49"/>
      <c r="P22" s="49"/>
      <c r="Q22" s="49"/>
      <c r="R22" s="49"/>
      <c r="S22" s="49"/>
      <c r="T22" s="49"/>
      <c r="U22" s="49"/>
      <c r="V22" s="49"/>
      <c r="W22" s="41" t="s">
        <v>618</v>
      </c>
      <c r="X22" s="46">
        <f t="shared" si="5"/>
        <v>45580.44877</v>
      </c>
      <c r="Y22" s="50" t="s">
        <v>482</v>
      </c>
      <c r="Z22" s="49">
        <f t="shared" si="6"/>
        <v>1</v>
      </c>
    </row>
    <row r="23" ht="22.5" customHeight="1">
      <c r="B23" s="41" t="s">
        <v>110</v>
      </c>
      <c r="C23" s="43">
        <f t="array" ref="C23">IF(B23="","",_xlfn.XLOOKUP(B23,'Form responses 1'!$B$2:$B$2604,'Form responses 1'!$A$2:$A$2604,""))</f>
        <v>45579.48395</v>
      </c>
      <c r="D23" s="44" t="str">
        <f t="shared" si="3"/>
        <v>K/19/141024/1_45579.4839514005</v>
      </c>
      <c r="E23" s="44" t="str">
        <f t="array" ref="E23">IF(B23="","",_xlfn.XLOOKUP(B23,'Form responses 1'!$B$2:$B$2604,'Form responses 1'!$C$2:$C$2604,""))</f>
        <v>ROSIDA LINGSA KENCANA/RAHMADIYANTI</v>
      </c>
      <c r="F23" s="44" t="str">
        <f t="array" ref="F23">IF(B23="","",_xlfn.XLOOKUP(B23,'Form responses 1'!$B$2:$B$2604,'Form responses 1'!$D$2:$D$2604,""))</f>
        <v>082182090051</v>
      </c>
      <c r="G23" s="44" t="str">
        <f t="array" ref="G23">IF(B23="","",_xlfn.XLOOKUP(B23,'Form responses 1'!$B$2:$B$2604,'Form responses 1'!$E$2:$E$2604,""))</f>
        <v>PERALIHAN JUAL BELI</v>
      </c>
      <c r="H23" s="44" t="str">
        <f t="array" ref="H23">IF(B23="","",_xlfn.XLOOKUP(B23,'Form responses 1'!$B$2:$B$2604,'Form responses 1'!$F$2:$F$2604,""))</f>
        <v>M.16678/SUKABUMI</v>
      </c>
      <c r="I23" s="44" t="str">
        <f t="array" ref="I23">IF(B23="","",_xlfn.XLOOKUP(B23,'Form responses 1'!$B$2:$B$2604,'Form responses 1'!$I$2:$I$2604,""))</f>
        <v>SUKABUMI</v>
      </c>
      <c r="J23" s="44" t="str">
        <f t="array" ref="J23">IF(B23="","",_xlfn.XLOOKUP(B23,'Form responses 1'!$B$2:$B$2604,'Form responses 1'!$G$2:$G$2604,""))</f>
        <v>Baynur</v>
      </c>
      <c r="K23" s="41" t="s">
        <v>422</v>
      </c>
      <c r="L23" s="52">
        <f t="shared" si="7"/>
        <v>45580.37577</v>
      </c>
      <c r="M23" s="49"/>
      <c r="N23" s="49"/>
      <c r="O23" s="49"/>
      <c r="P23" s="49"/>
      <c r="Q23" s="49"/>
      <c r="R23" s="49"/>
      <c r="S23" s="49"/>
      <c r="T23" s="49"/>
      <c r="U23" s="49"/>
      <c r="V23" s="49"/>
      <c r="W23" s="41" t="s">
        <v>618</v>
      </c>
      <c r="X23" s="46">
        <f t="shared" si="5"/>
        <v>45580.43499</v>
      </c>
      <c r="Y23" s="50" t="s">
        <v>482</v>
      </c>
      <c r="Z23" s="49">
        <f t="shared" si="6"/>
        <v>0</v>
      </c>
    </row>
    <row r="24" ht="22.5" customHeight="1">
      <c r="B24" s="41" t="s">
        <v>97</v>
      </c>
      <c r="C24" s="43">
        <f t="array" ref="C24">IF(B24="","",_xlfn.XLOOKUP(B24,'Form responses 1'!$B$2:$B$2604,'Form responses 1'!$A$2:$A$2604,""))</f>
        <v>45579.46383</v>
      </c>
      <c r="D24" s="44" t="str">
        <f t="shared" si="3"/>
        <v>K/16/141024/1_45579.4638286343</v>
      </c>
      <c r="E24" s="44" t="str">
        <f t="array" ref="E24">IF(B24="","",_xlfn.XLOOKUP(B24,'Form responses 1'!$B$2:$B$2604,'Form responses 1'!$C$2:$C$2604,""))</f>
        <v>TITIK WIJAYANTI/SENDI DINI HARIYATI</v>
      </c>
      <c r="F24" s="44" t="str">
        <f t="array" ref="F24">IF(B24="","",_xlfn.XLOOKUP(B24,'Form responses 1'!$B$2:$B$2604,'Form responses 1'!$D$2:$D$2604,""))</f>
        <v>089618401409</v>
      </c>
      <c r="G24" s="44" t="str">
        <f t="array" ref="G24">IF(B24="","",_xlfn.XLOOKUP(B24,'Form responses 1'!$B$2:$B$2604,'Form responses 1'!$E$2:$E$2604,""))</f>
        <v>SKPT</v>
      </c>
      <c r="H24" s="44" t="str">
        <f t="array" ref="H24">IF(B24="","",_xlfn.XLOOKUP(B24,'Form responses 1'!$B$2:$B$2604,'Form responses 1'!$F$2:$F$2604,""))</f>
        <v>M.9137/GEDONG MENENG</v>
      </c>
      <c r="I24" s="44" t="str">
        <f t="array" ref="I24">IF(B24="","",_xlfn.XLOOKUP(B24,'Form responses 1'!$B$2:$B$2604,'Form responses 1'!$I$2:$I$2604,""))</f>
        <v>GEDONG MENENG</v>
      </c>
      <c r="J24" s="44" t="str">
        <f t="array" ref="J24">IF(B24="","",_xlfn.XLOOKUP(B24,'Form responses 1'!$B$2:$B$2604,'Form responses 1'!$G$2:$G$2604,""))</f>
        <v>Baynur</v>
      </c>
      <c r="K24" s="41" t="s">
        <v>2421</v>
      </c>
      <c r="L24" s="52">
        <f t="shared" si="7"/>
        <v>45580.37678</v>
      </c>
      <c r="M24" s="47" t="s">
        <v>2428</v>
      </c>
      <c r="N24" s="47" t="s">
        <v>2433</v>
      </c>
      <c r="O24" s="49"/>
      <c r="P24" s="49"/>
      <c r="Q24" s="49"/>
      <c r="R24" s="49"/>
      <c r="S24" s="49"/>
      <c r="T24" s="49"/>
      <c r="U24" s="49"/>
      <c r="V24" s="49"/>
      <c r="W24" s="41" t="s">
        <v>618</v>
      </c>
      <c r="X24" s="46">
        <f t="shared" si="5"/>
        <v>45580.40646</v>
      </c>
      <c r="Y24" s="50" t="s">
        <v>482</v>
      </c>
      <c r="Z24" s="49">
        <f t="shared" si="6"/>
        <v>2</v>
      </c>
    </row>
    <row r="25" ht="22.5" customHeight="1">
      <c r="B25" s="41" t="s">
        <v>36</v>
      </c>
      <c r="C25" s="43">
        <f t="array" ref="C25">IF(B25="","",_xlfn.XLOOKUP(B25,'Form responses 1'!$B$2:$B$2604,'Form responses 1'!$A$2:$A$2604,""))</f>
        <v>45579.40329</v>
      </c>
      <c r="D25" s="44" t="str">
        <f t="shared" si="3"/>
        <v>L/5/141024/1_45579.403285787</v>
      </c>
      <c r="E25" s="44" t="str">
        <f t="array" ref="E25">IF(B25="","",_xlfn.XLOOKUP(B25,'Form responses 1'!$B$2:$B$2604,'Form responses 1'!$C$2:$C$2604,""))</f>
        <v>SITI NAZROH</v>
      </c>
      <c r="F25" s="44" t="str">
        <f t="array" ref="F25">IF(B25="","",_xlfn.XLOOKUP(B25,'Form responses 1'!$B$2:$B$2604,'Form responses 1'!$D$2:$D$2604,""))</f>
        <v>08117208600</v>
      </c>
      <c r="G25" s="44" t="str">
        <f t="array" ref="G25">IF(B25="","",_xlfn.XLOOKUP(B25,'Form responses 1'!$B$2:$B$2604,'Form responses 1'!$E$2:$E$2604,""))</f>
        <v>ROYA</v>
      </c>
      <c r="H25" s="44" t="str">
        <f t="array" ref="H25">IF(B25="","",_xlfn.XLOOKUP(B25,'Form responses 1'!$B$2:$B$2604,'Form responses 1'!$F$2:$F$2604,""))</f>
        <v>M.9974/TANJUNG BARU</v>
      </c>
      <c r="I25" s="44" t="str">
        <f t="array" ref="I25">IF(B25="","",_xlfn.XLOOKUP(B25,'Form responses 1'!$B$2:$B$2604,'Form responses 1'!$I$2:$I$2604,""))</f>
        <v>TANJUNG BARU</v>
      </c>
      <c r="J25" s="44" t="str">
        <f t="array" ref="J25">IF(B25="","",_xlfn.XLOOKUP(B25,'Form responses 1'!$B$2:$B$2604,'Form responses 1'!$G$2:$G$2604,""))</f>
        <v>Nuraini</v>
      </c>
      <c r="K25" s="41" t="s">
        <v>2421</v>
      </c>
      <c r="L25" s="52">
        <f t="shared" si="7"/>
        <v>45580.37681</v>
      </c>
      <c r="M25" s="47" t="s">
        <v>2532</v>
      </c>
      <c r="N25" s="49"/>
      <c r="O25" s="49"/>
      <c r="P25" s="49"/>
      <c r="Q25" s="49"/>
      <c r="R25" s="49"/>
      <c r="S25" s="49"/>
      <c r="T25" s="49"/>
      <c r="U25" s="49"/>
      <c r="V25" s="49"/>
      <c r="W25" s="41" t="s">
        <v>618</v>
      </c>
      <c r="X25" s="46">
        <f t="shared" si="5"/>
        <v>45580.42994</v>
      </c>
      <c r="Y25" s="50" t="s">
        <v>482</v>
      </c>
      <c r="Z25" s="49">
        <f t="shared" si="6"/>
        <v>1</v>
      </c>
      <c r="AA25" s="4" t="s">
        <v>2557</v>
      </c>
    </row>
    <row r="26" ht="22.5" customHeight="1">
      <c r="B26" s="41" t="s">
        <v>81</v>
      </c>
      <c r="C26" s="43">
        <f t="array" ref="C26">IF(B26="","",_xlfn.XLOOKUP(B26,'Form responses 1'!$B$2:$B$2604,'Form responses 1'!$A$2:$A$2604,""))</f>
        <v>45579.44648</v>
      </c>
      <c r="D26" s="44" t="str">
        <f t="shared" si="3"/>
        <v>K/12/141024/1_45579.4464756366</v>
      </c>
      <c r="E26" s="44" t="str">
        <f t="array" ref="E26">IF(B26="","",_xlfn.XLOOKUP(B26,'Form responses 1'!$B$2:$B$2604,'Form responses 1'!$C$2:$C$2604,""))</f>
        <v>META ARIDHOTU PRANATA /PANARY SITOPU</v>
      </c>
      <c r="F26" s="44" t="str">
        <f t="array" ref="F26">IF(B26="","",_xlfn.XLOOKUP(B26,'Form responses 1'!$B$2:$B$2604,'Form responses 1'!$D$2:$D$2604,""))</f>
        <v>081361444098</v>
      </c>
      <c r="G26" s="44" t="str">
        <f t="array" ref="G26">IF(B26="","",_xlfn.XLOOKUP(B26,'Form responses 1'!$B$2:$B$2604,'Form responses 1'!$E$2:$E$2604,""))</f>
        <v>ROYA</v>
      </c>
      <c r="H26" s="44" t="str">
        <f t="array" ref="H26">IF(B26="","",_xlfn.XLOOKUP(B26,'Form responses 1'!$B$2:$B$2604,'Form responses 1'!$F$2:$F$2604,""))</f>
        <v>M.3326/LANGKAPURA</v>
      </c>
      <c r="I26" s="44" t="str">
        <f t="array" ref="I26">IF(B26="","",_xlfn.XLOOKUP(B26,'Form responses 1'!$B$2:$B$2604,'Form responses 1'!$I$2:$I$2604,""))</f>
        <v>LANGKAPURA</v>
      </c>
      <c r="J26" s="44" t="str">
        <f t="array" ref="J26">IF(B26="","",_xlfn.XLOOKUP(B26,'Form responses 1'!$B$2:$B$2604,'Form responses 1'!$G$2:$G$2604,""))</f>
        <v>Baynur</v>
      </c>
      <c r="K26" s="41" t="s">
        <v>2421</v>
      </c>
      <c r="L26" s="52">
        <f t="shared" si="7"/>
        <v>45580.37684</v>
      </c>
      <c r="N26" s="49"/>
      <c r="O26" s="49"/>
      <c r="P26" s="49"/>
      <c r="Q26" s="49"/>
      <c r="R26" s="49"/>
      <c r="S26" s="49"/>
      <c r="T26" s="49"/>
      <c r="U26" s="49"/>
      <c r="V26" s="49"/>
      <c r="W26" s="41" t="s">
        <v>618</v>
      </c>
      <c r="X26" s="46">
        <f t="shared" si="5"/>
        <v>45580.42997</v>
      </c>
      <c r="Y26" s="50" t="s">
        <v>482</v>
      </c>
      <c r="Z26" s="49">
        <f t="shared" si="6"/>
        <v>0</v>
      </c>
    </row>
    <row r="27" ht="22.5" customHeight="1">
      <c r="B27" s="41" t="s">
        <v>209</v>
      </c>
      <c r="C27" s="43">
        <f t="array" ref="C27">IF(B27="","",_xlfn.XLOOKUP(B27,'Form responses 1'!$B$2:$B$2604,'Form responses 1'!$A$2:$A$2604,""))</f>
        <v>45579.60111</v>
      </c>
      <c r="D27" s="44" t="str">
        <f t="shared" si="3"/>
        <v>K/38/141024/1_45579.6011142245</v>
      </c>
      <c r="E27" s="44" t="str">
        <f t="array" ref="E27">IF(B27="","",_xlfn.XLOOKUP(B27,'Form responses 1'!$B$2:$B$2604,'Form responses 1'!$C$2:$C$2604,""))</f>
        <v>ISMARINA</v>
      </c>
      <c r="F27" s="44" t="str">
        <f t="array" ref="F27">IF(B27="","",_xlfn.XLOOKUP(B27,'Form responses 1'!$B$2:$B$2604,'Form responses 1'!$D$2:$D$2604,""))</f>
        <v>081377641549</v>
      </c>
      <c r="G27" s="44" t="str">
        <f t="array" ref="G27">IF(B27="","",_xlfn.XLOOKUP(B27,'Form responses 1'!$B$2:$B$2604,'Form responses 1'!$E$2:$E$2604,""))</f>
        <v>PERALIHAN HAK JUAL BELI</v>
      </c>
      <c r="H27" s="44" t="str">
        <f t="array" ref="H27">IF(B27="","",_xlfn.XLOOKUP(B27,'Form responses 1'!$B$2:$B$2604,'Form responses 1'!$F$2:$F$2604,""))</f>
        <v>M. 3157/ LABUHAN DALAM</v>
      </c>
      <c r="I27" s="44" t="str">
        <f t="array" ref="I27">IF(B27="","",_xlfn.XLOOKUP(B27,'Form responses 1'!$B$2:$B$2604,'Form responses 1'!$I$2:$I$2604,""))</f>
        <v>LABUHAN DALAM</v>
      </c>
      <c r="J27" s="44" t="str">
        <f t="array" ref="J27">IF(B27="","",_xlfn.XLOOKUP(B27,'Form responses 1'!$B$2:$B$2604,'Form responses 1'!$G$2:$G$2604,""))</f>
        <v>Hananda</v>
      </c>
      <c r="K27" s="41" t="s">
        <v>2421</v>
      </c>
      <c r="L27" s="52">
        <f t="shared" si="7"/>
        <v>45580.37686</v>
      </c>
      <c r="M27" s="47" t="s">
        <v>2691</v>
      </c>
      <c r="N27" s="49"/>
      <c r="O27" s="49"/>
      <c r="P27" s="49"/>
      <c r="Q27" s="49"/>
      <c r="R27" s="49"/>
      <c r="S27" s="49"/>
      <c r="T27" s="49"/>
      <c r="U27" s="49"/>
      <c r="V27" s="49"/>
      <c r="W27" s="41" t="s">
        <v>618</v>
      </c>
      <c r="X27" s="46">
        <f t="shared" si="5"/>
        <v>45580.43489</v>
      </c>
      <c r="Y27" s="50" t="s">
        <v>482</v>
      </c>
      <c r="Z27" s="49">
        <f t="shared" si="6"/>
        <v>1</v>
      </c>
    </row>
    <row r="28" ht="22.5" customHeight="1">
      <c r="B28" s="41" t="s">
        <v>155</v>
      </c>
      <c r="C28" s="43">
        <f t="array" ref="C28">IF(B28="","",_xlfn.XLOOKUP(B28,'Form responses 1'!$B$2:$B$2604,'Form responses 1'!$A$2:$A$2604,""))</f>
        <v>45579.57277</v>
      </c>
      <c r="D28" s="44" t="str">
        <f t="shared" si="3"/>
        <v>K/28/141024/1_45579.5727725694</v>
      </c>
      <c r="E28" s="44" t="str">
        <f t="array" ref="E28">IF(B28="","",_xlfn.XLOOKUP(B28,'Form responses 1'!$B$2:$B$2604,'Form responses 1'!$C$2:$C$2604,""))</f>
        <v>ADE HERDIANYAH/WHINDA YULIANTI</v>
      </c>
      <c r="F28" s="44" t="str">
        <f t="array" ref="F28">IF(B28="","",_xlfn.XLOOKUP(B28,'Form responses 1'!$B$2:$B$2604,'Form responses 1'!$D$2:$D$2604,""))</f>
        <v>081255572168</v>
      </c>
      <c r="G28" s="44" t="str">
        <f t="array" ref="G28">IF(B28="","",_xlfn.XLOOKUP(B28,'Form responses 1'!$B$2:$B$2604,'Form responses 1'!$E$2:$E$2604,""))</f>
        <v>PERALIHAN JUAL BELI</v>
      </c>
      <c r="H28" s="44" t="str">
        <f t="array" ref="H28">IF(B28="","",_xlfn.XLOOKUP(B28,'Form responses 1'!$B$2:$B$2604,'Form responses 1'!$F$2:$F$2604,""))</f>
        <v>B.895/BERINGIN JAYA</v>
      </c>
      <c r="I28" s="44" t="str">
        <f t="array" ref="I28">IF(B28="","",_xlfn.XLOOKUP(B28,'Form responses 1'!$B$2:$B$2604,'Form responses 1'!$I$2:$I$2604,""))</f>
        <v>BERINGIN JAYA</v>
      </c>
      <c r="J28" s="44" t="str">
        <f t="array" ref="J28">IF(B28="","",_xlfn.XLOOKUP(B28,'Form responses 1'!$B$2:$B$2604,'Form responses 1'!$G$2:$G$2604,""))</f>
        <v>Baynur</v>
      </c>
      <c r="K28" s="41" t="s">
        <v>2421</v>
      </c>
      <c r="L28" s="52">
        <f t="shared" si="7"/>
        <v>45580.37688</v>
      </c>
      <c r="M28" s="49"/>
      <c r="N28" s="49"/>
      <c r="O28" s="49"/>
      <c r="P28" s="49"/>
      <c r="Q28" s="49"/>
      <c r="R28" s="49"/>
      <c r="S28" s="49"/>
      <c r="T28" s="49"/>
      <c r="U28" s="49"/>
      <c r="V28" s="49"/>
      <c r="W28" s="41" t="s">
        <v>618</v>
      </c>
      <c r="X28" s="46">
        <f t="shared" si="5"/>
        <v>45580.44796</v>
      </c>
      <c r="Y28" s="50" t="s">
        <v>482</v>
      </c>
      <c r="Z28" s="49">
        <f t="shared" si="6"/>
        <v>0</v>
      </c>
    </row>
    <row r="29" ht="22.5" customHeight="1">
      <c r="B29" s="41" t="s">
        <v>27</v>
      </c>
      <c r="C29" s="43">
        <f t="array" ref="C29">IF(B29="","",_xlfn.XLOOKUP(B29,'Form responses 1'!$B$2:$B$2604,'Form responses 1'!$A$2:$A$2604,""))</f>
        <v>45579.3994</v>
      </c>
      <c r="D29" s="44" t="str">
        <f t="shared" si="3"/>
        <v>K/3/141024/1_45579.3993955903</v>
      </c>
      <c r="E29" s="44" t="str">
        <f t="array" ref="E29">IF(B29="","",_xlfn.XLOOKUP(B29,'Form responses 1'!$B$2:$B$2604,'Form responses 1'!$C$2:$C$2604,""))</f>
        <v>GURUH SAMODRA AJI, ST.MT/WAHYUDIN</v>
      </c>
      <c r="F29" s="44" t="str">
        <f t="array" ref="F29">IF(B29="","",_xlfn.XLOOKUP(B29,'Form responses 1'!$B$2:$B$2604,'Form responses 1'!$D$2:$D$2604,""))</f>
        <v>082371259997</v>
      </c>
      <c r="G29" s="44" t="str">
        <f t="array" ref="G29">IF(B29="","",_xlfn.XLOOKUP(B29,'Form responses 1'!$B$2:$B$2604,'Form responses 1'!$E$2:$E$2604,""))</f>
        <v>PTPGT</v>
      </c>
      <c r="H29" s="44" t="str">
        <f t="array" ref="H29">IF(B29="","",_xlfn.XLOOKUP(B29,'Form responses 1'!$B$2:$B$2604,'Form responses 1'!$F$2:$F$2604,""))</f>
        <v>-</v>
      </c>
      <c r="I29" s="44" t="str">
        <f t="array" ref="I29">IF(B29="","",_xlfn.XLOOKUP(B29,'Form responses 1'!$B$2:$B$2604,'Form responses 1'!$I$2:$I$2604,""))</f>
        <v>WAY LAGA </v>
      </c>
      <c r="J29" s="44" t="str">
        <f t="array" ref="J29">IF(B29="","",_xlfn.XLOOKUP(B29,'Form responses 1'!$B$2:$B$2604,'Form responses 1'!$G$2:$G$2604,""))</f>
        <v>Baynur</v>
      </c>
      <c r="K29" s="41" t="s">
        <v>2421</v>
      </c>
      <c r="L29" s="52">
        <f t="shared" si="7"/>
        <v>45580.3769</v>
      </c>
      <c r="M29" s="49"/>
      <c r="N29" s="49"/>
      <c r="O29" s="49"/>
      <c r="P29" s="49"/>
      <c r="Q29" s="49"/>
      <c r="R29" s="49"/>
      <c r="S29" s="49"/>
      <c r="T29" s="49"/>
      <c r="U29" s="49"/>
      <c r="V29" s="49"/>
      <c r="W29" s="41" t="s">
        <v>618</v>
      </c>
      <c r="X29" s="46">
        <f t="shared" si="5"/>
        <v>45580.45574</v>
      </c>
      <c r="Y29" s="50" t="s">
        <v>482</v>
      </c>
      <c r="Z29" s="49">
        <f t="shared" si="6"/>
        <v>0</v>
      </c>
    </row>
    <row r="30" ht="22.5" customHeight="1">
      <c r="B30" s="41" t="s">
        <v>160</v>
      </c>
      <c r="C30" s="43">
        <f t="array" ref="C30">IF(B30="","",_xlfn.XLOOKUP(B30,'Form responses 1'!$B$2:$B$2604,'Form responses 1'!$A$2:$A$2604,""))</f>
        <v>45579.57794</v>
      </c>
      <c r="D30" s="44" t="str">
        <f t="shared" si="3"/>
        <v>K/29/141024/1_45579.5779375116</v>
      </c>
      <c r="E30" s="44" t="str">
        <f t="array" ref="E30">IF(B30="","",_xlfn.XLOOKUP(B30,'Form responses 1'!$B$2:$B$2604,'Form responses 1'!$C$2:$C$2604,""))</f>
        <v>GUNAWAN</v>
      </c>
      <c r="F30" s="44" t="str">
        <f t="array" ref="F30">IF(B30="","",_xlfn.XLOOKUP(B30,'Form responses 1'!$B$2:$B$2604,'Form responses 1'!$D$2:$D$2604,""))</f>
        <v>085273192152</v>
      </c>
      <c r="G30" s="44" t="str">
        <f t="array" ref="G30">IF(B30="","",_xlfn.XLOOKUP(B30,'Form responses 1'!$B$2:$B$2604,'Form responses 1'!$E$2:$E$2604,""))</f>
        <v>PTPGT PEMECAHAN</v>
      </c>
      <c r="H30" s="44" t="str">
        <f t="array" ref="H30">IF(B30="","",_xlfn.XLOOKUP(B30,'Form responses 1'!$B$2:$B$2604,'Form responses 1'!$F$2:$F$2604,""))</f>
        <v>M. 2445/ SUKADANA HAM</v>
      </c>
      <c r="I30" s="44" t="str">
        <f t="array" ref="I30">IF(B30="","",_xlfn.XLOOKUP(B30,'Form responses 1'!$B$2:$B$2604,'Form responses 1'!$I$2:$I$2604,""))</f>
        <v>SUKADANA HAM</v>
      </c>
      <c r="J30" s="44" t="str">
        <f t="array" ref="J30">IF(B30="","",_xlfn.XLOOKUP(B30,'Form responses 1'!$B$2:$B$2604,'Form responses 1'!$G$2:$G$2604,""))</f>
        <v>Hananda</v>
      </c>
      <c r="K30" s="41" t="s">
        <v>2875</v>
      </c>
      <c r="L30" s="52">
        <f t="shared" si="7"/>
        <v>45580.38084</v>
      </c>
      <c r="M30" s="47" t="s">
        <v>2881</v>
      </c>
      <c r="N30" s="49"/>
      <c r="O30" s="49"/>
      <c r="P30" s="49"/>
      <c r="Q30" s="49"/>
      <c r="R30" s="49"/>
      <c r="S30" s="49"/>
      <c r="T30" s="49"/>
      <c r="U30" s="49"/>
      <c r="V30" s="49"/>
      <c r="W30" s="41" t="s">
        <v>618</v>
      </c>
      <c r="X30" s="46">
        <f t="shared" si="5"/>
        <v>45594.362</v>
      </c>
      <c r="Y30" s="50" t="s">
        <v>482</v>
      </c>
      <c r="Z30" s="49">
        <f t="shared" si="6"/>
        <v>1</v>
      </c>
    </row>
    <row r="31" ht="22.5" customHeight="1">
      <c r="B31" s="41" t="s">
        <v>170</v>
      </c>
      <c r="C31" s="43">
        <f t="array" ref="C31">IF(B31="","",_xlfn.XLOOKUP(B31,'Form responses 1'!$B$2:$B$2604,'Form responses 1'!$A$2:$A$2604,""))</f>
        <v>45579.58489</v>
      </c>
      <c r="D31" s="44" t="str">
        <f t="shared" si="3"/>
        <v>K/31/141024/1_45579.584890625</v>
      </c>
      <c r="E31" s="44" t="str">
        <f t="array" ref="E31">IF(B31="","",_xlfn.XLOOKUP(B31,'Form responses 1'!$B$2:$B$2604,'Form responses 1'!$C$2:$C$2604,""))</f>
        <v>APRILLIYANI</v>
      </c>
      <c r="F31" s="44" t="str">
        <f t="array" ref="F31">IF(B31="","",_xlfn.XLOOKUP(B31,'Form responses 1'!$B$2:$B$2604,'Form responses 1'!$D$2:$D$2604,""))</f>
        <v>081367846284</v>
      </c>
      <c r="G31" s="44" t="str">
        <f t="array" ref="G31">IF(B31="","",_xlfn.XLOOKUP(B31,'Form responses 1'!$B$2:$B$2604,'Form responses 1'!$E$2:$E$2604,""))</f>
        <v>PERUBAHAN HAK</v>
      </c>
      <c r="H31" s="44" t="str">
        <f t="array" ref="H31">IF(B31="","",_xlfn.XLOOKUP(B31,'Form responses 1'!$B$2:$B$2604,'Form responses 1'!$F$2:$F$2604,""))</f>
        <v>NIBEL 1691/ SUKABUMI INDAH</v>
      </c>
      <c r="I31" s="44" t="str">
        <f t="array" ref="I31">IF(B31="","",_xlfn.XLOOKUP(B31,'Form responses 1'!$B$2:$B$2604,'Form responses 1'!$I$2:$I$2604,""))</f>
        <v>SUKABUMI INDAH</v>
      </c>
      <c r="J31" s="44" t="str">
        <f t="array" ref="J31">IF(B31="","",_xlfn.XLOOKUP(B31,'Form responses 1'!$B$2:$B$2604,'Form responses 1'!$G$2:$G$2604,""))</f>
        <v>Hananda</v>
      </c>
      <c r="K31" s="41" t="s">
        <v>2875</v>
      </c>
      <c r="L31" s="52">
        <f t="shared" si="7"/>
        <v>45580.38172</v>
      </c>
      <c r="M31" s="47" t="s">
        <v>2971</v>
      </c>
      <c r="N31" s="49"/>
      <c r="O31" s="49"/>
      <c r="P31" s="49"/>
      <c r="Q31" s="49"/>
      <c r="R31" s="49"/>
      <c r="S31" s="49"/>
      <c r="T31" s="49"/>
      <c r="U31" s="49"/>
      <c r="V31" s="49"/>
      <c r="W31" s="41" t="s">
        <v>618</v>
      </c>
      <c r="X31" s="46">
        <f t="shared" si="5"/>
        <v>45580.46015</v>
      </c>
      <c r="Y31" s="50" t="s">
        <v>482</v>
      </c>
      <c r="Z31" s="49">
        <f t="shared" si="6"/>
        <v>1</v>
      </c>
    </row>
    <row r="32" ht="22.5" customHeight="1">
      <c r="B32" s="41" t="s">
        <v>69</v>
      </c>
      <c r="C32" s="43">
        <f t="array" ref="C32">IF(B32="","",_xlfn.XLOOKUP(B32,'Form responses 1'!$B$2:$B$2604,'Form responses 1'!$A$2:$A$2604,""))</f>
        <v>45579.4348</v>
      </c>
      <c r="D32" s="44" t="str">
        <f t="shared" si="3"/>
        <v>L/11/141024/1_45579.4347999884</v>
      </c>
      <c r="E32" s="44" t="str">
        <f t="array" ref="E32">IF(B32="","",_xlfn.XLOOKUP(B32,'Form responses 1'!$B$2:$B$2604,'Form responses 1'!$C$2:$C$2604,""))</f>
        <v>HENNY INDRIYANI</v>
      </c>
      <c r="F32" s="44" t="str">
        <f t="array" ref="F32">IF(B32="","",_xlfn.XLOOKUP(B32,'Form responses 1'!$B$2:$B$2604,'Form responses 1'!$D$2:$D$2604,""))</f>
        <v>081369690601</v>
      </c>
      <c r="G32" s="44" t="str">
        <f t="array" ref="G32">IF(B32="","",_xlfn.XLOOKUP(B32,'Form responses 1'!$B$2:$B$2604,'Form responses 1'!$E$2:$E$2604,""))</f>
        <v>ROYA</v>
      </c>
      <c r="H32" s="44" t="str">
        <f t="array" ref="H32">IF(B32="","",_xlfn.XLOOKUP(B32,'Form responses 1'!$B$2:$B$2604,'Form responses 1'!$F$2:$F$2604,""))</f>
        <v>HM 1505 LABUHAN DALAM &amp; HM 1506 LABUHAN DALAM</v>
      </c>
      <c r="I32" s="44" t="str">
        <f t="array" ref="I32">IF(B32="","",_xlfn.XLOOKUP(B32,'Form responses 1'!$B$2:$B$2604,'Form responses 1'!$I$2:$I$2604,""))</f>
        <v>LABUHAN DALAM</v>
      </c>
      <c r="J32" s="44" t="str">
        <f t="array" ref="J32">IF(B32="","",_xlfn.XLOOKUP(B32,'Form responses 1'!$B$2:$B$2604,'Form responses 1'!$G$2:$G$2604,""))</f>
        <v>Deby</v>
      </c>
      <c r="K32" s="41" t="s">
        <v>2875</v>
      </c>
      <c r="L32" s="52">
        <f t="shared" si="7"/>
        <v>45580.38329</v>
      </c>
      <c r="M32" s="49"/>
      <c r="N32" s="49"/>
      <c r="O32" s="49"/>
      <c r="P32" s="49"/>
      <c r="Q32" s="49"/>
      <c r="R32" s="49"/>
      <c r="S32" s="49"/>
      <c r="T32" s="49"/>
      <c r="U32" s="49"/>
      <c r="V32" s="49"/>
      <c r="W32" s="41" t="s">
        <v>618</v>
      </c>
      <c r="X32" s="46">
        <f t="shared" si="5"/>
        <v>45580.48931</v>
      </c>
      <c r="Y32" s="50" t="s">
        <v>482</v>
      </c>
      <c r="Z32" s="49">
        <f t="shared" si="6"/>
        <v>0</v>
      </c>
    </row>
    <row r="33" ht="22.5" customHeight="1">
      <c r="B33" s="41" t="s">
        <v>140</v>
      </c>
      <c r="C33" s="43">
        <f t="array" ref="C33">IF(B33="","",_xlfn.XLOOKUP(B33,'Form responses 1'!$B$2:$B$2604,'Form responses 1'!$A$2:$A$2604,""))</f>
        <v>45579.50035</v>
      </c>
      <c r="D33" s="44" t="str">
        <f t="shared" si="3"/>
        <v>L/24/141024/1_45579.5003502199</v>
      </c>
      <c r="E33" s="44" t="str">
        <f t="array" ref="E33">IF(B33="","",_xlfn.XLOOKUP(B33,'Form responses 1'!$B$2:$B$2604,'Form responses 1'!$C$2:$C$2604,""))</f>
        <v>DEWI YULIANA</v>
      </c>
      <c r="F33" s="44" t="str">
        <f t="array" ref="F33">IF(B33="","",_xlfn.XLOOKUP(B33,'Form responses 1'!$B$2:$B$2604,'Form responses 1'!$D$2:$D$2604,""))</f>
        <v>082269444244</v>
      </c>
      <c r="G33" s="44" t="str">
        <f t="array" ref="G33">IF(B33="","",_xlfn.XLOOKUP(B33,'Form responses 1'!$B$2:$B$2604,'Form responses 1'!$E$2:$E$2604,""))</f>
        <v>ROYA</v>
      </c>
      <c r="H33" s="44" t="str">
        <f t="array" ref="H33">IF(B33="","",_xlfn.XLOOKUP(B33,'Form responses 1'!$B$2:$B$2604,'Form responses 1'!$F$2:$F$2604,""))</f>
        <v>M.2064/GUNUNG TERANG</v>
      </c>
      <c r="I33" s="44" t="str">
        <f t="array" ref="I33">IF(B33="","",_xlfn.XLOOKUP(B33,'Form responses 1'!$B$2:$B$2604,'Form responses 1'!$I$2:$I$2604,""))</f>
        <v>GUNUNG TERANG</v>
      </c>
      <c r="J33" s="44" t="str">
        <f t="array" ref="J33">IF(B33="","",_xlfn.XLOOKUP(B33,'Form responses 1'!$B$2:$B$2604,'Form responses 1'!$G$2:$G$2604,""))</f>
        <v>Nuraini</v>
      </c>
      <c r="K33" s="41" t="s">
        <v>2875</v>
      </c>
      <c r="L33" s="52">
        <f t="shared" si="7"/>
        <v>45580.38342</v>
      </c>
      <c r="M33" s="49"/>
      <c r="N33" s="49"/>
      <c r="O33" s="49"/>
      <c r="P33" s="49"/>
      <c r="Q33" s="49"/>
      <c r="R33" s="49"/>
      <c r="S33" s="49"/>
      <c r="T33" s="49"/>
      <c r="U33" s="49"/>
      <c r="V33" s="49"/>
      <c r="W33" s="41" t="s">
        <v>618</v>
      </c>
      <c r="X33" s="46">
        <f t="shared" si="5"/>
        <v>45580.4601</v>
      </c>
      <c r="Y33" s="50" t="s">
        <v>482</v>
      </c>
      <c r="Z33" s="49">
        <f t="shared" si="6"/>
        <v>0</v>
      </c>
    </row>
    <row r="34" ht="22.5" customHeight="1">
      <c r="B34" s="41" t="s">
        <v>219</v>
      </c>
      <c r="C34" s="43">
        <f t="array" ref="C34">IF(B34="","",_xlfn.XLOOKUP(B34,'Form responses 1'!$B$2:$B$2604,'Form responses 1'!$A$2:$A$2604,""))</f>
        <v>45579.60845</v>
      </c>
      <c r="D34" s="44" t="str">
        <f t="shared" si="3"/>
        <v>K/40/141024/5_45579.6084455787</v>
      </c>
      <c r="E34" s="44" t="str">
        <f t="array" ref="E34">IF(B34="","",_xlfn.XLOOKUP(B34,'Form responses 1'!$B$2:$B$2604,'Form responses 1'!$C$2:$C$2604,""))</f>
        <v>MURSALIN</v>
      </c>
      <c r="F34" s="44" t="str">
        <f t="array" ref="F34">IF(B34="","",_xlfn.XLOOKUP(B34,'Form responses 1'!$B$2:$B$2604,'Form responses 1'!$D$2:$D$2604,""))</f>
        <v>085383885939</v>
      </c>
      <c r="G34" s="44" t="str">
        <f t="array" ref="G34">IF(B34="","",_xlfn.XLOOKUP(B34,'Form responses 1'!$B$2:$B$2604,'Form responses 1'!$E$2:$E$2604,""))</f>
        <v>PERALIHAN JUAL BELI</v>
      </c>
      <c r="H34" s="44" t="str">
        <f t="array" ref="H34">IF(B34="","",_xlfn.XLOOKUP(B34,'Form responses 1'!$B$2:$B$2604,'Form responses 1'!$F$2:$F$2604,""))</f>
        <v>NIBEL 2507/ SUMUR BATU</v>
      </c>
      <c r="I34" s="44" t="str">
        <f t="array" ref="I34">IF(B34="","",_xlfn.XLOOKUP(B34,'Form responses 1'!$B$2:$B$2604,'Form responses 1'!$I$2:$I$2604,""))</f>
        <v>SUMUR BATU</v>
      </c>
      <c r="J34" s="44" t="str">
        <f t="array" ref="J34">IF(B34="","",_xlfn.XLOOKUP(B34,'Form responses 1'!$B$2:$B$2604,'Form responses 1'!$G$2:$G$2604,""))</f>
        <v>Hananda</v>
      </c>
      <c r="K34" s="41" t="s">
        <v>2875</v>
      </c>
      <c r="L34" s="52">
        <f t="shared" si="7"/>
        <v>45580.38364</v>
      </c>
      <c r="M34" s="47" t="s">
        <v>3208</v>
      </c>
      <c r="N34" s="47" t="s">
        <v>3209</v>
      </c>
      <c r="O34" s="47" t="s">
        <v>3211</v>
      </c>
      <c r="P34" s="47" t="s">
        <v>3214</v>
      </c>
      <c r="Q34" s="47" t="s">
        <v>3216</v>
      </c>
      <c r="R34" s="47" t="s">
        <v>3217</v>
      </c>
      <c r="S34" s="49"/>
      <c r="T34" s="49"/>
      <c r="U34" s="49"/>
      <c r="V34" s="49"/>
      <c r="W34" s="41" t="s">
        <v>618</v>
      </c>
      <c r="X34" s="46">
        <f t="shared" si="5"/>
        <v>45607.41729</v>
      </c>
      <c r="Y34" s="50" t="s">
        <v>482</v>
      </c>
      <c r="Z34" s="49">
        <f t="shared" si="6"/>
        <v>6</v>
      </c>
    </row>
    <row r="35" ht="22.5" customHeight="1">
      <c r="B35" s="41" t="s">
        <v>35</v>
      </c>
      <c r="C35" s="43">
        <f t="array" ref="C35">IF(B35="","",_xlfn.XLOOKUP(B35,'Form responses 1'!$B$2:$B$2604,'Form responses 1'!$A$2:$A$2604,""))</f>
        <v>45579.40069</v>
      </c>
      <c r="D35" s="44" t="str">
        <f t="shared" si="3"/>
        <v>K/4/141024/2_45579.400693507</v>
      </c>
      <c r="E35" s="44" t="str">
        <f t="array" ref="E35">IF(B35="","",_xlfn.XLOOKUP(B35,'Form responses 1'!$B$2:$B$2604,'Form responses 1'!$C$2:$C$2604,""))</f>
        <v>GURUH SAMODRA AJI, ST.MT/WAHYUDIN</v>
      </c>
      <c r="F35" s="44" t="str">
        <f t="array" ref="F35">IF(B35="","",_xlfn.XLOOKUP(B35,'Form responses 1'!$B$2:$B$2604,'Form responses 1'!$D$2:$D$2604,""))</f>
        <v>082371259997</v>
      </c>
      <c r="G35" s="44" t="str">
        <f t="array" ref="G35">IF(B35="","",_xlfn.XLOOKUP(B35,'Form responses 1'!$B$2:$B$2604,'Form responses 1'!$E$2:$E$2604,""))</f>
        <v>PTPGT</v>
      </c>
      <c r="H35" s="44" t="str">
        <f t="array" ref="H35">IF(B35="","",_xlfn.XLOOKUP(B35,'Form responses 1'!$B$2:$B$2604,'Form responses 1'!$F$2:$F$2604,""))</f>
        <v>-</v>
      </c>
      <c r="I35" s="44" t="str">
        <f t="array" ref="I35">IF(B35="","",_xlfn.XLOOKUP(B35,'Form responses 1'!$B$2:$B$2604,'Form responses 1'!$I$2:$I$2604,""))</f>
        <v>WAY LAGA </v>
      </c>
      <c r="J35" s="44" t="str">
        <f t="array" ref="J35">IF(B35="","",_xlfn.XLOOKUP(B35,'Form responses 1'!$B$2:$B$2604,'Form responses 1'!$G$2:$G$2604,""))</f>
        <v>Baynur</v>
      </c>
      <c r="K35" s="41" t="s">
        <v>2875</v>
      </c>
      <c r="L35" s="52">
        <f t="shared" si="7"/>
        <v>45580.38402</v>
      </c>
      <c r="M35" s="49"/>
      <c r="N35" s="49"/>
      <c r="O35" s="49"/>
      <c r="P35" s="49"/>
      <c r="Q35" s="49"/>
      <c r="R35" s="49"/>
      <c r="S35" s="49"/>
      <c r="T35" s="49"/>
      <c r="U35" s="49"/>
      <c r="V35" s="49"/>
      <c r="W35" s="41" t="s">
        <v>618</v>
      </c>
      <c r="X35" s="46">
        <f t="shared" si="5"/>
        <v>45580.58589</v>
      </c>
      <c r="Y35" s="50" t="s">
        <v>482</v>
      </c>
      <c r="Z35" s="49">
        <f t="shared" si="6"/>
        <v>0</v>
      </c>
    </row>
    <row r="36" ht="22.5" customHeight="1">
      <c r="B36" s="41" t="s">
        <v>87</v>
      </c>
      <c r="C36" s="43">
        <f t="array" ref="C36">IF(B36="","",_xlfn.XLOOKUP(B36,'Form responses 1'!$B$2:$B$2604,'Form responses 1'!$A$2:$A$2604,""))</f>
        <v>45579.44801</v>
      </c>
      <c r="D36" s="44" t="str">
        <f t="shared" si="3"/>
        <v>K/13/141024/2_45579.4480105324</v>
      </c>
      <c r="E36" s="44" t="str">
        <f t="array" ref="E36">IF(B36="","",_xlfn.XLOOKUP(B36,'Form responses 1'!$B$2:$B$2604,'Form responses 1'!$C$2:$C$2604,""))</f>
        <v>APRILIA/PANARY SITOPU</v>
      </c>
      <c r="F36" s="44" t="str">
        <f t="array" ref="F36">IF(B36="","",_xlfn.XLOOKUP(B36,'Form responses 1'!$B$2:$B$2604,'Form responses 1'!$D$2:$D$2604,""))</f>
        <v>081361444098</v>
      </c>
      <c r="G36" s="44" t="str">
        <f t="array" ref="G36">IF(B36="","",_xlfn.XLOOKUP(B36,'Form responses 1'!$B$2:$B$2604,'Form responses 1'!$E$2:$E$2604,""))</f>
        <v>ROYA</v>
      </c>
      <c r="H36" s="44" t="str">
        <f t="array" ref="H36">IF(B36="","",_xlfn.XLOOKUP(B36,'Form responses 1'!$B$2:$B$2604,'Form responses 1'!$F$2:$F$2604,""))</f>
        <v>M.1088/NEGERI OLOK GADING-SEKARANG;B.1201/NEGERI OLOK GADING-DAHULU</v>
      </c>
      <c r="I36" s="44" t="str">
        <f t="array" ref="I36">IF(B36="","",_xlfn.XLOOKUP(B36,'Form responses 1'!$B$2:$B$2604,'Form responses 1'!$I$2:$I$2604,""))</f>
        <v>NEGERI OLOK GADING</v>
      </c>
      <c r="J36" s="44" t="str">
        <f t="array" ref="J36">IF(B36="","",_xlfn.XLOOKUP(B36,'Form responses 1'!$B$2:$B$2604,'Form responses 1'!$G$2:$G$2604,""))</f>
        <v>Baynur</v>
      </c>
      <c r="K36" s="41" t="s">
        <v>2875</v>
      </c>
      <c r="L36" s="52">
        <f t="shared" si="7"/>
        <v>45580.46644</v>
      </c>
      <c r="M36" s="47"/>
      <c r="N36" s="49"/>
      <c r="O36" s="49"/>
      <c r="P36" s="49"/>
      <c r="Q36" s="49"/>
      <c r="R36" s="49"/>
      <c r="S36" s="49"/>
      <c r="T36" s="49"/>
      <c r="U36" s="49"/>
      <c r="V36" s="49"/>
      <c r="W36" s="41" t="s">
        <v>618</v>
      </c>
      <c r="X36" s="46">
        <f t="shared" si="5"/>
        <v>45580.46865</v>
      </c>
      <c r="Y36" s="50" t="s">
        <v>482</v>
      </c>
      <c r="Z36" s="49">
        <f t="shared" si="6"/>
        <v>0</v>
      </c>
    </row>
    <row r="37" ht="22.5" customHeight="1">
      <c r="B37" s="41" t="s">
        <v>454</v>
      </c>
      <c r="C37" s="43">
        <f t="array" ref="C37">IF(B37="","",_xlfn.XLOOKUP(B37,'Form responses 1'!$B$2:$B$2604,'Form responses 1'!$A$2:$A$2604,""))</f>
        <v>45580.58521</v>
      </c>
      <c r="D37" s="44" t="str">
        <f t="shared" si="3"/>
        <v>L/35/151024/1_45580.5852084491</v>
      </c>
      <c r="E37" s="44" t="str">
        <f t="array" ref="E37">IF(B37="","",_xlfn.XLOOKUP(B37,'Form responses 1'!$B$2:$B$2604,'Form responses 1'!$C$2:$C$2604,""))</f>
        <v>FIRMANSYAH/CS</v>
      </c>
      <c r="F37" s="44" t="str">
        <f t="array" ref="F37">IF(B37="","",_xlfn.XLOOKUP(B37,'Form responses 1'!$B$2:$B$2604,'Form responses 1'!$D$2:$D$2604,""))</f>
        <v>082278291330</v>
      </c>
      <c r="G37" s="44" t="str">
        <f t="array" ref="G37">IF(B37="","",_xlfn.XLOOKUP(B37,'Form responses 1'!$B$2:$B$2604,'Form responses 1'!$E$2:$E$2604,""))</f>
        <v>BN PUTUSAN PENGADILAN (AHLI WARIS)</v>
      </c>
      <c r="H37" s="44" t="str">
        <f t="array" ref="H37">IF(B37="","",_xlfn.XLOOKUP(B37,'Form responses 1'!$B$2:$B$2604,'Form responses 1'!$F$2:$F$2604,""))</f>
        <v>HM 479/HARAPAN JAYA (DAHULU)-HM 49/KORPRI JAYA (SEKARANG)</v>
      </c>
      <c r="I37" s="44" t="str">
        <f t="array" ref="I37">IF(B37="","",_xlfn.XLOOKUP(B37,'Form responses 1'!$B$2:$B$2604,'Form responses 1'!$I$2:$I$2604,""))</f>
        <v>KORPRI JAYA</v>
      </c>
      <c r="J37" s="44" t="str">
        <f t="array" ref="J37">IF(B37="","",_xlfn.XLOOKUP(B37,'Form responses 1'!$B$2:$B$2604,'Form responses 1'!$G$2:$G$2604,""))</f>
        <v>Deby</v>
      </c>
      <c r="K37" s="41" t="s">
        <v>2421</v>
      </c>
      <c r="L37" s="52">
        <f t="shared" si="7"/>
        <v>45580.66621</v>
      </c>
      <c r="M37" s="47" t="s">
        <v>3456</v>
      </c>
      <c r="N37" s="47" t="s">
        <v>3457</v>
      </c>
      <c r="O37" s="47" t="s">
        <v>3460</v>
      </c>
      <c r="P37" s="47" t="s">
        <v>3462</v>
      </c>
      <c r="Q37" s="49"/>
      <c r="R37" s="49"/>
      <c r="S37" s="49"/>
      <c r="T37" s="49"/>
      <c r="U37" s="49"/>
      <c r="V37" s="49"/>
      <c r="W37" s="41" t="s">
        <v>470</v>
      </c>
      <c r="X37" s="46">
        <f t="shared" si="5"/>
        <v>45581.67048</v>
      </c>
      <c r="Y37" s="50" t="s">
        <v>482</v>
      </c>
      <c r="Z37" s="49">
        <f t="shared" si="6"/>
        <v>4</v>
      </c>
    </row>
    <row r="38" ht="22.5" customHeight="1">
      <c r="B38" s="41" t="s">
        <v>490</v>
      </c>
      <c r="C38" s="43">
        <f t="array" ref="C38">IF(B38="","",_xlfn.XLOOKUP(B38,'Form responses 1'!$B$2:$B$2604,'Form responses 1'!$A$2:$A$2604,""))</f>
        <v>45580.6001</v>
      </c>
      <c r="D38" s="44" t="str">
        <f t="shared" si="3"/>
        <v>K/47/151024/1_45580.6001020602</v>
      </c>
      <c r="E38" s="44" t="str">
        <f t="array" ref="E38">IF(B38="","",_xlfn.XLOOKUP(B38,'Form responses 1'!$B$2:$B$2604,'Form responses 1'!$C$2:$C$2604,""))</f>
        <v>NEDI HERYANDI/ YULIA IKA W</v>
      </c>
      <c r="F38" s="44" t="str">
        <f t="array" ref="F38">IF(B38="","",_xlfn.XLOOKUP(B38,'Form responses 1'!$B$2:$B$2604,'Form responses 1'!$D$2:$D$2604,""))</f>
        <v>0811721165</v>
      </c>
      <c r="G38" s="44" t="str">
        <f t="array" ref="G38">IF(B38="","",_xlfn.XLOOKUP(B38,'Form responses 1'!$B$2:$B$2604,'Form responses 1'!$E$2:$E$2604,""))</f>
        <v>BN JUAL BELI</v>
      </c>
      <c r="H38" s="44" t="str">
        <f t="array" ref="H38">IF(B38="","",_xlfn.XLOOKUP(B38,'Form responses 1'!$B$2:$B$2604,'Form responses 1'!$F$2:$F$2604,""))</f>
        <v>B. 176/ LABUHAN RATU RAYA</v>
      </c>
      <c r="I38" s="44" t="str">
        <f t="array" ref="I38">IF(B38="","",_xlfn.XLOOKUP(B38,'Form responses 1'!$B$2:$B$2604,'Form responses 1'!$I$2:$I$2604,""))</f>
        <v>LABUHAN RATU RAYA</v>
      </c>
      <c r="J38" s="44" t="str">
        <f t="array" ref="J38">IF(B38="","",_xlfn.XLOOKUP(B38,'Form responses 1'!$B$2:$B$2604,'Form responses 1'!$G$2:$G$2604,""))</f>
        <v>Hananda</v>
      </c>
      <c r="K38" s="41" t="s">
        <v>2421</v>
      </c>
      <c r="L38" s="52">
        <f t="shared" si="7"/>
        <v>45580.66638</v>
      </c>
      <c r="M38" s="47" t="s">
        <v>3545</v>
      </c>
      <c r="N38" s="47"/>
      <c r="O38" s="49"/>
      <c r="P38" s="49"/>
      <c r="Q38" s="49"/>
      <c r="R38" s="49"/>
      <c r="S38" s="49"/>
      <c r="T38" s="49"/>
      <c r="U38" s="49"/>
      <c r="V38" s="49"/>
      <c r="W38" s="41" t="s">
        <v>618</v>
      </c>
      <c r="X38" s="46">
        <f t="shared" si="5"/>
        <v>45588.3908</v>
      </c>
      <c r="Y38" s="50" t="s">
        <v>482</v>
      </c>
      <c r="Z38" s="49">
        <f t="shared" si="6"/>
        <v>1</v>
      </c>
    </row>
    <row r="39" ht="22.5" customHeight="1">
      <c r="B39" s="41" t="s">
        <v>397</v>
      </c>
      <c r="C39" s="43">
        <f t="array" ref="C39">IF(B39="","",_xlfn.XLOOKUP(B39,'Form responses 1'!$B$2:$B$2604,'Form responses 1'!$A$2:$A$2604,""))</f>
        <v>45580.48001</v>
      </c>
      <c r="D39" s="44" t="str">
        <f t="shared" si="3"/>
        <v>K/23/151024/3_45580.4800118287</v>
      </c>
      <c r="E39" s="44" t="str">
        <f t="array" ref="E39">IF(B39="","",_xlfn.XLOOKUP(B39,'Form responses 1'!$B$2:$B$2604,'Form responses 1'!$C$2:$C$2604,""))</f>
        <v>RAHMADIYANTI/ SELVI HELINA</v>
      </c>
      <c r="F39" s="44" t="str">
        <f t="array" ref="F39">IF(B39="","",_xlfn.XLOOKUP(B39,'Form responses 1'!$B$2:$B$2604,'Form responses 1'!$D$2:$D$2604,""))</f>
        <v>+62 821-8209-0051</v>
      </c>
      <c r="G39" s="44" t="str">
        <f t="array" ref="G39">IF(B39="","",_xlfn.XLOOKUP(B39,'Form responses 1'!$B$2:$B$2604,'Form responses 1'!$E$2:$E$2604,""))</f>
        <v>BN JUAL BELI</v>
      </c>
      <c r="H39" s="44" t="str">
        <f t="array" ref="H39">IF(B39="","",_xlfn.XLOOKUP(B39,'Form responses 1'!$B$2:$B$2604,'Form responses 1'!$F$2:$F$2604,""))</f>
        <v>M. 509/ LABUHAN RATU RAYA</v>
      </c>
      <c r="I39" s="44" t="str">
        <f t="array" ref="I39">IF(B39="","",_xlfn.XLOOKUP(B39,'Form responses 1'!$B$2:$B$2604,'Form responses 1'!$I$2:$I$2604,""))</f>
        <v> LABUHAN RATU RAYA</v>
      </c>
      <c r="J39" s="44" t="str">
        <f t="array" ref="J39">IF(B39="","",_xlfn.XLOOKUP(B39,'Form responses 1'!$B$2:$B$2604,'Form responses 1'!$G$2:$G$2604,""))</f>
        <v>Hananda</v>
      </c>
      <c r="K39" s="41" t="s">
        <v>2421</v>
      </c>
      <c r="L39" s="52">
        <f t="shared" si="7"/>
        <v>45580.66654</v>
      </c>
      <c r="M39" s="49"/>
      <c r="N39" s="49"/>
      <c r="O39" s="49"/>
      <c r="P39" s="49"/>
      <c r="Q39" s="49"/>
      <c r="R39" s="49"/>
      <c r="S39" s="49"/>
      <c r="T39" s="49"/>
      <c r="U39" s="49"/>
      <c r="V39" s="49"/>
      <c r="W39" s="41" t="s">
        <v>618</v>
      </c>
      <c r="X39" s="46">
        <f t="shared" si="5"/>
        <v>45581.67048</v>
      </c>
      <c r="Y39" s="50" t="s">
        <v>482</v>
      </c>
      <c r="Z39" s="49">
        <f t="shared" si="6"/>
        <v>0</v>
      </c>
    </row>
    <row r="40" ht="22.5" customHeight="1">
      <c r="B40" s="41" t="s">
        <v>324</v>
      </c>
      <c r="C40" s="43">
        <f t="array" ref="C40">IF(B40="","",_xlfn.XLOOKUP(B40,'Form responses 1'!$B$2:$B$2604,'Form responses 1'!$A$2:$A$2604,""))</f>
        <v>45580.42409</v>
      </c>
      <c r="D40" s="44" t="str">
        <f t="shared" si="3"/>
        <v>K/11/151024/1_45580.4240903357</v>
      </c>
      <c r="E40" s="44" t="str">
        <f t="array" ref="E40">IF(B40="","",_xlfn.XLOOKUP(B40,'Form responses 1'!$B$2:$B$2604,'Form responses 1'!$C$2:$C$2604,""))</f>
        <v>Maryanti Kurniawan/ Suprapti R</v>
      </c>
      <c r="F40" s="44" t="str">
        <f t="array" ref="F40">IF(B40="","",_xlfn.XLOOKUP(B40,'Form responses 1'!$B$2:$B$2604,'Form responses 1'!$D$2:$D$2604,""))</f>
        <v>+62 811-7212-168</v>
      </c>
      <c r="G40" s="44" t="str">
        <f t="array" ref="G40">IF(B40="","",_xlfn.XLOOKUP(B40,'Form responses 1'!$B$2:$B$2604,'Form responses 1'!$E$2:$E$2604,""))</f>
        <v>BN Jual Beli</v>
      </c>
      <c r="H40" s="44" t="str">
        <f t="array" ref="H40">IF(B40="","",_xlfn.XLOOKUP(B40,'Form responses 1'!$B$2:$B$2604,'Form responses 1'!$F$2:$F$2604,""))</f>
        <v>Nibel. M. 1869/ Sepang Jaya</v>
      </c>
      <c r="I40" s="44" t="str">
        <f t="array" ref="I40">IF(B40="","",_xlfn.XLOOKUP(B40,'Form responses 1'!$B$2:$B$2604,'Form responses 1'!$I$2:$I$2604,""))</f>
        <v>Sepang Jaya</v>
      </c>
      <c r="J40" s="44" t="str">
        <f t="array" ref="J40">IF(B40="","",_xlfn.XLOOKUP(B40,'Form responses 1'!$B$2:$B$2604,'Form responses 1'!$G$2:$G$2604,""))</f>
        <v>Rapita</v>
      </c>
      <c r="K40" s="41" t="s">
        <v>2421</v>
      </c>
      <c r="L40" s="52">
        <f t="shared" si="7"/>
        <v>45580.66678</v>
      </c>
      <c r="M40" s="49"/>
      <c r="N40" s="49"/>
      <c r="O40" s="49"/>
      <c r="P40" s="49"/>
      <c r="Q40" s="49"/>
      <c r="R40" s="49"/>
      <c r="S40" s="49"/>
      <c r="T40" s="49"/>
      <c r="U40" s="49"/>
      <c r="V40" s="49"/>
      <c r="W40" s="41" t="s">
        <v>618</v>
      </c>
      <c r="X40" s="46">
        <f t="shared" si="5"/>
        <v>45581.487</v>
      </c>
      <c r="Y40" s="50" t="s">
        <v>482</v>
      </c>
      <c r="Z40" s="49">
        <f t="shared" si="6"/>
        <v>0</v>
      </c>
    </row>
    <row r="41" ht="22.5" customHeight="1">
      <c r="B41" s="41" t="s">
        <v>429</v>
      </c>
      <c r="C41" s="43">
        <f t="array" ref="C41">IF(B41="","",_xlfn.XLOOKUP(B41,'Form responses 1'!$B$2:$B$2604,'Form responses 1'!$A$2:$A$2604,""))</f>
        <v>45580.57893</v>
      </c>
      <c r="D41" s="44" t="str">
        <f t="shared" si="3"/>
        <v>K/34/151024/2_45580.5789332523</v>
      </c>
      <c r="E41" s="44" t="str">
        <f t="array" ref="E41">IF(B41="","",_xlfn.XLOOKUP(B41,'Form responses 1'!$B$2:$B$2604,'Form responses 1'!$C$2:$C$2604,""))</f>
        <v>Ayi Ruhiat/ Eri Yulianti</v>
      </c>
      <c r="F41" s="44" t="str">
        <f t="array" ref="F41">IF(B41="","",_xlfn.XLOOKUP(B41,'Form responses 1'!$B$2:$B$2604,'Form responses 1'!$D$2:$D$2604,""))</f>
        <v>081272519799</v>
      </c>
      <c r="G41" s="44" t="str">
        <f t="array" ref="G41">IF(B41="","",_xlfn.XLOOKUP(B41,'Form responses 1'!$B$2:$B$2604,'Form responses 1'!$E$2:$E$2604,""))</f>
        <v>BN Hibah</v>
      </c>
      <c r="H41" s="44" t="str">
        <f t="array" ref="H41">IF(B41="","",_xlfn.XLOOKUP(B41,'Form responses 1'!$B$2:$B$2604,'Form responses 1'!$F$2:$F$2604,""))</f>
        <v>M. 1311/ Beringin Jaya; dahulu B. 2093/ Beringin Raya</v>
      </c>
      <c r="I41" s="44" t="str">
        <f t="array" ref="I41">IF(B41="","",_xlfn.XLOOKUP(B41,'Form responses 1'!$B$2:$B$2604,'Form responses 1'!$I$2:$I$2604,""))</f>
        <v>Beringin Jaya</v>
      </c>
      <c r="J41" s="44" t="str">
        <f t="array" ref="J41">IF(B41="","",_xlfn.XLOOKUP(B41,'Form responses 1'!$B$2:$B$2604,'Form responses 1'!$G$2:$G$2604,""))</f>
        <v>Rapita</v>
      </c>
      <c r="K41" s="41" t="s">
        <v>2421</v>
      </c>
      <c r="L41" s="52">
        <f t="shared" si="7"/>
        <v>45580.66697</v>
      </c>
      <c r="M41" s="47" t="s">
        <v>3774</v>
      </c>
      <c r="N41" s="49"/>
      <c r="O41" s="49"/>
      <c r="P41" s="49"/>
      <c r="Q41" s="49"/>
      <c r="R41" s="49"/>
      <c r="S41" s="49"/>
      <c r="T41" s="49"/>
      <c r="U41" s="49"/>
      <c r="V41" s="49"/>
      <c r="W41" s="41" t="s">
        <v>618</v>
      </c>
      <c r="X41" s="46">
        <f t="shared" si="5"/>
        <v>45581.43568</v>
      </c>
      <c r="Y41" s="50" t="s">
        <v>482</v>
      </c>
      <c r="Z41" s="49">
        <f t="shared" si="6"/>
        <v>1</v>
      </c>
    </row>
    <row r="42" ht="22.5" customHeight="1">
      <c r="B42" s="41" t="s">
        <v>280</v>
      </c>
      <c r="C42" s="43">
        <f t="array" ref="C42">IF(B42="","",_xlfn.XLOOKUP(B42,'Form responses 1'!$B$2:$B$2604,'Form responses 1'!$A$2:$A$2604,""))</f>
        <v>45580.39812</v>
      </c>
      <c r="D42" s="44" t="str">
        <f t="shared" si="3"/>
        <v>K/4/151024/1_45580.3981238426</v>
      </c>
      <c r="E42" s="44" t="str">
        <f t="array" ref="E42">IF(B42="","",_xlfn.XLOOKUP(B42,'Form responses 1'!$B$2:$B$2604,'Form responses 1'!$C$2:$C$2604,""))</f>
        <v>Renaldi Pratama S/ Rahmat Mirzani D</v>
      </c>
      <c r="F42" s="44" t="str">
        <f t="array" ref="F42">IF(B42="","",_xlfn.XLOOKUP(B42,'Form responses 1'!$B$2:$B$2604,'Form responses 1'!$D$2:$D$2604,""))</f>
        <v>+62 823-7375-9878</v>
      </c>
      <c r="G42" s="44" t="str">
        <f t="array" ref="G42">IF(B42="","",_xlfn.XLOOKUP(B42,'Form responses 1'!$B$2:$B$2604,'Form responses 1'!$E$2:$E$2604,""))</f>
        <v>Roya</v>
      </c>
      <c r="H42" s="44" t="str">
        <f t="array" ref="H42">IF(B42="","",_xlfn.XLOOKUP(B42,'Form responses 1'!$B$2:$B$2604,'Form responses 1'!$F$2:$F$2604,""))</f>
        <v>M. 10315/ Rajabasa</v>
      </c>
      <c r="I42" s="44" t="str">
        <f t="array" ref="I42">IF(B42="","",_xlfn.XLOOKUP(B42,'Form responses 1'!$B$2:$B$2604,'Form responses 1'!$I$2:$I$2604,""))</f>
        <v>Rajabasa</v>
      </c>
      <c r="J42" s="44" t="str">
        <f t="array" ref="J42">IF(B42="","",_xlfn.XLOOKUP(B42,'Form responses 1'!$B$2:$B$2604,'Form responses 1'!$G$2:$G$2604,""))</f>
        <v>Rapita</v>
      </c>
      <c r="K42" s="41" t="s">
        <v>2421</v>
      </c>
      <c r="L42" s="52">
        <f t="shared" si="7"/>
        <v>45580.66725</v>
      </c>
      <c r="M42" s="47" t="s">
        <v>3843</v>
      </c>
      <c r="N42" s="49"/>
      <c r="O42" s="49"/>
      <c r="P42" s="49"/>
      <c r="Q42" s="49"/>
      <c r="R42" s="49"/>
      <c r="S42" s="49"/>
      <c r="T42" s="49"/>
      <c r="U42" s="49"/>
      <c r="V42" s="49"/>
      <c r="W42" s="41" t="s">
        <v>618</v>
      </c>
      <c r="X42" s="46">
        <f t="shared" si="5"/>
        <v>45589.66416</v>
      </c>
      <c r="Y42" s="50" t="s">
        <v>482</v>
      </c>
      <c r="Z42" s="49">
        <f t="shared" si="6"/>
        <v>1</v>
      </c>
    </row>
    <row r="43" ht="22.5" customHeight="1">
      <c r="B43" s="41" t="s">
        <v>320</v>
      </c>
      <c r="C43" s="43">
        <f t="array" ref="C43">IF(B43="","",_xlfn.XLOOKUP(B43,'Form responses 1'!$B$2:$B$2604,'Form responses 1'!$A$2:$A$2604,""))</f>
        <v>45580.422</v>
      </c>
      <c r="D43" s="44" t="str">
        <f t="shared" si="3"/>
        <v>L/10/151024/1_45580.4220031944</v>
      </c>
      <c r="E43" s="44" t="str">
        <f t="array" ref="E43">IF(B43="","",_xlfn.XLOOKUP(B43,'Form responses 1'!$B$2:$B$2604,'Form responses 1'!$C$2:$C$2604,""))</f>
        <v>AHMAD SUKRI</v>
      </c>
      <c r="F43" s="44" t="str">
        <f t="array" ref="F43">IF(B43="","",_xlfn.XLOOKUP(B43,'Form responses 1'!$B$2:$B$2604,'Form responses 1'!$D$2:$D$2604,""))</f>
        <v>085366776727</v>
      </c>
      <c r="G43" s="44" t="str">
        <f t="array" ref="G43">IF(B43="","",_xlfn.XLOOKUP(B43,'Form responses 1'!$B$2:$B$2604,'Form responses 1'!$E$2:$E$2604,""))</f>
        <v>PERUBAHAN HAK</v>
      </c>
      <c r="H43" s="44" t="str">
        <f t="array" ref="H43">IF(B43="","",_xlfn.XLOOKUP(B43,'Form responses 1'!$B$2:$B$2604,'Form responses 1'!$F$2:$F$2604,""))</f>
        <v>B.561/NUSANTARA PERMAI;B.329/CAMPANG RAYA-DAHULU</v>
      </c>
      <c r="I43" s="44" t="str">
        <f t="array" ref="I43">IF(B43="","",_xlfn.XLOOKUP(B43,'Form responses 1'!$B$2:$B$2604,'Form responses 1'!$I$2:$I$2604,""))</f>
        <v>NUSANTARA PERMAI</v>
      </c>
      <c r="J43" s="44" t="str">
        <f t="array" ref="J43">IF(B43="","",_xlfn.XLOOKUP(B43,'Form responses 1'!$B$2:$B$2604,'Form responses 1'!$G$2:$G$2604,""))</f>
        <v>Nuraini</v>
      </c>
      <c r="K43" s="41" t="s">
        <v>2421</v>
      </c>
      <c r="L43" s="52">
        <f t="shared" si="7"/>
        <v>45580.66765</v>
      </c>
      <c r="M43" s="49"/>
      <c r="N43" s="49"/>
      <c r="O43" s="49"/>
      <c r="P43" s="49"/>
      <c r="Q43" s="49"/>
      <c r="R43" s="49"/>
      <c r="S43" s="49"/>
      <c r="T43" s="49"/>
      <c r="U43" s="49"/>
      <c r="V43" s="49"/>
      <c r="W43" s="41" t="s">
        <v>618</v>
      </c>
      <c r="X43" s="46">
        <f t="shared" si="5"/>
        <v>45581.39405</v>
      </c>
      <c r="Y43" s="50" t="s">
        <v>482</v>
      </c>
      <c r="Z43" s="49">
        <f t="shared" si="6"/>
        <v>0</v>
      </c>
    </row>
    <row r="44" ht="22.5" customHeight="1">
      <c r="B44" s="41" t="s">
        <v>462</v>
      </c>
      <c r="C44" s="43">
        <f t="array" ref="C44">IF(B44="","",_xlfn.XLOOKUP(B44,'Form responses 1'!$B$2:$B$2604,'Form responses 1'!$A$2:$A$2604,""))</f>
        <v>45580.58769</v>
      </c>
      <c r="D44" s="44" t="str">
        <f t="shared" si="3"/>
        <v>K/39/151024/1_45580.587693206</v>
      </c>
      <c r="E44" s="44" t="str">
        <f t="array" ref="E44">IF(B44="","",_xlfn.XLOOKUP(B44,'Form responses 1'!$B$2:$B$2604,'Form responses 1'!$C$2:$C$2604,""))</f>
        <v>SUMIRAT/RINI ANHARI</v>
      </c>
      <c r="F44" s="44" t="str">
        <f t="array" ref="F44">IF(B44="","",_xlfn.XLOOKUP(B44,'Form responses 1'!$B$2:$B$2604,'Form responses 1'!$D$2:$D$2604,""))</f>
        <v>085368337655</v>
      </c>
      <c r="G44" s="44" t="str">
        <f t="array" ref="G44">IF(B44="","",_xlfn.XLOOKUP(B44,'Form responses 1'!$B$2:$B$2604,'Form responses 1'!$E$2:$E$2604,""))</f>
        <v>PERALIHAN JUAL BELI</v>
      </c>
      <c r="H44" s="44" t="str">
        <f t="array" ref="H44">IF(B44="","",_xlfn.XLOOKUP(B44,'Form responses 1'!$B$2:$B$2604,'Form responses 1'!$F$2:$F$2604,""))</f>
        <v>M.13978/TANJUNG BARU</v>
      </c>
      <c r="I44" s="44" t="str">
        <f t="array" ref="I44">IF(B44="","",_xlfn.XLOOKUP(B44,'Form responses 1'!$B$2:$B$2604,'Form responses 1'!$I$2:$I$2604,""))</f>
        <v>TANJUNG BARU</v>
      </c>
      <c r="J44" s="44" t="str">
        <f t="array" ref="J44">IF(B44="","",_xlfn.XLOOKUP(B44,'Form responses 1'!$B$2:$B$2604,'Form responses 1'!$G$2:$G$2604,""))</f>
        <v>Baynur</v>
      </c>
      <c r="K44" s="41" t="s">
        <v>2421</v>
      </c>
      <c r="L44" s="52">
        <f t="shared" si="7"/>
        <v>45580.66774</v>
      </c>
      <c r="M44" s="47" t="s">
        <v>3991</v>
      </c>
      <c r="N44" s="47" t="s">
        <v>3993</v>
      </c>
      <c r="O44" s="47" t="s">
        <v>3996</v>
      </c>
      <c r="P44" s="49"/>
      <c r="Q44" s="49"/>
      <c r="R44" s="49"/>
      <c r="S44" s="49"/>
      <c r="T44" s="49"/>
      <c r="U44" s="49"/>
      <c r="V44" s="49"/>
      <c r="W44" s="41" t="s">
        <v>618</v>
      </c>
      <c r="X44" s="46">
        <f t="shared" si="5"/>
        <v>45608.6475</v>
      </c>
      <c r="Y44" s="50" t="s">
        <v>482</v>
      </c>
      <c r="Z44" s="49">
        <f t="shared" si="6"/>
        <v>3</v>
      </c>
    </row>
    <row r="45" ht="22.5" customHeight="1">
      <c r="B45" s="41" t="s">
        <v>480</v>
      </c>
      <c r="C45" s="43">
        <f t="array" ref="C45">IF(B45="","",_xlfn.XLOOKUP(B45,'Form responses 1'!$B$2:$B$2604,'Form responses 1'!$A$2:$A$2604,""))</f>
        <v>45580.59473</v>
      </c>
      <c r="D45" s="44" t="str">
        <f t="shared" si="3"/>
        <v>K/44/151024/1_45580.5947333565</v>
      </c>
      <c r="E45" s="44" t="str">
        <f t="array" ref="E45">IF(B45="","",_xlfn.XLOOKUP(B45,'Form responses 1'!$B$2:$B$2604,'Form responses 1'!$C$2:$C$2604,""))</f>
        <v>TITIK WIJAYANTI/SENDI DINI H</v>
      </c>
      <c r="F45" s="44" t="str">
        <f t="array" ref="F45">IF(B45="","",_xlfn.XLOOKUP(B45,'Form responses 1'!$B$2:$B$2604,'Form responses 1'!$D$2:$D$2604,""))</f>
        <v>089618401409</v>
      </c>
      <c r="G45" s="44" t="str">
        <f t="array" ref="G45">IF(B45="","",_xlfn.XLOOKUP(B45,'Form responses 1'!$B$2:$B$2604,'Form responses 1'!$E$2:$E$2604,""))</f>
        <v>SKPT</v>
      </c>
      <c r="H45" s="44" t="str">
        <f t="array" ref="H45">IF(B45="","",_xlfn.XLOOKUP(B45,'Form responses 1'!$B$2:$B$2604,'Form responses 1'!$F$2:$F$2604,""))</f>
        <v>M.1375/PERUMNAS WAY HALIM-SEKARANG;B.2097/KEDATON-DAHULU</v>
      </c>
      <c r="I45" s="44" t="str">
        <f t="array" ref="I45">IF(B45="","",_xlfn.XLOOKUP(B45,'Form responses 1'!$B$2:$B$2604,'Form responses 1'!$I$2:$I$2604,""))</f>
        <v>PERUMNAS WAY HALIM</v>
      </c>
      <c r="J45" s="44" t="str">
        <f t="array" ref="J45">IF(B45="","",_xlfn.XLOOKUP(B45,'Form responses 1'!$B$2:$B$2604,'Form responses 1'!$G$2:$G$2604,""))</f>
        <v>Baynur</v>
      </c>
      <c r="K45" s="41" t="s">
        <v>2421</v>
      </c>
      <c r="L45" s="52">
        <f t="shared" si="7"/>
        <v>45580.66785</v>
      </c>
      <c r="M45" s="47" t="s">
        <v>4062</v>
      </c>
      <c r="N45" s="49"/>
      <c r="O45" s="49"/>
      <c r="P45" s="49"/>
      <c r="Q45" s="49"/>
      <c r="R45" s="49"/>
      <c r="S45" s="49"/>
      <c r="T45" s="49"/>
      <c r="U45" s="49"/>
      <c r="V45" s="49"/>
      <c r="W45" s="41" t="s">
        <v>470</v>
      </c>
      <c r="X45" s="46">
        <f t="shared" si="5"/>
        <v>45581.3898</v>
      </c>
      <c r="Y45" s="50" t="s">
        <v>482</v>
      </c>
      <c r="Z45" s="49">
        <f t="shared" si="6"/>
        <v>1</v>
      </c>
      <c r="AA45" s="4" t="s">
        <v>2557</v>
      </c>
    </row>
    <row r="46" ht="22.5" customHeight="1">
      <c r="B46" s="41" t="s">
        <v>288</v>
      </c>
      <c r="C46" s="43">
        <f t="array" ref="C46">IF(B46="","",_xlfn.XLOOKUP(B46,'Form responses 1'!$B$2:$B$2604,'Form responses 1'!$A$2:$A$2604,""))</f>
        <v>45580.40109</v>
      </c>
      <c r="D46" s="44" t="str">
        <f t="shared" si="3"/>
        <v>K/5/151024/2_45580.4010908102</v>
      </c>
      <c r="E46" s="44" t="str">
        <f t="array" ref="E46">IF(B46="","",_xlfn.XLOOKUP(B46,'Form responses 1'!$B$2:$B$2604,'Form responses 1'!$C$2:$C$2604,""))</f>
        <v>Renaldi Pratama S/ Nurul S</v>
      </c>
      <c r="F46" s="44" t="str">
        <f t="array" ref="F46">IF(B46="","",_xlfn.XLOOKUP(B46,'Form responses 1'!$B$2:$B$2604,'Form responses 1'!$D$2:$D$2604,""))</f>
        <v>+62 823-7375-9878</v>
      </c>
      <c r="G46" s="44" t="str">
        <f t="array" ref="G46">IF(B46="","",_xlfn.XLOOKUP(B46,'Form responses 1'!$B$2:$B$2604,'Form responses 1'!$E$2:$E$2604,""))</f>
        <v>Roya </v>
      </c>
      <c r="H46" s="44" t="str">
        <f t="array" ref="H46">IF(B46="","",_xlfn.XLOOKUP(B46,'Form responses 1'!$B$2:$B$2604,'Form responses 1'!$F$2:$F$2604,""))</f>
        <v>M. 1952/ Langkapura</v>
      </c>
      <c r="I46" s="44" t="str">
        <f t="array" ref="I46">IF(B46="","",_xlfn.XLOOKUP(B46,'Form responses 1'!$B$2:$B$2604,'Form responses 1'!$I$2:$I$2604,""))</f>
        <v>Langkapura</v>
      </c>
      <c r="J46" s="44" t="str">
        <f t="array" ref="J46">IF(B46="","",_xlfn.XLOOKUP(B46,'Form responses 1'!$B$2:$B$2604,'Form responses 1'!$G$2:$G$2604,""))</f>
        <v>Rapita</v>
      </c>
      <c r="K46" s="41" t="s">
        <v>422</v>
      </c>
      <c r="L46" s="52">
        <f t="shared" si="7"/>
        <v>45580.67136</v>
      </c>
      <c r="M46" s="47" t="s">
        <v>4141</v>
      </c>
      <c r="N46" s="47" t="s">
        <v>4144</v>
      </c>
      <c r="O46" s="49"/>
      <c r="P46" s="49"/>
      <c r="Q46" s="49"/>
      <c r="R46" s="49"/>
      <c r="S46" s="49"/>
      <c r="T46" s="49"/>
      <c r="U46" s="49"/>
      <c r="V46" s="49"/>
      <c r="W46" s="41" t="s">
        <v>618</v>
      </c>
      <c r="X46" s="46">
        <f t="shared" si="5"/>
        <v>45582.41531</v>
      </c>
      <c r="Y46" s="50" t="s">
        <v>482</v>
      </c>
      <c r="Z46" s="49">
        <f t="shared" si="6"/>
        <v>2</v>
      </c>
      <c r="AA46" s="4" t="s">
        <v>4158</v>
      </c>
    </row>
    <row r="47" ht="22.5" customHeight="1">
      <c r="B47" s="41" t="s">
        <v>466</v>
      </c>
      <c r="C47" s="43">
        <f t="array" ref="C47">IF(B47="","",_xlfn.XLOOKUP(B47,'Form responses 1'!$B$2:$B$2604,'Form responses 1'!$A$2:$A$2604,""))</f>
        <v>45580.59016</v>
      </c>
      <c r="D47" s="44" t="str">
        <f t="shared" si="3"/>
        <v>K/40/151024/1_45580.5901632986</v>
      </c>
      <c r="E47" s="44" t="str">
        <f t="array" ref="E47">IF(B47="","",_xlfn.XLOOKUP(B47,'Form responses 1'!$B$2:$B$2604,'Form responses 1'!$C$2:$C$2604,""))</f>
        <v>Fahrul Rozi/ Lela Monika</v>
      </c>
      <c r="F47" s="44" t="str">
        <f t="array" ref="F47">IF(B47="","",_xlfn.XLOOKUP(B47,'Form responses 1'!$B$2:$B$2604,'Form responses 1'!$D$2:$D$2604,""))</f>
        <v>+62 821-7585-0002</v>
      </c>
      <c r="G47" s="44" t="str">
        <f t="array" ref="G47">IF(B47="","",_xlfn.XLOOKUP(B47,'Form responses 1'!$B$2:$B$2604,'Form responses 1'!$E$2:$E$2604,""))</f>
        <v>BN Jual Beli</v>
      </c>
      <c r="H47" s="44" t="str">
        <f t="array" ref="H47">IF(B47="","",_xlfn.XLOOKUP(B47,'Form responses 1'!$B$2:$B$2604,'Form responses 1'!$F$2:$F$2604,""))</f>
        <v>M. 2800/ Sumber Rejo</v>
      </c>
      <c r="I47" s="44" t="str">
        <f t="array" ref="I47">IF(B47="","",_xlfn.XLOOKUP(B47,'Form responses 1'!$B$2:$B$2604,'Form responses 1'!$I$2:$I$2604,""))</f>
        <v>Sumber Rejo</v>
      </c>
      <c r="J47" s="44" t="str">
        <f t="array" ref="J47">IF(B47="","",_xlfn.XLOOKUP(B47,'Form responses 1'!$B$2:$B$2604,'Form responses 1'!$G$2:$G$2604,""))</f>
        <v>Rapita</v>
      </c>
      <c r="K47" s="41" t="s">
        <v>422</v>
      </c>
      <c r="L47" s="52">
        <f t="shared" si="7"/>
        <v>45580.6715</v>
      </c>
      <c r="M47" s="47" t="s">
        <v>4214</v>
      </c>
      <c r="N47" s="47" t="s">
        <v>4215</v>
      </c>
      <c r="O47" s="47" t="s">
        <v>4216</v>
      </c>
      <c r="P47" s="47" t="s">
        <v>4217</v>
      </c>
      <c r="Q47" s="49"/>
      <c r="R47" s="49"/>
      <c r="S47" s="49"/>
      <c r="T47" s="49"/>
      <c r="U47" s="49"/>
      <c r="V47" s="49"/>
      <c r="W47" s="41" t="s">
        <v>618</v>
      </c>
      <c r="X47" s="46">
        <f t="shared" si="5"/>
        <v>45588.64433</v>
      </c>
      <c r="Y47" s="50" t="s">
        <v>482</v>
      </c>
      <c r="Z47" s="49">
        <f t="shared" si="6"/>
        <v>4</v>
      </c>
      <c r="AA47" s="4" t="s">
        <v>4232</v>
      </c>
    </row>
    <row r="48" ht="22.5" customHeight="1">
      <c r="B48" s="41" t="s">
        <v>367</v>
      </c>
      <c r="C48" s="43">
        <f t="array" ref="C48">IF(B48="","",_xlfn.XLOOKUP(B48,'Form responses 1'!$B$2:$B$2604,'Form responses 1'!$A$2:$A$2604,""))</f>
        <v>45580.46981</v>
      </c>
      <c r="D48" s="44" t="str">
        <f t="shared" si="3"/>
        <v>K/17/151024/1_45580.4698100232</v>
      </c>
      <c r="E48" s="44" t="str">
        <f t="array" ref="E48">IF(B48="","",_xlfn.XLOOKUP(B48,'Form responses 1'!$B$2:$B$2604,'Form responses 1'!$C$2:$C$2604,""))</f>
        <v>BAMBANG ABIYONO / EDY</v>
      </c>
      <c r="F48" s="44" t="str">
        <f t="array" ref="F48">IF(B48="","",_xlfn.XLOOKUP(B48,'Form responses 1'!$B$2:$B$2604,'Form responses 1'!$D$2:$D$2604,""))</f>
        <v>082269212060</v>
      </c>
      <c r="G48" s="44" t="str">
        <f t="array" ref="G48">IF(B48="","",_xlfn.XLOOKUP(B48,'Form responses 1'!$B$2:$B$2604,'Form responses 1'!$E$2:$E$2604,""))</f>
        <v>BN JUAL BELI</v>
      </c>
      <c r="H48" s="44" t="str">
        <f t="array" ref="H48">IF(B48="","",_xlfn.XLOOKUP(B48,'Form responses 1'!$B$2:$B$2604,'Form responses 1'!$F$2:$F$2604,""))</f>
        <v>M. 13602/ SEGALA MIDER</v>
      </c>
      <c r="I48" s="44" t="str">
        <f t="array" ref="I48">IF(B48="","",_xlfn.XLOOKUP(B48,'Form responses 1'!$B$2:$B$2604,'Form responses 1'!$I$2:$I$2604,""))</f>
        <v>SEGALA MIDER</v>
      </c>
      <c r="J48" s="44" t="str">
        <f t="array" ref="J48">IF(B48="","",_xlfn.XLOOKUP(B48,'Form responses 1'!$B$2:$B$2604,'Form responses 1'!$G$2:$G$2604,""))</f>
        <v>Hananda</v>
      </c>
      <c r="K48" s="41" t="s">
        <v>422</v>
      </c>
      <c r="L48" s="52">
        <f t="shared" si="7"/>
        <v>45580.67161</v>
      </c>
      <c r="M48" s="49"/>
      <c r="N48" s="49"/>
      <c r="O48" s="49"/>
      <c r="P48" s="49"/>
      <c r="Q48" s="49"/>
      <c r="R48" s="49"/>
      <c r="S48" s="49"/>
      <c r="T48" s="49"/>
      <c r="U48" s="49"/>
      <c r="V48" s="49"/>
      <c r="W48" s="41" t="s">
        <v>618</v>
      </c>
      <c r="X48" s="46">
        <f t="shared" si="5"/>
        <v>45581.67048</v>
      </c>
      <c r="Y48" s="50" t="s">
        <v>482</v>
      </c>
      <c r="Z48" s="49">
        <f t="shared" si="6"/>
        <v>0</v>
      </c>
    </row>
    <row r="49" ht="22.5" customHeight="1">
      <c r="B49" s="41" t="s">
        <v>504</v>
      </c>
      <c r="C49" s="43">
        <f t="array" ref="C49">IF(B49="","",_xlfn.XLOOKUP(B49,'Form responses 1'!$B$2:$B$2604,'Form responses 1'!$A$2:$A$2604,""))</f>
        <v>45580.61032</v>
      </c>
      <c r="D49" s="44" t="str">
        <f t="shared" si="3"/>
        <v>L/50/151024/1_45580.6103155903</v>
      </c>
      <c r="E49" s="44" t="str">
        <f t="array" ref="E49">IF(B49="","",_xlfn.XLOOKUP(B49,'Form responses 1'!$B$2:$B$2604,'Form responses 1'!$C$2:$C$2604,""))</f>
        <v>ALDY DIAN SATRIA</v>
      </c>
      <c r="F49" s="44" t="str">
        <f t="array" ref="F49">IF(B49="","",_xlfn.XLOOKUP(B49,'Form responses 1'!$B$2:$B$2604,'Form responses 1'!$D$2:$D$2604,""))</f>
        <v>089510529644</v>
      </c>
      <c r="G49" s="44" t="str">
        <f t="array" ref="G49">IF(B49="","",_xlfn.XLOOKUP(B49,'Form responses 1'!$B$2:$B$2604,'Form responses 1'!$E$2:$E$2604,""))</f>
        <v>BN JUAL-BELI</v>
      </c>
      <c r="H49" s="44" t="str">
        <f t="array" ref="H49">IF(B49="","",_xlfn.XLOOKUP(B49,'Form responses 1'!$B$2:$B$2604,'Form responses 1'!$F$2:$F$2604,""))</f>
        <v>HM 1763/RAJABASA NUNYAI</v>
      </c>
      <c r="I49" s="44" t="str">
        <f t="array" ref="I49">IF(B49="","",_xlfn.XLOOKUP(B49,'Form responses 1'!$B$2:$B$2604,'Form responses 1'!$I$2:$I$2604,""))</f>
        <v>RAJABASA NUNYAI</v>
      </c>
      <c r="J49" s="44" t="str">
        <f t="array" ref="J49">IF(B49="","",_xlfn.XLOOKUP(B49,'Form responses 1'!$B$2:$B$2604,'Form responses 1'!$G$2:$G$2604,""))</f>
        <v>Deby</v>
      </c>
      <c r="K49" s="41" t="s">
        <v>422</v>
      </c>
      <c r="L49" s="52">
        <f t="shared" si="7"/>
        <v>45580.67173</v>
      </c>
      <c r="M49" s="47" t="s">
        <v>4326</v>
      </c>
      <c r="N49" s="49"/>
      <c r="O49" s="49"/>
      <c r="P49" s="49"/>
      <c r="Q49" s="49"/>
      <c r="R49" s="49"/>
      <c r="S49" s="49"/>
      <c r="T49" s="49"/>
      <c r="U49" s="49"/>
      <c r="V49" s="49"/>
      <c r="W49" s="41" t="s">
        <v>618</v>
      </c>
      <c r="X49" s="46">
        <f t="shared" si="5"/>
        <v>45581.67048</v>
      </c>
      <c r="Y49" s="50" t="s">
        <v>482</v>
      </c>
      <c r="Z49" s="49">
        <f t="shared" si="6"/>
        <v>1</v>
      </c>
      <c r="AA49" s="4" t="s">
        <v>4346</v>
      </c>
    </row>
    <row r="50" ht="22.5" customHeight="1">
      <c r="B50" s="41" t="s">
        <v>333</v>
      </c>
      <c r="C50" s="43">
        <f t="array" ref="C50">IF(B50="","",_xlfn.XLOOKUP(B50,'Form responses 1'!$B$2:$B$2604,'Form responses 1'!$A$2:$A$2604,""))</f>
        <v>45580.42721</v>
      </c>
      <c r="D50" s="44" t="str">
        <f t="shared" si="3"/>
        <v>K/13/151024/3_45580.4272115741</v>
      </c>
      <c r="E50" s="44" t="str">
        <f t="array" ref="E50">IF(B50="","",_xlfn.XLOOKUP(B50,'Form responses 1'!$B$2:$B$2604,'Form responses 1'!$C$2:$C$2604,""))</f>
        <v>Maryanti K/ Asri</v>
      </c>
      <c r="F50" s="44" t="str">
        <f t="array" ref="F50">IF(B50="","",_xlfn.XLOOKUP(B50,'Form responses 1'!$B$2:$B$2604,'Form responses 1'!$D$2:$D$2604,""))</f>
        <v>+62 811-7212-168</v>
      </c>
      <c r="G50" s="44" t="str">
        <f t="array" ref="G50">IF(B50="","",_xlfn.XLOOKUP(B50,'Form responses 1'!$B$2:$B$2604,'Form responses 1'!$E$2:$E$2604,""))</f>
        <v>BN Jual Beli</v>
      </c>
      <c r="H50" s="44" t="str">
        <f t="array" ref="H50">IF(B50="","",_xlfn.XLOOKUP(B50,'Form responses 1'!$B$2:$B$2604,'Form responses 1'!$F$2:$F$2604,""))</f>
        <v>M. 41/ Kota Sepang</v>
      </c>
      <c r="I50" s="44" t="str">
        <f t="array" ref="I50">IF(B50="","",_xlfn.XLOOKUP(B50,'Form responses 1'!$B$2:$B$2604,'Form responses 1'!$I$2:$I$2604,""))</f>
        <v>Kota Sepang</v>
      </c>
      <c r="J50" s="44" t="str">
        <f t="array" ref="J50">IF(B50="","",_xlfn.XLOOKUP(B50,'Form responses 1'!$B$2:$B$2604,'Form responses 1'!$G$2:$G$2604,""))</f>
        <v>Rapita</v>
      </c>
      <c r="K50" s="41" t="s">
        <v>422</v>
      </c>
      <c r="L50" s="52">
        <f t="shared" si="7"/>
        <v>45580.67186</v>
      </c>
      <c r="M50" s="49"/>
      <c r="N50" s="49"/>
      <c r="O50" s="49"/>
      <c r="P50" s="49"/>
      <c r="Q50" s="49"/>
      <c r="R50" s="49"/>
      <c r="S50" s="49"/>
      <c r="T50" s="49"/>
      <c r="U50" s="49"/>
      <c r="V50" s="49"/>
      <c r="W50" s="41" t="s">
        <v>618</v>
      </c>
      <c r="X50" s="46">
        <f t="shared" si="5"/>
        <v>45581.67048</v>
      </c>
      <c r="Y50" s="50" t="s">
        <v>482</v>
      </c>
      <c r="Z50" s="49">
        <f t="shared" si="6"/>
        <v>0</v>
      </c>
    </row>
    <row r="51" ht="22.5" customHeight="1">
      <c r="B51" s="41" t="s">
        <v>381</v>
      </c>
      <c r="C51" s="43">
        <f t="array" ref="C51">IF(B51="","",_xlfn.XLOOKUP(B51,'Form responses 1'!$B$2:$B$2604,'Form responses 1'!$A$2:$A$2604,""))</f>
        <v>45580.47411</v>
      </c>
      <c r="D51" s="44" t="str">
        <f t="shared" si="3"/>
        <v>L/26/151024/1_45580.4741132523</v>
      </c>
      <c r="E51" s="44" t="str">
        <f t="array" ref="E51">IF(B51="","",_xlfn.XLOOKUP(B51,'Form responses 1'!$B$2:$B$2604,'Form responses 1'!$C$2:$C$2604,""))</f>
        <v>MUHAMMAD ROCYCH</v>
      </c>
      <c r="F51" s="44" t="str">
        <f t="array" ref="F51">IF(B51="","",_xlfn.XLOOKUP(B51,'Form responses 1'!$B$2:$B$2604,'Form responses 1'!$D$2:$D$2604,""))</f>
        <v>081379031346</v>
      </c>
      <c r="G51" s="44" t="str">
        <f t="array" ref="G51">IF(B51="","",_xlfn.XLOOKUP(B51,'Form responses 1'!$B$2:$B$2604,'Form responses 1'!$E$2:$E$2604,""))</f>
        <v>ROYA</v>
      </c>
      <c r="H51" s="44" t="str">
        <f t="array" ref="H51">IF(B51="","",_xlfn.XLOOKUP(B51,'Form responses 1'!$B$2:$B$2604,'Form responses 1'!$F$2:$F$2604,""))</f>
        <v>HM 401/KALI BALAU KENCANA</v>
      </c>
      <c r="I51" s="44" t="str">
        <f t="array" ref="I51">IF(B51="","",_xlfn.XLOOKUP(B51,'Form responses 1'!$B$2:$B$2604,'Form responses 1'!$I$2:$I$2604,""))</f>
        <v>KALI BALAU KENCANA</v>
      </c>
      <c r="J51" s="44" t="str">
        <f t="array" ref="J51">IF(B51="","",_xlfn.XLOOKUP(B51,'Form responses 1'!$B$2:$B$2604,'Form responses 1'!$G$2:$G$2604,""))</f>
        <v>Deby</v>
      </c>
      <c r="K51" s="41" t="s">
        <v>422</v>
      </c>
      <c r="L51" s="52">
        <f t="shared" si="7"/>
        <v>45580.67201</v>
      </c>
      <c r="M51" s="47" t="s">
        <v>4453</v>
      </c>
      <c r="N51" s="49"/>
      <c r="O51" s="49"/>
      <c r="P51" s="49"/>
      <c r="Q51" s="49"/>
      <c r="R51" s="49"/>
      <c r="S51" s="49"/>
      <c r="T51" s="49"/>
      <c r="U51" s="49"/>
      <c r="V51" s="49"/>
      <c r="W51" s="41" t="s">
        <v>470</v>
      </c>
      <c r="X51" s="46">
        <f t="shared" si="5"/>
        <v>45581.48675</v>
      </c>
      <c r="Y51" s="50" t="s">
        <v>482</v>
      </c>
      <c r="Z51" s="49">
        <f t="shared" si="6"/>
        <v>1</v>
      </c>
    </row>
    <row r="52" ht="22.5" customHeight="1">
      <c r="B52" s="41" t="s">
        <v>423</v>
      </c>
      <c r="C52" s="43">
        <f t="array" ref="C52">IF(B52="","",_xlfn.XLOOKUP(B52,'Form responses 1'!$B$2:$B$2604,'Form responses 1'!$A$2:$A$2604,""))</f>
        <v>45580.57581</v>
      </c>
      <c r="D52" s="44" t="str">
        <f t="shared" si="3"/>
        <v>K/32/151024/1_45580.575810787</v>
      </c>
      <c r="E52" s="44" t="str">
        <f t="array" ref="E52">IF(B52="","",_xlfn.XLOOKUP(B52,'Form responses 1'!$B$2:$B$2604,'Form responses 1'!$C$2:$C$2604,""))</f>
        <v>Junaidi saptopo/ Yohanes Herman</v>
      </c>
      <c r="F52" s="44" t="str">
        <f t="array" ref="F52">IF(B52="","",_xlfn.XLOOKUP(B52,'Form responses 1'!$B$2:$B$2604,'Form responses 1'!$D$2:$D$2604,""))</f>
        <v>+62 821-3710-5199</v>
      </c>
      <c r="G52" s="44" t="str">
        <f t="array" ref="G52">IF(B52="","",_xlfn.XLOOKUP(B52,'Form responses 1'!$B$2:$B$2604,'Form responses 1'!$E$2:$E$2604,""))</f>
        <v>Cabut Blokir</v>
      </c>
      <c r="H52" s="44" t="str">
        <f t="array" ref="H52">IF(B52="","",_xlfn.XLOOKUP(B52,'Form responses 1'!$B$2:$B$2604,'Form responses 1'!$F$2:$F$2604,""))</f>
        <v>M. 11169/ Tanjung Baru</v>
      </c>
      <c r="I52" s="44" t="str">
        <f t="array" ref="I52">IF(B52="","",_xlfn.XLOOKUP(B52,'Form responses 1'!$B$2:$B$2604,'Form responses 1'!$I$2:$I$2604,""))</f>
        <v>Tanjung Baru</v>
      </c>
      <c r="J52" s="44" t="str">
        <f t="array" ref="J52">IF(B52="","",_xlfn.XLOOKUP(B52,'Form responses 1'!$B$2:$B$2604,'Form responses 1'!$G$2:$G$2604,""))</f>
        <v>Rapita</v>
      </c>
      <c r="K52" s="41" t="s">
        <v>422</v>
      </c>
      <c r="L52" s="52">
        <f t="shared" si="7"/>
        <v>45580.67238</v>
      </c>
      <c r="M52" s="49"/>
      <c r="N52" s="49"/>
      <c r="O52" s="49"/>
      <c r="P52" s="49"/>
      <c r="Q52" s="49"/>
      <c r="R52" s="49"/>
      <c r="S52" s="49"/>
      <c r="T52" s="49"/>
      <c r="U52" s="49"/>
      <c r="V52" s="49"/>
      <c r="W52" s="41" t="s">
        <v>618</v>
      </c>
      <c r="X52" s="46">
        <f t="shared" si="5"/>
        <v>45581.67048</v>
      </c>
      <c r="Y52" s="50" t="s">
        <v>482</v>
      </c>
      <c r="Z52" s="49">
        <f t="shared" si="6"/>
        <v>0</v>
      </c>
    </row>
    <row r="53" ht="22.5" customHeight="1">
      <c r="B53" s="41" t="s">
        <v>295</v>
      </c>
      <c r="C53" s="43">
        <f t="array" ref="C53">IF(B53="","",_xlfn.XLOOKUP(B53,'Form responses 1'!$B$2:$B$2604,'Form responses 1'!$A$2:$A$2604,""))</f>
        <v>45580.40741</v>
      </c>
      <c r="D53" s="44" t="str">
        <f t="shared" si="3"/>
        <v>L/8/151024/1_45580.4074116551</v>
      </c>
      <c r="E53" s="44" t="str">
        <f t="array" ref="E53">IF(B53="","",_xlfn.XLOOKUP(B53,'Form responses 1'!$B$2:$B$2604,'Form responses 1'!$C$2:$C$2604,""))</f>
        <v>MALA HARTIANA</v>
      </c>
      <c r="F53" s="44" t="str">
        <f t="array" ref="F53">IF(B53="","",_xlfn.XLOOKUP(B53,'Form responses 1'!$B$2:$B$2604,'Form responses 1'!$D$2:$D$2604,""))</f>
        <v>081379431418</v>
      </c>
      <c r="G53" s="44" t="str">
        <f t="array" ref="G53">IF(B53="","",_xlfn.XLOOKUP(B53,'Form responses 1'!$B$2:$B$2604,'Form responses 1'!$E$2:$E$2604,""))</f>
        <v>PERUBAHAN HAK</v>
      </c>
      <c r="H53" s="44" t="str">
        <f t="array" ref="H53">IF(B53="","",_xlfn.XLOOKUP(B53,'Form responses 1'!$B$2:$B$2604,'Form responses 1'!$F$2:$F$2604,""))</f>
        <v>NIB 0801000002556/KEMILING PERMAI</v>
      </c>
      <c r="I53" s="44" t="str">
        <f t="array" ref="I53">IF(B53="","",_xlfn.XLOOKUP(B53,'Form responses 1'!$B$2:$B$2604,'Form responses 1'!$I$2:$I$2604,""))</f>
        <v>KEMILING PERMAI</v>
      </c>
      <c r="J53" s="44" t="str">
        <f t="array" ref="J53">IF(B53="","",_xlfn.XLOOKUP(B53,'Form responses 1'!$B$2:$B$2604,'Form responses 1'!$G$2:$G$2604,""))</f>
        <v>Deby</v>
      </c>
      <c r="K53" s="41" t="s">
        <v>422</v>
      </c>
      <c r="L53" s="52">
        <f t="shared" si="7"/>
        <v>45580.67735</v>
      </c>
      <c r="M53" s="47" t="s">
        <v>4608</v>
      </c>
      <c r="N53" s="49"/>
      <c r="O53" s="49"/>
      <c r="P53" s="49"/>
      <c r="Q53" s="49"/>
      <c r="R53" s="49"/>
      <c r="S53" s="49"/>
      <c r="T53" s="49"/>
      <c r="U53" s="49"/>
      <c r="V53" s="49"/>
      <c r="W53" s="41" t="s">
        <v>618</v>
      </c>
      <c r="X53" s="46">
        <f t="shared" si="5"/>
        <v>45581.50498</v>
      </c>
      <c r="Y53" s="50" t="s">
        <v>482</v>
      </c>
      <c r="Z53" s="49">
        <f t="shared" si="6"/>
        <v>1</v>
      </c>
    </row>
    <row r="54" ht="22.5" customHeight="1">
      <c r="B54" s="41" t="s">
        <v>245</v>
      </c>
      <c r="C54" s="43">
        <f t="array" ref="C54">IF(B54="","",_xlfn.XLOOKUP(B54,'Form responses 1'!$B$2:$B$2604,'Form responses 1'!$A$2:$A$2604,""))</f>
        <v>45580.36647</v>
      </c>
      <c r="D54" s="44" t="str">
        <f t="shared" si="3"/>
        <v>K/45/151024/1_45580.3664710069</v>
      </c>
      <c r="E54" s="44" t="str">
        <f t="array" ref="E54">IF(B54="","",_xlfn.XLOOKUP(B54,'Form responses 1'!$B$2:$B$2604,'Form responses 1'!$C$2:$C$2604,""))</f>
        <v>ABDUL GANI/ DODI SUWANTO CS</v>
      </c>
      <c r="F54" s="44" t="str">
        <f t="array" ref="F54">IF(B54="","",_xlfn.XLOOKUP(B54,'Form responses 1'!$B$2:$B$2604,'Form responses 1'!$D$2:$D$2604,""))</f>
        <v>+62 895-6401-98434</v>
      </c>
      <c r="G54" s="44" t="str">
        <f t="array" ref="G54">IF(B54="","",_xlfn.XLOOKUP(B54,'Form responses 1'!$B$2:$B$2604,'Form responses 1'!$E$2:$E$2604,""))</f>
        <v>PERALIHAN HAK KEWARISAN</v>
      </c>
      <c r="H54" s="44" t="str">
        <f t="array" ref="H54">IF(B54="","",_xlfn.XLOOKUP(B54,'Form responses 1'!$B$2:$B$2604,'Form responses 1'!$F$2:$F$2604,""))</f>
        <v>M. 2732/ KOTA BARU</v>
      </c>
      <c r="I54" s="44" t="str">
        <f t="array" ref="I54">IF(B54="","",_xlfn.XLOOKUP(B54,'Form responses 1'!$B$2:$B$2604,'Form responses 1'!$I$2:$I$2604,""))</f>
        <v>kOTA BARU</v>
      </c>
      <c r="J54" s="44" t="str">
        <f t="array" ref="J54">IF(B54="","",_xlfn.XLOOKUP(B54,'Form responses 1'!$B$2:$B$2604,'Form responses 1'!$G$2:$G$2604,""))</f>
        <v>Rapita</v>
      </c>
      <c r="K54" s="41" t="s">
        <v>2875</v>
      </c>
      <c r="L54" s="52">
        <f t="shared" si="7"/>
        <v>45580.69635</v>
      </c>
      <c r="M54" s="47" t="s">
        <v>4674</v>
      </c>
      <c r="N54" s="47" t="s">
        <v>4675</v>
      </c>
      <c r="O54" s="47" t="s">
        <v>4678</v>
      </c>
      <c r="P54" s="47" t="s">
        <v>4682</v>
      </c>
      <c r="Q54" s="47" t="s">
        <v>4684</v>
      </c>
      <c r="R54" s="49"/>
      <c r="S54" s="49"/>
      <c r="T54" s="49"/>
      <c r="U54" s="49"/>
      <c r="V54" s="49"/>
      <c r="W54" s="41" t="s">
        <v>618</v>
      </c>
      <c r="X54" s="46">
        <f t="shared" si="5"/>
        <v>45600.41695</v>
      </c>
      <c r="Y54" s="50" t="s">
        <v>482</v>
      </c>
      <c r="Z54" s="49">
        <f t="shared" si="6"/>
        <v>5</v>
      </c>
    </row>
    <row r="55" ht="22.5" customHeight="1">
      <c r="B55" s="41" t="s">
        <v>476</v>
      </c>
      <c r="C55" s="43">
        <f t="array" ref="C55">IF(B55="","",_xlfn.XLOOKUP(B55,'Form responses 1'!$B$2:$B$2604,'Form responses 1'!$A$2:$A$2604,""))</f>
        <v>45580.5936</v>
      </c>
      <c r="D55" s="44" t="str">
        <f t="shared" si="3"/>
        <v>K/41/151024/2_45580.5936040741</v>
      </c>
      <c r="E55" s="44" t="str">
        <f t="array" ref="E55">IF(B55="","",_xlfn.XLOOKUP(B55,'Form responses 1'!$B$2:$B$2604,'Form responses 1'!$C$2:$C$2604,""))</f>
        <v>Fahrul Rozi/Novarida</v>
      </c>
      <c r="F55" s="44" t="str">
        <f t="array" ref="F55">IF(B55="","",_xlfn.XLOOKUP(B55,'Form responses 1'!$B$2:$B$2604,'Form responses 1'!$D$2:$D$2604,""))</f>
        <v>+62 821-7585-0002</v>
      </c>
      <c r="G55" s="44" t="str">
        <f t="array" ref="G55">IF(B55="","",_xlfn.XLOOKUP(B55,'Form responses 1'!$B$2:$B$2604,'Form responses 1'!$E$2:$E$2604,""))</f>
        <v>BN Jual Beli</v>
      </c>
      <c r="H55" s="44" t="str">
        <f t="array" ref="H55">IF(B55="","",_xlfn.XLOOKUP(B55,'Form responses 1'!$B$2:$B$2604,'Form responses 1'!$F$2:$F$2604,""))</f>
        <v>M. 11294/ Labuhan Ratu</v>
      </c>
      <c r="I55" s="44" t="str">
        <f t="array" ref="I55">IF(B55="","",_xlfn.XLOOKUP(B55,'Form responses 1'!$B$2:$B$2604,'Form responses 1'!$I$2:$I$2604,""))</f>
        <v>Labuhan Ratu</v>
      </c>
      <c r="J55" s="44" t="str">
        <f t="array" ref="J55">IF(B55="","",_xlfn.XLOOKUP(B55,'Form responses 1'!$B$2:$B$2604,'Form responses 1'!$G$2:$G$2604,""))</f>
        <v>Rapita</v>
      </c>
      <c r="K55" s="41" t="s">
        <v>2875</v>
      </c>
      <c r="L55" s="52">
        <f t="shared" si="7"/>
        <v>45580.69651</v>
      </c>
      <c r="M55" s="47" t="s">
        <v>4752</v>
      </c>
      <c r="N55" s="47" t="s">
        <v>4753</v>
      </c>
      <c r="O55" s="47" t="s">
        <v>4756</v>
      </c>
      <c r="P55" s="47" t="s">
        <v>4758</v>
      </c>
      <c r="Q55" s="47" t="s">
        <v>4761</v>
      </c>
      <c r="R55" s="49"/>
      <c r="S55" s="49"/>
      <c r="T55" s="49"/>
      <c r="U55" s="49"/>
      <c r="V55" s="49"/>
      <c r="W55" s="41" t="s">
        <v>470</v>
      </c>
      <c r="X55" s="46">
        <f t="shared" si="5"/>
        <v>45581.67048</v>
      </c>
      <c r="Y55" s="50" t="s">
        <v>482</v>
      </c>
      <c r="Z55" s="49">
        <f t="shared" si="6"/>
        <v>5</v>
      </c>
    </row>
    <row r="56" ht="22.5" customHeight="1">
      <c r="B56" s="41" t="s">
        <v>348</v>
      </c>
      <c r="C56" s="43">
        <f t="array" ref="C56">IF(B56="","",_xlfn.XLOOKUP(B56,'Form responses 1'!$B$2:$B$2604,'Form responses 1'!$A$2:$A$2604,""))</f>
        <v>45580.44059</v>
      </c>
      <c r="D56" s="44" t="str">
        <f t="shared" si="3"/>
        <v>K/16/151024/2_45580.4405894676</v>
      </c>
      <c r="E56" s="44" t="str">
        <f t="array" ref="E56">IF(B56="","",_xlfn.XLOOKUP(B56,'Form responses 1'!$B$2:$B$2604,'Form responses 1'!$C$2:$C$2604,""))</f>
        <v>M ARIEF S/ AKHMAD RIDHO</v>
      </c>
      <c r="F56" s="44" t="str">
        <f t="array" ref="F56">IF(B56="","",_xlfn.XLOOKUP(B56,'Form responses 1'!$B$2:$B$2604,'Form responses 1'!$D$2:$D$2604,""))</f>
        <v>08139113355</v>
      </c>
      <c r="G56" s="44" t="str">
        <f t="array" ref="G56">IF(B56="","",_xlfn.XLOOKUP(B56,'Form responses 1'!$B$2:$B$2604,'Form responses 1'!$E$2:$E$2604,""))</f>
        <v>BN JUAL BELI</v>
      </c>
      <c r="H56" s="44" t="str">
        <f t="array" ref="H56">IF(B56="","",_xlfn.XLOOKUP(B56,'Form responses 1'!$B$2:$B$2604,'Form responses 1'!$F$2:$F$2604,""))</f>
        <v>M. 2418/ KEDAUNG</v>
      </c>
      <c r="I56" s="44" t="str">
        <f t="array" ref="I56">IF(B56="","",_xlfn.XLOOKUP(B56,'Form responses 1'!$B$2:$B$2604,'Form responses 1'!$I$2:$I$2604,""))</f>
        <v>KEDAUNG</v>
      </c>
      <c r="J56" s="44" t="str">
        <f t="array" ref="J56">IF(B56="","",_xlfn.XLOOKUP(B56,'Form responses 1'!$B$2:$B$2604,'Form responses 1'!$G$2:$G$2604,""))</f>
        <v>Hananda</v>
      </c>
      <c r="K56" s="41" t="s">
        <v>2875</v>
      </c>
      <c r="L56" s="52">
        <f t="shared" si="7"/>
        <v>45580.69664</v>
      </c>
      <c r="M56" s="47" t="s">
        <v>4826</v>
      </c>
      <c r="N56" s="49"/>
      <c r="O56" s="49"/>
      <c r="P56" s="49"/>
      <c r="Q56" s="49"/>
      <c r="R56" s="49"/>
      <c r="S56" s="49"/>
      <c r="T56" s="49"/>
      <c r="U56" s="49"/>
      <c r="V56" s="49"/>
      <c r="W56" s="41" t="s">
        <v>618</v>
      </c>
      <c r="X56" s="46">
        <f t="shared" si="5"/>
        <v>45589.36056</v>
      </c>
      <c r="Y56" s="50" t="s">
        <v>482</v>
      </c>
      <c r="Z56" s="49">
        <f t="shared" si="6"/>
        <v>1</v>
      </c>
    </row>
    <row r="57" ht="22.5" customHeight="1">
      <c r="B57" s="41" t="s">
        <v>303</v>
      </c>
      <c r="C57" s="43">
        <f t="array" ref="C57">IF(B57="","",_xlfn.XLOOKUP(B57,'Form responses 1'!$B$2:$B$2604,'Form responses 1'!$A$2:$A$2604,""))</f>
        <v>45580.40826</v>
      </c>
      <c r="D57" s="44" t="str">
        <f t="shared" si="3"/>
        <v>K/7/151024/1_45580.4082624074</v>
      </c>
      <c r="E57" s="44" t="str">
        <f t="array" ref="E57">IF(B57="","",_xlfn.XLOOKUP(B57,'Form responses 1'!$B$2:$B$2604,'Form responses 1'!$C$2:$C$2604,""))</f>
        <v>ALI LIUS / ANTHONY</v>
      </c>
      <c r="F57" s="44" t="str">
        <f t="array" ref="F57">IF(B57="","",_xlfn.XLOOKUP(B57,'Form responses 1'!$B$2:$B$2604,'Form responses 1'!$D$2:$D$2604,""))</f>
        <v>082279404843</v>
      </c>
      <c r="G57" s="44" t="str">
        <f t="array" ref="G57">IF(B57="","",_xlfn.XLOOKUP(B57,'Form responses 1'!$B$2:$B$2604,'Form responses 1'!$E$2:$E$2604,""))</f>
        <v>PERALIHAN JUAL BELI</v>
      </c>
      <c r="H57" s="44" t="str">
        <f t="array" ref="H57">IF(B57="","",_xlfn.XLOOKUP(B57,'Form responses 1'!$B$2:$B$2604,'Form responses 1'!$F$2:$F$2604,""))</f>
        <v>NIBEL 874/ BUMI KEDAMAIAN</v>
      </c>
      <c r="I57" s="44" t="str">
        <f t="array" ref="I57">IF(B57="","",_xlfn.XLOOKUP(B57,'Form responses 1'!$B$2:$B$2604,'Form responses 1'!$I$2:$I$2604,""))</f>
        <v>BUMI KEDAMAIAN</v>
      </c>
      <c r="J57" s="44" t="str">
        <f t="array" ref="J57">IF(B57="","",_xlfn.XLOOKUP(B57,'Form responses 1'!$B$2:$B$2604,'Form responses 1'!$G$2:$G$2604,""))</f>
        <v>Hananda</v>
      </c>
      <c r="K57" s="41" t="s">
        <v>2875</v>
      </c>
      <c r="L57" s="52">
        <f t="shared" si="7"/>
        <v>45580.69681</v>
      </c>
      <c r="M57" s="47" t="s">
        <v>4900</v>
      </c>
      <c r="N57" s="47" t="s">
        <v>4902</v>
      </c>
      <c r="O57" s="47" t="s">
        <v>4905</v>
      </c>
      <c r="P57" s="47" t="s">
        <v>4907</v>
      </c>
      <c r="Q57" s="49"/>
      <c r="R57" s="49"/>
      <c r="S57" s="49"/>
      <c r="T57" s="49"/>
      <c r="U57" s="49"/>
      <c r="V57" s="49"/>
      <c r="W57" s="41" t="s">
        <v>618</v>
      </c>
      <c r="X57" s="46">
        <f t="shared" si="5"/>
        <v>45581.67048</v>
      </c>
      <c r="Y57" s="50" t="s">
        <v>482</v>
      </c>
      <c r="Z57" s="49">
        <f t="shared" si="6"/>
        <v>4</v>
      </c>
      <c r="AA57" s="4" t="s">
        <v>4925</v>
      </c>
    </row>
    <row r="58" ht="22.5" customHeight="1">
      <c r="B58" s="41" t="s">
        <v>329</v>
      </c>
      <c r="C58" s="43">
        <f t="array" ref="C58">IF(B58="","",_xlfn.XLOOKUP(B58,'Form responses 1'!$B$2:$B$2604,'Form responses 1'!$A$2:$A$2604,""))</f>
        <v>45580.42576</v>
      </c>
      <c r="D58" s="44" t="str">
        <f t="shared" si="3"/>
        <v>K/12/151024/2_45580.4257604861</v>
      </c>
      <c r="E58" s="44" t="str">
        <f t="array" ref="E58">IF(B58="","",_xlfn.XLOOKUP(B58,'Form responses 1'!$B$2:$B$2604,'Form responses 1'!$C$2:$C$2604,""))</f>
        <v>Maryanti K/ Joko Setiawan</v>
      </c>
      <c r="F58" s="44" t="str">
        <f t="array" ref="F58">IF(B58="","",_xlfn.XLOOKUP(B58,'Form responses 1'!$B$2:$B$2604,'Form responses 1'!$D$2:$D$2604,""))</f>
        <v>+62 811-7212-168</v>
      </c>
      <c r="G58" s="44" t="str">
        <f t="array" ref="G58">IF(B58="","",_xlfn.XLOOKUP(B58,'Form responses 1'!$B$2:$B$2604,'Form responses 1'!$E$2:$E$2604,""))</f>
        <v>BN Jual Beli</v>
      </c>
      <c r="H58" s="44" t="str">
        <f t="array" ref="H58">IF(B58="","",_xlfn.XLOOKUP(B58,'Form responses 1'!$B$2:$B$2604,'Form responses 1'!$F$2:$F$2604,""))</f>
        <v>M. 288/ Kaliawi</v>
      </c>
      <c r="I58" s="44" t="str">
        <f t="array" ref="I58">IF(B58="","",_xlfn.XLOOKUP(B58,'Form responses 1'!$B$2:$B$2604,'Form responses 1'!$I$2:$I$2604,""))</f>
        <v>Kaliawi</v>
      </c>
      <c r="J58" s="44" t="str">
        <f t="array" ref="J58">IF(B58="","",_xlfn.XLOOKUP(B58,'Form responses 1'!$B$2:$B$2604,'Form responses 1'!$G$2:$G$2604,""))</f>
        <v>Rapita</v>
      </c>
      <c r="K58" s="41" t="s">
        <v>2875</v>
      </c>
      <c r="L58" s="52">
        <f t="shared" si="7"/>
        <v>45580.69695</v>
      </c>
      <c r="M58" s="47"/>
      <c r="N58" s="49"/>
      <c r="O58" s="49"/>
      <c r="P58" s="49"/>
      <c r="Q58" s="49"/>
      <c r="R58" s="49"/>
      <c r="S58" s="49"/>
      <c r="T58" s="49"/>
      <c r="U58" s="49"/>
      <c r="V58" s="49"/>
      <c r="W58" s="41" t="s">
        <v>618</v>
      </c>
      <c r="X58" s="46">
        <f t="shared" si="5"/>
        <v>45581.67048</v>
      </c>
      <c r="Y58" s="50" t="s">
        <v>482</v>
      </c>
      <c r="Z58" s="49">
        <f t="shared" si="6"/>
        <v>0</v>
      </c>
    </row>
    <row r="59" ht="22.5" customHeight="1">
      <c r="B59" s="41" t="s">
        <v>407</v>
      </c>
      <c r="C59" s="43">
        <f t="array" ref="C59">IF(B59="","",_xlfn.XLOOKUP(B59,'Form responses 1'!$B$2:$B$2604,'Form responses 1'!$A$2:$A$2604,""))</f>
        <v>45580.48416</v>
      </c>
      <c r="D59" s="44" t="str">
        <f t="shared" si="3"/>
        <v>K/29/151024/2_45580.4841620718</v>
      </c>
      <c r="E59" s="44" t="str">
        <f t="array" ref="E59">IF(B59="","",_xlfn.XLOOKUP(B59,'Form responses 1'!$B$2:$B$2604,'Form responses 1'!$C$2:$C$2604,""))</f>
        <v>Eka Sari T/ Desi Arita</v>
      </c>
      <c r="F59" s="44" t="str">
        <f t="array" ref="F59">IF(B59="","",_xlfn.XLOOKUP(B59,'Form responses 1'!$B$2:$B$2604,'Form responses 1'!$D$2:$D$2604,""))</f>
        <v>08953631114046</v>
      </c>
      <c r="G59" s="44" t="str">
        <f t="array" ref="G59">IF(B59="","",_xlfn.XLOOKUP(B59,'Form responses 1'!$B$2:$B$2604,'Form responses 1'!$E$2:$E$2604,""))</f>
        <v>Perubahan Hak</v>
      </c>
      <c r="H59" s="44" t="str">
        <f t="array" ref="H59">IF(B59="","",_xlfn.XLOOKUP(B59,'Form responses 1'!$B$2:$B$2604,'Form responses 1'!$F$2:$F$2604,""))</f>
        <v>Nibel. B. 2015/ Pinang Jaya</v>
      </c>
      <c r="I59" s="44" t="str">
        <f t="array" ref="I59">IF(B59="","",_xlfn.XLOOKUP(B59,'Form responses 1'!$B$2:$B$2604,'Form responses 1'!$I$2:$I$2604,""))</f>
        <v>Pinang Jaya</v>
      </c>
      <c r="J59" s="44" t="str">
        <f t="array" ref="J59">IF(B59="","",_xlfn.XLOOKUP(B59,'Form responses 1'!$B$2:$B$2604,'Form responses 1'!$G$2:$G$2604,""))</f>
        <v>Rapita</v>
      </c>
      <c r="K59" s="41" t="s">
        <v>2875</v>
      </c>
      <c r="L59" s="52">
        <f t="shared" si="7"/>
        <v>45580.69714</v>
      </c>
      <c r="M59" s="47" t="s">
        <v>5053</v>
      </c>
      <c r="N59" s="49"/>
      <c r="O59" s="49"/>
      <c r="P59" s="49"/>
      <c r="Q59" s="49"/>
      <c r="R59" s="49"/>
      <c r="S59" s="49"/>
      <c r="T59" s="49"/>
      <c r="U59" s="49"/>
      <c r="V59" s="49"/>
      <c r="W59" s="41" t="s">
        <v>618</v>
      </c>
      <c r="X59" s="46">
        <f t="shared" si="5"/>
        <v>45589.36099</v>
      </c>
      <c r="Y59" s="50" t="s">
        <v>482</v>
      </c>
      <c r="Z59" s="49">
        <f t="shared" si="6"/>
        <v>1</v>
      </c>
    </row>
    <row r="60" ht="22.5" customHeight="1">
      <c r="B60" s="41" t="s">
        <v>545</v>
      </c>
      <c r="C60" s="43">
        <f t="array" ref="C60">IF(B60="","",_xlfn.XLOOKUP(B60,'Form responses 1'!$B$2:$B$2604,'Form responses 1'!$A$2:$A$2604,""))</f>
        <v>45580.64102</v>
      </c>
      <c r="D60" s="44" t="str">
        <f t="shared" si="3"/>
        <v>L/58/151024/1_45580.6410198032</v>
      </c>
      <c r="E60" s="44" t="str">
        <f t="array" ref="E60">IF(B60="","",_xlfn.XLOOKUP(B60,'Form responses 1'!$B$2:$B$2604,'Form responses 1'!$C$2:$C$2604,""))</f>
        <v>SAMSUL BAHRI</v>
      </c>
      <c r="F60" s="44" t="str">
        <f t="array" ref="F60">IF(B60="","",_xlfn.XLOOKUP(B60,'Form responses 1'!$B$2:$B$2604,'Form responses 1'!$D$2:$D$2604,""))</f>
        <v>085366116470</v>
      </c>
      <c r="G60" s="44" t="str">
        <f t="array" ref="G60">IF(B60="","",_xlfn.XLOOKUP(B60,'Form responses 1'!$B$2:$B$2604,'Form responses 1'!$E$2:$E$2604,""))</f>
        <v>PENGHAPUSAN BPHTB</v>
      </c>
      <c r="H60" s="44" t="str">
        <f t="array" ref="H60">IF(B60="","",_xlfn.XLOOKUP(B60,'Form responses 1'!$B$2:$B$2604,'Form responses 1'!$F$2:$F$2604,""))</f>
        <v>HM 730/SAWAH LAMA</v>
      </c>
      <c r="I60" s="44" t="str">
        <f t="array" ref="I60">IF(B60="","",_xlfn.XLOOKUP(B60,'Form responses 1'!$B$2:$B$2604,'Form responses 1'!$I$2:$I$2604,""))</f>
        <v>SAWAH LAMA</v>
      </c>
      <c r="J60" s="44" t="str">
        <f t="array" ref="J60">IF(B60="","",_xlfn.XLOOKUP(B60,'Form responses 1'!$B$2:$B$2604,'Form responses 1'!$G$2:$G$2604,""))</f>
        <v>Deby</v>
      </c>
      <c r="K60" s="41" t="s">
        <v>2875</v>
      </c>
      <c r="L60" s="52">
        <f t="shared" si="7"/>
        <v>45580.69724</v>
      </c>
      <c r="M60" s="49"/>
      <c r="N60" s="49"/>
      <c r="O60" s="49"/>
      <c r="P60" s="49"/>
      <c r="Q60" s="49"/>
      <c r="R60" s="49"/>
      <c r="S60" s="49"/>
      <c r="T60" s="49"/>
      <c r="U60" s="49"/>
      <c r="V60" s="49"/>
      <c r="W60" s="41" t="s">
        <v>618</v>
      </c>
      <c r="X60" s="46">
        <f t="shared" si="5"/>
        <v>45582.55265</v>
      </c>
      <c r="Y60" s="50" t="s">
        <v>482</v>
      </c>
      <c r="Z60" s="49">
        <f t="shared" si="6"/>
        <v>0</v>
      </c>
    </row>
    <row r="61" ht="22.5" customHeight="1">
      <c r="B61" s="41" t="s">
        <v>551</v>
      </c>
      <c r="C61" s="43">
        <f t="array" ref="C61">IF(B61="","",_xlfn.XLOOKUP(B61,'Form responses 1'!$B$2:$B$2604,'Form responses 1'!$A$2:$A$2604,""))</f>
        <v>45580.64729</v>
      </c>
      <c r="D61" s="44" t="str">
        <f t="shared" si="3"/>
        <v>K/59/151024/1_45580.6472879977</v>
      </c>
      <c r="E61" s="44" t="str">
        <f t="array" ref="E61">IF(B61="","",_xlfn.XLOOKUP(B61,'Form responses 1'!$B$2:$B$2604,'Form responses 1'!$C$2:$C$2604,""))</f>
        <v>IRMA SILVIA/ I MADE RETUG</v>
      </c>
      <c r="F61" s="44" t="str">
        <f t="array" ref="F61">IF(B61="","",_xlfn.XLOOKUP(B61,'Form responses 1'!$B$2:$B$2604,'Form responses 1'!$D$2:$D$2604,""))</f>
        <v>085384797293</v>
      </c>
      <c r="G61" s="44" t="str">
        <f t="array" ref="G61">IF(B61="","",_xlfn.XLOOKUP(B61,'Form responses 1'!$B$2:$B$2604,'Form responses 1'!$E$2:$E$2604,""))</f>
        <v>PERALIHAN JUAL BELI </v>
      </c>
      <c r="H61" s="44" t="str">
        <f t="array" ref="H61">IF(B61="","",_xlfn.XLOOKUP(B61,'Form responses 1'!$B$2:$B$2604,'Form responses 1'!$F$2:$F$2604,""))</f>
        <v>B.522/BERINGIN JAYA </v>
      </c>
      <c r="I61" s="44" t="str">
        <f t="array" ref="I61">IF(B61="","",_xlfn.XLOOKUP(B61,'Form responses 1'!$B$2:$B$2604,'Form responses 1'!$I$2:$I$2604,""))</f>
        <v>ERINGIN JAYA </v>
      </c>
      <c r="J61" s="44" t="str">
        <f t="array" ref="J61">IF(B61="","",_xlfn.XLOOKUP(B61,'Form responses 1'!$B$2:$B$2604,'Form responses 1'!$G$2:$G$2604,""))</f>
        <v>Baynur</v>
      </c>
      <c r="K61" s="41" t="s">
        <v>2875</v>
      </c>
      <c r="L61" s="52">
        <f t="shared" si="7"/>
        <v>45580.69734</v>
      </c>
      <c r="M61" s="47" t="s">
        <v>4752</v>
      </c>
      <c r="N61" s="47" t="s">
        <v>5198</v>
      </c>
      <c r="O61" s="47" t="s">
        <v>5199</v>
      </c>
      <c r="P61" s="47" t="s">
        <v>5200</v>
      </c>
      <c r="Q61" s="47" t="s">
        <v>5201</v>
      </c>
      <c r="R61" s="49"/>
      <c r="S61" s="49"/>
      <c r="T61" s="49"/>
      <c r="U61" s="49"/>
      <c r="V61" s="49"/>
      <c r="W61" s="41" t="s">
        <v>470</v>
      </c>
      <c r="X61" s="46">
        <f t="shared" si="5"/>
        <v>45582.58224</v>
      </c>
      <c r="Y61" s="50" t="s">
        <v>482</v>
      </c>
      <c r="Z61" s="49">
        <f t="shared" si="6"/>
        <v>5</v>
      </c>
    </row>
    <row r="62" ht="22.5" customHeight="1">
      <c r="B62" s="41" t="s">
        <v>362</v>
      </c>
      <c r="C62" s="43">
        <f t="array" ref="C62">IF(B62="","",_xlfn.XLOOKUP(B62,'Form responses 1'!$B$2:$B$2604,'Form responses 1'!$A$2:$A$2604,""))</f>
        <v>45580.45503</v>
      </c>
      <c r="D62" s="44" t="str">
        <f t="shared" si="3"/>
        <v>L/20/151024/1_45580.4550278009</v>
      </c>
      <c r="E62" s="44" t="str">
        <f t="array" ref="E62">IF(B62="","",_xlfn.XLOOKUP(B62,'Form responses 1'!$B$2:$B$2604,'Form responses 1'!$C$2:$C$2604,""))</f>
        <v>BUDY RAHARJO</v>
      </c>
      <c r="F62" s="44" t="str">
        <f t="array" ref="F62">IF(B62="","",_xlfn.XLOOKUP(B62,'Form responses 1'!$B$2:$B$2604,'Form responses 1'!$D$2:$D$2604,""))</f>
        <v>082372872024</v>
      </c>
      <c r="G62" s="44" t="str">
        <f t="array" ref="G62">IF(B62="","",_xlfn.XLOOKUP(B62,'Form responses 1'!$B$2:$B$2604,'Form responses 1'!$E$2:$E$2604,""))</f>
        <v>GANTI NAMA</v>
      </c>
      <c r="H62" s="44" t="str">
        <f t="array" ref="H62">IF(B62="","",_xlfn.XLOOKUP(B62,'Form responses 1'!$B$2:$B$2604,'Form responses 1'!$F$2:$F$2604,""))</f>
        <v>NIB 0801000023950/SUKARAME</v>
      </c>
      <c r="I62" s="44" t="str">
        <f t="array" ref="I62">IF(B62="","",_xlfn.XLOOKUP(B62,'Form responses 1'!$B$2:$B$2604,'Form responses 1'!$I$2:$I$2604,""))</f>
        <v>SUKARAME</v>
      </c>
      <c r="J62" s="44" t="str">
        <f t="array" ref="J62">IF(B62="","",_xlfn.XLOOKUP(B62,'Form responses 1'!$B$2:$B$2604,'Form responses 1'!$G$2:$G$2604,""))</f>
        <v>Deby</v>
      </c>
      <c r="K62" s="41" t="s">
        <v>2875</v>
      </c>
      <c r="L62" s="52">
        <f t="shared" si="7"/>
        <v>45580.69754</v>
      </c>
      <c r="M62" s="49"/>
      <c r="N62" s="49"/>
      <c r="O62" s="49"/>
      <c r="P62" s="49"/>
      <c r="Q62" s="49"/>
      <c r="R62" s="49"/>
      <c r="S62" s="49"/>
      <c r="T62" s="49"/>
      <c r="U62" s="49"/>
      <c r="V62" s="49"/>
      <c r="W62" s="41" t="s">
        <v>618</v>
      </c>
      <c r="X62" s="46">
        <f t="shared" si="5"/>
        <v>45582.5442</v>
      </c>
      <c r="Y62" s="50" t="s">
        <v>482</v>
      </c>
      <c r="Z62" s="49">
        <f t="shared" si="6"/>
        <v>0</v>
      </c>
    </row>
    <row r="63" ht="22.5" customHeight="1">
      <c r="B63" s="41" t="s">
        <v>254</v>
      </c>
      <c r="C63" s="43">
        <f t="array" ref="C63">IF(B63="","",_xlfn.XLOOKUP(B63,'Form responses 1'!$B$2:$B$2604,'Form responses 1'!$A$2:$A$2604,""))</f>
        <v>45580.36856</v>
      </c>
      <c r="D63" s="44" t="str">
        <f t="shared" si="3"/>
        <v>K/46/151024/2_45580.3685583565</v>
      </c>
      <c r="E63" s="44" t="str">
        <f t="array" ref="E63">IF(B63="","",_xlfn.XLOOKUP(B63,'Form responses 1'!$B$2:$B$2604,'Form responses 1'!$C$2:$C$2604,""))</f>
        <v>ABDUL GANI/ SUHARI YANTI</v>
      </c>
      <c r="F63" s="44" t="str">
        <f t="array" ref="F63">IF(B63="","",_xlfn.XLOOKUP(B63,'Form responses 1'!$B$2:$B$2604,'Form responses 1'!$D$2:$D$2604,""))</f>
        <v>+62 895-6401-98434</v>
      </c>
      <c r="G63" s="44" t="str">
        <f t="array" ref="G63">IF(B63="","",_xlfn.XLOOKUP(B63,'Form responses 1'!$B$2:$B$2604,'Form responses 1'!$E$2:$E$2604,""))</f>
        <v>PTPGT</v>
      </c>
      <c r="H63" s="44" t="str">
        <f t="array" ref="H63">IF(B63="","",_xlfn.XLOOKUP(B63,'Form responses 1'!$B$2:$B$2604,'Form responses 1'!$F$2:$F$2604,""))</f>
        <v>M. 534/ SUMBEREJO SEJAHTERA</v>
      </c>
      <c r="I63" s="44" t="str">
        <f t="array" ref="I63">IF(B63="","",_xlfn.XLOOKUP(B63,'Form responses 1'!$B$2:$B$2604,'Form responses 1'!$I$2:$I$2604,""))</f>
        <v>SUMBEREJO SEJAHTERA</v>
      </c>
      <c r="J63" s="44" t="str">
        <f t="array" ref="J63">IF(B63="","",_xlfn.XLOOKUP(B63,'Form responses 1'!$B$2:$B$2604,'Form responses 1'!$G$2:$G$2604,""))</f>
        <v>Rapita</v>
      </c>
      <c r="K63" s="41" t="s">
        <v>587</v>
      </c>
      <c r="L63" s="52">
        <f t="shared" si="7"/>
        <v>45580.70558</v>
      </c>
      <c r="M63" s="47" t="s">
        <v>5202</v>
      </c>
      <c r="N63" s="47" t="s">
        <v>1156</v>
      </c>
      <c r="O63" s="49"/>
      <c r="P63" s="49"/>
      <c r="Q63" s="49"/>
      <c r="R63" s="49"/>
      <c r="S63" s="49"/>
      <c r="T63" s="49"/>
      <c r="U63" s="49"/>
      <c r="V63" s="49"/>
      <c r="W63" s="41" t="s">
        <v>618</v>
      </c>
      <c r="X63" s="46">
        <f t="shared" si="5"/>
        <v>45589.4187</v>
      </c>
      <c r="Y63" s="50" t="s">
        <v>482</v>
      </c>
      <c r="Z63" s="49">
        <f t="shared" si="6"/>
        <v>2</v>
      </c>
    </row>
    <row r="64" ht="22.5" customHeight="1">
      <c r="B64" s="41" t="s">
        <v>541</v>
      </c>
      <c r="C64" s="43">
        <f t="array" ref="C64">IF(B64="","",_xlfn.XLOOKUP(B64,'Form responses 1'!$B$2:$B$2604,'Form responses 1'!$A$2:$A$2604,""))</f>
        <v>45580.63574</v>
      </c>
      <c r="D64" s="44" t="str">
        <f t="shared" si="3"/>
        <v>K/57/151024/3_45580.6357410301</v>
      </c>
      <c r="E64" s="44" t="str">
        <f t="array" ref="E64">IF(B64="","",_xlfn.XLOOKUP(B64,'Form responses 1'!$B$2:$B$2604,'Form responses 1'!$C$2:$C$2604,""))</f>
        <v>Mahfud/ Abaston</v>
      </c>
      <c r="F64" s="44" t="str">
        <f t="array" ref="F64">IF(B64="","",_xlfn.XLOOKUP(B64,'Form responses 1'!$B$2:$B$2604,'Form responses 1'!$D$2:$D$2604,""))</f>
        <v>085709139403</v>
      </c>
      <c r="G64" s="44" t="str">
        <f t="array" ref="G64">IF(B64="","",_xlfn.XLOOKUP(B64,'Form responses 1'!$B$2:$B$2604,'Form responses 1'!$E$2:$E$2604,""))</f>
        <v>Roya</v>
      </c>
      <c r="H64" s="44" t="str">
        <f t="array" ref="H64">IF(B64="","",_xlfn.XLOOKUP(B64,'Form responses 1'!$B$2:$B$2604,'Form responses 1'!$F$2:$F$2604,""))</f>
        <v>M. 590/ Pematang Wangi; 382/ Tanjung Senang dahulu</v>
      </c>
      <c r="I64" s="44" t="str">
        <f t="array" ref="I64">IF(B64="","",_xlfn.XLOOKUP(B64,'Form responses 1'!$B$2:$B$2604,'Form responses 1'!$I$2:$I$2604,""))</f>
        <v>Pematang Wangi</v>
      </c>
      <c r="J64" s="44" t="str">
        <f t="array" ref="J64">IF(B64="","",_xlfn.XLOOKUP(B64,'Form responses 1'!$B$2:$B$2604,'Form responses 1'!$G$2:$G$2604,""))</f>
        <v>Rapita</v>
      </c>
      <c r="K64" s="41" t="s">
        <v>587</v>
      </c>
      <c r="L64" s="52">
        <f t="shared" si="7"/>
        <v>45580.70593</v>
      </c>
      <c r="M64" s="47" t="s">
        <v>5203</v>
      </c>
      <c r="N64" s="49"/>
      <c r="O64" s="49"/>
      <c r="P64" s="49"/>
      <c r="Q64" s="49"/>
      <c r="R64" s="49"/>
      <c r="S64" s="49"/>
      <c r="T64" s="49"/>
      <c r="U64" s="49"/>
      <c r="V64" s="49"/>
      <c r="W64" s="41" t="s">
        <v>618</v>
      </c>
      <c r="X64" s="46">
        <f t="shared" si="5"/>
        <v>45582.63369</v>
      </c>
      <c r="Y64" s="50" t="s">
        <v>482</v>
      </c>
      <c r="Z64" s="49">
        <f t="shared" si="6"/>
        <v>1</v>
      </c>
    </row>
    <row r="65" ht="22.5" customHeight="1">
      <c r="B65" s="41" t="s">
        <v>531</v>
      </c>
      <c r="C65" s="43">
        <f t="array" ref="C65">IF(B65="","",_xlfn.XLOOKUP(B65,'Form responses 1'!$B$2:$B$2604,'Form responses 1'!$A$2:$A$2604,""))</f>
        <v>45580.63241</v>
      </c>
      <c r="D65" s="44" t="str">
        <f t="shared" si="3"/>
        <v>K/55/151024/1_45580.6324097338</v>
      </c>
      <c r="E65" s="44" t="str">
        <f t="array" ref="E65">IF(B65="","",_xlfn.XLOOKUP(B65,'Form responses 1'!$B$2:$B$2604,'Form responses 1'!$C$2:$C$2604,""))</f>
        <v>Mahfud/ Tozien</v>
      </c>
      <c r="F65" s="44" t="str">
        <f t="array" ref="F65">IF(B65="","",_xlfn.XLOOKUP(B65,'Form responses 1'!$B$2:$B$2604,'Form responses 1'!$D$2:$D$2604,""))</f>
        <v>085709139403</v>
      </c>
      <c r="G65" s="44" t="str">
        <f t="array" ref="G65">IF(B65="","",_xlfn.XLOOKUP(B65,'Form responses 1'!$B$2:$B$2604,'Form responses 1'!$E$2:$E$2604,""))</f>
        <v>BN Jual Beli</v>
      </c>
      <c r="H65" s="44" t="str">
        <f t="array" ref="H65">IF(B65="","",_xlfn.XLOOKUP(B65,'Form responses 1'!$B$2:$B$2604,'Form responses 1'!$F$2:$F$2604,""))</f>
        <v>M. 1402/ Tanjung Raya</v>
      </c>
      <c r="I65" s="44" t="str">
        <f t="array" ref="I65">IF(B65="","",_xlfn.XLOOKUP(B65,'Form responses 1'!$B$2:$B$2604,'Form responses 1'!$I$2:$I$2604,""))</f>
        <v>Tanjung Raya</v>
      </c>
      <c r="J65" s="44" t="str">
        <f t="array" ref="J65">IF(B65="","",_xlfn.XLOOKUP(B65,'Form responses 1'!$B$2:$B$2604,'Form responses 1'!$G$2:$G$2604,""))</f>
        <v>Rapita</v>
      </c>
      <c r="K65" s="41" t="s">
        <v>587</v>
      </c>
      <c r="L65" s="52">
        <f t="shared" si="7"/>
        <v>45580.70609</v>
      </c>
      <c r="M65" s="47" t="s">
        <v>5204</v>
      </c>
      <c r="N65" s="47" t="s">
        <v>5205</v>
      </c>
      <c r="O65" s="47" t="s">
        <v>1156</v>
      </c>
      <c r="P65" s="49"/>
      <c r="Q65" s="49"/>
      <c r="R65" s="49"/>
      <c r="S65" s="49"/>
      <c r="T65" s="49"/>
      <c r="U65" s="49"/>
      <c r="V65" s="49"/>
      <c r="W65" s="41" t="s">
        <v>618</v>
      </c>
      <c r="X65" s="46">
        <f t="shared" si="5"/>
        <v>45589.41917</v>
      </c>
      <c r="Y65" s="50" t="s">
        <v>482</v>
      </c>
      <c r="Z65" s="49">
        <f t="shared" si="6"/>
        <v>3</v>
      </c>
    </row>
    <row r="66" ht="22.5" customHeight="1">
      <c r="B66" s="41" t="s">
        <v>310</v>
      </c>
      <c r="C66" s="43">
        <f t="array" ref="C66">IF(B66="","",_xlfn.XLOOKUP(B66,'Form responses 1'!$B$2:$B$2604,'Form responses 1'!$A$2:$A$2604,""))</f>
        <v>45580.41234</v>
      </c>
      <c r="D66" s="44" t="str">
        <f t="shared" si="3"/>
        <v>K/6/151024/1_45580.412339919</v>
      </c>
      <c r="E66" s="44" t="str">
        <f t="array" ref="E66">IF(B66="","",_xlfn.XLOOKUP(B66,'Form responses 1'!$B$2:$B$2604,'Form responses 1'!$C$2:$C$2604,""))</f>
        <v>Ilanur/ Doni Kris M</v>
      </c>
      <c r="F66" s="44" t="str">
        <f t="array" ref="F66">IF(B66="","",_xlfn.XLOOKUP(B66,'Form responses 1'!$B$2:$B$2604,'Form responses 1'!$D$2:$D$2604,""))</f>
        <v>08979122178</v>
      </c>
      <c r="G66" s="44" t="str">
        <f t="array" ref="G66">IF(B66="","",_xlfn.XLOOKUP(B66,'Form responses 1'!$B$2:$B$2604,'Form responses 1'!$E$2:$E$2604,""))</f>
        <v>BN Jual Beli</v>
      </c>
      <c r="H66" s="44" t="str">
        <f t="array" ref="H66">IF(B66="","",_xlfn.XLOOKUP(B66,'Form responses 1'!$B$2:$B$2604,'Form responses 1'!$F$2:$F$2604,""))</f>
        <v>M. 1931/ Campang Jaya</v>
      </c>
      <c r="I66" s="44" t="str">
        <f t="array" ref="I66">IF(B66="","",_xlfn.XLOOKUP(B66,'Form responses 1'!$B$2:$B$2604,'Form responses 1'!$I$2:$I$2604,""))</f>
        <v>Campang Jaya</v>
      </c>
      <c r="J66" s="44" t="str">
        <f t="array" ref="J66">IF(B66="","",_xlfn.XLOOKUP(B66,'Form responses 1'!$B$2:$B$2604,'Form responses 1'!$G$2:$G$2604,""))</f>
        <v>Rapita</v>
      </c>
      <c r="K66" s="41" t="s">
        <v>587</v>
      </c>
      <c r="L66" s="52">
        <f t="shared" si="7"/>
        <v>45580.7063</v>
      </c>
      <c r="M66" s="47" t="s">
        <v>5206</v>
      </c>
      <c r="N66" s="47" t="s">
        <v>1156</v>
      </c>
      <c r="O66" s="49"/>
      <c r="P66" s="49"/>
      <c r="Q66" s="49"/>
      <c r="R66" s="49"/>
      <c r="S66" s="49"/>
      <c r="T66" s="49"/>
      <c r="U66" s="49"/>
      <c r="V66" s="49"/>
      <c r="W66" s="41" t="s">
        <v>618</v>
      </c>
      <c r="X66" s="46">
        <f t="shared" si="5"/>
        <v>45589.4179</v>
      </c>
      <c r="Y66" s="50" t="s">
        <v>482</v>
      </c>
      <c r="Z66" s="49">
        <f t="shared" si="6"/>
        <v>2</v>
      </c>
    </row>
    <row r="67" ht="22.5" customHeight="1">
      <c r="B67" s="41" t="s">
        <v>485</v>
      </c>
      <c r="C67" s="43">
        <f t="array" ref="C67">IF(B67="","",_xlfn.XLOOKUP(B67,'Form responses 1'!$B$2:$B$2604,'Form responses 1'!$A$2:$A$2604,""))</f>
        <v>45580.59693</v>
      </c>
      <c r="D67" s="44" t="str">
        <f t="shared" si="3"/>
        <v>K/42/151024/3_45580.5969326505</v>
      </c>
      <c r="E67" s="44" t="str">
        <f t="array" ref="E67">IF(B67="","",_xlfn.XLOOKUP(B67,'Form responses 1'!$B$2:$B$2604,'Form responses 1'!$C$2:$C$2604,""))</f>
        <v>Fahrul Rozi/ Winarni</v>
      </c>
      <c r="F67" s="44" t="str">
        <f t="array" ref="F67">IF(B67="","",_xlfn.XLOOKUP(B67,'Form responses 1'!$B$2:$B$2604,'Form responses 1'!$D$2:$D$2604,""))</f>
        <v>+62 821-7585-0002</v>
      </c>
      <c r="G67" s="44" t="str">
        <f t="array" ref="G67">IF(B67="","",_xlfn.XLOOKUP(B67,'Form responses 1'!$B$2:$B$2604,'Form responses 1'!$E$2:$E$2604,""))</f>
        <v>BN Kewarisan</v>
      </c>
      <c r="H67" s="44" t="str">
        <f t="array" ref="H67">IF(B67="","",_xlfn.XLOOKUP(B67,'Form responses 1'!$B$2:$B$2604,'Form responses 1'!$F$2:$F$2604,""))</f>
        <v>M. 2589/ Kota Baru</v>
      </c>
      <c r="I67" s="44" t="str">
        <f t="array" ref="I67">IF(B67="","",_xlfn.XLOOKUP(B67,'Form responses 1'!$B$2:$B$2604,'Form responses 1'!$I$2:$I$2604,""))</f>
        <v>Kota Baru</v>
      </c>
      <c r="J67" s="44" t="str">
        <f t="array" ref="J67">IF(B67="","",_xlfn.XLOOKUP(B67,'Form responses 1'!$B$2:$B$2604,'Form responses 1'!$G$2:$G$2604,""))</f>
        <v>Rapita</v>
      </c>
      <c r="K67" s="41" t="s">
        <v>587</v>
      </c>
      <c r="L67" s="52">
        <f t="shared" si="7"/>
        <v>45580.70647</v>
      </c>
      <c r="M67" s="47" t="s">
        <v>5207</v>
      </c>
      <c r="N67" s="47" t="s">
        <v>5208</v>
      </c>
      <c r="O67" s="47" t="s">
        <v>5209</v>
      </c>
      <c r="P67" s="47" t="s">
        <v>5210</v>
      </c>
      <c r="Q67" s="47" t="s">
        <v>5211</v>
      </c>
      <c r="R67" s="47" t="s">
        <v>5212</v>
      </c>
      <c r="S67" s="47" t="s">
        <v>5213</v>
      </c>
      <c r="T67" s="47" t="s">
        <v>470</v>
      </c>
      <c r="U67" s="47" t="s">
        <v>5214</v>
      </c>
      <c r="V67" s="49"/>
      <c r="W67" s="41" t="s">
        <v>618</v>
      </c>
      <c r="X67" s="46">
        <f t="shared" si="5"/>
        <v>45610.60405</v>
      </c>
      <c r="Y67" s="50" t="s">
        <v>482</v>
      </c>
      <c r="Z67" s="49">
        <f t="shared" si="6"/>
        <v>9</v>
      </c>
      <c r="AB67" s="4" t="s">
        <v>5215</v>
      </c>
    </row>
    <row r="68" ht="22.5" customHeight="1">
      <c r="B68" s="41" t="s">
        <v>389</v>
      </c>
      <c r="C68" s="43">
        <f t="array" ref="C68">IF(B68="","",_xlfn.XLOOKUP(B68,'Form responses 1'!$B$2:$B$2604,'Form responses 1'!$A$2:$A$2604,""))</f>
        <v>45580.4771</v>
      </c>
      <c r="D68" s="44" t="str">
        <f t="shared" si="3"/>
        <v>K/22/151024/2_45580.4770962153</v>
      </c>
      <c r="E68" s="44" t="str">
        <f t="array" ref="E68">IF(B68="","",_xlfn.XLOOKUP(B68,'Form responses 1'!$B$2:$B$2604,'Form responses 1'!$C$2:$C$2604,""))</f>
        <v>RAHMADIYANTI/ RUDIYAN</v>
      </c>
      <c r="F68" s="44" t="str">
        <f t="array" ref="F68">IF(B68="","",_xlfn.XLOOKUP(B68,'Form responses 1'!$B$2:$B$2604,'Form responses 1'!$D$2:$D$2604,""))</f>
        <v>+62 821-8209-0051</v>
      </c>
      <c r="G68" s="44" t="str">
        <f t="array" ref="G68">IF(B68="","",_xlfn.XLOOKUP(B68,'Form responses 1'!$B$2:$B$2604,'Form responses 1'!$E$2:$E$2604,""))</f>
        <v>BN JUAL BELI</v>
      </c>
      <c r="H68" s="44" t="str">
        <f t="array" ref="H68">IF(B68="","",_xlfn.XLOOKUP(B68,'Form responses 1'!$B$2:$B$2604,'Form responses 1'!$F$2:$F$2604,""))</f>
        <v>NIBEL 3118/ SEGALA MIDER</v>
      </c>
      <c r="I68" s="44" t="str">
        <f t="array" ref="I68">IF(B68="","",_xlfn.XLOOKUP(B68,'Form responses 1'!$B$2:$B$2604,'Form responses 1'!$I$2:$I$2604,""))</f>
        <v>SEGALA MIDER</v>
      </c>
      <c r="J68" s="44" t="str">
        <f t="array" ref="J68">IF(B68="","",_xlfn.XLOOKUP(B68,'Form responses 1'!$B$2:$B$2604,'Form responses 1'!$G$2:$G$2604,""))</f>
        <v>Hananda</v>
      </c>
      <c r="K68" s="41" t="s">
        <v>587</v>
      </c>
      <c r="L68" s="52">
        <f t="shared" si="7"/>
        <v>45580.70675</v>
      </c>
      <c r="M68" s="47" t="s">
        <v>5216</v>
      </c>
      <c r="N68" s="49"/>
      <c r="O68" s="49"/>
      <c r="P68" s="49"/>
      <c r="Q68" s="49"/>
      <c r="R68" s="49"/>
      <c r="S68" s="49"/>
      <c r="T68" s="49"/>
      <c r="U68" s="49"/>
      <c r="V68" s="49"/>
      <c r="W68" s="41" t="s">
        <v>618</v>
      </c>
      <c r="X68" s="46">
        <f t="shared" si="5"/>
        <v>45582.63369</v>
      </c>
      <c r="Y68" s="50" t="s">
        <v>482</v>
      </c>
      <c r="Z68" s="49">
        <f t="shared" si="6"/>
        <v>1</v>
      </c>
    </row>
    <row r="69" ht="22.5" customHeight="1">
      <c r="B69" s="41" t="s">
        <v>273</v>
      </c>
      <c r="C69" s="43">
        <f t="array" ref="C69">IF(B69="","",_xlfn.XLOOKUP(B69,'Form responses 1'!$B$2:$B$2604,'Form responses 1'!$A$2:$A$2604,""))</f>
        <v>45580.3947</v>
      </c>
      <c r="D69" s="44" t="str">
        <f t="shared" si="3"/>
        <v>K/3/151024/1_45580.394699537</v>
      </c>
      <c r="E69" s="44" t="str">
        <f t="array" ref="E69">IF(B69="","",_xlfn.XLOOKUP(B69,'Form responses 1'!$B$2:$B$2604,'Form responses 1'!$C$2:$C$2604,""))</f>
        <v>EVA SURIANI / YOSEF OKTOROZI</v>
      </c>
      <c r="F69" s="44" t="str">
        <f t="array" ref="F69">IF(B69="","",_xlfn.XLOOKUP(B69,'Form responses 1'!$B$2:$B$2604,'Form responses 1'!$D$2:$D$2604,""))</f>
        <v>+62 811-724-041</v>
      </c>
      <c r="G69" s="44" t="str">
        <f t="array" ref="G69">IF(B69="","",_xlfn.XLOOKUP(B69,'Form responses 1'!$B$2:$B$2604,'Form responses 1'!$E$2:$E$2604,""))</f>
        <v>PERALIHAN JUAL BELI</v>
      </c>
      <c r="H69" s="44" t="str">
        <f t="array" ref="H69">IF(B69="","",_xlfn.XLOOKUP(B69,'Form responses 1'!$B$2:$B$2604,'Form responses 1'!$F$2:$F$2604,""))</f>
        <v>B. 613/ SUMUR PUTRI</v>
      </c>
      <c r="I69" s="44" t="str">
        <f t="array" ref="I69">IF(B69="","",_xlfn.XLOOKUP(B69,'Form responses 1'!$B$2:$B$2604,'Form responses 1'!$I$2:$I$2604,""))</f>
        <v>SUMUR PUTRI</v>
      </c>
      <c r="J69" s="44" t="str">
        <f t="array" ref="J69">IF(B69="","",_xlfn.XLOOKUP(B69,'Form responses 1'!$B$2:$B$2604,'Form responses 1'!$G$2:$G$2604,""))</f>
        <v>Hananda</v>
      </c>
      <c r="K69" s="41" t="s">
        <v>587</v>
      </c>
      <c r="L69" s="52">
        <f t="shared" si="7"/>
        <v>45580.70995</v>
      </c>
      <c r="M69" s="47" t="s">
        <v>5217</v>
      </c>
      <c r="N69" s="47" t="s">
        <v>5218</v>
      </c>
      <c r="O69" s="47" t="s">
        <v>1156</v>
      </c>
      <c r="P69" s="49"/>
      <c r="Q69" s="49"/>
      <c r="R69" s="49"/>
      <c r="S69" s="49"/>
      <c r="T69" s="49"/>
      <c r="U69" s="49"/>
      <c r="V69" s="49"/>
      <c r="W69" s="41" t="s">
        <v>618</v>
      </c>
      <c r="X69" s="46">
        <f t="shared" si="5"/>
        <v>45589.42034</v>
      </c>
      <c r="Y69" s="50" t="s">
        <v>482</v>
      </c>
      <c r="Z69" s="49">
        <f t="shared" si="6"/>
        <v>3</v>
      </c>
    </row>
    <row r="70" ht="22.5" customHeight="1">
      <c r="B70" s="41" t="s">
        <v>495</v>
      </c>
      <c r="C70" s="43">
        <f t="array" ref="C70">IF(B70="","",_xlfn.XLOOKUP(B70,'Form responses 1'!$B$2:$B$2604,'Form responses 1'!$A$2:$A$2604,""))</f>
        <v>45580.60425</v>
      </c>
      <c r="D70" s="44" t="str">
        <f t="shared" si="3"/>
        <v>K/48/151024/1_45580.6042476505</v>
      </c>
      <c r="E70" s="44" t="str">
        <f t="array" ref="E70">IF(B70="","",_xlfn.XLOOKUP(B70,'Form responses 1'!$B$2:$B$2604,'Form responses 1'!$C$2:$C$2604,""))</f>
        <v>ROHAYATI/SUJONO PARYONO</v>
      </c>
      <c r="F70" s="44" t="str">
        <f t="array" ref="F70">IF(B70="","",_xlfn.XLOOKUP(B70,'Form responses 1'!$B$2:$B$2604,'Form responses 1'!$D$2:$D$2604,""))</f>
        <v>081363461868</v>
      </c>
      <c r="G70" s="44" t="str">
        <f t="array" ref="G70">IF(B70="","",_xlfn.XLOOKUP(B70,'Form responses 1'!$B$2:$B$2604,'Form responses 1'!$E$2:$E$2604,""))</f>
        <v>PERALIHAN JUAL BELI</v>
      </c>
      <c r="H70" s="44" t="str">
        <f t="array" ref="H70">IF(B70="","",_xlfn.XLOOKUP(B70,'Form responses 1'!$B$2:$B$2604,'Form responses 1'!$F$2:$F$2604,""))</f>
        <v>M.550/KORPRI RAYA-SEKARANG;M.10135/SUKARAME U-DAHULU</v>
      </c>
      <c r="I70" s="44" t="str">
        <f t="array" ref="I70">IF(B70="","",_xlfn.XLOOKUP(B70,'Form responses 1'!$B$2:$B$2604,'Form responses 1'!$I$2:$I$2604,""))</f>
        <v>KORPRI RAYA</v>
      </c>
      <c r="J70" s="44" t="str">
        <f t="array" ref="J70">IF(B70="","",_xlfn.XLOOKUP(B70,'Form responses 1'!$B$2:$B$2604,'Form responses 1'!$G$2:$G$2604,""))</f>
        <v>Baynur</v>
      </c>
      <c r="K70" s="41" t="s">
        <v>587</v>
      </c>
      <c r="L70" s="52">
        <f t="shared" si="7"/>
        <v>45580.71021</v>
      </c>
      <c r="M70" s="47" t="s">
        <v>5219</v>
      </c>
      <c r="N70" s="47" t="s">
        <v>5220</v>
      </c>
      <c r="O70" s="47" t="s">
        <v>5221</v>
      </c>
      <c r="P70" s="49"/>
      <c r="Q70" s="49"/>
      <c r="R70" s="49"/>
      <c r="S70" s="49"/>
      <c r="T70" s="49"/>
      <c r="U70" s="49"/>
      <c r="V70" s="49"/>
      <c r="W70" s="41" t="s">
        <v>618</v>
      </c>
      <c r="X70" s="46">
        <f t="shared" si="5"/>
        <v>45589.72063</v>
      </c>
      <c r="Y70" s="50" t="s">
        <v>482</v>
      </c>
      <c r="Z70" s="49">
        <f t="shared" si="6"/>
        <v>3</v>
      </c>
    </row>
    <row r="71" ht="22.5" customHeight="1">
      <c r="B71" s="41" t="s">
        <v>413</v>
      </c>
      <c r="C71" s="43">
        <f t="array" ref="C71">IF(B71="","",_xlfn.XLOOKUP(B71,'Form responses 1'!$B$2:$B$2604,'Form responses 1'!$A$2:$A$2604,""))</f>
        <v>45580.54481</v>
      </c>
      <c r="D71" s="44" t="str">
        <f t="shared" si="3"/>
        <v>K/30/151024/1_45580.5448093981</v>
      </c>
      <c r="E71" s="44" t="str">
        <f t="array" ref="E71">IF(B71="","",_xlfn.XLOOKUP(B71,'Form responses 1'!$B$2:$B$2604,'Form responses 1'!$C$2:$C$2604,""))</f>
        <v>NENY SWEET MIDEARTI/NINA ZUSANTI</v>
      </c>
      <c r="F71" s="44" t="str">
        <f t="array" ref="F71">IF(B71="","",_xlfn.XLOOKUP(B71,'Form responses 1'!$B$2:$B$2604,'Form responses 1'!$D$2:$D$2604,""))</f>
        <v>0811796717</v>
      </c>
      <c r="G71" s="44" t="str">
        <f t="array" ref="G71">IF(B71="","",_xlfn.XLOOKUP(B71,'Form responses 1'!$B$2:$B$2604,'Form responses 1'!$E$2:$E$2604,""))</f>
        <v>HAPUS BPHTB</v>
      </c>
      <c r="H71" s="44" t="str">
        <f t="array" ref="H71">IF(B71="","",_xlfn.XLOOKUP(B71,'Form responses 1'!$B$2:$B$2604,'Form responses 1'!$F$2:$F$2604,""))</f>
        <v>M.3814/SUKADANAHAM</v>
      </c>
      <c r="I71" s="44" t="str">
        <f t="array" ref="I71">IF(B71="","",_xlfn.XLOOKUP(B71,'Form responses 1'!$B$2:$B$2604,'Form responses 1'!$I$2:$I$2604,""))</f>
        <v>SUKADANAHAM</v>
      </c>
      <c r="J71" s="44" t="str">
        <f t="array" ref="J71">IF(B71="","",_xlfn.XLOOKUP(B71,'Form responses 1'!$B$2:$B$2604,'Form responses 1'!$G$2:$G$2604,""))</f>
        <v>Baynur</v>
      </c>
      <c r="K71" s="41" t="s">
        <v>587</v>
      </c>
      <c r="L71" s="52">
        <f t="shared" si="7"/>
        <v>45580.71035</v>
      </c>
      <c r="M71" s="47" t="s">
        <v>5222</v>
      </c>
      <c r="N71" s="54" t="s">
        <v>5223</v>
      </c>
      <c r="O71" s="47" t="s">
        <v>1156</v>
      </c>
      <c r="P71" s="49"/>
      <c r="Q71" s="49"/>
      <c r="R71" s="49"/>
      <c r="S71" s="49"/>
      <c r="T71" s="49"/>
      <c r="U71" s="49"/>
      <c r="V71" s="49"/>
      <c r="W71" s="41" t="s">
        <v>618</v>
      </c>
      <c r="X71" s="46">
        <f t="shared" si="5"/>
        <v>45589.4207</v>
      </c>
      <c r="Y71" s="50" t="s">
        <v>482</v>
      </c>
      <c r="Z71" s="49">
        <f t="shared" si="6"/>
        <v>3</v>
      </c>
    </row>
    <row r="72" ht="22.5" customHeight="1">
      <c r="B72" s="41" t="s">
        <v>418</v>
      </c>
      <c r="C72" s="43">
        <f t="array" ref="C72">IF(B72="","",_xlfn.XLOOKUP(B72,'Form responses 1'!$B$2:$B$2604,'Form responses 1'!$A$2:$A$2604,""))</f>
        <v>45580.56999</v>
      </c>
      <c r="D72" s="44" t="str">
        <f t="shared" si="3"/>
        <v>L/31/151024/1_45580.569989456</v>
      </c>
      <c r="E72" s="44" t="str">
        <f t="array" ref="E72">IF(B72="","",_xlfn.XLOOKUP(B72,'Form responses 1'!$B$2:$B$2604,'Form responses 1'!$C$2:$C$2604,""))</f>
        <v>HERLINA SARI</v>
      </c>
      <c r="F72" s="44" t="str">
        <f t="array" ref="F72">IF(B72="","",_xlfn.XLOOKUP(B72,'Form responses 1'!$B$2:$B$2604,'Form responses 1'!$D$2:$D$2604,""))</f>
        <v>085357550232</v>
      </c>
      <c r="G72" s="44" t="str">
        <f t="array" ref="G72">IF(B72="","",_xlfn.XLOOKUP(B72,'Form responses 1'!$B$2:$B$2604,'Form responses 1'!$E$2:$E$2604,""))</f>
        <v>PERUBAHAN HAK</v>
      </c>
      <c r="H72" s="44" t="str">
        <f t="array" ref="H72">IF(B72="","",_xlfn.XLOOKUP(B72,'Form responses 1'!$B$2:$B$2604,'Form responses 1'!$F$2:$F$2604,""))</f>
        <v>B.91/GUNUNG TERANG</v>
      </c>
      <c r="I72" s="44" t="str">
        <f t="array" ref="I72">IF(B72="","",_xlfn.XLOOKUP(B72,'Form responses 1'!$B$2:$B$2604,'Form responses 1'!$I$2:$I$2604,""))</f>
        <v>GUNUNG TERANG</v>
      </c>
      <c r="J72" s="44" t="str">
        <f t="array" ref="J72">IF(B72="","",_xlfn.XLOOKUP(B72,'Form responses 1'!$B$2:$B$2604,'Form responses 1'!$G$2:$G$2604,""))</f>
        <v>Nuraini</v>
      </c>
      <c r="K72" s="41" t="s">
        <v>587</v>
      </c>
      <c r="L72" s="52">
        <f t="shared" si="7"/>
        <v>45580.71052</v>
      </c>
      <c r="M72" s="47" t="s">
        <v>5222</v>
      </c>
      <c r="N72" s="47" t="s">
        <v>5224</v>
      </c>
      <c r="O72" s="47" t="s">
        <v>5223</v>
      </c>
      <c r="P72" s="47" t="s">
        <v>1156</v>
      </c>
      <c r="Q72" s="49"/>
      <c r="R72" s="49"/>
      <c r="S72" s="49"/>
      <c r="T72" s="49"/>
      <c r="U72" s="49"/>
      <c r="V72" s="49"/>
      <c r="W72" s="41" t="s">
        <v>618</v>
      </c>
      <c r="X72" s="46">
        <f t="shared" si="5"/>
        <v>45589.42113</v>
      </c>
      <c r="Y72" s="50" t="s">
        <v>482</v>
      </c>
      <c r="Z72" s="49">
        <f t="shared" si="6"/>
        <v>4</v>
      </c>
    </row>
    <row r="73" ht="22.5" customHeight="1">
      <c r="B73" s="41" t="s">
        <v>1006</v>
      </c>
      <c r="C73" s="43">
        <f t="array" ref="C73">IF(B73="","",_xlfn.XLOOKUP(B73,'Form responses 1'!$B$2:$B$2604,'Form responses 1'!$A$2:$A$2604,""))</f>
        <v>45583.44938</v>
      </c>
      <c r="D73" s="44" t="str">
        <f t="shared" si="3"/>
        <v>L/10/181024/1_45583.4493798727</v>
      </c>
      <c r="E73" s="44" t="str">
        <f t="array" ref="E73">IF(B73="","",_xlfn.XLOOKUP(B73,'Form responses 1'!$B$2:$B$2604,'Form responses 1'!$C$2:$C$2604,""))</f>
        <v>HAPPY JOY PW SIREGAR</v>
      </c>
      <c r="F73" s="44" t="str">
        <f t="array" ref="F73">IF(B73="","",_xlfn.XLOOKUP(B73,'Form responses 1'!$B$2:$B$2604,'Form responses 1'!$D$2:$D$2604,""))</f>
        <v>082176075079</v>
      </c>
      <c r="G73" s="44" t="str">
        <f t="array" ref="G73">IF(B73="","",_xlfn.XLOOKUP(B73,'Form responses 1'!$B$2:$B$2604,'Form responses 1'!$E$2:$E$2604,""))</f>
        <v>SERTIPIKAT HILANG</v>
      </c>
      <c r="H73" s="44" t="str">
        <f t="array" ref="H73">IF(B73="","",_xlfn.XLOOKUP(B73,'Form responses 1'!$B$2:$B$2604,'Form responses 1'!$F$2:$F$2604,""))</f>
        <v>HGB.4629/BERINGIN RAYA</v>
      </c>
      <c r="I73" s="44" t="str">
        <f t="array" ref="I73">IF(B73="","",_xlfn.XLOOKUP(B73,'Form responses 1'!$B$2:$B$2604,'Form responses 1'!$I$2:$I$2604,""))</f>
        <v>BERINGIN RAYA</v>
      </c>
      <c r="J73" s="44" t="str">
        <f t="array" ref="J73">IF(B73="","",_xlfn.XLOOKUP(B73,'Form responses 1'!$B$2:$B$2604,'Form responses 1'!$G$2:$G$2604,""))</f>
        <v>Nuraini</v>
      </c>
      <c r="K73" s="41" t="s">
        <v>587</v>
      </c>
      <c r="L73" s="52">
        <f t="shared" si="7"/>
        <v>45581.67048</v>
      </c>
      <c r="M73" s="47" t="s">
        <v>5225</v>
      </c>
      <c r="N73" s="49"/>
      <c r="O73" s="49"/>
      <c r="P73" s="49"/>
      <c r="Q73" s="49"/>
      <c r="R73" s="49"/>
      <c r="S73" s="49"/>
      <c r="T73" s="49"/>
      <c r="U73" s="49"/>
      <c r="V73" s="49"/>
      <c r="W73" s="41" t="s">
        <v>618</v>
      </c>
      <c r="X73" s="46">
        <f t="shared" si="5"/>
        <v>45609.40267</v>
      </c>
      <c r="Y73" s="50" t="s">
        <v>482</v>
      </c>
      <c r="Z73" s="49">
        <f t="shared" si="6"/>
        <v>1</v>
      </c>
    </row>
    <row r="74" ht="22.5" customHeight="1">
      <c r="B74" s="41" t="s">
        <v>1082</v>
      </c>
      <c r="C74" s="43">
        <f t="array" ref="C74">IF(B74="","",_xlfn.XLOOKUP(B74,'Form responses 1'!$B$2:$B$2604,'Form responses 1'!$A$2:$A$2604,""))</f>
        <v>45583.59043</v>
      </c>
      <c r="D74" s="44" t="str">
        <f t="shared" si="3"/>
        <v>K/28/181024/1_45583.5904268866</v>
      </c>
      <c r="E74" s="44" t="str">
        <f t="array" ref="E74">IF(B74="","",_xlfn.XLOOKUP(B74,'Form responses 1'!$B$2:$B$2604,'Form responses 1'!$C$2:$C$2604,""))</f>
        <v>Novalia Eka P/ Dian Ratna W</v>
      </c>
      <c r="F74" s="44" t="str">
        <f t="array" ref="F74">IF(B74="","",_xlfn.XLOOKUP(B74,'Form responses 1'!$B$2:$B$2604,'Form responses 1'!$D$2:$D$2604,""))</f>
        <v>+62 896-9947-6813</v>
      </c>
      <c r="G74" s="44" t="str">
        <f t="array" ref="G74">IF(B74="","",_xlfn.XLOOKUP(B74,'Form responses 1'!$B$2:$B$2604,'Form responses 1'!$E$2:$E$2604,""))</f>
        <v>Roya</v>
      </c>
      <c r="H74" s="44" t="str">
        <f t="array" ref="H74">IF(B74="","",_xlfn.XLOOKUP(B74,'Form responses 1'!$B$2:$B$2604,'Form responses 1'!$F$2:$F$2604,""))</f>
        <v>M. 690/ Sumur Putri dan SHT 4003/ 2013</v>
      </c>
      <c r="I74" s="44" t="str">
        <f t="array" ref="I74">IF(B74="","",_xlfn.XLOOKUP(B74,'Form responses 1'!$B$2:$B$2604,'Form responses 1'!$I$2:$I$2604,""))</f>
        <v>Sumur Putri</v>
      </c>
      <c r="J74" s="44" t="str">
        <f t="array" ref="J74">IF(B74="","",_xlfn.XLOOKUP(B74,'Form responses 1'!$B$2:$B$2604,'Form responses 1'!$G$2:$G$2604,""))</f>
        <v>Rapita</v>
      </c>
      <c r="K74" s="41" t="s">
        <v>587</v>
      </c>
      <c r="L74" s="52">
        <f t="shared" si="7"/>
        <v>45588.80998</v>
      </c>
      <c r="M74" s="47" t="s">
        <v>5221</v>
      </c>
      <c r="N74" s="49"/>
      <c r="O74" s="49"/>
      <c r="P74" s="49"/>
      <c r="Q74" s="49"/>
      <c r="R74" s="49"/>
      <c r="S74" s="49"/>
      <c r="T74" s="49"/>
      <c r="U74" s="49"/>
      <c r="V74" s="49"/>
      <c r="W74" s="41" t="s">
        <v>618</v>
      </c>
      <c r="X74" s="46">
        <f t="shared" si="5"/>
        <v>45589.32105</v>
      </c>
      <c r="Y74" s="50" t="s">
        <v>482</v>
      </c>
      <c r="Z74" s="49">
        <f t="shared" si="6"/>
        <v>1</v>
      </c>
    </row>
    <row r="75" ht="22.5" customHeight="1">
      <c r="B75" s="41" t="s">
        <v>1025</v>
      </c>
      <c r="C75" s="43">
        <f t="array" ref="C75">IF(B75="","",_xlfn.XLOOKUP(B75,'Form responses 1'!$B$2:$B$2604,'Form responses 1'!$A$2:$A$2604,""))</f>
        <v>45583.46534</v>
      </c>
      <c r="D75" s="44" t="str">
        <f t="shared" si="3"/>
        <v>K/15/181024/1_45583.4653353357</v>
      </c>
      <c r="E75" s="44" t="str">
        <f t="array" ref="E75">IF(B75="","",_xlfn.XLOOKUP(B75,'Form responses 1'!$B$2:$B$2604,'Form responses 1'!$C$2:$C$2604,""))</f>
        <v>GEREJA KRISTUS  TELUK BETUNG/NICO HIDAYAT</v>
      </c>
      <c r="F75" s="44" t="str">
        <f t="array" ref="F75">IF(B75="","",_xlfn.XLOOKUP(B75,'Form responses 1'!$B$2:$B$2604,'Form responses 1'!$D$2:$D$2604,""))</f>
        <v>08127915352</v>
      </c>
      <c r="G75" s="44" t="str">
        <f t="array" ref="G75">IF(B75="","",_xlfn.XLOOKUP(B75,'Form responses 1'!$B$2:$B$2604,'Form responses 1'!$E$2:$E$2604,""))</f>
        <v>SKPT PERPANJANGAN</v>
      </c>
      <c r="H75" s="44" t="str">
        <f t="array" ref="H75">IF(B75="","",_xlfn.XLOOKUP(B75,'Form responses 1'!$B$2:$B$2604,'Form responses 1'!$F$2:$F$2604,""))</f>
        <v>B.921/NEGERI OLOK GADING</v>
      </c>
      <c r="I75" s="44" t="str">
        <f t="array" ref="I75">IF(B75="","",_xlfn.XLOOKUP(B75,'Form responses 1'!$B$2:$B$2604,'Form responses 1'!$I$2:$I$2604,""))</f>
        <v>NEGERI OLOK GADING</v>
      </c>
      <c r="J75" s="44" t="str">
        <f t="array" ref="J75">IF(B75="","",_xlfn.XLOOKUP(B75,'Form responses 1'!$B$2:$B$2604,'Form responses 1'!$G$2:$G$2604,""))</f>
        <v>Baynur</v>
      </c>
      <c r="K75" s="41" t="s">
        <v>587</v>
      </c>
      <c r="L75" s="52">
        <f t="shared" si="7"/>
        <v>45589.55542</v>
      </c>
      <c r="M75" s="47" t="s">
        <v>5214</v>
      </c>
      <c r="N75" s="49"/>
      <c r="O75" s="49"/>
      <c r="P75" s="49"/>
      <c r="Q75" s="49"/>
      <c r="R75" s="49"/>
      <c r="S75" s="49"/>
      <c r="T75" s="49"/>
      <c r="U75" s="49"/>
      <c r="V75" s="49"/>
      <c r="W75" s="41" t="s">
        <v>618</v>
      </c>
      <c r="X75" s="46">
        <f t="shared" si="5"/>
        <v>45602.64615</v>
      </c>
      <c r="Y75" s="50" t="s">
        <v>482</v>
      </c>
      <c r="Z75" s="49">
        <f t="shared" si="6"/>
        <v>1</v>
      </c>
      <c r="AA75" s="4" t="s">
        <v>5226</v>
      </c>
    </row>
    <row r="76" ht="22.5" customHeight="1">
      <c r="B76" s="41" t="s">
        <v>832</v>
      </c>
      <c r="C76" s="43">
        <f t="array" ref="C76">IF(B76="","",_xlfn.XLOOKUP(B76,'Form responses 1'!$B$2:$B$2604,'Form responses 1'!$A$2:$A$2604,""))</f>
        <v>45582.56041</v>
      </c>
      <c r="D76" s="44" t="str">
        <f t="shared" si="3"/>
        <v>K/24/171024/1_45582.5604082292</v>
      </c>
      <c r="E76" s="44" t="str">
        <f t="array" ref="E76">IF(B76="","",_xlfn.XLOOKUP(B76,'Form responses 1'!$B$2:$B$2604,'Form responses 1'!$C$2:$C$2604,""))</f>
        <v>KORNELIUS SULEMI/SERUNI WIDYAWATI</v>
      </c>
      <c r="F76" s="44" t="str">
        <f t="array" ref="F76">IF(B76="","",_xlfn.XLOOKUP(B76,'Form responses 1'!$B$2:$B$2604,'Form responses 1'!$D$2:$D$2604,""))</f>
        <v>0895-6092-80120</v>
      </c>
      <c r="G76" s="44" t="str">
        <f t="array" ref="G76">IF(B76="","",_xlfn.XLOOKUP(B76,'Form responses 1'!$B$2:$B$2604,'Form responses 1'!$E$2:$E$2604,""))</f>
        <v>PERALIHAN JUAL BELI</v>
      </c>
      <c r="H76" s="44" t="str">
        <f t="array" ref="H76">IF(B76="","",_xlfn.XLOOKUP(B76,'Form responses 1'!$B$2:$B$2604,'Form responses 1'!$F$2:$F$2604,""))</f>
        <v>NIBEL M.370/GUNUNG SULAH</v>
      </c>
      <c r="I76" s="44" t="str">
        <f t="array" ref="I76">IF(B76="","",_xlfn.XLOOKUP(B76,'Form responses 1'!$B$2:$B$2604,'Form responses 1'!$I$2:$I$2604,""))</f>
        <v>GUNUNG SULAH</v>
      </c>
      <c r="J76" s="44" t="str">
        <f t="array" ref="J76">IF(B76="","",_xlfn.XLOOKUP(B76,'Form responses 1'!$B$2:$B$2604,'Form responses 1'!$G$2:$G$2604,""))</f>
        <v>Baynur</v>
      </c>
      <c r="K76" s="41" t="s">
        <v>422</v>
      </c>
      <c r="L76" s="52">
        <f t="shared" si="7"/>
        <v>45583.33867</v>
      </c>
      <c r="M76" s="49"/>
      <c r="N76" s="49"/>
      <c r="O76" s="49"/>
      <c r="P76" s="49"/>
      <c r="Q76" s="49"/>
      <c r="R76" s="49"/>
      <c r="S76" s="49"/>
      <c r="T76" s="49"/>
      <c r="U76" s="49"/>
      <c r="V76" s="49"/>
      <c r="W76" s="41" t="s">
        <v>618</v>
      </c>
      <c r="X76" s="46">
        <f t="shared" si="5"/>
        <v>45583.41999</v>
      </c>
      <c r="Y76" s="50" t="s">
        <v>482</v>
      </c>
      <c r="Z76" s="49">
        <f t="shared" si="6"/>
        <v>0</v>
      </c>
    </row>
    <row r="77" ht="22.5" customHeight="1">
      <c r="B77" s="41" t="s">
        <v>783</v>
      </c>
      <c r="C77" s="43">
        <f t="array" ref="C77">IF(B77="","",_xlfn.XLOOKUP(B77,'Form responses 1'!$B$2:$B$2604,'Form responses 1'!$A$2:$A$2604,""))</f>
        <v>45582.46349</v>
      </c>
      <c r="D77" s="44" t="str">
        <f t="shared" si="3"/>
        <v>K/13/171024/4_45582.4634918056</v>
      </c>
      <c r="E77" s="44" t="str">
        <f t="array" ref="E77">IF(B77="","",_xlfn.XLOOKUP(B77,'Form responses 1'!$B$2:$B$2604,'Form responses 1'!$C$2:$C$2604,""))</f>
        <v>eka sari taherah/devita dina mentari</v>
      </c>
      <c r="F77" s="44" t="str">
        <f t="array" ref="F77">IF(B77="","",_xlfn.XLOOKUP(B77,'Form responses 1'!$B$2:$B$2604,'Form responses 1'!$D$2:$D$2604,""))</f>
        <v>0895363114046</v>
      </c>
      <c r="G77" s="44" t="str">
        <f t="array" ref="G77">IF(B77="","",_xlfn.XLOOKUP(B77,'Form responses 1'!$B$2:$B$2604,'Form responses 1'!$E$2:$E$2604,""))</f>
        <v>BN Jual beli</v>
      </c>
      <c r="H77" s="44" t="str">
        <f t="array" ref="H77">IF(B77="","",_xlfn.XLOOKUP(B77,'Form responses 1'!$B$2:$B$2604,'Form responses 1'!$F$2:$F$2604,""))</f>
        <v>M. 2523/ Pinang Jaya</v>
      </c>
      <c r="I77" s="44" t="str">
        <f t="array" ref="I77">IF(B77="","",_xlfn.XLOOKUP(B77,'Form responses 1'!$B$2:$B$2604,'Form responses 1'!$I$2:$I$2604,""))</f>
        <v>Pinang Jaya</v>
      </c>
      <c r="J77" s="44" t="str">
        <f t="array" ref="J77">IF(B77="","",_xlfn.XLOOKUP(B77,'Form responses 1'!$B$2:$B$2604,'Form responses 1'!$G$2:$G$2604,""))</f>
        <v>Hananda</v>
      </c>
      <c r="K77" s="41" t="s">
        <v>422</v>
      </c>
      <c r="L77" s="52">
        <f t="shared" si="7"/>
        <v>45583.33869</v>
      </c>
      <c r="M77" s="47" t="s">
        <v>5227</v>
      </c>
      <c r="N77" s="49"/>
      <c r="O77" s="49"/>
      <c r="P77" s="49"/>
      <c r="Q77" s="49"/>
      <c r="R77" s="49"/>
      <c r="S77" s="49"/>
      <c r="T77" s="49"/>
      <c r="U77" s="49"/>
      <c r="V77" s="49"/>
      <c r="W77" s="41" t="s">
        <v>618</v>
      </c>
      <c r="X77" s="46">
        <f t="shared" si="5"/>
        <v>45595.65089</v>
      </c>
      <c r="Y77" s="50" t="s">
        <v>482</v>
      </c>
      <c r="Z77" s="49">
        <f t="shared" si="6"/>
        <v>1</v>
      </c>
    </row>
    <row r="78" ht="22.5" customHeight="1">
      <c r="B78" s="41" t="s">
        <v>870</v>
      </c>
      <c r="C78" s="43">
        <f t="array" ref="C78">IF(B78="","",_xlfn.XLOOKUP(B78,'Form responses 1'!$B$2:$B$2604,'Form responses 1'!$A$2:$A$2604,""))</f>
        <v>45582.5726</v>
      </c>
      <c r="D78" s="44" t="str">
        <f t="shared" si="3"/>
        <v>K/34/171024/2_45582.5725960995</v>
      </c>
      <c r="E78" s="44" t="str">
        <f t="array" ref="E78">IF(B78="","",_xlfn.XLOOKUP(B78,'Form responses 1'!$B$2:$B$2604,'Form responses 1'!$C$2:$C$2604,""))</f>
        <v>richard adi / agus prasetyo</v>
      </c>
      <c r="F78" s="44" t="str">
        <f t="array" ref="F78">IF(B78="","",_xlfn.XLOOKUP(B78,'Form responses 1'!$B$2:$B$2604,'Form responses 1'!$D$2:$D$2604,""))</f>
        <v>085279997821</v>
      </c>
      <c r="G78" s="44" t="str">
        <f t="array" ref="G78">IF(B78="","",_xlfn.XLOOKUP(B78,'Form responses 1'!$B$2:$B$2604,'Form responses 1'!$E$2:$E$2604,""))</f>
        <v>BN Jual Beli</v>
      </c>
      <c r="H78" s="44" t="str">
        <f t="array" ref="H78">IF(B78="","",_xlfn.XLOOKUP(B78,'Form responses 1'!$B$2:$B$2604,'Form responses 1'!$F$2:$F$2604,""))</f>
        <v>M. 2924/ Sukarame II</v>
      </c>
      <c r="I78" s="44" t="str">
        <f t="array" ref="I78">IF(B78="","",_xlfn.XLOOKUP(B78,'Form responses 1'!$B$2:$B$2604,'Form responses 1'!$I$2:$I$2604,""))</f>
        <v>Sukarame II</v>
      </c>
      <c r="J78" s="44" t="str">
        <f t="array" ref="J78">IF(B78="","",_xlfn.XLOOKUP(B78,'Form responses 1'!$B$2:$B$2604,'Form responses 1'!$G$2:$G$2604,""))</f>
        <v>Hananda</v>
      </c>
      <c r="K78" s="41" t="s">
        <v>422</v>
      </c>
      <c r="L78" s="52">
        <f t="shared" si="7"/>
        <v>45583.3387</v>
      </c>
      <c r="M78" s="49"/>
      <c r="N78" s="49"/>
      <c r="O78" s="49"/>
      <c r="P78" s="49"/>
      <c r="Q78" s="49"/>
      <c r="R78" s="49"/>
      <c r="S78" s="49"/>
      <c r="T78" s="49"/>
      <c r="U78" s="49"/>
      <c r="V78" s="49"/>
      <c r="W78" s="41" t="s">
        <v>618</v>
      </c>
      <c r="X78" s="46">
        <f t="shared" si="5"/>
        <v>45583.44874</v>
      </c>
      <c r="Y78" s="50" t="s">
        <v>482</v>
      </c>
      <c r="Z78" s="49">
        <f t="shared" si="6"/>
        <v>0</v>
      </c>
    </row>
    <row r="79" ht="22.5" customHeight="1">
      <c r="B79" s="41" t="s">
        <v>892</v>
      </c>
      <c r="C79" s="43">
        <f t="array" ref="C79">IF(B79="","",_xlfn.XLOOKUP(B79,'Form responses 1'!$B$2:$B$2604,'Form responses 1'!$A$2:$A$2604,""))</f>
        <v>45582.58545</v>
      </c>
      <c r="D79" s="44" t="str">
        <f t="shared" si="3"/>
        <v>K/38/171024/2_45582.5854494676</v>
      </c>
      <c r="E79" s="44" t="str">
        <f t="array" ref="E79">IF(B79="","",_xlfn.XLOOKUP(B79,'Form responses 1'!$B$2:$B$2604,'Form responses 1'!$C$2:$C$2604,""))</f>
        <v>Angga Purnama/ Farida N</v>
      </c>
      <c r="F79" s="44" t="str">
        <f t="array" ref="F79">IF(B79="","",_xlfn.XLOOKUP(B79,'Form responses 1'!$B$2:$B$2604,'Form responses 1'!$D$2:$D$2604,""))</f>
        <v>+62 895-3553-08122</v>
      </c>
      <c r="G79" s="44" t="str">
        <f t="array" ref="G79">IF(B79="","",_xlfn.XLOOKUP(B79,'Form responses 1'!$B$2:$B$2604,'Form responses 1'!$E$2:$E$2604,""))</f>
        <v>BN Jual Beli</v>
      </c>
      <c r="H79" s="44" t="str">
        <f t="array" ref="H79">IF(B79="","",_xlfn.XLOOKUP(B79,'Form responses 1'!$B$2:$B$2604,'Form responses 1'!$F$2:$F$2604,""))</f>
        <v>M. 4522/ Gunung Terang</v>
      </c>
      <c r="I79" s="44" t="str">
        <f t="array" ref="I79">IF(B79="","",_xlfn.XLOOKUP(B79,'Form responses 1'!$B$2:$B$2604,'Form responses 1'!$I$2:$I$2604,""))</f>
        <v>Gunung Terang</v>
      </c>
      <c r="J79" s="44" t="str">
        <f t="array" ref="J79">IF(B79="","",_xlfn.XLOOKUP(B79,'Form responses 1'!$B$2:$B$2604,'Form responses 1'!$G$2:$G$2604,""))</f>
        <v>Rapita</v>
      </c>
      <c r="K79" s="41" t="s">
        <v>422</v>
      </c>
      <c r="L79" s="52">
        <f t="shared" si="7"/>
        <v>45583.33872</v>
      </c>
      <c r="M79" s="47" t="s">
        <v>5228</v>
      </c>
      <c r="N79" s="49"/>
      <c r="O79" s="49"/>
      <c r="P79" s="49"/>
      <c r="Q79" s="49"/>
      <c r="R79" s="49"/>
      <c r="S79" s="49"/>
      <c r="T79" s="49"/>
      <c r="U79" s="49"/>
      <c r="V79" s="49"/>
      <c r="W79" s="41" t="s">
        <v>618</v>
      </c>
      <c r="X79" s="46">
        <f t="shared" si="5"/>
        <v>45590.66104</v>
      </c>
      <c r="Y79" s="50" t="s">
        <v>482</v>
      </c>
      <c r="Z79" s="49">
        <f t="shared" si="6"/>
        <v>1</v>
      </c>
    </row>
    <row r="80" ht="22.5" customHeight="1">
      <c r="B80" s="41" t="s">
        <v>760</v>
      </c>
      <c r="C80" s="43">
        <f t="array" ref="C80">IF(B80="","",_xlfn.XLOOKUP(B80,'Form responses 1'!$B$2:$B$2604,'Form responses 1'!$A$2:$A$2604,""))</f>
        <v>45582.43223</v>
      </c>
      <c r="D80" s="44" t="str">
        <f t="shared" si="3"/>
        <v>K/7/171024/1_45582.4322251505</v>
      </c>
      <c r="E80" s="44" t="str">
        <f t="array" ref="E80">IF(B80="","",_xlfn.XLOOKUP(B80,'Form responses 1'!$B$2:$B$2604,'Form responses 1'!$C$2:$C$2604,""))</f>
        <v>Fitriana/ Paiman</v>
      </c>
      <c r="F80" s="44" t="str">
        <f t="array" ref="F80">IF(B80="","",_xlfn.XLOOKUP(B80,'Form responses 1'!$B$2:$B$2604,'Form responses 1'!$D$2:$D$2604,""))</f>
        <v>089661010669</v>
      </c>
      <c r="G80" s="44" t="str">
        <f t="array" ref="G80">IF(B80="","",_xlfn.XLOOKUP(B80,'Form responses 1'!$B$2:$B$2604,'Form responses 1'!$E$2:$E$2604,""))</f>
        <v>Pemecahan</v>
      </c>
      <c r="H80" s="44" t="str">
        <f t="array" ref="H80">IF(B80="","",_xlfn.XLOOKUP(B80,'Form responses 1'!$B$2:$B$2604,'Form responses 1'!$F$2:$F$2604,""))</f>
        <v>M. 2174/ Way Kandis</v>
      </c>
      <c r="I80" s="44" t="str">
        <f t="array" ref="I80">IF(B80="","",_xlfn.XLOOKUP(B80,'Form responses 1'!$B$2:$B$2604,'Form responses 1'!$I$2:$I$2604,""))</f>
        <v>Way Kandis</v>
      </c>
      <c r="J80" s="44" t="str">
        <f t="array" ref="J80">IF(B80="","",_xlfn.XLOOKUP(B80,'Form responses 1'!$B$2:$B$2604,'Form responses 1'!$G$2:$G$2604,""))</f>
        <v>Rapita</v>
      </c>
      <c r="K80" s="41" t="s">
        <v>422</v>
      </c>
      <c r="L80" s="52">
        <f t="shared" si="7"/>
        <v>45583.33875</v>
      </c>
      <c r="M80" s="49"/>
      <c r="N80" s="49"/>
      <c r="O80" s="49"/>
      <c r="P80" s="49"/>
      <c r="Q80" s="49"/>
      <c r="R80" s="49"/>
      <c r="S80" s="49"/>
      <c r="T80" s="49"/>
      <c r="U80" s="49"/>
      <c r="V80" s="49"/>
      <c r="W80" s="41" t="s">
        <v>618</v>
      </c>
      <c r="X80" s="46">
        <f t="shared" si="5"/>
        <v>45583.41404</v>
      </c>
      <c r="Y80" s="50" t="s">
        <v>482</v>
      </c>
      <c r="Z80" s="49">
        <f t="shared" si="6"/>
        <v>0</v>
      </c>
    </row>
    <row r="81" ht="22.5" customHeight="1">
      <c r="B81" s="41" t="s">
        <v>743</v>
      </c>
      <c r="C81" s="43">
        <f t="array" ref="C81">IF(B81="","",_xlfn.XLOOKUP(B81,'Form responses 1'!$B$2:$B$2604,'Form responses 1'!$A$2:$A$2604,""))</f>
        <v>45582.40965</v>
      </c>
      <c r="D81" s="44" t="str">
        <f t="shared" si="3"/>
        <v>L/3/171024/1_45582.4096537963</v>
      </c>
      <c r="E81" s="44" t="str">
        <f t="array" ref="E81">IF(B81="","",_xlfn.XLOOKUP(B81,'Form responses 1'!$B$2:$B$2604,'Form responses 1'!$C$2:$C$2604,""))</f>
        <v>BETI ASTRI NINGSIH</v>
      </c>
      <c r="F81" s="44" t="str">
        <f t="array" ref="F81">IF(B81="","",_xlfn.XLOOKUP(B81,'Form responses 1'!$B$2:$B$2604,'Form responses 1'!$D$2:$D$2604,""))</f>
        <v>089517341312</v>
      </c>
      <c r="G81" s="44" t="str">
        <f t="array" ref="G81">IF(B81="","",_xlfn.XLOOKUP(B81,'Form responses 1'!$B$2:$B$2604,'Form responses 1'!$E$2:$E$2604,""))</f>
        <v>HAPUS BPTHB</v>
      </c>
      <c r="H81" s="44" t="str">
        <f t="array" ref="H81">IF(B81="","",_xlfn.XLOOKUP(B81,'Form responses 1'!$B$2:$B$2604,'Form responses 1'!$F$2:$F$2604,""))</f>
        <v>M 3895/CAMPANG RAYA</v>
      </c>
      <c r="I81" s="44" t="str">
        <f t="array" ref="I81">IF(B81="","",_xlfn.XLOOKUP(B81,'Form responses 1'!$B$2:$B$2604,'Form responses 1'!$I$2:$I$2604,""))</f>
        <v>CAMPANF RAYA</v>
      </c>
      <c r="J81" s="44" t="str">
        <f t="array" ref="J81">IF(B81="","",_xlfn.XLOOKUP(B81,'Form responses 1'!$B$2:$B$2604,'Form responses 1'!$G$2:$G$2604,""))</f>
        <v>Deby</v>
      </c>
      <c r="K81" s="41" t="s">
        <v>422</v>
      </c>
      <c r="L81" s="52">
        <f t="shared" si="7"/>
        <v>45583.33876</v>
      </c>
      <c r="M81" s="47" t="s">
        <v>448</v>
      </c>
      <c r="N81" s="49"/>
      <c r="O81" s="49"/>
      <c r="P81" s="49"/>
      <c r="Q81" s="49"/>
      <c r="R81" s="49"/>
      <c r="S81" s="49"/>
      <c r="T81" s="49"/>
      <c r="U81" s="49"/>
      <c r="V81" s="49"/>
      <c r="W81" s="41" t="s">
        <v>618</v>
      </c>
      <c r="X81" s="46">
        <f t="shared" si="5"/>
        <v>45583.40935</v>
      </c>
      <c r="Y81" s="50" t="s">
        <v>482</v>
      </c>
      <c r="Z81" s="49">
        <f t="shared" si="6"/>
        <v>1</v>
      </c>
      <c r="AA81" s="4" t="s">
        <v>4158</v>
      </c>
    </row>
    <row r="82" ht="22.5" customHeight="1">
      <c r="B82" s="41" t="s">
        <v>963</v>
      </c>
      <c r="C82" s="43">
        <f t="array" ref="C82">IF(B82="","",_xlfn.XLOOKUP(B82,'Form responses 1'!$B$2:$B$2604,'Form responses 1'!$A$2:$A$2604,""))</f>
        <v>45582.65454</v>
      </c>
      <c r="D82" s="44" t="str">
        <f t="shared" si="3"/>
        <v>K/56/171024/1_45582.6545368519</v>
      </c>
      <c r="E82" s="44" t="str">
        <f t="array" ref="E82">IF(B82="","",_xlfn.XLOOKUP(B82,'Form responses 1'!$B$2:$B$2604,'Form responses 1'!$C$2:$C$2604,""))</f>
        <v>RIKA WISANGRATRI/ JULIUS BUTAR BUTAR</v>
      </c>
      <c r="F82" s="44" t="str">
        <f t="array" ref="F82">IF(B82="","",_xlfn.XLOOKUP(B82,'Form responses 1'!$B$2:$B$2604,'Form responses 1'!$D$2:$D$2604,""))</f>
        <v>+62 831-6815-4278</v>
      </c>
      <c r="G82" s="44" t="str">
        <f t="array" ref="G82">IF(B82="","",_xlfn.XLOOKUP(B82,'Form responses 1'!$B$2:$B$2604,'Form responses 1'!$E$2:$E$2604,""))</f>
        <v>ROYA</v>
      </c>
      <c r="H82" s="44" t="str">
        <f t="array" ref="H82">IF(B82="","",_xlfn.XLOOKUP(B82,'Form responses 1'!$B$2:$B$2604,'Form responses 1'!$F$2:$F$2604,""))</f>
        <v>M. 377/ ENGGAL</v>
      </c>
      <c r="I82" s="44" t="str">
        <f t="array" ref="I82">IF(B82="","",_xlfn.XLOOKUP(B82,'Form responses 1'!$B$2:$B$2604,'Form responses 1'!$I$2:$I$2604,""))</f>
        <v>ENGGAL</v>
      </c>
      <c r="J82" s="44" t="str">
        <f t="array" ref="J82">IF(B82="","",_xlfn.XLOOKUP(B82,'Form responses 1'!$B$2:$B$2604,'Form responses 1'!$G$2:$G$2604,""))</f>
        <v>Hananda</v>
      </c>
      <c r="K82" s="41" t="s">
        <v>422</v>
      </c>
      <c r="L82" s="52">
        <f t="shared" si="7"/>
        <v>45583.33878</v>
      </c>
      <c r="M82" s="47" t="s">
        <v>5229</v>
      </c>
      <c r="N82" s="49"/>
      <c r="O82" s="49"/>
      <c r="P82" s="49"/>
      <c r="Q82" s="49"/>
      <c r="R82" s="49"/>
      <c r="S82" s="49"/>
      <c r="T82" s="49"/>
      <c r="U82" s="49"/>
      <c r="V82" s="49"/>
      <c r="W82" s="41" t="s">
        <v>618</v>
      </c>
      <c r="X82" s="46">
        <f t="shared" si="5"/>
        <v>45583.40279</v>
      </c>
      <c r="Y82" s="50" t="s">
        <v>482</v>
      </c>
      <c r="Z82" s="49">
        <f t="shared" si="6"/>
        <v>1</v>
      </c>
      <c r="AA82" s="4" t="s">
        <v>4346</v>
      </c>
    </row>
    <row r="83" ht="22.5" customHeight="1">
      <c r="B83" s="41" t="s">
        <v>707</v>
      </c>
      <c r="C83" s="43">
        <f t="array" ref="C83">IF(B83="","",_xlfn.XLOOKUP(B83,'Form responses 1'!$B$2:$B$2604,'Form responses 1'!$A$2:$A$2604,""))</f>
        <v>45581.59411</v>
      </c>
      <c r="D83" s="44" t="str">
        <f t="shared" si="3"/>
        <v>K/35/161024/1_45581.5941142361</v>
      </c>
      <c r="E83" s="44" t="str">
        <f t="array" ref="E83">IF(B83="","",_xlfn.XLOOKUP(B83,'Form responses 1'!$B$2:$B$2604,'Form responses 1'!$C$2:$C$2604,""))</f>
        <v>DEVI ERIZAL/WARDIYAH</v>
      </c>
      <c r="F83" s="44" t="str">
        <f t="array" ref="F83">IF(B83="","",_xlfn.XLOOKUP(B83,'Form responses 1'!$B$2:$B$2604,'Form responses 1'!$D$2:$D$2604,""))</f>
        <v>085378050909</v>
      </c>
      <c r="G83" s="44" t="str">
        <f t="array" ref="G83">IF(B83="","",_xlfn.XLOOKUP(B83,'Form responses 1'!$B$2:$B$2604,'Form responses 1'!$E$2:$E$2604,""))</f>
        <v>ROYA</v>
      </c>
      <c r="H83" s="44" t="str">
        <f t="array" ref="H83">IF(B83="","",_xlfn.XLOOKUP(B83,'Form responses 1'!$B$2:$B$2604,'Form responses 1'!$F$2:$F$2604,""))</f>
        <v>M.11916/SUKABUMI-SEKARANG;B.3374/SUKABUMI-DAHULU</v>
      </c>
      <c r="I83" s="44" t="str">
        <f t="array" ref="I83">IF(B83="","",_xlfn.XLOOKUP(B83,'Form responses 1'!$B$2:$B$2604,'Form responses 1'!$I$2:$I$2604,""))</f>
        <v>SUKABUMI</v>
      </c>
      <c r="J83" s="44" t="str">
        <f t="array" ref="J83">IF(B83="","",_xlfn.XLOOKUP(B83,'Form responses 1'!$B$2:$B$2604,'Form responses 1'!$G$2:$G$2604,""))</f>
        <v>Baynur</v>
      </c>
      <c r="K83" s="41" t="s">
        <v>422</v>
      </c>
      <c r="L83" s="52">
        <f t="shared" si="7"/>
        <v>45583.3388</v>
      </c>
      <c r="M83" s="49"/>
      <c r="N83" s="49"/>
      <c r="O83" s="49"/>
      <c r="P83" s="49"/>
      <c r="Q83" s="49"/>
      <c r="R83" s="49"/>
      <c r="S83" s="49"/>
      <c r="T83" s="49"/>
      <c r="U83" s="49"/>
      <c r="V83" s="49"/>
      <c r="W83" s="41" t="s">
        <v>618</v>
      </c>
      <c r="X83" s="46">
        <f t="shared" si="5"/>
        <v>45583.39901</v>
      </c>
      <c r="Y83" s="50" t="s">
        <v>482</v>
      </c>
      <c r="Z83" s="49">
        <f t="shared" si="6"/>
        <v>0</v>
      </c>
    </row>
    <row r="84" ht="22.5" customHeight="1">
      <c r="B84" s="41" t="s">
        <v>899</v>
      </c>
      <c r="C84" s="43">
        <f t="array" ref="C84">IF(B84="","",_xlfn.XLOOKUP(B84,'Form responses 1'!$B$2:$B$2604,'Form responses 1'!$A$2:$A$2604,""))</f>
        <v>45582.59308</v>
      </c>
      <c r="D84" s="44" t="str">
        <f t="shared" si="3"/>
        <v>L/40/171024/1_45582.5930757292</v>
      </c>
      <c r="E84" s="44" t="str">
        <f t="array" ref="E84">IF(B84="","",_xlfn.XLOOKUP(B84,'Form responses 1'!$B$2:$B$2604,'Form responses 1'!$C$2:$C$2604,""))</f>
        <v>ACENG SOLEHUDIN</v>
      </c>
      <c r="F84" s="44" t="str">
        <f t="array" ref="F84">IF(B84="","",_xlfn.XLOOKUP(B84,'Form responses 1'!$B$2:$B$2604,'Form responses 1'!$D$2:$D$2604,""))</f>
        <v>081272825300</v>
      </c>
      <c r="G84" s="44" t="str">
        <f t="array" ref="G84">IF(B84="","",_xlfn.XLOOKUP(B84,'Form responses 1'!$B$2:$B$2604,'Form responses 1'!$E$2:$E$2604,""))</f>
        <v>ROYA</v>
      </c>
      <c r="H84" s="44" t="str">
        <f t="array" ref="H84">IF(B84="","",_xlfn.XLOOKUP(B84,'Form responses 1'!$B$2:$B$2604,'Form responses 1'!$F$2:$F$2604,""))</f>
        <v>HM 1375/TANJUNG SENENG</v>
      </c>
      <c r="I84" s="44" t="str">
        <f t="array" ref="I84">IF(B84="","",_xlfn.XLOOKUP(B84,'Form responses 1'!$B$2:$B$2604,'Form responses 1'!$I$2:$I$2604,""))</f>
        <v>TANJUNG SENENG</v>
      </c>
      <c r="J84" s="44" t="str">
        <f t="array" ref="J84">IF(B84="","",_xlfn.XLOOKUP(B84,'Form responses 1'!$B$2:$B$2604,'Form responses 1'!$G$2:$G$2604,""))</f>
        <v>Deby</v>
      </c>
      <c r="K84" s="41" t="s">
        <v>422</v>
      </c>
      <c r="L84" s="52">
        <f t="shared" si="7"/>
        <v>45583.33882</v>
      </c>
      <c r="M84" s="47" t="s">
        <v>1874</v>
      </c>
      <c r="N84" s="47" t="s">
        <v>5230</v>
      </c>
      <c r="O84" s="49"/>
      <c r="P84" s="49"/>
      <c r="Q84" s="49"/>
      <c r="R84" s="49"/>
      <c r="S84" s="49"/>
      <c r="T84" s="49"/>
      <c r="U84" s="49"/>
      <c r="V84" s="49"/>
      <c r="W84" s="41" t="s">
        <v>618</v>
      </c>
      <c r="X84" s="46">
        <f t="shared" si="5"/>
        <v>45583.39341</v>
      </c>
      <c r="Y84" s="50" t="s">
        <v>482</v>
      </c>
      <c r="Z84" s="49">
        <f t="shared" si="6"/>
        <v>2</v>
      </c>
      <c r="AA84" s="4" t="s">
        <v>4346</v>
      </c>
    </row>
    <row r="85" ht="22.5" customHeight="1">
      <c r="B85" s="41" t="s">
        <v>586</v>
      </c>
      <c r="C85" s="43">
        <f t="array" ref="C85">IF(B85="","",_xlfn.XLOOKUP(B85,'Form responses 1'!$B$2:$B$2604,'Form responses 1'!$A$2:$A$2604,""))</f>
        <v>45581.40765</v>
      </c>
      <c r="D85" s="44" t="str">
        <f t="shared" si="3"/>
        <v>K/7/161024/2_45581.4076549074</v>
      </c>
      <c r="E85" s="44" t="str">
        <f t="array" ref="E85">IF(B85="","",_xlfn.XLOOKUP(B85,'Form responses 1'!$B$2:$B$2604,'Form responses 1'!$C$2:$C$2604,""))</f>
        <v>DITO SAPUTRA/ TITIK WIJAYANTI</v>
      </c>
      <c r="F85" s="44" t="str">
        <f t="array" ref="F85">IF(B85="","",_xlfn.XLOOKUP(B85,'Form responses 1'!$B$2:$B$2604,'Form responses 1'!$D$2:$D$2604,""))</f>
        <v>081369350683</v>
      </c>
      <c r="G85" s="44" t="str">
        <f t="array" ref="G85">IF(B85="","",_xlfn.XLOOKUP(B85,'Form responses 1'!$B$2:$B$2604,'Form responses 1'!$E$2:$E$2604,""))</f>
        <v>SKPT LELANG</v>
      </c>
      <c r="H85" s="44" t="str">
        <f t="array" ref="H85">IF(B85="","",_xlfn.XLOOKUP(B85,'Form responses 1'!$B$2:$B$2604,'Form responses 1'!$F$2:$F$2604,""))</f>
        <v>M. 617/ SAWAH LAMA</v>
      </c>
      <c r="I85" s="44" t="str">
        <f t="array" ref="I85">IF(B85="","",_xlfn.XLOOKUP(B85,'Form responses 1'!$B$2:$B$2604,'Form responses 1'!$I$2:$I$2604,""))</f>
        <v>SAWAH LAMA</v>
      </c>
      <c r="J85" s="44" t="str">
        <f t="array" ref="J85">IF(B85="","",_xlfn.XLOOKUP(B85,'Form responses 1'!$B$2:$B$2604,'Form responses 1'!$G$2:$G$2604,""))</f>
        <v>Hananda</v>
      </c>
      <c r="K85" s="41" t="s">
        <v>422</v>
      </c>
      <c r="L85" s="52">
        <f t="shared" si="7"/>
        <v>45583.33884</v>
      </c>
      <c r="M85" s="47" t="s">
        <v>1874</v>
      </c>
      <c r="N85" s="49"/>
      <c r="O85" s="49"/>
      <c r="P85" s="49"/>
      <c r="Q85" s="49"/>
      <c r="R85" s="49"/>
      <c r="S85" s="49"/>
      <c r="T85" s="49"/>
      <c r="U85" s="49"/>
      <c r="V85" s="49"/>
      <c r="W85" s="41" t="s">
        <v>618</v>
      </c>
      <c r="X85" s="46">
        <f t="shared" si="5"/>
        <v>45583.38537</v>
      </c>
      <c r="Y85" s="50" t="s">
        <v>482</v>
      </c>
      <c r="Z85" s="49">
        <f t="shared" si="6"/>
        <v>1</v>
      </c>
    </row>
    <row r="86" ht="22.5" customHeight="1">
      <c r="B86" s="41" t="s">
        <v>601</v>
      </c>
      <c r="C86" s="43">
        <f t="array" ref="C86">IF(B86="","",_xlfn.XLOOKUP(B86,'Form responses 1'!$B$2:$B$2604,'Form responses 1'!$A$2:$A$2604,""))</f>
        <v>45581.43581</v>
      </c>
      <c r="D86" s="44" t="str">
        <f t="shared" si="3"/>
        <v>K/10/161024/1_45581.4358078009</v>
      </c>
      <c r="E86" s="44" t="str">
        <f t="array" ref="E86">IF(B86="","",_xlfn.XLOOKUP(B86,'Form responses 1'!$B$2:$B$2604,'Form responses 1'!$C$2:$C$2604,""))</f>
        <v>KUMALA RATNA SARI/PANARY SITOPU</v>
      </c>
      <c r="F86" s="44" t="str">
        <f t="array" ref="F86">IF(B86="","",_xlfn.XLOOKUP(B86,'Form responses 1'!$B$2:$B$2604,'Form responses 1'!$D$2:$D$2604,""))</f>
        <v>081361444098</v>
      </c>
      <c r="G86" s="44" t="str">
        <f t="array" ref="G86">IF(B86="","",_xlfn.XLOOKUP(B86,'Form responses 1'!$B$2:$B$2604,'Form responses 1'!$E$2:$E$2604,""))</f>
        <v>PERALIHAN JUAL BELI</v>
      </c>
      <c r="H86" s="44" t="str">
        <f t="array" ref="H86">IF(B86="","",_xlfn.XLOOKUP(B86,'Form responses 1'!$B$2:$B$2604,'Form responses 1'!$F$2:$F$2604,""))</f>
        <v>NIBEL M.2729/GUNUNG SULAH</v>
      </c>
      <c r="I86" s="44" t="str">
        <f t="array" ref="I86">IF(B86="","",_xlfn.XLOOKUP(B86,'Form responses 1'!$B$2:$B$2604,'Form responses 1'!$I$2:$I$2604,""))</f>
        <v>GUNUNG SULAH</v>
      </c>
      <c r="J86" s="44" t="str">
        <f t="array" ref="J86">IF(B86="","",_xlfn.XLOOKUP(B86,'Form responses 1'!$B$2:$B$2604,'Form responses 1'!$G$2:$G$2604,""))</f>
        <v>Baynur</v>
      </c>
      <c r="K86" s="41" t="s">
        <v>422</v>
      </c>
      <c r="L86" s="52">
        <f t="shared" si="7"/>
        <v>45583.33886</v>
      </c>
      <c r="M86" s="49"/>
      <c r="N86" s="49"/>
      <c r="O86" s="49"/>
      <c r="P86" s="49"/>
      <c r="Q86" s="49"/>
      <c r="R86" s="49"/>
      <c r="S86" s="49"/>
      <c r="T86" s="49"/>
      <c r="U86" s="49"/>
      <c r="V86" s="49"/>
      <c r="W86" s="41" t="s">
        <v>618</v>
      </c>
      <c r="X86" s="46">
        <f t="shared" si="5"/>
        <v>45583.49038</v>
      </c>
      <c r="Y86" s="50" t="s">
        <v>482</v>
      </c>
      <c r="Z86" s="49">
        <f t="shared" si="6"/>
        <v>0</v>
      </c>
    </row>
    <row r="87" ht="22.5" customHeight="1">
      <c r="B87" s="41" t="s">
        <v>716</v>
      </c>
      <c r="C87" s="43">
        <f t="array" ref="C87">IF(B87="","",_xlfn.XLOOKUP(B87,'Form responses 1'!$B$2:$B$2604,'Form responses 1'!$A$2:$A$2604,""))</f>
        <v>45581.60372</v>
      </c>
      <c r="D87" s="44" t="str">
        <f t="shared" si="3"/>
        <v>K/37/161024/1_45581.6037247338</v>
      </c>
      <c r="E87" s="44" t="str">
        <f t="array" ref="E87">IF(B87="","",_xlfn.XLOOKUP(B87,'Form responses 1'!$B$2:$B$2604,'Form responses 1'!$C$2:$C$2604,""))</f>
        <v>Nanik Maryani/ Siwi A</v>
      </c>
      <c r="F87" s="44" t="str">
        <f t="array" ref="F87">IF(B87="","",_xlfn.XLOOKUP(B87,'Form responses 1'!$B$2:$B$2604,'Form responses 1'!$D$2:$D$2604,""))</f>
        <v>083178501348</v>
      </c>
      <c r="G87" s="44" t="str">
        <f t="array" ref="G87">IF(B87="","",_xlfn.XLOOKUP(B87,'Form responses 1'!$B$2:$B$2604,'Form responses 1'!$E$2:$E$2604,""))</f>
        <v>BN Jual Beli</v>
      </c>
      <c r="H87" s="44" t="str">
        <f t="array" ref="H87">IF(B87="","",_xlfn.XLOOKUP(B87,'Form responses 1'!$B$2:$B$2604,'Form responses 1'!$F$2:$F$2604,""))</f>
        <v>M. 16119/ Sukabumi</v>
      </c>
      <c r="I87" s="44" t="str">
        <f t="array" ref="I87">IF(B87="","",_xlfn.XLOOKUP(B87,'Form responses 1'!$B$2:$B$2604,'Form responses 1'!$I$2:$I$2604,""))</f>
        <v>Sukabumi</v>
      </c>
      <c r="J87" s="44" t="str">
        <f t="array" ref="J87">IF(B87="","",_xlfn.XLOOKUP(B87,'Form responses 1'!$B$2:$B$2604,'Form responses 1'!$G$2:$G$2604,""))</f>
        <v>Rapita</v>
      </c>
      <c r="K87" s="41" t="s">
        <v>422</v>
      </c>
      <c r="L87" s="52">
        <f t="shared" si="7"/>
        <v>45583.33888</v>
      </c>
      <c r="M87" s="49"/>
      <c r="N87" s="49"/>
      <c r="O87" s="49"/>
      <c r="P87" s="49"/>
      <c r="Q87" s="49"/>
      <c r="R87" s="49"/>
      <c r="S87" s="49"/>
      <c r="T87" s="49"/>
      <c r="U87" s="49"/>
      <c r="V87" s="49"/>
      <c r="W87" s="41" t="s">
        <v>618</v>
      </c>
      <c r="X87" s="46">
        <f t="shared" si="5"/>
        <v>45583.51965</v>
      </c>
      <c r="Y87" s="50" t="s">
        <v>482</v>
      </c>
      <c r="Z87" s="49">
        <f t="shared" si="6"/>
        <v>0</v>
      </c>
    </row>
    <row r="88" ht="22.5" customHeight="1">
      <c r="B88" s="41" t="s">
        <v>853</v>
      </c>
      <c r="C88" s="43">
        <f t="array" ref="C88">IF(B88="","",_xlfn.XLOOKUP(B88,'Form responses 1'!$B$2:$B$2604,'Form responses 1'!$A$2:$A$2604,""))</f>
        <v>45582.56845</v>
      </c>
      <c r="D88" s="44" t="str">
        <f t="shared" si="3"/>
        <v>K/28/171024/2_45582.5684533333</v>
      </c>
      <c r="E88" s="44" t="str">
        <f t="array" ref="E88">IF(B88="","",_xlfn.XLOOKUP(B88,'Form responses 1'!$B$2:$B$2604,'Form responses 1'!$C$2:$C$2604,""))</f>
        <v>Dian Eka Sari/ M. Nizar</v>
      </c>
      <c r="F88" s="44" t="str">
        <f t="array" ref="F88">IF(B88="","",_xlfn.XLOOKUP(B88,'Form responses 1'!$B$2:$B$2604,'Form responses 1'!$D$2:$D$2604,""))</f>
        <v>082282999990</v>
      </c>
      <c r="G88" s="44" t="str">
        <f t="array" ref="G88">IF(B88="","",_xlfn.XLOOKUP(B88,'Form responses 1'!$B$2:$B$2604,'Form responses 1'!$E$2:$E$2604,""))</f>
        <v>BN Jual Beli</v>
      </c>
      <c r="H88" s="44" t="str">
        <f t="array" ref="H88">IF(B88="","",_xlfn.XLOOKUP(B88,'Form responses 1'!$B$2:$B$2604,'Form responses 1'!$F$2:$F$2604,""))</f>
        <v>M. 182/ Way Kandis</v>
      </c>
      <c r="I88" s="44" t="str">
        <f t="array" ref="I88">IF(B88="","",_xlfn.XLOOKUP(B88,'Form responses 1'!$B$2:$B$2604,'Form responses 1'!$I$2:$I$2604,""))</f>
        <v>Way Kandis</v>
      </c>
      <c r="J88" s="44" t="str">
        <f t="array" ref="J88">IF(B88="","",_xlfn.XLOOKUP(B88,'Form responses 1'!$B$2:$B$2604,'Form responses 1'!$G$2:$G$2604,""))</f>
        <v>Rapita</v>
      </c>
      <c r="K88" s="41" t="s">
        <v>422</v>
      </c>
      <c r="L88" s="52">
        <f t="shared" si="7"/>
        <v>45583.33891</v>
      </c>
      <c r="M88" s="49"/>
      <c r="N88" s="49"/>
      <c r="O88" s="49"/>
      <c r="P88" s="49"/>
      <c r="Q88" s="49"/>
      <c r="R88" s="49"/>
      <c r="S88" s="49"/>
      <c r="T88" s="49"/>
      <c r="U88" s="49"/>
      <c r="V88" s="49"/>
      <c r="W88" s="41" t="s">
        <v>618</v>
      </c>
      <c r="X88" s="46">
        <f t="shared" si="5"/>
        <v>45583.65373</v>
      </c>
      <c r="Y88" s="50" t="s">
        <v>482</v>
      </c>
      <c r="Z88" s="49">
        <f t="shared" si="6"/>
        <v>0</v>
      </c>
    </row>
    <row r="89" ht="22.5" customHeight="1">
      <c r="B89" s="41" t="s">
        <v>616</v>
      </c>
      <c r="C89" s="43">
        <f t="array" ref="C89">IF(B89="","",_xlfn.XLOOKUP(B89,'Form responses 1'!$B$2:$B$2604,'Form responses 1'!$A$2:$A$2604,""))</f>
        <v>45581.44041</v>
      </c>
      <c r="D89" s="44" t="str">
        <f t="shared" si="3"/>
        <v>K/14/161024/2_45581.440413206</v>
      </c>
      <c r="E89" s="44" t="str">
        <f t="array" ref="E89">IF(B89="","",_xlfn.XLOOKUP(B89,'Form responses 1'!$B$2:$B$2604,'Form responses 1'!$C$2:$C$2604,""))</f>
        <v>A. Roswantama/ Assabiqun Alpan</v>
      </c>
      <c r="F89" s="44" t="str">
        <f t="array" ref="F89">IF(B89="","",_xlfn.XLOOKUP(B89,'Form responses 1'!$B$2:$B$2604,'Form responses 1'!$D$2:$D$2604,""))</f>
        <v>+62 813-6948-8565</v>
      </c>
      <c r="G89" s="44" t="str">
        <f t="array" ref="G89">IF(B89="","",_xlfn.XLOOKUP(B89,'Form responses 1'!$B$2:$B$2604,'Form responses 1'!$E$2:$E$2604,""))</f>
        <v>BN Jual Beli</v>
      </c>
      <c r="H89" s="44" t="str">
        <f t="array" ref="H89">IF(B89="","",_xlfn.XLOOKUP(B89,'Form responses 1'!$B$2:$B$2604,'Form responses 1'!$F$2:$F$2604,""))</f>
        <v>M. 5621/ Langkapura</v>
      </c>
      <c r="I89" s="44" t="str">
        <f t="array" ref="I89">IF(B89="","",_xlfn.XLOOKUP(B89,'Form responses 1'!$B$2:$B$2604,'Form responses 1'!$I$2:$I$2604,""))</f>
        <v> Langkapura</v>
      </c>
      <c r="J89" s="44" t="str">
        <f t="array" ref="J89">IF(B89="","",_xlfn.XLOOKUP(B89,'Form responses 1'!$B$2:$B$2604,'Form responses 1'!$G$2:$G$2604,""))</f>
        <v>Rapita</v>
      </c>
      <c r="K89" s="41" t="s">
        <v>422</v>
      </c>
      <c r="L89" s="52">
        <f t="shared" si="7"/>
        <v>45583.33893</v>
      </c>
      <c r="M89" s="47" t="s">
        <v>5231</v>
      </c>
      <c r="N89" s="47" t="s">
        <v>5232</v>
      </c>
      <c r="O89" s="47" t="s">
        <v>5233</v>
      </c>
      <c r="P89" s="49"/>
      <c r="Q89" s="49"/>
      <c r="R89" s="49"/>
      <c r="S89" s="49"/>
      <c r="T89" s="49"/>
      <c r="U89" s="49"/>
      <c r="V89" s="49"/>
      <c r="W89" s="41" t="s">
        <v>618</v>
      </c>
      <c r="X89" s="46">
        <f t="shared" si="5"/>
        <v>45607.44117</v>
      </c>
      <c r="Y89" s="50" t="s">
        <v>482</v>
      </c>
      <c r="Z89" s="49">
        <f t="shared" si="6"/>
        <v>3</v>
      </c>
    </row>
    <row r="90" ht="22.5" customHeight="1">
      <c r="B90" s="41" t="s">
        <v>650</v>
      </c>
      <c r="C90" s="43">
        <f t="array" ref="C90">IF(B90="","",_xlfn.XLOOKUP(B90,'Form responses 1'!$B$2:$B$2604,'Form responses 1'!$A$2:$A$2604,""))</f>
        <v>45581.48614</v>
      </c>
      <c r="D90" s="44" t="str">
        <f t="shared" si="3"/>
        <v>K/21/161024/1_45581.486140787</v>
      </c>
      <c r="E90" s="44" t="str">
        <f t="array" ref="E90">IF(B90="","",_xlfn.XLOOKUP(B90,'Form responses 1'!$B$2:$B$2604,'Form responses 1'!$C$2:$C$2604,""))</f>
        <v>Rizki Febrian/ Nuraini Wahyu</v>
      </c>
      <c r="F90" s="44" t="str">
        <f t="array" ref="F90">IF(B90="","",_xlfn.XLOOKUP(B90,'Form responses 1'!$B$2:$B$2604,'Form responses 1'!$D$2:$D$2604,""))</f>
        <v>089527350367</v>
      </c>
      <c r="G90" s="44" t="str">
        <f t="array" ref="G90">IF(B90="","",_xlfn.XLOOKUP(B90,'Form responses 1'!$B$2:$B$2604,'Form responses 1'!$E$2:$E$2604,""))</f>
        <v>BN PHB</v>
      </c>
      <c r="H90" s="44" t="str">
        <f t="array" ref="H90">IF(B90="","",_xlfn.XLOOKUP(B90,'Form responses 1'!$B$2:$B$2604,'Form responses 1'!$F$2:$F$2604,""))</f>
        <v>M. 651/ Durian Payung</v>
      </c>
      <c r="I90" s="44" t="str">
        <f t="array" ref="I90">IF(B90="","",_xlfn.XLOOKUP(B90,'Form responses 1'!$B$2:$B$2604,'Form responses 1'!$I$2:$I$2604,""))</f>
        <v>Durian Payung</v>
      </c>
      <c r="J90" s="44" t="str">
        <f t="array" ref="J90">IF(B90="","",_xlfn.XLOOKUP(B90,'Form responses 1'!$B$2:$B$2604,'Form responses 1'!$G$2:$G$2604,""))</f>
        <v>Rapita</v>
      </c>
      <c r="K90" s="41" t="s">
        <v>422</v>
      </c>
      <c r="L90" s="52">
        <f t="shared" si="7"/>
        <v>45583.33894</v>
      </c>
      <c r="M90" s="47" t="s">
        <v>5234</v>
      </c>
      <c r="N90" s="49"/>
      <c r="O90" s="49"/>
      <c r="P90" s="49"/>
      <c r="Q90" s="49"/>
      <c r="R90" s="49"/>
      <c r="S90" s="49"/>
      <c r="T90" s="49"/>
      <c r="U90" s="49"/>
      <c r="V90" s="49"/>
      <c r="W90" s="41" t="s">
        <v>618</v>
      </c>
      <c r="X90" s="46">
        <f t="shared" si="5"/>
        <v>45597.65569</v>
      </c>
      <c r="Y90" s="50" t="s">
        <v>482</v>
      </c>
      <c r="Z90" s="49">
        <f t="shared" si="6"/>
        <v>1</v>
      </c>
    </row>
    <row r="91" ht="22.5" customHeight="1">
      <c r="B91" s="41" t="s">
        <v>580</v>
      </c>
      <c r="C91" s="43">
        <f t="array" ref="C91">IF(B91="","",_xlfn.XLOOKUP(B91,'Form responses 1'!$B$2:$B$2604,'Form responses 1'!$A$2:$A$2604,""))</f>
        <v>45581.40549</v>
      </c>
      <c r="D91" s="44" t="str">
        <f t="shared" si="3"/>
        <v>K/6/161024/1_45581.4054884375</v>
      </c>
      <c r="E91" s="44" t="str">
        <f t="array" ref="E91">IF(B91="","",_xlfn.XLOOKUP(B91,'Form responses 1'!$B$2:$B$2604,'Form responses 1'!$C$2:$C$2604,""))</f>
        <v>DITO SAPUTRA/ TITIK WIJAYANTI</v>
      </c>
      <c r="F91" s="44" t="str">
        <f t="array" ref="F91">IF(B91="","",_xlfn.XLOOKUP(B91,'Form responses 1'!$B$2:$B$2604,'Form responses 1'!$D$2:$D$2604,""))</f>
        <v>081369350683</v>
      </c>
      <c r="G91" s="44" t="str">
        <f t="array" ref="G91">IF(B91="","",_xlfn.XLOOKUP(B91,'Form responses 1'!$B$2:$B$2604,'Form responses 1'!$E$2:$E$2604,""))</f>
        <v>SKPT LELANG</v>
      </c>
      <c r="H91" s="44" t="str">
        <f t="array" ref="H91">IF(B91="","",_xlfn.XLOOKUP(B91,'Form responses 1'!$B$2:$B$2604,'Form responses 1'!$F$2:$F$2604,""))</f>
        <v>M. 1560/ Bumi Waras</v>
      </c>
      <c r="I91" s="44" t="str">
        <f t="array" ref="I91">IF(B91="","",_xlfn.XLOOKUP(B91,'Form responses 1'!$B$2:$B$2604,'Form responses 1'!$I$2:$I$2604,""))</f>
        <v>Bumi Waras</v>
      </c>
      <c r="J91" s="44" t="str">
        <f t="array" ref="J91">IF(B91="","",_xlfn.XLOOKUP(B91,'Form responses 1'!$B$2:$B$2604,'Form responses 1'!$G$2:$G$2604,""))</f>
        <v>Hananda</v>
      </c>
      <c r="K91" s="41" t="s">
        <v>1233</v>
      </c>
      <c r="L91" s="52">
        <f t="shared" si="7"/>
        <v>45583.41784</v>
      </c>
      <c r="M91" s="49"/>
      <c r="N91" s="49"/>
      <c r="O91" s="49"/>
      <c r="P91" s="49"/>
      <c r="Q91" s="49"/>
      <c r="R91" s="49"/>
      <c r="S91" s="49"/>
      <c r="T91" s="49"/>
      <c r="U91" s="49"/>
      <c r="V91" s="49"/>
      <c r="W91" s="41" t="s">
        <v>618</v>
      </c>
      <c r="X91" s="46">
        <f t="shared" si="5"/>
        <v>45583.42299</v>
      </c>
      <c r="Y91" s="50" t="s">
        <v>482</v>
      </c>
      <c r="Z91" s="49">
        <f t="shared" si="6"/>
        <v>0</v>
      </c>
    </row>
    <row r="92" ht="22.5" customHeight="1">
      <c r="B92" s="41" t="s">
        <v>816</v>
      </c>
      <c r="C92" s="43">
        <f t="array" ref="C92">IF(B92="","",_xlfn.XLOOKUP(B92,'Form responses 1'!$B$2:$B$2604,'Form responses 1'!$A$2:$A$2604,""))</f>
        <v>45582.49113</v>
      </c>
      <c r="D92" s="44" t="str">
        <f t="shared" si="3"/>
        <v>K/20/171024/2_45582.491129375</v>
      </c>
      <c r="E92" s="44" t="str">
        <f t="array" ref="E92">IF(B92="","",_xlfn.XLOOKUP(B92,'Form responses 1'!$B$2:$B$2604,'Form responses 1'!$C$2:$C$2604,""))</f>
        <v>TITIK WIJAYANTI/RIFKI KURNIAWAN SAPUTRA</v>
      </c>
      <c r="F92" s="44" t="str">
        <f t="array" ref="F92">IF(B92="","",_xlfn.XLOOKUP(B92,'Form responses 1'!$B$2:$B$2604,'Form responses 1'!$D$2:$D$2604,""))</f>
        <v>081379016000</v>
      </c>
      <c r="G92" s="44" t="str">
        <f t="array" ref="G92">IF(B92="","",_xlfn.XLOOKUP(B92,'Form responses 1'!$B$2:$B$2604,'Form responses 1'!$E$2:$E$2604,""))</f>
        <v>SKPT </v>
      </c>
      <c r="H92" s="44" t="str">
        <f t="array" ref="H92">IF(B92="","",_xlfn.XLOOKUP(B92,'Form responses 1'!$B$2:$B$2604,'Form responses 1'!$F$2:$F$2604,""))</f>
        <v>M.11594/JAGABAYA II</v>
      </c>
      <c r="I92" s="44" t="str">
        <f t="array" ref="I92">IF(B92="","",_xlfn.XLOOKUP(B92,'Form responses 1'!$B$2:$B$2604,'Form responses 1'!$I$2:$I$2604,""))</f>
        <v>JAGABAYA II</v>
      </c>
      <c r="J92" s="44" t="str">
        <f t="array" ref="J92">IF(B92="","",_xlfn.XLOOKUP(B92,'Form responses 1'!$B$2:$B$2604,'Form responses 1'!$G$2:$G$2604,""))</f>
        <v>Baynur</v>
      </c>
      <c r="K92" s="41" t="s">
        <v>2421</v>
      </c>
      <c r="L92" s="52">
        <f t="shared" si="7"/>
        <v>45583.46973</v>
      </c>
      <c r="M92" s="47" t="s">
        <v>5235</v>
      </c>
      <c r="N92" s="47" t="s">
        <v>5236</v>
      </c>
      <c r="O92" s="49"/>
      <c r="P92" s="49"/>
      <c r="Q92" s="49"/>
      <c r="R92" s="49"/>
      <c r="S92" s="49"/>
      <c r="T92" s="49"/>
      <c r="U92" s="49"/>
      <c r="V92" s="49"/>
      <c r="W92" s="41" t="s">
        <v>618</v>
      </c>
      <c r="X92" s="46">
        <f t="shared" si="5"/>
        <v>45583.46979</v>
      </c>
      <c r="Y92" s="50" t="s">
        <v>482</v>
      </c>
      <c r="Z92" s="49">
        <f t="shared" si="6"/>
        <v>2</v>
      </c>
    </row>
    <row r="93" ht="22.5" customHeight="1">
      <c r="B93" s="41" t="s">
        <v>789</v>
      </c>
      <c r="C93" s="43">
        <f t="array" ref="C93">IF(B93="","",_xlfn.XLOOKUP(B93,'Form responses 1'!$B$2:$B$2604,'Form responses 1'!$A$2:$A$2604,""))</f>
        <v>45582.48166</v>
      </c>
      <c r="D93" s="44" t="str">
        <f t="shared" si="3"/>
        <v>K/15/171024/1_45582.4816578472</v>
      </c>
      <c r="E93" s="44" t="str">
        <f t="array" ref="E93">IF(B93="","",_xlfn.XLOOKUP(B93,'Form responses 1'!$B$2:$B$2604,'Form responses 1'!$C$2:$C$2604,""))</f>
        <v>NISWATUN HASANAH/FAUZIYAH ASTUTI SEMBIRING</v>
      </c>
      <c r="F93" s="44" t="str">
        <f t="array" ref="F93">IF(B93="","",_xlfn.XLOOKUP(B93,'Form responses 1'!$B$2:$B$2604,'Form responses 1'!$D$2:$D$2604,""))</f>
        <v>089634272029</v>
      </c>
      <c r="G93" s="44" t="str">
        <f t="array" ref="G93">IF(B93="","",_xlfn.XLOOKUP(B93,'Form responses 1'!$B$2:$B$2604,'Form responses 1'!$E$2:$E$2604,""))</f>
        <v>PENGUKURAN ULANG</v>
      </c>
      <c r="H93" s="44" t="str">
        <f t="array" ref="H93">IF(B93="","",_xlfn.XLOOKUP(B93,'Form responses 1'!$B$2:$B$2604,'Form responses 1'!$F$2:$F$2604,""))</f>
        <v>M.10543/GEDONG MENENG</v>
      </c>
      <c r="I93" s="44" t="str">
        <f t="array" ref="I93">IF(B93="","",_xlfn.XLOOKUP(B93,'Form responses 1'!$B$2:$B$2604,'Form responses 1'!$I$2:$I$2604,""))</f>
        <v>GEDONG MENENG</v>
      </c>
      <c r="J93" s="44" t="str">
        <f t="array" ref="J93">IF(B93="","",_xlfn.XLOOKUP(B93,'Form responses 1'!$B$2:$B$2604,'Form responses 1'!$G$2:$G$2604,""))</f>
        <v>Baynur</v>
      </c>
      <c r="K93" s="41" t="s">
        <v>1233</v>
      </c>
      <c r="L93" s="52">
        <f t="shared" si="7"/>
        <v>45583.54168</v>
      </c>
      <c r="M93" s="47" t="s">
        <v>5237</v>
      </c>
      <c r="N93" s="49"/>
      <c r="O93" s="49"/>
      <c r="P93" s="49"/>
      <c r="Q93" s="49"/>
      <c r="R93" s="49"/>
      <c r="S93" s="49"/>
      <c r="T93" s="49"/>
      <c r="U93" s="49"/>
      <c r="V93" s="49"/>
      <c r="W93" s="41" t="s">
        <v>618</v>
      </c>
      <c r="X93" s="46">
        <f t="shared" si="5"/>
        <v>45602.49393</v>
      </c>
      <c r="Y93" s="50" t="s">
        <v>482</v>
      </c>
      <c r="Z93" s="49">
        <f t="shared" si="6"/>
        <v>1</v>
      </c>
    </row>
    <row r="94" ht="22.5" customHeight="1">
      <c r="B94" s="41" t="s">
        <v>677</v>
      </c>
      <c r="C94" s="43">
        <f t="array" ref="C94">IF(B94="","",_xlfn.XLOOKUP(B94,'Form responses 1'!$B$2:$B$2604,'Form responses 1'!$A$2:$A$2604,""))</f>
        <v>45581.58029</v>
      </c>
      <c r="D94" s="44" t="str">
        <f t="shared" si="3"/>
        <v>K/28/161024/1_45581.5802902778</v>
      </c>
      <c r="E94" s="44" t="str">
        <f t="array" ref="E94">IF(B94="","",_xlfn.XLOOKUP(B94,'Form responses 1'!$B$2:$B$2604,'Form responses 1'!$C$2:$C$2604,""))</f>
        <v>tony azhari</v>
      </c>
      <c r="F94" s="44" t="str">
        <f t="array" ref="F94">IF(B94="","",_xlfn.XLOOKUP(B94,'Form responses 1'!$B$2:$B$2604,'Form responses 1'!$D$2:$D$2604,""))</f>
        <v>082373759878</v>
      </c>
      <c r="G94" s="44" t="str">
        <f t="array" ref="G94">IF(B94="","",_xlfn.XLOOKUP(B94,'Form responses 1'!$B$2:$B$2604,'Form responses 1'!$E$2:$E$2604,""))</f>
        <v>PEMECAHAN BIDANG</v>
      </c>
      <c r="H94" s="44" t="str">
        <f t="array" ref="H94">IF(B94="","",_xlfn.XLOOKUP(B94,'Form responses 1'!$B$2:$B$2604,'Form responses 1'!$F$2:$F$2604,""))</f>
        <v>M. 68/ Perumnas Way Kandis</v>
      </c>
      <c r="I94" s="44" t="str">
        <f t="array" ref="I94">IF(B94="","",_xlfn.XLOOKUP(B94,'Form responses 1'!$B$2:$B$2604,'Form responses 1'!$I$2:$I$2604,""))</f>
        <v>Perumnas Way Kandis</v>
      </c>
      <c r="J94" s="44" t="str">
        <f t="array" ref="J94">IF(B94="","",_xlfn.XLOOKUP(B94,'Form responses 1'!$B$2:$B$2604,'Form responses 1'!$G$2:$G$2604,""))</f>
        <v>Hananda</v>
      </c>
      <c r="K94" s="41" t="s">
        <v>2875</v>
      </c>
      <c r="L94" s="52">
        <f t="shared" si="7"/>
        <v>45583.57847</v>
      </c>
      <c r="M94" s="49"/>
      <c r="N94" s="49"/>
      <c r="O94" s="49"/>
      <c r="P94" s="49"/>
      <c r="Q94" s="49"/>
      <c r="R94" s="49"/>
      <c r="S94" s="49"/>
      <c r="T94" s="49"/>
      <c r="U94" s="49"/>
      <c r="V94" s="49"/>
      <c r="W94" s="41" t="s">
        <v>618</v>
      </c>
      <c r="X94" s="46">
        <f t="shared" si="5"/>
        <v>45597.39102</v>
      </c>
      <c r="Y94" s="50" t="s">
        <v>482</v>
      </c>
      <c r="Z94" s="49">
        <f t="shared" si="6"/>
        <v>0</v>
      </c>
      <c r="AA94" s="4" t="s">
        <v>5238</v>
      </c>
      <c r="AB94" s="4" t="s">
        <v>5239</v>
      </c>
    </row>
    <row r="95" ht="22.5" customHeight="1">
      <c r="B95" s="41" t="s">
        <v>731</v>
      </c>
      <c r="C95" s="43">
        <f t="array" ref="C95">IF(B95="","",_xlfn.XLOOKUP(B95,'Form responses 1'!$B$2:$B$2604,'Form responses 1'!$A$2:$A$2604,""))</f>
        <v>45581.61617</v>
      </c>
      <c r="D95" s="44" t="str">
        <f t="shared" si="3"/>
        <v>K/40/161024/1_45581.6161740625</v>
      </c>
      <c r="E95" s="44" t="str">
        <f t="array" ref="E95">IF(B95="","",_xlfn.XLOOKUP(B95,'Form responses 1'!$B$2:$B$2604,'Form responses 1'!$C$2:$C$2604,""))</f>
        <v>SULASTRI/CHRISTINA ULINA</v>
      </c>
      <c r="F95" s="44" t="str">
        <f t="array" ref="F95">IF(B95="","",_xlfn.XLOOKUP(B95,'Form responses 1'!$B$2:$B$2604,'Form responses 1'!$D$2:$D$2604,""))</f>
        <v>081369223454</v>
      </c>
      <c r="G95" s="44" t="str">
        <f t="array" ref="G95">IF(B95="","",_xlfn.XLOOKUP(B95,'Form responses 1'!$B$2:$B$2604,'Form responses 1'!$E$2:$E$2604,""))</f>
        <v>HAPUS BPHTB</v>
      </c>
      <c r="H95" s="44" t="str">
        <f t="array" ref="H95">IF(B95="","",_xlfn.XLOOKUP(B95,'Form responses 1'!$B$2:$B$2604,'Form responses 1'!$F$2:$F$2604,""))</f>
        <v>M.5925/TANJUNG SENENG</v>
      </c>
      <c r="I95" s="44" t="str">
        <f t="array" ref="I95">IF(B95="","",_xlfn.XLOOKUP(B95,'Form responses 1'!$B$2:$B$2604,'Form responses 1'!$I$2:$I$2604,""))</f>
        <v>TANJUNG SENENG</v>
      </c>
      <c r="J95" s="44" t="str">
        <f t="array" ref="J95">IF(B95="","",_xlfn.XLOOKUP(B95,'Form responses 1'!$B$2:$B$2604,'Form responses 1'!$G$2:$G$2604,""))</f>
        <v>Baynur</v>
      </c>
      <c r="K95" s="41" t="s">
        <v>2875</v>
      </c>
      <c r="L95" s="52">
        <f t="shared" si="7"/>
        <v>45583.57849</v>
      </c>
      <c r="M95" s="49"/>
      <c r="N95" s="49"/>
      <c r="O95" s="49"/>
      <c r="P95" s="49"/>
      <c r="Q95" s="49"/>
      <c r="R95" s="49"/>
      <c r="S95" s="49"/>
      <c r="T95" s="49"/>
      <c r="U95" s="49"/>
      <c r="V95" s="49"/>
      <c r="W95" s="41" t="s">
        <v>618</v>
      </c>
      <c r="X95" s="46">
        <f t="shared" si="5"/>
        <v>45597.50405</v>
      </c>
      <c r="Y95" s="50" t="s">
        <v>482</v>
      </c>
      <c r="Z95" s="49">
        <f t="shared" si="6"/>
        <v>0</v>
      </c>
      <c r="AA95" s="4" t="s">
        <v>5238</v>
      </c>
      <c r="AB95" s="4" t="s">
        <v>5239</v>
      </c>
    </row>
    <row r="96" ht="22.5" customHeight="1">
      <c r="B96" s="41" t="s">
        <v>749</v>
      </c>
      <c r="C96" s="43">
        <f t="array" ref="C96">IF(B96="","",_xlfn.XLOOKUP(B96,'Form responses 1'!$B$2:$B$2604,'Form responses 1'!$A$2:$A$2604,""))</f>
        <v>45582.41909</v>
      </c>
      <c r="D96" s="44" t="str">
        <f t="shared" si="3"/>
        <v>K/4/171024/1_45582.4190879398</v>
      </c>
      <c r="E96" s="44" t="str">
        <f t="array" ref="E96">IF(B96="","",_xlfn.XLOOKUP(B96,'Form responses 1'!$B$2:$B$2604,'Form responses 1'!$C$2:$C$2604,""))</f>
        <v>IRMA SURYANI HARAHAP/ISMARINA</v>
      </c>
      <c r="F96" s="44" t="str">
        <f t="array" ref="F96">IF(B96="","",_xlfn.XLOOKUP(B96,'Form responses 1'!$B$2:$B$2604,'Form responses 1'!$D$2:$D$2604,""))</f>
        <v>081377641549</v>
      </c>
      <c r="G96" s="44" t="str">
        <f t="array" ref="G96">IF(B96="","",_xlfn.XLOOKUP(B96,'Form responses 1'!$B$2:$B$2604,'Form responses 1'!$E$2:$E$2604,""))</f>
        <v>PENINGKATAN HAK</v>
      </c>
      <c r="H96" s="44" t="str">
        <f t="array" ref="H96">IF(B96="","",_xlfn.XLOOKUP(B96,'Form responses 1'!$B$2:$B$2604,'Form responses 1'!$F$2:$F$2604,""))</f>
        <v>NIBEL B.2410/RAJABASA NUNYAI</v>
      </c>
      <c r="I96" s="44" t="str">
        <f t="array" ref="I96">IF(B96="","",_xlfn.XLOOKUP(B96,'Form responses 1'!$B$2:$B$2604,'Form responses 1'!$I$2:$I$2604,""))</f>
        <v>RAJABASA NUNYAI</v>
      </c>
      <c r="J96" s="44" t="str">
        <f t="array" ref="J96">IF(B96="","",_xlfn.XLOOKUP(B96,'Form responses 1'!$B$2:$B$2604,'Form responses 1'!$G$2:$G$2604,""))</f>
        <v>Baynur</v>
      </c>
      <c r="K96" s="41" t="s">
        <v>2875</v>
      </c>
      <c r="L96" s="52">
        <f t="shared" si="7"/>
        <v>45583.57852</v>
      </c>
      <c r="M96" s="49"/>
      <c r="N96" s="49"/>
      <c r="O96" s="49"/>
      <c r="P96" s="49"/>
      <c r="Q96" s="49"/>
      <c r="R96" s="49"/>
      <c r="S96" s="49"/>
      <c r="T96" s="49"/>
      <c r="U96" s="49"/>
      <c r="V96" s="49"/>
      <c r="W96" s="41" t="s">
        <v>618</v>
      </c>
      <c r="X96" s="46">
        <f t="shared" si="5"/>
        <v>45597.50406</v>
      </c>
      <c r="Y96" s="50" t="s">
        <v>482</v>
      </c>
      <c r="Z96" s="49">
        <f t="shared" si="6"/>
        <v>0</v>
      </c>
      <c r="AA96" s="4" t="s">
        <v>5238</v>
      </c>
      <c r="AB96" s="4" t="s">
        <v>5239</v>
      </c>
    </row>
    <row r="97" ht="22.5" customHeight="1">
      <c r="B97" s="41" t="s">
        <v>940</v>
      </c>
      <c r="C97" s="43">
        <f t="array" ref="C97">IF(B97="","",_xlfn.XLOOKUP(B97,'Form responses 1'!$B$2:$B$2604,'Form responses 1'!$A$2:$A$2604,""))</f>
        <v>45582.62064</v>
      </c>
      <c r="D97" s="44" t="str">
        <f t="shared" si="3"/>
        <v>K/50/171024/3_45582.6206360185</v>
      </c>
      <c r="E97" s="44" t="str">
        <f t="array" ref="E97">IF(B97="","",_xlfn.XLOOKUP(B97,'Form responses 1'!$B$2:$B$2604,'Form responses 1'!$C$2:$C$2604,""))</f>
        <v>Fahrul Rozi/ I Putu Purwa</v>
      </c>
      <c r="F97" s="44" t="str">
        <f t="array" ref="F97">IF(B97="","",_xlfn.XLOOKUP(B97,'Form responses 1'!$B$2:$B$2604,'Form responses 1'!$D$2:$D$2604,""))</f>
        <v>+62 821-7585-0002</v>
      </c>
      <c r="G97" s="44" t="str">
        <f t="array" ref="G97">IF(B97="","",_xlfn.XLOOKUP(B97,'Form responses 1'!$B$2:$B$2604,'Form responses 1'!$E$2:$E$2604,""))</f>
        <v>Roya</v>
      </c>
      <c r="H97" s="44" t="str">
        <f t="array" ref="H97">IF(B97="","",_xlfn.XLOOKUP(B97,'Form responses 1'!$B$2:$B$2604,'Form responses 1'!$F$2:$F$2604,""))</f>
        <v>M. 2502/ Kemiling Permai- B. 248/ Kemiling Permai-dahulu</v>
      </c>
      <c r="I97" s="44" t="str">
        <f t="array" ref="I97">IF(B97="","",_xlfn.XLOOKUP(B97,'Form responses 1'!$B$2:$B$2604,'Form responses 1'!$I$2:$I$2604,""))</f>
        <v>Kemiling Permai</v>
      </c>
      <c r="J97" s="44" t="str">
        <f t="array" ref="J97">IF(B97="","",_xlfn.XLOOKUP(B97,'Form responses 1'!$B$2:$B$2604,'Form responses 1'!$G$2:$G$2604,""))</f>
        <v>Rapita</v>
      </c>
      <c r="K97" s="41" t="s">
        <v>2875</v>
      </c>
      <c r="L97" s="52">
        <f t="shared" si="7"/>
        <v>45583.57856</v>
      </c>
      <c r="M97" s="49"/>
      <c r="N97" s="49"/>
      <c r="O97" s="49"/>
      <c r="P97" s="49"/>
      <c r="Q97" s="49"/>
      <c r="R97" s="49"/>
      <c r="S97" s="49"/>
      <c r="T97" s="49"/>
      <c r="U97" s="49"/>
      <c r="V97" s="49"/>
      <c r="W97" s="41" t="s">
        <v>618</v>
      </c>
      <c r="X97" s="46">
        <f t="shared" si="5"/>
        <v>45597.50541</v>
      </c>
      <c r="Y97" s="50" t="s">
        <v>482</v>
      </c>
      <c r="Z97" s="49">
        <f t="shared" si="6"/>
        <v>0</v>
      </c>
      <c r="AA97" s="4" t="s">
        <v>5238</v>
      </c>
      <c r="AB97" s="4" t="s">
        <v>5239</v>
      </c>
    </row>
    <row r="98" ht="22.5" customHeight="1">
      <c r="B98" s="41" t="s">
        <v>775</v>
      </c>
      <c r="C98" s="43">
        <f t="array" ref="C98">IF(B98="","",_xlfn.XLOOKUP(B98,'Form responses 1'!$B$2:$B$2604,'Form responses 1'!$A$2:$A$2604,""))</f>
        <v>45582.45851</v>
      </c>
      <c r="D98" s="44" t="str">
        <f t="shared" si="3"/>
        <v>L/11/171024/1_45582.4585064468</v>
      </c>
      <c r="E98" s="44" t="str">
        <f t="array" ref="E98">IF(B98="","",_xlfn.XLOOKUP(B98,'Form responses 1'!$B$2:$B$2604,'Form responses 1'!$C$2:$C$2604,""))</f>
        <v>SYAMSUARDI</v>
      </c>
      <c r="F98" s="44" t="str">
        <f t="array" ref="F98">IF(B98="","",_xlfn.XLOOKUP(B98,'Form responses 1'!$B$2:$B$2604,'Form responses 1'!$D$2:$D$2604,""))</f>
        <v>081376166504</v>
      </c>
      <c r="G98" s="44" t="str">
        <f t="array" ref="G98">IF(B98="","",_xlfn.XLOOKUP(B98,'Form responses 1'!$B$2:$B$2604,'Form responses 1'!$E$2:$E$2604,""))</f>
        <v>ROYA</v>
      </c>
      <c r="H98" s="44" t="str">
        <f t="array" ref="H98">IF(B98="","",_xlfn.XLOOKUP(B98,'Form responses 1'!$B$2:$B$2604,'Form responses 1'!$F$2:$F$2604,""))</f>
        <v>HGB 416/WAY KANDIS</v>
      </c>
      <c r="I98" s="44" t="str">
        <f t="array" ref="I98">IF(B98="","",_xlfn.XLOOKUP(B98,'Form responses 1'!$B$2:$B$2604,'Form responses 1'!$I$2:$I$2604,""))</f>
        <v>WAY KANDIS</v>
      </c>
      <c r="J98" s="44" t="str">
        <f t="array" ref="J98">IF(B98="","",_xlfn.XLOOKUP(B98,'Form responses 1'!$B$2:$B$2604,'Form responses 1'!$G$2:$G$2604,""))</f>
        <v>Deby</v>
      </c>
      <c r="K98" s="41" t="s">
        <v>2875</v>
      </c>
      <c r="L98" s="52">
        <f t="shared" si="7"/>
        <v>45583.57858</v>
      </c>
      <c r="M98" s="49"/>
      <c r="N98" s="49"/>
      <c r="O98" s="49"/>
      <c r="P98" s="49"/>
      <c r="Q98" s="49"/>
      <c r="R98" s="49"/>
      <c r="S98" s="49"/>
      <c r="T98" s="49"/>
      <c r="U98" s="49"/>
      <c r="V98" s="49"/>
      <c r="W98" s="41" t="s">
        <v>618</v>
      </c>
      <c r="X98" s="46">
        <f t="shared" si="5"/>
        <v>45597.50408</v>
      </c>
      <c r="Y98" s="50" t="s">
        <v>482</v>
      </c>
      <c r="Z98" s="49">
        <f t="shared" si="6"/>
        <v>0</v>
      </c>
      <c r="AA98" s="4" t="s">
        <v>5238</v>
      </c>
      <c r="AB98" s="4" t="s">
        <v>5239</v>
      </c>
    </row>
    <row r="99" ht="22.5" customHeight="1">
      <c r="B99" s="41" t="s">
        <v>937</v>
      </c>
      <c r="C99" s="43">
        <f t="array" ref="C99">IF(B99="","",_xlfn.XLOOKUP(B99,'Form responses 1'!$B$2:$B$2604,'Form responses 1'!$A$2:$A$2604,""))</f>
        <v>45582.61983</v>
      </c>
      <c r="D99" s="44" t="str">
        <f t="shared" si="3"/>
        <v>K/49/171024/2_45582.6198306019</v>
      </c>
      <c r="E99" s="44" t="str">
        <f t="array" ref="E99">IF(B99="","",_xlfn.XLOOKUP(B99,'Form responses 1'!$B$2:$B$2604,'Form responses 1'!$C$2:$C$2604,""))</f>
        <v>Fahrul Rozi/ Harlinda</v>
      </c>
      <c r="F99" s="44" t="str">
        <f t="array" ref="F99">IF(B99="","",_xlfn.XLOOKUP(B99,'Form responses 1'!$B$2:$B$2604,'Form responses 1'!$D$2:$D$2604,""))</f>
        <v>+62 821-7585-0002</v>
      </c>
      <c r="G99" s="44" t="str">
        <f t="array" ref="G99">IF(B99="","",_xlfn.XLOOKUP(B99,'Form responses 1'!$B$2:$B$2604,'Form responses 1'!$E$2:$E$2604,""))</f>
        <v>BN Jual Beli</v>
      </c>
      <c r="H99" s="44" t="str">
        <f t="array" ref="H99">IF(B99="","",_xlfn.XLOOKUP(B99,'Form responses 1'!$B$2:$B$2604,'Form responses 1'!$F$2:$F$2604,""))</f>
        <v>M. 3265/ Gedong Air</v>
      </c>
      <c r="I99" s="44" t="str">
        <f t="array" ref="I99">IF(B99="","",_xlfn.XLOOKUP(B99,'Form responses 1'!$B$2:$B$2604,'Form responses 1'!$I$2:$I$2604,""))</f>
        <v>Gedong Air</v>
      </c>
      <c r="J99" s="44" t="str">
        <f t="array" ref="J99">IF(B99="","",_xlfn.XLOOKUP(B99,'Form responses 1'!$B$2:$B$2604,'Form responses 1'!$G$2:$G$2604,""))</f>
        <v>Rapita</v>
      </c>
      <c r="K99" s="41" t="s">
        <v>2875</v>
      </c>
      <c r="L99" s="52">
        <f t="shared" si="7"/>
        <v>45583.5786</v>
      </c>
      <c r="M99" s="47" t="s">
        <v>5240</v>
      </c>
      <c r="N99" s="47" t="s">
        <v>5241</v>
      </c>
      <c r="O99" s="47" t="s">
        <v>5242</v>
      </c>
      <c r="P99" s="47" t="s">
        <v>5243</v>
      </c>
      <c r="Q99" s="47" t="s">
        <v>5244</v>
      </c>
      <c r="R99" s="47" t="s">
        <v>5245</v>
      </c>
      <c r="S99" s="49"/>
      <c r="T99" s="49"/>
      <c r="U99" s="49"/>
      <c r="V99" s="49"/>
      <c r="W99" s="41" t="s">
        <v>470</v>
      </c>
      <c r="X99" s="46">
        <f t="shared" si="5"/>
        <v>45600.40901</v>
      </c>
      <c r="Y99" s="50" t="s">
        <v>482</v>
      </c>
      <c r="Z99" s="49">
        <f t="shared" si="6"/>
        <v>6</v>
      </c>
    </row>
    <row r="100" ht="22.5" customHeight="1">
      <c r="B100" s="41" t="s">
        <v>840</v>
      </c>
      <c r="C100" s="43">
        <f t="array" ref="C100">IF(B100="","",_xlfn.XLOOKUP(B100,'Form responses 1'!$B$2:$B$2604,'Form responses 1'!$A$2:$A$2604,""))</f>
        <v>45582.56278</v>
      </c>
      <c r="D100" s="44" t="str">
        <f t="shared" si="3"/>
        <v>K/26/171024/2_45582.5627759259</v>
      </c>
      <c r="E100" s="44" t="str">
        <f t="array" ref="E100">IF(B100="","",_xlfn.XLOOKUP(B100,'Form responses 1'!$B$2:$B$2604,'Form responses 1'!$C$2:$C$2604,""))</f>
        <v>Ilanur/ Dhita A</v>
      </c>
      <c r="F100" s="44" t="str">
        <f t="array" ref="F100">IF(B100="","",_xlfn.XLOOKUP(B100,'Form responses 1'!$B$2:$B$2604,'Form responses 1'!$D$2:$D$2604,""))</f>
        <v>08979122178</v>
      </c>
      <c r="G100" s="44" t="str">
        <f t="array" ref="G100">IF(B100="","",_xlfn.XLOOKUP(B100,'Form responses 1'!$B$2:$B$2604,'Form responses 1'!$E$2:$E$2604,""))</f>
        <v>BN Jual Beli</v>
      </c>
      <c r="H100" s="44" t="str">
        <f t="array" ref="H100">IF(B100="","",_xlfn.XLOOKUP(B100,'Form responses 1'!$B$2:$B$2604,'Form responses 1'!$F$2:$F$2604,""))</f>
        <v>Nibel. M. 1066/ Sukarame Baru</v>
      </c>
      <c r="I100" s="44" t="str">
        <f t="array" ref="I100">IF(B100="","",_xlfn.XLOOKUP(B100,'Form responses 1'!$B$2:$B$2604,'Form responses 1'!$I$2:$I$2604,""))</f>
        <v>Sukarame Baru</v>
      </c>
      <c r="J100" s="44" t="str">
        <f t="array" ref="J100">IF(B100="","",_xlfn.XLOOKUP(B100,'Form responses 1'!$B$2:$B$2604,'Form responses 1'!$G$2:$G$2604,""))</f>
        <v>Rapita</v>
      </c>
      <c r="K100" s="41" t="s">
        <v>2875</v>
      </c>
      <c r="L100" s="52">
        <f t="shared" si="7"/>
        <v>45583.57862</v>
      </c>
      <c r="M100" s="47" t="s">
        <v>5246</v>
      </c>
      <c r="N100" s="47" t="s">
        <v>5247</v>
      </c>
      <c r="O100" s="49"/>
      <c r="P100" s="49"/>
      <c r="Q100" s="49"/>
      <c r="R100" s="49"/>
      <c r="S100" s="49"/>
      <c r="T100" s="49"/>
      <c r="U100" s="49"/>
      <c r="V100" s="49"/>
      <c r="W100" s="41" t="s">
        <v>618</v>
      </c>
      <c r="X100" s="46">
        <f t="shared" si="5"/>
        <v>45589.57169</v>
      </c>
      <c r="Y100" s="50" t="s">
        <v>482</v>
      </c>
      <c r="Z100" s="49">
        <f t="shared" si="6"/>
        <v>2</v>
      </c>
    </row>
    <row r="101" ht="22.5" customHeight="1">
      <c r="B101" s="41" t="s">
        <v>812</v>
      </c>
      <c r="C101" s="43">
        <f t="array" ref="C101">IF(B101="","",_xlfn.XLOOKUP(B101,'Form responses 1'!$B$2:$B$2604,'Form responses 1'!$A$2:$A$2604,""))</f>
        <v>45582.49082</v>
      </c>
      <c r="D101" s="44" t="str">
        <f t="shared" si="3"/>
        <v>K/21/171024/2_45582.4908203125</v>
      </c>
      <c r="E101" s="44" t="str">
        <f t="array" ref="E101">IF(B101="","",_xlfn.XLOOKUP(B101,'Form responses 1'!$B$2:$B$2604,'Form responses 1'!$C$2:$C$2604,""))</f>
        <v>ali lius / hefrizin qq putri naura</v>
      </c>
      <c r="F101" s="44" t="str">
        <f t="array" ref="F101">IF(B101="","",_xlfn.XLOOKUP(B101,'Form responses 1'!$B$2:$B$2604,'Form responses 1'!$D$2:$D$2604,""))</f>
        <v>082279404843</v>
      </c>
      <c r="G101" s="44" t="str">
        <f t="array" ref="G101">IF(B101="","",_xlfn.XLOOKUP(B101,'Form responses 1'!$B$2:$B$2604,'Form responses 1'!$E$2:$E$2604,""))</f>
        <v>BN Jual Beli</v>
      </c>
      <c r="H101" s="44" t="str">
        <f t="array" ref="H101">IF(B101="","",_xlfn.XLOOKUP(B101,'Form responses 1'!$B$2:$B$2604,'Form responses 1'!$F$2:$F$2604,""))</f>
        <v>M. 128/ Kemiling Raya</v>
      </c>
      <c r="I101" s="44" t="str">
        <f t="array" ref="I101">IF(B101="","",_xlfn.XLOOKUP(B101,'Form responses 1'!$B$2:$B$2604,'Form responses 1'!$I$2:$I$2604,""))</f>
        <v>Kemiling Raya</v>
      </c>
      <c r="J101" s="44" t="str">
        <f t="array" ref="J101">IF(B101="","",_xlfn.XLOOKUP(B101,'Form responses 1'!$B$2:$B$2604,'Form responses 1'!$G$2:$G$2604,""))</f>
        <v>Hananda</v>
      </c>
      <c r="K101" s="41" t="s">
        <v>2875</v>
      </c>
      <c r="L101" s="52">
        <f t="shared" si="7"/>
        <v>45583.57865</v>
      </c>
      <c r="M101" s="47" t="s">
        <v>5248</v>
      </c>
      <c r="N101" s="47" t="s">
        <v>5249</v>
      </c>
      <c r="O101" s="47" t="s">
        <v>5250</v>
      </c>
      <c r="P101" s="49"/>
      <c r="Q101" s="49"/>
      <c r="R101" s="49"/>
      <c r="S101" s="49"/>
      <c r="T101" s="49"/>
      <c r="U101" s="49"/>
      <c r="V101" s="49"/>
      <c r="W101" s="41" t="s">
        <v>618</v>
      </c>
      <c r="X101" s="46">
        <f t="shared" si="5"/>
        <v>45602.67879</v>
      </c>
      <c r="Y101" s="50" t="s">
        <v>482</v>
      </c>
      <c r="Z101" s="49">
        <f t="shared" si="6"/>
        <v>3</v>
      </c>
    </row>
    <row r="102" ht="22.5" customHeight="1">
      <c r="B102" s="41" t="s">
        <v>772</v>
      </c>
      <c r="C102" s="43">
        <f t="array" ref="C102">IF(B102="","",_xlfn.XLOOKUP(B102,'Form responses 1'!$B$2:$B$2604,'Form responses 1'!$A$2:$A$2604,""))</f>
        <v>45582.45584</v>
      </c>
      <c r="D102" s="44" t="str">
        <f t="shared" si="3"/>
        <v>K/10/171024/2_45582.4558408449</v>
      </c>
      <c r="E102" s="44" t="str">
        <f t="array" ref="E102">IF(B102="","",_xlfn.XLOOKUP(B102,'Form responses 1'!$B$2:$B$2604,'Form responses 1'!$C$2:$C$2604,""))</f>
        <v>EKA SARI TAHERAH/ DENDI INDRAJAYA</v>
      </c>
      <c r="F102" s="44" t="str">
        <f t="array" ref="F102">IF(B102="","",_xlfn.XLOOKUP(B102,'Form responses 1'!$B$2:$B$2604,'Form responses 1'!$D$2:$D$2604,""))</f>
        <v>0895363114046</v>
      </c>
      <c r="G102" s="44" t="str">
        <f t="array" ref="G102">IF(B102="","",_xlfn.XLOOKUP(B102,'Form responses 1'!$B$2:$B$2604,'Form responses 1'!$E$2:$E$2604,""))</f>
        <v>BN JUAL BELI</v>
      </c>
      <c r="H102" s="44" t="str">
        <f t="array" ref="H102">IF(B102="","",_xlfn.XLOOKUP(B102,'Form responses 1'!$B$2:$B$2604,'Form responses 1'!$F$2:$F$2604,""))</f>
        <v>M. 511/ PEMATANG WANGI</v>
      </c>
      <c r="I102" s="44" t="str">
        <f t="array" ref="I102">IF(B102="","",_xlfn.XLOOKUP(B102,'Form responses 1'!$B$2:$B$2604,'Form responses 1'!$I$2:$I$2604,""))</f>
        <v>PEMATANG WANGI</v>
      </c>
      <c r="J102" s="44" t="str">
        <f t="array" ref="J102">IF(B102="","",_xlfn.XLOOKUP(B102,'Form responses 1'!$B$2:$B$2604,'Form responses 1'!$G$2:$G$2604,""))</f>
        <v>Hananda</v>
      </c>
      <c r="K102" s="41" t="s">
        <v>2875</v>
      </c>
      <c r="L102" s="52">
        <f t="shared" si="7"/>
        <v>45583.57867</v>
      </c>
      <c r="M102" s="49"/>
      <c r="N102" s="49"/>
      <c r="O102" s="49"/>
      <c r="P102" s="49"/>
      <c r="Q102" s="49"/>
      <c r="R102" s="49"/>
      <c r="S102" s="49"/>
      <c r="T102" s="49"/>
      <c r="U102" s="49"/>
      <c r="V102" s="49"/>
      <c r="W102" s="41" t="s">
        <v>618</v>
      </c>
      <c r="X102" s="46">
        <f t="shared" si="5"/>
        <v>45589.54852</v>
      </c>
      <c r="Y102" s="50" t="s">
        <v>482</v>
      </c>
      <c r="Z102" s="49">
        <f t="shared" si="6"/>
        <v>0</v>
      </c>
    </row>
    <row r="103" ht="22.5" customHeight="1">
      <c r="B103" s="41" t="s">
        <v>727</v>
      </c>
      <c r="C103" s="43">
        <f t="array" ref="C103">IF(B103="","",_xlfn.XLOOKUP(B103,'Form responses 1'!$B$2:$B$2604,'Form responses 1'!$A$2:$A$2604,""))</f>
        <v>45581.61554</v>
      </c>
      <c r="D103" s="44" t="str">
        <f t="shared" si="3"/>
        <v>K/39/161024/1_45581.6155439699</v>
      </c>
      <c r="E103" s="44" t="str">
        <f t="array" ref="E103">IF(B103="","",_xlfn.XLOOKUP(B103,'Form responses 1'!$B$2:$B$2604,'Form responses 1'!$C$2:$C$2604,""))</f>
        <v>IG YOGA/ DEBI HARDIAN</v>
      </c>
      <c r="F103" s="44" t="str">
        <f t="array" ref="F103">IF(B103="","",_xlfn.XLOOKUP(B103,'Form responses 1'!$B$2:$B$2604,'Form responses 1'!$D$2:$D$2604,""))</f>
        <v>085234301007</v>
      </c>
      <c r="G103" s="44" t="str">
        <f t="array" ref="G103">IF(B103="","",_xlfn.XLOOKUP(B103,'Form responses 1'!$B$2:$B$2604,'Form responses 1'!$E$2:$E$2604,""))</f>
        <v>BN Jual Beli</v>
      </c>
      <c r="H103" s="44" t="str">
        <f t="array" ref="H103">IF(B103="","",_xlfn.XLOOKUP(B103,'Form responses 1'!$B$2:$B$2604,'Form responses 1'!$F$2:$F$2604,""))</f>
        <v>M. 1812/ Rajabasa Nunyai-</v>
      </c>
      <c r="I103" s="44" t="str">
        <f t="array" ref="I103">IF(B103="","",_xlfn.XLOOKUP(B103,'Form responses 1'!$B$2:$B$2604,'Form responses 1'!$I$2:$I$2604,""))</f>
        <v>M. 1812/ Rajabasa Nunyai-sekarang; M. 10019/ Rajabasa Nunyai-dahulu</v>
      </c>
      <c r="J103" s="44" t="str">
        <f t="array" ref="J103">IF(B103="","",_xlfn.XLOOKUP(B103,'Form responses 1'!$B$2:$B$2604,'Form responses 1'!$G$2:$G$2604,""))</f>
        <v>Hananda</v>
      </c>
      <c r="K103" s="41" t="s">
        <v>2875</v>
      </c>
      <c r="L103" s="52">
        <f t="shared" si="7"/>
        <v>45583.57869</v>
      </c>
      <c r="M103" s="47" t="s">
        <v>5251</v>
      </c>
      <c r="N103" s="49"/>
      <c r="O103" s="49"/>
      <c r="P103" s="49"/>
      <c r="Q103" s="49"/>
      <c r="R103" s="49"/>
      <c r="S103" s="49"/>
      <c r="T103" s="49"/>
      <c r="U103" s="49"/>
      <c r="V103" s="49"/>
      <c r="W103" s="41" t="s">
        <v>618</v>
      </c>
      <c r="X103" s="46">
        <f t="shared" si="5"/>
        <v>45600.65453</v>
      </c>
      <c r="Y103" s="50" t="s">
        <v>482</v>
      </c>
      <c r="Z103" s="49">
        <f t="shared" si="6"/>
        <v>1</v>
      </c>
    </row>
    <row r="104" ht="22.5" customHeight="1">
      <c r="B104" s="41" t="s">
        <v>673</v>
      </c>
      <c r="C104" s="43">
        <f t="array" ref="C104">IF(B104="","",_xlfn.XLOOKUP(B104,'Form responses 1'!$B$2:$B$2604,'Form responses 1'!$A$2:$A$2604,""))</f>
        <v>45581.5797</v>
      </c>
      <c r="D104" s="44" t="str">
        <f t="shared" si="3"/>
        <v>K/27/161024/1_45581.579703831</v>
      </c>
      <c r="E104" s="44" t="str">
        <f t="array" ref="E104">IF(B104="","",_xlfn.XLOOKUP(B104,'Form responses 1'!$B$2:$B$2604,'Form responses 1'!$C$2:$C$2604,""))</f>
        <v>Fahrul Rozi/ Kevin A S P</v>
      </c>
      <c r="F104" s="44" t="str">
        <f t="array" ref="F104">IF(B104="","",_xlfn.XLOOKUP(B104,'Form responses 1'!$B$2:$B$2604,'Form responses 1'!$D$2:$D$2604,""))</f>
        <v>+62 821-7585-0002</v>
      </c>
      <c r="G104" s="44" t="str">
        <f t="array" ref="G104">IF(B104="","",_xlfn.XLOOKUP(B104,'Form responses 1'!$B$2:$B$2604,'Form responses 1'!$E$2:$E$2604,""))</f>
        <v>BN Jual Beli</v>
      </c>
      <c r="H104" s="44" t="str">
        <f t="array" ref="H104">IF(B104="","",_xlfn.XLOOKUP(B104,'Form responses 1'!$B$2:$B$2604,'Form responses 1'!$F$2:$F$2604,""))</f>
        <v>M. 12564/ Rajabasa Nunyai; 1137/ Rajabasa Dahulu</v>
      </c>
      <c r="I104" s="44" t="str">
        <f t="array" ref="I104">IF(B104="","",_xlfn.XLOOKUP(B104,'Form responses 1'!$B$2:$B$2604,'Form responses 1'!$I$2:$I$2604,""))</f>
        <v>Rajabasa Nunyai</v>
      </c>
      <c r="J104" s="44" t="str">
        <f t="array" ref="J104">IF(B104="","",_xlfn.XLOOKUP(B104,'Form responses 1'!$B$2:$B$2604,'Form responses 1'!$G$2:$G$2604,""))</f>
        <v>Rapita</v>
      </c>
      <c r="K104" s="41" t="s">
        <v>2875</v>
      </c>
      <c r="L104" s="52">
        <f t="shared" si="7"/>
        <v>45583.57871</v>
      </c>
      <c r="M104" s="47" t="s">
        <v>5252</v>
      </c>
      <c r="N104" s="47" t="s">
        <v>5253</v>
      </c>
      <c r="O104" s="49"/>
      <c r="P104" s="49"/>
      <c r="Q104" s="49"/>
      <c r="R104" s="49"/>
      <c r="S104" s="49"/>
      <c r="T104" s="49"/>
      <c r="U104" s="49"/>
      <c r="V104" s="49"/>
      <c r="W104" s="41" t="s">
        <v>618</v>
      </c>
      <c r="X104" s="46">
        <f t="shared" si="5"/>
        <v>45590.6636</v>
      </c>
      <c r="Y104" s="50" t="s">
        <v>482</v>
      </c>
      <c r="Z104" s="49">
        <f t="shared" si="6"/>
        <v>2</v>
      </c>
    </row>
    <row r="105" ht="22.5" customHeight="1">
      <c r="B105" s="41" t="s">
        <v>704</v>
      </c>
      <c r="C105" s="43">
        <f t="array" ref="C105">IF(B105="","",_xlfn.XLOOKUP(B105,'Form responses 1'!$B$2:$B$2604,'Form responses 1'!$A$2:$A$2604,""))</f>
        <v>45581.58978</v>
      </c>
      <c r="D105" s="44" t="str">
        <f t="shared" si="3"/>
        <v>K/33/161024/2_45581.5897755208</v>
      </c>
      <c r="E105" s="44" t="str">
        <f t="array" ref="E105">IF(B105="","",_xlfn.XLOOKUP(B105,'Form responses 1'!$B$2:$B$2604,'Form responses 1'!$C$2:$C$2604,""))</f>
        <v>ENDANG APRILIA/ WAHYU</v>
      </c>
      <c r="F105" s="44" t="str">
        <f t="array" ref="F105">IF(B105="","",_xlfn.XLOOKUP(B105,'Form responses 1'!$B$2:$B$2604,'Form responses 1'!$D$2:$D$2604,""))</f>
        <v>082177803999</v>
      </c>
      <c r="G105" s="44" t="str">
        <f t="array" ref="G105">IF(B105="","",_xlfn.XLOOKUP(B105,'Form responses 1'!$B$2:$B$2604,'Form responses 1'!$E$2:$E$2604,""))</f>
        <v>BN JUAL BELI</v>
      </c>
      <c r="H105" s="44" t="str">
        <f t="array" ref="H105">IF(B105="","",_xlfn.XLOOKUP(B105,'Form responses 1'!$B$2:$B$2604,'Form responses 1'!$F$2:$F$2604,""))</f>
        <v>B. 592/ SUMBER AGUNG</v>
      </c>
      <c r="I105" s="44" t="str">
        <f t="array" ref="I105">IF(B105="","",_xlfn.XLOOKUP(B105,'Form responses 1'!$B$2:$B$2604,'Form responses 1'!$I$2:$I$2604,""))</f>
        <v>SUMBER AGUNG</v>
      </c>
      <c r="J105" s="44" t="str">
        <f t="array" ref="J105">IF(B105="","",_xlfn.XLOOKUP(B105,'Form responses 1'!$B$2:$B$2604,'Form responses 1'!$G$2:$G$2604,""))</f>
        <v>Hananda</v>
      </c>
      <c r="K105" s="41" t="s">
        <v>2875</v>
      </c>
      <c r="L105" s="52">
        <f t="shared" si="7"/>
        <v>45583.57874</v>
      </c>
      <c r="M105" s="47" t="s">
        <v>5254</v>
      </c>
      <c r="N105" s="47" t="s">
        <v>5255</v>
      </c>
      <c r="O105" s="49"/>
      <c r="P105" s="49"/>
      <c r="Q105" s="49"/>
      <c r="R105" s="49"/>
      <c r="S105" s="49"/>
      <c r="T105" s="49"/>
      <c r="U105" s="49"/>
      <c r="V105" s="49"/>
      <c r="W105" s="41" t="s">
        <v>618</v>
      </c>
      <c r="X105" s="46">
        <f t="shared" si="5"/>
        <v>45597.6409</v>
      </c>
      <c r="Y105" s="50" t="s">
        <v>482</v>
      </c>
      <c r="Z105" s="49">
        <f t="shared" si="6"/>
        <v>2</v>
      </c>
    </row>
    <row r="106" ht="22.5" customHeight="1">
      <c r="B106" s="41" t="s">
        <v>611</v>
      </c>
      <c r="C106" s="43">
        <f t="array" ref="C106">IF(B106="","",_xlfn.XLOOKUP(B106,'Form responses 1'!$B$2:$B$2604,'Form responses 1'!$A$2:$A$2604,""))</f>
        <v>45581.43797</v>
      </c>
      <c r="D106" s="44" t="str">
        <f t="shared" si="3"/>
        <v>K/13/161024/1_45581.4379712616</v>
      </c>
      <c r="E106" s="44" t="str">
        <f t="array" ref="E106">IF(B106="","",_xlfn.XLOOKUP(B106,'Form responses 1'!$B$2:$B$2604,'Form responses 1'!$C$2:$C$2604,""))</f>
        <v>A. Roswantama/ Mardi</v>
      </c>
      <c r="F106" s="44" t="str">
        <f t="array" ref="F106">IF(B106="","",_xlfn.XLOOKUP(B106,'Form responses 1'!$B$2:$B$2604,'Form responses 1'!$D$2:$D$2604,""))</f>
        <v>+62 813-6948-8565</v>
      </c>
      <c r="G106" s="44" t="str">
        <f t="array" ref="G106">IF(B106="","",_xlfn.XLOOKUP(B106,'Form responses 1'!$B$2:$B$2604,'Form responses 1'!$E$2:$E$2604,""))</f>
        <v>BN Jual Beli</v>
      </c>
      <c r="H106" s="44" t="str">
        <f t="array" ref="H106">IF(B106="","",_xlfn.XLOOKUP(B106,'Form responses 1'!$B$2:$B$2604,'Form responses 1'!$F$2:$F$2604,""))</f>
        <v>M. 1186/ Enggal</v>
      </c>
      <c r="I106" s="44" t="str">
        <f t="array" ref="I106">IF(B106="","",_xlfn.XLOOKUP(B106,'Form responses 1'!$B$2:$B$2604,'Form responses 1'!$I$2:$I$2604,""))</f>
        <v> Enggal</v>
      </c>
      <c r="J106" s="44" t="str">
        <f t="array" ref="J106">IF(B106="","",_xlfn.XLOOKUP(B106,'Form responses 1'!$B$2:$B$2604,'Form responses 1'!$G$2:$G$2604,""))</f>
        <v>Rapita</v>
      </c>
      <c r="K106" s="41" t="s">
        <v>2875</v>
      </c>
      <c r="L106" s="52">
        <f t="shared" si="7"/>
        <v>45583.57877</v>
      </c>
      <c r="M106" s="47" t="s">
        <v>5256</v>
      </c>
      <c r="N106" s="47" t="s">
        <v>5257</v>
      </c>
      <c r="O106" s="55" t="s">
        <v>5258</v>
      </c>
      <c r="P106" s="49"/>
      <c r="Q106" s="49"/>
      <c r="R106" s="49"/>
      <c r="S106" s="49"/>
      <c r="T106" s="49"/>
      <c r="U106" s="49"/>
      <c r="V106" s="49"/>
      <c r="W106" s="41" t="s">
        <v>470</v>
      </c>
      <c r="X106" s="46">
        <f t="shared" si="5"/>
        <v>45587.6183</v>
      </c>
      <c r="Y106" s="50" t="s">
        <v>482</v>
      </c>
      <c r="Z106" s="49">
        <f t="shared" si="6"/>
        <v>3</v>
      </c>
    </row>
    <row r="107" ht="22.5" customHeight="1">
      <c r="B107" s="41" t="s">
        <v>561</v>
      </c>
      <c r="C107" s="43">
        <f t="array" ref="C107">IF(B107="","",_xlfn.XLOOKUP(B107,'Form responses 1'!$B$2:$B$2604,'Form responses 1'!$A$2:$A$2604,""))</f>
        <v>45581.3888</v>
      </c>
      <c r="D107" s="44" t="str">
        <f t="shared" si="3"/>
        <v>K/2/161024/1_45581.3888005324</v>
      </c>
      <c r="E107" s="44" t="str">
        <f t="array" ref="E107">IF(B107="","",_xlfn.XLOOKUP(B107,'Form responses 1'!$B$2:$B$2604,'Form responses 1'!$C$2:$C$2604,""))</f>
        <v>Dedi Setiawan/ Yosi Mariani</v>
      </c>
      <c r="F107" s="44" t="str">
        <f t="array" ref="F107">IF(B107="","",_xlfn.XLOOKUP(B107,'Form responses 1'!$B$2:$B$2604,'Form responses 1'!$D$2:$D$2604,""))</f>
        <v>+62 853-8112-5445</v>
      </c>
      <c r="G107" s="44" t="str">
        <f t="array" ref="G107">IF(B107="","",_xlfn.XLOOKUP(B107,'Form responses 1'!$B$2:$B$2604,'Form responses 1'!$E$2:$E$2604,""))</f>
        <v>BN Jual Beli</v>
      </c>
      <c r="H107" s="44" t="str">
        <f t="array" ref="H107">IF(B107="","",_xlfn.XLOOKUP(B107,'Form responses 1'!$B$2:$B$2604,'Form responses 1'!$F$2:$F$2604,""))</f>
        <v>Nibel. M. 2246/ Sumber Agung</v>
      </c>
      <c r="I107" s="44" t="str">
        <f t="array" ref="I107">IF(B107="","",_xlfn.XLOOKUP(B107,'Form responses 1'!$B$2:$B$2604,'Form responses 1'!$I$2:$I$2604,""))</f>
        <v>Sumber Agung</v>
      </c>
      <c r="J107" s="44" t="str">
        <f t="array" ref="J107">IF(B107="","",_xlfn.XLOOKUP(B107,'Form responses 1'!$B$2:$B$2604,'Form responses 1'!$G$2:$G$2604,""))</f>
        <v>Rapita</v>
      </c>
      <c r="K107" s="41" t="s">
        <v>2875</v>
      </c>
      <c r="L107" s="52">
        <f t="shared" si="7"/>
        <v>45583.57878</v>
      </c>
      <c r="M107" s="47" t="s">
        <v>5259</v>
      </c>
      <c r="N107" s="47" t="s">
        <v>5260</v>
      </c>
      <c r="O107" s="47" t="s">
        <v>5261</v>
      </c>
      <c r="P107" s="47" t="s">
        <v>5262</v>
      </c>
      <c r="Q107" s="47" t="s">
        <v>5263</v>
      </c>
      <c r="R107" s="49"/>
      <c r="S107" s="49"/>
      <c r="T107" s="49"/>
      <c r="U107" s="49"/>
      <c r="V107" s="49"/>
      <c r="W107" s="41" t="s">
        <v>618</v>
      </c>
      <c r="X107" s="46">
        <f t="shared" si="5"/>
        <v>45594.36294</v>
      </c>
      <c r="Y107" s="50" t="s">
        <v>482</v>
      </c>
      <c r="Z107" s="49">
        <f t="shared" si="6"/>
        <v>5</v>
      </c>
    </row>
    <row r="108" ht="22.5" customHeight="1">
      <c r="B108" s="41" t="s">
        <v>663</v>
      </c>
      <c r="C108" s="43">
        <f t="array" ref="C108">IF(B108="","",_xlfn.XLOOKUP(B108,'Form responses 1'!$B$2:$B$2604,'Form responses 1'!$A$2:$A$2604,""))</f>
        <v>45581.57052</v>
      </c>
      <c r="D108" s="44" t="str">
        <f t="shared" si="3"/>
        <v>K/25/161024/2_45581.5705226968</v>
      </c>
      <c r="E108" s="44" t="str">
        <f t="array" ref="E108">IF(B108="","",_xlfn.XLOOKUP(B108,'Form responses 1'!$B$2:$B$2604,'Form responses 1'!$C$2:$C$2604,""))</f>
        <v>Asmara/Samah</v>
      </c>
      <c r="F108" s="44" t="str">
        <f t="array" ref="F108">IF(B108="","",_xlfn.XLOOKUP(B108,'Form responses 1'!$B$2:$B$2604,'Form responses 1'!$D$2:$D$2604,""))</f>
        <v>+62 887-7936-809</v>
      </c>
      <c r="G108" s="44" t="str">
        <f t="array" ref="G108">IF(B108="","",_xlfn.XLOOKUP(B108,'Form responses 1'!$B$2:$B$2604,'Form responses 1'!$E$2:$E$2604,""))</f>
        <v>Hapus BPHTB</v>
      </c>
      <c r="H108" s="44" t="str">
        <f t="array" ref="H108">IF(B108="","",_xlfn.XLOOKUP(B108,'Form responses 1'!$B$2:$B$2604,'Form responses 1'!$F$2:$F$2604,""))</f>
        <v>M. 1443/ Batu Putuk</v>
      </c>
      <c r="I108" s="44" t="str">
        <f t="array" ref="I108">IF(B108="","",_xlfn.XLOOKUP(B108,'Form responses 1'!$B$2:$B$2604,'Form responses 1'!$I$2:$I$2604,""))</f>
        <v>Batu Putuk</v>
      </c>
      <c r="J108" s="44" t="str">
        <f t="array" ref="J108">IF(B108="","",_xlfn.XLOOKUP(B108,'Form responses 1'!$B$2:$B$2604,'Form responses 1'!$G$2:$G$2604,""))</f>
        <v>Rapita</v>
      </c>
      <c r="K108" s="41" t="s">
        <v>587</v>
      </c>
      <c r="L108" s="52">
        <f t="shared" si="7"/>
        <v>45583.59924</v>
      </c>
      <c r="M108" s="47" t="s">
        <v>5264</v>
      </c>
      <c r="N108" s="49"/>
      <c r="O108" s="49"/>
      <c r="P108" s="49"/>
      <c r="Q108" s="49"/>
      <c r="R108" s="49"/>
      <c r="S108" s="49"/>
      <c r="T108" s="49"/>
      <c r="U108" s="49"/>
      <c r="V108" s="49"/>
      <c r="W108" s="41" t="s">
        <v>470</v>
      </c>
      <c r="X108" s="46">
        <f t="shared" si="5"/>
        <v>45589.32122</v>
      </c>
      <c r="Y108" s="50" t="s">
        <v>482</v>
      </c>
      <c r="Z108" s="49">
        <f t="shared" si="6"/>
        <v>1</v>
      </c>
    </row>
    <row r="109" ht="22.5" customHeight="1">
      <c r="B109" s="41" t="s">
        <v>656</v>
      </c>
      <c r="C109" s="43">
        <f t="array" ref="C109">IF(B109="","",_xlfn.XLOOKUP(B109,'Form responses 1'!$B$2:$B$2604,'Form responses 1'!$A$2:$A$2604,""))</f>
        <v>45581.56868</v>
      </c>
      <c r="D109" s="44" t="str">
        <f t="shared" si="3"/>
        <v>K/23/161024/1_45581.5686802778</v>
      </c>
      <c r="E109" s="44" t="str">
        <f t="array" ref="E109">IF(B109="","",_xlfn.XLOOKUP(B109,'Form responses 1'!$B$2:$B$2604,'Form responses 1'!$C$2:$C$2604,""))</f>
        <v>NUR HAYATI/ JONNI MURSALIM</v>
      </c>
      <c r="F109" s="44" t="str">
        <f t="array" ref="F109">IF(B109="","",_xlfn.XLOOKUP(B109,'Form responses 1'!$B$2:$B$2604,'Form responses 1'!$D$2:$D$2604,""))</f>
        <v>08117222871</v>
      </c>
      <c r="G109" s="44" t="str">
        <f t="array" ref="G109">IF(B109="","",_xlfn.XLOOKUP(B109,'Form responses 1'!$B$2:$B$2604,'Form responses 1'!$E$2:$E$2604,""))</f>
        <v>BN JUAL BELI</v>
      </c>
      <c r="H109" s="44" t="str">
        <f t="array" ref="H109">IF(B109="","",_xlfn.XLOOKUP(B109,'Form responses 1'!$B$2:$B$2604,'Form responses 1'!$F$2:$F$2604,""))</f>
        <v>NIBEL 2899/ RAWA LAUT</v>
      </c>
      <c r="I109" s="44" t="str">
        <f t="array" ref="I109">IF(B109="","",_xlfn.XLOOKUP(B109,'Form responses 1'!$B$2:$B$2604,'Form responses 1'!$I$2:$I$2604,""))</f>
        <v>RAWA LAUT</v>
      </c>
      <c r="J109" s="44" t="str">
        <f t="array" ref="J109">IF(B109="","",_xlfn.XLOOKUP(B109,'Form responses 1'!$B$2:$B$2604,'Form responses 1'!$G$2:$G$2604,""))</f>
        <v>Hananda</v>
      </c>
      <c r="K109" s="41" t="s">
        <v>587</v>
      </c>
      <c r="L109" s="52">
        <f t="shared" si="7"/>
        <v>45583.6</v>
      </c>
      <c r="M109" s="47" t="s">
        <v>5221</v>
      </c>
      <c r="N109" s="49"/>
      <c r="O109" s="49"/>
      <c r="P109" s="49"/>
      <c r="Q109" s="49"/>
      <c r="R109" s="49"/>
      <c r="S109" s="49"/>
      <c r="T109" s="49"/>
      <c r="U109" s="49"/>
      <c r="V109" s="49"/>
      <c r="W109" s="41" t="s">
        <v>618</v>
      </c>
      <c r="X109" s="46">
        <f t="shared" si="5"/>
        <v>45589.32126</v>
      </c>
      <c r="Y109" s="50" t="s">
        <v>482</v>
      </c>
      <c r="Z109" s="49">
        <f t="shared" si="6"/>
        <v>1</v>
      </c>
    </row>
    <row r="110" ht="22.5" customHeight="1">
      <c r="B110" s="41" t="s">
        <v>669</v>
      </c>
      <c r="C110" s="43">
        <f t="array" ref="C110">IF(B110="","",_xlfn.XLOOKUP(B110,'Form responses 1'!$B$2:$B$2604,'Form responses 1'!$A$2:$A$2604,""))</f>
        <v>45581.57066</v>
      </c>
      <c r="D110" s="44" t="str">
        <f t="shared" si="3"/>
        <v>K/24/161024/2_45581.5706609375</v>
      </c>
      <c r="E110" s="44" t="str">
        <f t="array" ref="E110">IF(B110="","",_xlfn.XLOOKUP(B110,'Form responses 1'!$B$2:$B$2604,'Form responses 1'!$C$2:$C$2604,""))</f>
        <v>NUR HAYATI / KARNO</v>
      </c>
      <c r="F110" s="44" t="str">
        <f t="array" ref="F110">IF(B110="","",_xlfn.XLOOKUP(B110,'Form responses 1'!$B$2:$B$2604,'Form responses 1'!$D$2:$D$2604,""))</f>
        <v>082124830712</v>
      </c>
      <c r="G110" s="44" t="str">
        <f t="array" ref="G110">IF(B110="","",_xlfn.XLOOKUP(B110,'Form responses 1'!$B$2:$B$2604,'Form responses 1'!$E$2:$E$2604,""))</f>
        <v>BN JUAL BELI</v>
      </c>
      <c r="H110" s="44" t="str">
        <f t="array" ref="H110">IF(B110="","",_xlfn.XLOOKUP(B110,'Form responses 1'!$B$2:$B$2604,'Form responses 1'!$F$2:$F$2604,""))</f>
        <v>M. 1535/ KEDAUNG</v>
      </c>
      <c r="I110" s="44" t="str">
        <f t="array" ref="I110">IF(B110="","",_xlfn.XLOOKUP(B110,'Form responses 1'!$B$2:$B$2604,'Form responses 1'!$I$2:$I$2604,""))</f>
        <v>KEDAUNG</v>
      </c>
      <c r="J110" s="44" t="str">
        <f t="array" ref="J110">IF(B110="","",_xlfn.XLOOKUP(B110,'Form responses 1'!$B$2:$B$2604,'Form responses 1'!$G$2:$G$2604,""))</f>
        <v>Hananda</v>
      </c>
      <c r="K110" s="41" t="s">
        <v>587</v>
      </c>
      <c r="L110" s="52">
        <f t="shared" si="7"/>
        <v>45583.60016</v>
      </c>
      <c r="M110" s="47" t="s">
        <v>5221</v>
      </c>
      <c r="N110" s="49"/>
      <c r="O110" s="49"/>
      <c r="P110" s="49"/>
      <c r="Q110" s="49"/>
      <c r="R110" s="49"/>
      <c r="S110" s="49"/>
      <c r="T110" s="49"/>
      <c r="U110" s="49"/>
      <c r="V110" s="49"/>
      <c r="W110" s="41" t="s">
        <v>618</v>
      </c>
      <c r="X110" s="46">
        <f t="shared" si="5"/>
        <v>45589.3213</v>
      </c>
      <c r="Y110" s="50" t="s">
        <v>482</v>
      </c>
      <c r="Z110" s="49">
        <f t="shared" si="6"/>
        <v>1</v>
      </c>
    </row>
    <row r="111" ht="22.5" customHeight="1">
      <c r="B111" s="41" t="s">
        <v>604</v>
      </c>
      <c r="C111" s="43">
        <f t="array" ref="C111">IF(B111="","",_xlfn.XLOOKUP(B111,'Form responses 1'!$B$2:$B$2604,'Form responses 1'!$A$2:$A$2604,""))</f>
        <v>45581.43662</v>
      </c>
      <c r="D111" s="44" t="str">
        <f t="shared" si="3"/>
        <v>K/11/161024/2_45581.4366214699</v>
      </c>
      <c r="E111" s="44" t="str">
        <f t="array" ref="E111">IF(B111="","",_xlfn.XLOOKUP(B111,'Form responses 1'!$B$2:$B$2604,'Form responses 1'!$C$2:$C$2604,""))</f>
        <v>CHRISTYAN BILLY/PANARY SITOPU</v>
      </c>
      <c r="F111" s="44" t="str">
        <f t="array" ref="F111">IF(B111="","",_xlfn.XLOOKUP(B111,'Form responses 1'!$B$2:$B$2604,'Form responses 1'!$D$2:$D$2604,""))</f>
        <v>081361444098</v>
      </c>
      <c r="G111" s="44" t="str">
        <f t="array" ref="G111">IF(B111="","",_xlfn.XLOOKUP(B111,'Form responses 1'!$B$2:$B$2604,'Form responses 1'!$E$2:$E$2604,""))</f>
        <v>PERALIHAN BALIK NAMA</v>
      </c>
      <c r="H111" s="44" t="str">
        <f t="array" ref="H111">IF(B111="","",_xlfn.XLOOKUP(B111,'Form responses 1'!$B$2:$B$2604,'Form responses 1'!$F$2:$F$2604,""))</f>
        <v>NIBEL B.2730/GUNUNG SULAH</v>
      </c>
      <c r="I111" s="44" t="str">
        <f t="array" ref="I111">IF(B111="","",_xlfn.XLOOKUP(B111,'Form responses 1'!$B$2:$B$2604,'Form responses 1'!$I$2:$I$2604,""))</f>
        <v>GUNUNG SULAH</v>
      </c>
      <c r="J111" s="44" t="str">
        <f t="array" ref="J111">IF(B111="","",_xlfn.XLOOKUP(B111,'Form responses 1'!$B$2:$B$2604,'Form responses 1'!$G$2:$G$2604,""))</f>
        <v>Baynur</v>
      </c>
      <c r="K111" s="41" t="s">
        <v>587</v>
      </c>
      <c r="L111" s="52">
        <f t="shared" si="7"/>
        <v>45583.60116</v>
      </c>
      <c r="M111" s="47" t="s">
        <v>5221</v>
      </c>
      <c r="N111" s="49"/>
      <c r="O111" s="49"/>
      <c r="P111" s="49"/>
      <c r="Q111" s="49"/>
      <c r="R111" s="49"/>
      <c r="S111" s="49"/>
      <c r="T111" s="49"/>
      <c r="U111" s="49"/>
      <c r="V111" s="49"/>
      <c r="W111" s="41" t="s">
        <v>618</v>
      </c>
      <c r="X111" s="46">
        <f t="shared" si="5"/>
        <v>45589.32134</v>
      </c>
      <c r="Y111" s="50" t="s">
        <v>482</v>
      </c>
      <c r="Z111" s="49">
        <f t="shared" si="6"/>
        <v>1</v>
      </c>
    </row>
    <row r="112" ht="22.5" customHeight="1">
      <c r="B112" s="41" t="s">
        <v>608</v>
      </c>
      <c r="C112" s="43">
        <f t="array" ref="C112">IF(B112="","",_xlfn.XLOOKUP(B112,'Form responses 1'!$B$2:$B$2604,'Form responses 1'!$A$2:$A$2604,""))</f>
        <v>45581.43739</v>
      </c>
      <c r="D112" s="44" t="str">
        <f t="shared" si="3"/>
        <v>K/12/161024/3_45581.4373887037</v>
      </c>
      <c r="E112" s="44" t="str">
        <f t="array" ref="E112">IF(B112="","",_xlfn.XLOOKUP(B112,'Form responses 1'!$B$2:$B$2604,'Form responses 1'!$C$2:$C$2604,""))</f>
        <v>CHRISTYNA BELLY/PANARY SITOPU</v>
      </c>
      <c r="F112" s="44" t="str">
        <f t="array" ref="F112">IF(B112="","",_xlfn.XLOOKUP(B112,'Form responses 1'!$B$2:$B$2604,'Form responses 1'!$D$2:$D$2604,""))</f>
        <v>081361444098</v>
      </c>
      <c r="G112" s="44" t="str">
        <f t="array" ref="G112">IF(B112="","",_xlfn.XLOOKUP(B112,'Form responses 1'!$B$2:$B$2604,'Form responses 1'!$E$2:$E$2604,""))</f>
        <v>PERALIHAN JUAL BELI</v>
      </c>
      <c r="H112" s="44" t="str">
        <f t="array" ref="H112">IF(B112="","",_xlfn.XLOOKUP(B112,'Form responses 1'!$B$2:$B$2604,'Form responses 1'!$F$2:$F$2604,""))</f>
        <v>B.545/GUNUNG SULAH</v>
      </c>
      <c r="I112" s="44" t="str">
        <f t="array" ref="I112">IF(B112="","",_xlfn.XLOOKUP(B112,'Form responses 1'!$B$2:$B$2604,'Form responses 1'!$I$2:$I$2604,""))</f>
        <v>GUNUNG SULAH</v>
      </c>
      <c r="J112" s="44" t="str">
        <f t="array" ref="J112">IF(B112="","",_xlfn.XLOOKUP(B112,'Form responses 1'!$B$2:$B$2604,'Form responses 1'!$G$2:$G$2604,""))</f>
        <v>Baynur</v>
      </c>
      <c r="K112" s="41" t="s">
        <v>587</v>
      </c>
      <c r="L112" s="52">
        <f t="shared" si="7"/>
        <v>45583.60201</v>
      </c>
      <c r="M112" s="47" t="s">
        <v>470</v>
      </c>
      <c r="N112" s="47" t="s">
        <v>5214</v>
      </c>
      <c r="O112" s="49"/>
      <c r="P112" s="49"/>
      <c r="Q112" s="49"/>
      <c r="R112" s="49"/>
      <c r="S112" s="49"/>
      <c r="T112" s="49"/>
      <c r="U112" s="49"/>
      <c r="V112" s="49"/>
      <c r="W112" s="41" t="s">
        <v>618</v>
      </c>
      <c r="X112" s="46">
        <f t="shared" si="5"/>
        <v>45607.3556</v>
      </c>
      <c r="Y112" s="50" t="s">
        <v>482</v>
      </c>
      <c r="Z112" s="49">
        <f t="shared" si="6"/>
        <v>2</v>
      </c>
    </row>
    <row r="113" ht="22.5" customHeight="1">
      <c r="B113" s="41" t="s">
        <v>589</v>
      </c>
      <c r="C113" s="43">
        <f t="array" ref="C113">IF(B113="","",_xlfn.XLOOKUP(B113,'Form responses 1'!$B$2:$B$2604,'Form responses 1'!$A$2:$A$2604,""))</f>
        <v>45581.41702</v>
      </c>
      <c r="D113" s="44" t="str">
        <f t="shared" si="3"/>
        <v>L/8/161024/1_45581.4170200231</v>
      </c>
      <c r="E113" s="44" t="str">
        <f t="array" ref="E113">IF(B113="","",_xlfn.XLOOKUP(B113,'Form responses 1'!$B$2:$B$2604,'Form responses 1'!$C$2:$C$2604,""))</f>
        <v>EVIE MUARA</v>
      </c>
      <c r="F113" s="44" t="str">
        <f t="array" ref="F113">IF(B113="","",_xlfn.XLOOKUP(B113,'Form responses 1'!$B$2:$B$2604,'Form responses 1'!$D$2:$D$2604,""))</f>
        <v>082281379361</v>
      </c>
      <c r="G113" s="44" t="str">
        <f t="array" ref="G113">IF(B113="","",_xlfn.XLOOKUP(B113,'Form responses 1'!$B$2:$B$2604,'Form responses 1'!$E$2:$E$2604,""))</f>
        <v>PERUBAHAN HAK</v>
      </c>
      <c r="H113" s="44" t="str">
        <f t="array" ref="H113">IF(B113="","",_xlfn.XLOOKUP(B113,'Form responses 1'!$B$2:$B$2604,'Form responses 1'!$F$2:$F$2604,""))</f>
        <v>B.834/PWK;B.763/WAY KANDIS-DAHULU</v>
      </c>
      <c r="I113" s="44" t="str">
        <f t="array" ref="I113">IF(B113="","",_xlfn.XLOOKUP(B113,'Form responses 1'!$B$2:$B$2604,'Form responses 1'!$I$2:$I$2604,""))</f>
        <v>PERUMNAS WAY KANDIS</v>
      </c>
      <c r="J113" s="44" t="str">
        <f t="array" ref="J113">IF(B113="","",_xlfn.XLOOKUP(B113,'Form responses 1'!$B$2:$B$2604,'Form responses 1'!$G$2:$G$2604,""))</f>
        <v>Nuraini</v>
      </c>
      <c r="K113" s="41" t="s">
        <v>587</v>
      </c>
      <c r="L113" s="52">
        <f t="shared" si="7"/>
        <v>45583.6025</v>
      </c>
      <c r="M113" s="47" t="s">
        <v>470</v>
      </c>
      <c r="N113" s="47" t="s">
        <v>5221</v>
      </c>
      <c r="O113" s="49"/>
      <c r="P113" s="49"/>
      <c r="Q113" s="49"/>
      <c r="R113" s="49"/>
      <c r="S113" s="49"/>
      <c r="T113" s="49"/>
      <c r="U113" s="49"/>
      <c r="V113" s="49"/>
      <c r="W113" s="41" t="s">
        <v>618</v>
      </c>
      <c r="X113" s="46">
        <f t="shared" si="5"/>
        <v>45589.47699</v>
      </c>
      <c r="Y113" s="50" t="s">
        <v>482</v>
      </c>
      <c r="Z113" s="49">
        <f t="shared" si="6"/>
        <v>2</v>
      </c>
    </row>
    <row r="114" ht="22.5" customHeight="1">
      <c r="B114" s="41" t="s">
        <v>626</v>
      </c>
      <c r="C114" s="43">
        <f t="array" ref="C114">IF(B114="","",_xlfn.XLOOKUP(B114,'Form responses 1'!$B$2:$B$2604,'Form responses 1'!$A$2:$A$2604,""))</f>
        <v>45581.45009</v>
      </c>
      <c r="D114" s="44" t="str">
        <f t="shared" si="3"/>
        <v>L/16/161024/1_45581.4500852894</v>
      </c>
      <c r="E114" s="44" t="str">
        <f t="array" ref="E114">IF(B114="","",_xlfn.XLOOKUP(B114,'Form responses 1'!$B$2:$B$2604,'Form responses 1'!$C$2:$C$2604,""))</f>
        <v>LILY KURNIATI</v>
      </c>
      <c r="F114" s="44" t="str">
        <f t="array" ref="F114">IF(B114="","",_xlfn.XLOOKUP(B114,'Form responses 1'!$B$2:$B$2604,'Form responses 1'!$D$2:$D$2604,""))</f>
        <v>081367968071</v>
      </c>
      <c r="G114" s="44" t="str">
        <f t="array" ref="G114">IF(B114="","",_xlfn.XLOOKUP(B114,'Form responses 1'!$B$2:$B$2604,'Form responses 1'!$E$2:$E$2604,""))</f>
        <v>ROYA</v>
      </c>
      <c r="H114" s="44" t="str">
        <f t="array" ref="H114">IF(B114="","",_xlfn.XLOOKUP(B114,'Form responses 1'!$B$2:$B$2604,'Form responses 1'!$F$2:$F$2604,""))</f>
        <v>M.1095/NOG</v>
      </c>
      <c r="I114" s="44" t="str">
        <f t="array" ref="I114">IF(B114="","",_xlfn.XLOOKUP(B114,'Form responses 1'!$B$2:$B$2604,'Form responses 1'!$I$2:$I$2604,""))</f>
        <v>NEGERI OLOK GADING</v>
      </c>
      <c r="J114" s="44" t="str">
        <f t="array" ref="J114">IF(B114="","",_xlfn.XLOOKUP(B114,'Form responses 1'!$B$2:$B$2604,'Form responses 1'!$G$2:$G$2604,""))</f>
        <v>Nuraini</v>
      </c>
      <c r="K114" s="41" t="s">
        <v>587</v>
      </c>
      <c r="L114" s="52">
        <f t="shared" si="7"/>
        <v>45583.60351</v>
      </c>
      <c r="M114" s="47" t="s">
        <v>5221</v>
      </c>
      <c r="N114" s="49"/>
      <c r="O114" s="49"/>
      <c r="P114" s="49"/>
      <c r="Q114" s="49"/>
      <c r="R114" s="49"/>
      <c r="S114" s="49"/>
      <c r="T114" s="49"/>
      <c r="U114" s="49"/>
      <c r="V114" s="49"/>
      <c r="W114" s="41" t="s">
        <v>618</v>
      </c>
      <c r="X114" s="46">
        <f t="shared" si="5"/>
        <v>45589.32151</v>
      </c>
      <c r="Y114" s="50" t="s">
        <v>482</v>
      </c>
      <c r="Z114" s="49">
        <f t="shared" si="6"/>
        <v>1</v>
      </c>
    </row>
    <row r="115" ht="22.5" customHeight="1">
      <c r="B115" s="41" t="s">
        <v>752</v>
      </c>
      <c r="C115" s="43">
        <f t="array" ref="C115">IF(B115="","",_xlfn.XLOOKUP(B115,'Form responses 1'!$B$2:$B$2604,'Form responses 1'!$A$2:$A$2604,""))</f>
        <v>45582.42342</v>
      </c>
      <c r="D115" s="44" t="str">
        <f t="shared" si="3"/>
        <v>K/5/171024/1_45582.4234176157</v>
      </c>
      <c r="E115" s="44" t="str">
        <f t="array" ref="E115">IF(B115="","",_xlfn.XLOOKUP(B115,'Form responses 1'!$B$2:$B$2604,'Form responses 1'!$C$2:$C$2604,""))</f>
        <v>Rahmadiyanti/ Aryudi Cs</v>
      </c>
      <c r="F115" s="44" t="str">
        <f t="array" ref="F115">IF(B115="","",_xlfn.XLOOKUP(B115,'Form responses 1'!$B$2:$B$2604,'Form responses 1'!$D$2:$D$2604,""))</f>
        <v>+62 821-8209-0051</v>
      </c>
      <c r="G115" s="44" t="str">
        <f t="array" ref="G115">IF(B115="","",_xlfn.XLOOKUP(B115,'Form responses 1'!$B$2:$B$2604,'Form responses 1'!$E$2:$E$2604,""))</f>
        <v>BN Waris</v>
      </c>
      <c r="H115" s="44" t="str">
        <f t="array" ref="H115">IF(B115="","",_xlfn.XLOOKUP(B115,'Form responses 1'!$B$2:$B$2604,'Form responses 1'!$F$2:$F$2604,""))</f>
        <v>M. 14030/ Tanjung Baru; M. 13709/ Kedamaian-dahulu</v>
      </c>
      <c r="I115" s="44" t="str">
        <f t="array" ref="I115">IF(B115="","",_xlfn.XLOOKUP(B115,'Form responses 1'!$B$2:$B$2604,'Form responses 1'!$I$2:$I$2604,""))</f>
        <v>Tanjung Baru</v>
      </c>
      <c r="J115" s="44" t="str">
        <f t="array" ref="J115">IF(B115="","",_xlfn.XLOOKUP(B115,'Form responses 1'!$B$2:$B$2604,'Form responses 1'!$G$2:$G$2604,""))</f>
        <v>Rapita</v>
      </c>
      <c r="K115" s="41" t="s">
        <v>587</v>
      </c>
      <c r="L115" s="52">
        <f t="shared" si="7"/>
        <v>45583.60397</v>
      </c>
      <c r="M115" s="47" t="s">
        <v>470</v>
      </c>
      <c r="N115" s="47" t="s">
        <v>1156</v>
      </c>
      <c r="O115" s="49"/>
      <c r="P115" s="49"/>
      <c r="Q115" s="49"/>
      <c r="R115" s="49"/>
      <c r="S115" s="49"/>
      <c r="T115" s="49"/>
      <c r="U115" s="49"/>
      <c r="V115" s="49"/>
      <c r="W115" s="41" t="s">
        <v>618</v>
      </c>
      <c r="X115" s="46">
        <f t="shared" si="5"/>
        <v>45595.32506</v>
      </c>
      <c r="Y115" s="50" t="s">
        <v>482</v>
      </c>
      <c r="Z115" s="49">
        <f t="shared" si="6"/>
        <v>2</v>
      </c>
    </row>
    <row r="116" ht="22.5" customHeight="1">
      <c r="B116" s="41" t="s">
        <v>820</v>
      </c>
      <c r="C116" s="43">
        <f t="array" ref="C116">IF(B116="","",_xlfn.XLOOKUP(B116,'Form responses 1'!$B$2:$B$2604,'Form responses 1'!$A$2:$A$2604,""))</f>
        <v>45582.49305</v>
      </c>
      <c r="D116" s="44" t="str">
        <f t="shared" si="3"/>
        <v>K/22/171024/1_45582.4930508565</v>
      </c>
      <c r="E116" s="44" t="str">
        <f t="array" ref="E116">IF(B116="","",_xlfn.XLOOKUP(B116,'Form responses 1'!$B$2:$B$2604,'Form responses 1'!$C$2:$C$2604,""))</f>
        <v>Mursalin/ Andrianus B S</v>
      </c>
      <c r="F116" s="44" t="str">
        <f t="array" ref="F116">IF(B116="","",_xlfn.XLOOKUP(B116,'Form responses 1'!$B$2:$B$2604,'Form responses 1'!$D$2:$D$2604,""))</f>
        <v>081274812720</v>
      </c>
      <c r="G116" s="44" t="str">
        <f t="array" ref="G116">IF(B116="","",_xlfn.XLOOKUP(B116,'Form responses 1'!$B$2:$B$2604,'Form responses 1'!$E$2:$E$2604,""))</f>
        <v>BN Jual Beli</v>
      </c>
      <c r="H116" s="44" t="str">
        <f t="array" ref="H116">IF(B116="","",_xlfn.XLOOKUP(B116,'Form responses 1'!$B$2:$B$2604,'Form responses 1'!$F$2:$F$2604,""))</f>
        <v>Nibel. M. 118/ Rajabasa Raya</v>
      </c>
      <c r="I116" s="44" t="str">
        <f t="array" ref="I116">IF(B116="","",_xlfn.XLOOKUP(B116,'Form responses 1'!$B$2:$B$2604,'Form responses 1'!$I$2:$I$2604,""))</f>
        <v>Rajabasa Raya</v>
      </c>
      <c r="J116" s="44" t="str">
        <f t="array" ref="J116">IF(B116="","",_xlfn.XLOOKUP(B116,'Form responses 1'!$B$2:$B$2604,'Form responses 1'!$G$2:$G$2604,""))</f>
        <v>Rapita</v>
      </c>
      <c r="K116" s="41" t="s">
        <v>587</v>
      </c>
      <c r="L116" s="52">
        <f t="shared" si="7"/>
        <v>45583.60399</v>
      </c>
      <c r="M116" s="47" t="s">
        <v>470</v>
      </c>
      <c r="N116" s="47" t="s">
        <v>5265</v>
      </c>
      <c r="O116" s="49"/>
      <c r="P116" s="49"/>
      <c r="Q116" s="49"/>
      <c r="R116" s="49"/>
      <c r="S116" s="49"/>
      <c r="T116" s="49"/>
      <c r="U116" s="49"/>
      <c r="V116" s="49"/>
      <c r="W116" s="41" t="s">
        <v>618</v>
      </c>
      <c r="X116" s="46">
        <f t="shared" si="5"/>
        <v>45600.47853</v>
      </c>
      <c r="Y116" s="50" t="s">
        <v>482</v>
      </c>
      <c r="Z116" s="49">
        <f t="shared" si="6"/>
        <v>2</v>
      </c>
    </row>
    <row r="117" ht="22.5" customHeight="1">
      <c r="B117" s="41" t="s">
        <v>896</v>
      </c>
      <c r="C117" s="43">
        <f t="array" ref="C117">IF(B117="","",_xlfn.XLOOKUP(B117,'Form responses 1'!$B$2:$B$2604,'Form responses 1'!$A$2:$A$2604,""))</f>
        <v>45582.5871</v>
      </c>
      <c r="D117" s="44" t="str">
        <f t="shared" si="3"/>
        <v>K/39/171024/3_45582.5871040972</v>
      </c>
      <c r="E117" s="44" t="str">
        <f t="array" ref="E117">IF(B117="","",_xlfn.XLOOKUP(B117,'Form responses 1'!$B$2:$B$2604,'Form responses 1'!$C$2:$C$2604,""))</f>
        <v>Angga Purnama/ Rajabasa Jaya</v>
      </c>
      <c r="F117" s="44" t="str">
        <f t="array" ref="F117">IF(B117="","",_xlfn.XLOOKUP(B117,'Form responses 1'!$B$2:$B$2604,'Form responses 1'!$D$2:$D$2604,""))</f>
        <v>+62 895-3553-08122</v>
      </c>
      <c r="G117" s="44" t="str">
        <f t="array" ref="G117">IF(B117="","",_xlfn.XLOOKUP(B117,'Form responses 1'!$B$2:$B$2604,'Form responses 1'!$E$2:$E$2604,""))</f>
        <v>Hapus BPHTB</v>
      </c>
      <c r="H117" s="44" t="str">
        <f t="array" ref="H117">IF(B117="","",_xlfn.XLOOKUP(B117,'Form responses 1'!$B$2:$B$2604,'Form responses 1'!$F$2:$F$2604,""))</f>
        <v>M. 1461/ Rajabasa Jaya</v>
      </c>
      <c r="I117" s="44" t="str">
        <f t="array" ref="I117">IF(B117="","",_xlfn.XLOOKUP(B117,'Form responses 1'!$B$2:$B$2604,'Form responses 1'!$I$2:$I$2604,""))</f>
        <v>Rajabasa Jaya</v>
      </c>
      <c r="J117" s="44" t="str">
        <f t="array" ref="J117">IF(B117="","",_xlfn.XLOOKUP(B117,'Form responses 1'!$B$2:$B$2604,'Form responses 1'!$G$2:$G$2604,""))</f>
        <v>Rapita</v>
      </c>
      <c r="K117" s="41" t="s">
        <v>587</v>
      </c>
      <c r="L117" s="52">
        <f t="shared" si="7"/>
        <v>45583.6042</v>
      </c>
      <c r="M117" s="47" t="s">
        <v>5221</v>
      </c>
      <c r="N117" s="49"/>
      <c r="O117" s="49"/>
      <c r="P117" s="49"/>
      <c r="Q117" s="49"/>
      <c r="R117" s="49"/>
      <c r="S117" s="49"/>
      <c r="T117" s="49"/>
      <c r="U117" s="49"/>
      <c r="V117" s="49"/>
      <c r="W117" s="41" t="s">
        <v>618</v>
      </c>
      <c r="X117" s="46">
        <f t="shared" si="5"/>
        <v>45589.32159</v>
      </c>
      <c r="Y117" s="50" t="s">
        <v>482</v>
      </c>
      <c r="Z117" s="49">
        <f t="shared" si="6"/>
        <v>1</v>
      </c>
    </row>
    <row r="118" ht="22.5" customHeight="1">
      <c r="B118" s="41" t="s">
        <v>739</v>
      </c>
      <c r="C118" s="43">
        <f t="array" ref="C118">IF(B118="","",_xlfn.XLOOKUP(B118,'Form responses 1'!$B$2:$B$2604,'Form responses 1'!$A$2:$A$2604,""))</f>
        <v>45582.40807</v>
      </c>
      <c r="D118" s="44" t="str">
        <f t="shared" si="3"/>
        <v>K/2/171024/1_45582.4080748958</v>
      </c>
      <c r="E118" s="44" t="str">
        <f t="array" ref="E118">IF(B118="","",_xlfn.XLOOKUP(B118,'Form responses 1'!$B$2:$B$2604,'Form responses 1'!$C$2:$C$2604,""))</f>
        <v>M.HUSNUN/ MARKIM</v>
      </c>
      <c r="F118" s="44" t="str">
        <f t="array" ref="F118">IF(B118="","",_xlfn.XLOOKUP(B118,'Form responses 1'!$B$2:$B$2604,'Form responses 1'!$D$2:$D$2604,""))</f>
        <v>0895337550583</v>
      </c>
      <c r="G118" s="44" t="str">
        <f t="array" ref="G118">IF(B118="","",_xlfn.XLOOKUP(B118,'Form responses 1'!$B$2:$B$2604,'Form responses 1'!$E$2:$E$2604,""))</f>
        <v>PEMECAHAN BIDANG</v>
      </c>
      <c r="H118" s="44" t="str">
        <f t="array" ref="H118">IF(B118="","",_xlfn.XLOOKUP(B118,'Form responses 1'!$B$2:$B$2604,'Form responses 1'!$F$2:$F$2604,""))</f>
        <v>M. 525/ Sumber Agung</v>
      </c>
      <c r="I118" s="44" t="str">
        <f t="array" ref="I118">IF(B118="","",_xlfn.XLOOKUP(B118,'Form responses 1'!$B$2:$B$2604,'Form responses 1'!$I$2:$I$2604,""))</f>
        <v>Sumber Agung</v>
      </c>
      <c r="J118" s="44" t="str">
        <f t="array" ref="J118">IF(B118="","",_xlfn.XLOOKUP(B118,'Form responses 1'!$B$2:$B$2604,'Form responses 1'!$G$2:$G$2604,""))</f>
        <v>Hananda</v>
      </c>
      <c r="K118" s="41" t="s">
        <v>587</v>
      </c>
      <c r="L118" s="52">
        <f t="shared" si="7"/>
        <v>45583.60489</v>
      </c>
      <c r="M118" s="47" t="s">
        <v>470</v>
      </c>
      <c r="N118" s="47" t="s">
        <v>5266</v>
      </c>
      <c r="O118" s="49"/>
      <c r="P118" s="49"/>
      <c r="Q118" s="49"/>
      <c r="R118" s="49"/>
      <c r="S118" s="49"/>
      <c r="T118" s="49"/>
      <c r="U118" s="49"/>
      <c r="V118" s="49"/>
      <c r="W118" s="41" t="s">
        <v>470</v>
      </c>
      <c r="X118" s="46">
        <f t="shared" si="5"/>
        <v>45600.43211</v>
      </c>
      <c r="Y118" s="50" t="s">
        <v>482</v>
      </c>
      <c r="Z118" s="49">
        <f t="shared" si="6"/>
        <v>2</v>
      </c>
    </row>
    <row r="119" ht="22.5" customHeight="1">
      <c r="B119" s="41" t="s">
        <v>786</v>
      </c>
      <c r="C119" s="43">
        <f t="array" ref="C119">IF(B119="","",_xlfn.XLOOKUP(B119,'Form responses 1'!$B$2:$B$2604,'Form responses 1'!$A$2:$A$2604,""))</f>
        <v>45582.46718</v>
      </c>
      <c r="D119" s="44" t="str">
        <f t="shared" si="3"/>
        <v>K/14/171024/5_45582.4671815972</v>
      </c>
      <c r="E119" s="44" t="str">
        <f t="array" ref="E119">IF(B119="","",_xlfn.XLOOKUP(B119,'Form responses 1'!$B$2:$B$2604,'Form responses 1'!$C$2:$C$2604,""))</f>
        <v>eka sari taherah/ yayan kesuma</v>
      </c>
      <c r="F119" s="44" t="str">
        <f t="array" ref="F119">IF(B119="","",_xlfn.XLOOKUP(B119,'Form responses 1'!$B$2:$B$2604,'Form responses 1'!$D$2:$D$2604,""))</f>
        <v>0895363114046</v>
      </c>
      <c r="G119" s="44" t="str">
        <f t="array" ref="G119">IF(B119="","",_xlfn.XLOOKUP(B119,'Form responses 1'!$B$2:$B$2604,'Form responses 1'!$E$2:$E$2604,""))</f>
        <v>BN Jual Beli</v>
      </c>
      <c r="H119" s="44" t="str">
        <f t="array" ref="H119">IF(B119="","",_xlfn.XLOOKUP(B119,'Form responses 1'!$B$2:$B$2604,'Form responses 1'!$F$2:$F$2604,""))</f>
        <v>M. 2465/ Pinang jaya</v>
      </c>
      <c r="I119" s="44" t="str">
        <f t="array" ref="I119">IF(B119="","",_xlfn.XLOOKUP(B119,'Form responses 1'!$B$2:$B$2604,'Form responses 1'!$I$2:$I$2604,""))</f>
        <v>PINANG JAYA</v>
      </c>
      <c r="J119" s="44" t="str">
        <f t="array" ref="J119">IF(B119="","",_xlfn.XLOOKUP(B119,'Form responses 1'!$B$2:$B$2604,'Form responses 1'!$G$2:$G$2604,""))</f>
        <v>Hananda</v>
      </c>
      <c r="K119" s="41" t="s">
        <v>587</v>
      </c>
      <c r="L119" s="52">
        <f t="shared" si="7"/>
        <v>45583.60513</v>
      </c>
      <c r="M119" s="47" t="s">
        <v>470</v>
      </c>
      <c r="N119" s="47" t="s">
        <v>5214</v>
      </c>
      <c r="O119" s="49"/>
      <c r="P119" s="49"/>
      <c r="Q119" s="49"/>
      <c r="R119" s="49"/>
      <c r="S119" s="49"/>
      <c r="T119" s="49"/>
      <c r="U119" s="49"/>
      <c r="V119" s="49"/>
      <c r="W119" s="41" t="s">
        <v>618</v>
      </c>
      <c r="X119" s="46">
        <f t="shared" si="5"/>
        <v>45610.37054</v>
      </c>
      <c r="Y119" s="50" t="s">
        <v>482</v>
      </c>
      <c r="Z119" s="49">
        <f t="shared" si="6"/>
        <v>2</v>
      </c>
    </row>
    <row r="120" ht="22.5" customHeight="1">
      <c r="B120" s="41" t="s">
        <v>906</v>
      </c>
      <c r="C120" s="43">
        <f t="array" ref="C120">IF(B120="","",_xlfn.XLOOKUP(B120,'Form responses 1'!$B$2:$B$2604,'Form responses 1'!$A$2:$A$2604,""))</f>
        <v>45582.59671</v>
      </c>
      <c r="D120" s="44" t="str">
        <f t="shared" si="3"/>
        <v>K/42/171024/1_45582.596708044</v>
      </c>
      <c r="E120" s="44" t="str">
        <f t="array" ref="E120">IF(B120="","",_xlfn.XLOOKUP(B120,'Form responses 1'!$B$2:$B$2604,'Form responses 1'!$C$2:$C$2604,""))</f>
        <v>endang aprilia/okta kaisar saputra</v>
      </c>
      <c r="F120" s="44" t="str">
        <f t="array" ref="F120">IF(B120="","",_xlfn.XLOOKUP(B120,'Form responses 1'!$B$2:$B$2604,'Form responses 1'!$D$2:$D$2604,""))</f>
        <v>082289235722</v>
      </c>
      <c r="G120" s="44" t="str">
        <f t="array" ref="G120">IF(B120="","",_xlfn.XLOOKUP(B120,'Form responses 1'!$B$2:$B$2604,'Form responses 1'!$E$2:$E$2604,""))</f>
        <v>BN Jual Beli</v>
      </c>
      <c r="H120" s="44" t="str">
        <f t="array" ref="H120">IF(B120="","",_xlfn.XLOOKUP(B120,'Form responses 1'!$B$2:$B$2604,'Form responses 1'!$F$2:$F$2604,""))</f>
        <v>B. 649/ Sumber Agung</v>
      </c>
      <c r="I120" s="44" t="str">
        <f t="array" ref="I120">IF(B120="","",_xlfn.XLOOKUP(B120,'Form responses 1'!$B$2:$B$2604,'Form responses 1'!$I$2:$I$2604,""))</f>
        <v>Sumber Agung</v>
      </c>
      <c r="J120" s="44" t="str">
        <f t="array" ref="J120">IF(B120="","",_xlfn.XLOOKUP(B120,'Form responses 1'!$B$2:$B$2604,'Form responses 1'!$G$2:$G$2604,""))</f>
        <v>Hananda</v>
      </c>
      <c r="K120" s="41" t="s">
        <v>587</v>
      </c>
      <c r="L120" s="52">
        <f t="shared" si="7"/>
        <v>45583.60533</v>
      </c>
      <c r="M120" s="47" t="s">
        <v>470</v>
      </c>
      <c r="N120" s="47" t="s">
        <v>5214</v>
      </c>
      <c r="O120" s="49"/>
      <c r="P120" s="49"/>
      <c r="Q120" s="49"/>
      <c r="R120" s="49"/>
      <c r="S120" s="49"/>
      <c r="T120" s="49"/>
      <c r="U120" s="49"/>
      <c r="V120" s="49"/>
      <c r="W120" s="41" t="s">
        <v>618</v>
      </c>
      <c r="X120" s="46">
        <f t="shared" si="5"/>
        <v>45607.32514</v>
      </c>
      <c r="Y120" s="50" t="s">
        <v>482</v>
      </c>
      <c r="Z120" s="49">
        <f t="shared" si="6"/>
        <v>2</v>
      </c>
    </row>
    <row r="121" ht="22.5" customHeight="1">
      <c r="B121" s="41" t="s">
        <v>808</v>
      </c>
      <c r="C121" s="43">
        <f t="array" ref="C121">IF(B121="","",_xlfn.XLOOKUP(B121,'Form responses 1'!$B$2:$B$2604,'Form responses 1'!$A$2:$A$2604,""))</f>
        <v>45582.49042</v>
      </c>
      <c r="D121" s="44" t="str">
        <f t="shared" si="3"/>
        <v>K/19/171024/1_45582.4904210069</v>
      </c>
      <c r="E121" s="44" t="str">
        <f t="array" ref="E121">IF(B121="","",_xlfn.XLOOKUP(B121,'Form responses 1'!$B$2:$B$2604,'Form responses 1'!$C$2:$C$2604,""))</f>
        <v>TITIK WIJAYANTI/RIFKI KURNIAWAN SAPUTRA</v>
      </c>
      <c r="F121" s="44" t="str">
        <f t="array" ref="F121">IF(B121="","",_xlfn.XLOOKUP(B121,'Form responses 1'!$B$2:$B$2604,'Form responses 1'!$D$2:$D$2604,""))</f>
        <v>081379016000</v>
      </c>
      <c r="G121" s="44" t="str">
        <f t="array" ref="G121">IF(B121="","",_xlfn.XLOOKUP(B121,'Form responses 1'!$B$2:$B$2604,'Form responses 1'!$E$2:$E$2604,""))</f>
        <v>SKPT LELANG</v>
      </c>
      <c r="H121" s="44" t="str">
        <f t="array" ref="H121">IF(B121="","",_xlfn.XLOOKUP(B121,'Form responses 1'!$B$2:$B$2604,'Form responses 1'!$F$2:$F$2604,""))</f>
        <v>M.2442/TANJUNG SENENG</v>
      </c>
      <c r="I121" s="44" t="str">
        <f t="array" ref="I121">IF(B121="","",_xlfn.XLOOKUP(B121,'Form responses 1'!$B$2:$B$2604,'Form responses 1'!$I$2:$I$2604,""))</f>
        <v>TANJUNG SENENG</v>
      </c>
      <c r="J121" s="44" t="str">
        <f t="array" ref="J121">IF(B121="","",_xlfn.XLOOKUP(B121,'Form responses 1'!$B$2:$B$2604,'Form responses 1'!$G$2:$G$2604,""))</f>
        <v>Baynur</v>
      </c>
      <c r="K121" s="41" t="s">
        <v>587</v>
      </c>
      <c r="L121" s="52">
        <f t="shared" si="7"/>
        <v>45583.60564</v>
      </c>
      <c r="M121" s="47" t="s">
        <v>5267</v>
      </c>
      <c r="N121" s="49"/>
      <c r="O121" s="49"/>
      <c r="P121" s="49"/>
      <c r="Q121" s="49"/>
      <c r="R121" s="49"/>
      <c r="S121" s="49"/>
      <c r="T121" s="49"/>
      <c r="U121" s="49"/>
      <c r="V121" s="49"/>
      <c r="W121" s="41" t="s">
        <v>618</v>
      </c>
      <c r="X121" s="46">
        <f t="shared" si="5"/>
        <v>45583.67324</v>
      </c>
      <c r="Y121" s="50" t="s">
        <v>482</v>
      </c>
      <c r="Z121" s="49">
        <f t="shared" si="6"/>
        <v>1</v>
      </c>
      <c r="AA121" s="4" t="s">
        <v>5268</v>
      </c>
      <c r="AB121" s="4" t="s">
        <v>5269</v>
      </c>
    </row>
    <row r="122" ht="22.5" customHeight="1">
      <c r="B122" s="41" t="s">
        <v>923</v>
      </c>
      <c r="C122" s="43">
        <f t="array" ref="C122">IF(B122="","",_xlfn.XLOOKUP(B122,'Form responses 1'!$B$2:$B$2604,'Form responses 1'!$A$2:$A$2604,""))</f>
        <v>45582.61485</v>
      </c>
      <c r="D122" s="44" t="str">
        <f t="shared" si="3"/>
        <v>K/46/171024/1_45582.6148502778</v>
      </c>
      <c r="E122" s="44" t="str">
        <f t="array" ref="E122">IF(B122="","",_xlfn.XLOOKUP(B122,'Form responses 1'!$B$2:$B$2604,'Form responses 1'!$C$2:$C$2604,""))</f>
        <v>FAJRI ROBIANSYAH/REFLAN RASYID</v>
      </c>
      <c r="F122" s="44" t="str">
        <f t="array" ref="F122">IF(B122="","",_xlfn.XLOOKUP(B122,'Form responses 1'!$B$2:$B$2604,'Form responses 1'!$D$2:$D$2604,""))</f>
        <v>081367516751</v>
      </c>
      <c r="G122" s="44" t="str">
        <f t="array" ref="G122">IF(B122="","",_xlfn.XLOOKUP(B122,'Form responses 1'!$B$2:$B$2604,'Form responses 1'!$E$2:$E$2604,""))</f>
        <v>PERALIHAN JUAL BELI</v>
      </c>
      <c r="H122" s="44" t="str">
        <f t="array" ref="H122">IF(B122="","",_xlfn.XLOOKUP(B122,'Form responses 1'!$B$2:$B$2604,'Form responses 1'!$F$2:$F$2604,""))</f>
        <v>M.9381/SURABAYA</v>
      </c>
      <c r="I122" s="44" t="str">
        <f t="array" ref="I122">IF(B122="","",_xlfn.XLOOKUP(B122,'Form responses 1'!$B$2:$B$2604,'Form responses 1'!$I$2:$I$2604,""))</f>
        <v>SURABAYA</v>
      </c>
      <c r="J122" s="44" t="str">
        <f t="array" ref="J122">IF(B122="","",_xlfn.XLOOKUP(B122,'Form responses 1'!$B$2:$B$2604,'Form responses 1'!$G$2:$G$2604,""))</f>
        <v>Baynur</v>
      </c>
      <c r="K122" s="41" t="s">
        <v>587</v>
      </c>
      <c r="L122" s="52">
        <f t="shared" si="7"/>
        <v>45583.60597</v>
      </c>
      <c r="M122" s="47" t="s">
        <v>470</v>
      </c>
      <c r="N122" s="47" t="s">
        <v>5265</v>
      </c>
      <c r="O122" s="49"/>
      <c r="P122" s="49"/>
      <c r="Q122" s="49"/>
      <c r="R122" s="49"/>
      <c r="S122" s="49"/>
      <c r="T122" s="49"/>
      <c r="U122" s="49"/>
      <c r="V122" s="49"/>
      <c r="W122" s="41" t="s">
        <v>618</v>
      </c>
      <c r="X122" s="46">
        <f t="shared" si="5"/>
        <v>45600.43252</v>
      </c>
      <c r="Y122" s="50" t="s">
        <v>482</v>
      </c>
      <c r="Z122" s="49">
        <f t="shared" si="6"/>
        <v>2</v>
      </c>
    </row>
    <row r="123" ht="22.5" customHeight="1">
      <c r="B123" s="41" t="s">
        <v>756</v>
      </c>
      <c r="C123" s="43">
        <f t="array" ref="C123">IF(B123="","",_xlfn.XLOOKUP(B123,'Form responses 1'!$B$2:$B$2604,'Form responses 1'!$A$2:$A$2604,""))</f>
        <v>45582.42391</v>
      </c>
      <c r="D123" s="44" t="str">
        <f t="shared" si="3"/>
        <v>L/6/171024/1_45582.4239136806</v>
      </c>
      <c r="E123" s="44" t="str">
        <f t="array" ref="E123">IF(B123="","",_xlfn.XLOOKUP(B123,'Form responses 1'!$B$2:$B$2604,'Form responses 1'!$C$2:$C$2604,""))</f>
        <v>GUSMAYANTI</v>
      </c>
      <c r="F123" s="44" t="str">
        <f t="array" ref="F123">IF(B123="","",_xlfn.XLOOKUP(B123,'Form responses 1'!$B$2:$B$2604,'Form responses 1'!$D$2:$D$2604,""))</f>
        <v>081272750041</v>
      </c>
      <c r="G123" s="44" t="str">
        <f t="array" ref="G123">IF(B123="","",_xlfn.XLOOKUP(B123,'Form responses 1'!$B$2:$B$2604,'Form responses 1'!$E$2:$E$2604,""))</f>
        <v>ROYA</v>
      </c>
      <c r="H123" s="44" t="str">
        <f t="array" ref="H123">IF(B123="","",_xlfn.XLOOKUP(B123,'Form responses 1'!$B$2:$B$2604,'Form responses 1'!$F$2:$F$2604,""))</f>
        <v>M.13036/SUKABUMI</v>
      </c>
      <c r="I123" s="44" t="str">
        <f t="array" ref="I123">IF(B123="","",_xlfn.XLOOKUP(B123,'Form responses 1'!$B$2:$B$2604,'Form responses 1'!$I$2:$I$2604,""))</f>
        <v>SUKABUMI</v>
      </c>
      <c r="J123" s="44" t="str">
        <f t="array" ref="J123">IF(B123="","",_xlfn.XLOOKUP(B123,'Form responses 1'!$B$2:$B$2604,'Form responses 1'!$G$2:$G$2604,""))</f>
        <v>Nuraini</v>
      </c>
      <c r="K123" s="41" t="s">
        <v>587</v>
      </c>
      <c r="L123" s="52">
        <f t="shared" si="7"/>
        <v>45583.60635</v>
      </c>
      <c r="M123" s="47" t="s">
        <v>470</v>
      </c>
      <c r="N123" s="47" t="s">
        <v>5221</v>
      </c>
      <c r="O123" s="49"/>
      <c r="P123" s="49"/>
      <c r="Q123" s="49"/>
      <c r="R123" s="49"/>
      <c r="S123" s="49"/>
      <c r="T123" s="49"/>
      <c r="U123" s="49"/>
      <c r="V123" s="49"/>
      <c r="W123" s="41" t="s">
        <v>618</v>
      </c>
      <c r="X123" s="46">
        <f t="shared" si="5"/>
        <v>45589.72211</v>
      </c>
      <c r="Y123" s="50" t="s">
        <v>482</v>
      </c>
      <c r="Z123" s="49">
        <f t="shared" si="6"/>
        <v>2</v>
      </c>
    </row>
    <row r="124" ht="22.5" customHeight="1">
      <c r="B124" s="41" t="s">
        <v>1122</v>
      </c>
      <c r="C124" s="43">
        <f t="array" ref="C124">IF(B124="","",_xlfn.XLOOKUP(B124,'Form responses 1'!$B$2:$B$2604,'Form responses 1'!$A$2:$A$2604,""))</f>
        <v>45583.60827</v>
      </c>
      <c r="D124" s="44" t="str">
        <f t="shared" si="3"/>
        <v>K/36/181024/1_45583.6082658681</v>
      </c>
      <c r="E124" s="44" t="str">
        <f t="array" ref="E124">IF(B124="","",_xlfn.XLOOKUP(B124,'Form responses 1'!$B$2:$B$2604,'Form responses 1'!$C$2:$C$2604,""))</f>
        <v>Seruni W/ Nabila F S</v>
      </c>
      <c r="F124" s="44" t="str">
        <f t="array" ref="F124">IF(B124="","",_xlfn.XLOOKUP(B124,'Form responses 1'!$B$2:$B$2604,'Form responses 1'!$D$2:$D$2604,""))</f>
        <v>0895609280120</v>
      </c>
      <c r="G124" s="44" t="str">
        <f t="array" ref="G124">IF(B124="","",_xlfn.XLOOKUP(B124,'Form responses 1'!$B$2:$B$2604,'Form responses 1'!$E$2:$E$2604,""))</f>
        <v>BN Jual Beli</v>
      </c>
      <c r="H124" s="44" t="str">
        <f t="array" ref="H124">IF(B124="","",_xlfn.XLOOKUP(B124,'Form responses 1'!$B$2:$B$2604,'Form responses 1'!$F$2:$F$2604,""))</f>
        <v>Nibel. M. 379/ Gunung Sulah</v>
      </c>
      <c r="I124" s="44" t="str">
        <f t="array" ref="I124">IF(B124="","",_xlfn.XLOOKUP(B124,'Form responses 1'!$B$2:$B$2604,'Form responses 1'!$I$2:$I$2604,""))</f>
        <v>Gunung Sulah</v>
      </c>
      <c r="J124" s="44" t="str">
        <f t="array" ref="J124">IF(B124="","",_xlfn.XLOOKUP(B124,'Form responses 1'!$B$2:$B$2604,'Form responses 1'!$G$2:$G$2604,""))</f>
        <v>Rapita</v>
      </c>
      <c r="K124" s="41" t="s">
        <v>422</v>
      </c>
      <c r="L124" s="52">
        <f t="shared" si="7"/>
        <v>45583.67108</v>
      </c>
      <c r="M124" s="49"/>
      <c r="N124" s="49"/>
      <c r="O124" s="49"/>
      <c r="P124" s="49"/>
      <c r="Q124" s="49"/>
      <c r="R124" s="49"/>
      <c r="S124" s="49"/>
      <c r="T124" s="49"/>
      <c r="U124" s="49"/>
      <c r="V124" s="49"/>
      <c r="W124" s="41" t="s">
        <v>618</v>
      </c>
      <c r="X124" s="46">
        <f t="shared" si="5"/>
        <v>45587.41372</v>
      </c>
      <c r="Y124" s="50" t="s">
        <v>482</v>
      </c>
      <c r="Z124" s="49">
        <f t="shared" si="6"/>
        <v>0</v>
      </c>
    </row>
    <row r="125" ht="22.5" customHeight="1">
      <c r="B125" s="41" t="s">
        <v>972</v>
      </c>
      <c r="C125" s="43">
        <f t="array" ref="C125">IF(B125="","",_xlfn.XLOOKUP(B125,'Form responses 1'!$B$2:$B$2604,'Form responses 1'!$A$2:$A$2604,""))</f>
        <v>45583.41013</v>
      </c>
      <c r="D125" s="44" t="str">
        <f t="shared" si="3"/>
        <v>K/1/181024/1_45583.4101311227</v>
      </c>
      <c r="E125" s="44" t="str">
        <f t="array" ref="E125">IF(B125="","",_xlfn.XLOOKUP(B125,'Form responses 1'!$B$2:$B$2604,'Form responses 1'!$C$2:$C$2604,""))</f>
        <v>ISMARINA/ NASRULLAH</v>
      </c>
      <c r="F125" s="44" t="str">
        <f t="array" ref="F125">IF(B125="","",_xlfn.XLOOKUP(B125,'Form responses 1'!$B$2:$B$2604,'Form responses 1'!$D$2:$D$2604,""))</f>
        <v>081377641549</v>
      </c>
      <c r="G125" s="44" t="str">
        <f t="array" ref="G125">IF(B125="","",_xlfn.XLOOKUP(B125,'Form responses 1'!$B$2:$B$2604,'Form responses 1'!$E$2:$E$2604,""))</f>
        <v>BN PHB</v>
      </c>
      <c r="H125" s="44" t="str">
        <f t="array" ref="H125">IF(B125="","",_xlfn.XLOOKUP(B125,'Form responses 1'!$B$2:$B$2604,'Form responses 1'!$F$2:$F$2604,""))</f>
        <v>NIBEL 1145/ SUKAMAJU</v>
      </c>
      <c r="I125" s="44" t="str">
        <f t="array" ref="I125">IF(B125="","",_xlfn.XLOOKUP(B125,'Form responses 1'!$B$2:$B$2604,'Form responses 1'!$I$2:$I$2604,""))</f>
        <v>SUKAMAJU</v>
      </c>
      <c r="J125" s="44" t="str">
        <f t="array" ref="J125">IF(B125="","",_xlfn.XLOOKUP(B125,'Form responses 1'!$B$2:$B$2604,'Form responses 1'!$G$2:$G$2604,""))</f>
        <v>Hananda</v>
      </c>
      <c r="K125" s="41" t="s">
        <v>422</v>
      </c>
      <c r="L125" s="52">
        <f t="shared" si="7"/>
        <v>45583.6711</v>
      </c>
      <c r="M125" s="47" t="s">
        <v>5270</v>
      </c>
      <c r="N125" s="49"/>
      <c r="O125" s="49"/>
      <c r="P125" s="49"/>
      <c r="Q125" s="49"/>
      <c r="R125" s="49"/>
      <c r="S125" s="49"/>
      <c r="T125" s="49"/>
      <c r="U125" s="49"/>
      <c r="V125" s="49"/>
      <c r="W125" s="41" t="s">
        <v>618</v>
      </c>
      <c r="X125" s="46">
        <f t="shared" si="5"/>
        <v>45589.64445</v>
      </c>
      <c r="Y125" s="50" t="s">
        <v>482</v>
      </c>
      <c r="Z125" s="49">
        <f t="shared" si="6"/>
        <v>1</v>
      </c>
    </row>
    <row r="126" ht="22.5" customHeight="1">
      <c r="B126" s="41" t="s">
        <v>1030</v>
      </c>
      <c r="C126" s="43">
        <f t="array" ref="C126">IF(B126="","",_xlfn.XLOOKUP(B126,'Form responses 1'!$B$2:$B$2604,'Form responses 1'!$A$2:$A$2604,""))</f>
        <v>45583.46575</v>
      </c>
      <c r="D126" s="44" t="str">
        <f t="shared" si="3"/>
        <v>K/16/181024/1_45583.4657452083</v>
      </c>
      <c r="E126" s="44" t="str">
        <f t="array" ref="E126">IF(B126="","",_xlfn.XLOOKUP(B126,'Form responses 1'!$B$2:$B$2604,'Form responses 1'!$C$2:$C$2604,""))</f>
        <v>nanik maryani/ darwin</v>
      </c>
      <c r="F126" s="44" t="str">
        <f t="array" ref="F126">IF(B126="","",_xlfn.XLOOKUP(B126,'Form responses 1'!$B$2:$B$2604,'Form responses 1'!$D$2:$D$2604,""))</f>
        <v>083178501348</v>
      </c>
      <c r="G126" s="44" t="str">
        <f t="array" ref="G126">IF(B126="","",_xlfn.XLOOKUP(B126,'Form responses 1'!$B$2:$B$2604,'Form responses 1'!$E$2:$E$2604,""))</f>
        <v>perubahan hak</v>
      </c>
      <c r="H126" s="44" t="str">
        <f t="array" ref="H126">IF(B126="","",_xlfn.XLOOKUP(B126,'Form responses 1'!$B$2:$B$2604,'Form responses 1'!$F$2:$F$2604,""))</f>
        <v>Nibel 2006/ sumur putri</v>
      </c>
      <c r="I126" s="44" t="str">
        <f t="array" ref="I126">IF(B126="","",_xlfn.XLOOKUP(B126,'Form responses 1'!$B$2:$B$2604,'Form responses 1'!$I$2:$I$2604,""))</f>
        <v>sumur putri</v>
      </c>
      <c r="J126" s="44" t="str">
        <f t="array" ref="J126">IF(B126="","",_xlfn.XLOOKUP(B126,'Form responses 1'!$B$2:$B$2604,'Form responses 1'!$G$2:$G$2604,""))</f>
        <v>Hananda</v>
      </c>
      <c r="K126" s="41" t="s">
        <v>422</v>
      </c>
      <c r="L126" s="52">
        <f t="shared" si="7"/>
        <v>45583.67112</v>
      </c>
      <c r="M126" s="49"/>
      <c r="N126" s="49"/>
      <c r="O126" s="49"/>
      <c r="P126" s="49"/>
      <c r="Q126" s="49"/>
      <c r="R126" s="49"/>
      <c r="S126" s="49"/>
      <c r="T126" s="49"/>
      <c r="U126" s="49"/>
      <c r="V126" s="49"/>
      <c r="W126" s="41" t="s">
        <v>618</v>
      </c>
      <c r="X126" s="46">
        <f t="shared" si="5"/>
        <v>45586.63643</v>
      </c>
      <c r="Y126" s="50" t="s">
        <v>482</v>
      </c>
      <c r="Z126" s="49">
        <f t="shared" si="6"/>
        <v>0</v>
      </c>
    </row>
    <row r="127" ht="22.5" customHeight="1">
      <c r="B127" s="41" t="s">
        <v>976</v>
      </c>
      <c r="C127" s="43">
        <f t="array" ref="C127">IF(B127="","",_xlfn.XLOOKUP(B127,'Form responses 1'!$B$2:$B$2604,'Form responses 1'!$A$2:$A$2604,""))</f>
        <v>45583.4104</v>
      </c>
      <c r="D127" s="44" t="str">
        <f t="shared" si="3"/>
        <v>K/4/181024/1_45583.4104046528</v>
      </c>
      <c r="E127" s="44" t="str">
        <f t="array" ref="E127">IF(B127="","",_xlfn.XLOOKUP(B127,'Form responses 1'!$B$2:$B$2604,'Form responses 1'!$C$2:$C$2604,""))</f>
        <v>Vitta N/ Yanni</v>
      </c>
      <c r="F127" s="44" t="str">
        <f t="array" ref="F127">IF(B127="","",_xlfn.XLOOKUP(B127,'Form responses 1'!$B$2:$B$2604,'Form responses 1'!$D$2:$D$2604,""))</f>
        <v>082181337272</v>
      </c>
      <c r="G127" s="44" t="str">
        <f t="array" ref="G127">IF(B127="","",_xlfn.XLOOKUP(B127,'Form responses 1'!$B$2:$B$2604,'Form responses 1'!$E$2:$E$2604,""))</f>
        <v>Roya</v>
      </c>
      <c r="H127" s="44" t="str">
        <f t="array" ref="H127">IF(B127="","",_xlfn.XLOOKUP(B127,'Form responses 1'!$B$2:$B$2604,'Form responses 1'!$F$2:$F$2604,""))</f>
        <v>M. 1401/ K B K SHT 3354/2013 dan 590/2017</v>
      </c>
      <c r="I127" s="44" t="str">
        <f t="array" ref="I127">IF(B127="","",_xlfn.XLOOKUP(B127,'Form responses 1'!$B$2:$B$2604,'Form responses 1'!$I$2:$I$2604,""))</f>
        <v>Kali Balau Kencana</v>
      </c>
      <c r="J127" s="44" t="str">
        <f t="array" ref="J127">IF(B127="","",_xlfn.XLOOKUP(B127,'Form responses 1'!$B$2:$B$2604,'Form responses 1'!$G$2:$G$2604,""))</f>
        <v>Rapita</v>
      </c>
      <c r="K127" s="41" t="s">
        <v>422</v>
      </c>
      <c r="L127" s="52">
        <f t="shared" si="7"/>
        <v>45583.67113</v>
      </c>
      <c r="M127" s="49"/>
      <c r="N127" s="49"/>
      <c r="O127" s="49"/>
      <c r="P127" s="49"/>
      <c r="Q127" s="49"/>
      <c r="R127" s="49"/>
      <c r="S127" s="49"/>
      <c r="T127" s="49"/>
      <c r="U127" s="49"/>
      <c r="V127" s="49"/>
      <c r="W127" s="41" t="s">
        <v>618</v>
      </c>
      <c r="X127" s="46">
        <f t="shared" si="5"/>
        <v>45586.65529</v>
      </c>
      <c r="Y127" s="50" t="s">
        <v>482</v>
      </c>
      <c r="Z127" s="49">
        <f t="shared" si="6"/>
        <v>0</v>
      </c>
    </row>
    <row r="128" ht="22.5" customHeight="1">
      <c r="B128" s="41" t="s">
        <v>980</v>
      </c>
      <c r="C128" s="43">
        <f t="array" ref="C128">IF(B128="","",_xlfn.XLOOKUP(B128,'Form responses 1'!$B$2:$B$2604,'Form responses 1'!$A$2:$A$2604,""))</f>
        <v>45583.41585</v>
      </c>
      <c r="D128" s="44" t="str">
        <f t="shared" si="3"/>
        <v>K/2/181024/2_45583.4158536227</v>
      </c>
      <c r="E128" s="44" t="str">
        <f t="array" ref="E128">IF(B128="","",_xlfn.XLOOKUP(B128,'Form responses 1'!$B$2:$B$2604,'Form responses 1'!$C$2:$C$2604,""))</f>
        <v>ISMARINA</v>
      </c>
      <c r="F128" s="44" t="str">
        <f t="array" ref="F128">IF(B128="","",_xlfn.XLOOKUP(B128,'Form responses 1'!$B$2:$B$2604,'Form responses 1'!$D$2:$D$2604,""))</f>
        <v>081377641549</v>
      </c>
      <c r="G128" s="44" t="str">
        <f t="array" ref="G128">IF(B128="","",_xlfn.XLOOKUP(B128,'Form responses 1'!$B$2:$B$2604,'Form responses 1'!$E$2:$E$2604,""))</f>
        <v>BN JUAL BELI</v>
      </c>
      <c r="H128" s="44" t="str">
        <f t="array" ref="H128">IF(B128="","",_xlfn.XLOOKUP(B128,'Form responses 1'!$B$2:$B$2604,'Form responses 1'!$F$2:$F$2604,""))</f>
        <v>M. 596/ Gunung Terang</v>
      </c>
      <c r="I128" s="44" t="str">
        <f t="array" ref="I128">IF(B128="","",_xlfn.XLOOKUP(B128,'Form responses 1'!$B$2:$B$2604,'Form responses 1'!$I$2:$I$2604,""))</f>
        <v>Gunung Terang</v>
      </c>
      <c r="J128" s="44" t="str">
        <f t="array" ref="J128">IF(B128="","",_xlfn.XLOOKUP(B128,'Form responses 1'!$B$2:$B$2604,'Form responses 1'!$G$2:$G$2604,""))</f>
        <v>Hananda</v>
      </c>
      <c r="K128" s="41" t="s">
        <v>422</v>
      </c>
      <c r="L128" s="52">
        <f t="shared" si="7"/>
        <v>45583.67115</v>
      </c>
      <c r="M128" s="49"/>
      <c r="N128" s="49"/>
      <c r="O128" s="49"/>
      <c r="P128" s="49"/>
      <c r="Q128" s="49"/>
      <c r="R128" s="49"/>
      <c r="S128" s="49"/>
      <c r="T128" s="49"/>
      <c r="U128" s="49"/>
      <c r="V128" s="49"/>
      <c r="W128" s="41" t="s">
        <v>618</v>
      </c>
      <c r="X128" s="46">
        <f t="shared" si="5"/>
        <v>45587.43522</v>
      </c>
      <c r="Y128" s="50" t="s">
        <v>482</v>
      </c>
      <c r="Z128" s="49">
        <f t="shared" si="6"/>
        <v>0</v>
      </c>
    </row>
    <row r="129" ht="22.5" customHeight="1">
      <c r="B129" s="41" t="s">
        <v>1069</v>
      </c>
      <c r="C129" s="43">
        <f t="array" ref="C129">IF(B129="","",_xlfn.XLOOKUP(B129,'Form responses 1'!$B$2:$B$2604,'Form responses 1'!$A$2:$A$2604,""))</f>
        <v>45583.58111</v>
      </c>
      <c r="D129" s="44" t="str">
        <f t="shared" si="3"/>
        <v>K/25/181024/1_45583.5811129861</v>
      </c>
      <c r="E129" s="44" t="str">
        <f t="array" ref="E129">IF(B129="","",_xlfn.XLOOKUP(B129,'Form responses 1'!$B$2:$B$2604,'Form responses 1'!$C$2:$C$2604,""))</f>
        <v>Angga Yustian/ Daryati</v>
      </c>
      <c r="F129" s="44" t="str">
        <f t="array" ref="F129">IF(B129="","",_xlfn.XLOOKUP(B129,'Form responses 1'!$B$2:$B$2604,'Form responses 1'!$D$2:$D$2604,""))</f>
        <v>081366060045</v>
      </c>
      <c r="G129" s="44" t="str">
        <f t="array" ref="G129">IF(B129="","",_xlfn.XLOOKUP(B129,'Form responses 1'!$B$2:$B$2604,'Form responses 1'!$E$2:$E$2604,""))</f>
        <v>BN Jual Beli</v>
      </c>
      <c r="H129" s="44" t="str">
        <f t="array" ref="H129">IF(B129="","",_xlfn.XLOOKUP(B129,'Form responses 1'!$B$2:$B$2604,'Form responses 1'!$F$2:$F$2604,""))</f>
        <v>M. 3996/ Rajabasa Jaya</v>
      </c>
      <c r="I129" s="44" t="str">
        <f t="array" ref="I129">IF(B129="","",_xlfn.XLOOKUP(B129,'Form responses 1'!$B$2:$B$2604,'Form responses 1'!$I$2:$I$2604,""))</f>
        <v>Rajabasa Jaya</v>
      </c>
      <c r="J129" s="44" t="str">
        <f t="array" ref="J129">IF(B129="","",_xlfn.XLOOKUP(B129,'Form responses 1'!$B$2:$B$2604,'Form responses 1'!$G$2:$G$2604,""))</f>
        <v>Hananda</v>
      </c>
      <c r="K129" s="41" t="s">
        <v>2875</v>
      </c>
      <c r="L129" s="52">
        <f t="shared" si="7"/>
        <v>45583.68047</v>
      </c>
      <c r="M129" s="49"/>
      <c r="N129" s="49"/>
      <c r="O129" s="49"/>
      <c r="P129" s="49"/>
      <c r="Q129" s="49"/>
      <c r="R129" s="49"/>
      <c r="S129" s="49"/>
      <c r="T129" s="49"/>
      <c r="U129" s="49"/>
      <c r="V129" s="49"/>
      <c r="W129" s="41" t="s">
        <v>618</v>
      </c>
      <c r="X129" s="46">
        <f t="shared" si="5"/>
        <v>45589.62168</v>
      </c>
      <c r="Y129" s="50" t="s">
        <v>482</v>
      </c>
      <c r="Z129" s="49">
        <f t="shared" si="6"/>
        <v>0</v>
      </c>
    </row>
    <row r="130" ht="22.5" customHeight="1">
      <c r="B130" s="41" t="s">
        <v>1048</v>
      </c>
      <c r="C130" s="43">
        <f t="array" ref="C130">IF(B130="","",_xlfn.XLOOKUP(B130,'Form responses 1'!$B$2:$B$2604,'Form responses 1'!$A$2:$A$2604,""))</f>
        <v>45583.47171</v>
      </c>
      <c r="D130" s="44" t="str">
        <f t="shared" si="3"/>
        <v>K/20/181024/1_45583.4717145486</v>
      </c>
      <c r="E130" s="44" t="str">
        <f t="array" ref="E130">IF(B130="","",_xlfn.XLOOKUP(B130,'Form responses 1'!$B$2:$B$2604,'Form responses 1'!$C$2:$C$2604,""))</f>
        <v>Irawati Kurniawan/ Yani Aria</v>
      </c>
      <c r="F130" s="44" t="str">
        <f t="array" ref="F130">IF(B130="","",_xlfn.XLOOKUP(B130,'Form responses 1'!$B$2:$B$2604,'Form responses 1'!$D$2:$D$2604,""))</f>
        <v>085368608866</v>
      </c>
      <c r="G130" s="44" t="str">
        <f t="array" ref="G130">IF(B130="","",_xlfn.XLOOKUP(B130,'Form responses 1'!$B$2:$B$2604,'Form responses 1'!$E$2:$E$2604,""))</f>
        <v>Hapus BPHTB</v>
      </c>
      <c r="H130" s="44" t="str">
        <f t="array" ref="H130">IF(B130="","",_xlfn.XLOOKUP(B130,'Form responses 1'!$B$2:$B$2604,'Form responses 1'!$F$2:$F$2604,""))</f>
        <v>M. 501/ Campang Jaya</v>
      </c>
      <c r="I130" s="44" t="str">
        <f t="array" ref="I130">IF(B130="","",_xlfn.XLOOKUP(B130,'Form responses 1'!$B$2:$B$2604,'Form responses 1'!$I$2:$I$2604,""))</f>
        <v>Campang Jaya</v>
      </c>
      <c r="J130" s="44" t="str">
        <f t="array" ref="J130">IF(B130="","",_xlfn.XLOOKUP(B130,'Form responses 1'!$B$2:$B$2604,'Form responses 1'!$G$2:$G$2604,""))</f>
        <v>Rapita</v>
      </c>
      <c r="K130" s="41" t="s">
        <v>2875</v>
      </c>
      <c r="L130" s="52">
        <f t="shared" si="7"/>
        <v>45583.68048</v>
      </c>
      <c r="M130" s="49"/>
      <c r="N130" s="49"/>
      <c r="O130" s="49"/>
      <c r="P130" s="49"/>
      <c r="Q130" s="49"/>
      <c r="R130" s="49"/>
      <c r="S130" s="49"/>
      <c r="T130" s="49"/>
      <c r="U130" s="49"/>
      <c r="V130" s="49"/>
      <c r="W130" s="41" t="s">
        <v>618</v>
      </c>
      <c r="X130" s="46">
        <f t="shared" si="5"/>
        <v>45589.44721</v>
      </c>
      <c r="Y130" s="50" t="s">
        <v>482</v>
      </c>
      <c r="Z130" s="49">
        <f t="shared" si="6"/>
        <v>0</v>
      </c>
    </row>
    <row r="131" ht="22.5" customHeight="1">
      <c r="B131" s="41" t="s">
        <v>994</v>
      </c>
      <c r="C131" s="43">
        <f t="array" ref="C131">IF(B131="","",_xlfn.XLOOKUP(B131,'Form responses 1'!$B$2:$B$2604,'Form responses 1'!$A$2:$A$2604,""))</f>
        <v>45583.43786</v>
      </c>
      <c r="D131" s="44" t="str">
        <f t="shared" si="3"/>
        <v>K/6/181024/1_45583.4378553125</v>
      </c>
      <c r="E131" s="44" t="str">
        <f t="array" ref="E131">IF(B131="","",_xlfn.XLOOKUP(B131,'Form responses 1'!$B$2:$B$2604,'Form responses 1'!$C$2:$C$2604,""))</f>
        <v>Afrizal/ Welly H</v>
      </c>
      <c r="F131" s="44" t="str">
        <f t="array" ref="F131">IF(B131="","",_xlfn.XLOOKUP(B131,'Form responses 1'!$B$2:$B$2604,'Form responses 1'!$D$2:$D$2604,""))</f>
        <v>+62 813-6751-6751</v>
      </c>
      <c r="G131" s="44" t="str">
        <f t="array" ref="G131">IF(B131="","",_xlfn.XLOOKUP(B131,'Form responses 1'!$B$2:$B$2604,'Form responses 1'!$E$2:$E$2604,""))</f>
        <v>Roya</v>
      </c>
      <c r="H131" s="44" t="str">
        <f t="array" ref="H131">IF(B131="","",_xlfn.XLOOKUP(B131,'Form responses 1'!$B$2:$B$2604,'Form responses 1'!$F$2:$F$2604,""))</f>
        <v>B. 653; 654/ Pesawahan dan SHT 1213/2008 dan SHT 3013/2006</v>
      </c>
      <c r="I131" s="44" t="str">
        <f t="array" ref="I131">IF(B131="","",_xlfn.XLOOKUP(B131,'Form responses 1'!$B$2:$B$2604,'Form responses 1'!$I$2:$I$2604,""))</f>
        <v>Pesawahan</v>
      </c>
      <c r="J131" s="44" t="str">
        <f t="array" ref="J131">IF(B131="","",_xlfn.XLOOKUP(B131,'Form responses 1'!$B$2:$B$2604,'Form responses 1'!$G$2:$G$2604,""))</f>
        <v>Rapita</v>
      </c>
      <c r="K131" s="41" t="s">
        <v>2875</v>
      </c>
      <c r="L131" s="52">
        <f t="shared" si="7"/>
        <v>45583.6805</v>
      </c>
      <c r="M131" s="47" t="s">
        <v>5271</v>
      </c>
      <c r="N131" s="49"/>
      <c r="O131" s="49"/>
      <c r="P131" s="49"/>
      <c r="Q131" s="49"/>
      <c r="R131" s="49"/>
      <c r="S131" s="49"/>
      <c r="T131" s="49"/>
      <c r="U131" s="49"/>
      <c r="V131" s="49"/>
      <c r="W131" s="41" t="s">
        <v>618</v>
      </c>
      <c r="X131" s="46">
        <f t="shared" si="5"/>
        <v>45592.45516</v>
      </c>
      <c r="Y131" s="50" t="s">
        <v>482</v>
      </c>
      <c r="Z131" s="49">
        <f t="shared" si="6"/>
        <v>1</v>
      </c>
    </row>
    <row r="132" ht="22.5" customHeight="1">
      <c r="B132" s="41" t="s">
        <v>1020</v>
      </c>
      <c r="C132" s="43">
        <f t="array" ref="C132">IF(B132="","",_xlfn.XLOOKUP(B132,'Form responses 1'!$B$2:$B$2604,'Form responses 1'!$A$2:$A$2604,""))</f>
        <v>45583.46528</v>
      </c>
      <c r="D132" s="44" t="str">
        <f t="shared" si="3"/>
        <v>K/14/181024/1_45583.4652765046</v>
      </c>
      <c r="E132" s="44" t="str">
        <f t="array" ref="E132">IF(B132="","",_xlfn.XLOOKUP(B132,'Form responses 1'!$B$2:$B$2604,'Form responses 1'!$C$2:$C$2604,""))</f>
        <v>Intan Avita S/ Heru Sugianto</v>
      </c>
      <c r="F132" s="44" t="str">
        <f t="array" ref="F132">IF(B132="","",_xlfn.XLOOKUP(B132,'Form responses 1'!$B$2:$B$2604,'Form responses 1'!$D$2:$D$2604,""))</f>
        <v>08994048236</v>
      </c>
      <c r="G132" s="44" t="str">
        <f t="array" ref="G132">IF(B132="","",_xlfn.XLOOKUP(B132,'Form responses 1'!$B$2:$B$2604,'Form responses 1'!$E$2:$E$2604,""))</f>
        <v>BN Jual Beli</v>
      </c>
      <c r="H132" s="44" t="str">
        <f t="array" ref="H132">IF(B132="","",_xlfn.XLOOKUP(B132,'Form responses 1'!$B$2:$B$2604,'Form responses 1'!$F$2:$F$2604,""))</f>
        <v>M. 13267/ Sukabumi</v>
      </c>
      <c r="I132" s="44" t="str">
        <f t="array" ref="I132">IF(B132="","",_xlfn.XLOOKUP(B132,'Form responses 1'!$B$2:$B$2604,'Form responses 1'!$I$2:$I$2604,""))</f>
        <v> Sukabumi</v>
      </c>
      <c r="J132" s="44" t="str">
        <f t="array" ref="J132">IF(B132="","",_xlfn.XLOOKUP(B132,'Form responses 1'!$B$2:$B$2604,'Form responses 1'!$G$2:$G$2604,""))</f>
        <v>Rapita</v>
      </c>
      <c r="K132" s="41" t="s">
        <v>2875</v>
      </c>
      <c r="L132" s="52">
        <f t="shared" si="7"/>
        <v>45583.68052</v>
      </c>
      <c r="M132" s="49"/>
      <c r="N132" s="49"/>
      <c r="O132" s="49"/>
      <c r="P132" s="49"/>
      <c r="Q132" s="49"/>
      <c r="R132" s="49"/>
      <c r="S132" s="49"/>
      <c r="T132" s="49"/>
      <c r="U132" s="49"/>
      <c r="V132" s="49"/>
      <c r="W132" s="41" t="s">
        <v>618</v>
      </c>
      <c r="X132" s="46">
        <f t="shared" si="5"/>
        <v>45590.45681</v>
      </c>
      <c r="Y132" s="50" t="s">
        <v>482</v>
      </c>
      <c r="Z132" s="49">
        <f t="shared" si="6"/>
        <v>0</v>
      </c>
    </row>
    <row r="133" ht="22.5" customHeight="1">
      <c r="B133" s="41" t="s">
        <v>990</v>
      </c>
      <c r="C133" s="43">
        <f t="array" ref="C133">IF(B133="","",_xlfn.XLOOKUP(B133,'Form responses 1'!$B$2:$B$2604,'Form responses 1'!$A$2:$A$2604,""))</f>
        <v>45583.43658</v>
      </c>
      <c r="D133" s="44" t="str">
        <f t="shared" si="3"/>
        <v>K/8/181024/1_45583.4365762963</v>
      </c>
      <c r="E133" s="44" t="str">
        <f t="array" ref="E133">IF(B133="","",_xlfn.XLOOKUP(B133,'Form responses 1'!$B$2:$B$2604,'Form responses 1'!$C$2:$C$2604,""))</f>
        <v>RAHMADIYANTI/RAIHAN AZHAR</v>
      </c>
      <c r="F133" s="44" t="str">
        <f t="array" ref="F133">IF(B133="","",_xlfn.XLOOKUP(B133,'Form responses 1'!$B$2:$B$2604,'Form responses 1'!$D$2:$D$2604,""))</f>
        <v>+62 821-8209-0051</v>
      </c>
      <c r="G133" s="44" t="str">
        <f t="array" ref="G133">IF(B133="","",_xlfn.XLOOKUP(B133,'Form responses 1'!$B$2:$B$2604,'Form responses 1'!$E$2:$E$2604,""))</f>
        <v>BN JUAL BELI</v>
      </c>
      <c r="H133" s="44" t="str">
        <f t="array" ref="H133">IF(B133="","",_xlfn.XLOOKUP(B133,'Form responses 1'!$B$2:$B$2604,'Form responses 1'!$F$2:$F$2604,""))</f>
        <v>M. 227/ Sukarame Baru- sekarang; M. 13036/ Sukarame I- dahulu</v>
      </c>
      <c r="I133" s="44" t="str">
        <f t="array" ref="I133">IF(B133="","",_xlfn.XLOOKUP(B133,'Form responses 1'!$B$2:$B$2604,'Form responses 1'!$I$2:$I$2604,""))</f>
        <v>sukarame Baru</v>
      </c>
      <c r="J133" s="44" t="str">
        <f t="array" ref="J133">IF(B133="","",_xlfn.XLOOKUP(B133,'Form responses 1'!$B$2:$B$2604,'Form responses 1'!$G$2:$G$2604,""))</f>
        <v>Hananda</v>
      </c>
      <c r="K133" s="41" t="s">
        <v>2875</v>
      </c>
      <c r="L133" s="52">
        <f t="shared" si="7"/>
        <v>45583.68055</v>
      </c>
      <c r="M133" s="47" t="s">
        <v>5272</v>
      </c>
      <c r="N133" s="49"/>
      <c r="O133" s="49"/>
      <c r="P133" s="49"/>
      <c r="Q133" s="49"/>
      <c r="R133" s="49"/>
      <c r="S133" s="49"/>
      <c r="T133" s="49"/>
      <c r="U133" s="49"/>
      <c r="V133" s="49"/>
      <c r="W133" s="41" t="s">
        <v>618</v>
      </c>
      <c r="X133" s="46">
        <f t="shared" si="5"/>
        <v>45601.65712</v>
      </c>
      <c r="Y133" s="50" t="s">
        <v>482</v>
      </c>
      <c r="Z133" s="49">
        <f t="shared" si="6"/>
        <v>1</v>
      </c>
    </row>
    <row r="134" ht="22.5" customHeight="1">
      <c r="B134" s="41" t="s">
        <v>1059</v>
      </c>
      <c r="C134" s="43">
        <f t="array" ref="C134">IF(B134="","",_xlfn.XLOOKUP(B134,'Form responses 1'!$B$2:$B$2604,'Form responses 1'!$A$2:$A$2604,""))</f>
        <v>45583.58128</v>
      </c>
      <c r="D134" s="44" t="str">
        <f t="shared" si="3"/>
        <v>K/23/181024/1_45583.5812783796</v>
      </c>
      <c r="E134" s="44" t="str">
        <f t="array" ref="E134">IF(B134="","",_xlfn.XLOOKUP(B134,'Form responses 1'!$B$2:$B$2604,'Form responses 1'!$C$2:$C$2604,""))</f>
        <v>Nurhayati/ Yolanda Regina</v>
      </c>
      <c r="F134" s="44" t="str">
        <f t="array" ref="F134">IF(B134="","",_xlfn.XLOOKUP(B134,'Form responses 1'!$B$2:$B$2604,'Form responses 1'!$D$2:$D$2604,""))</f>
        <v>07218012898</v>
      </c>
      <c r="G134" s="44" t="str">
        <f t="array" ref="G134">IF(B134="","",_xlfn.XLOOKUP(B134,'Form responses 1'!$B$2:$B$2604,'Form responses 1'!$E$2:$E$2604,""))</f>
        <v>BN Jual Beli</v>
      </c>
      <c r="H134" s="44" t="str">
        <f t="array" ref="H134">IF(B134="","",_xlfn.XLOOKUP(B134,'Form responses 1'!$B$2:$B$2604,'Form responses 1'!$F$2:$F$2604,""))</f>
        <v>M. 224/ Kampung Baru Raya</v>
      </c>
      <c r="I134" s="44" t="str">
        <f t="array" ref="I134">IF(B134="","",_xlfn.XLOOKUP(B134,'Form responses 1'!$B$2:$B$2604,'Form responses 1'!$I$2:$I$2604,""))</f>
        <v>Kampung Baru Raya</v>
      </c>
      <c r="J134" s="44" t="str">
        <f t="array" ref="J134">IF(B134="","",_xlfn.XLOOKUP(B134,'Form responses 1'!$B$2:$B$2604,'Form responses 1'!$G$2:$G$2604,""))</f>
        <v>Rapita</v>
      </c>
      <c r="K134" s="41" t="s">
        <v>587</v>
      </c>
      <c r="L134" s="52">
        <f t="shared" si="7"/>
        <v>45583.68201</v>
      </c>
      <c r="M134" s="47" t="s">
        <v>5273</v>
      </c>
      <c r="N134" s="49"/>
      <c r="O134" s="49"/>
      <c r="P134" s="49"/>
      <c r="Q134" s="49"/>
      <c r="R134" s="49"/>
      <c r="S134" s="49"/>
      <c r="T134" s="49"/>
      <c r="U134" s="49"/>
      <c r="V134" s="49"/>
      <c r="W134" s="41" t="s">
        <v>5274</v>
      </c>
      <c r="X134" s="46">
        <f t="shared" si="5"/>
        <v>45589.32186</v>
      </c>
      <c r="Y134" s="50" t="s">
        <v>482</v>
      </c>
      <c r="Z134" s="49">
        <f t="shared" si="6"/>
        <v>1</v>
      </c>
    </row>
    <row r="135" ht="22.5" customHeight="1">
      <c r="B135" s="41" t="s">
        <v>1149</v>
      </c>
      <c r="C135" s="43">
        <f t="array" ref="C135">IF(B135="","",_xlfn.XLOOKUP(B135,'Form responses 1'!$B$2:$B$2604,'Form responses 1'!$A$2:$A$2604,""))</f>
        <v>45583.62387</v>
      </c>
      <c r="D135" s="44" t="str">
        <f t="shared" si="3"/>
        <v>K/43/181024/1_45583.6238725463</v>
      </c>
      <c r="E135" s="44" t="str">
        <f t="array" ref="E135">IF(B135="","",_xlfn.XLOOKUP(B135,'Form responses 1'!$B$2:$B$2604,'Form responses 1'!$C$2:$C$2604,""))</f>
        <v>Endang Aprilia/ M Ma'ruf</v>
      </c>
      <c r="F135" s="44" t="str">
        <f t="array" ref="F135">IF(B135="","",_xlfn.XLOOKUP(B135,'Form responses 1'!$B$2:$B$2604,'Form responses 1'!$D$2:$D$2604,""))</f>
        <v>+62 822-8923-5722</v>
      </c>
      <c r="G135" s="44" t="str">
        <f t="array" ref="G135">IF(B135="","",_xlfn.XLOOKUP(B135,'Form responses 1'!$B$2:$B$2604,'Form responses 1'!$E$2:$E$2604,""))</f>
        <v>Hapus BPHTB</v>
      </c>
      <c r="H135" s="44" t="str">
        <f t="array" ref="H135">IF(B135="","",_xlfn.XLOOKUP(B135,'Form responses 1'!$B$2:$B$2604,'Form responses 1'!$F$2:$F$2604,""))</f>
        <v>M. 3058/ Gunung Terang</v>
      </c>
      <c r="I135" s="44" t="str">
        <f t="array" ref="I135">IF(B135="","",_xlfn.XLOOKUP(B135,'Form responses 1'!$B$2:$B$2604,'Form responses 1'!$I$2:$I$2604,""))</f>
        <v>Gunung Terang</v>
      </c>
      <c r="J135" s="44" t="str">
        <f t="array" ref="J135">IF(B135="","",_xlfn.XLOOKUP(B135,'Form responses 1'!$B$2:$B$2604,'Form responses 1'!$G$2:$G$2604,""))</f>
        <v>Rapita</v>
      </c>
      <c r="K135" s="41" t="s">
        <v>587</v>
      </c>
      <c r="L135" s="52">
        <f t="shared" si="7"/>
        <v>45583.68225</v>
      </c>
      <c r="M135" s="47" t="s">
        <v>470</v>
      </c>
      <c r="N135" s="47" t="s">
        <v>1156</v>
      </c>
      <c r="O135" s="49"/>
      <c r="P135" s="49"/>
      <c r="Q135" s="49"/>
      <c r="R135" s="49"/>
      <c r="S135" s="49"/>
      <c r="T135" s="49"/>
      <c r="U135" s="49"/>
      <c r="V135" s="49"/>
      <c r="W135" s="41" t="s">
        <v>618</v>
      </c>
      <c r="X135" s="46">
        <f t="shared" si="5"/>
        <v>45595.32583</v>
      </c>
      <c r="Y135" s="50" t="s">
        <v>482</v>
      </c>
      <c r="Z135" s="49">
        <f t="shared" si="6"/>
        <v>2</v>
      </c>
    </row>
    <row r="136" ht="22.5" customHeight="1">
      <c r="B136" s="41" t="s">
        <v>1248</v>
      </c>
      <c r="C136" s="43">
        <f t="array" ref="C136">IF(B136="","",_xlfn.XLOOKUP(B136,'Form responses 1'!$B$2:$B$2604,'Form responses 1'!$A$2:$A$2604,""))</f>
        <v>45586.44995</v>
      </c>
      <c r="D136" s="44" t="str">
        <f t="shared" si="3"/>
        <v>K/16/211024/2_45586.449951956</v>
      </c>
      <c r="E136" s="44" t="str">
        <f t="array" ref="E136">IF(B136="","",_xlfn.XLOOKUP(B136,'Form responses 1'!$B$2:$B$2604,'Form responses 1'!$C$2:$C$2604,""))</f>
        <v>Yudeni T/ M Rully A</v>
      </c>
      <c r="F136" s="44" t="str">
        <f t="array" ref="F136">IF(B136="","",_xlfn.XLOOKUP(B136,'Form responses 1'!$B$2:$B$2604,'Form responses 1'!$D$2:$D$2604,""))</f>
        <v>+62 856-6464-4484</v>
      </c>
      <c r="G136" s="44" t="str">
        <f t="array" ref="G136">IF(B136="","",_xlfn.XLOOKUP(B136,'Form responses 1'!$B$2:$B$2604,'Form responses 1'!$E$2:$E$2604,""))</f>
        <v>BN Jual Beli</v>
      </c>
      <c r="H136" s="44" t="str">
        <f t="array" ref="H136">IF(B136="","",_xlfn.XLOOKUP(B136,'Form responses 1'!$B$2:$B$2604,'Form responses 1'!$F$2:$F$2604,""))</f>
        <v>M. 467/ Sumur Putri</v>
      </c>
      <c r="I136" s="44" t="str">
        <f t="array" ref="I136">IF(B136="","",_xlfn.XLOOKUP(B136,'Form responses 1'!$B$2:$B$2604,'Form responses 1'!$I$2:$I$2604,""))</f>
        <v>Sumur Putri</v>
      </c>
      <c r="J136" s="44" t="str">
        <f t="array" ref="J136">IF(B136="","",_xlfn.XLOOKUP(B136,'Form responses 1'!$B$2:$B$2604,'Form responses 1'!$G$2:$G$2604,""))</f>
        <v>Rapita</v>
      </c>
      <c r="K136" s="41" t="s">
        <v>587</v>
      </c>
      <c r="L136" s="52">
        <f t="shared" si="7"/>
        <v>45589.47401</v>
      </c>
      <c r="M136" s="47" t="s">
        <v>5275</v>
      </c>
      <c r="N136" s="49"/>
      <c r="O136" s="49"/>
      <c r="P136" s="49"/>
      <c r="Q136" s="49"/>
      <c r="R136" s="49"/>
      <c r="S136" s="49"/>
      <c r="T136" s="49"/>
      <c r="U136" s="49"/>
      <c r="V136" s="49"/>
      <c r="W136" s="41" t="s">
        <v>470</v>
      </c>
      <c r="X136" s="46">
        <f t="shared" si="5"/>
        <v>45590.63052</v>
      </c>
      <c r="Y136" s="50" t="s">
        <v>482</v>
      </c>
      <c r="Z136" s="49">
        <f t="shared" si="6"/>
        <v>1</v>
      </c>
    </row>
    <row r="137" ht="22.5" customHeight="1">
      <c r="B137" s="41" t="s">
        <v>1064</v>
      </c>
      <c r="C137" s="43">
        <f t="array" ref="C137">IF(B137="","",_xlfn.XLOOKUP(B137,'Form responses 1'!$B$2:$B$2604,'Form responses 1'!$A$2:$A$2604,""))</f>
        <v>45583.55507</v>
      </c>
      <c r="D137" s="44" t="str">
        <f t="shared" si="3"/>
        <v>K/24/181024/1_45583.555069294</v>
      </c>
      <c r="E137" s="44" t="str">
        <f t="array" ref="E137">IF(B137="","",_xlfn.XLOOKUP(B137,'Form responses 1'!$B$2:$B$2604,'Form responses 1'!$C$2:$C$2604,""))</f>
        <v>novan saputra/ nirwan adi </v>
      </c>
      <c r="F137" s="44" t="str">
        <f t="array" ref="F137">IF(B137="","",_xlfn.XLOOKUP(B137,'Form responses 1'!$B$2:$B$2604,'Form responses 1'!$D$2:$D$2604,""))</f>
        <v>088276780643</v>
      </c>
      <c r="G137" s="44" t="str">
        <f t="array" ref="G137">IF(B137="","",_xlfn.XLOOKUP(B137,'Form responses 1'!$B$2:$B$2604,'Form responses 1'!$E$2:$E$2604,""))</f>
        <v>BN Hibah</v>
      </c>
      <c r="H137" s="44" t="str">
        <f t="array" ref="H137">IF(B137="","",_xlfn.XLOOKUP(B137,'Form responses 1'!$B$2:$B$2604,'Form responses 1'!$F$2:$F$2604,""))</f>
        <v>M. 1371/ Pengajaran</v>
      </c>
      <c r="I137" s="44" t="str">
        <f t="array" ref="I137">IF(B137="","",_xlfn.XLOOKUP(B137,'Form responses 1'!$B$2:$B$2604,'Form responses 1'!$I$2:$I$2604,""))</f>
        <v>Pengajaran</v>
      </c>
      <c r="J137" s="44" t="str">
        <f t="array" ref="J137">IF(B137="","",_xlfn.XLOOKUP(B137,'Form responses 1'!$B$2:$B$2604,'Form responses 1'!$G$2:$G$2604,""))</f>
        <v>Hananda</v>
      </c>
      <c r="K137" s="41" t="s">
        <v>587</v>
      </c>
      <c r="L137" s="52">
        <f t="shared" si="7"/>
        <v>45583.6828</v>
      </c>
      <c r="M137" s="47" t="s">
        <v>470</v>
      </c>
      <c r="N137" s="47" t="s">
        <v>5214</v>
      </c>
      <c r="O137" s="49"/>
      <c r="P137" s="49"/>
      <c r="Q137" s="49"/>
      <c r="R137" s="49"/>
      <c r="S137" s="49"/>
      <c r="T137" s="49"/>
      <c r="U137" s="49"/>
      <c r="V137" s="49"/>
      <c r="W137" s="41" t="s">
        <v>618</v>
      </c>
      <c r="X137" s="46">
        <f t="shared" si="5"/>
        <v>45607.32552</v>
      </c>
      <c r="Y137" s="50" t="s">
        <v>482</v>
      </c>
      <c r="Z137" s="49">
        <f t="shared" si="6"/>
        <v>2</v>
      </c>
    </row>
    <row r="138" ht="22.5" customHeight="1">
      <c r="B138" s="41" t="s">
        <v>646</v>
      </c>
      <c r="C138" s="43">
        <f t="array" ref="C138">IF(B138="","",_xlfn.XLOOKUP(B138,'Form responses 1'!$B$2:$B$2604,'Form responses 1'!$A$2:$A$2604,""))</f>
        <v>45581.48282</v>
      </c>
      <c r="D138" s="44" t="str">
        <f t="shared" si="3"/>
        <v>K/20/161024/1_45581.4828235417</v>
      </c>
      <c r="E138" s="44" t="str">
        <f t="array" ref="E138">IF(B138="","",_xlfn.XLOOKUP(B138,'Form responses 1'!$B$2:$B$2604,'Form responses 1'!$C$2:$C$2604,""))</f>
        <v>JONEA GRADIANTO CS/RICHARD ADI P</v>
      </c>
      <c r="F138" s="44" t="str">
        <f t="array" ref="F138">IF(B138="","",_xlfn.XLOOKUP(B138,'Form responses 1'!$B$2:$B$2604,'Form responses 1'!$D$2:$D$2604,""))</f>
        <v>085279997821</v>
      </c>
      <c r="G138" s="44" t="str">
        <f t="array" ref="G138">IF(B138="","",_xlfn.XLOOKUP(B138,'Form responses 1'!$B$2:$B$2604,'Form responses 1'!$E$2:$E$2604,""))</f>
        <v>PERALIHAN KEWARISAN</v>
      </c>
      <c r="H138" s="44" t="str">
        <f t="array" ref="H138">IF(B138="","",_xlfn.XLOOKUP(B138,'Form responses 1'!$B$2:$B$2604,'Form responses 1'!$F$2:$F$2604,""))</f>
        <v>M.48/KALI BALAU KENCANA-SEKARANG;B.46/KALI BALAU KENCANA -DAHULU</v>
      </c>
      <c r="I138" s="44" t="str">
        <f t="array" ref="I138">IF(B138="","",_xlfn.XLOOKUP(B138,'Form responses 1'!$B$2:$B$2604,'Form responses 1'!$I$2:$I$2604,""))</f>
        <v>KALI BALAU KENCANA</v>
      </c>
      <c r="J138" s="44" t="str">
        <f t="array" ref="J138">IF(B138="","",_xlfn.XLOOKUP(B138,'Form responses 1'!$B$2:$B$2604,'Form responses 1'!$G$2:$G$2604,""))</f>
        <v>Baynur</v>
      </c>
      <c r="K138" s="41" t="s">
        <v>1233</v>
      </c>
      <c r="L138" s="52">
        <f t="shared" si="7"/>
        <v>45586.35343</v>
      </c>
      <c r="M138" s="49"/>
      <c r="N138" s="49"/>
      <c r="O138" s="49"/>
      <c r="P138" s="49"/>
      <c r="Q138" s="49"/>
      <c r="R138" s="49"/>
      <c r="S138" s="49"/>
      <c r="T138" s="49"/>
      <c r="U138" s="49"/>
      <c r="V138" s="49"/>
      <c r="W138" s="41" t="s">
        <v>618</v>
      </c>
      <c r="X138" s="46">
        <f t="shared" si="5"/>
        <v>45586.357</v>
      </c>
      <c r="Y138" s="50" t="s">
        <v>482</v>
      </c>
      <c r="Z138" s="49">
        <f t="shared" si="6"/>
        <v>0</v>
      </c>
    </row>
    <row r="139" ht="22.5" customHeight="1">
      <c r="B139" s="41" t="s">
        <v>843</v>
      </c>
      <c r="C139" s="43">
        <f t="array" ref="C139">IF(B139="","",_xlfn.XLOOKUP(B139,'Form responses 1'!$B$2:$B$2604,'Form responses 1'!$A$2:$A$2604,""))</f>
        <v>45582.56675</v>
      </c>
      <c r="D139" s="44" t="str">
        <f t="shared" si="3"/>
        <v>K/27/171024/1_45582.5667464236</v>
      </c>
      <c r="E139" s="44" t="str">
        <f t="array" ref="E139">IF(B139="","",_xlfn.XLOOKUP(B139,'Form responses 1'!$B$2:$B$2604,'Form responses 1'!$C$2:$C$2604,""))</f>
        <v>Dian Eka Sari/ Mardan V</v>
      </c>
      <c r="F139" s="44" t="str">
        <f t="array" ref="F139">IF(B139="","",_xlfn.XLOOKUP(B139,'Form responses 1'!$B$2:$B$2604,'Form responses 1'!$D$2:$D$2604,""))</f>
        <v>08228299990</v>
      </c>
      <c r="G139" s="44" t="str">
        <f t="array" ref="G139">IF(B139="","",_xlfn.XLOOKUP(B139,'Form responses 1'!$B$2:$B$2604,'Form responses 1'!$E$2:$E$2604,""))</f>
        <v>BN Jual Beli</v>
      </c>
      <c r="H139" s="44" t="str">
        <f t="array" ref="H139">IF(B139="","",_xlfn.XLOOKUP(B139,'Form responses 1'!$B$2:$B$2604,'Form responses 1'!$F$2:$F$2604,""))</f>
        <v>M. 3797/ Keteguhan</v>
      </c>
      <c r="I139" s="44" t="str">
        <f t="array" ref="I139">IF(B139="","",_xlfn.XLOOKUP(B139,'Form responses 1'!$B$2:$B$2604,'Form responses 1'!$I$2:$I$2604,""))</f>
        <v>Keteguhan</v>
      </c>
      <c r="J139" s="44" t="str">
        <f t="array" ref="J139">IF(B139="","",_xlfn.XLOOKUP(B139,'Form responses 1'!$B$2:$B$2604,'Form responses 1'!$G$2:$G$2604,""))</f>
        <v>Rapita</v>
      </c>
      <c r="K139" s="41" t="s">
        <v>1233</v>
      </c>
      <c r="L139" s="52">
        <f t="shared" si="7"/>
        <v>45586.36302</v>
      </c>
      <c r="M139" s="49"/>
      <c r="N139" s="49"/>
      <c r="O139" s="49"/>
      <c r="P139" s="49"/>
      <c r="Q139" s="49"/>
      <c r="R139" s="49"/>
      <c r="S139" s="49"/>
      <c r="T139" s="49"/>
      <c r="U139" s="49"/>
      <c r="V139" s="49"/>
      <c r="W139" s="41" t="s">
        <v>618</v>
      </c>
      <c r="X139" s="46">
        <f t="shared" si="5"/>
        <v>45586.36308</v>
      </c>
      <c r="Y139" s="50" t="s">
        <v>482</v>
      </c>
      <c r="Z139" s="49">
        <f t="shared" si="6"/>
        <v>0</v>
      </c>
    </row>
    <row r="140" ht="22.5" customHeight="1">
      <c r="B140" s="41" t="s">
        <v>687</v>
      </c>
      <c r="C140" s="43">
        <f t="array" ref="C140">IF(B140="","",_xlfn.XLOOKUP(B140,'Form responses 1'!$B$2:$B$2604,'Form responses 1'!$A$2:$A$2604,""))</f>
        <v>45581.60282</v>
      </c>
      <c r="D140" s="44" t="str">
        <f t="shared" si="3"/>
        <v>K/30/161024/1_45581.602824456</v>
      </c>
      <c r="E140" s="44" t="str">
        <f t="array" ref="E140">IF(B140="","",_xlfn.XLOOKUP(B140,'Form responses 1'!$B$2:$B$2604,'Form responses 1'!$C$2:$C$2604,""))</f>
        <v>Atiansya Febra/ Candra Putra</v>
      </c>
      <c r="F140" s="44" t="str">
        <f t="array" ref="F140">IF(B140="","",_xlfn.XLOOKUP(B140,'Form responses 1'!$B$2:$B$2604,'Form responses 1'!$D$2:$D$2604,""))</f>
        <v>+62 821-7585-0002</v>
      </c>
      <c r="G140" s="44" t="str">
        <f t="array" ref="G140">IF(B140="","",_xlfn.XLOOKUP(B140,'Form responses 1'!$B$2:$B$2604,'Form responses 1'!$E$2:$E$2604,""))</f>
        <v>BN Jual Beli</v>
      </c>
      <c r="H140" s="44" t="str">
        <f t="array" ref="H140">IF(B140="","",_xlfn.XLOOKUP(B140,'Form responses 1'!$B$2:$B$2604,'Form responses 1'!$F$2:$F$2604,""))</f>
        <v>M. 4485/ Beringin Raya; B. 1808/ Beringin Raya</v>
      </c>
      <c r="I140" s="44" t="str">
        <f t="array" ref="I140">IF(B140="","",_xlfn.XLOOKUP(B140,'Form responses 1'!$B$2:$B$2604,'Form responses 1'!$I$2:$I$2604,""))</f>
        <v>Beringin Raya</v>
      </c>
      <c r="J140" s="44" t="str">
        <f t="array" ref="J140">IF(B140="","",_xlfn.XLOOKUP(B140,'Form responses 1'!$B$2:$B$2604,'Form responses 1'!$G$2:$G$2604,""))</f>
        <v>Rapita</v>
      </c>
      <c r="K140" s="41" t="s">
        <v>1233</v>
      </c>
      <c r="L140" s="52">
        <f t="shared" si="7"/>
        <v>45586.43396</v>
      </c>
      <c r="M140" s="47" t="s">
        <v>5276</v>
      </c>
      <c r="N140" s="49"/>
      <c r="O140" s="49"/>
      <c r="P140" s="49"/>
      <c r="Q140" s="49"/>
      <c r="R140" s="49"/>
      <c r="S140" s="49"/>
      <c r="T140" s="49"/>
      <c r="U140" s="49"/>
      <c r="V140" s="49"/>
      <c r="W140" s="41" t="s">
        <v>618</v>
      </c>
      <c r="X140" s="46">
        <f t="shared" si="5"/>
        <v>45593.46283</v>
      </c>
      <c r="Y140" s="50" t="s">
        <v>482</v>
      </c>
      <c r="Z140" s="49">
        <f t="shared" si="6"/>
        <v>1</v>
      </c>
    </row>
    <row r="141" ht="22.5" customHeight="1">
      <c r="B141" s="41" t="s">
        <v>641</v>
      </c>
      <c r="C141" s="43">
        <f t="array" ref="C141">IF(B141="","",_xlfn.XLOOKUP(B141,'Form responses 1'!$B$2:$B$2604,'Form responses 1'!$A$2:$A$2604,""))</f>
        <v>45581.47973</v>
      </c>
      <c r="D141" s="44" t="str">
        <f t="shared" si="3"/>
        <v>L/19/161024/1_45581.4797315046</v>
      </c>
      <c r="E141" s="44" t="str">
        <f t="array" ref="E141">IF(B141="","",_xlfn.XLOOKUP(B141,'Form responses 1'!$B$2:$B$2604,'Form responses 1'!$C$2:$C$2604,""))</f>
        <v>FATMAWATI ASLAM</v>
      </c>
      <c r="F141" s="44" t="str">
        <f t="array" ref="F141">IF(B141="","",_xlfn.XLOOKUP(B141,'Form responses 1'!$B$2:$B$2604,'Form responses 1'!$D$2:$D$2604,""))</f>
        <v>081369482223</v>
      </c>
      <c r="G141" s="44" t="str">
        <f t="array" ref="G141">IF(B141="","",_xlfn.XLOOKUP(B141,'Form responses 1'!$B$2:$B$2604,'Form responses 1'!$E$2:$E$2604,""))</f>
        <v>BN HIBAH</v>
      </c>
      <c r="H141" s="44" t="str">
        <f t="array" ref="H141">IF(B141="","",_xlfn.XLOOKUP(B141,'Form responses 1'!$B$2:$B$2604,'Form responses 1'!$F$2:$F$2604,""))</f>
        <v>HM 3925/BERINGIN RAYA (SEBELUM NYA) HM 1609/SS (SEKARANG)</v>
      </c>
      <c r="I141" s="44" t="str">
        <f t="array" ref="I141">IF(B141="","",_xlfn.XLOOKUP(B141,'Form responses 1'!$B$2:$B$2604,'Form responses 1'!$I$2:$I$2604,""))</f>
        <v>SUMBEREJO SEJAHTERA</v>
      </c>
      <c r="J141" s="44" t="str">
        <f t="array" ref="J141">IF(B141="","",_xlfn.XLOOKUP(B141,'Form responses 1'!$B$2:$B$2604,'Form responses 1'!$G$2:$G$2604,""))</f>
        <v>Deby</v>
      </c>
      <c r="K141" s="41" t="s">
        <v>1233</v>
      </c>
      <c r="L141" s="52">
        <f t="shared" si="7"/>
        <v>45586.46278</v>
      </c>
      <c r="M141" s="47" t="s">
        <v>5277</v>
      </c>
      <c r="N141" s="47" t="s">
        <v>5278</v>
      </c>
      <c r="O141" s="49"/>
      <c r="P141" s="49"/>
      <c r="Q141" s="49"/>
      <c r="R141" s="49"/>
      <c r="S141" s="49"/>
      <c r="T141" s="49"/>
      <c r="U141" s="49"/>
      <c r="V141" s="49"/>
      <c r="W141" s="41" t="s">
        <v>618</v>
      </c>
      <c r="X141" s="46">
        <f t="shared" si="5"/>
        <v>45586.4755</v>
      </c>
      <c r="Y141" s="50" t="s">
        <v>482</v>
      </c>
      <c r="Z141" s="49">
        <f t="shared" si="6"/>
        <v>2</v>
      </c>
    </row>
    <row r="142" ht="22.5" customHeight="1">
      <c r="B142" s="41" t="s">
        <v>887</v>
      </c>
      <c r="C142" s="43">
        <f t="array" ref="C142">IF(B142="","",_xlfn.XLOOKUP(B142,'Form responses 1'!$B$2:$B$2604,'Form responses 1'!$A$2:$A$2604,""))</f>
        <v>45582.58337</v>
      </c>
      <c r="D142" s="44" t="str">
        <f t="shared" si="3"/>
        <v>K/37/171024/1_45582.5833669792</v>
      </c>
      <c r="E142" s="44" t="str">
        <f t="array" ref="E142">IF(B142="","",_xlfn.XLOOKUP(B142,'Form responses 1'!$B$2:$B$2604,'Form responses 1'!$C$2:$C$2604,""))</f>
        <v>Angga Purnama/ Yolanda A</v>
      </c>
      <c r="F142" s="44" t="str">
        <f t="array" ref="F142">IF(B142="","",_xlfn.XLOOKUP(B142,'Form responses 1'!$B$2:$B$2604,'Form responses 1'!$D$2:$D$2604,""))</f>
        <v>+62 895-3553-08122</v>
      </c>
      <c r="G142" s="44" t="str">
        <f t="array" ref="G142">IF(B142="","",_xlfn.XLOOKUP(B142,'Form responses 1'!$B$2:$B$2604,'Form responses 1'!$E$2:$E$2604,""))</f>
        <v>BN Jual Beli</v>
      </c>
      <c r="H142" s="44" t="str">
        <f t="array" ref="H142">IF(B142="","",_xlfn.XLOOKUP(B142,'Form responses 1'!$B$2:$B$2604,'Form responses 1'!$F$2:$F$2604,""))</f>
        <v>M. 1305/ KBK; B. 185/KBK-dahulu</v>
      </c>
      <c r="I142" s="44" t="str">
        <f t="array" ref="I142">IF(B142="","",_xlfn.XLOOKUP(B142,'Form responses 1'!$B$2:$B$2604,'Form responses 1'!$I$2:$I$2604,""))</f>
        <v>Kali Balau Kencana</v>
      </c>
      <c r="J142" s="44" t="str">
        <f t="array" ref="J142">IF(B142="","",_xlfn.XLOOKUP(B142,'Form responses 1'!$B$2:$B$2604,'Form responses 1'!$G$2:$G$2604,""))</f>
        <v>Rapita</v>
      </c>
      <c r="K142" s="41" t="s">
        <v>1233</v>
      </c>
      <c r="L142" s="52">
        <f t="shared" si="7"/>
        <v>45586.48265</v>
      </c>
      <c r="M142" s="49"/>
      <c r="N142" s="49"/>
      <c r="O142" s="49"/>
      <c r="P142" s="49"/>
      <c r="Q142" s="49"/>
      <c r="R142" s="49"/>
      <c r="S142" s="49"/>
      <c r="T142" s="49"/>
      <c r="U142" s="49"/>
      <c r="V142" s="49"/>
      <c r="W142" s="41" t="s">
        <v>618</v>
      </c>
      <c r="X142" s="46">
        <f t="shared" si="5"/>
        <v>45586.48271</v>
      </c>
      <c r="Y142" s="50" t="s">
        <v>482</v>
      </c>
      <c r="Z142" s="49">
        <f t="shared" si="6"/>
        <v>0</v>
      </c>
    </row>
    <row r="143" ht="22.5" customHeight="1">
      <c r="B143" s="41" t="s">
        <v>860</v>
      </c>
      <c r="C143" s="43">
        <f t="array" ref="C143">IF(B143="","",_xlfn.XLOOKUP(B143,'Form responses 1'!$B$2:$B$2604,'Form responses 1'!$A$2:$A$2604,""))</f>
        <v>45582.5697</v>
      </c>
      <c r="D143" s="44" t="str">
        <f t="shared" si="3"/>
        <v>K/31/171024/1_45582.5696986574</v>
      </c>
      <c r="E143" s="44" t="str">
        <f t="array" ref="E143">IF(B143="","",_xlfn.XLOOKUP(B143,'Form responses 1'!$B$2:$B$2604,'Form responses 1'!$C$2:$C$2604,""))</f>
        <v>richard adi/ randi sutrisno</v>
      </c>
      <c r="F143" s="44" t="str">
        <f t="array" ref="F143">IF(B143="","",_xlfn.XLOOKUP(B143,'Form responses 1'!$B$2:$B$2604,'Form responses 1'!$D$2:$D$2604,""))</f>
        <v>085279997821</v>
      </c>
      <c r="G143" s="44" t="str">
        <f t="array" ref="G143">IF(B143="","",_xlfn.XLOOKUP(B143,'Form responses 1'!$B$2:$B$2604,'Form responses 1'!$E$2:$E$2604,""))</f>
        <v>BN Jual Beli</v>
      </c>
      <c r="H143" s="44" t="str">
        <f t="array" ref="H143">IF(B143="","",_xlfn.XLOOKUP(B143,'Form responses 1'!$B$2:$B$2604,'Form responses 1'!$F$2:$F$2604,""))</f>
        <v>M. 2933/ Sukarame II</v>
      </c>
      <c r="I143" s="44" t="str">
        <f t="array" ref="I143">IF(B143="","",_xlfn.XLOOKUP(B143,'Form responses 1'!$B$2:$B$2604,'Form responses 1'!$I$2:$I$2604,""))</f>
        <v>Sukarame II</v>
      </c>
      <c r="J143" s="44" t="str">
        <f t="array" ref="J143">IF(B143="","",_xlfn.XLOOKUP(B143,'Form responses 1'!$B$2:$B$2604,'Form responses 1'!$G$2:$G$2604,""))</f>
        <v>Hananda</v>
      </c>
      <c r="K143" s="41" t="s">
        <v>1233</v>
      </c>
      <c r="L143" s="52">
        <f t="shared" si="7"/>
        <v>45586.48335</v>
      </c>
      <c r="M143" s="47" t="s">
        <v>5279</v>
      </c>
      <c r="N143" s="49"/>
      <c r="O143" s="49"/>
      <c r="P143" s="49"/>
      <c r="Q143" s="49"/>
      <c r="R143" s="49"/>
      <c r="S143" s="49"/>
      <c r="T143" s="49"/>
      <c r="U143" s="49"/>
      <c r="V143" s="49"/>
      <c r="W143" s="41" t="s">
        <v>618</v>
      </c>
      <c r="X143" s="46">
        <f t="shared" si="5"/>
        <v>45593.42781</v>
      </c>
      <c r="Y143" s="50" t="s">
        <v>482</v>
      </c>
      <c r="Z143" s="49">
        <f t="shared" si="6"/>
        <v>1</v>
      </c>
    </row>
    <row r="144" ht="22.5" customHeight="1">
      <c r="B144" s="41" t="s">
        <v>779</v>
      </c>
      <c r="C144" s="43">
        <f t="array" ref="C144">IF(B144="","",_xlfn.XLOOKUP(B144,'Form responses 1'!$B$2:$B$2604,'Form responses 1'!$A$2:$A$2604,""))</f>
        <v>45582.45988</v>
      </c>
      <c r="D144" s="44" t="str">
        <f t="shared" si="3"/>
        <v>K/12/171024/3_45582.4598824653</v>
      </c>
      <c r="E144" s="44" t="str">
        <f t="array" ref="E144">IF(B144="","",_xlfn.XLOOKUP(B144,'Form responses 1'!$B$2:$B$2604,'Form responses 1'!$C$2:$C$2604,""))</f>
        <v>eka sari taherah/m azmi</v>
      </c>
      <c r="F144" s="44" t="str">
        <f t="array" ref="F144">IF(B144="","",_xlfn.XLOOKUP(B144,'Form responses 1'!$B$2:$B$2604,'Form responses 1'!$D$2:$D$2604,""))</f>
        <v>0895363114046</v>
      </c>
      <c r="G144" s="44" t="str">
        <f t="array" ref="G144">IF(B144="","",_xlfn.XLOOKUP(B144,'Form responses 1'!$B$2:$B$2604,'Form responses 1'!$E$2:$E$2604,""))</f>
        <v>BN Jual beli</v>
      </c>
      <c r="H144" s="44" t="str">
        <f t="array" ref="H144">IF(B144="","",_xlfn.XLOOKUP(B144,'Form responses 1'!$B$2:$B$2604,'Form responses 1'!$F$2:$F$2604,""))</f>
        <v>M. 2463/ Pinang Jaya</v>
      </c>
      <c r="I144" s="44" t="str">
        <f t="array" ref="I144">IF(B144="","",_xlfn.XLOOKUP(B144,'Form responses 1'!$B$2:$B$2604,'Form responses 1'!$I$2:$I$2604,""))</f>
        <v>Pinang Jaya</v>
      </c>
      <c r="J144" s="44" t="str">
        <f t="array" ref="J144">IF(B144="","",_xlfn.XLOOKUP(B144,'Form responses 1'!$B$2:$B$2604,'Form responses 1'!$G$2:$G$2604,""))</f>
        <v>Hananda</v>
      </c>
      <c r="K144" s="41" t="s">
        <v>1233</v>
      </c>
      <c r="L144" s="52">
        <f t="shared" si="7"/>
        <v>45586.56502</v>
      </c>
      <c r="M144" s="49"/>
      <c r="N144" s="49"/>
      <c r="O144" s="49"/>
      <c r="P144" s="49"/>
      <c r="Q144" s="49"/>
      <c r="R144" s="49"/>
      <c r="S144" s="49"/>
      <c r="T144" s="49"/>
      <c r="U144" s="49"/>
      <c r="V144" s="49"/>
      <c r="W144" s="41" t="s">
        <v>618</v>
      </c>
      <c r="X144" s="46">
        <f t="shared" si="5"/>
        <v>45586.57121</v>
      </c>
      <c r="Y144" s="50" t="s">
        <v>482</v>
      </c>
      <c r="Z144" s="49">
        <f t="shared" si="6"/>
        <v>0</v>
      </c>
    </row>
    <row r="145" ht="22.5" customHeight="1">
      <c r="B145" s="41" t="s">
        <v>864</v>
      </c>
      <c r="C145" s="43">
        <f t="array" ref="C145">IF(B145="","",_xlfn.XLOOKUP(B145,'Form responses 1'!$B$2:$B$2604,'Form responses 1'!$A$2:$A$2604,""))</f>
        <v>45582.57047</v>
      </c>
      <c r="D145" s="44" t="str">
        <f t="shared" si="3"/>
        <v>L/32/171024/1_45582.5704657407</v>
      </c>
      <c r="E145" s="44" t="str">
        <f t="array" ref="E145">IF(B145="","",_xlfn.XLOOKUP(B145,'Form responses 1'!$B$2:$B$2604,'Form responses 1'!$C$2:$C$2604,""))</f>
        <v>SLAMET RIYADI</v>
      </c>
      <c r="F145" s="44" t="str">
        <f t="array" ref="F145">IF(B145="","",_xlfn.XLOOKUP(B145,'Form responses 1'!$B$2:$B$2604,'Form responses 1'!$D$2:$D$2604,""))</f>
        <v>08127901155</v>
      </c>
      <c r="G145" s="44" t="str">
        <f t="array" ref="G145">IF(B145="","",_xlfn.XLOOKUP(B145,'Form responses 1'!$B$2:$B$2604,'Form responses 1'!$E$2:$E$2604,""))</f>
        <v>PEMISAHAN</v>
      </c>
      <c r="H145" s="44" t="str">
        <f t="array" ref="H145">IF(B145="","",_xlfn.XLOOKUP(B145,'Form responses 1'!$B$2:$B$2604,'Form responses 1'!$F$2:$F$2604,""))</f>
        <v>M.1520/BATU PUTUK</v>
      </c>
      <c r="I145" s="44" t="str">
        <f t="array" ref="I145">IF(B145="","",_xlfn.XLOOKUP(B145,'Form responses 1'!$B$2:$B$2604,'Form responses 1'!$I$2:$I$2604,""))</f>
        <v>BATU PUTUK</v>
      </c>
      <c r="J145" s="44" t="str">
        <f t="array" ref="J145">IF(B145="","",_xlfn.XLOOKUP(B145,'Form responses 1'!$B$2:$B$2604,'Form responses 1'!$G$2:$G$2604,""))</f>
        <v>Nuraini</v>
      </c>
      <c r="K145" s="41" t="s">
        <v>1233</v>
      </c>
      <c r="L145" s="52">
        <f t="shared" si="7"/>
        <v>45586.57188</v>
      </c>
      <c r="M145" s="49"/>
      <c r="N145" s="49"/>
      <c r="O145" s="49"/>
      <c r="P145" s="49"/>
      <c r="Q145" s="49"/>
      <c r="R145" s="49"/>
      <c r="S145" s="49"/>
      <c r="T145" s="49"/>
      <c r="U145" s="49"/>
      <c r="V145" s="49"/>
      <c r="W145" s="41" t="s">
        <v>618</v>
      </c>
      <c r="X145" s="46">
        <f t="shared" si="5"/>
        <v>45586.57582</v>
      </c>
      <c r="Y145" s="50" t="s">
        <v>482</v>
      </c>
      <c r="Z145" s="49">
        <f t="shared" si="6"/>
        <v>0</v>
      </c>
    </row>
    <row r="146" ht="22.5" customHeight="1">
      <c r="B146" s="41" t="s">
        <v>878</v>
      </c>
      <c r="C146" s="43">
        <f t="array" ref="C146">IF(B146="","",_xlfn.XLOOKUP(B146,'Form responses 1'!$B$2:$B$2604,'Form responses 1'!$A$2:$A$2604,""))</f>
        <v>45582.58035</v>
      </c>
      <c r="D146" s="44" t="str">
        <f t="shared" si="3"/>
        <v>K/33/171024/1_45582.5803470255</v>
      </c>
      <c r="E146" s="44" t="str">
        <f t="array" ref="E146">IF(B146="","",_xlfn.XLOOKUP(B146,'Form responses 1'!$B$2:$B$2604,'Form responses 1'!$C$2:$C$2604,""))</f>
        <v>HENI NURMAINI/ANDRIANTO </v>
      </c>
      <c r="F146" s="44" t="str">
        <f t="array" ref="F146">IF(B146="","",_xlfn.XLOOKUP(B146,'Form responses 1'!$B$2:$B$2604,'Form responses 1'!$D$2:$D$2604,""))</f>
        <v>089632910764</v>
      </c>
      <c r="G146" s="44" t="str">
        <f t="array" ref="G146">IF(B146="","",_xlfn.XLOOKUP(B146,'Form responses 1'!$B$2:$B$2604,'Form responses 1'!$E$2:$E$2604,""))</f>
        <v>PERALIHAN JUAL BELI</v>
      </c>
      <c r="H146" s="44" t="str">
        <f t="array" ref="H146">IF(B146="","",_xlfn.XLOOKUP(B146,'Form responses 1'!$B$2:$B$2604,'Form responses 1'!$F$2:$F$2604,""))</f>
        <v>NIBEL M.1652/LABUHAN DALAM</v>
      </c>
      <c r="I146" s="44" t="str">
        <f t="array" ref="I146">IF(B146="","",_xlfn.XLOOKUP(B146,'Form responses 1'!$B$2:$B$2604,'Form responses 1'!$I$2:$I$2604,""))</f>
        <v>LABUHAN DALAM</v>
      </c>
      <c r="J146" s="44" t="str">
        <f t="array" ref="J146">IF(B146="","",_xlfn.XLOOKUP(B146,'Form responses 1'!$B$2:$B$2604,'Form responses 1'!$G$2:$G$2604,""))</f>
        <v>Baynur</v>
      </c>
      <c r="K146" s="41" t="s">
        <v>1233</v>
      </c>
      <c r="L146" s="52">
        <f t="shared" si="7"/>
        <v>45586.58103</v>
      </c>
      <c r="M146" s="49"/>
      <c r="N146" s="49"/>
      <c r="O146" s="49"/>
      <c r="P146" s="49"/>
      <c r="Q146" s="49"/>
      <c r="R146" s="49"/>
      <c r="S146" s="49"/>
      <c r="T146" s="49"/>
      <c r="U146" s="49"/>
      <c r="V146" s="49"/>
      <c r="W146" s="41" t="s">
        <v>618</v>
      </c>
      <c r="X146" s="46">
        <f t="shared" si="5"/>
        <v>45586.58727</v>
      </c>
      <c r="Y146" s="50" t="s">
        <v>482</v>
      </c>
      <c r="Z146" s="49">
        <f t="shared" si="6"/>
        <v>0</v>
      </c>
    </row>
    <row r="147" ht="22.5" customHeight="1">
      <c r="B147" s="41" t="s">
        <v>700</v>
      </c>
      <c r="C147" s="43">
        <f t="array" ref="C147">IF(B147="","",_xlfn.XLOOKUP(B147,'Form responses 1'!$B$2:$B$2604,'Form responses 1'!$A$2:$A$2604,""))</f>
        <v>45581.58919</v>
      </c>
      <c r="D147" s="44" t="str">
        <f t="shared" si="3"/>
        <v>L/34/161024/1_45581.5891888889</v>
      </c>
      <c r="E147" s="44" t="str">
        <f t="array" ref="E147">IF(B147="","",_xlfn.XLOOKUP(B147,'Form responses 1'!$B$2:$B$2604,'Form responses 1'!$C$2:$C$2604,""))</f>
        <v>ABDUL KARIM PAYOPO</v>
      </c>
      <c r="F147" s="44" t="str">
        <f t="array" ref="F147">IF(B147="","",_xlfn.XLOOKUP(B147,'Form responses 1'!$B$2:$B$2604,'Form responses 1'!$D$2:$D$2604,""))</f>
        <v>089652098074</v>
      </c>
      <c r="G147" s="44" t="str">
        <f t="array" ref="G147">IF(B147="","",_xlfn.XLOOKUP(B147,'Form responses 1'!$B$2:$B$2604,'Form responses 1'!$E$2:$E$2604,""))</f>
        <v>HAPUS BPHTB</v>
      </c>
      <c r="H147" s="44" t="str">
        <f t="array" ref="H147">IF(B147="","",_xlfn.XLOOKUP(B147,'Form responses 1'!$B$2:$B$2604,'Form responses 1'!$F$2:$F$2604,""))</f>
        <v>M.1450/SUMBERREJO SEJAHTERA</v>
      </c>
      <c r="I147" s="44" t="str">
        <f t="array" ref="I147">IF(B147="","",_xlfn.XLOOKUP(B147,'Form responses 1'!$B$2:$B$2604,'Form responses 1'!$I$2:$I$2604,""))</f>
        <v>SUMBERREJO SEJAHTERA</v>
      </c>
      <c r="J147" s="44" t="str">
        <f t="array" ref="J147">IF(B147="","",_xlfn.XLOOKUP(B147,'Form responses 1'!$B$2:$B$2604,'Form responses 1'!$G$2:$G$2604,""))</f>
        <v>Nuraini</v>
      </c>
      <c r="K147" s="41" t="s">
        <v>1233</v>
      </c>
      <c r="L147" s="52">
        <f t="shared" si="7"/>
        <v>45586.59026</v>
      </c>
      <c r="M147" s="49"/>
      <c r="N147" s="49"/>
      <c r="O147" s="49"/>
      <c r="P147" s="49"/>
      <c r="Q147" s="49"/>
      <c r="R147" s="49"/>
      <c r="S147" s="49"/>
      <c r="T147" s="49"/>
      <c r="U147" s="49"/>
      <c r="V147" s="49"/>
      <c r="W147" s="41" t="s">
        <v>618</v>
      </c>
      <c r="X147" s="46">
        <f t="shared" si="5"/>
        <v>45586.59034</v>
      </c>
      <c r="Y147" s="50" t="s">
        <v>482</v>
      </c>
      <c r="Z147" s="49">
        <f t="shared" si="6"/>
        <v>0</v>
      </c>
    </row>
    <row r="148" ht="22.5" customHeight="1">
      <c r="B148" s="41" t="s">
        <v>903</v>
      </c>
      <c r="C148" s="43">
        <f t="array" ref="C148">IF(B148="","",_xlfn.XLOOKUP(B148,'Form responses 1'!$B$2:$B$2604,'Form responses 1'!$A$2:$A$2604,""))</f>
        <v>45582.59361</v>
      </c>
      <c r="D148" s="44" t="str">
        <f t="shared" si="3"/>
        <v>K/41/171024/1_45582.5936145718</v>
      </c>
      <c r="E148" s="44" t="str">
        <f t="array" ref="E148">IF(B148="","",_xlfn.XLOOKUP(B148,'Form responses 1'!$B$2:$B$2604,'Form responses 1'!$C$2:$C$2604,""))</f>
        <v>Reflan Rasyid/ Rulli Anisasi</v>
      </c>
      <c r="F148" s="44" t="str">
        <f t="array" ref="F148">IF(B148="","",_xlfn.XLOOKUP(B148,'Form responses 1'!$B$2:$B$2604,'Form responses 1'!$D$2:$D$2604,""))</f>
        <v>+62 822-6948-0192</v>
      </c>
      <c r="G148" s="44" t="str">
        <f t="array" ref="G148">IF(B148="","",_xlfn.XLOOKUP(B148,'Form responses 1'!$B$2:$B$2604,'Form responses 1'!$E$2:$E$2604,""))</f>
        <v>Roya</v>
      </c>
      <c r="H148" s="44" t="str">
        <f t="array" ref="H148">IF(B148="","",_xlfn.XLOOKUP(B148,'Form responses 1'!$B$2:$B$2604,'Form responses 1'!$F$2:$F$2604,""))</f>
        <v>M. 11796/ Sukabumi; B. 3316/ Sukabumi-dahulu</v>
      </c>
      <c r="I148" s="44" t="str">
        <f t="array" ref="I148">IF(B148="","",_xlfn.XLOOKUP(B148,'Form responses 1'!$B$2:$B$2604,'Form responses 1'!$I$2:$I$2604,""))</f>
        <v>Sukabumi</v>
      </c>
      <c r="J148" s="44" t="str">
        <f t="array" ref="J148">IF(B148="","",_xlfn.XLOOKUP(B148,'Form responses 1'!$B$2:$B$2604,'Form responses 1'!$G$2:$G$2604,""))</f>
        <v>Rapita</v>
      </c>
      <c r="K148" s="41" t="s">
        <v>1233</v>
      </c>
      <c r="L148" s="52">
        <f t="shared" si="7"/>
        <v>45586.59391</v>
      </c>
      <c r="M148" s="49"/>
      <c r="N148" s="49"/>
      <c r="O148" s="49"/>
      <c r="P148" s="49"/>
      <c r="Q148" s="49"/>
      <c r="R148" s="49"/>
      <c r="S148" s="49"/>
      <c r="T148" s="49"/>
      <c r="U148" s="49"/>
      <c r="V148" s="49"/>
      <c r="W148" s="41" t="s">
        <v>618</v>
      </c>
      <c r="X148" s="46">
        <f t="shared" si="5"/>
        <v>45586.59394</v>
      </c>
      <c r="Y148" s="50" t="s">
        <v>482</v>
      </c>
      <c r="Z148" s="49">
        <f t="shared" si="6"/>
        <v>0</v>
      </c>
    </row>
    <row r="149" ht="22.5" customHeight="1">
      <c r="B149" s="41" t="s">
        <v>873</v>
      </c>
      <c r="C149" s="43">
        <f t="array" ref="C149">IF(B149="","",_xlfn.XLOOKUP(B149,'Form responses 1'!$B$2:$B$2604,'Form responses 1'!$A$2:$A$2604,""))</f>
        <v>45582.578</v>
      </c>
      <c r="D149" s="44" t="str">
        <f t="shared" si="3"/>
        <v>L/35/171024/1_45582.5779994097</v>
      </c>
      <c r="E149" s="44" t="str">
        <f t="array" ref="E149">IF(B149="","",_xlfn.XLOOKUP(B149,'Form responses 1'!$B$2:$B$2604,'Form responses 1'!$C$2:$C$2604,""))</f>
        <v>SUSYANA</v>
      </c>
      <c r="F149" s="44" t="str">
        <f t="array" ref="F149">IF(B149="","",_xlfn.XLOOKUP(B149,'Form responses 1'!$B$2:$B$2604,'Form responses 1'!$D$2:$D$2604,""))</f>
        <v>081379392546</v>
      </c>
      <c r="G149" s="44" t="str">
        <f t="array" ref="G149">IF(B149="","",_xlfn.XLOOKUP(B149,'Form responses 1'!$B$2:$B$2604,'Form responses 1'!$E$2:$E$2604,""))</f>
        <v>ROYA</v>
      </c>
      <c r="H149" s="44" t="str">
        <f t="array" ref="H149">IF(B149="","",_xlfn.XLOOKUP(B149,'Form responses 1'!$B$2:$B$2604,'Form responses 1'!$F$2:$F$2604,""))</f>
        <v>HM 296/RAJABASA RAYA</v>
      </c>
      <c r="I149" s="44" t="str">
        <f t="array" ref="I149">IF(B149="","",_xlfn.XLOOKUP(B149,'Form responses 1'!$B$2:$B$2604,'Form responses 1'!$I$2:$I$2604,""))</f>
        <v>RAJABASA RAYA</v>
      </c>
      <c r="J149" s="44" t="str">
        <f t="array" ref="J149">IF(B149="","",_xlfn.XLOOKUP(B149,'Form responses 1'!$B$2:$B$2604,'Form responses 1'!$G$2:$G$2604,""))</f>
        <v>Deby</v>
      </c>
      <c r="K149" s="41" t="s">
        <v>1233</v>
      </c>
      <c r="L149" s="52">
        <f t="shared" si="7"/>
        <v>45586.5948</v>
      </c>
      <c r="M149" s="49"/>
      <c r="N149" s="49"/>
      <c r="O149" s="49"/>
      <c r="P149" s="49"/>
      <c r="Q149" s="49"/>
      <c r="R149" s="49"/>
      <c r="S149" s="49"/>
      <c r="T149" s="49"/>
      <c r="U149" s="49"/>
      <c r="V149" s="49"/>
      <c r="W149" s="41" t="s">
        <v>618</v>
      </c>
      <c r="X149" s="46">
        <f t="shared" si="5"/>
        <v>45586.59652</v>
      </c>
      <c r="Y149" s="50" t="s">
        <v>482</v>
      </c>
      <c r="Z149" s="49">
        <f t="shared" si="6"/>
        <v>0</v>
      </c>
    </row>
    <row r="150" ht="22.5" customHeight="1">
      <c r="B150" s="41" t="s">
        <v>337</v>
      </c>
      <c r="C150" s="43">
        <f t="array" ref="C150">IF(B150="","",_xlfn.XLOOKUP(B150,'Form responses 1'!$B$2:$B$2604,'Form responses 1'!$A$2:$A$2604,""))</f>
        <v>45580.43018</v>
      </c>
      <c r="D150" s="44" t="str">
        <f t="shared" si="3"/>
        <v>K/14/151024/1_45580.4301823148</v>
      </c>
      <c r="E150" s="44" t="str">
        <f t="array" ref="E150">IF(B150="","",_xlfn.XLOOKUP(B150,'Form responses 1'!$B$2:$B$2604,'Form responses 1'!$C$2:$C$2604,""))</f>
        <v>Reflan R/ Mardhatillah</v>
      </c>
      <c r="F150" s="44" t="str">
        <f t="array" ref="F150">IF(B150="","",_xlfn.XLOOKUP(B150,'Form responses 1'!$B$2:$B$2604,'Form responses 1'!$D$2:$D$2604,""))</f>
        <v>+62 822-6948-0192</v>
      </c>
      <c r="G150" s="44" t="str">
        <f t="array" ref="G150">IF(B150="","",_xlfn.XLOOKUP(B150,'Form responses 1'!$B$2:$B$2604,'Form responses 1'!$E$2:$E$2604,""))</f>
        <v>Roya</v>
      </c>
      <c r="H150" s="44" t="str">
        <f t="array" ref="H150">IF(B150="","",_xlfn.XLOOKUP(B150,'Form responses 1'!$B$2:$B$2604,'Form responses 1'!$F$2:$F$2604,""))</f>
        <v>M. 3901/ Tanjung Senang</v>
      </c>
      <c r="I150" s="44" t="str">
        <f t="array" ref="I150">IF(B150="","",_xlfn.XLOOKUP(B150,'Form responses 1'!$B$2:$B$2604,'Form responses 1'!$I$2:$I$2604,""))</f>
        <v>Tanjung Senang</v>
      </c>
      <c r="J150" s="44" t="str">
        <f t="array" ref="J150">IF(B150="","",_xlfn.XLOOKUP(B150,'Form responses 1'!$B$2:$B$2604,'Form responses 1'!$G$2:$G$2604,""))</f>
        <v>Rapita</v>
      </c>
      <c r="K150" s="41" t="s">
        <v>1233</v>
      </c>
      <c r="L150" s="52">
        <f t="shared" si="7"/>
        <v>45586.5985</v>
      </c>
      <c r="M150" s="47" t="s">
        <v>5280</v>
      </c>
      <c r="N150" s="49"/>
      <c r="O150" s="49"/>
      <c r="P150" s="49"/>
      <c r="Q150" s="49"/>
      <c r="R150" s="49"/>
      <c r="S150" s="49"/>
      <c r="T150" s="49"/>
      <c r="U150" s="49"/>
      <c r="V150" s="49"/>
      <c r="W150" s="41" t="s">
        <v>618</v>
      </c>
      <c r="X150" s="46">
        <f t="shared" si="5"/>
        <v>45593.46596</v>
      </c>
      <c r="Y150" s="50" t="s">
        <v>482</v>
      </c>
      <c r="Z150" s="49">
        <f t="shared" si="6"/>
        <v>1</v>
      </c>
    </row>
    <row r="151" ht="22.5" customHeight="1">
      <c r="B151" s="41" t="s">
        <v>435</v>
      </c>
      <c r="C151" s="43">
        <f t="array" ref="C151">IF(B151="","",_xlfn.XLOOKUP(B151,'Form responses 1'!$B$2:$B$2604,'Form responses 1'!$A$2:$A$2604,""))</f>
        <v>45580.58151</v>
      </c>
      <c r="D151" s="44" t="str">
        <f t="shared" si="3"/>
        <v>K/36/151024/1_45580.5815102662</v>
      </c>
      <c r="E151" s="44" t="str">
        <f t="array" ref="E151">IF(B151="","",_xlfn.XLOOKUP(B151,'Form responses 1'!$B$2:$B$2604,'Form responses 1'!$C$2:$C$2604,""))</f>
        <v>LINA YOSEPA/HERIYANSYAH</v>
      </c>
      <c r="F151" s="44" t="str">
        <f t="array" ref="F151">IF(B151="","",_xlfn.XLOOKUP(B151,'Form responses 1'!$B$2:$B$2604,'Form responses 1'!$D$2:$D$2604,""))</f>
        <v>081373440861</v>
      </c>
      <c r="G151" s="44" t="str">
        <f t="array" ref="G151">IF(B151="","",_xlfn.XLOOKUP(B151,'Form responses 1'!$B$2:$B$2604,'Form responses 1'!$E$2:$E$2604,""))</f>
        <v>PERALIHAN LELANG</v>
      </c>
      <c r="H151" s="44" t="str">
        <f t="array" ref="H151">IF(B151="","",_xlfn.XLOOKUP(B151,'Form responses 1'!$B$2:$B$2604,'Form responses 1'!$F$2:$F$2604,""))</f>
        <v>M.4791/BERINGIN RAYA-SEKARANG;B.1135/SUMBERREJO-DAHULU</v>
      </c>
      <c r="I151" s="44" t="str">
        <f t="array" ref="I151">IF(B151="","",_xlfn.XLOOKUP(B151,'Form responses 1'!$B$2:$B$2604,'Form responses 1'!$I$2:$I$2604,""))</f>
        <v>BERINGIN RAYA</v>
      </c>
      <c r="J151" s="44" t="str">
        <f t="array" ref="J151">IF(B151="","",_xlfn.XLOOKUP(B151,'Form responses 1'!$B$2:$B$2604,'Form responses 1'!$G$2:$G$2604,""))</f>
        <v>Baynur</v>
      </c>
      <c r="K151" s="41" t="s">
        <v>1233</v>
      </c>
      <c r="L151" s="52">
        <f t="shared" si="7"/>
        <v>45586.60228</v>
      </c>
      <c r="M151" s="49"/>
      <c r="N151" s="49"/>
      <c r="O151" s="49"/>
      <c r="P151" s="49"/>
      <c r="Q151" s="49"/>
      <c r="R151" s="49"/>
      <c r="S151" s="49"/>
      <c r="T151" s="49"/>
      <c r="U151" s="49"/>
      <c r="V151" s="49"/>
      <c r="W151" s="41" t="s">
        <v>618</v>
      </c>
      <c r="X151" s="46">
        <f t="shared" si="5"/>
        <v>45586.62518</v>
      </c>
      <c r="Y151" s="50" t="s">
        <v>482</v>
      </c>
      <c r="Z151" s="49">
        <f t="shared" si="6"/>
        <v>0</v>
      </c>
    </row>
    <row r="152" ht="22.5" customHeight="1">
      <c r="B152" s="41" t="s">
        <v>1240</v>
      </c>
      <c r="C152" s="43">
        <f t="array" ref="C152">IF(B152="","",_xlfn.XLOOKUP(B152,'Form responses 1'!$B$2:$B$2604,'Form responses 1'!$A$2:$A$2604,""))</f>
        <v>45586.44608</v>
      </c>
      <c r="D152" s="44" t="str">
        <f t="shared" si="3"/>
        <v>K/15/211024/1_45586.4460844907</v>
      </c>
      <c r="E152" s="44" t="str">
        <f t="array" ref="E152">IF(B152="","",_xlfn.XLOOKUP(B152,'Form responses 1'!$B$2:$B$2604,'Form responses 1'!$C$2:$C$2604,""))</f>
        <v>ASMA'I AFRIZAL MUSTAFA/SUPRIYATIN</v>
      </c>
      <c r="F152" s="44" t="str">
        <f t="array" ref="F152">IF(B152="","",_xlfn.XLOOKUP(B152,'Form responses 1'!$B$2:$B$2604,'Form responses 1'!$D$2:$D$2604,""))</f>
        <v>085279460348</v>
      </c>
      <c r="G152" s="44" t="str">
        <f t="array" ref="G152">IF(B152="","",_xlfn.XLOOKUP(B152,'Form responses 1'!$B$2:$B$2604,'Form responses 1'!$E$2:$E$2604,""))</f>
        <v>PTPGT</v>
      </c>
      <c r="H152" s="44" t="str">
        <f t="array" ref="H152">IF(B152="","",_xlfn.XLOOKUP(B152,'Form responses 1'!$B$2:$B$2604,'Form responses 1'!$F$2:$F$2604,""))</f>
        <v>PBT 162/2024 KEL. LABUHAN DALAM</v>
      </c>
      <c r="I152" s="44" t="str">
        <f t="array" ref="I152">IF(B152="","",_xlfn.XLOOKUP(B152,'Form responses 1'!$B$2:$B$2604,'Form responses 1'!$I$2:$I$2604,""))</f>
        <v>LABUHAN DALAM</v>
      </c>
      <c r="J152" s="44" t="str">
        <f t="array" ref="J152">IF(B152="","",_xlfn.XLOOKUP(B152,'Form responses 1'!$B$2:$B$2604,'Form responses 1'!$G$2:$G$2604,""))</f>
        <v>Baynur</v>
      </c>
      <c r="K152" s="41" t="s">
        <v>422</v>
      </c>
      <c r="L152" s="52">
        <f t="shared" si="7"/>
        <v>45586.67392</v>
      </c>
      <c r="M152" s="49"/>
      <c r="N152" s="49"/>
      <c r="O152" s="49"/>
      <c r="P152" s="49"/>
      <c r="Q152" s="49"/>
      <c r="R152" s="49"/>
      <c r="S152" s="49"/>
      <c r="T152" s="49"/>
      <c r="U152" s="49"/>
      <c r="V152" s="49"/>
      <c r="W152" s="41" t="s">
        <v>618</v>
      </c>
      <c r="X152" s="46">
        <f t="shared" si="5"/>
        <v>45586.67399</v>
      </c>
      <c r="Y152" s="50" t="s">
        <v>482</v>
      </c>
      <c r="Z152" s="49">
        <f t="shared" si="6"/>
        <v>0</v>
      </c>
    </row>
    <row r="153" ht="22.5" customHeight="1">
      <c r="B153" s="41" t="s">
        <v>913</v>
      </c>
      <c r="C153" s="43">
        <f t="array" ref="C153">IF(B153="","",_xlfn.XLOOKUP(B153,'Form responses 1'!$B$2:$B$2604,'Form responses 1'!$A$2:$A$2604,""))</f>
        <v>45582.60236</v>
      </c>
      <c r="D153" s="44" t="str">
        <f t="shared" si="3"/>
        <v>L/44/171024/1_45582.6023609607</v>
      </c>
      <c r="E153" s="44" t="str">
        <f t="array" ref="E153">IF(B153="","",_xlfn.XLOOKUP(B153,'Form responses 1'!$B$2:$B$2604,'Form responses 1'!$C$2:$C$2604,""))</f>
        <v>MAYLINA</v>
      </c>
      <c r="F153" s="44" t="str">
        <f t="array" ref="F153">IF(B153="","",_xlfn.XLOOKUP(B153,'Form responses 1'!$B$2:$B$2604,'Form responses 1'!$D$2:$D$2604,""))</f>
        <v>082181153329</v>
      </c>
      <c r="G153" s="44" t="str">
        <f t="array" ref="G153">IF(B153="","",_xlfn.XLOOKUP(B153,'Form responses 1'!$B$2:$B$2604,'Form responses 1'!$E$2:$E$2604,""))</f>
        <v>ROYA</v>
      </c>
      <c r="H153" s="44" t="str">
        <f t="array" ref="H153">IF(B153="","",_xlfn.XLOOKUP(B153,'Form responses 1'!$B$2:$B$2604,'Form responses 1'!$F$2:$F$2604,""))</f>
        <v>HM 16138/SUKARAME I</v>
      </c>
      <c r="I153" s="44" t="str">
        <f t="array" ref="I153">IF(B153="","",_xlfn.XLOOKUP(B153,'Form responses 1'!$B$2:$B$2604,'Form responses 1'!$I$2:$I$2604,""))</f>
        <v>SUKARAME I</v>
      </c>
      <c r="J153" s="44" t="str">
        <f t="array" ref="J153">IF(B153="","",_xlfn.XLOOKUP(B153,'Form responses 1'!$B$2:$B$2604,'Form responses 1'!$G$2:$G$2604,""))</f>
        <v>Deby</v>
      </c>
      <c r="K153" s="41" t="s">
        <v>2421</v>
      </c>
      <c r="L153" s="52">
        <f t="shared" si="7"/>
        <v>45587.36937</v>
      </c>
      <c r="M153" s="49"/>
      <c r="N153" s="49"/>
      <c r="O153" s="49"/>
      <c r="P153" s="49"/>
      <c r="Q153" s="49"/>
      <c r="R153" s="49"/>
      <c r="S153" s="49"/>
      <c r="T153" s="49"/>
      <c r="U153" s="49"/>
      <c r="V153" s="49"/>
      <c r="W153" s="41" t="s">
        <v>618</v>
      </c>
      <c r="X153" s="46">
        <f t="shared" si="5"/>
        <v>45587.36943</v>
      </c>
      <c r="Y153" s="50" t="s">
        <v>482</v>
      </c>
      <c r="Z153" s="49">
        <f t="shared" si="6"/>
        <v>0</v>
      </c>
    </row>
    <row r="154" ht="22.5" customHeight="1">
      <c r="B154" s="41" t="s">
        <v>635</v>
      </c>
      <c r="C154" s="43">
        <f t="array" ref="C154">IF(B154="","",_xlfn.XLOOKUP(B154,'Form responses 1'!$B$2:$B$2604,'Form responses 1'!$A$2:$A$2604,""))</f>
        <v>45581.47877</v>
      </c>
      <c r="D154" s="44" t="str">
        <f t="shared" si="3"/>
        <v>K/18/161024/1_45581.4787732407</v>
      </c>
      <c r="E154" s="44" t="str">
        <f t="array" ref="E154">IF(B154="","",_xlfn.XLOOKUP(B154,'Form responses 1'!$B$2:$B$2604,'Form responses 1'!$C$2:$C$2604,""))</f>
        <v>FERAWATI/ SRI YANTI</v>
      </c>
      <c r="F154" s="44" t="str">
        <f t="array" ref="F154">IF(B154="","",_xlfn.XLOOKUP(B154,'Form responses 1'!$B$2:$B$2604,'Form responses 1'!$D$2:$D$2604,""))</f>
        <v>08127284776</v>
      </c>
      <c r="G154" s="44" t="str">
        <f t="array" ref="G154">IF(B154="","",_xlfn.XLOOKUP(B154,'Form responses 1'!$B$2:$B$2604,'Form responses 1'!$E$2:$E$2604,""))</f>
        <v>HAPUS BHPTB</v>
      </c>
      <c r="H154" s="44" t="str">
        <f t="array" ref="H154">IF(B154="","",_xlfn.XLOOKUP(B154,'Form responses 1'!$B$2:$B$2604,'Form responses 1'!$F$2:$F$2604,""))</f>
        <v>M. 1213/ SUKARAME II</v>
      </c>
      <c r="I154" s="44" t="str">
        <f t="array" ref="I154">IF(B154="","",_xlfn.XLOOKUP(B154,'Form responses 1'!$B$2:$B$2604,'Form responses 1'!$I$2:$I$2604,""))</f>
        <v>SUKARAME II</v>
      </c>
      <c r="J154" s="44" t="str">
        <f t="array" ref="J154">IF(B154="","",_xlfn.XLOOKUP(B154,'Form responses 1'!$B$2:$B$2604,'Form responses 1'!$G$2:$G$2604,""))</f>
        <v>Hananda</v>
      </c>
      <c r="K154" s="41" t="s">
        <v>2421</v>
      </c>
      <c r="L154" s="52">
        <f t="shared" si="7"/>
        <v>45587.36971</v>
      </c>
      <c r="M154" s="47" t="s">
        <v>5281</v>
      </c>
      <c r="N154" s="47" t="s">
        <v>5282</v>
      </c>
      <c r="O154" s="49"/>
      <c r="P154" s="49"/>
      <c r="Q154" s="49"/>
      <c r="R154" s="49"/>
      <c r="S154" s="49"/>
      <c r="T154" s="49"/>
      <c r="U154" s="49"/>
      <c r="V154" s="49"/>
      <c r="W154" s="41" t="s">
        <v>618</v>
      </c>
      <c r="X154" s="46">
        <f t="shared" si="5"/>
        <v>45590.63559</v>
      </c>
      <c r="Y154" s="50" t="s">
        <v>482</v>
      </c>
      <c r="Z154" s="49">
        <f t="shared" si="6"/>
        <v>2</v>
      </c>
    </row>
    <row r="155" ht="22.5" customHeight="1">
      <c r="B155" s="41" t="s">
        <v>711</v>
      </c>
      <c r="C155" s="43">
        <f t="array" ref="C155">IF(B155="","",_xlfn.XLOOKUP(B155,'Form responses 1'!$B$2:$B$2604,'Form responses 1'!$A$2:$A$2604,""))</f>
        <v>45581.6012</v>
      </c>
      <c r="D155" s="44" t="str">
        <f t="shared" si="3"/>
        <v>K/36/161024/1_45581.6012048843</v>
      </c>
      <c r="E155" s="44" t="str">
        <f t="array" ref="E155">IF(B155="","",_xlfn.XLOOKUP(B155,'Form responses 1'!$B$2:$B$2604,'Form responses 1'!$C$2:$C$2604,""))</f>
        <v>mustaredi/ mat ali</v>
      </c>
      <c r="F155" s="44" t="str">
        <f t="array" ref="F155">IF(B155="","",_xlfn.XLOOKUP(B155,'Form responses 1'!$B$2:$B$2604,'Form responses 1'!$D$2:$D$2604,""))</f>
        <v>082280012224</v>
      </c>
      <c r="G155" s="44" t="str">
        <f t="array" ref="G155">IF(B155="","",_xlfn.XLOOKUP(B155,'Form responses 1'!$B$2:$B$2604,'Form responses 1'!$E$2:$E$2604,""))</f>
        <v>PEMECAHAN BIDANG</v>
      </c>
      <c r="H155" s="44" t="str">
        <f t="array" ref="H155">IF(B155="","",_xlfn.XLOOKUP(B155,'Form responses 1'!$B$2:$B$2604,'Form responses 1'!$F$2:$F$2604,""))</f>
        <v>M. 16685/ SUKABUMI</v>
      </c>
      <c r="I155" s="44" t="str">
        <f t="array" ref="I155">IF(B155="","",_xlfn.XLOOKUP(B155,'Form responses 1'!$B$2:$B$2604,'Form responses 1'!$I$2:$I$2604,""))</f>
        <v>SUKABUMI</v>
      </c>
      <c r="J155" s="44" t="str">
        <f t="array" ref="J155">IF(B155="","",_xlfn.XLOOKUP(B155,'Form responses 1'!$B$2:$B$2604,'Form responses 1'!$G$2:$G$2604,""))</f>
        <v>Hananda</v>
      </c>
      <c r="K155" s="41" t="s">
        <v>2421</v>
      </c>
      <c r="L155" s="52">
        <f t="shared" si="7"/>
        <v>45587.37208</v>
      </c>
      <c r="M155" s="49"/>
      <c r="N155" s="49"/>
      <c r="O155" s="49"/>
      <c r="P155" s="49"/>
      <c r="Q155" s="49"/>
      <c r="R155" s="49"/>
      <c r="S155" s="49"/>
      <c r="T155" s="49"/>
      <c r="U155" s="49"/>
      <c r="V155" s="49"/>
      <c r="W155" s="41" t="s">
        <v>618</v>
      </c>
      <c r="X155" s="46">
        <f t="shared" si="5"/>
        <v>45587.37212</v>
      </c>
      <c r="Y155" s="50" t="s">
        <v>482</v>
      </c>
      <c r="Z155" s="49">
        <f t="shared" si="6"/>
        <v>0</v>
      </c>
    </row>
    <row r="156" ht="22.5" customHeight="1">
      <c r="B156" s="41" t="s">
        <v>943</v>
      </c>
      <c r="C156" s="43">
        <f t="array" ref="C156">IF(B156="","",_xlfn.XLOOKUP(B156,'Form responses 1'!$B$2:$B$2604,'Form responses 1'!$A$2:$A$2604,""))</f>
        <v>45582.62126</v>
      </c>
      <c r="D156" s="44" t="str">
        <f t="shared" si="3"/>
        <v>K/51/171024/1_45582.6212643519</v>
      </c>
      <c r="E156" s="44" t="str">
        <f t="array" ref="E156">IF(B156="","",_xlfn.XLOOKUP(B156,'Form responses 1'!$B$2:$B$2604,'Form responses 1'!$C$2:$C$2604,""))</f>
        <v>ABDUL SOMAD/JUANDA </v>
      </c>
      <c r="F156" s="44" t="str">
        <f t="array" ref="F156">IF(B156="","",_xlfn.XLOOKUP(B156,'Form responses 1'!$B$2:$B$2604,'Form responses 1'!$D$2:$D$2604,""))</f>
        <v>082181683841</v>
      </c>
      <c r="G156" s="44" t="str">
        <f t="array" ref="G156">IF(B156="","",_xlfn.XLOOKUP(B156,'Form responses 1'!$B$2:$B$2604,'Form responses 1'!$E$2:$E$2604,""))</f>
        <v>PEMECAHAN</v>
      </c>
      <c r="H156" s="44" t="str">
        <f t="array" ref="H156">IF(B156="","",_xlfn.XLOOKUP(B156,'Form responses 1'!$B$2:$B$2604,'Form responses 1'!$F$2:$F$2604,""))</f>
        <v>M.178/PERWATA</v>
      </c>
      <c r="I156" s="44" t="str">
        <f t="array" ref="I156">IF(B156="","",_xlfn.XLOOKUP(B156,'Form responses 1'!$B$2:$B$2604,'Form responses 1'!$I$2:$I$2604,""))</f>
        <v>PERWATA</v>
      </c>
      <c r="J156" s="44" t="str">
        <f t="array" ref="J156">IF(B156="","",_xlfn.XLOOKUP(B156,'Form responses 1'!$B$2:$B$2604,'Form responses 1'!$G$2:$G$2604,""))</f>
        <v>Baynur</v>
      </c>
      <c r="K156" s="41" t="s">
        <v>2421</v>
      </c>
      <c r="L156" s="52">
        <f t="shared" si="7"/>
        <v>45587.37241</v>
      </c>
      <c r="M156" s="47" t="s">
        <v>5283</v>
      </c>
      <c r="N156" s="49"/>
      <c r="O156" s="49"/>
      <c r="P156" s="49"/>
      <c r="Q156" s="49"/>
      <c r="R156" s="49"/>
      <c r="S156" s="49"/>
      <c r="T156" s="49"/>
      <c r="U156" s="49"/>
      <c r="V156" s="49"/>
      <c r="W156" s="41" t="s">
        <v>618</v>
      </c>
      <c r="X156" s="46">
        <f t="shared" si="5"/>
        <v>45594.6601</v>
      </c>
      <c r="Y156" s="50" t="s">
        <v>482</v>
      </c>
      <c r="Z156" s="49">
        <f t="shared" si="6"/>
        <v>1</v>
      </c>
    </row>
    <row r="157" ht="22.5" customHeight="1">
      <c r="B157" s="41" t="s">
        <v>765</v>
      </c>
      <c r="C157" s="43">
        <f t="array" ref="C157">IF(B157="","",_xlfn.XLOOKUP(B157,'Form responses 1'!$B$2:$B$2604,'Form responses 1'!$A$2:$A$2604,""))</f>
        <v>45582.43544</v>
      </c>
      <c r="D157" s="44" t="str">
        <f t="shared" si="3"/>
        <v>K/8/171024/1_45582.4354424306</v>
      </c>
      <c r="E157" s="44" t="str">
        <f t="array" ref="E157">IF(B157="","",_xlfn.XLOOKUP(B157,'Form responses 1'!$B$2:$B$2604,'Form responses 1'!$C$2:$C$2604,""))</f>
        <v>ELVILLIANA FRANSISCA/AFRIZAL</v>
      </c>
      <c r="F157" s="44" t="str">
        <f t="array" ref="F157">IF(B157="","",_xlfn.XLOOKUP(B157,'Form responses 1'!$B$2:$B$2604,'Form responses 1'!$D$2:$D$2604,""))</f>
        <v>0813-6751-6751</v>
      </c>
      <c r="G157" s="44" t="str">
        <f t="array" ref="G157">IF(B157="","",_xlfn.XLOOKUP(B157,'Form responses 1'!$B$2:$B$2604,'Form responses 1'!$E$2:$E$2604,""))</f>
        <v>PERALIHAN JUAL BELI</v>
      </c>
      <c r="H157" s="44" t="str">
        <f t="array" ref="H157">IF(B157="","",_xlfn.XLOOKUP(B157,'Form responses 1'!$B$2:$B$2604,'Form responses 1'!$F$2:$F$2604,""))</f>
        <v>M.779/NEGERI OLOK GADING-SEKARANG;B.579/NEGERI OLOK GADING-DAHULU</v>
      </c>
      <c r="I157" s="44" t="str">
        <f t="array" ref="I157">IF(B157="","",_xlfn.XLOOKUP(B157,'Form responses 1'!$B$2:$B$2604,'Form responses 1'!$I$2:$I$2604,""))</f>
        <v>NEGERI OLOK GADING</v>
      </c>
      <c r="J157" s="44" t="str">
        <f t="array" ref="J157">IF(B157="","",_xlfn.XLOOKUP(B157,'Form responses 1'!$B$2:$B$2604,'Form responses 1'!$G$2:$G$2604,""))</f>
        <v>Baynur</v>
      </c>
      <c r="K157" s="41" t="s">
        <v>2421</v>
      </c>
      <c r="L157" s="52">
        <f t="shared" si="7"/>
        <v>45587.37918</v>
      </c>
      <c r="M157" s="47" t="s">
        <v>5284</v>
      </c>
      <c r="N157" s="49"/>
      <c r="O157" s="49"/>
      <c r="P157" s="49"/>
      <c r="Q157" s="49"/>
      <c r="R157" s="49"/>
      <c r="S157" s="49"/>
      <c r="T157" s="49"/>
      <c r="U157" s="49"/>
      <c r="V157" s="49"/>
      <c r="W157" s="41" t="s">
        <v>618</v>
      </c>
      <c r="X157" s="46">
        <f t="shared" si="5"/>
        <v>45589.64924</v>
      </c>
      <c r="Y157" s="50" t="s">
        <v>482</v>
      </c>
      <c r="Z157" s="49">
        <f t="shared" si="6"/>
        <v>1</v>
      </c>
    </row>
    <row r="158" ht="22.5" customHeight="1">
      <c r="B158" s="41" t="s">
        <v>803</v>
      </c>
      <c r="C158" s="43">
        <f t="array" ref="C158">IF(B158="","",_xlfn.XLOOKUP(B158,'Form responses 1'!$B$2:$B$2604,'Form responses 1'!$A$2:$A$2604,""))</f>
        <v>45582.48818</v>
      </c>
      <c r="D158" s="44" t="str">
        <f t="shared" si="3"/>
        <v>K/18/171024/1_45582.4881810417</v>
      </c>
      <c r="E158" s="44" t="str">
        <f t="array" ref="E158">IF(B158="","",_xlfn.XLOOKUP(B158,'Form responses 1'!$B$2:$B$2604,'Form responses 1'!$C$2:$C$2604,""))</f>
        <v>ALI LIUS /HEFRIZON</v>
      </c>
      <c r="F158" s="44" t="str">
        <f t="array" ref="F158">IF(B158="","",_xlfn.XLOOKUP(B158,'Form responses 1'!$B$2:$B$2604,'Form responses 1'!$D$2:$D$2604,""))</f>
        <v>082279104843</v>
      </c>
      <c r="G158" s="44" t="str">
        <f t="array" ref="G158">IF(B158="","",_xlfn.XLOOKUP(B158,'Form responses 1'!$B$2:$B$2604,'Form responses 1'!$E$2:$E$2604,""))</f>
        <v>BN JUAL BELI</v>
      </c>
      <c r="H158" s="44" t="str">
        <f t="array" ref="H158">IF(B158="","",_xlfn.XLOOKUP(B158,'Form responses 1'!$B$2:$B$2604,'Form responses 1'!$F$2:$F$2604,""))</f>
        <v>M. 111/ KEMILING RAYA</v>
      </c>
      <c r="I158" s="44" t="str">
        <f t="array" ref="I158">IF(B158="","",_xlfn.XLOOKUP(B158,'Form responses 1'!$B$2:$B$2604,'Form responses 1'!$I$2:$I$2604,""))</f>
        <v>KEMILING RAYA</v>
      </c>
      <c r="J158" s="44" t="str">
        <f t="array" ref="J158">IF(B158="","",_xlfn.XLOOKUP(B158,'Form responses 1'!$B$2:$B$2604,'Form responses 1'!$G$2:$G$2604,""))</f>
        <v>Hananda</v>
      </c>
      <c r="K158" s="41" t="s">
        <v>2421</v>
      </c>
      <c r="L158" s="52">
        <f t="shared" si="7"/>
        <v>45587.3792</v>
      </c>
      <c r="N158" s="49"/>
      <c r="O158" s="49"/>
      <c r="P158" s="49"/>
      <c r="Q158" s="49"/>
      <c r="R158" s="49"/>
      <c r="S158" s="49"/>
      <c r="T158" s="49"/>
      <c r="U158" s="49"/>
      <c r="V158" s="49"/>
      <c r="W158" s="41" t="s">
        <v>618</v>
      </c>
      <c r="X158" s="46">
        <f t="shared" si="5"/>
        <v>45587.42005</v>
      </c>
      <c r="Y158" s="50" t="s">
        <v>482</v>
      </c>
      <c r="Z158" s="49">
        <f t="shared" si="6"/>
        <v>0</v>
      </c>
    </row>
    <row r="159" ht="22.5" customHeight="1">
      <c r="B159" s="41" t="s">
        <v>836</v>
      </c>
      <c r="C159" s="43">
        <f t="array" ref="C159">IF(B159="","",_xlfn.XLOOKUP(B159,'Form responses 1'!$B$2:$B$2604,'Form responses 1'!$A$2:$A$2604,""))</f>
        <v>45582.56123</v>
      </c>
      <c r="D159" s="44" t="str">
        <f t="shared" si="3"/>
        <v>K/25/171024/1_45582.5612348264</v>
      </c>
      <c r="E159" s="44" t="str">
        <f t="array" ref="E159">IF(B159="","",_xlfn.XLOOKUP(B159,'Form responses 1'!$B$2:$B$2604,'Form responses 1'!$C$2:$C$2604,""))</f>
        <v>Ilanur/ Etika Fitri S</v>
      </c>
      <c r="F159" s="44" t="str">
        <f t="array" ref="F159">IF(B159="","",_xlfn.XLOOKUP(B159,'Form responses 1'!$B$2:$B$2604,'Form responses 1'!$D$2:$D$2604,""))</f>
        <v>08979122178</v>
      </c>
      <c r="G159" s="44" t="str">
        <f t="array" ref="G159">IF(B159="","",_xlfn.XLOOKUP(B159,'Form responses 1'!$B$2:$B$2604,'Form responses 1'!$E$2:$E$2604,""))</f>
        <v>BN Jual Beli</v>
      </c>
      <c r="H159" s="44" t="str">
        <f t="array" ref="H159">IF(B159="","",_xlfn.XLOOKUP(B159,'Form responses 1'!$B$2:$B$2604,'Form responses 1'!$F$2:$F$2604,""))</f>
        <v>Nibel. M. 1067/ Sukarame Baru</v>
      </c>
      <c r="I159" s="44" t="str">
        <f t="array" ref="I159">IF(B159="","",_xlfn.XLOOKUP(B159,'Form responses 1'!$B$2:$B$2604,'Form responses 1'!$I$2:$I$2604,""))</f>
        <v>Sukarame Baru</v>
      </c>
      <c r="J159" s="44" t="str">
        <f t="array" ref="J159">IF(B159="","",_xlfn.XLOOKUP(B159,'Form responses 1'!$B$2:$B$2604,'Form responses 1'!$G$2:$G$2604,""))</f>
        <v>Rapita</v>
      </c>
      <c r="K159" s="41" t="s">
        <v>2421</v>
      </c>
      <c r="L159" s="52">
        <f t="shared" si="7"/>
        <v>45587.37921</v>
      </c>
      <c r="M159" s="47" t="s">
        <v>5285</v>
      </c>
      <c r="N159" s="49"/>
      <c r="O159" s="49"/>
      <c r="P159" s="49"/>
      <c r="Q159" s="49"/>
      <c r="R159" s="49"/>
      <c r="S159" s="49"/>
      <c r="T159" s="49"/>
      <c r="U159" s="49"/>
      <c r="V159" s="49"/>
      <c r="W159" s="41" t="s">
        <v>618</v>
      </c>
      <c r="X159" s="46">
        <f t="shared" si="5"/>
        <v>45590.65938</v>
      </c>
      <c r="Y159" s="50" t="s">
        <v>482</v>
      </c>
      <c r="Z159" s="49">
        <f t="shared" si="6"/>
        <v>1</v>
      </c>
    </row>
    <row r="160" ht="22.5" customHeight="1">
      <c r="B160" s="41" t="s">
        <v>566</v>
      </c>
      <c r="C160" s="43">
        <f t="array" ref="C160">IF(B160="","",_xlfn.XLOOKUP(B160,'Form responses 1'!$B$2:$B$2604,'Form responses 1'!$A$2:$A$2604,""))</f>
        <v>45581.39057</v>
      </c>
      <c r="D160" s="44" t="str">
        <f t="shared" si="3"/>
        <v>K/3/161024/2_45581.3905655787</v>
      </c>
      <c r="E160" s="44" t="str">
        <f t="array" ref="E160">IF(B160="","",_xlfn.XLOOKUP(B160,'Form responses 1'!$B$2:$B$2604,'Form responses 1'!$C$2:$C$2604,""))</f>
        <v>Adnan/ Junifa Andrian</v>
      </c>
      <c r="F160" s="44" t="str">
        <f t="array" ref="F160">IF(B160="","",_xlfn.XLOOKUP(B160,'Form responses 1'!$B$2:$B$2604,'Form responses 1'!$D$2:$D$2604,""))</f>
        <v>+62 853-8112-5445</v>
      </c>
      <c r="G160" s="44" t="str">
        <f t="array" ref="G160">IF(B160="","",_xlfn.XLOOKUP(B160,'Form responses 1'!$B$2:$B$2604,'Form responses 1'!$E$2:$E$2604,""))</f>
        <v>BN Jual Beli</v>
      </c>
      <c r="H160" s="44" t="str">
        <f t="array" ref="H160">IF(B160="","",_xlfn.XLOOKUP(B160,'Form responses 1'!$B$2:$B$2604,'Form responses 1'!$F$2:$F$2604,""))</f>
        <v>M. 1217/ Campang Jaya</v>
      </c>
      <c r="I160" s="44" t="str">
        <f t="array" ref="I160">IF(B160="","",_xlfn.XLOOKUP(B160,'Form responses 1'!$B$2:$B$2604,'Form responses 1'!$I$2:$I$2604,""))</f>
        <v>Campang Jaya</v>
      </c>
      <c r="J160" s="44" t="str">
        <f t="array" ref="J160">IF(B160="","",_xlfn.XLOOKUP(B160,'Form responses 1'!$B$2:$B$2604,'Form responses 1'!$G$2:$G$2604,""))</f>
        <v>Rapita</v>
      </c>
      <c r="K160" s="41" t="s">
        <v>2421</v>
      </c>
      <c r="L160" s="52">
        <f t="shared" si="7"/>
        <v>45587.37924</v>
      </c>
      <c r="M160" s="49"/>
      <c r="N160" s="49"/>
      <c r="O160" s="49"/>
      <c r="P160" s="49"/>
      <c r="Q160" s="49"/>
      <c r="R160" s="49"/>
      <c r="S160" s="49"/>
      <c r="T160" s="49"/>
      <c r="U160" s="49"/>
      <c r="V160" s="49"/>
      <c r="W160" s="41" t="s">
        <v>618</v>
      </c>
      <c r="X160" s="46">
        <f t="shared" si="5"/>
        <v>45587.44818</v>
      </c>
      <c r="Y160" s="50" t="s">
        <v>482</v>
      </c>
      <c r="Z160" s="49">
        <f t="shared" si="6"/>
        <v>0</v>
      </c>
    </row>
    <row r="161" ht="22.5" customHeight="1">
      <c r="B161" s="41" t="s">
        <v>576</v>
      </c>
      <c r="C161" s="43">
        <f t="array" ref="C161">IF(B161="","",_xlfn.XLOOKUP(B161,'Form responses 1'!$B$2:$B$2604,'Form responses 1'!$A$2:$A$2604,""))</f>
        <v>45581.40296</v>
      </c>
      <c r="D161" s="44" t="str">
        <f t="shared" si="3"/>
        <v>K/5/161024/1_45581.4029629051</v>
      </c>
      <c r="E161" s="44" t="str">
        <f t="array" ref="E161">IF(B161="","",_xlfn.XLOOKUP(B161,'Form responses 1'!$B$2:$B$2604,'Form responses 1'!$C$2:$C$2604,""))</f>
        <v>Reflan Rasyid/ Ria Meilani</v>
      </c>
      <c r="F161" s="44" t="str">
        <f t="array" ref="F161">IF(B161="","",_xlfn.XLOOKUP(B161,'Form responses 1'!$B$2:$B$2604,'Form responses 1'!$D$2:$D$2604,""))</f>
        <v>+62 822-6948-0192</v>
      </c>
      <c r="G161" s="44" t="str">
        <f t="array" ref="G161">IF(B161="","",_xlfn.XLOOKUP(B161,'Form responses 1'!$B$2:$B$2604,'Form responses 1'!$E$2:$E$2604,""))</f>
        <v>BN Jual Beli</v>
      </c>
      <c r="H161" s="44" t="str">
        <f t="array" ref="H161">IF(B161="","",_xlfn.XLOOKUP(B161,'Form responses 1'!$B$2:$B$2604,'Form responses 1'!$F$2:$F$2604,""))</f>
        <v>M. 1818/ Kupang Teba</v>
      </c>
      <c r="I161" s="44" t="str">
        <f t="array" ref="I161">IF(B161="","",_xlfn.XLOOKUP(B161,'Form responses 1'!$B$2:$B$2604,'Form responses 1'!$I$2:$I$2604,""))</f>
        <v>Kupang Teba</v>
      </c>
      <c r="J161" s="44" t="str">
        <f t="array" ref="J161">IF(B161="","",_xlfn.XLOOKUP(B161,'Form responses 1'!$B$2:$B$2604,'Form responses 1'!$G$2:$G$2604,""))</f>
        <v>Rapita</v>
      </c>
      <c r="K161" s="41" t="s">
        <v>2421</v>
      </c>
      <c r="L161" s="52">
        <f t="shared" si="7"/>
        <v>45587.3793</v>
      </c>
      <c r="M161" s="47" t="s">
        <v>5286</v>
      </c>
      <c r="N161" s="47" t="s">
        <v>5287</v>
      </c>
      <c r="O161" s="47" t="s">
        <v>5288</v>
      </c>
      <c r="P161" s="47" t="s">
        <v>5289</v>
      </c>
      <c r="Q161" s="47" t="s">
        <v>5290</v>
      </c>
      <c r="R161" s="47" t="s">
        <v>5291</v>
      </c>
      <c r="S161" s="47" t="s">
        <v>5292</v>
      </c>
      <c r="T161" s="47" t="s">
        <v>5293</v>
      </c>
      <c r="U161" s="49"/>
      <c r="V161" s="49"/>
      <c r="W161" s="41" t="s">
        <v>470</v>
      </c>
      <c r="X161" s="46">
        <f t="shared" si="5"/>
        <v>45587.4792</v>
      </c>
      <c r="Y161" s="50" t="s">
        <v>482</v>
      </c>
      <c r="Z161" s="49">
        <f t="shared" si="6"/>
        <v>8</v>
      </c>
    </row>
    <row r="162" ht="22.5" customHeight="1">
      <c r="B162" s="41" t="s">
        <v>695</v>
      </c>
      <c r="C162" s="43">
        <f t="array" ref="C162">IF(B162="","",_xlfn.XLOOKUP(B162,'Form responses 1'!$B$2:$B$2604,'Form responses 1'!$A$2:$A$2604,""))</f>
        <v>45581.58638</v>
      </c>
      <c r="D162" s="44" t="str">
        <f t="shared" si="3"/>
        <v>K/32/161024/1_45581.5863769444</v>
      </c>
      <c r="E162" s="44" t="str">
        <f t="array" ref="E162">IF(B162="","",_xlfn.XLOOKUP(B162,'Form responses 1'!$B$2:$B$2604,'Form responses 1'!$C$2:$C$2604,""))</f>
        <v>ENDANG APRILIA/ DESTA YOZA</v>
      </c>
      <c r="F162" s="44" t="str">
        <f t="array" ref="F162">IF(B162="","",_xlfn.XLOOKUP(B162,'Form responses 1'!$B$2:$B$2604,'Form responses 1'!$D$2:$D$2604,""))</f>
        <v>082177803999</v>
      </c>
      <c r="G162" s="44" t="str">
        <f t="array" ref="G162">IF(B162="","",_xlfn.XLOOKUP(B162,'Form responses 1'!$B$2:$B$2604,'Form responses 1'!$E$2:$E$2604,""))</f>
        <v>BN JUAL BELI</v>
      </c>
      <c r="H162" s="44" t="str">
        <f t="array" ref="H162">IF(B162="","",_xlfn.XLOOKUP(B162,'Form responses 1'!$B$2:$B$2604,'Form responses 1'!$F$2:$F$2604,""))</f>
        <v>B. 598/ SUMBER AGUNG</v>
      </c>
      <c r="I162" s="44" t="str">
        <f t="array" ref="I162">IF(B162="","",_xlfn.XLOOKUP(B162,'Form responses 1'!$B$2:$B$2604,'Form responses 1'!$I$2:$I$2604,""))</f>
        <v>SUMBER AGUNG</v>
      </c>
      <c r="J162" s="44" t="str">
        <f t="array" ref="J162">IF(B162="","",_xlfn.XLOOKUP(B162,'Form responses 1'!$B$2:$B$2604,'Form responses 1'!$G$2:$G$2604,""))</f>
        <v>Hananda</v>
      </c>
      <c r="K162" s="41" t="s">
        <v>2421</v>
      </c>
      <c r="L162" s="52">
        <f t="shared" si="7"/>
        <v>45587.3793</v>
      </c>
      <c r="M162" s="49"/>
      <c r="N162" s="49"/>
      <c r="O162" s="49"/>
      <c r="P162" s="49"/>
      <c r="Q162" s="49"/>
      <c r="R162" s="49"/>
      <c r="S162" s="49"/>
      <c r="T162" s="49"/>
      <c r="U162" s="49"/>
      <c r="V162" s="49"/>
      <c r="W162" s="41" t="s">
        <v>618</v>
      </c>
      <c r="X162" s="46">
        <f t="shared" si="5"/>
        <v>45587.59991</v>
      </c>
      <c r="Y162" s="50" t="s">
        <v>482</v>
      </c>
      <c r="Z162" s="49">
        <f t="shared" si="6"/>
        <v>0</v>
      </c>
    </row>
    <row r="163" ht="22.5" customHeight="1">
      <c r="B163" s="41" t="s">
        <v>933</v>
      </c>
      <c r="C163" s="43">
        <f t="array" ref="C163">IF(B163="","",_xlfn.XLOOKUP(B163,'Form responses 1'!$B$2:$B$2604,'Form responses 1'!$A$2:$A$2604,""))</f>
        <v>45582.61896</v>
      </c>
      <c r="D163" s="44" t="str">
        <f t="shared" si="3"/>
        <v>K/48/171024/1_45582.6189570139</v>
      </c>
      <c r="E163" s="44" t="str">
        <f t="array" ref="E163">IF(B163="","",_xlfn.XLOOKUP(B163,'Form responses 1'!$B$2:$B$2604,'Form responses 1'!$C$2:$C$2604,""))</f>
        <v>Fahrul Rozi/ Andika Hendri</v>
      </c>
      <c r="F163" s="44" t="str">
        <f t="array" ref="F163">IF(B163="","",_xlfn.XLOOKUP(B163,'Form responses 1'!$B$2:$B$2604,'Form responses 1'!$D$2:$D$2604,""))</f>
        <v>+62 821-7585-0002</v>
      </c>
      <c r="G163" s="44" t="str">
        <f t="array" ref="G163">IF(B163="","",_xlfn.XLOOKUP(B163,'Form responses 1'!$B$2:$B$2604,'Form responses 1'!$E$2:$E$2604,""))</f>
        <v>BN Jual Beli</v>
      </c>
      <c r="H163" s="44" t="str">
        <f t="array" ref="H163">IF(B163="","",_xlfn.XLOOKUP(B163,'Form responses 1'!$B$2:$B$2604,'Form responses 1'!$F$2:$F$2604,""))</f>
        <v>M. 6466/ Way kandis</v>
      </c>
      <c r="I163" s="44" t="str">
        <f t="array" ref="I163">IF(B163="","",_xlfn.XLOOKUP(B163,'Form responses 1'!$B$2:$B$2604,'Form responses 1'!$I$2:$I$2604,""))</f>
        <v>Way Kandis</v>
      </c>
      <c r="J163" s="44" t="str">
        <f t="array" ref="J163">IF(B163="","",_xlfn.XLOOKUP(B163,'Form responses 1'!$B$2:$B$2604,'Form responses 1'!$G$2:$G$2604,""))</f>
        <v>Rapita</v>
      </c>
      <c r="K163" s="41" t="s">
        <v>2421</v>
      </c>
      <c r="L163" s="52">
        <f t="shared" si="7"/>
        <v>45587.37932</v>
      </c>
      <c r="M163" s="47" t="s">
        <v>5294</v>
      </c>
      <c r="N163" s="49"/>
      <c r="O163" s="49"/>
      <c r="P163" s="49"/>
      <c r="Q163" s="49"/>
      <c r="R163" s="49"/>
      <c r="S163" s="49"/>
      <c r="T163" s="49"/>
      <c r="U163" s="49"/>
      <c r="V163" s="49"/>
      <c r="W163" s="41" t="s">
        <v>618</v>
      </c>
      <c r="X163" s="46">
        <f t="shared" si="5"/>
        <v>45590.41245</v>
      </c>
      <c r="Y163" s="50" t="s">
        <v>482</v>
      </c>
      <c r="Z163" s="49">
        <f t="shared" si="6"/>
        <v>1</v>
      </c>
    </row>
    <row r="164" ht="22.5" customHeight="1">
      <c r="B164" s="41" t="s">
        <v>1077</v>
      </c>
      <c r="C164" s="43">
        <f t="array" ref="C164">IF(B164="","",_xlfn.XLOOKUP(B164,'Form responses 1'!$B$2:$B$2604,'Form responses 1'!$A$2:$A$2604,""))</f>
        <v>45583.58604</v>
      </c>
      <c r="D164" s="44" t="str">
        <f t="shared" si="3"/>
        <v>K/27/181024/1_45583.5860424421</v>
      </c>
      <c r="E164" s="44" t="str">
        <f t="array" ref="E164">IF(B164="","",_xlfn.XLOOKUP(B164,'Form responses 1'!$B$2:$B$2604,'Form responses 1'!$C$2:$C$2604,""))</f>
        <v>Rendy Renaldy/ Arif Basuki</v>
      </c>
      <c r="F164" s="44" t="str">
        <f t="array" ref="F164">IF(B164="","",_xlfn.XLOOKUP(B164,'Form responses 1'!$B$2:$B$2604,'Form responses 1'!$D$2:$D$2604,""))</f>
        <v>+62 895-0895-6656</v>
      </c>
      <c r="G164" s="44" t="str">
        <f t="array" ref="G164">IF(B164="","",_xlfn.XLOOKUP(B164,'Form responses 1'!$B$2:$B$2604,'Form responses 1'!$E$2:$E$2604,""))</f>
        <v>Pemecahan</v>
      </c>
      <c r="H164" s="44" t="str">
        <f t="array" ref="H164">IF(B164="","",_xlfn.XLOOKUP(B164,'Form responses 1'!$B$2:$B$2604,'Form responses 1'!$F$2:$F$2604,""))</f>
        <v>M. 193/ Palapa</v>
      </c>
      <c r="I164" s="44" t="str">
        <f t="array" ref="I164">IF(B164="","",_xlfn.XLOOKUP(B164,'Form responses 1'!$B$2:$B$2604,'Form responses 1'!$I$2:$I$2604,""))</f>
        <v>Palapa</v>
      </c>
      <c r="J164" s="44" t="str">
        <f t="array" ref="J164">IF(B164="","",_xlfn.XLOOKUP(B164,'Form responses 1'!$B$2:$B$2604,'Form responses 1'!$G$2:$G$2604,""))</f>
        <v>Rapita</v>
      </c>
      <c r="K164" s="41" t="s">
        <v>2421</v>
      </c>
      <c r="L164" s="52">
        <f t="shared" si="7"/>
        <v>45587.37934</v>
      </c>
      <c r="M164" s="47" t="s">
        <v>5295</v>
      </c>
      <c r="N164" s="49"/>
      <c r="O164" s="49"/>
      <c r="P164" s="49"/>
      <c r="Q164" s="49"/>
      <c r="R164" s="49"/>
      <c r="S164" s="49"/>
      <c r="T164" s="49"/>
      <c r="U164" s="49"/>
      <c r="V164" s="49"/>
      <c r="W164" s="41" t="s">
        <v>618</v>
      </c>
      <c r="X164" s="46">
        <f t="shared" si="5"/>
        <v>45589.66405</v>
      </c>
      <c r="Y164" s="50" t="s">
        <v>482</v>
      </c>
      <c r="Z164" s="49">
        <f t="shared" si="6"/>
        <v>1</v>
      </c>
    </row>
    <row r="165" ht="22.5" customHeight="1">
      <c r="B165" s="41" t="s">
        <v>1138</v>
      </c>
      <c r="C165" s="43">
        <f t="array" ref="C165">IF(B165="","",_xlfn.XLOOKUP(B165,'Form responses 1'!$B$2:$B$2604,'Form responses 1'!$A$2:$A$2604,""))</f>
        <v>45583.6158</v>
      </c>
      <c r="D165" s="44" t="str">
        <f t="shared" si="3"/>
        <v>K/39/181024/2_45583.6158029977</v>
      </c>
      <c r="E165" s="44" t="str">
        <f t="array" ref="E165">IF(B165="","",_xlfn.XLOOKUP(B165,'Form responses 1'!$B$2:$B$2604,'Form responses 1'!$C$2:$C$2604,""))</f>
        <v>akhmadi dachlan/ johny efendy</v>
      </c>
      <c r="F165" s="44" t="str">
        <f t="array" ref="F165">IF(B165="","",_xlfn.XLOOKUP(B165,'Form responses 1'!$B$2:$B$2604,'Form responses 1'!$D$2:$D$2604,""))</f>
        <v>+62 813-6751-6751</v>
      </c>
      <c r="G165" s="44" t="str">
        <f t="array" ref="G165">IF(B165="","",_xlfn.XLOOKUP(B165,'Form responses 1'!$B$2:$B$2604,'Form responses 1'!$E$2:$E$2604,""))</f>
        <v>ROYA</v>
      </c>
      <c r="H165" s="44" t="str">
        <f t="array" ref="H165">IF(B165="","",_xlfn.XLOOKUP(B165,'Form responses 1'!$B$2:$B$2604,'Form responses 1'!$F$2:$F$2604,""))</f>
        <v>M. 37/ KUPANG TEBA</v>
      </c>
      <c r="I165" s="44" t="str">
        <f t="array" ref="I165">IF(B165="","",_xlfn.XLOOKUP(B165,'Form responses 1'!$B$2:$B$2604,'Form responses 1'!$I$2:$I$2604,""))</f>
        <v>KUPANG TEBA</v>
      </c>
      <c r="J165" s="44" t="str">
        <f t="array" ref="J165">IF(B165="","",_xlfn.XLOOKUP(B165,'Form responses 1'!$B$2:$B$2604,'Form responses 1'!$G$2:$G$2604,""))</f>
        <v>Hananda</v>
      </c>
      <c r="K165" s="41" t="s">
        <v>2421</v>
      </c>
      <c r="L165" s="52">
        <f t="shared" si="7"/>
        <v>45587.37936</v>
      </c>
      <c r="M165" s="49"/>
      <c r="N165" s="49"/>
      <c r="O165" s="49"/>
      <c r="P165" s="49"/>
      <c r="Q165" s="49"/>
      <c r="R165" s="49"/>
      <c r="S165" s="49"/>
      <c r="T165" s="49"/>
      <c r="U165" s="49"/>
      <c r="V165" s="49"/>
      <c r="W165" s="41" t="s">
        <v>618</v>
      </c>
      <c r="X165" s="46">
        <f t="shared" si="5"/>
        <v>45588.42594</v>
      </c>
      <c r="Y165" s="50" t="s">
        <v>482</v>
      </c>
      <c r="Z165" s="49">
        <f t="shared" si="6"/>
        <v>0</v>
      </c>
    </row>
    <row r="166" ht="22.5" customHeight="1">
      <c r="B166" s="41" t="s">
        <v>985</v>
      </c>
      <c r="C166" s="43">
        <f t="array" ref="C166">IF(B166="","",_xlfn.XLOOKUP(B166,'Form responses 1'!$B$2:$B$2604,'Form responses 1'!$A$2:$A$2604,""))</f>
        <v>45583.4299</v>
      </c>
      <c r="D166" s="44" t="str">
        <f t="shared" si="3"/>
        <v>K/5/181024/1_45583.4299046412</v>
      </c>
      <c r="E166" s="44" t="str">
        <f t="array" ref="E166">IF(B166="","",_xlfn.XLOOKUP(B166,'Form responses 1'!$B$2:$B$2604,'Form responses 1'!$C$2:$C$2604,""))</f>
        <v>Yulian Suhandi/ Leni Ervina</v>
      </c>
      <c r="F166" s="44" t="str">
        <f t="array" ref="F166">IF(B166="","",_xlfn.XLOOKUP(B166,'Form responses 1'!$B$2:$B$2604,'Form responses 1'!$D$2:$D$2604,""))</f>
        <v>081369428366</v>
      </c>
      <c r="G166" s="44" t="str">
        <f t="array" ref="G166">IF(B166="","",_xlfn.XLOOKUP(B166,'Form responses 1'!$B$2:$B$2604,'Form responses 1'!$E$2:$E$2604,""))</f>
        <v>BN Jual Beli</v>
      </c>
      <c r="H166" s="44" t="str">
        <f t="array" ref="H166">IF(B166="","",_xlfn.XLOOKUP(B166,'Form responses 1'!$B$2:$B$2604,'Form responses 1'!$F$2:$F$2604,""))</f>
        <v>B. 164/ Rawa Laut</v>
      </c>
      <c r="I166" s="44" t="str">
        <f t="array" ref="I166">IF(B166="","",_xlfn.XLOOKUP(B166,'Form responses 1'!$B$2:$B$2604,'Form responses 1'!$I$2:$I$2604,""))</f>
        <v>Rawa Laut</v>
      </c>
      <c r="J166" s="44" t="str">
        <f t="array" ref="J166">IF(B166="","",_xlfn.XLOOKUP(B166,'Form responses 1'!$B$2:$B$2604,'Form responses 1'!$G$2:$G$2604,""))</f>
        <v>Rapita</v>
      </c>
      <c r="K166" s="41" t="s">
        <v>2421</v>
      </c>
      <c r="L166" s="52">
        <f t="shared" si="7"/>
        <v>45587.37938</v>
      </c>
      <c r="M166" s="49"/>
      <c r="N166" s="49"/>
      <c r="O166" s="49"/>
      <c r="P166" s="49"/>
      <c r="Q166" s="49"/>
      <c r="R166" s="49"/>
      <c r="S166" s="49"/>
      <c r="T166" s="49"/>
      <c r="U166" s="49"/>
      <c r="V166" s="49"/>
      <c r="W166" s="41" t="s">
        <v>618</v>
      </c>
      <c r="X166" s="46">
        <f t="shared" si="5"/>
        <v>45588.43853</v>
      </c>
      <c r="Y166" s="50" t="s">
        <v>482</v>
      </c>
      <c r="Z166" s="49">
        <f t="shared" si="6"/>
        <v>0</v>
      </c>
    </row>
    <row r="167" ht="22.5" customHeight="1">
      <c r="B167" s="41" t="s">
        <v>1015</v>
      </c>
      <c r="C167" s="43">
        <f t="array" ref="C167">IF(B167="","",_xlfn.XLOOKUP(B167,'Form responses 1'!$B$2:$B$2604,'Form responses 1'!$A$2:$A$2604,""))</f>
        <v>45583.45677</v>
      </c>
      <c r="D167" s="44" t="str">
        <f t="shared" si="3"/>
        <v>K/12/181024/1_45583.4567668519</v>
      </c>
      <c r="E167" s="44" t="str">
        <f t="array" ref="E167">IF(B167="","",_xlfn.XLOOKUP(B167,'Form responses 1'!$B$2:$B$2604,'Form responses 1'!$C$2:$C$2604,""))</f>
        <v>Ilanur/ Basariyah</v>
      </c>
      <c r="F167" s="44" t="str">
        <f t="array" ref="F167">IF(B167="","",_xlfn.XLOOKUP(B167,'Form responses 1'!$B$2:$B$2604,'Form responses 1'!$D$2:$D$2604,""))</f>
        <v>08979122178</v>
      </c>
      <c r="G167" s="44" t="str">
        <f t="array" ref="G167">IF(B167="","",_xlfn.XLOOKUP(B167,'Form responses 1'!$B$2:$B$2604,'Form responses 1'!$E$2:$E$2604,""))</f>
        <v>BN Jual Beli</v>
      </c>
      <c r="H167" s="44" t="str">
        <f t="array" ref="H167">IF(B167="","",_xlfn.XLOOKUP(B167,'Form responses 1'!$B$2:$B$2604,'Form responses 1'!$F$2:$F$2604,""))</f>
        <v>M. 13899/ Rajabasa</v>
      </c>
      <c r="I167" s="44" t="str">
        <f t="array" ref="I167">IF(B167="","",_xlfn.XLOOKUP(B167,'Form responses 1'!$B$2:$B$2604,'Form responses 1'!$I$2:$I$2604,""))</f>
        <v>Rajabasa</v>
      </c>
      <c r="J167" s="44" t="str">
        <f t="array" ref="J167">IF(B167="","",_xlfn.XLOOKUP(B167,'Form responses 1'!$B$2:$B$2604,'Form responses 1'!$G$2:$G$2604,""))</f>
        <v>Rapita</v>
      </c>
      <c r="K167" s="41" t="s">
        <v>2421</v>
      </c>
      <c r="L167" s="52">
        <f t="shared" si="7"/>
        <v>45587.37941</v>
      </c>
      <c r="M167" s="47" t="s">
        <v>5296</v>
      </c>
      <c r="O167" s="49"/>
      <c r="P167" s="49"/>
      <c r="Q167" s="49"/>
      <c r="R167" s="49"/>
      <c r="S167" s="49"/>
      <c r="T167" s="49"/>
      <c r="U167" s="49"/>
      <c r="V167" s="49"/>
      <c r="W167" s="41" t="s">
        <v>618</v>
      </c>
      <c r="X167" s="46">
        <f t="shared" si="5"/>
        <v>45588.44761</v>
      </c>
      <c r="Y167" s="50" t="s">
        <v>482</v>
      </c>
      <c r="Z167" s="49">
        <f t="shared" si="6"/>
        <v>1</v>
      </c>
    </row>
    <row r="168" ht="22.5" customHeight="1">
      <c r="B168" s="41" t="s">
        <v>1161</v>
      </c>
      <c r="C168" s="43">
        <f t="array" ref="C168">IF(B168="","",_xlfn.XLOOKUP(B168,'Form responses 1'!$B$2:$B$2604,'Form responses 1'!$A$2:$A$2604,""))</f>
        <v>45583.62509</v>
      </c>
      <c r="D168" s="44" t="str">
        <f t="shared" si="3"/>
        <v>K/42/181024/2_45583.6250934028</v>
      </c>
      <c r="E168" s="44" t="str">
        <f t="array" ref="E168">IF(B168="","",_xlfn.XLOOKUP(B168,'Form responses 1'!$B$2:$B$2604,'Form responses 1'!$C$2:$C$2604,""))</f>
        <v>REFLAN RASYID/ M.YUDHA CS</v>
      </c>
      <c r="F168" s="44" t="str">
        <f t="array" ref="F168">IF(B168="","",_xlfn.XLOOKUP(B168,'Form responses 1'!$B$2:$B$2604,'Form responses 1'!$D$2:$D$2604,""))</f>
        <v>082178795856</v>
      </c>
      <c r="G168" s="44" t="str">
        <f t="array" ref="G168">IF(B168="","",_xlfn.XLOOKUP(B168,'Form responses 1'!$B$2:$B$2604,'Form responses 1'!$E$2:$E$2604,""))</f>
        <v>BN PHB</v>
      </c>
      <c r="H168" s="44" t="str">
        <f t="array" ref="H168">IF(B168="","",_xlfn.XLOOKUP(B168,'Form responses 1'!$B$2:$B$2604,'Form responses 1'!$F$2:$F$2604,""))</f>
        <v>M. 1938/ Kupang Kota</v>
      </c>
      <c r="I168" s="44" t="str">
        <f t="array" ref="I168">IF(B168="","",_xlfn.XLOOKUP(B168,'Form responses 1'!$B$2:$B$2604,'Form responses 1'!$I$2:$I$2604,""))</f>
        <v>Kupang Kota</v>
      </c>
      <c r="J168" s="44" t="str">
        <f t="array" ref="J168">IF(B168="","",_xlfn.XLOOKUP(B168,'Form responses 1'!$B$2:$B$2604,'Form responses 1'!$G$2:$G$2604,""))</f>
        <v>Hananda</v>
      </c>
      <c r="K168" s="41" t="s">
        <v>2421</v>
      </c>
      <c r="L168" s="52">
        <f t="shared" si="7"/>
        <v>45587.37943</v>
      </c>
      <c r="M168" s="47" t="s">
        <v>5297</v>
      </c>
      <c r="N168" s="47" t="s">
        <v>5298</v>
      </c>
      <c r="O168" s="49"/>
      <c r="P168" s="49"/>
      <c r="Q168" s="49"/>
      <c r="R168" s="49"/>
      <c r="S168" s="49"/>
      <c r="T168" s="49"/>
      <c r="U168" s="49"/>
      <c r="V168" s="49"/>
      <c r="W168" s="41" t="s">
        <v>618</v>
      </c>
      <c r="X168" s="46">
        <f t="shared" si="5"/>
        <v>45593.66224</v>
      </c>
      <c r="Y168" s="50" t="s">
        <v>482</v>
      </c>
      <c r="Z168" s="49">
        <f t="shared" si="6"/>
        <v>2</v>
      </c>
    </row>
    <row r="169" ht="22.5" customHeight="1">
      <c r="B169" s="41" t="s">
        <v>1182</v>
      </c>
      <c r="C169" s="43">
        <f t="array" ref="C169">IF(B169="","",_xlfn.XLOOKUP(B169,'Form responses 1'!$B$2:$B$2604,'Form responses 1'!$A$2:$A$2604,""))</f>
        <v>45584.3949</v>
      </c>
      <c r="D169" s="44" t="str">
        <f t="shared" si="3"/>
        <v>L/50/191024/1_45584.3948999884</v>
      </c>
      <c r="E169" s="44" t="str">
        <f t="array" ref="E169">IF(B169="","",_xlfn.XLOOKUP(B169,'Form responses 1'!$B$2:$B$2604,'Form responses 1'!$C$2:$C$2604,""))</f>
        <v>EVTI APRILIYANI</v>
      </c>
      <c r="F169" s="44" t="str">
        <f t="array" ref="F169">IF(B169="","",_xlfn.XLOOKUP(B169,'Form responses 1'!$B$2:$B$2604,'Form responses 1'!$D$2:$D$2604,""))</f>
        <v>085384338054</v>
      </c>
      <c r="G169" s="44" t="str">
        <f t="array" ref="G169">IF(B169="","",_xlfn.XLOOKUP(B169,'Form responses 1'!$B$2:$B$2604,'Form responses 1'!$E$2:$E$2604,""))</f>
        <v>ROYA</v>
      </c>
      <c r="H169" s="44" t="str">
        <f t="array" ref="H169">IF(B169="","",_xlfn.XLOOKUP(B169,'Form responses 1'!$B$2:$B$2604,'Form responses 1'!$F$2:$F$2604,""))</f>
        <v>M.3937/WAY KANDIS</v>
      </c>
      <c r="I169" s="44" t="str">
        <f t="array" ref="I169">IF(B169="","",_xlfn.XLOOKUP(B169,'Form responses 1'!$B$2:$B$2604,'Form responses 1'!$I$2:$I$2604,""))</f>
        <v>WAY KANDIS</v>
      </c>
      <c r="J169" s="44" t="str">
        <f t="array" ref="J169">IF(B169="","",_xlfn.XLOOKUP(B169,'Form responses 1'!$B$2:$B$2604,'Form responses 1'!$G$2:$G$2604,""))</f>
        <v>Nuraini</v>
      </c>
      <c r="K169" s="41" t="s">
        <v>2421</v>
      </c>
      <c r="L169" s="52">
        <f t="shared" si="7"/>
        <v>45587.37945</v>
      </c>
      <c r="M169" s="49"/>
      <c r="N169" s="49"/>
      <c r="O169" s="49"/>
      <c r="P169" s="49"/>
      <c r="Q169" s="49"/>
      <c r="R169" s="49"/>
      <c r="S169" s="49"/>
      <c r="T169" s="49"/>
      <c r="U169" s="49"/>
      <c r="V169" s="49"/>
      <c r="W169" s="41" t="s">
        <v>618</v>
      </c>
      <c r="X169" s="46">
        <f t="shared" si="5"/>
        <v>45587.52411</v>
      </c>
      <c r="Y169" s="50" t="s">
        <v>482</v>
      </c>
      <c r="Z169" s="49">
        <f t="shared" si="6"/>
        <v>0</v>
      </c>
    </row>
    <row r="170" ht="22.5" customHeight="1">
      <c r="B170" s="41" t="s">
        <v>371</v>
      </c>
      <c r="C170" s="43">
        <f t="array" ref="C170">IF(B170="","",_xlfn.XLOOKUP(B170,'Form responses 1'!$B$2:$B$2604,'Form responses 1'!$A$2:$A$2604,""))</f>
        <v>45580.47268</v>
      </c>
      <c r="D170" s="44" t="str">
        <f t="shared" si="3"/>
        <v>K/21/151024/1_45580.47268</v>
      </c>
      <c r="E170" s="44" t="str">
        <f t="array" ref="E170">IF(B170="","",_xlfn.XLOOKUP(B170,'Form responses 1'!$B$2:$B$2604,'Form responses 1'!$C$2:$C$2604,""))</f>
        <v>RAHMADIYANTI / SORAYA SOPHA</v>
      </c>
      <c r="F170" s="44" t="str">
        <f t="array" ref="F170">IF(B170="","",_xlfn.XLOOKUP(B170,'Form responses 1'!$B$2:$B$2604,'Form responses 1'!$D$2:$D$2604,""))</f>
        <v>+62 821-8209-0051</v>
      </c>
      <c r="G170" s="44" t="str">
        <f t="array" ref="G170">IF(B170="","",_xlfn.XLOOKUP(B170,'Form responses 1'!$B$2:$B$2604,'Form responses 1'!$E$2:$E$2604,""))</f>
        <v>BN JUAL BELI</v>
      </c>
      <c r="H170" s="44" t="str">
        <f t="array" ref="H170">IF(B170="","",_xlfn.XLOOKUP(B170,'Form responses 1'!$B$2:$B$2604,'Form responses 1'!$F$2:$F$2604,""))</f>
        <v>M. 652/ PINANG JAYA</v>
      </c>
      <c r="I170" s="44" t="str">
        <f t="array" ref="I170">IF(B170="","",_xlfn.XLOOKUP(B170,'Form responses 1'!$B$2:$B$2604,'Form responses 1'!$I$2:$I$2604,""))</f>
        <v>PINANG JAYA</v>
      </c>
      <c r="J170" s="44" t="str">
        <f t="array" ref="J170">IF(B170="","",_xlfn.XLOOKUP(B170,'Form responses 1'!$B$2:$B$2604,'Form responses 1'!$G$2:$G$2604,""))</f>
        <v>Hananda</v>
      </c>
      <c r="K170" s="41" t="s">
        <v>1233</v>
      </c>
      <c r="L170" s="52">
        <f t="shared" si="7"/>
        <v>45587.40049</v>
      </c>
      <c r="M170" s="47" t="s">
        <v>5299</v>
      </c>
      <c r="N170" s="49"/>
      <c r="O170" s="49"/>
      <c r="P170" s="49"/>
      <c r="Q170" s="49"/>
      <c r="R170" s="49"/>
      <c r="S170" s="49"/>
      <c r="T170" s="49"/>
      <c r="U170" s="49"/>
      <c r="V170" s="49"/>
      <c r="W170" s="41" t="s">
        <v>618</v>
      </c>
      <c r="X170" s="46">
        <f t="shared" si="5"/>
        <v>45593.43017</v>
      </c>
      <c r="Y170" s="50" t="s">
        <v>482</v>
      </c>
      <c r="Z170" s="49">
        <f t="shared" si="6"/>
        <v>1</v>
      </c>
    </row>
    <row r="171" ht="22.5" customHeight="1">
      <c r="B171" s="41" t="s">
        <v>316</v>
      </c>
      <c r="C171" s="43">
        <f t="array" ref="C171">IF(B171="","",_xlfn.XLOOKUP(B171,'Form responses 1'!$B$2:$B$2604,'Form responses 1'!$A$2:$A$2604,""))</f>
        <v>45580.41903</v>
      </c>
      <c r="D171" s="44" t="str">
        <f t="shared" si="3"/>
        <v>K/9/151024/2_45580.419034919</v>
      </c>
      <c r="E171" s="44" t="str">
        <f t="array" ref="E171">IF(B171="","",_xlfn.XLOOKUP(B171,'Form responses 1'!$B$2:$B$2604,'Form responses 1'!$C$2:$C$2604,""))</f>
        <v>Ilanur/ Ailing</v>
      </c>
      <c r="F171" s="44" t="str">
        <f t="array" ref="F171">IF(B171="","",_xlfn.XLOOKUP(B171,'Form responses 1'!$B$2:$B$2604,'Form responses 1'!$D$2:$D$2604,""))</f>
        <v>08979122178</v>
      </c>
      <c r="G171" s="44" t="str">
        <f t="array" ref="G171">IF(B171="","",_xlfn.XLOOKUP(B171,'Form responses 1'!$B$2:$B$2604,'Form responses 1'!$E$2:$E$2604,""))</f>
        <v>BN Jual Beli</v>
      </c>
      <c r="H171" s="44" t="str">
        <f t="array" ref="H171">IF(B171="","",_xlfn.XLOOKUP(B171,'Form responses 1'!$B$2:$B$2604,'Form responses 1'!$F$2:$F$2604,""))</f>
        <v>M. 2400/ NOG;  M. 811/ Bakung; M. 131/NOG:</v>
      </c>
      <c r="I171" s="44" t="str">
        <f t="array" ref="I171">IF(B171="","",_xlfn.XLOOKUP(B171,'Form responses 1'!$B$2:$B$2604,'Form responses 1'!$I$2:$I$2604,""))</f>
        <v>Negeri Olok Gading</v>
      </c>
      <c r="J171" s="44" t="str">
        <f t="array" ref="J171">IF(B171="","",_xlfn.XLOOKUP(B171,'Form responses 1'!$B$2:$B$2604,'Form responses 1'!$G$2:$G$2604,""))</f>
        <v>Rapita</v>
      </c>
      <c r="K171" s="41" t="s">
        <v>1233</v>
      </c>
      <c r="L171" s="52">
        <f t="shared" si="7"/>
        <v>45587.41414</v>
      </c>
      <c r="M171" s="49"/>
      <c r="N171" s="49"/>
      <c r="O171" s="49"/>
      <c r="P171" s="49"/>
      <c r="Q171" s="49"/>
      <c r="R171" s="49"/>
      <c r="S171" s="49"/>
      <c r="T171" s="49"/>
      <c r="U171" s="49"/>
      <c r="V171" s="49"/>
      <c r="W171" s="41" t="s">
        <v>618</v>
      </c>
      <c r="X171" s="46">
        <f t="shared" si="5"/>
        <v>45587.41006</v>
      </c>
      <c r="Y171" s="50" t="s">
        <v>482</v>
      </c>
      <c r="Z171" s="49">
        <f t="shared" si="6"/>
        <v>0</v>
      </c>
    </row>
    <row r="172" ht="22.5" customHeight="1">
      <c r="B172" s="41" t="s">
        <v>500</v>
      </c>
      <c r="C172" s="43">
        <f t="array" ref="C172">IF(B172="","",_xlfn.XLOOKUP(B172,'Form responses 1'!$B$2:$B$2604,'Form responses 1'!$A$2:$A$2604,""))</f>
        <v>45580.6085</v>
      </c>
      <c r="D172" s="44" t="str">
        <f t="shared" si="3"/>
        <v>L/49/151024/1_45580.6085020602</v>
      </c>
      <c r="E172" s="44" t="str">
        <f t="array" ref="E172">IF(B172="","",_xlfn.XLOOKUP(B172,'Form responses 1'!$B$2:$B$2604,'Form responses 1'!$C$2:$C$2604,""))</f>
        <v>SOENANTO</v>
      </c>
      <c r="F172" s="44" t="str">
        <f t="array" ref="F172">IF(B172="","",_xlfn.XLOOKUP(B172,'Form responses 1'!$B$2:$B$2604,'Form responses 1'!$D$2:$D$2604,""))</f>
        <v>082179371160</v>
      </c>
      <c r="G172" s="44" t="str">
        <f t="array" ref="G172">IF(B172="","",_xlfn.XLOOKUP(B172,'Form responses 1'!$B$2:$B$2604,'Form responses 1'!$E$2:$E$2604,""))</f>
        <v>PERUBAHAN HAK</v>
      </c>
      <c r="H172" s="44" t="str">
        <f t="array" ref="H172">IF(B172="","",_xlfn.XLOOKUP(B172,'Form responses 1'!$B$2:$B$2604,'Form responses 1'!$F$2:$F$2604,""))</f>
        <v>B.238/BERINGIN RAYA;B.238/BERINGIN JAYA-DAHULU</v>
      </c>
      <c r="I172" s="44" t="str">
        <f t="array" ref="I172">IF(B172="","",_xlfn.XLOOKUP(B172,'Form responses 1'!$B$2:$B$2604,'Form responses 1'!$I$2:$I$2604,""))</f>
        <v>BERINGIN RAYA</v>
      </c>
      <c r="J172" s="44" t="str">
        <f t="array" ref="J172">IF(B172="","",_xlfn.XLOOKUP(B172,'Form responses 1'!$B$2:$B$2604,'Form responses 1'!$G$2:$G$2604,""))</f>
        <v>Nuraini</v>
      </c>
      <c r="K172" s="41" t="s">
        <v>1233</v>
      </c>
      <c r="L172" s="52">
        <f t="shared" si="7"/>
        <v>45587.41499</v>
      </c>
      <c r="M172" s="49"/>
      <c r="N172" s="49"/>
      <c r="O172" s="49"/>
      <c r="P172" s="49"/>
      <c r="Q172" s="49"/>
      <c r="R172" s="49"/>
      <c r="S172" s="49"/>
      <c r="T172" s="49"/>
      <c r="U172" s="49"/>
      <c r="V172" s="49"/>
      <c r="W172" s="41" t="s">
        <v>618</v>
      </c>
      <c r="X172" s="46">
        <f t="shared" si="5"/>
        <v>45587.41507</v>
      </c>
      <c r="Y172" s="50" t="s">
        <v>482</v>
      </c>
      <c r="Z172" s="49">
        <f t="shared" si="6"/>
        <v>0</v>
      </c>
    </row>
    <row r="173" ht="22.5" customHeight="1">
      <c r="B173" s="41" t="s">
        <v>472</v>
      </c>
      <c r="C173" s="43">
        <f t="array" ref="C173">IF(B173="","",_xlfn.XLOOKUP(B173,'Form responses 1'!$B$2:$B$2604,'Form responses 1'!$A$2:$A$2604,""))</f>
        <v>45580.59199</v>
      </c>
      <c r="D173" s="44" t="str">
        <f t="shared" si="3"/>
        <v>L/43/151024/1_45580.5919908218</v>
      </c>
      <c r="E173" s="44" t="str">
        <f t="array" ref="E173">IF(B173="","",_xlfn.XLOOKUP(B173,'Form responses 1'!$B$2:$B$2604,'Form responses 1'!$C$2:$C$2604,""))</f>
        <v>SEPTA RENI</v>
      </c>
      <c r="F173" s="44" t="str">
        <f t="array" ref="F173">IF(B173="","",_xlfn.XLOOKUP(B173,'Form responses 1'!$B$2:$B$2604,'Form responses 1'!$D$2:$D$2604,""))</f>
        <v>082375239888</v>
      </c>
      <c r="G173" s="44" t="str">
        <f t="array" ref="G173">IF(B173="","",_xlfn.XLOOKUP(B173,'Form responses 1'!$B$2:$B$2604,'Form responses 1'!$E$2:$E$2604,""))</f>
        <v>ROYA</v>
      </c>
      <c r="H173" s="44" t="str">
        <f t="array" ref="H173">IF(B173="","",_xlfn.XLOOKUP(B173,'Form responses 1'!$B$2:$B$2604,'Form responses 1'!$F$2:$F$2604,""))</f>
        <v>HM 4010/TANJUNG SENANG</v>
      </c>
      <c r="I173" s="44" t="str">
        <f t="array" ref="I173">IF(B173="","",_xlfn.XLOOKUP(B173,'Form responses 1'!$B$2:$B$2604,'Form responses 1'!$I$2:$I$2604,""))</f>
        <v>TANJUNG SENANG</v>
      </c>
      <c r="J173" s="44" t="str">
        <f t="array" ref="J173">IF(B173="","",_xlfn.XLOOKUP(B173,'Form responses 1'!$B$2:$B$2604,'Form responses 1'!$G$2:$G$2604,""))</f>
        <v>Deby</v>
      </c>
      <c r="K173" s="41" t="s">
        <v>1233</v>
      </c>
      <c r="L173" s="52">
        <f t="shared" si="7"/>
        <v>45587.41571</v>
      </c>
      <c r="M173" s="49"/>
      <c r="N173" s="49"/>
      <c r="O173" s="49"/>
      <c r="P173" s="49"/>
      <c r="Q173" s="49"/>
      <c r="R173" s="49"/>
      <c r="S173" s="49"/>
      <c r="T173" s="49"/>
      <c r="U173" s="49"/>
      <c r="V173" s="49"/>
      <c r="W173" s="41" t="s">
        <v>618</v>
      </c>
      <c r="X173" s="46">
        <f t="shared" si="5"/>
        <v>45587.41743</v>
      </c>
      <c r="Y173" s="50" t="s">
        <v>482</v>
      </c>
      <c r="Z173" s="49">
        <f t="shared" si="6"/>
        <v>0</v>
      </c>
    </row>
    <row r="174" ht="22.5" customHeight="1">
      <c r="B174" s="41" t="s">
        <v>342</v>
      </c>
      <c r="C174" s="43">
        <f t="array" ref="C174">IF(B174="","",_xlfn.XLOOKUP(B174,'Form responses 1'!$B$2:$B$2604,'Form responses 1'!$A$2:$A$2604,""))</f>
        <v>45580.43753</v>
      </c>
      <c r="D174" s="44" t="str">
        <f t="shared" si="3"/>
        <v>K/15/151024/1_45580.4375293981</v>
      </c>
      <c r="E174" s="44" t="str">
        <f t="array" ref="E174">IF(B174="","",_xlfn.XLOOKUP(B174,'Form responses 1'!$B$2:$B$2604,'Form responses 1'!$C$2:$C$2604,""))</f>
        <v>M ARIEF S/ KADEK SETIAWAN</v>
      </c>
      <c r="F174" s="44" t="str">
        <f t="array" ref="F174">IF(B174="","",_xlfn.XLOOKUP(B174,'Form responses 1'!$B$2:$B$2604,'Form responses 1'!$D$2:$D$2604,""))</f>
        <v>081369113355</v>
      </c>
      <c r="G174" s="44" t="str">
        <f t="array" ref="G174">IF(B174="","",_xlfn.XLOOKUP(B174,'Form responses 1'!$B$2:$B$2604,'Form responses 1'!$E$2:$E$2604,""))</f>
        <v>BN JUAL BELI</v>
      </c>
      <c r="H174" s="44" t="str">
        <f t="array" ref="H174">IF(B174="","",_xlfn.XLOOKUP(B174,'Form responses 1'!$B$2:$B$2604,'Form responses 1'!$F$2:$F$2604,""))</f>
        <v>M. 2424/ KEDAUNG</v>
      </c>
      <c r="I174" s="44" t="str">
        <f t="array" ref="I174">IF(B174="","",_xlfn.XLOOKUP(B174,'Form responses 1'!$B$2:$B$2604,'Form responses 1'!$I$2:$I$2604,""))</f>
        <v>KEDAUNG</v>
      </c>
      <c r="J174" s="44" t="str">
        <f t="array" ref="J174">IF(B174="","",_xlfn.XLOOKUP(B174,'Form responses 1'!$B$2:$B$2604,'Form responses 1'!$G$2:$G$2604,""))</f>
        <v>Hananda</v>
      </c>
      <c r="K174" s="41" t="s">
        <v>1233</v>
      </c>
      <c r="L174" s="52">
        <f t="shared" si="7"/>
        <v>45587.41792</v>
      </c>
      <c r="M174" s="49"/>
      <c r="N174" s="49"/>
      <c r="O174" s="49"/>
      <c r="P174" s="49"/>
      <c r="Q174" s="49"/>
      <c r="R174" s="49"/>
      <c r="S174" s="49"/>
      <c r="T174" s="49"/>
      <c r="U174" s="49"/>
      <c r="V174" s="49"/>
      <c r="W174" s="41" t="s">
        <v>618</v>
      </c>
      <c r="X174" s="46">
        <f t="shared" si="5"/>
        <v>45587.42377</v>
      </c>
      <c r="Y174" s="50" t="s">
        <v>482</v>
      </c>
      <c r="Z174" s="49">
        <f t="shared" si="6"/>
        <v>0</v>
      </c>
    </row>
    <row r="175" ht="22.5" customHeight="1">
      <c r="B175" s="41" t="s">
        <v>514</v>
      </c>
      <c r="C175" s="43">
        <f t="array" ref="C175">IF(B175="","",_xlfn.XLOOKUP(B175,'Form responses 1'!$B$2:$B$2604,'Form responses 1'!$A$2:$A$2604,""))</f>
        <v>45580.61853</v>
      </c>
      <c r="D175" s="44" t="str">
        <f t="shared" si="3"/>
        <v>K/52/151024/1_45580.6185305324</v>
      </c>
      <c r="E175" s="44" t="str">
        <f t="array" ref="E175">IF(B175="","",_xlfn.XLOOKUP(B175,'Form responses 1'!$B$2:$B$2604,'Form responses 1'!$C$2:$C$2604,""))</f>
        <v>ANDRY YULIAN/ KASIH PUWANINGSIH CS</v>
      </c>
      <c r="F175" s="44" t="str">
        <f t="array" ref="F175">IF(B175="","",_xlfn.XLOOKUP(B175,'Form responses 1'!$B$2:$B$2604,'Form responses 1'!$D$2:$D$2604,""))</f>
        <v>082186949749</v>
      </c>
      <c r="G175" s="44" t="str">
        <f t="array" ref="G175">IF(B175="","",_xlfn.XLOOKUP(B175,'Form responses 1'!$B$2:$B$2604,'Form responses 1'!$E$2:$E$2604,""))</f>
        <v>BN WARIS</v>
      </c>
      <c r="H175" s="44" t="str">
        <f t="array" ref="H175">IF(B175="","",_xlfn.XLOOKUP(B175,'Form responses 1'!$B$2:$B$2604,'Form responses 1'!$F$2:$F$2604,""))</f>
        <v>M. 579/ KUPANG KOTA</v>
      </c>
      <c r="I175" s="44" t="str">
        <f t="array" ref="I175">IF(B175="","",_xlfn.XLOOKUP(B175,'Form responses 1'!$B$2:$B$2604,'Form responses 1'!$I$2:$I$2604,""))</f>
        <v>KUPANG KOTA</v>
      </c>
      <c r="J175" s="44" t="str">
        <f t="array" ref="J175">IF(B175="","",_xlfn.XLOOKUP(B175,'Form responses 1'!$B$2:$B$2604,'Form responses 1'!$G$2:$G$2604,""))</f>
        <v>Hananda</v>
      </c>
      <c r="K175" s="41" t="s">
        <v>1233</v>
      </c>
      <c r="L175" s="52">
        <f t="shared" si="7"/>
        <v>45587.42666</v>
      </c>
      <c r="M175" s="49"/>
      <c r="N175" s="49"/>
      <c r="O175" s="49"/>
      <c r="P175" s="49"/>
      <c r="Q175" s="49"/>
      <c r="R175" s="49"/>
      <c r="S175" s="49"/>
      <c r="T175" s="49"/>
      <c r="U175" s="49"/>
      <c r="V175" s="49"/>
      <c r="W175" s="41" t="s">
        <v>618</v>
      </c>
      <c r="X175" s="46">
        <f t="shared" si="5"/>
        <v>45587.42957</v>
      </c>
      <c r="Y175" s="50" t="s">
        <v>482</v>
      </c>
      <c r="Z175" s="49">
        <f t="shared" si="6"/>
        <v>0</v>
      </c>
    </row>
    <row r="176" ht="22.5" customHeight="1">
      <c r="B176" s="41" t="s">
        <v>1131</v>
      </c>
      <c r="C176" s="43">
        <f t="array" ref="C176">IF(B176="","",_xlfn.XLOOKUP(B176,'Form responses 1'!$B$2:$B$2604,'Form responses 1'!$A$2:$A$2604,""))</f>
        <v>45583.61317</v>
      </c>
      <c r="D176" s="44" t="str">
        <f t="shared" si="3"/>
        <v>K/38/181024/1_45583.6131722569</v>
      </c>
      <c r="E176" s="44" t="str">
        <f t="array" ref="E176">IF(B176="","",_xlfn.XLOOKUP(B176,'Form responses 1'!$B$2:$B$2604,'Form responses 1'!$C$2:$C$2604,""))</f>
        <v>Akhmadi Dachlan/ Dian Dwi A</v>
      </c>
      <c r="F176" s="44" t="str">
        <f t="array" ref="F176">IF(B176="","",_xlfn.XLOOKUP(B176,'Form responses 1'!$B$2:$B$2604,'Form responses 1'!$D$2:$D$2604,""))</f>
        <v>+62 813-6751-6751</v>
      </c>
      <c r="G176" s="44" t="str">
        <f t="array" ref="G176">IF(B176="","",_xlfn.XLOOKUP(B176,'Form responses 1'!$B$2:$B$2604,'Form responses 1'!$E$2:$E$2604,""))</f>
        <v>BN Jual Beli</v>
      </c>
      <c r="H176" s="44" t="str">
        <f t="array" ref="H176">IF(B176="","",_xlfn.XLOOKUP(B176,'Form responses 1'!$B$2:$B$2604,'Form responses 1'!$F$2:$F$2604,""))</f>
        <v>M. 370/ Korpri Raya-sekarang; M. 9602/ Sukarame I-dahulu</v>
      </c>
      <c r="I176" s="44" t="str">
        <f t="array" ref="I176">IF(B176="","",_xlfn.XLOOKUP(B176,'Form responses 1'!$B$2:$B$2604,'Form responses 1'!$I$2:$I$2604,""))</f>
        <v>Korpri Raya</v>
      </c>
      <c r="J176" s="44" t="str">
        <f t="array" ref="J176">IF(B176="","",_xlfn.XLOOKUP(B176,'Form responses 1'!$B$2:$B$2604,'Form responses 1'!$G$2:$G$2604,""))</f>
        <v>Hananda</v>
      </c>
      <c r="K176" s="41" t="s">
        <v>1233</v>
      </c>
      <c r="L176" s="52">
        <f t="shared" si="7"/>
        <v>45587.45306</v>
      </c>
      <c r="M176" s="49"/>
      <c r="N176" s="49"/>
      <c r="O176" s="49"/>
      <c r="P176" s="49"/>
      <c r="Q176" s="49"/>
      <c r="R176" s="49"/>
      <c r="S176" s="49"/>
      <c r="T176" s="49"/>
      <c r="U176" s="49"/>
      <c r="V176" s="49"/>
      <c r="W176" s="41" t="s">
        <v>618</v>
      </c>
      <c r="X176" s="46">
        <f t="shared" si="5"/>
        <v>45587.45712</v>
      </c>
      <c r="Y176" s="50" t="s">
        <v>482</v>
      </c>
      <c r="Z176" s="49">
        <f t="shared" si="6"/>
        <v>0</v>
      </c>
    </row>
    <row r="177" ht="22.5" customHeight="1">
      <c r="B177" s="41" t="s">
        <v>556</v>
      </c>
      <c r="C177" s="43">
        <f t="array" ref="C177">IF(B177="","",_xlfn.XLOOKUP(B177,'Form responses 1'!$B$2:$B$2604,'Form responses 1'!$A$2:$A$2604,""))</f>
        <v>45581.38195</v>
      </c>
      <c r="D177" s="44" t="str">
        <f t="shared" si="3"/>
        <v>K/1/161024/1_45581.3819536806</v>
      </c>
      <c r="E177" s="44" t="str">
        <f t="array" ref="E177">IF(B177="","",_xlfn.XLOOKUP(B177,'Form responses 1'!$B$2:$B$2604,'Form responses 1'!$C$2:$C$2604,""))</f>
        <v>RUSMIATI/ADE ISKANDAR BUNARI</v>
      </c>
      <c r="F177" s="44" t="str">
        <f t="array" ref="F177">IF(B177="","",_xlfn.XLOOKUP(B177,'Form responses 1'!$B$2:$B$2604,'Form responses 1'!$D$2:$D$2604,""))</f>
        <v>085279213533</v>
      </c>
      <c r="G177" s="44" t="str">
        <f t="array" ref="G177">IF(B177="","",_xlfn.XLOOKUP(B177,'Form responses 1'!$B$2:$B$2604,'Form responses 1'!$E$2:$E$2604,""))</f>
        <v>PERALIHAN KEWARISAN</v>
      </c>
      <c r="H177" s="44" t="str">
        <f t="array" ref="H177">IF(B177="","",_xlfn.XLOOKUP(B177,'Form responses 1'!$B$2:$B$2604,'Form responses 1'!$F$2:$F$2604,""))</f>
        <v>NIBEL M.2600/SUKARAME</v>
      </c>
      <c r="I177" s="44" t="str">
        <f t="array" ref="I177">IF(B177="","",_xlfn.XLOOKUP(B177,'Form responses 1'!$B$2:$B$2604,'Form responses 1'!$I$2:$I$2604,""))</f>
        <v>SUKARAME</v>
      </c>
      <c r="J177" s="44" t="str">
        <f t="array" ref="J177">IF(B177="","",_xlfn.XLOOKUP(B177,'Form responses 1'!$B$2:$B$2604,'Form responses 1'!$G$2:$G$2604,""))</f>
        <v>Baynur</v>
      </c>
      <c r="K177" s="41" t="s">
        <v>2421</v>
      </c>
      <c r="L177" s="52">
        <f t="shared" si="7"/>
        <v>45587.45962</v>
      </c>
      <c r="M177" s="47" t="s">
        <v>5300</v>
      </c>
      <c r="N177" s="49"/>
      <c r="O177" s="49"/>
      <c r="P177" s="49"/>
      <c r="Q177" s="49"/>
      <c r="R177" s="49"/>
      <c r="S177" s="49"/>
      <c r="T177" s="49"/>
      <c r="U177" s="49"/>
      <c r="V177" s="49"/>
      <c r="W177" s="41" t="s">
        <v>618</v>
      </c>
      <c r="X177" s="46">
        <f t="shared" si="5"/>
        <v>45590.57756</v>
      </c>
      <c r="Y177" s="50" t="s">
        <v>482</v>
      </c>
      <c r="Z177" s="49">
        <f t="shared" si="6"/>
        <v>1</v>
      </c>
    </row>
    <row r="178" ht="22.5" customHeight="1">
      <c r="B178" s="41" t="s">
        <v>1174</v>
      </c>
      <c r="C178" s="43">
        <f t="array" ref="C178">IF(B178="","",_xlfn.XLOOKUP(B178,'Form responses 1'!$B$2:$B$2604,'Form responses 1'!$A$2:$A$2604,""))</f>
        <v>45583.62854</v>
      </c>
      <c r="D178" s="44" t="str">
        <f t="shared" si="3"/>
        <v>K/44/181024/2_45583.6285364815</v>
      </c>
      <c r="E178" s="44" t="str">
        <f t="array" ref="E178">IF(B178="","",_xlfn.XLOOKUP(B178,'Form responses 1'!$B$2:$B$2604,'Form responses 1'!$C$2:$C$2604,""))</f>
        <v>Endang Aprilia/ Fani Mutia S</v>
      </c>
      <c r="F178" s="44" t="str">
        <f t="array" ref="F178">IF(B178="","",_xlfn.XLOOKUP(B178,'Form responses 1'!$B$2:$B$2604,'Form responses 1'!$D$2:$D$2604,""))</f>
        <v>+62 822-8923-5722</v>
      </c>
      <c r="G178" s="44" t="str">
        <f t="array" ref="G178">IF(B178="","",_xlfn.XLOOKUP(B178,'Form responses 1'!$B$2:$B$2604,'Form responses 1'!$E$2:$E$2604,""))</f>
        <v>Perubahan Hak</v>
      </c>
      <c r="H178" s="44" t="str">
        <f t="array" ref="H178">IF(B178="","",_xlfn.XLOOKUP(B178,'Form responses 1'!$B$2:$B$2604,'Form responses 1'!$F$2:$F$2604,""))</f>
        <v>Nibel. B. 2430/ Kemiling Permai</v>
      </c>
      <c r="I178" s="44" t="str">
        <f t="array" ref="I178">IF(B178="","",_xlfn.XLOOKUP(B178,'Form responses 1'!$B$2:$B$2604,'Form responses 1'!$I$2:$I$2604,""))</f>
        <v>Kemiling Permai</v>
      </c>
      <c r="J178" s="44" t="str">
        <f t="array" ref="J178">IF(B178="","",_xlfn.XLOOKUP(B178,'Form responses 1'!$B$2:$B$2604,'Form responses 1'!$G$2:$G$2604,""))</f>
        <v>Rapita</v>
      </c>
      <c r="K178" s="41" t="s">
        <v>1233</v>
      </c>
      <c r="L178" s="52">
        <f t="shared" si="7"/>
        <v>45587.46222</v>
      </c>
      <c r="M178" s="47" t="s">
        <v>4608</v>
      </c>
      <c r="N178" s="49"/>
      <c r="O178" s="49"/>
      <c r="P178" s="49"/>
      <c r="Q178" s="49"/>
      <c r="R178" s="49"/>
      <c r="S178" s="49"/>
      <c r="T178" s="49"/>
      <c r="U178" s="49"/>
      <c r="V178" s="49"/>
      <c r="W178" s="41" t="s">
        <v>618</v>
      </c>
      <c r="X178" s="46">
        <f t="shared" si="5"/>
        <v>45609.63393</v>
      </c>
      <c r="Y178" s="50" t="s">
        <v>482</v>
      </c>
      <c r="Z178" s="49">
        <f t="shared" si="6"/>
        <v>1</v>
      </c>
    </row>
    <row r="179" ht="22.5" customHeight="1">
      <c r="B179" s="41" t="s">
        <v>1002</v>
      </c>
      <c r="C179" s="43">
        <f t="array" ref="C179">IF(B179="","",_xlfn.XLOOKUP(B179,'Form responses 1'!$B$2:$B$2604,'Form responses 1'!$A$2:$A$2604,""))</f>
        <v>45583.43899</v>
      </c>
      <c r="D179" s="44" t="str">
        <f t="shared" si="3"/>
        <v>K/7/181024/2_45583.4389925579</v>
      </c>
      <c r="E179" s="44" t="str">
        <f t="array" ref="E179">IF(B179="","",_xlfn.XLOOKUP(B179,'Form responses 1'!$B$2:$B$2604,'Form responses 1'!$C$2:$C$2604,""))</f>
        <v>Afrizal/ Andrew Rusli</v>
      </c>
      <c r="F179" s="44" t="str">
        <f t="array" ref="F179">IF(B179="","",_xlfn.XLOOKUP(B179,'Form responses 1'!$B$2:$B$2604,'Form responses 1'!$D$2:$D$2604,""))</f>
        <v>+62 813-6751-6751</v>
      </c>
      <c r="G179" s="44" t="str">
        <f t="array" ref="G179">IF(B179="","",_xlfn.XLOOKUP(B179,'Form responses 1'!$B$2:$B$2604,'Form responses 1'!$E$2:$E$2604,""))</f>
        <v>Roya</v>
      </c>
      <c r="H179" s="44" t="str">
        <f t="array" ref="H179">IF(B179="","",_xlfn.XLOOKUP(B179,'Form responses 1'!$B$2:$B$2604,'Form responses 1'!$F$2:$F$2604,""))</f>
        <v>B. 696/ Peswahan dan SHT 3014/2006</v>
      </c>
      <c r="I179" s="44" t="str">
        <f t="array" ref="I179">IF(B179="","",_xlfn.XLOOKUP(B179,'Form responses 1'!$B$2:$B$2604,'Form responses 1'!$I$2:$I$2604,""))</f>
        <v>Peswahan</v>
      </c>
      <c r="J179" s="44" t="str">
        <f t="array" ref="J179">IF(B179="","",_xlfn.XLOOKUP(B179,'Form responses 1'!$B$2:$B$2604,'Form responses 1'!$G$2:$G$2604,""))</f>
        <v>Rapita</v>
      </c>
      <c r="K179" s="41" t="s">
        <v>1233</v>
      </c>
      <c r="L179" s="52">
        <f t="shared" si="7"/>
        <v>45587.46305</v>
      </c>
      <c r="M179" s="49"/>
      <c r="N179" s="49"/>
      <c r="O179" s="49"/>
      <c r="P179" s="49"/>
      <c r="Q179" s="49"/>
      <c r="R179" s="49"/>
      <c r="S179" s="49"/>
      <c r="T179" s="49"/>
      <c r="U179" s="49"/>
      <c r="V179" s="49"/>
      <c r="W179" s="41" t="s">
        <v>618</v>
      </c>
      <c r="X179" s="46">
        <f t="shared" si="5"/>
        <v>45587.47401</v>
      </c>
      <c r="Y179" s="50" t="s">
        <v>482</v>
      </c>
      <c r="Z179" s="49">
        <f t="shared" si="6"/>
        <v>0</v>
      </c>
    </row>
    <row r="180" ht="22.5" customHeight="1">
      <c r="B180" s="41" t="s">
        <v>1142</v>
      </c>
      <c r="C180" s="43">
        <f t="array" ref="C180">IF(B180="","",_xlfn.XLOOKUP(B180,'Form responses 1'!$B$2:$B$2604,'Form responses 1'!$A$2:$A$2604,""))</f>
        <v>45583.62141</v>
      </c>
      <c r="D180" s="44" t="str">
        <f t="shared" si="3"/>
        <v>K/41/181024/1_45583.6214146528</v>
      </c>
      <c r="E180" s="44" t="str">
        <f t="array" ref="E180">IF(B180="","",_xlfn.XLOOKUP(B180,'Form responses 1'!$B$2:$B$2604,'Form responses 1'!$C$2:$C$2604,""))</f>
        <v>Reflan Rasyid/ Sefti Maria</v>
      </c>
      <c r="F180" s="44" t="str">
        <f t="array" ref="F180">IF(B180="","",_xlfn.XLOOKUP(B180,'Form responses 1'!$B$2:$B$2604,'Form responses 1'!$D$2:$D$2604,""))</f>
        <v>082178795856</v>
      </c>
      <c r="G180" s="44" t="str">
        <f t="array" ref="G180">IF(B180="","",_xlfn.XLOOKUP(B180,'Form responses 1'!$B$2:$B$2604,'Form responses 1'!$E$2:$E$2604,""))</f>
        <v>BN Jual Beli</v>
      </c>
      <c r="H180" s="44" t="str">
        <f t="array" ref="H180">IF(B180="","",_xlfn.XLOOKUP(B180,'Form responses 1'!$B$2:$B$2604,'Form responses 1'!$F$2:$F$2604,""))</f>
        <v>M. 1504/ Batu Putuk</v>
      </c>
      <c r="I180" s="44" t="str">
        <f t="array" ref="I180">IF(B180="","",_xlfn.XLOOKUP(B180,'Form responses 1'!$B$2:$B$2604,'Form responses 1'!$I$2:$I$2604,""))</f>
        <v>Batu Putuk</v>
      </c>
      <c r="J180" s="44" t="str">
        <f t="array" ref="J180">IF(B180="","",_xlfn.XLOOKUP(B180,'Form responses 1'!$B$2:$B$2604,'Form responses 1'!$G$2:$G$2604,""))</f>
        <v>Hananda</v>
      </c>
      <c r="K180" s="41" t="s">
        <v>1233</v>
      </c>
      <c r="L180" s="52">
        <f t="shared" si="7"/>
        <v>45587.4748</v>
      </c>
      <c r="M180" s="49"/>
      <c r="N180" s="49"/>
      <c r="O180" s="49"/>
      <c r="P180" s="49"/>
      <c r="Q180" s="49"/>
      <c r="R180" s="49"/>
      <c r="S180" s="49"/>
      <c r="T180" s="49"/>
      <c r="U180" s="49"/>
      <c r="V180" s="49"/>
      <c r="W180" s="41" t="s">
        <v>618</v>
      </c>
      <c r="X180" s="46">
        <f t="shared" si="5"/>
        <v>45587.47932</v>
      </c>
      <c r="Y180" s="50" t="s">
        <v>482</v>
      </c>
      <c r="Z180" s="49">
        <f t="shared" si="6"/>
        <v>0</v>
      </c>
    </row>
    <row r="181" ht="22.5" customHeight="1">
      <c r="B181" s="41" t="s">
        <v>27</v>
      </c>
      <c r="C181" s="43">
        <f t="array" ref="C181">IF(B181="","",_xlfn.XLOOKUP(B181,'Form responses 1'!$B$2:$B$2604,'Form responses 1'!$A$2:$A$2604,""))</f>
        <v>45579.3994</v>
      </c>
      <c r="D181" s="44" t="str">
        <f t="shared" si="3"/>
        <v>K/3/141024/1_45579.3993955903</v>
      </c>
      <c r="E181" s="44" t="str">
        <f t="array" ref="E181">IF(B181="","",_xlfn.XLOOKUP(B181,'Form responses 1'!$B$2:$B$2604,'Form responses 1'!$C$2:$C$2604,""))</f>
        <v>GURUH SAMODRA AJI, ST.MT/WAHYUDIN</v>
      </c>
      <c r="F181" s="44" t="str">
        <f t="array" ref="F181">IF(B181="","",_xlfn.XLOOKUP(B181,'Form responses 1'!$B$2:$B$2604,'Form responses 1'!$D$2:$D$2604,""))</f>
        <v>082371259997</v>
      </c>
      <c r="G181" s="44" t="str">
        <f t="array" ref="G181">IF(B181="","",_xlfn.XLOOKUP(B181,'Form responses 1'!$B$2:$B$2604,'Form responses 1'!$E$2:$E$2604,""))</f>
        <v>PTPGT</v>
      </c>
      <c r="H181" s="44" t="str">
        <f t="array" ref="H181">IF(B181="","",_xlfn.XLOOKUP(B181,'Form responses 1'!$B$2:$B$2604,'Form responses 1'!$F$2:$F$2604,""))</f>
        <v>-</v>
      </c>
      <c r="I181" s="44" t="str">
        <f t="array" ref="I181">IF(B181="","",_xlfn.XLOOKUP(B181,'Form responses 1'!$B$2:$B$2604,'Form responses 1'!$I$2:$I$2604,""))</f>
        <v>WAY LAGA </v>
      </c>
      <c r="J181" s="44" t="str">
        <f t="array" ref="J181">IF(B181="","",_xlfn.XLOOKUP(B181,'Form responses 1'!$B$2:$B$2604,'Form responses 1'!$G$2:$G$2604,""))</f>
        <v>Baynur</v>
      </c>
      <c r="K181" s="41" t="s">
        <v>1233</v>
      </c>
      <c r="L181" s="52">
        <f t="shared" si="7"/>
        <v>45587.48001</v>
      </c>
      <c r="M181" s="49"/>
      <c r="N181" s="49"/>
      <c r="O181" s="49"/>
      <c r="P181" s="49"/>
      <c r="Q181" s="49"/>
      <c r="R181" s="49"/>
      <c r="S181" s="49"/>
      <c r="T181" s="49"/>
      <c r="U181" s="49"/>
      <c r="V181" s="49"/>
      <c r="W181" s="41" t="s">
        <v>618</v>
      </c>
      <c r="X181" s="46">
        <f t="shared" si="5"/>
        <v>45587.49049</v>
      </c>
      <c r="Y181" s="50" t="s">
        <v>482</v>
      </c>
      <c r="Z181" s="49">
        <f t="shared" si="6"/>
        <v>0</v>
      </c>
    </row>
    <row r="182" ht="22.5" customHeight="1">
      <c r="B182" s="41" t="s">
        <v>1134</v>
      </c>
      <c r="C182" s="43">
        <f t="array" ref="C182">IF(B182="","",_xlfn.XLOOKUP(B182,'Form responses 1'!$B$2:$B$2604,'Form responses 1'!$A$2:$A$2604,""))</f>
        <v>45583.61477</v>
      </c>
      <c r="D182" s="44" t="str">
        <f t="shared" si="3"/>
        <v>K/40/181024/1_45583.6147681482</v>
      </c>
      <c r="E182" s="44" t="str">
        <f t="array" ref="E182">IF(B182="","",_xlfn.XLOOKUP(B182,'Form responses 1'!$B$2:$B$2604,'Form responses 1'!$C$2:$C$2604,""))</f>
        <v>Evi Udin/ Endah M</v>
      </c>
      <c r="F182" s="44" t="str">
        <f t="array" ref="F182">IF(B182="","",_xlfn.XLOOKUP(B182,'Form responses 1'!$B$2:$B$2604,'Form responses 1'!$D$2:$D$2604,""))</f>
        <v>082185999559</v>
      </c>
      <c r="G182" s="44" t="str">
        <f t="array" ref="G182">IF(B182="","",_xlfn.XLOOKUP(B182,'Form responses 1'!$B$2:$B$2604,'Form responses 1'!$E$2:$E$2604,""))</f>
        <v>BN Jual beli</v>
      </c>
      <c r="H182" s="44" t="str">
        <f t="array" ref="H182">IF(B182="","",_xlfn.XLOOKUP(B182,'Form responses 1'!$B$2:$B$2604,'Form responses 1'!$F$2:$F$2604,""))</f>
        <v>Nibel. M. 816/ Durian Payung</v>
      </c>
      <c r="I182" s="44" t="str">
        <f t="array" ref="I182">IF(B182="","",_xlfn.XLOOKUP(B182,'Form responses 1'!$B$2:$B$2604,'Form responses 1'!$I$2:$I$2604,""))</f>
        <v>Durian Payung</v>
      </c>
      <c r="J182" s="44" t="str">
        <f t="array" ref="J182">IF(B182="","",_xlfn.XLOOKUP(B182,'Form responses 1'!$B$2:$B$2604,'Form responses 1'!$G$2:$G$2604,""))</f>
        <v>Rapita</v>
      </c>
      <c r="K182" s="41" t="s">
        <v>1233</v>
      </c>
      <c r="L182" s="52">
        <f t="shared" si="7"/>
        <v>45587.49185</v>
      </c>
      <c r="M182" s="47" t="s">
        <v>5301</v>
      </c>
      <c r="N182" s="47" t="s">
        <v>5302</v>
      </c>
      <c r="O182" s="47" t="s">
        <v>5303</v>
      </c>
      <c r="P182" s="49"/>
      <c r="Q182" s="49"/>
      <c r="R182" s="49"/>
      <c r="S182" s="49"/>
      <c r="T182" s="49"/>
      <c r="U182" s="49"/>
      <c r="V182" s="49"/>
      <c r="W182" s="41" t="s">
        <v>618</v>
      </c>
      <c r="X182" s="46">
        <f t="shared" si="5"/>
        <v>45590.43443</v>
      </c>
      <c r="Y182" s="50" t="s">
        <v>482</v>
      </c>
      <c r="Z182" s="49">
        <f t="shared" si="6"/>
        <v>3</v>
      </c>
    </row>
    <row r="183" ht="22.5" customHeight="1">
      <c r="B183" s="41" t="s">
        <v>1213</v>
      </c>
      <c r="C183" s="43">
        <f t="array" ref="C183">IF(B183="","",_xlfn.XLOOKUP(B183,'Form responses 1'!$B$2:$B$2604,'Form responses 1'!$A$2:$A$2604,""))</f>
        <v>45586.42434</v>
      </c>
      <c r="D183" s="44" t="str">
        <f t="shared" si="3"/>
        <v>L/7/211024/1_45586.4243423843</v>
      </c>
      <c r="E183" s="44" t="str">
        <f t="array" ref="E183">IF(B183="","",_xlfn.XLOOKUP(B183,'Form responses 1'!$B$2:$B$2604,'Form responses 1'!$C$2:$C$2604,""))</f>
        <v>ALDINO AHMAD</v>
      </c>
      <c r="F183" s="44" t="str">
        <f t="array" ref="F183">IF(B183="","",_xlfn.XLOOKUP(B183,'Form responses 1'!$B$2:$B$2604,'Form responses 1'!$D$2:$D$2604,""))</f>
        <v>085279172005</v>
      </c>
      <c r="G183" s="44" t="str">
        <f t="array" ref="G183">IF(B183="","",_xlfn.XLOOKUP(B183,'Form responses 1'!$B$2:$B$2604,'Form responses 1'!$E$2:$E$2604,""))</f>
        <v>BALIK NAMA LELANG</v>
      </c>
      <c r="H183" s="44" t="str">
        <f t="array" ref="H183">IF(B183="","",_xlfn.XLOOKUP(B183,'Form responses 1'!$B$2:$B$2604,'Form responses 1'!$F$2:$F$2604,""))</f>
        <v>NIB 08010000029980/WAY GUBAK</v>
      </c>
      <c r="I183" s="44" t="str">
        <f t="array" ref="I183">IF(B183="","",_xlfn.XLOOKUP(B183,'Form responses 1'!$B$2:$B$2604,'Form responses 1'!$I$2:$I$2604,""))</f>
        <v>WAY GUBAK</v>
      </c>
      <c r="J183" s="44" t="str">
        <f t="array" ref="J183">IF(B183="","",_xlfn.XLOOKUP(B183,'Form responses 1'!$B$2:$B$2604,'Form responses 1'!$G$2:$G$2604,""))</f>
        <v>Deby</v>
      </c>
      <c r="K183" s="41" t="s">
        <v>2875</v>
      </c>
      <c r="L183" s="52">
        <f t="shared" si="7"/>
        <v>45587.69678</v>
      </c>
      <c r="M183" s="47" t="s">
        <v>5304</v>
      </c>
      <c r="N183" s="47" t="s">
        <v>5305</v>
      </c>
      <c r="O183" s="49"/>
      <c r="P183" s="49"/>
      <c r="Q183" s="49"/>
      <c r="R183" s="49"/>
      <c r="S183" s="49"/>
      <c r="T183" s="49"/>
      <c r="U183" s="49"/>
      <c r="V183" s="49"/>
      <c r="W183" s="41" t="s">
        <v>618</v>
      </c>
      <c r="X183" s="46">
        <f t="shared" si="5"/>
        <v>45596.56404</v>
      </c>
      <c r="Y183" s="50" t="s">
        <v>482</v>
      </c>
      <c r="Z183" s="49">
        <f t="shared" si="6"/>
        <v>2</v>
      </c>
    </row>
    <row r="184" ht="22.5" customHeight="1">
      <c r="B184" s="41" t="s">
        <v>1112</v>
      </c>
      <c r="C184" s="43">
        <f t="array" ref="C184">IF(B184="","",_xlfn.XLOOKUP(B184,'Form responses 1'!$B$2:$B$2604,'Form responses 1'!$A$2:$A$2604,""))</f>
        <v>45583.60546</v>
      </c>
      <c r="D184" s="44" t="str">
        <f t="shared" si="3"/>
        <v>K/34/181024/2_45583.6054600116</v>
      </c>
      <c r="E184" s="44" t="str">
        <f t="array" ref="E184">IF(B184="","",_xlfn.XLOOKUP(B184,'Form responses 1'!$B$2:$B$2604,'Form responses 1'!$C$2:$C$2604,""))</f>
        <v>SUHESTI/ANNA PURNAMASARI</v>
      </c>
      <c r="F184" s="44" t="str">
        <f t="array" ref="F184">IF(B184="","",_xlfn.XLOOKUP(B184,'Form responses 1'!$B$2:$B$2604,'Form responses 1'!$D$2:$D$2604,""))</f>
        <v>08117211611</v>
      </c>
      <c r="G184" s="44" t="str">
        <f t="array" ref="G184">IF(B184="","",_xlfn.XLOOKUP(B184,'Form responses 1'!$B$2:$B$2604,'Form responses 1'!$E$2:$E$2604,""))</f>
        <v>PERALIHAN JUAL BELI</v>
      </c>
      <c r="H184" s="44" t="str">
        <f t="array" ref="H184">IF(B184="","",_xlfn.XLOOKUP(B184,'Form responses 1'!$B$2:$B$2604,'Form responses 1'!$F$2:$F$2604,""))</f>
        <v>M.1552/PESAWAHAN</v>
      </c>
      <c r="I184" s="44" t="str">
        <f t="array" ref="I184">IF(B184="","",_xlfn.XLOOKUP(B184,'Form responses 1'!$B$2:$B$2604,'Form responses 1'!$I$2:$I$2604,""))</f>
        <v>PESAWAHAN</v>
      </c>
      <c r="J184" s="44" t="str">
        <f t="array" ref="J184">IF(B184="","",_xlfn.XLOOKUP(B184,'Form responses 1'!$B$2:$B$2604,'Form responses 1'!$G$2:$G$2604,""))</f>
        <v>Baynur</v>
      </c>
      <c r="K184" s="41" t="s">
        <v>2875</v>
      </c>
      <c r="L184" s="52">
        <f t="shared" si="7"/>
        <v>45587.69678</v>
      </c>
      <c r="M184" s="49"/>
      <c r="N184" s="49"/>
      <c r="O184" s="49"/>
      <c r="P184" s="49"/>
      <c r="Q184" s="49"/>
      <c r="R184" s="49"/>
      <c r="S184" s="49"/>
      <c r="T184" s="49"/>
      <c r="U184" s="49"/>
      <c r="V184" s="49"/>
      <c r="W184" s="41" t="s">
        <v>618</v>
      </c>
      <c r="X184" s="46">
        <f t="shared" si="5"/>
        <v>45589.62796</v>
      </c>
      <c r="Y184" s="50" t="s">
        <v>482</v>
      </c>
      <c r="Z184" s="49">
        <f t="shared" si="6"/>
        <v>0</v>
      </c>
    </row>
    <row r="185" ht="22.5" customHeight="1">
      <c r="B185" s="41" t="s">
        <v>1227</v>
      </c>
      <c r="C185" s="43">
        <f t="array" ref="C185">IF(B185="","",_xlfn.XLOOKUP(B185,'Form responses 1'!$B$2:$B$2604,'Form responses 1'!$A$2:$A$2604,""))</f>
        <v>45586.43606</v>
      </c>
      <c r="D185" s="44" t="str">
        <f t="shared" si="3"/>
        <v>K/10/211024/1_45586.4360593403</v>
      </c>
      <c r="E185" s="44" t="str">
        <f t="array" ref="E185">IF(B185="","",_xlfn.XLOOKUP(B185,'Form responses 1'!$B$2:$B$2604,'Form responses 1'!$C$2:$C$2604,""))</f>
        <v>Panary S/ Lili Meilani</v>
      </c>
      <c r="F185" s="44" t="str">
        <f t="array" ref="F185">IF(B185="","",_xlfn.XLOOKUP(B185,'Form responses 1'!$B$2:$B$2604,'Form responses 1'!$D$2:$D$2604,""))</f>
        <v>+62 889-2977-399</v>
      </c>
      <c r="G185" s="44" t="str">
        <f t="array" ref="G185">IF(B185="","",_xlfn.XLOOKUP(B185,'Form responses 1'!$B$2:$B$2604,'Form responses 1'!$E$2:$E$2604,""))</f>
        <v>BN Jual Beli</v>
      </c>
      <c r="H185" s="44" t="str">
        <f t="array" ref="H185">IF(B185="","",_xlfn.XLOOKUP(B185,'Form responses 1'!$B$2:$B$2604,'Form responses 1'!$F$2:$F$2604,""))</f>
        <v>B. 606/ Sumur Putri</v>
      </c>
      <c r="I185" s="44" t="str">
        <f t="array" ref="I185">IF(B185="","",_xlfn.XLOOKUP(B185,'Form responses 1'!$B$2:$B$2604,'Form responses 1'!$I$2:$I$2604,""))</f>
        <v>Sumur Putri</v>
      </c>
      <c r="J185" s="44" t="str">
        <f t="array" ref="J185">IF(B185="","",_xlfn.XLOOKUP(B185,'Form responses 1'!$B$2:$B$2604,'Form responses 1'!$G$2:$G$2604,""))</f>
        <v>Rapita</v>
      </c>
      <c r="K185" s="41" t="s">
        <v>2875</v>
      </c>
      <c r="L185" s="52">
        <f t="shared" si="7"/>
        <v>45587.69678</v>
      </c>
      <c r="M185" s="47" t="s">
        <v>5306</v>
      </c>
      <c r="N185" s="47" t="s">
        <v>5307</v>
      </c>
      <c r="O185" s="47" t="s">
        <v>5308</v>
      </c>
      <c r="P185" s="49"/>
      <c r="Q185" s="49"/>
      <c r="R185" s="49"/>
      <c r="S185" s="49"/>
      <c r="T185" s="49"/>
      <c r="U185" s="49"/>
      <c r="V185" s="49"/>
      <c r="W185" s="41" t="s">
        <v>618</v>
      </c>
      <c r="X185" s="46">
        <f t="shared" si="5"/>
        <v>45602.68036</v>
      </c>
      <c r="Y185" s="50" t="s">
        <v>482</v>
      </c>
      <c r="Z185" s="49">
        <f t="shared" si="6"/>
        <v>3</v>
      </c>
    </row>
    <row r="186" ht="22.5" customHeight="1">
      <c r="B186" s="41" t="s">
        <v>1266</v>
      </c>
      <c r="C186" s="43">
        <f t="array" ref="C186">IF(B186="","",_xlfn.XLOOKUP(B186,'Form responses 1'!$B$2:$B$2604,'Form responses 1'!$A$2:$A$2604,""))</f>
        <v>45586.47963</v>
      </c>
      <c r="D186" s="44" t="str">
        <f t="shared" si="3"/>
        <v>K/20/211024/3_45586.4796285648</v>
      </c>
      <c r="E186" s="44" t="str">
        <f t="array" ref="E186">IF(B186="","",_xlfn.XLOOKUP(B186,'Form responses 1'!$B$2:$B$2604,'Form responses 1'!$C$2:$C$2604,""))</f>
        <v>eka sari taherah/ firda ningsih</v>
      </c>
      <c r="F186" s="44" t="str">
        <f t="array" ref="F186">IF(B186="","",_xlfn.XLOOKUP(B186,'Form responses 1'!$B$2:$B$2604,'Form responses 1'!$D$2:$D$2604,""))</f>
        <v>0895363114046</v>
      </c>
      <c r="G186" s="44" t="str">
        <f t="array" ref="G186">IF(B186="","",_xlfn.XLOOKUP(B186,'Form responses 1'!$B$2:$B$2604,'Form responses 1'!$E$2:$E$2604,""))</f>
        <v>BN Jual Beli</v>
      </c>
      <c r="H186" s="44" t="str">
        <f t="array" ref="H186">IF(B186="","",_xlfn.XLOOKUP(B186,'Form responses 1'!$B$2:$B$2604,'Form responses 1'!$F$2:$F$2604,""))</f>
        <v>M. 2226/ kedaung</v>
      </c>
      <c r="I186" s="44" t="str">
        <f t="array" ref="I186">IF(B186="","",_xlfn.XLOOKUP(B186,'Form responses 1'!$B$2:$B$2604,'Form responses 1'!$I$2:$I$2604,""))</f>
        <v>Kedaung</v>
      </c>
      <c r="J186" s="44" t="str">
        <f t="array" ref="J186">IF(B186="","",_xlfn.XLOOKUP(B186,'Form responses 1'!$B$2:$B$2604,'Form responses 1'!$G$2:$G$2604,""))</f>
        <v>Hananda</v>
      </c>
      <c r="K186" s="41" t="s">
        <v>2875</v>
      </c>
      <c r="L186" s="52">
        <f t="shared" si="7"/>
        <v>45587.69678</v>
      </c>
      <c r="M186" s="47" t="s">
        <v>5309</v>
      </c>
      <c r="N186" s="49"/>
      <c r="O186" s="49"/>
      <c r="P186" s="49"/>
      <c r="Q186" s="49"/>
      <c r="R186" s="49"/>
      <c r="S186" s="49"/>
      <c r="T186" s="49"/>
      <c r="U186" s="49"/>
      <c r="V186" s="49"/>
      <c r="W186" s="41" t="s">
        <v>470</v>
      </c>
      <c r="X186" s="46">
        <f t="shared" si="5"/>
        <v>45590.48248</v>
      </c>
      <c r="Y186" s="50" t="s">
        <v>482</v>
      </c>
      <c r="Z186" s="49">
        <f t="shared" si="6"/>
        <v>1</v>
      </c>
    </row>
    <row r="187" ht="22.5" customHeight="1">
      <c r="B187" s="41" t="s">
        <v>1326</v>
      </c>
      <c r="C187" s="43">
        <f t="array" ref="C187">IF(B187="","",_xlfn.XLOOKUP(B187,'Form responses 1'!$B$2:$B$2604,'Form responses 1'!$A$2:$A$2604,""))</f>
        <v>45586.59004</v>
      </c>
      <c r="D187" s="44" t="str">
        <f t="shared" si="3"/>
        <v>K/35/211024/2_45586.5900365972</v>
      </c>
      <c r="E187" s="44" t="str">
        <f t="array" ref="E187">IF(B187="","",_xlfn.XLOOKUP(B187,'Form responses 1'!$B$2:$B$2604,'Form responses 1'!$C$2:$C$2604,""))</f>
        <v>AGUS SUPRIYANTO</v>
      </c>
      <c r="F187" s="44" t="str">
        <f t="array" ref="F187">IF(B187="","",_xlfn.XLOOKUP(B187,'Form responses 1'!$B$2:$B$2604,'Form responses 1'!$D$2:$D$2604,""))</f>
        <v>082128965800</v>
      </c>
      <c r="G187" s="44" t="str">
        <f t="array" ref="G187">IF(B187="","",_xlfn.XLOOKUP(B187,'Form responses 1'!$B$2:$B$2604,'Form responses 1'!$E$2:$E$2604,""))</f>
        <v>SKPT LELANG</v>
      </c>
      <c r="H187" s="44" t="str">
        <f t="array" ref="H187">IF(B187="","",_xlfn.XLOOKUP(B187,'Form responses 1'!$B$2:$B$2604,'Form responses 1'!$F$2:$F$2604,""))</f>
        <v>M.181/ Bumi Kedamaian</v>
      </c>
      <c r="I187" s="44" t="str">
        <f t="array" ref="I187">IF(B187="","",_xlfn.XLOOKUP(B187,'Form responses 1'!$B$2:$B$2604,'Form responses 1'!$I$2:$I$2604,""))</f>
        <v>Bumi Kedamaian</v>
      </c>
      <c r="J187" s="44" t="str">
        <f t="array" ref="J187">IF(B187="","",_xlfn.XLOOKUP(B187,'Form responses 1'!$B$2:$B$2604,'Form responses 1'!$G$2:$G$2604,""))</f>
        <v>Hananda</v>
      </c>
      <c r="K187" s="41" t="s">
        <v>2875</v>
      </c>
      <c r="L187" s="52">
        <f t="shared" si="7"/>
        <v>45587.69678</v>
      </c>
      <c r="M187" s="47" t="s">
        <v>5310</v>
      </c>
      <c r="N187" s="47" t="s">
        <v>5311</v>
      </c>
      <c r="O187" s="49"/>
      <c r="P187" s="49"/>
      <c r="Q187" s="49"/>
      <c r="R187" s="49"/>
      <c r="S187" s="49"/>
      <c r="T187" s="49"/>
      <c r="U187" s="49"/>
      <c r="V187" s="49"/>
      <c r="W187" s="41" t="s">
        <v>618</v>
      </c>
      <c r="X187" s="46">
        <f t="shared" si="5"/>
        <v>45602.67917</v>
      </c>
      <c r="Y187" s="50" t="s">
        <v>482</v>
      </c>
      <c r="Z187" s="49">
        <f t="shared" si="6"/>
        <v>2</v>
      </c>
    </row>
    <row r="188" ht="22.5" customHeight="1">
      <c r="B188" s="41" t="s">
        <v>1394</v>
      </c>
      <c r="C188" s="43">
        <f t="array" ref="C188">IF(B188="","",_xlfn.XLOOKUP(B188,'Form responses 1'!$B$2:$B$2604,'Form responses 1'!$A$2:$A$2604,""))</f>
        <v>45586.65352</v>
      </c>
      <c r="D188" s="44" t="str">
        <f t="shared" si="3"/>
        <v>K/54/211024/1_45586.6535197801</v>
      </c>
      <c r="E188" s="44" t="str">
        <f t="array" ref="E188">IF(B188="","",_xlfn.XLOOKUP(B188,'Form responses 1'!$B$2:$B$2604,'Form responses 1'!$C$2:$C$2604,""))</f>
        <v>Rendy Renaldy/ Bani Fitriansyah</v>
      </c>
      <c r="F188" s="44" t="str">
        <f t="array" ref="F188">IF(B188="","",_xlfn.XLOOKUP(B188,'Form responses 1'!$B$2:$B$2604,'Form responses 1'!$D$2:$D$2604,""))</f>
        <v>+62 895-0895-6656</v>
      </c>
      <c r="G188" s="44" t="str">
        <f t="array" ref="G188">IF(B188="","",_xlfn.XLOOKUP(B188,'Form responses 1'!$B$2:$B$2604,'Form responses 1'!$E$2:$E$2604,""))</f>
        <v>Roya</v>
      </c>
      <c r="H188" s="44" t="str">
        <f t="array" ref="H188">IF(B188="","",_xlfn.XLOOKUP(B188,'Form responses 1'!$B$2:$B$2604,'Form responses 1'!$F$2:$F$2604,""))</f>
        <v>B. 578/ Negeri Olok Gading</v>
      </c>
      <c r="I188" s="44" t="str">
        <f t="array" ref="I188">IF(B188="","",_xlfn.XLOOKUP(B188,'Form responses 1'!$B$2:$B$2604,'Form responses 1'!$I$2:$I$2604,""))</f>
        <v>Negeri Olok Gading</v>
      </c>
      <c r="J188" s="44" t="str">
        <f t="array" ref="J188">IF(B188="","",_xlfn.XLOOKUP(B188,'Form responses 1'!$B$2:$B$2604,'Form responses 1'!$G$2:$G$2604,""))</f>
        <v>Hananda</v>
      </c>
      <c r="K188" s="41" t="s">
        <v>2875</v>
      </c>
      <c r="L188" s="52">
        <f t="shared" si="7"/>
        <v>45587.69678</v>
      </c>
      <c r="M188" s="47" t="s">
        <v>5312</v>
      </c>
      <c r="N188" s="49"/>
      <c r="O188" s="49"/>
      <c r="P188" s="49"/>
      <c r="Q188" s="49"/>
      <c r="R188" s="49"/>
      <c r="S188" s="49"/>
      <c r="T188" s="49"/>
      <c r="U188" s="49"/>
      <c r="V188" s="49"/>
      <c r="W188" s="41" t="s">
        <v>618</v>
      </c>
      <c r="X188" s="46">
        <f t="shared" si="5"/>
        <v>45602.67778</v>
      </c>
      <c r="Y188" s="50" t="s">
        <v>482</v>
      </c>
      <c r="Z188" s="49">
        <f t="shared" si="6"/>
        <v>1</v>
      </c>
    </row>
    <row r="189" ht="22.5" customHeight="1">
      <c r="B189" s="41" t="s">
        <v>1300</v>
      </c>
      <c r="C189" s="43">
        <f t="array" ref="C189">IF(B189="","",_xlfn.XLOOKUP(B189,'Form responses 1'!$B$2:$B$2604,'Form responses 1'!$A$2:$A$2604,""))</f>
        <v>45586.57569</v>
      </c>
      <c r="D189" s="44" t="str">
        <f t="shared" si="3"/>
        <v>K/29/211024/1_45586.5756923611</v>
      </c>
      <c r="E189" s="44" t="str">
        <f t="array" ref="E189">IF(B189="","",_xlfn.XLOOKUP(B189,'Form responses 1'!$B$2:$B$2604,'Form responses 1'!$C$2:$C$2604,""))</f>
        <v>Richard Adi P/ Herfina</v>
      </c>
      <c r="F189" s="44" t="str">
        <f t="array" ref="F189">IF(B189="","",_xlfn.XLOOKUP(B189,'Form responses 1'!$B$2:$B$2604,'Form responses 1'!$D$2:$D$2604,""))</f>
        <v>0852799997821</v>
      </c>
      <c r="G189" s="44" t="str">
        <f t="array" ref="G189">IF(B189="","",_xlfn.XLOOKUP(B189,'Form responses 1'!$B$2:$B$2604,'Form responses 1'!$E$2:$E$2604,""))</f>
        <v>Roya</v>
      </c>
      <c r="H189" s="44" t="str">
        <f t="array" ref="H189">IF(B189="","",_xlfn.XLOOKUP(B189,'Form responses 1'!$B$2:$B$2604,'Form responses 1'!$F$2:$F$2604,""))</f>
        <v>M. 14789/ Sukarame; B. 2781/ Sukarame-dahulu; SHT 2097/2010 dan SHT 1880/2008</v>
      </c>
      <c r="I189" s="44" t="str">
        <f t="array" ref="I189">IF(B189="","",_xlfn.XLOOKUP(B189,'Form responses 1'!$B$2:$B$2604,'Form responses 1'!$I$2:$I$2604,""))</f>
        <v>Sukarame</v>
      </c>
      <c r="J189" s="44" t="str">
        <f t="array" ref="J189">IF(B189="","",_xlfn.XLOOKUP(B189,'Form responses 1'!$B$2:$B$2604,'Form responses 1'!$G$2:$G$2604,""))</f>
        <v>Rapita</v>
      </c>
      <c r="K189" s="41" t="s">
        <v>2875</v>
      </c>
      <c r="L189" s="52">
        <f t="shared" si="7"/>
        <v>45587.69678</v>
      </c>
      <c r="M189" s="47" t="s">
        <v>5271</v>
      </c>
      <c r="N189" s="49"/>
      <c r="O189" s="49"/>
      <c r="P189" s="49"/>
      <c r="Q189" s="49"/>
      <c r="R189" s="49"/>
      <c r="S189" s="49"/>
      <c r="T189" s="49"/>
      <c r="U189" s="49"/>
      <c r="V189" s="49"/>
      <c r="W189" s="41" t="s">
        <v>618</v>
      </c>
      <c r="X189" s="46">
        <f t="shared" si="5"/>
        <v>45592.45592</v>
      </c>
      <c r="Y189" s="50" t="s">
        <v>482</v>
      </c>
      <c r="Z189" s="49">
        <f t="shared" si="6"/>
        <v>1</v>
      </c>
    </row>
    <row r="190" ht="22.5" customHeight="1">
      <c r="B190" s="41" t="s">
        <v>1273</v>
      </c>
      <c r="C190" s="43">
        <f t="array" ref="C190">IF(B190="","",_xlfn.XLOOKUP(B190,'Form responses 1'!$B$2:$B$2604,'Form responses 1'!$A$2:$A$2604,""))</f>
        <v>45586.48838</v>
      </c>
      <c r="D190" s="44" t="str">
        <f t="shared" si="3"/>
        <v>L/23/211024/1_45586.4883830903</v>
      </c>
      <c r="E190" s="44" t="str">
        <f t="array" ref="E190">IF(B190="","",_xlfn.XLOOKUP(B190,'Form responses 1'!$B$2:$B$2604,'Form responses 1'!$C$2:$C$2604,""))</f>
        <v>RIFAI ISRON SALEH</v>
      </c>
      <c r="F190" s="44" t="str">
        <f t="array" ref="F190">IF(B190="","",_xlfn.XLOOKUP(B190,'Form responses 1'!$B$2:$B$2604,'Form responses 1'!$D$2:$D$2604,""))</f>
        <v>082175401376</v>
      </c>
      <c r="G190" s="44" t="str">
        <f t="array" ref="G190">IF(B190="","",_xlfn.XLOOKUP(B190,'Form responses 1'!$B$2:$B$2604,'Form responses 1'!$E$2:$E$2604,""))</f>
        <v>PH</v>
      </c>
      <c r="H190" s="44" t="str">
        <f t="array" ref="H190">IF(B190="","",_xlfn.XLOOKUP(B190,'Form responses 1'!$B$2:$B$2604,'Form responses 1'!$F$2:$F$2604,""))</f>
        <v>HGB 3764/BERINGIN RAYA</v>
      </c>
      <c r="I190" s="44" t="str">
        <f t="array" ref="I190">IF(B190="","",_xlfn.XLOOKUP(B190,'Form responses 1'!$B$2:$B$2604,'Form responses 1'!$I$2:$I$2604,""))</f>
        <v>BERINGIN RAYA</v>
      </c>
      <c r="J190" s="44" t="str">
        <f t="array" ref="J190">IF(B190="","",_xlfn.XLOOKUP(B190,'Form responses 1'!$B$2:$B$2604,'Form responses 1'!$G$2:$G$2604,""))</f>
        <v>Deby</v>
      </c>
      <c r="K190" s="41" t="s">
        <v>2875</v>
      </c>
      <c r="L190" s="52">
        <f t="shared" si="7"/>
        <v>45587.69678</v>
      </c>
      <c r="M190" s="47" t="s">
        <v>5313</v>
      </c>
      <c r="N190" s="47" t="s">
        <v>5314</v>
      </c>
      <c r="O190" s="49"/>
      <c r="P190" s="49"/>
      <c r="Q190" s="49"/>
      <c r="R190" s="49"/>
      <c r="S190" s="49"/>
      <c r="T190" s="49"/>
      <c r="U190" s="49"/>
      <c r="V190" s="49"/>
      <c r="W190" s="41" t="s">
        <v>618</v>
      </c>
      <c r="X190" s="46">
        <f t="shared" si="5"/>
        <v>45590.43711</v>
      </c>
      <c r="Y190" s="50" t="s">
        <v>482</v>
      </c>
      <c r="Z190" s="49">
        <f t="shared" si="6"/>
        <v>2</v>
      </c>
    </row>
    <row r="191" ht="22.5" customHeight="1">
      <c r="B191" s="41" t="s">
        <v>1339</v>
      </c>
      <c r="C191" s="43">
        <f t="array" ref="C191">IF(B191="","",_xlfn.XLOOKUP(B191,'Form responses 1'!$B$2:$B$2604,'Form responses 1'!$A$2:$A$2604,""))</f>
        <v>45586.59264</v>
      </c>
      <c r="D191" s="44" t="str">
        <f t="shared" si="3"/>
        <v>K/37/211024/1_45586.592642037</v>
      </c>
      <c r="E191" s="44" t="str">
        <f t="array" ref="E191">IF(B191="","",_xlfn.XLOOKUP(B191,'Form responses 1'!$B$2:$B$2604,'Form responses 1'!$C$2:$C$2604,""))</f>
        <v>David Handoko/ Ermina</v>
      </c>
      <c r="F191" s="44" t="str">
        <f t="array" ref="F191">IF(B191="","",_xlfn.XLOOKUP(B191,'Form responses 1'!$B$2:$B$2604,'Form responses 1'!$D$2:$D$2604,""))</f>
        <v>+62 895-1511-3169</v>
      </c>
      <c r="G191" s="44" t="str">
        <f t="array" ref="G191">IF(B191="","",_xlfn.XLOOKUP(B191,'Form responses 1'!$B$2:$B$2604,'Form responses 1'!$E$2:$E$2604,""))</f>
        <v>PTPGT (Hgb Berakhir)</v>
      </c>
      <c r="H191" s="44" t="str">
        <f t="array" ref="H191">IF(B191="","",_xlfn.XLOOKUP(B191,'Form responses 1'!$B$2:$B$2604,'Form responses 1'!$F$2:$F$2604,""))</f>
        <v>B. 354/ Kangkung; PBT. 98/2024</v>
      </c>
      <c r="I191" s="44" t="str">
        <f t="array" ref="I191">IF(B191="","",_xlfn.XLOOKUP(B191,'Form responses 1'!$B$2:$B$2604,'Form responses 1'!$I$2:$I$2604,""))</f>
        <v>Kangkung</v>
      </c>
      <c r="J191" s="44" t="str">
        <f t="array" ref="J191">IF(B191="","",_xlfn.XLOOKUP(B191,'Form responses 1'!$B$2:$B$2604,'Form responses 1'!$G$2:$G$2604,""))</f>
        <v>Rapita</v>
      </c>
      <c r="K191" s="41" t="s">
        <v>2875</v>
      </c>
      <c r="L191" s="52">
        <f t="shared" si="7"/>
        <v>45587.69678</v>
      </c>
      <c r="M191" s="49"/>
      <c r="N191" s="49"/>
      <c r="O191" s="49"/>
      <c r="P191" s="49"/>
      <c r="Q191" s="49"/>
      <c r="R191" s="49"/>
      <c r="S191" s="49"/>
      <c r="T191" s="49"/>
      <c r="U191" s="49"/>
      <c r="V191" s="49"/>
      <c r="W191" s="41" t="s">
        <v>618</v>
      </c>
      <c r="X191" s="46">
        <f t="shared" si="5"/>
        <v>45589.46767</v>
      </c>
      <c r="Y191" s="50" t="s">
        <v>482</v>
      </c>
      <c r="Z191" s="49">
        <f t="shared" si="6"/>
        <v>0</v>
      </c>
    </row>
    <row r="192" ht="22.5" customHeight="1">
      <c r="B192" s="41" t="s">
        <v>1376</v>
      </c>
      <c r="C192" s="43">
        <f t="array" ref="C192">IF(B192="","",_xlfn.XLOOKUP(B192,'Form responses 1'!$B$2:$B$2604,'Form responses 1'!$A$2:$A$2604,""))</f>
        <v>45586.6177</v>
      </c>
      <c r="D192" s="44" t="str">
        <f t="shared" si="3"/>
        <v>L/49/211024/1_45586.6177041898</v>
      </c>
      <c r="E192" s="44" t="str">
        <f t="array" ref="E192">IF(B192="","",_xlfn.XLOOKUP(B192,'Form responses 1'!$B$2:$B$2604,'Form responses 1'!$C$2:$C$2604,""))</f>
        <v>NETTI FITRIA</v>
      </c>
      <c r="F192" s="44" t="str">
        <f t="array" ref="F192">IF(B192="","",_xlfn.XLOOKUP(B192,'Form responses 1'!$B$2:$B$2604,'Form responses 1'!$D$2:$D$2604,""))</f>
        <v>082185969191</v>
      </c>
      <c r="G192" s="44" t="str">
        <f t="array" ref="G192">IF(B192="","",_xlfn.XLOOKUP(B192,'Form responses 1'!$B$2:$B$2604,'Form responses 1'!$E$2:$E$2604,""))</f>
        <v>PH</v>
      </c>
      <c r="H192" s="44" t="str">
        <f t="array" ref="H192">IF(B192="","",_xlfn.XLOOKUP(B192,'Form responses 1'!$B$2:$B$2604,'Form responses 1'!$F$2:$F$2604,""))</f>
        <v>NIB 0801000019330/NOG</v>
      </c>
      <c r="I192" s="44" t="str">
        <f t="array" ref="I192">IF(B192="","",_xlfn.XLOOKUP(B192,'Form responses 1'!$B$2:$B$2604,'Form responses 1'!$I$2:$I$2604,""))</f>
        <v>NEGERI OLOK GADING</v>
      </c>
      <c r="J192" s="44" t="str">
        <f t="array" ref="J192">IF(B192="","",_xlfn.XLOOKUP(B192,'Form responses 1'!$B$2:$B$2604,'Form responses 1'!$G$2:$G$2604,""))</f>
        <v>Deby</v>
      </c>
      <c r="K192" s="41" t="s">
        <v>2875</v>
      </c>
      <c r="L192" s="52">
        <f t="shared" si="7"/>
        <v>45587.69678</v>
      </c>
      <c r="M192" s="49"/>
      <c r="N192" s="49"/>
      <c r="O192" s="49"/>
      <c r="P192" s="49"/>
      <c r="Q192" s="49"/>
      <c r="R192" s="49"/>
      <c r="S192" s="49"/>
      <c r="T192" s="49"/>
      <c r="U192" s="49"/>
      <c r="V192" s="49"/>
      <c r="W192" s="41" t="s">
        <v>618</v>
      </c>
      <c r="X192" s="46">
        <f t="shared" si="5"/>
        <v>45589.47868</v>
      </c>
      <c r="Y192" s="50" t="s">
        <v>482</v>
      </c>
      <c r="Z192" s="49">
        <f t="shared" si="6"/>
        <v>0</v>
      </c>
    </row>
    <row r="193" ht="22.5" customHeight="1">
      <c r="B193" s="41" t="s">
        <v>1171</v>
      </c>
      <c r="C193" s="43">
        <f t="array" ref="C193">IF(B193="","",_xlfn.XLOOKUP(B193,'Form responses 1'!$B$2:$B$2604,'Form responses 1'!$A$2:$A$2604,""))</f>
        <v>45583.62718</v>
      </c>
      <c r="D193" s="44" t="str">
        <f t="shared" si="3"/>
        <v>K/48/181024/4_45583.6271825694</v>
      </c>
      <c r="E193" s="44" t="str">
        <f t="array" ref="E193">IF(B193="","",_xlfn.XLOOKUP(B193,'Form responses 1'!$B$2:$B$2604,'Form responses 1'!$C$2:$C$2604,""))</f>
        <v>ROBERTUS BUDIONO/ANDRI NOVIAR</v>
      </c>
      <c r="F193" s="44" t="str">
        <f t="array" ref="F193">IF(B193="","",_xlfn.XLOOKUP(B193,'Form responses 1'!$B$2:$B$2604,'Form responses 1'!$D$2:$D$2604,""))</f>
        <v>0899-6468-550</v>
      </c>
      <c r="G193" s="44" t="str">
        <f t="array" ref="G193">IF(B193="","",_xlfn.XLOOKUP(B193,'Form responses 1'!$B$2:$B$2604,'Form responses 1'!$E$2:$E$2604,""))</f>
        <v>ROYA LELANG</v>
      </c>
      <c r="H193" s="44" t="str">
        <f t="array" ref="H193">IF(B193="","",_xlfn.XLOOKUP(B193,'Form responses 1'!$B$2:$B$2604,'Form responses 1'!$F$2:$F$2604,""))</f>
        <v>M.9733/SURABAYA-SEKARANG;B.249/SURABAYA-DAHULU</v>
      </c>
      <c r="I193" s="44" t="str">
        <f t="array" ref="I193">IF(B193="","",_xlfn.XLOOKUP(B193,'Form responses 1'!$B$2:$B$2604,'Form responses 1'!$I$2:$I$2604,""))</f>
        <v>SURABAYA</v>
      </c>
      <c r="J193" s="44" t="str">
        <f t="array" ref="J193">IF(B193="","",_xlfn.XLOOKUP(B193,'Form responses 1'!$B$2:$B$2604,'Form responses 1'!$G$2:$G$2604,""))</f>
        <v>Baynur</v>
      </c>
      <c r="K193" s="41" t="s">
        <v>2875</v>
      </c>
      <c r="L193" s="52">
        <f t="shared" si="7"/>
        <v>45587.69678</v>
      </c>
      <c r="M193" s="47" t="s">
        <v>5315</v>
      </c>
      <c r="N193" s="49"/>
      <c r="O193" s="49"/>
      <c r="P193" s="49"/>
      <c r="Q193" s="49"/>
      <c r="R193" s="49"/>
      <c r="S193" s="49"/>
      <c r="T193" s="49"/>
      <c r="U193" s="49"/>
      <c r="V193" s="49"/>
      <c r="W193" s="41" t="s">
        <v>618</v>
      </c>
      <c r="X193" s="46">
        <f t="shared" si="5"/>
        <v>45597.63589</v>
      </c>
      <c r="Y193" s="50" t="s">
        <v>482</v>
      </c>
      <c r="Z193" s="49">
        <f t="shared" si="6"/>
        <v>1</v>
      </c>
    </row>
    <row r="194" ht="22.5" customHeight="1">
      <c r="B194" s="41" t="s">
        <v>1282</v>
      </c>
      <c r="C194" s="43">
        <f t="array" ref="C194">IF(B194="","",_xlfn.XLOOKUP(B194,'Form responses 1'!$B$2:$B$2604,'Form responses 1'!$A$2:$A$2604,""))</f>
        <v>45586.49595</v>
      </c>
      <c r="D194" s="44" t="str">
        <f t="shared" si="3"/>
        <v>K/25/211024/2_45586.4959450463</v>
      </c>
      <c r="E194" s="44" t="str">
        <f t="array" ref="E194">IF(B194="","",_xlfn.XLOOKUP(B194,'Form responses 1'!$B$2:$B$2604,'Form responses 1'!$C$2:$C$2604,""))</f>
        <v>Nur Hayati/ Iskandar</v>
      </c>
      <c r="F194" s="44" t="str">
        <f t="array" ref="F194">IF(B194="","",_xlfn.XLOOKUP(B194,'Form responses 1'!$B$2:$B$2604,'Form responses 1'!$D$2:$D$2604,""))</f>
        <v>08117222871</v>
      </c>
      <c r="G194" s="44" t="str">
        <f t="array" ref="G194">IF(B194="","",_xlfn.XLOOKUP(B194,'Form responses 1'!$B$2:$B$2604,'Form responses 1'!$E$2:$E$2604,""))</f>
        <v>BN Jual Beli</v>
      </c>
      <c r="H194" s="44" t="str">
        <f t="array" ref="H194">IF(B194="","",_xlfn.XLOOKUP(B194,'Form responses 1'!$B$2:$B$2604,'Form responses 1'!$F$2:$F$2604,""))</f>
        <v>M. 215/ Beringin Raya</v>
      </c>
      <c r="I194" s="44" t="str">
        <f t="array" ref="I194">IF(B194="","",_xlfn.XLOOKUP(B194,'Form responses 1'!$B$2:$B$2604,'Form responses 1'!$I$2:$I$2604,""))</f>
        <v>Beringin Raya</v>
      </c>
      <c r="J194" s="44" t="str">
        <f t="array" ref="J194">IF(B194="","",_xlfn.XLOOKUP(B194,'Form responses 1'!$B$2:$B$2604,'Form responses 1'!$G$2:$G$2604,""))</f>
        <v>Hananda</v>
      </c>
      <c r="K194" s="41" t="s">
        <v>2421</v>
      </c>
      <c r="L194" s="52">
        <f t="shared" si="7"/>
        <v>45587.69678</v>
      </c>
      <c r="M194" s="49"/>
      <c r="N194" s="49"/>
      <c r="O194" s="49"/>
      <c r="P194" s="49"/>
      <c r="Q194" s="49"/>
      <c r="R194" s="49"/>
      <c r="S194" s="49"/>
      <c r="T194" s="49"/>
      <c r="U194" s="49"/>
      <c r="V194" s="49"/>
      <c r="W194" s="41" t="s">
        <v>618</v>
      </c>
      <c r="X194" s="46">
        <f t="shared" si="5"/>
        <v>45589.59369</v>
      </c>
      <c r="Y194" s="50" t="s">
        <v>482</v>
      </c>
      <c r="Z194" s="49">
        <f t="shared" si="6"/>
        <v>0</v>
      </c>
    </row>
    <row r="195" ht="22.5" customHeight="1">
      <c r="B195" s="41" t="s">
        <v>1107</v>
      </c>
      <c r="C195" s="43">
        <f t="array" ref="C195">IF(B195="","",_xlfn.XLOOKUP(B195,'Form responses 1'!$B$2:$B$2604,'Form responses 1'!$A$2:$A$2604,""))</f>
        <v>45583.60371</v>
      </c>
      <c r="D195" s="44" t="str">
        <f t="shared" si="3"/>
        <v>K/33/181024/1_45583.6037072917</v>
      </c>
      <c r="E195" s="44" t="str">
        <f t="array" ref="E195">IF(B195="","",_xlfn.XLOOKUP(B195,'Form responses 1'!$B$2:$B$2604,'Form responses 1'!$C$2:$C$2604,""))</f>
        <v>JULIANTO WIBOWO/ANNA PURNAMASARI</v>
      </c>
      <c r="F195" s="44" t="str">
        <f t="array" ref="F195">IF(B195="","",_xlfn.XLOOKUP(B195,'Form responses 1'!$B$2:$B$2604,'Form responses 1'!$D$2:$D$2604,""))</f>
        <v>08117211611</v>
      </c>
      <c r="G195" s="44" t="str">
        <f t="array" ref="G195">IF(B195="","",_xlfn.XLOOKUP(B195,'Form responses 1'!$B$2:$B$2604,'Form responses 1'!$E$2:$E$2604,""))</f>
        <v>PERALIHAN JUAL BELI</v>
      </c>
      <c r="H195" s="44" t="str">
        <f t="array" ref="H195">IF(B195="","",_xlfn.XLOOKUP(B195,'Form responses 1'!$B$2:$B$2604,'Form responses 1'!$F$2:$F$2604,""))</f>
        <v>M.3314/KOTA KARANG</v>
      </c>
      <c r="I195" s="44" t="str">
        <f t="array" ref="I195">IF(B195="","",_xlfn.XLOOKUP(B195,'Form responses 1'!$B$2:$B$2604,'Form responses 1'!$I$2:$I$2604,""))</f>
        <v>KOTA KARANG</v>
      </c>
      <c r="J195" s="44" t="str">
        <f t="array" ref="J195">IF(B195="","",_xlfn.XLOOKUP(B195,'Form responses 1'!$B$2:$B$2604,'Form responses 1'!$G$2:$G$2604,""))</f>
        <v>Baynur</v>
      </c>
      <c r="K195" s="41" t="s">
        <v>2421</v>
      </c>
      <c r="L195" s="52">
        <f t="shared" si="7"/>
        <v>45587.69678</v>
      </c>
      <c r="M195" s="49"/>
      <c r="N195" s="49"/>
      <c r="O195" s="49"/>
      <c r="P195" s="49"/>
      <c r="Q195" s="49"/>
      <c r="R195" s="49"/>
      <c r="S195" s="49"/>
      <c r="T195" s="49"/>
      <c r="U195" s="49"/>
      <c r="V195" s="49"/>
      <c r="W195" s="41" t="s">
        <v>618</v>
      </c>
      <c r="X195" s="46">
        <f t="shared" si="5"/>
        <v>45589.40555</v>
      </c>
      <c r="Y195" s="50" t="s">
        <v>482</v>
      </c>
      <c r="Z195" s="49">
        <f t="shared" si="6"/>
        <v>0</v>
      </c>
    </row>
    <row r="196" ht="22.5" customHeight="1">
      <c r="B196" s="41" t="s">
        <v>199</v>
      </c>
      <c r="C196" s="43">
        <f t="array" ref="C196">IF(B196="","",_xlfn.XLOOKUP(B196,'Form responses 1'!$B$2:$B$2604,'Form responses 1'!$A$2:$A$2604,""))</f>
        <v>45586.43738</v>
      </c>
      <c r="D196" s="44" t="str">
        <f t="shared" si="3"/>
        <v>K/11/211024/2_45586.4373816088</v>
      </c>
      <c r="E196" s="44" t="str">
        <f t="array" ref="E196">IF(B196="","",_xlfn.XLOOKUP(B196,'Form responses 1'!$B$2:$B$2604,'Form responses 1'!$C$2:$C$2604,""))</f>
        <v>Panary S/Joseph Edo T</v>
      </c>
      <c r="F196" s="44" t="str">
        <f t="array" ref="F196">IF(B196="","",_xlfn.XLOOKUP(B196,'Form responses 1'!$B$2:$B$2604,'Form responses 1'!$D$2:$D$2604,""))</f>
        <v>+62 889-2977-399</v>
      </c>
      <c r="G196" s="44" t="str">
        <f t="array" ref="G196">IF(B196="","",_xlfn.XLOOKUP(B196,'Form responses 1'!$B$2:$B$2604,'Form responses 1'!$E$2:$E$2604,""))</f>
        <v>BN Jual Beli</v>
      </c>
      <c r="H196" s="44" t="str">
        <f t="array" ref="H196">IF(B196="","",_xlfn.XLOOKUP(B196,'Form responses 1'!$B$2:$B$2604,'Form responses 1'!$F$2:$F$2604,""))</f>
        <v>B. 763/ Sumur Putri</v>
      </c>
      <c r="I196" s="44" t="str">
        <f t="array" ref="I196">IF(B196="","",_xlfn.XLOOKUP(B196,'Form responses 1'!$B$2:$B$2604,'Form responses 1'!$I$2:$I$2604,""))</f>
        <v>Sumur Putri</v>
      </c>
      <c r="J196" s="44" t="str">
        <f t="array" ref="J196">IF(B196="","",_xlfn.XLOOKUP(B196,'Form responses 1'!$B$2:$B$2604,'Form responses 1'!$G$2:$G$2604,""))</f>
        <v>Rapita</v>
      </c>
      <c r="K196" s="41" t="s">
        <v>2421</v>
      </c>
      <c r="L196" s="52">
        <f t="shared" si="7"/>
        <v>45587.69678</v>
      </c>
      <c r="M196" s="47" t="s">
        <v>5316</v>
      </c>
      <c r="N196" s="47" t="s">
        <v>5317</v>
      </c>
      <c r="O196" s="49"/>
      <c r="P196" s="49"/>
      <c r="Q196" s="49"/>
      <c r="R196" s="49"/>
      <c r="S196" s="49"/>
      <c r="T196" s="49"/>
      <c r="U196" s="49"/>
      <c r="V196" s="49"/>
      <c r="W196" s="41" t="s">
        <v>618</v>
      </c>
      <c r="X196" s="46">
        <f t="shared" si="5"/>
        <v>45593.64969</v>
      </c>
      <c r="Y196" s="50" t="s">
        <v>482</v>
      </c>
      <c r="Z196" s="49">
        <f t="shared" si="6"/>
        <v>2</v>
      </c>
    </row>
    <row r="197" ht="22.5" customHeight="1">
      <c r="B197" s="41" t="s">
        <v>1270</v>
      </c>
      <c r="C197" s="43">
        <f t="array" ref="C197">IF(B197="","",_xlfn.XLOOKUP(B197,'Form responses 1'!$B$2:$B$2604,'Form responses 1'!$A$2:$A$2604,""))</f>
        <v>45586.48299</v>
      </c>
      <c r="D197" s="44" t="str">
        <f t="shared" si="3"/>
        <v>K/21/211024/4_45586.4829898611</v>
      </c>
      <c r="E197" s="44" t="str">
        <f t="array" ref="E197">IF(B197="","",_xlfn.XLOOKUP(B197,'Form responses 1'!$B$2:$B$2604,'Form responses 1'!$C$2:$C$2604,""))</f>
        <v>Eka Sari Taherah/ Ferri Gunadi</v>
      </c>
      <c r="F197" s="44" t="str">
        <f t="array" ref="F197">IF(B197="","",_xlfn.XLOOKUP(B197,'Form responses 1'!$B$2:$B$2604,'Form responses 1'!$D$2:$D$2604,""))</f>
        <v>0895363114046</v>
      </c>
      <c r="G197" s="44" t="str">
        <f t="array" ref="G197">IF(B197="","",_xlfn.XLOOKUP(B197,'Form responses 1'!$B$2:$B$2604,'Form responses 1'!$E$2:$E$2604,""))</f>
        <v>BN Jual Beli</v>
      </c>
      <c r="H197" s="44" t="str">
        <f t="array" ref="H197">IF(B197="","",_xlfn.XLOOKUP(B197,'Form responses 1'!$B$2:$B$2604,'Form responses 1'!$F$2:$F$2604,""))</f>
        <v>M. 2263/ Kedaung</v>
      </c>
      <c r="I197" s="44" t="str">
        <f t="array" ref="I197">IF(B197="","",_xlfn.XLOOKUP(B197,'Form responses 1'!$B$2:$B$2604,'Form responses 1'!$I$2:$I$2604,""))</f>
        <v>Kedaung</v>
      </c>
      <c r="J197" s="44" t="str">
        <f t="array" ref="J197">IF(B197="","",_xlfn.XLOOKUP(B197,'Form responses 1'!$B$2:$B$2604,'Form responses 1'!$G$2:$G$2604,""))</f>
        <v>Hananda</v>
      </c>
      <c r="K197" s="41" t="s">
        <v>2421</v>
      </c>
      <c r="L197" s="52">
        <f t="shared" si="7"/>
        <v>45587.69678</v>
      </c>
      <c r="M197" s="47" t="s">
        <v>5318</v>
      </c>
      <c r="N197" s="47" t="s">
        <v>5319</v>
      </c>
      <c r="O197" s="47" t="s">
        <v>5320</v>
      </c>
      <c r="P197" s="49"/>
      <c r="Q197" s="49"/>
      <c r="R197" s="49"/>
      <c r="S197" s="49"/>
      <c r="T197" s="49"/>
      <c r="U197" s="49"/>
      <c r="V197" s="49"/>
      <c r="W197" s="41" t="s">
        <v>470</v>
      </c>
      <c r="X197" s="46">
        <f t="shared" si="5"/>
        <v>45589.56457</v>
      </c>
      <c r="Y197" s="50" t="s">
        <v>482</v>
      </c>
      <c r="Z197" s="49">
        <f t="shared" si="6"/>
        <v>3</v>
      </c>
    </row>
    <row r="198" ht="22.5" customHeight="1">
      <c r="B198" s="41" t="s">
        <v>1116</v>
      </c>
      <c r="C198" s="43">
        <f t="array" ref="C198">IF(B198="","",_xlfn.XLOOKUP(B198,'Form responses 1'!$B$2:$B$2604,'Form responses 1'!$A$2:$A$2604,""))</f>
        <v>45583.6065</v>
      </c>
      <c r="D198" s="44" t="str">
        <f t="shared" si="3"/>
        <v>K/35/181024/1_45583.6065023495</v>
      </c>
      <c r="E198" s="44" t="str">
        <f t="array" ref="E198">IF(B198="","",_xlfn.XLOOKUP(B198,'Form responses 1'!$B$2:$B$2604,'Form responses 1'!$C$2:$C$2604,""))</f>
        <v>JUSUFIN/MAYA AYUNINGTIAS</v>
      </c>
      <c r="F198" s="44" t="str">
        <f t="array" ref="F198">IF(B198="","",_xlfn.XLOOKUP(B198,'Form responses 1'!$B$2:$B$2604,'Form responses 1'!$D$2:$D$2604,""))</f>
        <v>0813-6999-9971</v>
      </c>
      <c r="G198" s="44" t="str">
        <f t="array" ref="G198">IF(B198="","",_xlfn.XLOOKUP(B198,'Form responses 1'!$B$2:$B$2604,'Form responses 1'!$E$2:$E$2604,""))</f>
        <v>PENINGKATAN </v>
      </c>
      <c r="H198" s="44" t="str">
        <f t="array" ref="H198">IF(B198="","",_xlfn.XLOOKUP(B198,'Form responses 1'!$B$2:$B$2604,'Form responses 1'!$F$2:$F$2604,""))</f>
        <v>B.936/JAGABAYA III-SEKARANG;B.1342/JAGABAYA II-DAHULU</v>
      </c>
      <c r="I198" s="44" t="str">
        <f t="array" ref="I198">IF(B198="","",_xlfn.XLOOKUP(B198,'Form responses 1'!$B$2:$B$2604,'Form responses 1'!$I$2:$I$2604,""))</f>
        <v>JAGABAYA III</v>
      </c>
      <c r="J198" s="44" t="str">
        <f t="array" ref="J198">IF(B198="","",_xlfn.XLOOKUP(B198,'Form responses 1'!$B$2:$B$2604,'Form responses 1'!$G$2:$G$2604,""))</f>
        <v>Baynur</v>
      </c>
      <c r="K198" s="41" t="s">
        <v>2421</v>
      </c>
      <c r="L198" s="52">
        <f t="shared" si="7"/>
        <v>45587.69678</v>
      </c>
      <c r="M198" s="49"/>
      <c r="N198" s="49"/>
      <c r="O198" s="49"/>
      <c r="P198" s="49"/>
      <c r="Q198" s="49"/>
      <c r="R198" s="49"/>
      <c r="S198" s="49"/>
      <c r="T198" s="49"/>
      <c r="U198" s="49"/>
      <c r="V198" s="49"/>
      <c r="W198" s="41" t="s">
        <v>618</v>
      </c>
      <c r="X198" s="46">
        <f t="shared" si="5"/>
        <v>45589.41194</v>
      </c>
      <c r="Y198" s="50" t="s">
        <v>482</v>
      </c>
      <c r="Z198" s="49">
        <f t="shared" si="6"/>
        <v>0</v>
      </c>
    </row>
    <row r="199" ht="22.5" customHeight="1">
      <c r="B199" s="41" t="s">
        <v>1364</v>
      </c>
      <c r="C199" s="43">
        <f t="array" ref="C199">IF(B199="","",_xlfn.XLOOKUP(B199,'Form responses 1'!$B$2:$B$2604,'Form responses 1'!$A$2:$A$2604,""))</f>
        <v>45586.62171</v>
      </c>
      <c r="D199" s="44" t="str">
        <f t="shared" si="3"/>
        <v>K/46/211024/2_45586.6217089352</v>
      </c>
      <c r="E199" s="44" t="str">
        <f t="array" ref="E199">IF(B199="","",_xlfn.XLOOKUP(B199,'Form responses 1'!$B$2:$B$2604,'Form responses 1'!$C$2:$C$2604,""))</f>
        <v>Ayi Ruhiat/ M. Fauzi K</v>
      </c>
      <c r="F199" s="44" t="str">
        <f t="array" ref="F199">IF(B199="","",_xlfn.XLOOKUP(B199,'Form responses 1'!$B$2:$B$2604,'Form responses 1'!$D$2:$D$2604,""))</f>
        <v>082141770001</v>
      </c>
      <c r="G199" s="44" t="str">
        <f t="array" ref="G199">IF(B199="","",_xlfn.XLOOKUP(B199,'Form responses 1'!$B$2:$B$2604,'Form responses 1'!$E$2:$E$2604,""))</f>
        <v>Roya</v>
      </c>
      <c r="H199" s="44" t="str">
        <f t="array" ref="H199">IF(B199="","",_xlfn.XLOOKUP(B199,'Form responses 1'!$B$2:$B$2604,'Form responses 1'!$F$2:$F$2604,""))</f>
        <v>B. 1717/ Jagabaya II; SHT 5850/2013 dan SHT 763/2015</v>
      </c>
      <c r="I199" s="44" t="str">
        <f t="array" ref="I199">IF(B199="","",_xlfn.XLOOKUP(B199,'Form responses 1'!$B$2:$B$2604,'Form responses 1'!$I$2:$I$2604,""))</f>
        <v>Jagabaya III</v>
      </c>
      <c r="J199" s="44" t="str">
        <f t="array" ref="J199">IF(B199="","",_xlfn.XLOOKUP(B199,'Form responses 1'!$B$2:$B$2604,'Form responses 1'!$G$2:$G$2604,""))</f>
        <v>Rapita</v>
      </c>
      <c r="K199" s="41" t="s">
        <v>2421</v>
      </c>
      <c r="L199" s="52">
        <f t="shared" si="7"/>
        <v>45587.69678</v>
      </c>
      <c r="M199" s="47" t="s">
        <v>5321</v>
      </c>
      <c r="N199" s="49"/>
      <c r="O199" s="49"/>
      <c r="P199" s="49"/>
      <c r="Q199" s="49"/>
      <c r="R199" s="49"/>
      <c r="S199" s="49"/>
      <c r="T199" s="49"/>
      <c r="U199" s="49"/>
      <c r="V199" s="49"/>
      <c r="W199" s="41" t="s">
        <v>618</v>
      </c>
      <c r="X199" s="46">
        <f t="shared" si="5"/>
        <v>45590.66279</v>
      </c>
      <c r="Y199" s="50" t="s">
        <v>482</v>
      </c>
      <c r="Z199" s="49">
        <f t="shared" si="6"/>
        <v>1</v>
      </c>
    </row>
    <row r="200" ht="22.5" customHeight="1">
      <c r="B200" s="41" t="s">
        <v>1296</v>
      </c>
      <c r="C200" s="43">
        <f t="array" ref="C200">IF(B200="","",_xlfn.XLOOKUP(B200,'Form responses 1'!$B$2:$B$2604,'Form responses 1'!$A$2:$A$2604,""))</f>
        <v>45586.56338</v>
      </c>
      <c r="D200" s="44" t="str">
        <f t="shared" si="3"/>
        <v>L/28/211024/1_45586.5633760185</v>
      </c>
      <c r="E200" s="44" t="str">
        <f t="array" ref="E200">IF(B200="","",_xlfn.XLOOKUP(B200,'Form responses 1'!$B$2:$B$2604,'Form responses 1'!$C$2:$C$2604,""))</f>
        <v>WARSONO</v>
      </c>
      <c r="F200" s="44" t="str">
        <f t="array" ref="F200">IF(B200="","",_xlfn.XLOOKUP(B200,'Form responses 1'!$B$2:$B$2604,'Form responses 1'!$D$2:$D$2604,""))</f>
        <v>081272239666</v>
      </c>
      <c r="G200" s="44" t="str">
        <f t="array" ref="G200">IF(B200="","",_xlfn.XLOOKUP(B200,'Form responses 1'!$B$2:$B$2604,'Form responses 1'!$E$2:$E$2604,""))</f>
        <v>ROYA</v>
      </c>
      <c r="H200" s="44" t="str">
        <f t="array" ref="H200">IF(B200="","",_xlfn.XLOOKUP(B200,'Form responses 1'!$B$2:$B$2604,'Form responses 1'!$F$2:$F$2604,""))</f>
        <v>HM 2414/KUPANG TEBA</v>
      </c>
      <c r="I200" s="44" t="str">
        <f t="array" ref="I200">IF(B200="","",_xlfn.XLOOKUP(B200,'Form responses 1'!$B$2:$B$2604,'Form responses 1'!$I$2:$I$2604,""))</f>
        <v>KUPANG TEBA</v>
      </c>
      <c r="J200" s="44" t="str">
        <f t="array" ref="J200">IF(B200="","",_xlfn.XLOOKUP(B200,'Form responses 1'!$B$2:$B$2604,'Form responses 1'!$G$2:$G$2604,""))</f>
        <v>Deby</v>
      </c>
      <c r="K200" s="41" t="s">
        <v>2421</v>
      </c>
      <c r="L200" s="52">
        <f t="shared" si="7"/>
        <v>45587.69678</v>
      </c>
      <c r="M200" s="49"/>
      <c r="N200" s="49"/>
      <c r="O200" s="49"/>
      <c r="P200" s="49"/>
      <c r="Q200" s="49"/>
      <c r="R200" s="49"/>
      <c r="S200" s="49"/>
      <c r="T200" s="49"/>
      <c r="U200" s="49"/>
      <c r="V200" s="49"/>
      <c r="W200" s="41" t="s">
        <v>618</v>
      </c>
      <c r="X200" s="46">
        <f t="shared" si="5"/>
        <v>45589.49228</v>
      </c>
      <c r="Y200" s="50" t="s">
        <v>482</v>
      </c>
      <c r="Z200" s="49">
        <f t="shared" si="6"/>
        <v>0</v>
      </c>
    </row>
    <row r="201" ht="22.5" customHeight="1">
      <c r="B201" s="41" t="s">
        <v>1196</v>
      </c>
      <c r="C201" s="43">
        <f t="array" ref="C201">IF(B201="","",_xlfn.XLOOKUP(B201,'Form responses 1'!$B$2:$B$2604,'Form responses 1'!$A$2:$A$2604,""))</f>
        <v>45586.36776</v>
      </c>
      <c r="D201" s="44" t="str">
        <f t="shared" si="3"/>
        <v>K/1/211024/1_45586.3677560185</v>
      </c>
      <c r="E201" s="44" t="str">
        <f t="array" ref="E201">IF(B201="","",_xlfn.XLOOKUP(B201,'Form responses 1'!$B$2:$B$2604,'Form responses 1'!$C$2:$C$2604,""))</f>
        <v>Eko Juni W/ Yuliansyah</v>
      </c>
      <c r="F201" s="44" t="str">
        <f t="array" ref="F201">IF(B201="","",_xlfn.XLOOKUP(B201,'Form responses 1'!$B$2:$B$2604,'Form responses 1'!$D$2:$D$2604,""))</f>
        <v>082175420910</v>
      </c>
      <c r="G201" s="44" t="str">
        <f t="array" ref="G201">IF(B201="","",_xlfn.XLOOKUP(B201,'Form responses 1'!$B$2:$B$2604,'Form responses 1'!$E$2:$E$2604,""))</f>
        <v>Perubahan Hak</v>
      </c>
      <c r="H201" s="44" t="str">
        <f t="array" ref="H201">IF(B201="","",_xlfn.XLOOKUP(B201,'Form responses 1'!$B$2:$B$2604,'Form responses 1'!$F$2:$F$2604,""))</f>
        <v>B. 1370/ Kemiling Permai; B. 1441/ Su K</v>
      </c>
      <c r="I201" s="44" t="str">
        <f t="array" ref="I201">IF(B201="","",_xlfn.XLOOKUP(B201,'Form responses 1'!$B$2:$B$2604,'Form responses 1'!$I$2:$I$2604,""))</f>
        <v>Kemiling Permai</v>
      </c>
      <c r="J201" s="44" t="str">
        <f t="array" ref="J201">IF(B201="","",_xlfn.XLOOKUP(B201,'Form responses 1'!$B$2:$B$2604,'Form responses 1'!$G$2:$G$2604,""))</f>
        <v>Rapita</v>
      </c>
      <c r="K201" s="41" t="s">
        <v>2421</v>
      </c>
      <c r="L201" s="52">
        <f t="shared" si="7"/>
        <v>45587.69678</v>
      </c>
      <c r="M201" s="47" t="s">
        <v>5322</v>
      </c>
      <c r="N201" s="49"/>
      <c r="O201" s="49"/>
      <c r="P201" s="49"/>
      <c r="Q201" s="49"/>
      <c r="R201" s="49"/>
      <c r="S201" s="49"/>
      <c r="T201" s="49"/>
      <c r="U201" s="49"/>
      <c r="V201" s="49"/>
      <c r="W201" s="41" t="s">
        <v>618</v>
      </c>
      <c r="X201" s="46">
        <f t="shared" si="5"/>
        <v>45590.66168</v>
      </c>
      <c r="Y201" s="50" t="s">
        <v>482</v>
      </c>
      <c r="Z201" s="49">
        <f t="shared" si="6"/>
        <v>1</v>
      </c>
    </row>
    <row r="202" ht="22.5" customHeight="1">
      <c r="B202" s="41" t="s">
        <v>1320</v>
      </c>
      <c r="C202" s="43">
        <f t="array" ref="C202">IF(B202="","",_xlfn.XLOOKUP(B202,'Form responses 1'!$B$2:$B$2604,'Form responses 1'!$A$2:$A$2604,""))</f>
        <v>45586.58869</v>
      </c>
      <c r="D202" s="44" t="str">
        <f t="shared" si="3"/>
        <v>K/34/211024/1_45586.5886863079</v>
      </c>
      <c r="E202" s="44" t="str">
        <f t="array" ref="E202">IF(B202="","",_xlfn.XLOOKUP(B202,'Form responses 1'!$B$2:$B$2604,'Form responses 1'!$C$2:$C$2604,""))</f>
        <v>agus supriyanti</v>
      </c>
      <c r="F202" s="44" t="str">
        <f t="array" ref="F202">IF(B202="","",_xlfn.XLOOKUP(B202,'Form responses 1'!$B$2:$B$2604,'Form responses 1'!$D$2:$D$2604,""))</f>
        <v>082128965800</v>
      </c>
      <c r="G202" s="44" t="str">
        <f t="array" ref="G202">IF(B202="","",_xlfn.XLOOKUP(B202,'Form responses 1'!$B$2:$B$2604,'Form responses 1'!$E$2:$E$2604,""))</f>
        <v>SKPT Lelang</v>
      </c>
      <c r="H202" s="44" t="str">
        <f t="array" ref="H202">IF(B202="","",_xlfn.XLOOKUP(B202,'Form responses 1'!$B$2:$B$2604,'Form responses 1'!$F$2:$F$2604,""))</f>
        <v>M. 1594/ langkapura</v>
      </c>
      <c r="I202" s="44" t="str">
        <f t="array" ref="I202">IF(B202="","",_xlfn.XLOOKUP(B202,'Form responses 1'!$B$2:$B$2604,'Form responses 1'!$I$2:$I$2604,""))</f>
        <v>langkapura</v>
      </c>
      <c r="J202" s="44" t="str">
        <f t="array" ref="J202">IF(B202="","",_xlfn.XLOOKUP(B202,'Form responses 1'!$B$2:$B$2604,'Form responses 1'!$G$2:$G$2604,""))</f>
        <v>Hananda</v>
      </c>
      <c r="K202" s="41" t="s">
        <v>2421</v>
      </c>
      <c r="L202" s="52">
        <f t="shared" si="7"/>
        <v>45587.69678</v>
      </c>
      <c r="M202" s="49"/>
      <c r="N202" s="49"/>
      <c r="O202" s="49"/>
      <c r="P202" s="49"/>
      <c r="Q202" s="49"/>
      <c r="R202" s="49"/>
      <c r="S202" s="49"/>
      <c r="T202" s="49"/>
      <c r="U202" s="49"/>
      <c r="V202" s="49"/>
      <c r="W202" s="41" t="s">
        <v>618</v>
      </c>
      <c r="X202" s="46">
        <f t="shared" si="5"/>
        <v>45589.45511</v>
      </c>
      <c r="Y202" s="50" t="s">
        <v>482</v>
      </c>
      <c r="Z202" s="49">
        <f t="shared" si="6"/>
        <v>0</v>
      </c>
    </row>
    <row r="203" ht="22.5" customHeight="1">
      <c r="B203" s="41" t="s">
        <v>1330</v>
      </c>
      <c r="C203" s="43">
        <f t="array" ref="C203">IF(B203="","",_xlfn.XLOOKUP(B203,'Form responses 1'!$B$2:$B$2604,'Form responses 1'!$A$2:$A$2604,""))</f>
        <v>45586.59182</v>
      </c>
      <c r="D203" s="44" t="str">
        <f t="shared" si="3"/>
        <v>K/36/211024/3_45586.59182375</v>
      </c>
      <c r="E203" s="44" t="str">
        <f t="array" ref="E203">IF(B203="","",_xlfn.XLOOKUP(B203,'Form responses 1'!$B$2:$B$2604,'Form responses 1'!$C$2:$C$2604,""))</f>
        <v>Agus Supriyanto</v>
      </c>
      <c r="F203" s="44" t="str">
        <f t="array" ref="F203">IF(B203="","",_xlfn.XLOOKUP(B203,'Form responses 1'!$B$2:$B$2604,'Form responses 1'!$D$2:$D$2604,""))</f>
        <v>082128965800</v>
      </c>
      <c r="G203" s="44" t="str">
        <f t="array" ref="G203">IF(B203="","",_xlfn.XLOOKUP(B203,'Form responses 1'!$B$2:$B$2604,'Form responses 1'!$E$2:$E$2604,""))</f>
        <v>SKPT Lelang</v>
      </c>
      <c r="H203" s="44" t="str">
        <f t="array" ref="H203">IF(B203="","",_xlfn.XLOOKUP(B203,'Form responses 1'!$B$2:$B$2604,'Form responses 1'!$F$2:$F$2604,""))</f>
        <v>M. 977/ Tanjung Gading</v>
      </c>
      <c r="I203" s="44" t="str">
        <f t="array" ref="I203">IF(B203="","",_xlfn.XLOOKUP(B203,'Form responses 1'!$B$2:$B$2604,'Form responses 1'!$I$2:$I$2604,""))</f>
        <v>Tanjung Gading</v>
      </c>
      <c r="J203" s="44" t="str">
        <f t="array" ref="J203">IF(B203="","",_xlfn.XLOOKUP(B203,'Form responses 1'!$B$2:$B$2604,'Form responses 1'!$G$2:$G$2604,""))</f>
        <v>Hananda</v>
      </c>
      <c r="K203" s="41" t="s">
        <v>2421</v>
      </c>
      <c r="L203" s="52">
        <f t="shared" si="7"/>
        <v>45587.69678</v>
      </c>
      <c r="M203" s="49"/>
      <c r="N203" s="49"/>
      <c r="O203" s="49"/>
      <c r="P203" s="49"/>
      <c r="Q203" s="49"/>
      <c r="R203" s="49"/>
      <c r="S203" s="49"/>
      <c r="T203" s="49"/>
      <c r="U203" s="49"/>
      <c r="V203" s="49"/>
      <c r="W203" s="41" t="s">
        <v>618</v>
      </c>
      <c r="X203" s="46">
        <f t="shared" si="5"/>
        <v>45589.45658</v>
      </c>
      <c r="Y203" s="50" t="s">
        <v>482</v>
      </c>
      <c r="Z203" s="49">
        <f t="shared" si="6"/>
        <v>0</v>
      </c>
    </row>
    <row r="204" ht="22.5" customHeight="1">
      <c r="B204" s="41" t="s">
        <v>1290</v>
      </c>
      <c r="C204" s="43">
        <f t="array" ref="C204">IF(B204="","",_xlfn.XLOOKUP(B204,'Form responses 1'!$B$2:$B$2604,'Form responses 1'!$A$2:$A$2604,""))</f>
        <v>45586.56267</v>
      </c>
      <c r="D204" s="44" t="str">
        <f t="shared" si="3"/>
        <v>K/27/211024/1_45586.5626720833</v>
      </c>
      <c r="E204" s="44" t="str">
        <f t="array" ref="E204">IF(B204="","",_xlfn.XLOOKUP(B204,'Form responses 1'!$B$2:$B$2604,'Form responses 1'!$C$2:$C$2604,""))</f>
        <v>Paimo Saputra/ Waras S</v>
      </c>
      <c r="F204" s="44" t="str">
        <f t="array" ref="F204">IF(B204="","",_xlfn.XLOOKUP(B204,'Form responses 1'!$B$2:$B$2604,'Form responses 1'!$D$2:$D$2604,""))</f>
        <v>082380104665</v>
      </c>
      <c r="G204" s="44" t="str">
        <f t="array" ref="G204">IF(B204="","",_xlfn.XLOOKUP(B204,'Form responses 1'!$B$2:$B$2604,'Form responses 1'!$E$2:$E$2604,""))</f>
        <v>PTPGT (Pemecahan)</v>
      </c>
      <c r="H204" s="44" t="str">
        <f t="array" ref="H204">IF(B204="","",_xlfn.XLOOKUP(B204,'Form responses 1'!$B$2:$B$2604,'Form responses 1'!$F$2:$F$2604,""))</f>
        <v>M. 1717/ Batu Putuk</v>
      </c>
      <c r="I204" s="44" t="str">
        <f t="array" ref="I204">IF(B204="","",_xlfn.XLOOKUP(B204,'Form responses 1'!$B$2:$B$2604,'Form responses 1'!$I$2:$I$2604,""))</f>
        <v>BAtu Putuk</v>
      </c>
      <c r="J204" s="44" t="str">
        <f t="array" ref="J204">IF(B204="","",_xlfn.XLOOKUP(B204,'Form responses 1'!$B$2:$B$2604,'Form responses 1'!$G$2:$G$2604,""))</f>
        <v>Rapita</v>
      </c>
      <c r="K204" s="41" t="s">
        <v>2421</v>
      </c>
      <c r="L204" s="52">
        <f t="shared" si="7"/>
        <v>45587.69678</v>
      </c>
      <c r="M204" s="47"/>
      <c r="N204" s="49"/>
      <c r="O204" s="49"/>
      <c r="P204" s="49"/>
      <c r="Q204" s="49"/>
      <c r="R204" s="49"/>
      <c r="S204" s="49"/>
      <c r="T204" s="49"/>
      <c r="U204" s="49"/>
      <c r="V204" s="49"/>
      <c r="W204" s="41" t="s">
        <v>618</v>
      </c>
      <c r="X204" s="46">
        <f t="shared" si="5"/>
        <v>45589.46051</v>
      </c>
      <c r="Y204" s="50" t="s">
        <v>482</v>
      </c>
      <c r="Z204" s="49">
        <f t="shared" si="6"/>
        <v>0</v>
      </c>
    </row>
    <row r="205" ht="22.5" customHeight="1">
      <c r="B205" s="41" t="s">
        <v>1262</v>
      </c>
      <c r="C205" s="43">
        <f t="array" ref="C205">IF(B205="","",_xlfn.XLOOKUP(B205,'Form responses 1'!$B$2:$B$2604,'Form responses 1'!$A$2:$A$2604,""))</f>
        <v>45586.47821</v>
      </c>
      <c r="D205" s="44" t="str">
        <f t="shared" si="3"/>
        <v>K/22/211024/1_45586.478205081</v>
      </c>
      <c r="E205" s="44" t="str">
        <f t="array" ref="E205">IF(B205="","",_xlfn.XLOOKUP(B205,'Form responses 1'!$B$2:$B$2604,'Form responses 1'!$C$2:$C$2604,""))</f>
        <v>Ajeng W/ Kuswan</v>
      </c>
      <c r="F205" s="44" t="str">
        <f t="array" ref="F205">IF(B205="","",_xlfn.XLOOKUP(B205,'Form responses 1'!$B$2:$B$2604,'Form responses 1'!$D$2:$D$2604,""))</f>
        <v>081379726397</v>
      </c>
      <c r="G205" s="44" t="str">
        <f t="array" ref="G205">IF(B205="","",_xlfn.XLOOKUP(B205,'Form responses 1'!$B$2:$B$2604,'Form responses 1'!$E$2:$E$2604,""))</f>
        <v>BN Waris</v>
      </c>
      <c r="H205" s="44" t="str">
        <f t="array" ref="H205">IF(B205="","",_xlfn.XLOOKUP(B205,'Form responses 1'!$B$2:$B$2604,'Form responses 1'!$F$2:$F$2604,""))</f>
        <v>M. 2644/ Sumber Rejo</v>
      </c>
      <c r="I205" s="44" t="str">
        <f t="array" ref="I205">IF(B205="","",_xlfn.XLOOKUP(B205,'Form responses 1'!$B$2:$B$2604,'Form responses 1'!$I$2:$I$2604,""))</f>
        <v>Sumber Rejo</v>
      </c>
      <c r="J205" s="44" t="str">
        <f t="array" ref="J205">IF(B205="","",_xlfn.XLOOKUP(B205,'Form responses 1'!$B$2:$B$2604,'Form responses 1'!$G$2:$G$2604,""))</f>
        <v>Rapita</v>
      </c>
      <c r="K205" s="41" t="s">
        <v>1233</v>
      </c>
      <c r="L205" s="52">
        <f t="shared" si="7"/>
        <v>45587.69678</v>
      </c>
      <c r="M205" s="47" t="s">
        <v>5323</v>
      </c>
      <c r="N205" s="47" t="s">
        <v>5324</v>
      </c>
      <c r="O205" s="47" t="s">
        <v>5325</v>
      </c>
      <c r="P205" s="47" t="s">
        <v>5326</v>
      </c>
      <c r="Q205" s="47" t="s">
        <v>5327</v>
      </c>
      <c r="R205" s="49"/>
      <c r="S205" s="49"/>
      <c r="T205" s="49"/>
      <c r="U205" s="49"/>
      <c r="V205" s="49"/>
      <c r="W205" s="41" t="s">
        <v>618</v>
      </c>
      <c r="X205" s="46">
        <f t="shared" si="5"/>
        <v>45604.39275</v>
      </c>
      <c r="Y205" s="50" t="s">
        <v>482</v>
      </c>
      <c r="Z205" s="49">
        <f t="shared" si="6"/>
        <v>5</v>
      </c>
    </row>
    <row r="206" ht="22.5" customHeight="1">
      <c r="B206" s="41" t="s">
        <v>1372</v>
      </c>
      <c r="C206" s="43">
        <f t="array" ref="C206">IF(B206="","",_xlfn.XLOOKUP(B206,'Form responses 1'!$B$2:$B$2604,'Form responses 1'!$A$2:$A$2604,""))</f>
        <v>45586.61764</v>
      </c>
      <c r="D206" s="44" t="str">
        <f t="shared" si="3"/>
        <v>K/48/211024/1_45586.6176368519</v>
      </c>
      <c r="E206" s="44" t="str">
        <f t="array" ref="E206">IF(B206="","",_xlfn.XLOOKUP(B206,'Form responses 1'!$B$2:$B$2604,'Form responses 1'!$C$2:$C$2604,""))</f>
        <v>Reflan Rasyid/ Ari Pran</v>
      </c>
      <c r="F206" s="44" t="str">
        <f t="array" ref="F206">IF(B206="","",_xlfn.XLOOKUP(B206,'Form responses 1'!$B$2:$B$2604,'Form responses 1'!$D$2:$D$2604,""))</f>
        <v>082282626966</v>
      </c>
      <c r="G206" s="44" t="str">
        <f t="array" ref="G206">IF(B206="","",_xlfn.XLOOKUP(B206,'Form responses 1'!$B$2:$B$2604,'Form responses 1'!$E$2:$E$2604,""))</f>
        <v>BN Jual Beli</v>
      </c>
      <c r="H206" s="44" t="str">
        <f t="array" ref="H206">IF(B206="","",_xlfn.XLOOKUP(B206,'Form responses 1'!$B$2:$B$2604,'Form responses 1'!$F$2:$F$2604,""))</f>
        <v>M. 240/ Kemiling Permai</v>
      </c>
      <c r="I206" s="44" t="str">
        <f t="array" ref="I206">IF(B206="","",_xlfn.XLOOKUP(B206,'Form responses 1'!$B$2:$B$2604,'Form responses 1'!$I$2:$I$2604,""))</f>
        <v>Kemiling Permai</v>
      </c>
      <c r="J206" s="44" t="str">
        <f t="array" ref="J206">IF(B206="","",_xlfn.XLOOKUP(B206,'Form responses 1'!$B$2:$B$2604,'Form responses 1'!$G$2:$G$2604,""))</f>
        <v>Hananda</v>
      </c>
      <c r="K206" s="41" t="s">
        <v>1233</v>
      </c>
      <c r="L206" s="52">
        <f t="shared" si="7"/>
        <v>45587.69678</v>
      </c>
      <c r="M206" s="49"/>
      <c r="N206" s="49"/>
      <c r="O206" s="49"/>
      <c r="P206" s="49"/>
      <c r="Q206" s="49"/>
      <c r="R206" s="49"/>
      <c r="S206" s="49"/>
      <c r="T206" s="49"/>
      <c r="U206" s="49"/>
      <c r="V206" s="49"/>
      <c r="W206" s="41" t="s">
        <v>618</v>
      </c>
      <c r="X206" s="46">
        <f t="shared" si="5"/>
        <v>45589.51388</v>
      </c>
      <c r="Y206" s="50" t="s">
        <v>482</v>
      </c>
      <c r="Z206" s="49">
        <f t="shared" si="6"/>
        <v>0</v>
      </c>
    </row>
    <row r="207" ht="22.5" customHeight="1">
      <c r="B207" s="41" t="s">
        <v>1384</v>
      </c>
      <c r="C207" s="43">
        <f t="array" ref="C207">IF(B207="","",_xlfn.XLOOKUP(B207,'Form responses 1'!$B$2:$B$2604,'Form responses 1'!$A$2:$A$2604,""))</f>
        <v>45586.62575</v>
      </c>
      <c r="D207" s="44" t="str">
        <f t="shared" si="3"/>
        <v>K/51/211024/2_45586.6257516667</v>
      </c>
      <c r="E207" s="44" t="str">
        <f t="array" ref="E207">IF(B207="","",_xlfn.XLOOKUP(B207,'Form responses 1'!$B$2:$B$2604,'Form responses 1'!$C$2:$C$2604,""))</f>
        <v>Budi K/ Andri Adi</v>
      </c>
      <c r="F207" s="44" t="str">
        <f t="array" ref="F207">IF(B207="","",_xlfn.XLOOKUP(B207,'Form responses 1'!$B$2:$B$2604,'Form responses 1'!$D$2:$D$2604,""))</f>
        <v>+62 858-6816-7367</v>
      </c>
      <c r="G207" s="44" t="str">
        <f t="array" ref="G207">IF(B207="","",_xlfn.XLOOKUP(B207,'Form responses 1'!$B$2:$B$2604,'Form responses 1'!$E$2:$E$2604,""))</f>
        <v>BN Jual Beli</v>
      </c>
      <c r="H207" s="44" t="str">
        <f t="array" ref="H207">IF(B207="","",_xlfn.XLOOKUP(B207,'Form responses 1'!$B$2:$B$2604,'Form responses 1'!$F$2:$F$2604,""))</f>
        <v>M. 923/ Gunung Sulah</v>
      </c>
      <c r="I207" s="44" t="str">
        <f t="array" ref="I207">IF(B207="","",_xlfn.XLOOKUP(B207,'Form responses 1'!$B$2:$B$2604,'Form responses 1'!$I$2:$I$2604,""))</f>
        <v>Gunung Sulah</v>
      </c>
      <c r="J207" s="44" t="str">
        <f t="array" ref="J207">IF(B207="","",_xlfn.XLOOKUP(B207,'Form responses 1'!$B$2:$B$2604,'Form responses 1'!$G$2:$G$2604,""))</f>
        <v>Rapita</v>
      </c>
      <c r="K207" s="41" t="s">
        <v>1233</v>
      </c>
      <c r="L207" s="52">
        <f t="shared" si="7"/>
        <v>45587.69678</v>
      </c>
      <c r="M207" s="49"/>
      <c r="N207" s="49"/>
      <c r="O207" s="49"/>
      <c r="P207" s="49"/>
      <c r="Q207" s="49"/>
      <c r="R207" s="49"/>
      <c r="S207" s="49"/>
      <c r="T207" s="49"/>
      <c r="U207" s="49"/>
      <c r="V207" s="49"/>
      <c r="W207" s="41" t="s">
        <v>618</v>
      </c>
      <c r="X207" s="46">
        <f t="shared" si="5"/>
        <v>45589.50991</v>
      </c>
      <c r="Y207" s="50" t="s">
        <v>482</v>
      </c>
      <c r="Z207" s="49">
        <f t="shared" si="6"/>
        <v>0</v>
      </c>
    </row>
    <row r="208" ht="22.5" customHeight="1">
      <c r="B208" s="41" t="s">
        <v>1258</v>
      </c>
      <c r="C208" s="43">
        <f t="array" ref="C208">IF(B208="","",_xlfn.XLOOKUP(B208,'Form responses 1'!$B$2:$B$2604,'Form responses 1'!$A$2:$A$2604,""))</f>
        <v>45586.47667</v>
      </c>
      <c r="D208" s="44" t="str">
        <f t="shared" si="3"/>
        <v>K/19/211024/2_45586.4766672454</v>
      </c>
      <c r="E208" s="44" t="str">
        <f t="array" ref="E208">IF(B208="","",_xlfn.XLOOKUP(B208,'Form responses 1'!$B$2:$B$2604,'Form responses 1'!$C$2:$C$2604,""))</f>
        <v>Eka sari taherah/ nova astamin</v>
      </c>
      <c r="F208" s="44" t="str">
        <f t="array" ref="F208">IF(B208="","",_xlfn.XLOOKUP(B208,'Form responses 1'!$B$2:$B$2604,'Form responses 1'!$D$2:$D$2604,""))</f>
        <v>0895363114046</v>
      </c>
      <c r="G208" s="44" t="str">
        <f t="array" ref="G208">IF(B208="","",_xlfn.XLOOKUP(B208,'Form responses 1'!$B$2:$B$2604,'Form responses 1'!$E$2:$E$2604,""))</f>
        <v>BN Jual Beli</v>
      </c>
      <c r="H208" s="44" t="str">
        <f t="array" ref="H208">IF(B208="","",_xlfn.XLOOKUP(B208,'Form responses 1'!$B$2:$B$2604,'Form responses 1'!$F$2:$F$2604,""))</f>
        <v>M. 4625/ Sukadana Ham</v>
      </c>
      <c r="I208" s="44" t="str">
        <f t="array" ref="I208">IF(B208="","",_xlfn.XLOOKUP(B208,'Form responses 1'!$B$2:$B$2604,'Form responses 1'!$I$2:$I$2604,""))</f>
        <v>Sukadana Ham</v>
      </c>
      <c r="J208" s="44" t="str">
        <f t="array" ref="J208">IF(B208="","",_xlfn.XLOOKUP(B208,'Form responses 1'!$B$2:$B$2604,'Form responses 1'!$G$2:$G$2604,""))</f>
        <v>Hananda</v>
      </c>
      <c r="K208" s="41" t="s">
        <v>1233</v>
      </c>
      <c r="L208" s="52">
        <f t="shared" si="7"/>
        <v>45587.69678</v>
      </c>
      <c r="M208" s="49"/>
      <c r="N208" s="49"/>
      <c r="O208" s="49"/>
      <c r="P208" s="49"/>
      <c r="Q208" s="49"/>
      <c r="R208" s="49"/>
      <c r="S208" s="49"/>
      <c r="T208" s="49"/>
      <c r="U208" s="49"/>
      <c r="V208" s="49"/>
      <c r="W208" s="41" t="s">
        <v>618</v>
      </c>
      <c r="X208" s="46">
        <f t="shared" si="5"/>
        <v>45589.50489</v>
      </c>
      <c r="Y208" s="50" t="s">
        <v>482</v>
      </c>
      <c r="Z208" s="49">
        <f t="shared" si="6"/>
        <v>0</v>
      </c>
    </row>
    <row r="209" ht="22.5" customHeight="1">
      <c r="B209" s="41" t="s">
        <v>1254</v>
      </c>
      <c r="C209" s="43">
        <f t="array" ref="C209">IF(B209="","",_xlfn.XLOOKUP(B209,'Form responses 1'!$B$2:$B$2604,'Form responses 1'!$A$2:$A$2604,""))</f>
        <v>45586.4737</v>
      </c>
      <c r="D209" s="44" t="str">
        <f t="shared" si="3"/>
        <v>K/18/211024/1_45586.473700081</v>
      </c>
      <c r="E209" s="44" t="str">
        <f t="array" ref="E209">IF(B209="","",_xlfn.XLOOKUP(B209,'Form responses 1'!$B$2:$B$2604,'Form responses 1'!$C$2:$C$2604,""))</f>
        <v>eka sari taherah/ Riyanto</v>
      </c>
      <c r="F209" s="44" t="str">
        <f t="array" ref="F209">IF(B209="","",_xlfn.XLOOKUP(B209,'Form responses 1'!$B$2:$B$2604,'Form responses 1'!$D$2:$D$2604,""))</f>
        <v>0895363114046</v>
      </c>
      <c r="G209" s="44" t="str">
        <f t="array" ref="G209">IF(B209="","",_xlfn.XLOOKUP(B209,'Form responses 1'!$B$2:$B$2604,'Form responses 1'!$E$2:$E$2604,""))</f>
        <v>Bn Jual Beli</v>
      </c>
      <c r="H209" s="44" t="str">
        <f t="array" ref="H209">IF(B209="","",_xlfn.XLOOKUP(B209,'Form responses 1'!$B$2:$B$2604,'Form responses 1'!$F$2:$F$2604,""))</f>
        <v>B. 209/ Campang Jaya</v>
      </c>
      <c r="I209" s="44" t="str">
        <f t="array" ref="I209">IF(B209="","",_xlfn.XLOOKUP(B209,'Form responses 1'!$B$2:$B$2604,'Form responses 1'!$I$2:$I$2604,""))</f>
        <v>Campang Jaya</v>
      </c>
      <c r="J209" s="44" t="str">
        <f t="array" ref="J209">IF(B209="","",_xlfn.XLOOKUP(B209,'Form responses 1'!$B$2:$B$2604,'Form responses 1'!$G$2:$G$2604,""))</f>
        <v>Hananda</v>
      </c>
      <c r="K209" s="41" t="s">
        <v>1233</v>
      </c>
      <c r="L209" s="52">
        <f t="shared" si="7"/>
        <v>45587.69679</v>
      </c>
      <c r="M209" s="47" t="s">
        <v>5328</v>
      </c>
      <c r="N209" s="49"/>
      <c r="O209" s="49"/>
      <c r="P209" s="49"/>
      <c r="Q209" s="49"/>
      <c r="R209" s="49"/>
      <c r="S209" s="49"/>
      <c r="T209" s="49"/>
      <c r="U209" s="49"/>
      <c r="V209" s="49"/>
      <c r="W209" s="41" t="s">
        <v>470</v>
      </c>
      <c r="X209" s="46">
        <f t="shared" si="5"/>
        <v>45589.4904</v>
      </c>
      <c r="Y209" s="50" t="s">
        <v>482</v>
      </c>
      <c r="Z209" s="49">
        <f t="shared" si="6"/>
        <v>1</v>
      </c>
    </row>
    <row r="210" ht="22.5" customHeight="1">
      <c r="B210" s="41" t="s">
        <v>1200</v>
      </c>
      <c r="C210" s="43">
        <f t="array" ref="C210">IF(B210="","",_xlfn.XLOOKUP(B210,'Form responses 1'!$B$2:$B$2604,'Form responses 1'!$A$2:$A$2604,""))</f>
        <v>45586.38951</v>
      </c>
      <c r="D210" s="44" t="str">
        <f t="shared" si="3"/>
        <v>K/3/211024/1_45586.3895082292</v>
      </c>
      <c r="E210" s="44" t="str">
        <f t="array" ref="E210">IF(B210="","",_xlfn.XLOOKUP(B210,'Form responses 1'!$B$2:$B$2604,'Form responses 1'!$C$2:$C$2604,""))</f>
        <v>AHMAD SIDIK/MUSA</v>
      </c>
      <c r="F210" s="44" t="str">
        <f t="array" ref="F210">IF(B210="","",_xlfn.XLOOKUP(B210,'Form responses 1'!$B$2:$B$2604,'Form responses 1'!$D$2:$D$2604,""))</f>
        <v>0895326309661</v>
      </c>
      <c r="G210" s="44" t="str">
        <f t="array" ref="G210">IF(B210="","",_xlfn.XLOOKUP(B210,'Form responses 1'!$B$2:$B$2604,'Form responses 1'!$E$2:$E$2604,""))</f>
        <v>PENINGKATAN HAK</v>
      </c>
      <c r="H210" s="44" t="str">
        <f t="array" ref="H210">IF(B210="","",_xlfn.XLOOKUP(B210,'Form responses 1'!$B$2:$B$2604,'Form responses 1'!$F$2:$F$2604,""))</f>
        <v>B.530/CAMPANG JAYA</v>
      </c>
      <c r="I210" s="44" t="str">
        <f t="array" ref="I210">IF(B210="","",_xlfn.XLOOKUP(B210,'Form responses 1'!$B$2:$B$2604,'Form responses 1'!$I$2:$I$2604,""))</f>
        <v>CAMPANG JAYA</v>
      </c>
      <c r="J210" s="44" t="str">
        <f t="array" ref="J210">IF(B210="","",_xlfn.XLOOKUP(B210,'Form responses 1'!$B$2:$B$2604,'Form responses 1'!$G$2:$G$2604,""))</f>
        <v>Baynur</v>
      </c>
      <c r="K210" s="41" t="s">
        <v>1233</v>
      </c>
      <c r="L210" s="52">
        <f t="shared" si="7"/>
        <v>45587.6968</v>
      </c>
      <c r="M210" s="49"/>
      <c r="N210" s="49"/>
      <c r="O210" s="49"/>
      <c r="P210" s="49"/>
      <c r="Q210" s="49"/>
      <c r="R210" s="49"/>
      <c r="S210" s="49"/>
      <c r="T210" s="49"/>
      <c r="U210" s="49"/>
      <c r="V210" s="49"/>
      <c r="W210" s="41" t="s">
        <v>618</v>
      </c>
      <c r="X210" s="46">
        <f t="shared" si="5"/>
        <v>45589.47876</v>
      </c>
      <c r="Y210" s="50" t="s">
        <v>482</v>
      </c>
      <c r="Z210" s="49">
        <f t="shared" si="6"/>
        <v>0</v>
      </c>
    </row>
    <row r="211" ht="22.5" customHeight="1">
      <c r="B211" s="41" t="s">
        <v>1285</v>
      </c>
      <c r="C211" s="43">
        <f t="array" ref="C211">IF(B211="","",_xlfn.XLOOKUP(B211,'Form responses 1'!$B$2:$B$2604,'Form responses 1'!$A$2:$A$2604,""))</f>
        <v>45586.55417</v>
      </c>
      <c r="D211" s="44" t="str">
        <f t="shared" si="3"/>
        <v>L/26/211024/1_45586.5541706829</v>
      </c>
      <c r="E211" s="44" t="str">
        <f t="array" ref="E211">IF(B211="","",_xlfn.XLOOKUP(B211,'Form responses 1'!$B$2:$B$2604,'Form responses 1'!$C$2:$C$2604,""))</f>
        <v>ETIK YULIANTI</v>
      </c>
      <c r="F211" s="44" t="str">
        <f t="array" ref="F211">IF(B211="","",_xlfn.XLOOKUP(B211,'Form responses 1'!$B$2:$B$2604,'Form responses 1'!$D$2:$D$2604,""))</f>
        <v>0811790025</v>
      </c>
      <c r="G211" s="44" t="str">
        <f t="array" ref="G211">IF(B211="","",_xlfn.XLOOKUP(B211,'Form responses 1'!$B$2:$B$2604,'Form responses 1'!$E$2:$E$2604,""))</f>
        <v>PERUBAHAN HAK</v>
      </c>
      <c r="H211" s="44" t="str">
        <f t="array" ref="H211">IF(B211="","",_xlfn.XLOOKUP(B211,'Form responses 1'!$B$2:$B$2604,'Form responses 1'!$F$2:$F$2604,""))</f>
        <v>B.97/BILABONG JAYA;B.28/SUSUNAN BARU-DAHULU</v>
      </c>
      <c r="I211" s="44" t="str">
        <f t="array" ref="I211">IF(B211="","",_xlfn.XLOOKUP(B211,'Form responses 1'!$B$2:$B$2604,'Form responses 1'!$I$2:$I$2604,""))</f>
        <v>BILABONG JAYA</v>
      </c>
      <c r="J211" s="44" t="str">
        <f t="array" ref="J211">IF(B211="","",_xlfn.XLOOKUP(B211,'Form responses 1'!$B$2:$B$2604,'Form responses 1'!$G$2:$G$2604,""))</f>
        <v>Nuraini</v>
      </c>
      <c r="K211" s="41" t="s">
        <v>1233</v>
      </c>
      <c r="L211" s="52">
        <f t="shared" si="7"/>
        <v>45587.69682</v>
      </c>
      <c r="M211" s="49"/>
      <c r="N211" s="49"/>
      <c r="O211" s="49"/>
      <c r="P211" s="49"/>
      <c r="Q211" s="49"/>
      <c r="R211" s="49"/>
      <c r="S211" s="49"/>
      <c r="T211" s="49"/>
      <c r="U211" s="49"/>
      <c r="V211" s="49"/>
      <c r="W211" s="41" t="s">
        <v>618</v>
      </c>
      <c r="X211" s="46">
        <f t="shared" si="5"/>
        <v>45589.42495</v>
      </c>
      <c r="Y211" s="50" t="s">
        <v>482</v>
      </c>
      <c r="Z211" s="49">
        <f t="shared" si="6"/>
        <v>0</v>
      </c>
    </row>
    <row r="212" ht="22.5" customHeight="1">
      <c r="B212" s="41" t="s">
        <v>1223</v>
      </c>
      <c r="C212" s="43">
        <f t="array" ref="C212">IF(B212="","",_xlfn.XLOOKUP(B212,'Form responses 1'!$B$2:$B$2604,'Form responses 1'!$A$2:$A$2604,""))</f>
        <v>45586.43353</v>
      </c>
      <c r="D212" s="44" t="str">
        <f t="shared" si="3"/>
        <v>L/9/211024/1_45586.4335264931</v>
      </c>
      <c r="E212" s="44" t="str">
        <f t="array" ref="E212">IF(B212="","",_xlfn.XLOOKUP(B212,'Form responses 1'!$B$2:$B$2604,'Form responses 1'!$C$2:$C$2604,""))</f>
        <v>PETRUS</v>
      </c>
      <c r="F212" s="44" t="str">
        <f t="array" ref="F212">IF(B212="","",_xlfn.XLOOKUP(B212,'Form responses 1'!$B$2:$B$2604,'Form responses 1'!$D$2:$D$2604,""))</f>
        <v>0811797250</v>
      </c>
      <c r="G212" s="44" t="str">
        <f t="array" ref="G212">IF(B212="","",_xlfn.XLOOKUP(B212,'Form responses 1'!$B$2:$B$2604,'Form responses 1'!$E$2:$E$2604,""))</f>
        <v>ROYA</v>
      </c>
      <c r="H212" s="44" t="str">
        <f t="array" ref="H212">IF(B212="","",_xlfn.XLOOKUP(B212,'Form responses 1'!$B$2:$B$2604,'Form responses 1'!$F$2:$F$2604,""))</f>
        <v>HM 2993/CAMPANG RAYA-SEKARANG;HGB 2402/CAMPANG RAYA-DAHULU</v>
      </c>
      <c r="I212" s="44" t="str">
        <f t="array" ref="I212">IF(B212="","",_xlfn.XLOOKUP(B212,'Form responses 1'!$B$2:$B$2604,'Form responses 1'!$I$2:$I$2604,""))</f>
        <v>CAMPANF RAYA</v>
      </c>
      <c r="J212" s="44" t="str">
        <f t="array" ref="J212">IF(B212="","",_xlfn.XLOOKUP(B212,'Form responses 1'!$B$2:$B$2604,'Form responses 1'!$G$2:$G$2604,""))</f>
        <v>Deby</v>
      </c>
      <c r="K212" s="41" t="s">
        <v>1233</v>
      </c>
      <c r="L212" s="52">
        <f t="shared" si="7"/>
        <v>45587.69684</v>
      </c>
      <c r="M212" s="47" t="s">
        <v>5329</v>
      </c>
      <c r="N212" s="47" t="s">
        <v>5330</v>
      </c>
      <c r="O212" s="49"/>
      <c r="P212" s="49"/>
      <c r="Q212" s="49"/>
      <c r="R212" s="49"/>
      <c r="S212" s="49"/>
      <c r="T212" s="49"/>
      <c r="U212" s="49"/>
      <c r="V212" s="49"/>
      <c r="W212" s="41" t="s">
        <v>618</v>
      </c>
      <c r="X212" s="46">
        <f t="shared" si="5"/>
        <v>45589.61384</v>
      </c>
      <c r="Y212" s="50" t="s">
        <v>482</v>
      </c>
      <c r="Z212" s="49">
        <f t="shared" si="6"/>
        <v>2</v>
      </c>
    </row>
    <row r="213" ht="22.5" customHeight="1">
      <c r="B213" s="41" t="s">
        <v>1011</v>
      </c>
      <c r="C213" s="43">
        <f t="array" ref="C213">IF(B213="","",_xlfn.XLOOKUP(B213,'Form responses 1'!$B$2:$B$2604,'Form responses 1'!$A$2:$A$2604,""))</f>
        <v>45583.45149</v>
      </c>
      <c r="D213" s="44" t="str">
        <f t="shared" si="3"/>
        <v>K/11/181024/1_45583.4514901968</v>
      </c>
      <c r="E213" s="44" t="str">
        <f t="array" ref="E213">IF(B213="","",_xlfn.XLOOKUP(B213,'Form responses 1'!$B$2:$B$2604,'Form responses 1'!$C$2:$C$2604,""))</f>
        <v>DRS.M NADJIB RIPHAT/DRA HJ MASDALIZA JN</v>
      </c>
      <c r="F213" s="44" t="str">
        <f t="array" ref="F213">IF(B213="","",_xlfn.XLOOKUP(B213,'Form responses 1'!$B$2:$B$2604,'Form responses 1'!$D$2:$D$2604,""))</f>
        <v>081271839521</v>
      </c>
      <c r="G213" s="44" t="str">
        <f t="array" ref="G213">IF(B213="","",_xlfn.XLOOKUP(B213,'Form responses 1'!$B$2:$B$2604,'Form responses 1'!$E$2:$E$2604,""))</f>
        <v>PEMECAHAN</v>
      </c>
      <c r="H213" s="44" t="str">
        <f t="array" ref="H213">IF(B213="","",_xlfn.XLOOKUP(B213,'Form responses 1'!$B$2:$B$2604,'Form responses 1'!$F$2:$F$2604,""))</f>
        <v>M.1637/BUMI KEDAMAIAN-SEKARANG;M.13670/KEDAMAIAN-DAHULU</v>
      </c>
      <c r="I213" s="44" t="str">
        <f t="array" ref="I213">IF(B213="","",_xlfn.XLOOKUP(B213,'Form responses 1'!$B$2:$B$2604,'Form responses 1'!$I$2:$I$2604,""))</f>
        <v>BUMI KEDAMAIAN</v>
      </c>
      <c r="J213" s="44" t="str">
        <f t="array" ref="J213">IF(B213="","",_xlfn.XLOOKUP(B213,'Form responses 1'!$B$2:$B$2604,'Form responses 1'!$G$2:$G$2604,""))</f>
        <v>Baynur</v>
      </c>
      <c r="K213" s="41" t="s">
        <v>1233</v>
      </c>
      <c r="L213" s="52">
        <f t="shared" si="7"/>
        <v>45587.69686</v>
      </c>
      <c r="M213" s="47" t="s">
        <v>5331</v>
      </c>
      <c r="N213" s="49"/>
      <c r="O213" s="49"/>
      <c r="P213" s="49"/>
      <c r="Q213" s="49"/>
      <c r="R213" s="49"/>
      <c r="S213" s="49"/>
      <c r="T213" s="49"/>
      <c r="U213" s="49"/>
      <c r="V213" s="49"/>
      <c r="W213" s="41" t="s">
        <v>618</v>
      </c>
      <c r="X213" s="46">
        <f t="shared" si="5"/>
        <v>45595.352</v>
      </c>
      <c r="Y213" s="50" t="s">
        <v>482</v>
      </c>
      <c r="Z213" s="49">
        <f t="shared" si="6"/>
        <v>1</v>
      </c>
    </row>
    <row r="214" ht="22.5" customHeight="1">
      <c r="B214" s="41" t="s">
        <v>1316</v>
      </c>
      <c r="C214" s="43">
        <f t="array" ref="C214">IF(B214="","",_xlfn.XLOOKUP(B214,'Form responses 1'!$B$2:$B$2604,'Form responses 1'!$A$2:$A$2604,""))</f>
        <v>45586.58034</v>
      </c>
      <c r="D214" s="44" t="str">
        <f t="shared" si="3"/>
        <v>L/33/211024/1_45586.5803352199</v>
      </c>
      <c r="E214" s="44" t="str">
        <f t="array" ref="E214">IF(B214="","",_xlfn.XLOOKUP(B214,'Form responses 1'!$B$2:$B$2604,'Form responses 1'!$C$2:$C$2604,""))</f>
        <v>NURLELA</v>
      </c>
      <c r="F214" s="44" t="str">
        <f t="array" ref="F214">IF(B214="","",_xlfn.XLOOKUP(B214,'Form responses 1'!$B$2:$B$2604,'Form responses 1'!$D$2:$D$2604,""))</f>
        <v>081279802812</v>
      </c>
      <c r="G214" s="44" t="str">
        <f t="array" ref="G214">IF(B214="","",_xlfn.XLOOKUP(B214,'Form responses 1'!$B$2:$B$2604,'Form responses 1'!$E$2:$E$2604,""))</f>
        <v>ROYA</v>
      </c>
      <c r="H214" s="44" t="str">
        <f t="array" ref="H214">IF(B214="","",_xlfn.XLOOKUP(B214,'Form responses 1'!$B$2:$B$2604,'Form responses 1'!$F$2:$F$2604,""))</f>
        <v>HM 180/PINANG JAYA</v>
      </c>
      <c r="I214" s="44" t="str">
        <f t="array" ref="I214">IF(B214="","",_xlfn.XLOOKUP(B214,'Form responses 1'!$B$2:$B$2604,'Form responses 1'!$I$2:$I$2604,""))</f>
        <v>PINANG JAYA</v>
      </c>
      <c r="J214" s="44" t="str">
        <f t="array" ref="J214">IF(B214="","",_xlfn.XLOOKUP(B214,'Form responses 1'!$B$2:$B$2604,'Form responses 1'!$G$2:$G$2604,""))</f>
        <v>Deby</v>
      </c>
      <c r="K214" s="41" t="s">
        <v>422</v>
      </c>
      <c r="L214" s="52">
        <f t="shared" si="7"/>
        <v>45587.69683</v>
      </c>
      <c r="M214" s="47" t="s">
        <v>1874</v>
      </c>
      <c r="N214" s="49"/>
      <c r="O214" s="49"/>
      <c r="P214" s="49"/>
      <c r="Q214" s="49"/>
      <c r="R214" s="49"/>
      <c r="S214" s="49"/>
      <c r="T214" s="49"/>
      <c r="U214" s="49"/>
      <c r="V214" s="49"/>
      <c r="W214" s="41" t="s">
        <v>618</v>
      </c>
      <c r="X214" s="46">
        <f t="shared" si="5"/>
        <v>45588.42429</v>
      </c>
      <c r="Y214" s="50" t="s">
        <v>482</v>
      </c>
      <c r="Z214" s="49">
        <f t="shared" si="6"/>
        <v>1</v>
      </c>
    </row>
    <row r="215" ht="22.5" customHeight="1">
      <c r="B215" s="41" t="s">
        <v>1041</v>
      </c>
      <c r="C215" s="43">
        <f t="array" ref="C215">IF(B215="","",_xlfn.XLOOKUP(B215,'Form responses 1'!$B$2:$B$2604,'Form responses 1'!$A$2:$A$2604,""))</f>
        <v>45583.46944</v>
      </c>
      <c r="D215" s="44" t="str">
        <f t="shared" si="3"/>
        <v>K/18/181024/1_45583.4694362847</v>
      </c>
      <c r="E215" s="44" t="str">
        <f t="array" ref="E215">IF(B215="","",_xlfn.XLOOKUP(B215,'Form responses 1'!$B$2:$B$2604,'Form responses 1'!$C$2:$C$2604,""))</f>
        <v>PAINO/MULYADI RASYID</v>
      </c>
      <c r="F215" s="44" t="str">
        <f t="array" ref="F215">IF(B215="","",_xlfn.XLOOKUP(B215,'Form responses 1'!$B$2:$B$2604,'Form responses 1'!$D$2:$D$2604,""))</f>
        <v>081379115116</v>
      </c>
      <c r="G215" s="44" t="str">
        <f t="array" ref="G215">IF(B215="","",_xlfn.XLOOKUP(B215,'Form responses 1'!$B$2:$B$2604,'Form responses 1'!$E$2:$E$2604,""))</f>
        <v>PEMECAHAN</v>
      </c>
      <c r="H215" s="44" t="str">
        <f t="array" ref="H215">IF(B215="","",_xlfn.XLOOKUP(B215,'Form responses 1'!$B$2:$B$2604,'Form responses 1'!$F$2:$F$2604,""))</f>
        <v>M.4511/WAY KANDIS </v>
      </c>
      <c r="I215" s="44" t="str">
        <f t="array" ref="I215">IF(B215="","",_xlfn.XLOOKUP(B215,'Form responses 1'!$B$2:$B$2604,'Form responses 1'!$I$2:$I$2604,""))</f>
        <v>WAY KANDIS </v>
      </c>
      <c r="J215" s="44" t="str">
        <f t="array" ref="J215">IF(B215="","",_xlfn.XLOOKUP(B215,'Form responses 1'!$B$2:$B$2604,'Form responses 1'!$G$2:$G$2604,""))</f>
        <v>Baynur</v>
      </c>
      <c r="K215" s="41" t="s">
        <v>422</v>
      </c>
      <c r="L215" s="52">
        <f t="shared" si="7"/>
        <v>45587.69768</v>
      </c>
      <c r="M215" s="47" t="s">
        <v>1874</v>
      </c>
      <c r="N215" s="49"/>
      <c r="O215" s="49"/>
      <c r="P215" s="49"/>
      <c r="Q215" s="49"/>
      <c r="R215" s="49"/>
      <c r="S215" s="49"/>
      <c r="T215" s="49"/>
      <c r="U215" s="49"/>
      <c r="V215" s="49"/>
      <c r="W215" s="41" t="s">
        <v>618</v>
      </c>
      <c r="X215" s="46">
        <f t="shared" si="5"/>
        <v>45588.438</v>
      </c>
      <c r="Y215" s="50" t="s">
        <v>482</v>
      </c>
      <c r="Z215" s="49">
        <f t="shared" si="6"/>
        <v>1</v>
      </c>
    </row>
    <row r="216" ht="22.5" customHeight="1">
      <c r="B216" s="41" t="s">
        <v>1380</v>
      </c>
      <c r="C216" s="43">
        <f t="array" ref="C216">IF(B216="","",_xlfn.XLOOKUP(B216,'Form responses 1'!$B$2:$B$2604,'Form responses 1'!$A$2:$A$2604,""))</f>
        <v>45586.62308</v>
      </c>
      <c r="D216" s="44" t="str">
        <f t="shared" si="3"/>
        <v>K/50/211024/1_45586.6230780556</v>
      </c>
      <c r="E216" s="44" t="str">
        <f t="array" ref="E216">IF(B216="","",_xlfn.XLOOKUP(B216,'Form responses 1'!$B$2:$B$2604,'Form responses 1'!$C$2:$C$2604,""))</f>
        <v>Budi K/ Debora A T</v>
      </c>
      <c r="F216" s="44" t="str">
        <f t="array" ref="F216">IF(B216="","",_xlfn.XLOOKUP(B216,'Form responses 1'!$B$2:$B$2604,'Form responses 1'!$D$2:$D$2604,""))</f>
        <v>+62 858-6816-7367</v>
      </c>
      <c r="G216" s="44" t="str">
        <f t="array" ref="G216">IF(B216="","",_xlfn.XLOOKUP(B216,'Form responses 1'!$B$2:$B$2604,'Form responses 1'!$E$2:$E$2604,""))</f>
        <v>Roya</v>
      </c>
      <c r="H216" s="44" t="str">
        <f t="array" ref="H216">IF(B216="","",_xlfn.XLOOKUP(B216,'Form responses 1'!$B$2:$B$2604,'Form responses 1'!$F$2:$F$2604,""))</f>
        <v>M. 13651/ Labuhan Ratu; SHT 2739/2019</v>
      </c>
      <c r="I216" s="44" t="str">
        <f t="array" ref="I216">IF(B216="","",_xlfn.XLOOKUP(B216,'Form responses 1'!$B$2:$B$2604,'Form responses 1'!$I$2:$I$2604,""))</f>
        <v>Labuhan Ratu</v>
      </c>
      <c r="J216" s="44" t="str">
        <f t="array" ref="J216">IF(B216="","",_xlfn.XLOOKUP(B216,'Form responses 1'!$B$2:$B$2604,'Form responses 1'!$G$2:$G$2604,""))</f>
        <v>Rapita</v>
      </c>
      <c r="K216" s="41" t="s">
        <v>422</v>
      </c>
      <c r="L216" s="52">
        <f t="shared" si="7"/>
        <v>45587.6977</v>
      </c>
      <c r="M216" s="47" t="s">
        <v>4144</v>
      </c>
      <c r="N216" s="49"/>
      <c r="O216" s="49"/>
      <c r="P216" s="49"/>
      <c r="Q216" s="49"/>
      <c r="R216" s="49"/>
      <c r="S216" s="49"/>
      <c r="T216" s="49"/>
      <c r="U216" s="49"/>
      <c r="V216" s="49"/>
      <c r="W216" s="41" t="s">
        <v>618</v>
      </c>
      <c r="X216" s="46">
        <f t="shared" si="5"/>
        <v>45589.66327</v>
      </c>
      <c r="Y216" s="50" t="s">
        <v>482</v>
      </c>
      <c r="Z216" s="49">
        <f t="shared" si="6"/>
        <v>1</v>
      </c>
    </row>
    <row r="217" ht="22.5" customHeight="1">
      <c r="B217" s="41" t="s">
        <v>1234</v>
      </c>
      <c r="C217" s="43">
        <f t="array" ref="C217">IF(B217="","",_xlfn.XLOOKUP(B217,'Form responses 1'!$B$2:$B$2604,'Form responses 1'!$A$2:$A$2604,""))</f>
        <v>45586.43935</v>
      </c>
      <c r="D217" s="44" t="str">
        <f t="shared" si="3"/>
        <v>K/12/211024/3_45586.4393504282</v>
      </c>
      <c r="E217" s="44" t="str">
        <f t="array" ref="E217">IF(B217="","",_xlfn.XLOOKUP(B217,'Form responses 1'!$B$2:$B$2604,'Form responses 1'!$C$2:$C$2604,""))</f>
        <v>Panary S/ Sugianto</v>
      </c>
      <c r="F217" s="44" t="str">
        <f t="array" ref="F217">IF(B217="","",_xlfn.XLOOKUP(B217,'Form responses 1'!$B$2:$B$2604,'Form responses 1'!$D$2:$D$2604,""))</f>
        <v>+62 889-2977-399</v>
      </c>
      <c r="G217" s="44" t="str">
        <f t="array" ref="G217">IF(B217="","",_xlfn.XLOOKUP(B217,'Form responses 1'!$B$2:$B$2604,'Form responses 1'!$E$2:$E$2604,""))</f>
        <v>Perubahan Hak</v>
      </c>
      <c r="H217" s="44" t="str">
        <f t="array" ref="H217">IF(B217="","",_xlfn.XLOOKUP(B217,'Form responses 1'!$B$2:$B$2604,'Form responses 1'!$F$2:$F$2604,""))</f>
        <v>Nibel. B. 2432/ N O G</v>
      </c>
      <c r="I217" s="44" t="str">
        <f t="array" ref="I217">IF(B217="","",_xlfn.XLOOKUP(B217,'Form responses 1'!$B$2:$B$2604,'Form responses 1'!$I$2:$I$2604,""))</f>
        <v>Negeri Olok Gading</v>
      </c>
      <c r="J217" s="44" t="str">
        <f t="array" ref="J217">IF(B217="","",_xlfn.XLOOKUP(B217,'Form responses 1'!$B$2:$B$2604,'Form responses 1'!$G$2:$G$2604,""))</f>
        <v>Rapita</v>
      </c>
      <c r="K217" s="41" t="s">
        <v>422</v>
      </c>
      <c r="L217" s="52">
        <f t="shared" si="7"/>
        <v>45587.69772</v>
      </c>
      <c r="M217" s="49"/>
      <c r="N217" s="49"/>
      <c r="O217" s="49"/>
      <c r="P217" s="49"/>
      <c r="Q217" s="49"/>
      <c r="R217" s="49"/>
      <c r="S217" s="49"/>
      <c r="T217" s="49"/>
      <c r="U217" s="49"/>
      <c r="V217" s="49"/>
      <c r="W217" s="41" t="s">
        <v>618</v>
      </c>
      <c r="X217" s="46">
        <f t="shared" si="5"/>
        <v>45588.4549</v>
      </c>
      <c r="Y217" s="50" t="s">
        <v>482</v>
      </c>
      <c r="Z217" s="49">
        <f t="shared" si="6"/>
        <v>0</v>
      </c>
    </row>
    <row r="218" ht="22.5" customHeight="1">
      <c r="B218" s="41" t="s">
        <v>1168</v>
      </c>
      <c r="C218" s="43">
        <f t="array" ref="C218">IF(B218="","",_xlfn.XLOOKUP(B218,'Form responses 1'!$B$2:$B$2604,'Form responses 1'!$A$2:$A$2604,""))</f>
        <v>45583.62611</v>
      </c>
      <c r="D218" s="44" t="str">
        <f t="shared" si="3"/>
        <v>K/47/181024/3_45583.6261105324</v>
      </c>
      <c r="E218" s="44" t="str">
        <f t="array" ref="E218">IF(B218="","",_xlfn.XLOOKUP(B218,'Form responses 1'!$B$2:$B$2604,'Form responses 1'!$C$2:$C$2604,""))</f>
        <v>SRI RAHAYU/ANDRI NOVIAR</v>
      </c>
      <c r="F218" s="44" t="str">
        <f t="array" ref="F218">IF(B218="","",_xlfn.XLOOKUP(B218,'Form responses 1'!$B$2:$B$2604,'Form responses 1'!$D$2:$D$2604,""))</f>
        <v>0899-6468-550</v>
      </c>
      <c r="G218" s="44" t="str">
        <f t="array" ref="G218">IF(B218="","",_xlfn.XLOOKUP(B218,'Form responses 1'!$B$2:$B$2604,'Form responses 1'!$E$2:$E$2604,""))</f>
        <v>KEWARISAN</v>
      </c>
      <c r="H218" s="44" t="str">
        <f t="array" ref="H218">IF(B218="","",_xlfn.XLOOKUP(B218,'Form responses 1'!$B$2:$B$2604,'Form responses 1'!$F$2:$F$2604,""))</f>
        <v>M.1297/GUNUNG TERANG</v>
      </c>
      <c r="I218" s="44" t="str">
        <f t="array" ref="I218">IF(B218="","",_xlfn.XLOOKUP(B218,'Form responses 1'!$B$2:$B$2604,'Form responses 1'!$I$2:$I$2604,""))</f>
        <v>GUNUNG TERANG</v>
      </c>
      <c r="J218" s="44" t="str">
        <f t="array" ref="J218">IF(B218="","",_xlfn.XLOOKUP(B218,'Form responses 1'!$B$2:$B$2604,'Form responses 1'!$G$2:$G$2604,""))</f>
        <v>Baynur</v>
      </c>
      <c r="K218" s="41" t="s">
        <v>422</v>
      </c>
      <c r="L218" s="52">
        <f t="shared" si="7"/>
        <v>45587.69773</v>
      </c>
      <c r="M218" s="47" t="s">
        <v>5332</v>
      </c>
      <c r="N218" s="47" t="s">
        <v>5333</v>
      </c>
      <c r="O218" s="49"/>
      <c r="P218" s="49"/>
      <c r="Q218" s="49"/>
      <c r="R218" s="49"/>
      <c r="S218" s="49"/>
      <c r="T218" s="49"/>
      <c r="U218" s="49"/>
      <c r="V218" s="49"/>
      <c r="W218" s="41" t="s">
        <v>618</v>
      </c>
      <c r="X218" s="46">
        <f t="shared" si="5"/>
        <v>45595.66424</v>
      </c>
      <c r="Y218" s="50" t="s">
        <v>482</v>
      </c>
      <c r="Z218" s="49">
        <f t="shared" si="6"/>
        <v>2</v>
      </c>
    </row>
    <row r="219" ht="22.5" customHeight="1">
      <c r="B219" s="41" t="s">
        <v>1244</v>
      </c>
      <c r="C219" s="43">
        <f t="array" ref="C219">IF(B219="","",_xlfn.XLOOKUP(B219,'Form responses 1'!$B$2:$B$2604,'Form responses 1'!$A$2:$A$2604,""))</f>
        <v>45586.44863</v>
      </c>
      <c r="D219" s="44" t="str">
        <f t="shared" si="3"/>
        <v>K/14/211024/1_45586.4486346065</v>
      </c>
      <c r="E219" s="44" t="str">
        <f t="array" ref="E219">IF(B219="","",_xlfn.XLOOKUP(B219,'Form responses 1'!$B$2:$B$2604,'Form responses 1'!$C$2:$C$2604,""))</f>
        <v>Yudeni T/ Wita A</v>
      </c>
      <c r="F219" s="44" t="str">
        <f t="array" ref="F219">IF(B219="","",_xlfn.XLOOKUP(B219,'Form responses 1'!$B$2:$B$2604,'Form responses 1'!$D$2:$D$2604,""))</f>
        <v>+62 856-6464-4484</v>
      </c>
      <c r="G219" s="44" t="str">
        <f t="array" ref="G219">IF(B219="","",_xlfn.XLOOKUP(B219,'Form responses 1'!$B$2:$B$2604,'Form responses 1'!$E$2:$E$2604,""))</f>
        <v>BN Jual Beli</v>
      </c>
      <c r="H219" s="44" t="str">
        <f t="array" ref="H219">IF(B219="","",_xlfn.XLOOKUP(B219,'Form responses 1'!$B$2:$B$2604,'Form responses 1'!$F$2:$F$2604,""))</f>
        <v>M. 11632/ Sukarame</v>
      </c>
      <c r="I219" s="44" t="str">
        <f t="array" ref="I219">IF(B219="","",_xlfn.XLOOKUP(B219,'Form responses 1'!$B$2:$B$2604,'Form responses 1'!$I$2:$I$2604,""))</f>
        <v>Sukarame</v>
      </c>
      <c r="J219" s="44" t="str">
        <f t="array" ref="J219">IF(B219="","",_xlfn.XLOOKUP(B219,'Form responses 1'!$B$2:$B$2604,'Form responses 1'!$G$2:$G$2604,""))</f>
        <v>Rapita</v>
      </c>
      <c r="K219" s="41" t="s">
        <v>422</v>
      </c>
      <c r="L219" s="52">
        <f t="shared" si="7"/>
        <v>45587.69776</v>
      </c>
      <c r="M219" s="47" t="s">
        <v>5334</v>
      </c>
      <c r="N219" s="47" t="s">
        <v>5335</v>
      </c>
      <c r="O219" s="47" t="s">
        <v>5336</v>
      </c>
      <c r="P219" s="47" t="s">
        <v>5337</v>
      </c>
      <c r="Q219" s="47" t="s">
        <v>5338</v>
      </c>
      <c r="R219" s="47"/>
      <c r="S219" s="49"/>
      <c r="T219" s="49"/>
      <c r="U219" s="49"/>
      <c r="V219" s="49"/>
      <c r="W219" s="41" t="s">
        <v>470</v>
      </c>
      <c r="X219" s="46">
        <f t="shared" si="5"/>
        <v>45589.5306</v>
      </c>
      <c r="Y219" s="50" t="s">
        <v>482</v>
      </c>
      <c r="Z219" s="49">
        <f t="shared" si="6"/>
        <v>5</v>
      </c>
    </row>
    <row r="220" ht="22.5" customHeight="1">
      <c r="B220" s="41" t="s">
        <v>1127</v>
      </c>
      <c r="C220" s="43">
        <f t="array" ref="C220">IF(B220="","",_xlfn.XLOOKUP(B220,'Form responses 1'!$B$2:$B$2604,'Form responses 1'!$A$2:$A$2604,""))</f>
        <v>45583.61058</v>
      </c>
      <c r="D220" s="44" t="str">
        <f t="shared" si="3"/>
        <v>K/37/181024/3_45583.6105809259</v>
      </c>
      <c r="E220" s="44" t="str">
        <f t="array" ref="E220">IF(B220="","",_xlfn.XLOOKUP(B220,'Form responses 1'!$B$2:$B$2604,'Form responses 1'!$C$2:$C$2604,""))</f>
        <v>I KETUT WARDANA/ANNA PURNAMASARI</v>
      </c>
      <c r="F220" s="44" t="str">
        <f t="array" ref="F220">IF(B220="","",_xlfn.XLOOKUP(B220,'Form responses 1'!$B$2:$B$2604,'Form responses 1'!$D$2:$D$2604,""))</f>
        <v>0811-7211-611</v>
      </c>
      <c r="G220" s="44" t="str">
        <f t="array" ref="G220">IF(B220="","",_xlfn.XLOOKUP(B220,'Form responses 1'!$B$2:$B$2604,'Form responses 1'!$E$2:$E$2604,""))</f>
        <v>PERALIHAN JUAL BELI</v>
      </c>
      <c r="H220" s="44" t="str">
        <f t="array" ref="H220">IF(B220="","",_xlfn.XLOOKUP(B220,'Form responses 1'!$B$2:$B$2604,'Form responses 1'!$F$2:$F$2604,""))</f>
        <v>M.1593/BUMI KEDAMAIAN-SEKARANG;M.10186/KEDAMAIAN-DAHULU</v>
      </c>
      <c r="I220" s="44" t="str">
        <f t="array" ref="I220">IF(B220="","",_xlfn.XLOOKUP(B220,'Form responses 1'!$B$2:$B$2604,'Form responses 1'!$I$2:$I$2604,""))</f>
        <v>BUMI KEDAMAIAN</v>
      </c>
      <c r="J220" s="44" t="str">
        <f t="array" ref="J220">IF(B220="","",_xlfn.XLOOKUP(B220,'Form responses 1'!$B$2:$B$2604,'Form responses 1'!$G$2:$G$2604,""))</f>
        <v>Baynur</v>
      </c>
      <c r="K220" s="41" t="s">
        <v>422</v>
      </c>
      <c r="L220" s="52">
        <f t="shared" si="7"/>
        <v>45587.69777</v>
      </c>
      <c r="M220" s="47" t="s">
        <v>5227</v>
      </c>
      <c r="N220" s="49"/>
      <c r="O220" s="49"/>
      <c r="P220" s="49"/>
      <c r="Q220" s="49"/>
      <c r="R220" s="49"/>
      <c r="S220" s="49"/>
      <c r="T220" s="49"/>
      <c r="U220" s="49"/>
      <c r="V220" s="49"/>
      <c r="W220" s="41" t="s">
        <v>618</v>
      </c>
      <c r="X220" s="46">
        <f t="shared" si="5"/>
        <v>45590.6498</v>
      </c>
      <c r="Y220" s="50" t="s">
        <v>482</v>
      </c>
      <c r="Z220" s="49">
        <f t="shared" si="6"/>
        <v>1</v>
      </c>
    </row>
    <row r="221" ht="22.5" customHeight="1">
      <c r="B221" s="41" t="s">
        <v>1165</v>
      </c>
      <c r="C221" s="43">
        <f t="array" ref="C221">IF(B221="","",_xlfn.XLOOKUP(B221,'Form responses 1'!$B$2:$B$2604,'Form responses 1'!$A$2:$A$2604,""))</f>
        <v>45583.62552</v>
      </c>
      <c r="D221" s="44" t="str">
        <f t="shared" si="3"/>
        <v>K/46/181024/2_45583.625519919</v>
      </c>
      <c r="E221" s="44" t="str">
        <f t="array" ref="E221">IF(B221="","",_xlfn.XLOOKUP(B221,'Form responses 1'!$B$2:$B$2604,'Form responses 1'!$C$2:$C$2604,""))</f>
        <v>SRI ELFINA PUJIATI/ANDRI NOVIAR</v>
      </c>
      <c r="F221" s="44" t="str">
        <f t="array" ref="F221">IF(B221="","",_xlfn.XLOOKUP(B221,'Form responses 1'!$B$2:$B$2604,'Form responses 1'!$D$2:$D$2604,""))</f>
        <v>0899-6468-550</v>
      </c>
      <c r="G221" s="44" t="str">
        <f t="array" ref="G221">IF(B221="","",_xlfn.XLOOKUP(B221,'Form responses 1'!$B$2:$B$2604,'Form responses 1'!$E$2:$E$2604,""))</f>
        <v>KEWARISAN</v>
      </c>
      <c r="H221" s="44" t="str">
        <f t="array" ref="H221">IF(B221="","",_xlfn.XLOOKUP(B221,'Form responses 1'!$B$2:$B$2604,'Form responses 1'!$F$2:$F$2604,""))</f>
        <v>M.598/GUNUNG TERANG</v>
      </c>
      <c r="I221" s="44" t="str">
        <f t="array" ref="I221">IF(B221="","",_xlfn.XLOOKUP(B221,'Form responses 1'!$B$2:$B$2604,'Form responses 1'!$I$2:$I$2604,""))</f>
        <v>GUNUNG TERANG</v>
      </c>
      <c r="J221" s="44" t="str">
        <f t="array" ref="J221">IF(B221="","",_xlfn.XLOOKUP(B221,'Form responses 1'!$B$2:$B$2604,'Form responses 1'!$G$2:$G$2604,""))</f>
        <v>Baynur</v>
      </c>
      <c r="K221" s="41" t="s">
        <v>422</v>
      </c>
      <c r="L221" s="52">
        <f t="shared" si="7"/>
        <v>45587.69779</v>
      </c>
      <c r="M221" s="47" t="s">
        <v>5333</v>
      </c>
      <c r="N221" s="49"/>
      <c r="O221" s="49"/>
      <c r="P221" s="49"/>
      <c r="Q221" s="49"/>
      <c r="R221" s="49"/>
      <c r="S221" s="49"/>
      <c r="T221" s="49"/>
      <c r="U221" s="49"/>
      <c r="V221" s="49"/>
      <c r="W221" s="41" t="s">
        <v>618</v>
      </c>
      <c r="X221" s="46">
        <f t="shared" si="5"/>
        <v>45595.66513</v>
      </c>
      <c r="Y221" s="50" t="s">
        <v>482</v>
      </c>
      <c r="Z221" s="49">
        <f t="shared" si="6"/>
        <v>1</v>
      </c>
    </row>
    <row r="222" ht="22.5" customHeight="1">
      <c r="B222" s="41" t="s">
        <v>1798</v>
      </c>
      <c r="C222" s="43">
        <f t="array" ref="C222">IF(B222="","",_xlfn.XLOOKUP(B222,'Form responses 1'!$B$2:$B$2604,'Form responses 1'!$A$2:$A$2604,""))</f>
        <v>45588.59443</v>
      </c>
      <c r="D222" s="44" t="str">
        <f t="shared" si="3"/>
        <v>L/40/231024/1_45588.5944348032</v>
      </c>
      <c r="E222" s="44" t="str">
        <f t="array" ref="E222">IF(B222="","",_xlfn.XLOOKUP(B222,'Form responses 1'!$B$2:$B$2604,'Form responses 1'!$C$2:$C$2604,""))</f>
        <v>HENNY KARTIKA H (BU DIANING)</v>
      </c>
      <c r="F222" s="44" t="str">
        <f t="array" ref="F222">IF(B222="","",_xlfn.XLOOKUP(B222,'Form responses 1'!$B$2:$B$2604,'Form responses 1'!$D$2:$D$2604,""))</f>
        <v>082281515000</v>
      </c>
      <c r="G222" s="44" t="str">
        <f t="array" ref="G222">IF(B222="","",_xlfn.XLOOKUP(B222,'Form responses 1'!$B$2:$B$2604,'Form responses 1'!$E$2:$E$2604,""))</f>
        <v>ROYA</v>
      </c>
      <c r="H222" s="44" t="str">
        <f t="array" ref="H222">IF(B222="","",_xlfn.XLOOKUP(B222,'Form responses 1'!$B$2:$B$2604,'Form responses 1'!$F$2:$F$2604,""))</f>
        <v>B.1044/KEMILING PERMAI</v>
      </c>
      <c r="I222" s="44" t="str">
        <f t="array" ref="I222">IF(B222="","",_xlfn.XLOOKUP(B222,'Form responses 1'!$B$2:$B$2604,'Form responses 1'!$I$2:$I$2604,""))</f>
        <v>KEMILING PERMAI</v>
      </c>
      <c r="J222" s="44" t="str">
        <f t="array" ref="J222">IF(B222="","",_xlfn.XLOOKUP(B222,'Form responses 1'!$B$2:$B$2604,'Form responses 1'!$G$2:$G$2604,""))</f>
        <v>Nuraini</v>
      </c>
      <c r="K222" s="41" t="s">
        <v>2421</v>
      </c>
      <c r="L222" s="52">
        <f t="shared" si="7"/>
        <v>45588.66816</v>
      </c>
      <c r="M222" s="49"/>
      <c r="N222" s="49"/>
      <c r="O222" s="49"/>
      <c r="P222" s="49"/>
      <c r="Q222" s="49"/>
      <c r="R222" s="49"/>
      <c r="S222" s="49"/>
      <c r="T222" s="49"/>
      <c r="U222" s="49"/>
      <c r="V222" s="49"/>
      <c r="W222" s="41" t="s">
        <v>618</v>
      </c>
      <c r="X222" s="46">
        <f t="shared" si="5"/>
        <v>45588.66858</v>
      </c>
      <c r="Y222" s="50" t="s">
        <v>482</v>
      </c>
      <c r="Z222" s="49">
        <f t="shared" si="6"/>
        <v>0</v>
      </c>
    </row>
    <row r="223" ht="22.5" customHeight="1">
      <c r="B223" s="41" t="s">
        <v>1510</v>
      </c>
      <c r="C223" s="43">
        <f t="array" ref="C223">IF(B223="","",_xlfn.XLOOKUP(B223,'Form responses 1'!$B$2:$B$2604,'Form responses 1'!$A$2:$A$2604,""))</f>
        <v>45587.4464</v>
      </c>
      <c r="D223" s="44" t="str">
        <f t="shared" si="3"/>
        <v>K/31/221024/3_45587.4464021412</v>
      </c>
      <c r="E223" s="44" t="str">
        <f t="array" ref="E223">IF(B223="","",_xlfn.XLOOKUP(B223,'Form responses 1'!$B$2:$B$2604,'Form responses 1'!$C$2:$C$2604,""))</f>
        <v>HERMASNYAH/AMARULLAH</v>
      </c>
      <c r="F223" s="44" t="str">
        <f t="array" ref="F223">IF(B223="","",_xlfn.XLOOKUP(B223,'Form responses 1'!$B$2:$B$2604,'Form responses 1'!$D$2:$D$2604,""))</f>
        <v>0812-7906-5959</v>
      </c>
      <c r="G223" s="44" t="str">
        <f t="array" ref="G223">IF(B223="","",_xlfn.XLOOKUP(B223,'Form responses 1'!$B$2:$B$2604,'Form responses 1'!$E$2:$E$2604,""))</f>
        <v>PERALIHAN JUAL BELI</v>
      </c>
      <c r="H223" s="44" t="str">
        <f t="array" ref="H223">IF(B223="","",_xlfn.XLOOKUP(B223,'Form responses 1'!$B$2:$B$2604,'Form responses 1'!$F$2:$F$2604,""))</f>
        <v>M.1459/KEMILING PERMAI</v>
      </c>
      <c r="I223" s="44" t="str">
        <f t="array" ref="I223">IF(B223="","",_xlfn.XLOOKUP(B223,'Form responses 1'!$B$2:$B$2604,'Form responses 1'!$I$2:$I$2604,""))</f>
        <v>KEMILING PERMAI</v>
      </c>
      <c r="J223" s="44" t="str">
        <f t="array" ref="J223">IF(B223="","",_xlfn.XLOOKUP(B223,'Form responses 1'!$B$2:$B$2604,'Form responses 1'!$G$2:$G$2604,""))</f>
        <v>Baynur</v>
      </c>
      <c r="K223" s="41" t="s">
        <v>2421</v>
      </c>
      <c r="L223" s="52">
        <f t="shared" si="7"/>
        <v>45589.47452</v>
      </c>
      <c r="M223" s="47" t="s">
        <v>5339</v>
      </c>
      <c r="N223" s="49"/>
      <c r="O223" s="49"/>
      <c r="P223" s="49"/>
      <c r="Q223" s="49"/>
      <c r="R223" s="49"/>
      <c r="S223" s="49"/>
      <c r="T223" s="49"/>
      <c r="U223" s="49"/>
      <c r="V223" s="49"/>
      <c r="W223" s="41" t="s">
        <v>618</v>
      </c>
      <c r="X223" s="46">
        <f t="shared" si="5"/>
        <v>45593.48809</v>
      </c>
      <c r="Y223" s="50" t="s">
        <v>482</v>
      </c>
      <c r="Z223" s="49">
        <f t="shared" si="6"/>
        <v>1</v>
      </c>
    </row>
    <row r="224" ht="22.5" customHeight="1">
      <c r="B224" s="41" t="s">
        <v>1459</v>
      </c>
      <c r="C224" s="43">
        <f t="array" ref="C224">IF(B224="","",_xlfn.XLOOKUP(B224,'Form responses 1'!$B$2:$B$2604,'Form responses 1'!$A$2:$A$2604,""))</f>
        <v>45587.4274</v>
      </c>
      <c r="D224" s="44" t="str">
        <f t="shared" si="3"/>
        <v>K/14/221024/2_45587.4274028472</v>
      </c>
      <c r="E224" s="44" t="str">
        <f t="array" ref="E224">IF(B224="","",_xlfn.XLOOKUP(B224,'Form responses 1'!$B$2:$B$2604,'Form responses 1'!$C$2:$C$2604,""))</f>
        <v>Nanik Maryani/ Hilda S Cs</v>
      </c>
      <c r="F224" s="44" t="str">
        <f t="array" ref="F224">IF(B224="","",_xlfn.XLOOKUP(B224,'Form responses 1'!$B$2:$B$2604,'Form responses 1'!$D$2:$D$2604,""))</f>
        <v>+62 831-7850-1348</v>
      </c>
      <c r="G224" s="44" t="str">
        <f t="array" ref="G224">IF(B224="","",_xlfn.XLOOKUP(B224,'Form responses 1'!$B$2:$B$2604,'Form responses 1'!$E$2:$E$2604,""))</f>
        <v>BN Waris</v>
      </c>
      <c r="H224" s="44" t="str">
        <f t="array" ref="H224">IF(B224="","",_xlfn.XLOOKUP(B224,'Form responses 1'!$B$2:$B$2604,'Form responses 1'!$F$2:$F$2604,""))</f>
        <v>M. 3903/ Way Kandis</v>
      </c>
      <c r="I224" s="44" t="str">
        <f t="array" ref="I224">IF(B224="","",_xlfn.XLOOKUP(B224,'Form responses 1'!$B$2:$B$2604,'Form responses 1'!$I$2:$I$2604,""))</f>
        <v>Way Kandis</v>
      </c>
      <c r="J224" s="44" t="str">
        <f t="array" ref="J224">IF(B224="","",_xlfn.XLOOKUP(B224,'Form responses 1'!$B$2:$B$2604,'Form responses 1'!$G$2:$G$2604,""))</f>
        <v>Rapita</v>
      </c>
      <c r="K224" s="41" t="s">
        <v>2421</v>
      </c>
      <c r="L224" s="52">
        <f t="shared" si="7"/>
        <v>45589.47454</v>
      </c>
      <c r="M224" s="47" t="s">
        <v>5340</v>
      </c>
      <c r="N224" s="49"/>
      <c r="O224" s="49"/>
      <c r="P224" s="49"/>
      <c r="Q224" s="49"/>
      <c r="R224" s="49"/>
      <c r="S224" s="49"/>
      <c r="T224" s="49"/>
      <c r="U224" s="49"/>
      <c r="V224" s="49"/>
      <c r="W224" s="41" t="s">
        <v>618</v>
      </c>
      <c r="X224" s="46">
        <f t="shared" si="5"/>
        <v>45597.45482</v>
      </c>
      <c r="Y224" s="50" t="s">
        <v>482</v>
      </c>
      <c r="Z224" s="49">
        <f t="shared" si="6"/>
        <v>1</v>
      </c>
    </row>
    <row r="225" ht="22.5" customHeight="1">
      <c r="B225" s="41" t="s">
        <v>1552</v>
      </c>
      <c r="C225" s="43">
        <f t="array" ref="C225">IF(B225="","",_xlfn.XLOOKUP(B225,'Form responses 1'!$B$2:$B$2604,'Form responses 1'!$A$2:$A$2604,""))</f>
        <v>45587.48374</v>
      </c>
      <c r="D225" s="44" t="str">
        <f t="shared" si="3"/>
        <v>K/39/221024/1_45587.4837376505</v>
      </c>
      <c r="E225" s="44" t="str">
        <f t="array" ref="E225">IF(B225="","",_xlfn.XLOOKUP(B225,'Form responses 1'!$B$2:$B$2604,'Form responses 1'!$C$2:$C$2604,""))</f>
        <v>Panary S/ Amirhan</v>
      </c>
      <c r="F225" s="44" t="str">
        <f t="array" ref="F225">IF(B225="","",_xlfn.XLOOKUP(B225,'Form responses 1'!$B$2:$B$2604,'Form responses 1'!$D$2:$D$2604,""))</f>
        <v>+62 889-2977-399</v>
      </c>
      <c r="G225" s="44" t="str">
        <f t="array" ref="G225">IF(B225="","",_xlfn.XLOOKUP(B225,'Form responses 1'!$B$2:$B$2604,'Form responses 1'!$E$2:$E$2604,""))</f>
        <v>BN Jual Beli</v>
      </c>
      <c r="H225" s="44" t="str">
        <f t="array" ref="H225">IF(B225="","",_xlfn.XLOOKUP(B225,'Form responses 1'!$B$2:$B$2604,'Form responses 1'!$F$2:$F$2604,""))</f>
        <v>M. 6475/ Way Kandis</v>
      </c>
      <c r="I225" s="44" t="str">
        <f t="array" ref="I225">IF(B225="","",_xlfn.XLOOKUP(B225,'Form responses 1'!$B$2:$B$2604,'Form responses 1'!$I$2:$I$2604,""))</f>
        <v>Way Kandis</v>
      </c>
      <c r="J225" s="44" t="str">
        <f t="array" ref="J225">IF(B225="","",_xlfn.XLOOKUP(B225,'Form responses 1'!$B$2:$B$2604,'Form responses 1'!$G$2:$G$2604,""))</f>
        <v>Rapita</v>
      </c>
      <c r="K225" s="41" t="s">
        <v>2421</v>
      </c>
      <c r="L225" s="52">
        <f t="shared" si="7"/>
        <v>45589.47456</v>
      </c>
      <c r="M225" s="47" t="s">
        <v>5341</v>
      </c>
      <c r="N225" s="47" t="s">
        <v>5342</v>
      </c>
      <c r="O225" s="47" t="s">
        <v>5343</v>
      </c>
      <c r="P225" s="49"/>
      <c r="Q225" s="49"/>
      <c r="R225" s="49"/>
      <c r="S225" s="49"/>
      <c r="T225" s="49"/>
      <c r="U225" s="49"/>
      <c r="V225" s="49"/>
      <c r="W225" s="41" t="s">
        <v>618</v>
      </c>
      <c r="X225" s="46">
        <f t="shared" si="5"/>
        <v>45602.65001</v>
      </c>
      <c r="Y225" s="50" t="s">
        <v>482</v>
      </c>
      <c r="Z225" s="49">
        <f t="shared" si="6"/>
        <v>3</v>
      </c>
    </row>
    <row r="226" ht="22.5" customHeight="1">
      <c r="B226" s="41" t="s">
        <v>1597</v>
      </c>
      <c r="C226" s="43">
        <f t="array" ref="C226">IF(B226="","",_xlfn.XLOOKUP(B226,'Form responses 1'!$B$2:$B$2604,'Form responses 1'!$A$2:$A$2604,""))</f>
        <v>45587.60667</v>
      </c>
      <c r="D226" s="44" t="str">
        <f t="shared" si="3"/>
        <v>K/55/221024/1_45587.6066707523</v>
      </c>
      <c r="E226" s="44" t="str">
        <f t="array" ref="E226">IF(B226="","",_xlfn.XLOOKUP(B226,'Form responses 1'!$B$2:$B$2604,'Form responses 1'!$C$2:$C$2604,""))</f>
        <v>TATO NIKO/RENALDI PRATAMA SIRYA</v>
      </c>
      <c r="F226" s="44" t="str">
        <f t="array" ref="F226">IF(B226="","",_xlfn.XLOOKUP(B226,'Form responses 1'!$B$2:$B$2604,'Form responses 1'!$D$2:$D$2604,""))</f>
        <v>0823-7375-9878</v>
      </c>
      <c r="G226" s="44" t="str">
        <f t="array" ref="G226">IF(B226="","",_xlfn.XLOOKUP(B226,'Form responses 1'!$B$2:$B$2604,'Form responses 1'!$E$2:$E$2604,""))</f>
        <v>PERALIHAN JUAL BELI</v>
      </c>
      <c r="H226" s="44" t="str">
        <f t="array" ref="H226">IF(B226="","",_xlfn.XLOOKUP(B226,'Form responses 1'!$B$2:$B$2604,'Form responses 1'!$F$2:$F$2604,""))</f>
        <v>M.671/ENGGAL</v>
      </c>
      <c r="I226" s="44" t="str">
        <f t="array" ref="I226">IF(B226="","",_xlfn.XLOOKUP(B226,'Form responses 1'!$B$2:$B$2604,'Form responses 1'!$I$2:$I$2604,""))</f>
        <v>ENGGAL</v>
      </c>
      <c r="J226" s="44" t="str">
        <f t="array" ref="J226">IF(B226="","",_xlfn.XLOOKUP(B226,'Form responses 1'!$B$2:$B$2604,'Form responses 1'!$G$2:$G$2604,""))</f>
        <v>Baynur</v>
      </c>
      <c r="K226" s="41" t="s">
        <v>2421</v>
      </c>
      <c r="L226" s="52">
        <f t="shared" si="7"/>
        <v>45589.4746</v>
      </c>
      <c r="M226" s="47" t="s">
        <v>5344</v>
      </c>
      <c r="N226" s="49"/>
      <c r="O226" s="49"/>
      <c r="P226" s="49"/>
      <c r="Q226" s="49"/>
      <c r="R226" s="49"/>
      <c r="S226" s="49"/>
      <c r="T226" s="49"/>
      <c r="U226" s="49"/>
      <c r="V226" s="49"/>
      <c r="W226" s="41" t="s">
        <v>618</v>
      </c>
      <c r="X226" s="46">
        <f t="shared" si="5"/>
        <v>45593.452</v>
      </c>
      <c r="Y226" s="50" t="s">
        <v>482</v>
      </c>
      <c r="Z226" s="49">
        <f t="shared" si="6"/>
        <v>1</v>
      </c>
    </row>
    <row r="227" ht="22.5" customHeight="1">
      <c r="B227" s="41" t="s">
        <v>1518</v>
      </c>
      <c r="C227" s="43">
        <f t="array" ref="C227">IF(B227="","",_xlfn.XLOOKUP(B227,'Form responses 1'!$B$2:$B$2604,'Form responses 1'!$A$2:$A$2604,""))</f>
        <v>45587.4546</v>
      </c>
      <c r="D227" s="44" t="str">
        <f t="shared" si="3"/>
        <v>K/34/221024/1_45587.4546032176</v>
      </c>
      <c r="E227" s="44" t="str">
        <f t="array" ref="E227">IF(B227="","",_xlfn.XLOOKUP(B227,'Form responses 1'!$B$2:$B$2604,'Form responses 1'!$C$2:$C$2604,""))</f>
        <v>RIVA YOHANA/NOVALIA EKA PUTRI</v>
      </c>
      <c r="F227" s="44" t="str">
        <f t="array" ref="F227">IF(B227="","",_xlfn.XLOOKUP(B227,'Form responses 1'!$B$2:$B$2604,'Form responses 1'!$D$2:$D$2604,""))</f>
        <v>089699476813</v>
      </c>
      <c r="G227" s="44" t="str">
        <f t="array" ref="G227">IF(B227="","",_xlfn.XLOOKUP(B227,'Form responses 1'!$B$2:$B$2604,'Form responses 1'!$E$2:$E$2604,""))</f>
        <v>PERALIHAN JUAL BELI</v>
      </c>
      <c r="H227" s="44" t="str">
        <f t="array" ref="H227">IF(B227="","",_xlfn.XLOOKUP(B227,'Form responses 1'!$B$2:$B$2604,'Form responses 1'!$F$2:$F$2604,""))</f>
        <v>M.2138/NEGERI OLOK GADING </v>
      </c>
      <c r="I227" s="44" t="str">
        <f t="array" ref="I227">IF(B227="","",_xlfn.XLOOKUP(B227,'Form responses 1'!$B$2:$B$2604,'Form responses 1'!$I$2:$I$2604,""))</f>
        <v>NEGERI OLOK GADING </v>
      </c>
      <c r="J227" s="44" t="str">
        <f t="array" ref="J227">IF(B227="","",_xlfn.XLOOKUP(B227,'Form responses 1'!$B$2:$B$2604,'Form responses 1'!$G$2:$G$2604,""))</f>
        <v>Baynur</v>
      </c>
      <c r="K227" s="41" t="s">
        <v>2421</v>
      </c>
      <c r="L227" s="52">
        <f t="shared" si="7"/>
        <v>45589.47463</v>
      </c>
      <c r="M227" s="47" t="s">
        <v>5345</v>
      </c>
      <c r="N227" s="47" t="s">
        <v>5346</v>
      </c>
      <c r="O227" s="49"/>
      <c r="P227" s="49"/>
      <c r="Q227" s="49"/>
      <c r="R227" s="49"/>
      <c r="S227" s="49"/>
      <c r="T227" s="49"/>
      <c r="U227" s="49"/>
      <c r="V227" s="49"/>
      <c r="W227" s="41" t="s">
        <v>470</v>
      </c>
      <c r="X227" s="46">
        <f t="shared" si="5"/>
        <v>45593.46929</v>
      </c>
      <c r="Y227" s="50" t="s">
        <v>482</v>
      </c>
      <c r="Z227" s="49">
        <f t="shared" si="6"/>
        <v>2</v>
      </c>
    </row>
    <row r="228" ht="22.5" customHeight="1">
      <c r="B228" s="41" t="s">
        <v>1555</v>
      </c>
      <c r="C228" s="43">
        <f t="array" ref="C228">IF(B228="","",_xlfn.XLOOKUP(B228,'Form responses 1'!$B$2:$B$2604,'Form responses 1'!$A$2:$A$2604,""))</f>
        <v>45587.48946</v>
      </c>
      <c r="D228" s="44" t="str">
        <f t="shared" si="3"/>
        <v>K/43/221024/1_45587.4894562269</v>
      </c>
      <c r="E228" s="44" t="str">
        <f t="array" ref="E228">IF(B228="","",_xlfn.XLOOKUP(B228,'Form responses 1'!$B$2:$B$2604,'Form responses 1'!$C$2:$C$2604,""))</f>
        <v>Adnan/ Wasilawati</v>
      </c>
      <c r="F228" s="44" t="str">
        <f t="array" ref="F228">IF(B228="","",_xlfn.XLOOKUP(B228,'Form responses 1'!$B$2:$B$2604,'Form responses 1'!$D$2:$D$2604,""))</f>
        <v>085269824476</v>
      </c>
      <c r="G228" s="44" t="str">
        <f t="array" ref="G228">IF(B228="","",_xlfn.XLOOKUP(B228,'Form responses 1'!$B$2:$B$2604,'Form responses 1'!$E$2:$E$2604,""))</f>
        <v>BN Jual Beli</v>
      </c>
      <c r="H228" s="44" t="str">
        <f t="array" ref="H228">IF(B228="","",_xlfn.XLOOKUP(B228,'Form responses 1'!$B$2:$B$2604,'Form responses 1'!$F$2:$F$2604,""))</f>
        <v>M. 5455/ Tanjung Seneng</v>
      </c>
      <c r="I228" s="44" t="str">
        <f t="array" ref="I228">IF(B228="","",_xlfn.XLOOKUP(B228,'Form responses 1'!$B$2:$B$2604,'Form responses 1'!$I$2:$I$2604,""))</f>
        <v>Tanjung Seneng</v>
      </c>
      <c r="J228" s="44" t="str">
        <f t="array" ref="J228">IF(B228="","",_xlfn.XLOOKUP(B228,'Form responses 1'!$B$2:$B$2604,'Form responses 1'!$G$2:$G$2604,""))</f>
        <v>Hananda</v>
      </c>
      <c r="K228" s="41" t="s">
        <v>2421</v>
      </c>
      <c r="L228" s="52">
        <f t="shared" si="7"/>
        <v>45589.47465</v>
      </c>
      <c r="M228" s="49"/>
      <c r="N228" s="49"/>
      <c r="O228" s="49"/>
      <c r="P228" s="49"/>
      <c r="Q228" s="49"/>
      <c r="R228" s="49"/>
      <c r="S228" s="49"/>
      <c r="T228" s="49"/>
      <c r="U228" s="49"/>
      <c r="V228" s="49"/>
      <c r="W228" s="41" t="s">
        <v>618</v>
      </c>
      <c r="X228" s="46">
        <f t="shared" si="5"/>
        <v>45593.556</v>
      </c>
      <c r="Y228" s="50" t="s">
        <v>482</v>
      </c>
      <c r="Z228" s="49">
        <f t="shared" si="6"/>
        <v>0</v>
      </c>
    </row>
    <row r="229" ht="22.5" customHeight="1">
      <c r="B229" s="41" t="s">
        <v>1610</v>
      </c>
      <c r="C229" s="43">
        <f t="array" ref="C229">IF(B229="","",_xlfn.XLOOKUP(B229,'Form responses 1'!$B$2:$B$2604,'Form responses 1'!$A$2:$A$2604,""))</f>
        <v>45587.60989</v>
      </c>
      <c r="D229" s="44" t="str">
        <f t="shared" si="3"/>
        <v>K/58/221024/2_45587.6098917014</v>
      </c>
      <c r="E229" s="44" t="str">
        <f t="array" ref="E229">IF(B229="","",_xlfn.XLOOKUP(B229,'Form responses 1'!$B$2:$B$2604,'Form responses 1'!$C$2:$C$2604,""))</f>
        <v>Budi K/ Darmin</v>
      </c>
      <c r="F229" s="44" t="str">
        <f t="array" ref="F229">IF(B229="","",_xlfn.XLOOKUP(B229,'Form responses 1'!$B$2:$B$2604,'Form responses 1'!$D$2:$D$2604,""))</f>
        <v>0721263769</v>
      </c>
      <c r="G229" s="44" t="str">
        <f t="array" ref="G229">IF(B229="","",_xlfn.XLOOKUP(B229,'Form responses 1'!$B$2:$B$2604,'Form responses 1'!$E$2:$E$2604,""))</f>
        <v>BN Jual Beli</v>
      </c>
      <c r="H229" s="44" t="str">
        <f t="array" ref="H229">IF(B229="","",_xlfn.XLOOKUP(B229,'Form responses 1'!$B$2:$B$2604,'Form responses 1'!$F$2:$F$2604,""))</f>
        <v>M. 1469/ Sukamaju</v>
      </c>
      <c r="I229" s="44" t="str">
        <f t="array" ref="I229">IF(B229="","",_xlfn.XLOOKUP(B229,'Form responses 1'!$B$2:$B$2604,'Form responses 1'!$I$2:$I$2604,""))</f>
        <v>Sukamaju</v>
      </c>
      <c r="J229" s="44" t="str">
        <f t="array" ref="J229">IF(B229="","",_xlfn.XLOOKUP(B229,'Form responses 1'!$B$2:$B$2604,'Form responses 1'!$G$2:$G$2604,""))</f>
        <v>Hananda</v>
      </c>
      <c r="K229" s="41" t="s">
        <v>2421</v>
      </c>
      <c r="L229" s="52">
        <f t="shared" si="7"/>
        <v>45589.47468</v>
      </c>
      <c r="M229" s="47" t="s">
        <v>5347</v>
      </c>
      <c r="N229" s="49"/>
      <c r="O229" s="49"/>
      <c r="P229" s="49"/>
      <c r="Q229" s="49"/>
      <c r="R229" s="49"/>
      <c r="S229" s="49"/>
      <c r="T229" s="49"/>
      <c r="U229" s="49"/>
      <c r="V229" s="49"/>
      <c r="W229" s="41" t="s">
        <v>618</v>
      </c>
      <c r="X229" s="46">
        <f t="shared" si="5"/>
        <v>45597.41934</v>
      </c>
      <c r="Y229" s="50" t="s">
        <v>482</v>
      </c>
      <c r="Z229" s="49">
        <f t="shared" si="6"/>
        <v>1</v>
      </c>
    </row>
    <row r="230" ht="22.5" customHeight="1">
      <c r="B230" s="41" t="s">
        <v>1576</v>
      </c>
      <c r="C230" s="43">
        <f t="array" ref="C230">IF(B230="","",_xlfn.XLOOKUP(B230,'Form responses 1'!$B$2:$B$2604,'Form responses 1'!$A$2:$A$2604,""))</f>
        <v>45587.58496</v>
      </c>
      <c r="D230" s="44" t="str">
        <f t="shared" si="3"/>
        <v>K/49/221024/1_45587.5849644676</v>
      </c>
      <c r="E230" s="44" t="str">
        <f t="array" ref="E230">IF(B230="","",_xlfn.XLOOKUP(B230,'Form responses 1'!$B$2:$B$2604,'Form responses 1'!$C$2:$C$2604,""))</f>
        <v>Hera Agustianti/ Seto Irawan</v>
      </c>
      <c r="F230" s="44" t="str">
        <f t="array" ref="F230">IF(B230="","",_xlfn.XLOOKUP(B230,'Form responses 1'!$B$2:$B$2604,'Form responses 1'!$D$2:$D$2604,""))</f>
        <v>081365483482</v>
      </c>
      <c r="G230" s="44" t="str">
        <f t="array" ref="G230">IF(B230="","",_xlfn.XLOOKUP(B230,'Form responses 1'!$B$2:$B$2604,'Form responses 1'!$E$2:$E$2604,""))</f>
        <v>Roya</v>
      </c>
      <c r="H230" s="44" t="str">
        <f t="array" ref="H230">IF(B230="","",_xlfn.XLOOKUP(B230,'Form responses 1'!$B$2:$B$2604,'Form responses 1'!$F$2:$F$2604,""))</f>
        <v>M. 351/ Sumber Rejo</v>
      </c>
      <c r="I230" s="44" t="str">
        <f t="array" ref="I230">IF(B230="","",_xlfn.XLOOKUP(B230,'Form responses 1'!$B$2:$B$2604,'Form responses 1'!$I$2:$I$2604,""))</f>
        <v>Sumber Rejo</v>
      </c>
      <c r="J230" s="44" t="str">
        <f t="array" ref="J230">IF(B230="","",_xlfn.XLOOKUP(B230,'Form responses 1'!$B$2:$B$2604,'Form responses 1'!$G$2:$G$2604,""))</f>
        <v>Hananda</v>
      </c>
      <c r="K230" s="41" t="s">
        <v>2421</v>
      </c>
      <c r="L230" s="52">
        <f t="shared" si="7"/>
        <v>45589.4747</v>
      </c>
      <c r="M230" s="49"/>
      <c r="N230" s="49"/>
      <c r="O230" s="49"/>
      <c r="P230" s="49"/>
      <c r="Q230" s="49"/>
      <c r="R230" s="49"/>
      <c r="S230" s="49"/>
      <c r="T230" s="49"/>
      <c r="U230" s="49"/>
      <c r="V230" s="49"/>
      <c r="W230" s="41" t="s">
        <v>618</v>
      </c>
      <c r="X230" s="46">
        <f t="shared" si="5"/>
        <v>45590.63869</v>
      </c>
      <c r="Y230" s="50" t="s">
        <v>482</v>
      </c>
      <c r="Z230" s="49">
        <f t="shared" si="6"/>
        <v>0</v>
      </c>
    </row>
    <row r="231" ht="22.5" customHeight="1">
      <c r="B231" s="41" t="s">
        <v>1429</v>
      </c>
      <c r="C231" s="43">
        <f t="array" ref="C231">IF(B231="","",_xlfn.XLOOKUP(B231,'Form responses 1'!$B$2:$B$2604,'Form responses 1'!$A$2:$A$2604,""))</f>
        <v>45587.4092</v>
      </c>
      <c r="D231" s="44" t="str">
        <f t="shared" si="3"/>
        <v>K/9/221024/1_45587.4092046065</v>
      </c>
      <c r="E231" s="44" t="str">
        <f t="array" ref="E231">IF(B231="","",_xlfn.XLOOKUP(B231,'Form responses 1'!$B$2:$B$2604,'Form responses 1'!$C$2:$C$2604,""))</f>
        <v>HELMA DEVIANTI/KRISTIA AGUSTINA</v>
      </c>
      <c r="F231" s="44" t="str">
        <f t="array" ref="F231">IF(B231="","",_xlfn.XLOOKUP(B231,'Form responses 1'!$B$2:$B$2604,'Form responses 1'!$D$2:$D$2604,""))</f>
        <v>085269215040</v>
      </c>
      <c r="G231" s="44" t="str">
        <f t="array" ref="G231">IF(B231="","",_xlfn.XLOOKUP(B231,'Form responses 1'!$B$2:$B$2604,'Form responses 1'!$E$2:$E$2604,""))</f>
        <v>ROYA</v>
      </c>
      <c r="H231" s="44" t="str">
        <f t="array" ref="H231">IF(B231="","",_xlfn.XLOOKUP(B231,'Form responses 1'!$B$2:$B$2604,'Form responses 1'!$F$2:$F$2604,""))</f>
        <v>M.26/LANGKAPURA BARU-SEKARANG;B.113/LANGKAPURA-DAHULU</v>
      </c>
      <c r="I231" s="44" t="str">
        <f t="array" ref="I231">IF(B231="","",_xlfn.XLOOKUP(B231,'Form responses 1'!$B$2:$B$2604,'Form responses 1'!$I$2:$I$2604,""))</f>
        <v>LANGKAPURA BARU</v>
      </c>
      <c r="J231" s="44" t="str">
        <f t="array" ref="J231">IF(B231="","",_xlfn.XLOOKUP(B231,'Form responses 1'!$B$2:$B$2604,'Form responses 1'!$G$2:$G$2604,""))</f>
        <v>Baynur</v>
      </c>
      <c r="K231" s="41" t="s">
        <v>2421</v>
      </c>
      <c r="L231" s="52">
        <f t="shared" si="7"/>
        <v>45589.47473</v>
      </c>
      <c r="M231" s="49"/>
      <c r="N231" s="49"/>
      <c r="O231" s="49"/>
      <c r="P231" s="49"/>
      <c r="Q231" s="49"/>
      <c r="R231" s="49"/>
      <c r="S231" s="49"/>
      <c r="T231" s="49"/>
      <c r="U231" s="49"/>
      <c r="V231" s="49"/>
      <c r="W231" s="41" t="s">
        <v>618</v>
      </c>
      <c r="X231" s="46">
        <f t="shared" si="5"/>
        <v>45590.62766</v>
      </c>
      <c r="Y231" s="50" t="s">
        <v>482</v>
      </c>
      <c r="Z231" s="49">
        <f t="shared" si="6"/>
        <v>0</v>
      </c>
    </row>
    <row r="232" ht="22.5" customHeight="1">
      <c r="B232" s="41" t="s">
        <v>1403</v>
      </c>
      <c r="C232" s="43">
        <f t="array" ref="C232">IF(B232="","",_xlfn.XLOOKUP(B232,'Form responses 1'!$B$2:$B$2604,'Form responses 1'!$A$2:$A$2604,""))</f>
        <v>45587.38516</v>
      </c>
      <c r="D232" s="44" t="str">
        <f t="shared" si="3"/>
        <v>K/3/221024/1c_45587.3851630671</v>
      </c>
      <c r="E232" s="44" t="str">
        <f t="array" ref="E232">IF(B232="","",_xlfn.XLOOKUP(B232,'Form responses 1'!$B$2:$B$2604,'Form responses 1'!$C$2:$C$2604,""))</f>
        <v>PADIMIN/ CITRA AYU WARDANI</v>
      </c>
      <c r="F232" s="44" t="str">
        <f t="array" ref="F232">IF(B232="","",_xlfn.XLOOKUP(B232,'Form responses 1'!$B$2:$B$2604,'Form responses 1'!$D$2:$D$2604,""))</f>
        <v>0852-6682-2866</v>
      </c>
      <c r="G232" s="44" t="str">
        <f t="array" ref="G232">IF(B232="","",_xlfn.XLOOKUP(B232,'Form responses 1'!$B$2:$B$2604,'Form responses 1'!$E$2:$E$2604,""))</f>
        <v>ROYA</v>
      </c>
      <c r="H232" s="44" t="str">
        <f t="array" ref="H232">IF(B232="","",_xlfn.XLOOKUP(B232,'Form responses 1'!$B$2:$B$2604,'Form responses 1'!$F$2:$F$2604,""))</f>
        <v>M.1260/SUKAJAWA</v>
      </c>
      <c r="I232" s="44" t="str">
        <f t="array" ref="I232">IF(B232="","",_xlfn.XLOOKUP(B232,'Form responses 1'!$B$2:$B$2604,'Form responses 1'!$I$2:$I$2604,""))</f>
        <v>SUKAJAWA</v>
      </c>
      <c r="J232" s="44" t="str">
        <f t="array" ref="J232">IF(B232="","",_xlfn.XLOOKUP(B232,'Form responses 1'!$B$2:$B$2604,'Form responses 1'!$G$2:$G$2604,""))</f>
        <v>Baynur</v>
      </c>
      <c r="K232" s="41" t="s">
        <v>2421</v>
      </c>
      <c r="L232" s="52">
        <f t="shared" si="7"/>
        <v>45589.47476</v>
      </c>
      <c r="M232" s="47" t="s">
        <v>5348</v>
      </c>
      <c r="N232" s="49"/>
      <c r="O232" s="49"/>
      <c r="P232" s="49"/>
      <c r="Q232" s="49"/>
      <c r="R232" s="49"/>
      <c r="S232" s="49"/>
      <c r="T232" s="49"/>
      <c r="U232" s="49"/>
      <c r="V232" s="49"/>
      <c r="W232" s="41" t="s">
        <v>618</v>
      </c>
      <c r="X232" s="46">
        <f t="shared" si="5"/>
        <v>45593.66752</v>
      </c>
      <c r="Y232" s="50" t="s">
        <v>482</v>
      </c>
      <c r="Z232" s="49">
        <f t="shared" si="6"/>
        <v>1</v>
      </c>
    </row>
    <row r="233" ht="22.5" customHeight="1">
      <c r="B233" s="41" t="s">
        <v>1846</v>
      </c>
      <c r="C233" s="43">
        <f t="array" ref="C233">IF(B233="","",_xlfn.XLOOKUP(B233,'Form responses 1'!$B$2:$B$2604,'Form responses 1'!$A$2:$A$2604,""))</f>
        <v>45588.62826</v>
      </c>
      <c r="D233" s="44" t="str">
        <f t="shared" si="3"/>
        <v>K/50/231024/1_45588.6282598148</v>
      </c>
      <c r="E233" s="44" t="str">
        <f t="array" ref="E233">IF(B233="","",_xlfn.XLOOKUP(B233,'Form responses 1'!$B$2:$B$2604,'Form responses 1'!$C$2:$C$2604,""))</f>
        <v>ANDI WIDODO/NOVALIA EKA P</v>
      </c>
      <c r="F233" s="44" t="str">
        <f t="array" ref="F233">IF(B233="","",_xlfn.XLOOKUP(B233,'Form responses 1'!$B$2:$B$2604,'Form responses 1'!$D$2:$D$2604,""))</f>
        <v>0896-4922-2167</v>
      </c>
      <c r="G233" s="44" t="str">
        <f t="array" ref="G233">IF(B233="","",_xlfn.XLOOKUP(B233,'Form responses 1'!$B$2:$B$2604,'Form responses 1'!$E$2:$E$2604,""))</f>
        <v>BN JUAL BELI</v>
      </c>
      <c r="H233" s="44" t="str">
        <f t="array" ref="H233">IF(B233="","",_xlfn.XLOOKUP(B233,'Form responses 1'!$B$2:$B$2604,'Form responses 1'!$F$2:$F$2604,""))</f>
        <v>M.4449/SUKADANAHAM</v>
      </c>
      <c r="I233" s="44" t="str">
        <f t="array" ref="I233">IF(B233="","",_xlfn.XLOOKUP(B233,'Form responses 1'!$B$2:$B$2604,'Form responses 1'!$I$2:$I$2604,""))</f>
        <v>SUKADANAHAM</v>
      </c>
      <c r="J233" s="44" t="str">
        <f t="array" ref="J233">IF(B233="","",_xlfn.XLOOKUP(B233,'Form responses 1'!$B$2:$B$2604,'Form responses 1'!$G$2:$G$2604,""))</f>
        <v>Baynur</v>
      </c>
      <c r="K233" s="41" t="s">
        <v>2421</v>
      </c>
      <c r="L233" s="52">
        <f t="shared" si="7"/>
        <v>45589.4748</v>
      </c>
      <c r="M233" s="49"/>
      <c r="N233" s="49"/>
      <c r="O233" s="49"/>
      <c r="P233" s="49"/>
      <c r="Q233" s="49"/>
      <c r="R233" s="49"/>
      <c r="S233" s="49"/>
      <c r="T233" s="49"/>
      <c r="U233" s="49"/>
      <c r="V233" s="49"/>
      <c r="W233" s="41" t="s">
        <v>618</v>
      </c>
      <c r="X233" s="46">
        <f t="shared" si="5"/>
        <v>45594.61491</v>
      </c>
      <c r="Y233" s="50" t="s">
        <v>482</v>
      </c>
      <c r="Z233" s="49">
        <f t="shared" si="6"/>
        <v>0</v>
      </c>
    </row>
    <row r="234" ht="22.5" customHeight="1">
      <c r="B234" s="41" t="s">
        <v>1726</v>
      </c>
      <c r="C234" s="43">
        <f t="array" ref="C234">IF(B234="","",_xlfn.XLOOKUP(B234,'Form responses 1'!$B$2:$B$2604,'Form responses 1'!$A$2:$A$2604,""))</f>
        <v>45588.48676</v>
      </c>
      <c r="D234" s="44" t="str">
        <f t="shared" si="3"/>
        <v>K/20/231024/1_45588.486759132</v>
      </c>
      <c r="E234" s="44" t="str">
        <f t="array" ref="E234">IF(B234="","",_xlfn.XLOOKUP(B234,'Form responses 1'!$B$2:$B$2604,'Form responses 1'!$C$2:$C$2604,""))</f>
        <v>NURHIKMAH IMANI/ANDRY YULIAN</v>
      </c>
      <c r="F234" s="44" t="str">
        <f t="array" ref="F234">IF(B234="","",_xlfn.XLOOKUP(B234,'Form responses 1'!$B$2:$B$2604,'Form responses 1'!$D$2:$D$2604,""))</f>
        <v>0821-8694-9749</v>
      </c>
      <c r="G234" s="44" t="str">
        <f t="array" ref="G234">IF(B234="","",_xlfn.XLOOKUP(B234,'Form responses 1'!$B$2:$B$2604,'Form responses 1'!$E$2:$E$2604,""))</f>
        <v>BN JUAL BELI</v>
      </c>
      <c r="H234" s="44" t="str">
        <f t="array" ref="H234">IF(B234="","",_xlfn.XLOOKUP(B234,'Form responses 1'!$B$2:$B$2604,'Form responses 1'!$F$2:$F$2604,""))</f>
        <v>NIBEL M.2396/KORPRI RAYA</v>
      </c>
      <c r="I234" s="44" t="str">
        <f t="array" ref="I234">IF(B234="","",_xlfn.XLOOKUP(B234,'Form responses 1'!$B$2:$B$2604,'Form responses 1'!$I$2:$I$2604,""))</f>
        <v>KORPRI RAYA</v>
      </c>
      <c r="J234" s="44" t="str">
        <f t="array" ref="J234">IF(B234="","",_xlfn.XLOOKUP(B234,'Form responses 1'!$B$2:$B$2604,'Form responses 1'!$G$2:$G$2604,""))</f>
        <v>Baynur</v>
      </c>
      <c r="K234" s="41" t="s">
        <v>2421</v>
      </c>
      <c r="L234" s="52">
        <f t="shared" si="7"/>
        <v>45589.47482</v>
      </c>
      <c r="M234" s="49"/>
      <c r="N234" s="49"/>
      <c r="O234" s="49"/>
      <c r="P234" s="49"/>
      <c r="Q234" s="49"/>
      <c r="R234" s="49"/>
      <c r="S234" s="49"/>
      <c r="T234" s="49"/>
      <c r="U234" s="49"/>
      <c r="V234" s="49"/>
      <c r="W234" s="41" t="s">
        <v>618</v>
      </c>
      <c r="X234" s="46">
        <f t="shared" si="5"/>
        <v>45594.60982</v>
      </c>
      <c r="Y234" s="50" t="s">
        <v>482</v>
      </c>
      <c r="Z234" s="49">
        <f t="shared" si="6"/>
        <v>0</v>
      </c>
    </row>
    <row r="235" ht="22.5" customHeight="1">
      <c r="B235" s="41" t="s">
        <v>1694</v>
      </c>
      <c r="C235" s="43">
        <f t="array" ref="C235">IF(B235="","",_xlfn.XLOOKUP(B235,'Form responses 1'!$B$2:$B$2604,'Form responses 1'!$A$2:$A$2604,""))</f>
        <v>45588.45686</v>
      </c>
      <c r="D235" s="44" t="str">
        <f t="shared" si="3"/>
        <v>K/11/231024/4_45588.4568611921</v>
      </c>
      <c r="E235" s="44" t="str">
        <f t="array" ref="E235">IF(B235="","",_xlfn.XLOOKUP(B235,'Form responses 1'!$B$2:$B$2604,'Form responses 1'!$C$2:$C$2604,""))</f>
        <v>Rahmadiyanti/ Rizal Chaniago</v>
      </c>
      <c r="F235" s="44" t="str">
        <f t="array" ref="F235">IF(B235="","",_xlfn.XLOOKUP(B235,'Form responses 1'!$B$2:$B$2604,'Form responses 1'!$D$2:$D$2604,""))</f>
        <v>+62 821-8209-0051</v>
      </c>
      <c r="G235" s="44" t="str">
        <f t="array" ref="G235">IF(B235="","",_xlfn.XLOOKUP(B235,'Form responses 1'!$B$2:$B$2604,'Form responses 1'!$E$2:$E$2604,""))</f>
        <v>BN Jual beli</v>
      </c>
      <c r="H235" s="44" t="str">
        <f t="array" ref="H235">IF(B235="","",_xlfn.XLOOKUP(B235,'Form responses 1'!$B$2:$B$2604,'Form responses 1'!$F$2:$F$2604,""))</f>
        <v>M. 395/ Kebon Jeruk</v>
      </c>
      <c r="I235" s="44" t="str">
        <f t="array" ref="I235">IF(B235="","",_xlfn.XLOOKUP(B235,'Form responses 1'!$B$2:$B$2604,'Form responses 1'!$I$2:$I$2604,""))</f>
        <v>kebon jeruk</v>
      </c>
      <c r="J235" s="44" t="str">
        <f t="array" ref="J235">IF(B235="","",_xlfn.XLOOKUP(B235,'Form responses 1'!$B$2:$B$2604,'Form responses 1'!$G$2:$G$2604,""))</f>
        <v>Hananda</v>
      </c>
      <c r="K235" s="41" t="s">
        <v>2421</v>
      </c>
      <c r="L235" s="52">
        <f t="shared" si="7"/>
        <v>45589.47488</v>
      </c>
      <c r="M235" s="47" t="s">
        <v>5349</v>
      </c>
      <c r="N235" s="49"/>
      <c r="O235" s="49"/>
      <c r="P235" s="49"/>
      <c r="Q235" s="49"/>
      <c r="R235" s="49"/>
      <c r="S235" s="49"/>
      <c r="T235" s="49"/>
      <c r="U235" s="49"/>
      <c r="V235" s="49"/>
      <c r="W235" s="41" t="s">
        <v>618</v>
      </c>
      <c r="X235" s="46">
        <f t="shared" si="5"/>
        <v>45597.40354</v>
      </c>
      <c r="Y235" s="50" t="s">
        <v>482</v>
      </c>
      <c r="Z235" s="49">
        <f t="shared" si="6"/>
        <v>1</v>
      </c>
    </row>
    <row r="236" ht="22.5" customHeight="1">
      <c r="B236" s="41" t="s">
        <v>1648</v>
      </c>
      <c r="C236" s="43">
        <f t="array" ref="C236">IF(B236="","",_xlfn.XLOOKUP(B236,'Form responses 1'!$B$2:$B$2604,'Form responses 1'!$A$2:$A$2604,""))</f>
        <v>45588.37442</v>
      </c>
      <c r="D236" s="44" t="str">
        <f t="shared" si="3"/>
        <v>K/2/231024/2_45588.3744163889</v>
      </c>
      <c r="E236" s="44" t="str">
        <f t="array" ref="E236">IF(B236="","",_xlfn.XLOOKUP(B236,'Form responses 1'!$B$2:$B$2604,'Form responses 1'!$C$2:$C$2604,""))</f>
        <v>Moh Reza/ M Lanando</v>
      </c>
      <c r="F236" s="44" t="str">
        <f t="array" ref="F236">IF(B236="","",_xlfn.XLOOKUP(B236,'Form responses 1'!$B$2:$B$2604,'Form responses 1'!$D$2:$D$2604,""))</f>
        <v>082180710101</v>
      </c>
      <c r="G236" s="44" t="str">
        <f t="array" ref="G236">IF(B236="","",_xlfn.XLOOKUP(B236,'Form responses 1'!$B$2:$B$2604,'Form responses 1'!$E$2:$E$2604,""))</f>
        <v>BN Hibah</v>
      </c>
      <c r="H236" s="44" t="str">
        <f t="array" ref="H236">IF(B236="","",_xlfn.XLOOKUP(B236,'Form responses 1'!$B$2:$B$2604,'Form responses 1'!$F$2:$F$2604,""))</f>
        <v>M. 2888/ Sukarame Baru- sekarang; M. 17475/ Sukarame I</v>
      </c>
      <c r="I236" s="44" t="str">
        <f t="array" ref="I236">IF(B236="","",_xlfn.XLOOKUP(B236,'Form responses 1'!$B$2:$B$2604,'Form responses 1'!$I$2:$I$2604,""))</f>
        <v>Sukarame Baru</v>
      </c>
      <c r="J236" s="44" t="str">
        <f t="array" ref="J236">IF(B236="","",_xlfn.XLOOKUP(B236,'Form responses 1'!$B$2:$B$2604,'Form responses 1'!$G$2:$G$2604,""))</f>
        <v>Hananda</v>
      </c>
      <c r="K236" s="41" t="s">
        <v>2421</v>
      </c>
      <c r="L236" s="52">
        <f t="shared" si="7"/>
        <v>45589.47494</v>
      </c>
      <c r="M236" s="49"/>
      <c r="N236" s="49"/>
      <c r="O236" s="49"/>
      <c r="P236" s="49"/>
      <c r="Q236" s="49"/>
      <c r="R236" s="49"/>
      <c r="S236" s="49"/>
      <c r="T236" s="49"/>
      <c r="U236" s="49"/>
      <c r="V236" s="49"/>
      <c r="W236" s="41" t="s">
        <v>618</v>
      </c>
      <c r="X236" s="46">
        <f t="shared" si="5"/>
        <v>45594.46525</v>
      </c>
      <c r="Y236" s="50" t="s">
        <v>482</v>
      </c>
      <c r="Z236" s="49">
        <f t="shared" si="6"/>
        <v>0</v>
      </c>
    </row>
    <row r="237" ht="22.5" customHeight="1">
      <c r="B237" s="41" t="s">
        <v>1686</v>
      </c>
      <c r="C237" s="43">
        <f t="array" ref="C237">IF(B237="","",_xlfn.XLOOKUP(B237,'Form responses 1'!$B$2:$B$2604,'Form responses 1'!$A$2:$A$2604,""))</f>
        <v>45588.45397</v>
      </c>
      <c r="D237" s="44" t="str">
        <f t="shared" si="3"/>
        <v>K/10/231024/3_45588.4539670718</v>
      </c>
      <c r="E237" s="44" t="str">
        <f t="array" ref="E237">IF(B237="","",_xlfn.XLOOKUP(B237,'Form responses 1'!$B$2:$B$2604,'Form responses 1'!$C$2:$C$2604,""))</f>
        <v>Rahmadiyanti/ cindra viktor</v>
      </c>
      <c r="F237" s="44" t="str">
        <f t="array" ref="F237">IF(B237="","",_xlfn.XLOOKUP(B237,'Form responses 1'!$B$2:$B$2604,'Form responses 1'!$D$2:$D$2604,""))</f>
        <v>+62 821-8209-0051</v>
      </c>
      <c r="G237" s="44" t="str">
        <f t="array" ref="G237">IF(B237="","",_xlfn.XLOOKUP(B237,'Form responses 1'!$B$2:$B$2604,'Form responses 1'!$E$2:$E$2604,""))</f>
        <v>Roya</v>
      </c>
      <c r="H237" s="44" t="str">
        <f t="array" ref="H237">IF(B237="","",_xlfn.XLOOKUP(B237,'Form responses 1'!$B$2:$B$2604,'Form responses 1'!$F$2:$F$2604,""))</f>
        <v>M. 10670/ Kedaton</v>
      </c>
      <c r="I237" s="44" t="str">
        <f t="array" ref="I237">IF(B237="","",_xlfn.XLOOKUP(B237,'Form responses 1'!$B$2:$B$2604,'Form responses 1'!$I$2:$I$2604,""))</f>
        <v>kedaton</v>
      </c>
      <c r="J237" s="44" t="str">
        <f t="array" ref="J237">IF(B237="","",_xlfn.XLOOKUP(B237,'Form responses 1'!$B$2:$B$2604,'Form responses 1'!$G$2:$G$2604,""))</f>
        <v>Hananda</v>
      </c>
      <c r="K237" s="41" t="s">
        <v>2421</v>
      </c>
      <c r="L237" s="52">
        <f t="shared" si="7"/>
        <v>45589.47498</v>
      </c>
      <c r="M237" s="47" t="s">
        <v>5350</v>
      </c>
      <c r="N237" s="49"/>
      <c r="O237" s="49"/>
      <c r="P237" s="49"/>
      <c r="Q237" s="49"/>
      <c r="R237" s="49"/>
      <c r="S237" s="49"/>
      <c r="T237" s="49"/>
      <c r="U237" s="49"/>
      <c r="V237" s="49"/>
      <c r="W237" s="41" t="s">
        <v>618</v>
      </c>
      <c r="X237" s="46">
        <f t="shared" si="5"/>
        <v>45597.40432</v>
      </c>
      <c r="Y237" s="50" t="s">
        <v>482</v>
      </c>
      <c r="Z237" s="49">
        <f t="shared" si="6"/>
        <v>1</v>
      </c>
    </row>
    <row r="238" ht="22.5" customHeight="1">
      <c r="B238" s="41" t="s">
        <v>1789</v>
      </c>
      <c r="C238" s="43">
        <f t="array" ref="C238">IF(B238="","",_xlfn.XLOOKUP(B238,'Form responses 1'!$B$2:$B$2604,'Form responses 1'!$A$2:$A$2604,""))</f>
        <v>45588.58916</v>
      </c>
      <c r="D238" s="44" t="str">
        <f t="shared" si="3"/>
        <v>K/38/231024/1_45588.5891585532</v>
      </c>
      <c r="E238" s="44" t="str">
        <f t="array" ref="E238">IF(B238="","",_xlfn.XLOOKUP(B238,'Form responses 1'!$B$2:$B$2604,'Form responses 1'!$C$2:$C$2604,""))</f>
        <v>Ismarina/ Siti fajar</v>
      </c>
      <c r="F238" s="44" t="str">
        <f t="array" ref="F238">IF(B238="","",_xlfn.XLOOKUP(B238,'Form responses 1'!$B$2:$B$2604,'Form responses 1'!$D$2:$D$2604,""))</f>
        <v>081377641549</v>
      </c>
      <c r="G238" s="44" t="str">
        <f t="array" ref="G238">IF(B238="","",_xlfn.XLOOKUP(B238,'Form responses 1'!$B$2:$B$2604,'Form responses 1'!$E$2:$E$2604,""))</f>
        <v>Perubahan Hak</v>
      </c>
      <c r="H238" s="44" t="str">
        <f t="array" ref="H238">IF(B238="","",_xlfn.XLOOKUP(B238,'Form responses 1'!$B$2:$B$2604,'Form responses 1'!$F$2:$F$2604,""))</f>
        <v>Nibel 2815/  Kemiling raya</v>
      </c>
      <c r="I238" s="44" t="str">
        <f t="array" ref="I238">IF(B238="","",_xlfn.XLOOKUP(B238,'Form responses 1'!$B$2:$B$2604,'Form responses 1'!$I$2:$I$2604,""))</f>
        <v>kemiling raya</v>
      </c>
      <c r="J238" s="44" t="str">
        <f t="array" ref="J238">IF(B238="","",_xlfn.XLOOKUP(B238,'Form responses 1'!$B$2:$B$2604,'Form responses 1'!$G$2:$G$2604,""))</f>
        <v>Hananda</v>
      </c>
      <c r="K238" s="41" t="s">
        <v>2421</v>
      </c>
      <c r="L238" s="52">
        <f t="shared" si="7"/>
        <v>45589.47511</v>
      </c>
      <c r="M238" s="49"/>
      <c r="N238" s="49"/>
      <c r="O238" s="49"/>
      <c r="P238" s="49"/>
      <c r="Q238" s="49"/>
      <c r="R238" s="49"/>
      <c r="S238" s="49"/>
      <c r="T238" s="49"/>
      <c r="U238" s="49"/>
      <c r="V238" s="49"/>
      <c r="W238" s="41" t="s">
        <v>618</v>
      </c>
      <c r="X238" s="46">
        <f t="shared" si="5"/>
        <v>45593.62849</v>
      </c>
      <c r="Y238" s="50" t="s">
        <v>482</v>
      </c>
      <c r="Z238" s="49">
        <f t="shared" si="6"/>
        <v>0</v>
      </c>
    </row>
    <row r="239" ht="22.5" customHeight="1">
      <c r="B239" s="41" t="s">
        <v>1732</v>
      </c>
      <c r="C239" s="43">
        <f t="array" ref="C239">IF(B239="","",_xlfn.XLOOKUP(B239,'Form responses 1'!$B$2:$B$2604,'Form responses 1'!$A$2:$A$2604,""))</f>
        <v>45588.49184</v>
      </c>
      <c r="D239" s="44" t="str">
        <f t="shared" si="3"/>
        <v>K/21/231024/1_45588.4918415972</v>
      </c>
      <c r="E239" s="44" t="str">
        <f t="array" ref="E239">IF(B239="","",_xlfn.XLOOKUP(B239,'Form responses 1'!$B$2:$B$2604,'Form responses 1'!$C$2:$C$2604,""))</f>
        <v>Panary Sitopu/ Sherly Sagita E</v>
      </c>
      <c r="F239" s="44" t="str">
        <f t="array" ref="F239">IF(B239="","",_xlfn.XLOOKUP(B239,'Form responses 1'!$B$2:$B$2604,'Form responses 1'!$D$2:$D$2604,""))</f>
        <v>+62 889-2977-399</v>
      </c>
      <c r="G239" s="44" t="str">
        <f t="array" ref="G239">IF(B239="","",_xlfn.XLOOKUP(B239,'Form responses 1'!$B$2:$B$2604,'Form responses 1'!$E$2:$E$2604,""))</f>
        <v>Perubahan Hak</v>
      </c>
      <c r="H239" s="44" t="str">
        <f t="array" ref="H239">IF(B239="","",_xlfn.XLOOKUP(B239,'Form responses 1'!$B$2:$B$2604,'Form responses 1'!$F$2:$F$2604,""))</f>
        <v>Nibel. B. 2499/ Sumur Putri</v>
      </c>
      <c r="I239" s="44" t="str">
        <f t="array" ref="I239">IF(B239="","",_xlfn.XLOOKUP(B239,'Form responses 1'!$B$2:$B$2604,'Form responses 1'!$I$2:$I$2604,""))</f>
        <v>Sumur Putri</v>
      </c>
      <c r="J239" s="44" t="str">
        <f t="array" ref="J239">IF(B239="","",_xlfn.XLOOKUP(B239,'Form responses 1'!$B$2:$B$2604,'Form responses 1'!$G$2:$G$2604,""))</f>
        <v>Rapita</v>
      </c>
      <c r="K239" s="41" t="s">
        <v>2421</v>
      </c>
      <c r="L239" s="52">
        <f t="shared" si="7"/>
        <v>45589.47513</v>
      </c>
      <c r="M239" s="47" t="s">
        <v>5351</v>
      </c>
      <c r="N239" s="49"/>
      <c r="O239" s="49"/>
      <c r="P239" s="49"/>
      <c r="Q239" s="49"/>
      <c r="R239" s="49"/>
      <c r="S239" s="49"/>
      <c r="T239" s="49"/>
      <c r="U239" s="49"/>
      <c r="V239" s="49"/>
      <c r="W239" s="41" t="s">
        <v>618</v>
      </c>
      <c r="X239" s="46">
        <f t="shared" si="5"/>
        <v>45600.39403</v>
      </c>
      <c r="Y239" s="50" t="s">
        <v>482</v>
      </c>
      <c r="Z239" s="49">
        <f t="shared" si="6"/>
        <v>1</v>
      </c>
    </row>
    <row r="240" ht="22.5" customHeight="1">
      <c r="B240" s="41" t="s">
        <v>1251</v>
      </c>
      <c r="C240" s="43">
        <f t="array" ref="C240">IF(B240="","",_xlfn.XLOOKUP(B240,'Form responses 1'!$B$2:$B$2604,'Form responses 1'!$A$2:$A$2604,""))</f>
        <v>45586.45993</v>
      </c>
      <c r="D240" s="44" t="str">
        <f t="shared" si="3"/>
        <v>K/17/211024/1_45586.4599293171</v>
      </c>
      <c r="E240" s="44" t="str">
        <f t="array" ref="E240">IF(B240="","",_xlfn.XLOOKUP(B240,'Form responses 1'!$B$2:$B$2604,'Form responses 1'!$C$2:$C$2604,""))</f>
        <v>A. Roswantama/ Meiliyana</v>
      </c>
      <c r="F240" s="44" t="str">
        <f t="array" ref="F240">IF(B240="","",_xlfn.XLOOKUP(B240,'Form responses 1'!$B$2:$B$2604,'Form responses 1'!$D$2:$D$2604,""))</f>
        <v>+62 813-6948-8565</v>
      </c>
      <c r="G240" s="44" t="str">
        <f t="array" ref="G240">IF(B240="","",_xlfn.XLOOKUP(B240,'Form responses 1'!$B$2:$B$2604,'Form responses 1'!$E$2:$E$2604,""))</f>
        <v>BN Jual Beli</v>
      </c>
      <c r="H240" s="44" t="str">
        <f t="array" ref="H240">IF(B240="","",_xlfn.XLOOKUP(B240,'Form responses 1'!$B$2:$B$2604,'Form responses 1'!$F$2:$F$2604,""))</f>
        <v>M. 4393/ Gunung Terang</v>
      </c>
      <c r="I240" s="44" t="str">
        <f t="array" ref="I240">IF(B240="","",_xlfn.XLOOKUP(B240,'Form responses 1'!$B$2:$B$2604,'Form responses 1'!$I$2:$I$2604,""))</f>
        <v>Gunung Terang</v>
      </c>
      <c r="J240" s="44" t="str">
        <f t="array" ref="J240">IF(B240="","",_xlfn.XLOOKUP(B240,'Form responses 1'!$B$2:$B$2604,'Form responses 1'!$G$2:$G$2604,""))</f>
        <v>Rapita</v>
      </c>
      <c r="K240" s="41" t="s">
        <v>587</v>
      </c>
      <c r="L240" s="52">
        <f t="shared" si="7"/>
        <v>45589.47488</v>
      </c>
      <c r="M240" s="47" t="s">
        <v>5352</v>
      </c>
      <c r="N240" s="47" t="s">
        <v>5353</v>
      </c>
      <c r="O240" s="49"/>
      <c r="P240" s="49"/>
      <c r="Q240" s="49"/>
      <c r="R240" s="49"/>
      <c r="S240" s="49"/>
      <c r="T240" s="49"/>
      <c r="U240" s="49"/>
      <c r="V240" s="49"/>
      <c r="W240" s="41" t="s">
        <v>618</v>
      </c>
      <c r="X240" s="46">
        <f t="shared" si="5"/>
        <v>45600.40092</v>
      </c>
      <c r="Y240" s="50" t="s">
        <v>482</v>
      </c>
      <c r="Z240" s="49">
        <f t="shared" si="6"/>
        <v>2</v>
      </c>
    </row>
    <row r="241" ht="22.5" customHeight="1">
      <c r="B241" s="41" t="s">
        <v>1360</v>
      </c>
      <c r="C241" s="43">
        <f t="array" ref="C241">IF(B241="","",_xlfn.XLOOKUP(B241,'Form responses 1'!$B$2:$B$2604,'Form responses 1'!$A$2:$A$2604,""))</f>
        <v>45586.60816</v>
      </c>
      <c r="D241" s="44" t="str">
        <f t="shared" si="3"/>
        <v>K/45/211024/1_45586.6081570255</v>
      </c>
      <c r="E241" s="44" t="str">
        <f t="array" ref="E241">IF(B241="","",_xlfn.XLOOKUP(B241,'Form responses 1'!$B$2:$B$2604,'Form responses 1'!$C$2:$C$2604,""))</f>
        <v>Ayi Ruhiat/ Mas Panji S</v>
      </c>
      <c r="F241" s="44" t="str">
        <f t="array" ref="F241">IF(B241="","",_xlfn.XLOOKUP(B241,'Form responses 1'!$B$2:$B$2604,'Form responses 1'!$D$2:$D$2604,""))</f>
        <v>082141770001</v>
      </c>
      <c r="G241" s="44" t="str">
        <f t="array" ref="G241">IF(B241="","",_xlfn.XLOOKUP(B241,'Form responses 1'!$B$2:$B$2604,'Form responses 1'!$E$2:$E$2604,""))</f>
        <v>BN Jual Beli</v>
      </c>
      <c r="H241" s="44" t="str">
        <f t="array" ref="H241">IF(B241="","",_xlfn.XLOOKUP(B241,'Form responses 1'!$B$2:$B$2604,'Form responses 1'!$F$2:$F$2604,""))</f>
        <v>M. 2245/ Sukarame Baru; B. 4947/Sukarame-dahulu</v>
      </c>
      <c r="I241" s="44" t="str">
        <f t="array" ref="I241">IF(B241="","",_xlfn.XLOOKUP(B241,'Form responses 1'!$B$2:$B$2604,'Form responses 1'!$I$2:$I$2604,""))</f>
        <v>Sukarame Baru</v>
      </c>
      <c r="J241" s="44" t="str">
        <f t="array" ref="J241">IF(B241="","",_xlfn.XLOOKUP(B241,'Form responses 1'!$B$2:$B$2604,'Form responses 1'!$G$2:$G$2604,""))</f>
        <v>Rapita</v>
      </c>
      <c r="K241" s="41" t="s">
        <v>587</v>
      </c>
      <c r="L241" s="52">
        <f t="shared" si="7"/>
        <v>45589.47528</v>
      </c>
      <c r="M241" s="47" t="s">
        <v>5354</v>
      </c>
      <c r="N241" s="47" t="s">
        <v>5353</v>
      </c>
      <c r="O241" s="49"/>
      <c r="P241" s="49"/>
      <c r="Q241" s="49"/>
      <c r="R241" s="49"/>
      <c r="S241" s="49"/>
      <c r="T241" s="49"/>
      <c r="U241" s="49"/>
      <c r="V241" s="49"/>
      <c r="W241" s="41" t="s">
        <v>618</v>
      </c>
      <c r="X241" s="46">
        <f t="shared" si="5"/>
        <v>45600.39994</v>
      </c>
      <c r="Y241" s="50" t="s">
        <v>482</v>
      </c>
      <c r="Z241" s="49">
        <f t="shared" si="6"/>
        <v>2</v>
      </c>
    </row>
    <row r="242" ht="22.5" customHeight="1">
      <c r="B242" s="41" t="s">
        <v>1412</v>
      </c>
      <c r="C242" s="43">
        <f t="array" ref="C242">IF(B242="","",_xlfn.XLOOKUP(B242,'Form responses 1'!$B$2:$B$2604,'Form responses 1'!$A$2:$A$2604,""))</f>
        <v>45587.38847</v>
      </c>
      <c r="D242" s="44" t="str">
        <f t="shared" si="3"/>
        <v>K/5/221024/1_45587.3884728588</v>
      </c>
      <c r="E242" s="44" t="str">
        <f t="array" ref="E242">IF(B242="","",_xlfn.XLOOKUP(B242,'Form responses 1'!$B$2:$B$2604,'Form responses 1'!$C$2:$C$2604,""))</f>
        <v>Dodi Setiawan/ Sriwati</v>
      </c>
      <c r="F242" s="44" t="str">
        <f t="array" ref="F242">IF(B242="","",_xlfn.XLOOKUP(B242,'Form responses 1'!$B$2:$B$2604,'Form responses 1'!$D$2:$D$2604,""))</f>
        <v>082180486700</v>
      </c>
      <c r="G242" s="44" t="str">
        <f t="array" ref="G242">IF(B242="","",_xlfn.XLOOKUP(B242,'Form responses 1'!$B$2:$B$2604,'Form responses 1'!$E$2:$E$2604,""))</f>
        <v>Perubahan Hak</v>
      </c>
      <c r="H242" s="44" t="str">
        <f t="array" ref="H242">IF(B242="","",_xlfn.XLOOKUP(B242,'Form responses 1'!$B$2:$B$2604,'Form responses 1'!$F$2:$F$2604,""))</f>
        <v>B. 308/ Pematang Wangi; B. 964/ Tanjung Senang</v>
      </c>
      <c r="I242" s="44" t="str">
        <f t="array" ref="I242">IF(B242="","",_xlfn.XLOOKUP(B242,'Form responses 1'!$B$2:$B$2604,'Form responses 1'!$I$2:$I$2604,""))</f>
        <v>Pematang Wangi</v>
      </c>
      <c r="J242" s="44" t="str">
        <f t="array" ref="J242">IF(B242="","",_xlfn.XLOOKUP(B242,'Form responses 1'!$B$2:$B$2604,'Form responses 1'!$G$2:$G$2604,""))</f>
        <v>Rapita</v>
      </c>
      <c r="K242" s="41" t="s">
        <v>587</v>
      </c>
      <c r="L242" s="52">
        <f t="shared" si="7"/>
        <v>45589.47585</v>
      </c>
      <c r="M242" s="47" t="s">
        <v>470</v>
      </c>
      <c r="N242" s="47" t="s">
        <v>5214</v>
      </c>
      <c r="O242" s="49"/>
      <c r="P242" s="49"/>
      <c r="Q242" s="49"/>
      <c r="R242" s="49"/>
      <c r="S242" s="49"/>
      <c r="T242" s="49"/>
      <c r="U242" s="49"/>
      <c r="V242" s="49"/>
      <c r="W242" s="41" t="s">
        <v>618</v>
      </c>
      <c r="X242" s="46">
        <f t="shared" si="5"/>
        <v>45610.60304</v>
      </c>
      <c r="Y242" s="50" t="s">
        <v>482</v>
      </c>
      <c r="Z242" s="49">
        <f t="shared" si="6"/>
        <v>2</v>
      </c>
    </row>
    <row r="243" ht="22.5" customHeight="1">
      <c r="B243" s="41" t="s">
        <v>1421</v>
      </c>
      <c r="C243" s="43">
        <f t="array" ref="C243">IF(B243="","",_xlfn.XLOOKUP(B243,'Form responses 1'!$B$2:$B$2604,'Form responses 1'!$A$2:$A$2604,""))</f>
        <v>45587.3959</v>
      </c>
      <c r="D243" s="44" t="str">
        <f t="shared" si="3"/>
        <v>K/7/221024/1_45587.395896331</v>
      </c>
      <c r="E243" s="44" t="str">
        <f t="array" ref="E243">IF(B243="","",_xlfn.XLOOKUP(B243,'Form responses 1'!$B$2:$B$2604,'Form responses 1'!$C$2:$C$2604,""))</f>
        <v>Feryana/ M. Nasir</v>
      </c>
      <c r="F243" s="44" t="str">
        <f t="array" ref="F243">IF(B243="","",_xlfn.XLOOKUP(B243,'Form responses 1'!$B$2:$B$2604,'Form responses 1'!$D$2:$D$2604,""))</f>
        <v>082182675496</v>
      </c>
      <c r="G243" s="44" t="str">
        <f t="array" ref="G243">IF(B243="","",_xlfn.XLOOKUP(B243,'Form responses 1'!$B$2:$B$2604,'Form responses 1'!$E$2:$E$2604,""))</f>
        <v>Roya</v>
      </c>
      <c r="H243" s="44" t="str">
        <f t="array" ref="H243">IF(B243="","",_xlfn.XLOOKUP(B243,'Form responses 1'!$B$2:$B$2604,'Form responses 1'!$F$2:$F$2604,""))</f>
        <v>M. 2222/ Way Kandis; SHT 1348/ 2018</v>
      </c>
      <c r="I243" s="44" t="str">
        <f t="array" ref="I243">IF(B243="","",_xlfn.XLOOKUP(B243,'Form responses 1'!$B$2:$B$2604,'Form responses 1'!$I$2:$I$2604,""))</f>
        <v>Way Kandis</v>
      </c>
      <c r="J243" s="44" t="str">
        <f t="array" ref="J243">IF(B243="","",_xlfn.XLOOKUP(B243,'Form responses 1'!$B$2:$B$2604,'Form responses 1'!$G$2:$G$2604,""))</f>
        <v>Rapita</v>
      </c>
      <c r="K243" s="41" t="s">
        <v>587</v>
      </c>
      <c r="L243" s="52">
        <f t="shared" si="7"/>
        <v>45589.47587</v>
      </c>
      <c r="M243" s="47" t="s">
        <v>470</v>
      </c>
      <c r="N243" s="47" t="s">
        <v>5265</v>
      </c>
      <c r="O243" s="49"/>
      <c r="P243" s="49"/>
      <c r="Q243" s="49"/>
      <c r="R243" s="49"/>
      <c r="S243" s="49"/>
      <c r="T243" s="49"/>
      <c r="U243" s="49"/>
      <c r="V243" s="49"/>
      <c r="W243" s="41" t="s">
        <v>618</v>
      </c>
      <c r="X243" s="46">
        <f t="shared" si="5"/>
        <v>45600.40141</v>
      </c>
      <c r="Y243" s="50" t="s">
        <v>482</v>
      </c>
      <c r="Z243" s="49">
        <f t="shared" si="6"/>
        <v>2</v>
      </c>
    </row>
    <row r="244" ht="22.5" customHeight="1">
      <c r="B244" s="41" t="s">
        <v>1490</v>
      </c>
      <c r="C244" s="43">
        <f t="array" ref="C244">IF(B244="","",_xlfn.XLOOKUP(B244,'Form responses 1'!$B$2:$B$2604,'Form responses 1'!$A$2:$A$2604,""))</f>
        <v>45587.44121</v>
      </c>
      <c r="D244" s="44" t="str">
        <f t="shared" si="3"/>
        <v>K/28/221024/1_45587.4412059954</v>
      </c>
      <c r="E244" s="44" t="str">
        <f t="array" ref="E244">IF(B244="","",_xlfn.XLOOKUP(B244,'Form responses 1'!$B$2:$B$2604,'Form responses 1'!$C$2:$C$2604,""))</f>
        <v>Herlina Ratna SN/ Yudha O</v>
      </c>
      <c r="F244" s="44" t="str">
        <f t="array" ref="F244">IF(B244="","",_xlfn.XLOOKUP(B244,'Form responses 1'!$B$2:$B$2604,'Form responses 1'!$D$2:$D$2604,""))</f>
        <v>081369070444</v>
      </c>
      <c r="G244" s="44" t="str">
        <f t="array" ref="G244">IF(B244="","",_xlfn.XLOOKUP(B244,'Form responses 1'!$B$2:$B$2604,'Form responses 1'!$E$2:$E$2604,""))</f>
        <v>Bn Jual Beli</v>
      </c>
      <c r="H244" s="44" t="str">
        <f t="array" ref="H244">IF(B244="","",_xlfn.XLOOKUP(B244,'Form responses 1'!$B$2:$B$2604,'Form responses 1'!$F$2:$F$2604,""))</f>
        <v>B. 1206/ Kemiling Permai</v>
      </c>
      <c r="I244" s="44" t="str">
        <f t="array" ref="I244">IF(B244="","",_xlfn.XLOOKUP(B244,'Form responses 1'!$B$2:$B$2604,'Form responses 1'!$I$2:$I$2604,""))</f>
        <v>Kemiling Permai</v>
      </c>
      <c r="J244" s="44" t="str">
        <f t="array" ref="J244">IF(B244="","",_xlfn.XLOOKUP(B244,'Form responses 1'!$B$2:$B$2604,'Form responses 1'!$G$2:$G$2604,""))</f>
        <v>Rapita</v>
      </c>
      <c r="K244" s="41" t="s">
        <v>587</v>
      </c>
      <c r="L244" s="52">
        <f t="shared" si="7"/>
        <v>45589.47614</v>
      </c>
      <c r="M244" s="47" t="s">
        <v>470</v>
      </c>
      <c r="N244" s="47" t="s">
        <v>5265</v>
      </c>
      <c r="O244" s="49"/>
      <c r="P244" s="49"/>
      <c r="Q244" s="49"/>
      <c r="R244" s="49"/>
      <c r="S244" s="49"/>
      <c r="T244" s="49"/>
      <c r="U244" s="49"/>
      <c r="V244" s="49"/>
      <c r="W244" s="41" t="s">
        <v>618</v>
      </c>
      <c r="X244" s="46">
        <f t="shared" si="5"/>
        <v>45600.3994</v>
      </c>
      <c r="Y244" s="50" t="s">
        <v>482</v>
      </c>
      <c r="Z244" s="49">
        <f t="shared" si="6"/>
        <v>2</v>
      </c>
    </row>
    <row r="245" ht="22.5" customHeight="1">
      <c r="B245" s="41" t="s">
        <v>1608</v>
      </c>
      <c r="C245" s="43">
        <f t="array" ref="C245">IF(B245="","",_xlfn.XLOOKUP(B245,'Form responses 1'!$B$2:$B$2604,'Form responses 1'!$A$2:$A$2604,""))</f>
        <v>45587.60973</v>
      </c>
      <c r="D245" s="44" t="str">
        <f t="shared" si="3"/>
        <v>K/53/221024/3_45587.6097255787</v>
      </c>
      <c r="E245" s="44" t="str">
        <f t="array" ref="E245">IF(B245="","",_xlfn.XLOOKUP(B245,'Form responses 1'!$B$2:$B$2604,'Form responses 1'!$C$2:$C$2604,""))</f>
        <v>Mahfud/ Putri A</v>
      </c>
      <c r="F245" s="44" t="str">
        <f t="array" ref="F245">IF(B245="","",_xlfn.XLOOKUP(B245,'Form responses 1'!$B$2:$B$2604,'Form responses 1'!$D$2:$D$2604,""))</f>
        <v>+62 857-0913-9403</v>
      </c>
      <c r="G245" s="44" t="str">
        <f t="array" ref="G245">IF(B245="","",_xlfn.XLOOKUP(B245,'Form responses 1'!$B$2:$B$2604,'Form responses 1'!$E$2:$E$2604,""))</f>
        <v>BN Jual Beli</v>
      </c>
      <c r="H245" s="44" t="str">
        <f t="array" ref="H245">IF(B245="","",_xlfn.XLOOKUP(B245,'Form responses 1'!$B$2:$B$2604,'Form responses 1'!$F$2:$F$2604,""))</f>
        <v>M. 1992/ L R R</v>
      </c>
      <c r="I245" s="44" t="str">
        <f t="array" ref="I245">IF(B245="","",_xlfn.XLOOKUP(B245,'Form responses 1'!$B$2:$B$2604,'Form responses 1'!$I$2:$I$2604,""))</f>
        <v>Labuhan Ratu Raya</v>
      </c>
      <c r="J245" s="44" t="str">
        <f t="array" ref="J245">IF(B245="","",_xlfn.XLOOKUP(B245,'Form responses 1'!$B$2:$B$2604,'Form responses 1'!$G$2:$G$2604,""))</f>
        <v>Rapita</v>
      </c>
      <c r="K245" s="41" t="s">
        <v>587</v>
      </c>
      <c r="L245" s="52">
        <f t="shared" si="7"/>
        <v>45589.47768</v>
      </c>
      <c r="M245" s="47" t="s">
        <v>470</v>
      </c>
      <c r="N245" s="49"/>
      <c r="O245" s="49"/>
      <c r="P245" s="49"/>
      <c r="Q245" s="49"/>
      <c r="R245" s="49"/>
      <c r="S245" s="49"/>
      <c r="T245" s="49"/>
      <c r="U245" s="49"/>
      <c r="V245" s="49"/>
      <c r="W245" s="41" t="s">
        <v>470</v>
      </c>
      <c r="X245" s="46">
        <f t="shared" si="5"/>
        <v>45593.51999</v>
      </c>
      <c r="Y245" s="50" t="s">
        <v>482</v>
      </c>
      <c r="Z245" s="49">
        <f t="shared" si="6"/>
        <v>1</v>
      </c>
    </row>
    <row r="246" ht="22.5" customHeight="1">
      <c r="B246" s="41" t="s">
        <v>1668</v>
      </c>
      <c r="C246" s="43">
        <f t="array" ref="C246">IF(B246="","",_xlfn.XLOOKUP(B246,'Form responses 1'!$B$2:$B$2604,'Form responses 1'!$A$2:$A$2604,""))</f>
        <v>45588.44666</v>
      </c>
      <c r="D246" s="44" t="str">
        <f t="shared" si="3"/>
        <v>K/6/231024/1_45588.4466553241</v>
      </c>
      <c r="E246" s="44" t="str">
        <f t="array" ref="E246">IF(B246="","",_xlfn.XLOOKUP(B246,'Form responses 1'!$B$2:$B$2604,'Form responses 1'!$C$2:$C$2604,""))</f>
        <v>Sukijo B S/ Jumangin</v>
      </c>
      <c r="F246" s="44" t="str">
        <f t="array" ref="F246">IF(B246="","",_xlfn.XLOOKUP(B246,'Form responses 1'!$B$2:$B$2604,'Form responses 1'!$D$2:$D$2604,""))</f>
        <v>0895616082379</v>
      </c>
      <c r="G246" s="44" t="str">
        <f t="array" ref="G246">IF(B246="","",_xlfn.XLOOKUP(B246,'Form responses 1'!$B$2:$B$2604,'Form responses 1'!$E$2:$E$2604,""))</f>
        <v>Pemecahan</v>
      </c>
      <c r="H246" s="44" t="str">
        <f t="array" ref="H246">IF(B246="","",_xlfn.XLOOKUP(B246,'Form responses 1'!$B$2:$B$2604,'Form responses 1'!$F$2:$F$2604,""))</f>
        <v>M. 149/ Bakung</v>
      </c>
      <c r="I246" s="44" t="str">
        <f t="array" ref="I246">IF(B246="","",_xlfn.XLOOKUP(B246,'Form responses 1'!$B$2:$B$2604,'Form responses 1'!$I$2:$I$2604,""))</f>
        <v>Bakung</v>
      </c>
      <c r="J246" s="44" t="str">
        <f t="array" ref="J246">IF(B246="","",_xlfn.XLOOKUP(B246,'Form responses 1'!$B$2:$B$2604,'Form responses 1'!$G$2:$G$2604,""))</f>
        <v>Rapita</v>
      </c>
      <c r="K246" s="41" t="s">
        <v>587</v>
      </c>
      <c r="L246" s="52">
        <f t="shared" si="7"/>
        <v>45589.47958</v>
      </c>
      <c r="M246" s="47" t="s">
        <v>470</v>
      </c>
      <c r="N246" s="49"/>
      <c r="O246" s="49"/>
      <c r="P246" s="49"/>
      <c r="Q246" s="49"/>
      <c r="R246" s="49"/>
      <c r="S246" s="49"/>
      <c r="T246" s="49"/>
      <c r="U246" s="49"/>
      <c r="V246" s="49"/>
      <c r="W246" s="41" t="s">
        <v>470</v>
      </c>
      <c r="X246" s="46">
        <f t="shared" si="5"/>
        <v>45593.5204</v>
      </c>
      <c r="Y246" s="50" t="s">
        <v>482</v>
      </c>
      <c r="Z246" s="49">
        <f t="shared" si="6"/>
        <v>1</v>
      </c>
    </row>
    <row r="247" ht="22.5" customHeight="1">
      <c r="B247" s="41" t="s">
        <v>1698</v>
      </c>
      <c r="C247" s="43">
        <f t="array" ref="C247">IF(B247="","",_xlfn.XLOOKUP(B247,'Form responses 1'!$B$2:$B$2604,'Form responses 1'!$A$2:$A$2604,""))</f>
        <v>45588.45811</v>
      </c>
      <c r="D247" s="44" t="str">
        <f t="shared" si="3"/>
        <v>K/13/231024/1_45588.4581053241</v>
      </c>
      <c r="E247" s="44" t="str">
        <f t="array" ref="E247">IF(B247="","",_xlfn.XLOOKUP(B247,'Form responses 1'!$B$2:$B$2604,'Form responses 1'!$C$2:$C$2604,""))</f>
        <v>Maryanti K/ Sri Rahayu</v>
      </c>
      <c r="F247" s="44" t="str">
        <f t="array" ref="F247">IF(B247="","",_xlfn.XLOOKUP(B247,'Form responses 1'!$B$2:$B$2604,'Form responses 1'!$D$2:$D$2604,""))</f>
        <v>+62 811-7212-168</v>
      </c>
      <c r="G247" s="44" t="str">
        <f t="array" ref="G247">IF(B247="","",_xlfn.XLOOKUP(B247,'Form responses 1'!$B$2:$B$2604,'Form responses 1'!$E$2:$E$2604,""))</f>
        <v>Perubahan Hak</v>
      </c>
      <c r="H247" s="44" t="str">
        <f t="array" ref="H247">IF(B247="","",_xlfn.XLOOKUP(B247,'Form responses 1'!$B$2:$B$2604,'Form responses 1'!$F$2:$F$2604,""))</f>
        <v>B. 645/ Jagabaya III; 4216/Sukarame-dahulu</v>
      </c>
      <c r="I247" s="44" t="str">
        <f t="array" ref="I247">IF(B247="","",_xlfn.XLOOKUP(B247,'Form responses 1'!$B$2:$B$2604,'Form responses 1'!$I$2:$I$2604,""))</f>
        <v>Jagabaya III</v>
      </c>
      <c r="J247" s="44" t="str">
        <f t="array" ref="J247">IF(B247="","",_xlfn.XLOOKUP(B247,'Form responses 1'!$B$2:$B$2604,'Form responses 1'!$G$2:$G$2604,""))</f>
        <v>Rapita</v>
      </c>
      <c r="K247" s="41" t="s">
        <v>587</v>
      </c>
      <c r="L247" s="52">
        <f t="shared" si="7"/>
        <v>45589.47974</v>
      </c>
      <c r="M247" s="47" t="s">
        <v>470</v>
      </c>
      <c r="N247" s="49"/>
      <c r="O247" s="49"/>
      <c r="P247" s="49"/>
      <c r="Q247" s="49"/>
      <c r="R247" s="49"/>
      <c r="S247" s="49"/>
      <c r="T247" s="49"/>
      <c r="U247" s="49"/>
      <c r="V247" s="49"/>
      <c r="W247" s="41" t="s">
        <v>470</v>
      </c>
      <c r="X247" s="46">
        <f t="shared" si="5"/>
        <v>45593.52097</v>
      </c>
      <c r="Y247" s="50" t="s">
        <v>482</v>
      </c>
      <c r="Z247" s="49">
        <f t="shared" si="6"/>
        <v>1</v>
      </c>
    </row>
    <row r="248" ht="22.5" customHeight="1">
      <c r="B248" s="41" t="s">
        <v>1773</v>
      </c>
      <c r="C248" s="43">
        <f t="array" ref="C248">IF(B248="","",_xlfn.XLOOKUP(B248,'Form responses 1'!$B$2:$B$2604,'Form responses 1'!$A$2:$A$2604,""))</f>
        <v>45588.58259</v>
      </c>
      <c r="D248" s="44" t="str">
        <f t="shared" si="3"/>
        <v>K/33/231024/1_45588.5825943171</v>
      </c>
      <c r="E248" s="44" t="str">
        <f t="array" ref="E248">IF(B248="","",_xlfn.XLOOKUP(B248,'Form responses 1'!$B$2:$B$2604,'Form responses 1'!$C$2:$C$2604,""))</f>
        <v>Budi K/ Nurmaitun</v>
      </c>
      <c r="F248" s="44" t="str">
        <f t="array" ref="F248">IF(B248="","",_xlfn.XLOOKUP(B248,'Form responses 1'!$B$2:$B$2604,'Form responses 1'!$D$2:$D$2604,""))</f>
        <v>085868167367</v>
      </c>
      <c r="G248" s="44" t="str">
        <f t="array" ref="G248">IF(B248="","",_xlfn.XLOOKUP(B248,'Form responses 1'!$B$2:$B$2604,'Form responses 1'!$E$2:$E$2604,""))</f>
        <v>Roya</v>
      </c>
      <c r="H248" s="44" t="str">
        <f t="array" ref="H248">IF(B248="","",_xlfn.XLOOKUP(B248,'Form responses 1'!$B$2:$B$2604,'Form responses 1'!$F$2:$F$2604,""))</f>
        <v>M. 1666/ Way Halim Permai; SHT 1552/2016</v>
      </c>
      <c r="I248" s="44" t="str">
        <f t="array" ref="I248">IF(B248="","",_xlfn.XLOOKUP(B248,'Form responses 1'!$B$2:$B$2604,'Form responses 1'!$I$2:$I$2604,""))</f>
        <v>Way Halim Permai</v>
      </c>
      <c r="J248" s="44" t="str">
        <f t="array" ref="J248">IF(B248="","",_xlfn.XLOOKUP(B248,'Form responses 1'!$B$2:$B$2604,'Form responses 1'!$G$2:$G$2604,""))</f>
        <v>Rapita</v>
      </c>
      <c r="K248" s="41" t="s">
        <v>587</v>
      </c>
      <c r="L248" s="52">
        <f t="shared" si="7"/>
        <v>45589.47992</v>
      </c>
      <c r="M248" s="47" t="s">
        <v>470</v>
      </c>
      <c r="N248" s="47" t="s">
        <v>5214</v>
      </c>
      <c r="O248" s="49"/>
      <c r="P248" s="49"/>
      <c r="Q248" s="49"/>
      <c r="R248" s="49"/>
      <c r="S248" s="49"/>
      <c r="T248" s="49"/>
      <c r="U248" s="49"/>
      <c r="V248" s="49"/>
      <c r="W248" s="41" t="s">
        <v>618</v>
      </c>
      <c r="X248" s="46">
        <f t="shared" si="5"/>
        <v>45602.38717</v>
      </c>
      <c r="Y248" s="50" t="s">
        <v>482</v>
      </c>
      <c r="Z248" s="49">
        <f t="shared" si="6"/>
        <v>2</v>
      </c>
    </row>
    <row r="249" ht="22.5" customHeight="1">
      <c r="B249" s="41" t="s">
        <v>90</v>
      </c>
      <c r="C249" s="43">
        <f t="array" ref="C249">IF(B249="","",_xlfn.XLOOKUP(B249,'Form responses 1'!$B$2:$B$2604,'Form responses 1'!$A$2:$A$2604,""))</f>
        <v>45586.49305</v>
      </c>
      <c r="D249" s="44" t="str">
        <f t="shared" si="3"/>
        <v>K/24/211024/1_45586.4930454282</v>
      </c>
      <c r="E249" s="44" t="str">
        <f t="array" ref="E249">IF(B249="","",_xlfn.XLOOKUP(B249,'Form responses 1'!$B$2:$B$2604,'Form responses 1'!$C$2:$C$2604,""))</f>
        <v>Nur Hayati/ Ani Liani CS</v>
      </c>
      <c r="F249" s="44" t="str">
        <f t="array" ref="F249">IF(B249="","",_xlfn.XLOOKUP(B249,'Form responses 1'!$B$2:$B$2604,'Form responses 1'!$D$2:$D$2604,""))</f>
        <v>081271262228</v>
      </c>
      <c r="G249" s="44" t="str">
        <f t="array" ref="G249">IF(B249="","",_xlfn.XLOOKUP(B249,'Form responses 1'!$B$2:$B$2604,'Form responses 1'!$E$2:$E$2604,""))</f>
        <v>BN Waris</v>
      </c>
      <c r="H249" s="44" t="str">
        <f t="array" ref="H249">IF(B249="","",_xlfn.XLOOKUP(B249,'Form responses 1'!$B$2:$B$2604,'Form responses 1'!$F$2:$F$2604,""))</f>
        <v>M. 12665/ Kali Balau Kencana-sekarang; M. 12665/ Tanjung Baru- dahulu</v>
      </c>
      <c r="I249" s="44" t="str">
        <f t="array" ref="I249">IF(B249="","",_xlfn.XLOOKUP(B249,'Form responses 1'!$B$2:$B$2604,'Form responses 1'!$I$2:$I$2604,""))</f>
        <v>Kali Balu Kencana</v>
      </c>
      <c r="J249" s="44" t="str">
        <f t="array" ref="J249">IF(B249="","",_xlfn.XLOOKUP(B249,'Form responses 1'!$B$2:$B$2604,'Form responses 1'!$G$2:$G$2604,""))</f>
        <v>Hananda</v>
      </c>
      <c r="K249" s="41" t="s">
        <v>587</v>
      </c>
      <c r="L249" s="52">
        <f t="shared" si="7"/>
        <v>45589.48012</v>
      </c>
      <c r="M249" s="47" t="s">
        <v>5355</v>
      </c>
      <c r="N249" s="47" t="s">
        <v>5214</v>
      </c>
      <c r="O249" s="49"/>
      <c r="P249" s="49"/>
      <c r="Q249" s="49"/>
      <c r="R249" s="49"/>
      <c r="S249" s="49"/>
      <c r="T249" s="49"/>
      <c r="U249" s="49"/>
      <c r="V249" s="49"/>
      <c r="W249" s="41" t="s">
        <v>618</v>
      </c>
      <c r="X249" s="46">
        <f t="shared" si="5"/>
        <v>45607.32601</v>
      </c>
      <c r="Y249" s="50" t="s">
        <v>482</v>
      </c>
      <c r="Z249" s="49">
        <f t="shared" si="6"/>
        <v>2</v>
      </c>
    </row>
    <row r="250" ht="22.5" customHeight="1">
      <c r="B250" s="41" t="s">
        <v>1480</v>
      </c>
      <c r="C250" s="43">
        <f t="array" ref="C250">IF(B250="","",_xlfn.XLOOKUP(B250,'Form responses 1'!$B$2:$B$2604,'Form responses 1'!$A$2:$A$2604,""))</f>
        <v>45587.42691</v>
      </c>
      <c r="D250" s="44" t="str">
        <f t="shared" si="3"/>
        <v>K/23/221024/8_45587.4269136806</v>
      </c>
      <c r="E250" s="44" t="str">
        <f t="array" ref="E250">IF(B250="","",_xlfn.XLOOKUP(B250,'Form responses 1'!$B$2:$B$2604,'Form responses 1'!$C$2:$C$2604,""))</f>
        <v>Zul April/ Siswanto CS</v>
      </c>
      <c r="F250" s="44" t="str">
        <f t="array" ref="F250">IF(B250="","",_xlfn.XLOOKUP(B250,'Form responses 1'!$B$2:$B$2604,'Form responses 1'!$D$2:$D$2604,""))</f>
        <v>+62 821-7511-1121</v>
      </c>
      <c r="G250" s="44" t="str">
        <f t="array" ref="G250">IF(B250="","",_xlfn.XLOOKUP(B250,'Form responses 1'!$B$2:$B$2604,'Form responses 1'!$E$2:$E$2604,""))</f>
        <v>BN Waris</v>
      </c>
      <c r="H250" s="44" t="str">
        <f t="array" ref="H250">IF(B250="","",_xlfn.XLOOKUP(B250,'Form responses 1'!$B$2:$B$2604,'Form responses 1'!$F$2:$F$2604,""))</f>
        <v>M. 560/ Korpri Raya - sekarang; M. 9773/ Sukarame I-Dahulu</v>
      </c>
      <c r="I250" s="44" t="str">
        <f t="array" ref="I250">IF(B250="","",_xlfn.XLOOKUP(B250,'Form responses 1'!$B$2:$B$2604,'Form responses 1'!$I$2:$I$2604,""))</f>
        <v>Korpri Raya</v>
      </c>
      <c r="J250" s="44" t="str">
        <f t="array" ref="J250">IF(B250="","",_xlfn.XLOOKUP(B250,'Form responses 1'!$B$2:$B$2604,'Form responses 1'!$G$2:$G$2604,""))</f>
        <v>Hananda</v>
      </c>
      <c r="K250" s="41" t="s">
        <v>587</v>
      </c>
      <c r="L250" s="52">
        <f t="shared" si="7"/>
        <v>45589.48047</v>
      </c>
      <c r="M250" s="47" t="s">
        <v>470</v>
      </c>
      <c r="N250" s="47" t="s">
        <v>5265</v>
      </c>
      <c r="O250" s="47" t="s">
        <v>5356</v>
      </c>
      <c r="P250" s="49"/>
      <c r="Q250" s="49"/>
      <c r="R250" s="49"/>
      <c r="S250" s="49"/>
      <c r="T250" s="49"/>
      <c r="U250" s="49"/>
      <c r="V250" s="49"/>
      <c r="W250" s="41" t="s">
        <v>618</v>
      </c>
      <c r="X250" s="46">
        <f t="shared" si="5"/>
        <v>45609.30389</v>
      </c>
      <c r="Y250" s="50" t="s">
        <v>482</v>
      </c>
      <c r="Z250" s="49">
        <f t="shared" si="6"/>
        <v>3</v>
      </c>
    </row>
    <row r="251" ht="22.5" customHeight="1">
      <c r="B251" s="41" t="s">
        <v>1652</v>
      </c>
      <c r="C251" s="43">
        <f t="array" ref="C251">IF(B251="","",_xlfn.XLOOKUP(B251,'Form responses 1'!$B$2:$B$2604,'Form responses 1'!$A$2:$A$2604,""))</f>
        <v>45588.39353</v>
      </c>
      <c r="D251" s="44" t="str">
        <f t="shared" si="3"/>
        <v>K/3/231024/1_45588.3935336574</v>
      </c>
      <c r="E251" s="44" t="str">
        <f t="array" ref="E251">IF(B251="","",_xlfn.XLOOKUP(B251,'Form responses 1'!$B$2:$B$2604,'Form responses 1'!$C$2:$C$2604,""))</f>
        <v>Anna P/ Imam Firdaus</v>
      </c>
      <c r="F251" s="44" t="str">
        <f t="array" ref="F251">IF(B251="","",_xlfn.XLOOKUP(B251,'Form responses 1'!$B$2:$B$2604,'Form responses 1'!$D$2:$D$2604,""))</f>
        <v>082279126650</v>
      </c>
      <c r="G251" s="44" t="str">
        <f t="array" ref="G251">IF(B251="","",_xlfn.XLOOKUP(B251,'Form responses 1'!$B$2:$B$2604,'Form responses 1'!$E$2:$E$2604,""))</f>
        <v>BN Hibah</v>
      </c>
      <c r="H251" s="44" t="str">
        <f t="array" ref="H251">IF(B251="","",_xlfn.XLOOKUP(B251,'Form responses 1'!$B$2:$B$2604,'Form responses 1'!$F$2:$F$2604,""))</f>
        <v>M. 1186/ Teluk betung</v>
      </c>
      <c r="I251" s="44" t="str">
        <f t="array" ref="I251">IF(B251="","",_xlfn.XLOOKUP(B251,'Form responses 1'!$B$2:$B$2604,'Form responses 1'!$I$2:$I$2604,""))</f>
        <v>Teluk betung</v>
      </c>
      <c r="J251" s="44" t="str">
        <f t="array" ref="J251">IF(B251="","",_xlfn.XLOOKUP(B251,'Form responses 1'!$B$2:$B$2604,'Form responses 1'!$G$2:$G$2604,""))</f>
        <v>Hananda</v>
      </c>
      <c r="K251" s="41" t="s">
        <v>587</v>
      </c>
      <c r="L251" s="52">
        <f t="shared" si="7"/>
        <v>45589.48069</v>
      </c>
      <c r="M251" s="47" t="s">
        <v>470</v>
      </c>
      <c r="N251" s="47" t="s">
        <v>5265</v>
      </c>
      <c r="O251" s="49"/>
      <c r="P251" s="49"/>
      <c r="Q251" s="49"/>
      <c r="R251" s="49"/>
      <c r="S251" s="49"/>
      <c r="T251" s="49"/>
      <c r="U251" s="49"/>
      <c r="V251" s="49"/>
      <c r="W251" s="41" t="s">
        <v>618</v>
      </c>
      <c r="X251" s="46">
        <f t="shared" si="5"/>
        <v>45600.40038</v>
      </c>
      <c r="Y251" s="50" t="s">
        <v>482</v>
      </c>
      <c r="Z251" s="49">
        <f t="shared" si="6"/>
        <v>2</v>
      </c>
    </row>
    <row r="252" ht="22.5" customHeight="1">
      <c r="B252" s="41" t="s">
        <v>1843</v>
      </c>
      <c r="C252" s="43">
        <f t="array" ref="C252">IF(B252="","",_xlfn.XLOOKUP(B252,'Form responses 1'!$B$2:$B$2604,'Form responses 1'!$A$2:$A$2604,""))</f>
        <v>45588.62482</v>
      </c>
      <c r="D252" s="44" t="str">
        <f t="shared" si="3"/>
        <v>K/49/231024/1_45588.6248214468</v>
      </c>
      <c r="E252" s="44" t="str">
        <f t="array" ref="E252">IF(B252="","",_xlfn.XLOOKUP(B252,'Form responses 1'!$B$2:$B$2604,'Form responses 1'!$C$2:$C$2604,""))</f>
        <v>NURHAYATI</v>
      </c>
      <c r="F252" s="44" t="str">
        <f t="array" ref="F252">IF(B252="","",_xlfn.XLOOKUP(B252,'Form responses 1'!$B$2:$B$2604,'Form responses 1'!$D$2:$D$2604,""))</f>
        <v>08117222871</v>
      </c>
      <c r="G252" s="44" t="str">
        <f t="array" ref="G252">IF(B252="","",_xlfn.XLOOKUP(B252,'Form responses 1'!$B$2:$B$2604,'Form responses 1'!$E$2:$E$2604,""))</f>
        <v>BN JUAL BELI</v>
      </c>
      <c r="H252" s="44" t="str">
        <f t="array" ref="H252">IF(B252="","",_xlfn.XLOOKUP(B252,'Form responses 1'!$B$2:$B$2604,'Form responses 1'!$F$2:$F$2604,""))</f>
        <v>M. 2278/ Rajabasa Jaya</v>
      </c>
      <c r="I252" s="44" t="str">
        <f t="array" ref="I252">IF(B252="","",_xlfn.XLOOKUP(B252,'Form responses 1'!$B$2:$B$2604,'Form responses 1'!$I$2:$I$2604,""))</f>
        <v>Rajabasa Jaya</v>
      </c>
      <c r="J252" s="44" t="str">
        <f t="array" ref="J252">IF(B252="","",_xlfn.XLOOKUP(B252,'Form responses 1'!$B$2:$B$2604,'Form responses 1'!$G$2:$G$2604,""))</f>
        <v>Hananda</v>
      </c>
      <c r="K252" s="41" t="s">
        <v>587</v>
      </c>
      <c r="L252" s="52">
        <f t="shared" si="7"/>
        <v>45589.48092</v>
      </c>
      <c r="M252" s="47" t="s">
        <v>470</v>
      </c>
      <c r="N252" s="49"/>
      <c r="O252" s="49"/>
      <c r="P252" s="49"/>
      <c r="Q252" s="49"/>
      <c r="R252" s="49"/>
      <c r="S252" s="49"/>
      <c r="T252" s="49"/>
      <c r="U252" s="49"/>
      <c r="V252" s="49"/>
      <c r="W252" s="41" t="s">
        <v>470</v>
      </c>
      <c r="X252" s="46">
        <f t="shared" si="5"/>
        <v>45593.52329</v>
      </c>
      <c r="Y252" s="50" t="s">
        <v>482</v>
      </c>
      <c r="Z252" s="49">
        <f t="shared" si="6"/>
        <v>1</v>
      </c>
    </row>
    <row r="253" ht="22.5" customHeight="1">
      <c r="B253" s="41" t="s">
        <v>1352</v>
      </c>
      <c r="C253" s="43">
        <f t="array" ref="C253">IF(B253="","",_xlfn.XLOOKUP(B253,'Form responses 1'!$B$2:$B$2604,'Form responses 1'!$A$2:$A$2604,""))</f>
        <v>45586.60118</v>
      </c>
      <c r="D253" s="44" t="str">
        <f t="shared" si="3"/>
        <v>K/41/211024/1_45586.601180706</v>
      </c>
      <c r="E253" s="44" t="str">
        <f t="array" ref="E253">IF(B253="","",_xlfn.XLOOKUP(B253,'Form responses 1'!$B$2:$B$2604,'Form responses 1'!$C$2:$C$2604,""))</f>
        <v>TAMAULI SITOHANG/SAHAT VAULIAN</v>
      </c>
      <c r="F253" s="44" t="str">
        <f t="array" ref="F253">IF(B253="","",_xlfn.XLOOKUP(B253,'Form responses 1'!$B$2:$B$2604,'Form responses 1'!$D$2:$D$2604,""))</f>
        <v>082186748468</v>
      </c>
      <c r="G253" s="44" t="str">
        <f t="array" ref="G253">IF(B253="","",_xlfn.XLOOKUP(B253,'Form responses 1'!$B$2:$B$2604,'Form responses 1'!$E$2:$E$2604,""))</f>
        <v>PENINGKATAN HAK</v>
      </c>
      <c r="H253" s="44" t="str">
        <f t="array" ref="H253">IF(B253="","",_xlfn.XLOOKUP(B253,'Form responses 1'!$B$2:$B$2604,'Form responses 1'!$F$2:$F$2604,""))</f>
        <v>B.569/NUSANTARA PERMAI-SEKARANG;B.336/CAMPANG RAYA-DAHULU</v>
      </c>
      <c r="I253" s="44" t="str">
        <f t="array" ref="I253">IF(B253="","",_xlfn.XLOOKUP(B253,'Form responses 1'!$B$2:$B$2604,'Form responses 1'!$I$2:$I$2604,""))</f>
        <v>NUSANTARA PERMAI</v>
      </c>
      <c r="J253" s="44" t="str">
        <f t="array" ref="J253">IF(B253="","",_xlfn.XLOOKUP(B253,'Form responses 1'!$B$2:$B$2604,'Form responses 1'!$G$2:$G$2604,""))</f>
        <v>Baynur</v>
      </c>
      <c r="K253" s="41" t="s">
        <v>587</v>
      </c>
      <c r="L253" s="52">
        <f t="shared" si="7"/>
        <v>45589.48117</v>
      </c>
      <c r="M253" s="47" t="s">
        <v>1156</v>
      </c>
      <c r="N253" s="49"/>
      <c r="O253" s="49"/>
      <c r="P253" s="49"/>
      <c r="Q253" s="49"/>
      <c r="R253" s="49"/>
      <c r="S253" s="49"/>
      <c r="T253" s="49"/>
      <c r="U253" s="49"/>
      <c r="V253" s="49"/>
      <c r="W253" s="41" t="s">
        <v>618</v>
      </c>
      <c r="X253" s="46">
        <f t="shared" si="5"/>
        <v>45590.64208</v>
      </c>
      <c r="Y253" s="50" t="s">
        <v>482</v>
      </c>
      <c r="Z253" s="49">
        <f t="shared" si="6"/>
        <v>1</v>
      </c>
    </row>
    <row r="254" ht="22.5" customHeight="1">
      <c r="B254" s="41" t="s">
        <v>1368</v>
      </c>
      <c r="C254" s="43">
        <f t="array" ref="C254">IF(B254="","",_xlfn.XLOOKUP(B254,'Form responses 1'!$B$2:$B$2604,'Form responses 1'!$A$2:$A$2604,""))</f>
        <v>45586.61619</v>
      </c>
      <c r="D254" s="44" t="str">
        <f t="shared" si="3"/>
        <v>K/47/211024/1_45586.6161898148</v>
      </c>
      <c r="E254" s="44" t="str">
        <f t="array" ref="E254">IF(B254="","",_xlfn.XLOOKUP(B254,'Form responses 1'!$B$2:$B$2604,'Form responses 1'!$C$2:$C$2604,""))</f>
        <v>RADEN MUHAMAD ILYAS/ARIE MAULUDI</v>
      </c>
      <c r="F254" s="44" t="str">
        <f t="array" ref="F254">IF(B254="","",_xlfn.XLOOKUP(B254,'Form responses 1'!$B$2:$B$2604,'Form responses 1'!$D$2:$D$2604,""))</f>
        <v>081279407900</v>
      </c>
      <c r="G254" s="44" t="str">
        <f t="array" ref="G254">IF(B254="","",_xlfn.XLOOKUP(B254,'Form responses 1'!$B$2:$B$2604,'Form responses 1'!$E$2:$E$2604,""))</f>
        <v>PERALIHAN JUAL BELI</v>
      </c>
      <c r="H254" s="44" t="str">
        <f t="array" ref="H254">IF(B254="","",_xlfn.XLOOKUP(B254,'Form responses 1'!$B$2:$B$2604,'Form responses 1'!$F$2:$F$2604,""))</f>
        <v>M.2704/SUKARAME BARU-SEKARANG;B.986/SUKARAME -DAHULU</v>
      </c>
      <c r="I254" s="44" t="str">
        <f t="array" ref="I254">IF(B254="","",_xlfn.XLOOKUP(B254,'Form responses 1'!$B$2:$B$2604,'Form responses 1'!$I$2:$I$2604,""))</f>
        <v>SUKARAME BARU</v>
      </c>
      <c r="J254" s="44" t="str">
        <f t="array" ref="J254">IF(B254="","",_xlfn.XLOOKUP(B254,'Form responses 1'!$B$2:$B$2604,'Form responses 1'!$G$2:$G$2604,""))</f>
        <v>Baynur</v>
      </c>
      <c r="K254" s="41" t="s">
        <v>587</v>
      </c>
      <c r="L254" s="52">
        <f t="shared" si="7"/>
        <v>45589.48151</v>
      </c>
      <c r="M254" s="47" t="s">
        <v>5357</v>
      </c>
      <c r="N254" s="47" t="s">
        <v>5358</v>
      </c>
      <c r="O254" s="49"/>
      <c r="P254" s="49"/>
      <c r="Q254" s="49"/>
      <c r="R254" s="49"/>
      <c r="S254" s="49"/>
      <c r="T254" s="49"/>
      <c r="U254" s="49"/>
      <c r="V254" s="49"/>
      <c r="W254" s="41" t="s">
        <v>618</v>
      </c>
      <c r="X254" s="46">
        <f t="shared" si="5"/>
        <v>45594.47888</v>
      </c>
      <c r="Y254" s="50" t="s">
        <v>482</v>
      </c>
      <c r="Z254" s="49">
        <f t="shared" si="6"/>
        <v>2</v>
      </c>
      <c r="AA254" s="4" t="s">
        <v>5359</v>
      </c>
    </row>
    <row r="255" ht="22.5" customHeight="1">
      <c r="B255" s="41" t="s">
        <v>1416</v>
      </c>
      <c r="C255" s="43">
        <f t="array" ref="C255">IF(B255="","",_xlfn.XLOOKUP(B255,'Form responses 1'!$B$2:$B$2604,'Form responses 1'!$A$2:$A$2604,""))</f>
        <v>45587.38905</v>
      </c>
      <c r="D255" s="44" t="str">
        <f t="shared" si="3"/>
        <v>L/6/221024/1_45587.3890510995</v>
      </c>
      <c r="E255" s="44" t="str">
        <f t="array" ref="E255">IF(B255="","",_xlfn.XLOOKUP(B255,'Form responses 1'!$B$2:$B$2604,'Form responses 1'!$C$2:$C$2604,""))</f>
        <v>DRISNAF SWASTYARDI</v>
      </c>
      <c r="F255" s="44" t="str">
        <f t="array" ref="F255">IF(B255="","",_xlfn.XLOOKUP(B255,'Form responses 1'!$B$2:$B$2604,'Form responses 1'!$D$2:$D$2604,""))</f>
        <v>081341521961</v>
      </c>
      <c r="G255" s="44" t="str">
        <f t="array" ref="G255">IF(B255="","",_xlfn.XLOOKUP(B255,'Form responses 1'!$B$2:$B$2604,'Form responses 1'!$E$2:$E$2604,""))</f>
        <v>ROYA</v>
      </c>
      <c r="H255" s="44" t="str">
        <f t="array" ref="H255">IF(B255="","",_xlfn.XLOOKUP(B255,'Form responses 1'!$B$2:$B$2604,'Form responses 1'!$F$2:$F$2604,""))</f>
        <v>SHGB.262/KAMPUNG BARU DAN SHGB.258/KAMPUNG BARU</v>
      </c>
      <c r="I255" s="44" t="str">
        <f t="array" ref="I255">IF(B255="","",_xlfn.XLOOKUP(B255,'Form responses 1'!$B$2:$B$2604,'Form responses 1'!$I$2:$I$2604,""))</f>
        <v>KAMPUNG BARU</v>
      </c>
      <c r="J255" s="44" t="str">
        <f t="array" ref="J255">IF(B255="","",_xlfn.XLOOKUP(B255,'Form responses 1'!$B$2:$B$2604,'Form responses 1'!$G$2:$G$2604,""))</f>
        <v>Nuraini</v>
      </c>
      <c r="K255" s="41" t="s">
        <v>587</v>
      </c>
      <c r="L255" s="52">
        <f t="shared" si="7"/>
        <v>45589.48192</v>
      </c>
      <c r="M255" s="47" t="s">
        <v>470</v>
      </c>
      <c r="N255" s="47" t="s">
        <v>5221</v>
      </c>
      <c r="O255" s="49"/>
      <c r="P255" s="49"/>
      <c r="Q255" s="49"/>
      <c r="R255" s="49"/>
      <c r="S255" s="49"/>
      <c r="T255" s="49"/>
      <c r="U255" s="49"/>
      <c r="V255" s="49"/>
      <c r="W255" s="41" t="s">
        <v>618</v>
      </c>
      <c r="X255" s="46">
        <f t="shared" si="5"/>
        <v>45597.61816</v>
      </c>
      <c r="Y255" s="50" t="s">
        <v>482</v>
      </c>
      <c r="Z255" s="49">
        <f t="shared" si="6"/>
        <v>2</v>
      </c>
      <c r="AA255" s="4" t="s">
        <v>5360</v>
      </c>
    </row>
    <row r="256" ht="22.5" customHeight="1">
      <c r="B256" s="41" t="s">
        <v>1673</v>
      </c>
      <c r="C256" s="43">
        <f t="array" ref="C256">IF(B256="","",_xlfn.XLOOKUP(B256,'Form responses 1'!$B$2:$B$2604,'Form responses 1'!$A$2:$A$2604,""))</f>
        <v>45588.44675</v>
      </c>
      <c r="D256" s="44" t="str">
        <f t="shared" si="3"/>
        <v>L/7/231024/1_45588.4467484838</v>
      </c>
      <c r="E256" s="44" t="str">
        <f t="array" ref="E256">IF(B256="","",_xlfn.XLOOKUP(B256,'Form responses 1'!$B$2:$B$2604,'Form responses 1'!$C$2:$C$2604,""))</f>
        <v>SATRIA DINATA CS</v>
      </c>
      <c r="F256" s="44" t="str">
        <f t="array" ref="F256">IF(B256="","",_xlfn.XLOOKUP(B256,'Form responses 1'!$B$2:$B$2604,'Form responses 1'!$D$2:$D$2604,""))</f>
        <v>081329247775</v>
      </c>
      <c r="G256" s="44" t="str">
        <f t="array" ref="G256">IF(B256="","",_xlfn.XLOOKUP(B256,'Form responses 1'!$B$2:$B$2604,'Form responses 1'!$E$2:$E$2604,""))</f>
        <v>ROYA WARIS</v>
      </c>
      <c r="H256" s="44" t="str">
        <f t="array" ref="H256">IF(B256="","",_xlfn.XLOOKUP(B256,'Form responses 1'!$B$2:$B$2604,'Form responses 1'!$F$2:$F$2604,""))</f>
        <v>M.1326/KOTA BARU</v>
      </c>
      <c r="I256" s="44" t="str">
        <f t="array" ref="I256">IF(B256="","",_xlfn.XLOOKUP(B256,'Form responses 1'!$B$2:$B$2604,'Form responses 1'!$I$2:$I$2604,""))</f>
        <v>KOTA BARU</v>
      </c>
      <c r="J256" s="44" t="str">
        <f t="array" ref="J256">IF(B256="","",_xlfn.XLOOKUP(B256,'Form responses 1'!$B$2:$B$2604,'Form responses 1'!$G$2:$G$2604,""))</f>
        <v>Nuraini</v>
      </c>
      <c r="K256" s="41" t="s">
        <v>2421</v>
      </c>
      <c r="L256" s="52">
        <f t="shared" si="7"/>
        <v>45589.48245</v>
      </c>
      <c r="M256" s="49"/>
      <c r="N256" s="49"/>
      <c r="O256" s="49"/>
      <c r="P256" s="49"/>
      <c r="Q256" s="49"/>
      <c r="R256" s="49"/>
      <c r="S256" s="49"/>
      <c r="T256" s="49"/>
      <c r="U256" s="49"/>
      <c r="V256" s="49"/>
      <c r="W256" s="41" t="s">
        <v>618</v>
      </c>
      <c r="X256" s="46">
        <f t="shared" si="5"/>
        <v>45593.46029</v>
      </c>
      <c r="Y256" s="50" t="s">
        <v>482</v>
      </c>
      <c r="Z256" s="49">
        <f t="shared" si="6"/>
        <v>0</v>
      </c>
    </row>
    <row r="257" ht="22.5" customHeight="1">
      <c r="B257" s="41" t="s">
        <v>1706</v>
      </c>
      <c r="C257" s="43">
        <f t="array" ref="C257">IF(B257="","",_xlfn.XLOOKUP(B257,'Form responses 1'!$B$2:$B$2604,'Form responses 1'!$A$2:$A$2604,""))</f>
        <v>45588.46328</v>
      </c>
      <c r="D257" s="44" t="str">
        <f t="shared" si="3"/>
        <v>K/15/231024/1_45588.4632781366</v>
      </c>
      <c r="E257" s="44" t="str">
        <f t="array" ref="E257">IF(B257="","",_xlfn.XLOOKUP(B257,'Form responses 1'!$B$2:$B$2604,'Form responses 1'!$C$2:$C$2604,""))</f>
        <v>Reflan R/ Winny W</v>
      </c>
      <c r="F257" s="44" t="str">
        <f t="array" ref="F257">IF(B257="","",_xlfn.XLOOKUP(B257,'Form responses 1'!$B$2:$B$2604,'Form responses 1'!$D$2:$D$2604,""))</f>
        <v>+62 822-6948-0192</v>
      </c>
      <c r="G257" s="44" t="str">
        <f t="array" ref="G257">IF(B257="","",_xlfn.XLOOKUP(B257,'Form responses 1'!$B$2:$B$2604,'Form responses 1'!$E$2:$E$2604,""))</f>
        <v>BN Jual Beli</v>
      </c>
      <c r="H257" s="44" t="str">
        <f t="array" ref="H257">IF(B257="","",_xlfn.XLOOKUP(B257,'Form responses 1'!$B$2:$B$2604,'Form responses 1'!$F$2:$F$2604,""))</f>
        <v>M. 8119/ Sukabumi</v>
      </c>
      <c r="I257" s="44" t="str">
        <f t="array" ref="I257">IF(B257="","",_xlfn.XLOOKUP(B257,'Form responses 1'!$B$2:$B$2604,'Form responses 1'!$I$2:$I$2604,""))</f>
        <v>Sukabumi</v>
      </c>
      <c r="J257" s="44" t="str">
        <f t="array" ref="J257">IF(B257="","",_xlfn.XLOOKUP(B257,'Form responses 1'!$B$2:$B$2604,'Form responses 1'!$G$2:$G$2604,""))</f>
        <v>Rapita</v>
      </c>
      <c r="K257" s="41" t="s">
        <v>2875</v>
      </c>
      <c r="L257" s="52">
        <f t="shared" si="7"/>
        <v>45589.51216</v>
      </c>
      <c r="M257" s="47" t="s">
        <v>5361</v>
      </c>
      <c r="N257" s="49"/>
      <c r="O257" s="49"/>
      <c r="P257" s="49"/>
      <c r="Q257" s="49"/>
      <c r="R257" s="49"/>
      <c r="S257" s="49"/>
      <c r="T257" s="49"/>
      <c r="U257" s="49"/>
      <c r="V257" s="49"/>
      <c r="W257" s="41" t="s">
        <v>618</v>
      </c>
      <c r="X257" s="46">
        <f t="shared" si="5"/>
        <v>45596.66884</v>
      </c>
      <c r="Y257" s="50" t="s">
        <v>482</v>
      </c>
      <c r="Z257" s="49">
        <f t="shared" si="6"/>
        <v>1</v>
      </c>
    </row>
    <row r="258" ht="22.5" customHeight="1">
      <c r="B258" s="41" t="s">
        <v>1644</v>
      </c>
      <c r="C258" s="43">
        <f t="array" ref="C258">IF(B258="","",_xlfn.XLOOKUP(B258,'Form responses 1'!$B$2:$B$2604,'Form responses 1'!$A$2:$A$2604,""))</f>
        <v>45588.36988</v>
      </c>
      <c r="D258" s="44" t="str">
        <f t="shared" si="3"/>
        <v>K/1/231024/1_45588.3698774537</v>
      </c>
      <c r="E258" s="44" t="str">
        <f t="array" ref="E258">IF(B258="","",_xlfn.XLOOKUP(B258,'Form responses 1'!$B$2:$B$2604,'Form responses 1'!$C$2:$C$2604,""))</f>
        <v>Moh Reza/ M. Lanando Azhari</v>
      </c>
      <c r="F258" s="44" t="str">
        <f t="array" ref="F258">IF(B258="","",_xlfn.XLOOKUP(B258,'Form responses 1'!$B$2:$B$2604,'Form responses 1'!$D$2:$D$2604,""))</f>
        <v>082180710101</v>
      </c>
      <c r="G258" s="44" t="str">
        <f t="array" ref="G258">IF(B258="","",_xlfn.XLOOKUP(B258,'Form responses 1'!$B$2:$B$2604,'Form responses 1'!$E$2:$E$2604,""))</f>
        <v>BN Hibah</v>
      </c>
      <c r="H258" s="44" t="str">
        <f t="array" ref="H258">IF(B258="","",_xlfn.XLOOKUP(B258,'Form responses 1'!$B$2:$B$2604,'Form responses 1'!$F$2:$F$2604,""))</f>
        <v>M. 2889/ Sukarame Baru- sekarang; M. 16509/ Sukarame-dahulu</v>
      </c>
      <c r="I258" s="44" t="str">
        <f t="array" ref="I258">IF(B258="","",_xlfn.XLOOKUP(B258,'Form responses 1'!$B$2:$B$2604,'Form responses 1'!$I$2:$I$2604,""))</f>
        <v>Sukarame Baru</v>
      </c>
      <c r="J258" s="44" t="str">
        <f t="array" ref="J258">IF(B258="","",_xlfn.XLOOKUP(B258,'Form responses 1'!$B$2:$B$2604,'Form responses 1'!$G$2:$G$2604,""))</f>
        <v>Hananda</v>
      </c>
      <c r="K258" s="41" t="s">
        <v>2875</v>
      </c>
      <c r="L258" s="52">
        <f t="shared" si="7"/>
        <v>45589.51571</v>
      </c>
      <c r="M258" s="47" t="s">
        <v>5362</v>
      </c>
      <c r="N258" s="49"/>
      <c r="O258" s="49"/>
      <c r="P258" s="49"/>
      <c r="Q258" s="49"/>
      <c r="R258" s="49"/>
      <c r="S258" s="49"/>
      <c r="T258" s="49"/>
      <c r="U258" s="49"/>
      <c r="V258" s="49"/>
      <c r="W258" s="41" t="s">
        <v>618</v>
      </c>
      <c r="X258" s="46">
        <f t="shared" si="5"/>
        <v>45601.65522</v>
      </c>
      <c r="Y258" s="50" t="s">
        <v>482</v>
      </c>
      <c r="Z258" s="49">
        <f t="shared" si="6"/>
        <v>1</v>
      </c>
    </row>
    <row r="259" ht="22.5" customHeight="1">
      <c r="B259" s="41" t="s">
        <v>1824</v>
      </c>
      <c r="C259" s="43">
        <f t="array" ref="C259">IF(B259="","",_xlfn.XLOOKUP(B259,'Form responses 1'!$B$2:$B$2604,'Form responses 1'!$A$2:$A$2604,""))</f>
        <v>45588.61223</v>
      </c>
      <c r="D259" s="44" t="str">
        <f t="shared" si="3"/>
        <v>K/44/231024/1_45588.6122304398</v>
      </c>
      <c r="E259" s="44" t="str">
        <f t="array" ref="E259">IF(B259="","",_xlfn.XLOOKUP(B259,'Form responses 1'!$B$2:$B$2604,'Form responses 1'!$C$2:$C$2604,""))</f>
        <v>Suwarno/ Susilawaty CS</v>
      </c>
      <c r="F259" s="44" t="str">
        <f t="array" ref="F259">IF(B259="","",_xlfn.XLOOKUP(B259,'Form responses 1'!$B$2:$B$2604,'Form responses 1'!$D$2:$D$2604,""))</f>
        <v>082185000608</v>
      </c>
      <c r="G259" s="44" t="str">
        <f t="array" ref="G259">IF(B259="","",_xlfn.XLOOKUP(B259,'Form responses 1'!$B$2:$B$2604,'Form responses 1'!$E$2:$E$2604,""))</f>
        <v>Roya</v>
      </c>
      <c r="H259" s="44" t="str">
        <f t="array" ref="H259">IF(B259="","",_xlfn.XLOOKUP(B259,'Form responses 1'!$B$2:$B$2604,'Form responses 1'!$F$2:$F$2604,""))</f>
        <v>M. 11085/ Kedamaian; SHT 4351/2015</v>
      </c>
      <c r="I259" s="44" t="str">
        <f t="array" ref="I259">IF(B259="","",_xlfn.XLOOKUP(B259,'Form responses 1'!$B$2:$B$2604,'Form responses 1'!$I$2:$I$2604,""))</f>
        <v>Kedamaian</v>
      </c>
      <c r="J259" s="44" t="str">
        <f t="array" ref="J259">IF(B259="","",_xlfn.XLOOKUP(B259,'Form responses 1'!$B$2:$B$2604,'Form responses 1'!$G$2:$G$2604,""))</f>
        <v>Rapita</v>
      </c>
      <c r="K259" s="41" t="s">
        <v>2875</v>
      </c>
      <c r="L259" s="52">
        <f t="shared" si="7"/>
        <v>45589.51573</v>
      </c>
      <c r="M259" s="47" t="s">
        <v>5363</v>
      </c>
      <c r="N259" s="49"/>
      <c r="O259" s="49"/>
      <c r="P259" s="49"/>
      <c r="Q259" s="49"/>
      <c r="R259" s="49"/>
      <c r="S259" s="49"/>
      <c r="T259" s="49"/>
      <c r="U259" s="49"/>
      <c r="V259" s="49"/>
      <c r="W259" s="41" t="s">
        <v>470</v>
      </c>
      <c r="X259" s="46">
        <f t="shared" si="5"/>
        <v>45590.60119</v>
      </c>
      <c r="Y259" s="50" t="s">
        <v>482</v>
      </c>
      <c r="Z259" s="49">
        <f t="shared" si="6"/>
        <v>1</v>
      </c>
    </row>
    <row r="260" ht="22.5" customHeight="1">
      <c r="B260" s="41" t="s">
        <v>1804</v>
      </c>
      <c r="C260" s="43">
        <f t="array" ref="C260">IF(B260="","",_xlfn.XLOOKUP(B260,'Form responses 1'!$B$2:$B$2604,'Form responses 1'!$A$2:$A$2604,""))</f>
        <v>45588.59933</v>
      </c>
      <c r="D260" s="44" t="str">
        <f t="shared" si="3"/>
        <v>L/41/231024/1_45588.5993314352</v>
      </c>
      <c r="E260" s="44" t="str">
        <f t="array" ref="E260">IF(B260="","",_xlfn.XLOOKUP(B260,'Form responses 1'!$B$2:$B$2604,'Form responses 1'!$C$2:$C$2604,""))</f>
        <v>ROHMAYATI</v>
      </c>
      <c r="F260" s="44" t="str">
        <f t="array" ref="F260">IF(B260="","",_xlfn.XLOOKUP(B260,'Form responses 1'!$B$2:$B$2604,'Form responses 1'!$D$2:$D$2604,""))</f>
        <v>083181909364</v>
      </c>
      <c r="G260" s="44" t="str">
        <f t="array" ref="G260">IF(B260="","",_xlfn.XLOOKUP(B260,'Form responses 1'!$B$2:$B$2604,'Form responses 1'!$E$2:$E$2604,""))</f>
        <v>ROYA</v>
      </c>
      <c r="H260" s="44" t="str">
        <f t="array" ref="H260">IF(B260="","",_xlfn.XLOOKUP(B260,'Form responses 1'!$B$2:$B$2604,'Form responses 1'!$F$2:$F$2604,""))</f>
        <v>M.1801/KELAPA TIGA</v>
      </c>
      <c r="I260" s="44" t="str">
        <f t="array" ref="I260">IF(B260="","",_xlfn.XLOOKUP(B260,'Form responses 1'!$B$2:$B$2604,'Form responses 1'!$I$2:$I$2604,""))</f>
        <v>KELAPA TIGA</v>
      </c>
      <c r="J260" s="44" t="str">
        <f t="array" ref="J260">IF(B260="","",_xlfn.XLOOKUP(B260,'Form responses 1'!$B$2:$B$2604,'Form responses 1'!$G$2:$G$2604,""))</f>
        <v>Nuraini</v>
      </c>
      <c r="K260" s="41" t="s">
        <v>2875</v>
      </c>
      <c r="L260" s="52">
        <f t="shared" si="7"/>
        <v>45589.51575</v>
      </c>
      <c r="M260" s="49"/>
      <c r="N260" s="49"/>
      <c r="O260" s="49"/>
      <c r="P260" s="49"/>
      <c r="Q260" s="49"/>
      <c r="R260" s="49"/>
      <c r="S260" s="49"/>
      <c r="T260" s="49"/>
      <c r="U260" s="49"/>
      <c r="V260" s="49"/>
      <c r="W260" s="41" t="s">
        <v>618</v>
      </c>
      <c r="X260" s="46">
        <f t="shared" si="5"/>
        <v>45590.60711</v>
      </c>
      <c r="Y260" s="50" t="s">
        <v>482</v>
      </c>
      <c r="Z260" s="49">
        <f t="shared" si="6"/>
        <v>0</v>
      </c>
    </row>
    <row r="261" ht="22.5" customHeight="1">
      <c r="B261" s="41" t="s">
        <v>1793</v>
      </c>
      <c r="C261" s="43">
        <f t="array" ref="C261">IF(B261="","",_xlfn.XLOOKUP(B261,'Form responses 1'!$B$2:$B$2604,'Form responses 1'!$A$2:$A$2604,""))</f>
        <v>45588.58918</v>
      </c>
      <c r="D261" s="44" t="str">
        <f t="shared" si="3"/>
        <v>K/39/231024/1_45588.589179456</v>
      </c>
      <c r="E261" s="44" t="str">
        <f t="array" ref="E261">IF(B261="","",_xlfn.XLOOKUP(B261,'Form responses 1'!$B$2:$B$2604,'Form responses 1'!$C$2:$C$2604,""))</f>
        <v>Evi Yuriyanti/ Sunarto</v>
      </c>
      <c r="F261" s="44" t="str">
        <f t="array" ref="F261">IF(B261="","",_xlfn.XLOOKUP(B261,'Form responses 1'!$B$2:$B$2604,'Form responses 1'!$D$2:$D$2604,""))</f>
        <v>085658346264</v>
      </c>
      <c r="G261" s="44" t="str">
        <f t="array" ref="G261">IF(B261="","",_xlfn.XLOOKUP(B261,'Form responses 1'!$B$2:$B$2604,'Form responses 1'!$E$2:$E$2604,""))</f>
        <v>PTPGT (Pemecahan)</v>
      </c>
      <c r="H261" s="44" t="str">
        <f t="array" ref="H261">IF(B261="","",_xlfn.XLOOKUP(B261,'Form responses 1'!$B$2:$B$2604,'Form responses 1'!$F$2:$F$2604,""))</f>
        <v>M. 2683/ Sukadana Ham</v>
      </c>
      <c r="I261" s="44" t="str">
        <f t="array" ref="I261">IF(B261="","",_xlfn.XLOOKUP(B261,'Form responses 1'!$B$2:$B$2604,'Form responses 1'!$I$2:$I$2604,""))</f>
        <v>Sukadana Ham</v>
      </c>
      <c r="J261" s="44" t="str">
        <f t="array" ref="J261">IF(B261="","",_xlfn.XLOOKUP(B261,'Form responses 1'!$B$2:$B$2604,'Form responses 1'!$G$2:$G$2604,""))</f>
        <v>Rapita</v>
      </c>
      <c r="K261" s="41" t="s">
        <v>2875</v>
      </c>
      <c r="L261" s="52">
        <f t="shared" si="7"/>
        <v>45589.51608</v>
      </c>
      <c r="M261" s="47" t="s">
        <v>5364</v>
      </c>
      <c r="N261" s="49"/>
      <c r="O261" s="49"/>
      <c r="P261" s="49"/>
      <c r="Q261" s="49"/>
      <c r="R261" s="49"/>
      <c r="S261" s="49"/>
      <c r="T261" s="49"/>
      <c r="U261" s="49"/>
      <c r="V261" s="49"/>
      <c r="W261" s="41" t="s">
        <v>618</v>
      </c>
      <c r="X261" s="46">
        <f t="shared" si="5"/>
        <v>45607.42093</v>
      </c>
      <c r="Y261" s="50" t="s">
        <v>482</v>
      </c>
      <c r="Z261" s="49">
        <f t="shared" si="6"/>
        <v>1</v>
      </c>
      <c r="AA261" s="4" t="s">
        <v>5365</v>
      </c>
    </row>
    <row r="262" ht="22.5" customHeight="1">
      <c r="B262" s="41" t="s">
        <v>1765</v>
      </c>
      <c r="C262" s="43">
        <f t="array" ref="C262">IF(B262="","",_xlfn.XLOOKUP(B262,'Form responses 1'!$B$2:$B$2604,'Form responses 1'!$A$2:$A$2604,""))</f>
        <v>45588.57021</v>
      </c>
      <c r="D262" s="44" t="str">
        <f t="shared" si="3"/>
        <v>L/32/231024/1_45588.5702072222</v>
      </c>
      <c r="E262" s="44" t="str">
        <f t="array" ref="E262">IF(B262="","",_xlfn.XLOOKUP(B262,'Form responses 1'!$B$2:$B$2604,'Form responses 1'!$C$2:$C$2604,""))</f>
        <v>BUDIYANTO</v>
      </c>
      <c r="F262" s="44" t="str">
        <f t="array" ref="F262">IF(B262="","",_xlfn.XLOOKUP(B262,'Form responses 1'!$B$2:$B$2604,'Form responses 1'!$D$2:$D$2604,""))</f>
        <v>082175321555</v>
      </c>
      <c r="G262" s="44" t="str">
        <f t="array" ref="G262">IF(B262="","",_xlfn.XLOOKUP(B262,'Form responses 1'!$B$2:$B$2604,'Form responses 1'!$E$2:$E$2604,""))</f>
        <v>PERUBAHAN HAK</v>
      </c>
      <c r="H262" s="44" t="str">
        <f t="array" ref="H262">IF(B262="","",_xlfn.XLOOKUP(B262,'Form responses 1'!$B$2:$B$2604,'Form responses 1'!$F$2:$F$2604,""))</f>
        <v>B.1072/CAMPANG JAYA</v>
      </c>
      <c r="I262" s="44" t="str">
        <f t="array" ref="I262">IF(B262="","",_xlfn.XLOOKUP(B262,'Form responses 1'!$B$2:$B$2604,'Form responses 1'!$I$2:$I$2604,""))</f>
        <v>CAMPANG JAYA</v>
      </c>
      <c r="J262" s="44" t="str">
        <f t="array" ref="J262">IF(B262="","",_xlfn.XLOOKUP(B262,'Form responses 1'!$B$2:$B$2604,'Form responses 1'!$G$2:$G$2604,""))</f>
        <v>Nuraini</v>
      </c>
      <c r="K262" s="41" t="s">
        <v>2875</v>
      </c>
      <c r="L262" s="52">
        <f t="shared" si="7"/>
        <v>45589.51833</v>
      </c>
      <c r="M262" s="49"/>
      <c r="N262" s="49"/>
      <c r="O262" s="49"/>
      <c r="P262" s="49"/>
      <c r="Q262" s="49"/>
      <c r="R262" s="49"/>
      <c r="S262" s="49"/>
      <c r="T262" s="49"/>
      <c r="U262" s="49"/>
      <c r="V262" s="49"/>
      <c r="W262" s="41" t="s">
        <v>618</v>
      </c>
      <c r="X262" s="46">
        <f t="shared" si="5"/>
        <v>45592.45883</v>
      </c>
      <c r="Y262" s="50" t="s">
        <v>482</v>
      </c>
      <c r="Z262" s="49">
        <f t="shared" si="6"/>
        <v>0</v>
      </c>
    </row>
    <row r="263" ht="22.5" customHeight="1">
      <c r="B263" s="41" t="s">
        <v>1615</v>
      </c>
      <c r="C263" s="43">
        <f t="array" ref="C263">IF(B263="","",_xlfn.XLOOKUP(B263,'Form responses 1'!$B$2:$B$2604,'Form responses 1'!$A$2:$A$2604,""))</f>
        <v>45587.62344</v>
      </c>
      <c r="D263" s="44" t="str">
        <f t="shared" si="3"/>
        <v>K/59/221024/1_45587.6234356713</v>
      </c>
      <c r="E263" s="44" t="str">
        <f t="array" ref="E263">IF(B263="","",_xlfn.XLOOKUP(B263,'Form responses 1'!$B$2:$B$2604,'Form responses 1'!$C$2:$C$2604,""))</f>
        <v>TITI DWI KORANTI CS/DEWI SUKMASARI</v>
      </c>
      <c r="F263" s="44" t="str">
        <f t="array" ref="F263">IF(B263="","",_xlfn.XLOOKUP(B263,'Form responses 1'!$B$2:$B$2604,'Form responses 1'!$D$2:$D$2604,""))</f>
        <v>0821-8694-9749</v>
      </c>
      <c r="G263" s="44" t="str">
        <f t="array" ref="G263">IF(B263="","",_xlfn.XLOOKUP(B263,'Form responses 1'!$B$2:$B$2604,'Form responses 1'!$E$2:$E$2604,""))</f>
        <v>KEWARISAN</v>
      </c>
      <c r="H263" s="44" t="str">
        <f t="array" ref="H263">IF(B263="","",_xlfn.XLOOKUP(B263,'Form responses 1'!$B$2:$B$2604,'Form responses 1'!$F$2:$F$2604,""))</f>
        <v>M.118/GEDUNG MENENG BARU-SEKARANG;M.9441/GEDUNG MENENG-DAHULU</v>
      </c>
      <c r="I263" s="44" t="str">
        <f t="array" ref="I263">IF(B263="","",_xlfn.XLOOKUP(B263,'Form responses 1'!$B$2:$B$2604,'Form responses 1'!$I$2:$I$2604,""))</f>
        <v>GEDUNG MENENG BARU</v>
      </c>
      <c r="J263" s="44" t="str">
        <f t="array" ref="J263">IF(B263="","",_xlfn.XLOOKUP(B263,'Form responses 1'!$B$2:$B$2604,'Form responses 1'!$G$2:$G$2604,""))</f>
        <v>Baynur</v>
      </c>
      <c r="K263" s="41" t="s">
        <v>2875</v>
      </c>
      <c r="L263" s="52">
        <f t="shared" si="7"/>
        <v>45589.51834</v>
      </c>
      <c r="M263" s="47" t="s">
        <v>5366</v>
      </c>
      <c r="N263" s="49"/>
      <c r="O263" s="49"/>
      <c r="P263" s="49"/>
      <c r="Q263" s="49"/>
      <c r="R263" s="49"/>
      <c r="S263" s="49"/>
      <c r="T263" s="49"/>
      <c r="U263" s="49"/>
      <c r="V263" s="49"/>
      <c r="W263" s="41" t="s">
        <v>470</v>
      </c>
      <c r="X263" s="46">
        <f t="shared" si="5"/>
        <v>45593.58463</v>
      </c>
      <c r="Y263" s="50" t="s">
        <v>482</v>
      </c>
      <c r="Z263" s="49">
        <f t="shared" si="6"/>
        <v>1</v>
      </c>
    </row>
    <row r="264" ht="22.5" customHeight="1">
      <c r="B264" s="41" t="s">
        <v>1533</v>
      </c>
      <c r="C264" s="43">
        <f t="array" ref="C264">IF(B264="","",_xlfn.XLOOKUP(B264,'Form responses 1'!$B$2:$B$2604,'Form responses 1'!$A$2:$A$2604,""))</f>
        <v>45587.4756</v>
      </c>
      <c r="D264" s="44" t="str">
        <f t="shared" si="3"/>
        <v>K/38/221024/2_45587.4756027199</v>
      </c>
      <c r="E264" s="44" t="str">
        <f t="array" ref="E264">IF(B264="","",_xlfn.XLOOKUP(B264,'Form responses 1'!$B$2:$B$2604,'Form responses 1'!$C$2:$C$2604,""))</f>
        <v>Endang Aprilia/ Erwin S Cs</v>
      </c>
      <c r="F264" s="44" t="str">
        <f t="array" ref="F264">IF(B264="","",_xlfn.XLOOKUP(B264,'Form responses 1'!$B$2:$B$2604,'Form responses 1'!$D$2:$D$2604,""))</f>
        <v>+62 822-8923-5722</v>
      </c>
      <c r="G264" s="44" t="str">
        <f t="array" ref="G264">IF(B264="","",_xlfn.XLOOKUP(B264,'Form responses 1'!$B$2:$B$2604,'Form responses 1'!$E$2:$E$2604,""))</f>
        <v>BN Waris</v>
      </c>
      <c r="H264" s="44" t="str">
        <f t="array" ref="H264">IF(B264="","",_xlfn.XLOOKUP(B264,'Form responses 1'!$B$2:$B$2604,'Form responses 1'!$F$2:$F$2604,""))</f>
        <v>M. 2050/ L R R; M. 11134/ Labuhan Ratu-dahulu</v>
      </c>
      <c r="I264" s="44" t="str">
        <f t="array" ref="I264">IF(B264="","",_xlfn.XLOOKUP(B264,'Form responses 1'!$B$2:$B$2604,'Form responses 1'!$I$2:$I$2604,""))</f>
        <v>Labuhan Ratu Raya</v>
      </c>
      <c r="J264" s="44" t="str">
        <f t="array" ref="J264">IF(B264="","",_xlfn.XLOOKUP(B264,'Form responses 1'!$B$2:$B$2604,'Form responses 1'!$G$2:$G$2604,""))</f>
        <v>Rapita</v>
      </c>
      <c r="K264" s="41" t="s">
        <v>2875</v>
      </c>
      <c r="L264" s="52">
        <f t="shared" si="7"/>
        <v>45589.51836</v>
      </c>
      <c r="M264" s="47" t="s">
        <v>5367</v>
      </c>
      <c r="N264" s="49"/>
      <c r="O264" s="49"/>
      <c r="P264" s="49"/>
      <c r="Q264" s="49"/>
      <c r="R264" s="49"/>
      <c r="S264" s="49"/>
      <c r="T264" s="49"/>
      <c r="U264" s="49"/>
      <c r="V264" s="49"/>
      <c r="W264" s="41" t="s">
        <v>618</v>
      </c>
      <c r="X264" s="46">
        <f t="shared" si="5"/>
        <v>45603.6514</v>
      </c>
      <c r="Y264" s="50" t="s">
        <v>482</v>
      </c>
      <c r="Z264" s="49">
        <f t="shared" si="6"/>
        <v>1</v>
      </c>
    </row>
    <row r="265" ht="22.5" customHeight="1">
      <c r="B265" s="41" t="s">
        <v>1623</v>
      </c>
      <c r="C265" s="43">
        <f t="array" ref="C265">IF(B265="","",_xlfn.XLOOKUP(B265,'Form responses 1'!$B$2:$B$2604,'Form responses 1'!$A$2:$A$2604,""))</f>
        <v>45587.62877</v>
      </c>
      <c r="D265" s="44" t="str">
        <f t="shared" si="3"/>
        <v>K/61/221024/1_45587.6287652083</v>
      </c>
      <c r="E265" s="44" t="str">
        <f t="array" ref="E265">IF(B265="","",_xlfn.XLOOKUP(B265,'Form responses 1'!$B$2:$B$2604,'Form responses 1'!$C$2:$C$2604,""))</f>
        <v>Andrianto/ Tjen Ona K</v>
      </c>
      <c r="F265" s="44" t="str">
        <f t="array" ref="F265">IF(B265="","",_xlfn.XLOOKUP(B265,'Form responses 1'!$B$2:$B$2604,'Form responses 1'!$D$2:$D$2604,""))</f>
        <v>+62 813-7389-3119</v>
      </c>
      <c r="G265" s="44" t="str">
        <f t="array" ref="G265">IF(B265="","",_xlfn.XLOOKUP(B265,'Form responses 1'!$B$2:$B$2604,'Form responses 1'!$E$2:$E$2604,""))</f>
        <v>BN Jual Beli</v>
      </c>
      <c r="H265" s="44" t="str">
        <f t="array" ref="H265">IF(B265="","",_xlfn.XLOOKUP(B265,'Form responses 1'!$B$2:$B$2604,'Form responses 1'!$F$2:$F$2604,""))</f>
        <v>Nibel. M. 1018/ Tanjung Baru</v>
      </c>
      <c r="I265" s="44" t="str">
        <f t="array" ref="I265">IF(B265="","",_xlfn.XLOOKUP(B265,'Form responses 1'!$B$2:$B$2604,'Form responses 1'!$I$2:$I$2604,""))</f>
        <v>Tanjung Baru</v>
      </c>
      <c r="J265" s="44" t="str">
        <f t="array" ref="J265">IF(B265="","",_xlfn.XLOOKUP(B265,'Form responses 1'!$B$2:$B$2604,'Form responses 1'!$G$2:$G$2604,""))</f>
        <v>Rapita</v>
      </c>
      <c r="K265" s="41" t="s">
        <v>2875</v>
      </c>
      <c r="L265" s="52">
        <f t="shared" si="7"/>
        <v>45589.51837</v>
      </c>
      <c r="M265" s="47" t="s">
        <v>5368</v>
      </c>
      <c r="N265" s="49"/>
      <c r="O265" s="49"/>
      <c r="P265" s="49"/>
      <c r="Q265" s="49"/>
      <c r="R265" s="49"/>
      <c r="S265" s="49"/>
      <c r="T265" s="49"/>
      <c r="U265" s="49"/>
      <c r="V265" s="49"/>
      <c r="W265" s="41" t="s">
        <v>618</v>
      </c>
      <c r="X265" s="46">
        <f t="shared" si="5"/>
        <v>45602.37608</v>
      </c>
      <c r="Y265" s="50" t="s">
        <v>482</v>
      </c>
      <c r="Z265" s="49">
        <f t="shared" si="6"/>
        <v>1</v>
      </c>
    </row>
    <row r="266" ht="22.5" customHeight="1">
      <c r="B266" s="41" t="s">
        <v>1494</v>
      </c>
      <c r="C266" s="43">
        <f t="array" ref="C266">IF(B266="","",_xlfn.XLOOKUP(B266,'Form responses 1'!$B$2:$B$2604,'Form responses 1'!$A$2:$A$2604,""))</f>
        <v>45587.44418</v>
      </c>
      <c r="D266" s="44" t="str">
        <f t="shared" si="3"/>
        <v>K/27/221024/1_45587.4441771644</v>
      </c>
      <c r="E266" s="44" t="str">
        <f t="array" ref="E266">IF(B266="","",_xlfn.XLOOKUP(B266,'Form responses 1'!$B$2:$B$2604,'Form responses 1'!$C$2:$C$2604,""))</f>
        <v>SURYATI/WAYAN RASTA </v>
      </c>
      <c r="F266" s="44" t="str">
        <f t="array" ref="F266">IF(B266="","",_xlfn.XLOOKUP(B266,'Form responses 1'!$B$2:$B$2604,'Form responses 1'!$D$2:$D$2604,""))</f>
        <v>082282013347</v>
      </c>
      <c r="G266" s="44" t="str">
        <f t="array" ref="G266">IF(B266="","",_xlfn.XLOOKUP(B266,'Form responses 1'!$B$2:$B$2604,'Form responses 1'!$E$2:$E$2604,""))</f>
        <v>PERALIHAN JUAL BELI</v>
      </c>
      <c r="H266" s="44" t="str">
        <f t="array" ref="H266">IF(B266="","",_xlfn.XLOOKUP(B266,'Form responses 1'!$B$2:$B$2604,'Form responses 1'!$F$2:$F$2604,""))</f>
        <v>M.1252/LANGKAPURA BARU</v>
      </c>
      <c r="I266" s="44" t="str">
        <f t="array" ref="I266">IF(B266="","",_xlfn.XLOOKUP(B266,'Form responses 1'!$B$2:$B$2604,'Form responses 1'!$I$2:$I$2604,""))</f>
        <v>LANGKAPURA BARU</v>
      </c>
      <c r="J266" s="44" t="str">
        <f t="array" ref="J266">IF(B266="","",_xlfn.XLOOKUP(B266,'Form responses 1'!$B$2:$B$2604,'Form responses 1'!$G$2:$G$2604,""))</f>
        <v>Baynur</v>
      </c>
      <c r="K266" s="41" t="s">
        <v>2875</v>
      </c>
      <c r="L266" s="52">
        <f t="shared" si="7"/>
        <v>45589.51839</v>
      </c>
      <c r="M266" s="49"/>
      <c r="N266" s="49"/>
      <c r="O266" s="49"/>
      <c r="P266" s="49"/>
      <c r="Q266" s="49"/>
      <c r="R266" s="49"/>
      <c r="S266" s="49"/>
      <c r="T266" s="49"/>
      <c r="U266" s="49"/>
      <c r="V266" s="49"/>
      <c r="W266" s="41" t="s">
        <v>618</v>
      </c>
      <c r="X266" s="46">
        <f t="shared" si="5"/>
        <v>45592.48626</v>
      </c>
      <c r="Y266" s="50" t="s">
        <v>482</v>
      </c>
      <c r="Z266" s="49">
        <f t="shared" si="6"/>
        <v>0</v>
      </c>
    </row>
    <row r="267" ht="22.5" customHeight="1">
      <c r="B267" s="41" t="s">
        <v>1600</v>
      </c>
      <c r="C267" s="43">
        <f t="array" ref="C267">IF(B267="","",_xlfn.XLOOKUP(B267,'Form responses 1'!$B$2:$B$2604,'Form responses 1'!$A$2:$A$2604,""))</f>
        <v>45587.60726</v>
      </c>
      <c r="D267" s="44" t="str">
        <f t="shared" si="3"/>
        <v>K/57/221024/1_45587.6072570255</v>
      </c>
      <c r="E267" s="44" t="str">
        <f t="array" ref="E267">IF(B267="","",_xlfn.XLOOKUP(B267,'Form responses 1'!$B$2:$B$2604,'Form responses 1'!$C$2:$C$2604,""))</f>
        <v>Budi K/ Darmin</v>
      </c>
      <c r="F267" s="44" t="str">
        <f t="array" ref="F267">IF(B267="","",_xlfn.XLOOKUP(B267,'Form responses 1'!$B$2:$B$2604,'Form responses 1'!$D$2:$D$2604,""))</f>
        <v>0721263769</v>
      </c>
      <c r="G267" s="44" t="str">
        <f t="array" ref="G267">IF(B267="","",_xlfn.XLOOKUP(B267,'Form responses 1'!$B$2:$B$2604,'Form responses 1'!$E$2:$E$2604,""))</f>
        <v>BN Jual Beli</v>
      </c>
      <c r="H267" s="44" t="str">
        <f t="array" ref="H267">IF(B267="","",_xlfn.XLOOKUP(B267,'Form responses 1'!$B$2:$B$2604,'Form responses 1'!$F$2:$F$2604,""))</f>
        <v>M. 1470/ Sukamaju</v>
      </c>
      <c r="I267" s="44" t="str">
        <f t="array" ref="I267">IF(B267="","",_xlfn.XLOOKUP(B267,'Form responses 1'!$B$2:$B$2604,'Form responses 1'!$I$2:$I$2604,""))</f>
        <v>Sukamaju</v>
      </c>
      <c r="J267" s="44" t="str">
        <f t="array" ref="J267">IF(B267="","",_xlfn.XLOOKUP(B267,'Form responses 1'!$B$2:$B$2604,'Form responses 1'!$G$2:$G$2604,""))</f>
        <v>Hananda</v>
      </c>
      <c r="K267" s="41" t="s">
        <v>2875</v>
      </c>
      <c r="L267" s="52">
        <f t="shared" si="7"/>
        <v>45589.51841</v>
      </c>
      <c r="M267" s="47" t="s">
        <v>5369</v>
      </c>
      <c r="N267" s="49"/>
      <c r="O267" s="49"/>
      <c r="P267" s="49"/>
      <c r="Q267" s="49"/>
      <c r="R267" s="49"/>
      <c r="S267" s="49"/>
      <c r="T267" s="49"/>
      <c r="U267" s="49"/>
      <c r="V267" s="49"/>
      <c r="W267" s="41" t="s">
        <v>618</v>
      </c>
      <c r="X267" s="46">
        <f t="shared" si="5"/>
        <v>45596.58948</v>
      </c>
      <c r="Y267" s="50" t="s">
        <v>482</v>
      </c>
      <c r="Z267" s="49">
        <f t="shared" si="6"/>
        <v>1</v>
      </c>
    </row>
    <row r="268" ht="22.5" customHeight="1">
      <c r="B268" s="41" t="s">
        <v>1631</v>
      </c>
      <c r="C268" s="43">
        <f t="array" ref="C268">IF(B268="","",_xlfn.XLOOKUP(B268,'Form responses 1'!$B$2:$B$2604,'Form responses 1'!$A$2:$A$2604,""))</f>
        <v>45587.63114</v>
      </c>
      <c r="D268" s="44" t="str">
        <f t="shared" si="3"/>
        <v>K/62/221024/2_45587.6311384722</v>
      </c>
      <c r="E268" s="44" t="str">
        <f t="array" ref="E268">IF(B268="","",_xlfn.XLOOKUP(B268,'Form responses 1'!$B$2:$B$2604,'Form responses 1'!$C$2:$C$2604,""))</f>
        <v>Andrianto/ Eka Wijaya</v>
      </c>
      <c r="F268" s="44" t="str">
        <f t="array" ref="F268">IF(B268="","",_xlfn.XLOOKUP(B268,'Form responses 1'!$B$2:$B$2604,'Form responses 1'!$D$2:$D$2604,""))</f>
        <v>+62 813-7389-3119</v>
      </c>
      <c r="G268" s="44" t="str">
        <f t="array" ref="G268">IF(B268="","",_xlfn.XLOOKUP(B268,'Form responses 1'!$B$2:$B$2604,'Form responses 1'!$E$2:$E$2604,""))</f>
        <v>BN Jual Beli</v>
      </c>
      <c r="H268" s="44" t="str">
        <f t="array" ref="H268">IF(B268="","",_xlfn.XLOOKUP(B268,'Form responses 1'!$B$2:$B$2604,'Form responses 1'!$F$2:$F$2604,""))</f>
        <v>M. 1603/ Bumi Kedamaian</v>
      </c>
      <c r="I268" s="44" t="str">
        <f t="array" ref="I268">IF(B268="","",_xlfn.XLOOKUP(B268,'Form responses 1'!$B$2:$B$2604,'Form responses 1'!$I$2:$I$2604,""))</f>
        <v>Bumi Kedamaian</v>
      </c>
      <c r="J268" s="44" t="str">
        <f t="array" ref="J268">IF(B268="","",_xlfn.XLOOKUP(B268,'Form responses 1'!$B$2:$B$2604,'Form responses 1'!$G$2:$G$2604,""))</f>
        <v>Rapita</v>
      </c>
      <c r="K268" s="41" t="s">
        <v>2875</v>
      </c>
      <c r="L268" s="52">
        <f t="shared" si="7"/>
        <v>45589.51844</v>
      </c>
      <c r="M268" s="47" t="s">
        <v>5370</v>
      </c>
      <c r="N268" s="49"/>
      <c r="O268" s="49"/>
      <c r="P268" s="49"/>
      <c r="Q268" s="49"/>
      <c r="R268" s="49"/>
      <c r="S268" s="49"/>
      <c r="T268" s="49"/>
      <c r="U268" s="49"/>
      <c r="V268" s="49"/>
      <c r="W268" s="41" t="s">
        <v>618</v>
      </c>
      <c r="X268" s="46">
        <f t="shared" si="5"/>
        <v>45596.67047</v>
      </c>
      <c r="Y268" s="50" t="s">
        <v>482</v>
      </c>
      <c r="Z268" s="49">
        <f t="shared" si="6"/>
        <v>1</v>
      </c>
    </row>
    <row r="269" ht="22.5" customHeight="1">
      <c r="B269" s="41" t="s">
        <v>1604</v>
      </c>
      <c r="C269" s="43">
        <f t="array" ref="C269">IF(B269="","",_xlfn.XLOOKUP(B269,'Form responses 1'!$B$2:$B$2604,'Form responses 1'!$A$2:$A$2604,""))</f>
        <v>45587.60911</v>
      </c>
      <c r="D269" s="44" t="str">
        <f t="shared" si="3"/>
        <v>K/52/221024/2_45587.6091133102</v>
      </c>
      <c r="E269" s="44" t="str">
        <f t="array" ref="E269">IF(B269="","",_xlfn.XLOOKUP(B269,'Form responses 1'!$B$2:$B$2604,'Form responses 1'!$C$2:$C$2604,""))</f>
        <v>Mahfud/ Putri A</v>
      </c>
      <c r="F269" s="44" t="str">
        <f t="array" ref="F269">IF(B269="","",_xlfn.XLOOKUP(B269,'Form responses 1'!$B$2:$B$2604,'Form responses 1'!$D$2:$D$2604,""))</f>
        <v>+62 857-0913-9403</v>
      </c>
      <c r="G269" s="44" t="str">
        <f t="array" ref="G269">IF(B269="","",_xlfn.XLOOKUP(B269,'Form responses 1'!$B$2:$B$2604,'Form responses 1'!$E$2:$E$2604,""))</f>
        <v>BN Jual Beli</v>
      </c>
      <c r="H269" s="44" t="str">
        <f t="array" ref="H269">IF(B269="","",_xlfn.XLOOKUP(B269,'Form responses 1'!$B$2:$B$2604,'Form responses 1'!$F$2:$F$2604,""))</f>
        <v>M. 1991/ L R R</v>
      </c>
      <c r="I269" s="44" t="str">
        <f t="array" ref="I269">IF(B269="","",_xlfn.XLOOKUP(B269,'Form responses 1'!$B$2:$B$2604,'Form responses 1'!$I$2:$I$2604,""))</f>
        <v>Labuhan Ratu Raya</v>
      </c>
      <c r="J269" s="44" t="str">
        <f t="array" ref="J269">IF(B269="","",_xlfn.XLOOKUP(B269,'Form responses 1'!$B$2:$B$2604,'Form responses 1'!$G$2:$G$2604,""))</f>
        <v>Rapita</v>
      </c>
      <c r="K269" s="41" t="s">
        <v>2875</v>
      </c>
      <c r="L269" s="52">
        <f t="shared" si="7"/>
        <v>45589.51846</v>
      </c>
      <c r="M269" s="47" t="s">
        <v>5371</v>
      </c>
      <c r="N269" s="49"/>
      <c r="O269" s="49"/>
      <c r="P269" s="49"/>
      <c r="Q269" s="49"/>
      <c r="R269" s="49"/>
      <c r="S269" s="49"/>
      <c r="T269" s="49"/>
      <c r="U269" s="49"/>
      <c r="V269" s="49"/>
      <c r="W269" s="41" t="s">
        <v>618</v>
      </c>
      <c r="X269" s="46">
        <f t="shared" si="5"/>
        <v>45593.43396</v>
      </c>
      <c r="Y269" s="50" t="s">
        <v>482</v>
      </c>
      <c r="Z269" s="49">
        <f t="shared" si="6"/>
        <v>1</v>
      </c>
    </row>
    <row r="270" ht="22.5" customHeight="1">
      <c r="B270" s="41" t="s">
        <v>1397</v>
      </c>
      <c r="C270" s="43">
        <f t="array" ref="C270">IF(B270="","",_xlfn.XLOOKUP(B270,'Form responses 1'!$B$2:$B$2604,'Form responses 1'!$A$2:$A$2604,""))</f>
        <v>45587.3817</v>
      </c>
      <c r="D270" s="44" t="str">
        <f t="shared" si="3"/>
        <v>K/1/221024/1_45587.381703125</v>
      </c>
      <c r="E270" s="44" t="str">
        <f t="array" ref="E270">IF(B270="","",_xlfn.XLOOKUP(B270,'Form responses 1'!$B$2:$B$2604,'Form responses 1'!$C$2:$C$2604,""))</f>
        <v>EVA SURIANI</v>
      </c>
      <c r="F270" s="44" t="str">
        <f t="array" ref="F270">IF(B270="","",_xlfn.XLOOKUP(B270,'Form responses 1'!$B$2:$B$2604,'Form responses 1'!$D$2:$D$2604,""))</f>
        <v>+62 811-724-041</v>
      </c>
      <c r="G270" s="44" t="str">
        <f t="array" ref="G270">IF(B270="","",_xlfn.XLOOKUP(B270,'Form responses 1'!$B$2:$B$2604,'Form responses 1'!$E$2:$E$2604,""))</f>
        <v>ROYA</v>
      </c>
      <c r="H270" s="44" t="str">
        <f t="array" ref="H270">IF(B270="","",_xlfn.XLOOKUP(B270,'Form responses 1'!$B$2:$B$2604,'Form responses 1'!$F$2:$F$2604,""))</f>
        <v>M. 2232/ KUPANG TEBA</v>
      </c>
      <c r="I270" s="44" t="str">
        <f t="array" ref="I270">IF(B270="","",_xlfn.XLOOKUP(B270,'Form responses 1'!$B$2:$B$2604,'Form responses 1'!$I$2:$I$2604,""))</f>
        <v>KUPANG TEBA</v>
      </c>
      <c r="J270" s="44" t="str">
        <f t="array" ref="J270">IF(B270="","",_xlfn.XLOOKUP(B270,'Form responses 1'!$B$2:$B$2604,'Form responses 1'!$G$2:$G$2604,""))</f>
        <v>Hananda</v>
      </c>
      <c r="K270" s="41" t="s">
        <v>2875</v>
      </c>
      <c r="L270" s="52">
        <f t="shared" si="7"/>
        <v>45589.51847</v>
      </c>
      <c r="M270" s="49"/>
      <c r="N270" s="49"/>
      <c r="O270" s="49"/>
      <c r="P270" s="49"/>
      <c r="Q270" s="49"/>
      <c r="R270" s="49"/>
      <c r="S270" s="49"/>
      <c r="T270" s="49"/>
      <c r="U270" s="49"/>
      <c r="V270" s="49"/>
      <c r="W270" s="41" t="s">
        <v>618</v>
      </c>
      <c r="X270" s="46">
        <f t="shared" si="5"/>
        <v>45590.61314</v>
      </c>
      <c r="Y270" s="50" t="s">
        <v>482</v>
      </c>
      <c r="Z270" s="49">
        <f t="shared" si="6"/>
        <v>0</v>
      </c>
    </row>
    <row r="271" ht="22.5" customHeight="1">
      <c r="B271" s="41" t="s">
        <v>1445</v>
      </c>
      <c r="C271" s="43">
        <f t="array" ref="C271">IF(B271="","",_xlfn.XLOOKUP(B271,'Form responses 1'!$B$2:$B$2604,'Form responses 1'!$A$2:$A$2604,""))</f>
        <v>45587.41689</v>
      </c>
      <c r="D271" s="44" t="str">
        <f t="shared" si="3"/>
        <v>L/11/221024/1_45587.4168865857</v>
      </c>
      <c r="E271" s="44" t="str">
        <f t="array" ref="E271">IF(B271="","",_xlfn.XLOOKUP(B271,'Form responses 1'!$B$2:$B$2604,'Form responses 1'!$C$2:$C$2604,""))</f>
        <v>SIGID APRIADI</v>
      </c>
      <c r="F271" s="44" t="str">
        <f t="array" ref="F271">IF(B271="","",_xlfn.XLOOKUP(B271,'Form responses 1'!$B$2:$B$2604,'Form responses 1'!$D$2:$D$2604,""))</f>
        <v>08127243640</v>
      </c>
      <c r="G271" s="44" t="str">
        <f t="array" ref="G271">IF(B271="","",_xlfn.XLOOKUP(B271,'Form responses 1'!$B$2:$B$2604,'Form responses 1'!$E$2:$E$2604,""))</f>
        <v>ROYA</v>
      </c>
      <c r="H271" s="44" t="str">
        <f t="array" ref="H271">IF(B271="","",_xlfn.XLOOKUP(B271,'Form responses 1'!$B$2:$B$2604,'Form responses 1'!$F$2:$F$2604,""))</f>
        <v>M.12607/RAJABASA;B.1164/RAJABASA-DAHULU</v>
      </c>
      <c r="I271" s="44" t="str">
        <f t="array" ref="I271">IF(B271="","",_xlfn.XLOOKUP(B271,'Form responses 1'!$B$2:$B$2604,'Form responses 1'!$I$2:$I$2604,""))</f>
        <v>RAJABASA</v>
      </c>
      <c r="J271" s="44" t="str">
        <f t="array" ref="J271">IF(B271="","",_xlfn.XLOOKUP(B271,'Form responses 1'!$B$2:$B$2604,'Form responses 1'!$G$2:$G$2604,""))</f>
        <v>Nuraini</v>
      </c>
      <c r="K271" s="41" t="s">
        <v>2875</v>
      </c>
      <c r="L271" s="52">
        <f t="shared" si="7"/>
        <v>45589.51849</v>
      </c>
      <c r="M271" s="49"/>
      <c r="N271" s="49"/>
      <c r="O271" s="49"/>
      <c r="P271" s="49"/>
      <c r="Q271" s="49"/>
      <c r="R271" s="49"/>
      <c r="S271" s="49"/>
      <c r="T271" s="49"/>
      <c r="U271" s="49"/>
      <c r="V271" s="49"/>
      <c r="W271" s="41" t="s">
        <v>618</v>
      </c>
      <c r="X271" s="46">
        <f t="shared" si="5"/>
        <v>45590.61721</v>
      </c>
      <c r="Y271" s="50" t="s">
        <v>482</v>
      </c>
      <c r="Z271" s="49">
        <f t="shared" si="6"/>
        <v>0</v>
      </c>
    </row>
    <row r="272" ht="22.5" customHeight="1">
      <c r="B272" s="41" t="s">
        <v>1612</v>
      </c>
      <c r="C272" s="43">
        <f t="array" ref="C272">IF(B272="","",_xlfn.XLOOKUP(B272,'Form responses 1'!$B$2:$B$2604,'Form responses 1'!$A$2:$A$2604,""))</f>
        <v>45587.62249</v>
      </c>
      <c r="D272" s="44" t="str">
        <f t="shared" si="3"/>
        <v>K/56/221024/2_45587.6224920602</v>
      </c>
      <c r="E272" s="44" t="str">
        <f t="array" ref="E272">IF(B272="","",_xlfn.XLOOKUP(B272,'Form responses 1'!$B$2:$B$2604,'Form responses 1'!$C$2:$C$2604,""))</f>
        <v>NURHUDA ATIJA CS/RENALDI PRATAMA SIRYA</v>
      </c>
      <c r="F272" s="44" t="str">
        <f t="array" ref="F272">IF(B272="","",_xlfn.XLOOKUP(B272,'Form responses 1'!$B$2:$B$2604,'Form responses 1'!$D$2:$D$2604,""))</f>
        <v>0823-7375-9878</v>
      </c>
      <c r="G272" s="44" t="str">
        <f t="array" ref="G272">IF(B272="","",_xlfn.XLOOKUP(B272,'Form responses 1'!$B$2:$B$2604,'Form responses 1'!$E$2:$E$2604,""))</f>
        <v>PEMISAHAN</v>
      </c>
      <c r="H272" s="44" t="str">
        <f t="array" ref="H272">IF(B272="","",_xlfn.XLOOKUP(B272,'Form responses 1'!$B$2:$B$2604,'Form responses 1'!$F$2:$F$2604,""))</f>
        <v>M.1107/PEMATANG WANGI-SEKARANG;M.792/TANJUNG SENENG-DAHULU</v>
      </c>
      <c r="I272" s="44" t="str">
        <f t="array" ref="I272">IF(B272="","",_xlfn.XLOOKUP(B272,'Form responses 1'!$B$2:$B$2604,'Form responses 1'!$I$2:$I$2604,""))</f>
        <v>PEMATANG WANGI</v>
      </c>
      <c r="J272" s="44" t="str">
        <f t="array" ref="J272">IF(B272="","",_xlfn.XLOOKUP(B272,'Form responses 1'!$B$2:$B$2604,'Form responses 1'!$G$2:$G$2604,""))</f>
        <v>Baynur</v>
      </c>
      <c r="K272" s="41" t="s">
        <v>2875</v>
      </c>
      <c r="L272" s="52">
        <f t="shared" si="7"/>
        <v>45589.51852</v>
      </c>
      <c r="M272" s="47" t="s">
        <v>5372</v>
      </c>
      <c r="N272" s="49"/>
      <c r="O272" s="49"/>
      <c r="P272" s="49"/>
      <c r="Q272" s="49"/>
      <c r="R272" s="49"/>
      <c r="S272" s="49"/>
      <c r="T272" s="49"/>
      <c r="U272" s="49"/>
      <c r="V272" s="49"/>
      <c r="W272" s="41" t="s">
        <v>470</v>
      </c>
      <c r="X272" s="46">
        <f t="shared" si="5"/>
        <v>45593.51548</v>
      </c>
      <c r="Y272" s="50" t="s">
        <v>482</v>
      </c>
      <c r="Z272" s="49">
        <f t="shared" si="6"/>
        <v>1</v>
      </c>
    </row>
    <row r="273" ht="22.5" customHeight="1">
      <c r="B273" s="41" t="s">
        <v>1839</v>
      </c>
      <c r="C273" s="43">
        <f t="array" ref="C273">IF(B273="","",_xlfn.XLOOKUP(B273,'Form responses 1'!$B$2:$B$2604,'Form responses 1'!$A$2:$A$2604,""))</f>
        <v>45588.62351</v>
      </c>
      <c r="D273" s="44" t="str">
        <f t="shared" si="3"/>
        <v>K/48/231024/2_45588.6235096644</v>
      </c>
      <c r="E273" s="44" t="str">
        <f t="array" ref="E273">IF(B273="","",_xlfn.XLOOKUP(B273,'Form responses 1'!$B$2:$B$2604,'Form responses 1'!$C$2:$C$2604,""))</f>
        <v>Evi Udin/ Sumiati</v>
      </c>
      <c r="F273" s="44" t="str">
        <f t="array" ref="F273">IF(B273="","",_xlfn.XLOOKUP(B273,'Form responses 1'!$B$2:$B$2604,'Form responses 1'!$D$2:$D$2604,""))</f>
        <v>+62 821-8499-9559</v>
      </c>
      <c r="G273" s="44" t="str">
        <f t="array" ref="G273">IF(B273="","",_xlfn.XLOOKUP(B273,'Form responses 1'!$B$2:$B$2604,'Form responses 1'!$E$2:$E$2604,""))</f>
        <v>BN Jual Beli</v>
      </c>
      <c r="H273" s="44" t="str">
        <f t="array" ref="H273">IF(B273="","",_xlfn.XLOOKUP(B273,'Form responses 1'!$B$2:$B$2604,'Form responses 1'!$F$2:$F$2604,""))</f>
        <v>Nibel. M. 2130/ Panjang Selatan</v>
      </c>
      <c r="I273" s="44" t="str">
        <f t="array" ref="I273">IF(B273="","",_xlfn.XLOOKUP(B273,'Form responses 1'!$B$2:$B$2604,'Form responses 1'!$I$2:$I$2604,""))</f>
        <v>Panjang Selatan</v>
      </c>
      <c r="J273" s="44" t="str">
        <f t="array" ref="J273">IF(B273="","",_xlfn.XLOOKUP(B273,'Form responses 1'!$B$2:$B$2604,'Form responses 1'!$G$2:$G$2604,""))</f>
        <v>Rapita</v>
      </c>
      <c r="K273" s="41" t="s">
        <v>2875</v>
      </c>
      <c r="L273" s="52">
        <f t="shared" si="7"/>
        <v>45589.51854</v>
      </c>
      <c r="M273" s="49"/>
      <c r="N273" s="49"/>
      <c r="O273" s="49"/>
      <c r="P273" s="49"/>
      <c r="Q273" s="49"/>
      <c r="R273" s="49"/>
      <c r="S273" s="49"/>
      <c r="T273" s="49"/>
      <c r="U273" s="49"/>
      <c r="V273" s="49"/>
      <c r="W273" s="41" t="s">
        <v>618</v>
      </c>
      <c r="X273" s="46">
        <f t="shared" si="5"/>
        <v>45594.57825</v>
      </c>
      <c r="Y273" s="50" t="s">
        <v>482</v>
      </c>
      <c r="Z273" s="49">
        <f t="shared" si="6"/>
        <v>0</v>
      </c>
    </row>
    <row r="274" ht="22.5" customHeight="1">
      <c r="B274" s="41" t="s">
        <v>1741</v>
      </c>
      <c r="C274" s="43">
        <f t="array" ref="C274">IF(B274="","",_xlfn.XLOOKUP(B274,'Form responses 1'!$B$2:$B$2604,'Form responses 1'!$A$2:$A$2604,""))</f>
        <v>45588.49497</v>
      </c>
      <c r="D274" s="44" t="str">
        <f t="shared" si="3"/>
        <v>K/25/231024/2_45588.4949709375</v>
      </c>
      <c r="E274" s="44" t="str">
        <f t="array" ref="E274">IF(B274="","",_xlfn.XLOOKUP(B274,'Form responses 1'!$B$2:$B$2604,'Form responses 1'!$C$2:$C$2604,""))</f>
        <v>EKA PUTRI PALAM SILABAN/BUDI KRISTIYANTO</v>
      </c>
      <c r="F274" s="44" t="str">
        <f t="array" ref="F274">IF(B274="","",_xlfn.XLOOKUP(B274,'Form responses 1'!$B$2:$B$2604,'Form responses 1'!$D$2:$D$2604,""))</f>
        <v>0858-6816-7367</v>
      </c>
      <c r="G274" s="44" t="str">
        <f t="array" ref="G274">IF(B274="","",_xlfn.XLOOKUP(B274,'Form responses 1'!$B$2:$B$2604,'Form responses 1'!$E$2:$E$2604,""))</f>
        <v>BN JUAL BELI</v>
      </c>
      <c r="H274" s="44" t="str">
        <f t="array" ref="H274">IF(B274="","",_xlfn.XLOOKUP(B274,'Form responses 1'!$B$2:$B$2604,'Form responses 1'!$F$2:$F$2604,""))</f>
        <v>M.2225/SUKARAME BARU</v>
      </c>
      <c r="I274" s="44" t="str">
        <f t="array" ref="I274">IF(B274="","",_xlfn.XLOOKUP(B274,'Form responses 1'!$B$2:$B$2604,'Form responses 1'!$I$2:$I$2604,""))</f>
        <v>SUKARAME BARU</v>
      </c>
      <c r="J274" s="44" t="str">
        <f t="array" ref="J274">IF(B274="","",_xlfn.XLOOKUP(B274,'Form responses 1'!$B$2:$B$2604,'Form responses 1'!$G$2:$G$2604,""))</f>
        <v>Baynur</v>
      </c>
      <c r="K274" s="41" t="s">
        <v>2875</v>
      </c>
      <c r="L274" s="52">
        <f t="shared" si="7"/>
        <v>45589.51855</v>
      </c>
      <c r="M274" s="49"/>
      <c r="N274" s="49"/>
      <c r="O274" s="49"/>
      <c r="P274" s="49"/>
      <c r="Q274" s="49"/>
      <c r="R274" s="49"/>
      <c r="S274" s="49"/>
      <c r="T274" s="49"/>
      <c r="U274" s="49"/>
      <c r="V274" s="49"/>
      <c r="W274" s="41" t="s">
        <v>618</v>
      </c>
      <c r="X274" s="46">
        <f t="shared" si="5"/>
        <v>45594.36061</v>
      </c>
      <c r="Y274" s="50" t="s">
        <v>482</v>
      </c>
      <c r="Z274" s="49">
        <f t="shared" si="6"/>
        <v>0</v>
      </c>
    </row>
    <row r="275" ht="22.5" customHeight="1">
      <c r="B275" s="41" t="s">
        <v>1713</v>
      </c>
      <c r="C275" s="43">
        <f t="array" ref="C275">IF(B275="","",_xlfn.XLOOKUP(B275,'Form responses 1'!$B$2:$B$2604,'Form responses 1'!$A$2:$A$2604,""))</f>
        <v>45588.47867</v>
      </c>
      <c r="D275" s="44" t="str">
        <f t="shared" si="3"/>
        <v>L/17/231024/2_45588.4786691088</v>
      </c>
      <c r="E275" s="44" t="str">
        <f t="array" ref="E275">IF(B275="","",_xlfn.XLOOKUP(B275,'Form responses 1'!$B$2:$B$2604,'Form responses 1'!$C$2:$C$2604,""))</f>
        <v>EDI SUYANTO</v>
      </c>
      <c r="F275" s="44" t="str">
        <f t="array" ref="F275">IF(B275="","",_xlfn.XLOOKUP(B275,'Form responses 1'!$B$2:$B$2604,'Form responses 1'!$D$2:$D$2604,""))</f>
        <v>082177373779</v>
      </c>
      <c r="G275" s="44" t="str">
        <f t="array" ref="G275">IF(B275="","",_xlfn.XLOOKUP(B275,'Form responses 1'!$B$2:$B$2604,'Form responses 1'!$E$2:$E$2604,""))</f>
        <v>SERTIPIKAT HILANG</v>
      </c>
      <c r="H275" s="44" t="str">
        <f t="array" ref="H275">IF(B275="","",_xlfn.XLOOKUP(B275,'Form responses 1'!$B$2:$B$2604,'Form responses 1'!$F$2:$F$2604,""))</f>
        <v>M.3337/SUKADANA HAM</v>
      </c>
      <c r="I275" s="44" t="str">
        <f t="array" ref="I275">IF(B275="","",_xlfn.XLOOKUP(B275,'Form responses 1'!$B$2:$B$2604,'Form responses 1'!$I$2:$I$2604,""))</f>
        <v>SUKADANA HAM</v>
      </c>
      <c r="J275" s="44" t="str">
        <f t="array" ref="J275">IF(B275="","",_xlfn.XLOOKUP(B275,'Form responses 1'!$B$2:$B$2604,'Form responses 1'!$G$2:$G$2604,""))</f>
        <v>Nuraini</v>
      </c>
      <c r="K275" s="41" t="s">
        <v>422</v>
      </c>
      <c r="L275" s="52">
        <f t="shared" si="7"/>
        <v>45589.57019</v>
      </c>
      <c r="M275" s="49"/>
      <c r="N275" s="49"/>
      <c r="O275" s="49"/>
      <c r="P275" s="49"/>
      <c r="Q275" s="49"/>
      <c r="R275" s="49"/>
      <c r="S275" s="49"/>
      <c r="T275" s="49"/>
      <c r="U275" s="49"/>
      <c r="V275" s="49"/>
      <c r="W275" s="41" t="s">
        <v>618</v>
      </c>
      <c r="X275" s="46">
        <f t="shared" si="5"/>
        <v>45589.65901</v>
      </c>
      <c r="Y275" s="50" t="s">
        <v>482</v>
      </c>
      <c r="Z275" s="49">
        <f t="shared" si="6"/>
        <v>0</v>
      </c>
    </row>
    <row r="276" ht="22.5" customHeight="1">
      <c r="B276" s="41" t="s">
        <v>1701</v>
      </c>
      <c r="C276" s="43">
        <f t="array" ref="C276">IF(B276="","",_xlfn.XLOOKUP(B276,'Form responses 1'!$B$2:$B$2604,'Form responses 1'!$A$2:$A$2604,""))</f>
        <v>45588.46053</v>
      </c>
      <c r="D276" s="44" t="str">
        <f t="shared" si="3"/>
        <v>L/14/231024/1_45588.4605293287</v>
      </c>
      <c r="E276" s="44" t="str">
        <f t="array" ref="E276">IF(B276="","",_xlfn.XLOOKUP(B276,'Form responses 1'!$B$2:$B$2604,'Form responses 1'!$C$2:$C$2604,""))</f>
        <v>SAMANAN</v>
      </c>
      <c r="F276" s="44" t="str">
        <f t="array" ref="F276">IF(B276="","",_xlfn.XLOOKUP(B276,'Form responses 1'!$B$2:$B$2604,'Form responses 1'!$D$2:$D$2604,""))</f>
        <v>08127945974</v>
      </c>
      <c r="G276" s="44" t="str">
        <f t="array" ref="G276">IF(B276="","",_xlfn.XLOOKUP(B276,'Form responses 1'!$B$2:$B$2604,'Form responses 1'!$E$2:$E$2604,""))</f>
        <v>PENGHAPUSAN BPHTB</v>
      </c>
      <c r="H276" s="44" t="str">
        <f t="array" ref="H276">IF(B276="","",_xlfn.XLOOKUP(B276,'Form responses 1'!$B$2:$B$2604,'Form responses 1'!$F$2:$F$2604,""))</f>
        <v>HM 14460/SUKABUMI</v>
      </c>
      <c r="I276" s="44" t="str">
        <f t="array" ref="I276">IF(B276="","",_xlfn.XLOOKUP(B276,'Form responses 1'!$B$2:$B$2604,'Form responses 1'!$I$2:$I$2604,""))</f>
        <v>SUKABUMI</v>
      </c>
      <c r="J276" s="44" t="str">
        <f t="array" ref="J276">IF(B276="","",_xlfn.XLOOKUP(B276,'Form responses 1'!$B$2:$B$2604,'Form responses 1'!$G$2:$G$2604,""))</f>
        <v>Deby</v>
      </c>
      <c r="K276" s="41" t="s">
        <v>422</v>
      </c>
      <c r="L276" s="52">
        <f t="shared" si="7"/>
        <v>45589.5702</v>
      </c>
      <c r="M276" s="47" t="s">
        <v>1874</v>
      </c>
      <c r="N276" s="47" t="s">
        <v>5373</v>
      </c>
      <c r="O276" s="49"/>
      <c r="P276" s="49"/>
      <c r="Q276" s="49"/>
      <c r="R276" s="49"/>
      <c r="S276" s="49"/>
      <c r="T276" s="49"/>
      <c r="U276" s="49"/>
      <c r="V276" s="49"/>
      <c r="W276" s="41" t="s">
        <v>618</v>
      </c>
      <c r="X276" s="46">
        <f t="shared" si="5"/>
        <v>45590.63533</v>
      </c>
      <c r="Y276" s="50" t="s">
        <v>482</v>
      </c>
      <c r="Z276" s="49">
        <f t="shared" si="6"/>
        <v>2</v>
      </c>
    </row>
    <row r="277" ht="22.5" customHeight="1">
      <c r="B277" s="41" t="s">
        <v>1722</v>
      </c>
      <c r="C277" s="43">
        <f t="array" ref="C277">IF(B277="","",_xlfn.XLOOKUP(B277,'Form responses 1'!$B$2:$B$2604,'Form responses 1'!$A$2:$A$2604,""))</f>
        <v>45588.48293</v>
      </c>
      <c r="D277" s="44" t="str">
        <f t="shared" si="3"/>
        <v>L/19/231024/1_45588.4829280324</v>
      </c>
      <c r="E277" s="44" t="str">
        <f t="array" ref="E277">IF(B277="","",_xlfn.XLOOKUP(B277,'Form responses 1'!$B$2:$B$2604,'Form responses 1'!$C$2:$C$2604,""))</f>
        <v>SHOLEH</v>
      </c>
      <c r="F277" s="44" t="str">
        <f t="array" ref="F277">IF(B277="","",_xlfn.XLOOKUP(B277,'Form responses 1'!$B$2:$B$2604,'Form responses 1'!$D$2:$D$2604,""))</f>
        <v>08127251105</v>
      </c>
      <c r="G277" s="44" t="str">
        <f t="array" ref="G277">IF(B277="","",_xlfn.XLOOKUP(B277,'Form responses 1'!$B$2:$B$2604,'Form responses 1'!$E$2:$E$2604,""))</f>
        <v>ROYA</v>
      </c>
      <c r="H277" s="44" t="str">
        <f t="array" ref="H277">IF(B277="","",_xlfn.XLOOKUP(B277,'Form responses 1'!$B$2:$B$2604,'Form responses 1'!$F$2:$F$2604,""))</f>
        <v>HM 409/KBK</v>
      </c>
      <c r="I277" s="44" t="str">
        <f t="array" ref="I277">IF(B277="","",_xlfn.XLOOKUP(B277,'Form responses 1'!$B$2:$B$2604,'Form responses 1'!$I$2:$I$2604,""))</f>
        <v>KALI BALAU KENCANA</v>
      </c>
      <c r="J277" s="44" t="str">
        <f t="array" ref="J277">IF(B277="","",_xlfn.XLOOKUP(B277,'Form responses 1'!$B$2:$B$2604,'Form responses 1'!$G$2:$G$2604,""))</f>
        <v>Deby</v>
      </c>
      <c r="K277" s="41" t="s">
        <v>422</v>
      </c>
      <c r="L277" s="52">
        <f t="shared" si="7"/>
        <v>45589.57022</v>
      </c>
      <c r="M277" s="49"/>
      <c r="N277" s="49"/>
      <c r="O277" s="49"/>
      <c r="P277" s="49"/>
      <c r="Q277" s="49"/>
      <c r="R277" s="49"/>
      <c r="S277" s="49"/>
      <c r="T277" s="49"/>
      <c r="U277" s="49"/>
      <c r="V277" s="49"/>
      <c r="W277" s="41" t="s">
        <v>618</v>
      </c>
      <c r="X277" s="46">
        <f t="shared" si="5"/>
        <v>45589.67031</v>
      </c>
      <c r="Y277" s="50" t="s">
        <v>482</v>
      </c>
      <c r="Z277" s="49">
        <f t="shared" si="6"/>
        <v>0</v>
      </c>
    </row>
    <row r="278" ht="22.5" customHeight="1">
      <c r="B278" s="41" t="s">
        <v>1750</v>
      </c>
      <c r="C278" s="43">
        <f t="array" ref="C278">IF(B278="","",_xlfn.XLOOKUP(B278,'Form responses 1'!$B$2:$B$2604,'Form responses 1'!$A$2:$A$2604,""))</f>
        <v>45588.55591</v>
      </c>
      <c r="D278" s="44" t="str">
        <f t="shared" si="3"/>
        <v>K/28/231024/1_45588.555914375</v>
      </c>
      <c r="E278" s="44" t="str">
        <f t="array" ref="E278">IF(B278="","",_xlfn.XLOOKUP(B278,'Form responses 1'!$B$2:$B$2604,'Form responses 1'!$C$2:$C$2604,""))</f>
        <v>Marissa valina/ Heliana Sihotang</v>
      </c>
      <c r="F278" s="44" t="str">
        <f t="array" ref="F278">IF(B278="","",_xlfn.XLOOKUP(B278,'Form responses 1'!$B$2:$B$2604,'Form responses 1'!$D$2:$D$2604,""))</f>
        <v>081360001109</v>
      </c>
      <c r="G278" s="44" t="str">
        <f t="array" ref="G278">IF(B278="","",_xlfn.XLOOKUP(B278,'Form responses 1'!$B$2:$B$2604,'Form responses 1'!$E$2:$E$2604,""))</f>
        <v>Roya</v>
      </c>
      <c r="H278" s="44" t="str">
        <f t="array" ref="H278">IF(B278="","",_xlfn.XLOOKUP(B278,'Form responses 1'!$B$2:$B$2604,'Form responses 1'!$F$2:$F$2604,""))</f>
        <v>M. 2446/ Way Kandis</v>
      </c>
      <c r="I278" s="44" t="str">
        <f t="array" ref="I278">IF(B278="","",_xlfn.XLOOKUP(B278,'Form responses 1'!$B$2:$B$2604,'Form responses 1'!$I$2:$I$2604,""))</f>
        <v>Way Kandis</v>
      </c>
      <c r="J278" s="44" t="str">
        <f t="array" ref="J278">IF(B278="","",_xlfn.XLOOKUP(B278,'Form responses 1'!$B$2:$B$2604,'Form responses 1'!$G$2:$G$2604,""))</f>
        <v>Hananda</v>
      </c>
      <c r="K278" s="41" t="s">
        <v>422</v>
      </c>
      <c r="L278" s="52">
        <f t="shared" si="7"/>
        <v>45589.57023</v>
      </c>
      <c r="M278" s="49"/>
      <c r="N278" s="49"/>
      <c r="O278" s="49"/>
      <c r="P278" s="49"/>
      <c r="Q278" s="49"/>
      <c r="R278" s="49"/>
      <c r="S278" s="49"/>
      <c r="T278" s="49"/>
      <c r="U278" s="49"/>
      <c r="V278" s="49"/>
      <c r="W278" s="41" t="s">
        <v>618</v>
      </c>
      <c r="X278" s="46">
        <f t="shared" si="5"/>
        <v>45589.67387</v>
      </c>
      <c r="Y278" s="50" t="s">
        <v>482</v>
      </c>
      <c r="Z278" s="49">
        <f t="shared" si="6"/>
        <v>0</v>
      </c>
    </row>
    <row r="279" ht="22.5" customHeight="1">
      <c r="B279" s="41" t="s">
        <v>1716</v>
      </c>
      <c r="C279" s="43">
        <f t="array" ref="C279">IF(B279="","",_xlfn.XLOOKUP(B279,'Form responses 1'!$B$2:$B$2604,'Form responses 1'!$A$2:$A$2604,""))</f>
        <v>45588.47982</v>
      </c>
      <c r="D279" s="44" t="str">
        <f t="shared" si="3"/>
        <v>K/18/231024/1_45588.4798178472</v>
      </c>
      <c r="E279" s="44" t="str">
        <f t="array" ref="E279">IF(B279="","",_xlfn.XLOOKUP(B279,'Form responses 1'!$B$2:$B$2604,'Form responses 1'!$C$2:$C$2604,""))</f>
        <v>Aditya/ Henny</v>
      </c>
      <c r="F279" s="44" t="str">
        <f t="array" ref="F279">IF(B279="","",_xlfn.XLOOKUP(B279,'Form responses 1'!$B$2:$B$2604,'Form responses 1'!$D$2:$D$2604,""))</f>
        <v>082179705566</v>
      </c>
      <c r="G279" s="44" t="str">
        <f t="array" ref="G279">IF(B279="","",_xlfn.XLOOKUP(B279,'Form responses 1'!$B$2:$B$2604,'Form responses 1'!$E$2:$E$2604,""))</f>
        <v>BN Lelang</v>
      </c>
      <c r="H279" s="44" t="str">
        <f t="array" ref="H279">IF(B279="","",_xlfn.XLOOKUP(B279,'Form responses 1'!$B$2:$B$2604,'Form responses 1'!$F$2:$F$2604,""))</f>
        <v>Nibel 3407/ Jagabaya II</v>
      </c>
      <c r="I279" s="44" t="str">
        <f t="array" ref="I279">IF(B279="","",_xlfn.XLOOKUP(B279,'Form responses 1'!$B$2:$B$2604,'Form responses 1'!$I$2:$I$2604,""))</f>
        <v>Jagabaya II</v>
      </c>
      <c r="J279" s="44" t="str">
        <f t="array" ref="J279">IF(B279="","",_xlfn.XLOOKUP(B279,'Form responses 1'!$B$2:$B$2604,'Form responses 1'!$G$2:$G$2604,""))</f>
        <v>Hananda</v>
      </c>
      <c r="K279" s="41" t="s">
        <v>422</v>
      </c>
      <c r="L279" s="52">
        <f t="shared" si="7"/>
        <v>45589.57025</v>
      </c>
      <c r="M279" s="49"/>
      <c r="N279" s="49"/>
      <c r="O279" s="49"/>
      <c r="P279" s="49"/>
      <c r="Q279" s="49"/>
      <c r="R279" s="49"/>
      <c r="S279" s="49"/>
      <c r="T279" s="49"/>
      <c r="U279" s="49"/>
      <c r="V279" s="49"/>
      <c r="W279" s="41" t="s">
        <v>618</v>
      </c>
      <c r="X279" s="46">
        <f t="shared" si="5"/>
        <v>45590.45244</v>
      </c>
      <c r="Y279" s="50" t="s">
        <v>482</v>
      </c>
      <c r="Z279" s="49">
        <f t="shared" si="6"/>
        <v>0</v>
      </c>
    </row>
    <row r="280" ht="22.5" customHeight="1">
      <c r="B280" s="41" t="s">
        <v>1690</v>
      </c>
      <c r="C280" s="43">
        <f t="array" ref="C280">IF(B280="","",_xlfn.XLOOKUP(B280,'Form responses 1'!$B$2:$B$2604,'Form responses 1'!$A$2:$A$2604,""))</f>
        <v>45588.4557</v>
      </c>
      <c r="D280" s="44" t="str">
        <f t="shared" si="3"/>
        <v>K/12/231024/1_45588.4556985995</v>
      </c>
      <c r="E280" s="44" t="str">
        <f t="array" ref="E280">IF(B280="","",_xlfn.XLOOKUP(B280,'Form responses 1'!$B$2:$B$2604,'Form responses 1'!$C$2:$C$2604,""))</f>
        <v>Agustina S/  Hamim P</v>
      </c>
      <c r="F280" s="44" t="str">
        <f t="array" ref="F280">IF(B280="","",_xlfn.XLOOKUP(B280,'Form responses 1'!$B$2:$B$2604,'Form responses 1'!$D$2:$D$2604,""))</f>
        <v>+62 822-5081-6900</v>
      </c>
      <c r="G280" s="44" t="str">
        <f t="array" ref="G280">IF(B280="","",_xlfn.XLOOKUP(B280,'Form responses 1'!$B$2:$B$2604,'Form responses 1'!$E$2:$E$2604,""))</f>
        <v>BN Jual Beli</v>
      </c>
      <c r="H280" s="44" t="str">
        <f t="array" ref="H280">IF(B280="","",_xlfn.XLOOKUP(B280,'Form responses 1'!$B$2:$B$2604,'Form responses 1'!$F$2:$F$2604,""))</f>
        <v>M. 10719/ Segala Mider</v>
      </c>
      <c r="I280" s="44" t="str">
        <f t="array" ref="I280">IF(B280="","",_xlfn.XLOOKUP(B280,'Form responses 1'!$B$2:$B$2604,'Form responses 1'!$I$2:$I$2604,""))</f>
        <v>Segala Mider</v>
      </c>
      <c r="J280" s="44" t="str">
        <f t="array" ref="J280">IF(B280="","",_xlfn.XLOOKUP(B280,'Form responses 1'!$B$2:$B$2604,'Form responses 1'!$G$2:$G$2604,""))</f>
        <v>Rapita</v>
      </c>
      <c r="K280" s="41" t="s">
        <v>422</v>
      </c>
      <c r="L280" s="52">
        <f t="shared" si="7"/>
        <v>45589.57026</v>
      </c>
      <c r="M280" s="49"/>
      <c r="N280" s="49"/>
      <c r="O280" s="49"/>
      <c r="P280" s="49"/>
      <c r="Q280" s="49"/>
      <c r="R280" s="49"/>
      <c r="S280" s="49"/>
      <c r="T280" s="49"/>
      <c r="U280" s="49"/>
      <c r="V280" s="49"/>
      <c r="W280" s="41" t="s">
        <v>618</v>
      </c>
      <c r="X280" s="46">
        <f t="shared" si="5"/>
        <v>45590.46079</v>
      </c>
      <c r="Y280" s="50" t="s">
        <v>482</v>
      </c>
      <c r="Z280" s="49">
        <f t="shared" si="6"/>
        <v>0</v>
      </c>
    </row>
    <row r="281" ht="22.5" customHeight="1">
      <c r="B281" s="41" t="s">
        <v>1738</v>
      </c>
      <c r="C281" s="43">
        <f t="array" ref="C281">IF(B281="","",_xlfn.XLOOKUP(B281,'Form responses 1'!$B$2:$B$2604,'Form responses 1'!$A$2:$A$2604,""))</f>
        <v>45588.49399</v>
      </c>
      <c r="D281" s="44" t="str">
        <f t="shared" si="3"/>
        <v>K/24/231024/1_45588.4939905787</v>
      </c>
      <c r="E281" s="44" t="str">
        <f t="array" ref="E281">IF(B281="","",_xlfn.XLOOKUP(B281,'Form responses 1'!$B$2:$B$2604,'Form responses 1'!$C$2:$C$2604,""))</f>
        <v>EKA PUTRI PALAM SILABAN/BUDI KRISTIYANTO</v>
      </c>
      <c r="F281" s="44" t="str">
        <f t="array" ref="F281">IF(B281="","",_xlfn.XLOOKUP(B281,'Form responses 1'!$B$2:$B$2604,'Form responses 1'!$D$2:$D$2604,""))</f>
        <v>0858-6816-7367</v>
      </c>
      <c r="G281" s="44" t="str">
        <f t="array" ref="G281">IF(B281="","",_xlfn.XLOOKUP(B281,'Form responses 1'!$B$2:$B$2604,'Form responses 1'!$E$2:$E$2604,""))</f>
        <v>BN JUAL BELI</v>
      </c>
      <c r="H281" s="44" t="str">
        <f t="array" ref="H281">IF(B281="","",_xlfn.XLOOKUP(B281,'Form responses 1'!$B$2:$B$2604,'Form responses 1'!$F$2:$F$2604,""))</f>
        <v>M.2226/SUKARAME BARU</v>
      </c>
      <c r="I281" s="44" t="str">
        <f t="array" ref="I281">IF(B281="","",_xlfn.XLOOKUP(B281,'Form responses 1'!$B$2:$B$2604,'Form responses 1'!$I$2:$I$2604,""))</f>
        <v>SUKARAME BARU</v>
      </c>
      <c r="J281" s="44" t="str">
        <f t="array" ref="J281">IF(B281="","",_xlfn.XLOOKUP(B281,'Form responses 1'!$B$2:$B$2604,'Form responses 1'!$G$2:$G$2604,""))</f>
        <v>Baynur</v>
      </c>
      <c r="K281" s="41" t="s">
        <v>422</v>
      </c>
      <c r="L281" s="52">
        <f t="shared" si="7"/>
        <v>45589.57028</v>
      </c>
      <c r="M281" s="49"/>
      <c r="N281" s="49"/>
      <c r="O281" s="49"/>
      <c r="P281" s="49"/>
      <c r="Q281" s="49"/>
      <c r="R281" s="49"/>
      <c r="S281" s="49"/>
      <c r="T281" s="49"/>
      <c r="U281" s="49"/>
      <c r="V281" s="49"/>
      <c r="W281" s="41" t="s">
        <v>618</v>
      </c>
      <c r="X281" s="46">
        <f t="shared" si="5"/>
        <v>45590.46967</v>
      </c>
      <c r="Y281" s="50" t="s">
        <v>482</v>
      </c>
      <c r="Z281" s="49">
        <f t="shared" si="6"/>
        <v>0</v>
      </c>
    </row>
    <row r="282" ht="22.5" customHeight="1">
      <c r="B282" s="41" t="s">
        <v>1836</v>
      </c>
      <c r="C282" s="43">
        <f t="array" ref="C282">IF(B282="","",_xlfn.XLOOKUP(B282,'Form responses 1'!$B$2:$B$2604,'Form responses 1'!$A$2:$A$2604,""))</f>
        <v>45588.61849</v>
      </c>
      <c r="D282" s="44" t="str">
        <f t="shared" si="3"/>
        <v>K/47/231024/1_45588.6184853704</v>
      </c>
      <c r="E282" s="44" t="str">
        <f t="array" ref="E282">IF(B282="","",_xlfn.XLOOKUP(B282,'Form responses 1'!$B$2:$B$2604,'Form responses 1'!$C$2:$C$2604,""))</f>
        <v>Evi Udin/ Rini Zainuddin</v>
      </c>
      <c r="F282" s="44" t="str">
        <f t="array" ref="F282">IF(B282="","",_xlfn.XLOOKUP(B282,'Form responses 1'!$B$2:$B$2604,'Form responses 1'!$D$2:$D$2604,""))</f>
        <v>+62 821-8499-9559</v>
      </c>
      <c r="G282" s="44" t="str">
        <f t="array" ref="G282">IF(B282="","",_xlfn.XLOOKUP(B282,'Form responses 1'!$B$2:$B$2604,'Form responses 1'!$E$2:$E$2604,""))</f>
        <v>BN Waris</v>
      </c>
      <c r="H282" s="44" t="str">
        <f t="array" ref="H282">IF(B282="","",_xlfn.XLOOKUP(B282,'Form responses 1'!$B$2:$B$2604,'Form responses 1'!$F$2:$F$2604,""))</f>
        <v>B. 2082/ Sukabumi</v>
      </c>
      <c r="I282" s="44" t="str">
        <f t="array" ref="I282">IF(B282="","",_xlfn.XLOOKUP(B282,'Form responses 1'!$B$2:$B$2604,'Form responses 1'!$I$2:$I$2604,""))</f>
        <v>Sukabumi</v>
      </c>
      <c r="J282" s="44" t="str">
        <f t="array" ref="J282">IF(B282="","",_xlfn.XLOOKUP(B282,'Form responses 1'!$B$2:$B$2604,'Form responses 1'!$G$2:$G$2604,""))</f>
        <v>Rapita</v>
      </c>
      <c r="K282" s="41" t="s">
        <v>422</v>
      </c>
      <c r="L282" s="52">
        <f t="shared" si="7"/>
        <v>45589.5703</v>
      </c>
      <c r="M282" s="47" t="s">
        <v>1874</v>
      </c>
      <c r="N282" s="47" t="s">
        <v>5374</v>
      </c>
      <c r="O282" s="49"/>
      <c r="P282" s="49"/>
      <c r="Q282" s="49"/>
      <c r="R282" s="49"/>
      <c r="S282" s="49"/>
      <c r="T282" s="49"/>
      <c r="U282" s="49"/>
      <c r="V282" s="49"/>
      <c r="W282" s="41" t="s">
        <v>618</v>
      </c>
      <c r="X282" s="46">
        <f t="shared" si="5"/>
        <v>45595.64951</v>
      </c>
      <c r="Y282" s="50" t="s">
        <v>482</v>
      </c>
      <c r="Z282" s="49">
        <f t="shared" si="6"/>
        <v>2</v>
      </c>
    </row>
    <row r="283" ht="22.5" customHeight="1">
      <c r="B283" s="41" t="s">
        <v>1506</v>
      </c>
      <c r="C283" s="43">
        <f t="array" ref="C283">IF(B283="","",_xlfn.XLOOKUP(B283,'Form responses 1'!$B$2:$B$2604,'Form responses 1'!$A$2:$A$2604,""))</f>
        <v>45587.44611</v>
      </c>
      <c r="D283" s="44" t="str">
        <f t="shared" si="3"/>
        <v>K/32/221024/1_45587.4461127431</v>
      </c>
      <c r="E283" s="44" t="str">
        <f t="array" ref="E283">IF(B283="","",_xlfn.XLOOKUP(B283,'Form responses 1'!$B$2:$B$2604,'Form responses 1'!$C$2:$C$2604,""))</f>
        <v>Imelda Pasaribu/ Rotua P</v>
      </c>
      <c r="F283" s="44" t="str">
        <f t="array" ref="F283">IF(B283="","",_xlfn.XLOOKUP(B283,'Form responses 1'!$B$2:$B$2604,'Form responses 1'!$D$2:$D$2604,""))</f>
        <v>+62 812-7933-577</v>
      </c>
      <c r="G283" s="44" t="str">
        <f t="array" ref="G283">IF(B283="","",_xlfn.XLOOKUP(B283,'Form responses 1'!$B$2:$B$2604,'Form responses 1'!$E$2:$E$2604,""))</f>
        <v>Perubahan Hak</v>
      </c>
      <c r="H283" s="44" t="str">
        <f t="array" ref="H283">IF(B283="","",_xlfn.XLOOKUP(B283,'Form responses 1'!$B$2:$B$2604,'Form responses 1'!$F$2:$F$2604,""))</f>
        <v>Nibel. B. 2386/ P W K</v>
      </c>
      <c r="I283" s="44" t="str">
        <f t="array" ref="I283">IF(B283="","",_xlfn.XLOOKUP(B283,'Form responses 1'!$B$2:$B$2604,'Form responses 1'!$I$2:$I$2604,""))</f>
        <v>Perumnas Way Kandis</v>
      </c>
      <c r="J283" s="44" t="str">
        <f t="array" ref="J283">IF(B283="","",_xlfn.XLOOKUP(B283,'Form responses 1'!$B$2:$B$2604,'Form responses 1'!$G$2:$G$2604,""))</f>
        <v>Rapita</v>
      </c>
      <c r="K283" s="41" t="s">
        <v>422</v>
      </c>
      <c r="L283" s="52">
        <f t="shared" si="7"/>
        <v>45589.57032</v>
      </c>
      <c r="M283" s="47" t="s">
        <v>5375</v>
      </c>
      <c r="N283" s="47" t="s">
        <v>5376</v>
      </c>
      <c r="O283" s="47" t="s">
        <v>5377</v>
      </c>
      <c r="P283" s="49"/>
      <c r="Q283" s="49"/>
      <c r="R283" s="49"/>
      <c r="S283" s="49"/>
      <c r="T283" s="49"/>
      <c r="U283" s="49"/>
      <c r="V283" s="49"/>
      <c r="W283" s="41" t="s">
        <v>618</v>
      </c>
      <c r="X283" s="46">
        <f t="shared" si="5"/>
        <v>45593.64695</v>
      </c>
      <c r="Y283" s="50" t="s">
        <v>482</v>
      </c>
      <c r="Z283" s="49">
        <f t="shared" si="6"/>
        <v>3</v>
      </c>
    </row>
    <row r="284" ht="22.5" customHeight="1">
      <c r="B284" s="41" t="s">
        <v>1440</v>
      </c>
      <c r="C284" s="43">
        <f t="array" ref="C284">IF(B284="","",_xlfn.XLOOKUP(B284,'Form responses 1'!$B$2:$B$2604,'Form responses 1'!$A$2:$A$2604,""))</f>
        <v>45587.4147</v>
      </c>
      <c r="D284" s="44" t="str">
        <f t="shared" si="3"/>
        <v>L/12/221024/1_45587.4147033333</v>
      </c>
      <c r="E284" s="44" t="str">
        <f t="array" ref="E284">IF(B284="","",_xlfn.XLOOKUP(B284,'Form responses 1'!$B$2:$B$2604,'Form responses 1'!$C$2:$C$2604,""))</f>
        <v>INDRA KURNIAWAN</v>
      </c>
      <c r="F284" s="44" t="str">
        <f t="array" ref="F284">IF(B284="","",_xlfn.XLOOKUP(B284,'Form responses 1'!$B$2:$B$2604,'Form responses 1'!$D$2:$D$2604,""))</f>
        <v>081369773888</v>
      </c>
      <c r="G284" s="44" t="str">
        <f t="array" ref="G284">IF(B284="","",_xlfn.XLOOKUP(B284,'Form responses 1'!$B$2:$B$2604,'Form responses 1'!$E$2:$E$2604,""))</f>
        <v>ROYA</v>
      </c>
      <c r="H284" s="44" t="str">
        <f t="array" ref="H284">IF(B284="","",_xlfn.XLOOKUP(B284,'Form responses 1'!$B$2:$B$2604,'Form responses 1'!$F$2:$F$2604,""))</f>
        <v>HM 769/WHP</v>
      </c>
      <c r="I284" s="44" t="str">
        <f t="array" ref="I284">IF(B284="","",_xlfn.XLOOKUP(B284,'Form responses 1'!$B$2:$B$2604,'Form responses 1'!$I$2:$I$2604,""))</f>
        <v>WAY HALIM PERMAI</v>
      </c>
      <c r="J284" s="44" t="str">
        <f t="array" ref="J284">IF(B284="","",_xlfn.XLOOKUP(B284,'Form responses 1'!$B$2:$B$2604,'Form responses 1'!$G$2:$G$2604,""))</f>
        <v>Deby</v>
      </c>
      <c r="K284" s="41" t="s">
        <v>422</v>
      </c>
      <c r="L284" s="52">
        <f t="shared" si="7"/>
        <v>45589.57034</v>
      </c>
      <c r="M284" s="47" t="s">
        <v>1874</v>
      </c>
      <c r="N284" s="47" t="s">
        <v>5378</v>
      </c>
      <c r="O284" s="49"/>
      <c r="P284" s="49"/>
      <c r="Q284" s="49"/>
      <c r="R284" s="49"/>
      <c r="S284" s="49"/>
      <c r="T284" s="49"/>
      <c r="U284" s="49"/>
      <c r="V284" s="49"/>
      <c r="W284" s="41" t="s">
        <v>618</v>
      </c>
      <c r="X284" s="46">
        <f t="shared" si="5"/>
        <v>45596.63326</v>
      </c>
      <c r="Y284" s="50" t="s">
        <v>482</v>
      </c>
      <c r="Z284" s="49">
        <f t="shared" si="6"/>
        <v>2</v>
      </c>
    </row>
    <row r="285" ht="22.5" customHeight="1">
      <c r="B285" s="41" t="s">
        <v>1400</v>
      </c>
      <c r="C285" s="43">
        <f t="array" ref="C285">IF(B285="","",_xlfn.XLOOKUP(B285,'Form responses 1'!$B$2:$B$2604,'Form responses 1'!$A$2:$A$2604,""))</f>
        <v>45587.38308</v>
      </c>
      <c r="D285" s="44" t="str">
        <f t="shared" si="3"/>
        <v>K/2/221024/2_45587.3830800579</v>
      </c>
      <c r="E285" s="44" t="str">
        <f t="array" ref="E285">IF(B285="","",_xlfn.XLOOKUP(B285,'Form responses 1'!$B$2:$B$2604,'Form responses 1'!$C$2:$C$2604,""))</f>
        <v>A roswantama/ Rudy</v>
      </c>
      <c r="F285" s="44" t="str">
        <f t="array" ref="F285">IF(B285="","",_xlfn.XLOOKUP(B285,'Form responses 1'!$B$2:$B$2604,'Form responses 1'!$D$2:$D$2604,""))</f>
        <v>+62 813-6948-8565</v>
      </c>
      <c r="G285" s="44" t="str">
        <f t="array" ref="G285">IF(B285="","",_xlfn.XLOOKUP(B285,'Form responses 1'!$B$2:$B$2604,'Form responses 1'!$E$2:$E$2604,""))</f>
        <v>Roya</v>
      </c>
      <c r="H285" s="44" t="str">
        <f t="array" ref="H285">IF(B285="","",_xlfn.XLOOKUP(B285,'Form responses 1'!$B$2:$B$2604,'Form responses 1'!$F$2:$F$2604,""))</f>
        <v>M. 1556/ Bumi Waras</v>
      </c>
      <c r="I285" s="44" t="str">
        <f t="array" ref="I285">IF(B285="","",_xlfn.XLOOKUP(B285,'Form responses 1'!$B$2:$B$2604,'Form responses 1'!$I$2:$I$2604,""))</f>
        <v>Bumi Waras</v>
      </c>
      <c r="J285" s="44" t="str">
        <f t="array" ref="J285">IF(B285="","",_xlfn.XLOOKUP(B285,'Form responses 1'!$B$2:$B$2604,'Form responses 1'!$G$2:$G$2604,""))</f>
        <v>Hananda</v>
      </c>
      <c r="K285" s="41" t="s">
        <v>422</v>
      </c>
      <c r="L285" s="52">
        <f t="shared" si="7"/>
        <v>45589.57035</v>
      </c>
      <c r="M285" s="49"/>
      <c r="N285" s="49"/>
      <c r="O285" s="49"/>
      <c r="P285" s="49"/>
      <c r="Q285" s="49"/>
      <c r="R285" s="49"/>
      <c r="S285" s="49"/>
      <c r="T285" s="49"/>
      <c r="U285" s="49"/>
      <c r="V285" s="49"/>
      <c r="W285" s="41" t="s">
        <v>618</v>
      </c>
      <c r="X285" s="46">
        <f t="shared" si="5"/>
        <v>45590.44515</v>
      </c>
      <c r="Y285" s="50" t="s">
        <v>482</v>
      </c>
      <c r="Z285" s="49">
        <f t="shared" si="6"/>
        <v>0</v>
      </c>
    </row>
    <row r="286" ht="22.5" customHeight="1">
      <c r="B286" s="41" t="s">
        <v>1634</v>
      </c>
      <c r="C286" s="43">
        <f t="array" ref="C286">IF(B286="","",_xlfn.XLOOKUP(B286,'Form responses 1'!$B$2:$B$2604,'Form responses 1'!$A$2:$A$2604,""))</f>
        <v>45587.63165</v>
      </c>
      <c r="D286" s="44" t="str">
        <f t="shared" si="3"/>
        <v>K/65/221024/2_45587.6316487153</v>
      </c>
      <c r="E286" s="44" t="str">
        <f t="array" ref="E286">IF(B286="","",_xlfn.XLOOKUP(B286,'Form responses 1'!$B$2:$B$2604,'Form responses 1'!$C$2:$C$2604,""))</f>
        <v>M Arief S / Prasojo</v>
      </c>
      <c r="F286" s="44" t="str">
        <f t="array" ref="F286">IF(B286="","",_xlfn.XLOOKUP(B286,'Form responses 1'!$B$2:$B$2604,'Form responses 1'!$D$2:$D$2604,""))</f>
        <v>081369113355</v>
      </c>
      <c r="G286" s="44" t="str">
        <f t="array" ref="G286">IF(B286="","",_xlfn.XLOOKUP(B286,'Form responses 1'!$B$2:$B$2604,'Form responses 1'!$E$2:$E$2604,""))</f>
        <v>BN Jual Beli</v>
      </c>
      <c r="H286" s="44" t="str">
        <f t="array" ref="H286">IF(B286="","",_xlfn.XLOOKUP(B286,'Form responses 1'!$B$2:$B$2604,'Form responses 1'!$F$2:$F$2604,""))</f>
        <v>M. 16640/ Sukabumi</v>
      </c>
      <c r="I286" s="44" t="str">
        <f t="array" ref="I286">IF(B286="","",_xlfn.XLOOKUP(B286,'Form responses 1'!$B$2:$B$2604,'Form responses 1'!$I$2:$I$2604,""))</f>
        <v>Sukabumi</v>
      </c>
      <c r="J286" s="44" t="str">
        <f t="array" ref="J286">IF(B286="","",_xlfn.XLOOKUP(B286,'Form responses 1'!$B$2:$B$2604,'Form responses 1'!$G$2:$G$2604,""))</f>
        <v>Hananda</v>
      </c>
      <c r="K286" s="41" t="s">
        <v>422</v>
      </c>
      <c r="L286" s="52">
        <f t="shared" si="7"/>
        <v>45589.57037</v>
      </c>
      <c r="M286" s="47" t="s">
        <v>5379</v>
      </c>
      <c r="N286" s="49"/>
      <c r="O286" s="49"/>
      <c r="P286" s="49"/>
      <c r="Q286" s="49"/>
      <c r="R286" s="49"/>
      <c r="S286" s="49"/>
      <c r="T286" s="49"/>
      <c r="U286" s="49"/>
      <c r="V286" s="49"/>
      <c r="W286" s="41" t="s">
        <v>618</v>
      </c>
      <c r="X286" s="46">
        <f t="shared" si="5"/>
        <v>45593.66275</v>
      </c>
      <c r="Y286" s="50" t="s">
        <v>482</v>
      </c>
      <c r="Z286" s="49">
        <f t="shared" si="6"/>
        <v>1</v>
      </c>
    </row>
    <row r="287" ht="22.5" customHeight="1">
      <c r="B287" s="41" t="s">
        <v>1637</v>
      </c>
      <c r="C287" s="43">
        <f t="array" ref="C287">IF(B287="","",_xlfn.XLOOKUP(B287,'Form responses 1'!$B$2:$B$2604,'Form responses 1'!$A$2:$A$2604,""))</f>
        <v>45587.63349</v>
      </c>
      <c r="D287" s="44" t="str">
        <f t="shared" si="3"/>
        <v>K/63/221024/3_45587.6334872338</v>
      </c>
      <c r="E287" s="44" t="str">
        <f t="array" ref="E287">IF(B287="","",_xlfn.XLOOKUP(B287,'Form responses 1'!$B$2:$B$2604,'Form responses 1'!$C$2:$C$2604,""))</f>
        <v>Andrianto/ Wiwik A</v>
      </c>
      <c r="F287" s="44" t="str">
        <f t="array" ref="F287">IF(B287="","",_xlfn.XLOOKUP(B287,'Form responses 1'!$B$2:$B$2604,'Form responses 1'!$D$2:$D$2604,""))</f>
        <v>+62 813-7389-3119</v>
      </c>
      <c r="G287" s="44" t="str">
        <f t="array" ref="G287">IF(B287="","",_xlfn.XLOOKUP(B287,'Form responses 1'!$B$2:$B$2604,'Form responses 1'!$E$2:$E$2604,""))</f>
        <v>BN Jual Beli</v>
      </c>
      <c r="H287" s="44" t="str">
        <f t="array" ref="H287">IF(B287="","",_xlfn.XLOOKUP(B287,'Form responses 1'!$B$2:$B$2604,'Form responses 1'!$F$2:$F$2604,""))</f>
        <v>M. 1601/ Bumi Kedamaian</v>
      </c>
      <c r="I287" s="44" t="str">
        <f t="array" ref="I287">IF(B287="","",_xlfn.XLOOKUP(B287,'Form responses 1'!$B$2:$B$2604,'Form responses 1'!$I$2:$I$2604,""))</f>
        <v>Bumi Kedamaian</v>
      </c>
      <c r="J287" s="44" t="str">
        <f t="array" ref="J287">IF(B287="","",_xlfn.XLOOKUP(B287,'Form responses 1'!$B$2:$B$2604,'Form responses 1'!$G$2:$G$2604,""))</f>
        <v>Rapita</v>
      </c>
      <c r="K287" s="41" t="s">
        <v>422</v>
      </c>
      <c r="L287" s="52">
        <f t="shared" si="7"/>
        <v>45589.57039</v>
      </c>
      <c r="M287" s="47" t="s">
        <v>5380</v>
      </c>
      <c r="N287" s="49"/>
      <c r="O287" s="49"/>
      <c r="P287" s="49"/>
      <c r="Q287" s="49"/>
      <c r="R287" s="49"/>
      <c r="S287" s="49"/>
      <c r="T287" s="49"/>
      <c r="U287" s="49"/>
      <c r="V287" s="49"/>
      <c r="W287" s="41" t="s">
        <v>618</v>
      </c>
      <c r="X287" s="46">
        <f t="shared" si="5"/>
        <v>45590.55009</v>
      </c>
      <c r="Y287" s="50" t="s">
        <v>482</v>
      </c>
      <c r="Z287" s="49">
        <f t="shared" si="6"/>
        <v>1</v>
      </c>
    </row>
    <row r="288" ht="22.5" customHeight="1">
      <c r="B288" s="41" t="s">
        <v>1545</v>
      </c>
      <c r="C288" s="43">
        <f t="array" ref="C288">IF(B288="","",_xlfn.XLOOKUP(B288,'Form responses 1'!$B$2:$B$2604,'Form responses 1'!$A$2:$A$2604,""))</f>
        <v>45587.48185</v>
      </c>
      <c r="D288" s="44" t="str">
        <f t="shared" si="3"/>
        <v>K/41/221024/3_45587.4818528704</v>
      </c>
      <c r="E288" s="44" t="str">
        <f t="array" ref="E288">IF(B288="","",_xlfn.XLOOKUP(B288,'Form responses 1'!$B$2:$B$2604,'Form responses 1'!$C$2:$C$2604,""))</f>
        <v>Panary S/ Arif K</v>
      </c>
      <c r="F288" s="44" t="str">
        <f t="array" ref="F288">IF(B288="","",_xlfn.XLOOKUP(B288,'Form responses 1'!$B$2:$B$2604,'Form responses 1'!$D$2:$D$2604,""))</f>
        <v>+62 889-2977-399</v>
      </c>
      <c r="G288" s="44" t="str">
        <f t="array" ref="G288">IF(B288="","",_xlfn.XLOOKUP(B288,'Form responses 1'!$B$2:$B$2604,'Form responses 1'!$E$2:$E$2604,""))</f>
        <v>BN Jual Beli</v>
      </c>
      <c r="H288" s="44" t="str">
        <f t="array" ref="H288">IF(B288="","",_xlfn.XLOOKUP(B288,'Form responses 1'!$B$2:$B$2604,'Form responses 1'!$F$2:$F$2604,""))</f>
        <v>M. 1069/ Rajabasa Pemuka</v>
      </c>
      <c r="I288" s="44" t="str">
        <f t="array" ref="I288">IF(B288="","",_xlfn.XLOOKUP(B288,'Form responses 1'!$B$2:$B$2604,'Form responses 1'!$I$2:$I$2604,""))</f>
        <v>Rajabasa Pemuka</v>
      </c>
      <c r="J288" s="44" t="str">
        <f t="array" ref="J288">IF(B288="","",_xlfn.XLOOKUP(B288,'Form responses 1'!$B$2:$B$2604,'Form responses 1'!$G$2:$G$2604,""))</f>
        <v>Rapita</v>
      </c>
      <c r="K288" s="41" t="s">
        <v>422</v>
      </c>
      <c r="L288" s="52">
        <f t="shared" si="7"/>
        <v>45589.57041</v>
      </c>
      <c r="M288" s="49"/>
      <c r="N288" s="49"/>
      <c r="O288" s="49"/>
      <c r="P288" s="49"/>
      <c r="Q288" s="49"/>
      <c r="R288" s="49"/>
      <c r="S288" s="49"/>
      <c r="T288" s="49"/>
      <c r="U288" s="49"/>
      <c r="V288" s="49"/>
      <c r="W288" s="41" t="s">
        <v>618</v>
      </c>
      <c r="X288" s="46">
        <f t="shared" si="5"/>
        <v>45590.55781</v>
      </c>
      <c r="Y288" s="50" t="s">
        <v>482</v>
      </c>
      <c r="Z288" s="49">
        <f t="shared" si="6"/>
        <v>0</v>
      </c>
    </row>
    <row r="289" ht="22.5" customHeight="1">
      <c r="B289" s="41" t="s">
        <v>1476</v>
      </c>
      <c r="C289" s="43">
        <f t="array" ref="C289">IF(B289="","",_xlfn.XLOOKUP(B289,'Form responses 1'!$B$2:$B$2604,'Form responses 1'!$A$2:$A$2604,""))</f>
        <v>45587.42464</v>
      </c>
      <c r="D289" s="44" t="str">
        <f t="shared" si="3"/>
        <v>K/22/221024/1_45587.4246440972</v>
      </c>
      <c r="E289" s="44" t="str">
        <f t="array" ref="E289">IF(B289="","",_xlfn.XLOOKUP(B289,'Form responses 1'!$B$2:$B$2604,'Form responses 1'!$C$2:$C$2604,""))</f>
        <v>MARCUS/WHINDA YULIANTI</v>
      </c>
      <c r="F289" s="44" t="str">
        <f t="array" ref="F289">IF(B289="","",_xlfn.XLOOKUP(B289,'Form responses 1'!$B$2:$B$2604,'Form responses 1'!$D$2:$D$2604,""))</f>
        <v>0812-5557-2168</v>
      </c>
      <c r="G289" s="44" t="str">
        <f t="array" ref="G289">IF(B289="","",_xlfn.XLOOKUP(B289,'Form responses 1'!$B$2:$B$2604,'Form responses 1'!$E$2:$E$2604,""))</f>
        <v>PERALIHAN JUAL BELI</v>
      </c>
      <c r="H289" s="44" t="str">
        <f t="array" ref="H289">IF(B289="","",_xlfn.XLOOKUP(B289,'Form responses 1'!$B$2:$B$2604,'Form responses 1'!$F$2:$F$2604,""))</f>
        <v>NIBEL M.2999/BUMI KEDAMAIAN</v>
      </c>
      <c r="I289" s="44" t="str">
        <f t="array" ref="I289">IF(B289="","",_xlfn.XLOOKUP(B289,'Form responses 1'!$B$2:$B$2604,'Form responses 1'!$I$2:$I$2604,""))</f>
        <v>BUMI KEDAMAIAN</v>
      </c>
      <c r="J289" s="44" t="str">
        <f t="array" ref="J289">IF(B289="","",_xlfn.XLOOKUP(B289,'Form responses 1'!$B$2:$B$2604,'Form responses 1'!$G$2:$G$2604,""))</f>
        <v>Baynur</v>
      </c>
      <c r="K289" s="41" t="s">
        <v>422</v>
      </c>
      <c r="L289" s="52">
        <f t="shared" si="7"/>
        <v>45589.57043</v>
      </c>
      <c r="M289" s="49"/>
      <c r="N289" s="49"/>
      <c r="O289" s="49"/>
      <c r="P289" s="49"/>
      <c r="Q289" s="49"/>
      <c r="R289" s="49"/>
      <c r="S289" s="49"/>
      <c r="T289" s="49"/>
      <c r="U289" s="49"/>
      <c r="V289" s="49"/>
      <c r="W289" s="41" t="s">
        <v>618</v>
      </c>
      <c r="X289" s="46">
        <f t="shared" si="5"/>
        <v>45590.56308</v>
      </c>
      <c r="Y289" s="50" t="s">
        <v>482</v>
      </c>
      <c r="Z289" s="49">
        <f t="shared" si="6"/>
        <v>0</v>
      </c>
    </row>
    <row r="290" ht="22.5" customHeight="1">
      <c r="B290" s="41" t="s">
        <v>1530</v>
      </c>
      <c r="C290" s="43">
        <f t="array" ref="C290">IF(B290="","",_xlfn.XLOOKUP(B290,'Form responses 1'!$B$2:$B$2604,'Form responses 1'!$A$2:$A$2604,""))</f>
        <v>45587.46117</v>
      </c>
      <c r="D290" s="44" t="str">
        <f t="shared" si="3"/>
        <v>K/36/221024/1_45587.4611734144</v>
      </c>
      <c r="E290" s="44" t="str">
        <f t="array" ref="E290">IF(B290="","",_xlfn.XLOOKUP(B290,'Form responses 1'!$B$2:$B$2604,'Form responses 1'!$C$2:$C$2604,""))</f>
        <v>Endang Aprilia/ Fitri R S</v>
      </c>
      <c r="F290" s="44" t="str">
        <f t="array" ref="F290">IF(B290="","",_xlfn.XLOOKUP(B290,'Form responses 1'!$B$2:$B$2604,'Form responses 1'!$D$2:$D$2604,""))</f>
        <v>082289235722</v>
      </c>
      <c r="G290" s="44" t="str">
        <f t="array" ref="G290">IF(B290="","",_xlfn.XLOOKUP(B290,'Form responses 1'!$B$2:$B$2604,'Form responses 1'!$E$2:$E$2604,""))</f>
        <v>BN Jual Beli</v>
      </c>
      <c r="H290" s="44" t="str">
        <f t="array" ref="H290">IF(B290="","",_xlfn.XLOOKUP(B290,'Form responses 1'!$B$2:$B$2604,'Form responses 1'!$F$2:$F$2604,""))</f>
        <v>M. 1399/ Beringin Jaya; M. 2912 Beringin Raya-dahulu; B. 2928/ Berringin Raya-dahulu</v>
      </c>
      <c r="I290" s="44" t="str">
        <f t="array" ref="I290">IF(B290="","",_xlfn.XLOOKUP(B290,'Form responses 1'!$B$2:$B$2604,'Form responses 1'!$I$2:$I$2604,""))</f>
        <v>Beringin Jaya</v>
      </c>
      <c r="J290" s="44" t="str">
        <f t="array" ref="J290">IF(B290="","",_xlfn.XLOOKUP(B290,'Form responses 1'!$B$2:$B$2604,'Form responses 1'!$G$2:$G$2604,""))</f>
        <v>Rapita</v>
      </c>
      <c r="K290" s="41" t="s">
        <v>422</v>
      </c>
      <c r="L290" s="52">
        <f t="shared" si="7"/>
        <v>45589.57045</v>
      </c>
      <c r="M290" s="47" t="s">
        <v>5381</v>
      </c>
      <c r="N290" s="47" t="s">
        <v>5382</v>
      </c>
      <c r="O290" s="49"/>
      <c r="P290" s="49"/>
      <c r="Q290" s="49"/>
      <c r="R290" s="49"/>
      <c r="S290" s="49"/>
      <c r="T290" s="49"/>
      <c r="U290" s="49"/>
      <c r="V290" s="49"/>
      <c r="W290" s="41" t="s">
        <v>470</v>
      </c>
      <c r="X290" s="46">
        <f t="shared" si="5"/>
        <v>45609.6596</v>
      </c>
      <c r="Y290" s="50" t="s">
        <v>482</v>
      </c>
      <c r="Z290" s="49">
        <f t="shared" si="6"/>
        <v>2</v>
      </c>
    </row>
    <row r="291" ht="22.5" customHeight="1">
      <c r="B291" s="41" t="s">
        <v>1537</v>
      </c>
      <c r="C291" s="43">
        <f t="array" ref="C291">IF(B291="","",_xlfn.XLOOKUP(B291,'Form responses 1'!$B$2:$B$2604,'Form responses 1'!$A$2:$A$2604,""))</f>
        <v>45587.4748</v>
      </c>
      <c r="D291" s="44" t="str">
        <f t="shared" si="3"/>
        <v>K/37/221024/1_45587.4748035301</v>
      </c>
      <c r="E291" s="44" t="str">
        <f t="array" ref="E291">IF(B291="","",_xlfn.XLOOKUP(B291,'Form responses 1'!$B$2:$B$2604,'Form responses 1'!$C$2:$C$2604,""))</f>
        <v>Yudeni Thoha/ Fitta Anggairi</v>
      </c>
      <c r="F291" s="44" t="str">
        <f t="array" ref="F291">IF(B291="","",_xlfn.XLOOKUP(B291,'Form responses 1'!$B$2:$B$2604,'Form responses 1'!$D$2:$D$2604,""))</f>
        <v>085664644484</v>
      </c>
      <c r="G291" s="44" t="str">
        <f t="array" ref="G291">IF(B291="","",_xlfn.XLOOKUP(B291,'Form responses 1'!$B$2:$B$2604,'Form responses 1'!$E$2:$E$2604,""))</f>
        <v>BN Hibah</v>
      </c>
      <c r="H291" s="44" t="str">
        <f t="array" ref="H291">IF(B291="","",_xlfn.XLOOKUP(B291,'Form responses 1'!$B$2:$B$2604,'Form responses 1'!$F$2:$F$2604,""))</f>
        <v>M. 14029/ Tanjung Baru</v>
      </c>
      <c r="I291" s="44" t="str">
        <f t="array" ref="I291">IF(B291="","",_xlfn.XLOOKUP(B291,'Form responses 1'!$B$2:$B$2604,'Form responses 1'!$I$2:$I$2604,""))</f>
        <v>Tanjung Baru</v>
      </c>
      <c r="J291" s="44" t="str">
        <f t="array" ref="J291">IF(B291="","",_xlfn.XLOOKUP(B291,'Form responses 1'!$B$2:$B$2604,'Form responses 1'!$G$2:$G$2604,""))</f>
        <v>Hananda</v>
      </c>
      <c r="K291" s="41" t="s">
        <v>422</v>
      </c>
      <c r="L291" s="52">
        <f t="shared" si="7"/>
        <v>45589.57048</v>
      </c>
      <c r="M291" s="47" t="s">
        <v>5383</v>
      </c>
      <c r="N291" s="49"/>
      <c r="O291" s="49"/>
      <c r="P291" s="49"/>
      <c r="Q291" s="49"/>
      <c r="R291" s="49"/>
      <c r="S291" s="49"/>
      <c r="T291" s="49"/>
      <c r="U291" s="49"/>
      <c r="V291" s="49"/>
      <c r="W291" s="41" t="s">
        <v>618</v>
      </c>
      <c r="X291" s="46">
        <f t="shared" si="5"/>
        <v>45604.63458</v>
      </c>
      <c r="Y291" s="50" t="s">
        <v>482</v>
      </c>
      <c r="Z291" s="49">
        <f t="shared" si="6"/>
        <v>1</v>
      </c>
    </row>
    <row r="292" ht="22.5" customHeight="1">
      <c r="B292" s="41" t="s">
        <v>1408</v>
      </c>
      <c r="C292" s="43">
        <f t="array" ref="C292">IF(B292="","",_xlfn.XLOOKUP(B292,'Form responses 1'!$B$2:$B$2604,'Form responses 1'!$A$2:$A$2604,""))</f>
        <v>45587.38528</v>
      </c>
      <c r="D292" s="44" t="str">
        <f t="shared" si="3"/>
        <v>L/4/221024/1_45587.3852808912</v>
      </c>
      <c r="E292" s="44" t="str">
        <f t="array" ref="E292">IF(B292="","",_xlfn.XLOOKUP(B292,'Form responses 1'!$B$2:$B$2604,'Form responses 1'!$C$2:$C$2604,""))</f>
        <v>DINA JULIANA/CS</v>
      </c>
      <c r="F292" s="44" t="str">
        <f t="array" ref="F292">IF(B292="","",_xlfn.XLOOKUP(B292,'Form responses 1'!$B$2:$B$2604,'Form responses 1'!$D$2:$D$2604,""))</f>
        <v>083136396614</v>
      </c>
      <c r="G292" s="44" t="str">
        <f t="array" ref="G292">IF(B292="","",_xlfn.XLOOKUP(B292,'Form responses 1'!$B$2:$B$2604,'Form responses 1'!$E$2:$E$2604,""))</f>
        <v>BN WARIS</v>
      </c>
      <c r="H292" s="44" t="str">
        <f t="array" ref="H292">IF(B292="","",_xlfn.XLOOKUP(B292,'Form responses 1'!$B$2:$B$2604,'Form responses 1'!$F$2:$F$2604,""))</f>
        <v>HM 3875/LANGKAPURA</v>
      </c>
      <c r="I292" s="44" t="str">
        <f t="array" ref="I292">IF(B292="","",_xlfn.XLOOKUP(B292,'Form responses 1'!$B$2:$B$2604,'Form responses 1'!$I$2:$I$2604,""))</f>
        <v>LANGKAPURA</v>
      </c>
      <c r="J292" s="44" t="str">
        <f t="array" ref="J292">IF(B292="","",_xlfn.XLOOKUP(B292,'Form responses 1'!$B$2:$B$2604,'Form responses 1'!$G$2:$G$2604,""))</f>
        <v>Deby</v>
      </c>
      <c r="K292" s="41" t="s">
        <v>422</v>
      </c>
      <c r="L292" s="52">
        <f t="shared" si="7"/>
        <v>45589.5705</v>
      </c>
      <c r="M292" s="47" t="s">
        <v>5384</v>
      </c>
      <c r="N292" s="47" t="s">
        <v>5385</v>
      </c>
      <c r="O292" s="49"/>
      <c r="P292" s="49"/>
      <c r="Q292" s="49"/>
      <c r="R292" s="49"/>
      <c r="S292" s="49"/>
      <c r="T292" s="49"/>
      <c r="U292" s="49"/>
      <c r="V292" s="49"/>
      <c r="W292" s="41" t="s">
        <v>618</v>
      </c>
      <c r="X292" s="46">
        <f t="shared" si="5"/>
        <v>45594.45669</v>
      </c>
      <c r="Y292" s="50" t="s">
        <v>482</v>
      </c>
      <c r="Z292" s="49">
        <f t="shared" si="6"/>
        <v>2</v>
      </c>
    </row>
    <row r="293" ht="22.5" customHeight="1">
      <c r="B293" s="41" t="s">
        <v>999</v>
      </c>
      <c r="C293" s="43">
        <f t="array" ref="C293">IF(B293="","",_xlfn.XLOOKUP(B293,'Form responses 1'!$B$2:$B$2604,'Form responses 1'!$A$2:$A$2604,""))</f>
        <v>45583.43806</v>
      </c>
      <c r="D293" s="44" t="str">
        <f t="shared" si="3"/>
        <v>K/9/181024/1_45583.4380646065</v>
      </c>
      <c r="E293" s="44" t="str">
        <f t="array" ref="E293">IF(B293="","",_xlfn.XLOOKUP(B293,'Form responses 1'!$B$2:$B$2604,'Form responses 1'!$C$2:$C$2604,""))</f>
        <v>VERA ANDRIYANI PUTRI/A.ROSWANTAMA </v>
      </c>
      <c r="F293" s="44" t="str">
        <f t="array" ref="F293">IF(B293="","",_xlfn.XLOOKUP(B293,'Form responses 1'!$B$2:$B$2604,'Form responses 1'!$D$2:$D$2604,""))</f>
        <v>0813-6948-8565</v>
      </c>
      <c r="G293" s="44" t="str">
        <f t="array" ref="G293">IF(B293="","",_xlfn.XLOOKUP(B293,'Form responses 1'!$B$2:$B$2604,'Form responses 1'!$E$2:$E$2604,""))</f>
        <v>PERALIHAN JUAL BELI</v>
      </c>
      <c r="H293" s="44" t="str">
        <f t="array" ref="H293">IF(B293="","",_xlfn.XLOOKUP(B293,'Form responses 1'!$B$2:$B$2604,'Form responses 1'!$F$2:$F$2604,""))</f>
        <v>M.5070/RAJABASA JAYA</v>
      </c>
      <c r="I293" s="44" t="str">
        <f t="array" ref="I293">IF(B293="","",_xlfn.XLOOKUP(B293,'Form responses 1'!$B$2:$B$2604,'Form responses 1'!$I$2:$I$2604,""))</f>
        <v>RAJABASA JAYA</v>
      </c>
      <c r="J293" s="44" t="str">
        <f t="array" ref="J293">IF(B293="","",_xlfn.XLOOKUP(B293,'Form responses 1'!$B$2:$B$2604,'Form responses 1'!$G$2:$G$2604,""))</f>
        <v>Baynur</v>
      </c>
      <c r="K293" s="41" t="s">
        <v>587</v>
      </c>
      <c r="L293" s="52">
        <f t="shared" si="7"/>
        <v>45589.72156</v>
      </c>
      <c r="M293" s="47" t="s">
        <v>470</v>
      </c>
      <c r="N293" s="47" t="s">
        <v>5265</v>
      </c>
      <c r="O293" s="49"/>
      <c r="P293" s="49"/>
      <c r="Q293" s="49"/>
      <c r="R293" s="49"/>
      <c r="S293" s="49"/>
      <c r="T293" s="49"/>
      <c r="U293" s="49"/>
      <c r="V293" s="49"/>
      <c r="W293" s="41" t="s">
        <v>618</v>
      </c>
      <c r="X293" s="46">
        <f t="shared" si="5"/>
        <v>45600.43289</v>
      </c>
      <c r="Y293" s="50" t="s">
        <v>482</v>
      </c>
      <c r="Z293" s="49">
        <f t="shared" si="6"/>
        <v>2</v>
      </c>
    </row>
    <row r="294" ht="22.5" customHeight="1">
      <c r="B294" s="41" t="s">
        <v>968</v>
      </c>
      <c r="C294" s="43">
        <f t="array" ref="C294">IF(B294="","",_xlfn.XLOOKUP(B294,'Form responses 1'!$B$2:$B$2604,'Form responses 1'!$A$2:$A$2604,""))</f>
        <v>45583.39714</v>
      </c>
      <c r="D294" s="44" t="str">
        <f t="shared" si="3"/>
        <v>L/57/181024/1_45583.3971379051</v>
      </c>
      <c r="E294" s="44" t="str">
        <f t="array" ref="E294">IF(B294="","",_xlfn.XLOOKUP(B294,'Form responses 1'!$B$2:$B$2604,'Form responses 1'!$C$2:$C$2604,""))</f>
        <v>MUJAMIL</v>
      </c>
      <c r="F294" s="44" t="str">
        <f t="array" ref="F294">IF(B294="","",_xlfn.XLOOKUP(B294,'Form responses 1'!$B$2:$B$2604,'Form responses 1'!$D$2:$D$2604,""))</f>
        <v>081272530866</v>
      </c>
      <c r="G294" s="44" t="str">
        <f t="array" ref="G294">IF(B294="","",_xlfn.XLOOKUP(B294,'Form responses 1'!$B$2:$B$2604,'Form responses 1'!$E$2:$E$2604,""))</f>
        <v>ROYA</v>
      </c>
      <c r="H294" s="44" t="str">
        <f t="array" ref="H294">IF(B294="","",_xlfn.XLOOKUP(B294,'Form responses 1'!$B$2:$B$2604,'Form responses 1'!$F$2:$F$2604,""))</f>
        <v>M.13833/RAJABASA</v>
      </c>
      <c r="I294" s="44" t="str">
        <f t="array" ref="I294">IF(B294="","",_xlfn.XLOOKUP(B294,'Form responses 1'!$B$2:$B$2604,'Form responses 1'!$I$2:$I$2604,""))</f>
        <v>RAJABASA</v>
      </c>
      <c r="J294" s="44" t="str">
        <f t="array" ref="J294">IF(B294="","",_xlfn.XLOOKUP(B294,'Form responses 1'!$B$2:$B$2604,'Form responses 1'!$G$2:$G$2604,""))</f>
        <v>Nuraini</v>
      </c>
      <c r="K294" s="41" t="s">
        <v>587</v>
      </c>
      <c r="L294" s="52">
        <f t="shared" si="7"/>
        <v>45589.72258</v>
      </c>
      <c r="M294" s="47" t="s">
        <v>5221</v>
      </c>
      <c r="N294" s="49"/>
      <c r="O294" s="49"/>
      <c r="P294" s="49"/>
      <c r="Q294" s="49"/>
      <c r="R294" s="49"/>
      <c r="S294" s="49"/>
      <c r="T294" s="49"/>
      <c r="U294" s="49"/>
      <c r="V294" s="49"/>
      <c r="W294" s="41" t="s">
        <v>618</v>
      </c>
      <c r="X294" s="46">
        <f t="shared" si="5"/>
        <v>45589.72268</v>
      </c>
      <c r="Y294" s="50" t="s">
        <v>482</v>
      </c>
      <c r="Z294" s="49">
        <f t="shared" si="6"/>
        <v>1</v>
      </c>
    </row>
    <row r="295" ht="22.5" customHeight="1">
      <c r="B295" s="41" t="s">
        <v>1911</v>
      </c>
      <c r="C295" s="43">
        <f t="array" ref="C295">IF(B295="","",_xlfn.XLOOKUP(B295,'Form responses 1'!$B$2:$B$2604,'Form responses 1'!$A$2:$A$2604,""))</f>
        <v>45589.43548</v>
      </c>
      <c r="D295" s="44" t="str">
        <f t="shared" si="3"/>
        <v>L/15/241024/1_45589.4354847685</v>
      </c>
      <c r="E295" s="44" t="str">
        <f t="array" ref="E295">IF(B295="","",_xlfn.XLOOKUP(B295,'Form responses 1'!$B$2:$B$2604,'Form responses 1'!$C$2:$C$2604,""))</f>
        <v>MARGARETA YULIANTI</v>
      </c>
      <c r="F295" s="44" t="str">
        <f t="array" ref="F295">IF(B295="","",_xlfn.XLOOKUP(B295,'Form responses 1'!$B$2:$B$2604,'Form responses 1'!$D$2:$D$2604,""))</f>
        <v>082377136096</v>
      </c>
      <c r="G295" s="44" t="str">
        <f t="array" ref="G295">IF(B295="","",_xlfn.XLOOKUP(B295,'Form responses 1'!$B$2:$B$2604,'Form responses 1'!$E$2:$E$2604,""))</f>
        <v>PTPGT</v>
      </c>
      <c r="H295" s="44" t="str">
        <f t="array" ref="H295">IF(B295="","",_xlfn.XLOOKUP(B295,'Form responses 1'!$B$2:$B$2604,'Form responses 1'!$F$2:$F$2604,""))</f>
        <v>HM 5933/WAY KANDIS</v>
      </c>
      <c r="I295" s="44" t="str">
        <f t="array" ref="I295">IF(B295="","",_xlfn.XLOOKUP(B295,'Form responses 1'!$B$2:$B$2604,'Form responses 1'!$I$2:$I$2604,""))</f>
        <v>WAY KANDIS</v>
      </c>
      <c r="J295" s="44" t="str">
        <f t="array" ref="J295">IF(B295="","",_xlfn.XLOOKUP(B295,'Form responses 1'!$B$2:$B$2604,'Form responses 1'!$G$2:$G$2604,""))</f>
        <v>Deby</v>
      </c>
      <c r="K295" s="41" t="s">
        <v>2421</v>
      </c>
      <c r="L295" s="52">
        <f t="shared" si="7"/>
        <v>45590.46993</v>
      </c>
      <c r="M295" s="49"/>
      <c r="N295" s="49"/>
      <c r="O295" s="49"/>
      <c r="P295" s="49"/>
      <c r="Q295" s="49"/>
      <c r="R295" s="49"/>
      <c r="S295" s="49"/>
      <c r="T295" s="49"/>
      <c r="U295" s="49"/>
      <c r="V295" s="49"/>
      <c r="W295" s="41" t="s">
        <v>618</v>
      </c>
      <c r="X295" s="46">
        <f t="shared" si="5"/>
        <v>45593.41193</v>
      </c>
      <c r="Y295" s="50" t="s">
        <v>482</v>
      </c>
      <c r="Z295" s="49">
        <f t="shared" si="6"/>
        <v>0</v>
      </c>
    </row>
    <row r="296" ht="22.5" customHeight="1">
      <c r="B296" s="41" t="s">
        <v>1973</v>
      </c>
      <c r="C296" s="43">
        <f t="array" ref="C296">IF(B296="","",_xlfn.XLOOKUP(B296,'Form responses 1'!$B$2:$B$2604,'Form responses 1'!$A$2:$A$2604,""))</f>
        <v>45589.49361</v>
      </c>
      <c r="D296" s="44" t="str">
        <f t="shared" si="3"/>
        <v>L/31/241024/1_45589.4936085648</v>
      </c>
      <c r="E296" s="44" t="str">
        <f t="array" ref="E296">IF(B296="","",_xlfn.XLOOKUP(B296,'Form responses 1'!$B$2:$B$2604,'Form responses 1'!$C$2:$C$2604,""))</f>
        <v>DADAG WIJANARKO</v>
      </c>
      <c r="F296" s="44" t="str">
        <f t="array" ref="F296">IF(B296="","",_xlfn.XLOOKUP(B296,'Form responses 1'!$B$2:$B$2604,'Form responses 1'!$D$2:$D$2604,""))</f>
        <v>082190470550</v>
      </c>
      <c r="G296" s="44" t="str">
        <f t="array" ref="G296">IF(B296="","",_xlfn.XLOOKUP(B296,'Form responses 1'!$B$2:$B$2604,'Form responses 1'!$E$2:$E$2604,""))</f>
        <v>PERUBAHAN HAK</v>
      </c>
      <c r="H296" s="44" t="str">
        <f t="array" ref="H296">IF(B296="","",_xlfn.XLOOKUP(B296,'Form responses 1'!$B$2:$B$2604,'Form responses 1'!$F$2:$F$2604,""))</f>
        <v>B.311/PEMATANG WANGI;B.546/TJ SENANG-DAHULU</v>
      </c>
      <c r="I296" s="44" t="str">
        <f t="array" ref="I296">IF(B296="","",_xlfn.XLOOKUP(B296,'Form responses 1'!$B$2:$B$2604,'Form responses 1'!$I$2:$I$2604,""))</f>
        <v>PEMATANG WANGI</v>
      </c>
      <c r="J296" s="44" t="str">
        <f t="array" ref="J296">IF(B296="","",_xlfn.XLOOKUP(B296,'Form responses 1'!$B$2:$B$2604,'Form responses 1'!$G$2:$G$2604,""))</f>
        <v>Nuraini</v>
      </c>
      <c r="K296" s="41" t="s">
        <v>2421</v>
      </c>
      <c r="L296" s="52">
        <f t="shared" si="7"/>
        <v>45590.46995</v>
      </c>
      <c r="M296" s="49"/>
      <c r="N296" s="49"/>
      <c r="O296" s="49"/>
      <c r="P296" s="49"/>
      <c r="Q296" s="49"/>
      <c r="R296" s="49"/>
      <c r="S296" s="49"/>
      <c r="T296" s="49"/>
      <c r="U296" s="49"/>
      <c r="V296" s="49"/>
      <c r="W296" s="41" t="s">
        <v>618</v>
      </c>
      <c r="X296" s="46">
        <f t="shared" si="5"/>
        <v>45594.65738</v>
      </c>
      <c r="Y296" s="50" t="s">
        <v>482</v>
      </c>
      <c r="Z296" s="49">
        <f t="shared" si="6"/>
        <v>0</v>
      </c>
    </row>
    <row r="297" ht="22.5" customHeight="1">
      <c r="B297" s="41" t="s">
        <v>1965</v>
      </c>
      <c r="C297" s="43">
        <f t="array" ref="C297">IF(B297="","",_xlfn.XLOOKUP(B297,'Form responses 1'!$B$2:$B$2604,'Form responses 1'!$A$2:$A$2604,""))</f>
        <v>45589.49144</v>
      </c>
      <c r="D297" s="44" t="str">
        <f t="shared" si="3"/>
        <v>K/28/241024/1_45589.4914375463</v>
      </c>
      <c r="E297" s="44" t="str">
        <f t="array" ref="E297">IF(B297="","",_xlfn.XLOOKUP(B297,'Form responses 1'!$B$2:$B$2604,'Form responses 1'!$C$2:$C$2604,""))</f>
        <v>M. Meinazir/ Yayah Cs</v>
      </c>
      <c r="F297" s="44" t="str">
        <f t="array" ref="F297">IF(B297="","",_xlfn.XLOOKUP(B297,'Form responses 1'!$B$2:$B$2604,'Form responses 1'!$D$2:$D$2604,""))</f>
        <v>+62 852-6792-2307</v>
      </c>
      <c r="G297" s="44" t="str">
        <f t="array" ref="G297">IF(B297="","",_xlfn.XLOOKUP(B297,'Form responses 1'!$B$2:$B$2604,'Form responses 1'!$E$2:$E$2604,""))</f>
        <v>Pemecahan</v>
      </c>
      <c r="H297" s="44" t="str">
        <f t="array" ref="H297">IF(B297="","",_xlfn.XLOOKUP(B297,'Form responses 1'!$B$2:$B$2604,'Form responses 1'!$F$2:$F$2604,""))</f>
        <v>Nibel. M. 2140/ Kupang Raya</v>
      </c>
      <c r="I297" s="44" t="str">
        <f t="array" ref="I297">IF(B297="","",_xlfn.XLOOKUP(B297,'Form responses 1'!$B$2:$B$2604,'Form responses 1'!$I$2:$I$2604,""))</f>
        <v>Kupang Raya</v>
      </c>
      <c r="J297" s="44" t="str">
        <f t="array" ref="J297">IF(B297="","",_xlfn.XLOOKUP(B297,'Form responses 1'!$B$2:$B$2604,'Form responses 1'!$G$2:$G$2604,""))</f>
        <v>Rapita</v>
      </c>
      <c r="K297" s="41" t="s">
        <v>2421</v>
      </c>
      <c r="L297" s="52">
        <f t="shared" si="7"/>
        <v>45590.46997</v>
      </c>
      <c r="M297" s="49"/>
      <c r="N297" s="49"/>
      <c r="O297" s="49"/>
      <c r="P297" s="49"/>
      <c r="Q297" s="49"/>
      <c r="R297" s="49"/>
      <c r="S297" s="49"/>
      <c r="T297" s="49"/>
      <c r="U297" s="49"/>
      <c r="V297" s="49"/>
      <c r="W297" s="41" t="s">
        <v>618</v>
      </c>
      <c r="X297" s="46">
        <f t="shared" si="5"/>
        <v>45595.37673</v>
      </c>
      <c r="Y297" s="50" t="s">
        <v>482</v>
      </c>
      <c r="Z297" s="49">
        <f t="shared" si="6"/>
        <v>0</v>
      </c>
    </row>
    <row r="298" ht="22.5" customHeight="1">
      <c r="B298" s="41" t="s">
        <v>1881</v>
      </c>
      <c r="C298" s="43">
        <f t="array" ref="C298">IF(B298="","",_xlfn.XLOOKUP(B298,'Form responses 1'!$B$2:$B$2604,'Form responses 1'!$A$2:$A$2604,""))</f>
        <v>45589.39145</v>
      </c>
      <c r="D298" s="44" t="str">
        <f t="shared" si="3"/>
        <v>K/7/241024/1_45589.3914528588</v>
      </c>
      <c r="E298" s="44" t="str">
        <f t="array" ref="E298">IF(B298="","",_xlfn.XLOOKUP(B298,'Form responses 1'!$B$2:$B$2604,'Form responses 1'!$C$2:$C$2604,""))</f>
        <v>FRANYCO HENDRI F.S/MONICA </v>
      </c>
      <c r="F298" s="44" t="str">
        <f t="array" ref="F298">IF(B298="","",_xlfn.XLOOKUP(B298,'Form responses 1'!$B$2:$B$2604,'Form responses 1'!$D$2:$D$2604,""))</f>
        <v>082281914856</v>
      </c>
      <c r="G298" s="44" t="str">
        <f t="array" ref="G298">IF(B298="","",_xlfn.XLOOKUP(B298,'Form responses 1'!$B$2:$B$2604,'Form responses 1'!$E$2:$E$2604,""))</f>
        <v>ROYA</v>
      </c>
      <c r="H298" s="44" t="str">
        <f t="array" ref="H298">IF(B298="","",_xlfn.XLOOKUP(B298,'Form responses 1'!$B$2:$B$2604,'Form responses 1'!$F$2:$F$2604,""))</f>
        <v>M.1116/LABUHAN RATU RAYA</v>
      </c>
      <c r="I298" s="44" t="str">
        <f t="array" ref="I298">IF(B298="","",_xlfn.XLOOKUP(B298,'Form responses 1'!$B$2:$B$2604,'Form responses 1'!$I$2:$I$2604,""))</f>
        <v>LABUHAN RATU RAYA</v>
      </c>
      <c r="J298" s="44" t="str">
        <f t="array" ref="J298">IF(B298="","",_xlfn.XLOOKUP(B298,'Form responses 1'!$B$2:$B$2604,'Form responses 1'!$G$2:$G$2604,""))</f>
        <v>Baynur</v>
      </c>
      <c r="K298" s="41" t="s">
        <v>2421</v>
      </c>
      <c r="L298" s="52">
        <f t="shared" si="7"/>
        <v>45590.46999</v>
      </c>
      <c r="M298" s="49"/>
      <c r="N298" s="49"/>
      <c r="O298" s="49"/>
      <c r="P298" s="49"/>
      <c r="Q298" s="49"/>
      <c r="R298" s="49"/>
      <c r="S298" s="49"/>
      <c r="T298" s="49"/>
      <c r="U298" s="49"/>
      <c r="V298" s="49"/>
      <c r="W298" s="41" t="s">
        <v>618</v>
      </c>
      <c r="X298" s="46">
        <f t="shared" si="5"/>
        <v>45595.38025</v>
      </c>
      <c r="Y298" s="50" t="s">
        <v>482</v>
      </c>
      <c r="Z298" s="49">
        <f t="shared" si="6"/>
        <v>0</v>
      </c>
    </row>
    <row r="299" ht="22.5" customHeight="1">
      <c r="B299" s="41" t="s">
        <v>1895</v>
      </c>
      <c r="C299" s="43">
        <f t="array" ref="C299">IF(B299="","",_xlfn.XLOOKUP(B299,'Form responses 1'!$B$2:$B$2604,'Form responses 1'!$A$2:$A$2604,""))</f>
        <v>45589.41578</v>
      </c>
      <c r="D299" s="44" t="str">
        <f t="shared" si="3"/>
        <v>K/12/241024/1_45589.4157760648</v>
      </c>
      <c r="E299" s="44" t="str">
        <f t="array" ref="E299">IF(B299="","",_xlfn.XLOOKUP(B299,'Form responses 1'!$B$2:$B$2604,'Form responses 1'!$C$2:$C$2604,""))</f>
        <v>Herlina Ratna SN/ Siti Ayu KS</v>
      </c>
      <c r="F299" s="44" t="str">
        <f t="array" ref="F299">IF(B299="","",_xlfn.XLOOKUP(B299,'Form responses 1'!$B$2:$B$2604,'Form responses 1'!$D$2:$D$2604,""))</f>
        <v>+62 813-6907-0444</v>
      </c>
      <c r="G299" s="44" t="str">
        <f t="array" ref="G299">IF(B299="","",_xlfn.XLOOKUP(B299,'Form responses 1'!$B$2:$B$2604,'Form responses 1'!$E$2:$E$2604,""))</f>
        <v>BN Jual Beli</v>
      </c>
      <c r="H299" s="44" t="str">
        <f t="array" ref="H299">IF(B299="","",_xlfn.XLOOKUP(B299,'Form responses 1'!$B$2:$B$2604,'Form responses 1'!$F$2:$F$2604,""))</f>
        <v>M. 1651/ Sukarame II</v>
      </c>
      <c r="I299" s="44" t="str">
        <f t="array" ref="I299">IF(B299="","",_xlfn.XLOOKUP(B299,'Form responses 1'!$B$2:$B$2604,'Form responses 1'!$I$2:$I$2604,""))</f>
        <v>Sukarame II</v>
      </c>
      <c r="J299" s="44" t="str">
        <f t="array" ref="J299">IF(B299="","",_xlfn.XLOOKUP(B299,'Form responses 1'!$B$2:$B$2604,'Form responses 1'!$G$2:$G$2604,""))</f>
        <v>Rapita</v>
      </c>
      <c r="K299" s="41" t="s">
        <v>2421</v>
      </c>
      <c r="L299" s="52">
        <f t="shared" si="7"/>
        <v>45590.47001</v>
      </c>
      <c r="M299" s="47" t="s">
        <v>5386</v>
      </c>
      <c r="N299" s="47" t="s">
        <v>5387</v>
      </c>
      <c r="O299" s="49"/>
      <c r="P299" s="49"/>
      <c r="Q299" s="49"/>
      <c r="R299" s="49"/>
      <c r="S299" s="49"/>
      <c r="T299" s="49"/>
      <c r="U299" s="49"/>
      <c r="V299" s="49"/>
      <c r="W299" s="41" t="s">
        <v>470</v>
      </c>
      <c r="X299" s="46">
        <f t="shared" si="5"/>
        <v>45608.5657</v>
      </c>
      <c r="Y299" s="50" t="s">
        <v>482</v>
      </c>
      <c r="Z299" s="49">
        <f t="shared" si="6"/>
        <v>2</v>
      </c>
    </row>
    <row r="300" ht="22.5" customHeight="1">
      <c r="B300" s="41" t="s">
        <v>1892</v>
      </c>
      <c r="C300" s="43">
        <f t="array" ref="C300">IF(B300="","",_xlfn.XLOOKUP(B300,'Form responses 1'!$B$2:$B$2604,'Form responses 1'!$A$2:$A$2604,""))</f>
        <v>45589.40899</v>
      </c>
      <c r="D300" s="44" t="str">
        <f t="shared" si="3"/>
        <v>K/10/241024/1_45589.4089852894</v>
      </c>
      <c r="E300" s="44" t="str">
        <f t="array" ref="E300">IF(B300="","",_xlfn.XLOOKUP(B300,'Form responses 1'!$B$2:$B$2604,'Form responses 1'!$C$2:$C$2604,""))</f>
        <v>NOVALIA ISABELA/PANARY SITOPU</v>
      </c>
      <c r="F300" s="44" t="str">
        <f t="array" ref="F300">IF(B300="","",_xlfn.XLOOKUP(B300,'Form responses 1'!$B$2:$B$2604,'Form responses 1'!$D$2:$D$2604,""))</f>
        <v>0889-2977-399</v>
      </c>
      <c r="G300" s="44" t="str">
        <f t="array" ref="G300">IF(B300="","",_xlfn.XLOOKUP(B300,'Form responses 1'!$B$2:$B$2604,'Form responses 1'!$E$2:$E$2604,""))</f>
        <v>BN JUAL BELI</v>
      </c>
      <c r="H300" s="44" t="str">
        <f t="array" ref="H300">IF(B300="","",_xlfn.XLOOKUP(B300,'Form responses 1'!$B$2:$B$2604,'Form responses 1'!$F$2:$F$2604,""))</f>
        <v>NIBEL M. 2525/WAY HALIM PERMAI</v>
      </c>
      <c r="I300" s="44" t="str">
        <f t="array" ref="I300">IF(B300="","",_xlfn.XLOOKUP(B300,'Form responses 1'!$B$2:$B$2604,'Form responses 1'!$I$2:$I$2604,""))</f>
        <v>WAY HALIM PERMAI</v>
      </c>
      <c r="J300" s="44" t="str">
        <f t="array" ref="J300">IF(B300="","",_xlfn.XLOOKUP(B300,'Form responses 1'!$B$2:$B$2604,'Form responses 1'!$G$2:$G$2604,""))</f>
        <v>Baynur</v>
      </c>
      <c r="K300" s="41" t="s">
        <v>2421</v>
      </c>
      <c r="L300" s="52">
        <f t="shared" si="7"/>
        <v>45590.47003</v>
      </c>
      <c r="M300" s="49"/>
      <c r="N300" s="49"/>
      <c r="O300" s="49"/>
      <c r="P300" s="49"/>
      <c r="Q300" s="49"/>
      <c r="R300" s="49"/>
      <c r="S300" s="49"/>
      <c r="T300" s="49"/>
      <c r="U300" s="49"/>
      <c r="V300" s="49"/>
      <c r="W300" s="41" t="s">
        <v>618</v>
      </c>
      <c r="X300" s="46">
        <f t="shared" si="5"/>
        <v>45597.50059</v>
      </c>
      <c r="Y300" s="50" t="s">
        <v>482</v>
      </c>
      <c r="Z300" s="49">
        <f t="shared" si="6"/>
        <v>0</v>
      </c>
    </row>
    <row r="301" ht="22.5" customHeight="1">
      <c r="B301" s="41" t="s">
        <v>2050</v>
      </c>
      <c r="C301" s="43">
        <f t="array" ref="C301">IF(B301="","",_xlfn.XLOOKUP(B301,'Form responses 1'!$B$2:$B$2604,'Form responses 1'!$A$2:$A$2604,""))</f>
        <v>45589.62076</v>
      </c>
      <c r="D301" s="44" t="str">
        <f t="shared" si="3"/>
        <v>K/47/241024/1_45589.6207580324</v>
      </c>
      <c r="E301" s="44" t="str">
        <f t="array" ref="E301">IF(B301="","",_xlfn.XLOOKUP(B301,'Form responses 1'!$B$2:$B$2604,'Form responses 1'!$C$2:$C$2604,""))</f>
        <v>Nanik M/ Barabas</v>
      </c>
      <c r="F301" s="44" t="str">
        <f t="array" ref="F301">IF(B301="","",_xlfn.XLOOKUP(B301,'Form responses 1'!$B$2:$B$2604,'Form responses 1'!$D$2:$D$2604,""))</f>
        <v>083178501348</v>
      </c>
      <c r="G301" s="44" t="str">
        <f t="array" ref="G301">IF(B301="","",_xlfn.XLOOKUP(B301,'Form responses 1'!$B$2:$B$2604,'Form responses 1'!$E$2:$E$2604,""))</f>
        <v>BN Jual Beli</v>
      </c>
      <c r="H301" s="44" t="str">
        <f t="array" ref="H301">IF(B301="","",_xlfn.XLOOKUP(B301,'Form responses 1'!$B$2:$B$2604,'Form responses 1'!$F$2:$F$2604,""))</f>
        <v>M. 308/ Kupang Kota</v>
      </c>
      <c r="I301" s="44" t="str">
        <f t="array" ref="I301">IF(B301="","",_xlfn.XLOOKUP(B301,'Form responses 1'!$B$2:$B$2604,'Form responses 1'!$I$2:$I$2604,""))</f>
        <v>Kupang Kota</v>
      </c>
      <c r="J301" s="44" t="str">
        <f t="array" ref="J301">IF(B301="","",_xlfn.XLOOKUP(B301,'Form responses 1'!$B$2:$B$2604,'Form responses 1'!$G$2:$G$2604,""))</f>
        <v>Hananda</v>
      </c>
      <c r="K301" s="41" t="s">
        <v>2421</v>
      </c>
      <c r="L301" s="52">
        <f t="shared" si="7"/>
        <v>45590.47006</v>
      </c>
      <c r="M301" s="49"/>
      <c r="N301" s="49"/>
      <c r="O301" s="49"/>
      <c r="P301" s="49"/>
      <c r="Q301" s="49"/>
      <c r="R301" s="49"/>
      <c r="S301" s="49"/>
      <c r="T301" s="49"/>
      <c r="U301" s="49"/>
      <c r="V301" s="49"/>
      <c r="W301" s="41" t="s">
        <v>618</v>
      </c>
      <c r="X301" s="46">
        <f t="shared" si="5"/>
        <v>45597.4837</v>
      </c>
      <c r="Y301" s="50" t="s">
        <v>482</v>
      </c>
      <c r="Z301" s="49">
        <f t="shared" si="6"/>
        <v>0</v>
      </c>
    </row>
    <row r="302" ht="22.5" customHeight="1">
      <c r="B302" s="41" t="s">
        <v>1954</v>
      </c>
      <c r="C302" s="43">
        <f t="array" ref="C302">IF(B302="","",_xlfn.XLOOKUP(B302,'Form responses 1'!$B$2:$B$2604,'Form responses 1'!$A$2:$A$2604,""))</f>
        <v>45589.48098</v>
      </c>
      <c r="D302" s="44" t="str">
        <f t="shared" si="3"/>
        <v>K/25/241024/2_45589.4809813889</v>
      </c>
      <c r="E302" s="44" t="str">
        <f t="array" ref="E302">IF(B302="","",_xlfn.XLOOKUP(B302,'Form responses 1'!$B$2:$B$2604,'Form responses 1'!$C$2:$C$2604,""))</f>
        <v>FEBRIANSYAH/ENDANG APRILIA</v>
      </c>
      <c r="F302" s="44" t="str">
        <f t="array" ref="F302">IF(B302="","",_xlfn.XLOOKUP(B302,'Form responses 1'!$B$2:$B$2604,'Form responses 1'!$D$2:$D$2604,""))</f>
        <v>0822-8923-5722</v>
      </c>
      <c r="G302" s="44" t="str">
        <f t="array" ref="G302">IF(B302="","",_xlfn.XLOOKUP(B302,'Form responses 1'!$B$2:$B$2604,'Form responses 1'!$E$2:$E$2604,""))</f>
        <v>BN JUAL BELI</v>
      </c>
      <c r="H302" s="44" t="str">
        <f t="array" ref="H302">IF(B302="","",_xlfn.XLOOKUP(B302,'Form responses 1'!$B$2:$B$2604,'Form responses 1'!$F$2:$F$2604,""))</f>
        <v>B.627/KEMILING PERMAI</v>
      </c>
      <c r="I302" s="44" t="str">
        <f t="array" ref="I302">IF(B302="","",_xlfn.XLOOKUP(B302,'Form responses 1'!$B$2:$B$2604,'Form responses 1'!$I$2:$I$2604,""))</f>
        <v>KEMILING PERMAI</v>
      </c>
      <c r="J302" s="44" t="str">
        <f t="array" ref="J302">IF(B302="","",_xlfn.XLOOKUP(B302,'Form responses 1'!$B$2:$B$2604,'Form responses 1'!$G$2:$G$2604,""))</f>
        <v>Baynur</v>
      </c>
      <c r="K302" s="41" t="s">
        <v>2421</v>
      </c>
      <c r="L302" s="52">
        <f t="shared" si="7"/>
        <v>45590.47008</v>
      </c>
      <c r="M302" s="49"/>
      <c r="N302" s="49"/>
      <c r="O302" s="49"/>
      <c r="P302" s="49"/>
      <c r="Q302" s="49"/>
      <c r="R302" s="49"/>
      <c r="S302" s="49"/>
      <c r="T302" s="49"/>
      <c r="U302" s="49"/>
      <c r="V302" s="49"/>
      <c r="W302" s="41" t="s">
        <v>618</v>
      </c>
      <c r="X302" s="46">
        <f t="shared" si="5"/>
        <v>45597.47453</v>
      </c>
      <c r="Y302" s="50" t="s">
        <v>482</v>
      </c>
      <c r="Z302" s="49">
        <f t="shared" si="6"/>
        <v>0</v>
      </c>
    </row>
    <row r="303" ht="22.5" customHeight="1">
      <c r="B303" s="41" t="s">
        <v>1858</v>
      </c>
      <c r="C303" s="43">
        <f t="array" ref="C303">IF(B303="","",_xlfn.XLOOKUP(B303,'Form responses 1'!$B$2:$B$2604,'Form responses 1'!$A$2:$A$2604,""))</f>
        <v>45589.3768</v>
      </c>
      <c r="D303" s="44" t="str">
        <f t="shared" si="3"/>
        <v>K/1/241024/1_45589.3767973727</v>
      </c>
      <c r="E303" s="44" t="str">
        <f t="array" ref="E303">IF(B303="","",_xlfn.XLOOKUP(B303,'Form responses 1'!$B$2:$B$2604,'Form responses 1'!$C$2:$C$2604,""))</f>
        <v>RIO VALUVI/IG YOGA ADI N</v>
      </c>
      <c r="F303" s="44" t="str">
        <f t="array" ref="F303">IF(B303="","",_xlfn.XLOOKUP(B303,'Form responses 1'!$B$2:$B$2604,'Form responses 1'!$D$2:$D$2604,""))</f>
        <v>0812-7927-3921</v>
      </c>
      <c r="G303" s="44" t="str">
        <f t="array" ref="G303">IF(B303="","",_xlfn.XLOOKUP(B303,'Form responses 1'!$B$2:$B$2604,'Form responses 1'!$E$2:$E$2604,""))</f>
        <v>BN JUAL BELI</v>
      </c>
      <c r="H303" s="44" t="str">
        <f t="array" ref="H303">IF(B303="","",_xlfn.XLOOKUP(B303,'Form responses 1'!$B$2:$B$2604,'Form responses 1'!$F$2:$F$2604,""))</f>
        <v>M.2632/SUMBER AGUNG</v>
      </c>
      <c r="I303" s="44" t="str">
        <f t="array" ref="I303">IF(B303="","",_xlfn.XLOOKUP(B303,'Form responses 1'!$B$2:$B$2604,'Form responses 1'!$I$2:$I$2604,""))</f>
        <v>SUMBER AGUNG</v>
      </c>
      <c r="J303" s="44" t="str">
        <f t="array" ref="J303">IF(B303="","",_xlfn.XLOOKUP(B303,'Form responses 1'!$B$2:$B$2604,'Form responses 1'!$G$2:$G$2604,""))</f>
        <v>Baynur</v>
      </c>
      <c r="K303" s="41" t="s">
        <v>2421</v>
      </c>
      <c r="L303" s="52">
        <f t="shared" si="7"/>
        <v>45590.4701</v>
      </c>
      <c r="M303" s="49"/>
      <c r="N303" s="49"/>
      <c r="O303" s="49"/>
      <c r="P303" s="49"/>
      <c r="Q303" s="49"/>
      <c r="R303" s="49"/>
      <c r="S303" s="49"/>
      <c r="T303" s="49"/>
      <c r="U303" s="49"/>
      <c r="V303" s="49"/>
      <c r="W303" s="41" t="s">
        <v>618</v>
      </c>
      <c r="X303" s="46">
        <f t="shared" si="5"/>
        <v>45600.6614</v>
      </c>
      <c r="Y303" s="50" t="s">
        <v>482</v>
      </c>
      <c r="Z303" s="49">
        <f t="shared" si="6"/>
        <v>0</v>
      </c>
    </row>
    <row r="304" ht="22.5" customHeight="1">
      <c r="B304" s="41" t="s">
        <v>2024</v>
      </c>
      <c r="C304" s="43">
        <f t="array" ref="C304">IF(B304="","",_xlfn.XLOOKUP(B304,'Form responses 1'!$B$2:$B$2604,'Form responses 1'!$A$2:$A$2604,""))</f>
        <v>45589.60344</v>
      </c>
      <c r="D304" s="44" t="str">
        <f t="shared" si="3"/>
        <v>K/41/241024/1_45589.6034404167</v>
      </c>
      <c r="E304" s="44" t="str">
        <f t="array" ref="E304">IF(B304="","",_xlfn.XLOOKUP(B304,'Form responses 1'!$B$2:$B$2604,'Form responses 1'!$C$2:$C$2604,""))</f>
        <v>Budi K/ boby Ronaldo</v>
      </c>
      <c r="F304" s="44" t="str">
        <f t="array" ref="F304">IF(B304="","",_xlfn.XLOOKUP(B304,'Form responses 1'!$B$2:$B$2604,'Form responses 1'!$D$2:$D$2604,""))</f>
        <v>082183123047</v>
      </c>
      <c r="G304" s="44" t="str">
        <f t="array" ref="G304">IF(B304="","",_xlfn.XLOOKUP(B304,'Form responses 1'!$B$2:$B$2604,'Form responses 1'!$E$2:$E$2604,""))</f>
        <v>BN Waris</v>
      </c>
      <c r="H304" s="44" t="str">
        <f t="array" ref="H304">IF(B304="","",_xlfn.XLOOKUP(B304,'Form responses 1'!$B$2:$B$2604,'Form responses 1'!$F$2:$F$2604,""))</f>
        <v>HMASRS/64/I/MASRS/Tanjung karang</v>
      </c>
      <c r="I304" s="44" t="str">
        <f t="array" ref="I304">IF(B304="","",_xlfn.XLOOKUP(B304,'Form responses 1'!$B$2:$B$2604,'Form responses 1'!$I$2:$I$2604,""))</f>
        <v>Tanjung karang</v>
      </c>
      <c r="J304" s="44" t="str">
        <f t="array" ref="J304">IF(B304="","",_xlfn.XLOOKUP(B304,'Form responses 1'!$B$2:$B$2604,'Form responses 1'!$G$2:$G$2604,""))</f>
        <v>Hananda</v>
      </c>
      <c r="K304" s="41" t="s">
        <v>2421</v>
      </c>
      <c r="L304" s="52">
        <f t="shared" si="7"/>
        <v>45590.47012</v>
      </c>
      <c r="M304" s="47" t="s">
        <v>5388</v>
      </c>
      <c r="N304" s="47" t="s">
        <v>5389</v>
      </c>
      <c r="O304" s="49"/>
      <c r="P304" s="49"/>
      <c r="Q304" s="49"/>
      <c r="R304" s="49"/>
      <c r="S304" s="49"/>
      <c r="T304" s="49"/>
      <c r="U304" s="49"/>
      <c r="V304" s="49"/>
      <c r="W304" s="41" t="s">
        <v>618</v>
      </c>
      <c r="X304" s="46">
        <f t="shared" si="5"/>
        <v>45601.64446</v>
      </c>
      <c r="Y304" s="50" t="s">
        <v>482</v>
      </c>
      <c r="Z304" s="49">
        <f t="shared" si="6"/>
        <v>2</v>
      </c>
    </row>
    <row r="305" ht="22.5" customHeight="1">
      <c r="B305" s="41" t="s">
        <v>1356</v>
      </c>
      <c r="C305" s="43">
        <f t="array" ref="C305">IF(B305="","",_xlfn.XLOOKUP(B305,'Form responses 1'!$B$2:$B$2604,'Form responses 1'!$A$2:$A$2604,""))</f>
        <v>45586.60514</v>
      </c>
      <c r="D305" s="44" t="str">
        <f t="shared" si="3"/>
        <v>K/44/211024/1_45586.6051419792</v>
      </c>
      <c r="E305" s="44" t="str">
        <f t="array" ref="E305">IF(B305="","",_xlfn.XLOOKUP(B305,'Form responses 1'!$B$2:$B$2604,'Form responses 1'!$C$2:$C$2604,""))</f>
        <v>nuryati/ Ridho Saputra</v>
      </c>
      <c r="F305" s="44" t="str">
        <f t="array" ref="F305">IF(B305="","",_xlfn.XLOOKUP(B305,'Form responses 1'!$B$2:$B$2604,'Form responses 1'!$D$2:$D$2604,""))</f>
        <v>08151674299</v>
      </c>
      <c r="G305" s="44" t="str">
        <f t="array" ref="G305">IF(B305="","",_xlfn.XLOOKUP(B305,'Form responses 1'!$B$2:$B$2604,'Form responses 1'!$E$2:$E$2604,""))</f>
        <v>BN Jual Beli</v>
      </c>
      <c r="H305" s="44" t="str">
        <f t="array" ref="H305">IF(B305="","",_xlfn.XLOOKUP(B305,'Form responses 1'!$B$2:$B$2604,'Form responses 1'!$F$2:$F$2604,""))</f>
        <v>M. 19255/ Sukarame</v>
      </c>
      <c r="I305" s="44" t="str">
        <f t="array" ref="I305">IF(B305="","",_xlfn.XLOOKUP(B305,'Form responses 1'!$B$2:$B$2604,'Form responses 1'!$I$2:$I$2604,""))</f>
        <v>Sukarame</v>
      </c>
      <c r="J305" s="44" t="str">
        <f t="array" ref="J305">IF(B305="","",_xlfn.XLOOKUP(B305,'Form responses 1'!$B$2:$B$2604,'Form responses 1'!$G$2:$G$2604,""))</f>
        <v>Hananda</v>
      </c>
      <c r="K305" s="41" t="s">
        <v>5390</v>
      </c>
      <c r="L305" s="52">
        <f t="shared" si="7"/>
        <v>45590.53348</v>
      </c>
      <c r="M305" s="49"/>
      <c r="N305" s="49"/>
      <c r="O305" s="49"/>
      <c r="P305" s="49"/>
      <c r="Q305" s="49"/>
      <c r="R305" s="49"/>
      <c r="S305" s="49"/>
      <c r="T305" s="49"/>
      <c r="U305" s="49"/>
      <c r="V305" s="49"/>
      <c r="W305" s="41" t="s">
        <v>618</v>
      </c>
      <c r="X305" s="46">
        <f t="shared" si="5"/>
        <v>45590.53369</v>
      </c>
      <c r="Y305" s="50" t="s">
        <v>482</v>
      </c>
      <c r="Z305" s="49">
        <f t="shared" si="6"/>
        <v>0</v>
      </c>
    </row>
    <row r="306" ht="22.5" customHeight="1">
      <c r="B306" s="41" t="s">
        <v>1177</v>
      </c>
      <c r="C306" s="43">
        <f t="array" ref="C306">IF(B306="","",_xlfn.XLOOKUP(B306,'Form responses 1'!$B$2:$B$2604,'Form responses 1'!$A$2:$A$2604,""))</f>
        <v>45583.63186</v>
      </c>
      <c r="D306" s="44" t="str">
        <f t="shared" si="3"/>
        <v>K/49/181024/4_45583.6318596528</v>
      </c>
      <c r="E306" s="44" t="str">
        <f t="array" ref="E306">IF(B306="","",_xlfn.XLOOKUP(B306,'Form responses 1'!$B$2:$B$2604,'Form responses 1'!$C$2:$C$2604,""))</f>
        <v>ARLIZA RESYAD/ANNA PURNAMASARI</v>
      </c>
      <c r="F306" s="44" t="str">
        <f t="array" ref="F306">IF(B306="","",_xlfn.XLOOKUP(B306,'Form responses 1'!$B$2:$B$2604,'Form responses 1'!$D$2:$D$2604,""))</f>
        <v>0811-7211-611</v>
      </c>
      <c r="G306" s="44" t="str">
        <f t="array" ref="G306">IF(B306="","",_xlfn.XLOOKUP(B306,'Form responses 1'!$B$2:$B$2604,'Form responses 1'!$E$2:$E$2604,""))</f>
        <v>PERALIHAN HAK</v>
      </c>
      <c r="H306" s="44" t="str">
        <f t="array" ref="H306">IF(B306="","",_xlfn.XLOOKUP(B306,'Form responses 1'!$B$2:$B$2604,'Form responses 1'!$F$2:$F$2604,""))</f>
        <v>M.2892/SUKARAME BARU-SEKARANG;B.3671/SUKARAME I-DAHULU</v>
      </c>
      <c r="I306" s="44" t="str">
        <f t="array" ref="I306">IF(B306="","",_xlfn.XLOOKUP(B306,'Form responses 1'!$B$2:$B$2604,'Form responses 1'!$I$2:$I$2604,""))</f>
        <v>SUKAARME</v>
      </c>
      <c r="J306" s="44" t="str">
        <f t="array" ref="J306">IF(B306="","",_xlfn.XLOOKUP(B306,'Form responses 1'!$B$2:$B$2604,'Form responses 1'!$G$2:$G$2604,""))</f>
        <v>Baynur</v>
      </c>
      <c r="K306" s="41" t="s">
        <v>5390</v>
      </c>
      <c r="L306" s="52">
        <f t="shared" si="7"/>
        <v>45590.53439</v>
      </c>
      <c r="M306" s="49"/>
      <c r="N306" s="49"/>
      <c r="O306" s="49"/>
      <c r="P306" s="49"/>
      <c r="Q306" s="49"/>
      <c r="R306" s="49"/>
      <c r="S306" s="49"/>
      <c r="T306" s="49"/>
      <c r="U306" s="49"/>
      <c r="V306" s="49"/>
      <c r="W306" s="41" t="s">
        <v>618</v>
      </c>
      <c r="X306" s="46">
        <f t="shared" si="5"/>
        <v>45590.53448</v>
      </c>
      <c r="Y306" s="50" t="s">
        <v>482</v>
      </c>
      <c r="Z306" s="49">
        <f t="shared" si="6"/>
        <v>0</v>
      </c>
    </row>
    <row r="307" ht="22.5" customHeight="1">
      <c r="B307" s="41" t="s">
        <v>1390</v>
      </c>
      <c r="C307" s="43">
        <f t="array" ref="C307">IF(B307="","",_xlfn.XLOOKUP(B307,'Form responses 1'!$B$2:$B$2604,'Form responses 1'!$A$2:$A$2604,""))</f>
        <v>45586.64783</v>
      </c>
      <c r="D307" s="44" t="str">
        <f t="shared" si="3"/>
        <v>K/53/211024/1_45586.6478306945</v>
      </c>
      <c r="E307" s="44" t="str">
        <f t="array" ref="E307">IF(B307="","",_xlfn.XLOOKUP(B307,'Form responses 1'!$B$2:$B$2604,'Form responses 1'!$C$2:$C$2604,""))</f>
        <v>Rendy Renaldy/ Hairiwi U</v>
      </c>
      <c r="F307" s="44" t="str">
        <f t="array" ref="F307">IF(B307="","",_xlfn.XLOOKUP(B307,'Form responses 1'!$B$2:$B$2604,'Form responses 1'!$D$2:$D$2604,""))</f>
        <v>089508956656</v>
      </c>
      <c r="G307" s="44" t="str">
        <f t="array" ref="G307">IF(B307="","",_xlfn.XLOOKUP(B307,'Form responses 1'!$B$2:$B$2604,'Form responses 1'!$E$2:$E$2604,""))</f>
        <v>BN Jual Beli</v>
      </c>
      <c r="H307" s="44" t="str">
        <f t="array" ref="H307">IF(B307="","",_xlfn.XLOOKUP(B307,'Form responses 1'!$B$2:$B$2604,'Form responses 1'!$F$2:$F$2604,""))</f>
        <v>M. 666/ Beringin Jaya</v>
      </c>
      <c r="I307" s="44" t="str">
        <f t="array" ref="I307">IF(B307="","",_xlfn.XLOOKUP(B307,'Form responses 1'!$B$2:$B$2604,'Form responses 1'!$I$2:$I$2604,""))</f>
        <v>Beringin Jaya</v>
      </c>
      <c r="J307" s="44" t="str">
        <f t="array" ref="J307">IF(B307="","",_xlfn.XLOOKUP(B307,'Form responses 1'!$B$2:$B$2604,'Form responses 1'!$G$2:$G$2604,""))</f>
        <v>Rapita</v>
      </c>
      <c r="K307" s="41" t="s">
        <v>5390</v>
      </c>
      <c r="L307" s="52">
        <f t="shared" si="7"/>
        <v>45590.5348</v>
      </c>
      <c r="M307" s="49"/>
      <c r="N307" s="49"/>
      <c r="O307" s="49"/>
      <c r="P307" s="49"/>
      <c r="Q307" s="49"/>
      <c r="R307" s="49"/>
      <c r="S307" s="49"/>
      <c r="T307" s="49"/>
      <c r="U307" s="49"/>
      <c r="V307" s="49"/>
      <c r="W307" s="41" t="s">
        <v>618</v>
      </c>
      <c r="X307" s="46">
        <f t="shared" si="5"/>
        <v>45590.53486</v>
      </c>
      <c r="Y307" s="50" t="s">
        <v>482</v>
      </c>
      <c r="Z307" s="49">
        <f t="shared" si="6"/>
        <v>0</v>
      </c>
    </row>
    <row r="308" ht="22.5" customHeight="1">
      <c r="B308" s="41" t="s">
        <v>1046</v>
      </c>
      <c r="C308" s="43">
        <f t="array" ref="C308">IF(B308="","",_xlfn.XLOOKUP(B308,'Form responses 1'!$B$2:$B$2604,'Form responses 1'!$A$2:$A$2604,""))</f>
        <v>45583.46999</v>
      </c>
      <c r="D308" s="44" t="str">
        <f t="shared" si="3"/>
        <v>K/19/181024/2_45583.4699937153</v>
      </c>
      <c r="E308" s="44" t="str">
        <f t="array" ref="E308">IF(B308="","",_xlfn.XLOOKUP(B308,'Form responses 1'!$B$2:$B$2604,'Form responses 1'!$C$2:$C$2604,""))</f>
        <v>PAINO/MULYADI RASYID</v>
      </c>
      <c r="F308" s="44" t="str">
        <f t="array" ref="F308">IF(B308="","",_xlfn.XLOOKUP(B308,'Form responses 1'!$B$2:$B$2604,'Form responses 1'!$D$2:$D$2604,""))</f>
        <v>081379115116</v>
      </c>
      <c r="G308" s="44" t="str">
        <f t="array" ref="G308">IF(B308="","",_xlfn.XLOOKUP(B308,'Form responses 1'!$B$2:$B$2604,'Form responses 1'!$E$2:$E$2604,""))</f>
        <v>PEMECAHAN</v>
      </c>
      <c r="H308" s="44" t="str">
        <f t="array" ref="H308">IF(B308="","",_xlfn.XLOOKUP(B308,'Form responses 1'!$B$2:$B$2604,'Form responses 1'!$F$2:$F$2604,""))</f>
        <v>M.4510/WAY KANDIS</v>
      </c>
      <c r="I308" s="44" t="str">
        <f t="array" ref="I308">IF(B308="","",_xlfn.XLOOKUP(B308,'Form responses 1'!$B$2:$B$2604,'Form responses 1'!$I$2:$I$2604,""))</f>
        <v>WAY KANDIS</v>
      </c>
      <c r="J308" s="44" t="str">
        <f t="array" ref="J308">IF(B308="","",_xlfn.XLOOKUP(B308,'Form responses 1'!$B$2:$B$2604,'Form responses 1'!$G$2:$G$2604,""))</f>
        <v>Baynur</v>
      </c>
      <c r="K308" s="41" t="s">
        <v>5390</v>
      </c>
      <c r="L308" s="52">
        <f t="shared" si="7"/>
        <v>45590.53518</v>
      </c>
      <c r="M308" s="49"/>
      <c r="N308" s="49"/>
      <c r="O308" s="49"/>
      <c r="P308" s="49"/>
      <c r="Q308" s="49"/>
      <c r="R308" s="49"/>
      <c r="S308" s="49"/>
      <c r="T308" s="49"/>
      <c r="U308" s="49"/>
      <c r="V308" s="49"/>
      <c r="W308" s="41" t="s">
        <v>618</v>
      </c>
      <c r="X308" s="46">
        <f t="shared" si="5"/>
        <v>45590.53525</v>
      </c>
      <c r="Y308" s="50" t="s">
        <v>482</v>
      </c>
      <c r="Z308" s="49">
        <f t="shared" si="6"/>
        <v>0</v>
      </c>
    </row>
    <row r="309" ht="22.5" customHeight="1">
      <c r="B309" s="41" t="s">
        <v>1425</v>
      </c>
      <c r="C309" s="43">
        <f t="array" ref="C309">IF(B309="","",_xlfn.XLOOKUP(B309,'Form responses 1'!$B$2:$B$2604,'Form responses 1'!$A$2:$A$2604,""))</f>
        <v>45587.39632</v>
      </c>
      <c r="D309" s="44" t="str">
        <f t="shared" si="3"/>
        <v>L/8/221024/1_45587.3963228241</v>
      </c>
      <c r="E309" s="44" t="str">
        <f t="array" ref="E309">IF(B309="","",_xlfn.XLOOKUP(B309,'Form responses 1'!$B$2:$B$2604,'Form responses 1'!$C$2:$C$2604,""))</f>
        <v>TAUFIK</v>
      </c>
      <c r="F309" s="44" t="str">
        <f t="array" ref="F309">IF(B309="","",_xlfn.XLOOKUP(B309,'Form responses 1'!$B$2:$B$2604,'Form responses 1'!$D$2:$D$2604,""))</f>
        <v>08127255358</v>
      </c>
      <c r="G309" s="44" t="str">
        <f t="array" ref="G309">IF(B309="","",_xlfn.XLOOKUP(B309,'Form responses 1'!$B$2:$B$2604,'Form responses 1'!$E$2:$E$2604,""))</f>
        <v>ROYA</v>
      </c>
      <c r="H309" s="44" t="str">
        <f t="array" ref="H309">IF(B309="","",_xlfn.XLOOKUP(B309,'Form responses 1'!$B$2:$B$2604,'Form responses 1'!$F$2:$F$2604,""))</f>
        <v>HGB 143/KAMPUNG BARU</v>
      </c>
      <c r="I309" s="44" t="str">
        <f t="array" ref="I309">IF(B309="","",_xlfn.XLOOKUP(B309,'Form responses 1'!$B$2:$B$2604,'Form responses 1'!$I$2:$I$2604,""))</f>
        <v>KAMPUNG BARU</v>
      </c>
      <c r="J309" s="44" t="str">
        <f t="array" ref="J309">IF(B309="","",_xlfn.XLOOKUP(B309,'Form responses 1'!$B$2:$B$2604,'Form responses 1'!$G$2:$G$2604,""))</f>
        <v>Deby</v>
      </c>
      <c r="K309" s="41" t="s">
        <v>5390</v>
      </c>
      <c r="L309" s="52">
        <f t="shared" si="7"/>
        <v>45590.53555</v>
      </c>
      <c r="M309" s="49"/>
      <c r="N309" s="49"/>
      <c r="O309" s="49"/>
      <c r="P309" s="49"/>
      <c r="Q309" s="49"/>
      <c r="R309" s="49"/>
      <c r="S309" s="49"/>
      <c r="T309" s="49"/>
      <c r="U309" s="49"/>
      <c r="V309" s="49"/>
      <c r="W309" s="41" t="s">
        <v>618</v>
      </c>
      <c r="X309" s="46">
        <f t="shared" si="5"/>
        <v>45590.5356</v>
      </c>
      <c r="Y309" s="50" t="s">
        <v>482</v>
      </c>
      <c r="Z309" s="49">
        <f t="shared" si="6"/>
        <v>0</v>
      </c>
    </row>
    <row r="310" ht="22.5" customHeight="1">
      <c r="B310" s="41" t="s">
        <v>1345</v>
      </c>
      <c r="C310" s="43">
        <f t="array" ref="C310">IF(B310="","",_xlfn.XLOOKUP(B310,'Form responses 1'!$B$2:$B$2604,'Form responses 1'!$A$2:$A$2604,""))</f>
        <v>45586.59313</v>
      </c>
      <c r="D310" s="44" t="str">
        <f t="shared" si="3"/>
        <v>L/40/211024/1_45586.5931277778</v>
      </c>
      <c r="E310" s="44" t="str">
        <f t="array" ref="E310">IF(B310="","",_xlfn.XLOOKUP(B310,'Form responses 1'!$B$2:$B$2604,'Form responses 1'!$C$2:$C$2604,""))</f>
        <v>RIZKY PRIMASARI AMALIA</v>
      </c>
      <c r="F310" s="44" t="str">
        <f t="array" ref="F310">IF(B310="","",_xlfn.XLOOKUP(B310,'Form responses 1'!$B$2:$B$2604,'Form responses 1'!$D$2:$D$2604,""))</f>
        <v>081392009494</v>
      </c>
      <c r="G310" s="44" t="str">
        <f t="array" ref="G310">IF(B310="","",_xlfn.XLOOKUP(B310,'Form responses 1'!$B$2:$B$2604,'Form responses 1'!$E$2:$E$2604,""))</f>
        <v>ROYA LELANG</v>
      </c>
      <c r="H310" s="44" t="str">
        <f t="array" ref="H310">IF(B310="","",_xlfn.XLOOKUP(B310,'Form responses 1'!$B$2:$B$2604,'Form responses 1'!$F$2:$F$2604,""))</f>
        <v>HM 101/KEMILING RAYA</v>
      </c>
      <c r="I310" s="44" t="str">
        <f t="array" ref="I310">IF(B310="","",_xlfn.XLOOKUP(B310,'Form responses 1'!$B$2:$B$2604,'Form responses 1'!$I$2:$I$2604,""))</f>
        <v>KEMILING RAYA</v>
      </c>
      <c r="J310" s="44" t="str">
        <f t="array" ref="J310">IF(B310="","",_xlfn.XLOOKUP(B310,'Form responses 1'!$B$2:$B$2604,'Form responses 1'!$G$2:$G$2604,""))</f>
        <v>Deby</v>
      </c>
      <c r="K310" s="41" t="s">
        <v>5390</v>
      </c>
      <c r="L310" s="52">
        <f t="shared" si="7"/>
        <v>45590.53583</v>
      </c>
      <c r="M310" s="47" t="s">
        <v>5391</v>
      </c>
      <c r="N310" s="49"/>
      <c r="O310" s="49"/>
      <c r="P310" s="49"/>
      <c r="Q310" s="49"/>
      <c r="R310" s="49"/>
      <c r="S310" s="49"/>
      <c r="T310" s="49"/>
      <c r="U310" s="49"/>
      <c r="V310" s="49"/>
      <c r="W310" s="41" t="s">
        <v>618</v>
      </c>
      <c r="X310" s="46">
        <f t="shared" si="5"/>
        <v>45590.53588</v>
      </c>
      <c r="Y310" s="50" t="s">
        <v>482</v>
      </c>
      <c r="Z310" s="49">
        <f t="shared" si="6"/>
        <v>1</v>
      </c>
    </row>
    <row r="311" ht="22.5" customHeight="1">
      <c r="B311" s="41" t="s">
        <v>1237</v>
      </c>
      <c r="C311" s="43">
        <f t="array" ref="C311">IF(B311="","",_xlfn.XLOOKUP(B311,'Form responses 1'!$B$2:$B$2604,'Form responses 1'!$A$2:$A$2604,""))</f>
        <v>45586.44045</v>
      </c>
      <c r="D311" s="44" t="str">
        <f t="shared" si="3"/>
        <v>K/13/211024/4_45586.4404482986</v>
      </c>
      <c r="E311" s="44" t="str">
        <f t="array" ref="E311">IF(B311="","",_xlfn.XLOOKUP(B311,'Form responses 1'!$B$2:$B$2604,'Form responses 1'!$C$2:$C$2604,""))</f>
        <v>Panary S/ Lay Herlinawati</v>
      </c>
      <c r="F311" s="44" t="str">
        <f t="array" ref="F311">IF(B311="","",_xlfn.XLOOKUP(B311,'Form responses 1'!$B$2:$B$2604,'Form responses 1'!$D$2:$D$2604,""))</f>
        <v>+62 889-2977-399</v>
      </c>
      <c r="G311" s="44" t="str">
        <f t="array" ref="G311">IF(B311="","",_xlfn.XLOOKUP(B311,'Form responses 1'!$B$2:$B$2604,'Form responses 1'!$E$2:$E$2604,""))</f>
        <v>Perubahan Hak</v>
      </c>
      <c r="H311" s="44" t="str">
        <f t="array" ref="H311">IF(B311="","",_xlfn.XLOOKUP(B311,'Form responses 1'!$B$2:$B$2604,'Form responses 1'!$F$2:$F$2604,""))</f>
        <v>Nibel. B. 2361/ N O G</v>
      </c>
      <c r="I311" s="44" t="str">
        <f t="array" ref="I311">IF(B311="","",_xlfn.XLOOKUP(B311,'Form responses 1'!$B$2:$B$2604,'Form responses 1'!$I$2:$I$2604,""))</f>
        <v>Negeri Olok Gading</v>
      </c>
      <c r="J311" s="44" t="str">
        <f t="array" ref="J311">IF(B311="","",_xlfn.XLOOKUP(B311,'Form responses 1'!$B$2:$B$2604,'Form responses 1'!$G$2:$G$2604,""))</f>
        <v>Rapita</v>
      </c>
      <c r="K311" s="41" t="s">
        <v>5390</v>
      </c>
      <c r="L311" s="52">
        <f t="shared" si="7"/>
        <v>45590.53623</v>
      </c>
      <c r="M311" s="49"/>
      <c r="N311" s="49"/>
      <c r="O311" s="49"/>
      <c r="P311" s="49"/>
      <c r="Q311" s="49"/>
      <c r="R311" s="49"/>
      <c r="S311" s="49"/>
      <c r="T311" s="49"/>
      <c r="U311" s="49"/>
      <c r="V311" s="49"/>
      <c r="W311" s="41" t="s">
        <v>618</v>
      </c>
      <c r="X311" s="46">
        <f t="shared" si="5"/>
        <v>45590.53627</v>
      </c>
      <c r="Y311" s="50" t="s">
        <v>482</v>
      </c>
      <c r="Z311" s="49">
        <f t="shared" si="6"/>
        <v>0</v>
      </c>
    </row>
    <row r="312" ht="22.5" customHeight="1">
      <c r="B312" s="41" t="s">
        <v>1304</v>
      </c>
      <c r="C312" s="43">
        <f t="array" ref="C312">IF(B312="","",_xlfn.XLOOKUP(B312,'Form responses 1'!$B$2:$B$2604,'Form responses 1'!$A$2:$A$2604,""))</f>
        <v>45586.57729</v>
      </c>
      <c r="D312" s="44" t="str">
        <f t="shared" si="3"/>
        <v>K/30/211024/2_45586.5772852315</v>
      </c>
      <c r="E312" s="44" t="str">
        <f t="array" ref="E312">IF(B312="","",_xlfn.XLOOKUP(B312,'Form responses 1'!$B$2:$B$2604,'Form responses 1'!$C$2:$C$2604,""))</f>
        <v>Richar Adi P/ Angga Aldimas</v>
      </c>
      <c r="F312" s="44" t="str">
        <f t="array" ref="F312">IF(B312="","",_xlfn.XLOOKUP(B312,'Form responses 1'!$B$2:$B$2604,'Form responses 1'!$D$2:$D$2604,""))</f>
        <v>085279997821</v>
      </c>
      <c r="G312" s="44" t="str">
        <f t="array" ref="G312">IF(B312="","",_xlfn.XLOOKUP(B312,'Form responses 1'!$B$2:$B$2604,'Form responses 1'!$E$2:$E$2604,""))</f>
        <v>BN Jual Beli</v>
      </c>
      <c r="H312" s="44" t="str">
        <f t="array" ref="H312">IF(B312="","",_xlfn.XLOOKUP(B312,'Form responses 1'!$B$2:$B$2604,'Form responses 1'!$F$2:$F$2604,""))</f>
        <v>M. 2661/ Sukarame Baru</v>
      </c>
      <c r="I312" s="44" t="str">
        <f t="array" ref="I312">IF(B312="","",_xlfn.XLOOKUP(B312,'Form responses 1'!$B$2:$B$2604,'Form responses 1'!$I$2:$I$2604,""))</f>
        <v>Sukarame Baru</v>
      </c>
      <c r="J312" s="44" t="str">
        <f t="array" ref="J312">IF(B312="","",_xlfn.XLOOKUP(B312,'Form responses 1'!$B$2:$B$2604,'Form responses 1'!$G$2:$G$2604,""))</f>
        <v>Rapita</v>
      </c>
      <c r="K312" s="41" t="s">
        <v>5390</v>
      </c>
      <c r="L312" s="52">
        <f t="shared" si="7"/>
        <v>45590.53705</v>
      </c>
      <c r="M312" s="49"/>
      <c r="N312" s="49"/>
      <c r="O312" s="49"/>
      <c r="P312" s="49"/>
      <c r="Q312" s="49"/>
      <c r="R312" s="49"/>
      <c r="S312" s="49"/>
      <c r="T312" s="49"/>
      <c r="U312" s="49"/>
      <c r="V312" s="49"/>
      <c r="W312" s="41" t="s">
        <v>618</v>
      </c>
      <c r="X312" s="46">
        <f t="shared" si="5"/>
        <v>45590.5371</v>
      </c>
      <c r="Y312" s="50" t="s">
        <v>482</v>
      </c>
      <c r="Z312" s="49">
        <f t="shared" si="6"/>
        <v>0</v>
      </c>
    </row>
    <row r="313" ht="22.5" customHeight="1">
      <c r="B313" s="41" t="s">
        <v>2192</v>
      </c>
      <c r="C313" s="43">
        <f t="array" ref="C313">IF(B313="","",_xlfn.XLOOKUP(B313,'Form responses 1'!$B$2:$B$2604,'Form responses 1'!$A$2:$A$2604,""))</f>
        <v>45590.57052</v>
      </c>
      <c r="D313" s="44" t="str">
        <f t="shared" si="3"/>
        <v>L/32/251024/1_45590.5705204514</v>
      </c>
      <c r="E313" s="44" t="str">
        <f t="array" ref="E313">IF(B313="","",_xlfn.XLOOKUP(B313,'Form responses 1'!$B$2:$B$2604,'Form responses 1'!$C$2:$C$2604,""))</f>
        <v>TJIA BENNY</v>
      </c>
      <c r="F313" s="44" t="str">
        <f t="array" ref="F313">IF(B313="","",_xlfn.XLOOKUP(B313,'Form responses 1'!$B$2:$B$2604,'Form responses 1'!$D$2:$D$2604,""))</f>
        <v>082180346550</v>
      </c>
      <c r="G313" s="44" t="str">
        <f t="array" ref="G313">IF(B313="","",_xlfn.XLOOKUP(B313,'Form responses 1'!$B$2:$B$2604,'Form responses 1'!$E$2:$E$2604,""))</f>
        <v>PENDAFTARAN SK HAK</v>
      </c>
      <c r="H313" s="44" t="str">
        <f t="array" ref="H313">IF(B313="","",_xlfn.XLOOKUP(B313,'Form responses 1'!$B$2:$B$2604,'Form responses 1'!$F$2:$F$2604,""))</f>
        <v>PBT243/2023</v>
      </c>
      <c r="I313" s="44" t="str">
        <f t="array" ref="I313">IF(B313="","",_xlfn.XLOOKUP(B313,'Form responses 1'!$B$2:$B$2604,'Form responses 1'!$I$2:$I$2604,""))</f>
        <v>PANJANG UTARA</v>
      </c>
      <c r="J313" s="44" t="str">
        <f t="array" ref="J313">IF(B313="","",_xlfn.XLOOKUP(B313,'Form responses 1'!$B$2:$B$2604,'Form responses 1'!$G$2:$G$2604,""))</f>
        <v>Nuraini</v>
      </c>
      <c r="K313" s="41" t="s">
        <v>2875</v>
      </c>
      <c r="L313" s="52">
        <f t="shared" si="7"/>
        <v>45590.57689</v>
      </c>
      <c r="M313" s="49"/>
      <c r="N313" s="49"/>
      <c r="O313" s="49"/>
      <c r="P313" s="49"/>
      <c r="Q313" s="49"/>
      <c r="R313" s="49"/>
      <c r="S313" s="49"/>
      <c r="T313" s="49"/>
      <c r="U313" s="49"/>
      <c r="V313" s="49"/>
      <c r="W313" s="41" t="s">
        <v>618</v>
      </c>
      <c r="X313" s="46">
        <f t="shared" si="5"/>
        <v>45590.57694</v>
      </c>
      <c r="Y313" s="50" t="s">
        <v>482</v>
      </c>
      <c r="Z313" s="49">
        <f t="shared" si="6"/>
        <v>0</v>
      </c>
    </row>
    <row r="314" ht="22.5" customHeight="1">
      <c r="B314" s="41" t="s">
        <v>1940</v>
      </c>
      <c r="C314" s="43">
        <f t="array" ref="C314">IF(B314="","",_xlfn.XLOOKUP(B314,'Form responses 1'!$B$2:$B$2604,'Form responses 1'!$A$2:$A$2604,""))</f>
        <v>45589.47457</v>
      </c>
      <c r="D314" s="44" t="str">
        <f t="shared" si="3"/>
        <v>L/22/241024/1_45589.4745668519</v>
      </c>
      <c r="E314" s="44" t="str">
        <f t="array" ref="E314">IF(B314="","",_xlfn.XLOOKUP(B314,'Form responses 1'!$B$2:$B$2604,'Form responses 1'!$C$2:$C$2604,""))</f>
        <v>SYAIFUL ANTONI</v>
      </c>
      <c r="F314" s="44" t="str">
        <f t="array" ref="F314">IF(B314="","",_xlfn.XLOOKUP(B314,'Form responses 1'!$B$2:$B$2604,'Form responses 1'!$D$2:$D$2604,""))</f>
        <v>08127254464</v>
      </c>
      <c r="G314" s="44" t="str">
        <f t="array" ref="G314">IF(B314="","",_xlfn.XLOOKUP(B314,'Form responses 1'!$B$2:$B$2604,'Form responses 1'!$E$2:$E$2604,""))</f>
        <v>ROYA</v>
      </c>
      <c r="H314" s="44" t="str">
        <f t="array" ref="H314">IF(B314="","",_xlfn.XLOOKUP(B314,'Form responses 1'!$B$2:$B$2604,'Form responses 1'!$F$2:$F$2604,""))</f>
        <v>HM 1366/KALIAWI</v>
      </c>
      <c r="I314" s="44" t="str">
        <f t="array" ref="I314">IF(B314="","",_xlfn.XLOOKUP(B314,'Form responses 1'!$B$2:$B$2604,'Form responses 1'!$I$2:$I$2604,""))</f>
        <v>KALIAWI</v>
      </c>
      <c r="J314" s="44" t="str">
        <f t="array" ref="J314">IF(B314="","",_xlfn.XLOOKUP(B314,'Form responses 1'!$B$2:$B$2604,'Form responses 1'!$G$2:$G$2604,""))</f>
        <v>Deby</v>
      </c>
      <c r="K314" s="41" t="s">
        <v>422</v>
      </c>
      <c r="L314" s="52">
        <f t="shared" si="7"/>
        <v>45590.60814</v>
      </c>
      <c r="M314" s="49"/>
      <c r="N314" s="49"/>
      <c r="O314" s="49"/>
      <c r="P314" s="49"/>
      <c r="Q314" s="49"/>
      <c r="R314" s="49"/>
      <c r="S314" s="49"/>
      <c r="T314" s="49"/>
      <c r="U314" s="49"/>
      <c r="V314" s="49"/>
      <c r="W314" s="41" t="s">
        <v>618</v>
      </c>
      <c r="X314" s="46">
        <f t="shared" si="5"/>
        <v>45590.62262</v>
      </c>
      <c r="Y314" s="50" t="s">
        <v>482</v>
      </c>
      <c r="Z314" s="49">
        <f t="shared" si="6"/>
        <v>0</v>
      </c>
    </row>
    <row r="315" ht="22.5" customHeight="1">
      <c r="B315" s="41" t="s">
        <v>2064</v>
      </c>
      <c r="C315" s="43">
        <f t="array" ref="C315">IF(B315="","",_xlfn.XLOOKUP(B315,'Form responses 1'!$B$2:$B$2604,'Form responses 1'!$A$2:$A$2604,""))</f>
        <v>45589.62892</v>
      </c>
      <c r="D315" s="44" t="str">
        <f t="shared" si="3"/>
        <v>K/51/241024/4_45589.6289197454</v>
      </c>
      <c r="E315" s="44" t="str">
        <f t="array" ref="E315">IF(B315="","",_xlfn.XLOOKUP(B315,'Form responses 1'!$B$2:$B$2604,'Form responses 1'!$C$2:$C$2604,""))</f>
        <v>Nanik Maryani</v>
      </c>
      <c r="F315" s="44" t="str">
        <f t="array" ref="F315">IF(B315="","",_xlfn.XLOOKUP(B315,'Form responses 1'!$B$2:$B$2604,'Form responses 1'!$D$2:$D$2604,""))</f>
        <v>+62 831-7850-1348</v>
      </c>
      <c r="G315" s="44" t="str">
        <f t="array" ref="G315">IF(B315="","",_xlfn.XLOOKUP(B315,'Form responses 1'!$B$2:$B$2604,'Form responses 1'!$E$2:$E$2604,""))</f>
        <v>Perubahan Hak</v>
      </c>
      <c r="H315" s="44" t="str">
        <f t="array" ref="H315">IF(B315="","",_xlfn.XLOOKUP(B315,'Form responses 1'!$B$2:$B$2604,'Form responses 1'!$F$2:$F$2604,""))</f>
        <v>Nibel 1674/ Sumur Putri</v>
      </c>
      <c r="I315" s="44" t="str">
        <f t="array" ref="I315">IF(B315="","",_xlfn.XLOOKUP(B315,'Form responses 1'!$B$2:$B$2604,'Form responses 1'!$I$2:$I$2604,""))</f>
        <v>Sumur Putri</v>
      </c>
      <c r="J315" s="44" t="str">
        <f t="array" ref="J315">IF(B315="","",_xlfn.XLOOKUP(B315,'Form responses 1'!$B$2:$B$2604,'Form responses 1'!$G$2:$G$2604,""))</f>
        <v>Hananda</v>
      </c>
      <c r="K315" s="41" t="s">
        <v>422</v>
      </c>
      <c r="L315" s="52">
        <f t="shared" si="7"/>
        <v>45590.60816</v>
      </c>
      <c r="M315" s="47" t="s">
        <v>4608</v>
      </c>
      <c r="N315" s="49"/>
      <c r="O315" s="49"/>
      <c r="P315" s="49"/>
      <c r="Q315" s="49"/>
      <c r="R315" s="49"/>
      <c r="S315" s="49"/>
      <c r="T315" s="49"/>
      <c r="U315" s="49"/>
      <c r="V315" s="49"/>
      <c r="W315" s="41" t="s">
        <v>470</v>
      </c>
      <c r="X315" s="46">
        <f t="shared" si="5"/>
        <v>45590.712</v>
      </c>
      <c r="Y315" s="50" t="s">
        <v>482</v>
      </c>
      <c r="Z315" s="49">
        <f t="shared" si="6"/>
        <v>1</v>
      </c>
    </row>
    <row r="316" ht="22.5" customHeight="1">
      <c r="B316" s="41" t="s">
        <v>1960</v>
      </c>
      <c r="C316" s="43">
        <f t="array" ref="C316">IF(B316="","",_xlfn.XLOOKUP(B316,'Form responses 1'!$B$2:$B$2604,'Form responses 1'!$A$2:$A$2604,""))</f>
        <v>45589.48914</v>
      </c>
      <c r="D316" s="44" t="str">
        <f t="shared" si="3"/>
        <v>L/27/241024/1_45589.4891414699</v>
      </c>
      <c r="E316" s="44" t="str">
        <f t="array" ref="E316">IF(B316="","",_xlfn.XLOOKUP(B316,'Form responses 1'!$B$2:$B$2604,'Form responses 1'!$C$2:$C$2604,""))</f>
        <v>SURIYONO LOEKITO</v>
      </c>
      <c r="F316" s="44" t="str">
        <f t="array" ref="F316">IF(B316="","",_xlfn.XLOOKUP(B316,'Form responses 1'!$B$2:$B$2604,'Form responses 1'!$D$2:$D$2604,""))</f>
        <v>081279588866</v>
      </c>
      <c r="G316" s="44" t="str">
        <f t="array" ref="G316">IF(B316="","",_xlfn.XLOOKUP(B316,'Form responses 1'!$B$2:$B$2604,'Form responses 1'!$E$2:$E$2604,""))</f>
        <v>SKPT INFORMASI</v>
      </c>
      <c r="H316" s="44" t="str">
        <f t="array" ref="H316">IF(B316="","",_xlfn.XLOOKUP(B316,'Form responses 1'!$B$2:$B$2604,'Form responses 1'!$F$2:$F$2604,""))</f>
        <v>HM 1540/SUKARAME BARU</v>
      </c>
      <c r="I316" s="44" t="str">
        <f t="array" ref="I316">IF(B316="","",_xlfn.XLOOKUP(B316,'Form responses 1'!$B$2:$B$2604,'Form responses 1'!$I$2:$I$2604,""))</f>
        <v>SUKARAME BARU</v>
      </c>
      <c r="J316" s="44" t="str">
        <f t="array" ref="J316">IF(B316="","",_xlfn.XLOOKUP(B316,'Form responses 1'!$B$2:$B$2604,'Form responses 1'!$G$2:$G$2604,""))</f>
        <v>Deby</v>
      </c>
      <c r="K316" s="41" t="s">
        <v>422</v>
      </c>
      <c r="L316" s="52">
        <f t="shared" si="7"/>
        <v>45590.60818</v>
      </c>
      <c r="M316" s="49"/>
      <c r="N316" s="49"/>
      <c r="O316" s="49"/>
      <c r="P316" s="49"/>
      <c r="Q316" s="49"/>
      <c r="R316" s="49"/>
      <c r="S316" s="49"/>
      <c r="T316" s="49"/>
      <c r="U316" s="49"/>
      <c r="V316" s="49"/>
      <c r="W316" s="41" t="s">
        <v>618</v>
      </c>
      <c r="X316" s="46">
        <f t="shared" si="5"/>
        <v>45590.71458</v>
      </c>
      <c r="Y316" s="50" t="s">
        <v>482</v>
      </c>
      <c r="Z316" s="49">
        <f t="shared" si="6"/>
        <v>0</v>
      </c>
    </row>
    <row r="317" ht="22.5" customHeight="1">
      <c r="B317" s="41" t="s">
        <v>1862</v>
      </c>
      <c r="C317" s="43">
        <f t="array" ref="C317">IF(B317="","",_xlfn.XLOOKUP(B317,'Form responses 1'!$B$2:$B$2604,'Form responses 1'!$A$2:$A$2604,""))</f>
        <v>45589.37949</v>
      </c>
      <c r="D317" s="44" t="str">
        <f t="shared" si="3"/>
        <v>K/2/241024/1_45589.3794855093</v>
      </c>
      <c r="E317" s="44" t="str">
        <f t="array" ref="E317">IF(B317="","",_xlfn.XLOOKUP(B317,'Form responses 1'!$B$2:$B$2604,'Form responses 1'!$C$2:$C$2604,""))</f>
        <v>Vitta N/ Sukardi</v>
      </c>
      <c r="F317" s="44" t="str">
        <f t="array" ref="F317">IF(B317="","",_xlfn.XLOOKUP(B317,'Form responses 1'!$B$2:$B$2604,'Form responses 1'!$D$2:$D$2604,""))</f>
        <v>082181337272</v>
      </c>
      <c r="G317" s="44" t="str">
        <f t="array" ref="G317">IF(B317="","",_xlfn.XLOOKUP(B317,'Form responses 1'!$B$2:$B$2604,'Form responses 1'!$E$2:$E$2604,""))</f>
        <v>roya</v>
      </c>
      <c r="H317" s="44" t="str">
        <f t="array" ref="H317">IF(B317="","",_xlfn.XLOOKUP(B317,'Form responses 1'!$B$2:$B$2604,'Form responses 1'!$F$2:$F$2604,""))</f>
        <v>M. 3219/ Way Kandis</v>
      </c>
      <c r="I317" s="44" t="str">
        <f t="array" ref="I317">IF(B317="","",_xlfn.XLOOKUP(B317,'Form responses 1'!$B$2:$B$2604,'Form responses 1'!$I$2:$I$2604,""))</f>
        <v>Way Kandis</v>
      </c>
      <c r="J317" s="44" t="str">
        <f t="array" ref="J317">IF(B317="","",_xlfn.XLOOKUP(B317,'Form responses 1'!$B$2:$B$2604,'Form responses 1'!$G$2:$G$2604,""))</f>
        <v>Hananda</v>
      </c>
      <c r="K317" s="41" t="s">
        <v>422</v>
      </c>
      <c r="L317" s="52">
        <f t="shared" si="7"/>
        <v>45590.60821</v>
      </c>
      <c r="M317" s="47" t="s">
        <v>5392</v>
      </c>
      <c r="N317" s="49"/>
      <c r="O317" s="49"/>
      <c r="P317" s="49"/>
      <c r="Q317" s="49"/>
      <c r="R317" s="49"/>
      <c r="S317" s="49"/>
      <c r="T317" s="49"/>
      <c r="U317" s="49"/>
      <c r="V317" s="49"/>
      <c r="W317" s="41" t="s">
        <v>618</v>
      </c>
      <c r="X317" s="46">
        <f t="shared" si="5"/>
        <v>45601.33088</v>
      </c>
      <c r="Y317" s="50" t="s">
        <v>482</v>
      </c>
      <c r="Z317" s="49">
        <f t="shared" si="6"/>
        <v>1</v>
      </c>
    </row>
    <row r="318" ht="22.5" customHeight="1">
      <c r="B318" s="41" t="s">
        <v>2074</v>
      </c>
      <c r="C318" s="43">
        <f t="array" ref="C318">IF(B318="","",_xlfn.XLOOKUP(B318,'Form responses 1'!$B$2:$B$2604,'Form responses 1'!$A$2:$A$2604,""))</f>
        <v>45589.6334</v>
      </c>
      <c r="D318" s="44" t="str">
        <f t="shared" si="3"/>
        <v>K/54/241024/2_45589.6334006482</v>
      </c>
      <c r="E318" s="44" t="str">
        <f t="array" ref="E318">IF(B318="","",_xlfn.XLOOKUP(B318,'Form responses 1'!$B$2:$B$2604,'Form responses 1'!$C$2:$C$2604,""))</f>
        <v>Riadh I/ Eddy</v>
      </c>
      <c r="F318" s="44" t="str">
        <f t="array" ref="F318">IF(B318="","",_xlfn.XLOOKUP(B318,'Form responses 1'!$B$2:$B$2604,'Form responses 1'!$D$2:$D$2604,""))</f>
        <v>+62 822-8415-9202</v>
      </c>
      <c r="G318" s="44" t="str">
        <f t="array" ref="G318">IF(B318="","",_xlfn.XLOOKUP(B318,'Form responses 1'!$B$2:$B$2604,'Form responses 1'!$E$2:$E$2604,""))</f>
        <v>BN Jual Beli</v>
      </c>
      <c r="H318" s="44" t="str">
        <f t="array" ref="H318">IF(B318="","",_xlfn.XLOOKUP(B318,'Form responses 1'!$B$2:$B$2604,'Form responses 1'!$F$2:$F$2604,""))</f>
        <v>M. 4838/ Tanjung Senang</v>
      </c>
      <c r="I318" s="44" t="str">
        <f t="array" ref="I318">IF(B318="","",_xlfn.XLOOKUP(B318,'Form responses 1'!$B$2:$B$2604,'Form responses 1'!$I$2:$I$2604,""))</f>
        <v>Tanjung Senang</v>
      </c>
      <c r="J318" s="44" t="str">
        <f t="array" ref="J318">IF(B318="","",_xlfn.XLOOKUP(B318,'Form responses 1'!$B$2:$B$2604,'Form responses 1'!$G$2:$G$2604,""))</f>
        <v>Rapita</v>
      </c>
      <c r="K318" s="41" t="s">
        <v>422</v>
      </c>
      <c r="L318" s="52">
        <f t="shared" si="7"/>
        <v>45590.60822</v>
      </c>
      <c r="M318" s="47" t="s">
        <v>5393</v>
      </c>
      <c r="N318" s="47" t="s">
        <v>5394</v>
      </c>
      <c r="O318" s="47" t="s">
        <v>4144</v>
      </c>
      <c r="P318" s="49"/>
      <c r="Q318" s="49"/>
      <c r="R318" s="49"/>
      <c r="S318" s="49"/>
      <c r="T318" s="49"/>
      <c r="U318" s="49"/>
      <c r="V318" s="49"/>
      <c r="W318" s="41" t="s">
        <v>618</v>
      </c>
      <c r="X318" s="46">
        <f t="shared" si="5"/>
        <v>45594.65743</v>
      </c>
      <c r="Y318" s="50" t="s">
        <v>482</v>
      </c>
      <c r="Z318" s="49">
        <f t="shared" si="6"/>
        <v>3</v>
      </c>
    </row>
    <row r="319" ht="22.5" customHeight="1">
      <c r="B319" s="41" t="s">
        <v>2038</v>
      </c>
      <c r="C319" s="43">
        <f t="array" ref="C319">IF(B319="","",_xlfn.XLOOKUP(B319,'Form responses 1'!$B$2:$B$2604,'Form responses 1'!$A$2:$A$2604,""))</f>
        <v>45589.61074</v>
      </c>
      <c r="D319" s="44" t="str">
        <f t="shared" si="3"/>
        <v>K/44/241024/1_45589.6107370718</v>
      </c>
      <c r="E319" s="44" t="str">
        <f t="array" ref="E319">IF(B319="","",_xlfn.XLOOKUP(B319,'Form responses 1'!$B$2:$B$2604,'Form responses 1'!$C$2:$C$2604,""))</f>
        <v>SOLIHIN SAPUTRA/RICHARD ADI P</v>
      </c>
      <c r="F319" s="44" t="str">
        <f t="array" ref="F319">IF(B319="","",_xlfn.XLOOKUP(B319,'Form responses 1'!$B$2:$B$2604,'Form responses 1'!$D$2:$D$2604,""))</f>
        <v>0852-7999-7821</v>
      </c>
      <c r="G319" s="44" t="str">
        <f t="array" ref="G319">IF(B319="","",_xlfn.XLOOKUP(B319,'Form responses 1'!$B$2:$B$2604,'Form responses 1'!$E$2:$E$2604,""))</f>
        <v>BN JUAL BELI</v>
      </c>
      <c r="H319" s="44" t="str">
        <f t="array" ref="H319">IF(B319="","",_xlfn.XLOOKUP(B319,'Form responses 1'!$B$2:$B$2604,'Form responses 1'!$F$2:$F$2604,""))</f>
        <v>M.6404/WAY KANDIS </v>
      </c>
      <c r="I319" s="44" t="str">
        <f t="array" ref="I319">IF(B319="","",_xlfn.XLOOKUP(B319,'Form responses 1'!$B$2:$B$2604,'Form responses 1'!$I$2:$I$2604,""))</f>
        <v>WAY KANDIS </v>
      </c>
      <c r="J319" s="44" t="str">
        <f t="array" ref="J319">IF(B319="","",_xlfn.XLOOKUP(B319,'Form responses 1'!$B$2:$B$2604,'Form responses 1'!$G$2:$G$2604,""))</f>
        <v>Baynur</v>
      </c>
      <c r="K319" s="41" t="s">
        <v>422</v>
      </c>
      <c r="L319" s="52">
        <f t="shared" si="7"/>
        <v>45590.60826</v>
      </c>
      <c r="M319" s="47" t="s">
        <v>5395</v>
      </c>
      <c r="N319" s="47" t="s">
        <v>5396</v>
      </c>
      <c r="O319" s="49"/>
      <c r="P319" s="49"/>
      <c r="Q319" s="49"/>
      <c r="R319" s="49"/>
      <c r="S319" s="49"/>
      <c r="T319" s="49"/>
      <c r="U319" s="49"/>
      <c r="V319" s="49"/>
      <c r="W319" s="41" t="s">
        <v>618</v>
      </c>
      <c r="X319" s="46">
        <f t="shared" si="5"/>
        <v>45596.65717</v>
      </c>
      <c r="Y319" s="50" t="s">
        <v>482</v>
      </c>
      <c r="Z319" s="49">
        <f t="shared" si="6"/>
        <v>2</v>
      </c>
    </row>
    <row r="320" ht="22.5" customHeight="1">
      <c r="B320" s="41" t="s">
        <v>2061</v>
      </c>
      <c r="C320" s="43">
        <f t="array" ref="C320">IF(B320="","",_xlfn.XLOOKUP(B320,'Form responses 1'!$B$2:$B$2604,'Form responses 1'!$A$2:$A$2604,""))</f>
        <v>45589.62624</v>
      </c>
      <c r="D320" s="44" t="str">
        <f t="shared" si="3"/>
        <v>K/50/241024/3_45589.6262409607</v>
      </c>
      <c r="E320" s="44" t="str">
        <f t="array" ref="E320">IF(B320="","",_xlfn.XLOOKUP(B320,'Form responses 1'!$B$2:$B$2604,'Form responses 1'!$C$2:$C$2604,""))</f>
        <v>Nanik Maryani/ Eva Rina</v>
      </c>
      <c r="F320" s="44" t="str">
        <f t="array" ref="F320">IF(B320="","",_xlfn.XLOOKUP(B320,'Form responses 1'!$B$2:$B$2604,'Form responses 1'!$D$2:$D$2604,""))</f>
        <v>083178501348</v>
      </c>
      <c r="G320" s="44" t="str">
        <f t="array" ref="G320">IF(B320="","",_xlfn.XLOOKUP(B320,'Form responses 1'!$B$2:$B$2604,'Form responses 1'!$E$2:$E$2604,""))</f>
        <v>Bn Jual Beli</v>
      </c>
      <c r="H320" s="44" t="str">
        <f t="array" ref="H320">IF(B320="","",_xlfn.XLOOKUP(B320,'Form responses 1'!$B$2:$B$2604,'Form responses 1'!$F$2:$F$2604,""))</f>
        <v>Nibel 923/ Rajabasa Raya</v>
      </c>
      <c r="I320" s="44" t="str">
        <f t="array" ref="I320">IF(B320="","",_xlfn.XLOOKUP(B320,'Form responses 1'!$B$2:$B$2604,'Form responses 1'!$I$2:$I$2604,""))</f>
        <v>Rajabasa Raya</v>
      </c>
      <c r="J320" s="44" t="str">
        <f t="array" ref="J320">IF(B320="","",_xlfn.XLOOKUP(B320,'Form responses 1'!$B$2:$B$2604,'Form responses 1'!$G$2:$G$2604,""))</f>
        <v>Hananda</v>
      </c>
      <c r="K320" s="41" t="s">
        <v>422</v>
      </c>
      <c r="L320" s="52">
        <f t="shared" si="7"/>
        <v>45590.60828</v>
      </c>
      <c r="M320" s="47" t="s">
        <v>5397</v>
      </c>
      <c r="N320" s="49"/>
      <c r="O320" s="49"/>
      <c r="P320" s="49"/>
      <c r="Q320" s="49"/>
      <c r="R320" s="49"/>
      <c r="S320" s="49"/>
      <c r="T320" s="49"/>
      <c r="U320" s="49"/>
      <c r="V320" s="49"/>
      <c r="W320" s="41" t="s">
        <v>618</v>
      </c>
      <c r="X320" s="46">
        <f t="shared" si="5"/>
        <v>45595.64324</v>
      </c>
      <c r="Y320" s="50" t="s">
        <v>482</v>
      </c>
      <c r="Z320" s="49">
        <f t="shared" si="6"/>
        <v>1</v>
      </c>
    </row>
    <row r="321" ht="22.5" customHeight="1">
      <c r="B321" s="41" t="s">
        <v>2042</v>
      </c>
      <c r="C321" s="43">
        <f t="array" ref="C321">IF(B321="","",_xlfn.XLOOKUP(B321,'Form responses 1'!$B$2:$B$2604,'Form responses 1'!$A$2:$A$2604,""))</f>
        <v>45589.61138</v>
      </c>
      <c r="D321" s="44" t="str">
        <f t="shared" si="3"/>
        <v>K/45/241024/2_45589.611375706</v>
      </c>
      <c r="E321" s="44" t="str">
        <f t="array" ref="E321">IF(B321="","",_xlfn.XLOOKUP(B321,'Form responses 1'!$B$2:$B$2604,'Form responses 1'!$C$2:$C$2604,""))</f>
        <v>PRIO NUR UTOMO/RICHARD ADI P</v>
      </c>
      <c r="F321" s="44" t="str">
        <f t="array" ref="F321">IF(B321="","",_xlfn.XLOOKUP(B321,'Form responses 1'!$B$2:$B$2604,'Form responses 1'!$D$2:$D$2604,""))</f>
        <v>0852-7999-7821</v>
      </c>
      <c r="G321" s="44" t="str">
        <f t="array" ref="G321">IF(B321="","",_xlfn.XLOOKUP(B321,'Form responses 1'!$B$2:$B$2604,'Form responses 1'!$E$2:$E$2604,""))</f>
        <v>BN JUAL BELI</v>
      </c>
      <c r="H321" s="44" t="str">
        <f t="array" ref="H321">IF(B321="","",_xlfn.XLOOKUP(B321,'Form responses 1'!$B$2:$B$2604,'Form responses 1'!$F$2:$F$2604,""))</f>
        <v>M. 6618/TANJUNG SENENG</v>
      </c>
      <c r="I321" s="44" t="str">
        <f t="array" ref="I321">IF(B321="","",_xlfn.XLOOKUP(B321,'Form responses 1'!$B$2:$B$2604,'Form responses 1'!$I$2:$I$2604,""))</f>
        <v>TANJUNG SENENG</v>
      </c>
      <c r="J321" s="44" t="str">
        <f t="array" ref="J321">IF(B321="","",_xlfn.XLOOKUP(B321,'Form responses 1'!$B$2:$B$2604,'Form responses 1'!$G$2:$G$2604,""))</f>
        <v>Baynur</v>
      </c>
      <c r="K321" s="41" t="s">
        <v>422</v>
      </c>
      <c r="L321" s="52">
        <f t="shared" si="7"/>
        <v>45590.60829</v>
      </c>
      <c r="M321" s="47" t="s">
        <v>5398</v>
      </c>
      <c r="N321" s="47" t="s">
        <v>5399</v>
      </c>
      <c r="O321" s="49"/>
      <c r="P321" s="49"/>
      <c r="Q321" s="49"/>
      <c r="R321" s="49"/>
      <c r="S321" s="49"/>
      <c r="T321" s="49"/>
      <c r="U321" s="49"/>
      <c r="V321" s="49"/>
      <c r="W321" s="41" t="s">
        <v>618</v>
      </c>
      <c r="X321" s="46">
        <f t="shared" si="5"/>
        <v>45602.6541</v>
      </c>
      <c r="Y321" s="50" t="s">
        <v>482</v>
      </c>
      <c r="Z321" s="49">
        <f t="shared" si="6"/>
        <v>2</v>
      </c>
    </row>
    <row r="322" ht="22.5" customHeight="1">
      <c r="B322" s="41" t="s">
        <v>1916</v>
      </c>
      <c r="C322" s="43">
        <f t="array" ref="C322">IF(B322="","",_xlfn.XLOOKUP(B322,'Form responses 1'!$B$2:$B$2604,'Form responses 1'!$A$2:$A$2604,""))</f>
        <v>45589.44924</v>
      </c>
      <c r="D322" s="44" t="str">
        <f t="shared" si="3"/>
        <v>K/16/241024/1_45589.4492415509</v>
      </c>
      <c r="E322" s="44" t="str">
        <f t="array" ref="E322">IF(B322="","",_xlfn.XLOOKUP(B322,'Form responses 1'!$B$2:$B$2604,'Form responses 1'!$C$2:$C$2604,""))</f>
        <v>Bambang ABiyono/ izhar Qamara</v>
      </c>
      <c r="F322" s="44" t="str">
        <f t="array" ref="F322">IF(B322="","",_xlfn.XLOOKUP(B322,'Form responses 1'!$B$2:$B$2604,'Form responses 1'!$D$2:$D$2604,""))</f>
        <v>085273072656</v>
      </c>
      <c r="G322" s="44" t="str">
        <f t="array" ref="G322">IF(B322="","",_xlfn.XLOOKUP(B322,'Form responses 1'!$B$2:$B$2604,'Form responses 1'!$E$2:$E$2604,""))</f>
        <v>BN Jual beli</v>
      </c>
      <c r="H322" s="44" t="str">
        <f t="array" ref="H322">IF(B322="","",_xlfn.XLOOKUP(B322,'Form responses 1'!$B$2:$B$2604,'Form responses 1'!$F$2:$F$2604,""))</f>
        <v>Nibel 1410/ Kemiling Permai</v>
      </c>
      <c r="I322" s="44" t="str">
        <f t="array" ref="I322">IF(B322="","",_xlfn.XLOOKUP(B322,'Form responses 1'!$B$2:$B$2604,'Form responses 1'!$I$2:$I$2604,""))</f>
        <v>Kemiling Permai</v>
      </c>
      <c r="J322" s="44" t="str">
        <f t="array" ref="J322">IF(B322="","",_xlfn.XLOOKUP(B322,'Form responses 1'!$B$2:$B$2604,'Form responses 1'!$G$2:$G$2604,""))</f>
        <v>Hananda</v>
      </c>
      <c r="K322" s="41" t="s">
        <v>422</v>
      </c>
      <c r="L322" s="52">
        <f t="shared" si="7"/>
        <v>45590.60831</v>
      </c>
      <c r="M322" s="49"/>
      <c r="N322" s="49"/>
      <c r="O322" s="49"/>
      <c r="P322" s="49"/>
      <c r="Q322" s="49"/>
      <c r="R322" s="49"/>
      <c r="S322" s="49"/>
      <c r="T322" s="49"/>
      <c r="U322" s="49"/>
      <c r="V322" s="49"/>
      <c r="W322" s="41" t="s">
        <v>618</v>
      </c>
      <c r="X322" s="46">
        <f t="shared" si="5"/>
        <v>45591.43281</v>
      </c>
      <c r="Y322" s="50" t="s">
        <v>482</v>
      </c>
      <c r="Z322" s="49">
        <f t="shared" si="6"/>
        <v>0</v>
      </c>
    </row>
    <row r="323" ht="22.5" customHeight="1">
      <c r="B323" s="41" t="s">
        <v>1872</v>
      </c>
      <c r="C323" s="43">
        <f t="array" ref="C323">IF(B323="","",_xlfn.XLOOKUP(B323,'Form responses 1'!$B$2:$B$2604,'Form responses 1'!$A$2:$A$2604,""))</f>
        <v>45589.39087</v>
      </c>
      <c r="D323" s="44" t="str">
        <f t="shared" si="3"/>
        <v>K/5/241024/2_45589.3908650579</v>
      </c>
      <c r="E323" s="44" t="str">
        <f t="array" ref="E323">IF(B323="","",_xlfn.XLOOKUP(B323,'Form responses 1'!$B$2:$B$2604,'Form responses 1'!$C$2:$C$2604,""))</f>
        <v>Adnan/ Yanti S H</v>
      </c>
      <c r="F323" s="44" t="str">
        <f t="array" ref="F323">IF(B323="","",_xlfn.XLOOKUP(B323,'Form responses 1'!$B$2:$B$2604,'Form responses 1'!$D$2:$D$2604,""))</f>
        <v>+62 853-8112-5445</v>
      </c>
      <c r="G323" s="44" t="str">
        <f t="array" ref="G323">IF(B323="","",_xlfn.XLOOKUP(B323,'Form responses 1'!$B$2:$B$2604,'Form responses 1'!$E$2:$E$2604,""))</f>
        <v>BN Waris</v>
      </c>
      <c r="H323" s="44" t="str">
        <f t="array" ref="H323">IF(B323="","",_xlfn.XLOOKUP(B323,'Form responses 1'!$B$2:$B$2604,'Form responses 1'!$F$2:$F$2604,""))</f>
        <v>M. 2955/ Sukarame Baru; M. 16806/ Sukarame-dahulu; B. 2357/ Sukarame-dahulu; </v>
      </c>
      <c r="I323" s="44" t="str">
        <f t="array" ref="I323">IF(B323="","",_xlfn.XLOOKUP(B323,'Form responses 1'!$B$2:$B$2604,'Form responses 1'!$I$2:$I$2604,""))</f>
        <v>Sukarame Baru</v>
      </c>
      <c r="J323" s="44" t="str">
        <f t="array" ref="J323">IF(B323="","",_xlfn.XLOOKUP(B323,'Form responses 1'!$B$2:$B$2604,'Form responses 1'!$G$2:$G$2604,""))</f>
        <v>Rapita</v>
      </c>
      <c r="K323" s="41" t="s">
        <v>422</v>
      </c>
      <c r="L323" s="52">
        <f t="shared" si="7"/>
        <v>45590.60833</v>
      </c>
      <c r="M323" s="49"/>
      <c r="N323" s="49"/>
      <c r="O323" s="49"/>
      <c r="P323" s="49"/>
      <c r="Q323" s="49"/>
      <c r="R323" s="49"/>
      <c r="S323" s="49"/>
      <c r="T323" s="49"/>
      <c r="U323" s="49"/>
      <c r="V323" s="49"/>
      <c r="W323" s="41" t="s">
        <v>618</v>
      </c>
      <c r="X323" s="46">
        <f t="shared" si="5"/>
        <v>45591.44947</v>
      </c>
      <c r="Y323" s="50" t="s">
        <v>482</v>
      </c>
      <c r="Z323" s="49">
        <f t="shared" si="6"/>
        <v>0</v>
      </c>
    </row>
    <row r="324" ht="22.5" customHeight="1">
      <c r="B324" s="41" t="s">
        <v>1934</v>
      </c>
      <c r="C324" s="43">
        <f t="array" ref="C324">IF(B324="","",_xlfn.XLOOKUP(B324,'Form responses 1'!$B$2:$B$2604,'Form responses 1'!$A$2:$A$2604,""))</f>
        <v>45589.46031</v>
      </c>
      <c r="D324" s="44" t="str">
        <f t="shared" si="3"/>
        <v>L/19/241024/2_45589.4603106366</v>
      </c>
      <c r="E324" s="44" t="str">
        <f t="array" ref="E324">IF(B324="","",_xlfn.XLOOKUP(B324,'Form responses 1'!$B$2:$B$2604,'Form responses 1'!$C$2:$C$2604,""))</f>
        <v>MUHAMAD WAHYU HARSENO</v>
      </c>
      <c r="F324" s="44" t="str">
        <f t="array" ref="F324">IF(B324="","",_xlfn.XLOOKUP(B324,'Form responses 1'!$B$2:$B$2604,'Form responses 1'!$D$2:$D$2604,""))</f>
        <v>085382077174</v>
      </c>
      <c r="G324" s="44" t="str">
        <f t="array" ref="G324">IF(B324="","",_xlfn.XLOOKUP(B324,'Form responses 1'!$B$2:$B$2604,'Form responses 1'!$E$2:$E$2604,""))</f>
        <v>SITA</v>
      </c>
      <c r="H324" s="44" t="str">
        <f t="array" ref="H324">IF(B324="","",_xlfn.XLOOKUP(B324,'Form responses 1'!$B$2:$B$2604,'Form responses 1'!$F$2:$F$2604,""))</f>
        <v>M.1249/SUKARAME BARU</v>
      </c>
      <c r="I324" s="44" t="str">
        <f t="array" ref="I324">IF(B324="","",_xlfn.XLOOKUP(B324,'Form responses 1'!$B$2:$B$2604,'Form responses 1'!$I$2:$I$2604,""))</f>
        <v>SUKARAME BARU</v>
      </c>
      <c r="J324" s="44" t="str">
        <f t="array" ref="J324">IF(B324="","",_xlfn.XLOOKUP(B324,'Form responses 1'!$B$2:$B$2604,'Form responses 1'!$G$2:$G$2604,""))</f>
        <v>Nuraini</v>
      </c>
      <c r="K324" s="41" t="s">
        <v>587</v>
      </c>
      <c r="L324" s="52">
        <f t="shared" si="7"/>
        <v>45590.65137</v>
      </c>
      <c r="M324" s="47" t="s">
        <v>5400</v>
      </c>
      <c r="N324" s="49"/>
      <c r="O324" s="49"/>
      <c r="P324" s="49"/>
      <c r="Q324" s="49"/>
      <c r="R324" s="49"/>
      <c r="S324" s="49"/>
      <c r="T324" s="49"/>
      <c r="U324" s="49"/>
      <c r="V324" s="49"/>
      <c r="W324" s="41" t="s">
        <v>618</v>
      </c>
      <c r="X324" s="46">
        <f t="shared" si="5"/>
        <v>45609.37827</v>
      </c>
      <c r="Y324" s="50" t="s">
        <v>482</v>
      </c>
      <c r="Z324" s="49">
        <f t="shared" si="6"/>
        <v>1</v>
      </c>
    </row>
    <row r="325" ht="22.5" customHeight="1">
      <c r="B325" s="41" t="s">
        <v>1888</v>
      </c>
      <c r="C325" s="43">
        <f t="array" ref="C325">IF(B325="","",_xlfn.XLOOKUP(B325,'Form responses 1'!$B$2:$B$2604,'Form responses 1'!$A$2:$A$2604,""))</f>
        <v>45589.39705</v>
      </c>
      <c r="D325" s="44" t="str">
        <f t="shared" si="3"/>
        <v>K/9/241024/1_45589.397049132</v>
      </c>
      <c r="E325" s="44" t="str">
        <f t="array" ref="E325">IF(B325="","",_xlfn.XLOOKUP(B325,'Form responses 1'!$B$2:$B$2604,'Form responses 1'!$C$2:$C$2604,""))</f>
        <v>Luciana/ Kessica L Cs</v>
      </c>
      <c r="F325" s="44" t="str">
        <f t="array" ref="F325">IF(B325="","",_xlfn.XLOOKUP(B325,'Form responses 1'!$B$2:$B$2604,'Form responses 1'!$D$2:$D$2604,""))</f>
        <v>081279224123</v>
      </c>
      <c r="G325" s="44" t="str">
        <f t="array" ref="G325">IF(B325="","",_xlfn.XLOOKUP(B325,'Form responses 1'!$B$2:$B$2604,'Form responses 1'!$E$2:$E$2604,""))</f>
        <v>Roya</v>
      </c>
      <c r="H325" s="44" t="str">
        <f t="array" ref="H325">IF(B325="","",_xlfn.XLOOKUP(B325,'Form responses 1'!$B$2:$B$2604,'Form responses 1'!$F$2:$F$2604,""))</f>
        <v>M. 9800/ Kedamaian; SHT 2878/2017 dan SHT 1059/20211</v>
      </c>
      <c r="I325" s="44" t="str">
        <f t="array" ref="I325">IF(B325="","",_xlfn.XLOOKUP(B325,'Form responses 1'!$B$2:$B$2604,'Form responses 1'!$I$2:$I$2604,""))</f>
        <v>Kedamaian</v>
      </c>
      <c r="J325" s="44" t="str">
        <f t="array" ref="J325">IF(B325="","",_xlfn.XLOOKUP(B325,'Form responses 1'!$B$2:$B$2604,'Form responses 1'!$G$2:$G$2604,""))</f>
        <v>Rapita</v>
      </c>
      <c r="K325" s="41" t="s">
        <v>587</v>
      </c>
      <c r="L325" s="52">
        <f t="shared" si="7"/>
        <v>45590.65158</v>
      </c>
      <c r="M325" s="47" t="s">
        <v>470</v>
      </c>
      <c r="N325" s="49"/>
      <c r="O325" s="49"/>
      <c r="P325" s="49"/>
      <c r="Q325" s="49"/>
      <c r="R325" s="49"/>
      <c r="S325" s="49"/>
      <c r="T325" s="49"/>
      <c r="U325" s="49"/>
      <c r="V325" s="49"/>
      <c r="W325" s="41" t="s">
        <v>470</v>
      </c>
      <c r="X325" s="46">
        <f t="shared" si="5"/>
        <v>45595.3262</v>
      </c>
      <c r="Y325" s="50" t="s">
        <v>482</v>
      </c>
      <c r="Z325" s="49">
        <f t="shared" si="6"/>
        <v>1</v>
      </c>
    </row>
    <row r="326" ht="22.5" customHeight="1">
      <c r="B326" s="41" t="s">
        <v>1945</v>
      </c>
      <c r="C326" s="43">
        <f t="array" ref="C326">IF(B326="","",_xlfn.XLOOKUP(B326,'Form responses 1'!$B$2:$B$2604,'Form responses 1'!$A$2:$A$2604,""))</f>
        <v>45589.47725</v>
      </c>
      <c r="D326" s="44" t="str">
        <f t="shared" si="3"/>
        <v>K/23/241024/1_45589.4772492477</v>
      </c>
      <c r="E326" s="44" t="str">
        <f t="array" ref="E326">IF(B326="","",_xlfn.XLOOKUP(B326,'Form responses 1'!$B$2:$B$2604,'Form responses 1'!$C$2:$C$2604,""))</f>
        <v>M. Areif S/ Ardi K A</v>
      </c>
      <c r="F326" s="44" t="str">
        <f t="array" ref="F326">IF(B326="","",_xlfn.XLOOKUP(B326,'Form responses 1'!$B$2:$B$2604,'Form responses 1'!$D$2:$D$2604,""))</f>
        <v>+62 853-5788-8886</v>
      </c>
      <c r="G326" s="44" t="str">
        <f t="array" ref="G326">IF(B326="","",_xlfn.XLOOKUP(B326,'Form responses 1'!$B$2:$B$2604,'Form responses 1'!$E$2:$E$2604,""))</f>
        <v>BN Jual Beli</v>
      </c>
      <c r="H326" s="44" t="str">
        <f t="array" ref="H326">IF(B326="","",_xlfn.XLOOKUP(B326,'Form responses 1'!$B$2:$B$2604,'Form responses 1'!$F$2:$F$2604,""))</f>
        <v>M. 16697/ Sukabumi</v>
      </c>
      <c r="I326" s="44" t="str">
        <f t="array" ref="I326">IF(B326="","",_xlfn.XLOOKUP(B326,'Form responses 1'!$B$2:$B$2604,'Form responses 1'!$I$2:$I$2604,""))</f>
        <v>Sukabumi</v>
      </c>
      <c r="J326" s="44" t="str">
        <f t="array" ref="J326">IF(B326="","",_xlfn.XLOOKUP(B326,'Form responses 1'!$B$2:$B$2604,'Form responses 1'!$G$2:$G$2604,""))</f>
        <v>Rapita</v>
      </c>
      <c r="K326" s="41" t="s">
        <v>587</v>
      </c>
      <c r="L326" s="52">
        <f t="shared" si="7"/>
        <v>45590.65177</v>
      </c>
      <c r="M326" s="47" t="s">
        <v>470</v>
      </c>
      <c r="N326" s="49"/>
      <c r="O326" s="49"/>
      <c r="P326" s="49"/>
      <c r="Q326" s="49"/>
      <c r="R326" s="49"/>
      <c r="S326" s="49"/>
      <c r="T326" s="49"/>
      <c r="U326" s="49"/>
      <c r="V326" s="49"/>
      <c r="W326" s="41" t="s">
        <v>470</v>
      </c>
      <c r="X326" s="46">
        <f t="shared" si="5"/>
        <v>45597.62083</v>
      </c>
      <c r="Y326" s="50" t="s">
        <v>482</v>
      </c>
      <c r="Z326" s="49">
        <f t="shared" si="6"/>
        <v>1</v>
      </c>
    </row>
    <row r="327" ht="22.5" customHeight="1">
      <c r="B327" s="41" t="s">
        <v>1877</v>
      </c>
      <c r="C327" s="43">
        <f t="array" ref="C327">IF(B327="","",_xlfn.XLOOKUP(B327,'Form responses 1'!$B$2:$B$2604,'Form responses 1'!$A$2:$A$2604,""))</f>
        <v>45589.39131</v>
      </c>
      <c r="D327" s="44" t="str">
        <f t="shared" si="3"/>
        <v>K/6/241024/3_45589.3913148958</v>
      </c>
      <c r="E327" s="44" t="str">
        <f t="array" ref="E327">IF(B327="","",_xlfn.XLOOKUP(B327,'Form responses 1'!$B$2:$B$2604,'Form responses 1'!$C$2:$C$2604,""))</f>
        <v>Vitta N/ pepang qq daniella</v>
      </c>
      <c r="F327" s="44" t="str">
        <f t="array" ref="F327">IF(B327="","",_xlfn.XLOOKUP(B327,'Form responses 1'!$B$2:$B$2604,'Form responses 1'!$D$2:$D$2604,""))</f>
        <v>0821813637272</v>
      </c>
      <c r="G327" s="44" t="str">
        <f t="array" ref="G327">IF(B327="","",_xlfn.XLOOKUP(B327,'Form responses 1'!$B$2:$B$2604,'Form responses 1'!$E$2:$E$2604,""))</f>
        <v>BN Jual Beli</v>
      </c>
      <c r="H327" s="44" t="str">
        <f t="array" ref="H327">IF(B327="","",_xlfn.XLOOKUP(B327,'Form responses 1'!$B$2:$B$2604,'Form responses 1'!$F$2:$F$2604,""))</f>
        <v>M. 1498/ Kali Balau Kencana-sekarang; M. 11808/ Tanjung Baru-dahulu</v>
      </c>
      <c r="I327" s="44" t="str">
        <f t="array" ref="I327">IF(B327="","",_xlfn.XLOOKUP(B327,'Form responses 1'!$B$2:$B$2604,'Form responses 1'!$I$2:$I$2604,""))</f>
        <v>Kali Balau Kencana</v>
      </c>
      <c r="J327" s="44" t="str">
        <f t="array" ref="J327">IF(B327="","",_xlfn.XLOOKUP(B327,'Form responses 1'!$B$2:$B$2604,'Form responses 1'!$G$2:$G$2604,""))</f>
        <v>Hananda</v>
      </c>
      <c r="K327" s="41" t="s">
        <v>587</v>
      </c>
      <c r="L327" s="52">
        <f t="shared" si="7"/>
        <v>45590.65216</v>
      </c>
      <c r="M327" s="47" t="s">
        <v>470</v>
      </c>
      <c r="N327" s="47" t="s">
        <v>5214</v>
      </c>
      <c r="O327" s="49"/>
      <c r="P327" s="49"/>
      <c r="Q327" s="49"/>
      <c r="R327" s="49"/>
      <c r="S327" s="49"/>
      <c r="T327" s="49"/>
      <c r="U327" s="49"/>
      <c r="V327" s="49"/>
      <c r="W327" s="41" t="s">
        <v>618</v>
      </c>
      <c r="X327" s="46">
        <f t="shared" si="5"/>
        <v>45607.33036</v>
      </c>
      <c r="Y327" s="50" t="s">
        <v>482</v>
      </c>
      <c r="Z327" s="49">
        <f t="shared" si="6"/>
        <v>2</v>
      </c>
    </row>
    <row r="328" ht="22.5" customHeight="1">
      <c r="B328" s="41" t="s">
        <v>1899</v>
      </c>
      <c r="C328" s="43">
        <f t="array" ref="C328">IF(B328="","",_xlfn.XLOOKUP(B328,'Form responses 1'!$B$2:$B$2604,'Form responses 1'!$A$2:$A$2604,""))</f>
        <v>45589.41736</v>
      </c>
      <c r="D328" s="44" t="str">
        <f t="shared" si="3"/>
        <v>K/11/241024/1_45589.4173619329</v>
      </c>
      <c r="E328" s="44" t="str">
        <f t="array" ref="E328">IF(B328="","",_xlfn.XLOOKUP(B328,'Form responses 1'!$B$2:$B$2604,'Form responses 1'!$C$2:$C$2604,""))</f>
        <v>A Roswantama/ Sulaiman cs</v>
      </c>
      <c r="F328" s="44" t="str">
        <f t="array" ref="F328">IF(B328="","",_xlfn.XLOOKUP(B328,'Form responses 1'!$B$2:$B$2604,'Form responses 1'!$D$2:$D$2604,""))</f>
        <v>081369488565</v>
      </c>
      <c r="G328" s="44" t="str">
        <f t="array" ref="G328">IF(B328="","",_xlfn.XLOOKUP(B328,'Form responses 1'!$B$2:$B$2604,'Form responses 1'!$E$2:$E$2604,""))</f>
        <v>BN Waris</v>
      </c>
      <c r="H328" s="44" t="str">
        <f t="array" ref="H328">IF(B328="","",_xlfn.XLOOKUP(B328,'Form responses 1'!$B$2:$B$2604,'Form responses 1'!$F$2:$F$2604,""))</f>
        <v>M. 2231/ Durian Payung</v>
      </c>
      <c r="I328" s="44" t="str">
        <f t="array" ref="I328">IF(B328="","",_xlfn.XLOOKUP(B328,'Form responses 1'!$B$2:$B$2604,'Form responses 1'!$I$2:$I$2604,""))</f>
        <v>Durian Payung</v>
      </c>
      <c r="J328" s="44" t="str">
        <f t="array" ref="J328">IF(B328="","",_xlfn.XLOOKUP(B328,'Form responses 1'!$B$2:$B$2604,'Form responses 1'!$G$2:$G$2604,""))</f>
        <v>Hananda</v>
      </c>
      <c r="K328" s="41" t="s">
        <v>587</v>
      </c>
      <c r="L328" s="52">
        <f t="shared" si="7"/>
        <v>45590.65238</v>
      </c>
      <c r="M328" s="47" t="s">
        <v>470</v>
      </c>
      <c r="N328" s="49"/>
      <c r="O328" s="49"/>
      <c r="P328" s="49"/>
      <c r="Q328" s="49"/>
      <c r="R328" s="49"/>
      <c r="S328" s="49"/>
      <c r="T328" s="49"/>
      <c r="U328" s="49"/>
      <c r="V328" s="49"/>
      <c r="W328" s="41" t="s">
        <v>470</v>
      </c>
      <c r="X328" s="46">
        <f t="shared" si="5"/>
        <v>45597.62693</v>
      </c>
      <c r="Y328" s="50" t="s">
        <v>482</v>
      </c>
      <c r="Z328" s="49">
        <f t="shared" si="6"/>
        <v>1</v>
      </c>
    </row>
    <row r="329" ht="22.5" customHeight="1">
      <c r="B329" s="41" t="s">
        <v>1957</v>
      </c>
      <c r="C329" s="43">
        <f t="array" ref="C329">IF(B329="","",_xlfn.XLOOKUP(B329,'Form responses 1'!$B$2:$B$2604,'Form responses 1'!$A$2:$A$2604,""))</f>
        <v>45589.48154</v>
      </c>
      <c r="D329" s="44" t="str">
        <f t="shared" si="3"/>
        <v>K/26/241024/3_45589.4815423611</v>
      </c>
      <c r="E329" s="44" t="str">
        <f t="array" ref="E329">IF(B329="","",_xlfn.XLOOKUP(B329,'Form responses 1'!$B$2:$B$2604,'Form responses 1'!$C$2:$C$2604,""))</f>
        <v>JARWOTO/ENDANG APRILIA</v>
      </c>
      <c r="F329" s="44" t="str">
        <f t="array" ref="F329">IF(B329="","",_xlfn.XLOOKUP(B329,'Form responses 1'!$B$2:$B$2604,'Form responses 1'!$D$2:$D$2604,""))</f>
        <v>0822-8923-5722</v>
      </c>
      <c r="G329" s="44" t="str">
        <f t="array" ref="G329">IF(B329="","",_xlfn.XLOOKUP(B329,'Form responses 1'!$B$2:$B$2604,'Form responses 1'!$E$2:$E$2604,""))</f>
        <v>BN JUAL BELI</v>
      </c>
      <c r="H329" s="44" t="str">
        <f t="array" ref="H329">IF(B329="","",_xlfn.XLOOKUP(B329,'Form responses 1'!$B$2:$B$2604,'Form responses 1'!$F$2:$F$2604,""))</f>
        <v>B.657/KEMILING PERMAI</v>
      </c>
      <c r="I329" s="44" t="str">
        <f t="array" ref="I329">IF(B329="","",_xlfn.XLOOKUP(B329,'Form responses 1'!$B$2:$B$2604,'Form responses 1'!$I$2:$I$2604,""))</f>
        <v>KEMILING PERMAI</v>
      </c>
      <c r="J329" s="44" t="str">
        <f t="array" ref="J329">IF(B329="","",_xlfn.XLOOKUP(B329,'Form responses 1'!$B$2:$B$2604,'Form responses 1'!$G$2:$G$2604,""))</f>
        <v>Baynur</v>
      </c>
      <c r="K329" s="41" t="s">
        <v>587</v>
      </c>
      <c r="L329" s="52">
        <f t="shared" si="7"/>
        <v>45590.65263</v>
      </c>
      <c r="M329" s="47" t="s">
        <v>470</v>
      </c>
      <c r="N329" s="47" t="s">
        <v>5265</v>
      </c>
      <c r="O329" s="49"/>
      <c r="P329" s="49"/>
      <c r="Q329" s="49"/>
      <c r="R329" s="49"/>
      <c r="S329" s="49"/>
      <c r="T329" s="49"/>
      <c r="U329" s="49"/>
      <c r="V329" s="49"/>
      <c r="W329" s="41" t="s">
        <v>618</v>
      </c>
      <c r="X329" s="46">
        <f t="shared" si="5"/>
        <v>45600.43327</v>
      </c>
      <c r="Y329" s="50" t="s">
        <v>482</v>
      </c>
      <c r="Z329" s="49">
        <f t="shared" si="6"/>
        <v>2</v>
      </c>
    </row>
    <row r="330" ht="22.5" customHeight="1">
      <c r="B330" s="41" t="s">
        <v>2157</v>
      </c>
      <c r="C330" s="43">
        <f t="array" ref="C330">IF(B330="","",_xlfn.XLOOKUP(B330,'Form responses 1'!$B$2:$B$2604,'Form responses 1'!$A$2:$A$2604,""))</f>
        <v>45590.47119</v>
      </c>
      <c r="D330" s="44" t="str">
        <f t="shared" si="3"/>
        <v>K/18/251024/3_45590.4711926505</v>
      </c>
      <c r="E330" s="44" t="str">
        <f t="array" ref="E330">IF(B330="","",_xlfn.XLOOKUP(B330,'Form responses 1'!$B$2:$B$2604,'Form responses 1'!$C$2:$C$2604,""))</f>
        <v>Eka Sari T/ Ilmiati S</v>
      </c>
      <c r="F330" s="44" t="str">
        <f t="array" ref="F330">IF(B330="","",_xlfn.XLOOKUP(B330,'Form responses 1'!$B$2:$B$2604,'Form responses 1'!$D$2:$D$2604,""))</f>
        <v>+62 895-3631-14046</v>
      </c>
      <c r="G330" s="44" t="str">
        <f t="array" ref="G330">IF(B330="","",_xlfn.XLOOKUP(B330,'Form responses 1'!$B$2:$B$2604,'Form responses 1'!$E$2:$E$2604,""))</f>
        <v>BN Jual Beli</v>
      </c>
      <c r="H330" s="44" t="str">
        <f t="array" ref="H330">IF(B330="","",_xlfn.XLOOKUP(B330,'Form responses 1'!$B$2:$B$2604,'Form responses 1'!$F$2:$F$2604,""))</f>
        <v>M. 2528/ Pinang Jaya</v>
      </c>
      <c r="I330" s="44" t="str">
        <f t="array" ref="I330">IF(B330="","",_xlfn.XLOOKUP(B330,'Form responses 1'!$B$2:$B$2604,'Form responses 1'!$I$2:$I$2604,""))</f>
        <v>Pinang Jaya</v>
      </c>
      <c r="J330" s="44" t="str">
        <f t="array" ref="J330">IF(B330="","",_xlfn.XLOOKUP(B330,'Form responses 1'!$B$2:$B$2604,'Form responses 1'!$G$2:$G$2604,""))</f>
        <v>Rapita</v>
      </c>
      <c r="K330" s="41" t="s">
        <v>587</v>
      </c>
      <c r="L330" s="52">
        <f t="shared" si="7"/>
        <v>45590.67841</v>
      </c>
      <c r="M330" s="47" t="s">
        <v>470</v>
      </c>
      <c r="N330" s="47" t="s">
        <v>5214</v>
      </c>
      <c r="O330" s="49"/>
      <c r="P330" s="49"/>
      <c r="Q330" s="49"/>
      <c r="R330" s="49"/>
      <c r="S330" s="49"/>
      <c r="T330" s="49"/>
      <c r="U330" s="49"/>
      <c r="V330" s="49"/>
      <c r="W330" s="41" t="s">
        <v>618</v>
      </c>
      <c r="X330" s="46">
        <f t="shared" si="5"/>
        <v>45607.32294</v>
      </c>
      <c r="Y330" s="50" t="s">
        <v>482</v>
      </c>
      <c r="Z330" s="49">
        <f t="shared" si="6"/>
        <v>2</v>
      </c>
    </row>
    <row r="331" ht="22.5" customHeight="1">
      <c r="B331" s="41" t="s">
        <v>2119</v>
      </c>
      <c r="C331" s="43">
        <f t="array" ref="C331">IF(B331="","",_xlfn.XLOOKUP(B331,'Form responses 1'!$B$2:$B$2604,'Form responses 1'!$A$2:$A$2604,""))</f>
        <v>45590.43063</v>
      </c>
      <c r="D331" s="44" t="str">
        <f t="shared" si="3"/>
        <v>K/11/251024/1_45590.4306264236</v>
      </c>
      <c r="E331" s="44" t="str">
        <f t="array" ref="E331">IF(B331="","",_xlfn.XLOOKUP(B331,'Form responses 1'!$B$2:$B$2604,'Form responses 1'!$C$2:$C$2604,""))</f>
        <v>Fahmi Sasmita/ Erilisa</v>
      </c>
      <c r="F331" s="44" t="str">
        <f t="array" ref="F331">IF(B331="","",_xlfn.XLOOKUP(B331,'Form responses 1'!$B$2:$B$2604,'Form responses 1'!$D$2:$D$2604,""))</f>
        <v>082181667663</v>
      </c>
      <c r="G331" s="44" t="str">
        <f t="array" ref="G331">IF(B331="","",_xlfn.XLOOKUP(B331,'Form responses 1'!$B$2:$B$2604,'Form responses 1'!$E$2:$E$2604,""))</f>
        <v>BN Hibah</v>
      </c>
      <c r="H331" s="44" t="str">
        <f t="array" ref="H331">IF(B331="","",_xlfn.XLOOKUP(B331,'Form responses 1'!$B$2:$B$2604,'Form responses 1'!$F$2:$F$2604,""))</f>
        <v>M. 13693/ Korpri Raya; M. 13693/ Sukarame-dahulu</v>
      </c>
      <c r="I331" s="44" t="str">
        <f t="array" ref="I331">IF(B331="","",_xlfn.XLOOKUP(B331,'Form responses 1'!$B$2:$B$2604,'Form responses 1'!$I$2:$I$2604,""))</f>
        <v>Korpri Raya</v>
      </c>
      <c r="J331" s="44" t="str">
        <f t="array" ref="J331">IF(B331="","",_xlfn.XLOOKUP(B331,'Form responses 1'!$B$2:$B$2604,'Form responses 1'!$G$2:$G$2604,""))</f>
        <v>Rapita</v>
      </c>
      <c r="K331" s="41" t="s">
        <v>587</v>
      </c>
      <c r="L331" s="52">
        <f t="shared" si="7"/>
        <v>45590.67866</v>
      </c>
      <c r="M331" s="47" t="s">
        <v>470</v>
      </c>
      <c r="N331" s="47" t="s">
        <v>5214</v>
      </c>
      <c r="O331" s="49"/>
      <c r="P331" s="49"/>
      <c r="Q331" s="49"/>
      <c r="R331" s="49"/>
      <c r="S331" s="49"/>
      <c r="T331" s="49"/>
      <c r="U331" s="49"/>
      <c r="V331" s="49"/>
      <c r="W331" s="41" t="s">
        <v>618</v>
      </c>
      <c r="X331" s="46">
        <f t="shared" si="5"/>
        <v>45607.32179</v>
      </c>
      <c r="Y331" s="50" t="s">
        <v>482</v>
      </c>
      <c r="Z331" s="49">
        <f t="shared" si="6"/>
        <v>2</v>
      </c>
    </row>
    <row r="332" ht="22.5" customHeight="1">
      <c r="B332" s="41" t="s">
        <v>2287</v>
      </c>
      <c r="C332" s="43">
        <f t="array" ref="C332">IF(B332="","",_xlfn.XLOOKUP(B332,'Form responses 1'!$B$2:$B$2604,'Form responses 1'!$A$2:$A$2604,""))</f>
        <v>45590.64692</v>
      </c>
      <c r="D332" s="44" t="str">
        <f t="shared" si="3"/>
        <v>K/53/251024/1_45590.6469209722</v>
      </c>
      <c r="E332" s="44" t="str">
        <f t="array" ref="E332">IF(B332="","",_xlfn.XLOOKUP(B332,'Form responses 1'!$B$2:$B$2604,'Form responses 1'!$C$2:$C$2604,""))</f>
        <v>Rendy R/ Suryono</v>
      </c>
      <c r="F332" s="44" t="str">
        <f t="array" ref="F332">IF(B332="","",_xlfn.XLOOKUP(B332,'Form responses 1'!$B$2:$B$2604,'Form responses 1'!$D$2:$D$2604,""))</f>
        <v>+62 895-0895-6656</v>
      </c>
      <c r="G332" s="44" t="str">
        <f t="array" ref="G332">IF(B332="","",_xlfn.XLOOKUP(B332,'Form responses 1'!$B$2:$B$2604,'Form responses 1'!$E$2:$E$2604,""))</f>
        <v>Roya</v>
      </c>
      <c r="H332" s="44" t="str">
        <f t="array" ref="H332">IF(B332="","",_xlfn.XLOOKUP(B332,'Form responses 1'!$B$2:$B$2604,'Form responses 1'!$F$2:$F$2604,""))</f>
        <v>M. 22/ Perwata dan SHT 7366/2013</v>
      </c>
      <c r="I332" s="44" t="str">
        <f t="array" ref="I332">IF(B332="","",_xlfn.XLOOKUP(B332,'Form responses 1'!$B$2:$B$2604,'Form responses 1'!$I$2:$I$2604,""))</f>
        <v>Perwata</v>
      </c>
      <c r="J332" s="44" t="str">
        <f t="array" ref="J332">IF(B332="","",_xlfn.XLOOKUP(B332,'Form responses 1'!$B$2:$B$2604,'Form responses 1'!$G$2:$G$2604,""))</f>
        <v>Rapita</v>
      </c>
      <c r="K332" s="41" t="s">
        <v>587</v>
      </c>
      <c r="L332" s="52">
        <f t="shared" si="7"/>
        <v>45590.67888</v>
      </c>
      <c r="M332" s="47" t="s">
        <v>470</v>
      </c>
      <c r="N332" s="47" t="s">
        <v>5214</v>
      </c>
      <c r="O332" s="49"/>
      <c r="P332" s="49"/>
      <c r="Q332" s="49"/>
      <c r="R332" s="49"/>
      <c r="S332" s="49"/>
      <c r="T332" s="49"/>
      <c r="U332" s="49"/>
      <c r="V332" s="49"/>
      <c r="W332" s="41" t="s">
        <v>618</v>
      </c>
      <c r="X332" s="46">
        <f t="shared" si="5"/>
        <v>45607.32213</v>
      </c>
      <c r="Y332" s="50" t="s">
        <v>482</v>
      </c>
      <c r="Z332" s="49">
        <f t="shared" si="6"/>
        <v>2</v>
      </c>
    </row>
    <row r="333" ht="22.5" customHeight="1">
      <c r="B333" s="41" t="s">
        <v>2202</v>
      </c>
      <c r="C333" s="43">
        <f t="array" ref="C333">IF(B333="","",_xlfn.XLOOKUP(B333,'Form responses 1'!$B$2:$B$2604,'Form responses 1'!$A$2:$A$2604,""))</f>
        <v>45590.5729</v>
      </c>
      <c r="D333" s="44" t="str">
        <f t="shared" si="3"/>
        <v>K/31/251024/2_45590.5729036574</v>
      </c>
      <c r="E333" s="44" t="str">
        <f t="array" ref="E333">IF(B333="","",_xlfn.XLOOKUP(B333,'Form responses 1'!$B$2:$B$2604,'Form responses 1'!$C$2:$C$2604,""))</f>
        <v>Reflan R/ Dwi M</v>
      </c>
      <c r="F333" s="44" t="str">
        <f t="array" ref="F333">IF(B333="","",_xlfn.XLOOKUP(B333,'Form responses 1'!$B$2:$B$2604,'Form responses 1'!$D$2:$D$2604,""))</f>
        <v>+62 822-6948-0192</v>
      </c>
      <c r="G333" s="44" t="str">
        <f t="array" ref="G333">IF(B333="","",_xlfn.XLOOKUP(B333,'Form responses 1'!$B$2:$B$2604,'Form responses 1'!$E$2:$E$2604,""))</f>
        <v>Perubahan Hak</v>
      </c>
      <c r="H333" s="44" t="str">
        <f t="array" ref="H333">IF(B333="","",_xlfn.XLOOKUP(B333,'Form responses 1'!$B$2:$B$2604,'Form responses 1'!$F$2:$F$2604,""))</f>
        <v>B. 503/ Gunung Sulah</v>
      </c>
      <c r="I333" s="44" t="str">
        <f t="array" ref="I333">IF(B333="","",_xlfn.XLOOKUP(B333,'Form responses 1'!$B$2:$B$2604,'Form responses 1'!$I$2:$I$2604,""))</f>
        <v>Gunung Sulah</v>
      </c>
      <c r="J333" s="44" t="str">
        <f t="array" ref="J333">IF(B333="","",_xlfn.XLOOKUP(B333,'Form responses 1'!$B$2:$B$2604,'Form responses 1'!$G$2:$G$2604,""))</f>
        <v>Rapita</v>
      </c>
      <c r="K333" s="41" t="s">
        <v>587</v>
      </c>
      <c r="L333" s="52">
        <f t="shared" si="7"/>
        <v>45590.6791</v>
      </c>
      <c r="M333" s="47" t="s">
        <v>470</v>
      </c>
      <c r="N333" s="49"/>
      <c r="O333" s="49"/>
      <c r="P333" s="49"/>
      <c r="Q333" s="49"/>
      <c r="R333" s="49"/>
      <c r="S333" s="49"/>
      <c r="T333" s="49"/>
      <c r="U333" s="49"/>
      <c r="V333" s="49"/>
      <c r="W333" s="41" t="s">
        <v>470</v>
      </c>
      <c r="X333" s="46">
        <f t="shared" si="5"/>
        <v>45607.62431</v>
      </c>
      <c r="Y333" s="50" t="s">
        <v>482</v>
      </c>
      <c r="Z333" s="49">
        <f t="shared" si="6"/>
        <v>1</v>
      </c>
    </row>
    <row r="334" ht="22.5" customHeight="1">
      <c r="B334" s="41" t="s">
        <v>2187</v>
      </c>
      <c r="C334" s="43">
        <f t="array" ref="C334">IF(B334="","",_xlfn.XLOOKUP(B334,'Form responses 1'!$B$2:$B$2604,'Form responses 1'!$A$2:$A$2604,""))</f>
        <v>45590.56617</v>
      </c>
      <c r="D334" s="44" t="str">
        <f t="shared" si="3"/>
        <v>K/29/251024/3_45590.5661704861</v>
      </c>
      <c r="E334" s="44" t="str">
        <f t="array" ref="E334">IF(B334="","",_xlfn.XLOOKUP(B334,'Form responses 1'!$B$2:$B$2604,'Form responses 1'!$C$2:$C$2604,""))</f>
        <v>triadi k/ joko</v>
      </c>
      <c r="F334" s="44" t="str">
        <f t="array" ref="F334">IF(B334="","",_xlfn.XLOOKUP(B334,'Form responses 1'!$B$2:$B$2604,'Form responses 1'!$D$2:$D$2604,""))</f>
        <v>081369279395</v>
      </c>
      <c r="G334" s="44" t="str">
        <f t="array" ref="G334">IF(B334="","",_xlfn.XLOOKUP(B334,'Form responses 1'!$B$2:$B$2604,'Form responses 1'!$E$2:$E$2604,""))</f>
        <v>bn jual beli</v>
      </c>
      <c r="H334" s="44" t="str">
        <f t="array" ref="H334">IF(B334="","",_xlfn.XLOOKUP(B334,'Form responses 1'!$B$2:$B$2604,'Form responses 1'!$F$2:$F$2604,""))</f>
        <v>m. 2586/ Gedong AIr</v>
      </c>
      <c r="I334" s="44" t="str">
        <f t="array" ref="I334">IF(B334="","",_xlfn.XLOOKUP(B334,'Form responses 1'!$B$2:$B$2604,'Form responses 1'!$I$2:$I$2604,""))</f>
        <v>Gedong AIr</v>
      </c>
      <c r="J334" s="44" t="str">
        <f t="array" ref="J334">IF(B334="","",_xlfn.XLOOKUP(B334,'Form responses 1'!$B$2:$B$2604,'Form responses 1'!$G$2:$G$2604,""))</f>
        <v>Hananda</v>
      </c>
      <c r="K334" s="41" t="s">
        <v>587</v>
      </c>
      <c r="L334" s="52">
        <f t="shared" si="7"/>
        <v>45590.67938</v>
      </c>
      <c r="M334" s="47" t="s">
        <v>470</v>
      </c>
      <c r="N334" s="49"/>
      <c r="O334" s="49"/>
      <c r="P334" s="49"/>
      <c r="Q334" s="49"/>
      <c r="R334" s="49"/>
      <c r="S334" s="49"/>
      <c r="T334" s="49"/>
      <c r="U334" s="49"/>
      <c r="V334" s="49"/>
      <c r="W334" s="41" t="s">
        <v>470</v>
      </c>
      <c r="X334" s="46">
        <f t="shared" si="5"/>
        <v>45595.32759</v>
      </c>
      <c r="Y334" s="50" t="s">
        <v>482</v>
      </c>
      <c r="Z334" s="49">
        <f t="shared" si="6"/>
        <v>1</v>
      </c>
    </row>
    <row r="335" ht="22.5" customHeight="1">
      <c r="B335" s="41" t="s">
        <v>2168</v>
      </c>
      <c r="C335" s="43">
        <f t="array" ref="C335">IF(B335="","",_xlfn.XLOOKUP(B335,'Form responses 1'!$B$2:$B$2604,'Form responses 1'!$A$2:$A$2604,""))</f>
        <v>45590.55378</v>
      </c>
      <c r="D335" s="44" t="str">
        <f t="shared" si="3"/>
        <v>K/22/251024/2_45590.5537750579</v>
      </c>
      <c r="E335" s="44" t="str">
        <f t="array" ref="E335">IF(B335="","",_xlfn.XLOOKUP(B335,'Form responses 1'!$B$2:$B$2604,'Form responses 1'!$C$2:$C$2604,""))</f>
        <v>dito saputra</v>
      </c>
      <c r="F335" s="44" t="str">
        <f t="array" ref="F335">IF(B335="","",_xlfn.XLOOKUP(B335,'Form responses 1'!$B$2:$B$2604,'Form responses 1'!$D$2:$D$2604,""))</f>
        <v>081369350683</v>
      </c>
      <c r="G335" s="44" t="str">
        <f t="array" ref="G335">IF(B335="","",_xlfn.XLOOKUP(B335,'Form responses 1'!$B$2:$B$2604,'Form responses 1'!$E$2:$E$2604,""))</f>
        <v>SKPT LELANG</v>
      </c>
      <c r="H335" s="44" t="str">
        <f t="array" ref="H335">IF(B335="","",_xlfn.XLOOKUP(B335,'Form responses 1'!$B$2:$B$2604,'Form responses 1'!$F$2:$F$2604,""))</f>
        <v>M. 63/ Labuhan Dalam</v>
      </c>
      <c r="I335" s="44" t="str">
        <f t="array" ref="I335">IF(B335="","",_xlfn.XLOOKUP(B335,'Form responses 1'!$B$2:$B$2604,'Form responses 1'!$I$2:$I$2604,""))</f>
        <v>Labuhan Dalam</v>
      </c>
      <c r="J335" s="44" t="str">
        <f t="array" ref="J335">IF(B335="","",_xlfn.XLOOKUP(B335,'Form responses 1'!$B$2:$B$2604,'Form responses 1'!$G$2:$G$2604,""))</f>
        <v>Hananda</v>
      </c>
      <c r="K335" s="41" t="s">
        <v>587</v>
      </c>
      <c r="L335" s="52">
        <f t="shared" si="7"/>
        <v>45590.67981</v>
      </c>
      <c r="M335" s="47" t="s">
        <v>470</v>
      </c>
      <c r="N335" s="49"/>
      <c r="O335" s="49"/>
      <c r="P335" s="49"/>
      <c r="Q335" s="49"/>
      <c r="R335" s="49"/>
      <c r="S335" s="49"/>
      <c r="T335" s="49"/>
      <c r="U335" s="49"/>
      <c r="V335" s="49"/>
      <c r="W335" s="41" t="s">
        <v>470</v>
      </c>
      <c r="X335" s="46">
        <f t="shared" si="5"/>
        <v>45595.32705</v>
      </c>
      <c r="Y335" s="50" t="s">
        <v>482</v>
      </c>
      <c r="Z335" s="49">
        <f t="shared" si="6"/>
        <v>1</v>
      </c>
    </row>
    <row r="336" ht="22.5" customHeight="1">
      <c r="B336" s="41" t="s">
        <v>2242</v>
      </c>
      <c r="C336" s="43">
        <f t="array" ref="C336">IF(B336="","",_xlfn.XLOOKUP(B336,'Form responses 1'!$B$2:$B$2604,'Form responses 1'!$A$2:$A$2604,""))</f>
        <v>45590.60982</v>
      </c>
      <c r="D336" s="44" t="str">
        <f t="shared" si="3"/>
        <v>K/43/251024/2_45590.609822338</v>
      </c>
      <c r="E336" s="44" t="str">
        <f t="array" ref="E336">IF(B336="","",_xlfn.XLOOKUP(B336,'Form responses 1'!$B$2:$B$2604,'Form responses 1'!$C$2:$C$2604,""))</f>
        <v>ACHMAD MULYA/ ALIH FAHRUL</v>
      </c>
      <c r="F336" s="44" t="str">
        <f t="array" ref="F336">IF(B336="","",_xlfn.XLOOKUP(B336,'Form responses 1'!$B$2:$B$2604,'Form responses 1'!$D$2:$D$2604,""))</f>
        <v>085269925488</v>
      </c>
      <c r="G336" s="44" t="str">
        <f t="array" ref="G336">IF(B336="","",_xlfn.XLOOKUP(B336,'Form responses 1'!$B$2:$B$2604,'Form responses 1'!$E$2:$E$2604,""))</f>
        <v>ROYA</v>
      </c>
      <c r="H336" s="44" t="str">
        <f t="array" ref="H336">IF(B336="","",_xlfn.XLOOKUP(B336,'Form responses 1'!$B$2:$B$2604,'Form responses 1'!$F$2:$F$2604,""))</f>
        <v>M. 3289/ kota baru</v>
      </c>
      <c r="I336" s="44" t="str">
        <f t="array" ref="I336">IF(B336="","",_xlfn.XLOOKUP(B336,'Form responses 1'!$B$2:$B$2604,'Form responses 1'!$I$2:$I$2604,""))</f>
        <v>kota baru</v>
      </c>
      <c r="J336" s="44" t="str">
        <f t="array" ref="J336">IF(B336="","",_xlfn.XLOOKUP(B336,'Form responses 1'!$B$2:$B$2604,'Form responses 1'!$G$2:$G$2604,""))</f>
        <v>Hananda</v>
      </c>
      <c r="K336" s="41" t="s">
        <v>587</v>
      </c>
      <c r="L336" s="52">
        <f t="shared" si="7"/>
        <v>45590.6804</v>
      </c>
      <c r="M336" s="47" t="s">
        <v>470</v>
      </c>
      <c r="N336" s="47" t="s">
        <v>5221</v>
      </c>
      <c r="O336" s="49"/>
      <c r="P336" s="49"/>
      <c r="Q336" s="49"/>
      <c r="R336" s="49"/>
      <c r="S336" s="49"/>
      <c r="T336" s="49"/>
      <c r="U336" s="49"/>
      <c r="V336" s="49"/>
      <c r="W336" s="41" t="s">
        <v>618</v>
      </c>
      <c r="X336" s="46">
        <f t="shared" si="5"/>
        <v>45595.32783</v>
      </c>
      <c r="Y336" s="50" t="s">
        <v>482</v>
      </c>
      <c r="Z336" s="49">
        <f t="shared" si="6"/>
        <v>2</v>
      </c>
    </row>
    <row r="337" ht="22.5" customHeight="1">
      <c r="B337" s="41" t="s">
        <v>2103</v>
      </c>
      <c r="C337" s="43">
        <f t="array" ref="C337">IF(B337="","",_xlfn.XLOOKUP(B337,'Form responses 1'!$B$2:$B$2604,'Form responses 1'!$A$2:$A$2604,""))</f>
        <v>45590.42176</v>
      </c>
      <c r="D337" s="44" t="str">
        <f t="shared" si="3"/>
        <v>K/6/251024/1_45590.4217616435</v>
      </c>
      <c r="E337" s="44" t="str">
        <f t="array" ref="E337">IF(B337="","",_xlfn.XLOOKUP(B337,'Form responses 1'!$B$2:$B$2604,'Form responses 1'!$C$2:$C$2604,""))</f>
        <v>PT KEONG NUSANTARA ABADI/KHRESNA DJUAINI</v>
      </c>
      <c r="F337" s="44" t="str">
        <f t="array" ref="F337">IF(B337="","",_xlfn.XLOOKUP(B337,'Form responses 1'!$B$2:$B$2604,'Form responses 1'!$D$2:$D$2604,""))</f>
        <v>089506584856</v>
      </c>
      <c r="G337" s="44" t="str">
        <f t="array" ref="G337">IF(B337="","",_xlfn.XLOOKUP(B337,'Form responses 1'!$B$2:$B$2604,'Form responses 1'!$E$2:$E$2604,""))</f>
        <v>BN JUAL BELI</v>
      </c>
      <c r="H337" s="44" t="str">
        <f t="array" ref="H337">IF(B337="","",_xlfn.XLOOKUP(B337,'Form responses 1'!$B$2:$B$2604,'Form responses 1'!$F$2:$F$2604,""))</f>
        <v>NIBEL B.748/KANGKUNG</v>
      </c>
      <c r="I337" s="44" t="str">
        <f t="array" ref="I337">IF(B337="","",_xlfn.XLOOKUP(B337,'Form responses 1'!$B$2:$B$2604,'Form responses 1'!$I$2:$I$2604,""))</f>
        <v>KANGKUNG</v>
      </c>
      <c r="J337" s="44" t="str">
        <f t="array" ref="J337">IF(B337="","",_xlfn.XLOOKUP(B337,'Form responses 1'!$B$2:$B$2604,'Form responses 1'!$G$2:$G$2604,""))</f>
        <v>Baynur</v>
      </c>
      <c r="K337" s="41" t="s">
        <v>587</v>
      </c>
      <c r="L337" s="52">
        <f t="shared" si="7"/>
        <v>45590.68225</v>
      </c>
      <c r="M337" s="47" t="s">
        <v>5214</v>
      </c>
      <c r="N337" s="49"/>
      <c r="O337" s="49"/>
      <c r="P337" s="49"/>
      <c r="Q337" s="49"/>
      <c r="R337" s="49"/>
      <c r="S337" s="49"/>
      <c r="T337" s="49"/>
      <c r="U337" s="49"/>
      <c r="V337" s="49"/>
      <c r="W337" s="41" t="s">
        <v>618</v>
      </c>
      <c r="X337" s="46">
        <f t="shared" si="5"/>
        <v>45609.30513</v>
      </c>
      <c r="Y337" s="50" t="s">
        <v>482</v>
      </c>
      <c r="Z337" s="49">
        <f t="shared" si="6"/>
        <v>1</v>
      </c>
    </row>
    <row r="338" ht="22.5" customHeight="1">
      <c r="B338" s="41" t="s">
        <v>2081</v>
      </c>
      <c r="C338" s="43">
        <f t="array" ref="C338">IF(B338="","",_xlfn.XLOOKUP(B338,'Form responses 1'!$B$2:$B$2604,'Form responses 1'!$A$2:$A$2604,""))</f>
        <v>45590.3835</v>
      </c>
      <c r="D338" s="44" t="str">
        <f t="shared" si="3"/>
        <v>K/2/251024/2_45590.383504213</v>
      </c>
      <c r="E338" s="44" t="str">
        <f t="array" ref="E338">IF(B338="","",_xlfn.XLOOKUP(B338,'Form responses 1'!$B$2:$B$2604,'Form responses 1'!$C$2:$C$2604,""))</f>
        <v>Juriansyah/ M eko winangto</v>
      </c>
      <c r="F338" s="44" t="str">
        <f t="array" ref="F338">IF(B338="","",_xlfn.XLOOKUP(B338,'Form responses 1'!$B$2:$B$2604,'Form responses 1'!$D$2:$D$2604,""))</f>
        <v>085346063422</v>
      </c>
      <c r="G338" s="44" t="str">
        <f t="array" ref="G338">IF(B338="","",_xlfn.XLOOKUP(B338,'Form responses 1'!$B$2:$B$2604,'Form responses 1'!$E$2:$E$2604,""))</f>
        <v>PTPGT Pemecahan</v>
      </c>
      <c r="H338" s="44" t="str">
        <f t="array" ref="H338">IF(B338="","",_xlfn.XLOOKUP(B338,'Form responses 1'!$B$2:$B$2604,'Form responses 1'!$F$2:$F$2604,""))</f>
        <v>M. 2798/ Sumberrejo</v>
      </c>
      <c r="I338" s="44" t="str">
        <f t="array" ref="I338">IF(B338="","",_xlfn.XLOOKUP(B338,'Form responses 1'!$B$2:$B$2604,'Form responses 1'!$I$2:$I$2604,""))</f>
        <v>Sumberrejo</v>
      </c>
      <c r="J338" s="44" t="str">
        <f t="array" ref="J338">IF(B338="","",_xlfn.XLOOKUP(B338,'Form responses 1'!$B$2:$B$2604,'Form responses 1'!$G$2:$G$2604,""))</f>
        <v>Hananda</v>
      </c>
      <c r="K338" s="41" t="s">
        <v>2421</v>
      </c>
      <c r="L338" s="52">
        <f t="shared" si="7"/>
        <v>45590.68494</v>
      </c>
      <c r="M338" s="47" t="s">
        <v>5401</v>
      </c>
      <c r="N338" s="47" t="s">
        <v>5402</v>
      </c>
      <c r="O338" s="49"/>
      <c r="P338" s="49"/>
      <c r="Q338" s="49"/>
      <c r="R338" s="49"/>
      <c r="S338" s="49"/>
      <c r="T338" s="49"/>
      <c r="U338" s="49"/>
      <c r="V338" s="49"/>
      <c r="W338" s="41" t="s">
        <v>470</v>
      </c>
      <c r="X338" s="46">
        <f t="shared" si="5"/>
        <v>45597.54707</v>
      </c>
      <c r="Y338" s="50" t="s">
        <v>482</v>
      </c>
      <c r="Z338" s="49">
        <f t="shared" si="6"/>
        <v>2</v>
      </c>
    </row>
    <row r="339" ht="22.5" customHeight="1">
      <c r="B339" s="41" t="s">
        <v>2255</v>
      </c>
      <c r="C339" s="43">
        <f t="array" ref="C339">IF(B339="","",_xlfn.XLOOKUP(B339,'Form responses 1'!$B$2:$B$2604,'Form responses 1'!$A$2:$A$2604,""))</f>
        <v>45590.61412</v>
      </c>
      <c r="D339" s="44" t="str">
        <f t="shared" si="3"/>
        <v>L/48/251024/1_45590.614115081</v>
      </c>
      <c r="E339" s="44" t="str">
        <f t="array" ref="E339">IF(B339="","",_xlfn.XLOOKUP(B339,'Form responses 1'!$B$2:$B$2604,'Form responses 1'!$C$2:$C$2604,""))</f>
        <v>HERMIYATI</v>
      </c>
      <c r="F339" s="44" t="str">
        <f t="array" ref="F339">IF(B339="","",_xlfn.XLOOKUP(B339,'Form responses 1'!$B$2:$B$2604,'Form responses 1'!$D$2:$D$2604,""))</f>
        <v>082378544563</v>
      </c>
      <c r="G339" s="44" t="str">
        <f t="array" ref="G339">IF(B339="","",_xlfn.XLOOKUP(B339,'Form responses 1'!$B$2:$B$2604,'Form responses 1'!$E$2:$E$2604,""))</f>
        <v>GANTI TAHUN LAHIR</v>
      </c>
      <c r="H339" s="44" t="str">
        <f t="array" ref="H339">IF(B339="","",_xlfn.XLOOKUP(B339,'Form responses 1'!$B$2:$B$2604,'Form responses 1'!$F$2:$F$2604,""))</f>
        <v>HGB 1368/KEMILING PERMAI</v>
      </c>
      <c r="I339" s="44" t="str">
        <f t="array" ref="I339">IF(B339="","",_xlfn.XLOOKUP(B339,'Form responses 1'!$B$2:$B$2604,'Form responses 1'!$I$2:$I$2604,""))</f>
        <v>KEMILING PERMAI</v>
      </c>
      <c r="J339" s="44" t="str">
        <f t="array" ref="J339">IF(B339="","",_xlfn.XLOOKUP(B339,'Form responses 1'!$B$2:$B$2604,'Form responses 1'!$G$2:$G$2604,""))</f>
        <v>Deby</v>
      </c>
      <c r="K339" s="41" t="s">
        <v>2421</v>
      </c>
      <c r="L339" s="52">
        <f t="shared" si="7"/>
        <v>45590.68496</v>
      </c>
      <c r="M339" s="49"/>
      <c r="N339" s="49"/>
      <c r="O339" s="49"/>
      <c r="P339" s="49"/>
      <c r="Q339" s="49"/>
      <c r="R339" s="49"/>
      <c r="S339" s="49"/>
      <c r="T339" s="49"/>
      <c r="U339" s="49"/>
      <c r="V339" s="49"/>
      <c r="W339" s="41" t="s">
        <v>618</v>
      </c>
      <c r="X339" s="46">
        <f t="shared" si="5"/>
        <v>45597.53949</v>
      </c>
      <c r="Y339" s="50" t="s">
        <v>482</v>
      </c>
      <c r="Z339" s="49">
        <f t="shared" si="6"/>
        <v>0</v>
      </c>
    </row>
    <row r="340" ht="22.5" customHeight="1">
      <c r="B340" s="41" t="s">
        <v>2209</v>
      </c>
      <c r="C340" s="43">
        <f t="array" ref="C340">IF(B340="","",_xlfn.XLOOKUP(B340,'Form responses 1'!$B$2:$B$2604,'Form responses 1'!$A$2:$A$2604,""))</f>
        <v>45590.57816</v>
      </c>
      <c r="D340" s="44" t="str">
        <f t="shared" si="3"/>
        <v>L/34/251024/1_45590.5781649537</v>
      </c>
      <c r="E340" s="44" t="str">
        <f t="array" ref="E340">IF(B340="","",_xlfn.XLOOKUP(B340,'Form responses 1'!$B$2:$B$2604,'Form responses 1'!$C$2:$C$2604,""))</f>
        <v>SUMARSIH</v>
      </c>
      <c r="F340" s="44" t="str">
        <f t="array" ref="F340">IF(B340="","",_xlfn.XLOOKUP(B340,'Form responses 1'!$B$2:$B$2604,'Form responses 1'!$D$2:$D$2604,""))</f>
        <v>081329348777</v>
      </c>
      <c r="G340" s="44" t="str">
        <f t="array" ref="G340">IF(B340="","",_xlfn.XLOOKUP(B340,'Form responses 1'!$B$2:$B$2604,'Form responses 1'!$E$2:$E$2604,""))</f>
        <v>ROYA</v>
      </c>
      <c r="H340" s="44" t="str">
        <f t="array" ref="H340">IF(B340="","",_xlfn.XLOOKUP(B340,'Form responses 1'!$B$2:$B$2604,'Form responses 1'!$F$2:$F$2604,""))</f>
        <v>HGB 254/CAMPANG RAYA</v>
      </c>
      <c r="I340" s="44" t="str">
        <f t="array" ref="I340">IF(B340="","",_xlfn.XLOOKUP(B340,'Form responses 1'!$B$2:$B$2604,'Form responses 1'!$I$2:$I$2604,""))</f>
        <v>CAMPANG RAYA</v>
      </c>
      <c r="J340" s="44" t="str">
        <f t="array" ref="J340">IF(B340="","",_xlfn.XLOOKUP(B340,'Form responses 1'!$B$2:$B$2604,'Form responses 1'!$G$2:$G$2604,""))</f>
        <v>Deby</v>
      </c>
      <c r="K340" s="41" t="s">
        <v>2421</v>
      </c>
      <c r="L340" s="52">
        <f t="shared" si="7"/>
        <v>45590.68499</v>
      </c>
      <c r="M340" s="47" t="s">
        <v>5403</v>
      </c>
      <c r="N340" s="49"/>
      <c r="O340" s="49"/>
      <c r="P340" s="49"/>
      <c r="Q340" s="49"/>
      <c r="R340" s="49"/>
      <c r="S340" s="49"/>
      <c r="T340" s="49"/>
      <c r="U340" s="49"/>
      <c r="V340" s="49"/>
      <c r="W340" s="41" t="s">
        <v>618</v>
      </c>
      <c r="X340" s="46">
        <f t="shared" si="5"/>
        <v>45604.6393</v>
      </c>
      <c r="Y340" s="50" t="s">
        <v>482</v>
      </c>
      <c r="Z340" s="49">
        <f t="shared" si="6"/>
        <v>1</v>
      </c>
    </row>
    <row r="341" ht="22.5" customHeight="1">
      <c r="B341" s="41" t="s">
        <v>2089</v>
      </c>
      <c r="C341" s="43">
        <f t="array" ref="C341">IF(B341="","",_xlfn.XLOOKUP(B341,'Form responses 1'!$B$2:$B$2604,'Form responses 1'!$A$2:$A$2604,""))</f>
        <v>45590.40938</v>
      </c>
      <c r="D341" s="44" t="str">
        <f t="shared" si="3"/>
        <v>K/3/251024/1_45590.4093772107</v>
      </c>
      <c r="E341" s="44" t="str">
        <f t="array" ref="E341">IF(B341="","",_xlfn.XLOOKUP(B341,'Form responses 1'!$B$2:$B$2604,'Form responses 1'!$C$2:$C$2604,""))</f>
        <v>YUKIO NISHIMURA/LINGGA AYU B</v>
      </c>
      <c r="F341" s="44" t="str">
        <f t="array" ref="F341">IF(B341="","",_xlfn.XLOOKUP(B341,'Form responses 1'!$B$2:$B$2604,'Form responses 1'!$D$2:$D$2604,""))</f>
        <v>0896-3360-1521</v>
      </c>
      <c r="G341" s="44" t="str">
        <f t="array" ref="G341">IF(B341="","",_xlfn.XLOOKUP(B341,'Form responses 1'!$B$2:$B$2604,'Form responses 1'!$E$2:$E$2604,""))</f>
        <v>BN JUAL BELI</v>
      </c>
      <c r="H341" s="44" t="str">
        <f t="array" ref="H341">IF(B341="","",_xlfn.XLOOKUP(B341,'Form responses 1'!$B$2:$B$2604,'Form responses 1'!$F$2:$F$2604,""))</f>
        <v>M.2066/RAJABASA RAYA</v>
      </c>
      <c r="I341" s="44" t="str">
        <f t="array" ref="I341">IF(B341="","",_xlfn.XLOOKUP(B341,'Form responses 1'!$B$2:$B$2604,'Form responses 1'!$I$2:$I$2604,""))</f>
        <v>RAJABASA RAYA</v>
      </c>
      <c r="J341" s="44" t="str">
        <f t="array" ref="J341">IF(B341="","",_xlfn.XLOOKUP(B341,'Form responses 1'!$B$2:$B$2604,'Form responses 1'!$G$2:$G$2604,""))</f>
        <v>Baynur</v>
      </c>
      <c r="K341" s="41" t="s">
        <v>2421</v>
      </c>
      <c r="L341" s="52">
        <f t="shared" si="7"/>
        <v>45590.68501</v>
      </c>
      <c r="M341" s="49"/>
      <c r="N341" s="49"/>
      <c r="O341" s="49"/>
      <c r="P341" s="49"/>
      <c r="Q341" s="49"/>
      <c r="R341" s="49"/>
      <c r="S341" s="49"/>
      <c r="T341" s="49"/>
      <c r="U341" s="49"/>
      <c r="V341" s="49"/>
      <c r="W341" s="41" t="s">
        <v>618</v>
      </c>
      <c r="X341" s="46">
        <f t="shared" si="5"/>
        <v>45600.6616</v>
      </c>
      <c r="Y341" s="50" t="s">
        <v>482</v>
      </c>
      <c r="Z341" s="49">
        <f t="shared" si="6"/>
        <v>0</v>
      </c>
    </row>
    <row r="342" ht="22.5" customHeight="1">
      <c r="B342" s="41" t="s">
        <v>2154</v>
      </c>
      <c r="C342" s="43">
        <f t="array" ref="C342">IF(B342="","",_xlfn.XLOOKUP(B342,'Form responses 1'!$B$2:$B$2604,'Form responses 1'!$A$2:$A$2604,""))</f>
        <v>45590.47027</v>
      </c>
      <c r="D342" s="44" t="str">
        <f t="shared" si="3"/>
        <v>K/17/251024/2_45590.4702658565</v>
      </c>
      <c r="E342" s="44" t="str">
        <f t="array" ref="E342">IF(B342="","",_xlfn.XLOOKUP(B342,'Form responses 1'!$B$2:$B$2604,'Form responses 1'!$C$2:$C$2604,""))</f>
        <v>Eka Sari T/ Emilia</v>
      </c>
      <c r="F342" s="44" t="str">
        <f t="array" ref="F342">IF(B342="","",_xlfn.XLOOKUP(B342,'Form responses 1'!$B$2:$B$2604,'Form responses 1'!$D$2:$D$2604,""))</f>
        <v>+62 895-3631-14046</v>
      </c>
      <c r="G342" s="44" t="str">
        <f t="array" ref="G342">IF(B342="","",_xlfn.XLOOKUP(B342,'Form responses 1'!$B$2:$B$2604,'Form responses 1'!$E$2:$E$2604,""))</f>
        <v>BN Jual Beli</v>
      </c>
      <c r="H342" s="44" t="str">
        <f t="array" ref="H342">IF(B342="","",_xlfn.XLOOKUP(B342,'Form responses 1'!$B$2:$B$2604,'Form responses 1'!$F$2:$F$2604,""))</f>
        <v>M. 2394/ Pinang Jaya</v>
      </c>
      <c r="I342" s="44" t="str">
        <f t="array" ref="I342">IF(B342="","",_xlfn.XLOOKUP(B342,'Form responses 1'!$B$2:$B$2604,'Form responses 1'!$I$2:$I$2604,""))</f>
        <v>Pinang Jaya</v>
      </c>
      <c r="J342" s="44" t="str">
        <f t="array" ref="J342">IF(B342="","",_xlfn.XLOOKUP(B342,'Form responses 1'!$B$2:$B$2604,'Form responses 1'!$G$2:$G$2604,""))</f>
        <v>Rapita</v>
      </c>
      <c r="K342" s="41" t="s">
        <v>2421</v>
      </c>
      <c r="L342" s="52">
        <f t="shared" si="7"/>
        <v>45590.68502</v>
      </c>
      <c r="M342" s="49"/>
      <c r="N342" s="49"/>
      <c r="O342" s="49"/>
      <c r="P342" s="49"/>
      <c r="Q342" s="49"/>
      <c r="R342" s="49"/>
      <c r="S342" s="49"/>
      <c r="T342" s="49"/>
      <c r="U342" s="49"/>
      <c r="V342" s="49"/>
      <c r="W342" s="41" t="s">
        <v>618</v>
      </c>
      <c r="X342" s="46">
        <f t="shared" si="5"/>
        <v>45597.57166</v>
      </c>
      <c r="Y342" s="50" t="s">
        <v>482</v>
      </c>
      <c r="Z342" s="49">
        <f t="shared" si="6"/>
        <v>0</v>
      </c>
    </row>
    <row r="343" ht="22.5" customHeight="1">
      <c r="B343" s="41" t="s">
        <v>2279</v>
      </c>
      <c r="C343" s="43">
        <f t="array" ref="C343">IF(B343="","",_xlfn.XLOOKUP(B343,'Form responses 1'!$B$2:$B$2604,'Form responses 1'!$A$2:$A$2604,""))</f>
        <v>45590.637</v>
      </c>
      <c r="D343" s="44" t="str">
        <f t="shared" si="3"/>
        <v>K/51/251024/1_45590.6370010532</v>
      </c>
      <c r="E343" s="44" t="str">
        <f t="array" ref="E343">IF(B343="","",_xlfn.XLOOKUP(B343,'Form responses 1'!$B$2:$B$2604,'Form responses 1'!$C$2:$C$2604,""))</f>
        <v>Panary Sitopu/ Mustopa</v>
      </c>
      <c r="F343" s="44" t="str">
        <f t="array" ref="F343">IF(B343="","",_xlfn.XLOOKUP(B343,'Form responses 1'!$B$2:$B$2604,'Form responses 1'!$D$2:$D$2604,""))</f>
        <v>089892977399</v>
      </c>
      <c r="G343" s="44" t="str">
        <f t="array" ref="G343">IF(B343="","",_xlfn.XLOOKUP(B343,'Form responses 1'!$B$2:$B$2604,'Form responses 1'!$E$2:$E$2604,""))</f>
        <v>BN Jual Beli</v>
      </c>
      <c r="H343" s="44" t="str">
        <f t="array" ref="H343">IF(B343="","",_xlfn.XLOOKUP(B343,'Form responses 1'!$B$2:$B$2604,'Form responses 1'!$F$2:$F$2604,""))</f>
        <v>M. 1543/ Kupang Kota</v>
      </c>
      <c r="I343" s="44" t="str">
        <f t="array" ref="I343">IF(B343="","",_xlfn.XLOOKUP(B343,'Form responses 1'!$B$2:$B$2604,'Form responses 1'!$I$2:$I$2604,""))</f>
        <v> Kupang Kota</v>
      </c>
      <c r="J343" s="44" t="str">
        <f t="array" ref="J343">IF(B343="","",_xlfn.XLOOKUP(B343,'Form responses 1'!$B$2:$B$2604,'Form responses 1'!$G$2:$G$2604,""))</f>
        <v>Rapita</v>
      </c>
      <c r="K343" s="41" t="s">
        <v>2421</v>
      </c>
      <c r="L343" s="52">
        <f t="shared" si="7"/>
        <v>45590.68504</v>
      </c>
      <c r="M343" s="49"/>
      <c r="N343" s="49"/>
      <c r="O343" s="49"/>
      <c r="P343" s="49"/>
      <c r="Q343" s="49"/>
      <c r="R343" s="49"/>
      <c r="S343" s="49"/>
      <c r="T343" s="49"/>
      <c r="U343" s="49"/>
      <c r="V343" s="49"/>
      <c r="W343" s="41" t="s">
        <v>618</v>
      </c>
      <c r="X343" s="46">
        <f t="shared" si="5"/>
        <v>45597.58732</v>
      </c>
      <c r="Y343" s="50" t="s">
        <v>482</v>
      </c>
      <c r="Z343" s="49">
        <f t="shared" si="6"/>
        <v>0</v>
      </c>
    </row>
    <row r="344" ht="22.5" customHeight="1">
      <c r="B344" s="41" t="s">
        <v>2230</v>
      </c>
      <c r="C344" s="43">
        <f t="array" ref="C344">IF(B344="","",_xlfn.XLOOKUP(B344,'Form responses 1'!$B$2:$B$2604,'Form responses 1'!$A$2:$A$2604,""))</f>
        <v>45590.59204</v>
      </c>
      <c r="D344" s="44" t="str">
        <f t="shared" si="3"/>
        <v>L/40/251024/1_45590.5920437732</v>
      </c>
      <c r="E344" s="44" t="str">
        <f t="array" ref="E344">IF(B344="","",_xlfn.XLOOKUP(B344,'Form responses 1'!$B$2:$B$2604,'Form responses 1'!$C$2:$C$2604,""))</f>
        <v>VIVI INGGRIT LESTARI</v>
      </c>
      <c r="F344" s="44" t="str">
        <f t="array" ref="F344">IF(B344="","",_xlfn.XLOOKUP(B344,'Form responses 1'!$B$2:$B$2604,'Form responses 1'!$D$2:$D$2604,""))</f>
        <v>08127209992</v>
      </c>
      <c r="G344" s="44" t="str">
        <f t="array" ref="G344">IF(B344="","",_xlfn.XLOOKUP(B344,'Form responses 1'!$B$2:$B$2604,'Form responses 1'!$E$2:$E$2604,""))</f>
        <v>PENGHAPUSAN BPHTB</v>
      </c>
      <c r="H344" s="44" t="str">
        <f t="array" ref="H344">IF(B344="","",_xlfn.XLOOKUP(B344,'Form responses 1'!$B$2:$B$2604,'Form responses 1'!$F$2:$F$2604,""))</f>
        <v>HM 3757/RAJABASA JAYA</v>
      </c>
      <c r="I344" s="44" t="str">
        <f t="array" ref="I344">IF(B344="","",_xlfn.XLOOKUP(B344,'Form responses 1'!$B$2:$B$2604,'Form responses 1'!$I$2:$I$2604,""))</f>
        <v>RAJABASA JAYA</v>
      </c>
      <c r="J344" s="44" t="str">
        <f t="array" ref="J344">IF(B344="","",_xlfn.XLOOKUP(B344,'Form responses 1'!$B$2:$B$2604,'Form responses 1'!$G$2:$G$2604,""))</f>
        <v>Deby</v>
      </c>
      <c r="K344" s="41" t="s">
        <v>2875</v>
      </c>
      <c r="L344" s="52">
        <f t="shared" si="7"/>
        <v>45590.68751</v>
      </c>
      <c r="M344" s="49"/>
      <c r="N344" s="49"/>
      <c r="O344" s="49"/>
      <c r="P344" s="49"/>
      <c r="Q344" s="49"/>
      <c r="R344" s="49"/>
      <c r="S344" s="49"/>
      <c r="T344" s="49"/>
      <c r="U344" s="49"/>
      <c r="V344" s="49"/>
      <c r="W344" s="41" t="s">
        <v>618</v>
      </c>
      <c r="X344" s="46">
        <f t="shared" si="5"/>
        <v>45595.64971</v>
      </c>
      <c r="Y344" s="50" t="s">
        <v>482</v>
      </c>
      <c r="Z344" s="49">
        <f t="shared" si="6"/>
        <v>0</v>
      </c>
    </row>
    <row r="345" ht="22.5" customHeight="1">
      <c r="B345" s="41" t="s">
        <v>2263</v>
      </c>
      <c r="C345" s="43">
        <f t="array" ref="C345">IF(B345="","",_xlfn.XLOOKUP(B345,'Form responses 1'!$B$2:$B$2604,'Form responses 1'!$A$2:$A$2604,""))</f>
        <v>45590.61573</v>
      </c>
      <c r="D345" s="44" t="str">
        <f t="shared" si="3"/>
        <v>L/49/251024/1_45590.6157257639</v>
      </c>
      <c r="E345" s="44" t="str">
        <f t="array" ref="E345">IF(B345="","",_xlfn.XLOOKUP(B345,'Form responses 1'!$B$2:$B$2604,'Form responses 1'!$C$2:$C$2604,""))</f>
        <v>IAN RAHMADI</v>
      </c>
      <c r="F345" s="44" t="str">
        <f t="array" ref="F345">IF(B345="","",_xlfn.XLOOKUP(B345,'Form responses 1'!$B$2:$B$2604,'Form responses 1'!$D$2:$D$2604,""))</f>
        <v>085269828672</v>
      </c>
      <c r="G345" s="44" t="str">
        <f t="array" ref="G345">IF(B345="","",_xlfn.XLOOKUP(B345,'Form responses 1'!$B$2:$B$2604,'Form responses 1'!$E$2:$E$2604,""))</f>
        <v>ROYA</v>
      </c>
      <c r="H345" s="44" t="str">
        <f t="array" ref="H345">IF(B345="","",_xlfn.XLOOKUP(B345,'Form responses 1'!$B$2:$B$2604,'Form responses 1'!$F$2:$F$2604,""))</f>
        <v>B.355 DAN B.356/LABUHAN RATU </v>
      </c>
      <c r="I345" s="44" t="str">
        <f t="array" ref="I345">IF(B345="","",_xlfn.XLOOKUP(B345,'Form responses 1'!$B$2:$B$2604,'Form responses 1'!$I$2:$I$2604,""))</f>
        <v>LABUHAN RATU </v>
      </c>
      <c r="J345" s="44" t="str">
        <f t="array" ref="J345">IF(B345="","",_xlfn.XLOOKUP(B345,'Form responses 1'!$B$2:$B$2604,'Form responses 1'!$G$2:$G$2604,""))</f>
        <v>Nuraini</v>
      </c>
      <c r="K345" s="41" t="s">
        <v>2875</v>
      </c>
      <c r="L345" s="52">
        <f t="shared" si="7"/>
        <v>45590.68753</v>
      </c>
      <c r="M345" s="47" t="s">
        <v>5404</v>
      </c>
      <c r="N345" s="49"/>
      <c r="O345" s="49"/>
      <c r="P345" s="49"/>
      <c r="Q345" s="49"/>
      <c r="R345" s="49"/>
      <c r="S345" s="49"/>
      <c r="T345" s="49"/>
      <c r="U345" s="49"/>
      <c r="V345" s="49"/>
      <c r="W345" s="41" t="s">
        <v>618</v>
      </c>
      <c r="X345" s="46">
        <f t="shared" si="5"/>
        <v>45597.61207</v>
      </c>
      <c r="Y345" s="50" t="s">
        <v>482</v>
      </c>
      <c r="Z345" s="49">
        <f t="shared" si="6"/>
        <v>1</v>
      </c>
    </row>
    <row r="346" ht="22.5" customHeight="1">
      <c r="B346" s="41" t="s">
        <v>2076</v>
      </c>
      <c r="C346" s="43">
        <f t="array" ref="C346">IF(B346="","",_xlfn.XLOOKUP(B346,'Form responses 1'!$B$2:$B$2604,'Form responses 1'!$A$2:$A$2604,""))</f>
        <v>45590.38118</v>
      </c>
      <c r="D346" s="44" t="str">
        <f t="shared" si="3"/>
        <v>K/1/251024/1_45590.3811831945</v>
      </c>
      <c r="E346" s="44" t="str">
        <f t="array" ref="E346">IF(B346="","",_xlfn.XLOOKUP(B346,'Form responses 1'!$B$2:$B$2604,'Form responses 1'!$C$2:$C$2604,""))</f>
        <v>Juriansyah/ m Eko</v>
      </c>
      <c r="F346" s="44" t="str">
        <f t="array" ref="F346">IF(B346="","",_xlfn.XLOOKUP(B346,'Form responses 1'!$B$2:$B$2604,'Form responses 1'!$D$2:$D$2604,""))</f>
        <v>085346863422</v>
      </c>
      <c r="G346" s="44" t="str">
        <f t="array" ref="G346">IF(B346="","",_xlfn.XLOOKUP(B346,'Form responses 1'!$B$2:$B$2604,'Form responses 1'!$E$2:$E$2604,""))</f>
        <v>PTPGT Pemecahan</v>
      </c>
      <c r="H346" s="44" t="str">
        <f t="array" ref="H346">IF(B346="","",_xlfn.XLOOKUP(B346,'Form responses 1'!$B$2:$B$2604,'Form responses 1'!$F$2:$F$2604,""))</f>
        <v>M. 2799/ Sumberrejo</v>
      </c>
      <c r="I346" s="44" t="str">
        <f t="array" ref="I346">IF(B346="","",_xlfn.XLOOKUP(B346,'Form responses 1'!$B$2:$B$2604,'Form responses 1'!$I$2:$I$2604,""))</f>
        <v>Sumberrejo</v>
      </c>
      <c r="J346" s="44" t="str">
        <f t="array" ref="J346">IF(B346="","",_xlfn.XLOOKUP(B346,'Form responses 1'!$B$2:$B$2604,'Form responses 1'!$G$2:$G$2604,""))</f>
        <v>Hananda</v>
      </c>
      <c r="K346" s="41" t="s">
        <v>2875</v>
      </c>
      <c r="L346" s="52">
        <f t="shared" si="7"/>
        <v>45590.68756</v>
      </c>
      <c r="M346" s="47" t="s">
        <v>5405</v>
      </c>
      <c r="N346" s="49"/>
      <c r="O346" s="49"/>
      <c r="P346" s="49"/>
      <c r="Q346" s="49"/>
      <c r="R346" s="49"/>
      <c r="S346" s="49"/>
      <c r="T346" s="49"/>
      <c r="U346" s="49"/>
      <c r="V346" s="49"/>
      <c r="W346" s="41" t="s">
        <v>470</v>
      </c>
      <c r="X346" s="46">
        <f t="shared" si="5"/>
        <v>45595.62812</v>
      </c>
      <c r="Y346" s="50" t="s">
        <v>482</v>
      </c>
      <c r="Z346" s="49">
        <f t="shared" si="6"/>
        <v>1</v>
      </c>
    </row>
    <row r="347" ht="22.5" customHeight="1">
      <c r="B347" s="41" t="s">
        <v>2171</v>
      </c>
      <c r="C347" s="43">
        <f t="array" ref="C347">IF(B347="","",_xlfn.XLOOKUP(B347,'Form responses 1'!$B$2:$B$2604,'Form responses 1'!$A$2:$A$2604,""))</f>
        <v>45590.5551</v>
      </c>
      <c r="D347" s="44" t="str">
        <f t="shared" si="3"/>
        <v>K/23/251024/3_45590.5550958102</v>
      </c>
      <c r="E347" s="44" t="str">
        <f t="array" ref="E347">IF(B347="","",_xlfn.XLOOKUP(B347,'Form responses 1'!$B$2:$B$2604,'Form responses 1'!$C$2:$C$2604,""))</f>
        <v>dito saputra</v>
      </c>
      <c r="F347" s="44" t="str">
        <f t="array" ref="F347">IF(B347="","",_xlfn.XLOOKUP(B347,'Form responses 1'!$B$2:$B$2604,'Form responses 1'!$D$2:$D$2604,""))</f>
        <v>081369350683</v>
      </c>
      <c r="G347" s="44" t="str">
        <f t="array" ref="G347">IF(B347="","",_xlfn.XLOOKUP(B347,'Form responses 1'!$B$2:$B$2604,'Form responses 1'!$E$2:$E$2604,""))</f>
        <v>skpt lelang</v>
      </c>
      <c r="H347" s="44" t="str">
        <f t="array" ref="H347">IF(B347="","",_xlfn.XLOOKUP(B347,'Form responses 1'!$B$2:$B$2604,'Form responses 1'!$F$2:$F$2604,""))</f>
        <v>M. 1255/ Gunung Terang</v>
      </c>
      <c r="I347" s="44" t="str">
        <f t="array" ref="I347">IF(B347="","",_xlfn.XLOOKUP(B347,'Form responses 1'!$B$2:$B$2604,'Form responses 1'!$I$2:$I$2604,""))</f>
        <v>Gunung Terang</v>
      </c>
      <c r="J347" s="44" t="str">
        <f t="array" ref="J347">IF(B347="","",_xlfn.XLOOKUP(B347,'Form responses 1'!$B$2:$B$2604,'Form responses 1'!$G$2:$G$2604,""))</f>
        <v>Hananda</v>
      </c>
      <c r="K347" s="41" t="s">
        <v>2875</v>
      </c>
      <c r="L347" s="52">
        <f t="shared" si="7"/>
        <v>45590.68758</v>
      </c>
      <c r="M347" s="49"/>
      <c r="N347" s="49"/>
      <c r="O347" s="49"/>
      <c r="P347" s="49"/>
      <c r="Q347" s="49"/>
      <c r="R347" s="49"/>
      <c r="S347" s="49"/>
      <c r="T347" s="49"/>
      <c r="U347" s="49"/>
      <c r="V347" s="49"/>
      <c r="W347" s="41" t="s">
        <v>618</v>
      </c>
      <c r="X347" s="46">
        <f t="shared" si="5"/>
        <v>45592.48002</v>
      </c>
      <c r="Y347" s="50" t="s">
        <v>482</v>
      </c>
      <c r="Z347" s="49">
        <f t="shared" si="6"/>
        <v>0</v>
      </c>
    </row>
    <row r="348" ht="22.5" customHeight="1">
      <c r="B348" s="41" t="s">
        <v>2221</v>
      </c>
      <c r="C348" s="43">
        <f t="array" ref="C348">IF(B348="","",_xlfn.XLOOKUP(B348,'Form responses 1'!$B$2:$B$2604,'Form responses 1'!$A$2:$A$2604,""))</f>
        <v>45590.58917</v>
      </c>
      <c r="D348" s="44" t="str">
        <f t="shared" si="3"/>
        <v>K/37/251024/1_45590.5891674421</v>
      </c>
      <c r="E348" s="44" t="str">
        <f t="array" ref="E348">IF(B348="","",_xlfn.XLOOKUP(B348,'Form responses 1'!$B$2:$B$2604,'Form responses 1'!$C$2:$C$2604,""))</f>
        <v>Angga Purnama/ Siti M</v>
      </c>
      <c r="F348" s="44" t="str">
        <f t="array" ref="F348">IF(B348="","",_xlfn.XLOOKUP(B348,'Form responses 1'!$B$2:$B$2604,'Form responses 1'!$D$2:$D$2604,""))</f>
        <v>+62 895-3553-08122</v>
      </c>
      <c r="G348" s="44" t="str">
        <f t="array" ref="G348">IF(B348="","",_xlfn.XLOOKUP(B348,'Form responses 1'!$B$2:$B$2604,'Form responses 1'!$E$2:$E$2604,""))</f>
        <v>BN Jual Beli</v>
      </c>
      <c r="H348" s="44" t="str">
        <f t="array" ref="H348">IF(B348="","",_xlfn.XLOOKUP(B348,'Form responses 1'!$B$2:$B$2604,'Form responses 1'!$F$2:$F$2604,""))</f>
        <v>M. 3227/Gunung Terang</v>
      </c>
      <c r="I348" s="44" t="str">
        <f t="array" ref="I348">IF(B348="","",_xlfn.XLOOKUP(B348,'Form responses 1'!$B$2:$B$2604,'Form responses 1'!$I$2:$I$2604,""))</f>
        <v>Gunung Terang</v>
      </c>
      <c r="J348" s="44" t="str">
        <f t="array" ref="J348">IF(B348="","",_xlfn.XLOOKUP(B348,'Form responses 1'!$B$2:$B$2604,'Form responses 1'!$G$2:$G$2604,""))</f>
        <v>Rapita</v>
      </c>
      <c r="K348" s="41" t="s">
        <v>2875</v>
      </c>
      <c r="L348" s="52">
        <f t="shared" si="7"/>
        <v>45590.6876</v>
      </c>
      <c r="M348" s="49"/>
      <c r="N348" s="49"/>
      <c r="O348" s="49"/>
      <c r="P348" s="49"/>
      <c r="Q348" s="49"/>
      <c r="R348" s="49"/>
      <c r="S348" s="49"/>
      <c r="T348" s="49"/>
      <c r="U348" s="49"/>
      <c r="V348" s="49"/>
      <c r="W348" s="41" t="s">
        <v>618</v>
      </c>
      <c r="X348" s="46">
        <f t="shared" si="5"/>
        <v>45595.57024</v>
      </c>
      <c r="Y348" s="50" t="s">
        <v>482</v>
      </c>
      <c r="Z348" s="49">
        <f t="shared" si="6"/>
        <v>0</v>
      </c>
    </row>
    <row r="349" ht="22.5" customHeight="1">
      <c r="B349" s="41" t="s">
        <v>2131</v>
      </c>
      <c r="C349" s="43">
        <f t="array" ref="C349">IF(B349="","",_xlfn.XLOOKUP(B349,'Form responses 1'!$B$2:$B$2604,'Form responses 1'!$A$2:$A$2604,""))</f>
        <v>45590.4486</v>
      </c>
      <c r="D349" s="44" t="str">
        <f t="shared" si="3"/>
        <v>K/12/251024/1_45590.4486002083</v>
      </c>
      <c r="E349" s="44" t="str">
        <f t="array" ref="E349">IF(B349="","",_xlfn.XLOOKUP(B349,'Form responses 1'!$B$2:$B$2604,'Form responses 1'!$C$2:$C$2604,""))</f>
        <v>Yudeni T/ Daniel Fajar</v>
      </c>
      <c r="F349" s="44" t="str">
        <f t="array" ref="F349">IF(B349="","",_xlfn.XLOOKUP(B349,'Form responses 1'!$B$2:$B$2604,'Form responses 1'!$D$2:$D$2604,""))</f>
        <v>085664644484</v>
      </c>
      <c r="G349" s="44" t="str">
        <f t="array" ref="G349">IF(B349="","",_xlfn.XLOOKUP(B349,'Form responses 1'!$B$2:$B$2604,'Form responses 1'!$E$2:$E$2604,""))</f>
        <v>BN Hibah</v>
      </c>
      <c r="H349" s="44" t="str">
        <f t="array" ref="H349">IF(B349="","",_xlfn.XLOOKUP(B349,'Form responses 1'!$B$2:$B$2604,'Form responses 1'!$F$2:$F$2604,""))</f>
        <v>Nibel. M. 1424/ Jagabaya II</v>
      </c>
      <c r="I349" s="44" t="str">
        <f t="array" ref="I349">IF(B349="","",_xlfn.XLOOKUP(B349,'Form responses 1'!$B$2:$B$2604,'Form responses 1'!$I$2:$I$2604,""))</f>
        <v>Jagabaya II</v>
      </c>
      <c r="J349" s="44" t="str">
        <f t="array" ref="J349">IF(B349="","",_xlfn.XLOOKUP(B349,'Form responses 1'!$B$2:$B$2604,'Form responses 1'!$G$2:$G$2604,""))</f>
        <v>Rapita</v>
      </c>
      <c r="K349" s="41" t="s">
        <v>2875</v>
      </c>
      <c r="L349" s="52">
        <f t="shared" si="7"/>
        <v>45590.68762</v>
      </c>
      <c r="M349" s="47" t="s">
        <v>5406</v>
      </c>
      <c r="N349" s="49"/>
      <c r="O349" s="49"/>
      <c r="P349" s="49"/>
      <c r="Q349" s="49"/>
      <c r="R349" s="49"/>
      <c r="S349" s="49"/>
      <c r="T349" s="49"/>
      <c r="U349" s="49"/>
      <c r="V349" s="49"/>
      <c r="W349" s="41" t="s">
        <v>618</v>
      </c>
      <c r="X349" s="46">
        <f t="shared" si="5"/>
        <v>45607.41482</v>
      </c>
      <c r="Y349" s="50" t="s">
        <v>482</v>
      </c>
      <c r="Z349" s="49">
        <f t="shared" si="6"/>
        <v>1</v>
      </c>
    </row>
    <row r="350" ht="22.5" customHeight="1">
      <c r="B350" s="41" t="s">
        <v>2185</v>
      </c>
      <c r="C350" s="43">
        <f t="array" ref="C350">IF(B350="","",_xlfn.XLOOKUP(B350,'Form responses 1'!$B$2:$B$2604,'Form responses 1'!$A$2:$A$2604,""))</f>
        <v>45590.56481</v>
      </c>
      <c r="D350" s="44" t="str">
        <f t="shared" si="3"/>
        <v>K/28/251024/2_45590.5648078356</v>
      </c>
      <c r="E350" s="44" t="str">
        <f t="array" ref="E350">IF(B350="","",_xlfn.XLOOKUP(B350,'Form responses 1'!$B$2:$B$2604,'Form responses 1'!$C$2:$C$2604,""))</f>
        <v>TRIADI K/ JOKO</v>
      </c>
      <c r="F350" s="44" t="str">
        <f t="array" ref="F350">IF(B350="","",_xlfn.XLOOKUP(B350,'Form responses 1'!$B$2:$B$2604,'Form responses 1'!$D$2:$D$2604,""))</f>
        <v>081369279395</v>
      </c>
      <c r="G350" s="44" t="str">
        <f t="array" ref="G350">IF(B350="","",_xlfn.XLOOKUP(B350,'Form responses 1'!$B$2:$B$2604,'Form responses 1'!$E$2:$E$2604,""))</f>
        <v>BN JUAL BELI</v>
      </c>
      <c r="H350" s="44" t="str">
        <f t="array" ref="H350">IF(B350="","",_xlfn.XLOOKUP(B350,'Form responses 1'!$B$2:$B$2604,'Form responses 1'!$F$2:$F$2604,""))</f>
        <v>M. 2585/ Gedong Air</v>
      </c>
      <c r="I350" s="44" t="str">
        <f t="array" ref="I350">IF(B350="","",_xlfn.XLOOKUP(B350,'Form responses 1'!$B$2:$B$2604,'Form responses 1'!$I$2:$I$2604,""))</f>
        <v>Gedong Air</v>
      </c>
      <c r="J350" s="44" t="str">
        <f t="array" ref="J350">IF(B350="","",_xlfn.XLOOKUP(B350,'Form responses 1'!$B$2:$B$2604,'Form responses 1'!$G$2:$G$2604,""))</f>
        <v>Hananda</v>
      </c>
      <c r="K350" s="41" t="s">
        <v>2875</v>
      </c>
      <c r="L350" s="52">
        <f t="shared" si="7"/>
        <v>45590.68764</v>
      </c>
      <c r="M350" s="47" t="s">
        <v>5407</v>
      </c>
      <c r="N350" s="47" t="s">
        <v>5408</v>
      </c>
      <c r="O350" s="49"/>
      <c r="P350" s="49"/>
      <c r="Q350" s="49"/>
      <c r="R350" s="49"/>
      <c r="S350" s="49"/>
      <c r="T350" s="49"/>
      <c r="U350" s="49"/>
      <c r="V350" s="49"/>
      <c r="W350" s="41" t="s">
        <v>470</v>
      </c>
      <c r="X350" s="46">
        <f t="shared" si="5"/>
        <v>45595.54499</v>
      </c>
      <c r="Y350" s="50" t="s">
        <v>482</v>
      </c>
      <c r="Z350" s="49">
        <f t="shared" si="6"/>
        <v>2</v>
      </c>
    </row>
    <row r="351" ht="22.5" customHeight="1">
      <c r="B351" s="41" t="s">
        <v>2094</v>
      </c>
      <c r="C351" s="43">
        <f t="array" ref="C351">IF(B351="","",_xlfn.XLOOKUP(B351,'Form responses 1'!$B$2:$B$2604,'Form responses 1'!$A$2:$A$2604,""))</f>
        <v>45590.41778</v>
      </c>
      <c r="D351" s="44" t="str">
        <f t="shared" si="3"/>
        <v>L/4/251024/1_45590.4177813542</v>
      </c>
      <c r="E351" s="44" t="str">
        <f t="array" ref="E351">IF(B351="","",_xlfn.XLOOKUP(B351,'Form responses 1'!$B$2:$B$2604,'Form responses 1'!$C$2:$C$2604,""))</f>
        <v>ZUBAIDAH/CS</v>
      </c>
      <c r="F351" s="44" t="str">
        <f t="array" ref="F351">IF(B351="","",_xlfn.XLOOKUP(B351,'Form responses 1'!$B$2:$B$2604,'Form responses 1'!$D$2:$D$2604,""))</f>
        <v>0813696678722</v>
      </c>
      <c r="G351" s="44" t="str">
        <f t="array" ref="G351">IF(B351="","",_xlfn.XLOOKUP(B351,'Form responses 1'!$B$2:$B$2604,'Form responses 1'!$E$2:$E$2604,""))</f>
        <v>BN WARIS</v>
      </c>
      <c r="H351" s="44" t="str">
        <f t="array" ref="H351">IF(B351="","",_xlfn.XLOOKUP(B351,'Form responses 1'!$B$2:$B$2604,'Form responses 1'!$F$2:$F$2604,""))</f>
        <v>NIB 2765/PWH</v>
      </c>
      <c r="I351" s="44" t="str">
        <f t="array" ref="I351">IF(B351="","",_xlfn.XLOOKUP(B351,'Form responses 1'!$B$2:$B$2604,'Form responses 1'!$I$2:$I$2604,""))</f>
        <v>PWH</v>
      </c>
      <c r="J351" s="44" t="str">
        <f t="array" ref="J351">IF(B351="","",_xlfn.XLOOKUP(B351,'Form responses 1'!$B$2:$B$2604,'Form responses 1'!$G$2:$G$2604,""))</f>
        <v>Deby</v>
      </c>
      <c r="K351" s="41" t="s">
        <v>2875</v>
      </c>
      <c r="L351" s="52">
        <f t="shared" si="7"/>
        <v>45590.68801</v>
      </c>
      <c r="M351" s="47" t="s">
        <v>5409</v>
      </c>
      <c r="N351" s="49"/>
      <c r="O351" s="49"/>
      <c r="P351" s="49"/>
      <c r="Q351" s="49"/>
      <c r="R351" s="49"/>
      <c r="S351" s="49"/>
      <c r="T351" s="49"/>
      <c r="U351" s="49"/>
      <c r="V351" s="49"/>
      <c r="W351" s="41" t="s">
        <v>618</v>
      </c>
      <c r="X351" s="46">
        <f t="shared" si="5"/>
        <v>45596.6718</v>
      </c>
      <c r="Y351" s="50" t="s">
        <v>482</v>
      </c>
      <c r="Z351" s="49">
        <f t="shared" si="6"/>
        <v>1</v>
      </c>
    </row>
    <row r="352" ht="22.5" customHeight="1">
      <c r="B352" s="41" t="s">
        <v>571</v>
      </c>
      <c r="C352" s="43">
        <f t="array" ref="C352">IF(B352="","",_xlfn.XLOOKUP(B352,'Form responses 1'!$B$2:$B$2604,'Form responses 1'!$A$2:$A$2604,""))</f>
        <v>45581.39952</v>
      </c>
      <c r="D352" s="44" t="str">
        <f t="shared" si="3"/>
        <v>L/4/161024/1_45581.3995169213</v>
      </c>
      <c r="E352" s="44" t="str">
        <f t="array" ref="E352">IF(B352="","",_xlfn.XLOOKUP(B352,'Form responses 1'!$B$2:$B$2604,'Form responses 1'!$C$2:$C$2604,""))</f>
        <v>HELDAYANI CS</v>
      </c>
      <c r="F352" s="44" t="str">
        <f t="array" ref="F352">IF(B352="","",_xlfn.XLOOKUP(B352,'Form responses 1'!$B$2:$B$2604,'Form responses 1'!$D$2:$D$2604,""))</f>
        <v>085279793617</v>
      </c>
      <c r="G352" s="44" t="str">
        <f t="array" ref="G352">IF(B352="","",_xlfn.XLOOKUP(B352,'Form responses 1'!$B$2:$B$2604,'Form responses 1'!$E$2:$E$2604,""))</f>
        <v>SKPT INFORMASI PEMBAHARUAN</v>
      </c>
      <c r="H352" s="44" t="str">
        <f t="array" ref="H352">IF(B352="","",_xlfn.XLOOKUP(B352,'Form responses 1'!$B$2:$B$2604,'Form responses 1'!$F$2:$F$2604,""))</f>
        <v>B.3464/SUKABUMI</v>
      </c>
      <c r="I352" s="44" t="str">
        <f t="array" ref="I352">IF(B352="","",_xlfn.XLOOKUP(B352,'Form responses 1'!$B$2:$B$2604,'Form responses 1'!$I$2:$I$2604,""))</f>
        <v>SUKABUMI</v>
      </c>
      <c r="J352" s="44" t="str">
        <f t="array" ref="J352">IF(B352="","",_xlfn.XLOOKUP(B352,'Form responses 1'!$B$2:$B$2604,'Form responses 1'!$G$2:$G$2604,""))</f>
        <v>Nuraini</v>
      </c>
      <c r="K352" s="41" t="s">
        <v>422</v>
      </c>
      <c r="L352" s="52">
        <f t="shared" si="7"/>
        <v>45590.69246</v>
      </c>
      <c r="M352" s="47" t="s">
        <v>5410</v>
      </c>
      <c r="N352" s="49"/>
      <c r="O352" s="49"/>
      <c r="P352" s="49"/>
      <c r="Q352" s="49"/>
      <c r="R352" s="49"/>
      <c r="S352" s="49"/>
      <c r="T352" s="49"/>
      <c r="U352" s="49"/>
      <c r="V352" s="49"/>
      <c r="W352" s="41" t="s">
        <v>618</v>
      </c>
      <c r="X352" s="46">
        <f t="shared" si="5"/>
        <v>45597.41809</v>
      </c>
      <c r="Y352" s="50" t="s">
        <v>482</v>
      </c>
      <c r="Z352" s="49">
        <f t="shared" si="6"/>
        <v>1</v>
      </c>
    </row>
    <row r="353" ht="22.5" customHeight="1">
      <c r="B353" s="41" t="s">
        <v>2003</v>
      </c>
      <c r="C353" s="43">
        <f t="array" ref="C353">IF(B353="","",_xlfn.XLOOKUP(B353,'Form responses 1'!$B$2:$B$2604,'Form responses 1'!$A$2:$A$2604,""))</f>
        <v>45589.58173</v>
      </c>
      <c r="D353" s="44" t="str">
        <f t="shared" si="3"/>
        <v>K/36/241024/1_45589.5817334607</v>
      </c>
      <c r="E353" s="44" t="str">
        <f t="array" ref="E353">IF(B353="","",_xlfn.XLOOKUP(B353,'Form responses 1'!$B$2:$B$2604,'Form responses 1'!$C$2:$C$2604,""))</f>
        <v>Yuni Astuti/ Istikariana CS</v>
      </c>
      <c r="F353" s="44" t="str">
        <f t="array" ref="F353">IF(B353="","",_xlfn.XLOOKUP(B353,'Form responses 1'!$B$2:$B$2604,'Form responses 1'!$D$2:$D$2604,""))</f>
        <v>085267545947</v>
      </c>
      <c r="G353" s="44" t="str">
        <f t="array" ref="G353">IF(B353="","",_xlfn.XLOOKUP(B353,'Form responses 1'!$B$2:$B$2604,'Form responses 1'!$E$2:$E$2604,""))</f>
        <v>Pengukuran Pertama Kali</v>
      </c>
      <c r="H353" s="44" t="str">
        <f t="array" ref="H353">IF(B353="","",_xlfn.XLOOKUP(B353,'Form responses 1'!$B$2:$B$2604,'Form responses 1'!$F$2:$F$2604,""))</f>
        <v>Tanah mentah</v>
      </c>
      <c r="I353" s="44" t="str">
        <f t="array" ref="I353">IF(B353="","",_xlfn.XLOOKUP(B353,'Form responses 1'!$B$2:$B$2604,'Form responses 1'!$I$2:$I$2604,""))</f>
        <v>Kaliawi Persada</v>
      </c>
      <c r="J353" s="44" t="str">
        <f t="array" ref="J353">IF(B353="","",_xlfn.XLOOKUP(B353,'Form responses 1'!$B$2:$B$2604,'Form responses 1'!$G$2:$G$2604,""))</f>
        <v>Hananda</v>
      </c>
      <c r="K353" s="41" t="s">
        <v>422</v>
      </c>
      <c r="L353" s="52">
        <f t="shared" si="7"/>
        <v>45590.69248</v>
      </c>
      <c r="M353" s="49"/>
      <c r="N353" s="49"/>
      <c r="O353" s="49"/>
      <c r="P353" s="49"/>
      <c r="Q353" s="49"/>
      <c r="R353" s="49"/>
      <c r="S353" s="49"/>
      <c r="T353" s="49"/>
      <c r="U353" s="49"/>
      <c r="V353" s="49"/>
      <c r="W353" s="56"/>
      <c r="X353" s="51" t="str">
        <f t="shared" si="5"/>
        <v/>
      </c>
      <c r="Y353" s="50" t="s">
        <v>482</v>
      </c>
      <c r="Z353" s="49">
        <f t="shared" si="6"/>
        <v>0</v>
      </c>
    </row>
    <row r="354" ht="22.5" customHeight="1">
      <c r="B354" s="41" t="s">
        <v>2224</v>
      </c>
      <c r="C354" s="43">
        <f t="array" ref="C354">IF(B354="","",_xlfn.XLOOKUP(B354,'Form responses 1'!$B$2:$B$2604,'Form responses 1'!$A$2:$A$2604,""))</f>
        <v>45590.5896</v>
      </c>
      <c r="D354" s="44" t="str">
        <f t="shared" si="3"/>
        <v>K/39/251024/1_45590.5896047685</v>
      </c>
      <c r="E354" s="44" t="str">
        <f t="array" ref="E354">IF(B354="","",_xlfn.XLOOKUP(B354,'Form responses 1'!$B$2:$B$2604,'Form responses 1'!$C$2:$C$2604,""))</f>
        <v>YANTI/MARISA EVALINA</v>
      </c>
      <c r="F354" s="44" t="str">
        <f t="array" ref="F354">IF(B354="","",_xlfn.XLOOKUP(B354,'Form responses 1'!$B$2:$B$2604,'Form responses 1'!$D$2:$D$2604,""))</f>
        <v>081360001109</v>
      </c>
      <c r="G354" s="44" t="str">
        <f t="array" ref="G354">IF(B354="","",_xlfn.XLOOKUP(B354,'Form responses 1'!$B$2:$B$2604,'Form responses 1'!$E$2:$E$2604,""))</f>
        <v>BN JUAL BELI</v>
      </c>
      <c r="H354" s="44" t="str">
        <f t="array" ref="H354">IF(B354="","",_xlfn.XLOOKUP(B354,'Form responses 1'!$B$2:$B$2604,'Form responses 1'!$F$2:$F$2604,""))</f>
        <v>NIBEL M 1086/KOTA KARANG</v>
      </c>
      <c r="I354" s="44" t="str">
        <f t="array" ref="I354">IF(B354="","",_xlfn.XLOOKUP(B354,'Form responses 1'!$B$2:$B$2604,'Form responses 1'!$I$2:$I$2604,""))</f>
        <v>KOTA KARANG</v>
      </c>
      <c r="J354" s="44" t="str">
        <f t="array" ref="J354">IF(B354="","",_xlfn.XLOOKUP(B354,'Form responses 1'!$B$2:$B$2604,'Form responses 1'!$G$2:$G$2604,""))</f>
        <v>Baynur</v>
      </c>
      <c r="K354" s="41" t="s">
        <v>422</v>
      </c>
      <c r="L354" s="52">
        <f t="shared" si="7"/>
        <v>45590.6925</v>
      </c>
      <c r="M354" s="47" t="s">
        <v>5411</v>
      </c>
      <c r="N354" s="49"/>
      <c r="O354" s="49"/>
      <c r="P354" s="49"/>
      <c r="Q354" s="49"/>
      <c r="R354" s="49"/>
      <c r="S354" s="49"/>
      <c r="T354" s="49"/>
      <c r="U354" s="49"/>
      <c r="V354" s="49"/>
      <c r="W354" s="41" t="s">
        <v>618</v>
      </c>
      <c r="X354" s="46">
        <f t="shared" si="5"/>
        <v>45591.4804</v>
      </c>
      <c r="Y354" s="50" t="s">
        <v>482</v>
      </c>
      <c r="Z354" s="49">
        <f t="shared" si="6"/>
        <v>1</v>
      </c>
    </row>
    <row r="355" ht="22.5" customHeight="1">
      <c r="B355" s="41" t="s">
        <v>2199</v>
      </c>
      <c r="C355" s="43">
        <f t="array" ref="C355">IF(B355="","",_xlfn.XLOOKUP(B355,'Form responses 1'!$B$2:$B$2604,'Form responses 1'!$A$2:$A$2604,""))</f>
        <v>45590.57207</v>
      </c>
      <c r="D355" s="44" t="str">
        <f t="shared" si="3"/>
        <v>K/30/251024/1_45590.5720707523</v>
      </c>
      <c r="E355" s="44" t="str">
        <f t="array" ref="E355">IF(B355="","",_xlfn.XLOOKUP(B355,'Form responses 1'!$B$2:$B$2604,'Form responses 1'!$C$2:$C$2604,""))</f>
        <v>Reflan R/ ALex P</v>
      </c>
      <c r="F355" s="44" t="str">
        <f t="array" ref="F355">IF(B355="","",_xlfn.XLOOKUP(B355,'Form responses 1'!$B$2:$B$2604,'Form responses 1'!$D$2:$D$2604,""))</f>
        <v>+62 822-6948-0192</v>
      </c>
      <c r="G355" s="44" t="str">
        <f t="array" ref="G355">IF(B355="","",_xlfn.XLOOKUP(B355,'Form responses 1'!$B$2:$B$2604,'Form responses 1'!$E$2:$E$2604,""))</f>
        <v>BN Jual Beli</v>
      </c>
      <c r="H355" s="44" t="str">
        <f t="array" ref="H355">IF(B355="","",_xlfn.XLOOKUP(B355,'Form responses 1'!$B$2:$B$2604,'Form responses 1'!$F$2:$F$2604,""))</f>
        <v>M. 18118/ Sukarame</v>
      </c>
      <c r="I355" s="44" t="str">
        <f t="array" ref="I355">IF(B355="","",_xlfn.XLOOKUP(B355,'Form responses 1'!$B$2:$B$2604,'Form responses 1'!$I$2:$I$2604,""))</f>
        <v>Sukarame</v>
      </c>
      <c r="J355" s="44" t="str">
        <f t="array" ref="J355">IF(B355="","",_xlfn.XLOOKUP(B355,'Form responses 1'!$B$2:$B$2604,'Form responses 1'!$G$2:$G$2604,""))</f>
        <v>Rapita</v>
      </c>
      <c r="K355" s="41" t="s">
        <v>422</v>
      </c>
      <c r="L355" s="52">
        <f t="shared" si="7"/>
        <v>45590.69251</v>
      </c>
      <c r="M355" s="47" t="s">
        <v>5412</v>
      </c>
      <c r="N355" s="47" t="s">
        <v>5227</v>
      </c>
      <c r="O355" s="49"/>
      <c r="P355" s="49"/>
      <c r="Q355" s="49"/>
      <c r="R355" s="49"/>
      <c r="S355" s="49"/>
      <c r="T355" s="49"/>
      <c r="U355" s="49"/>
      <c r="V355" s="49"/>
      <c r="W355" s="41" t="s">
        <v>470</v>
      </c>
      <c r="X355" s="46">
        <f t="shared" si="5"/>
        <v>45591.45693</v>
      </c>
      <c r="Y355" s="50" t="s">
        <v>482</v>
      </c>
      <c r="Z355" s="49">
        <f t="shared" si="6"/>
        <v>2</v>
      </c>
    </row>
    <row r="356" ht="22.5" customHeight="1">
      <c r="B356" s="41" t="s">
        <v>2238</v>
      </c>
      <c r="C356" s="43">
        <f t="array" ref="C356">IF(B356="","",_xlfn.XLOOKUP(B356,'Form responses 1'!$B$2:$B$2604,'Form responses 1'!$A$2:$A$2604,""))</f>
        <v>45590.60841</v>
      </c>
      <c r="D356" s="44" t="str">
        <f t="shared" si="3"/>
        <v>K/42/251024/1_45590.6084061227</v>
      </c>
      <c r="E356" s="44" t="str">
        <f t="array" ref="E356">IF(B356="","",_xlfn.XLOOKUP(B356,'Form responses 1'!$B$2:$B$2604,'Form responses 1'!$C$2:$C$2604,""))</f>
        <v>achmad mulya/oktavianus</v>
      </c>
      <c r="F356" s="44" t="str">
        <f t="array" ref="F356">IF(B356="","",_xlfn.XLOOKUP(B356,'Form responses 1'!$B$2:$B$2604,'Form responses 1'!$D$2:$D$2604,""))</f>
        <v>085269925488</v>
      </c>
      <c r="G356" s="44" t="str">
        <f t="array" ref="G356">IF(B356="","",_xlfn.XLOOKUP(B356,'Form responses 1'!$B$2:$B$2604,'Form responses 1'!$E$2:$E$2604,""))</f>
        <v>BN JUAL BELI</v>
      </c>
      <c r="H356" s="44" t="str">
        <f t="array" ref="H356">IF(B356="","",_xlfn.XLOOKUP(B356,'Form responses 1'!$B$2:$B$2604,'Form responses 1'!$F$2:$F$2604,""))</f>
        <v>M. 11524/ Kedamaian</v>
      </c>
      <c r="I356" s="44" t="str">
        <f t="array" ref="I356">IF(B356="","",_xlfn.XLOOKUP(B356,'Form responses 1'!$B$2:$B$2604,'Form responses 1'!$I$2:$I$2604,""))</f>
        <v>Kedamaian</v>
      </c>
      <c r="J356" s="44" t="str">
        <f t="array" ref="J356">IF(B356="","",_xlfn.XLOOKUP(B356,'Form responses 1'!$B$2:$B$2604,'Form responses 1'!$G$2:$G$2604,""))</f>
        <v>Hananda</v>
      </c>
      <c r="K356" s="41" t="s">
        <v>422</v>
      </c>
      <c r="L356" s="52">
        <f t="shared" si="7"/>
        <v>45590.69253</v>
      </c>
      <c r="M356" s="49"/>
      <c r="N356" s="49"/>
      <c r="O356" s="49"/>
      <c r="P356" s="49"/>
      <c r="Q356" s="49"/>
      <c r="R356" s="49"/>
      <c r="S356" s="49"/>
      <c r="T356" s="49"/>
      <c r="U356" s="49"/>
      <c r="V356" s="49"/>
      <c r="W356" s="41" t="s">
        <v>618</v>
      </c>
      <c r="X356" s="46">
        <f t="shared" si="5"/>
        <v>45591.46453</v>
      </c>
      <c r="Y356" s="50" t="s">
        <v>482</v>
      </c>
      <c r="Z356" s="49">
        <f t="shared" si="6"/>
        <v>0</v>
      </c>
    </row>
    <row r="357" ht="22.5" customHeight="1">
      <c r="B357" s="41" t="s">
        <v>2174</v>
      </c>
      <c r="C357" s="43">
        <f t="array" ref="C357">IF(B357="","",_xlfn.XLOOKUP(B357,'Form responses 1'!$B$2:$B$2604,'Form responses 1'!$A$2:$A$2604,""))</f>
        <v>45590.55624</v>
      </c>
      <c r="D357" s="44" t="str">
        <f t="shared" si="3"/>
        <v>K/24/251024/4_45590.5562388426</v>
      </c>
      <c r="E357" s="44" t="str">
        <f t="array" ref="E357">IF(B357="","",_xlfn.XLOOKUP(B357,'Form responses 1'!$B$2:$B$2604,'Form responses 1'!$C$2:$C$2604,""))</f>
        <v>DITO SAPUTRA</v>
      </c>
      <c r="F357" s="44" t="str">
        <f t="array" ref="F357">IF(B357="","",_xlfn.XLOOKUP(B357,'Form responses 1'!$B$2:$B$2604,'Form responses 1'!$D$2:$D$2604,""))</f>
        <v>081369350683</v>
      </c>
      <c r="G357" s="44" t="str">
        <f t="array" ref="G357">IF(B357="","",_xlfn.XLOOKUP(B357,'Form responses 1'!$B$2:$B$2604,'Form responses 1'!$E$2:$E$2604,""))</f>
        <v>SKPT LELANG</v>
      </c>
      <c r="H357" s="44" t="str">
        <f t="array" ref="H357">IF(B357="","",_xlfn.XLOOKUP(B357,'Form responses 1'!$B$2:$B$2604,'Form responses 1'!$F$2:$F$2604,""))</f>
        <v>M. 1255/ Gunung Terang</v>
      </c>
      <c r="I357" s="44" t="str">
        <f t="array" ref="I357">IF(B357="","",_xlfn.XLOOKUP(B357,'Form responses 1'!$B$2:$B$2604,'Form responses 1'!$I$2:$I$2604,""))</f>
        <v>Gunung Terang</v>
      </c>
      <c r="J357" s="44" t="str">
        <f t="array" ref="J357">IF(B357="","",_xlfn.XLOOKUP(B357,'Form responses 1'!$B$2:$B$2604,'Form responses 1'!$G$2:$G$2604,""))</f>
        <v>Hananda</v>
      </c>
      <c r="K357" s="41" t="s">
        <v>422</v>
      </c>
      <c r="L357" s="52">
        <f t="shared" si="7"/>
        <v>45590.69254</v>
      </c>
      <c r="M357" s="49"/>
      <c r="N357" s="49"/>
      <c r="O357" s="49"/>
      <c r="P357" s="49"/>
      <c r="Q357" s="49"/>
      <c r="R357" s="49"/>
      <c r="S357" s="49"/>
      <c r="T357" s="49"/>
      <c r="U357" s="49"/>
      <c r="V357" s="49"/>
      <c r="W357" s="41" t="s">
        <v>618</v>
      </c>
      <c r="X357" s="46">
        <f t="shared" si="5"/>
        <v>45590.71743</v>
      </c>
      <c r="Y357" s="50" t="s">
        <v>482</v>
      </c>
      <c r="Z357" s="49">
        <f t="shared" si="6"/>
        <v>0</v>
      </c>
    </row>
    <row r="358" ht="22.5" customHeight="1">
      <c r="B358" s="41" t="s">
        <v>2260</v>
      </c>
      <c r="C358" s="43">
        <f t="array" ref="C358">IF(B358="","",_xlfn.XLOOKUP(B358,'Form responses 1'!$B$2:$B$2604,'Form responses 1'!$A$2:$A$2604,""))</f>
        <v>45590.61533</v>
      </c>
      <c r="D358" s="44" t="str">
        <f t="shared" si="3"/>
        <v>K/46/251024/1_45590.6153280787</v>
      </c>
      <c r="E358" s="44" t="str">
        <f t="array" ref="E358">IF(B358="","",_xlfn.XLOOKUP(B358,'Form responses 1'!$B$2:$B$2604,'Form responses 1'!$C$2:$C$2604,""))</f>
        <v>Sendi Dini/ Titik W</v>
      </c>
      <c r="F358" s="44" t="str">
        <f t="array" ref="F358">IF(B358="","",_xlfn.XLOOKUP(B358,'Form responses 1'!$B$2:$B$2604,'Form responses 1'!$D$2:$D$2604,""))</f>
        <v>089618401409</v>
      </c>
      <c r="G358" s="44" t="str">
        <f t="array" ref="G358">IF(B358="","",_xlfn.XLOOKUP(B358,'Form responses 1'!$B$2:$B$2604,'Form responses 1'!$E$2:$E$2604,""))</f>
        <v>SKPT Lelang</v>
      </c>
      <c r="H358" s="44" t="str">
        <f t="array" ref="H358">IF(B358="","",_xlfn.XLOOKUP(B358,'Form responses 1'!$B$2:$B$2604,'Form responses 1'!$F$2:$F$2604,""))</f>
        <v>M. 4231/ Rajabasa Jaya; 10134/ Rajabasa-dahulu</v>
      </c>
      <c r="I358" s="44" t="str">
        <f t="array" ref="I358">IF(B358="","",_xlfn.XLOOKUP(B358,'Form responses 1'!$B$2:$B$2604,'Form responses 1'!$I$2:$I$2604,""))</f>
        <v>Rajabasa Jaya</v>
      </c>
      <c r="J358" s="44" t="str">
        <f t="array" ref="J358">IF(B358="","",_xlfn.XLOOKUP(B358,'Form responses 1'!$B$2:$B$2604,'Form responses 1'!$G$2:$G$2604,""))</f>
        <v>Rapita</v>
      </c>
      <c r="K358" s="41" t="s">
        <v>422</v>
      </c>
      <c r="L358" s="52">
        <f t="shared" si="7"/>
        <v>45590.69256</v>
      </c>
      <c r="M358" s="49"/>
      <c r="N358" s="49"/>
      <c r="O358" s="49"/>
      <c r="P358" s="49"/>
      <c r="Q358" s="49"/>
      <c r="R358" s="49"/>
      <c r="S358" s="49"/>
      <c r="T358" s="49"/>
      <c r="U358" s="49"/>
      <c r="V358" s="49"/>
      <c r="W358" s="41" t="s">
        <v>618</v>
      </c>
      <c r="X358" s="46">
        <f t="shared" si="5"/>
        <v>45590.72593</v>
      </c>
      <c r="Y358" s="50" t="s">
        <v>482</v>
      </c>
      <c r="Z358" s="49">
        <f t="shared" si="6"/>
        <v>0</v>
      </c>
    </row>
    <row r="359" ht="22.5" customHeight="1">
      <c r="B359" s="41" t="s">
        <v>2252</v>
      </c>
      <c r="C359" s="43">
        <f t="array" ref="C359">IF(B359="","",_xlfn.XLOOKUP(B359,'Form responses 1'!$B$2:$B$2604,'Form responses 1'!$A$2:$A$2604,""))</f>
        <v>45590.61116</v>
      </c>
      <c r="D359" s="44" t="str">
        <f t="shared" si="3"/>
        <v>K/44/251024/3_45590.6111607639</v>
      </c>
      <c r="E359" s="44" t="str">
        <f t="array" ref="E359">IF(B359="","",_xlfn.XLOOKUP(B359,'Form responses 1'!$B$2:$B$2604,'Form responses 1'!$C$2:$C$2604,""))</f>
        <v>ACHMAD MULYA/ KRISTIN</v>
      </c>
      <c r="F359" s="44" t="str">
        <f t="array" ref="F359">IF(B359="","",_xlfn.XLOOKUP(B359,'Form responses 1'!$B$2:$B$2604,'Form responses 1'!$D$2:$D$2604,""))</f>
        <v>085269925488</v>
      </c>
      <c r="G359" s="44" t="str">
        <f t="array" ref="G359">IF(B359="","",_xlfn.XLOOKUP(B359,'Form responses 1'!$B$2:$B$2604,'Form responses 1'!$E$2:$E$2604,""))</f>
        <v>ROYA</v>
      </c>
      <c r="H359" s="44" t="str">
        <f t="array" ref="H359">IF(B359="","",_xlfn.XLOOKUP(B359,'Form responses 1'!$B$2:$B$2604,'Form responses 1'!$F$2:$F$2604,""))</f>
        <v>M. 13663/ Segala Mider</v>
      </c>
      <c r="I359" s="44" t="str">
        <f t="array" ref="I359">IF(B359="","",_xlfn.XLOOKUP(B359,'Form responses 1'!$B$2:$B$2604,'Form responses 1'!$I$2:$I$2604,""))</f>
        <v>Segala Mider</v>
      </c>
      <c r="J359" s="44" t="str">
        <f t="array" ref="J359">IF(B359="","",_xlfn.XLOOKUP(B359,'Form responses 1'!$B$2:$B$2604,'Form responses 1'!$G$2:$G$2604,""))</f>
        <v>Hananda</v>
      </c>
      <c r="K359" s="41" t="s">
        <v>422</v>
      </c>
      <c r="L359" s="52">
        <f t="shared" si="7"/>
        <v>45590.69258</v>
      </c>
      <c r="M359" s="49"/>
      <c r="N359" s="49"/>
      <c r="O359" s="49"/>
      <c r="P359" s="49"/>
      <c r="Q359" s="49"/>
      <c r="R359" s="49"/>
      <c r="S359" s="49"/>
      <c r="T359" s="49"/>
      <c r="U359" s="49"/>
      <c r="V359" s="49"/>
      <c r="W359" s="41" t="s">
        <v>618</v>
      </c>
      <c r="X359" s="46">
        <f t="shared" si="5"/>
        <v>45590.72903</v>
      </c>
      <c r="Y359" s="50" t="s">
        <v>482</v>
      </c>
      <c r="Z359" s="49">
        <f t="shared" si="6"/>
        <v>0</v>
      </c>
    </row>
    <row r="360" ht="22.5" customHeight="1">
      <c r="B360" s="41" t="s">
        <v>2123</v>
      </c>
      <c r="C360" s="43">
        <f t="array" ref="C360">IF(B360="","",_xlfn.XLOOKUP(B360,'Form responses 1'!$B$2:$B$2604,'Form responses 1'!$A$2:$A$2604,""))</f>
        <v>45590.43399</v>
      </c>
      <c r="D360" s="44" t="str">
        <f t="shared" si="3"/>
        <v>L/10/251024/1_45590.4339947801</v>
      </c>
      <c r="E360" s="44" t="str">
        <f t="array" ref="E360">IF(B360="","",_xlfn.XLOOKUP(B360,'Form responses 1'!$B$2:$B$2604,'Form responses 1'!$C$2:$C$2604,""))</f>
        <v>EDWAR JUANDA RUSYDI</v>
      </c>
      <c r="F360" s="44" t="str">
        <f t="array" ref="F360">IF(B360="","",_xlfn.XLOOKUP(B360,'Form responses 1'!$B$2:$B$2604,'Form responses 1'!$D$2:$D$2604,""))</f>
        <v>0811790586</v>
      </c>
      <c r="G360" s="44" t="str">
        <f t="array" ref="G360">IF(B360="","",_xlfn.XLOOKUP(B360,'Form responses 1'!$B$2:$B$2604,'Form responses 1'!$E$2:$E$2604,""))</f>
        <v>PEMECAHAN</v>
      </c>
      <c r="H360" s="44" t="str">
        <f t="array" ref="H360">IF(B360="","",_xlfn.XLOOKUP(B360,'Form responses 1'!$B$2:$B$2604,'Form responses 1'!$F$2:$F$2604,""))</f>
        <v>M.14233/SEGALA MIDER</v>
      </c>
      <c r="I360" s="44" t="str">
        <f t="array" ref="I360">IF(B360="","",_xlfn.XLOOKUP(B360,'Form responses 1'!$B$2:$B$2604,'Form responses 1'!$I$2:$I$2604,""))</f>
        <v>SEGALA MIDER</v>
      </c>
      <c r="J360" s="44" t="str">
        <f t="array" ref="J360">IF(B360="","",_xlfn.XLOOKUP(B360,'Form responses 1'!$B$2:$B$2604,'Form responses 1'!$G$2:$G$2604,""))</f>
        <v>Nuraini</v>
      </c>
      <c r="K360" s="41" t="s">
        <v>422</v>
      </c>
      <c r="L360" s="52">
        <f t="shared" si="7"/>
        <v>45590.6926</v>
      </c>
      <c r="M360" s="47" t="s">
        <v>5413</v>
      </c>
      <c r="N360" s="49"/>
      <c r="O360" s="49"/>
      <c r="P360" s="49"/>
      <c r="Q360" s="49"/>
      <c r="R360" s="49"/>
      <c r="S360" s="49"/>
      <c r="T360" s="49"/>
      <c r="U360" s="49"/>
      <c r="V360" s="49"/>
      <c r="W360" s="41" t="s">
        <v>470</v>
      </c>
      <c r="X360" s="46">
        <f t="shared" si="5"/>
        <v>45590.73186</v>
      </c>
      <c r="Y360" s="50" t="s">
        <v>482</v>
      </c>
      <c r="Z360" s="49">
        <f t="shared" si="6"/>
        <v>1</v>
      </c>
    </row>
    <row r="361" ht="22.5" customHeight="1">
      <c r="B361" s="41" t="s">
        <v>2302</v>
      </c>
      <c r="C361" s="43">
        <f t="array" ref="C361">IF(B361="","",_xlfn.XLOOKUP(B361,'Form responses 1'!$B$2:$B$2604,'Form responses 1'!$A$2:$A$2604,""))</f>
        <v>45590.70029</v>
      </c>
      <c r="D361" s="44" t="str">
        <f t="shared" si="3"/>
        <v>L/26/251024/1_45590.7002940857</v>
      </c>
      <c r="E361" s="44" t="str">
        <f t="array" ref="E361">IF(B361="","",_xlfn.XLOOKUP(B361,'Form responses 1'!$B$2:$B$2604,'Form responses 1'!$C$2:$C$2604,""))</f>
        <v>RUDI SIREGAR</v>
      </c>
      <c r="F361" s="44" t="str">
        <f t="array" ref="F361">IF(B361="","",_xlfn.XLOOKUP(B361,'Form responses 1'!$B$2:$B$2604,'Form responses 1'!$D$2:$D$2604,""))</f>
        <v>08975777816</v>
      </c>
      <c r="G361" s="44" t="str">
        <f t="array" ref="G361">IF(B361="","",_xlfn.XLOOKUP(B361,'Form responses 1'!$B$2:$B$2604,'Form responses 1'!$E$2:$E$2604,""))</f>
        <v>ROYA</v>
      </c>
      <c r="H361" s="44" t="str">
        <f t="array" ref="H361">IF(B361="","",_xlfn.XLOOKUP(B361,'Form responses 1'!$B$2:$B$2604,'Form responses 1'!$F$2:$F$2604,""))</f>
        <v>M.15567/S I</v>
      </c>
      <c r="I361" s="44" t="str">
        <f t="array" ref="I361">IF(B361="","",_xlfn.XLOOKUP(B361,'Form responses 1'!$B$2:$B$2604,'Form responses 1'!$I$2:$I$2604,""))</f>
        <v>SUKARAME I</v>
      </c>
      <c r="J361" s="44" t="str">
        <f t="array" ref="J361">IF(B361="","",_xlfn.XLOOKUP(B361,'Form responses 1'!$B$2:$B$2604,'Form responses 1'!$G$2:$G$2604,""))</f>
        <v>Nuraini</v>
      </c>
      <c r="K361" s="41" t="s">
        <v>422</v>
      </c>
      <c r="L361" s="52">
        <f t="shared" si="7"/>
        <v>45590.70095</v>
      </c>
      <c r="M361" s="47" t="s">
        <v>5414</v>
      </c>
      <c r="N361" s="49"/>
      <c r="O361" s="49"/>
      <c r="P361" s="49"/>
      <c r="Q361" s="49"/>
      <c r="R361" s="49"/>
      <c r="S361" s="49"/>
      <c r="T361" s="49"/>
      <c r="U361" s="49"/>
      <c r="V361" s="49"/>
      <c r="W361" s="41" t="s">
        <v>618</v>
      </c>
      <c r="X361" s="46">
        <f t="shared" si="5"/>
        <v>45594.62694</v>
      </c>
      <c r="Y361" s="50" t="s">
        <v>482</v>
      </c>
      <c r="Z361" s="49">
        <f t="shared" si="6"/>
        <v>1</v>
      </c>
    </row>
    <row r="362" ht="22.5" customHeight="1">
      <c r="B362" s="41" t="s">
        <v>2306</v>
      </c>
      <c r="C362" s="43">
        <f t="array" ref="C362">IF(B362="","",_xlfn.XLOOKUP(B362,'Form responses 1'!$B$2:$B$2604,'Form responses 1'!$A$2:$A$2604,""))</f>
        <v>45591.41533</v>
      </c>
      <c r="D362" s="44" t="str">
        <f t="shared" si="3"/>
        <v>L/1/261024/1_45591.4153316088</v>
      </c>
      <c r="E362" s="44" t="str">
        <f t="array" ref="E362">IF(B362="","",_xlfn.XLOOKUP(B362,'Form responses 1'!$B$2:$B$2604,'Form responses 1'!$C$2:$C$2604,""))</f>
        <v>NIA FAUNIA</v>
      </c>
      <c r="F362" s="44" t="str">
        <f t="array" ref="F362">IF(B362="","",_xlfn.XLOOKUP(B362,'Form responses 1'!$B$2:$B$2604,'Form responses 1'!$D$2:$D$2604,""))</f>
        <v>081278313262</v>
      </c>
      <c r="G362" s="44" t="str">
        <f t="array" ref="G362">IF(B362="","",_xlfn.XLOOKUP(B362,'Form responses 1'!$B$2:$B$2604,'Form responses 1'!$E$2:$E$2604,""))</f>
        <v>ROYA</v>
      </c>
      <c r="H362" s="44" t="str">
        <f t="array" ref="H362">IF(B362="","",_xlfn.XLOOKUP(B362,'Form responses 1'!$B$2:$B$2604,'Form responses 1'!$F$2:$F$2604,""))</f>
        <v>HGB 208/PWK</v>
      </c>
      <c r="I362" s="44" t="str">
        <f t="array" ref="I362">IF(B362="","",_xlfn.XLOOKUP(B362,'Form responses 1'!$B$2:$B$2604,'Form responses 1'!$I$2:$I$2604,""))</f>
        <v>PERUMNAS WAY KANDIS</v>
      </c>
      <c r="J362" s="44" t="str">
        <f t="array" ref="J362">IF(B362="","",_xlfn.XLOOKUP(B362,'Form responses 1'!$B$2:$B$2604,'Form responses 1'!$G$2:$G$2604,""))</f>
        <v>Deby</v>
      </c>
      <c r="K362" s="41" t="s">
        <v>422</v>
      </c>
      <c r="L362" s="52">
        <f t="shared" si="7"/>
        <v>45591.42631</v>
      </c>
      <c r="M362" s="49"/>
      <c r="N362" s="49"/>
      <c r="O362" s="49"/>
      <c r="P362" s="49"/>
      <c r="Q362" s="49"/>
      <c r="R362" s="49"/>
      <c r="S362" s="49"/>
      <c r="T362" s="49"/>
      <c r="U362" s="49"/>
      <c r="V362" s="49"/>
      <c r="W362" s="41" t="s">
        <v>618</v>
      </c>
      <c r="X362" s="46">
        <f t="shared" si="5"/>
        <v>45591.42631</v>
      </c>
      <c r="Y362" s="50" t="s">
        <v>482</v>
      </c>
      <c r="Z362" s="49">
        <f t="shared" si="6"/>
        <v>0</v>
      </c>
      <c r="AA362" s="4" t="s">
        <v>5415</v>
      </c>
    </row>
    <row r="363" ht="22.5" customHeight="1">
      <c r="B363" s="41" t="s">
        <v>1949</v>
      </c>
      <c r="C363" s="43">
        <f t="array" ref="C363">IF(B363="","",_xlfn.XLOOKUP(B363,'Form responses 1'!$B$2:$B$2604,'Form responses 1'!$A$2:$A$2604,""))</f>
        <v>45589.48029</v>
      </c>
      <c r="D363" s="44" t="str">
        <f t="shared" si="3"/>
        <v>K/24/241024/1_45589.48029</v>
      </c>
      <c r="E363" s="44" t="str">
        <f t="array" ref="E363">IF(B363="","",_xlfn.XLOOKUP(B363,'Form responses 1'!$B$2:$B$2604,'Form responses 1'!$C$2:$C$2604,""))</f>
        <v>AGUS LATEST/ENDANG APRILIA</v>
      </c>
      <c r="F363" s="44" t="str">
        <f t="array" ref="F363">IF(B363="","",_xlfn.XLOOKUP(B363,'Form responses 1'!$B$2:$B$2604,'Form responses 1'!$D$2:$D$2604,""))</f>
        <v>0822-8923-5722</v>
      </c>
      <c r="G363" s="44" t="str">
        <f t="array" ref="G363">IF(B363="","",_xlfn.XLOOKUP(B363,'Form responses 1'!$B$2:$B$2604,'Form responses 1'!$E$2:$E$2604,""))</f>
        <v>PENINGKATAN</v>
      </c>
      <c r="H363" s="44" t="str">
        <f t="array" ref="H363">IF(B363="","",_xlfn.XLOOKUP(B363,'Form responses 1'!$B$2:$B$2604,'Form responses 1'!$F$2:$F$2604,""))</f>
        <v>NIBEL B.2466/SUKABUMI</v>
      </c>
      <c r="I363" s="44" t="str">
        <f t="array" ref="I363">IF(B363="","",_xlfn.XLOOKUP(B363,'Form responses 1'!$B$2:$B$2604,'Form responses 1'!$I$2:$I$2604,""))</f>
        <v>SUKABUMI</v>
      </c>
      <c r="J363" s="44" t="str">
        <f t="array" ref="J363">IF(B363="","",_xlfn.XLOOKUP(B363,'Form responses 1'!$B$2:$B$2604,'Form responses 1'!$G$2:$G$2604,""))</f>
        <v>Baynur</v>
      </c>
      <c r="K363" s="41" t="s">
        <v>2875</v>
      </c>
      <c r="L363" s="52">
        <f t="shared" si="7"/>
        <v>45592.4111</v>
      </c>
      <c r="M363" s="47" t="s">
        <v>5416</v>
      </c>
      <c r="N363" s="49"/>
      <c r="O363" s="49"/>
      <c r="P363" s="49"/>
      <c r="Q363" s="49"/>
      <c r="R363" s="49"/>
      <c r="S363" s="49"/>
      <c r="T363" s="49"/>
      <c r="U363" s="49"/>
      <c r="V363" s="49"/>
      <c r="W363" s="41" t="s">
        <v>470</v>
      </c>
      <c r="X363" s="46">
        <f t="shared" si="5"/>
        <v>45592.41193</v>
      </c>
      <c r="Y363" s="50" t="s">
        <v>482</v>
      </c>
      <c r="Z363" s="49">
        <f t="shared" si="6"/>
        <v>1</v>
      </c>
    </row>
    <row r="364" ht="22.5" customHeight="1">
      <c r="B364" s="41" t="s">
        <v>1907</v>
      </c>
      <c r="C364" s="43">
        <f t="array" ref="C364">IF(B364="","",_xlfn.XLOOKUP(B364,'Form responses 1'!$B$2:$B$2604,'Form responses 1'!$A$2:$A$2604,""))</f>
        <v>45589.4229</v>
      </c>
      <c r="D364" s="44" t="str">
        <f t="shared" si="3"/>
        <v>L/14/241024/1_45589.4229045023</v>
      </c>
      <c r="E364" s="44" t="str">
        <f t="array" ref="E364">IF(B364="","",_xlfn.XLOOKUP(B364,'Form responses 1'!$B$2:$B$2604,'Form responses 1'!$C$2:$C$2604,""))</f>
        <v>PRATIKNO</v>
      </c>
      <c r="F364" s="44" t="str">
        <f t="array" ref="F364">IF(B364="","",_xlfn.XLOOKUP(B364,'Form responses 1'!$B$2:$B$2604,'Form responses 1'!$D$2:$D$2604,""))</f>
        <v>081379220949</v>
      </c>
      <c r="G364" s="44" t="str">
        <f t="array" ref="G364">IF(B364="","",_xlfn.XLOOKUP(B364,'Form responses 1'!$B$2:$B$2604,'Form responses 1'!$E$2:$E$2604,""))</f>
        <v>ROYA</v>
      </c>
      <c r="H364" s="44" t="str">
        <f t="array" ref="H364">IF(B364="","",_xlfn.XLOOKUP(B364,'Form responses 1'!$B$2:$B$2604,'Form responses 1'!$F$2:$F$2604,""))</f>
        <v>M.16877/SUKARAME I</v>
      </c>
      <c r="I364" s="44" t="str">
        <f t="array" ref="I364">IF(B364="","",_xlfn.XLOOKUP(B364,'Form responses 1'!$B$2:$B$2604,'Form responses 1'!$I$2:$I$2604,""))</f>
        <v>SUKARAME I</v>
      </c>
      <c r="J364" s="44" t="str">
        <f t="array" ref="J364">IF(B364="","",_xlfn.XLOOKUP(B364,'Form responses 1'!$B$2:$B$2604,'Form responses 1'!$G$2:$G$2604,""))</f>
        <v>Nuraini</v>
      </c>
      <c r="K364" s="41" t="s">
        <v>2875</v>
      </c>
      <c r="L364" s="52">
        <f t="shared" si="7"/>
        <v>45592.42238</v>
      </c>
      <c r="M364" s="47" t="s">
        <v>5417</v>
      </c>
      <c r="N364" s="49"/>
      <c r="O364" s="49"/>
      <c r="P364" s="49"/>
      <c r="Q364" s="49"/>
      <c r="R364" s="49"/>
      <c r="S364" s="49"/>
      <c r="T364" s="49"/>
      <c r="U364" s="49"/>
      <c r="V364" s="49"/>
      <c r="W364" s="41" t="s">
        <v>618</v>
      </c>
      <c r="X364" s="46">
        <f t="shared" si="5"/>
        <v>45595.63091</v>
      </c>
      <c r="Y364" s="50" t="s">
        <v>482</v>
      </c>
      <c r="Z364" s="49">
        <f t="shared" si="6"/>
        <v>1</v>
      </c>
    </row>
    <row r="365" ht="22.5" customHeight="1">
      <c r="B365" s="41" t="s">
        <v>2015</v>
      </c>
      <c r="C365" s="43">
        <f t="array" ref="C365">IF(B365="","",_xlfn.XLOOKUP(B365,'Form responses 1'!$B$2:$B$2604,'Form responses 1'!$A$2:$A$2604,""))</f>
        <v>45589.59182</v>
      </c>
      <c r="D365" s="44" t="str">
        <f t="shared" si="3"/>
        <v>K/40/241024/1_45589.591815544</v>
      </c>
      <c r="E365" s="44" t="str">
        <f t="array" ref="E365">IF(B365="","",_xlfn.XLOOKUP(B365,'Form responses 1'!$B$2:$B$2604,'Form responses 1'!$C$2:$C$2604,""))</f>
        <v>TARMIZI/NOVALIA EKA P</v>
      </c>
      <c r="F365" s="44" t="str">
        <f t="array" ref="F365">IF(B365="","",_xlfn.XLOOKUP(B365,'Form responses 1'!$B$2:$B$2604,'Form responses 1'!$D$2:$D$2604,""))</f>
        <v>0896-4922-2167</v>
      </c>
      <c r="G365" s="44" t="str">
        <f t="array" ref="G365">IF(B365="","",_xlfn.XLOOKUP(B365,'Form responses 1'!$B$2:$B$2604,'Form responses 1'!$E$2:$E$2604,""))</f>
        <v>HAPUS BPHTB</v>
      </c>
      <c r="H365" s="44" t="str">
        <f t="array" ref="H365">IF(B365="","",_xlfn.XLOOKUP(B365,'Form responses 1'!$B$2:$B$2604,'Form responses 1'!$F$2:$F$2604,""))</f>
        <v>M.852/KEMILING RAYA</v>
      </c>
      <c r="I365" s="44" t="str">
        <f t="array" ref="I365">IF(B365="","",_xlfn.XLOOKUP(B365,'Form responses 1'!$B$2:$B$2604,'Form responses 1'!$I$2:$I$2604,""))</f>
        <v>KEMILING RAYA</v>
      </c>
      <c r="J365" s="44" t="str">
        <f t="array" ref="J365">IF(B365="","",_xlfn.XLOOKUP(B365,'Form responses 1'!$B$2:$B$2604,'Form responses 1'!$G$2:$G$2604,""))</f>
        <v>Baynur</v>
      </c>
      <c r="K365" s="41" t="s">
        <v>2875</v>
      </c>
      <c r="L365" s="52">
        <f t="shared" si="7"/>
        <v>45592.45968</v>
      </c>
      <c r="M365" s="49"/>
      <c r="N365" s="49"/>
      <c r="O365" s="49"/>
      <c r="P365" s="49"/>
      <c r="Q365" s="49"/>
      <c r="R365" s="49"/>
      <c r="S365" s="49"/>
      <c r="T365" s="49"/>
      <c r="U365" s="49"/>
      <c r="V365" s="49"/>
      <c r="W365" s="41" t="s">
        <v>618</v>
      </c>
      <c r="X365" s="46">
        <f t="shared" si="5"/>
        <v>45592.45973</v>
      </c>
      <c r="Y365" s="50" t="s">
        <v>482</v>
      </c>
      <c r="Z365" s="49">
        <f t="shared" si="6"/>
        <v>0</v>
      </c>
    </row>
    <row r="366" ht="22.5" customHeight="1">
      <c r="B366" s="41" t="s">
        <v>2176</v>
      </c>
      <c r="C366" s="43">
        <f t="array" ref="C366">IF(B366="","",_xlfn.XLOOKUP(B366,'Form responses 1'!$B$2:$B$2604,'Form responses 1'!$A$2:$A$2604,""))</f>
        <v>45590.55816</v>
      </c>
      <c r="D366" s="44" t="str">
        <f t="shared" si="3"/>
        <v>K/25/251024/5_45590.5581557176</v>
      </c>
      <c r="E366" s="44" t="str">
        <f t="array" ref="E366">IF(B366="","",_xlfn.XLOOKUP(B366,'Form responses 1'!$B$2:$B$2604,'Form responses 1'!$C$2:$C$2604,""))</f>
        <v>DITO SAPUTRA</v>
      </c>
      <c r="F366" s="44" t="str">
        <f t="array" ref="F366">IF(B366="","",_xlfn.XLOOKUP(B366,'Form responses 1'!$B$2:$B$2604,'Form responses 1'!$D$2:$D$2604,""))</f>
        <v>081369350683</v>
      </c>
      <c r="G366" s="44" t="str">
        <f t="array" ref="G366">IF(B366="","",_xlfn.XLOOKUP(B366,'Form responses 1'!$B$2:$B$2604,'Form responses 1'!$E$2:$E$2604,""))</f>
        <v>SKPT LELANG</v>
      </c>
      <c r="H366" s="44" t="str">
        <f t="array" ref="H366">IF(B366="","",_xlfn.XLOOKUP(B366,'Form responses 1'!$B$2:$B$2604,'Form responses 1'!$F$2:$F$2604,""))</f>
        <v>M. 9350/ Segala mider</v>
      </c>
      <c r="I366" s="44" t="str">
        <f t="array" ref="I366">IF(B366="","",_xlfn.XLOOKUP(B366,'Form responses 1'!$B$2:$B$2604,'Form responses 1'!$I$2:$I$2604,""))</f>
        <v>Segala mider</v>
      </c>
      <c r="J366" s="44" t="str">
        <f t="array" ref="J366">IF(B366="","",_xlfn.XLOOKUP(B366,'Form responses 1'!$B$2:$B$2604,'Form responses 1'!$G$2:$G$2604,""))</f>
        <v>Hananda</v>
      </c>
      <c r="K366" s="41" t="s">
        <v>2421</v>
      </c>
      <c r="L366" s="52">
        <f t="shared" si="7"/>
        <v>45593.38499</v>
      </c>
      <c r="M366" s="49"/>
      <c r="N366" s="49"/>
      <c r="O366" s="49"/>
      <c r="P366" s="49"/>
      <c r="Q366" s="49"/>
      <c r="R366" s="49"/>
      <c r="S366" s="49"/>
      <c r="T366" s="49"/>
      <c r="U366" s="49"/>
      <c r="V366" s="49"/>
      <c r="W366" s="41" t="s">
        <v>618</v>
      </c>
      <c r="X366" s="46">
        <f t="shared" si="5"/>
        <v>45593.38504</v>
      </c>
      <c r="Y366" s="50" t="s">
        <v>482</v>
      </c>
      <c r="Z366" s="49">
        <f t="shared" si="6"/>
        <v>0</v>
      </c>
    </row>
    <row r="367" ht="22.5" customHeight="1">
      <c r="B367" s="41" t="s">
        <v>2165</v>
      </c>
      <c r="C367" s="43">
        <f t="array" ref="C367">IF(B367="","",_xlfn.XLOOKUP(B367,'Form responses 1'!$B$2:$B$2604,'Form responses 1'!$A$2:$A$2604,""))</f>
        <v>45590.55265</v>
      </c>
      <c r="D367" s="44" t="str">
        <f t="shared" si="3"/>
        <v>K/21/251024/1_45590.5526471065</v>
      </c>
      <c r="E367" s="44" t="str">
        <f t="array" ref="E367">IF(B367="","",_xlfn.XLOOKUP(B367,'Form responses 1'!$B$2:$B$2604,'Form responses 1'!$C$2:$C$2604,""))</f>
        <v>Titik Wijayanti/Dito </v>
      </c>
      <c r="F367" s="44" t="str">
        <f t="array" ref="F367">IF(B367="","",_xlfn.XLOOKUP(B367,'Form responses 1'!$B$2:$B$2604,'Form responses 1'!$D$2:$D$2604,""))</f>
        <v>081369350683</v>
      </c>
      <c r="G367" s="44" t="str">
        <f t="array" ref="G367">IF(B367="","",_xlfn.XLOOKUP(B367,'Form responses 1'!$B$2:$B$2604,'Form responses 1'!$E$2:$E$2604,""))</f>
        <v>SKPT LELANG</v>
      </c>
      <c r="H367" s="44" t="str">
        <f t="array" ref="H367">IF(B367="","",_xlfn.XLOOKUP(B367,'Form responses 1'!$B$2:$B$2604,'Form responses 1'!$F$2:$F$2604,""))</f>
        <v>M. 1360/ Tanjungkarang</v>
      </c>
      <c r="I367" s="44" t="str">
        <f t="array" ref="I367">IF(B367="","",_xlfn.XLOOKUP(B367,'Form responses 1'!$B$2:$B$2604,'Form responses 1'!$I$2:$I$2604,""))</f>
        <v>Tanjungkarang</v>
      </c>
      <c r="J367" s="44" t="str">
        <f t="array" ref="J367">IF(B367="","",_xlfn.XLOOKUP(B367,'Form responses 1'!$B$2:$B$2604,'Form responses 1'!$G$2:$G$2604,""))</f>
        <v>Hananda</v>
      </c>
      <c r="K367" s="41" t="s">
        <v>1233</v>
      </c>
      <c r="L367" s="52">
        <f t="shared" si="7"/>
        <v>45593.44094</v>
      </c>
      <c r="M367" s="47" t="s">
        <v>5418</v>
      </c>
      <c r="N367" s="49"/>
      <c r="O367" s="49"/>
      <c r="P367" s="49"/>
      <c r="Q367" s="49"/>
      <c r="R367" s="49"/>
      <c r="S367" s="49"/>
      <c r="T367" s="49"/>
      <c r="U367" s="49"/>
      <c r="V367" s="49"/>
      <c r="W367" s="41" t="s">
        <v>470</v>
      </c>
      <c r="X367" s="46">
        <f t="shared" si="5"/>
        <v>45593.4572</v>
      </c>
      <c r="Y367" s="50" t="s">
        <v>482</v>
      </c>
      <c r="Z367" s="49">
        <f t="shared" si="6"/>
        <v>1</v>
      </c>
    </row>
    <row r="368" ht="22.5" customHeight="1">
      <c r="B368" s="41" t="s">
        <v>2219</v>
      </c>
      <c r="C368" s="43">
        <f t="array" ref="C368">IF(B368="","",_xlfn.XLOOKUP(B368,'Form responses 1'!$B$2:$B$2604,'Form responses 1'!$A$2:$A$2604,""))</f>
        <v>45590.58376</v>
      </c>
      <c r="D368" s="44" t="str">
        <f t="shared" si="3"/>
        <v>K/36/251024/2_45590.5837558333</v>
      </c>
      <c r="E368" s="44" t="str">
        <f t="array" ref="E368">IF(B368="","",_xlfn.XLOOKUP(B368,'Form responses 1'!$B$2:$B$2604,'Form responses 1'!$C$2:$C$2604,""))</f>
        <v>TITIK WIJAYANTI/AGUS SUPRIYANTO</v>
      </c>
      <c r="F368" s="44" t="str">
        <f t="array" ref="F368">IF(B368="","",_xlfn.XLOOKUP(B368,'Form responses 1'!$B$2:$B$2604,'Form responses 1'!$D$2:$D$2604,""))</f>
        <v>082128965800</v>
      </c>
      <c r="G368" s="44" t="str">
        <f t="array" ref="G368">IF(B368="","",_xlfn.XLOOKUP(B368,'Form responses 1'!$B$2:$B$2604,'Form responses 1'!$E$2:$E$2604,""))</f>
        <v>SKPT</v>
      </c>
      <c r="H368" s="44" t="str">
        <f t="array" ref="H368">IF(B368="","",_xlfn.XLOOKUP(B368,'Form responses 1'!$B$2:$B$2604,'Form responses 1'!$F$2:$F$2604,""))</f>
        <v>M.1268/BUMI WARAS</v>
      </c>
      <c r="I368" s="44" t="str">
        <f t="array" ref="I368">IF(B368="","",_xlfn.XLOOKUP(B368,'Form responses 1'!$B$2:$B$2604,'Form responses 1'!$I$2:$I$2604,""))</f>
        <v>BUMI WARAS</v>
      </c>
      <c r="J368" s="44" t="str">
        <f t="array" ref="J368">IF(B368="","",_xlfn.XLOOKUP(B368,'Form responses 1'!$B$2:$B$2604,'Form responses 1'!$G$2:$G$2604,""))</f>
        <v>Baynur</v>
      </c>
      <c r="K368" s="41" t="s">
        <v>1233</v>
      </c>
      <c r="L368" s="52">
        <f t="shared" si="7"/>
        <v>45593.45837</v>
      </c>
      <c r="M368" s="49"/>
      <c r="N368" s="49"/>
      <c r="O368" s="49"/>
      <c r="P368" s="49"/>
      <c r="Q368" s="49"/>
      <c r="R368" s="49"/>
      <c r="S368" s="49"/>
      <c r="T368" s="49"/>
      <c r="U368" s="49"/>
      <c r="V368" s="49"/>
      <c r="W368" s="41" t="s">
        <v>618</v>
      </c>
      <c r="X368" s="46">
        <f t="shared" si="5"/>
        <v>45593.46043</v>
      </c>
      <c r="Y368" s="50" t="s">
        <v>482</v>
      </c>
      <c r="Z368" s="49">
        <f t="shared" si="6"/>
        <v>0</v>
      </c>
    </row>
    <row r="369" ht="22.5" customHeight="1">
      <c r="B369" s="41" t="s">
        <v>1524</v>
      </c>
      <c r="C369" s="43">
        <f t="array" ref="C369">IF(B369="","",_xlfn.XLOOKUP(B369,'Form responses 1'!$B$2:$B$2604,'Form responses 1'!$A$2:$A$2604,""))</f>
        <v>45587.45709</v>
      </c>
      <c r="D369" s="44" t="str">
        <f t="shared" si="3"/>
        <v>K/35/221024/1_45587.4570911227</v>
      </c>
      <c r="E369" s="44" t="str">
        <f t="array" ref="E369">IF(B369="","",_xlfn.XLOOKUP(B369,'Form responses 1'!$B$2:$B$2604,'Form responses 1'!$C$2:$C$2604,""))</f>
        <v>Afrikianza Arla/ Suntoro</v>
      </c>
      <c r="F369" s="44" t="str">
        <f t="array" ref="F369">IF(B369="","",_xlfn.XLOOKUP(B369,'Form responses 1'!$B$2:$B$2604,'Form responses 1'!$D$2:$D$2604,""))</f>
        <v>089524950982</v>
      </c>
      <c r="G369" s="44" t="str">
        <f t="array" ref="G369">IF(B369="","",_xlfn.XLOOKUP(B369,'Form responses 1'!$B$2:$B$2604,'Form responses 1'!$E$2:$E$2604,""))</f>
        <v>PTPGT Pemecahan</v>
      </c>
      <c r="H369" s="44" t="str">
        <f t="array" ref="H369">IF(B369="","",_xlfn.XLOOKUP(B369,'Form responses 1'!$B$2:$B$2604,'Form responses 1'!$F$2:$F$2604,""))</f>
        <v>M. 10040/ Segala Mider</v>
      </c>
      <c r="I369" s="44" t="str">
        <f t="array" ref="I369">IF(B369="","",_xlfn.XLOOKUP(B369,'Form responses 1'!$B$2:$B$2604,'Form responses 1'!$I$2:$I$2604,""))</f>
        <v> Segala Mider</v>
      </c>
      <c r="J369" s="44" t="str">
        <f t="array" ref="J369">IF(B369="","",_xlfn.XLOOKUP(B369,'Form responses 1'!$B$2:$B$2604,'Form responses 1'!$G$2:$G$2604,""))</f>
        <v>Hananda</v>
      </c>
      <c r="K369" s="41" t="s">
        <v>1233</v>
      </c>
      <c r="L369" s="52">
        <f t="shared" si="7"/>
        <v>45593.49148</v>
      </c>
      <c r="M369" s="47" t="s">
        <v>5419</v>
      </c>
      <c r="N369" s="49"/>
      <c r="O369" s="49"/>
      <c r="P369" s="49"/>
      <c r="Q369" s="49"/>
      <c r="R369" s="49"/>
      <c r="S369" s="49"/>
      <c r="T369" s="49"/>
      <c r="U369" s="49"/>
      <c r="V369" s="49"/>
      <c r="W369" s="41" t="s">
        <v>618</v>
      </c>
      <c r="X369" s="46">
        <f t="shared" si="5"/>
        <v>45596.43141</v>
      </c>
      <c r="Y369" s="50" t="s">
        <v>482</v>
      </c>
      <c r="Z369" s="49">
        <f t="shared" si="6"/>
        <v>1</v>
      </c>
    </row>
    <row r="370" ht="22.5" customHeight="1">
      <c r="B370" s="41" t="s">
        <v>1785</v>
      </c>
      <c r="C370" s="43">
        <f t="array" ref="C370">IF(B370="","",_xlfn.XLOOKUP(B370,'Form responses 1'!$B$2:$B$2604,'Form responses 1'!$A$2:$A$2604,""))</f>
        <v>45588.58694</v>
      </c>
      <c r="D370" s="44" t="str">
        <f t="shared" si="3"/>
        <v>L/37/231024/1_45588.5869421759</v>
      </c>
      <c r="E370" s="44" t="str">
        <f t="array" ref="E370">IF(B370="","",_xlfn.XLOOKUP(B370,'Form responses 1'!$B$2:$B$2604,'Form responses 1'!$C$2:$C$2604,""))</f>
        <v>SITTI SUBAIDAH</v>
      </c>
      <c r="F370" s="44" t="str">
        <f t="array" ref="F370">IF(B370="","",_xlfn.XLOOKUP(B370,'Form responses 1'!$B$2:$B$2604,'Form responses 1'!$D$2:$D$2604,""))</f>
        <v>0875958885</v>
      </c>
      <c r="G370" s="44" t="str">
        <f t="array" ref="G370">IF(B370="","",_xlfn.XLOOKUP(B370,'Form responses 1'!$B$2:$B$2604,'Form responses 1'!$E$2:$E$2604,""))</f>
        <v>ROYA</v>
      </c>
      <c r="H370" s="44" t="str">
        <f t="array" ref="H370">IF(B370="","",_xlfn.XLOOKUP(B370,'Form responses 1'!$B$2:$B$2604,'Form responses 1'!$F$2:$F$2604,""))</f>
        <v>HM 1642/KOTA KARANG</v>
      </c>
      <c r="I370" s="44" t="str">
        <f t="array" ref="I370">IF(B370="","",_xlfn.XLOOKUP(B370,'Form responses 1'!$B$2:$B$2604,'Form responses 1'!$I$2:$I$2604,""))</f>
        <v>KOTA KARANG</v>
      </c>
      <c r="J370" s="44" t="str">
        <f t="array" ref="J370">IF(B370="","",_xlfn.XLOOKUP(B370,'Form responses 1'!$B$2:$B$2604,'Form responses 1'!$G$2:$G$2604,""))</f>
        <v>Deby</v>
      </c>
      <c r="K370" s="41" t="s">
        <v>1233</v>
      </c>
      <c r="L370" s="52">
        <f t="shared" si="7"/>
        <v>45593.56312</v>
      </c>
      <c r="M370" s="47" t="s">
        <v>5420</v>
      </c>
      <c r="N370" s="49"/>
      <c r="O370" s="49"/>
      <c r="P370" s="49"/>
      <c r="Q370" s="49"/>
      <c r="R370" s="49"/>
      <c r="S370" s="49"/>
      <c r="T370" s="49"/>
      <c r="U370" s="49"/>
      <c r="V370" s="49"/>
      <c r="W370" s="41" t="s">
        <v>470</v>
      </c>
      <c r="X370" s="46">
        <f t="shared" si="5"/>
        <v>45593.56142</v>
      </c>
      <c r="Y370" s="50" t="s">
        <v>482</v>
      </c>
      <c r="Z370" s="49">
        <f t="shared" si="6"/>
        <v>1</v>
      </c>
    </row>
    <row r="371" ht="22.5" customHeight="1">
      <c r="B371" s="41" t="s">
        <v>1661</v>
      </c>
      <c r="C371" s="43">
        <f t="array" ref="C371">IF(B371="","",_xlfn.XLOOKUP(B371,'Form responses 1'!$B$2:$B$2604,'Form responses 1'!$A$2:$A$2604,""))</f>
        <v>45588.43545</v>
      </c>
      <c r="D371" s="44" t="str">
        <f t="shared" si="3"/>
        <v>K/5/231024/1_45588.4354497338</v>
      </c>
      <c r="E371" s="44" t="str">
        <f t="array" ref="E371">IF(B371="","",_xlfn.XLOOKUP(B371,'Form responses 1'!$B$2:$B$2604,'Form responses 1'!$C$2:$C$2604,""))</f>
        <v>Bambang Abiyono/ Nurhayati</v>
      </c>
      <c r="F371" s="44" t="str">
        <f t="array" ref="F371">IF(B371="","",_xlfn.XLOOKUP(B371,'Form responses 1'!$B$2:$B$2604,'Form responses 1'!$D$2:$D$2604,""))</f>
        <v>082269212060</v>
      </c>
      <c r="G371" s="44" t="str">
        <f t="array" ref="G371">IF(B371="","",_xlfn.XLOOKUP(B371,'Form responses 1'!$B$2:$B$2604,'Form responses 1'!$E$2:$E$2604,""))</f>
        <v>Roya</v>
      </c>
      <c r="H371" s="44" t="str">
        <f t="array" ref="H371">IF(B371="","",_xlfn.XLOOKUP(B371,'Form responses 1'!$B$2:$B$2604,'Form responses 1'!$F$2:$F$2604,""))</f>
        <v>M. 1046/ Kupang Teba</v>
      </c>
      <c r="I371" s="44" t="str">
        <f t="array" ref="I371">IF(B371="","",_xlfn.XLOOKUP(B371,'Form responses 1'!$B$2:$B$2604,'Form responses 1'!$I$2:$I$2604,""))</f>
        <v>Kupang Tteba</v>
      </c>
      <c r="J371" s="44" t="str">
        <f t="array" ref="J371">IF(B371="","",_xlfn.XLOOKUP(B371,'Form responses 1'!$B$2:$B$2604,'Form responses 1'!$G$2:$G$2604,""))</f>
        <v>Hananda</v>
      </c>
      <c r="K371" s="41" t="s">
        <v>1233</v>
      </c>
      <c r="L371" s="52">
        <f t="shared" si="7"/>
        <v>45593.57274</v>
      </c>
      <c r="M371" s="47" t="s">
        <v>5420</v>
      </c>
      <c r="N371" s="49"/>
      <c r="O371" s="49"/>
      <c r="P371" s="49"/>
      <c r="Q371" s="49"/>
      <c r="R371" s="49"/>
      <c r="S371" s="49"/>
      <c r="T371" s="49"/>
      <c r="U371" s="49"/>
      <c r="V371" s="49"/>
      <c r="W371" s="41" t="s">
        <v>618</v>
      </c>
      <c r="X371" s="46">
        <f t="shared" si="5"/>
        <v>45596.41581</v>
      </c>
      <c r="Y371" s="50" t="s">
        <v>482</v>
      </c>
      <c r="Z371" s="49">
        <f t="shared" si="6"/>
        <v>1</v>
      </c>
    </row>
    <row r="372" ht="22.5" customHeight="1">
      <c r="B372" s="41" t="s">
        <v>1709</v>
      </c>
      <c r="C372" s="43">
        <f t="array" ref="C372">IF(B372="","",_xlfn.XLOOKUP(B372,'Form responses 1'!$B$2:$B$2604,'Form responses 1'!$A$2:$A$2604,""))</f>
        <v>45588.47713</v>
      </c>
      <c r="D372" s="44" t="str">
        <f t="shared" si="3"/>
        <v>L/16/231024/1_45588.4771339352</v>
      </c>
      <c r="E372" s="44" t="str">
        <f t="array" ref="E372">IF(B372="","",_xlfn.XLOOKUP(B372,'Form responses 1'!$B$2:$B$2604,'Form responses 1'!$C$2:$C$2604,""))</f>
        <v>EDI SUYANTO</v>
      </c>
      <c r="F372" s="44" t="str">
        <f t="array" ref="F372">IF(B372="","",_xlfn.XLOOKUP(B372,'Form responses 1'!$B$2:$B$2604,'Form responses 1'!$D$2:$D$2604,""))</f>
        <v>082177373779</v>
      </c>
      <c r="G372" s="44" t="str">
        <f t="array" ref="G372">IF(B372="","",_xlfn.XLOOKUP(B372,'Form responses 1'!$B$2:$B$2604,'Form responses 1'!$E$2:$E$2604,""))</f>
        <v>SERTIPIKAT HILANG</v>
      </c>
      <c r="H372" s="44" t="str">
        <f t="array" ref="H372">IF(B372="","",_xlfn.XLOOKUP(B372,'Form responses 1'!$B$2:$B$2604,'Form responses 1'!$F$2:$F$2604,""))</f>
        <v>M.3338/SUKADANA HAM</v>
      </c>
      <c r="I372" s="44" t="str">
        <f t="array" ref="I372">IF(B372="","",_xlfn.XLOOKUP(B372,'Form responses 1'!$B$2:$B$2604,'Form responses 1'!$I$2:$I$2604,""))</f>
        <v>SUKADANA HAM</v>
      </c>
      <c r="J372" s="44" t="str">
        <f t="array" ref="J372">IF(B372="","",_xlfn.XLOOKUP(B372,'Form responses 1'!$B$2:$B$2604,'Form responses 1'!$G$2:$G$2604,""))</f>
        <v>Nuraini</v>
      </c>
      <c r="K372" s="41" t="s">
        <v>1233</v>
      </c>
      <c r="L372" s="52">
        <f t="shared" si="7"/>
        <v>45593.5761</v>
      </c>
      <c r="M372" s="47" t="s">
        <v>5421</v>
      </c>
      <c r="N372" s="47" t="s">
        <v>5422</v>
      </c>
      <c r="O372" s="49"/>
      <c r="P372" s="49"/>
      <c r="Q372" s="49"/>
      <c r="R372" s="49"/>
      <c r="S372" s="49"/>
      <c r="T372" s="49"/>
      <c r="U372" s="49"/>
      <c r="V372" s="49"/>
      <c r="W372" s="41" t="s">
        <v>618</v>
      </c>
      <c r="X372" s="46">
        <f t="shared" si="5"/>
        <v>45604.65922</v>
      </c>
      <c r="Y372" s="50" t="s">
        <v>482</v>
      </c>
      <c r="Z372" s="49">
        <f t="shared" si="6"/>
        <v>2</v>
      </c>
    </row>
    <row r="373" ht="22.5" customHeight="1">
      <c r="B373" s="41" t="s">
        <v>1743</v>
      </c>
      <c r="C373" s="43">
        <f t="array" ref="C373">IF(B373="","",_xlfn.XLOOKUP(B373,'Form responses 1'!$B$2:$B$2604,'Form responses 1'!$A$2:$A$2604,""))</f>
        <v>45588.49565</v>
      </c>
      <c r="D373" s="44" t="str">
        <f t="shared" si="3"/>
        <v>K/26/231024/2_45588.4956529977</v>
      </c>
      <c r="E373" s="44" t="str">
        <f t="array" ref="E373">IF(B373="","",_xlfn.XLOOKUP(B373,'Form responses 1'!$B$2:$B$2604,'Form responses 1'!$C$2:$C$2604,""))</f>
        <v>Nanik Maryani/ Imas</v>
      </c>
      <c r="F373" s="44" t="str">
        <f t="array" ref="F373">IF(B373="","",_xlfn.XLOOKUP(B373,'Form responses 1'!$B$2:$B$2604,'Form responses 1'!$D$2:$D$2604,""))</f>
        <v>082250816900</v>
      </c>
      <c r="G373" s="44" t="str">
        <f t="array" ref="G373">IF(B373="","",_xlfn.XLOOKUP(B373,'Form responses 1'!$B$2:$B$2604,'Form responses 1'!$E$2:$E$2604,""))</f>
        <v>Perubahan Hak</v>
      </c>
      <c r="H373" s="44" t="str">
        <f t="array" ref="H373">IF(B373="","",_xlfn.XLOOKUP(B373,'Form responses 1'!$B$2:$B$2604,'Form responses 1'!$F$2:$F$2604,""))</f>
        <v>Nibel 2486/ Sumur Putri</v>
      </c>
      <c r="I373" s="44" t="str">
        <f t="array" ref="I373">IF(B373="","",_xlfn.XLOOKUP(B373,'Form responses 1'!$B$2:$B$2604,'Form responses 1'!$I$2:$I$2604,""))</f>
        <v>Sumur Putri</v>
      </c>
      <c r="J373" s="44" t="str">
        <f t="array" ref="J373">IF(B373="","",_xlfn.XLOOKUP(B373,'Form responses 1'!$B$2:$B$2604,'Form responses 1'!$G$2:$G$2604,""))</f>
        <v>Hananda</v>
      </c>
      <c r="K373" s="41" t="s">
        <v>1233</v>
      </c>
      <c r="L373" s="52">
        <f t="shared" si="7"/>
        <v>45593.58399</v>
      </c>
      <c r="M373" s="47" t="s">
        <v>4608</v>
      </c>
      <c r="N373" s="47" t="s">
        <v>5423</v>
      </c>
      <c r="O373" s="49"/>
      <c r="P373" s="49"/>
      <c r="Q373" s="49"/>
      <c r="R373" s="49"/>
      <c r="S373" s="49"/>
      <c r="T373" s="49"/>
      <c r="U373" s="49"/>
      <c r="V373" s="49"/>
      <c r="W373" s="41" t="s">
        <v>618</v>
      </c>
      <c r="X373" s="46">
        <f t="shared" si="5"/>
        <v>45596.43277</v>
      </c>
      <c r="Y373" s="50" t="s">
        <v>482</v>
      </c>
      <c r="Z373" s="49">
        <f t="shared" si="6"/>
        <v>2</v>
      </c>
    </row>
    <row r="374" ht="22.5" customHeight="1">
      <c r="B374" s="41" t="s">
        <v>1729</v>
      </c>
      <c r="C374" s="43">
        <f t="array" ref="C374">IF(B374="","",_xlfn.XLOOKUP(B374,'Form responses 1'!$B$2:$B$2604,'Form responses 1'!$A$2:$A$2604,""))</f>
        <v>45588.49031</v>
      </c>
      <c r="D374" s="44" t="str">
        <f t="shared" si="3"/>
        <v>K/22/231024/1_45588.4903115972</v>
      </c>
      <c r="E374" s="44" t="str">
        <f t="array" ref="E374">IF(B374="","",_xlfn.XLOOKUP(B374,'Form responses 1'!$B$2:$B$2604,'Form responses 1'!$C$2:$C$2604,""))</f>
        <v>Nanik M/ Findalia</v>
      </c>
      <c r="F374" s="44" t="str">
        <f t="array" ref="F374">IF(B374="","",_xlfn.XLOOKUP(B374,'Form responses 1'!$B$2:$B$2604,'Form responses 1'!$D$2:$D$2604,""))</f>
        <v>+62 831-7850-1348</v>
      </c>
      <c r="G374" s="44" t="str">
        <f t="array" ref="G374">IF(B374="","",_xlfn.XLOOKUP(B374,'Form responses 1'!$B$2:$B$2604,'Form responses 1'!$E$2:$E$2604,""))</f>
        <v>BN Jual Beli</v>
      </c>
      <c r="H374" s="44" t="str">
        <f t="array" ref="H374">IF(B374="","",_xlfn.XLOOKUP(B374,'Form responses 1'!$B$2:$B$2604,'Form responses 1'!$F$2:$F$2604,""))</f>
        <v>M. 6306/ Way Kandis</v>
      </c>
      <c r="I374" s="44" t="str">
        <f t="array" ref="I374">IF(B374="","",_xlfn.XLOOKUP(B374,'Form responses 1'!$B$2:$B$2604,'Form responses 1'!$I$2:$I$2604,""))</f>
        <v>Way Kandis</v>
      </c>
      <c r="J374" s="44" t="str">
        <f t="array" ref="J374">IF(B374="","",_xlfn.XLOOKUP(B374,'Form responses 1'!$B$2:$B$2604,'Form responses 1'!$G$2:$G$2604,""))</f>
        <v>Hananda</v>
      </c>
      <c r="K374" s="41" t="s">
        <v>1233</v>
      </c>
      <c r="L374" s="52">
        <f t="shared" si="7"/>
        <v>45593.59076</v>
      </c>
      <c r="M374" s="49"/>
      <c r="N374" s="49"/>
      <c r="O374" s="49"/>
      <c r="P374" s="49"/>
      <c r="Q374" s="49"/>
      <c r="R374" s="49"/>
      <c r="S374" s="49"/>
      <c r="T374" s="49"/>
      <c r="U374" s="49"/>
      <c r="V374" s="49"/>
      <c r="W374" s="41" t="s">
        <v>618</v>
      </c>
      <c r="X374" s="46">
        <f t="shared" si="5"/>
        <v>45593.59261</v>
      </c>
      <c r="Y374" s="50" t="s">
        <v>482</v>
      </c>
      <c r="Z374" s="49">
        <f t="shared" si="6"/>
        <v>0</v>
      </c>
    </row>
    <row r="375" ht="22.5" customHeight="1">
      <c r="B375" s="41" t="s">
        <v>1683</v>
      </c>
      <c r="C375" s="43">
        <f t="array" ref="C375">IF(B375="","",_xlfn.XLOOKUP(B375,'Form responses 1'!$B$2:$B$2604,'Form responses 1'!$A$2:$A$2604,""))</f>
        <v>45588.45242</v>
      </c>
      <c r="D375" s="44" t="str">
        <f t="shared" si="3"/>
        <v>K/9/231024/2_45588.4524175347</v>
      </c>
      <c r="E375" s="44" t="str">
        <f t="array" ref="E375">IF(B375="","",_xlfn.XLOOKUP(B375,'Form responses 1'!$B$2:$B$2604,'Form responses 1'!$C$2:$C$2604,""))</f>
        <v>Rahmadiyanti/ Fredy</v>
      </c>
      <c r="F375" s="44" t="str">
        <f t="array" ref="F375">IF(B375="","",_xlfn.XLOOKUP(B375,'Form responses 1'!$B$2:$B$2604,'Form responses 1'!$D$2:$D$2604,""))</f>
        <v>+62 821-8209-0051</v>
      </c>
      <c r="G375" s="44" t="str">
        <f t="array" ref="G375">IF(B375="","",_xlfn.XLOOKUP(B375,'Form responses 1'!$B$2:$B$2604,'Form responses 1'!$E$2:$E$2604,""))</f>
        <v>BN Jual Beli</v>
      </c>
      <c r="H375" s="44" t="str">
        <f t="array" ref="H375">IF(B375="","",_xlfn.XLOOKUP(B375,'Form responses 1'!$B$2:$B$2604,'Form responses 1'!$F$2:$F$2604,""))</f>
        <v>M. 1636/ Bumi Kedamaian- Sekarang; M. 7926/ Kedamaian- dahulu</v>
      </c>
      <c r="I375" s="44" t="str">
        <f t="array" ref="I375">IF(B375="","",_xlfn.XLOOKUP(B375,'Form responses 1'!$B$2:$B$2604,'Form responses 1'!$I$2:$I$2604,""))</f>
        <v>Bumi Kedamaian</v>
      </c>
      <c r="J375" s="44" t="str">
        <f t="array" ref="J375">IF(B375="","",_xlfn.XLOOKUP(B375,'Form responses 1'!$B$2:$B$2604,'Form responses 1'!$G$2:$G$2604,""))</f>
        <v>Hananda</v>
      </c>
      <c r="K375" s="41" t="s">
        <v>1233</v>
      </c>
      <c r="L375" s="52">
        <f t="shared" si="7"/>
        <v>45593.60035</v>
      </c>
      <c r="M375" s="49"/>
      <c r="N375" s="49"/>
      <c r="O375" s="49"/>
      <c r="P375" s="49"/>
      <c r="Q375" s="49"/>
      <c r="R375" s="49"/>
      <c r="S375" s="49"/>
      <c r="T375" s="49"/>
      <c r="U375" s="49"/>
      <c r="V375" s="49"/>
      <c r="W375" s="41" t="s">
        <v>618</v>
      </c>
      <c r="X375" s="46">
        <f t="shared" si="5"/>
        <v>45593.60041</v>
      </c>
      <c r="Y375" s="50" t="s">
        <v>482</v>
      </c>
      <c r="Z375" s="49">
        <f t="shared" si="6"/>
        <v>0</v>
      </c>
    </row>
    <row r="376" ht="22.5" customHeight="1">
      <c r="B376" s="41" t="s">
        <v>1809</v>
      </c>
      <c r="C376" s="43">
        <f t="array" ref="C376">IF(B376="","",_xlfn.XLOOKUP(B376,'Form responses 1'!$B$2:$B$2604,'Form responses 1'!$A$2:$A$2604,""))</f>
        <v>45588.60323</v>
      </c>
      <c r="D376" s="44" t="str">
        <f t="shared" si="3"/>
        <v>K/42/231024/1_45588.6032277662</v>
      </c>
      <c r="E376" s="44" t="str">
        <f t="array" ref="E376">IF(B376="","",_xlfn.XLOOKUP(B376,'Form responses 1'!$B$2:$B$2604,'Form responses 1'!$C$2:$C$2604,""))</f>
        <v>FAIZAL RIZAL/NAZAIRONI A</v>
      </c>
      <c r="F376" s="44" t="str">
        <f t="array" ref="F376">IF(B376="","",_xlfn.XLOOKUP(B376,'Form responses 1'!$B$2:$B$2604,'Form responses 1'!$D$2:$D$2604,""))</f>
        <v>0822-4928-5823</v>
      </c>
      <c r="G376" s="44" t="str">
        <f t="array" ref="G376">IF(B376="","",_xlfn.XLOOKUP(B376,'Form responses 1'!$B$2:$B$2604,'Form responses 1'!$E$2:$E$2604,""))</f>
        <v>BN JUAL BELI</v>
      </c>
      <c r="H376" s="44" t="str">
        <f t="array" ref="H376">IF(B376="","",_xlfn.XLOOKUP(B376,'Form responses 1'!$B$2:$B$2604,'Form responses 1'!$F$2:$F$2604,""))</f>
        <v>M.1878/KEDAUNG</v>
      </c>
      <c r="I376" s="44" t="str">
        <f t="array" ref="I376">IF(B376="","",_xlfn.XLOOKUP(B376,'Form responses 1'!$B$2:$B$2604,'Form responses 1'!$I$2:$I$2604,""))</f>
        <v>KEDAUNG</v>
      </c>
      <c r="J376" s="44" t="str">
        <f t="array" ref="J376">IF(B376="","",_xlfn.XLOOKUP(B376,'Form responses 1'!$B$2:$B$2604,'Form responses 1'!$G$2:$G$2604,""))</f>
        <v>Baynur</v>
      </c>
      <c r="K376" s="41" t="s">
        <v>1233</v>
      </c>
      <c r="L376" s="52">
        <f t="shared" si="7"/>
        <v>45593.60544</v>
      </c>
      <c r="M376" s="49"/>
      <c r="N376" s="49"/>
      <c r="O376" s="49"/>
      <c r="P376" s="49"/>
      <c r="Q376" s="49"/>
      <c r="R376" s="49"/>
      <c r="S376" s="49"/>
      <c r="T376" s="49"/>
      <c r="U376" s="49"/>
      <c r="V376" s="49"/>
      <c r="W376" s="41" t="s">
        <v>618</v>
      </c>
      <c r="X376" s="46">
        <f t="shared" si="5"/>
        <v>45593.60547</v>
      </c>
      <c r="Y376" s="50" t="s">
        <v>482</v>
      </c>
      <c r="Z376" s="49">
        <f t="shared" si="6"/>
        <v>0</v>
      </c>
    </row>
    <row r="377" ht="22.5" customHeight="1">
      <c r="B377" s="41" t="s">
        <v>1541</v>
      </c>
      <c r="C377" s="43">
        <f t="array" ref="C377">IF(B377="","",_xlfn.XLOOKUP(B377,'Form responses 1'!$B$2:$B$2604,'Form responses 1'!$A$2:$A$2604,""))</f>
        <v>45587.48074</v>
      </c>
      <c r="D377" s="44" t="str">
        <f t="shared" si="3"/>
        <v>K/42/221024/4_45587.4807359144</v>
      </c>
      <c r="E377" s="44" t="str">
        <f t="array" ref="E377">IF(B377="","",_xlfn.XLOOKUP(B377,'Form responses 1'!$B$2:$B$2604,'Form responses 1'!$C$2:$C$2604,""))</f>
        <v>Panary S/ Indra K</v>
      </c>
      <c r="F377" s="44" t="str">
        <f t="array" ref="F377">IF(B377="","",_xlfn.XLOOKUP(B377,'Form responses 1'!$B$2:$B$2604,'Form responses 1'!$D$2:$D$2604,""))</f>
        <v>088929773999</v>
      </c>
      <c r="G377" s="44" t="str">
        <f t="array" ref="G377">IF(B377="","",_xlfn.XLOOKUP(B377,'Form responses 1'!$B$2:$B$2604,'Form responses 1'!$E$2:$E$2604,""))</f>
        <v>Hapus BPHTB</v>
      </c>
      <c r="H377" s="44" t="str">
        <f t="array" ref="H377">IF(B377="","",_xlfn.XLOOKUP(B377,'Form responses 1'!$B$2:$B$2604,'Form responses 1'!$F$2:$F$2604,""))</f>
        <v>M. 5090/ Way Kandis</v>
      </c>
      <c r="I377" s="44" t="str">
        <f t="array" ref="I377">IF(B377="","",_xlfn.XLOOKUP(B377,'Form responses 1'!$B$2:$B$2604,'Form responses 1'!$I$2:$I$2604,""))</f>
        <v>Way Kandis</v>
      </c>
      <c r="J377" s="44" t="str">
        <f t="array" ref="J377">IF(B377="","",_xlfn.XLOOKUP(B377,'Form responses 1'!$B$2:$B$2604,'Form responses 1'!$G$2:$G$2604,""))</f>
        <v>Rapita</v>
      </c>
      <c r="K377" s="41" t="s">
        <v>1233</v>
      </c>
      <c r="L377" s="52">
        <f t="shared" si="7"/>
        <v>45593.61024</v>
      </c>
      <c r="M377" s="49"/>
      <c r="N377" s="49"/>
      <c r="O377" s="49"/>
      <c r="P377" s="49"/>
      <c r="Q377" s="49"/>
      <c r="R377" s="49"/>
      <c r="S377" s="49"/>
      <c r="T377" s="49"/>
      <c r="U377" s="49"/>
      <c r="V377" s="49"/>
      <c r="W377" s="41" t="s">
        <v>618</v>
      </c>
      <c r="X377" s="46">
        <f t="shared" si="5"/>
        <v>45593.61197</v>
      </c>
      <c r="Y377" s="50" t="s">
        <v>482</v>
      </c>
      <c r="Z377" s="49">
        <f t="shared" si="6"/>
        <v>0</v>
      </c>
    </row>
    <row r="378" ht="22.5" customHeight="1">
      <c r="B378" s="41" t="s">
        <v>1425</v>
      </c>
      <c r="C378" s="43">
        <f t="array" ref="C378">IF(B378="","",_xlfn.XLOOKUP(B378,'Form responses 1'!$B$2:$B$2604,'Form responses 1'!$A$2:$A$2604,""))</f>
        <v>45587.39632</v>
      </c>
      <c r="D378" s="44" t="str">
        <f t="shared" si="3"/>
        <v>L/8/221024/1_45587.3963228241</v>
      </c>
      <c r="E378" s="44" t="str">
        <f t="array" ref="E378">IF(B378="","",_xlfn.XLOOKUP(B378,'Form responses 1'!$B$2:$B$2604,'Form responses 1'!$C$2:$C$2604,""))</f>
        <v>TAUFIK</v>
      </c>
      <c r="F378" s="44" t="str">
        <f t="array" ref="F378">IF(B378="","",_xlfn.XLOOKUP(B378,'Form responses 1'!$B$2:$B$2604,'Form responses 1'!$D$2:$D$2604,""))</f>
        <v>08127255358</v>
      </c>
      <c r="G378" s="44" t="str">
        <f t="array" ref="G378">IF(B378="","",_xlfn.XLOOKUP(B378,'Form responses 1'!$B$2:$B$2604,'Form responses 1'!$E$2:$E$2604,""))</f>
        <v>ROYA</v>
      </c>
      <c r="H378" s="44" t="str">
        <f t="array" ref="H378">IF(B378="","",_xlfn.XLOOKUP(B378,'Form responses 1'!$B$2:$B$2604,'Form responses 1'!$F$2:$F$2604,""))</f>
        <v>HGB 143/KAMPUNG BARU</v>
      </c>
      <c r="I378" s="44" t="str">
        <f t="array" ref="I378">IF(B378="","",_xlfn.XLOOKUP(B378,'Form responses 1'!$B$2:$B$2604,'Form responses 1'!$I$2:$I$2604,""))</f>
        <v>KAMPUNG BARU</v>
      </c>
      <c r="J378" s="44" t="str">
        <f t="array" ref="J378">IF(B378="","",_xlfn.XLOOKUP(B378,'Form responses 1'!$B$2:$B$2604,'Form responses 1'!$G$2:$G$2604,""))</f>
        <v>Deby</v>
      </c>
      <c r="K378" s="41" t="s">
        <v>1233</v>
      </c>
      <c r="L378" s="52">
        <f t="shared" si="7"/>
        <v>45593.61433</v>
      </c>
      <c r="M378" s="49"/>
      <c r="N378" s="49"/>
      <c r="O378" s="49"/>
      <c r="P378" s="49"/>
      <c r="Q378" s="49"/>
      <c r="R378" s="49"/>
      <c r="S378" s="49"/>
      <c r="T378" s="49"/>
      <c r="U378" s="49"/>
      <c r="V378" s="49"/>
      <c r="W378" s="41" t="s">
        <v>618</v>
      </c>
      <c r="X378" s="46">
        <f t="shared" si="5"/>
        <v>45593.61436</v>
      </c>
      <c r="Y378" s="50" t="s">
        <v>482</v>
      </c>
      <c r="Z378" s="49">
        <f t="shared" si="6"/>
        <v>0</v>
      </c>
    </row>
    <row r="379" ht="22.5" customHeight="1">
      <c r="B379" s="41" t="s">
        <v>1754</v>
      </c>
      <c r="C379" s="43">
        <f t="array" ref="C379">IF(B379="","",_xlfn.XLOOKUP(B379,'Form responses 1'!$B$2:$B$2604,'Form responses 1'!$A$2:$A$2604,""))</f>
        <v>45588.56426</v>
      </c>
      <c r="D379" s="44" t="str">
        <f t="shared" si="3"/>
        <v>K/30/231024/1_45588.5642588194</v>
      </c>
      <c r="E379" s="44" t="str">
        <f t="array" ref="E379">IF(B379="","",_xlfn.XLOOKUP(B379,'Form responses 1'!$B$2:$B$2604,'Form responses 1'!$C$2:$C$2604,""))</f>
        <v>M FARREL F P/TRIADI KURNIAWAN</v>
      </c>
      <c r="F379" s="44" t="str">
        <f t="array" ref="F379">IF(B379="","",_xlfn.XLOOKUP(B379,'Form responses 1'!$B$2:$B$2604,'Form responses 1'!$D$2:$D$2604,""))</f>
        <v>082177159938</v>
      </c>
      <c r="G379" s="44" t="str">
        <f t="array" ref="G379">IF(B379="","",_xlfn.XLOOKUP(B379,'Form responses 1'!$B$2:$B$2604,'Form responses 1'!$E$2:$E$2604,""))</f>
        <v>BN JUAL BELI</v>
      </c>
      <c r="H379" s="44" t="str">
        <f t="array" ref="H379">IF(B379="","",_xlfn.XLOOKUP(B379,'Form responses 1'!$B$2:$B$2604,'Form responses 1'!$F$2:$F$2604,""))</f>
        <v>NIBEL M.661/BILABONG JAYA</v>
      </c>
      <c r="I379" s="44" t="str">
        <f t="array" ref="I379">IF(B379="","",_xlfn.XLOOKUP(B379,'Form responses 1'!$B$2:$B$2604,'Form responses 1'!$I$2:$I$2604,""))</f>
        <v>BILABONG JAYA</v>
      </c>
      <c r="J379" s="44" t="str">
        <f t="array" ref="J379">IF(B379="","",_xlfn.XLOOKUP(B379,'Form responses 1'!$B$2:$B$2604,'Form responses 1'!$G$2:$G$2604,""))</f>
        <v>Baynur</v>
      </c>
      <c r="K379" s="41" t="s">
        <v>1233</v>
      </c>
      <c r="L379" s="52">
        <f t="shared" si="7"/>
        <v>45593.6203</v>
      </c>
      <c r="M379" s="47" t="s">
        <v>5424</v>
      </c>
      <c r="N379" s="47"/>
      <c r="O379" s="49"/>
      <c r="P379" s="49"/>
      <c r="Q379" s="49"/>
      <c r="R379" s="49"/>
      <c r="S379" s="49"/>
      <c r="T379" s="49"/>
      <c r="U379" s="49"/>
      <c r="V379" s="49"/>
      <c r="W379" s="41" t="s">
        <v>618</v>
      </c>
      <c r="X379" s="46">
        <f t="shared" si="5"/>
        <v>45607.65447</v>
      </c>
      <c r="Y379" s="50" t="s">
        <v>482</v>
      </c>
      <c r="Z379" s="49">
        <f t="shared" si="6"/>
        <v>1</v>
      </c>
    </row>
    <row r="380" ht="22.5" customHeight="1">
      <c r="B380" s="41" t="s">
        <v>1563</v>
      </c>
      <c r="C380" s="43">
        <f t="array" ref="C380">IF(B380="","",_xlfn.XLOOKUP(B380,'Form responses 1'!$B$2:$B$2604,'Form responses 1'!$A$2:$A$2604,""))</f>
        <v>45587.55794</v>
      </c>
      <c r="D380" s="44" t="str">
        <f t="shared" si="3"/>
        <v>K/45/221024/1_45587.5579419097</v>
      </c>
      <c r="E380" s="44" t="str">
        <f t="array" ref="E380">IF(B380="","",_xlfn.XLOOKUP(B380,'Form responses 1'!$B$2:$B$2604,'Form responses 1'!$C$2:$C$2604,""))</f>
        <v>Nur Hayati/Rubiyanto</v>
      </c>
      <c r="F380" s="44" t="str">
        <f t="array" ref="F380">IF(B380="","",_xlfn.XLOOKUP(B380,'Form responses 1'!$B$2:$B$2604,'Form responses 1'!$D$2:$D$2604,""))</f>
        <v>082124830712</v>
      </c>
      <c r="G380" s="44" t="str">
        <f t="array" ref="G380">IF(B380="","",_xlfn.XLOOKUP(B380,'Form responses 1'!$B$2:$B$2604,'Form responses 1'!$E$2:$E$2604,""))</f>
        <v>Roya</v>
      </c>
      <c r="H380" s="44" t="str">
        <f t="array" ref="H380">IF(B380="","",_xlfn.XLOOKUP(B380,'Form responses 1'!$B$2:$B$2604,'Form responses 1'!$F$2:$F$2604,""))</f>
        <v>M. 543/ Sumur Putri</v>
      </c>
      <c r="I380" s="44" t="str">
        <f t="array" ref="I380">IF(B380="","",_xlfn.XLOOKUP(B380,'Form responses 1'!$B$2:$B$2604,'Form responses 1'!$I$2:$I$2604,""))</f>
        <v>Sumur Putri</v>
      </c>
      <c r="J380" s="44" t="str">
        <f t="array" ref="J380">IF(B380="","",_xlfn.XLOOKUP(B380,'Form responses 1'!$B$2:$B$2604,'Form responses 1'!$G$2:$G$2604,""))</f>
        <v>Hananda</v>
      </c>
      <c r="K380" s="41" t="s">
        <v>1233</v>
      </c>
      <c r="L380" s="52">
        <f t="shared" si="7"/>
        <v>45593.62629</v>
      </c>
      <c r="M380" s="47" t="s">
        <v>4608</v>
      </c>
      <c r="N380" s="49"/>
      <c r="O380" s="49"/>
      <c r="P380" s="49"/>
      <c r="Q380" s="49"/>
      <c r="R380" s="49"/>
      <c r="S380" s="49"/>
      <c r="T380" s="49"/>
      <c r="U380" s="49"/>
      <c r="V380" s="49"/>
      <c r="W380" s="41" t="s">
        <v>618</v>
      </c>
      <c r="X380" s="46">
        <f t="shared" si="5"/>
        <v>45595.36103</v>
      </c>
      <c r="Y380" s="50" t="s">
        <v>482</v>
      </c>
      <c r="Z380" s="49">
        <f t="shared" si="6"/>
        <v>1</v>
      </c>
    </row>
    <row r="381" ht="22.5" customHeight="1">
      <c r="B381" s="41" t="s">
        <v>1628</v>
      </c>
      <c r="C381" s="43">
        <f t="array" ref="C381">IF(B381="","",_xlfn.XLOOKUP(B381,'Form responses 1'!$B$2:$B$2604,'Form responses 1'!$A$2:$A$2604,""))</f>
        <v>45587.62963</v>
      </c>
      <c r="D381" s="44" t="str">
        <f t="shared" si="3"/>
        <v>K/64/221024/1_45587.6296300579</v>
      </c>
      <c r="E381" s="44" t="str">
        <f t="array" ref="E381">IF(B381="","",_xlfn.XLOOKUP(B381,'Form responses 1'!$B$2:$B$2604,'Form responses 1'!$C$2:$C$2604,""))</f>
        <v>M Arief S/ Indari</v>
      </c>
      <c r="F381" s="44" t="str">
        <f t="array" ref="F381">IF(B381="","",_xlfn.XLOOKUP(B381,'Form responses 1'!$B$2:$B$2604,'Form responses 1'!$D$2:$D$2604,""))</f>
        <v>081369113355</v>
      </c>
      <c r="G381" s="44" t="str">
        <f t="array" ref="G381">IF(B381="","",_xlfn.XLOOKUP(B381,'Form responses 1'!$B$2:$B$2604,'Form responses 1'!$E$2:$E$2604,""))</f>
        <v>BN Jual Beli</v>
      </c>
      <c r="H381" s="44" t="str">
        <f t="array" ref="H381">IF(B381="","",_xlfn.XLOOKUP(B381,'Form responses 1'!$B$2:$B$2604,'Form responses 1'!$F$2:$F$2604,""))</f>
        <v>M. 16736/ Sukabumi</v>
      </c>
      <c r="I381" s="44" t="str">
        <f t="array" ref="I381">IF(B381="","",_xlfn.XLOOKUP(B381,'Form responses 1'!$B$2:$B$2604,'Form responses 1'!$I$2:$I$2604,""))</f>
        <v>Sukabumi</v>
      </c>
      <c r="J381" s="44" t="str">
        <f t="array" ref="J381">IF(B381="","",_xlfn.XLOOKUP(B381,'Form responses 1'!$B$2:$B$2604,'Form responses 1'!$G$2:$G$2604,""))</f>
        <v>Hananda</v>
      </c>
      <c r="K381" s="41" t="s">
        <v>1233</v>
      </c>
      <c r="L381" s="52">
        <f t="shared" si="7"/>
        <v>45593.64496</v>
      </c>
      <c r="M381" s="49"/>
      <c r="N381" s="49"/>
      <c r="O381" s="49"/>
      <c r="P381" s="49"/>
      <c r="Q381" s="49"/>
      <c r="R381" s="49"/>
      <c r="S381" s="49"/>
      <c r="T381" s="49"/>
      <c r="U381" s="49"/>
      <c r="V381" s="49"/>
      <c r="W381" s="41" t="s">
        <v>618</v>
      </c>
      <c r="X381" s="46">
        <f t="shared" si="5"/>
        <v>45593.64505</v>
      </c>
      <c r="Y381" s="50" t="s">
        <v>482</v>
      </c>
      <c r="Z381" s="49">
        <f t="shared" si="6"/>
        <v>0</v>
      </c>
    </row>
    <row r="382" ht="22.5" customHeight="1">
      <c r="B382" s="41" t="s">
        <v>1437</v>
      </c>
      <c r="C382" s="43">
        <f t="array" ref="C382">IF(B382="","",_xlfn.XLOOKUP(B382,'Form responses 1'!$B$2:$B$2604,'Form responses 1'!$A$2:$A$2604,""))</f>
        <v>45587.41427</v>
      </c>
      <c r="D382" s="44" t="str">
        <f t="shared" si="3"/>
        <v>K/13/221024/1_45587.4142662963</v>
      </c>
      <c r="E382" s="44" t="str">
        <f t="array" ref="E382">IF(B382="","",_xlfn.XLOOKUP(B382,'Form responses 1'!$B$2:$B$2604,'Form responses 1'!$C$2:$C$2604,""))</f>
        <v>Nanik Maryani/ Nikki F &amp; Indi</v>
      </c>
      <c r="F382" s="44" t="str">
        <f t="array" ref="F382">IF(B382="","",_xlfn.XLOOKUP(B382,'Form responses 1'!$B$2:$B$2604,'Form responses 1'!$D$2:$D$2604,""))</f>
        <v>+62 831-7850-1348</v>
      </c>
      <c r="G382" s="44" t="str">
        <f t="array" ref="G382">IF(B382="","",_xlfn.XLOOKUP(B382,'Form responses 1'!$B$2:$B$2604,'Form responses 1'!$E$2:$E$2604,""))</f>
        <v>BN Jual Beli</v>
      </c>
      <c r="H382" s="44" t="str">
        <f t="array" ref="H382">IF(B382="","",_xlfn.XLOOKUP(B382,'Form responses 1'!$B$2:$B$2604,'Form responses 1'!$F$2:$F$2604,""))</f>
        <v>Nibel. M. 1167/ Tanjung Gading</v>
      </c>
      <c r="I382" s="44" t="str">
        <f t="array" ref="I382">IF(B382="","",_xlfn.XLOOKUP(B382,'Form responses 1'!$B$2:$B$2604,'Form responses 1'!$I$2:$I$2604,""))</f>
        <v>Tanjung Gading</v>
      </c>
      <c r="J382" s="44" t="str">
        <f t="array" ref="J382">IF(B382="","",_xlfn.XLOOKUP(B382,'Form responses 1'!$B$2:$B$2604,'Form responses 1'!$G$2:$G$2604,""))</f>
        <v>Rapita</v>
      </c>
      <c r="K382" s="41" t="s">
        <v>1233</v>
      </c>
      <c r="L382" s="52">
        <f t="shared" si="7"/>
        <v>45593.64559</v>
      </c>
      <c r="M382" s="49"/>
      <c r="N382" s="49"/>
      <c r="O382" s="49"/>
      <c r="P382" s="49"/>
      <c r="Q382" s="49"/>
      <c r="R382" s="49"/>
      <c r="S382" s="49"/>
      <c r="T382" s="49"/>
      <c r="U382" s="49"/>
      <c r="V382" s="49"/>
      <c r="W382" s="41" t="s">
        <v>618</v>
      </c>
      <c r="X382" s="46">
        <f t="shared" si="5"/>
        <v>45593.65006</v>
      </c>
      <c r="Y382" s="50" t="s">
        <v>482</v>
      </c>
      <c r="Z382" s="49">
        <f t="shared" si="6"/>
        <v>0</v>
      </c>
    </row>
    <row r="383" ht="22.5" customHeight="1">
      <c r="B383" s="41" t="s">
        <v>1437</v>
      </c>
      <c r="C383" s="43">
        <f t="array" ref="C383">IF(B383="","",_xlfn.XLOOKUP(B383,'Form responses 1'!$B$2:$B$2604,'Form responses 1'!$A$2:$A$2604,""))</f>
        <v>45587.41427</v>
      </c>
      <c r="D383" s="44" t="str">
        <f t="shared" si="3"/>
        <v>K/13/221024/1_45587.4142662963</v>
      </c>
      <c r="E383" s="44" t="str">
        <f t="array" ref="E383">IF(B383="","",_xlfn.XLOOKUP(B383,'Form responses 1'!$B$2:$B$2604,'Form responses 1'!$C$2:$C$2604,""))</f>
        <v>Nanik Maryani/ Nikki F &amp; Indi</v>
      </c>
      <c r="F383" s="44" t="str">
        <f t="array" ref="F383">IF(B383="","",_xlfn.XLOOKUP(B383,'Form responses 1'!$B$2:$B$2604,'Form responses 1'!$D$2:$D$2604,""))</f>
        <v>+62 831-7850-1348</v>
      </c>
      <c r="G383" s="44" t="str">
        <f t="array" ref="G383">IF(B383="","",_xlfn.XLOOKUP(B383,'Form responses 1'!$B$2:$B$2604,'Form responses 1'!$E$2:$E$2604,""))</f>
        <v>BN Jual Beli</v>
      </c>
      <c r="H383" s="44" t="str">
        <f t="array" ref="H383">IF(B383="","",_xlfn.XLOOKUP(B383,'Form responses 1'!$B$2:$B$2604,'Form responses 1'!$F$2:$F$2604,""))</f>
        <v>Nibel. M. 1167/ Tanjung Gading</v>
      </c>
      <c r="I383" s="44" t="str">
        <f t="array" ref="I383">IF(B383="","",_xlfn.XLOOKUP(B383,'Form responses 1'!$B$2:$B$2604,'Form responses 1'!$I$2:$I$2604,""))</f>
        <v>Tanjung Gading</v>
      </c>
      <c r="J383" s="44" t="str">
        <f t="array" ref="J383">IF(B383="","",_xlfn.XLOOKUP(B383,'Form responses 1'!$B$2:$B$2604,'Form responses 1'!$G$2:$G$2604,""))</f>
        <v>Rapita</v>
      </c>
      <c r="K383" s="41" t="s">
        <v>1233</v>
      </c>
      <c r="L383" s="52">
        <f t="shared" si="7"/>
        <v>45593.64999</v>
      </c>
      <c r="M383" s="49"/>
      <c r="N383" s="49"/>
      <c r="O383" s="49"/>
      <c r="P383" s="49"/>
      <c r="Q383" s="49"/>
      <c r="R383" s="49"/>
      <c r="S383" s="49"/>
      <c r="T383" s="49"/>
      <c r="U383" s="49"/>
      <c r="V383" s="49"/>
      <c r="W383" s="41" t="s">
        <v>618</v>
      </c>
      <c r="X383" s="46">
        <f t="shared" si="5"/>
        <v>45593.65008</v>
      </c>
      <c r="Y383" s="50" t="s">
        <v>482</v>
      </c>
      <c r="Z383" s="49">
        <f t="shared" si="6"/>
        <v>0</v>
      </c>
    </row>
    <row r="384" ht="22.5" customHeight="1">
      <c r="B384" s="41" t="s">
        <v>1549</v>
      </c>
      <c r="C384" s="43">
        <f t="array" ref="C384">IF(B384="","",_xlfn.XLOOKUP(B384,'Form responses 1'!$B$2:$B$2604,'Form responses 1'!$A$2:$A$2604,""))</f>
        <v>45587.48282</v>
      </c>
      <c r="D384" s="44" t="str">
        <f t="shared" si="3"/>
        <v>K/40/221024/2_45587.4828199537</v>
      </c>
      <c r="E384" s="44" t="str">
        <f t="array" ref="E384">IF(B384="","",_xlfn.XLOOKUP(B384,'Form responses 1'!$B$2:$B$2604,'Form responses 1'!$C$2:$C$2604,""))</f>
        <v>Panary S/ Azhari</v>
      </c>
      <c r="F384" s="44" t="str">
        <f t="array" ref="F384">IF(B384="","",_xlfn.XLOOKUP(B384,'Form responses 1'!$B$2:$B$2604,'Form responses 1'!$D$2:$D$2604,""))</f>
        <v>+62 889-2977-399</v>
      </c>
      <c r="G384" s="44" t="str">
        <f t="array" ref="G384">IF(B384="","",_xlfn.XLOOKUP(B384,'Form responses 1'!$B$2:$B$2604,'Form responses 1'!$E$2:$E$2604,""))</f>
        <v>BN Jual Beli</v>
      </c>
      <c r="H384" s="44" t="str">
        <f t="array" ref="H384">IF(B384="","",_xlfn.XLOOKUP(B384,'Form responses 1'!$B$2:$B$2604,'Form responses 1'!$F$2:$F$2604,""))</f>
        <v>M. 2152/ Sepang Jaya</v>
      </c>
      <c r="I384" s="44" t="str">
        <f t="array" ref="I384">IF(B384="","",_xlfn.XLOOKUP(B384,'Form responses 1'!$B$2:$B$2604,'Form responses 1'!$I$2:$I$2604,""))</f>
        <v>Sepang Jaya</v>
      </c>
      <c r="J384" s="44" t="str">
        <f t="array" ref="J384">IF(B384="","",_xlfn.XLOOKUP(B384,'Form responses 1'!$B$2:$B$2604,'Form responses 1'!$G$2:$G$2604,""))</f>
        <v>Rapita</v>
      </c>
      <c r="K384" s="41" t="s">
        <v>1233</v>
      </c>
      <c r="L384" s="52">
        <f t="shared" si="7"/>
        <v>45593.66931</v>
      </c>
      <c r="M384" s="49"/>
      <c r="N384" s="49"/>
      <c r="O384" s="49"/>
      <c r="P384" s="49"/>
      <c r="Q384" s="49"/>
      <c r="R384" s="49"/>
      <c r="S384" s="49"/>
      <c r="T384" s="49"/>
      <c r="U384" s="49"/>
      <c r="V384" s="49"/>
      <c r="W384" s="41" t="s">
        <v>618</v>
      </c>
      <c r="X384" s="46">
        <f t="shared" si="5"/>
        <v>45593.66934</v>
      </c>
      <c r="Y384" s="50" t="s">
        <v>482</v>
      </c>
      <c r="Z384" s="49">
        <f t="shared" si="6"/>
        <v>0</v>
      </c>
    </row>
    <row r="385" ht="22.5" customHeight="1">
      <c r="B385" s="41" t="s">
        <v>1640</v>
      </c>
      <c r="C385" s="43">
        <f t="array" ref="C385">IF(B385="","",_xlfn.XLOOKUP(B385,'Form responses 1'!$B$2:$B$2604,'Form responses 1'!$A$2:$A$2604,""))</f>
        <v>45588.3582</v>
      </c>
      <c r="D385" s="44" t="str">
        <f t="shared" si="3"/>
        <v>K/60/221024/2_45588.3582018634</v>
      </c>
      <c r="E385" s="44" t="str">
        <f t="array" ref="E385">IF(B385="","",_xlfn.XLOOKUP(B385,'Form responses 1'!$B$2:$B$2604,'Form responses 1'!$C$2:$C$2604,""))</f>
        <v>LUNA KARINA/ANDRI YULIAN</v>
      </c>
      <c r="F385" s="44" t="str">
        <f t="array" ref="F385">IF(B385="","",_xlfn.XLOOKUP(B385,'Form responses 1'!$B$2:$B$2604,'Form responses 1'!$D$2:$D$2604,""))</f>
        <v>0821-8694-9749</v>
      </c>
      <c r="G385" s="44" t="str">
        <f t="array" ref="G385">IF(B385="","",_xlfn.XLOOKUP(B385,'Form responses 1'!$B$2:$B$2604,'Form responses 1'!$E$2:$E$2604,""))</f>
        <v>HIBAH</v>
      </c>
      <c r="H385" s="44" t="str">
        <f t="array" ref="H385">IF(B385="","",_xlfn.XLOOKUP(B385,'Form responses 1'!$B$2:$B$2604,'Form responses 1'!$F$2:$F$2604,""))</f>
        <v>NIBEL M 859/NUSANTARA PERMAI</v>
      </c>
      <c r="I385" s="44" t="str">
        <f t="array" ref="I385">IF(B385="","",_xlfn.XLOOKUP(B385,'Form responses 1'!$B$2:$B$2604,'Form responses 1'!$I$2:$I$2604,""))</f>
        <v>NUSANTARA PERMAI</v>
      </c>
      <c r="J385" s="44" t="str">
        <f t="array" ref="J385">IF(B385="","",_xlfn.XLOOKUP(B385,'Form responses 1'!$B$2:$B$2604,'Form responses 1'!$G$2:$G$2604,""))</f>
        <v>Baynur</v>
      </c>
      <c r="K385" s="41" t="s">
        <v>1233</v>
      </c>
      <c r="L385" s="52">
        <f t="shared" si="7"/>
        <v>45593.68267</v>
      </c>
      <c r="M385" s="49"/>
      <c r="N385" s="49"/>
      <c r="O385" s="49"/>
      <c r="P385" s="49"/>
      <c r="Q385" s="49"/>
      <c r="R385" s="49"/>
      <c r="S385" s="49"/>
      <c r="T385" s="49"/>
      <c r="U385" s="49"/>
      <c r="V385" s="49"/>
      <c r="W385" s="41" t="s">
        <v>618</v>
      </c>
      <c r="X385" s="46">
        <f t="shared" si="5"/>
        <v>45593.68271</v>
      </c>
      <c r="Y385" s="50" t="s">
        <v>482</v>
      </c>
      <c r="Z385" s="49">
        <f t="shared" si="6"/>
        <v>0</v>
      </c>
    </row>
    <row r="386" ht="22.5" customHeight="1">
      <c r="B386" s="41" t="s">
        <v>1560</v>
      </c>
      <c r="C386" s="43">
        <f t="array" ref="C386">IF(B386="","",_xlfn.XLOOKUP(B386,'Form responses 1'!$B$2:$B$2604,'Form responses 1'!$A$2:$A$2604,""))</f>
        <v>45587.49387</v>
      </c>
      <c r="D386" s="44" t="str">
        <f t="shared" si="3"/>
        <v>K/44/221024/2_45587.4938675694</v>
      </c>
      <c r="E386" s="44" t="str">
        <f t="array" ref="E386">IF(B386="","",_xlfn.XLOOKUP(B386,'Form responses 1'!$B$2:$B$2604,'Form responses 1'!$C$2:$C$2604,""))</f>
        <v>Adnan/ Lieta Devi</v>
      </c>
      <c r="F386" s="44" t="str">
        <f t="array" ref="F386">IF(B386="","",_xlfn.XLOOKUP(B386,'Form responses 1'!$B$2:$B$2604,'Form responses 1'!$D$2:$D$2604,""))</f>
        <v>085269824476</v>
      </c>
      <c r="G386" s="44" t="str">
        <f t="array" ref="G386">IF(B386="","",_xlfn.XLOOKUP(B386,'Form responses 1'!$B$2:$B$2604,'Form responses 1'!$E$2:$E$2604,""))</f>
        <v>BN Waris</v>
      </c>
      <c r="H386" s="44" t="str">
        <f t="array" ref="H386">IF(B386="","",_xlfn.XLOOKUP(B386,'Form responses 1'!$B$2:$B$2604,'Form responses 1'!$F$2:$F$2604,""))</f>
        <v>M. 2956/ Sukarame Baru- sekarang; M. 16805/ Sukarame I</v>
      </c>
      <c r="I386" s="44" t="str">
        <f t="array" ref="I386">IF(B386="","",_xlfn.XLOOKUP(B386,'Form responses 1'!$B$2:$B$2604,'Form responses 1'!$I$2:$I$2604,""))</f>
        <v>Sukarame Baru</v>
      </c>
      <c r="J386" s="44" t="str">
        <f t="array" ref="J386">IF(B386="","",_xlfn.XLOOKUP(B386,'Form responses 1'!$B$2:$B$2604,'Form responses 1'!$G$2:$G$2604,""))</f>
        <v>Hananda</v>
      </c>
      <c r="K386" s="41" t="s">
        <v>1233</v>
      </c>
      <c r="L386" s="52">
        <f t="shared" si="7"/>
        <v>45594.35721</v>
      </c>
      <c r="M386" s="47" t="s">
        <v>5329</v>
      </c>
      <c r="N386" s="47" t="s">
        <v>5331</v>
      </c>
      <c r="O386" s="49"/>
      <c r="P386" s="49"/>
      <c r="Q386" s="49"/>
      <c r="R386" s="49"/>
      <c r="S386" s="49"/>
      <c r="T386" s="49"/>
      <c r="U386" s="49"/>
      <c r="V386" s="49"/>
      <c r="W386" s="41" t="s">
        <v>618</v>
      </c>
      <c r="X386" s="46">
        <f t="shared" si="5"/>
        <v>45596.45003</v>
      </c>
      <c r="Y386" s="50" t="s">
        <v>482</v>
      </c>
      <c r="Z386" s="49">
        <f t="shared" si="6"/>
        <v>2</v>
      </c>
    </row>
    <row r="387" ht="22.5" customHeight="1">
      <c r="B387" s="41" t="s">
        <v>2227</v>
      </c>
      <c r="C387" s="43">
        <f t="array" ref="C387">IF(B387="","",_xlfn.XLOOKUP(B387,'Form responses 1'!$B$2:$B$2604,'Form responses 1'!$A$2:$A$2604,""))</f>
        <v>45590.59</v>
      </c>
      <c r="D387" s="44" t="str">
        <f t="shared" si="3"/>
        <v>K/38/251024/2_45590.5900035995</v>
      </c>
      <c r="E387" s="44" t="str">
        <f t="array" ref="E387">IF(B387="","",_xlfn.XLOOKUP(B387,'Form responses 1'!$B$2:$B$2604,'Form responses 1'!$C$2:$C$2604,""))</f>
        <v>Angga Purnama/ Camelis Cs</v>
      </c>
      <c r="F387" s="44" t="str">
        <f t="array" ref="F387">IF(B387="","",_xlfn.XLOOKUP(B387,'Form responses 1'!$B$2:$B$2604,'Form responses 1'!$D$2:$D$2604,""))</f>
        <v>+62 895-3553-08122</v>
      </c>
      <c r="G387" s="44" t="str">
        <f t="array" ref="G387">IF(B387="","",_xlfn.XLOOKUP(B387,'Form responses 1'!$B$2:$B$2604,'Form responses 1'!$E$2:$E$2604,""))</f>
        <v>BN Waris</v>
      </c>
      <c r="H387" s="44" t="str">
        <f t="array" ref="H387">IF(B387="","",_xlfn.XLOOKUP(B387,'Form responses 1'!$B$2:$B$2604,'Form responses 1'!$F$2:$F$2604,""))</f>
        <v>Nibel. M. 2592/ Beringin Raya</v>
      </c>
      <c r="I387" s="44" t="str">
        <f t="array" ref="I387">IF(B387="","",_xlfn.XLOOKUP(B387,'Form responses 1'!$B$2:$B$2604,'Form responses 1'!$I$2:$I$2604,""))</f>
        <v>Beringin Raya</v>
      </c>
      <c r="J387" s="44" t="str">
        <f t="array" ref="J387">IF(B387="","",_xlfn.XLOOKUP(B387,'Form responses 1'!$B$2:$B$2604,'Form responses 1'!$G$2:$G$2604,""))</f>
        <v>Rapita</v>
      </c>
      <c r="K387" s="41" t="s">
        <v>1233</v>
      </c>
      <c r="L387" s="52">
        <f t="shared" si="7"/>
        <v>45594.45514</v>
      </c>
      <c r="M387" s="49"/>
      <c r="N387" s="49"/>
      <c r="O387" s="49"/>
      <c r="P387" s="49"/>
      <c r="Q387" s="49"/>
      <c r="R387" s="49"/>
      <c r="S387" s="49"/>
      <c r="T387" s="49"/>
      <c r="U387" s="49"/>
      <c r="V387" s="49"/>
      <c r="W387" s="41" t="s">
        <v>618</v>
      </c>
      <c r="X387" s="46">
        <f t="shared" si="5"/>
        <v>45594.45518</v>
      </c>
      <c r="Y387" s="50" t="s">
        <v>482</v>
      </c>
      <c r="Z387" s="49">
        <f t="shared" si="6"/>
        <v>0</v>
      </c>
    </row>
    <row r="388" ht="22.5" customHeight="1">
      <c r="B388" s="41" t="s">
        <v>2246</v>
      </c>
      <c r="C388" s="43">
        <f t="array" ref="C388">IF(B388="","",_xlfn.XLOOKUP(B388,'Form responses 1'!$B$2:$B$2604,'Form responses 1'!$A$2:$A$2604,""))</f>
        <v>45590.61066</v>
      </c>
      <c r="D388" s="44" t="str">
        <f t="shared" si="3"/>
        <v>L//251024/1_45590.6106556019</v>
      </c>
      <c r="E388" s="44" t="str">
        <f t="array" ref="E388">IF(B388="","",_xlfn.XLOOKUP(B388,'Form responses 1'!$B$2:$B$2604,'Form responses 1'!$C$2:$C$2604,""))</f>
        <v>ADRIAWAN TIRTA</v>
      </c>
      <c r="F388" s="44" t="str">
        <f t="array" ref="F388">IF(B388="","",_xlfn.XLOOKUP(B388,'Form responses 1'!$B$2:$B$2604,'Form responses 1'!$D$2:$D$2604,""))</f>
        <v>08117220504</v>
      </c>
      <c r="G388" s="44" t="str">
        <f t="array" ref="G388">IF(B388="","",_xlfn.XLOOKUP(B388,'Form responses 1'!$B$2:$B$2604,'Form responses 1'!$E$2:$E$2604,""))</f>
        <v>BN LELANG</v>
      </c>
      <c r="H388" s="44" t="str">
        <f t="array" ref="H388">IF(B388="","",_xlfn.XLOOKUP(B388,'Form responses 1'!$B$2:$B$2604,'Form responses 1'!$F$2:$F$2604,""))</f>
        <v>NIB 3303/WAY LAGA</v>
      </c>
      <c r="I388" s="44" t="str">
        <f t="array" ref="I388">IF(B388="","",_xlfn.XLOOKUP(B388,'Form responses 1'!$B$2:$B$2604,'Form responses 1'!$I$2:$I$2604,""))</f>
        <v>WAY LAGA</v>
      </c>
      <c r="J388" s="44" t="str">
        <f t="array" ref="J388">IF(B388="","",_xlfn.XLOOKUP(B388,'Form responses 1'!$B$2:$B$2604,'Form responses 1'!$G$2:$G$2604,""))</f>
        <v>Deby</v>
      </c>
      <c r="K388" s="41" t="s">
        <v>1233</v>
      </c>
      <c r="L388" s="52">
        <f t="shared" si="7"/>
        <v>45594.45714</v>
      </c>
      <c r="M388" s="49"/>
      <c r="N388" s="49"/>
      <c r="O388" s="49"/>
      <c r="P388" s="49"/>
      <c r="Q388" s="49"/>
      <c r="R388" s="49"/>
      <c r="S388" s="49"/>
      <c r="T388" s="49"/>
      <c r="U388" s="49"/>
      <c r="V388" s="49"/>
      <c r="W388" s="41" t="s">
        <v>618</v>
      </c>
      <c r="X388" s="46">
        <f t="shared" si="5"/>
        <v>45594.46756</v>
      </c>
      <c r="Y388" s="50" t="s">
        <v>482</v>
      </c>
      <c r="Z388" s="49">
        <f t="shared" si="6"/>
        <v>0</v>
      </c>
    </row>
    <row r="389" ht="22.5" customHeight="1">
      <c r="B389" s="41" t="s">
        <v>2099</v>
      </c>
      <c r="C389" s="43">
        <f t="array" ref="C389">IF(B389="","",_xlfn.XLOOKUP(B389,'Form responses 1'!$B$2:$B$2604,'Form responses 1'!$A$2:$A$2604,""))</f>
        <v>45590.41872</v>
      </c>
      <c r="D389" s="44" t="str">
        <f t="shared" si="3"/>
        <v>K/5/251024/1_45590.4187160301</v>
      </c>
      <c r="E389" s="44" t="str">
        <f t="array" ref="E389">IF(B389="","",_xlfn.XLOOKUP(B389,'Form responses 1'!$B$2:$B$2604,'Form responses 1'!$C$2:$C$2604,""))</f>
        <v>Habibah/ Lestari CS</v>
      </c>
      <c r="F389" s="44" t="str">
        <f t="array" ref="F389">IF(B389="","",_xlfn.XLOOKUP(B389,'Form responses 1'!$B$2:$B$2604,'Form responses 1'!$D$2:$D$2604,""))</f>
        <v>082282730177</v>
      </c>
      <c r="G389" s="44" t="str">
        <f t="array" ref="G389">IF(B389="","",_xlfn.XLOOKUP(B389,'Form responses 1'!$B$2:$B$2604,'Form responses 1'!$E$2:$E$2604,""))</f>
        <v>Pemecahan</v>
      </c>
      <c r="H389" s="44" t="str">
        <f t="array" ref="H389">IF(B389="","",_xlfn.XLOOKUP(B389,'Form responses 1'!$B$2:$B$2604,'Form responses 1'!$F$2:$F$2604,""))</f>
        <v>Nibel. M. 1272/ Rajabasa Jaya</v>
      </c>
      <c r="I389" s="44" t="str">
        <f t="array" ref="I389">IF(B389="","",_xlfn.XLOOKUP(B389,'Form responses 1'!$B$2:$B$2604,'Form responses 1'!$I$2:$I$2604,""))</f>
        <v>Rajabasa Jaya</v>
      </c>
      <c r="J389" s="44" t="str">
        <f t="array" ref="J389">IF(B389="","",_xlfn.XLOOKUP(B389,'Form responses 1'!$B$2:$B$2604,'Form responses 1'!$G$2:$G$2604,""))</f>
        <v>Rapita</v>
      </c>
      <c r="K389" s="41" t="s">
        <v>1233</v>
      </c>
      <c r="L389" s="52">
        <f t="shared" si="7"/>
        <v>45594.47834</v>
      </c>
      <c r="M389" s="49"/>
      <c r="N389" s="49"/>
      <c r="O389" s="49"/>
      <c r="P389" s="49"/>
      <c r="Q389" s="49"/>
      <c r="R389" s="49"/>
      <c r="S389" s="49"/>
      <c r="T389" s="49"/>
      <c r="U389" s="49"/>
      <c r="V389" s="49"/>
      <c r="W389" s="41" t="s">
        <v>618</v>
      </c>
      <c r="X389" s="46">
        <f t="shared" si="5"/>
        <v>45594.47837</v>
      </c>
      <c r="Y389" s="50" t="s">
        <v>482</v>
      </c>
      <c r="Z389" s="49">
        <f t="shared" si="6"/>
        <v>0</v>
      </c>
    </row>
    <row r="390" ht="22.5" customHeight="1">
      <c r="B390" s="41" t="s">
        <v>1513</v>
      </c>
      <c r="C390" s="43">
        <f t="array" ref="C390">IF(B390="","",_xlfn.XLOOKUP(B390,'Form responses 1'!$B$2:$B$2604,'Form responses 1'!$A$2:$A$2604,""))</f>
        <v>45587.44849</v>
      </c>
      <c r="D390" s="44" t="str">
        <f t="shared" si="3"/>
        <v>K/33/221024/1_45587.4484893171</v>
      </c>
      <c r="E390" s="44" t="str">
        <f t="array" ref="E390">IF(B390="","",_xlfn.XLOOKUP(B390,'Form responses 1'!$B$2:$B$2604,'Form responses 1'!$C$2:$C$2604,""))</f>
        <v>Evi Udin/ Seftiana</v>
      </c>
      <c r="F390" s="44" t="str">
        <f t="array" ref="F390">IF(B390="","",_xlfn.XLOOKUP(B390,'Form responses 1'!$B$2:$B$2604,'Form responses 1'!$D$2:$D$2604,""))</f>
        <v>+62 821-8499-9559</v>
      </c>
      <c r="G390" s="44" t="str">
        <f t="array" ref="G390">IF(B390="","",_xlfn.XLOOKUP(B390,'Form responses 1'!$B$2:$B$2604,'Form responses 1'!$E$2:$E$2604,""))</f>
        <v>BN Jual Beli</v>
      </c>
      <c r="H390" s="44" t="str">
        <f t="array" ref="H390">IF(B390="","",_xlfn.XLOOKUP(B390,'Form responses 1'!$B$2:$B$2604,'Form responses 1'!$F$2:$F$2604,""))</f>
        <v>M. 2679/ Kota Baru</v>
      </c>
      <c r="I390" s="44" t="str">
        <f t="array" ref="I390">IF(B390="","",_xlfn.XLOOKUP(B390,'Form responses 1'!$B$2:$B$2604,'Form responses 1'!$I$2:$I$2604,""))</f>
        <v>Kota Baru</v>
      </c>
      <c r="J390" s="44" t="str">
        <f t="array" ref="J390">IF(B390="","",_xlfn.XLOOKUP(B390,'Form responses 1'!$B$2:$B$2604,'Form responses 1'!$G$2:$G$2604,""))</f>
        <v>Rapita</v>
      </c>
      <c r="K390" s="41" t="s">
        <v>1233</v>
      </c>
      <c r="L390" s="52">
        <f t="shared" si="7"/>
        <v>45594.48008</v>
      </c>
      <c r="M390" s="49"/>
      <c r="N390" s="49"/>
      <c r="O390" s="49"/>
      <c r="P390" s="49"/>
      <c r="Q390" s="49"/>
      <c r="R390" s="49"/>
      <c r="S390" s="49"/>
      <c r="T390" s="49"/>
      <c r="U390" s="49"/>
      <c r="V390" s="49"/>
      <c r="W390" s="41" t="s">
        <v>618</v>
      </c>
      <c r="X390" s="46">
        <f t="shared" si="5"/>
        <v>45594.48012</v>
      </c>
      <c r="Y390" s="50" t="s">
        <v>482</v>
      </c>
      <c r="Z390" s="49">
        <f t="shared" si="6"/>
        <v>0</v>
      </c>
    </row>
    <row r="391" ht="22.5" customHeight="1">
      <c r="B391" s="41" t="s">
        <v>2110</v>
      </c>
      <c r="C391" s="43">
        <f t="array" ref="C391">IF(B391="","",_xlfn.XLOOKUP(B391,'Form responses 1'!$B$2:$B$2604,'Form responses 1'!$A$2:$A$2604,""))</f>
        <v>45590.4624</v>
      </c>
      <c r="D391" s="44" t="str">
        <f t="shared" si="3"/>
        <v>K/8/251024/1_45590.4624009838</v>
      </c>
      <c r="E391" s="44" t="str">
        <f t="array" ref="E391">IF(B391="","",_xlfn.XLOOKUP(B391,'Form responses 1'!$B$2:$B$2604,'Form responses 1'!$C$2:$C$2604,""))</f>
        <v>Nuryati/ Christina</v>
      </c>
      <c r="F391" s="44" t="str">
        <f t="array" ref="F391">IF(B391="","",_xlfn.XLOOKUP(B391,'Form responses 1'!$B$2:$B$2604,'Form responses 1'!$D$2:$D$2604,""))</f>
        <v>08151674299</v>
      </c>
      <c r="G391" s="44" t="str">
        <f t="array" ref="G391">IF(B391="","",_xlfn.XLOOKUP(B391,'Form responses 1'!$B$2:$B$2604,'Form responses 1'!$E$2:$E$2604,""))</f>
        <v>Roya</v>
      </c>
      <c r="H391" s="44" t="str">
        <f t="array" ref="H391">IF(B391="","",_xlfn.XLOOKUP(B391,'Form responses 1'!$B$2:$B$2604,'Form responses 1'!$F$2:$F$2604,""))</f>
        <v>M. 13993/ SukarameI, M. 13992/ Sukarame I-sekarang; B. 443/ Way Halim Permai, B. 984/ Way Halim Permai-dahulu</v>
      </c>
      <c r="I391" s="44" t="str">
        <f t="array" ref="I391">IF(B391="","",_xlfn.XLOOKUP(B391,'Form responses 1'!$B$2:$B$2604,'Form responses 1'!$I$2:$I$2604,""))</f>
        <v>Sukarame I</v>
      </c>
      <c r="J391" s="44" t="str">
        <f t="array" ref="J391">IF(B391="","",_xlfn.XLOOKUP(B391,'Form responses 1'!$B$2:$B$2604,'Form responses 1'!$G$2:$G$2604,""))</f>
        <v>Hananda</v>
      </c>
      <c r="K391" s="41" t="s">
        <v>1233</v>
      </c>
      <c r="L391" s="52">
        <f t="shared" si="7"/>
        <v>45594.48819</v>
      </c>
      <c r="M391" s="47" t="s">
        <v>5420</v>
      </c>
      <c r="N391" s="49"/>
      <c r="O391" s="49"/>
      <c r="P391" s="49"/>
      <c r="Q391" s="49"/>
      <c r="R391" s="49"/>
      <c r="S391" s="49"/>
      <c r="T391" s="49"/>
      <c r="U391" s="49"/>
      <c r="V391" s="49"/>
      <c r="W391" s="41" t="s">
        <v>618</v>
      </c>
      <c r="X391" s="46">
        <f t="shared" si="5"/>
        <v>45611.35494</v>
      </c>
      <c r="Y391" s="50" t="s">
        <v>482</v>
      </c>
      <c r="Z391" s="49">
        <f t="shared" si="6"/>
        <v>1</v>
      </c>
    </row>
    <row r="392" ht="22.5" customHeight="1">
      <c r="B392" s="41" t="s">
        <v>2134</v>
      </c>
      <c r="C392" s="43">
        <f t="array" ref="C392">IF(B392="","",_xlfn.XLOOKUP(B392,'Form responses 1'!$B$2:$B$2604,'Form responses 1'!$A$2:$A$2604,""))</f>
        <v>45590.4563</v>
      </c>
      <c r="D392" s="44" t="str">
        <f t="shared" si="3"/>
        <v>K/13/251024/1_45590.4562973843</v>
      </c>
      <c r="E392" s="44" t="str">
        <f t="array" ref="E392">IF(B392="","",_xlfn.XLOOKUP(B392,'Form responses 1'!$B$2:$B$2604,'Form responses 1'!$C$2:$C$2604,""))</f>
        <v>ROMLI/MUHAMMAD IWAN KURNIAWAN</v>
      </c>
      <c r="F392" s="44" t="str">
        <f t="array" ref="F392">IF(B392="","",_xlfn.XLOOKUP(B392,'Form responses 1'!$B$2:$B$2604,'Form responses 1'!$D$2:$D$2604,""))</f>
        <v>081373383283</v>
      </c>
      <c r="G392" s="44" t="str">
        <f t="array" ref="G392">IF(B392="","",_xlfn.XLOOKUP(B392,'Form responses 1'!$B$2:$B$2604,'Form responses 1'!$E$2:$E$2604,""))</f>
        <v>ROYA</v>
      </c>
      <c r="H392" s="44" t="str">
        <f t="array" ref="H392">IF(B392="","",_xlfn.XLOOKUP(B392,'Form responses 1'!$B$2:$B$2604,'Form responses 1'!$F$2:$F$2604,""))</f>
        <v>M.990/DURIAN PAYUNG</v>
      </c>
      <c r="I392" s="44" t="str">
        <f t="array" ref="I392">IF(B392="","",_xlfn.XLOOKUP(B392,'Form responses 1'!$B$2:$B$2604,'Form responses 1'!$I$2:$I$2604,""))</f>
        <v>DURIAN PAYUNG</v>
      </c>
      <c r="J392" s="44" t="str">
        <f t="array" ref="J392">IF(B392="","",_xlfn.XLOOKUP(B392,'Form responses 1'!$B$2:$B$2604,'Form responses 1'!$G$2:$G$2604,""))</f>
        <v>Baynur</v>
      </c>
      <c r="K392" s="41" t="s">
        <v>1233</v>
      </c>
      <c r="L392" s="52">
        <f t="shared" si="7"/>
        <v>45594.57857</v>
      </c>
      <c r="M392" s="47" t="s">
        <v>5420</v>
      </c>
      <c r="N392" s="49"/>
      <c r="O392" s="49"/>
      <c r="P392" s="49"/>
      <c r="Q392" s="49"/>
      <c r="R392" s="49"/>
      <c r="S392" s="49"/>
      <c r="T392" s="49"/>
      <c r="U392" s="49"/>
      <c r="V392" s="49"/>
      <c r="W392" s="41" t="s">
        <v>618</v>
      </c>
      <c r="X392" s="46">
        <f t="shared" si="5"/>
        <v>45602.49136</v>
      </c>
      <c r="Y392" s="50" t="s">
        <v>482</v>
      </c>
      <c r="Z392" s="49">
        <f t="shared" si="6"/>
        <v>1</v>
      </c>
    </row>
    <row r="393" ht="22.5" customHeight="1">
      <c r="B393" s="41" t="s">
        <v>2321</v>
      </c>
      <c r="C393" s="43">
        <f t="array" ref="C393">IF(B393="","",_xlfn.XLOOKUP(B393,'Form responses 1'!$B$2:$B$2604,'Form responses 1'!$A$2:$A$2604,""))</f>
        <v>45593.38484</v>
      </c>
      <c r="D393" s="44" t="str">
        <f t="shared" si="3"/>
        <v>K/4/281024/2_45593.3848378935</v>
      </c>
      <c r="E393" s="44" t="str">
        <f t="array" ref="E393">IF(B393="","",_xlfn.XLOOKUP(B393,'Form responses 1'!$B$2:$B$2604,'Form responses 1'!$C$2:$C$2604,""))</f>
        <v>dito saputra/titik wijayanti</v>
      </c>
      <c r="F393" s="44" t="str">
        <f t="array" ref="F393">IF(B393="","",_xlfn.XLOOKUP(B393,'Form responses 1'!$B$2:$B$2604,'Form responses 1'!$D$2:$D$2604,""))</f>
        <v>081369350683</v>
      </c>
      <c r="G393" s="44" t="str">
        <f t="array" ref="G393">IF(B393="","",_xlfn.XLOOKUP(B393,'Form responses 1'!$B$2:$B$2604,'Form responses 1'!$E$2:$E$2604,""))</f>
        <v>SKPT lelang</v>
      </c>
      <c r="H393" s="44" t="str">
        <f t="array" ref="H393">IF(B393="","",_xlfn.XLOOKUP(B393,'Form responses 1'!$B$2:$B$2604,'Form responses 1'!$F$2:$F$2604,""))</f>
        <v>M. 660/ Tanjung Gading</v>
      </c>
      <c r="I393" s="44" t="str">
        <f t="array" ref="I393">IF(B393="","",_xlfn.XLOOKUP(B393,'Form responses 1'!$B$2:$B$2604,'Form responses 1'!$I$2:$I$2604,""))</f>
        <v>Tanjung Gading</v>
      </c>
      <c r="J393" s="44" t="str">
        <f t="array" ref="J393">IF(B393="","",_xlfn.XLOOKUP(B393,'Form responses 1'!$B$2:$B$2604,'Form responses 1'!$G$2:$G$2604,""))</f>
        <v>Hananda</v>
      </c>
      <c r="K393" s="41" t="s">
        <v>2421</v>
      </c>
      <c r="L393" s="52">
        <f t="shared" si="7"/>
        <v>45594.5827</v>
      </c>
      <c r="M393" s="49"/>
      <c r="N393" s="49"/>
      <c r="O393" s="49"/>
      <c r="P393" s="49"/>
      <c r="Q393" s="49"/>
      <c r="R393" s="49"/>
      <c r="S393" s="49"/>
      <c r="T393" s="49"/>
      <c r="U393" s="49"/>
      <c r="V393" s="49"/>
      <c r="W393" s="41" t="s">
        <v>618</v>
      </c>
      <c r="X393" s="46">
        <f t="shared" si="5"/>
        <v>45594.58319</v>
      </c>
      <c r="Y393" s="50" t="s">
        <v>482</v>
      </c>
      <c r="Z393" s="49">
        <f t="shared" si="6"/>
        <v>0</v>
      </c>
    </row>
    <row r="394" ht="22.5" customHeight="1">
      <c r="B394" s="41" t="s">
        <v>2441</v>
      </c>
      <c r="C394" s="43">
        <f t="array" ref="C394">IF(B394="","",_xlfn.XLOOKUP(B394,'Form responses 1'!$B$2:$B$2604,'Form responses 1'!$A$2:$A$2604,""))</f>
        <v>45593.57571</v>
      </c>
      <c r="D394" s="44" t="str">
        <f t="shared" si="3"/>
        <v>L/33/281024/2_45593.5757094907</v>
      </c>
      <c r="E394" s="44" t="str">
        <f t="array" ref="E394">IF(B394="","",_xlfn.XLOOKUP(B394,'Form responses 1'!$B$2:$B$2604,'Form responses 1'!$C$2:$C$2604,""))</f>
        <v>MIDUK SIANTURI</v>
      </c>
      <c r="F394" s="44" t="str">
        <f t="array" ref="F394">IF(B394="","",_xlfn.XLOOKUP(B394,'Form responses 1'!$B$2:$B$2604,'Form responses 1'!$D$2:$D$2604,""))</f>
        <v>081377797875</v>
      </c>
      <c r="G394" s="44" t="str">
        <f t="array" ref="G394">IF(B394="","",_xlfn.XLOOKUP(B394,'Form responses 1'!$B$2:$B$2604,'Form responses 1'!$E$2:$E$2604,""))</f>
        <v>PERUBAHAN HAK</v>
      </c>
      <c r="H394" s="44" t="str">
        <f t="array" ref="H394">IF(B394="","",_xlfn.XLOOKUP(B394,'Form responses 1'!$B$2:$B$2604,'Form responses 1'!$F$2:$F$2604,""))</f>
        <v>B.161/LRR;B.161/LR-DAHULU</v>
      </c>
      <c r="I394" s="44" t="str">
        <f t="array" ref="I394">IF(B394="","",_xlfn.XLOOKUP(B394,'Form responses 1'!$B$2:$B$2604,'Form responses 1'!$I$2:$I$2604,""))</f>
        <v>LABUHAN RATU RAYA</v>
      </c>
      <c r="J394" s="44" t="str">
        <f t="array" ref="J394">IF(B394="","",_xlfn.XLOOKUP(B394,'Form responses 1'!$B$2:$B$2604,'Form responses 1'!$G$2:$G$2604,""))</f>
        <v>Nuraini</v>
      </c>
      <c r="K394" s="41" t="s">
        <v>2421</v>
      </c>
      <c r="L394" s="52">
        <f t="shared" si="7"/>
        <v>45594.58272</v>
      </c>
      <c r="M394" s="47" t="s">
        <v>5425</v>
      </c>
      <c r="N394" s="49"/>
      <c r="O394" s="49"/>
      <c r="P394" s="49"/>
      <c r="Q394" s="49"/>
      <c r="R394" s="49"/>
      <c r="S394" s="49"/>
      <c r="T394" s="49"/>
      <c r="U394" s="49"/>
      <c r="V394" s="49"/>
      <c r="W394" s="41" t="s">
        <v>618</v>
      </c>
      <c r="X394" s="46">
        <f t="shared" si="5"/>
        <v>45600.66338</v>
      </c>
      <c r="Y394" s="50" t="s">
        <v>482</v>
      </c>
      <c r="Z394" s="49">
        <f t="shared" si="6"/>
        <v>1</v>
      </c>
    </row>
    <row r="395" ht="22.5" customHeight="1">
      <c r="B395" s="41" t="s">
        <v>2339</v>
      </c>
      <c r="C395" s="43">
        <f t="array" ref="C395">IF(B395="","",_xlfn.XLOOKUP(B395,'Form responses 1'!$B$2:$B$2604,'Form responses 1'!$A$2:$A$2604,""))</f>
        <v>45593.40301</v>
      </c>
      <c r="D395" s="44" t="str">
        <f t="shared" si="3"/>
        <v>K/9/281024/1_45593.4030053125</v>
      </c>
      <c r="E395" s="44" t="str">
        <f t="array" ref="E395">IF(B395="","",_xlfn.XLOOKUP(B395,'Form responses 1'!$B$2:$B$2604,'Form responses 1'!$C$2:$C$2604,""))</f>
        <v>DYAH NINGTIYA ASTUTI/ISMARIN</v>
      </c>
      <c r="F395" s="44" t="str">
        <f t="array" ref="F395">IF(B395="","",_xlfn.XLOOKUP(B395,'Form responses 1'!$B$2:$B$2604,'Form responses 1'!$D$2:$D$2604,""))</f>
        <v>0813-6761-0046</v>
      </c>
      <c r="G395" s="44" t="str">
        <f t="array" ref="G395">IF(B395="","",_xlfn.XLOOKUP(B395,'Form responses 1'!$B$2:$B$2604,'Form responses 1'!$E$2:$E$2604,""))</f>
        <v>BN JUAL BELI</v>
      </c>
      <c r="H395" s="44" t="str">
        <f t="array" ref="H395">IF(B395="","",_xlfn.XLOOKUP(B395,'Form responses 1'!$B$2:$B$2604,'Form responses 1'!$F$2:$F$2604,""))</f>
        <v>M.1591/RAJABASA NUNYAI-SEKARANG;B.347/RAJABASA NUNYAI-DAHULU</v>
      </c>
      <c r="I395" s="44" t="str">
        <f t="array" ref="I395">IF(B395="","",_xlfn.XLOOKUP(B395,'Form responses 1'!$B$2:$B$2604,'Form responses 1'!$I$2:$I$2604,""))</f>
        <v>RAJABASA NUNYAI-</v>
      </c>
      <c r="J395" s="44" t="str">
        <f t="array" ref="J395">IF(B395="","",_xlfn.XLOOKUP(B395,'Form responses 1'!$B$2:$B$2604,'Form responses 1'!$G$2:$G$2604,""))</f>
        <v>Baynur</v>
      </c>
      <c r="K395" s="41" t="s">
        <v>2421</v>
      </c>
      <c r="L395" s="52">
        <f t="shared" si="7"/>
        <v>45594.58274</v>
      </c>
      <c r="M395" s="47" t="s">
        <v>5426</v>
      </c>
      <c r="N395" s="49"/>
      <c r="O395" s="49"/>
      <c r="P395" s="49"/>
      <c r="Q395" s="49"/>
      <c r="R395" s="49"/>
      <c r="S395" s="49"/>
      <c r="T395" s="49"/>
      <c r="U395" s="49"/>
      <c r="V395" s="49"/>
      <c r="W395" s="41" t="s">
        <v>618</v>
      </c>
      <c r="X395" s="46">
        <f t="shared" si="5"/>
        <v>45602.65844</v>
      </c>
      <c r="Y395" s="50" t="s">
        <v>482</v>
      </c>
      <c r="Z395" s="49">
        <f t="shared" si="6"/>
        <v>1</v>
      </c>
    </row>
    <row r="396" ht="22.5" customHeight="1">
      <c r="B396" s="41" t="s">
        <v>2362</v>
      </c>
      <c r="C396" s="43">
        <f t="array" ref="C396">IF(B396="","",_xlfn.XLOOKUP(B396,'Form responses 1'!$B$2:$B$2604,'Form responses 1'!$A$2:$A$2604,""))</f>
        <v>45593.41867</v>
      </c>
      <c r="D396" s="44" t="str">
        <f t="shared" si="3"/>
        <v>K/14/281024/2_45593.4186705556</v>
      </c>
      <c r="E396" s="44" t="str">
        <f t="array" ref="E396">IF(B396="","",_xlfn.XLOOKUP(B396,'Form responses 1'!$B$2:$B$2604,'Form responses 1'!$C$2:$C$2604,""))</f>
        <v>Nur Hayati/ Juliani</v>
      </c>
      <c r="F396" s="44" t="str">
        <f t="array" ref="F396">IF(B396="","",_xlfn.XLOOKUP(B396,'Form responses 1'!$B$2:$B$2604,'Form responses 1'!$D$2:$D$2604,""))</f>
        <v>08117222871</v>
      </c>
      <c r="G396" s="44" t="str">
        <f t="array" ref="G396">IF(B396="","",_xlfn.XLOOKUP(B396,'Form responses 1'!$B$2:$B$2604,'Form responses 1'!$E$2:$E$2604,""))</f>
        <v>Roya</v>
      </c>
      <c r="H396" s="44" t="str">
        <f t="array" ref="H396">IF(B396="","",_xlfn.XLOOKUP(B396,'Form responses 1'!$B$2:$B$2604,'Form responses 1'!$F$2:$F$2604,""))</f>
        <v>M. 45/ Kupang Teba</v>
      </c>
      <c r="I396" s="44" t="str">
        <f t="array" ref="I396">IF(B396="","",_xlfn.XLOOKUP(B396,'Form responses 1'!$B$2:$B$2604,'Form responses 1'!$I$2:$I$2604,""))</f>
        <v>Kupang Teba</v>
      </c>
      <c r="J396" s="44" t="str">
        <f t="array" ref="J396">IF(B396="","",_xlfn.XLOOKUP(B396,'Form responses 1'!$B$2:$B$2604,'Form responses 1'!$G$2:$G$2604,""))</f>
        <v>Hananda</v>
      </c>
      <c r="K396" s="41" t="s">
        <v>2421</v>
      </c>
      <c r="L396" s="52">
        <f t="shared" si="7"/>
        <v>45594.58276</v>
      </c>
      <c r="M396" s="49"/>
      <c r="N396" s="49"/>
      <c r="O396" s="49"/>
      <c r="P396" s="49"/>
      <c r="Q396" s="49"/>
      <c r="R396" s="49"/>
      <c r="S396" s="49"/>
      <c r="T396" s="49"/>
      <c r="U396" s="49"/>
      <c r="V396" s="49"/>
      <c r="W396" s="41" t="s">
        <v>618</v>
      </c>
      <c r="X396" s="46">
        <f t="shared" si="5"/>
        <v>45600.48444</v>
      </c>
      <c r="Y396" s="50" t="s">
        <v>482</v>
      </c>
      <c r="Z396" s="49">
        <f t="shared" si="6"/>
        <v>0</v>
      </c>
    </row>
    <row r="397" ht="22.5" customHeight="1">
      <c r="B397" s="41" t="s">
        <v>2443</v>
      </c>
      <c r="C397" s="43">
        <f t="array" ref="C397">IF(B397="","",_xlfn.XLOOKUP(B397,'Form responses 1'!$B$2:$B$2604,'Form responses 1'!$A$2:$A$2604,""))</f>
        <v>45593.58049</v>
      </c>
      <c r="D397" s="44" t="str">
        <f t="shared" si="3"/>
        <v>K/34/281024/1_45593.5804902894</v>
      </c>
      <c r="E397" s="44" t="str">
        <f t="array" ref="E397">IF(B397="","",_xlfn.XLOOKUP(B397,'Form responses 1'!$B$2:$B$2604,'Form responses 1'!$C$2:$C$2604,""))</f>
        <v>NURKHOLIS/ISMARINA</v>
      </c>
      <c r="F397" s="44" t="str">
        <f t="array" ref="F397">IF(B397="","",_xlfn.XLOOKUP(B397,'Form responses 1'!$B$2:$B$2604,'Form responses 1'!$D$2:$D$2604,""))</f>
        <v>0813-6761-0046</v>
      </c>
      <c r="G397" s="44" t="str">
        <f t="array" ref="G397">IF(B397="","",_xlfn.XLOOKUP(B397,'Form responses 1'!$B$2:$B$2604,'Form responses 1'!$E$2:$E$2604,""))</f>
        <v>BN JUAL BELI</v>
      </c>
      <c r="H397" s="44" t="str">
        <f t="array" ref="H397">IF(B397="","",_xlfn.XLOOKUP(B397,'Form responses 1'!$B$2:$B$2604,'Form responses 1'!$F$2:$F$2604,""))</f>
        <v>NIBEL M.2194/GUNUNG TERANG</v>
      </c>
      <c r="I397" s="44" t="str">
        <f t="array" ref="I397">IF(B397="","",_xlfn.XLOOKUP(B397,'Form responses 1'!$B$2:$B$2604,'Form responses 1'!$I$2:$I$2604,""))</f>
        <v>GUNUNG TERANG</v>
      </c>
      <c r="J397" s="44" t="str">
        <f t="array" ref="J397">IF(B397="","",_xlfn.XLOOKUP(B397,'Form responses 1'!$B$2:$B$2604,'Form responses 1'!$G$2:$G$2604,""))</f>
        <v>Baynur</v>
      </c>
      <c r="K397" s="41" t="s">
        <v>2421</v>
      </c>
      <c r="L397" s="52">
        <f t="shared" si="7"/>
        <v>45594.58278</v>
      </c>
      <c r="M397" s="49"/>
      <c r="N397" s="49"/>
      <c r="O397" s="49"/>
      <c r="P397" s="49"/>
      <c r="Q397" s="49"/>
      <c r="R397" s="49"/>
      <c r="S397" s="49"/>
      <c r="T397" s="49"/>
      <c r="U397" s="49"/>
      <c r="V397" s="49"/>
      <c r="W397" s="41" t="s">
        <v>618</v>
      </c>
      <c r="X397" s="46">
        <f t="shared" si="5"/>
        <v>45600.47703</v>
      </c>
      <c r="Y397" s="50" t="s">
        <v>482</v>
      </c>
      <c r="Z397" s="49">
        <f t="shared" si="6"/>
        <v>0</v>
      </c>
    </row>
    <row r="398" ht="22.5" customHeight="1">
      <c r="B398" s="41" t="s">
        <v>2470</v>
      </c>
      <c r="C398" s="43">
        <f t="array" ref="C398">IF(B398="","",_xlfn.XLOOKUP(B398,'Form responses 1'!$B$2:$B$2604,'Form responses 1'!$A$2:$A$2604,""))</f>
        <v>45593.61144</v>
      </c>
      <c r="D398" s="44" t="str">
        <f t="shared" si="3"/>
        <v>K/40/281024/1_45593.6114432292</v>
      </c>
      <c r="E398" s="44" t="str">
        <f t="array" ref="E398">IF(B398="","",_xlfn.XLOOKUP(B398,'Form responses 1'!$B$2:$B$2604,'Form responses 1'!$C$2:$C$2604,""))</f>
        <v>MAYA AYU/ RUSLY</v>
      </c>
      <c r="F398" s="44" t="str">
        <f t="array" ref="F398">IF(B398="","",_xlfn.XLOOKUP(B398,'Form responses 1'!$B$2:$B$2604,'Form responses 1'!$D$2:$D$2604,""))</f>
        <v>+62 813-6999-9971</v>
      </c>
      <c r="G398" s="44" t="str">
        <f t="array" ref="G398">IF(B398="","",_xlfn.XLOOKUP(B398,'Form responses 1'!$B$2:$B$2604,'Form responses 1'!$E$2:$E$2604,""))</f>
        <v>BN JUAL BELI</v>
      </c>
      <c r="H398" s="44" t="str">
        <f t="array" ref="H398">IF(B398="","",_xlfn.XLOOKUP(B398,'Form responses 1'!$B$2:$B$2604,'Form responses 1'!$F$2:$F$2604,""))</f>
        <v>B. 903/ Kemiling Permai</v>
      </c>
      <c r="I398" s="44" t="str">
        <f t="array" ref="I398">IF(B398="","",_xlfn.XLOOKUP(B398,'Form responses 1'!$B$2:$B$2604,'Form responses 1'!$I$2:$I$2604,""))</f>
        <v>Kemiling Permai</v>
      </c>
      <c r="J398" s="44" t="str">
        <f t="array" ref="J398">IF(B398="","",_xlfn.XLOOKUP(B398,'Form responses 1'!$B$2:$B$2604,'Form responses 1'!$G$2:$G$2604,""))</f>
        <v>Hananda</v>
      </c>
      <c r="K398" s="41" t="s">
        <v>2421</v>
      </c>
      <c r="L398" s="52">
        <f t="shared" si="7"/>
        <v>45594.5828</v>
      </c>
      <c r="M398" s="49"/>
      <c r="N398" s="49"/>
      <c r="O398" s="49"/>
      <c r="P398" s="49"/>
      <c r="Q398" s="49"/>
      <c r="R398" s="49"/>
      <c r="S398" s="49"/>
      <c r="T398" s="49"/>
      <c r="U398" s="49"/>
      <c r="V398" s="49"/>
      <c r="W398" s="41" t="s">
        <v>618</v>
      </c>
      <c r="X398" s="46">
        <f t="shared" si="5"/>
        <v>45600.60605</v>
      </c>
      <c r="Y398" s="50" t="s">
        <v>482</v>
      </c>
      <c r="Z398" s="49">
        <f t="shared" si="6"/>
        <v>0</v>
      </c>
    </row>
    <row r="399" ht="22.5" customHeight="1">
      <c r="B399" s="41" t="s">
        <v>2310</v>
      </c>
      <c r="C399" s="43">
        <f t="array" ref="C399">IF(B399="","",_xlfn.XLOOKUP(B399,'Form responses 1'!$B$2:$B$2604,'Form responses 1'!$A$2:$A$2604,""))</f>
        <v>45593.3745</v>
      </c>
      <c r="D399" s="44" t="str">
        <f t="shared" si="3"/>
        <v>K/1/281024/1_45593.3745043403</v>
      </c>
      <c r="E399" s="44" t="str">
        <f t="array" ref="E399">IF(B399="","",_xlfn.XLOOKUP(B399,'Form responses 1'!$B$2:$B$2604,'Form responses 1'!$C$2:$C$2604,""))</f>
        <v>EVA SURIANI/ CHRISTIAN LIEANDOE</v>
      </c>
      <c r="F399" s="44" t="str">
        <f t="array" ref="F399">IF(B399="","",_xlfn.XLOOKUP(B399,'Form responses 1'!$B$2:$B$2604,'Form responses 1'!$D$2:$D$2604,""))</f>
        <v>+62 811-724-041</v>
      </c>
      <c r="G399" s="44" t="str">
        <f t="array" ref="G399">IF(B399="","",_xlfn.XLOOKUP(B399,'Form responses 1'!$B$2:$B$2604,'Form responses 1'!$E$2:$E$2604,""))</f>
        <v>BN JUAL BELI</v>
      </c>
      <c r="H399" s="44" t="str">
        <f t="array" ref="H399">IF(B399="","",_xlfn.XLOOKUP(B399,'Form responses 1'!$B$2:$B$2604,'Form responses 1'!$F$2:$F$2604,""))</f>
        <v>B. 770/ SUMUR PUTRI</v>
      </c>
      <c r="I399" s="44" t="str">
        <f t="array" ref="I399">IF(B399="","",_xlfn.XLOOKUP(B399,'Form responses 1'!$B$2:$B$2604,'Form responses 1'!$I$2:$I$2604,""))</f>
        <v>SUMUR PUTRI</v>
      </c>
      <c r="J399" s="44" t="str">
        <f t="array" ref="J399">IF(B399="","",_xlfn.XLOOKUP(B399,'Form responses 1'!$B$2:$B$2604,'Form responses 1'!$G$2:$G$2604,""))</f>
        <v>Hananda</v>
      </c>
      <c r="K399" s="41" t="s">
        <v>422</v>
      </c>
      <c r="L399" s="52">
        <f t="shared" si="7"/>
        <v>45594.58577</v>
      </c>
      <c r="M399" s="47" t="s">
        <v>5427</v>
      </c>
      <c r="N399" s="47" t="s">
        <v>5428</v>
      </c>
      <c r="O399" s="49"/>
      <c r="P399" s="49"/>
      <c r="Q399" s="49"/>
      <c r="R399" s="49"/>
      <c r="S399" s="49"/>
      <c r="T399" s="49"/>
      <c r="U399" s="49"/>
      <c r="V399" s="49"/>
      <c r="W399" s="41" t="s">
        <v>470</v>
      </c>
      <c r="X399" s="46">
        <f t="shared" si="5"/>
        <v>45595.44922</v>
      </c>
      <c r="Y399" s="50" t="s">
        <v>482</v>
      </c>
      <c r="Z399" s="49">
        <f t="shared" si="6"/>
        <v>2</v>
      </c>
    </row>
    <row r="400" ht="22.5" customHeight="1">
      <c r="B400" s="41" t="s">
        <v>2448</v>
      </c>
      <c r="C400" s="43">
        <f t="array" ref="C400">IF(B400="","",_xlfn.XLOOKUP(B400,'Form responses 1'!$B$2:$B$2604,'Form responses 1'!$A$2:$A$2604,""))</f>
        <v>45593.58325</v>
      </c>
      <c r="D400" s="44" t="str">
        <f t="shared" si="3"/>
        <v>K/35/281024/1_45593.5832507755</v>
      </c>
      <c r="E400" s="44" t="str">
        <f t="array" ref="E400">IF(B400="","",_xlfn.XLOOKUP(B400,'Form responses 1'!$B$2:$B$2604,'Form responses 1'!$C$2:$C$2604,""))</f>
        <v>Budi K/ Desi Arif Y</v>
      </c>
      <c r="F400" s="44" t="str">
        <f t="array" ref="F400">IF(B400="","",_xlfn.XLOOKUP(B400,'Form responses 1'!$B$2:$B$2604,'Form responses 1'!$D$2:$D$2604,""))</f>
        <v>085868167367</v>
      </c>
      <c r="G400" s="44" t="str">
        <f t="array" ref="G400">IF(B400="","",_xlfn.XLOOKUP(B400,'Form responses 1'!$B$2:$B$2604,'Form responses 1'!$E$2:$E$2604,""))</f>
        <v>BN Jual Beli</v>
      </c>
      <c r="H400" s="44" t="str">
        <f t="array" ref="H400">IF(B400="","",_xlfn.XLOOKUP(B400,'Form responses 1'!$B$2:$B$2604,'Form responses 1'!$F$2:$F$2604,""))</f>
        <v>Nibel. M. 2665/ Beringin Raya</v>
      </c>
      <c r="I400" s="44" t="str">
        <f t="array" ref="I400">IF(B400="","",_xlfn.XLOOKUP(B400,'Form responses 1'!$B$2:$B$2604,'Form responses 1'!$I$2:$I$2604,""))</f>
        <v>Beringin Raya</v>
      </c>
      <c r="J400" s="44" t="str">
        <f t="array" ref="J400">IF(B400="","",_xlfn.XLOOKUP(B400,'Form responses 1'!$B$2:$B$2604,'Form responses 1'!$G$2:$G$2604,""))</f>
        <v>Rapita</v>
      </c>
      <c r="K400" s="41" t="s">
        <v>422</v>
      </c>
      <c r="L400" s="52">
        <f t="shared" si="7"/>
        <v>45594.58579</v>
      </c>
      <c r="M400" s="47" t="s">
        <v>5429</v>
      </c>
      <c r="N400" s="47" t="s">
        <v>5430</v>
      </c>
      <c r="O400" s="49"/>
      <c r="P400" s="49"/>
      <c r="Q400" s="49"/>
      <c r="R400" s="49"/>
      <c r="S400" s="49"/>
      <c r="T400" s="49"/>
      <c r="U400" s="49"/>
      <c r="V400" s="49"/>
      <c r="W400" s="41" t="s">
        <v>618</v>
      </c>
      <c r="X400" s="46">
        <f t="shared" si="5"/>
        <v>45597.65465</v>
      </c>
      <c r="Y400" s="50" t="s">
        <v>482</v>
      </c>
      <c r="Z400" s="49">
        <f t="shared" si="6"/>
        <v>2</v>
      </c>
    </row>
    <row r="401" ht="22.5" customHeight="1">
      <c r="B401" s="41" t="s">
        <v>2295</v>
      </c>
      <c r="C401" s="43">
        <f t="array" ref="C401">IF(B401="","",_xlfn.XLOOKUP(B401,'Form responses 1'!$B$2:$B$2604,'Form responses 1'!$A$2:$A$2604,""))</f>
        <v>45590.66259</v>
      </c>
      <c r="D401" s="44" t="str">
        <f t="shared" si="3"/>
        <v>K/55/251024/2_45590.6625923148</v>
      </c>
      <c r="E401" s="44" t="str">
        <f t="array" ref="E401">IF(B401="","",_xlfn.XLOOKUP(B401,'Form responses 1'!$B$2:$B$2604,'Form responses 1'!$C$2:$C$2604,""))</f>
        <v>LPS/PENI WAHYUDI</v>
      </c>
      <c r="F401" s="44" t="str">
        <f t="array" ref="F401">IF(B401="","",_xlfn.XLOOKUP(B401,'Form responses 1'!$B$2:$B$2604,'Form responses 1'!$D$2:$D$2604,""))</f>
        <v>081211507733</v>
      </c>
      <c r="G401" s="44" t="str">
        <f t="array" ref="G401">IF(B401="","",_xlfn.XLOOKUP(B401,'Form responses 1'!$B$2:$B$2604,'Form responses 1'!$E$2:$E$2604,""))</f>
        <v>SITA</v>
      </c>
      <c r="H401" s="44" t="str">
        <f t="array" ref="H401">IF(B401="","",_xlfn.XLOOKUP(B401,'Form responses 1'!$B$2:$B$2604,'Form responses 1'!$F$2:$F$2604,""))</f>
        <v>M.1741/SUKAJAWA</v>
      </c>
      <c r="I401" s="44" t="str">
        <f t="array" ref="I401">IF(B401="","",_xlfn.XLOOKUP(B401,'Form responses 1'!$B$2:$B$2604,'Form responses 1'!$I$2:$I$2604,""))</f>
        <v>SUKAJAWA</v>
      </c>
      <c r="J401" s="44" t="str">
        <f t="array" ref="J401">IF(B401="","",_xlfn.XLOOKUP(B401,'Form responses 1'!$B$2:$B$2604,'Form responses 1'!$G$2:$G$2604,""))</f>
        <v>Baynur</v>
      </c>
      <c r="K401" s="41" t="s">
        <v>422</v>
      </c>
      <c r="L401" s="52">
        <f t="shared" si="7"/>
        <v>45594.5858</v>
      </c>
      <c r="M401" s="47" t="s">
        <v>5431</v>
      </c>
      <c r="N401" s="49"/>
      <c r="O401" s="49"/>
      <c r="P401" s="49"/>
      <c r="Q401" s="49"/>
      <c r="R401" s="49"/>
      <c r="S401" s="49"/>
      <c r="T401" s="49"/>
      <c r="U401" s="49"/>
      <c r="V401" s="49"/>
      <c r="W401" s="41" t="s">
        <v>618</v>
      </c>
      <c r="X401" s="46">
        <f t="shared" si="5"/>
        <v>45602.66273</v>
      </c>
      <c r="Y401" s="50" t="s">
        <v>482</v>
      </c>
      <c r="Z401" s="49">
        <f t="shared" si="6"/>
        <v>1</v>
      </c>
    </row>
    <row r="402" ht="22.5" customHeight="1">
      <c r="B402" s="41" t="s">
        <v>2330</v>
      </c>
      <c r="C402" s="43">
        <f t="array" ref="C402">IF(B402="","",_xlfn.XLOOKUP(B402,'Form responses 1'!$B$2:$B$2604,'Form responses 1'!$A$2:$A$2604,""))</f>
        <v>45593.39436</v>
      </c>
      <c r="D402" s="44" t="str">
        <f t="shared" si="3"/>
        <v>L/6/281024/1_45593.3943598843</v>
      </c>
      <c r="E402" s="44" t="str">
        <f t="array" ref="E402">IF(B402="","",_xlfn.XLOOKUP(B402,'Form responses 1'!$B$2:$B$2604,'Form responses 1'!$C$2:$C$2604,""))</f>
        <v>IMAWAN SUTAMTO</v>
      </c>
      <c r="F402" s="44" t="str">
        <f t="array" ref="F402">IF(B402="","",_xlfn.XLOOKUP(B402,'Form responses 1'!$B$2:$B$2604,'Form responses 1'!$D$2:$D$2604,""))</f>
        <v>085279872831</v>
      </c>
      <c r="G402" s="44" t="str">
        <f t="array" ref="G402">IF(B402="","",_xlfn.XLOOKUP(B402,'Form responses 1'!$B$2:$B$2604,'Form responses 1'!$E$2:$E$2604,""))</f>
        <v>BN LELANG</v>
      </c>
      <c r="H402" s="44" t="str">
        <f t="array" ref="H402">IF(B402="","",_xlfn.XLOOKUP(B402,'Form responses 1'!$B$2:$B$2604,'Form responses 1'!$F$2:$F$2604,""))</f>
        <v>HM 8198/SUKABUMI</v>
      </c>
      <c r="I402" s="44" t="str">
        <f t="array" ref="I402">IF(B402="","",_xlfn.XLOOKUP(B402,'Form responses 1'!$B$2:$B$2604,'Form responses 1'!$I$2:$I$2604,""))</f>
        <v>SUKABUMI</v>
      </c>
      <c r="J402" s="44" t="str">
        <f t="array" ref="J402">IF(B402="","",_xlfn.XLOOKUP(B402,'Form responses 1'!$B$2:$B$2604,'Form responses 1'!$G$2:$G$2604,""))</f>
        <v>Deby</v>
      </c>
      <c r="K402" s="41" t="s">
        <v>422</v>
      </c>
      <c r="L402" s="52">
        <f t="shared" si="7"/>
        <v>45594.58582</v>
      </c>
      <c r="M402" s="49"/>
      <c r="N402" s="49"/>
      <c r="O402" s="49"/>
      <c r="P402" s="49"/>
      <c r="Q402" s="49"/>
      <c r="R402" s="49"/>
      <c r="S402" s="49"/>
      <c r="T402" s="49"/>
      <c r="U402" s="49"/>
      <c r="V402" s="49"/>
      <c r="W402" s="41" t="s">
        <v>618</v>
      </c>
      <c r="X402" s="46">
        <f t="shared" si="5"/>
        <v>45595.38046</v>
      </c>
      <c r="Y402" s="50" t="s">
        <v>482</v>
      </c>
      <c r="Z402" s="49">
        <f t="shared" si="6"/>
        <v>0</v>
      </c>
    </row>
    <row r="403" ht="22.5" customHeight="1">
      <c r="B403" s="41" t="s">
        <v>2387</v>
      </c>
      <c r="C403" s="43">
        <f t="array" ref="C403">IF(B403="","",_xlfn.XLOOKUP(B403,'Form responses 1'!$B$2:$B$2604,'Form responses 1'!$A$2:$A$2604,""))</f>
        <v>45593.44786</v>
      </c>
      <c r="D403" s="44" t="str">
        <f t="shared" si="3"/>
        <v>K/19/281024/1_45593.447863206</v>
      </c>
      <c r="E403" s="44" t="str">
        <f t="array" ref="E403">IF(B403="","",_xlfn.XLOOKUP(B403,'Form responses 1'!$B$2:$B$2604,'Form responses 1'!$C$2:$C$2604,""))</f>
        <v>SHOBARIAH/MYRDA LIBRINA </v>
      </c>
      <c r="F403" s="44" t="str">
        <f t="array" ref="F403">IF(B403="","",_xlfn.XLOOKUP(B403,'Form responses 1'!$B$2:$B$2604,'Form responses 1'!$D$2:$D$2604,""))</f>
        <v>085764690616</v>
      </c>
      <c r="G403" s="44" t="str">
        <f t="array" ref="G403">IF(B403="","",_xlfn.XLOOKUP(B403,'Form responses 1'!$B$2:$B$2604,'Form responses 1'!$E$2:$E$2604,""))</f>
        <v>BN JUAL BELI</v>
      </c>
      <c r="H403" s="44" t="str">
        <f t="array" ref="H403">IF(B403="","",_xlfn.XLOOKUP(B403,'Form responses 1'!$B$2:$B$2604,'Form responses 1'!$F$2:$F$2604,""))</f>
        <v>M.231/CAMPANG JAYA-SEKARANG;M.231/NUSANTARA PERMAI-DAHULU</v>
      </c>
      <c r="I403" s="44" t="str">
        <f t="array" ref="I403">IF(B403="","",_xlfn.XLOOKUP(B403,'Form responses 1'!$B$2:$B$2604,'Form responses 1'!$I$2:$I$2604,""))</f>
        <v>CAMPANG JAYA</v>
      </c>
      <c r="J403" s="44" t="str">
        <f t="array" ref="J403">IF(B403="","",_xlfn.XLOOKUP(B403,'Form responses 1'!$B$2:$B$2604,'Form responses 1'!$G$2:$G$2604,""))</f>
        <v>Baynur</v>
      </c>
      <c r="K403" s="41" t="s">
        <v>422</v>
      </c>
      <c r="L403" s="52">
        <f t="shared" si="7"/>
        <v>45594.58583</v>
      </c>
      <c r="M403" s="49"/>
      <c r="N403" s="49"/>
      <c r="O403" s="49"/>
      <c r="P403" s="49"/>
      <c r="Q403" s="49"/>
      <c r="R403" s="49"/>
      <c r="S403" s="49"/>
      <c r="T403" s="49"/>
      <c r="U403" s="49"/>
      <c r="V403" s="49"/>
      <c r="W403" s="41" t="s">
        <v>618</v>
      </c>
      <c r="X403" s="46">
        <f t="shared" si="5"/>
        <v>45595.39737</v>
      </c>
      <c r="Y403" s="50" t="s">
        <v>482</v>
      </c>
      <c r="Z403" s="49">
        <f t="shared" si="6"/>
        <v>0</v>
      </c>
    </row>
    <row r="404" ht="22.5" customHeight="1">
      <c r="B404" s="41" t="s">
        <v>2676</v>
      </c>
      <c r="C404" s="43">
        <f t="array" ref="C404">IF(B404="","",_xlfn.XLOOKUP(B404,'Form responses 1'!$B$2:$B$2604,'Form responses 1'!$A$2:$A$2604,""))</f>
        <v>45594.66519</v>
      </c>
      <c r="D404" s="44" t="str">
        <f t="shared" si="3"/>
        <v>L/48/291024/1_45594.6651866088</v>
      </c>
      <c r="E404" s="44" t="str">
        <f t="array" ref="E404">IF(B404="","",_xlfn.XLOOKUP(B404,'Form responses 1'!$B$2:$B$2604,'Form responses 1'!$C$2:$C$2604,""))</f>
        <v>ARIF BUDIYANTO (PERMOHONAN TGL 28 BLM INPUT KODE TIKET)</v>
      </c>
      <c r="F404" s="44" t="str">
        <f t="array" ref="F404">IF(B404="","",_xlfn.XLOOKUP(B404,'Form responses 1'!$B$2:$B$2604,'Form responses 1'!$D$2:$D$2604,""))</f>
        <v>-</v>
      </c>
      <c r="G404" s="44" t="str">
        <f t="array" ref="G404">IF(B404="","",_xlfn.XLOOKUP(B404,'Form responses 1'!$B$2:$B$2604,'Form responses 1'!$E$2:$E$2604,""))</f>
        <v>ROYA</v>
      </c>
      <c r="H404" s="44" t="str">
        <f t="array" ref="H404">IF(B404="","",_xlfn.XLOOKUP(B404,'Form responses 1'!$B$2:$B$2604,'Form responses 1'!$F$2:$F$2604,""))</f>
        <v>HM 2643/GUNUNG TERANG</v>
      </c>
      <c r="I404" s="44" t="str">
        <f t="array" ref="I404">IF(B404="","",_xlfn.XLOOKUP(B404,'Form responses 1'!$B$2:$B$2604,'Form responses 1'!$I$2:$I$2604,""))</f>
        <v>GUNUNG TERANG</v>
      </c>
      <c r="J404" s="44" t="str">
        <f t="array" ref="J404">IF(B404="","",_xlfn.XLOOKUP(B404,'Form responses 1'!$B$2:$B$2604,'Form responses 1'!$G$2:$G$2604,""))</f>
        <v>Deby</v>
      </c>
      <c r="K404" s="41" t="s">
        <v>422</v>
      </c>
      <c r="L404" s="52">
        <f t="shared" si="7"/>
        <v>45594.58586</v>
      </c>
      <c r="M404" s="49"/>
      <c r="N404" s="49"/>
      <c r="O404" s="49"/>
      <c r="P404" s="49"/>
      <c r="Q404" s="49"/>
      <c r="R404" s="49"/>
      <c r="S404" s="49"/>
      <c r="T404" s="49"/>
      <c r="U404" s="49"/>
      <c r="V404" s="49"/>
      <c r="W404" s="41" t="s">
        <v>618</v>
      </c>
      <c r="X404" s="46">
        <f t="shared" si="5"/>
        <v>45595.37524</v>
      </c>
      <c r="Y404" s="50" t="s">
        <v>482</v>
      </c>
      <c r="Z404" s="49">
        <f t="shared" si="6"/>
        <v>0</v>
      </c>
    </row>
    <row r="405" ht="22.5" customHeight="1">
      <c r="B405" s="41" t="s">
        <v>2070</v>
      </c>
      <c r="C405" s="43">
        <f t="array" ref="C405">IF(B405="","",_xlfn.XLOOKUP(B405,'Form responses 1'!$B$2:$B$2604,'Form responses 1'!$A$2:$A$2604,""))</f>
        <v>45589.63272</v>
      </c>
      <c r="D405" s="44" t="str">
        <f t="shared" si="3"/>
        <v>K/53/241024/1_45589.6327158565</v>
      </c>
      <c r="E405" s="44" t="str">
        <f t="array" ref="E405">IF(B405="","",_xlfn.XLOOKUP(B405,'Form responses 1'!$B$2:$B$2604,'Form responses 1'!$C$2:$C$2604,""))</f>
        <v>Riadh I/ Eddy</v>
      </c>
      <c r="F405" s="44" t="str">
        <f t="array" ref="F405">IF(B405="","",_xlfn.XLOOKUP(B405,'Form responses 1'!$B$2:$B$2604,'Form responses 1'!$D$2:$D$2604,""))</f>
        <v>+62 822-8415-9202</v>
      </c>
      <c r="G405" s="44" t="str">
        <f t="array" ref="G405">IF(B405="","",_xlfn.XLOOKUP(B405,'Form responses 1'!$B$2:$B$2604,'Form responses 1'!$E$2:$E$2604,""))</f>
        <v>BN Jual Beli</v>
      </c>
      <c r="H405" s="44" t="str">
        <f t="array" ref="H405">IF(B405="","",_xlfn.XLOOKUP(B405,'Form responses 1'!$B$2:$B$2604,'Form responses 1'!$F$2:$F$2604,""))</f>
        <v>M. 561/ Tanjung Senang</v>
      </c>
      <c r="I405" s="44" t="str">
        <f t="array" ref="I405">IF(B405="","",_xlfn.XLOOKUP(B405,'Form responses 1'!$B$2:$B$2604,'Form responses 1'!$I$2:$I$2604,""))</f>
        <v>Tanjung Senang</v>
      </c>
      <c r="J405" s="44" t="str">
        <f t="array" ref="J405">IF(B405="","",_xlfn.XLOOKUP(B405,'Form responses 1'!$B$2:$B$2604,'Form responses 1'!$G$2:$G$2604,""))</f>
        <v>Rapita</v>
      </c>
      <c r="K405" s="41" t="s">
        <v>2875</v>
      </c>
      <c r="L405" s="52">
        <f t="shared" si="7"/>
        <v>45594.60187</v>
      </c>
      <c r="M405" s="47" t="s">
        <v>5432</v>
      </c>
      <c r="N405" s="49"/>
      <c r="O405" s="49"/>
      <c r="P405" s="49"/>
      <c r="Q405" s="49"/>
      <c r="R405" s="49"/>
      <c r="S405" s="49"/>
      <c r="T405" s="49"/>
      <c r="U405" s="49"/>
      <c r="V405" s="49"/>
      <c r="W405" s="41" t="s">
        <v>618</v>
      </c>
      <c r="X405" s="46">
        <f t="shared" si="5"/>
        <v>45596.58993</v>
      </c>
      <c r="Y405" s="50" t="s">
        <v>482</v>
      </c>
      <c r="Z405" s="49">
        <f t="shared" si="6"/>
        <v>1</v>
      </c>
    </row>
    <row r="406" ht="22.5" customHeight="1">
      <c r="B406" s="41" t="s">
        <v>2150</v>
      </c>
      <c r="C406" s="43">
        <f t="array" ref="C406">IF(B406="","",_xlfn.XLOOKUP(B406,'Form responses 1'!$B$2:$B$2604,'Form responses 1'!$A$2:$A$2604,""))</f>
        <v>45590.46977</v>
      </c>
      <c r="D406" s="44" t="str">
        <f t="shared" si="3"/>
        <v>K/19/251024/1_45590.4697679282</v>
      </c>
      <c r="E406" s="44" t="str">
        <f t="array" ref="E406">IF(B406="","",_xlfn.XLOOKUP(B406,'Form responses 1'!$B$2:$B$2604,'Form responses 1'!$C$2:$C$2604,""))</f>
        <v>NURHAYATI/VIVI INGGRIT LESTARI</v>
      </c>
      <c r="F406" s="44" t="str">
        <f t="array" ref="F406">IF(B406="","",_xlfn.XLOOKUP(B406,'Form responses 1'!$B$2:$B$2604,'Form responses 1'!$D$2:$D$2604,""))</f>
        <v>081272099992</v>
      </c>
      <c r="G406" s="44" t="str">
        <f t="array" ref="G406">IF(B406="","",_xlfn.XLOOKUP(B406,'Form responses 1'!$B$2:$B$2604,'Form responses 1'!$E$2:$E$2604,""))</f>
        <v>HAPUS BPHTB</v>
      </c>
      <c r="H406" s="44" t="str">
        <f t="array" ref="H406">IF(B406="","",_xlfn.XLOOKUP(B406,'Form responses 1'!$B$2:$B$2604,'Form responses 1'!$F$2:$F$2604,""))</f>
        <v>M.1833/RAJABASA JAYA</v>
      </c>
      <c r="I406" s="44" t="str">
        <f t="array" ref="I406">IF(B406="","",_xlfn.XLOOKUP(B406,'Form responses 1'!$B$2:$B$2604,'Form responses 1'!$I$2:$I$2604,""))</f>
        <v>RAJABASA JAYA</v>
      </c>
      <c r="J406" s="44" t="str">
        <f t="array" ref="J406">IF(B406="","",_xlfn.XLOOKUP(B406,'Form responses 1'!$B$2:$B$2604,'Form responses 1'!$G$2:$G$2604,""))</f>
        <v>Baynur</v>
      </c>
      <c r="K406" s="41" t="s">
        <v>5390</v>
      </c>
      <c r="L406" s="52">
        <f t="shared" si="7"/>
        <v>45594.63351</v>
      </c>
      <c r="M406" s="49"/>
      <c r="N406" s="49"/>
      <c r="O406" s="49"/>
      <c r="P406" s="49"/>
      <c r="Q406" s="49"/>
      <c r="R406" s="49"/>
      <c r="S406" s="49"/>
      <c r="T406" s="49"/>
      <c r="U406" s="49"/>
      <c r="V406" s="49"/>
      <c r="W406" s="41" t="s">
        <v>618</v>
      </c>
      <c r="X406" s="46">
        <f t="shared" si="5"/>
        <v>45594.63362</v>
      </c>
      <c r="Y406" s="50" t="s">
        <v>482</v>
      </c>
      <c r="Z406" s="49">
        <f t="shared" si="6"/>
        <v>0</v>
      </c>
    </row>
    <row r="407" ht="22.5" customHeight="1">
      <c r="B407" s="41" t="s">
        <v>2106</v>
      </c>
      <c r="C407" s="43">
        <f t="array" ref="C407">IF(B407="","",_xlfn.XLOOKUP(B407,'Form responses 1'!$B$2:$B$2604,'Form responses 1'!$A$2:$A$2604,""))</f>
        <v>45590.42507</v>
      </c>
      <c r="D407" s="44" t="str">
        <f t="shared" si="3"/>
        <v>L/9/251024/1_45590.4250694213</v>
      </c>
      <c r="E407" s="44" t="str">
        <f t="array" ref="E407">IF(B407="","",_xlfn.XLOOKUP(B407,'Form responses 1'!$B$2:$B$2604,'Form responses 1'!$C$2:$C$2604,""))</f>
        <v>NABILA</v>
      </c>
      <c r="F407" s="44" t="str">
        <f t="array" ref="F407">IF(B407="","",_xlfn.XLOOKUP(B407,'Form responses 1'!$B$2:$B$2604,'Form responses 1'!$D$2:$D$2604,""))</f>
        <v>082175727637</v>
      </c>
      <c r="G407" s="44" t="str">
        <f t="array" ref="G407">IF(B407="","",_xlfn.XLOOKUP(B407,'Form responses 1'!$B$2:$B$2604,'Form responses 1'!$E$2:$E$2604,""))</f>
        <v>ROYA</v>
      </c>
      <c r="H407" s="44" t="str">
        <f t="array" ref="H407">IF(B407="","",_xlfn.XLOOKUP(B407,'Form responses 1'!$B$2:$B$2604,'Form responses 1'!$F$2:$F$2604,""))</f>
        <v>HM 12867/TANJUNG BARU</v>
      </c>
      <c r="I407" s="44" t="str">
        <f t="array" ref="I407">IF(B407="","",_xlfn.XLOOKUP(B407,'Form responses 1'!$B$2:$B$2604,'Form responses 1'!$I$2:$I$2604,""))</f>
        <v>NABILA</v>
      </c>
      <c r="J407" s="44" t="str">
        <f t="array" ref="J407">IF(B407="","",_xlfn.XLOOKUP(B407,'Form responses 1'!$B$2:$B$2604,'Form responses 1'!$G$2:$G$2604,""))</f>
        <v>Deby</v>
      </c>
      <c r="K407" s="41" t="s">
        <v>5390</v>
      </c>
      <c r="L407" s="52">
        <f t="shared" si="7"/>
        <v>45594.63428</v>
      </c>
      <c r="M407" s="49"/>
      <c r="N407" s="49"/>
      <c r="O407" s="49"/>
      <c r="P407" s="49"/>
      <c r="Q407" s="49"/>
      <c r="R407" s="49"/>
      <c r="S407" s="49"/>
      <c r="T407" s="49"/>
      <c r="U407" s="49"/>
      <c r="V407" s="49"/>
      <c r="W407" s="41" t="s">
        <v>618</v>
      </c>
      <c r="X407" s="46">
        <f t="shared" si="5"/>
        <v>45594.63433</v>
      </c>
      <c r="Y407" s="50" t="s">
        <v>482</v>
      </c>
      <c r="Z407" s="49">
        <f t="shared" si="6"/>
        <v>0</v>
      </c>
    </row>
    <row r="408" ht="22.5" customHeight="1">
      <c r="B408" s="41" t="s">
        <v>1869</v>
      </c>
      <c r="C408" s="43">
        <f t="array" ref="C408">IF(B408="","",_xlfn.XLOOKUP(B408,'Form responses 1'!$B$2:$B$2604,'Form responses 1'!$A$2:$A$2604,""))</f>
        <v>45589.38948</v>
      </c>
      <c r="D408" s="44" t="str">
        <f t="shared" si="3"/>
        <v>K/4/241024/1_45589.3894842824</v>
      </c>
      <c r="E408" s="44" t="str">
        <f t="array" ref="E408">IF(B408="","",_xlfn.XLOOKUP(B408,'Form responses 1'!$B$2:$B$2604,'Form responses 1'!$C$2:$C$2604,""))</f>
        <v>Dedi Setiawan/ Riski Jaya P</v>
      </c>
      <c r="F408" s="44" t="str">
        <f t="array" ref="F408">IF(B408="","",_xlfn.XLOOKUP(B408,'Form responses 1'!$B$2:$B$2604,'Form responses 1'!$D$2:$D$2604,""))</f>
        <v>+62 853-8112-5445</v>
      </c>
      <c r="G408" s="44" t="str">
        <f t="array" ref="G408">IF(B408="","",_xlfn.XLOOKUP(B408,'Form responses 1'!$B$2:$B$2604,'Form responses 1'!$E$2:$E$2604,""))</f>
        <v>BN Jual Beli</v>
      </c>
      <c r="H408" s="44" t="str">
        <f t="array" ref="H408">IF(B408="","",_xlfn.XLOOKUP(B408,'Form responses 1'!$B$2:$B$2604,'Form responses 1'!$F$2:$F$2604,""))</f>
        <v>M. 2271/ Rajabasa Jaya</v>
      </c>
      <c r="I408" s="44" t="str">
        <f t="array" ref="I408">IF(B408="","",_xlfn.XLOOKUP(B408,'Form responses 1'!$B$2:$B$2604,'Form responses 1'!$I$2:$I$2604,""))</f>
        <v>Rajabasa Jaya</v>
      </c>
      <c r="J408" s="44" t="str">
        <f t="array" ref="J408">IF(B408="","",_xlfn.XLOOKUP(B408,'Form responses 1'!$B$2:$B$2604,'Form responses 1'!$G$2:$G$2604,""))</f>
        <v>Rapita</v>
      </c>
      <c r="K408" s="41" t="s">
        <v>2875</v>
      </c>
      <c r="L408" s="52">
        <f t="shared" si="7"/>
        <v>45594.63458</v>
      </c>
      <c r="M408" s="47" t="s">
        <v>5433</v>
      </c>
      <c r="N408" s="47" t="s">
        <v>5434</v>
      </c>
      <c r="O408" s="49"/>
      <c r="P408" s="49"/>
      <c r="Q408" s="49"/>
      <c r="R408" s="49"/>
      <c r="S408" s="49"/>
      <c r="T408" s="49"/>
      <c r="U408" s="49"/>
      <c r="V408" s="49"/>
      <c r="W408" s="41" t="s">
        <v>618</v>
      </c>
      <c r="X408" s="46">
        <f t="shared" si="5"/>
        <v>45600.64821</v>
      </c>
      <c r="Y408" s="50" t="s">
        <v>482</v>
      </c>
      <c r="Z408" s="49">
        <f t="shared" si="6"/>
        <v>2</v>
      </c>
    </row>
    <row r="409" ht="22.5" customHeight="1">
      <c r="B409" s="41" t="s">
        <v>2215</v>
      </c>
      <c r="C409" s="43">
        <f t="array" ref="C409">IF(B409="","",_xlfn.XLOOKUP(B409,'Form responses 1'!$B$2:$B$2604,'Form responses 1'!$A$2:$A$2604,""))</f>
        <v>45590.58306</v>
      </c>
      <c r="D409" s="44" t="str">
        <f t="shared" si="3"/>
        <v>K/35/251024/1_45590.5830583449</v>
      </c>
      <c r="E409" s="44" t="str">
        <f t="array" ref="E409">IF(B409="","",_xlfn.XLOOKUP(B409,'Form responses 1'!$B$2:$B$2604,'Form responses 1'!$C$2:$C$2604,""))</f>
        <v>TITIK WIJAYANTI/AGUS SUPRIYANTO</v>
      </c>
      <c r="F409" s="44" t="str">
        <f t="array" ref="F409">IF(B409="","",_xlfn.XLOOKUP(B409,'Form responses 1'!$B$2:$B$2604,'Form responses 1'!$D$2:$D$2604,""))</f>
        <v>082128965800</v>
      </c>
      <c r="G409" s="44" t="str">
        <f t="array" ref="G409">IF(B409="","",_xlfn.XLOOKUP(B409,'Form responses 1'!$B$2:$B$2604,'Form responses 1'!$E$2:$E$2604,""))</f>
        <v>SKPT </v>
      </c>
      <c r="H409" s="44" t="str">
        <f t="array" ref="H409">IF(B409="","",_xlfn.XLOOKUP(B409,'Form responses 1'!$B$2:$B$2604,'Form responses 1'!$F$2:$F$2604,""))</f>
        <v>M.11312/KEDAMAIAN</v>
      </c>
      <c r="I409" s="44" t="str">
        <f t="array" ref="I409">IF(B409="","",_xlfn.XLOOKUP(B409,'Form responses 1'!$B$2:$B$2604,'Form responses 1'!$I$2:$I$2604,""))</f>
        <v>KEDAMAIAN</v>
      </c>
      <c r="J409" s="44" t="str">
        <f t="array" ref="J409">IF(B409="","",_xlfn.XLOOKUP(B409,'Form responses 1'!$B$2:$B$2604,'Form responses 1'!$G$2:$G$2604,""))</f>
        <v>Baynur</v>
      </c>
      <c r="K409" s="41" t="s">
        <v>5390</v>
      </c>
      <c r="L409" s="52">
        <f t="shared" si="7"/>
        <v>45594.65738</v>
      </c>
      <c r="M409" s="49"/>
      <c r="N409" s="49"/>
      <c r="O409" s="49"/>
      <c r="P409" s="49"/>
      <c r="Q409" s="49"/>
      <c r="R409" s="49"/>
      <c r="S409" s="49"/>
      <c r="T409" s="49"/>
      <c r="U409" s="49"/>
      <c r="V409" s="49"/>
      <c r="W409" s="41" t="s">
        <v>618</v>
      </c>
      <c r="X409" s="46">
        <f t="shared" si="5"/>
        <v>45594.65738</v>
      </c>
      <c r="Y409" s="50" t="s">
        <v>482</v>
      </c>
      <c r="Z409" s="49">
        <f t="shared" si="6"/>
        <v>0</v>
      </c>
    </row>
    <row r="410" ht="22.5" customHeight="1">
      <c r="B410" s="41" t="s">
        <v>2268</v>
      </c>
      <c r="C410" s="43">
        <f t="array" ref="C410">IF(B410="","",_xlfn.XLOOKUP(B410,'Form responses 1'!$B$2:$B$2604,'Form responses 1'!$A$2:$A$2604,""))</f>
        <v>45590.6166</v>
      </c>
      <c r="D410" s="44" t="str">
        <f t="shared" si="3"/>
        <v>K/47/251024/2_45590.6165975</v>
      </c>
      <c r="E410" s="44" t="str">
        <f t="array" ref="E410">IF(B410="","",_xlfn.XLOOKUP(B410,'Form responses 1'!$B$2:$B$2604,'Form responses 1'!$C$2:$C$2604,""))</f>
        <v>Sendi Dini H/ Titik W</v>
      </c>
      <c r="F410" s="44" t="str">
        <f t="array" ref="F410">IF(B410="","",_xlfn.XLOOKUP(B410,'Form responses 1'!$B$2:$B$2604,'Form responses 1'!$D$2:$D$2604,""))</f>
        <v>089618401409</v>
      </c>
      <c r="G410" s="44" t="str">
        <f t="array" ref="G410">IF(B410="","",_xlfn.XLOOKUP(B410,'Form responses 1'!$B$2:$B$2604,'Form responses 1'!$E$2:$E$2604,""))</f>
        <v>SKPT Lelang</v>
      </c>
      <c r="H410" s="44" t="str">
        <f t="array" ref="H410">IF(B410="","",_xlfn.XLOOKUP(B410,'Form responses 1'!$B$2:$B$2604,'Form responses 1'!$F$2:$F$2604,""))</f>
        <v>M. 3605/ Rajabasa Jaya; M. 10913/ Rajabasa</v>
      </c>
      <c r="I410" s="44" t="str">
        <f t="array" ref="I410">IF(B410="","",_xlfn.XLOOKUP(B410,'Form responses 1'!$B$2:$B$2604,'Form responses 1'!$I$2:$I$2604,""))</f>
        <v> Rajabasa Jaya</v>
      </c>
      <c r="J410" s="44" t="str">
        <f t="array" ref="J410">IF(B410="","",_xlfn.XLOOKUP(B410,'Form responses 1'!$B$2:$B$2604,'Form responses 1'!$G$2:$G$2604,""))</f>
        <v>Rapita</v>
      </c>
      <c r="K410" s="41" t="s">
        <v>5390</v>
      </c>
      <c r="L410" s="52">
        <f t="shared" si="7"/>
        <v>45594.65738</v>
      </c>
      <c r="M410" s="49"/>
      <c r="N410" s="49"/>
      <c r="O410" s="49"/>
      <c r="P410" s="49"/>
      <c r="Q410" s="49"/>
      <c r="R410" s="49"/>
      <c r="S410" s="49"/>
      <c r="T410" s="49"/>
      <c r="U410" s="49"/>
      <c r="V410" s="49"/>
      <c r="W410" s="41" t="s">
        <v>618</v>
      </c>
      <c r="X410" s="46">
        <f t="shared" si="5"/>
        <v>45594.65738</v>
      </c>
      <c r="Y410" s="50" t="s">
        <v>482</v>
      </c>
      <c r="Z410" s="49">
        <f t="shared" si="6"/>
        <v>0</v>
      </c>
    </row>
    <row r="411" ht="22.5" customHeight="1">
      <c r="B411" s="41" t="s">
        <v>2146</v>
      </c>
      <c r="C411" s="43">
        <f t="array" ref="C411">IF(B411="","",_xlfn.XLOOKUP(B411,'Form responses 1'!$B$2:$B$2604,'Form responses 1'!$A$2:$A$2604,""))</f>
        <v>45590.46879</v>
      </c>
      <c r="D411" s="44" t="str">
        <f t="shared" si="3"/>
        <v>K/16/251024/1_45590.4687918634</v>
      </c>
      <c r="E411" s="44" t="str">
        <f t="array" ref="E411">IF(B411="","",_xlfn.XLOOKUP(B411,'Form responses 1'!$B$2:$B$2604,'Form responses 1'!$C$2:$C$2604,""))</f>
        <v>Eka Sari T/ Ary Y</v>
      </c>
      <c r="F411" s="44" t="str">
        <f t="array" ref="F411">IF(B411="","",_xlfn.XLOOKUP(B411,'Form responses 1'!$B$2:$B$2604,'Form responses 1'!$D$2:$D$2604,""))</f>
        <v>+62 895-3631-14046</v>
      </c>
      <c r="G411" s="44" t="str">
        <f t="array" ref="G411">IF(B411="","",_xlfn.XLOOKUP(B411,'Form responses 1'!$B$2:$B$2604,'Form responses 1'!$E$2:$E$2604,""))</f>
        <v>BN Jual Beli</v>
      </c>
      <c r="H411" s="44" t="str">
        <f t="array" ref="H411">IF(B411="","",_xlfn.XLOOKUP(B411,'Form responses 1'!$B$2:$B$2604,'Form responses 1'!$F$2:$F$2604,""))</f>
        <v>M. 2543/ Pinang Jaya</v>
      </c>
      <c r="I411" s="44" t="str">
        <f t="array" ref="I411">IF(B411="","",_xlfn.XLOOKUP(B411,'Form responses 1'!$B$2:$B$2604,'Form responses 1'!$I$2:$I$2604,""))</f>
        <v>Pinang Jaya</v>
      </c>
      <c r="J411" s="44" t="str">
        <f t="array" ref="J411">IF(B411="","",_xlfn.XLOOKUP(B411,'Form responses 1'!$B$2:$B$2604,'Form responses 1'!$G$2:$G$2604,""))</f>
        <v>Rapita</v>
      </c>
      <c r="K411" s="41" t="s">
        <v>5390</v>
      </c>
      <c r="L411" s="52">
        <f t="shared" si="7"/>
        <v>45594.65738</v>
      </c>
      <c r="M411" s="49"/>
      <c r="N411" s="49"/>
      <c r="O411" s="49"/>
      <c r="P411" s="49"/>
      <c r="Q411" s="49"/>
      <c r="R411" s="49"/>
      <c r="S411" s="49"/>
      <c r="T411" s="49"/>
      <c r="U411" s="49"/>
      <c r="V411" s="49"/>
      <c r="W411" s="41" t="s">
        <v>618</v>
      </c>
      <c r="X411" s="46">
        <f t="shared" si="5"/>
        <v>45594.65738</v>
      </c>
      <c r="Y411" s="50" t="s">
        <v>482</v>
      </c>
      <c r="Z411" s="49">
        <f t="shared" si="6"/>
        <v>0</v>
      </c>
    </row>
    <row r="412" ht="22.5" customHeight="1">
      <c r="B412" s="41" t="s">
        <v>2234</v>
      </c>
      <c r="C412" s="43">
        <f t="array" ref="C412">IF(B412="","",_xlfn.XLOOKUP(B412,'Form responses 1'!$B$2:$B$2604,'Form responses 1'!$A$2:$A$2604,""))</f>
        <v>45590.60574</v>
      </c>
      <c r="D412" s="44" t="str">
        <f t="shared" si="3"/>
        <v>K/41/251024/1_45590.6057411111</v>
      </c>
      <c r="E412" s="44" t="str">
        <f t="array" ref="E412">IF(B412="","",_xlfn.XLOOKUP(B412,'Form responses 1'!$B$2:$B$2604,'Form responses 1'!$C$2:$C$2604,""))</f>
        <v>Ira Familia/ Budiono</v>
      </c>
      <c r="F412" s="44" t="str">
        <f t="array" ref="F412">IF(B412="","",_xlfn.XLOOKUP(B412,'Form responses 1'!$B$2:$B$2604,'Form responses 1'!$D$2:$D$2604,""))</f>
        <v>082180223747</v>
      </c>
      <c r="G412" s="44" t="str">
        <f t="array" ref="G412">IF(B412="","",_xlfn.XLOOKUP(B412,'Form responses 1'!$B$2:$B$2604,'Form responses 1'!$E$2:$E$2604,""))</f>
        <v>BN Jual Beli</v>
      </c>
      <c r="H412" s="44" t="str">
        <f t="array" ref="H412">IF(B412="","",_xlfn.XLOOKUP(B412,'Form responses 1'!$B$2:$B$2604,'Form responses 1'!$F$2:$F$2604,""))</f>
        <v>M. 1824/ Beringin Jaya ; M. 944/ Beringin Raya-dahulu; B. 718/ Beringin Raya-dahulu</v>
      </c>
      <c r="I412" s="44" t="str">
        <f t="array" ref="I412">IF(B412="","",_xlfn.XLOOKUP(B412,'Form responses 1'!$B$2:$B$2604,'Form responses 1'!$I$2:$I$2604,""))</f>
        <v>Beringin Jaya</v>
      </c>
      <c r="J412" s="44" t="str">
        <f t="array" ref="J412">IF(B412="","",_xlfn.XLOOKUP(B412,'Form responses 1'!$B$2:$B$2604,'Form responses 1'!$G$2:$G$2604,""))</f>
        <v>Rapita</v>
      </c>
      <c r="K412" s="41" t="s">
        <v>5390</v>
      </c>
      <c r="L412" s="52">
        <f t="shared" si="7"/>
        <v>45594.65738</v>
      </c>
      <c r="M412" s="49"/>
      <c r="N412" s="49"/>
      <c r="O412" s="49"/>
      <c r="P412" s="49"/>
      <c r="Q412" s="49"/>
      <c r="R412" s="49"/>
      <c r="S412" s="49"/>
      <c r="T412" s="49"/>
      <c r="U412" s="49"/>
      <c r="V412" s="49"/>
      <c r="W412" s="41" t="s">
        <v>618</v>
      </c>
      <c r="X412" s="46">
        <f t="shared" si="5"/>
        <v>45594.65738</v>
      </c>
      <c r="Y412" s="50" t="s">
        <v>482</v>
      </c>
      <c r="Z412" s="49">
        <f t="shared" si="6"/>
        <v>0</v>
      </c>
    </row>
    <row r="413" ht="22.5" customHeight="1">
      <c r="B413" s="41" t="s">
        <v>2317</v>
      </c>
      <c r="C413" s="43">
        <f t="array" ref="C413">IF(B413="","",_xlfn.XLOOKUP(B413,'Form responses 1'!$B$2:$B$2604,'Form responses 1'!$A$2:$A$2604,""))</f>
        <v>45593.38098</v>
      </c>
      <c r="D413" s="44" t="str">
        <f t="shared" si="3"/>
        <v>K/3/281024/1_45593.3809785069</v>
      </c>
      <c r="E413" s="44" t="str">
        <f t="array" ref="E413">IF(B413="","",_xlfn.XLOOKUP(B413,'Form responses 1'!$B$2:$B$2604,'Form responses 1'!$C$2:$C$2604,""))</f>
        <v>dito saputra/titik w</v>
      </c>
      <c r="F413" s="44" t="str">
        <f t="array" ref="F413">IF(B413="","",_xlfn.XLOOKUP(B413,'Form responses 1'!$B$2:$B$2604,'Form responses 1'!$D$2:$D$2604,""))</f>
        <v>081369350683</v>
      </c>
      <c r="G413" s="44" t="str">
        <f t="array" ref="G413">IF(B413="","",_xlfn.XLOOKUP(B413,'Form responses 1'!$B$2:$B$2604,'Form responses 1'!$E$2:$E$2604,""))</f>
        <v>SKPT Lelang</v>
      </c>
      <c r="H413" s="44" t="str">
        <f t="array" ref="H413">IF(B413="","",_xlfn.XLOOKUP(B413,'Form responses 1'!$B$2:$B$2604,'Form responses 1'!$F$2:$F$2604,""))</f>
        <v>M. 139/ rajabasa Jaya</v>
      </c>
      <c r="I413" s="44" t="str">
        <f t="array" ref="I413">IF(B413="","",_xlfn.XLOOKUP(B413,'Form responses 1'!$B$2:$B$2604,'Form responses 1'!$I$2:$I$2604,""))</f>
        <v>rajabasa Jaya</v>
      </c>
      <c r="J413" s="44" t="str">
        <f t="array" ref="J413">IF(B413="","",_xlfn.XLOOKUP(B413,'Form responses 1'!$B$2:$B$2604,'Form responses 1'!$G$2:$G$2604,""))</f>
        <v>Hananda</v>
      </c>
      <c r="K413" s="41" t="s">
        <v>5390</v>
      </c>
      <c r="L413" s="52">
        <f t="shared" si="7"/>
        <v>45594.65738</v>
      </c>
      <c r="M413" s="49"/>
      <c r="N413" s="49"/>
      <c r="O413" s="49"/>
      <c r="P413" s="49"/>
      <c r="Q413" s="49"/>
      <c r="R413" s="49"/>
      <c r="S413" s="49"/>
      <c r="T413" s="49"/>
      <c r="U413" s="49"/>
      <c r="V413" s="49"/>
      <c r="W413" s="41" t="s">
        <v>618</v>
      </c>
      <c r="X413" s="46">
        <f t="shared" si="5"/>
        <v>45594.65738</v>
      </c>
      <c r="Y413" s="50" t="s">
        <v>482</v>
      </c>
      <c r="Z413" s="49">
        <f t="shared" si="6"/>
        <v>0</v>
      </c>
    </row>
    <row r="414" ht="22.5" customHeight="1">
      <c r="B414" s="41" t="s">
        <v>2429</v>
      </c>
      <c r="C414" s="43">
        <f t="array" ref="C414">IF(B414="","",_xlfn.XLOOKUP(B414,'Form responses 1'!$B$2:$B$2604,'Form responses 1'!$A$2:$A$2604,""))</f>
        <v>45593.56179</v>
      </c>
      <c r="D414" s="44" t="str">
        <f t="shared" si="3"/>
        <v>L/31/281024/1_45593.5617922222</v>
      </c>
      <c r="E414" s="44" t="str">
        <f t="array" ref="E414">IF(B414="","",_xlfn.XLOOKUP(B414,'Form responses 1'!$B$2:$B$2604,'Form responses 1'!$C$2:$C$2604,""))</f>
        <v>DINI DEWINDARU</v>
      </c>
      <c r="F414" s="44" t="str">
        <f t="array" ref="F414">IF(B414="","",_xlfn.XLOOKUP(B414,'Form responses 1'!$B$2:$B$2604,'Form responses 1'!$D$2:$D$2604,""))</f>
        <v>08117990432</v>
      </c>
      <c r="G414" s="44" t="str">
        <f t="array" ref="G414">IF(B414="","",_xlfn.XLOOKUP(B414,'Form responses 1'!$B$2:$B$2604,'Form responses 1'!$E$2:$E$2604,""))</f>
        <v>ROYA</v>
      </c>
      <c r="H414" s="44" t="str">
        <f t="array" ref="H414">IF(B414="","",_xlfn.XLOOKUP(B414,'Form responses 1'!$B$2:$B$2604,'Form responses 1'!$F$2:$F$2604,""))</f>
        <v>M.2112 SUMBEREJO/KEMILING</v>
      </c>
      <c r="I414" s="44" t="str">
        <f t="array" ref="I414">IF(B414="","",_xlfn.XLOOKUP(B414,'Form responses 1'!$B$2:$B$2604,'Form responses 1'!$I$2:$I$2604,""))</f>
        <v>SUMBEREJO/KEMILING</v>
      </c>
      <c r="J414" s="44" t="str">
        <f t="array" ref="J414">IF(B414="","",_xlfn.XLOOKUP(B414,'Form responses 1'!$B$2:$B$2604,'Form responses 1'!$G$2:$G$2604,""))</f>
        <v>Nuraini</v>
      </c>
      <c r="K414" s="41" t="s">
        <v>5390</v>
      </c>
      <c r="L414" s="52">
        <f t="shared" si="7"/>
        <v>45594.65738</v>
      </c>
      <c r="M414" s="49"/>
      <c r="N414" s="49"/>
      <c r="O414" s="49"/>
      <c r="P414" s="49"/>
      <c r="Q414" s="49"/>
      <c r="R414" s="49"/>
      <c r="S414" s="49"/>
      <c r="T414" s="49"/>
      <c r="U414" s="49"/>
      <c r="V414" s="49"/>
      <c r="W414" s="41" t="s">
        <v>618</v>
      </c>
      <c r="X414" s="46">
        <f t="shared" si="5"/>
        <v>45594.65738</v>
      </c>
      <c r="Y414" s="50" t="s">
        <v>482</v>
      </c>
      <c r="Z414" s="49">
        <f t="shared" si="6"/>
        <v>0</v>
      </c>
    </row>
    <row r="415" ht="22.5" customHeight="1">
      <c r="B415" s="41" t="s">
        <v>2371</v>
      </c>
      <c r="C415" s="43">
        <f t="array" ref="C415">IF(B415="","",_xlfn.XLOOKUP(B415,'Form responses 1'!$B$2:$B$2604,'Form responses 1'!$A$2:$A$2604,""))</f>
        <v>45593.42732</v>
      </c>
      <c r="D415" s="44" t="str">
        <f t="shared" si="3"/>
        <v>L/16/281024/1_45593.4273209607</v>
      </c>
      <c r="E415" s="44" t="str">
        <f t="array" ref="E415">IF(B415="","",_xlfn.XLOOKUP(B415,'Form responses 1'!$B$2:$B$2604,'Form responses 1'!$C$2:$C$2604,""))</f>
        <v>NORMANSYAH</v>
      </c>
      <c r="F415" s="44" t="str">
        <f t="array" ref="F415">IF(B415="","",_xlfn.XLOOKUP(B415,'Form responses 1'!$B$2:$B$2604,'Form responses 1'!$D$2:$D$2604,""))</f>
        <v>081213610270</v>
      </c>
      <c r="G415" s="44" t="str">
        <f t="array" ref="G415">IF(B415="","",_xlfn.XLOOKUP(B415,'Form responses 1'!$B$2:$B$2604,'Form responses 1'!$E$2:$E$2604,""))</f>
        <v>ROYA</v>
      </c>
      <c r="H415" s="44" t="str">
        <f t="array" ref="H415">IF(B415="","",_xlfn.XLOOKUP(B415,'Form responses 1'!$B$2:$B$2604,'Form responses 1'!$F$2:$F$2604,""))</f>
        <v>M.739/NOG</v>
      </c>
      <c r="I415" s="44" t="str">
        <f t="array" ref="I415">IF(B415="","",_xlfn.XLOOKUP(B415,'Form responses 1'!$B$2:$B$2604,'Form responses 1'!$I$2:$I$2604,""))</f>
        <v>NOG</v>
      </c>
      <c r="J415" s="44" t="str">
        <f t="array" ref="J415">IF(B415="","",_xlfn.XLOOKUP(B415,'Form responses 1'!$B$2:$B$2604,'Form responses 1'!$G$2:$G$2604,""))</f>
        <v>Nuraini</v>
      </c>
      <c r="K415" s="41" t="s">
        <v>5390</v>
      </c>
      <c r="L415" s="52">
        <f t="shared" si="7"/>
        <v>45594.65738</v>
      </c>
      <c r="M415" s="49"/>
      <c r="N415" s="49"/>
      <c r="O415" s="49"/>
      <c r="P415" s="49"/>
      <c r="Q415" s="49"/>
      <c r="R415" s="49"/>
      <c r="S415" s="49"/>
      <c r="T415" s="49"/>
      <c r="U415" s="49"/>
      <c r="V415" s="49"/>
      <c r="W415" s="41" t="s">
        <v>618</v>
      </c>
      <c r="X415" s="46">
        <f t="shared" si="5"/>
        <v>45594.65738</v>
      </c>
      <c r="Y415" s="50" t="s">
        <v>482</v>
      </c>
      <c r="Z415" s="49">
        <f t="shared" si="6"/>
        <v>0</v>
      </c>
    </row>
    <row r="416" ht="22.5" customHeight="1">
      <c r="B416" s="41" t="s">
        <v>2034</v>
      </c>
      <c r="C416" s="43">
        <f t="array" ref="C416">IF(B416="","",_xlfn.XLOOKUP(B416,'Form responses 1'!$B$2:$B$2604,'Form responses 1'!$A$2:$A$2604,""))</f>
        <v>45589.6099</v>
      </c>
      <c r="D416" s="44" t="str">
        <f t="shared" si="3"/>
        <v>K/43/241024/1_45589.6099015394</v>
      </c>
      <c r="E416" s="44" t="str">
        <f t="array" ref="E416">IF(B416="","",_xlfn.XLOOKUP(B416,'Form responses 1'!$B$2:$B$2604,'Form responses 1'!$C$2:$C$2604,""))</f>
        <v>NURUL HIDAYAH/ABDI HARI K</v>
      </c>
      <c r="F416" s="44" t="str">
        <f t="array" ref="F416">IF(B416="","",_xlfn.XLOOKUP(B416,'Form responses 1'!$B$2:$B$2604,'Form responses 1'!$D$2:$D$2604,""))</f>
        <v>0821-8241-4776</v>
      </c>
      <c r="G416" s="44" t="str">
        <f t="array" ref="G416">IF(B416="","",_xlfn.XLOOKUP(B416,'Form responses 1'!$B$2:$B$2604,'Form responses 1'!$E$2:$E$2604,""))</f>
        <v>ROYA</v>
      </c>
      <c r="H416" s="44" t="str">
        <f t="array" ref="H416">IF(B416="","",_xlfn.XLOOKUP(B416,'Form responses 1'!$B$2:$B$2604,'Form responses 1'!$F$2:$F$2604,""))</f>
        <v>M.2065/GUNUNG TERANG</v>
      </c>
      <c r="I416" s="44" t="str">
        <f t="array" ref="I416">IF(B416="","",_xlfn.XLOOKUP(B416,'Form responses 1'!$B$2:$B$2604,'Form responses 1'!$I$2:$I$2604,""))</f>
        <v>GUNUNG TERANG</v>
      </c>
      <c r="J416" s="44" t="str">
        <f t="array" ref="J416">IF(B416="","",_xlfn.XLOOKUP(B416,'Form responses 1'!$B$2:$B$2604,'Form responses 1'!$G$2:$G$2604,""))</f>
        <v>Baynur</v>
      </c>
      <c r="K416" s="41" t="s">
        <v>1233</v>
      </c>
      <c r="L416" s="52">
        <f t="shared" si="7"/>
        <v>45594.65738</v>
      </c>
      <c r="M416" s="47" t="s">
        <v>5420</v>
      </c>
      <c r="N416" s="49"/>
      <c r="O416" s="49"/>
      <c r="P416" s="49"/>
      <c r="Q416" s="49"/>
      <c r="R416" s="49"/>
      <c r="S416" s="49"/>
      <c r="T416" s="49"/>
      <c r="U416" s="49"/>
      <c r="V416" s="49"/>
      <c r="W416" s="41" t="s">
        <v>470</v>
      </c>
      <c r="X416" s="46">
        <f t="shared" si="5"/>
        <v>45594.65738</v>
      </c>
      <c r="Y416" s="50" t="s">
        <v>482</v>
      </c>
      <c r="Z416" s="49">
        <f t="shared" si="6"/>
        <v>1</v>
      </c>
    </row>
    <row r="417" ht="22.5" customHeight="1">
      <c r="B417" s="41" t="s">
        <v>1885</v>
      </c>
      <c r="C417" s="43">
        <f t="array" ref="C417">IF(B417="","",_xlfn.XLOOKUP(B417,'Form responses 1'!$B$2:$B$2604,'Form responses 1'!$A$2:$A$2604,""))</f>
        <v>45589.39462</v>
      </c>
      <c r="D417" s="44" t="str">
        <f t="shared" si="3"/>
        <v>K/8/241024/4_45589.3946231829</v>
      </c>
      <c r="E417" s="44" t="str">
        <f t="array" ref="E417">IF(B417="","",_xlfn.XLOOKUP(B417,'Form responses 1'!$B$2:$B$2604,'Form responses 1'!$C$2:$C$2604,""))</f>
        <v>Vitta N / Pepang qq daniella</v>
      </c>
      <c r="F417" s="44" t="str">
        <f t="array" ref="F417">IF(B417="","",_xlfn.XLOOKUP(B417,'Form responses 1'!$B$2:$B$2604,'Form responses 1'!$D$2:$D$2604,""))</f>
        <v>082181337272</v>
      </c>
      <c r="G417" s="44" t="str">
        <f t="array" ref="G417">IF(B417="","",_xlfn.XLOOKUP(B417,'Form responses 1'!$B$2:$B$2604,'Form responses 1'!$E$2:$E$2604,""))</f>
        <v>BN Jual Beli</v>
      </c>
      <c r="H417" s="44" t="str">
        <f t="array" ref="H417">IF(B417="","",_xlfn.XLOOKUP(B417,'Form responses 1'!$B$2:$B$2604,'Form responses 1'!$F$2:$F$2604,""))</f>
        <v>M. 369/ Kali Balau Kencana</v>
      </c>
      <c r="I417" s="44" t="str">
        <f t="array" ref="I417">IF(B417="","",_xlfn.XLOOKUP(B417,'Form responses 1'!$B$2:$B$2604,'Form responses 1'!$I$2:$I$2604,""))</f>
        <v>Kali Balau Kencana</v>
      </c>
      <c r="J417" s="44" t="str">
        <f t="array" ref="J417">IF(B417="","",_xlfn.XLOOKUP(B417,'Form responses 1'!$B$2:$B$2604,'Form responses 1'!$G$2:$G$2604,""))</f>
        <v>Hananda</v>
      </c>
      <c r="K417" s="41" t="s">
        <v>2875</v>
      </c>
      <c r="L417" s="52">
        <f t="shared" si="7"/>
        <v>45594.65738</v>
      </c>
      <c r="M417" s="47" t="s">
        <v>5435</v>
      </c>
      <c r="N417" s="47" t="s">
        <v>5436</v>
      </c>
      <c r="O417" s="49"/>
      <c r="P417" s="49"/>
      <c r="Q417" s="49"/>
      <c r="R417" s="49"/>
      <c r="S417" s="49"/>
      <c r="T417" s="49"/>
      <c r="U417" s="49"/>
      <c r="V417" s="49"/>
      <c r="W417" s="41" t="s">
        <v>618</v>
      </c>
      <c r="X417" s="46">
        <f t="shared" si="5"/>
        <v>45602.67946</v>
      </c>
      <c r="Y417" s="50" t="s">
        <v>482</v>
      </c>
      <c r="Z417" s="49">
        <f t="shared" si="6"/>
        <v>2</v>
      </c>
    </row>
    <row r="418" ht="22.5" customHeight="1">
      <c r="B418" s="41" t="s">
        <v>2058</v>
      </c>
      <c r="C418" s="43">
        <f t="array" ref="C418">IF(B418="","",_xlfn.XLOOKUP(B418,'Form responses 1'!$B$2:$B$2604,'Form responses 1'!$A$2:$A$2604,""))</f>
        <v>45589.62392</v>
      </c>
      <c r="D418" s="44" t="str">
        <f t="shared" si="3"/>
        <v>K/49/241024/2_45589.623921875</v>
      </c>
      <c r="E418" s="44" t="str">
        <f t="array" ref="E418">IF(B418="","",_xlfn.XLOOKUP(B418,'Form responses 1'!$B$2:$B$2604,'Form responses 1'!$C$2:$C$2604,""))</f>
        <v>nanik maryani/ asep yaya</v>
      </c>
      <c r="F418" s="44" t="str">
        <f t="array" ref="F418">IF(B418="","",_xlfn.XLOOKUP(B418,'Form responses 1'!$B$2:$B$2604,'Form responses 1'!$D$2:$D$2604,""))</f>
        <v>083178501348</v>
      </c>
      <c r="G418" s="44" t="str">
        <f t="array" ref="G418">IF(B418="","",_xlfn.XLOOKUP(B418,'Form responses 1'!$B$2:$B$2604,'Form responses 1'!$E$2:$E$2604,""))</f>
        <v>BN Jual Beli</v>
      </c>
      <c r="H418" s="44" t="str">
        <f t="array" ref="H418">IF(B418="","",_xlfn.XLOOKUP(B418,'Form responses 1'!$B$2:$B$2604,'Form responses 1'!$F$2:$F$2604,""))</f>
        <v>M. 16581/ Sukabumi</v>
      </c>
      <c r="I418" s="44" t="str">
        <f t="array" ref="I418">IF(B418="","",_xlfn.XLOOKUP(B418,'Form responses 1'!$B$2:$B$2604,'Form responses 1'!$I$2:$I$2604,""))</f>
        <v>Sukabumi</v>
      </c>
      <c r="J418" s="44" t="str">
        <f t="array" ref="J418">IF(B418="","",_xlfn.XLOOKUP(B418,'Form responses 1'!$B$2:$B$2604,'Form responses 1'!$G$2:$G$2604,""))</f>
        <v>Hananda</v>
      </c>
      <c r="K418" s="41" t="s">
        <v>2875</v>
      </c>
      <c r="L418" s="52">
        <f t="shared" si="7"/>
        <v>45594.65738</v>
      </c>
      <c r="M418" s="49"/>
      <c r="N418" s="49"/>
      <c r="O418" s="49"/>
      <c r="P418" s="49"/>
      <c r="Q418" s="49"/>
      <c r="R418" s="49"/>
      <c r="S418" s="49"/>
      <c r="T418" s="49"/>
      <c r="U418" s="49"/>
      <c r="V418" s="49"/>
      <c r="W418" s="41" t="s">
        <v>618</v>
      </c>
      <c r="X418" s="46">
        <f t="shared" si="5"/>
        <v>45595.42961</v>
      </c>
      <c r="Y418" s="50" t="s">
        <v>482</v>
      </c>
      <c r="Z418" s="49">
        <f t="shared" si="6"/>
        <v>0</v>
      </c>
    </row>
    <row r="419" ht="22.5" customHeight="1">
      <c r="B419" s="41" t="s">
        <v>1983</v>
      </c>
      <c r="C419" s="43">
        <f t="array" ref="C419">IF(B419="","",_xlfn.XLOOKUP(B419,'Form responses 1'!$B$2:$B$2604,'Form responses 1'!$A$2:$A$2604,""))</f>
        <v>45589.56682</v>
      </c>
      <c r="D419" s="44" t="str">
        <f t="shared" si="3"/>
        <v>K/33/241024/2_45589.5668216088</v>
      </c>
      <c r="E419" s="44" t="str">
        <f t="array" ref="E419">IF(B419="","",_xlfn.XLOOKUP(B419,'Form responses 1'!$B$2:$B$2604,'Form responses 1'!$C$2:$C$2604,""))</f>
        <v>M. Arief S/ Nur Azizah</v>
      </c>
      <c r="F419" s="44" t="str">
        <f t="array" ref="F419">IF(B419="","",_xlfn.XLOOKUP(B419,'Form responses 1'!$B$2:$B$2604,'Form responses 1'!$D$2:$D$2604,""))</f>
        <v>+62 853-5788-8886</v>
      </c>
      <c r="G419" s="44" t="str">
        <f t="array" ref="G419">IF(B419="","",_xlfn.XLOOKUP(B419,'Form responses 1'!$B$2:$B$2604,'Form responses 1'!$E$2:$E$2604,""))</f>
        <v>BN Jual Beli</v>
      </c>
      <c r="H419" s="44" t="str">
        <f t="array" ref="H419">IF(B419="","",_xlfn.XLOOKUP(B419,'Form responses 1'!$B$2:$B$2604,'Form responses 1'!$F$2:$F$2604,""))</f>
        <v>M. 16698/ Sukabumi</v>
      </c>
      <c r="I419" s="44" t="str">
        <f t="array" ref="I419">IF(B419="","",_xlfn.XLOOKUP(B419,'Form responses 1'!$B$2:$B$2604,'Form responses 1'!$I$2:$I$2604,""))</f>
        <v>Sukabumi</v>
      </c>
      <c r="J419" s="44" t="str">
        <f t="array" ref="J419">IF(B419="","",_xlfn.XLOOKUP(B419,'Form responses 1'!$B$2:$B$2604,'Form responses 1'!$G$2:$G$2604,""))</f>
        <v>Rapita</v>
      </c>
      <c r="K419" s="41" t="s">
        <v>2875</v>
      </c>
      <c r="L419" s="52">
        <f t="shared" si="7"/>
        <v>45594.65738</v>
      </c>
      <c r="M419" s="49"/>
      <c r="N419" s="49"/>
      <c r="O419" s="49"/>
      <c r="P419" s="49"/>
      <c r="Q419" s="49"/>
      <c r="R419" s="49"/>
      <c r="S419" s="49"/>
      <c r="T419" s="49"/>
      <c r="U419" s="49"/>
      <c r="V419" s="49"/>
      <c r="W419" s="41" t="s">
        <v>618</v>
      </c>
      <c r="X419" s="46">
        <f t="shared" si="5"/>
        <v>45594.67023</v>
      </c>
      <c r="Y419" s="50" t="s">
        <v>482</v>
      </c>
      <c r="Z419" s="49">
        <f t="shared" si="6"/>
        <v>0</v>
      </c>
    </row>
    <row r="420" ht="22.5" customHeight="1">
      <c r="B420" s="41" t="s">
        <v>2018</v>
      </c>
      <c r="C420" s="43">
        <f t="array" ref="C420">IF(B420="","",_xlfn.XLOOKUP(B420,'Form responses 1'!$B$2:$B$2604,'Form responses 1'!$A$2:$A$2604,""))</f>
        <v>45589.5958</v>
      </c>
      <c r="D420" s="44" t="str">
        <f t="shared" si="3"/>
        <v>K/39/241024/1_45589.5957996991</v>
      </c>
      <c r="E420" s="44" t="str">
        <f t="array" ref="E420">IF(B420="","",_xlfn.XLOOKUP(B420,'Form responses 1'!$B$2:$B$2604,'Form responses 1'!$C$2:$C$2604,""))</f>
        <v>Nuryati/ Fitri F</v>
      </c>
      <c r="F420" s="44" t="str">
        <f t="array" ref="F420">IF(B420="","",_xlfn.XLOOKUP(B420,'Form responses 1'!$B$2:$B$2604,'Form responses 1'!$D$2:$D$2604,""))</f>
        <v>+62 895-3802-21877</v>
      </c>
      <c r="G420" s="44" t="str">
        <f t="array" ref="G420">IF(B420="","",_xlfn.XLOOKUP(B420,'Form responses 1'!$B$2:$B$2604,'Form responses 1'!$E$2:$E$2604,""))</f>
        <v>BN Jual Beli</v>
      </c>
      <c r="H420" s="44" t="str">
        <f t="array" ref="H420">IF(B420="","",_xlfn.XLOOKUP(B420,'Form responses 1'!$B$2:$B$2604,'Form responses 1'!$F$2:$F$2604,""))</f>
        <v>M. 2583/ Rajabasa Jaya</v>
      </c>
      <c r="I420" s="44" t="str">
        <f t="array" ref="I420">IF(B420="","",_xlfn.XLOOKUP(B420,'Form responses 1'!$B$2:$B$2604,'Form responses 1'!$I$2:$I$2604,""))</f>
        <v>Rajabasa Jaya</v>
      </c>
      <c r="J420" s="44" t="str">
        <f t="array" ref="J420">IF(B420="","",_xlfn.XLOOKUP(B420,'Form responses 1'!$B$2:$B$2604,'Form responses 1'!$G$2:$G$2604,""))</f>
        <v>Rapita</v>
      </c>
      <c r="K420" s="41" t="s">
        <v>2875</v>
      </c>
      <c r="L420" s="52">
        <f t="shared" si="7"/>
        <v>45594.65738</v>
      </c>
      <c r="M420" s="49"/>
      <c r="N420" s="49"/>
      <c r="O420" s="49"/>
      <c r="P420" s="49"/>
      <c r="Q420" s="49"/>
      <c r="R420" s="49"/>
      <c r="S420" s="49"/>
      <c r="T420" s="49"/>
      <c r="U420" s="49"/>
      <c r="V420" s="49"/>
      <c r="W420" s="41" t="s">
        <v>618</v>
      </c>
      <c r="X420" s="46">
        <f t="shared" si="5"/>
        <v>45595.46306</v>
      </c>
      <c r="Y420" s="50" t="s">
        <v>482</v>
      </c>
      <c r="Z420" s="49">
        <f t="shared" si="6"/>
        <v>0</v>
      </c>
    </row>
    <row r="421" ht="22.5" customHeight="1">
      <c r="B421" s="41" t="s">
        <v>2284</v>
      </c>
      <c r="C421" s="43">
        <f t="array" ref="C421">IF(B421="","",_xlfn.XLOOKUP(B421,'Form responses 1'!$B$2:$B$2604,'Form responses 1'!$A$2:$A$2604,""))</f>
        <v>45590.63783</v>
      </c>
      <c r="D421" s="44" t="str">
        <f t="shared" si="3"/>
        <v>K/52/251024/2_45590.6378296644</v>
      </c>
      <c r="E421" s="44" t="str">
        <f t="array" ref="E421">IF(B421="","",_xlfn.XLOOKUP(B421,'Form responses 1'!$B$2:$B$2604,'Form responses 1'!$C$2:$C$2604,""))</f>
        <v>Panary Sitopu/ Mustopa</v>
      </c>
      <c r="F421" s="44" t="str">
        <f t="array" ref="F421">IF(B421="","",_xlfn.XLOOKUP(B421,'Form responses 1'!$B$2:$B$2604,'Form responses 1'!$D$2:$D$2604,""))</f>
        <v>08892937399</v>
      </c>
      <c r="G421" s="44" t="str">
        <f t="array" ref="G421">IF(B421="","",_xlfn.XLOOKUP(B421,'Form responses 1'!$B$2:$B$2604,'Form responses 1'!$E$2:$E$2604,""))</f>
        <v>BN Jual Beli</v>
      </c>
      <c r="H421" s="44" t="str">
        <f t="array" ref="H421">IF(B421="","",_xlfn.XLOOKUP(B421,'Form responses 1'!$B$2:$B$2604,'Form responses 1'!$F$2:$F$2604,""))</f>
        <v>M/ 1544/ Kupang Kota</v>
      </c>
      <c r="I421" s="44" t="str">
        <f t="array" ref="I421">IF(B421="","",_xlfn.XLOOKUP(B421,'Form responses 1'!$B$2:$B$2604,'Form responses 1'!$I$2:$I$2604,""))</f>
        <v> Kupang Kota</v>
      </c>
      <c r="J421" s="44" t="str">
        <f t="array" ref="J421">IF(B421="","",_xlfn.XLOOKUP(B421,'Form responses 1'!$B$2:$B$2604,'Form responses 1'!$G$2:$G$2604,""))</f>
        <v>Rapita</v>
      </c>
      <c r="K421" s="41" t="s">
        <v>1233</v>
      </c>
      <c r="L421" s="52">
        <f t="shared" si="7"/>
        <v>45594.66167</v>
      </c>
      <c r="M421" s="49"/>
      <c r="N421" s="49"/>
      <c r="O421" s="49"/>
      <c r="P421" s="49"/>
      <c r="Q421" s="49"/>
      <c r="R421" s="49"/>
      <c r="S421" s="49"/>
      <c r="T421" s="49"/>
      <c r="U421" s="49"/>
      <c r="V421" s="49"/>
      <c r="W421" s="41" t="s">
        <v>618</v>
      </c>
      <c r="X421" s="46">
        <f t="shared" si="5"/>
        <v>45594.66176</v>
      </c>
      <c r="Y421" s="50" t="s">
        <v>482</v>
      </c>
      <c r="Z421" s="49">
        <f t="shared" si="6"/>
        <v>0</v>
      </c>
    </row>
    <row r="422" ht="22.5" customHeight="1">
      <c r="B422" s="41" t="s">
        <v>1980</v>
      </c>
      <c r="C422" s="43">
        <f t="array" ref="C422">IF(B422="","",_xlfn.XLOOKUP(B422,'Form responses 1'!$B$2:$B$2604,'Form responses 1'!$A$2:$A$2604,""))</f>
        <v>45589.54754</v>
      </c>
      <c r="D422" s="44" t="str">
        <f t="shared" si="3"/>
        <v>K/32/241024/1_45589.5475358449</v>
      </c>
      <c r="E422" s="44" t="str">
        <f t="array" ref="E422">IF(B422="","",_xlfn.XLOOKUP(B422,'Form responses 1'!$B$2:$B$2604,'Form responses 1'!$C$2:$C$2604,""))</f>
        <v>hariyo widodo/ sarno</v>
      </c>
      <c r="F422" s="44" t="str">
        <f t="array" ref="F422">IF(B422="","",_xlfn.XLOOKUP(B422,'Form responses 1'!$B$2:$B$2604,'Form responses 1'!$D$2:$D$2604,""))</f>
        <v>+62 822-7944-1318</v>
      </c>
      <c r="G422" s="44" t="str">
        <f t="array" ref="G422">IF(B422="","",_xlfn.XLOOKUP(B422,'Form responses 1'!$B$2:$B$2604,'Form responses 1'!$E$2:$E$2604,""))</f>
        <v>roya</v>
      </c>
      <c r="H422" s="44" t="str">
        <f t="array" ref="H422">IF(B422="","",_xlfn.XLOOKUP(B422,'Form responses 1'!$B$2:$B$2604,'Form responses 1'!$F$2:$F$2604,""))</f>
        <v>M. 1120/ Sukajawa</v>
      </c>
      <c r="I422" s="44" t="str">
        <f t="array" ref="I422">IF(B422="","",_xlfn.XLOOKUP(B422,'Form responses 1'!$B$2:$B$2604,'Form responses 1'!$I$2:$I$2604,""))</f>
        <v>Sukajawa</v>
      </c>
      <c r="J422" s="44" t="str">
        <f t="array" ref="J422">IF(B422="","",_xlfn.XLOOKUP(B422,'Form responses 1'!$B$2:$B$2604,'Form responses 1'!$G$2:$G$2604,""))</f>
        <v>Hananda</v>
      </c>
      <c r="K422" s="41" t="s">
        <v>1233</v>
      </c>
      <c r="L422" s="52">
        <f t="shared" si="7"/>
        <v>45594.66885</v>
      </c>
      <c r="M422" s="49"/>
      <c r="N422" s="49"/>
      <c r="O422" s="49"/>
      <c r="P422" s="49"/>
      <c r="Q422" s="49"/>
      <c r="R422" s="49"/>
      <c r="S422" s="49"/>
      <c r="T422" s="49"/>
      <c r="U422" s="49"/>
      <c r="V422" s="49"/>
      <c r="W422" s="41" t="s">
        <v>618</v>
      </c>
      <c r="X422" s="46">
        <f t="shared" si="5"/>
        <v>45596.42663</v>
      </c>
      <c r="Y422" s="50" t="s">
        <v>482</v>
      </c>
      <c r="Z422" s="49">
        <f t="shared" si="6"/>
        <v>0</v>
      </c>
    </row>
    <row r="423" ht="22.5" customHeight="1">
      <c r="B423" s="41" t="s">
        <v>2419</v>
      </c>
      <c r="C423" s="43">
        <f t="array" ref="C423">IF(B423="","",_xlfn.XLOOKUP(B423,'Form responses 1'!$B$2:$B$2604,'Form responses 1'!$A$2:$A$2604,""))</f>
        <v>45593.49007</v>
      </c>
      <c r="D423" s="44" t="str">
        <f t="shared" si="3"/>
        <v>K/27/281024/1_45593.4900669907</v>
      </c>
      <c r="E423" s="44" t="str">
        <f t="array" ref="E423">IF(B423="","",_xlfn.XLOOKUP(B423,'Form responses 1'!$B$2:$B$2604,'Form responses 1'!$C$2:$C$2604,""))</f>
        <v>Eka Sari T/ Misgiantho</v>
      </c>
      <c r="F423" s="44" t="str">
        <f t="array" ref="F423">IF(B423="","",_xlfn.XLOOKUP(B423,'Form responses 1'!$B$2:$B$2604,'Form responses 1'!$D$2:$D$2604,""))</f>
        <v>089536311146</v>
      </c>
      <c r="G423" s="44" t="str">
        <f t="array" ref="G423">IF(B423="","",_xlfn.XLOOKUP(B423,'Form responses 1'!$B$2:$B$2604,'Form responses 1'!$E$2:$E$2604,""))</f>
        <v>Perubahan Hak</v>
      </c>
      <c r="H423" s="44" t="str">
        <f t="array" ref="H423">IF(B423="","",_xlfn.XLOOKUP(B423,'Form responses 1'!$B$2:$B$2604,'Form responses 1'!$F$2:$F$2604,""))</f>
        <v>B. 835/ Perumnas Way Kandis; B. 309/ Way Kandis</v>
      </c>
      <c r="I423" s="44" t="str">
        <f t="array" ref="I423">IF(B423="","",_xlfn.XLOOKUP(B423,'Form responses 1'!$B$2:$B$2604,'Form responses 1'!$I$2:$I$2604,""))</f>
        <v>Perumnas Way Kandis</v>
      </c>
      <c r="J423" s="44" t="str">
        <f t="array" ref="J423">IF(B423="","",_xlfn.XLOOKUP(B423,'Form responses 1'!$B$2:$B$2604,'Form responses 1'!$G$2:$G$2604,""))</f>
        <v>Rapita</v>
      </c>
      <c r="K423" s="41" t="s">
        <v>587</v>
      </c>
      <c r="L423" s="52">
        <f t="shared" si="7"/>
        <v>45594.70641</v>
      </c>
      <c r="M423" s="47" t="s">
        <v>470</v>
      </c>
      <c r="N423" s="49"/>
      <c r="O423" s="49"/>
      <c r="P423" s="49"/>
      <c r="Q423" s="49"/>
      <c r="R423" s="49"/>
      <c r="S423" s="49"/>
      <c r="T423" s="49"/>
      <c r="U423" s="49"/>
      <c r="V423" s="49"/>
      <c r="W423" s="41" t="s">
        <v>470</v>
      </c>
      <c r="X423" s="46">
        <f t="shared" si="5"/>
        <v>45597.62195</v>
      </c>
      <c r="Y423" s="50" t="s">
        <v>482</v>
      </c>
      <c r="Z423" s="49">
        <f t="shared" si="6"/>
        <v>1</v>
      </c>
    </row>
    <row r="424" ht="22.5" customHeight="1">
      <c r="B424" s="41" t="s">
        <v>2446</v>
      </c>
      <c r="C424" s="43">
        <f t="array" ref="C424">IF(B424="","",_xlfn.XLOOKUP(B424,'Form responses 1'!$B$2:$B$2604,'Form responses 1'!$A$2:$A$2604,""))</f>
        <v>45593.58098</v>
      </c>
      <c r="D424" s="44" t="str">
        <f t="shared" si="3"/>
        <v>K/29/281024/1_45593.5809753125</v>
      </c>
      <c r="E424" s="44" t="str">
        <f t="array" ref="E424">IF(B424="","",_xlfn.XLOOKUP(B424,'Form responses 1'!$B$2:$B$2604,'Form responses 1'!$C$2:$C$2604,""))</f>
        <v>Rafico/ Vonita</v>
      </c>
      <c r="F424" s="44" t="str">
        <f t="array" ref="F424">IF(B424="","",_xlfn.XLOOKUP(B424,'Form responses 1'!$B$2:$B$2604,'Form responses 1'!$D$2:$D$2604,""))</f>
        <v>082282168354</v>
      </c>
      <c r="G424" s="44" t="str">
        <f t="array" ref="G424">IF(B424="","",_xlfn.XLOOKUP(B424,'Form responses 1'!$B$2:$B$2604,'Form responses 1'!$E$2:$E$2604,""))</f>
        <v>Perubahan Hak</v>
      </c>
      <c r="H424" s="44" t="str">
        <f t="array" ref="H424">IF(B424="","",_xlfn.XLOOKUP(B424,'Form responses 1'!$B$2:$B$2604,'Form responses 1'!$F$2:$F$2604,""))</f>
        <v>B, 570/ Nusantara Permai</v>
      </c>
      <c r="I424" s="44" t="str">
        <f t="array" ref="I424">IF(B424="","",_xlfn.XLOOKUP(B424,'Form responses 1'!$B$2:$B$2604,'Form responses 1'!$I$2:$I$2604,""))</f>
        <v>Nusantara Permai</v>
      </c>
      <c r="J424" s="44" t="str">
        <f t="array" ref="J424">IF(B424="","",_xlfn.XLOOKUP(B424,'Form responses 1'!$B$2:$B$2604,'Form responses 1'!$G$2:$G$2604,""))</f>
        <v>Hananda</v>
      </c>
      <c r="K424" s="41" t="s">
        <v>587</v>
      </c>
      <c r="L424" s="52">
        <f t="shared" si="7"/>
        <v>45594.7068</v>
      </c>
      <c r="M424" s="47" t="s">
        <v>470</v>
      </c>
      <c r="N424" s="47" t="s">
        <v>5214</v>
      </c>
      <c r="O424" s="49"/>
      <c r="P424" s="49"/>
      <c r="Q424" s="49"/>
      <c r="R424" s="49"/>
      <c r="S424" s="49"/>
      <c r="T424" s="49"/>
      <c r="U424" s="49"/>
      <c r="V424" s="49"/>
      <c r="W424" s="41" t="s">
        <v>618</v>
      </c>
      <c r="X424" s="46">
        <f t="shared" si="5"/>
        <v>45607.3244</v>
      </c>
      <c r="Y424" s="50" t="s">
        <v>482</v>
      </c>
      <c r="Z424" s="49">
        <f t="shared" si="6"/>
        <v>2</v>
      </c>
    </row>
    <row r="425" ht="22.5" customHeight="1">
      <c r="B425" s="41" t="s">
        <v>2453</v>
      </c>
      <c r="C425" s="43">
        <f t="array" ref="C425">IF(B425="","",_xlfn.XLOOKUP(B425,'Form responses 1'!$B$2:$B$2604,'Form responses 1'!$A$2:$A$2604,""))</f>
        <v>45593.59301</v>
      </c>
      <c r="D425" s="44" t="str">
        <f t="shared" si="3"/>
        <v>K/36/281024/1_45593.59300625</v>
      </c>
      <c r="E425" s="44" t="str">
        <f t="array" ref="E425">IF(B425="","",_xlfn.XLOOKUP(B425,'Form responses 1'!$B$2:$B$2604,'Form responses 1'!$C$2:$C$2604,""))</f>
        <v>ELVAN SIUS/ PONIAH</v>
      </c>
      <c r="F425" s="44" t="str">
        <f t="array" ref="F425">IF(B425="","",_xlfn.XLOOKUP(B425,'Form responses 1'!$B$2:$B$2604,'Form responses 1'!$D$2:$D$2604,""))</f>
        <v>085709443520</v>
      </c>
      <c r="G425" s="44" t="str">
        <f t="array" ref="G425">IF(B425="","",_xlfn.XLOOKUP(B425,'Form responses 1'!$B$2:$B$2604,'Form responses 1'!$E$2:$E$2604,""))</f>
        <v>HAPUS BPHTB</v>
      </c>
      <c r="H425" s="44" t="str">
        <f t="array" ref="H425">IF(B425="","",_xlfn.XLOOKUP(B425,'Form responses 1'!$B$2:$B$2604,'Form responses 1'!$F$2:$F$2604,""))</f>
        <v>M. 1142/ Kemiling Raya</v>
      </c>
      <c r="I425" s="44" t="str">
        <f t="array" ref="I425">IF(B425="","",_xlfn.XLOOKUP(B425,'Form responses 1'!$B$2:$B$2604,'Form responses 1'!$I$2:$I$2604,""))</f>
        <v>Kemiling Raya</v>
      </c>
      <c r="J425" s="44" t="str">
        <f t="array" ref="J425">IF(B425="","",_xlfn.XLOOKUP(B425,'Form responses 1'!$B$2:$B$2604,'Form responses 1'!$G$2:$G$2604,""))</f>
        <v>Hananda</v>
      </c>
      <c r="K425" s="41" t="s">
        <v>587</v>
      </c>
      <c r="L425" s="52">
        <f t="shared" si="7"/>
        <v>45594.70703</v>
      </c>
      <c r="M425" s="47" t="s">
        <v>5214</v>
      </c>
      <c r="N425" s="49"/>
      <c r="O425" s="49"/>
      <c r="P425" s="49"/>
      <c r="Q425" s="49"/>
      <c r="R425" s="49"/>
      <c r="S425" s="49"/>
      <c r="T425" s="49"/>
      <c r="U425" s="49"/>
      <c r="V425" s="49"/>
      <c r="W425" s="41" t="s">
        <v>618</v>
      </c>
      <c r="X425" s="46">
        <f t="shared" si="5"/>
        <v>45602.39002</v>
      </c>
      <c r="Y425" s="50" t="s">
        <v>482</v>
      </c>
      <c r="Z425" s="49">
        <f t="shared" si="6"/>
        <v>1</v>
      </c>
    </row>
    <row r="426" ht="22.5" customHeight="1">
      <c r="B426" s="41" t="s">
        <v>2355</v>
      </c>
      <c r="C426" s="43">
        <f t="array" ref="C426">IF(B426="","",_xlfn.XLOOKUP(B426,'Form responses 1'!$B$2:$B$2604,'Form responses 1'!$A$2:$A$2604,""))</f>
        <v>45593.40916</v>
      </c>
      <c r="D426" s="44" t="str">
        <f t="shared" si="3"/>
        <v>K/12/281024/1_45593.4091633218</v>
      </c>
      <c r="E426" s="44" t="str">
        <f t="array" ref="E426">IF(B426="","",_xlfn.XLOOKUP(B426,'Form responses 1'!$B$2:$B$2604,'Form responses 1'!$C$2:$C$2604,""))</f>
        <v>SOPHI YULITA PRASIPI/FERAWATI</v>
      </c>
      <c r="F426" s="44" t="str">
        <f t="array" ref="F426">IF(B426="","",_xlfn.XLOOKUP(B426,'Form responses 1'!$B$2:$B$2604,'Form responses 1'!$D$2:$D$2604,""))</f>
        <v>089632743500</v>
      </c>
      <c r="G426" s="44" t="str">
        <f t="array" ref="G426">IF(B426="","",_xlfn.XLOOKUP(B426,'Form responses 1'!$B$2:$B$2604,'Form responses 1'!$E$2:$E$2604,""))</f>
        <v>BN JUAL BELI</v>
      </c>
      <c r="H426" s="44" t="str">
        <f t="array" ref="H426">IF(B426="","",_xlfn.XLOOKUP(B426,'Form responses 1'!$B$2:$B$2604,'Form responses 1'!$F$2:$F$2604,""))</f>
        <v>M.2877/SUKARAME II</v>
      </c>
      <c r="I426" s="44" t="str">
        <f t="array" ref="I426">IF(B426="","",_xlfn.XLOOKUP(B426,'Form responses 1'!$B$2:$B$2604,'Form responses 1'!$I$2:$I$2604,""))</f>
        <v>SUKARAME II</v>
      </c>
      <c r="J426" s="44" t="str">
        <f t="array" ref="J426">IF(B426="","",_xlfn.XLOOKUP(B426,'Form responses 1'!$B$2:$B$2604,'Form responses 1'!$G$2:$G$2604,""))</f>
        <v>Baynur</v>
      </c>
      <c r="K426" s="41" t="s">
        <v>587</v>
      </c>
      <c r="L426" s="52">
        <f t="shared" si="7"/>
        <v>45594.70732</v>
      </c>
      <c r="M426" s="47" t="s">
        <v>5214</v>
      </c>
      <c r="N426" s="49"/>
      <c r="O426" s="49"/>
      <c r="P426" s="49"/>
      <c r="Q426" s="49"/>
      <c r="R426" s="49"/>
      <c r="S426" s="49"/>
      <c r="T426" s="49"/>
      <c r="U426" s="49"/>
      <c r="V426" s="49"/>
      <c r="W426" s="41" t="s">
        <v>618</v>
      </c>
      <c r="X426" s="46">
        <f t="shared" si="5"/>
        <v>45602.39457</v>
      </c>
      <c r="Y426" s="50" t="s">
        <v>482</v>
      </c>
      <c r="Z426" s="49">
        <f t="shared" si="6"/>
        <v>1</v>
      </c>
    </row>
    <row r="427" ht="22.5" customHeight="1">
      <c r="B427" s="41" t="s">
        <v>2437</v>
      </c>
      <c r="C427" s="43">
        <f t="array" ref="C427">IF(B427="","",_xlfn.XLOOKUP(B427,'Form responses 1'!$B$2:$B$2604,'Form responses 1'!$A$2:$A$2604,""))</f>
        <v>45593.57287</v>
      </c>
      <c r="D427" s="44" t="str">
        <f t="shared" si="3"/>
        <v>L/32/281024/1_45593.5728723032</v>
      </c>
      <c r="E427" s="44" t="str">
        <f t="array" ref="E427">IF(B427="","",_xlfn.XLOOKUP(B427,'Form responses 1'!$B$2:$B$2604,'Form responses 1'!$C$2:$C$2604,""))</f>
        <v>MIDUK SIANTURI</v>
      </c>
      <c r="F427" s="44" t="str">
        <f t="array" ref="F427">IF(B427="","",_xlfn.XLOOKUP(B427,'Form responses 1'!$B$2:$B$2604,'Form responses 1'!$D$2:$D$2604,""))</f>
        <v>081377797875</v>
      </c>
      <c r="G427" s="44" t="str">
        <f t="array" ref="G427">IF(B427="","",_xlfn.XLOOKUP(B427,'Form responses 1'!$B$2:$B$2604,'Form responses 1'!$E$2:$E$2604,""))</f>
        <v>PERUBAHAN HAK</v>
      </c>
      <c r="H427" s="44" t="str">
        <f t="array" ref="H427">IF(B427="","",_xlfn.XLOOKUP(B427,'Form responses 1'!$B$2:$B$2604,'Form responses 1'!$F$2:$F$2604,""))</f>
        <v>B.244/LRR;B.28/LR-DAHULU</v>
      </c>
      <c r="I427" s="44" t="str">
        <f t="array" ref="I427">IF(B427="","",_xlfn.XLOOKUP(B427,'Form responses 1'!$B$2:$B$2604,'Form responses 1'!$I$2:$I$2604,""))</f>
        <v>LABUHAN RATU RAYA</v>
      </c>
      <c r="J427" s="44" t="str">
        <f t="array" ref="J427">IF(B427="","",_xlfn.XLOOKUP(B427,'Form responses 1'!$B$2:$B$2604,'Form responses 1'!$G$2:$G$2604,""))</f>
        <v>Nuraini</v>
      </c>
      <c r="K427" s="41" t="s">
        <v>2421</v>
      </c>
      <c r="L427" s="52">
        <f t="shared" si="7"/>
        <v>45594.70756</v>
      </c>
      <c r="M427" s="47" t="s">
        <v>5425</v>
      </c>
      <c r="N427" s="49"/>
      <c r="O427" s="49"/>
      <c r="P427" s="49"/>
      <c r="Q427" s="49"/>
      <c r="R427" s="49"/>
      <c r="S427" s="49"/>
      <c r="T427" s="49"/>
      <c r="U427" s="49"/>
      <c r="V427" s="49"/>
      <c r="W427" s="41" t="s">
        <v>618</v>
      </c>
      <c r="X427" s="46">
        <f t="shared" si="5"/>
        <v>45600.66367</v>
      </c>
      <c r="Y427" s="50" t="s">
        <v>482</v>
      </c>
      <c r="Z427" s="49">
        <f t="shared" si="6"/>
        <v>1</v>
      </c>
      <c r="AA427" s="4" t="s">
        <v>5437</v>
      </c>
    </row>
    <row r="428" ht="22.5" customHeight="1">
      <c r="B428" s="41" t="s">
        <v>2205</v>
      </c>
      <c r="C428" s="43">
        <f t="array" ref="C428">IF(B428="","",_xlfn.XLOOKUP(B428,'Form responses 1'!$B$2:$B$2604,'Form responses 1'!$A$2:$A$2604,""))</f>
        <v>45590.57345</v>
      </c>
      <c r="D428" s="44" t="str">
        <f t="shared" si="3"/>
        <v>K/33/251024/1_45590.5734482176</v>
      </c>
      <c r="E428" s="44" t="str">
        <f t="array" ref="E428">IF(B428="","",_xlfn.XLOOKUP(B428,'Form responses 1'!$B$2:$B$2604,'Form responses 1'!$C$2:$C$2604,""))</f>
        <v>DINI MAYSURI SIBRON/M. FAJAR DIFITRI</v>
      </c>
      <c r="F428" s="44" t="str">
        <f t="array" ref="F428">IF(B428="","",_xlfn.XLOOKUP(B428,'Form responses 1'!$B$2:$B$2604,'Form responses 1'!$D$2:$D$2604,""))</f>
        <v>0821-8241-4776</v>
      </c>
      <c r="G428" s="44" t="str">
        <f t="array" ref="G428">IF(B428="","",_xlfn.XLOOKUP(B428,'Form responses 1'!$B$2:$B$2604,'Form responses 1'!$E$2:$E$2604,""))</f>
        <v>PTPGT PEMECAHAN</v>
      </c>
      <c r="H428" s="44" t="str">
        <f t="array" ref="H428">IF(B428="","",_xlfn.XLOOKUP(B428,'Form responses 1'!$B$2:$B$2604,'Form responses 1'!$F$2:$F$2604,""))</f>
        <v>NIBEL M.2482/KOTA BARU </v>
      </c>
      <c r="I428" s="44" t="str">
        <f t="array" ref="I428">IF(B428="","",_xlfn.XLOOKUP(B428,'Form responses 1'!$B$2:$B$2604,'Form responses 1'!$I$2:$I$2604,""))</f>
        <v>KOTA BARU </v>
      </c>
      <c r="J428" s="44" t="str">
        <f t="array" ref="J428">IF(B428="","",_xlfn.XLOOKUP(B428,'Form responses 1'!$B$2:$B$2604,'Form responses 1'!$G$2:$G$2604,""))</f>
        <v>Baynur</v>
      </c>
      <c r="K428" s="41" t="s">
        <v>587</v>
      </c>
      <c r="L428" s="52">
        <f t="shared" si="7"/>
        <v>45595.32892</v>
      </c>
      <c r="M428" s="47" t="s">
        <v>5221</v>
      </c>
      <c r="N428" s="49"/>
      <c r="O428" s="49"/>
      <c r="P428" s="49"/>
      <c r="Q428" s="49"/>
      <c r="R428" s="49"/>
      <c r="S428" s="49"/>
      <c r="T428" s="49"/>
      <c r="U428" s="49"/>
      <c r="V428" s="49"/>
      <c r="W428" s="41" t="s">
        <v>618</v>
      </c>
      <c r="X428" s="46">
        <f t="shared" si="5"/>
        <v>45595.329</v>
      </c>
      <c r="Y428" s="50" t="s">
        <v>482</v>
      </c>
      <c r="Z428" s="49">
        <f t="shared" si="6"/>
        <v>1</v>
      </c>
    </row>
    <row r="429" ht="22.5" customHeight="1">
      <c r="B429" s="41" t="s">
        <v>1866</v>
      </c>
      <c r="C429" s="43">
        <f t="array" ref="C429">IF(B429="","",_xlfn.XLOOKUP(B429,'Form responses 1'!$B$2:$B$2604,'Form responses 1'!$A$2:$A$2604,""))</f>
        <v>45589.38778</v>
      </c>
      <c r="D429" s="44" t="str">
        <f t="shared" si="3"/>
        <v>K/3/241024/2_45589.3877827083</v>
      </c>
      <c r="E429" s="44" t="str">
        <f t="array" ref="E429">IF(B429="","",_xlfn.XLOOKUP(B429,'Form responses 1'!$B$2:$B$2604,'Form responses 1'!$C$2:$C$2604,""))</f>
        <v>vitta N/ Pepang qq Daniella</v>
      </c>
      <c r="F429" s="44" t="str">
        <f t="array" ref="F429">IF(B429="","",_xlfn.XLOOKUP(B429,'Form responses 1'!$B$2:$B$2604,'Form responses 1'!$D$2:$D$2604,""))</f>
        <v>082181337272</v>
      </c>
      <c r="G429" s="44" t="str">
        <f t="array" ref="G429">IF(B429="","",_xlfn.XLOOKUP(B429,'Form responses 1'!$B$2:$B$2604,'Form responses 1'!$E$2:$E$2604,""))</f>
        <v>BN Jual Beli</v>
      </c>
      <c r="H429" s="44" t="str">
        <f t="array" ref="H429">IF(B429="","",_xlfn.XLOOKUP(B429,'Form responses 1'!$B$2:$B$2604,'Form responses 1'!$F$2:$F$2604,""))</f>
        <v>M. 379/ Kali Balau Kencana</v>
      </c>
      <c r="I429" s="44" t="str">
        <f t="array" ref="I429">IF(B429="","",_xlfn.XLOOKUP(B429,'Form responses 1'!$B$2:$B$2604,'Form responses 1'!$I$2:$I$2604,""))</f>
        <v>Kali Balau Kencana</v>
      </c>
      <c r="J429" s="44" t="str">
        <f t="array" ref="J429">IF(B429="","",_xlfn.XLOOKUP(B429,'Form responses 1'!$B$2:$B$2604,'Form responses 1'!$G$2:$G$2604,""))</f>
        <v>Hananda</v>
      </c>
      <c r="K429" s="41" t="s">
        <v>1233</v>
      </c>
      <c r="L429" s="52">
        <f t="shared" si="7"/>
        <v>45595.37114</v>
      </c>
      <c r="M429" s="49"/>
      <c r="N429" s="49"/>
      <c r="O429" s="49"/>
      <c r="P429" s="49"/>
      <c r="Q429" s="49"/>
      <c r="R429" s="49"/>
      <c r="S429" s="49"/>
      <c r="T429" s="49"/>
      <c r="U429" s="49"/>
      <c r="V429" s="49"/>
      <c r="W429" s="41" t="s">
        <v>618</v>
      </c>
      <c r="X429" s="46">
        <f t="shared" si="5"/>
        <v>45595.37926</v>
      </c>
      <c r="Y429" s="50" t="s">
        <v>482</v>
      </c>
      <c r="Z429" s="49">
        <f t="shared" si="6"/>
        <v>0</v>
      </c>
    </row>
    <row r="430" ht="22.5" customHeight="1">
      <c r="B430" s="41" t="s">
        <v>1903</v>
      </c>
      <c r="C430" s="43">
        <f t="array" ref="C430">IF(B430="","",_xlfn.XLOOKUP(B430,'Form responses 1'!$B$2:$B$2604,'Form responses 1'!$A$2:$A$2604,""))</f>
        <v>45589.42179</v>
      </c>
      <c r="D430" s="44" t="str">
        <f t="shared" si="3"/>
        <v>K/13/241024/2_45589.421791956</v>
      </c>
      <c r="E430" s="44" t="str">
        <f t="array" ref="E430">IF(B430="","",_xlfn.XLOOKUP(B430,'Form responses 1'!$B$2:$B$2604,'Form responses 1'!$C$2:$C$2604,""))</f>
        <v>A Roswantama/ Abdil Hafizh</v>
      </c>
      <c r="F430" s="44" t="str">
        <f t="array" ref="F430">IF(B430="","",_xlfn.XLOOKUP(B430,'Form responses 1'!$B$2:$B$2604,'Form responses 1'!$D$2:$D$2604,""))</f>
        <v>081369488565</v>
      </c>
      <c r="G430" s="44" t="str">
        <f t="array" ref="G430">IF(B430="","",_xlfn.XLOOKUP(B430,'Form responses 1'!$B$2:$B$2604,'Form responses 1'!$E$2:$E$2604,""))</f>
        <v>BN Jual Beli</v>
      </c>
      <c r="H430" s="44" t="str">
        <f t="array" ref="H430">IF(B430="","",_xlfn.XLOOKUP(B430,'Form responses 1'!$B$2:$B$2604,'Form responses 1'!$F$2:$F$2604,""))</f>
        <v>M. 1832/ Sumberrejo sejahtera-sekarang; M.1090/ Sumberrejo Dahulu</v>
      </c>
      <c r="I430" s="44" t="str">
        <f t="array" ref="I430">IF(B430="","",_xlfn.XLOOKUP(B430,'Form responses 1'!$B$2:$B$2604,'Form responses 1'!$I$2:$I$2604,""))</f>
        <v>Sumberrejo Sejahtera</v>
      </c>
      <c r="J430" s="44" t="str">
        <f t="array" ref="J430">IF(B430="","",_xlfn.XLOOKUP(B430,'Form responses 1'!$B$2:$B$2604,'Form responses 1'!$G$2:$G$2604,""))</f>
        <v>Hananda</v>
      </c>
      <c r="K430" s="41" t="s">
        <v>1233</v>
      </c>
      <c r="L430" s="52">
        <f t="shared" si="7"/>
        <v>45595.38416</v>
      </c>
      <c r="M430" s="47" t="s">
        <v>5438</v>
      </c>
      <c r="N430" s="49"/>
      <c r="O430" s="49"/>
      <c r="P430" s="49"/>
      <c r="Q430" s="49"/>
      <c r="R430" s="49"/>
      <c r="S430" s="49"/>
      <c r="T430" s="49"/>
      <c r="U430" s="49"/>
      <c r="V430" s="49"/>
      <c r="W430" s="41" t="s">
        <v>618</v>
      </c>
      <c r="X430" s="46">
        <f t="shared" si="5"/>
        <v>45607.37303</v>
      </c>
      <c r="Y430" s="50" t="s">
        <v>482</v>
      </c>
      <c r="Z430" s="49">
        <f t="shared" si="6"/>
        <v>1</v>
      </c>
    </row>
    <row r="431" ht="22.5" customHeight="1">
      <c r="B431" s="41" t="s">
        <v>1936</v>
      </c>
      <c r="C431" s="43">
        <f t="array" ref="C431">IF(B431="","",_xlfn.XLOOKUP(B431,'Form responses 1'!$B$2:$B$2604,'Form responses 1'!$A$2:$A$2604,""))</f>
        <v>45589.47437</v>
      </c>
      <c r="D431" s="44" t="str">
        <f t="shared" si="3"/>
        <v>K/21/241024/1_45589.474373206</v>
      </c>
      <c r="E431" s="44" t="str">
        <f t="array" ref="E431">IF(B431="","",_xlfn.XLOOKUP(B431,'Form responses 1'!$B$2:$B$2604,'Form responses 1'!$C$2:$C$2604,""))</f>
        <v>Rahmadiyanti/ Ganda</v>
      </c>
      <c r="F431" s="44" t="str">
        <f t="array" ref="F431">IF(B431="","",_xlfn.XLOOKUP(B431,'Form responses 1'!$B$2:$B$2604,'Form responses 1'!$D$2:$D$2604,""))</f>
        <v>+62 821-8209-0051</v>
      </c>
      <c r="G431" s="44" t="str">
        <f t="array" ref="G431">IF(B431="","",_xlfn.XLOOKUP(B431,'Form responses 1'!$B$2:$B$2604,'Form responses 1'!$E$2:$E$2604,""))</f>
        <v>BN Jual Beli</v>
      </c>
      <c r="H431" s="44" t="str">
        <f t="array" ref="H431">IF(B431="","",_xlfn.XLOOKUP(B431,'Form responses 1'!$B$2:$B$2604,'Form responses 1'!$F$2:$F$2604,""))</f>
        <v>M. 217/ Bilabong Jaya-sekarang; M.880/ susunan Baru-dahulu</v>
      </c>
      <c r="I431" s="44" t="str">
        <f t="array" ref="I431">IF(B431="","",_xlfn.XLOOKUP(B431,'Form responses 1'!$B$2:$B$2604,'Form responses 1'!$I$2:$I$2604,""))</f>
        <v> Bilabong Jaya</v>
      </c>
      <c r="J431" s="44" t="str">
        <f t="array" ref="J431">IF(B431="","",_xlfn.XLOOKUP(B431,'Form responses 1'!$B$2:$B$2604,'Form responses 1'!$G$2:$G$2604,""))</f>
        <v>Hananda</v>
      </c>
      <c r="K431" s="41" t="s">
        <v>1233</v>
      </c>
      <c r="L431" s="52">
        <f t="shared" si="7"/>
        <v>45595.40089</v>
      </c>
      <c r="M431" s="49"/>
      <c r="N431" s="49"/>
      <c r="O431" s="49"/>
      <c r="P431" s="49"/>
      <c r="Q431" s="49"/>
      <c r="R431" s="49"/>
      <c r="S431" s="49"/>
      <c r="T431" s="49"/>
      <c r="U431" s="49"/>
      <c r="V431" s="49"/>
      <c r="W431" s="41" t="s">
        <v>618</v>
      </c>
      <c r="X431" s="46">
        <f t="shared" si="5"/>
        <v>45595.40097</v>
      </c>
      <c r="Y431" s="50" t="s">
        <v>482</v>
      </c>
      <c r="Z431" s="49">
        <f t="shared" si="6"/>
        <v>0</v>
      </c>
    </row>
    <row r="432" ht="22.5" customHeight="1">
      <c r="B432" s="41" t="s">
        <v>2067</v>
      </c>
      <c r="C432" s="43">
        <f t="array" ref="C432">IF(B432="","",_xlfn.XLOOKUP(B432,'Form responses 1'!$B$2:$B$2604,'Form responses 1'!$A$2:$A$2604,""))</f>
        <v>45589.62894</v>
      </c>
      <c r="D432" s="44" t="str">
        <f t="shared" si="3"/>
        <v>K/52/241024/1_45589.628941875</v>
      </c>
      <c r="E432" s="44" t="str">
        <f t="array" ref="E432">IF(B432="","",_xlfn.XLOOKUP(B432,'Form responses 1'!$B$2:$B$2604,'Form responses 1'!$C$2:$C$2604,""))</f>
        <v>BAMBANG PURWANTO/I MADE RETUG</v>
      </c>
      <c r="F432" s="44" t="str">
        <f t="array" ref="F432">IF(B432="","",_xlfn.XLOOKUP(B432,'Form responses 1'!$B$2:$B$2604,'Form responses 1'!$D$2:$D$2604,""))</f>
        <v>0853-8479-7293</v>
      </c>
      <c r="G432" s="44" t="str">
        <f t="array" ref="G432">IF(B432="","",_xlfn.XLOOKUP(B432,'Form responses 1'!$B$2:$B$2604,'Form responses 1'!$E$2:$E$2604,""))</f>
        <v>BN JUAL BELI</v>
      </c>
      <c r="H432" s="44" t="str">
        <f t="array" ref="H432">IF(B432="","",_xlfn.XLOOKUP(B432,'Form responses 1'!$B$2:$B$2604,'Form responses 1'!$F$2:$F$2604,""))</f>
        <v>M.221/BILABONG JAYA</v>
      </c>
      <c r="I432" s="44" t="str">
        <f t="array" ref="I432">IF(B432="","",_xlfn.XLOOKUP(B432,'Form responses 1'!$B$2:$B$2604,'Form responses 1'!$I$2:$I$2604,""))</f>
        <v>BILABONG JAYA</v>
      </c>
      <c r="J432" s="44" t="str">
        <f t="array" ref="J432">IF(B432="","",_xlfn.XLOOKUP(B432,'Form responses 1'!$B$2:$B$2604,'Form responses 1'!$G$2:$G$2604,""))</f>
        <v>Baynur</v>
      </c>
      <c r="K432" s="41" t="s">
        <v>1233</v>
      </c>
      <c r="L432" s="52">
        <f t="shared" si="7"/>
        <v>45595.40161</v>
      </c>
      <c r="M432" s="49"/>
      <c r="N432" s="49"/>
      <c r="O432" s="49"/>
      <c r="P432" s="49"/>
      <c r="Q432" s="49"/>
      <c r="R432" s="49"/>
      <c r="S432" s="49"/>
      <c r="T432" s="49"/>
      <c r="U432" s="49"/>
      <c r="V432" s="49"/>
      <c r="W432" s="41" t="s">
        <v>618</v>
      </c>
      <c r="X432" s="46">
        <f t="shared" si="5"/>
        <v>45595.41733</v>
      </c>
      <c r="Y432" s="50" t="s">
        <v>482</v>
      </c>
      <c r="Z432" s="49">
        <f t="shared" si="6"/>
        <v>0</v>
      </c>
    </row>
    <row r="433" ht="22.5" customHeight="1">
      <c r="B433" s="41" t="s">
        <v>2030</v>
      </c>
      <c r="C433" s="43">
        <f t="array" ref="C433">IF(B433="","",_xlfn.XLOOKUP(B433,'Form responses 1'!$B$2:$B$2604,'Form responses 1'!$A$2:$A$2604,""))</f>
        <v>45589.60622</v>
      </c>
      <c r="D433" s="44" t="str">
        <f t="shared" si="3"/>
        <v>K/42/241024/2_45589.6062218056</v>
      </c>
      <c r="E433" s="44" t="str">
        <f t="array" ref="E433">IF(B433="","",_xlfn.XLOOKUP(B433,'Form responses 1'!$B$2:$B$2604,'Form responses 1'!$C$2:$C$2604,""))</f>
        <v>Budi K/ Roby Ronaldo</v>
      </c>
      <c r="F433" s="44" t="str">
        <f t="array" ref="F433">IF(B433="","",_xlfn.XLOOKUP(B433,'Form responses 1'!$B$2:$B$2604,'Form responses 1'!$D$2:$D$2604,""))</f>
        <v>082183123047</v>
      </c>
      <c r="G433" s="44" t="str">
        <f t="array" ref="G433">IF(B433="","",_xlfn.XLOOKUP(B433,'Form responses 1'!$B$2:$B$2604,'Form responses 1'!$E$2:$E$2604,""))</f>
        <v>BN Waris</v>
      </c>
      <c r="H433" s="44" t="str">
        <f t="array" ref="H433">IF(B433="","",_xlfn.XLOOKUP(B433,'Form responses 1'!$B$2:$B$2604,'Form responses 1'!$F$2:$F$2604,""))</f>
        <v>HMASRS/ 178/ I/MASRS/Tanjungkarang</v>
      </c>
      <c r="I433" s="44" t="str">
        <f t="array" ref="I433">IF(B433="","",_xlfn.XLOOKUP(B433,'Form responses 1'!$B$2:$B$2604,'Form responses 1'!$I$2:$I$2604,""))</f>
        <v>Tanjungkarang</v>
      </c>
      <c r="J433" s="44" t="str">
        <f t="array" ref="J433">IF(B433="","",_xlfn.XLOOKUP(B433,'Form responses 1'!$B$2:$B$2604,'Form responses 1'!$G$2:$G$2604,""))</f>
        <v>Hananda</v>
      </c>
      <c r="K433" s="41" t="s">
        <v>1233</v>
      </c>
      <c r="L433" s="52">
        <f t="shared" si="7"/>
        <v>45595.41722</v>
      </c>
      <c r="M433" s="47" t="s">
        <v>5439</v>
      </c>
      <c r="N433" s="49"/>
      <c r="O433" s="49"/>
      <c r="P433" s="49"/>
      <c r="Q433" s="49"/>
      <c r="R433" s="49"/>
      <c r="S433" s="49"/>
      <c r="T433" s="49"/>
      <c r="U433" s="49"/>
      <c r="V433" s="49"/>
      <c r="W433" s="41" t="s">
        <v>618</v>
      </c>
      <c r="X433" s="46">
        <f t="shared" si="5"/>
        <v>45607.37423</v>
      </c>
      <c r="Y433" s="50" t="s">
        <v>482</v>
      </c>
      <c r="Z433" s="49">
        <f t="shared" si="6"/>
        <v>1</v>
      </c>
    </row>
    <row r="434" ht="22.5" customHeight="1">
      <c r="B434" s="41" t="s">
        <v>1586</v>
      </c>
      <c r="C434" s="43">
        <f t="array" ref="C434">IF(B434="","",_xlfn.XLOOKUP(B434,'Form responses 1'!$B$2:$B$2604,'Form responses 1'!$A$2:$A$2604,""))</f>
        <v>45587.60553</v>
      </c>
      <c r="D434" s="44" t="str">
        <f t="shared" si="3"/>
        <v>K/48/221024/1_45587.6055335648</v>
      </c>
      <c r="E434" s="44" t="str">
        <f t="array" ref="E434">IF(B434="","",_xlfn.XLOOKUP(B434,'Form responses 1'!$B$2:$B$2604,'Form responses 1'!$C$2:$C$2604,""))</f>
        <v>TERESIA OLIVIA OENNUS/MAYA AYUNINGTIAS</v>
      </c>
      <c r="F434" s="44" t="str">
        <f t="array" ref="F434">IF(B434="","",_xlfn.XLOOKUP(B434,'Form responses 1'!$B$2:$B$2604,'Form responses 1'!$D$2:$D$2604,""))</f>
        <v>0813-6999-9971</v>
      </c>
      <c r="G434" s="44" t="str">
        <f t="array" ref="G434">IF(B434="","",_xlfn.XLOOKUP(B434,'Form responses 1'!$B$2:$B$2604,'Form responses 1'!$E$2:$E$2604,""))</f>
        <v>PERALIHAN JUAL BELI</v>
      </c>
      <c r="H434" s="44" t="str">
        <f t="array" ref="H434">IF(B434="","",_xlfn.XLOOKUP(B434,'Form responses 1'!$B$2:$B$2604,'Form responses 1'!$F$2:$F$2604,""))</f>
        <v>B.578/KEMILING PERMAI</v>
      </c>
      <c r="I434" s="44" t="str">
        <f t="array" ref="I434">IF(B434="","",_xlfn.XLOOKUP(B434,'Form responses 1'!$B$2:$B$2604,'Form responses 1'!$I$2:$I$2604,""))</f>
        <v>KEMILING PERMAI</v>
      </c>
      <c r="J434" s="44" t="str">
        <f t="array" ref="J434">IF(B434="","",_xlfn.XLOOKUP(B434,'Form responses 1'!$B$2:$B$2604,'Form responses 1'!$G$2:$G$2604,""))</f>
        <v>Baynur</v>
      </c>
      <c r="K434" s="41" t="s">
        <v>1233</v>
      </c>
      <c r="L434" s="52">
        <f t="shared" si="7"/>
        <v>45595.43102</v>
      </c>
      <c r="M434" s="47"/>
      <c r="N434" s="47"/>
      <c r="O434" s="49"/>
      <c r="P434" s="49"/>
      <c r="Q434" s="49"/>
      <c r="R434" s="49"/>
      <c r="S434" s="49"/>
      <c r="T434" s="49"/>
      <c r="U434" s="49"/>
      <c r="V434" s="49"/>
      <c r="W434" s="41" t="s">
        <v>618</v>
      </c>
      <c r="X434" s="46">
        <f t="shared" si="5"/>
        <v>45595.47944</v>
      </c>
      <c r="Y434" s="50" t="s">
        <v>482</v>
      </c>
      <c r="Z434" s="49">
        <f t="shared" si="6"/>
        <v>0</v>
      </c>
    </row>
    <row r="435" ht="22.5" customHeight="1">
      <c r="B435" s="41" t="s">
        <v>2344</v>
      </c>
      <c r="C435" s="43">
        <f t="array" ref="C435">IF(B435="","",_xlfn.XLOOKUP(B435,'Form responses 1'!$B$2:$B$2604,'Form responses 1'!$A$2:$A$2604,""))</f>
        <v>45593.40304</v>
      </c>
      <c r="D435" s="44" t="str">
        <f t="shared" si="3"/>
        <v>K/8/281024/1_45593.4030427546</v>
      </c>
      <c r="E435" s="44" t="str">
        <f t="array" ref="E435">IF(B435="","",_xlfn.XLOOKUP(B435,'Form responses 1'!$B$2:$B$2604,'Form responses 1'!$C$2:$C$2604,""))</f>
        <v>Hendri Irawan/ Rachmat Mulyadi</v>
      </c>
      <c r="F435" s="44" t="str">
        <f t="array" ref="F435">IF(B435="","",_xlfn.XLOOKUP(B435,'Form responses 1'!$B$2:$B$2604,'Form responses 1'!$D$2:$D$2604,""))</f>
        <v>089631160111</v>
      </c>
      <c r="G435" s="44" t="str">
        <f t="array" ref="G435">IF(B435="","",_xlfn.XLOOKUP(B435,'Form responses 1'!$B$2:$B$2604,'Form responses 1'!$E$2:$E$2604,""))</f>
        <v>PTPGT Pemecahan</v>
      </c>
      <c r="H435" s="44" t="str">
        <f t="array" ref="H435">IF(B435="","",_xlfn.XLOOKUP(B435,'Form responses 1'!$B$2:$B$2604,'Form responses 1'!$F$2:$F$2604,""))</f>
        <v>M. 3464/ Gunung Terang</v>
      </c>
      <c r="I435" s="44" t="str">
        <f t="array" ref="I435">IF(B435="","",_xlfn.XLOOKUP(B435,'Form responses 1'!$B$2:$B$2604,'Form responses 1'!$I$2:$I$2604,""))</f>
        <v>Gunung Terang</v>
      </c>
      <c r="J435" s="44" t="str">
        <f t="array" ref="J435">IF(B435="","",_xlfn.XLOOKUP(B435,'Form responses 1'!$B$2:$B$2604,'Form responses 1'!$G$2:$G$2604,""))</f>
        <v>Hananda</v>
      </c>
      <c r="K435" s="41" t="s">
        <v>1233</v>
      </c>
      <c r="L435" s="52">
        <f t="shared" si="7"/>
        <v>45595.43389</v>
      </c>
      <c r="M435" s="49"/>
      <c r="N435" s="49"/>
      <c r="O435" s="49"/>
      <c r="P435" s="49"/>
      <c r="Q435" s="49"/>
      <c r="R435" s="49"/>
      <c r="S435" s="49"/>
      <c r="T435" s="49"/>
      <c r="U435" s="49"/>
      <c r="V435" s="49"/>
      <c r="W435" s="41" t="s">
        <v>618</v>
      </c>
      <c r="X435" s="46">
        <f t="shared" si="5"/>
        <v>45595.43888</v>
      </c>
      <c r="Y435" s="50" t="s">
        <v>482</v>
      </c>
      <c r="Z435" s="49">
        <f t="shared" si="6"/>
        <v>0</v>
      </c>
    </row>
    <row r="436" ht="22.5" customHeight="1">
      <c r="B436" s="41" t="s">
        <v>2376</v>
      </c>
      <c r="C436" s="43">
        <f t="array" ref="C436">IF(B436="","",_xlfn.XLOOKUP(B436,'Form responses 1'!$B$2:$B$2604,'Form responses 1'!$A$2:$A$2604,""))</f>
        <v>45593.42812</v>
      </c>
      <c r="D436" s="44" t="str">
        <f t="shared" si="3"/>
        <v>K/17/281024/1_45593.428121169</v>
      </c>
      <c r="E436" s="44" t="str">
        <f t="array" ref="E436">IF(B436="","",_xlfn.XLOOKUP(B436,'Form responses 1'!$B$2:$B$2604,'Form responses 1'!$C$2:$C$2604,""))</f>
        <v>Effendi. M Satam</v>
      </c>
      <c r="F436" s="44" t="str">
        <f t="array" ref="F436">IF(B436="","",_xlfn.XLOOKUP(B436,'Form responses 1'!$B$2:$B$2604,'Form responses 1'!$D$2:$D$2604,""))</f>
        <v>085384417903</v>
      </c>
      <c r="G436" s="44" t="str">
        <f t="array" ref="G436">IF(B436="","",_xlfn.XLOOKUP(B436,'Form responses 1'!$B$2:$B$2604,'Form responses 1'!$E$2:$E$2604,""))</f>
        <v>S. Hilang</v>
      </c>
      <c r="H436" s="44" t="str">
        <f t="array" ref="H436">IF(B436="","",_xlfn.XLOOKUP(B436,'Form responses 1'!$B$2:$B$2604,'Form responses 1'!$F$2:$F$2604,""))</f>
        <v>M. 1597/ Gedong Air</v>
      </c>
      <c r="I436" s="44" t="str">
        <f t="array" ref="I436">IF(B436="","",_xlfn.XLOOKUP(B436,'Form responses 1'!$B$2:$B$2604,'Form responses 1'!$I$2:$I$2604,""))</f>
        <v>Gedong Air</v>
      </c>
      <c r="J436" s="44" t="str">
        <f t="array" ref="J436">IF(B436="","",_xlfn.XLOOKUP(B436,'Form responses 1'!$B$2:$B$2604,'Form responses 1'!$G$2:$G$2604,""))</f>
        <v>Rapita</v>
      </c>
      <c r="K436" s="41" t="s">
        <v>1233</v>
      </c>
      <c r="L436" s="52">
        <f t="shared" si="7"/>
        <v>45595.44468</v>
      </c>
      <c r="M436" s="47" t="s">
        <v>5420</v>
      </c>
      <c r="N436" s="49"/>
      <c r="O436" s="49"/>
      <c r="P436" s="49"/>
      <c r="Q436" s="49"/>
      <c r="R436" s="49"/>
      <c r="S436" s="49"/>
      <c r="T436" s="49"/>
      <c r="U436" s="49"/>
      <c r="V436" s="49"/>
      <c r="W436" s="41" t="s">
        <v>618</v>
      </c>
      <c r="X436" s="46">
        <f t="shared" si="5"/>
        <v>45604.38809</v>
      </c>
      <c r="Y436" s="50" t="s">
        <v>482</v>
      </c>
      <c r="Z436" s="49">
        <f t="shared" si="6"/>
        <v>1</v>
      </c>
    </row>
    <row r="437" ht="22.5" customHeight="1">
      <c r="B437" s="41" t="s">
        <v>2381</v>
      </c>
      <c r="C437" s="43">
        <f t="array" ref="C437">IF(B437="","",_xlfn.XLOOKUP(B437,'Form responses 1'!$B$2:$B$2604,'Form responses 1'!$A$2:$A$2604,""))</f>
        <v>45593.42998</v>
      </c>
      <c r="D437" s="44" t="str">
        <f t="shared" si="3"/>
        <v>K/15/281024/1_45593.4299834607</v>
      </c>
      <c r="E437" s="44" t="str">
        <f t="array" ref="E437">IF(B437="","",_xlfn.XLOOKUP(B437,'Form responses 1'!$B$2:$B$2604,'Form responses 1'!$C$2:$C$2604,""))</f>
        <v>ANNA P/ RISMAN CS</v>
      </c>
      <c r="F437" s="44" t="str">
        <f t="array" ref="F437">IF(B437="","",_xlfn.XLOOKUP(B437,'Form responses 1'!$B$2:$B$2604,'Form responses 1'!$D$2:$D$2604,""))</f>
        <v>082279206650</v>
      </c>
      <c r="G437" s="44" t="str">
        <f t="array" ref="G437">IF(B437="","",_xlfn.XLOOKUP(B437,'Form responses 1'!$B$2:$B$2604,'Form responses 1'!$E$2:$E$2604,""))</f>
        <v>BN WARIS</v>
      </c>
      <c r="H437" s="44" t="str">
        <f t="array" ref="H437">IF(B437="","",_xlfn.XLOOKUP(B437,'Form responses 1'!$B$2:$B$2604,'Form responses 1'!$F$2:$F$2604,""))</f>
        <v>M. 9417/ Sidodadi</v>
      </c>
      <c r="I437" s="44" t="str">
        <f t="array" ref="I437">IF(B437="","",_xlfn.XLOOKUP(B437,'Form responses 1'!$B$2:$B$2604,'Form responses 1'!$I$2:$I$2604,""))</f>
        <v>Sidodadi</v>
      </c>
      <c r="J437" s="44" t="str">
        <f t="array" ref="J437">IF(B437="","",_xlfn.XLOOKUP(B437,'Form responses 1'!$B$2:$B$2604,'Form responses 1'!$G$2:$G$2604,""))</f>
        <v>Hananda</v>
      </c>
      <c r="K437" s="41" t="s">
        <v>1233</v>
      </c>
      <c r="L437" s="52">
        <f t="shared" si="7"/>
        <v>45595.45411</v>
      </c>
      <c r="M437" s="47" t="s">
        <v>5440</v>
      </c>
      <c r="N437" s="49"/>
      <c r="O437" s="49"/>
      <c r="P437" s="49"/>
      <c r="Q437" s="49"/>
      <c r="R437" s="49"/>
      <c r="S437" s="49"/>
      <c r="T437" s="49"/>
      <c r="U437" s="49"/>
      <c r="V437" s="49"/>
      <c r="W437" s="41" t="s">
        <v>618</v>
      </c>
      <c r="X437" s="46">
        <f t="shared" si="5"/>
        <v>45603.47508</v>
      </c>
      <c r="Y437" s="50" t="s">
        <v>482</v>
      </c>
      <c r="Z437" s="49">
        <f t="shared" si="6"/>
        <v>1</v>
      </c>
      <c r="AA437" s="4" t="s">
        <v>5441</v>
      </c>
    </row>
    <row r="438" ht="22.5" customHeight="1">
      <c r="B438" s="41" t="s">
        <v>2359</v>
      </c>
      <c r="C438" s="43">
        <f t="array" ref="C438">IF(B438="","",_xlfn.XLOOKUP(B438,'Form responses 1'!$B$2:$B$2604,'Form responses 1'!$A$2:$A$2604,""))</f>
        <v>45593.41615</v>
      </c>
      <c r="D438" s="44" t="str">
        <f t="shared" si="3"/>
        <v>K/13/281024/1_45593.4161488657</v>
      </c>
      <c r="E438" s="44" t="str">
        <f t="array" ref="E438">IF(B438="","",_xlfn.XLOOKUP(B438,'Form responses 1'!$B$2:$B$2604,'Form responses 1'!$C$2:$C$2604,""))</f>
        <v>Nur Hayati/ Herni Sutedja</v>
      </c>
      <c r="F438" s="44" t="str">
        <f t="array" ref="F438">IF(B438="","",_xlfn.XLOOKUP(B438,'Form responses 1'!$B$2:$B$2604,'Form responses 1'!$D$2:$D$2604,""))</f>
        <v>08117222871</v>
      </c>
      <c r="G438" s="44" t="str">
        <f t="array" ref="G438">IF(B438="","",_xlfn.XLOOKUP(B438,'Form responses 1'!$B$2:$B$2604,'Form responses 1'!$E$2:$E$2604,""))</f>
        <v>Roya</v>
      </c>
      <c r="H438" s="44" t="str">
        <f t="array" ref="H438">IF(B438="","",_xlfn.XLOOKUP(B438,'Form responses 1'!$B$2:$B$2604,'Form responses 1'!$F$2:$F$2604,""))</f>
        <v>M. 1317/ Kupang Teba</v>
      </c>
      <c r="I438" s="44" t="str">
        <f t="array" ref="I438">IF(B438="","",_xlfn.XLOOKUP(B438,'Form responses 1'!$B$2:$B$2604,'Form responses 1'!$I$2:$I$2604,""))</f>
        <v>Kupang Teba</v>
      </c>
      <c r="J438" s="44" t="str">
        <f t="array" ref="J438">IF(B438="","",_xlfn.XLOOKUP(B438,'Form responses 1'!$B$2:$B$2604,'Form responses 1'!$G$2:$G$2604,""))</f>
        <v>Hananda</v>
      </c>
      <c r="K438" s="41" t="s">
        <v>1233</v>
      </c>
      <c r="L438" s="52">
        <f t="shared" si="7"/>
        <v>45595.48361</v>
      </c>
      <c r="M438" s="47" t="s">
        <v>5442</v>
      </c>
      <c r="N438" s="49"/>
      <c r="O438" s="49"/>
      <c r="P438" s="49"/>
      <c r="Q438" s="49"/>
      <c r="R438" s="49"/>
      <c r="S438" s="49"/>
      <c r="T438" s="49"/>
      <c r="U438" s="49"/>
      <c r="V438" s="49"/>
      <c r="W438" s="41" t="s">
        <v>618</v>
      </c>
      <c r="X438" s="46">
        <f t="shared" si="5"/>
        <v>45596.66541</v>
      </c>
      <c r="Y438" s="50" t="s">
        <v>482</v>
      </c>
      <c r="Z438" s="49">
        <f t="shared" si="6"/>
        <v>1</v>
      </c>
    </row>
    <row r="439" ht="22.5" customHeight="1">
      <c r="B439" s="41" t="s">
        <v>2398</v>
      </c>
      <c r="C439" s="43">
        <f t="array" ref="C439">IF(B439="","",_xlfn.XLOOKUP(B439,'Form responses 1'!$B$2:$B$2604,'Form responses 1'!$A$2:$A$2604,""))</f>
        <v>45593.4557</v>
      </c>
      <c r="D439" s="44" t="str">
        <f t="shared" si="3"/>
        <v>L/22/281024/1_45593.4557034954</v>
      </c>
      <c r="E439" s="44" t="str">
        <f t="array" ref="E439">IF(B439="","",_xlfn.XLOOKUP(B439,'Form responses 1'!$B$2:$B$2604,'Form responses 1'!$C$2:$C$2604,""))</f>
        <v>SLAMET PUROYO</v>
      </c>
      <c r="F439" s="44" t="str">
        <f t="array" ref="F439">IF(B439="","",_xlfn.XLOOKUP(B439,'Form responses 1'!$B$2:$B$2604,'Form responses 1'!$D$2:$D$2604,""))</f>
        <v>081379370009</v>
      </c>
      <c r="G439" s="44" t="str">
        <f t="array" ref="G439">IF(B439="","",_xlfn.XLOOKUP(B439,'Form responses 1'!$B$2:$B$2604,'Form responses 1'!$E$2:$E$2604,""))</f>
        <v>PH</v>
      </c>
      <c r="H439" s="44" t="str">
        <f t="array" ref="H439">IF(B439="","",_xlfn.XLOOKUP(B439,'Form responses 1'!$B$2:$B$2604,'Form responses 1'!$F$2:$F$2604,""))</f>
        <v>HGB 3734/BERINGIN RAYA</v>
      </c>
      <c r="I439" s="44" t="str">
        <f t="array" ref="I439">IF(B439="","",_xlfn.XLOOKUP(B439,'Form responses 1'!$B$2:$B$2604,'Form responses 1'!$I$2:$I$2604,""))</f>
        <v>BERIGNIN RAYA</v>
      </c>
      <c r="J439" s="44" t="str">
        <f t="array" ref="J439">IF(B439="","",_xlfn.XLOOKUP(B439,'Form responses 1'!$B$2:$B$2604,'Form responses 1'!$G$2:$G$2604,""))</f>
        <v>Deby</v>
      </c>
      <c r="K439" s="41" t="s">
        <v>2875</v>
      </c>
      <c r="L439" s="52">
        <f t="shared" si="7"/>
        <v>45595.50864</v>
      </c>
      <c r="M439" s="49"/>
      <c r="N439" s="49"/>
      <c r="O439" s="49"/>
      <c r="P439" s="49"/>
      <c r="Q439" s="49"/>
      <c r="R439" s="49"/>
      <c r="S439" s="49"/>
      <c r="T439" s="49"/>
      <c r="U439" s="49"/>
      <c r="V439" s="49"/>
      <c r="W439" s="41" t="s">
        <v>618</v>
      </c>
      <c r="X439" s="46">
        <f t="shared" si="5"/>
        <v>45597.45113</v>
      </c>
      <c r="Y439" s="50" t="s">
        <v>482</v>
      </c>
      <c r="Z439" s="49">
        <f t="shared" si="6"/>
        <v>0</v>
      </c>
    </row>
    <row r="440" ht="22.5" customHeight="1">
      <c r="B440" s="41" t="s">
        <v>2459</v>
      </c>
      <c r="C440" s="43">
        <f t="array" ref="C440">IF(B440="","",_xlfn.XLOOKUP(B440,'Form responses 1'!$B$2:$B$2604,'Form responses 1'!$A$2:$A$2604,""))</f>
        <v>45593.60365</v>
      </c>
      <c r="D440" s="44" t="str">
        <f t="shared" si="3"/>
        <v>K/37/281024/1_45593.6036497107</v>
      </c>
      <c r="E440" s="44" t="str">
        <f t="array" ref="E440">IF(B440="","",_xlfn.XLOOKUP(B440,'Form responses 1'!$B$2:$B$2604,'Form responses 1'!$C$2:$C$2604,""))</f>
        <v>RESTI NUR INDAH O P/ANDRIANTO </v>
      </c>
      <c r="F440" s="44" t="str">
        <f t="array" ref="F440">IF(B440="","",_xlfn.XLOOKUP(B440,'Form responses 1'!$B$2:$B$2604,'Form responses 1'!$D$2:$D$2604,""))</f>
        <v>0813-7389-3119</v>
      </c>
      <c r="G440" s="44" t="str">
        <f t="array" ref="G440">IF(B440="","",_xlfn.XLOOKUP(B440,'Form responses 1'!$B$2:$B$2604,'Form responses 1'!$E$2:$E$2604,""))</f>
        <v>BN JUAL BELI</v>
      </c>
      <c r="H440" s="44" t="str">
        <f t="array" ref="H440">IF(B440="","",_xlfn.XLOOKUP(B440,'Form responses 1'!$B$2:$B$2604,'Form responses 1'!$F$2:$F$2604,""))</f>
        <v>M.1602/BUMI KEDAMAIAN</v>
      </c>
      <c r="I440" s="44" t="str">
        <f t="array" ref="I440">IF(B440="","",_xlfn.XLOOKUP(B440,'Form responses 1'!$B$2:$B$2604,'Form responses 1'!$I$2:$I$2604,""))</f>
        <v>BUMI KEDAMAIAN</v>
      </c>
      <c r="J440" s="44" t="str">
        <f t="array" ref="J440">IF(B440="","",_xlfn.XLOOKUP(B440,'Form responses 1'!$B$2:$B$2604,'Form responses 1'!$G$2:$G$2604,""))</f>
        <v>Baynur</v>
      </c>
      <c r="K440" s="41" t="s">
        <v>2875</v>
      </c>
      <c r="L440" s="52">
        <f t="shared" si="7"/>
        <v>45595.50866</v>
      </c>
      <c r="M440" s="47" t="s">
        <v>5370</v>
      </c>
      <c r="N440" s="49"/>
      <c r="O440" s="49"/>
      <c r="P440" s="49"/>
      <c r="Q440" s="49"/>
      <c r="R440" s="49"/>
      <c r="S440" s="49"/>
      <c r="T440" s="49"/>
      <c r="U440" s="49"/>
      <c r="V440" s="49"/>
      <c r="W440" s="41" t="s">
        <v>618</v>
      </c>
      <c r="X440" s="46">
        <f t="shared" si="5"/>
        <v>45607.42032</v>
      </c>
      <c r="Y440" s="50" t="s">
        <v>482</v>
      </c>
      <c r="Z440" s="49">
        <f t="shared" si="6"/>
        <v>1</v>
      </c>
    </row>
    <row r="441" ht="22.5" customHeight="1">
      <c r="B441" s="41" t="s">
        <v>2291</v>
      </c>
      <c r="C441" s="43">
        <f t="array" ref="C441">IF(B441="","",_xlfn.XLOOKUP(B441,'Form responses 1'!$B$2:$B$2604,'Form responses 1'!$A$2:$A$2604,""))</f>
        <v>45590.66201</v>
      </c>
      <c r="D441" s="44" t="str">
        <f t="shared" si="3"/>
        <v>K/54/251024/1_45590.6620064815</v>
      </c>
      <c r="E441" s="44" t="str">
        <f t="array" ref="E441">IF(B441="","",_xlfn.XLOOKUP(B441,'Form responses 1'!$B$2:$B$2604,'Form responses 1'!$C$2:$C$2604,""))</f>
        <v>LPS/PENI WAHYUDI</v>
      </c>
      <c r="F441" s="44" t="str">
        <f t="array" ref="F441">IF(B441="","",_xlfn.XLOOKUP(B441,'Form responses 1'!$B$2:$B$2604,'Form responses 1'!$D$2:$D$2604,""))</f>
        <v>081211507733</v>
      </c>
      <c r="G441" s="44" t="str">
        <f t="array" ref="G441">IF(B441="","",_xlfn.XLOOKUP(B441,'Form responses 1'!$B$2:$B$2604,'Form responses 1'!$E$2:$E$2604,""))</f>
        <v>SITA</v>
      </c>
      <c r="H441" s="44" t="str">
        <f t="array" ref="H441">IF(B441="","",_xlfn.XLOOKUP(B441,'Form responses 1'!$B$2:$B$2604,'Form responses 1'!$F$2:$F$2604,""))</f>
        <v>M.1393/SUKAJAWA</v>
      </c>
      <c r="I441" s="44" t="str">
        <f t="array" ref="I441">IF(B441="","",_xlfn.XLOOKUP(B441,'Form responses 1'!$B$2:$B$2604,'Form responses 1'!$I$2:$I$2604,""))</f>
        <v>SUKAJAWA</v>
      </c>
      <c r="J441" s="44" t="str">
        <f t="array" ref="J441">IF(B441="","",_xlfn.XLOOKUP(B441,'Form responses 1'!$B$2:$B$2604,'Form responses 1'!$G$2:$G$2604,""))</f>
        <v>Baynur</v>
      </c>
      <c r="K441" s="41" t="s">
        <v>2875</v>
      </c>
      <c r="L441" s="52">
        <f t="shared" si="7"/>
        <v>45595.50867</v>
      </c>
      <c r="M441" s="47" t="s">
        <v>5443</v>
      </c>
      <c r="N441" s="49"/>
      <c r="O441" s="49"/>
      <c r="P441" s="49"/>
      <c r="Q441" s="49"/>
      <c r="R441" s="49"/>
      <c r="S441" s="49"/>
      <c r="T441" s="49"/>
      <c r="U441" s="49"/>
      <c r="V441" s="49"/>
      <c r="W441" s="41" t="s">
        <v>618</v>
      </c>
      <c r="X441" s="46">
        <f t="shared" si="5"/>
        <v>45602.67997</v>
      </c>
      <c r="Y441" s="50" t="s">
        <v>482</v>
      </c>
      <c r="Z441" s="49">
        <f t="shared" si="6"/>
        <v>1</v>
      </c>
    </row>
    <row r="442" ht="22.5" customHeight="1">
      <c r="B442" s="41" t="s">
        <v>2334</v>
      </c>
      <c r="C442" s="43">
        <f t="array" ref="C442">IF(B442="","",_xlfn.XLOOKUP(B442,'Form responses 1'!$B$2:$B$2604,'Form responses 1'!$A$2:$A$2604,""))</f>
        <v>45593.4009</v>
      </c>
      <c r="D442" s="44" t="str">
        <f t="shared" si="3"/>
        <v>K/7/281024/1_45593.4009039236</v>
      </c>
      <c r="E442" s="44" t="str">
        <f t="array" ref="E442">IF(B442="","",_xlfn.XLOOKUP(B442,'Form responses 1'!$B$2:$B$2604,'Form responses 1'!$C$2:$C$2604,""))</f>
        <v>Mahfud/ Alwiyah ALi</v>
      </c>
      <c r="F442" s="44" t="str">
        <f t="array" ref="F442">IF(B442="","",_xlfn.XLOOKUP(B442,'Form responses 1'!$B$2:$B$2604,'Form responses 1'!$D$2:$D$2604,""))</f>
        <v>082309139403</v>
      </c>
      <c r="G442" s="44" t="str">
        <f t="array" ref="G442">IF(B442="","",_xlfn.XLOOKUP(B442,'Form responses 1'!$B$2:$B$2604,'Form responses 1'!$E$2:$E$2604,""))</f>
        <v>BN Hibah</v>
      </c>
      <c r="H442" s="44" t="str">
        <f t="array" ref="H442">IF(B442="","",_xlfn.XLOOKUP(B442,'Form responses 1'!$B$2:$B$2604,'Form responses 1'!$F$2:$F$2604,""))</f>
        <v>Nibel. M. 1226/ Gulak Galik</v>
      </c>
      <c r="I442" s="44" t="str">
        <f t="array" ref="I442">IF(B442="","",_xlfn.XLOOKUP(B442,'Form responses 1'!$B$2:$B$2604,'Form responses 1'!$I$2:$I$2604,""))</f>
        <v>Gulak Galik</v>
      </c>
      <c r="J442" s="44" t="str">
        <f t="array" ref="J442">IF(B442="","",_xlfn.XLOOKUP(B442,'Form responses 1'!$B$2:$B$2604,'Form responses 1'!$G$2:$G$2604,""))</f>
        <v>Rapita</v>
      </c>
      <c r="K442" s="41" t="s">
        <v>2875</v>
      </c>
      <c r="L442" s="52">
        <f t="shared" si="7"/>
        <v>45595.50869</v>
      </c>
      <c r="M442" s="47" t="s">
        <v>5444</v>
      </c>
      <c r="N442" s="47" t="s">
        <v>5445</v>
      </c>
      <c r="O442" s="49"/>
      <c r="P442" s="49"/>
      <c r="Q442" s="49"/>
      <c r="R442" s="49"/>
      <c r="S442" s="49"/>
      <c r="T442" s="49"/>
      <c r="U442" s="49"/>
      <c r="V442" s="49"/>
      <c r="W442" s="41" t="s">
        <v>470</v>
      </c>
      <c r="X442" s="46">
        <f t="shared" si="5"/>
        <v>45602.68063</v>
      </c>
      <c r="Y442" s="50" t="s">
        <v>482</v>
      </c>
      <c r="Z442" s="49">
        <f t="shared" si="6"/>
        <v>2</v>
      </c>
    </row>
    <row r="443" ht="22.5" customHeight="1">
      <c r="B443" s="41" t="s">
        <v>2391</v>
      </c>
      <c r="C443" s="43">
        <f t="array" ref="C443">IF(B443="","",_xlfn.XLOOKUP(B443,'Form responses 1'!$B$2:$B$2604,'Form responses 1'!$A$2:$A$2604,""))</f>
        <v>45593.4489</v>
      </c>
      <c r="D443" s="44" t="str">
        <f t="shared" si="3"/>
        <v>K/20/281024/2_45593.4488991435</v>
      </c>
      <c r="E443" s="44" t="str">
        <f t="array" ref="E443">IF(B443="","",_xlfn.XLOOKUP(B443,'Form responses 1'!$B$2:$B$2604,'Form responses 1'!$C$2:$C$2604,""))</f>
        <v>DELI SATRIA/MYRDA LIBRINA </v>
      </c>
      <c r="F443" s="44" t="str">
        <f t="array" ref="F443">IF(B443="","",_xlfn.XLOOKUP(B443,'Form responses 1'!$B$2:$B$2604,'Form responses 1'!$D$2:$D$2604,""))</f>
        <v>085764690616</v>
      </c>
      <c r="G443" s="44" t="str">
        <f t="array" ref="G443">IF(B443="","",_xlfn.XLOOKUP(B443,'Form responses 1'!$B$2:$B$2604,'Form responses 1'!$E$2:$E$2604,""))</f>
        <v>BN JUAL BELI</v>
      </c>
      <c r="H443" s="44" t="str">
        <f t="array" ref="H443">IF(B443="","",_xlfn.XLOOKUP(B443,'Form responses 1'!$B$2:$B$2604,'Form responses 1'!$F$2:$F$2604,""))</f>
        <v>M.2072/CAMPANG JAYA-SEKARANG;M 247/NUSANTARA PERMAI-DAHULU</v>
      </c>
      <c r="I443" s="44" t="str">
        <f t="array" ref="I443">IF(B443="","",_xlfn.XLOOKUP(B443,'Form responses 1'!$B$2:$B$2604,'Form responses 1'!$I$2:$I$2604,""))</f>
        <v>CAMPANG JAYA</v>
      </c>
      <c r="J443" s="44" t="str">
        <f t="array" ref="J443">IF(B443="","",_xlfn.XLOOKUP(B443,'Form responses 1'!$B$2:$B$2604,'Form responses 1'!$G$2:$G$2604,""))</f>
        <v>Baynur</v>
      </c>
      <c r="K443" s="41" t="s">
        <v>2875</v>
      </c>
      <c r="L443" s="52">
        <f t="shared" si="7"/>
        <v>45595.50872</v>
      </c>
      <c r="M443" s="47" t="s">
        <v>5446</v>
      </c>
      <c r="N443" s="49"/>
      <c r="O443" s="49"/>
      <c r="P443" s="49"/>
      <c r="Q443" s="49"/>
      <c r="R443" s="49"/>
      <c r="S443" s="49"/>
      <c r="T443" s="49"/>
      <c r="U443" s="49"/>
      <c r="V443" s="49"/>
      <c r="W443" s="41" t="s">
        <v>618</v>
      </c>
      <c r="X443" s="46">
        <f t="shared" si="5"/>
        <v>45607.41947</v>
      </c>
      <c r="Y443" s="50" t="s">
        <v>482</v>
      </c>
      <c r="Z443" s="49">
        <f t="shared" si="6"/>
        <v>1</v>
      </c>
    </row>
    <row r="444" ht="22.5" customHeight="1">
      <c r="B444" s="41" t="s">
        <v>2381</v>
      </c>
      <c r="C444" s="43">
        <f t="array" ref="C444">IF(B444="","",_xlfn.XLOOKUP(B444,'Form responses 1'!$B$2:$B$2604,'Form responses 1'!$A$2:$A$2604,""))</f>
        <v>45593.42998</v>
      </c>
      <c r="D444" s="44" t="str">
        <f t="shared" si="3"/>
        <v>K/15/281024/1_45593.4299834607</v>
      </c>
      <c r="E444" s="44" t="str">
        <f t="array" ref="E444">IF(B444="","",_xlfn.XLOOKUP(B444,'Form responses 1'!$B$2:$B$2604,'Form responses 1'!$C$2:$C$2604,""))</f>
        <v>ANNA P/ RISMAN CS</v>
      </c>
      <c r="F444" s="44" t="str">
        <f t="array" ref="F444">IF(B444="","",_xlfn.XLOOKUP(B444,'Form responses 1'!$B$2:$B$2604,'Form responses 1'!$D$2:$D$2604,""))</f>
        <v>082279206650</v>
      </c>
      <c r="G444" s="44" t="str">
        <f t="array" ref="G444">IF(B444="","",_xlfn.XLOOKUP(B444,'Form responses 1'!$B$2:$B$2604,'Form responses 1'!$E$2:$E$2604,""))</f>
        <v>BN WARIS</v>
      </c>
      <c r="H444" s="44" t="str">
        <f t="array" ref="H444">IF(B444="","",_xlfn.XLOOKUP(B444,'Form responses 1'!$B$2:$B$2604,'Form responses 1'!$F$2:$F$2604,""))</f>
        <v>M. 9417/ Sidodadi</v>
      </c>
      <c r="I444" s="44" t="str">
        <f t="array" ref="I444">IF(B444="","",_xlfn.XLOOKUP(B444,'Form responses 1'!$B$2:$B$2604,'Form responses 1'!$I$2:$I$2604,""))</f>
        <v>Sidodadi</v>
      </c>
      <c r="J444" s="44" t="str">
        <f t="array" ref="J444">IF(B444="","",_xlfn.XLOOKUP(B444,'Form responses 1'!$B$2:$B$2604,'Form responses 1'!$G$2:$G$2604,""))</f>
        <v>Hananda</v>
      </c>
      <c r="K444" s="41" t="s">
        <v>2875</v>
      </c>
      <c r="L444" s="52">
        <f t="shared" si="7"/>
        <v>45595.50873</v>
      </c>
      <c r="M444" s="47" t="s">
        <v>5447</v>
      </c>
      <c r="N444" s="49"/>
      <c r="O444" s="49"/>
      <c r="P444" s="49"/>
      <c r="Q444" s="49"/>
      <c r="R444" s="49"/>
      <c r="S444" s="49"/>
      <c r="T444" s="49"/>
      <c r="U444" s="49"/>
      <c r="V444" s="49"/>
      <c r="W444" s="41" t="s">
        <v>618</v>
      </c>
      <c r="X444" s="46">
        <f t="shared" si="5"/>
        <v>45611.63712</v>
      </c>
      <c r="Y444" s="50" t="s">
        <v>482</v>
      </c>
      <c r="Z444" s="49">
        <f t="shared" si="6"/>
        <v>1</v>
      </c>
    </row>
    <row r="445" ht="22.5" customHeight="1">
      <c r="B445" s="41" t="s">
        <v>2434</v>
      </c>
      <c r="C445" s="43">
        <f t="array" ref="C445">IF(B445="","",_xlfn.XLOOKUP(B445,'Form responses 1'!$B$2:$B$2604,'Form responses 1'!$A$2:$A$2604,""))</f>
        <v>45593.56225</v>
      </c>
      <c r="D445" s="44" t="str">
        <f t="shared" si="3"/>
        <v>K/28/281024/1_45593.5622478009</v>
      </c>
      <c r="E445" s="44" t="str">
        <f t="array" ref="E445">IF(B445="","",_xlfn.XLOOKUP(B445,'Form responses 1'!$B$2:$B$2604,'Form responses 1'!$C$2:$C$2604,""))</f>
        <v>ILANUR/ MIKO DWI</v>
      </c>
      <c r="F445" s="44" t="str">
        <f t="array" ref="F445">IF(B445="","",_xlfn.XLOOKUP(B445,'Form responses 1'!$B$2:$B$2604,'Form responses 1'!$D$2:$D$2604,""))</f>
        <v>081295653816</v>
      </c>
      <c r="G445" s="44" t="str">
        <f t="array" ref="G445">IF(B445="","",_xlfn.XLOOKUP(B445,'Form responses 1'!$B$2:$B$2604,'Form responses 1'!$E$2:$E$2604,""))</f>
        <v>BN JUAL BELI</v>
      </c>
      <c r="H445" s="44" t="str">
        <f t="array" ref="H445">IF(B445="","",_xlfn.XLOOKUP(B445,'Form responses 1'!$B$2:$B$2604,'Form responses 1'!$F$2:$F$2604,""))</f>
        <v>M. 2095/ Campang Jaya</v>
      </c>
      <c r="I445" s="44" t="str">
        <f t="array" ref="I445">IF(B445="","",_xlfn.XLOOKUP(B445,'Form responses 1'!$B$2:$B$2604,'Form responses 1'!$I$2:$I$2604,""))</f>
        <v>Campang Jaya</v>
      </c>
      <c r="J445" s="44" t="str">
        <f t="array" ref="J445">IF(B445="","",_xlfn.XLOOKUP(B445,'Form responses 1'!$B$2:$B$2604,'Form responses 1'!$G$2:$G$2604,""))</f>
        <v>Hananda</v>
      </c>
      <c r="K445" s="41" t="s">
        <v>1233</v>
      </c>
      <c r="L445" s="52">
        <f t="shared" si="7"/>
        <v>45595.4966</v>
      </c>
      <c r="M445" s="47" t="s">
        <v>5448</v>
      </c>
      <c r="N445" s="49"/>
      <c r="O445" s="49"/>
      <c r="P445" s="49"/>
      <c r="Q445" s="49"/>
      <c r="R445" s="49"/>
      <c r="S445" s="49"/>
      <c r="T445" s="49"/>
      <c r="U445" s="49"/>
      <c r="V445" s="49"/>
      <c r="W445" s="41" t="s">
        <v>618</v>
      </c>
      <c r="X445" s="46">
        <f t="shared" si="5"/>
        <v>45595.49678</v>
      </c>
      <c r="Y445" s="50" t="s">
        <v>482</v>
      </c>
      <c r="Z445" s="49">
        <f t="shared" si="6"/>
        <v>1</v>
      </c>
    </row>
    <row r="446" ht="22.5" customHeight="1">
      <c r="B446" s="41" t="s">
        <v>2162</v>
      </c>
      <c r="C446" s="43">
        <f t="array" ref="C446">IF(B446="","",_xlfn.XLOOKUP(B446,'Form responses 1'!$B$2:$B$2604,'Form responses 1'!$A$2:$A$2604,""))</f>
        <v>45590.54772</v>
      </c>
      <c r="D446" s="44" t="str">
        <f t="shared" si="3"/>
        <v>K/20/251024/1_45590.5477176736</v>
      </c>
      <c r="E446" s="44" t="str">
        <f t="array" ref="E446">IF(B446="","",_xlfn.XLOOKUP(B446,'Form responses 1'!$B$2:$B$2604,'Form responses 1'!$C$2:$C$2604,""))</f>
        <v>Agustina S/ Erdi Purnomo</v>
      </c>
      <c r="F446" s="44" t="str">
        <f t="array" ref="F446">IF(B446="","",_xlfn.XLOOKUP(B446,'Form responses 1'!$B$2:$B$2604,'Form responses 1'!$D$2:$D$2604,""))</f>
        <v>+62 822-5081-6900</v>
      </c>
      <c r="G446" s="44" t="str">
        <f t="array" ref="G446">IF(B446="","",_xlfn.XLOOKUP(B446,'Form responses 1'!$B$2:$B$2604,'Form responses 1'!$E$2:$E$2604,""))</f>
        <v>BN Jual Beli</v>
      </c>
      <c r="H446" s="44" t="str">
        <f t="array" ref="H446">IF(B446="","",_xlfn.XLOOKUP(B446,'Form responses 1'!$B$2:$B$2604,'Form responses 1'!$F$2:$F$2604,""))</f>
        <v>M. 2051/ L R R; M. 11392/ L R</v>
      </c>
      <c r="I446" s="44" t="str">
        <f t="array" ref="I446">IF(B446="","",_xlfn.XLOOKUP(B446,'Form responses 1'!$B$2:$B$2604,'Form responses 1'!$I$2:$I$2604,""))</f>
        <v>Labuhan Ratu</v>
      </c>
      <c r="J446" s="44" t="str">
        <f t="array" ref="J446">IF(B446="","",_xlfn.XLOOKUP(B446,'Form responses 1'!$B$2:$B$2604,'Form responses 1'!$G$2:$G$2604,""))</f>
        <v>Rapita</v>
      </c>
      <c r="K446" s="41" t="s">
        <v>1233</v>
      </c>
      <c r="L446" s="52">
        <f t="shared" si="7"/>
        <v>45595.49947</v>
      </c>
      <c r="M446" s="47" t="s">
        <v>5449</v>
      </c>
      <c r="N446" s="47" t="s">
        <v>5450</v>
      </c>
      <c r="O446" s="47" t="s">
        <v>5451</v>
      </c>
      <c r="P446" s="49"/>
      <c r="Q446" s="49"/>
      <c r="R446" s="49"/>
      <c r="S446" s="49"/>
      <c r="T446" s="49"/>
      <c r="U446" s="49"/>
      <c r="V446" s="49"/>
      <c r="W446" s="41" t="s">
        <v>618</v>
      </c>
      <c r="X446" s="46">
        <f t="shared" si="5"/>
        <v>45596.66423</v>
      </c>
      <c r="Y446" s="50" t="s">
        <v>482</v>
      </c>
      <c r="Z446" s="49">
        <f t="shared" si="6"/>
        <v>3</v>
      </c>
    </row>
    <row r="447" ht="22.5" customHeight="1">
      <c r="B447" s="41" t="s">
        <v>2181</v>
      </c>
      <c r="C447" s="43">
        <f t="array" ref="C447">IF(B447="","",_xlfn.XLOOKUP(B447,'Form responses 1'!$B$2:$B$2604,'Form responses 1'!$A$2:$A$2604,""))</f>
        <v>45590.56266</v>
      </c>
      <c r="D447" s="44" t="str">
        <f t="shared" si="3"/>
        <v>K/27/251024/1_45590.5626566782</v>
      </c>
      <c r="E447" s="44" t="str">
        <f t="array" ref="E447">IF(B447="","",_xlfn.XLOOKUP(B447,'Form responses 1'!$B$2:$B$2604,'Form responses 1'!$C$2:$C$2604,""))</f>
        <v>TRIADI K/ JOKO</v>
      </c>
      <c r="F447" s="44" t="str">
        <f t="array" ref="F447">IF(B447="","",_xlfn.XLOOKUP(B447,'Form responses 1'!$B$2:$B$2604,'Form responses 1'!$D$2:$D$2604,""))</f>
        <v>081369279395</v>
      </c>
      <c r="G447" s="44" t="str">
        <f t="array" ref="G447">IF(B447="","",_xlfn.XLOOKUP(B447,'Form responses 1'!$B$2:$B$2604,'Form responses 1'!$E$2:$E$2604,""))</f>
        <v>BN JUAL BELI</v>
      </c>
      <c r="H447" s="44" t="str">
        <f t="array" ref="H447">IF(B447="","",_xlfn.XLOOKUP(B447,'Form responses 1'!$B$2:$B$2604,'Form responses 1'!$F$2:$F$2604,""))</f>
        <v>M. 2572/ Gedong Air</v>
      </c>
      <c r="I447" s="44" t="str">
        <f t="array" ref="I447">IF(B447="","",_xlfn.XLOOKUP(B447,'Form responses 1'!$B$2:$B$2604,'Form responses 1'!$I$2:$I$2604,""))</f>
        <v>Gedong Air</v>
      </c>
      <c r="J447" s="44" t="str">
        <f t="array" ref="J447">IF(B447="","",_xlfn.XLOOKUP(B447,'Form responses 1'!$B$2:$B$2604,'Form responses 1'!$G$2:$G$2604,""))</f>
        <v>Hananda</v>
      </c>
      <c r="K447" s="41" t="s">
        <v>1233</v>
      </c>
      <c r="L447" s="52">
        <f t="shared" si="7"/>
        <v>45595.50995</v>
      </c>
      <c r="M447" s="49"/>
      <c r="N447" s="49"/>
      <c r="O447" s="49"/>
      <c r="P447" s="49"/>
      <c r="Q447" s="49"/>
      <c r="R447" s="49"/>
      <c r="S447" s="49"/>
      <c r="T447" s="49"/>
      <c r="U447" s="49"/>
      <c r="V447" s="49"/>
      <c r="W447" s="41" t="s">
        <v>618</v>
      </c>
      <c r="X447" s="46">
        <f t="shared" si="5"/>
        <v>45595.51001</v>
      </c>
      <c r="Y447" s="50" t="s">
        <v>482</v>
      </c>
      <c r="Z447" s="49">
        <f t="shared" si="6"/>
        <v>0</v>
      </c>
    </row>
    <row r="448" ht="22.5" customHeight="1">
      <c r="B448" s="57"/>
      <c r="C448" s="43" t="str">
        <f t="array" ref="C448">IF(B448="","",_xlfn.XLOOKUP(B448,'Form responses 1'!$B$2:$B$2604,'Form responses 1'!$A$2:$A$2604,""))</f>
        <v/>
      </c>
      <c r="D448" s="44" t="str">
        <f t="shared" si="3"/>
        <v/>
      </c>
      <c r="E448" s="44" t="str">
        <f t="array" ref="E448">IF(B448="","",_xlfn.XLOOKUP(B448,'Form responses 1'!$B$2:$B$2604,'Form responses 1'!$C$2:$C$2604,""))</f>
        <v/>
      </c>
      <c r="F448" s="44" t="str">
        <f t="array" ref="F448">IF(B448="","",_xlfn.XLOOKUP(B448,'Form responses 1'!$B$2:$B$2604,'Form responses 1'!$D$2:$D$2604,""))</f>
        <v/>
      </c>
      <c r="G448" s="44" t="str">
        <f t="array" ref="G448">IF(B448="","",_xlfn.XLOOKUP(B448,'Form responses 1'!$B$2:$B$2604,'Form responses 1'!$E$2:$E$2604,""))</f>
        <v/>
      </c>
      <c r="H448" s="44" t="str">
        <f t="array" ref="H448">IF(B448="","",_xlfn.XLOOKUP(B448,'Form responses 1'!$B$2:$B$2604,'Form responses 1'!$F$2:$F$2604,""))</f>
        <v/>
      </c>
      <c r="I448" s="44" t="str">
        <f t="array" ref="I448">IF(B448="","",_xlfn.XLOOKUP(B448,'Form responses 1'!$B$2:$B$2604,'Form responses 1'!$I$2:$I$2604,""))</f>
        <v/>
      </c>
      <c r="J448" s="44" t="str">
        <f t="array" ref="J448">IF(B448="","",_xlfn.XLOOKUP(B448,'Form responses 1'!$B$2:$B$2604,'Form responses 1'!$G$2:$G$2604,""))</f>
        <v/>
      </c>
      <c r="K448" s="56"/>
      <c r="L448" s="58" t="str">
        <f t="shared" si="7"/>
        <v/>
      </c>
      <c r="M448" s="49"/>
      <c r="N448" s="49"/>
      <c r="O448" s="49"/>
      <c r="P448" s="49"/>
      <c r="Q448" s="49"/>
      <c r="R448" s="49"/>
      <c r="S448" s="49"/>
      <c r="T448" s="49"/>
      <c r="U448" s="49"/>
      <c r="V448" s="49"/>
      <c r="W448" s="56"/>
      <c r="X448" s="51" t="str">
        <f t="shared" si="5"/>
        <v/>
      </c>
      <c r="Y448" s="50" t="s">
        <v>482</v>
      </c>
      <c r="Z448" s="49">
        <f t="shared" si="6"/>
        <v>0</v>
      </c>
    </row>
    <row r="449" ht="22.5" customHeight="1">
      <c r="B449" s="41" t="s">
        <v>2526</v>
      </c>
      <c r="C449" s="43">
        <f t="array" ref="C449">IF(B449="","",_xlfn.XLOOKUP(B449,'Form responses 1'!$B$2:$B$2604,'Form responses 1'!$A$2:$A$2604,""))</f>
        <v>45594.43113</v>
      </c>
      <c r="D449" s="44" t="str">
        <f t="shared" si="3"/>
        <v>K/7/291024/2_45594.4311287269</v>
      </c>
      <c r="E449" s="44" t="str">
        <f t="array" ref="E449">IF(B449="","",_xlfn.XLOOKUP(B449,'Form responses 1'!$B$2:$B$2604,'Form responses 1'!$C$2:$C$2604,""))</f>
        <v>rahmadiyanti/ dahlia cs</v>
      </c>
      <c r="F449" s="44" t="str">
        <f t="array" ref="F449">IF(B449="","",_xlfn.XLOOKUP(B449,'Form responses 1'!$B$2:$B$2604,'Form responses 1'!$D$2:$D$2604,""))</f>
        <v>+62 821-8209-0051</v>
      </c>
      <c r="G449" s="44" t="str">
        <f t="array" ref="G449">IF(B449="","",_xlfn.XLOOKUP(B449,'Form responses 1'!$B$2:$B$2604,'Form responses 1'!$E$2:$E$2604,""))</f>
        <v>bn waris</v>
      </c>
      <c r="H449" s="44" t="str">
        <f t="array" ref="H449">IF(B449="","",_xlfn.XLOOKUP(B449,'Form responses 1'!$B$2:$B$2604,'Form responses 1'!$F$2:$F$2604,""))</f>
        <v>M. 2590/ Beringin Raya - sekarang; B. 2536/ Beringin raya-dahulu</v>
      </c>
      <c r="I449" s="44" t="str">
        <f t="array" ref="I449">IF(B449="","",_xlfn.XLOOKUP(B449,'Form responses 1'!$B$2:$B$2604,'Form responses 1'!$I$2:$I$2604,""))</f>
        <v>Beringin Raya</v>
      </c>
      <c r="J449" s="44" t="str">
        <f t="array" ref="J449">IF(B449="","",_xlfn.XLOOKUP(B449,'Form responses 1'!$B$2:$B$2604,'Form responses 1'!$G$2:$G$2604,""))</f>
        <v>Hananda</v>
      </c>
      <c r="K449" s="41" t="s">
        <v>422</v>
      </c>
      <c r="L449" s="52">
        <f t="shared" si="7"/>
        <v>45595.58632</v>
      </c>
      <c r="M449" s="47" t="s">
        <v>5452</v>
      </c>
      <c r="N449" s="47" t="s">
        <v>5453</v>
      </c>
      <c r="O449" s="49"/>
      <c r="P449" s="49"/>
      <c r="Q449" s="49"/>
      <c r="R449" s="49"/>
      <c r="S449" s="49"/>
      <c r="T449" s="49"/>
      <c r="U449" s="49"/>
      <c r="V449" s="49"/>
      <c r="W449" s="41" t="s">
        <v>618</v>
      </c>
      <c r="X449" s="46">
        <f t="shared" si="5"/>
        <v>45601.32973</v>
      </c>
      <c r="Y449" s="50" t="s">
        <v>482</v>
      </c>
      <c r="Z449" s="49">
        <f t="shared" si="6"/>
        <v>2</v>
      </c>
    </row>
    <row r="450" ht="22.5" customHeight="1">
      <c r="B450" s="41" t="s">
        <v>2628</v>
      </c>
      <c r="C450" s="43">
        <f t="array" ref="C450">IF(B450="","",_xlfn.XLOOKUP(B450,'Form responses 1'!$B$2:$B$2604,'Form responses 1'!$A$2:$A$2604,""))</f>
        <v>45594.60997</v>
      </c>
      <c r="D450" s="44" t="str">
        <f t="shared" si="3"/>
        <v>K/34/291024/1_45594.6099672801</v>
      </c>
      <c r="E450" s="44" t="str">
        <f t="array" ref="E450">IF(B450="","",_xlfn.XLOOKUP(B450,'Form responses 1'!$B$2:$B$2604,'Form responses 1'!$C$2:$C$2604,""))</f>
        <v>Desi PUSPITA SARI/ MARIMAN</v>
      </c>
      <c r="F450" s="44" t="str">
        <f t="array" ref="F450">IF(B450="","",_xlfn.XLOOKUP(B450,'Form responses 1'!$B$2:$B$2604,'Form responses 1'!$D$2:$D$2604,""))</f>
        <v>08127344961</v>
      </c>
      <c r="G450" s="44" t="str">
        <f t="array" ref="G450">IF(B450="","",_xlfn.XLOOKUP(B450,'Form responses 1'!$B$2:$B$2604,'Form responses 1'!$E$2:$E$2604,""))</f>
        <v>ROYA</v>
      </c>
      <c r="H450" s="44" t="str">
        <f t="array" ref="H450">IF(B450="","",_xlfn.XLOOKUP(B450,'Form responses 1'!$B$2:$B$2604,'Form responses 1'!$F$2:$F$2604,""))</f>
        <v>M. 1279/ SUKAJAWA</v>
      </c>
      <c r="I450" s="44" t="str">
        <f t="array" ref="I450">IF(B450="","",_xlfn.XLOOKUP(B450,'Form responses 1'!$B$2:$B$2604,'Form responses 1'!$I$2:$I$2604,""))</f>
        <v>SUKAJAWA</v>
      </c>
      <c r="J450" s="44" t="str">
        <f t="array" ref="J450">IF(B450="","",_xlfn.XLOOKUP(B450,'Form responses 1'!$B$2:$B$2604,'Form responses 1'!$G$2:$G$2604,""))</f>
        <v>Hananda</v>
      </c>
      <c r="K450" s="41" t="s">
        <v>422</v>
      </c>
      <c r="L450" s="52">
        <f t="shared" si="7"/>
        <v>45595.58634</v>
      </c>
      <c r="M450" s="47" t="s">
        <v>1874</v>
      </c>
      <c r="N450" s="47" t="s">
        <v>5454</v>
      </c>
      <c r="O450" s="49"/>
      <c r="P450" s="49"/>
      <c r="Q450" s="49"/>
      <c r="R450" s="49"/>
      <c r="S450" s="49"/>
      <c r="T450" s="49"/>
      <c r="U450" s="49"/>
      <c r="V450" s="49"/>
      <c r="W450" s="41" t="s">
        <v>618</v>
      </c>
      <c r="X450" s="46">
        <f t="shared" si="5"/>
        <v>45604.63846</v>
      </c>
      <c r="Y450" s="50" t="s">
        <v>482</v>
      </c>
      <c r="Z450" s="49">
        <f t="shared" si="6"/>
        <v>2</v>
      </c>
    </row>
    <row r="451" ht="22.5" customHeight="1">
      <c r="B451" s="41" t="s">
        <v>2534</v>
      </c>
      <c r="C451" s="43">
        <f t="array" ref="C451">IF(B451="","",_xlfn.XLOOKUP(B451,'Form responses 1'!$B$2:$B$2604,'Form responses 1'!$A$2:$A$2604,""))</f>
        <v>45594.45209</v>
      </c>
      <c r="D451" s="44" t="str">
        <f t="shared" si="3"/>
        <v>K/11/291024/1_45594.4520927431</v>
      </c>
      <c r="E451" s="44" t="str">
        <f t="array" ref="E451">IF(B451="","",_xlfn.XLOOKUP(B451,'Form responses 1'!$B$2:$B$2604,'Form responses 1'!$C$2:$C$2604,""))</f>
        <v>Vitta N/ Yan Bastian</v>
      </c>
      <c r="F451" s="44" t="str">
        <f t="array" ref="F451">IF(B451="","",_xlfn.XLOOKUP(B451,'Form responses 1'!$B$2:$B$2604,'Form responses 1'!$D$2:$D$2604,""))</f>
        <v>+62 821-8133-7272</v>
      </c>
      <c r="G451" s="44" t="str">
        <f t="array" ref="G451">IF(B451="","",_xlfn.XLOOKUP(B451,'Form responses 1'!$B$2:$B$2604,'Form responses 1'!$E$2:$E$2604,""))</f>
        <v>Pendaftaran SK Perpanjangan</v>
      </c>
      <c r="H451" s="44" t="str">
        <f t="array" ref="H451">IF(B451="","",_xlfn.XLOOKUP(B451,'Form responses 1'!$B$2:$B$2604,'Form responses 1'!$F$2:$F$2604,""))</f>
        <v>B. 1045/ Negeri olok gading</v>
      </c>
      <c r="I451" s="44" t="str">
        <f t="array" ref="I451">IF(B451="","",_xlfn.XLOOKUP(B451,'Form responses 1'!$B$2:$B$2604,'Form responses 1'!$I$2:$I$2604,""))</f>
        <v>Negeri olok gading</v>
      </c>
      <c r="J451" s="44" t="str">
        <f t="array" ref="J451">IF(B451="","",_xlfn.XLOOKUP(B451,'Form responses 1'!$B$2:$B$2604,'Form responses 1'!$G$2:$G$2604,""))</f>
        <v>Hananda</v>
      </c>
      <c r="K451" s="41" t="s">
        <v>422</v>
      </c>
      <c r="L451" s="52">
        <f t="shared" si="7"/>
        <v>45595.58635</v>
      </c>
      <c r="M451" s="47" t="s">
        <v>5455</v>
      </c>
      <c r="N451" s="49"/>
      <c r="O451" s="49"/>
      <c r="P451" s="49"/>
      <c r="Q451" s="49"/>
      <c r="R451" s="49"/>
      <c r="S451" s="49"/>
      <c r="T451" s="49"/>
      <c r="U451" s="49"/>
      <c r="V451" s="49"/>
      <c r="W451" s="41" t="s">
        <v>618</v>
      </c>
      <c r="X451" s="46">
        <f t="shared" si="5"/>
        <v>45601.64593</v>
      </c>
      <c r="Y451" s="50" t="s">
        <v>482</v>
      </c>
      <c r="Z451" s="49">
        <f t="shared" si="6"/>
        <v>1</v>
      </c>
    </row>
    <row r="452" ht="22.5" customHeight="1">
      <c r="B452" s="41" t="s">
        <v>2542</v>
      </c>
      <c r="C452" s="43">
        <f t="array" ref="C452">IF(B452="","",_xlfn.XLOOKUP(B452,'Form responses 1'!$B$2:$B$2604,'Form responses 1'!$A$2:$A$2604,""))</f>
        <v>45594.46595</v>
      </c>
      <c r="D452" s="44" t="str">
        <f t="shared" si="3"/>
        <v>K/12/291024/1_45594.4659453935</v>
      </c>
      <c r="E452" s="44" t="str">
        <f t="array" ref="E452">IF(B452="","",_xlfn.XLOOKUP(B452,'Form responses 1'!$B$2:$B$2604,'Form responses 1'!$C$2:$C$2604,""))</f>
        <v>RENI F/ MARIA REYNELDA</v>
      </c>
      <c r="F452" s="44" t="str">
        <f t="array" ref="F452">IF(B452="","",_xlfn.XLOOKUP(B452,'Form responses 1'!$B$2:$B$2604,'Form responses 1'!$D$2:$D$2604,""))</f>
        <v>089633674976</v>
      </c>
      <c r="G452" s="44" t="str">
        <f t="array" ref="G452">IF(B452="","",_xlfn.XLOOKUP(B452,'Form responses 1'!$B$2:$B$2604,'Form responses 1'!$E$2:$E$2604,""))</f>
        <v>PERUBAHAN HAK</v>
      </c>
      <c r="H452" s="44" t="str">
        <f t="array" ref="H452">IF(B452="","",_xlfn.XLOOKUP(B452,'Form responses 1'!$B$2:$B$2604,'Form responses 1'!$F$2:$F$2604,""))</f>
        <v>Nibel 1193/ Jagabaya III</v>
      </c>
      <c r="I452" s="44" t="str">
        <f t="array" ref="I452">IF(B452="","",_xlfn.XLOOKUP(B452,'Form responses 1'!$B$2:$B$2604,'Form responses 1'!$I$2:$I$2604,""))</f>
        <v>Jagabaya III</v>
      </c>
      <c r="J452" s="44" t="str">
        <f t="array" ref="J452">IF(B452="","",_xlfn.XLOOKUP(B452,'Form responses 1'!$B$2:$B$2604,'Form responses 1'!$G$2:$G$2604,""))</f>
        <v>Hananda</v>
      </c>
      <c r="K452" s="41" t="s">
        <v>422</v>
      </c>
      <c r="L452" s="52">
        <f t="shared" si="7"/>
        <v>45595.58637</v>
      </c>
      <c r="M452" s="49"/>
      <c r="N452" s="49"/>
      <c r="O452" s="49"/>
      <c r="P452" s="49"/>
      <c r="Q452" s="49"/>
      <c r="R452" s="49"/>
      <c r="S452" s="49"/>
      <c r="T452" s="49"/>
      <c r="U452" s="49"/>
      <c r="V452" s="49"/>
      <c r="W452" s="41" t="s">
        <v>618</v>
      </c>
      <c r="X452" s="46">
        <f t="shared" si="5"/>
        <v>45595.61013</v>
      </c>
      <c r="Y452" s="50" t="s">
        <v>482</v>
      </c>
      <c r="Z452" s="49">
        <f t="shared" si="6"/>
        <v>0</v>
      </c>
    </row>
    <row r="453" ht="22.5" customHeight="1">
      <c r="B453" s="41" t="s">
        <v>2558</v>
      </c>
      <c r="C453" s="43">
        <f t="array" ref="C453">IF(B453="","",_xlfn.XLOOKUP(B453,'Form responses 1'!$B$2:$B$2604,'Form responses 1'!$A$2:$A$2604,""))</f>
        <v>45594.48204</v>
      </c>
      <c r="D453" s="44" t="str">
        <f t="shared" si="3"/>
        <v>L/16/291024/1_45594.4820443287</v>
      </c>
      <c r="E453" s="44" t="str">
        <f t="array" ref="E453">IF(B453="","",_xlfn.XLOOKUP(B453,'Form responses 1'!$B$2:$B$2604,'Form responses 1'!$C$2:$C$2604,""))</f>
        <v>M IQBAL RAMADHAN</v>
      </c>
      <c r="F453" s="44" t="str">
        <f t="array" ref="F453">IF(B453="","",_xlfn.XLOOKUP(B453,'Form responses 1'!$B$2:$B$2604,'Form responses 1'!$D$2:$D$2604,""))</f>
        <v>081291252926</v>
      </c>
      <c r="G453" s="44" t="str">
        <f t="array" ref="G453">IF(B453="","",_xlfn.XLOOKUP(B453,'Form responses 1'!$B$2:$B$2604,'Form responses 1'!$E$2:$E$2604,""))</f>
        <v>ROYA</v>
      </c>
      <c r="H453" s="44" t="str">
        <f t="array" ref="H453">IF(B453="","",_xlfn.XLOOKUP(B453,'Form responses 1'!$B$2:$B$2604,'Form responses 1'!$F$2:$F$2604,""))</f>
        <v>M.715/PINANG JAYA</v>
      </c>
      <c r="I453" s="44" t="str">
        <f t="array" ref="I453">IF(B453="","",_xlfn.XLOOKUP(B453,'Form responses 1'!$B$2:$B$2604,'Form responses 1'!$I$2:$I$2604,""))</f>
        <v>PINANG JAYA</v>
      </c>
      <c r="J453" s="44" t="str">
        <f t="array" ref="J453">IF(B453="","",_xlfn.XLOOKUP(B453,'Form responses 1'!$B$2:$B$2604,'Form responses 1'!$G$2:$G$2604,""))</f>
        <v>Nuraini</v>
      </c>
      <c r="K453" s="41" t="s">
        <v>422</v>
      </c>
      <c r="L453" s="52">
        <f t="shared" si="7"/>
        <v>45595.58638</v>
      </c>
      <c r="M453" s="49"/>
      <c r="N453" s="49"/>
      <c r="O453" s="49"/>
      <c r="P453" s="49"/>
      <c r="Q453" s="49"/>
      <c r="R453" s="49"/>
      <c r="S453" s="49"/>
      <c r="T453" s="49"/>
      <c r="U453" s="49"/>
      <c r="V453" s="49"/>
      <c r="W453" s="41" t="s">
        <v>618</v>
      </c>
      <c r="X453" s="46">
        <f t="shared" si="5"/>
        <v>45595.61468</v>
      </c>
      <c r="Y453" s="50" t="s">
        <v>482</v>
      </c>
      <c r="Z453" s="49">
        <f t="shared" si="6"/>
        <v>0</v>
      </c>
    </row>
    <row r="454" ht="22.5" customHeight="1">
      <c r="B454" s="41" t="s">
        <v>2597</v>
      </c>
      <c r="C454" s="43">
        <f t="array" ref="C454">IF(B454="","",_xlfn.XLOOKUP(B454,'Form responses 1'!$B$2:$B$2604,'Form responses 1'!$A$2:$A$2604,""))</f>
        <v>45594.58212</v>
      </c>
      <c r="D454" s="44" t="str">
        <f t="shared" si="3"/>
        <v>K/26/291024/1_45594.58212375</v>
      </c>
      <c r="E454" s="44" t="str">
        <f t="array" ref="E454">IF(B454="","",_xlfn.XLOOKUP(B454,'Form responses 1'!$B$2:$B$2604,'Form responses 1'!$C$2:$C$2604,""))</f>
        <v>Andrianto/ Ryan Aditya</v>
      </c>
      <c r="F454" s="44" t="str">
        <f t="array" ref="F454">IF(B454="","",_xlfn.XLOOKUP(B454,'Form responses 1'!$B$2:$B$2604,'Form responses 1'!$D$2:$D$2604,""))</f>
        <v>+62 813-7389-3119</v>
      </c>
      <c r="G454" s="44" t="str">
        <f t="array" ref="G454">IF(B454="","",_xlfn.XLOOKUP(B454,'Form responses 1'!$B$2:$B$2604,'Form responses 1'!$E$2:$E$2604,""))</f>
        <v>BN Jual Beli</v>
      </c>
      <c r="H454" s="44" t="str">
        <f t="array" ref="H454">IF(B454="","",_xlfn.XLOOKUP(B454,'Form responses 1'!$B$2:$B$2604,'Form responses 1'!$F$2:$F$2604,""))</f>
        <v>M. 3082/ Labuhan Dalam </v>
      </c>
      <c r="I454" s="44" t="str">
        <f t="array" ref="I454">IF(B454="","",_xlfn.XLOOKUP(B454,'Form responses 1'!$B$2:$B$2604,'Form responses 1'!$I$2:$I$2604,""))</f>
        <v>Labuhan Dalam </v>
      </c>
      <c r="J454" s="44" t="str">
        <f t="array" ref="J454">IF(B454="","",_xlfn.XLOOKUP(B454,'Form responses 1'!$B$2:$B$2604,'Form responses 1'!$G$2:$G$2604,""))</f>
        <v>Hananda</v>
      </c>
      <c r="K454" s="41" t="s">
        <v>422</v>
      </c>
      <c r="L454" s="52">
        <f t="shared" si="7"/>
        <v>45595.5864</v>
      </c>
      <c r="M454" s="47" t="s">
        <v>5456</v>
      </c>
      <c r="N454" s="49"/>
      <c r="O454" s="49"/>
      <c r="P454" s="49"/>
      <c r="Q454" s="49"/>
      <c r="R454" s="49"/>
      <c r="S454" s="49"/>
      <c r="T454" s="49"/>
      <c r="U454" s="49"/>
      <c r="V454" s="49"/>
      <c r="W454" s="41" t="s">
        <v>618</v>
      </c>
      <c r="X454" s="46">
        <f t="shared" si="5"/>
        <v>45604.63934</v>
      </c>
      <c r="Y454" s="50" t="s">
        <v>482</v>
      </c>
      <c r="Z454" s="49">
        <f t="shared" si="6"/>
        <v>1</v>
      </c>
    </row>
    <row r="455" ht="22.5" customHeight="1">
      <c r="B455" s="41" t="s">
        <v>2656</v>
      </c>
      <c r="C455" s="43">
        <f t="array" ref="C455">IF(B455="","",_xlfn.XLOOKUP(B455,'Form responses 1'!$B$2:$B$2604,'Form responses 1'!$A$2:$A$2604,""))</f>
        <v>45594.62964</v>
      </c>
      <c r="D455" s="44" t="str">
        <f t="shared" si="3"/>
        <v>K/43/291024/1_45594.6296390741</v>
      </c>
      <c r="E455" s="44" t="str">
        <f t="array" ref="E455">IF(B455="","",_xlfn.XLOOKUP(B455,'Form responses 1'!$B$2:$B$2604,'Form responses 1'!$C$2:$C$2604,""))</f>
        <v>nanik maryani/abdul mukti</v>
      </c>
      <c r="F455" s="44" t="str">
        <f t="array" ref="F455">IF(B455="","",_xlfn.XLOOKUP(B455,'Form responses 1'!$B$2:$B$2604,'Form responses 1'!$D$2:$D$2604,""))</f>
        <v>083178501348</v>
      </c>
      <c r="G455" s="44" t="str">
        <f t="array" ref="G455">IF(B455="","",_xlfn.XLOOKUP(B455,'Form responses 1'!$B$2:$B$2604,'Form responses 1'!$E$2:$E$2604,""))</f>
        <v>BN Jual Beli</v>
      </c>
      <c r="H455" s="44" t="str">
        <f t="array" ref="H455">IF(B455="","",_xlfn.XLOOKUP(B455,'Form responses 1'!$B$2:$B$2604,'Form responses 1'!$F$2:$F$2604,""))</f>
        <v>M. 6486/ Way Kandis</v>
      </c>
      <c r="I455" s="44" t="str">
        <f t="array" ref="I455">IF(B455="","",_xlfn.XLOOKUP(B455,'Form responses 1'!$B$2:$B$2604,'Form responses 1'!$I$2:$I$2604,""))</f>
        <v>Way Kandis</v>
      </c>
      <c r="J455" s="44" t="str">
        <f t="array" ref="J455">IF(B455="","",_xlfn.XLOOKUP(B455,'Form responses 1'!$B$2:$B$2604,'Form responses 1'!$G$2:$G$2604,""))</f>
        <v>Hananda</v>
      </c>
      <c r="K455" s="41" t="s">
        <v>422</v>
      </c>
      <c r="L455" s="52">
        <f t="shared" si="7"/>
        <v>45595.58642</v>
      </c>
      <c r="M455" s="47" t="s">
        <v>5457</v>
      </c>
      <c r="N455" s="47" t="s">
        <v>5458</v>
      </c>
      <c r="O455" s="47" t="s">
        <v>5459</v>
      </c>
      <c r="P455" s="49"/>
      <c r="Q455" s="49"/>
      <c r="R455" s="49"/>
      <c r="S455" s="49"/>
      <c r="T455" s="49"/>
      <c r="U455" s="49"/>
      <c r="V455" s="49"/>
      <c r="W455" s="41" t="s">
        <v>470</v>
      </c>
      <c r="X455" s="46">
        <f t="shared" si="5"/>
        <v>45596.47611</v>
      </c>
      <c r="Y455" s="50" t="s">
        <v>482</v>
      </c>
      <c r="Z455" s="49">
        <f t="shared" si="6"/>
        <v>3</v>
      </c>
    </row>
    <row r="456" ht="22.5" customHeight="1">
      <c r="B456" s="41" t="s">
        <v>2509</v>
      </c>
      <c r="C456" s="43">
        <f t="array" ref="C456">IF(B456="","",_xlfn.XLOOKUP(B456,'Form responses 1'!$B$2:$B$2604,'Form responses 1'!$A$2:$A$2604,""))</f>
        <v>45594.42177</v>
      </c>
      <c r="D456" s="44" t="str">
        <f t="shared" si="3"/>
        <v>K/4/291024/1_45594.4217729977</v>
      </c>
      <c r="E456" s="44" t="str">
        <f t="array" ref="E456">IF(B456="","",_xlfn.XLOOKUP(B456,'Form responses 1'!$B$2:$B$2604,'Form responses 1'!$C$2:$C$2604,""))</f>
        <v>Tjhia Giok T/ Hairul Azhari</v>
      </c>
      <c r="F456" s="44" t="str">
        <f t="array" ref="F456">IF(B456="","",_xlfn.XLOOKUP(B456,'Form responses 1'!$B$2:$B$2604,'Form responses 1'!$D$2:$D$2604,""))</f>
        <v>+62 812-7305-5495</v>
      </c>
      <c r="G456" s="44" t="str">
        <f t="array" ref="G456">IF(B456="","",_xlfn.XLOOKUP(B456,'Form responses 1'!$B$2:$B$2604,'Form responses 1'!$E$2:$E$2604,""))</f>
        <v>BN Jual Beli</v>
      </c>
      <c r="H456" s="44" t="str">
        <f t="array" ref="H456">IF(B456="","",_xlfn.XLOOKUP(B456,'Form responses 1'!$B$2:$B$2604,'Form responses 1'!$F$2:$F$2604,""))</f>
        <v>M. 3413/ Kota Baru</v>
      </c>
      <c r="I456" s="44" t="str">
        <f t="array" ref="I456">IF(B456="","",_xlfn.XLOOKUP(B456,'Form responses 1'!$B$2:$B$2604,'Form responses 1'!$I$2:$I$2604,""))</f>
        <v>Kota Baru</v>
      </c>
      <c r="J456" s="44" t="str">
        <f t="array" ref="J456">IF(B456="","",_xlfn.XLOOKUP(B456,'Form responses 1'!$B$2:$B$2604,'Form responses 1'!$G$2:$G$2604,""))</f>
        <v>Rapita</v>
      </c>
      <c r="K456" s="41" t="s">
        <v>587</v>
      </c>
      <c r="L456" s="52">
        <f t="shared" si="7"/>
        <v>45595.59685</v>
      </c>
      <c r="M456" s="47" t="s">
        <v>5214</v>
      </c>
      <c r="N456" s="49"/>
      <c r="O456" s="49"/>
      <c r="P456" s="49"/>
      <c r="Q456" s="49"/>
      <c r="R456" s="49"/>
      <c r="S456" s="49"/>
      <c r="T456" s="49"/>
      <c r="U456" s="49"/>
      <c r="V456" s="49"/>
      <c r="W456" s="41" t="s">
        <v>618</v>
      </c>
      <c r="X456" s="46">
        <f t="shared" si="5"/>
        <v>45602.3859</v>
      </c>
      <c r="Y456" s="50" t="s">
        <v>482</v>
      </c>
      <c r="Z456" s="49">
        <f t="shared" si="6"/>
        <v>1</v>
      </c>
    </row>
    <row r="457" ht="22.5" customHeight="1">
      <c r="B457" s="41" t="s">
        <v>2562</v>
      </c>
      <c r="C457" s="43">
        <f t="array" ref="C457">IF(B457="","",_xlfn.XLOOKUP(B457,'Form responses 1'!$B$2:$B$2604,'Form responses 1'!$A$2:$A$2604,""))</f>
        <v>45594.49732</v>
      </c>
      <c r="D457" s="44" t="str">
        <f t="shared" si="3"/>
        <v>K/18/291024/1_45594.4973188079</v>
      </c>
      <c r="E457" s="44" t="str">
        <f t="array" ref="E457">IF(B457="","",_xlfn.XLOOKUP(B457,'Form responses 1'!$B$2:$B$2604,'Form responses 1'!$C$2:$C$2604,""))</f>
        <v>NOVALIA EKA PUTRI/ SITI NUR HAYANI</v>
      </c>
      <c r="F457" s="44" t="str">
        <f t="array" ref="F457">IF(B457="","",_xlfn.XLOOKUP(B457,'Form responses 1'!$B$2:$B$2604,'Form responses 1'!$D$2:$D$2604,""))</f>
        <v>089699476813</v>
      </c>
      <c r="G457" s="44" t="str">
        <f t="array" ref="G457">IF(B457="","",_xlfn.XLOOKUP(B457,'Form responses 1'!$B$2:$B$2604,'Form responses 1'!$E$2:$E$2604,""))</f>
        <v>BN JUAL BELI</v>
      </c>
      <c r="H457" s="44" t="str">
        <f t="array" ref="H457">IF(B457="","",_xlfn.XLOOKUP(B457,'Form responses 1'!$B$2:$B$2604,'Form responses 1'!$F$2:$F$2604,""))</f>
        <v>M. 1304/ Sumur Putri</v>
      </c>
      <c r="I457" s="44" t="str">
        <f t="array" ref="I457">IF(B457="","",_xlfn.XLOOKUP(B457,'Form responses 1'!$B$2:$B$2604,'Form responses 1'!$I$2:$I$2604,""))</f>
        <v>Sumur Putri</v>
      </c>
      <c r="J457" s="44" t="str">
        <f t="array" ref="J457">IF(B457="","",_xlfn.XLOOKUP(B457,'Form responses 1'!$B$2:$B$2604,'Form responses 1'!$G$2:$G$2604,""))</f>
        <v>Hananda</v>
      </c>
      <c r="K457" s="41" t="s">
        <v>587</v>
      </c>
      <c r="L457" s="52">
        <f t="shared" si="7"/>
        <v>45595.59717</v>
      </c>
      <c r="M457" s="47" t="s">
        <v>5214</v>
      </c>
      <c r="N457" s="49"/>
      <c r="O457" s="49"/>
      <c r="P457" s="49"/>
      <c r="Q457" s="49"/>
      <c r="R457" s="49"/>
      <c r="S457" s="49"/>
      <c r="T457" s="49"/>
      <c r="U457" s="49"/>
      <c r="V457" s="49"/>
      <c r="W457" s="41" t="s">
        <v>618</v>
      </c>
      <c r="X457" s="46">
        <f t="shared" si="5"/>
        <v>45602.38936</v>
      </c>
      <c r="Y457" s="50" t="s">
        <v>482</v>
      </c>
      <c r="Z457" s="49">
        <f t="shared" si="6"/>
        <v>1</v>
      </c>
    </row>
    <row r="458" ht="22.5" customHeight="1">
      <c r="B458" s="41" t="s">
        <v>2530</v>
      </c>
      <c r="C458" s="43">
        <f t="array" ref="C458">IF(B458="","",_xlfn.XLOOKUP(B458,'Form responses 1'!$B$2:$B$2604,'Form responses 1'!$A$2:$A$2604,""))</f>
        <v>45594.43416</v>
      </c>
      <c r="D458" s="44" t="str">
        <f t="shared" si="3"/>
        <v>K/9/291024/2_45594.4341552778</v>
      </c>
      <c r="E458" s="44" t="str">
        <f t="array" ref="E458">IF(B458="","",_xlfn.XLOOKUP(B458,'Form responses 1'!$B$2:$B$2604,'Form responses 1'!$C$2:$C$2604,""))</f>
        <v>SALIMAN/CITRA AYU WARDANI</v>
      </c>
      <c r="F458" s="44" t="str">
        <f t="array" ref="F458">IF(B458="","",_xlfn.XLOOKUP(B458,'Form responses 1'!$B$2:$B$2604,'Form responses 1'!$D$2:$D$2604,""))</f>
        <v>089633785366</v>
      </c>
      <c r="G458" s="44" t="str">
        <f t="array" ref="G458">IF(B458="","",_xlfn.XLOOKUP(B458,'Form responses 1'!$B$2:$B$2604,'Form responses 1'!$E$2:$E$2604,""))</f>
        <v>ROYA</v>
      </c>
      <c r="H458" s="44" t="str">
        <f t="array" ref="H458">IF(B458="","",_xlfn.XLOOKUP(B458,'Form responses 1'!$B$2:$B$2604,'Form responses 1'!$F$2:$F$2604,""))</f>
        <v>M.1586/SUMUR BATU;SHT. 5389/2018</v>
      </c>
      <c r="I458" s="44" t="str">
        <f t="array" ref="I458">IF(B458="","",_xlfn.XLOOKUP(B458,'Form responses 1'!$B$2:$B$2604,'Form responses 1'!$I$2:$I$2604,""))</f>
        <v>SUMUR BATU</v>
      </c>
      <c r="J458" s="44" t="str">
        <f t="array" ref="J458">IF(B458="","",_xlfn.XLOOKUP(B458,'Form responses 1'!$B$2:$B$2604,'Form responses 1'!$G$2:$G$2604,""))</f>
        <v>Baynur</v>
      </c>
      <c r="K458" s="41" t="s">
        <v>587</v>
      </c>
      <c r="L458" s="52">
        <f t="shared" si="7"/>
        <v>45595.59797</v>
      </c>
      <c r="M458" s="47" t="s">
        <v>5214</v>
      </c>
      <c r="N458" s="47"/>
      <c r="O458" s="49"/>
      <c r="P458" s="49"/>
      <c r="Q458" s="49"/>
      <c r="R458" s="49"/>
      <c r="S458" s="49"/>
      <c r="T458" s="49"/>
      <c r="U458" s="49"/>
      <c r="V458" s="49"/>
      <c r="W458" s="41" t="s">
        <v>618</v>
      </c>
      <c r="X458" s="46">
        <f t="shared" si="5"/>
        <v>45602.3942</v>
      </c>
      <c r="Y458" s="50" t="s">
        <v>482</v>
      </c>
      <c r="Z458" s="49">
        <f t="shared" si="6"/>
        <v>1</v>
      </c>
    </row>
    <row r="459" ht="22.5" customHeight="1">
      <c r="B459" s="41" t="s">
        <v>2605</v>
      </c>
      <c r="C459" s="43">
        <f t="array" ref="C459">IF(B459="","",_xlfn.XLOOKUP(B459,'Form responses 1'!$B$2:$B$2604,'Form responses 1'!$A$2:$A$2604,""))</f>
        <v>45594.58891</v>
      </c>
      <c r="D459" s="44" t="str">
        <f t="shared" si="3"/>
        <v>L/28/291024/1_45594.5889096065</v>
      </c>
      <c r="E459" s="44" t="str">
        <f t="array" ref="E459">IF(B459="","",_xlfn.XLOOKUP(B459,'Form responses 1'!$B$2:$B$2604,'Form responses 1'!$C$2:$C$2604,""))</f>
        <v>CIPTO NUGROHO</v>
      </c>
      <c r="F459" s="44" t="str">
        <f t="array" ref="F459">IF(B459="","",_xlfn.XLOOKUP(B459,'Form responses 1'!$B$2:$B$2604,'Form responses 1'!$D$2:$D$2604,""))</f>
        <v>081278572547</v>
      </c>
      <c r="G459" s="44" t="str">
        <f t="array" ref="G459">IF(B459="","",_xlfn.XLOOKUP(B459,'Form responses 1'!$B$2:$B$2604,'Form responses 1'!$E$2:$E$2604,""))</f>
        <v>ROYA</v>
      </c>
      <c r="H459" s="44" t="str">
        <f t="array" ref="H459">IF(B459="","",_xlfn.XLOOKUP(B459,'Form responses 1'!$B$2:$B$2604,'Form responses 1'!$F$2:$F$2604,""))</f>
        <v>M.13498/SUKABUMI;B.2732/SUKABUMI-DAHULU</v>
      </c>
      <c r="I459" s="44" t="str">
        <f t="array" ref="I459">IF(B459="","",_xlfn.XLOOKUP(B459,'Form responses 1'!$B$2:$B$2604,'Form responses 1'!$I$2:$I$2604,""))</f>
        <v>SUKABUMI</v>
      </c>
      <c r="J459" s="44" t="str">
        <f t="array" ref="J459">IF(B459="","",_xlfn.XLOOKUP(B459,'Form responses 1'!$B$2:$B$2604,'Form responses 1'!$G$2:$G$2604,""))</f>
        <v>Nuraini</v>
      </c>
      <c r="K459" s="41" t="s">
        <v>422</v>
      </c>
      <c r="L459" s="52">
        <f t="shared" si="7"/>
        <v>45595.59849</v>
      </c>
      <c r="M459" s="49"/>
      <c r="N459" s="49"/>
      <c r="O459" s="49"/>
      <c r="P459" s="49"/>
      <c r="Q459" s="49"/>
      <c r="R459" s="49"/>
      <c r="S459" s="49"/>
      <c r="T459" s="49"/>
      <c r="U459" s="49"/>
      <c r="V459" s="49"/>
      <c r="W459" s="41" t="s">
        <v>618</v>
      </c>
      <c r="X459" s="46">
        <f t="shared" si="5"/>
        <v>45600.39396</v>
      </c>
      <c r="Y459" s="50" t="s">
        <v>482</v>
      </c>
      <c r="Z459" s="49">
        <f t="shared" si="6"/>
        <v>0</v>
      </c>
    </row>
    <row r="460" ht="22.5" customHeight="1">
      <c r="B460" s="41" t="s">
        <v>2587</v>
      </c>
      <c r="C460" s="43">
        <f t="array" ref="C460">IF(B460="","",_xlfn.XLOOKUP(B460,'Form responses 1'!$B$2:$B$2604,'Form responses 1'!$A$2:$A$2604,""))</f>
        <v>45594.57503</v>
      </c>
      <c r="D460" s="44" t="str">
        <f t="shared" si="3"/>
        <v>K/24/291024/1_45594.5750266319</v>
      </c>
      <c r="E460" s="44" t="str">
        <f t="array" ref="E460">IF(B460="","",_xlfn.XLOOKUP(B460,'Form responses 1'!$B$2:$B$2604,'Form responses 1'!$C$2:$C$2604,""))</f>
        <v>JAMILAH SISWATI/AYI RUHIAT</v>
      </c>
      <c r="F460" s="44" t="str">
        <f t="array" ref="F460">IF(B460="","",_xlfn.XLOOKUP(B460,'Form responses 1'!$B$2:$B$2604,'Form responses 1'!$D$2:$D$2604,""))</f>
        <v>0812-7251-9799</v>
      </c>
      <c r="G460" s="44" t="str">
        <f t="array" ref="G460">IF(B460="","",_xlfn.XLOOKUP(B460,'Form responses 1'!$B$2:$B$2604,'Form responses 1'!$E$2:$E$2604,""))</f>
        <v>BN JUAL BELI</v>
      </c>
      <c r="H460" s="44" t="str">
        <f t="array" ref="H460">IF(B460="","",_xlfn.XLOOKUP(B460,'Form responses 1'!$B$2:$B$2604,'Form responses 1'!$F$2:$F$2604,""))</f>
        <v>B.138/KEMILING PERMAI </v>
      </c>
      <c r="I460" s="44" t="str">
        <f t="array" ref="I460">IF(B460="","",_xlfn.XLOOKUP(B460,'Form responses 1'!$B$2:$B$2604,'Form responses 1'!$I$2:$I$2604,""))</f>
        <v>KEMILING PERMAI </v>
      </c>
      <c r="J460" s="44" t="str">
        <f t="array" ref="J460">IF(B460="","",_xlfn.XLOOKUP(B460,'Form responses 1'!$B$2:$B$2604,'Form responses 1'!$G$2:$G$2604,""))</f>
        <v>Baynur</v>
      </c>
      <c r="K460" s="41" t="s">
        <v>587</v>
      </c>
      <c r="L460" s="52">
        <f t="shared" si="7"/>
        <v>45595.59921</v>
      </c>
      <c r="M460" s="47" t="s">
        <v>470</v>
      </c>
      <c r="N460" s="49"/>
      <c r="O460" s="49"/>
      <c r="P460" s="49"/>
      <c r="Q460" s="49"/>
      <c r="R460" s="49"/>
      <c r="S460" s="49"/>
      <c r="T460" s="49"/>
      <c r="U460" s="49"/>
      <c r="V460" s="49"/>
      <c r="W460" s="41" t="s">
        <v>470</v>
      </c>
      <c r="X460" s="46">
        <f t="shared" si="5"/>
        <v>45602.39736</v>
      </c>
      <c r="Y460" s="50" t="s">
        <v>482</v>
      </c>
      <c r="Z460" s="49">
        <f t="shared" si="6"/>
        <v>1</v>
      </c>
    </row>
    <row r="461" ht="22.5" customHeight="1">
      <c r="B461" s="41" t="s">
        <v>2644</v>
      </c>
      <c r="C461" s="43">
        <f t="array" ref="C461">IF(B461="","",_xlfn.XLOOKUP(B461,'Form responses 1'!$B$2:$B$2604,'Form responses 1'!$A$2:$A$2604,""))</f>
        <v>45594.62134</v>
      </c>
      <c r="D461" s="44" t="str">
        <f t="shared" si="3"/>
        <v>L/38/291024/1_45594.6213387269</v>
      </c>
      <c r="E461" s="44" t="str">
        <f t="array" ref="E461">IF(B461="","",_xlfn.XLOOKUP(B461,'Form responses 1'!$B$2:$B$2604,'Form responses 1'!$C$2:$C$2604,""))</f>
        <v>MADE JANJI</v>
      </c>
      <c r="F461" s="44" t="str">
        <f t="array" ref="F461">IF(B461="","",_xlfn.XLOOKUP(B461,'Form responses 1'!$B$2:$B$2604,'Form responses 1'!$D$2:$D$2604,""))</f>
        <v>082185222224</v>
      </c>
      <c r="G461" s="44" t="str">
        <f t="array" ref="G461">IF(B461="","",_xlfn.XLOOKUP(B461,'Form responses 1'!$B$2:$B$2604,'Form responses 1'!$E$2:$E$2604,""))</f>
        <v>ROYA</v>
      </c>
      <c r="H461" s="44" t="str">
        <f t="array" ref="H461">IF(B461="","",_xlfn.XLOOKUP(B461,'Form responses 1'!$B$2:$B$2604,'Form responses 1'!$F$2:$F$2604,""))</f>
        <v>HM 29/RAJABASA NUNYAI</v>
      </c>
      <c r="I461" s="44" t="str">
        <f t="array" ref="I461">IF(B461="","",_xlfn.XLOOKUP(B461,'Form responses 1'!$B$2:$B$2604,'Form responses 1'!$I$2:$I$2604,""))</f>
        <v>RAJABASA NUNYAI</v>
      </c>
      <c r="J461" s="44" t="str">
        <f t="array" ref="J461">IF(B461="","",_xlfn.XLOOKUP(B461,'Form responses 1'!$B$2:$B$2604,'Form responses 1'!$G$2:$G$2604,""))</f>
        <v>Deby</v>
      </c>
      <c r="K461" s="41" t="s">
        <v>1233</v>
      </c>
      <c r="L461" s="52">
        <f t="shared" si="7"/>
        <v>45596.35077</v>
      </c>
      <c r="M461" s="49"/>
      <c r="N461" s="49"/>
      <c r="O461" s="49"/>
      <c r="P461" s="49"/>
      <c r="Q461" s="49"/>
      <c r="R461" s="49"/>
      <c r="S461" s="49"/>
      <c r="T461" s="49"/>
      <c r="U461" s="49"/>
      <c r="V461" s="49"/>
      <c r="W461" s="41" t="s">
        <v>618</v>
      </c>
      <c r="X461" s="46">
        <f t="shared" si="5"/>
        <v>45596.35084</v>
      </c>
      <c r="Y461" s="50" t="s">
        <v>482</v>
      </c>
      <c r="Z461" s="49">
        <f t="shared" si="6"/>
        <v>0</v>
      </c>
    </row>
    <row r="462" ht="22.5" customHeight="1">
      <c r="B462" s="41" t="s">
        <v>2565</v>
      </c>
      <c r="C462" s="43">
        <f t="array" ref="C462">IF(B462="","",_xlfn.XLOOKUP(B462,'Form responses 1'!$B$2:$B$2604,'Form responses 1'!$A$2:$A$2604,""))</f>
        <v>45594.49442</v>
      </c>
      <c r="D462" s="44" t="str">
        <f t="shared" si="3"/>
        <v>K/17/291024/1_45594.4944190046</v>
      </c>
      <c r="E462" s="44" t="str">
        <f t="array" ref="E462">IF(B462="","",_xlfn.XLOOKUP(B462,'Form responses 1'!$B$2:$B$2604,'Form responses 1'!$C$2:$C$2604,""))</f>
        <v>Romi Zam Zami/ Lendrawati</v>
      </c>
      <c r="F462" s="44" t="str">
        <f t="array" ref="F462">IF(B462="","",_xlfn.XLOOKUP(B462,'Form responses 1'!$B$2:$B$2604,'Form responses 1'!$D$2:$D$2604,""))</f>
        <v>082177919544</v>
      </c>
      <c r="G462" s="44" t="str">
        <f t="array" ref="G462">IF(B462="","",_xlfn.XLOOKUP(B462,'Form responses 1'!$B$2:$B$2604,'Form responses 1'!$E$2:$E$2604,""))</f>
        <v>SKPT Informasi</v>
      </c>
      <c r="H462" s="44" t="str">
        <f t="array" ref="H462">IF(B462="","",_xlfn.XLOOKUP(B462,'Form responses 1'!$B$2:$B$2604,'Form responses 1'!$F$2:$F$2604,""))</f>
        <v>NIbel. B. 133/ Kelapa Tiga</v>
      </c>
      <c r="I462" s="44" t="str">
        <f t="array" ref="I462">IF(B462="","",_xlfn.XLOOKUP(B462,'Form responses 1'!$B$2:$B$2604,'Form responses 1'!$I$2:$I$2604,""))</f>
        <v> Kelapa Tiga</v>
      </c>
      <c r="J462" s="44" t="str">
        <f t="array" ref="J462">IF(B462="","",_xlfn.XLOOKUP(B462,'Form responses 1'!$B$2:$B$2604,'Form responses 1'!$G$2:$G$2604,""))</f>
        <v>Rapita</v>
      </c>
      <c r="K462" s="41" t="s">
        <v>1233</v>
      </c>
      <c r="L462" s="52">
        <f t="shared" si="7"/>
        <v>45596.35416</v>
      </c>
      <c r="M462" s="49"/>
      <c r="N462" s="49"/>
      <c r="O462" s="49"/>
      <c r="P462" s="49"/>
      <c r="Q462" s="49"/>
      <c r="R462" s="49"/>
      <c r="S462" s="49"/>
      <c r="T462" s="49"/>
      <c r="U462" s="49"/>
      <c r="V462" s="49"/>
      <c r="W462" s="41" t="s">
        <v>618</v>
      </c>
      <c r="X462" s="46">
        <f t="shared" si="5"/>
        <v>45596.35422</v>
      </c>
      <c r="Y462" s="50" t="s">
        <v>482</v>
      </c>
      <c r="Z462" s="49">
        <f t="shared" si="6"/>
        <v>0</v>
      </c>
    </row>
    <row r="463" ht="22.5" customHeight="1">
      <c r="B463" s="41" t="s">
        <v>2581</v>
      </c>
      <c r="C463" s="43">
        <f t="array" ref="C463">IF(B463="","",_xlfn.XLOOKUP(B463,'Form responses 1'!$B$2:$B$2604,'Form responses 1'!$A$2:$A$2604,""))</f>
        <v>45594.5712</v>
      </c>
      <c r="D463" s="44" t="str">
        <f t="shared" si="3"/>
        <v>K/21/291024/1_45594.5712043519</v>
      </c>
      <c r="E463" s="44" t="str">
        <f t="array" ref="E463">IF(B463="","",_xlfn.XLOOKUP(B463,'Form responses 1'!$B$2:$B$2604,'Form responses 1'!$C$2:$C$2604,""))</f>
        <v>Endang Aprilia/ Raras F</v>
      </c>
      <c r="F463" s="44" t="str">
        <f t="array" ref="F463">IF(B463="","",_xlfn.XLOOKUP(B463,'Form responses 1'!$B$2:$B$2604,'Form responses 1'!$D$2:$D$2604,""))</f>
        <v>+62 822-8923-5722</v>
      </c>
      <c r="G463" s="44" t="str">
        <f t="array" ref="G463">IF(B463="","",_xlfn.XLOOKUP(B463,'Form responses 1'!$B$2:$B$2604,'Form responses 1'!$E$2:$E$2604,""))</f>
        <v>Perubahan Hak</v>
      </c>
      <c r="H463" s="44" t="str">
        <f t="array" ref="H463">IF(B463="","",_xlfn.XLOOKUP(B463,'Form responses 1'!$B$2:$B$2604,'Form responses 1'!$F$2:$F$2604,""))</f>
        <v>Nibel. B. 1478/ Kemiling Permai</v>
      </c>
      <c r="I463" s="44" t="str">
        <f t="array" ref="I463">IF(B463="","",_xlfn.XLOOKUP(B463,'Form responses 1'!$B$2:$B$2604,'Form responses 1'!$I$2:$I$2604,""))</f>
        <v>Kemiling Permai</v>
      </c>
      <c r="J463" s="44" t="str">
        <f t="array" ref="J463">IF(B463="","",_xlfn.XLOOKUP(B463,'Form responses 1'!$B$2:$B$2604,'Form responses 1'!$G$2:$G$2604,""))</f>
        <v>Rapita</v>
      </c>
      <c r="K463" s="41" t="s">
        <v>1233</v>
      </c>
      <c r="L463" s="52">
        <f t="shared" si="7"/>
        <v>45596.35453</v>
      </c>
      <c r="M463" s="47" t="s">
        <v>5329</v>
      </c>
      <c r="N463" s="49"/>
      <c r="O463" s="49"/>
      <c r="P463" s="49"/>
      <c r="Q463" s="49"/>
      <c r="R463" s="49"/>
      <c r="S463" s="49"/>
      <c r="T463" s="49"/>
      <c r="U463" s="49"/>
      <c r="V463" s="49"/>
      <c r="W463" s="41" t="s">
        <v>618</v>
      </c>
      <c r="X463" s="46">
        <f t="shared" si="5"/>
        <v>45609.63784</v>
      </c>
      <c r="Y463" s="50" t="s">
        <v>482</v>
      </c>
      <c r="Z463" s="49">
        <f t="shared" si="6"/>
        <v>1</v>
      </c>
    </row>
    <row r="464" ht="22.5" customHeight="1">
      <c r="B464" s="41" t="s">
        <v>2577</v>
      </c>
      <c r="C464" s="43">
        <f t="array" ref="C464">IF(B464="","",_xlfn.XLOOKUP(B464,'Form responses 1'!$B$2:$B$2604,'Form responses 1'!$A$2:$A$2604,""))</f>
        <v>45594.56794</v>
      </c>
      <c r="D464" s="44" t="str">
        <f t="shared" si="3"/>
        <v>L/23/291024/1_45594.5679422685</v>
      </c>
      <c r="E464" s="44" t="str">
        <f t="array" ref="E464">IF(B464="","",_xlfn.XLOOKUP(B464,'Form responses 1'!$B$2:$B$2604,'Form responses 1'!$C$2:$C$2604,""))</f>
        <v>LINDA AMELIA</v>
      </c>
      <c r="F464" s="44" t="str">
        <f t="array" ref="F464">IF(B464="","",_xlfn.XLOOKUP(B464,'Form responses 1'!$B$2:$B$2604,'Form responses 1'!$D$2:$D$2604,""))</f>
        <v>081272702870</v>
      </c>
      <c r="G464" s="44" t="str">
        <f t="array" ref="G464">IF(B464="","",_xlfn.XLOOKUP(B464,'Form responses 1'!$B$2:$B$2604,'Form responses 1'!$E$2:$E$2604,""))</f>
        <v>ROYA</v>
      </c>
      <c r="H464" s="44" t="str">
        <f t="array" ref="H464">IF(B464="","",_xlfn.XLOOKUP(B464,'Form responses 1'!$B$2:$B$2604,'Form responses 1'!$F$2:$F$2604,""))</f>
        <v>M.2281/SU HAM</v>
      </c>
      <c r="I464" s="44" t="str">
        <f t="array" ref="I464">IF(B464="","",_xlfn.XLOOKUP(B464,'Form responses 1'!$B$2:$B$2604,'Form responses 1'!$I$2:$I$2604,""))</f>
        <v>SUKADANA HAM</v>
      </c>
      <c r="J464" s="44" t="str">
        <f t="array" ref="J464">IF(B464="","",_xlfn.XLOOKUP(B464,'Form responses 1'!$B$2:$B$2604,'Form responses 1'!$G$2:$G$2604,""))</f>
        <v>Nuraini</v>
      </c>
      <c r="K464" s="41" t="s">
        <v>1233</v>
      </c>
      <c r="L464" s="52">
        <f t="shared" si="7"/>
        <v>45596.35763</v>
      </c>
      <c r="M464" s="49"/>
      <c r="N464" s="49"/>
      <c r="O464" s="49"/>
      <c r="P464" s="49"/>
      <c r="Q464" s="49"/>
      <c r="R464" s="49"/>
      <c r="S464" s="49"/>
      <c r="T464" s="49"/>
      <c r="U464" s="49"/>
      <c r="V464" s="49"/>
      <c r="W464" s="41" t="s">
        <v>618</v>
      </c>
      <c r="X464" s="46">
        <f t="shared" si="5"/>
        <v>45596.36045</v>
      </c>
      <c r="Y464" s="50" t="s">
        <v>482</v>
      </c>
      <c r="Z464" s="49">
        <f t="shared" si="6"/>
        <v>0</v>
      </c>
    </row>
    <row r="465" ht="22.5" customHeight="1">
      <c r="B465" s="41" t="s">
        <v>2546</v>
      </c>
      <c r="C465" s="43">
        <f t="array" ref="C465">IF(B465="","",_xlfn.XLOOKUP(B465,'Form responses 1'!$B$2:$B$2604,'Form responses 1'!$A$2:$A$2604,""))</f>
        <v>45594.47251</v>
      </c>
      <c r="D465" s="44" t="str">
        <f t="shared" si="3"/>
        <v>K/13/291024/1_45594.4725054977</v>
      </c>
      <c r="E465" s="44" t="str">
        <f t="array" ref="E465">IF(B465="","",_xlfn.XLOOKUP(B465,'Form responses 1'!$B$2:$B$2604,'Form responses 1'!$C$2:$C$2604,""))</f>
        <v>FITROUL/AMARULLAH</v>
      </c>
      <c r="F465" s="44" t="str">
        <f t="array" ref="F465">IF(B465="","",_xlfn.XLOOKUP(B465,'Form responses 1'!$B$2:$B$2604,'Form responses 1'!$D$2:$D$2604,""))</f>
        <v>0812-7906-5959</v>
      </c>
      <c r="G465" s="44" t="str">
        <f t="array" ref="G465">IF(B465="","",_xlfn.XLOOKUP(B465,'Form responses 1'!$B$2:$B$2604,'Form responses 1'!$E$2:$E$2604,""))</f>
        <v>BN JUAL BELI </v>
      </c>
      <c r="H465" s="44" t="str">
        <f t="array" ref="H465">IF(B465="","",_xlfn.XLOOKUP(B465,'Form responses 1'!$B$2:$B$2604,'Form responses 1'!$F$2:$F$2604,""))</f>
        <v>M.14139/KEDAMAIAN</v>
      </c>
      <c r="I465" s="44" t="str">
        <f t="array" ref="I465">IF(B465="","",_xlfn.XLOOKUP(B465,'Form responses 1'!$B$2:$B$2604,'Form responses 1'!$I$2:$I$2604,""))</f>
        <v>KEDAMAIAN</v>
      </c>
      <c r="J465" s="44" t="str">
        <f t="array" ref="J465">IF(B465="","",_xlfn.XLOOKUP(B465,'Form responses 1'!$B$2:$B$2604,'Form responses 1'!$G$2:$G$2604,""))</f>
        <v>Baynur</v>
      </c>
      <c r="K465" s="41" t="s">
        <v>1233</v>
      </c>
      <c r="L465" s="52">
        <f t="shared" si="7"/>
        <v>45596.39576</v>
      </c>
      <c r="M465" s="49"/>
      <c r="N465" s="49"/>
      <c r="O465" s="49"/>
      <c r="P465" s="49"/>
      <c r="Q465" s="49"/>
      <c r="R465" s="49"/>
      <c r="S465" s="49"/>
      <c r="T465" s="49"/>
      <c r="U465" s="49"/>
      <c r="V465" s="49"/>
      <c r="W465" s="41" t="s">
        <v>618</v>
      </c>
      <c r="X465" s="46">
        <f t="shared" si="5"/>
        <v>45596.39981</v>
      </c>
      <c r="Y465" s="50" t="s">
        <v>482</v>
      </c>
      <c r="Z465" s="49">
        <f t="shared" si="6"/>
        <v>0</v>
      </c>
    </row>
    <row r="466" ht="22.5" customHeight="1">
      <c r="B466" s="41" t="s">
        <v>2513</v>
      </c>
      <c r="C466" s="43">
        <f t="array" ref="C466">IF(B466="","",_xlfn.XLOOKUP(B466,'Form responses 1'!$B$2:$B$2604,'Form responses 1'!$A$2:$A$2604,""))</f>
        <v>45594.42349</v>
      </c>
      <c r="D466" s="44" t="str">
        <f t="shared" si="3"/>
        <v>K/5/291024/1_45594.4234926157</v>
      </c>
      <c r="E466" s="44" t="str">
        <f t="array" ref="E466">IF(B466="","",_xlfn.XLOOKUP(B466,'Form responses 1'!$B$2:$B$2604,'Form responses 1'!$C$2:$C$2604,""))</f>
        <v>DYAH NINGTIYASTUTI/ISMARINA</v>
      </c>
      <c r="F466" s="44" t="str">
        <f t="array" ref="F466">IF(B466="","",_xlfn.XLOOKUP(B466,'Form responses 1'!$B$2:$B$2604,'Form responses 1'!$D$2:$D$2604,""))</f>
        <v>0813-6761-0046</v>
      </c>
      <c r="G466" s="44" t="str">
        <f t="array" ref="G466">IF(B466="","",_xlfn.XLOOKUP(B466,'Form responses 1'!$B$2:$B$2604,'Form responses 1'!$E$2:$E$2604,""))</f>
        <v>BN JUAL BELI</v>
      </c>
      <c r="H466" s="44" t="str">
        <f t="array" ref="H466">IF(B466="","",_xlfn.XLOOKUP(B466,'Form responses 1'!$B$2:$B$2604,'Form responses 1'!$F$2:$F$2604,""))</f>
        <v>M.1397/RAJABASA NUNYAI-SEKARANG;B.346/RAJABASA NUNYAI-DAHULU</v>
      </c>
      <c r="I466" s="44" t="str">
        <f t="array" ref="I466">IF(B466="","",_xlfn.XLOOKUP(B466,'Form responses 1'!$B$2:$B$2604,'Form responses 1'!$I$2:$I$2604,""))</f>
        <v>RAJABASA NUNYAI</v>
      </c>
      <c r="J466" s="44" t="str">
        <f t="array" ref="J466">IF(B466="","",_xlfn.XLOOKUP(B466,'Form responses 1'!$B$2:$B$2604,'Form responses 1'!$G$2:$G$2604,""))</f>
        <v>Baynur</v>
      </c>
      <c r="K466" s="41" t="s">
        <v>1233</v>
      </c>
      <c r="L466" s="52">
        <f t="shared" si="7"/>
        <v>45596.40007</v>
      </c>
      <c r="M466" s="49"/>
      <c r="N466" s="49"/>
      <c r="O466" s="49"/>
      <c r="P466" s="49"/>
      <c r="Q466" s="49"/>
      <c r="R466" s="49"/>
      <c r="S466" s="49"/>
      <c r="T466" s="49"/>
      <c r="U466" s="49"/>
      <c r="V466" s="49"/>
      <c r="W466" s="41" t="s">
        <v>618</v>
      </c>
      <c r="X466" s="46">
        <f t="shared" si="5"/>
        <v>45596.40675</v>
      </c>
      <c r="Y466" s="50" t="s">
        <v>482</v>
      </c>
      <c r="Z466" s="49">
        <f t="shared" si="6"/>
        <v>0</v>
      </c>
    </row>
    <row r="467" ht="22.5" customHeight="1">
      <c r="B467" s="41" t="s">
        <v>2408</v>
      </c>
      <c r="C467" s="43">
        <f t="array" ref="C467">IF(B467="","",_xlfn.XLOOKUP(B467,'Form responses 1'!$B$2:$B$2604,'Form responses 1'!$A$2:$A$2604,""))</f>
        <v>45593.47323</v>
      </c>
      <c r="D467" s="44" t="str">
        <f t="shared" si="3"/>
        <v>K/23/281024/1_45593.4732286921</v>
      </c>
      <c r="E467" s="44" t="str">
        <f t="array" ref="E467">IF(B467="","",_xlfn.XLOOKUP(B467,'Form responses 1'!$B$2:$B$2604,'Form responses 1'!$C$2:$C$2604,""))</f>
        <v>Ria Yuliana/ Redo R</v>
      </c>
      <c r="F467" s="44" t="str">
        <f t="array" ref="F467">IF(B467="","",_xlfn.XLOOKUP(B467,'Form responses 1'!$B$2:$B$2604,'Form responses 1'!$D$2:$D$2604,""))</f>
        <v>085764679569</v>
      </c>
      <c r="G467" s="44" t="str">
        <f t="array" ref="G467">IF(B467="","",_xlfn.XLOOKUP(B467,'Form responses 1'!$B$2:$B$2604,'Form responses 1'!$E$2:$E$2604,""))</f>
        <v>BN Jual Beli</v>
      </c>
      <c r="H467" s="44" t="str">
        <f t="array" ref="H467">IF(B467="","",_xlfn.XLOOKUP(B467,'Form responses 1'!$B$2:$B$2604,'Form responses 1'!$F$2:$F$2604,""))</f>
        <v>Nibel. M. 1929/ Beringin Raya</v>
      </c>
      <c r="I467" s="44" t="str">
        <f t="array" ref="I467">IF(B467="","",_xlfn.XLOOKUP(B467,'Form responses 1'!$B$2:$B$2604,'Form responses 1'!$I$2:$I$2604,""))</f>
        <v>Beringin Raya</v>
      </c>
      <c r="J467" s="44" t="str">
        <f t="array" ref="J467">IF(B467="","",_xlfn.XLOOKUP(B467,'Form responses 1'!$B$2:$B$2604,'Form responses 1'!$G$2:$G$2604,""))</f>
        <v>Rapita</v>
      </c>
      <c r="K467" s="41" t="s">
        <v>5390</v>
      </c>
      <c r="L467" s="52">
        <f t="shared" si="7"/>
        <v>45596.52883</v>
      </c>
      <c r="M467" s="49"/>
      <c r="N467" s="49"/>
      <c r="O467" s="49"/>
      <c r="P467" s="49"/>
      <c r="Q467" s="49"/>
      <c r="R467" s="49"/>
      <c r="S467" s="49"/>
      <c r="T467" s="49"/>
      <c r="U467" s="49"/>
      <c r="V467" s="49"/>
      <c r="W467" s="41" t="s">
        <v>618</v>
      </c>
      <c r="X467" s="46">
        <f t="shared" si="5"/>
        <v>45596.52889</v>
      </c>
      <c r="Y467" s="50" t="s">
        <v>482</v>
      </c>
      <c r="Z467" s="49">
        <f t="shared" si="6"/>
        <v>0</v>
      </c>
    </row>
    <row r="468" ht="22.5" customHeight="1">
      <c r="B468" s="41" t="s">
        <v>2276</v>
      </c>
      <c r="C468" s="43">
        <f t="array" ref="C468">IF(B468="","",_xlfn.XLOOKUP(B468,'Form responses 1'!$B$2:$B$2604,'Form responses 1'!$A$2:$A$2604,""))</f>
        <v>45590.62099</v>
      </c>
      <c r="D468" s="44" t="str">
        <f t="shared" si="3"/>
        <v>K/50/251024/1_45590.6209889005</v>
      </c>
      <c r="E468" s="44" t="str">
        <f t="array" ref="E468">IF(B468="","",_xlfn.XLOOKUP(B468,'Form responses 1'!$B$2:$B$2604,'Form responses 1'!$C$2:$C$2604,""))</f>
        <v>Fahrul Rozi/ Titien A</v>
      </c>
      <c r="F468" s="44" t="str">
        <f t="array" ref="F468">IF(B468="","",_xlfn.XLOOKUP(B468,'Form responses 1'!$B$2:$B$2604,'Form responses 1'!$D$2:$D$2604,""))</f>
        <v>+62 821-7585-0002</v>
      </c>
      <c r="G468" s="44" t="str">
        <f t="array" ref="G468">IF(B468="","",_xlfn.XLOOKUP(B468,'Form responses 1'!$B$2:$B$2604,'Form responses 1'!$E$2:$E$2604,""))</f>
        <v>BN Jual Beli</v>
      </c>
      <c r="H468" s="44" t="str">
        <f t="array" ref="H468">IF(B468="","",_xlfn.XLOOKUP(B468,'Form responses 1'!$B$2:$B$2604,'Form responses 1'!$F$2:$F$2604,""))</f>
        <v>Nibel. M. 2897/ Kota Baru</v>
      </c>
      <c r="I468" s="44" t="str">
        <f t="array" ref="I468">IF(B468="","",_xlfn.XLOOKUP(B468,'Form responses 1'!$B$2:$B$2604,'Form responses 1'!$I$2:$I$2604,""))</f>
        <v>Kota Baru</v>
      </c>
      <c r="J468" s="44" t="str">
        <f t="array" ref="J468">IF(B468="","",_xlfn.XLOOKUP(B468,'Form responses 1'!$B$2:$B$2604,'Form responses 1'!$G$2:$G$2604,""))</f>
        <v>Rapita</v>
      </c>
      <c r="K468" s="41" t="s">
        <v>5390</v>
      </c>
      <c r="L468" s="52">
        <f t="shared" si="7"/>
        <v>45596.52912</v>
      </c>
      <c r="M468" s="49"/>
      <c r="N468" s="49"/>
      <c r="O468" s="49"/>
      <c r="P468" s="49"/>
      <c r="Q468" s="49"/>
      <c r="R468" s="49"/>
      <c r="S468" s="49"/>
      <c r="T468" s="49"/>
      <c r="U468" s="49"/>
      <c r="V468" s="49"/>
      <c r="W468" s="41" t="s">
        <v>618</v>
      </c>
      <c r="X468" s="46">
        <f t="shared" si="5"/>
        <v>45596.52918</v>
      </c>
      <c r="Y468" s="50" t="s">
        <v>482</v>
      </c>
      <c r="Z468" s="49">
        <f t="shared" si="6"/>
        <v>0</v>
      </c>
    </row>
    <row r="469" ht="22.5" customHeight="1">
      <c r="B469" s="41" t="s">
        <v>2114</v>
      </c>
      <c r="C469" s="43">
        <f t="array" ref="C469">IF(B469="","",_xlfn.XLOOKUP(B469,'Form responses 1'!$B$2:$B$2604,'Form responses 1'!$A$2:$A$2604,""))</f>
        <v>45590.42726</v>
      </c>
      <c r="D469" s="44" t="str">
        <f t="shared" si="3"/>
        <v>K/7/251024/2_45590.4272606481</v>
      </c>
      <c r="E469" s="44" t="str">
        <f t="array" ref="E469">IF(B469="","",_xlfn.XLOOKUP(B469,'Form responses 1'!$B$2:$B$2604,'Form responses 1'!$C$2:$C$2604,""))</f>
        <v>ELMIRA TJAHYA/KHRESNA DJUAINI</v>
      </c>
      <c r="F469" s="44" t="str">
        <f t="array" ref="F469">IF(B469="","",_xlfn.XLOOKUP(B469,'Form responses 1'!$B$2:$B$2604,'Form responses 1'!$D$2:$D$2604,""))</f>
        <v>089506584856</v>
      </c>
      <c r="G469" s="44" t="str">
        <f t="array" ref="G469">IF(B469="","",_xlfn.XLOOKUP(B469,'Form responses 1'!$B$2:$B$2604,'Form responses 1'!$E$2:$E$2604,""))</f>
        <v>BN HIBAH </v>
      </c>
      <c r="H469" s="44" t="str">
        <f t="array" ref="H469">IF(B469="","",_xlfn.XLOOKUP(B469,'Form responses 1'!$B$2:$B$2604,'Form responses 1'!$F$2:$F$2604,""))</f>
        <v>NIBEL B.2134/KAMPUNG BARU RAYA</v>
      </c>
      <c r="I469" s="44" t="str">
        <f t="array" ref="I469">IF(B469="","",_xlfn.XLOOKUP(B469,'Form responses 1'!$B$2:$B$2604,'Form responses 1'!$I$2:$I$2604,""))</f>
        <v>KAMPUNG BARU RAYA</v>
      </c>
      <c r="J469" s="44" t="str">
        <f t="array" ref="J469">IF(B469="","",_xlfn.XLOOKUP(B469,'Form responses 1'!$B$2:$B$2604,'Form responses 1'!$G$2:$G$2604,""))</f>
        <v>Baynur</v>
      </c>
      <c r="K469" s="41" t="s">
        <v>5390</v>
      </c>
      <c r="L469" s="52">
        <f t="shared" si="7"/>
        <v>45596.52945</v>
      </c>
      <c r="M469" s="49"/>
      <c r="N469" s="49"/>
      <c r="O469" s="49"/>
      <c r="P469" s="49"/>
      <c r="Q469" s="49"/>
      <c r="R469" s="49"/>
      <c r="S469" s="49"/>
      <c r="T469" s="49"/>
      <c r="U469" s="49"/>
      <c r="V469" s="49"/>
      <c r="W469" s="41" t="s">
        <v>618</v>
      </c>
      <c r="X469" s="46">
        <f t="shared" si="5"/>
        <v>45596.5295</v>
      </c>
      <c r="Y469" s="50" t="s">
        <v>482</v>
      </c>
      <c r="Z469" s="49">
        <f t="shared" si="6"/>
        <v>0</v>
      </c>
    </row>
    <row r="470" ht="22.5" customHeight="1">
      <c r="B470" s="41" t="s">
        <v>2394</v>
      </c>
      <c r="C470" s="43">
        <f t="array" ref="C470">IF(B470="","",_xlfn.XLOOKUP(B470,'Form responses 1'!$B$2:$B$2604,'Form responses 1'!$A$2:$A$2604,""))</f>
        <v>45593.47227</v>
      </c>
      <c r="D470" s="44" t="str">
        <f t="shared" si="3"/>
        <v>K/18/281024/1_45593.4722663542</v>
      </c>
      <c r="E470" s="44" t="str">
        <f t="array" ref="E470">IF(B470="","",_xlfn.XLOOKUP(B470,'Form responses 1'!$B$2:$B$2604,'Form responses 1'!$C$2:$C$2604,""))</f>
        <v>Heriyantoni/ Merlinda Yanti</v>
      </c>
      <c r="F470" s="44" t="str">
        <f t="array" ref="F470">IF(B470="","",_xlfn.XLOOKUP(B470,'Form responses 1'!$B$2:$B$2604,'Form responses 1'!$D$2:$D$2604,""))</f>
        <v>+62 812-7155-6796</v>
      </c>
      <c r="G470" s="44" t="str">
        <f t="array" ref="G470">IF(B470="","",_xlfn.XLOOKUP(B470,'Form responses 1'!$B$2:$B$2604,'Form responses 1'!$E$2:$E$2604,""))</f>
        <v>BN Jual Beli</v>
      </c>
      <c r="H470" s="44" t="str">
        <f t="array" ref="H470">IF(B470="","",_xlfn.XLOOKUP(B470,'Form responses 1'!$B$2:$B$2604,'Form responses 1'!$F$2:$F$2604,""))</f>
        <v>M. 811/ Way Dadi</v>
      </c>
      <c r="I470" s="44" t="str">
        <f t="array" ref="I470">IF(B470="","",_xlfn.XLOOKUP(B470,'Form responses 1'!$B$2:$B$2604,'Form responses 1'!$I$2:$I$2604,""))</f>
        <v>Way Kandis</v>
      </c>
      <c r="J470" s="44" t="str">
        <f t="array" ref="J470">IF(B470="","",_xlfn.XLOOKUP(B470,'Form responses 1'!$B$2:$B$2604,'Form responses 1'!$G$2:$G$2604,""))</f>
        <v>Rapita</v>
      </c>
      <c r="K470" s="41" t="s">
        <v>5390</v>
      </c>
      <c r="L470" s="52">
        <f t="shared" si="7"/>
        <v>45596.52978</v>
      </c>
      <c r="M470" s="49"/>
      <c r="N470" s="49"/>
      <c r="O470" s="49"/>
      <c r="P470" s="49"/>
      <c r="Q470" s="49"/>
      <c r="R470" s="49"/>
      <c r="S470" s="49"/>
      <c r="T470" s="49"/>
      <c r="U470" s="49"/>
      <c r="V470" s="49"/>
      <c r="W470" s="41" t="s">
        <v>618</v>
      </c>
      <c r="X470" s="46">
        <f t="shared" si="5"/>
        <v>45596.52983</v>
      </c>
      <c r="Y470" s="50" t="s">
        <v>482</v>
      </c>
      <c r="Z470" s="49">
        <f t="shared" si="6"/>
        <v>0</v>
      </c>
    </row>
    <row r="471" ht="22.5" customHeight="1">
      <c r="B471" s="41" t="s">
        <v>1155</v>
      </c>
      <c r="C471" s="43">
        <f t="array" ref="C471">IF(B471="","",_xlfn.XLOOKUP(B471,'Form responses 1'!$B$2:$B$2604,'Form responses 1'!$A$2:$A$2604,""))</f>
        <v>45583.62462</v>
      </c>
      <c r="D471" s="44" t="str">
        <f t="shared" si="3"/>
        <v>K/45/181024/1_45583.624623831</v>
      </c>
      <c r="E471" s="44" t="str">
        <f t="array" ref="E471">IF(B471="","",_xlfn.XLOOKUP(B471,'Form responses 1'!$B$2:$B$2604,'Form responses 1'!$C$2:$C$2604,""))</f>
        <v>SITI KHONNIA/ANDRI NOVIAR</v>
      </c>
      <c r="F471" s="44" t="str">
        <f t="array" ref="F471">IF(B471="","",_xlfn.XLOOKUP(B471,'Form responses 1'!$B$2:$B$2604,'Form responses 1'!$D$2:$D$2604,""))</f>
        <v>0899-6468-550</v>
      </c>
      <c r="G471" s="44" t="str">
        <f t="array" ref="G471">IF(B471="","",_xlfn.XLOOKUP(B471,'Form responses 1'!$B$2:$B$2604,'Form responses 1'!$E$2:$E$2604,""))</f>
        <v>KEWARISAN</v>
      </c>
      <c r="H471" s="44" t="str">
        <f t="array" ref="H471">IF(B471="","",_xlfn.XLOOKUP(B471,'Form responses 1'!$B$2:$B$2604,'Form responses 1'!$F$2:$F$2604,""))</f>
        <v>M.2473/RAJABASA JAYA</v>
      </c>
      <c r="I471" s="44" t="str">
        <f t="array" ref="I471">IF(B471="","",_xlfn.XLOOKUP(B471,'Form responses 1'!$B$2:$B$2604,'Form responses 1'!$I$2:$I$2604,""))</f>
        <v>RAJABASA JAYA</v>
      </c>
      <c r="J471" s="44" t="str">
        <f t="array" ref="J471">IF(B471="","",_xlfn.XLOOKUP(B471,'Form responses 1'!$B$2:$B$2604,'Form responses 1'!$G$2:$G$2604,""))</f>
        <v>Baynur</v>
      </c>
      <c r="K471" s="41" t="s">
        <v>5390</v>
      </c>
      <c r="L471" s="52">
        <f t="shared" si="7"/>
        <v>45596.53007</v>
      </c>
      <c r="M471" s="47" t="s">
        <v>5460</v>
      </c>
      <c r="N471" s="49"/>
      <c r="O471" s="49"/>
      <c r="P471" s="49"/>
      <c r="Q471" s="49"/>
      <c r="R471" s="49"/>
      <c r="S471" s="49"/>
      <c r="T471" s="49"/>
      <c r="U471" s="49"/>
      <c r="V471" s="49"/>
      <c r="W471" s="41" t="s">
        <v>470</v>
      </c>
      <c r="X471" s="46">
        <f t="shared" si="5"/>
        <v>45596.53013</v>
      </c>
      <c r="Y471" s="50" t="s">
        <v>482</v>
      </c>
      <c r="Z471" s="49">
        <f t="shared" si="6"/>
        <v>1</v>
      </c>
    </row>
    <row r="472" ht="22.5" customHeight="1">
      <c r="B472" s="41" t="s">
        <v>2403</v>
      </c>
      <c r="C472" s="43">
        <f t="array" ref="C472">IF(B472="","",_xlfn.XLOOKUP(B472,'Form responses 1'!$B$2:$B$2604,'Form responses 1'!$A$2:$A$2604,""))</f>
        <v>45593.45581</v>
      </c>
      <c r="D472" s="44" t="str">
        <f t="shared" si="3"/>
        <v>K/21/281024/1_45593.4558065278</v>
      </c>
      <c r="E472" s="44" t="str">
        <f t="array" ref="E472">IF(B472="","",_xlfn.XLOOKUP(B472,'Form responses 1'!$B$2:$B$2604,'Form responses 1'!$C$2:$C$2604,""))</f>
        <v>ROSIDAH/TEDDY WAN</v>
      </c>
      <c r="F472" s="44" t="str">
        <f t="array" ref="F472">IF(B472="","",_xlfn.XLOOKUP(B472,'Form responses 1'!$B$2:$B$2604,'Form responses 1'!$D$2:$D$2604,""))</f>
        <v>082184153778</v>
      </c>
      <c r="G472" s="44" t="str">
        <f t="array" ref="G472">IF(B472="","",_xlfn.XLOOKUP(B472,'Form responses 1'!$B$2:$B$2604,'Form responses 1'!$E$2:$E$2604,""))</f>
        <v>BN JUAL BELI</v>
      </c>
      <c r="H472" s="44" t="str">
        <f t="array" ref="H472">IF(B472="","",_xlfn.XLOOKUP(B472,'Form responses 1'!$B$2:$B$2604,'Form responses 1'!$F$2:$F$2604,""))</f>
        <v>M.466/WAY TATAAN</v>
      </c>
      <c r="I472" s="44" t="str">
        <f t="array" ref="I472">IF(B472="","",_xlfn.XLOOKUP(B472,'Form responses 1'!$B$2:$B$2604,'Form responses 1'!$I$2:$I$2604,""))</f>
        <v>WAY TATAAN</v>
      </c>
      <c r="J472" s="44" t="str">
        <f t="array" ref="J472">IF(B472="","",_xlfn.XLOOKUP(B472,'Form responses 1'!$B$2:$B$2604,'Form responses 1'!$G$2:$G$2604,""))</f>
        <v>Baynur</v>
      </c>
      <c r="K472" s="41" t="s">
        <v>5390</v>
      </c>
      <c r="L472" s="52">
        <f t="shared" si="7"/>
        <v>45596.53085</v>
      </c>
      <c r="M472" s="49"/>
      <c r="N472" s="49"/>
      <c r="O472" s="49"/>
      <c r="P472" s="49"/>
      <c r="Q472" s="49"/>
      <c r="R472" s="49"/>
      <c r="S472" s="49"/>
      <c r="T472" s="49"/>
      <c r="U472" s="49"/>
      <c r="V472" s="49"/>
      <c r="W472" s="41" t="s">
        <v>618</v>
      </c>
      <c r="X472" s="46">
        <f t="shared" si="5"/>
        <v>45596.5309</v>
      </c>
      <c r="Y472" s="50" t="s">
        <v>482</v>
      </c>
      <c r="Z472" s="49">
        <f t="shared" si="6"/>
        <v>0</v>
      </c>
    </row>
    <row r="473" ht="22.5" customHeight="1">
      <c r="B473" s="41" t="s">
        <v>2520</v>
      </c>
      <c r="C473" s="43">
        <f t="array" ref="C473">IF(B473="","",_xlfn.XLOOKUP(B473,'Form responses 1'!$B$2:$B$2604,'Form responses 1'!$A$2:$A$2604,""))</f>
        <v>45594.42817</v>
      </c>
      <c r="D473" s="44" t="str">
        <f t="shared" si="3"/>
        <v>K/1/291024/1_45594.4281740162</v>
      </c>
      <c r="E473" s="44" t="str">
        <f t="array" ref="E473">IF(B473="","",_xlfn.XLOOKUP(B473,'Form responses 1'!$B$2:$B$2604,'Form responses 1'!$C$2:$C$2604,""))</f>
        <v>RIZA MARROSKA/CHRISTINA ULINA</v>
      </c>
      <c r="F473" s="44" t="str">
        <f t="array" ref="F473">IF(B473="","",_xlfn.XLOOKUP(B473,'Form responses 1'!$B$2:$B$2604,'Form responses 1'!$D$2:$D$2604,""))</f>
        <v>0821-7879-5856</v>
      </c>
      <c r="G473" s="44" t="str">
        <f t="array" ref="G473">IF(B473="","",_xlfn.XLOOKUP(B473,'Form responses 1'!$B$2:$B$2604,'Form responses 1'!$E$2:$E$2604,""))</f>
        <v>PENINGKATAN</v>
      </c>
      <c r="H473" s="44" t="str">
        <f t="array" ref="H473">IF(B473="","",_xlfn.XLOOKUP(B473,'Form responses 1'!$B$2:$B$2604,'Form responses 1'!$F$2:$F$2604,""))</f>
        <v>NIBEL B.2359/PERUMNAS WAY KANDIS</v>
      </c>
      <c r="I473" s="44" t="str">
        <f t="array" ref="I473">IF(B473="","",_xlfn.XLOOKUP(B473,'Form responses 1'!$B$2:$B$2604,'Form responses 1'!$I$2:$I$2604,""))</f>
        <v>PERUMNAS WAY KANDIS</v>
      </c>
      <c r="J473" s="44" t="str">
        <f t="array" ref="J473">IF(B473="","",_xlfn.XLOOKUP(B473,'Form responses 1'!$B$2:$B$2604,'Form responses 1'!$G$2:$G$2604,""))</f>
        <v>Baynur</v>
      </c>
      <c r="K473" s="41" t="s">
        <v>5390</v>
      </c>
      <c r="L473" s="52">
        <f t="shared" si="7"/>
        <v>45596.53141</v>
      </c>
      <c r="M473" s="49"/>
      <c r="N473" s="49"/>
      <c r="O473" s="49"/>
      <c r="P473" s="49"/>
      <c r="Q473" s="49"/>
      <c r="R473" s="49"/>
      <c r="S473" s="49"/>
      <c r="T473" s="49"/>
      <c r="U473" s="49"/>
      <c r="V473" s="49"/>
      <c r="W473" s="41" t="s">
        <v>618</v>
      </c>
      <c r="X473" s="46">
        <f t="shared" si="5"/>
        <v>45596.53148</v>
      </c>
      <c r="Y473" s="50" t="s">
        <v>482</v>
      </c>
      <c r="Z473" s="49">
        <f t="shared" si="6"/>
        <v>0</v>
      </c>
    </row>
    <row r="474" ht="22.5" customHeight="1">
      <c r="B474" s="41" t="s">
        <v>2142</v>
      </c>
      <c r="C474" s="43">
        <f t="array" ref="C474">IF(B474="","",_xlfn.XLOOKUP(B474,'Form responses 1'!$B$2:$B$2604,'Form responses 1'!$A$2:$A$2604,""))</f>
        <v>45590.46006</v>
      </c>
      <c r="D474" s="44" t="str">
        <f t="shared" si="3"/>
        <v>L/15/251024/1_45590.4600557407</v>
      </c>
      <c r="E474" s="44" t="str">
        <f t="array" ref="E474">IF(B474="","",_xlfn.XLOOKUP(B474,'Form responses 1'!$B$2:$B$2604,'Form responses 1'!$C$2:$C$2604,""))</f>
        <v>M RONI</v>
      </c>
      <c r="F474" s="44" t="str">
        <f t="array" ref="F474">IF(B474="","",_xlfn.XLOOKUP(B474,'Form responses 1'!$B$2:$B$2604,'Form responses 1'!$D$2:$D$2604,""))</f>
        <v>089515113169</v>
      </c>
      <c r="G474" s="44" t="str">
        <f t="array" ref="G474">IF(B474="","",_xlfn.XLOOKUP(B474,'Form responses 1'!$B$2:$B$2604,'Form responses 1'!$E$2:$E$2604,""))</f>
        <v>ASPEK</v>
      </c>
      <c r="H474" s="44" t="str">
        <f t="array" ref="H474">IF(B474="","",_xlfn.XLOOKUP(B474,'Form responses 1'!$B$2:$B$2604,'Form responses 1'!$F$2:$F$2604,""))</f>
        <v>SIDODADI</v>
      </c>
      <c r="I474" s="44" t="str">
        <f t="array" ref="I474">IF(B474="","",_xlfn.XLOOKUP(B474,'Form responses 1'!$B$2:$B$2604,'Form responses 1'!$I$2:$I$2604,""))</f>
        <v>SIDODADI</v>
      </c>
      <c r="J474" s="44" t="str">
        <f t="array" ref="J474">IF(B474="","",_xlfn.XLOOKUP(B474,'Form responses 1'!$B$2:$B$2604,'Form responses 1'!$G$2:$G$2604,""))</f>
        <v>Deby</v>
      </c>
      <c r="K474" s="41" t="s">
        <v>1233</v>
      </c>
      <c r="L474" s="52">
        <f t="shared" si="7"/>
        <v>45596.60112</v>
      </c>
      <c r="M474" s="47" t="s">
        <v>5461</v>
      </c>
      <c r="N474" s="47" t="s">
        <v>5462</v>
      </c>
      <c r="O474" s="47" t="s">
        <v>5463</v>
      </c>
      <c r="P474" s="47" t="s">
        <v>5464</v>
      </c>
      <c r="Q474" s="47" t="s">
        <v>5465</v>
      </c>
      <c r="R474" s="47" t="s">
        <v>5466</v>
      </c>
      <c r="S474" s="47" t="s">
        <v>5467</v>
      </c>
      <c r="T474" s="49"/>
      <c r="U474" s="49"/>
      <c r="V474" s="49"/>
      <c r="W474" s="41" t="s">
        <v>470</v>
      </c>
      <c r="X474" s="46">
        <f t="shared" si="5"/>
        <v>45604.3997</v>
      </c>
      <c r="Y474" s="50" t="s">
        <v>482</v>
      </c>
      <c r="Z474" s="49">
        <f t="shared" si="6"/>
        <v>7</v>
      </c>
    </row>
    <row r="475" ht="22.5" customHeight="1">
      <c r="B475" s="41" t="s">
        <v>3090</v>
      </c>
      <c r="C475" s="43">
        <f t="array" ref="C475">IF(B475="","",_xlfn.XLOOKUP(B475,'Form responses 1'!$B$2:$B$2604,'Form responses 1'!$A$2:$A$2604,""))</f>
        <v>45596.63841</v>
      </c>
      <c r="D475" s="44" t="str">
        <f t="shared" si="3"/>
        <v>K/66/311024/1_45596.6384148032</v>
      </c>
      <c r="E475" s="44" t="str">
        <f t="array" ref="E475">IF(B475="","",_xlfn.XLOOKUP(B475,'Form responses 1'!$B$2:$B$2604,'Form responses 1'!$C$2:$C$2604,""))</f>
        <v>ZAMRONI/ WIDODO</v>
      </c>
      <c r="F475" s="44" t="str">
        <f t="array" ref="F475">IF(B475="","",_xlfn.XLOOKUP(B475,'Form responses 1'!$B$2:$B$2604,'Form responses 1'!$D$2:$D$2604,""))</f>
        <v>082379007960</v>
      </c>
      <c r="G475" s="44" t="str">
        <f t="array" ref="G475">IF(B475="","",_xlfn.XLOOKUP(B475,'Form responses 1'!$B$2:$B$2604,'Form responses 1'!$E$2:$E$2604,""))</f>
        <v>BN LELANG</v>
      </c>
      <c r="H475" s="44" t="str">
        <f t="array" ref="H475">IF(B475="","",_xlfn.XLOOKUP(B475,'Form responses 1'!$B$2:$B$2604,'Form responses 1'!$F$2:$F$2604,""))</f>
        <v>M. 1871/ Tanjung Seneng</v>
      </c>
      <c r="I475" s="44" t="str">
        <f t="array" ref="I475">IF(B475="","",_xlfn.XLOOKUP(B475,'Form responses 1'!$B$2:$B$2604,'Form responses 1'!$I$2:$I$2604,""))</f>
        <v> Tanjung Seneng</v>
      </c>
      <c r="J475" s="44" t="str">
        <f t="array" ref="J475">IF(B475="","",_xlfn.XLOOKUP(B475,'Form responses 1'!$B$2:$B$2604,'Form responses 1'!$G$2:$G$2604,""))</f>
        <v>Hananda</v>
      </c>
      <c r="K475" s="41" t="s">
        <v>1233</v>
      </c>
      <c r="L475" s="52">
        <f t="shared" si="7"/>
        <v>45596.66586</v>
      </c>
      <c r="M475" s="49"/>
      <c r="N475" s="49"/>
      <c r="O475" s="49"/>
      <c r="P475" s="49"/>
      <c r="Q475" s="49"/>
      <c r="R475" s="49"/>
      <c r="S475" s="49"/>
      <c r="T475" s="49"/>
      <c r="U475" s="49"/>
      <c r="V475" s="49"/>
      <c r="W475" s="41" t="s">
        <v>618</v>
      </c>
      <c r="X475" s="46">
        <f t="shared" si="5"/>
        <v>45596.67485</v>
      </c>
      <c r="Y475" s="50" t="s">
        <v>482</v>
      </c>
      <c r="Z475" s="49">
        <f t="shared" si="6"/>
        <v>0</v>
      </c>
    </row>
    <row r="476" ht="22.5" customHeight="1">
      <c r="B476" s="41" t="s">
        <v>2802</v>
      </c>
      <c r="C476" s="43">
        <f t="array" ref="C476">IF(B476="","",_xlfn.XLOOKUP(B476,'Form responses 1'!$B$2:$B$2604,'Form responses 1'!$A$2:$A$2604,""))</f>
        <v>45595.6029</v>
      </c>
      <c r="D476" s="44" t="str">
        <f t="shared" si="3"/>
        <v>K/32/301024/2_45595.6028979398</v>
      </c>
      <c r="E476" s="44" t="str">
        <f t="array" ref="E476">IF(B476="","",_xlfn.XLOOKUP(B476,'Form responses 1'!$B$2:$B$2604,'Form responses 1'!$C$2:$C$2604,""))</f>
        <v>TITIK WIJAYANTI/VYATRA EKO SUSANTO</v>
      </c>
      <c r="F476" s="44" t="str">
        <f t="array" ref="F476">IF(B476="","",_xlfn.XLOOKUP(B476,'Form responses 1'!$B$2:$B$2604,'Form responses 1'!$D$2:$D$2604,""))</f>
        <v>081279240846</v>
      </c>
      <c r="G476" s="44" t="str">
        <f t="array" ref="G476">IF(B476="","",_xlfn.XLOOKUP(B476,'Form responses 1'!$B$2:$B$2604,'Form responses 1'!$E$2:$E$2604,""))</f>
        <v>SKPT</v>
      </c>
      <c r="H476" s="44" t="str">
        <f t="array" ref="H476">IF(B476="","",_xlfn.XLOOKUP(B476,'Form responses 1'!$B$2:$B$2604,'Form responses 1'!$F$2:$F$2604,""))</f>
        <v>M.9564/TANJUNG BARU</v>
      </c>
      <c r="I476" s="44" t="str">
        <f t="array" ref="I476">IF(B476="","",_xlfn.XLOOKUP(B476,'Form responses 1'!$B$2:$B$2604,'Form responses 1'!$I$2:$I$2604,""))</f>
        <v>TANJUNG BARU</v>
      </c>
      <c r="J476" s="44" t="str">
        <f t="array" ref="J476">IF(B476="","",_xlfn.XLOOKUP(B476,'Form responses 1'!$B$2:$B$2604,'Form responses 1'!$G$2:$G$2604,""))</f>
        <v>Baynur</v>
      </c>
      <c r="K476" s="41" t="s">
        <v>422</v>
      </c>
      <c r="L476" s="52">
        <f t="shared" si="7"/>
        <v>45596.66598</v>
      </c>
      <c r="M476" s="49"/>
      <c r="N476" s="49"/>
      <c r="O476" s="49"/>
      <c r="P476" s="49"/>
      <c r="Q476" s="49"/>
      <c r="R476" s="49"/>
      <c r="S476" s="49"/>
      <c r="T476" s="49"/>
      <c r="U476" s="49"/>
      <c r="V476" s="49"/>
      <c r="W476" s="41" t="s">
        <v>618</v>
      </c>
      <c r="X476" s="46">
        <f t="shared" si="5"/>
        <v>45596.66599</v>
      </c>
      <c r="Y476" s="50" t="s">
        <v>482</v>
      </c>
      <c r="Z476" s="49">
        <f t="shared" si="6"/>
        <v>0</v>
      </c>
    </row>
    <row r="477" ht="22.5" customHeight="1">
      <c r="B477" s="41" t="s">
        <v>2828</v>
      </c>
      <c r="C477" s="43">
        <f t="array" ref="C477">IF(B477="","",_xlfn.XLOOKUP(B477,'Form responses 1'!$B$2:$B$2604,'Form responses 1'!$A$2:$A$2604,""))</f>
        <v>45595.62086</v>
      </c>
      <c r="D477" s="44" t="str">
        <f t="shared" si="3"/>
        <v>L/39/301024/1_45595.6208627083</v>
      </c>
      <c r="E477" s="44" t="str">
        <f t="array" ref="E477">IF(B477="","",_xlfn.XLOOKUP(B477,'Form responses 1'!$B$2:$B$2604,'Form responses 1'!$C$2:$C$2604,""))</f>
        <v>ARNIS BAHAR</v>
      </c>
      <c r="F477" s="44" t="str">
        <f t="array" ref="F477">IF(B477="","",_xlfn.XLOOKUP(B477,'Form responses 1'!$B$2:$B$2604,'Form responses 1'!$D$2:$D$2604,""))</f>
        <v>081279059719</v>
      </c>
      <c r="G477" s="44" t="str">
        <f t="array" ref="G477">IF(B477="","",_xlfn.XLOOKUP(B477,'Form responses 1'!$B$2:$B$2604,'Form responses 1'!$E$2:$E$2604,""))</f>
        <v>ROYA</v>
      </c>
      <c r="H477" s="44" t="str">
        <f t="array" ref="H477">IF(B477="","",_xlfn.XLOOKUP(B477,'Form responses 1'!$B$2:$B$2604,'Form responses 1'!$F$2:$F$2604,""))</f>
        <v>M.11011/KEDAMAIAN- HT 5445/2014</v>
      </c>
      <c r="I477" s="44" t="str">
        <f t="array" ref="I477">IF(B477="","",_xlfn.XLOOKUP(B477,'Form responses 1'!$B$2:$B$2604,'Form responses 1'!$I$2:$I$2604,""))</f>
        <v>KEDAMAIAN</v>
      </c>
      <c r="J477" s="44" t="str">
        <f t="array" ref="J477">IF(B477="","",_xlfn.XLOOKUP(B477,'Form responses 1'!$B$2:$B$2604,'Form responses 1'!$G$2:$G$2604,""))</f>
        <v>Nuraini</v>
      </c>
      <c r="K477" s="41" t="s">
        <v>422</v>
      </c>
      <c r="L477" s="52">
        <f t="shared" si="7"/>
        <v>45596.66753</v>
      </c>
      <c r="M477" s="49"/>
      <c r="N477" s="49"/>
      <c r="O477" s="49"/>
      <c r="P477" s="49"/>
      <c r="Q477" s="49"/>
      <c r="R477" s="49"/>
      <c r="S477" s="49"/>
      <c r="T477" s="49"/>
      <c r="U477" s="49"/>
      <c r="V477" s="49"/>
      <c r="W477" s="41" t="s">
        <v>618</v>
      </c>
      <c r="X477" s="46">
        <f t="shared" si="5"/>
        <v>45597.39102</v>
      </c>
      <c r="Y477" s="50" t="s">
        <v>482</v>
      </c>
      <c r="Z477" s="49">
        <f t="shared" si="6"/>
        <v>0</v>
      </c>
    </row>
    <row r="478" ht="22.5" customHeight="1">
      <c r="B478" s="41" t="s">
        <v>2690</v>
      </c>
      <c r="C478" s="43">
        <f t="array" ref="C478">IF(B478="","",_xlfn.XLOOKUP(B478,'Form responses 1'!$B$2:$B$2604,'Form responses 1'!$A$2:$A$2604,""))</f>
        <v>45595.38106</v>
      </c>
      <c r="D478" s="44" t="str">
        <f t="shared" si="3"/>
        <v>L/1/301024/2_45595.381055706</v>
      </c>
      <c r="E478" s="44" t="str">
        <f t="array" ref="E478">IF(B478="","",_xlfn.XLOOKUP(B478,'Form responses 1'!$B$2:$B$2604,'Form responses 1'!$C$2:$C$2604,""))</f>
        <v>SUKANTO</v>
      </c>
      <c r="F478" s="44" t="str">
        <f t="array" ref="F478">IF(B478="","",_xlfn.XLOOKUP(B478,'Form responses 1'!$B$2:$B$2604,'Form responses 1'!$D$2:$D$2604,""))</f>
        <v>085279980777</v>
      </c>
      <c r="G478" s="44" t="str">
        <f t="array" ref="G478">IF(B478="","",_xlfn.XLOOKUP(B478,'Form responses 1'!$B$2:$B$2604,'Form responses 1'!$E$2:$E$2604,""))</f>
        <v>ROYA</v>
      </c>
      <c r="H478" s="44" t="str">
        <f t="array" ref="H478">IF(B478="","",_xlfn.XLOOKUP(B478,'Form responses 1'!$B$2:$B$2604,'Form responses 1'!$F$2:$F$2604,""))</f>
        <v>HM 2000/WAY KANDIS</v>
      </c>
      <c r="I478" s="44" t="str">
        <f t="array" ref="I478">IF(B478="","",_xlfn.XLOOKUP(B478,'Form responses 1'!$B$2:$B$2604,'Form responses 1'!$I$2:$I$2604,""))</f>
        <v>WAY KANDIS</v>
      </c>
      <c r="J478" s="44" t="str">
        <f t="array" ref="J478">IF(B478="","",_xlfn.XLOOKUP(B478,'Form responses 1'!$B$2:$B$2604,'Form responses 1'!$G$2:$G$2604,""))</f>
        <v>Deby</v>
      </c>
      <c r="K478" s="41" t="s">
        <v>422</v>
      </c>
      <c r="L478" s="52">
        <f t="shared" si="7"/>
        <v>45596.66754</v>
      </c>
      <c r="M478" s="47" t="s">
        <v>5468</v>
      </c>
      <c r="N478" s="49"/>
      <c r="O478" s="49"/>
      <c r="P478" s="49"/>
      <c r="Q478" s="49"/>
      <c r="R478" s="49"/>
      <c r="S478" s="49"/>
      <c r="T478" s="49"/>
      <c r="U478" s="49"/>
      <c r="V478" s="49"/>
      <c r="W478" s="41" t="s">
        <v>618</v>
      </c>
      <c r="X478" s="46">
        <f t="shared" si="5"/>
        <v>45607.60386</v>
      </c>
      <c r="Y478" s="50" t="s">
        <v>482</v>
      </c>
      <c r="Z478" s="49">
        <f t="shared" si="6"/>
        <v>1</v>
      </c>
    </row>
    <row r="479" ht="22.5" customHeight="1">
      <c r="B479" s="41" t="s">
        <v>2772</v>
      </c>
      <c r="C479" s="43">
        <f t="array" ref="C479">IF(B479="","",_xlfn.XLOOKUP(B479,'Form responses 1'!$B$2:$B$2604,'Form responses 1'!$A$2:$A$2604,""))</f>
        <v>45595.55808</v>
      </c>
      <c r="D479" s="44" t="str">
        <f t="shared" si="3"/>
        <v>L/22/301024/1_45595.5580773495</v>
      </c>
      <c r="E479" s="44" t="str">
        <f t="array" ref="E479">IF(B479="","",_xlfn.XLOOKUP(B479,'Form responses 1'!$B$2:$B$2604,'Form responses 1'!$C$2:$C$2604,""))</f>
        <v>LISMAWATI</v>
      </c>
      <c r="F479" s="44" t="str">
        <f t="array" ref="F479">IF(B479="","",_xlfn.XLOOKUP(B479,'Form responses 1'!$B$2:$B$2604,'Form responses 1'!$D$2:$D$2604,""))</f>
        <v>082279699048</v>
      </c>
      <c r="G479" s="44" t="str">
        <f t="array" ref="G479">IF(B479="","",_xlfn.XLOOKUP(B479,'Form responses 1'!$B$2:$B$2604,'Form responses 1'!$E$2:$E$2604,""))</f>
        <v>ROYA</v>
      </c>
      <c r="H479" s="44" t="str">
        <f t="array" ref="H479">IF(B479="","",_xlfn.XLOOKUP(B479,'Form responses 1'!$B$2:$B$2604,'Form responses 1'!$F$2:$F$2604,""))</f>
        <v>HM 11867/LABUHAN RATU</v>
      </c>
      <c r="I479" s="44" t="str">
        <f t="array" ref="I479">IF(B479="","",_xlfn.XLOOKUP(B479,'Form responses 1'!$B$2:$B$2604,'Form responses 1'!$I$2:$I$2604,""))</f>
        <v>LISMAWATI</v>
      </c>
      <c r="J479" s="44" t="str">
        <f t="array" ref="J479">IF(B479="","",_xlfn.XLOOKUP(B479,'Form responses 1'!$B$2:$B$2604,'Form responses 1'!$G$2:$G$2604,""))</f>
        <v>Deby</v>
      </c>
      <c r="K479" s="41" t="s">
        <v>422</v>
      </c>
      <c r="L479" s="52">
        <f t="shared" si="7"/>
        <v>45596.66756</v>
      </c>
      <c r="M479" s="49"/>
      <c r="N479" s="49"/>
      <c r="O479" s="49"/>
      <c r="P479" s="49"/>
      <c r="Q479" s="49"/>
      <c r="R479" s="49"/>
      <c r="S479" s="49"/>
      <c r="T479" s="49"/>
      <c r="U479" s="49"/>
      <c r="V479" s="49"/>
      <c r="W479" s="41" t="s">
        <v>618</v>
      </c>
      <c r="X479" s="46">
        <f t="shared" si="5"/>
        <v>45597.39102</v>
      </c>
      <c r="Y479" s="50" t="s">
        <v>482</v>
      </c>
      <c r="Z479" s="49">
        <f t="shared" si="6"/>
        <v>0</v>
      </c>
    </row>
    <row r="480" ht="22.5" customHeight="1">
      <c r="B480" s="41" t="s">
        <v>2814</v>
      </c>
      <c r="C480" s="43">
        <f t="array" ref="C480">IF(B480="","",_xlfn.XLOOKUP(B480,'Form responses 1'!$B$2:$B$2604,'Form responses 1'!$A$2:$A$2604,""))</f>
        <v>45595.60946</v>
      </c>
      <c r="D480" s="44" t="str">
        <f t="shared" si="3"/>
        <v>L/38/301024/1_45595.6094600347</v>
      </c>
      <c r="E480" s="44" t="str">
        <f t="array" ref="E480">IF(B480="","",_xlfn.XLOOKUP(B480,'Form responses 1'!$B$2:$B$2604,'Form responses 1'!$C$2:$C$2604,""))</f>
        <v>PURNOMO</v>
      </c>
      <c r="F480" s="44" t="str">
        <f t="array" ref="F480">IF(B480="","",_xlfn.XLOOKUP(B480,'Form responses 1'!$B$2:$B$2604,'Form responses 1'!$D$2:$D$2604,""))</f>
        <v>081379019529</v>
      </c>
      <c r="G480" s="44" t="str">
        <f t="array" ref="G480">IF(B480="","",_xlfn.XLOOKUP(B480,'Form responses 1'!$B$2:$B$2604,'Form responses 1'!$E$2:$E$2604,""))</f>
        <v>ROYA</v>
      </c>
      <c r="H480" s="44" t="str">
        <f t="array" ref="H480">IF(B480="","",_xlfn.XLOOKUP(B480,'Form responses 1'!$B$2:$B$2604,'Form responses 1'!$F$2:$F$2604,""))</f>
        <v>HM 1869/TANJUNG SENANG</v>
      </c>
      <c r="I480" s="44" t="str">
        <f t="array" ref="I480">IF(B480="","",_xlfn.XLOOKUP(B480,'Form responses 1'!$B$2:$B$2604,'Form responses 1'!$I$2:$I$2604,""))</f>
        <v>TANJUNG SENANG</v>
      </c>
      <c r="J480" s="44" t="str">
        <f t="array" ref="J480">IF(B480="","",_xlfn.XLOOKUP(B480,'Form responses 1'!$B$2:$B$2604,'Form responses 1'!$G$2:$G$2604,""))</f>
        <v>Deby</v>
      </c>
      <c r="K480" s="41" t="s">
        <v>422</v>
      </c>
      <c r="L480" s="52">
        <f t="shared" si="7"/>
        <v>45596.66758</v>
      </c>
      <c r="M480" s="49"/>
      <c r="N480" s="49"/>
      <c r="O480" s="49"/>
      <c r="P480" s="49"/>
      <c r="Q480" s="49"/>
      <c r="R480" s="49"/>
      <c r="S480" s="49"/>
      <c r="T480" s="49"/>
      <c r="U480" s="49"/>
      <c r="V480" s="49"/>
      <c r="W480" s="41" t="s">
        <v>618</v>
      </c>
      <c r="X480" s="46">
        <f t="shared" si="5"/>
        <v>45597.39102</v>
      </c>
      <c r="Y480" s="50" t="s">
        <v>482</v>
      </c>
      <c r="Z480" s="49">
        <f t="shared" si="6"/>
        <v>0</v>
      </c>
    </row>
    <row r="481" ht="22.5" customHeight="1">
      <c r="B481" s="41" t="s">
        <v>2792</v>
      </c>
      <c r="C481" s="43">
        <f t="array" ref="C481">IF(B481="","",_xlfn.XLOOKUP(B481,'Form responses 1'!$B$2:$B$2604,'Form responses 1'!$A$2:$A$2604,""))</f>
        <v>45595.58057</v>
      </c>
      <c r="D481" s="44" t="str">
        <f t="shared" si="3"/>
        <v>K/28/301024/1_45595.5805679398</v>
      </c>
      <c r="E481" s="44" t="str">
        <f t="array" ref="E481">IF(B481="","",_xlfn.XLOOKUP(B481,'Form responses 1'!$B$2:$B$2604,'Form responses 1'!$C$2:$C$2604,""))</f>
        <v>TITIK WIJAYANTI/AGUS SUPRIYANTO</v>
      </c>
      <c r="F481" s="44" t="str">
        <f t="array" ref="F481">IF(B481="","",_xlfn.XLOOKUP(B481,'Form responses 1'!$B$2:$B$2604,'Form responses 1'!$D$2:$D$2604,""))</f>
        <v>082128965800</v>
      </c>
      <c r="G481" s="44" t="str">
        <f t="array" ref="G481">IF(B481="","",_xlfn.XLOOKUP(B481,'Form responses 1'!$B$2:$B$2604,'Form responses 1'!$E$2:$E$2604,""))</f>
        <v>SKPT LELANG</v>
      </c>
      <c r="H481" s="44" t="str">
        <f t="array" ref="H481">IF(B481="","",_xlfn.XLOOKUP(B481,'Form responses 1'!$B$2:$B$2604,'Form responses 1'!$F$2:$F$2604,""))</f>
        <v>M.74/TANJUNG AGUNG</v>
      </c>
      <c r="I481" s="44" t="str">
        <f t="array" ref="I481">IF(B481="","",_xlfn.XLOOKUP(B481,'Form responses 1'!$B$2:$B$2604,'Form responses 1'!$I$2:$I$2604,""))</f>
        <v>TANJUNG AGUNG</v>
      </c>
      <c r="J481" s="44" t="str">
        <f t="array" ref="J481">IF(B481="","",_xlfn.XLOOKUP(B481,'Form responses 1'!$B$2:$B$2604,'Form responses 1'!$G$2:$G$2604,""))</f>
        <v>Baynur</v>
      </c>
      <c r="K481" s="41" t="s">
        <v>1233</v>
      </c>
      <c r="L481" s="52">
        <f t="shared" si="7"/>
        <v>45596.67692</v>
      </c>
      <c r="M481" s="49"/>
      <c r="N481" s="49"/>
      <c r="O481" s="49"/>
      <c r="P481" s="49"/>
      <c r="Q481" s="49"/>
      <c r="R481" s="49"/>
      <c r="S481" s="49"/>
      <c r="T481" s="49"/>
      <c r="U481" s="49"/>
      <c r="V481" s="49"/>
      <c r="W481" s="41" t="s">
        <v>618</v>
      </c>
      <c r="X481" s="46">
        <f t="shared" si="5"/>
        <v>45596.67695</v>
      </c>
      <c r="Y481" s="50" t="s">
        <v>482</v>
      </c>
      <c r="Z481" s="49">
        <f t="shared" si="6"/>
        <v>0</v>
      </c>
    </row>
    <row r="482" ht="22.5" customHeight="1">
      <c r="B482" s="41" t="s">
        <v>2748</v>
      </c>
      <c r="C482" s="43">
        <f t="array" ref="C482">IF(B482="","",_xlfn.XLOOKUP(B482,'Form responses 1'!$B$2:$B$2604,'Form responses 1'!$A$2:$A$2604,""))</f>
        <v>45595.47334</v>
      </c>
      <c r="D482" s="44" t="str">
        <f t="shared" si="3"/>
        <v>L/16/301024/1_45595.4733438657</v>
      </c>
      <c r="E482" s="44" t="str">
        <f t="array" ref="E482">IF(B482="","",_xlfn.XLOOKUP(B482,'Form responses 1'!$B$2:$B$2604,'Form responses 1'!$C$2:$C$2604,""))</f>
        <v>SISKA DAMAYANTI</v>
      </c>
      <c r="F482" s="44" t="str">
        <f t="array" ref="F482">IF(B482="","",_xlfn.XLOOKUP(B482,'Form responses 1'!$B$2:$B$2604,'Form responses 1'!$D$2:$D$2604,""))</f>
        <v>0811727255</v>
      </c>
      <c r="G482" s="44" t="str">
        <f t="array" ref="G482">IF(B482="","",_xlfn.XLOOKUP(B482,'Form responses 1'!$B$2:$B$2604,'Form responses 1'!$E$2:$E$2604,""))</f>
        <v>ROYA</v>
      </c>
      <c r="H482" s="44" t="str">
        <f t="array" ref="H482">IF(B482="","",_xlfn.XLOOKUP(B482,'Form responses 1'!$B$2:$B$2604,'Form responses 1'!$F$2:$F$2604,""))</f>
        <v>HM 2070/PWH</v>
      </c>
      <c r="I482" s="44" t="str">
        <f t="array" ref="I482">IF(B482="","",_xlfn.XLOOKUP(B482,'Form responses 1'!$B$2:$B$2604,'Form responses 1'!$I$2:$I$2604,""))</f>
        <v>PWH</v>
      </c>
      <c r="J482" s="44" t="str">
        <f t="array" ref="J482">IF(B482="","",_xlfn.XLOOKUP(B482,'Form responses 1'!$B$2:$B$2604,'Form responses 1'!$G$2:$G$2604,""))</f>
        <v>Deby</v>
      </c>
      <c r="K482" s="41" t="s">
        <v>1233</v>
      </c>
      <c r="L482" s="52">
        <f t="shared" si="7"/>
        <v>45597.39102</v>
      </c>
      <c r="M482" s="49"/>
      <c r="N482" s="49"/>
      <c r="O482" s="49"/>
      <c r="P482" s="49"/>
      <c r="Q482" s="49"/>
      <c r="R482" s="49"/>
      <c r="S482" s="49"/>
      <c r="T482" s="49"/>
      <c r="U482" s="49"/>
      <c r="V482" s="49"/>
      <c r="W482" s="41" t="s">
        <v>618</v>
      </c>
      <c r="X482" s="46">
        <f t="shared" si="5"/>
        <v>45597.39102</v>
      </c>
      <c r="Y482" s="50" t="s">
        <v>482</v>
      </c>
      <c r="Z482" s="49">
        <f t="shared" si="6"/>
        <v>0</v>
      </c>
    </row>
    <row r="483" ht="22.5" customHeight="1">
      <c r="B483" s="41" t="s">
        <v>2710</v>
      </c>
      <c r="C483" s="43">
        <f t="array" ref="C483">IF(B483="","",_xlfn.XLOOKUP(B483,'Form responses 1'!$B$2:$B$2604,'Form responses 1'!$A$2:$A$2604,""))</f>
        <v>45595.41967</v>
      </c>
      <c r="D483" s="44" t="str">
        <f t="shared" si="3"/>
        <v>L/6/301024/1_45595.419667037</v>
      </c>
      <c r="E483" s="44" t="str">
        <f t="array" ref="E483">IF(B483="","",_xlfn.XLOOKUP(B483,'Form responses 1'!$B$2:$B$2604,'Form responses 1'!$C$2:$C$2604,""))</f>
        <v>HENNY CHRISTYANTI MD</v>
      </c>
      <c r="F483" s="44" t="str">
        <f t="array" ref="F483">IF(B483="","",_xlfn.XLOOKUP(B483,'Form responses 1'!$B$2:$B$2604,'Form responses 1'!$D$2:$D$2604,""))</f>
        <v>08974775000</v>
      </c>
      <c r="G483" s="44" t="str">
        <f t="array" ref="G483">IF(B483="","",_xlfn.XLOOKUP(B483,'Form responses 1'!$B$2:$B$2604,'Form responses 1'!$E$2:$E$2604,""))</f>
        <v>ROYA</v>
      </c>
      <c r="H483" s="44" t="str">
        <f t="array" ref="H483">IF(B483="","",_xlfn.XLOOKUP(B483,'Form responses 1'!$B$2:$B$2604,'Form responses 1'!$F$2:$F$2604,""))</f>
        <v>M.217/TJ RAYA</v>
      </c>
      <c r="I483" s="44" t="str">
        <f t="array" ref="I483">IF(B483="","",_xlfn.XLOOKUP(B483,'Form responses 1'!$B$2:$B$2604,'Form responses 1'!$I$2:$I$2604,""))</f>
        <v>TANJUNG RAYA</v>
      </c>
      <c r="J483" s="44" t="str">
        <f t="array" ref="J483">IF(B483="","",_xlfn.XLOOKUP(B483,'Form responses 1'!$B$2:$B$2604,'Form responses 1'!$G$2:$G$2604,""))</f>
        <v>Nuraini</v>
      </c>
      <c r="K483" s="41" t="s">
        <v>1233</v>
      </c>
      <c r="L483" s="52">
        <f t="shared" si="7"/>
        <v>45597.39102</v>
      </c>
      <c r="M483" s="49"/>
      <c r="N483" s="49"/>
      <c r="O483" s="49"/>
      <c r="P483" s="49"/>
      <c r="Q483" s="49"/>
      <c r="R483" s="49"/>
      <c r="S483" s="49"/>
      <c r="T483" s="49"/>
      <c r="U483" s="49"/>
      <c r="V483" s="49"/>
      <c r="W483" s="41" t="s">
        <v>618</v>
      </c>
      <c r="X483" s="46">
        <f t="shared" si="5"/>
        <v>45597.39178</v>
      </c>
      <c r="Y483" s="50" t="s">
        <v>482</v>
      </c>
      <c r="Z483" s="49">
        <f t="shared" si="6"/>
        <v>0</v>
      </c>
    </row>
    <row r="484" ht="22.5" customHeight="1">
      <c r="B484" s="41" t="s">
        <v>2724</v>
      </c>
      <c r="C484" s="43">
        <f t="array" ref="C484">IF(B484="","",_xlfn.XLOOKUP(B484,'Form responses 1'!$B$2:$B$2604,'Form responses 1'!$A$2:$A$2604,""))</f>
        <v>45595.44814</v>
      </c>
      <c r="D484" s="44" t="str">
        <f t="shared" si="3"/>
        <v>K/8/301024/1_45595.4481440394</v>
      </c>
      <c r="E484" s="44" t="str">
        <f t="array" ref="E484">IF(B484="","",_xlfn.XLOOKUP(B484,'Form responses 1'!$B$2:$B$2604,'Form responses 1'!$C$2:$C$2604,""))</f>
        <v>SUHENDAR ZUBER/TRIADI KURNIAWAN</v>
      </c>
      <c r="F484" s="44" t="str">
        <f t="array" ref="F484">IF(B484="","",_xlfn.XLOOKUP(B484,'Form responses 1'!$B$2:$B$2604,'Form responses 1'!$D$2:$D$2604,""))</f>
        <v>0821-7715-9938</v>
      </c>
      <c r="G484" s="44" t="str">
        <f t="array" ref="G484">IF(B484="","",_xlfn.XLOOKUP(B484,'Form responses 1'!$B$2:$B$2604,'Form responses 1'!$E$2:$E$2604,""))</f>
        <v>BN JUAL BELI</v>
      </c>
      <c r="H484" s="44" t="str">
        <f t="array" ref="H484">IF(B484="","",_xlfn.XLOOKUP(B484,'Form responses 1'!$B$2:$B$2604,'Form responses 1'!$F$2:$F$2604,""))</f>
        <v>M.1814/RAJABASA NUNYAI</v>
      </c>
      <c r="I484" s="44" t="str">
        <f t="array" ref="I484">IF(B484="","",_xlfn.XLOOKUP(B484,'Form responses 1'!$B$2:$B$2604,'Form responses 1'!$I$2:$I$2604,""))</f>
        <v>RAJABASA NUNYAI</v>
      </c>
      <c r="J484" s="44" t="str">
        <f t="array" ref="J484">IF(B484="","",_xlfn.XLOOKUP(B484,'Form responses 1'!$B$2:$B$2604,'Form responses 1'!$G$2:$G$2604,""))</f>
        <v>Baynur</v>
      </c>
      <c r="K484" s="41" t="s">
        <v>1233</v>
      </c>
      <c r="L484" s="52">
        <f t="shared" si="7"/>
        <v>45597.39274</v>
      </c>
      <c r="M484" s="49"/>
      <c r="N484" s="49"/>
      <c r="O484" s="49"/>
      <c r="P484" s="49"/>
      <c r="Q484" s="49"/>
      <c r="R484" s="49"/>
      <c r="S484" s="49"/>
      <c r="T484" s="49"/>
      <c r="U484" s="49"/>
      <c r="V484" s="49"/>
      <c r="W484" s="41" t="s">
        <v>618</v>
      </c>
      <c r="X484" s="46">
        <f t="shared" si="5"/>
        <v>45597.40498</v>
      </c>
      <c r="Y484" s="50" t="s">
        <v>482</v>
      </c>
      <c r="Z484" s="49">
        <f t="shared" si="6"/>
        <v>0</v>
      </c>
    </row>
    <row r="485" ht="22.5" customHeight="1">
      <c r="B485" s="41" t="s">
        <v>1334</v>
      </c>
      <c r="C485" s="43">
        <f t="array" ref="C485">IF(B485="","",_xlfn.XLOOKUP(B485,'Form responses 1'!$B$2:$B$2604,'Form responses 1'!$A$2:$A$2604,""))</f>
        <v>45586.59239</v>
      </c>
      <c r="D485" s="44" t="str">
        <f t="shared" si="3"/>
        <v>K/38/211024/1_45586.5923906597</v>
      </c>
      <c r="E485" s="44" t="str">
        <f t="array" ref="E485">IF(B485="","",_xlfn.XLOOKUP(B485,'Form responses 1'!$B$2:$B$2604,'Form responses 1'!$C$2:$C$2604,""))</f>
        <v>BPJN LAMPUNG/WAHYUDIN</v>
      </c>
      <c r="F485" s="44" t="str">
        <f t="array" ref="F485">IF(B485="","",_xlfn.XLOOKUP(B485,'Form responses 1'!$B$2:$B$2604,'Form responses 1'!$D$2:$D$2604,""))</f>
        <v>082371259997</v>
      </c>
      <c r="G485" s="44" t="str">
        <f t="array" ref="G485">IF(B485="","",_xlfn.XLOOKUP(B485,'Form responses 1'!$B$2:$B$2604,'Form responses 1'!$E$2:$E$2604,""))</f>
        <v>PERMOHONAN SK</v>
      </c>
      <c r="H485" s="44" t="str">
        <f t="array" ref="H485">IF(B485="","",_xlfn.XLOOKUP(B485,'Form responses 1'!$B$2:$B$2604,'Form responses 1'!$F$2:$F$2604,""))</f>
        <v>PBT 26/2024 KEL. WAY LAGA </v>
      </c>
      <c r="I485" s="44" t="str">
        <f t="array" ref="I485">IF(B485="","",_xlfn.XLOOKUP(B485,'Form responses 1'!$B$2:$B$2604,'Form responses 1'!$I$2:$I$2604,""))</f>
        <v>WAY LAGA </v>
      </c>
      <c r="J485" s="44" t="str">
        <f t="array" ref="J485">IF(B485="","",_xlfn.XLOOKUP(B485,'Form responses 1'!$B$2:$B$2604,'Form responses 1'!$G$2:$G$2604,""))</f>
        <v>Baynur</v>
      </c>
      <c r="K485" s="41" t="s">
        <v>587</v>
      </c>
      <c r="L485" s="52">
        <f t="shared" si="7"/>
        <v>45597.42846</v>
      </c>
      <c r="M485" s="47" t="s">
        <v>470</v>
      </c>
      <c r="N485" s="49"/>
      <c r="O485" s="49"/>
      <c r="P485" s="49"/>
      <c r="Q485" s="49"/>
      <c r="R485" s="49"/>
      <c r="S485" s="49"/>
      <c r="T485" s="49"/>
      <c r="U485" s="49"/>
      <c r="V485" s="49"/>
      <c r="W485" s="41" t="s">
        <v>618</v>
      </c>
      <c r="X485" s="46">
        <f t="shared" si="5"/>
        <v>45607.62674</v>
      </c>
      <c r="Y485" s="50" t="s">
        <v>482</v>
      </c>
      <c r="Z485" s="49">
        <f t="shared" si="6"/>
        <v>1</v>
      </c>
    </row>
    <row r="486" ht="22.5" customHeight="1">
      <c r="B486" s="41" t="s">
        <v>2484</v>
      </c>
      <c r="C486" s="43">
        <f t="array" ref="C486">IF(B486="","",_xlfn.XLOOKUP(B486,'Form responses 1'!$B$2:$B$2604,'Form responses 1'!$A$2:$A$2604,""))</f>
        <v>45593.66701</v>
      </c>
      <c r="D486" s="44" t="str">
        <f t="shared" si="3"/>
        <v>K/43/281024/1_45593.667010625</v>
      </c>
      <c r="E486" s="44" t="str">
        <f t="array" ref="E486">IF(B486="","",_xlfn.XLOOKUP(B486,'Form responses 1'!$B$2:$B$2604,'Form responses 1'!$C$2:$C$2604,""))</f>
        <v>MARTINUS HANDOYO S/PANARY SITOPU</v>
      </c>
      <c r="F486" s="44" t="str">
        <f t="array" ref="F486">IF(B486="","",_xlfn.XLOOKUP(B486,'Form responses 1'!$B$2:$B$2604,'Form responses 1'!$D$2:$D$2604,""))</f>
        <v>0889-2977-399</v>
      </c>
      <c r="G486" s="44" t="str">
        <f t="array" ref="G486">IF(B486="","",_xlfn.XLOOKUP(B486,'Form responses 1'!$B$2:$B$2604,'Form responses 1'!$E$2:$E$2604,""))</f>
        <v>BN JUAL BELI </v>
      </c>
      <c r="H486" s="44" t="str">
        <f t="array" ref="H486">IF(B486="","",_xlfn.XLOOKUP(B486,'Form responses 1'!$B$2:$B$2604,'Form responses 1'!$F$2:$F$2604,""))</f>
        <v>B.605/SUMUR PUTRI</v>
      </c>
      <c r="I486" s="44" t="str">
        <f t="array" ref="I486">IF(B486="","",_xlfn.XLOOKUP(B486,'Form responses 1'!$B$2:$B$2604,'Form responses 1'!$I$2:$I$2604,""))</f>
        <v>SUMUR PUTRI</v>
      </c>
      <c r="J486" s="44" t="str">
        <f t="array" ref="J486">IF(B486="","",_xlfn.XLOOKUP(B486,'Form responses 1'!$B$2:$B$2604,'Form responses 1'!$G$2:$G$2604,""))</f>
        <v>Baynur</v>
      </c>
      <c r="K486" s="41" t="s">
        <v>2875</v>
      </c>
      <c r="L486" s="52">
        <f t="shared" si="7"/>
        <v>45597.47036</v>
      </c>
      <c r="M486" s="47" t="s">
        <v>5469</v>
      </c>
      <c r="N486" s="49"/>
      <c r="O486" s="49"/>
      <c r="P486" s="49"/>
      <c r="Q486" s="49"/>
      <c r="R486" s="49"/>
      <c r="S486" s="49"/>
      <c r="T486" s="49"/>
      <c r="U486" s="49"/>
      <c r="V486" s="49"/>
      <c r="W486" s="41" t="s">
        <v>618</v>
      </c>
      <c r="X486" s="46">
        <f t="shared" si="5"/>
        <v>45602.67443</v>
      </c>
      <c r="Y486" s="50" t="s">
        <v>482</v>
      </c>
      <c r="Z486" s="49">
        <f t="shared" si="6"/>
        <v>1</v>
      </c>
    </row>
    <row r="487" ht="22.5" customHeight="1">
      <c r="B487" s="41" t="s">
        <v>2672</v>
      </c>
      <c r="C487" s="43">
        <f t="array" ref="C487">IF(B487="","",_xlfn.XLOOKUP(B487,'Form responses 1'!$B$2:$B$2604,'Form responses 1'!$A$2:$A$2604,""))</f>
        <v>45594.665</v>
      </c>
      <c r="D487" s="44" t="str">
        <f t="shared" si="3"/>
        <v>K/47/291024/2_45594.6650037037</v>
      </c>
      <c r="E487" s="44" t="str">
        <f t="array" ref="E487">IF(B487="","",_xlfn.XLOOKUP(B487,'Form responses 1'!$B$2:$B$2604,'Form responses 1'!$C$2:$C$2604,""))</f>
        <v>ALI SAPTO/ RIKA</v>
      </c>
      <c r="F487" s="44" t="str">
        <f t="array" ref="F487">IF(B487="","",_xlfn.XLOOKUP(B487,'Form responses 1'!$B$2:$B$2604,'Form responses 1'!$D$2:$D$2604,""))</f>
        <v>+62 831-6815-4278</v>
      </c>
      <c r="G487" s="44" t="str">
        <f t="array" ref="G487">IF(B487="","",_xlfn.XLOOKUP(B487,'Form responses 1'!$B$2:$B$2604,'Form responses 1'!$E$2:$E$2604,""))</f>
        <v>BN JUAL BELI</v>
      </c>
      <c r="H487" s="44" t="str">
        <f t="array" ref="H487">IF(B487="","",_xlfn.XLOOKUP(B487,'Form responses 1'!$B$2:$B$2604,'Form responses 1'!$F$2:$F$2604,""))</f>
        <v>Nibel 2137/ Telukbetung</v>
      </c>
      <c r="I487" s="44" t="str">
        <f t="array" ref="I487">IF(B487="","",_xlfn.XLOOKUP(B487,'Form responses 1'!$B$2:$B$2604,'Form responses 1'!$I$2:$I$2604,""))</f>
        <v>Telukbetung</v>
      </c>
      <c r="J487" s="44" t="str">
        <f t="array" ref="J487">IF(B487="","",_xlfn.XLOOKUP(B487,'Form responses 1'!$B$2:$B$2604,'Form responses 1'!$G$2:$G$2604,""))</f>
        <v>Hananda</v>
      </c>
      <c r="K487" s="41" t="s">
        <v>2421</v>
      </c>
      <c r="L487" s="52">
        <f t="shared" si="7"/>
        <v>45597.4906</v>
      </c>
      <c r="M487" s="49"/>
      <c r="N487" s="49"/>
      <c r="O487" s="49"/>
      <c r="P487" s="49"/>
      <c r="Q487" s="49"/>
      <c r="R487" s="49"/>
      <c r="S487" s="49"/>
      <c r="T487" s="49"/>
      <c r="U487" s="49"/>
      <c r="V487" s="49"/>
      <c r="W487" s="41" t="s">
        <v>618</v>
      </c>
      <c r="X487" s="46">
        <f t="shared" si="5"/>
        <v>45600.59705</v>
      </c>
      <c r="Y487" s="50" t="s">
        <v>482</v>
      </c>
      <c r="Z487" s="49">
        <f t="shared" si="6"/>
        <v>0</v>
      </c>
    </row>
    <row r="488" ht="22.5" customHeight="1">
      <c r="B488" s="41" t="s">
        <v>2325</v>
      </c>
      <c r="C488" s="43">
        <f t="array" ref="C488">IF(B488="","",_xlfn.XLOOKUP(B488,'Form responses 1'!$B$2:$B$2604,'Form responses 1'!$A$2:$A$2604,""))</f>
        <v>45593.38839</v>
      </c>
      <c r="D488" s="44" t="str">
        <f t="shared" si="3"/>
        <v>K/5/281024/1_45593.3883908102</v>
      </c>
      <c r="E488" s="44" t="str">
        <f t="array" ref="E488">IF(B488="","",_xlfn.XLOOKUP(B488,'Form responses 1'!$B$2:$B$2604,'Form responses 1'!$C$2:$C$2604,""))</f>
        <v>Evi Udin/ Wong Tjhi Mie</v>
      </c>
      <c r="F488" s="44" t="str">
        <f t="array" ref="F488">IF(B488="","",_xlfn.XLOOKUP(B488,'Form responses 1'!$B$2:$B$2604,'Form responses 1'!$D$2:$D$2604,""))</f>
        <v>+62 821-8499-9559</v>
      </c>
      <c r="G488" s="44" t="str">
        <f t="array" ref="G488">IF(B488="","",_xlfn.XLOOKUP(B488,'Form responses 1'!$B$2:$B$2604,'Form responses 1'!$E$2:$E$2604,""))</f>
        <v>Ganti Nama</v>
      </c>
      <c r="H488" s="44" t="str">
        <f t="array" ref="H488">IF(B488="","",_xlfn.XLOOKUP(B488,'Form responses 1'!$B$2:$B$2604,'Form responses 1'!$F$2:$F$2604,""))</f>
        <v>M. 1409/ Panjang Utara</v>
      </c>
      <c r="I488" s="44" t="str">
        <f t="array" ref="I488">IF(B488="","",_xlfn.XLOOKUP(B488,'Form responses 1'!$B$2:$B$2604,'Form responses 1'!$I$2:$I$2604,""))</f>
        <v>Panjang Utara</v>
      </c>
      <c r="J488" s="44" t="str">
        <f t="array" ref="J488">IF(B488="","",_xlfn.XLOOKUP(B488,'Form responses 1'!$B$2:$B$2604,'Form responses 1'!$G$2:$G$2604,""))</f>
        <v>Rapita</v>
      </c>
      <c r="K488" s="41" t="s">
        <v>2421</v>
      </c>
      <c r="L488" s="52">
        <f t="shared" si="7"/>
        <v>45597.49062</v>
      </c>
      <c r="M488" s="49"/>
      <c r="N488" s="49"/>
      <c r="O488" s="49"/>
      <c r="P488" s="49"/>
      <c r="Q488" s="49"/>
      <c r="R488" s="49"/>
      <c r="S488" s="49"/>
      <c r="T488" s="49"/>
      <c r="U488" s="49"/>
      <c r="V488" s="49"/>
      <c r="W488" s="41" t="s">
        <v>618</v>
      </c>
      <c r="X488" s="46">
        <f t="shared" si="5"/>
        <v>45600.46819</v>
      </c>
      <c r="Y488" s="50" t="s">
        <v>482</v>
      </c>
      <c r="Z488" s="49">
        <f t="shared" si="6"/>
        <v>0</v>
      </c>
    </row>
    <row r="489" ht="22.5" customHeight="1">
      <c r="B489" s="41" t="s">
        <v>2552</v>
      </c>
      <c r="C489" s="43">
        <f t="array" ref="C489">IF(B489="","",_xlfn.XLOOKUP(B489,'Form responses 1'!$B$2:$B$2604,'Form responses 1'!$A$2:$A$2604,""))</f>
        <v>45594.48088</v>
      </c>
      <c r="D489" s="44" t="str">
        <f t="shared" si="3"/>
        <v>K/15/291024/1_45594.4808798032</v>
      </c>
      <c r="E489" s="44" t="str">
        <f t="array" ref="E489">IF(B489="","",_xlfn.XLOOKUP(B489,'Form responses 1'!$B$2:$B$2604,'Form responses 1'!$C$2:$C$2604,""))</f>
        <v>Teddy Saputra/ Dahlia</v>
      </c>
      <c r="F489" s="44" t="str">
        <f t="array" ref="F489">IF(B489="","",_xlfn.XLOOKUP(B489,'Form responses 1'!$B$2:$B$2604,'Form responses 1'!$D$2:$D$2604,""))</f>
        <v>085133331397</v>
      </c>
      <c r="G489" s="44" t="str">
        <f t="array" ref="G489">IF(B489="","",_xlfn.XLOOKUP(B489,'Form responses 1'!$B$2:$B$2604,'Form responses 1'!$E$2:$E$2604,""))</f>
        <v>BN Jual Beli</v>
      </c>
      <c r="H489" s="44" t="str">
        <f t="array" ref="H489">IF(B489="","",_xlfn.XLOOKUP(B489,'Form responses 1'!$B$2:$B$2604,'Form responses 1'!$F$2:$F$2604,""))</f>
        <v>M. 534/ Sumur Batu</v>
      </c>
      <c r="I489" s="44" t="str">
        <f t="array" ref="I489">IF(B489="","",_xlfn.XLOOKUP(B489,'Form responses 1'!$B$2:$B$2604,'Form responses 1'!$I$2:$I$2604,""))</f>
        <v>Sumur Batu</v>
      </c>
      <c r="J489" s="44" t="str">
        <f t="array" ref="J489">IF(B489="","",_xlfn.XLOOKUP(B489,'Form responses 1'!$B$2:$B$2604,'Form responses 1'!$G$2:$G$2604,""))</f>
        <v>Rapita</v>
      </c>
      <c r="K489" s="41" t="s">
        <v>2421</v>
      </c>
      <c r="L489" s="52">
        <f t="shared" si="7"/>
        <v>45597.49064</v>
      </c>
      <c r="M489" s="47" t="s">
        <v>5470</v>
      </c>
      <c r="N489" s="47" t="s">
        <v>5471</v>
      </c>
      <c r="O489" s="49"/>
      <c r="P489" s="49"/>
      <c r="Q489" s="49"/>
      <c r="R489" s="49"/>
      <c r="S489" s="49"/>
      <c r="T489" s="49"/>
      <c r="U489" s="49"/>
      <c r="V489" s="49"/>
      <c r="W489" s="41" t="s">
        <v>618</v>
      </c>
      <c r="X489" s="46">
        <f t="shared" si="5"/>
        <v>45602.65713</v>
      </c>
      <c r="Y489" s="50" t="s">
        <v>482</v>
      </c>
      <c r="Z489" s="49">
        <f t="shared" si="6"/>
        <v>2</v>
      </c>
    </row>
    <row r="490" ht="22.5" customHeight="1">
      <c r="B490" s="41" t="s">
        <v>2609</v>
      </c>
      <c r="C490" s="43">
        <f t="array" ref="C490">IF(B490="","",_xlfn.XLOOKUP(B490,'Form responses 1'!$B$2:$B$2604,'Form responses 1'!$A$2:$A$2604,""))</f>
        <v>45594.59423</v>
      </c>
      <c r="D490" s="44" t="str">
        <f t="shared" si="3"/>
        <v>K/29/291024/1_45594.5942328356</v>
      </c>
      <c r="E490" s="44" t="str">
        <f t="array" ref="E490">IF(B490="","",_xlfn.XLOOKUP(B490,'Form responses 1'!$B$2:$B$2604,'Form responses 1'!$C$2:$C$2604,""))</f>
        <v>Mulhan/ Viah</v>
      </c>
      <c r="F490" s="44" t="str">
        <f t="array" ref="F490">IF(B490="","",_xlfn.XLOOKUP(B490,'Form responses 1'!$B$2:$B$2604,'Form responses 1'!$D$2:$D$2604,""))</f>
        <v>081274118361</v>
      </c>
      <c r="G490" s="44" t="str">
        <f t="array" ref="G490">IF(B490="","",_xlfn.XLOOKUP(B490,'Form responses 1'!$B$2:$B$2604,'Form responses 1'!$E$2:$E$2604,""))</f>
        <v>Roya</v>
      </c>
      <c r="H490" s="44" t="str">
        <f t="array" ref="H490">IF(B490="","",_xlfn.XLOOKUP(B490,'Form responses 1'!$B$2:$B$2604,'Form responses 1'!$F$2:$F$2604,""))</f>
        <v>M. 9298/ Rajabasa</v>
      </c>
      <c r="I490" s="44" t="str">
        <f t="array" ref="I490">IF(B490="","",_xlfn.XLOOKUP(B490,'Form responses 1'!$B$2:$B$2604,'Form responses 1'!$I$2:$I$2604,""))</f>
        <v>Rajabasa</v>
      </c>
      <c r="J490" s="44" t="str">
        <f t="array" ref="J490">IF(B490="","",_xlfn.XLOOKUP(B490,'Form responses 1'!$B$2:$B$2604,'Form responses 1'!$G$2:$G$2604,""))</f>
        <v>Rapita</v>
      </c>
      <c r="K490" s="41" t="s">
        <v>2421</v>
      </c>
      <c r="L490" s="52">
        <f t="shared" si="7"/>
        <v>45597.49066</v>
      </c>
      <c r="M490" s="47" t="s">
        <v>5472</v>
      </c>
      <c r="N490" s="47" t="s">
        <v>5473</v>
      </c>
      <c r="O490" s="47" t="s">
        <v>5474</v>
      </c>
      <c r="P490" s="47" t="s">
        <v>5475</v>
      </c>
      <c r="Q490" s="47" t="s">
        <v>5476</v>
      </c>
      <c r="R490" s="47" t="s">
        <v>5477</v>
      </c>
      <c r="S490" s="47" t="s">
        <v>5478</v>
      </c>
      <c r="T490" s="47" t="s">
        <v>5479</v>
      </c>
      <c r="U490" s="49"/>
      <c r="V490" s="49"/>
      <c r="W490" s="41" t="s">
        <v>470</v>
      </c>
      <c r="X490" s="46">
        <f t="shared" si="5"/>
        <v>45600.54835</v>
      </c>
      <c r="Y490" s="50" t="s">
        <v>482</v>
      </c>
      <c r="Z490" s="49">
        <f t="shared" si="6"/>
        <v>8</v>
      </c>
    </row>
    <row r="491" ht="22.5" customHeight="1">
      <c r="B491" s="41" t="s">
        <v>2488</v>
      </c>
      <c r="C491" s="43">
        <f t="array" ref="C491">IF(B491="","",_xlfn.XLOOKUP(B491,'Form responses 1'!$B$2:$B$2604,'Form responses 1'!$A$2:$A$2604,""))</f>
        <v>45593.66778</v>
      </c>
      <c r="D491" s="44" t="str">
        <f t="shared" si="3"/>
        <v>K/44/281024/2_45593.6677759722</v>
      </c>
      <c r="E491" s="44" t="str">
        <f t="array" ref="E491">IF(B491="","",_xlfn.XLOOKUP(B491,'Form responses 1'!$B$2:$B$2604,'Form responses 1'!$C$2:$C$2604,""))</f>
        <v>YANTI MEUTIA S/PANARY SITOPU</v>
      </c>
      <c r="F491" s="44" t="str">
        <f t="array" ref="F491">IF(B491="","",_xlfn.XLOOKUP(B491,'Form responses 1'!$B$2:$B$2604,'Form responses 1'!$D$2:$D$2604,""))</f>
        <v>0889-2977-399</v>
      </c>
      <c r="G491" s="44" t="str">
        <f t="array" ref="G491">IF(B491="","",_xlfn.XLOOKUP(B491,'Form responses 1'!$B$2:$B$2604,'Form responses 1'!$E$2:$E$2604,""))</f>
        <v>BN JUAL BELI</v>
      </c>
      <c r="H491" s="44" t="str">
        <f t="array" ref="H491">IF(B491="","",_xlfn.XLOOKUP(B491,'Form responses 1'!$B$2:$B$2604,'Form responses 1'!$F$2:$F$2604,""))</f>
        <v>B.721/SUMUR PUTRI</v>
      </c>
      <c r="I491" s="44" t="str">
        <f t="array" ref="I491">IF(B491="","",_xlfn.XLOOKUP(B491,'Form responses 1'!$B$2:$B$2604,'Form responses 1'!$I$2:$I$2604,""))</f>
        <v>SUMUR PUTRI</v>
      </c>
      <c r="J491" s="44" t="str">
        <f t="array" ref="J491">IF(B491="","",_xlfn.XLOOKUP(B491,'Form responses 1'!$B$2:$B$2604,'Form responses 1'!$G$2:$G$2604,""))</f>
        <v>Baynur</v>
      </c>
      <c r="K491" s="41" t="s">
        <v>2421</v>
      </c>
      <c r="L491" s="52">
        <f t="shared" si="7"/>
        <v>45597.49068</v>
      </c>
      <c r="M491" s="49"/>
      <c r="N491" s="49"/>
      <c r="O491" s="49"/>
      <c r="P491" s="49"/>
      <c r="Q491" s="49"/>
      <c r="R491" s="49"/>
      <c r="S491" s="49"/>
      <c r="T491" s="49"/>
      <c r="U491" s="49"/>
      <c r="V491" s="49"/>
      <c r="W491" s="41" t="s">
        <v>618</v>
      </c>
      <c r="X491" s="46">
        <f t="shared" si="5"/>
        <v>45600.61007</v>
      </c>
      <c r="Y491" s="50" t="s">
        <v>482</v>
      </c>
      <c r="Z491" s="49">
        <f t="shared" si="6"/>
        <v>0</v>
      </c>
    </row>
    <row r="492" ht="22.5" customHeight="1">
      <c r="B492" s="41" t="s">
        <v>2842</v>
      </c>
      <c r="C492" s="43">
        <f t="array" ref="C492">IF(B492="","",_xlfn.XLOOKUP(B492,'Form responses 1'!$B$2:$B$2604,'Form responses 1'!$A$2:$A$2604,""))</f>
        <v>45595.63509</v>
      </c>
      <c r="D492" s="44" t="str">
        <f t="shared" si="3"/>
        <v>K/34/301024/4_45595.6350896065</v>
      </c>
      <c r="E492" s="44" t="str">
        <f t="array" ref="E492">IF(B492="","",_xlfn.XLOOKUP(B492,'Form responses 1'!$B$2:$B$2604,'Form responses 1'!$C$2:$C$2604,""))</f>
        <v>TITIK WIJAYANTI/VYATRA EKO SUSANTO</v>
      </c>
      <c r="F492" s="44" t="str">
        <f t="array" ref="F492">IF(B492="","",_xlfn.XLOOKUP(B492,'Form responses 1'!$B$2:$B$2604,'Form responses 1'!$D$2:$D$2604,""))</f>
        <v>081279240846</v>
      </c>
      <c r="G492" s="44" t="str">
        <f t="array" ref="G492">IF(B492="","",_xlfn.XLOOKUP(B492,'Form responses 1'!$B$2:$B$2604,'Form responses 1'!$E$2:$E$2604,""))</f>
        <v>SKPT</v>
      </c>
      <c r="H492" s="44" t="str">
        <f t="array" ref="H492">IF(B492="","",_xlfn.XLOOKUP(B492,'Form responses 1'!$B$2:$B$2604,'Form responses 1'!$F$2:$F$2604,""))</f>
        <v>M.11237/TANJUNG BARU</v>
      </c>
      <c r="I492" s="44" t="str">
        <f t="array" ref="I492">IF(B492="","",_xlfn.XLOOKUP(B492,'Form responses 1'!$B$2:$B$2604,'Form responses 1'!$I$2:$I$2604,""))</f>
        <v>TANJUNG BARU</v>
      </c>
      <c r="J492" s="44" t="str">
        <f t="array" ref="J492">IF(B492="","",_xlfn.XLOOKUP(B492,'Form responses 1'!$B$2:$B$2604,'Form responses 1'!$G$2:$G$2604,""))</f>
        <v>Baynur</v>
      </c>
      <c r="K492" s="41" t="s">
        <v>2421</v>
      </c>
      <c r="L492" s="52">
        <f t="shared" si="7"/>
        <v>45597.4907</v>
      </c>
      <c r="M492" s="49"/>
      <c r="N492" s="49"/>
      <c r="O492" s="49"/>
      <c r="P492" s="49"/>
      <c r="Q492" s="49"/>
      <c r="R492" s="49"/>
      <c r="S492" s="49"/>
      <c r="T492" s="49"/>
      <c r="U492" s="49"/>
      <c r="V492" s="49"/>
      <c r="W492" s="41" t="s">
        <v>618</v>
      </c>
      <c r="X492" s="46">
        <f t="shared" si="5"/>
        <v>45597.49396</v>
      </c>
      <c r="Y492" s="50" t="s">
        <v>482</v>
      </c>
      <c r="Z492" s="49">
        <f t="shared" si="6"/>
        <v>0</v>
      </c>
    </row>
    <row r="493" ht="22.5" customHeight="1">
      <c r="B493" s="41" t="s">
        <v>2808</v>
      </c>
      <c r="C493" s="43">
        <f t="array" ref="C493">IF(B493="","",_xlfn.XLOOKUP(B493,'Form responses 1'!$B$2:$B$2604,'Form responses 1'!$A$2:$A$2604,""))</f>
        <v>45595.60395</v>
      </c>
      <c r="D493" s="44" t="str">
        <f t="shared" si="3"/>
        <v>K/33/301024/3_45595.6039509375</v>
      </c>
      <c r="E493" s="44" t="str">
        <f t="array" ref="E493">IF(B493="","",_xlfn.XLOOKUP(B493,'Form responses 1'!$B$2:$B$2604,'Form responses 1'!$C$2:$C$2604,""))</f>
        <v>TITIK WIJAYANTI/VYATRA EKO SUSANTO</v>
      </c>
      <c r="F493" s="44" t="str">
        <f t="array" ref="F493">IF(B493="","",_xlfn.XLOOKUP(B493,'Form responses 1'!$B$2:$B$2604,'Form responses 1'!$D$2:$D$2604,""))</f>
        <v>081279240846</v>
      </c>
      <c r="G493" s="44" t="str">
        <f t="array" ref="G493">IF(B493="","",_xlfn.XLOOKUP(B493,'Form responses 1'!$B$2:$B$2604,'Form responses 1'!$E$2:$E$2604,""))</f>
        <v>SKPT</v>
      </c>
      <c r="H493" s="44" t="str">
        <f t="array" ref="H493">IF(B493="","",_xlfn.XLOOKUP(B493,'Form responses 1'!$B$2:$B$2604,'Form responses 1'!$F$2:$F$2604,""))</f>
        <v>M.13730/TANJUNG BARU</v>
      </c>
      <c r="I493" s="44" t="str">
        <f t="array" ref="I493">IF(B493="","",_xlfn.XLOOKUP(B493,'Form responses 1'!$B$2:$B$2604,'Form responses 1'!$I$2:$I$2604,""))</f>
        <v>TANJUNG BARU</v>
      </c>
      <c r="J493" s="44" t="str">
        <f t="array" ref="J493">IF(B493="","",_xlfn.XLOOKUP(B493,'Form responses 1'!$B$2:$B$2604,'Form responses 1'!$G$2:$G$2604,""))</f>
        <v>Baynur</v>
      </c>
      <c r="K493" s="41" t="s">
        <v>2421</v>
      </c>
      <c r="L493" s="52">
        <f t="shared" si="7"/>
        <v>45597.49072</v>
      </c>
      <c r="M493" s="49"/>
      <c r="N493" s="49"/>
      <c r="O493" s="49"/>
      <c r="P493" s="49"/>
      <c r="Q493" s="49"/>
      <c r="R493" s="49"/>
      <c r="S493" s="49"/>
      <c r="T493" s="49"/>
      <c r="U493" s="49"/>
      <c r="V493" s="49"/>
      <c r="W493" s="41" t="s">
        <v>618</v>
      </c>
      <c r="X493" s="46">
        <f t="shared" si="5"/>
        <v>45597.49517</v>
      </c>
      <c r="Y493" s="50" t="s">
        <v>482</v>
      </c>
      <c r="Z493" s="49">
        <f t="shared" si="6"/>
        <v>0</v>
      </c>
    </row>
    <row r="494" ht="22.5" customHeight="1">
      <c r="B494" s="41" t="s">
        <v>2701</v>
      </c>
      <c r="C494" s="43">
        <f t="array" ref="C494">IF(B494="","",_xlfn.XLOOKUP(B494,'Form responses 1'!$B$2:$B$2604,'Form responses 1'!$A$2:$A$2604,""))</f>
        <v>45595.40356</v>
      </c>
      <c r="D494" s="44" t="str">
        <f t="shared" si="3"/>
        <v>K/4/301024/3_45595.4035619792</v>
      </c>
      <c r="E494" s="44" t="str">
        <f t="array" ref="E494">IF(B494="","",_xlfn.XLOOKUP(B494,'Form responses 1'!$B$2:$B$2604,'Form responses 1'!$C$2:$C$2604,""))</f>
        <v>NANIK MARYANI/ NENG TIARA</v>
      </c>
      <c r="F494" s="44" t="str">
        <f t="array" ref="F494">IF(B494="","",_xlfn.XLOOKUP(B494,'Form responses 1'!$B$2:$B$2604,'Form responses 1'!$D$2:$D$2604,""))</f>
        <v>083178501348</v>
      </c>
      <c r="G494" s="44" t="str">
        <f t="array" ref="G494">IF(B494="","",_xlfn.XLOOKUP(B494,'Form responses 1'!$B$2:$B$2604,'Form responses 1'!$E$2:$E$2604,""))</f>
        <v>BN JUAL BELI</v>
      </c>
      <c r="H494" s="44" t="str">
        <f t="array" ref="H494">IF(B494="","",_xlfn.XLOOKUP(B494,'Form responses 1'!$B$2:$B$2604,'Form responses 1'!$F$2:$F$2604,""))</f>
        <v>M. 2390/ Kedaung</v>
      </c>
      <c r="I494" s="44" t="str">
        <f t="array" ref="I494">IF(B494="","",_xlfn.XLOOKUP(B494,'Form responses 1'!$B$2:$B$2604,'Form responses 1'!$I$2:$I$2604,""))</f>
        <v>Kedaung</v>
      </c>
      <c r="J494" s="44" t="str">
        <f t="array" ref="J494">IF(B494="","",_xlfn.XLOOKUP(B494,'Form responses 1'!$B$2:$B$2604,'Form responses 1'!$G$2:$G$2604,""))</f>
        <v>Hananda</v>
      </c>
      <c r="K494" s="41" t="s">
        <v>2421</v>
      </c>
      <c r="L494" s="52">
        <f t="shared" si="7"/>
        <v>45597.49074</v>
      </c>
      <c r="M494" s="49"/>
      <c r="N494" s="49"/>
      <c r="O494" s="49"/>
      <c r="P494" s="49"/>
      <c r="Q494" s="49"/>
      <c r="R494" s="49"/>
      <c r="S494" s="49"/>
      <c r="T494" s="49"/>
      <c r="U494" s="49"/>
      <c r="V494" s="49"/>
      <c r="W494" s="41" t="s">
        <v>618</v>
      </c>
      <c r="X494" s="46">
        <f t="shared" si="5"/>
        <v>45600.65401</v>
      </c>
      <c r="Y494" s="50" t="s">
        <v>482</v>
      </c>
      <c r="Z494" s="49">
        <f t="shared" si="6"/>
        <v>0</v>
      </c>
    </row>
    <row r="495" ht="22.5" customHeight="1">
      <c r="B495" s="41" t="s">
        <v>2744</v>
      </c>
      <c r="C495" s="43">
        <f t="array" ref="C495">IF(B495="","",_xlfn.XLOOKUP(B495,'Form responses 1'!$B$2:$B$2604,'Form responses 1'!$A$2:$A$2604,""))</f>
        <v>45595.4634</v>
      </c>
      <c r="D495" s="44" t="str">
        <f t="shared" si="3"/>
        <v>L/15/301024/1_45595.4633962384</v>
      </c>
      <c r="E495" s="44" t="str">
        <f t="array" ref="E495">IF(B495="","",_xlfn.XLOOKUP(B495,'Form responses 1'!$B$2:$B$2604,'Form responses 1'!$C$2:$C$2604,""))</f>
        <v>SUNNY WADHWA</v>
      </c>
      <c r="F495" s="44" t="str">
        <f t="array" ref="F495">IF(B495="","",_xlfn.XLOOKUP(B495,'Form responses 1'!$B$2:$B$2604,'Form responses 1'!$D$2:$D$2604,""))</f>
        <v>082279910992</v>
      </c>
      <c r="G495" s="44" t="str">
        <f t="array" ref="G495">IF(B495="","",_xlfn.XLOOKUP(B495,'Form responses 1'!$B$2:$B$2604,'Form responses 1'!$E$2:$E$2604,""))</f>
        <v>ROYA LELANG</v>
      </c>
      <c r="H495" s="44" t="str">
        <f t="array" ref="H495">IF(B495="","",_xlfn.XLOOKUP(B495,'Form responses 1'!$B$2:$B$2604,'Form responses 1'!$F$2:$F$2604,""))</f>
        <v>HM 617/SUKARAJA</v>
      </c>
      <c r="I495" s="44" t="str">
        <f t="array" ref="I495">IF(B495="","",_xlfn.XLOOKUP(B495,'Form responses 1'!$B$2:$B$2604,'Form responses 1'!$I$2:$I$2604,""))</f>
        <v>SUKARAJA</v>
      </c>
      <c r="J495" s="44" t="str">
        <f t="array" ref="J495">IF(B495="","",_xlfn.XLOOKUP(B495,'Form responses 1'!$B$2:$B$2604,'Form responses 1'!$G$2:$G$2604,""))</f>
        <v>Deby</v>
      </c>
      <c r="K495" s="41" t="s">
        <v>2421</v>
      </c>
      <c r="L495" s="52">
        <f t="shared" si="7"/>
        <v>45597.49078</v>
      </c>
      <c r="M495" s="49"/>
      <c r="N495" s="49"/>
      <c r="O495" s="49"/>
      <c r="P495" s="49"/>
      <c r="Q495" s="49"/>
      <c r="R495" s="49"/>
      <c r="S495" s="49"/>
      <c r="T495" s="49"/>
      <c r="U495" s="49"/>
      <c r="V495" s="49"/>
      <c r="W495" s="41" t="s">
        <v>618</v>
      </c>
      <c r="X495" s="46">
        <f t="shared" si="5"/>
        <v>45600.63509</v>
      </c>
      <c r="Y495" s="50" t="s">
        <v>482</v>
      </c>
      <c r="Z495" s="49">
        <f t="shared" si="6"/>
        <v>0</v>
      </c>
    </row>
    <row r="496" ht="22.5" customHeight="1">
      <c r="B496" s="41" t="s">
        <v>2794</v>
      </c>
      <c r="C496" s="43">
        <f t="array" ref="C496">IF(B496="","",_xlfn.XLOOKUP(B496,'Form responses 1'!$B$2:$B$2604,'Form responses 1'!$A$2:$A$2604,""))</f>
        <v>45595.58269</v>
      </c>
      <c r="D496" s="44" t="str">
        <f t="shared" si="3"/>
        <v>K/29/301024/1_45595.5826896065</v>
      </c>
      <c r="E496" s="44" t="str">
        <f t="array" ref="E496">IF(B496="","",_xlfn.XLOOKUP(B496,'Form responses 1'!$B$2:$B$2604,'Form responses 1'!$C$2:$C$2604,""))</f>
        <v>SERUNI WIDYAWATI</v>
      </c>
      <c r="F496" s="44" t="str">
        <f t="array" ref="F496">IF(B496="","",_xlfn.XLOOKUP(B496,'Form responses 1'!$B$2:$B$2604,'Form responses 1'!$D$2:$D$2604,""))</f>
        <v>+62 895-6092-80120</v>
      </c>
      <c r="G496" s="44" t="str">
        <f t="array" ref="G496">IF(B496="","",_xlfn.XLOOKUP(B496,'Form responses 1'!$B$2:$B$2604,'Form responses 1'!$E$2:$E$2604,""))</f>
        <v>ROYA</v>
      </c>
      <c r="H496" s="44" t="str">
        <f t="array" ref="H496">IF(B496="","",_xlfn.XLOOKUP(B496,'Form responses 1'!$B$2:$B$2604,'Form responses 1'!$F$2:$F$2604,""))</f>
        <v>M. 1927/ Labuhan Dalam</v>
      </c>
      <c r="I496" s="44" t="str">
        <f t="array" ref="I496">IF(B496="","",_xlfn.XLOOKUP(B496,'Form responses 1'!$B$2:$B$2604,'Form responses 1'!$I$2:$I$2604,""))</f>
        <v>Labuhan Dalam</v>
      </c>
      <c r="J496" s="44" t="str">
        <f t="array" ref="J496">IF(B496="","",_xlfn.XLOOKUP(B496,'Form responses 1'!$B$2:$B$2604,'Form responses 1'!$G$2:$G$2604,""))</f>
        <v>Hananda</v>
      </c>
      <c r="K496" s="41" t="s">
        <v>2421</v>
      </c>
      <c r="L496" s="52">
        <f t="shared" si="7"/>
        <v>45597.4908</v>
      </c>
      <c r="M496" s="49"/>
      <c r="N496" s="49"/>
      <c r="O496" s="49"/>
      <c r="P496" s="49"/>
      <c r="Q496" s="49"/>
      <c r="R496" s="49"/>
      <c r="S496" s="49"/>
      <c r="T496" s="49"/>
      <c r="U496" s="49"/>
      <c r="V496" s="49"/>
      <c r="W496" s="41" t="s">
        <v>618</v>
      </c>
      <c r="X496" s="46">
        <f t="shared" si="5"/>
        <v>45600.63069</v>
      </c>
      <c r="Y496" s="50" t="s">
        <v>482</v>
      </c>
      <c r="Z496" s="49">
        <f t="shared" si="6"/>
        <v>0</v>
      </c>
    </row>
    <row r="497" ht="22.5" customHeight="1">
      <c r="B497" s="41" t="s">
        <v>2659</v>
      </c>
      <c r="C497" s="43">
        <f t="array" ref="C497">IF(B497="","",_xlfn.XLOOKUP(B497,'Form responses 1'!$B$2:$B$2604,'Form responses 1'!$A$2:$A$2604,""))</f>
        <v>45594.63003</v>
      </c>
      <c r="D497" s="44" t="str">
        <f t="shared" si="3"/>
        <v>K/42/291024/4_45594.6300322917</v>
      </c>
      <c r="E497" s="44" t="str">
        <f t="array" ref="E497">IF(B497="","",_xlfn.XLOOKUP(B497,'Form responses 1'!$B$2:$B$2604,'Form responses 1'!$C$2:$C$2604,""))</f>
        <v>JEPRI YANTO/SUJONO PARYONO</v>
      </c>
      <c r="F497" s="44" t="str">
        <f t="array" ref="F497">IF(B497="","",_xlfn.XLOOKUP(B497,'Form responses 1'!$B$2:$B$2604,'Form responses 1'!$D$2:$D$2604,""))</f>
        <v>0857-0912-8336</v>
      </c>
      <c r="G497" s="44" t="str">
        <f t="array" ref="G497">IF(B497="","",_xlfn.XLOOKUP(B497,'Form responses 1'!$B$2:$B$2604,'Form responses 1'!$E$2:$E$2604,""))</f>
        <v>BN LELANG</v>
      </c>
      <c r="H497" s="44" t="str">
        <f t="array" ref="H497">IF(B497="","",_xlfn.XLOOKUP(B497,'Form responses 1'!$B$2:$B$2604,'Form responses 1'!$F$2:$F$2604,""))</f>
        <v>M.600/RAJABASA NUNYAI</v>
      </c>
      <c r="I497" s="44" t="str">
        <f t="array" ref="I497">IF(B497="","",_xlfn.XLOOKUP(B497,'Form responses 1'!$B$2:$B$2604,'Form responses 1'!$I$2:$I$2604,""))</f>
        <v>RAJABASA NUNYAI</v>
      </c>
      <c r="J497" s="44" t="str">
        <f t="array" ref="J497">IF(B497="","",_xlfn.XLOOKUP(B497,'Form responses 1'!$B$2:$B$2604,'Form responses 1'!$G$2:$G$2604,""))</f>
        <v>Baynur</v>
      </c>
      <c r="K497" s="41" t="s">
        <v>2875</v>
      </c>
      <c r="L497" s="52">
        <f t="shared" si="7"/>
        <v>45597.49774</v>
      </c>
      <c r="M497" s="47" t="s">
        <v>5480</v>
      </c>
      <c r="N497" s="49"/>
      <c r="O497" s="49"/>
      <c r="P497" s="49"/>
      <c r="Q497" s="49"/>
      <c r="R497" s="49"/>
      <c r="S497" s="49"/>
      <c r="T497" s="49"/>
      <c r="U497" s="49"/>
      <c r="V497" s="49"/>
      <c r="W497" s="41" t="s">
        <v>470</v>
      </c>
      <c r="X497" s="46">
        <f t="shared" si="5"/>
        <v>45597.60288</v>
      </c>
      <c r="Y497" s="50" t="s">
        <v>482</v>
      </c>
      <c r="Z497" s="49">
        <f t="shared" si="6"/>
        <v>1</v>
      </c>
    </row>
    <row r="498" ht="22.5" customHeight="1">
      <c r="B498" s="41" t="s">
        <v>2624</v>
      </c>
      <c r="C498" s="43">
        <f t="array" ref="C498">IF(B498="","",_xlfn.XLOOKUP(B498,'Form responses 1'!$B$2:$B$2604,'Form responses 1'!$A$2:$A$2604,""))</f>
        <v>45594.60672</v>
      </c>
      <c r="D498" s="44" t="str">
        <f t="shared" si="3"/>
        <v>K/33/291024/1_45594.6067233333</v>
      </c>
      <c r="E498" s="44" t="str">
        <f t="array" ref="E498">IF(B498="","",_xlfn.XLOOKUP(B498,'Form responses 1'!$B$2:$B$2604,'Form responses 1'!$C$2:$C$2604,""))</f>
        <v>Fahrul Rozi/ Maria Evi Cs</v>
      </c>
      <c r="F498" s="44" t="str">
        <f t="array" ref="F498">IF(B498="","",_xlfn.XLOOKUP(B498,'Form responses 1'!$B$2:$B$2604,'Form responses 1'!$D$2:$D$2604,""))</f>
        <v>+62 821-7585-0002</v>
      </c>
      <c r="G498" s="44" t="str">
        <f t="array" ref="G498">IF(B498="","",_xlfn.XLOOKUP(B498,'Form responses 1'!$B$2:$B$2604,'Form responses 1'!$E$2:$E$2604,""))</f>
        <v>BN Waris</v>
      </c>
      <c r="H498" s="44" t="str">
        <f t="array" ref="H498">IF(B498="","",_xlfn.XLOOKUP(B498,'Form responses 1'!$B$2:$B$2604,'Form responses 1'!$F$2:$F$2604,""))</f>
        <v>M. 1126/ Gotong Royong</v>
      </c>
      <c r="I498" s="44" t="str">
        <f t="array" ref="I498">IF(B498="","",_xlfn.XLOOKUP(B498,'Form responses 1'!$B$2:$B$2604,'Form responses 1'!$I$2:$I$2604,""))</f>
        <v>Gotong Royong</v>
      </c>
      <c r="J498" s="44" t="str">
        <f t="array" ref="J498">IF(B498="","",_xlfn.XLOOKUP(B498,'Form responses 1'!$B$2:$B$2604,'Form responses 1'!$G$2:$G$2604,""))</f>
        <v>Rapita</v>
      </c>
      <c r="K498" s="41" t="s">
        <v>2875</v>
      </c>
      <c r="L498" s="52">
        <f t="shared" si="7"/>
        <v>45597.49775</v>
      </c>
      <c r="M498" s="47" t="s">
        <v>5481</v>
      </c>
      <c r="N498" s="47" t="s">
        <v>5482</v>
      </c>
      <c r="O498" s="49"/>
      <c r="P498" s="49"/>
      <c r="Q498" s="49"/>
      <c r="R498" s="49"/>
      <c r="S498" s="49"/>
      <c r="T498" s="49"/>
      <c r="U498" s="49"/>
      <c r="V498" s="49"/>
      <c r="W498" s="41" t="s">
        <v>470</v>
      </c>
      <c r="X498" s="46">
        <f t="shared" si="5"/>
        <v>45602.68127</v>
      </c>
      <c r="Y498" s="50" t="s">
        <v>482</v>
      </c>
      <c r="Z498" s="49">
        <f t="shared" si="6"/>
        <v>2</v>
      </c>
    </row>
    <row r="499" ht="22.5" customHeight="1">
      <c r="B499" s="41" t="s">
        <v>2668</v>
      </c>
      <c r="C499" s="43">
        <f t="array" ref="C499">IF(B499="","",_xlfn.XLOOKUP(B499,'Form responses 1'!$B$2:$B$2604,'Form responses 1'!$A$2:$A$2604,""))</f>
        <v>45594.66187</v>
      </c>
      <c r="D499" s="44" t="str">
        <f t="shared" si="3"/>
        <v>K/46/291024/1_45594.6618652199</v>
      </c>
      <c r="E499" s="44" t="str">
        <f t="array" ref="E499">IF(B499="","",_xlfn.XLOOKUP(B499,'Form responses 1'!$B$2:$B$2604,'Form responses 1'!$C$2:$C$2604,""))</f>
        <v>ALI SAPTO/ RIKA WISANGRATRI</v>
      </c>
      <c r="F499" s="44" t="str">
        <f t="array" ref="F499">IF(B499="","",_xlfn.XLOOKUP(B499,'Form responses 1'!$B$2:$B$2604,'Form responses 1'!$D$2:$D$2604,""))</f>
        <v>+62 831-6815-4278</v>
      </c>
      <c r="G499" s="44" t="str">
        <f t="array" ref="G499">IF(B499="","",_xlfn.XLOOKUP(B499,'Form responses 1'!$B$2:$B$2604,'Form responses 1'!$E$2:$E$2604,""))</f>
        <v>BN JUAL BELI</v>
      </c>
      <c r="H499" s="44" t="str">
        <f t="array" ref="H499">IF(B499="","",_xlfn.XLOOKUP(B499,'Form responses 1'!$B$2:$B$2604,'Form responses 1'!$F$2:$F$2604,""))</f>
        <v>M. 1894/ Sukaraja</v>
      </c>
      <c r="I499" s="44" t="str">
        <f t="array" ref="I499">IF(B499="","",_xlfn.XLOOKUP(B499,'Form responses 1'!$B$2:$B$2604,'Form responses 1'!$I$2:$I$2604,""))</f>
        <v>Sukaraja</v>
      </c>
      <c r="J499" s="44" t="str">
        <f t="array" ref="J499">IF(B499="","",_xlfn.XLOOKUP(B499,'Form responses 1'!$B$2:$B$2604,'Form responses 1'!$G$2:$G$2604,""))</f>
        <v>Hananda</v>
      </c>
      <c r="K499" s="41" t="s">
        <v>2875</v>
      </c>
      <c r="L499" s="52">
        <f t="shared" si="7"/>
        <v>45597.49776</v>
      </c>
      <c r="M499" s="47" t="s">
        <v>5483</v>
      </c>
      <c r="N499" s="49"/>
      <c r="O499" s="49"/>
      <c r="P499" s="49"/>
      <c r="Q499" s="49"/>
      <c r="R499" s="49"/>
      <c r="S499" s="49"/>
      <c r="T499" s="49"/>
      <c r="U499" s="49"/>
      <c r="V499" s="49"/>
      <c r="W499" s="41" t="s">
        <v>618</v>
      </c>
      <c r="X499" s="46">
        <f t="shared" si="5"/>
        <v>45602.6783</v>
      </c>
      <c r="Y499" s="50" t="s">
        <v>482</v>
      </c>
      <c r="Z499" s="49">
        <f t="shared" si="6"/>
        <v>1</v>
      </c>
    </row>
    <row r="500" ht="22.5" customHeight="1">
      <c r="B500" s="41" t="s">
        <v>2613</v>
      </c>
      <c r="C500" s="43">
        <f t="array" ref="C500">IF(B500="","",_xlfn.XLOOKUP(B500,'Form responses 1'!$B$2:$B$2604,'Form responses 1'!$A$2:$A$2604,""))</f>
        <v>45594.59633</v>
      </c>
      <c r="D500" s="44" t="str">
        <f t="shared" si="3"/>
        <v>K/30/291024/1_45594.5963342477</v>
      </c>
      <c r="E500" s="44" t="str">
        <f t="array" ref="E500">IF(B500="","",_xlfn.XLOOKUP(B500,'Form responses 1'!$B$2:$B$2604,'Form responses 1'!$C$2:$C$2604,""))</f>
        <v>I Made R/ Miswanto</v>
      </c>
      <c r="F500" s="44" t="str">
        <f t="array" ref="F500">IF(B500="","",_xlfn.XLOOKUP(B500,'Form responses 1'!$B$2:$B$2604,'Form responses 1'!$D$2:$D$2604,""))</f>
        <v>081384797293</v>
      </c>
      <c r="G500" s="44" t="str">
        <f t="array" ref="G500">IF(B500="","",_xlfn.XLOOKUP(B500,'Form responses 1'!$B$2:$B$2604,'Form responses 1'!$E$2:$E$2604,""))</f>
        <v>PTPGT (Pemecahan)</v>
      </c>
      <c r="H500" s="44" t="str">
        <f t="array" ref="H500">IF(B500="","",_xlfn.XLOOKUP(B500,'Form responses 1'!$B$2:$B$2604,'Form responses 1'!$F$2:$F$2604,""))</f>
        <v>M. 1891/ Beringin Jaya; M. 1233/ Beringin Jaya-dahulu</v>
      </c>
      <c r="I500" s="44" t="str">
        <f t="array" ref="I500">IF(B500="","",_xlfn.XLOOKUP(B500,'Form responses 1'!$B$2:$B$2604,'Form responses 1'!$I$2:$I$2604,""))</f>
        <v>Beringin Jaya</v>
      </c>
      <c r="J500" s="44" t="str">
        <f t="array" ref="J500">IF(B500="","",_xlfn.XLOOKUP(B500,'Form responses 1'!$B$2:$B$2604,'Form responses 1'!$G$2:$G$2604,""))</f>
        <v>Rapita</v>
      </c>
      <c r="K500" s="41" t="s">
        <v>2875</v>
      </c>
      <c r="L500" s="52">
        <f t="shared" si="7"/>
        <v>45597.49778</v>
      </c>
      <c r="M500" s="47" t="s">
        <v>5484</v>
      </c>
      <c r="N500" s="47" t="s">
        <v>5485</v>
      </c>
      <c r="O500" s="49"/>
      <c r="P500" s="49"/>
      <c r="Q500" s="49"/>
      <c r="R500" s="49"/>
      <c r="S500" s="49"/>
      <c r="T500" s="49"/>
      <c r="U500" s="49"/>
      <c r="V500" s="49"/>
      <c r="W500" s="41" t="s">
        <v>470</v>
      </c>
      <c r="X500" s="46">
        <f t="shared" si="5"/>
        <v>45607.41425</v>
      </c>
      <c r="Y500" s="50" t="s">
        <v>482</v>
      </c>
      <c r="Z500" s="49">
        <f t="shared" si="6"/>
        <v>2</v>
      </c>
    </row>
    <row r="501" ht="22.5" customHeight="1">
      <c r="B501" s="41" t="s">
        <v>2516</v>
      </c>
      <c r="C501" s="43">
        <f t="array" ref="C501">IF(B501="","",_xlfn.XLOOKUP(B501,'Form responses 1'!$B$2:$B$2604,'Form responses 1'!$A$2:$A$2604,""))</f>
        <v>45594.42791</v>
      </c>
      <c r="D501" s="44" t="str">
        <f t="shared" si="3"/>
        <v>K/6/291024/1_45594.4279102083</v>
      </c>
      <c r="E501" s="44" t="str">
        <f t="array" ref="E501">IF(B501="","",_xlfn.XLOOKUP(B501,'Form responses 1'!$B$2:$B$2604,'Form responses 1'!$C$2:$C$2604,""))</f>
        <v>rahmadiyanti/ lidya sari</v>
      </c>
      <c r="F501" s="44" t="str">
        <f t="array" ref="F501">IF(B501="","",_xlfn.XLOOKUP(B501,'Form responses 1'!$B$2:$B$2604,'Form responses 1'!$D$2:$D$2604,""))</f>
        <v>+62 821-8209-0051</v>
      </c>
      <c r="G501" s="44" t="str">
        <f t="array" ref="G501">IF(B501="","",_xlfn.XLOOKUP(B501,'Form responses 1'!$B$2:$B$2604,'Form responses 1'!$E$2:$E$2604,""))</f>
        <v>roya</v>
      </c>
      <c r="H501" s="44" t="str">
        <f t="array" ref="H501">IF(B501="","",_xlfn.XLOOKUP(B501,'Form responses 1'!$B$2:$B$2604,'Form responses 1'!$F$2:$F$2604,""))</f>
        <v>M. 1350/ Perumnas Way Halim</v>
      </c>
      <c r="I501" s="44" t="str">
        <f t="array" ref="I501">IF(B501="","",_xlfn.XLOOKUP(B501,'Form responses 1'!$B$2:$B$2604,'Form responses 1'!$I$2:$I$2604,""))</f>
        <v>Perumnas Way Halim</v>
      </c>
      <c r="J501" s="44" t="str">
        <f t="array" ref="J501">IF(B501="","",_xlfn.XLOOKUP(B501,'Form responses 1'!$B$2:$B$2604,'Form responses 1'!$G$2:$G$2604,""))</f>
        <v>Hananda</v>
      </c>
      <c r="K501" s="41" t="s">
        <v>2875</v>
      </c>
      <c r="L501" s="52">
        <f t="shared" si="7"/>
        <v>45597.4978</v>
      </c>
      <c r="M501" s="47" t="s">
        <v>5486</v>
      </c>
      <c r="N501" s="49"/>
      <c r="O501" s="49"/>
      <c r="P501" s="49"/>
      <c r="Q501" s="49"/>
      <c r="R501" s="49"/>
      <c r="S501" s="49"/>
      <c r="T501" s="49"/>
      <c r="U501" s="49"/>
      <c r="V501" s="49"/>
      <c r="W501" s="41" t="s">
        <v>618</v>
      </c>
      <c r="X501" s="46">
        <f t="shared" si="5"/>
        <v>45609.38736</v>
      </c>
      <c r="Y501" s="50" t="s">
        <v>482</v>
      </c>
      <c r="Z501" s="49">
        <f t="shared" si="6"/>
        <v>1</v>
      </c>
    </row>
    <row r="502" ht="22.5" customHeight="1">
      <c r="B502" s="41" t="s">
        <v>2736</v>
      </c>
      <c r="C502" s="43">
        <f t="array" ref="C502">IF(B502="","",_xlfn.XLOOKUP(B502,'Form responses 1'!$B$2:$B$2604,'Form responses 1'!$A$2:$A$2604,""))</f>
        <v>45595.45741</v>
      </c>
      <c r="D502" s="44" t="str">
        <f t="shared" si="3"/>
        <v>K/12/301024/1_45595.4574146181</v>
      </c>
      <c r="E502" s="44" t="str">
        <f t="array" ref="E502">IF(B502="","",_xlfn.XLOOKUP(B502,'Form responses 1'!$B$2:$B$2604,'Form responses 1'!$C$2:$C$2604,""))</f>
        <v>Ewon G/ Wirhaida CS</v>
      </c>
      <c r="F502" s="44" t="str">
        <f t="array" ref="F502">IF(B502="","",_xlfn.XLOOKUP(B502,'Form responses 1'!$B$2:$B$2604,'Form responses 1'!$D$2:$D$2604,""))</f>
        <v>+62 895-0611-5259</v>
      </c>
      <c r="G502" s="44" t="str">
        <f t="array" ref="G502">IF(B502="","",_xlfn.XLOOKUP(B502,'Form responses 1'!$B$2:$B$2604,'Form responses 1'!$E$2:$E$2604,""))</f>
        <v>BN Waris</v>
      </c>
      <c r="H502" s="44" t="str">
        <f t="array" ref="H502">IF(B502="","",_xlfn.XLOOKUP(B502,'Form responses 1'!$B$2:$B$2604,'Form responses 1'!$F$2:$F$2604,""))</f>
        <v>M. 2009/ Tanjung Senang</v>
      </c>
      <c r="I502" s="44" t="str">
        <f t="array" ref="I502">IF(B502="","",_xlfn.XLOOKUP(B502,'Form responses 1'!$B$2:$B$2604,'Form responses 1'!$I$2:$I$2604,""))</f>
        <v>Tanjung Senang</v>
      </c>
      <c r="J502" s="44" t="str">
        <f t="array" ref="J502">IF(B502="","",_xlfn.XLOOKUP(B502,'Form responses 1'!$B$2:$B$2604,'Form responses 1'!$G$2:$G$2604,""))</f>
        <v>Rapita</v>
      </c>
      <c r="K502" s="41" t="s">
        <v>2875</v>
      </c>
      <c r="L502" s="52">
        <f t="shared" si="7"/>
        <v>45597.49781</v>
      </c>
      <c r="M502" s="47" t="s">
        <v>5487</v>
      </c>
      <c r="N502" s="47" t="s">
        <v>5488</v>
      </c>
      <c r="O502" s="49"/>
      <c r="P502" s="49"/>
      <c r="Q502" s="49"/>
      <c r="R502" s="49"/>
      <c r="S502" s="49"/>
      <c r="T502" s="49"/>
      <c r="U502" s="49"/>
      <c r="V502" s="49"/>
      <c r="W502" s="41" t="s">
        <v>470</v>
      </c>
      <c r="X502" s="46">
        <f t="shared" si="5"/>
        <v>45609.39577</v>
      </c>
      <c r="Y502" s="50" t="s">
        <v>482</v>
      </c>
      <c r="Z502" s="49">
        <f t="shared" si="6"/>
        <v>2</v>
      </c>
    </row>
    <row r="503" ht="22.5" customHeight="1">
      <c r="B503" s="41" t="s">
        <v>2694</v>
      </c>
      <c r="C503" s="43">
        <f t="array" ref="C503">IF(B503="","",_xlfn.XLOOKUP(B503,'Form responses 1'!$B$2:$B$2604,'Form responses 1'!$A$2:$A$2604,""))</f>
        <v>45595.40042</v>
      </c>
      <c r="D503" s="44" t="str">
        <f t="shared" si="3"/>
        <v>K/2/301024/1_45595.4004217014</v>
      </c>
      <c r="E503" s="44" t="str">
        <f t="array" ref="E503">IF(B503="","",_xlfn.XLOOKUP(B503,'Form responses 1'!$B$2:$B$2604,'Form responses 1'!$C$2:$C$2604,""))</f>
        <v>NANIK MARYANI/ PUNGKY</v>
      </c>
      <c r="F503" s="44" t="str">
        <f t="array" ref="F503">IF(B503="","",_xlfn.XLOOKUP(B503,'Form responses 1'!$B$2:$B$2604,'Form responses 1'!$D$2:$D$2604,""))</f>
        <v>083178501348</v>
      </c>
      <c r="G503" s="44" t="str">
        <f t="array" ref="G503">IF(B503="","",_xlfn.XLOOKUP(B503,'Form responses 1'!$B$2:$B$2604,'Form responses 1'!$E$2:$E$2604,""))</f>
        <v>BN JUAL BELI</v>
      </c>
      <c r="H503" s="44" t="str">
        <f t="array" ref="H503">IF(B503="","",_xlfn.XLOOKUP(B503,'Form responses 1'!$B$2:$B$2604,'Form responses 1'!$F$2:$F$2604,""))</f>
        <v>M. 2375/ Kedaung</v>
      </c>
      <c r="I503" s="44" t="str">
        <f t="array" ref="I503">IF(B503="","",_xlfn.XLOOKUP(B503,'Form responses 1'!$B$2:$B$2604,'Form responses 1'!$I$2:$I$2604,""))</f>
        <v> Kedaung</v>
      </c>
      <c r="J503" s="44" t="str">
        <f t="array" ref="J503">IF(B503="","",_xlfn.XLOOKUP(B503,'Form responses 1'!$B$2:$B$2604,'Form responses 1'!$G$2:$G$2604,""))</f>
        <v>Hananda</v>
      </c>
      <c r="K503" s="41" t="s">
        <v>2875</v>
      </c>
      <c r="L503" s="52">
        <f t="shared" si="7"/>
        <v>45597.49783</v>
      </c>
      <c r="M503" s="47" t="s">
        <v>5489</v>
      </c>
      <c r="N503" s="49"/>
      <c r="O503" s="49"/>
      <c r="P503" s="49"/>
      <c r="Q503" s="49"/>
      <c r="R503" s="49"/>
      <c r="S503" s="49"/>
      <c r="T503" s="49"/>
      <c r="U503" s="49"/>
      <c r="V503" s="49"/>
      <c r="W503" s="41" t="s">
        <v>618</v>
      </c>
      <c r="X503" s="46">
        <f t="shared" si="5"/>
        <v>45609.38962</v>
      </c>
      <c r="Y503" s="50" t="s">
        <v>482</v>
      </c>
      <c r="Z503" s="49">
        <f t="shared" si="6"/>
        <v>1</v>
      </c>
    </row>
    <row r="504" ht="22.5" customHeight="1">
      <c r="B504" s="41" t="s">
        <v>2756</v>
      </c>
      <c r="C504" s="43">
        <f t="array" ref="C504">IF(B504="","",_xlfn.XLOOKUP(B504,'Form responses 1'!$B$2:$B$2604,'Form responses 1'!$A$2:$A$2604,""))</f>
        <v>45595.48176</v>
      </c>
      <c r="D504" s="44" t="str">
        <f t="shared" si="3"/>
        <v>K/18/301024/1_45595.4817563426</v>
      </c>
      <c r="E504" s="44" t="str">
        <f t="array" ref="E504">IF(B504="","",_xlfn.XLOOKUP(B504,'Form responses 1'!$B$2:$B$2604,'Form responses 1'!$C$2:$C$2604,""))</f>
        <v>ROYA </v>
      </c>
      <c r="F504" s="44" t="str">
        <f t="array" ref="F504">IF(B504="","",_xlfn.XLOOKUP(B504,'Form responses 1'!$B$2:$B$2604,'Form responses 1'!$D$2:$D$2604,""))</f>
        <v>0856-6464-4484</v>
      </c>
      <c r="G504" s="44" t="str">
        <f t="array" ref="G504">IF(B504="","",_xlfn.XLOOKUP(B504,'Form responses 1'!$B$2:$B$2604,'Form responses 1'!$E$2:$E$2604,""))</f>
        <v>TITAWATI CS/HENGKI KURNIAWAN</v>
      </c>
      <c r="H504" s="44" t="str">
        <f t="array" ref="H504">IF(B504="","",_xlfn.XLOOKUP(B504,'Form responses 1'!$B$2:$B$2604,'Form responses 1'!$F$2:$F$2604,""))</f>
        <v>M.9567/SUKABUMI</v>
      </c>
      <c r="I504" s="44" t="str">
        <f t="array" ref="I504">IF(B504="","",_xlfn.XLOOKUP(B504,'Form responses 1'!$B$2:$B$2604,'Form responses 1'!$I$2:$I$2604,""))</f>
        <v>SUKABUMI</v>
      </c>
      <c r="J504" s="44" t="str">
        <f t="array" ref="J504">IF(B504="","",_xlfn.XLOOKUP(B504,'Form responses 1'!$B$2:$B$2604,'Form responses 1'!$G$2:$G$2604,""))</f>
        <v>Baynur</v>
      </c>
      <c r="K504" s="41" t="s">
        <v>2875</v>
      </c>
      <c r="L504" s="52">
        <f t="shared" si="7"/>
        <v>45597.49786</v>
      </c>
      <c r="M504" s="47" t="s">
        <v>5490</v>
      </c>
      <c r="N504" s="49"/>
      <c r="O504" s="49"/>
      <c r="P504" s="49"/>
      <c r="Q504" s="49"/>
      <c r="R504" s="49"/>
      <c r="S504" s="49"/>
      <c r="T504" s="49"/>
      <c r="U504" s="49"/>
      <c r="V504" s="49"/>
      <c r="W504" s="41" t="s">
        <v>470</v>
      </c>
      <c r="X504" s="46">
        <f t="shared" si="5"/>
        <v>45600.61553</v>
      </c>
      <c r="Y504" s="50" t="s">
        <v>482</v>
      </c>
      <c r="Z504" s="49">
        <f t="shared" si="6"/>
        <v>1</v>
      </c>
    </row>
    <row r="505" ht="22.5" customHeight="1">
      <c r="B505" s="41" t="s">
        <v>2686</v>
      </c>
      <c r="C505" s="43">
        <f t="array" ref="C505">IF(B505="","",_xlfn.XLOOKUP(B505,'Form responses 1'!$B$2:$B$2604,'Form responses 1'!$A$2:$A$2604,""))</f>
        <v>45595.37982</v>
      </c>
      <c r="D505" s="44" t="str">
        <f t="shared" si="3"/>
        <v>L/1/301024/1_45595.3798179167</v>
      </c>
      <c r="E505" s="44" t="str">
        <f t="array" ref="E505">IF(B505="","",_xlfn.XLOOKUP(B505,'Form responses 1'!$B$2:$B$2604,'Form responses 1'!$C$2:$C$2604,""))</f>
        <v>SUKANTO</v>
      </c>
      <c r="F505" s="44" t="str">
        <f t="array" ref="F505">IF(B505="","",_xlfn.XLOOKUP(B505,'Form responses 1'!$B$2:$B$2604,'Form responses 1'!$D$2:$D$2604,""))</f>
        <v>082579980777</v>
      </c>
      <c r="G505" s="44" t="str">
        <f t="array" ref="G505">IF(B505="","",_xlfn.XLOOKUP(B505,'Form responses 1'!$B$2:$B$2604,'Form responses 1'!$E$2:$E$2604,""))</f>
        <v>ROYA</v>
      </c>
      <c r="H505" s="44" t="str">
        <f t="array" ref="H505">IF(B505="","",_xlfn.XLOOKUP(B505,'Form responses 1'!$B$2:$B$2604,'Form responses 1'!$F$2:$F$2604,""))</f>
        <v>HM 2509/WAY KANDIS</v>
      </c>
      <c r="I505" s="44" t="str">
        <f t="array" ref="I505">IF(B505="","",_xlfn.XLOOKUP(B505,'Form responses 1'!$B$2:$B$2604,'Form responses 1'!$I$2:$I$2604,""))</f>
        <v>WAY KANDIS</v>
      </c>
      <c r="J505" s="44" t="str">
        <f t="array" ref="J505">IF(B505="","",_xlfn.XLOOKUP(B505,'Form responses 1'!$B$2:$B$2604,'Form responses 1'!$G$2:$G$2604,""))</f>
        <v>Deby</v>
      </c>
      <c r="K505" s="41" t="s">
        <v>2875</v>
      </c>
      <c r="L505" s="52">
        <f t="shared" si="7"/>
        <v>45597.49787</v>
      </c>
      <c r="M505" s="47" t="s">
        <v>5313</v>
      </c>
      <c r="N505" s="49"/>
      <c r="O505" s="49"/>
      <c r="P505" s="49"/>
      <c r="Q505" s="49"/>
      <c r="R505" s="49"/>
      <c r="S505" s="49"/>
      <c r="T505" s="49"/>
      <c r="U505" s="49"/>
      <c r="V505" s="49"/>
      <c r="W505" s="41" t="s">
        <v>618</v>
      </c>
      <c r="X505" s="46">
        <f t="shared" si="5"/>
        <v>45600.59119</v>
      </c>
      <c r="Y505" s="50" t="s">
        <v>482</v>
      </c>
      <c r="Z505" s="49">
        <f t="shared" si="6"/>
        <v>1</v>
      </c>
    </row>
    <row r="506" ht="22.5" customHeight="1">
      <c r="B506" s="41" t="s">
        <v>2798</v>
      </c>
      <c r="C506" s="43">
        <f t="array" ref="C506">IF(B506="","",_xlfn.XLOOKUP(B506,'Form responses 1'!$B$2:$B$2604,'Form responses 1'!$A$2:$A$2604,""))</f>
        <v>45595.60212</v>
      </c>
      <c r="D506" s="44" t="str">
        <f t="shared" si="3"/>
        <v>K/31/301024/1_45595.6021176042</v>
      </c>
      <c r="E506" s="44" t="str">
        <f t="array" ref="E506">IF(B506="","",_xlfn.XLOOKUP(B506,'Form responses 1'!$B$2:$B$2604,'Form responses 1'!$C$2:$C$2604,""))</f>
        <v>TITIK WIJAYANTI/VYATRA EKO SUSANTO</v>
      </c>
      <c r="F506" s="44" t="str">
        <f t="array" ref="F506">IF(B506="","",_xlfn.XLOOKUP(B506,'Form responses 1'!$B$2:$B$2604,'Form responses 1'!$D$2:$D$2604,""))</f>
        <v>081279240846</v>
      </c>
      <c r="G506" s="44" t="str">
        <f t="array" ref="G506">IF(B506="","",_xlfn.XLOOKUP(B506,'Form responses 1'!$B$2:$B$2604,'Form responses 1'!$E$2:$E$2604,""))</f>
        <v>SKPT</v>
      </c>
      <c r="H506" s="44" t="str">
        <f t="array" ref="H506">IF(B506="","",_xlfn.XLOOKUP(B506,'Form responses 1'!$B$2:$B$2604,'Form responses 1'!$F$2:$F$2604,""))</f>
        <v>M.12541/TANJUNG BARU</v>
      </c>
      <c r="I506" s="44" t="str">
        <f t="array" ref="I506">IF(B506="","",_xlfn.XLOOKUP(B506,'Form responses 1'!$B$2:$B$2604,'Form responses 1'!$I$2:$I$2604,""))</f>
        <v>TANJUNG BARU</v>
      </c>
      <c r="J506" s="44" t="str">
        <f t="array" ref="J506">IF(B506="","",_xlfn.XLOOKUP(B506,'Form responses 1'!$B$2:$B$2604,'Form responses 1'!$G$2:$G$2604,""))</f>
        <v>Baynur</v>
      </c>
      <c r="K506" s="41" t="s">
        <v>2875</v>
      </c>
      <c r="L506" s="52">
        <f t="shared" si="7"/>
        <v>45597.4979</v>
      </c>
      <c r="M506" s="49"/>
      <c r="N506" s="49"/>
      <c r="O506" s="49"/>
      <c r="P506" s="49"/>
      <c r="Q506" s="49"/>
      <c r="R506" s="49"/>
      <c r="S506" s="49"/>
      <c r="T506" s="49"/>
      <c r="U506" s="49"/>
      <c r="V506" s="49"/>
      <c r="W506" s="41" t="s">
        <v>618</v>
      </c>
      <c r="X506" s="46">
        <f t="shared" si="5"/>
        <v>45600.58602</v>
      </c>
      <c r="Y506" s="50" t="s">
        <v>482</v>
      </c>
      <c r="Z506" s="49">
        <f t="shared" si="6"/>
        <v>0</v>
      </c>
    </row>
    <row r="507" ht="22.5" customHeight="1">
      <c r="B507" s="41" t="s">
        <v>2783</v>
      </c>
      <c r="C507" s="43">
        <f t="array" ref="C507">IF(B507="","",_xlfn.XLOOKUP(B507,'Form responses 1'!$B$2:$B$2604,'Form responses 1'!$A$2:$A$2604,""))</f>
        <v>45595.57716</v>
      </c>
      <c r="D507" s="44" t="str">
        <f t="shared" si="3"/>
        <v>K/25/301024/1_45595.5771570255</v>
      </c>
      <c r="E507" s="44" t="str">
        <f t="array" ref="E507">IF(B507="","",_xlfn.XLOOKUP(B507,'Form responses 1'!$B$2:$B$2604,'Form responses 1'!$C$2:$C$2604,""))</f>
        <v>TRI RUMIYANI/SERUNI WIDYAWATI</v>
      </c>
      <c r="F507" s="44" t="str">
        <f t="array" ref="F507">IF(B507="","",_xlfn.XLOOKUP(B507,'Form responses 1'!$B$2:$B$2604,'Form responses 1'!$D$2:$D$2604,""))</f>
        <v>0895-6092-80120</v>
      </c>
      <c r="G507" s="44" t="str">
        <f t="array" ref="G507">IF(B507="","",_xlfn.XLOOKUP(B507,'Form responses 1'!$B$2:$B$2604,'Form responses 1'!$E$2:$E$2604,""))</f>
        <v>BN JUAL BELI</v>
      </c>
      <c r="H507" s="44" t="str">
        <f t="array" ref="H507">IF(B507="","",_xlfn.XLOOKUP(B507,'Form responses 1'!$B$2:$B$2604,'Form responses 1'!$F$2:$F$2604,""))</f>
        <v>M.5568/LANGKAPURA</v>
      </c>
      <c r="I507" s="44" t="str">
        <f t="array" ref="I507">IF(B507="","",_xlfn.XLOOKUP(B507,'Form responses 1'!$B$2:$B$2604,'Form responses 1'!$I$2:$I$2604,""))</f>
        <v>LANGKAPURA</v>
      </c>
      <c r="J507" s="44" t="str">
        <f t="array" ref="J507">IF(B507="","",_xlfn.XLOOKUP(B507,'Form responses 1'!$B$2:$B$2604,'Form responses 1'!$G$2:$G$2604,""))</f>
        <v>Baynur</v>
      </c>
      <c r="K507" s="41" t="s">
        <v>2875</v>
      </c>
      <c r="L507" s="52">
        <f t="shared" si="7"/>
        <v>45597.49793</v>
      </c>
      <c r="M507" s="47" t="s">
        <v>5491</v>
      </c>
      <c r="N507" s="49"/>
      <c r="O507" s="49"/>
      <c r="P507" s="49"/>
      <c r="Q507" s="49"/>
      <c r="R507" s="49"/>
      <c r="S507" s="49"/>
      <c r="T507" s="49"/>
      <c r="U507" s="49"/>
      <c r="V507" s="49"/>
      <c r="W507" s="41" t="s">
        <v>618</v>
      </c>
      <c r="X507" s="46">
        <f t="shared" si="5"/>
        <v>45601.63579</v>
      </c>
      <c r="Y507" s="50" t="s">
        <v>482</v>
      </c>
      <c r="Z507" s="49">
        <f t="shared" si="6"/>
        <v>1</v>
      </c>
    </row>
    <row r="508" ht="22.5" customHeight="1">
      <c r="B508" s="41" t="s">
        <v>3176</v>
      </c>
      <c r="C508" s="43">
        <f t="array" ref="C508">IF(B508="","",_xlfn.XLOOKUP(B508,'Form responses 1'!$B$2:$B$2604,'Form responses 1'!$A$2:$A$2604,""))</f>
        <v>45597.5217</v>
      </c>
      <c r="D508" s="44" t="str">
        <f t="shared" si="3"/>
        <v>L/13/301024/1_45597.5216965046</v>
      </c>
      <c r="E508" s="44" t="str">
        <f t="array" ref="E508">IF(B508="","",_xlfn.XLOOKUP(B508,'Form responses 1'!$B$2:$B$2604,'Form responses 1'!$C$2:$C$2604,""))</f>
        <v>EMYLYA KRISTINA</v>
      </c>
      <c r="F508" s="44" t="str">
        <f t="array" ref="F508">IF(B508="","",_xlfn.XLOOKUP(B508,'Form responses 1'!$B$2:$B$2604,'Form responses 1'!$D$2:$D$2604,""))</f>
        <v>081379441176</v>
      </c>
      <c r="G508" s="44" t="str">
        <f t="array" ref="G508">IF(B508="","",_xlfn.XLOOKUP(B508,'Form responses 1'!$B$2:$B$2604,'Form responses 1'!$E$2:$E$2604,""))</f>
        <v>ROYA</v>
      </c>
      <c r="H508" s="44" t="str">
        <f t="array" ref="H508">IF(B508="","",_xlfn.XLOOKUP(B508,'Form responses 1'!$B$2:$B$2604,'Form responses 1'!$F$2:$F$2604,""))</f>
        <v>M.15228/S I</v>
      </c>
      <c r="I508" s="44" t="str">
        <f t="array" ref="I508">IF(B508="","",_xlfn.XLOOKUP(B508,'Form responses 1'!$B$2:$B$2604,'Form responses 1'!$I$2:$I$2604,""))</f>
        <v>SUKARAME I</v>
      </c>
      <c r="J508" s="44" t="str">
        <f t="array" ref="J508">IF(B508="","",_xlfn.XLOOKUP(B508,'Form responses 1'!$B$2:$B$2604,'Form responses 1'!$G$2:$G$2604,""))</f>
        <v>Nuraini</v>
      </c>
      <c r="K508" s="41" t="s">
        <v>2421</v>
      </c>
      <c r="L508" s="52">
        <f t="shared" si="7"/>
        <v>45597.52239</v>
      </c>
      <c r="M508" s="49"/>
      <c r="N508" s="49"/>
      <c r="O508" s="49"/>
      <c r="P508" s="49"/>
      <c r="Q508" s="49"/>
      <c r="R508" s="49"/>
      <c r="S508" s="49"/>
      <c r="T508" s="49"/>
      <c r="U508" s="49"/>
      <c r="V508" s="49"/>
      <c r="W508" s="41" t="s">
        <v>618</v>
      </c>
      <c r="X508" s="46">
        <f t="shared" si="5"/>
        <v>45600.64355</v>
      </c>
      <c r="Y508" s="50" t="s">
        <v>482</v>
      </c>
      <c r="Z508" s="49">
        <f t="shared" si="6"/>
        <v>0</v>
      </c>
    </row>
    <row r="509" ht="22.5" customHeight="1">
      <c r="B509" s="41" t="s">
        <v>2641</v>
      </c>
      <c r="C509" s="43">
        <f t="array" ref="C509">IF(B509="","",_xlfn.XLOOKUP(B509,'Form responses 1'!$B$2:$B$2604,'Form responses 1'!$A$2:$A$2604,""))</f>
        <v>45594.62043</v>
      </c>
      <c r="D509" s="44" t="str">
        <f t="shared" si="3"/>
        <v>K/36/291024/1_45594.6204266435</v>
      </c>
      <c r="E509" s="44" t="str">
        <f t="array" ref="E509">IF(B509="","",_xlfn.XLOOKUP(B509,'Form responses 1'!$B$2:$B$2604,'Form responses 1'!$C$2:$C$2604,""))</f>
        <v>MARIA APRILIA VINA DWIYANTI/MAYA AYUNINGTIAS</v>
      </c>
      <c r="F509" s="44" t="str">
        <f t="array" ref="F509">IF(B509="","",_xlfn.XLOOKUP(B509,'Form responses 1'!$B$2:$B$2604,'Form responses 1'!$D$2:$D$2604,""))</f>
        <v>0813-6999-9971</v>
      </c>
      <c r="G509" s="44" t="str">
        <f t="array" ref="G509">IF(B509="","",_xlfn.XLOOKUP(B509,'Form responses 1'!$B$2:$B$2604,'Form responses 1'!$E$2:$E$2604,""))</f>
        <v>BN JUAL BELI </v>
      </c>
      <c r="H509" s="44" t="str">
        <f t="array" ref="H509">IF(B509="","",_xlfn.XLOOKUP(B509,'Form responses 1'!$B$2:$B$2604,'Form responses 1'!$F$2:$F$2604,""))</f>
        <v>SARUSUN 180/SUMUR PUTRI</v>
      </c>
      <c r="I509" s="44" t="str">
        <f t="array" ref="I509">IF(B509="","",_xlfn.XLOOKUP(B509,'Form responses 1'!$B$2:$B$2604,'Form responses 1'!$I$2:$I$2604,""))</f>
        <v>SUMUR PUTRI</v>
      </c>
      <c r="J509" s="44" t="str">
        <f t="array" ref="J509">IF(B509="","",_xlfn.XLOOKUP(B509,'Form responses 1'!$B$2:$B$2604,'Form responses 1'!$G$2:$G$2604,""))</f>
        <v>Baynur</v>
      </c>
      <c r="K509" s="41" t="s">
        <v>422</v>
      </c>
      <c r="L509" s="52">
        <f t="shared" si="7"/>
        <v>45597.61844</v>
      </c>
      <c r="M509" s="47" t="s">
        <v>5492</v>
      </c>
      <c r="N509" s="47" t="s">
        <v>5493</v>
      </c>
      <c r="O509" s="47" t="s">
        <v>5494</v>
      </c>
      <c r="P509" s="49"/>
      <c r="Q509" s="49"/>
      <c r="R509" s="49"/>
      <c r="S509" s="49"/>
      <c r="T509" s="49"/>
      <c r="U509" s="49"/>
      <c r="V509" s="49"/>
      <c r="W509" s="41" t="s">
        <v>618</v>
      </c>
      <c r="X509" s="46">
        <f t="shared" si="5"/>
        <v>45601.65317</v>
      </c>
      <c r="Y509" s="50" t="s">
        <v>482</v>
      </c>
      <c r="Z509" s="49">
        <f t="shared" si="6"/>
        <v>3</v>
      </c>
    </row>
    <row r="510" ht="22.5" customHeight="1">
      <c r="B510" s="41" t="s">
        <v>2887</v>
      </c>
      <c r="C510" s="43">
        <f t="array" ref="C510">IF(B510="","",_xlfn.XLOOKUP(B510,'Form responses 1'!$B$2:$B$2604,'Form responses 1'!$A$2:$A$2604,""))</f>
        <v>45596.42332</v>
      </c>
      <c r="D510" s="44" t="str">
        <f t="shared" si="3"/>
        <v>K/8/311024/2_45596.4233208565</v>
      </c>
      <c r="E510" s="44" t="str">
        <f t="array" ref="E510">IF(B510="","",_xlfn.XLOOKUP(B510,'Form responses 1'!$B$2:$B$2604,'Form responses 1'!$C$2:$C$2604,""))</f>
        <v>NOVI FIRDAYANTI/EDYAWATI</v>
      </c>
      <c r="F510" s="44" t="str">
        <f t="array" ref="F510">IF(B510="","",_xlfn.XLOOKUP(B510,'Form responses 1'!$B$2:$B$2604,'Form responses 1'!$D$2:$D$2604,""))</f>
        <v>081541360418</v>
      </c>
      <c r="G510" s="44" t="str">
        <f t="array" ref="G510">IF(B510="","",_xlfn.XLOOKUP(B510,'Form responses 1'!$B$2:$B$2604,'Form responses 1'!$E$2:$E$2604,""))</f>
        <v>BN JUAL BELI</v>
      </c>
      <c r="H510" s="44" t="str">
        <f t="array" ref="H510">IF(B510="","",_xlfn.XLOOKUP(B510,'Form responses 1'!$B$2:$B$2604,'Form responses 1'!$F$2:$F$2604,""))</f>
        <v>M.1565/KEMILING PERMAI</v>
      </c>
      <c r="I510" s="44" t="str">
        <f t="array" ref="I510">IF(B510="","",_xlfn.XLOOKUP(B510,'Form responses 1'!$B$2:$B$2604,'Form responses 1'!$I$2:$I$2604,""))</f>
        <v>KEMILING PERMAI</v>
      </c>
      <c r="J510" s="44" t="str">
        <f t="array" ref="J510">IF(B510="","",_xlfn.XLOOKUP(B510,'Form responses 1'!$B$2:$B$2604,'Form responses 1'!$G$2:$G$2604,""))</f>
        <v>Baynur</v>
      </c>
      <c r="K510" s="41" t="s">
        <v>422</v>
      </c>
      <c r="L510" s="52">
        <f t="shared" si="7"/>
        <v>45597.63178</v>
      </c>
      <c r="M510" s="47" t="s">
        <v>5495</v>
      </c>
      <c r="N510" s="49"/>
      <c r="O510" s="49"/>
      <c r="P510" s="49"/>
      <c r="Q510" s="49"/>
      <c r="R510" s="49"/>
      <c r="S510" s="49"/>
      <c r="T510" s="49"/>
      <c r="U510" s="49"/>
      <c r="V510" s="49"/>
      <c r="W510" s="41" t="s">
        <v>618</v>
      </c>
      <c r="X510" s="46">
        <f t="shared" si="5"/>
        <v>45603.63052</v>
      </c>
      <c r="Y510" s="50" t="s">
        <v>482</v>
      </c>
      <c r="Z510" s="49">
        <f t="shared" si="6"/>
        <v>1</v>
      </c>
    </row>
    <row r="511" ht="22.5" customHeight="1">
      <c r="B511" s="41" t="s">
        <v>3073</v>
      </c>
      <c r="C511" s="43"/>
      <c r="D511" s="44" t="str">
        <f t="shared" si="3"/>
        <v>K/60/311024/1_</v>
      </c>
      <c r="E511" s="44" t="str">
        <f t="array" ref="E511">IF(B511="","",_xlfn.XLOOKUP(B511,'Form responses 1'!$B$2:$B$2604,'Form responses 1'!$C$2:$C$2604,""))</f>
        <v>Mahfud/ Eka C </v>
      </c>
      <c r="F511" s="44" t="str">
        <f t="array" ref="F511">IF(B511="","",_xlfn.XLOOKUP(B511,'Form responses 1'!$B$2:$B$2604,'Form responses 1'!$D$2:$D$2604,""))</f>
        <v>+62 857-0913-9403</v>
      </c>
      <c r="G511" s="44" t="str">
        <f t="array" ref="G511">IF(B511="","",_xlfn.XLOOKUP(B511,'Form responses 1'!$B$2:$B$2604,'Form responses 1'!$E$2:$E$2604,""))</f>
        <v>BN Jual Beli</v>
      </c>
      <c r="H511" s="44" t="str">
        <f t="array" ref="H511">IF(B511="","",_xlfn.XLOOKUP(B511,'Form responses 1'!$B$2:$B$2604,'Form responses 1'!$F$2:$F$2604,""))</f>
        <v>M. 12416/ Sukabumi; B. 4544/ Sukabumi</v>
      </c>
      <c r="I511" s="44" t="str">
        <f t="array" ref="I511">IF(B511="","",_xlfn.XLOOKUP(B511,'Form responses 1'!$B$2:$B$2604,'Form responses 1'!$I$2:$I$2604,""))</f>
        <v>Sukabumi</v>
      </c>
      <c r="J511" s="44" t="str">
        <f t="array" ref="J511">IF(B511="","",_xlfn.XLOOKUP(B511,'Form responses 1'!$B$2:$B$2604,'Form responses 1'!$G$2:$G$2604,""))</f>
        <v>Rapita</v>
      </c>
      <c r="K511" s="41" t="s">
        <v>422</v>
      </c>
      <c r="L511" s="52">
        <f t="shared" si="7"/>
        <v>45597.6318</v>
      </c>
      <c r="M511" s="47" t="s">
        <v>5496</v>
      </c>
      <c r="N511" s="47" t="s">
        <v>5497</v>
      </c>
      <c r="O511" s="49"/>
      <c r="P511" s="49"/>
      <c r="Q511" s="49"/>
      <c r="R511" s="49"/>
      <c r="S511" s="49"/>
      <c r="T511" s="49"/>
      <c r="U511" s="49"/>
      <c r="V511" s="49"/>
      <c r="W511" s="41" t="s">
        <v>618</v>
      </c>
      <c r="X511" s="46">
        <f t="shared" si="5"/>
        <v>45603.64527</v>
      </c>
      <c r="Y511" s="50" t="s">
        <v>482</v>
      </c>
      <c r="Z511" s="49">
        <f t="shared" si="6"/>
        <v>2</v>
      </c>
    </row>
    <row r="512" ht="22.5" customHeight="1">
      <c r="B512" s="41" t="s">
        <v>3002</v>
      </c>
      <c r="C512" s="43">
        <f t="array" ref="C512">IF(B512="","",_xlfn.XLOOKUP(B512,'Form responses 1'!$B$2:$B$2604,'Form responses 1'!$A$2:$A$2604,""))</f>
        <v>45596.59035</v>
      </c>
      <c r="D512" s="44" t="str">
        <f t="shared" si="3"/>
        <v>K/39/311024/1_45596.5903456366</v>
      </c>
      <c r="E512" s="44" t="str">
        <f t="array" ref="E512">IF(B512="","",_xlfn.XLOOKUP(B512,'Form responses 1'!$B$2:$B$2604,'Form responses 1'!$C$2:$C$2604,""))</f>
        <v>KASIRAH/CHRISTINA ULINA</v>
      </c>
      <c r="F512" s="44" t="str">
        <f t="array" ref="F512">IF(B512="","",_xlfn.XLOOKUP(B512,'Form responses 1'!$B$2:$B$2604,'Form responses 1'!$D$2:$D$2604,""))</f>
        <v>0821-7879-5856</v>
      </c>
      <c r="G512" s="44" t="str">
        <f t="array" ref="G512">IF(B512="","",_xlfn.XLOOKUP(B512,'Form responses 1'!$B$2:$B$2604,'Form responses 1'!$E$2:$E$2604,""))</f>
        <v>BN JUAL BELI</v>
      </c>
      <c r="H512" s="44" t="str">
        <f t="array" ref="H512">IF(B512="","",_xlfn.XLOOKUP(B512,'Form responses 1'!$B$2:$B$2604,'Form responses 1'!$F$2:$F$2604,""))</f>
        <v>M.183/LABUHAN RATU RAYA</v>
      </c>
      <c r="I512" s="44" t="str">
        <f t="array" ref="I512">IF(B512="","",_xlfn.XLOOKUP(B512,'Form responses 1'!$B$2:$B$2604,'Form responses 1'!$I$2:$I$2604,""))</f>
        <v>LABUHAN RATU RAYA</v>
      </c>
      <c r="J512" s="44" t="str">
        <f t="array" ref="J512">IF(B512="","",_xlfn.XLOOKUP(B512,'Form responses 1'!$B$2:$B$2604,'Form responses 1'!$G$2:$G$2604,""))</f>
        <v>Baynur</v>
      </c>
      <c r="K512" s="41" t="s">
        <v>422</v>
      </c>
      <c r="L512" s="52">
        <f t="shared" si="7"/>
        <v>45597.63181</v>
      </c>
      <c r="M512" s="47" t="s">
        <v>5498</v>
      </c>
      <c r="N512" s="49"/>
      <c r="O512" s="49"/>
      <c r="P512" s="49"/>
      <c r="Q512" s="49"/>
      <c r="R512" s="49"/>
      <c r="S512" s="49"/>
      <c r="T512" s="49"/>
      <c r="U512" s="49"/>
      <c r="V512" s="49"/>
      <c r="W512" s="41" t="s">
        <v>470</v>
      </c>
      <c r="X512" s="46">
        <f t="shared" si="5"/>
        <v>45600.43387</v>
      </c>
      <c r="Y512" s="50" t="s">
        <v>482</v>
      </c>
      <c r="Z512" s="49">
        <f t="shared" si="6"/>
        <v>1</v>
      </c>
    </row>
    <row r="513" ht="22.5" customHeight="1">
      <c r="B513" s="41" t="s">
        <v>3086</v>
      </c>
      <c r="C513" s="43">
        <f t="array" ref="C513">IF(B513="","",_xlfn.XLOOKUP(B513,'Form responses 1'!$B$2:$B$2604,'Form responses 1'!$A$2:$A$2604,""))</f>
        <v>45596.6363</v>
      </c>
      <c r="D513" s="44" t="str">
        <f t="shared" si="3"/>
        <v>K/65/311024/2_45596.6362995602</v>
      </c>
      <c r="E513" s="44" t="str">
        <f t="array" ref="E513">IF(B513="","",_xlfn.XLOOKUP(B513,'Form responses 1'!$B$2:$B$2604,'Form responses 1'!$C$2:$C$2604,""))</f>
        <v>Richard Adi P/ Chytia R M</v>
      </c>
      <c r="F513" s="44" t="str">
        <f t="array" ref="F513">IF(B513="","",_xlfn.XLOOKUP(B513,'Form responses 1'!$B$2:$B$2604,'Form responses 1'!$D$2:$D$2604,""))</f>
        <v>+62 852-7999-7821</v>
      </c>
      <c r="G513" s="44" t="str">
        <f t="array" ref="G513">IF(B513="","",_xlfn.XLOOKUP(B513,'Form responses 1'!$B$2:$B$2604,'Form responses 1'!$E$2:$E$2604,""))</f>
        <v>BN Jual Beli</v>
      </c>
      <c r="H513" s="44" t="str">
        <f t="array" ref="H513">IF(B513="","",_xlfn.XLOOKUP(B513,'Form responses 1'!$B$2:$B$2604,'Form responses 1'!$F$2:$F$2604,""))</f>
        <v>B. 103/ Nusantara Permai</v>
      </c>
      <c r="I513" s="44" t="str">
        <f t="array" ref="I513">IF(B513="","",_xlfn.XLOOKUP(B513,'Form responses 1'!$B$2:$B$2604,'Form responses 1'!$I$2:$I$2604,""))</f>
        <v>Nusantara Permai</v>
      </c>
      <c r="J513" s="44" t="str">
        <f t="array" ref="J513">IF(B513="","",_xlfn.XLOOKUP(B513,'Form responses 1'!$B$2:$B$2604,'Form responses 1'!$G$2:$G$2604,""))</f>
        <v>Rapita</v>
      </c>
      <c r="K513" s="41" t="s">
        <v>422</v>
      </c>
      <c r="L513" s="52">
        <f t="shared" si="7"/>
        <v>45597.63182</v>
      </c>
      <c r="M513" s="47" t="s">
        <v>5227</v>
      </c>
      <c r="N513" s="47" t="s">
        <v>5499</v>
      </c>
      <c r="O513" s="47" t="s">
        <v>5500</v>
      </c>
      <c r="P513" s="47" t="s">
        <v>5501</v>
      </c>
      <c r="Q513" s="49"/>
      <c r="R513" s="49"/>
      <c r="S513" s="49"/>
      <c r="T513" s="49"/>
      <c r="U513" s="49"/>
      <c r="V513" s="49"/>
      <c r="W513" s="41" t="s">
        <v>618</v>
      </c>
      <c r="X513" s="46">
        <f t="shared" si="5"/>
        <v>45602.65038</v>
      </c>
      <c r="Y513" s="50" t="s">
        <v>482</v>
      </c>
      <c r="Z513" s="49">
        <f t="shared" si="6"/>
        <v>4</v>
      </c>
    </row>
    <row r="514" ht="22.5" customHeight="1">
      <c r="B514" s="41" t="s">
        <v>3046</v>
      </c>
      <c r="C514" s="43">
        <f t="array" ref="C514">IF(B514="","",_xlfn.XLOOKUP(B514,'Form responses 1'!$B$2:$B$2604,'Form responses 1'!$A$2:$A$2604,""))</f>
        <v>45596.61322</v>
      </c>
      <c r="D514" s="44" t="str">
        <f t="shared" si="3"/>
        <v>K/50/311024/3_45596.613222037</v>
      </c>
      <c r="E514" s="44" t="str">
        <f t="array" ref="E514">IF(B514="","",_xlfn.XLOOKUP(B514,'Form responses 1'!$B$2:$B$2604,'Form responses 1'!$C$2:$C$2604,""))</f>
        <v>MAIMUNAH CS/NOVALIA EKA PUTRI</v>
      </c>
      <c r="F514" s="44" t="str">
        <f t="array" ref="F514">IF(B514="","",_xlfn.XLOOKUP(B514,'Form responses 1'!$B$2:$B$2604,'Form responses 1'!$D$2:$D$2604,""))</f>
        <v>0896-4922-2167</v>
      </c>
      <c r="G514" s="44" t="str">
        <f t="array" ref="G514">IF(B514="","",_xlfn.XLOOKUP(B514,'Form responses 1'!$B$2:$B$2604,'Form responses 1'!$E$2:$E$2604,""))</f>
        <v>KEWARISAN</v>
      </c>
      <c r="H514" s="44" t="str">
        <f t="array" ref="H514">IF(B514="","",_xlfn.XLOOKUP(B514,'Form responses 1'!$B$2:$B$2604,'Form responses 1'!$F$2:$F$2604,""))</f>
        <v>M.5980/WAY KANDIS</v>
      </c>
      <c r="I514" s="44" t="str">
        <f t="array" ref="I514">IF(B514="","",_xlfn.XLOOKUP(B514,'Form responses 1'!$B$2:$B$2604,'Form responses 1'!$I$2:$I$2604,""))</f>
        <v>WAY KANDIS</v>
      </c>
      <c r="J514" s="44" t="str">
        <f t="array" ref="J514">IF(B514="","",_xlfn.XLOOKUP(B514,'Form responses 1'!$B$2:$B$2604,'Form responses 1'!$G$2:$G$2604,""))</f>
        <v>Baynur</v>
      </c>
      <c r="K514" s="41" t="s">
        <v>422</v>
      </c>
      <c r="L514" s="52">
        <f t="shared" si="7"/>
        <v>45597.63184</v>
      </c>
      <c r="M514" s="47" t="s">
        <v>5502</v>
      </c>
      <c r="N514" s="47" t="s">
        <v>5503</v>
      </c>
      <c r="O514" s="49"/>
      <c r="P514" s="49"/>
      <c r="Q514" s="49"/>
      <c r="R514" s="49"/>
      <c r="S514" s="49"/>
      <c r="T514" s="49"/>
      <c r="U514" s="49"/>
      <c r="V514" s="49"/>
      <c r="W514" s="41" t="s">
        <v>618</v>
      </c>
      <c r="X514" s="46">
        <f t="shared" si="5"/>
        <v>45609.65638</v>
      </c>
      <c r="Y514" s="50" t="s">
        <v>482</v>
      </c>
      <c r="Z514" s="49">
        <f t="shared" si="6"/>
        <v>2</v>
      </c>
    </row>
    <row r="515" ht="22.5" customHeight="1">
      <c r="B515" s="41" t="s">
        <v>3022</v>
      </c>
      <c r="C515" s="43">
        <f t="array" ref="C515">IF(B515="","",_xlfn.XLOOKUP(B515,'Form responses 1'!$B$2:$B$2604,'Form responses 1'!$A$2:$A$2604,""))</f>
        <v>45596.60758</v>
      </c>
      <c r="D515" s="44" t="str">
        <f t="shared" si="3"/>
        <v>K/44/311024/2_45596.6075806713</v>
      </c>
      <c r="E515" s="44" t="str">
        <f t="array" ref="E515">IF(B515="","",_xlfn.XLOOKUP(B515,'Form responses 1'!$B$2:$B$2604,'Form responses 1'!$C$2:$C$2604,""))</f>
        <v>Budi K/ Vilaynti F W</v>
      </c>
      <c r="F515" s="44" t="str">
        <f t="array" ref="F515">IF(B515="","",_xlfn.XLOOKUP(B515,'Form responses 1'!$B$2:$B$2604,'Form responses 1'!$D$2:$D$2604,""))</f>
        <v>+62 858-6816-7367</v>
      </c>
      <c r="G515" s="44" t="str">
        <f t="array" ref="G515">IF(B515="","",_xlfn.XLOOKUP(B515,'Form responses 1'!$B$2:$B$2604,'Form responses 1'!$E$2:$E$2604,""))</f>
        <v>BN Hibah</v>
      </c>
      <c r="H515" s="44" t="str">
        <f t="array" ref="H515">IF(B515="","",_xlfn.XLOOKUP(B515,'Form responses 1'!$B$2:$B$2604,'Form responses 1'!$F$2:$F$2604,""))</f>
        <v>M. 858/ Tanjung Gading</v>
      </c>
      <c r="I515" s="44" t="str">
        <f t="array" ref="I515">IF(B515="","",_xlfn.XLOOKUP(B515,'Form responses 1'!$B$2:$B$2604,'Form responses 1'!$I$2:$I$2604,""))</f>
        <v> Tanjung Gading</v>
      </c>
      <c r="J515" s="44" t="str">
        <f t="array" ref="J515">IF(B515="","",_xlfn.XLOOKUP(B515,'Form responses 1'!$B$2:$B$2604,'Form responses 1'!$G$2:$G$2604,""))</f>
        <v>Rapita</v>
      </c>
      <c r="K515" s="41" t="s">
        <v>422</v>
      </c>
      <c r="L515" s="52">
        <f t="shared" si="7"/>
        <v>45597.63186</v>
      </c>
      <c r="M515" s="49"/>
      <c r="N515" s="49"/>
      <c r="O515" s="49"/>
      <c r="P515" s="49"/>
      <c r="Q515" s="49"/>
      <c r="R515" s="49"/>
      <c r="S515" s="49"/>
      <c r="T515" s="49"/>
      <c r="U515" s="49"/>
      <c r="V515" s="49"/>
      <c r="W515" s="41" t="s">
        <v>618</v>
      </c>
      <c r="X515" s="46">
        <f t="shared" si="5"/>
        <v>45600.44948</v>
      </c>
      <c r="Y515" s="50" t="s">
        <v>482</v>
      </c>
      <c r="Z515" s="49">
        <f t="shared" si="6"/>
        <v>0</v>
      </c>
    </row>
    <row r="516" ht="22.5" customHeight="1">
      <c r="B516" s="41" t="s">
        <v>2890</v>
      </c>
      <c r="C516" s="43">
        <f t="array" ref="C516">IF(B516="","",_xlfn.XLOOKUP(B516,'Form responses 1'!$B$2:$B$2604,'Form responses 1'!$A$2:$A$2604,""))</f>
        <v>45596.42366</v>
      </c>
      <c r="D516" s="44" t="str">
        <f t="shared" si="3"/>
        <v>L/12/311024/1_45596.423659919</v>
      </c>
      <c r="E516" s="44" t="str">
        <f t="array" ref="E516">IF(B516="","",_xlfn.XLOOKUP(B516,'Form responses 1'!$B$2:$B$2604,'Form responses 1'!$C$2:$C$2604,""))</f>
        <v>DASWAN</v>
      </c>
      <c r="F516" s="44" t="str">
        <f t="array" ref="F516">IF(B516="","",_xlfn.XLOOKUP(B516,'Form responses 1'!$B$2:$B$2604,'Form responses 1'!$D$2:$D$2604,""))</f>
        <v>083856389061</v>
      </c>
      <c r="G516" s="44" t="str">
        <f t="array" ref="G516">IF(B516="","",_xlfn.XLOOKUP(B516,'Form responses 1'!$B$2:$B$2604,'Form responses 1'!$E$2:$E$2604,""))</f>
        <v>ROYA</v>
      </c>
      <c r="H516" s="44" t="str">
        <f t="array" ref="H516">IF(B516="","",_xlfn.XLOOKUP(B516,'Form responses 1'!$B$2:$B$2604,'Form responses 1'!$F$2:$F$2604,""))</f>
        <v>HM 13738/SUKABUMI</v>
      </c>
      <c r="I516" s="44" t="str">
        <f t="array" ref="I516">IF(B516="","",_xlfn.XLOOKUP(B516,'Form responses 1'!$B$2:$B$2604,'Form responses 1'!$I$2:$I$2604,""))</f>
        <v>SUKABUMI</v>
      </c>
      <c r="J516" s="44" t="str">
        <f t="array" ref="J516">IF(B516="","",_xlfn.XLOOKUP(B516,'Form responses 1'!$B$2:$B$2604,'Form responses 1'!$G$2:$G$2604,""))</f>
        <v>Deby</v>
      </c>
      <c r="K516" s="41" t="s">
        <v>422</v>
      </c>
      <c r="L516" s="52">
        <f t="shared" si="7"/>
        <v>45597.63187</v>
      </c>
      <c r="M516" s="49"/>
      <c r="N516" s="49"/>
      <c r="O516" s="49"/>
      <c r="P516" s="49"/>
      <c r="Q516" s="49"/>
      <c r="R516" s="49"/>
      <c r="S516" s="49"/>
      <c r="T516" s="49"/>
      <c r="U516" s="49"/>
      <c r="V516" s="49"/>
      <c r="W516" s="41" t="s">
        <v>618</v>
      </c>
      <c r="X516" s="46">
        <f t="shared" si="5"/>
        <v>45597.66336</v>
      </c>
      <c r="Y516" s="50" t="s">
        <v>482</v>
      </c>
      <c r="Z516" s="49">
        <f t="shared" si="6"/>
        <v>0</v>
      </c>
    </row>
    <row r="517" ht="22.5" customHeight="1">
      <c r="B517" s="41" t="s">
        <v>2856</v>
      </c>
      <c r="C517" s="43">
        <f t="array" ref="C517">IF(B517="","",_xlfn.XLOOKUP(B517,'Form responses 1'!$B$2:$B$2604,'Form responses 1'!$A$2:$A$2604,""))</f>
        <v>45596.39561</v>
      </c>
      <c r="D517" s="44" t="str">
        <f t="shared" si="3"/>
        <v>K/2/311024/1_45596.3956071412</v>
      </c>
      <c r="E517" s="44" t="str">
        <f t="array" ref="E517">IF(B517="","",_xlfn.XLOOKUP(B517,'Form responses 1'!$B$2:$B$2604,'Form responses 1'!$C$2:$C$2604,""))</f>
        <v>MISWANTO CS/ZAHRA</v>
      </c>
      <c r="F517" s="44" t="str">
        <f t="array" ref="F517">IF(B517="","",_xlfn.XLOOKUP(B517,'Form responses 1'!$B$2:$B$2604,'Form responses 1'!$D$2:$D$2604,""))</f>
        <v>082279400938</v>
      </c>
      <c r="G517" s="44" t="str">
        <f t="array" ref="G517">IF(B517="","",_xlfn.XLOOKUP(B517,'Form responses 1'!$B$2:$B$2604,'Form responses 1'!$E$2:$E$2604,""))</f>
        <v>PEMECAHAN</v>
      </c>
      <c r="H517" s="44" t="str">
        <f t="array" ref="H517">IF(B517="","",_xlfn.XLOOKUP(B517,'Form responses 1'!$B$2:$B$2604,'Form responses 1'!$F$2:$F$2604,""))</f>
        <v>M.702/KORPRI JAYA-SEKARANG;M12004/SUKARAME I-DAHULU</v>
      </c>
      <c r="I517" s="44" t="str">
        <f t="array" ref="I517">IF(B517="","",_xlfn.XLOOKUP(B517,'Form responses 1'!$B$2:$B$2604,'Form responses 1'!$I$2:$I$2604,""))</f>
        <v>KORPRI JAYA</v>
      </c>
      <c r="J517" s="44" t="str">
        <f t="array" ref="J517">IF(B517="","",_xlfn.XLOOKUP(B517,'Form responses 1'!$B$2:$B$2604,'Form responses 1'!$G$2:$G$2604,""))</f>
        <v>Baynur</v>
      </c>
      <c r="K517" s="41" t="s">
        <v>422</v>
      </c>
      <c r="L517" s="52">
        <f t="shared" si="7"/>
        <v>45597.63189</v>
      </c>
      <c r="M517" s="49"/>
      <c r="N517" s="49"/>
      <c r="O517" s="49"/>
      <c r="P517" s="49"/>
      <c r="Q517" s="49"/>
      <c r="R517" s="49"/>
      <c r="S517" s="49"/>
      <c r="T517" s="49"/>
      <c r="U517" s="49"/>
      <c r="V517" s="49"/>
      <c r="W517" s="41" t="s">
        <v>618</v>
      </c>
      <c r="X517" s="46">
        <f t="shared" si="5"/>
        <v>45597.67084</v>
      </c>
      <c r="Y517" s="50" t="s">
        <v>482</v>
      </c>
      <c r="Z517" s="49">
        <f t="shared" si="6"/>
        <v>0</v>
      </c>
    </row>
    <row r="518" ht="22.5" customHeight="1">
      <c r="B518" s="41" t="s">
        <v>2962</v>
      </c>
      <c r="C518" s="43">
        <f t="array" ref="C518">IF(B518="","",_xlfn.XLOOKUP(B518,'Form responses 1'!$B$2:$B$2604,'Form responses 1'!$A$2:$A$2604,""))</f>
        <v>45596.55774</v>
      </c>
      <c r="D518" s="44" t="str">
        <f t="shared" si="3"/>
        <v>K/28/311024/1_45596.5577418287</v>
      </c>
      <c r="E518" s="44" t="str">
        <f t="array" ref="E518">IF(B518="","",_xlfn.XLOOKUP(B518,'Form responses 1'!$B$2:$B$2604,'Form responses 1'!$C$2:$C$2604,""))</f>
        <v>Destia Liana P/ Harti W</v>
      </c>
      <c r="F518" s="44" t="str">
        <f t="array" ref="F518">IF(B518="","",_xlfn.XLOOKUP(B518,'Form responses 1'!$B$2:$B$2604,'Form responses 1'!$D$2:$D$2604,""))</f>
        <v>085269075370</v>
      </c>
      <c r="G518" s="44" t="str">
        <f t="array" ref="G518">IF(B518="","",_xlfn.XLOOKUP(B518,'Form responses 1'!$B$2:$B$2604,'Form responses 1'!$E$2:$E$2604,""))</f>
        <v>Perubahan Hak</v>
      </c>
      <c r="H518" s="44" t="str">
        <f t="array" ref="H518">IF(B518="","",_xlfn.XLOOKUP(B518,'Form responses 1'!$B$2:$B$2604,'Form responses 1'!$F$2:$F$2604,""))</f>
        <v>B. 1546/ Sukabumi</v>
      </c>
      <c r="I518" s="44" t="str">
        <f t="array" ref="I518">IF(B518="","",_xlfn.XLOOKUP(B518,'Form responses 1'!$B$2:$B$2604,'Form responses 1'!$I$2:$I$2604,""))</f>
        <v> Sukabumi</v>
      </c>
      <c r="J518" s="44" t="str">
        <f t="array" ref="J518">IF(B518="","",_xlfn.XLOOKUP(B518,'Form responses 1'!$B$2:$B$2604,'Form responses 1'!$G$2:$G$2604,""))</f>
        <v>Rapita</v>
      </c>
      <c r="K518" s="41" t="s">
        <v>422</v>
      </c>
      <c r="L518" s="52">
        <f t="shared" si="7"/>
        <v>45597.6319</v>
      </c>
      <c r="M518" s="47" t="s">
        <v>5504</v>
      </c>
      <c r="N518" s="49"/>
      <c r="O518" s="49"/>
      <c r="P518" s="49"/>
      <c r="Q518" s="49"/>
      <c r="R518" s="49"/>
      <c r="S518" s="49"/>
      <c r="T518" s="49"/>
      <c r="U518" s="49"/>
      <c r="V518" s="49"/>
      <c r="W518" s="41" t="s">
        <v>618</v>
      </c>
      <c r="X518" s="46">
        <f t="shared" si="5"/>
        <v>45607.66476</v>
      </c>
      <c r="Y518" s="50" t="s">
        <v>482</v>
      </c>
      <c r="Z518" s="49">
        <f t="shared" si="6"/>
        <v>1</v>
      </c>
    </row>
    <row r="519" ht="22.5" customHeight="1">
      <c r="B519" s="41" t="s">
        <v>2930</v>
      </c>
      <c r="C519" s="43">
        <f t="array" ref="C519">IF(B519="","",_xlfn.XLOOKUP(B519,'Form responses 1'!$B$2:$B$2604,'Form responses 1'!$A$2:$A$2604,""))</f>
        <v>45596.4807</v>
      </c>
      <c r="D519" s="44" t="str">
        <f t="shared" si="3"/>
        <v>K/20/311024/1_45596.4807028009</v>
      </c>
      <c r="E519" s="44" t="str">
        <f t="array" ref="E519">IF(B519="","",_xlfn.XLOOKUP(B519,'Form responses 1'!$B$2:$B$2604,'Form responses 1'!$C$2:$C$2604,""))</f>
        <v>Priyo Susilo/ Lukita S</v>
      </c>
      <c r="F519" s="44" t="str">
        <f t="array" ref="F519">IF(B519="","",_xlfn.XLOOKUP(B519,'Form responses 1'!$B$2:$B$2604,'Form responses 1'!$D$2:$D$2604,""))</f>
        <v>081278581675</v>
      </c>
      <c r="G519" s="44" t="str">
        <f t="array" ref="G519">IF(B519="","",_xlfn.XLOOKUP(B519,'Form responses 1'!$B$2:$B$2604,'Form responses 1'!$E$2:$E$2604,""))</f>
        <v>PTPGT (Pemecahan)</v>
      </c>
      <c r="H519" s="44" t="str">
        <f t="array" ref="H519">IF(B519="","",_xlfn.XLOOKUP(B519,'Form responses 1'!$B$2:$B$2604,'Form responses 1'!$F$2:$F$2604,""))</f>
        <v>M. 101/ P W K</v>
      </c>
      <c r="I519" s="44" t="str">
        <f t="array" ref="I519">IF(B519="","",_xlfn.XLOOKUP(B519,'Form responses 1'!$B$2:$B$2604,'Form responses 1'!$I$2:$I$2604,""))</f>
        <v>Perumahan Way Kandis</v>
      </c>
      <c r="J519" s="44" t="str">
        <f t="array" ref="J519">IF(B519="","",_xlfn.XLOOKUP(B519,'Form responses 1'!$B$2:$B$2604,'Form responses 1'!$G$2:$G$2604,""))</f>
        <v>Rapita</v>
      </c>
      <c r="K519" s="41" t="s">
        <v>2421</v>
      </c>
      <c r="L519" s="52">
        <f t="shared" si="7"/>
        <v>45597.63537</v>
      </c>
      <c r="M519" s="47" t="s">
        <v>5505</v>
      </c>
      <c r="N519" s="49"/>
      <c r="O519" s="49"/>
      <c r="P519" s="49"/>
      <c r="Q519" s="49"/>
      <c r="R519" s="49"/>
      <c r="S519" s="49"/>
      <c r="T519" s="49"/>
      <c r="U519" s="49"/>
      <c r="V519" s="49"/>
      <c r="W519" s="41" t="s">
        <v>618</v>
      </c>
      <c r="X519" s="46">
        <f t="shared" si="5"/>
        <v>45597.64262</v>
      </c>
      <c r="Y519" s="50" t="s">
        <v>482</v>
      </c>
      <c r="Z519" s="49">
        <f t="shared" si="6"/>
        <v>1</v>
      </c>
    </row>
    <row r="520" ht="22.5" customHeight="1">
      <c r="B520" s="41" t="s">
        <v>2908</v>
      </c>
      <c r="C520" s="43">
        <f t="array" ref="C520">IF(B520="","",_xlfn.XLOOKUP(B520,'Form responses 1'!$B$2:$B$2604,'Form responses 1'!$A$2:$A$2604,""))</f>
        <v>45596.44681</v>
      </c>
      <c r="D520" s="44" t="str">
        <f t="shared" si="3"/>
        <v>K/14/311024/1_45596.4468054977</v>
      </c>
      <c r="E520" s="44" t="str">
        <f t="array" ref="E520">IF(B520="","",_xlfn.XLOOKUP(B520,'Form responses 1'!$B$2:$B$2604,'Form responses 1'!$C$2:$C$2604,""))</f>
        <v>Eka Chandre/ Nelly S</v>
      </c>
      <c r="F520" s="44" t="str">
        <f t="array" ref="F520">IF(B520="","",_xlfn.XLOOKUP(B520,'Form responses 1'!$B$2:$B$2604,'Form responses 1'!$D$2:$D$2604,""))</f>
        <v>+62 895-4178-90270</v>
      </c>
      <c r="G520" s="44" t="str">
        <f t="array" ref="G520">IF(B520="","",_xlfn.XLOOKUP(B520,'Form responses 1'!$B$2:$B$2604,'Form responses 1'!$E$2:$E$2604,""))</f>
        <v>BN Jual Beli</v>
      </c>
      <c r="H520" s="44" t="str">
        <f t="array" ref="H520">IF(B520="","",_xlfn.XLOOKUP(B520,'Form responses 1'!$B$2:$B$2604,'Form responses 1'!$F$2:$F$2604,""))</f>
        <v>Nibel. M. 642/ Jagabaya II</v>
      </c>
      <c r="I520" s="44" t="str">
        <f t="array" ref="I520">IF(B520="","",_xlfn.XLOOKUP(B520,'Form responses 1'!$B$2:$B$2604,'Form responses 1'!$I$2:$I$2604,""))</f>
        <v>Jagabaya II</v>
      </c>
      <c r="J520" s="44" t="str">
        <f t="array" ref="J520">IF(B520="","",_xlfn.XLOOKUP(B520,'Form responses 1'!$B$2:$B$2604,'Form responses 1'!$G$2:$G$2604,""))</f>
        <v>Rapita</v>
      </c>
      <c r="K520" s="41" t="s">
        <v>2421</v>
      </c>
      <c r="L520" s="52">
        <f t="shared" si="7"/>
        <v>45597.63539</v>
      </c>
      <c r="M520" s="47" t="s">
        <v>5506</v>
      </c>
      <c r="N520" s="49"/>
      <c r="O520" s="49"/>
      <c r="P520" s="49"/>
      <c r="Q520" s="49"/>
      <c r="R520" s="49"/>
      <c r="S520" s="49"/>
      <c r="T520" s="49"/>
      <c r="U520" s="49"/>
      <c r="V520" s="49"/>
      <c r="W520" s="41" t="s">
        <v>470</v>
      </c>
      <c r="X520" s="46">
        <f t="shared" si="5"/>
        <v>45602.44045</v>
      </c>
      <c r="Y520" s="50" t="s">
        <v>482</v>
      </c>
      <c r="Z520" s="49">
        <f t="shared" si="6"/>
        <v>1</v>
      </c>
    </row>
    <row r="521" ht="22.5" customHeight="1">
      <c r="B521" s="41" t="s">
        <v>2966</v>
      </c>
      <c r="C521" s="43">
        <f t="array" ref="C521">IF(B521="","",_xlfn.XLOOKUP(B521,'Form responses 1'!$B$2:$B$2604,'Form responses 1'!$A$2:$A$2604,""))</f>
        <v>45596.56939</v>
      </c>
      <c r="D521" s="44" t="str">
        <f t="shared" si="3"/>
        <v>K/29/311024/1_45596.5693905324</v>
      </c>
      <c r="E521" s="44" t="str">
        <f t="array" ref="E521">IF(B521="","",_xlfn.XLOOKUP(B521,'Form responses 1'!$B$2:$B$2604,'Form responses 1'!$C$2:$C$2604,""))</f>
        <v>NANIK MARYANI/ HUMAIDI</v>
      </c>
      <c r="F521" s="44" t="str">
        <f t="array" ref="F521">IF(B521="","",_xlfn.XLOOKUP(B521,'Form responses 1'!$B$2:$B$2604,'Form responses 1'!$D$2:$D$2604,""))</f>
        <v>083178501348</v>
      </c>
      <c r="G521" s="44" t="str">
        <f t="array" ref="G521">IF(B521="","",_xlfn.XLOOKUP(B521,'Form responses 1'!$B$2:$B$2604,'Form responses 1'!$E$2:$E$2604,""))</f>
        <v>BN PHB</v>
      </c>
      <c r="H521" s="44" t="str">
        <f t="array" ref="H521">IF(B521="","",_xlfn.XLOOKUP(B521,'Form responses 1'!$B$2:$B$2604,'Form responses 1'!$F$2:$F$2604,""))</f>
        <v>B. 1655/ KANGKUNG</v>
      </c>
      <c r="I521" s="44" t="str">
        <f t="array" ref="I521">IF(B521="","",_xlfn.XLOOKUP(B521,'Form responses 1'!$B$2:$B$2604,'Form responses 1'!$I$2:$I$2604,""))</f>
        <v>KANGKUNG</v>
      </c>
      <c r="J521" s="44" t="str">
        <f t="array" ref="J521">IF(B521="","",_xlfn.XLOOKUP(B521,'Form responses 1'!$B$2:$B$2604,'Form responses 1'!$G$2:$G$2604,""))</f>
        <v>Hananda</v>
      </c>
      <c r="K521" s="41" t="s">
        <v>2421</v>
      </c>
      <c r="L521" s="52">
        <f t="shared" si="7"/>
        <v>45597.63542</v>
      </c>
      <c r="M521" s="49"/>
      <c r="N521" s="49"/>
      <c r="O521" s="49"/>
      <c r="P521" s="49"/>
      <c r="Q521" s="49"/>
      <c r="R521" s="49"/>
      <c r="S521" s="49"/>
      <c r="T521" s="49"/>
      <c r="U521" s="49"/>
      <c r="V521" s="49"/>
      <c r="W521" s="41" t="s">
        <v>618</v>
      </c>
      <c r="X521" s="46">
        <f t="shared" si="5"/>
        <v>45601.6416</v>
      </c>
      <c r="Y521" s="50" t="s">
        <v>482</v>
      </c>
      <c r="Z521" s="49">
        <f t="shared" si="6"/>
        <v>0</v>
      </c>
    </row>
    <row r="522" ht="22.5" customHeight="1">
      <c r="B522" s="41" t="s">
        <v>3076</v>
      </c>
      <c r="C522" s="43">
        <f t="array" ref="C522">IF(B522="","",_xlfn.XLOOKUP(B522,'Form responses 1'!$B$2:$B$2604,'Form responses 1'!$A$2:$A$2604,""))</f>
        <v>45596.62436</v>
      </c>
      <c r="D522" s="44" t="str">
        <f t="shared" si="3"/>
        <v>K/58/311024/2_45596.6243565509</v>
      </c>
      <c r="E522" s="44" t="str">
        <f t="array" ref="E522">IF(B522="","",_xlfn.XLOOKUP(B522,'Form responses 1'!$B$2:$B$2604,'Form responses 1'!$C$2:$C$2604,""))</f>
        <v>endang aprilia/ ingga</v>
      </c>
      <c r="F522" s="44" t="str">
        <f t="array" ref="F522">IF(B522="","",_xlfn.XLOOKUP(B522,'Form responses 1'!$B$2:$B$2604,'Form responses 1'!$D$2:$D$2604,""))</f>
        <v>082177803999</v>
      </c>
      <c r="G522" s="44" t="str">
        <f t="array" ref="G522">IF(B522="","",_xlfn.XLOOKUP(B522,'Form responses 1'!$B$2:$B$2604,'Form responses 1'!$E$2:$E$2604,""))</f>
        <v>BN JUAL BELI</v>
      </c>
      <c r="H522" s="44" t="str">
        <f t="array" ref="H522">IF(B522="","",_xlfn.XLOOKUP(B522,'Form responses 1'!$B$2:$B$2604,'Form responses 1'!$F$2:$F$2604,""))</f>
        <v>M. 6488/ Way Kandis</v>
      </c>
      <c r="I522" s="44" t="str">
        <f t="array" ref="I522">IF(B522="","",_xlfn.XLOOKUP(B522,'Form responses 1'!$B$2:$B$2604,'Form responses 1'!$I$2:$I$2604,""))</f>
        <v>Way Kandis</v>
      </c>
      <c r="J522" s="44" t="str">
        <f t="array" ref="J522">IF(B522="","",_xlfn.XLOOKUP(B522,'Form responses 1'!$B$2:$B$2604,'Form responses 1'!$G$2:$G$2604,""))</f>
        <v>Hananda</v>
      </c>
      <c r="K522" s="41" t="s">
        <v>2421</v>
      </c>
      <c r="L522" s="52">
        <f t="shared" si="7"/>
        <v>45597.63544</v>
      </c>
      <c r="M522" s="47" t="s">
        <v>5507</v>
      </c>
      <c r="N522" s="49"/>
      <c r="O522" s="49"/>
      <c r="P522" s="49"/>
      <c r="Q522" s="49"/>
      <c r="R522" s="49"/>
      <c r="S522" s="49"/>
      <c r="T522" s="49"/>
      <c r="U522" s="49"/>
      <c r="V522" s="49"/>
      <c r="W522" s="41" t="s">
        <v>618</v>
      </c>
      <c r="X522" s="46">
        <f t="shared" si="5"/>
        <v>45604.63299</v>
      </c>
      <c r="Y522" s="50" t="s">
        <v>482</v>
      </c>
      <c r="Z522" s="49">
        <f t="shared" si="6"/>
        <v>1</v>
      </c>
    </row>
    <row r="523" ht="22.5" customHeight="1">
      <c r="B523" s="41" t="s">
        <v>3011</v>
      </c>
      <c r="C523" s="43">
        <f t="array" ref="C523">IF(B523="","",_xlfn.XLOOKUP(B523,'Form responses 1'!$B$2:$B$2604,'Form responses 1'!$A$2:$A$2604,""))</f>
        <v>45596.59708</v>
      </c>
      <c r="D523" s="44" t="str">
        <f t="shared" si="3"/>
        <v>K/41/311024/1_45596.5970809954</v>
      </c>
      <c r="E523" s="44" t="str">
        <f t="array" ref="E523">IF(B523="","",_xlfn.XLOOKUP(B523,'Form responses 1'!$B$2:$B$2604,'Form responses 1'!$C$2:$C$2604,""))</f>
        <v>Reflan R/ Riang Budi S</v>
      </c>
      <c r="F523" s="44" t="str">
        <f t="array" ref="F523">IF(B523="","",_xlfn.XLOOKUP(B523,'Form responses 1'!$B$2:$B$2604,'Form responses 1'!$D$2:$D$2604,""))</f>
        <v>+62 822-6948-0192</v>
      </c>
      <c r="G523" s="44" t="str">
        <f t="array" ref="G523">IF(B523="","",_xlfn.XLOOKUP(B523,'Form responses 1'!$B$2:$B$2604,'Form responses 1'!$E$2:$E$2604,""))</f>
        <v>BN Jual Beli</v>
      </c>
      <c r="H523" s="44" t="str">
        <f t="array" ref="H523">IF(B523="","",_xlfn.XLOOKUP(B523,'Form responses 1'!$B$2:$B$2604,'Form responses 1'!$F$2:$F$2604,""))</f>
        <v>M. 3912/ Sukadana Ham</v>
      </c>
      <c r="I523" s="44" t="str">
        <f t="array" ref="I523">IF(B523="","",_xlfn.XLOOKUP(B523,'Form responses 1'!$B$2:$B$2604,'Form responses 1'!$I$2:$I$2604,""))</f>
        <v>Sukadana Ham</v>
      </c>
      <c r="J523" s="44" t="str">
        <f t="array" ref="J523">IF(B523="","",_xlfn.XLOOKUP(B523,'Form responses 1'!$B$2:$B$2604,'Form responses 1'!$G$2:$G$2604,""))</f>
        <v>Rapita</v>
      </c>
      <c r="K523" s="41" t="s">
        <v>2421</v>
      </c>
      <c r="L523" s="52">
        <f t="shared" si="7"/>
        <v>45597.63546</v>
      </c>
      <c r="M523" s="47" t="s">
        <v>5508</v>
      </c>
      <c r="N523" s="49"/>
      <c r="O523" s="49"/>
      <c r="P523" s="49"/>
      <c r="Q523" s="49"/>
      <c r="R523" s="49"/>
      <c r="S523" s="49"/>
      <c r="T523" s="49"/>
      <c r="U523" s="49"/>
      <c r="V523" s="49"/>
      <c r="W523" s="41" t="s">
        <v>470</v>
      </c>
      <c r="X523" s="46">
        <f t="shared" si="5"/>
        <v>45601.63579</v>
      </c>
      <c r="Y523" s="50" t="s">
        <v>482</v>
      </c>
      <c r="Z523" s="49">
        <f t="shared" si="6"/>
        <v>1</v>
      </c>
    </row>
    <row r="524" ht="22.5" customHeight="1">
      <c r="B524" s="41" t="s">
        <v>2987</v>
      </c>
      <c r="C524" s="43">
        <f t="array" ref="C524">IF(B524="","",_xlfn.XLOOKUP(B524,'Form responses 1'!$B$2:$B$2604,'Form responses 1'!$A$2:$A$2604,""))</f>
        <v>45596.57598</v>
      </c>
      <c r="D524" s="44" t="str">
        <f t="shared" si="3"/>
        <v>K/31/311024/3_45596.5759772917</v>
      </c>
      <c r="E524" s="44" t="str">
        <f t="array" ref="E524">IF(B524="","",_xlfn.XLOOKUP(B524,'Form responses 1'!$B$2:$B$2604,'Form responses 1'!$C$2:$C$2604,""))</f>
        <v>nanik/ dina</v>
      </c>
      <c r="F524" s="44" t="str">
        <f t="array" ref="F524">IF(B524="","",_xlfn.XLOOKUP(B524,'Form responses 1'!$B$2:$B$2604,'Form responses 1'!$D$2:$D$2604,""))</f>
        <v>083178501348</v>
      </c>
      <c r="G524" s="44" t="str">
        <f t="array" ref="G524">IF(B524="","",_xlfn.XLOOKUP(B524,'Form responses 1'!$B$2:$B$2604,'Form responses 1'!$E$2:$E$2604,""))</f>
        <v>bn jual beli</v>
      </c>
      <c r="H524" s="44" t="str">
        <f t="array" ref="H524">IF(B524="","",_xlfn.XLOOKUP(B524,'Form responses 1'!$B$2:$B$2604,'Form responses 1'!$F$2:$F$2604,""))</f>
        <v>M. 3998/ Rajabasa Jaya</v>
      </c>
      <c r="I524" s="44" t="str">
        <f t="array" ref="I524">IF(B524="","",_xlfn.XLOOKUP(B524,'Form responses 1'!$B$2:$B$2604,'Form responses 1'!$I$2:$I$2604,""))</f>
        <v>Rajabasa Jaya</v>
      </c>
      <c r="J524" s="44" t="str">
        <f t="array" ref="J524">IF(B524="","",_xlfn.XLOOKUP(B524,'Form responses 1'!$B$2:$B$2604,'Form responses 1'!$G$2:$G$2604,""))</f>
        <v>Hananda</v>
      </c>
      <c r="K524" s="41" t="s">
        <v>2421</v>
      </c>
      <c r="L524" s="52">
        <f t="shared" si="7"/>
        <v>45597.6355</v>
      </c>
      <c r="M524" s="49"/>
      <c r="N524" s="49"/>
      <c r="O524" s="49"/>
      <c r="P524" s="49"/>
      <c r="Q524" s="49"/>
      <c r="R524" s="49"/>
      <c r="S524" s="49"/>
      <c r="T524" s="49"/>
      <c r="U524" s="49"/>
      <c r="V524" s="49"/>
      <c r="W524" s="41" t="s">
        <v>618</v>
      </c>
      <c r="X524" s="46">
        <f t="shared" si="5"/>
        <v>45601.63579</v>
      </c>
      <c r="Y524" s="50" t="s">
        <v>482</v>
      </c>
      <c r="Z524" s="49">
        <f t="shared" si="6"/>
        <v>0</v>
      </c>
    </row>
    <row r="525" ht="22.5" customHeight="1">
      <c r="B525" s="41" t="s">
        <v>3025</v>
      </c>
      <c r="C525" s="43">
        <f t="array" ref="C525">IF(B525="","",_xlfn.XLOOKUP(B525,'Form responses 1'!$B$2:$B$2604,'Form responses 1'!$A$2:$A$2604,""))</f>
        <v>45596.60803</v>
      </c>
      <c r="D525" s="44" t="str">
        <f t="shared" si="3"/>
        <v>L/46/311024/1_45596.6080325</v>
      </c>
      <c r="E525" s="44" t="str">
        <f t="array" ref="E525">IF(B525="","",_xlfn.XLOOKUP(B525,'Form responses 1'!$B$2:$B$2604,'Form responses 1'!$C$2:$C$2604,""))</f>
        <v>EFENDI SUYANTO</v>
      </c>
      <c r="F525" s="44" t="str">
        <f t="array" ref="F525">IF(B525="","",_xlfn.XLOOKUP(B525,'Form responses 1'!$B$2:$B$2604,'Form responses 1'!$D$2:$D$2604,""))</f>
        <v>082111113895</v>
      </c>
      <c r="G525" s="44" t="str">
        <f t="array" ref="G525">IF(B525="","",_xlfn.XLOOKUP(B525,'Form responses 1'!$B$2:$B$2604,'Form responses 1'!$E$2:$E$2604,""))</f>
        <v>ROYA</v>
      </c>
      <c r="H525" s="44" t="str">
        <f t="array" ref="H525">IF(B525="","",_xlfn.XLOOKUP(B525,'Form responses 1'!$B$2:$B$2604,'Form responses 1'!$F$2:$F$2604,""))</f>
        <v>M.1462/SS.B</v>
      </c>
      <c r="I525" s="44" t="str">
        <f t="array" ref="I525">IF(B525="","",_xlfn.XLOOKUP(B525,'Form responses 1'!$B$2:$B$2604,'Form responses 1'!$I$2:$I$2604,""))</f>
        <v>SUSUNAN BARU</v>
      </c>
      <c r="J525" s="44" t="str">
        <f t="array" ref="J525">IF(B525="","",_xlfn.XLOOKUP(B525,'Form responses 1'!$B$2:$B$2604,'Form responses 1'!$G$2:$G$2604,""))</f>
        <v>Nuraini</v>
      </c>
      <c r="K525" s="41" t="s">
        <v>2421</v>
      </c>
      <c r="L525" s="52">
        <f t="shared" si="7"/>
        <v>45597.63553</v>
      </c>
      <c r="M525" s="49"/>
      <c r="N525" s="49"/>
      <c r="O525" s="49"/>
      <c r="P525" s="49"/>
      <c r="Q525" s="49"/>
      <c r="R525" s="49"/>
      <c r="S525" s="49"/>
      <c r="T525" s="49"/>
      <c r="U525" s="49"/>
      <c r="V525" s="49"/>
      <c r="W525" s="41" t="s">
        <v>618</v>
      </c>
      <c r="X525" s="46">
        <f t="shared" si="5"/>
        <v>45601.45256</v>
      </c>
      <c r="Y525" s="50" t="s">
        <v>482</v>
      </c>
      <c r="Z525" s="49">
        <f t="shared" si="6"/>
        <v>0</v>
      </c>
    </row>
    <row r="526" ht="22.5" customHeight="1">
      <c r="B526" s="41" t="s">
        <v>3014</v>
      </c>
      <c r="C526" s="43">
        <f t="array" ref="C526">IF(B526="","",_xlfn.XLOOKUP(B526,'Form responses 1'!$B$2:$B$2604,'Form responses 1'!$A$2:$A$2604,""))</f>
        <v>45596.60004</v>
      </c>
      <c r="D526" s="44" t="str">
        <f t="shared" si="3"/>
        <v>K/42/311024/1_45596.6000414468</v>
      </c>
      <c r="E526" s="44" t="str">
        <f t="array" ref="E526">IF(B526="","",_xlfn.XLOOKUP(B526,'Form responses 1'!$B$2:$B$2604,'Form responses 1'!$C$2:$C$2604,""))</f>
        <v>ILANUR</v>
      </c>
      <c r="F526" s="44" t="str">
        <f t="array" ref="F526">IF(B526="","",_xlfn.XLOOKUP(B526,'Form responses 1'!$B$2:$B$2604,'Form responses 1'!$D$2:$D$2604,""))</f>
        <v>081295653816</v>
      </c>
      <c r="G526" s="44" t="str">
        <f t="array" ref="G526">IF(B526="","",_xlfn.XLOOKUP(B526,'Form responses 1'!$B$2:$B$2604,'Form responses 1'!$E$2:$E$2604,""))</f>
        <v>ROYA</v>
      </c>
      <c r="H526" s="44" t="str">
        <f t="array" ref="H526">IF(B526="","",_xlfn.XLOOKUP(B526,'Form responses 1'!$B$2:$B$2604,'Form responses 1'!$F$2:$F$2604,""))</f>
        <v>M. 1333/ SEPANG JAYA</v>
      </c>
      <c r="I526" s="44" t="str">
        <f t="array" ref="I526">IF(B526="","",_xlfn.XLOOKUP(B526,'Form responses 1'!$B$2:$B$2604,'Form responses 1'!$I$2:$I$2604,""))</f>
        <v>SEPANG JAYA</v>
      </c>
      <c r="J526" s="44" t="str">
        <f t="array" ref="J526">IF(B526="","",_xlfn.XLOOKUP(B526,'Form responses 1'!$B$2:$B$2604,'Form responses 1'!$G$2:$G$2604,""))</f>
        <v>Hananda</v>
      </c>
      <c r="K526" s="41" t="s">
        <v>2421</v>
      </c>
      <c r="L526" s="52">
        <f t="shared" si="7"/>
        <v>45597.63556</v>
      </c>
      <c r="M526" s="47" t="s">
        <v>5509</v>
      </c>
      <c r="N526" s="49"/>
      <c r="O526" s="49"/>
      <c r="P526" s="49"/>
      <c r="Q526" s="49"/>
      <c r="R526" s="49"/>
      <c r="S526" s="49"/>
      <c r="T526" s="49"/>
      <c r="U526" s="49"/>
      <c r="V526" s="49"/>
      <c r="W526" s="41" t="s">
        <v>470</v>
      </c>
      <c r="X526" s="46">
        <f t="shared" si="5"/>
        <v>45601.5392</v>
      </c>
      <c r="Y526" s="50" t="s">
        <v>482</v>
      </c>
      <c r="Z526" s="49">
        <f t="shared" si="6"/>
        <v>1</v>
      </c>
    </row>
    <row r="527" ht="22.5" customHeight="1">
      <c r="B527" s="41" t="s">
        <v>3054</v>
      </c>
      <c r="C527" s="43">
        <f t="array" ref="C527">IF(B527="","",_xlfn.XLOOKUP(B527,'Form responses 1'!$B$2:$B$2604,'Form responses 1'!$A$2:$A$2604,""))</f>
        <v>45596.6159</v>
      </c>
      <c r="D527" s="44" t="str">
        <f t="shared" si="3"/>
        <v>K/53/311024/2_45596.6159014352</v>
      </c>
      <c r="E527" s="44" t="str">
        <f t="array" ref="E527">IF(B527="","",_xlfn.XLOOKUP(B527,'Form responses 1'!$B$2:$B$2604,'Form responses 1'!$C$2:$C$2604,""))</f>
        <v>annisa/ rahmadiyanti</v>
      </c>
      <c r="F527" s="44" t="str">
        <f t="array" ref="F527">IF(B527="","",_xlfn.XLOOKUP(B527,'Form responses 1'!$B$2:$B$2604,'Form responses 1'!$D$2:$D$2604,""))</f>
        <v>+62 821-8209-0051</v>
      </c>
      <c r="G527" s="44" t="str">
        <f t="array" ref="G527">IF(B527="","",_xlfn.XLOOKUP(B527,'Form responses 1'!$B$2:$B$2604,'Form responses 1'!$E$2:$E$2604,""))</f>
        <v>perubahan hak</v>
      </c>
      <c r="H527" s="44" t="str">
        <f t="array" ref="H527">IF(B527="","",_xlfn.XLOOKUP(B527,'Form responses 1'!$B$2:$B$2604,'Form responses 1'!$F$2:$F$2604,""))</f>
        <v>Nibel 2354/ Sukabumi</v>
      </c>
      <c r="I527" s="44" t="str">
        <f t="array" ref="I527">IF(B527="","",_xlfn.XLOOKUP(B527,'Form responses 1'!$B$2:$B$2604,'Form responses 1'!$I$2:$I$2604,""))</f>
        <v>Sukabumi</v>
      </c>
      <c r="J527" s="44" t="str">
        <f t="array" ref="J527">IF(B527="","",_xlfn.XLOOKUP(B527,'Form responses 1'!$B$2:$B$2604,'Form responses 1'!$G$2:$G$2604,""))</f>
        <v>Hananda</v>
      </c>
      <c r="K527" s="41" t="s">
        <v>2421</v>
      </c>
      <c r="L527" s="52">
        <f t="shared" si="7"/>
        <v>45597.6356</v>
      </c>
      <c r="M527" s="49"/>
      <c r="N527" s="49"/>
      <c r="O527" s="49"/>
      <c r="P527" s="49"/>
      <c r="Q527" s="49"/>
      <c r="R527" s="49"/>
      <c r="S527" s="49"/>
      <c r="T527" s="49"/>
      <c r="U527" s="49"/>
      <c r="V527" s="49"/>
      <c r="W527" s="41" t="s">
        <v>618</v>
      </c>
      <c r="X527" s="46">
        <f t="shared" si="5"/>
        <v>45601.5242</v>
      </c>
      <c r="Y527" s="50" t="s">
        <v>482</v>
      </c>
      <c r="Z527" s="49">
        <f t="shared" si="6"/>
        <v>0</v>
      </c>
    </row>
    <row r="528" ht="22.5" customHeight="1">
      <c r="B528" s="41" t="s">
        <v>2954</v>
      </c>
      <c r="C528" s="43">
        <f t="array" ref="C528">IF(B528="","",_xlfn.XLOOKUP(B528,'Form responses 1'!$B$2:$B$2604,'Form responses 1'!$A$2:$A$2604,""))</f>
        <v>45596.55343</v>
      </c>
      <c r="D528" s="44" t="str">
        <f t="shared" si="3"/>
        <v>L/26/311024/1_45596.5534301042</v>
      </c>
      <c r="E528" s="44" t="str">
        <f t="array" ref="E528">IF(B528="","",_xlfn.XLOOKUP(B528,'Form responses 1'!$B$2:$B$2604,'Form responses 1'!$C$2:$C$2604,""))</f>
        <v>SUSISWO</v>
      </c>
      <c r="F528" s="44" t="str">
        <f t="array" ref="F528">IF(B528="","",_xlfn.XLOOKUP(B528,'Form responses 1'!$B$2:$B$2604,'Form responses 1'!$D$2:$D$2604,""))</f>
        <v>082186446842</v>
      </c>
      <c r="G528" s="44" t="str">
        <f t="array" ref="G528">IF(B528="","",_xlfn.XLOOKUP(B528,'Form responses 1'!$B$2:$B$2604,'Form responses 1'!$E$2:$E$2604,""))</f>
        <v>ROYA</v>
      </c>
      <c r="H528" s="44" t="str">
        <f t="array" ref="H528">IF(B528="","",_xlfn.XLOOKUP(B528,'Form responses 1'!$B$2:$B$2604,'Form responses 1'!$F$2:$F$2604,""))</f>
        <v>HGB 138/KEMILING PERMAI</v>
      </c>
      <c r="I528" s="44" t="str">
        <f t="array" ref="I528">IF(B528="","",_xlfn.XLOOKUP(B528,'Form responses 1'!$B$2:$B$2604,'Form responses 1'!$I$2:$I$2604,""))</f>
        <v>KEMILING PERMAI</v>
      </c>
      <c r="J528" s="44" t="str">
        <f t="array" ref="J528">IF(B528="","",_xlfn.XLOOKUP(B528,'Form responses 1'!$B$2:$B$2604,'Form responses 1'!$G$2:$G$2604,""))</f>
        <v>Deby</v>
      </c>
      <c r="K528" s="41" t="s">
        <v>2421</v>
      </c>
      <c r="L528" s="52">
        <f t="shared" si="7"/>
        <v>45597.63562</v>
      </c>
      <c r="M528" s="47" t="s">
        <v>5510</v>
      </c>
      <c r="N528" s="49"/>
      <c r="O528" s="49"/>
      <c r="P528" s="49"/>
      <c r="Q528" s="49"/>
      <c r="R528" s="49"/>
      <c r="S528" s="49"/>
      <c r="T528" s="49"/>
      <c r="U528" s="49"/>
      <c r="V528" s="49"/>
      <c r="W528" s="41" t="s">
        <v>618</v>
      </c>
      <c r="X528" s="46">
        <f t="shared" si="5"/>
        <v>45601.4561</v>
      </c>
      <c r="Y528" s="50" t="s">
        <v>482</v>
      </c>
      <c r="Z528" s="49">
        <f t="shared" si="6"/>
        <v>1</v>
      </c>
    </row>
    <row r="529" ht="22.5" customHeight="1">
      <c r="B529" s="41" t="s">
        <v>3029</v>
      </c>
      <c r="C529" s="43">
        <f t="array" ref="C529">IF(B529="","",_xlfn.XLOOKUP(B529,'Form responses 1'!$B$2:$B$2604,'Form responses 1'!$A$2:$A$2604,""))</f>
        <v>45596.6088</v>
      </c>
      <c r="D529" s="44" t="str">
        <f t="shared" si="3"/>
        <v>K/45/311024/3_45596.6087993287</v>
      </c>
      <c r="E529" s="44" t="str">
        <f t="array" ref="E529">IF(B529="","",_xlfn.XLOOKUP(B529,'Form responses 1'!$B$2:$B$2604,'Form responses 1'!$C$2:$C$2604,""))</f>
        <v>Budi K/ Vilaynti Fernandez W</v>
      </c>
      <c r="F529" s="44" t="str">
        <f t="array" ref="F529">IF(B529="","",_xlfn.XLOOKUP(B529,'Form responses 1'!$B$2:$B$2604,'Form responses 1'!$D$2:$D$2604,""))</f>
        <v>+62 858-6816-7367</v>
      </c>
      <c r="G529" s="44" t="str">
        <f t="array" ref="G529">IF(B529="","",_xlfn.XLOOKUP(B529,'Form responses 1'!$B$2:$B$2604,'Form responses 1'!$E$2:$E$2604,""))</f>
        <v>BN Hibah</v>
      </c>
      <c r="H529" s="44" t="str">
        <f t="array" ref="H529">IF(B529="","",_xlfn.XLOOKUP(B529,'Form responses 1'!$B$2:$B$2604,'Form responses 1'!$F$2:$F$2604,""))</f>
        <v>M. 859/ Tanjung Gading</v>
      </c>
      <c r="I529" s="44" t="str">
        <f t="array" ref="I529">IF(B529="","",_xlfn.XLOOKUP(B529,'Form responses 1'!$B$2:$B$2604,'Form responses 1'!$I$2:$I$2604,""))</f>
        <v>Tanjung Gading</v>
      </c>
      <c r="J529" s="44" t="str">
        <f t="array" ref="J529">IF(B529="","",_xlfn.XLOOKUP(B529,'Form responses 1'!$B$2:$B$2604,'Form responses 1'!$G$2:$G$2604,""))</f>
        <v>Rapita</v>
      </c>
      <c r="K529" s="41" t="s">
        <v>587</v>
      </c>
      <c r="L529" s="52">
        <f t="shared" si="7"/>
        <v>45597.70611</v>
      </c>
      <c r="M529" s="47" t="s">
        <v>5214</v>
      </c>
      <c r="N529" s="49"/>
      <c r="O529" s="49"/>
      <c r="P529" s="49"/>
      <c r="Q529" s="49"/>
      <c r="R529" s="49"/>
      <c r="S529" s="49"/>
      <c r="T529" s="49"/>
      <c r="U529" s="49"/>
      <c r="V529" s="49"/>
      <c r="W529" s="41" t="s">
        <v>618</v>
      </c>
      <c r="X529" s="46">
        <f t="shared" si="5"/>
        <v>45602.38629</v>
      </c>
      <c r="Y529" s="50" t="s">
        <v>482</v>
      </c>
      <c r="Z529" s="49">
        <f t="shared" si="6"/>
        <v>1</v>
      </c>
    </row>
    <row r="530" ht="22.5" customHeight="1">
      <c r="B530" s="41" t="s">
        <v>2865</v>
      </c>
      <c r="C530" s="43">
        <f t="array" ref="C530">IF(B530="","",_xlfn.XLOOKUP(B530,'Form responses 1'!$B$2:$B$2604,'Form responses 1'!$A$2:$A$2604,""))</f>
        <v>45596.40109</v>
      </c>
      <c r="D530" s="44" t="str">
        <f t="shared" si="3"/>
        <v>K/4/311024/2_45596.4010888773</v>
      </c>
      <c r="E530" s="44" t="str">
        <f t="array" ref="E530">IF(B530="","",_xlfn.XLOOKUP(B530,'Form responses 1'!$B$2:$B$2604,'Form responses 1'!$C$2:$C$2604,""))</f>
        <v>kusniyah/ hariyo widodo</v>
      </c>
      <c r="F530" s="44" t="str">
        <f t="array" ref="F530">IF(B530="","",_xlfn.XLOOKUP(B530,'Form responses 1'!$B$2:$B$2604,'Form responses 1'!$D$2:$D$2604,""))</f>
        <v>082279841382</v>
      </c>
      <c r="G530" s="44" t="str">
        <f t="array" ref="G530">IF(B530="","",_xlfn.XLOOKUP(B530,'Form responses 1'!$B$2:$B$2604,'Form responses 1'!$E$2:$E$2604,""))</f>
        <v>ROYA</v>
      </c>
      <c r="H530" s="44" t="str">
        <f t="array" ref="H530">IF(B530="","",_xlfn.XLOOKUP(B530,'Form responses 1'!$B$2:$B$2604,'Form responses 1'!$F$2:$F$2604,""))</f>
        <v>M. 228/ Jagabaya I</v>
      </c>
      <c r="I530" s="44" t="str">
        <f t="array" ref="I530">IF(B530="","",_xlfn.XLOOKUP(B530,'Form responses 1'!$B$2:$B$2604,'Form responses 1'!$I$2:$I$2604,""))</f>
        <v>Jagabaya I</v>
      </c>
      <c r="J530" s="44" t="str">
        <f t="array" ref="J530">IF(B530="","",_xlfn.XLOOKUP(B530,'Form responses 1'!$B$2:$B$2604,'Form responses 1'!$G$2:$G$2604,""))</f>
        <v>Hananda</v>
      </c>
      <c r="K530" s="41" t="s">
        <v>587</v>
      </c>
      <c r="L530" s="52">
        <f t="shared" si="7"/>
        <v>45597.70632</v>
      </c>
      <c r="M530" s="49"/>
      <c r="N530" s="49"/>
      <c r="O530" s="49"/>
      <c r="P530" s="49"/>
      <c r="Q530" s="49"/>
      <c r="R530" s="49"/>
      <c r="S530" s="49"/>
      <c r="T530" s="49"/>
      <c r="U530" s="49"/>
      <c r="V530" s="49"/>
      <c r="W530" s="56"/>
      <c r="X530" s="51" t="str">
        <f t="shared" si="5"/>
        <v/>
      </c>
      <c r="Y530" s="50" t="s">
        <v>482</v>
      </c>
      <c r="Z530" s="49">
        <f t="shared" si="6"/>
        <v>0</v>
      </c>
    </row>
    <row r="531" ht="22.5" customHeight="1">
      <c r="B531" s="41" t="s">
        <v>3062</v>
      </c>
      <c r="C531" s="43">
        <f t="array" ref="C531">IF(B531="","",_xlfn.XLOOKUP(B531,'Form responses 1'!$B$2:$B$2604,'Form responses 1'!$A$2:$A$2604,""))</f>
        <v>45596.62014</v>
      </c>
      <c r="D531" s="44" t="str">
        <f t="shared" si="3"/>
        <v>K/57/311024/1_45596.6201404514</v>
      </c>
      <c r="E531" s="44" t="str">
        <f t="array" ref="E531">IF(B531="","",_xlfn.XLOOKUP(B531,'Form responses 1'!$B$2:$B$2604,'Form responses 1'!$C$2:$C$2604,""))</f>
        <v>ENDANG/ ENRIKO</v>
      </c>
      <c r="F531" s="44" t="str">
        <f t="array" ref="F531">IF(B531="","",_xlfn.XLOOKUP(B531,'Form responses 1'!$B$2:$B$2604,'Form responses 1'!$D$2:$D$2604,""))</f>
        <v>082177803999</v>
      </c>
      <c r="G531" s="44" t="str">
        <f t="array" ref="G531">IF(B531="","",_xlfn.XLOOKUP(B531,'Form responses 1'!$B$2:$B$2604,'Form responses 1'!$E$2:$E$2604,""))</f>
        <v>BN JUAL BELI</v>
      </c>
      <c r="H531" s="44" t="str">
        <f t="array" ref="H531">IF(B531="","",_xlfn.XLOOKUP(B531,'Form responses 1'!$B$2:$B$2604,'Form responses 1'!$F$2:$F$2604,""))</f>
        <v>B. 581/ Sumber Agung</v>
      </c>
      <c r="I531" s="44" t="str">
        <f t="array" ref="I531">IF(B531="","",_xlfn.XLOOKUP(B531,'Form responses 1'!$B$2:$B$2604,'Form responses 1'!$I$2:$I$2604,""))</f>
        <v>Sumber Agung</v>
      </c>
      <c r="J531" s="44" t="str">
        <f t="array" ref="J531">IF(B531="","",_xlfn.XLOOKUP(B531,'Form responses 1'!$B$2:$B$2604,'Form responses 1'!$G$2:$G$2604,""))</f>
        <v>Hananda</v>
      </c>
      <c r="K531" s="41" t="s">
        <v>587</v>
      </c>
      <c r="L531" s="52">
        <f t="shared" si="7"/>
        <v>45597.70666</v>
      </c>
      <c r="M531" s="47" t="s">
        <v>470</v>
      </c>
      <c r="N531" s="47" t="s">
        <v>5214</v>
      </c>
      <c r="O531" s="49"/>
      <c r="P531" s="49"/>
      <c r="Q531" s="49"/>
      <c r="R531" s="49"/>
      <c r="S531" s="49"/>
      <c r="T531" s="49"/>
      <c r="U531" s="49"/>
      <c r="V531" s="49"/>
      <c r="W531" s="41" t="s">
        <v>618</v>
      </c>
      <c r="X531" s="46">
        <f t="shared" si="5"/>
        <v>45607.32984</v>
      </c>
      <c r="Y531" s="50" t="s">
        <v>482</v>
      </c>
      <c r="Z531" s="49">
        <f t="shared" si="6"/>
        <v>2</v>
      </c>
    </row>
    <row r="532" ht="22.5" customHeight="1">
      <c r="B532" s="41" t="s">
        <v>2941</v>
      </c>
      <c r="C532" s="43">
        <f t="array" ref="C532">IF(B532="","",_xlfn.XLOOKUP(B532,'Form responses 1'!$B$2:$B$2604,'Form responses 1'!$A$2:$A$2604,""))</f>
        <v>45596.48718</v>
      </c>
      <c r="D532" s="44" t="str">
        <f t="shared" si="3"/>
        <v>K/22/311024/1_45596.4871828704</v>
      </c>
      <c r="E532" s="44" t="str">
        <f t="array" ref="E532">IF(B532="","",_xlfn.XLOOKUP(B532,'Form responses 1'!$B$2:$B$2604,'Form responses 1'!$C$2:$C$2604,""))</f>
        <v>YETTY HERAWATY/M FAJAR DIFITRI</v>
      </c>
      <c r="F532" s="44" t="str">
        <f t="array" ref="F532">IF(B532="","",_xlfn.XLOOKUP(B532,'Form responses 1'!$B$2:$B$2604,'Form responses 1'!$D$2:$D$2604,""))</f>
        <v>0821-8241-4776</v>
      </c>
      <c r="G532" s="44" t="str">
        <f t="array" ref="G532">IF(B532="","",_xlfn.XLOOKUP(B532,'Form responses 1'!$B$2:$B$2604,'Form responses 1'!$E$2:$E$2604,""))</f>
        <v>PENINGKATAN</v>
      </c>
      <c r="H532" s="44" t="str">
        <f t="array" ref="H532">IF(B532="","",_xlfn.XLOOKUP(B532,'Form responses 1'!$B$2:$B$2604,'Form responses 1'!$F$2:$F$2604,""))</f>
        <v>B.698/NEGERI OLOK GADING</v>
      </c>
      <c r="I532" s="44" t="str">
        <f t="array" ref="I532">IF(B532="","",_xlfn.XLOOKUP(B532,'Form responses 1'!$B$2:$B$2604,'Form responses 1'!$I$2:$I$2604,""))</f>
        <v>NEGERI OLOK GADING</v>
      </c>
      <c r="J532" s="44" t="str">
        <f t="array" ref="J532">IF(B532="","",_xlfn.XLOOKUP(B532,'Form responses 1'!$B$2:$B$2604,'Form responses 1'!$G$2:$G$2604,""))</f>
        <v>Baynur</v>
      </c>
      <c r="K532" s="41" t="s">
        <v>587</v>
      </c>
      <c r="L532" s="52">
        <f t="shared" si="7"/>
        <v>45597.71012</v>
      </c>
      <c r="M532" s="47" t="s">
        <v>5511</v>
      </c>
      <c r="N532" s="49"/>
      <c r="O532" s="49"/>
      <c r="P532" s="49"/>
      <c r="Q532" s="49"/>
      <c r="R532" s="49"/>
      <c r="S532" s="49"/>
      <c r="T532" s="49"/>
      <c r="U532" s="49"/>
      <c r="V532" s="49"/>
      <c r="W532" s="41" t="s">
        <v>618</v>
      </c>
      <c r="X532" s="46">
        <f t="shared" si="5"/>
        <v>45602.39629</v>
      </c>
      <c r="Y532" s="50" t="s">
        <v>482</v>
      </c>
      <c r="Z532" s="49">
        <f t="shared" si="6"/>
        <v>1</v>
      </c>
    </row>
    <row r="533" ht="22.5" customHeight="1">
      <c r="B533" s="41" t="s">
        <v>3101</v>
      </c>
      <c r="C533" s="43">
        <f t="array" ref="C533">IF(B533="","",_xlfn.XLOOKUP(B533,'Form responses 1'!$B$2:$B$2604,'Form responses 1'!$A$2:$A$2604,""))</f>
        <v>45596.64219</v>
      </c>
      <c r="D533" s="44" t="str">
        <f t="shared" si="3"/>
        <v>K/68/311024/2_45596.6421858912</v>
      </c>
      <c r="E533" s="44" t="str">
        <f t="array" ref="E533">IF(B533="","",_xlfn.XLOOKUP(B533,'Form responses 1'!$B$2:$B$2604,'Form responses 1'!$C$2:$C$2604,""))</f>
        <v>MOHAMAD FADIL/DEWI SUKMASARI</v>
      </c>
      <c r="F533" s="44" t="str">
        <f t="array" ref="F533">IF(B533="","",_xlfn.XLOOKUP(B533,'Form responses 1'!$B$2:$B$2604,'Form responses 1'!$D$2:$D$2604,""))</f>
        <v>0821-8694-9749</v>
      </c>
      <c r="G533" s="44" t="str">
        <f t="array" ref="G533">IF(B533="","",_xlfn.XLOOKUP(B533,'Form responses 1'!$B$2:$B$2604,'Form responses 1'!$E$2:$E$2604,""))</f>
        <v>BN JUAL BELI</v>
      </c>
      <c r="H533" s="44" t="str">
        <f t="array" ref="H533">IF(B533="","",_xlfn.XLOOKUP(B533,'Form responses 1'!$B$2:$B$2604,'Form responses 1'!$F$2:$F$2604,""))</f>
        <v>M.11378/SEGALA MIDER</v>
      </c>
      <c r="I533" s="44" t="str">
        <f t="array" ref="I533">IF(B533="","",_xlfn.XLOOKUP(B533,'Form responses 1'!$B$2:$B$2604,'Form responses 1'!$I$2:$I$2604,""))</f>
        <v>SEGALA MIDER</v>
      </c>
      <c r="J533" s="44" t="str">
        <f t="array" ref="J533">IF(B533="","",_xlfn.XLOOKUP(B533,'Form responses 1'!$B$2:$B$2604,'Form responses 1'!$G$2:$G$2604,""))</f>
        <v>Baynur</v>
      </c>
      <c r="K533" s="41" t="s">
        <v>587</v>
      </c>
      <c r="L533" s="52">
        <f t="shared" si="7"/>
        <v>45597.71014</v>
      </c>
      <c r="M533" s="47" t="s">
        <v>5214</v>
      </c>
      <c r="N533" s="49"/>
      <c r="O533" s="49"/>
      <c r="P533" s="49"/>
      <c r="Q533" s="49"/>
      <c r="R533" s="49"/>
      <c r="S533" s="49"/>
      <c r="T533" s="49"/>
      <c r="U533" s="49"/>
      <c r="V533" s="49"/>
      <c r="W533" s="41" t="s">
        <v>618</v>
      </c>
      <c r="X533" s="46">
        <f t="shared" si="5"/>
        <v>45602.39512</v>
      </c>
      <c r="Y533" s="50" t="s">
        <v>482</v>
      </c>
      <c r="Z533" s="49">
        <f t="shared" si="6"/>
        <v>1</v>
      </c>
    </row>
    <row r="534" ht="22.5" customHeight="1">
      <c r="B534" s="41" t="s">
        <v>3098</v>
      </c>
      <c r="C534" s="43">
        <f t="array" ref="C534">IF(B534="","",_xlfn.XLOOKUP(B534,'Form responses 1'!$B$2:$B$2604,'Form responses 1'!$A$2:$A$2604,""))</f>
        <v>45596.64138</v>
      </c>
      <c r="D534" s="44" t="str">
        <f t="shared" si="3"/>
        <v>K/67/311024/1_45596.6413785764</v>
      </c>
      <c r="E534" s="44" t="str">
        <f t="array" ref="E534">IF(B534="","",_xlfn.XLOOKUP(B534,'Form responses 1'!$B$2:$B$2604,'Form responses 1'!$C$2:$C$2604,""))</f>
        <v>WINDA KARTIKA/ANDRY YULIAN</v>
      </c>
      <c r="F534" s="44" t="str">
        <f t="array" ref="F534">IF(B534="","",_xlfn.XLOOKUP(B534,'Form responses 1'!$B$2:$B$2604,'Form responses 1'!$D$2:$D$2604,""))</f>
        <v>0821-8694-9749</v>
      </c>
      <c r="G534" s="44" t="str">
        <f t="array" ref="G534">IF(B534="","",_xlfn.XLOOKUP(B534,'Form responses 1'!$B$2:$B$2604,'Form responses 1'!$E$2:$E$2604,""))</f>
        <v>BN JUAL BELI</v>
      </c>
      <c r="H534" s="44" t="str">
        <f t="array" ref="H534">IF(B534="","",_xlfn.XLOOKUP(B534,'Form responses 1'!$B$2:$B$2604,'Form responses 1'!$F$2:$F$2604,""))</f>
        <v>M.2446/RAJABASA JAYA</v>
      </c>
      <c r="I534" s="44" t="str">
        <f t="array" ref="I534">IF(B534="","",_xlfn.XLOOKUP(B534,'Form responses 1'!$B$2:$B$2604,'Form responses 1'!$I$2:$I$2604,""))</f>
        <v>RAJABASA JAYA</v>
      </c>
      <c r="J534" s="44" t="str">
        <f t="array" ref="J534">IF(B534="","",_xlfn.XLOOKUP(B534,'Form responses 1'!$B$2:$B$2604,'Form responses 1'!$G$2:$G$2604,""))</f>
        <v>Baynur</v>
      </c>
      <c r="K534" s="41" t="s">
        <v>587</v>
      </c>
      <c r="L534" s="52">
        <f t="shared" si="7"/>
        <v>45597.71016</v>
      </c>
      <c r="M534" s="47" t="s">
        <v>470</v>
      </c>
      <c r="N534" s="47" t="s">
        <v>5512</v>
      </c>
      <c r="O534" s="49"/>
      <c r="P534" s="49"/>
      <c r="Q534" s="49"/>
      <c r="R534" s="49"/>
      <c r="S534" s="49"/>
      <c r="T534" s="49"/>
      <c r="U534" s="49"/>
      <c r="V534" s="49"/>
      <c r="W534" s="41" t="s">
        <v>618</v>
      </c>
      <c r="X534" s="46">
        <f t="shared" si="5"/>
        <v>45604.68962</v>
      </c>
      <c r="Y534" s="50" t="s">
        <v>482</v>
      </c>
      <c r="Z534" s="49">
        <f t="shared" si="6"/>
        <v>2</v>
      </c>
    </row>
    <row r="535" ht="22.5" customHeight="1">
      <c r="B535" s="41" t="s">
        <v>3141</v>
      </c>
      <c r="C535" s="43">
        <f t="array" ref="C535">IF(B535="","",_xlfn.XLOOKUP(B535,'Form responses 1'!$B$2:$B$2604,'Form responses 1'!$A$2:$A$2604,""))</f>
        <v>45597.44781</v>
      </c>
      <c r="D535" s="44" t="str">
        <f t="shared" si="3"/>
        <v>K/7/011124/1_45597.4478115278</v>
      </c>
      <c r="E535" s="44" t="str">
        <f t="array" ref="E535">IF(B535="","",_xlfn.XLOOKUP(B535,'Form responses 1'!$B$2:$B$2604,'Form responses 1'!$C$2:$C$2604,""))</f>
        <v>Ilanur/ Taryadi Ilyas</v>
      </c>
      <c r="F535" s="44" t="str">
        <f t="array" ref="F535">IF(B535="","",_xlfn.XLOOKUP(B535,'Form responses 1'!$B$2:$B$2604,'Form responses 1'!$D$2:$D$2604,""))</f>
        <v>-</v>
      </c>
      <c r="G535" s="44" t="str">
        <f t="array" ref="G535">IF(B535="","",_xlfn.XLOOKUP(B535,'Form responses 1'!$B$2:$B$2604,'Form responses 1'!$E$2:$E$2604,""))</f>
        <v>BN Jual Beli</v>
      </c>
      <c r="H535" s="44" t="str">
        <f t="array" ref="H535">IF(B535="","",_xlfn.XLOOKUP(B535,'Form responses 1'!$B$2:$B$2604,'Form responses 1'!$F$2:$F$2604,""))</f>
        <v>M. 2869/ Sukarame Baru</v>
      </c>
      <c r="I535" s="44" t="str">
        <f t="array" ref="I535">IF(B535="","",_xlfn.XLOOKUP(B535,'Form responses 1'!$B$2:$B$2604,'Form responses 1'!$I$2:$I$2604,""))</f>
        <v>Sukarame Baru</v>
      </c>
      <c r="J535" s="44" t="str">
        <f t="array" ref="J535">IF(B535="","",_xlfn.XLOOKUP(B535,'Form responses 1'!$B$2:$B$2604,'Form responses 1'!$G$2:$G$2604,""))</f>
        <v>Rapita</v>
      </c>
      <c r="K535" s="41" t="s">
        <v>587</v>
      </c>
      <c r="L535" s="52">
        <f t="shared" si="7"/>
        <v>45597.71018</v>
      </c>
      <c r="M535" s="47" t="s">
        <v>470</v>
      </c>
      <c r="N535" s="47" t="s">
        <v>5214</v>
      </c>
      <c r="O535" s="49"/>
      <c r="P535" s="49"/>
      <c r="Q535" s="49"/>
      <c r="R535" s="49"/>
      <c r="S535" s="49"/>
      <c r="T535" s="49"/>
      <c r="U535" s="49"/>
      <c r="V535" s="49"/>
      <c r="W535" s="41" t="s">
        <v>618</v>
      </c>
      <c r="X535" s="46">
        <f t="shared" si="5"/>
        <v>45607.32252</v>
      </c>
      <c r="Y535" s="50" t="s">
        <v>482</v>
      </c>
      <c r="Z535" s="49">
        <f t="shared" si="6"/>
        <v>2</v>
      </c>
    </row>
    <row r="536" ht="22.5" customHeight="1">
      <c r="B536" s="41" t="s">
        <v>3183</v>
      </c>
      <c r="C536" s="43">
        <f t="array" ref="C536">IF(B536="","",_xlfn.XLOOKUP(B536,'Form responses 1'!$B$2:$B$2604,'Form responses 1'!$A$2:$A$2604,""))</f>
        <v>45597.55491</v>
      </c>
      <c r="D536" s="44" t="str">
        <f t="shared" si="3"/>
        <v>K/20/011124/1_45597.5549144097</v>
      </c>
      <c r="E536" s="44" t="str">
        <f t="array" ref="E536">IF(B536="","",_xlfn.XLOOKUP(B536,'Form responses 1'!$B$2:$B$2604,'Form responses 1'!$C$2:$C$2604,""))</f>
        <v>ANDRI NOVIAR/ RIDWAN</v>
      </c>
      <c r="F536" s="44" t="str">
        <f t="array" ref="F536">IF(B536="","",_xlfn.XLOOKUP(B536,'Form responses 1'!$B$2:$B$2604,'Form responses 1'!$D$2:$D$2604,""))</f>
        <v>+62 821-8254-2262</v>
      </c>
      <c r="G536" s="44" t="str">
        <f t="array" ref="G536">IF(B536="","",_xlfn.XLOOKUP(B536,'Form responses 1'!$B$2:$B$2604,'Form responses 1'!$E$2:$E$2604,""))</f>
        <v>BN JUAL BELI</v>
      </c>
      <c r="H536" s="44" t="str">
        <f t="array" ref="H536">IF(B536="","",_xlfn.XLOOKUP(B536,'Form responses 1'!$B$2:$B$2604,'Form responses 1'!$F$2:$F$2604,""))</f>
        <v>Nibel 2191/ Gunung Terang </v>
      </c>
      <c r="I536" s="44" t="str">
        <f t="array" ref="I536">IF(B536="","",_xlfn.XLOOKUP(B536,'Form responses 1'!$B$2:$B$2604,'Form responses 1'!$I$2:$I$2604,""))</f>
        <v>Gunung Terang </v>
      </c>
      <c r="J536" s="44" t="str">
        <f t="array" ref="J536">IF(B536="","",_xlfn.XLOOKUP(B536,'Form responses 1'!$B$2:$B$2604,'Form responses 1'!$G$2:$G$2604,""))</f>
        <v>Hananda</v>
      </c>
      <c r="K536" s="41" t="s">
        <v>587</v>
      </c>
      <c r="L536" s="52">
        <f t="shared" si="7"/>
        <v>45597.71019</v>
      </c>
      <c r="M536" s="47" t="s">
        <v>470</v>
      </c>
      <c r="N536" s="47" t="s">
        <v>5214</v>
      </c>
      <c r="O536" s="49"/>
      <c r="P536" s="49"/>
      <c r="Q536" s="49"/>
      <c r="R536" s="49"/>
      <c r="S536" s="49"/>
      <c r="T536" s="49"/>
      <c r="U536" s="49"/>
      <c r="V536" s="49"/>
      <c r="W536" s="41" t="s">
        <v>618</v>
      </c>
      <c r="X536" s="46">
        <f t="shared" si="5"/>
        <v>45610.60444</v>
      </c>
      <c r="Y536" s="50" t="s">
        <v>482</v>
      </c>
      <c r="Z536" s="49">
        <f t="shared" si="6"/>
        <v>2</v>
      </c>
    </row>
    <row r="537" ht="22.5" customHeight="1">
      <c r="B537" s="41" t="s">
        <v>3138</v>
      </c>
      <c r="C537" s="43">
        <f t="array" ref="C537">IF(B537="","",_xlfn.XLOOKUP(B537,'Form responses 1'!$B$2:$B$2604,'Form responses 1'!$A$2:$A$2604,""))</f>
        <v>45597.44724</v>
      </c>
      <c r="D537" s="44" t="str">
        <f t="shared" si="3"/>
        <v>K/10/011124/1_45597.4472427083</v>
      </c>
      <c r="E537" s="44" t="str">
        <f t="array" ref="E537">IF(B537="","",_xlfn.XLOOKUP(B537,'Form responses 1'!$B$2:$B$2604,'Form responses 1'!$C$2:$C$2604,""))</f>
        <v>RENI DEVITASARI/LINGGA AYU BURDANI</v>
      </c>
      <c r="F537" s="44" t="str">
        <f t="array" ref="F537">IF(B537="","",_xlfn.XLOOKUP(B537,'Form responses 1'!$B$2:$B$2604,'Form responses 1'!$D$2:$D$2604,""))</f>
        <v>0896-3360-1521</v>
      </c>
      <c r="G537" s="44" t="str">
        <f t="array" ref="G537">IF(B537="","",_xlfn.XLOOKUP(B537,'Form responses 1'!$B$2:$B$2604,'Form responses 1'!$E$2:$E$2604,""))</f>
        <v>BN JUAL BELI</v>
      </c>
      <c r="H537" s="44" t="str">
        <f t="array" ref="H537">IF(B537="","",_xlfn.XLOOKUP(B537,'Form responses 1'!$B$2:$B$2604,'Form responses 1'!$F$2:$F$2604,""))</f>
        <v>M.1915/SUKARAME BARU</v>
      </c>
      <c r="I537" s="44" t="str">
        <f t="array" ref="I537">IF(B537="","",_xlfn.XLOOKUP(B537,'Form responses 1'!$B$2:$B$2604,'Form responses 1'!$I$2:$I$2604,""))</f>
        <v>SUKARAME BARU</v>
      </c>
      <c r="J537" s="44" t="str">
        <f t="array" ref="J537">IF(B537="","",_xlfn.XLOOKUP(B537,'Form responses 1'!$B$2:$B$2604,'Form responses 1'!$G$2:$G$2604,""))</f>
        <v>Baynur</v>
      </c>
      <c r="K537" s="41" t="s">
        <v>587</v>
      </c>
      <c r="L537" s="52">
        <f t="shared" si="7"/>
        <v>45597.71021</v>
      </c>
      <c r="M537" s="47" t="s">
        <v>5214</v>
      </c>
      <c r="N537" s="49"/>
      <c r="O537" s="49"/>
      <c r="P537" s="49"/>
      <c r="Q537" s="49"/>
      <c r="R537" s="49"/>
      <c r="S537" s="49"/>
      <c r="T537" s="49"/>
      <c r="U537" s="49"/>
      <c r="V537" s="49"/>
      <c r="W537" s="41" t="s">
        <v>618</v>
      </c>
      <c r="X537" s="46">
        <f t="shared" si="5"/>
        <v>45602.39538</v>
      </c>
      <c r="Y537" s="50" t="s">
        <v>482</v>
      </c>
      <c r="Z537" s="49">
        <f t="shared" si="6"/>
        <v>1</v>
      </c>
    </row>
    <row r="538" ht="22.5" customHeight="1">
      <c r="B538" s="41" t="s">
        <v>3239</v>
      </c>
      <c r="C538" s="43">
        <f t="array" ref="C538">IF(B538="","",_xlfn.XLOOKUP(B538,'Form responses 1'!$B$2:$B$2604,'Form responses 1'!$A$2:$A$2604,""))</f>
        <v>45597.60318</v>
      </c>
      <c r="D538" s="44" t="str">
        <f t="shared" si="3"/>
        <v>K/32/011124/1_45597.6031846065</v>
      </c>
      <c r="E538" s="44" t="str">
        <f t="array" ref="E538">IF(B538="","",_xlfn.XLOOKUP(B538,'Form responses 1'!$B$2:$B$2604,'Form responses 1'!$C$2:$C$2604,""))</f>
        <v>IDA YUDIKA ESTOMIHI N/AYI RUHIYAT</v>
      </c>
      <c r="F538" s="44" t="str">
        <f t="array" ref="F538">IF(B538="","",_xlfn.XLOOKUP(B538,'Form responses 1'!$B$2:$B$2604,'Form responses 1'!$D$2:$D$2604,""))</f>
        <v>0812-7251-9799</v>
      </c>
      <c r="G538" s="44" t="str">
        <f t="array" ref="G538">IF(B538="","",_xlfn.XLOOKUP(B538,'Form responses 1'!$B$2:$B$2604,'Form responses 1'!$E$2:$E$2604,""))</f>
        <v>BN JUAL BELI</v>
      </c>
      <c r="H538" s="44" t="str">
        <f t="array" ref="H538">IF(B538="","",_xlfn.XLOOKUP(B538,'Form responses 1'!$B$2:$B$2604,'Form responses 1'!$F$2:$F$2604,""))</f>
        <v>B.1127/KEMILING PERMAI</v>
      </c>
      <c r="I538" s="44" t="str">
        <f t="array" ref="I538">IF(B538="","",_xlfn.XLOOKUP(B538,'Form responses 1'!$B$2:$B$2604,'Form responses 1'!$I$2:$I$2604,""))</f>
        <v>KEMILING PERMAI</v>
      </c>
      <c r="J538" s="44" t="str">
        <f t="array" ref="J538">IF(B538="","",_xlfn.XLOOKUP(B538,'Form responses 1'!$B$2:$B$2604,'Form responses 1'!$G$2:$G$2604,""))</f>
        <v>Baynur</v>
      </c>
      <c r="K538" s="41" t="s">
        <v>587</v>
      </c>
      <c r="L538" s="52">
        <f t="shared" si="7"/>
        <v>45597.71023</v>
      </c>
      <c r="M538" s="47" t="s">
        <v>5513</v>
      </c>
      <c r="N538" s="49"/>
      <c r="O538" s="49"/>
      <c r="P538" s="49"/>
      <c r="Q538" s="49"/>
      <c r="R538" s="49"/>
      <c r="S538" s="49"/>
      <c r="T538" s="49"/>
      <c r="U538" s="49"/>
      <c r="V538" s="49"/>
      <c r="W538" s="41" t="s">
        <v>470</v>
      </c>
      <c r="X538" s="46">
        <f t="shared" si="5"/>
        <v>45602.41128</v>
      </c>
      <c r="Y538" s="50" t="s">
        <v>482</v>
      </c>
      <c r="Z538" s="49">
        <f t="shared" si="6"/>
        <v>1</v>
      </c>
    </row>
    <row r="539" ht="22.5" customHeight="1">
      <c r="B539" s="41" t="s">
        <v>3197</v>
      </c>
      <c r="C539" s="43">
        <f t="array" ref="C539">IF(B539="","",_xlfn.XLOOKUP(B539,'Form responses 1'!$B$2:$B$2604,'Form responses 1'!$A$2:$A$2604,""))</f>
        <v>45597.57402</v>
      </c>
      <c r="D539" s="44" t="str">
        <f t="shared" si="3"/>
        <v>K/22/011124/2_45597.574015081</v>
      </c>
      <c r="E539" s="44" t="str">
        <f t="array" ref="E539">IF(B539="","",_xlfn.XLOOKUP(B539,'Form responses 1'!$B$2:$B$2604,'Form responses 1'!$C$2:$C$2604,""))</f>
        <v>DIKDO WIRATNO/ISMARINA </v>
      </c>
      <c r="F539" s="44" t="str">
        <f t="array" ref="F539">IF(B539="","",_xlfn.XLOOKUP(B539,'Form responses 1'!$B$2:$B$2604,'Form responses 1'!$D$2:$D$2604,""))</f>
        <v>0813-6761-0046</v>
      </c>
      <c r="G539" s="44" t="str">
        <f t="array" ref="G539">IF(B539="","",_xlfn.XLOOKUP(B539,'Form responses 1'!$B$2:$B$2604,'Form responses 1'!$E$2:$E$2604,""))</f>
        <v>ROYA</v>
      </c>
      <c r="H539" s="44" t="str">
        <f t="array" ref="H539">IF(B539="","",_xlfn.XLOOKUP(B539,'Form responses 1'!$B$2:$B$2604,'Form responses 1'!$F$2:$F$2604,""))</f>
        <v>M.17182/SUKARAME-SEKARANG'B.1230/SUKARAME I</v>
      </c>
      <c r="I539" s="44" t="str">
        <f t="array" ref="I539">IF(B539="","",_xlfn.XLOOKUP(B539,'Form responses 1'!$B$2:$B$2604,'Form responses 1'!$I$2:$I$2604,""))</f>
        <v>SUKARAME</v>
      </c>
      <c r="J539" s="44" t="str">
        <f t="array" ref="J539">IF(B539="","",_xlfn.XLOOKUP(B539,'Form responses 1'!$B$2:$B$2604,'Form responses 1'!$G$2:$G$2604,""))</f>
        <v>Baynur</v>
      </c>
      <c r="K539" s="41" t="s">
        <v>587</v>
      </c>
      <c r="L539" s="52">
        <f t="shared" si="7"/>
        <v>45597.71024</v>
      </c>
      <c r="M539" s="47" t="s">
        <v>470</v>
      </c>
      <c r="N539" s="47" t="s">
        <v>470</v>
      </c>
      <c r="O539" s="49"/>
      <c r="P539" s="49"/>
      <c r="Q539" s="49"/>
      <c r="R539" s="49"/>
      <c r="S539" s="49"/>
      <c r="T539" s="49"/>
      <c r="U539" s="49"/>
      <c r="V539" s="49"/>
      <c r="W539" s="41" t="s">
        <v>618</v>
      </c>
      <c r="X539" s="46">
        <f t="shared" si="5"/>
        <v>45607.35701</v>
      </c>
      <c r="Y539" s="50" t="s">
        <v>482</v>
      </c>
      <c r="Z539" s="49">
        <f t="shared" si="6"/>
        <v>2</v>
      </c>
    </row>
    <row r="540" ht="22.5" customHeight="1">
      <c r="B540" s="41" t="s">
        <v>3108</v>
      </c>
      <c r="C540" s="43">
        <f t="array" ref="C540">IF(B540="","",_xlfn.XLOOKUP(B540,'Form responses 1'!$B$2:$B$2604,'Form responses 1'!$A$2:$A$2604,""))</f>
        <v>45597.36253</v>
      </c>
      <c r="D540" s="44" t="str">
        <f t="shared" si="3"/>
        <v>K/1/45597/1_45597.3625269792</v>
      </c>
      <c r="E540" s="44" t="str">
        <f t="array" ref="E540">IF(B540="","",_xlfn.XLOOKUP(B540,'Form responses 1'!$B$2:$B$2604,'Form responses 1'!$C$2:$C$2604,""))</f>
        <v>AZHAR KOMAR/RUMAIDA </v>
      </c>
      <c r="F540" s="44" t="str">
        <f t="array" ref="F540">IF(B540="","",_xlfn.XLOOKUP(B540,'Form responses 1'!$B$2:$B$2604,'Form responses 1'!$D$2:$D$2604,""))</f>
        <v>081275389468</v>
      </c>
      <c r="G540" s="44" t="str">
        <f t="array" ref="G540">IF(B540="","",_xlfn.XLOOKUP(B540,'Form responses 1'!$B$2:$B$2604,'Form responses 1'!$E$2:$E$2604,""))</f>
        <v>HAPUS BPHTB</v>
      </c>
      <c r="H540" s="44" t="str">
        <f t="array" ref="H540">IF(B540="","",_xlfn.XLOOKUP(B540,'Form responses 1'!$B$2:$B$2604,'Form responses 1'!$F$2:$F$2604,""))</f>
        <v>M.4660/LANGKAPURA</v>
      </c>
      <c r="I540" s="44" t="str">
        <f t="array" ref="I540">IF(B540="","",_xlfn.XLOOKUP(B540,'Form responses 1'!$B$2:$B$2604,'Form responses 1'!$I$2:$I$2604,""))</f>
        <v>LANGKAPURA</v>
      </c>
      <c r="J540" s="44" t="str">
        <f t="array" ref="J540">IF(B540="","",_xlfn.XLOOKUP(B540,'Form responses 1'!$B$2:$B$2604,'Form responses 1'!$G$2:$G$2604,""))</f>
        <v>Baynur</v>
      </c>
      <c r="K540" s="41" t="s">
        <v>587</v>
      </c>
      <c r="L540" s="52">
        <f t="shared" si="7"/>
        <v>45597.71026</v>
      </c>
      <c r="M540" s="47" t="s">
        <v>5214</v>
      </c>
      <c r="N540" s="47" t="s">
        <v>5514</v>
      </c>
      <c r="O540" s="49"/>
      <c r="P540" s="49"/>
      <c r="Q540" s="49"/>
      <c r="R540" s="49"/>
      <c r="S540" s="49"/>
      <c r="T540" s="49"/>
      <c r="U540" s="49"/>
      <c r="V540" s="49"/>
      <c r="W540" s="41" t="s">
        <v>618</v>
      </c>
      <c r="X540" s="46">
        <f t="shared" si="5"/>
        <v>45604.68468</v>
      </c>
      <c r="Y540" s="50" t="s">
        <v>482</v>
      </c>
      <c r="Z540" s="49">
        <f t="shared" si="6"/>
        <v>2</v>
      </c>
    </row>
    <row r="541" ht="22.5" customHeight="1">
      <c r="B541" s="41" t="s">
        <v>3005</v>
      </c>
      <c r="C541" s="43">
        <f t="array" ref="C541">IF(B541="","",_xlfn.XLOOKUP(B541,'Form responses 1'!$B$2:$B$2604,'Form responses 1'!$A$2:$A$2604,""))</f>
        <v>45596.59088</v>
      </c>
      <c r="D541" s="44" t="str">
        <f t="shared" si="3"/>
        <v>K/40/311024/2_45596.5908824306</v>
      </c>
      <c r="E541" s="44" t="str">
        <f t="array" ref="E541">IF(B541="","",_xlfn.XLOOKUP(B541,'Form responses 1'!$B$2:$B$2604,'Form responses 1'!$C$2:$C$2604,""))</f>
        <v>NURMA/CHRISTINA ULINA</v>
      </c>
      <c r="F541" s="44" t="str">
        <f t="array" ref="F541">IF(B541="","",_xlfn.XLOOKUP(B541,'Form responses 1'!$B$2:$B$2604,'Form responses 1'!$D$2:$D$2604,""))</f>
        <v>0821-7879-5856</v>
      </c>
      <c r="G541" s="44" t="str">
        <f t="array" ref="G541">IF(B541="","",_xlfn.XLOOKUP(B541,'Form responses 1'!$B$2:$B$2604,'Form responses 1'!$E$2:$E$2604,""))</f>
        <v>BN JUAL BELI</v>
      </c>
      <c r="H541" s="44" t="str">
        <f t="array" ref="H541">IF(B541="","",_xlfn.XLOOKUP(B541,'Form responses 1'!$B$2:$B$2604,'Form responses 1'!$F$2:$F$2604,""))</f>
        <v>M.1183/PERUMNAS WAY KANDIS</v>
      </c>
      <c r="I541" s="44" t="str">
        <f t="array" ref="I541">IF(B541="","",_xlfn.XLOOKUP(B541,'Form responses 1'!$B$2:$B$2604,'Form responses 1'!$I$2:$I$2604,""))</f>
        <v>PERUMNAS WAY KANDIS</v>
      </c>
      <c r="J541" s="44" t="str">
        <f t="array" ref="J541">IF(B541="","",_xlfn.XLOOKUP(B541,'Form responses 1'!$B$2:$B$2604,'Form responses 1'!$G$2:$G$2604,""))</f>
        <v>Baynur</v>
      </c>
      <c r="K541" s="41" t="s">
        <v>2875</v>
      </c>
      <c r="L541" s="52">
        <f t="shared" si="7"/>
        <v>45600.3685</v>
      </c>
      <c r="M541" s="47" t="s">
        <v>5515</v>
      </c>
      <c r="N541" s="49"/>
      <c r="O541" s="49"/>
      <c r="P541" s="49"/>
      <c r="Q541" s="49"/>
      <c r="R541" s="49"/>
      <c r="S541" s="49"/>
      <c r="T541" s="49"/>
      <c r="U541" s="49"/>
      <c r="V541" s="49"/>
      <c r="W541" s="41" t="s">
        <v>618</v>
      </c>
      <c r="X541" s="46">
        <f t="shared" si="5"/>
        <v>45602.67351</v>
      </c>
      <c r="Y541" s="50" t="s">
        <v>482</v>
      </c>
      <c r="Z541" s="49">
        <f t="shared" si="6"/>
        <v>1</v>
      </c>
    </row>
    <row r="542" ht="22.5" customHeight="1">
      <c r="B542" s="41" t="s">
        <v>2883</v>
      </c>
      <c r="C542" s="43">
        <f t="array" ref="C542">IF(B542="","",_xlfn.XLOOKUP(B542,'Form responses 1'!$B$2:$B$2604,'Form responses 1'!$A$2:$A$2604,""))</f>
        <v>45596.42228</v>
      </c>
      <c r="D542" s="44" t="str">
        <f t="shared" si="3"/>
        <v>K/7/311024/1_45596.4222806597</v>
      </c>
      <c r="E542" s="44" t="str">
        <f t="array" ref="E542">IF(B542="","",_xlfn.XLOOKUP(B542,'Form responses 1'!$B$2:$B$2604,'Form responses 1'!$C$2:$C$2604,""))</f>
        <v>LINDA ASTUTI/EDYAWATY </v>
      </c>
      <c r="F542" s="44" t="str">
        <f t="array" ref="F542">IF(B542="","",_xlfn.XLOOKUP(B542,'Form responses 1'!$B$2:$B$2604,'Form responses 1'!$D$2:$D$2604,""))</f>
        <v>081541360418</v>
      </c>
      <c r="G542" s="44" t="str">
        <f t="array" ref="G542">IF(B542="","",_xlfn.XLOOKUP(B542,'Form responses 1'!$B$2:$B$2604,'Form responses 1'!$E$2:$E$2604,""))</f>
        <v>HIBAH</v>
      </c>
      <c r="H542" s="44" t="str">
        <f t="array" ref="H542">IF(B542="","",_xlfn.XLOOKUP(B542,'Form responses 1'!$B$2:$B$2604,'Form responses 1'!$F$2:$F$2604,""))</f>
        <v>B.3378/SUKABUMI</v>
      </c>
      <c r="I542" s="44" t="str">
        <f t="array" ref="I542">IF(B542="","",_xlfn.XLOOKUP(B542,'Form responses 1'!$B$2:$B$2604,'Form responses 1'!$I$2:$I$2604,""))</f>
        <v>SUKABUMI</v>
      </c>
      <c r="J542" s="44" t="str">
        <f t="array" ref="J542">IF(B542="","",_xlfn.XLOOKUP(B542,'Form responses 1'!$B$2:$B$2604,'Form responses 1'!$G$2:$G$2604,""))</f>
        <v>Baynur</v>
      </c>
      <c r="K542" s="41" t="s">
        <v>2875</v>
      </c>
      <c r="L542" s="52">
        <f t="shared" si="7"/>
        <v>45600.3697</v>
      </c>
      <c r="M542" s="47" t="s">
        <v>5516</v>
      </c>
      <c r="N542" s="49"/>
      <c r="O542" s="49"/>
      <c r="P542" s="49"/>
      <c r="Q542" s="49"/>
      <c r="R542" s="49"/>
      <c r="S542" s="49"/>
      <c r="T542" s="49"/>
      <c r="U542" s="49"/>
      <c r="V542" s="49"/>
      <c r="W542" s="41" t="s">
        <v>618</v>
      </c>
      <c r="X542" s="46">
        <f t="shared" si="5"/>
        <v>45603.63526</v>
      </c>
      <c r="Y542" s="50" t="s">
        <v>482</v>
      </c>
      <c r="Z542" s="49">
        <f t="shared" si="6"/>
        <v>1</v>
      </c>
    </row>
    <row r="543" ht="22.5" customHeight="1">
      <c r="B543" s="41" t="s">
        <v>2984</v>
      </c>
      <c r="C543" s="43">
        <f t="array" ref="C543">IF(B543="","",_xlfn.XLOOKUP(B543,'Form responses 1'!$B$2:$B$2604,'Form responses 1'!$A$2:$A$2604,""))</f>
        <v>45596.57595</v>
      </c>
      <c r="D543" s="44" t="str">
        <f t="shared" si="3"/>
        <v>K/35/311024/1_45596.5759493866</v>
      </c>
      <c r="E543" s="44" t="str">
        <f t="array" ref="E543">IF(B543="","",_xlfn.XLOOKUP(B543,'Form responses 1'!$B$2:$B$2604,'Form responses 1'!$C$2:$C$2604,""))</f>
        <v>M. Arief S/ Maulia A P</v>
      </c>
      <c r="F543" s="44" t="str">
        <f t="array" ref="F543">IF(B543="","",_xlfn.XLOOKUP(B543,'Form responses 1'!$B$2:$B$2604,'Form responses 1'!$D$2:$D$2604,""))</f>
        <v>+62 853-5788-8886</v>
      </c>
      <c r="G543" s="44" t="str">
        <f t="array" ref="G543">IF(B543="","",_xlfn.XLOOKUP(B543,'Form responses 1'!$B$2:$B$2604,'Form responses 1'!$E$2:$E$2604,""))</f>
        <v>BN Jual Beli</v>
      </c>
      <c r="H543" s="44" t="str">
        <f t="array" ref="H543">IF(B543="","",_xlfn.XLOOKUP(B543,'Form responses 1'!$B$2:$B$2604,'Form responses 1'!$F$2:$F$2604,""))</f>
        <v>M. 16570/ Sukabumi</v>
      </c>
      <c r="I543" s="44" t="str">
        <f t="array" ref="I543">IF(B543="","",_xlfn.XLOOKUP(B543,'Form responses 1'!$B$2:$B$2604,'Form responses 1'!$I$2:$I$2604,""))</f>
        <v>Sukabumi</v>
      </c>
      <c r="J543" s="44" t="str">
        <f t="array" ref="J543">IF(B543="","",_xlfn.XLOOKUP(B543,'Form responses 1'!$B$2:$B$2604,'Form responses 1'!$G$2:$G$2604,""))</f>
        <v>Rapita</v>
      </c>
      <c r="K543" s="41" t="s">
        <v>2875</v>
      </c>
      <c r="L543" s="52">
        <f t="shared" si="7"/>
        <v>45600.37052</v>
      </c>
      <c r="M543" s="47" t="s">
        <v>5517</v>
      </c>
      <c r="N543" s="49"/>
      <c r="O543" s="49"/>
      <c r="P543" s="49"/>
      <c r="Q543" s="49"/>
      <c r="R543" s="49"/>
      <c r="S543" s="49"/>
      <c r="T543" s="49"/>
      <c r="U543" s="49"/>
      <c r="V543" s="49"/>
      <c r="W543" s="41" t="s">
        <v>618</v>
      </c>
      <c r="X543" s="46">
        <f t="shared" si="5"/>
        <v>45603.65051</v>
      </c>
      <c r="Y543" s="50" t="s">
        <v>482</v>
      </c>
      <c r="Z543" s="49">
        <f t="shared" si="6"/>
        <v>1</v>
      </c>
    </row>
    <row r="544" ht="22.5" customHeight="1">
      <c r="B544" s="41" t="s">
        <v>2980</v>
      </c>
      <c r="C544" s="43">
        <f t="array" ref="C544">IF(B544="","",_xlfn.XLOOKUP(B544,'Form responses 1'!$B$2:$B$2604,'Form responses 1'!$A$2:$A$2604,""))</f>
        <v>45596.57358</v>
      </c>
      <c r="D544" s="44" t="str">
        <f t="shared" si="3"/>
        <v>K/30/311024/2_45596.5735827199</v>
      </c>
      <c r="E544" s="44" t="str">
        <f t="array" ref="E544">IF(B544="","",_xlfn.XLOOKUP(B544,'Form responses 1'!$B$2:$B$2604,'Form responses 1'!$C$2:$C$2604,""))</f>
        <v>NANIK MARYANI</v>
      </c>
      <c r="F544" s="44" t="str">
        <f t="array" ref="F544">IF(B544="","",_xlfn.XLOOKUP(B544,'Form responses 1'!$B$2:$B$2604,'Form responses 1'!$D$2:$D$2604,""))</f>
        <v>083178501348</v>
      </c>
      <c r="G544" s="44" t="str">
        <f t="array" ref="G544">IF(B544="","",_xlfn.XLOOKUP(B544,'Form responses 1'!$B$2:$B$2604,'Form responses 1'!$E$2:$E$2604,""))</f>
        <v>BN JUAL BELI</v>
      </c>
      <c r="H544" s="44" t="str">
        <f t="array" ref="H544">IF(B544="","",_xlfn.XLOOKUP(B544,'Form responses 1'!$B$2:$B$2604,'Form responses 1'!$F$2:$F$2604,""))</f>
        <v>M. 520/ Gunung Agung</v>
      </c>
      <c r="I544" s="44" t="str">
        <f t="array" ref="I544">IF(B544="","",_xlfn.XLOOKUP(B544,'Form responses 1'!$B$2:$B$2604,'Form responses 1'!$I$2:$I$2604,""))</f>
        <v> Gunung Agung</v>
      </c>
      <c r="J544" s="44" t="str">
        <f t="array" ref="J544">IF(B544="","",_xlfn.XLOOKUP(B544,'Form responses 1'!$B$2:$B$2604,'Form responses 1'!$G$2:$G$2604,""))</f>
        <v>Hananda</v>
      </c>
      <c r="K544" s="41" t="s">
        <v>2875</v>
      </c>
      <c r="L544" s="52">
        <f t="shared" si="7"/>
        <v>45600.37172</v>
      </c>
      <c r="M544" s="49"/>
      <c r="N544" s="49"/>
      <c r="O544" s="49"/>
      <c r="P544" s="49"/>
      <c r="Q544" s="49"/>
      <c r="R544" s="49"/>
      <c r="S544" s="49"/>
      <c r="T544" s="49"/>
      <c r="U544" s="49"/>
      <c r="V544" s="49"/>
      <c r="W544" s="41" t="s">
        <v>618</v>
      </c>
      <c r="X544" s="46">
        <f t="shared" si="5"/>
        <v>45600.37176</v>
      </c>
      <c r="Y544" s="50" t="s">
        <v>482</v>
      </c>
      <c r="Z544" s="49">
        <f t="shared" si="6"/>
        <v>0</v>
      </c>
    </row>
    <row r="545" ht="22.5" customHeight="1">
      <c r="B545" s="41" t="s">
        <v>2922</v>
      </c>
      <c r="C545" s="43">
        <f t="array" ref="C545">IF(B545="","",_xlfn.XLOOKUP(B545,'Form responses 1'!$B$2:$B$2604,'Form responses 1'!$A$2:$A$2604,""))</f>
        <v>45596.46877</v>
      </c>
      <c r="D545" s="44" t="str">
        <f t="shared" si="3"/>
        <v>L/18/311024/1_45596.4687738657</v>
      </c>
      <c r="E545" s="44" t="str">
        <f t="array" ref="E545">IF(B545="","",_xlfn.XLOOKUP(B545,'Form responses 1'!$B$2:$B$2604,'Form responses 1'!$C$2:$C$2604,""))</f>
        <v>ERNAWATY SILVYA</v>
      </c>
      <c r="F545" s="44" t="str">
        <f t="array" ref="F545">IF(B545="","",_xlfn.XLOOKUP(B545,'Form responses 1'!$B$2:$B$2604,'Form responses 1'!$D$2:$D$2604,""))</f>
        <v>081279766197</v>
      </c>
      <c r="G545" s="44" t="str">
        <f t="array" ref="G545">IF(B545="","",_xlfn.XLOOKUP(B545,'Form responses 1'!$B$2:$B$2604,'Form responses 1'!$E$2:$E$2604,""))</f>
        <v>ROYA</v>
      </c>
      <c r="H545" s="44" t="str">
        <f t="array" ref="H545">IF(B545="","",_xlfn.XLOOKUP(B545,'Form responses 1'!$B$2:$B$2604,'Form responses 1'!$F$2:$F$2604,""))</f>
        <v>HM 1915/GUNUNG TERANG</v>
      </c>
      <c r="I545" s="44" t="str">
        <f t="array" ref="I545">IF(B545="","",_xlfn.XLOOKUP(B545,'Form responses 1'!$B$2:$B$2604,'Form responses 1'!$I$2:$I$2604,""))</f>
        <v>GUNUNG TERANG</v>
      </c>
      <c r="J545" s="44" t="str">
        <f t="array" ref="J545">IF(B545="","",_xlfn.XLOOKUP(B545,'Form responses 1'!$B$2:$B$2604,'Form responses 1'!$G$2:$G$2604,""))</f>
        <v>Deby</v>
      </c>
      <c r="K545" s="41" t="s">
        <v>2875</v>
      </c>
      <c r="L545" s="52">
        <f t="shared" si="7"/>
        <v>45600.37245</v>
      </c>
      <c r="M545" s="47" t="s">
        <v>5313</v>
      </c>
      <c r="N545" s="49"/>
      <c r="O545" s="49"/>
      <c r="P545" s="49"/>
      <c r="Q545" s="49"/>
      <c r="R545" s="49"/>
      <c r="S545" s="49"/>
      <c r="T545" s="49"/>
      <c r="U545" s="49"/>
      <c r="V545" s="49"/>
      <c r="W545" s="41" t="s">
        <v>618</v>
      </c>
      <c r="X545" s="46">
        <f t="shared" si="5"/>
        <v>45600.3725</v>
      </c>
      <c r="Y545" s="50" t="s">
        <v>482</v>
      </c>
      <c r="Z545" s="49">
        <f t="shared" si="6"/>
        <v>1</v>
      </c>
    </row>
    <row r="546" ht="22.5" customHeight="1">
      <c r="B546" s="41" t="s">
        <v>3051</v>
      </c>
      <c r="C546" s="43">
        <f t="array" ref="C546">IF(B546="","",_xlfn.XLOOKUP(B546,'Form responses 1'!$B$2:$B$2604,'Form responses 1'!$A$2:$A$2604,""))</f>
        <v>45596.61395</v>
      </c>
      <c r="D546" s="44" t="str">
        <f t="shared" si="3"/>
        <v>K/52/311024/1_45596.6139476042</v>
      </c>
      <c r="E546" s="44" t="str">
        <f t="array" ref="E546">IF(B546="","",_xlfn.XLOOKUP(B546,'Form responses 1'!$B$2:$B$2604,'Form responses 1'!$C$2:$C$2604,""))</f>
        <v>RAHMADIYANTI</v>
      </c>
      <c r="F546" s="44" t="str">
        <f t="array" ref="F546">IF(B546="","",_xlfn.XLOOKUP(B546,'Form responses 1'!$B$2:$B$2604,'Form responses 1'!$D$2:$D$2604,""))</f>
        <v>+62 821-8209-0051</v>
      </c>
      <c r="G546" s="44" t="str">
        <f t="array" ref="G546">IF(B546="","",_xlfn.XLOOKUP(B546,'Form responses 1'!$B$2:$B$2604,'Form responses 1'!$E$2:$E$2604,""))</f>
        <v>PERUBAHAN HAK</v>
      </c>
      <c r="H546" s="44" t="str">
        <f t="array" ref="H546">IF(B546="","",_xlfn.XLOOKUP(B546,'Form responses 1'!$B$2:$B$2604,'Form responses 1'!$F$2:$F$2604,""))</f>
        <v>NIBEL 2355/ SUKABUMI</v>
      </c>
      <c r="I546" s="44" t="str">
        <f t="array" ref="I546">IF(B546="","",_xlfn.XLOOKUP(B546,'Form responses 1'!$B$2:$B$2604,'Form responses 1'!$I$2:$I$2604,""))</f>
        <v> SUKABUMI</v>
      </c>
      <c r="J546" s="44" t="str">
        <f t="array" ref="J546">IF(B546="","",_xlfn.XLOOKUP(B546,'Form responses 1'!$B$2:$B$2604,'Form responses 1'!$G$2:$G$2604,""))</f>
        <v>Hananda</v>
      </c>
      <c r="K546" s="41" t="s">
        <v>2875</v>
      </c>
      <c r="L546" s="52">
        <f t="shared" si="7"/>
        <v>45600.37344</v>
      </c>
      <c r="M546" s="49"/>
      <c r="N546" s="49"/>
      <c r="O546" s="49"/>
      <c r="P546" s="49"/>
      <c r="Q546" s="49"/>
      <c r="R546" s="49"/>
      <c r="S546" s="49"/>
      <c r="T546" s="49"/>
      <c r="U546" s="49"/>
      <c r="V546" s="49"/>
      <c r="W546" s="41" t="s">
        <v>618</v>
      </c>
      <c r="X546" s="46">
        <f t="shared" si="5"/>
        <v>45600.37348</v>
      </c>
      <c r="Y546" s="50" t="s">
        <v>482</v>
      </c>
      <c r="Z546" s="49">
        <f t="shared" si="6"/>
        <v>0</v>
      </c>
    </row>
    <row r="547" ht="22.5" customHeight="1">
      <c r="B547" s="41" t="s">
        <v>3083</v>
      </c>
      <c r="C547" s="43">
        <f t="array" ref="C547">IF(B547="","",_xlfn.XLOOKUP(B547,'Form responses 1'!$B$2:$B$2604,'Form responses 1'!$A$2:$A$2604,""))</f>
        <v>45596.6273</v>
      </c>
      <c r="D547" s="44" t="str">
        <f t="shared" si="3"/>
        <v>K/62/311024/3_45596.6273005093</v>
      </c>
      <c r="E547" s="44" t="str">
        <f t="array" ref="E547">IF(B547="","",_xlfn.XLOOKUP(B547,'Form responses 1'!$B$2:$B$2604,'Form responses 1'!$C$2:$C$2604,""))</f>
        <v>endang aprilia/ billy</v>
      </c>
      <c r="F547" s="44" t="str">
        <f t="array" ref="F547">IF(B547="","",_xlfn.XLOOKUP(B547,'Form responses 1'!$B$2:$B$2604,'Form responses 1'!$D$2:$D$2604,""))</f>
        <v>082177803999</v>
      </c>
      <c r="G547" s="44" t="str">
        <f t="array" ref="G547">IF(B547="","",_xlfn.XLOOKUP(B547,'Form responses 1'!$B$2:$B$2604,'Form responses 1'!$E$2:$E$2604,""))</f>
        <v>bn jual beli</v>
      </c>
      <c r="H547" s="44" t="str">
        <f t="array" ref="H547">IF(B547="","",_xlfn.XLOOKUP(B547,'Form responses 1'!$B$2:$B$2604,'Form responses 1'!$F$2:$F$2604,""))</f>
        <v>B. 578/ Sumber Agung</v>
      </c>
      <c r="I547" s="44" t="str">
        <f t="array" ref="I547">IF(B547="","",_xlfn.XLOOKUP(B547,'Form responses 1'!$B$2:$B$2604,'Form responses 1'!$I$2:$I$2604,""))</f>
        <v>Sumber Agung</v>
      </c>
      <c r="J547" s="44" t="str">
        <f t="array" ref="J547">IF(B547="","",_xlfn.XLOOKUP(B547,'Form responses 1'!$B$2:$B$2604,'Form responses 1'!$G$2:$G$2604,""))</f>
        <v>Hananda</v>
      </c>
      <c r="K547" s="41" t="s">
        <v>2875</v>
      </c>
      <c r="L547" s="52">
        <f t="shared" si="7"/>
        <v>45600.38072</v>
      </c>
      <c r="M547" s="47" t="s">
        <v>5518</v>
      </c>
      <c r="N547" s="49"/>
      <c r="O547" s="49"/>
      <c r="P547" s="49"/>
      <c r="Q547" s="49"/>
      <c r="R547" s="49"/>
      <c r="S547" s="49"/>
      <c r="T547" s="49"/>
      <c r="U547" s="49"/>
      <c r="V547" s="49"/>
      <c r="W547" s="41" t="s">
        <v>618</v>
      </c>
      <c r="X547" s="46">
        <f t="shared" si="5"/>
        <v>45607.41772</v>
      </c>
      <c r="Y547" s="50" t="s">
        <v>482</v>
      </c>
      <c r="Z547" s="49">
        <f t="shared" si="6"/>
        <v>1</v>
      </c>
    </row>
    <row r="548" ht="22.5" customHeight="1">
      <c r="B548" s="41" t="s">
        <v>3260</v>
      </c>
      <c r="C548" s="43">
        <f t="array" ref="C548">IF(B548="","",_xlfn.XLOOKUP(B548,'Form responses 1'!$B$2:$B$2604,'Form responses 1'!$A$2:$A$2604,""))</f>
        <v>45597.62399</v>
      </c>
      <c r="D548" s="44" t="str">
        <f t="shared" si="3"/>
        <v>K/37/011124/1_45597.623992581</v>
      </c>
      <c r="E548" s="44" t="str">
        <f t="array" ref="E548">IF(B548="","",_xlfn.XLOOKUP(B548,'Form responses 1'!$B$2:$B$2604,'Form responses 1'!$C$2:$C$2604,""))</f>
        <v>Reflan R/ Andy Suherman</v>
      </c>
      <c r="F548" s="44" t="str">
        <f t="array" ref="F548">IF(B548="","",_xlfn.XLOOKUP(B548,'Form responses 1'!$B$2:$B$2604,'Form responses 1'!$D$2:$D$2604,""))</f>
        <v>+62 822-6948-0192</v>
      </c>
      <c r="G548" s="44" t="str">
        <f t="array" ref="G548">IF(B548="","",_xlfn.XLOOKUP(B548,'Form responses 1'!$B$2:$B$2604,'Form responses 1'!$E$2:$E$2604,""))</f>
        <v>BN PHB</v>
      </c>
      <c r="H548" s="44" t="str">
        <f t="array" ref="H548">IF(B548="","",_xlfn.XLOOKUP(B548,'Form responses 1'!$B$2:$B$2604,'Form responses 1'!$F$2:$F$2604,""))</f>
        <v>M. 429/ Gedong Pakuon</v>
      </c>
      <c r="I548" s="44" t="str">
        <f t="array" ref="I548">IF(B548="","",_xlfn.XLOOKUP(B548,'Form responses 1'!$B$2:$B$2604,'Form responses 1'!$I$2:$I$2604,""))</f>
        <v>Gedong Pakuon</v>
      </c>
      <c r="J548" s="44" t="str">
        <f t="array" ref="J548">IF(B548="","",_xlfn.XLOOKUP(B548,'Form responses 1'!$B$2:$B$2604,'Form responses 1'!$G$2:$G$2604,""))</f>
        <v>Rapita</v>
      </c>
      <c r="K548" s="41" t="s">
        <v>2875</v>
      </c>
      <c r="L548" s="52">
        <f t="shared" si="7"/>
        <v>45600.38969</v>
      </c>
      <c r="M548" s="47" t="s">
        <v>5519</v>
      </c>
      <c r="N548" s="47" t="s">
        <v>5520</v>
      </c>
      <c r="O548" s="49"/>
      <c r="P548" s="49"/>
      <c r="Q548" s="49"/>
      <c r="R548" s="49"/>
      <c r="S548" s="49"/>
      <c r="T548" s="49"/>
      <c r="U548" s="49"/>
      <c r="V548" s="49"/>
      <c r="W548" s="41" t="s">
        <v>618</v>
      </c>
      <c r="X548" s="46">
        <f t="shared" si="5"/>
        <v>45607.41283</v>
      </c>
      <c r="Y548" s="50" t="s">
        <v>482</v>
      </c>
      <c r="Z548" s="49">
        <f t="shared" si="6"/>
        <v>2</v>
      </c>
    </row>
    <row r="549" ht="22.5" customHeight="1">
      <c r="B549" s="41" t="s">
        <v>3180</v>
      </c>
      <c r="C549" s="43">
        <f t="array" ref="C549">IF(B549="","",_xlfn.XLOOKUP(B549,'Form responses 1'!$B$2:$B$2604,'Form responses 1'!$A$2:$A$2604,""))</f>
        <v>45597.52651</v>
      </c>
      <c r="D549" s="44" t="str">
        <f t="shared" si="3"/>
        <v>K/19/011124/2_45597.5265081829</v>
      </c>
      <c r="E549" s="44" t="str">
        <f t="array" ref="E549">IF(B549="","",_xlfn.XLOOKUP(B549,'Form responses 1'!$B$2:$B$2604,'Form responses 1'!$C$2:$C$2604,""))</f>
        <v>INGGIT PUTRIA MARGA/PANARY SITOPU</v>
      </c>
      <c r="F549" s="44" t="str">
        <f t="array" ref="F549">IF(B549="","",_xlfn.XLOOKUP(B549,'Form responses 1'!$B$2:$B$2604,'Form responses 1'!$D$2:$D$2604,""))</f>
        <v>0889-2977-399</v>
      </c>
      <c r="G549" s="44" t="str">
        <f t="array" ref="G549">IF(B549="","",_xlfn.XLOOKUP(B549,'Form responses 1'!$B$2:$B$2604,'Form responses 1'!$E$2:$E$2604,""))</f>
        <v>BN JUAL BELI</v>
      </c>
      <c r="H549" s="44" t="str">
        <f t="array" ref="H549">IF(B549="","",_xlfn.XLOOKUP(B549,'Form responses 1'!$B$2:$B$2604,'Form responses 1'!$F$2:$F$2604,""))</f>
        <v>B.752/SUMUR PUTRI</v>
      </c>
      <c r="I549" s="44" t="str">
        <f t="array" ref="I549">IF(B549="","",_xlfn.XLOOKUP(B549,'Form responses 1'!$B$2:$B$2604,'Form responses 1'!$I$2:$I$2604,""))</f>
        <v>SUMUR PUTRI</v>
      </c>
      <c r="J549" s="44" t="str">
        <f t="array" ref="J549">IF(B549="","",_xlfn.XLOOKUP(B549,'Form responses 1'!$B$2:$B$2604,'Form responses 1'!$G$2:$G$2604,""))</f>
        <v>Baynur</v>
      </c>
      <c r="K549" s="41" t="s">
        <v>2875</v>
      </c>
      <c r="L549" s="52">
        <f t="shared" si="7"/>
        <v>45600.39177</v>
      </c>
      <c r="M549" s="47" t="s">
        <v>5521</v>
      </c>
      <c r="N549" s="49"/>
      <c r="O549" s="49"/>
      <c r="P549" s="49"/>
      <c r="Q549" s="49"/>
      <c r="R549" s="49"/>
      <c r="S549" s="49"/>
      <c r="T549" s="49"/>
      <c r="U549" s="49"/>
      <c r="V549" s="49"/>
      <c r="W549" s="41" t="s">
        <v>618</v>
      </c>
      <c r="X549" s="46">
        <f t="shared" si="5"/>
        <v>45607.41999</v>
      </c>
      <c r="Y549" s="50" t="s">
        <v>482</v>
      </c>
      <c r="Z549" s="49">
        <f t="shared" si="6"/>
        <v>1</v>
      </c>
    </row>
    <row r="550" ht="22.5" customHeight="1">
      <c r="B550" s="41" t="s">
        <v>3128</v>
      </c>
      <c r="C550" s="43">
        <f t="array" ref="C550">IF(B550="","",_xlfn.XLOOKUP(B550,'Form responses 1'!$B$2:$B$2604,'Form responses 1'!$A$2:$A$2604,""))</f>
        <v>45597.43462</v>
      </c>
      <c r="D550" s="44" t="str">
        <f t="shared" si="3"/>
        <v>K/6/11124/1_45597.4346192824</v>
      </c>
      <c r="E550" s="44" t="str">
        <f t="array" ref="E550">IF(B550="","",_xlfn.XLOOKUP(B550,'Form responses 1'!$B$2:$B$2604,'Form responses 1'!$C$2:$C$2604,""))</f>
        <v>RAHMADIYANTI/ AGRI</v>
      </c>
      <c r="F550" s="44" t="str">
        <f t="array" ref="F550">IF(B550="","",_xlfn.XLOOKUP(B550,'Form responses 1'!$B$2:$B$2604,'Form responses 1'!$D$2:$D$2604,""))</f>
        <v>082182090051</v>
      </c>
      <c r="G550" s="44" t="str">
        <f t="array" ref="G550">IF(B550="","",_xlfn.XLOOKUP(B550,'Form responses 1'!$B$2:$B$2604,'Form responses 1'!$E$2:$E$2604,""))</f>
        <v>BN JUAL BELI</v>
      </c>
      <c r="H550" s="44" t="str">
        <f t="array" ref="H550">IF(B550="","",_xlfn.XLOOKUP(B550,'Form responses 1'!$B$2:$B$2604,'Form responses 1'!$F$2:$F$2604,""))</f>
        <v>M. 6570/ TANJUNG SENANG</v>
      </c>
      <c r="I550" s="44" t="str">
        <f t="array" ref="I550">IF(B550="","",_xlfn.XLOOKUP(B550,'Form responses 1'!$B$2:$B$2604,'Form responses 1'!$I$2:$I$2604,""))</f>
        <v>TANJUNG SENANG</v>
      </c>
      <c r="J550" s="44" t="str">
        <f t="array" ref="J550">IF(B550="","",_xlfn.XLOOKUP(B550,'Form responses 1'!$B$2:$B$2604,'Form responses 1'!$G$2:$G$2604,""))</f>
        <v>Hananda</v>
      </c>
      <c r="K550" s="41" t="s">
        <v>2875</v>
      </c>
      <c r="L550" s="52">
        <f t="shared" si="7"/>
        <v>45600.39179</v>
      </c>
      <c r="M550" s="47" t="s">
        <v>5522</v>
      </c>
      <c r="N550" s="49"/>
      <c r="O550" s="49"/>
      <c r="P550" s="49"/>
      <c r="Q550" s="49"/>
      <c r="R550" s="49"/>
      <c r="S550" s="49"/>
      <c r="T550" s="49"/>
      <c r="U550" s="49"/>
      <c r="V550" s="49"/>
      <c r="W550" s="41" t="s">
        <v>618</v>
      </c>
      <c r="X550" s="46">
        <f t="shared" si="5"/>
        <v>45607.41822</v>
      </c>
      <c r="Y550" s="50" t="s">
        <v>482</v>
      </c>
      <c r="Z550" s="49">
        <f t="shared" si="6"/>
        <v>1</v>
      </c>
    </row>
    <row r="551" ht="22.5" customHeight="1">
      <c r="B551" s="41" t="s">
        <v>3242</v>
      </c>
      <c r="C551" s="43">
        <f t="array" ref="C551">IF(B551="","",_xlfn.XLOOKUP(B551,'Form responses 1'!$B$2:$B$2604,'Form responses 1'!$A$2:$A$2604,""))</f>
        <v>45597.61062</v>
      </c>
      <c r="D551" s="44" t="str">
        <f t="shared" si="3"/>
        <v>K/33/011124/1_45597.6106236458</v>
      </c>
      <c r="E551" s="44" t="str">
        <f t="array" ref="E551">IF(B551="","",_xlfn.XLOOKUP(B551,'Form responses 1'!$B$2:$B$2604,'Form responses 1'!$C$2:$C$2604,""))</f>
        <v>RIZKI PARLIANSYAH/DZAKY AGUSTHOMI</v>
      </c>
      <c r="F551" s="44" t="str">
        <f t="array" ref="F551">IF(B551="","",_xlfn.XLOOKUP(B551,'Form responses 1'!$B$2:$B$2604,'Form responses 1'!$D$2:$D$2604,""))</f>
        <v>082250816900</v>
      </c>
      <c r="G551" s="44" t="str">
        <f t="array" ref="G551">IF(B551="","",_xlfn.XLOOKUP(B551,'Form responses 1'!$B$2:$B$2604,'Form responses 1'!$E$2:$E$2604,""))</f>
        <v>BN JUAL BELI</v>
      </c>
      <c r="H551" s="44" t="str">
        <f t="array" ref="H551">IF(B551="","",_xlfn.XLOOKUP(B551,'Form responses 1'!$B$2:$B$2604,'Form responses 1'!$F$2:$F$2604,""))</f>
        <v>M.16627/SUKABUMI</v>
      </c>
      <c r="I551" s="44" t="str">
        <f t="array" ref="I551">IF(B551="","",_xlfn.XLOOKUP(B551,'Form responses 1'!$B$2:$B$2604,'Form responses 1'!$I$2:$I$2604,""))</f>
        <v>SUKABUMI</v>
      </c>
      <c r="J551" s="44" t="str">
        <f t="array" ref="J551">IF(B551="","",_xlfn.XLOOKUP(B551,'Form responses 1'!$B$2:$B$2604,'Form responses 1'!$G$2:$G$2604,""))</f>
        <v>Baynur</v>
      </c>
      <c r="K551" s="41" t="s">
        <v>2875</v>
      </c>
      <c r="L551" s="52">
        <f t="shared" si="7"/>
        <v>45600.39181</v>
      </c>
      <c r="M551" s="49"/>
      <c r="N551" s="49"/>
      <c r="O551" s="49"/>
      <c r="P551" s="49"/>
      <c r="Q551" s="49"/>
      <c r="R551" s="49"/>
      <c r="S551" s="49"/>
      <c r="T551" s="49"/>
      <c r="U551" s="49"/>
      <c r="V551" s="49"/>
      <c r="W551" s="41" t="s">
        <v>618</v>
      </c>
      <c r="X551" s="46">
        <f t="shared" si="5"/>
        <v>45601.63579</v>
      </c>
      <c r="Y551" s="50" t="s">
        <v>482</v>
      </c>
      <c r="Z551" s="49">
        <f t="shared" si="6"/>
        <v>0</v>
      </c>
    </row>
    <row r="552" ht="22.5" customHeight="1">
      <c r="B552" s="41" t="s">
        <v>1338</v>
      </c>
      <c r="C552" s="43">
        <f t="array" ref="C552">IF(B552="","",_xlfn.XLOOKUP(B552,'Form responses 1'!$B$2:$B$2604,'Form responses 1'!$A$2:$A$2604,""))</f>
        <v>45597.58683</v>
      </c>
      <c r="D552" s="44" t="str">
        <f t="shared" si="3"/>
        <v>K/25/011124/2_45597.5868289815</v>
      </c>
      <c r="E552" s="44" t="str">
        <f t="array" ref="E552">IF(B552="","",_xlfn.XLOOKUP(B552,'Form responses 1'!$B$2:$B$2604,'Form responses 1'!$C$2:$C$2604,""))</f>
        <v>I GUSTI NGURAH BIANTARA/NINA HANDAYANI</v>
      </c>
      <c r="F552" s="44" t="str">
        <f t="array" ref="F552">IF(B552="","",_xlfn.XLOOKUP(B552,'Form responses 1'!$B$2:$B$2604,'Form responses 1'!$D$2:$D$2604,""))</f>
        <v>081279010099</v>
      </c>
      <c r="G552" s="44" t="str">
        <f t="array" ref="G552">IF(B552="","",_xlfn.XLOOKUP(B552,'Form responses 1'!$B$2:$B$2604,'Form responses 1'!$E$2:$E$2604,""))</f>
        <v>PTPGT</v>
      </c>
      <c r="H552" s="44" t="str">
        <f t="array" ref="H552">IF(B552="","",_xlfn.XLOOKUP(B552,'Form responses 1'!$B$2:$B$2604,'Form responses 1'!$F$2:$F$2604,""))</f>
        <v>NIBEL M 1953/LABUHAN DALAM</v>
      </c>
      <c r="I552" s="44" t="str">
        <f t="array" ref="I552">IF(B552="","",_xlfn.XLOOKUP(B552,'Form responses 1'!$B$2:$B$2604,'Form responses 1'!$I$2:$I$2604,""))</f>
        <v>LABUHAN DALAM</v>
      </c>
      <c r="J552" s="44" t="str">
        <f t="array" ref="J552">IF(B552="","",_xlfn.XLOOKUP(B552,'Form responses 1'!$B$2:$B$2604,'Form responses 1'!$G$2:$G$2604,""))</f>
        <v>Baynur</v>
      </c>
      <c r="K552" s="41" t="s">
        <v>2875</v>
      </c>
      <c r="L552" s="52">
        <f t="shared" si="7"/>
        <v>45600.39183</v>
      </c>
      <c r="M552" s="47" t="s">
        <v>5523</v>
      </c>
      <c r="N552" s="49"/>
      <c r="O552" s="49"/>
      <c r="P552" s="49"/>
      <c r="Q552" s="49"/>
      <c r="R552" s="49"/>
      <c r="S552" s="49"/>
      <c r="T552" s="49"/>
      <c r="U552" s="49"/>
      <c r="V552" s="49"/>
      <c r="W552" s="41" t="s">
        <v>618</v>
      </c>
      <c r="X552" s="46">
        <f t="shared" si="5"/>
        <v>45602.67493</v>
      </c>
      <c r="Y552" s="50" t="s">
        <v>482</v>
      </c>
      <c r="Z552" s="49">
        <f t="shared" si="6"/>
        <v>1</v>
      </c>
    </row>
    <row r="553" ht="22.5" customHeight="1">
      <c r="B553" s="41" t="s">
        <v>3112</v>
      </c>
      <c r="C553" s="43">
        <f t="array" ref="C553">IF(B553="","",_xlfn.XLOOKUP(B553,'Form responses 1'!$B$2:$B$2604,'Form responses 1'!$A$2:$A$2604,""))</f>
        <v>45597.38295</v>
      </c>
      <c r="D553" s="44" t="str">
        <f t="shared" si="3"/>
        <v>L/2/11124/1_45597.3829469329</v>
      </c>
      <c r="E553" s="44" t="str">
        <f t="array" ref="E553">IF(B553="","",_xlfn.XLOOKUP(B553,'Form responses 1'!$B$2:$B$2604,'Form responses 1'!$C$2:$C$2604,""))</f>
        <v>ADELLA WULAN SAPTIANA</v>
      </c>
      <c r="F553" s="44" t="str">
        <f t="array" ref="F553">IF(B553="","",_xlfn.XLOOKUP(B553,'Form responses 1'!$B$2:$B$2604,'Form responses 1'!$D$2:$D$2604,""))</f>
        <v>081329364753</v>
      </c>
      <c r="G553" s="44" t="str">
        <f t="array" ref="G553">IF(B553="","",_xlfn.XLOOKUP(B553,'Form responses 1'!$B$2:$B$2604,'Form responses 1'!$E$2:$E$2604,""))</f>
        <v>PERUBAHAN HAK</v>
      </c>
      <c r="H553" s="44" t="str">
        <f t="array" ref="H553">IF(B553="","",_xlfn.XLOOKUP(B553,'Form responses 1'!$B$2:$B$2604,'Form responses 1'!$F$2:$F$2604,""))</f>
        <v>HGB 403/SUKARAME BARU</v>
      </c>
      <c r="I553" s="44" t="str">
        <f t="array" ref="I553">IF(B553="","",_xlfn.XLOOKUP(B553,'Form responses 1'!$B$2:$B$2604,'Form responses 1'!$I$2:$I$2604,""))</f>
        <v>SUKARAME BARU</v>
      </c>
      <c r="J553" s="44" t="str">
        <f t="array" ref="J553">IF(B553="","",_xlfn.XLOOKUP(B553,'Form responses 1'!$B$2:$B$2604,'Form responses 1'!$G$2:$G$2604,""))</f>
        <v>Deby</v>
      </c>
      <c r="K553" s="41" t="s">
        <v>2875</v>
      </c>
      <c r="L553" s="52">
        <f t="shared" si="7"/>
        <v>45600.39185</v>
      </c>
      <c r="M553" s="49"/>
      <c r="N553" s="49"/>
      <c r="O553" s="49"/>
      <c r="P553" s="49"/>
      <c r="Q553" s="49"/>
      <c r="R553" s="49"/>
      <c r="S553" s="49"/>
      <c r="T553" s="49"/>
      <c r="U553" s="49"/>
      <c r="V553" s="49"/>
      <c r="W553" s="41" t="s">
        <v>618</v>
      </c>
      <c r="X553" s="46">
        <f t="shared" si="5"/>
        <v>45600.57862</v>
      </c>
      <c r="Y553" s="50" t="s">
        <v>482</v>
      </c>
      <c r="Z553" s="49">
        <f t="shared" si="6"/>
        <v>0</v>
      </c>
    </row>
    <row r="554" ht="22.5" customHeight="1">
      <c r="B554" s="41" t="s">
        <v>3272</v>
      </c>
      <c r="C554" s="43">
        <f t="array" ref="C554">IF(B554="","",_xlfn.XLOOKUP(B554,'Form responses 1'!$B$2:$B$2604,'Form responses 1'!$A$2:$A$2604,""))</f>
        <v>45597.62911</v>
      </c>
      <c r="D554" s="44" t="str">
        <f t="shared" si="3"/>
        <v>K/39/011124/3_45597.6291066204</v>
      </c>
      <c r="E554" s="44" t="str">
        <f t="array" ref="E554">IF(B554="","",_xlfn.XLOOKUP(B554,'Form responses 1'!$B$2:$B$2604,'Form responses 1'!$C$2:$C$2604,""))</f>
        <v>Reflan R/ Risneni</v>
      </c>
      <c r="F554" s="44" t="str">
        <f t="array" ref="F554">IF(B554="","",_xlfn.XLOOKUP(B554,'Form responses 1'!$B$2:$B$2604,'Form responses 1'!$D$2:$D$2604,""))</f>
        <v>+62 822-6948-0192</v>
      </c>
      <c r="G554" s="44" t="str">
        <f t="array" ref="G554">IF(B554="","",_xlfn.XLOOKUP(B554,'Form responses 1'!$B$2:$B$2604,'Form responses 1'!$E$2:$E$2604,""))</f>
        <v>Roya</v>
      </c>
      <c r="H554" s="44" t="str">
        <f t="array" ref="H554">IF(B554="","",_xlfn.XLOOKUP(B554,'Form responses 1'!$B$2:$B$2604,'Form responses 1'!$F$2:$F$2604,""))</f>
        <v>M. 963; 932/ Pengajaran; SHT2637/2017 dan SHT 2144/2017</v>
      </c>
      <c r="I554" s="44" t="str">
        <f t="array" ref="I554">IF(B554="","",_xlfn.XLOOKUP(B554,'Form responses 1'!$B$2:$B$2604,'Form responses 1'!$I$2:$I$2604,""))</f>
        <v>Pengajaran</v>
      </c>
      <c r="J554" s="44" t="str">
        <f t="array" ref="J554">IF(B554="","",_xlfn.XLOOKUP(B554,'Form responses 1'!$B$2:$B$2604,'Form responses 1'!$G$2:$G$2604,""))</f>
        <v>Rapita</v>
      </c>
      <c r="K554" s="41" t="s">
        <v>2421</v>
      </c>
      <c r="L554" s="52">
        <f t="shared" si="7"/>
        <v>45600.41666</v>
      </c>
      <c r="M554" s="47" t="s">
        <v>5524</v>
      </c>
      <c r="N554" s="47" t="s">
        <v>5525</v>
      </c>
      <c r="O554" s="49"/>
      <c r="P554" s="49"/>
      <c r="Q554" s="49"/>
      <c r="R554" s="49"/>
      <c r="S554" s="49"/>
      <c r="T554" s="49"/>
      <c r="U554" s="49"/>
      <c r="V554" s="49"/>
      <c r="W554" s="41" t="s">
        <v>470</v>
      </c>
      <c r="X554" s="46">
        <f t="shared" si="5"/>
        <v>45608.6351</v>
      </c>
      <c r="Y554" s="50" t="s">
        <v>482</v>
      </c>
      <c r="Z554" s="49">
        <f t="shared" si="6"/>
        <v>2</v>
      </c>
    </row>
    <row r="555" ht="22.5" customHeight="1">
      <c r="B555" s="41" t="s">
        <v>3163</v>
      </c>
      <c r="C555" s="43">
        <f t="array" ref="C555">IF(B555="","",_xlfn.XLOOKUP(B555,'Form responses 1'!$B$2:$B$2604,'Form responses 1'!$A$2:$A$2604,""))</f>
        <v>45597.47736</v>
      </c>
      <c r="D555" s="44" t="str">
        <f t="shared" si="3"/>
        <v>K/17/011124/1_45597.4773551389</v>
      </c>
      <c r="E555" s="44" t="str">
        <f t="array" ref="E555">IF(B555="","",_xlfn.XLOOKUP(B555,'Form responses 1'!$B$2:$B$2604,'Form responses 1'!$C$2:$C$2604,""))</f>
        <v>LIUS SANDI SAPUTRA/PANARY SITOPU</v>
      </c>
      <c r="F555" s="44" t="str">
        <f t="array" ref="F555">IF(B555="","",_xlfn.XLOOKUP(B555,'Form responses 1'!$B$2:$B$2604,'Form responses 1'!$D$2:$D$2604,""))</f>
        <v>0889-2977-399</v>
      </c>
      <c r="G555" s="44" t="str">
        <f t="array" ref="G555">IF(B555="","",_xlfn.XLOOKUP(B555,'Form responses 1'!$B$2:$B$2604,'Form responses 1'!$E$2:$E$2604,""))</f>
        <v>BN JUAL BELI</v>
      </c>
      <c r="H555" s="44" t="str">
        <f t="array" ref="H555">IF(B555="","",_xlfn.XLOOKUP(B555,'Form responses 1'!$B$2:$B$2604,'Form responses 1'!$F$2:$F$2604,""))</f>
        <v>M.1014/BUMI KEDAMAIAN-SEKARANG;M.12108/KEDAMAIAN-DAHULU</v>
      </c>
      <c r="I555" s="44" t="str">
        <f t="array" ref="I555">IF(B555="","",_xlfn.XLOOKUP(B555,'Form responses 1'!$B$2:$B$2604,'Form responses 1'!$I$2:$I$2604,""))</f>
        <v>BUMI KEDAMAIAN</v>
      </c>
      <c r="J555" s="44" t="str">
        <f t="array" ref="J555">IF(B555="","",_xlfn.XLOOKUP(B555,'Form responses 1'!$B$2:$B$2604,'Form responses 1'!$G$2:$G$2604,""))</f>
        <v>Baynur</v>
      </c>
      <c r="K555" s="41" t="s">
        <v>2421</v>
      </c>
      <c r="L555" s="52">
        <f t="shared" si="7"/>
        <v>45600.41669</v>
      </c>
      <c r="M555" s="47" t="s">
        <v>5526</v>
      </c>
      <c r="N555" s="49"/>
      <c r="O555" s="49"/>
      <c r="P555" s="49"/>
      <c r="Q555" s="49"/>
      <c r="R555" s="49"/>
      <c r="S555" s="49"/>
      <c r="T555" s="49"/>
      <c r="U555" s="49"/>
      <c r="V555" s="49"/>
      <c r="W555" s="41" t="s">
        <v>618</v>
      </c>
      <c r="X555" s="46">
        <f t="shared" si="5"/>
        <v>45602.45216</v>
      </c>
      <c r="Y555" s="50" t="s">
        <v>482</v>
      </c>
      <c r="Z555" s="49">
        <f t="shared" si="6"/>
        <v>1</v>
      </c>
    </row>
    <row r="556" ht="22.5" customHeight="1">
      <c r="B556" s="41" t="s">
        <v>3275</v>
      </c>
      <c r="C556" s="43">
        <f t="array" ref="C556">IF(B556="","",_xlfn.XLOOKUP(B556,'Form responses 1'!$B$2:$B$2604,'Form responses 1'!$A$2:$A$2604,""))</f>
        <v>45597.63251</v>
      </c>
      <c r="D556" s="44" t="str">
        <f t="shared" si="3"/>
        <v>K/40/011124/1_45597.6325065278</v>
      </c>
      <c r="E556" s="44" t="str">
        <f t="array" ref="E556">IF(B556="","",_xlfn.XLOOKUP(B556,'Form responses 1'!$B$2:$B$2604,'Form responses 1'!$C$2:$C$2604,""))</f>
        <v>Febriyanti prisca Sutikna/ Livia Yonathan</v>
      </c>
      <c r="F556" s="44" t="str">
        <f t="array" ref="F556">IF(B556="","",_xlfn.XLOOKUP(B556,'Form responses 1'!$B$2:$B$2604,'Form responses 1'!$D$2:$D$2604,""))</f>
        <v>081220025200</v>
      </c>
      <c r="G556" s="44" t="str">
        <f t="array" ref="G556">IF(B556="","",_xlfn.XLOOKUP(B556,'Form responses 1'!$B$2:$B$2604,'Form responses 1'!$E$2:$E$2604,""))</f>
        <v>BN Hibah</v>
      </c>
      <c r="H556" s="44" t="str">
        <f t="array" ref="H556">IF(B556="","",_xlfn.XLOOKUP(B556,'Form responses 1'!$B$2:$B$2604,'Form responses 1'!$F$2:$F$2604,""))</f>
        <v>M. 551/ Way Halim Permai</v>
      </c>
      <c r="I556" s="44" t="str">
        <f t="array" ref="I556">IF(B556="","",_xlfn.XLOOKUP(B556,'Form responses 1'!$B$2:$B$2604,'Form responses 1'!$I$2:$I$2604,""))</f>
        <v>Way Halim Permai</v>
      </c>
      <c r="J556" s="44" t="str">
        <f t="array" ref="J556">IF(B556="","",_xlfn.XLOOKUP(B556,'Form responses 1'!$B$2:$B$2604,'Form responses 1'!$G$2:$G$2604,""))</f>
        <v>Hananda</v>
      </c>
      <c r="K556" s="41" t="s">
        <v>2421</v>
      </c>
      <c r="L556" s="52">
        <f t="shared" si="7"/>
        <v>45600.41671</v>
      </c>
      <c r="M556" s="49"/>
      <c r="N556" s="49"/>
      <c r="O556" s="49"/>
      <c r="P556" s="49"/>
      <c r="Q556" s="49"/>
      <c r="R556" s="49"/>
      <c r="S556" s="49"/>
      <c r="T556" s="49"/>
      <c r="U556" s="49"/>
      <c r="V556" s="49"/>
      <c r="W556" s="41" t="s">
        <v>618</v>
      </c>
      <c r="X556" s="46">
        <f t="shared" si="5"/>
        <v>45602.41875</v>
      </c>
      <c r="Y556" s="50" t="s">
        <v>482</v>
      </c>
      <c r="Z556" s="49">
        <f t="shared" si="6"/>
        <v>0</v>
      </c>
    </row>
    <row r="557" ht="22.5" customHeight="1">
      <c r="B557" s="41" t="s">
        <v>3264</v>
      </c>
      <c r="C557" s="43">
        <f t="array" ref="C557">IF(B557="","",_xlfn.XLOOKUP(B557,'Form responses 1'!$B$2:$B$2604,'Form responses 1'!$A$2:$A$2604,""))</f>
        <v>45597.62495</v>
      </c>
      <c r="D557" s="44" t="str">
        <f t="shared" si="3"/>
        <v>K/36/011124/2_45597.6249493056</v>
      </c>
      <c r="E557" s="44" t="str">
        <f t="array" ref="E557">IF(B557="","",_xlfn.XLOOKUP(B557,'Form responses 1'!$B$2:$B$2604,'Form responses 1'!$C$2:$C$2604,""))</f>
        <v>WHINDA Y</v>
      </c>
      <c r="F557" s="44" t="str">
        <f t="array" ref="F557">IF(B557="","",_xlfn.XLOOKUP(B557,'Form responses 1'!$B$2:$B$2604,'Form responses 1'!$D$2:$D$2604,""))</f>
        <v>089663904479</v>
      </c>
      <c r="G557" s="44" t="str">
        <f t="array" ref="G557">IF(B557="","",_xlfn.XLOOKUP(B557,'Form responses 1'!$B$2:$B$2604,'Form responses 1'!$E$2:$E$2604,""))</f>
        <v>BN JUAL BELI</v>
      </c>
      <c r="H557" s="44" t="str">
        <f t="array" ref="H557">IF(B557="","",_xlfn.XLOOKUP(B557,'Form responses 1'!$B$2:$B$2604,'Form responses 1'!$F$2:$F$2604,""))</f>
        <v>Nibel 626/ Campang Raya</v>
      </c>
      <c r="I557" s="44" t="str">
        <f t="array" ref="I557">IF(B557="","",_xlfn.XLOOKUP(B557,'Form responses 1'!$B$2:$B$2604,'Form responses 1'!$I$2:$I$2604,""))</f>
        <v>Campang Raya</v>
      </c>
      <c r="J557" s="44" t="str">
        <f t="array" ref="J557">IF(B557="","",_xlfn.XLOOKUP(B557,'Form responses 1'!$B$2:$B$2604,'Form responses 1'!$G$2:$G$2604,""))</f>
        <v>Hananda</v>
      </c>
      <c r="K557" s="41" t="s">
        <v>2421</v>
      </c>
      <c r="L557" s="52">
        <f t="shared" si="7"/>
        <v>45600.41673</v>
      </c>
      <c r="M557" s="47" t="s">
        <v>5527</v>
      </c>
      <c r="N557" s="49"/>
      <c r="O557" s="49"/>
      <c r="P557" s="49"/>
      <c r="Q557" s="49"/>
      <c r="R557" s="49"/>
      <c r="S557" s="49"/>
      <c r="T557" s="49"/>
      <c r="U557" s="49"/>
      <c r="V557" s="49"/>
      <c r="W557" s="41" t="s">
        <v>618</v>
      </c>
      <c r="X557" s="46">
        <f t="shared" si="5"/>
        <v>45608.45047</v>
      </c>
      <c r="Y557" s="50" t="s">
        <v>482</v>
      </c>
      <c r="Z557" s="49">
        <f t="shared" si="6"/>
        <v>1</v>
      </c>
    </row>
    <row r="558" ht="22.5" customHeight="1">
      <c r="B558" s="41" t="s">
        <v>3166</v>
      </c>
      <c r="C558" s="43">
        <f t="array" ref="C558">IF(B558="","",_xlfn.XLOOKUP(B558,'Form responses 1'!$B$2:$B$2604,'Form responses 1'!$A$2:$A$2604,""))</f>
        <v>45597.47885</v>
      </c>
      <c r="D558" s="44" t="str">
        <f t="shared" si="3"/>
        <v>K/15/011124/2_45597.4788455787</v>
      </c>
      <c r="E558" s="44" t="str">
        <f t="array" ref="E558">IF(B558="","",_xlfn.XLOOKUP(B558,'Form responses 1'!$B$2:$B$2604,'Form responses 1'!$C$2:$C$2604,""))</f>
        <v>Richard Adi/ Iwan S</v>
      </c>
      <c r="F558" s="44" t="str">
        <f t="array" ref="F558">IF(B558="","",_xlfn.XLOOKUP(B558,'Form responses 1'!$B$2:$B$2604,'Form responses 1'!$D$2:$D$2604,""))</f>
        <v>085279997821</v>
      </c>
      <c r="G558" s="44" t="str">
        <f t="array" ref="G558">IF(B558="","",_xlfn.XLOOKUP(B558,'Form responses 1'!$B$2:$B$2604,'Form responses 1'!$E$2:$E$2604,""))</f>
        <v>BN Jual Beli</v>
      </c>
      <c r="H558" s="44" t="str">
        <f t="array" ref="H558">IF(B558="","",_xlfn.XLOOKUP(B558,'Form responses 1'!$B$2:$B$2604,'Form responses 1'!$F$2:$F$2604,""))</f>
        <v>B. 127/ Nusantara Permai</v>
      </c>
      <c r="I558" s="44" t="str">
        <f t="array" ref="I558">IF(B558="","",_xlfn.XLOOKUP(B558,'Form responses 1'!$B$2:$B$2604,'Form responses 1'!$I$2:$I$2604,""))</f>
        <v>Nusantara Permai</v>
      </c>
      <c r="J558" s="44" t="str">
        <f t="array" ref="J558">IF(B558="","",_xlfn.XLOOKUP(B558,'Form responses 1'!$B$2:$B$2604,'Form responses 1'!$G$2:$G$2604,""))</f>
        <v>Rapita</v>
      </c>
      <c r="K558" s="41" t="s">
        <v>2421</v>
      </c>
      <c r="L558" s="52">
        <f t="shared" si="7"/>
        <v>45600.41675</v>
      </c>
      <c r="M558" s="47" t="s">
        <v>5528</v>
      </c>
      <c r="N558" s="49"/>
      <c r="O558" s="49"/>
      <c r="P558" s="49"/>
      <c r="Q558" s="49"/>
      <c r="R558" s="49"/>
      <c r="S558" s="49"/>
      <c r="T558" s="49"/>
      <c r="U558" s="49"/>
      <c r="V558" s="49"/>
      <c r="W558" s="41" t="s">
        <v>470</v>
      </c>
      <c r="X558" s="46">
        <f t="shared" si="5"/>
        <v>45602.46514</v>
      </c>
      <c r="Y558" s="50" t="s">
        <v>482</v>
      </c>
      <c r="Z558" s="49">
        <f t="shared" si="6"/>
        <v>1</v>
      </c>
    </row>
    <row r="559" ht="22.5" customHeight="1">
      <c r="B559" s="41" t="s">
        <v>3315</v>
      </c>
      <c r="C559" s="43">
        <f t="array" ref="C559">IF(B559="","",_xlfn.XLOOKUP(B559,'Form responses 1'!$B$2:$B$2604,'Form responses 1'!$A$2:$A$2604,""))</f>
        <v>45600.4279</v>
      </c>
      <c r="D559" s="44" t="str">
        <f t="shared" si="3"/>
        <v>L/63/311024/1_45600.4279020486</v>
      </c>
      <c r="E559" s="44" t="str">
        <f t="array" ref="E559">IF(B559="","",_xlfn.XLOOKUP(B559,'Form responses 1'!$B$2:$B$2604,'Form responses 1'!$C$2:$C$2604,""))</f>
        <v>LURMI HAYATI MANURUNG</v>
      </c>
      <c r="F559" s="44" t="str">
        <f t="array" ref="F559">IF(B559="","",_xlfn.XLOOKUP(B559,'Form responses 1'!$B$2:$B$2604,'Form responses 1'!$D$2:$D$2604,""))</f>
        <v>081374405957</v>
      </c>
      <c r="G559" s="44" t="str">
        <f t="array" ref="G559">IF(B559="","",_xlfn.XLOOKUP(B559,'Form responses 1'!$B$2:$B$2604,'Form responses 1'!$E$2:$E$2604,""))</f>
        <v>ROYA</v>
      </c>
      <c r="H559" s="44" t="str">
        <f t="array" ref="H559">IF(B559="","",_xlfn.XLOOKUP(B559,'Form responses 1'!$B$2:$B$2604,'Form responses 1'!$F$2:$F$2604,""))</f>
        <v>B.764/WAY KANDIS</v>
      </c>
      <c r="I559" s="44" t="str">
        <f t="array" ref="I559">IF(B559="","",_xlfn.XLOOKUP(B559,'Form responses 1'!$B$2:$B$2604,'Form responses 1'!$I$2:$I$2604,""))</f>
        <v>WAY KANDIS</v>
      </c>
      <c r="J559" s="44" t="str">
        <f t="array" ref="J559">IF(B559="","",_xlfn.XLOOKUP(B559,'Form responses 1'!$B$2:$B$2604,'Form responses 1'!$G$2:$G$2604,""))</f>
        <v>Nuraini</v>
      </c>
      <c r="K559" s="41" t="s">
        <v>2875</v>
      </c>
      <c r="L559" s="52">
        <f t="shared" si="7"/>
        <v>45600.43599</v>
      </c>
      <c r="M559" s="49"/>
      <c r="N559" s="49"/>
      <c r="O559" s="49"/>
      <c r="P559" s="49"/>
      <c r="Q559" s="49"/>
      <c r="R559" s="49"/>
      <c r="S559" s="49"/>
      <c r="T559" s="49"/>
      <c r="U559" s="49"/>
      <c r="V559" s="49"/>
      <c r="W559" s="41" t="s">
        <v>618</v>
      </c>
      <c r="X559" s="46">
        <f t="shared" si="5"/>
        <v>45600.43603</v>
      </c>
      <c r="Y559" s="50" t="s">
        <v>482</v>
      </c>
      <c r="Z559" s="49">
        <f t="shared" si="6"/>
        <v>0</v>
      </c>
    </row>
    <row r="560" ht="22.5" customHeight="1">
      <c r="B560" s="41" t="s">
        <v>3233</v>
      </c>
      <c r="C560" s="43">
        <f t="array" ref="C560">IF(B560="","",_xlfn.XLOOKUP(B560,'Form responses 1'!$B$2:$B$2604,'Form responses 1'!$A$2:$A$2604,""))</f>
        <v>45597.59873</v>
      </c>
      <c r="D560" s="44" t="str">
        <f t="shared" si="3"/>
        <v>K/31/011124/2_45597.5987296991</v>
      </c>
      <c r="E560" s="44" t="str">
        <f t="array" ref="E560">IF(B560="","",_xlfn.XLOOKUP(B560,'Form responses 1'!$B$2:$B$2604,'Form responses 1'!$C$2:$C$2604,""))</f>
        <v>I Made R/ Susi F</v>
      </c>
      <c r="F560" s="44" t="str">
        <f t="array" ref="F560">IF(B560="","",_xlfn.XLOOKUP(B560,'Form responses 1'!$B$2:$B$2604,'Form responses 1'!$D$2:$D$2604,""))</f>
        <v>+62 853-8479-7293</v>
      </c>
      <c r="G560" s="44" t="str">
        <f t="array" ref="G560">IF(B560="","",_xlfn.XLOOKUP(B560,'Form responses 1'!$B$2:$B$2604,'Form responses 1'!$E$2:$E$2604,""))</f>
        <v>BN Jual Beli</v>
      </c>
      <c r="H560" s="44" t="str">
        <f t="array" ref="H560">IF(B560="","",_xlfn.XLOOKUP(B560,'Form responses 1'!$B$2:$B$2604,'Form responses 1'!$F$2:$F$2604,""))</f>
        <v>M. 2996/ Sukadana Ham</v>
      </c>
      <c r="I560" s="44" t="str">
        <f t="array" ref="I560">IF(B560="","",_xlfn.XLOOKUP(B560,'Form responses 1'!$B$2:$B$2604,'Form responses 1'!$I$2:$I$2604,""))</f>
        <v>Sukadana Ham</v>
      </c>
      <c r="J560" s="44" t="str">
        <f t="array" ref="J560">IF(B560="","",_xlfn.XLOOKUP(B560,'Form responses 1'!$B$2:$B$2604,'Form responses 1'!$G$2:$G$2604,""))</f>
        <v>Rapita</v>
      </c>
      <c r="K560" s="41" t="s">
        <v>422</v>
      </c>
      <c r="L560" s="52">
        <f t="shared" si="7"/>
        <v>45600.49754</v>
      </c>
      <c r="M560" s="47" t="s">
        <v>5227</v>
      </c>
      <c r="N560" s="49"/>
      <c r="O560" s="49"/>
      <c r="P560" s="49"/>
      <c r="Q560" s="49"/>
      <c r="R560" s="49"/>
      <c r="S560" s="49"/>
      <c r="T560" s="49"/>
      <c r="U560" s="49"/>
      <c r="V560" s="49"/>
      <c r="W560" s="41" t="s">
        <v>618</v>
      </c>
      <c r="X560" s="46">
        <f t="shared" si="5"/>
        <v>45602.64859</v>
      </c>
      <c r="Y560" s="50" t="s">
        <v>482</v>
      </c>
      <c r="Z560" s="49">
        <f t="shared" si="6"/>
        <v>1</v>
      </c>
    </row>
    <row r="561" ht="22.5" customHeight="1">
      <c r="B561" s="41" t="s">
        <v>3220</v>
      </c>
      <c r="C561" s="43">
        <f t="array" ref="C561">IF(B561="","",_xlfn.XLOOKUP(B561,'Form responses 1'!$B$2:$B$2604,'Form responses 1'!$A$2:$A$2604,""))</f>
        <v>45597.59295</v>
      </c>
      <c r="D561" s="44" t="str">
        <f t="shared" si="3"/>
        <v>K/27/011124/1_45597.5929456134</v>
      </c>
      <c r="E561" s="44" t="str">
        <f t="array" ref="E561">IF(B561="","",_xlfn.XLOOKUP(B561,'Form responses 1'!$B$2:$B$2604,'Form responses 1'!$C$2:$C$2604,""))</f>
        <v>ENDANG APRILIA</v>
      </c>
      <c r="F561" s="44" t="str">
        <f t="array" ref="F561">IF(B561="","",_xlfn.XLOOKUP(B561,'Form responses 1'!$B$2:$B$2604,'Form responses 1'!$D$2:$D$2604,""))</f>
        <v>082177803999</v>
      </c>
      <c r="G561" s="44" t="str">
        <f t="array" ref="G561">IF(B561="","",_xlfn.XLOOKUP(B561,'Form responses 1'!$B$2:$B$2604,'Form responses 1'!$E$2:$E$2604,""))</f>
        <v>BN JUAL BELI</v>
      </c>
      <c r="H561" s="44" t="str">
        <f t="array" ref="H561">IF(B561="","",_xlfn.XLOOKUP(B561,'Form responses 1'!$B$2:$B$2604,'Form responses 1'!$F$2:$F$2604,""))</f>
        <v>M. 639/ PEMATANG WANGI</v>
      </c>
      <c r="I561" s="44" t="str">
        <f t="array" ref="I561">IF(B561="","",_xlfn.XLOOKUP(B561,'Form responses 1'!$B$2:$B$2604,'Form responses 1'!$I$2:$I$2604,""))</f>
        <v>PEMATANG WANGI</v>
      </c>
      <c r="J561" s="44" t="str">
        <f t="array" ref="J561">IF(B561="","",_xlfn.XLOOKUP(B561,'Form responses 1'!$B$2:$B$2604,'Form responses 1'!$G$2:$G$2604,""))</f>
        <v>Hananda</v>
      </c>
      <c r="K561" s="41" t="s">
        <v>422</v>
      </c>
      <c r="L561" s="52">
        <f t="shared" si="7"/>
        <v>45600.49757</v>
      </c>
      <c r="M561" s="49"/>
      <c r="N561" s="49"/>
      <c r="O561" s="49"/>
      <c r="P561" s="49"/>
      <c r="Q561" s="49"/>
      <c r="R561" s="49"/>
      <c r="S561" s="49"/>
      <c r="T561" s="49"/>
      <c r="U561" s="49"/>
      <c r="V561" s="49"/>
      <c r="W561" s="41" t="s">
        <v>618</v>
      </c>
      <c r="X561" s="46">
        <f t="shared" si="5"/>
        <v>45600.52423</v>
      </c>
      <c r="Y561" s="50" t="s">
        <v>482</v>
      </c>
      <c r="Z561" s="49">
        <f t="shared" si="6"/>
        <v>0</v>
      </c>
    </row>
    <row r="562" ht="22.5" customHeight="1">
      <c r="B562" s="41" t="s">
        <v>3169</v>
      </c>
      <c r="C562" s="43">
        <f t="array" ref="C562">IF(B562="","",_xlfn.XLOOKUP(B562,'Form responses 1'!$B$2:$B$2604,'Form responses 1'!$A$2:$A$2604,""))</f>
        <v>45597.47988</v>
      </c>
      <c r="D562" s="44" t="str">
        <f t="shared" si="3"/>
        <v>K/16/011124/3_45597.4798763773</v>
      </c>
      <c r="E562" s="44" t="str">
        <f t="array" ref="E562">IF(B562="","",_xlfn.XLOOKUP(B562,'Form responses 1'!$B$2:$B$2604,'Form responses 1'!$C$2:$C$2604,""))</f>
        <v>Richard Adi P/ Welly P</v>
      </c>
      <c r="F562" s="44" t="str">
        <f t="array" ref="F562">IF(B562="","",_xlfn.XLOOKUP(B562,'Form responses 1'!$B$2:$B$2604,'Form responses 1'!$D$2:$D$2604,""))</f>
        <v>085279997821</v>
      </c>
      <c r="G562" s="44" t="str">
        <f t="array" ref="G562">IF(B562="","",_xlfn.XLOOKUP(B562,'Form responses 1'!$B$2:$B$2604,'Form responses 1'!$E$2:$E$2604,""))</f>
        <v>BN Jual Beli</v>
      </c>
      <c r="H562" s="44" t="str">
        <f t="array" ref="H562">IF(B562="","",_xlfn.XLOOKUP(B562,'Form responses 1'!$B$2:$B$2604,'Form responses 1'!$F$2:$F$2604,""))</f>
        <v>B. 128/ Nusantara Permai</v>
      </c>
      <c r="I562" s="44" t="str">
        <f t="array" ref="I562">IF(B562="","",_xlfn.XLOOKUP(B562,'Form responses 1'!$B$2:$B$2604,'Form responses 1'!$I$2:$I$2604,""))</f>
        <v>Nusantara Permai</v>
      </c>
      <c r="J562" s="44" t="str">
        <f t="array" ref="J562">IF(B562="","",_xlfn.XLOOKUP(B562,'Form responses 1'!$B$2:$B$2604,'Form responses 1'!$G$2:$G$2604,""))</f>
        <v>Rapita</v>
      </c>
      <c r="K562" s="41" t="s">
        <v>422</v>
      </c>
      <c r="L562" s="52">
        <f t="shared" si="7"/>
        <v>45600.49758</v>
      </c>
      <c r="M562" s="47" t="s">
        <v>5529</v>
      </c>
      <c r="N562" s="47" t="s">
        <v>5530</v>
      </c>
      <c r="O562" s="49"/>
      <c r="P562" s="49"/>
      <c r="Q562" s="49"/>
      <c r="R562" s="49"/>
      <c r="S562" s="49"/>
      <c r="T562" s="49"/>
      <c r="U562" s="49"/>
      <c r="V562" s="49"/>
      <c r="W562" s="41" t="s">
        <v>618</v>
      </c>
      <c r="X562" s="46">
        <f t="shared" si="5"/>
        <v>45602.65117</v>
      </c>
      <c r="Y562" s="50" t="s">
        <v>482</v>
      </c>
      <c r="Z562" s="49">
        <f t="shared" si="6"/>
        <v>2</v>
      </c>
    </row>
    <row r="563" ht="22.5" customHeight="1">
      <c r="B563" s="41" t="s">
        <v>3155</v>
      </c>
      <c r="C563" s="43">
        <f t="array" ref="C563">IF(B563="","",_xlfn.XLOOKUP(B563,'Form responses 1'!$B$2:$B$2604,'Form responses 1'!$A$2:$A$2604,""))</f>
        <v>45597.46952</v>
      </c>
      <c r="D563" s="44" t="str">
        <f t="shared" si="3"/>
        <v>K/13/011124/1_45597.469519132</v>
      </c>
      <c r="E563" s="44" t="str">
        <f t="array" ref="E563">IF(B563="","",_xlfn.XLOOKUP(B563,'Form responses 1'!$B$2:$B$2604,'Form responses 1'!$C$2:$C$2604,""))</f>
        <v>elvan Sius/ Lie Tjie Jin</v>
      </c>
      <c r="F563" s="44" t="str">
        <f t="array" ref="F563">IF(B563="","",_xlfn.XLOOKUP(B563,'Form responses 1'!$B$2:$B$2604,'Form responses 1'!$D$2:$D$2604,""))</f>
        <v>085709443520</v>
      </c>
      <c r="G563" s="44" t="str">
        <f t="array" ref="G563">IF(B563="","",_xlfn.XLOOKUP(B563,'Form responses 1'!$B$2:$B$2604,'Form responses 1'!$E$2:$E$2604,""))</f>
        <v>PTPGT HGB BERAKHIR</v>
      </c>
      <c r="H563" s="44" t="str">
        <f t="array" ref="H563">IF(B563="","",_xlfn.XLOOKUP(B563,'Form responses 1'!$B$2:$B$2604,'Form responses 1'!$F$2:$F$2604,""))</f>
        <v>PBT 131/2024</v>
      </c>
      <c r="I563" s="44" t="str">
        <f t="array" ref="I563">IF(B563="","",_xlfn.XLOOKUP(B563,'Form responses 1'!$B$2:$B$2604,'Form responses 1'!$I$2:$I$2604,""))</f>
        <v>KOTA KARANG RAYA</v>
      </c>
      <c r="J563" s="44" t="str">
        <f t="array" ref="J563">IF(B563="","",_xlfn.XLOOKUP(B563,'Form responses 1'!$B$2:$B$2604,'Form responses 1'!$G$2:$G$2604,""))</f>
        <v>Hananda</v>
      </c>
      <c r="K563" s="41" t="s">
        <v>422</v>
      </c>
      <c r="L563" s="52">
        <f t="shared" si="7"/>
        <v>45600.4976</v>
      </c>
      <c r="M563" s="47" t="s">
        <v>5531</v>
      </c>
      <c r="N563" s="49"/>
      <c r="O563" s="49"/>
      <c r="P563" s="49"/>
      <c r="Q563" s="49"/>
      <c r="R563" s="49"/>
      <c r="S563" s="49"/>
      <c r="T563" s="49"/>
      <c r="U563" s="49"/>
      <c r="V563" s="49"/>
      <c r="W563" s="41" t="s">
        <v>618</v>
      </c>
      <c r="X563" s="46">
        <f t="shared" si="5"/>
        <v>45602.65804</v>
      </c>
      <c r="Y563" s="50" t="s">
        <v>482</v>
      </c>
      <c r="Z563" s="49">
        <f t="shared" si="6"/>
        <v>1</v>
      </c>
    </row>
    <row r="564" ht="22.5" customHeight="1">
      <c r="B564" s="41" t="s">
        <v>3409</v>
      </c>
      <c r="C564" s="43">
        <f t="array" ref="C564">IF(B564="","",_xlfn.XLOOKUP(B564,'Form responses 1'!$B$2:$B$2604,'Form responses 1'!$A$2:$A$2604,""))</f>
        <v>45600.57382</v>
      </c>
      <c r="D564" s="44" t="str">
        <f t="shared" si="3"/>
        <v>K/35/041124/1_45600.5738218519</v>
      </c>
      <c r="E564" s="44" t="str">
        <f t="array" ref="E564">IF(B564="","",_xlfn.XLOOKUP(B564,'Form responses 1'!$B$2:$B$2604,'Form responses 1'!$C$2:$C$2604,""))</f>
        <v>haryono/ nurhayati</v>
      </c>
      <c r="F564" s="44" t="str">
        <f t="array" ref="F564">IF(B564="","",_xlfn.XLOOKUP(B564,'Form responses 1'!$B$2:$B$2604,'Form responses 1'!$D$2:$D$2604,""))</f>
        <v>08117222871</v>
      </c>
      <c r="G564" s="44" t="str">
        <f t="array" ref="G564">IF(B564="","",_xlfn.XLOOKUP(B564,'Form responses 1'!$B$2:$B$2604,'Form responses 1'!$E$2:$E$2604,""))</f>
        <v>roya</v>
      </c>
      <c r="H564" s="44" t="str">
        <f t="array" ref="H564">IF(B564="","",_xlfn.XLOOKUP(B564,'Form responses 1'!$B$2:$B$2604,'Form responses 1'!$F$2:$F$2604,""))</f>
        <v>M. 9268/ Sidodadi</v>
      </c>
      <c r="I564" s="44" t="str">
        <f t="array" ref="I564">IF(B564="","",_xlfn.XLOOKUP(B564,'Form responses 1'!$B$2:$B$2604,'Form responses 1'!$I$2:$I$2604,""))</f>
        <v>Sidodadi</v>
      </c>
      <c r="J564" s="44" t="str">
        <f t="array" ref="J564">IF(B564="","",_xlfn.XLOOKUP(B564,'Form responses 1'!$B$2:$B$2604,'Form responses 1'!$G$2:$G$2604,""))</f>
        <v>Hananda</v>
      </c>
      <c r="K564" s="41" t="s">
        <v>2875</v>
      </c>
      <c r="L564" s="52">
        <f t="shared" si="7"/>
        <v>45601.3752</v>
      </c>
      <c r="M564" s="49"/>
      <c r="N564" s="49"/>
      <c r="O564" s="49"/>
      <c r="P564" s="49"/>
      <c r="Q564" s="49"/>
      <c r="R564" s="49"/>
      <c r="S564" s="49"/>
      <c r="T564" s="49"/>
      <c r="U564" s="49"/>
      <c r="V564" s="49"/>
      <c r="W564" s="41" t="s">
        <v>618</v>
      </c>
      <c r="X564" s="46">
        <f t="shared" si="5"/>
        <v>45602.43826</v>
      </c>
      <c r="Y564" s="50" t="s">
        <v>482</v>
      </c>
      <c r="Z564" s="49">
        <f t="shared" si="6"/>
        <v>0</v>
      </c>
    </row>
    <row r="565" ht="22.5" customHeight="1">
      <c r="B565" s="41" t="s">
        <v>3360</v>
      </c>
      <c r="C565" s="43">
        <f t="array" ref="C565">IF(B565="","",_xlfn.XLOOKUP(B565,'Form responses 1'!$B$2:$B$2604,'Form responses 1'!$A$2:$A$2604,""))</f>
        <v>45600.48432</v>
      </c>
      <c r="D565" s="44" t="str">
        <f t="shared" si="3"/>
        <v>L/24/041124/1_45600.4843248495</v>
      </c>
      <c r="E565" s="44" t="str">
        <f t="array" ref="E565">IF(B565="","",_xlfn.XLOOKUP(B565,'Form responses 1'!$B$2:$B$2604,'Form responses 1'!$C$2:$C$2604,""))</f>
        <v>RAHMAT EDWARD</v>
      </c>
      <c r="F565" s="44" t="str">
        <f t="array" ref="F565">IF(B565="","",_xlfn.XLOOKUP(B565,'Form responses 1'!$B$2:$B$2604,'Form responses 1'!$D$2:$D$2604,""))</f>
        <v>081540951977</v>
      </c>
      <c r="G565" s="44" t="str">
        <f t="array" ref="G565">IF(B565="","",_xlfn.XLOOKUP(B565,'Form responses 1'!$B$2:$B$2604,'Form responses 1'!$E$2:$E$2604,""))</f>
        <v>ROYA</v>
      </c>
      <c r="H565" s="44" t="str">
        <f t="array" ref="H565">IF(B565="","",_xlfn.XLOOKUP(B565,'Form responses 1'!$B$2:$B$2604,'Form responses 1'!$F$2:$F$2604,""))</f>
        <v>M.11580/SEGALA MIDER</v>
      </c>
      <c r="I565" s="44" t="str">
        <f t="array" ref="I565">IF(B565="","",_xlfn.XLOOKUP(B565,'Form responses 1'!$B$2:$B$2604,'Form responses 1'!$I$2:$I$2604,""))</f>
        <v>SEGALA MIDER</v>
      </c>
      <c r="J565" s="44" t="str">
        <f t="array" ref="J565">IF(B565="","",_xlfn.XLOOKUP(B565,'Form responses 1'!$B$2:$B$2604,'Form responses 1'!$G$2:$G$2604,""))</f>
        <v>Deby</v>
      </c>
      <c r="K565" s="41" t="s">
        <v>2875</v>
      </c>
      <c r="L565" s="52">
        <f t="shared" si="7"/>
        <v>45601.37522</v>
      </c>
      <c r="M565" s="49"/>
      <c r="N565" s="49"/>
      <c r="O565" s="49"/>
      <c r="P565" s="49"/>
      <c r="Q565" s="49"/>
      <c r="R565" s="49"/>
      <c r="S565" s="49"/>
      <c r="T565" s="49"/>
      <c r="U565" s="49"/>
      <c r="V565" s="49"/>
      <c r="W565" s="41" t="s">
        <v>618</v>
      </c>
      <c r="X565" s="46">
        <f t="shared" si="5"/>
        <v>45602.45789</v>
      </c>
      <c r="Y565" s="50" t="s">
        <v>482</v>
      </c>
      <c r="Z565" s="49">
        <f t="shared" si="6"/>
        <v>0</v>
      </c>
    </row>
    <row r="566" ht="22.5" customHeight="1">
      <c r="B566" s="41" t="s">
        <v>3336</v>
      </c>
      <c r="C566" s="43">
        <f t="array" ref="C566">IF(B566="","",_xlfn.XLOOKUP(B566,'Form responses 1'!$B$2:$B$2604,'Form responses 1'!$A$2:$A$2604,""))</f>
        <v>45600.46072</v>
      </c>
      <c r="D566" s="44" t="str">
        <f t="shared" si="3"/>
        <v>L/16/041132/1_45600.4607231597</v>
      </c>
      <c r="E566" s="44" t="str">
        <f t="array" ref="E566">IF(B566="","",_xlfn.XLOOKUP(B566,'Form responses 1'!$B$2:$B$2604,'Form responses 1'!$C$2:$C$2604,""))</f>
        <v>A SYAFARI</v>
      </c>
      <c r="F566" s="44" t="str">
        <f t="array" ref="F566">IF(B566="","",_xlfn.XLOOKUP(B566,'Form responses 1'!$B$2:$B$2604,'Form responses 1'!$D$2:$D$2604,""))</f>
        <v>085769554244</v>
      </c>
      <c r="G566" s="44" t="str">
        <f t="array" ref="G566">IF(B566="","",_xlfn.XLOOKUP(B566,'Form responses 1'!$B$2:$B$2604,'Form responses 1'!$E$2:$E$2604,""))</f>
        <v>PERUBAHAN HAK</v>
      </c>
      <c r="H566" s="44" t="str">
        <f t="array" ref="H566">IF(B566="","",_xlfn.XLOOKUP(B566,'Form responses 1'!$B$2:$B$2604,'Form responses 1'!$F$2:$F$2604,""))</f>
        <v>B.4891 / BERINGIN RAYA</v>
      </c>
      <c r="I566" s="44" t="str">
        <f t="array" ref="I566">IF(B566="","",_xlfn.XLOOKUP(B566,'Form responses 1'!$B$2:$B$2604,'Form responses 1'!$I$2:$I$2604,""))</f>
        <v>BERINGIN RAYA</v>
      </c>
      <c r="J566" s="44" t="str">
        <f t="array" ref="J566">IF(B566="","",_xlfn.XLOOKUP(B566,'Form responses 1'!$B$2:$B$2604,'Form responses 1'!$G$2:$G$2604,""))</f>
        <v>Deby</v>
      </c>
      <c r="K566" s="41" t="s">
        <v>2875</v>
      </c>
      <c r="L566" s="52">
        <f t="shared" si="7"/>
        <v>45601.37523</v>
      </c>
      <c r="M566" s="49"/>
      <c r="N566" s="49"/>
      <c r="O566" s="49"/>
      <c r="P566" s="49"/>
      <c r="Q566" s="49"/>
      <c r="R566" s="49"/>
      <c r="S566" s="49"/>
      <c r="T566" s="49"/>
      <c r="U566" s="49"/>
      <c r="V566" s="49"/>
      <c r="W566" s="41" t="s">
        <v>618</v>
      </c>
      <c r="X566" s="46">
        <f t="shared" si="5"/>
        <v>45602.4558</v>
      </c>
      <c r="Y566" s="50" t="s">
        <v>482</v>
      </c>
      <c r="Z566" s="49">
        <f t="shared" si="6"/>
        <v>0</v>
      </c>
    </row>
    <row r="567" ht="22.5" customHeight="1">
      <c r="B567" s="41" t="s">
        <v>3381</v>
      </c>
      <c r="C567" s="43">
        <f t="array" ref="C567">IF(B567="","",_xlfn.XLOOKUP(B567,'Form responses 1'!$B$2:$B$2604,'Form responses 1'!$A$2:$A$2604,""))</f>
        <v>45600.49404</v>
      </c>
      <c r="D567" s="44" t="str">
        <f t="shared" si="3"/>
        <v>K/27/041124/1_45600.4940415046</v>
      </c>
      <c r="E567" s="44" t="str">
        <f t="array" ref="E567">IF(B567="","",_xlfn.XLOOKUP(B567,'Form responses 1'!$B$2:$B$2604,'Form responses 1'!$C$2:$C$2604,""))</f>
        <v>Ilanur/ Amin Nudin</v>
      </c>
      <c r="F567" s="44" t="str">
        <f t="array" ref="F567">IF(B567="","",_xlfn.XLOOKUP(B567,'Form responses 1'!$B$2:$B$2604,'Form responses 1'!$D$2:$D$2604,""))</f>
        <v>+62 897-9122-178</v>
      </c>
      <c r="G567" s="44" t="str">
        <f t="array" ref="G567">IF(B567="","",_xlfn.XLOOKUP(B567,'Form responses 1'!$B$2:$B$2604,'Form responses 1'!$E$2:$E$2604,""))</f>
        <v>BN Jual Beli</v>
      </c>
      <c r="H567" s="44" t="str">
        <f t="array" ref="H567">IF(B567="","",_xlfn.XLOOKUP(B567,'Form responses 1'!$B$2:$B$2604,'Form responses 1'!$F$2:$F$2604,""))</f>
        <v>M. 2800/ Sukarame II</v>
      </c>
      <c r="I567" s="44" t="str">
        <f t="array" ref="I567">IF(B567="","",_xlfn.XLOOKUP(B567,'Form responses 1'!$B$2:$B$2604,'Form responses 1'!$I$2:$I$2604,""))</f>
        <v>Sukarame II</v>
      </c>
      <c r="J567" s="44" t="str">
        <f t="array" ref="J567">IF(B567="","",_xlfn.XLOOKUP(B567,'Form responses 1'!$B$2:$B$2604,'Form responses 1'!$G$2:$G$2604,""))</f>
        <v>Rapita</v>
      </c>
      <c r="K567" s="41" t="s">
        <v>2875</v>
      </c>
      <c r="L567" s="52">
        <f t="shared" si="7"/>
        <v>45601.37524</v>
      </c>
      <c r="M567" s="47" t="s">
        <v>5532</v>
      </c>
      <c r="N567" s="49"/>
      <c r="O567" s="49"/>
      <c r="P567" s="49"/>
      <c r="Q567" s="49"/>
      <c r="R567" s="49"/>
      <c r="S567" s="49"/>
      <c r="T567" s="49"/>
      <c r="U567" s="49"/>
      <c r="V567" s="49"/>
      <c r="W567" s="41" t="s">
        <v>618</v>
      </c>
      <c r="X567" s="46">
        <f t="shared" si="5"/>
        <v>45607.41529</v>
      </c>
      <c r="Y567" s="50" t="s">
        <v>482</v>
      </c>
      <c r="Z567" s="49">
        <f t="shared" si="6"/>
        <v>1</v>
      </c>
    </row>
    <row r="568" ht="22.5" customHeight="1">
      <c r="B568" s="41" t="s">
        <v>3425</v>
      </c>
      <c r="C568" s="43">
        <f t="array" ref="C568">IF(B568="","",_xlfn.XLOOKUP(B568,'Form responses 1'!$B$2:$B$2604,'Form responses 1'!$A$2:$A$2604,""))</f>
        <v>45600.58589</v>
      </c>
      <c r="D568" s="44" t="str">
        <f t="shared" si="3"/>
        <v>K/39/041124/1_45600.5858899537</v>
      </c>
      <c r="E568" s="44" t="str">
        <f t="array" ref="E568">IF(B568="","",_xlfn.XLOOKUP(B568,'Form responses 1'!$B$2:$B$2604,'Form responses 1'!$C$2:$C$2604,""))</f>
        <v>DADANG SUDRAJAT/BUDI KRISTIYANTO</v>
      </c>
      <c r="F568" s="44" t="str">
        <f t="array" ref="F568">IF(B568="","",_xlfn.XLOOKUP(B568,'Form responses 1'!$B$2:$B$2604,'Form responses 1'!$D$2:$D$2604,""))</f>
        <v>0858-6816-7367</v>
      </c>
      <c r="G568" s="44" t="str">
        <f t="array" ref="G568">IF(B568="","",_xlfn.XLOOKUP(B568,'Form responses 1'!$B$2:$B$2604,'Form responses 1'!$E$2:$E$2604,""))</f>
        <v>BN JUAL BELI</v>
      </c>
      <c r="H568" s="44" t="str">
        <f t="array" ref="H568">IF(B568="","",_xlfn.XLOOKUP(B568,'Form responses 1'!$B$2:$B$2604,'Form responses 1'!$F$2:$F$2604,""))</f>
        <v>M.1773/SUKAJAWA</v>
      </c>
      <c r="I568" s="44" t="str">
        <f t="array" ref="I568">IF(B568="","",_xlfn.XLOOKUP(B568,'Form responses 1'!$B$2:$B$2604,'Form responses 1'!$I$2:$I$2604,""))</f>
        <v>SUKAJAWA</v>
      </c>
      <c r="J568" s="44" t="str">
        <f t="array" ref="J568">IF(B568="","",_xlfn.XLOOKUP(B568,'Form responses 1'!$B$2:$B$2604,'Form responses 1'!$G$2:$G$2604,""))</f>
        <v>Baynur</v>
      </c>
      <c r="K568" s="41" t="s">
        <v>2875</v>
      </c>
      <c r="L568" s="52">
        <f t="shared" si="7"/>
        <v>45601.37526</v>
      </c>
      <c r="M568" s="49"/>
      <c r="N568" s="49"/>
      <c r="O568" s="49"/>
      <c r="P568" s="49"/>
      <c r="Q568" s="49"/>
      <c r="R568" s="49"/>
      <c r="S568" s="49"/>
      <c r="T568" s="49"/>
      <c r="U568" s="49"/>
      <c r="V568" s="49"/>
      <c r="W568" s="41" t="s">
        <v>618</v>
      </c>
      <c r="X568" s="46">
        <f t="shared" si="5"/>
        <v>45602.4798</v>
      </c>
      <c r="Y568" s="50" t="s">
        <v>482</v>
      </c>
      <c r="Z568" s="49">
        <f t="shared" si="6"/>
        <v>0</v>
      </c>
    </row>
    <row r="569" ht="22.5" customHeight="1">
      <c r="B569" s="41" t="s">
        <v>3340</v>
      </c>
      <c r="C569" s="43">
        <f t="array" ref="C569">IF(B569="","",_xlfn.XLOOKUP(B569,'Form responses 1'!$B$2:$B$2604,'Form responses 1'!$A$2:$A$2604,""))</f>
        <v>45600.47041</v>
      </c>
      <c r="D569" s="44" t="str">
        <f t="shared" si="3"/>
        <v>K/18/041124/1_45600.4704063889</v>
      </c>
      <c r="E569" s="44" t="str">
        <f t="array" ref="E569">IF(B569="","",_xlfn.XLOOKUP(B569,'Form responses 1'!$B$2:$B$2604,'Form responses 1'!$C$2:$C$2604,""))</f>
        <v>Intan Avita S/ Yuly Wina A</v>
      </c>
      <c r="F569" s="44" t="str">
        <f t="array" ref="F569">IF(B569="","",_xlfn.XLOOKUP(B569,'Form responses 1'!$B$2:$B$2604,'Form responses 1'!$D$2:$D$2604,""))</f>
        <v>+62 899-2158-512</v>
      </c>
      <c r="G569" s="44" t="str">
        <f t="array" ref="G569">IF(B569="","",_xlfn.XLOOKUP(B569,'Form responses 1'!$B$2:$B$2604,'Form responses 1'!$E$2:$E$2604,""))</f>
        <v>BN Jual Beli</v>
      </c>
      <c r="H569" s="44" t="str">
        <f t="array" ref="H569">IF(B569="","",_xlfn.XLOOKUP(B569,'Form responses 1'!$B$2:$B$2604,'Form responses 1'!$F$2:$F$2604,""))</f>
        <v>M. 2289/ Perumnas Way Halim</v>
      </c>
      <c r="I569" s="44" t="str">
        <f t="array" ref="I569">IF(B569="","",_xlfn.XLOOKUP(B569,'Form responses 1'!$B$2:$B$2604,'Form responses 1'!$I$2:$I$2604,""))</f>
        <v> Perumnas Way Halim</v>
      </c>
      <c r="J569" s="44" t="str">
        <f t="array" ref="J569">IF(B569="","",_xlfn.XLOOKUP(B569,'Form responses 1'!$B$2:$B$2604,'Form responses 1'!$G$2:$G$2604,""))</f>
        <v>Rapita</v>
      </c>
      <c r="K569" s="41" t="s">
        <v>2875</v>
      </c>
      <c r="L569" s="52">
        <f t="shared" si="7"/>
        <v>45601.37527</v>
      </c>
      <c r="M569" s="47" t="s">
        <v>5533</v>
      </c>
      <c r="N569" s="49"/>
      <c r="O569" s="49"/>
      <c r="P569" s="49"/>
      <c r="Q569" s="49"/>
      <c r="R569" s="49"/>
      <c r="S569" s="49"/>
      <c r="T569" s="49"/>
      <c r="U569" s="49"/>
      <c r="V569" s="49"/>
      <c r="W569" s="41" t="s">
        <v>618</v>
      </c>
      <c r="X569" s="46">
        <f t="shared" si="5"/>
        <v>45607.41561</v>
      </c>
      <c r="Y569" s="50" t="s">
        <v>482</v>
      </c>
      <c r="Z569" s="49">
        <f t="shared" si="6"/>
        <v>1</v>
      </c>
    </row>
    <row r="570" ht="22.5" customHeight="1">
      <c r="B570" s="41" t="s">
        <v>3367</v>
      </c>
      <c r="C570" s="43">
        <f t="array" ref="C570">IF(B570="","",_xlfn.XLOOKUP(B570,'Form responses 1'!$B$2:$B$2604,'Form responses 1'!$A$2:$A$2604,""))</f>
        <v>45600.48878</v>
      </c>
      <c r="D570" s="44" t="str">
        <f t="shared" si="3"/>
        <v>K/23/041124/3_45600.4887819329</v>
      </c>
      <c r="E570" s="44" t="str">
        <f t="array" ref="E570">IF(B570="","",_xlfn.XLOOKUP(B570,'Form responses 1'!$B$2:$B$2604,'Form responses 1'!$C$2:$C$2604,""))</f>
        <v>ERIC TJONG/AFRIZAL</v>
      </c>
      <c r="F570" s="44" t="str">
        <f t="array" ref="F570">IF(B570="","",_xlfn.XLOOKUP(B570,'Form responses 1'!$B$2:$B$2604,'Form responses 1'!$D$2:$D$2604,""))</f>
        <v>0813-6751-6751</v>
      </c>
      <c r="G570" s="44" t="str">
        <f t="array" ref="G570">IF(B570="","",_xlfn.XLOOKUP(B570,'Form responses 1'!$B$2:$B$2604,'Form responses 1'!$E$2:$E$2604,""))</f>
        <v>BN JUAL BELI</v>
      </c>
      <c r="H570" s="44" t="str">
        <f t="array" ref="H570">IF(B570="","",_xlfn.XLOOKUP(B570,'Form responses 1'!$B$2:$B$2604,'Form responses 1'!$F$2:$F$2604,""))</f>
        <v>NIBEL B.3071.1/KETEGUHAN</v>
      </c>
      <c r="I570" s="44" t="str">
        <f t="array" ref="I570">IF(B570="","",_xlfn.XLOOKUP(B570,'Form responses 1'!$B$2:$B$2604,'Form responses 1'!$I$2:$I$2604,""))</f>
        <v>KETEGUHAN</v>
      </c>
      <c r="J570" s="44" t="str">
        <f t="array" ref="J570">IF(B570="","",_xlfn.XLOOKUP(B570,'Form responses 1'!$B$2:$B$2604,'Form responses 1'!$G$2:$G$2604,""))</f>
        <v>Baynur</v>
      </c>
      <c r="K570" s="41" t="s">
        <v>2875</v>
      </c>
      <c r="L570" s="52">
        <f t="shared" si="7"/>
        <v>45601.37528</v>
      </c>
      <c r="M570" s="47" t="s">
        <v>5534</v>
      </c>
      <c r="N570" s="49"/>
      <c r="O570" s="49"/>
      <c r="P570" s="49"/>
      <c r="Q570" s="49"/>
      <c r="R570" s="49"/>
      <c r="S570" s="49"/>
      <c r="T570" s="49"/>
      <c r="U570" s="49"/>
      <c r="V570" s="49"/>
      <c r="W570" s="41" t="s">
        <v>618</v>
      </c>
      <c r="X570" s="46">
        <f t="shared" si="5"/>
        <v>45607.42069</v>
      </c>
      <c r="Y570" s="50" t="s">
        <v>482</v>
      </c>
      <c r="Z570" s="49">
        <f t="shared" si="6"/>
        <v>1</v>
      </c>
    </row>
    <row r="571" ht="22.5" customHeight="1">
      <c r="B571" s="41" t="s">
        <v>3364</v>
      </c>
      <c r="C571" s="43">
        <f t="array" ref="C571">IF(B571="","",_xlfn.XLOOKUP(B571,'Form responses 1'!$B$2:$B$2604,'Form responses 1'!$A$2:$A$2604,""))</f>
        <v>45600.48712</v>
      </c>
      <c r="D571" s="44" t="str">
        <f t="shared" si="3"/>
        <v>K/22/041124/2_45600.4871242361</v>
      </c>
      <c r="E571" s="44" t="str">
        <f t="array" ref="E571">IF(B571="","",_xlfn.XLOOKUP(B571,'Form responses 1'!$B$2:$B$2604,'Form responses 1'!$C$2:$C$2604,""))</f>
        <v>YUSUF EFFENDI/AFRIZAL</v>
      </c>
      <c r="F571" s="44" t="str">
        <f t="array" ref="F571">IF(B571="","",_xlfn.XLOOKUP(B571,'Form responses 1'!$B$2:$B$2604,'Form responses 1'!$D$2:$D$2604,""))</f>
        <v>0813-6751-6751</v>
      </c>
      <c r="G571" s="44" t="str">
        <f t="array" ref="G571">IF(B571="","",_xlfn.XLOOKUP(B571,'Form responses 1'!$B$2:$B$2604,'Form responses 1'!$E$2:$E$2604,""))</f>
        <v>BN JUAL BELI</v>
      </c>
      <c r="H571" s="44" t="str">
        <f t="array" ref="H571">IF(B571="","",_xlfn.XLOOKUP(B571,'Form responses 1'!$B$2:$B$2604,'Form responses 1'!$F$2:$F$2604,""))</f>
        <v>M.2660/SUMBER AGUNG-SEKARANG;M.90/BERINGIN RAYA-DAHULU</v>
      </c>
      <c r="I571" s="44" t="str">
        <f t="array" ref="I571">IF(B571="","",_xlfn.XLOOKUP(B571,'Form responses 1'!$B$2:$B$2604,'Form responses 1'!$I$2:$I$2604,""))</f>
        <v>SUMBER AGUNG</v>
      </c>
      <c r="J571" s="44" t="str">
        <f t="array" ref="J571">IF(B571="","",_xlfn.XLOOKUP(B571,'Form responses 1'!$B$2:$B$2604,'Form responses 1'!$G$2:$G$2604,""))</f>
        <v>Baynur</v>
      </c>
      <c r="K571" s="41" t="s">
        <v>2421</v>
      </c>
      <c r="L571" s="52">
        <f t="shared" si="7"/>
        <v>45601.42972</v>
      </c>
      <c r="M571" s="49"/>
      <c r="N571" s="49"/>
      <c r="O571" s="49"/>
      <c r="P571" s="49"/>
      <c r="Q571" s="49"/>
      <c r="R571" s="49"/>
      <c r="S571" s="49"/>
      <c r="T571" s="49"/>
      <c r="U571" s="49"/>
      <c r="V571" s="49"/>
      <c r="W571" s="41" t="s">
        <v>618</v>
      </c>
      <c r="X571" s="46">
        <f t="shared" si="5"/>
        <v>45602.51145</v>
      </c>
      <c r="Y571" s="50" t="s">
        <v>482</v>
      </c>
      <c r="Z571" s="49">
        <f t="shared" si="6"/>
        <v>0</v>
      </c>
    </row>
    <row r="572" ht="22.5" customHeight="1">
      <c r="B572" s="41" t="s">
        <v>3401</v>
      </c>
      <c r="C572" s="43">
        <f t="array" ref="C572">IF(B572="","",_xlfn.XLOOKUP(B572,'Form responses 1'!$B$2:$B$2604,'Form responses 1'!$A$2:$A$2604,""))</f>
        <v>45600.56736</v>
      </c>
      <c r="D572" s="44" t="str">
        <f t="shared" si="3"/>
        <v>K/33/041124/1_45600.5673648727</v>
      </c>
      <c r="E572" s="44" t="str">
        <f t="array" ref="E572">IF(B572="","",_xlfn.XLOOKUP(B572,'Form responses 1'!$B$2:$B$2604,'Form responses 1'!$C$2:$C$2604,""))</f>
        <v>Erista S/ Desi S</v>
      </c>
      <c r="F572" s="44" t="str">
        <f t="array" ref="F572">IF(B572="","",_xlfn.XLOOKUP(B572,'Form responses 1'!$B$2:$B$2604,'Form responses 1'!$D$2:$D$2604,""))</f>
        <v>+62 822-8262-6966</v>
      </c>
      <c r="G572" s="44" t="str">
        <f t="array" ref="G572">IF(B572="","",_xlfn.XLOOKUP(B572,'Form responses 1'!$B$2:$B$2604,'Form responses 1'!$E$2:$E$2604,""))</f>
        <v>BN Jual Beli</v>
      </c>
      <c r="H572" s="44" t="str">
        <f t="array" ref="H572">IF(B572="","",_xlfn.XLOOKUP(B572,'Form responses 1'!$B$2:$B$2604,'Form responses 1'!$F$2:$F$2604,""))</f>
        <v>Nibel. M. 2196/ Gunung Terang</v>
      </c>
      <c r="I572" s="44" t="str">
        <f t="array" ref="I572">IF(B572="","",_xlfn.XLOOKUP(B572,'Form responses 1'!$B$2:$B$2604,'Form responses 1'!$I$2:$I$2604,""))</f>
        <v>Gunung Terang</v>
      </c>
      <c r="J572" s="44" t="str">
        <f t="array" ref="J572">IF(B572="","",_xlfn.XLOOKUP(B572,'Form responses 1'!$B$2:$B$2604,'Form responses 1'!$G$2:$G$2604,""))</f>
        <v>Rapita</v>
      </c>
      <c r="K572" s="41" t="s">
        <v>2421</v>
      </c>
      <c r="L572" s="52">
        <f t="shared" si="7"/>
        <v>45601.42973</v>
      </c>
      <c r="M572" s="49"/>
      <c r="N572" s="49"/>
      <c r="O572" s="49"/>
      <c r="P572" s="49"/>
      <c r="Q572" s="49"/>
      <c r="R572" s="49"/>
      <c r="S572" s="49"/>
      <c r="T572" s="49"/>
      <c r="U572" s="49"/>
      <c r="V572" s="49"/>
      <c r="W572" s="41" t="s">
        <v>618</v>
      </c>
      <c r="X572" s="46">
        <f t="shared" si="5"/>
        <v>45602.5383</v>
      </c>
      <c r="Y572" s="50" t="s">
        <v>482</v>
      </c>
      <c r="Z572" s="49">
        <f t="shared" si="6"/>
        <v>0</v>
      </c>
    </row>
    <row r="573" ht="22.5" customHeight="1">
      <c r="B573" s="41" t="s">
        <v>3327</v>
      </c>
      <c r="C573" s="43">
        <f t="array" ref="C573">IF(B573="","",_xlfn.XLOOKUP(B573,'Form responses 1'!$B$2:$B$2604,'Form responses 1'!$A$2:$A$2604,""))</f>
        <v>45600.43984</v>
      </c>
      <c r="D573" s="44" t="str">
        <f t="shared" si="3"/>
        <v>K/13/041124/4_45600.4398435764</v>
      </c>
      <c r="E573" s="44" t="str">
        <f t="array" ref="E573">IF(B573="","",_xlfn.XLOOKUP(B573,'Form responses 1'!$B$2:$B$2604,'Form responses 1'!$C$2:$C$2604,""))</f>
        <v>PT GUNUNG SULAH MEDIKA/WHINDA YULIANTI</v>
      </c>
      <c r="F573" s="44" t="str">
        <f t="array" ref="F573">IF(B573="","",_xlfn.XLOOKUP(B573,'Form responses 1'!$B$2:$B$2604,'Form responses 1'!$D$2:$D$2604,""))</f>
        <v>0812-5557-2168</v>
      </c>
      <c r="G573" s="44" t="str">
        <f t="array" ref="G573">IF(B573="","",_xlfn.XLOOKUP(B573,'Form responses 1'!$B$2:$B$2604,'Form responses 1'!$E$2:$E$2604,""))</f>
        <v>BN JUAL BELI</v>
      </c>
      <c r="H573" s="44" t="str">
        <f t="array" ref="H573">IF(B573="","",_xlfn.XLOOKUP(B573,'Form responses 1'!$B$2:$B$2604,'Form responses 1'!$F$2:$F$2604,""))</f>
        <v>NIBEL B.507/GUNUNG SULAH</v>
      </c>
      <c r="I573" s="44" t="str">
        <f t="array" ref="I573">IF(B573="","",_xlfn.XLOOKUP(B573,'Form responses 1'!$B$2:$B$2604,'Form responses 1'!$I$2:$I$2604,""))</f>
        <v>GUNUNG SULAH</v>
      </c>
      <c r="J573" s="44" t="str">
        <f t="array" ref="J573">IF(B573="","",_xlfn.XLOOKUP(B573,'Form responses 1'!$B$2:$B$2604,'Form responses 1'!$G$2:$G$2604,""))</f>
        <v>Baynur</v>
      </c>
      <c r="K573" s="41" t="s">
        <v>2421</v>
      </c>
      <c r="L573" s="52">
        <f t="shared" si="7"/>
        <v>45601.42975</v>
      </c>
      <c r="M573" s="47" t="s">
        <v>5535</v>
      </c>
      <c r="N573" s="49"/>
      <c r="O573" s="49"/>
      <c r="P573" s="49"/>
      <c r="Q573" s="49"/>
      <c r="R573" s="49"/>
      <c r="S573" s="49"/>
      <c r="T573" s="49"/>
      <c r="U573" s="49"/>
      <c r="V573" s="49"/>
      <c r="W573" s="41" t="s">
        <v>618</v>
      </c>
      <c r="X573" s="46">
        <f t="shared" si="5"/>
        <v>45608.44448</v>
      </c>
      <c r="Y573" s="50" t="s">
        <v>482</v>
      </c>
      <c r="Z573" s="49">
        <f t="shared" si="6"/>
        <v>1</v>
      </c>
    </row>
    <row r="574" ht="22.5" customHeight="1">
      <c r="B574" s="41" t="s">
        <v>3319</v>
      </c>
      <c r="C574" s="43">
        <f t="array" ref="C574">IF(B574="","",_xlfn.XLOOKUP(B574,'Form responses 1'!$B$2:$B$2604,'Form responses 1'!$A$2:$A$2604,""))</f>
        <v>45600.4292</v>
      </c>
      <c r="D574" s="44" t="str">
        <f t="shared" si="3"/>
        <v>K/9/041124/1_45600.429202662</v>
      </c>
      <c r="E574" s="44" t="str">
        <f t="array" ref="E574">IF(B574="","",_xlfn.XLOOKUP(B574,'Form responses 1'!$B$2:$B$2604,'Form responses 1'!$C$2:$C$2604,""))</f>
        <v>PT CIPTA ABADI PRIMA SEJAHTERA/WHINDA YULIANTI</v>
      </c>
      <c r="F574" s="44" t="str">
        <f t="array" ref="F574">IF(B574="","",_xlfn.XLOOKUP(B574,'Form responses 1'!$B$2:$B$2604,'Form responses 1'!$D$2:$D$2604,""))</f>
        <v>0812-5557-2168</v>
      </c>
      <c r="G574" s="44" t="str">
        <f t="array" ref="G574">IF(B574="","",_xlfn.XLOOKUP(B574,'Form responses 1'!$B$2:$B$2604,'Form responses 1'!$E$2:$E$2604,""))</f>
        <v>BN JUAL BELI</v>
      </c>
      <c r="H574" s="44" t="str">
        <f t="array" ref="H574">IF(B574="","",_xlfn.XLOOKUP(B574,'Form responses 1'!$B$2:$B$2604,'Form responses 1'!$F$2:$F$2604,""))</f>
        <v>IBEL B.640/CAMPANG RAYA</v>
      </c>
      <c r="I574" s="44" t="str">
        <f t="array" ref="I574">IF(B574="","",_xlfn.XLOOKUP(B574,'Form responses 1'!$B$2:$B$2604,'Form responses 1'!$I$2:$I$2604,""))</f>
        <v>CAMPANG RAYA</v>
      </c>
      <c r="J574" s="44" t="str">
        <f t="array" ref="J574">IF(B574="","",_xlfn.XLOOKUP(B574,'Form responses 1'!$B$2:$B$2604,'Form responses 1'!$G$2:$G$2604,""))</f>
        <v>Baynur</v>
      </c>
      <c r="K574" s="41" t="s">
        <v>2421</v>
      </c>
      <c r="L574" s="52">
        <f t="shared" si="7"/>
        <v>45601.42977</v>
      </c>
      <c r="M574" s="47" t="s">
        <v>5536</v>
      </c>
      <c r="N574" s="49"/>
      <c r="O574" s="49"/>
      <c r="P574" s="49"/>
      <c r="Q574" s="49"/>
      <c r="R574" s="49"/>
      <c r="S574" s="49"/>
      <c r="T574" s="49"/>
      <c r="U574" s="49"/>
      <c r="V574" s="49"/>
      <c r="W574" s="41" t="s">
        <v>618</v>
      </c>
      <c r="X574" s="46">
        <f t="shared" si="5"/>
        <v>45608.44693</v>
      </c>
      <c r="Y574" s="50" t="s">
        <v>482</v>
      </c>
      <c r="Z574" s="49">
        <f t="shared" si="6"/>
        <v>1</v>
      </c>
    </row>
    <row r="575" ht="22.5" customHeight="1">
      <c r="B575" s="41" t="s">
        <v>3428</v>
      </c>
      <c r="C575" s="43">
        <f t="array" ref="C575">IF(B575="","",_xlfn.XLOOKUP(B575,'Form responses 1'!$B$2:$B$2604,'Form responses 1'!$A$2:$A$2604,""))</f>
        <v>45600.59083</v>
      </c>
      <c r="D575" s="44" t="str">
        <f t="shared" si="3"/>
        <v>L/40/041124/1_45600.5908290972</v>
      </c>
      <c r="E575" s="44" t="str">
        <f t="array" ref="E575">IF(B575="","",_xlfn.XLOOKUP(B575,'Form responses 1'!$B$2:$B$2604,'Form responses 1'!$C$2:$C$2604,""))</f>
        <v>FIRMANSYAH</v>
      </c>
      <c r="F575" s="44" t="str">
        <f t="array" ref="F575">IF(B575="","",_xlfn.XLOOKUP(B575,'Form responses 1'!$B$2:$B$2604,'Form responses 1'!$D$2:$D$2604,""))</f>
        <v>08127946484</v>
      </c>
      <c r="G575" s="44" t="str">
        <f t="array" ref="G575">IF(B575="","",_xlfn.XLOOKUP(B575,'Form responses 1'!$B$2:$B$2604,'Form responses 1'!$E$2:$E$2604,""))</f>
        <v>ROYA</v>
      </c>
      <c r="H575" s="44" t="str">
        <f t="array" ref="H575">IF(B575="","",_xlfn.XLOOKUP(B575,'Form responses 1'!$B$2:$B$2604,'Form responses 1'!$F$2:$F$2604,""))</f>
        <v>M.1706/PERUMNAS WAY HALIM</v>
      </c>
      <c r="I575" s="44" t="str">
        <f t="array" ref="I575">IF(B575="","",_xlfn.XLOOKUP(B575,'Form responses 1'!$B$2:$B$2604,'Form responses 1'!$I$2:$I$2604,""))</f>
        <v>PERUMNAS WAY HALIM</v>
      </c>
      <c r="J575" s="44" t="str">
        <f t="array" ref="J575">IF(B575="","",_xlfn.XLOOKUP(B575,'Form responses 1'!$B$2:$B$2604,'Form responses 1'!$G$2:$G$2604,""))</f>
        <v>Deby</v>
      </c>
      <c r="K575" s="41" t="s">
        <v>2421</v>
      </c>
      <c r="L575" s="52">
        <f t="shared" si="7"/>
        <v>45601.42979</v>
      </c>
      <c r="M575" s="47" t="s">
        <v>5537</v>
      </c>
      <c r="N575" s="49"/>
      <c r="O575" s="49"/>
      <c r="P575" s="49"/>
      <c r="Q575" s="49"/>
      <c r="R575" s="49"/>
      <c r="S575" s="49"/>
      <c r="T575" s="49"/>
      <c r="U575" s="49"/>
      <c r="V575" s="49"/>
      <c r="W575" s="41" t="s">
        <v>470</v>
      </c>
      <c r="X575" s="46">
        <f t="shared" si="5"/>
        <v>45602.48203</v>
      </c>
      <c r="Y575" s="50" t="s">
        <v>482</v>
      </c>
      <c r="Z575" s="49">
        <f t="shared" si="6"/>
        <v>1</v>
      </c>
    </row>
    <row r="576" ht="22.5" customHeight="1">
      <c r="B576" s="41" t="s">
        <v>3291</v>
      </c>
      <c r="C576" s="43">
        <f t="array" ref="C576">IF(B576="","",_xlfn.XLOOKUP(B576,'Form responses 1'!$B$2:$B$2604,'Form responses 1'!$A$2:$A$2604,""))</f>
        <v>45600.39408</v>
      </c>
      <c r="D576" s="44" t="str">
        <f t="shared" si="3"/>
        <v>K/2/041125/1_45600.3940841551</v>
      </c>
      <c r="E576" s="44" t="str">
        <f t="array" ref="E576">IF(B576="","",_xlfn.XLOOKUP(B576,'Form responses 1'!$B$2:$B$2604,'Form responses 1'!$C$2:$C$2604,""))</f>
        <v>ARIS ARDIANSYAH/ EPI PARELA</v>
      </c>
      <c r="F576" s="44" t="str">
        <f t="array" ref="F576">IF(B576="","",_xlfn.XLOOKUP(B576,'Form responses 1'!$B$2:$B$2604,'Form responses 1'!$D$2:$D$2604,""))</f>
        <v>082111164075</v>
      </c>
      <c r="G576" s="44" t="str">
        <f t="array" ref="G576">IF(B576="","",_xlfn.XLOOKUP(B576,'Form responses 1'!$B$2:$B$2604,'Form responses 1'!$E$2:$E$2604,""))</f>
        <v>ROYA</v>
      </c>
      <c r="H576" s="44" t="str">
        <f t="array" ref="H576">IF(B576="","",_xlfn.XLOOKUP(B576,'Form responses 1'!$B$2:$B$2604,'Form responses 1'!$F$2:$F$2604,""))</f>
        <v>M. 1233/ Talang</v>
      </c>
      <c r="I576" s="44" t="str">
        <f t="array" ref="I576">IF(B576="","",_xlfn.XLOOKUP(B576,'Form responses 1'!$B$2:$B$2604,'Form responses 1'!$I$2:$I$2604,""))</f>
        <v>Talang</v>
      </c>
      <c r="J576" s="44" t="str">
        <f t="array" ref="J576">IF(B576="","",_xlfn.XLOOKUP(B576,'Form responses 1'!$B$2:$B$2604,'Form responses 1'!$G$2:$G$2604,""))</f>
        <v>Hananda</v>
      </c>
      <c r="K576" s="41" t="s">
        <v>2421</v>
      </c>
      <c r="L576" s="52">
        <f t="shared" si="7"/>
        <v>45601.42981</v>
      </c>
      <c r="M576" s="47" t="s">
        <v>5538</v>
      </c>
      <c r="N576" s="49"/>
      <c r="O576" s="49"/>
      <c r="P576" s="49"/>
      <c r="Q576" s="49"/>
      <c r="R576" s="49"/>
      <c r="S576" s="49"/>
      <c r="T576" s="49"/>
      <c r="U576" s="49"/>
      <c r="V576" s="49"/>
      <c r="W576" s="41" t="s">
        <v>618</v>
      </c>
      <c r="X576" s="46">
        <f t="shared" si="5"/>
        <v>45602.47007</v>
      </c>
      <c r="Y576" s="50" t="s">
        <v>482</v>
      </c>
      <c r="Z576" s="49">
        <f t="shared" si="6"/>
        <v>1</v>
      </c>
    </row>
    <row r="577" ht="22.5" customHeight="1">
      <c r="B577" s="41" t="s">
        <v>3463</v>
      </c>
      <c r="C577" s="43">
        <f t="array" ref="C577">IF(B577="","",_xlfn.XLOOKUP(B577,'Form responses 1'!$B$2:$B$2604,'Form responses 1'!$A$2:$A$2604,""))</f>
        <v>45600.61852</v>
      </c>
      <c r="D577" s="44" t="str">
        <f t="shared" si="3"/>
        <v>K/49/041124/1_45600.6185200347</v>
      </c>
      <c r="E577" s="44" t="str">
        <f t="array" ref="E577">IF(B577="","",_xlfn.XLOOKUP(B577,'Form responses 1'!$B$2:$B$2604,'Form responses 1'!$C$2:$C$2604,""))</f>
        <v>DEWI MAYANG SURI DJAUSAL/RICHARD ADI PRASTYA</v>
      </c>
      <c r="F577" s="44" t="str">
        <f t="array" ref="F577">IF(B577="","",_xlfn.XLOOKUP(B577,'Form responses 1'!$B$2:$B$2604,'Form responses 1'!$D$2:$D$2604,""))</f>
        <v>0852-7999-7821</v>
      </c>
      <c r="G577" s="44" t="str">
        <f t="array" ref="G577">IF(B577="","",_xlfn.XLOOKUP(B577,'Form responses 1'!$B$2:$B$2604,'Form responses 1'!$E$2:$E$2604,""))</f>
        <v>HIBAH</v>
      </c>
      <c r="H577" s="44" t="str">
        <f t="array" ref="H577">IF(B577="","",_xlfn.XLOOKUP(B577,'Form responses 1'!$B$2:$B$2604,'Form responses 1'!$F$2:$F$2604,""))</f>
        <v>M.9336/GEDONG MENENG</v>
      </c>
      <c r="I577" s="44" t="str">
        <f t="array" ref="I577">IF(B577="","",_xlfn.XLOOKUP(B577,'Form responses 1'!$B$2:$B$2604,'Form responses 1'!$I$2:$I$2604,""))</f>
        <v>GEDONG MENENG</v>
      </c>
      <c r="J577" s="44" t="str">
        <f t="array" ref="J577">IF(B577="","",_xlfn.XLOOKUP(B577,'Form responses 1'!$B$2:$B$2604,'Form responses 1'!$G$2:$G$2604,""))</f>
        <v>Baynur</v>
      </c>
      <c r="K577" s="41" t="s">
        <v>2421</v>
      </c>
      <c r="L577" s="52">
        <f t="shared" si="7"/>
        <v>45601.42983</v>
      </c>
      <c r="M577" s="49"/>
      <c r="N577" s="49"/>
      <c r="O577" s="49"/>
      <c r="P577" s="49"/>
      <c r="Q577" s="49"/>
      <c r="R577" s="49"/>
      <c r="S577" s="49"/>
      <c r="T577" s="49"/>
      <c r="U577" s="49"/>
      <c r="V577" s="49"/>
      <c r="W577" s="41" t="s">
        <v>618</v>
      </c>
      <c r="X577" s="46">
        <f t="shared" si="5"/>
        <v>45601.54697</v>
      </c>
      <c r="Y577" s="50" t="s">
        <v>482</v>
      </c>
      <c r="Z577" s="49">
        <f t="shared" si="6"/>
        <v>0</v>
      </c>
    </row>
    <row r="578" ht="22.5" customHeight="1">
      <c r="B578" s="41" t="s">
        <v>2719</v>
      </c>
      <c r="C578" s="43">
        <f t="array" ref="C578">IF(B578="","",_xlfn.XLOOKUP(B578,'Form responses 1'!$B$2:$B$2604,'Form responses 1'!$A$2:$A$2604,""))</f>
        <v>45595.44309</v>
      </c>
      <c r="D578" s="44" t="str">
        <f t="shared" si="3"/>
        <v>K/9/301024/1_45595.4430907523</v>
      </c>
      <c r="E578" s="44" t="str">
        <f t="array" ref="E578">IF(B578="","",_xlfn.XLOOKUP(B578,'Form responses 1'!$B$2:$B$2604,'Form responses 1'!$C$2:$C$2604,""))</f>
        <v>Evi Udin/ Valeri A W</v>
      </c>
      <c r="F578" s="44" t="str">
        <f t="array" ref="F578">IF(B578="","",_xlfn.XLOOKUP(B578,'Form responses 1'!$B$2:$B$2604,'Form responses 1'!$D$2:$D$2604,""))</f>
        <v>+62 821-8499-9559</v>
      </c>
      <c r="G578" s="44" t="str">
        <f t="array" ref="G578">IF(B578="","",_xlfn.XLOOKUP(B578,'Form responses 1'!$B$2:$B$2604,'Form responses 1'!$E$2:$E$2604,""))</f>
        <v>BN Jual Beli</v>
      </c>
      <c r="H578" s="44" t="str">
        <f t="array" ref="H578">IF(B578="","",_xlfn.XLOOKUP(B578,'Form responses 1'!$B$2:$B$2604,'Form responses 1'!$F$2:$F$2604,""))</f>
        <v>M. 18827/ Sukarame</v>
      </c>
      <c r="I578" s="44" t="str">
        <f t="array" ref="I578">IF(B578="","",_xlfn.XLOOKUP(B578,'Form responses 1'!$B$2:$B$2604,'Form responses 1'!$I$2:$I$2604,""))</f>
        <v>Sukarame</v>
      </c>
      <c r="J578" s="44" t="str">
        <f t="array" ref="J578">IF(B578="","",_xlfn.XLOOKUP(B578,'Form responses 1'!$B$2:$B$2604,'Form responses 1'!$G$2:$G$2604,""))</f>
        <v>Rapita</v>
      </c>
      <c r="K578" s="41" t="s">
        <v>2875</v>
      </c>
      <c r="L578" s="52">
        <f t="shared" si="7"/>
        <v>45601.5578</v>
      </c>
      <c r="M578" s="49"/>
      <c r="N578" s="49"/>
      <c r="O578" s="49"/>
      <c r="P578" s="49"/>
      <c r="Q578" s="49"/>
      <c r="R578" s="49"/>
      <c r="S578" s="49"/>
      <c r="T578" s="49"/>
      <c r="U578" s="49"/>
      <c r="V578" s="49"/>
      <c r="W578" s="41" t="s">
        <v>618</v>
      </c>
      <c r="X578" s="46">
        <f t="shared" si="5"/>
        <v>45601.55786</v>
      </c>
      <c r="Y578" s="50" t="s">
        <v>482</v>
      </c>
      <c r="Z578" s="49">
        <f t="shared" si="6"/>
        <v>0</v>
      </c>
    </row>
    <row r="579" ht="22.5" customHeight="1">
      <c r="B579" s="41" t="s">
        <v>3405</v>
      </c>
      <c r="C579" s="43">
        <f t="array" ref="C579">IF(B579="","",_xlfn.XLOOKUP(B579,'Form responses 1'!$B$2:$B$2604,'Form responses 1'!$A$2:$A$2604,""))</f>
        <v>45600.57295</v>
      </c>
      <c r="D579" s="44" t="str">
        <f t="shared" si="3"/>
        <v>K/34/041124/1_45600.5729510417</v>
      </c>
      <c r="E579" s="44" t="str">
        <f t="array" ref="E579">IF(B579="","",_xlfn.XLOOKUP(B579,'Form responses 1'!$B$2:$B$2604,'Form responses 1'!$C$2:$C$2604,""))</f>
        <v>Robin/ Samaya Cs</v>
      </c>
      <c r="F579" s="44" t="str">
        <f t="array" ref="F579">IF(B579="","",_xlfn.XLOOKUP(B579,'Form responses 1'!$B$2:$B$2604,'Form responses 1'!$D$2:$D$2604,""))</f>
        <v>081911299239</v>
      </c>
      <c r="G579" s="44" t="str">
        <f t="array" ref="G579">IF(B579="","",_xlfn.XLOOKUP(B579,'Form responses 1'!$B$2:$B$2604,'Form responses 1'!$E$2:$E$2604,""))</f>
        <v>PTPGT (Pemecahan)</v>
      </c>
      <c r="H579" s="44" t="str">
        <f t="array" ref="H579">IF(B579="","",_xlfn.XLOOKUP(B579,'Form responses 1'!$B$2:$B$2604,'Form responses 1'!$F$2:$F$2604,""))</f>
        <v>M. 2958/ Kota Baru</v>
      </c>
      <c r="I579" s="44" t="str">
        <f t="array" ref="I579">IF(B579="","",_xlfn.XLOOKUP(B579,'Form responses 1'!$B$2:$B$2604,'Form responses 1'!$I$2:$I$2604,""))</f>
        <v>Kota Baru</v>
      </c>
      <c r="J579" s="44" t="str">
        <f t="array" ref="J579">IF(B579="","",_xlfn.XLOOKUP(B579,'Form responses 1'!$B$2:$B$2604,'Form responses 1'!$G$2:$G$2604,""))</f>
        <v>Rapita</v>
      </c>
      <c r="K579" s="41" t="s">
        <v>422</v>
      </c>
      <c r="L579" s="52">
        <f t="shared" si="7"/>
        <v>45601.63579</v>
      </c>
      <c r="M579" s="47" t="s">
        <v>5539</v>
      </c>
      <c r="N579" s="47" t="s">
        <v>5540</v>
      </c>
      <c r="O579" s="47" t="s">
        <v>5541</v>
      </c>
      <c r="P579" s="49"/>
      <c r="Q579" s="49"/>
      <c r="R579" s="49"/>
      <c r="S579" s="49"/>
      <c r="T579" s="49"/>
      <c r="U579" s="49"/>
      <c r="V579" s="49"/>
      <c r="W579" s="41" t="s">
        <v>618</v>
      </c>
      <c r="X579" s="46">
        <f t="shared" si="5"/>
        <v>45604.69068</v>
      </c>
      <c r="Y579" s="50" t="s">
        <v>482</v>
      </c>
      <c r="Z579" s="49">
        <f t="shared" si="6"/>
        <v>3</v>
      </c>
    </row>
    <row r="580" ht="22.5" customHeight="1">
      <c r="B580" s="41" t="s">
        <v>3350</v>
      </c>
      <c r="C580" s="43">
        <f t="array" ref="C580">IF(B580="","",_xlfn.XLOOKUP(B580,'Form responses 1'!$B$2:$B$2604,'Form responses 1'!$A$2:$A$2604,""))</f>
        <v>45600.47428</v>
      </c>
      <c r="D580" s="44" t="str">
        <f t="shared" si="3"/>
        <v>K/11/041124/1_45600.4742830093</v>
      </c>
      <c r="E580" s="44" t="str">
        <f t="array" ref="E580">IF(B580="","",_xlfn.XLOOKUP(B580,'Form responses 1'!$B$2:$B$2604,'Form responses 1'!$C$2:$C$2604,""))</f>
        <v>Dian Eka S. Gustia Yolanda</v>
      </c>
      <c r="F580" s="44" t="str">
        <f t="array" ref="F580">IF(B580="","",_xlfn.XLOOKUP(B580,'Form responses 1'!$B$2:$B$2604,'Form responses 1'!$D$2:$D$2604,""))</f>
        <v>+62 821-8404-4433</v>
      </c>
      <c r="G580" s="44" t="str">
        <f t="array" ref="G580">IF(B580="","",_xlfn.XLOOKUP(B580,'Form responses 1'!$B$2:$B$2604,'Form responses 1'!$E$2:$E$2604,""))</f>
        <v>BN Jual Beli</v>
      </c>
      <c r="H580" s="44" t="str">
        <f t="array" ref="H580">IF(B580="","",_xlfn.XLOOKUP(B580,'Form responses 1'!$B$2:$B$2604,'Form responses 1'!$F$2:$F$2604,""))</f>
        <v>M. 1346/ Sumberrejo</v>
      </c>
      <c r="I580" s="44" t="str">
        <f t="array" ref="I580">IF(B580="","",_xlfn.XLOOKUP(B580,'Form responses 1'!$B$2:$B$2604,'Form responses 1'!$I$2:$I$2604,""))</f>
        <v>Sumberrejo</v>
      </c>
      <c r="J580" s="44" t="str">
        <f t="array" ref="J580">IF(B580="","",_xlfn.XLOOKUP(B580,'Form responses 1'!$B$2:$B$2604,'Form responses 1'!$G$2:$G$2604,""))</f>
        <v>Rapita</v>
      </c>
      <c r="K580" s="41" t="s">
        <v>422</v>
      </c>
      <c r="L580" s="52">
        <f t="shared" si="7"/>
        <v>45601.63579</v>
      </c>
      <c r="M580" s="49"/>
      <c r="N580" s="49"/>
      <c r="O580" s="49"/>
      <c r="P580" s="49"/>
      <c r="Q580" s="49"/>
      <c r="R580" s="49"/>
      <c r="S580" s="49"/>
      <c r="T580" s="49"/>
      <c r="U580" s="49"/>
      <c r="V580" s="49"/>
      <c r="W580" s="41" t="s">
        <v>618</v>
      </c>
      <c r="X580" s="46">
        <f t="shared" si="5"/>
        <v>45602.41114</v>
      </c>
      <c r="Y580" s="50" t="s">
        <v>482</v>
      </c>
      <c r="Z580" s="49">
        <f t="shared" si="6"/>
        <v>0</v>
      </c>
    </row>
    <row r="581" ht="22.5" customHeight="1">
      <c r="B581" s="41" t="s">
        <v>3377</v>
      </c>
      <c r="C581" s="43">
        <f t="array" ref="C581">IF(B581="","",_xlfn.XLOOKUP(B581,'Form responses 1'!$B$2:$B$2604,'Form responses 1'!$A$2:$A$2604,""))</f>
        <v>45600.49369</v>
      </c>
      <c r="D581" s="44" t="str">
        <f t="shared" si="3"/>
        <v>K/26/041124/2_45600.4936902083</v>
      </c>
      <c r="E581" s="44" t="str">
        <f t="array" ref="E581">IF(B581="","",_xlfn.XLOOKUP(B581,'Form responses 1'!$B$2:$B$2604,'Form responses 1'!$C$2:$C$2604,""))</f>
        <v>EVI UDIN/ NIRAWATI TAN</v>
      </c>
      <c r="F581" s="44" t="str">
        <f t="array" ref="F581">IF(B581="","",_xlfn.XLOOKUP(B581,'Form responses 1'!$B$2:$B$2604,'Form responses 1'!$D$2:$D$2604,""))</f>
        <v>081285999559</v>
      </c>
      <c r="G581" s="44" t="str">
        <f t="array" ref="G581">IF(B581="","",_xlfn.XLOOKUP(B581,'Form responses 1'!$B$2:$B$2604,'Form responses 1'!$E$2:$E$2604,""))</f>
        <v>BN JUAL BELI</v>
      </c>
      <c r="H581" s="44" t="str">
        <f t="array" ref="H581">IF(B581="","",_xlfn.XLOOKUP(B581,'Form responses 1'!$B$2:$B$2604,'Form responses 1'!$F$2:$F$2604,""))</f>
        <v>Nibel 2271/ Way Halim Permai</v>
      </c>
      <c r="I581" s="44" t="str">
        <f t="array" ref="I581">IF(B581="","",_xlfn.XLOOKUP(B581,'Form responses 1'!$B$2:$B$2604,'Form responses 1'!$I$2:$I$2604,""))</f>
        <v>Way Halim Permai</v>
      </c>
      <c r="J581" s="44" t="str">
        <f t="array" ref="J581">IF(B581="","",_xlfn.XLOOKUP(B581,'Form responses 1'!$B$2:$B$2604,'Form responses 1'!$G$2:$G$2604,""))</f>
        <v>Hananda</v>
      </c>
      <c r="K581" s="41" t="s">
        <v>422</v>
      </c>
      <c r="L581" s="52">
        <f t="shared" si="7"/>
        <v>45601.63579</v>
      </c>
      <c r="M581" s="49"/>
      <c r="N581" s="49"/>
      <c r="O581" s="49"/>
      <c r="P581" s="49"/>
      <c r="Q581" s="49"/>
      <c r="R581" s="49"/>
      <c r="S581" s="49"/>
      <c r="T581" s="49"/>
      <c r="U581" s="49"/>
      <c r="V581" s="49"/>
      <c r="W581" s="41" t="s">
        <v>618</v>
      </c>
      <c r="X581" s="46">
        <f t="shared" si="5"/>
        <v>45602.42988</v>
      </c>
      <c r="Y581" s="50" t="s">
        <v>482</v>
      </c>
      <c r="Z581" s="49">
        <f t="shared" si="6"/>
        <v>0</v>
      </c>
    </row>
    <row r="582" ht="22.5" customHeight="1">
      <c r="B582" s="41" t="s">
        <v>3329</v>
      </c>
      <c r="C582" s="43">
        <f t="array" ref="C582">IF(B582="","",_xlfn.XLOOKUP(B582,'Form responses 1'!$B$2:$B$2604,'Form responses 1'!$A$2:$A$2604,""))</f>
        <v>45600.44639</v>
      </c>
      <c r="D582" s="44" t="str">
        <f t="shared" si="3"/>
        <v>K/8/041124/1_45600.4463916551</v>
      </c>
      <c r="E582" s="44" t="str">
        <f t="array" ref="E582">IF(B582="","",_xlfn.XLOOKUP(B582,'Form responses 1'!$B$2:$B$2604,'Form responses 1'!$C$2:$C$2604,""))</f>
        <v>A ROSWANTAMA/ EMITA CS</v>
      </c>
      <c r="F582" s="44" t="str">
        <f t="array" ref="F582">IF(B582="","",_xlfn.XLOOKUP(B582,'Form responses 1'!$B$2:$B$2604,'Form responses 1'!$D$2:$D$2604,""))</f>
        <v>+62 813-6948-8565</v>
      </c>
      <c r="G582" s="44" t="str">
        <f t="array" ref="G582">IF(B582="","",_xlfn.XLOOKUP(B582,'Form responses 1'!$B$2:$B$2604,'Form responses 1'!$E$2:$E$2604,""))</f>
        <v>BN WARIS</v>
      </c>
      <c r="H582" s="44" t="str">
        <f t="array" ref="H582">IF(B582="","",_xlfn.XLOOKUP(B582,'Form responses 1'!$B$2:$B$2604,'Form responses 1'!$F$2:$F$2604,""))</f>
        <v>M. 3227/ TANJUNG SENENG</v>
      </c>
      <c r="I582" s="44" t="str">
        <f t="array" ref="I582">IF(B582="","",_xlfn.XLOOKUP(B582,'Form responses 1'!$B$2:$B$2604,'Form responses 1'!$I$2:$I$2604,""))</f>
        <v>TANJUNG SENENG</v>
      </c>
      <c r="J582" s="44" t="str">
        <f t="array" ref="J582">IF(B582="","",_xlfn.XLOOKUP(B582,'Form responses 1'!$B$2:$B$2604,'Form responses 1'!$G$2:$G$2604,""))</f>
        <v>Hananda</v>
      </c>
      <c r="K582" s="41" t="s">
        <v>422</v>
      </c>
      <c r="L582" s="52">
        <f t="shared" si="7"/>
        <v>45601.63579</v>
      </c>
      <c r="M582" s="49"/>
      <c r="N582" s="49"/>
      <c r="O582" s="49"/>
      <c r="P582" s="49"/>
      <c r="Q582" s="49"/>
      <c r="R582" s="49"/>
      <c r="S582" s="49"/>
      <c r="T582" s="49"/>
      <c r="U582" s="49"/>
      <c r="V582" s="49"/>
      <c r="W582" s="41" t="s">
        <v>618</v>
      </c>
      <c r="X582" s="46">
        <f t="shared" si="5"/>
        <v>45601.63579</v>
      </c>
      <c r="Y582" s="50" t="s">
        <v>482</v>
      </c>
      <c r="Z582" s="49">
        <f t="shared" si="6"/>
        <v>0</v>
      </c>
    </row>
    <row r="583" ht="22.5" customHeight="1">
      <c r="B583" s="41" t="s">
        <v>3385</v>
      </c>
      <c r="C583" s="43">
        <f t="array" ref="C583">IF(B583="","",_xlfn.XLOOKUP(B583,'Form responses 1'!$B$2:$B$2604,'Form responses 1'!$A$2:$A$2604,""))</f>
        <v>45600.49642</v>
      </c>
      <c r="D583" s="44" t="str">
        <f t="shared" si="3"/>
        <v>K/28/041124/2_45600.4964196065</v>
      </c>
      <c r="E583" s="44" t="str">
        <f t="array" ref="E583">IF(B583="","",_xlfn.XLOOKUP(B583,'Form responses 1'!$B$2:$B$2604,'Form responses 1'!$C$2:$C$2604,""))</f>
        <v>Ilanur/ Clara C D</v>
      </c>
      <c r="F583" s="44" t="str">
        <f t="array" ref="F583">IF(B583="","",_xlfn.XLOOKUP(B583,'Form responses 1'!$B$2:$B$2604,'Form responses 1'!$D$2:$D$2604,""))</f>
        <v>+62 897-9122-178</v>
      </c>
      <c r="G583" s="44" t="str">
        <f t="array" ref="G583">IF(B583="","",_xlfn.XLOOKUP(B583,'Form responses 1'!$B$2:$B$2604,'Form responses 1'!$E$2:$E$2604,""))</f>
        <v>BN Jual Beli</v>
      </c>
      <c r="H583" s="44" t="str">
        <f t="array" ref="H583">IF(B583="","",_xlfn.XLOOKUP(B583,'Form responses 1'!$B$2:$B$2604,'Form responses 1'!$F$2:$F$2604,""))</f>
        <v>M. 2253/ Kedaung</v>
      </c>
      <c r="I583" s="44" t="str">
        <f t="array" ref="I583">IF(B583="","",_xlfn.XLOOKUP(B583,'Form responses 1'!$B$2:$B$2604,'Form responses 1'!$I$2:$I$2604,""))</f>
        <v> Kedaung</v>
      </c>
      <c r="J583" s="44" t="str">
        <f t="array" ref="J583">IF(B583="","",_xlfn.XLOOKUP(B583,'Form responses 1'!$B$2:$B$2604,'Form responses 1'!$G$2:$G$2604,""))</f>
        <v>Rapita</v>
      </c>
      <c r="K583" s="41" t="s">
        <v>422</v>
      </c>
      <c r="L583" s="52">
        <f t="shared" si="7"/>
        <v>45601.63579</v>
      </c>
      <c r="M583" s="47" t="s">
        <v>5542</v>
      </c>
      <c r="N583" s="49"/>
      <c r="O583" s="49"/>
      <c r="P583" s="49"/>
      <c r="Q583" s="49"/>
      <c r="R583" s="49"/>
      <c r="S583" s="49"/>
      <c r="T583" s="49"/>
      <c r="U583" s="49"/>
      <c r="V583" s="49"/>
      <c r="W583" s="41" t="s">
        <v>618</v>
      </c>
      <c r="X583" s="46">
        <f t="shared" si="5"/>
        <v>45604.69169</v>
      </c>
      <c r="Y583" s="50" t="s">
        <v>482</v>
      </c>
      <c r="Z583" s="49">
        <f t="shared" si="6"/>
        <v>1</v>
      </c>
    </row>
    <row r="584" ht="22.5" customHeight="1">
      <c r="B584" s="41" t="s">
        <v>3301</v>
      </c>
      <c r="C584" s="43">
        <f t="array" ref="C584">IF(B584="","",_xlfn.XLOOKUP(B584,'Form responses 1'!$B$2:$B$2604,'Form responses 1'!$A$2:$A$2604,""))</f>
        <v>45600.41211</v>
      </c>
      <c r="D584" s="44" t="str">
        <f t="shared" si="3"/>
        <v>K/4/041124/1_45600.4121148264</v>
      </c>
      <c r="E584" s="44" t="str">
        <f t="array" ref="E584">IF(B584="","",_xlfn.XLOOKUP(B584,'Form responses 1'!$B$2:$B$2604,'Form responses 1'!$C$2:$C$2604,""))</f>
        <v>Indah S/ Nita A</v>
      </c>
      <c r="F584" s="44" t="str">
        <f t="array" ref="F584">IF(B584="","",_xlfn.XLOOKUP(B584,'Form responses 1'!$B$2:$B$2604,'Form responses 1'!$D$2:$D$2604,""))</f>
        <v>+62 896-3133-6683</v>
      </c>
      <c r="G584" s="44" t="str">
        <f t="array" ref="G584">IF(B584="","",_xlfn.XLOOKUP(B584,'Form responses 1'!$B$2:$B$2604,'Form responses 1'!$E$2:$E$2604,""))</f>
        <v>BN Hibah</v>
      </c>
      <c r="H584" s="44" t="str">
        <f t="array" ref="H584">IF(B584="","",_xlfn.XLOOKUP(B584,'Form responses 1'!$B$2:$B$2604,'Form responses 1'!$F$2:$F$2604,""))</f>
        <v>M. 6423/ Gunung Sulah</v>
      </c>
      <c r="I584" s="44" t="str">
        <f t="array" ref="I584">IF(B584="","",_xlfn.XLOOKUP(B584,'Form responses 1'!$B$2:$B$2604,'Form responses 1'!$I$2:$I$2604,""))</f>
        <v>Gunung Sulah</v>
      </c>
      <c r="J584" s="44" t="str">
        <f t="array" ref="J584">IF(B584="","",_xlfn.XLOOKUP(B584,'Form responses 1'!$B$2:$B$2604,'Form responses 1'!$G$2:$G$2604,""))</f>
        <v>Rapita</v>
      </c>
      <c r="K584" s="41" t="s">
        <v>422</v>
      </c>
      <c r="L584" s="52">
        <f t="shared" si="7"/>
        <v>45601.63579</v>
      </c>
      <c r="M584" s="49"/>
      <c r="N584" s="49"/>
      <c r="O584" s="49"/>
      <c r="P584" s="49"/>
      <c r="Q584" s="49"/>
      <c r="R584" s="49"/>
      <c r="S584" s="49"/>
      <c r="T584" s="49"/>
      <c r="U584" s="49"/>
      <c r="V584" s="49"/>
      <c r="W584" s="41" t="s">
        <v>618</v>
      </c>
      <c r="X584" s="46">
        <f t="shared" si="5"/>
        <v>45601.63579</v>
      </c>
      <c r="Y584" s="50" t="s">
        <v>482</v>
      </c>
      <c r="Z584" s="49">
        <f t="shared" si="6"/>
        <v>0</v>
      </c>
    </row>
    <row r="585" ht="22.5" customHeight="1">
      <c r="B585" s="41" t="s">
        <v>3412</v>
      </c>
      <c r="C585" s="43">
        <f t="array" ref="C585">IF(B585="","",_xlfn.XLOOKUP(B585,'Form responses 1'!$B$2:$B$2604,'Form responses 1'!$A$2:$A$2604,""))</f>
        <v>45600.57502</v>
      </c>
      <c r="D585" s="44" t="str">
        <f t="shared" si="3"/>
        <v>K/36/041124/2_45600.5750229745</v>
      </c>
      <c r="E585" s="44" t="str">
        <f t="array" ref="E585">IF(B585="","",_xlfn.XLOOKUP(B585,'Form responses 1'!$B$2:$B$2604,'Form responses 1'!$C$2:$C$2604,""))</f>
        <v>sri Fatria/ nur hayati</v>
      </c>
      <c r="F585" s="44" t="str">
        <f t="array" ref="F585">IF(B585="","",_xlfn.XLOOKUP(B585,'Form responses 1'!$B$2:$B$2604,'Form responses 1'!$D$2:$D$2604,""))</f>
        <v>08117222871</v>
      </c>
      <c r="G585" s="44" t="str">
        <f t="array" ref="G585">IF(B585="","",_xlfn.XLOOKUP(B585,'Form responses 1'!$B$2:$B$2604,'Form responses 1'!$E$2:$E$2604,""))</f>
        <v>roya</v>
      </c>
      <c r="H585" s="44" t="str">
        <f t="array" ref="H585">IF(B585="","",_xlfn.XLOOKUP(B585,'Form responses 1'!$B$2:$B$2604,'Form responses 1'!$F$2:$F$2604,""))</f>
        <v>M. 10227/ Segala Mider</v>
      </c>
      <c r="I585" s="44" t="str">
        <f t="array" ref="I585">IF(B585="","",_xlfn.XLOOKUP(B585,'Form responses 1'!$B$2:$B$2604,'Form responses 1'!$I$2:$I$2604,""))</f>
        <v>Segala Mider</v>
      </c>
      <c r="J585" s="44" t="str">
        <f t="array" ref="J585">IF(B585="","",_xlfn.XLOOKUP(B585,'Form responses 1'!$B$2:$B$2604,'Form responses 1'!$G$2:$G$2604,""))</f>
        <v>Hananda</v>
      </c>
      <c r="K585" s="41" t="s">
        <v>422</v>
      </c>
      <c r="L585" s="52">
        <f t="shared" si="7"/>
        <v>45601.63579</v>
      </c>
      <c r="M585" s="47" t="s">
        <v>5543</v>
      </c>
      <c r="N585" s="49"/>
      <c r="O585" s="49"/>
      <c r="P585" s="49"/>
      <c r="Q585" s="49"/>
      <c r="R585" s="49"/>
      <c r="S585" s="49"/>
      <c r="T585" s="49"/>
      <c r="U585" s="49"/>
      <c r="V585" s="49"/>
      <c r="W585" s="41" t="s">
        <v>618</v>
      </c>
      <c r="X585" s="46">
        <f t="shared" si="5"/>
        <v>45607.64403</v>
      </c>
      <c r="Y585" s="50" t="s">
        <v>482</v>
      </c>
      <c r="Z585" s="49">
        <f t="shared" si="6"/>
        <v>1</v>
      </c>
    </row>
    <row r="586" ht="22.5" customHeight="1">
      <c r="B586" s="41" t="s">
        <v>3391</v>
      </c>
      <c r="C586" s="43">
        <f t="array" ref="C586">IF(B586="","",_xlfn.XLOOKUP(B586,'Form responses 1'!$B$2:$B$2604,'Form responses 1'!$A$2:$A$2604,""))</f>
        <v>45600.5009</v>
      </c>
      <c r="D586" s="44" t="str">
        <f t="shared" si="3"/>
        <v>L/31/041124/1_45600.5009017824</v>
      </c>
      <c r="E586" s="44" t="str">
        <f t="array" ref="E586">IF(B586="","",_xlfn.XLOOKUP(B586,'Form responses 1'!$B$2:$B$2604,'Form responses 1'!$C$2:$C$2604,""))</f>
        <v>RACMA WATI</v>
      </c>
      <c r="F586" s="44" t="str">
        <f t="array" ref="F586">IF(B586="","",_xlfn.XLOOKUP(B586,'Form responses 1'!$B$2:$B$2604,'Form responses 1'!$D$2:$D$2604,""))</f>
        <v>08179162550</v>
      </c>
      <c r="G586" s="44" t="str">
        <f t="array" ref="G586">IF(B586="","",_xlfn.XLOOKUP(B586,'Form responses 1'!$B$2:$B$2604,'Form responses 1'!$E$2:$E$2604,""))</f>
        <v>PERUBAHAN HAK</v>
      </c>
      <c r="H586" s="44" t="str">
        <f t="array" ref="H586">IF(B586="","",_xlfn.XLOOKUP(B586,'Form responses 1'!$B$2:$B$2604,'Form responses 1'!$F$2:$F$2604,""))</f>
        <v>B.1202/SUKABUMI INDAH-SEKARANG; B.1339/SUKABUMI-DAHULU</v>
      </c>
      <c r="I586" s="44" t="str">
        <f t="array" ref="I586">IF(B586="","",_xlfn.XLOOKUP(B586,'Form responses 1'!$B$2:$B$2604,'Form responses 1'!$I$2:$I$2604,""))</f>
        <v>SUKABUMI INDAH</v>
      </c>
      <c r="J586" s="44" t="str">
        <f t="array" ref="J586">IF(B586="","",_xlfn.XLOOKUP(B586,'Form responses 1'!$B$2:$B$2604,'Form responses 1'!$G$2:$G$2604,""))</f>
        <v>Deby</v>
      </c>
      <c r="K586" s="41" t="s">
        <v>422</v>
      </c>
      <c r="L586" s="52">
        <f t="shared" si="7"/>
        <v>45601.63579</v>
      </c>
      <c r="M586" s="49"/>
      <c r="N586" s="49"/>
      <c r="O586" s="49"/>
      <c r="P586" s="49"/>
      <c r="Q586" s="49"/>
      <c r="R586" s="49"/>
      <c r="S586" s="49"/>
      <c r="T586" s="49"/>
      <c r="U586" s="49"/>
      <c r="V586" s="49"/>
      <c r="W586" s="41" t="s">
        <v>618</v>
      </c>
      <c r="X586" s="46">
        <f t="shared" si="5"/>
        <v>45601.63579</v>
      </c>
      <c r="Y586" s="50" t="s">
        <v>482</v>
      </c>
      <c r="Z586" s="49">
        <f t="shared" si="6"/>
        <v>0</v>
      </c>
    </row>
    <row r="587" ht="22.5" customHeight="1">
      <c r="B587" s="41" t="s">
        <v>3018</v>
      </c>
      <c r="C587" s="43">
        <f t="array" ref="C587">IF(B587="","",_xlfn.XLOOKUP(B587,'Form responses 1'!$B$2:$B$2604,'Form responses 1'!$A$2:$A$2604,""))</f>
        <v>45596.60689</v>
      </c>
      <c r="D587" s="44" t="str">
        <f t="shared" si="3"/>
        <v>K/43/311024/1_45596.606885081</v>
      </c>
      <c r="E587" s="44" t="str">
        <f t="array" ref="E587">IF(B587="","",_xlfn.XLOOKUP(B587,'Form responses 1'!$B$2:$B$2604,'Form responses 1'!$C$2:$C$2604,""))</f>
        <v>Budi K/ Vilyanti Fernandez W</v>
      </c>
      <c r="F587" s="44" t="str">
        <f t="array" ref="F587">IF(B587="","",_xlfn.XLOOKUP(B587,'Form responses 1'!$B$2:$B$2604,'Form responses 1'!$D$2:$D$2604,""))</f>
        <v>+62 858-6816-7367</v>
      </c>
      <c r="G587" s="44" t="str">
        <f t="array" ref="G587">IF(B587="","",_xlfn.XLOOKUP(B587,'Form responses 1'!$B$2:$B$2604,'Form responses 1'!$E$2:$E$2604,""))</f>
        <v>BN Hibah</v>
      </c>
      <c r="H587" s="44" t="str">
        <f t="array" ref="H587">IF(B587="","",_xlfn.XLOOKUP(B587,'Form responses 1'!$B$2:$B$2604,'Form responses 1'!$F$2:$F$2604,""))</f>
        <v>M. 860/ Tanjung Gading</v>
      </c>
      <c r="I587" s="44" t="str">
        <f t="array" ref="I587">IF(B587="","",_xlfn.XLOOKUP(B587,'Form responses 1'!$B$2:$B$2604,'Form responses 1'!$I$2:$I$2604,""))</f>
        <v> Tanjung Gading</v>
      </c>
      <c r="J587" s="44" t="str">
        <f t="array" ref="J587">IF(B587="","",_xlfn.XLOOKUP(B587,'Form responses 1'!$B$2:$B$2604,'Form responses 1'!$G$2:$G$2604,""))</f>
        <v>Rapita</v>
      </c>
      <c r="K587" s="41" t="s">
        <v>1233</v>
      </c>
      <c r="L587" s="52">
        <f t="shared" si="7"/>
        <v>45601.63579</v>
      </c>
      <c r="M587" s="49"/>
      <c r="N587" s="49"/>
      <c r="O587" s="49"/>
      <c r="P587" s="49"/>
      <c r="Q587" s="49"/>
      <c r="R587" s="49"/>
      <c r="S587" s="49"/>
      <c r="T587" s="49"/>
      <c r="U587" s="49"/>
      <c r="V587" s="49"/>
      <c r="W587" s="41" t="s">
        <v>618</v>
      </c>
      <c r="X587" s="46">
        <f t="shared" si="5"/>
        <v>45601.63579</v>
      </c>
      <c r="Y587" s="50" t="s">
        <v>482</v>
      </c>
      <c r="Z587" s="49">
        <f t="shared" si="6"/>
        <v>0</v>
      </c>
    </row>
    <row r="588" ht="22.5" customHeight="1">
      <c r="B588" s="41" t="s">
        <v>3172</v>
      </c>
      <c r="C588" s="43">
        <f t="array" ref="C588">IF(B588="","",_xlfn.XLOOKUP(B588,'Form responses 1'!$B$2:$B$2604,'Form responses 1'!$A$2:$A$2604,""))</f>
        <v>45597.48117</v>
      </c>
      <c r="D588" s="44" t="str">
        <f t="shared" si="3"/>
        <v>L/18/011124/1_45597.4811692361</v>
      </c>
      <c r="E588" s="44" t="str">
        <f t="array" ref="E588">IF(B588="","",_xlfn.XLOOKUP(B588,'Form responses 1'!$B$2:$B$2604,'Form responses 1'!$C$2:$C$2604,""))</f>
        <v>YOGASARI HAYUNINGTYAS</v>
      </c>
      <c r="F588" s="44" t="str">
        <f t="array" ref="F588">IF(B588="","",_xlfn.XLOOKUP(B588,'Form responses 1'!$B$2:$B$2604,'Form responses 1'!$D$2:$D$2604,""))</f>
        <v>0821369262358</v>
      </c>
      <c r="G588" s="44" t="str">
        <f t="array" ref="G588">IF(B588="","",_xlfn.XLOOKUP(B588,'Form responses 1'!$B$2:$B$2604,'Form responses 1'!$E$2:$E$2604,""))</f>
        <v>ROYA</v>
      </c>
      <c r="H588" s="44" t="str">
        <f t="array" ref="H588">IF(B588="","",_xlfn.XLOOKUP(B588,'Form responses 1'!$B$2:$B$2604,'Form responses 1'!$F$2:$F$2604,""))</f>
        <v>HM 1095/GEDONG AIR</v>
      </c>
      <c r="I588" s="44" t="str">
        <f t="array" ref="I588">IF(B588="","",_xlfn.XLOOKUP(B588,'Form responses 1'!$B$2:$B$2604,'Form responses 1'!$I$2:$I$2604,""))</f>
        <v>GEDONG AIR</v>
      </c>
      <c r="J588" s="44" t="str">
        <f t="array" ref="J588">IF(B588="","",_xlfn.XLOOKUP(B588,'Form responses 1'!$B$2:$B$2604,'Form responses 1'!$G$2:$G$2604,""))</f>
        <v>Deby</v>
      </c>
      <c r="K588" s="41" t="s">
        <v>1233</v>
      </c>
      <c r="L588" s="52">
        <f t="shared" si="7"/>
        <v>45601.63579</v>
      </c>
      <c r="M588" s="49"/>
      <c r="N588" s="49"/>
      <c r="O588" s="49"/>
      <c r="P588" s="49"/>
      <c r="Q588" s="49"/>
      <c r="R588" s="49"/>
      <c r="S588" s="49"/>
      <c r="T588" s="49"/>
      <c r="U588" s="49"/>
      <c r="V588" s="49"/>
      <c r="W588" s="41" t="s">
        <v>618</v>
      </c>
      <c r="X588" s="46">
        <f t="shared" si="5"/>
        <v>45601.63579</v>
      </c>
      <c r="Y588" s="50" t="s">
        <v>482</v>
      </c>
      <c r="Z588" s="49">
        <f t="shared" si="6"/>
        <v>0</v>
      </c>
    </row>
    <row r="589" ht="22.5" customHeight="1">
      <c r="B589" s="41" t="s">
        <v>3204</v>
      </c>
      <c r="C589" s="43">
        <f t="array" ref="C589">IF(B589="","",_xlfn.XLOOKUP(B589,'Form responses 1'!$B$2:$B$2604,'Form responses 1'!$A$2:$A$2604,""))</f>
        <v>45597.58584</v>
      </c>
      <c r="D589" s="44" t="str">
        <f t="shared" si="3"/>
        <v>K/24/011124/1_45597.5858393287</v>
      </c>
      <c r="E589" s="44" t="str">
        <f t="array" ref="E589">IF(B589="","",_xlfn.XLOOKUP(B589,'Form responses 1'!$B$2:$B$2604,'Form responses 1'!$C$2:$C$2604,""))</f>
        <v>I GUSTI NGURAH BIANTARA/NINA HANDAYANI</v>
      </c>
      <c r="F589" s="44" t="str">
        <f t="array" ref="F589">IF(B589="","",_xlfn.XLOOKUP(B589,'Form responses 1'!$B$2:$B$2604,'Form responses 1'!$D$2:$D$2604,""))</f>
        <v>081279010099</v>
      </c>
      <c r="G589" s="44" t="str">
        <f t="array" ref="G589">IF(B589="","",_xlfn.XLOOKUP(B589,'Form responses 1'!$B$2:$B$2604,'Form responses 1'!$E$2:$E$2604,""))</f>
        <v>PTPGT</v>
      </c>
      <c r="H589" s="44" t="str">
        <f t="array" ref="H589">IF(B589="","",_xlfn.XLOOKUP(B589,'Form responses 1'!$B$2:$B$2604,'Form responses 1'!$F$2:$F$2604,""))</f>
        <v>M NIEBL 1952/LABUHAN DALAM</v>
      </c>
      <c r="I589" s="44" t="str">
        <f t="array" ref="I589">IF(B589="","",_xlfn.XLOOKUP(B589,'Form responses 1'!$B$2:$B$2604,'Form responses 1'!$I$2:$I$2604,""))</f>
        <v>LABUHAN DALAM</v>
      </c>
      <c r="J589" s="44" t="str">
        <f t="array" ref="J589">IF(B589="","",_xlfn.XLOOKUP(B589,'Form responses 1'!$B$2:$B$2604,'Form responses 1'!$G$2:$G$2604,""))</f>
        <v>Baynur</v>
      </c>
      <c r="K589" s="41" t="s">
        <v>1233</v>
      </c>
      <c r="L589" s="52">
        <f t="shared" si="7"/>
        <v>45601.63579</v>
      </c>
      <c r="M589" s="49"/>
      <c r="N589" s="49"/>
      <c r="O589" s="49"/>
      <c r="P589" s="49"/>
      <c r="Q589" s="49"/>
      <c r="R589" s="49"/>
      <c r="S589" s="49"/>
      <c r="T589" s="49"/>
      <c r="U589" s="49"/>
      <c r="V589" s="49"/>
      <c r="W589" s="41" t="s">
        <v>618</v>
      </c>
      <c r="X589" s="46">
        <f t="shared" si="5"/>
        <v>45603.47717</v>
      </c>
      <c r="Y589" s="50" t="s">
        <v>482</v>
      </c>
      <c r="Z589" s="49">
        <f t="shared" si="6"/>
        <v>0</v>
      </c>
    </row>
    <row r="590" ht="22.5" customHeight="1">
      <c r="B590" s="41" t="s">
        <v>3212</v>
      </c>
      <c r="C590" s="43">
        <f t="array" ref="C590">IF(B590="","",_xlfn.XLOOKUP(B590,'Form responses 1'!$B$2:$B$2604,'Form responses 1'!$A$2:$A$2604,""))</f>
        <v>45597.58835</v>
      </c>
      <c r="D590" s="44" t="str">
        <f t="shared" si="3"/>
        <v>K/26/011124/1_45597.5883457986</v>
      </c>
      <c r="E590" s="44" t="str">
        <f t="array" ref="E590">IF(B590="","",_xlfn.XLOOKUP(B590,'Form responses 1'!$B$2:$B$2604,'Form responses 1'!$C$2:$C$2604,""))</f>
        <v>SEPRIYANTONI/NOVALIA EKA PUTRI</v>
      </c>
      <c r="F590" s="44" t="str">
        <f t="array" ref="F590">IF(B590="","",_xlfn.XLOOKUP(B590,'Form responses 1'!$B$2:$B$2604,'Form responses 1'!$D$2:$D$2604,""))</f>
        <v>0896-4922-2167</v>
      </c>
      <c r="G590" s="44" t="str">
        <f t="array" ref="G590">IF(B590="","",_xlfn.XLOOKUP(B590,'Form responses 1'!$B$2:$B$2604,'Form responses 1'!$E$2:$E$2604,""))</f>
        <v>BN JUAL BELI</v>
      </c>
      <c r="H590" s="44" t="str">
        <f t="array" ref="H590">IF(B590="","",_xlfn.XLOOKUP(B590,'Form responses 1'!$B$2:$B$2604,'Form responses 1'!$F$2:$F$2604,""))</f>
        <v>M.5014/RAJABASA JAYA-SEKARANG;M.9263/RAJABASA-DAHULU</v>
      </c>
      <c r="I590" s="44" t="str">
        <f t="array" ref="I590">IF(B590="","",_xlfn.XLOOKUP(B590,'Form responses 1'!$B$2:$B$2604,'Form responses 1'!$I$2:$I$2604,""))</f>
        <v>RAJABASA JAYA</v>
      </c>
      <c r="J590" s="44" t="str">
        <f t="array" ref="J590">IF(B590="","",_xlfn.XLOOKUP(B590,'Form responses 1'!$B$2:$B$2604,'Form responses 1'!$G$2:$G$2604,""))</f>
        <v>Baynur</v>
      </c>
      <c r="K590" s="41" t="s">
        <v>1233</v>
      </c>
      <c r="L590" s="52">
        <f t="shared" si="7"/>
        <v>45601.63579</v>
      </c>
      <c r="M590" s="49"/>
      <c r="N590" s="49"/>
      <c r="O590" s="49"/>
      <c r="P590" s="49"/>
      <c r="Q590" s="49"/>
      <c r="R590" s="49"/>
      <c r="S590" s="49"/>
      <c r="T590" s="49"/>
      <c r="U590" s="49"/>
      <c r="V590" s="49"/>
      <c r="W590" s="41" t="s">
        <v>618</v>
      </c>
      <c r="X590" s="46">
        <f t="shared" si="5"/>
        <v>45601.63579</v>
      </c>
      <c r="Y590" s="50" t="s">
        <v>482</v>
      </c>
      <c r="Z590" s="49">
        <f t="shared" si="6"/>
        <v>0</v>
      </c>
    </row>
    <row r="591" ht="22.5" customHeight="1">
      <c r="B591" s="41" t="s">
        <v>3268</v>
      </c>
      <c r="C591" s="43">
        <f t="array" ref="C591">IF(B591="","",_xlfn.XLOOKUP(B591,'Form responses 1'!$B$2:$B$2604,'Form responses 1'!$A$2:$A$2604,""))</f>
        <v>45597.62679</v>
      </c>
      <c r="D591" s="44" t="str">
        <f t="shared" si="3"/>
        <v>K/38/011124/2_45597.6267928009</v>
      </c>
      <c r="E591" s="44" t="str">
        <f t="array" ref="E591">IF(B591="","",_xlfn.XLOOKUP(B591,'Form responses 1'!$B$2:$B$2604,'Form responses 1'!$C$2:$C$2604,""))</f>
        <v>Reflan R/ Hermawati</v>
      </c>
      <c r="F591" s="44" t="str">
        <f t="array" ref="F591">IF(B591="","",_xlfn.XLOOKUP(B591,'Form responses 1'!$B$2:$B$2604,'Form responses 1'!$D$2:$D$2604,""))</f>
        <v>+62 822-6948-0192</v>
      </c>
      <c r="G591" s="44" t="str">
        <f t="array" ref="G591">IF(B591="","",_xlfn.XLOOKUP(B591,'Form responses 1'!$B$2:$B$2604,'Form responses 1'!$E$2:$E$2604,""))</f>
        <v>BN Jual Beli</v>
      </c>
      <c r="H591" s="44" t="str">
        <f t="array" ref="H591">IF(B591="","",_xlfn.XLOOKUP(B591,'Form responses 1'!$B$2:$B$2604,'Form responses 1'!$F$2:$F$2604,""))</f>
        <v>M. 141/ Talang (gedung pakuon Talang)</v>
      </c>
      <c r="I591" s="44" t="str">
        <f t="array" ref="I591">IF(B591="","",_xlfn.XLOOKUP(B591,'Form responses 1'!$B$2:$B$2604,'Form responses 1'!$I$2:$I$2604,""))</f>
        <v>Talang</v>
      </c>
      <c r="J591" s="44" t="str">
        <f t="array" ref="J591">IF(B591="","",_xlfn.XLOOKUP(B591,'Form responses 1'!$B$2:$B$2604,'Form responses 1'!$G$2:$G$2604,""))</f>
        <v>Rapita</v>
      </c>
      <c r="K591" s="41" t="s">
        <v>1233</v>
      </c>
      <c r="L591" s="52">
        <f t="shared" si="7"/>
        <v>45601.63579</v>
      </c>
      <c r="M591" s="49"/>
      <c r="N591" s="49"/>
      <c r="O591" s="49"/>
      <c r="P591" s="49"/>
      <c r="Q591" s="49"/>
      <c r="R591" s="49"/>
      <c r="S591" s="49"/>
      <c r="T591" s="49"/>
      <c r="U591" s="49"/>
      <c r="V591" s="49"/>
      <c r="W591" s="41" t="s">
        <v>618</v>
      </c>
      <c r="X591" s="46">
        <f t="shared" si="5"/>
        <v>45607.3666</v>
      </c>
      <c r="Y591" s="50" t="s">
        <v>482</v>
      </c>
      <c r="Z591" s="49">
        <f t="shared" si="6"/>
        <v>0</v>
      </c>
    </row>
    <row r="592" ht="22.5" customHeight="1">
      <c r="B592" s="41" t="s">
        <v>3256</v>
      </c>
      <c r="C592" s="43">
        <f t="array" ref="C592">IF(B592="","",_xlfn.XLOOKUP(B592,'Form responses 1'!$B$2:$B$2604,'Form responses 1'!$A$2:$A$2604,""))</f>
        <v>45597.62348</v>
      </c>
      <c r="D592" s="44" t="str">
        <f t="shared" si="3"/>
        <v>K/35/011124/1_45597.6234808912</v>
      </c>
      <c r="E592" s="44" t="str">
        <f t="array" ref="E592">IF(B592="","",_xlfn.XLOOKUP(B592,'Form responses 1'!$B$2:$B$2604,'Form responses 1'!$C$2:$C$2604,""))</f>
        <v>WHINDA YULIANTI/ SURI</v>
      </c>
      <c r="F592" s="44" t="str">
        <f t="array" ref="F592">IF(B592="","",_xlfn.XLOOKUP(B592,'Form responses 1'!$B$2:$B$2604,'Form responses 1'!$D$2:$D$2604,""))</f>
        <v>08966390447</v>
      </c>
      <c r="G592" s="44" t="str">
        <f t="array" ref="G592">IF(B592="","",_xlfn.XLOOKUP(B592,'Form responses 1'!$B$2:$B$2604,'Form responses 1'!$E$2:$E$2604,""))</f>
        <v>BN Jual Beli</v>
      </c>
      <c r="H592" s="44" t="str">
        <f t="array" ref="H592">IF(B592="","",_xlfn.XLOOKUP(B592,'Form responses 1'!$B$2:$B$2604,'Form responses 1'!$F$2:$F$2604,""))</f>
        <v>B. 946/ Beringin Jaya</v>
      </c>
      <c r="I592" s="44" t="str">
        <f t="array" ref="I592">IF(B592="","",_xlfn.XLOOKUP(B592,'Form responses 1'!$B$2:$B$2604,'Form responses 1'!$I$2:$I$2604,""))</f>
        <v>Beringin Jaya</v>
      </c>
      <c r="J592" s="44" t="str">
        <f t="array" ref="J592">IF(B592="","",_xlfn.XLOOKUP(B592,'Form responses 1'!$B$2:$B$2604,'Form responses 1'!$G$2:$G$2604,""))</f>
        <v>Hananda</v>
      </c>
      <c r="K592" s="41" t="s">
        <v>1233</v>
      </c>
      <c r="L592" s="52">
        <f t="shared" si="7"/>
        <v>45601.6501</v>
      </c>
      <c r="M592" s="49"/>
      <c r="N592" s="49"/>
      <c r="O592" s="49"/>
      <c r="P592" s="49"/>
      <c r="Q592" s="49"/>
      <c r="R592" s="49"/>
      <c r="S592" s="49"/>
      <c r="T592" s="49"/>
      <c r="U592" s="49"/>
      <c r="V592" s="49"/>
      <c r="W592" s="41" t="s">
        <v>618</v>
      </c>
      <c r="X592" s="46">
        <f t="shared" si="5"/>
        <v>45601.65013</v>
      </c>
      <c r="Y592" s="50" t="s">
        <v>482</v>
      </c>
      <c r="Z592" s="49">
        <f t="shared" si="6"/>
        <v>0</v>
      </c>
    </row>
    <row r="593" ht="22.5" customHeight="1">
      <c r="B593" s="41" t="s">
        <v>3144</v>
      </c>
      <c r="C593" s="43">
        <f t="array" ref="C593">IF(B593="","",_xlfn.XLOOKUP(B593,'Form responses 1'!$B$2:$B$2604,'Form responses 1'!$A$2:$A$2604,""))</f>
        <v>45597.44787</v>
      </c>
      <c r="D593" s="44" t="str">
        <f t="shared" si="3"/>
        <v>K/11/011124/2_45597.4478728935</v>
      </c>
      <c r="E593" s="44" t="str">
        <f t="array" ref="E593">IF(B593="","",_xlfn.XLOOKUP(B593,'Form responses 1'!$B$2:$B$2604,'Form responses 1'!$C$2:$C$2604,""))</f>
        <v>MURHASANAH CS/LINGGA AYU BURDHANI</v>
      </c>
      <c r="F593" s="44" t="str">
        <f t="array" ref="F593">IF(B593="","",_xlfn.XLOOKUP(B593,'Form responses 1'!$B$2:$B$2604,'Form responses 1'!$D$2:$D$2604,""))</f>
        <v>0896-3360-1521</v>
      </c>
      <c r="G593" s="44" t="str">
        <f t="array" ref="G593">IF(B593="","",_xlfn.XLOOKUP(B593,'Form responses 1'!$B$2:$B$2604,'Form responses 1'!$E$2:$E$2604,""))</f>
        <v>KEWARISAN</v>
      </c>
      <c r="H593" s="44" t="str">
        <f t="array" ref="H593">IF(B593="","",_xlfn.XLOOKUP(B593,'Form responses 1'!$B$2:$B$2604,'Form responses 1'!$F$2:$F$2604,""))</f>
        <v>M.505/SUKABUMI INDAH</v>
      </c>
      <c r="I593" s="44" t="str">
        <f t="array" ref="I593">IF(B593="","",_xlfn.XLOOKUP(B593,'Form responses 1'!$B$2:$B$2604,'Form responses 1'!$I$2:$I$2604,""))</f>
        <v>SUKABUMI INDAH</v>
      </c>
      <c r="J593" s="44" t="str">
        <f t="array" ref="J593">IF(B593="","",_xlfn.XLOOKUP(B593,'Form responses 1'!$B$2:$B$2604,'Form responses 1'!$G$2:$G$2604,""))</f>
        <v>Baynur</v>
      </c>
      <c r="K593" s="41" t="s">
        <v>1233</v>
      </c>
      <c r="L593" s="52">
        <f t="shared" si="7"/>
        <v>45601.65543</v>
      </c>
      <c r="M593" s="49"/>
      <c r="N593" s="49"/>
      <c r="O593" s="49"/>
      <c r="P593" s="49"/>
      <c r="Q593" s="49"/>
      <c r="R593" s="49"/>
      <c r="S593" s="49"/>
      <c r="T593" s="49"/>
      <c r="U593" s="49"/>
      <c r="V593" s="49"/>
      <c r="W593" s="41" t="s">
        <v>618</v>
      </c>
      <c r="X593" s="46">
        <f t="shared" si="5"/>
        <v>45601.66097</v>
      </c>
      <c r="Y593" s="50" t="s">
        <v>482</v>
      </c>
      <c r="Z593" s="49">
        <f t="shared" si="6"/>
        <v>0</v>
      </c>
    </row>
    <row r="594" ht="22.5" customHeight="1">
      <c r="B594" s="41" t="s">
        <v>1929</v>
      </c>
      <c r="C594" s="43">
        <f t="array" ref="C594">IF(B594="","",_xlfn.XLOOKUP(B594,'Form responses 1'!$B$2:$B$2604,'Form responses 1'!$A$2:$A$2604,""))</f>
        <v>45589.45976</v>
      </c>
      <c r="D594" s="44" t="str">
        <f t="shared" si="3"/>
        <v>L/18/241024/1_45589.4597593634</v>
      </c>
      <c r="E594" s="44" t="str">
        <f t="array" ref="E594">IF(B594="","",_xlfn.XLOOKUP(B594,'Form responses 1'!$B$2:$B$2604,'Form responses 1'!$C$2:$C$2604,""))</f>
        <v>MUHAMAD WAHYU HARSENO</v>
      </c>
      <c r="F594" s="44" t="str">
        <f t="array" ref="F594">IF(B594="","",_xlfn.XLOOKUP(B594,'Form responses 1'!$B$2:$B$2604,'Form responses 1'!$D$2:$D$2604,""))</f>
        <v>085382077174</v>
      </c>
      <c r="G594" s="44" t="str">
        <f t="array" ref="G594">IF(B594="","",_xlfn.XLOOKUP(B594,'Form responses 1'!$B$2:$B$2604,'Form responses 1'!$E$2:$E$2604,""))</f>
        <v>SITA</v>
      </c>
      <c r="H594" s="44" t="str">
        <f t="array" ref="H594">IF(B594="","",_xlfn.XLOOKUP(B594,'Form responses 1'!$B$2:$B$2604,'Form responses 1'!$F$2:$F$2604,""))</f>
        <v>M.1248/SUKARAME BARU</v>
      </c>
      <c r="I594" s="44" t="str">
        <f t="array" ref="I594">IF(B594="","",_xlfn.XLOOKUP(B594,'Form responses 1'!$B$2:$B$2604,'Form responses 1'!$I$2:$I$2604,""))</f>
        <v>SUKARAME BARU</v>
      </c>
      <c r="J594" s="44" t="str">
        <f t="array" ref="J594">IF(B594="","",_xlfn.XLOOKUP(B594,'Form responses 1'!$B$2:$B$2604,'Form responses 1'!$G$2:$G$2604,""))</f>
        <v>Nuraini</v>
      </c>
      <c r="K594" s="41" t="s">
        <v>1233</v>
      </c>
      <c r="L594" s="52">
        <f t="shared" si="7"/>
        <v>45601.66939</v>
      </c>
      <c r="M594" s="49"/>
      <c r="N594" s="49"/>
      <c r="O594" s="49"/>
      <c r="P594" s="49"/>
      <c r="Q594" s="49"/>
      <c r="R594" s="49"/>
      <c r="S594" s="49"/>
      <c r="T594" s="49"/>
      <c r="U594" s="49"/>
      <c r="V594" s="49"/>
      <c r="W594" s="41" t="s">
        <v>618</v>
      </c>
      <c r="X594" s="46">
        <f t="shared" si="5"/>
        <v>45601.66942</v>
      </c>
      <c r="Y594" s="50" t="s">
        <v>482</v>
      </c>
      <c r="Z594" s="49">
        <f t="shared" si="6"/>
        <v>0</v>
      </c>
    </row>
    <row r="595" ht="22.5" customHeight="1">
      <c r="B595" s="41" t="s">
        <v>2905</v>
      </c>
      <c r="C595" s="43">
        <f t="array" ref="C595">IF(B595="","",_xlfn.XLOOKUP(B595,'Form responses 1'!$B$2:$B$2604,'Form responses 1'!$A$2:$A$2604,""))</f>
        <v>45596.4463</v>
      </c>
      <c r="D595" s="44" t="str">
        <f t="shared" si="3"/>
        <v>K/15/311024/1_45596.4462986227</v>
      </c>
      <c r="E595" s="44" t="str">
        <f t="array" ref="E595">IF(B595="","",_xlfn.XLOOKUP(B595,'Form responses 1'!$B$2:$B$2604,'Form responses 1'!$C$2:$C$2604,""))</f>
        <v>AFRIZAL/ ARIF ANDI</v>
      </c>
      <c r="F595" s="44" t="str">
        <f t="array" ref="F595">IF(B595="","",_xlfn.XLOOKUP(B595,'Form responses 1'!$B$2:$B$2604,'Form responses 1'!$D$2:$D$2604,""))</f>
        <v>+62 813-6751-6751</v>
      </c>
      <c r="G595" s="44" t="str">
        <f t="array" ref="G595">IF(B595="","",_xlfn.XLOOKUP(B595,'Form responses 1'!$B$2:$B$2604,'Form responses 1'!$E$2:$E$2604,""))</f>
        <v>BN JUAL BELI</v>
      </c>
      <c r="H595" s="44" t="str">
        <f t="array" ref="H595">IF(B595="","",_xlfn.XLOOKUP(B595,'Form responses 1'!$B$2:$B$2604,'Form responses 1'!$F$2:$F$2604,""))</f>
        <v>M. 15125/ Sukabumi</v>
      </c>
      <c r="I595" s="44" t="str">
        <f t="array" ref="I595">IF(B595="","",_xlfn.XLOOKUP(B595,'Form responses 1'!$B$2:$B$2604,'Form responses 1'!$I$2:$I$2604,""))</f>
        <v>Sukabumi</v>
      </c>
      <c r="J595" s="44" t="str">
        <f t="array" ref="J595">IF(B595="","",_xlfn.XLOOKUP(B595,'Form responses 1'!$B$2:$B$2604,'Form responses 1'!$G$2:$G$2604,""))</f>
        <v>Hananda</v>
      </c>
      <c r="K595" s="41" t="s">
        <v>1233</v>
      </c>
      <c r="L595" s="52">
        <f t="shared" si="7"/>
        <v>45601.6752</v>
      </c>
      <c r="M595" s="49"/>
      <c r="N595" s="49"/>
      <c r="O595" s="49"/>
      <c r="P595" s="49"/>
      <c r="Q595" s="49"/>
      <c r="R595" s="49"/>
      <c r="S595" s="49"/>
      <c r="T595" s="49"/>
      <c r="U595" s="49"/>
      <c r="V595" s="49"/>
      <c r="W595" s="41" t="s">
        <v>618</v>
      </c>
      <c r="X595" s="46">
        <f t="shared" si="5"/>
        <v>45601.67524</v>
      </c>
      <c r="Y595" s="50" t="s">
        <v>482</v>
      </c>
      <c r="Z595" s="49">
        <f t="shared" si="6"/>
        <v>0</v>
      </c>
    </row>
    <row r="596" ht="22.5" customHeight="1">
      <c r="B596" s="41" t="s">
        <v>3060</v>
      </c>
      <c r="C596" s="43">
        <f t="array" ref="C596">IF(B596="","",_xlfn.XLOOKUP(B596,'Form responses 1'!$B$2:$B$2604,'Form responses 1'!$A$2:$A$2604,""))</f>
        <v>45596.61928</v>
      </c>
      <c r="D596" s="44" t="str">
        <f t="shared" si="3"/>
        <v>K/56/311024/3_45596.6192786343</v>
      </c>
      <c r="E596" s="44" t="str">
        <f t="array" ref="E596">IF(B596="","",_xlfn.XLOOKUP(B596,'Form responses 1'!$B$2:$B$2604,'Form responses 1'!$C$2:$C$2604,""))</f>
        <v>Reflan R/ Radiyo</v>
      </c>
      <c r="F596" s="44" t="str">
        <f t="array" ref="F596">IF(B596="","",_xlfn.XLOOKUP(B596,'Form responses 1'!$B$2:$B$2604,'Form responses 1'!$D$2:$D$2604,""))</f>
        <v>+62 822-6948-0192</v>
      </c>
      <c r="G596" s="44" t="str">
        <f t="array" ref="G596">IF(B596="","",_xlfn.XLOOKUP(B596,'Form responses 1'!$B$2:$B$2604,'Form responses 1'!$E$2:$E$2604,""))</f>
        <v>PTPGT (Pemecahan)</v>
      </c>
      <c r="H596" s="44" t="str">
        <f t="array" ref="H596">IF(B596="","",_xlfn.XLOOKUP(B596,'Form responses 1'!$B$2:$B$2604,'Form responses 1'!$F$2:$F$2604,""))</f>
        <v>Nibel. M. 2743/ Sukarame Baru</v>
      </c>
      <c r="I596" s="44" t="str">
        <f t="array" ref="I596">IF(B596="","",_xlfn.XLOOKUP(B596,'Form responses 1'!$B$2:$B$2604,'Form responses 1'!$I$2:$I$2604,""))</f>
        <v>Sukarame Baru</v>
      </c>
      <c r="J596" s="44" t="str">
        <f t="array" ref="J596">IF(B596="","",_xlfn.XLOOKUP(B596,'Form responses 1'!$B$2:$B$2604,'Form responses 1'!$G$2:$G$2604,""))</f>
        <v>Rapita</v>
      </c>
      <c r="K596" s="41" t="s">
        <v>1233</v>
      </c>
      <c r="L596" s="52">
        <f t="shared" si="7"/>
        <v>45602.37248</v>
      </c>
      <c r="M596" s="49"/>
      <c r="N596" s="49"/>
      <c r="O596" s="49"/>
      <c r="P596" s="49"/>
      <c r="Q596" s="49"/>
      <c r="R596" s="49"/>
      <c r="S596" s="49"/>
      <c r="T596" s="49"/>
      <c r="U596" s="49"/>
      <c r="V596" s="49"/>
      <c r="W596" s="41" t="s">
        <v>618</v>
      </c>
      <c r="X596" s="46">
        <f t="shared" si="5"/>
        <v>45602.37518</v>
      </c>
      <c r="Y596" s="50" t="s">
        <v>482</v>
      </c>
      <c r="Z596" s="49">
        <f t="shared" si="6"/>
        <v>0</v>
      </c>
    </row>
    <row r="597" ht="22.5" customHeight="1">
      <c r="B597" s="41" t="s">
        <v>2846</v>
      </c>
      <c r="C597" s="43">
        <f t="array" ref="C597">IF(B597="","",_xlfn.XLOOKUP(B597,'Form responses 1'!$B$2:$B$2604,'Form responses 1'!$A$2:$A$2604,""))</f>
        <v>45596.37273</v>
      </c>
      <c r="D597" s="44" t="str">
        <f t="shared" si="3"/>
        <v>L/1/311024/1_45596.3727286574</v>
      </c>
      <c r="E597" s="44" t="str">
        <f t="array" ref="E597">IF(B597="","",_xlfn.XLOOKUP(B597,'Form responses 1'!$B$2:$B$2604,'Form responses 1'!$C$2:$C$2604,""))</f>
        <v>FERNANDO HUTAGALUNG</v>
      </c>
      <c r="F597" s="44" t="str">
        <f t="array" ref="F597">IF(B597="","",_xlfn.XLOOKUP(B597,'Form responses 1'!$B$2:$B$2604,'Form responses 1'!$D$2:$D$2604,""))</f>
        <v>082181018118</v>
      </c>
      <c r="G597" s="44" t="str">
        <f t="array" ref="G597">IF(B597="","",_xlfn.XLOOKUP(B597,'Form responses 1'!$B$2:$B$2604,'Form responses 1'!$E$2:$E$2604,""))</f>
        <v>PERUBAHAN HAK</v>
      </c>
      <c r="H597" s="44" t="str">
        <f t="array" ref="H597">IF(B597="","",_xlfn.XLOOKUP(B597,'Form responses 1'!$B$2:$B$2604,'Form responses 1'!$F$2:$F$2604,""))</f>
        <v>B.1037/CAMPANG JAYA;B.1083/CAMPANG RAYA-DAHULU</v>
      </c>
      <c r="I597" s="44" t="str">
        <f t="array" ref="I597">IF(B597="","",_xlfn.XLOOKUP(B597,'Form responses 1'!$B$2:$B$2604,'Form responses 1'!$I$2:$I$2604,""))</f>
        <v>CAMPANG JAYA</v>
      </c>
      <c r="J597" s="44" t="str">
        <f t="array" ref="J597">IF(B597="","",_xlfn.XLOOKUP(B597,'Form responses 1'!$B$2:$B$2604,'Form responses 1'!$G$2:$G$2604,""))</f>
        <v>Nuraini</v>
      </c>
      <c r="K597" s="41" t="s">
        <v>1233</v>
      </c>
      <c r="L597" s="52">
        <f t="shared" si="7"/>
        <v>45602.37546</v>
      </c>
      <c r="M597" s="47" t="s">
        <v>5544</v>
      </c>
      <c r="N597" s="49"/>
      <c r="O597" s="49"/>
      <c r="P597" s="49"/>
      <c r="Q597" s="49"/>
      <c r="R597" s="49"/>
      <c r="S597" s="49"/>
      <c r="T597" s="49"/>
      <c r="U597" s="49"/>
      <c r="V597" s="49"/>
      <c r="W597" s="41" t="s">
        <v>618</v>
      </c>
      <c r="X597" s="46">
        <f t="shared" si="5"/>
        <v>45607.3674</v>
      </c>
      <c r="Y597" s="50" t="s">
        <v>482</v>
      </c>
      <c r="Z597" s="49">
        <f t="shared" si="6"/>
        <v>1</v>
      </c>
    </row>
    <row r="598" ht="22.5" customHeight="1">
      <c r="B598" s="41" t="s">
        <v>2780</v>
      </c>
      <c r="C598" s="43">
        <f t="array" ref="C598">IF(B598="","",_xlfn.XLOOKUP(B598,'Form responses 1'!$B$2:$B$2604,'Form responses 1'!$A$2:$A$2604,""))</f>
        <v>45595.57198</v>
      </c>
      <c r="D598" s="44" t="str">
        <f t="shared" si="3"/>
        <v>K/24/301024/2_45595.5719820718</v>
      </c>
      <c r="E598" s="44" t="str">
        <f t="array" ref="E598">IF(B598="","",_xlfn.XLOOKUP(B598,'Form responses 1'!$B$2:$B$2604,'Form responses 1'!$C$2:$C$2604,""))</f>
        <v>Budi K/ Arianto</v>
      </c>
      <c r="F598" s="44" t="str">
        <f t="array" ref="F598">IF(B598="","",_xlfn.XLOOKUP(B598,'Form responses 1'!$B$2:$B$2604,'Form responses 1'!$D$2:$D$2604,""))</f>
        <v>+62 858-6816-7367</v>
      </c>
      <c r="G598" s="44" t="str">
        <f t="array" ref="G598">IF(B598="","",_xlfn.XLOOKUP(B598,'Form responses 1'!$B$2:$B$2604,'Form responses 1'!$E$2:$E$2604,""))</f>
        <v>BN Jual Beli</v>
      </c>
      <c r="H598" s="44" t="str">
        <f t="array" ref="H598">IF(B598="","",_xlfn.XLOOKUP(B598,'Form responses 1'!$B$2:$B$2604,'Form responses 1'!$F$2:$F$2604,""))</f>
        <v>M. 2314/ NOG; B. 558/ NOG</v>
      </c>
      <c r="I598" s="44" t="str">
        <f t="array" ref="I598">IF(B598="","",_xlfn.XLOOKUP(B598,'Form responses 1'!$B$2:$B$2604,'Form responses 1'!$I$2:$I$2604,""))</f>
        <v>Negeri Olok Gading</v>
      </c>
      <c r="J598" s="44" t="str">
        <f t="array" ref="J598">IF(B598="","",_xlfn.XLOOKUP(B598,'Form responses 1'!$B$2:$B$2604,'Form responses 1'!$G$2:$G$2604,""))</f>
        <v>Rapita</v>
      </c>
      <c r="K598" s="41" t="s">
        <v>587</v>
      </c>
      <c r="L598" s="52">
        <f t="shared" si="7"/>
        <v>45602.38785</v>
      </c>
      <c r="M598" s="47" t="s">
        <v>470</v>
      </c>
      <c r="N598" s="47" t="s">
        <v>5214</v>
      </c>
      <c r="O598" s="49"/>
      <c r="P598" s="49"/>
      <c r="Q598" s="49"/>
      <c r="R598" s="49"/>
      <c r="S598" s="49"/>
      <c r="T598" s="49"/>
      <c r="U598" s="49"/>
      <c r="V598" s="49"/>
      <c r="W598" s="41" t="s">
        <v>618</v>
      </c>
      <c r="X598" s="46">
        <f t="shared" si="5"/>
        <v>45607.32334</v>
      </c>
      <c r="Y598" s="50" t="s">
        <v>482</v>
      </c>
      <c r="Z598" s="49">
        <f t="shared" si="6"/>
        <v>2</v>
      </c>
    </row>
    <row r="599" ht="22.5" customHeight="1">
      <c r="B599" s="41" t="s">
        <v>2865</v>
      </c>
      <c r="C599" s="43">
        <f t="array" ref="C599">IF(B599="","",_xlfn.XLOOKUP(B599,'Form responses 1'!$B$2:$B$2604,'Form responses 1'!$A$2:$A$2604,""))</f>
        <v>45596.40109</v>
      </c>
      <c r="D599" s="44" t="str">
        <f t="shared" si="3"/>
        <v>K/4/311024/2_45596.4010888773</v>
      </c>
      <c r="E599" s="44" t="str">
        <f t="array" ref="E599">IF(B599="","",_xlfn.XLOOKUP(B599,'Form responses 1'!$B$2:$B$2604,'Form responses 1'!$C$2:$C$2604,""))</f>
        <v>kusniyah/ hariyo widodo</v>
      </c>
      <c r="F599" s="44" t="str">
        <f t="array" ref="F599">IF(B599="","",_xlfn.XLOOKUP(B599,'Form responses 1'!$B$2:$B$2604,'Form responses 1'!$D$2:$D$2604,""))</f>
        <v>082279841382</v>
      </c>
      <c r="G599" s="44" t="str">
        <f t="array" ref="G599">IF(B599="","",_xlfn.XLOOKUP(B599,'Form responses 1'!$B$2:$B$2604,'Form responses 1'!$E$2:$E$2604,""))</f>
        <v>ROYA</v>
      </c>
      <c r="H599" s="44" t="str">
        <f t="array" ref="H599">IF(B599="","",_xlfn.XLOOKUP(B599,'Form responses 1'!$B$2:$B$2604,'Form responses 1'!$F$2:$F$2604,""))</f>
        <v>M. 228/ Jagabaya I</v>
      </c>
      <c r="I599" s="44" t="str">
        <f t="array" ref="I599">IF(B599="","",_xlfn.XLOOKUP(B599,'Form responses 1'!$B$2:$B$2604,'Form responses 1'!$I$2:$I$2604,""))</f>
        <v>Jagabaya I</v>
      </c>
      <c r="J599" s="44" t="str">
        <f t="array" ref="J599">IF(B599="","",_xlfn.XLOOKUP(B599,'Form responses 1'!$B$2:$B$2604,'Form responses 1'!$G$2:$G$2604,""))</f>
        <v>Hananda</v>
      </c>
      <c r="K599" s="41" t="s">
        <v>587</v>
      </c>
      <c r="L599" s="52">
        <f t="shared" si="7"/>
        <v>45602.39059</v>
      </c>
      <c r="M599" s="47" t="s">
        <v>470</v>
      </c>
      <c r="N599" s="47" t="s">
        <v>5214</v>
      </c>
      <c r="O599" s="49"/>
      <c r="P599" s="49"/>
      <c r="Q599" s="49"/>
      <c r="R599" s="49"/>
      <c r="S599" s="49"/>
      <c r="T599" s="49"/>
      <c r="U599" s="49"/>
      <c r="V599" s="49"/>
      <c r="W599" s="41" t="s">
        <v>618</v>
      </c>
      <c r="X599" s="46">
        <f t="shared" si="5"/>
        <v>45610.60481</v>
      </c>
      <c r="Y599" s="50" t="s">
        <v>482</v>
      </c>
      <c r="Z599" s="49">
        <f t="shared" si="6"/>
        <v>2</v>
      </c>
    </row>
    <row r="600" ht="22.5" customHeight="1">
      <c r="B600" s="41" t="s">
        <v>3062</v>
      </c>
      <c r="C600" s="43">
        <f t="array" ref="C600">IF(B600="","",_xlfn.XLOOKUP(B600,'Form responses 1'!$B$2:$B$2604,'Form responses 1'!$A$2:$A$2604,""))</f>
        <v>45596.62014</v>
      </c>
      <c r="D600" s="44" t="str">
        <f t="shared" si="3"/>
        <v>K/57/311024/1_45596.6201404514</v>
      </c>
      <c r="E600" s="44" t="str">
        <f t="array" ref="E600">IF(B600="","",_xlfn.XLOOKUP(B600,'Form responses 1'!$B$2:$B$2604,'Form responses 1'!$C$2:$C$2604,""))</f>
        <v>ENDANG/ ENRIKO</v>
      </c>
      <c r="F600" s="44" t="str">
        <f t="array" ref="F600">IF(B600="","",_xlfn.XLOOKUP(B600,'Form responses 1'!$B$2:$B$2604,'Form responses 1'!$D$2:$D$2604,""))</f>
        <v>082177803999</v>
      </c>
      <c r="G600" s="44" t="str">
        <f t="array" ref="G600">IF(B600="","",_xlfn.XLOOKUP(B600,'Form responses 1'!$B$2:$B$2604,'Form responses 1'!$E$2:$E$2604,""))</f>
        <v>BN JUAL BELI</v>
      </c>
      <c r="H600" s="44" t="str">
        <f t="array" ref="H600">IF(B600="","",_xlfn.XLOOKUP(B600,'Form responses 1'!$B$2:$B$2604,'Form responses 1'!$F$2:$F$2604,""))</f>
        <v>B. 581/ Sumber Agung</v>
      </c>
      <c r="I600" s="44" t="str">
        <f t="array" ref="I600">IF(B600="","",_xlfn.XLOOKUP(B600,'Form responses 1'!$B$2:$B$2604,'Form responses 1'!$I$2:$I$2604,""))</f>
        <v>Sumber Agung</v>
      </c>
      <c r="J600" s="44" t="str">
        <f t="array" ref="J600">IF(B600="","",_xlfn.XLOOKUP(B600,'Form responses 1'!$B$2:$B$2604,'Form responses 1'!$G$2:$G$2604,""))</f>
        <v>Hananda</v>
      </c>
      <c r="K600" s="41" t="s">
        <v>587</v>
      </c>
      <c r="L600" s="52">
        <f t="shared" si="7"/>
        <v>45602.3921</v>
      </c>
      <c r="M600" s="47" t="s">
        <v>470</v>
      </c>
      <c r="N600" s="49"/>
      <c r="O600" s="49"/>
      <c r="P600" s="49"/>
      <c r="Q600" s="49"/>
      <c r="R600" s="49"/>
      <c r="S600" s="49"/>
      <c r="T600" s="49"/>
      <c r="U600" s="49"/>
      <c r="V600" s="49"/>
      <c r="W600" s="41" t="s">
        <v>470</v>
      </c>
      <c r="X600" s="46">
        <f t="shared" si="5"/>
        <v>45602.39221</v>
      </c>
      <c r="Y600" s="50" t="s">
        <v>482</v>
      </c>
      <c r="Z600" s="49">
        <f t="shared" si="6"/>
        <v>1</v>
      </c>
    </row>
    <row r="601" ht="22.5" customHeight="1">
      <c r="B601" s="41" t="s">
        <v>2704</v>
      </c>
      <c r="C601" s="43">
        <f t="array" ref="C601">IF(B601="","",_xlfn.XLOOKUP(B601,'Form responses 1'!$B$2:$B$2604,'Form responses 1'!$A$2:$A$2604,""))</f>
        <v>45595.40862</v>
      </c>
      <c r="D601" s="44" t="str">
        <f t="shared" si="3"/>
        <v>K/5/301024/4_45595.4086173958</v>
      </c>
      <c r="E601" s="44" t="str">
        <f t="array" ref="E601">IF(B601="","",_xlfn.XLOOKUP(B601,'Form responses 1'!$B$2:$B$2604,'Form responses 1'!$C$2:$C$2604,""))</f>
        <v>nanik maryan/agnes</v>
      </c>
      <c r="F601" s="44" t="str">
        <f t="array" ref="F601">IF(B601="","",_xlfn.XLOOKUP(B601,'Form responses 1'!$B$2:$B$2604,'Form responses 1'!$D$2:$D$2604,""))</f>
        <v>083178501348</v>
      </c>
      <c r="G601" s="44" t="str">
        <f t="array" ref="G601">IF(B601="","",_xlfn.XLOOKUP(B601,'Form responses 1'!$B$2:$B$2604,'Form responses 1'!$E$2:$E$2604,""))</f>
        <v>BN JUAL BELI</v>
      </c>
      <c r="H601" s="44" t="str">
        <f t="array" ref="H601">IF(B601="","",_xlfn.XLOOKUP(B601,'Form responses 1'!$B$2:$B$2604,'Form responses 1'!$F$2:$F$2604,""))</f>
        <v>M. 17942/ Sukarame</v>
      </c>
      <c r="I601" s="44" t="str">
        <f t="array" ref="I601">IF(B601="","",_xlfn.XLOOKUP(B601,'Form responses 1'!$B$2:$B$2604,'Form responses 1'!$I$2:$I$2604,""))</f>
        <v> Sukarame</v>
      </c>
      <c r="J601" s="44" t="str">
        <f t="array" ref="J601">IF(B601="","",_xlfn.XLOOKUP(B601,'Form responses 1'!$B$2:$B$2604,'Form responses 1'!$G$2:$G$2604,""))</f>
        <v>Hananda</v>
      </c>
      <c r="K601" s="41" t="s">
        <v>587</v>
      </c>
      <c r="L601" s="52">
        <f t="shared" si="7"/>
        <v>45602.39286</v>
      </c>
      <c r="M601" s="47" t="s">
        <v>470</v>
      </c>
      <c r="N601" s="47" t="s">
        <v>5214</v>
      </c>
      <c r="O601" s="49"/>
      <c r="P601" s="49"/>
      <c r="Q601" s="49"/>
      <c r="R601" s="49"/>
      <c r="S601" s="49"/>
      <c r="T601" s="49"/>
      <c r="U601" s="49"/>
      <c r="V601" s="49"/>
      <c r="W601" s="41" t="s">
        <v>618</v>
      </c>
      <c r="X601" s="46">
        <f t="shared" si="5"/>
        <v>45610.37016</v>
      </c>
      <c r="Y601" s="50" t="s">
        <v>482</v>
      </c>
      <c r="Z601" s="49">
        <f t="shared" si="6"/>
        <v>2</v>
      </c>
    </row>
    <row r="602" ht="22.5" customHeight="1">
      <c r="B602" s="41" t="s">
        <v>2789</v>
      </c>
      <c r="C602" s="43">
        <f t="array" ref="C602">IF(B602="","",_xlfn.XLOOKUP(B602,'Form responses 1'!$B$2:$B$2604,'Form responses 1'!$A$2:$A$2604,""))</f>
        <v>45595.57855</v>
      </c>
      <c r="D602" s="44" t="str">
        <f t="shared" si="3"/>
        <v>K/27/301024/3_45595.5785464468</v>
      </c>
      <c r="E602" s="44" t="str">
        <f t="array" ref="E602">IF(B602="","",_xlfn.XLOOKUP(B602,'Form responses 1'!$B$2:$B$2604,'Form responses 1'!$C$2:$C$2604,""))</f>
        <v>MARYANA/SERUNI WIDYAWATI</v>
      </c>
      <c r="F602" s="44" t="str">
        <f t="array" ref="F602">IF(B602="","",_xlfn.XLOOKUP(B602,'Form responses 1'!$B$2:$B$2604,'Form responses 1'!$D$2:$D$2604,""))</f>
        <v>0895-6092-80120</v>
      </c>
      <c r="G602" s="44" t="str">
        <f t="array" ref="G602">IF(B602="","",_xlfn.XLOOKUP(B602,'Form responses 1'!$B$2:$B$2604,'Form responses 1'!$E$2:$E$2604,""))</f>
        <v>BN JUAL BELI</v>
      </c>
      <c r="H602" s="44" t="str">
        <f t="array" ref="H602">IF(B602="","",_xlfn.XLOOKUP(B602,'Form responses 1'!$B$2:$B$2604,'Form responses 1'!$F$2:$F$2604,""))</f>
        <v>M.10426/KAMPUNG BARU</v>
      </c>
      <c r="I602" s="44" t="str">
        <f t="array" ref="I602">IF(B602="","",_xlfn.XLOOKUP(B602,'Form responses 1'!$B$2:$B$2604,'Form responses 1'!$I$2:$I$2604,""))</f>
        <v>KAMPUNG BARU</v>
      </c>
      <c r="J602" s="44" t="str">
        <f t="array" ref="J602">IF(B602="","",_xlfn.XLOOKUP(B602,'Form responses 1'!$B$2:$B$2604,'Form responses 1'!$G$2:$G$2604,""))</f>
        <v>Baynur</v>
      </c>
      <c r="K602" s="41" t="s">
        <v>587</v>
      </c>
      <c r="L602" s="52">
        <f t="shared" si="7"/>
        <v>45602.39586</v>
      </c>
      <c r="M602" s="47" t="s">
        <v>5214</v>
      </c>
      <c r="N602" s="49"/>
      <c r="O602" s="49"/>
      <c r="P602" s="49"/>
      <c r="Q602" s="49"/>
      <c r="R602" s="49"/>
      <c r="S602" s="49"/>
      <c r="T602" s="49"/>
      <c r="U602" s="49"/>
      <c r="V602" s="49"/>
      <c r="W602" s="41" t="s">
        <v>618</v>
      </c>
      <c r="X602" s="46">
        <f t="shared" si="5"/>
        <v>45602.39588</v>
      </c>
      <c r="Y602" s="50" t="s">
        <v>482</v>
      </c>
      <c r="Z602" s="49">
        <f t="shared" si="6"/>
        <v>1</v>
      </c>
    </row>
    <row r="603" ht="22.5" customHeight="1">
      <c r="B603" s="41" t="s">
        <v>2853</v>
      </c>
      <c r="C603" s="43">
        <f t="array" ref="C603">IF(B603="","",_xlfn.XLOOKUP(B603,'Form responses 1'!$B$2:$B$2604,'Form responses 1'!$A$2:$A$2604,""))</f>
        <v>45596.39462</v>
      </c>
      <c r="D603" s="44" t="str">
        <f t="shared" si="3"/>
        <v>K/3/311024/1_45596.3946223843</v>
      </c>
      <c r="E603" s="44" t="str">
        <f t="array" ref="E603">IF(B603="","",_xlfn.XLOOKUP(B603,'Form responses 1'!$B$2:$B$2604,'Form responses 1'!$C$2:$C$2604,""))</f>
        <v>hariyo widodo/ rospita</v>
      </c>
      <c r="F603" s="44" t="str">
        <f t="array" ref="F603">IF(B603="","",_xlfn.XLOOKUP(B603,'Form responses 1'!$B$2:$B$2604,'Form responses 1'!$D$2:$D$2604,""))</f>
        <v>082279441318</v>
      </c>
      <c r="G603" s="44" t="str">
        <f t="array" ref="G603">IF(B603="","",_xlfn.XLOOKUP(B603,'Form responses 1'!$B$2:$B$2604,'Form responses 1'!$E$2:$E$2604,""))</f>
        <v>HAPUS BPHTB</v>
      </c>
      <c r="H603" s="44" t="str">
        <f t="array" ref="H603">IF(B603="","",_xlfn.XLOOKUP(B603,'Form responses 1'!$B$2:$B$2604,'Form responses 1'!$F$2:$F$2604,""))</f>
        <v>M. 5834/ Way Kandis</v>
      </c>
      <c r="I603" s="44" t="str">
        <f t="array" ref="I603">IF(B603="","",_xlfn.XLOOKUP(B603,'Form responses 1'!$B$2:$B$2604,'Form responses 1'!$I$2:$I$2604,""))</f>
        <v> Way Kandis</v>
      </c>
      <c r="J603" s="44" t="str">
        <f t="array" ref="J603">IF(B603="","",_xlfn.XLOOKUP(B603,'Form responses 1'!$B$2:$B$2604,'Form responses 1'!$G$2:$G$2604,""))</f>
        <v>Hananda</v>
      </c>
      <c r="K603" s="41" t="s">
        <v>1233</v>
      </c>
      <c r="L603" s="52">
        <f t="shared" si="7"/>
        <v>45602.4303</v>
      </c>
      <c r="M603" s="47" t="s">
        <v>5545</v>
      </c>
      <c r="N603" s="49"/>
      <c r="O603" s="49"/>
      <c r="P603" s="49"/>
      <c r="Q603" s="49"/>
      <c r="R603" s="49"/>
      <c r="S603" s="49"/>
      <c r="T603" s="49"/>
      <c r="U603" s="49"/>
      <c r="V603" s="49"/>
      <c r="W603" s="41" t="s">
        <v>470</v>
      </c>
      <c r="X603" s="46">
        <f t="shared" si="5"/>
        <v>45602.43039</v>
      </c>
      <c r="Y603" s="50" t="s">
        <v>482</v>
      </c>
      <c r="Z603" s="49">
        <f t="shared" si="6"/>
        <v>1</v>
      </c>
    </row>
    <row r="604" ht="22.5" customHeight="1">
      <c r="B604" s="41" t="s">
        <v>2926</v>
      </c>
      <c r="C604" s="43">
        <f t="array" ref="C604">IF(B604="","",_xlfn.XLOOKUP(B604,'Form responses 1'!$B$2:$B$2604,'Form responses 1'!$A$2:$A$2604,""))</f>
        <v>45596.47622</v>
      </c>
      <c r="D604" s="44" t="str">
        <f t="shared" si="3"/>
        <v>L/19/311024/1_45596.4762236806</v>
      </c>
      <c r="E604" s="44" t="str">
        <f t="array" ref="E604">IF(B604="","",_xlfn.XLOOKUP(B604,'Form responses 1'!$B$2:$B$2604,'Form responses 1'!$C$2:$C$2604,""))</f>
        <v>MANSYURSYAH BASTARI</v>
      </c>
      <c r="F604" s="44" t="str">
        <f t="array" ref="F604">IF(B604="","",_xlfn.XLOOKUP(B604,'Form responses 1'!$B$2:$B$2604,'Form responses 1'!$D$2:$D$2604,""))</f>
        <v>081369998920</v>
      </c>
      <c r="G604" s="44" t="str">
        <f t="array" ref="G604">IF(B604="","",_xlfn.XLOOKUP(B604,'Form responses 1'!$B$2:$B$2604,'Form responses 1'!$E$2:$E$2604,""))</f>
        <v>ROYA</v>
      </c>
      <c r="H604" s="44" t="str">
        <f t="array" ref="H604">IF(B604="","",_xlfn.XLOOKUP(B604,'Form responses 1'!$B$2:$B$2604,'Form responses 1'!$F$2:$F$2604,""))</f>
        <v>M.2510/KP;B.175/KP-DAHULU</v>
      </c>
      <c r="I604" s="44" t="str">
        <f t="array" ref="I604">IF(B604="","",_xlfn.XLOOKUP(B604,'Form responses 1'!$B$2:$B$2604,'Form responses 1'!$I$2:$I$2604,""))</f>
        <v>KEMILING PERMAI</v>
      </c>
      <c r="J604" s="44" t="str">
        <f t="array" ref="J604">IF(B604="","",_xlfn.XLOOKUP(B604,'Form responses 1'!$B$2:$B$2604,'Form responses 1'!$G$2:$G$2604,""))</f>
        <v>Nuraini</v>
      </c>
      <c r="K604" s="41" t="s">
        <v>1233</v>
      </c>
      <c r="L604" s="52">
        <f t="shared" si="7"/>
        <v>45602.43411</v>
      </c>
      <c r="M604" s="49"/>
      <c r="N604" s="49"/>
      <c r="O604" s="49"/>
      <c r="P604" s="49"/>
      <c r="Q604" s="49"/>
      <c r="R604" s="49"/>
      <c r="S604" s="49"/>
      <c r="T604" s="49"/>
      <c r="U604" s="49"/>
      <c r="V604" s="49"/>
      <c r="W604" s="41" t="s">
        <v>618</v>
      </c>
      <c r="X604" s="46">
        <f t="shared" si="5"/>
        <v>45602.43415</v>
      </c>
      <c r="Y604" s="50" t="s">
        <v>482</v>
      </c>
      <c r="Z604" s="49">
        <f t="shared" si="6"/>
        <v>0</v>
      </c>
    </row>
    <row r="605" ht="22.5" customHeight="1">
      <c r="B605" s="41" t="s">
        <v>2958</v>
      </c>
      <c r="C605" s="43">
        <f t="array" ref="C605">IF(B605="","",_xlfn.XLOOKUP(B605,'Form responses 1'!$B$2:$B$2604,'Form responses 1'!$A$2:$A$2604,""))</f>
        <v>45596.55649</v>
      </c>
      <c r="D605" s="44" t="str">
        <f t="shared" si="3"/>
        <v>L/27/311024/1_45596.5564891435</v>
      </c>
      <c r="E605" s="44" t="str">
        <f t="array" ref="E605">IF(B605="","",_xlfn.XLOOKUP(B605,'Form responses 1'!$B$2:$B$2604,'Form responses 1'!$C$2:$C$2604,""))</f>
        <v>MUHAMAD YUSUF</v>
      </c>
      <c r="F605" s="44" t="str">
        <f t="array" ref="F605">IF(B605="","",_xlfn.XLOOKUP(B605,'Form responses 1'!$B$2:$B$2604,'Form responses 1'!$D$2:$D$2604,""))</f>
        <v>08127965679</v>
      </c>
      <c r="G605" s="44" t="str">
        <f t="array" ref="G605">IF(B605="","",_xlfn.XLOOKUP(B605,'Form responses 1'!$B$2:$B$2604,'Form responses 1'!$E$2:$E$2604,""))</f>
        <v>ROYA</v>
      </c>
      <c r="H605" s="44" t="str">
        <f t="array" ref="H605">IF(B605="","",_xlfn.XLOOKUP(B605,'Form responses 1'!$B$2:$B$2604,'Form responses 1'!$F$2:$F$2604,""))</f>
        <v>M.2818/GU.T;B.92/GU.T-DAHULU</v>
      </c>
      <c r="I605" s="44" t="str">
        <f t="array" ref="I605">IF(B605="","",_xlfn.XLOOKUP(B605,'Form responses 1'!$B$2:$B$2604,'Form responses 1'!$I$2:$I$2604,""))</f>
        <v>GUNUNG TERANG</v>
      </c>
      <c r="J605" s="44" t="str">
        <f t="array" ref="J605">IF(B605="","",_xlfn.XLOOKUP(B605,'Form responses 1'!$B$2:$B$2604,'Form responses 1'!$G$2:$G$2604,""))</f>
        <v>Nuraini</v>
      </c>
      <c r="K605" s="41" t="s">
        <v>1233</v>
      </c>
      <c r="L605" s="52">
        <f t="shared" si="7"/>
        <v>45602.4383</v>
      </c>
      <c r="M605" s="49"/>
      <c r="N605" s="49"/>
      <c r="O605" s="49"/>
      <c r="P605" s="49"/>
      <c r="Q605" s="49"/>
      <c r="R605" s="49"/>
      <c r="S605" s="49"/>
      <c r="T605" s="49"/>
      <c r="U605" s="49"/>
      <c r="V605" s="49"/>
      <c r="W605" s="41" t="s">
        <v>618</v>
      </c>
      <c r="X605" s="46">
        <f t="shared" si="5"/>
        <v>45602.43834</v>
      </c>
      <c r="Y605" s="50" t="s">
        <v>482</v>
      </c>
      <c r="Z605" s="49">
        <f t="shared" si="6"/>
        <v>0</v>
      </c>
    </row>
    <row r="606" ht="22.5" customHeight="1">
      <c r="B606" s="41" t="s">
        <v>2997</v>
      </c>
      <c r="C606" s="43">
        <f t="array" ref="C606">IF(B606="","",_xlfn.XLOOKUP(B606,'Form responses 1'!$B$2:$B$2604,'Form responses 1'!$A$2:$A$2604,""))</f>
        <v>45596.58771</v>
      </c>
      <c r="D606" s="44" t="str">
        <f t="shared" si="3"/>
        <v>K/38/311024/1_45596.5877057523</v>
      </c>
      <c r="E606" s="44" t="str">
        <f t="array" ref="E606">IF(B606="","",_xlfn.XLOOKUP(B606,'Form responses 1'!$B$2:$B$2604,'Form responses 1'!$C$2:$C$2604,""))</f>
        <v>Ernawati/ Elvina (BPR Adji Caka)</v>
      </c>
      <c r="F606" s="44" t="str">
        <f t="array" ref="F606">IF(B606="","",_xlfn.XLOOKUP(B606,'Form responses 1'!$B$2:$B$2604,'Form responses 1'!$D$2:$D$2604,""))</f>
        <v>082176516885</v>
      </c>
      <c r="G606" s="44" t="str">
        <f t="array" ref="G606">IF(B606="","",_xlfn.XLOOKUP(B606,'Form responses 1'!$B$2:$B$2604,'Form responses 1'!$E$2:$E$2604,""))</f>
        <v>Ganti Nama Kreditur</v>
      </c>
      <c r="H606" s="44" t="str">
        <f t="array" ref="H606">IF(B606="","",_xlfn.XLOOKUP(B606,'Form responses 1'!$B$2:$B$2604,'Form responses 1'!$F$2:$F$2604,""))</f>
        <v>M. 2181/ Kemiling Permai; SHT 1853/2019</v>
      </c>
      <c r="I606" s="44" t="str">
        <f t="array" ref="I606">IF(B606="","",_xlfn.XLOOKUP(B606,'Form responses 1'!$B$2:$B$2604,'Form responses 1'!$I$2:$I$2604,""))</f>
        <v>Kemiling Permai</v>
      </c>
      <c r="J606" s="44" t="str">
        <f t="array" ref="J606">IF(B606="","",_xlfn.XLOOKUP(B606,'Form responses 1'!$B$2:$B$2604,'Form responses 1'!$G$2:$G$2604,""))</f>
        <v>Rapita</v>
      </c>
      <c r="K606" s="41" t="s">
        <v>1233</v>
      </c>
      <c r="L606" s="52">
        <f t="shared" si="7"/>
        <v>45602.45241</v>
      </c>
      <c r="M606" s="47" t="s">
        <v>5546</v>
      </c>
      <c r="N606" s="49"/>
      <c r="O606" s="49"/>
      <c r="P606" s="49"/>
      <c r="Q606" s="49"/>
      <c r="R606" s="49"/>
      <c r="S606" s="49"/>
      <c r="T606" s="49"/>
      <c r="U606" s="49"/>
      <c r="V606" s="49"/>
      <c r="W606" s="41" t="s">
        <v>618</v>
      </c>
      <c r="X606" s="46">
        <f t="shared" si="5"/>
        <v>45602.67466</v>
      </c>
      <c r="Y606" s="50" t="s">
        <v>482</v>
      </c>
      <c r="Z606" s="49">
        <f t="shared" si="6"/>
        <v>1</v>
      </c>
    </row>
    <row r="607" ht="22.5" customHeight="1">
      <c r="B607" s="41" t="s">
        <v>3509</v>
      </c>
      <c r="C607" s="43">
        <f t="array" ref="C607">IF(B607="","",_xlfn.XLOOKUP(B607,'Form responses 1'!$B$2:$B$2604,'Form responses 1'!$A$2:$A$2604,""))</f>
        <v>45601.41326</v>
      </c>
      <c r="D607" s="44" t="str">
        <f t="shared" si="3"/>
        <v>K/5/051124/1_45601.4132563079</v>
      </c>
      <c r="E607" s="44" t="str">
        <f t="array" ref="E607">IF(B607="","",_xlfn.XLOOKUP(B607,'Form responses 1'!$B$2:$B$2604,'Form responses 1'!$C$2:$C$2604,""))</f>
        <v>A JAZULI MADJID/ JONI</v>
      </c>
      <c r="F607" s="44" t="str">
        <f t="array" ref="F607">IF(B607="","",_xlfn.XLOOKUP(B607,'Form responses 1'!$B$2:$B$2604,'Form responses 1'!$D$2:$D$2604,""))</f>
        <v>082179138453</v>
      </c>
      <c r="G607" s="44" t="str">
        <f t="array" ref="G607">IF(B607="","",_xlfn.XLOOKUP(B607,'Form responses 1'!$B$2:$B$2604,'Form responses 1'!$E$2:$E$2604,""))</f>
        <v>SERTIPKAT HILANG</v>
      </c>
      <c r="H607" s="44" t="str">
        <f t="array" ref="H607">IF(B607="","",_xlfn.XLOOKUP(B607,'Form responses 1'!$B$2:$B$2604,'Form responses 1'!$F$2:$F$2604,""))</f>
        <v>M. 4226/ LANGKAPURA</v>
      </c>
      <c r="I607" s="44" t="str">
        <f t="array" ref="I607">IF(B607="","",_xlfn.XLOOKUP(B607,'Form responses 1'!$B$2:$B$2604,'Form responses 1'!$I$2:$I$2604,""))</f>
        <v>LANGKAPURA</v>
      </c>
      <c r="J607" s="44" t="str">
        <f t="array" ref="J607">IF(B607="","",_xlfn.XLOOKUP(B607,'Form responses 1'!$B$2:$B$2604,'Form responses 1'!$G$2:$G$2604,""))</f>
        <v>Hananda</v>
      </c>
      <c r="K607" s="41" t="s">
        <v>422</v>
      </c>
      <c r="L607" s="52">
        <f t="shared" si="7"/>
        <v>45602.45825</v>
      </c>
      <c r="M607" s="47" t="s">
        <v>5501</v>
      </c>
      <c r="N607" s="47" t="s">
        <v>5547</v>
      </c>
      <c r="O607" s="49"/>
      <c r="P607" s="49"/>
      <c r="Q607" s="49"/>
      <c r="R607" s="49"/>
      <c r="S607" s="49"/>
      <c r="T607" s="49"/>
      <c r="U607" s="49"/>
      <c r="V607" s="49"/>
      <c r="W607" s="41" t="s">
        <v>470</v>
      </c>
      <c r="X607" s="46">
        <f t="shared" si="5"/>
        <v>45602.45856</v>
      </c>
      <c r="Y607" s="50" t="s">
        <v>482</v>
      </c>
      <c r="Z607" s="49">
        <f t="shared" si="6"/>
        <v>2</v>
      </c>
    </row>
    <row r="608" ht="22.5" customHeight="1">
      <c r="B608" s="41" t="s">
        <v>2872</v>
      </c>
      <c r="C608" s="43">
        <f t="array" ref="C608">IF(B608="","",_xlfn.XLOOKUP(B608,'Form responses 1'!$B$2:$B$2604,'Form responses 1'!$A$2:$A$2604,""))</f>
        <v>45596.41637</v>
      </c>
      <c r="D608" s="44" t="str">
        <f t="shared" si="3"/>
        <v>K/6/311024/1_45596.4163653241</v>
      </c>
      <c r="E608" s="44" t="str">
        <f t="array" ref="E608">IF(B608="","",_xlfn.XLOOKUP(B608,'Form responses 1'!$B$2:$B$2604,'Form responses 1'!$C$2:$C$2604,""))</f>
        <v>Indah Syafitri/ Saipulloh</v>
      </c>
      <c r="F608" s="44" t="str">
        <f t="array" ref="F608">IF(B608="","",_xlfn.XLOOKUP(B608,'Form responses 1'!$B$2:$B$2604,'Form responses 1'!$D$2:$D$2604,""))</f>
        <v>+62 852-6993-7753</v>
      </c>
      <c r="G608" s="44" t="str">
        <f t="array" ref="G608">IF(B608="","",_xlfn.XLOOKUP(B608,'Form responses 1'!$B$2:$B$2604,'Form responses 1'!$E$2:$E$2604,""))</f>
        <v>BN Jual Beli</v>
      </c>
      <c r="H608" s="44" t="str">
        <f t="array" ref="H608">IF(B608="","",_xlfn.XLOOKUP(B608,'Form responses 1'!$B$2:$B$2604,'Form responses 1'!$F$2:$F$2604,""))</f>
        <v>M. 948/ Campang Raya; B. 200/ CR-dahulu</v>
      </c>
      <c r="I608" s="44" t="str">
        <f t="array" ref="I608">IF(B608="","",_xlfn.XLOOKUP(B608,'Form responses 1'!$B$2:$B$2604,'Form responses 1'!$I$2:$I$2604,""))</f>
        <v>Campang Raya</v>
      </c>
      <c r="J608" s="44" t="str">
        <f t="array" ref="J608">IF(B608="","",_xlfn.XLOOKUP(B608,'Form responses 1'!$B$2:$B$2604,'Form responses 1'!$G$2:$G$2604,""))</f>
        <v>Rapita</v>
      </c>
      <c r="K608" s="41" t="s">
        <v>1233</v>
      </c>
      <c r="L608" s="52">
        <f t="shared" si="7"/>
        <v>45602.45868</v>
      </c>
      <c r="M608" s="49"/>
      <c r="N608" s="49"/>
      <c r="O608" s="49"/>
      <c r="P608" s="49"/>
      <c r="Q608" s="49"/>
      <c r="R608" s="49"/>
      <c r="S608" s="49"/>
      <c r="T608" s="49"/>
      <c r="U608" s="49"/>
      <c r="V608" s="49"/>
      <c r="W608" s="41" t="s">
        <v>618</v>
      </c>
      <c r="X608" s="46">
        <f t="shared" si="5"/>
        <v>45602.45873</v>
      </c>
      <c r="Y608" s="50" t="s">
        <v>482</v>
      </c>
      <c r="Z608" s="49">
        <f t="shared" si="6"/>
        <v>0</v>
      </c>
    </row>
    <row r="609" ht="22.5" customHeight="1">
      <c r="B609" s="41" t="s">
        <v>3618</v>
      </c>
      <c r="C609" s="43">
        <f t="array" ref="C609">IF(B609="","",_xlfn.XLOOKUP(B609,'Form responses 1'!$B$2:$B$2604,'Form responses 1'!$A$2:$A$2604,""))</f>
        <v>45601.55762</v>
      </c>
      <c r="D609" s="44" t="str">
        <f t="shared" si="3"/>
        <v>K/39/051124/1_45601.5576209722</v>
      </c>
      <c r="E609" s="44" t="str">
        <f t="array" ref="E609">IF(B609="","",_xlfn.XLOOKUP(B609,'Form responses 1'!$B$2:$B$2604,'Form responses 1'!$C$2:$C$2604,""))</f>
        <v>Sony Hanata P/ Dhany K</v>
      </c>
      <c r="F609" s="44" t="str">
        <f t="array" ref="F609">IF(B609="","",_xlfn.XLOOKUP(B609,'Form responses 1'!$B$2:$B$2604,'Form responses 1'!$D$2:$D$2604,""))</f>
        <v>081572583065</v>
      </c>
      <c r="G609" s="44" t="str">
        <f t="array" ref="G609">IF(B609="","",_xlfn.XLOOKUP(B609,'Form responses 1'!$B$2:$B$2604,'Form responses 1'!$E$2:$E$2604,""))</f>
        <v>BN Jual Beli</v>
      </c>
      <c r="H609" s="44" t="str">
        <f t="array" ref="H609">IF(B609="","",_xlfn.XLOOKUP(B609,'Form responses 1'!$B$2:$B$2604,'Form responses 1'!$F$2:$F$2604,""))</f>
        <v>M. 876/ Korpri Jaya</v>
      </c>
      <c r="I609" s="44" t="str">
        <f t="array" ref="I609">IF(B609="","",_xlfn.XLOOKUP(B609,'Form responses 1'!$B$2:$B$2604,'Form responses 1'!$I$2:$I$2604,""))</f>
        <v>Korpri Jaya</v>
      </c>
      <c r="J609" s="44" t="str">
        <f t="array" ref="J609">IF(B609="","",_xlfn.XLOOKUP(B609,'Form responses 1'!$B$2:$B$2604,'Form responses 1'!$G$2:$G$2604,""))</f>
        <v>Rapita</v>
      </c>
      <c r="K609" s="41" t="s">
        <v>422</v>
      </c>
      <c r="L609" s="52">
        <f t="shared" si="7"/>
        <v>45602.46116</v>
      </c>
      <c r="M609" s="47" t="s">
        <v>5548</v>
      </c>
      <c r="N609" s="47" t="s">
        <v>5549</v>
      </c>
      <c r="O609" s="49"/>
      <c r="P609" s="49"/>
      <c r="Q609" s="49"/>
      <c r="R609" s="49"/>
      <c r="S609" s="49"/>
      <c r="T609" s="49"/>
      <c r="U609" s="49"/>
      <c r="V609" s="49"/>
      <c r="W609" s="41" t="s">
        <v>618</v>
      </c>
      <c r="X609" s="46">
        <f t="shared" si="5"/>
        <v>45602.5721</v>
      </c>
      <c r="Y609" s="50" t="s">
        <v>482</v>
      </c>
      <c r="Z609" s="49">
        <f t="shared" si="6"/>
        <v>2</v>
      </c>
    </row>
    <row r="610" ht="22.5" customHeight="1">
      <c r="B610" s="41" t="s">
        <v>3680</v>
      </c>
      <c r="C610" s="43">
        <f t="array" ref="C610">IF(B610="","",_xlfn.XLOOKUP(B610,'Form responses 1'!$B$2:$B$2604,'Form responses 1'!$A$2:$A$2604,""))</f>
        <v>45601.61252</v>
      </c>
      <c r="D610" s="44" t="str">
        <f t="shared" si="3"/>
        <v>K/55/051124/1_45601.6125222801</v>
      </c>
      <c r="E610" s="44" t="str">
        <f t="array" ref="E610">IF(B610="","",_xlfn.XLOOKUP(B610,'Form responses 1'!$B$2:$B$2604,'Form responses 1'!$C$2:$C$2604,""))</f>
        <v>ILANUR/ NYOMAN ARTE</v>
      </c>
      <c r="F610" s="44" t="str">
        <f t="array" ref="F610">IF(B610="","",_xlfn.XLOOKUP(B610,'Form responses 1'!$B$2:$B$2604,'Form responses 1'!$D$2:$D$2604,""))</f>
        <v>081295653816</v>
      </c>
      <c r="G610" s="44" t="str">
        <f t="array" ref="G610">IF(B610="","",_xlfn.XLOOKUP(B610,'Form responses 1'!$B$2:$B$2604,'Form responses 1'!$E$2:$E$2604,""))</f>
        <v>BN JUAL BELI</v>
      </c>
      <c r="H610" s="44" t="str">
        <f t="array" ref="H610">IF(B610="","",_xlfn.XLOOKUP(B610,'Form responses 1'!$B$2:$B$2604,'Form responses 1'!$F$2:$F$2604,""))</f>
        <v>M. 3237/ Labuhan Dalam</v>
      </c>
      <c r="I610" s="44" t="str">
        <f t="array" ref="I610">IF(B610="","",_xlfn.XLOOKUP(B610,'Form responses 1'!$B$2:$B$2604,'Form responses 1'!$I$2:$I$2604,""))</f>
        <v>Labuhan Dalam</v>
      </c>
      <c r="J610" s="44" t="str">
        <f t="array" ref="J610">IF(B610="","",_xlfn.XLOOKUP(B610,'Form responses 1'!$B$2:$B$2604,'Form responses 1'!$G$2:$G$2604,""))</f>
        <v>Hananda</v>
      </c>
      <c r="K610" s="41" t="s">
        <v>422</v>
      </c>
      <c r="L610" s="52">
        <f t="shared" si="7"/>
        <v>45602.46117</v>
      </c>
      <c r="M610" s="47" t="s">
        <v>5550</v>
      </c>
      <c r="N610" s="49"/>
      <c r="O610" s="49"/>
      <c r="P610" s="49"/>
      <c r="Q610" s="49"/>
      <c r="R610" s="49"/>
      <c r="S610" s="49"/>
      <c r="T610" s="49"/>
      <c r="U610" s="49"/>
      <c r="V610" s="49"/>
      <c r="W610" s="41" t="s">
        <v>618</v>
      </c>
      <c r="X610" s="46">
        <f t="shared" si="5"/>
        <v>45604.63747</v>
      </c>
      <c r="Y610" s="50" t="s">
        <v>482</v>
      </c>
      <c r="Z610" s="49">
        <f t="shared" si="6"/>
        <v>1</v>
      </c>
    </row>
    <row r="611" ht="22.5" customHeight="1">
      <c r="B611" s="41" t="s">
        <v>3551</v>
      </c>
      <c r="C611" s="43">
        <f t="array" ref="C611">IF(B611="","",_xlfn.XLOOKUP(B611,'Form responses 1'!$B$2:$B$2604,'Form responses 1'!$A$2:$A$2604,""))</f>
        <v>45601.46082</v>
      </c>
      <c r="D611" s="44" t="str">
        <f t="shared" si="3"/>
        <v>K/19/051124/1_45601.4608241204</v>
      </c>
      <c r="E611" s="44" t="str">
        <f t="array" ref="E611">IF(B611="","",_xlfn.XLOOKUP(B611,'Form responses 1'!$B$2:$B$2604,'Form responses 1'!$C$2:$C$2604,""))</f>
        <v>MAISAROH/HERLINA RATNA SN</v>
      </c>
      <c r="F611" s="44" t="str">
        <f t="array" ref="F611">IF(B611="","",_xlfn.XLOOKUP(B611,'Form responses 1'!$B$2:$B$2604,'Form responses 1'!$D$2:$D$2604,""))</f>
        <v>0813-6907-0444</v>
      </c>
      <c r="G611" s="44" t="str">
        <f t="array" ref="G611">IF(B611="","",_xlfn.XLOOKUP(B611,'Form responses 1'!$B$2:$B$2604,'Form responses 1'!$E$2:$E$2604,""))</f>
        <v>BN JUAL BELI</v>
      </c>
      <c r="H611" s="44" t="str">
        <f t="array" ref="H611">IF(B611="","",_xlfn.XLOOKUP(B611,'Form responses 1'!$B$2:$B$2604,'Form responses 1'!$F$2:$F$2604,""))</f>
        <v>M.2429/KEDAUNG</v>
      </c>
      <c r="I611" s="44" t="str">
        <f t="array" ref="I611">IF(B611="","",_xlfn.XLOOKUP(B611,'Form responses 1'!$B$2:$B$2604,'Form responses 1'!$I$2:$I$2604,""))</f>
        <v>KEDAUNG</v>
      </c>
      <c r="J611" s="44" t="str">
        <f t="array" ref="J611">IF(B611="","",_xlfn.XLOOKUP(B611,'Form responses 1'!$B$2:$B$2604,'Form responses 1'!$G$2:$G$2604,""))</f>
        <v>Baynur</v>
      </c>
      <c r="K611" s="41" t="s">
        <v>422</v>
      </c>
      <c r="L611" s="52">
        <f t="shared" si="7"/>
        <v>45602.46119</v>
      </c>
      <c r="M611" s="47" t="s">
        <v>5551</v>
      </c>
      <c r="N611" s="49"/>
      <c r="O611" s="49"/>
      <c r="P611" s="49"/>
      <c r="Q611" s="49"/>
      <c r="R611" s="49"/>
      <c r="S611" s="49"/>
      <c r="T611" s="49"/>
      <c r="U611" s="49"/>
      <c r="V611" s="49"/>
      <c r="W611" s="41" t="s">
        <v>618</v>
      </c>
      <c r="X611" s="46">
        <f t="shared" si="5"/>
        <v>45608.62953</v>
      </c>
      <c r="Y611" s="50" t="s">
        <v>482</v>
      </c>
      <c r="Z611" s="49">
        <f t="shared" si="6"/>
        <v>1</v>
      </c>
    </row>
    <row r="612" ht="22.5" customHeight="1">
      <c r="B612" s="41" t="s">
        <v>3676</v>
      </c>
      <c r="C612" s="43">
        <f t="array" ref="C612">IF(B612="","",_xlfn.XLOOKUP(B612,'Form responses 1'!$B$2:$B$2604,'Form responses 1'!$A$2:$A$2604,""))</f>
        <v>45601.61146</v>
      </c>
      <c r="D612" s="44" t="str">
        <f t="shared" si="3"/>
        <v>K/54/051124/1_45601.6114576042</v>
      </c>
      <c r="E612" s="44" t="str">
        <f t="array" ref="E612">IF(B612="","",_xlfn.XLOOKUP(B612,'Form responses 1'!$B$2:$B$2604,'Form responses 1'!$C$2:$C$2604,""))</f>
        <v>Andrianto/ Ferdiawan S</v>
      </c>
      <c r="F612" s="44" t="str">
        <f t="array" ref="F612">IF(B612="","",_xlfn.XLOOKUP(B612,'Form responses 1'!$B$2:$B$2604,'Form responses 1'!$D$2:$D$2604,""))</f>
        <v>081373893119</v>
      </c>
      <c r="G612" s="44" t="str">
        <f t="array" ref="G612">IF(B612="","",_xlfn.XLOOKUP(B612,'Form responses 1'!$B$2:$B$2604,'Form responses 1'!$E$2:$E$2604,""))</f>
        <v>BN Jual Beli</v>
      </c>
      <c r="H612" s="44" t="str">
        <f t="array" ref="H612">IF(B612="","",_xlfn.XLOOKUP(B612,'Form responses 1'!$B$2:$B$2604,'Form responses 1'!$F$2:$F$2604,""))</f>
        <v>M. 591/ Rajabasa Jaya</v>
      </c>
      <c r="I612" s="44" t="str">
        <f t="array" ref="I612">IF(B612="","",_xlfn.XLOOKUP(B612,'Form responses 1'!$B$2:$B$2604,'Form responses 1'!$I$2:$I$2604,""))</f>
        <v> Rajabasa Jaya</v>
      </c>
      <c r="J612" s="44" t="str">
        <f t="array" ref="J612">IF(B612="","",_xlfn.XLOOKUP(B612,'Form responses 1'!$B$2:$B$2604,'Form responses 1'!$G$2:$G$2604,""))</f>
        <v>Rapita</v>
      </c>
      <c r="K612" s="41" t="s">
        <v>422</v>
      </c>
      <c r="L612" s="52">
        <f t="shared" si="7"/>
        <v>45602.4612</v>
      </c>
      <c r="M612" s="49"/>
      <c r="N612" s="49"/>
      <c r="O612" s="49"/>
      <c r="P612" s="49"/>
      <c r="Q612" s="49"/>
      <c r="R612" s="49"/>
      <c r="S612" s="49"/>
      <c r="T612" s="49"/>
      <c r="U612" s="49"/>
      <c r="V612" s="49"/>
      <c r="W612" s="41" t="s">
        <v>618</v>
      </c>
      <c r="X612" s="46">
        <f t="shared" si="5"/>
        <v>45602.51142</v>
      </c>
      <c r="Y612" s="50" t="s">
        <v>482</v>
      </c>
      <c r="Z612" s="49">
        <f t="shared" si="6"/>
        <v>0</v>
      </c>
    </row>
    <row r="613" ht="22.5" customHeight="1">
      <c r="B613" s="41" t="s">
        <v>3591</v>
      </c>
      <c r="C613" s="43">
        <f t="array" ref="C613">IF(B613="","",_xlfn.XLOOKUP(B613,'Form responses 1'!$B$2:$B$2604,'Form responses 1'!$A$2:$A$2604,""))</f>
        <v>45601.48095</v>
      </c>
      <c r="D613" s="44" t="str">
        <f t="shared" si="3"/>
        <v>K/30/051124/5_45601.4809541088</v>
      </c>
      <c r="E613" s="44" t="str">
        <f t="array" ref="E613">IF(B613="","",_xlfn.XLOOKUP(B613,'Form responses 1'!$B$2:$B$2604,'Form responses 1'!$C$2:$C$2604,""))</f>
        <v>WHINDA YULIANTI</v>
      </c>
      <c r="F613" s="44" t="str">
        <f t="array" ref="F613">IF(B613="","",_xlfn.XLOOKUP(B613,'Form responses 1'!$B$2:$B$2604,'Form responses 1'!$D$2:$D$2604,""))</f>
        <v>089663904479</v>
      </c>
      <c r="G613" s="44" t="str">
        <f t="array" ref="G613">IF(B613="","",_xlfn.XLOOKUP(B613,'Form responses 1'!$B$2:$B$2604,'Form responses 1'!$E$2:$E$2604,""))</f>
        <v>BN JUAL BELI</v>
      </c>
      <c r="H613" s="44" t="str">
        <f t="array" ref="H613">IF(B613="","",_xlfn.XLOOKUP(B613,'Form responses 1'!$B$2:$B$2604,'Form responses 1'!$F$2:$F$2604,""))</f>
        <v>M. 1055/ PemaTang Wangi</v>
      </c>
      <c r="I613" s="44" t="str">
        <f t="array" ref="I613">IF(B613="","",_xlfn.XLOOKUP(B613,'Form responses 1'!$B$2:$B$2604,'Form responses 1'!$I$2:$I$2604,""))</f>
        <v>PemaTang Wangi</v>
      </c>
      <c r="J613" s="44" t="str">
        <f t="array" ref="J613">IF(B613="","",_xlfn.XLOOKUP(B613,'Form responses 1'!$B$2:$B$2604,'Form responses 1'!$G$2:$G$2604,""))</f>
        <v>Hananda</v>
      </c>
      <c r="K613" s="41" t="s">
        <v>422</v>
      </c>
      <c r="L613" s="52">
        <f t="shared" si="7"/>
        <v>45602.46122</v>
      </c>
      <c r="M613" s="49"/>
      <c r="N613" s="49"/>
      <c r="O613" s="49"/>
      <c r="P613" s="49"/>
      <c r="Q613" s="49"/>
      <c r="R613" s="49"/>
      <c r="S613" s="49"/>
      <c r="T613" s="49"/>
      <c r="U613" s="49"/>
      <c r="V613" s="49"/>
      <c r="W613" s="41" t="s">
        <v>618</v>
      </c>
      <c r="X613" s="46">
        <f t="shared" si="5"/>
        <v>45603.44604</v>
      </c>
      <c r="Y613" s="50" t="s">
        <v>482</v>
      </c>
      <c r="Z613" s="49">
        <f t="shared" si="6"/>
        <v>0</v>
      </c>
    </row>
    <row r="614" ht="22.5" customHeight="1">
      <c r="B614" s="41" t="s">
        <v>3626</v>
      </c>
      <c r="C614" s="43">
        <f t="array" ref="C614">IF(B614="","",_xlfn.XLOOKUP(B614,'Form responses 1'!$B$2:$B$2604,'Form responses 1'!$A$2:$A$2604,""))</f>
        <v>45601.56137</v>
      </c>
      <c r="D614" s="44" t="str">
        <f t="shared" si="3"/>
        <v>K/41/051124/1_45601.5613731713</v>
      </c>
      <c r="E614" s="44" t="str">
        <f t="array" ref="E614">IF(B614="","",_xlfn.XLOOKUP(B614,'Form responses 1'!$B$2:$B$2604,'Form responses 1'!$C$2:$C$2604,""))</f>
        <v>JURIAH/HALIYUN</v>
      </c>
      <c r="F614" s="44" t="str">
        <f t="array" ref="F614">IF(B614="","",_xlfn.XLOOKUP(B614,'Form responses 1'!$B$2:$B$2604,'Form responses 1'!$D$2:$D$2604,""))</f>
        <v>081279248567</v>
      </c>
      <c r="G614" s="44" t="str">
        <f t="array" ref="G614">IF(B614="","",_xlfn.XLOOKUP(B614,'Form responses 1'!$B$2:$B$2604,'Form responses 1'!$E$2:$E$2604,""))</f>
        <v>BN JUAL BELI</v>
      </c>
      <c r="H614" s="44" t="str">
        <f t="array" ref="H614">IF(B614="","",_xlfn.XLOOKUP(B614,'Form responses 1'!$B$2:$B$2604,'Form responses 1'!$F$2:$F$2604,""))</f>
        <v>M.2303/CAMPANG JAYA-SEKARANG;M.1537/CAMPANG RAYA-DAHULU</v>
      </c>
      <c r="I614" s="44" t="str">
        <f t="array" ref="I614">IF(B614="","",_xlfn.XLOOKUP(B614,'Form responses 1'!$B$2:$B$2604,'Form responses 1'!$I$2:$I$2604,""))</f>
        <v>CAMPANG JAYA</v>
      </c>
      <c r="J614" s="44" t="str">
        <f t="array" ref="J614">IF(B614="","",_xlfn.XLOOKUP(B614,'Form responses 1'!$B$2:$B$2604,'Form responses 1'!$G$2:$G$2604,""))</f>
        <v>Baynur</v>
      </c>
      <c r="K614" s="41" t="s">
        <v>422</v>
      </c>
      <c r="L614" s="52">
        <f t="shared" si="7"/>
        <v>45602.46126</v>
      </c>
      <c r="M614" s="47" t="s">
        <v>5552</v>
      </c>
      <c r="N614" s="47" t="s">
        <v>5553</v>
      </c>
      <c r="O614" s="47" t="s">
        <v>5554</v>
      </c>
      <c r="P614" s="49"/>
      <c r="Q614" s="49"/>
      <c r="R614" s="49"/>
      <c r="S614" s="49"/>
      <c r="T614" s="49"/>
      <c r="U614" s="49"/>
      <c r="V614" s="49"/>
      <c r="W614" s="41" t="s">
        <v>618</v>
      </c>
      <c r="X614" s="46">
        <f t="shared" si="5"/>
        <v>45607.64565</v>
      </c>
      <c r="Y614" s="50" t="s">
        <v>482</v>
      </c>
      <c r="Z614" s="49">
        <f t="shared" si="6"/>
        <v>3</v>
      </c>
    </row>
    <row r="615" ht="22.5" customHeight="1">
      <c r="B615" s="41" t="s">
        <v>3489</v>
      </c>
      <c r="C615" s="43">
        <f t="array" ref="C615">IF(B615="","",_xlfn.XLOOKUP(B615,'Form responses 1'!$B$2:$B$2604,'Form responses 1'!$A$2:$A$2604,""))</f>
        <v>45601.40693</v>
      </c>
      <c r="D615" s="44" t="str">
        <f t="shared" si="3"/>
        <v>K/4/051124/1_45601.4069334838</v>
      </c>
      <c r="E615" s="44" t="str">
        <f t="array" ref="E615">IF(B615="","",_xlfn.XLOOKUP(B615,'Form responses 1'!$B$2:$B$2604,'Form responses 1'!$C$2:$C$2604,""))</f>
        <v>Reflan Rasyid/ Vega A P</v>
      </c>
      <c r="F615" s="44" t="str">
        <f t="array" ref="F615">IF(B615="","",_xlfn.XLOOKUP(B615,'Form responses 1'!$B$2:$B$2604,'Form responses 1'!$D$2:$D$2604,""))</f>
        <v>+62 821-8048-6700</v>
      </c>
      <c r="G615" s="44" t="str">
        <f t="array" ref="G615">IF(B615="","",_xlfn.XLOOKUP(B615,'Form responses 1'!$B$2:$B$2604,'Form responses 1'!$E$2:$E$2604,""))</f>
        <v>BN Hibah</v>
      </c>
      <c r="H615" s="44" t="str">
        <f t="array" ref="H615">IF(B615="","",_xlfn.XLOOKUP(B615,'Form responses 1'!$B$2:$B$2604,'Form responses 1'!$F$2:$F$2604,""))</f>
        <v>M. 11995/ Segala Mider</v>
      </c>
      <c r="I615" s="44" t="str">
        <f t="array" ref="I615">IF(B615="","",_xlfn.XLOOKUP(B615,'Form responses 1'!$B$2:$B$2604,'Form responses 1'!$I$2:$I$2604,""))</f>
        <v>Segala Mider</v>
      </c>
      <c r="J615" s="44" t="str">
        <f t="array" ref="J615">IF(B615="","",_xlfn.XLOOKUP(B615,'Form responses 1'!$B$2:$B$2604,'Form responses 1'!$G$2:$G$2604,""))</f>
        <v>Rapita</v>
      </c>
      <c r="K615" s="41" t="s">
        <v>422</v>
      </c>
      <c r="L615" s="52">
        <f t="shared" si="7"/>
        <v>45602.46127</v>
      </c>
      <c r="M615" s="47" t="s">
        <v>5555</v>
      </c>
      <c r="N615" s="47" t="s">
        <v>5556</v>
      </c>
      <c r="O615" s="49"/>
      <c r="P615" s="49"/>
      <c r="Q615" s="49"/>
      <c r="R615" s="49"/>
      <c r="S615" s="49"/>
      <c r="T615" s="49"/>
      <c r="U615" s="49"/>
      <c r="V615" s="49"/>
      <c r="W615" s="41" t="s">
        <v>618</v>
      </c>
      <c r="X615" s="46">
        <f t="shared" si="5"/>
        <v>45609.66151</v>
      </c>
      <c r="Y615" s="50" t="s">
        <v>482</v>
      </c>
      <c r="Z615" s="49">
        <f t="shared" si="6"/>
        <v>2</v>
      </c>
    </row>
    <row r="616" ht="22.5" customHeight="1">
      <c r="B616" s="41" t="s">
        <v>3595</v>
      </c>
      <c r="C616" s="43">
        <f t="array" ref="C616">IF(B616="","",_xlfn.XLOOKUP(B616,'Form responses 1'!$B$2:$B$2604,'Form responses 1'!$A$2:$A$2604,""))</f>
        <v>45601.48284</v>
      </c>
      <c r="D616" s="44" t="str">
        <f t="shared" si="3"/>
        <v>L/31/051124/1_45601.4828426157</v>
      </c>
      <c r="E616" s="44" t="str">
        <f t="array" ref="E616">IF(B616="","",_xlfn.XLOOKUP(B616,'Form responses 1'!$B$2:$B$2604,'Form responses 1'!$C$2:$C$2604,""))</f>
        <v>KADEK AGUS SUWITRA</v>
      </c>
      <c r="F616" s="44" t="str">
        <f t="array" ref="F616">IF(B616="","",_xlfn.XLOOKUP(B616,'Form responses 1'!$B$2:$B$2604,'Form responses 1'!$D$2:$D$2604,""))</f>
        <v>082280102412</v>
      </c>
      <c r="G616" s="44" t="str">
        <f t="array" ref="G616">IF(B616="","",_xlfn.XLOOKUP(B616,'Form responses 1'!$B$2:$B$2604,'Form responses 1'!$E$2:$E$2604,""))</f>
        <v>ROYA</v>
      </c>
      <c r="H616" s="44" t="str">
        <f t="array" ref="H616">IF(B616="","",_xlfn.XLOOKUP(B616,'Form responses 1'!$B$2:$B$2604,'Form responses 1'!$F$2:$F$2604,""))</f>
        <v>M.286/LABUHAN RATU RAYA</v>
      </c>
      <c r="I616" s="44" t="str">
        <f t="array" ref="I616">IF(B616="","",_xlfn.XLOOKUP(B616,'Form responses 1'!$B$2:$B$2604,'Form responses 1'!$I$2:$I$2604,""))</f>
        <v>M.286/LABUHAN RATU RAYA</v>
      </c>
      <c r="J616" s="44" t="str">
        <f t="array" ref="J616">IF(B616="","",_xlfn.XLOOKUP(B616,'Form responses 1'!$B$2:$B$2604,'Form responses 1'!$G$2:$G$2604,""))</f>
        <v>Deby</v>
      </c>
      <c r="K616" s="41" t="s">
        <v>422</v>
      </c>
      <c r="L616" s="52">
        <f t="shared" si="7"/>
        <v>45602.46129</v>
      </c>
      <c r="M616" s="49"/>
      <c r="N616" s="49"/>
      <c r="O616" s="49"/>
      <c r="P616" s="49"/>
      <c r="Q616" s="49"/>
      <c r="R616" s="49"/>
      <c r="S616" s="49"/>
      <c r="T616" s="49"/>
      <c r="U616" s="49"/>
      <c r="V616" s="49"/>
      <c r="W616" s="41" t="s">
        <v>618</v>
      </c>
      <c r="X616" s="46">
        <f t="shared" si="5"/>
        <v>45602.4814</v>
      </c>
      <c r="Y616" s="50" t="s">
        <v>482</v>
      </c>
      <c r="Z616" s="49">
        <f t="shared" si="6"/>
        <v>0</v>
      </c>
    </row>
    <row r="617" ht="22.5" customHeight="1">
      <c r="B617" s="41" t="s">
        <v>3514</v>
      </c>
      <c r="C617" s="43">
        <f t="array" ref="C617">IF(B617="","",_xlfn.XLOOKUP(B617,'Form responses 1'!$B$2:$B$2604,'Form responses 1'!$A$2:$A$2604,""))</f>
        <v>45601.41477</v>
      </c>
      <c r="D617" s="44" t="str">
        <f t="shared" si="3"/>
        <v>K/9/051124/1_45601.4147723958</v>
      </c>
      <c r="E617" s="44" t="str">
        <f t="array" ref="E617">IF(B617="","",_xlfn.XLOOKUP(B617,'Form responses 1'!$B$2:$B$2604,'Form responses 1'!$C$2:$C$2604,""))</f>
        <v>Sugiat/ Eka Agustina</v>
      </c>
      <c r="F617" s="44" t="str">
        <f t="array" ref="F617">IF(B617="","",_xlfn.XLOOKUP(B617,'Form responses 1'!$B$2:$B$2604,'Form responses 1'!$D$2:$D$2604,""))</f>
        <v>085269810008</v>
      </c>
      <c r="G617" s="44" t="str">
        <f t="array" ref="G617">IF(B617="","",_xlfn.XLOOKUP(B617,'Form responses 1'!$B$2:$B$2604,'Form responses 1'!$E$2:$E$2604,""))</f>
        <v>PTPGT (Pemecahan)</v>
      </c>
      <c r="H617" s="44" t="str">
        <f t="array" ref="H617">IF(B617="","",_xlfn.XLOOKUP(B617,'Form responses 1'!$B$2:$B$2604,'Form responses 1'!$F$2:$F$2604,""))</f>
        <v>M. 236/ L R R</v>
      </c>
      <c r="I617" s="44" t="str">
        <f t="array" ref="I617">IF(B617="","",_xlfn.XLOOKUP(B617,'Form responses 1'!$B$2:$B$2604,'Form responses 1'!$I$2:$I$2604,""))</f>
        <v>Labuhan Ratu Raya</v>
      </c>
      <c r="J617" s="44" t="str">
        <f t="array" ref="J617">IF(B617="","",_xlfn.XLOOKUP(B617,'Form responses 1'!$B$2:$B$2604,'Form responses 1'!$G$2:$G$2604,""))</f>
        <v>Rapita</v>
      </c>
      <c r="K617" s="41" t="s">
        <v>422</v>
      </c>
      <c r="L617" s="52">
        <f t="shared" si="7"/>
        <v>45602.4613</v>
      </c>
      <c r="M617" s="47" t="s">
        <v>5557</v>
      </c>
      <c r="N617" s="49"/>
      <c r="O617" s="49"/>
      <c r="P617" s="49"/>
      <c r="Q617" s="49"/>
      <c r="R617" s="49"/>
      <c r="S617" s="49"/>
      <c r="T617" s="49"/>
      <c r="U617" s="49"/>
      <c r="V617" s="49"/>
      <c r="W617" s="41" t="s">
        <v>618</v>
      </c>
      <c r="X617" s="46">
        <f t="shared" si="5"/>
        <v>45602.69192</v>
      </c>
      <c r="Y617" s="50" t="s">
        <v>482</v>
      </c>
      <c r="Z617" s="49">
        <f t="shared" si="6"/>
        <v>1</v>
      </c>
    </row>
    <row r="618" ht="22.5" customHeight="1">
      <c r="B618" s="41" t="s">
        <v>3104</v>
      </c>
      <c r="C618" s="43">
        <f t="array" ref="C618">IF(B618="","",_xlfn.XLOOKUP(B618,'Form responses 1'!$B$2:$B$2604,'Form responses 1'!$A$2:$A$2604,""))</f>
        <v>45596.64293</v>
      </c>
      <c r="D618" s="44" t="str">
        <f t="shared" si="3"/>
        <v>K/69/311024/3_45596.6429292593</v>
      </c>
      <c r="E618" s="44" t="str">
        <f t="array" ref="E618">IF(B618="","",_xlfn.XLOOKUP(B618,'Form responses 1'!$B$2:$B$2604,'Form responses 1'!$C$2:$C$2604,""))</f>
        <v>SRI RISMA YENNY/DWI SUKMASARI</v>
      </c>
      <c r="F618" s="44" t="str">
        <f t="array" ref="F618">IF(B618="","",_xlfn.XLOOKUP(B618,'Form responses 1'!$B$2:$B$2604,'Form responses 1'!$D$2:$D$2604,""))</f>
        <v>0821-8694-9749</v>
      </c>
      <c r="G618" s="44" t="str">
        <f t="array" ref="G618">IF(B618="","",_xlfn.XLOOKUP(B618,'Form responses 1'!$B$2:$B$2604,'Form responses 1'!$E$2:$E$2604,""))</f>
        <v>BN JUAL BELI</v>
      </c>
      <c r="H618" s="44" t="str">
        <f t="array" ref="H618">IF(B618="","",_xlfn.XLOOKUP(B618,'Form responses 1'!$B$2:$B$2604,'Form responses 1'!$F$2:$F$2604,""))</f>
        <v>M.10150/SUKAMENANTI</v>
      </c>
      <c r="I618" s="44" t="str">
        <f t="array" ref="I618">IF(B618="","",_xlfn.XLOOKUP(B618,'Form responses 1'!$B$2:$B$2604,'Form responses 1'!$I$2:$I$2604,""))</f>
        <v>SUKAMENANTI</v>
      </c>
      <c r="J618" s="44" t="str">
        <f t="array" ref="J618">IF(B618="","",_xlfn.XLOOKUP(B618,'Form responses 1'!$B$2:$B$2604,'Form responses 1'!$G$2:$G$2604,""))</f>
        <v>Baynur</v>
      </c>
      <c r="K618" s="41" t="s">
        <v>1233</v>
      </c>
      <c r="L618" s="52">
        <f t="shared" si="7"/>
        <v>45602.47175</v>
      </c>
      <c r="M618" s="47" t="s">
        <v>5558</v>
      </c>
      <c r="N618" s="49"/>
      <c r="O618" s="49"/>
      <c r="P618" s="49"/>
      <c r="Q618" s="49"/>
      <c r="R618" s="49"/>
      <c r="S618" s="49"/>
      <c r="T618" s="49"/>
      <c r="U618" s="49"/>
      <c r="V618" s="49"/>
      <c r="W618" s="41" t="s">
        <v>618</v>
      </c>
      <c r="X618" s="46">
        <f t="shared" si="5"/>
        <v>45609.64822</v>
      </c>
      <c r="Y618" s="50" t="s">
        <v>482</v>
      </c>
      <c r="Z618" s="49">
        <f t="shared" si="6"/>
        <v>1</v>
      </c>
    </row>
    <row r="619" ht="22.5" customHeight="1">
      <c r="B619" s="41" t="s">
        <v>2993</v>
      </c>
      <c r="C619" s="43">
        <f t="array" ref="C619">IF(B619="","",_xlfn.XLOOKUP(B619,'Form responses 1'!$B$2:$B$2604,'Form responses 1'!$A$2:$A$2604,""))</f>
        <v>45596.57994</v>
      </c>
      <c r="D619" s="44" t="str">
        <f t="shared" si="3"/>
        <v>K/37/311024/1_45596.5799412269</v>
      </c>
      <c r="E619" s="44" t="str">
        <f t="array" ref="E619">IF(B619="","",_xlfn.XLOOKUP(B619,'Form responses 1'!$B$2:$B$2604,'Form responses 1'!$C$2:$C$2604,""))</f>
        <v>NYIMAS AYU ANGGUN SHINTIYA CS/LILIS DAMAYANTI</v>
      </c>
      <c r="F619" s="44" t="str">
        <f t="array" ref="F619">IF(B619="","",_xlfn.XLOOKUP(B619,'Form responses 1'!$B$2:$B$2604,'Form responses 1'!$D$2:$D$2604,""))</f>
        <v>0852-6957-4899</v>
      </c>
      <c r="G619" s="44" t="str">
        <f t="array" ref="G619">IF(B619="","",_xlfn.XLOOKUP(B619,'Form responses 1'!$B$2:$B$2604,'Form responses 1'!$E$2:$E$2604,""))</f>
        <v>HIBAH</v>
      </c>
      <c r="H619" s="44" t="str">
        <f t="array" ref="H619">IF(B619="","",_xlfn.XLOOKUP(B619,'Form responses 1'!$B$2:$B$2604,'Form responses 1'!$F$2:$F$2604,""))</f>
        <v>M.9511/SIDODADI</v>
      </c>
      <c r="I619" s="44" t="str">
        <f t="array" ref="I619">IF(B619="","",_xlfn.XLOOKUP(B619,'Form responses 1'!$B$2:$B$2604,'Form responses 1'!$I$2:$I$2604,""))</f>
        <v>SIDODADI</v>
      </c>
      <c r="J619" s="44" t="str">
        <f t="array" ref="J619">IF(B619="","",_xlfn.XLOOKUP(B619,'Form responses 1'!$B$2:$B$2604,'Form responses 1'!$G$2:$G$2604,""))</f>
        <v>Baynur</v>
      </c>
      <c r="K619" s="41" t="s">
        <v>1233</v>
      </c>
      <c r="L619" s="52">
        <f t="shared" si="7"/>
        <v>45602.47678</v>
      </c>
      <c r="M619" s="49"/>
      <c r="N619" s="49"/>
      <c r="O619" s="49"/>
      <c r="P619" s="49"/>
      <c r="Q619" s="49"/>
      <c r="R619" s="49"/>
      <c r="S619" s="49"/>
      <c r="T619" s="49"/>
      <c r="U619" s="49"/>
      <c r="V619" s="49"/>
      <c r="W619" s="41" t="s">
        <v>618</v>
      </c>
      <c r="X619" s="46">
        <f t="shared" si="5"/>
        <v>45602.48563</v>
      </c>
      <c r="Y619" s="50" t="s">
        <v>482</v>
      </c>
      <c r="Z619" s="49">
        <f t="shared" si="6"/>
        <v>0</v>
      </c>
    </row>
    <row r="620" ht="22.5" customHeight="1">
      <c r="B620" s="41" t="s">
        <v>3373</v>
      </c>
      <c r="C620" s="43">
        <f t="array" ref="C620">IF(B620="","",_xlfn.XLOOKUP(B620,'Form responses 1'!$B$2:$B$2604,'Form responses 1'!$A$2:$A$2604,""))</f>
        <v>45600.49276</v>
      </c>
      <c r="D620" s="44" t="str">
        <f t="shared" si="3"/>
        <v>L/30/041124/1_45600.4927649537</v>
      </c>
      <c r="E620" s="44" t="str">
        <f t="array" ref="E620">IF(B620="","",_xlfn.XLOOKUP(B620,'Form responses 1'!$B$2:$B$2604,'Form responses 1'!$C$2:$C$2604,""))</f>
        <v>TARWIYAH</v>
      </c>
      <c r="F620" s="44" t="str">
        <f t="array" ref="F620">IF(B620="","",_xlfn.XLOOKUP(B620,'Form responses 1'!$B$2:$B$2604,'Form responses 1'!$D$2:$D$2604,""))</f>
        <v>081399987822</v>
      </c>
      <c r="G620" s="44" t="str">
        <f t="array" ref="G620">IF(B620="","",_xlfn.XLOOKUP(B620,'Form responses 1'!$B$2:$B$2604,'Form responses 1'!$E$2:$E$2604,""))</f>
        <v>ROYA</v>
      </c>
      <c r="H620" s="44" t="str">
        <f t="array" ref="H620">IF(B620="","",_xlfn.XLOOKUP(B620,'Form responses 1'!$B$2:$B$2604,'Form responses 1'!$F$2:$F$2604,""))</f>
        <v>M.13763/RAJABASA</v>
      </c>
      <c r="I620" s="44" t="str">
        <f t="array" ref="I620">IF(B620="","",_xlfn.XLOOKUP(B620,'Form responses 1'!$B$2:$B$2604,'Form responses 1'!$I$2:$I$2604,""))</f>
        <v>RAJABASA</v>
      </c>
      <c r="J620" s="44" t="str">
        <f t="array" ref="J620">IF(B620="","",_xlfn.XLOOKUP(B620,'Form responses 1'!$B$2:$B$2604,'Form responses 1'!$G$2:$G$2604,""))</f>
        <v>Deby</v>
      </c>
      <c r="K620" s="41" t="s">
        <v>1233</v>
      </c>
      <c r="L620" s="52">
        <f t="shared" si="7"/>
        <v>45602.53744</v>
      </c>
      <c r="M620" s="47" t="s">
        <v>5559</v>
      </c>
      <c r="N620" s="49"/>
      <c r="O620" s="49"/>
      <c r="P620" s="49"/>
      <c r="Q620" s="49"/>
      <c r="R620" s="49"/>
      <c r="S620" s="49"/>
      <c r="T620" s="49"/>
      <c r="U620" s="49"/>
      <c r="V620" s="49"/>
      <c r="W620" s="41" t="s">
        <v>618</v>
      </c>
      <c r="X620" s="46">
        <f t="shared" si="5"/>
        <v>45603.64016</v>
      </c>
      <c r="Y620" s="50" t="s">
        <v>482</v>
      </c>
      <c r="Z620" s="49">
        <f t="shared" si="6"/>
        <v>1</v>
      </c>
    </row>
    <row r="621" ht="22.5" customHeight="1">
      <c r="B621" s="41" t="s">
        <v>3286</v>
      </c>
      <c r="C621" s="43">
        <f t="array" ref="C621">IF(B621="","",_xlfn.XLOOKUP(B621,'Form responses 1'!$B$2:$B$2604,'Form responses 1'!$A$2:$A$2604,""))</f>
        <v>45600.37665</v>
      </c>
      <c r="D621" s="44" t="str">
        <f t="shared" si="3"/>
        <v>K/1/041124/1_45600.3766538773</v>
      </c>
      <c r="E621" s="44" t="str">
        <f t="array" ref="E621">IF(B621="","",_xlfn.XLOOKUP(B621,'Form responses 1'!$B$2:$B$2604,'Form responses 1'!$C$2:$C$2604,""))</f>
        <v>Fahmi Sasmita/ Agus S</v>
      </c>
      <c r="F621" s="44" t="str">
        <f t="array" ref="F621">IF(B621="","",_xlfn.XLOOKUP(B621,'Form responses 1'!$B$2:$B$2604,'Form responses 1'!$D$2:$D$2604,""))</f>
        <v>+62 852-6657-1953</v>
      </c>
      <c r="G621" s="44" t="str">
        <f t="array" ref="G621">IF(B621="","",_xlfn.XLOOKUP(B621,'Form responses 1'!$B$2:$B$2604,'Form responses 1'!$E$2:$E$2604,""))</f>
        <v>Hapus BPHTB</v>
      </c>
      <c r="H621" s="44" t="str">
        <f t="array" ref="H621">IF(B621="","",_xlfn.XLOOKUP(B621,'Form responses 1'!$B$2:$B$2604,'Form responses 1'!$F$2:$F$2604,""))</f>
        <v>M. 2498/ Way Laga</v>
      </c>
      <c r="I621" s="44" t="str">
        <f t="array" ref="I621">IF(B621="","",_xlfn.XLOOKUP(B621,'Form responses 1'!$B$2:$B$2604,'Form responses 1'!$I$2:$I$2604,""))</f>
        <v>Way Laga</v>
      </c>
      <c r="J621" s="44" t="str">
        <f t="array" ref="J621">IF(B621="","",_xlfn.XLOOKUP(B621,'Form responses 1'!$B$2:$B$2604,'Form responses 1'!$G$2:$G$2604,""))</f>
        <v>Rapita</v>
      </c>
      <c r="K621" s="41" t="s">
        <v>587</v>
      </c>
      <c r="L621" s="52">
        <f t="shared" si="7"/>
        <v>45602.53552</v>
      </c>
      <c r="M621" s="47" t="s">
        <v>5214</v>
      </c>
      <c r="N621" s="49"/>
      <c r="O621" s="49"/>
      <c r="P621" s="49"/>
      <c r="Q621" s="49"/>
      <c r="R621" s="49"/>
      <c r="S621" s="49"/>
      <c r="T621" s="49"/>
      <c r="U621" s="49"/>
      <c r="V621" s="49"/>
      <c r="W621" s="41" t="s">
        <v>618</v>
      </c>
      <c r="X621" s="46">
        <f t="shared" si="5"/>
        <v>45604.67889</v>
      </c>
      <c r="Y621" s="50" t="s">
        <v>482</v>
      </c>
      <c r="Z621" s="49">
        <f t="shared" si="6"/>
        <v>1</v>
      </c>
    </row>
    <row r="622" ht="22.5" customHeight="1">
      <c r="B622" s="41" t="s">
        <v>3448</v>
      </c>
      <c r="C622" s="43">
        <f t="array" ref="C622">IF(B622="","",_xlfn.XLOOKUP(B622,'Form responses 1'!$B$2:$B$2604,'Form responses 1'!$A$2:$A$2604,""))</f>
        <v>45600.61156</v>
      </c>
      <c r="D622" s="44" t="str">
        <f t="shared" si="3"/>
        <v>K/46/041124/2_45600.6115635301</v>
      </c>
      <c r="E622" s="44" t="str">
        <f t="array" ref="E622">IF(B622="","",_xlfn.XLOOKUP(B622,'Form responses 1'!$B$2:$B$2604,'Form responses 1'!$C$2:$C$2604,""))</f>
        <v>EVA SURIANI/NURBAITI</v>
      </c>
      <c r="F622" s="44" t="str">
        <f t="array" ref="F622">IF(B622="","",_xlfn.XLOOKUP(B622,'Form responses 1'!$B$2:$B$2604,'Form responses 1'!$D$2:$D$2604,""))</f>
        <v>+62 811-724-041</v>
      </c>
      <c r="G622" s="44" t="str">
        <f t="array" ref="G622">IF(B622="","",_xlfn.XLOOKUP(B622,'Form responses 1'!$B$2:$B$2604,'Form responses 1'!$E$2:$E$2604,""))</f>
        <v>BN JUAL BELI</v>
      </c>
      <c r="H622" s="44" t="str">
        <f t="array" ref="H622">IF(B622="","",_xlfn.XLOOKUP(B622,'Form responses 1'!$B$2:$B$2604,'Form responses 1'!$F$2:$F$2604,""))</f>
        <v>M. 146/ Kampung Baru Raya</v>
      </c>
      <c r="I622" s="44" t="str">
        <f t="array" ref="I622">IF(B622="","",_xlfn.XLOOKUP(B622,'Form responses 1'!$B$2:$B$2604,'Form responses 1'!$I$2:$I$2604,""))</f>
        <v> Kampung Baru Raya</v>
      </c>
      <c r="J622" s="44" t="str">
        <f t="array" ref="J622">IF(B622="","",_xlfn.XLOOKUP(B622,'Form responses 1'!$B$2:$B$2604,'Form responses 1'!$G$2:$G$2604,""))</f>
        <v>Hananda</v>
      </c>
      <c r="K622" s="41" t="s">
        <v>587</v>
      </c>
      <c r="L622" s="52">
        <f t="shared" si="7"/>
        <v>45602.53568</v>
      </c>
      <c r="M622" s="47" t="s">
        <v>5214</v>
      </c>
      <c r="N622" s="49"/>
      <c r="O622" s="49"/>
      <c r="P622" s="49"/>
      <c r="Q622" s="49"/>
      <c r="R622" s="49"/>
      <c r="S622" s="49"/>
      <c r="T622" s="49"/>
      <c r="U622" s="49"/>
      <c r="V622" s="49"/>
      <c r="W622" s="41" t="s">
        <v>618</v>
      </c>
      <c r="X622" s="46">
        <f t="shared" si="5"/>
        <v>45604.68033</v>
      </c>
      <c r="Y622" s="50" t="s">
        <v>482</v>
      </c>
      <c r="Z622" s="49">
        <f t="shared" si="6"/>
        <v>1</v>
      </c>
    </row>
    <row r="623" ht="22.5" customHeight="1">
      <c r="B623" s="41" t="s">
        <v>3370</v>
      </c>
      <c r="C623" s="43">
        <f t="array" ref="C623">IF(B623="","",_xlfn.XLOOKUP(B623,'Form responses 1'!$B$2:$B$2604,'Form responses 1'!$A$2:$A$2604,""))</f>
        <v>45600.4891</v>
      </c>
      <c r="D623" s="44" t="str">
        <f t="shared" si="3"/>
        <v>K/25/041124/1_45600.4891014468</v>
      </c>
      <c r="E623" s="44" t="str">
        <f t="array" ref="E623">IF(B623="","",_xlfn.XLOOKUP(B623,'Form responses 1'!$B$2:$B$2604,'Form responses 1'!$C$2:$C$2604,""))</f>
        <v>EVI UDIN/ TONI SETIAWAN</v>
      </c>
      <c r="F623" s="44" t="str">
        <f t="array" ref="F623">IF(B623="","",_xlfn.XLOOKUP(B623,'Form responses 1'!$B$2:$B$2604,'Form responses 1'!$D$2:$D$2604,""))</f>
        <v>082185999559</v>
      </c>
      <c r="G623" s="44" t="str">
        <f t="array" ref="G623">IF(B623="","",_xlfn.XLOOKUP(B623,'Form responses 1'!$B$2:$B$2604,'Form responses 1'!$E$2:$E$2604,""))</f>
        <v>BN JUAL BELI</v>
      </c>
      <c r="H623" s="44" t="str">
        <f t="array" ref="H623">IF(B623="","",_xlfn.XLOOKUP(B623,'Form responses 1'!$B$2:$B$2604,'Form responses 1'!$F$2:$F$2604,""))</f>
        <v>M. 3488/ Kota Baru</v>
      </c>
      <c r="I623" s="44" t="str">
        <f t="array" ref="I623">IF(B623="","",_xlfn.XLOOKUP(B623,'Form responses 1'!$B$2:$B$2604,'Form responses 1'!$I$2:$I$2604,""))</f>
        <v>Kota Baru</v>
      </c>
      <c r="J623" s="44" t="str">
        <f t="array" ref="J623">IF(B623="","",_xlfn.XLOOKUP(B623,'Form responses 1'!$B$2:$B$2604,'Form responses 1'!$G$2:$G$2604,""))</f>
        <v>Hananda</v>
      </c>
      <c r="K623" s="41" t="s">
        <v>587</v>
      </c>
      <c r="L623" s="52">
        <f t="shared" si="7"/>
        <v>45602.53587</v>
      </c>
      <c r="M623" s="47" t="s">
        <v>470</v>
      </c>
      <c r="N623" s="47" t="s">
        <v>5214</v>
      </c>
      <c r="O623" s="49"/>
      <c r="P623" s="49"/>
      <c r="Q623" s="49"/>
      <c r="R623" s="49"/>
      <c r="S623" s="49"/>
      <c r="T623" s="49"/>
      <c r="U623" s="49"/>
      <c r="V623" s="49"/>
      <c r="W623" s="41" t="s">
        <v>618</v>
      </c>
      <c r="X623" s="46">
        <f t="shared" si="5"/>
        <v>45607.32645</v>
      </c>
      <c r="Y623" s="50" t="s">
        <v>482</v>
      </c>
      <c r="Z623" s="49">
        <f t="shared" si="6"/>
        <v>2</v>
      </c>
    </row>
    <row r="624" ht="22.5" customHeight="1">
      <c r="B624" s="41" t="s">
        <v>3322</v>
      </c>
      <c r="C624" s="43">
        <f t="array" ref="C624">IF(B624="","",_xlfn.XLOOKUP(B624,'Form responses 1'!$B$2:$B$2604,'Form responses 1'!$A$2:$A$2604,""))</f>
        <v>45600.43012</v>
      </c>
      <c r="D624" s="44" t="str">
        <f t="shared" si="3"/>
        <v>K/10/041124/2_45600.4301237732</v>
      </c>
      <c r="E624" s="44" t="str">
        <f t="array" ref="E624">IF(B624="","",_xlfn.XLOOKUP(B624,'Form responses 1'!$B$2:$B$2604,'Form responses 1'!$C$2:$C$2604,""))</f>
        <v>PT GUNUNG SULAH MEDIKA/WHINDA YULIANTI</v>
      </c>
      <c r="F624" s="44" t="str">
        <f t="array" ref="F624">IF(B624="","",_xlfn.XLOOKUP(B624,'Form responses 1'!$B$2:$B$2604,'Form responses 1'!$D$2:$D$2604,""))</f>
        <v>0812-5557-2168</v>
      </c>
      <c r="G624" s="44" t="str">
        <f t="array" ref="G624">IF(B624="","",_xlfn.XLOOKUP(B624,'Form responses 1'!$B$2:$B$2604,'Form responses 1'!$E$2:$E$2604,""))</f>
        <v>BN JUAL BELI</v>
      </c>
      <c r="H624" s="44" t="str">
        <f t="array" ref="H624">IF(B624="","",_xlfn.XLOOKUP(B624,'Form responses 1'!$B$2:$B$2604,'Form responses 1'!$F$2:$F$2604,""))</f>
        <v>NIBEL B.506/GUNUNG SULAH</v>
      </c>
      <c r="I624" s="44" t="str">
        <f t="array" ref="I624">IF(B624="","",_xlfn.XLOOKUP(B624,'Form responses 1'!$B$2:$B$2604,'Form responses 1'!$I$2:$I$2604,""))</f>
        <v>GUNUNG SULAH</v>
      </c>
      <c r="J624" s="44" t="str">
        <f t="array" ref="J624">IF(B624="","",_xlfn.XLOOKUP(B624,'Form responses 1'!$B$2:$B$2604,'Form responses 1'!$G$2:$G$2604,""))</f>
        <v>Baynur</v>
      </c>
      <c r="K624" s="41" t="s">
        <v>587</v>
      </c>
      <c r="L624" s="52">
        <f t="shared" si="7"/>
        <v>45602.53737</v>
      </c>
      <c r="M624" s="47" t="s">
        <v>470</v>
      </c>
      <c r="N624" s="47" t="s">
        <v>5214</v>
      </c>
      <c r="O624" s="49"/>
      <c r="P624" s="49"/>
      <c r="Q624" s="49"/>
      <c r="R624" s="49"/>
      <c r="S624" s="49"/>
      <c r="T624" s="49"/>
      <c r="U624" s="49"/>
      <c r="V624" s="49"/>
      <c r="W624" s="41" t="s">
        <v>618</v>
      </c>
      <c r="X624" s="46">
        <f t="shared" si="5"/>
        <v>45610.36396</v>
      </c>
      <c r="Y624" s="50" t="s">
        <v>482</v>
      </c>
      <c r="Z624" s="49">
        <f t="shared" si="6"/>
        <v>2</v>
      </c>
    </row>
    <row r="625" ht="22.5" customHeight="1">
      <c r="B625" s="41" t="s">
        <v>3543</v>
      </c>
      <c r="C625" s="43">
        <f t="array" ref="C625">IF(B625="","",_xlfn.XLOOKUP(B625,'Form responses 1'!$B$2:$B$2604,'Form responses 1'!$A$2:$A$2604,""))</f>
        <v>45601.4495</v>
      </c>
      <c r="D625" s="44" t="str">
        <f t="shared" si="3"/>
        <v>K/17/051124/1_45601.4495023495</v>
      </c>
      <c r="E625" s="44" t="str">
        <f t="array" ref="E625">IF(B625="","",_xlfn.XLOOKUP(B625,'Form responses 1'!$B$2:$B$2604,'Form responses 1'!$C$2:$C$2604,""))</f>
        <v>Imelda P/ Halim B</v>
      </c>
      <c r="F625" s="44" t="str">
        <f t="array" ref="F625">IF(B625="","",_xlfn.XLOOKUP(B625,'Form responses 1'!$B$2:$B$2604,'Form responses 1'!$D$2:$D$2604,""))</f>
        <v>+62 812-7933-577</v>
      </c>
      <c r="G625" s="44" t="str">
        <f t="array" ref="G625">IF(B625="","",_xlfn.XLOOKUP(B625,'Form responses 1'!$B$2:$B$2604,'Form responses 1'!$E$2:$E$2604,""))</f>
        <v>Roya</v>
      </c>
      <c r="H625" s="44" t="str">
        <f t="array" ref="H625">IF(B625="","",_xlfn.XLOOKUP(B625,'Form responses 1'!$B$2:$B$2604,'Form responses 1'!$F$2:$F$2604,""))</f>
        <v>M. 776/ NOG; B. 809/ N O G-dahulu</v>
      </c>
      <c r="I625" s="44" t="str">
        <f t="array" ref="I625">IF(B625="","",_xlfn.XLOOKUP(B625,'Form responses 1'!$B$2:$B$2604,'Form responses 1'!$I$2:$I$2604,""))</f>
        <v>Negeri Olok Gading</v>
      </c>
      <c r="J625" s="44" t="str">
        <f t="array" ref="J625">IF(B625="","",_xlfn.XLOOKUP(B625,'Form responses 1'!$B$2:$B$2604,'Form responses 1'!$G$2:$G$2604,""))</f>
        <v>Rapita</v>
      </c>
      <c r="K625" s="41" t="s">
        <v>587</v>
      </c>
      <c r="L625" s="52">
        <f t="shared" si="7"/>
        <v>45602.53778</v>
      </c>
      <c r="M625" s="47" t="s">
        <v>470</v>
      </c>
      <c r="N625" s="49"/>
      <c r="O625" s="49"/>
      <c r="P625" s="49"/>
      <c r="Q625" s="49"/>
      <c r="R625" s="49"/>
      <c r="S625" s="49"/>
      <c r="T625" s="49"/>
      <c r="U625" s="49"/>
      <c r="V625" s="49"/>
      <c r="W625" s="41" t="s">
        <v>618</v>
      </c>
      <c r="X625" s="46">
        <f t="shared" si="5"/>
        <v>45604.67949</v>
      </c>
      <c r="Y625" s="50" t="s">
        <v>482</v>
      </c>
      <c r="Z625" s="49">
        <f t="shared" si="6"/>
        <v>1</v>
      </c>
    </row>
    <row r="626" ht="22.5" customHeight="1">
      <c r="B626" s="41" t="s">
        <v>3647</v>
      </c>
      <c r="C626" s="43">
        <f t="array" ref="C626">IF(B626="","",_xlfn.XLOOKUP(B626,'Form responses 1'!$B$2:$B$2604,'Form responses 1'!$A$2:$A$2604,""))</f>
        <v>45601.58597</v>
      </c>
      <c r="D626" s="44" t="str">
        <f t="shared" si="3"/>
        <v>K/47/051124/1_45601.5859737384</v>
      </c>
      <c r="E626" s="44" t="str">
        <f t="array" ref="E626">IF(B626="","",_xlfn.XLOOKUP(B626,'Form responses 1'!$B$2:$B$2604,'Form responses 1'!$C$2:$C$2604,""))</f>
        <v>FAHMI SASMITA/RISYADI CS</v>
      </c>
      <c r="F626" s="44" t="str">
        <f t="array" ref="F626">IF(B626="","",_xlfn.XLOOKUP(B626,'Form responses 1'!$B$2:$B$2604,'Form responses 1'!$D$2:$D$2604,""))</f>
        <v>+62 852-6657-1953</v>
      </c>
      <c r="G626" s="44" t="str">
        <f t="array" ref="G626">IF(B626="","",_xlfn.XLOOKUP(B626,'Form responses 1'!$B$2:$B$2604,'Form responses 1'!$E$2:$E$2604,""))</f>
        <v>BN WARIS</v>
      </c>
      <c r="H626" s="44" t="str">
        <f t="array" ref="H626">IF(B626="","",_xlfn.XLOOKUP(B626,'Form responses 1'!$B$2:$B$2604,'Form responses 1'!$F$2:$F$2604,""))</f>
        <v>M. 1825/ Panjang Utara</v>
      </c>
      <c r="I626" s="44" t="str">
        <f t="array" ref="I626">IF(B626="","",_xlfn.XLOOKUP(B626,'Form responses 1'!$B$2:$B$2604,'Form responses 1'!$I$2:$I$2604,""))</f>
        <v>Panjang Utara</v>
      </c>
      <c r="J626" s="44" t="str">
        <f t="array" ref="J626">IF(B626="","",_xlfn.XLOOKUP(B626,'Form responses 1'!$B$2:$B$2604,'Form responses 1'!$G$2:$G$2604,""))</f>
        <v>Hananda</v>
      </c>
      <c r="K626" s="41" t="s">
        <v>587</v>
      </c>
      <c r="L626" s="52">
        <f t="shared" si="7"/>
        <v>45602.53806</v>
      </c>
      <c r="M626" s="47" t="s">
        <v>470</v>
      </c>
      <c r="N626" s="49"/>
      <c r="O626" s="49"/>
      <c r="P626" s="49"/>
      <c r="Q626" s="49"/>
      <c r="R626" s="49"/>
      <c r="S626" s="49"/>
      <c r="T626" s="49"/>
      <c r="U626" s="49"/>
      <c r="V626" s="49"/>
      <c r="W626" s="41" t="s">
        <v>618</v>
      </c>
      <c r="X626" s="46">
        <f t="shared" si="5"/>
        <v>45607.33067</v>
      </c>
      <c r="Y626" s="50" t="s">
        <v>482</v>
      </c>
      <c r="Z626" s="49">
        <f t="shared" si="6"/>
        <v>1</v>
      </c>
    </row>
    <row r="627" ht="22.5" customHeight="1">
      <c r="B627" s="41" t="s">
        <v>3697</v>
      </c>
      <c r="C627" s="43">
        <f t="array" ref="C627">IF(B627="","",_xlfn.XLOOKUP(B627,'Form responses 1'!$B$2:$B$2604,'Form responses 1'!$A$2:$A$2604,""))</f>
        <v>45601.63383</v>
      </c>
      <c r="D627" s="44" t="str">
        <f t="shared" si="3"/>
        <v>K/60/051124/2_45601.63383</v>
      </c>
      <c r="E627" s="44" t="str">
        <f t="array" ref="E627">IF(B627="","",_xlfn.XLOOKUP(B627,'Form responses 1'!$B$2:$B$2604,'Form responses 1'!$C$2:$C$2604,""))</f>
        <v>DWI DOSO ANGGORO</v>
      </c>
      <c r="F627" s="44" t="str">
        <f t="array" ref="F627">IF(B627="","",_xlfn.XLOOKUP(B627,'Form responses 1'!$B$2:$B$2604,'Form responses 1'!$D$2:$D$2604,""))</f>
        <v>08117222871</v>
      </c>
      <c r="G627" s="44" t="str">
        <f t="array" ref="G627">IF(B627="","",_xlfn.XLOOKUP(B627,'Form responses 1'!$B$2:$B$2604,'Form responses 1'!$E$2:$E$2604,""))</f>
        <v>BN JUAL BELI</v>
      </c>
      <c r="H627" s="44" t="str">
        <f t="array" ref="H627">IF(B627="","",_xlfn.XLOOKUP(B627,'Form responses 1'!$B$2:$B$2604,'Form responses 1'!$F$2:$F$2604,""))</f>
        <v>Nibel 448/ Kemiling Permai</v>
      </c>
      <c r="I627" s="44" t="str">
        <f t="array" ref="I627">IF(B627="","",_xlfn.XLOOKUP(B627,'Form responses 1'!$B$2:$B$2604,'Form responses 1'!$I$2:$I$2604,""))</f>
        <v>Kemiling Permai</v>
      </c>
      <c r="J627" s="44" t="str">
        <f t="array" ref="J627">IF(B627="","",_xlfn.XLOOKUP(B627,'Form responses 1'!$B$2:$B$2604,'Form responses 1'!$G$2:$G$2604,""))</f>
        <v>Hananda</v>
      </c>
      <c r="K627" s="41" t="s">
        <v>587</v>
      </c>
      <c r="L627" s="52">
        <f t="shared" si="7"/>
        <v>45602.53831</v>
      </c>
      <c r="M627" s="47" t="s">
        <v>5214</v>
      </c>
      <c r="N627" s="49"/>
      <c r="O627" s="49"/>
      <c r="P627" s="49"/>
      <c r="Q627" s="49"/>
      <c r="R627" s="49"/>
      <c r="S627" s="49"/>
      <c r="T627" s="49"/>
      <c r="U627" s="49"/>
      <c r="V627" s="49"/>
      <c r="W627" s="41" t="s">
        <v>618</v>
      </c>
      <c r="X627" s="46">
        <f t="shared" si="5"/>
        <v>45604.67991</v>
      </c>
      <c r="Y627" s="50" t="s">
        <v>482</v>
      </c>
      <c r="Z627" s="49">
        <f t="shared" si="6"/>
        <v>1</v>
      </c>
    </row>
    <row r="628" ht="22.5" customHeight="1">
      <c r="B628" s="41" t="s">
        <v>3622</v>
      </c>
      <c r="C628" s="43">
        <f t="array" ref="C628">IF(B628="","",_xlfn.XLOOKUP(B628,'Form responses 1'!$B$2:$B$2604,'Form responses 1'!$A$2:$A$2604,""))</f>
        <v>45601.5585</v>
      </c>
      <c r="D628" s="44" t="str">
        <f t="shared" si="3"/>
        <v> K/37/051124/3_45601.5585036921</v>
      </c>
      <c r="E628" s="44" t="str">
        <f t="array" ref="E628">IF(B628="","",_xlfn.XLOOKUP(B628,'Form responses 1'!$B$2:$B$2604,'Form responses 1'!$C$2:$C$2604,""))</f>
        <v>ABDI HARI/ ASNI</v>
      </c>
      <c r="F628" s="44" t="str">
        <f t="array" ref="F628">IF(B628="","",_xlfn.XLOOKUP(B628,'Form responses 1'!$B$2:$B$2604,'Form responses 1'!$D$2:$D$2604,""))</f>
        <v>081368599886</v>
      </c>
      <c r="G628" s="44" t="str">
        <f t="array" ref="G628">IF(B628="","",_xlfn.XLOOKUP(B628,'Form responses 1'!$B$2:$B$2604,'Form responses 1'!$E$2:$E$2604,""))</f>
        <v>HAPUS BPHTB</v>
      </c>
      <c r="H628" s="44" t="str">
        <f t="array" ref="H628">IF(B628="","",_xlfn.XLOOKUP(B628,'Form responses 1'!$B$2:$B$2604,'Form responses 1'!$F$2:$F$2604,""))</f>
        <v>M. 1790/ Bakung</v>
      </c>
      <c r="I628" s="44" t="str">
        <f t="array" ref="I628">IF(B628="","",_xlfn.XLOOKUP(B628,'Form responses 1'!$B$2:$B$2604,'Form responses 1'!$I$2:$I$2604,""))</f>
        <v> Bakung</v>
      </c>
      <c r="J628" s="44" t="str">
        <f t="array" ref="J628">IF(B628="","",_xlfn.XLOOKUP(B628,'Form responses 1'!$B$2:$B$2604,'Form responses 1'!$G$2:$G$2604,""))</f>
        <v>Hananda</v>
      </c>
      <c r="K628" s="41" t="s">
        <v>587</v>
      </c>
      <c r="L628" s="52">
        <f t="shared" si="7"/>
        <v>45602.53856</v>
      </c>
      <c r="M628" s="47" t="s">
        <v>5560</v>
      </c>
      <c r="N628" s="47" t="s">
        <v>5561</v>
      </c>
      <c r="O628" s="49"/>
      <c r="P628" s="49"/>
      <c r="Q628" s="49"/>
      <c r="R628" s="49"/>
      <c r="S628" s="49"/>
      <c r="T628" s="49"/>
      <c r="U628" s="49"/>
      <c r="V628" s="49"/>
      <c r="W628" s="41" t="s">
        <v>470</v>
      </c>
      <c r="X628" s="46">
        <f t="shared" si="5"/>
        <v>45604.68106</v>
      </c>
      <c r="Y628" s="50" t="s">
        <v>482</v>
      </c>
      <c r="Z628" s="49">
        <f t="shared" si="6"/>
        <v>2</v>
      </c>
    </row>
    <row r="629" ht="22.5" customHeight="1">
      <c r="B629" s="41" t="s">
        <v>3615</v>
      </c>
      <c r="C629" s="43">
        <f t="array" ref="C629">IF(B629="","",_xlfn.XLOOKUP(B629,'Form responses 1'!$B$2:$B$2604,'Form responses 1'!$A$2:$A$2604,""))</f>
        <v>45601.55623</v>
      </c>
      <c r="D629" s="44" t="str">
        <f t="shared" si="3"/>
        <v>K/36/051124/2_45601.5562255903</v>
      </c>
      <c r="E629" s="44" t="str">
        <f t="array" ref="E629">IF(B629="","",_xlfn.XLOOKUP(B629,'Form responses 1'!$B$2:$B$2604,'Form responses 1'!$C$2:$C$2604,""))</f>
        <v>abdi hari/ mareduansyah</v>
      </c>
      <c r="F629" s="44" t="str">
        <f t="array" ref="F629">IF(B629="","",_xlfn.XLOOKUP(B629,'Form responses 1'!$B$2:$B$2604,'Form responses 1'!$D$2:$D$2604,""))</f>
        <v>081368599886</v>
      </c>
      <c r="G629" s="44" t="str">
        <f t="array" ref="G629">IF(B629="","",_xlfn.XLOOKUP(B629,'Form responses 1'!$B$2:$B$2604,'Form responses 1'!$E$2:$E$2604,""))</f>
        <v>HAPUS BPHTB</v>
      </c>
      <c r="H629" s="44" t="str">
        <f t="array" ref="H629">IF(B629="","",_xlfn.XLOOKUP(B629,'Form responses 1'!$B$2:$B$2604,'Form responses 1'!$F$2:$F$2604,""))</f>
        <v>M. 2167/ Labuhan Dalam</v>
      </c>
      <c r="I629" s="44" t="str">
        <f t="array" ref="I629">IF(B629="","",_xlfn.XLOOKUP(B629,'Form responses 1'!$B$2:$B$2604,'Form responses 1'!$I$2:$I$2604,""))</f>
        <v>Labuhan Dalam</v>
      </c>
      <c r="J629" s="44" t="str">
        <f t="array" ref="J629">IF(B629="","",_xlfn.XLOOKUP(B629,'Form responses 1'!$B$2:$B$2604,'Form responses 1'!$G$2:$G$2604,""))</f>
        <v>Hananda</v>
      </c>
      <c r="K629" s="41" t="s">
        <v>587</v>
      </c>
      <c r="L629" s="52">
        <f t="shared" si="7"/>
        <v>45602.53887</v>
      </c>
      <c r="M629" s="47" t="s">
        <v>5562</v>
      </c>
      <c r="N629" s="49"/>
      <c r="O629" s="49"/>
      <c r="P629" s="49"/>
      <c r="Q629" s="49"/>
      <c r="R629" s="49"/>
      <c r="S629" s="49"/>
      <c r="T629" s="49"/>
      <c r="U629" s="49"/>
      <c r="V629" s="49"/>
      <c r="W629" s="41" t="s">
        <v>470</v>
      </c>
      <c r="X629" s="46">
        <f t="shared" si="5"/>
        <v>45604.68395</v>
      </c>
      <c r="Y629" s="50" t="s">
        <v>482</v>
      </c>
      <c r="Z629" s="49">
        <f t="shared" si="6"/>
        <v>1</v>
      </c>
    </row>
    <row r="630" ht="22.5" customHeight="1">
      <c r="B630" s="41" t="s">
        <v>3483</v>
      </c>
      <c r="C630" s="43">
        <f t="array" ref="C630">IF(B630="","",_xlfn.XLOOKUP(B630,'Form responses 1'!$B$2:$B$2604,'Form responses 1'!$A$2:$A$2604,""))</f>
        <v>45601.39794</v>
      </c>
      <c r="D630" s="44" t="str">
        <f t="shared" si="3"/>
        <v>K/2/051124/2_45601.3979383796</v>
      </c>
      <c r="E630" s="44" t="str">
        <f t="array" ref="E630">IF(B630="","",_xlfn.XLOOKUP(B630,'Form responses 1'!$B$2:$B$2604,'Form responses 1'!$C$2:$C$2604,""))</f>
        <v>WURI VALENDZA WIJAYA</v>
      </c>
      <c r="F630" s="44" t="str">
        <f t="array" ref="F630">IF(B630="","",_xlfn.XLOOKUP(B630,'Form responses 1'!$B$2:$B$2604,'Form responses 1'!$D$2:$D$2604,""))</f>
        <v>0823-7375-9878</v>
      </c>
      <c r="G630" s="44" t="str">
        <f t="array" ref="G630">IF(B630="","",_xlfn.XLOOKUP(B630,'Form responses 1'!$B$2:$B$2604,'Form responses 1'!$E$2:$E$2604,""))</f>
        <v>BN JUAL BELI</v>
      </c>
      <c r="H630" s="44" t="str">
        <f t="array" ref="H630">IF(B630="","",_xlfn.XLOOKUP(B630,'Form responses 1'!$B$2:$B$2604,'Form responses 1'!$F$2:$F$2604,""))</f>
        <v>M.631/LANGKAPURA BARU</v>
      </c>
      <c r="I630" s="44" t="str">
        <f t="array" ref="I630">IF(B630="","",_xlfn.XLOOKUP(B630,'Form responses 1'!$B$2:$B$2604,'Form responses 1'!$I$2:$I$2604,""))</f>
        <v>LANGKAPURA BARU</v>
      </c>
      <c r="J630" s="44" t="str">
        <f t="array" ref="J630">IF(B630="","",_xlfn.XLOOKUP(B630,'Form responses 1'!$B$2:$B$2604,'Form responses 1'!$G$2:$G$2604,""))</f>
        <v>Baynur</v>
      </c>
      <c r="K630" s="41" t="s">
        <v>587</v>
      </c>
      <c r="L630" s="52">
        <f t="shared" si="7"/>
        <v>45602.53907</v>
      </c>
      <c r="M630" s="47" t="s">
        <v>470</v>
      </c>
      <c r="N630" s="47" t="s">
        <v>5214</v>
      </c>
      <c r="O630" s="49"/>
      <c r="P630" s="49"/>
      <c r="Q630" s="49"/>
      <c r="R630" s="49"/>
      <c r="S630" s="49"/>
      <c r="T630" s="49"/>
      <c r="U630" s="49"/>
      <c r="V630" s="49"/>
      <c r="W630" s="41" t="s">
        <v>618</v>
      </c>
      <c r="X630" s="46">
        <f t="shared" si="5"/>
        <v>45610.36206</v>
      </c>
      <c r="Y630" s="50" t="s">
        <v>482</v>
      </c>
      <c r="Z630" s="49">
        <f t="shared" si="6"/>
        <v>2</v>
      </c>
    </row>
    <row r="631" ht="22.5" customHeight="1">
      <c r="B631" s="41" t="s">
        <v>3563</v>
      </c>
      <c r="C631" s="43">
        <f t="array" ref="C631">IF(B631="","",_xlfn.XLOOKUP(B631,'Form responses 1'!$B$2:$B$2604,'Form responses 1'!$A$2:$A$2604,""))</f>
        <v>45601.46471</v>
      </c>
      <c r="D631" s="44" t="str">
        <f t="shared" si="3"/>
        <v>K/22/051124/2_45601.4647121412</v>
      </c>
      <c r="E631" s="44" t="str">
        <f t="array" ref="E631">IF(B631="","",_xlfn.XLOOKUP(B631,'Form responses 1'!$B$2:$B$2604,'Form responses 1'!$C$2:$C$2604,""))</f>
        <v>JIMMI AFRIANDO AKBAR/HERLINA RATNA  SN</v>
      </c>
      <c r="F631" s="44" t="str">
        <f t="array" ref="F631">IF(B631="","",_xlfn.XLOOKUP(B631,'Form responses 1'!$B$2:$B$2604,'Form responses 1'!$D$2:$D$2604,""))</f>
        <v>0813-6907-0444</v>
      </c>
      <c r="G631" s="44" t="str">
        <f t="array" ref="G631">IF(B631="","",_xlfn.XLOOKUP(B631,'Form responses 1'!$B$2:$B$2604,'Form responses 1'!$E$2:$E$2604,""))</f>
        <v>BN JUAL BELI</v>
      </c>
      <c r="H631" s="44" t="str">
        <f t="array" ref="H631">IF(B631="","",_xlfn.XLOOKUP(B631,'Form responses 1'!$B$2:$B$2604,'Form responses 1'!$F$2:$F$2604,""))</f>
        <v>M.2425/KEDAUNG</v>
      </c>
      <c r="I631" s="44" t="str">
        <f t="array" ref="I631">IF(B631="","",_xlfn.XLOOKUP(B631,'Form responses 1'!$B$2:$B$2604,'Form responses 1'!$I$2:$I$2604,""))</f>
        <v>KEDAUNG</v>
      </c>
      <c r="J631" s="44" t="str">
        <f t="array" ref="J631">IF(B631="","",_xlfn.XLOOKUP(B631,'Form responses 1'!$B$2:$B$2604,'Form responses 1'!$G$2:$G$2604,""))</f>
        <v>Baynur</v>
      </c>
      <c r="K631" s="41" t="s">
        <v>587</v>
      </c>
      <c r="L631" s="52">
        <f t="shared" si="7"/>
        <v>45602.53928</v>
      </c>
      <c r="M631" s="47" t="s">
        <v>470</v>
      </c>
      <c r="N631" s="47" t="s">
        <v>5214</v>
      </c>
      <c r="O631" s="49"/>
      <c r="P631" s="49"/>
      <c r="Q631" s="49"/>
      <c r="R631" s="49"/>
      <c r="S631" s="49"/>
      <c r="T631" s="49"/>
      <c r="U631" s="49"/>
      <c r="V631" s="49"/>
      <c r="W631" s="41" t="s">
        <v>618</v>
      </c>
      <c r="X631" s="46">
        <f t="shared" si="5"/>
        <v>45610.60532</v>
      </c>
      <c r="Y631" s="50" t="s">
        <v>482</v>
      </c>
      <c r="Z631" s="49">
        <f t="shared" si="6"/>
        <v>2</v>
      </c>
    </row>
    <row r="632" ht="22.5" customHeight="1">
      <c r="B632" s="41" t="s">
        <v>3605</v>
      </c>
      <c r="C632" s="43">
        <f t="array" ref="C632">IF(B632="","",_xlfn.XLOOKUP(B632,'Form responses 1'!$B$2:$B$2604,'Form responses 1'!$A$2:$A$2604,""))</f>
        <v>45601.49209</v>
      </c>
      <c r="D632" s="44" t="str">
        <f t="shared" si="3"/>
        <v>K/34/051124/1_45601.4920931713</v>
      </c>
      <c r="E632" s="44" t="str">
        <f t="array" ref="E632">IF(B632="","",_xlfn.XLOOKUP(B632,'Form responses 1'!$B$2:$B$2604,'Form responses 1'!$C$2:$C$2604,""))</f>
        <v>DESIANTI/PANARY SITOPU</v>
      </c>
      <c r="F632" s="44" t="str">
        <f t="array" ref="F632">IF(B632="","",_xlfn.XLOOKUP(B632,'Form responses 1'!$B$2:$B$2604,'Form responses 1'!$D$2:$D$2604,""))</f>
        <v>0889-2977-399</v>
      </c>
      <c r="G632" s="44" t="str">
        <f t="array" ref="G632">IF(B632="","",_xlfn.XLOOKUP(B632,'Form responses 1'!$B$2:$B$2604,'Form responses 1'!$E$2:$E$2604,""))</f>
        <v>BN JUAL BELI</v>
      </c>
      <c r="H632" s="44" t="str">
        <f t="array" ref="H632">IF(B632="","",_xlfn.XLOOKUP(B632,'Form responses 1'!$B$2:$B$2604,'Form responses 1'!$F$2:$F$2604,""))</f>
        <v>B.818/SUMUR PUTRI</v>
      </c>
      <c r="I632" s="44" t="str">
        <f t="array" ref="I632">IF(B632="","",_xlfn.XLOOKUP(B632,'Form responses 1'!$B$2:$B$2604,'Form responses 1'!$I$2:$I$2604,""))</f>
        <v>SUMUR PUTRI</v>
      </c>
      <c r="J632" s="44" t="str">
        <f t="array" ref="J632">IF(B632="","",_xlfn.XLOOKUP(B632,'Form responses 1'!$B$2:$B$2604,'Form responses 1'!$G$2:$G$2604,""))</f>
        <v>Baynur</v>
      </c>
      <c r="K632" s="41" t="s">
        <v>587</v>
      </c>
      <c r="L632" s="52">
        <f t="shared" si="7"/>
        <v>45602.53957</v>
      </c>
      <c r="M632" s="47" t="s">
        <v>470</v>
      </c>
      <c r="N632" s="49"/>
      <c r="O632" s="49"/>
      <c r="P632" s="49"/>
      <c r="Q632" s="49"/>
      <c r="R632" s="49"/>
      <c r="S632" s="49"/>
      <c r="T632" s="49"/>
      <c r="U632" s="49"/>
      <c r="V632" s="49"/>
      <c r="W632" s="41" t="s">
        <v>618</v>
      </c>
      <c r="X632" s="46">
        <f t="shared" si="5"/>
        <v>45607.33157</v>
      </c>
      <c r="Y632" s="50" t="s">
        <v>482</v>
      </c>
      <c r="Z632" s="49">
        <f t="shared" si="6"/>
        <v>1</v>
      </c>
    </row>
    <row r="633" ht="22.5" customHeight="1">
      <c r="B633" s="41" t="s">
        <v>3435</v>
      </c>
      <c r="C633" s="43">
        <f t="array" ref="C633">IF(B633="","",_xlfn.XLOOKUP(B633,'Form responses 1'!$B$2:$B$2604,'Form responses 1'!$A$2:$A$2604,""))</f>
        <v>45600.60119</v>
      </c>
      <c r="D633" s="44" t="str">
        <f t="shared" si="3"/>
        <v>L/42/041124/1_45600.6011909144</v>
      </c>
      <c r="E633" s="44" t="str">
        <f t="array" ref="E633">IF(B633="","",_xlfn.XLOOKUP(B633,'Form responses 1'!$B$2:$B$2604,'Form responses 1'!$C$2:$C$2604,""))</f>
        <v>ASEP SULAIMAN</v>
      </c>
      <c r="F633" s="44" t="str">
        <f t="array" ref="F633">IF(B633="","",_xlfn.XLOOKUP(B633,'Form responses 1'!$B$2:$B$2604,'Form responses 1'!$D$2:$D$2604,""))</f>
        <v>085279898343</v>
      </c>
      <c r="G633" s="44" t="str">
        <f t="array" ref="G633">IF(B633="","",_xlfn.XLOOKUP(B633,'Form responses 1'!$B$2:$B$2604,'Form responses 1'!$E$2:$E$2604,""))</f>
        <v>ROYA</v>
      </c>
      <c r="H633" s="44" t="str">
        <f t="array" ref="H633">IF(B633="","",_xlfn.XLOOKUP(B633,'Form responses 1'!$B$2:$B$2604,'Form responses 1'!$F$2:$F$2604,""))</f>
        <v>B.661/SUKABUMI INDAH</v>
      </c>
      <c r="I633" s="44" t="str">
        <f t="array" ref="I633">IF(B633="","",_xlfn.XLOOKUP(B633,'Form responses 1'!$B$2:$B$2604,'Form responses 1'!$I$2:$I$2604,""))</f>
        <v>SUKABUMI INDAH</v>
      </c>
      <c r="J633" s="44" t="str">
        <f t="array" ref="J633">IF(B633="","",_xlfn.XLOOKUP(B633,'Form responses 1'!$B$2:$B$2604,'Form responses 1'!$G$2:$G$2604,""))</f>
        <v>Deby</v>
      </c>
      <c r="K633" s="41" t="s">
        <v>1233</v>
      </c>
      <c r="L633" s="52">
        <f t="shared" si="7"/>
        <v>45602.54418</v>
      </c>
      <c r="M633" s="47" t="s">
        <v>5563</v>
      </c>
      <c r="N633" s="49"/>
      <c r="O633" s="49"/>
      <c r="P633" s="49"/>
      <c r="Q633" s="49"/>
      <c r="R633" s="49"/>
      <c r="S633" s="49"/>
      <c r="T633" s="49"/>
      <c r="U633" s="49"/>
      <c r="V633" s="49"/>
      <c r="W633" s="41" t="s">
        <v>618</v>
      </c>
      <c r="X633" s="46">
        <f t="shared" si="5"/>
        <v>45603.6413</v>
      </c>
      <c r="Y633" s="50" t="s">
        <v>482</v>
      </c>
      <c r="Z633" s="49">
        <f t="shared" si="6"/>
        <v>1</v>
      </c>
    </row>
    <row r="634" ht="22.5" customHeight="1">
      <c r="B634" s="41" t="s">
        <v>3420</v>
      </c>
      <c r="C634" s="43">
        <f t="array" ref="C634">IF(B634="","",_xlfn.XLOOKUP(B634,'Form responses 1'!$B$2:$B$2604,'Form responses 1'!$A$2:$A$2604,""))</f>
        <v>45600.58113</v>
      </c>
      <c r="D634" s="44" t="str">
        <f t="shared" si="3"/>
        <v>K/38/041124/4_45600.5811313194</v>
      </c>
      <c r="E634" s="44" t="str">
        <f t="array" ref="E634">IF(B634="","",_xlfn.XLOOKUP(B634,'Form responses 1'!$B$2:$B$2604,'Form responses 1'!$C$2:$C$2604,""))</f>
        <v>FIRMANSYAH</v>
      </c>
      <c r="F634" s="44" t="str">
        <f t="array" ref="F634">IF(B634="","",_xlfn.XLOOKUP(B634,'Form responses 1'!$B$2:$B$2604,'Form responses 1'!$D$2:$D$2604,""))</f>
        <v>+62 821-7714-1515</v>
      </c>
      <c r="G634" s="44" t="str">
        <f t="array" ref="G634">IF(B634="","",_xlfn.XLOOKUP(B634,'Form responses 1'!$B$2:$B$2604,'Form responses 1'!$E$2:$E$2604,""))</f>
        <v>ROYA</v>
      </c>
      <c r="H634" s="44" t="str">
        <f t="array" ref="H634">IF(B634="","",_xlfn.XLOOKUP(B634,'Form responses 1'!$B$2:$B$2604,'Form responses 1'!$F$2:$F$2604,""))</f>
        <v>B. 1406/ Jagabaya II </v>
      </c>
      <c r="I634" s="44" t="str">
        <f t="array" ref="I634">IF(B634="","",_xlfn.XLOOKUP(B634,'Form responses 1'!$B$2:$B$2604,'Form responses 1'!$I$2:$I$2604,""))</f>
        <v>Jagabaya II </v>
      </c>
      <c r="J634" s="44" t="str">
        <f t="array" ref="J634">IF(B634="","",_xlfn.XLOOKUP(B634,'Form responses 1'!$B$2:$B$2604,'Form responses 1'!$G$2:$G$2604,""))</f>
        <v>Hananda</v>
      </c>
      <c r="K634" s="41" t="s">
        <v>1233</v>
      </c>
      <c r="L634" s="52">
        <f t="shared" si="7"/>
        <v>45602.55115</v>
      </c>
      <c r="M634" s="49"/>
      <c r="N634" s="49"/>
      <c r="O634" s="49"/>
      <c r="P634" s="49"/>
      <c r="Q634" s="49"/>
      <c r="R634" s="49"/>
      <c r="S634" s="49"/>
      <c r="T634" s="49"/>
      <c r="U634" s="49"/>
      <c r="V634" s="49"/>
      <c r="W634" s="41" t="s">
        <v>618</v>
      </c>
      <c r="X634" s="46">
        <f t="shared" si="5"/>
        <v>45602.55118</v>
      </c>
      <c r="Y634" s="50" t="s">
        <v>482</v>
      </c>
      <c r="Z634" s="49">
        <f t="shared" si="6"/>
        <v>0</v>
      </c>
    </row>
    <row r="635" ht="22.5" customHeight="1">
      <c r="B635" s="41" t="s">
        <v>3458</v>
      </c>
      <c r="C635" s="43">
        <f t="array" ref="C635">IF(B635="","",_xlfn.XLOOKUP(B635,'Form responses 1'!$B$2:$B$2604,'Form responses 1'!$A$2:$A$2604,""))</f>
        <v>45600.6149</v>
      </c>
      <c r="D635" s="44" t="str">
        <f t="shared" si="3"/>
        <v>K/48/041124/2_45600.6149038889</v>
      </c>
      <c r="E635" s="44" t="str">
        <f t="array" ref="E635">IF(B635="","",_xlfn.XLOOKUP(B635,'Form responses 1'!$B$2:$B$2604,'Form responses 1'!$C$2:$C$2604,""))</f>
        <v>Andry Yulian/ Novi  W</v>
      </c>
      <c r="F635" s="44" t="str">
        <f t="array" ref="F635">IF(B635="","",_xlfn.XLOOKUP(B635,'Form responses 1'!$B$2:$B$2604,'Form responses 1'!$D$2:$D$2604,""))</f>
        <v>+62 821-8694-9749</v>
      </c>
      <c r="G635" s="44" t="str">
        <f t="array" ref="G635">IF(B635="","",_xlfn.XLOOKUP(B635,'Form responses 1'!$B$2:$B$2604,'Form responses 1'!$E$2:$E$2604,""))</f>
        <v>BN Jual Beli</v>
      </c>
      <c r="H635" s="44" t="str">
        <f t="array" ref="H635">IF(B635="","",_xlfn.XLOOKUP(B635,'Form responses 1'!$B$2:$B$2604,'Form responses 1'!$F$2:$F$2604,""))</f>
        <v>M. 1113/ Pematang Wangi; M. 3217/ Tanjung Senang-dahulu</v>
      </c>
      <c r="I635" s="44" t="str">
        <f t="array" ref="I635">IF(B635="","",_xlfn.XLOOKUP(B635,'Form responses 1'!$B$2:$B$2604,'Form responses 1'!$I$2:$I$2604,""))</f>
        <v>Pematang Wangi</v>
      </c>
      <c r="J635" s="44" t="str">
        <f t="array" ref="J635">IF(B635="","",_xlfn.XLOOKUP(B635,'Form responses 1'!$B$2:$B$2604,'Form responses 1'!$G$2:$G$2604,""))</f>
        <v>Rapita</v>
      </c>
      <c r="K635" s="41" t="s">
        <v>1233</v>
      </c>
      <c r="L635" s="52">
        <f t="shared" si="7"/>
        <v>45602.56362</v>
      </c>
      <c r="M635" s="47" t="s">
        <v>5563</v>
      </c>
      <c r="N635" s="49"/>
      <c r="O635" s="49"/>
      <c r="P635" s="49"/>
      <c r="Q635" s="49"/>
      <c r="R635" s="49"/>
      <c r="S635" s="49"/>
      <c r="T635" s="49"/>
      <c r="U635" s="49"/>
      <c r="V635" s="49"/>
      <c r="W635" s="41" t="s">
        <v>618</v>
      </c>
      <c r="X635" s="46">
        <f t="shared" si="5"/>
        <v>45604.39083</v>
      </c>
      <c r="Y635" s="50" t="s">
        <v>482</v>
      </c>
      <c r="Z635" s="49">
        <f t="shared" si="6"/>
        <v>1</v>
      </c>
    </row>
    <row r="636" ht="22.5" customHeight="1">
      <c r="B636" s="41" t="s">
        <v>3573</v>
      </c>
      <c r="C636" s="43">
        <f t="array" ref="C636">IF(B636="","",_xlfn.XLOOKUP(B636,'Form responses 1'!$B$2:$B$2604,'Form responses 1'!$A$2:$A$2604,""))</f>
        <v>45601.47375</v>
      </c>
      <c r="D636" s="44" t="str">
        <f t="shared" si="3"/>
        <v>K/26/051124/1_45601.4737527315</v>
      </c>
      <c r="E636" s="44" t="str">
        <f t="array" ref="E636">IF(B636="","",_xlfn.XLOOKUP(B636,'Form responses 1'!$B$2:$B$2604,'Form responses 1'!$C$2:$C$2604,""))</f>
        <v>Evi Udin/ Agustino H</v>
      </c>
      <c r="F636" s="44" t="str">
        <f t="array" ref="F636">IF(B636="","",_xlfn.XLOOKUP(B636,'Form responses 1'!$B$2:$B$2604,'Form responses 1'!$D$2:$D$2604,""))</f>
        <v>+62 821-8499-9559</v>
      </c>
      <c r="G636" s="44" t="str">
        <f t="array" ref="G636">IF(B636="","",_xlfn.XLOOKUP(B636,'Form responses 1'!$B$2:$B$2604,'Form responses 1'!$E$2:$E$2604,""))</f>
        <v>Roya</v>
      </c>
      <c r="H636" s="44" t="str">
        <f t="array" ref="H636">IF(B636="","",_xlfn.XLOOKUP(B636,'Form responses 1'!$B$2:$B$2604,'Form responses 1'!$F$2:$F$2604,""))</f>
        <v>M. 14387/ Rajabasa; SHT 2838/ 2018</v>
      </c>
      <c r="I636" s="44" t="str">
        <f t="array" ref="I636">IF(B636="","",_xlfn.XLOOKUP(B636,'Form responses 1'!$B$2:$B$2604,'Form responses 1'!$I$2:$I$2604,""))</f>
        <v>Rajabasa</v>
      </c>
      <c r="J636" s="44" t="str">
        <f t="array" ref="J636">IF(B636="","",_xlfn.XLOOKUP(B636,'Form responses 1'!$B$2:$B$2604,'Form responses 1'!$G$2:$G$2604,""))</f>
        <v>Rapita</v>
      </c>
      <c r="K636" s="41" t="s">
        <v>2875</v>
      </c>
      <c r="L636" s="52">
        <f t="shared" si="7"/>
        <v>45602.56717</v>
      </c>
      <c r="M636" s="47" t="s">
        <v>5564</v>
      </c>
      <c r="N636" s="49"/>
      <c r="O636" s="49"/>
      <c r="P636" s="49"/>
      <c r="Q636" s="49"/>
      <c r="R636" s="49"/>
      <c r="S636" s="49"/>
      <c r="T636" s="49"/>
      <c r="U636" s="49"/>
      <c r="V636" s="49"/>
      <c r="W636" s="41" t="s">
        <v>618</v>
      </c>
      <c r="X636" s="46">
        <f t="shared" si="5"/>
        <v>45603.65091</v>
      </c>
      <c r="Y636" s="50" t="s">
        <v>482</v>
      </c>
      <c r="Z636" s="49">
        <f t="shared" si="6"/>
        <v>1</v>
      </c>
    </row>
    <row r="637" ht="22.5" customHeight="1">
      <c r="B637" s="41" t="s">
        <v>3357</v>
      </c>
      <c r="C637" s="43">
        <f t="array" ref="C637">IF(B637="","",_xlfn.XLOOKUP(B637,'Form responses 1'!$B$2:$B$2604,'Form responses 1'!$A$2:$A$2604,""))</f>
        <v>45600.47746</v>
      </c>
      <c r="D637" s="44" t="str">
        <f t="shared" si="3"/>
        <v>K/21/041124/1_45600.4774551157</v>
      </c>
      <c r="E637" s="44" t="str">
        <f t="array" ref="E637">IF(B637="","",_xlfn.XLOOKUP(B637,'Form responses 1'!$B$2:$B$2604,'Form responses 1'!$C$2:$C$2604,""))</f>
        <v>IDAYATI SISWANTO/AFRIZAL</v>
      </c>
      <c r="F637" s="44" t="str">
        <f t="array" ref="F637">IF(B637="","",_xlfn.XLOOKUP(B637,'Form responses 1'!$B$2:$B$2604,'Form responses 1'!$D$2:$D$2604,""))</f>
        <v>0813-6751-6751</v>
      </c>
      <c r="G637" s="44" t="str">
        <f t="array" ref="G637">IF(B637="","",_xlfn.XLOOKUP(B637,'Form responses 1'!$B$2:$B$2604,'Form responses 1'!$E$2:$E$2604,""))</f>
        <v>BN JUAL BELI</v>
      </c>
      <c r="H637" s="44" t="str">
        <f t="array" ref="H637">IF(B637="","",_xlfn.XLOOKUP(B637,'Form responses 1'!$B$2:$B$2604,'Form responses 1'!$F$2:$F$2604,""))</f>
        <v>M.1031/NEGERI OLOK GADING-SEKARANG;B.975/NEGERI OLOK GADING-DAHULU</v>
      </c>
      <c r="I637" s="44" t="str">
        <f t="array" ref="I637">IF(B637="","",_xlfn.XLOOKUP(B637,'Form responses 1'!$B$2:$B$2604,'Form responses 1'!$I$2:$I$2604,""))</f>
        <v>NEGERI OLOK GADING</v>
      </c>
      <c r="J637" s="44" t="str">
        <f t="array" ref="J637">IF(B637="","",_xlfn.XLOOKUP(B637,'Form responses 1'!$B$2:$B$2604,'Form responses 1'!$G$2:$G$2604,""))</f>
        <v>Baynur</v>
      </c>
      <c r="K637" s="41" t="s">
        <v>1233</v>
      </c>
      <c r="L637" s="52">
        <f t="shared" si="7"/>
        <v>45602.57438</v>
      </c>
      <c r="M637" s="49"/>
      <c r="N637" s="49"/>
      <c r="O637" s="49"/>
      <c r="P637" s="49"/>
      <c r="Q637" s="49"/>
      <c r="R637" s="49"/>
      <c r="S637" s="49"/>
      <c r="T637" s="49"/>
      <c r="U637" s="49"/>
      <c r="V637" s="49"/>
      <c r="W637" s="41" t="s">
        <v>618</v>
      </c>
      <c r="X637" s="46">
        <f t="shared" si="5"/>
        <v>45602.57441</v>
      </c>
      <c r="Y637" s="50" t="s">
        <v>482</v>
      </c>
      <c r="Z637" s="49">
        <f t="shared" si="6"/>
        <v>0</v>
      </c>
    </row>
    <row r="638" ht="22.5" customHeight="1">
      <c r="B638" s="41" t="s">
        <v>3415</v>
      </c>
      <c r="C638" s="43">
        <f t="array" ref="C638">IF(B638="","",_xlfn.XLOOKUP(B638,'Form responses 1'!$B$2:$B$2604,'Form responses 1'!$A$2:$A$2604,""))</f>
        <v>45600.57732</v>
      </c>
      <c r="D638" s="44" t="str">
        <f t="shared" si="3"/>
        <v>K/37/041124/3_45600.577322338</v>
      </c>
      <c r="E638" s="44" t="str">
        <f t="array" ref="E638">IF(B638="","",_xlfn.XLOOKUP(B638,'Form responses 1'!$B$2:$B$2604,'Form responses 1'!$C$2:$C$2604,""))</f>
        <v>AGUSRI SYATIF/ NUR HAYATI</v>
      </c>
      <c r="F638" s="44" t="str">
        <f t="array" ref="F638">IF(B638="","",_xlfn.XLOOKUP(B638,'Form responses 1'!$B$2:$B$2604,'Form responses 1'!$D$2:$D$2604,""))</f>
        <v>08117222871</v>
      </c>
      <c r="G638" s="44" t="str">
        <f t="array" ref="G638">IF(B638="","",_xlfn.XLOOKUP(B638,'Form responses 1'!$B$2:$B$2604,'Form responses 1'!$E$2:$E$2604,""))</f>
        <v>PENATAAN BATAS</v>
      </c>
      <c r="H638" s="44" t="str">
        <f t="array" ref="H638">IF(B638="","",_xlfn.XLOOKUP(B638,'Form responses 1'!$B$2:$B$2604,'Form responses 1'!$F$2:$F$2604,""))</f>
        <v>M. 12471/ Kedamaian</v>
      </c>
      <c r="I638" s="44" t="str">
        <f t="array" ref="I638">IF(B638="","",_xlfn.XLOOKUP(B638,'Form responses 1'!$B$2:$B$2604,'Form responses 1'!$I$2:$I$2604,""))</f>
        <v>Kedamaian</v>
      </c>
      <c r="J638" s="44" t="str">
        <f t="array" ref="J638">IF(B638="","",_xlfn.XLOOKUP(B638,'Form responses 1'!$B$2:$B$2604,'Form responses 1'!$G$2:$G$2604,""))</f>
        <v>Hananda</v>
      </c>
      <c r="K638" s="41" t="s">
        <v>1233</v>
      </c>
      <c r="L638" s="52">
        <f t="shared" si="7"/>
        <v>45602.57588</v>
      </c>
      <c r="M638" s="47" t="s">
        <v>5544</v>
      </c>
      <c r="N638" s="47" t="s">
        <v>5565</v>
      </c>
      <c r="O638" s="47" t="s">
        <v>5566</v>
      </c>
      <c r="P638" s="49"/>
      <c r="Q638" s="49"/>
      <c r="R638" s="49"/>
      <c r="S638" s="49"/>
      <c r="T638" s="49"/>
      <c r="U638" s="49"/>
      <c r="V638" s="49"/>
      <c r="W638" s="41" t="s">
        <v>618</v>
      </c>
      <c r="X638" s="46">
        <f t="shared" si="5"/>
        <v>45609.64194</v>
      </c>
      <c r="Y638" s="50" t="s">
        <v>482</v>
      </c>
      <c r="Z638" s="49">
        <f t="shared" si="6"/>
        <v>3</v>
      </c>
    </row>
    <row r="639" ht="22.5" customHeight="1">
      <c r="B639" s="41" t="s">
        <v>3555</v>
      </c>
      <c r="C639" s="43">
        <f t="array" ref="C639">IF(B639="","",_xlfn.XLOOKUP(B639,'Form responses 1'!$B$2:$B$2604,'Form responses 1'!$A$2:$A$2604,""))</f>
        <v>45601.46138</v>
      </c>
      <c r="D639" s="44" t="str">
        <f t="shared" si="3"/>
        <v>K/20/051124/1_45601.461384919</v>
      </c>
      <c r="E639" s="44" t="str">
        <f t="array" ref="E639">IF(B639="","",_xlfn.XLOOKUP(B639,'Form responses 1'!$B$2:$B$2604,'Form responses 1'!$C$2:$C$2604,""))</f>
        <v>Maya A/ Nurul Habibah</v>
      </c>
      <c r="F639" s="44" t="str">
        <f t="array" ref="F639">IF(B639="","",_xlfn.XLOOKUP(B639,'Form responses 1'!$B$2:$B$2604,'Form responses 1'!$D$2:$D$2604,""))</f>
        <v>62 813-6999-9971</v>
      </c>
      <c r="G639" s="44" t="str">
        <f t="array" ref="G639">IF(B639="","",_xlfn.XLOOKUP(B639,'Form responses 1'!$B$2:$B$2604,'Form responses 1'!$E$2:$E$2604,""))</f>
        <v>Perubahan Hak</v>
      </c>
      <c r="H639" s="44" t="str">
        <f t="array" ref="H639">IF(B639="","",_xlfn.XLOOKUP(B639,'Form responses 1'!$B$2:$B$2604,'Form responses 1'!$F$2:$F$2604,""))</f>
        <v>Nibel. B. 3021/ Kemiling Permai</v>
      </c>
      <c r="I639" s="44" t="str">
        <f t="array" ref="I639">IF(B639="","",_xlfn.XLOOKUP(B639,'Form responses 1'!$B$2:$B$2604,'Form responses 1'!$I$2:$I$2604,""))</f>
        <v>Kemiling Permai</v>
      </c>
      <c r="J639" s="44" t="str">
        <f t="array" ref="J639">IF(B639="","",_xlfn.XLOOKUP(B639,'Form responses 1'!$B$2:$B$2604,'Form responses 1'!$G$2:$G$2604,""))</f>
        <v>Rapita</v>
      </c>
      <c r="K639" s="41" t="s">
        <v>2875</v>
      </c>
      <c r="L639" s="52">
        <f t="shared" si="7"/>
        <v>45602.58721</v>
      </c>
      <c r="M639" s="47" t="s">
        <v>5567</v>
      </c>
      <c r="N639" s="49"/>
      <c r="O639" s="49"/>
      <c r="P639" s="49"/>
      <c r="Q639" s="49"/>
      <c r="R639" s="49"/>
      <c r="S639" s="49"/>
      <c r="T639" s="49"/>
      <c r="U639" s="49"/>
      <c r="V639" s="49"/>
      <c r="W639" s="41" t="s">
        <v>618</v>
      </c>
      <c r="X639" s="46">
        <f t="shared" si="5"/>
        <v>45609.49448</v>
      </c>
      <c r="Y639" s="50" t="s">
        <v>482</v>
      </c>
      <c r="Z639" s="49">
        <f t="shared" si="6"/>
        <v>1</v>
      </c>
      <c r="AA639" s="4" t="s">
        <v>5568</v>
      </c>
    </row>
    <row r="640" ht="22.5" customHeight="1">
      <c r="B640" s="41" t="s">
        <v>3452</v>
      </c>
      <c r="C640" s="43">
        <f t="array" ref="C640">IF(B640="","",_xlfn.XLOOKUP(B640,'Form responses 1'!$B$2:$B$2604,'Form responses 1'!$A$2:$A$2604,""))</f>
        <v>45600.61396</v>
      </c>
      <c r="D640" s="44" t="str">
        <f t="shared" si="3"/>
        <v>K/47/041124/1_45600.6139577199</v>
      </c>
      <c r="E640" s="44" t="str">
        <f t="array" ref="E640">IF(B640="","",_xlfn.XLOOKUP(B640,'Form responses 1'!$B$2:$B$2604,'Form responses 1'!$C$2:$C$2604,""))</f>
        <v>Andry Yulian/ Murni A</v>
      </c>
      <c r="F640" s="44" t="str">
        <f t="array" ref="F640">IF(B640="","",_xlfn.XLOOKUP(B640,'Form responses 1'!$B$2:$B$2604,'Form responses 1'!$D$2:$D$2604,""))</f>
        <v>+62 821-8694-9749</v>
      </c>
      <c r="G640" s="44" t="str">
        <f t="array" ref="G640">IF(B640="","",_xlfn.XLOOKUP(B640,'Form responses 1'!$B$2:$B$2604,'Form responses 1'!$E$2:$E$2604,""))</f>
        <v>BN Jual Beli</v>
      </c>
      <c r="H640" s="44" t="str">
        <f t="array" ref="H640">IF(B640="","",_xlfn.XLOOKUP(B640,'Form responses 1'!$B$2:$B$2604,'Form responses 1'!$F$2:$F$2604,""))</f>
        <v>Nibel. M. 693/ Segala Mider</v>
      </c>
      <c r="I640" s="44" t="str">
        <f t="array" ref="I640">IF(B640="","",_xlfn.XLOOKUP(B640,'Form responses 1'!$B$2:$B$2604,'Form responses 1'!$I$2:$I$2604,""))</f>
        <v>Segala Mider</v>
      </c>
      <c r="J640" s="44" t="str">
        <f t="array" ref="J640">IF(B640="","",_xlfn.XLOOKUP(B640,'Form responses 1'!$B$2:$B$2604,'Form responses 1'!$G$2:$G$2604,""))</f>
        <v>Rapita</v>
      </c>
      <c r="K640" s="41" t="s">
        <v>1233</v>
      </c>
      <c r="L640" s="52">
        <f t="shared" si="7"/>
        <v>45602.58897</v>
      </c>
      <c r="M640" s="49"/>
      <c r="N640" s="49"/>
      <c r="O640" s="49"/>
      <c r="P640" s="49"/>
      <c r="Q640" s="49"/>
      <c r="R640" s="49"/>
      <c r="S640" s="49"/>
      <c r="T640" s="49"/>
      <c r="U640" s="49"/>
      <c r="V640" s="49"/>
      <c r="W640" s="41" t="s">
        <v>618</v>
      </c>
      <c r="X640" s="46">
        <f t="shared" si="5"/>
        <v>45602.59289</v>
      </c>
      <c r="Y640" s="50" t="s">
        <v>482</v>
      </c>
      <c r="Z640" s="49">
        <f t="shared" si="6"/>
        <v>0</v>
      </c>
    </row>
    <row r="641" ht="22.5" customHeight="1">
      <c r="B641" s="41" t="s">
        <v>3713</v>
      </c>
      <c r="C641" s="43">
        <f t="array" ref="C641">IF(B641="","",_xlfn.XLOOKUP(B641,'Form responses 1'!$B$2:$B$2604,'Form responses 1'!$A$2:$A$2604,""))</f>
        <v>45601.63852</v>
      </c>
      <c r="D641" s="44" t="str">
        <f t="shared" si="3"/>
        <v>K/65/051124/2_45601.6385237269</v>
      </c>
      <c r="E641" s="44" t="str">
        <f t="array" ref="E641">IF(B641="","",_xlfn.XLOOKUP(B641,'Form responses 1'!$B$2:$B$2604,'Form responses 1'!$C$2:$C$2604,""))</f>
        <v>deni atika</v>
      </c>
      <c r="F641" s="44" t="str">
        <f t="array" ref="F641">IF(B641="","",_xlfn.XLOOKUP(B641,'Form responses 1'!$B$2:$B$2604,'Form responses 1'!$D$2:$D$2604,""))</f>
        <v>085279717124</v>
      </c>
      <c r="G641" s="44" t="str">
        <f t="array" ref="G641">IF(B641="","",_xlfn.XLOOKUP(B641,'Form responses 1'!$B$2:$B$2604,'Form responses 1'!$E$2:$E$2604,""))</f>
        <v>PTPGT PEMECHAN</v>
      </c>
      <c r="H641" s="44" t="str">
        <f t="array" ref="H641">IF(B641="","",_xlfn.XLOOKUP(B641,'Form responses 1'!$B$2:$B$2604,'Form responses 1'!$F$2:$F$2604,""))</f>
        <v>M. 3787/ rajabasa jaya</v>
      </c>
      <c r="I641" s="44" t="str">
        <f t="array" ref="I641">IF(B641="","",_xlfn.XLOOKUP(B641,'Form responses 1'!$B$2:$B$2604,'Form responses 1'!$I$2:$I$2604,""))</f>
        <v>rajabasa jaya</v>
      </c>
      <c r="J641" s="44" t="str">
        <f t="array" ref="J641">IF(B641="","",_xlfn.XLOOKUP(B641,'Form responses 1'!$B$2:$B$2604,'Form responses 1'!$G$2:$G$2604,""))</f>
        <v>Hananda</v>
      </c>
      <c r="K641" s="41" t="s">
        <v>2875</v>
      </c>
      <c r="L641" s="52">
        <f t="shared" si="7"/>
        <v>45602.59712</v>
      </c>
      <c r="M641" s="49"/>
      <c r="N641" s="49"/>
      <c r="O641" s="49"/>
      <c r="P641" s="49"/>
      <c r="Q641" s="49"/>
      <c r="R641" s="49"/>
      <c r="S641" s="49"/>
      <c r="T641" s="49"/>
      <c r="U641" s="49"/>
      <c r="V641" s="49"/>
      <c r="W641" s="41" t="s">
        <v>618</v>
      </c>
      <c r="X641" s="46">
        <f t="shared" si="5"/>
        <v>45602.59717</v>
      </c>
      <c r="Y641" s="50" t="s">
        <v>482</v>
      </c>
      <c r="Z641" s="49">
        <f t="shared" si="6"/>
        <v>0</v>
      </c>
    </row>
    <row r="642" ht="22.5" customHeight="1">
      <c r="B642" s="41" t="s">
        <v>3602</v>
      </c>
      <c r="C642" s="43">
        <f t="array" ref="C642">IF(B642="","",_xlfn.XLOOKUP(B642,'Form responses 1'!$B$2:$B$2604,'Form responses 1'!$A$2:$A$2604,""))</f>
        <v>45601.49158</v>
      </c>
      <c r="D642" s="44" t="str">
        <f t="shared" si="3"/>
        <v>L/33/051124/1_45601.4915801157</v>
      </c>
      <c r="E642" s="44" t="str">
        <f t="array" ref="E642">IF(B642="","",_xlfn.XLOOKUP(B642,'Form responses 1'!$B$2:$B$2604,'Form responses 1'!$C$2:$C$2604,""))</f>
        <v>EMY MARSINEM</v>
      </c>
      <c r="F642" s="44" t="str">
        <f t="array" ref="F642">IF(B642="","",_xlfn.XLOOKUP(B642,'Form responses 1'!$B$2:$B$2604,'Form responses 1'!$D$2:$D$2604,""))</f>
        <v>081272529928</v>
      </c>
      <c r="G642" s="44" t="str">
        <f t="array" ref="G642">IF(B642="","",_xlfn.XLOOKUP(B642,'Form responses 1'!$B$2:$B$2604,'Form responses 1'!$E$2:$E$2604,""))</f>
        <v>SERTIPIKAT PENGGANTI KARENA HILANG</v>
      </c>
      <c r="H642" s="44" t="str">
        <f t="array" ref="H642">IF(B642="","",_xlfn.XLOOKUP(B642,'Form responses 1'!$B$2:$B$2604,'Form responses 1'!$F$2:$F$2604,""))</f>
        <v>M.154/SUSUNAN BARU</v>
      </c>
      <c r="I642" s="44" t="str">
        <f t="array" ref="I642">IF(B642="","",_xlfn.XLOOKUP(B642,'Form responses 1'!$B$2:$B$2604,'Form responses 1'!$I$2:$I$2604,""))</f>
        <v>M.154/SUSUNAN BARU</v>
      </c>
      <c r="J642" s="44" t="str">
        <f t="array" ref="J642">IF(B642="","",_xlfn.XLOOKUP(B642,'Form responses 1'!$B$2:$B$2604,'Form responses 1'!$G$2:$G$2604,""))</f>
        <v>Deby</v>
      </c>
      <c r="K642" s="41" t="s">
        <v>2421</v>
      </c>
      <c r="L642" s="52">
        <f t="shared" si="7"/>
        <v>45602.59862</v>
      </c>
      <c r="N642" s="49"/>
      <c r="O642" s="49"/>
      <c r="P642" s="49"/>
      <c r="Q642" s="49"/>
      <c r="R642" s="49"/>
      <c r="S642" s="49"/>
      <c r="T642" s="49"/>
      <c r="U642" s="49"/>
      <c r="V642" s="49"/>
      <c r="W642" s="41"/>
      <c r="X642" s="51" t="str">
        <f t="shared" si="5"/>
        <v/>
      </c>
      <c r="Y642" s="50" t="s">
        <v>482</v>
      </c>
      <c r="Z642" s="49">
        <f t="shared" si="6"/>
        <v>0</v>
      </c>
    </row>
    <row r="643" ht="22.5" customHeight="1">
      <c r="B643" s="41" t="s">
        <v>3566</v>
      </c>
      <c r="C643" s="43">
        <f t="array" ref="C643">IF(B643="","",_xlfn.XLOOKUP(B643,'Form responses 1'!$B$2:$B$2604,'Form responses 1'!$A$2:$A$2604,""))</f>
        <v>45601.4656</v>
      </c>
      <c r="D643" s="44" t="str">
        <f t="shared" si="3"/>
        <v>K/23/051124/1_45601.4655996412</v>
      </c>
      <c r="E643" s="44" t="str">
        <f t="array" ref="E643">IF(B643="","",_xlfn.XLOOKUP(B643,'Form responses 1'!$B$2:$B$2604,'Form responses 1'!$C$2:$C$2604,""))</f>
        <v>WHINDA Y/ SOEWONDO</v>
      </c>
      <c r="F643" s="44" t="str">
        <f t="array" ref="F643">IF(B643="","",_xlfn.XLOOKUP(B643,'Form responses 1'!$B$2:$B$2604,'Form responses 1'!$D$2:$D$2604,""))</f>
        <v>089636904479</v>
      </c>
      <c r="G643" s="44" t="str">
        <f t="array" ref="G643">IF(B643="","",_xlfn.XLOOKUP(B643,'Form responses 1'!$B$2:$B$2604,'Form responses 1'!$E$2:$E$2604,""))</f>
        <v>BN JUAL BELI</v>
      </c>
      <c r="H643" s="44" t="str">
        <f t="array" ref="H643">IF(B643="","",_xlfn.XLOOKUP(B643,'Form responses 1'!$B$2:$B$2604,'Form responses 1'!$F$2:$F$2604,""))</f>
        <v>Nibel 641/ Gunung Sulah</v>
      </c>
      <c r="I643" s="44" t="str">
        <f t="array" ref="I643">IF(B643="","",_xlfn.XLOOKUP(B643,'Form responses 1'!$B$2:$B$2604,'Form responses 1'!$I$2:$I$2604,""))</f>
        <v>Gunung Sulah</v>
      </c>
      <c r="J643" s="44" t="str">
        <f t="array" ref="J643">IF(B643="","",_xlfn.XLOOKUP(B643,'Form responses 1'!$B$2:$B$2604,'Form responses 1'!$G$2:$G$2604,""))</f>
        <v>Hananda</v>
      </c>
      <c r="K643" s="41" t="s">
        <v>2421</v>
      </c>
      <c r="L643" s="52">
        <f t="shared" si="7"/>
        <v>45602.59882</v>
      </c>
      <c r="M643" s="47" t="s">
        <v>5569</v>
      </c>
      <c r="N643" s="49"/>
      <c r="O643" s="49"/>
      <c r="P643" s="49"/>
      <c r="Q643" s="49"/>
      <c r="R643" s="49"/>
      <c r="S643" s="49"/>
      <c r="T643" s="49"/>
      <c r="U643" s="49"/>
      <c r="V643" s="49"/>
      <c r="W643" s="41" t="s">
        <v>618</v>
      </c>
      <c r="X643" s="46">
        <f t="shared" si="5"/>
        <v>45608.44953</v>
      </c>
      <c r="Y643" s="50" t="s">
        <v>482</v>
      </c>
      <c r="Z643" s="49">
        <f t="shared" si="6"/>
        <v>1</v>
      </c>
    </row>
    <row r="644" ht="22.5" customHeight="1">
      <c r="B644" s="41" t="s">
        <v>3547</v>
      </c>
      <c r="C644" s="43">
        <f t="array" ref="C644">IF(B644="","",_xlfn.XLOOKUP(B644,'Form responses 1'!$B$2:$B$2604,'Form responses 1'!$A$2:$A$2604,""))</f>
        <v>45601.45361</v>
      </c>
      <c r="D644" s="44" t="str">
        <f t="shared" si="3"/>
        <v>L/18/051124/1_45601.4536083565</v>
      </c>
      <c r="E644" s="44" t="str">
        <f t="array" ref="E644">IF(B644="","",_xlfn.XLOOKUP(B644,'Form responses 1'!$B$2:$B$2604,'Form responses 1'!$C$2:$C$2604,""))</f>
        <v>ANDRI NOPIRIANTO</v>
      </c>
      <c r="F644" s="44" t="str">
        <f t="array" ref="F644">IF(B644="","",_xlfn.XLOOKUP(B644,'Form responses 1'!$B$2:$B$2604,'Form responses 1'!$D$2:$D$2604,""))</f>
        <v>081368284621</v>
      </c>
      <c r="G644" s="44" t="str">
        <f t="array" ref="G644">IF(B644="","",_xlfn.XLOOKUP(B644,'Form responses 1'!$B$2:$B$2604,'Form responses 1'!$E$2:$E$2604,""))</f>
        <v>ROYA</v>
      </c>
      <c r="H644" s="44" t="str">
        <f t="array" ref="H644">IF(B644="","",_xlfn.XLOOKUP(B644,'Form responses 1'!$B$2:$B$2604,'Form responses 1'!$F$2:$F$2604,""))</f>
        <v>M.4410/BERINGIN RAYA</v>
      </c>
      <c r="I644" s="44" t="str">
        <f t="array" ref="I644">IF(B644="","",_xlfn.XLOOKUP(B644,'Form responses 1'!$B$2:$B$2604,'Form responses 1'!$I$2:$I$2604,""))</f>
        <v>BERINGIN RAYA</v>
      </c>
      <c r="J644" s="44" t="str">
        <f t="array" ref="J644">IF(B644="","",_xlfn.XLOOKUP(B644,'Form responses 1'!$B$2:$B$2604,'Form responses 1'!$G$2:$G$2604,""))</f>
        <v>Deby</v>
      </c>
      <c r="K644" s="41" t="s">
        <v>2421</v>
      </c>
      <c r="L644" s="52">
        <f t="shared" si="7"/>
        <v>45602.59904</v>
      </c>
      <c r="M644" s="49"/>
      <c r="N644" s="49"/>
      <c r="O644" s="49"/>
      <c r="P644" s="49"/>
      <c r="Q644" s="49"/>
      <c r="R644" s="49"/>
      <c r="S644" s="49"/>
      <c r="T644" s="49"/>
      <c r="U644" s="49"/>
      <c r="V644" s="49"/>
      <c r="W644" s="41" t="s">
        <v>618</v>
      </c>
      <c r="X644" s="46">
        <f t="shared" si="5"/>
        <v>45602.63104</v>
      </c>
      <c r="Y644" s="50" t="s">
        <v>482</v>
      </c>
      <c r="Z644" s="49">
        <f t="shared" si="6"/>
        <v>0</v>
      </c>
    </row>
    <row r="645" ht="22.5" customHeight="1">
      <c r="B645" s="41" t="s">
        <v>3665</v>
      </c>
      <c r="C645" s="43">
        <f t="array" ref="C645">IF(B645="","",_xlfn.XLOOKUP(B645,'Form responses 1'!$B$2:$B$2604,'Form responses 1'!$A$2:$A$2604,""))</f>
        <v>45601.59381</v>
      </c>
      <c r="D645" s="44" t="str">
        <f t="shared" si="3"/>
        <v>K/53/051124/1_45601.5938110532</v>
      </c>
      <c r="E645" s="44" t="str">
        <f t="array" ref="E645">IF(B645="","",_xlfn.XLOOKUP(B645,'Form responses 1'!$B$2:$B$2604,'Form responses 1'!$C$2:$C$2604,""))</f>
        <v>ARPAN/WAHYUNI</v>
      </c>
      <c r="F645" s="44" t="str">
        <f t="array" ref="F645">IF(B645="","",_xlfn.XLOOKUP(B645,'Form responses 1'!$B$2:$B$2604,'Form responses 1'!$D$2:$D$2604,""))</f>
        <v>082288238139</v>
      </c>
      <c r="G645" s="44" t="str">
        <f t="array" ref="G645">IF(B645="","",_xlfn.XLOOKUP(B645,'Form responses 1'!$B$2:$B$2604,'Form responses 1'!$E$2:$E$2604,""))</f>
        <v>PTPGT</v>
      </c>
      <c r="H645" s="44" t="str">
        <f t="array" ref="H645">IF(B645="","",_xlfn.XLOOKUP(B645,'Form responses 1'!$B$2:$B$2604,'Form responses 1'!$F$2:$F$2604,""))</f>
        <v>M.344/BAKUNG</v>
      </c>
      <c r="I645" s="44" t="str">
        <f t="array" ref="I645">IF(B645="","",_xlfn.XLOOKUP(B645,'Form responses 1'!$B$2:$B$2604,'Form responses 1'!$I$2:$I$2604,""))</f>
        <v>BAKUNG</v>
      </c>
      <c r="J645" s="44" t="str">
        <f t="array" ref="J645">IF(B645="","",_xlfn.XLOOKUP(B645,'Form responses 1'!$B$2:$B$2604,'Form responses 1'!$G$2:$G$2604,""))</f>
        <v>Baynur</v>
      </c>
      <c r="K645" s="41" t="s">
        <v>2421</v>
      </c>
      <c r="L645" s="52">
        <f t="shared" si="7"/>
        <v>45602.59917</v>
      </c>
      <c r="M645" s="47" t="s">
        <v>5570</v>
      </c>
      <c r="N645" s="47" t="s">
        <v>5571</v>
      </c>
      <c r="O645" s="49"/>
      <c r="P645" s="49"/>
      <c r="Q645" s="49"/>
      <c r="R645" s="49"/>
      <c r="S645" s="49"/>
      <c r="T645" s="49"/>
      <c r="U645" s="49"/>
      <c r="V645" s="49"/>
      <c r="W645" s="41" t="s">
        <v>618</v>
      </c>
      <c r="X645" s="46">
        <f t="shared" si="5"/>
        <v>45603.64751</v>
      </c>
      <c r="Y645" s="50" t="s">
        <v>482</v>
      </c>
      <c r="Z645" s="49">
        <f t="shared" si="6"/>
        <v>2</v>
      </c>
    </row>
    <row r="646" ht="22.5" customHeight="1">
      <c r="B646" s="41" t="s">
        <v>3690</v>
      </c>
      <c r="C646" s="43">
        <f t="array" ref="C646">IF(B646="","",_xlfn.XLOOKUP(B646,'Form responses 1'!$B$2:$B$2604,'Form responses 1'!$A$2:$A$2604,""))</f>
        <v>45601.62787</v>
      </c>
      <c r="D646" s="44" t="str">
        <f t="shared" si="3"/>
        <v>K/59/051124/1_45601.6278723264</v>
      </c>
      <c r="E646" s="44" t="str">
        <f t="array" ref="E646">IF(B646="","",_xlfn.XLOOKUP(B646,'Form responses 1'!$B$2:$B$2604,'Form responses 1'!$C$2:$C$2604,""))</f>
        <v>ADES PIANA</v>
      </c>
      <c r="F646" s="44" t="str">
        <f t="array" ref="F646">IF(B646="","",_xlfn.XLOOKUP(B646,'Form responses 1'!$B$2:$B$2604,'Form responses 1'!$D$2:$D$2604,""))</f>
        <v>+62 821-7714-1515</v>
      </c>
      <c r="G646" s="44" t="str">
        <f t="array" ref="G646">IF(B646="","",_xlfn.XLOOKUP(B646,'Form responses 1'!$B$2:$B$2604,'Form responses 1'!$E$2:$E$2604,""))</f>
        <v>BN JUAL BELI</v>
      </c>
      <c r="H646" s="44" t="str">
        <f t="array" ref="H646">IF(B646="","",_xlfn.XLOOKUP(B646,'Form responses 1'!$B$2:$B$2604,'Form responses 1'!$F$2:$F$2604,""))</f>
        <v>Nibel 435/ Kemiling Permai</v>
      </c>
      <c r="I646" s="44" t="str">
        <f t="array" ref="I646">IF(B646="","",_xlfn.XLOOKUP(B646,'Form responses 1'!$B$2:$B$2604,'Form responses 1'!$I$2:$I$2604,""))</f>
        <v>Kemiling Permai</v>
      </c>
      <c r="J646" s="44" t="str">
        <f t="array" ref="J646">IF(B646="","",_xlfn.XLOOKUP(B646,'Form responses 1'!$B$2:$B$2604,'Form responses 1'!$G$2:$G$2604,""))</f>
        <v>Hananda</v>
      </c>
      <c r="K646" s="41" t="s">
        <v>2421</v>
      </c>
      <c r="L646" s="52">
        <f t="shared" si="7"/>
        <v>45602.59933</v>
      </c>
      <c r="M646" s="49"/>
      <c r="N646" s="49"/>
      <c r="O646" s="49"/>
      <c r="P646" s="49"/>
      <c r="Q646" s="49"/>
      <c r="R646" s="49"/>
      <c r="S646" s="49"/>
      <c r="T646" s="49"/>
      <c r="U646" s="49"/>
      <c r="V646" s="49"/>
      <c r="W646" s="41" t="s">
        <v>618</v>
      </c>
      <c r="X646" s="46">
        <f t="shared" si="5"/>
        <v>45603.60899</v>
      </c>
      <c r="Y646" s="50" t="s">
        <v>482</v>
      </c>
      <c r="Z646" s="49">
        <f t="shared" si="6"/>
        <v>0</v>
      </c>
    </row>
    <row r="647" ht="22.5" customHeight="1">
      <c r="B647" s="41" t="s">
        <v>3642</v>
      </c>
      <c r="C647" s="43">
        <f t="array" ref="C647">IF(B647="","",_xlfn.XLOOKUP(B647,'Form responses 1'!$B$2:$B$2604,'Form responses 1'!$A$2:$A$2604,""))</f>
        <v>45601.57795</v>
      </c>
      <c r="D647" s="44" t="str">
        <f t="shared" si="3"/>
        <v>K/44/051124/1_45601.5779499537</v>
      </c>
      <c r="E647" s="44" t="str">
        <f t="array" ref="E647">IF(B647="","",_xlfn.XLOOKUP(B647,'Form responses 1'!$B$2:$B$2604,'Form responses 1'!$C$2:$C$2604,""))</f>
        <v>MAIMUNAH CS/NOVALIA EKA PUTRI</v>
      </c>
      <c r="F647" s="44" t="str">
        <f t="array" ref="F647">IF(B647="","",_xlfn.XLOOKUP(B647,'Form responses 1'!$B$2:$B$2604,'Form responses 1'!$D$2:$D$2604,""))</f>
        <v>0896-4922-2167</v>
      </c>
      <c r="G647" s="44" t="str">
        <f t="array" ref="G647">IF(B647="","",_xlfn.XLOOKUP(B647,'Form responses 1'!$B$2:$B$2604,'Form responses 1'!$E$2:$E$2604,""))</f>
        <v>KEWARISAN</v>
      </c>
      <c r="H647" s="44" t="str">
        <f t="array" ref="H647">IF(B647="","",_xlfn.XLOOKUP(B647,'Form responses 1'!$B$2:$B$2604,'Form responses 1'!$F$2:$F$2604,""))</f>
        <v>M.3994/WAY KANDIS</v>
      </c>
      <c r="I647" s="44" t="str">
        <f t="array" ref="I647">IF(B647="","",_xlfn.XLOOKUP(B647,'Form responses 1'!$B$2:$B$2604,'Form responses 1'!$I$2:$I$2604,""))</f>
        <v>WAY KANDIS</v>
      </c>
      <c r="J647" s="44" t="str">
        <f t="array" ref="J647">IF(B647="","",_xlfn.XLOOKUP(B647,'Form responses 1'!$B$2:$B$2604,'Form responses 1'!$G$2:$G$2604,""))</f>
        <v>Baynur</v>
      </c>
      <c r="K647" s="41" t="s">
        <v>2421</v>
      </c>
      <c r="L647" s="52">
        <f t="shared" si="7"/>
        <v>45602.59998</v>
      </c>
      <c r="M647" s="47" t="s">
        <v>5502</v>
      </c>
      <c r="N647" s="47" t="s">
        <v>5503</v>
      </c>
      <c r="O647" s="47" t="s">
        <v>5572</v>
      </c>
      <c r="P647" s="49"/>
      <c r="Q647" s="49"/>
      <c r="R647" s="49"/>
      <c r="S647" s="49"/>
      <c r="T647" s="49"/>
      <c r="U647" s="49"/>
      <c r="V647" s="49"/>
      <c r="W647" s="41" t="s">
        <v>470</v>
      </c>
      <c r="X647" s="46">
        <f t="shared" si="5"/>
        <v>45603.64283</v>
      </c>
      <c r="Y647" s="50" t="s">
        <v>482</v>
      </c>
      <c r="Z647" s="49">
        <f t="shared" si="6"/>
        <v>3</v>
      </c>
    </row>
    <row r="648" ht="22.5" customHeight="1">
      <c r="B648" s="41" t="s">
        <v>3650</v>
      </c>
      <c r="C648" s="43">
        <f t="array" ref="C648">IF(B648="","",_xlfn.XLOOKUP(B648,'Form responses 1'!$B$2:$B$2604,'Form responses 1'!$A$2:$A$2604,""))</f>
        <v>45601.58715</v>
      </c>
      <c r="D648" s="44" t="str">
        <f t="shared" si="3"/>
        <v>K/46/051124/4_45601.5871457755</v>
      </c>
      <c r="E648" s="44" t="str">
        <f t="array" ref="E648">IF(B648="","",_xlfn.XLOOKUP(B648,'Form responses 1'!$B$2:$B$2604,'Form responses 1'!$C$2:$C$2604,""))</f>
        <v>BUDI KRISTIYANTO/HENDRI IR. MM</v>
      </c>
      <c r="F648" s="44" t="str">
        <f t="array" ref="F648">IF(B648="","",_xlfn.XLOOKUP(B648,'Form responses 1'!$B$2:$B$2604,'Form responses 1'!$D$2:$D$2604,""))</f>
        <v>+62 858-6816-7367</v>
      </c>
      <c r="G648" s="44" t="str">
        <f t="array" ref="G648">IF(B648="","",_xlfn.XLOOKUP(B648,'Form responses 1'!$B$2:$B$2604,'Form responses 1'!$E$2:$E$2604,""))</f>
        <v>GANTI NAMA KREDITUR</v>
      </c>
      <c r="H648" s="44" t="str">
        <f t="array" ref="H648">IF(B648="","",_xlfn.XLOOKUP(B648,'Form responses 1'!$B$2:$B$2604,'Form responses 1'!$F$2:$F$2604,""))</f>
        <v>M.12226/SUKABUMI-SEKARANG;B.2222/SUKABUMI-DAHULU</v>
      </c>
      <c r="I648" s="44" t="str">
        <f t="array" ref="I648">IF(B648="","",_xlfn.XLOOKUP(B648,'Form responses 1'!$B$2:$B$2604,'Form responses 1'!$I$2:$I$2604,""))</f>
        <v>SUKABUMI</v>
      </c>
      <c r="J648" s="44" t="str">
        <f t="array" ref="J648">IF(B648="","",_xlfn.XLOOKUP(B648,'Form responses 1'!$B$2:$B$2604,'Form responses 1'!$G$2:$G$2604,""))</f>
        <v>Aisyah</v>
      </c>
      <c r="K648" s="41" t="s">
        <v>2421</v>
      </c>
      <c r="L648" s="52">
        <f t="shared" si="7"/>
        <v>45602.60001</v>
      </c>
      <c r="M648" s="49"/>
      <c r="N648" s="49"/>
      <c r="O648" s="49"/>
      <c r="P648" s="49"/>
      <c r="Q648" s="49"/>
      <c r="R648" s="49"/>
      <c r="S648" s="49"/>
      <c r="T648" s="49"/>
      <c r="U648" s="49"/>
      <c r="V648" s="49"/>
      <c r="W648" s="41" t="s">
        <v>618</v>
      </c>
      <c r="X648" s="46">
        <f t="shared" si="5"/>
        <v>45603.60468</v>
      </c>
      <c r="Y648" s="50" t="s">
        <v>482</v>
      </c>
      <c r="Z648" s="49">
        <f t="shared" si="6"/>
        <v>0</v>
      </c>
    </row>
    <row r="649" ht="22.5" customHeight="1">
      <c r="B649" s="41" t="s">
        <v>3612</v>
      </c>
      <c r="C649" s="43">
        <f t="array" ref="C649">IF(B649="","",_xlfn.XLOOKUP(B649,'Form responses 1'!$B$2:$B$2604,'Form responses 1'!$A$2:$A$2604,""))</f>
        <v>45601.55548</v>
      </c>
      <c r="D649" s="44" t="str">
        <f t="shared" si="3"/>
        <v>K/38/051124/1_45601.5554832755</v>
      </c>
      <c r="E649" s="44" t="str">
        <f t="array" ref="E649">IF(B649="","",_xlfn.XLOOKUP(B649,'Form responses 1'!$B$2:$B$2604,'Form responses 1'!$C$2:$C$2604,""))</f>
        <v>ZUHRI MUTTAQIN/RENALDI PRATAMA SIRYA</v>
      </c>
      <c r="F649" s="44" t="str">
        <f t="array" ref="F649">IF(B649="","",_xlfn.XLOOKUP(B649,'Form responses 1'!$B$2:$B$2604,'Form responses 1'!$D$2:$D$2604,""))</f>
        <v>0823-7375-9878</v>
      </c>
      <c r="G649" s="44" t="str">
        <f t="array" ref="G649">IF(B649="","",_xlfn.XLOOKUP(B649,'Form responses 1'!$B$2:$B$2604,'Form responses 1'!$E$2:$E$2604,""))</f>
        <v>BN JUAL BELI</v>
      </c>
      <c r="H649" s="44" t="str">
        <f t="array" ref="H649">IF(B649="","",_xlfn.XLOOKUP(B649,'Form responses 1'!$B$2:$B$2604,'Form responses 1'!$F$2:$F$2604,""))</f>
        <v>M.573/PERUMNAS WAY KANDIS-SEKARANG;B.419/WAY KANDIS </v>
      </c>
      <c r="I649" s="44" t="str">
        <f t="array" ref="I649">IF(B649="","",_xlfn.XLOOKUP(B649,'Form responses 1'!$B$2:$B$2604,'Form responses 1'!$I$2:$I$2604,""))</f>
        <v>PERUMNAS WAY KANDIS </v>
      </c>
      <c r="J649" s="44" t="str">
        <f t="array" ref="J649">IF(B649="","",_xlfn.XLOOKUP(B649,'Form responses 1'!$B$2:$B$2604,'Form responses 1'!$G$2:$G$2604,""))</f>
        <v>Baynur</v>
      </c>
      <c r="K649" s="41" t="s">
        <v>2421</v>
      </c>
      <c r="L649" s="52">
        <f t="shared" si="7"/>
        <v>45602.6002</v>
      </c>
      <c r="M649" s="49"/>
      <c r="N649" s="49"/>
      <c r="O649" s="49"/>
      <c r="P649" s="49"/>
      <c r="Q649" s="49"/>
      <c r="R649" s="49"/>
      <c r="S649" s="49"/>
      <c r="T649" s="49"/>
      <c r="U649" s="49"/>
      <c r="V649" s="49"/>
      <c r="W649" s="41" t="s">
        <v>618</v>
      </c>
      <c r="X649" s="46">
        <f t="shared" si="5"/>
        <v>45603.61765</v>
      </c>
      <c r="Y649" s="50" t="s">
        <v>482</v>
      </c>
      <c r="Z649" s="49">
        <f t="shared" si="6"/>
        <v>0</v>
      </c>
    </row>
    <row r="650" ht="22.5" customHeight="1">
      <c r="B650" s="41" t="s">
        <v>3539</v>
      </c>
      <c r="C650" s="43">
        <f t="array" ref="C650">IF(B650="","",_xlfn.XLOOKUP(B650,'Form responses 1'!$B$2:$B$2604,'Form responses 1'!$A$2:$A$2604,""))</f>
        <v>45601.43692</v>
      </c>
      <c r="D650" s="44" t="str">
        <f t="shared" si="3"/>
        <v>K/16/051124/1_45601.4369192014</v>
      </c>
      <c r="E650" s="44" t="str">
        <f t="array" ref="E650">IF(B650="","",_xlfn.XLOOKUP(B650,'Form responses 1'!$B$2:$B$2604,'Form responses 1'!$C$2:$C$2604,""))</f>
        <v>ANDI SUHARDI/RIZAL EFFENDI</v>
      </c>
      <c r="F650" s="44" t="str">
        <f t="array" ref="F650">IF(B650="","",_xlfn.XLOOKUP(B650,'Form responses 1'!$B$2:$B$2604,'Form responses 1'!$D$2:$D$2604,""))</f>
        <v>0813-6641-1971</v>
      </c>
      <c r="G650" s="44" t="str">
        <f t="array" ref="G650">IF(B650="","",_xlfn.XLOOKUP(B650,'Form responses 1'!$B$2:$B$2604,'Form responses 1'!$E$2:$E$2604,""))</f>
        <v>BN JUAL BELI</v>
      </c>
      <c r="H650" s="44" t="str">
        <f t="array" ref="H650">IF(B650="","",_xlfn.XLOOKUP(B650,'Form responses 1'!$B$2:$B$2604,'Form responses 1'!$F$2:$F$2604,""))</f>
        <v>M.6050/WAY KANDIS</v>
      </c>
      <c r="I650" s="44" t="str">
        <f t="array" ref="I650">IF(B650="","",_xlfn.XLOOKUP(B650,'Form responses 1'!$B$2:$B$2604,'Form responses 1'!$I$2:$I$2604,""))</f>
        <v>WAY KANDIS</v>
      </c>
      <c r="J650" s="44" t="str">
        <f t="array" ref="J650">IF(B650="","",_xlfn.XLOOKUP(B650,'Form responses 1'!$B$2:$B$2604,'Form responses 1'!$G$2:$G$2604,""))</f>
        <v>Baynur</v>
      </c>
      <c r="K650" s="41" t="s">
        <v>2421</v>
      </c>
      <c r="L650" s="52">
        <f t="shared" si="7"/>
        <v>45602.60039</v>
      </c>
      <c r="M650" s="49"/>
      <c r="N650" s="49"/>
      <c r="O650" s="49"/>
      <c r="P650" s="49"/>
      <c r="Q650" s="49"/>
      <c r="R650" s="49"/>
      <c r="S650" s="49"/>
      <c r="T650" s="49"/>
      <c r="U650" s="49"/>
      <c r="V650" s="49"/>
      <c r="W650" s="41" t="s">
        <v>618</v>
      </c>
      <c r="X650" s="46">
        <f t="shared" si="5"/>
        <v>45603.62674</v>
      </c>
      <c r="Y650" s="50" t="s">
        <v>482</v>
      </c>
      <c r="Z650" s="49">
        <f t="shared" si="6"/>
        <v>0</v>
      </c>
    </row>
    <row r="651" ht="22.5" customHeight="1">
      <c r="B651" s="41" t="s">
        <v>3659</v>
      </c>
      <c r="C651" s="43">
        <f t="array" ref="C651">IF(B651="","",_xlfn.XLOOKUP(B651,'Form responses 1'!$B$2:$B$2604,'Form responses 1'!$A$2:$A$2604,""))</f>
        <v>45601.59238</v>
      </c>
      <c r="D651" s="44" t="str">
        <f t="shared" si="3"/>
        <v>K/48/051124/1_45601.592384919</v>
      </c>
      <c r="E651" s="44" t="str">
        <f t="array" ref="E651">IF(B651="","",_xlfn.XLOOKUP(B651,'Form responses 1'!$B$2:$B$2604,'Form responses 1'!$C$2:$C$2604,""))</f>
        <v>M. Arief S/ Febriyant</v>
      </c>
      <c r="F651" s="44" t="str">
        <f t="array" ref="F651">IF(B651="","",_xlfn.XLOOKUP(B651,'Form responses 1'!$B$2:$B$2604,'Form responses 1'!$D$2:$D$2604,""))</f>
        <v>+62 853-5788-8886</v>
      </c>
      <c r="G651" s="44" t="str">
        <f t="array" ref="G651">IF(B651="","",_xlfn.XLOOKUP(B651,'Form responses 1'!$B$2:$B$2604,'Form responses 1'!$E$2:$E$2604,""))</f>
        <v>BN Jual Beli</v>
      </c>
      <c r="H651" s="44" t="str">
        <f t="array" ref="H651">IF(B651="","",_xlfn.XLOOKUP(B651,'Form responses 1'!$B$2:$B$2604,'Form responses 1'!$F$2:$F$2604,""))</f>
        <v>M. 2268/ Pinang Jaya</v>
      </c>
      <c r="I651" s="44" t="str">
        <f t="array" ref="I651">IF(B651="","",_xlfn.XLOOKUP(B651,'Form responses 1'!$B$2:$B$2604,'Form responses 1'!$I$2:$I$2604,""))</f>
        <v> Pinang Jaya</v>
      </c>
      <c r="J651" s="44" t="str">
        <f t="array" ref="J651">IF(B651="","",_xlfn.XLOOKUP(B651,'Form responses 1'!$B$2:$B$2604,'Form responses 1'!$G$2:$G$2604,""))</f>
        <v>Rapita</v>
      </c>
      <c r="K651" s="41" t="s">
        <v>2421</v>
      </c>
      <c r="L651" s="52">
        <f t="shared" si="7"/>
        <v>45602.60055</v>
      </c>
      <c r="M651" s="47" t="s">
        <v>5573</v>
      </c>
      <c r="N651" s="49"/>
      <c r="O651" s="49"/>
      <c r="P651" s="49"/>
      <c r="Q651" s="49"/>
      <c r="R651" s="49"/>
      <c r="S651" s="49"/>
      <c r="T651" s="49"/>
      <c r="U651" s="49"/>
      <c r="V651" s="49"/>
      <c r="W651" s="41" t="s">
        <v>618</v>
      </c>
      <c r="X651" s="46">
        <f t="shared" si="5"/>
        <v>45608.63895</v>
      </c>
      <c r="Y651" s="50" t="s">
        <v>482</v>
      </c>
      <c r="Z651" s="49">
        <f t="shared" si="6"/>
        <v>1</v>
      </c>
    </row>
    <row r="652" ht="22.5" customHeight="1">
      <c r="B652" s="41" t="s">
        <v>3445</v>
      </c>
      <c r="C652" s="43">
        <f t="array" ref="C652">IF(B652="","",_xlfn.XLOOKUP(B652,'Form responses 1'!$B$2:$B$2604,'Form responses 1'!$A$2:$A$2604,""))</f>
        <v>45600.60996</v>
      </c>
      <c r="D652" s="44" t="str">
        <f t="shared" si="3"/>
        <v>K/45/041124/1_45600.6099579051</v>
      </c>
      <c r="E652" s="44" t="str">
        <f t="array" ref="E652">IF(B652="","",_xlfn.XLOOKUP(B652,'Form responses 1'!$B$2:$B$2604,'Form responses 1'!$C$2:$C$2604,""))</f>
        <v>PERIU HALIM/ EVA SI=URIANI</v>
      </c>
      <c r="F652" s="44" t="str">
        <f t="array" ref="F652">IF(B652="","",_xlfn.XLOOKUP(B652,'Form responses 1'!$B$2:$B$2604,'Form responses 1'!$D$2:$D$2604,""))</f>
        <v>+62 811-724-041</v>
      </c>
      <c r="G652" s="44" t="str">
        <f t="array" ref="G652">IF(B652="","",_xlfn.XLOOKUP(B652,'Form responses 1'!$B$2:$B$2604,'Form responses 1'!$E$2:$E$2604,""))</f>
        <v>BN JUAL BELI</v>
      </c>
      <c r="H652" s="44" t="str">
        <f t="array" ref="H652">IF(B652="","",_xlfn.XLOOKUP(B652,'Form responses 1'!$B$2:$B$2604,'Form responses 1'!$F$2:$F$2604,""))</f>
        <v>B. 756/ Sumur Putri</v>
      </c>
      <c r="I652" s="44" t="str">
        <f t="array" ref="I652">IF(B652="","",_xlfn.XLOOKUP(B652,'Form responses 1'!$B$2:$B$2604,'Form responses 1'!$I$2:$I$2604,""))</f>
        <v>Sumur Putri</v>
      </c>
      <c r="J652" s="44" t="str">
        <f t="array" ref="J652">IF(B652="","",_xlfn.XLOOKUP(B652,'Form responses 1'!$B$2:$B$2604,'Form responses 1'!$G$2:$G$2604,""))</f>
        <v>Hananda</v>
      </c>
      <c r="K652" s="41" t="s">
        <v>1233</v>
      </c>
      <c r="L652" s="52">
        <f t="shared" si="7"/>
        <v>45602.60071</v>
      </c>
      <c r="M652" s="47" t="s">
        <v>5574</v>
      </c>
      <c r="N652" s="47" t="s">
        <v>5575</v>
      </c>
      <c r="O652" s="49"/>
      <c r="P652" s="49"/>
      <c r="Q652" s="49"/>
      <c r="R652" s="49"/>
      <c r="S652" s="49"/>
      <c r="T652" s="49"/>
      <c r="U652" s="49"/>
      <c r="V652" s="49"/>
      <c r="W652" s="41" t="s">
        <v>618</v>
      </c>
      <c r="X652" s="46">
        <f t="shared" si="5"/>
        <v>45607.65176</v>
      </c>
      <c r="Y652" s="50" t="s">
        <v>482</v>
      </c>
      <c r="Z652" s="49">
        <f t="shared" si="6"/>
        <v>2</v>
      </c>
    </row>
    <row r="653" ht="22.5" customHeight="1">
      <c r="B653" s="41" t="s">
        <v>3709</v>
      </c>
      <c r="C653" s="43">
        <f t="array" ref="C653">IF(B653="","",_xlfn.XLOOKUP(B653,'Form responses 1'!$B$2:$B$2604,'Form responses 1'!$A$2:$A$2604,""))</f>
        <v>45601.63726</v>
      </c>
      <c r="D653" s="44" t="str">
        <f t="shared" si="3"/>
        <v>K/64/051124/1_45601.6372579398</v>
      </c>
      <c r="E653" s="44" t="str">
        <f t="array" ref="E653">IF(B653="","",_xlfn.XLOOKUP(B653,'Form responses 1'!$B$2:$B$2604,'Form responses 1'!$C$2:$C$2604,""))</f>
        <v>DENI ATIKA</v>
      </c>
      <c r="F653" s="44" t="str">
        <f t="array" ref="F653">IF(B653="","",_xlfn.XLOOKUP(B653,'Form responses 1'!$B$2:$B$2604,'Form responses 1'!$D$2:$D$2604,""))</f>
        <v>0852797417124</v>
      </c>
      <c r="G653" s="44" t="str">
        <f t="array" ref="G653">IF(B653="","",_xlfn.XLOOKUP(B653,'Form responses 1'!$B$2:$B$2604,'Form responses 1'!$E$2:$E$2604,""))</f>
        <v>SKPT INFORMASI</v>
      </c>
      <c r="H653" s="44" t="str">
        <f t="array" ref="H653">IF(B653="","",_xlfn.XLOOKUP(B653,'Form responses 1'!$B$2:$B$2604,'Form responses 1'!$F$2:$F$2604,""))</f>
        <v>M. 11579/ Rajabasa</v>
      </c>
      <c r="I653" s="44" t="str">
        <f t="array" ref="I653">IF(B653="","",_xlfn.XLOOKUP(B653,'Form responses 1'!$B$2:$B$2604,'Form responses 1'!$I$2:$I$2604,""))</f>
        <v>Rajabasa</v>
      </c>
      <c r="J653" s="44" t="str">
        <f t="array" ref="J653">IF(B653="","",_xlfn.XLOOKUP(B653,'Form responses 1'!$B$2:$B$2604,'Form responses 1'!$G$2:$G$2604,""))</f>
        <v>Hananda</v>
      </c>
      <c r="K653" s="41" t="s">
        <v>1233</v>
      </c>
      <c r="L653" s="52">
        <f t="shared" si="7"/>
        <v>45602.61427</v>
      </c>
      <c r="M653" s="49"/>
      <c r="N653" s="49"/>
      <c r="O653" s="49"/>
      <c r="P653" s="49"/>
      <c r="Q653" s="49"/>
      <c r="R653" s="49"/>
      <c r="S653" s="49"/>
      <c r="T653" s="49"/>
      <c r="U653" s="49"/>
      <c r="V653" s="49"/>
      <c r="W653" s="41" t="s">
        <v>618</v>
      </c>
      <c r="X653" s="46">
        <f t="shared" si="5"/>
        <v>45603.41597</v>
      </c>
      <c r="Y653" s="50" t="s">
        <v>482</v>
      </c>
      <c r="Z653" s="49">
        <f t="shared" si="6"/>
        <v>0</v>
      </c>
    </row>
    <row r="654" ht="22.5" customHeight="1">
      <c r="B654" s="41" t="s">
        <v>3500</v>
      </c>
      <c r="C654" s="43">
        <f t="array" ref="C654">IF(B654="","",_xlfn.XLOOKUP(B654,'Form responses 1'!$B$2:$B$2604,'Form responses 1'!$A$2:$A$2604,""))</f>
        <v>45601.4115</v>
      </c>
      <c r="D654" s="44" t="str">
        <f t="shared" si="3"/>
        <v>L/8/051124/1_45601.411497581</v>
      </c>
      <c r="E654" s="44" t="str">
        <f t="array" ref="E654">IF(B654="","",_xlfn.XLOOKUP(B654,'Form responses 1'!$B$2:$B$2604,'Form responses 1'!$C$2:$C$2604,""))</f>
        <v>NUR BAIDI</v>
      </c>
      <c r="F654" s="44" t="str">
        <f t="array" ref="F654">IF(B654="","",_xlfn.XLOOKUP(B654,'Form responses 1'!$B$2:$B$2604,'Form responses 1'!$D$2:$D$2604,""))</f>
        <v>082176802586</v>
      </c>
      <c r="G654" s="44" t="str">
        <f t="array" ref="G654">IF(B654="","",_xlfn.XLOOKUP(B654,'Form responses 1'!$B$2:$B$2604,'Form responses 1'!$E$2:$E$2604,""))</f>
        <v>SERTIFIKAT PENGGANTI KARENA HILANG</v>
      </c>
      <c r="H654" s="44" t="str">
        <f t="array" ref="H654">IF(B654="","",_xlfn.XLOOKUP(B654,'Form responses 1'!$B$2:$B$2604,'Form responses 1'!$F$2:$F$2604,""))</f>
        <v>M.1311 /GUNUNG SULAH </v>
      </c>
      <c r="I654" s="44" t="str">
        <f t="array" ref="I654">IF(B654="","",_xlfn.XLOOKUP(B654,'Form responses 1'!$B$2:$B$2604,'Form responses 1'!$I$2:$I$2604,""))</f>
        <v>M.1311/GUNUNG SULAH</v>
      </c>
      <c r="J654" s="44" t="str">
        <f t="array" ref="J654">IF(B654="","",_xlfn.XLOOKUP(B654,'Form responses 1'!$B$2:$B$2604,'Form responses 1'!$G$2:$G$2604,""))</f>
        <v>Deby</v>
      </c>
      <c r="K654" s="41" t="s">
        <v>2875</v>
      </c>
      <c r="L654" s="52">
        <f t="shared" si="7"/>
        <v>45602.61767</v>
      </c>
      <c r="M654" s="47" t="s">
        <v>5576</v>
      </c>
      <c r="N654" s="49"/>
      <c r="O654" s="49"/>
      <c r="P654" s="49"/>
      <c r="Q654" s="49"/>
      <c r="R654" s="49"/>
      <c r="S654" s="49"/>
      <c r="T654" s="49"/>
      <c r="U654" s="49"/>
      <c r="V654" s="49"/>
      <c r="W654" s="41" t="s">
        <v>470</v>
      </c>
      <c r="X654" s="46">
        <f t="shared" si="5"/>
        <v>45602.61844</v>
      </c>
      <c r="Y654" s="50" t="s">
        <v>482</v>
      </c>
      <c r="Z654" s="49">
        <f t="shared" si="6"/>
        <v>1</v>
      </c>
    </row>
    <row r="655" ht="22.5" customHeight="1">
      <c r="B655" s="41" t="s">
        <v>3709</v>
      </c>
      <c r="C655" s="43">
        <f t="array" ref="C655">IF(B655="","",_xlfn.XLOOKUP(B655,'Form responses 1'!$B$2:$B$2604,'Form responses 1'!$A$2:$A$2604,""))</f>
        <v>45601.63726</v>
      </c>
      <c r="D655" s="44" t="str">
        <f t="shared" si="3"/>
        <v>K/64/051124/1_45601.6372579398</v>
      </c>
      <c r="E655" s="44" t="str">
        <f t="array" ref="E655">IF(B655="","",_xlfn.XLOOKUP(B655,'Form responses 1'!$B$2:$B$2604,'Form responses 1'!$C$2:$C$2604,""))</f>
        <v>DENI ATIKA</v>
      </c>
      <c r="F655" s="44" t="str">
        <f t="array" ref="F655">IF(B655="","",_xlfn.XLOOKUP(B655,'Form responses 1'!$B$2:$B$2604,'Form responses 1'!$D$2:$D$2604,""))</f>
        <v>0852797417124</v>
      </c>
      <c r="G655" s="44" t="str">
        <f t="array" ref="G655">IF(B655="","",_xlfn.XLOOKUP(B655,'Form responses 1'!$B$2:$B$2604,'Form responses 1'!$E$2:$E$2604,""))</f>
        <v>SKPT INFORMASI</v>
      </c>
      <c r="H655" s="44" t="str">
        <f t="array" ref="H655">IF(B655="","",_xlfn.XLOOKUP(B655,'Form responses 1'!$B$2:$B$2604,'Form responses 1'!$F$2:$F$2604,""))</f>
        <v>M. 11579/ Rajabasa</v>
      </c>
      <c r="I655" s="44" t="str">
        <f t="array" ref="I655">IF(B655="","",_xlfn.XLOOKUP(B655,'Form responses 1'!$B$2:$B$2604,'Form responses 1'!$I$2:$I$2604,""))</f>
        <v>Rajabasa</v>
      </c>
      <c r="J655" s="44" t="str">
        <f t="array" ref="J655">IF(B655="","",_xlfn.XLOOKUP(B655,'Form responses 1'!$B$2:$B$2604,'Form responses 1'!$G$2:$G$2604,""))</f>
        <v>Hananda</v>
      </c>
      <c r="K655" s="41" t="s">
        <v>1233</v>
      </c>
      <c r="L655" s="52">
        <f t="shared" si="7"/>
        <v>45602.61924</v>
      </c>
      <c r="M655" s="47" t="s">
        <v>5577</v>
      </c>
      <c r="N655" s="49"/>
      <c r="O655" s="49"/>
      <c r="P655" s="49"/>
      <c r="Q655" s="49"/>
      <c r="R655" s="49"/>
      <c r="S655" s="49"/>
      <c r="T655" s="49"/>
      <c r="U655" s="49"/>
      <c r="V655" s="49"/>
      <c r="W655" s="41" t="s">
        <v>470</v>
      </c>
      <c r="X655" s="46">
        <f t="shared" si="5"/>
        <v>45602.61946</v>
      </c>
      <c r="Y655" s="50" t="s">
        <v>482</v>
      </c>
      <c r="Z655" s="49">
        <f t="shared" si="6"/>
        <v>1</v>
      </c>
    </row>
    <row r="656" ht="22.5" customHeight="1">
      <c r="B656" s="41" t="s">
        <v>3580</v>
      </c>
      <c r="C656" s="43">
        <f t="array" ref="C656">IF(B656="","",_xlfn.XLOOKUP(B656,'Form responses 1'!$B$2:$B$2604,'Form responses 1'!$A$2:$A$2604,""))</f>
        <v>45601.47625</v>
      </c>
      <c r="D656" s="44" t="str">
        <f t="shared" si="3"/>
        <v>K/27/051124/2_45601.4762523958</v>
      </c>
      <c r="E656" s="44" t="str">
        <f t="array" ref="E656">IF(B656="","",_xlfn.XLOOKUP(B656,'Form responses 1'!$B$2:$B$2604,'Form responses 1'!$C$2:$C$2604,""))</f>
        <v>Evi Udin/ Sylvia W S Cs</v>
      </c>
      <c r="F656" s="44" t="str">
        <f t="array" ref="F656">IF(B656="","",_xlfn.XLOOKUP(B656,'Form responses 1'!$B$2:$B$2604,'Form responses 1'!$D$2:$D$2604,""))</f>
        <v>+62 821-8499-9559</v>
      </c>
      <c r="G656" s="44" t="str">
        <f t="array" ref="G656">IF(B656="","",_xlfn.XLOOKUP(B656,'Form responses 1'!$B$2:$B$2604,'Form responses 1'!$E$2:$E$2604,""))</f>
        <v>BN Waris</v>
      </c>
      <c r="H656" s="44" t="str">
        <f t="array" ref="H656">IF(B656="","",_xlfn.XLOOKUP(B656,'Form responses 1'!$B$2:$B$2604,'Form responses 1'!$F$2:$F$2604,""))</f>
        <v>M. 2693/ Sukadana Ham</v>
      </c>
      <c r="I656" s="44" t="str">
        <f t="array" ref="I656">IF(B656="","",_xlfn.XLOOKUP(B656,'Form responses 1'!$B$2:$B$2604,'Form responses 1'!$I$2:$I$2604,""))</f>
        <v>Sukadana Ham</v>
      </c>
      <c r="J656" s="44" t="str">
        <f t="array" ref="J656">IF(B656="","",_xlfn.XLOOKUP(B656,'Form responses 1'!$B$2:$B$2604,'Form responses 1'!$G$2:$G$2604,""))</f>
        <v>Rapita</v>
      </c>
      <c r="K656" s="41" t="s">
        <v>1233</v>
      </c>
      <c r="L656" s="52">
        <f t="shared" si="7"/>
        <v>45602.62814</v>
      </c>
      <c r="M656" s="49"/>
      <c r="N656" s="49"/>
      <c r="O656" s="49"/>
      <c r="P656" s="49"/>
      <c r="Q656" s="49"/>
      <c r="R656" s="49"/>
      <c r="S656" s="49"/>
      <c r="T656" s="49"/>
      <c r="U656" s="49"/>
      <c r="V656" s="49"/>
      <c r="W656" s="41" t="s">
        <v>618</v>
      </c>
      <c r="X656" s="46">
        <f t="shared" si="5"/>
        <v>45602.62824</v>
      </c>
      <c r="Y656" s="50" t="s">
        <v>482</v>
      </c>
      <c r="Z656" s="49">
        <f t="shared" si="6"/>
        <v>0</v>
      </c>
    </row>
    <row r="657" ht="22.5" customHeight="1">
      <c r="B657" s="41" t="s">
        <v>3587</v>
      </c>
      <c r="C657" s="43">
        <f t="array" ref="C657">IF(B657="","",_xlfn.XLOOKUP(B657,'Form responses 1'!$B$2:$B$2604,'Form responses 1'!$A$2:$A$2604,""))</f>
        <v>45601.47926</v>
      </c>
      <c r="D657" s="44" t="str">
        <f t="shared" si="3"/>
        <v>K/29/051124/4_45601.4792631019</v>
      </c>
      <c r="E657" s="44" t="str">
        <f t="array" ref="E657">IF(B657="","",_xlfn.XLOOKUP(B657,'Form responses 1'!$B$2:$B$2604,'Form responses 1'!$C$2:$C$2604,""))</f>
        <v>WHINDA y/ bUDI s</v>
      </c>
      <c r="F657" s="44" t="str">
        <f t="array" ref="F657">IF(B657="","",_xlfn.XLOOKUP(B657,'Form responses 1'!$B$2:$B$2604,'Form responses 1'!$D$2:$D$2604,""))</f>
        <v>089663904479</v>
      </c>
      <c r="G657" s="44" t="str">
        <f t="array" ref="G657">IF(B657="","",_xlfn.XLOOKUP(B657,'Form responses 1'!$B$2:$B$2604,'Form responses 1'!$E$2:$E$2604,""))</f>
        <v>BN JUAL BELI</v>
      </c>
      <c r="H657" s="44" t="str">
        <f t="array" ref="H657">IF(B657="","",_xlfn.XLOOKUP(B657,'Form responses 1'!$B$2:$B$2604,'Form responses 1'!$F$2:$F$2604,""))</f>
        <v>M. 168/ Bumi Raya</v>
      </c>
      <c r="I657" s="44" t="str">
        <f t="array" ref="I657">IF(B657="","",_xlfn.XLOOKUP(B657,'Form responses 1'!$B$2:$B$2604,'Form responses 1'!$I$2:$I$2604,""))</f>
        <v>Bumi Raya</v>
      </c>
      <c r="J657" s="44" t="str">
        <f t="array" ref="J657">IF(B657="","",_xlfn.XLOOKUP(B657,'Form responses 1'!$B$2:$B$2604,'Form responses 1'!$G$2:$G$2604,""))</f>
        <v>Hananda</v>
      </c>
      <c r="K657" s="41" t="s">
        <v>1233</v>
      </c>
      <c r="L657" s="52">
        <f t="shared" si="7"/>
        <v>45602.66063</v>
      </c>
      <c r="M657" s="49"/>
      <c r="N657" s="49"/>
      <c r="O657" s="49"/>
      <c r="P657" s="49"/>
      <c r="Q657" s="49"/>
      <c r="R657" s="49"/>
      <c r="S657" s="49"/>
      <c r="T657" s="49"/>
      <c r="U657" s="49"/>
      <c r="V657" s="49"/>
      <c r="W657" s="41" t="s">
        <v>618</v>
      </c>
      <c r="X657" s="46">
        <f t="shared" si="5"/>
        <v>45602.66067</v>
      </c>
      <c r="Y657" s="50" t="s">
        <v>482</v>
      </c>
      <c r="Z657" s="49">
        <f t="shared" si="6"/>
        <v>0</v>
      </c>
    </row>
    <row r="658" ht="22.5" customHeight="1">
      <c r="B658" s="41" t="s">
        <v>3706</v>
      </c>
      <c r="C658" s="43">
        <f t="array" ref="C658">IF(B658="","",_xlfn.XLOOKUP(B658,'Form responses 1'!$B$2:$B$2604,'Form responses 1'!$A$2:$A$2604,""))</f>
        <v>45601.63588</v>
      </c>
      <c r="D658" s="44" t="str">
        <f t="shared" si="3"/>
        <v>K/62/051124/4_45601.6358751968</v>
      </c>
      <c r="E658" s="44" t="str">
        <f t="array" ref="E658">IF(B658="","",_xlfn.XLOOKUP(B658,'Form responses 1'!$B$2:$B$2604,'Form responses 1'!$C$2:$C$2604,""))</f>
        <v>EDI/ NUR HAYATI</v>
      </c>
      <c r="F658" s="44" t="str">
        <f t="array" ref="F658">IF(B658="","",_xlfn.XLOOKUP(B658,'Form responses 1'!$B$2:$B$2604,'Form responses 1'!$D$2:$D$2604,""))</f>
        <v>08117222871</v>
      </c>
      <c r="G658" s="44" t="str">
        <f t="array" ref="G658">IF(B658="","",_xlfn.XLOOKUP(B658,'Form responses 1'!$B$2:$B$2604,'Form responses 1'!$E$2:$E$2604,""))</f>
        <v>BN JUAL BELI</v>
      </c>
      <c r="H658" s="44" t="str">
        <f t="array" ref="H658">IF(B658="","",_xlfn.XLOOKUP(B658,'Form responses 1'!$B$2:$B$2604,'Form responses 1'!$F$2:$F$2604,""))</f>
        <v>M. 12720/ Kedaton</v>
      </c>
      <c r="I658" s="44" t="str">
        <f t="array" ref="I658">IF(B658="","",_xlfn.XLOOKUP(B658,'Form responses 1'!$B$2:$B$2604,'Form responses 1'!$I$2:$I$2604,""))</f>
        <v> Kedaton</v>
      </c>
      <c r="J658" s="44" t="str">
        <f t="array" ref="J658">IF(B658="","",_xlfn.XLOOKUP(B658,'Form responses 1'!$B$2:$B$2604,'Form responses 1'!$G$2:$G$2604,""))</f>
        <v>Hananda</v>
      </c>
      <c r="K658" s="41" t="s">
        <v>1233</v>
      </c>
      <c r="L658" s="52">
        <f t="shared" si="7"/>
        <v>45602.68044</v>
      </c>
      <c r="M658" s="49"/>
      <c r="N658" s="49"/>
      <c r="O658" s="49"/>
      <c r="P658" s="49"/>
      <c r="Q658" s="49"/>
      <c r="R658" s="49"/>
      <c r="S658" s="49"/>
      <c r="T658" s="49"/>
      <c r="U658" s="49"/>
      <c r="V658" s="49"/>
      <c r="W658" s="41" t="s">
        <v>618</v>
      </c>
      <c r="X658" s="46">
        <f t="shared" si="5"/>
        <v>45602.68047</v>
      </c>
      <c r="Y658" s="50" t="s">
        <v>482</v>
      </c>
      <c r="Z658" s="49">
        <f t="shared" si="6"/>
        <v>0</v>
      </c>
    </row>
    <row r="659" ht="22.5" customHeight="1">
      <c r="B659" s="41" t="s">
        <v>3638</v>
      </c>
      <c r="C659" s="43">
        <f t="array" ref="C659">IF(B659="","",_xlfn.XLOOKUP(B659,'Form responses 1'!$B$2:$B$2604,'Form responses 1'!$A$2:$A$2604,""))</f>
        <v>45601.5717</v>
      </c>
      <c r="D659" s="44" t="str">
        <f t="shared" si="3"/>
        <v>K/43/051124/2_45601.5717005324</v>
      </c>
      <c r="E659" s="44" t="str">
        <f t="array" ref="E659">IF(B659="","",_xlfn.XLOOKUP(B659,'Form responses 1'!$B$2:$B$2604,'Form responses 1'!$C$2:$C$2604,""))</f>
        <v>RAHMADIYANTI</v>
      </c>
      <c r="F659" s="44" t="str">
        <f t="array" ref="F659">IF(B659="","",_xlfn.XLOOKUP(B659,'Form responses 1'!$B$2:$B$2604,'Form responses 1'!$D$2:$D$2604,""))</f>
        <v>+62 821-8209-0051</v>
      </c>
      <c r="G659" s="44" t="str">
        <f t="array" ref="G659">IF(B659="","",_xlfn.XLOOKUP(B659,'Form responses 1'!$B$2:$B$2604,'Form responses 1'!$E$2:$E$2604,""))</f>
        <v>BN Jual Beli</v>
      </c>
      <c r="H659" s="44" t="str">
        <f t="array" ref="H659">IF(B659="","",_xlfn.XLOOKUP(B659,'Form responses 1'!$B$2:$B$2604,'Form responses 1'!$F$2:$F$2604,""))</f>
        <v>M. 2660/ Sukarame Baru</v>
      </c>
      <c r="I659" s="44" t="str">
        <f t="array" ref="I659">IF(B659="","",_xlfn.XLOOKUP(B659,'Form responses 1'!$B$2:$B$2604,'Form responses 1'!$I$2:$I$2604,""))</f>
        <v> Sukarame Baru</v>
      </c>
      <c r="J659" s="44" t="str">
        <f t="array" ref="J659">IF(B659="","",_xlfn.XLOOKUP(B659,'Form responses 1'!$B$2:$B$2604,'Form responses 1'!$G$2:$G$2604,""))</f>
        <v>Hananda</v>
      </c>
      <c r="K659" s="41" t="s">
        <v>1233</v>
      </c>
      <c r="L659" s="52">
        <f t="shared" si="7"/>
        <v>45603.36073</v>
      </c>
      <c r="M659" s="47" t="s">
        <v>5578</v>
      </c>
      <c r="N659" s="49"/>
      <c r="O659" s="49"/>
      <c r="P659" s="49"/>
      <c r="Q659" s="49"/>
      <c r="R659" s="49"/>
      <c r="S659" s="49"/>
      <c r="T659" s="49"/>
      <c r="U659" s="49"/>
      <c r="V659" s="49"/>
      <c r="W659" s="41" t="s">
        <v>618</v>
      </c>
      <c r="X659" s="46">
        <f t="shared" si="5"/>
        <v>45607.65273</v>
      </c>
      <c r="Y659" s="50" t="s">
        <v>482</v>
      </c>
      <c r="Z659" s="49">
        <f t="shared" si="6"/>
        <v>1</v>
      </c>
    </row>
    <row r="660" ht="22.5" customHeight="1">
      <c r="B660" s="41" t="s">
        <v>509</v>
      </c>
      <c r="C660" s="43">
        <f t="array" ref="C660">IF(B660="","",_xlfn.XLOOKUP(B660,'Form responses 1'!$B$2:$B$2604,'Form responses 1'!$A$2:$A$2604,""))</f>
        <v>45580.61463</v>
      </c>
      <c r="D660" s="44" t="str">
        <f t="shared" si="3"/>
        <v>K/51/151024/1_45580.6146271991</v>
      </c>
      <c r="E660" s="44" t="str">
        <f t="array" ref="E660">IF(B660="","",_xlfn.XLOOKUP(B660,'Form responses 1'!$B$2:$B$2604,'Form responses 1'!$C$2:$C$2604,""))</f>
        <v>Rendy Renaldy/ Rusgani</v>
      </c>
      <c r="F660" s="44" t="str">
        <f t="array" ref="F660">IF(B660="","",_xlfn.XLOOKUP(B660,'Form responses 1'!$B$2:$B$2604,'Form responses 1'!$D$2:$D$2604,""))</f>
        <v>089508956656</v>
      </c>
      <c r="G660" s="44" t="str">
        <f t="array" ref="G660">IF(B660="","",_xlfn.XLOOKUP(B660,'Form responses 1'!$B$2:$B$2604,'Form responses 1'!$E$2:$E$2604,""))</f>
        <v>Gandes</v>
      </c>
      <c r="H660" s="44" t="str">
        <f t="array" ref="H660">IF(B660="","",_xlfn.XLOOKUP(B660,'Form responses 1'!$B$2:$B$2604,'Form responses 1'!$F$2:$F$2604,""))</f>
        <v>M. 2411/ Kota Karang</v>
      </c>
      <c r="I660" s="44" t="str">
        <f t="array" ref="I660">IF(B660="","",_xlfn.XLOOKUP(B660,'Form responses 1'!$B$2:$B$2604,'Form responses 1'!$I$2:$I$2604,""))</f>
        <v>Kota Karang</v>
      </c>
      <c r="J660" s="44" t="str">
        <f t="array" ref="J660">IF(B660="","",_xlfn.XLOOKUP(B660,'Form responses 1'!$B$2:$B$2604,'Form responses 1'!$G$2:$G$2604,""))</f>
        <v>Rapita</v>
      </c>
      <c r="K660" s="41" t="s">
        <v>1233</v>
      </c>
      <c r="L660" s="52">
        <f t="shared" si="7"/>
        <v>45603.37703</v>
      </c>
      <c r="M660" s="49"/>
      <c r="N660" s="49"/>
      <c r="O660" s="49"/>
      <c r="P660" s="49"/>
      <c r="Q660" s="49"/>
      <c r="R660" s="49"/>
      <c r="S660" s="49"/>
      <c r="T660" s="49"/>
      <c r="U660" s="49"/>
      <c r="V660" s="49"/>
      <c r="W660" s="41" t="s">
        <v>618</v>
      </c>
      <c r="X660" s="46">
        <f t="shared" si="5"/>
        <v>45603.37422</v>
      </c>
      <c r="Y660" s="50" t="s">
        <v>482</v>
      </c>
      <c r="Z660" s="49">
        <f t="shared" si="6"/>
        <v>0</v>
      </c>
    </row>
    <row r="661" ht="22.5" customHeight="1">
      <c r="B661" s="41" t="s">
        <v>3630</v>
      </c>
      <c r="C661" s="43">
        <f t="array" ref="C661">IF(B661="","",_xlfn.XLOOKUP(B661,'Form responses 1'!$B$2:$B$2604,'Form responses 1'!$A$2:$A$2604,""))</f>
        <v>45601.56811</v>
      </c>
      <c r="D661" s="44" t="str">
        <f t="shared" si="3"/>
        <v>K/40/051124/4_45601.568114456</v>
      </c>
      <c r="E661" s="44" t="str">
        <f t="array" ref="E661">IF(B661="","",_xlfn.XLOOKUP(B661,'Form responses 1'!$B$2:$B$2604,'Form responses 1'!$C$2:$C$2604,""))</f>
        <v>ABDI HARI/ ALEXANDER</v>
      </c>
      <c r="F661" s="44" t="str">
        <f t="array" ref="F661">IF(B661="","",_xlfn.XLOOKUP(B661,'Form responses 1'!$B$2:$B$2604,'Form responses 1'!$D$2:$D$2604,""))</f>
        <v>+62 813-6859-9886</v>
      </c>
      <c r="G661" s="44" t="str">
        <f t="array" ref="G661">IF(B661="","",_xlfn.XLOOKUP(B661,'Form responses 1'!$B$2:$B$2604,'Form responses 1'!$E$2:$E$2604,""))</f>
        <v>HAPUS BPHTB</v>
      </c>
      <c r="H661" s="44" t="str">
        <f t="array" ref="H661">IF(B661="","",_xlfn.XLOOKUP(B661,'Form responses 1'!$B$2:$B$2604,'Form responses 1'!$F$2:$F$2604,""))</f>
        <v>M. 1372/ RAJABASA RAYA</v>
      </c>
      <c r="I661" s="44" t="str">
        <f t="array" ref="I661">IF(B661="","",_xlfn.XLOOKUP(B661,'Form responses 1'!$B$2:$B$2604,'Form responses 1'!$I$2:$I$2604,""))</f>
        <v> RAJABASA RAYA</v>
      </c>
      <c r="J661" s="44" t="str">
        <f t="array" ref="J661">IF(B661="","",_xlfn.XLOOKUP(B661,'Form responses 1'!$B$2:$B$2604,'Form responses 1'!$G$2:$G$2604,""))</f>
        <v>Hananda</v>
      </c>
      <c r="K661" s="41" t="s">
        <v>1233</v>
      </c>
      <c r="L661" s="52">
        <f t="shared" si="7"/>
        <v>45603.37709</v>
      </c>
      <c r="M661" s="49"/>
      <c r="N661" s="49"/>
      <c r="O661" s="49"/>
      <c r="P661" s="49"/>
      <c r="Q661" s="49"/>
      <c r="R661" s="49"/>
      <c r="S661" s="49"/>
      <c r="T661" s="49"/>
      <c r="U661" s="49"/>
      <c r="V661" s="49"/>
      <c r="W661" s="41" t="s">
        <v>618</v>
      </c>
      <c r="X661" s="46">
        <f t="shared" si="5"/>
        <v>45603.37714</v>
      </c>
      <c r="Y661" s="50" t="s">
        <v>482</v>
      </c>
      <c r="Z661" s="49">
        <f t="shared" si="6"/>
        <v>0</v>
      </c>
    </row>
    <row r="662" ht="22.5" customHeight="1">
      <c r="B662" s="41" t="s">
        <v>3654</v>
      </c>
      <c r="C662" s="43">
        <f t="array" ref="C662">IF(B662="","",_xlfn.XLOOKUP(B662,'Form responses 1'!$B$2:$B$2604,'Form responses 1'!$A$2:$A$2604,""))</f>
        <v>45601.59003</v>
      </c>
      <c r="D662" s="44" t="str">
        <f t="shared" si="3"/>
        <v>L/49/051124/1_45601.5900340278</v>
      </c>
      <c r="E662" s="44" t="str">
        <f t="array" ref="E662">IF(B662="","",_xlfn.XLOOKUP(B662,'Form responses 1'!$B$2:$B$2604,'Form responses 1'!$C$2:$C$2604,""))</f>
        <v>ZAINAL</v>
      </c>
      <c r="F662" s="44" t="str">
        <f t="array" ref="F662">IF(B662="","",_xlfn.XLOOKUP(B662,'Form responses 1'!$B$2:$B$2604,'Form responses 1'!$D$2:$D$2604,""))</f>
        <v>08979740551</v>
      </c>
      <c r="G662" s="44" t="str">
        <f t="array" ref="G662">IF(B662="","",_xlfn.XLOOKUP(B662,'Form responses 1'!$B$2:$B$2604,'Form responses 1'!$E$2:$E$2604,""))</f>
        <v>ROYA</v>
      </c>
      <c r="H662" s="44" t="str">
        <f t="array" ref="H662">IF(B662="","",_xlfn.XLOOKUP(B662,'Form responses 1'!$B$2:$B$2604,'Form responses 1'!$F$2:$F$2604,""))</f>
        <v>M.1669/KALIAWI</v>
      </c>
      <c r="I662" s="44" t="str">
        <f t="array" ref="I662">IF(B662="","",_xlfn.XLOOKUP(B662,'Form responses 1'!$B$2:$B$2604,'Form responses 1'!$I$2:$I$2604,""))</f>
        <v>KALIAWI</v>
      </c>
      <c r="J662" s="44" t="str">
        <f t="array" ref="J662">IF(B662="","",_xlfn.XLOOKUP(B662,'Form responses 1'!$B$2:$B$2604,'Form responses 1'!$G$2:$G$2604,""))</f>
        <v>Deby</v>
      </c>
      <c r="K662" s="41" t="s">
        <v>1233</v>
      </c>
      <c r="L662" s="52">
        <f t="shared" si="7"/>
        <v>45603.37806</v>
      </c>
      <c r="M662" s="47" t="s">
        <v>5579</v>
      </c>
      <c r="N662" s="47" t="s">
        <v>5546</v>
      </c>
      <c r="O662" s="49"/>
      <c r="P662" s="49"/>
      <c r="Q662" s="49"/>
      <c r="R662" s="49"/>
      <c r="S662" s="49"/>
      <c r="T662" s="49"/>
      <c r="U662" s="49"/>
      <c r="V662" s="49"/>
      <c r="W662" s="41" t="s">
        <v>618</v>
      </c>
      <c r="X662" s="46">
        <f t="shared" si="5"/>
        <v>45607.36864</v>
      </c>
      <c r="Y662" s="50" t="s">
        <v>482</v>
      </c>
      <c r="Z662" s="49">
        <f t="shared" si="6"/>
        <v>2</v>
      </c>
    </row>
    <row r="663" ht="22.5" customHeight="1">
      <c r="B663" s="41" t="s">
        <v>3683</v>
      </c>
      <c r="C663" s="43">
        <f t="array" ref="C663">IF(B663="","",_xlfn.XLOOKUP(B663,'Form responses 1'!$B$2:$B$2604,'Form responses 1'!$A$2:$A$2604,""))</f>
        <v>45601.62225</v>
      </c>
      <c r="D663" s="44" t="str">
        <f t="shared" si="3"/>
        <v>K/56/051124/1_45601.6222468519</v>
      </c>
      <c r="E663" s="44" t="str">
        <f t="array" ref="E663">IF(B663="","",_xlfn.XLOOKUP(B663,'Form responses 1'!$B$2:$B$2604,'Form responses 1'!$C$2:$C$2604,""))</f>
        <v>Elvan Sius S/ Marianus S</v>
      </c>
      <c r="F663" s="44" t="str">
        <f t="array" ref="F663">IF(B663="","",_xlfn.XLOOKUP(B663,'Form responses 1'!$B$2:$B$2604,'Form responses 1'!$D$2:$D$2604,""))</f>
        <v>085709443520</v>
      </c>
      <c r="G663" s="44" t="str">
        <f t="array" ref="G663">IF(B663="","",_xlfn.XLOOKUP(B663,'Form responses 1'!$B$2:$B$2604,'Form responses 1'!$E$2:$E$2604,""))</f>
        <v>BN Jual Beli</v>
      </c>
      <c r="H663" s="44" t="str">
        <f t="array" ref="H663">IF(B663="","",_xlfn.XLOOKUP(B663,'Form responses 1'!$B$2:$B$2604,'Form responses 1'!$F$2:$F$2604,""))</f>
        <v>Nibel. M. 1926/ Keteguhan</v>
      </c>
      <c r="I663" s="44" t="str">
        <f t="array" ref="I663">IF(B663="","",_xlfn.XLOOKUP(B663,'Form responses 1'!$B$2:$B$2604,'Form responses 1'!$I$2:$I$2604,""))</f>
        <v>Keteguhan</v>
      </c>
      <c r="J663" s="44" t="str">
        <f t="array" ref="J663">IF(B663="","",_xlfn.XLOOKUP(B663,'Form responses 1'!$B$2:$B$2604,'Form responses 1'!$G$2:$G$2604,""))</f>
        <v>Rapita</v>
      </c>
      <c r="K663" s="41" t="s">
        <v>1233</v>
      </c>
      <c r="L663" s="52">
        <f t="shared" si="7"/>
        <v>45603.38724</v>
      </c>
      <c r="M663" s="49"/>
      <c r="N663" s="49"/>
      <c r="O663" s="49"/>
      <c r="P663" s="49"/>
      <c r="Q663" s="49"/>
      <c r="R663" s="49"/>
      <c r="S663" s="49"/>
      <c r="T663" s="49"/>
      <c r="U663" s="49"/>
      <c r="V663" s="49"/>
      <c r="W663" s="41" t="s">
        <v>618</v>
      </c>
      <c r="X663" s="46">
        <f t="shared" si="5"/>
        <v>45603.38728</v>
      </c>
      <c r="Y663" s="50" t="s">
        <v>482</v>
      </c>
      <c r="Z663" s="49">
        <f t="shared" si="6"/>
        <v>0</v>
      </c>
    </row>
    <row r="664" ht="22.5" customHeight="1">
      <c r="B664" s="41" t="s">
        <v>3486</v>
      </c>
      <c r="C664" s="43">
        <f t="array" ref="C664">IF(B664="","",_xlfn.XLOOKUP(B664,'Form responses 1'!$B$2:$B$2604,'Form responses 1'!$A$2:$A$2604,""))</f>
        <v>45601.39872</v>
      </c>
      <c r="D664" s="44" t="str">
        <f t="shared" si="3"/>
        <v>K/3/051124/3_45601.398717581</v>
      </c>
      <c r="E664" s="44" t="str">
        <f t="array" ref="E664">IF(B664="","",_xlfn.XLOOKUP(B664,'Form responses 1'!$B$2:$B$2604,'Form responses 1'!$C$2:$C$2604,""))</f>
        <v>NOVI ETRISIA/RENALDI PRATAMA SIRYA</v>
      </c>
      <c r="F664" s="44" t="str">
        <f t="array" ref="F664">IF(B664="","",_xlfn.XLOOKUP(B664,'Form responses 1'!$B$2:$B$2604,'Form responses 1'!$D$2:$D$2604,""))</f>
        <v>0823-7375-9878</v>
      </c>
      <c r="G664" s="44" t="str">
        <f t="array" ref="G664">IF(B664="","",_xlfn.XLOOKUP(B664,'Form responses 1'!$B$2:$B$2604,'Form responses 1'!$E$2:$E$2604,""))</f>
        <v>BN JUAL BELI</v>
      </c>
      <c r="H664" s="44" t="str">
        <f t="array" ref="H664">IF(B664="","",_xlfn.XLOOKUP(B664,'Form responses 1'!$B$2:$B$2604,'Form responses 1'!$F$2:$F$2604,""))</f>
        <v>M.1524/RAJABASA JAYA</v>
      </c>
      <c r="I664" s="44" t="str">
        <f t="array" ref="I664">IF(B664="","",_xlfn.XLOOKUP(B664,'Form responses 1'!$B$2:$B$2604,'Form responses 1'!$I$2:$I$2604,""))</f>
        <v>RAJABASA JAYA</v>
      </c>
      <c r="J664" s="44" t="str">
        <f t="array" ref="J664">IF(B664="","",_xlfn.XLOOKUP(B664,'Form responses 1'!$B$2:$B$2604,'Form responses 1'!$G$2:$G$2604,""))</f>
        <v>Baynur</v>
      </c>
      <c r="K664" s="41" t="s">
        <v>1233</v>
      </c>
      <c r="L664" s="52">
        <f t="shared" si="7"/>
        <v>45603.39325</v>
      </c>
      <c r="M664" s="47"/>
      <c r="N664" s="49"/>
      <c r="O664" s="49"/>
      <c r="P664" s="49"/>
      <c r="Q664" s="49"/>
      <c r="R664" s="49"/>
      <c r="S664" s="49"/>
      <c r="T664" s="49"/>
      <c r="U664" s="49"/>
      <c r="V664" s="49"/>
      <c r="W664" s="41" t="s">
        <v>618</v>
      </c>
      <c r="X664" s="46">
        <f t="shared" si="5"/>
        <v>45603.39332</v>
      </c>
      <c r="Y664" s="50" t="s">
        <v>482</v>
      </c>
      <c r="Z664" s="49">
        <f t="shared" si="6"/>
        <v>0</v>
      </c>
    </row>
    <row r="665" ht="22.5" customHeight="1">
      <c r="B665" s="41" t="s">
        <v>3583</v>
      </c>
      <c r="C665" s="43">
        <f t="array" ref="C665">IF(B665="","",_xlfn.XLOOKUP(B665,'Form responses 1'!$B$2:$B$2604,'Form responses 1'!$A$2:$A$2604,""))</f>
        <v>45601.47636</v>
      </c>
      <c r="D665" s="44" t="str">
        <f t="shared" si="3"/>
        <v>K/25/051124/3_45601.4763623958</v>
      </c>
      <c r="E665" s="44" t="str">
        <f t="array" ref="E665">IF(B665="","",_xlfn.XLOOKUP(B665,'Form responses 1'!$B$2:$B$2604,'Form responses 1'!$C$2:$C$2604,""))</f>
        <v>WHINDA YULIANTI/ SOEWONDO</v>
      </c>
      <c r="F665" s="44" t="str">
        <f t="array" ref="F665">IF(B665="","",_xlfn.XLOOKUP(B665,'Form responses 1'!$B$2:$B$2604,'Form responses 1'!$D$2:$D$2604,""))</f>
        <v>089663904479</v>
      </c>
      <c r="G665" s="44" t="str">
        <f t="array" ref="G665">IF(B665="","",_xlfn.XLOOKUP(B665,'Form responses 1'!$B$2:$B$2604,'Form responses 1'!$E$2:$E$2604,""))</f>
        <v>BN JUAL BELI</v>
      </c>
      <c r="H665" s="44" t="str">
        <f t="array" ref="H665">IF(B665="","",_xlfn.XLOOKUP(B665,'Form responses 1'!$B$2:$B$2604,'Form responses 1'!$F$2:$F$2604,""))</f>
        <v>Nibel 505/ Gunung Sulah</v>
      </c>
      <c r="I665" s="44" t="str">
        <f t="array" ref="I665">IF(B665="","",_xlfn.XLOOKUP(B665,'Form responses 1'!$B$2:$B$2604,'Form responses 1'!$I$2:$I$2604,""))</f>
        <v> Gunung Sulah</v>
      </c>
      <c r="J665" s="44" t="str">
        <f t="array" ref="J665">IF(B665="","",_xlfn.XLOOKUP(B665,'Form responses 1'!$B$2:$B$2604,'Form responses 1'!$G$2:$G$2604,""))</f>
        <v>Hananda</v>
      </c>
      <c r="K665" s="41" t="s">
        <v>1233</v>
      </c>
      <c r="L665" s="52">
        <f t="shared" si="7"/>
        <v>45603.4106</v>
      </c>
      <c r="M665" s="47" t="s">
        <v>5580</v>
      </c>
      <c r="N665" s="47" t="s">
        <v>5581</v>
      </c>
      <c r="O665" s="49"/>
      <c r="P665" s="49"/>
      <c r="Q665" s="49"/>
      <c r="R665" s="49"/>
      <c r="S665" s="49"/>
      <c r="T665" s="49"/>
      <c r="U665" s="49"/>
      <c r="V665" s="49"/>
      <c r="W665" s="41" t="s">
        <v>618</v>
      </c>
      <c r="X665" s="46">
        <f t="shared" si="5"/>
        <v>45608.66024</v>
      </c>
      <c r="Y665" s="50" t="s">
        <v>482</v>
      </c>
      <c r="Z665" s="49">
        <f t="shared" si="6"/>
        <v>2</v>
      </c>
    </row>
    <row r="666" ht="22.5" customHeight="1">
      <c r="B666" s="41" t="s">
        <v>3900</v>
      </c>
      <c r="C666" s="43">
        <f t="array" ref="C666">IF(B666="","",_xlfn.XLOOKUP(B666,'Form responses 1'!$B$2:$B$2604,'Form responses 1'!$A$2:$A$2604,""))</f>
        <v>45602.61241</v>
      </c>
      <c r="D666" s="44" t="str">
        <f t="shared" si="3"/>
        <v>K/44/061124/2_45602.612413912</v>
      </c>
      <c r="E666" s="44" t="str">
        <f t="array" ref="E666">IF(B666="","",_xlfn.XLOOKUP(B666,'Form responses 1'!$B$2:$B$2604,'Form responses 1'!$C$2:$C$2604,""))</f>
        <v>TITIK WIJAYANTI</v>
      </c>
      <c r="F666" s="44" t="str">
        <f t="array" ref="F666">IF(B666="","",_xlfn.XLOOKUP(B666,'Form responses 1'!$B$2:$B$2604,'Form responses 1'!$D$2:$D$2604,""))</f>
        <v>+62 813-6935-0683</v>
      </c>
      <c r="G666" s="44" t="str">
        <f t="array" ref="G666">IF(B666="","",_xlfn.XLOOKUP(B666,'Form responses 1'!$B$2:$B$2604,'Form responses 1'!$E$2:$E$2604,""))</f>
        <v>SKPT LELANG</v>
      </c>
      <c r="H666" s="44" t="str">
        <f t="array" ref="H666">IF(B666="","",_xlfn.XLOOKUP(B666,'Form responses 1'!$B$2:$B$2604,'Form responses 1'!$F$2:$F$2604,""))</f>
        <v>M. 1126/ Jagabaya III</v>
      </c>
      <c r="I666" s="44" t="str">
        <f t="array" ref="I666">IF(B666="","",_xlfn.XLOOKUP(B666,'Form responses 1'!$B$2:$B$2604,'Form responses 1'!$I$2:$I$2604,""))</f>
        <v>Jagabaya III</v>
      </c>
      <c r="J666" s="44" t="str">
        <f t="array" ref="J666">IF(B666="","",_xlfn.XLOOKUP(B666,'Form responses 1'!$B$2:$B$2604,'Form responses 1'!$G$2:$G$2604,""))</f>
        <v>Hananda</v>
      </c>
      <c r="K666" s="41" t="s">
        <v>1233</v>
      </c>
      <c r="L666" s="52">
        <f t="shared" si="7"/>
        <v>45603.4142</v>
      </c>
      <c r="M666" s="49"/>
      <c r="N666" s="49"/>
      <c r="O666" s="49"/>
      <c r="P666" s="49"/>
      <c r="Q666" s="49"/>
      <c r="R666" s="49"/>
      <c r="S666" s="49"/>
      <c r="T666" s="49"/>
      <c r="U666" s="49"/>
      <c r="V666" s="49"/>
      <c r="W666" s="41" t="s">
        <v>618</v>
      </c>
      <c r="X666" s="46">
        <f t="shared" si="5"/>
        <v>45603.41422</v>
      </c>
      <c r="Y666" s="50" t="s">
        <v>482</v>
      </c>
      <c r="Z666" s="49">
        <f t="shared" si="6"/>
        <v>0</v>
      </c>
    </row>
    <row r="667" ht="22.5" customHeight="1">
      <c r="B667" s="41" t="s">
        <v>3911</v>
      </c>
      <c r="C667" s="43">
        <f t="array" ref="C667">IF(B667="","",_xlfn.XLOOKUP(B667,'Form responses 1'!$B$2:$B$2604,'Form responses 1'!$A$2:$A$2604,""))</f>
        <v>45602.6192</v>
      </c>
      <c r="D667" s="44" t="str">
        <f t="shared" si="3"/>
        <v>K/50/061124/1_45602.6192001273</v>
      </c>
      <c r="E667" s="44" t="str">
        <f t="array" ref="E667">IF(B667="","",_xlfn.XLOOKUP(B667,'Form responses 1'!$B$2:$B$2604,'Form responses 1'!$C$2:$C$2604,""))</f>
        <v>RENDY RENALDY/ ELIYAH</v>
      </c>
      <c r="F667" s="44" t="str">
        <f t="array" ref="F667">IF(B667="","",_xlfn.XLOOKUP(B667,'Form responses 1'!$B$2:$B$2604,'Form responses 1'!$D$2:$D$2604,""))</f>
        <v>+62 895-0895-6656</v>
      </c>
      <c r="G667" s="44" t="str">
        <f t="array" ref="G667">IF(B667="","",_xlfn.XLOOKUP(B667,'Form responses 1'!$B$2:$B$2604,'Form responses 1'!$E$2:$E$2604,""))</f>
        <v>ROYA</v>
      </c>
      <c r="H667" s="44" t="str">
        <f t="array" ref="H667">IF(B667="","",_xlfn.XLOOKUP(B667,'Form responses 1'!$B$2:$B$2604,'Form responses 1'!$F$2:$F$2604,""))</f>
        <v>M. 2096/ Kangkung</v>
      </c>
      <c r="I667" s="44" t="str">
        <f t="array" ref="I667">IF(B667="","",_xlfn.XLOOKUP(B667,'Form responses 1'!$B$2:$B$2604,'Form responses 1'!$I$2:$I$2604,""))</f>
        <v>Kangkung</v>
      </c>
      <c r="J667" s="44" t="str">
        <f t="array" ref="J667">IF(B667="","",_xlfn.XLOOKUP(B667,'Form responses 1'!$B$2:$B$2604,'Form responses 1'!$G$2:$G$2604,""))</f>
        <v>Hananda</v>
      </c>
      <c r="K667" s="41" t="s">
        <v>1233</v>
      </c>
      <c r="L667" s="52">
        <f t="shared" si="7"/>
        <v>45603.43199</v>
      </c>
      <c r="M667" s="49"/>
      <c r="N667" s="49"/>
      <c r="O667" s="49"/>
      <c r="P667" s="49"/>
      <c r="Q667" s="49"/>
      <c r="R667" s="49"/>
      <c r="S667" s="49"/>
      <c r="T667" s="49"/>
      <c r="U667" s="49"/>
      <c r="V667" s="49"/>
      <c r="W667" s="41" t="s">
        <v>618</v>
      </c>
      <c r="X667" s="46">
        <f t="shared" si="5"/>
        <v>45603.43646</v>
      </c>
      <c r="Y667" s="50" t="s">
        <v>482</v>
      </c>
      <c r="Z667" s="49">
        <f t="shared" si="6"/>
        <v>0</v>
      </c>
    </row>
    <row r="668" ht="22.5" customHeight="1">
      <c r="B668" s="41" t="s">
        <v>3807</v>
      </c>
      <c r="C668" s="43">
        <f t="array" ref="C668">IF(B668="","",_xlfn.XLOOKUP(B668,'Form responses 1'!$B$2:$B$2604,'Form responses 1'!$A$2:$A$2604,""))</f>
        <v>45602.48363</v>
      </c>
      <c r="D668" s="44" t="str">
        <f t="shared" si="3"/>
        <v>L/22/061124/1_45602.4836293287</v>
      </c>
      <c r="E668" s="44" t="str">
        <f t="array" ref="E668">IF(B668="","",_xlfn.XLOOKUP(B668,'Form responses 1'!$B$2:$B$2604,'Form responses 1'!$C$2:$C$2604,""))</f>
        <v>A GUNAWAN</v>
      </c>
      <c r="F668" s="44" t="str">
        <f t="array" ref="F668">IF(B668="","",_xlfn.XLOOKUP(B668,'Form responses 1'!$B$2:$B$2604,'Form responses 1'!$D$2:$D$2604,""))</f>
        <v>081369066996</v>
      </c>
      <c r="G668" s="44" t="str">
        <f t="array" ref="G668">IF(B668="","",_xlfn.XLOOKUP(B668,'Form responses 1'!$B$2:$B$2604,'Form responses 1'!$E$2:$E$2604,""))</f>
        <v>PERUBAHAN HAK</v>
      </c>
      <c r="H668" s="44" t="str">
        <f t="array" ref="H668">IF(B668="","",_xlfn.XLOOKUP(B668,'Form responses 1'!$B$2:$B$2604,'Form responses 1'!$F$2:$F$2604,""))</f>
        <v>HGB 216/RAJABASA PEMUKA</v>
      </c>
      <c r="I668" s="44" t="str">
        <f t="array" ref="I668">IF(B668="","",_xlfn.XLOOKUP(B668,'Form responses 1'!$B$2:$B$2604,'Form responses 1'!$I$2:$I$2604,""))</f>
        <v>RAJABASA PEMUKA</v>
      </c>
      <c r="J668" s="44" t="str">
        <f t="array" ref="J668">IF(B668="","",_xlfn.XLOOKUP(B668,'Form responses 1'!$B$2:$B$2604,'Form responses 1'!$G$2:$G$2604,""))</f>
        <v>Deby</v>
      </c>
      <c r="K668" s="41" t="s">
        <v>1233</v>
      </c>
      <c r="L668" s="52">
        <f t="shared" si="7"/>
        <v>45603.44393</v>
      </c>
      <c r="M668" s="47" t="s">
        <v>5582</v>
      </c>
      <c r="N668" s="49"/>
      <c r="O668" s="49"/>
      <c r="P668" s="49"/>
      <c r="Q668" s="49"/>
      <c r="R668" s="49"/>
      <c r="S668" s="49"/>
      <c r="T668" s="49"/>
      <c r="U668" s="49"/>
      <c r="V668" s="49"/>
      <c r="W668" s="41" t="s">
        <v>470</v>
      </c>
      <c r="X668" s="46">
        <f t="shared" si="5"/>
        <v>45603.44405</v>
      </c>
      <c r="Y668" s="50" t="s">
        <v>482</v>
      </c>
      <c r="Z668" s="49">
        <f t="shared" si="6"/>
        <v>1</v>
      </c>
    </row>
    <row r="669" ht="22.5" customHeight="1">
      <c r="B669" s="41" t="s">
        <v>3799</v>
      </c>
      <c r="C669" s="43">
        <f t="array" ref="C669">IF(B669="","",_xlfn.XLOOKUP(B669,'Form responses 1'!$B$2:$B$2604,'Form responses 1'!$A$2:$A$2604,""))</f>
        <v>45602.4773</v>
      </c>
      <c r="D669" s="44" t="str">
        <f t="shared" si="3"/>
        <v>L/20/061124/1_45602.4772953588</v>
      </c>
      <c r="E669" s="44" t="str">
        <f t="array" ref="E669">IF(B669="","",_xlfn.XLOOKUP(B669,'Form responses 1'!$B$2:$B$2604,'Form responses 1'!$C$2:$C$2604,""))</f>
        <v>JUJU JURIAH</v>
      </c>
      <c r="F669" s="44" t="str">
        <f t="array" ref="F669">IF(B669="","",_xlfn.XLOOKUP(B669,'Form responses 1'!$B$2:$B$2604,'Form responses 1'!$D$2:$D$2604,""))</f>
        <v>081272809520</v>
      </c>
      <c r="G669" s="44" t="str">
        <f t="array" ref="G669">IF(B669="","",_xlfn.XLOOKUP(B669,'Form responses 1'!$B$2:$B$2604,'Form responses 1'!$E$2:$E$2604,""))</f>
        <v>PTPGT</v>
      </c>
      <c r="H669" s="44" t="str">
        <f t="array" ref="H669">IF(B669="","",_xlfn.XLOOKUP(B669,'Form responses 1'!$B$2:$B$2604,'Form responses 1'!$F$2:$F$2604,""))</f>
        <v>HM 2606/WAY KANDIS</v>
      </c>
      <c r="I669" s="44" t="str">
        <f t="array" ref="I669">IF(B669="","",_xlfn.XLOOKUP(B669,'Form responses 1'!$B$2:$B$2604,'Form responses 1'!$I$2:$I$2604,""))</f>
        <v>WAY KANDIS</v>
      </c>
      <c r="J669" s="44" t="str">
        <f t="array" ref="J669">IF(B669="","",_xlfn.XLOOKUP(B669,'Form responses 1'!$B$2:$B$2604,'Form responses 1'!$G$2:$G$2604,""))</f>
        <v>Deby</v>
      </c>
      <c r="K669" s="41" t="s">
        <v>422</v>
      </c>
      <c r="L669" s="52">
        <f t="shared" si="7"/>
        <v>45603.45258</v>
      </c>
      <c r="M669" s="49"/>
      <c r="N669" s="49"/>
      <c r="O669" s="49"/>
      <c r="P669" s="49"/>
      <c r="Q669" s="49"/>
      <c r="R669" s="49"/>
      <c r="S669" s="49"/>
      <c r="T669" s="49"/>
      <c r="U669" s="49"/>
      <c r="V669" s="49"/>
      <c r="W669" s="41" t="s">
        <v>618</v>
      </c>
      <c r="X669" s="46">
        <f t="shared" si="5"/>
        <v>45603.46185</v>
      </c>
      <c r="Y669" s="50" t="s">
        <v>482</v>
      </c>
      <c r="Z669" s="49">
        <f t="shared" si="6"/>
        <v>0</v>
      </c>
    </row>
    <row r="670" ht="22.5" customHeight="1">
      <c r="B670" s="41" t="s">
        <v>3926</v>
      </c>
      <c r="C670" s="43">
        <f t="array" ref="C670">IF(B670="","",_xlfn.XLOOKUP(B670,'Form responses 1'!$B$2:$B$2604,'Form responses 1'!$A$2:$A$2604,""))</f>
        <v>45602.63325</v>
      </c>
      <c r="D670" s="44" t="str">
        <f t="shared" si="3"/>
        <v>K/52/061124/1_45602.6332495023</v>
      </c>
      <c r="E670" s="44" t="str">
        <f t="array" ref="E670">IF(B670="","",_xlfn.XLOOKUP(B670,'Form responses 1'!$B$2:$B$2604,'Form responses 1'!$C$2:$C$2604,""))</f>
        <v>Husin AS/ Sri Indarti</v>
      </c>
      <c r="F670" s="44" t="str">
        <f t="array" ref="F670">IF(B670="","",_xlfn.XLOOKUP(B670,'Form responses 1'!$B$2:$B$2604,'Form responses 1'!$D$2:$D$2604,""))</f>
        <v>085382963775</v>
      </c>
      <c r="G670" s="44" t="str">
        <f t="array" ref="G670">IF(B670="","",_xlfn.XLOOKUP(B670,'Form responses 1'!$B$2:$B$2604,'Form responses 1'!$E$2:$E$2604,""))</f>
        <v>SKPT Informasi</v>
      </c>
      <c r="H670" s="44" t="str">
        <f t="array" ref="H670">IF(B670="","",_xlfn.XLOOKUP(B670,'Form responses 1'!$B$2:$B$2604,'Form responses 1'!$F$2:$F$2604,""))</f>
        <v>Nibel. B. 2254/ Kedamaian</v>
      </c>
      <c r="I670" s="44" t="str">
        <f t="array" ref="I670">IF(B670="","",_xlfn.XLOOKUP(B670,'Form responses 1'!$B$2:$B$2604,'Form responses 1'!$I$2:$I$2604,""))</f>
        <v>Kedamaian</v>
      </c>
      <c r="J670" s="44" t="str">
        <f t="array" ref="J670">IF(B670="","",_xlfn.XLOOKUP(B670,'Form responses 1'!$B$2:$B$2604,'Form responses 1'!$G$2:$G$2604,""))</f>
        <v>Rapita</v>
      </c>
      <c r="K670" s="41" t="s">
        <v>422</v>
      </c>
      <c r="L670" s="52">
        <f t="shared" si="7"/>
        <v>45603.4526</v>
      </c>
      <c r="M670" s="47" t="s">
        <v>5580</v>
      </c>
      <c r="N670" s="47" t="s">
        <v>5583</v>
      </c>
      <c r="O670" s="49"/>
      <c r="P670" s="49"/>
      <c r="Q670" s="49"/>
      <c r="R670" s="49"/>
      <c r="S670" s="49"/>
      <c r="T670" s="49"/>
      <c r="U670" s="49"/>
      <c r="V670" s="49"/>
      <c r="W670" s="41" t="s">
        <v>618</v>
      </c>
      <c r="X670" s="46">
        <f t="shared" si="5"/>
        <v>45607.66435</v>
      </c>
      <c r="Y670" s="50" t="s">
        <v>482</v>
      </c>
      <c r="Z670" s="49">
        <f t="shared" si="6"/>
        <v>2</v>
      </c>
    </row>
    <row r="671" ht="22.5" customHeight="1">
      <c r="B671" s="41" t="s">
        <v>3731</v>
      </c>
      <c r="C671" s="43">
        <f t="array" ref="C671">IF(B671="","",_xlfn.XLOOKUP(B671,'Form responses 1'!$B$2:$B$2604,'Form responses 1'!$A$2:$A$2604,""))</f>
        <v>45602.38797</v>
      </c>
      <c r="D671" s="44" t="str">
        <f t="shared" si="3"/>
        <v>L/4/061124/1_45602.3879681829</v>
      </c>
      <c r="E671" s="44" t="str">
        <f t="array" ref="E671">IF(B671="","",_xlfn.XLOOKUP(B671,'Form responses 1'!$B$2:$B$2604,'Form responses 1'!$C$2:$C$2604,""))</f>
        <v>JALALUDIN</v>
      </c>
      <c r="F671" s="44" t="str">
        <f t="array" ref="F671">IF(B671="","",_xlfn.XLOOKUP(B671,'Form responses 1'!$B$2:$B$2604,'Form responses 1'!$D$2:$D$2604,""))</f>
        <v>081365030182</v>
      </c>
      <c r="G671" s="44" t="str">
        <f t="array" ref="G671">IF(B671="","",_xlfn.XLOOKUP(B671,'Form responses 1'!$B$2:$B$2604,'Form responses 1'!$E$2:$E$2604,""))</f>
        <v>PH</v>
      </c>
      <c r="H671" s="44" t="str">
        <f t="array" ref="H671">IF(B671="","",_xlfn.XLOOKUP(B671,'Form responses 1'!$B$2:$B$2604,'Form responses 1'!$F$2:$F$2604,""))</f>
        <v>NIB 1770/PINANG JAYA</v>
      </c>
      <c r="I671" s="44" t="str">
        <f t="array" ref="I671">IF(B671="","",_xlfn.XLOOKUP(B671,'Form responses 1'!$B$2:$B$2604,'Form responses 1'!$I$2:$I$2604,""))</f>
        <v>PINNAG JAYA</v>
      </c>
      <c r="J671" s="44" t="str">
        <f t="array" ref="J671">IF(B671="","",_xlfn.XLOOKUP(B671,'Form responses 1'!$B$2:$B$2604,'Form responses 1'!$G$2:$G$2604,""))</f>
        <v>Deby</v>
      </c>
      <c r="K671" s="41" t="s">
        <v>422</v>
      </c>
      <c r="L671" s="52">
        <f t="shared" si="7"/>
        <v>45603.45261</v>
      </c>
      <c r="M671" s="49"/>
      <c r="N671" s="49"/>
      <c r="O671" s="49"/>
      <c r="P671" s="49"/>
      <c r="Q671" s="49"/>
      <c r="R671" s="49"/>
      <c r="S671" s="49"/>
      <c r="T671" s="49"/>
      <c r="U671" s="49"/>
      <c r="V671" s="49"/>
      <c r="W671" s="41" t="s">
        <v>618</v>
      </c>
      <c r="X671" s="46">
        <f t="shared" si="5"/>
        <v>45603.47095</v>
      </c>
      <c r="Y671" s="50" t="s">
        <v>482</v>
      </c>
      <c r="Z671" s="49">
        <f t="shared" si="6"/>
        <v>0</v>
      </c>
    </row>
    <row r="672" ht="22.5" customHeight="1">
      <c r="B672" s="41" t="s">
        <v>3855</v>
      </c>
      <c r="C672" s="43">
        <f t="array" ref="C672">IF(B672="","",_xlfn.XLOOKUP(B672,'Form responses 1'!$B$2:$B$2604,'Form responses 1'!$A$2:$A$2604,""))</f>
        <v>45602.58441</v>
      </c>
      <c r="D672" s="44" t="str">
        <f t="shared" si="3"/>
        <v>K/34/061124/1_45602.5844111574</v>
      </c>
      <c r="E672" s="44" t="str">
        <f t="array" ref="E672">IF(B672="","",_xlfn.XLOOKUP(B672,'Form responses 1'!$B$2:$B$2604,'Form responses 1'!$C$2:$C$2604,""))</f>
        <v>SEPTIANA/DEWI SUKMASARI</v>
      </c>
      <c r="F672" s="44" t="str">
        <f t="array" ref="F672">IF(B672="","",_xlfn.XLOOKUP(B672,'Form responses 1'!$B$2:$B$2604,'Form responses 1'!$D$2:$D$2604,""))</f>
        <v>0821-8694-9749</v>
      </c>
      <c r="G672" s="44" t="str">
        <f t="array" ref="G672">IF(B672="","",_xlfn.XLOOKUP(B672,'Form responses 1'!$B$2:$B$2604,'Form responses 1'!$E$2:$E$2604,""))</f>
        <v>BN JUAL BELI</v>
      </c>
      <c r="H672" s="44" t="str">
        <f t="array" ref="H672">IF(B672="","",_xlfn.XLOOKUP(B672,'Form responses 1'!$B$2:$B$2604,'Form responses 1'!$F$2:$F$2604,""))</f>
        <v>M.1929/KALI BALAU KENCANA</v>
      </c>
      <c r="I672" s="44" t="str">
        <f t="array" ref="I672">IF(B672="","",_xlfn.XLOOKUP(B672,'Form responses 1'!$B$2:$B$2604,'Form responses 1'!$I$2:$I$2604,""))</f>
        <v>KALI BALAU KENCANA</v>
      </c>
      <c r="J672" s="44" t="str">
        <f t="array" ref="J672">IF(B672="","",_xlfn.XLOOKUP(B672,'Form responses 1'!$B$2:$B$2604,'Form responses 1'!$G$2:$G$2604,""))</f>
        <v>Baynur</v>
      </c>
      <c r="K672" s="41" t="s">
        <v>422</v>
      </c>
      <c r="L672" s="52">
        <f t="shared" si="7"/>
        <v>45603.45263</v>
      </c>
      <c r="M672" s="49"/>
      <c r="N672" s="49"/>
      <c r="O672" s="49"/>
      <c r="P672" s="49"/>
      <c r="Q672" s="49"/>
      <c r="R672" s="49"/>
      <c r="S672" s="49"/>
      <c r="T672" s="49"/>
      <c r="U672" s="49"/>
      <c r="V672" s="49"/>
      <c r="W672" s="41" t="s">
        <v>618</v>
      </c>
      <c r="X672" s="46">
        <f t="shared" si="5"/>
        <v>45603.50794</v>
      </c>
      <c r="Y672" s="50" t="s">
        <v>482</v>
      </c>
      <c r="Z672" s="49">
        <f t="shared" si="6"/>
        <v>0</v>
      </c>
    </row>
    <row r="673" ht="22.5" customHeight="1">
      <c r="B673" s="41" t="s">
        <v>3719</v>
      </c>
      <c r="C673" s="43">
        <f t="array" ref="C673">IF(B673="","",_xlfn.XLOOKUP(B673,'Form responses 1'!$B$2:$B$2604,'Form responses 1'!$A$2:$A$2604,""))</f>
        <v>45602.36498</v>
      </c>
      <c r="D673" s="44" t="str">
        <f t="shared" si="3"/>
        <v>K/1/061124/1_45602.364983912</v>
      </c>
      <c r="E673" s="44" t="str">
        <f t="array" ref="E673">IF(B673="","",_xlfn.XLOOKUP(B673,'Form responses 1'!$B$2:$B$2604,'Form responses 1'!$C$2:$C$2604,""))</f>
        <v>MAGHDALENA/CITRA AYU WARDANI</v>
      </c>
      <c r="F673" s="44" t="str">
        <f t="array" ref="F673">IF(B673="","",_xlfn.XLOOKUP(B673,'Form responses 1'!$B$2:$B$2604,'Form responses 1'!$D$2:$D$2604,""))</f>
        <v>089633785366</v>
      </c>
      <c r="G673" s="44" t="str">
        <f t="array" ref="G673">IF(B673="","",_xlfn.XLOOKUP(B673,'Form responses 1'!$B$2:$B$2604,'Form responses 1'!$E$2:$E$2604,""))</f>
        <v>BN JUAL BELI</v>
      </c>
      <c r="H673" s="44" t="str">
        <f t="array" ref="H673">IF(B673="","",_xlfn.XLOOKUP(B673,'Form responses 1'!$B$2:$B$2604,'Form responses 1'!$F$2:$F$2604,""))</f>
        <v>M.12840/SEGALA MIDER-SEKARANG;B.114/SEGALA MIDER-DAHULU</v>
      </c>
      <c r="I673" s="44" t="str">
        <f t="array" ref="I673">IF(B673="","",_xlfn.XLOOKUP(B673,'Form responses 1'!$B$2:$B$2604,'Form responses 1'!$I$2:$I$2604,""))</f>
        <v>SEGALA MIDER</v>
      </c>
      <c r="J673" s="44" t="str">
        <f t="array" ref="J673">IF(B673="","",_xlfn.XLOOKUP(B673,'Form responses 1'!$B$2:$B$2604,'Form responses 1'!$G$2:$G$2604,""))</f>
        <v>Baynur</v>
      </c>
      <c r="K673" s="41" t="s">
        <v>422</v>
      </c>
      <c r="L673" s="52">
        <f t="shared" si="7"/>
        <v>45603.45265</v>
      </c>
      <c r="M673" s="47" t="s">
        <v>5584</v>
      </c>
      <c r="N673" s="49"/>
      <c r="O673" s="49"/>
      <c r="P673" s="49"/>
      <c r="Q673" s="49"/>
      <c r="R673" s="49"/>
      <c r="S673" s="49"/>
      <c r="T673" s="49"/>
      <c r="U673" s="49"/>
      <c r="V673" s="49"/>
      <c r="W673" s="41" t="s">
        <v>618</v>
      </c>
      <c r="X673" s="46">
        <f t="shared" si="5"/>
        <v>45609.65751</v>
      </c>
      <c r="Y673" s="50" t="s">
        <v>482</v>
      </c>
      <c r="Z673" s="49">
        <f t="shared" si="6"/>
        <v>1</v>
      </c>
    </row>
    <row r="674" ht="22.5" customHeight="1">
      <c r="B674" s="41" t="s">
        <v>3844</v>
      </c>
      <c r="C674" s="43">
        <f t="array" ref="C674">IF(B674="","",_xlfn.XLOOKUP(B674,'Form responses 1'!$B$2:$B$2604,'Form responses 1'!$A$2:$A$2604,""))</f>
        <v>45602.57978</v>
      </c>
      <c r="D674" s="44" t="str">
        <f t="shared" si="3"/>
        <v>K/31/061124/1_45602.5797767824</v>
      </c>
      <c r="E674" s="44" t="str">
        <f t="array" ref="E674">IF(B674="","",_xlfn.XLOOKUP(B674,'Form responses 1'!$B$2:$B$2604,'Form responses 1'!$C$2:$C$2604,""))</f>
        <v>Fahrul R/ Chandra I</v>
      </c>
      <c r="F674" s="44" t="str">
        <f t="array" ref="F674">IF(B674="","",_xlfn.XLOOKUP(B674,'Form responses 1'!$B$2:$B$2604,'Form responses 1'!$D$2:$D$2604,""))</f>
        <v>+62 821-7585-0002</v>
      </c>
      <c r="G674" s="44" t="str">
        <f t="array" ref="G674">IF(B674="","",_xlfn.XLOOKUP(B674,'Form responses 1'!$B$2:$B$2604,'Form responses 1'!$E$2:$E$2604,""))</f>
        <v>Bn Jual Beli</v>
      </c>
      <c r="H674" s="44" t="str">
        <f t="array" ref="H674">IF(B674="","",_xlfn.XLOOKUP(B674,'Form responses 1'!$B$2:$B$2604,'Form responses 1'!$F$2:$F$2604,""))</f>
        <v>B. 254/ Nusantara Permai</v>
      </c>
      <c r="I674" s="44" t="str">
        <f t="array" ref="I674">IF(B674="","",_xlfn.XLOOKUP(B674,'Form responses 1'!$B$2:$B$2604,'Form responses 1'!$I$2:$I$2604,""))</f>
        <v> Nusantara Permai</v>
      </c>
      <c r="J674" s="44" t="str">
        <f t="array" ref="J674">IF(B674="","",_xlfn.XLOOKUP(B674,'Form responses 1'!$B$2:$B$2604,'Form responses 1'!$G$2:$G$2604,""))</f>
        <v>Rapita</v>
      </c>
      <c r="K674" s="41" t="s">
        <v>422</v>
      </c>
      <c r="L674" s="52">
        <f t="shared" si="7"/>
        <v>45603.45267</v>
      </c>
      <c r="M674" s="47" t="s">
        <v>5585</v>
      </c>
      <c r="N674" s="47" t="s">
        <v>5586</v>
      </c>
      <c r="O674" s="49"/>
      <c r="P674" s="49"/>
      <c r="Q674" s="49"/>
      <c r="R674" s="49"/>
      <c r="S674" s="49"/>
      <c r="T674" s="49"/>
      <c r="U674" s="49"/>
      <c r="V674" s="49"/>
      <c r="W674" s="41" t="s">
        <v>618</v>
      </c>
      <c r="X674" s="46">
        <f t="shared" si="5"/>
        <v>45609.66045</v>
      </c>
      <c r="Y674" s="50" t="s">
        <v>482</v>
      </c>
      <c r="Z674" s="49">
        <f t="shared" si="6"/>
        <v>2</v>
      </c>
    </row>
    <row r="675" ht="22.5" customHeight="1">
      <c r="B675" s="41" t="s">
        <v>3803</v>
      </c>
      <c r="C675" s="43">
        <f t="array" ref="C675">IF(B675="","",_xlfn.XLOOKUP(B675,'Form responses 1'!$B$2:$B$2604,'Form responses 1'!$A$2:$A$2604,""))</f>
        <v>45602.48073</v>
      </c>
      <c r="D675" s="44" t="str">
        <f t="shared" si="3"/>
        <v>K/21/061124/1_45602.4807349074</v>
      </c>
      <c r="E675" s="44" t="str">
        <f t="array" ref="E675">IF(B675="","",_xlfn.XLOOKUP(B675,'Form responses 1'!$B$2:$B$2604,'Form responses 1'!$C$2:$C$2604,""))</f>
        <v>Adnan/ Risna Umami</v>
      </c>
      <c r="F675" s="44" t="str">
        <f t="array" ref="F675">IF(B675="","",_xlfn.XLOOKUP(B675,'Form responses 1'!$B$2:$B$2604,'Form responses 1'!$D$2:$D$2604,""))</f>
        <v>085381125445</v>
      </c>
      <c r="G675" s="44" t="str">
        <f t="array" ref="G675">IF(B675="","",_xlfn.XLOOKUP(B675,'Form responses 1'!$B$2:$B$2604,'Form responses 1'!$E$2:$E$2604,""))</f>
        <v>BN Jual Beli</v>
      </c>
      <c r="H675" s="44" t="str">
        <f t="array" ref="H675">IF(B675="","",_xlfn.XLOOKUP(B675,'Form responses 1'!$B$2:$B$2604,'Form responses 1'!$F$2:$F$2604,""))</f>
        <v>M. 1538/ Keteguhan</v>
      </c>
      <c r="I675" s="44" t="str">
        <f t="array" ref="I675">IF(B675="","",_xlfn.XLOOKUP(B675,'Form responses 1'!$B$2:$B$2604,'Form responses 1'!$I$2:$I$2604,""))</f>
        <v>Keteguhan</v>
      </c>
      <c r="J675" s="44" t="str">
        <f t="array" ref="J675">IF(B675="","",_xlfn.XLOOKUP(B675,'Form responses 1'!$B$2:$B$2604,'Form responses 1'!$G$2:$G$2604,""))</f>
        <v>Rapita</v>
      </c>
      <c r="K675" s="41" t="s">
        <v>422</v>
      </c>
      <c r="L675" s="52">
        <f t="shared" si="7"/>
        <v>45603.45269</v>
      </c>
      <c r="M675" s="47" t="s">
        <v>5587</v>
      </c>
      <c r="N675" s="47" t="s">
        <v>5588</v>
      </c>
      <c r="O675" s="47" t="s">
        <v>5589</v>
      </c>
      <c r="P675" s="49"/>
      <c r="Q675" s="49"/>
      <c r="R675" s="49"/>
      <c r="S675" s="49"/>
      <c r="T675" s="49"/>
      <c r="U675" s="49"/>
      <c r="V675" s="49"/>
      <c r="W675" s="41" t="s">
        <v>618</v>
      </c>
      <c r="X675" s="46">
        <f t="shared" si="5"/>
        <v>45613.36886</v>
      </c>
      <c r="Y675" s="50" t="s">
        <v>482</v>
      </c>
      <c r="Z675" s="49">
        <f t="shared" si="6"/>
        <v>3</v>
      </c>
    </row>
    <row r="676" ht="22.5" customHeight="1">
      <c r="B676" s="41" t="s">
        <v>3753</v>
      </c>
      <c r="C676" s="43">
        <f t="array" ref="C676">IF(B676="","",_xlfn.XLOOKUP(B676,'Form responses 1'!$B$2:$B$2604,'Form responses 1'!$A$2:$A$2604,""))</f>
        <v>45602.41704</v>
      </c>
      <c r="D676" s="44" t="str">
        <f t="shared" si="3"/>
        <v>K/10/061124/2_45602.4170439931</v>
      </c>
      <c r="E676" s="44" t="str">
        <f t="array" ref="E676">IF(B676="","",_xlfn.XLOOKUP(B676,'Form responses 1'!$B$2:$B$2604,'Form responses 1'!$C$2:$C$2604,""))</f>
        <v>ELITA PURBA CS</v>
      </c>
      <c r="F676" s="44" t="str">
        <f t="array" ref="F676">IF(B676="","",_xlfn.XLOOKUP(B676,'Form responses 1'!$B$2:$B$2604,'Form responses 1'!$D$2:$D$2604,""))</f>
        <v>08217970556</v>
      </c>
      <c r="G676" s="44" t="str">
        <f t="array" ref="G676">IF(B676="","",_xlfn.XLOOKUP(B676,'Form responses 1'!$B$2:$B$2604,'Form responses 1'!$E$2:$E$2604,""))</f>
        <v>BN WARIS</v>
      </c>
      <c r="H676" s="44" t="str">
        <f t="array" ref="H676">IF(B676="","",_xlfn.XLOOKUP(B676,'Form responses 1'!$B$2:$B$2604,'Form responses 1'!$F$2:$F$2604,""))</f>
        <v> M. 2147/ Way Halim Permai</v>
      </c>
      <c r="I676" s="44" t="str">
        <f t="array" ref="I676">IF(B676="","",_xlfn.XLOOKUP(B676,'Form responses 1'!$B$2:$B$2604,'Form responses 1'!$I$2:$I$2604,""))</f>
        <v> Way Halim Permai</v>
      </c>
      <c r="J676" s="44" t="str">
        <f t="array" ref="J676">IF(B676="","",_xlfn.XLOOKUP(B676,'Form responses 1'!$B$2:$B$2604,'Form responses 1'!$G$2:$G$2604,""))</f>
        <v>Hananda</v>
      </c>
      <c r="K676" s="41" t="s">
        <v>422</v>
      </c>
      <c r="L676" s="52">
        <f t="shared" si="7"/>
        <v>45603.45271</v>
      </c>
      <c r="M676" s="47" t="s">
        <v>5590</v>
      </c>
      <c r="N676" s="47" t="s">
        <v>5591</v>
      </c>
      <c r="O676" s="47" t="s">
        <v>5592</v>
      </c>
      <c r="P676" s="47" t="s">
        <v>5593</v>
      </c>
      <c r="Q676" s="47" t="s">
        <v>5594</v>
      </c>
      <c r="R676" s="49"/>
      <c r="S676" s="49"/>
      <c r="T676" s="49"/>
      <c r="U676" s="49"/>
      <c r="V676" s="49"/>
      <c r="W676" s="41" t="s">
        <v>470</v>
      </c>
      <c r="X676" s="46">
        <f t="shared" si="5"/>
        <v>45613.37298</v>
      </c>
      <c r="Y676" s="50" t="s">
        <v>482</v>
      </c>
      <c r="Z676" s="49">
        <f t="shared" si="6"/>
        <v>5</v>
      </c>
    </row>
    <row r="677" ht="22.5" customHeight="1">
      <c r="B677" s="41" t="s">
        <v>3852</v>
      </c>
      <c r="C677" s="43">
        <f t="array" ref="C677">IF(B677="","",_xlfn.XLOOKUP(B677,'Form responses 1'!$B$2:$B$2604,'Form responses 1'!$A$2:$A$2604,""))</f>
        <v>45602.58431</v>
      </c>
      <c r="D677" s="44" t="str">
        <f t="shared" si="3"/>
        <v>K/33/061124/3_45602.5843093982</v>
      </c>
      <c r="E677" s="44" t="str">
        <f t="array" ref="E677">IF(B677="","",_xlfn.XLOOKUP(B677,'Form responses 1'!$B$2:$B$2604,'Form responses 1'!$C$2:$C$2604,""))</f>
        <v>Fahrul R/ Leonita</v>
      </c>
      <c r="F677" s="44" t="str">
        <f t="array" ref="F677">IF(B677="","",_xlfn.XLOOKUP(B677,'Form responses 1'!$B$2:$B$2604,'Form responses 1'!$D$2:$D$2604,""))</f>
        <v>+62 821-7585-0002</v>
      </c>
      <c r="G677" s="44" t="str">
        <f t="array" ref="G677">IF(B677="","",_xlfn.XLOOKUP(B677,'Form responses 1'!$B$2:$B$2604,'Form responses 1'!$E$2:$E$2604,""))</f>
        <v>BN Jual Beli</v>
      </c>
      <c r="H677" s="44" t="str">
        <f t="array" ref="H677">IF(B677="","",_xlfn.XLOOKUP(B677,'Form responses 1'!$B$2:$B$2604,'Form responses 1'!$F$2:$F$2604,""))</f>
        <v>B. 1017/ Keteguhan</v>
      </c>
      <c r="I677" s="44" t="str">
        <f t="array" ref="I677">IF(B677="","",_xlfn.XLOOKUP(B677,'Form responses 1'!$B$2:$B$2604,'Form responses 1'!$I$2:$I$2604,""))</f>
        <v>Keteguhan</v>
      </c>
      <c r="J677" s="44" t="str">
        <f t="array" ref="J677">IF(B677="","",_xlfn.XLOOKUP(B677,'Form responses 1'!$B$2:$B$2604,'Form responses 1'!$G$2:$G$2604,""))</f>
        <v>Rapita</v>
      </c>
      <c r="K677" s="41" t="s">
        <v>1233</v>
      </c>
      <c r="L677" s="52">
        <f t="shared" si="7"/>
        <v>45603.46339</v>
      </c>
      <c r="M677" s="49"/>
      <c r="N677" s="49"/>
      <c r="O677" s="49"/>
      <c r="P677" s="49"/>
      <c r="Q677" s="49"/>
      <c r="R677" s="49"/>
      <c r="S677" s="49"/>
      <c r="T677" s="49"/>
      <c r="U677" s="49"/>
      <c r="V677" s="49"/>
      <c r="W677" s="41" t="s">
        <v>618</v>
      </c>
      <c r="X677" s="46">
        <f t="shared" si="5"/>
        <v>45603.46341</v>
      </c>
      <c r="Y677" s="50" t="s">
        <v>482</v>
      </c>
      <c r="Z677" s="49">
        <f t="shared" si="6"/>
        <v>0</v>
      </c>
    </row>
    <row r="678" ht="22.5" customHeight="1">
      <c r="B678" s="41" t="s">
        <v>3772</v>
      </c>
      <c r="C678" s="43">
        <f t="array" ref="C678">IF(B678="","",_xlfn.XLOOKUP(B678,'Form responses 1'!$B$2:$B$2604,'Form responses 1'!$A$2:$A$2604,""))</f>
        <v>45602.45262</v>
      </c>
      <c r="D678" s="44" t="str">
        <f t="shared" si="3"/>
        <v>K/14/061124/1_45602.4526151273</v>
      </c>
      <c r="E678" s="44" t="str">
        <f t="array" ref="E678">IF(B678="","",_xlfn.XLOOKUP(B678,'Form responses 1'!$B$2:$B$2604,'Form responses 1'!$C$2:$C$2604,""))</f>
        <v>DEMMY ANNE WINGARDI/EFFENDY</v>
      </c>
      <c r="F678" s="44" t="str">
        <f t="array" ref="F678">IF(B678="","",_xlfn.XLOOKUP(B678,'Form responses 1'!$B$2:$B$2604,'Form responses 1'!$D$2:$D$2604,""))</f>
        <v>+62 812-7940-253</v>
      </c>
      <c r="G678" s="44" t="str">
        <f t="array" ref="G678">IF(B678="","",_xlfn.XLOOKUP(B678,'Form responses 1'!$B$2:$B$2604,'Form responses 1'!$E$2:$E$2604,""))</f>
        <v>BN JUAL BELI</v>
      </c>
      <c r="H678" s="44" t="str">
        <f t="array" ref="H678">IF(B678="","",_xlfn.XLOOKUP(B678,'Form responses 1'!$B$2:$B$2604,'Form responses 1'!$F$2:$F$2604,""))</f>
        <v>M.1511/BUMI WARAS</v>
      </c>
      <c r="I678" s="44" t="str">
        <f t="array" ref="I678">IF(B678="","",_xlfn.XLOOKUP(B678,'Form responses 1'!$B$2:$B$2604,'Form responses 1'!$I$2:$I$2604,""))</f>
        <v>BUMI WARAS</v>
      </c>
      <c r="J678" s="44" t="str">
        <f t="array" ref="J678">IF(B678="","",_xlfn.XLOOKUP(B678,'Form responses 1'!$B$2:$B$2604,'Form responses 1'!$G$2:$G$2604,""))</f>
        <v>Aisyah</v>
      </c>
      <c r="K678" s="41" t="s">
        <v>1233</v>
      </c>
      <c r="L678" s="52">
        <f t="shared" si="7"/>
        <v>45603.47361</v>
      </c>
      <c r="M678" s="49"/>
      <c r="N678" s="49"/>
      <c r="O678" s="49"/>
      <c r="P678" s="49"/>
      <c r="Q678" s="49"/>
      <c r="R678" s="49"/>
      <c r="S678" s="49"/>
      <c r="T678" s="49"/>
      <c r="U678" s="49"/>
      <c r="V678" s="49"/>
      <c r="W678" s="41" t="s">
        <v>618</v>
      </c>
      <c r="X678" s="46">
        <f t="shared" si="5"/>
        <v>45603.47365</v>
      </c>
      <c r="Y678" s="50" t="s">
        <v>482</v>
      </c>
      <c r="Z678" s="49">
        <f t="shared" si="6"/>
        <v>0</v>
      </c>
    </row>
    <row r="679" ht="22.5" customHeight="1">
      <c r="B679" s="41" t="s">
        <v>3521</v>
      </c>
      <c r="C679" s="43">
        <f t="array" ref="C679">IF(B679="","",_xlfn.XLOOKUP(B679,'Form responses 1'!$B$2:$B$2604,'Form responses 1'!$A$2:$A$2604,""))</f>
        <v>45601.42648</v>
      </c>
      <c r="D679" s="44" t="str">
        <f t="shared" si="3"/>
        <v>K/12/051124/3_45601.4264755787</v>
      </c>
      <c r="E679" s="44" t="str">
        <f t="array" ref="E679">IF(B679="","",_xlfn.XLOOKUP(B679,'Form responses 1'!$B$2:$B$2604,'Form responses 1'!$C$2:$C$2604,""))</f>
        <v>SAFITRI HANDAYANI/HARIYO WIDODO</v>
      </c>
      <c r="F679" s="44" t="str">
        <f t="array" ref="F679">IF(B679="","",_xlfn.XLOOKUP(B679,'Form responses 1'!$B$2:$B$2604,'Form responses 1'!$D$2:$D$2604,""))</f>
        <v>0822-7944-1318</v>
      </c>
      <c r="G679" s="44" t="str">
        <f t="array" ref="G679">IF(B679="","",_xlfn.XLOOKUP(B679,'Form responses 1'!$B$2:$B$2604,'Form responses 1'!$E$2:$E$2604,""))</f>
        <v>BN JUAL BELI</v>
      </c>
      <c r="H679" s="44" t="str">
        <f t="array" ref="H679">IF(B679="","",_xlfn.XLOOKUP(B679,'Form responses 1'!$B$2:$B$2604,'Form responses 1'!$F$2:$F$2604,""))</f>
        <v>M.417/NUSANTARA PERMAI-SEKARANG;B.381/CAMPANG RAYA-DAHULU</v>
      </c>
      <c r="I679" s="44" t="str">
        <f t="array" ref="I679">IF(B679="","",_xlfn.XLOOKUP(B679,'Form responses 1'!$B$2:$B$2604,'Form responses 1'!$I$2:$I$2604,""))</f>
        <v>NUSANTARA PERMAI</v>
      </c>
      <c r="J679" s="44" t="str">
        <f t="array" ref="J679">IF(B679="","",_xlfn.XLOOKUP(B679,'Form responses 1'!$B$2:$B$2604,'Form responses 1'!$G$2:$G$2604,""))</f>
        <v>Baynur</v>
      </c>
      <c r="K679" s="41" t="s">
        <v>2875</v>
      </c>
      <c r="L679" s="52">
        <f t="shared" si="7"/>
        <v>45603.47892</v>
      </c>
      <c r="M679" s="47" t="s">
        <v>5214</v>
      </c>
      <c r="N679" s="49"/>
      <c r="O679" s="49"/>
      <c r="P679" s="49"/>
      <c r="Q679" s="49"/>
      <c r="R679" s="49"/>
      <c r="S679" s="49"/>
      <c r="T679" s="49"/>
      <c r="U679" s="49"/>
      <c r="V679" s="49"/>
      <c r="W679" s="41" t="s">
        <v>618</v>
      </c>
      <c r="X679" s="46">
        <f t="shared" si="5"/>
        <v>45603.47896</v>
      </c>
      <c r="Y679" s="50" t="s">
        <v>482</v>
      </c>
      <c r="Z679" s="49">
        <f t="shared" si="6"/>
        <v>1</v>
      </c>
    </row>
    <row r="680" ht="22.5" customHeight="1">
      <c r="B680" s="41" t="s">
        <v>3858</v>
      </c>
      <c r="C680" s="43">
        <f t="array" ref="C680">IF(B680="","",_xlfn.XLOOKUP(B680,'Form responses 1'!$B$2:$B$2604,'Form responses 1'!$A$2:$A$2604,""))</f>
        <v>45602.59153</v>
      </c>
      <c r="D680" s="44" t="str">
        <f t="shared" si="3"/>
        <v>K/36/061124/1_45602.5915303704</v>
      </c>
      <c r="E680" s="44" t="str">
        <f t="array" ref="E680">IF(B680="","",_xlfn.XLOOKUP(B680,'Form responses 1'!$B$2:$B$2604,'Form responses 1'!$C$2:$C$2604,""))</f>
        <v>LILIS LISIANI HARSONO/TJHIA GIOK TJOE </v>
      </c>
      <c r="F680" s="44" t="str">
        <f t="array" ref="F680">IF(B680="","",_xlfn.XLOOKUP(B680,'Form responses 1'!$B$2:$B$2604,'Form responses 1'!$D$2:$D$2604,""))</f>
        <v>0812-7305-5495</v>
      </c>
      <c r="G680" s="44" t="str">
        <f t="array" ref="G680">IF(B680="","",_xlfn.XLOOKUP(B680,'Form responses 1'!$B$2:$B$2604,'Form responses 1'!$E$2:$E$2604,""))</f>
        <v>BN JUAL BELI</v>
      </c>
      <c r="H680" s="44" t="str">
        <f t="array" ref="H680">IF(B680="","",_xlfn.XLOOKUP(B680,'Form responses 1'!$B$2:$B$2604,'Form responses 1'!$F$2:$F$2604,""))</f>
        <v>NIBEL M.1005/TANJUNGKARANG</v>
      </c>
      <c r="I680" s="44" t="str">
        <f t="array" ref="I680">IF(B680="","",_xlfn.XLOOKUP(B680,'Form responses 1'!$B$2:$B$2604,'Form responses 1'!$I$2:$I$2604,""))</f>
        <v>TANJUNGKARANG</v>
      </c>
      <c r="J680" s="44" t="str">
        <f t="array" ref="J680">IF(B680="","",_xlfn.XLOOKUP(B680,'Form responses 1'!$B$2:$B$2604,'Form responses 1'!$G$2:$G$2604,""))</f>
        <v>Baynur</v>
      </c>
      <c r="K680" s="41" t="s">
        <v>1233</v>
      </c>
      <c r="L680" s="52">
        <f t="shared" si="7"/>
        <v>45603.49064</v>
      </c>
      <c r="M680" s="49"/>
      <c r="N680" s="49"/>
      <c r="O680" s="49"/>
      <c r="P680" s="49"/>
      <c r="Q680" s="49"/>
      <c r="R680" s="49"/>
      <c r="S680" s="49"/>
      <c r="T680" s="49"/>
      <c r="U680" s="49"/>
      <c r="V680" s="49"/>
      <c r="W680" s="41" t="s">
        <v>618</v>
      </c>
      <c r="X680" s="46">
        <f t="shared" si="5"/>
        <v>45603.54143</v>
      </c>
      <c r="Y680" s="50" t="s">
        <v>482</v>
      </c>
      <c r="Z680" s="49">
        <f t="shared" si="6"/>
        <v>0</v>
      </c>
    </row>
    <row r="681" ht="22.5" customHeight="1">
      <c r="B681" s="41" t="s">
        <v>3506</v>
      </c>
      <c r="C681" s="43">
        <f t="array" ref="C681">IF(B681="","",_xlfn.XLOOKUP(B681,'Form responses 1'!$B$2:$B$2604,'Form responses 1'!$A$2:$A$2604,""))</f>
        <v>45601.41183</v>
      </c>
      <c r="D681" s="44" t="str">
        <f t="shared" si="3"/>
        <v>K/7/051124/2_45601.4118317361</v>
      </c>
      <c r="E681" s="44" t="str">
        <f t="array" ref="E681">IF(B681="","",_xlfn.XLOOKUP(B681,'Form responses 1'!$B$2:$B$2604,'Form responses 1'!$C$2:$C$2604,""))</f>
        <v>ZURAIDAH/HARIYO WIDODO</v>
      </c>
      <c r="F681" s="44" t="str">
        <f t="array" ref="F681">IF(B681="","",_xlfn.XLOOKUP(B681,'Form responses 1'!$B$2:$B$2604,'Form responses 1'!$D$2:$D$2604,""))</f>
        <v>0822-7944-1318</v>
      </c>
      <c r="G681" s="44" t="str">
        <f t="array" ref="G681">IF(B681="","",_xlfn.XLOOKUP(B681,'Form responses 1'!$B$2:$B$2604,'Form responses 1'!$E$2:$E$2604,""))</f>
        <v>BN JUAL BELI</v>
      </c>
      <c r="H681" s="44" t="str">
        <f t="array" ref="H681">IF(B681="","",_xlfn.XLOOKUP(B681,'Form responses 1'!$B$2:$B$2604,'Form responses 1'!$F$2:$F$2604,""))</f>
        <v>m.1815/RAJABASA NUNYAI_SEKARANG;b.1210/RAJABASA-DAHULU</v>
      </c>
      <c r="I681" s="44" t="str">
        <f t="array" ref="I681">IF(B681="","",_xlfn.XLOOKUP(B681,'Form responses 1'!$B$2:$B$2604,'Form responses 1'!$I$2:$I$2604,""))</f>
        <v>RAJABASA NUNYAI</v>
      </c>
      <c r="J681" s="44" t="str">
        <f t="array" ref="J681">IF(B681="","",_xlfn.XLOOKUP(B681,'Form responses 1'!$B$2:$B$2604,'Form responses 1'!$G$2:$G$2604,""))</f>
        <v>Baynur</v>
      </c>
      <c r="K681" s="41" t="s">
        <v>2875</v>
      </c>
      <c r="L681" s="52">
        <f t="shared" si="7"/>
        <v>45603.5138</v>
      </c>
      <c r="M681" s="49"/>
      <c r="N681" s="49"/>
      <c r="O681" s="49"/>
      <c r="P681" s="49"/>
      <c r="Q681" s="49"/>
      <c r="R681" s="49"/>
      <c r="S681" s="49"/>
      <c r="T681" s="49"/>
      <c r="U681" s="49"/>
      <c r="V681" s="49"/>
      <c r="W681" s="41" t="s">
        <v>618</v>
      </c>
      <c r="X681" s="46">
        <f t="shared" si="5"/>
        <v>45603.51385</v>
      </c>
      <c r="Y681" s="50" t="s">
        <v>482</v>
      </c>
      <c r="Z681" s="49">
        <f t="shared" si="6"/>
        <v>0</v>
      </c>
    </row>
    <row r="682" ht="22.5" customHeight="1">
      <c r="B682" s="41" t="s">
        <v>3635</v>
      </c>
      <c r="C682" s="43">
        <f t="array" ref="C682">IF(B682="","",_xlfn.XLOOKUP(B682,'Form responses 1'!$B$2:$B$2604,'Form responses 1'!$A$2:$A$2604,""))</f>
        <v>45601.57018</v>
      </c>
      <c r="D682" s="44" t="str">
        <f t="shared" si="3"/>
        <v>K/42/051124/1_45601.5701824537</v>
      </c>
      <c r="E682" s="44" t="str">
        <f t="array" ref="E682">IF(B682="","",_xlfn.XLOOKUP(B682,'Form responses 1'!$B$2:$B$2604,'Form responses 1'!$C$2:$C$2604,""))</f>
        <v>RAHMADIYANTI/ HENDRY RIDUAN</v>
      </c>
      <c r="F682" s="44" t="str">
        <f t="array" ref="F682">IF(B682="","",_xlfn.XLOOKUP(B682,'Form responses 1'!$B$2:$B$2604,'Form responses 1'!$D$2:$D$2604,""))</f>
        <v>+62 821-8209-0051</v>
      </c>
      <c r="G682" s="44" t="str">
        <f t="array" ref="G682">IF(B682="","",_xlfn.XLOOKUP(B682,'Form responses 1'!$B$2:$B$2604,'Form responses 1'!$E$2:$E$2604,""))</f>
        <v>BN JUAL BELI</v>
      </c>
      <c r="H682" s="44" t="str">
        <f t="array" ref="H682">IF(B682="","",_xlfn.XLOOKUP(B682,'Form responses 1'!$B$2:$B$2604,'Form responses 1'!$F$2:$F$2604,""))</f>
        <v>M. 1979/ Way Halim Permai</v>
      </c>
      <c r="I682" s="44" t="str">
        <f t="array" ref="I682">IF(B682="","",_xlfn.XLOOKUP(B682,'Form responses 1'!$B$2:$B$2604,'Form responses 1'!$I$2:$I$2604,""))</f>
        <v>Way Halim Permai</v>
      </c>
      <c r="J682" s="44" t="str">
        <f t="array" ref="J682">IF(B682="","",_xlfn.XLOOKUP(B682,'Form responses 1'!$B$2:$B$2604,'Form responses 1'!$G$2:$G$2604,""))</f>
        <v>Hananda</v>
      </c>
      <c r="K682" s="41" t="s">
        <v>2875</v>
      </c>
      <c r="L682" s="52">
        <f t="shared" si="7"/>
        <v>45603.51456</v>
      </c>
      <c r="M682" s="49"/>
      <c r="N682" s="49"/>
      <c r="O682" s="49"/>
      <c r="P682" s="49"/>
      <c r="Q682" s="49"/>
      <c r="R682" s="49"/>
      <c r="S682" s="49"/>
      <c r="T682" s="49"/>
      <c r="U682" s="49"/>
      <c r="V682" s="49"/>
      <c r="W682" s="41" t="s">
        <v>618</v>
      </c>
      <c r="X682" s="46">
        <f t="shared" si="5"/>
        <v>45603.55289</v>
      </c>
      <c r="Y682" s="50" t="s">
        <v>482</v>
      </c>
      <c r="Z682" s="49">
        <f t="shared" si="6"/>
        <v>0</v>
      </c>
    </row>
    <row r="683" ht="22.5" customHeight="1">
      <c r="B683" s="41" t="s">
        <v>3536</v>
      </c>
      <c r="C683" s="43">
        <f t="array" ref="C683">IF(B683="","",_xlfn.XLOOKUP(B683,'Form responses 1'!$B$2:$B$2604,'Form responses 1'!$A$2:$A$2604,""))</f>
        <v>45601.43497</v>
      </c>
      <c r="D683" s="44" t="str">
        <f t="shared" si="3"/>
        <v>K/15/051124/3_45601.4349730903</v>
      </c>
      <c r="E683" s="44" t="str">
        <f t="array" ref="E683">IF(B683="","",_xlfn.XLOOKUP(B683,'Form responses 1'!$B$2:$B$2604,'Form responses 1'!$C$2:$C$2604,""))</f>
        <v>Mahfud/ Arya D S</v>
      </c>
      <c r="F683" s="44" t="str">
        <f t="array" ref="F683">IF(B683="","",_xlfn.XLOOKUP(B683,'Form responses 1'!$B$2:$B$2604,'Form responses 1'!$D$2:$D$2604,""))</f>
        <v>+62 857-0913-9403</v>
      </c>
      <c r="G683" s="44" t="str">
        <f t="array" ref="G683">IF(B683="","",_xlfn.XLOOKUP(B683,'Form responses 1'!$B$2:$B$2604,'Form responses 1'!$E$2:$E$2604,""))</f>
        <v>BN PHB</v>
      </c>
      <c r="H683" s="44" t="str">
        <f t="array" ref="H683">IF(B683="","",_xlfn.XLOOKUP(B683,'Form responses 1'!$B$2:$B$2604,'Form responses 1'!$F$2:$F$2604,""))</f>
        <v>M. 937/ Gunung Terang</v>
      </c>
      <c r="I683" s="44" t="str">
        <f t="array" ref="I683">IF(B683="","",_xlfn.XLOOKUP(B683,'Form responses 1'!$B$2:$B$2604,'Form responses 1'!$I$2:$I$2604,""))</f>
        <v>Gunung Terang</v>
      </c>
      <c r="J683" s="44" t="str">
        <f t="array" ref="J683">IF(B683="","",_xlfn.XLOOKUP(B683,'Form responses 1'!$B$2:$B$2604,'Form responses 1'!$G$2:$G$2604,""))</f>
        <v>Rapita</v>
      </c>
      <c r="K683" s="41" t="s">
        <v>2875</v>
      </c>
      <c r="L683" s="52">
        <f t="shared" si="7"/>
        <v>45603.51478</v>
      </c>
      <c r="M683" s="47" t="s">
        <v>5595</v>
      </c>
      <c r="N683" s="49"/>
      <c r="O683" s="49"/>
      <c r="P683" s="49"/>
      <c r="Q683" s="49"/>
      <c r="R683" s="49"/>
      <c r="S683" s="49"/>
      <c r="T683" s="49"/>
      <c r="U683" s="49"/>
      <c r="V683" s="49"/>
      <c r="W683" s="41" t="s">
        <v>618</v>
      </c>
      <c r="X683" s="46">
        <f t="shared" si="5"/>
        <v>45609.64054</v>
      </c>
      <c r="Y683" s="50" t="s">
        <v>482</v>
      </c>
      <c r="Z683" s="49">
        <f t="shared" si="6"/>
        <v>1</v>
      </c>
    </row>
    <row r="684" ht="22.5" customHeight="1">
      <c r="B684" s="41" t="s">
        <v>3570</v>
      </c>
      <c r="C684" s="43">
        <f t="array" ref="C684">IF(B684="","",_xlfn.XLOOKUP(B684,'Form responses 1'!$B$2:$B$2604,'Form responses 1'!$A$2:$A$2604,""))</f>
        <v>45601.47311</v>
      </c>
      <c r="D684" s="44" t="str">
        <f t="shared" si="3"/>
        <v>K/24/051124/2_45601.4731083565</v>
      </c>
      <c r="E684" s="44" t="str">
        <f t="array" ref="E684">IF(B684="","",_xlfn.XLOOKUP(B684,'Form responses 1'!$B$2:$B$2604,'Form responses 1'!$C$2:$C$2604,""))</f>
        <v>whinda y/ soewondo</v>
      </c>
      <c r="F684" s="44" t="str">
        <f t="array" ref="F684">IF(B684="","",_xlfn.XLOOKUP(B684,'Form responses 1'!$B$2:$B$2604,'Form responses 1'!$D$2:$D$2604,""))</f>
        <v>089663904479</v>
      </c>
      <c r="G684" s="44" t="str">
        <f t="array" ref="G684">IF(B684="","",_xlfn.XLOOKUP(B684,'Form responses 1'!$B$2:$B$2604,'Form responses 1'!$E$2:$E$2604,""))</f>
        <v>BN JUAL BELI</v>
      </c>
      <c r="H684" s="44" t="str">
        <f t="array" ref="H684">IF(B684="","",_xlfn.XLOOKUP(B684,'Form responses 1'!$B$2:$B$2604,'Form responses 1'!$F$2:$F$2604,""))</f>
        <v>Nibel 504/ Gunung Sulah</v>
      </c>
      <c r="I684" s="44" t="str">
        <f t="array" ref="I684">IF(B684="","",_xlfn.XLOOKUP(B684,'Form responses 1'!$B$2:$B$2604,'Form responses 1'!$I$2:$I$2604,""))</f>
        <v>Gunung Sulah</v>
      </c>
      <c r="J684" s="44" t="str">
        <f t="array" ref="J684">IF(B684="","",_xlfn.XLOOKUP(B684,'Form responses 1'!$B$2:$B$2604,'Form responses 1'!$G$2:$G$2604,""))</f>
        <v>Hananda</v>
      </c>
      <c r="K684" s="41" t="s">
        <v>2875</v>
      </c>
      <c r="L684" s="52">
        <f t="shared" si="7"/>
        <v>45603.51503</v>
      </c>
      <c r="M684" s="47" t="s">
        <v>5596</v>
      </c>
      <c r="N684" s="49"/>
      <c r="O684" s="49"/>
      <c r="P684" s="49"/>
      <c r="Q684" s="49"/>
      <c r="R684" s="49"/>
      <c r="S684" s="49"/>
      <c r="T684" s="49"/>
      <c r="U684" s="49"/>
      <c r="V684" s="49"/>
      <c r="W684" s="41" t="s">
        <v>618</v>
      </c>
      <c r="X684" s="46">
        <f t="shared" si="5"/>
        <v>45603.59071</v>
      </c>
      <c r="Y684" s="50" t="s">
        <v>482</v>
      </c>
      <c r="Z684" s="49">
        <f t="shared" si="6"/>
        <v>1</v>
      </c>
    </row>
    <row r="685" ht="22.5" customHeight="1">
      <c r="B685" s="41" t="s">
        <v>3700</v>
      </c>
      <c r="C685" s="43">
        <f t="array" ref="C685">IF(B685="","",_xlfn.XLOOKUP(B685,'Form responses 1'!$B$2:$B$2604,'Form responses 1'!$A$2:$A$2604,""))</f>
        <v>45601.6348</v>
      </c>
      <c r="D685" s="44" t="str">
        <f t="shared" si="3"/>
        <v>K/61/051124/3_45601.6348036921</v>
      </c>
      <c r="E685" s="44" t="str">
        <f t="array" ref="E685">IF(B685="","",_xlfn.XLOOKUP(B685,'Form responses 1'!$B$2:$B$2604,'Form responses 1'!$C$2:$C$2604,""))</f>
        <v>ardiansyah</v>
      </c>
      <c r="F685" s="44" t="str">
        <f t="array" ref="F685">IF(B685="","",_xlfn.XLOOKUP(B685,'Form responses 1'!$B$2:$B$2604,'Form responses 1'!$D$2:$D$2604,""))</f>
        <v>08117222871</v>
      </c>
      <c r="G685" s="44" t="str">
        <f t="array" ref="G685">IF(B685="","",_xlfn.XLOOKUP(B685,'Form responses 1'!$B$2:$B$2604,'Form responses 1'!$E$2:$E$2604,""))</f>
        <v>BN JUAL BELI</v>
      </c>
      <c r="H685" s="44" t="str">
        <f t="array" ref="H685">IF(B685="","",_xlfn.XLOOKUP(B685,'Form responses 1'!$B$2:$B$2604,'Form responses 1'!$F$2:$F$2604,""))</f>
        <v>Nibel 394/ Kemiling Permai</v>
      </c>
      <c r="I685" s="44" t="str">
        <f t="array" ref="I685">IF(B685="","",_xlfn.XLOOKUP(B685,'Form responses 1'!$B$2:$B$2604,'Form responses 1'!$I$2:$I$2604,""))</f>
        <v>Kemiling Permai</v>
      </c>
      <c r="J685" s="44" t="str">
        <f t="array" ref="J685">IF(B685="","",_xlfn.XLOOKUP(B685,'Form responses 1'!$B$2:$B$2604,'Form responses 1'!$G$2:$G$2604,""))</f>
        <v>Hananda</v>
      </c>
      <c r="K685" s="41" t="s">
        <v>2875</v>
      </c>
      <c r="L685" s="52">
        <f t="shared" si="7"/>
        <v>45603.51534</v>
      </c>
      <c r="M685" s="49"/>
      <c r="N685" s="49"/>
      <c r="O685" s="49"/>
      <c r="P685" s="49"/>
      <c r="Q685" s="49"/>
      <c r="R685" s="49"/>
      <c r="S685" s="49"/>
      <c r="T685" s="49"/>
      <c r="U685" s="49"/>
      <c r="V685" s="49"/>
      <c r="W685" s="41" t="s">
        <v>618</v>
      </c>
      <c r="X685" s="46">
        <f t="shared" si="5"/>
        <v>45603.60289</v>
      </c>
      <c r="Y685" s="50" t="s">
        <v>482</v>
      </c>
      <c r="Z685" s="49">
        <f t="shared" si="6"/>
        <v>0</v>
      </c>
    </row>
    <row r="686" ht="22.5" customHeight="1">
      <c r="B686" s="41" t="s">
        <v>3908</v>
      </c>
      <c r="C686" s="43">
        <f t="array" ref="C686">IF(B686="","",_xlfn.XLOOKUP(B686,'Form responses 1'!$B$2:$B$2604,'Form responses 1'!$A$2:$A$2604,""))</f>
        <v>45602.6186</v>
      </c>
      <c r="D686" s="44" t="str">
        <f t="shared" si="3"/>
        <v>K/47/061124/1_45602.6186000579</v>
      </c>
      <c r="E686" s="44" t="str">
        <f t="array" ref="E686">IF(B686="","",_xlfn.XLOOKUP(B686,'Form responses 1'!$B$2:$B$2604,'Form responses 1'!$C$2:$C$2604,""))</f>
        <v>NANIK MARYANI/RAKHMA WATI</v>
      </c>
      <c r="F686" s="44" t="str">
        <f t="array" ref="F686">IF(B686="","",_xlfn.XLOOKUP(B686,'Form responses 1'!$B$2:$B$2604,'Form responses 1'!$D$2:$D$2604,""))</f>
        <v>+62 822-5081-6900</v>
      </c>
      <c r="G686" s="44" t="str">
        <f t="array" ref="G686">IF(B686="","",_xlfn.XLOOKUP(B686,'Form responses 1'!$B$2:$B$2604,'Form responses 1'!$E$2:$E$2604,""))</f>
        <v>BN JUAL BELI</v>
      </c>
      <c r="H686" s="44" t="str">
        <f t="array" ref="H686">IF(B686="","",_xlfn.XLOOKUP(B686,'Form responses 1'!$B$2:$B$2604,'Form responses 1'!$F$2:$F$2604,""))</f>
        <v>M.16239/SUKABUMI</v>
      </c>
      <c r="I686" s="44" t="str">
        <f t="array" ref="I686">IF(B686="","",_xlfn.XLOOKUP(B686,'Form responses 1'!$B$2:$B$2604,'Form responses 1'!$I$2:$I$2604,""))</f>
        <v>SUKABUMI</v>
      </c>
      <c r="J686" s="44" t="str">
        <f t="array" ref="J686">IF(B686="","",_xlfn.XLOOKUP(B686,'Form responses 1'!$B$2:$B$2604,'Form responses 1'!$G$2:$G$2604,""))</f>
        <v>Aisyah</v>
      </c>
      <c r="K686" s="41" t="s">
        <v>2875</v>
      </c>
      <c r="L686" s="52">
        <f t="shared" si="7"/>
        <v>45603.51574</v>
      </c>
      <c r="M686" s="49"/>
      <c r="N686" s="49"/>
      <c r="O686" s="49"/>
      <c r="P686" s="49"/>
      <c r="Q686" s="49"/>
      <c r="R686" s="49"/>
      <c r="S686" s="49"/>
      <c r="T686" s="49"/>
      <c r="U686" s="49"/>
      <c r="V686" s="49"/>
      <c r="W686" s="41" t="s">
        <v>618</v>
      </c>
      <c r="X686" s="46">
        <f t="shared" si="5"/>
        <v>45607.37085</v>
      </c>
      <c r="Y686" s="50" t="s">
        <v>482</v>
      </c>
      <c r="Z686" s="49">
        <f t="shared" si="6"/>
        <v>0</v>
      </c>
    </row>
    <row r="687" ht="22.5" customHeight="1">
      <c r="B687" s="41" t="s">
        <v>3863</v>
      </c>
      <c r="C687" s="43">
        <f t="array" ref="C687">IF(B687="","",_xlfn.XLOOKUP(B687,'Form responses 1'!$B$2:$B$2604,'Form responses 1'!$A$2:$A$2604,""))</f>
        <v>45602.59182</v>
      </c>
      <c r="D687" s="44" t="str">
        <f t="shared" si="3"/>
        <v>K/35/061124/1_45602.5918186343</v>
      </c>
      <c r="E687" s="44" t="str">
        <f t="array" ref="E687">IF(B687="","",_xlfn.XLOOKUP(B687,'Form responses 1'!$B$2:$B$2604,'Form responses 1'!$C$2:$C$2604,""))</f>
        <v>Iqbal A/ Yuliati</v>
      </c>
      <c r="F687" s="44" t="str">
        <f t="array" ref="F687">IF(B687="","",_xlfn.XLOOKUP(B687,'Form responses 1'!$B$2:$B$2604,'Form responses 1'!$D$2:$D$2604,""))</f>
        <v>+62 813-7396-3448</v>
      </c>
      <c r="G687" s="44" t="str">
        <f t="array" ref="G687">IF(B687="","",_xlfn.XLOOKUP(B687,'Form responses 1'!$B$2:$B$2604,'Form responses 1'!$E$2:$E$2604,""))</f>
        <v>BN Jual Beli</v>
      </c>
      <c r="H687" s="44" t="str">
        <f t="array" ref="H687">IF(B687="","",_xlfn.XLOOKUP(B687,'Form responses 1'!$B$2:$B$2604,'Form responses 1'!$F$2:$F$2604,""))</f>
        <v>M. 1440/ Pesawahan</v>
      </c>
      <c r="I687" s="44" t="str">
        <f t="array" ref="I687">IF(B687="","",_xlfn.XLOOKUP(B687,'Form responses 1'!$B$2:$B$2604,'Form responses 1'!$I$2:$I$2604,""))</f>
        <v>Pesawahan</v>
      </c>
      <c r="J687" s="44" t="str">
        <f t="array" ref="J687">IF(B687="","",_xlfn.XLOOKUP(B687,'Form responses 1'!$B$2:$B$2604,'Form responses 1'!$G$2:$G$2604,""))</f>
        <v>Rapita</v>
      </c>
      <c r="K687" s="41" t="s">
        <v>2875</v>
      </c>
      <c r="L687" s="52">
        <f t="shared" si="7"/>
        <v>45603.51591</v>
      </c>
      <c r="M687" s="47" t="s">
        <v>5597</v>
      </c>
      <c r="N687" s="49"/>
      <c r="O687" s="49"/>
      <c r="P687" s="49"/>
      <c r="Q687" s="49"/>
      <c r="R687" s="49"/>
      <c r="S687" s="49"/>
      <c r="T687" s="49"/>
      <c r="U687" s="49"/>
      <c r="V687" s="49"/>
      <c r="W687" s="41" t="s">
        <v>470</v>
      </c>
      <c r="X687" s="46">
        <f t="shared" si="5"/>
        <v>45607.36723</v>
      </c>
      <c r="Y687" s="50" t="s">
        <v>482</v>
      </c>
      <c r="Z687" s="49">
        <f t="shared" si="6"/>
        <v>1</v>
      </c>
    </row>
    <row r="688" ht="22.5" customHeight="1">
      <c r="B688" s="41" t="s">
        <v>3742</v>
      </c>
      <c r="C688" s="43">
        <f t="array" ref="C688">IF(B688="","",_xlfn.XLOOKUP(B688,'Form responses 1'!$B$2:$B$2604,'Form responses 1'!$A$2:$A$2604,""))</f>
        <v>45602.41194</v>
      </c>
      <c r="D688" s="44" t="str">
        <f t="shared" si="3"/>
        <v>L/7/061124/1_45602.4119386227</v>
      </c>
      <c r="E688" s="44" t="str">
        <f t="array" ref="E688">IF(B688="","",_xlfn.XLOOKUP(B688,'Form responses 1'!$B$2:$B$2604,'Form responses 1'!$C$2:$C$2604,""))</f>
        <v>WONG PIX JUNG</v>
      </c>
      <c r="F688" s="44" t="str">
        <f t="array" ref="F688">IF(B688="","",_xlfn.XLOOKUP(B688,'Form responses 1'!$B$2:$B$2604,'Form responses 1'!$D$2:$D$2604,""))</f>
        <v>082278483001</v>
      </c>
      <c r="G688" s="44" t="str">
        <f t="array" ref="G688">IF(B688="","",_xlfn.XLOOKUP(B688,'Form responses 1'!$B$2:$B$2604,'Form responses 1'!$E$2:$E$2604,""))</f>
        <v>BLOKIR</v>
      </c>
      <c r="H688" s="44" t="str">
        <f t="array" ref="H688">IF(B688="","",_xlfn.XLOOKUP(B688,'Form responses 1'!$B$2:$B$2604,'Form responses 1'!$F$2:$F$2604,""))</f>
        <v>HM 1120/BUMI KEDAMAIAN</v>
      </c>
      <c r="I688" s="44" t="str">
        <f t="array" ref="I688">IF(B688="","",_xlfn.XLOOKUP(B688,'Form responses 1'!$B$2:$B$2604,'Form responses 1'!$I$2:$I$2604,""))</f>
        <v>BUMI KEDAMAIAN</v>
      </c>
      <c r="J688" s="44" t="str">
        <f t="array" ref="J688">IF(B688="","",_xlfn.XLOOKUP(B688,'Form responses 1'!$B$2:$B$2604,'Form responses 1'!$G$2:$G$2604,""))</f>
        <v>Deby</v>
      </c>
      <c r="K688" s="41" t="s">
        <v>2875</v>
      </c>
      <c r="L688" s="52">
        <f t="shared" si="7"/>
        <v>45603.51607</v>
      </c>
      <c r="M688" s="49"/>
      <c r="N688" s="49"/>
      <c r="O688" s="49"/>
      <c r="P688" s="49"/>
      <c r="Q688" s="49"/>
      <c r="R688" s="49"/>
      <c r="S688" s="49"/>
      <c r="T688" s="49"/>
      <c r="U688" s="49"/>
      <c r="V688" s="49"/>
      <c r="W688" s="41" t="s">
        <v>618</v>
      </c>
      <c r="X688" s="46">
        <f t="shared" si="5"/>
        <v>45603.62739</v>
      </c>
      <c r="Y688" s="50" t="s">
        <v>482</v>
      </c>
      <c r="Z688" s="49">
        <f t="shared" si="6"/>
        <v>0</v>
      </c>
    </row>
    <row r="689" ht="22.5" customHeight="1">
      <c r="B689" s="41" t="s">
        <v>3885</v>
      </c>
      <c r="C689" s="43">
        <f t="array" ref="C689">IF(B689="","",_xlfn.XLOOKUP(B689,'Form responses 1'!$B$2:$B$2604,'Form responses 1'!$A$2:$A$2604,""))</f>
        <v>45602.60217</v>
      </c>
      <c r="D689" s="44" t="str">
        <f t="shared" si="3"/>
        <v>L/41/061124/1_45602.602165544</v>
      </c>
      <c r="E689" s="44" t="str">
        <f t="array" ref="E689">IF(B689="","",_xlfn.XLOOKUP(B689,'Form responses 1'!$B$2:$B$2604,'Form responses 1'!$C$2:$C$2604,""))</f>
        <v>JAP IE LIEN</v>
      </c>
      <c r="F689" s="44" t="str">
        <f t="array" ref="F689">IF(B689="","",_xlfn.XLOOKUP(B689,'Form responses 1'!$B$2:$B$2604,'Form responses 1'!$D$2:$D$2604,""))</f>
        <v>089696390321</v>
      </c>
      <c r="G689" s="44" t="str">
        <f t="array" ref="G689">IF(B689="","",_xlfn.XLOOKUP(B689,'Form responses 1'!$B$2:$B$2604,'Form responses 1'!$E$2:$E$2604,""))</f>
        <v>PTPGT</v>
      </c>
      <c r="H689" s="44" t="str">
        <f t="array" ref="H689">IF(B689="","",_xlfn.XLOOKUP(B689,'Form responses 1'!$B$2:$B$2604,'Form responses 1'!$F$2:$F$2604,""))</f>
        <v>HM 13950/SUKABUMI</v>
      </c>
      <c r="I689" s="44" t="str">
        <f t="array" ref="I689">IF(B689="","",_xlfn.XLOOKUP(B689,'Form responses 1'!$B$2:$B$2604,'Form responses 1'!$I$2:$I$2604,""))</f>
        <v>SUKABUMI</v>
      </c>
      <c r="J689" s="44" t="str">
        <f t="array" ref="J689">IF(B689="","",_xlfn.XLOOKUP(B689,'Form responses 1'!$B$2:$B$2604,'Form responses 1'!$G$2:$G$2604,""))</f>
        <v>Deby</v>
      </c>
      <c r="K689" s="41" t="s">
        <v>2875</v>
      </c>
      <c r="L689" s="52">
        <f t="shared" si="7"/>
        <v>45603.51709</v>
      </c>
      <c r="M689" s="49"/>
      <c r="N689" s="49"/>
      <c r="O689" s="49"/>
      <c r="P689" s="49"/>
      <c r="Q689" s="49"/>
      <c r="R689" s="49"/>
      <c r="S689" s="49"/>
      <c r="T689" s="49"/>
      <c r="U689" s="49"/>
      <c r="V689" s="49"/>
      <c r="W689" s="41" t="s">
        <v>618</v>
      </c>
      <c r="X689" s="46">
        <f t="shared" si="5"/>
        <v>45603.64136</v>
      </c>
      <c r="Y689" s="50" t="s">
        <v>482</v>
      </c>
      <c r="Z689" s="49">
        <f t="shared" si="6"/>
        <v>0</v>
      </c>
    </row>
    <row r="690" ht="22.5" customHeight="1">
      <c r="B690" s="41" t="s">
        <v>3872</v>
      </c>
      <c r="C690" s="43">
        <f t="array" ref="C690">IF(B690="","",_xlfn.XLOOKUP(B690,'Form responses 1'!$B$2:$B$2604,'Form responses 1'!$A$2:$A$2604,""))</f>
        <v>45602.59534</v>
      </c>
      <c r="D690" s="44" t="str">
        <f t="shared" si="3"/>
        <v>L/37/061124/1_45602.5953395718</v>
      </c>
      <c r="E690" s="44" t="str">
        <f t="array" ref="E690">IF(B690="","",_xlfn.XLOOKUP(B690,'Form responses 1'!$B$2:$B$2604,'Form responses 1'!$C$2:$C$2604,""))</f>
        <v>EDI PURWONO</v>
      </c>
      <c r="F690" s="44" t="str">
        <f t="array" ref="F690">IF(B690="","",_xlfn.XLOOKUP(B690,'Form responses 1'!$B$2:$B$2604,'Form responses 1'!$D$2:$D$2604,""))</f>
        <v>082371015013</v>
      </c>
      <c r="G690" s="44" t="str">
        <f t="array" ref="G690">IF(B690="","",_xlfn.XLOOKUP(B690,'Form responses 1'!$B$2:$B$2604,'Form responses 1'!$E$2:$E$2604,""))</f>
        <v>PH</v>
      </c>
      <c r="H690" s="44" t="str">
        <f t="array" ref="H690">IF(B690="","",_xlfn.XLOOKUP(B690,'Form responses 1'!$B$2:$B$2604,'Form responses 1'!$F$2:$F$2604,""))</f>
        <v>HGB 811/KETEGUHAN</v>
      </c>
      <c r="I690" s="44" t="str">
        <f t="array" ref="I690">IF(B690="","",_xlfn.XLOOKUP(B690,'Form responses 1'!$B$2:$B$2604,'Form responses 1'!$I$2:$I$2604,""))</f>
        <v>KETEGUHAN</v>
      </c>
      <c r="J690" s="44" t="str">
        <f t="array" ref="J690">IF(B690="","",_xlfn.XLOOKUP(B690,'Form responses 1'!$B$2:$B$2604,'Form responses 1'!$G$2:$G$2604,""))</f>
        <v>Deby</v>
      </c>
      <c r="K690" s="41" t="s">
        <v>2875</v>
      </c>
      <c r="L690" s="52">
        <f t="shared" si="7"/>
        <v>45603.5171</v>
      </c>
      <c r="M690" s="47" t="s">
        <v>5598</v>
      </c>
      <c r="N690" s="49"/>
      <c r="O690" s="49"/>
      <c r="P690" s="49"/>
      <c r="Q690" s="49"/>
      <c r="R690" s="49"/>
      <c r="S690" s="49"/>
      <c r="T690" s="49"/>
      <c r="U690" s="49"/>
      <c r="V690" s="49"/>
      <c r="W690" s="41" t="s">
        <v>470</v>
      </c>
      <c r="X690" s="46">
        <f t="shared" si="5"/>
        <v>45607.37175</v>
      </c>
      <c r="Y690" s="50" t="s">
        <v>482</v>
      </c>
      <c r="Z690" s="49">
        <f t="shared" si="6"/>
        <v>1</v>
      </c>
    </row>
    <row r="691" ht="22.5" customHeight="1">
      <c r="B691" s="41" t="s">
        <v>3749</v>
      </c>
      <c r="C691" s="43">
        <f t="array" ref="C691">IF(B691="","",_xlfn.XLOOKUP(B691,'Form responses 1'!$B$2:$B$2604,'Form responses 1'!$A$2:$A$2604,""))</f>
        <v>45602.41504</v>
      </c>
      <c r="D691" s="44" t="str">
        <f t="shared" si="3"/>
        <v>K/11/061124/1_45602.4150426852</v>
      </c>
      <c r="E691" s="44" t="str">
        <f t="array" ref="E691">IF(B691="","",_xlfn.XLOOKUP(B691,'Form responses 1'!$B$2:$B$2604,'Form responses 1'!$C$2:$C$2604,""))</f>
        <v>Imelda Pasaribu/ Petrus S</v>
      </c>
      <c r="F691" s="44" t="str">
        <f t="array" ref="F691">IF(B691="","",_xlfn.XLOOKUP(B691,'Form responses 1'!$B$2:$B$2604,'Form responses 1'!$D$2:$D$2604,""))</f>
        <v>+62 812-7933-577</v>
      </c>
      <c r="G691" s="44" t="str">
        <f t="array" ref="G691">IF(B691="","",_xlfn.XLOOKUP(B691,'Form responses 1'!$B$2:$B$2604,'Form responses 1'!$E$2:$E$2604,""))</f>
        <v>Roya</v>
      </c>
      <c r="H691" s="44" t="str">
        <f t="array" ref="H691">IF(B691="","",_xlfn.XLOOKUP(B691,'Form responses 1'!$B$2:$B$2604,'Form responses 1'!$F$2:$F$2604,""))</f>
        <v>M. 927/ Pelita; SHT 2384/2014 dan SHT 4033/2018</v>
      </c>
      <c r="I691" s="44" t="str">
        <f t="array" ref="I691">IF(B691="","",_xlfn.XLOOKUP(B691,'Form responses 1'!$B$2:$B$2604,'Form responses 1'!$I$2:$I$2604,""))</f>
        <v>Pelita</v>
      </c>
      <c r="J691" s="44" t="str">
        <f t="array" ref="J691">IF(B691="","",_xlfn.XLOOKUP(B691,'Form responses 1'!$B$2:$B$2604,'Form responses 1'!$G$2:$G$2604,""))</f>
        <v>Rapita</v>
      </c>
      <c r="K691" s="41" t="s">
        <v>2875</v>
      </c>
      <c r="L691" s="52">
        <f t="shared" si="7"/>
        <v>45603.51712</v>
      </c>
      <c r="M691" s="47" t="s">
        <v>5599</v>
      </c>
      <c r="N691" s="49"/>
      <c r="O691" s="49"/>
      <c r="P691" s="49"/>
      <c r="Q691" s="49"/>
      <c r="R691" s="49"/>
      <c r="S691" s="49"/>
      <c r="T691" s="49"/>
      <c r="U691" s="49"/>
      <c r="V691" s="49"/>
      <c r="W691" s="41" t="s">
        <v>618</v>
      </c>
      <c r="X691" s="46">
        <f t="shared" si="5"/>
        <v>45609.39822</v>
      </c>
      <c r="Y691" s="50" t="s">
        <v>482</v>
      </c>
      <c r="Z691" s="49">
        <f t="shared" si="6"/>
        <v>1</v>
      </c>
    </row>
    <row r="692" ht="22.5" customHeight="1">
      <c r="B692" s="41" t="s">
        <v>3739</v>
      </c>
      <c r="C692" s="43">
        <f t="array" ref="C692">IF(B692="","",_xlfn.XLOOKUP(B692,'Form responses 1'!$B$2:$B$2604,'Form responses 1'!$A$2:$A$2604,""))</f>
        <v>45602.39513</v>
      </c>
      <c r="D692" s="44" t="str">
        <f t="shared" si="3"/>
        <v>K/6/061124/1_45602.3951283912</v>
      </c>
      <c r="E692" s="44" t="str">
        <f t="array" ref="E692">IF(B692="","",_xlfn.XLOOKUP(B692,'Form responses 1'!$B$2:$B$2604,'Form responses 1'!$C$2:$C$2604,""))</f>
        <v>M FAHRI ALVANZY RAFIQI/ANNA PUNAMASARI</v>
      </c>
      <c r="F692" s="44" t="str">
        <f t="array" ref="F692">IF(B692="","",_xlfn.XLOOKUP(B692,'Form responses 1'!$B$2:$B$2604,'Form responses 1'!$D$2:$D$2604,""))</f>
        <v>0811-7211-611</v>
      </c>
      <c r="G692" s="44" t="str">
        <f t="array" ref="G692">IF(B692="","",_xlfn.XLOOKUP(B692,'Form responses 1'!$B$2:$B$2604,'Form responses 1'!$E$2:$E$2604,""))</f>
        <v>BN JUAL BELI</v>
      </c>
      <c r="H692" s="44" t="str">
        <f t="array" ref="H692">IF(B692="","",_xlfn.XLOOKUP(B692,'Form responses 1'!$B$2:$B$2604,'Form responses 1'!$F$2:$F$2604,""))</f>
        <v>M.3348/KEMILING PERMAI-SEKARANG;M.1620-SUMBEREJO/KEMILING-DAHULU</v>
      </c>
      <c r="I692" s="44" t="str">
        <f t="array" ref="I692">IF(B692="","",_xlfn.XLOOKUP(B692,'Form responses 1'!$B$2:$B$2604,'Form responses 1'!$I$2:$I$2604,""))</f>
        <v>KEMILING PERMAI</v>
      </c>
      <c r="J692" s="44" t="str">
        <f t="array" ref="J692">IF(B692="","",_xlfn.XLOOKUP(B692,'Form responses 1'!$B$2:$B$2604,'Form responses 1'!$G$2:$G$2604,""))</f>
        <v>Baynur</v>
      </c>
      <c r="K692" s="41" t="s">
        <v>2875</v>
      </c>
      <c r="L692" s="52">
        <f t="shared" si="7"/>
        <v>45603.51713</v>
      </c>
      <c r="M692" s="47" t="s">
        <v>5600</v>
      </c>
      <c r="N692" s="49"/>
      <c r="O692" s="49"/>
      <c r="P692" s="49"/>
      <c r="Q692" s="49"/>
      <c r="R692" s="49"/>
      <c r="S692" s="49"/>
      <c r="T692" s="49"/>
      <c r="U692" s="49"/>
      <c r="V692" s="49"/>
      <c r="W692" s="41" t="s">
        <v>618</v>
      </c>
      <c r="X692" s="46">
        <f t="shared" si="5"/>
        <v>45611.63673</v>
      </c>
      <c r="Y692" s="50" t="s">
        <v>482</v>
      </c>
      <c r="Z692" s="49">
        <f t="shared" si="6"/>
        <v>1</v>
      </c>
    </row>
    <row r="693" ht="22.5" customHeight="1">
      <c r="B693" s="41" t="s">
        <v>3917</v>
      </c>
      <c r="C693" s="43">
        <f t="array" ref="C693">IF(B693="","",_xlfn.XLOOKUP(B693,'Form responses 1'!$B$2:$B$2604,'Form responses 1'!$A$2:$A$2604,""))</f>
        <v>45602.62367</v>
      </c>
      <c r="D693" s="44" t="str">
        <f t="shared" si="3"/>
        <v>K/51/061124/1_45602.6236747801</v>
      </c>
      <c r="E693" s="44" t="str">
        <f t="array" ref="E693">IF(B693="","",_xlfn.XLOOKUP(B693,'Form responses 1'!$B$2:$B$2604,'Form responses 1'!$C$2:$C$2604,""))</f>
        <v>PURWANTI/CHRISTINA ULINA </v>
      </c>
      <c r="F693" s="44" t="str">
        <f t="array" ref="F693">IF(B693="","",_xlfn.XLOOKUP(B693,'Form responses 1'!$B$2:$B$2604,'Form responses 1'!$D$2:$D$2604,""))</f>
        <v>0821-7879-5856</v>
      </c>
      <c r="G693" s="44" t="str">
        <f t="array" ref="G693">IF(B693="","",_xlfn.XLOOKUP(B693,'Form responses 1'!$B$2:$B$2604,'Form responses 1'!$E$2:$E$2604,""))</f>
        <v>BN JUAL BELI</v>
      </c>
      <c r="H693" s="44" t="str">
        <f t="array" ref="H693">IF(B693="","",_xlfn.XLOOKUP(B693,'Form responses 1'!$B$2:$B$2604,'Form responses 1'!$F$2:$F$2604,""))</f>
        <v>M.2019/LABUHAN DALAM</v>
      </c>
      <c r="I693" s="44" t="str">
        <f t="array" ref="I693">IF(B693="","",_xlfn.XLOOKUP(B693,'Form responses 1'!$B$2:$B$2604,'Form responses 1'!$I$2:$I$2604,""))</f>
        <v>LABUHAN DALAM</v>
      </c>
      <c r="J693" s="44" t="str">
        <f t="array" ref="J693">IF(B693="","",_xlfn.XLOOKUP(B693,'Form responses 1'!$B$2:$B$2604,'Form responses 1'!$G$2:$G$2604,""))</f>
        <v>Baynur</v>
      </c>
      <c r="K693" s="41" t="s">
        <v>2875</v>
      </c>
      <c r="L693" s="52">
        <f t="shared" si="7"/>
        <v>45603.51715</v>
      </c>
      <c r="M693" s="47" t="s">
        <v>5601</v>
      </c>
      <c r="N693" s="49"/>
      <c r="O693" s="49"/>
      <c r="P693" s="49"/>
      <c r="Q693" s="49"/>
      <c r="R693" s="49"/>
      <c r="S693" s="49"/>
      <c r="T693" s="49"/>
      <c r="U693" s="49"/>
      <c r="V693" s="49"/>
      <c r="W693" s="41" t="s">
        <v>470</v>
      </c>
      <c r="X693" s="46">
        <f t="shared" si="5"/>
        <v>45607.36933</v>
      </c>
      <c r="Y693" s="50" t="s">
        <v>482</v>
      </c>
      <c r="Z693" s="49">
        <f t="shared" si="6"/>
        <v>1</v>
      </c>
    </row>
    <row r="694" ht="22.5" customHeight="1">
      <c r="B694" s="41" t="s">
        <v>3722</v>
      </c>
      <c r="C694" s="43">
        <f t="array" ref="C694">IF(B694="","",_xlfn.XLOOKUP(B694,'Form responses 1'!$B$2:$B$2604,'Form responses 1'!$A$2:$A$2604,""))</f>
        <v>45602.36901</v>
      </c>
      <c r="D694" s="44" t="str">
        <f t="shared" si="3"/>
        <v>K/2/061124/1_45602.369012581</v>
      </c>
      <c r="E694" s="44" t="str">
        <f t="array" ref="E694">IF(B694="","",_xlfn.XLOOKUP(B694,'Form responses 1'!$B$2:$B$2604,'Form responses 1'!$C$2:$C$2604,""))</f>
        <v>ISMARINA/ASIH PURWANTI</v>
      </c>
      <c r="F694" s="44" t="str">
        <f t="array" ref="F694">IF(B694="","",_xlfn.XLOOKUP(B694,'Form responses 1'!$B$2:$B$2604,'Form responses 1'!$D$2:$D$2604,""))</f>
        <v>+62 813-6761-0046</v>
      </c>
      <c r="G694" s="44" t="str">
        <f t="array" ref="G694">IF(B694="","",_xlfn.XLOOKUP(B694,'Form responses 1'!$B$2:$B$2604,'Form responses 1'!$E$2:$E$2604,""))</f>
        <v>BN JUAL BELI</v>
      </c>
      <c r="H694" s="44" t="str">
        <f t="array" ref="H694">IF(B694="","",_xlfn.XLOOKUP(B694,'Form responses 1'!$B$2:$B$2604,'Form responses 1'!$F$2:$F$2604,""))</f>
        <v>NIBEL M.5648/ENGGAL</v>
      </c>
      <c r="I694" s="44" t="str">
        <f t="array" ref="I694">IF(B694="","",_xlfn.XLOOKUP(B694,'Form responses 1'!$B$2:$B$2604,'Form responses 1'!$I$2:$I$2604,""))</f>
        <v>ENGGAL</v>
      </c>
      <c r="J694" s="44" t="str">
        <f t="array" ref="J694">IF(B694="","",_xlfn.XLOOKUP(B694,'Form responses 1'!$B$2:$B$2604,'Form responses 1'!$G$2:$G$2604,""))</f>
        <v>Aisyah</v>
      </c>
      <c r="K694" s="41" t="s">
        <v>2875</v>
      </c>
      <c r="L694" s="52">
        <f t="shared" si="7"/>
        <v>45603.51717</v>
      </c>
      <c r="M694" s="49"/>
      <c r="N694" s="49"/>
      <c r="O694" s="49"/>
      <c r="P694" s="49"/>
      <c r="Q694" s="49"/>
      <c r="R694" s="49"/>
      <c r="S694" s="49"/>
      <c r="T694" s="49"/>
      <c r="U694" s="49"/>
      <c r="V694" s="49"/>
      <c r="W694" s="41" t="s">
        <v>618</v>
      </c>
      <c r="X694" s="46">
        <f t="shared" si="5"/>
        <v>45607.37008</v>
      </c>
      <c r="Y694" s="50" t="s">
        <v>482</v>
      </c>
      <c r="Z694" s="49">
        <f t="shared" si="6"/>
        <v>0</v>
      </c>
    </row>
    <row r="695" ht="22.5" customHeight="1">
      <c r="B695" s="41" t="s">
        <v>3779</v>
      </c>
      <c r="C695" s="43">
        <f t="array" ref="C695">IF(B695="","",_xlfn.XLOOKUP(B695,'Form responses 1'!$B$2:$B$2604,'Form responses 1'!$A$2:$A$2604,""))</f>
        <v>45602.45852</v>
      </c>
      <c r="D695" s="44" t="str">
        <f t="shared" si="3"/>
        <v>K/16/061124/1_45602.4585208218</v>
      </c>
      <c r="E695" s="44" t="str">
        <f t="array" ref="E695">IF(B695="","",_xlfn.XLOOKUP(B695,'Form responses 1'!$B$2:$B$2604,'Form responses 1'!$C$2:$C$2604,""))</f>
        <v>Richard Adi P/ Antonius D A</v>
      </c>
      <c r="F695" s="44" t="str">
        <f t="array" ref="F695">IF(B695="","",_xlfn.XLOOKUP(B695,'Form responses 1'!$B$2:$B$2604,'Form responses 1'!$D$2:$D$2604,""))</f>
        <v>085279997821</v>
      </c>
      <c r="G695" s="44" t="str">
        <f t="array" ref="G695">IF(B695="","",_xlfn.XLOOKUP(B695,'Form responses 1'!$B$2:$B$2604,'Form responses 1'!$E$2:$E$2604,""))</f>
        <v>BN Jual Beli</v>
      </c>
      <c r="H695" s="44" t="str">
        <f t="array" ref="H695">IF(B695="","",_xlfn.XLOOKUP(B695,'Form responses 1'!$B$2:$B$2604,'Form responses 1'!$F$2:$F$2604,""))</f>
        <v>B. 105/ Nusantara Permai</v>
      </c>
      <c r="I695" s="44" t="str">
        <f t="array" ref="I695">IF(B695="","",_xlfn.XLOOKUP(B695,'Form responses 1'!$B$2:$B$2604,'Form responses 1'!$I$2:$I$2604,""))</f>
        <v>Nusantara Permai</v>
      </c>
      <c r="J695" s="44" t="str">
        <f t="array" ref="J695">IF(B695="","",_xlfn.XLOOKUP(B695,'Form responses 1'!$B$2:$B$2604,'Form responses 1'!$G$2:$G$2604,""))</f>
        <v>Rapita</v>
      </c>
      <c r="K695" s="41" t="s">
        <v>587</v>
      </c>
      <c r="L695" s="52">
        <f t="shared" si="7"/>
        <v>45603.54411</v>
      </c>
      <c r="M695" s="47" t="s">
        <v>470</v>
      </c>
      <c r="N695" s="47" t="s">
        <v>5214</v>
      </c>
      <c r="O695" s="49"/>
      <c r="P695" s="49"/>
      <c r="Q695" s="49"/>
      <c r="R695" s="49"/>
      <c r="S695" s="49"/>
      <c r="T695" s="49"/>
      <c r="U695" s="49"/>
      <c r="V695" s="49"/>
      <c r="W695" s="41" t="s">
        <v>618</v>
      </c>
      <c r="X695" s="46">
        <f t="shared" si="5"/>
        <v>45610.60353</v>
      </c>
      <c r="Y695" s="50" t="s">
        <v>482</v>
      </c>
      <c r="Z695" s="49">
        <f t="shared" si="6"/>
        <v>2</v>
      </c>
    </row>
    <row r="696" ht="22.5" customHeight="1">
      <c r="B696" s="41" t="s">
        <v>3786</v>
      </c>
      <c r="C696" s="43">
        <f t="array" ref="C696">IF(B696="","",_xlfn.XLOOKUP(B696,'Form responses 1'!$B$2:$B$2604,'Form responses 1'!$A$2:$A$2604,""))</f>
        <v>45602.4628</v>
      </c>
      <c r="D696" s="44" t="str">
        <f t="shared" si="3"/>
        <v>K/17/061124/1_45602.4627994792</v>
      </c>
      <c r="E696" s="44" t="str">
        <f t="array" ref="E696">IF(B696="","",_xlfn.XLOOKUP(B696,'Form responses 1'!$B$2:$B$2604,'Form responses 1'!$C$2:$C$2604,""))</f>
        <v>APRIANA INDARWATI/NOVALIA EKA PUTRI</v>
      </c>
      <c r="F696" s="44" t="str">
        <f t="array" ref="F696">IF(B696="","",_xlfn.XLOOKUP(B696,'Form responses 1'!$B$2:$B$2604,'Form responses 1'!$D$2:$D$2604,""))</f>
        <v>0896-4922-2167</v>
      </c>
      <c r="G696" s="44" t="str">
        <f t="array" ref="G696">IF(B696="","",_xlfn.XLOOKUP(B696,'Form responses 1'!$B$2:$B$2604,'Form responses 1'!$E$2:$E$2604,""))</f>
        <v>BN JUAL BELI</v>
      </c>
      <c r="H696" s="44" t="str">
        <f t="array" ref="H696">IF(B696="","",_xlfn.XLOOKUP(B696,'Form responses 1'!$B$2:$B$2604,'Form responses 1'!$F$2:$F$2604,""))</f>
        <v>M.1375/BERINGIN JAYA-SEKARANG;B.2740/BERINGIN RAYA-DAHULU</v>
      </c>
      <c r="I696" s="44" t="str">
        <f t="array" ref="I696">IF(B696="","",_xlfn.XLOOKUP(B696,'Form responses 1'!$B$2:$B$2604,'Form responses 1'!$I$2:$I$2604,""))</f>
        <v>BERINGIN JAYA</v>
      </c>
      <c r="J696" s="44" t="str">
        <f t="array" ref="J696">IF(B696="","",_xlfn.XLOOKUP(B696,'Form responses 1'!$B$2:$B$2604,'Form responses 1'!$G$2:$G$2604,""))</f>
        <v>Baynur</v>
      </c>
      <c r="K696" s="41" t="s">
        <v>587</v>
      </c>
      <c r="L696" s="52">
        <f t="shared" si="7"/>
        <v>45603.5443</v>
      </c>
      <c r="M696" s="47" t="s">
        <v>470</v>
      </c>
      <c r="N696" s="47" t="s">
        <v>5214</v>
      </c>
      <c r="O696" s="49"/>
      <c r="P696" s="49"/>
      <c r="Q696" s="49"/>
      <c r="R696" s="49"/>
      <c r="S696" s="49"/>
      <c r="T696" s="49"/>
      <c r="U696" s="49"/>
      <c r="V696" s="49"/>
      <c r="W696" s="41" t="s">
        <v>618</v>
      </c>
      <c r="X696" s="46">
        <f t="shared" si="5"/>
        <v>45610.36945</v>
      </c>
      <c r="Y696" s="50" t="s">
        <v>482</v>
      </c>
      <c r="Z696" s="49">
        <f t="shared" si="6"/>
        <v>2</v>
      </c>
    </row>
    <row r="697" ht="22.5" customHeight="1">
      <c r="B697" s="41" t="s">
        <v>3848</v>
      </c>
      <c r="C697" s="43">
        <f t="array" ref="C697">IF(B697="","",_xlfn.XLOOKUP(B697,'Form responses 1'!$B$2:$B$2604,'Form responses 1'!$A$2:$A$2604,""))</f>
        <v>45602.58285</v>
      </c>
      <c r="D697" s="44" t="str">
        <f t="shared" si="3"/>
        <v>K/32/061124/2_45602.5828472107</v>
      </c>
      <c r="E697" s="44" t="str">
        <f t="array" ref="E697">IF(B697="","",_xlfn.XLOOKUP(B697,'Form responses 1'!$B$2:$B$2604,'Form responses 1'!$C$2:$C$2604,""))</f>
        <v>Fahrul R/ Prayoga P P</v>
      </c>
      <c r="F697" s="44" t="str">
        <f t="array" ref="F697">IF(B697="","",_xlfn.XLOOKUP(B697,'Form responses 1'!$B$2:$B$2604,'Form responses 1'!$D$2:$D$2604,""))</f>
        <v>+62 821-7585-0002</v>
      </c>
      <c r="G697" s="44" t="str">
        <f t="array" ref="G697">IF(B697="","",_xlfn.XLOOKUP(B697,'Form responses 1'!$B$2:$B$2604,'Form responses 1'!$E$2:$E$2604,""))</f>
        <v>BN Jual Beli</v>
      </c>
      <c r="H697" s="44" t="str">
        <f t="array" ref="H697">IF(B697="","",_xlfn.XLOOKUP(B697,'Form responses 1'!$B$2:$B$2604,'Form responses 1'!$F$2:$F$2604,""))</f>
        <v>M. 901/ Sumberrejo Sehatera</v>
      </c>
      <c r="I697" s="44" t="str">
        <f t="array" ref="I697">IF(B697="","",_xlfn.XLOOKUP(B697,'Form responses 1'!$B$2:$B$2604,'Form responses 1'!$I$2:$I$2604,""))</f>
        <v>Sumberrejo Sehatera</v>
      </c>
      <c r="J697" s="44" t="str">
        <f t="array" ref="J697">IF(B697="","",_xlfn.XLOOKUP(B697,'Form responses 1'!$B$2:$B$2604,'Form responses 1'!$G$2:$G$2604,""))</f>
        <v>Rapita</v>
      </c>
      <c r="K697" s="41" t="s">
        <v>587</v>
      </c>
      <c r="L697" s="52">
        <f t="shared" si="7"/>
        <v>45603.54461</v>
      </c>
      <c r="M697" s="47" t="s">
        <v>470</v>
      </c>
      <c r="N697" s="47" t="s">
        <v>5602</v>
      </c>
      <c r="O697" s="49"/>
      <c r="P697" s="49"/>
      <c r="Q697" s="49"/>
      <c r="R697" s="49"/>
      <c r="S697" s="49"/>
      <c r="T697" s="49"/>
      <c r="U697" s="49"/>
      <c r="V697" s="49"/>
      <c r="W697" s="41" t="s">
        <v>470</v>
      </c>
      <c r="X697" s="46">
        <f t="shared" si="5"/>
        <v>45607.32057</v>
      </c>
      <c r="Y697" s="50" t="s">
        <v>482</v>
      </c>
      <c r="Z697" s="49">
        <f t="shared" si="6"/>
        <v>2</v>
      </c>
    </row>
    <row r="698" ht="22.5" customHeight="1">
      <c r="B698" s="41" t="s">
        <v>3923</v>
      </c>
      <c r="C698" s="43">
        <f t="array" ref="C698">IF(B698="","",_xlfn.XLOOKUP(B698,'Form responses 1'!$B$2:$B$2604,'Form responses 1'!$A$2:$A$2604,""))</f>
        <v>45602.63178</v>
      </c>
      <c r="D698" s="44" t="str">
        <f t="shared" si="3"/>
        <v>K/53/061124/1_45602.6317846644</v>
      </c>
      <c r="E698" s="44" t="str">
        <f t="array" ref="E698">IF(B698="","",_xlfn.XLOOKUP(B698,'Form responses 1'!$B$2:$B$2604,'Form responses 1'!$C$2:$C$2604,""))</f>
        <v>SUTIKNO/EWON GUNAWAN</v>
      </c>
      <c r="F698" s="44" t="str">
        <f t="array" ref="F698">IF(B698="","",_xlfn.XLOOKUP(B698,'Form responses 1'!$B$2:$B$2604,'Form responses 1'!$D$2:$D$2604,""))</f>
        <v>089506115259</v>
      </c>
      <c r="G698" s="44" t="str">
        <f t="array" ref="G698">IF(B698="","",_xlfn.XLOOKUP(B698,'Form responses 1'!$B$2:$B$2604,'Form responses 1'!$E$2:$E$2604,""))</f>
        <v>ROYA</v>
      </c>
      <c r="H698" s="44" t="str">
        <f t="array" ref="H698">IF(B698="","",_xlfn.XLOOKUP(B698,'Form responses 1'!$B$2:$B$2604,'Form responses 1'!$F$2:$F$2604,""))</f>
        <v>M.11612/SEGALA MIDER</v>
      </c>
      <c r="I698" s="44" t="str">
        <f t="array" ref="I698">IF(B698="","",_xlfn.XLOOKUP(B698,'Form responses 1'!$B$2:$B$2604,'Form responses 1'!$I$2:$I$2604,""))</f>
        <v>SEGALA MIDER</v>
      </c>
      <c r="J698" s="44" t="str">
        <f t="array" ref="J698">IF(B698="","",_xlfn.XLOOKUP(B698,'Form responses 1'!$B$2:$B$2604,'Form responses 1'!$G$2:$G$2604,""))</f>
        <v>Baynur</v>
      </c>
      <c r="K698" s="41" t="s">
        <v>587</v>
      </c>
      <c r="L698" s="52">
        <f t="shared" si="7"/>
        <v>45603.54494</v>
      </c>
      <c r="M698" s="47" t="s">
        <v>5214</v>
      </c>
      <c r="N698" s="49"/>
      <c r="O698" s="49"/>
      <c r="P698" s="49"/>
      <c r="Q698" s="49"/>
      <c r="R698" s="49"/>
      <c r="S698" s="49"/>
      <c r="T698" s="49"/>
      <c r="U698" s="49"/>
      <c r="V698" s="49"/>
      <c r="W698" s="41" t="s">
        <v>618</v>
      </c>
      <c r="X698" s="46">
        <f t="shared" si="5"/>
        <v>45604.68501</v>
      </c>
      <c r="Y698" s="50" t="s">
        <v>482</v>
      </c>
      <c r="Z698" s="49">
        <f t="shared" si="6"/>
        <v>1</v>
      </c>
    </row>
    <row r="699" ht="22.5" customHeight="1">
      <c r="B699" s="41" t="s">
        <v>3937</v>
      </c>
      <c r="C699" s="43">
        <f t="array" ref="C699">IF(B699="","",_xlfn.XLOOKUP(B699,'Form responses 1'!$B$2:$B$2604,'Form responses 1'!$A$2:$A$2604,""))</f>
        <v>45602.6368</v>
      </c>
      <c r="D699" s="44" t="str">
        <f t="shared" si="3"/>
        <v>K/49/061124/3_45602.6367962153</v>
      </c>
      <c r="E699" s="44" t="str">
        <f t="array" ref="E699">IF(B699="","",_xlfn.XLOOKUP(B699,'Form responses 1'!$B$2:$B$2604,'Form responses 1'!$C$2:$C$2604,""))</f>
        <v>NANIK MARYANI / DAUD HADI WINARTO</v>
      </c>
      <c r="F699" s="44" t="str">
        <f t="array" ref="F699">IF(B699="","",_xlfn.XLOOKUP(B699,'Form responses 1'!$B$2:$B$2604,'Form responses 1'!$D$2:$D$2604,""))</f>
        <v>+62 822-5081-6900</v>
      </c>
      <c r="G699" s="44" t="str">
        <f t="array" ref="G699">IF(B699="","",_xlfn.XLOOKUP(B699,'Form responses 1'!$B$2:$B$2604,'Form responses 1'!$E$2:$E$2604,""))</f>
        <v>PH</v>
      </c>
      <c r="H699" s="44" t="str">
        <f t="array" ref="H699">IF(B699="","",_xlfn.XLOOKUP(B699,'Form responses 1'!$B$2:$B$2604,'Form responses 1'!$F$2:$F$2604,""))</f>
        <v>B.1777/JAGABAYA II-SEKARANG;B.354/JAGABAYA III-DAHULU</v>
      </c>
      <c r="I699" s="44" t="str">
        <f t="array" ref="I699">IF(B699="","",_xlfn.XLOOKUP(B699,'Form responses 1'!$B$2:$B$2604,'Form responses 1'!$I$2:$I$2604,""))</f>
        <v>JAGABAYA II</v>
      </c>
      <c r="J699" s="44" t="str">
        <f t="array" ref="J699">IF(B699="","",_xlfn.XLOOKUP(B699,'Form responses 1'!$B$2:$B$2604,'Form responses 1'!$G$2:$G$2604,""))</f>
        <v>Aisyah</v>
      </c>
      <c r="K699" s="41" t="s">
        <v>587</v>
      </c>
      <c r="L699" s="52">
        <f t="shared" si="7"/>
        <v>45603.54514</v>
      </c>
      <c r="M699" s="47" t="s">
        <v>5603</v>
      </c>
      <c r="N699" s="49"/>
      <c r="O699" s="49"/>
      <c r="P699" s="49"/>
      <c r="Q699" s="49"/>
      <c r="R699" s="49"/>
      <c r="S699" s="49"/>
      <c r="T699" s="49"/>
      <c r="U699" s="49"/>
      <c r="V699" s="49"/>
      <c r="W699" s="41" t="s">
        <v>470</v>
      </c>
      <c r="X699" s="46">
        <f t="shared" si="5"/>
        <v>45604.64526</v>
      </c>
      <c r="Y699" s="50" t="s">
        <v>482</v>
      </c>
      <c r="Z699" s="49">
        <f t="shared" si="6"/>
        <v>1</v>
      </c>
    </row>
    <row r="700" ht="22.5" customHeight="1">
      <c r="B700" s="41" t="s">
        <v>2601</v>
      </c>
      <c r="C700" s="43">
        <f t="array" ref="C700">IF(B700="","",_xlfn.XLOOKUP(B700,'Form responses 1'!$B$2:$B$2604,'Form responses 1'!$A$2:$A$2604,""))</f>
        <v>45594.58392</v>
      </c>
      <c r="D700" s="44" t="str">
        <f t="shared" si="3"/>
        <v>L/27/291024/1_45594.5839227778</v>
      </c>
      <c r="E700" s="44" t="str">
        <f t="array" ref="E700">IF(B700="","",_xlfn.XLOOKUP(B700,'Form responses 1'!$B$2:$B$2604,'Form responses 1'!$C$2:$C$2604,""))</f>
        <v>ANE INDAH KURNIA</v>
      </c>
      <c r="F700" s="44" t="str">
        <f t="array" ref="F700">IF(B700="","",_xlfn.XLOOKUP(B700,'Form responses 1'!$B$2:$B$2604,'Form responses 1'!$D$2:$D$2604,""))</f>
        <v>082387831096</v>
      </c>
      <c r="G700" s="44" t="str">
        <f t="array" ref="G700">IF(B700="","",_xlfn.XLOOKUP(B700,'Form responses 1'!$B$2:$B$2604,'Form responses 1'!$E$2:$E$2604,""))</f>
        <v>ROYA</v>
      </c>
      <c r="H700" s="44" t="str">
        <f t="array" ref="H700">IF(B700="","",_xlfn.XLOOKUP(B700,'Form responses 1'!$B$2:$B$2604,'Form responses 1'!$F$2:$F$2604,""))</f>
        <v>HM 1472/DURIAN PAYUNG</v>
      </c>
      <c r="I700" s="44" t="str">
        <f t="array" ref="I700">IF(B700="","",_xlfn.XLOOKUP(B700,'Form responses 1'!$B$2:$B$2604,'Form responses 1'!$I$2:$I$2604,""))</f>
        <v>DURIAN PAYUNG</v>
      </c>
      <c r="J700" s="44" t="str">
        <f t="array" ref="J700">IF(B700="","",_xlfn.XLOOKUP(B700,'Form responses 1'!$B$2:$B$2604,'Form responses 1'!$G$2:$G$2604,""))</f>
        <v>Deby</v>
      </c>
      <c r="K700" s="41" t="s">
        <v>5390</v>
      </c>
      <c r="L700" s="52">
        <f t="shared" si="7"/>
        <v>45603.55382</v>
      </c>
      <c r="M700" s="49"/>
      <c r="N700" s="49"/>
      <c r="O700" s="49"/>
      <c r="P700" s="49"/>
      <c r="Q700" s="49"/>
      <c r="R700" s="49"/>
      <c r="S700" s="49"/>
      <c r="T700" s="49"/>
      <c r="U700" s="49"/>
      <c r="V700" s="49"/>
      <c r="W700" s="41" t="s">
        <v>618</v>
      </c>
      <c r="X700" s="46">
        <f t="shared" si="5"/>
        <v>45603.55389</v>
      </c>
      <c r="Y700" s="50" t="s">
        <v>482</v>
      </c>
      <c r="Z700" s="49">
        <f t="shared" si="6"/>
        <v>0</v>
      </c>
    </row>
    <row r="701" ht="22.5" customHeight="1">
      <c r="B701" s="41" t="s">
        <v>2764</v>
      </c>
      <c r="C701" s="43">
        <f t="array" ref="C701">IF(B701="","",_xlfn.XLOOKUP(B701,'Form responses 1'!$B$2:$B$2604,'Form responses 1'!$A$2:$A$2604,""))</f>
        <v>45595.48252</v>
      </c>
      <c r="D701" s="44" t="str">
        <f t="shared" si="3"/>
        <v>K/19/301024/2_45595.4825188657</v>
      </c>
      <c r="E701" s="44" t="str">
        <f t="array" ref="E701">IF(B701="","",_xlfn.XLOOKUP(B701,'Form responses 1'!$B$2:$B$2604,'Form responses 1'!$C$2:$C$2604,""))</f>
        <v>TITAWATI CS/HENGKI KURNIAWAN </v>
      </c>
      <c r="F701" s="44" t="str">
        <f t="array" ref="F701">IF(B701="","",_xlfn.XLOOKUP(B701,'Form responses 1'!$B$2:$B$2604,'Form responses 1'!$D$2:$D$2604,""))</f>
        <v>0856-6464-4484</v>
      </c>
      <c r="G701" s="44" t="str">
        <f t="array" ref="G701">IF(B701="","",_xlfn.XLOOKUP(B701,'Form responses 1'!$B$2:$B$2604,'Form responses 1'!$E$2:$E$2604,""))</f>
        <v>ROYA</v>
      </c>
      <c r="H701" s="44" t="str">
        <f t="array" ref="H701">IF(B701="","",_xlfn.XLOOKUP(B701,'Form responses 1'!$B$2:$B$2604,'Form responses 1'!$F$2:$F$2604,""))</f>
        <v>M.11025/SUKABUMI</v>
      </c>
      <c r="I701" s="44" t="str">
        <f t="array" ref="I701">IF(B701="","",_xlfn.XLOOKUP(B701,'Form responses 1'!$B$2:$B$2604,'Form responses 1'!$I$2:$I$2604,""))</f>
        <v>SUKABUMI</v>
      </c>
      <c r="J701" s="44" t="str">
        <f t="array" ref="J701">IF(B701="","",_xlfn.XLOOKUP(B701,'Form responses 1'!$B$2:$B$2604,'Form responses 1'!$G$2:$G$2604,""))</f>
        <v>Baynur</v>
      </c>
      <c r="K701" s="41" t="s">
        <v>5390</v>
      </c>
      <c r="L701" s="52">
        <f t="shared" si="7"/>
        <v>45603.55423</v>
      </c>
      <c r="M701" s="49"/>
      <c r="N701" s="49"/>
      <c r="O701" s="49"/>
      <c r="P701" s="49"/>
      <c r="Q701" s="49"/>
      <c r="R701" s="49"/>
      <c r="S701" s="49"/>
      <c r="T701" s="49"/>
      <c r="U701" s="49"/>
      <c r="V701" s="49"/>
      <c r="W701" s="41" t="s">
        <v>618</v>
      </c>
      <c r="X701" s="46">
        <f t="shared" si="5"/>
        <v>45603.55428</v>
      </c>
      <c r="Y701" s="50" t="s">
        <v>482</v>
      </c>
      <c r="Z701" s="49">
        <f t="shared" si="6"/>
        <v>0</v>
      </c>
    </row>
    <row r="702" ht="22.5" customHeight="1">
      <c r="B702" s="41" t="s">
        <v>2786</v>
      </c>
      <c r="C702" s="43">
        <f t="array" ref="C702">IF(B702="","",_xlfn.XLOOKUP(B702,'Form responses 1'!$B$2:$B$2604,'Form responses 1'!$A$2:$A$2604,""))</f>
        <v>45595.57785</v>
      </c>
      <c r="D702" s="44" t="str">
        <f t="shared" si="3"/>
        <v>K/26/301024/2_45595.5778459144</v>
      </c>
      <c r="E702" s="44" t="str">
        <f t="array" ref="E702">IF(B702="","",_xlfn.XLOOKUP(B702,'Form responses 1'!$B$2:$B$2604,'Form responses 1'!$C$2:$C$2604,""))</f>
        <v>HERLIYANTI/SERUNI WIDYAWATI</v>
      </c>
      <c r="F702" s="44" t="str">
        <f t="array" ref="F702">IF(B702="","",_xlfn.XLOOKUP(B702,'Form responses 1'!$B$2:$B$2604,'Form responses 1'!$D$2:$D$2604,""))</f>
        <v>0895-6092-80120</v>
      </c>
      <c r="G702" s="44" t="str">
        <f t="array" ref="G702">IF(B702="","",_xlfn.XLOOKUP(B702,'Form responses 1'!$B$2:$B$2604,'Form responses 1'!$E$2:$E$2604,""))</f>
        <v>HIBAH</v>
      </c>
      <c r="H702" s="44" t="str">
        <f t="array" ref="H702">IF(B702="","",_xlfn.XLOOKUP(B702,'Form responses 1'!$B$2:$B$2604,'Form responses 1'!$F$2:$F$2604,""))</f>
        <v>M.11542/LABUHAN RATU</v>
      </c>
      <c r="I702" s="44" t="str">
        <f t="array" ref="I702">IF(B702="","",_xlfn.XLOOKUP(B702,'Form responses 1'!$B$2:$B$2604,'Form responses 1'!$I$2:$I$2604,""))</f>
        <v>LABUHAN RATU</v>
      </c>
      <c r="J702" s="44" t="str">
        <f t="array" ref="J702">IF(B702="","",_xlfn.XLOOKUP(B702,'Form responses 1'!$B$2:$B$2604,'Form responses 1'!$G$2:$G$2604,""))</f>
        <v>Baynur</v>
      </c>
      <c r="K702" s="41" t="s">
        <v>5390</v>
      </c>
      <c r="L702" s="52">
        <f t="shared" si="7"/>
        <v>45603.55455</v>
      </c>
      <c r="M702" s="49"/>
      <c r="N702" s="49"/>
      <c r="O702" s="49"/>
      <c r="P702" s="49"/>
      <c r="Q702" s="49"/>
      <c r="R702" s="49"/>
      <c r="S702" s="49"/>
      <c r="T702" s="49"/>
      <c r="U702" s="49"/>
      <c r="V702" s="49"/>
      <c r="W702" s="41" t="s">
        <v>618</v>
      </c>
      <c r="X702" s="46">
        <f t="shared" si="5"/>
        <v>45603.55461</v>
      </c>
      <c r="Y702" s="50" t="s">
        <v>482</v>
      </c>
      <c r="Z702" s="49">
        <f t="shared" si="6"/>
        <v>0</v>
      </c>
    </row>
    <row r="703" ht="22.5" customHeight="1">
      <c r="B703" s="41" t="s">
        <v>2767</v>
      </c>
      <c r="C703" s="43">
        <f t="array" ref="C703">IF(B703="","",_xlfn.XLOOKUP(B703,'Form responses 1'!$B$2:$B$2604,'Form responses 1'!$A$2:$A$2604,""))</f>
        <v>45595.48327</v>
      </c>
      <c r="D703" s="44" t="str">
        <f t="shared" si="3"/>
        <v>K/20/301024/3_45595.4832691435</v>
      </c>
      <c r="E703" s="44" t="str">
        <f t="array" ref="E703">IF(B703="","",_xlfn.XLOOKUP(B703,'Form responses 1'!$B$2:$B$2604,'Form responses 1'!$C$2:$C$2604,""))</f>
        <v>TITAWATI CS/HENGKI GUSTIAWAN</v>
      </c>
      <c r="F703" s="44" t="str">
        <f t="array" ref="F703">IF(B703="","",_xlfn.XLOOKUP(B703,'Form responses 1'!$B$2:$B$2604,'Form responses 1'!$D$2:$D$2604,""))</f>
        <v>0856-6464-4484</v>
      </c>
      <c r="G703" s="44" t="str">
        <f t="array" ref="G703">IF(B703="","",_xlfn.XLOOKUP(B703,'Form responses 1'!$B$2:$B$2604,'Form responses 1'!$E$2:$E$2604,""))</f>
        <v>ROYA</v>
      </c>
      <c r="H703" s="44" t="str">
        <f t="array" ref="H703">IF(B703="","",_xlfn.XLOOKUP(B703,'Form responses 1'!$B$2:$B$2604,'Form responses 1'!$F$2:$F$2604,""))</f>
        <v>M.9801/SUKABUMI</v>
      </c>
      <c r="I703" s="44" t="str">
        <f t="array" ref="I703">IF(B703="","",_xlfn.XLOOKUP(B703,'Form responses 1'!$B$2:$B$2604,'Form responses 1'!$I$2:$I$2604,""))</f>
        <v>SUKABUMI</v>
      </c>
      <c r="J703" s="44" t="str">
        <f t="array" ref="J703">IF(B703="","",_xlfn.XLOOKUP(B703,'Form responses 1'!$B$2:$B$2604,'Form responses 1'!$G$2:$G$2604,""))</f>
        <v>Baynur</v>
      </c>
      <c r="K703" s="41" t="s">
        <v>5390</v>
      </c>
      <c r="L703" s="52">
        <f t="shared" si="7"/>
        <v>45603.55483</v>
      </c>
      <c r="M703" s="49"/>
      <c r="N703" s="49"/>
      <c r="O703" s="49"/>
      <c r="P703" s="49"/>
      <c r="Q703" s="49"/>
      <c r="R703" s="49"/>
      <c r="S703" s="49"/>
      <c r="T703" s="49"/>
      <c r="U703" s="49"/>
      <c r="V703" s="49"/>
      <c r="W703" s="41" t="s">
        <v>618</v>
      </c>
      <c r="X703" s="46">
        <f t="shared" si="5"/>
        <v>45603.5549</v>
      </c>
      <c r="Y703" s="50" t="s">
        <v>482</v>
      </c>
      <c r="Z703" s="49">
        <f t="shared" si="6"/>
        <v>0</v>
      </c>
    </row>
    <row r="704" ht="22.5" customHeight="1">
      <c r="B704" s="41" t="s">
        <v>2898</v>
      </c>
      <c r="C704" s="43">
        <f t="array" ref="C704">IF(B704="","",_xlfn.XLOOKUP(B704,'Form responses 1'!$B$2:$B$2604,'Form responses 1'!$A$2:$A$2604,""))</f>
        <v>45596.4267</v>
      </c>
      <c r="D704" s="44" t="str">
        <f t="shared" si="3"/>
        <v>K/10/311024/4_45596.4266966782</v>
      </c>
      <c r="E704" s="44" t="str">
        <f t="array" ref="E704">IF(B704="","",_xlfn.XLOOKUP(B704,'Form responses 1'!$B$2:$B$2604,'Form responses 1'!$C$2:$C$2604,""))</f>
        <v>NOVI FIRDAYANTI CS/EDYAWATI</v>
      </c>
      <c r="F704" s="44" t="str">
        <f t="array" ref="F704">IF(B704="","",_xlfn.XLOOKUP(B704,'Form responses 1'!$B$2:$B$2604,'Form responses 1'!$D$2:$D$2604,""))</f>
        <v>081541360418</v>
      </c>
      <c r="G704" s="44" t="str">
        <f t="array" ref="G704">IF(B704="","",_xlfn.XLOOKUP(B704,'Form responses 1'!$B$2:$B$2604,'Form responses 1'!$E$2:$E$2604,""))</f>
        <v>KEWARISAN</v>
      </c>
      <c r="H704" s="44" t="str">
        <f t="array" ref="H704">IF(B704="","",_xlfn.XLOOKUP(B704,'Form responses 1'!$B$2:$B$2604,'Form responses 1'!$F$2:$F$2604,""))</f>
        <v>M.1563/KEMILING PERMAI</v>
      </c>
      <c r="I704" s="44" t="str">
        <f t="array" ref="I704">IF(B704="","",_xlfn.XLOOKUP(B704,'Form responses 1'!$B$2:$B$2604,'Form responses 1'!$I$2:$I$2604,""))</f>
        <v>KEMILING PERMAI</v>
      </c>
      <c r="J704" s="44" t="str">
        <f t="array" ref="J704">IF(B704="","",_xlfn.XLOOKUP(B704,'Form responses 1'!$B$2:$B$2604,'Form responses 1'!$G$2:$G$2604,""))</f>
        <v>Baynur</v>
      </c>
      <c r="K704" s="41" t="s">
        <v>5390</v>
      </c>
      <c r="L704" s="52">
        <f t="shared" si="7"/>
        <v>45603.55635</v>
      </c>
      <c r="M704" s="47" t="s">
        <v>5604</v>
      </c>
      <c r="N704" s="49"/>
      <c r="O704" s="49"/>
      <c r="P704" s="49"/>
      <c r="Q704" s="49"/>
      <c r="R704" s="49"/>
      <c r="S704" s="49"/>
      <c r="T704" s="49"/>
      <c r="U704" s="49"/>
      <c r="V704" s="49"/>
      <c r="W704" s="41" t="s">
        <v>470</v>
      </c>
      <c r="X704" s="46">
        <f t="shared" si="5"/>
        <v>45603.5564</v>
      </c>
      <c r="Y704" s="50" t="s">
        <v>482</v>
      </c>
      <c r="Z704" s="49">
        <f t="shared" si="6"/>
        <v>1</v>
      </c>
    </row>
    <row r="705" ht="22.5" customHeight="1">
      <c r="B705" s="41" t="s">
        <v>2944</v>
      </c>
      <c r="C705" s="43">
        <f t="array" ref="C705">IF(B705="","",_xlfn.XLOOKUP(B705,'Form responses 1'!$B$2:$B$2604,'Form responses 1'!$A$2:$A$2604,""))</f>
        <v>45596.48969</v>
      </c>
      <c r="D705" s="44" t="str">
        <f t="shared" si="3"/>
        <v>K/23/311024/1_45596.4896911343</v>
      </c>
      <c r="E705" s="44" t="str">
        <f t="array" ref="E705">IF(B705="","",_xlfn.XLOOKUP(B705,'Form responses 1'!$B$2:$B$2604,'Form responses 1'!$C$2:$C$2604,""))</f>
        <v>HERRI WIBOWO/ABDI  HARI KURNIAWAN</v>
      </c>
      <c r="F705" s="44" t="str">
        <f t="array" ref="F705">IF(B705="","",_xlfn.XLOOKUP(B705,'Form responses 1'!$B$2:$B$2604,'Form responses 1'!$D$2:$D$2604,""))</f>
        <v>0821-8241-4776</v>
      </c>
      <c r="G705" s="44" t="str">
        <f t="array" ref="G705">IF(B705="","",_xlfn.XLOOKUP(B705,'Form responses 1'!$B$2:$B$2604,'Form responses 1'!$E$2:$E$2604,""))</f>
        <v>ROYA</v>
      </c>
      <c r="H705" s="44" t="str">
        <f t="array" ref="H705">IF(B705="","",_xlfn.XLOOKUP(B705,'Form responses 1'!$B$2:$B$2604,'Form responses 1'!$F$2:$F$2604,""))</f>
        <v>M.3135/TANJUNG SENENG</v>
      </c>
      <c r="I705" s="44" t="str">
        <f t="array" ref="I705">IF(B705="","",_xlfn.XLOOKUP(B705,'Form responses 1'!$B$2:$B$2604,'Form responses 1'!$I$2:$I$2604,""))</f>
        <v>TANJUNG SENENG</v>
      </c>
      <c r="J705" s="44" t="str">
        <f t="array" ref="J705">IF(B705="","",_xlfn.XLOOKUP(B705,'Form responses 1'!$B$2:$B$2604,'Form responses 1'!$G$2:$G$2604,""))</f>
        <v>Baynur</v>
      </c>
      <c r="K705" s="41" t="s">
        <v>5390</v>
      </c>
      <c r="L705" s="52">
        <f t="shared" si="7"/>
        <v>45603.55748</v>
      </c>
      <c r="M705" s="49"/>
      <c r="N705" s="49"/>
      <c r="O705" s="49"/>
      <c r="P705" s="49"/>
      <c r="Q705" s="49"/>
      <c r="R705" s="49"/>
      <c r="S705" s="49"/>
      <c r="T705" s="49"/>
      <c r="U705" s="49"/>
      <c r="V705" s="49"/>
      <c r="W705" s="41" t="s">
        <v>618</v>
      </c>
      <c r="X705" s="46">
        <f t="shared" si="5"/>
        <v>45603.55752</v>
      </c>
      <c r="Y705" s="50" t="s">
        <v>482</v>
      </c>
      <c r="Z705" s="49">
        <f t="shared" si="6"/>
        <v>0</v>
      </c>
    </row>
    <row r="706" ht="22.5" customHeight="1">
      <c r="B706" s="41" t="s">
        <v>2584</v>
      </c>
      <c r="C706" s="43">
        <f t="array" ref="C706">IF(B706="","",_xlfn.XLOOKUP(B706,'Form responses 1'!$B$2:$B$2604,'Form responses 1'!$A$2:$A$2604,""))</f>
        <v>45594.57177</v>
      </c>
      <c r="D706" s="44" t="str">
        <f t="shared" si="3"/>
        <v>K/22/291024/2_45594.5717702315</v>
      </c>
      <c r="E706" s="44" t="str">
        <f t="array" ref="E706">IF(B706="","",_xlfn.XLOOKUP(B706,'Form responses 1'!$B$2:$B$2604,'Form responses 1'!$C$2:$C$2604,""))</f>
        <v>Endang Aprilia/ Dennis  A</v>
      </c>
      <c r="F706" s="44" t="str">
        <f t="array" ref="F706">IF(B706="","",_xlfn.XLOOKUP(B706,'Form responses 1'!$B$2:$B$2604,'Form responses 1'!$D$2:$D$2604,""))</f>
        <v>+62 822-8923-5722</v>
      </c>
      <c r="G706" s="44" t="str">
        <f t="array" ref="G706">IF(B706="","",_xlfn.XLOOKUP(B706,'Form responses 1'!$B$2:$B$2604,'Form responses 1'!$E$2:$E$2604,""))</f>
        <v>Perubahan Hak</v>
      </c>
      <c r="H706" s="44" t="str">
        <f t="array" ref="H706">IF(B706="","",_xlfn.XLOOKUP(B706,'Form responses 1'!$B$2:$B$2604,'Form responses 1'!$F$2:$F$2604,""))</f>
        <v>Nibel. B. 2603/ Kemiling Permai</v>
      </c>
      <c r="I706" s="44" t="str">
        <f t="array" ref="I706">IF(B706="","",_xlfn.XLOOKUP(B706,'Form responses 1'!$B$2:$B$2604,'Form responses 1'!$I$2:$I$2604,""))</f>
        <v>Kemiling Permai</v>
      </c>
      <c r="J706" s="44" t="str">
        <f t="array" ref="J706">IF(B706="","",_xlfn.XLOOKUP(B706,'Form responses 1'!$B$2:$B$2604,'Form responses 1'!$G$2:$G$2604,""))</f>
        <v>Rapita</v>
      </c>
      <c r="K706" s="41" t="s">
        <v>5390</v>
      </c>
      <c r="L706" s="52">
        <f t="shared" si="7"/>
        <v>45603.55773</v>
      </c>
      <c r="M706" s="49"/>
      <c r="N706" s="49"/>
      <c r="O706" s="49"/>
      <c r="P706" s="49"/>
      <c r="Q706" s="49"/>
      <c r="R706" s="49"/>
      <c r="S706" s="49"/>
      <c r="T706" s="49"/>
      <c r="U706" s="49"/>
      <c r="V706" s="49"/>
      <c r="W706" s="41" t="s">
        <v>618</v>
      </c>
      <c r="X706" s="46">
        <f t="shared" si="5"/>
        <v>45603.55778</v>
      </c>
      <c r="Y706" s="50" t="s">
        <v>482</v>
      </c>
      <c r="Z706" s="49">
        <f t="shared" si="6"/>
        <v>0</v>
      </c>
    </row>
    <row r="707" ht="22.5" customHeight="1">
      <c r="B707" s="41" t="s">
        <v>2496</v>
      </c>
      <c r="C707" s="43">
        <f t="array" ref="C707">IF(B707="","",_xlfn.XLOOKUP(B707,'Form responses 1'!$B$2:$B$2604,'Form responses 1'!$A$2:$A$2604,""))</f>
        <v>45594.38542</v>
      </c>
      <c r="D707" s="44" t="str">
        <f t="shared" si="3"/>
        <v>L/2/291024/1_45594.3854200695</v>
      </c>
      <c r="E707" s="44" t="str">
        <f t="array" ref="E707">IF(B707="","",_xlfn.XLOOKUP(B707,'Form responses 1'!$B$2:$B$2604,'Form responses 1'!$C$2:$C$2604,""))</f>
        <v>HAJARUL HAITOMI</v>
      </c>
      <c r="F707" s="44" t="str">
        <f t="array" ref="F707">IF(B707="","",_xlfn.XLOOKUP(B707,'Form responses 1'!$B$2:$B$2604,'Form responses 1'!$D$2:$D$2604,""))</f>
        <v>081272742815</v>
      </c>
      <c r="G707" s="44" t="str">
        <f t="array" ref="G707">IF(B707="","",_xlfn.XLOOKUP(B707,'Form responses 1'!$B$2:$B$2604,'Form responses 1'!$E$2:$E$2604,""))</f>
        <v>ROYA</v>
      </c>
      <c r="H707" s="44" t="str">
        <f t="array" ref="H707">IF(B707="","",_xlfn.XLOOKUP(B707,'Form responses 1'!$B$2:$B$2604,'Form responses 1'!$F$2:$F$2604,""))</f>
        <v>HM 208/KUPANG RAYA</v>
      </c>
      <c r="I707" s="44" t="str">
        <f t="array" ref="I707">IF(B707="","",_xlfn.XLOOKUP(B707,'Form responses 1'!$B$2:$B$2604,'Form responses 1'!$I$2:$I$2604,""))</f>
        <v>KUPANG RAYA</v>
      </c>
      <c r="J707" s="44" t="str">
        <f t="array" ref="J707">IF(B707="","",_xlfn.XLOOKUP(B707,'Form responses 1'!$B$2:$B$2604,'Form responses 1'!$G$2:$G$2604,""))</f>
        <v>Deby</v>
      </c>
      <c r="K707" s="41" t="s">
        <v>5390</v>
      </c>
      <c r="L707" s="52">
        <f t="shared" si="7"/>
        <v>45603.55795</v>
      </c>
      <c r="M707" s="49"/>
      <c r="N707" s="49"/>
      <c r="O707" s="49"/>
      <c r="P707" s="49"/>
      <c r="Q707" s="49"/>
      <c r="R707" s="49"/>
      <c r="S707" s="49"/>
      <c r="T707" s="49"/>
      <c r="U707" s="49"/>
      <c r="V707" s="49"/>
      <c r="W707" s="41" t="s">
        <v>618</v>
      </c>
      <c r="X707" s="46">
        <f t="shared" si="5"/>
        <v>45603.558</v>
      </c>
      <c r="Y707" s="50" t="s">
        <v>482</v>
      </c>
      <c r="Z707" s="49">
        <f t="shared" si="6"/>
        <v>0</v>
      </c>
    </row>
    <row r="708" ht="22.5" customHeight="1">
      <c r="B708" s="41" t="s">
        <v>2990</v>
      </c>
      <c r="C708" s="43">
        <f t="array" ref="C708">IF(B708="","",_xlfn.XLOOKUP(B708,'Form responses 1'!$B$2:$B$2604,'Form responses 1'!$A$2:$A$2604,""))</f>
        <v>45596.57916</v>
      </c>
      <c r="D708" s="44" t="str">
        <f t="shared" si="3"/>
        <v>K/36/311024/1_45596.5791575579</v>
      </c>
      <c r="E708" s="44" t="str">
        <f t="array" ref="E708">IF(B708="","",_xlfn.XLOOKUP(B708,'Form responses 1'!$B$2:$B$2604,'Form responses 1'!$C$2:$C$2604,""))</f>
        <v>VONITA/RAFICO</v>
      </c>
      <c r="F708" s="44" t="str">
        <f t="array" ref="F708">IF(B708="","",_xlfn.XLOOKUP(B708,'Form responses 1'!$B$2:$B$2604,'Form responses 1'!$D$2:$D$2604,""))</f>
        <v>082282168354</v>
      </c>
      <c r="G708" s="44" t="str">
        <f t="array" ref="G708">IF(B708="","",_xlfn.XLOOKUP(B708,'Form responses 1'!$B$2:$B$2604,'Form responses 1'!$E$2:$E$2604,""))</f>
        <v>PENINGKATAN</v>
      </c>
      <c r="H708" s="44" t="str">
        <f t="array" ref="H708">IF(B708="","",_xlfn.XLOOKUP(B708,'Form responses 1'!$B$2:$B$2604,'Form responses 1'!$F$2:$F$2604,""))</f>
        <v>B.571/NUSANTARA PERMAI-SEKARANG;B.616/CAMPANG RAYA-DAHULU</v>
      </c>
      <c r="I708" s="44" t="str">
        <f t="array" ref="I708">IF(B708="","",_xlfn.XLOOKUP(B708,'Form responses 1'!$B$2:$B$2604,'Form responses 1'!$I$2:$I$2604,""))</f>
        <v>NUSANTARA PERMAI</v>
      </c>
      <c r="J708" s="44" t="str">
        <f t="array" ref="J708">IF(B708="","",_xlfn.XLOOKUP(B708,'Form responses 1'!$B$2:$B$2604,'Form responses 1'!$G$2:$G$2604,""))</f>
        <v>Baynur</v>
      </c>
      <c r="K708" s="41" t="s">
        <v>5390</v>
      </c>
      <c r="L708" s="52">
        <f t="shared" si="7"/>
        <v>45603.55835</v>
      </c>
      <c r="M708" s="49"/>
      <c r="N708" s="49"/>
      <c r="O708" s="49"/>
      <c r="P708" s="49"/>
      <c r="Q708" s="49"/>
      <c r="R708" s="49"/>
      <c r="S708" s="49"/>
      <c r="T708" s="49"/>
      <c r="U708" s="49"/>
      <c r="V708" s="49"/>
      <c r="W708" s="41" t="s">
        <v>618</v>
      </c>
      <c r="X708" s="46">
        <f t="shared" si="5"/>
        <v>45603.5584</v>
      </c>
      <c r="Y708" s="50" t="s">
        <v>482</v>
      </c>
      <c r="Z708" s="49">
        <f t="shared" si="6"/>
        <v>0</v>
      </c>
    </row>
    <row r="709" ht="22.5" customHeight="1">
      <c r="B709" s="41" t="s">
        <v>3882</v>
      </c>
      <c r="C709" s="43">
        <f t="array" ref="C709">IF(B709="","",_xlfn.XLOOKUP(B709,'Form responses 1'!$B$2:$B$2604,'Form responses 1'!$A$2:$A$2604,""))</f>
        <v>45602.60119</v>
      </c>
      <c r="D709" s="44" t="str">
        <f t="shared" si="3"/>
        <v>K/38/061124/1_45602.6011944329</v>
      </c>
      <c r="E709" s="44" t="str">
        <f t="array" ref="E709">IF(B709="","",_xlfn.XLOOKUP(B709,'Form responses 1'!$B$2:$B$2604,'Form responses 1'!$C$2:$C$2604,""))</f>
        <v>ENDANG APRILIA/CHANDRA WISNU WARDANA DAN RIZKI AGUNG PRASETYO</v>
      </c>
      <c r="F709" s="44" t="str">
        <f t="array" ref="F709">IF(B709="","",_xlfn.XLOOKUP(B709,'Form responses 1'!$B$2:$B$2604,'Form responses 1'!$D$2:$D$2604,""))</f>
        <v>+62 822-8923-5722</v>
      </c>
      <c r="G709" s="44" t="str">
        <f t="array" ref="G709">IF(B709="","",_xlfn.XLOOKUP(B709,'Form responses 1'!$B$2:$B$2604,'Form responses 1'!$E$2:$E$2604,""))</f>
        <v>PTPGT</v>
      </c>
      <c r="H709" s="44" t="str">
        <f t="array" ref="H709">IF(B709="","",_xlfn.XLOOKUP(B709,'Form responses 1'!$B$2:$B$2604,'Form responses 1'!$F$2:$F$2604,""))</f>
        <v>NIBEL M. 3311/LABUHAN RATU RAYA</v>
      </c>
      <c r="I709" s="44" t="str">
        <f t="array" ref="I709">IF(B709="","",_xlfn.XLOOKUP(B709,'Form responses 1'!$B$2:$B$2604,'Form responses 1'!$I$2:$I$2604,""))</f>
        <v>LABUHAN RATU RAYA</v>
      </c>
      <c r="J709" s="44" t="str">
        <f t="array" ref="J709">IF(B709="","",_xlfn.XLOOKUP(B709,'Form responses 1'!$B$2:$B$2604,'Form responses 1'!$G$2:$G$2604,""))</f>
        <v>Aisyah</v>
      </c>
      <c r="K709" s="41" t="s">
        <v>2421</v>
      </c>
      <c r="L709" s="52">
        <f t="shared" si="7"/>
        <v>45603.58809</v>
      </c>
      <c r="M709" s="49"/>
      <c r="N709" s="49"/>
      <c r="O709" s="49"/>
      <c r="P709" s="49"/>
      <c r="Q709" s="49"/>
      <c r="R709" s="49"/>
      <c r="S709" s="49"/>
      <c r="T709" s="49"/>
      <c r="U709" s="49"/>
      <c r="V709" s="49"/>
      <c r="W709" s="41" t="s">
        <v>618</v>
      </c>
      <c r="X709" s="46">
        <f t="shared" si="5"/>
        <v>45603.59607</v>
      </c>
      <c r="Y709" s="50" t="s">
        <v>482</v>
      </c>
      <c r="Z709" s="49">
        <f t="shared" si="6"/>
        <v>0</v>
      </c>
    </row>
    <row r="710" ht="22.5" customHeight="1">
      <c r="B710" s="41" t="s">
        <v>3902</v>
      </c>
      <c r="C710" s="43">
        <f t="array" ref="C710">IF(B710="","",_xlfn.XLOOKUP(B710,'Form responses 1'!$B$2:$B$2604,'Form responses 1'!$A$2:$A$2604,""))</f>
        <v>45602.6137</v>
      </c>
      <c r="D710" s="44" t="str">
        <f t="shared" si="3"/>
        <v>K/45/061124/3_45602.6137037037</v>
      </c>
      <c r="E710" s="44" t="str">
        <f t="array" ref="E710">IF(B710="","",_xlfn.XLOOKUP(B710,'Form responses 1'!$B$2:$B$2604,'Form responses 1'!$C$2:$C$2604,""))</f>
        <v>TITIK WIJAYANTI</v>
      </c>
      <c r="F710" s="44" t="str">
        <f t="array" ref="F710">IF(B710="","",_xlfn.XLOOKUP(B710,'Form responses 1'!$B$2:$B$2604,'Form responses 1'!$D$2:$D$2604,""))</f>
        <v>+62 813-6935-0683</v>
      </c>
      <c r="G710" s="44" t="str">
        <f t="array" ref="G710">IF(B710="","",_xlfn.XLOOKUP(B710,'Form responses 1'!$B$2:$B$2604,'Form responses 1'!$E$2:$E$2604,""))</f>
        <v>SKPT LELANG</v>
      </c>
      <c r="H710" s="44" t="str">
        <f t="array" ref="H710">IF(B710="","",_xlfn.XLOOKUP(B710,'Form responses 1'!$B$2:$B$2604,'Form responses 1'!$F$2:$F$2604,""))</f>
        <v>M. 11414/ Jagabaya II</v>
      </c>
      <c r="I710" s="44" t="str">
        <f t="array" ref="I710">IF(B710="","",_xlfn.XLOOKUP(B710,'Form responses 1'!$B$2:$B$2604,'Form responses 1'!$I$2:$I$2604,""))</f>
        <v>Jagabaya II</v>
      </c>
      <c r="J710" s="44" t="str">
        <f t="array" ref="J710">IF(B710="","",_xlfn.XLOOKUP(B710,'Form responses 1'!$B$2:$B$2604,'Form responses 1'!$G$2:$G$2604,""))</f>
        <v>Hananda</v>
      </c>
      <c r="K710" s="41" t="s">
        <v>2421</v>
      </c>
      <c r="L710" s="52">
        <f t="shared" si="7"/>
        <v>45603.58811</v>
      </c>
      <c r="M710" s="49"/>
      <c r="N710" s="49"/>
      <c r="O710" s="49"/>
      <c r="P710" s="49"/>
      <c r="Q710" s="49"/>
      <c r="R710" s="49"/>
      <c r="S710" s="49"/>
      <c r="T710" s="49"/>
      <c r="U710" s="49"/>
      <c r="V710" s="49"/>
      <c r="W710" s="41" t="s">
        <v>618</v>
      </c>
      <c r="X710" s="46">
        <f t="shared" si="5"/>
        <v>45603.59183</v>
      </c>
      <c r="Y710" s="50" t="s">
        <v>482</v>
      </c>
      <c r="Z710" s="49">
        <f t="shared" si="6"/>
        <v>0</v>
      </c>
    </row>
    <row r="711" ht="22.5" customHeight="1">
      <c r="B711" s="41" t="s">
        <v>3811</v>
      </c>
      <c r="C711" s="43">
        <f t="array" ref="C711">IF(B711="","",_xlfn.XLOOKUP(B711,'Form responses 1'!$B$2:$B$2604,'Form responses 1'!$A$2:$A$2604,""))</f>
        <v>45602.48832</v>
      </c>
      <c r="D711" s="44" t="str">
        <f t="shared" si="3"/>
        <v>K/24/061124/1_45602.4883193634</v>
      </c>
      <c r="E711" s="44" t="str">
        <f t="array" ref="E711">IF(B711="","",_xlfn.XLOOKUP(B711,'Form responses 1'!$B$2:$B$2604,'Form responses 1'!$C$2:$C$2604,""))</f>
        <v>REFIYANTI/ ADITYA WIJAYA</v>
      </c>
      <c r="F711" s="44" t="str">
        <f t="array" ref="F711">IF(B711="","",_xlfn.XLOOKUP(B711,'Form responses 1'!$B$2:$B$2604,'Form responses 1'!$D$2:$D$2604,""))</f>
        <v>081369347857</v>
      </c>
      <c r="G711" s="44" t="str">
        <f t="array" ref="G711">IF(B711="","",_xlfn.XLOOKUP(B711,'Form responses 1'!$B$2:$B$2604,'Form responses 1'!$E$2:$E$2604,""))</f>
        <v>PERUBAHAN HAK</v>
      </c>
      <c r="H711" s="44" t="str">
        <f t="array" ref="H711">IF(B711="","",_xlfn.XLOOKUP(B711,'Form responses 1'!$B$2:$B$2604,'Form responses 1'!$F$2:$F$2604,""))</f>
        <v>B. 388/ Panjang Utara</v>
      </c>
      <c r="I711" s="44" t="str">
        <f t="array" ref="I711">IF(B711="","",_xlfn.XLOOKUP(B711,'Form responses 1'!$B$2:$B$2604,'Form responses 1'!$I$2:$I$2604,""))</f>
        <v>Panjang Utara</v>
      </c>
      <c r="J711" s="44" t="str">
        <f t="array" ref="J711">IF(B711="","",_xlfn.XLOOKUP(B711,'Form responses 1'!$B$2:$B$2604,'Form responses 1'!$G$2:$G$2604,""))</f>
        <v>Hananda</v>
      </c>
      <c r="K711" s="41" t="s">
        <v>2421</v>
      </c>
      <c r="L711" s="52">
        <f t="shared" si="7"/>
        <v>45603.58812</v>
      </c>
      <c r="M711" s="47" t="s">
        <v>5605</v>
      </c>
      <c r="N711" s="49"/>
      <c r="O711" s="49"/>
      <c r="P711" s="49"/>
      <c r="Q711" s="49"/>
      <c r="R711" s="49"/>
      <c r="S711" s="49"/>
      <c r="T711" s="49"/>
      <c r="U711" s="49"/>
      <c r="V711" s="49"/>
      <c r="W711" s="41" t="s">
        <v>470</v>
      </c>
      <c r="X711" s="46">
        <f t="shared" si="5"/>
        <v>45604.63139</v>
      </c>
      <c r="Y711" s="50" t="s">
        <v>482</v>
      </c>
      <c r="Z711" s="49">
        <f t="shared" si="6"/>
        <v>1</v>
      </c>
    </row>
    <row r="712" ht="22.5" customHeight="1">
      <c r="B712" s="41" t="s">
        <v>3795</v>
      </c>
      <c r="C712" s="43">
        <f t="array" ref="C712">IF(B712="","",_xlfn.XLOOKUP(B712,'Form responses 1'!$B$2:$B$2604,'Form responses 1'!$A$2:$A$2604,""))</f>
        <v>45602.47058</v>
      </c>
      <c r="D712" s="44" t="str">
        <f t="shared" si="3"/>
        <v>K/19/061124/1_45602.470576794</v>
      </c>
      <c r="E712" s="44" t="str">
        <f t="array" ref="E712">IF(B712="","",_xlfn.XLOOKUP(B712,'Form responses 1'!$B$2:$B$2604,'Form responses 1'!$C$2:$C$2604,""))</f>
        <v>PANARY SITOPU/ JUNJUNGAN</v>
      </c>
      <c r="F712" s="44" t="str">
        <f t="array" ref="F712">IF(B712="","",_xlfn.XLOOKUP(B712,'Form responses 1'!$B$2:$B$2604,'Form responses 1'!$D$2:$D$2604,""))</f>
        <v>081361444094</v>
      </c>
      <c r="G712" s="44" t="str">
        <f t="array" ref="G712">IF(B712="","",_xlfn.XLOOKUP(B712,'Form responses 1'!$B$2:$B$2604,'Form responses 1'!$E$2:$E$2604,""))</f>
        <v>ROYA</v>
      </c>
      <c r="H712" s="44" t="str">
        <f t="array" ref="H712">IF(B712="","",_xlfn.XLOOKUP(B712,'Form responses 1'!$B$2:$B$2604,'Form responses 1'!$F$2:$F$2604,""))</f>
        <v>M. 1704/ Way Kandis</v>
      </c>
      <c r="I712" s="44" t="str">
        <f t="array" ref="I712">IF(B712="","",_xlfn.XLOOKUP(B712,'Form responses 1'!$B$2:$B$2604,'Form responses 1'!$I$2:$I$2604,""))</f>
        <v>Way Kandis</v>
      </c>
      <c r="J712" s="44" t="str">
        <f t="array" ref="J712">IF(B712="","",_xlfn.XLOOKUP(B712,'Form responses 1'!$B$2:$B$2604,'Form responses 1'!$G$2:$G$2604,""))</f>
        <v>Hananda</v>
      </c>
      <c r="K712" s="41" t="s">
        <v>2421</v>
      </c>
      <c r="L712" s="52">
        <f t="shared" si="7"/>
        <v>45603.58814</v>
      </c>
      <c r="M712" s="47" t="s">
        <v>5606</v>
      </c>
      <c r="N712" s="49"/>
      <c r="O712" s="49"/>
      <c r="P712" s="49"/>
      <c r="Q712" s="49"/>
      <c r="R712" s="49"/>
      <c r="S712" s="49"/>
      <c r="T712" s="49"/>
      <c r="U712" s="49"/>
      <c r="V712" s="49"/>
      <c r="W712" s="41" t="s">
        <v>618</v>
      </c>
      <c r="X712" s="46">
        <f t="shared" si="5"/>
        <v>45610.49638</v>
      </c>
      <c r="Y712" s="50" t="s">
        <v>482</v>
      </c>
      <c r="Z712" s="49">
        <f t="shared" si="6"/>
        <v>1</v>
      </c>
    </row>
    <row r="713" ht="22.5" customHeight="1">
      <c r="B713" s="41" t="s">
        <v>3791</v>
      </c>
      <c r="C713" s="43">
        <f t="array" ref="C713">IF(B713="","",_xlfn.XLOOKUP(B713,'Form responses 1'!$B$2:$B$2604,'Form responses 1'!$A$2:$A$2604,""))</f>
        <v>45602.4692</v>
      </c>
      <c r="D713" s="44" t="str">
        <f t="shared" si="3"/>
        <v>L/18/061124/1_45602.4691964005</v>
      </c>
      <c r="E713" s="44" t="str">
        <f t="array" ref="E713">IF(B713="","",_xlfn.XLOOKUP(B713,'Form responses 1'!$B$2:$B$2604,'Form responses 1'!$C$2:$C$2604,""))</f>
        <v>RINA</v>
      </c>
      <c r="F713" s="44" t="str">
        <f t="array" ref="F713">IF(B713="","",_xlfn.XLOOKUP(B713,'Form responses 1'!$B$2:$B$2604,'Form responses 1'!$D$2:$D$2604,""))</f>
        <v>081366417030</v>
      </c>
      <c r="G713" s="44" t="str">
        <f t="array" ref="G713">IF(B713="","",_xlfn.XLOOKUP(B713,'Form responses 1'!$B$2:$B$2604,'Form responses 1'!$E$2:$E$2604,""))</f>
        <v>ROYA</v>
      </c>
      <c r="H713" s="44" t="str">
        <f t="array" ref="H713">IF(B713="","",_xlfn.XLOOKUP(B713,'Form responses 1'!$B$2:$B$2604,'Form responses 1'!$F$2:$F$2604,""))</f>
        <v>HM 13595/SUKABUMI</v>
      </c>
      <c r="I713" s="44" t="str">
        <f t="array" ref="I713">IF(B713="","",_xlfn.XLOOKUP(B713,'Form responses 1'!$B$2:$B$2604,'Form responses 1'!$I$2:$I$2604,""))</f>
        <v>SUKABUMI</v>
      </c>
      <c r="J713" s="44" t="str">
        <f t="array" ref="J713">IF(B713="","",_xlfn.XLOOKUP(B713,'Form responses 1'!$B$2:$B$2604,'Form responses 1'!$G$2:$G$2604,""))</f>
        <v>Deby</v>
      </c>
      <c r="K713" s="41" t="s">
        <v>2421</v>
      </c>
      <c r="L713" s="52">
        <f t="shared" si="7"/>
        <v>45603.58816</v>
      </c>
      <c r="M713" s="47" t="s">
        <v>5607</v>
      </c>
      <c r="N713" s="49"/>
      <c r="O713" s="49"/>
      <c r="P713" s="49"/>
      <c r="Q713" s="49"/>
      <c r="R713" s="49"/>
      <c r="S713" s="49"/>
      <c r="T713" s="49"/>
      <c r="U713" s="49"/>
      <c r="V713" s="49"/>
      <c r="W713" s="41" t="s">
        <v>618</v>
      </c>
      <c r="X713" s="46">
        <f t="shared" si="5"/>
        <v>45603.66152</v>
      </c>
      <c r="Y713" s="50" t="s">
        <v>482</v>
      </c>
      <c r="Z713" s="49">
        <f t="shared" si="6"/>
        <v>1</v>
      </c>
    </row>
    <row r="714" ht="22.5" customHeight="1">
      <c r="B714" s="41" t="s">
        <v>3759</v>
      </c>
      <c r="C714" s="43">
        <f t="array" ref="C714">IF(B714="","",_xlfn.XLOOKUP(B714,'Form responses 1'!$B$2:$B$2604,'Form responses 1'!$A$2:$A$2604,""))</f>
        <v>45602.44179</v>
      </c>
      <c r="D714" s="44" t="str">
        <f t="shared" si="3"/>
        <v>K/12/061124/1_45602.4417871875</v>
      </c>
      <c r="E714" s="44" t="str">
        <f t="array" ref="E714">IF(B714="","",_xlfn.XLOOKUP(B714,'Form responses 1'!$B$2:$B$2604,'Form responses 1'!$C$2:$C$2604,""))</f>
        <v>Rahmadiyanti/ Iponi</v>
      </c>
      <c r="F714" s="44" t="str">
        <f t="array" ref="F714">IF(B714="","",_xlfn.XLOOKUP(B714,'Form responses 1'!$B$2:$B$2604,'Form responses 1'!$D$2:$D$2604,""))</f>
        <v>+62 821-8209-0051</v>
      </c>
      <c r="G714" s="44" t="str">
        <f t="array" ref="G714">IF(B714="","",_xlfn.XLOOKUP(B714,'Form responses 1'!$B$2:$B$2604,'Form responses 1'!$E$2:$E$2604,""))</f>
        <v>BN Jual Beli</v>
      </c>
      <c r="H714" s="44" t="str">
        <f t="array" ref="H714">IF(B714="","",_xlfn.XLOOKUP(B714,'Form responses 1'!$B$2:$B$2604,'Form responses 1'!$F$2:$F$2604,""))</f>
        <v>M. 4132/ Keteguhan</v>
      </c>
      <c r="I714" s="44" t="str">
        <f t="array" ref="I714">IF(B714="","",_xlfn.XLOOKUP(B714,'Form responses 1'!$B$2:$B$2604,'Form responses 1'!$I$2:$I$2604,""))</f>
        <v> Keteguhan</v>
      </c>
      <c r="J714" s="44" t="str">
        <f t="array" ref="J714">IF(B714="","",_xlfn.XLOOKUP(B714,'Form responses 1'!$B$2:$B$2604,'Form responses 1'!$G$2:$G$2604,""))</f>
        <v>Rapita</v>
      </c>
      <c r="K714" s="41" t="s">
        <v>2421</v>
      </c>
      <c r="L714" s="52">
        <f t="shared" si="7"/>
        <v>45603.58818</v>
      </c>
      <c r="M714" s="49"/>
      <c r="N714" s="49"/>
      <c r="O714" s="49"/>
      <c r="P714" s="49"/>
      <c r="Q714" s="49"/>
      <c r="R714" s="49"/>
      <c r="S714" s="49"/>
      <c r="T714" s="49"/>
      <c r="U714" s="49"/>
      <c r="V714" s="49"/>
      <c r="W714" s="41" t="s">
        <v>618</v>
      </c>
      <c r="X714" s="46">
        <f t="shared" si="5"/>
        <v>45604.64979</v>
      </c>
      <c r="Y714" s="50" t="s">
        <v>482</v>
      </c>
      <c r="Z714" s="49">
        <f t="shared" si="6"/>
        <v>0</v>
      </c>
    </row>
    <row r="715" ht="22.5" customHeight="1">
      <c r="B715" s="41" t="s">
        <v>3782</v>
      </c>
      <c r="C715" s="43">
        <f t="array" ref="C715">IF(B715="","",_xlfn.XLOOKUP(B715,'Form responses 1'!$B$2:$B$2604,'Form responses 1'!$A$2:$A$2604,""))</f>
        <v>45602.45882</v>
      </c>
      <c r="D715" s="44" t="str">
        <f t="shared" si="3"/>
        <v>K/15/061124/2_45602.4588222454</v>
      </c>
      <c r="E715" s="44" t="str">
        <f t="array" ref="E715">IF(B715="","",_xlfn.XLOOKUP(B715,'Form responses 1'!$B$2:$B$2604,'Form responses 1'!$C$2:$C$2604,""))</f>
        <v>KARTIKA UTAMI/ SHERLY</v>
      </c>
      <c r="F715" s="44" t="str">
        <f t="array" ref="F715">IF(B715="","",_xlfn.XLOOKUP(B715,'Form responses 1'!$B$2:$B$2604,'Form responses 1'!$D$2:$D$2604,""))</f>
        <v>+62 812-7940-253</v>
      </c>
      <c r="G715" s="44" t="str">
        <f t="array" ref="G715">IF(B715="","",_xlfn.XLOOKUP(B715,'Form responses 1'!$B$2:$B$2604,'Form responses 1'!$E$2:$E$2604,""))</f>
        <v>BN HIBAH</v>
      </c>
      <c r="H715" s="44" t="str">
        <f t="array" ref="H715">IF(B715="","",_xlfn.XLOOKUP(B715,'Form responses 1'!$B$2:$B$2604,'Form responses 1'!$F$2:$F$2604,""))</f>
        <v>M.05/GUNUNG SARI</v>
      </c>
      <c r="I715" s="44" t="str">
        <f t="array" ref="I715">IF(B715="","",_xlfn.XLOOKUP(B715,'Form responses 1'!$B$2:$B$2604,'Form responses 1'!$I$2:$I$2604,""))</f>
        <v>GUNUNG SARI</v>
      </c>
      <c r="J715" s="44" t="str">
        <f t="array" ref="J715">IF(B715="","",_xlfn.XLOOKUP(B715,'Form responses 1'!$B$2:$B$2604,'Form responses 1'!$G$2:$G$2604,""))</f>
        <v>Aisyah</v>
      </c>
      <c r="K715" s="41" t="s">
        <v>2421</v>
      </c>
      <c r="L715" s="52">
        <f t="shared" si="7"/>
        <v>45603.5882</v>
      </c>
      <c r="M715" s="49"/>
      <c r="N715" s="49"/>
      <c r="O715" s="49"/>
      <c r="P715" s="49"/>
      <c r="Q715" s="49"/>
      <c r="R715" s="49"/>
      <c r="S715" s="49"/>
      <c r="T715" s="49"/>
      <c r="U715" s="49"/>
      <c r="V715" s="49"/>
      <c r="W715" s="41" t="s">
        <v>618</v>
      </c>
      <c r="X715" s="46">
        <f t="shared" si="5"/>
        <v>45604.6549</v>
      </c>
      <c r="Y715" s="50" t="s">
        <v>482</v>
      </c>
      <c r="Z715" s="49">
        <f t="shared" si="6"/>
        <v>0</v>
      </c>
    </row>
    <row r="716" ht="22.5" customHeight="1">
      <c r="B716" s="41" t="s">
        <v>3930</v>
      </c>
      <c r="C716" s="43">
        <f t="array" ref="C716">IF(B716="","",_xlfn.XLOOKUP(B716,'Form responses 1'!$B$2:$B$2604,'Form responses 1'!$A$2:$A$2604,""))</f>
        <v>45602.63495</v>
      </c>
      <c r="D716" s="44" t="str">
        <f t="shared" si="3"/>
        <v>K/54/061124/1_45602.6349510648</v>
      </c>
      <c r="E716" s="44" t="str">
        <f t="array" ref="E716">IF(B716="","",_xlfn.XLOOKUP(B716,'Form responses 1'!$B$2:$B$2604,'Form responses 1'!$C$2:$C$2604,""))</f>
        <v>Rendy R/ PT Pegadaian</v>
      </c>
      <c r="F716" s="44" t="str">
        <f t="array" ref="F716">IF(B716="","",_xlfn.XLOOKUP(B716,'Form responses 1'!$B$2:$B$2604,'Form responses 1'!$D$2:$D$2604,""))</f>
        <v>+62 895-0895-6656</v>
      </c>
      <c r="G716" s="44" t="str">
        <f t="array" ref="G716">IF(B716="","",_xlfn.XLOOKUP(B716,'Form responses 1'!$B$2:$B$2604,'Form responses 1'!$E$2:$E$2604,""))</f>
        <v>PTPGT (Perpanjangan)</v>
      </c>
      <c r="H716" s="44" t="str">
        <f t="array" ref="H716">IF(B716="","",_xlfn.XLOOKUP(B716,'Form responses 1'!$B$2:$B$2604,'Form responses 1'!$F$2:$F$2604,""))</f>
        <v>B. 121/ Kupang Kota</v>
      </c>
      <c r="I716" s="44" t="str">
        <f t="array" ref="I716">IF(B716="","",_xlfn.XLOOKUP(B716,'Form responses 1'!$B$2:$B$2604,'Form responses 1'!$I$2:$I$2604,""))</f>
        <v>Kupang Kota</v>
      </c>
      <c r="J716" s="44" t="str">
        <f t="array" ref="J716">IF(B716="","",_xlfn.XLOOKUP(B716,'Form responses 1'!$B$2:$B$2604,'Form responses 1'!$G$2:$G$2604,""))</f>
        <v>Rapita</v>
      </c>
      <c r="K716" s="41" t="s">
        <v>2421</v>
      </c>
      <c r="L716" s="52">
        <f t="shared" si="7"/>
        <v>45603.58822</v>
      </c>
      <c r="M716" s="47" t="s">
        <v>5608</v>
      </c>
      <c r="N716" s="49"/>
      <c r="O716" s="49"/>
      <c r="P716" s="49"/>
      <c r="Q716" s="49"/>
      <c r="R716" s="49"/>
      <c r="S716" s="49"/>
      <c r="T716" s="49"/>
      <c r="U716" s="49"/>
      <c r="V716" s="49"/>
      <c r="W716" s="41" t="s">
        <v>618</v>
      </c>
      <c r="X716" s="46">
        <f t="shared" si="5"/>
        <v>45604.62094</v>
      </c>
      <c r="Y716" s="50" t="s">
        <v>482</v>
      </c>
      <c r="Z716" s="49">
        <f t="shared" si="6"/>
        <v>1</v>
      </c>
    </row>
    <row r="717" ht="22.5" customHeight="1">
      <c r="B717" s="41" t="s">
        <v>3815</v>
      </c>
      <c r="C717" s="43">
        <f t="array" ref="C717">IF(B717="","",_xlfn.XLOOKUP(B717,'Form responses 1'!$B$2:$B$2604,'Form responses 1'!$A$2:$A$2604,""))</f>
        <v>45602.48927</v>
      </c>
      <c r="D717" s="44" t="str">
        <f t="shared" si="3"/>
        <v>K/23/061124/1_45602.4892715162</v>
      </c>
      <c r="E717" s="44" t="str">
        <f t="array" ref="E717">IF(B717="","",_xlfn.XLOOKUP(B717,'Form responses 1'!$B$2:$B$2604,'Form responses 1'!$C$2:$C$2604,""))</f>
        <v>Junaidi Saptopo/ Yohanes Herman</v>
      </c>
      <c r="F717" s="44" t="str">
        <f t="array" ref="F717">IF(B717="","",_xlfn.XLOOKUP(B717,'Form responses 1'!$B$2:$B$2604,'Form responses 1'!$D$2:$D$2604,""))</f>
        <v>+62 821-3710-5199</v>
      </c>
      <c r="G717" s="44" t="str">
        <f t="array" ref="G717">IF(B717="","",_xlfn.XLOOKUP(B717,'Form responses 1'!$B$2:$B$2604,'Form responses 1'!$E$2:$E$2604,""))</f>
        <v>BN Lelang</v>
      </c>
      <c r="H717" s="44" t="str">
        <f t="array" ref="H717">IF(B717="","",_xlfn.XLOOKUP(B717,'Form responses 1'!$B$2:$B$2604,'Form responses 1'!$F$2:$F$2604,""))</f>
        <v>M. 11169/ Tanjung Baru</v>
      </c>
      <c r="I717" s="44" t="str">
        <f t="array" ref="I717">IF(B717="","",_xlfn.XLOOKUP(B717,'Form responses 1'!$B$2:$B$2604,'Form responses 1'!$I$2:$I$2604,""))</f>
        <v>Tanjung Baru</v>
      </c>
      <c r="J717" s="44" t="str">
        <f t="array" ref="J717">IF(B717="","",_xlfn.XLOOKUP(B717,'Form responses 1'!$B$2:$B$2604,'Form responses 1'!$G$2:$G$2604,""))</f>
        <v>Rapita</v>
      </c>
      <c r="K717" s="41" t="s">
        <v>1233</v>
      </c>
      <c r="L717" s="52">
        <f t="shared" si="7"/>
        <v>45603.63723</v>
      </c>
      <c r="M717" s="49"/>
      <c r="N717" s="49"/>
      <c r="O717" s="49"/>
      <c r="P717" s="49"/>
      <c r="Q717" s="49"/>
      <c r="R717" s="49"/>
      <c r="S717" s="49"/>
      <c r="T717" s="49"/>
      <c r="U717" s="49"/>
      <c r="V717" s="49"/>
      <c r="W717" s="41" t="s">
        <v>618</v>
      </c>
      <c r="X717" s="46">
        <f t="shared" si="5"/>
        <v>45603.6373</v>
      </c>
      <c r="Y717" s="50" t="s">
        <v>482</v>
      </c>
      <c r="Z717" s="49">
        <f t="shared" si="6"/>
        <v>0</v>
      </c>
    </row>
    <row r="718" ht="22.5" customHeight="1">
      <c r="B718" s="41" t="s">
        <v>3043</v>
      </c>
      <c r="C718" s="43">
        <f t="array" ref="C718">IF(B718="","",_xlfn.XLOOKUP(B718,'Form responses 1'!$B$2:$B$2604,'Form responses 1'!$A$2:$A$2604,""))</f>
        <v>45596.6131</v>
      </c>
      <c r="D718" s="44" t="str">
        <f t="shared" si="3"/>
        <v>L/54/311024/1_45596.6130961343</v>
      </c>
      <c r="E718" s="44" t="str">
        <f t="array" ref="E718">IF(B718="","",_xlfn.XLOOKUP(B718,'Form responses 1'!$B$2:$B$2604,'Form responses 1'!$C$2:$C$2604,""))</f>
        <v>ADRIAWAN TIRTA</v>
      </c>
      <c r="F718" s="44" t="str">
        <f t="array" ref="F718">IF(B718="","",_xlfn.XLOOKUP(B718,'Form responses 1'!$B$2:$B$2604,'Form responses 1'!$D$2:$D$2604,""))</f>
        <v>08117220504</v>
      </c>
      <c r="G718" s="44" t="str">
        <f t="array" ref="G718">IF(B718="","",_xlfn.XLOOKUP(B718,'Form responses 1'!$B$2:$B$2604,'Form responses 1'!$E$2:$E$2604,""))</f>
        <v>BN LELANG</v>
      </c>
      <c r="H718" s="44" t="str">
        <f t="array" ref="H718">IF(B718="","",_xlfn.XLOOKUP(B718,'Form responses 1'!$B$2:$B$2604,'Form responses 1'!$F$2:$F$2604,""))</f>
        <v>NIB 1772/SUKARAME</v>
      </c>
      <c r="I718" s="44" t="str">
        <f t="array" ref="I718">IF(B718="","",_xlfn.XLOOKUP(B718,'Form responses 1'!$B$2:$B$2604,'Form responses 1'!$I$2:$I$2604,""))</f>
        <v>SUKARAME  </v>
      </c>
      <c r="J718" s="44" t="str">
        <f t="array" ref="J718">IF(B718="","",_xlfn.XLOOKUP(B718,'Form responses 1'!$B$2:$B$2604,'Form responses 1'!$G$2:$G$2604,""))</f>
        <v>Deby</v>
      </c>
      <c r="K718" s="41" t="s">
        <v>5390</v>
      </c>
      <c r="L718" s="52">
        <f t="shared" si="7"/>
        <v>45603.64232</v>
      </c>
      <c r="M718" s="49"/>
      <c r="N718" s="49"/>
      <c r="O718" s="49"/>
      <c r="P718" s="49"/>
      <c r="Q718" s="49"/>
      <c r="R718" s="49"/>
      <c r="S718" s="49"/>
      <c r="T718" s="49"/>
      <c r="U718" s="49"/>
      <c r="V718" s="49"/>
      <c r="W718" s="41" t="s">
        <v>618</v>
      </c>
      <c r="X718" s="46">
        <f t="shared" si="5"/>
        <v>45603.64236</v>
      </c>
      <c r="Y718" s="50" t="s">
        <v>482</v>
      </c>
      <c r="Z718" s="49">
        <f t="shared" si="6"/>
        <v>0</v>
      </c>
    </row>
    <row r="719" ht="22.5" customHeight="1">
      <c r="B719" s="41" t="s">
        <v>2837</v>
      </c>
      <c r="C719" s="43">
        <f t="array" ref="C719">IF(B719="","",_xlfn.XLOOKUP(B719,'Form responses 1'!$B$2:$B$2604,'Form responses 1'!$A$2:$A$2604,""))</f>
        <v>45595.62655</v>
      </c>
      <c r="D719" s="44" t="str">
        <f t="shared" si="3"/>
        <v>K/40/301024/1_45595.6265507407</v>
      </c>
      <c r="E719" s="44" t="str">
        <f t="array" ref="E719">IF(B719="","",_xlfn.XLOOKUP(B719,'Form responses 1'!$B$2:$B$2604,'Form responses 1'!$C$2:$C$2604,""))</f>
        <v>Mahfud/ Sumyati</v>
      </c>
      <c r="F719" s="44" t="str">
        <f t="array" ref="F719">IF(B719="","",_xlfn.XLOOKUP(B719,'Form responses 1'!$B$2:$B$2604,'Form responses 1'!$D$2:$D$2604,""))</f>
        <v>+62 857-0913-9403</v>
      </c>
      <c r="G719" s="44" t="str">
        <f t="array" ref="G719">IF(B719="","",_xlfn.XLOOKUP(B719,'Form responses 1'!$B$2:$B$2604,'Form responses 1'!$E$2:$E$2604,""))</f>
        <v>BN PHB</v>
      </c>
      <c r="H719" s="44" t="str">
        <f t="array" ref="H719">IF(B719="","",_xlfn.XLOOKUP(B719,'Form responses 1'!$B$2:$B$2604,'Form responses 1'!$F$2:$F$2604,""))</f>
        <v>M. 2285/ Bumi Waras</v>
      </c>
      <c r="I719" s="44" t="str">
        <f t="array" ref="I719">IF(B719="","",_xlfn.XLOOKUP(B719,'Form responses 1'!$B$2:$B$2604,'Form responses 1'!$I$2:$I$2604,""))</f>
        <v>Bumi Waras</v>
      </c>
      <c r="J719" s="44" t="str">
        <f t="array" ref="J719">IF(B719="","",_xlfn.XLOOKUP(B719,'Form responses 1'!$B$2:$B$2604,'Form responses 1'!$G$2:$G$2604,""))</f>
        <v>Rapita</v>
      </c>
      <c r="K719" s="41" t="s">
        <v>5390</v>
      </c>
      <c r="L719" s="52">
        <f t="shared" si="7"/>
        <v>45603.64271</v>
      </c>
      <c r="M719" s="49"/>
      <c r="N719" s="49"/>
      <c r="O719" s="49"/>
      <c r="P719" s="49"/>
      <c r="Q719" s="49"/>
      <c r="R719" s="49"/>
      <c r="S719" s="49"/>
      <c r="T719" s="49"/>
      <c r="U719" s="49"/>
      <c r="V719" s="49"/>
      <c r="W719" s="41" t="s">
        <v>618</v>
      </c>
      <c r="X719" s="46">
        <f t="shared" si="5"/>
        <v>45603.64278</v>
      </c>
      <c r="Y719" s="50" t="s">
        <v>482</v>
      </c>
      <c r="Z719" s="49">
        <f t="shared" si="6"/>
        <v>0</v>
      </c>
    </row>
    <row r="720" ht="22.5" customHeight="1">
      <c r="B720" s="41" t="s">
        <v>3332</v>
      </c>
      <c r="C720" s="43">
        <f t="array" ref="C720">IF(B720="","",_xlfn.XLOOKUP(B720,'Form responses 1'!$B$2:$B$2604,'Form responses 1'!$A$2:$A$2604,""))</f>
        <v>45600.45175</v>
      </c>
      <c r="D720" s="44" t="str">
        <f t="shared" si="3"/>
        <v>L/15/041131/1_45600.451749919</v>
      </c>
      <c r="E720" s="44" t="str">
        <f t="array" ref="E720">IF(B720="","",_xlfn.XLOOKUP(B720,'Form responses 1'!$B$2:$B$2604,'Form responses 1'!$C$2:$C$2604,""))</f>
        <v>EDIYANTO</v>
      </c>
      <c r="F720" s="44" t="str">
        <f t="array" ref="F720">IF(B720="","",_xlfn.XLOOKUP(B720,'Form responses 1'!$B$2:$B$2604,'Form responses 1'!$D$2:$D$2604,""))</f>
        <v>08538461141</v>
      </c>
      <c r="G720" s="44" t="str">
        <f t="array" ref="G720">IF(B720="","",_xlfn.XLOOKUP(B720,'Form responses 1'!$B$2:$B$2604,'Form responses 1'!$E$2:$E$2604,""))</f>
        <v>ROYA</v>
      </c>
      <c r="H720" s="44" t="str">
        <f t="array" ref="H720">IF(B720="","",_xlfn.XLOOKUP(B720,'Form responses 1'!$B$2:$B$2604,'Form responses 1'!$F$2:$F$2604,""))</f>
        <v>M.24/NUSANTARA PERMAI-SEKARANG; M.32/CAMPANG RAYA -DAHULU</v>
      </c>
      <c r="I720" s="44" t="str">
        <f t="array" ref="I720">IF(B720="","",_xlfn.XLOOKUP(B720,'Form responses 1'!$B$2:$B$2604,'Form responses 1'!$I$2:$I$2604,""))</f>
        <v>NUSANTARA PERMAI</v>
      </c>
      <c r="J720" s="44" t="str">
        <f t="array" ref="J720">IF(B720="","",_xlfn.XLOOKUP(B720,'Form responses 1'!$B$2:$B$2604,'Form responses 1'!$G$2:$G$2604,""))</f>
        <v>Deby</v>
      </c>
      <c r="K720" s="41" t="s">
        <v>5390</v>
      </c>
      <c r="L720" s="52">
        <f t="shared" si="7"/>
        <v>45603.64305</v>
      </c>
      <c r="M720" s="49"/>
      <c r="N720" s="49"/>
      <c r="O720" s="49"/>
      <c r="P720" s="49"/>
      <c r="Q720" s="49"/>
      <c r="R720" s="49"/>
      <c r="S720" s="49"/>
      <c r="T720" s="49"/>
      <c r="U720" s="49"/>
      <c r="V720" s="49"/>
      <c r="W720" s="41" t="s">
        <v>618</v>
      </c>
      <c r="X720" s="46">
        <f t="shared" si="5"/>
        <v>45603.6431</v>
      </c>
      <c r="Y720" s="50" t="s">
        <v>482</v>
      </c>
      <c r="Z720" s="49">
        <f t="shared" si="6"/>
        <v>0</v>
      </c>
    </row>
    <row r="721" ht="22.5" customHeight="1">
      <c r="B721" s="41" t="s">
        <v>3439</v>
      </c>
      <c r="C721" s="43">
        <f t="array" ref="C721">IF(B721="","",_xlfn.XLOOKUP(B721,'Form responses 1'!$B$2:$B$2604,'Form responses 1'!$A$2:$A$2604,""))</f>
        <v>45600.60533</v>
      </c>
      <c r="D721" s="44" t="str">
        <f t="shared" si="3"/>
        <v>K/43/041124/1_45600.6053343171</v>
      </c>
      <c r="E721" s="44" t="str">
        <f t="array" ref="E721">IF(B721="","",_xlfn.XLOOKUP(B721,'Form responses 1'!$B$2:$B$2604,'Form responses 1'!$C$2:$C$2604,""))</f>
        <v>aditya/ Icha</v>
      </c>
      <c r="F721" s="44" t="str">
        <f t="array" ref="F721">IF(B721="","",_xlfn.XLOOKUP(B721,'Form responses 1'!$B$2:$B$2604,'Form responses 1'!$D$2:$D$2604,""))</f>
        <v>082179705566</v>
      </c>
      <c r="G721" s="44" t="str">
        <f t="array" ref="G721">IF(B721="","",_xlfn.XLOOKUP(B721,'Form responses 1'!$B$2:$B$2604,'Form responses 1'!$E$2:$E$2604,""))</f>
        <v>BN Lelang</v>
      </c>
      <c r="H721" s="44" t="str">
        <f t="array" ref="H721">IF(B721="","",_xlfn.XLOOKUP(B721,'Form responses 1'!$B$2:$B$2604,'Form responses 1'!$F$2:$F$2604,""))</f>
        <v>M. 2684/ Pinang Jaya-sekarang; B. 12782/ Pinang Jaya</v>
      </c>
      <c r="I721" s="44" t="str">
        <f t="array" ref="I721">IF(B721="","",_xlfn.XLOOKUP(B721,'Form responses 1'!$B$2:$B$2604,'Form responses 1'!$I$2:$I$2604,""))</f>
        <v>Pinang Jaya</v>
      </c>
      <c r="J721" s="44" t="str">
        <f t="array" ref="J721">IF(B721="","",_xlfn.XLOOKUP(B721,'Form responses 1'!$B$2:$B$2604,'Form responses 1'!$G$2:$G$2604,""))</f>
        <v>Hananda</v>
      </c>
      <c r="K721" s="41" t="s">
        <v>5390</v>
      </c>
      <c r="L721" s="52">
        <f t="shared" si="7"/>
        <v>45603.64341</v>
      </c>
      <c r="M721" s="49"/>
      <c r="N721" s="49"/>
      <c r="O721" s="49"/>
      <c r="P721" s="49"/>
      <c r="Q721" s="49"/>
      <c r="R721" s="49"/>
      <c r="S721" s="49"/>
      <c r="T721" s="49"/>
      <c r="U721" s="49"/>
      <c r="V721" s="49"/>
      <c r="W721" s="41" t="s">
        <v>618</v>
      </c>
      <c r="X721" s="46">
        <f t="shared" si="5"/>
        <v>45603.64345</v>
      </c>
      <c r="Y721" s="50" t="s">
        <v>482</v>
      </c>
      <c r="Z721" s="49">
        <f t="shared" si="6"/>
        <v>0</v>
      </c>
    </row>
    <row r="722" ht="22.5" customHeight="1">
      <c r="B722" s="41" t="s">
        <v>3305</v>
      </c>
      <c r="C722" s="43">
        <f t="array" ref="C722">IF(B722="","",_xlfn.XLOOKUP(B722,'Form responses 1'!$B$2:$B$2604,'Form responses 1'!$A$2:$A$2604,""))</f>
        <v>45600.41966</v>
      </c>
      <c r="D722" s="44" t="str">
        <f t="shared" si="3"/>
        <v>K/5/041124/1_45600.4196637963</v>
      </c>
      <c r="E722" s="44" t="str">
        <f t="array" ref="E722">IF(B722="","",_xlfn.XLOOKUP(B722,'Form responses 1'!$B$2:$B$2604,'Form responses 1'!$C$2:$C$2604,""))</f>
        <v>Triadi K/ William Felix</v>
      </c>
      <c r="F722" s="44" t="str">
        <f t="array" ref="F722">IF(B722="","",_xlfn.XLOOKUP(B722,'Form responses 1'!$B$2:$B$2604,'Form responses 1'!$D$2:$D$2604,""))</f>
        <v>+62 821-7715-9938</v>
      </c>
      <c r="G722" s="44" t="str">
        <f t="array" ref="G722">IF(B722="","",_xlfn.XLOOKUP(B722,'Form responses 1'!$B$2:$B$2604,'Form responses 1'!$E$2:$E$2604,""))</f>
        <v>BN Waris</v>
      </c>
      <c r="H722" s="44" t="str">
        <f t="array" ref="H722">IF(B722="","",_xlfn.XLOOKUP(B722,'Form responses 1'!$B$2:$B$2604,'Form responses 1'!$F$2:$F$2604,""))</f>
        <v>M. 2126/ Kangkung</v>
      </c>
      <c r="I722" s="44" t="str">
        <f t="array" ref="I722">IF(B722="","",_xlfn.XLOOKUP(B722,'Form responses 1'!$B$2:$B$2604,'Form responses 1'!$I$2:$I$2604,""))</f>
        <v>Kangkung</v>
      </c>
      <c r="J722" s="44" t="str">
        <f t="array" ref="J722">IF(B722="","",_xlfn.XLOOKUP(B722,'Form responses 1'!$B$2:$B$2604,'Form responses 1'!$G$2:$G$2604,""))</f>
        <v>Rapita</v>
      </c>
      <c r="K722" s="41" t="s">
        <v>5390</v>
      </c>
      <c r="L722" s="52">
        <f t="shared" si="7"/>
        <v>45603.64366</v>
      </c>
      <c r="M722" s="47" t="s">
        <v>5609</v>
      </c>
      <c r="N722" s="49"/>
      <c r="O722" s="49"/>
      <c r="P722" s="49"/>
      <c r="Q722" s="49"/>
      <c r="R722" s="49"/>
      <c r="S722" s="49"/>
      <c r="T722" s="49"/>
      <c r="U722" s="49"/>
      <c r="V722" s="49"/>
      <c r="W722" s="41" t="s">
        <v>470</v>
      </c>
      <c r="X722" s="46">
        <f t="shared" si="5"/>
        <v>45603.64371</v>
      </c>
      <c r="Y722" s="50" t="s">
        <v>482</v>
      </c>
      <c r="Z722" s="49">
        <f t="shared" si="6"/>
        <v>1</v>
      </c>
    </row>
    <row r="723" ht="22.5" customHeight="1">
      <c r="B723" s="41" t="s">
        <v>3469</v>
      </c>
      <c r="C723" s="43">
        <f t="array" ref="C723">IF(B723="","",_xlfn.XLOOKUP(B723,'Form responses 1'!$B$2:$B$2604,'Form responses 1'!$A$2:$A$2604,""))</f>
        <v>45600.63332</v>
      </c>
      <c r="D723" s="44" t="str">
        <f t="shared" si="3"/>
        <v>K/51/041124/1_45600.6333199421</v>
      </c>
      <c r="E723" s="44" t="str">
        <f t="array" ref="E723">IF(B723="","",_xlfn.XLOOKUP(B723,'Form responses 1'!$B$2:$B$2604,'Form responses 1'!$C$2:$C$2604,""))</f>
        <v>ANIS JULIANA SARI/THABRANI</v>
      </c>
      <c r="F723" s="44" t="str">
        <f t="array" ref="F723">IF(B723="","",_xlfn.XLOOKUP(B723,'Form responses 1'!$B$2:$B$2604,'Form responses 1'!$D$2:$D$2604,""))</f>
        <v>0813-9373-8080</v>
      </c>
      <c r="G723" s="44" t="str">
        <f t="array" ref="G723">IF(B723="","",_xlfn.XLOOKUP(B723,'Form responses 1'!$B$2:$B$2604,'Form responses 1'!$E$2:$E$2604,""))</f>
        <v>BN JUAL BELI</v>
      </c>
      <c r="H723" s="44" t="str">
        <f t="array" ref="H723">IF(B723="","",_xlfn.XLOOKUP(B723,'Form responses 1'!$B$2:$B$2604,'Form responses 1'!$F$2:$F$2604,""))</f>
        <v>M.4157/LANGKAPURA</v>
      </c>
      <c r="I723" s="44" t="str">
        <f t="array" ref="I723">IF(B723="","",_xlfn.XLOOKUP(B723,'Form responses 1'!$B$2:$B$2604,'Form responses 1'!$I$2:$I$2604,""))</f>
        <v>LANGKAPURA</v>
      </c>
      <c r="J723" s="44" t="str">
        <f t="array" ref="J723">IF(B723="","",_xlfn.XLOOKUP(B723,'Form responses 1'!$B$2:$B$2604,'Form responses 1'!$G$2:$G$2604,""))</f>
        <v>Aisyah</v>
      </c>
      <c r="K723" s="41" t="s">
        <v>5390</v>
      </c>
      <c r="L723" s="52">
        <f t="shared" si="7"/>
        <v>45603.64457</v>
      </c>
      <c r="M723" s="49"/>
      <c r="N723" s="49"/>
      <c r="O723" s="49"/>
      <c r="P723" s="49"/>
      <c r="Q723" s="49"/>
      <c r="R723" s="49"/>
      <c r="S723" s="49"/>
      <c r="T723" s="49"/>
      <c r="U723" s="49"/>
      <c r="V723" s="49"/>
      <c r="W723" s="41" t="s">
        <v>618</v>
      </c>
      <c r="X723" s="46">
        <f t="shared" si="5"/>
        <v>45603.64462</v>
      </c>
      <c r="Y723" s="50" t="s">
        <v>482</v>
      </c>
      <c r="Z723" s="49">
        <f t="shared" si="6"/>
        <v>0</v>
      </c>
    </row>
    <row r="724" ht="22.5" customHeight="1">
      <c r="B724" s="41" t="s">
        <v>3466</v>
      </c>
      <c r="C724" s="43">
        <f t="array" ref="C724">IF(B724="","",_xlfn.XLOOKUP(B724,'Form responses 1'!$B$2:$B$2604,'Form responses 1'!$A$2:$A$2604,""))</f>
        <v>45600.62568</v>
      </c>
      <c r="D724" s="44" t="str">
        <f t="shared" si="3"/>
        <v>K/50/041124/1_45600.6256830324</v>
      </c>
      <c r="E724" s="44" t="str">
        <f t="array" ref="E724">IF(B724="","",_xlfn.XLOOKUP(B724,'Form responses 1'!$B$2:$B$2604,'Form responses 1'!$C$2:$C$2604,""))</f>
        <v>FAHRUL ROZI</v>
      </c>
      <c r="F724" s="44" t="str">
        <f t="array" ref="F724">IF(B724="","",_xlfn.XLOOKUP(B724,'Form responses 1'!$B$2:$B$2604,'Form responses 1'!$D$2:$D$2604,""))</f>
        <v>+62 821-7585-0002</v>
      </c>
      <c r="G724" s="44" t="str">
        <f t="array" ref="G724">IF(B724="","",_xlfn.XLOOKUP(B724,'Form responses 1'!$B$2:$B$2604,'Form responses 1'!$E$2:$E$2604,""))</f>
        <v>BN JUAL BELI</v>
      </c>
      <c r="H724" s="44" t="str">
        <f t="array" ref="H724">IF(B724="","",_xlfn.XLOOKUP(B724,'Form responses 1'!$B$2:$B$2604,'Form responses 1'!$F$2:$F$2604,""))</f>
        <v>M. 884/ SUMBER AGUNG</v>
      </c>
      <c r="I724" s="44" t="str">
        <f t="array" ref="I724">IF(B724="","",_xlfn.XLOOKUP(B724,'Form responses 1'!$B$2:$B$2604,'Form responses 1'!$I$2:$I$2604,""))</f>
        <v>SUMBER AGUNG</v>
      </c>
      <c r="J724" s="44" t="str">
        <f t="array" ref="J724">IF(B724="","",_xlfn.XLOOKUP(B724,'Form responses 1'!$B$2:$B$2604,'Form responses 1'!$G$2:$G$2604,""))</f>
        <v>Hananda</v>
      </c>
      <c r="K724" s="41" t="s">
        <v>5390</v>
      </c>
      <c r="L724" s="52">
        <f t="shared" si="7"/>
        <v>45603.64508</v>
      </c>
      <c r="M724" s="47" t="s">
        <v>5610</v>
      </c>
      <c r="N724" s="49"/>
      <c r="O724" s="49"/>
      <c r="P724" s="49"/>
      <c r="Q724" s="49"/>
      <c r="R724" s="49"/>
      <c r="S724" s="49"/>
      <c r="T724" s="49"/>
      <c r="U724" s="49"/>
      <c r="V724" s="49"/>
      <c r="W724" s="41" t="s">
        <v>470</v>
      </c>
      <c r="X724" s="46">
        <f t="shared" si="5"/>
        <v>45603.64513</v>
      </c>
      <c r="Y724" s="50" t="s">
        <v>482</v>
      </c>
      <c r="Z724" s="49">
        <f t="shared" si="6"/>
        <v>1</v>
      </c>
    </row>
    <row r="725" ht="22.5" customHeight="1">
      <c r="B725" s="41" t="s">
        <v>3474</v>
      </c>
      <c r="C725" s="43">
        <f t="array" ref="C725">IF(B725="","",_xlfn.XLOOKUP(B725,'Form responses 1'!$B$2:$B$2604,'Form responses 1'!$A$2:$A$2604,""))</f>
        <v>45600.63433</v>
      </c>
      <c r="D725" s="44" t="str">
        <f t="shared" si="3"/>
        <v>K/52/041124/1_45600.6343313079</v>
      </c>
      <c r="E725" s="44" t="str">
        <f t="array" ref="E725">IF(B725="","",_xlfn.XLOOKUP(B725,'Form responses 1'!$B$2:$B$2604,'Form responses 1'!$C$2:$C$2604,""))</f>
        <v>INDAH WAHYU NINGSIH/IBK SUKASANA</v>
      </c>
      <c r="F725" s="44" t="str">
        <f t="array" ref="F725">IF(B725="","",_xlfn.XLOOKUP(B725,'Form responses 1'!$B$2:$B$2604,'Form responses 1'!$D$2:$D$2604,""))</f>
        <v>0812-7219-5650</v>
      </c>
      <c r="G725" s="44" t="str">
        <f t="array" ref="G725">IF(B725="","",_xlfn.XLOOKUP(B725,'Form responses 1'!$B$2:$B$2604,'Form responses 1'!$E$2:$E$2604,""))</f>
        <v>BN JUAL BELI</v>
      </c>
      <c r="H725" s="44" t="str">
        <f t="array" ref="H725">IF(B725="","",_xlfn.XLOOKUP(B725,'Form responses 1'!$B$2:$B$2604,'Form responses 1'!$F$2:$F$2604,""))</f>
        <v>M.548/RAJABASA PEMUKA</v>
      </c>
      <c r="I725" s="44" t="str">
        <f t="array" ref="I725">IF(B725="","",_xlfn.XLOOKUP(B725,'Form responses 1'!$B$2:$B$2604,'Form responses 1'!$I$2:$I$2604,""))</f>
        <v>RAJABASA PEMUKA</v>
      </c>
      <c r="J725" s="44" t="str">
        <f t="array" ref="J725">IF(B725="","",_xlfn.XLOOKUP(B725,'Form responses 1'!$B$2:$B$2604,'Form responses 1'!$G$2:$G$2604,""))</f>
        <v>Aisyah</v>
      </c>
      <c r="K725" s="41" t="s">
        <v>5390</v>
      </c>
      <c r="L725" s="52">
        <f t="shared" si="7"/>
        <v>45603.64555</v>
      </c>
      <c r="M725" s="49"/>
      <c r="N725" s="49"/>
      <c r="O725" s="49"/>
      <c r="P725" s="49"/>
      <c r="Q725" s="49"/>
      <c r="R725" s="49"/>
      <c r="S725" s="49"/>
      <c r="T725" s="49"/>
      <c r="U725" s="49"/>
      <c r="V725" s="49"/>
      <c r="W725" s="41" t="s">
        <v>618</v>
      </c>
      <c r="X725" s="46">
        <f t="shared" si="5"/>
        <v>45603.64559</v>
      </c>
      <c r="Y725" s="50" t="s">
        <v>482</v>
      </c>
      <c r="Z725" s="49">
        <f t="shared" si="6"/>
        <v>0</v>
      </c>
    </row>
    <row r="726" ht="22.5" customHeight="1">
      <c r="B726" s="41" t="s">
        <v>3325</v>
      </c>
      <c r="C726" s="43">
        <f t="array" ref="C726">IF(B726="","",_xlfn.XLOOKUP(B726,'Form responses 1'!$B$2:$B$2604,'Form responses 1'!$A$2:$A$2604,""))</f>
        <v>45600.43876</v>
      </c>
      <c r="D726" s="44" t="str">
        <f t="shared" si="3"/>
        <v>K/12/041124/3_45600.4387554167</v>
      </c>
      <c r="E726" s="44" t="str">
        <f t="array" ref="E726">IF(B726="","",_xlfn.XLOOKUP(B726,'Form responses 1'!$B$2:$B$2604,'Form responses 1'!$C$2:$C$2604,""))</f>
        <v>PT GUNUNG SULAH MEDIKA/WHINDA YULIANTI</v>
      </c>
      <c r="F726" s="44" t="str">
        <f t="array" ref="F726">IF(B726="","",_xlfn.XLOOKUP(B726,'Form responses 1'!$B$2:$B$2604,'Form responses 1'!$D$2:$D$2604,""))</f>
        <v>0812-5557-2168</v>
      </c>
      <c r="G726" s="44" t="str">
        <f t="array" ref="G726">IF(B726="","",_xlfn.XLOOKUP(B726,'Form responses 1'!$B$2:$B$2604,'Form responses 1'!$E$2:$E$2604,""))</f>
        <v>BN JUAL BELI </v>
      </c>
      <c r="H726" s="44" t="str">
        <f t="array" ref="H726">IF(B726="","",_xlfn.XLOOKUP(B726,'Form responses 1'!$B$2:$B$2604,'Form responses 1'!$F$2:$F$2604,""))</f>
        <v>NIBEL B.508/GUNUNG SULAH</v>
      </c>
      <c r="I726" s="44" t="str">
        <f t="array" ref="I726">IF(B726="","",_xlfn.XLOOKUP(B726,'Form responses 1'!$B$2:$B$2604,'Form responses 1'!$I$2:$I$2604,""))</f>
        <v>GUNUNG SULAH</v>
      </c>
      <c r="J726" s="44" t="str">
        <f t="array" ref="J726">IF(B726="","",_xlfn.XLOOKUP(B726,'Form responses 1'!$B$2:$B$2604,'Form responses 1'!$G$2:$G$2604,""))</f>
        <v>Baynur</v>
      </c>
      <c r="K726" s="41" t="s">
        <v>5390</v>
      </c>
      <c r="L726" s="52">
        <f t="shared" si="7"/>
        <v>45603.64579</v>
      </c>
      <c r="M726" s="49"/>
      <c r="N726" s="49"/>
      <c r="O726" s="49"/>
      <c r="P726" s="49"/>
      <c r="Q726" s="49"/>
      <c r="R726" s="49"/>
      <c r="S726" s="49"/>
      <c r="T726" s="49"/>
      <c r="U726" s="49"/>
      <c r="V726" s="49"/>
      <c r="W726" s="41" t="s">
        <v>618</v>
      </c>
      <c r="X726" s="46">
        <f t="shared" si="5"/>
        <v>45603.64584</v>
      </c>
      <c r="Y726" s="50" t="s">
        <v>482</v>
      </c>
      <c r="Z726" s="49">
        <f t="shared" si="6"/>
        <v>0</v>
      </c>
    </row>
    <row r="727" ht="22.5" customHeight="1">
      <c r="B727" s="41" t="s">
        <v>3049</v>
      </c>
      <c r="C727" s="43">
        <f t="array" ref="C727">IF(B727="","",_xlfn.XLOOKUP(B727,'Form responses 1'!$B$2:$B$2604,'Form responses 1'!$A$2:$A$2604,""))</f>
        <v>45596.61386</v>
      </c>
      <c r="D727" s="44" t="str">
        <f t="shared" si="3"/>
        <v>K/51/311024/4_45596.6138563194</v>
      </c>
      <c r="E727" s="44" t="str">
        <f t="array" ref="E727">IF(B727="","",_xlfn.XLOOKUP(B727,'Form responses 1'!$B$2:$B$2604,'Form responses 1'!$C$2:$C$2604,""))</f>
        <v>MAIMUNAH CS/NOVALIA EKA PUTRI</v>
      </c>
      <c r="F727" s="44" t="str">
        <f t="array" ref="F727">IF(B727="","",_xlfn.XLOOKUP(B727,'Form responses 1'!$B$2:$B$2604,'Form responses 1'!$D$2:$D$2604,""))</f>
        <v>0896-4922-2167</v>
      </c>
      <c r="G727" s="44" t="str">
        <f t="array" ref="G727">IF(B727="","",_xlfn.XLOOKUP(B727,'Form responses 1'!$B$2:$B$2604,'Form responses 1'!$E$2:$E$2604,""))</f>
        <v>KEWARISAN</v>
      </c>
      <c r="H727" s="44" t="str">
        <f t="array" ref="H727">IF(B727="","",_xlfn.XLOOKUP(B727,'Form responses 1'!$B$2:$B$2604,'Form responses 1'!$F$2:$F$2604,""))</f>
        <v>M.5979/WAY KANDIS</v>
      </c>
      <c r="I727" s="44" t="str">
        <f t="array" ref="I727">IF(B727="","",_xlfn.XLOOKUP(B727,'Form responses 1'!$B$2:$B$2604,'Form responses 1'!$I$2:$I$2604,""))</f>
        <v>WAY KANDIS</v>
      </c>
      <c r="J727" s="44" t="str">
        <f t="array" ref="J727">IF(B727="","",_xlfn.XLOOKUP(B727,'Form responses 1'!$B$2:$B$2604,'Form responses 1'!$G$2:$G$2604,""))</f>
        <v>Baynur</v>
      </c>
      <c r="K727" s="41" t="s">
        <v>5390</v>
      </c>
      <c r="L727" s="52">
        <f t="shared" si="7"/>
        <v>45603.64607</v>
      </c>
      <c r="M727" s="47" t="s">
        <v>5611</v>
      </c>
      <c r="N727" s="49"/>
      <c r="O727" s="49"/>
      <c r="P727" s="49"/>
      <c r="Q727" s="49"/>
      <c r="R727" s="49"/>
      <c r="S727" s="49"/>
      <c r="T727" s="49"/>
      <c r="U727" s="49"/>
      <c r="V727" s="49"/>
      <c r="W727" s="41" t="s">
        <v>470</v>
      </c>
      <c r="X727" s="46">
        <f t="shared" si="5"/>
        <v>45603.64612</v>
      </c>
      <c r="Y727" s="50" t="s">
        <v>482</v>
      </c>
      <c r="Z727" s="49">
        <f t="shared" si="6"/>
        <v>1</v>
      </c>
    </row>
    <row r="728" ht="22.5" customHeight="1">
      <c r="B728" s="41" t="s">
        <v>3388</v>
      </c>
      <c r="C728" s="43">
        <f t="array" ref="C728">IF(B728="","",_xlfn.XLOOKUP(B728,'Form responses 1'!$B$2:$B$2604,'Form responses 1'!$A$2:$A$2604,""))</f>
        <v>45600.49726</v>
      </c>
      <c r="D728" s="44" t="str">
        <f t="shared" si="3"/>
        <v>K/29/041124/3_45600.4972621644</v>
      </c>
      <c r="E728" s="44" t="str">
        <f t="array" ref="E728">IF(B728="","",_xlfn.XLOOKUP(B728,'Form responses 1'!$B$2:$B$2604,'Form responses 1'!$C$2:$C$2604,""))</f>
        <v>Ilanur/ Erensia D N</v>
      </c>
      <c r="F728" s="44" t="str">
        <f t="array" ref="F728">IF(B728="","",_xlfn.XLOOKUP(B728,'Form responses 1'!$B$2:$B$2604,'Form responses 1'!$D$2:$D$2604,""))</f>
        <v>+62 897-9122-178</v>
      </c>
      <c r="G728" s="44" t="str">
        <f t="array" ref="G728">IF(B728="","",_xlfn.XLOOKUP(B728,'Form responses 1'!$B$2:$B$2604,'Form responses 1'!$E$2:$E$2604,""))</f>
        <v>BN Jual Beli</v>
      </c>
      <c r="H728" s="44" t="str">
        <f t="array" ref="H728">IF(B728="","",_xlfn.XLOOKUP(B728,'Form responses 1'!$B$2:$B$2604,'Form responses 1'!$F$2:$F$2604,""))</f>
        <v>M. 2322/ Kedaung</v>
      </c>
      <c r="I728" s="44" t="str">
        <f t="array" ref="I728">IF(B728="","",_xlfn.XLOOKUP(B728,'Form responses 1'!$B$2:$B$2604,'Form responses 1'!$I$2:$I$2604,""))</f>
        <v> Kedaung</v>
      </c>
      <c r="J728" s="44" t="str">
        <f t="array" ref="J728">IF(B728="","",_xlfn.XLOOKUP(B728,'Form responses 1'!$B$2:$B$2604,'Form responses 1'!$G$2:$G$2604,""))</f>
        <v>Rapita</v>
      </c>
      <c r="K728" s="41" t="s">
        <v>5390</v>
      </c>
      <c r="L728" s="52">
        <f t="shared" si="7"/>
        <v>45603.64665</v>
      </c>
      <c r="M728" s="49"/>
      <c r="N728" s="49"/>
      <c r="O728" s="49"/>
      <c r="P728" s="49"/>
      <c r="Q728" s="49"/>
      <c r="R728" s="49"/>
      <c r="S728" s="49"/>
      <c r="T728" s="49"/>
      <c r="U728" s="49"/>
      <c r="V728" s="49"/>
      <c r="W728" s="41" t="s">
        <v>618</v>
      </c>
      <c r="X728" s="46">
        <f t="shared" si="5"/>
        <v>45603.64671</v>
      </c>
      <c r="Y728" s="50" t="s">
        <v>482</v>
      </c>
      <c r="Z728" s="49">
        <f t="shared" si="6"/>
        <v>0</v>
      </c>
    </row>
    <row r="729" ht="22.5" customHeight="1">
      <c r="B729" s="41" t="s">
        <v>4101</v>
      </c>
      <c r="C729" s="43">
        <f t="array" ref="C729">IF(B729="","",_xlfn.XLOOKUP(B729,'Form responses 1'!$B$2:$B$2604,'Form responses 1'!$A$2:$A$2604,""))</f>
        <v>45603.62831</v>
      </c>
      <c r="D729" s="44" t="str">
        <f t="shared" si="3"/>
        <v>K/25/291024/1_45603.6283119097</v>
      </c>
      <c r="E729" s="44" t="str">
        <f t="array" ref="E729">IF(B729="","",_xlfn.XLOOKUP(B729,'Form responses 1'!$B$2:$B$2604,'Form responses 1'!$C$2:$C$2604,""))</f>
        <v>AZMI ARDIANSYAH/YENI EKAWATI</v>
      </c>
      <c r="F729" s="44" t="str">
        <f t="array" ref="F729">IF(B729="","",_xlfn.XLOOKUP(B729,'Form responses 1'!$B$2:$B$2604,'Form responses 1'!$D$2:$D$2604,""))</f>
        <v>0823-7481-3314</v>
      </c>
      <c r="G729" s="44" t="str">
        <f t="array" ref="G729">IF(B729="","",_xlfn.XLOOKUP(B729,'Form responses 1'!$B$2:$B$2604,'Form responses 1'!$E$2:$E$2604,""))</f>
        <v>BN JUAL BELI</v>
      </c>
      <c r="H729" s="44" t="str">
        <f t="array" ref="H729">IF(B729="","",_xlfn.XLOOKUP(B729,'Form responses 1'!$B$2:$B$2604,'Form responses 1'!$F$2:$F$2604,""))</f>
        <v>M.697/GUNUNG AGUNG</v>
      </c>
      <c r="I729" s="44" t="str">
        <f t="array" ref="I729">IF(B729="","",_xlfn.XLOOKUP(B729,'Form responses 1'!$B$2:$B$2604,'Form responses 1'!$I$2:$I$2604,""))</f>
        <v>GUNUNG AGUNG</v>
      </c>
      <c r="J729" s="44" t="str">
        <f t="array" ref="J729">IF(B729="","",_xlfn.XLOOKUP(B729,'Form responses 1'!$B$2:$B$2604,'Form responses 1'!$G$2:$G$2604,""))</f>
        <v>Baynur</v>
      </c>
      <c r="K729" s="41" t="s">
        <v>5390</v>
      </c>
      <c r="L729" s="52">
        <f t="shared" si="7"/>
        <v>45603.65023</v>
      </c>
      <c r="M729" s="49"/>
      <c r="N729" s="49"/>
      <c r="O729" s="49"/>
      <c r="P729" s="49"/>
      <c r="Q729" s="49"/>
      <c r="R729" s="49"/>
      <c r="S729" s="49"/>
      <c r="T729" s="49"/>
      <c r="U729" s="49"/>
      <c r="V729" s="49"/>
      <c r="W729" s="41" t="s">
        <v>618</v>
      </c>
      <c r="X729" s="46">
        <f t="shared" si="5"/>
        <v>45603.65028</v>
      </c>
      <c r="Y729" s="50" t="s">
        <v>482</v>
      </c>
      <c r="Z729" s="49">
        <f t="shared" si="6"/>
        <v>0</v>
      </c>
    </row>
    <row r="730" ht="22.5" customHeight="1">
      <c r="B730" s="41" t="s">
        <v>1349</v>
      </c>
      <c r="C730" s="43">
        <f t="array" ref="C730">IF(B730="","",_xlfn.XLOOKUP(B730,'Form responses 1'!$B$2:$B$2604,'Form responses 1'!$A$2:$A$2604,""))</f>
        <v>45586.5996</v>
      </c>
      <c r="D730" s="44" t="str">
        <f t="shared" si="3"/>
        <v>K/39/211024/2_45586.5996040394</v>
      </c>
      <c r="E730" s="44" t="str">
        <f t="array" ref="E730">IF(B730="","",_xlfn.XLOOKUP(B730,'Form responses 1'!$B$2:$B$2604,'Form responses 1'!$C$2:$C$2604,""))</f>
        <v>BPJN LAMPUNG/WAHYUDIN </v>
      </c>
      <c r="F730" s="44" t="str">
        <f t="array" ref="F730">IF(B730="","",_xlfn.XLOOKUP(B730,'Form responses 1'!$B$2:$B$2604,'Form responses 1'!$D$2:$D$2604,""))</f>
        <v>082371259997</v>
      </c>
      <c r="G730" s="44" t="str">
        <f t="array" ref="G730">IF(B730="","",_xlfn.XLOOKUP(B730,'Form responses 1'!$B$2:$B$2604,'Form responses 1'!$E$2:$E$2604,""))</f>
        <v>PERMOHONAN SK</v>
      </c>
      <c r="H730" s="44" t="str">
        <f t="array" ref="H730">IF(B730="","",_xlfn.XLOOKUP(B730,'Form responses 1'!$B$2:$B$2604,'Form responses 1'!$F$2:$F$2604,""))</f>
        <v>PBT 27/2024 KEL. WAY GUBAK</v>
      </c>
      <c r="I730" s="44" t="str">
        <f t="array" ref="I730">IF(B730="","",_xlfn.XLOOKUP(B730,'Form responses 1'!$B$2:$B$2604,'Form responses 1'!$I$2:$I$2604,""))</f>
        <v>WAY GUBAK</v>
      </c>
      <c r="J730" s="44" t="str">
        <f t="array" ref="J730">IF(B730="","",_xlfn.XLOOKUP(B730,'Form responses 1'!$B$2:$B$2604,'Form responses 1'!$G$2:$G$2604,""))</f>
        <v>Baynur</v>
      </c>
      <c r="K730" s="41" t="s">
        <v>2421</v>
      </c>
      <c r="L730" s="52">
        <f t="shared" si="7"/>
        <v>45604.3802</v>
      </c>
      <c r="M730" s="49"/>
      <c r="N730" s="49"/>
      <c r="O730" s="49"/>
      <c r="P730" s="49"/>
      <c r="Q730" s="49"/>
      <c r="R730" s="49"/>
      <c r="S730" s="49"/>
      <c r="T730" s="49"/>
      <c r="U730" s="49"/>
      <c r="V730" s="49"/>
      <c r="W730" s="56"/>
      <c r="X730" s="51" t="str">
        <f t="shared" si="5"/>
        <v/>
      </c>
      <c r="Y730" s="50" t="s">
        <v>482</v>
      </c>
      <c r="Z730" s="49">
        <f t="shared" si="6"/>
        <v>0</v>
      </c>
    </row>
    <row r="731" ht="22.5" customHeight="1">
      <c r="B731" s="41" t="s">
        <v>3345</v>
      </c>
      <c r="C731" s="43">
        <f t="array" ref="C731">IF(B731="","",_xlfn.XLOOKUP(B731,'Form responses 1'!$B$2:$B$2604,'Form responses 1'!$A$2:$A$2604,""))</f>
        <v>45600.47346</v>
      </c>
      <c r="D731" s="44" t="str">
        <f t="shared" si="3"/>
        <v>K/19/041124/1_45600.4734610301</v>
      </c>
      <c r="E731" s="44" t="str">
        <f t="array" ref="E731">IF(B731="","",_xlfn.XLOOKUP(B731,'Form responses 1'!$B$2:$B$2604,'Form responses 1'!$C$2:$C$2604,""))</f>
        <v>HAMDA YUPI/ RAHMI GUSTINA</v>
      </c>
      <c r="F731" s="44" t="str">
        <f t="array" ref="F731">IF(B731="","",_xlfn.XLOOKUP(B731,'Form responses 1'!$B$2:$B$2604,'Form responses 1'!$D$2:$D$2604,""))</f>
        <v>085161541553</v>
      </c>
      <c r="G731" s="44" t="str">
        <f t="array" ref="G731">IF(B731="","",_xlfn.XLOOKUP(B731,'Form responses 1'!$B$2:$B$2604,'Form responses 1'!$E$2:$E$2604,""))</f>
        <v>PTPGT TANAH MENDTAH</v>
      </c>
      <c r="H731" s="44" t="str">
        <f t="array" ref="H731">IF(B731="","",_xlfn.XLOOKUP(B731,'Form responses 1'!$B$2:$B$2604,'Form responses 1'!$F$2:$F$2604,""))</f>
        <v>PBT 90/2024</v>
      </c>
      <c r="I731" s="44" t="str">
        <f t="array" ref="I731">IF(B731="","",_xlfn.XLOOKUP(B731,'Form responses 1'!$B$2:$B$2604,'Form responses 1'!$I$2:$I$2604,""))</f>
        <v>SUKAJAWA</v>
      </c>
      <c r="J731" s="44" t="str">
        <f t="array" ref="J731">IF(B731="","",_xlfn.XLOOKUP(B731,'Form responses 1'!$B$2:$B$2604,'Form responses 1'!$G$2:$G$2604,""))</f>
        <v>Hananda</v>
      </c>
      <c r="K731" s="41" t="s">
        <v>2421</v>
      </c>
      <c r="L731" s="52">
        <f t="shared" si="7"/>
        <v>45604.38187</v>
      </c>
      <c r="M731" s="49"/>
      <c r="N731" s="49"/>
      <c r="O731" s="49"/>
      <c r="P731" s="49"/>
      <c r="Q731" s="49"/>
      <c r="R731" s="49"/>
      <c r="S731" s="49"/>
      <c r="T731" s="49"/>
      <c r="U731" s="49"/>
      <c r="V731" s="49"/>
      <c r="W731" s="56"/>
      <c r="X731" s="51" t="str">
        <f t="shared" si="5"/>
        <v/>
      </c>
      <c r="Y731" s="50" t="s">
        <v>482</v>
      </c>
      <c r="Z731" s="49">
        <f t="shared" si="6"/>
        <v>0</v>
      </c>
    </row>
    <row r="732" ht="22.5" customHeight="1">
      <c r="B732" s="41" t="s">
        <v>3228</v>
      </c>
      <c r="C732" s="43">
        <f t="array" ref="C732">IF(B732="","",_xlfn.XLOOKUP(B732,'Form responses 1'!$B$2:$B$2604,'Form responses 1'!$A$2:$A$2604,""))</f>
        <v>45597.59707</v>
      </c>
      <c r="D732" s="44" t="str">
        <f t="shared" si="3"/>
        <v>K/30/011124/1_45597.5970739815</v>
      </c>
      <c r="E732" s="44" t="str">
        <f t="array" ref="E732">IF(B732="","",_xlfn.XLOOKUP(B732,'Form responses 1'!$B$2:$B$2604,'Form responses 1'!$C$2:$C$2604,""))</f>
        <v>I Made R/ yudha S</v>
      </c>
      <c r="F732" s="44" t="str">
        <f t="array" ref="F732">IF(B732="","",_xlfn.XLOOKUP(B732,'Form responses 1'!$B$2:$B$2604,'Form responses 1'!$D$2:$D$2604,""))</f>
        <v>+62 853-8479-7293</v>
      </c>
      <c r="G732" s="44" t="str">
        <f t="array" ref="G732">IF(B732="","",_xlfn.XLOOKUP(B732,'Form responses 1'!$B$2:$B$2604,'Form responses 1'!$E$2:$E$2604,""))</f>
        <v>PTPGT (Pertama Kali)</v>
      </c>
      <c r="H732" s="44" t="str">
        <f t="array" ref="H732">IF(B732="","",_xlfn.XLOOKUP(B732,'Form responses 1'!$B$2:$B$2604,'Form responses 1'!$F$2:$F$2604,""))</f>
        <v>PBT. 87/2024</v>
      </c>
      <c r="I732" s="44" t="str">
        <f t="array" ref="I732">IF(B732="","",_xlfn.XLOOKUP(B732,'Form responses 1'!$B$2:$B$2604,'Form responses 1'!$I$2:$I$2604,""))</f>
        <v>Sukarame</v>
      </c>
      <c r="J732" s="44" t="str">
        <f t="array" ref="J732">IF(B732="","",_xlfn.XLOOKUP(B732,'Form responses 1'!$B$2:$B$2604,'Form responses 1'!$G$2:$G$2604,""))</f>
        <v>Rapita</v>
      </c>
      <c r="K732" s="41" t="s">
        <v>2421</v>
      </c>
      <c r="L732" s="52">
        <f t="shared" si="7"/>
        <v>45604.38189</v>
      </c>
      <c r="M732" s="49"/>
      <c r="N732" s="49"/>
      <c r="O732" s="49"/>
      <c r="P732" s="49"/>
      <c r="Q732" s="49"/>
      <c r="R732" s="49"/>
      <c r="S732" s="49"/>
      <c r="T732" s="49"/>
      <c r="U732" s="49"/>
      <c r="V732" s="49"/>
      <c r="W732" s="56"/>
      <c r="X732" s="51" t="str">
        <f t="shared" si="5"/>
        <v/>
      </c>
      <c r="Y732" s="50" t="s">
        <v>482</v>
      </c>
      <c r="Z732" s="49">
        <f t="shared" si="6"/>
        <v>0</v>
      </c>
    </row>
    <row r="733" ht="22.5" customHeight="1">
      <c r="B733" s="41" t="s">
        <v>3148</v>
      </c>
      <c r="C733" s="43">
        <f t="array" ref="C733">IF(B733="","",_xlfn.XLOOKUP(B733,'Form responses 1'!$B$2:$B$2604,'Form responses 1'!$A$2:$A$2604,""))</f>
        <v>45597.44937</v>
      </c>
      <c r="D733" s="44" t="str">
        <f t="shared" si="3"/>
        <v>L/12/011124/1_45597.44937</v>
      </c>
      <c r="E733" s="44" t="str">
        <f t="array" ref="E733">IF(B733="","",_xlfn.XLOOKUP(B733,'Form responses 1'!$B$2:$B$2604,'Form responses 1'!$C$2:$C$2604,""))</f>
        <v>ANISA CAHAYA PRATIWI</v>
      </c>
      <c r="F733" s="44" t="str">
        <f t="array" ref="F733">IF(B733="","",_xlfn.XLOOKUP(B733,'Form responses 1'!$B$2:$B$2604,'Form responses 1'!$D$2:$D$2604,""))</f>
        <v>085840525648</v>
      </c>
      <c r="G733" s="44" t="str">
        <f t="array" ref="G733">IF(B733="","",_xlfn.XLOOKUP(B733,'Form responses 1'!$B$2:$B$2604,'Form responses 1'!$E$2:$E$2604,""))</f>
        <v>TANAH MENTAH</v>
      </c>
      <c r="H733" s="44" t="str">
        <f t="array" ref="H733">IF(B733="","",_xlfn.XLOOKUP(B733,'Form responses 1'!$B$2:$B$2604,'Form responses 1'!$F$2:$F$2604,""))</f>
        <v>SUMBER AGUNG, KEMILING</v>
      </c>
      <c r="I733" s="44" t="str">
        <f t="array" ref="I733">IF(B733="","",_xlfn.XLOOKUP(B733,'Form responses 1'!$B$2:$B$2604,'Form responses 1'!$I$2:$I$2604,""))</f>
        <v>KEMILING</v>
      </c>
      <c r="J733" s="44" t="str">
        <f t="array" ref="J733">IF(B733="","",_xlfn.XLOOKUP(B733,'Form responses 1'!$B$2:$B$2604,'Form responses 1'!$G$2:$G$2604,""))</f>
        <v>Deby</v>
      </c>
      <c r="K733" s="41" t="s">
        <v>2421</v>
      </c>
      <c r="L733" s="52">
        <f t="shared" si="7"/>
        <v>45604.38191</v>
      </c>
      <c r="M733" s="49"/>
      <c r="N733" s="49"/>
      <c r="O733" s="49"/>
      <c r="P733" s="49"/>
      <c r="Q733" s="49"/>
      <c r="R733" s="49"/>
      <c r="S733" s="49"/>
      <c r="T733" s="49"/>
      <c r="U733" s="49"/>
      <c r="V733" s="49"/>
      <c r="W733" s="56"/>
      <c r="X733" s="51" t="str">
        <f t="shared" si="5"/>
        <v/>
      </c>
      <c r="Y733" s="50" t="s">
        <v>482</v>
      </c>
      <c r="Z733" s="49">
        <f t="shared" si="6"/>
        <v>0</v>
      </c>
    </row>
    <row r="734" ht="22.5" customHeight="1">
      <c r="B734" s="41" t="s">
        <v>3838</v>
      </c>
      <c r="C734" s="43">
        <f t="array" ref="C734">IF(B734="","",_xlfn.XLOOKUP(B734,'Form responses 1'!$B$2:$B$2604,'Form responses 1'!$A$2:$A$2604,""))</f>
        <v>45602.57527</v>
      </c>
      <c r="D734" s="44" t="str">
        <f t="shared" si="3"/>
        <v>L/28/061124/3_45602.5752654745</v>
      </c>
      <c r="E734" s="44" t="str">
        <f t="array" ref="E734">IF(B734="","",_xlfn.XLOOKUP(B734,'Form responses 1'!$B$2:$B$2604,'Form responses 1'!$C$2:$C$2604,""))</f>
        <v>RITA PURNAMASARI</v>
      </c>
      <c r="F734" s="44" t="str">
        <f t="array" ref="F734">IF(B734="","",_xlfn.XLOOKUP(B734,'Form responses 1'!$B$2:$B$2604,'Form responses 1'!$D$2:$D$2604,""))</f>
        <v>08218318001</v>
      </c>
      <c r="G734" s="44" t="str">
        <f t="array" ref="G734">IF(B734="","",_xlfn.XLOOKUP(B734,'Form responses 1'!$B$2:$B$2604,'Form responses 1'!$E$2:$E$2604,""))</f>
        <v>TANAH MENTAH</v>
      </c>
      <c r="H734" s="44" t="str">
        <f t="array" ref="H734">IF(B734="","",_xlfn.XLOOKUP(B734,'Form responses 1'!$B$2:$B$2604,'Form responses 1'!$F$2:$F$2604,""))</f>
        <v>BATU PUTU</v>
      </c>
      <c r="I734" s="44" t="str">
        <f t="array" ref="I734">IF(B734="","",_xlfn.XLOOKUP(B734,'Form responses 1'!$B$2:$B$2604,'Form responses 1'!$I$2:$I$2604,""))</f>
        <v>BATU PUTU</v>
      </c>
      <c r="J734" s="44" t="str">
        <f t="array" ref="J734">IF(B734="","",_xlfn.XLOOKUP(B734,'Form responses 1'!$B$2:$B$2604,'Form responses 1'!$G$2:$G$2604,""))</f>
        <v>Deby</v>
      </c>
      <c r="K734" s="41" t="s">
        <v>2421</v>
      </c>
      <c r="L734" s="52">
        <f t="shared" si="7"/>
        <v>45604.38193</v>
      </c>
      <c r="M734" s="49"/>
      <c r="N734" s="49"/>
      <c r="O734" s="49"/>
      <c r="P734" s="49"/>
      <c r="Q734" s="49"/>
      <c r="R734" s="49"/>
      <c r="S734" s="49"/>
      <c r="T734" s="49"/>
      <c r="U734" s="49"/>
      <c r="V734" s="49"/>
      <c r="W734" s="56"/>
      <c r="X734" s="51" t="str">
        <f t="shared" si="5"/>
        <v/>
      </c>
      <c r="Y734" s="50" t="s">
        <v>482</v>
      </c>
      <c r="Z734" s="49">
        <f t="shared" si="6"/>
        <v>0</v>
      </c>
    </row>
    <row r="735" ht="22.5" customHeight="1">
      <c r="B735" s="41" t="s">
        <v>4034</v>
      </c>
      <c r="C735" s="43">
        <f t="array" ref="C735">IF(B735="","",_xlfn.XLOOKUP(B735,'Form responses 1'!$B$2:$B$2604,'Form responses 1'!$A$2:$A$2604,""))</f>
        <v>45603.54728</v>
      </c>
      <c r="D735" s="44" t="str">
        <f t="shared" si="3"/>
        <v>K/23/071124/1_45603.5472820486</v>
      </c>
      <c r="E735" s="44" t="str">
        <f t="array" ref="E735">IF(B735="","",_xlfn.XLOOKUP(B735,'Form responses 1'!$B$2:$B$2604,'Form responses 1'!$C$2:$C$2604,""))</f>
        <v>GITA ATIKA/SALIM WIJAYA</v>
      </c>
      <c r="F735" s="44" t="str">
        <f t="array" ref="F735">IF(B735="","",_xlfn.XLOOKUP(B735,'Form responses 1'!$B$2:$B$2604,'Form responses 1'!$D$2:$D$2604,""))</f>
        <v>08127952668</v>
      </c>
      <c r="G735" s="44" t="str">
        <f t="array" ref="G735">IF(B735="","",_xlfn.XLOOKUP(B735,'Form responses 1'!$B$2:$B$2604,'Form responses 1'!$E$2:$E$2604,""))</f>
        <v>ROYA</v>
      </c>
      <c r="H735" s="44" t="str">
        <f t="array" ref="H735">IF(B735="","",_xlfn.XLOOKUP(B735,'Form responses 1'!$B$2:$B$2604,'Form responses 1'!$F$2:$F$2604,""))</f>
        <v>M. 16717/ Sukarame I</v>
      </c>
      <c r="I735" s="44" t="str">
        <f t="array" ref="I735">IF(B735="","",_xlfn.XLOOKUP(B735,'Form responses 1'!$B$2:$B$2604,'Form responses 1'!$I$2:$I$2604,""))</f>
        <v>Sukarame I</v>
      </c>
      <c r="J735" s="44" t="str">
        <f t="array" ref="J735">IF(B735="","",_xlfn.XLOOKUP(B735,'Form responses 1'!$B$2:$B$2604,'Form responses 1'!$G$2:$G$2604,""))</f>
        <v>Hananda</v>
      </c>
      <c r="K735" s="41" t="s">
        <v>2421</v>
      </c>
      <c r="L735" s="52">
        <f t="shared" si="7"/>
        <v>45604.38195</v>
      </c>
      <c r="M735" s="49"/>
      <c r="N735" s="49"/>
      <c r="O735" s="49"/>
      <c r="P735" s="49"/>
      <c r="Q735" s="49"/>
      <c r="R735" s="49"/>
      <c r="S735" s="49"/>
      <c r="T735" s="49"/>
      <c r="U735" s="49"/>
      <c r="V735" s="49"/>
      <c r="W735" s="41" t="s">
        <v>618</v>
      </c>
      <c r="X735" s="46">
        <f t="shared" si="5"/>
        <v>45604.6641</v>
      </c>
      <c r="Y735" s="50" t="s">
        <v>482</v>
      </c>
      <c r="Z735" s="49">
        <f t="shared" si="6"/>
        <v>0</v>
      </c>
    </row>
    <row r="736" ht="22.5" customHeight="1">
      <c r="B736" s="41"/>
      <c r="C736" s="43" t="str">
        <f t="array" ref="C736">IF(B736="","",_xlfn.XLOOKUP(B736,'Form responses 1'!$B$2:$B$2604,'Form responses 1'!$A$2:$A$2604,""))</f>
        <v/>
      </c>
      <c r="D736" s="44" t="str">
        <f t="shared" si="3"/>
        <v/>
      </c>
      <c r="E736" s="44" t="str">
        <f t="array" ref="E736">IF(B736="","",_xlfn.XLOOKUP(B736,'Form responses 1'!$B$2:$B$2604,'Form responses 1'!$C$2:$C$2604,""))</f>
        <v/>
      </c>
      <c r="F736" s="44" t="str">
        <f t="array" ref="F736">IF(B736="","",_xlfn.XLOOKUP(B736,'Form responses 1'!$B$2:$B$2604,'Form responses 1'!$D$2:$D$2604,""))</f>
        <v/>
      </c>
      <c r="G736" s="44" t="str">
        <f t="array" ref="G736">IF(B736="","",_xlfn.XLOOKUP(B736,'Form responses 1'!$B$2:$B$2604,'Form responses 1'!$E$2:$E$2604,""))</f>
        <v/>
      </c>
      <c r="H736" s="44" t="str">
        <f t="array" ref="H736">IF(B736="","",_xlfn.XLOOKUP(B736,'Form responses 1'!$B$2:$B$2604,'Form responses 1'!$F$2:$F$2604,""))</f>
        <v/>
      </c>
      <c r="I736" s="44" t="str">
        <f t="array" ref="I736">IF(B736="","",_xlfn.XLOOKUP(B736,'Form responses 1'!$B$2:$B$2604,'Form responses 1'!$I$2:$I$2604,""))</f>
        <v/>
      </c>
      <c r="J736" s="44" t="str">
        <f t="array" ref="J736">IF(B736="","",_xlfn.XLOOKUP(B736,'Form responses 1'!$B$2:$B$2604,'Form responses 1'!$G$2:$G$2604,""))</f>
        <v/>
      </c>
      <c r="K736" s="41" t="s">
        <v>2421</v>
      </c>
      <c r="L736" s="52">
        <f t="shared" si="7"/>
        <v>45604.38197</v>
      </c>
      <c r="M736" s="49"/>
      <c r="N736" s="49"/>
      <c r="O736" s="49"/>
      <c r="P736" s="49"/>
      <c r="Q736" s="49"/>
      <c r="R736" s="49"/>
      <c r="S736" s="49"/>
      <c r="T736" s="49"/>
      <c r="U736" s="49"/>
      <c r="V736" s="49"/>
      <c r="W736" s="56"/>
      <c r="X736" s="51" t="str">
        <f t="shared" si="5"/>
        <v/>
      </c>
      <c r="Y736" s="50" t="s">
        <v>482</v>
      </c>
      <c r="Z736" s="49">
        <f t="shared" si="6"/>
        <v>0</v>
      </c>
    </row>
    <row r="737" ht="22.5" customHeight="1">
      <c r="B737" s="41" t="s">
        <v>4050</v>
      </c>
      <c r="C737" s="43">
        <f t="array" ref="C737">IF(B737="","",_xlfn.XLOOKUP(B737,'Form responses 1'!$B$2:$B$2604,'Form responses 1'!$A$2:$A$2604,""))</f>
        <v>45603.56992</v>
      </c>
      <c r="D737" s="44" t="str">
        <f t="shared" si="3"/>
        <v>K/26/071124/1_45603.5699228588</v>
      </c>
      <c r="E737" s="44" t="str">
        <f t="array" ref="E737">IF(B737="","",_xlfn.XLOOKUP(B737,'Form responses 1'!$B$2:$B$2604,'Form responses 1'!$C$2:$C$2604,""))</f>
        <v>Ilanur/ Rudi M Irawan</v>
      </c>
      <c r="F737" s="44" t="str">
        <f t="array" ref="F737">IF(B737="","",_xlfn.XLOOKUP(B737,'Form responses 1'!$B$2:$B$2604,'Form responses 1'!$D$2:$D$2604,""))</f>
        <v>+62 897-9122-178</v>
      </c>
      <c r="G737" s="44" t="str">
        <f t="array" ref="G737">IF(B737="","",_xlfn.XLOOKUP(B737,'Form responses 1'!$B$2:$B$2604,'Form responses 1'!$E$2:$E$2604,""))</f>
        <v>BN Jual Beli</v>
      </c>
      <c r="H737" s="44" t="str">
        <f t="array" ref="H737">IF(B737="","",_xlfn.XLOOKUP(B737,'Form responses 1'!$B$2:$B$2604,'Form responses 1'!$F$2:$F$2604,""))</f>
        <v>M. 445/ Kota Sepang</v>
      </c>
      <c r="I737" s="44" t="str">
        <f t="array" ref="I737">IF(B737="","",_xlfn.XLOOKUP(B737,'Form responses 1'!$B$2:$B$2604,'Form responses 1'!$I$2:$I$2604,""))</f>
        <v> Kota Sepang</v>
      </c>
      <c r="J737" s="44" t="str">
        <f t="array" ref="J737">IF(B737="","",_xlfn.XLOOKUP(B737,'Form responses 1'!$B$2:$B$2604,'Form responses 1'!$G$2:$G$2604,""))</f>
        <v>Rapita</v>
      </c>
      <c r="K737" s="41" t="s">
        <v>2421</v>
      </c>
      <c r="L737" s="52">
        <f t="shared" si="7"/>
        <v>45604.38198</v>
      </c>
      <c r="M737" s="49"/>
      <c r="N737" s="49"/>
      <c r="O737" s="49"/>
      <c r="P737" s="49"/>
      <c r="Q737" s="49"/>
      <c r="R737" s="49"/>
      <c r="S737" s="49"/>
      <c r="T737" s="49"/>
      <c r="U737" s="49"/>
      <c r="V737" s="49"/>
      <c r="W737" s="41" t="s">
        <v>618</v>
      </c>
      <c r="X737" s="46">
        <f t="shared" si="5"/>
        <v>45604.66818</v>
      </c>
      <c r="Y737" s="50" t="s">
        <v>482</v>
      </c>
      <c r="Z737" s="49">
        <f t="shared" si="6"/>
        <v>0</v>
      </c>
    </row>
    <row r="738" ht="22.5" customHeight="1">
      <c r="B738" s="41" t="s">
        <v>4094</v>
      </c>
      <c r="C738" s="43">
        <f t="array" ref="C738">IF(B738="","",_xlfn.XLOOKUP(B738,'Form responses 1'!$B$2:$B$2604,'Form responses 1'!$A$2:$A$2604,""))</f>
        <v>45603.61605</v>
      </c>
      <c r="D738" s="44" t="str">
        <f t="shared" si="3"/>
        <v>K/40/071124/1_45603.616053044</v>
      </c>
      <c r="E738" s="44" t="str">
        <f t="array" ref="E738">IF(B738="","",_xlfn.XLOOKUP(B738,'Form responses 1'!$B$2:$B$2604,'Form responses 1'!$C$2:$C$2604,""))</f>
        <v>Fahrul Rozi/ Jainuri</v>
      </c>
      <c r="F738" s="44" t="str">
        <f t="array" ref="F738">IF(B738="","",_xlfn.XLOOKUP(B738,'Form responses 1'!$B$2:$B$2604,'Form responses 1'!$D$2:$D$2604,""))</f>
        <v>+62 821-7585-0002</v>
      </c>
      <c r="G738" s="44" t="str">
        <f t="array" ref="G738">IF(B738="","",_xlfn.XLOOKUP(B738,'Form responses 1'!$B$2:$B$2604,'Form responses 1'!$E$2:$E$2604,""))</f>
        <v>BN Jual Beli</v>
      </c>
      <c r="H738" s="44" t="str">
        <f t="array" ref="H738">IF(B738="","",_xlfn.XLOOKUP(B738,'Form responses 1'!$B$2:$B$2604,'Form responses 1'!$F$2:$F$2604,""))</f>
        <v>B. 1118/ Keteguhan</v>
      </c>
      <c r="I738" s="44" t="str">
        <f t="array" ref="I738">IF(B738="","",_xlfn.XLOOKUP(B738,'Form responses 1'!$B$2:$B$2604,'Form responses 1'!$I$2:$I$2604,""))</f>
        <v> Keteguhan</v>
      </c>
      <c r="J738" s="44" t="str">
        <f t="array" ref="J738">IF(B738="","",_xlfn.XLOOKUP(B738,'Form responses 1'!$B$2:$B$2604,'Form responses 1'!$G$2:$G$2604,""))</f>
        <v>Rapita</v>
      </c>
      <c r="K738" s="41" t="s">
        <v>2421</v>
      </c>
      <c r="L738" s="52">
        <f t="shared" si="7"/>
        <v>45604.382</v>
      </c>
      <c r="M738" s="47" t="s">
        <v>5612</v>
      </c>
      <c r="N738" s="49"/>
      <c r="O738" s="49"/>
      <c r="P738" s="49"/>
      <c r="Q738" s="49"/>
      <c r="R738" s="49"/>
      <c r="S738" s="49"/>
      <c r="T738" s="49"/>
      <c r="U738" s="49"/>
      <c r="V738" s="49"/>
      <c r="W738" s="41" t="s">
        <v>618</v>
      </c>
      <c r="X738" s="46">
        <f t="shared" si="5"/>
        <v>45608.62925</v>
      </c>
      <c r="Y738" s="50" t="s">
        <v>482</v>
      </c>
      <c r="Z738" s="49">
        <f t="shared" si="6"/>
        <v>1</v>
      </c>
    </row>
    <row r="739" ht="22.5" customHeight="1">
      <c r="B739" s="41" t="s">
        <v>4057</v>
      </c>
      <c r="C739" s="43">
        <f t="array" ref="C739">IF(B739="","",_xlfn.XLOOKUP(B739,'Form responses 1'!$B$2:$B$2604,'Form responses 1'!$A$2:$A$2604,""))</f>
        <v>45603.57124</v>
      </c>
      <c r="D739" s="44" t="str">
        <f t="shared" si="3"/>
        <v>K/28/071124/3_45603.5712392477</v>
      </c>
      <c r="E739" s="44" t="str">
        <f t="array" ref="E739">IF(B739="","",_xlfn.XLOOKUP(B739,'Form responses 1'!$B$2:$B$2604,'Form responses 1'!$C$2:$C$2604,""))</f>
        <v>Ilanur/ Rudi M Irawan</v>
      </c>
      <c r="F739" s="44" t="str">
        <f t="array" ref="F739">IF(B739="","",_xlfn.XLOOKUP(B739,'Form responses 1'!$B$2:$B$2604,'Form responses 1'!$D$2:$D$2604,""))</f>
        <v>+62 897-9122-178</v>
      </c>
      <c r="G739" s="44" t="str">
        <f t="array" ref="G739">IF(B739="","",_xlfn.XLOOKUP(B739,'Form responses 1'!$B$2:$B$2604,'Form responses 1'!$E$2:$E$2604,""))</f>
        <v>BN Jual Beli</v>
      </c>
      <c r="H739" s="44" t="str">
        <f t="array" ref="H739">IF(B739="","",_xlfn.XLOOKUP(B739,'Form responses 1'!$B$2:$B$2604,'Form responses 1'!$F$2:$F$2604,""))</f>
        <v>Nibel. M. 699/ Kota Sepang</v>
      </c>
      <c r="I739" s="44" t="str">
        <f t="array" ref="I739">IF(B739="","",_xlfn.XLOOKUP(B739,'Form responses 1'!$B$2:$B$2604,'Form responses 1'!$I$2:$I$2604,""))</f>
        <v>Kota Sepang</v>
      </c>
      <c r="J739" s="44" t="str">
        <f t="array" ref="J739">IF(B739="","",_xlfn.XLOOKUP(B739,'Form responses 1'!$B$2:$B$2604,'Form responses 1'!$G$2:$G$2604,""))</f>
        <v>Rapita</v>
      </c>
      <c r="K739" s="41" t="s">
        <v>2421</v>
      </c>
      <c r="L739" s="52">
        <f t="shared" si="7"/>
        <v>45604.38202</v>
      </c>
      <c r="M739" s="49"/>
      <c r="N739" s="49"/>
      <c r="O739" s="49"/>
      <c r="P739" s="49"/>
      <c r="Q739" s="49"/>
      <c r="R739" s="49"/>
      <c r="S739" s="49"/>
      <c r="T739" s="49"/>
      <c r="U739" s="49"/>
      <c r="V739" s="49"/>
      <c r="W739" s="41" t="s">
        <v>618</v>
      </c>
      <c r="X739" s="46">
        <f t="shared" si="5"/>
        <v>45609.56407</v>
      </c>
      <c r="Y739" s="50" t="s">
        <v>482</v>
      </c>
      <c r="Z739" s="49">
        <f t="shared" si="6"/>
        <v>0</v>
      </c>
    </row>
    <row r="740" ht="22.5" customHeight="1">
      <c r="B740" s="41" t="s">
        <v>2009</v>
      </c>
      <c r="C740" s="43">
        <f t="array" ref="C740">IF(B740="","",_xlfn.XLOOKUP(B740,'Form responses 1'!$B$2:$B$2604,'Form responses 1'!$A$2:$A$2604,""))</f>
        <v>45589.58341</v>
      </c>
      <c r="D740" s="44" t="str">
        <f t="shared" si="3"/>
        <v>K/37/241024/2_45589.5834072222</v>
      </c>
      <c r="E740" s="44" t="str">
        <f t="array" ref="E740">IF(B740="","",_xlfn.XLOOKUP(B740,'Form responses 1'!$B$2:$B$2604,'Form responses 1'!$C$2:$C$2604,""))</f>
        <v>Yuni Astuti u/ Istikariana</v>
      </c>
      <c r="F740" s="44" t="str">
        <f t="array" ref="F740">IF(B740="","",_xlfn.XLOOKUP(B740,'Form responses 1'!$B$2:$B$2604,'Form responses 1'!$D$2:$D$2604,""))</f>
        <v>085267545947</v>
      </c>
      <c r="G740" s="44" t="str">
        <f t="array" ref="G740">IF(B740="","",_xlfn.XLOOKUP(B740,'Form responses 1'!$B$2:$B$2604,'Form responses 1'!$E$2:$E$2604,""))</f>
        <v>Pengukuran Pertama Kali</v>
      </c>
      <c r="H740" s="44" t="str">
        <f t="array" ref="H740">IF(B740="","",_xlfn.XLOOKUP(B740,'Form responses 1'!$B$2:$B$2604,'Form responses 1'!$F$2:$F$2604,""))</f>
        <v>Tanah Mentah</v>
      </c>
      <c r="I740" s="44" t="str">
        <f t="array" ref="I740">IF(B740="","",_xlfn.XLOOKUP(B740,'Form responses 1'!$B$2:$B$2604,'Form responses 1'!$I$2:$I$2604,""))</f>
        <v>kaliawi Persada</v>
      </c>
      <c r="J740" s="44" t="str">
        <f t="array" ref="J740">IF(B740="","",_xlfn.XLOOKUP(B740,'Form responses 1'!$B$2:$B$2604,'Form responses 1'!$G$2:$G$2604,""))</f>
        <v>Hananda</v>
      </c>
      <c r="K740" s="41" t="s">
        <v>2421</v>
      </c>
      <c r="L740" s="52">
        <f t="shared" si="7"/>
        <v>45604.38244</v>
      </c>
      <c r="M740" s="49"/>
      <c r="N740" s="49"/>
      <c r="O740" s="49"/>
      <c r="P740" s="49"/>
      <c r="Q740" s="49"/>
      <c r="R740" s="49"/>
      <c r="S740" s="49"/>
      <c r="T740" s="49"/>
      <c r="U740" s="49"/>
      <c r="V740" s="49"/>
      <c r="W740" s="56"/>
      <c r="X740" s="51" t="str">
        <f t="shared" si="5"/>
        <v/>
      </c>
      <c r="Y740" s="50" t="s">
        <v>482</v>
      </c>
      <c r="Z740" s="49">
        <f t="shared" si="6"/>
        <v>0</v>
      </c>
    </row>
    <row r="741" ht="22.5" customHeight="1">
      <c r="B741" s="41" t="s">
        <v>4066</v>
      </c>
      <c r="C741" s="43">
        <f t="array" ref="C741">IF(B741="","",_xlfn.XLOOKUP(B741,'Form responses 1'!$B$2:$B$2604,'Form responses 1'!$A$2:$A$2604,""))</f>
        <v>45603.58977</v>
      </c>
      <c r="D741" s="44" t="str">
        <f t="shared" si="3"/>
        <v>K/32/071124/1_45603.5897743982</v>
      </c>
      <c r="E741" s="44" t="str">
        <f t="array" ref="E741">IF(B741="","",_xlfn.XLOOKUP(B741,'Form responses 1'!$B$2:$B$2604,'Form responses 1'!$C$2:$C$2604,""))</f>
        <v>EVI UDIN / PONO SUSANTO</v>
      </c>
      <c r="F741" s="44" t="str">
        <f t="array" ref="F741">IF(B741="","",_xlfn.XLOOKUP(B741,'Form responses 1'!$B$2:$B$2604,'Form responses 1'!$D$2:$D$2604,""))</f>
        <v>+62 821-8499-9559</v>
      </c>
      <c r="G741" s="44" t="str">
        <f t="array" ref="G741">IF(B741="","",_xlfn.XLOOKUP(B741,'Form responses 1'!$B$2:$B$2604,'Form responses 1'!$E$2:$E$2604,""))</f>
        <v>ROYA</v>
      </c>
      <c r="H741" s="44" t="str">
        <f t="array" ref="H741">IF(B741="","",_xlfn.XLOOKUP(B741,'Form responses 1'!$B$2:$B$2604,'Form responses 1'!$F$2:$F$2604,""))</f>
        <v>M. 12112/TANJUNG BARU</v>
      </c>
      <c r="I741" s="44" t="str">
        <f t="array" ref="I741">IF(B741="","",_xlfn.XLOOKUP(B741,'Form responses 1'!$B$2:$B$2604,'Form responses 1'!$I$2:$I$2604,""))</f>
        <v>TANJUNG BARU</v>
      </c>
      <c r="J741" s="44" t="str">
        <f t="array" ref="J741">IF(B741="","",_xlfn.XLOOKUP(B741,'Form responses 1'!$B$2:$B$2604,'Form responses 1'!$G$2:$G$2604,""))</f>
        <v>Aisyah</v>
      </c>
      <c r="K741" s="41" t="s">
        <v>1233</v>
      </c>
      <c r="L741" s="52">
        <f t="shared" si="7"/>
        <v>45604.42992</v>
      </c>
      <c r="M741" s="47" t="s">
        <v>5613</v>
      </c>
      <c r="N741" s="49"/>
      <c r="O741" s="49"/>
      <c r="P741" s="49"/>
      <c r="Q741" s="49"/>
      <c r="R741" s="49"/>
      <c r="S741" s="49"/>
      <c r="T741" s="49"/>
      <c r="U741" s="49"/>
      <c r="V741" s="49"/>
      <c r="W741" s="41" t="s">
        <v>618</v>
      </c>
      <c r="X741" s="46">
        <f t="shared" si="5"/>
        <v>45604.43009</v>
      </c>
      <c r="Y741" s="50" t="s">
        <v>482</v>
      </c>
      <c r="Z741" s="49">
        <f t="shared" si="6"/>
        <v>1</v>
      </c>
    </row>
    <row r="742" ht="22.5" customHeight="1">
      <c r="B742" s="41" t="s">
        <v>4063</v>
      </c>
      <c r="C742" s="43">
        <f t="array" ref="C742">IF(B742="","",_xlfn.XLOOKUP(B742,'Form responses 1'!$B$2:$B$2604,'Form responses 1'!$A$2:$A$2604,""))</f>
        <v>45603.57986</v>
      </c>
      <c r="D742" s="44" t="str">
        <f t="shared" si="3"/>
        <v>K/31/071124/1_45603.5798646412</v>
      </c>
      <c r="E742" s="44" t="str">
        <f t="array" ref="E742">IF(B742="","",_xlfn.XLOOKUP(B742,'Form responses 1'!$B$2:$B$2604,'Form responses 1'!$C$2:$C$2604,""))</f>
        <v>Abdul Gani/ Sarwan</v>
      </c>
      <c r="F742" s="44" t="str">
        <f t="array" ref="F742">IF(B742="","",_xlfn.XLOOKUP(B742,'Form responses 1'!$B$2:$B$2604,'Form responses 1'!$D$2:$D$2604,""))</f>
        <v>+62 895-6401-98434</v>
      </c>
      <c r="G742" s="44" t="str">
        <f t="array" ref="G742">IF(B742="","",_xlfn.XLOOKUP(B742,'Form responses 1'!$B$2:$B$2604,'Form responses 1'!$E$2:$E$2604,""))</f>
        <v>PTPGT (Pemecahan)</v>
      </c>
      <c r="H742" s="44" t="str">
        <f t="array" ref="H742">IF(B742="","",_xlfn.XLOOKUP(B742,'Form responses 1'!$B$2:$B$2604,'Form responses 1'!$F$2:$F$2604,""))</f>
        <v>Nibel. M. 2217/ Sukabumi</v>
      </c>
      <c r="I742" s="44" t="str">
        <f t="array" ref="I742">IF(B742="","",_xlfn.XLOOKUP(B742,'Form responses 1'!$B$2:$B$2604,'Form responses 1'!$I$2:$I$2604,""))</f>
        <v>Sukabumi</v>
      </c>
      <c r="J742" s="44" t="str">
        <f t="array" ref="J742">IF(B742="","",_xlfn.XLOOKUP(B742,'Form responses 1'!$B$2:$B$2604,'Form responses 1'!$G$2:$G$2604,""))</f>
        <v>Rapita</v>
      </c>
      <c r="K742" s="41" t="s">
        <v>1233</v>
      </c>
      <c r="L742" s="52">
        <f t="shared" si="7"/>
        <v>45604.43552</v>
      </c>
      <c r="M742" s="49"/>
      <c r="N742" s="49"/>
      <c r="O742" s="49"/>
      <c r="P742" s="49"/>
      <c r="Q742" s="49"/>
      <c r="R742" s="49"/>
      <c r="S742" s="49"/>
      <c r="T742" s="49"/>
      <c r="U742" s="49"/>
      <c r="V742" s="49"/>
      <c r="W742" s="41" t="s">
        <v>618</v>
      </c>
      <c r="X742" s="46">
        <f t="shared" si="5"/>
        <v>45604.43554</v>
      </c>
      <c r="Y742" s="50" t="s">
        <v>482</v>
      </c>
      <c r="Z742" s="49">
        <f t="shared" si="6"/>
        <v>0</v>
      </c>
    </row>
    <row r="743" ht="22.5" customHeight="1">
      <c r="B743" s="41" t="s">
        <v>4147</v>
      </c>
      <c r="C743" s="43">
        <f t="array" ref="C743">IF(B743="","",_xlfn.XLOOKUP(B743,'Form responses 1'!$B$2:$B$2604,'Form responses 1'!$A$2:$A$2604,""))</f>
        <v>45604.41921</v>
      </c>
      <c r="D743" s="44" t="str">
        <f t="shared" si="3"/>
        <v>L/11/081124/1_45604.4192129398</v>
      </c>
      <c r="E743" s="44" t="str">
        <f t="array" ref="E743">IF(B743="","",_xlfn.XLOOKUP(B743,'Form responses 1'!$B$2:$B$2604,'Form responses 1'!$C$2:$C$2604,""))</f>
        <v>HARYATI</v>
      </c>
      <c r="F743" s="44" t="str">
        <f t="array" ref="F743">IF(B743="","",_xlfn.XLOOKUP(B743,'Form responses 1'!$B$2:$B$2604,'Form responses 1'!$D$2:$D$2604,""))</f>
        <v>081369038380</v>
      </c>
      <c r="G743" s="44" t="str">
        <f t="array" ref="G743">IF(B743="","",_xlfn.XLOOKUP(B743,'Form responses 1'!$B$2:$B$2604,'Form responses 1'!$E$2:$E$2604,""))</f>
        <v>ROYA LELANG</v>
      </c>
      <c r="H743" s="44" t="str">
        <f t="array" ref="H743">IF(B743="","",_xlfn.XLOOKUP(B743,'Form responses 1'!$B$2:$B$2604,'Form responses 1'!$F$2:$F$2604,""))</f>
        <v>HM 837/SUKARAME BARU</v>
      </c>
      <c r="I743" s="44" t="str">
        <f t="array" ref="I743">IF(B743="","",_xlfn.XLOOKUP(B743,'Form responses 1'!$B$2:$B$2604,'Form responses 1'!$I$2:$I$2604,""))</f>
        <v>SUKARAME BARU</v>
      </c>
      <c r="J743" s="44" t="str">
        <f t="array" ref="J743">IF(B743="","",_xlfn.XLOOKUP(B743,'Form responses 1'!$B$2:$B$2604,'Form responses 1'!$G$2:$G$2604,""))</f>
        <v>Deby</v>
      </c>
      <c r="K743" s="41" t="s">
        <v>1233</v>
      </c>
      <c r="L743" s="52">
        <f t="shared" si="7"/>
        <v>45604.43628</v>
      </c>
      <c r="M743" s="49"/>
      <c r="N743" s="49"/>
      <c r="O743" s="49"/>
      <c r="P743" s="49"/>
      <c r="Q743" s="49"/>
      <c r="R743" s="49"/>
      <c r="S743" s="49"/>
      <c r="T743" s="49"/>
      <c r="U743" s="49"/>
      <c r="V743" s="49"/>
      <c r="W743" s="41" t="s">
        <v>618</v>
      </c>
      <c r="X743" s="46">
        <f t="shared" si="5"/>
        <v>45604.43913</v>
      </c>
      <c r="Y743" s="50" t="s">
        <v>482</v>
      </c>
      <c r="Z743" s="49">
        <f t="shared" si="6"/>
        <v>0</v>
      </c>
    </row>
    <row r="744" ht="22.5" customHeight="1">
      <c r="B744" s="41" t="s">
        <v>4069</v>
      </c>
      <c r="C744" s="43">
        <f t="array" ref="C744">IF(B744="","",_xlfn.XLOOKUP(B744,'Form responses 1'!$B$2:$B$2604,'Form responses 1'!$A$2:$A$2604,""))</f>
        <v>45603.59087</v>
      </c>
      <c r="D744" s="44" t="str">
        <f t="shared" si="3"/>
        <v>L/34/071124/1_45603.590874537</v>
      </c>
      <c r="E744" s="44" t="str">
        <f t="array" ref="E744">IF(B744="","",_xlfn.XLOOKUP(B744,'Form responses 1'!$B$2:$B$2604,'Form responses 1'!$C$2:$C$2604,""))</f>
        <v>ABDUL RACHMAN</v>
      </c>
      <c r="F744" s="44" t="str">
        <f t="array" ref="F744">IF(B744="","",_xlfn.XLOOKUP(B744,'Form responses 1'!$B$2:$B$2604,'Form responses 1'!$D$2:$D$2604,""))</f>
        <v>085159711522</v>
      </c>
      <c r="G744" s="44" t="str">
        <f t="array" ref="G744">IF(B744="","",_xlfn.XLOOKUP(B744,'Form responses 1'!$B$2:$B$2604,'Form responses 1'!$E$2:$E$2604,""))</f>
        <v>SERTIPIKAT HILANG</v>
      </c>
      <c r="H744" s="44" t="str">
        <f t="array" ref="H744">IF(B744="","",_xlfn.XLOOKUP(B744,'Form responses 1'!$B$2:$B$2604,'Form responses 1'!$F$2:$F$2604,""))</f>
        <v>HM 15030/SUKARAME I (SHM TETANGGA)</v>
      </c>
      <c r="I744" s="44" t="str">
        <f t="array" ref="I744">IF(B744="","",_xlfn.XLOOKUP(B744,'Form responses 1'!$B$2:$B$2604,'Form responses 1'!$I$2:$I$2604,""))</f>
        <v>SUKARAME-SUKARAME BARU</v>
      </c>
      <c r="J744" s="44" t="str">
        <f t="array" ref="J744">IF(B744="","",_xlfn.XLOOKUP(B744,'Form responses 1'!$B$2:$B$2604,'Form responses 1'!$G$2:$G$2604,""))</f>
        <v>Deby</v>
      </c>
      <c r="K744" s="41" t="s">
        <v>422</v>
      </c>
      <c r="L744" s="52">
        <f t="shared" si="7"/>
        <v>45604.44647</v>
      </c>
      <c r="M744" s="47" t="s">
        <v>5332</v>
      </c>
      <c r="N744" s="47" t="s">
        <v>448</v>
      </c>
      <c r="O744" s="49"/>
      <c r="P744" s="49"/>
      <c r="Q744" s="49"/>
      <c r="R744" s="49"/>
      <c r="S744" s="49"/>
      <c r="T744" s="49"/>
      <c r="U744" s="49"/>
      <c r="V744" s="49"/>
      <c r="W744" s="41" t="s">
        <v>470</v>
      </c>
      <c r="X744" s="46">
        <f t="shared" si="5"/>
        <v>45604.45494</v>
      </c>
      <c r="Y744" s="50" t="s">
        <v>482</v>
      </c>
      <c r="Z744" s="49">
        <f t="shared" si="6"/>
        <v>2</v>
      </c>
    </row>
    <row r="745" ht="22.5" customHeight="1">
      <c r="B745" s="41" t="s">
        <v>3079</v>
      </c>
      <c r="C745" s="43">
        <f t="array" ref="C745">IF(B745="","",_xlfn.XLOOKUP(B745,'Form responses 1'!$B$2:$B$2604,'Form responses 1'!$A$2:$A$2604,""))</f>
        <v>45596.62656</v>
      </c>
      <c r="D745" s="44" t="str">
        <f t="shared" si="3"/>
        <v>K/61/311024/2_45596.6265554977</v>
      </c>
      <c r="E745" s="44" t="str">
        <f t="array" ref="E745">IF(B745="","",_xlfn.XLOOKUP(B745,'Form responses 1'!$B$2:$B$2604,'Form responses 1'!$C$2:$C$2604,""))</f>
        <v>Mahfud/ Bambang P</v>
      </c>
      <c r="F745" s="44" t="str">
        <f t="array" ref="F745">IF(B745="","",_xlfn.XLOOKUP(B745,'Form responses 1'!$B$2:$B$2604,'Form responses 1'!$D$2:$D$2604,""))</f>
        <v>085709139403</v>
      </c>
      <c r="G745" s="44" t="str">
        <f t="array" ref="G745">IF(B745="","",_xlfn.XLOOKUP(B745,'Form responses 1'!$B$2:$B$2604,'Form responses 1'!$E$2:$E$2604,""))</f>
        <v>Pengukuran HGB Berakhir</v>
      </c>
      <c r="H745" s="44" t="str">
        <f t="array" ref="H745">IF(B745="","",_xlfn.XLOOKUP(B745,'Form responses 1'!$B$2:$B$2604,'Form responses 1'!$F$2:$F$2604,""))</f>
        <v>B. 944/ Kedaton</v>
      </c>
      <c r="I745" s="44" t="str">
        <f t="array" ref="I745">IF(B745="","",_xlfn.XLOOKUP(B745,'Form responses 1'!$B$2:$B$2604,'Form responses 1'!$I$2:$I$2604,""))</f>
        <v>Perumnas Way Halim</v>
      </c>
      <c r="J745" s="44" t="str">
        <f t="array" ref="J745">IF(B745="","",_xlfn.XLOOKUP(B745,'Form responses 1'!$B$2:$B$2604,'Form responses 1'!$G$2:$G$2604,""))</f>
        <v>Rapita</v>
      </c>
      <c r="K745" s="41" t="s">
        <v>422</v>
      </c>
      <c r="L745" s="52">
        <f t="shared" si="7"/>
        <v>45604.44649</v>
      </c>
      <c r="M745" s="49"/>
      <c r="N745" s="49"/>
      <c r="O745" s="49"/>
      <c r="P745" s="49"/>
      <c r="Q745" s="49"/>
      <c r="R745" s="49"/>
      <c r="S745" s="49"/>
      <c r="T745" s="49"/>
      <c r="U745" s="49"/>
      <c r="V745" s="49"/>
      <c r="W745" s="41" t="s">
        <v>618</v>
      </c>
      <c r="X745" s="46">
        <f t="shared" si="5"/>
        <v>45607.52503</v>
      </c>
      <c r="Y745" s="50" t="s">
        <v>482</v>
      </c>
      <c r="Z745" s="49">
        <f t="shared" si="6"/>
        <v>0</v>
      </c>
    </row>
    <row r="746" ht="22.5" customHeight="1">
      <c r="B746" s="41" t="s">
        <v>2313</v>
      </c>
      <c r="C746" s="43">
        <f t="array" ref="C746">IF(B746="","",_xlfn.XLOOKUP(B746,'Form responses 1'!$B$2:$B$2604,'Form responses 1'!$A$2:$A$2604,""))</f>
        <v>45593.37791</v>
      </c>
      <c r="D746" s="44" t="str">
        <f t="shared" si="3"/>
        <v>L/2/281024/1_45593.377906875</v>
      </c>
      <c r="E746" s="44" t="str">
        <f t="array" ref="E746">IF(B746="","",_xlfn.XLOOKUP(B746,'Form responses 1'!$B$2:$B$2604,'Form responses 1'!$C$2:$C$2604,""))</f>
        <v>FITRIA AGUSTINA</v>
      </c>
      <c r="F746" s="44" t="str">
        <f t="array" ref="F746">IF(B746="","",_xlfn.XLOOKUP(B746,'Form responses 1'!$B$2:$B$2604,'Form responses 1'!$D$2:$D$2604,""))</f>
        <v>08117208663</v>
      </c>
      <c r="G746" s="44" t="str">
        <f t="array" ref="G746">IF(B746="","",_xlfn.XLOOKUP(B746,'Form responses 1'!$B$2:$B$2604,'Form responses 1'!$E$2:$E$2604,""))</f>
        <v>PERTAMA KALI</v>
      </c>
      <c r="H746" s="44" t="str">
        <f t="array" ref="H746">IF(B746="","",_xlfn.XLOOKUP(B746,'Form responses 1'!$B$2:$B$2604,'Form responses 1'!$F$2:$F$2604,""))</f>
        <v>TANJUNG AGUNG</v>
      </c>
      <c r="I746" s="44" t="str">
        <f t="array" ref="I746">IF(B746="","",_xlfn.XLOOKUP(B746,'Form responses 1'!$B$2:$B$2604,'Form responses 1'!$I$2:$I$2604,""))</f>
        <v>TANJUNG AGUNG</v>
      </c>
      <c r="J746" s="44" t="str">
        <f t="array" ref="J746">IF(B746="","",_xlfn.XLOOKUP(B746,'Form responses 1'!$B$2:$B$2604,'Form responses 1'!$G$2:$G$2604,""))</f>
        <v>Deby</v>
      </c>
      <c r="K746" s="41" t="s">
        <v>422</v>
      </c>
      <c r="L746" s="52">
        <f t="shared" si="7"/>
        <v>45604.4465</v>
      </c>
      <c r="M746" s="49"/>
      <c r="N746" s="49"/>
      <c r="O746" s="49"/>
      <c r="P746" s="49"/>
      <c r="Q746" s="49"/>
      <c r="R746" s="49"/>
      <c r="S746" s="49"/>
      <c r="T746" s="49"/>
      <c r="U746" s="49"/>
      <c r="V746" s="49"/>
      <c r="W746" s="56"/>
      <c r="X746" s="51" t="str">
        <f t="shared" si="5"/>
        <v/>
      </c>
      <c r="Y746" s="50" t="s">
        <v>482</v>
      </c>
      <c r="Z746" s="49">
        <f t="shared" si="6"/>
        <v>0</v>
      </c>
    </row>
    <row r="747" ht="22.5" customHeight="1">
      <c r="B747" s="41" t="s">
        <v>2665</v>
      </c>
      <c r="C747" s="43">
        <f t="array" ref="C747">IF(B747="","",_xlfn.XLOOKUP(B747,'Form responses 1'!$B$2:$B$2604,'Form responses 1'!$A$2:$A$2604,""))</f>
        <v>45594.65174</v>
      </c>
      <c r="D747" s="44" t="str">
        <f t="shared" si="3"/>
        <v>L/45/291024/1_45594.6517410301</v>
      </c>
      <c r="E747" s="44" t="str">
        <f t="array" ref="E747">IF(B747="","",_xlfn.XLOOKUP(B747,'Form responses 1'!$B$2:$B$2604,'Form responses 1'!$C$2:$C$2604,""))</f>
        <v>M CHANDRA TASLI</v>
      </c>
      <c r="F747" s="44" t="str">
        <f t="array" ref="F747">IF(B747="","",_xlfn.XLOOKUP(B747,'Form responses 1'!$B$2:$B$2604,'Form responses 1'!$D$2:$D$2604,""))</f>
        <v>081367111714</v>
      </c>
      <c r="G747" s="44" t="str">
        <f t="array" ref="G747">IF(B747="","",_xlfn.XLOOKUP(B747,'Form responses 1'!$B$2:$B$2604,'Form responses 1'!$E$2:$E$2604,""))</f>
        <v>ASPEK</v>
      </c>
      <c r="H747" s="44" t="str">
        <f t="array" ref="H747">IF(B747="","",_xlfn.XLOOKUP(B747,'Form responses 1'!$B$2:$B$2604,'Form responses 1'!$F$2:$F$2604,""))</f>
        <v>-</v>
      </c>
      <c r="I747" s="44" t="str">
        <f t="array" ref="I747">IF(B747="","",_xlfn.XLOOKUP(B747,'Form responses 1'!$B$2:$B$2604,'Form responses 1'!$I$2:$I$2604,""))</f>
        <v>KEDATON</v>
      </c>
      <c r="J747" s="44" t="str">
        <f t="array" ref="J747">IF(B747="","",_xlfn.XLOOKUP(B747,'Form responses 1'!$B$2:$B$2604,'Form responses 1'!$G$2:$G$2604,""))</f>
        <v>Nuraini</v>
      </c>
      <c r="K747" s="41" t="s">
        <v>422</v>
      </c>
      <c r="L747" s="52">
        <f t="shared" si="7"/>
        <v>45604.44652</v>
      </c>
      <c r="M747" s="47" t="s">
        <v>5614</v>
      </c>
      <c r="N747" s="47" t="s">
        <v>5615</v>
      </c>
      <c r="O747" s="47" t="s">
        <v>5616</v>
      </c>
      <c r="P747" s="49"/>
      <c r="Q747" s="49"/>
      <c r="R747" s="49"/>
      <c r="S747" s="49"/>
      <c r="T747" s="49"/>
      <c r="U747" s="49"/>
      <c r="V747" s="49"/>
      <c r="W747" s="41" t="s">
        <v>470</v>
      </c>
      <c r="X747" s="46">
        <f t="shared" si="5"/>
        <v>45613.48126</v>
      </c>
      <c r="Y747" s="50" t="s">
        <v>482</v>
      </c>
      <c r="Z747" s="49">
        <f t="shared" si="6"/>
        <v>3</v>
      </c>
    </row>
    <row r="748" ht="22.5" customHeight="1">
      <c r="B748" s="41" t="s">
        <v>4059</v>
      </c>
      <c r="C748" s="43">
        <f t="array" ref="C748">IF(B748="","",_xlfn.XLOOKUP(B748,'Form responses 1'!$B$2:$B$2604,'Form responses 1'!$A$2:$A$2604,""))</f>
        <v>45603.5759</v>
      </c>
      <c r="D748" s="44" t="str">
        <f t="shared" si="3"/>
        <v>K/30/071124/1_45603.5759029051</v>
      </c>
      <c r="E748" s="44" t="str">
        <f t="array" ref="E748">IF(B748="","",_xlfn.XLOOKUP(B748,'Form responses 1'!$B$2:$B$2604,'Form responses 1'!$C$2:$C$2604,""))</f>
        <v>KRESHNA/ RITA</v>
      </c>
      <c r="F748" s="44" t="str">
        <f t="array" ref="F748">IF(B748="","",_xlfn.XLOOKUP(B748,'Form responses 1'!$B$2:$B$2604,'Form responses 1'!$D$2:$D$2604,""))</f>
        <v>089506584856</v>
      </c>
      <c r="G748" s="44" t="str">
        <f t="array" ref="G748">IF(B748="","",_xlfn.XLOOKUP(B748,'Form responses 1'!$B$2:$B$2604,'Form responses 1'!$E$2:$E$2604,""))</f>
        <v>BN JUAL BELI</v>
      </c>
      <c r="H748" s="44" t="str">
        <f t="array" ref="H748">IF(B748="","",_xlfn.XLOOKUP(B748,'Form responses 1'!$B$2:$B$2604,'Form responses 1'!$F$2:$F$2604,""))</f>
        <v>Nibel 3504/ Bumi Kedamaian</v>
      </c>
      <c r="I748" s="44" t="str">
        <f t="array" ref="I748">IF(B748="","",_xlfn.XLOOKUP(B748,'Form responses 1'!$B$2:$B$2604,'Form responses 1'!$I$2:$I$2604,""))</f>
        <v> Bumi Kedamaian</v>
      </c>
      <c r="J748" s="44" t="str">
        <f t="array" ref="J748">IF(B748="","",_xlfn.XLOOKUP(B748,'Form responses 1'!$B$2:$B$2604,'Form responses 1'!$G$2:$G$2604,""))</f>
        <v>Hananda</v>
      </c>
      <c r="K748" s="41" t="s">
        <v>422</v>
      </c>
      <c r="L748" s="52">
        <f t="shared" si="7"/>
        <v>45604.44653</v>
      </c>
      <c r="M748" s="49"/>
      <c r="N748" s="49"/>
      <c r="O748" s="49"/>
      <c r="P748" s="49"/>
      <c r="Q748" s="49"/>
      <c r="R748" s="49"/>
      <c r="S748" s="49"/>
      <c r="T748" s="49"/>
      <c r="U748" s="49"/>
      <c r="V748" s="49"/>
      <c r="W748" s="41" t="s">
        <v>618</v>
      </c>
      <c r="X748" s="46">
        <f t="shared" si="5"/>
        <v>45604.47137</v>
      </c>
      <c r="Y748" s="50" t="s">
        <v>482</v>
      </c>
      <c r="Z748" s="49">
        <f t="shared" si="6"/>
        <v>0</v>
      </c>
    </row>
    <row r="749" ht="22.5" customHeight="1">
      <c r="B749" s="41" t="s">
        <v>4009</v>
      </c>
      <c r="C749" s="43">
        <f t="array" ref="C749">IF(B749="","",_xlfn.XLOOKUP(B749,'Form responses 1'!$B$2:$B$2604,'Form responses 1'!$A$2:$A$2604,""))</f>
        <v>45603.4481</v>
      </c>
      <c r="D749" s="44" t="str">
        <f t="shared" si="3"/>
        <v>K/16/071124/2_45603.4480965625</v>
      </c>
      <c r="E749" s="44" t="str">
        <f t="array" ref="E749">IF(B749="","",_xlfn.XLOOKUP(B749,'Form responses 1'!$B$2:$B$2604,'Form responses 1'!$C$2:$C$2604,""))</f>
        <v>APRIZAL/EKA SARI TAHERAH</v>
      </c>
      <c r="F749" s="44" t="str">
        <f t="array" ref="F749">IF(B749="","",_xlfn.XLOOKUP(B749,'Form responses 1'!$B$2:$B$2604,'Form responses 1'!$D$2:$D$2604,""))</f>
        <v>0895-3631-14046</v>
      </c>
      <c r="G749" s="44" t="str">
        <f t="array" ref="G749">IF(B749="","",_xlfn.XLOOKUP(B749,'Form responses 1'!$B$2:$B$2604,'Form responses 1'!$E$2:$E$2604,""))</f>
        <v>BN JUAL BELI</v>
      </c>
      <c r="H749" s="44" t="str">
        <f t="array" ref="H749">IF(B749="","",_xlfn.XLOOKUP(B749,'Form responses 1'!$B$2:$B$2604,'Form responses 1'!$F$2:$F$2604,""))</f>
        <v>M.4696/SUKADANAHAM</v>
      </c>
      <c r="I749" s="44" t="str">
        <f t="array" ref="I749">IF(B749="","",_xlfn.XLOOKUP(B749,'Form responses 1'!$B$2:$B$2604,'Form responses 1'!$I$2:$I$2604,""))</f>
        <v>SUKADANAHAM</v>
      </c>
      <c r="J749" s="44" t="str">
        <f t="array" ref="J749">IF(B749="","",_xlfn.XLOOKUP(B749,'Form responses 1'!$B$2:$B$2604,'Form responses 1'!$G$2:$G$2604,""))</f>
        <v>Baynur</v>
      </c>
      <c r="K749" s="41" t="s">
        <v>422</v>
      </c>
      <c r="L749" s="52">
        <f t="shared" si="7"/>
        <v>45604.44655</v>
      </c>
      <c r="M749" s="47" t="s">
        <v>5617</v>
      </c>
      <c r="N749" s="49"/>
      <c r="O749" s="49"/>
      <c r="P749" s="49"/>
      <c r="Q749" s="49"/>
      <c r="R749" s="49"/>
      <c r="S749" s="49"/>
      <c r="T749" s="49"/>
      <c r="U749" s="49"/>
      <c r="V749" s="49"/>
      <c r="W749" s="41" t="s">
        <v>470</v>
      </c>
      <c r="X749" s="46">
        <f t="shared" si="5"/>
        <v>45604.48278</v>
      </c>
      <c r="Y749" s="50" t="s">
        <v>482</v>
      </c>
      <c r="Z749" s="49">
        <f t="shared" si="6"/>
        <v>1</v>
      </c>
    </row>
    <row r="750" ht="22.5" customHeight="1">
      <c r="B750" s="41" t="s">
        <v>3944</v>
      </c>
      <c r="C750" s="43">
        <f t="array" ref="C750">IF(B750="","",_xlfn.XLOOKUP(B750,'Form responses 1'!$B$2:$B$2604,'Form responses 1'!$A$2:$A$2604,""))</f>
        <v>45603.36772</v>
      </c>
      <c r="D750" s="44" t="str">
        <f t="shared" si="3"/>
        <v>K/1/071124/1_45603.3677178935</v>
      </c>
      <c r="E750" s="44" t="str">
        <f t="array" ref="E750">IF(B750="","",_xlfn.XLOOKUP(B750,'Form responses 1'!$B$2:$B$2604,'Form responses 1'!$C$2:$C$2604,""))</f>
        <v>Ismarina/ Muji Rahayu</v>
      </c>
      <c r="F750" s="44" t="str">
        <f t="array" ref="F750">IF(B750="","",_xlfn.XLOOKUP(B750,'Form responses 1'!$B$2:$B$2604,'Form responses 1'!$D$2:$D$2604,""))</f>
        <v>+62 813-6761-0046</v>
      </c>
      <c r="G750" s="44" t="str">
        <f t="array" ref="G750">IF(B750="","",_xlfn.XLOOKUP(B750,'Form responses 1'!$B$2:$B$2604,'Form responses 1'!$E$2:$E$2604,""))</f>
        <v>BN Jul Beli</v>
      </c>
      <c r="H750" s="44" t="str">
        <f t="array" ref="H750">IF(B750="","",_xlfn.XLOOKUP(B750,'Form responses 1'!$B$2:$B$2604,'Form responses 1'!$F$2:$F$2604,""))</f>
        <v>M. 5102/ Rajabasa Jaya</v>
      </c>
      <c r="I750" s="44" t="str">
        <f t="array" ref="I750">IF(B750="","",_xlfn.XLOOKUP(B750,'Form responses 1'!$B$2:$B$2604,'Form responses 1'!$I$2:$I$2604,""))</f>
        <v>Rajabasa Jaya</v>
      </c>
      <c r="J750" s="44" t="str">
        <f t="array" ref="J750">IF(B750="","",_xlfn.XLOOKUP(B750,'Form responses 1'!$B$2:$B$2604,'Form responses 1'!$G$2:$G$2604,""))</f>
        <v>Rapita</v>
      </c>
      <c r="K750" s="41" t="s">
        <v>422</v>
      </c>
      <c r="L750" s="52">
        <f t="shared" si="7"/>
        <v>45604.44657</v>
      </c>
      <c r="M750" s="49"/>
      <c r="N750" s="49"/>
      <c r="O750" s="49"/>
      <c r="P750" s="49"/>
      <c r="Q750" s="49"/>
      <c r="R750" s="49"/>
      <c r="S750" s="49"/>
      <c r="T750" s="49"/>
      <c r="U750" s="49"/>
      <c r="V750" s="49"/>
      <c r="W750" s="41" t="s">
        <v>618</v>
      </c>
      <c r="X750" s="46">
        <f t="shared" si="5"/>
        <v>45604.49706</v>
      </c>
      <c r="Y750" s="50" t="s">
        <v>482</v>
      </c>
      <c r="Z750" s="49">
        <f t="shared" si="6"/>
        <v>0</v>
      </c>
    </row>
    <row r="751" ht="22.5" customHeight="1">
      <c r="B751" s="41" t="s">
        <v>4054</v>
      </c>
      <c r="C751" s="43">
        <f t="array" ref="C751">IF(B751="","",_xlfn.XLOOKUP(B751,'Form responses 1'!$B$2:$B$2604,'Form responses 1'!$A$2:$A$2604,""))</f>
        <v>45603.57057</v>
      </c>
      <c r="D751" s="44" t="str">
        <f t="shared" si="3"/>
        <v>K/27/071124/2_45603.5705696181</v>
      </c>
      <c r="E751" s="44" t="str">
        <f t="array" ref="E751">IF(B751="","",_xlfn.XLOOKUP(B751,'Form responses 1'!$B$2:$B$2604,'Form responses 1'!$C$2:$C$2604,""))</f>
        <v>Ilanur/ Siti Nurhasanah</v>
      </c>
      <c r="F751" s="44" t="str">
        <f t="array" ref="F751">IF(B751="","",_xlfn.XLOOKUP(B751,'Form responses 1'!$B$2:$B$2604,'Form responses 1'!$D$2:$D$2604,""))</f>
        <v>+62 897-9122-178</v>
      </c>
      <c r="G751" s="44" t="str">
        <f t="array" ref="G751">IF(B751="","",_xlfn.XLOOKUP(B751,'Form responses 1'!$B$2:$B$2604,'Form responses 1'!$E$2:$E$2604,""))</f>
        <v>BN Jual Beli</v>
      </c>
      <c r="H751" s="44" t="str">
        <f t="array" ref="H751">IF(B751="","",_xlfn.XLOOKUP(B751,'Form responses 1'!$B$2:$B$2604,'Form responses 1'!$F$2:$F$2604,""))</f>
        <v>M. 87/ L R R</v>
      </c>
      <c r="I751" s="44" t="str">
        <f t="array" ref="I751">IF(B751="","",_xlfn.XLOOKUP(B751,'Form responses 1'!$B$2:$B$2604,'Form responses 1'!$I$2:$I$2604,""))</f>
        <v>Labuhan Ratu Raya</v>
      </c>
      <c r="J751" s="44" t="str">
        <f t="array" ref="J751">IF(B751="","",_xlfn.XLOOKUP(B751,'Form responses 1'!$B$2:$B$2604,'Form responses 1'!$G$2:$G$2604,""))</f>
        <v>Rapita</v>
      </c>
      <c r="K751" s="41" t="s">
        <v>422</v>
      </c>
      <c r="L751" s="52">
        <f t="shared" si="7"/>
        <v>45604.44662</v>
      </c>
      <c r="M751" s="47" t="s">
        <v>5618</v>
      </c>
      <c r="N751" s="47" t="s">
        <v>5584</v>
      </c>
      <c r="O751" s="49"/>
      <c r="P751" s="49"/>
      <c r="Q751" s="49"/>
      <c r="R751" s="49"/>
      <c r="S751" s="49"/>
      <c r="T751" s="49"/>
      <c r="U751" s="49"/>
      <c r="V751" s="49"/>
      <c r="W751" s="41" t="s">
        <v>618</v>
      </c>
      <c r="X751" s="46">
        <f t="shared" si="5"/>
        <v>45608.62807</v>
      </c>
      <c r="Y751" s="50" t="s">
        <v>482</v>
      </c>
      <c r="Z751" s="49">
        <f t="shared" si="6"/>
        <v>2</v>
      </c>
    </row>
    <row r="752" ht="22.5" customHeight="1">
      <c r="B752" s="41" t="s">
        <v>4078</v>
      </c>
      <c r="C752" s="43">
        <f t="array" ref="C752">IF(B752="","",_xlfn.XLOOKUP(B752,'Form responses 1'!$B$2:$B$2604,'Form responses 1'!$A$2:$A$2604,""))</f>
        <v>45603.59739</v>
      </c>
      <c r="D752" s="44" t="str">
        <f t="shared" si="3"/>
        <v>K/38/071124/3_45603.5973895023</v>
      </c>
      <c r="E752" s="44" t="str">
        <f t="array" ref="E752">IF(B752="","",_xlfn.XLOOKUP(B752,'Form responses 1'!$B$2:$B$2604,'Form responses 1'!$C$2:$C$2604,""))</f>
        <v>Endang A/ Sri Wahyuni</v>
      </c>
      <c r="F752" s="44" t="str">
        <f t="array" ref="F752">IF(B752="","",_xlfn.XLOOKUP(B752,'Form responses 1'!$B$2:$B$2604,'Form responses 1'!$D$2:$D$2604,""))</f>
        <v>082289235722</v>
      </c>
      <c r="G752" s="44" t="str">
        <f t="array" ref="G752">IF(B752="","",_xlfn.XLOOKUP(B752,'Form responses 1'!$B$2:$B$2604,'Form responses 1'!$E$2:$E$2604,""))</f>
        <v>BN Jual Beli</v>
      </c>
      <c r="H752" s="44" t="str">
        <f t="array" ref="H752">IF(B752="","",_xlfn.XLOOKUP(B752,'Form responses 1'!$B$2:$B$2604,'Form responses 1'!$F$2:$F$2604,""))</f>
        <v>B. 716/ Kemiling Permai</v>
      </c>
      <c r="I752" s="44" t="str">
        <f t="array" ref="I752">IF(B752="","",_xlfn.XLOOKUP(B752,'Form responses 1'!$B$2:$B$2604,'Form responses 1'!$I$2:$I$2604,""))</f>
        <v>Kemiling Permai</v>
      </c>
      <c r="J752" s="44" t="str">
        <f t="array" ref="J752">IF(B752="","",_xlfn.XLOOKUP(B752,'Form responses 1'!$B$2:$B$2604,'Form responses 1'!$G$2:$G$2604,""))</f>
        <v>Rapita</v>
      </c>
      <c r="K752" s="41" t="s">
        <v>422</v>
      </c>
      <c r="L752" s="52">
        <f t="shared" si="7"/>
        <v>45604.44664</v>
      </c>
      <c r="M752" s="49"/>
      <c r="N752" s="49"/>
      <c r="O752" s="49"/>
      <c r="P752" s="49"/>
      <c r="Q752" s="49"/>
      <c r="R752" s="49"/>
      <c r="S752" s="49"/>
      <c r="T752" s="49"/>
      <c r="U752" s="49"/>
      <c r="V752" s="49"/>
      <c r="W752" s="41" t="s">
        <v>618</v>
      </c>
      <c r="X752" s="46">
        <f t="shared" si="5"/>
        <v>45604.54883</v>
      </c>
      <c r="Y752" s="50" t="s">
        <v>482</v>
      </c>
      <c r="Z752" s="49">
        <f t="shared" si="6"/>
        <v>0</v>
      </c>
    </row>
    <row r="753" ht="22.5" customHeight="1">
      <c r="B753" s="41" t="s">
        <v>4081</v>
      </c>
      <c r="C753" s="43">
        <f t="array" ref="C753">IF(B753="","",_xlfn.XLOOKUP(B753,'Form responses 1'!$B$2:$B$2604,'Form responses 1'!$A$2:$A$2604,""))</f>
        <v>45603.59809</v>
      </c>
      <c r="D753" s="44" t="str">
        <f t="shared" si="3"/>
        <v>K/37/071124/2_45603.5980852199</v>
      </c>
      <c r="E753" s="44" t="str">
        <f t="array" ref="E753">IF(B753="","",_xlfn.XLOOKUP(B753,'Form responses 1'!$B$2:$B$2604,'Form responses 1'!$C$2:$C$2604,""))</f>
        <v>Endang A/ Fadel F</v>
      </c>
      <c r="F753" s="44" t="str">
        <f t="array" ref="F753">IF(B753="","",_xlfn.XLOOKUP(B753,'Form responses 1'!$B$2:$B$2604,'Form responses 1'!$D$2:$D$2604,""))</f>
        <v>082289235723</v>
      </c>
      <c r="G753" s="44" t="str">
        <f t="array" ref="G753">IF(B753="","",_xlfn.XLOOKUP(B753,'Form responses 1'!$B$2:$B$2604,'Form responses 1'!$E$2:$E$2604,""))</f>
        <v>BN Jual Beli</v>
      </c>
      <c r="H753" s="44" t="str">
        <f t="array" ref="H753">IF(B753="","",_xlfn.XLOOKUP(B753,'Form responses 1'!$B$2:$B$2604,'Form responses 1'!$F$2:$F$2604,""))</f>
        <v>B. 621/ Kemiling Permai</v>
      </c>
      <c r="I753" s="44" t="str">
        <f t="array" ref="I753">IF(B753="","",_xlfn.XLOOKUP(B753,'Form responses 1'!$B$2:$B$2604,'Form responses 1'!$I$2:$I$2604,""))</f>
        <v>Kemiling Permai</v>
      </c>
      <c r="J753" s="44" t="str">
        <f t="array" ref="J753">IF(B753="","",_xlfn.XLOOKUP(B753,'Form responses 1'!$B$2:$B$2604,'Form responses 1'!$G$2:$G$2604,""))</f>
        <v>Rapita</v>
      </c>
      <c r="K753" s="41" t="s">
        <v>422</v>
      </c>
      <c r="L753" s="52">
        <f t="shared" si="7"/>
        <v>45604.44666</v>
      </c>
      <c r="M753" s="47" t="s">
        <v>5619</v>
      </c>
      <c r="N753" s="49"/>
      <c r="O753" s="49"/>
      <c r="P753" s="49"/>
      <c r="Q753" s="49"/>
      <c r="R753" s="49"/>
      <c r="S753" s="49"/>
      <c r="T753" s="49"/>
      <c r="U753" s="49"/>
      <c r="V753" s="49"/>
      <c r="W753" s="41" t="s">
        <v>618</v>
      </c>
      <c r="X753" s="46">
        <f t="shared" si="5"/>
        <v>45609.6583</v>
      </c>
      <c r="Y753" s="50" t="s">
        <v>482</v>
      </c>
      <c r="Z753" s="49">
        <f t="shared" si="6"/>
        <v>1</v>
      </c>
    </row>
    <row r="754" ht="22.5" customHeight="1">
      <c r="B754" s="41" t="s">
        <v>3983</v>
      </c>
      <c r="C754" s="43">
        <f t="array" ref="C754">IF(B754="","",_xlfn.XLOOKUP(B754,'Form responses 1'!$B$2:$B$2604,'Form responses 1'!$A$2:$A$2604,""))</f>
        <v>45603.44431</v>
      </c>
      <c r="D754" s="44" t="str">
        <f t="shared" si="3"/>
        <v>K/8/071124/1_45603.4443109607</v>
      </c>
      <c r="E754" s="44" t="str">
        <f t="array" ref="E754">IF(B754="","",_xlfn.XLOOKUP(B754,'Form responses 1'!$B$2:$B$2604,'Form responses 1'!$C$2:$C$2604,""))</f>
        <v>M. Arif S/ Tiara Ayu</v>
      </c>
      <c r="F754" s="44" t="str">
        <f t="array" ref="F754">IF(B754="","",_xlfn.XLOOKUP(B754,'Form responses 1'!$B$2:$B$2604,'Form responses 1'!$D$2:$D$2604,""))</f>
        <v>+62 853-5788-8886</v>
      </c>
      <c r="G754" s="44" t="str">
        <f t="array" ref="G754">IF(B754="","",_xlfn.XLOOKUP(B754,'Form responses 1'!$B$2:$B$2604,'Form responses 1'!$E$2:$E$2604,""))</f>
        <v>BN Lelang</v>
      </c>
      <c r="H754" s="44" t="str">
        <f t="array" ref="H754">IF(B754="","",_xlfn.XLOOKUP(B754,'Form responses 1'!$B$2:$B$2604,'Form responses 1'!$F$2:$F$2604,""))</f>
        <v>Nibel. B. 2237/ Sukarame</v>
      </c>
      <c r="I754" s="44" t="str">
        <f t="array" ref="I754">IF(B754="","",_xlfn.XLOOKUP(B754,'Form responses 1'!$B$2:$B$2604,'Form responses 1'!$I$2:$I$2604,""))</f>
        <v>Sukarame</v>
      </c>
      <c r="J754" s="44" t="str">
        <f t="array" ref="J754">IF(B754="","",_xlfn.XLOOKUP(B754,'Form responses 1'!$B$2:$B$2604,'Form responses 1'!$G$2:$G$2604,""))</f>
        <v>Rapita</v>
      </c>
      <c r="K754" s="41" t="s">
        <v>1233</v>
      </c>
      <c r="L754" s="52">
        <f t="shared" si="7"/>
        <v>45604.44777</v>
      </c>
      <c r="M754" s="47" t="s">
        <v>5580</v>
      </c>
      <c r="N754" s="47" t="s">
        <v>5620</v>
      </c>
      <c r="O754" s="47" t="s">
        <v>5621</v>
      </c>
      <c r="P754" s="49"/>
      <c r="Q754" s="49"/>
      <c r="R754" s="49"/>
      <c r="S754" s="49"/>
      <c r="T754" s="49"/>
      <c r="U754" s="49"/>
      <c r="V754" s="49"/>
      <c r="W754" s="41" t="s">
        <v>618</v>
      </c>
      <c r="X754" s="46">
        <f t="shared" si="5"/>
        <v>45608.65891</v>
      </c>
      <c r="Y754" s="50" t="s">
        <v>482</v>
      </c>
      <c r="Z754" s="49">
        <f t="shared" si="6"/>
        <v>3</v>
      </c>
    </row>
    <row r="755" ht="22.5" customHeight="1">
      <c r="B755" s="41" t="s">
        <v>3994</v>
      </c>
      <c r="C755" s="43">
        <f t="array" ref="C755">IF(B755="","",_xlfn.XLOOKUP(B755,'Form responses 1'!$B$2:$B$2604,'Form responses 1'!$A$2:$A$2604,""))</f>
        <v>45603.44556</v>
      </c>
      <c r="D755" s="44" t="str">
        <f t="shared" si="3"/>
        <v>K/11/071124/4_45603.4455586574</v>
      </c>
      <c r="E755" s="44" t="str">
        <f t="array" ref="E755">IF(B755="","",_xlfn.XLOOKUP(B755,'Form responses 1'!$B$2:$B$2604,'Form responses 1'!$C$2:$C$2604,""))</f>
        <v>M. Arif S/ Friska AFR</v>
      </c>
      <c r="F755" s="44" t="str">
        <f t="array" ref="F755">IF(B755="","",_xlfn.XLOOKUP(B755,'Form responses 1'!$B$2:$B$2604,'Form responses 1'!$D$2:$D$2604,""))</f>
        <v>+62 853-5788-8886</v>
      </c>
      <c r="G755" s="44" t="str">
        <f t="array" ref="G755">IF(B755="","",_xlfn.XLOOKUP(B755,'Form responses 1'!$B$2:$B$2604,'Form responses 1'!$E$2:$E$2604,""))</f>
        <v>BN Jual Beli</v>
      </c>
      <c r="H755" s="44" t="str">
        <f t="array" ref="H755">IF(B755="","",_xlfn.XLOOKUP(B755,'Form responses 1'!$B$2:$B$2604,'Form responses 1'!$F$2:$F$2604,""))</f>
        <v>M. 2426/ Kedaung</v>
      </c>
      <c r="I755" s="44" t="str">
        <f t="array" ref="I755">IF(B755="","",_xlfn.XLOOKUP(B755,'Form responses 1'!$B$2:$B$2604,'Form responses 1'!$I$2:$I$2604,""))</f>
        <v>Kedaung</v>
      </c>
      <c r="J755" s="44" t="str">
        <f t="array" ref="J755">IF(B755="","",_xlfn.XLOOKUP(B755,'Form responses 1'!$B$2:$B$2604,'Form responses 1'!$G$2:$G$2604,""))</f>
        <v>Rapita</v>
      </c>
      <c r="K755" s="41" t="s">
        <v>1233</v>
      </c>
      <c r="L755" s="52">
        <f t="shared" si="7"/>
        <v>45604.4679</v>
      </c>
      <c r="M755" s="49"/>
      <c r="N755" s="49"/>
      <c r="O755" s="49"/>
      <c r="P755" s="49"/>
      <c r="Q755" s="49"/>
      <c r="R755" s="49"/>
      <c r="S755" s="49"/>
      <c r="T755" s="49"/>
      <c r="U755" s="49"/>
      <c r="V755" s="49"/>
      <c r="W755" s="41" t="s">
        <v>618</v>
      </c>
      <c r="X755" s="46">
        <f t="shared" si="5"/>
        <v>45604.46793</v>
      </c>
      <c r="Y755" s="50" t="s">
        <v>482</v>
      </c>
      <c r="Z755" s="49">
        <f t="shared" si="6"/>
        <v>0</v>
      </c>
    </row>
    <row r="756" ht="22.5" customHeight="1">
      <c r="B756" s="41" t="s">
        <v>4005</v>
      </c>
      <c r="C756" s="43">
        <f t="array" ref="C756">IF(B756="","",_xlfn.XLOOKUP(B756,'Form responses 1'!$B$2:$B$2604,'Form responses 1'!$A$2:$A$2604,""))</f>
        <v>45603.44786</v>
      </c>
      <c r="D756" s="44" t="str">
        <f t="shared" si="3"/>
        <v>K/19/071124/2_45603.4478570139</v>
      </c>
      <c r="E756" s="44" t="str">
        <f t="array" ref="E756">IF(B756="","",_xlfn.XLOOKUP(B756,'Form responses 1'!$B$2:$B$2604,'Form responses 1'!$C$2:$C$2604,""))</f>
        <v>BUDI KRISTIYANTO</v>
      </c>
      <c r="F756" s="44" t="str">
        <f t="array" ref="F756">IF(B756="","",_xlfn.XLOOKUP(B756,'Form responses 1'!$B$2:$B$2604,'Form responses 1'!$D$2:$D$2604,""))</f>
        <v>0721263769</v>
      </c>
      <c r="G756" s="44" t="str">
        <f t="array" ref="G756">IF(B756="","",_xlfn.XLOOKUP(B756,'Form responses 1'!$B$2:$B$2604,'Form responses 1'!$E$2:$E$2604,""))</f>
        <v>BN JUAL BELI</v>
      </c>
      <c r="H756" s="44" t="str">
        <f t="array" ref="H756">IF(B756="","",_xlfn.XLOOKUP(B756,'Form responses 1'!$B$2:$B$2604,'Form responses 1'!$F$2:$F$2604,""))</f>
        <v>Nibel 3070/ keteguhan</v>
      </c>
      <c r="I756" s="44" t="str">
        <f t="array" ref="I756">IF(B756="","",_xlfn.XLOOKUP(B756,'Form responses 1'!$B$2:$B$2604,'Form responses 1'!$I$2:$I$2604,""))</f>
        <v>keteguhan</v>
      </c>
      <c r="J756" s="44" t="str">
        <f t="array" ref="J756">IF(B756="","",_xlfn.XLOOKUP(B756,'Form responses 1'!$B$2:$B$2604,'Form responses 1'!$G$2:$G$2604,""))</f>
        <v>Hananda</v>
      </c>
      <c r="K756" s="41" t="s">
        <v>1233</v>
      </c>
      <c r="L756" s="52">
        <f t="shared" si="7"/>
        <v>45604.48349</v>
      </c>
      <c r="M756" s="49"/>
      <c r="N756" s="49"/>
      <c r="O756" s="49"/>
      <c r="P756" s="49"/>
      <c r="Q756" s="49"/>
      <c r="R756" s="49"/>
      <c r="S756" s="49"/>
      <c r="T756" s="49"/>
      <c r="U756" s="49"/>
      <c r="V756" s="49"/>
      <c r="W756" s="41" t="s">
        <v>618</v>
      </c>
      <c r="X756" s="46">
        <f t="shared" si="5"/>
        <v>45604.48352</v>
      </c>
      <c r="Y756" s="50" t="s">
        <v>482</v>
      </c>
      <c r="Z756" s="49">
        <f t="shared" si="6"/>
        <v>0</v>
      </c>
    </row>
    <row r="757" ht="22.5" customHeight="1">
      <c r="B757" s="41" t="s">
        <v>4106</v>
      </c>
      <c r="C757" s="43">
        <f t="array" ref="C757">IF(B757="","",_xlfn.XLOOKUP(B757,'Form responses 1'!$B$2:$B$2604,'Form responses 1'!$A$2:$A$2604,""))</f>
        <v>45604.38531</v>
      </c>
      <c r="D757" s="44" t="str">
        <f t="shared" si="3"/>
        <v>K/33/071124/2_45604.3853110764</v>
      </c>
      <c r="E757" s="44" t="str">
        <f t="array" ref="E757">IF(B757="","",_xlfn.XLOOKUP(B757,'Form responses 1'!$B$2:$B$2604,'Form responses 1'!$C$2:$C$2604,""))</f>
        <v>EVI UDIN / YOHANES CS</v>
      </c>
      <c r="F757" s="44" t="str">
        <f t="array" ref="F757">IF(B757="","",_xlfn.XLOOKUP(B757,'Form responses 1'!$B$2:$B$2604,'Form responses 1'!$D$2:$D$2604,""))</f>
        <v>+62 821-8499-9559</v>
      </c>
      <c r="G757" s="44" t="str">
        <f t="array" ref="G757">IF(B757="","",_xlfn.XLOOKUP(B757,'Form responses 1'!$B$2:$B$2604,'Form responses 1'!$E$2:$E$2604,""))</f>
        <v>BN WARIS</v>
      </c>
      <c r="H757" s="44" t="str">
        <f t="array" ref="H757">IF(B757="","",_xlfn.XLOOKUP(B757,'Form responses 1'!$B$2:$B$2604,'Form responses 1'!$F$2:$F$2604,""))</f>
        <v>M. 676/BUMI KEDAMAIAN</v>
      </c>
      <c r="I757" s="44" t="str">
        <f t="array" ref="I757">IF(B757="","",_xlfn.XLOOKUP(B757,'Form responses 1'!$B$2:$B$2604,'Form responses 1'!$I$2:$I$2604,""))</f>
        <v>BUMI KEDAMAIAN</v>
      </c>
      <c r="J757" s="44" t="str">
        <f t="array" ref="J757">IF(B757="","",_xlfn.XLOOKUP(B757,'Form responses 1'!$B$2:$B$2604,'Form responses 1'!$G$2:$G$2604,""))</f>
        <v>Aisyah</v>
      </c>
      <c r="K757" s="41" t="s">
        <v>1233</v>
      </c>
      <c r="L757" s="52">
        <f t="shared" si="7"/>
        <v>45604.49023</v>
      </c>
      <c r="M757" s="49"/>
      <c r="N757" s="49"/>
      <c r="O757" s="49"/>
      <c r="P757" s="49"/>
      <c r="Q757" s="49"/>
      <c r="R757" s="49"/>
      <c r="S757" s="49"/>
      <c r="T757" s="49"/>
      <c r="U757" s="49"/>
      <c r="V757" s="49"/>
      <c r="W757" s="41" t="s">
        <v>618</v>
      </c>
      <c r="X757" s="46">
        <f t="shared" si="5"/>
        <v>45604.49025</v>
      </c>
      <c r="Y757" s="50" t="s">
        <v>482</v>
      </c>
      <c r="Z757" s="49">
        <f t="shared" si="6"/>
        <v>0</v>
      </c>
    </row>
    <row r="758" ht="22.5" customHeight="1">
      <c r="B758" s="41" t="s">
        <v>3968</v>
      </c>
      <c r="C758" s="43">
        <f t="array" ref="C758">IF(B758="","",_xlfn.XLOOKUP(B758,'Form responses 1'!$B$2:$B$2604,'Form responses 1'!$A$2:$A$2604,""))</f>
        <v>45603.42265</v>
      </c>
      <c r="D758" s="44" t="str">
        <f t="shared" si="3"/>
        <v>K/6/071124/1_45603.4226494097</v>
      </c>
      <c r="E758" s="44" t="str">
        <f t="array" ref="E758">IF(B758="","",_xlfn.XLOOKUP(B758,'Form responses 1'!$B$2:$B$2604,'Form responses 1'!$C$2:$C$2604,""))</f>
        <v>YULIANA LUISYE K/VITTA NOGOSANNYONO</v>
      </c>
      <c r="F758" s="44" t="str">
        <f t="array" ref="F758">IF(B758="","",_xlfn.XLOOKUP(B758,'Form responses 1'!$B$2:$B$2604,'Form responses 1'!$D$2:$D$2604,""))</f>
        <v>0821-8133-7272</v>
      </c>
      <c r="G758" s="44" t="str">
        <f t="array" ref="G758">IF(B758="","",_xlfn.XLOOKUP(B758,'Form responses 1'!$B$2:$B$2604,'Form responses 1'!$E$2:$E$2604,""))</f>
        <v>BN JUAL BELI</v>
      </c>
      <c r="H758" s="44" t="str">
        <f t="array" ref="H758">IF(B758="","",_xlfn.XLOOKUP(B758,'Form responses 1'!$B$2:$B$2604,'Form responses 1'!$F$2:$F$2604,""))</f>
        <v>B.798/SUMUR PUTRI</v>
      </c>
      <c r="I758" s="44" t="str">
        <f t="array" ref="I758">IF(B758="","",_xlfn.XLOOKUP(B758,'Form responses 1'!$B$2:$B$2604,'Form responses 1'!$I$2:$I$2604,""))</f>
        <v>SUMUR PUTRI</v>
      </c>
      <c r="J758" s="44" t="str">
        <f t="array" ref="J758">IF(B758="","",_xlfn.XLOOKUP(B758,'Form responses 1'!$B$2:$B$2604,'Form responses 1'!$G$2:$G$2604,""))</f>
        <v>Baynur</v>
      </c>
      <c r="K758" s="41" t="s">
        <v>1233</v>
      </c>
      <c r="L758" s="52">
        <f t="shared" si="7"/>
        <v>45604.49085</v>
      </c>
      <c r="M758" s="47" t="s">
        <v>5622</v>
      </c>
      <c r="N758" s="49"/>
      <c r="O758" s="49"/>
      <c r="P758" s="49"/>
      <c r="Q758" s="49"/>
      <c r="R758" s="49"/>
      <c r="S758" s="49"/>
      <c r="T758" s="49"/>
      <c r="U758" s="49"/>
      <c r="V758" s="49"/>
      <c r="W758" s="41" t="s">
        <v>470</v>
      </c>
      <c r="X758" s="46">
        <f t="shared" si="5"/>
        <v>45609.56375</v>
      </c>
      <c r="Y758" s="50" t="s">
        <v>482</v>
      </c>
      <c r="Z758" s="49">
        <f t="shared" si="6"/>
        <v>1</v>
      </c>
    </row>
    <row r="759" ht="22.5" customHeight="1">
      <c r="B759" s="41" t="s">
        <v>3322</v>
      </c>
      <c r="C759" s="43">
        <f t="array" ref="C759">IF(B759="","",_xlfn.XLOOKUP(B759,'Form responses 1'!$B$2:$B$2604,'Form responses 1'!$A$2:$A$2604,""))</f>
        <v>45600.43012</v>
      </c>
      <c r="D759" s="44" t="str">
        <f t="shared" si="3"/>
        <v>K/10/041124/2_45600.4301237732</v>
      </c>
      <c r="E759" s="44" t="str">
        <f t="array" ref="E759">IF(B759="","",_xlfn.XLOOKUP(B759,'Form responses 1'!$B$2:$B$2604,'Form responses 1'!$C$2:$C$2604,""))</f>
        <v>PT GUNUNG SULAH MEDIKA/WHINDA YULIANTI</v>
      </c>
      <c r="F759" s="44" t="str">
        <f t="array" ref="F759">IF(B759="","",_xlfn.XLOOKUP(B759,'Form responses 1'!$B$2:$B$2604,'Form responses 1'!$D$2:$D$2604,""))</f>
        <v>0812-5557-2168</v>
      </c>
      <c r="G759" s="44" t="str">
        <f t="array" ref="G759">IF(B759="","",_xlfn.XLOOKUP(B759,'Form responses 1'!$B$2:$B$2604,'Form responses 1'!$E$2:$E$2604,""))</f>
        <v>BN JUAL BELI</v>
      </c>
      <c r="H759" s="44" t="str">
        <f t="array" ref="H759">IF(B759="","",_xlfn.XLOOKUP(B759,'Form responses 1'!$B$2:$B$2604,'Form responses 1'!$F$2:$F$2604,""))</f>
        <v>NIBEL B.506/GUNUNG SULAH</v>
      </c>
      <c r="I759" s="44" t="str">
        <f t="array" ref="I759">IF(B759="","",_xlfn.XLOOKUP(B759,'Form responses 1'!$B$2:$B$2604,'Form responses 1'!$I$2:$I$2604,""))</f>
        <v>GUNUNG SULAH</v>
      </c>
      <c r="J759" s="44" t="str">
        <f t="array" ref="J759">IF(B759="","",_xlfn.XLOOKUP(B759,'Form responses 1'!$B$2:$B$2604,'Form responses 1'!$G$2:$G$2604,""))</f>
        <v>Baynur</v>
      </c>
      <c r="K759" s="41" t="s">
        <v>587</v>
      </c>
      <c r="L759" s="52">
        <f t="shared" si="7"/>
        <v>45604.68861</v>
      </c>
      <c r="M759" s="47" t="s">
        <v>470</v>
      </c>
      <c r="N759" s="49"/>
      <c r="O759" s="49"/>
      <c r="P759" s="49"/>
      <c r="Q759" s="49"/>
      <c r="R759" s="49"/>
      <c r="S759" s="49"/>
      <c r="T759" s="49"/>
      <c r="U759" s="49"/>
      <c r="V759" s="49"/>
      <c r="W759" s="41" t="s">
        <v>470</v>
      </c>
      <c r="X759" s="46">
        <f t="shared" si="5"/>
        <v>45604.68892</v>
      </c>
      <c r="Y759" s="50" t="s">
        <v>482</v>
      </c>
      <c r="Z759" s="49">
        <f t="shared" si="6"/>
        <v>1</v>
      </c>
    </row>
    <row r="760" ht="22.5" customHeight="1">
      <c r="B760" s="41" t="s">
        <v>4090</v>
      </c>
      <c r="C760" s="43">
        <f t="array" ref="C760">IF(B760="","",_xlfn.XLOOKUP(B760,'Form responses 1'!$B$2:$B$2604,'Form responses 1'!$A$2:$A$2604,""))</f>
        <v>45603.59898</v>
      </c>
      <c r="D760" s="44" t="str">
        <f t="shared" si="3"/>
        <v>K/36/071124/1_45603.5989821181</v>
      </c>
      <c r="E760" s="44" t="str">
        <f t="array" ref="E760">IF(B760="","",_xlfn.XLOOKUP(B760,'Form responses 1'!$B$2:$B$2604,'Form responses 1'!$C$2:$C$2604,""))</f>
        <v>Endang A/ Rita M S</v>
      </c>
      <c r="F760" s="44" t="str">
        <f t="array" ref="F760">IF(B760="","",_xlfn.XLOOKUP(B760,'Form responses 1'!$B$2:$B$2604,'Form responses 1'!$D$2:$D$2604,""))</f>
        <v>082289235722</v>
      </c>
      <c r="G760" s="44" t="str">
        <f t="array" ref="G760">IF(B760="","",_xlfn.XLOOKUP(B760,'Form responses 1'!$B$2:$B$2604,'Form responses 1'!$E$2:$E$2604,""))</f>
        <v>BN Jual Beli</v>
      </c>
      <c r="H760" s="44" t="str">
        <f t="array" ref="H760">IF(B760="","",_xlfn.XLOOKUP(B760,'Form responses 1'!$B$2:$B$2604,'Form responses 1'!$F$2:$F$2604,""))</f>
        <v>B. 919/ Beringin Jaya</v>
      </c>
      <c r="I760" s="44" t="str">
        <f t="array" ref="I760">IF(B760="","",_xlfn.XLOOKUP(B760,'Form responses 1'!$B$2:$B$2604,'Form responses 1'!$I$2:$I$2604,""))</f>
        <v>Nusantara Permai</v>
      </c>
      <c r="J760" s="44" t="str">
        <f t="array" ref="J760">IF(B760="","",_xlfn.XLOOKUP(B760,'Form responses 1'!$B$2:$B$2604,'Form responses 1'!$G$2:$G$2604,""))</f>
        <v>Rapita</v>
      </c>
      <c r="K760" s="41" t="s">
        <v>587</v>
      </c>
      <c r="L760" s="52">
        <f t="shared" si="7"/>
        <v>45604.69167</v>
      </c>
      <c r="M760" s="47" t="s">
        <v>5214</v>
      </c>
      <c r="N760" s="49"/>
      <c r="O760" s="49"/>
      <c r="P760" s="49"/>
      <c r="Q760" s="49"/>
      <c r="R760" s="49"/>
      <c r="S760" s="49"/>
      <c r="T760" s="49"/>
      <c r="U760" s="49"/>
      <c r="V760" s="49"/>
      <c r="W760" s="41" t="s">
        <v>618</v>
      </c>
      <c r="X760" s="46">
        <f t="shared" si="5"/>
        <v>45607.32367</v>
      </c>
      <c r="Y760" s="50" t="s">
        <v>482</v>
      </c>
      <c r="Z760" s="49">
        <f t="shared" si="6"/>
        <v>1</v>
      </c>
    </row>
    <row r="761" ht="22.5" customHeight="1">
      <c r="B761" s="41" t="s">
        <v>4001</v>
      </c>
      <c r="C761" s="43">
        <f t="array" ref="C761">IF(B761="","",_xlfn.XLOOKUP(B761,'Form responses 1'!$B$2:$B$2604,'Form responses 1'!$A$2:$A$2604,""))</f>
        <v>45603.4474</v>
      </c>
      <c r="D761" s="44" t="str">
        <f t="shared" si="3"/>
        <v>K/15/071124/1_45603.4473977083</v>
      </c>
      <c r="E761" s="44" t="str">
        <f t="array" ref="E761">IF(B761="","",_xlfn.XLOOKUP(B761,'Form responses 1'!$B$2:$B$2604,'Form responses 1'!$C$2:$C$2604,""))</f>
        <v>LELI SEPTIANA/EKA SARI TAHERAH</v>
      </c>
      <c r="F761" s="44" t="str">
        <f t="array" ref="F761">IF(B761="","",_xlfn.XLOOKUP(B761,'Form responses 1'!$B$2:$B$2604,'Form responses 1'!$D$2:$D$2604,""))</f>
        <v>0895-3631-14046</v>
      </c>
      <c r="G761" s="44" t="str">
        <f t="array" ref="G761">IF(B761="","",_xlfn.XLOOKUP(B761,'Form responses 1'!$B$2:$B$2604,'Form responses 1'!$E$2:$E$2604,""))</f>
        <v>BN JUAL BELI</v>
      </c>
      <c r="H761" s="44" t="str">
        <f t="array" ref="H761">IF(B761="","",_xlfn.XLOOKUP(B761,'Form responses 1'!$B$2:$B$2604,'Form responses 1'!$F$2:$F$2604,""))</f>
        <v>M.2555/PINANG JAYA</v>
      </c>
      <c r="I761" s="44" t="str">
        <f t="array" ref="I761">IF(B761="","",_xlfn.XLOOKUP(B761,'Form responses 1'!$B$2:$B$2604,'Form responses 1'!$I$2:$I$2604,""))</f>
        <v>PINANG JAYA</v>
      </c>
      <c r="J761" s="44" t="str">
        <f t="array" ref="J761">IF(B761="","",_xlfn.XLOOKUP(B761,'Form responses 1'!$B$2:$B$2604,'Form responses 1'!$G$2:$G$2604,""))</f>
        <v>Baynur</v>
      </c>
      <c r="K761" s="41" t="s">
        <v>587</v>
      </c>
      <c r="L761" s="52">
        <f t="shared" si="7"/>
        <v>45604.69188</v>
      </c>
      <c r="M761" s="47" t="s">
        <v>5214</v>
      </c>
      <c r="N761" s="49"/>
      <c r="O761" s="49"/>
      <c r="P761" s="49"/>
      <c r="Q761" s="49"/>
      <c r="R761" s="49"/>
      <c r="S761" s="49"/>
      <c r="T761" s="49"/>
      <c r="U761" s="49"/>
      <c r="V761" s="49"/>
      <c r="W761" s="41" t="s">
        <v>618</v>
      </c>
      <c r="X761" s="46">
        <f t="shared" si="5"/>
        <v>45607.33237</v>
      </c>
      <c r="Y761" s="50" t="s">
        <v>482</v>
      </c>
      <c r="Z761" s="49">
        <f t="shared" si="6"/>
        <v>1</v>
      </c>
    </row>
    <row r="762" ht="22.5" customHeight="1">
      <c r="B762" s="41" t="s">
        <v>4015</v>
      </c>
      <c r="C762" s="43">
        <f t="array" ref="C762">IF(B762="","",_xlfn.XLOOKUP(B762,'Form responses 1'!$B$2:$B$2604,'Form responses 1'!$A$2:$A$2604,""))</f>
        <v>45603.45032</v>
      </c>
      <c r="D762" s="44" t="str">
        <f t="shared" si="3"/>
        <v>K/18/071124/4_45603.4503209722</v>
      </c>
      <c r="E762" s="44" t="str">
        <f t="array" ref="E762">IF(B762="","",_xlfn.XLOOKUP(B762,'Form responses 1'!$B$2:$B$2604,'Form responses 1'!$C$2:$C$2604,""))</f>
        <v>ADI WIDODO/EKA SARI TAHERAH</v>
      </c>
      <c r="F762" s="44" t="str">
        <f t="array" ref="F762">IF(B762="","",_xlfn.XLOOKUP(B762,'Form responses 1'!$B$2:$B$2604,'Form responses 1'!$D$2:$D$2604,""))</f>
        <v>0895-3631-14046</v>
      </c>
      <c r="G762" s="44" t="str">
        <f t="array" ref="G762">IF(B762="","",_xlfn.XLOOKUP(B762,'Form responses 1'!$B$2:$B$2604,'Form responses 1'!$E$2:$E$2604,""))</f>
        <v>BN JUAL BELI</v>
      </c>
      <c r="H762" s="44" t="str">
        <f t="array" ref="H762">IF(B762="","",_xlfn.XLOOKUP(B762,'Form responses 1'!$B$2:$B$2604,'Form responses 1'!$F$2:$F$2604,""))</f>
        <v>M.2475/PINANG JAYA</v>
      </c>
      <c r="I762" s="44" t="str">
        <f t="array" ref="I762">IF(B762="","",_xlfn.XLOOKUP(B762,'Form responses 1'!$B$2:$B$2604,'Form responses 1'!$I$2:$I$2604,""))</f>
        <v>PINANG JAYA</v>
      </c>
      <c r="J762" s="44" t="str">
        <f t="array" ref="J762">IF(B762="","",_xlfn.XLOOKUP(B762,'Form responses 1'!$B$2:$B$2604,'Form responses 1'!$G$2:$G$2604,""))</f>
        <v>Baynur</v>
      </c>
      <c r="K762" s="41" t="s">
        <v>587</v>
      </c>
      <c r="L762" s="52">
        <f t="shared" si="7"/>
        <v>45604.69206</v>
      </c>
      <c r="M762" s="47" t="s">
        <v>5214</v>
      </c>
      <c r="N762" s="49"/>
      <c r="O762" s="49"/>
      <c r="P762" s="49"/>
      <c r="Q762" s="49"/>
      <c r="R762" s="49"/>
      <c r="S762" s="49"/>
      <c r="T762" s="49"/>
      <c r="U762" s="49"/>
      <c r="V762" s="49"/>
      <c r="W762" s="41" t="s">
        <v>618</v>
      </c>
      <c r="X762" s="46">
        <f t="shared" si="5"/>
        <v>45607.35792</v>
      </c>
      <c r="Y762" s="50" t="s">
        <v>482</v>
      </c>
      <c r="Z762" s="49">
        <f t="shared" si="6"/>
        <v>1</v>
      </c>
    </row>
    <row r="763" ht="22.5" customHeight="1">
      <c r="B763" s="41" t="s">
        <v>3998</v>
      </c>
      <c r="C763" s="43">
        <f t="array" ref="C763">IF(B763="","",_xlfn.XLOOKUP(B763,'Form responses 1'!$B$2:$B$2604,'Form responses 1'!$A$2:$A$2604,""))</f>
        <v>45603.44707</v>
      </c>
      <c r="D763" s="44" t="str">
        <f t="shared" si="3"/>
        <v>K/13/071124/2_45603.4470710648</v>
      </c>
      <c r="E763" s="44" t="str">
        <f t="array" ref="E763">IF(B763="","",_xlfn.XLOOKUP(B763,'Form responses 1'!$B$2:$B$2604,'Form responses 1'!$C$2:$C$2604,""))</f>
        <v>DEA FRISKA RUSDARA / JERRY YANTO</v>
      </c>
      <c r="F763" s="44" t="str">
        <f t="array" ref="F763">IF(B763="","",_xlfn.XLOOKUP(B763,'Form responses 1'!$B$2:$B$2604,'Form responses 1'!$D$2:$D$2604,""))</f>
        <v>+62 895-0658-4856</v>
      </c>
      <c r="G763" s="44" t="str">
        <f t="array" ref="G763">IF(B763="","",_xlfn.XLOOKUP(B763,'Form responses 1'!$B$2:$B$2604,'Form responses 1'!$E$2:$E$2604,""))</f>
        <v>ROYA</v>
      </c>
      <c r="H763" s="44" t="str">
        <f t="array" ref="H763">IF(B763="","",_xlfn.XLOOKUP(B763,'Form responses 1'!$B$2:$B$2604,'Form responses 1'!$F$2:$F$2604,""))</f>
        <v>M. 2150/SUKARAME BARU-SEKARANG;B. 2323/SUKARAME-DAHULU</v>
      </c>
      <c r="I763" s="44" t="str">
        <f t="array" ref="I763">IF(B763="","",_xlfn.XLOOKUP(B763,'Form responses 1'!$B$2:$B$2604,'Form responses 1'!$I$2:$I$2604,""))</f>
        <v>SUKARAME BARU</v>
      </c>
      <c r="J763" s="44" t="str">
        <f t="array" ref="J763">IF(B763="","",_xlfn.XLOOKUP(B763,'Form responses 1'!$B$2:$B$2604,'Form responses 1'!$G$2:$G$2604,""))</f>
        <v>Aisyah</v>
      </c>
      <c r="K763" s="41" t="s">
        <v>587</v>
      </c>
      <c r="L763" s="52">
        <f t="shared" si="7"/>
        <v>45604.69231</v>
      </c>
      <c r="M763" s="47" t="s">
        <v>5214</v>
      </c>
      <c r="N763" s="49"/>
      <c r="O763" s="49"/>
      <c r="P763" s="49"/>
      <c r="Q763" s="49"/>
      <c r="R763" s="49"/>
      <c r="S763" s="49"/>
      <c r="T763" s="49"/>
      <c r="U763" s="49"/>
      <c r="V763" s="49"/>
      <c r="W763" s="41" t="s">
        <v>618</v>
      </c>
      <c r="X763" s="46">
        <f t="shared" si="5"/>
        <v>45607.35835</v>
      </c>
      <c r="Y763" s="50" t="s">
        <v>482</v>
      </c>
      <c r="Z763" s="49">
        <f t="shared" si="6"/>
        <v>1</v>
      </c>
    </row>
    <row r="764" ht="22.5" customHeight="1">
      <c r="B764" s="41" t="s">
        <v>4023</v>
      </c>
      <c r="C764" s="43">
        <f t="array" ref="C764">IF(B764="","",_xlfn.XLOOKUP(B764,'Form responses 1'!$B$2:$B$2604,'Form responses 1'!$A$2:$A$2604,""))</f>
        <v>45603.46597</v>
      </c>
      <c r="D764" s="44" t="str">
        <f t="shared" si="3"/>
        <v>K/20/071124/1_45603.4659723148</v>
      </c>
      <c r="E764" s="44" t="str">
        <f t="array" ref="E764">IF(B764="","",_xlfn.XLOOKUP(B764,'Form responses 1'!$B$2:$B$2604,'Form responses 1'!$C$2:$C$2604,""))</f>
        <v>NOVALIA EKA PUTRI / ROSMAWATI</v>
      </c>
      <c r="F764" s="44" t="str">
        <f t="array" ref="F764">IF(B764="","",_xlfn.XLOOKUP(B764,'Form responses 1'!$B$2:$B$2604,'Form responses 1'!$D$2:$D$2604,""))</f>
        <v>+62 896-4922-2167</v>
      </c>
      <c r="G764" s="44" t="str">
        <f t="array" ref="G764">IF(B764="","",_xlfn.XLOOKUP(B764,'Form responses 1'!$B$2:$B$2604,'Form responses 1'!$E$2:$E$2604,""))</f>
        <v>BN JUAL BELI</v>
      </c>
      <c r="H764" s="44" t="str">
        <f t="array" ref="H764">IF(B764="","",_xlfn.XLOOKUP(B764,'Form responses 1'!$B$2:$B$2604,'Form responses 1'!$F$2:$F$2604,""))</f>
        <v>M. 141/ PERUMNAS WAY KANDIS-SEKARANG; B. 250/ WAY KANDIS-DAHULU</v>
      </c>
      <c r="I764" s="44" t="str">
        <f t="array" ref="I764">IF(B764="","",_xlfn.XLOOKUP(B764,'Form responses 1'!$B$2:$B$2604,'Form responses 1'!$I$2:$I$2604,""))</f>
        <v>WAY KANDIS</v>
      </c>
      <c r="J764" s="44" t="str">
        <f t="array" ref="J764">IF(B764="","",_xlfn.XLOOKUP(B764,'Form responses 1'!$B$2:$B$2604,'Form responses 1'!$G$2:$G$2604,""))</f>
        <v>Aisyah</v>
      </c>
      <c r="K764" s="41" t="s">
        <v>587</v>
      </c>
      <c r="L764" s="52">
        <f t="shared" si="7"/>
        <v>45604.69247</v>
      </c>
      <c r="M764" s="47" t="s">
        <v>5214</v>
      </c>
      <c r="N764" s="49"/>
      <c r="O764" s="49"/>
      <c r="P764" s="49"/>
      <c r="Q764" s="49"/>
      <c r="R764" s="49"/>
      <c r="S764" s="49"/>
      <c r="T764" s="49"/>
      <c r="U764" s="49"/>
      <c r="V764" s="49"/>
      <c r="W764" s="41" t="s">
        <v>618</v>
      </c>
      <c r="X764" s="46">
        <f t="shared" si="5"/>
        <v>45607.35871</v>
      </c>
      <c r="Y764" s="50" t="s">
        <v>482</v>
      </c>
      <c r="Z764" s="49">
        <f t="shared" si="6"/>
        <v>1</v>
      </c>
    </row>
    <row r="765" ht="22.5" customHeight="1">
      <c r="B765" s="41" t="s">
        <v>4218</v>
      </c>
      <c r="C765" s="43">
        <f t="array" ref="C765">IF(B765="","",_xlfn.XLOOKUP(B765,'Form responses 1'!$B$2:$B$2604,'Form responses 1'!$A$2:$A$2604,""))</f>
        <v>45604.56383</v>
      </c>
      <c r="D765" s="44" t="str">
        <f t="shared" si="3"/>
        <v>K/26/081124/2_45604.5638289699</v>
      </c>
      <c r="E765" s="44" t="str">
        <f t="array" ref="E765">IF(B765="","",_xlfn.XLOOKUP(B765,'Form responses 1'!$B$2:$B$2604,'Form responses 1'!$C$2:$C$2604,""))</f>
        <v>HAR NELI DEWI/ISMARINA</v>
      </c>
      <c r="F765" s="44" t="str">
        <f t="array" ref="F765">IF(B765="","",_xlfn.XLOOKUP(B765,'Form responses 1'!$B$2:$B$2604,'Form responses 1'!$D$2:$D$2604,""))</f>
        <v>0813-6761-0046</v>
      </c>
      <c r="G765" s="44" t="str">
        <f t="array" ref="G765">IF(B765="","",_xlfn.XLOOKUP(B765,'Form responses 1'!$B$2:$B$2604,'Form responses 1'!$E$2:$E$2604,""))</f>
        <v>BN JUAL BELI</v>
      </c>
      <c r="H765" s="44" t="str">
        <f t="array" ref="H765">IF(B765="","",_xlfn.XLOOKUP(B765,'Form responses 1'!$B$2:$B$2604,'Form responses 1'!$F$2:$F$2604,""))</f>
        <v>M.1711/RAJABASA NUNYAI</v>
      </c>
      <c r="I765" s="44" t="str">
        <f t="array" ref="I765">IF(B765="","",_xlfn.XLOOKUP(B765,'Form responses 1'!$B$2:$B$2604,'Form responses 1'!$I$2:$I$2604,""))</f>
        <v>RAJABASA NUNYAI</v>
      </c>
      <c r="J765" s="44" t="str">
        <f t="array" ref="J765">IF(B765="","",_xlfn.XLOOKUP(B765,'Form responses 1'!$B$2:$B$2604,'Form responses 1'!$G$2:$G$2604,""))</f>
        <v>Baynur</v>
      </c>
      <c r="K765" s="41" t="s">
        <v>587</v>
      </c>
      <c r="L765" s="52">
        <f t="shared" si="7"/>
        <v>45607.38246</v>
      </c>
      <c r="M765" s="47" t="s">
        <v>5214</v>
      </c>
      <c r="N765" s="49"/>
      <c r="O765" s="49"/>
      <c r="P765" s="49"/>
      <c r="Q765" s="49"/>
      <c r="R765" s="49"/>
      <c r="S765" s="49"/>
      <c r="T765" s="49"/>
      <c r="U765" s="49"/>
      <c r="V765" s="49"/>
      <c r="W765" s="41" t="s">
        <v>618</v>
      </c>
      <c r="X765" s="46">
        <f t="shared" si="5"/>
        <v>45607.62558</v>
      </c>
      <c r="Y765" s="50" t="s">
        <v>482</v>
      </c>
      <c r="Z765" s="49">
        <f t="shared" si="6"/>
        <v>1</v>
      </c>
    </row>
    <row r="766" ht="22.5" customHeight="1">
      <c r="B766" s="41" t="s">
        <v>4195</v>
      </c>
      <c r="C766" s="43">
        <f t="array" ref="C766">IF(B766="","",_xlfn.XLOOKUP(B766,'Form responses 1'!$B$2:$B$2604,'Form responses 1'!$A$2:$A$2604,""))</f>
        <v>45604.45757</v>
      </c>
      <c r="D766" s="44" t="str">
        <f t="shared" si="3"/>
        <v>K/20/081124/1_45604.4575680324</v>
      </c>
      <c r="E766" s="44" t="str">
        <f t="array" ref="E766">IF(B766="","",_xlfn.XLOOKUP(B766,'Form responses 1'!$B$2:$B$2604,'Form responses 1'!$C$2:$C$2604,""))</f>
        <v>BN JUAL BELI</v>
      </c>
      <c r="F766" s="44" t="str">
        <f t="array" ref="F766">IF(B766="","",_xlfn.XLOOKUP(B766,'Form responses 1'!$B$2:$B$2604,'Form responses 1'!$D$2:$D$2604,""))</f>
        <v>0813-6761-0046</v>
      </c>
      <c r="G766" s="44" t="str">
        <f t="array" ref="G766">IF(B766="","",_xlfn.XLOOKUP(B766,'Form responses 1'!$B$2:$B$2604,'Form responses 1'!$E$2:$E$2604,""))</f>
        <v>HAR NELI DEWI/ISMARINA</v>
      </c>
      <c r="H766" s="44" t="str">
        <f t="array" ref="H766">IF(B766="","",_xlfn.XLOOKUP(B766,'Form responses 1'!$B$2:$B$2604,'Form responses 1'!$F$2:$F$2604,""))</f>
        <v>M.1712/RAJABASA NUNYAI</v>
      </c>
      <c r="I766" s="44" t="str">
        <f t="array" ref="I766">IF(B766="","",_xlfn.XLOOKUP(B766,'Form responses 1'!$B$2:$B$2604,'Form responses 1'!$I$2:$I$2604,""))</f>
        <v>RAJABASA NUNYAI</v>
      </c>
      <c r="J766" s="44" t="str">
        <f t="array" ref="J766">IF(B766="","",_xlfn.XLOOKUP(B766,'Form responses 1'!$B$2:$B$2604,'Form responses 1'!$G$2:$G$2604,""))</f>
        <v>Baynur</v>
      </c>
      <c r="K766" s="41" t="s">
        <v>587</v>
      </c>
      <c r="L766" s="52">
        <f t="shared" si="7"/>
        <v>45607.38248</v>
      </c>
      <c r="M766" s="47" t="s">
        <v>5214</v>
      </c>
      <c r="N766" s="49"/>
      <c r="O766" s="49"/>
      <c r="P766" s="49"/>
      <c r="Q766" s="49"/>
      <c r="R766" s="49"/>
      <c r="S766" s="49"/>
      <c r="T766" s="49"/>
      <c r="U766" s="49"/>
      <c r="V766" s="49"/>
      <c r="W766" s="41" t="s">
        <v>618</v>
      </c>
      <c r="X766" s="46">
        <f t="shared" si="5"/>
        <v>45607.62525</v>
      </c>
      <c r="Y766" s="50" t="s">
        <v>482</v>
      </c>
      <c r="Z766" s="49">
        <f t="shared" si="6"/>
        <v>1</v>
      </c>
    </row>
    <row r="767" ht="22.5" customHeight="1">
      <c r="B767" s="41" t="s">
        <v>4294</v>
      </c>
      <c r="C767" s="43">
        <f t="array" ref="C767">IF(B767="","",_xlfn.XLOOKUP(B767,'Form responses 1'!$B$2:$B$2604,'Form responses 1'!$A$2:$A$2604,""))</f>
        <v>45604.61389</v>
      </c>
      <c r="D767" s="44" t="str">
        <f t="shared" si="3"/>
        <v>K/47/081124/1_45604.6138935417</v>
      </c>
      <c r="E767" s="44" t="str">
        <f t="array" ref="E767">IF(B767="","",_xlfn.XLOOKUP(B767,'Form responses 1'!$B$2:$B$2604,'Form responses 1'!$C$2:$C$2604,""))</f>
        <v>ANGGI PRATIWI/ANDRI YULIAN</v>
      </c>
      <c r="F767" s="44" t="str">
        <f t="array" ref="F767">IF(B767="","",_xlfn.XLOOKUP(B767,'Form responses 1'!$B$2:$B$2604,'Form responses 1'!$D$2:$D$2604,""))</f>
        <v>0821-8694-9749</v>
      </c>
      <c r="G767" s="44" t="str">
        <f t="array" ref="G767">IF(B767="","",_xlfn.XLOOKUP(B767,'Form responses 1'!$B$2:$B$2604,'Form responses 1'!$E$2:$E$2604,""))</f>
        <v>ROYA</v>
      </c>
      <c r="H767" s="44" t="str">
        <f t="array" ref="H767">IF(B767="","",_xlfn.XLOOKUP(B767,'Form responses 1'!$B$2:$B$2604,'Form responses 1'!$F$2:$F$2604,""))</f>
        <v>M.2593/CAMPANG RAYA-SEKARANG;B.2035/CAMPANG RAYA-DAHULU</v>
      </c>
      <c r="I767" s="44" t="str">
        <f t="array" ref="I767">IF(B767="","",_xlfn.XLOOKUP(B767,'Form responses 1'!$B$2:$B$2604,'Form responses 1'!$I$2:$I$2604,""))</f>
        <v>CAMPANG RAYA</v>
      </c>
      <c r="J767" s="44" t="str">
        <f t="array" ref="J767">IF(B767="","",_xlfn.XLOOKUP(B767,'Form responses 1'!$B$2:$B$2604,'Form responses 1'!$G$2:$G$2604,""))</f>
        <v>Baynur</v>
      </c>
      <c r="K767" s="41" t="s">
        <v>587</v>
      </c>
      <c r="L767" s="52">
        <f t="shared" si="7"/>
        <v>45607.38249</v>
      </c>
      <c r="M767" s="47" t="s">
        <v>470</v>
      </c>
      <c r="N767" s="47" t="s">
        <v>5214</v>
      </c>
      <c r="O767" s="49"/>
      <c r="P767" s="49"/>
      <c r="Q767" s="49"/>
      <c r="R767" s="49"/>
      <c r="S767" s="49"/>
      <c r="T767" s="49"/>
      <c r="U767" s="49"/>
      <c r="V767" s="49"/>
      <c r="W767" s="41" t="s">
        <v>618</v>
      </c>
      <c r="X767" s="46">
        <f t="shared" si="5"/>
        <v>45610.60581</v>
      </c>
      <c r="Y767" s="50" t="s">
        <v>482</v>
      </c>
      <c r="Z767" s="49">
        <f t="shared" si="6"/>
        <v>2</v>
      </c>
    </row>
    <row r="768" ht="22.5" customHeight="1">
      <c r="B768" s="41" t="s">
        <v>4125</v>
      </c>
      <c r="C768" s="43">
        <f t="array" ref="C768">IF(B768="","",_xlfn.XLOOKUP(B768,'Form responses 1'!$B$2:$B$2604,'Form responses 1'!$A$2:$A$2604,""))</f>
        <v>45604.40791</v>
      </c>
      <c r="D768" s="44" t="str">
        <f t="shared" si="3"/>
        <v>K/8/081124/1_45604.4079115394</v>
      </c>
      <c r="E768" s="44" t="str">
        <f t="array" ref="E768">IF(B768="","",_xlfn.XLOOKUP(B768,'Form responses 1'!$B$2:$B$2604,'Form responses 1'!$C$2:$C$2604,""))</f>
        <v>JUNAEDI ARMAN/ACHMAD ROSWANTAMA</v>
      </c>
      <c r="F768" s="44" t="str">
        <f t="array" ref="F768">IF(B768="","",_xlfn.XLOOKUP(B768,'Form responses 1'!$B$2:$B$2604,'Form responses 1'!$D$2:$D$2604,""))</f>
        <v>0813-6948-8565</v>
      </c>
      <c r="G768" s="44" t="str">
        <f t="array" ref="G768">IF(B768="","",_xlfn.XLOOKUP(B768,'Form responses 1'!$B$2:$B$2604,'Form responses 1'!$E$2:$E$2604,""))</f>
        <v>BN JUAL BELI</v>
      </c>
      <c r="H768" s="44" t="str">
        <f t="array" ref="H768">IF(B768="","",_xlfn.XLOOKUP(B768,'Form responses 1'!$B$2:$B$2604,'Form responses 1'!$F$2:$F$2604,""))</f>
        <v>M.5182/RAJABASA JAYA</v>
      </c>
      <c r="I768" s="44" t="str">
        <f t="array" ref="I768">IF(B768="","",_xlfn.XLOOKUP(B768,'Form responses 1'!$B$2:$B$2604,'Form responses 1'!$I$2:$I$2604,""))</f>
        <v>RAJABASA JAYA</v>
      </c>
      <c r="J768" s="44" t="str">
        <f t="array" ref="J768">IF(B768="","",_xlfn.XLOOKUP(B768,'Form responses 1'!$B$2:$B$2604,'Form responses 1'!$G$2:$G$2604,""))</f>
        <v>Baynur</v>
      </c>
      <c r="K768" s="41" t="s">
        <v>587</v>
      </c>
      <c r="L768" s="52">
        <f t="shared" si="7"/>
        <v>45607.38275</v>
      </c>
      <c r="M768" s="47" t="s">
        <v>5214</v>
      </c>
      <c r="N768" s="49"/>
      <c r="O768" s="49"/>
      <c r="P768" s="49"/>
      <c r="Q768" s="49"/>
      <c r="R768" s="49"/>
      <c r="S768" s="49"/>
      <c r="T768" s="49"/>
      <c r="U768" s="49"/>
      <c r="V768" s="49"/>
      <c r="W768" s="41" t="s">
        <v>618</v>
      </c>
      <c r="X768" s="46">
        <f t="shared" si="5"/>
        <v>45607.62591</v>
      </c>
      <c r="Y768" s="50" t="s">
        <v>482</v>
      </c>
      <c r="Z768" s="49">
        <f t="shared" si="6"/>
        <v>1</v>
      </c>
    </row>
    <row r="769" ht="22.5" customHeight="1">
      <c r="B769" s="41" t="s">
        <v>4259</v>
      </c>
      <c r="C769" s="43">
        <f t="array" ref="C769">IF(B769="","",_xlfn.XLOOKUP(B769,'Form responses 1'!$B$2:$B$2604,'Form responses 1'!$A$2:$A$2604,""))</f>
        <v>45604.57912</v>
      </c>
      <c r="D769" s="44" t="str">
        <f t="shared" si="3"/>
        <v>K/36/081124/1_45604.5791229167</v>
      </c>
      <c r="E769" s="44" t="str">
        <f t="array" ref="E769">IF(B769="","",_xlfn.XLOOKUP(B769,'Form responses 1'!$B$2:$B$2604,'Form responses 1'!$C$2:$C$2604,""))</f>
        <v>PANARY SITOPU / MUHAMMAD MAHDI </v>
      </c>
      <c r="F769" s="44" t="str">
        <f t="array" ref="F769">IF(B769="","",_xlfn.XLOOKUP(B769,'Form responses 1'!$B$2:$B$2604,'Form responses 1'!$D$2:$D$2604,""))</f>
        <v>+62 889-2977-399</v>
      </c>
      <c r="G769" s="44" t="str">
        <f t="array" ref="G769">IF(B769="","",_xlfn.XLOOKUP(B769,'Form responses 1'!$B$2:$B$2604,'Form responses 1'!$E$2:$E$2604,""))</f>
        <v>BN JUAL BELI</v>
      </c>
      <c r="H769" s="44" t="str">
        <f t="array" ref="H769">IF(B769="","",_xlfn.XLOOKUP(B769,'Form responses 1'!$B$2:$B$2604,'Form responses 1'!$F$2:$F$2604,""))</f>
        <v>M. 6416/WAY KANDIS</v>
      </c>
      <c r="I769" s="44" t="str">
        <f t="array" ref="I769">IF(B769="","",_xlfn.XLOOKUP(B769,'Form responses 1'!$B$2:$B$2604,'Form responses 1'!$I$2:$I$2604,""))</f>
        <v>WAY KANDIS</v>
      </c>
      <c r="J769" s="44" t="str">
        <f t="array" ref="J769">IF(B769="","",_xlfn.XLOOKUP(B769,'Form responses 1'!$B$2:$B$2604,'Form responses 1'!$G$2:$G$2604,""))</f>
        <v>Aisyah</v>
      </c>
      <c r="K769" s="41" t="s">
        <v>587</v>
      </c>
      <c r="L769" s="52">
        <f t="shared" si="7"/>
        <v>45607.38292</v>
      </c>
      <c r="M769" s="47" t="s">
        <v>5214</v>
      </c>
      <c r="N769" s="49"/>
      <c r="O769" s="49"/>
      <c r="P769" s="49"/>
      <c r="Q769" s="49"/>
      <c r="R769" s="49"/>
      <c r="S769" s="49"/>
      <c r="T769" s="49"/>
      <c r="U769" s="49"/>
      <c r="V769" s="49"/>
      <c r="W769" s="41" t="s">
        <v>618</v>
      </c>
      <c r="X769" s="46">
        <f t="shared" si="5"/>
        <v>45607.62711</v>
      </c>
      <c r="Y769" s="50" t="s">
        <v>482</v>
      </c>
      <c r="Z769" s="49">
        <f t="shared" si="6"/>
        <v>1</v>
      </c>
    </row>
    <row r="770" ht="22.5" customHeight="1">
      <c r="B770" s="41" t="s">
        <v>4027</v>
      </c>
      <c r="C770" s="43">
        <f t="array" ref="C770">IF(B770="","",_xlfn.XLOOKUP(B770,'Form responses 1'!$B$2:$B$2604,'Form responses 1'!$A$2:$A$2604,""))</f>
        <v>45603.47188</v>
      </c>
      <c r="D770" s="44" t="str">
        <f t="shared" si="3"/>
        <v>K/21/071124/1_45603.4718848495</v>
      </c>
      <c r="E770" s="44" t="str">
        <f t="array" ref="E770">IF(B770="","",_xlfn.XLOOKUP(B770,'Form responses 1'!$B$2:$B$2604,'Form responses 1'!$C$2:$C$2604,""))</f>
        <v>Richard Adi P/ Achmad A</v>
      </c>
      <c r="F770" s="44" t="str">
        <f t="array" ref="F770">IF(B770="","",_xlfn.XLOOKUP(B770,'Form responses 1'!$B$2:$B$2604,'Form responses 1'!$D$2:$D$2604,""))</f>
        <v>+62 852-7999-7821</v>
      </c>
      <c r="G770" s="44" t="str">
        <f t="array" ref="G770">IF(B770="","",_xlfn.XLOOKUP(B770,'Form responses 1'!$B$2:$B$2604,'Form responses 1'!$E$2:$E$2604,""))</f>
        <v>Hapus BPHTB</v>
      </c>
      <c r="H770" s="44" t="str">
        <f t="array" ref="H770">IF(B770="","",_xlfn.XLOOKUP(B770,'Form responses 1'!$B$2:$B$2604,'Form responses 1'!$F$2:$F$2604,""))</f>
        <v>M. 4901/ Langkapura</v>
      </c>
      <c r="I770" s="44" t="str">
        <f t="array" ref="I770">IF(B770="","",_xlfn.XLOOKUP(B770,'Form responses 1'!$B$2:$B$2604,'Form responses 1'!$I$2:$I$2604,""))</f>
        <v>Langkapura</v>
      </c>
      <c r="J770" s="44" t="str">
        <f t="array" ref="J770">IF(B770="","",_xlfn.XLOOKUP(B770,'Form responses 1'!$B$2:$B$2604,'Form responses 1'!$G$2:$G$2604,""))</f>
        <v>Rapita</v>
      </c>
      <c r="K770" s="41" t="s">
        <v>2875</v>
      </c>
      <c r="L770" s="52">
        <f t="shared" si="7"/>
        <v>45607.42424</v>
      </c>
      <c r="M770" s="47" t="s">
        <v>5623</v>
      </c>
      <c r="N770" s="49"/>
      <c r="O770" s="49"/>
      <c r="P770" s="49"/>
      <c r="Q770" s="49"/>
      <c r="R770" s="49"/>
      <c r="S770" s="49"/>
      <c r="T770" s="49"/>
      <c r="U770" s="49"/>
      <c r="V770" s="49"/>
      <c r="W770" s="41" t="s">
        <v>470</v>
      </c>
      <c r="X770" s="46">
        <f t="shared" si="5"/>
        <v>45608.42727</v>
      </c>
      <c r="Y770" s="50" t="s">
        <v>482</v>
      </c>
      <c r="Z770" s="49">
        <f t="shared" si="6"/>
        <v>1</v>
      </c>
    </row>
    <row r="771" ht="22.5" customHeight="1">
      <c r="B771" s="41" t="s">
        <v>4097</v>
      </c>
      <c r="C771" s="43">
        <f t="array" ref="C771">IF(B771="","",_xlfn.XLOOKUP(B771,'Form responses 1'!$B$2:$B$2604,'Form responses 1'!$A$2:$A$2604,""))</f>
        <v>45603.61745</v>
      </c>
      <c r="D771" s="44" t="str">
        <f t="shared" si="3"/>
        <v>K/41/071124/1_45603.6174460532</v>
      </c>
      <c r="E771" s="44" t="str">
        <f t="array" ref="E771">IF(B771="","",_xlfn.XLOOKUP(B771,'Form responses 1'!$B$2:$B$2604,'Form responses 1'!$C$2:$C$2604,""))</f>
        <v>RICHARD ADI/CITRA YULIA</v>
      </c>
      <c r="F771" s="44" t="str">
        <f t="array" ref="F771">IF(B771="","",_xlfn.XLOOKUP(B771,'Form responses 1'!$B$2:$B$2604,'Form responses 1'!$D$2:$D$2604,""))</f>
        <v>+62 852-7999-7821</v>
      </c>
      <c r="G771" s="44" t="str">
        <f t="array" ref="G771">IF(B771="","",_xlfn.XLOOKUP(B771,'Form responses 1'!$B$2:$B$2604,'Form responses 1'!$E$2:$E$2604,""))</f>
        <v>BN JUAL BELI</v>
      </c>
      <c r="H771" s="44" t="str">
        <f t="array" ref="H771">IF(B771="","",_xlfn.XLOOKUP(B771,'Form responses 1'!$B$2:$B$2604,'Form responses 1'!$F$2:$F$2604,""))</f>
        <v>M. 1254/ Langkapura Baru</v>
      </c>
      <c r="I771" s="44" t="str">
        <f t="array" ref="I771">IF(B771="","",_xlfn.XLOOKUP(B771,'Form responses 1'!$B$2:$B$2604,'Form responses 1'!$I$2:$I$2604,""))</f>
        <v>Langkapura Baru</v>
      </c>
      <c r="J771" s="44" t="str">
        <f t="array" ref="J771">IF(B771="","",_xlfn.XLOOKUP(B771,'Form responses 1'!$B$2:$B$2604,'Form responses 1'!$G$2:$G$2604,""))</f>
        <v>Hananda</v>
      </c>
      <c r="K771" s="41" t="s">
        <v>2875</v>
      </c>
      <c r="L771" s="52">
        <f t="shared" si="7"/>
        <v>45607.42425</v>
      </c>
      <c r="M771" s="47" t="s">
        <v>5624</v>
      </c>
      <c r="N771" s="49"/>
      <c r="O771" s="49"/>
      <c r="P771" s="49"/>
      <c r="Q771" s="49"/>
      <c r="R771" s="49"/>
      <c r="S771" s="49"/>
      <c r="T771" s="49"/>
      <c r="U771" s="49"/>
      <c r="V771" s="49"/>
      <c r="W771" s="41" t="s">
        <v>618</v>
      </c>
      <c r="X771" s="46">
        <f t="shared" si="5"/>
        <v>45609.6419</v>
      </c>
      <c r="Y771" s="50" t="s">
        <v>482</v>
      </c>
      <c r="Z771" s="49">
        <f t="shared" si="6"/>
        <v>1</v>
      </c>
    </row>
    <row r="772" ht="22.5" customHeight="1">
      <c r="B772" s="41" t="s">
        <v>4074</v>
      </c>
      <c r="C772" s="43">
        <f t="array" ref="C772">IF(B772="","",_xlfn.XLOOKUP(B772,'Form responses 1'!$B$2:$B$2604,'Form responses 1'!$A$2:$A$2604,""))</f>
        <v>45603.59193</v>
      </c>
      <c r="D772" s="44" t="str">
        <f t="shared" si="3"/>
        <v>K/35/071124/1_45603.5919265394</v>
      </c>
      <c r="E772" s="44" t="str">
        <f t="array" ref="E772">IF(B772="","",_xlfn.XLOOKUP(B772,'Form responses 1'!$B$2:$B$2604,'Form responses 1'!$C$2:$C$2604,""))</f>
        <v>LILIS DAMAYANTI</v>
      </c>
      <c r="F772" s="44" t="str">
        <f t="array" ref="F772">IF(B772="","",_xlfn.XLOOKUP(B772,'Form responses 1'!$B$2:$B$2604,'Form responses 1'!$D$2:$D$2604,""))</f>
        <v>085269574899</v>
      </c>
      <c r="G772" s="44" t="str">
        <f t="array" ref="G772">IF(B772="","",_xlfn.XLOOKUP(B772,'Form responses 1'!$B$2:$B$2604,'Form responses 1'!$E$2:$E$2604,""))</f>
        <v>BN Jual Beli</v>
      </c>
      <c r="H772" s="44" t="str">
        <f t="array" ref="H772">IF(B772="","",_xlfn.XLOOKUP(B772,'Form responses 1'!$B$2:$B$2604,'Form responses 1'!$F$2:$F$2604,""))</f>
        <v>M. 10980/ Segala Mider</v>
      </c>
      <c r="I772" s="44" t="str">
        <f t="array" ref="I772">IF(B772="","",_xlfn.XLOOKUP(B772,'Form responses 1'!$B$2:$B$2604,'Form responses 1'!$I$2:$I$2604,""))</f>
        <v>Segala Mider</v>
      </c>
      <c r="J772" s="44" t="str">
        <f t="array" ref="J772">IF(B772="","",_xlfn.XLOOKUP(B772,'Form responses 1'!$B$2:$B$2604,'Form responses 1'!$G$2:$G$2604,""))</f>
        <v>Hananda</v>
      </c>
      <c r="K772" s="41" t="s">
        <v>2875</v>
      </c>
      <c r="L772" s="52">
        <f t="shared" si="7"/>
        <v>45607.42427</v>
      </c>
      <c r="M772" s="49"/>
      <c r="N772" s="49"/>
      <c r="O772" s="49"/>
      <c r="P772" s="49"/>
      <c r="Q772" s="49"/>
      <c r="R772" s="49"/>
      <c r="S772" s="49"/>
      <c r="T772" s="49"/>
      <c r="U772" s="49"/>
      <c r="V772" s="49"/>
      <c r="W772" s="41" t="s">
        <v>618</v>
      </c>
      <c r="X772" s="46">
        <f t="shared" si="5"/>
        <v>45608.58738</v>
      </c>
      <c r="Y772" s="50" t="s">
        <v>482</v>
      </c>
      <c r="Z772" s="49">
        <f t="shared" si="6"/>
        <v>0</v>
      </c>
    </row>
    <row r="773" ht="22.5" customHeight="1">
      <c r="B773" s="41" t="s">
        <v>3989</v>
      </c>
      <c r="C773" s="43">
        <f t="array" ref="C773">IF(B773="","",_xlfn.XLOOKUP(B773,'Form responses 1'!$B$2:$B$2604,'Form responses 1'!$A$2:$A$2604,""))</f>
        <v>45603.44495</v>
      </c>
      <c r="D773" s="44" t="str">
        <f t="shared" si="3"/>
        <v>K/10/071124/3_45603.4449525463</v>
      </c>
      <c r="E773" s="44" t="str">
        <f t="array" ref="E773">IF(B773="","",_xlfn.XLOOKUP(B773,'Form responses 1'!$B$2:$B$2604,'Form responses 1'!$C$2:$C$2604,""))</f>
        <v>M. Arif S/ Kevin Ahada R</v>
      </c>
      <c r="F773" s="44" t="str">
        <f t="array" ref="F773">IF(B773="","",_xlfn.XLOOKUP(B773,'Form responses 1'!$B$2:$B$2604,'Form responses 1'!$D$2:$D$2604,""))</f>
        <v>+62 853-5788-8886</v>
      </c>
      <c r="G773" s="44" t="str">
        <f t="array" ref="G773">IF(B773="","",_xlfn.XLOOKUP(B773,'Form responses 1'!$B$2:$B$2604,'Form responses 1'!$E$2:$E$2604,""))</f>
        <v>BN Jual Beli</v>
      </c>
      <c r="H773" s="44" t="str">
        <f t="array" ref="H773">IF(B773="","",_xlfn.XLOOKUP(B773,'Form responses 1'!$B$2:$B$2604,'Form responses 1'!$F$2:$F$2604,""))</f>
        <v>M. 2430/ Kedaung</v>
      </c>
      <c r="I773" s="44" t="str">
        <f t="array" ref="I773">IF(B773="","",_xlfn.XLOOKUP(B773,'Form responses 1'!$B$2:$B$2604,'Form responses 1'!$I$2:$I$2604,""))</f>
        <v>Kedaung</v>
      </c>
      <c r="J773" s="44" t="str">
        <f t="array" ref="J773">IF(B773="","",_xlfn.XLOOKUP(B773,'Form responses 1'!$B$2:$B$2604,'Form responses 1'!$G$2:$G$2604,""))</f>
        <v>Rapita</v>
      </c>
      <c r="K773" s="41" t="s">
        <v>2875</v>
      </c>
      <c r="L773" s="52">
        <f t="shared" si="7"/>
        <v>45607.42429</v>
      </c>
      <c r="M773" s="47" t="s">
        <v>5625</v>
      </c>
      <c r="N773" s="49"/>
      <c r="O773" s="49"/>
      <c r="P773" s="49"/>
      <c r="Q773" s="49"/>
      <c r="R773" s="49"/>
      <c r="S773" s="49"/>
      <c r="T773" s="49"/>
      <c r="U773" s="49"/>
      <c r="V773" s="49"/>
      <c r="W773" s="41" t="s">
        <v>470</v>
      </c>
      <c r="X773" s="46">
        <f t="shared" si="5"/>
        <v>45608.57953</v>
      </c>
      <c r="Y773" s="50" t="s">
        <v>482</v>
      </c>
      <c r="Z773" s="49">
        <f t="shared" si="6"/>
        <v>1</v>
      </c>
    </row>
    <row r="774" ht="22.5" customHeight="1">
      <c r="B774" s="41" t="s">
        <v>4012</v>
      </c>
      <c r="C774" s="43">
        <f t="array" ref="C774">IF(B774="","",_xlfn.XLOOKUP(B774,'Form responses 1'!$B$2:$B$2604,'Form responses 1'!$A$2:$A$2604,""))</f>
        <v>45603.44959</v>
      </c>
      <c r="D774" s="44" t="str">
        <f t="shared" si="3"/>
        <v>K/17/071124/3_45603.4495862153</v>
      </c>
      <c r="E774" s="44" t="str">
        <f t="array" ref="E774">IF(B774="","",_xlfn.XLOOKUP(B774,'Form responses 1'!$B$2:$B$2604,'Form responses 1'!$C$2:$C$2604,""))</f>
        <v>ANDRE SETIAWAN/EKA SARI TAHERAH</v>
      </c>
      <c r="F774" s="44" t="str">
        <f t="array" ref="F774">IF(B774="","",_xlfn.XLOOKUP(B774,'Form responses 1'!$B$2:$B$2604,'Form responses 1'!$D$2:$D$2604,""))</f>
        <v>0895-3631-14046</v>
      </c>
      <c r="G774" s="44" t="str">
        <f t="array" ref="G774">IF(B774="","",_xlfn.XLOOKUP(B774,'Form responses 1'!$B$2:$B$2604,'Form responses 1'!$E$2:$E$2604,""))</f>
        <v>BN JUAL BELI</v>
      </c>
      <c r="H774" s="44" t="str">
        <f t="array" ref="H774">IF(B774="","",_xlfn.XLOOKUP(B774,'Form responses 1'!$B$2:$B$2604,'Form responses 1'!$F$2:$F$2604,""))</f>
        <v>M.4706/SUKADANAHAM</v>
      </c>
      <c r="I774" s="44" t="str">
        <f t="array" ref="I774">IF(B774="","",_xlfn.XLOOKUP(B774,'Form responses 1'!$B$2:$B$2604,'Form responses 1'!$I$2:$I$2604,""))</f>
        <v>SUKADANAHAM</v>
      </c>
      <c r="J774" s="44" t="str">
        <f t="array" ref="J774">IF(B774="","",_xlfn.XLOOKUP(B774,'Form responses 1'!$B$2:$B$2604,'Form responses 1'!$G$2:$G$2604,""))</f>
        <v>Baynur</v>
      </c>
      <c r="K774" s="41" t="s">
        <v>2875</v>
      </c>
      <c r="L774" s="52">
        <f t="shared" si="7"/>
        <v>45607.4243</v>
      </c>
      <c r="M774" s="49"/>
      <c r="N774" s="49"/>
      <c r="O774" s="49"/>
      <c r="P774" s="49"/>
      <c r="Q774" s="49"/>
      <c r="R774" s="49"/>
      <c r="S774" s="49"/>
      <c r="T774" s="49"/>
      <c r="U774" s="49"/>
      <c r="V774" s="49"/>
      <c r="W774" s="41" t="s">
        <v>618</v>
      </c>
      <c r="X774" s="46">
        <f t="shared" si="5"/>
        <v>45608.56814</v>
      </c>
      <c r="Y774" s="50" t="s">
        <v>482</v>
      </c>
      <c r="Z774" s="49">
        <f t="shared" si="6"/>
        <v>0</v>
      </c>
    </row>
    <row r="775" ht="22.5" customHeight="1">
      <c r="B775" s="41" t="s">
        <v>3976</v>
      </c>
      <c r="C775" s="43">
        <f t="array" ref="C775">IF(B775="","",_xlfn.XLOOKUP(B775,'Form responses 1'!$B$2:$B$2604,'Form responses 1'!$A$2:$A$2604,""))</f>
        <v>45603.44337</v>
      </c>
      <c r="D775" s="44" t="str">
        <f t="shared" si="3"/>
        <v>K/9/071124/2_45603.4433696412</v>
      </c>
      <c r="E775" s="44" t="str">
        <f t="array" ref="E775">IF(B775="","",_xlfn.XLOOKUP(B775,'Form responses 1'!$B$2:$B$2604,'Form responses 1'!$C$2:$C$2604,""))</f>
        <v>M. Arif S/ Daniq M A</v>
      </c>
      <c r="F775" s="44" t="str">
        <f t="array" ref="F775">IF(B775="","",_xlfn.XLOOKUP(B775,'Form responses 1'!$B$2:$B$2604,'Form responses 1'!$D$2:$D$2604,""))</f>
        <v>+62 853-5788-8886</v>
      </c>
      <c r="G775" s="44" t="str">
        <f t="array" ref="G775">IF(B775="","",_xlfn.XLOOKUP(B775,'Form responses 1'!$B$2:$B$2604,'Form responses 1'!$E$2:$E$2604,""))</f>
        <v>BN Jual Beli</v>
      </c>
      <c r="H775" s="44" t="str">
        <f t="array" ref="H775">IF(B775="","",_xlfn.XLOOKUP(B775,'Form responses 1'!$B$2:$B$2604,'Form responses 1'!$F$2:$F$2604,""))</f>
        <v>M.2428/ Kedaung</v>
      </c>
      <c r="I775" s="44" t="str">
        <f t="array" ref="I775">IF(B775="","",_xlfn.XLOOKUP(B775,'Form responses 1'!$B$2:$B$2604,'Form responses 1'!$I$2:$I$2604,""))</f>
        <v>Kedaung</v>
      </c>
      <c r="J775" s="44" t="str">
        <f t="array" ref="J775">IF(B775="","",_xlfn.XLOOKUP(B775,'Form responses 1'!$B$2:$B$2604,'Form responses 1'!$G$2:$G$2604,""))</f>
        <v>Rapita</v>
      </c>
      <c r="K775" s="41" t="s">
        <v>2875</v>
      </c>
      <c r="L775" s="52">
        <f t="shared" si="7"/>
        <v>45607.42432</v>
      </c>
      <c r="M775" s="47" t="s">
        <v>5626</v>
      </c>
      <c r="N775" s="49"/>
      <c r="O775" s="49"/>
      <c r="P775" s="49"/>
      <c r="Q775" s="49"/>
      <c r="R775" s="49"/>
      <c r="S775" s="49"/>
      <c r="T775" s="49"/>
      <c r="U775" s="49"/>
      <c r="V775" s="49"/>
      <c r="W775" s="41" t="s">
        <v>470</v>
      </c>
      <c r="X775" s="46">
        <f t="shared" si="5"/>
        <v>45608.553</v>
      </c>
      <c r="Y775" s="50" t="s">
        <v>482</v>
      </c>
      <c r="Z775" s="49">
        <f t="shared" si="6"/>
        <v>1</v>
      </c>
    </row>
    <row r="776" ht="22.5" customHeight="1">
      <c r="B776" s="41" t="s">
        <v>4046</v>
      </c>
      <c r="C776" s="43">
        <f t="array" ref="C776">IF(B776="","",_xlfn.XLOOKUP(B776,'Form responses 1'!$B$2:$B$2604,'Form responses 1'!$A$2:$A$2604,""))</f>
        <v>45603.57218</v>
      </c>
      <c r="D776" s="44" t="str">
        <f t="shared" si="3"/>
        <v>K/29/071124/1_45603.5721840278</v>
      </c>
      <c r="E776" s="44" t="str">
        <f t="array" ref="E776">IF(B776="","",_xlfn.XLOOKUP(B776,'Form responses 1'!$B$2:$B$2604,'Form responses 1'!$C$2:$C$2604,""))</f>
        <v>DESSY NOFITA / ADRISMAN</v>
      </c>
      <c r="F776" s="44" t="str">
        <f t="array" ref="F776">IF(B776="","",_xlfn.XLOOKUP(B776,'Form responses 1'!$B$2:$B$2604,'Form responses 1'!$D$2:$D$2604,""))</f>
        <v>+62 896-1883-4154</v>
      </c>
      <c r="G776" s="44" t="str">
        <f t="array" ref="G776">IF(B776="","",_xlfn.XLOOKUP(B776,'Form responses 1'!$B$2:$B$2604,'Form responses 1'!$E$2:$E$2604,""))</f>
        <v>BN JUAL BELI</v>
      </c>
      <c r="H776" s="44" t="str">
        <f t="array" ref="H776">IF(B776="","",_xlfn.XLOOKUP(B776,'Form responses 1'!$B$2:$B$2604,'Form responses 1'!$F$2:$F$2604,""))</f>
        <v>M. 439/KALIAWI PERSADA-SEKARANG;B.41/SUKADANA HAM-DAHULU</v>
      </c>
      <c r="I776" s="44" t="str">
        <f t="array" ref="I776">IF(B776="","",_xlfn.XLOOKUP(B776,'Form responses 1'!$B$2:$B$2604,'Form responses 1'!$I$2:$I$2604,""))</f>
        <v>KALIAWI PERSADA</v>
      </c>
      <c r="J776" s="44" t="str">
        <f t="array" ref="J776">IF(B776="","",_xlfn.XLOOKUP(B776,'Form responses 1'!$B$2:$B$2604,'Form responses 1'!$G$2:$G$2604,""))</f>
        <v>Aisyah</v>
      </c>
      <c r="K776" s="41" t="s">
        <v>2875</v>
      </c>
      <c r="L776" s="52">
        <f t="shared" si="7"/>
        <v>45607.42434</v>
      </c>
      <c r="M776" s="47" t="s">
        <v>5627</v>
      </c>
      <c r="N776" s="49"/>
      <c r="O776" s="49"/>
      <c r="P776" s="49"/>
      <c r="Q776" s="49"/>
      <c r="R776" s="49"/>
      <c r="S776" s="49"/>
      <c r="T776" s="49"/>
      <c r="U776" s="49"/>
      <c r="V776" s="49"/>
      <c r="W776" s="41" t="s">
        <v>618</v>
      </c>
      <c r="X776" s="46">
        <f t="shared" si="5"/>
        <v>45609.64097</v>
      </c>
      <c r="Y776" s="50" t="s">
        <v>482</v>
      </c>
      <c r="Z776" s="49">
        <f t="shared" si="6"/>
        <v>1</v>
      </c>
    </row>
    <row r="777" ht="22.5" customHeight="1">
      <c r="B777" s="41" t="s">
        <v>4190</v>
      </c>
      <c r="C777" s="43">
        <f t="array" ref="C777">IF(B777="","",_xlfn.XLOOKUP(B777,'Form responses 1'!$B$2:$B$2604,'Form responses 1'!$A$2:$A$2604,""))</f>
        <v>45604.45392</v>
      </c>
      <c r="D777" s="44" t="str">
        <f t="shared" si="3"/>
        <v>K/19/081124/1_45604.4539227778</v>
      </c>
      <c r="E777" s="44" t="str">
        <f t="array" ref="E777">IF(B777="","",_xlfn.XLOOKUP(B777,'Form responses 1'!$B$2:$B$2604,'Form responses 1'!$C$2:$C$2604,""))</f>
        <v>JAROT/ ADITYA</v>
      </c>
      <c r="F777" s="44" t="str">
        <f t="array" ref="F777">IF(B777="","",_xlfn.XLOOKUP(B777,'Form responses 1'!$B$2:$B$2604,'Form responses 1'!$D$2:$D$2604,""))</f>
        <v>+62 821-7970-5566</v>
      </c>
      <c r="G777" s="44" t="str">
        <f t="array" ref="G777">IF(B777="","",_xlfn.XLOOKUP(B777,'Form responses 1'!$B$2:$B$2604,'Form responses 1'!$E$2:$E$2604,""))</f>
        <v>BN LELANG</v>
      </c>
      <c r="H777" s="44" t="str">
        <f t="array" ref="H777">IF(B777="","",_xlfn.XLOOKUP(B777,'Form responses 1'!$B$2:$B$2604,'Form responses 1'!$F$2:$F$2604,""))</f>
        <v>Nibel 8260/ Negeri Olok gading</v>
      </c>
      <c r="I777" s="44" t="str">
        <f t="array" ref="I777">IF(B777="","",_xlfn.XLOOKUP(B777,'Form responses 1'!$B$2:$B$2604,'Form responses 1'!$I$2:$I$2604,""))</f>
        <v>Negeri Olok gading</v>
      </c>
      <c r="J777" s="44" t="str">
        <f t="array" ref="J777">IF(B777="","",_xlfn.XLOOKUP(B777,'Form responses 1'!$B$2:$B$2604,'Form responses 1'!$G$2:$G$2604,""))</f>
        <v>Hananda</v>
      </c>
      <c r="K777" s="41" t="s">
        <v>2875</v>
      </c>
      <c r="L777" s="52">
        <f t="shared" si="7"/>
        <v>45607.42587</v>
      </c>
      <c r="M777" s="49"/>
      <c r="N777" s="49"/>
      <c r="O777" s="49"/>
      <c r="P777" s="49"/>
      <c r="Q777" s="49"/>
      <c r="R777" s="49"/>
      <c r="S777" s="49"/>
      <c r="T777" s="49"/>
      <c r="U777" s="49"/>
      <c r="V777" s="49"/>
      <c r="W777" s="41" t="s">
        <v>618</v>
      </c>
      <c r="X777" s="46">
        <f t="shared" si="5"/>
        <v>45608.65232</v>
      </c>
      <c r="Y777" s="50" t="s">
        <v>482</v>
      </c>
      <c r="Z777" s="49">
        <f t="shared" si="6"/>
        <v>0</v>
      </c>
    </row>
    <row r="778" ht="22.5" customHeight="1">
      <c r="B778" s="41" t="s">
        <v>4186</v>
      </c>
      <c r="C778" s="43">
        <f t="array" ref="C778">IF(B778="","",_xlfn.XLOOKUP(B778,'Form responses 1'!$B$2:$B$2604,'Form responses 1'!$A$2:$A$2604,""))</f>
        <v>45604.45212</v>
      </c>
      <c r="D778" s="44" t="str">
        <f t="shared" si="3"/>
        <v>K/18/081124/1_45604.452123287</v>
      </c>
      <c r="E778" s="44" t="str">
        <f t="array" ref="E778">IF(B778="","",_xlfn.XLOOKUP(B778,'Form responses 1'!$B$2:$B$2604,'Form responses 1'!$C$2:$C$2604,""))</f>
        <v>Sendi Dini/ Titik W</v>
      </c>
      <c r="F778" s="44" t="str">
        <f t="array" ref="F778">IF(B778="","",_xlfn.XLOOKUP(B778,'Form responses 1'!$B$2:$B$2604,'Form responses 1'!$D$2:$D$2604,""))</f>
        <v>+62 896-1840-1409</v>
      </c>
      <c r="G778" s="44" t="str">
        <f t="array" ref="G778">IF(B778="","",_xlfn.XLOOKUP(B778,'Form responses 1'!$B$2:$B$2604,'Form responses 1'!$E$2:$E$2604,""))</f>
        <v>SKPT Lelang</v>
      </c>
      <c r="H778" s="44" t="str">
        <f t="array" ref="H778">IF(B778="","",_xlfn.XLOOKUP(B778,'Form responses 1'!$B$2:$B$2604,'Form responses 1'!$F$2:$F$2604,""))</f>
        <v>M. 1479/ Serengsem</v>
      </c>
      <c r="I778" s="44" t="str">
        <f t="array" ref="I778">IF(B778="","",_xlfn.XLOOKUP(B778,'Form responses 1'!$B$2:$B$2604,'Form responses 1'!$I$2:$I$2604,""))</f>
        <v>Serengsem</v>
      </c>
      <c r="J778" s="44" t="str">
        <f t="array" ref="J778">IF(B778="","",_xlfn.XLOOKUP(B778,'Form responses 1'!$B$2:$B$2604,'Form responses 1'!$G$2:$G$2604,""))</f>
        <v>Rapita</v>
      </c>
      <c r="K778" s="41" t="s">
        <v>2875</v>
      </c>
      <c r="L778" s="52">
        <f t="shared" si="7"/>
        <v>45607.42589</v>
      </c>
      <c r="M778" s="47" t="s">
        <v>5628</v>
      </c>
      <c r="N778" s="49"/>
      <c r="O778" s="49"/>
      <c r="P778" s="49"/>
      <c r="Q778" s="49"/>
      <c r="R778" s="49"/>
      <c r="S778" s="49"/>
      <c r="T778" s="49"/>
      <c r="U778" s="49"/>
      <c r="V778" s="49"/>
      <c r="W778" s="41" t="s">
        <v>618</v>
      </c>
      <c r="X778" s="46">
        <f t="shared" si="5"/>
        <v>45609.6414</v>
      </c>
      <c r="Y778" s="50" t="s">
        <v>482</v>
      </c>
      <c r="Z778" s="49">
        <f t="shared" si="6"/>
        <v>1</v>
      </c>
    </row>
    <row r="779" ht="22.5" customHeight="1">
      <c r="B779" s="41" t="s">
        <v>4132</v>
      </c>
      <c r="C779" s="43">
        <f t="array" ref="C779">IF(B779="","",_xlfn.XLOOKUP(B779,'Form responses 1'!$B$2:$B$2604,'Form responses 1'!$A$2:$A$2604,""))</f>
        <v>45604.41045</v>
      </c>
      <c r="D779" s="44" t="str">
        <f t="shared" si="3"/>
        <v>L/9/081124/1_45604.4104530093</v>
      </c>
      <c r="E779" s="44" t="str">
        <f t="array" ref="E779">IF(B779="","",_xlfn.XLOOKUP(B779,'Form responses 1'!$B$2:$B$2604,'Form responses 1'!$C$2:$C$2604,""))</f>
        <v>SULYA YENI</v>
      </c>
      <c r="F779" s="44" t="str">
        <f t="array" ref="F779">IF(B779="","",_xlfn.XLOOKUP(B779,'Form responses 1'!$B$2:$B$2604,'Form responses 1'!$D$2:$D$2604,""))</f>
        <v>08127926501</v>
      </c>
      <c r="G779" s="44" t="str">
        <f t="array" ref="G779">IF(B779="","",_xlfn.XLOOKUP(B779,'Form responses 1'!$B$2:$B$2604,'Form responses 1'!$E$2:$E$2604,""))</f>
        <v>SULYA YENTY</v>
      </c>
      <c r="H779" s="44" t="str">
        <f t="array" ref="H779">IF(B779="","",_xlfn.XLOOKUP(B779,'Form responses 1'!$B$2:$B$2604,'Form responses 1'!$F$2:$F$2604,""))</f>
        <v>GM 613/PEMATANG WANGI</v>
      </c>
      <c r="I779" s="44" t="str">
        <f t="array" ref="I779">IF(B779="","",_xlfn.XLOOKUP(B779,'Form responses 1'!$B$2:$B$2604,'Form responses 1'!$I$2:$I$2604,""))</f>
        <v>PEMATANG WANGI</v>
      </c>
      <c r="J779" s="44" t="str">
        <f t="array" ref="J779">IF(B779="","",_xlfn.XLOOKUP(B779,'Form responses 1'!$B$2:$B$2604,'Form responses 1'!$G$2:$G$2604,""))</f>
        <v>Deby</v>
      </c>
      <c r="K779" s="41" t="s">
        <v>2875</v>
      </c>
      <c r="L779" s="52">
        <f t="shared" si="7"/>
        <v>45607.42591</v>
      </c>
      <c r="M779" s="49"/>
      <c r="N779" s="49"/>
      <c r="O779" s="49"/>
      <c r="P779" s="49"/>
      <c r="Q779" s="49"/>
      <c r="R779" s="49"/>
      <c r="S779" s="49"/>
      <c r="T779" s="49"/>
      <c r="U779" s="49"/>
      <c r="V779" s="49"/>
      <c r="W779" s="41" t="s">
        <v>618</v>
      </c>
      <c r="X779" s="46">
        <f t="shared" si="5"/>
        <v>45608.43293</v>
      </c>
      <c r="Y779" s="50" t="s">
        <v>482</v>
      </c>
      <c r="Z779" s="49">
        <f t="shared" si="6"/>
        <v>0</v>
      </c>
    </row>
    <row r="780" ht="22.5" customHeight="1">
      <c r="B780" s="41" t="s">
        <v>4128</v>
      </c>
      <c r="C780" s="43">
        <f t="array" ref="C780">IF(B780="","",_xlfn.XLOOKUP(B780,'Form responses 1'!$B$2:$B$2604,'Form responses 1'!$A$2:$A$2604,""))</f>
        <v>45604.40859</v>
      </c>
      <c r="D780" s="44" t="str">
        <f t="shared" si="3"/>
        <v>K/7/081124/1_45604.4085939815</v>
      </c>
      <c r="E780" s="44" t="str">
        <f t="array" ref="E780">IF(B780="","",_xlfn.XLOOKUP(B780,'Form responses 1'!$B$2:$B$2604,'Form responses 1'!$C$2:$C$2604,""))</f>
        <v>M ANDRIZA/ VITO</v>
      </c>
      <c r="F780" s="44" t="str">
        <f t="array" ref="F780">IF(B780="","",_xlfn.XLOOKUP(B780,'Form responses 1'!$B$2:$B$2604,'Form responses 1'!$D$2:$D$2604,""))</f>
        <v>085269021511</v>
      </c>
      <c r="G780" s="44" t="str">
        <f t="array" ref="G780">IF(B780="","",_xlfn.XLOOKUP(B780,'Form responses 1'!$B$2:$B$2604,'Form responses 1'!$E$2:$E$2604,""))</f>
        <v>BN JUAL BELI</v>
      </c>
      <c r="H780" s="44" t="str">
        <f t="array" ref="H780">IF(B780="","",_xlfn.XLOOKUP(B780,'Form responses 1'!$B$2:$B$2604,'Form responses 1'!$F$2:$F$2604,""))</f>
        <v>M. 10329/ Segala Mider</v>
      </c>
      <c r="I780" s="44" t="str">
        <f t="array" ref="I780">IF(B780="","",_xlfn.XLOOKUP(B780,'Form responses 1'!$B$2:$B$2604,'Form responses 1'!$I$2:$I$2604,""))</f>
        <v>Segala Mider</v>
      </c>
      <c r="J780" s="44" t="str">
        <f t="array" ref="J780">IF(B780="","",_xlfn.XLOOKUP(B780,'Form responses 1'!$B$2:$B$2604,'Form responses 1'!$G$2:$G$2604,""))</f>
        <v>Hananda</v>
      </c>
      <c r="K780" s="41" t="s">
        <v>2875</v>
      </c>
      <c r="L780" s="52">
        <f t="shared" si="7"/>
        <v>45607.42592</v>
      </c>
      <c r="M780" s="47" t="s">
        <v>5629</v>
      </c>
      <c r="N780" s="49"/>
      <c r="O780" s="49"/>
      <c r="P780" s="49"/>
      <c r="Q780" s="49"/>
      <c r="R780" s="49"/>
      <c r="S780" s="49"/>
      <c r="T780" s="49"/>
      <c r="U780" s="49"/>
      <c r="V780" s="49"/>
      <c r="W780" s="41" t="s">
        <v>470</v>
      </c>
      <c r="X780" s="46">
        <f t="shared" si="5"/>
        <v>45609.43135</v>
      </c>
      <c r="Y780" s="50" t="s">
        <v>482</v>
      </c>
      <c r="Z780" s="49">
        <f t="shared" si="6"/>
        <v>1</v>
      </c>
    </row>
    <row r="781" ht="22.5" customHeight="1">
      <c r="B781" s="41" t="s">
        <v>4321</v>
      </c>
      <c r="C781" s="43">
        <f t="array" ref="C781">IF(B781="","",_xlfn.XLOOKUP(B781,'Form responses 1'!$B$2:$B$2604,'Form responses 1'!$A$2:$A$2604,""))</f>
        <v>45604.64218</v>
      </c>
      <c r="D781" s="44" t="str">
        <f t="shared" si="3"/>
        <v>K/53/081124/1_45604.6421753819</v>
      </c>
      <c r="E781" s="44" t="str">
        <f t="array" ref="E781">IF(B781="","",_xlfn.XLOOKUP(B781,'Form responses 1'!$B$2:$B$2604,'Form responses 1'!$C$2:$C$2604,""))</f>
        <v>Rendy Ry/ Okta Rika</v>
      </c>
      <c r="F781" s="44" t="str">
        <f t="array" ref="F781">IF(B781="","",_xlfn.XLOOKUP(B781,'Form responses 1'!$B$2:$B$2604,'Form responses 1'!$D$2:$D$2604,""))</f>
        <v>+62 895-0895-6656</v>
      </c>
      <c r="G781" s="44" t="str">
        <f t="array" ref="G781">IF(B781="","",_xlfn.XLOOKUP(B781,'Form responses 1'!$B$2:$B$2604,'Form responses 1'!$E$2:$E$2604,""))</f>
        <v>BN Hibah</v>
      </c>
      <c r="H781" s="44" t="str">
        <f t="array" ref="H781">IF(B781="","",_xlfn.XLOOKUP(B781,'Form responses 1'!$B$2:$B$2604,'Form responses 1'!$F$2:$F$2604,""))</f>
        <v>M. 324/ Korpri Raya</v>
      </c>
      <c r="I781" s="44" t="str">
        <f t="array" ref="I781">IF(B781="","",_xlfn.XLOOKUP(B781,'Form responses 1'!$B$2:$B$2604,'Form responses 1'!$I$2:$I$2604,""))</f>
        <v>Korpri Raya</v>
      </c>
      <c r="J781" s="44" t="str">
        <f t="array" ref="J781">IF(B781="","",_xlfn.XLOOKUP(B781,'Form responses 1'!$B$2:$B$2604,'Form responses 1'!$G$2:$G$2604,""))</f>
        <v>Rapita</v>
      </c>
      <c r="K781" s="41" t="s">
        <v>2875</v>
      </c>
      <c r="L781" s="52">
        <f t="shared" si="7"/>
        <v>45607.42594</v>
      </c>
      <c r="M781" s="47" t="s">
        <v>5630</v>
      </c>
      <c r="N781" s="49"/>
      <c r="O781" s="49"/>
      <c r="P781" s="49"/>
      <c r="Q781" s="49"/>
      <c r="R781" s="49"/>
      <c r="S781" s="49"/>
      <c r="T781" s="49"/>
      <c r="U781" s="49"/>
      <c r="V781" s="49"/>
      <c r="W781" s="41" t="s">
        <v>470</v>
      </c>
      <c r="X781" s="46">
        <f t="shared" si="5"/>
        <v>45608.63769</v>
      </c>
      <c r="Y781" s="50" t="s">
        <v>482</v>
      </c>
      <c r="Z781" s="49">
        <f t="shared" si="6"/>
        <v>1</v>
      </c>
    </row>
    <row r="782" ht="22.5" customHeight="1">
      <c r="B782" s="41" t="s">
        <v>4160</v>
      </c>
      <c r="C782" s="43">
        <f t="array" ref="C782">IF(B782="","",_xlfn.XLOOKUP(B782,'Form responses 1'!$B$2:$B$2604,'Form responses 1'!$A$2:$A$2604,""))</f>
        <v>45604.44025</v>
      </c>
      <c r="D782" s="44" t="str">
        <f t="shared" si="3"/>
        <v>K/12/081124/1_45604.4402486458</v>
      </c>
      <c r="E782" s="44" t="str">
        <f t="array" ref="E782">IF(B782="","",_xlfn.XLOOKUP(B782,'Form responses 1'!$B$2:$B$2604,'Form responses 1'!$C$2:$C$2604,""))</f>
        <v>NANIK MARYANI / RUDY HERIJANTO WIDJAJA</v>
      </c>
      <c r="F782" s="44" t="str">
        <f t="array" ref="F782">IF(B782="","",_xlfn.XLOOKUP(B782,'Form responses 1'!$B$2:$B$2604,'Form responses 1'!$D$2:$D$2604,""))</f>
        <v>+62 831-7850-1348</v>
      </c>
      <c r="G782" s="44" t="str">
        <f t="array" ref="G782">IF(B782="","",_xlfn.XLOOKUP(B782,'Form responses 1'!$B$2:$B$2604,'Form responses 1'!$E$2:$E$2604,""))</f>
        <v>BN JUAL BELI</v>
      </c>
      <c r="H782" s="44" t="str">
        <f t="array" ref="H782">IF(B782="","",_xlfn.XLOOKUP(B782,'Form responses 1'!$B$2:$B$2604,'Form responses 1'!$F$2:$F$2604,""))</f>
        <v>M. 2353/SUKARAME BARU-SEKARANG;M.17754/SUKARAME-DAHULU</v>
      </c>
      <c r="I782" s="44" t="str">
        <f t="array" ref="I782">IF(B782="","",_xlfn.XLOOKUP(B782,'Form responses 1'!$B$2:$B$2604,'Form responses 1'!$I$2:$I$2604,""))</f>
        <v>SUKARAME BARU</v>
      </c>
      <c r="J782" s="44" t="str">
        <f t="array" ref="J782">IF(B782="","",_xlfn.XLOOKUP(B782,'Form responses 1'!$B$2:$B$2604,'Form responses 1'!$G$2:$G$2604,""))</f>
        <v>Aisyah</v>
      </c>
      <c r="K782" s="41" t="s">
        <v>2875</v>
      </c>
      <c r="L782" s="52">
        <f t="shared" si="7"/>
        <v>45607.42596</v>
      </c>
      <c r="M782" s="49"/>
      <c r="N782" s="49"/>
      <c r="O782" s="49"/>
      <c r="P782" s="49"/>
      <c r="Q782" s="49"/>
      <c r="R782" s="49"/>
      <c r="S782" s="49"/>
      <c r="T782" s="49"/>
      <c r="U782" s="49"/>
      <c r="V782" s="49"/>
      <c r="W782" s="41" t="s">
        <v>618</v>
      </c>
      <c r="X782" s="46">
        <f t="shared" si="5"/>
        <v>45608.61266</v>
      </c>
      <c r="Y782" s="50" t="s">
        <v>482</v>
      </c>
      <c r="Z782" s="49">
        <f t="shared" si="6"/>
        <v>0</v>
      </c>
    </row>
    <row r="783" ht="22.5" customHeight="1">
      <c r="B783" s="41" t="s">
        <v>4283</v>
      </c>
      <c r="C783" s="43">
        <f t="array" ref="C783">IF(B783="","",_xlfn.XLOOKUP(B783,'Form responses 1'!$B$2:$B$2604,'Form responses 1'!$A$2:$A$2604,""))</f>
        <v>45604.59775</v>
      </c>
      <c r="D783" s="44" t="str">
        <f t="shared" si="3"/>
        <v>K/43/081124/1_45604.5977477546</v>
      </c>
      <c r="E783" s="44" t="str">
        <f t="array" ref="E783">IF(B783="","",_xlfn.XLOOKUP(B783,'Form responses 1'!$B$2:$B$2604,'Form responses 1'!$C$2:$C$2604,""))</f>
        <v>HERA A/ DEDE K</v>
      </c>
      <c r="F783" s="44" t="str">
        <f t="array" ref="F783">IF(B783="","",_xlfn.XLOOKUP(B783,'Form responses 1'!$B$2:$B$2604,'Form responses 1'!$D$2:$D$2604,""))</f>
        <v>081365483482</v>
      </c>
      <c r="G783" s="44" t="str">
        <f t="array" ref="G783">IF(B783="","",_xlfn.XLOOKUP(B783,'Form responses 1'!$B$2:$B$2604,'Form responses 1'!$E$2:$E$2604,""))</f>
        <v>ROYA</v>
      </c>
      <c r="H783" s="44" t="str">
        <f t="array" ref="H783">IF(B783="","",_xlfn.XLOOKUP(B783,'Form responses 1'!$B$2:$B$2604,'Form responses 1'!$F$2:$F$2604,""))</f>
        <v>M. 1322/ Labuhan Dalam</v>
      </c>
      <c r="I783" s="44" t="str">
        <f t="array" ref="I783">IF(B783="","",_xlfn.XLOOKUP(B783,'Form responses 1'!$B$2:$B$2604,'Form responses 1'!$I$2:$I$2604,""))</f>
        <v>Labuhan Dalam</v>
      </c>
      <c r="J783" s="44" t="str">
        <f t="array" ref="J783">IF(B783="","",_xlfn.XLOOKUP(B783,'Form responses 1'!$B$2:$B$2604,'Form responses 1'!$G$2:$G$2604,""))</f>
        <v>Hananda</v>
      </c>
      <c r="K783" s="41" t="s">
        <v>422</v>
      </c>
      <c r="L783" s="52">
        <f t="shared" si="7"/>
        <v>45607.44701</v>
      </c>
      <c r="M783" s="49"/>
      <c r="N783" s="49"/>
      <c r="O783" s="49"/>
      <c r="P783" s="49"/>
      <c r="Q783" s="49"/>
      <c r="R783" s="49"/>
      <c r="S783" s="49"/>
      <c r="T783" s="49"/>
      <c r="U783" s="49"/>
      <c r="V783" s="49"/>
      <c r="W783" s="41" t="s">
        <v>618</v>
      </c>
      <c r="X783" s="46">
        <f t="shared" si="5"/>
        <v>45607.45245</v>
      </c>
      <c r="Y783" s="50" t="s">
        <v>482</v>
      </c>
      <c r="Z783" s="49">
        <f t="shared" si="6"/>
        <v>0</v>
      </c>
    </row>
    <row r="784" ht="22.5" customHeight="1">
      <c r="B784" s="41" t="s">
        <v>4184</v>
      </c>
      <c r="C784" s="43">
        <f t="array" ref="C784">IF(B784="","",_xlfn.XLOOKUP(B784,'Form responses 1'!$B$2:$B$2604,'Form responses 1'!$A$2:$A$2604,""))</f>
        <v>45604.44797</v>
      </c>
      <c r="D784" s="44" t="str">
        <f t="shared" si="3"/>
        <v>L/17/081124/1_45604.4479680093</v>
      </c>
      <c r="E784" s="44" t="str">
        <f t="array" ref="E784">IF(B784="","",_xlfn.XLOOKUP(B784,'Form responses 1'!$B$2:$B$2604,'Form responses 1'!$C$2:$C$2604,""))</f>
        <v>JUNAIDI</v>
      </c>
      <c r="F784" s="44" t="str">
        <f t="array" ref="F784">IF(B784="","",_xlfn.XLOOKUP(B784,'Form responses 1'!$B$2:$B$2604,'Form responses 1'!$D$2:$D$2604,""))</f>
        <v>082377111476</v>
      </c>
      <c r="G784" s="44" t="str">
        <f t="array" ref="G784">IF(B784="","",_xlfn.XLOOKUP(B784,'Form responses 1'!$B$2:$B$2604,'Form responses 1'!$E$2:$E$2604,""))</f>
        <v>PENATAAN BATAS</v>
      </c>
      <c r="H784" s="44" t="str">
        <f t="array" ref="H784">IF(B784="","",_xlfn.XLOOKUP(B784,'Form responses 1'!$B$2:$B$2604,'Form responses 1'!$F$2:$F$2604,""))</f>
        <v>HM 1134/GULAK GALIK</v>
      </c>
      <c r="I784" s="44" t="str">
        <f t="array" ref="I784">IF(B784="","",_xlfn.XLOOKUP(B784,'Form responses 1'!$B$2:$B$2604,'Form responses 1'!$I$2:$I$2604,""))</f>
        <v>GULAK GALIK</v>
      </c>
      <c r="J784" s="44" t="str">
        <f t="array" ref="J784">IF(B784="","",_xlfn.XLOOKUP(B784,'Form responses 1'!$B$2:$B$2604,'Form responses 1'!$G$2:$G$2604,""))</f>
        <v>Deby</v>
      </c>
      <c r="K784" s="41" t="s">
        <v>422</v>
      </c>
      <c r="L784" s="52">
        <f t="shared" si="7"/>
        <v>45607.44703</v>
      </c>
      <c r="M784" s="47" t="s">
        <v>5631</v>
      </c>
      <c r="N784" s="47" t="s">
        <v>5632</v>
      </c>
      <c r="O784" s="49"/>
      <c r="P784" s="49"/>
      <c r="Q784" s="49"/>
      <c r="R784" s="49"/>
      <c r="S784" s="49"/>
      <c r="T784" s="49"/>
      <c r="U784" s="49"/>
      <c r="V784" s="49"/>
      <c r="W784" s="41" t="s">
        <v>470</v>
      </c>
      <c r="X784" s="46">
        <f t="shared" si="5"/>
        <v>45607.47126</v>
      </c>
      <c r="Y784" s="50" t="s">
        <v>482</v>
      </c>
      <c r="Z784" s="49">
        <f t="shared" si="6"/>
        <v>2</v>
      </c>
    </row>
    <row r="785" ht="22.5" customHeight="1">
      <c r="B785" s="41" t="s">
        <v>4208</v>
      </c>
      <c r="C785" s="43">
        <f t="array" ref="C785">IF(B785="","",_xlfn.XLOOKUP(B785,'Form responses 1'!$B$2:$B$2604,'Form responses 1'!$A$2:$A$2604,""))</f>
        <v>45604.46836</v>
      </c>
      <c r="D785" s="44" t="str">
        <f t="shared" si="3"/>
        <v>K/24/081124/2_45604.4683560995</v>
      </c>
      <c r="E785" s="44" t="str">
        <f t="array" ref="E785">IF(B785="","",_xlfn.XLOOKUP(B785,'Form responses 1'!$B$2:$B$2604,'Form responses 1'!$C$2:$C$2604,""))</f>
        <v>RAHMADIYANTI</v>
      </c>
      <c r="F785" s="44" t="str">
        <f t="array" ref="F785">IF(B785="","",_xlfn.XLOOKUP(B785,'Form responses 1'!$B$2:$B$2604,'Form responses 1'!$D$2:$D$2604,""))</f>
        <v>+62 821-8209-0051</v>
      </c>
      <c r="G785" s="44" t="str">
        <f t="array" ref="G785">IF(B785="","",_xlfn.XLOOKUP(B785,'Form responses 1'!$B$2:$B$2604,'Form responses 1'!$E$2:$E$2604,""))</f>
        <v>BN JUAL BELI</v>
      </c>
      <c r="H785" s="44" t="str">
        <f t="array" ref="H785">IF(B785="","",_xlfn.XLOOKUP(B785,'Form responses 1'!$B$2:$B$2604,'Form responses 1'!$F$2:$F$2604,""))</f>
        <v>M. 813/WAY DADI- SEKARANG; M. 13188/SUKARAME I</v>
      </c>
      <c r="I785" s="44" t="str">
        <f t="array" ref="I785">IF(B785="","",_xlfn.XLOOKUP(B785,'Form responses 1'!$B$2:$B$2604,'Form responses 1'!$I$2:$I$2604,""))</f>
        <v>WAY DADI</v>
      </c>
      <c r="J785" s="44" t="str">
        <f t="array" ref="J785">IF(B785="","",_xlfn.XLOOKUP(B785,'Form responses 1'!$B$2:$B$2604,'Form responses 1'!$G$2:$G$2604,""))</f>
        <v>Hananda</v>
      </c>
      <c r="K785" s="41" t="s">
        <v>422</v>
      </c>
      <c r="L785" s="52">
        <f t="shared" si="7"/>
        <v>45607.44705</v>
      </c>
      <c r="M785" s="47" t="s">
        <v>5633</v>
      </c>
      <c r="N785" s="49"/>
      <c r="O785" s="49"/>
      <c r="P785" s="49"/>
      <c r="Q785" s="49"/>
      <c r="R785" s="49"/>
      <c r="S785" s="49"/>
      <c r="T785" s="49"/>
      <c r="U785" s="49"/>
      <c r="V785" s="49"/>
      <c r="W785" s="41" t="s">
        <v>618</v>
      </c>
      <c r="X785" s="46">
        <f t="shared" si="5"/>
        <v>45609.66729</v>
      </c>
      <c r="Y785" s="50" t="s">
        <v>482</v>
      </c>
      <c r="Z785" s="49">
        <f t="shared" si="6"/>
        <v>1</v>
      </c>
    </row>
    <row r="786" ht="22.5" customHeight="1">
      <c r="B786" s="41" t="s">
        <v>4109</v>
      </c>
      <c r="C786" s="43">
        <f t="array" ref="C786">IF(B786="","",_xlfn.XLOOKUP(B786,'Form responses 1'!$B$2:$B$2604,'Form responses 1'!$A$2:$A$2604,""))</f>
        <v>45604.38599</v>
      </c>
      <c r="D786" s="44" t="str">
        <f t="shared" si="3"/>
        <v>K/1/081124/1_45604.3859871644</v>
      </c>
      <c r="E786" s="44" t="str">
        <f t="array" ref="E786">IF(B786="","",_xlfn.XLOOKUP(B786,'Form responses 1'!$B$2:$B$2604,'Form responses 1'!$C$2:$C$2604,""))</f>
        <v>FAIZAL SUBNI/ANNA PURNAMASARI</v>
      </c>
      <c r="F786" s="44" t="str">
        <f t="array" ref="F786">IF(B786="","",_xlfn.XLOOKUP(B786,'Form responses 1'!$B$2:$B$2604,'Form responses 1'!$D$2:$D$2604,""))</f>
        <v>0811-7211-611</v>
      </c>
      <c r="G786" s="44" t="str">
        <f t="array" ref="G786">IF(B786="","",_xlfn.XLOOKUP(B786,'Form responses 1'!$B$2:$B$2604,'Form responses 1'!$E$2:$E$2604,""))</f>
        <v>BN JUAL BELI</v>
      </c>
      <c r="H786" s="44" t="str">
        <f t="array" ref="H786">IF(B786="","",_xlfn.XLOOKUP(B786,'Form responses 1'!$B$2:$B$2604,'Form responses 1'!$F$2:$F$2604,""))</f>
        <v>M.1419/SUSUNAN BARU</v>
      </c>
      <c r="I786" s="44" t="str">
        <f t="array" ref="I786">IF(B786="","",_xlfn.XLOOKUP(B786,'Form responses 1'!$B$2:$B$2604,'Form responses 1'!$I$2:$I$2604,""))</f>
        <v>SUSUNAN BARU</v>
      </c>
      <c r="J786" s="44" t="str">
        <f t="array" ref="J786">IF(B786="","",_xlfn.XLOOKUP(B786,'Form responses 1'!$B$2:$B$2604,'Form responses 1'!$G$2:$G$2604,""))</f>
        <v>Baynur</v>
      </c>
      <c r="K786" s="41" t="s">
        <v>422</v>
      </c>
      <c r="L786" s="52">
        <f t="shared" si="7"/>
        <v>45607.44706</v>
      </c>
      <c r="M786" s="49"/>
      <c r="N786" s="49"/>
      <c r="O786" s="49"/>
      <c r="P786" s="49"/>
      <c r="Q786" s="49"/>
      <c r="R786" s="49"/>
      <c r="S786" s="49"/>
      <c r="T786" s="49"/>
      <c r="U786" s="49"/>
      <c r="V786" s="49"/>
      <c r="W786" s="41" t="s">
        <v>618</v>
      </c>
      <c r="X786" s="46">
        <f t="shared" si="5"/>
        <v>45607.50318</v>
      </c>
      <c r="Y786" s="50" t="s">
        <v>482</v>
      </c>
      <c r="Z786" s="49">
        <f t="shared" si="6"/>
        <v>0</v>
      </c>
    </row>
    <row r="787" ht="22.5" customHeight="1">
      <c r="B787" s="41" t="s">
        <v>4297</v>
      </c>
      <c r="C787" s="43">
        <f t="array" ref="C787">IF(B787="","",_xlfn.XLOOKUP(B787,'Form responses 1'!$B$2:$B$2604,'Form responses 1'!$A$2:$A$2604,""))</f>
        <v>45604.61834</v>
      </c>
      <c r="D787" s="44" t="str">
        <f t="shared" si="3"/>
        <v>K/46/081124/1_45604.6183411921</v>
      </c>
      <c r="E787" s="44" t="str">
        <f t="array" ref="E787">IF(B787="","",_xlfn.XLOOKUP(B787,'Form responses 1'!$B$2:$B$2604,'Form responses 1'!$C$2:$C$2604,""))</f>
        <v>Mursalin/ Nurul Q</v>
      </c>
      <c r="F787" s="44" t="str">
        <f t="array" ref="F787">IF(B787="","",_xlfn.XLOOKUP(B787,'Form responses 1'!$B$2:$B$2604,'Form responses 1'!$D$2:$D$2604,""))</f>
        <v>0895378277577</v>
      </c>
      <c r="G787" s="44" t="str">
        <f t="array" ref="G787">IF(B787="","",_xlfn.XLOOKUP(B787,'Form responses 1'!$B$2:$B$2604,'Form responses 1'!$E$2:$E$2604,""))</f>
        <v>BN Jual Beli</v>
      </c>
      <c r="H787" s="44" t="str">
        <f t="array" ref="H787">IF(B787="","",_xlfn.XLOOKUP(B787,'Form responses 1'!$B$2:$B$2604,'Form responses 1'!$F$2:$F$2604,""))</f>
        <v>M. 1450/ Kupang Teba</v>
      </c>
      <c r="I787" s="44" t="str">
        <f t="array" ref="I787">IF(B787="","",_xlfn.XLOOKUP(B787,'Form responses 1'!$B$2:$B$2604,'Form responses 1'!$I$2:$I$2604,""))</f>
        <v>Kupang Teba</v>
      </c>
      <c r="J787" s="44" t="str">
        <f t="array" ref="J787">IF(B787="","",_xlfn.XLOOKUP(B787,'Form responses 1'!$B$2:$B$2604,'Form responses 1'!$G$2:$G$2604,""))</f>
        <v>Rapita</v>
      </c>
      <c r="K787" s="41" t="s">
        <v>422</v>
      </c>
      <c r="L787" s="52">
        <f t="shared" si="7"/>
        <v>45607.44708</v>
      </c>
      <c r="M787" s="47" t="s">
        <v>5634</v>
      </c>
      <c r="N787" s="47" t="s">
        <v>5635</v>
      </c>
      <c r="O787" s="47" t="s">
        <v>5636</v>
      </c>
      <c r="P787" s="49"/>
      <c r="Q787" s="49"/>
      <c r="R787" s="49"/>
      <c r="S787" s="49"/>
      <c r="T787" s="49"/>
      <c r="U787" s="49"/>
      <c r="V787" s="49"/>
      <c r="W787" s="41" t="s">
        <v>470</v>
      </c>
      <c r="X787" s="46">
        <f t="shared" si="5"/>
        <v>45607.52061</v>
      </c>
      <c r="Y787" s="50" t="s">
        <v>482</v>
      </c>
      <c r="Z787" s="49">
        <f t="shared" si="6"/>
        <v>3</v>
      </c>
    </row>
    <row r="788" ht="22.5" customHeight="1">
      <c r="B788" s="41" t="s">
        <v>4211</v>
      </c>
      <c r="C788" s="43">
        <f t="array" ref="C788">IF(B788="","",_xlfn.XLOOKUP(B788,'Form responses 1'!$B$2:$B$2604,'Form responses 1'!$A$2:$A$2604,""))</f>
        <v>45604.47065</v>
      </c>
      <c r="D788" s="44" t="str">
        <f t="shared" si="3"/>
        <v>K/25/081124/1_45604.4706463889</v>
      </c>
      <c r="E788" s="44" t="str">
        <f t="array" ref="E788">IF(B788="","",_xlfn.XLOOKUP(B788,'Form responses 1'!$B$2:$B$2604,'Form responses 1'!$C$2:$C$2604,""))</f>
        <v>RICHARD ADI P</v>
      </c>
      <c r="F788" s="44" t="str">
        <f t="array" ref="F788">IF(B788="","",_xlfn.XLOOKUP(B788,'Form responses 1'!$B$2:$B$2604,'Form responses 1'!$D$2:$D$2604,""))</f>
        <v>085279997821</v>
      </c>
      <c r="G788" s="44" t="str">
        <f t="array" ref="G788">IF(B788="","",_xlfn.XLOOKUP(B788,'Form responses 1'!$B$2:$B$2604,'Form responses 1'!$E$2:$E$2604,""))</f>
        <v>BN JUAL BELI</v>
      </c>
      <c r="H788" s="44" t="str">
        <f t="array" ref="H788">IF(B788="","",_xlfn.XLOOKUP(B788,'Form responses 1'!$B$2:$B$2604,'Form responses 1'!$F$2:$F$2604,""))</f>
        <v>M. 2076/ Kota Baru</v>
      </c>
      <c r="I788" s="44" t="str">
        <f t="array" ref="I788">IF(B788="","",_xlfn.XLOOKUP(B788,'Form responses 1'!$B$2:$B$2604,'Form responses 1'!$I$2:$I$2604,""))</f>
        <v>Kota Baru</v>
      </c>
      <c r="J788" s="44" t="str">
        <f t="array" ref="J788">IF(B788="","",_xlfn.XLOOKUP(B788,'Form responses 1'!$B$2:$B$2604,'Form responses 1'!$G$2:$G$2604,""))</f>
        <v>Hananda</v>
      </c>
      <c r="K788" s="41" t="s">
        <v>422</v>
      </c>
      <c r="L788" s="52">
        <f t="shared" si="7"/>
        <v>45607.44709</v>
      </c>
      <c r="M788" s="47" t="s">
        <v>5637</v>
      </c>
      <c r="N788" s="47" t="s">
        <v>4144</v>
      </c>
      <c r="O788" s="49"/>
      <c r="P788" s="49"/>
      <c r="Q788" s="49"/>
      <c r="R788" s="49"/>
      <c r="S788" s="49"/>
      <c r="T788" s="49"/>
      <c r="U788" s="49"/>
      <c r="V788" s="49"/>
      <c r="W788" s="41" t="s">
        <v>618</v>
      </c>
      <c r="X788" s="46">
        <f t="shared" si="5"/>
        <v>45609.66507</v>
      </c>
      <c r="Y788" s="50" t="s">
        <v>482</v>
      </c>
      <c r="Z788" s="49">
        <f t="shared" si="6"/>
        <v>2</v>
      </c>
    </row>
    <row r="789" ht="22.5" customHeight="1">
      <c r="B789" s="41" t="s">
        <v>4307</v>
      </c>
      <c r="C789" s="43">
        <f t="array" ref="C789">IF(B789="","",_xlfn.XLOOKUP(B789,'Form responses 1'!$B$2:$B$2604,'Form responses 1'!$A$2:$A$2604,""))</f>
        <v>45604.62502</v>
      </c>
      <c r="D789" s="44" t="str">
        <f t="shared" si="3"/>
        <v>K/49/081124/1_45604.6250232292</v>
      </c>
      <c r="E789" s="44" t="str">
        <f t="array" ref="E789">IF(B789="","",_xlfn.XLOOKUP(B789,'Form responses 1'!$B$2:$B$2604,'Form responses 1'!$C$2:$C$2604,""))</f>
        <v>RIKA WISANGRATRI</v>
      </c>
      <c r="F789" s="44" t="str">
        <f t="array" ref="F789">IF(B789="","",_xlfn.XLOOKUP(B789,'Form responses 1'!$B$2:$B$2604,'Form responses 1'!$D$2:$D$2604,""))</f>
        <v>+62 831-6815-4278</v>
      </c>
      <c r="G789" s="44" t="str">
        <f t="array" ref="G789">IF(B789="","",_xlfn.XLOOKUP(B789,'Form responses 1'!$B$2:$B$2604,'Form responses 1'!$E$2:$E$2604,""))</f>
        <v>BN JUAL BELI</v>
      </c>
      <c r="H789" s="44" t="str">
        <f t="array" ref="H789">IF(B789="","",_xlfn.XLOOKUP(B789,'Form responses 1'!$B$2:$B$2604,'Form responses 1'!$F$2:$F$2604,""))</f>
        <v>M. 3493/ Kota Baru</v>
      </c>
      <c r="I789" s="44" t="str">
        <f t="array" ref="I789">IF(B789="","",_xlfn.XLOOKUP(B789,'Form responses 1'!$B$2:$B$2604,'Form responses 1'!$I$2:$I$2604,""))</f>
        <v> Kota Baru</v>
      </c>
      <c r="J789" s="44" t="str">
        <f t="array" ref="J789">IF(B789="","",_xlfn.XLOOKUP(B789,'Form responses 1'!$B$2:$B$2604,'Form responses 1'!$G$2:$G$2604,""))</f>
        <v>Hananda</v>
      </c>
      <c r="K789" s="41" t="s">
        <v>1233</v>
      </c>
      <c r="L789" s="52">
        <f t="shared" si="7"/>
        <v>45607.48684</v>
      </c>
      <c r="M789" s="47" t="s">
        <v>5439</v>
      </c>
      <c r="N789" s="49"/>
      <c r="O789" s="49"/>
      <c r="P789" s="49"/>
      <c r="Q789" s="49"/>
      <c r="R789" s="49"/>
      <c r="S789" s="49"/>
      <c r="T789" s="49"/>
      <c r="U789" s="49"/>
      <c r="V789" s="49"/>
      <c r="W789" s="41" t="s">
        <v>618</v>
      </c>
      <c r="X789" s="46">
        <f t="shared" si="5"/>
        <v>45608.66115</v>
      </c>
      <c r="Y789" s="50" t="s">
        <v>482</v>
      </c>
      <c r="Z789" s="49">
        <f t="shared" si="6"/>
        <v>1</v>
      </c>
    </row>
    <row r="790" ht="22.5" customHeight="1">
      <c r="B790" s="41" t="s">
        <v>4115</v>
      </c>
      <c r="C790" s="43">
        <f t="array" ref="C790">IF(B790="","",_xlfn.XLOOKUP(B790,'Form responses 1'!$B$2:$B$2604,'Form responses 1'!$A$2:$A$2604,""))</f>
        <v>45604.38746</v>
      </c>
      <c r="D790" s="44" t="str">
        <f t="shared" si="3"/>
        <v>K/2/081124/2_45604.3874597917</v>
      </c>
      <c r="E790" s="44" t="str">
        <f t="array" ref="E790">IF(B790="","",_xlfn.XLOOKUP(B790,'Form responses 1'!$B$2:$B$2604,'Form responses 1'!$C$2:$C$2604,""))</f>
        <v>REFYATI/ANNA PURNAMASARI</v>
      </c>
      <c r="F790" s="44" t="str">
        <f t="array" ref="F790">IF(B790="","",_xlfn.XLOOKUP(B790,'Form responses 1'!$B$2:$B$2604,'Form responses 1'!$D$2:$D$2604,""))</f>
        <v>0811-7211-611</v>
      </c>
      <c r="G790" s="44" t="str">
        <f t="array" ref="G790">IF(B790="","",_xlfn.XLOOKUP(B790,'Form responses 1'!$B$2:$B$2604,'Form responses 1'!$E$2:$E$2604,""))</f>
        <v>HIBAH</v>
      </c>
      <c r="H790" s="44" t="str">
        <f t="array" ref="H790">IF(B790="","",_xlfn.XLOOKUP(B790,'Form responses 1'!$B$2:$B$2604,'Form responses 1'!$F$2:$F$2604,""))</f>
        <v>M. 1892/BERINGIN JAYA-SEKARANG;M.1538/BERINGIN RAYA-DAHULU</v>
      </c>
      <c r="I790" s="44" t="str">
        <f t="array" ref="I790">IF(B790="","",_xlfn.XLOOKUP(B790,'Form responses 1'!$B$2:$B$2604,'Form responses 1'!$I$2:$I$2604,""))</f>
        <v>BERINGIN JAYA</v>
      </c>
      <c r="J790" s="44" t="str">
        <f t="array" ref="J790">IF(B790="","",_xlfn.XLOOKUP(B790,'Form responses 1'!$B$2:$B$2604,'Form responses 1'!$G$2:$G$2604,""))</f>
        <v>Baynur</v>
      </c>
      <c r="K790" s="41" t="s">
        <v>1233</v>
      </c>
      <c r="L790" s="52">
        <f t="shared" si="7"/>
        <v>45607.48923</v>
      </c>
      <c r="M790" s="49"/>
      <c r="N790" s="49"/>
      <c r="O790" s="49"/>
      <c r="P790" s="49"/>
      <c r="Q790" s="49"/>
      <c r="R790" s="49"/>
      <c r="S790" s="49"/>
      <c r="T790" s="49"/>
      <c r="U790" s="49"/>
      <c r="V790" s="49"/>
      <c r="W790" s="41" t="s">
        <v>618</v>
      </c>
      <c r="X790" s="46">
        <f t="shared" si="5"/>
        <v>45607.49483</v>
      </c>
      <c r="Y790" s="50" t="s">
        <v>482</v>
      </c>
      <c r="Z790" s="49">
        <f t="shared" si="6"/>
        <v>0</v>
      </c>
    </row>
    <row r="791" ht="22.5" customHeight="1">
      <c r="B791" s="41" t="s">
        <v>4271</v>
      </c>
      <c r="C791" s="43">
        <f t="array" ref="C791">IF(B791="","",_xlfn.XLOOKUP(B791,'Form responses 1'!$B$2:$B$2604,'Form responses 1'!$A$2:$A$2604,""))</f>
        <v>45604.5865</v>
      </c>
      <c r="D791" s="44" t="str">
        <f t="shared" si="3"/>
        <v>K/40/081124/1_45604.5864986806</v>
      </c>
      <c r="E791" s="44" t="str">
        <f t="array" ref="E791">IF(B791="","",_xlfn.XLOOKUP(B791,'Form responses 1'!$B$2:$B$2604,'Form responses 1'!$C$2:$C$2604,""))</f>
        <v>Novalia E P/ Gusnawati</v>
      </c>
      <c r="F791" s="44" t="str">
        <f t="array" ref="F791">IF(B791="","",_xlfn.XLOOKUP(B791,'Form responses 1'!$B$2:$B$2604,'Form responses 1'!$D$2:$D$2604,""))</f>
        <v>089699476813</v>
      </c>
      <c r="G791" s="44" t="str">
        <f t="array" ref="G791">IF(B791="","",_xlfn.XLOOKUP(B791,'Form responses 1'!$B$2:$B$2604,'Form responses 1'!$E$2:$E$2604,""))</f>
        <v>BN Waris</v>
      </c>
      <c r="H791" s="44" t="str">
        <f t="array" ref="H791">IF(B791="","",_xlfn.XLOOKUP(B791,'Form responses 1'!$B$2:$B$2604,'Form responses 1'!$F$2:$F$2604,""))</f>
        <v>M. 70/ Garuntang</v>
      </c>
      <c r="I791" s="44" t="str">
        <f t="array" ref="I791">IF(B791="","",_xlfn.XLOOKUP(B791,'Form responses 1'!$B$2:$B$2604,'Form responses 1'!$I$2:$I$2604,""))</f>
        <v>Garuntang</v>
      </c>
      <c r="J791" s="44" t="str">
        <f t="array" ref="J791">IF(B791="","",_xlfn.XLOOKUP(B791,'Form responses 1'!$B$2:$B$2604,'Form responses 1'!$G$2:$G$2604,""))</f>
        <v>Rapita</v>
      </c>
      <c r="K791" s="41" t="s">
        <v>1233</v>
      </c>
      <c r="L791" s="52">
        <f t="shared" si="7"/>
        <v>45607.49854</v>
      </c>
      <c r="M791" s="47" t="s">
        <v>5638</v>
      </c>
      <c r="N791" s="49"/>
      <c r="O791" s="49"/>
      <c r="P791" s="49"/>
      <c r="Q791" s="49"/>
      <c r="R791" s="49"/>
      <c r="S791" s="49"/>
      <c r="T791" s="49"/>
      <c r="U791" s="49"/>
      <c r="V791" s="49"/>
      <c r="W791" s="41" t="s">
        <v>618</v>
      </c>
      <c r="X791" s="46">
        <f t="shared" si="5"/>
        <v>45607.50081</v>
      </c>
      <c r="Y791" s="50" t="s">
        <v>482</v>
      </c>
      <c r="Z791" s="49">
        <f t="shared" si="6"/>
        <v>1</v>
      </c>
    </row>
    <row r="792" ht="22.5" customHeight="1">
      <c r="B792" s="41" t="s">
        <v>4137</v>
      </c>
      <c r="C792" s="43">
        <f t="array" ref="C792">IF(B792="","",_xlfn.XLOOKUP(B792,'Form responses 1'!$B$2:$B$2604,'Form responses 1'!$A$2:$A$2604,""))</f>
        <v>45604.41584</v>
      </c>
      <c r="D792" s="44" t="str">
        <f t="shared" si="3"/>
        <v>K/10/081124/1_45604.4158359375</v>
      </c>
      <c r="E792" s="44" t="str">
        <f t="array" ref="E792">IF(B792="","",_xlfn.XLOOKUP(B792,'Form responses 1'!$B$2:$B$2604,'Form responses 1'!$C$2:$C$2604,""))</f>
        <v>YENI EKAWATI</v>
      </c>
      <c r="F792" s="44" t="str">
        <f t="array" ref="F792">IF(B792="","",_xlfn.XLOOKUP(B792,'Form responses 1'!$B$2:$B$2604,'Form responses 1'!$D$2:$D$2604,""))</f>
        <v>+62 823-7481-3314</v>
      </c>
      <c r="G792" s="44" t="str">
        <f t="array" ref="G792">IF(B792="","",_xlfn.XLOOKUP(B792,'Form responses 1'!$B$2:$B$2604,'Form responses 1'!$E$2:$E$2604,""))</f>
        <v>ROYA</v>
      </c>
      <c r="H792" s="44" t="str">
        <f t="array" ref="H792">IF(B792="","",_xlfn.XLOOKUP(B792,'Form responses 1'!$B$2:$B$2604,'Form responses 1'!$F$2:$F$2604,""))</f>
        <v>B. 4954, 4958/ Kali Balau Kencana</v>
      </c>
      <c r="I792" s="44" t="str">
        <f t="array" ref="I792">IF(B792="","",_xlfn.XLOOKUP(B792,'Form responses 1'!$B$2:$B$2604,'Form responses 1'!$I$2:$I$2604,""))</f>
        <v> Kali Balau Kencana</v>
      </c>
      <c r="J792" s="44" t="str">
        <f t="array" ref="J792">IF(B792="","",_xlfn.XLOOKUP(B792,'Form responses 1'!$B$2:$B$2604,'Form responses 1'!$G$2:$G$2604,""))</f>
        <v>Hananda</v>
      </c>
      <c r="K792" s="41" t="s">
        <v>1233</v>
      </c>
      <c r="L792" s="52">
        <f t="shared" si="7"/>
        <v>45607.50953</v>
      </c>
      <c r="M792" s="49"/>
      <c r="N792" s="49"/>
      <c r="O792" s="49"/>
      <c r="P792" s="49"/>
      <c r="Q792" s="49"/>
      <c r="R792" s="49"/>
      <c r="S792" s="49"/>
      <c r="T792" s="49"/>
      <c r="U792" s="49"/>
      <c r="V792" s="49"/>
      <c r="W792" s="41" t="s">
        <v>618</v>
      </c>
      <c r="X792" s="46">
        <f t="shared" si="5"/>
        <v>45607.50957</v>
      </c>
      <c r="Y792" s="50" t="s">
        <v>482</v>
      </c>
      <c r="Z792" s="49">
        <f t="shared" si="6"/>
        <v>0</v>
      </c>
    </row>
    <row r="793" ht="22.5" customHeight="1">
      <c r="B793" s="41" t="s">
        <v>4204</v>
      </c>
      <c r="C793" s="43">
        <f t="array" ref="C793">IF(B793="","",_xlfn.XLOOKUP(B793,'Form responses 1'!$B$2:$B$2604,'Form responses 1'!$A$2:$A$2604,""))</f>
        <v>45604.46453</v>
      </c>
      <c r="D793" s="44" t="str">
        <f t="shared" si="3"/>
        <v>K/23/081124/1_45604.4645273727</v>
      </c>
      <c r="E793" s="44" t="str">
        <f t="array" ref="E793">IF(B793="","",_xlfn.XLOOKUP(B793,'Form responses 1'!$B$2:$B$2604,'Form responses 1'!$C$2:$C$2604,""))</f>
        <v>RAHMADIYANTI/ YASRANUDDIN</v>
      </c>
      <c r="F793" s="44" t="str">
        <f t="array" ref="F793">IF(B793="","",_xlfn.XLOOKUP(B793,'Form responses 1'!$B$2:$B$2604,'Form responses 1'!$D$2:$D$2604,""))</f>
        <v>+62 821-8209-0051</v>
      </c>
      <c r="G793" s="44" t="str">
        <f t="array" ref="G793">IF(B793="","",_xlfn.XLOOKUP(B793,'Form responses 1'!$B$2:$B$2604,'Form responses 1'!$E$2:$E$2604,""))</f>
        <v>BN JUAL BELI</v>
      </c>
      <c r="H793" s="44" t="str">
        <f t="array" ref="H793">IF(B793="","",_xlfn.XLOOKUP(B793,'Form responses 1'!$B$2:$B$2604,'Form responses 1'!$F$2:$F$2604,""))</f>
        <v>Nibel 1229/ Labuhan Dalam</v>
      </c>
      <c r="I793" s="44" t="str">
        <f t="array" ref="I793">IF(B793="","",_xlfn.XLOOKUP(B793,'Form responses 1'!$B$2:$B$2604,'Form responses 1'!$I$2:$I$2604,""))</f>
        <v> Labuhan Dalam</v>
      </c>
      <c r="J793" s="44" t="str">
        <f t="array" ref="J793">IF(B793="","",_xlfn.XLOOKUP(B793,'Form responses 1'!$B$2:$B$2604,'Form responses 1'!$G$2:$G$2604,""))</f>
        <v>Hananda</v>
      </c>
      <c r="K793" s="41" t="s">
        <v>1233</v>
      </c>
      <c r="L793" s="52">
        <f t="shared" si="7"/>
        <v>45607.55479</v>
      </c>
      <c r="M793" s="49"/>
      <c r="N793" s="49"/>
      <c r="O793" s="49"/>
      <c r="P793" s="49"/>
      <c r="Q793" s="49"/>
      <c r="R793" s="49"/>
      <c r="S793" s="49"/>
      <c r="T793" s="49"/>
      <c r="U793" s="49"/>
      <c r="V793" s="49"/>
      <c r="W793" s="41" t="s">
        <v>618</v>
      </c>
      <c r="X793" s="46">
        <f t="shared" si="5"/>
        <v>45607.565</v>
      </c>
      <c r="Y793" s="50" t="s">
        <v>482</v>
      </c>
      <c r="Z793" s="49">
        <f t="shared" si="6"/>
        <v>0</v>
      </c>
    </row>
    <row r="794" ht="22.5" customHeight="1">
      <c r="B794" s="41" t="s">
        <v>4220</v>
      </c>
      <c r="C794" s="43">
        <f t="array" ref="C794">IF(B794="","",_xlfn.XLOOKUP(B794,'Form responses 1'!$B$2:$B$2604,'Form responses 1'!$A$2:$A$2604,""))</f>
        <v>45604.56508</v>
      </c>
      <c r="D794" s="44" t="str">
        <f t="shared" si="3"/>
        <v>L/27/081124/1_45604.5650753241</v>
      </c>
      <c r="E794" s="44" t="str">
        <f t="array" ref="E794">IF(B794="","",_xlfn.XLOOKUP(B794,'Form responses 1'!$B$2:$B$2604,'Form responses 1'!$C$2:$C$2604,""))</f>
        <v>FRIDA CHRISNASARI DEWI</v>
      </c>
      <c r="F794" s="44" t="str">
        <f t="array" ref="F794">IF(B794="","",_xlfn.XLOOKUP(B794,'Form responses 1'!$B$2:$B$2604,'Form responses 1'!$D$2:$D$2604,""))</f>
        <v>0815321512124</v>
      </c>
      <c r="G794" s="44" t="str">
        <f t="array" ref="G794">IF(B794="","",_xlfn.XLOOKUP(B794,'Form responses 1'!$B$2:$B$2604,'Form responses 1'!$E$2:$E$2604,""))</f>
        <v>ROYA</v>
      </c>
      <c r="H794" s="44" t="str">
        <f t="array" ref="H794">IF(B794="","",_xlfn.XLOOKUP(B794,'Form responses 1'!$B$2:$B$2604,'Form responses 1'!$F$2:$F$2604,""))</f>
        <v>HM 683/JAGABAYA III</v>
      </c>
      <c r="I794" s="44" t="str">
        <f t="array" ref="I794">IF(B794="","",_xlfn.XLOOKUP(B794,'Form responses 1'!$B$2:$B$2604,'Form responses 1'!$I$2:$I$2604,""))</f>
        <v>JAGABAYA III</v>
      </c>
      <c r="J794" s="44" t="str">
        <f t="array" ref="J794">IF(B794="","",_xlfn.XLOOKUP(B794,'Form responses 1'!$B$2:$B$2604,'Form responses 1'!$G$2:$G$2604,""))</f>
        <v>Deby</v>
      </c>
      <c r="K794" s="41" t="s">
        <v>1233</v>
      </c>
      <c r="L794" s="52">
        <f t="shared" si="7"/>
        <v>45607.57003</v>
      </c>
      <c r="M794" s="49"/>
      <c r="N794" s="49"/>
      <c r="O794" s="49"/>
      <c r="P794" s="49"/>
      <c r="Q794" s="49"/>
      <c r="R794" s="49"/>
      <c r="S794" s="49"/>
      <c r="T794" s="49"/>
      <c r="U794" s="49"/>
      <c r="V794" s="49"/>
      <c r="W794" s="41" t="s">
        <v>618</v>
      </c>
      <c r="X794" s="46">
        <f t="shared" si="5"/>
        <v>45607.57007</v>
      </c>
      <c r="Y794" s="50" t="s">
        <v>482</v>
      </c>
      <c r="Z794" s="49">
        <f t="shared" si="6"/>
        <v>0</v>
      </c>
    </row>
    <row r="795" ht="22.5" customHeight="1">
      <c r="B795" s="41" t="s">
        <v>3769</v>
      </c>
      <c r="C795" s="43">
        <f t="array" ref="C795">IF(B795="","",_xlfn.XLOOKUP(B795,'Form responses 1'!$B$2:$B$2604,'Form responses 1'!$A$2:$A$2604,""))</f>
        <v>45602.44993</v>
      </c>
      <c r="D795" s="44" t="str">
        <f t="shared" si="3"/>
        <v>L/13/061124/1_45602.4499284722</v>
      </c>
      <c r="E795" s="44" t="str">
        <f t="array" ref="E795">IF(B795="","",_xlfn.XLOOKUP(B795,'Form responses 1'!$B$2:$B$2604,'Form responses 1'!$C$2:$C$2604,""))</f>
        <v>WAYAN DARMIYATI</v>
      </c>
      <c r="F795" s="44" t="str">
        <f t="array" ref="F795">IF(B795="","",_xlfn.XLOOKUP(B795,'Form responses 1'!$B$2:$B$2604,'Form responses 1'!$D$2:$D$2604,""))</f>
        <v>081367766357</v>
      </c>
      <c r="G795" s="44" t="str">
        <f t="array" ref="G795">IF(B795="","",_xlfn.XLOOKUP(B795,'Form responses 1'!$B$2:$B$2604,'Form responses 1'!$E$2:$E$2604,""))</f>
        <v>PERTAMA KALI</v>
      </c>
      <c r="H795" s="44" t="str">
        <f t="array" ref="H795">IF(B795="","",_xlfn.XLOOKUP(B795,'Form responses 1'!$B$2:$B$2604,'Form responses 1'!$F$2:$F$2604,""))</f>
        <v>RAJABASA JAYA</v>
      </c>
      <c r="I795" s="44" t="str">
        <f t="array" ref="I795">IF(B795="","",_xlfn.XLOOKUP(B795,'Form responses 1'!$B$2:$B$2604,'Form responses 1'!$I$2:$I$2604,""))</f>
        <v>RAJABASA JAYA</v>
      </c>
      <c r="J795" s="44" t="str">
        <f t="array" ref="J795">IF(B795="","",_xlfn.XLOOKUP(B795,'Form responses 1'!$B$2:$B$2604,'Form responses 1'!$G$2:$G$2604,""))</f>
        <v>Deby</v>
      </c>
      <c r="K795" s="41" t="s">
        <v>1233</v>
      </c>
      <c r="L795" s="52">
        <f t="shared" si="7"/>
        <v>45607.61372</v>
      </c>
      <c r="M795" s="49"/>
      <c r="N795" s="49"/>
      <c r="O795" s="49"/>
      <c r="P795" s="49"/>
      <c r="Q795" s="49"/>
      <c r="R795" s="49"/>
      <c r="S795" s="49"/>
      <c r="T795" s="49"/>
      <c r="U795" s="49"/>
      <c r="V795" s="49"/>
      <c r="W795" s="41" t="s">
        <v>470</v>
      </c>
      <c r="X795" s="46">
        <f t="shared" si="5"/>
        <v>45607.61375</v>
      </c>
      <c r="Y795" s="50" t="s">
        <v>482</v>
      </c>
      <c r="Z795" s="49">
        <f t="shared" si="6"/>
        <v>0</v>
      </c>
    </row>
    <row r="796" ht="22.5" customHeight="1">
      <c r="B796" s="41" t="s">
        <v>4314</v>
      </c>
      <c r="C796" s="43">
        <f t="array" ref="C796">IF(B796="","",_xlfn.XLOOKUP(B796,'Form responses 1'!$B$2:$B$2604,'Form responses 1'!$A$2:$A$2604,""))</f>
        <v>45604.63318</v>
      </c>
      <c r="D796" s="44" t="str">
        <f t="shared" si="3"/>
        <v>K/51/081124/1_45604.6331790046</v>
      </c>
      <c r="E796" s="44" t="str">
        <f t="array" ref="E796">IF(B796="","",_xlfn.XLOOKUP(B796,'Form responses 1'!$B$2:$B$2604,'Form responses 1'!$C$2:$C$2604,""))</f>
        <v>RENI FEBRIANI / YUNINGSIH AMBARYANI</v>
      </c>
      <c r="F796" s="44" t="str">
        <f t="array" ref="F796">IF(B796="","",_xlfn.XLOOKUP(B796,'Form responses 1'!$B$2:$B$2604,'Form responses 1'!$D$2:$D$2604,""))</f>
        <v>+62 896-3367-4976</v>
      </c>
      <c r="G796" s="44" t="str">
        <f t="array" ref="G796">IF(B796="","",_xlfn.XLOOKUP(B796,'Form responses 1'!$B$2:$B$2604,'Form responses 1'!$E$2:$E$2604,""))</f>
        <v>BN HIBAH</v>
      </c>
      <c r="H796" s="44" t="str">
        <f t="array" ref="H796">IF(B796="","",_xlfn.XLOOKUP(B796,'Form responses 1'!$B$2:$B$2604,'Form responses 1'!$F$2:$F$2604,""))</f>
        <v>M. 541/ SAWAH LAMA</v>
      </c>
      <c r="I796" s="44" t="str">
        <f t="array" ref="I796">IF(B796="","",_xlfn.XLOOKUP(B796,'Form responses 1'!$B$2:$B$2604,'Form responses 1'!$I$2:$I$2604,""))</f>
        <v>SAWAH LAMA</v>
      </c>
      <c r="J796" s="44" t="str">
        <f t="array" ref="J796">IF(B796="","",_xlfn.XLOOKUP(B796,'Form responses 1'!$B$2:$B$2604,'Form responses 1'!$G$2:$G$2604,""))</f>
        <v>Aisyah</v>
      </c>
      <c r="K796" s="41" t="s">
        <v>5390</v>
      </c>
      <c r="L796" s="52">
        <f t="shared" si="7"/>
        <v>45607.65617</v>
      </c>
      <c r="M796" s="49"/>
      <c r="N796" s="49"/>
      <c r="O796" s="49"/>
      <c r="P796" s="49"/>
      <c r="Q796" s="49"/>
      <c r="R796" s="49"/>
      <c r="S796" s="49"/>
      <c r="T796" s="49"/>
      <c r="U796" s="49"/>
      <c r="V796" s="49"/>
      <c r="W796" s="41" t="s">
        <v>618</v>
      </c>
      <c r="X796" s="46">
        <f t="shared" si="5"/>
        <v>45607.65624</v>
      </c>
      <c r="Y796" s="50" t="s">
        <v>482</v>
      </c>
      <c r="Z796" s="49">
        <f t="shared" si="6"/>
        <v>0</v>
      </c>
    </row>
    <row r="797" ht="22.5" customHeight="1">
      <c r="B797" s="41" t="s">
        <v>4163</v>
      </c>
      <c r="C797" s="43">
        <f t="array" ref="C797">IF(B797="","",_xlfn.XLOOKUP(B797,'Form responses 1'!$B$2:$B$2604,'Form responses 1'!$A$2:$A$2604,""))</f>
        <v>45604.4317</v>
      </c>
      <c r="D797" s="44" t="str">
        <f t="shared" si="3"/>
        <v>L/13/081124/1_45604.431702662</v>
      </c>
      <c r="E797" s="44" t="str">
        <f t="array" ref="E797">IF(B797="","",_xlfn.XLOOKUP(B797,'Form responses 1'!$B$2:$B$2604,'Form responses 1'!$C$2:$C$2604,""))</f>
        <v>SUTOYO</v>
      </c>
      <c r="F797" s="44" t="str">
        <f t="array" ref="F797">IF(B797="","",_xlfn.XLOOKUP(B797,'Form responses 1'!$B$2:$B$2604,'Form responses 1'!$D$2:$D$2604,""))</f>
        <v>082186447011</v>
      </c>
      <c r="G797" s="44" t="str">
        <f t="array" ref="G797">IF(B797="","",_xlfn.XLOOKUP(B797,'Form responses 1'!$B$2:$B$2604,'Form responses 1'!$E$2:$E$2604,""))</f>
        <v>ROYA</v>
      </c>
      <c r="H797" s="44" t="str">
        <f t="array" ref="H797">IF(B797="","",_xlfn.XLOOKUP(B797,'Form responses 1'!$B$2:$B$2604,'Form responses 1'!$F$2:$F$2604,""))</f>
        <v>HM 271/RAJABSA NUNYAI</v>
      </c>
      <c r="I797" s="44" t="str">
        <f t="array" ref="I797">IF(B797="","",_xlfn.XLOOKUP(B797,'Form responses 1'!$B$2:$B$2604,'Form responses 1'!$I$2:$I$2604,""))</f>
        <v>RAJABASA NUNYAI</v>
      </c>
      <c r="J797" s="44" t="str">
        <f t="array" ref="J797">IF(B797="","",_xlfn.XLOOKUP(B797,'Form responses 1'!$B$2:$B$2604,'Form responses 1'!$G$2:$G$2604,""))</f>
        <v>Deby</v>
      </c>
      <c r="K797" s="41" t="s">
        <v>5390</v>
      </c>
      <c r="L797" s="52">
        <f t="shared" si="7"/>
        <v>45607.65647</v>
      </c>
      <c r="M797" s="49"/>
      <c r="N797" s="49"/>
      <c r="O797" s="49"/>
      <c r="P797" s="49"/>
      <c r="Q797" s="49"/>
      <c r="R797" s="49"/>
      <c r="S797" s="49"/>
      <c r="T797" s="49"/>
      <c r="U797" s="49"/>
      <c r="V797" s="49"/>
      <c r="W797" s="41" t="s">
        <v>618</v>
      </c>
      <c r="X797" s="46">
        <f t="shared" si="5"/>
        <v>45607.65652</v>
      </c>
      <c r="Y797" s="50" t="s">
        <v>482</v>
      </c>
      <c r="Z797" s="49">
        <f t="shared" si="6"/>
        <v>0</v>
      </c>
    </row>
    <row r="798" ht="22.5" customHeight="1">
      <c r="B798" s="41" t="s">
        <v>3736</v>
      </c>
      <c r="C798" s="43">
        <f t="array" ref="C798">IF(B798="","",_xlfn.XLOOKUP(B798,'Form responses 1'!$B$2:$B$2604,'Form responses 1'!$A$2:$A$2604,""))</f>
        <v>45602.3918</v>
      </c>
      <c r="D798" s="44" t="str">
        <f t="shared" si="3"/>
        <v>K/5/061124/1_45602.3917970949</v>
      </c>
      <c r="E798" s="44" t="str">
        <f t="array" ref="E798">IF(B798="","",_xlfn.XLOOKUP(B798,'Form responses 1'!$B$2:$B$2604,'Form responses 1'!$C$2:$C$2604,""))</f>
        <v>Abdul Gani/ Suhari Y</v>
      </c>
      <c r="F798" s="44" t="str">
        <f t="array" ref="F798">IF(B798="","",_xlfn.XLOOKUP(B798,'Form responses 1'!$B$2:$B$2604,'Form responses 1'!$D$2:$D$2604,""))</f>
        <v>+62 895-6401-98434</v>
      </c>
      <c r="G798" s="44" t="str">
        <f t="array" ref="G798">IF(B798="","",_xlfn.XLOOKUP(B798,'Form responses 1'!$B$2:$B$2604,'Form responses 1'!$E$2:$E$2604,""))</f>
        <v>Pemecahan</v>
      </c>
      <c r="H798" s="44" t="str">
        <f t="array" ref="H798">IF(B798="","",_xlfn.XLOOKUP(B798,'Form responses 1'!$B$2:$B$2604,'Form responses 1'!$F$2:$F$2604,""))</f>
        <v>M. 534/ Sumberrejo Sejahtera</v>
      </c>
      <c r="I798" s="44" t="str">
        <f t="array" ref="I798">IF(B798="","",_xlfn.XLOOKUP(B798,'Form responses 1'!$B$2:$B$2604,'Form responses 1'!$I$2:$I$2604,""))</f>
        <v>Sumberrejo Sejahtera</v>
      </c>
      <c r="J798" s="44" t="str">
        <f t="array" ref="J798">IF(B798="","",_xlfn.XLOOKUP(B798,'Form responses 1'!$B$2:$B$2604,'Form responses 1'!$G$2:$G$2604,""))</f>
        <v>Rapita</v>
      </c>
      <c r="K798" s="41" t="s">
        <v>5390</v>
      </c>
      <c r="L798" s="52">
        <f t="shared" si="7"/>
        <v>45607.65681</v>
      </c>
      <c r="M798" s="49"/>
      <c r="N798" s="49"/>
      <c r="O798" s="49"/>
      <c r="P798" s="49"/>
      <c r="Q798" s="49"/>
      <c r="R798" s="49"/>
      <c r="S798" s="49"/>
      <c r="T798" s="49"/>
      <c r="U798" s="49"/>
      <c r="V798" s="49"/>
      <c r="W798" s="41" t="s">
        <v>618</v>
      </c>
      <c r="X798" s="46">
        <f t="shared" si="5"/>
        <v>45607.65685</v>
      </c>
      <c r="Y798" s="50" t="s">
        <v>482</v>
      </c>
      <c r="Z798" s="49">
        <f t="shared" si="6"/>
        <v>0</v>
      </c>
    </row>
    <row r="799" ht="22.5" customHeight="1">
      <c r="B799" s="41" t="s">
        <v>2898</v>
      </c>
      <c r="C799" s="43">
        <f t="array" ref="C799">IF(B799="","",_xlfn.XLOOKUP(B799,'Form responses 1'!$B$2:$B$2604,'Form responses 1'!$A$2:$A$2604,""))</f>
        <v>45596.4267</v>
      </c>
      <c r="D799" s="44" t="str">
        <f t="shared" si="3"/>
        <v>K/10/311024/4_45596.4266966782</v>
      </c>
      <c r="E799" s="44" t="str">
        <f t="array" ref="E799">IF(B799="","",_xlfn.XLOOKUP(B799,'Form responses 1'!$B$2:$B$2604,'Form responses 1'!$C$2:$C$2604,""))</f>
        <v>NOVI FIRDAYANTI CS/EDYAWATI</v>
      </c>
      <c r="F799" s="44" t="str">
        <f t="array" ref="F799">IF(B799="","",_xlfn.XLOOKUP(B799,'Form responses 1'!$B$2:$B$2604,'Form responses 1'!$D$2:$D$2604,""))</f>
        <v>081541360418</v>
      </c>
      <c r="G799" s="44" t="str">
        <f t="array" ref="G799">IF(B799="","",_xlfn.XLOOKUP(B799,'Form responses 1'!$B$2:$B$2604,'Form responses 1'!$E$2:$E$2604,""))</f>
        <v>KEWARISAN</v>
      </c>
      <c r="H799" s="44" t="str">
        <f t="array" ref="H799">IF(B799="","",_xlfn.XLOOKUP(B799,'Form responses 1'!$B$2:$B$2604,'Form responses 1'!$F$2:$F$2604,""))</f>
        <v>M.1563/KEMILING PERMAI</v>
      </c>
      <c r="I799" s="44" t="str">
        <f t="array" ref="I799">IF(B799="","",_xlfn.XLOOKUP(B799,'Form responses 1'!$B$2:$B$2604,'Form responses 1'!$I$2:$I$2604,""))</f>
        <v>KEMILING PERMAI</v>
      </c>
      <c r="J799" s="44" t="str">
        <f t="array" ref="J799">IF(B799="","",_xlfn.XLOOKUP(B799,'Form responses 1'!$B$2:$B$2604,'Form responses 1'!$G$2:$G$2604,""))</f>
        <v>Baynur</v>
      </c>
      <c r="K799" s="41" t="s">
        <v>5390</v>
      </c>
      <c r="L799" s="52">
        <f t="shared" si="7"/>
        <v>45607.65715</v>
      </c>
      <c r="M799" s="49"/>
      <c r="N799" s="49"/>
      <c r="O799" s="49"/>
      <c r="P799" s="49"/>
      <c r="Q799" s="49"/>
      <c r="R799" s="49"/>
      <c r="S799" s="49"/>
      <c r="T799" s="49"/>
      <c r="U799" s="49"/>
      <c r="V799" s="49"/>
      <c r="W799" s="41" t="s">
        <v>618</v>
      </c>
      <c r="X799" s="46">
        <f t="shared" si="5"/>
        <v>45607.6572</v>
      </c>
      <c r="Y799" s="50" t="s">
        <v>482</v>
      </c>
      <c r="Z799" s="49">
        <f t="shared" si="6"/>
        <v>0</v>
      </c>
    </row>
    <row r="800" ht="22.5" customHeight="1">
      <c r="B800" s="41" t="s">
        <v>1155</v>
      </c>
      <c r="C800" s="43">
        <f t="array" ref="C800">IF(B800="","",_xlfn.XLOOKUP(B800,'Form responses 1'!$B$2:$B$2604,'Form responses 1'!$A$2:$A$2604,""))</f>
        <v>45583.62462</v>
      </c>
      <c r="D800" s="44" t="str">
        <f t="shared" si="3"/>
        <v>K/45/181024/1_45583.624623831</v>
      </c>
      <c r="E800" s="44" t="str">
        <f t="array" ref="E800">IF(B800="","",_xlfn.XLOOKUP(B800,'Form responses 1'!$B$2:$B$2604,'Form responses 1'!$C$2:$C$2604,""))</f>
        <v>SITI KHONNIA/ANDRI NOVIAR</v>
      </c>
      <c r="F800" s="44" t="str">
        <f t="array" ref="F800">IF(B800="","",_xlfn.XLOOKUP(B800,'Form responses 1'!$B$2:$B$2604,'Form responses 1'!$D$2:$D$2604,""))</f>
        <v>0899-6468-550</v>
      </c>
      <c r="G800" s="44" t="str">
        <f t="array" ref="G800">IF(B800="","",_xlfn.XLOOKUP(B800,'Form responses 1'!$B$2:$B$2604,'Form responses 1'!$E$2:$E$2604,""))</f>
        <v>KEWARISAN</v>
      </c>
      <c r="H800" s="44" t="str">
        <f t="array" ref="H800">IF(B800="","",_xlfn.XLOOKUP(B800,'Form responses 1'!$B$2:$B$2604,'Form responses 1'!$F$2:$F$2604,""))</f>
        <v>M.2473/RAJABASA JAYA</v>
      </c>
      <c r="I800" s="44" t="str">
        <f t="array" ref="I800">IF(B800="","",_xlfn.XLOOKUP(B800,'Form responses 1'!$B$2:$B$2604,'Form responses 1'!$I$2:$I$2604,""))</f>
        <v>RAJABASA JAYA</v>
      </c>
      <c r="J800" s="44" t="str">
        <f t="array" ref="J800">IF(B800="","",_xlfn.XLOOKUP(B800,'Form responses 1'!$B$2:$B$2604,'Form responses 1'!$G$2:$G$2604,""))</f>
        <v>Baynur</v>
      </c>
      <c r="K800" s="41" t="s">
        <v>5390</v>
      </c>
      <c r="L800" s="52">
        <f t="shared" si="7"/>
        <v>45607.65766</v>
      </c>
      <c r="M800" s="49"/>
      <c r="N800" s="49"/>
      <c r="O800" s="49"/>
      <c r="P800" s="49"/>
      <c r="Q800" s="49"/>
      <c r="R800" s="49"/>
      <c r="S800" s="49"/>
      <c r="T800" s="49"/>
      <c r="U800" s="49"/>
      <c r="V800" s="49"/>
      <c r="W800" s="41" t="s">
        <v>618</v>
      </c>
      <c r="X800" s="46">
        <f t="shared" si="5"/>
        <v>45607.65771</v>
      </c>
      <c r="Y800" s="50" t="s">
        <v>482</v>
      </c>
      <c r="Z800" s="49">
        <f t="shared" si="6"/>
        <v>0</v>
      </c>
    </row>
    <row r="801" ht="22.5" customHeight="1">
      <c r="B801" s="41" t="s">
        <v>3728</v>
      </c>
      <c r="C801" s="43">
        <f t="array" ref="C801">IF(B801="","",_xlfn.XLOOKUP(B801,'Form responses 1'!$B$2:$B$2604,'Form responses 1'!$A$2:$A$2604,""))</f>
        <v>45602.3748</v>
      </c>
      <c r="D801" s="44" t="str">
        <f t="shared" si="3"/>
        <v>K/3/061124/2_45602.3747997917</v>
      </c>
      <c r="E801" s="44" t="str">
        <f t="array" ref="E801">IF(B801="","",_xlfn.XLOOKUP(B801,'Form responses 1'!$B$2:$B$2604,'Form responses 1'!$C$2:$C$2604,""))</f>
        <v>AHMAD HUSIN DAULAY/CITRA AYU WARDANI</v>
      </c>
      <c r="F801" s="44" t="str">
        <f t="array" ref="F801">IF(B801="","",_xlfn.XLOOKUP(B801,'Form responses 1'!$B$2:$B$2604,'Form responses 1'!$D$2:$D$2604,""))</f>
        <v>089633785366</v>
      </c>
      <c r="G801" s="44" t="str">
        <f t="array" ref="G801">IF(B801="","",_xlfn.XLOOKUP(B801,'Form responses 1'!$B$2:$B$2604,'Form responses 1'!$E$2:$E$2604,""))</f>
        <v>PENGUKURAN ULANG</v>
      </c>
      <c r="H801" s="44" t="str">
        <f t="array" ref="H801">IF(B801="","",_xlfn.XLOOKUP(B801,'Form responses 1'!$B$2:$B$2604,'Form responses 1'!$F$2:$F$2604,""))</f>
        <v>M.1588/SUMUR BATU</v>
      </c>
      <c r="I801" s="44" t="str">
        <f t="array" ref="I801">IF(B801="","",_xlfn.XLOOKUP(B801,'Form responses 1'!$B$2:$B$2604,'Form responses 1'!$I$2:$I$2604,""))</f>
        <v>SUMUR BATU</v>
      </c>
      <c r="J801" s="44" t="str">
        <f t="array" ref="J801">IF(B801="","",_xlfn.XLOOKUP(B801,'Form responses 1'!$B$2:$B$2604,'Form responses 1'!$G$2:$G$2604,""))</f>
        <v>Baynur</v>
      </c>
      <c r="K801" s="41" t="s">
        <v>5390</v>
      </c>
      <c r="L801" s="52">
        <f t="shared" si="7"/>
        <v>45607.65793</v>
      </c>
      <c r="M801" s="49"/>
      <c r="N801" s="49"/>
      <c r="O801" s="49"/>
      <c r="P801" s="49"/>
      <c r="Q801" s="49"/>
      <c r="R801" s="49"/>
      <c r="S801" s="49"/>
      <c r="T801" s="49"/>
      <c r="U801" s="49"/>
      <c r="V801" s="49"/>
      <c r="W801" s="41" t="s">
        <v>618</v>
      </c>
      <c r="X801" s="46">
        <f t="shared" si="5"/>
        <v>45607.65798</v>
      </c>
      <c r="Y801" s="50" t="s">
        <v>482</v>
      </c>
      <c r="Z801" s="49">
        <f t="shared" si="6"/>
        <v>0</v>
      </c>
    </row>
    <row r="802" ht="22.5" customHeight="1">
      <c r="B802" s="41" t="s">
        <v>3896</v>
      </c>
      <c r="C802" s="43">
        <f t="array" ref="C802">IF(B802="","",_xlfn.XLOOKUP(B802,'Form responses 1'!$B$2:$B$2604,'Form responses 1'!$A$2:$A$2604,""))</f>
        <v>45602.6093</v>
      </c>
      <c r="D802" s="44" t="str">
        <f t="shared" si="3"/>
        <v>K/43/061124/1_45602.6092995139</v>
      </c>
      <c r="E802" s="44" t="str">
        <f t="array" ref="E802">IF(B802="","",_xlfn.XLOOKUP(B802,'Form responses 1'!$B$2:$B$2604,'Form responses 1'!$C$2:$C$2604,""))</f>
        <v>TITIK WIJAYANTI</v>
      </c>
      <c r="F802" s="44" t="str">
        <f t="array" ref="F802">IF(B802="","",_xlfn.XLOOKUP(B802,'Form responses 1'!$B$2:$B$2604,'Form responses 1'!$D$2:$D$2604,""))</f>
        <v>+62 813-6935-0683</v>
      </c>
      <c r="G802" s="44" t="str">
        <f t="array" ref="G802">IF(B802="","",_xlfn.XLOOKUP(B802,'Form responses 1'!$B$2:$B$2604,'Form responses 1'!$E$2:$E$2604,""))</f>
        <v>SKPT LELANG</v>
      </c>
      <c r="H802" s="44" t="str">
        <f t="array" ref="H802">IF(B802="","",_xlfn.XLOOKUP(B802,'Form responses 1'!$B$2:$B$2604,'Form responses 1'!$F$2:$F$2604,""))</f>
        <v>M. 11916/ tanjung baru</v>
      </c>
      <c r="I802" s="44" t="str">
        <f t="array" ref="I802">IF(B802="","",_xlfn.XLOOKUP(B802,'Form responses 1'!$B$2:$B$2604,'Form responses 1'!$I$2:$I$2604,""))</f>
        <v>JAGABAYA III</v>
      </c>
      <c r="J802" s="44" t="str">
        <f t="array" ref="J802">IF(B802="","",_xlfn.XLOOKUP(B802,'Form responses 1'!$B$2:$B$2604,'Form responses 1'!$G$2:$G$2604,""))</f>
        <v>Hananda</v>
      </c>
      <c r="K802" s="41" t="s">
        <v>5390</v>
      </c>
      <c r="L802" s="52">
        <f t="shared" si="7"/>
        <v>45607.65828</v>
      </c>
      <c r="M802" s="49"/>
      <c r="N802" s="49"/>
      <c r="O802" s="49"/>
      <c r="P802" s="49"/>
      <c r="Q802" s="49"/>
      <c r="R802" s="49"/>
      <c r="S802" s="49"/>
      <c r="T802" s="49"/>
      <c r="U802" s="49"/>
      <c r="V802" s="49"/>
      <c r="W802" s="41" t="s">
        <v>618</v>
      </c>
      <c r="X802" s="46">
        <f t="shared" si="5"/>
        <v>45607.65833</v>
      </c>
      <c r="Y802" s="50" t="s">
        <v>482</v>
      </c>
      <c r="Z802" s="49">
        <f t="shared" si="6"/>
        <v>0</v>
      </c>
    </row>
    <row r="803" ht="22.5" customHeight="1">
      <c r="B803" s="41" t="s">
        <v>3819</v>
      </c>
      <c r="C803" s="43">
        <f t="array" ref="C803">IF(B803="","",_xlfn.XLOOKUP(B803,'Form responses 1'!$B$2:$B$2604,'Form responses 1'!$A$2:$A$2604,""))</f>
        <v>45602.5543</v>
      </c>
      <c r="D803" s="44" t="str">
        <f t="shared" si="3"/>
        <v>K/25/061124/1_45602.5542993518</v>
      </c>
      <c r="E803" s="44" t="str">
        <f t="array" ref="E803">IF(B803="","",_xlfn.XLOOKUP(B803,'Form responses 1'!$B$2:$B$2604,'Form responses 1'!$C$2:$C$2604,""))</f>
        <v>BUDI K/ GERRY GIOVANNI</v>
      </c>
      <c r="F803" s="44" t="str">
        <f t="array" ref="F803">IF(B803="","",_xlfn.XLOOKUP(B803,'Form responses 1'!$B$2:$B$2604,'Form responses 1'!$D$2:$D$2604,""))</f>
        <v>+62 858-6816-7367</v>
      </c>
      <c r="G803" s="44" t="str">
        <f t="array" ref="G803">IF(B803="","",_xlfn.XLOOKUP(B803,'Form responses 1'!$B$2:$B$2604,'Form responses 1'!$E$2:$E$2604,""))</f>
        <v>PERUBAHAN HAK</v>
      </c>
      <c r="H803" s="44" t="str">
        <f t="array" ref="H803">IF(B803="","",_xlfn.XLOOKUP(B803,'Form responses 1'!$B$2:$B$2604,'Form responses 1'!$F$2:$F$2604,""))</f>
        <v>Nibel 1278/ Gunung terang</v>
      </c>
      <c r="I803" s="44" t="str">
        <f t="array" ref="I803">IF(B803="","",_xlfn.XLOOKUP(B803,'Form responses 1'!$B$2:$B$2604,'Form responses 1'!$I$2:$I$2604,""))</f>
        <v>Gunung terang</v>
      </c>
      <c r="J803" s="44" t="str">
        <f t="array" ref="J803">IF(B803="","",_xlfn.XLOOKUP(B803,'Form responses 1'!$B$2:$B$2604,'Form responses 1'!$G$2:$G$2604,""))</f>
        <v>Hananda</v>
      </c>
      <c r="K803" s="41" t="s">
        <v>5390</v>
      </c>
      <c r="L803" s="52">
        <f t="shared" si="7"/>
        <v>45607.65851</v>
      </c>
      <c r="M803" s="49"/>
      <c r="N803" s="49"/>
      <c r="O803" s="49"/>
      <c r="P803" s="49"/>
      <c r="Q803" s="49"/>
      <c r="R803" s="49"/>
      <c r="S803" s="49"/>
      <c r="T803" s="49"/>
      <c r="U803" s="49"/>
      <c r="V803" s="49"/>
      <c r="W803" s="41" t="s">
        <v>618</v>
      </c>
      <c r="X803" s="46">
        <f t="shared" si="5"/>
        <v>45607.65855</v>
      </c>
      <c r="Y803" s="50" t="s">
        <v>482</v>
      </c>
      <c r="Z803" s="49">
        <f t="shared" si="6"/>
        <v>0</v>
      </c>
    </row>
    <row r="804" ht="22.5" customHeight="1">
      <c r="B804" s="41" t="s">
        <v>3746</v>
      </c>
      <c r="C804" s="43">
        <f t="array" ref="C804">IF(B804="","",_xlfn.XLOOKUP(B804,'Form responses 1'!$B$2:$B$2604,'Form responses 1'!$A$2:$A$2604,""))</f>
        <v>45602.4145</v>
      </c>
      <c r="D804" s="44" t="str">
        <f t="shared" si="3"/>
        <v>K/9/061124/1_45602.4144990856</v>
      </c>
      <c r="E804" s="44" t="str">
        <f t="array" ref="E804">IF(B804="","",_xlfn.XLOOKUP(B804,'Form responses 1'!$B$2:$B$2604,'Form responses 1'!$C$2:$C$2604,""))</f>
        <v>SUGIARNO/ ADITYA</v>
      </c>
      <c r="F804" s="44" t="str">
        <f t="array" ref="F804">IF(B804="","",_xlfn.XLOOKUP(B804,'Form responses 1'!$B$2:$B$2604,'Form responses 1'!$D$2:$D$2604,""))</f>
        <v>082179705566</v>
      </c>
      <c r="G804" s="44" t="str">
        <f t="array" ref="G804">IF(B804="","",_xlfn.XLOOKUP(B804,'Form responses 1'!$B$2:$B$2604,'Form responses 1'!$E$2:$E$2604,""))</f>
        <v>BN LELANG</v>
      </c>
      <c r="H804" s="44" t="str">
        <f t="array" ref="H804">IF(B804="","",_xlfn.XLOOKUP(B804,'Form responses 1'!$B$2:$B$2604,'Form responses 1'!$F$2:$F$2604,""))</f>
        <v>Nibel 7188/ Gunung Sulah</v>
      </c>
      <c r="I804" s="44" t="str">
        <f t="array" ref="I804">IF(B804="","",_xlfn.XLOOKUP(B804,'Form responses 1'!$B$2:$B$2604,'Form responses 1'!$I$2:$I$2604,""))</f>
        <v> Gunung Sulah</v>
      </c>
      <c r="J804" s="44" t="str">
        <f t="array" ref="J804">IF(B804="","",_xlfn.XLOOKUP(B804,'Form responses 1'!$B$2:$B$2604,'Form responses 1'!$G$2:$G$2604,""))</f>
        <v>Hananda</v>
      </c>
      <c r="K804" s="41" t="s">
        <v>5390</v>
      </c>
      <c r="L804" s="52">
        <f t="shared" si="7"/>
        <v>45607.65882</v>
      </c>
      <c r="M804" s="49"/>
      <c r="N804" s="49"/>
      <c r="O804" s="49"/>
      <c r="P804" s="49"/>
      <c r="Q804" s="49"/>
      <c r="R804" s="49"/>
      <c r="S804" s="49"/>
      <c r="T804" s="49"/>
      <c r="U804" s="49"/>
      <c r="V804" s="49"/>
      <c r="W804" s="41" t="s">
        <v>618</v>
      </c>
      <c r="X804" s="46">
        <f t="shared" si="5"/>
        <v>45607.65886</v>
      </c>
      <c r="Y804" s="50" t="s">
        <v>482</v>
      </c>
      <c r="Z804" s="49">
        <f t="shared" si="6"/>
        <v>0</v>
      </c>
    </row>
    <row r="805" ht="22.5" customHeight="1">
      <c r="B805" s="41" t="s">
        <v>176</v>
      </c>
      <c r="C805" s="43">
        <f t="array" ref="C805">IF(B805="","",_xlfn.XLOOKUP(B805,'Form responses 1'!$B$2:$B$2604,'Form responses 1'!$A$2:$A$2604,""))</f>
        <v>45579.5919</v>
      </c>
      <c r="D805" s="44" t="str">
        <f t="shared" si="3"/>
        <v>L/34/141024/1_45579.5919022454</v>
      </c>
      <c r="E805" s="44" t="str">
        <f t="array" ref="E805">IF(B805="","",_xlfn.XLOOKUP(B805,'Form responses 1'!$B$2:$B$2604,'Form responses 1'!$C$2:$C$2604,""))</f>
        <v>RENNY SILALAHI</v>
      </c>
      <c r="F805" s="44" t="str">
        <f t="array" ref="F805">IF(B805="","",_xlfn.XLOOKUP(B805,'Form responses 1'!$B$2:$B$2604,'Form responses 1'!$D$2:$D$2604,""))</f>
        <v>08127222057</v>
      </c>
      <c r="G805" s="44" t="str">
        <f t="array" ref="G805">IF(B805="","",_xlfn.XLOOKUP(B805,'Form responses 1'!$B$2:$B$2604,'Form responses 1'!$E$2:$E$2604,""))</f>
        <v>PERTAMA KALI</v>
      </c>
      <c r="H805" s="44" t="str">
        <f t="array" ref="H805">IF(B805="","",_xlfn.XLOOKUP(B805,'Form responses 1'!$B$2:$B$2604,'Form responses 1'!$F$2:$F$2604,""))</f>
        <v>KORPRI JAYA</v>
      </c>
      <c r="I805" s="44" t="str">
        <f t="array" ref="I805">IF(B805="","",_xlfn.XLOOKUP(B805,'Form responses 1'!$B$2:$B$2604,'Form responses 1'!$I$2:$I$2604,""))</f>
        <v>SUKARAME</v>
      </c>
      <c r="J805" s="44" t="str">
        <f t="array" ref="J805">IF(B805="","",_xlfn.XLOOKUP(B805,'Form responses 1'!$B$2:$B$2604,'Form responses 1'!$G$2:$G$2604,""))</f>
        <v>Deby</v>
      </c>
      <c r="K805" s="41" t="s">
        <v>5390</v>
      </c>
      <c r="L805" s="52">
        <f t="shared" si="7"/>
        <v>45607.65919</v>
      </c>
      <c r="M805" s="47" t="s">
        <v>5639</v>
      </c>
      <c r="N805" s="49"/>
      <c r="O805" s="49"/>
      <c r="P805" s="49"/>
      <c r="Q805" s="49"/>
      <c r="R805" s="49"/>
      <c r="S805" s="49"/>
      <c r="T805" s="49"/>
      <c r="U805" s="49"/>
      <c r="V805" s="49"/>
      <c r="W805" s="41" t="s">
        <v>470</v>
      </c>
      <c r="X805" s="46">
        <f t="shared" si="5"/>
        <v>45607.65924</v>
      </c>
      <c r="Y805" s="50" t="s">
        <v>482</v>
      </c>
      <c r="Z805" s="49">
        <f t="shared" si="6"/>
        <v>1</v>
      </c>
    </row>
    <row r="806" ht="22.5" customHeight="1">
      <c r="B806" s="41" t="s">
        <v>3644</v>
      </c>
      <c r="C806" s="43">
        <f t="array" ref="C806">IF(B806="","",_xlfn.XLOOKUP(B806,'Form responses 1'!$B$2:$B$2604,'Form responses 1'!$A$2:$A$2604,""))</f>
        <v>45601.57948</v>
      </c>
      <c r="D806" s="44" t="str">
        <f t="shared" si="3"/>
        <v>L/45/051124/1_45601.5794753588</v>
      </c>
      <c r="E806" s="44" t="str">
        <f t="array" ref="E806">IF(B806="","",_xlfn.XLOOKUP(B806,'Form responses 1'!$B$2:$B$2604,'Form responses 1'!$C$2:$C$2604,""))</f>
        <v>ZAINAL ABIDIN</v>
      </c>
      <c r="F806" s="44" t="str">
        <f t="array" ref="F806">IF(B806="","",_xlfn.XLOOKUP(B806,'Form responses 1'!$B$2:$B$2604,'Form responses 1'!$D$2:$D$2604,""))</f>
        <v>089655573204</v>
      </c>
      <c r="G806" s="44" t="str">
        <f t="array" ref="G806">IF(B806="","",_xlfn.XLOOKUP(B806,'Form responses 1'!$B$2:$B$2604,'Form responses 1'!$E$2:$E$2604,""))</f>
        <v>ASPEK</v>
      </c>
      <c r="H806" s="44" t="str">
        <f t="array" ref="H806">IF(B806="","",_xlfn.XLOOKUP(B806,'Form responses 1'!$B$2:$B$2604,'Form responses 1'!$F$2:$F$2604,""))</f>
        <v>SURABAYA</v>
      </c>
      <c r="I806" s="44" t="str">
        <f t="array" ref="I806">IF(B806="","",_xlfn.XLOOKUP(B806,'Form responses 1'!$B$2:$B$2604,'Form responses 1'!$I$2:$I$2604,""))</f>
        <v>SURABAYA</v>
      </c>
      <c r="J806" s="44" t="str">
        <f t="array" ref="J806">IF(B806="","",_xlfn.XLOOKUP(B806,'Form responses 1'!$B$2:$B$2604,'Form responses 1'!$G$2:$G$2604,""))</f>
        <v>Deby</v>
      </c>
      <c r="K806" s="41" t="s">
        <v>1233</v>
      </c>
      <c r="L806" s="52">
        <f t="shared" si="7"/>
        <v>45607.67455</v>
      </c>
      <c r="M806" s="49"/>
      <c r="N806" s="49"/>
      <c r="O806" s="49"/>
      <c r="P806" s="49"/>
      <c r="Q806" s="49"/>
      <c r="R806" s="49"/>
      <c r="S806" s="49"/>
      <c r="T806" s="49"/>
      <c r="U806" s="49"/>
      <c r="V806" s="49"/>
      <c r="W806" s="41" t="s">
        <v>470</v>
      </c>
      <c r="X806" s="46">
        <f t="shared" si="5"/>
        <v>45610.53168</v>
      </c>
      <c r="Y806" s="50" t="s">
        <v>482</v>
      </c>
      <c r="Z806" s="49">
        <f t="shared" si="6"/>
        <v>0</v>
      </c>
    </row>
    <row r="807" ht="22.5" customHeight="1">
      <c r="B807" s="41" t="s">
        <v>4392</v>
      </c>
      <c r="C807" s="43">
        <f t="array" ref="C807">IF(B807="","",_xlfn.XLOOKUP(B807,'Form responses 1'!$B$2:$B$2604,'Form responses 1'!$A$2:$A$2604,""))</f>
        <v>45607.56835</v>
      </c>
      <c r="D807" s="44" t="str">
        <f t="shared" si="3"/>
        <v>K/19/111124/1_45607.5683470949</v>
      </c>
      <c r="E807" s="44" t="str">
        <f t="array" ref="E807">IF(B807="","",_xlfn.XLOOKUP(B807,'Form responses 1'!$B$2:$B$2604,'Form responses 1'!$C$2:$C$2604,""))</f>
        <v>Seruni W/ Nadila A</v>
      </c>
      <c r="F807" s="44" t="str">
        <f t="array" ref="F807">IF(B807="","",_xlfn.XLOOKUP(B807,'Form responses 1'!$B$2:$B$2604,'Form responses 1'!$D$2:$D$2604,""))</f>
        <v>+62 895-6092-80120</v>
      </c>
      <c r="G807" s="44" t="str">
        <f t="array" ref="G807">IF(B807="","",_xlfn.XLOOKUP(B807,'Form responses 1'!$B$2:$B$2604,'Form responses 1'!$E$2:$E$2604,""))</f>
        <v>BN Jual Beli</v>
      </c>
      <c r="H807" s="44" t="str">
        <f t="array" ref="H807">IF(B807="","",_xlfn.XLOOKUP(B807,'Form responses 1'!$B$2:$B$2604,'Form responses 1'!$F$2:$F$2604,""))</f>
        <v>M. 3209/ Labuhan Dalam</v>
      </c>
      <c r="I807" s="44" t="str">
        <f t="array" ref="I807">IF(B807="","",_xlfn.XLOOKUP(B807,'Form responses 1'!$B$2:$B$2604,'Form responses 1'!$I$2:$I$2604,""))</f>
        <v>Labuhan Dalam</v>
      </c>
      <c r="J807" s="44" t="str">
        <f t="array" ref="J807">IF(B807="","",_xlfn.XLOOKUP(B807,'Form responses 1'!$B$2:$B$2604,'Form responses 1'!$G$2:$G$2604,""))</f>
        <v>Rapita</v>
      </c>
      <c r="K807" s="41" t="s">
        <v>587</v>
      </c>
      <c r="L807" s="52">
        <f t="shared" si="7"/>
        <v>45608.42289</v>
      </c>
      <c r="M807" s="47" t="s">
        <v>5265</v>
      </c>
      <c r="N807" s="49"/>
      <c r="O807" s="49"/>
      <c r="P807" s="49"/>
      <c r="Q807" s="49"/>
      <c r="R807" s="49"/>
      <c r="S807" s="49"/>
      <c r="T807" s="49"/>
      <c r="U807" s="49"/>
      <c r="V807" s="49"/>
      <c r="W807" s="41" t="s">
        <v>618</v>
      </c>
      <c r="X807" s="46">
        <f t="shared" si="5"/>
        <v>45609.30283</v>
      </c>
      <c r="Y807" s="50" t="s">
        <v>482</v>
      </c>
      <c r="Z807" s="49">
        <f t="shared" si="6"/>
        <v>1</v>
      </c>
    </row>
    <row r="808" ht="22.5" customHeight="1">
      <c r="B808" s="41" t="s">
        <v>4352</v>
      </c>
      <c r="C808" s="43">
        <f t="array" ref="C808">IF(B808="","",_xlfn.XLOOKUP(B808,'Form responses 1'!$B$2:$B$2604,'Form responses 1'!$A$2:$A$2604,""))</f>
        <v>45607.42521</v>
      </c>
      <c r="D808" s="44" t="str">
        <f t="shared" si="3"/>
        <v>K/8/111124/1_45607.4252080556</v>
      </c>
      <c r="E808" s="44" t="str">
        <f t="array" ref="E808">IF(B808="","",_xlfn.XLOOKUP(B808,'Form responses 1'!$B$2:$B$2604,'Form responses 1'!$C$2:$C$2604,""))</f>
        <v>Yulian Suhandi/ Natasha S A</v>
      </c>
      <c r="F808" s="44" t="str">
        <f t="array" ref="F808">IF(B808="","",_xlfn.XLOOKUP(B808,'Form responses 1'!$B$2:$B$2604,'Form responses 1'!$D$2:$D$2604,""))</f>
        <v>081369428366</v>
      </c>
      <c r="G808" s="44" t="str">
        <f t="array" ref="G808">IF(B808="","",_xlfn.XLOOKUP(B808,'Form responses 1'!$B$2:$B$2604,'Form responses 1'!$E$2:$E$2604,""))</f>
        <v>BN Jual Beli</v>
      </c>
      <c r="H808" s="44" t="str">
        <f t="array" ref="H808">IF(B808="","",_xlfn.XLOOKUP(B808,'Form responses 1'!$B$2:$B$2604,'Form responses 1'!$F$2:$F$2604,""))</f>
        <v>M. 3347/ Kemiling Raya</v>
      </c>
      <c r="I808" s="44" t="str">
        <f t="array" ref="I808">IF(B808="","",_xlfn.XLOOKUP(B808,'Form responses 1'!$B$2:$B$2604,'Form responses 1'!$I$2:$I$2604,""))</f>
        <v>Kemiling Raya</v>
      </c>
      <c r="J808" s="44" t="str">
        <f t="array" ref="J808">IF(B808="","",_xlfn.XLOOKUP(B808,'Form responses 1'!$B$2:$B$2604,'Form responses 1'!$G$2:$G$2604,""))</f>
        <v>Rapita</v>
      </c>
      <c r="K808" s="41" t="s">
        <v>587</v>
      </c>
      <c r="L808" s="52">
        <f t="shared" si="7"/>
        <v>45608.42289</v>
      </c>
      <c r="M808" s="47" t="s">
        <v>470</v>
      </c>
      <c r="N808" s="49"/>
      <c r="O808" s="49"/>
      <c r="P808" s="49"/>
      <c r="Q808" s="49"/>
      <c r="R808" s="49"/>
      <c r="S808" s="49"/>
      <c r="T808" s="49"/>
      <c r="U808" s="49"/>
      <c r="V808" s="49"/>
      <c r="W808" s="41" t="s">
        <v>470</v>
      </c>
      <c r="X808" s="46">
        <f t="shared" si="5"/>
        <v>45609.30345</v>
      </c>
      <c r="Y808" s="50" t="s">
        <v>482</v>
      </c>
      <c r="Z808" s="49">
        <f t="shared" si="6"/>
        <v>1</v>
      </c>
    </row>
    <row r="809" ht="22.5" customHeight="1">
      <c r="B809" s="41" t="s">
        <v>4378</v>
      </c>
      <c r="C809" s="43">
        <f t="array" ref="C809">IF(B809="","",_xlfn.XLOOKUP(B809,'Form responses 1'!$B$2:$B$2604,'Form responses 1'!$A$2:$A$2604,""))</f>
        <v>45607.46745</v>
      </c>
      <c r="D809" s="44" t="str">
        <f t="shared" si="3"/>
        <v>K/15/111124/1_45607.4674461806</v>
      </c>
      <c r="E809" s="44" t="str">
        <f t="array" ref="E809">IF(B809="","",_xlfn.XLOOKUP(B809,'Form responses 1'!$B$2:$B$2604,'Form responses 1'!$C$2:$C$2604,""))</f>
        <v>M Arief Soeharnoko</v>
      </c>
      <c r="F809" s="44" t="str">
        <f t="array" ref="F809">IF(B809="","",_xlfn.XLOOKUP(B809,'Form responses 1'!$B$2:$B$2604,'Form responses 1'!$D$2:$D$2604,""))</f>
        <v>081369113355</v>
      </c>
      <c r="G809" s="44" t="str">
        <f t="array" ref="G809">IF(B809="","",_xlfn.XLOOKUP(B809,'Form responses 1'!$B$2:$B$2604,'Form responses 1'!$E$2:$E$2604,""))</f>
        <v>BN Jual Beli</v>
      </c>
      <c r="H809" s="44" t="str">
        <f t="array" ref="H809">IF(B809="","",_xlfn.XLOOKUP(B809,'Form responses 1'!$B$2:$B$2604,'Form responses 1'!$F$2:$F$2604,""))</f>
        <v>M. 16629/ Sukabumi</v>
      </c>
      <c r="I809" s="44" t="str">
        <f t="array" ref="I809">IF(B809="","",_xlfn.XLOOKUP(B809,'Form responses 1'!$B$2:$B$2604,'Form responses 1'!$I$2:$I$2604,""))</f>
        <v> Sukabumi</v>
      </c>
      <c r="J809" s="44" t="str">
        <f t="array" ref="J809">IF(B809="","",_xlfn.XLOOKUP(B809,'Form responses 1'!$B$2:$B$2604,'Form responses 1'!$G$2:$G$2604,""))</f>
        <v>Hananda</v>
      </c>
      <c r="K809" s="41" t="s">
        <v>587</v>
      </c>
      <c r="L809" s="52">
        <f t="shared" si="7"/>
        <v>45608.42289</v>
      </c>
      <c r="M809" s="47" t="s">
        <v>470</v>
      </c>
      <c r="N809" s="49"/>
      <c r="O809" s="49"/>
      <c r="P809" s="49"/>
      <c r="Q809" s="49"/>
      <c r="R809" s="49"/>
      <c r="S809" s="49"/>
      <c r="T809" s="49"/>
      <c r="U809" s="49"/>
      <c r="V809" s="49"/>
      <c r="W809" s="41" t="s">
        <v>470</v>
      </c>
      <c r="X809" s="46">
        <f t="shared" si="5"/>
        <v>45609.30441</v>
      </c>
      <c r="Y809" s="50" t="s">
        <v>482</v>
      </c>
      <c r="Z809" s="49">
        <f t="shared" si="6"/>
        <v>1</v>
      </c>
    </row>
    <row r="810" ht="22.5" customHeight="1">
      <c r="B810" s="41" t="s">
        <v>4388</v>
      </c>
      <c r="C810" s="43">
        <f t="array" ref="C810">IF(B810="","",_xlfn.XLOOKUP(B810,'Form responses 1'!$B$2:$B$2604,'Form responses 1'!$A$2:$A$2604,""))</f>
        <v>45607.55947</v>
      </c>
      <c r="D810" s="44" t="str">
        <f t="shared" si="3"/>
        <v>K/18/111124/1_45607.5594730093</v>
      </c>
      <c r="E810" s="44" t="str">
        <f t="array" ref="E810">IF(B810="","",_xlfn.XLOOKUP(B810,'Form responses 1'!$B$2:$B$2604,'Form responses 1'!$C$2:$C$2604,""))</f>
        <v>RENALDI PRATAMA S/ LITA</v>
      </c>
      <c r="F810" s="44" t="str">
        <f t="array" ref="F810">IF(B810="","",_xlfn.XLOOKUP(B810,'Form responses 1'!$B$2:$B$2604,'Form responses 1'!$D$2:$D$2604,""))</f>
        <v>081366988967</v>
      </c>
      <c r="G810" s="44" t="str">
        <f t="array" ref="G810">IF(B810="","",_xlfn.XLOOKUP(B810,'Form responses 1'!$B$2:$B$2604,'Form responses 1'!$E$2:$E$2604,""))</f>
        <v>BN HIBAH</v>
      </c>
      <c r="H810" s="44" t="str">
        <f t="array" ref="H810">IF(B810="","",_xlfn.XLOOKUP(B810,'Form responses 1'!$B$2:$B$2604,'Form responses 1'!$F$2:$F$2604,""))</f>
        <v>M. 6354/ Gunung Sulah</v>
      </c>
      <c r="I810" s="44" t="str">
        <f t="array" ref="I810">IF(B810="","",_xlfn.XLOOKUP(B810,'Form responses 1'!$B$2:$B$2604,'Form responses 1'!$I$2:$I$2604,""))</f>
        <v>Gunung Sulah</v>
      </c>
      <c r="J810" s="44" t="str">
        <f t="array" ref="J810">IF(B810="","",_xlfn.XLOOKUP(B810,'Form responses 1'!$B$2:$B$2604,'Form responses 1'!$G$2:$G$2604,""))</f>
        <v>Hananda</v>
      </c>
      <c r="K810" s="41" t="s">
        <v>587</v>
      </c>
      <c r="L810" s="52">
        <f t="shared" si="7"/>
        <v>45608.42289</v>
      </c>
      <c r="M810" s="47" t="s">
        <v>5265</v>
      </c>
      <c r="N810" s="49"/>
      <c r="O810" s="49"/>
      <c r="P810" s="49"/>
      <c r="Q810" s="49"/>
      <c r="R810" s="49"/>
      <c r="S810" s="49"/>
      <c r="T810" s="49"/>
      <c r="U810" s="49"/>
      <c r="V810" s="49"/>
      <c r="W810" s="41" t="s">
        <v>618</v>
      </c>
      <c r="X810" s="46">
        <f t="shared" si="5"/>
        <v>45609.30756</v>
      </c>
      <c r="Y810" s="50" t="s">
        <v>482</v>
      </c>
      <c r="Z810" s="49">
        <f t="shared" si="6"/>
        <v>1</v>
      </c>
    </row>
    <row r="811" ht="22.5" customHeight="1">
      <c r="B811" s="41" t="s">
        <v>4406</v>
      </c>
      <c r="C811" s="43">
        <f t="array" ref="C811">IF(B811="","",_xlfn.XLOOKUP(B811,'Form responses 1'!$B$2:$B$2604,'Form responses 1'!$A$2:$A$2604,""))</f>
        <v>45607.57488</v>
      </c>
      <c r="D811" s="44" t="str">
        <f t="shared" si="3"/>
        <v>K/21/111124/1_45607.574875382</v>
      </c>
      <c r="E811" s="44" t="str">
        <f t="array" ref="E811">IF(B811="","",_xlfn.XLOOKUP(B811,'Form responses 1'!$B$2:$B$2604,'Form responses 1'!$C$2:$C$2604,""))</f>
        <v>MAY DUMA/HERA AGUSTIANTI PUTRI</v>
      </c>
      <c r="F811" s="44" t="str">
        <f t="array" ref="F811">IF(B811="","",_xlfn.XLOOKUP(B811,'Form responses 1'!$B$2:$B$2604,'Form responses 1'!$D$2:$D$2604,""))</f>
        <v>0813-6548-3482</v>
      </c>
      <c r="G811" s="44" t="str">
        <f t="array" ref="G811">IF(B811="","",_xlfn.XLOOKUP(B811,'Form responses 1'!$B$2:$B$2604,'Form responses 1'!$E$2:$E$2604,""))</f>
        <v>ROYA</v>
      </c>
      <c r="H811" s="44" t="str">
        <f t="array" ref="H811">IF(B811="","",_xlfn.XLOOKUP(B811,'Form responses 1'!$B$2:$B$2604,'Form responses 1'!$F$2:$F$2604,""))</f>
        <v>B.65/LABUHAN DALAM</v>
      </c>
      <c r="I811" s="44" t="str">
        <f t="array" ref="I811">IF(B811="","",_xlfn.XLOOKUP(B811,'Form responses 1'!$B$2:$B$2604,'Form responses 1'!$I$2:$I$2604,""))</f>
        <v>LABUHAN DALAM</v>
      </c>
      <c r="J811" s="44" t="str">
        <f t="array" ref="J811">IF(B811="","",_xlfn.XLOOKUP(B811,'Form responses 1'!$B$2:$B$2604,'Form responses 1'!$G$2:$G$2604,""))</f>
        <v>Baynur</v>
      </c>
      <c r="K811" s="41" t="s">
        <v>587</v>
      </c>
      <c r="L811" s="52">
        <f t="shared" si="7"/>
        <v>45608.42289</v>
      </c>
      <c r="M811" s="47" t="s">
        <v>5265</v>
      </c>
      <c r="N811" s="49"/>
      <c r="O811" s="49"/>
      <c r="P811" s="49"/>
      <c r="Q811" s="49"/>
      <c r="R811" s="49"/>
      <c r="S811" s="49"/>
      <c r="T811" s="49"/>
      <c r="U811" s="49"/>
      <c r="V811" s="49"/>
      <c r="W811" s="41" t="s">
        <v>618</v>
      </c>
      <c r="X811" s="46">
        <f t="shared" si="5"/>
        <v>45609.30556</v>
      </c>
      <c r="Y811" s="50" t="s">
        <v>482</v>
      </c>
      <c r="Z811" s="49">
        <f t="shared" si="6"/>
        <v>1</v>
      </c>
    </row>
    <row r="812" ht="22.5" customHeight="1">
      <c r="B812" s="41" t="s">
        <v>4370</v>
      </c>
      <c r="C812" s="43">
        <f t="array" ref="C812">IF(B812="","",_xlfn.XLOOKUP(B812,'Form responses 1'!$B$2:$B$2604,'Form responses 1'!$A$2:$A$2604,""))</f>
        <v>45607.46058</v>
      </c>
      <c r="D812" s="44" t="str">
        <f t="shared" si="3"/>
        <v>K/13/111124/1_45607.4605829167</v>
      </c>
      <c r="E812" s="44" t="str">
        <f t="array" ref="E812">IF(B812="","",_xlfn.XLOOKUP(B812,'Form responses 1'!$B$2:$B$2604,'Form responses 1'!$C$2:$C$2604,""))</f>
        <v>SIBEL ALBERRY/RIADH INDRAWAN</v>
      </c>
      <c r="F812" s="44" t="str">
        <f t="array" ref="F812">IF(B812="","",_xlfn.XLOOKUP(B812,'Form responses 1'!$B$2:$B$2604,'Form responses 1'!$D$2:$D$2604,""))</f>
        <v>0822-8415-9202</v>
      </c>
      <c r="G812" s="44" t="str">
        <f t="array" ref="G812">IF(B812="","",_xlfn.XLOOKUP(B812,'Form responses 1'!$B$2:$B$2604,'Form responses 1'!$E$2:$E$2604,""))</f>
        <v>BN JUAL BELI</v>
      </c>
      <c r="H812" s="44" t="str">
        <f t="array" ref="H812">IF(B812="","",_xlfn.XLOOKUP(B812,'Form responses 1'!$B$2:$B$2604,'Form responses 1'!$F$2:$F$2604,""))</f>
        <v>M.8738/SUKABUMI </v>
      </c>
      <c r="I812" s="44" t="str">
        <f t="array" ref="I812">IF(B812="","",_xlfn.XLOOKUP(B812,'Form responses 1'!$B$2:$B$2604,'Form responses 1'!$I$2:$I$2604,""))</f>
        <v>SUKABUMI </v>
      </c>
      <c r="J812" s="44" t="str">
        <f t="array" ref="J812">IF(B812="","",_xlfn.XLOOKUP(B812,'Form responses 1'!$B$2:$B$2604,'Form responses 1'!$G$2:$G$2604,""))</f>
        <v>Baynur</v>
      </c>
      <c r="K812" s="41" t="s">
        <v>587</v>
      </c>
      <c r="L812" s="52">
        <f t="shared" si="7"/>
        <v>45608.42289</v>
      </c>
      <c r="M812" s="47" t="s">
        <v>5265</v>
      </c>
      <c r="N812" s="49"/>
      <c r="O812" s="49"/>
      <c r="P812" s="49"/>
      <c r="Q812" s="49"/>
      <c r="R812" s="49"/>
      <c r="S812" s="49"/>
      <c r="T812" s="49"/>
      <c r="U812" s="49"/>
      <c r="V812" s="49"/>
      <c r="W812" s="41" t="s">
        <v>618</v>
      </c>
      <c r="X812" s="46">
        <f t="shared" si="5"/>
        <v>45609.30478</v>
      </c>
      <c r="Y812" s="50" t="s">
        <v>482</v>
      </c>
      <c r="Z812" s="49">
        <f t="shared" si="6"/>
        <v>1</v>
      </c>
    </row>
    <row r="813" ht="22.5" customHeight="1">
      <c r="B813" s="41" t="s">
        <v>4333</v>
      </c>
      <c r="C813" s="43">
        <f t="array" ref="C813">IF(B813="","",_xlfn.XLOOKUP(B813,'Form responses 1'!$B$2:$B$2604,'Form responses 1'!$A$2:$A$2604,""))</f>
        <v>45607.38601</v>
      </c>
      <c r="D813" s="44" t="str">
        <f t="shared" si="3"/>
        <v>L/3/111124/1_45607.3860072222</v>
      </c>
      <c r="E813" s="44" t="str">
        <f t="array" ref="E813">IF(B813="","",_xlfn.XLOOKUP(B813,'Form responses 1'!$B$2:$B$2604,'Form responses 1'!$C$2:$C$2604,""))</f>
        <v>MARGIE BRITE</v>
      </c>
      <c r="F813" s="44" t="str">
        <f t="array" ref="F813">IF(B813="","",_xlfn.XLOOKUP(B813,'Form responses 1'!$B$2:$B$2604,'Form responses 1'!$D$2:$D$2604,""))</f>
        <v>085813717327</v>
      </c>
      <c r="G813" s="44" t="str">
        <f t="array" ref="G813">IF(B813="","",_xlfn.XLOOKUP(B813,'Form responses 1'!$B$2:$B$2604,'Form responses 1'!$E$2:$E$2604,""))</f>
        <v>ROYA</v>
      </c>
      <c r="H813" s="44" t="str">
        <f t="array" ref="H813">IF(B813="","",_xlfn.XLOOKUP(B813,'Form responses 1'!$B$2:$B$2604,'Form responses 1'!$F$2:$F$2604,""))</f>
        <v>HM 11988/LABUHAN RATU</v>
      </c>
      <c r="I813" s="44" t="str">
        <f t="array" ref="I813">IF(B813="","",_xlfn.XLOOKUP(B813,'Form responses 1'!$B$2:$B$2604,'Form responses 1'!$I$2:$I$2604,""))</f>
        <v>LABUHAN RATU</v>
      </c>
      <c r="J813" s="44" t="str">
        <f t="array" ref="J813">IF(B813="","",_xlfn.XLOOKUP(B813,'Form responses 1'!$B$2:$B$2604,'Form responses 1'!$G$2:$G$2604,""))</f>
        <v>Deby</v>
      </c>
      <c r="K813" s="41" t="s">
        <v>2421</v>
      </c>
      <c r="L813" s="52">
        <f t="shared" si="7"/>
        <v>45608.42289</v>
      </c>
      <c r="M813" s="47" t="s">
        <v>5640</v>
      </c>
      <c r="N813" s="49"/>
      <c r="O813" s="49"/>
      <c r="P813" s="49"/>
      <c r="Q813" s="49"/>
      <c r="R813" s="49"/>
      <c r="S813" s="49"/>
      <c r="T813" s="49"/>
      <c r="U813" s="49"/>
      <c r="V813" s="49"/>
      <c r="W813" s="41" t="s">
        <v>618</v>
      </c>
      <c r="X813" s="46">
        <f t="shared" si="5"/>
        <v>45609.49275</v>
      </c>
      <c r="Y813" s="50" t="s">
        <v>482</v>
      </c>
      <c r="Z813" s="49">
        <f t="shared" si="6"/>
        <v>1</v>
      </c>
    </row>
    <row r="814" ht="22.5" customHeight="1">
      <c r="B814" s="41" t="s">
        <v>4364</v>
      </c>
      <c r="C814" s="43">
        <f t="array" ref="C814">IF(B814="","",_xlfn.XLOOKUP(B814,'Form responses 1'!$B$2:$B$2604,'Form responses 1'!$A$2:$A$2604,""))</f>
        <v>45607.45589</v>
      </c>
      <c r="D814" s="44" t="str">
        <f t="shared" si="3"/>
        <v>K/11/111124/1_45607.4558911111</v>
      </c>
      <c r="E814" s="44" t="str">
        <f t="array" ref="E814">IF(B814="","",_xlfn.XLOOKUP(B814,'Form responses 1'!$B$2:$B$2604,'Form responses 1'!$C$2:$C$2604,""))</f>
        <v>AFRIZAL / SHEN HANA LIANI SANJAYA</v>
      </c>
      <c r="F814" s="44" t="str">
        <f t="array" ref="F814">IF(B814="","",_xlfn.XLOOKUP(B814,'Form responses 1'!$B$2:$B$2604,'Form responses 1'!$D$2:$D$2604,""))</f>
        <v>+62 813-6751-6751</v>
      </c>
      <c r="G814" s="44" t="str">
        <f t="array" ref="G814">IF(B814="","",_xlfn.XLOOKUP(B814,'Form responses 1'!$B$2:$B$2604,'Form responses 1'!$E$2:$E$2604,""))</f>
        <v>ROYA</v>
      </c>
      <c r="H814" s="44" t="str">
        <f t="array" ref="H814">IF(B814="","",_xlfn.XLOOKUP(B814,'Form responses 1'!$B$2:$B$2604,'Form responses 1'!$F$2:$F$2604,""))</f>
        <v>M. 11329/TANJUNG BARU</v>
      </c>
      <c r="I814" s="44" t="str">
        <f t="array" ref="I814">IF(B814="","",_xlfn.XLOOKUP(B814,'Form responses 1'!$B$2:$B$2604,'Form responses 1'!$I$2:$I$2604,""))</f>
        <v>TANJUNG BARU</v>
      </c>
      <c r="J814" s="44" t="str">
        <f t="array" ref="J814">IF(B814="","",_xlfn.XLOOKUP(B814,'Form responses 1'!$B$2:$B$2604,'Form responses 1'!$G$2:$G$2604,""))</f>
        <v>Aisyah</v>
      </c>
      <c r="K814" s="41" t="s">
        <v>2421</v>
      </c>
      <c r="L814" s="52">
        <f t="shared" si="7"/>
        <v>45608.42289</v>
      </c>
      <c r="M814" s="47" t="s">
        <v>5641</v>
      </c>
      <c r="N814" s="49"/>
      <c r="O814" s="49"/>
      <c r="P814" s="49"/>
      <c r="Q814" s="49"/>
      <c r="R814" s="49"/>
      <c r="S814" s="49"/>
      <c r="T814" s="49"/>
      <c r="U814" s="49"/>
      <c r="V814" s="49"/>
      <c r="W814" s="41" t="s">
        <v>618</v>
      </c>
      <c r="X814" s="46">
        <f t="shared" si="5"/>
        <v>45609.5226</v>
      </c>
      <c r="Y814" s="50" t="s">
        <v>482</v>
      </c>
      <c r="Z814" s="49">
        <f t="shared" si="6"/>
        <v>1</v>
      </c>
    </row>
    <row r="815" ht="22.5" customHeight="1">
      <c r="B815" s="41" t="s">
        <v>4440</v>
      </c>
      <c r="C815" s="43">
        <f t="array" ref="C815">IF(B815="","",_xlfn.XLOOKUP(B815,'Form responses 1'!$B$2:$B$2604,'Form responses 1'!$A$2:$A$2604,""))</f>
        <v>45607.60907</v>
      </c>
      <c r="D815" s="44" t="str">
        <f t="shared" si="3"/>
        <v>K/33/111124/1_45607.609074537</v>
      </c>
      <c r="E815" s="44" t="str">
        <f t="array" ref="E815">IF(B815="","",_xlfn.XLOOKUP(B815,'Form responses 1'!$B$2:$B$2604,'Form responses 1'!$C$2:$C$2604,""))</f>
        <v>RIDHO ISRA YANTO/RICHARD ADI PRASTYA</v>
      </c>
      <c r="F815" s="44" t="str">
        <f t="array" ref="F815">IF(B815="","",_xlfn.XLOOKUP(B815,'Form responses 1'!$B$2:$B$2604,'Form responses 1'!$D$2:$D$2604,""))</f>
        <v>0852-7999-7821</v>
      </c>
      <c r="G815" s="44" t="str">
        <f t="array" ref="G815">IF(B815="","",_xlfn.XLOOKUP(B815,'Form responses 1'!$B$2:$B$2604,'Form responses 1'!$E$2:$E$2604,""))</f>
        <v>BN JUAL BELI</v>
      </c>
      <c r="H815" s="44" t="str">
        <f t="array" ref="H815">IF(B815="","",_xlfn.XLOOKUP(B815,'Form responses 1'!$B$2:$B$2604,'Form responses 1'!$F$2:$F$2604,""))</f>
        <v>M.2945/SUKARAME II</v>
      </c>
      <c r="I815" s="44" t="str">
        <f t="array" ref="I815">IF(B815="","",_xlfn.XLOOKUP(B815,'Form responses 1'!$B$2:$B$2604,'Form responses 1'!$I$2:$I$2604,""))</f>
        <v>SUKARAME II</v>
      </c>
      <c r="J815" s="44" t="str">
        <f t="array" ref="J815">IF(B815="","",_xlfn.XLOOKUP(B815,'Form responses 1'!$B$2:$B$2604,'Form responses 1'!$G$2:$G$2604,""))</f>
        <v>Baynur</v>
      </c>
      <c r="K815" s="41" t="s">
        <v>2421</v>
      </c>
      <c r="L815" s="52">
        <f t="shared" si="7"/>
        <v>45608.42289</v>
      </c>
      <c r="M815" s="49"/>
      <c r="N815" s="49"/>
      <c r="O815" s="49"/>
      <c r="P815" s="49"/>
      <c r="Q815" s="49"/>
      <c r="R815" s="49"/>
      <c r="S815" s="49"/>
      <c r="T815" s="49"/>
      <c r="U815" s="49"/>
      <c r="V815" s="49"/>
      <c r="W815" s="41" t="s">
        <v>618</v>
      </c>
      <c r="X815" s="46">
        <f t="shared" si="5"/>
        <v>45609.56335</v>
      </c>
      <c r="Y815" s="50" t="s">
        <v>482</v>
      </c>
      <c r="Z815" s="49">
        <f t="shared" si="6"/>
        <v>0</v>
      </c>
    </row>
    <row r="816" ht="22.5" customHeight="1">
      <c r="B816" s="41" t="s">
        <v>4422</v>
      </c>
      <c r="C816" s="43">
        <f t="array" ref="C816">IF(B816="","",_xlfn.XLOOKUP(B816,'Form responses 1'!$B$2:$B$2604,'Form responses 1'!$A$2:$A$2604,""))</f>
        <v>45607.58909</v>
      </c>
      <c r="D816" s="44" t="str">
        <f t="shared" si="3"/>
        <v>K/27/111124/1_45607.5890947222</v>
      </c>
      <c r="E816" s="44" t="str">
        <f t="array" ref="E816">IF(B816="","",_xlfn.XLOOKUP(B816,'Form responses 1'!$B$2:$B$2604,'Form responses 1'!$C$2:$C$2604,""))</f>
        <v>Budi K/ Bank Hibank</v>
      </c>
      <c r="F816" s="44" t="str">
        <f t="array" ref="F816">IF(B816="","",_xlfn.XLOOKUP(B816,'Form responses 1'!$B$2:$B$2604,'Form responses 1'!$D$2:$D$2604,""))</f>
        <v>+62 858-6816-7367</v>
      </c>
      <c r="G816" s="44" t="str">
        <f t="array" ref="G816">IF(B816="","",_xlfn.XLOOKUP(B816,'Form responses 1'!$B$2:$B$2604,'Form responses 1'!$E$2:$E$2604,""))</f>
        <v>Ganti Nama Kreditur</v>
      </c>
      <c r="H816" s="44" t="str">
        <f t="array" ref="H816">IF(B816="","",_xlfn.XLOOKUP(B816,'Form responses 1'!$B$2:$B$2604,'Form responses 1'!$F$2:$F$2604,""))</f>
        <v>M. 1467; 1474/ Tanjung Karang; SHT 5221/2017 dan 2980/2017 dan 3713/2017 dan 3715/2017 dan 2985/2017</v>
      </c>
      <c r="I816" s="44" t="str">
        <f t="array" ref="I816">IF(B816="","",_xlfn.XLOOKUP(B816,'Form responses 1'!$B$2:$B$2604,'Form responses 1'!$I$2:$I$2604,""))</f>
        <v>Tanjung Karang</v>
      </c>
      <c r="J816" s="44" t="str">
        <f t="array" ref="J816">IF(B816="","",_xlfn.XLOOKUP(B816,'Form responses 1'!$B$2:$B$2604,'Form responses 1'!$G$2:$G$2604,""))</f>
        <v>Rapita</v>
      </c>
      <c r="K816" s="41" t="s">
        <v>2421</v>
      </c>
      <c r="L816" s="52">
        <f t="shared" si="7"/>
        <v>45608.42289</v>
      </c>
      <c r="M816" s="49"/>
      <c r="N816" s="49"/>
      <c r="O816" s="49"/>
      <c r="P816" s="49"/>
      <c r="Q816" s="49"/>
      <c r="R816" s="49"/>
      <c r="S816" s="49"/>
      <c r="T816" s="49"/>
      <c r="U816" s="49"/>
      <c r="V816" s="49"/>
      <c r="W816" s="41" t="s">
        <v>618</v>
      </c>
      <c r="X816" s="46">
        <f t="shared" si="5"/>
        <v>45609.55093</v>
      </c>
      <c r="Y816" s="50" t="s">
        <v>482</v>
      </c>
      <c r="Z816" s="49">
        <f t="shared" si="6"/>
        <v>0</v>
      </c>
    </row>
    <row r="817" ht="22.5" customHeight="1">
      <c r="B817" s="41" t="s">
        <v>4419</v>
      </c>
      <c r="C817" s="43">
        <f t="array" ref="C817">IF(B817="","",_xlfn.XLOOKUP(B817,'Form responses 1'!$B$2:$B$2604,'Form responses 1'!$A$2:$A$2604,""))</f>
        <v>45607.58856</v>
      </c>
      <c r="D817" s="44" t="str">
        <f t="shared" si="3"/>
        <v>K/28/111124/1_45607.5885566667</v>
      </c>
      <c r="E817" s="44" t="str">
        <f t="array" ref="E817">IF(B817="","",_xlfn.XLOOKUP(B817,'Form responses 1'!$B$2:$B$2604,'Form responses 1'!$C$2:$C$2604,""))</f>
        <v>NURMAWATI CS/CHRISTINA ULINA</v>
      </c>
      <c r="F817" s="44" t="str">
        <f t="array" ref="F817">IF(B817="","",_xlfn.XLOOKUP(B817,'Form responses 1'!$B$2:$B$2604,'Form responses 1'!$D$2:$D$2604,""))</f>
        <v>0821-7879-5856</v>
      </c>
      <c r="G817" s="44" t="str">
        <f t="array" ref="G817">IF(B817="","",_xlfn.XLOOKUP(B817,'Form responses 1'!$B$2:$B$2604,'Form responses 1'!$E$2:$E$2604,""))</f>
        <v>KEWARISAN</v>
      </c>
      <c r="H817" s="44" t="str">
        <f t="array" ref="H817">IF(B817="","",_xlfn.XLOOKUP(B817,'Form responses 1'!$B$2:$B$2604,'Form responses 1'!$F$2:$F$2604,""))</f>
        <v>M.1280/KELAPA TIGA</v>
      </c>
      <c r="I817" s="44" t="str">
        <f t="array" ref="I817">IF(B817="","",_xlfn.XLOOKUP(B817,'Form responses 1'!$B$2:$B$2604,'Form responses 1'!$I$2:$I$2604,""))</f>
        <v>KELAPA TIGA</v>
      </c>
      <c r="J817" s="44" t="str">
        <f t="array" ref="J817">IF(B817="","",_xlfn.XLOOKUP(B817,'Form responses 1'!$B$2:$B$2604,'Form responses 1'!$G$2:$G$2604,""))</f>
        <v>Baynur</v>
      </c>
      <c r="K817" s="41" t="s">
        <v>2421</v>
      </c>
      <c r="L817" s="52">
        <f t="shared" si="7"/>
        <v>45608.42289</v>
      </c>
      <c r="M817" s="47" t="s">
        <v>5642</v>
      </c>
      <c r="N817" s="49"/>
      <c r="O817" s="49"/>
      <c r="P817" s="49"/>
      <c r="Q817" s="49"/>
      <c r="R817" s="49"/>
      <c r="S817" s="49"/>
      <c r="T817" s="49"/>
      <c r="U817" s="49"/>
      <c r="V817" s="49"/>
      <c r="W817" s="41" t="s">
        <v>470</v>
      </c>
      <c r="X817" s="46">
        <f t="shared" si="5"/>
        <v>45609.56291</v>
      </c>
      <c r="Y817" s="50" t="s">
        <v>482</v>
      </c>
      <c r="Z817" s="49">
        <f t="shared" si="6"/>
        <v>1</v>
      </c>
    </row>
    <row r="818" ht="22.5" customHeight="1">
      <c r="B818" s="41" t="s">
        <v>4472</v>
      </c>
      <c r="C818" s="43">
        <f t="array" ref="C818">IF(B818="","",_xlfn.XLOOKUP(B818,'Form responses 1'!$B$2:$B$2604,'Form responses 1'!$A$2:$A$2604,""))</f>
        <v>45607.62809</v>
      </c>
      <c r="D818" s="44" t="str">
        <f t="shared" si="3"/>
        <v>L/41/111124/1_45607.6280938657</v>
      </c>
      <c r="E818" s="44" t="str">
        <f t="array" ref="E818">IF(B818="","",_xlfn.XLOOKUP(B818,'Form responses 1'!$B$2:$B$2604,'Form responses 1'!$C$2:$C$2604,""))</f>
        <v>HM 4762/TANJUNG SENANG</v>
      </c>
      <c r="F818" s="44" t="str">
        <f t="array" ref="F818">IF(B818="","",_xlfn.XLOOKUP(B818,'Form responses 1'!$B$2:$B$2604,'Form responses 1'!$D$2:$D$2604,""))</f>
        <v>081227777277</v>
      </c>
      <c r="G818" s="44" t="str">
        <f t="array" ref="G818">IF(B818="","",_xlfn.XLOOKUP(B818,'Form responses 1'!$B$2:$B$2604,'Form responses 1'!$E$2:$E$2604,""))</f>
        <v>ROYA</v>
      </c>
      <c r="H818" s="44" t="str">
        <f t="array" ref="H818">IF(B818="","",_xlfn.XLOOKUP(B818,'Form responses 1'!$B$2:$B$2604,'Form responses 1'!$F$2:$F$2604,""))</f>
        <v>HM 4762/TANJUNG SENANG</v>
      </c>
      <c r="I818" s="44" t="str">
        <f t="array" ref="I818">IF(B818="","",_xlfn.XLOOKUP(B818,'Form responses 1'!$B$2:$B$2604,'Form responses 1'!$I$2:$I$2604,""))</f>
        <v>TANJUNG SENANG</v>
      </c>
      <c r="J818" s="44" t="str">
        <f t="array" ref="J818">IF(B818="","",_xlfn.XLOOKUP(B818,'Form responses 1'!$B$2:$B$2604,'Form responses 1'!$G$2:$G$2604,""))</f>
        <v>Deby</v>
      </c>
      <c r="K818" s="41" t="s">
        <v>2421</v>
      </c>
      <c r="L818" s="52">
        <f t="shared" si="7"/>
        <v>45608.42289</v>
      </c>
      <c r="M818" s="49"/>
      <c r="N818" s="49"/>
      <c r="O818" s="49"/>
      <c r="P818" s="49"/>
      <c r="Q818" s="49"/>
      <c r="R818" s="49"/>
      <c r="S818" s="49"/>
      <c r="T818" s="49"/>
      <c r="U818" s="49"/>
      <c r="V818" s="49"/>
      <c r="W818" s="41" t="s">
        <v>618</v>
      </c>
      <c r="X818" s="46">
        <f t="shared" si="5"/>
        <v>45609.52628</v>
      </c>
      <c r="Y818" s="50" t="s">
        <v>482</v>
      </c>
      <c r="Z818" s="49">
        <f t="shared" si="6"/>
        <v>0</v>
      </c>
    </row>
    <row r="819" ht="22.5" customHeight="1">
      <c r="B819" s="41" t="s">
        <v>4385</v>
      </c>
      <c r="C819" s="43">
        <f t="array" ref="C819">IF(B819="","",_xlfn.XLOOKUP(B819,'Form responses 1'!$B$2:$B$2604,'Form responses 1'!$A$2:$A$2604,""))</f>
        <v>45607.55936</v>
      </c>
      <c r="D819" s="44" t="str">
        <f t="shared" si="3"/>
        <v>K/17/111124/1_45607.5593601042</v>
      </c>
      <c r="E819" s="44" t="str">
        <f t="array" ref="E819">IF(B819="","",_xlfn.XLOOKUP(B819,'Form responses 1'!$B$2:$B$2604,'Form responses 1'!$C$2:$C$2604,""))</f>
        <v>Maryanti Kurniwan/ Kuni</v>
      </c>
      <c r="F819" s="44" t="str">
        <f t="array" ref="F819">IF(B819="","",_xlfn.XLOOKUP(B819,'Form responses 1'!$B$2:$B$2604,'Form responses 1'!$D$2:$D$2604,""))</f>
        <v>+62 811-7212-168</v>
      </c>
      <c r="G819" s="44" t="str">
        <f t="array" ref="G819">IF(B819="","",_xlfn.XLOOKUP(B819,'Form responses 1'!$B$2:$B$2604,'Form responses 1'!$E$2:$E$2604,""))</f>
        <v>BN Jual Beli</v>
      </c>
      <c r="H819" s="44" t="str">
        <f t="array" ref="H819">IF(B819="","",_xlfn.XLOOKUP(B819,'Form responses 1'!$B$2:$B$2604,'Form responses 1'!$F$2:$F$2604,""))</f>
        <v>M. 657/ Kangkung</v>
      </c>
      <c r="I819" s="44" t="str">
        <f t="array" ref="I819">IF(B819="","",_xlfn.XLOOKUP(B819,'Form responses 1'!$B$2:$B$2604,'Form responses 1'!$I$2:$I$2604,""))</f>
        <v>Kangkung</v>
      </c>
      <c r="J819" s="44" t="str">
        <f t="array" ref="J819">IF(B819="","",_xlfn.XLOOKUP(B819,'Form responses 1'!$B$2:$B$2604,'Form responses 1'!$G$2:$G$2604,""))</f>
        <v>Rapita</v>
      </c>
      <c r="K819" s="41" t="s">
        <v>1233</v>
      </c>
      <c r="L819" s="52">
        <f t="shared" si="7"/>
        <v>45608.42289</v>
      </c>
      <c r="M819" s="49"/>
      <c r="N819" s="49"/>
      <c r="O819" s="49"/>
      <c r="P819" s="49"/>
      <c r="Q819" s="49"/>
      <c r="R819" s="49"/>
      <c r="S819" s="49"/>
      <c r="T819" s="49"/>
      <c r="U819" s="49"/>
      <c r="V819" s="49"/>
      <c r="W819" s="41" t="s">
        <v>618</v>
      </c>
      <c r="X819" s="46">
        <f t="shared" si="5"/>
        <v>45611.35311</v>
      </c>
      <c r="Y819" s="50" t="s">
        <v>482</v>
      </c>
      <c r="Z819" s="49">
        <f t="shared" si="6"/>
        <v>0</v>
      </c>
    </row>
    <row r="820" ht="22.5" customHeight="1">
      <c r="B820" s="41" t="s">
        <v>4347</v>
      </c>
      <c r="C820" s="43">
        <f t="array" ref="C820">IF(B820="","",_xlfn.XLOOKUP(B820,'Form responses 1'!$B$2:$B$2604,'Form responses 1'!$A$2:$A$2604,""))</f>
        <v>45607.41287</v>
      </c>
      <c r="D820" s="44" t="str">
        <f t="shared" si="3"/>
        <v>K/6/111124/2_45607.4128693171</v>
      </c>
      <c r="E820" s="44" t="str">
        <f t="array" ref="E820">IF(B820="","",_xlfn.XLOOKUP(B820,'Form responses 1'!$B$2:$B$2604,'Form responses 1'!$C$2:$C$2604,""))</f>
        <v>EVi Udin/ Hwa Nio Cs</v>
      </c>
      <c r="F820" s="44" t="str">
        <f t="array" ref="F820">IF(B820="","",_xlfn.XLOOKUP(B820,'Form responses 1'!$B$2:$B$2604,'Form responses 1'!$D$2:$D$2604,""))</f>
        <v>+62 821-8499-9559</v>
      </c>
      <c r="G820" s="44" t="str">
        <f t="array" ref="G820">IF(B820="","",_xlfn.XLOOKUP(B820,'Form responses 1'!$B$2:$B$2604,'Form responses 1'!$E$2:$E$2604,""))</f>
        <v>BN Waris</v>
      </c>
      <c r="H820" s="44" t="str">
        <f t="array" ref="H820">IF(B820="","",_xlfn.XLOOKUP(B820,'Form responses 1'!$B$2:$B$2604,'Form responses 1'!$F$2:$F$2604,""))</f>
        <v>M. 9657/ Labuhan Ratu</v>
      </c>
      <c r="I820" s="44" t="str">
        <f t="array" ref="I820">IF(B820="","",_xlfn.XLOOKUP(B820,'Form responses 1'!$B$2:$B$2604,'Form responses 1'!$I$2:$I$2604,""))</f>
        <v>Labuhan Ratu</v>
      </c>
      <c r="J820" s="44" t="str">
        <f t="array" ref="J820">IF(B820="","",_xlfn.XLOOKUP(B820,'Form responses 1'!$B$2:$B$2604,'Form responses 1'!$G$2:$G$2604,""))</f>
        <v>Rapita</v>
      </c>
      <c r="K820" s="41" t="s">
        <v>1233</v>
      </c>
      <c r="L820" s="52">
        <f t="shared" si="7"/>
        <v>45608.43361</v>
      </c>
      <c r="M820" s="49"/>
      <c r="N820" s="49"/>
      <c r="O820" s="49"/>
      <c r="P820" s="49"/>
      <c r="Q820" s="49"/>
      <c r="R820" s="49"/>
      <c r="S820" s="49"/>
      <c r="T820" s="49"/>
      <c r="U820" s="49"/>
      <c r="V820" s="49"/>
      <c r="W820" s="41" t="s">
        <v>618</v>
      </c>
      <c r="X820" s="46">
        <f t="shared" si="5"/>
        <v>45608.43364</v>
      </c>
      <c r="Y820" s="50" t="s">
        <v>482</v>
      </c>
      <c r="Z820" s="49">
        <f t="shared" si="6"/>
        <v>0</v>
      </c>
    </row>
    <row r="821" ht="22.5" customHeight="1">
      <c r="B821" s="41" t="s">
        <v>4461</v>
      </c>
      <c r="C821" s="43">
        <f t="array" ref="C821">IF(B821="","",_xlfn.XLOOKUP(B821,'Form responses 1'!$B$2:$B$2604,'Form responses 1'!$A$2:$A$2604,""))</f>
        <v>45607.62588</v>
      </c>
      <c r="D821" s="44" t="str">
        <f t="shared" si="3"/>
        <v>K/38/111124/2_45607.6258811227</v>
      </c>
      <c r="E821" s="44" t="str">
        <f t="array" ref="E821">IF(B821="","",_xlfn.XLOOKUP(B821,'Form responses 1'!$B$2:$B$2604,'Form responses 1'!$C$2:$C$2604,""))</f>
        <v>Reflan R/ Margareta Y</v>
      </c>
      <c r="F821" s="44" t="str">
        <f t="array" ref="F821">IF(B821="","",_xlfn.XLOOKUP(B821,'Form responses 1'!$B$2:$B$2604,'Form responses 1'!$D$2:$D$2604,""))</f>
        <v>+62 822-6948-0192 </v>
      </c>
      <c r="G821" s="44" t="str">
        <f t="array" ref="G821">IF(B821="","",_xlfn.XLOOKUP(B821,'Form responses 1'!$B$2:$B$2604,'Form responses 1'!$E$2:$E$2604,""))</f>
        <v>Pemecahan</v>
      </c>
      <c r="H821" s="44" t="str">
        <f t="array" ref="H821">IF(B821="","",_xlfn.XLOOKUP(B821,'Form responses 1'!$B$2:$B$2604,'Form responses 1'!$F$2:$F$2604,""))</f>
        <v>M. 5933/ Way Kandis</v>
      </c>
      <c r="I821" s="44" t="str">
        <f t="array" ref="I821">IF(B821="","",_xlfn.XLOOKUP(B821,'Form responses 1'!$B$2:$B$2604,'Form responses 1'!$I$2:$I$2604,""))</f>
        <v>Way Kandis</v>
      </c>
      <c r="J821" s="44" t="str">
        <f t="array" ref="J821">IF(B821="","",_xlfn.XLOOKUP(B821,'Form responses 1'!$B$2:$B$2604,'Form responses 1'!$G$2:$G$2604,""))</f>
        <v>Rapita</v>
      </c>
      <c r="K821" s="41" t="s">
        <v>422</v>
      </c>
      <c r="L821" s="52">
        <f t="shared" si="7"/>
        <v>45608.44717</v>
      </c>
      <c r="M821" s="47" t="s">
        <v>5643</v>
      </c>
      <c r="N821" s="49"/>
      <c r="O821" s="49"/>
      <c r="P821" s="49"/>
      <c r="Q821" s="49"/>
      <c r="R821" s="49"/>
      <c r="S821" s="49"/>
      <c r="T821" s="49"/>
      <c r="U821" s="49"/>
      <c r="V821" s="49"/>
      <c r="W821" s="41" t="s">
        <v>470</v>
      </c>
      <c r="X821" s="46">
        <f t="shared" si="5"/>
        <v>45608.54691</v>
      </c>
      <c r="Y821" s="50" t="s">
        <v>482</v>
      </c>
      <c r="Z821" s="49">
        <f t="shared" si="6"/>
        <v>1</v>
      </c>
    </row>
    <row r="822" ht="22.5" customHeight="1">
      <c r="B822" s="41" t="s">
        <v>4330</v>
      </c>
      <c r="C822" s="43">
        <f t="array" ref="C822">IF(B822="","",_xlfn.XLOOKUP(B822,'Form responses 1'!$B$2:$B$2604,'Form responses 1'!$A$2:$A$2604,""))</f>
        <v>45607.42112</v>
      </c>
      <c r="D822" s="44" t="str">
        <f t="shared" si="3"/>
        <v>K/2/111124/1_45607.4211213542</v>
      </c>
      <c r="E822" s="44" t="str">
        <f t="array" ref="E822">IF(B822="","",_xlfn.XLOOKUP(B822,'Form responses 1'!$B$2:$B$2604,'Form responses 1'!$C$2:$C$2604,""))</f>
        <v>EVA SURIANI/ DWI ARIYANTI</v>
      </c>
      <c r="F822" s="44" t="str">
        <f t="array" ref="F822">IF(B822="","",_xlfn.XLOOKUP(B822,'Form responses 1'!$B$2:$B$2604,'Form responses 1'!$D$2:$D$2604,""))</f>
        <v>+62 811-724-041</v>
      </c>
      <c r="G822" s="44" t="str">
        <f t="array" ref="G822">IF(B822="","",_xlfn.XLOOKUP(B822,'Form responses 1'!$B$2:$B$2604,'Form responses 1'!$E$2:$E$2604,""))</f>
        <v>BN JUAL BELI</v>
      </c>
      <c r="H822" s="44" t="str">
        <f t="array" ref="H822">IF(B822="","",_xlfn.XLOOKUP(B822,'Form responses 1'!$B$2:$B$2604,'Form responses 1'!$F$2:$F$2604,""))</f>
        <v>Nibel 3185/ Beringin Raya</v>
      </c>
      <c r="I822" s="44" t="str">
        <f t="array" ref="I822">IF(B822="","",_xlfn.XLOOKUP(B822,'Form responses 1'!$B$2:$B$2604,'Form responses 1'!$I$2:$I$2604,""))</f>
        <v>Beringin Raya</v>
      </c>
      <c r="J822" s="44" t="str">
        <f t="array" ref="J822">IF(B822="","",_xlfn.XLOOKUP(B822,'Form responses 1'!$B$2:$B$2604,'Form responses 1'!$G$2:$G$2604,""))</f>
        <v>Hananda</v>
      </c>
      <c r="K822" s="41" t="s">
        <v>422</v>
      </c>
      <c r="L822" s="52">
        <f t="shared" si="7"/>
        <v>45608.44719</v>
      </c>
      <c r="M822" s="47" t="s">
        <v>5644</v>
      </c>
      <c r="N822" s="47" t="s">
        <v>5645</v>
      </c>
      <c r="O822" s="47" t="s">
        <v>5646</v>
      </c>
      <c r="P822" s="47" t="s">
        <v>5647</v>
      </c>
      <c r="Q822" s="49"/>
      <c r="R822" s="49"/>
      <c r="S822" s="49"/>
      <c r="T822" s="49"/>
      <c r="U822" s="49"/>
      <c r="V822" s="49"/>
      <c r="W822" s="41" t="s">
        <v>618</v>
      </c>
      <c r="X822" s="46">
        <f t="shared" si="5"/>
        <v>45609.66641</v>
      </c>
      <c r="Y822" s="50" t="s">
        <v>482</v>
      </c>
      <c r="Z822" s="49">
        <f t="shared" si="6"/>
        <v>4</v>
      </c>
    </row>
    <row r="823" ht="22.5" customHeight="1">
      <c r="B823" s="41" t="s">
        <v>4465</v>
      </c>
      <c r="C823" s="43">
        <f t="array" ref="C823">IF(B823="","",_xlfn.XLOOKUP(B823,'Form responses 1'!$B$2:$B$2604,'Form responses 1'!$A$2:$A$2604,""))</f>
        <v>45607.62681</v>
      </c>
      <c r="D823" s="44" t="str">
        <f t="shared" si="3"/>
        <v>K/39/111124/1_45607.6268052778</v>
      </c>
      <c r="E823" s="44" t="str">
        <f t="array" ref="E823">IF(B823="","",_xlfn.XLOOKUP(B823,'Form responses 1'!$B$2:$B$2604,'Form responses 1'!$C$2:$C$2604,""))</f>
        <v>IBK SUKASANA/ARI NURWENI</v>
      </c>
      <c r="F823" s="44" t="str">
        <f t="array" ref="F823">IF(B823="","",_xlfn.XLOOKUP(B823,'Form responses 1'!$B$2:$B$2604,'Form responses 1'!$D$2:$D$2604,""))</f>
        <v>081272195650</v>
      </c>
      <c r="G823" s="44" t="str">
        <f t="array" ref="G823">IF(B823="","",_xlfn.XLOOKUP(B823,'Form responses 1'!$B$2:$B$2604,'Form responses 1'!$E$2:$E$2604,""))</f>
        <v>BN JUAL BELI</v>
      </c>
      <c r="H823" s="44" t="str">
        <f t="array" ref="H823">IF(B823="","",_xlfn.XLOOKUP(B823,'Form responses 1'!$B$2:$B$2604,'Form responses 1'!$F$2:$F$2604,""))</f>
        <v>M. 1775/ Rajabasa Pemuka</v>
      </c>
      <c r="I823" s="44" t="str">
        <f t="array" ref="I823">IF(B823="","",_xlfn.XLOOKUP(B823,'Form responses 1'!$B$2:$B$2604,'Form responses 1'!$I$2:$I$2604,""))</f>
        <v>Rajabasa Pemuka</v>
      </c>
      <c r="J823" s="44" t="str">
        <f t="array" ref="J823">IF(B823="","",_xlfn.XLOOKUP(B823,'Form responses 1'!$B$2:$B$2604,'Form responses 1'!$G$2:$G$2604,""))</f>
        <v>Hananda</v>
      </c>
      <c r="K823" s="41" t="s">
        <v>422</v>
      </c>
      <c r="L823" s="52">
        <f t="shared" si="7"/>
        <v>45608.44721</v>
      </c>
      <c r="M823" s="47" t="s">
        <v>4144</v>
      </c>
      <c r="N823" s="49"/>
      <c r="O823" s="49"/>
      <c r="P823" s="49"/>
      <c r="Q823" s="49"/>
      <c r="R823" s="49"/>
      <c r="S823" s="49"/>
      <c r="T823" s="49"/>
      <c r="U823" s="49"/>
      <c r="V823" s="49"/>
      <c r="W823" s="41" t="s">
        <v>470</v>
      </c>
      <c r="X823" s="46">
        <f t="shared" si="5"/>
        <v>45608.54691</v>
      </c>
      <c r="Y823" s="50" t="s">
        <v>482</v>
      </c>
      <c r="Z823" s="49">
        <f t="shared" si="6"/>
        <v>1</v>
      </c>
    </row>
    <row r="824" ht="22.5" customHeight="1">
      <c r="B824" s="41" t="s">
        <v>4367</v>
      </c>
      <c r="C824" s="43">
        <f t="array" ref="C824">IF(B824="","",_xlfn.XLOOKUP(B824,'Form responses 1'!$B$2:$B$2604,'Form responses 1'!$A$2:$A$2604,""))</f>
        <v>45607.45827</v>
      </c>
      <c r="D824" s="44" t="str">
        <f t="shared" si="3"/>
        <v>K/12/111124/1_45607.4582686111</v>
      </c>
      <c r="E824" s="44" t="str">
        <f t="array" ref="E824">IF(B824="","",_xlfn.XLOOKUP(B824,'Form responses 1'!$B$2:$B$2604,'Form responses 1'!$C$2:$C$2604,""))</f>
        <v>Renaldi P S/ Arienanda D</v>
      </c>
      <c r="F824" s="44" t="str">
        <f t="array" ref="F824">IF(B824="","",_xlfn.XLOOKUP(B824,'Form responses 1'!$B$2:$B$2604,'Form responses 1'!$D$2:$D$2604,""))</f>
        <v>+62 823-7375-9878</v>
      </c>
      <c r="G824" s="44" t="str">
        <f t="array" ref="G824">IF(B824="","",_xlfn.XLOOKUP(B824,'Form responses 1'!$B$2:$B$2604,'Form responses 1'!$E$2:$E$2604,""))</f>
        <v>BN Lelang</v>
      </c>
      <c r="H824" s="44" t="str">
        <f t="array" ref="H824">IF(B824="","",_xlfn.XLOOKUP(B824,'Form responses 1'!$B$2:$B$2604,'Form responses 1'!$F$2:$F$2604,""))</f>
        <v>Nibel. M. 1113/ Bumi Raya</v>
      </c>
      <c r="I824" s="44" t="str">
        <f t="array" ref="I824">IF(B824="","",_xlfn.XLOOKUP(B824,'Form responses 1'!$B$2:$B$2604,'Form responses 1'!$I$2:$I$2604,""))</f>
        <v>Bumi Raya</v>
      </c>
      <c r="J824" s="44" t="str">
        <f t="array" ref="J824">IF(B824="","",_xlfn.XLOOKUP(B824,'Form responses 1'!$B$2:$B$2604,'Form responses 1'!$G$2:$G$2604,""))</f>
        <v>Rapita</v>
      </c>
      <c r="K824" s="41" t="s">
        <v>422</v>
      </c>
      <c r="L824" s="52">
        <f t="shared" si="7"/>
        <v>45608.44723</v>
      </c>
      <c r="M824" s="47" t="s">
        <v>5431</v>
      </c>
      <c r="N824" s="49"/>
      <c r="O824" s="49"/>
      <c r="P824" s="49"/>
      <c r="Q824" s="49"/>
      <c r="R824" s="49"/>
      <c r="S824" s="49"/>
      <c r="T824" s="49"/>
      <c r="U824" s="49"/>
      <c r="V824" s="49"/>
      <c r="W824" s="41" t="s">
        <v>470</v>
      </c>
      <c r="X824" s="46">
        <f t="shared" si="5"/>
        <v>45608.54691</v>
      </c>
      <c r="Y824" s="50" t="s">
        <v>482</v>
      </c>
      <c r="Z824" s="49">
        <f t="shared" si="6"/>
        <v>1</v>
      </c>
    </row>
    <row r="825" ht="22.5" customHeight="1">
      <c r="B825" s="41" t="s">
        <v>4443</v>
      </c>
      <c r="C825" s="43">
        <f t="array" ref="C825">IF(B825="","",_xlfn.XLOOKUP(B825,'Form responses 1'!$B$2:$B$2604,'Form responses 1'!$A$2:$A$2604,""))</f>
        <v>45607.6094</v>
      </c>
      <c r="D825" s="44" t="str">
        <f t="shared" si="3"/>
        <v>K/34/111124/1_45607.6093974306</v>
      </c>
      <c r="E825" s="44" t="str">
        <f t="array" ref="E825">IF(B825="","",_xlfn.XLOOKUP(B825,'Form responses 1'!$B$2:$B$2604,'Form responses 1'!$C$2:$C$2604,""))</f>
        <v>Reflan R/ Maya W P</v>
      </c>
      <c r="F825" s="44" t="str">
        <f t="array" ref="F825">IF(B825="","",_xlfn.XLOOKUP(B825,'Form responses 1'!$B$2:$B$2604,'Form responses 1'!$D$2:$D$2604,""))</f>
        <v>+62 822-6948-0192</v>
      </c>
      <c r="G825" s="44" t="str">
        <f t="array" ref="G825">IF(B825="","",_xlfn.XLOOKUP(B825,'Form responses 1'!$B$2:$B$2604,'Form responses 1'!$E$2:$E$2604,""))</f>
        <v>BN Jual Beli</v>
      </c>
      <c r="H825" s="44" t="str">
        <f t="array" ref="H825">IF(B825="","",_xlfn.XLOOKUP(B825,'Form responses 1'!$B$2:$B$2604,'Form responses 1'!$F$2:$F$2604,""))</f>
        <v>M. 1320/ Gedong Air</v>
      </c>
      <c r="I825" s="44" t="str">
        <f t="array" ref="I825">IF(B825="","",_xlfn.XLOOKUP(B825,'Form responses 1'!$B$2:$B$2604,'Form responses 1'!$I$2:$I$2604,""))</f>
        <v>Gedong Air</v>
      </c>
      <c r="J825" s="44" t="str">
        <f t="array" ref="J825">IF(B825="","",_xlfn.XLOOKUP(B825,'Form responses 1'!$B$2:$B$2604,'Form responses 1'!$G$2:$G$2604,""))</f>
        <v>Rapita</v>
      </c>
      <c r="K825" s="41" t="s">
        <v>422</v>
      </c>
      <c r="L825" s="52">
        <f t="shared" si="7"/>
        <v>45608.44725</v>
      </c>
      <c r="M825" s="47" t="s">
        <v>5648</v>
      </c>
      <c r="N825" s="47" t="s">
        <v>5649</v>
      </c>
      <c r="O825" s="47" t="s">
        <v>5650</v>
      </c>
      <c r="P825" s="47" t="s">
        <v>5651</v>
      </c>
      <c r="Q825" s="49"/>
      <c r="R825" s="49"/>
      <c r="S825" s="49"/>
      <c r="T825" s="49"/>
      <c r="U825" s="49"/>
      <c r="V825" s="49"/>
      <c r="W825" s="41" t="s">
        <v>470</v>
      </c>
      <c r="X825" s="46">
        <f t="shared" si="5"/>
        <v>45608.54691</v>
      </c>
      <c r="Y825" s="50" t="s">
        <v>482</v>
      </c>
      <c r="Z825" s="49">
        <f t="shared" si="6"/>
        <v>4</v>
      </c>
    </row>
    <row r="826" ht="22.5" customHeight="1">
      <c r="B826" s="41" t="s">
        <v>4359</v>
      </c>
      <c r="C826" s="43">
        <f t="array" ref="C826">IF(B826="","",_xlfn.XLOOKUP(B826,'Form responses 1'!$B$2:$B$2604,'Form responses 1'!$A$2:$A$2604,""))</f>
        <v>45607.44617</v>
      </c>
      <c r="D826" s="44" t="str">
        <f t="shared" si="3"/>
        <v>K/10/111124/1_45607.4461705093</v>
      </c>
      <c r="E826" s="44" t="str">
        <f t="array" ref="E826">IF(B826="","",_xlfn.XLOOKUP(B826,'Form responses 1'!$B$2:$B$2604,'Form responses 1'!$C$2:$C$2604,""))</f>
        <v>FITRIANA/ HEVY</v>
      </c>
      <c r="F826" s="44" t="str">
        <f t="array" ref="F826">IF(B826="","",_xlfn.XLOOKUP(B826,'Form responses 1'!$B$2:$B$2604,'Form responses 1'!$D$2:$D$2604,""))</f>
        <v>0821479978</v>
      </c>
      <c r="G826" s="44" t="str">
        <f t="array" ref="G826">IF(B826="","",_xlfn.XLOOKUP(B826,'Form responses 1'!$B$2:$B$2604,'Form responses 1'!$E$2:$E$2604,""))</f>
        <v>ROYA</v>
      </c>
      <c r="H826" s="44" t="str">
        <f t="array" ref="H826">IF(B826="","",_xlfn.XLOOKUP(B826,'Form responses 1'!$B$2:$B$2604,'Form responses 1'!$F$2:$F$2604,""))</f>
        <v>M. 10853/ Jagabaya II</v>
      </c>
      <c r="I826" s="44" t="str">
        <f t="array" ref="I826">IF(B826="","",_xlfn.XLOOKUP(B826,'Form responses 1'!$B$2:$B$2604,'Form responses 1'!$I$2:$I$2604,""))</f>
        <v> Jagabaya II</v>
      </c>
      <c r="J826" s="44" t="str">
        <f t="array" ref="J826">IF(B826="","",_xlfn.XLOOKUP(B826,'Form responses 1'!$B$2:$B$2604,'Form responses 1'!$G$2:$G$2604,""))</f>
        <v>Hananda</v>
      </c>
      <c r="K826" s="41" t="s">
        <v>422</v>
      </c>
      <c r="L826" s="52">
        <f t="shared" si="7"/>
        <v>45608.44727</v>
      </c>
      <c r="M826" s="49"/>
      <c r="N826" s="49"/>
      <c r="O826" s="49"/>
      <c r="P826" s="49"/>
      <c r="Q826" s="49"/>
      <c r="R826" s="49"/>
      <c r="S826" s="49"/>
      <c r="T826" s="49"/>
      <c r="U826" s="49"/>
      <c r="V826" s="49"/>
      <c r="W826" s="41" t="s">
        <v>618</v>
      </c>
      <c r="X826" s="46">
        <f t="shared" si="5"/>
        <v>45608.45189</v>
      </c>
      <c r="Y826" s="50" t="s">
        <v>482</v>
      </c>
      <c r="Z826" s="49">
        <f t="shared" si="6"/>
        <v>0</v>
      </c>
    </row>
    <row r="827" ht="22.5" customHeight="1">
      <c r="B827" s="41" t="s">
        <v>4399</v>
      </c>
      <c r="C827" s="43">
        <f t="array" ref="C827">IF(B827="","",_xlfn.XLOOKUP(B827,'Form responses 1'!$B$2:$B$2604,'Form responses 1'!$A$2:$A$2604,""))</f>
        <v>45607.56995</v>
      </c>
      <c r="D827" s="44" t="str">
        <f t="shared" si="3"/>
        <v>K/22/111124/2_45607.5699549769</v>
      </c>
      <c r="E827" s="44" t="str">
        <f t="array" ref="E827">IF(B827="","",_xlfn.XLOOKUP(B827,'Form responses 1'!$B$2:$B$2604,'Form responses 1'!$C$2:$C$2604,""))</f>
        <v>RENALDI PRATAMA SIRYA</v>
      </c>
      <c r="F827" s="44" t="str">
        <f t="array" ref="F827">IF(B827="","",_xlfn.XLOOKUP(B827,'Form responses 1'!$B$2:$B$2604,'Form responses 1'!$D$2:$D$2604,""))</f>
        <v>081366788967</v>
      </c>
      <c r="G827" s="44" t="str">
        <f t="array" ref="G827">IF(B827="","",_xlfn.XLOOKUP(B827,'Form responses 1'!$B$2:$B$2604,'Form responses 1'!$E$2:$E$2604,""))</f>
        <v>BN JUAL BELI</v>
      </c>
      <c r="H827" s="44" t="str">
        <f t="array" ref="H827">IF(B827="","",_xlfn.XLOOKUP(B827,'Form responses 1'!$B$2:$B$2604,'Form responses 1'!$F$2:$F$2604,""))</f>
        <v>Nibel 1517/ Sawah Brebes</v>
      </c>
      <c r="I827" s="44" t="str">
        <f t="array" ref="I827">IF(B827="","",_xlfn.XLOOKUP(B827,'Form responses 1'!$B$2:$B$2604,'Form responses 1'!$I$2:$I$2604,""))</f>
        <v> Sawah Brebes</v>
      </c>
      <c r="J827" s="44" t="str">
        <f t="array" ref="J827">IF(B827="","",_xlfn.XLOOKUP(B827,'Form responses 1'!$B$2:$B$2604,'Form responses 1'!$G$2:$G$2604,""))</f>
        <v>Hananda</v>
      </c>
      <c r="K827" s="41" t="s">
        <v>1233</v>
      </c>
      <c r="L827" s="52">
        <f t="shared" si="7"/>
        <v>45608.54691</v>
      </c>
      <c r="M827" s="49"/>
      <c r="N827" s="49"/>
      <c r="O827" s="49"/>
      <c r="P827" s="49"/>
      <c r="Q827" s="49"/>
      <c r="R827" s="49"/>
      <c r="S827" s="49"/>
      <c r="T827" s="49"/>
      <c r="U827" s="49"/>
      <c r="V827" s="49"/>
      <c r="W827" s="41" t="s">
        <v>618</v>
      </c>
      <c r="X827" s="46">
        <f t="shared" si="5"/>
        <v>45608.54691</v>
      </c>
      <c r="Y827" s="50" t="s">
        <v>482</v>
      </c>
      <c r="Z827" s="49">
        <f t="shared" si="6"/>
        <v>0</v>
      </c>
    </row>
    <row r="828" ht="22.5" customHeight="1">
      <c r="B828" s="41" t="s">
        <v>4475</v>
      </c>
      <c r="C828" s="43">
        <f t="array" ref="C828">IF(B828="","",_xlfn.XLOOKUP(B828,'Form responses 1'!$B$2:$B$2604,'Form responses 1'!$A$2:$A$2604,""))</f>
        <v>45607.63011</v>
      </c>
      <c r="D828" s="44" t="str">
        <f t="shared" si="3"/>
        <v>K/42/111124/1_45607.6301079745</v>
      </c>
      <c r="E828" s="44" t="str">
        <f t="array" ref="E828">IF(B828="","",_xlfn.XLOOKUP(B828,'Form responses 1'!$B$2:$B$2604,'Form responses 1'!$C$2:$C$2604,""))</f>
        <v>Anggun Y/ Susanto</v>
      </c>
      <c r="F828" s="44" t="str">
        <f t="array" ref="F828">IF(B828="","",_xlfn.XLOOKUP(B828,'Form responses 1'!$B$2:$B$2604,'Form responses 1'!$D$2:$D$2604,""))</f>
        <v>085213181309</v>
      </c>
      <c r="G828" s="44" t="str">
        <f t="array" ref="G828">IF(B828="","",_xlfn.XLOOKUP(B828,'Form responses 1'!$B$2:$B$2604,'Form responses 1'!$E$2:$E$2604,""))</f>
        <v>Pemecahan</v>
      </c>
      <c r="H828" s="44" t="str">
        <f t="array" ref="H828">IF(B828="","",_xlfn.XLOOKUP(B828,'Form responses 1'!$B$2:$B$2604,'Form responses 1'!$F$2:$F$2604,""))</f>
        <v>M. 2213/ Labuhan Dalam</v>
      </c>
      <c r="I828" s="44" t="str">
        <f t="array" ref="I828">IF(B828="","",_xlfn.XLOOKUP(B828,'Form responses 1'!$B$2:$B$2604,'Form responses 1'!$I$2:$I$2604,""))</f>
        <v> Labuhan Dalam</v>
      </c>
      <c r="J828" s="44" t="str">
        <f t="array" ref="J828">IF(B828="","",_xlfn.XLOOKUP(B828,'Form responses 1'!$B$2:$B$2604,'Form responses 1'!$G$2:$G$2604,""))</f>
        <v>Rapita</v>
      </c>
      <c r="K828" s="41" t="s">
        <v>1233</v>
      </c>
      <c r="L828" s="52">
        <f t="shared" si="7"/>
        <v>45608.54691</v>
      </c>
      <c r="M828" s="47" t="s">
        <v>5652</v>
      </c>
      <c r="N828" s="49"/>
      <c r="O828" s="49"/>
      <c r="P828" s="49"/>
      <c r="Q828" s="49"/>
      <c r="R828" s="49"/>
      <c r="S828" s="49"/>
      <c r="T828" s="49"/>
      <c r="U828" s="49"/>
      <c r="V828" s="49"/>
      <c r="W828" s="41" t="s">
        <v>470</v>
      </c>
      <c r="X828" s="46">
        <f t="shared" si="5"/>
        <v>45608.54691</v>
      </c>
      <c r="Y828" s="50" t="s">
        <v>482</v>
      </c>
      <c r="Z828" s="49">
        <f t="shared" si="6"/>
        <v>1</v>
      </c>
    </row>
    <row r="829" ht="22.5" customHeight="1">
      <c r="B829" s="41" t="s">
        <v>4395</v>
      </c>
      <c r="C829" s="43">
        <f t="array" ref="C829">IF(B829="","",_xlfn.XLOOKUP(B829,'Form responses 1'!$B$2:$B$2604,'Form responses 1'!$A$2:$A$2604,""))</f>
        <v>45607.5692</v>
      </c>
      <c r="D829" s="44" t="str">
        <f t="shared" si="3"/>
        <v>K/20/111124/2_45607.5692040857</v>
      </c>
      <c r="E829" s="44" t="str">
        <f t="array" ref="E829">IF(B829="","",_xlfn.XLOOKUP(B829,'Form responses 1'!$B$2:$B$2604,'Form responses 1'!$C$2:$C$2604,""))</f>
        <v>Seruni W/ Iskandar Johar</v>
      </c>
      <c r="F829" s="44" t="str">
        <f t="array" ref="F829">IF(B829="","",_xlfn.XLOOKUP(B829,'Form responses 1'!$B$2:$B$2604,'Form responses 1'!$D$2:$D$2604,""))</f>
        <v>+62 895-6092-80120</v>
      </c>
      <c r="G829" s="44" t="str">
        <f t="array" ref="G829">IF(B829="","",_xlfn.XLOOKUP(B829,'Form responses 1'!$B$2:$B$2604,'Form responses 1'!$E$2:$E$2604,""))</f>
        <v>BN Jual Beli</v>
      </c>
      <c r="H829" s="44" t="str">
        <f t="array" ref="H829">IF(B829="","",_xlfn.XLOOKUP(B829,'Form responses 1'!$B$2:$B$2604,'Form responses 1'!$F$2:$F$2604,""))</f>
        <v>Nibel. M. 3511/ Gedong Meneng</v>
      </c>
      <c r="I829" s="44" t="str">
        <f t="array" ref="I829">IF(B829="","",_xlfn.XLOOKUP(B829,'Form responses 1'!$B$2:$B$2604,'Form responses 1'!$I$2:$I$2604,""))</f>
        <v>Gedong Meneng</v>
      </c>
      <c r="J829" s="44" t="str">
        <f t="array" ref="J829">IF(B829="","",_xlfn.XLOOKUP(B829,'Form responses 1'!$B$2:$B$2604,'Form responses 1'!$G$2:$G$2604,""))</f>
        <v>Rapita</v>
      </c>
      <c r="K829" s="41" t="s">
        <v>1233</v>
      </c>
      <c r="L829" s="52">
        <f t="shared" si="7"/>
        <v>45608.54691</v>
      </c>
      <c r="M829" s="49"/>
      <c r="N829" s="49"/>
      <c r="O829" s="49"/>
      <c r="P829" s="49"/>
      <c r="Q829" s="49"/>
      <c r="R829" s="49"/>
      <c r="S829" s="49"/>
      <c r="T829" s="49"/>
      <c r="U829" s="49"/>
      <c r="V829" s="49"/>
      <c r="W829" s="41" t="s">
        <v>618</v>
      </c>
      <c r="X829" s="46">
        <f t="shared" si="5"/>
        <v>45608.54691</v>
      </c>
      <c r="Y829" s="50" t="s">
        <v>482</v>
      </c>
      <c r="Z829" s="49">
        <f t="shared" si="6"/>
        <v>0</v>
      </c>
    </row>
    <row r="830" ht="22.5" customHeight="1">
      <c r="B830" s="41" t="s">
        <v>4112</v>
      </c>
      <c r="C830" s="43">
        <f t="array" ref="C830">IF(B830="","",_xlfn.XLOOKUP(B830,'Form responses 1'!$B$2:$B$2604,'Form responses 1'!$A$2:$A$2604,""))</f>
        <v>45604.38625</v>
      </c>
      <c r="D830" s="44" t="str">
        <f t="shared" si="3"/>
        <v>L/3/081124/1_45604.386248912</v>
      </c>
      <c r="E830" s="44" t="str">
        <f t="array" ref="E830">IF(B830="","",_xlfn.XLOOKUP(B830,'Form responses 1'!$B$2:$B$2604,'Form responses 1'!$C$2:$C$2604,""))</f>
        <v>NURAINI RAHIM</v>
      </c>
      <c r="F830" s="44" t="str">
        <f t="array" ref="F830">IF(B830="","",_xlfn.XLOOKUP(B830,'Form responses 1'!$B$2:$B$2604,'Form responses 1'!$D$2:$D$2604,""))</f>
        <v>081281066680</v>
      </c>
      <c r="G830" s="44" t="str">
        <f t="array" ref="G830">IF(B830="","",_xlfn.XLOOKUP(B830,'Form responses 1'!$B$2:$B$2604,'Form responses 1'!$E$2:$E$2604,""))</f>
        <v>SERTIPIKAT HILANG</v>
      </c>
      <c r="H830" s="44" t="str">
        <f t="array" ref="H830">IF(B830="","",_xlfn.XLOOKUP(B830,'Form responses 1'!$B$2:$B$2604,'Form responses 1'!$F$2:$F$2604,""))</f>
        <v>HM 10617/KEDAMAIAN (SHM TETANGGA)</v>
      </c>
      <c r="I830" s="44" t="str">
        <f t="array" ref="I830">IF(B830="","",_xlfn.XLOOKUP(B830,'Form responses 1'!$B$2:$B$2604,'Form responses 1'!$I$2:$I$2604,""))</f>
        <v>KEDAMADIAN</v>
      </c>
      <c r="J830" s="44" t="str">
        <f t="array" ref="J830">IF(B830="","",_xlfn.XLOOKUP(B830,'Form responses 1'!$B$2:$B$2604,'Form responses 1'!$G$2:$G$2604,""))</f>
        <v>Deby</v>
      </c>
      <c r="K830" s="41" t="s">
        <v>2421</v>
      </c>
      <c r="L830" s="52">
        <f t="shared" si="7"/>
        <v>45608.54691</v>
      </c>
      <c r="M830" s="47" t="s">
        <v>5653</v>
      </c>
      <c r="N830" s="47"/>
      <c r="O830" s="49"/>
      <c r="P830" s="49"/>
      <c r="Q830" s="49"/>
      <c r="R830" s="49"/>
      <c r="S830" s="49"/>
      <c r="T830" s="49"/>
      <c r="U830" s="49"/>
      <c r="V830" s="49"/>
      <c r="W830" s="41" t="s">
        <v>470</v>
      </c>
      <c r="X830" s="46">
        <f t="shared" si="5"/>
        <v>45608.54691</v>
      </c>
      <c r="Y830" s="50" t="s">
        <v>482</v>
      </c>
      <c r="Z830" s="49">
        <f t="shared" si="6"/>
        <v>1</v>
      </c>
    </row>
    <row r="831" ht="22.5" customHeight="1">
      <c r="B831" s="41" t="s">
        <v>4256</v>
      </c>
      <c r="C831" s="43">
        <f t="array" ref="C831">IF(B831="","",_xlfn.XLOOKUP(B831,'Form responses 1'!$B$2:$B$2604,'Form responses 1'!$A$2:$A$2604,""))</f>
        <v>45604.57775</v>
      </c>
      <c r="D831" s="44" t="str">
        <f t="shared" si="3"/>
        <v>K/35/081124/5_45604.5777504167</v>
      </c>
      <c r="E831" s="44" t="str">
        <f t="array" ref="E831">IF(B831="","",_xlfn.XLOOKUP(B831,'Form responses 1'!$B$2:$B$2604,'Form responses 1'!$C$2:$C$2604,""))</f>
        <v>RAIHAN SUDRAJAT/CHRISTINA ULINA</v>
      </c>
      <c r="F831" s="44" t="str">
        <f t="array" ref="F831">IF(B831="","",_xlfn.XLOOKUP(B831,'Form responses 1'!$B$2:$B$2604,'Form responses 1'!$D$2:$D$2604,""))</f>
        <v>0821-7879-5856</v>
      </c>
      <c r="G831" s="44" t="str">
        <f t="array" ref="G831">IF(B831="","",_xlfn.XLOOKUP(B831,'Form responses 1'!$B$2:$B$2604,'Form responses 1'!$E$2:$E$2604,""))</f>
        <v>BN JUAL BELI</v>
      </c>
      <c r="H831" s="44" t="str">
        <f t="array" ref="H831">IF(B831="","",_xlfn.XLOOKUP(B831,'Form responses 1'!$B$2:$B$2604,'Form responses 1'!$F$2:$F$2604,""))</f>
        <v>M.6867/TANJUNG SENENG</v>
      </c>
      <c r="I831" s="44" t="str">
        <f t="array" ref="I831">IF(B831="","",_xlfn.XLOOKUP(B831,'Form responses 1'!$B$2:$B$2604,'Form responses 1'!$I$2:$I$2604,""))</f>
        <v>TANJUNG SENENG</v>
      </c>
      <c r="J831" s="44" t="str">
        <f t="array" ref="J831">IF(B831="","",_xlfn.XLOOKUP(B831,'Form responses 1'!$B$2:$B$2604,'Form responses 1'!$G$2:$G$2604,""))</f>
        <v>Baynur</v>
      </c>
      <c r="K831" s="41" t="s">
        <v>2421</v>
      </c>
      <c r="L831" s="52">
        <f t="shared" si="7"/>
        <v>45608.54691</v>
      </c>
      <c r="M831" s="49"/>
      <c r="N831" s="49"/>
      <c r="O831" s="49"/>
      <c r="P831" s="49"/>
      <c r="Q831" s="49"/>
      <c r="R831" s="49"/>
      <c r="S831" s="49"/>
      <c r="T831" s="49"/>
      <c r="U831" s="49"/>
      <c r="V831" s="49"/>
      <c r="W831" s="41" t="s">
        <v>618</v>
      </c>
      <c r="X831" s="46">
        <f t="shared" si="5"/>
        <v>45609.479</v>
      </c>
      <c r="Y831" s="50" t="s">
        <v>482</v>
      </c>
      <c r="Z831" s="49">
        <f t="shared" si="6"/>
        <v>0</v>
      </c>
    </row>
    <row r="832" ht="22.5" customHeight="1">
      <c r="B832" s="41" t="s">
        <v>4262</v>
      </c>
      <c r="C832" s="43">
        <f t="array" ref="C832">IF(B832="","",_xlfn.XLOOKUP(B832,'Form responses 1'!$B$2:$B$2604,'Form responses 1'!$A$2:$A$2604,""))</f>
        <v>45604.57957</v>
      </c>
      <c r="D832" s="44" t="str">
        <f t="shared" si="3"/>
        <v>K/39/081124/1_45604.5795674074</v>
      </c>
      <c r="E832" s="44" t="str">
        <f t="array" ref="E832">IF(B832="","",_xlfn.XLOOKUP(B832,'Form responses 1'!$B$2:$B$2604,'Form responses 1'!$C$2:$C$2604,""))</f>
        <v>Ilanur/ Trian H</v>
      </c>
      <c r="F832" s="44" t="str">
        <f t="array" ref="F832">IF(B832="","",_xlfn.XLOOKUP(B832,'Form responses 1'!$B$2:$B$2604,'Form responses 1'!$D$2:$D$2604,""))</f>
        <v>0897799122178</v>
      </c>
      <c r="G832" s="44" t="str">
        <f t="array" ref="G832">IF(B832="","",_xlfn.XLOOKUP(B832,'Form responses 1'!$B$2:$B$2604,'Form responses 1'!$E$2:$E$2604,""))</f>
        <v>BN Lelang</v>
      </c>
      <c r="H832" s="44" t="str">
        <f t="array" ref="H832">IF(B832="","",_xlfn.XLOOKUP(B832,'Form responses 1'!$B$2:$B$2604,'Form responses 1'!$F$2:$F$2604,""))</f>
        <v>Nibel. M.3301/ Tanjung Senang</v>
      </c>
      <c r="I832" s="44" t="str">
        <f t="array" ref="I832">IF(B832="","",_xlfn.XLOOKUP(B832,'Form responses 1'!$B$2:$B$2604,'Form responses 1'!$I$2:$I$2604,""))</f>
        <v>Tanjung Senang</v>
      </c>
      <c r="J832" s="44" t="str">
        <f t="array" ref="J832">IF(B832="","",_xlfn.XLOOKUP(B832,'Form responses 1'!$B$2:$B$2604,'Form responses 1'!$G$2:$G$2604,""))</f>
        <v>Rapita</v>
      </c>
      <c r="K832" s="41" t="s">
        <v>2421</v>
      </c>
      <c r="L832" s="52">
        <f t="shared" si="7"/>
        <v>45608.54692</v>
      </c>
      <c r="M832" s="49"/>
      <c r="N832" s="49"/>
      <c r="O832" s="49"/>
      <c r="P832" s="49"/>
      <c r="Q832" s="49"/>
      <c r="R832" s="49"/>
      <c r="S832" s="49"/>
      <c r="T832" s="49"/>
      <c r="U832" s="49"/>
      <c r="V832" s="49"/>
      <c r="W832" s="41" t="s">
        <v>618</v>
      </c>
      <c r="X832" s="46">
        <f t="shared" si="5"/>
        <v>45609.40597</v>
      </c>
      <c r="Y832" s="50" t="s">
        <v>482</v>
      </c>
      <c r="Z832" s="49">
        <f t="shared" si="6"/>
        <v>0</v>
      </c>
    </row>
    <row r="833" ht="22.5" customHeight="1">
      <c r="B833" s="41" t="s">
        <v>4269</v>
      </c>
      <c r="C833" s="43">
        <f t="array" ref="C833">IF(B833="","",_xlfn.XLOOKUP(B833,'Form responses 1'!$B$2:$B$2604,'Form responses 1'!$A$2:$A$2604,""))</f>
        <v>45604.58062</v>
      </c>
      <c r="D833" s="44" t="str">
        <f t="shared" si="3"/>
        <v>K/38/081124/3_45604.5806203357</v>
      </c>
      <c r="E833" s="44" t="str">
        <f t="array" ref="E833">IF(B833="","",_xlfn.XLOOKUP(B833,'Form responses 1'!$B$2:$B$2604,'Form responses 1'!$C$2:$C$2604,""))</f>
        <v>PANARY SITOPU / MELJI</v>
      </c>
      <c r="F833" s="44" t="str">
        <f t="array" ref="F833">IF(B833="","",_xlfn.XLOOKUP(B833,'Form responses 1'!$B$2:$B$2604,'Form responses 1'!$D$2:$D$2604,""))</f>
        <v>+62 889-2977-399</v>
      </c>
      <c r="G833" s="44" t="str">
        <f t="array" ref="G833">IF(B833="","",_xlfn.XLOOKUP(B833,'Form responses 1'!$B$2:$B$2604,'Form responses 1'!$E$2:$E$2604,""))</f>
        <v>BN JUAL BELI</v>
      </c>
      <c r="H833" s="44" t="str">
        <f t="array" ref="H833">IF(B833="","",_xlfn.XLOOKUP(B833,'Form responses 1'!$B$2:$B$2604,'Form responses 1'!$F$2:$F$2604,""))</f>
        <v>NIBEL M. 6138/PELITA</v>
      </c>
      <c r="I833" s="44" t="str">
        <f t="array" ref="I833">IF(B833="","",_xlfn.XLOOKUP(B833,'Form responses 1'!$B$2:$B$2604,'Form responses 1'!$I$2:$I$2604,""))</f>
        <v>PELITA</v>
      </c>
      <c r="J833" s="44" t="str">
        <f t="array" ref="J833">IF(B833="","",_xlfn.XLOOKUP(B833,'Form responses 1'!$B$2:$B$2604,'Form responses 1'!$G$2:$G$2604,""))</f>
        <v>Aisyah</v>
      </c>
      <c r="K833" s="41" t="s">
        <v>2421</v>
      </c>
      <c r="L833" s="52">
        <f t="shared" si="7"/>
        <v>45608.54695</v>
      </c>
      <c r="M833" s="49"/>
      <c r="N833" s="49"/>
      <c r="O833" s="49"/>
      <c r="P833" s="49"/>
      <c r="Q833" s="49"/>
      <c r="R833" s="49"/>
      <c r="S833" s="49"/>
      <c r="T833" s="49"/>
      <c r="U833" s="49"/>
      <c r="V833" s="49"/>
      <c r="W833" s="41" t="s">
        <v>618</v>
      </c>
      <c r="X833" s="46">
        <f t="shared" si="5"/>
        <v>45609.40149</v>
      </c>
      <c r="Y833" s="50" t="s">
        <v>482</v>
      </c>
      <c r="Z833" s="49">
        <f t="shared" si="6"/>
        <v>0</v>
      </c>
    </row>
    <row r="834" ht="22.5" customHeight="1">
      <c r="B834" s="41" t="s">
        <v>4266</v>
      </c>
      <c r="C834" s="43">
        <f t="array" ref="C834">IF(B834="","",_xlfn.XLOOKUP(B834,'Form responses 1'!$B$2:$B$2604,'Form responses 1'!$A$2:$A$2604,""))</f>
        <v>45604.57999</v>
      </c>
      <c r="D834" s="44" t="str">
        <f t="shared" si="3"/>
        <v>K/37/081124/2_45604.5799855093</v>
      </c>
      <c r="E834" s="44" t="str">
        <f t="array" ref="E834">IF(B834="","",_xlfn.XLOOKUP(B834,'Form responses 1'!$B$2:$B$2604,'Form responses 1'!$C$2:$C$2604,""))</f>
        <v>PANARY SITOPU / MELJI</v>
      </c>
      <c r="F834" s="44" t="str">
        <f t="array" ref="F834">IF(B834="","",_xlfn.XLOOKUP(B834,'Form responses 1'!$B$2:$B$2604,'Form responses 1'!$D$2:$D$2604,""))</f>
        <v>+62 889-2977-399</v>
      </c>
      <c r="G834" s="44" t="str">
        <f t="array" ref="G834">IF(B834="","",_xlfn.XLOOKUP(B834,'Form responses 1'!$B$2:$B$2604,'Form responses 1'!$E$2:$E$2604,""))</f>
        <v>BN JUAL BELI</v>
      </c>
      <c r="H834" s="44" t="str">
        <f t="array" ref="H834">IF(B834="","",_xlfn.XLOOKUP(B834,'Form responses 1'!$B$2:$B$2604,'Form responses 1'!$F$2:$F$2604,""))</f>
        <v>NIBEL M. 6180/PELITA</v>
      </c>
      <c r="I834" s="44" t="str">
        <f t="array" ref="I834">IF(B834="","",_xlfn.XLOOKUP(B834,'Form responses 1'!$B$2:$B$2604,'Form responses 1'!$I$2:$I$2604,""))</f>
        <v>PELITA</v>
      </c>
      <c r="J834" s="44" t="str">
        <f t="array" ref="J834">IF(B834="","",_xlfn.XLOOKUP(B834,'Form responses 1'!$B$2:$B$2604,'Form responses 1'!$G$2:$G$2604,""))</f>
        <v>Aisyah</v>
      </c>
      <c r="K834" s="41" t="s">
        <v>2421</v>
      </c>
      <c r="L834" s="52">
        <f t="shared" si="7"/>
        <v>45608.54702</v>
      </c>
      <c r="M834" s="49"/>
      <c r="N834" s="49"/>
      <c r="O834" s="49"/>
      <c r="P834" s="49"/>
      <c r="Q834" s="49"/>
      <c r="R834" s="49"/>
      <c r="S834" s="49"/>
      <c r="T834" s="49"/>
      <c r="U834" s="49"/>
      <c r="V834" s="49"/>
      <c r="W834" s="41" t="s">
        <v>618</v>
      </c>
      <c r="X834" s="46">
        <f t="shared" si="5"/>
        <v>45609.39798</v>
      </c>
      <c r="Y834" s="50" t="s">
        <v>482</v>
      </c>
      <c r="Z834" s="49">
        <f t="shared" si="6"/>
        <v>0</v>
      </c>
    </row>
    <row r="835" ht="22.5" customHeight="1">
      <c r="B835" s="41" t="s">
        <v>4030</v>
      </c>
      <c r="C835" s="43">
        <f t="array" ref="C835">IF(B835="","",_xlfn.XLOOKUP(B835,'Form responses 1'!$B$2:$B$2604,'Form responses 1'!$A$2:$A$2604,""))</f>
        <v>45603.48049</v>
      </c>
      <c r="D835" s="44" t="str">
        <f t="shared" si="3"/>
        <v>L/22/071124/1_45603.480489456</v>
      </c>
      <c r="E835" s="44" t="str">
        <f t="array" ref="E835">IF(B835="","",_xlfn.XLOOKUP(B835,'Form responses 1'!$B$2:$B$2604,'Form responses 1'!$C$2:$C$2604,""))</f>
        <v>TAUPIK AKBAR</v>
      </c>
      <c r="F835" s="44" t="str">
        <f t="array" ref="F835">IF(B835="","",_xlfn.XLOOKUP(B835,'Form responses 1'!$B$2:$B$2604,'Form responses 1'!$D$2:$D$2604,""))</f>
        <v>081369751666</v>
      </c>
      <c r="G835" s="44" t="str">
        <f t="array" ref="G835">IF(B835="","",_xlfn.XLOOKUP(B835,'Form responses 1'!$B$2:$B$2604,'Form responses 1'!$E$2:$E$2604,""))</f>
        <v>BN HIBAH</v>
      </c>
      <c r="H835" s="44" t="str">
        <f t="array" ref="H835">IF(B835="","",_xlfn.XLOOKUP(B835,'Form responses 1'!$B$2:$B$2604,'Form responses 1'!$F$2:$F$2604,""))</f>
        <v>HM 2435/PANJANG UTARA</v>
      </c>
      <c r="I835" s="44" t="str">
        <f t="array" ref="I835">IF(B835="","",_xlfn.XLOOKUP(B835,'Form responses 1'!$B$2:$B$2604,'Form responses 1'!$I$2:$I$2604,""))</f>
        <v>PANJANG UTARA</v>
      </c>
      <c r="J835" s="44" t="str">
        <f t="array" ref="J835">IF(B835="","",_xlfn.XLOOKUP(B835,'Form responses 1'!$B$2:$B$2604,'Form responses 1'!$G$2:$G$2604,""))</f>
        <v>Deby</v>
      </c>
      <c r="K835" s="41" t="s">
        <v>2421</v>
      </c>
      <c r="L835" s="52">
        <f t="shared" si="7"/>
        <v>45608.54706</v>
      </c>
      <c r="M835" s="47" t="s">
        <v>5654</v>
      </c>
      <c r="N835" s="49"/>
      <c r="O835" s="49"/>
      <c r="P835" s="49"/>
      <c r="Q835" s="49"/>
      <c r="R835" s="49"/>
      <c r="S835" s="49"/>
      <c r="T835" s="49"/>
      <c r="U835" s="49"/>
      <c r="V835" s="49"/>
      <c r="W835" s="41" t="s">
        <v>470</v>
      </c>
      <c r="X835" s="46">
        <f t="shared" si="5"/>
        <v>45608.67888</v>
      </c>
      <c r="Y835" s="50" t="s">
        <v>482</v>
      </c>
      <c r="Z835" s="49">
        <f t="shared" si="6"/>
        <v>1</v>
      </c>
    </row>
    <row r="836" ht="22.5" customHeight="1">
      <c r="B836" s="41" t="s">
        <v>4057</v>
      </c>
      <c r="C836" s="43">
        <f t="array" ref="C836">IF(B836="","",_xlfn.XLOOKUP(B836,'Form responses 1'!$B$2:$B$2604,'Form responses 1'!$A$2:$A$2604,""))</f>
        <v>45603.57124</v>
      </c>
      <c r="D836" s="44" t="str">
        <f t="shared" si="3"/>
        <v>K/28/071124/3_45603.5712392477</v>
      </c>
      <c r="E836" s="44" t="str">
        <f t="array" ref="E836">IF(B836="","",_xlfn.XLOOKUP(B836,'Form responses 1'!$B$2:$B$2604,'Form responses 1'!$C$2:$C$2604,""))</f>
        <v>Ilanur/ Rudi M Irawan</v>
      </c>
      <c r="F836" s="44" t="str">
        <f t="array" ref="F836">IF(B836="","",_xlfn.XLOOKUP(B836,'Form responses 1'!$B$2:$B$2604,'Form responses 1'!$D$2:$D$2604,""))</f>
        <v>+62 897-9122-178</v>
      </c>
      <c r="G836" s="44" t="str">
        <f t="array" ref="G836">IF(B836="","",_xlfn.XLOOKUP(B836,'Form responses 1'!$B$2:$B$2604,'Form responses 1'!$E$2:$E$2604,""))</f>
        <v>BN Jual Beli</v>
      </c>
      <c r="H836" s="44" t="str">
        <f t="array" ref="H836">IF(B836="","",_xlfn.XLOOKUP(B836,'Form responses 1'!$B$2:$B$2604,'Form responses 1'!$F$2:$F$2604,""))</f>
        <v>Nibel. M. 699/ Kota Sepang</v>
      </c>
      <c r="I836" s="44" t="str">
        <f t="array" ref="I836">IF(B836="","",_xlfn.XLOOKUP(B836,'Form responses 1'!$B$2:$B$2604,'Form responses 1'!$I$2:$I$2604,""))</f>
        <v>Kota Sepang</v>
      </c>
      <c r="J836" s="44" t="str">
        <f t="array" ref="J836">IF(B836="","",_xlfn.XLOOKUP(B836,'Form responses 1'!$B$2:$B$2604,'Form responses 1'!$G$2:$G$2604,""))</f>
        <v>Rapita</v>
      </c>
      <c r="K836" s="41" t="s">
        <v>2421</v>
      </c>
      <c r="L836" s="52">
        <f t="shared" si="7"/>
        <v>45608.54709</v>
      </c>
      <c r="M836" s="47" t="s">
        <v>5655</v>
      </c>
      <c r="N836" s="49"/>
      <c r="O836" s="49"/>
      <c r="P836" s="49"/>
      <c r="Q836" s="49"/>
      <c r="R836" s="49"/>
      <c r="S836" s="49"/>
      <c r="T836" s="49"/>
      <c r="U836" s="49"/>
      <c r="V836" s="49"/>
      <c r="W836" s="41" t="s">
        <v>470</v>
      </c>
      <c r="X836" s="46">
        <f t="shared" si="5"/>
        <v>45608.65181</v>
      </c>
      <c r="Y836" s="50" t="s">
        <v>482</v>
      </c>
      <c r="Z836" s="49">
        <f t="shared" si="6"/>
        <v>1</v>
      </c>
    </row>
    <row r="837" ht="22.5" customHeight="1">
      <c r="B837" s="41" t="s">
        <v>3602</v>
      </c>
      <c r="C837" s="43">
        <f t="array" ref="C837">IF(B837="","",_xlfn.XLOOKUP(B837,'Form responses 1'!$B$2:$B$2604,'Form responses 1'!$A$2:$A$2604,""))</f>
        <v>45601.49158</v>
      </c>
      <c r="D837" s="44" t="str">
        <f t="shared" si="3"/>
        <v>L/33/051124/1_45601.4915801157</v>
      </c>
      <c r="E837" s="44" t="str">
        <f t="array" ref="E837">IF(B837="","",_xlfn.XLOOKUP(B837,'Form responses 1'!$B$2:$B$2604,'Form responses 1'!$C$2:$C$2604,""))</f>
        <v>EMY MARSINEM</v>
      </c>
      <c r="F837" s="44" t="str">
        <f t="array" ref="F837">IF(B837="","",_xlfn.XLOOKUP(B837,'Form responses 1'!$B$2:$B$2604,'Form responses 1'!$D$2:$D$2604,""))</f>
        <v>081272529928</v>
      </c>
      <c r="G837" s="44" t="str">
        <f t="array" ref="G837">IF(B837="","",_xlfn.XLOOKUP(B837,'Form responses 1'!$B$2:$B$2604,'Form responses 1'!$E$2:$E$2604,""))</f>
        <v>SERTIPIKAT PENGGANTI KARENA HILANG</v>
      </c>
      <c r="H837" s="44" t="str">
        <f t="array" ref="H837">IF(B837="","",_xlfn.XLOOKUP(B837,'Form responses 1'!$B$2:$B$2604,'Form responses 1'!$F$2:$F$2604,""))</f>
        <v>M.154/SUSUNAN BARU</v>
      </c>
      <c r="I837" s="44" t="str">
        <f t="array" ref="I837">IF(B837="","",_xlfn.XLOOKUP(B837,'Form responses 1'!$B$2:$B$2604,'Form responses 1'!$I$2:$I$2604,""))</f>
        <v>M.154/SUSUNAN BARU</v>
      </c>
      <c r="J837" s="44" t="str">
        <f t="array" ref="J837">IF(B837="","",_xlfn.XLOOKUP(B837,'Form responses 1'!$B$2:$B$2604,'Form responses 1'!$G$2:$G$2604,""))</f>
        <v>Deby</v>
      </c>
      <c r="K837" s="41" t="s">
        <v>2421</v>
      </c>
      <c r="L837" s="52">
        <f t="shared" si="7"/>
        <v>45608.54714</v>
      </c>
      <c r="M837" s="47" t="s">
        <v>5656</v>
      </c>
      <c r="N837" s="49"/>
      <c r="O837" s="49"/>
      <c r="P837" s="49"/>
      <c r="Q837" s="49"/>
      <c r="R837" s="49"/>
      <c r="S837" s="49"/>
      <c r="T837" s="49"/>
      <c r="U837" s="49"/>
      <c r="V837" s="49"/>
      <c r="W837" s="41" t="s">
        <v>618</v>
      </c>
      <c r="X837" s="46">
        <f t="shared" si="5"/>
        <v>45608.67109</v>
      </c>
      <c r="Y837" s="50" t="s">
        <v>482</v>
      </c>
      <c r="Z837" s="49">
        <f t="shared" si="6"/>
        <v>1</v>
      </c>
    </row>
    <row r="838" ht="22.5" customHeight="1">
      <c r="B838" s="41" t="s">
        <v>4434</v>
      </c>
      <c r="C838" s="43">
        <f t="array" ref="C838">IF(B838="","",_xlfn.XLOOKUP(B838,'Form responses 1'!$B$2:$B$2604,'Form responses 1'!$A$2:$A$2604,""))</f>
        <v>45607.60262</v>
      </c>
      <c r="D838" s="44" t="str">
        <f t="shared" si="3"/>
        <v>K/30/111124/4_45607.6026167593</v>
      </c>
      <c r="E838" s="44" t="str">
        <f t="array" ref="E838">IF(B838="","",_xlfn.XLOOKUP(B838,'Form responses 1'!$B$2:$B$2604,'Form responses 1'!$C$2:$C$2604,""))</f>
        <v>Evi Udin/ Krisnandar Cs</v>
      </c>
      <c r="F838" s="44" t="str">
        <f t="array" ref="F838">IF(B838="","",_xlfn.XLOOKUP(B838,'Form responses 1'!$B$2:$B$2604,'Form responses 1'!$D$2:$D$2604,""))</f>
        <v>+62 821-8499-9559</v>
      </c>
      <c r="G838" s="44" t="str">
        <f t="array" ref="G838">IF(B838="","",_xlfn.XLOOKUP(B838,'Form responses 1'!$B$2:$B$2604,'Form responses 1'!$E$2:$E$2604,""))</f>
        <v>BN Waris</v>
      </c>
      <c r="H838" s="44" t="str">
        <f t="array" ref="H838">IF(B838="","",_xlfn.XLOOKUP(B838,'Form responses 1'!$B$2:$B$2604,'Form responses 1'!$F$2:$F$2604,""))</f>
        <v>M. 12739/ Kedaton</v>
      </c>
      <c r="I838" s="44" t="str">
        <f t="array" ref="I838">IF(B838="","",_xlfn.XLOOKUP(B838,'Form responses 1'!$B$2:$B$2604,'Form responses 1'!$I$2:$I$2604,""))</f>
        <v>Kedaton</v>
      </c>
      <c r="J838" s="44" t="str">
        <f t="array" ref="J838">IF(B838="","",_xlfn.XLOOKUP(B838,'Form responses 1'!$B$2:$B$2604,'Form responses 1'!$G$2:$G$2604,""))</f>
        <v>Rapita</v>
      </c>
      <c r="K838" s="41" t="s">
        <v>1233</v>
      </c>
      <c r="L838" s="52">
        <f t="shared" si="7"/>
        <v>45608.54692</v>
      </c>
      <c r="M838" s="49"/>
      <c r="N838" s="49"/>
      <c r="O838" s="49"/>
      <c r="P838" s="49"/>
      <c r="Q838" s="49"/>
      <c r="R838" s="49"/>
      <c r="S838" s="49"/>
      <c r="T838" s="49"/>
      <c r="U838" s="49"/>
      <c r="V838" s="49"/>
      <c r="W838" s="41" t="s">
        <v>470</v>
      </c>
      <c r="X838" s="46">
        <f t="shared" si="5"/>
        <v>45608.55303</v>
      </c>
      <c r="Y838" s="50" t="s">
        <v>482</v>
      </c>
      <c r="Z838" s="49">
        <f t="shared" si="6"/>
        <v>0</v>
      </c>
    </row>
    <row r="839" ht="22.5" customHeight="1">
      <c r="B839" s="41" t="s">
        <v>3948</v>
      </c>
      <c r="C839" s="43">
        <f t="array" ref="C839">IF(B839="","",_xlfn.XLOOKUP(B839,'Form responses 1'!$B$2:$B$2604,'Form responses 1'!$A$2:$A$2604,""))</f>
        <v>45603.38171</v>
      </c>
      <c r="D839" s="44" t="str">
        <f t="shared" si="3"/>
        <v>K/2/071124/1_45603.3817141319</v>
      </c>
      <c r="E839" s="44" t="str">
        <f t="array" ref="E839">IF(B839="","",_xlfn.XLOOKUP(B839,'Form responses 1'!$B$2:$B$2604,'Form responses 1'!$C$2:$C$2604,""))</f>
        <v>YUNI ASTUTI/ SITI AMINAH CS</v>
      </c>
      <c r="F839" s="44" t="str">
        <f t="array" ref="F839">IF(B839="","",_xlfn.XLOOKUP(B839,'Form responses 1'!$B$2:$B$2604,'Form responses 1'!$D$2:$D$2604,""))</f>
        <v>085267545947</v>
      </c>
      <c r="G839" s="44" t="str">
        <f t="array" ref="G839">IF(B839="","",_xlfn.XLOOKUP(B839,'Form responses 1'!$B$2:$B$2604,'Form responses 1'!$E$2:$E$2604,""))</f>
        <v>BN WARIS</v>
      </c>
      <c r="H839" s="44" t="str">
        <f t="array" ref="H839">IF(B839="","",_xlfn.XLOOKUP(B839,'Form responses 1'!$B$2:$B$2604,'Form responses 1'!$F$2:$F$2604,""))</f>
        <v>M. 4107/ Tanjung Seneng</v>
      </c>
      <c r="I839" s="44" t="str">
        <f t="array" ref="I839">IF(B839="","",_xlfn.XLOOKUP(B839,'Form responses 1'!$B$2:$B$2604,'Form responses 1'!$I$2:$I$2604,""))</f>
        <v>Tanjung Seneng</v>
      </c>
      <c r="J839" s="44" t="str">
        <f t="array" ref="J839">IF(B839="","",_xlfn.XLOOKUP(B839,'Form responses 1'!$B$2:$B$2604,'Form responses 1'!$G$2:$G$2604,""))</f>
        <v>Hananda</v>
      </c>
      <c r="K839" s="41" t="s">
        <v>2421</v>
      </c>
      <c r="L839" s="52">
        <f t="shared" si="7"/>
        <v>45608.6092</v>
      </c>
      <c r="M839" s="49"/>
      <c r="N839" s="49"/>
      <c r="O839" s="49"/>
      <c r="P839" s="49"/>
      <c r="Q839" s="49"/>
      <c r="R839" s="49"/>
      <c r="S839" s="49"/>
      <c r="T839" s="49"/>
      <c r="U839" s="49"/>
      <c r="V839" s="49"/>
      <c r="W839" s="41" t="s">
        <v>618</v>
      </c>
      <c r="X839" s="46">
        <f t="shared" si="5"/>
        <v>45608.61394</v>
      </c>
      <c r="Y839" s="50" t="s">
        <v>482</v>
      </c>
      <c r="Z839" s="49">
        <f t="shared" si="6"/>
        <v>0</v>
      </c>
    </row>
    <row r="840" ht="22.5" customHeight="1">
      <c r="B840" s="41" t="s">
        <v>4486</v>
      </c>
      <c r="C840" s="43">
        <f t="array" ref="C840">IF(B840="","",_xlfn.XLOOKUP(B840,'Form responses 1'!$B$2:$B$2604,'Form responses 1'!$A$2:$A$2604,""))</f>
        <v>45607.64183</v>
      </c>
      <c r="D840" s="44" t="str">
        <f t="shared" si="3"/>
        <v>K/45/111124/2_45607.6418331366</v>
      </c>
      <c r="E840" s="44" t="str">
        <f t="array" ref="E840">IF(B840="","",_xlfn.XLOOKUP(B840,'Form responses 1'!$B$2:$B$2604,'Form responses 1'!$C$2:$C$2604,""))</f>
        <v>TEDDY WAN / KURNIA SANTOSO</v>
      </c>
      <c r="F840" s="44" t="str">
        <f t="array" ref="F840">IF(B840="","",_xlfn.XLOOKUP(B840,'Form responses 1'!$B$2:$B$2604,'Form responses 1'!$D$2:$D$2604,""))</f>
        <v>+62 821-8415-3778</v>
      </c>
      <c r="G840" s="44" t="str">
        <f t="array" ref="G840">IF(B840="","",_xlfn.XLOOKUP(B840,'Form responses 1'!$B$2:$B$2604,'Form responses 1'!$E$2:$E$2604,""))</f>
        <v>ROYA</v>
      </c>
      <c r="H840" s="44" t="str">
        <f t="array" ref="H840">IF(B840="","",_xlfn.XLOOKUP(B840,'Form responses 1'!$B$2:$B$2604,'Form responses 1'!$F$2:$F$2604,""))</f>
        <v>B.277/ BAKUNG</v>
      </c>
      <c r="I840" s="44" t="str">
        <f t="array" ref="I840">IF(B840="","",_xlfn.XLOOKUP(B840,'Form responses 1'!$B$2:$B$2604,'Form responses 1'!$I$2:$I$2604,""))</f>
        <v> BAKUNG</v>
      </c>
      <c r="J840" s="44" t="str">
        <f t="array" ref="J840">IF(B840="","",_xlfn.XLOOKUP(B840,'Form responses 1'!$B$2:$B$2604,'Form responses 1'!$G$2:$G$2604,""))</f>
        <v>Aisyah</v>
      </c>
      <c r="K840" s="41" t="s">
        <v>587</v>
      </c>
      <c r="L840" s="52">
        <f t="shared" si="7"/>
        <v>45609.30627</v>
      </c>
      <c r="M840" s="47" t="s">
        <v>5214</v>
      </c>
      <c r="N840" s="49"/>
      <c r="O840" s="49"/>
      <c r="P840" s="49"/>
      <c r="Q840" s="49"/>
      <c r="R840" s="49"/>
      <c r="S840" s="49"/>
      <c r="T840" s="49"/>
      <c r="U840" s="49"/>
      <c r="V840" s="49"/>
      <c r="W840" s="41" t="s">
        <v>618</v>
      </c>
      <c r="X840" s="46">
        <f t="shared" si="5"/>
        <v>45609.30639</v>
      </c>
      <c r="Y840" s="50" t="s">
        <v>482</v>
      </c>
      <c r="Z840" s="49">
        <f t="shared" si="6"/>
        <v>1</v>
      </c>
    </row>
    <row r="841" ht="22.5" customHeight="1">
      <c r="B841" s="41" t="s">
        <v>4541</v>
      </c>
      <c r="C841" s="43">
        <f t="array" ref="C841">IF(B841="","",_xlfn.XLOOKUP(B841,'Form responses 1'!$B$2:$B$2604,'Form responses 1'!$A$2:$A$2604,""))</f>
        <v>45608.44264</v>
      </c>
      <c r="D841" s="44" t="str">
        <f t="shared" si="3"/>
        <v>K/16/121124/1_45608.4426358218</v>
      </c>
      <c r="E841" s="44" t="str">
        <f t="array" ref="E841">IF(B841="","",_xlfn.XLOOKUP(B841,'Form responses 1'!$B$2:$B$2604,'Form responses 1'!$C$2:$C$2604,""))</f>
        <v>Dzaky Agustomi/ Elly R</v>
      </c>
      <c r="F841" s="44" t="str">
        <f t="array" ref="F841">IF(B841="","",_xlfn.XLOOKUP(B841,'Form responses 1'!$B$2:$B$2604,'Form responses 1'!$D$2:$D$2604,""))</f>
        <v>+62 822-5081-6900</v>
      </c>
      <c r="G841" s="44" t="str">
        <f t="array" ref="G841">IF(B841="","",_xlfn.XLOOKUP(B841,'Form responses 1'!$B$2:$B$2604,'Form responses 1'!$E$2:$E$2604,""))</f>
        <v>Penurunan Hak</v>
      </c>
      <c r="H841" s="44" t="str">
        <f t="array" ref="H841">IF(B841="","",_xlfn.XLOOKUP(B841,'Form responses 1'!$B$2:$B$2604,'Form responses 1'!$F$2:$F$2604,""))</f>
        <v>M. 253/ Kemiling Permai</v>
      </c>
      <c r="I841" s="44" t="str">
        <f t="array" ref="I841">IF(B841="","",_xlfn.XLOOKUP(B841,'Form responses 1'!$B$2:$B$2604,'Form responses 1'!$I$2:$I$2604,""))</f>
        <v>Kemiling Permai</v>
      </c>
      <c r="J841" s="44" t="str">
        <f t="array" ref="J841">IF(B841="","",_xlfn.XLOOKUP(B841,'Form responses 1'!$B$2:$B$2604,'Form responses 1'!$G$2:$G$2604,""))</f>
        <v>Rapita</v>
      </c>
      <c r="K841" s="41" t="s">
        <v>587</v>
      </c>
      <c r="L841" s="52">
        <f t="shared" si="7"/>
        <v>45609.35731</v>
      </c>
      <c r="M841" s="47" t="s">
        <v>470</v>
      </c>
      <c r="N841" s="49"/>
      <c r="O841" s="49"/>
      <c r="P841" s="49"/>
      <c r="Q841" s="49"/>
      <c r="R841" s="49"/>
      <c r="S841" s="49"/>
      <c r="T841" s="49"/>
      <c r="U841" s="49"/>
      <c r="V841" s="49"/>
      <c r="W841" s="41" t="s">
        <v>470</v>
      </c>
      <c r="X841" s="46">
        <f t="shared" si="5"/>
        <v>45610.37206</v>
      </c>
      <c r="Y841" s="50" t="s">
        <v>482</v>
      </c>
      <c r="Z841" s="49">
        <f t="shared" si="6"/>
        <v>1</v>
      </c>
    </row>
    <row r="842" ht="22.5" customHeight="1">
      <c r="B842" s="41" t="s">
        <v>4512</v>
      </c>
      <c r="C842" s="43">
        <f t="array" ref="C842">IF(B842="","",_xlfn.XLOOKUP(B842,'Form responses 1'!$B$2:$B$2604,'Form responses 1'!$A$2:$A$2604,""))</f>
        <v>45608.40883</v>
      </c>
      <c r="D842" s="44" t="str">
        <f t="shared" si="3"/>
        <v>K/7/121124/1_45608.4088326157</v>
      </c>
      <c r="E842" s="44" t="str">
        <f t="array" ref="E842">IF(B842="","",_xlfn.XLOOKUP(B842,'Form responses 1'!$B$2:$B$2604,'Form responses 1'!$C$2:$C$2604,""))</f>
        <v>Eko Tamina/ Indra Yama CS</v>
      </c>
      <c r="F842" s="44" t="str">
        <f t="array" ref="F842">IF(B842="","",_xlfn.XLOOKUP(B842,'Form responses 1'!$B$2:$B$2604,'Form responses 1'!$D$2:$D$2604,""))</f>
        <v>089503023565</v>
      </c>
      <c r="G842" s="44" t="str">
        <f t="array" ref="G842">IF(B842="","",_xlfn.XLOOKUP(B842,'Form responses 1'!$B$2:$B$2604,'Form responses 1'!$E$2:$E$2604,""))</f>
        <v>BN Waris</v>
      </c>
      <c r="H842" s="44" t="str">
        <f t="array" ref="H842">IF(B842="","",_xlfn.XLOOKUP(B842,'Form responses 1'!$B$2:$B$2604,'Form responses 1'!$F$2:$F$2604,""))</f>
        <v>M. 1103/ Sukamaju</v>
      </c>
      <c r="I842" s="44" t="str">
        <f t="array" ref="I842">IF(B842="","",_xlfn.XLOOKUP(B842,'Form responses 1'!$B$2:$B$2604,'Form responses 1'!$I$2:$I$2604,""))</f>
        <v>Sukamaju</v>
      </c>
      <c r="J842" s="44" t="str">
        <f t="array" ref="J842">IF(B842="","",_xlfn.XLOOKUP(B842,'Form responses 1'!$B$2:$B$2604,'Form responses 1'!$G$2:$G$2604,""))</f>
        <v>Rapita</v>
      </c>
      <c r="K842" s="41" t="s">
        <v>587</v>
      </c>
      <c r="L842" s="52">
        <f t="shared" si="7"/>
        <v>45609.35755</v>
      </c>
      <c r="M842" s="47" t="s">
        <v>470</v>
      </c>
      <c r="N842" s="49"/>
      <c r="O842" s="49"/>
      <c r="P842" s="49"/>
      <c r="Q842" s="49"/>
      <c r="R842" s="49"/>
      <c r="S842" s="49"/>
      <c r="T842" s="49"/>
      <c r="U842" s="49"/>
      <c r="V842" s="49"/>
      <c r="W842" s="41" t="s">
        <v>470</v>
      </c>
      <c r="X842" s="46">
        <f t="shared" si="5"/>
        <v>45610.37092</v>
      </c>
      <c r="Y842" s="50" t="s">
        <v>482</v>
      </c>
      <c r="Z842" s="49">
        <f t="shared" si="6"/>
        <v>1</v>
      </c>
    </row>
    <row r="843" ht="22.5" customHeight="1">
      <c r="B843" s="41" t="s">
        <v>4551</v>
      </c>
      <c r="C843" s="43">
        <f t="array" ref="C843">IF(B843="","",_xlfn.XLOOKUP(B843,'Form responses 1'!$B$2:$B$2604,'Form responses 1'!$A$2:$A$2604,""))</f>
        <v>45608.44737</v>
      </c>
      <c r="D843" s="44" t="str">
        <f t="shared" si="3"/>
        <v>K/18/121124/1_45608.4473661458</v>
      </c>
      <c r="E843" s="44" t="str">
        <f t="array" ref="E843">IF(B843="","",_xlfn.XLOOKUP(B843,'Form responses 1'!$B$2:$B$2604,'Form responses 1'!$C$2:$C$2604,""))</f>
        <v>KHOLILAH</v>
      </c>
      <c r="F843" s="44" t="str">
        <f t="array" ref="F843">IF(B843="","",_xlfn.XLOOKUP(B843,'Form responses 1'!$B$2:$B$2604,'Form responses 1'!$D$2:$D$2604,""))</f>
        <v>+62 821-7714-1515</v>
      </c>
      <c r="G843" s="44" t="str">
        <f t="array" ref="G843">IF(B843="","",_xlfn.XLOOKUP(B843,'Form responses 1'!$B$2:$B$2604,'Form responses 1'!$E$2:$E$2604,""))</f>
        <v>BN LELANG</v>
      </c>
      <c r="H843" s="44" t="str">
        <f t="array" ref="H843">IF(B843="","",_xlfn.XLOOKUP(B843,'Form responses 1'!$B$2:$B$2604,'Form responses 1'!$F$2:$F$2604,""))</f>
        <v>Nibel 5278/ kemiling raya</v>
      </c>
      <c r="I843" s="44" t="str">
        <f t="array" ref="I843">IF(B843="","",_xlfn.XLOOKUP(B843,'Form responses 1'!$B$2:$B$2604,'Form responses 1'!$I$2:$I$2604,""))</f>
        <v> kemiling raya</v>
      </c>
      <c r="J843" s="44" t="str">
        <f t="array" ref="J843">IF(B843="","",_xlfn.XLOOKUP(B843,'Form responses 1'!$B$2:$B$2604,'Form responses 1'!$G$2:$G$2604,""))</f>
        <v>Hananda</v>
      </c>
      <c r="K843" s="41" t="s">
        <v>587</v>
      </c>
      <c r="L843" s="52">
        <f t="shared" si="7"/>
        <v>45609.35782</v>
      </c>
      <c r="M843" s="47" t="s">
        <v>5214</v>
      </c>
      <c r="N843" s="49"/>
      <c r="O843" s="49"/>
      <c r="P843" s="49"/>
      <c r="Q843" s="49"/>
      <c r="R843" s="49"/>
      <c r="S843" s="49"/>
      <c r="T843" s="49"/>
      <c r="U843" s="49"/>
      <c r="V843" s="49"/>
      <c r="W843" s="41" t="s">
        <v>618</v>
      </c>
      <c r="X843" s="46">
        <f t="shared" si="5"/>
        <v>45610.36981</v>
      </c>
      <c r="Y843" s="50" t="s">
        <v>482</v>
      </c>
      <c r="Z843" s="49">
        <f t="shared" si="6"/>
        <v>1</v>
      </c>
    </row>
    <row r="844" ht="22.5" customHeight="1">
      <c r="B844" s="41" t="s">
        <v>4593</v>
      </c>
      <c r="C844" s="43">
        <f t="array" ref="C844">IF(B844="","",_xlfn.XLOOKUP(B844,'Form responses 1'!$B$2:$B$2604,'Form responses 1'!$A$2:$A$2604,""))</f>
        <v>45608.49062</v>
      </c>
      <c r="D844" s="44" t="str">
        <f t="shared" si="3"/>
        <v>K/30/121124/1_45608.4906178704</v>
      </c>
      <c r="E844" s="44" t="str">
        <f t="array" ref="E844">IF(B844="","",_xlfn.XLOOKUP(B844,'Form responses 1'!$B$2:$B$2604,'Form responses 1'!$C$2:$C$2604,""))</f>
        <v>AAN/PANARY SITOPU</v>
      </c>
      <c r="F844" s="44" t="str">
        <f t="array" ref="F844">IF(B844="","",_xlfn.XLOOKUP(B844,'Form responses 1'!$B$2:$B$2604,'Form responses 1'!$D$2:$D$2604,""))</f>
        <v>0889-2977-399</v>
      </c>
      <c r="G844" s="44" t="str">
        <f t="array" ref="G844">IF(B844="","",_xlfn.XLOOKUP(B844,'Form responses 1'!$B$2:$B$2604,'Form responses 1'!$E$2:$E$2604,""))</f>
        <v>BN JUAL BELI</v>
      </c>
      <c r="H844" s="44" t="str">
        <f t="array" ref="H844">IF(B844="","",_xlfn.XLOOKUP(B844,'Form responses 1'!$B$2:$B$2604,'Form responses 1'!$F$2:$F$2604,""))</f>
        <v>M.1142/BUMI KEDAMAIAN</v>
      </c>
      <c r="I844" s="44" t="str">
        <f t="array" ref="I844">IF(B844="","",_xlfn.XLOOKUP(B844,'Form responses 1'!$B$2:$B$2604,'Form responses 1'!$I$2:$I$2604,""))</f>
        <v>BUMI KEDAMAIAN</v>
      </c>
      <c r="J844" s="44" t="str">
        <f t="array" ref="J844">IF(B844="","",_xlfn.XLOOKUP(B844,'Form responses 1'!$B$2:$B$2604,'Form responses 1'!$G$2:$G$2604,""))</f>
        <v>Baynur</v>
      </c>
      <c r="K844" s="41" t="s">
        <v>587</v>
      </c>
      <c r="L844" s="52">
        <f t="shared" si="7"/>
        <v>45609.35798</v>
      </c>
      <c r="M844" s="47" t="s">
        <v>5214</v>
      </c>
      <c r="N844" s="49"/>
      <c r="O844" s="49"/>
      <c r="P844" s="49"/>
      <c r="Q844" s="49"/>
      <c r="R844" s="49"/>
      <c r="S844" s="49"/>
      <c r="T844" s="49"/>
      <c r="U844" s="49"/>
      <c r="V844" s="49"/>
      <c r="W844" s="41" t="s">
        <v>618</v>
      </c>
      <c r="X844" s="46">
        <f t="shared" si="5"/>
        <v>45610.36703</v>
      </c>
      <c r="Y844" s="50" t="s">
        <v>482</v>
      </c>
      <c r="Z844" s="49">
        <f t="shared" si="6"/>
        <v>1</v>
      </c>
    </row>
    <row r="845" ht="22.5" customHeight="1">
      <c r="B845" s="41" t="s">
        <v>4531</v>
      </c>
      <c r="C845" s="43">
        <f t="array" ref="C845">IF(B845="","",_xlfn.XLOOKUP(B845,'Form responses 1'!$B$2:$B$2604,'Form responses 1'!$A$2:$A$2604,""))</f>
        <v>45608.43149</v>
      </c>
      <c r="D845" s="44" t="str">
        <f t="shared" si="3"/>
        <v>K/12/121124/2_45608.4314913657</v>
      </c>
      <c r="E845" s="44" t="str">
        <f t="array" ref="E845">IF(B845="","",_xlfn.XLOOKUP(B845,'Form responses 1'!$B$2:$B$2604,'Form responses 1'!$C$2:$C$2604,""))</f>
        <v>EMAWATY/EKA SARI TAHERAH</v>
      </c>
      <c r="F845" s="44" t="str">
        <f t="array" ref="F845">IF(B845="","",_xlfn.XLOOKUP(B845,'Form responses 1'!$B$2:$B$2604,'Form responses 1'!$D$2:$D$2604,""))</f>
        <v>0895-3631-14046</v>
      </c>
      <c r="G845" s="44" t="str">
        <f t="array" ref="G845">IF(B845="","",_xlfn.XLOOKUP(B845,'Form responses 1'!$B$2:$B$2604,'Form responses 1'!$E$2:$E$2604,""))</f>
        <v>BN JUAL BELI</v>
      </c>
      <c r="H845" s="44" t="str">
        <f t="array" ref="H845">IF(B845="","",_xlfn.XLOOKUP(B845,'Form responses 1'!$B$2:$B$2604,'Form responses 1'!$F$2:$F$2604,""))</f>
        <v>M.2462/PINANG JAYA</v>
      </c>
      <c r="I845" s="44" t="str">
        <f t="array" ref="I845">IF(B845="","",_xlfn.XLOOKUP(B845,'Form responses 1'!$B$2:$B$2604,'Form responses 1'!$I$2:$I$2604,""))</f>
        <v>PINANG JAYA</v>
      </c>
      <c r="J845" s="44" t="str">
        <f t="array" ref="J845">IF(B845="","",_xlfn.XLOOKUP(B845,'Form responses 1'!$B$2:$B$2604,'Form responses 1'!$G$2:$G$2604,""))</f>
        <v>Baynur</v>
      </c>
      <c r="K845" s="41" t="s">
        <v>587</v>
      </c>
      <c r="L845" s="52">
        <f t="shared" si="7"/>
        <v>45609.35818</v>
      </c>
      <c r="M845" s="47" t="s">
        <v>470</v>
      </c>
      <c r="N845" s="49"/>
      <c r="O845" s="49"/>
      <c r="P845" s="49"/>
      <c r="Q845" s="49"/>
      <c r="R845" s="49"/>
      <c r="S845" s="49"/>
      <c r="T845" s="49"/>
      <c r="U845" s="49"/>
      <c r="V845" s="49"/>
      <c r="W845" s="41" t="s">
        <v>470</v>
      </c>
      <c r="X845" s="46">
        <f t="shared" si="5"/>
        <v>45610.3613</v>
      </c>
      <c r="Y845" s="50" t="s">
        <v>482</v>
      </c>
      <c r="Z845" s="49">
        <f t="shared" si="6"/>
        <v>1</v>
      </c>
    </row>
    <row r="846" ht="22.5" customHeight="1">
      <c r="B846" s="41" t="s">
        <v>4596</v>
      </c>
      <c r="C846" s="43">
        <f t="array" ref="C846">IF(B846="","",_xlfn.XLOOKUP(B846,'Form responses 1'!$B$2:$B$2604,'Form responses 1'!$A$2:$A$2604,""))</f>
        <v>45608.49126</v>
      </c>
      <c r="D846" s="44" t="str">
        <f t="shared" si="3"/>
        <v>K/31/121124/2_45608.4912618171</v>
      </c>
      <c r="E846" s="44" t="str">
        <f t="array" ref="E846">IF(B846="","",_xlfn.XLOOKUP(B846,'Form responses 1'!$B$2:$B$2604,'Form responses 1'!$C$2:$C$2604,""))</f>
        <v>WAHYUDI/PANARY SITOPU</v>
      </c>
      <c r="F846" s="44" t="str">
        <f t="array" ref="F846">IF(B846="","",_xlfn.XLOOKUP(B846,'Form responses 1'!$B$2:$B$2604,'Form responses 1'!$D$2:$D$2604,""))</f>
        <v>0889-2977-399</v>
      </c>
      <c r="G846" s="44" t="str">
        <f t="array" ref="G846">IF(B846="","",_xlfn.XLOOKUP(B846,'Form responses 1'!$B$2:$B$2604,'Form responses 1'!$E$2:$E$2604,""))</f>
        <v>ROYA</v>
      </c>
      <c r="H846" s="44" t="str">
        <f t="array" ref="H846">IF(B846="","",_xlfn.XLOOKUP(B846,'Form responses 1'!$B$2:$B$2604,'Form responses 1'!$F$2:$F$2604,""))</f>
        <v>M.14216/RAJABASA</v>
      </c>
      <c r="I846" s="44" t="str">
        <f t="array" ref="I846">IF(B846="","",_xlfn.XLOOKUP(B846,'Form responses 1'!$B$2:$B$2604,'Form responses 1'!$I$2:$I$2604,""))</f>
        <v>RAJABASA</v>
      </c>
      <c r="J846" s="44" t="str">
        <f t="array" ref="J846">IF(B846="","",_xlfn.XLOOKUP(B846,'Form responses 1'!$B$2:$B$2604,'Form responses 1'!$G$2:$G$2604,""))</f>
        <v>Baynur</v>
      </c>
      <c r="K846" s="41" t="s">
        <v>587</v>
      </c>
      <c r="L846" s="52">
        <f t="shared" si="7"/>
        <v>45609.3587</v>
      </c>
      <c r="M846" s="47" t="s">
        <v>5214</v>
      </c>
      <c r="N846" s="49"/>
      <c r="O846" s="49"/>
      <c r="P846" s="49"/>
      <c r="Q846" s="49"/>
      <c r="R846" s="49"/>
      <c r="S846" s="49"/>
      <c r="T846" s="49"/>
      <c r="U846" s="49"/>
      <c r="V846" s="49"/>
      <c r="W846" s="41" t="s">
        <v>618</v>
      </c>
      <c r="X846" s="46">
        <f t="shared" si="5"/>
        <v>45610.36743</v>
      </c>
      <c r="Y846" s="50" t="s">
        <v>482</v>
      </c>
      <c r="Z846" s="49">
        <f t="shared" si="6"/>
        <v>1</v>
      </c>
    </row>
    <row r="847" ht="22.5" customHeight="1">
      <c r="B847" s="41" t="s">
        <v>4548</v>
      </c>
      <c r="C847" s="43">
        <f t="array" ref="C847">IF(B847="","",_xlfn.XLOOKUP(B847,'Form responses 1'!$B$2:$B$2604,'Form responses 1'!$A$2:$A$2604,""))</f>
        <v>45608.44637</v>
      </c>
      <c r="D847" s="44" t="str">
        <f t="shared" si="3"/>
        <v>K/17/121124/3_45608.4463724074</v>
      </c>
      <c r="E847" s="44" t="str">
        <f t="array" ref="E847">IF(B847="","",_xlfn.XLOOKUP(B847,'Form responses 1'!$B$2:$B$2604,'Form responses 1'!$C$2:$C$2604,""))</f>
        <v>RASIMAN/EKA SARI TAHERAH</v>
      </c>
      <c r="F847" s="44" t="str">
        <f t="array" ref="F847">IF(B847="","",_xlfn.XLOOKUP(B847,'Form responses 1'!$B$2:$B$2604,'Form responses 1'!$D$2:$D$2604,""))</f>
        <v>0895-3631-14046</v>
      </c>
      <c r="G847" s="44" t="str">
        <f t="array" ref="G847">IF(B847="","",_xlfn.XLOOKUP(B847,'Form responses 1'!$B$2:$B$2604,'Form responses 1'!$E$2:$E$2604,""))</f>
        <v>ROYA</v>
      </c>
      <c r="H847" s="44" t="str">
        <f t="array" ref="H847">IF(B847="","",_xlfn.XLOOKUP(B847,'Form responses 1'!$B$2:$B$2604,'Form responses 1'!$F$2:$F$2604,""))</f>
        <v>M.15/RAJABASA JAYA</v>
      </c>
      <c r="I847" s="44" t="str">
        <f t="array" ref="I847">IF(B847="","",_xlfn.XLOOKUP(B847,'Form responses 1'!$B$2:$B$2604,'Form responses 1'!$I$2:$I$2604,""))</f>
        <v>RAJABASA JAYA</v>
      </c>
      <c r="J847" s="44" t="str">
        <f t="array" ref="J847">IF(B847="","",_xlfn.XLOOKUP(B847,'Form responses 1'!$B$2:$B$2604,'Form responses 1'!$G$2:$G$2604,""))</f>
        <v>Baynur</v>
      </c>
      <c r="K847" s="41" t="s">
        <v>587</v>
      </c>
      <c r="L847" s="52">
        <f t="shared" si="7"/>
        <v>45609.35887</v>
      </c>
      <c r="M847" s="47" t="s">
        <v>5214</v>
      </c>
      <c r="N847" s="49"/>
      <c r="O847" s="49"/>
      <c r="P847" s="49"/>
      <c r="Q847" s="49"/>
      <c r="R847" s="49"/>
      <c r="S847" s="49"/>
      <c r="T847" s="49"/>
      <c r="U847" s="49"/>
      <c r="V847" s="49"/>
      <c r="W847" s="41" t="s">
        <v>618</v>
      </c>
      <c r="X847" s="46">
        <f t="shared" si="5"/>
        <v>45610.36857</v>
      </c>
      <c r="Y847" s="50" t="s">
        <v>482</v>
      </c>
      <c r="Z847" s="49">
        <f t="shared" si="6"/>
        <v>1</v>
      </c>
    </row>
    <row r="848" ht="22.5" customHeight="1">
      <c r="B848" s="41" t="s">
        <v>4555</v>
      </c>
      <c r="C848" s="43">
        <f t="array" ref="C848">IF(B848="","",_xlfn.XLOOKUP(B848,'Form responses 1'!$B$2:$B$2604,'Form responses 1'!$A$2:$A$2604,""))</f>
        <v>45608.45385</v>
      </c>
      <c r="D848" s="44" t="str">
        <f t="shared" si="3"/>
        <v>K/19/121124/1_45608.4538525463</v>
      </c>
      <c r="E848" s="44" t="str">
        <f t="array" ref="E848">IF(B848="","",_xlfn.XLOOKUP(B848,'Form responses 1'!$B$2:$B$2604,'Form responses 1'!$C$2:$C$2604,""))</f>
        <v>BILLY OBOR ABABIL / ACHMAD RIATAMA</v>
      </c>
      <c r="F848" s="44" t="str">
        <f t="array" ref="F848">IF(B848="","",_xlfn.XLOOKUP(B848,'Form responses 1'!$B$2:$B$2604,'Form responses 1'!$D$2:$D$2604,""))</f>
        <v>089605394389</v>
      </c>
      <c r="G848" s="44" t="str">
        <f t="array" ref="G848">IF(B848="","",_xlfn.XLOOKUP(B848,'Form responses 1'!$B$2:$B$2604,'Form responses 1'!$E$2:$E$2604,""))</f>
        <v>PH</v>
      </c>
      <c r="H848" s="44" t="str">
        <f t="array" ref="H848">IF(B848="","",_xlfn.XLOOKUP(B848,'Form responses 1'!$B$2:$B$2604,'Form responses 1'!$F$2:$F$2604,""))</f>
        <v>B. 225/ LABUHAN RATU RAYA</v>
      </c>
      <c r="I848" s="44" t="str">
        <f t="array" ref="I848">IF(B848="","",_xlfn.XLOOKUP(B848,'Form responses 1'!$B$2:$B$2604,'Form responses 1'!$I$2:$I$2604,""))</f>
        <v>LABUHAN RATU RAYA</v>
      </c>
      <c r="J848" s="44" t="str">
        <f t="array" ref="J848">IF(B848="","",_xlfn.XLOOKUP(B848,'Form responses 1'!$B$2:$B$2604,'Form responses 1'!$G$2:$G$2604,""))</f>
        <v>Aisyah</v>
      </c>
      <c r="K848" s="41" t="s">
        <v>587</v>
      </c>
      <c r="L848" s="52">
        <f t="shared" si="7"/>
        <v>45609.3591</v>
      </c>
      <c r="M848" s="47" t="s">
        <v>5657</v>
      </c>
      <c r="N848" s="49"/>
      <c r="O848" s="49"/>
      <c r="P848" s="49"/>
      <c r="Q848" s="49"/>
      <c r="R848" s="49"/>
      <c r="S848" s="49"/>
      <c r="T848" s="49"/>
      <c r="U848" s="49"/>
      <c r="V848" s="49"/>
      <c r="W848" s="41" t="s">
        <v>470</v>
      </c>
      <c r="X848" s="46">
        <f t="shared" si="5"/>
        <v>45610.60921</v>
      </c>
      <c r="Y848" s="50" t="s">
        <v>482</v>
      </c>
      <c r="Z848" s="49">
        <f t="shared" si="6"/>
        <v>1</v>
      </c>
    </row>
    <row r="849" ht="22.5" customHeight="1">
      <c r="B849" s="41" t="s">
        <v>4573</v>
      </c>
      <c r="C849" s="43">
        <f t="array" ref="C849">IF(B849="","",_xlfn.XLOOKUP(B849,'Form responses 1'!$B$2:$B$2604,'Form responses 1'!$A$2:$A$2604,""))</f>
        <v>45608.47485</v>
      </c>
      <c r="D849" s="44" t="str">
        <f t="shared" si="3"/>
        <v>K/25/121124/1_45608.4748506944</v>
      </c>
      <c r="E849" s="44" t="str">
        <f t="array" ref="E849">IF(B849="","",_xlfn.XLOOKUP(B849,'Form responses 1'!$B$2:$B$2604,'Form responses 1'!$C$2:$C$2604,""))</f>
        <v>SINTA WULAN DESI / HERU WIRYOKO</v>
      </c>
      <c r="F849" s="44" t="str">
        <f t="array" ref="F849">IF(B849="","",_xlfn.XLOOKUP(B849,'Form responses 1'!$B$2:$B$2604,'Form responses 1'!$D$2:$D$2604,""))</f>
        <v>085379950896</v>
      </c>
      <c r="G849" s="44" t="str">
        <f t="array" ref="G849">IF(B849="","",_xlfn.XLOOKUP(B849,'Form responses 1'!$B$2:$B$2604,'Form responses 1'!$E$2:$E$2604,""))</f>
        <v>ROYA</v>
      </c>
      <c r="H849" s="44" t="str">
        <f t="array" ref="H849">IF(B849="","",_xlfn.XLOOKUP(B849,'Form responses 1'!$B$2:$B$2604,'Form responses 1'!$F$2:$F$2604,""))</f>
        <v>M. 2237/LANGKAPURA</v>
      </c>
      <c r="I849" s="44" t="str">
        <f t="array" ref="I849">IF(B849="","",_xlfn.XLOOKUP(B849,'Form responses 1'!$B$2:$B$2604,'Form responses 1'!$I$2:$I$2604,""))</f>
        <v>LANGKAPURA</v>
      </c>
      <c r="J849" s="44" t="str">
        <f t="array" ref="J849">IF(B849="","",_xlfn.XLOOKUP(B849,'Form responses 1'!$B$2:$B$2604,'Form responses 1'!$G$2:$G$2604,""))</f>
        <v>Aisyah</v>
      </c>
      <c r="K849" s="41" t="s">
        <v>587</v>
      </c>
      <c r="L849" s="52">
        <f t="shared" si="7"/>
        <v>45609.35927</v>
      </c>
      <c r="M849" s="47" t="s">
        <v>5214</v>
      </c>
      <c r="N849" s="49"/>
      <c r="O849" s="49"/>
      <c r="P849" s="49"/>
      <c r="Q849" s="49"/>
      <c r="R849" s="49"/>
      <c r="S849" s="49"/>
      <c r="T849" s="49"/>
      <c r="U849" s="49"/>
      <c r="V849" s="49"/>
      <c r="W849" s="41" t="s">
        <v>618</v>
      </c>
      <c r="X849" s="46">
        <f t="shared" si="5"/>
        <v>45610.60699</v>
      </c>
      <c r="Y849" s="50" t="s">
        <v>482</v>
      </c>
      <c r="Z849" s="49">
        <f t="shared" si="6"/>
        <v>1</v>
      </c>
    </row>
    <row r="850" ht="22.5" customHeight="1">
      <c r="B850" s="41" t="s">
        <v>4589</v>
      </c>
      <c r="C850" s="43">
        <f t="array" ref="C850">IF(B850="","",_xlfn.XLOOKUP(B850,'Form responses 1'!$B$2:$B$2604,'Form responses 1'!$A$2:$A$2604,""))</f>
        <v>45608.4859</v>
      </c>
      <c r="D850" s="44" t="str">
        <f t="shared" si="3"/>
        <v>L/29/121124/1_45608.4859006713</v>
      </c>
      <c r="E850" s="44" t="str">
        <f t="array" ref="E850">IF(B850="","",_xlfn.XLOOKUP(B850,'Form responses 1'!$B$2:$B$2604,'Form responses 1'!$C$2:$C$2604,""))</f>
        <v>ASTRID TANDIARI</v>
      </c>
      <c r="F850" s="44" t="str">
        <f t="array" ref="F850">IF(B850="","",_xlfn.XLOOKUP(B850,'Form responses 1'!$B$2:$B$2604,'Form responses 1'!$D$2:$D$2604,""))</f>
        <v>08127211135</v>
      </c>
      <c r="G850" s="44" t="str">
        <f t="array" ref="G850">IF(B850="","",_xlfn.XLOOKUP(B850,'Form responses 1'!$B$2:$B$2604,'Form responses 1'!$E$2:$E$2604,""))</f>
        <v>ROYA</v>
      </c>
      <c r="H850" s="44" t="str">
        <f t="array" ref="H850">IF(B850="","",_xlfn.XLOOKUP(B850,'Form responses 1'!$B$2:$B$2604,'Form responses 1'!$F$2:$F$2604,""))</f>
        <v>HM 358/WHP</v>
      </c>
      <c r="I850" s="44" t="str">
        <f t="array" ref="I850">IF(B850="","",_xlfn.XLOOKUP(B850,'Form responses 1'!$B$2:$B$2604,'Form responses 1'!$I$2:$I$2604,""))</f>
        <v>WAY HALIM PERMAI</v>
      </c>
      <c r="J850" s="44" t="str">
        <f t="array" ref="J850">IF(B850="","",_xlfn.XLOOKUP(B850,'Form responses 1'!$B$2:$B$2604,'Form responses 1'!$G$2:$G$2604,""))</f>
        <v>Deby</v>
      </c>
      <c r="K850" s="41" t="s">
        <v>2421</v>
      </c>
      <c r="L850" s="52">
        <f t="shared" si="7"/>
        <v>45609.36778</v>
      </c>
      <c r="M850" s="49"/>
      <c r="N850" s="49"/>
      <c r="O850" s="49"/>
      <c r="P850" s="49"/>
      <c r="Q850" s="49"/>
      <c r="R850" s="49"/>
      <c r="S850" s="49"/>
      <c r="T850" s="49"/>
      <c r="U850" s="49"/>
      <c r="V850" s="49"/>
      <c r="W850" s="41" t="s">
        <v>618</v>
      </c>
      <c r="X850" s="46">
        <f t="shared" si="5"/>
        <v>45609.57063</v>
      </c>
      <c r="Y850" s="50" t="s">
        <v>482</v>
      </c>
      <c r="Z850" s="49">
        <f t="shared" si="6"/>
        <v>0</v>
      </c>
    </row>
    <row r="851" ht="22.5" customHeight="1">
      <c r="B851" s="41" t="s">
        <v>4603</v>
      </c>
      <c r="C851" s="43">
        <f t="array" ref="C851">IF(B851="","",_xlfn.XLOOKUP(B851,'Form responses 1'!$B$2:$B$2604,'Form responses 1'!$A$2:$A$2604,""))</f>
        <v>45608.54654</v>
      </c>
      <c r="D851" s="44" t="str">
        <f t="shared" si="3"/>
        <v>L/33/121124/1_45608.5465416088</v>
      </c>
      <c r="E851" s="44" t="str">
        <f t="array" ref="E851">IF(B851="","",_xlfn.XLOOKUP(B851,'Form responses 1'!$B$2:$B$2604,'Form responses 1'!$C$2:$C$2604,""))</f>
        <v>NONING VERAWATI</v>
      </c>
      <c r="F851" s="44" t="str">
        <f t="array" ref="F851">IF(B851="","",_xlfn.XLOOKUP(B851,'Form responses 1'!$B$2:$B$2604,'Form responses 1'!$D$2:$D$2604,""))</f>
        <v>081392853835</v>
      </c>
      <c r="G851" s="44" t="str">
        <f t="array" ref="G851">IF(B851="","",_xlfn.XLOOKUP(B851,'Form responses 1'!$B$2:$B$2604,'Form responses 1'!$E$2:$E$2604,""))</f>
        <v>ROYA</v>
      </c>
      <c r="H851" s="44" t="str">
        <f t="array" ref="H851">IF(B851="","",_xlfn.XLOOKUP(B851,'Form responses 1'!$B$2:$B$2604,'Form responses 1'!$F$2:$F$2604,""))</f>
        <v>HM 838/PINANG JAYA</v>
      </c>
      <c r="I851" s="44" t="str">
        <f t="array" ref="I851">IF(B851="","",_xlfn.XLOOKUP(B851,'Form responses 1'!$B$2:$B$2604,'Form responses 1'!$I$2:$I$2604,""))</f>
        <v>PINANG JAYA</v>
      </c>
      <c r="J851" s="44" t="str">
        <f t="array" ref="J851">IF(B851="","",_xlfn.XLOOKUP(B851,'Form responses 1'!$B$2:$B$2604,'Form responses 1'!$G$2:$G$2604,""))</f>
        <v>Deby</v>
      </c>
      <c r="K851" s="41" t="s">
        <v>2421</v>
      </c>
      <c r="L851" s="52">
        <f t="shared" si="7"/>
        <v>45609.3678</v>
      </c>
      <c r="M851" s="49"/>
      <c r="N851" s="49"/>
      <c r="O851" s="49"/>
      <c r="P851" s="49"/>
      <c r="Q851" s="49"/>
      <c r="R851" s="49"/>
      <c r="S851" s="49"/>
      <c r="T851" s="49"/>
      <c r="U851" s="49"/>
      <c r="V851" s="49"/>
      <c r="W851" s="41" t="s">
        <v>618</v>
      </c>
      <c r="X851" s="46">
        <f t="shared" si="5"/>
        <v>45609.57258</v>
      </c>
      <c r="Y851" s="50" t="s">
        <v>482</v>
      </c>
      <c r="Z851" s="49">
        <f t="shared" si="6"/>
        <v>0</v>
      </c>
    </row>
    <row r="852" ht="22.5" customHeight="1">
      <c r="B852" s="41" t="s">
        <v>4570</v>
      </c>
      <c r="C852" s="43">
        <f t="array" ref="C852">IF(B852="","",_xlfn.XLOOKUP(B852,'Form responses 1'!$B$2:$B$2604,'Form responses 1'!$A$2:$A$2604,""))</f>
        <v>45608.46094</v>
      </c>
      <c r="D852" s="44" t="str">
        <f t="shared" si="3"/>
        <v>K/23/121124/1_45608.4609395255</v>
      </c>
      <c r="E852" s="44" t="str">
        <f t="array" ref="E852">IF(B852="","",_xlfn.XLOOKUP(B852,'Form responses 1'!$B$2:$B$2604,'Form responses 1'!$C$2:$C$2604,""))</f>
        <v>NANIK MARYANI/ WENDY</v>
      </c>
      <c r="F852" s="44" t="str">
        <f t="array" ref="F852">IF(B852="","",_xlfn.XLOOKUP(B852,'Form responses 1'!$B$2:$B$2604,'Form responses 1'!$D$2:$D$2604,""))</f>
        <v>082250816900</v>
      </c>
      <c r="G852" s="44" t="str">
        <f t="array" ref="G852">IF(B852="","",_xlfn.XLOOKUP(B852,'Form responses 1'!$B$2:$B$2604,'Form responses 1'!$E$2:$E$2604,""))</f>
        <v>PERUBAHAN HAK</v>
      </c>
      <c r="H852" s="44" t="str">
        <f t="array" ref="H852">IF(B852="","",_xlfn.XLOOKUP(B852,'Form responses 1'!$B$2:$B$2604,'Form responses 1'!$F$2:$F$2604,""))</f>
        <v>Nibel 1221/ Durian Payung</v>
      </c>
      <c r="I852" s="44" t="str">
        <f t="array" ref="I852">IF(B852="","",_xlfn.XLOOKUP(B852,'Form responses 1'!$B$2:$B$2604,'Form responses 1'!$I$2:$I$2604,""))</f>
        <v>Durian Payung</v>
      </c>
      <c r="J852" s="44" t="str">
        <f t="array" ref="J852">IF(B852="","",_xlfn.XLOOKUP(B852,'Form responses 1'!$B$2:$B$2604,'Form responses 1'!$G$2:$G$2604,""))</f>
        <v>Hananda</v>
      </c>
      <c r="K852" s="41" t="s">
        <v>2421</v>
      </c>
      <c r="L852" s="52">
        <f t="shared" si="7"/>
        <v>45609.36782</v>
      </c>
      <c r="M852" s="47" t="s">
        <v>5658</v>
      </c>
      <c r="N852" s="49"/>
      <c r="O852" s="49"/>
      <c r="P852" s="49"/>
      <c r="Q852" s="49"/>
      <c r="R852" s="49"/>
      <c r="S852" s="49"/>
      <c r="T852" s="49"/>
      <c r="U852" s="49"/>
      <c r="V852" s="49"/>
      <c r="W852" s="41" t="s">
        <v>470</v>
      </c>
      <c r="X852" s="46">
        <f t="shared" si="5"/>
        <v>45609.57986</v>
      </c>
      <c r="Y852" s="50" t="s">
        <v>482</v>
      </c>
      <c r="Z852" s="49">
        <f t="shared" si="6"/>
        <v>1</v>
      </c>
    </row>
    <row r="853" ht="22.5" customHeight="1">
      <c r="B853" s="41" t="s">
        <v>4509</v>
      </c>
      <c r="C853" s="43">
        <f t="array" ref="C853">IF(B853="","",_xlfn.XLOOKUP(B853,'Form responses 1'!$B$2:$B$2604,'Form responses 1'!$A$2:$A$2604,""))</f>
        <v>45608.4029</v>
      </c>
      <c r="D853" s="44" t="str">
        <f t="shared" si="3"/>
        <v>K/6/121124/2_45608.4029036574</v>
      </c>
      <c r="E853" s="44" t="str">
        <f t="array" ref="E853">IF(B853="","",_xlfn.XLOOKUP(B853,'Form responses 1'!$B$2:$B$2604,'Form responses 1'!$C$2:$C$2604,""))</f>
        <v>TITIK WIJAYANTI/ADE FIRMANSYAH</v>
      </c>
      <c r="F853" s="44" t="str">
        <f t="array" ref="F853">IF(B853="","",_xlfn.XLOOKUP(B853,'Form responses 1'!$B$2:$B$2604,'Form responses 1'!$D$2:$D$2604,""))</f>
        <v>082175979305</v>
      </c>
      <c r="G853" s="44" t="str">
        <f t="array" ref="G853">IF(B853="","",_xlfn.XLOOKUP(B853,'Form responses 1'!$B$2:$B$2604,'Form responses 1'!$E$2:$E$2604,""))</f>
        <v>SKPT LELANG</v>
      </c>
      <c r="H853" s="44" t="str">
        <f t="array" ref="H853">IF(B853="","",_xlfn.XLOOKUP(B853,'Form responses 1'!$B$2:$B$2604,'Form responses 1'!$F$2:$F$2604,""))</f>
        <v>B.865/KETEGUHAN </v>
      </c>
      <c r="I853" s="44" t="str">
        <f t="array" ref="I853">IF(B853="","",_xlfn.XLOOKUP(B853,'Form responses 1'!$B$2:$B$2604,'Form responses 1'!$I$2:$I$2604,""))</f>
        <v>KETEGUHAN </v>
      </c>
      <c r="J853" s="44" t="str">
        <f t="array" ref="J853">IF(B853="","",_xlfn.XLOOKUP(B853,'Form responses 1'!$B$2:$B$2604,'Form responses 1'!$G$2:$G$2604,""))</f>
        <v>Baynur</v>
      </c>
      <c r="K853" s="41" t="s">
        <v>2421</v>
      </c>
      <c r="L853" s="52">
        <f t="shared" si="7"/>
        <v>45609.36784</v>
      </c>
      <c r="M853" s="49"/>
      <c r="N853" s="49"/>
      <c r="O853" s="49"/>
      <c r="P853" s="49"/>
      <c r="Q853" s="49"/>
      <c r="R853" s="49"/>
      <c r="S853" s="49"/>
      <c r="T853" s="49"/>
      <c r="U853" s="49"/>
      <c r="V853" s="49"/>
      <c r="W853" s="41" t="s">
        <v>618</v>
      </c>
      <c r="X853" s="46">
        <f t="shared" si="5"/>
        <v>45609.38199</v>
      </c>
      <c r="Y853" s="50" t="s">
        <v>482</v>
      </c>
      <c r="Z853" s="49">
        <f t="shared" si="6"/>
        <v>0</v>
      </c>
    </row>
    <row r="854" ht="22.5" customHeight="1">
      <c r="B854" s="41" t="s">
        <v>4545</v>
      </c>
      <c r="C854" s="43">
        <f t="array" ref="C854">IF(B854="","",_xlfn.XLOOKUP(B854,'Form responses 1'!$B$2:$B$2604,'Form responses 1'!$A$2:$A$2604,""))</f>
        <v>45608.44574</v>
      </c>
      <c r="D854" s="44" t="str">
        <f t="shared" si="3"/>
        <v>K/15/121124/2_45608.4457394445</v>
      </c>
      <c r="E854" s="44" t="str">
        <f t="array" ref="E854">IF(B854="","",_xlfn.XLOOKUP(B854,'Form responses 1'!$B$2:$B$2604,'Form responses 1'!$C$2:$C$2604,""))</f>
        <v>RICHARD ADI/ ELLY KASIM</v>
      </c>
      <c r="F854" s="44" t="str">
        <f t="array" ref="F854">IF(B854="","",_xlfn.XLOOKUP(B854,'Form responses 1'!$B$2:$B$2604,'Form responses 1'!$D$2:$D$2604,""))</f>
        <v>+62 821-8209-0051</v>
      </c>
      <c r="G854" s="44" t="str">
        <f t="array" ref="G854">IF(B854="","",_xlfn.XLOOKUP(B854,'Form responses 1'!$B$2:$B$2604,'Form responses 1'!$E$2:$E$2604,""))</f>
        <v>ROYA</v>
      </c>
      <c r="H854" s="44" t="str">
        <f t="array" ref="H854">IF(B854="","",_xlfn.XLOOKUP(B854,'Form responses 1'!$B$2:$B$2604,'Form responses 1'!$F$2:$F$2604,""))</f>
        <v>M. 787, 786, 773/ Rajabasa Jaya</v>
      </c>
      <c r="I854" s="44" t="str">
        <f t="array" ref="I854">IF(B854="","",_xlfn.XLOOKUP(B854,'Form responses 1'!$B$2:$B$2604,'Form responses 1'!$I$2:$I$2604,""))</f>
        <v>Rajabasa Jaya</v>
      </c>
      <c r="J854" s="44" t="str">
        <f t="array" ref="J854">IF(B854="","",_xlfn.XLOOKUP(B854,'Form responses 1'!$B$2:$B$2604,'Form responses 1'!$G$2:$G$2604,""))</f>
        <v>Hananda</v>
      </c>
      <c r="K854" s="41" t="s">
        <v>2421</v>
      </c>
      <c r="L854" s="52">
        <f t="shared" si="7"/>
        <v>45609.36786</v>
      </c>
      <c r="M854" s="49"/>
      <c r="N854" s="49"/>
      <c r="O854" s="49"/>
      <c r="P854" s="49"/>
      <c r="Q854" s="49"/>
      <c r="R854" s="49"/>
      <c r="S854" s="49"/>
      <c r="T854" s="49"/>
      <c r="U854" s="49"/>
      <c r="V854" s="49"/>
      <c r="W854" s="41" t="s">
        <v>618</v>
      </c>
      <c r="X854" s="46">
        <f t="shared" si="5"/>
        <v>45609.59131</v>
      </c>
      <c r="Y854" s="50" t="s">
        <v>482</v>
      </c>
      <c r="Z854" s="49">
        <f t="shared" si="6"/>
        <v>0</v>
      </c>
    </row>
    <row r="855" ht="22.5" customHeight="1">
      <c r="B855" s="41" t="s">
        <v>4644</v>
      </c>
      <c r="C855" s="43">
        <f t="array" ref="C855">IF(B855="","",_xlfn.XLOOKUP(B855,'Form responses 1'!$B$2:$B$2604,'Form responses 1'!$A$2:$A$2604,""))</f>
        <v>45608.58104</v>
      </c>
      <c r="D855" s="44" t="str">
        <f t="shared" si="3"/>
        <v>K/43/121124/4_45608.5810390741</v>
      </c>
      <c r="E855" s="44" t="str">
        <f t="array" ref="E855">IF(B855="","",_xlfn.XLOOKUP(B855,'Form responses 1'!$B$2:$B$2604,'Form responses 1'!$C$2:$C$2604,""))</f>
        <v>IAMARINA/ DEDEN HERDIANSYAH</v>
      </c>
      <c r="F855" s="44" t="str">
        <f t="array" ref="F855">IF(B855="","",_xlfn.XLOOKUP(B855,'Form responses 1'!$B$2:$B$2604,'Form responses 1'!$D$2:$D$2604,""))</f>
        <v>081377641549</v>
      </c>
      <c r="G855" s="44" t="str">
        <f t="array" ref="G855">IF(B855="","",_xlfn.XLOOKUP(B855,'Form responses 1'!$B$2:$B$2604,'Form responses 1'!$E$2:$E$2604,""))</f>
        <v>BN JUAL BELI</v>
      </c>
      <c r="H855" s="44" t="str">
        <f t="array" ref="H855">IF(B855="","",_xlfn.XLOOKUP(B855,'Form responses 1'!$B$2:$B$2604,'Form responses 1'!$F$2:$F$2604,""))</f>
        <v>Nibel 367/ Gunung Sulah</v>
      </c>
      <c r="I855" s="44" t="str">
        <f t="array" ref="I855">IF(B855="","",_xlfn.XLOOKUP(B855,'Form responses 1'!$B$2:$B$2604,'Form responses 1'!$I$2:$I$2604,""))</f>
        <v>Gunung Sulah</v>
      </c>
      <c r="J855" s="44" t="str">
        <f t="array" ref="J855">IF(B855="","",_xlfn.XLOOKUP(B855,'Form responses 1'!$B$2:$B$2604,'Form responses 1'!$G$2:$G$2604,""))</f>
        <v>Hananda</v>
      </c>
      <c r="K855" s="41" t="s">
        <v>2421</v>
      </c>
      <c r="L855" s="52">
        <f t="shared" si="7"/>
        <v>45609.36788</v>
      </c>
      <c r="M855" s="49"/>
      <c r="N855" s="49"/>
      <c r="O855" s="49"/>
      <c r="P855" s="49"/>
      <c r="Q855" s="49"/>
      <c r="R855" s="49"/>
      <c r="S855" s="49"/>
      <c r="T855" s="49"/>
      <c r="U855" s="49"/>
      <c r="V855" s="49"/>
      <c r="W855" s="41" t="s">
        <v>618</v>
      </c>
      <c r="X855" s="46">
        <f t="shared" si="5"/>
        <v>45609.59785</v>
      </c>
      <c r="Y855" s="50" t="s">
        <v>482</v>
      </c>
      <c r="Z855" s="49">
        <f t="shared" si="6"/>
        <v>0</v>
      </c>
    </row>
    <row r="856" ht="22.5" customHeight="1">
      <c r="B856" s="41" t="s">
        <v>4515</v>
      </c>
      <c r="C856" s="43">
        <f t="array" ref="C856">IF(B856="","",_xlfn.XLOOKUP(B856,'Form responses 1'!$B$2:$B$2604,'Form responses 1'!$A$2:$A$2604,""))</f>
        <v>45608.41071</v>
      </c>
      <c r="D856" s="44" t="str">
        <f t="shared" si="3"/>
        <v>K/8/121124/1_45608.4107088426</v>
      </c>
      <c r="E856" s="44" t="str">
        <f t="array" ref="E856">IF(B856="","",_xlfn.XLOOKUP(B856,'Form responses 1'!$B$2:$B$2604,'Form responses 1'!$C$2:$C$2604,""))</f>
        <v> AROSWANTAMA/ RINAWATI</v>
      </c>
      <c r="F856" s="44" t="str">
        <f t="array" ref="F856">IF(B856="","",_xlfn.XLOOKUP(B856,'Form responses 1'!$B$2:$B$2604,'Form responses 1'!$D$2:$D$2604,""))</f>
        <v>+62 813-6948-8565</v>
      </c>
      <c r="G856" s="44" t="str">
        <f t="array" ref="G856">IF(B856="","",_xlfn.XLOOKUP(B856,'Form responses 1'!$B$2:$B$2604,'Form responses 1'!$E$2:$E$2604,""))</f>
        <v>BN JUAL BELI</v>
      </c>
      <c r="H856" s="44" t="str">
        <f t="array" ref="H856">IF(B856="","",_xlfn.XLOOKUP(B856,'Form responses 1'!$B$2:$B$2604,'Form responses 1'!$F$2:$F$2604,""))</f>
        <v>M. 467/ Kota Sepang</v>
      </c>
      <c r="I856" s="44" t="str">
        <f t="array" ref="I856">IF(B856="","",_xlfn.XLOOKUP(B856,'Form responses 1'!$B$2:$B$2604,'Form responses 1'!$I$2:$I$2604,""))</f>
        <v> Kota Sepang</v>
      </c>
      <c r="J856" s="44" t="str">
        <f t="array" ref="J856">IF(B856="","",_xlfn.XLOOKUP(B856,'Form responses 1'!$B$2:$B$2604,'Form responses 1'!$G$2:$G$2604,""))</f>
        <v>Hananda</v>
      </c>
      <c r="K856" s="41" t="s">
        <v>2421</v>
      </c>
      <c r="L856" s="52">
        <f t="shared" si="7"/>
        <v>45609.36789</v>
      </c>
      <c r="M856" s="49"/>
      <c r="N856" s="49"/>
      <c r="O856" s="49"/>
      <c r="P856" s="49"/>
      <c r="Q856" s="49"/>
      <c r="R856" s="49"/>
      <c r="S856" s="49"/>
      <c r="T856" s="49"/>
      <c r="U856" s="49"/>
      <c r="V856" s="49"/>
      <c r="W856" s="41" t="s">
        <v>618</v>
      </c>
      <c r="X856" s="46">
        <f t="shared" si="5"/>
        <v>45609.60233</v>
      </c>
      <c r="Y856" s="50" t="s">
        <v>482</v>
      </c>
      <c r="Z856" s="49">
        <f t="shared" si="6"/>
        <v>0</v>
      </c>
    </row>
    <row r="857" ht="22.5" customHeight="1">
      <c r="B857" s="41" t="s">
        <v>4528</v>
      </c>
      <c r="C857" s="43">
        <f t="array" ref="C857">IF(B857="","",_xlfn.XLOOKUP(B857,'Form responses 1'!$B$2:$B$2604,'Form responses 1'!$A$2:$A$2604,""))</f>
        <v>45608.43062</v>
      </c>
      <c r="D857" s="44" t="str">
        <f t="shared" si="3"/>
        <v>K/11/121124/1_45608.4306165741</v>
      </c>
      <c r="E857" s="44" t="str">
        <f t="array" ref="E857">IF(B857="","",_xlfn.XLOOKUP(B857,'Form responses 1'!$B$2:$B$2604,'Form responses 1'!$C$2:$C$2604,""))</f>
        <v>MIRANDA OKTAVIA/EKA SARI TAHERAH</v>
      </c>
      <c r="F857" s="44" t="str">
        <f t="array" ref="F857">IF(B857="","",_xlfn.XLOOKUP(B857,'Form responses 1'!$B$2:$B$2604,'Form responses 1'!$D$2:$D$2604,""))</f>
        <v>0895-3631-14046</v>
      </c>
      <c r="G857" s="44" t="str">
        <f t="array" ref="G857">IF(B857="","",_xlfn.XLOOKUP(B857,'Form responses 1'!$B$2:$B$2604,'Form responses 1'!$E$2:$E$2604,""))</f>
        <v>BN JUAL BELI</v>
      </c>
      <c r="H857" s="44" t="str">
        <f t="array" ref="H857">IF(B857="","",_xlfn.XLOOKUP(B857,'Form responses 1'!$B$2:$B$2604,'Form responses 1'!$F$2:$F$2604,""))</f>
        <v>M.5073/RAJABASA JAYA</v>
      </c>
      <c r="I857" s="44" t="str">
        <f t="array" ref="I857">IF(B857="","",_xlfn.XLOOKUP(B857,'Form responses 1'!$B$2:$B$2604,'Form responses 1'!$I$2:$I$2604,""))</f>
        <v>RAJABASA JAYA</v>
      </c>
      <c r="J857" s="44" t="str">
        <f t="array" ref="J857">IF(B857="","",_xlfn.XLOOKUP(B857,'Form responses 1'!$B$2:$B$2604,'Form responses 1'!$G$2:$G$2604,""))</f>
        <v>Baynur</v>
      </c>
      <c r="K857" s="41" t="s">
        <v>2421</v>
      </c>
      <c r="L857" s="52">
        <f t="shared" si="7"/>
        <v>45609.36791</v>
      </c>
      <c r="M857" s="49"/>
      <c r="N857" s="49"/>
      <c r="O857" s="49"/>
      <c r="P857" s="49"/>
      <c r="Q857" s="49"/>
      <c r="R857" s="49"/>
      <c r="S857" s="49"/>
      <c r="T857" s="49"/>
      <c r="U857" s="49"/>
      <c r="V857" s="49"/>
      <c r="W857" s="41" t="s">
        <v>618</v>
      </c>
      <c r="X857" s="46">
        <f t="shared" si="5"/>
        <v>45609.60702</v>
      </c>
      <c r="Y857" s="50" t="s">
        <v>482</v>
      </c>
      <c r="Z857" s="49">
        <f t="shared" si="6"/>
        <v>0</v>
      </c>
    </row>
    <row r="858" ht="22.5" customHeight="1">
      <c r="B858" s="41" t="s">
        <v>4609</v>
      </c>
      <c r="C858" s="43">
        <f t="array" ref="C858">IF(B858="","",_xlfn.XLOOKUP(B858,'Form responses 1'!$B$2:$B$2604,'Form responses 1'!$A$2:$A$2604,""))</f>
        <v>45608.54897</v>
      </c>
      <c r="D858" s="44" t="str">
        <f t="shared" si="3"/>
        <v>K/34/121124/1_45608.5489695602</v>
      </c>
      <c r="E858" s="44" t="str">
        <f t="array" ref="E858">IF(B858="","",_xlfn.XLOOKUP(B858,'Form responses 1'!$B$2:$B$2604,'Form responses 1'!$C$2:$C$2604,""))</f>
        <v>Imelda P/ Awalusin A Cs</v>
      </c>
      <c r="F858" s="44" t="str">
        <f t="array" ref="F858">IF(B858="","",_xlfn.XLOOKUP(B858,'Form responses 1'!$B$2:$B$2604,'Form responses 1'!$D$2:$D$2604,""))</f>
        <v>+62 812-7933-577</v>
      </c>
      <c r="G858" s="44" t="str">
        <f t="array" ref="G858">IF(B858="","",_xlfn.XLOOKUP(B858,'Form responses 1'!$B$2:$B$2604,'Form responses 1'!$E$2:$E$2604,""))</f>
        <v>BN Waris</v>
      </c>
      <c r="H858" s="44" t="str">
        <f t="array" ref="H858">IF(B858="","",_xlfn.XLOOKUP(B858,'Form responses 1'!$B$2:$B$2604,'Form responses 1'!$F$2:$F$2604,""))</f>
        <v>M. 121/ Enggal</v>
      </c>
      <c r="I858" s="44" t="str">
        <f t="array" ref="I858">IF(B858="","",_xlfn.XLOOKUP(B858,'Form responses 1'!$B$2:$B$2604,'Form responses 1'!$I$2:$I$2604,""))</f>
        <v>Enggal</v>
      </c>
      <c r="J858" s="44" t="str">
        <f t="array" ref="J858">IF(B858="","",_xlfn.XLOOKUP(B858,'Form responses 1'!$B$2:$B$2604,'Form responses 1'!$G$2:$G$2604,""))</f>
        <v>Rapita</v>
      </c>
      <c r="K858" s="41" t="s">
        <v>2421</v>
      </c>
      <c r="L858" s="52">
        <f t="shared" si="7"/>
        <v>45609.36793</v>
      </c>
      <c r="M858" s="47" t="s">
        <v>5659</v>
      </c>
      <c r="N858" s="49"/>
      <c r="O858" s="49"/>
      <c r="P858" s="49"/>
      <c r="Q858" s="49"/>
      <c r="R858" s="49"/>
      <c r="S858" s="49"/>
      <c r="T858" s="49"/>
      <c r="U858" s="49"/>
      <c r="V858" s="49"/>
      <c r="W858" s="41" t="s">
        <v>470</v>
      </c>
      <c r="X858" s="46">
        <f t="shared" si="5"/>
        <v>45609.61448</v>
      </c>
      <c r="Y858" s="50" t="s">
        <v>482</v>
      </c>
      <c r="Z858" s="49">
        <f t="shared" si="6"/>
        <v>1</v>
      </c>
    </row>
    <row r="859" ht="22.5" customHeight="1">
      <c r="B859" s="41" t="s">
        <v>4660</v>
      </c>
      <c r="C859" s="43">
        <f t="array" ref="C859">IF(B859="","",_xlfn.XLOOKUP(B859,'Form responses 1'!$B$2:$B$2604,'Form responses 1'!$A$2:$A$2604,""))</f>
        <v>45608.59602</v>
      </c>
      <c r="D859" s="44" t="str">
        <f t="shared" si="3"/>
        <v>K/49/121124/1_45608.5960201968</v>
      </c>
      <c r="E859" s="44" t="str">
        <f t="array" ref="E859">IF(B859="","",_xlfn.XLOOKUP(B859,'Form responses 1'!$B$2:$B$2604,'Form responses 1'!$C$2:$C$2604,""))</f>
        <v>MURSALIN/ UMAR SULAIMAN</v>
      </c>
      <c r="F859" s="44" t="str">
        <f t="array" ref="F859">IF(B859="","",_xlfn.XLOOKUP(B859,'Form responses 1'!$B$2:$B$2604,'Form responses 1'!$D$2:$D$2604,""))</f>
        <v>085383885939</v>
      </c>
      <c r="G859" s="44" t="str">
        <f t="array" ref="G859">IF(B859="","",_xlfn.XLOOKUP(B859,'Form responses 1'!$B$2:$B$2604,'Form responses 1'!$E$2:$E$2604,""))</f>
        <v>BN JUAL BELI</v>
      </c>
      <c r="H859" s="44" t="str">
        <f t="array" ref="H859">IF(B859="","",_xlfn.XLOOKUP(B859,'Form responses 1'!$B$2:$B$2604,'Form responses 1'!$F$2:$F$2604,""))</f>
        <v>M. 1756/ Rajabasa Nunyai</v>
      </c>
      <c r="I859" s="44" t="str">
        <f t="array" ref="I859">IF(B859="","",_xlfn.XLOOKUP(B859,'Form responses 1'!$B$2:$B$2604,'Form responses 1'!$I$2:$I$2604,""))</f>
        <v>Rajabasa Nunyai</v>
      </c>
      <c r="J859" s="44" t="str">
        <f t="array" ref="J859">IF(B859="","",_xlfn.XLOOKUP(B859,'Form responses 1'!$B$2:$B$2604,'Form responses 1'!$G$2:$G$2604,""))</f>
        <v>Hananda</v>
      </c>
      <c r="K859" s="41" t="s">
        <v>422</v>
      </c>
      <c r="L859" s="52">
        <f t="shared" si="7"/>
        <v>45609.38207</v>
      </c>
      <c r="M859" s="47" t="s">
        <v>5660</v>
      </c>
      <c r="N859" s="49"/>
      <c r="O859" s="49"/>
      <c r="P859" s="49"/>
      <c r="Q859" s="49"/>
      <c r="R859" s="49"/>
      <c r="S859" s="49"/>
      <c r="T859" s="49"/>
      <c r="U859" s="49"/>
      <c r="V859" s="49"/>
      <c r="W859" s="41" t="s">
        <v>470</v>
      </c>
      <c r="X859" s="46">
        <f t="shared" si="5"/>
        <v>45609.43263</v>
      </c>
      <c r="Y859" s="50" t="s">
        <v>482</v>
      </c>
      <c r="Z859" s="49">
        <f t="shared" si="6"/>
        <v>1</v>
      </c>
    </row>
    <row r="860" ht="22.5" customHeight="1">
      <c r="B860" s="41" t="s">
        <v>4647</v>
      </c>
      <c r="C860" s="43">
        <f t="array" ref="C860">IF(B860="","",_xlfn.XLOOKUP(B860,'Form responses 1'!$B$2:$B$2604,'Form responses 1'!$A$2:$A$2604,""))</f>
        <v>45608.5822</v>
      </c>
      <c r="D860" s="44" t="str">
        <f t="shared" si="3"/>
        <v>K/44/121124/5_45608.5822021644</v>
      </c>
      <c r="E860" s="44" t="str">
        <f t="array" ref="E860">IF(B860="","",_xlfn.XLOOKUP(B860,'Form responses 1'!$B$2:$B$2604,'Form responses 1'!$C$2:$C$2604,""))</f>
        <v>ISMARINA/ CITA</v>
      </c>
      <c r="F860" s="44" t="str">
        <f t="array" ref="F860">IF(B860="","",_xlfn.XLOOKUP(B860,'Form responses 1'!$B$2:$B$2604,'Form responses 1'!$D$2:$D$2604,""))</f>
        <v>081377641549</v>
      </c>
      <c r="G860" s="44" t="str">
        <f t="array" ref="G860">IF(B860="","",_xlfn.XLOOKUP(B860,'Form responses 1'!$B$2:$B$2604,'Form responses 1'!$E$2:$E$2604,""))</f>
        <v>BN JUAL BELI</v>
      </c>
      <c r="H860" s="44" t="str">
        <f t="array" ref="H860">IF(B860="","",_xlfn.XLOOKUP(B860,'Form responses 1'!$B$2:$B$2604,'Form responses 1'!$F$2:$F$2604,""))</f>
        <v>Nibel 371/ Gunung Sulah</v>
      </c>
      <c r="I860" s="44" t="str">
        <f t="array" ref="I860">IF(B860="","",_xlfn.XLOOKUP(B860,'Form responses 1'!$B$2:$B$2604,'Form responses 1'!$I$2:$I$2604,""))</f>
        <v>Gunung Sulah</v>
      </c>
      <c r="J860" s="44" t="str">
        <f t="array" ref="J860">IF(B860="","",_xlfn.XLOOKUP(B860,'Form responses 1'!$B$2:$B$2604,'Form responses 1'!$G$2:$G$2604,""))</f>
        <v>Hananda</v>
      </c>
      <c r="K860" s="41" t="s">
        <v>422</v>
      </c>
      <c r="L860" s="52">
        <f t="shared" si="7"/>
        <v>45609.38208</v>
      </c>
      <c r="M860" s="47" t="s">
        <v>5580</v>
      </c>
      <c r="N860" s="49"/>
      <c r="O860" s="49"/>
      <c r="P860" s="49"/>
      <c r="Q860" s="49"/>
      <c r="R860" s="49"/>
      <c r="S860" s="49"/>
      <c r="T860" s="49"/>
      <c r="U860" s="49"/>
      <c r="V860" s="49"/>
      <c r="W860" s="41" t="s">
        <v>618</v>
      </c>
      <c r="X860" s="46">
        <f t="shared" si="5"/>
        <v>45613.37008</v>
      </c>
      <c r="Y860" s="50" t="s">
        <v>482</v>
      </c>
      <c r="Z860" s="49">
        <f t="shared" si="6"/>
        <v>1</v>
      </c>
    </row>
    <row r="861" ht="22.5" customHeight="1">
      <c r="B861" s="41" t="s">
        <v>4538</v>
      </c>
      <c r="C861" s="43">
        <f t="array" ref="C861">IF(B861="","",_xlfn.XLOOKUP(B861,'Form responses 1'!$B$2:$B$2604,'Form responses 1'!$A$2:$A$2604,""))</f>
        <v>45608.44278</v>
      </c>
      <c r="D861" s="44" t="str">
        <f t="shared" si="3"/>
        <v>K/14/121124/1_45608.4427763889</v>
      </c>
      <c r="E861" s="44" t="str">
        <f t="array" ref="E861">IF(B861="","",_xlfn.XLOOKUP(B861,'Form responses 1'!$B$2:$B$2604,'Form responses 1'!$C$2:$C$2604,""))</f>
        <v>RAHMADIYANTI</v>
      </c>
      <c r="F861" s="44" t="str">
        <f t="array" ref="F861">IF(B861="","",_xlfn.XLOOKUP(B861,'Form responses 1'!$B$2:$B$2604,'Form responses 1'!$D$2:$D$2604,""))</f>
        <v>+62 821-8209-0051</v>
      </c>
      <c r="G861" s="44" t="str">
        <f t="array" ref="G861">IF(B861="","",_xlfn.XLOOKUP(B861,'Form responses 1'!$B$2:$B$2604,'Form responses 1'!$E$2:$E$2604,""))</f>
        <v>BN HIBAH</v>
      </c>
      <c r="H861" s="44" t="str">
        <f t="array" ref="H861">IF(B861="","",_xlfn.XLOOKUP(B861,'Form responses 1'!$B$2:$B$2604,'Form responses 1'!$F$2:$F$2604,""))</f>
        <v>M. 1004/ Gunung Agung-SEKARANG; M. 9784/ SEGALA MIDER-DAHULU</v>
      </c>
      <c r="I861" s="44" t="str">
        <f t="array" ref="I861">IF(B861="","",_xlfn.XLOOKUP(B861,'Form responses 1'!$B$2:$B$2604,'Form responses 1'!$I$2:$I$2604,""))</f>
        <v>Gunung Agung</v>
      </c>
      <c r="J861" s="44" t="str">
        <f t="array" ref="J861">IF(B861="","",_xlfn.XLOOKUP(B861,'Form responses 1'!$B$2:$B$2604,'Form responses 1'!$G$2:$G$2604,""))</f>
        <v>Hananda</v>
      </c>
      <c r="K861" s="41" t="s">
        <v>422</v>
      </c>
      <c r="L861" s="52">
        <f t="shared" si="7"/>
        <v>45609.3821</v>
      </c>
      <c r="M861" s="49"/>
      <c r="N861" s="49"/>
      <c r="O861" s="49"/>
      <c r="P861" s="49"/>
      <c r="Q861" s="49"/>
      <c r="R861" s="49"/>
      <c r="S861" s="49"/>
      <c r="T861" s="49"/>
      <c r="U861" s="49"/>
      <c r="V861" s="49"/>
      <c r="W861" s="41" t="s">
        <v>618</v>
      </c>
      <c r="X861" s="46">
        <f t="shared" si="5"/>
        <v>45609.4242</v>
      </c>
      <c r="Y861" s="50" t="s">
        <v>482</v>
      </c>
      <c r="Z861" s="49">
        <f t="shared" si="6"/>
        <v>0</v>
      </c>
    </row>
    <row r="862" ht="22.5" customHeight="1">
      <c r="B862" s="41" t="s">
        <v>4577</v>
      </c>
      <c r="C862" s="43">
        <f t="array" ref="C862">IF(B862="","",_xlfn.XLOOKUP(B862,'Form responses 1'!$B$2:$B$2604,'Form responses 1'!$A$2:$A$2604,""))</f>
        <v>45608.46953</v>
      </c>
      <c r="D862" s="44" t="str">
        <f t="shared" si="3"/>
        <v>K/24/121124/2_45608.4695331829</v>
      </c>
      <c r="E862" s="44" t="str">
        <f t="array" ref="E862">IF(B862="","",_xlfn.XLOOKUP(B862,'Form responses 1'!$B$2:$B$2604,'Form responses 1'!$C$2:$C$2604,""))</f>
        <v>NANIK MARYANI</v>
      </c>
      <c r="F862" s="44" t="str">
        <f t="array" ref="F862">IF(B862="","",_xlfn.XLOOKUP(B862,'Form responses 1'!$B$2:$B$2604,'Form responses 1'!$D$2:$D$2604,""))</f>
        <v>082250816900</v>
      </c>
      <c r="G862" s="44" t="str">
        <f t="array" ref="G862">IF(B862="","",_xlfn.XLOOKUP(B862,'Form responses 1'!$B$2:$B$2604,'Form responses 1'!$E$2:$E$2604,""))</f>
        <v>BN JUAL BELI</v>
      </c>
      <c r="H862" s="44" t="str">
        <f t="array" ref="H862">IF(B862="","",_xlfn.XLOOKUP(B862,'Form responses 1'!$B$2:$B$2604,'Form responses 1'!$F$2:$F$2604,""))</f>
        <v>B. 668/ Sukabumi Indah</v>
      </c>
      <c r="I862" s="44" t="str">
        <f t="array" ref="I862">IF(B862="","",_xlfn.XLOOKUP(B862,'Form responses 1'!$B$2:$B$2604,'Form responses 1'!$I$2:$I$2604,""))</f>
        <v>Sukabumi Indah</v>
      </c>
      <c r="J862" s="44" t="str">
        <f t="array" ref="J862">IF(B862="","",_xlfn.XLOOKUP(B862,'Form responses 1'!$B$2:$B$2604,'Form responses 1'!$G$2:$G$2604,""))</f>
        <v>Hananda</v>
      </c>
      <c r="K862" s="41" t="s">
        <v>422</v>
      </c>
      <c r="L862" s="52">
        <f t="shared" si="7"/>
        <v>45609.38211</v>
      </c>
      <c r="M862" s="47" t="s">
        <v>5661</v>
      </c>
      <c r="N862" s="47" t="s">
        <v>5662</v>
      </c>
      <c r="O862" s="47" t="s">
        <v>5586</v>
      </c>
      <c r="P862" s="47" t="s">
        <v>5663</v>
      </c>
      <c r="Q862" s="49"/>
      <c r="R862" s="49"/>
      <c r="S862" s="49"/>
      <c r="T862" s="49"/>
      <c r="U862" s="49"/>
      <c r="V862" s="49"/>
      <c r="W862" s="41" t="s">
        <v>470</v>
      </c>
      <c r="X862" s="46">
        <f t="shared" si="5"/>
        <v>45609.45308</v>
      </c>
      <c r="Y862" s="50" t="s">
        <v>482</v>
      </c>
      <c r="Z862" s="49">
        <f t="shared" si="6"/>
        <v>4</v>
      </c>
    </row>
    <row r="863" ht="22.5" customHeight="1">
      <c r="B863" s="41" t="s">
        <v>4616</v>
      </c>
      <c r="C863" s="43">
        <f t="array" ref="C863">IF(B863="","",_xlfn.XLOOKUP(B863,'Form responses 1'!$B$2:$B$2604,'Form responses 1'!$A$2:$A$2604,""))</f>
        <v>45608.56343</v>
      </c>
      <c r="D863" s="44" t="str">
        <f t="shared" si="3"/>
        <v>L/37/121124/1_45608.5634336574</v>
      </c>
      <c r="E863" s="44" t="str">
        <f t="array" ref="E863">IF(B863="","",_xlfn.XLOOKUP(B863,'Form responses 1'!$B$2:$B$2604,'Form responses 1'!$C$2:$C$2604,""))</f>
        <v>TJANDERA WIDJONO</v>
      </c>
      <c r="F863" s="44" t="str">
        <f t="array" ref="F863">IF(B863="","",_xlfn.XLOOKUP(B863,'Form responses 1'!$B$2:$B$2604,'Form responses 1'!$D$2:$D$2604,""))</f>
        <v>082177030557</v>
      </c>
      <c r="G863" s="44" t="str">
        <f t="array" ref="G863">IF(B863="","",_xlfn.XLOOKUP(B863,'Form responses 1'!$B$2:$B$2604,'Form responses 1'!$E$2:$E$2604,""))</f>
        <v>PH</v>
      </c>
      <c r="H863" s="44" t="str">
        <f t="array" ref="H863">IF(B863="","",_xlfn.XLOOKUP(B863,'Form responses 1'!$B$2:$B$2604,'Form responses 1'!$F$2:$F$2604,""))</f>
        <v>NIB7348/TANJUNG BARU</v>
      </c>
      <c r="I863" s="44" t="str">
        <f t="array" ref="I863">IF(B863="","",_xlfn.XLOOKUP(B863,'Form responses 1'!$B$2:$B$2604,'Form responses 1'!$I$2:$I$2604,""))</f>
        <v>TANJUNG BARU</v>
      </c>
      <c r="J863" s="44" t="str">
        <f t="array" ref="J863">IF(B863="","",_xlfn.XLOOKUP(B863,'Form responses 1'!$B$2:$B$2604,'Form responses 1'!$G$2:$G$2604,""))</f>
        <v>Deby</v>
      </c>
      <c r="K863" s="41" t="s">
        <v>422</v>
      </c>
      <c r="L863" s="52">
        <f t="shared" si="7"/>
        <v>45609.38213</v>
      </c>
      <c r="M863" s="49"/>
      <c r="N863" s="49"/>
      <c r="O863" s="49"/>
      <c r="P863" s="49"/>
      <c r="Q863" s="49"/>
      <c r="R863" s="49"/>
      <c r="S863" s="49"/>
      <c r="T863" s="49"/>
      <c r="U863" s="49"/>
      <c r="V863" s="49"/>
      <c r="W863" s="41" t="s">
        <v>618</v>
      </c>
      <c r="X863" s="46">
        <f t="shared" si="5"/>
        <v>45609.39049</v>
      </c>
      <c r="Y863" s="50" t="s">
        <v>482</v>
      </c>
      <c r="Z863" s="49">
        <f t="shared" si="6"/>
        <v>0</v>
      </c>
    </row>
    <row r="864" ht="22.5" customHeight="1">
      <c r="B864" s="41" t="s">
        <v>4499</v>
      </c>
      <c r="C864" s="43">
        <f t="array" ref="C864">IF(B864="","",_xlfn.XLOOKUP(B864,'Form responses 1'!$B$2:$B$2604,'Form responses 1'!$A$2:$A$2604,""))</f>
        <v>45608.38953</v>
      </c>
      <c r="D864" s="44" t="str">
        <f t="shared" si="3"/>
        <v>K/3/121124/2_45608.3895334607</v>
      </c>
      <c r="E864" s="44" t="str">
        <f t="array" ref="E864">IF(B864="","",_xlfn.XLOOKUP(B864,'Form responses 1'!$B$2:$B$2604,'Form responses 1'!$C$2:$C$2604,""))</f>
        <v>ANGGA P/ HABRIN</v>
      </c>
      <c r="F864" s="44" t="str">
        <f t="array" ref="F864">IF(B864="","",_xlfn.XLOOKUP(B864,'Form responses 1'!$B$2:$B$2604,'Form responses 1'!$D$2:$D$2604,""))</f>
        <v>+62 895-3553-08122</v>
      </c>
      <c r="G864" s="44" t="str">
        <f t="array" ref="G864">IF(B864="","",_xlfn.XLOOKUP(B864,'Form responses 1'!$B$2:$B$2604,'Form responses 1'!$E$2:$E$2604,""))</f>
        <v>ROYA</v>
      </c>
      <c r="H864" s="44" t="str">
        <f t="array" ref="H864">IF(B864="","",_xlfn.XLOOKUP(B864,'Form responses 1'!$B$2:$B$2604,'Form responses 1'!$F$2:$F$2604,""))</f>
        <v>M. 181/ Bumi Kedamaian; SHT 05715/2018</v>
      </c>
      <c r="I864" s="44" t="str">
        <f t="array" ref="I864">IF(B864="","",_xlfn.XLOOKUP(B864,'Form responses 1'!$B$2:$B$2604,'Form responses 1'!$I$2:$I$2604,""))</f>
        <v>Bumi Kedamaian</v>
      </c>
      <c r="J864" s="44" t="str">
        <f t="array" ref="J864">IF(B864="","",_xlfn.XLOOKUP(B864,'Form responses 1'!$B$2:$B$2604,'Form responses 1'!$G$2:$G$2604,""))</f>
        <v>Hananda</v>
      </c>
      <c r="K864" s="41" t="s">
        <v>422</v>
      </c>
      <c r="L864" s="52">
        <f t="shared" si="7"/>
        <v>45609.38214</v>
      </c>
      <c r="M864" s="49"/>
      <c r="N864" s="49"/>
      <c r="O864" s="49"/>
      <c r="P864" s="49"/>
      <c r="Q864" s="49"/>
      <c r="R864" s="49"/>
      <c r="S864" s="49"/>
      <c r="T864" s="49"/>
      <c r="U864" s="49"/>
      <c r="V864" s="49"/>
      <c r="W864" s="41" t="s">
        <v>618</v>
      </c>
      <c r="X864" s="46">
        <f t="shared" si="5"/>
        <v>45609.39592</v>
      </c>
      <c r="Y864" s="50" t="s">
        <v>482</v>
      </c>
      <c r="Z864" s="49">
        <f t="shared" si="6"/>
        <v>0</v>
      </c>
    </row>
    <row r="865" ht="22.5" customHeight="1">
      <c r="B865" s="41" t="s">
        <v>4457</v>
      </c>
      <c r="C865" s="43">
        <f t="array" ref="C865">IF(B865="","",_xlfn.XLOOKUP(B865,'Form responses 1'!$B$2:$B$2604,'Form responses 1'!$A$2:$A$2604,""))</f>
        <v>45607.61733</v>
      </c>
      <c r="D865" s="44" t="str">
        <f t="shared" si="3"/>
        <v>L/37/111124/1_45607.6173282639</v>
      </c>
      <c r="E865" s="44" t="str">
        <f t="array" ref="E865">IF(B865="","",_xlfn.XLOOKUP(B865,'Form responses 1'!$B$2:$B$2604,'Form responses 1'!$C$2:$C$2604,""))</f>
        <v>SRI SUHARNI</v>
      </c>
      <c r="F865" s="44" t="str">
        <f t="array" ref="F865">IF(B865="","",_xlfn.XLOOKUP(B865,'Form responses 1'!$B$2:$B$2604,'Form responses 1'!$D$2:$D$2604,""))</f>
        <v>081379416006</v>
      </c>
      <c r="G865" s="44" t="str">
        <f t="array" ref="G865">IF(B865="","",_xlfn.XLOOKUP(B865,'Form responses 1'!$B$2:$B$2604,'Form responses 1'!$E$2:$E$2604,""))</f>
        <v>ROYA</v>
      </c>
      <c r="H865" s="44" t="str">
        <f t="array" ref="H865">IF(B865="","",_xlfn.XLOOKUP(B865,'Form responses 1'!$B$2:$B$2604,'Form responses 1'!$F$2:$F$2604,""))</f>
        <v>HM 17234/SUKARAME</v>
      </c>
      <c r="I865" s="44" t="str">
        <f t="array" ref="I865">IF(B865="","",_xlfn.XLOOKUP(B865,'Form responses 1'!$B$2:$B$2604,'Form responses 1'!$I$2:$I$2604,""))</f>
        <v>SUKARAME</v>
      </c>
      <c r="J865" s="44" t="str">
        <f t="array" ref="J865">IF(B865="","",_xlfn.XLOOKUP(B865,'Form responses 1'!$B$2:$B$2604,'Form responses 1'!$G$2:$G$2604,""))</f>
        <v>Deby</v>
      </c>
      <c r="K865" s="41" t="s">
        <v>422</v>
      </c>
      <c r="L865" s="52">
        <f t="shared" si="7"/>
        <v>45609.38216</v>
      </c>
      <c r="M865" s="49"/>
      <c r="N865" s="49"/>
      <c r="O865" s="49"/>
      <c r="P865" s="49"/>
      <c r="Q865" s="49"/>
      <c r="R865" s="49"/>
      <c r="S865" s="49"/>
      <c r="T865" s="49"/>
      <c r="U865" s="49"/>
      <c r="V865" s="49"/>
      <c r="W865" s="41" t="s">
        <v>618</v>
      </c>
      <c r="X865" s="46">
        <f t="shared" si="5"/>
        <v>45609.40461</v>
      </c>
      <c r="Y865" s="50" t="s">
        <v>482</v>
      </c>
      <c r="Z865" s="49">
        <f t="shared" si="6"/>
        <v>0</v>
      </c>
    </row>
    <row r="866" ht="22.5" customHeight="1">
      <c r="B866" s="41" t="s">
        <v>4585</v>
      </c>
      <c r="C866" s="43">
        <f t="array" ref="C866">IF(B866="","",_xlfn.XLOOKUP(B866,'Form responses 1'!$B$2:$B$2604,'Form responses 1'!$A$2:$A$2604,""))</f>
        <v>45608.48531</v>
      </c>
      <c r="D866" s="44" t="str">
        <f t="shared" si="3"/>
        <v>K/28/121124/1_45608.4853108912</v>
      </c>
      <c r="E866" s="44" t="str">
        <f t="array" ref="E866">IF(B866="","",_xlfn.XLOOKUP(B866,'Form responses 1'!$B$2:$B$2604,'Form responses 1'!$C$2:$C$2604,""))</f>
        <v>Richard Adi P/ Henny Cs</v>
      </c>
      <c r="F866" s="44" t="str">
        <f t="array" ref="F866">IF(B866="","",_xlfn.XLOOKUP(B866,'Form responses 1'!$B$2:$B$2604,'Form responses 1'!$D$2:$D$2604,""))</f>
        <v>+62 852-7999-7821</v>
      </c>
      <c r="G866" s="44" t="str">
        <f t="array" ref="G866">IF(B866="","",_xlfn.XLOOKUP(B866,'Form responses 1'!$B$2:$B$2604,'Form responses 1'!$E$2:$E$2604,""))</f>
        <v>BN Waris</v>
      </c>
      <c r="H866" s="44" t="str">
        <f t="array" ref="H866">IF(B866="","",_xlfn.XLOOKUP(B866,'Form responses 1'!$B$2:$B$2604,'Form responses 1'!$F$2:$F$2604,""))</f>
        <v>Nibel. M. 8263/ Pesawahan</v>
      </c>
      <c r="I866" s="44" t="str">
        <f t="array" ref="I866">IF(B866="","",_xlfn.XLOOKUP(B866,'Form responses 1'!$B$2:$B$2604,'Form responses 1'!$I$2:$I$2604,""))</f>
        <v> Pesawahan</v>
      </c>
      <c r="J866" s="44" t="str">
        <f t="array" ref="J866">IF(B866="","",_xlfn.XLOOKUP(B866,'Form responses 1'!$B$2:$B$2604,'Form responses 1'!$G$2:$G$2604,""))</f>
        <v>Rapita</v>
      </c>
      <c r="K866" s="41" t="s">
        <v>422</v>
      </c>
      <c r="L866" s="52">
        <f t="shared" si="7"/>
        <v>45609.38218</v>
      </c>
      <c r="M866" s="49"/>
      <c r="N866" s="49"/>
      <c r="O866" s="49"/>
      <c r="P866" s="49"/>
      <c r="Q866" s="49"/>
      <c r="R866" s="49"/>
      <c r="S866" s="49"/>
      <c r="T866" s="49"/>
      <c r="U866" s="49"/>
      <c r="V866" s="49"/>
      <c r="W866" s="41" t="s">
        <v>618</v>
      </c>
      <c r="X866" s="46">
        <f t="shared" si="5"/>
        <v>45609.43787</v>
      </c>
      <c r="Y866" s="50" t="s">
        <v>482</v>
      </c>
      <c r="Z866" s="49">
        <f t="shared" si="6"/>
        <v>0</v>
      </c>
    </row>
    <row r="867" ht="22.5" customHeight="1">
      <c r="B867" s="41" t="s">
        <v>4581</v>
      </c>
      <c r="C867" s="43">
        <f t="array" ref="C867">IF(B867="","",_xlfn.XLOOKUP(B867,'Form responses 1'!$B$2:$B$2604,'Form responses 1'!$A$2:$A$2604,""))</f>
        <v>45608.47977</v>
      </c>
      <c r="D867" s="44" t="str">
        <f t="shared" si="3"/>
        <v>L/27/121124/1_45608.4797661921</v>
      </c>
      <c r="E867" s="44" t="str">
        <f t="array" ref="E867">IF(B867="","",_xlfn.XLOOKUP(B867,'Form responses 1'!$B$2:$B$2604,'Form responses 1'!$C$2:$C$2604,""))</f>
        <v>SAIFUL FITRI</v>
      </c>
      <c r="F867" s="44" t="str">
        <f t="array" ref="F867">IF(B867="","",_xlfn.XLOOKUP(B867,'Form responses 1'!$B$2:$B$2604,'Form responses 1'!$D$2:$D$2604,""))</f>
        <v>081369177009</v>
      </c>
      <c r="G867" s="44" t="str">
        <f t="array" ref="G867">IF(B867="","",_xlfn.XLOOKUP(B867,'Form responses 1'!$B$2:$B$2604,'Form responses 1'!$E$2:$E$2604,""))</f>
        <v>PTPGT</v>
      </c>
      <c r="H867" s="44" t="str">
        <f t="array" ref="H867">IF(B867="","",_xlfn.XLOOKUP(B867,'Form responses 1'!$B$2:$B$2604,'Form responses 1'!$F$2:$F$2604,""))</f>
        <v>HM 10312/SUKABUMI</v>
      </c>
      <c r="I867" s="44" t="str">
        <f t="array" ref="I867">IF(B867="","",_xlfn.XLOOKUP(B867,'Form responses 1'!$B$2:$B$2604,'Form responses 1'!$I$2:$I$2604,""))</f>
        <v>SUKABUMI</v>
      </c>
      <c r="J867" s="44" t="str">
        <f t="array" ref="J867">IF(B867="","",_xlfn.XLOOKUP(B867,'Form responses 1'!$B$2:$B$2604,'Form responses 1'!$G$2:$G$2604,""))</f>
        <v>Deby</v>
      </c>
      <c r="K867" s="41" t="s">
        <v>1233</v>
      </c>
      <c r="L867" s="52">
        <f t="shared" si="7"/>
        <v>45609.38541</v>
      </c>
      <c r="M867" s="49"/>
      <c r="N867" s="49"/>
      <c r="O867" s="49"/>
      <c r="P867" s="49"/>
      <c r="Q867" s="49"/>
      <c r="R867" s="49"/>
      <c r="S867" s="49"/>
      <c r="T867" s="49"/>
      <c r="U867" s="49"/>
      <c r="V867" s="49"/>
      <c r="W867" s="41" t="s">
        <v>618</v>
      </c>
      <c r="X867" s="46">
        <f t="shared" si="5"/>
        <v>45609.39426</v>
      </c>
      <c r="Y867" s="50" t="s">
        <v>482</v>
      </c>
      <c r="Z867" s="49">
        <f t="shared" si="6"/>
        <v>0</v>
      </c>
    </row>
    <row r="868" ht="22.5" customHeight="1">
      <c r="B868" s="41" t="s">
        <v>4567</v>
      </c>
      <c r="C868" s="43">
        <f t="array" ref="C868">IF(B868="","",_xlfn.XLOOKUP(B868,'Form responses 1'!$B$2:$B$2604,'Form responses 1'!$A$2:$A$2604,""))</f>
        <v>45608.45639</v>
      </c>
      <c r="D868" s="44" t="str">
        <f t="shared" si="3"/>
        <v>L/22/121124/1_45608.4563873727</v>
      </c>
      <c r="E868" s="44" t="str">
        <f t="array" ref="E868">IF(B868="","",_xlfn.XLOOKUP(B868,'Form responses 1'!$B$2:$B$2604,'Form responses 1'!$C$2:$C$2604,""))</f>
        <v>TRIASIH FAJARWATI</v>
      </c>
      <c r="F868" s="44" t="str">
        <f t="array" ref="F868">IF(B868="","",_xlfn.XLOOKUP(B868,'Form responses 1'!$B$2:$B$2604,'Form responses 1'!$D$2:$D$2604,""))</f>
        <v>082177076635</v>
      </c>
      <c r="G868" s="44" t="str">
        <f t="array" ref="G868">IF(B868="","",_xlfn.XLOOKUP(B868,'Form responses 1'!$B$2:$B$2604,'Form responses 1'!$E$2:$E$2604,""))</f>
        <v>PERMOHONAN SK</v>
      </c>
      <c r="H868" s="44" t="str">
        <f t="array" ref="H868">IF(B868="","",_xlfn.XLOOKUP(B868,'Form responses 1'!$B$2:$B$2604,'Form responses 1'!$F$2:$F$2604,""))</f>
        <v>KEMILING PERMAI</v>
      </c>
      <c r="I868" s="44" t="str">
        <f t="array" ref="I868">IF(B868="","",_xlfn.XLOOKUP(B868,'Form responses 1'!$B$2:$B$2604,'Form responses 1'!$I$2:$I$2604,""))</f>
        <v>KEMILING PERMAI</v>
      </c>
      <c r="J868" s="44" t="str">
        <f t="array" ref="J868">IF(B868="","",_xlfn.XLOOKUP(B868,'Form responses 1'!$B$2:$B$2604,'Form responses 1'!$G$2:$G$2604,""))</f>
        <v>Deby</v>
      </c>
      <c r="K868" s="41" t="s">
        <v>2875</v>
      </c>
      <c r="L868" s="52">
        <f t="shared" si="7"/>
        <v>45609.43638</v>
      </c>
      <c r="M868" s="49"/>
      <c r="N868" s="49"/>
      <c r="O868" s="49"/>
      <c r="P868" s="49"/>
      <c r="Q868" s="49"/>
      <c r="R868" s="49"/>
      <c r="S868" s="49"/>
      <c r="T868" s="49"/>
      <c r="U868" s="49"/>
      <c r="V868" s="49"/>
      <c r="W868" s="41" t="s">
        <v>618</v>
      </c>
      <c r="X868" s="46">
        <f t="shared" si="5"/>
        <v>45609.43644</v>
      </c>
      <c r="Y868" s="50" t="s">
        <v>482</v>
      </c>
      <c r="Z868" s="49">
        <f t="shared" si="6"/>
        <v>0</v>
      </c>
    </row>
    <row r="869" ht="22.5" customHeight="1">
      <c r="B869" s="41" t="s">
        <v>4469</v>
      </c>
      <c r="C869" s="43">
        <f t="array" ref="C869">IF(B869="","",_xlfn.XLOOKUP(B869,'Form responses 1'!$B$2:$B$2604,'Form responses 1'!$A$2:$A$2604,""))</f>
        <v>45607.62699</v>
      </c>
      <c r="D869" s="44" t="str">
        <f t="shared" si="3"/>
        <v>K/40/111124/1_45607.6269911111</v>
      </c>
      <c r="E869" s="44" t="str">
        <f t="array" ref="E869">IF(B869="","",_xlfn.XLOOKUP(B869,'Form responses 1'!$B$2:$B$2604,'Form responses 1'!$C$2:$C$2604,""))</f>
        <v>TIORISMA SINURAT CS/NAZAIRONI ASIBRIYHA </v>
      </c>
      <c r="F869" s="44" t="str">
        <f t="array" ref="F869">IF(B869="","",_xlfn.XLOOKUP(B869,'Form responses 1'!$B$2:$B$2604,'Form responses 1'!$D$2:$D$2604,""))</f>
        <v>0822-4928-5823</v>
      </c>
      <c r="G869" s="44" t="str">
        <f t="array" ref="G869">IF(B869="","",_xlfn.XLOOKUP(B869,'Form responses 1'!$B$2:$B$2604,'Form responses 1'!$E$2:$E$2604,""))</f>
        <v>KEWARISAN</v>
      </c>
      <c r="H869" s="44" t="str">
        <f t="array" ref="H869">IF(B869="","",_xlfn.XLOOKUP(B869,'Form responses 1'!$B$2:$B$2604,'Form responses 1'!$F$2:$F$2604,""))</f>
        <v>M.868/BAKUNG</v>
      </c>
      <c r="I869" s="44" t="str">
        <f t="array" ref="I869">IF(B869="","",_xlfn.XLOOKUP(B869,'Form responses 1'!$B$2:$B$2604,'Form responses 1'!$I$2:$I$2604,""))</f>
        <v>BAKUNG</v>
      </c>
      <c r="J869" s="44" t="str">
        <f t="array" ref="J869">IF(B869="","",_xlfn.XLOOKUP(B869,'Form responses 1'!$B$2:$B$2604,'Form responses 1'!$G$2:$G$2604,""))</f>
        <v>Baynur</v>
      </c>
      <c r="K869" s="41" t="s">
        <v>2875</v>
      </c>
      <c r="L869" s="52">
        <f t="shared" si="7"/>
        <v>45609.4381</v>
      </c>
      <c r="M869" s="47" t="s">
        <v>5664</v>
      </c>
      <c r="N869" s="49"/>
      <c r="O869" s="49"/>
      <c r="P869" s="49"/>
      <c r="Q869" s="49"/>
      <c r="R869" s="49"/>
      <c r="S869" s="49"/>
      <c r="T869" s="49"/>
      <c r="U869" s="49"/>
      <c r="V869" s="49"/>
      <c r="W869" s="41" t="s">
        <v>470</v>
      </c>
      <c r="X869" s="46">
        <f t="shared" si="5"/>
        <v>45609.58428</v>
      </c>
      <c r="Y869" s="50" t="s">
        <v>482</v>
      </c>
      <c r="Z869" s="49">
        <f t="shared" si="6"/>
        <v>1</v>
      </c>
    </row>
    <row r="870" ht="22.5" customHeight="1">
      <c r="B870" s="41" t="s">
        <v>4425</v>
      </c>
      <c r="C870" s="43">
        <f t="array" ref="C870">IF(B870="","",_xlfn.XLOOKUP(B870,'Form responses 1'!$B$2:$B$2604,'Form responses 1'!$A$2:$A$2604,""))</f>
        <v>45607.59743</v>
      </c>
      <c r="D870" s="44" t="str">
        <f t="shared" si="3"/>
        <v>K/31/111124/1_45607.5974305787</v>
      </c>
      <c r="E870" s="44" t="str">
        <f t="array" ref="E870">IF(B870="","",_xlfn.XLOOKUP(B870,'Form responses 1'!$B$2:$B$2604,'Form responses 1'!$C$2:$C$2604,""))</f>
        <v>ILANUR</v>
      </c>
      <c r="F870" s="44" t="str">
        <f t="array" ref="F870">IF(B870="","",_xlfn.XLOOKUP(B870,'Form responses 1'!$B$2:$B$2604,'Form responses 1'!$D$2:$D$2604,""))</f>
        <v>081295653816</v>
      </c>
      <c r="G870" s="44" t="str">
        <f t="array" ref="G870">IF(B870="","",_xlfn.XLOOKUP(B870,'Form responses 1'!$B$2:$B$2604,'Form responses 1'!$E$2:$E$2604,""))</f>
        <v>BN JUAL BELI</v>
      </c>
      <c r="H870" s="44" t="str">
        <f t="array" ref="H870">IF(B870="","",_xlfn.XLOOKUP(B870,'Form responses 1'!$B$2:$B$2604,'Form responses 1'!$F$2:$F$2604,""))</f>
        <v>B. 256/ Kota Baru</v>
      </c>
      <c r="I870" s="44" t="str">
        <f t="array" ref="I870">IF(B870="","",_xlfn.XLOOKUP(B870,'Form responses 1'!$B$2:$B$2604,'Form responses 1'!$I$2:$I$2604,""))</f>
        <v>Kota Baru</v>
      </c>
      <c r="J870" s="44" t="str">
        <f t="array" ref="J870">IF(B870="","",_xlfn.XLOOKUP(B870,'Form responses 1'!$B$2:$B$2604,'Form responses 1'!$G$2:$G$2604,""))</f>
        <v>Hananda</v>
      </c>
      <c r="K870" s="41" t="s">
        <v>2875</v>
      </c>
      <c r="L870" s="52">
        <f t="shared" si="7"/>
        <v>45609.43841</v>
      </c>
      <c r="M870" s="47" t="s">
        <v>5665</v>
      </c>
      <c r="N870" s="49"/>
      <c r="O870" s="49"/>
      <c r="P870" s="49"/>
      <c r="Q870" s="49"/>
      <c r="R870" s="49"/>
      <c r="S870" s="49"/>
      <c r="T870" s="49"/>
      <c r="U870" s="49"/>
      <c r="V870" s="49"/>
      <c r="W870" s="41" t="s">
        <v>470</v>
      </c>
      <c r="X870" s="46">
        <f t="shared" si="5"/>
        <v>45609.59624</v>
      </c>
      <c r="Y870" s="50" t="s">
        <v>482</v>
      </c>
      <c r="Z870" s="49">
        <f t="shared" si="6"/>
        <v>1</v>
      </c>
    </row>
    <row r="871" ht="22.5" customHeight="1">
      <c r="B871" s="41" t="s">
        <v>4355</v>
      </c>
      <c r="C871" s="43">
        <f t="array" ref="C871">IF(B871="","",_xlfn.XLOOKUP(B871,'Form responses 1'!$B$2:$B$2604,'Form responses 1'!$A$2:$A$2604,""))</f>
        <v>45607.44412</v>
      </c>
      <c r="D871" s="44" t="str">
        <f t="shared" si="3"/>
        <v>K/9/111124/1_45607.4441169676</v>
      </c>
      <c r="E871" s="44" t="str">
        <f t="array" ref="E871">IF(B871="","",_xlfn.XLOOKUP(B871,'Form responses 1'!$B$2:$B$2604,'Form responses 1'!$C$2:$C$2604,""))</f>
        <v>ERWIN ZULIAN</v>
      </c>
      <c r="F871" s="44" t="str">
        <f t="array" ref="F871">IF(B871="","",_xlfn.XLOOKUP(B871,'Form responses 1'!$B$2:$B$2604,'Form responses 1'!$D$2:$D$2604,""))</f>
        <v>082179705566</v>
      </c>
      <c r="G871" s="44" t="str">
        <f t="array" ref="G871">IF(B871="","",_xlfn.XLOOKUP(B871,'Form responses 1'!$B$2:$B$2604,'Form responses 1'!$E$2:$E$2604,""))</f>
        <v>BN LELANG</v>
      </c>
      <c r="H871" s="44" t="str">
        <f t="array" ref="H871">IF(B871="","",_xlfn.XLOOKUP(B871,'Form responses 1'!$B$2:$B$2604,'Form responses 1'!$F$2:$F$2604,""))</f>
        <v>M. 815/ Rajabasa Pemuka</v>
      </c>
      <c r="I871" s="44" t="str">
        <f t="array" ref="I871">IF(B871="","",_xlfn.XLOOKUP(B871,'Form responses 1'!$B$2:$B$2604,'Form responses 1'!$I$2:$I$2604,""))</f>
        <v> Rajabasa Pemuka</v>
      </c>
      <c r="J871" s="44" t="str">
        <f t="array" ref="J871">IF(B871="","",_xlfn.XLOOKUP(B871,'Form responses 1'!$B$2:$B$2604,'Form responses 1'!$G$2:$G$2604,""))</f>
        <v>Hananda</v>
      </c>
      <c r="K871" s="41" t="s">
        <v>2875</v>
      </c>
      <c r="L871" s="52">
        <f t="shared" si="7"/>
        <v>45609.43869</v>
      </c>
      <c r="M871" s="47" t="s">
        <v>5666</v>
      </c>
      <c r="N871" s="49"/>
      <c r="O871" s="49"/>
      <c r="P871" s="49"/>
      <c r="Q871" s="49"/>
      <c r="R871" s="49"/>
      <c r="S871" s="49"/>
      <c r="T871" s="49"/>
      <c r="U871" s="49"/>
      <c r="V871" s="49"/>
      <c r="W871" s="41" t="s">
        <v>618</v>
      </c>
      <c r="X871" s="46">
        <f t="shared" si="5"/>
        <v>45611.3548</v>
      </c>
      <c r="Y871" s="50" t="s">
        <v>482</v>
      </c>
      <c r="Z871" s="49">
        <f t="shared" si="6"/>
        <v>1</v>
      </c>
    </row>
    <row r="872" ht="22.5" customHeight="1">
      <c r="B872" s="41" t="s">
        <v>4409</v>
      </c>
      <c r="C872" s="43">
        <f t="array" ref="C872">IF(B872="","",_xlfn.XLOOKUP(B872,'Form responses 1'!$B$2:$B$2604,'Form responses 1'!$A$2:$A$2604,""))</f>
        <v>45607.57948</v>
      </c>
      <c r="D872" s="44" t="str">
        <f t="shared" si="3"/>
        <v>K/25/111124/1_45607.5794761111</v>
      </c>
      <c r="E872" s="44" t="str">
        <f t="array" ref="E872">IF(B872="","",_xlfn.XLOOKUP(B872,'Form responses 1'!$B$2:$B$2604,'Form responses 1'!$C$2:$C$2604,""))</f>
        <v>NURLAILA</v>
      </c>
      <c r="F872" s="44" t="str">
        <f t="array" ref="F872">IF(B872="","",_xlfn.XLOOKUP(B872,'Form responses 1'!$B$2:$B$2604,'Form responses 1'!$D$2:$D$2604,""))</f>
        <v>08122439900</v>
      </c>
      <c r="G872" s="44" t="str">
        <f t="array" ref="G872">IF(B872="","",_xlfn.XLOOKUP(B872,'Form responses 1'!$B$2:$B$2604,'Form responses 1'!$E$2:$E$2604,""))</f>
        <v>BN JUAL BELI</v>
      </c>
      <c r="H872" s="44" t="str">
        <f t="array" ref="H872">IF(B872="","",_xlfn.XLOOKUP(B872,'Form responses 1'!$B$2:$B$2604,'Form responses 1'!$F$2:$F$2604,""))</f>
        <v>Nibel 3510/ Rajabasa Pemuka</v>
      </c>
      <c r="I872" s="44" t="str">
        <f t="array" ref="I872">IF(B872="","",_xlfn.XLOOKUP(B872,'Form responses 1'!$B$2:$B$2604,'Form responses 1'!$I$2:$I$2604,""))</f>
        <v>Rajabasa Pemuka</v>
      </c>
      <c r="J872" s="44" t="str">
        <f t="array" ref="J872">IF(B872="","",_xlfn.XLOOKUP(B872,'Form responses 1'!$B$2:$B$2604,'Form responses 1'!$G$2:$G$2604,""))</f>
        <v>Hananda</v>
      </c>
      <c r="K872" s="41" t="s">
        <v>2875</v>
      </c>
      <c r="L872" s="52">
        <f t="shared" si="7"/>
        <v>45609.439</v>
      </c>
      <c r="M872" s="47" t="s">
        <v>5667</v>
      </c>
      <c r="N872" s="49"/>
      <c r="O872" s="49"/>
      <c r="P872" s="49"/>
      <c r="Q872" s="49"/>
      <c r="R872" s="49"/>
      <c r="S872" s="49"/>
      <c r="T872" s="49"/>
      <c r="U872" s="49"/>
      <c r="V872" s="49"/>
      <c r="W872" s="41" t="s">
        <v>470</v>
      </c>
      <c r="X872" s="46">
        <f t="shared" si="5"/>
        <v>45609.52167</v>
      </c>
      <c r="Y872" s="50" t="s">
        <v>482</v>
      </c>
      <c r="Z872" s="49">
        <f t="shared" si="6"/>
        <v>1</v>
      </c>
    </row>
    <row r="873" ht="22.5" customHeight="1">
      <c r="B873" s="41" t="s">
        <v>4431</v>
      </c>
      <c r="C873" s="43">
        <f t="array" ref="C873">IF(B873="","",_xlfn.XLOOKUP(B873,'Form responses 1'!$B$2:$B$2604,'Form responses 1'!$A$2:$A$2604,""))</f>
        <v>45607.60202</v>
      </c>
      <c r="D873" s="44" t="str">
        <f t="shared" si="3"/>
        <v>K/29/111124/3_45607.6020167708</v>
      </c>
      <c r="E873" s="44" t="str">
        <f t="array" ref="E873">IF(B873="","",_xlfn.XLOOKUP(B873,'Form responses 1'!$B$2:$B$2604,'Form responses 1'!$C$2:$C$2604,""))</f>
        <v>Evi Udin/ Evi SDS</v>
      </c>
      <c r="F873" s="44" t="str">
        <f t="array" ref="F873">IF(B873="","",_xlfn.XLOOKUP(B873,'Form responses 1'!$B$2:$B$2604,'Form responses 1'!$D$2:$D$2604,""))</f>
        <v>+62 821-8499-9559</v>
      </c>
      <c r="G873" s="44" t="str">
        <f t="array" ref="G873">IF(B873="","",_xlfn.XLOOKUP(B873,'Form responses 1'!$B$2:$B$2604,'Form responses 1'!$E$2:$E$2604,""))</f>
        <v>BN Jual Beli</v>
      </c>
      <c r="H873" s="44" t="str">
        <f t="array" ref="H873">IF(B873="","",_xlfn.XLOOKUP(B873,'Form responses 1'!$B$2:$B$2604,'Form responses 1'!$F$2:$F$2604,""))</f>
        <v>M. 867/ Kupang Teba</v>
      </c>
      <c r="I873" s="44" t="str">
        <f t="array" ref="I873">IF(B873="","",_xlfn.XLOOKUP(B873,'Form responses 1'!$B$2:$B$2604,'Form responses 1'!$I$2:$I$2604,""))</f>
        <v>Kupang Teba</v>
      </c>
      <c r="J873" s="44" t="str">
        <f t="array" ref="J873">IF(B873="","",_xlfn.XLOOKUP(B873,'Form responses 1'!$B$2:$B$2604,'Form responses 1'!$G$2:$G$2604,""))</f>
        <v>Rapita</v>
      </c>
      <c r="K873" s="41" t="s">
        <v>2875</v>
      </c>
      <c r="L873" s="52">
        <f t="shared" si="7"/>
        <v>45609.43921</v>
      </c>
      <c r="M873" s="49"/>
      <c r="N873" s="49"/>
      <c r="O873" s="49"/>
      <c r="P873" s="49"/>
      <c r="Q873" s="49"/>
      <c r="R873" s="49"/>
      <c r="S873" s="49"/>
      <c r="T873" s="49"/>
      <c r="U873" s="49"/>
      <c r="V873" s="49"/>
      <c r="W873" s="41" t="s">
        <v>618</v>
      </c>
      <c r="X873" s="46">
        <f t="shared" si="5"/>
        <v>45609.51001</v>
      </c>
      <c r="Y873" s="50" t="s">
        <v>482</v>
      </c>
      <c r="Z873" s="49">
        <f t="shared" si="6"/>
        <v>0</v>
      </c>
    </row>
    <row r="874" ht="22.5" customHeight="1">
      <c r="B874" s="41" t="s">
        <v>4427</v>
      </c>
      <c r="C874" s="43">
        <f t="array" ref="C874">IF(B874="","",_xlfn.XLOOKUP(B874,'Form responses 1'!$B$2:$B$2604,'Form responses 1'!$A$2:$A$2604,""))</f>
        <v>45607.60106</v>
      </c>
      <c r="D874" s="44" t="str">
        <f t="shared" si="3"/>
        <v>K/24/111124/1_45607.6010590625</v>
      </c>
      <c r="E874" s="44" t="str">
        <f t="array" ref="E874">IF(B874="","",_xlfn.XLOOKUP(B874,'Form responses 1'!$B$2:$B$2604,'Form responses 1'!$C$2:$C$2604,""))</f>
        <v>Thabrani/ Sumiati</v>
      </c>
      <c r="F874" s="44" t="str">
        <f t="array" ref="F874">IF(B874="","",_xlfn.XLOOKUP(B874,'Form responses 1'!$B$2:$B$2604,'Form responses 1'!$D$2:$D$2604,""))</f>
        <v>081393738080</v>
      </c>
      <c r="G874" s="44" t="str">
        <f t="array" ref="G874">IF(B874="","",_xlfn.XLOOKUP(B874,'Form responses 1'!$B$2:$B$2604,'Form responses 1'!$E$2:$E$2604,""))</f>
        <v>BN Jual Beli</v>
      </c>
      <c r="H874" s="44" t="str">
        <f t="array" ref="H874">IF(B874="","",_xlfn.XLOOKUP(B874,'Form responses 1'!$B$2:$B$2604,'Form responses 1'!$F$2:$F$2604,""))</f>
        <v>Nibel. M. 2723/ Kedaton</v>
      </c>
      <c r="I874" s="44" t="str">
        <f t="array" ref="I874">IF(B874="","",_xlfn.XLOOKUP(B874,'Form responses 1'!$B$2:$B$2604,'Form responses 1'!$I$2:$I$2604,""))</f>
        <v> Kedaton</v>
      </c>
      <c r="J874" s="44" t="str">
        <f t="array" ref="J874">IF(B874="","",_xlfn.XLOOKUP(B874,'Form responses 1'!$B$2:$B$2604,'Form responses 1'!$G$2:$G$2604,""))</f>
        <v>Rapita</v>
      </c>
      <c r="K874" s="41" t="s">
        <v>2875</v>
      </c>
      <c r="L874" s="52">
        <f t="shared" si="7"/>
        <v>45609.43935</v>
      </c>
      <c r="M874" s="49"/>
      <c r="N874" s="49"/>
      <c r="O874" s="49"/>
      <c r="P874" s="49"/>
      <c r="Q874" s="49"/>
      <c r="R874" s="49"/>
      <c r="S874" s="49"/>
      <c r="T874" s="49"/>
      <c r="U874" s="49"/>
      <c r="V874" s="49"/>
      <c r="W874" s="41" t="s">
        <v>618</v>
      </c>
      <c r="X874" s="46">
        <f t="shared" si="5"/>
        <v>45609.48449</v>
      </c>
      <c r="Y874" s="50" t="s">
        <v>482</v>
      </c>
      <c r="Z874" s="49">
        <f t="shared" si="6"/>
        <v>0</v>
      </c>
    </row>
    <row r="875" ht="22.5" customHeight="1">
      <c r="B875" s="41" t="s">
        <v>4446</v>
      </c>
      <c r="C875" s="43">
        <f t="array" ref="C875">IF(B875="","",_xlfn.XLOOKUP(B875,'Form responses 1'!$B$2:$B$2604,'Form responses 1'!$A$2:$A$2604,""))</f>
        <v>45607.60975</v>
      </c>
      <c r="D875" s="44" t="str">
        <f t="shared" si="3"/>
        <v>K/35/111124/1_45607.6097530671</v>
      </c>
      <c r="E875" s="44" t="str">
        <f t="array" ref="E875">IF(B875="","",_xlfn.XLOOKUP(B875,'Form responses 1'!$B$2:$B$2604,'Form responses 1'!$C$2:$C$2604,""))</f>
        <v>YENI EKAWATI / NURLELA</v>
      </c>
      <c r="F875" s="44" t="str">
        <f t="array" ref="F875">IF(B875="","",_xlfn.XLOOKUP(B875,'Form responses 1'!$B$2:$B$2604,'Form responses 1'!$D$2:$D$2604,""))</f>
        <v>0895600617771</v>
      </c>
      <c r="G875" s="44" t="str">
        <f t="array" ref="G875">IF(B875="","",_xlfn.XLOOKUP(B875,'Form responses 1'!$B$2:$B$2604,'Form responses 1'!$E$2:$E$2604,""))</f>
        <v>BN APHB</v>
      </c>
      <c r="H875" s="44" t="str">
        <f t="array" ref="H875">IF(B875="","",_xlfn.XLOOKUP(B875,'Form responses 1'!$B$2:$B$2604,'Form responses 1'!$F$2:$F$2604,""))</f>
        <v>NIBEL M. 2683/ PENENGAHAN RAYA</v>
      </c>
      <c r="I875" s="44" t="str">
        <f t="array" ref="I875">IF(B875="","",_xlfn.XLOOKUP(B875,'Form responses 1'!$B$2:$B$2604,'Form responses 1'!$I$2:$I$2604,""))</f>
        <v>PENENGAHAN RAYA</v>
      </c>
      <c r="J875" s="44" t="str">
        <f t="array" ref="J875">IF(B875="","",_xlfn.XLOOKUP(B875,'Form responses 1'!$B$2:$B$2604,'Form responses 1'!$G$2:$G$2604,""))</f>
        <v>Aisyah</v>
      </c>
      <c r="K875" s="41" t="s">
        <v>2875</v>
      </c>
      <c r="L875" s="52">
        <f t="shared" si="7"/>
        <v>45609.43954</v>
      </c>
      <c r="M875" s="49"/>
      <c r="N875" s="49"/>
      <c r="O875" s="49"/>
      <c r="P875" s="49"/>
      <c r="Q875" s="49"/>
      <c r="R875" s="49"/>
      <c r="S875" s="49"/>
      <c r="T875" s="49"/>
      <c r="U875" s="49"/>
      <c r="V875" s="49"/>
      <c r="W875" s="41" t="s">
        <v>618</v>
      </c>
      <c r="X875" s="46">
        <f t="shared" si="5"/>
        <v>45609.47038</v>
      </c>
      <c r="Y875" s="50" t="s">
        <v>482</v>
      </c>
      <c r="Z875" s="49">
        <f t="shared" si="6"/>
        <v>0</v>
      </c>
    </row>
    <row r="876" ht="22.5" customHeight="1">
      <c r="B876" s="41" t="s">
        <v>4650</v>
      </c>
      <c r="C876" s="43">
        <f t="array" ref="C876">IF(B876="","",_xlfn.XLOOKUP(B876,'Form responses 1'!$B$2:$B$2604,'Form responses 1'!$A$2:$A$2604,""))</f>
        <v>45608.58421</v>
      </c>
      <c r="D876" s="44" t="str">
        <f t="shared" si="3"/>
        <v>L/46/121124/1_45608.5842143866</v>
      </c>
      <c r="E876" s="44" t="str">
        <f t="array" ref="E876">IF(B876="","",_xlfn.XLOOKUP(B876,'Form responses 1'!$B$2:$B$2604,'Form responses 1'!$C$2:$C$2604,""))</f>
        <v>NURUL HODAYATI</v>
      </c>
      <c r="F876" s="44" t="str">
        <f t="array" ref="F876">IF(B876="","",_xlfn.XLOOKUP(B876,'Form responses 1'!$B$2:$B$2604,'Form responses 1'!$D$2:$D$2604,""))</f>
        <v>081369057575</v>
      </c>
      <c r="G876" s="44" t="str">
        <f t="array" ref="G876">IF(B876="","",_xlfn.XLOOKUP(B876,'Form responses 1'!$B$2:$B$2604,'Form responses 1'!$E$2:$E$2604,""))</f>
        <v>ROYA</v>
      </c>
      <c r="H876" s="44" t="str">
        <f t="array" ref="H876">IF(B876="","",_xlfn.XLOOKUP(B876,'Form responses 1'!$B$2:$B$2604,'Form responses 1'!$F$2:$F$2604,""))</f>
        <v>HM 755/RAJABASA RAYA</v>
      </c>
      <c r="I876" s="44" t="str">
        <f t="array" ref="I876">IF(B876="","",_xlfn.XLOOKUP(B876,'Form responses 1'!$B$2:$B$2604,'Form responses 1'!$I$2:$I$2604,""))</f>
        <v>RAJABASA RAYA</v>
      </c>
      <c r="J876" s="44" t="str">
        <f t="array" ref="J876">IF(B876="","",_xlfn.XLOOKUP(B876,'Form responses 1'!$B$2:$B$2604,'Form responses 1'!$G$2:$G$2604,""))</f>
        <v>Deby</v>
      </c>
      <c r="K876" s="41" t="s">
        <v>2875</v>
      </c>
      <c r="L876" s="52">
        <f t="shared" si="7"/>
        <v>45609.45085</v>
      </c>
      <c r="M876" s="47" t="s">
        <v>5668</v>
      </c>
      <c r="N876" s="49"/>
      <c r="O876" s="49"/>
      <c r="P876" s="49"/>
      <c r="Q876" s="49"/>
      <c r="R876" s="49"/>
      <c r="S876" s="49"/>
      <c r="T876" s="49"/>
      <c r="U876" s="49"/>
      <c r="V876" s="49"/>
      <c r="W876" s="41" t="s">
        <v>470</v>
      </c>
      <c r="X876" s="46">
        <f t="shared" si="5"/>
        <v>45609.61163</v>
      </c>
      <c r="Y876" s="50" t="s">
        <v>482</v>
      </c>
      <c r="Z876" s="49">
        <f t="shared" si="6"/>
        <v>1</v>
      </c>
    </row>
    <row r="877" ht="22.5" customHeight="1">
      <c r="B877" s="41" t="s">
        <v>4505</v>
      </c>
      <c r="C877" s="43">
        <f t="array" ref="C877">IF(B877="","",_xlfn.XLOOKUP(B877,'Form responses 1'!$B$2:$B$2604,'Form responses 1'!$A$2:$A$2604,""))</f>
        <v>45608.40215</v>
      </c>
      <c r="D877" s="44" t="str">
        <f t="shared" si="3"/>
        <v>K/5/121124/1_45608.4021452546</v>
      </c>
      <c r="E877" s="44" t="str">
        <f t="array" ref="E877">IF(B877="","",_xlfn.XLOOKUP(B877,'Form responses 1'!$B$2:$B$2604,'Form responses 1'!$C$2:$C$2604,""))</f>
        <v>TITIK WIJAYANTI/ADE FIRMANSYAH</v>
      </c>
      <c r="F877" s="44" t="str">
        <f t="array" ref="F877">IF(B877="","",_xlfn.XLOOKUP(B877,'Form responses 1'!$B$2:$B$2604,'Form responses 1'!$D$2:$D$2604,""))</f>
        <v>082175979305</v>
      </c>
      <c r="G877" s="44" t="str">
        <f t="array" ref="G877">IF(B877="","",_xlfn.XLOOKUP(B877,'Form responses 1'!$B$2:$B$2604,'Form responses 1'!$E$2:$E$2604,""))</f>
        <v>SKPT LELANG</v>
      </c>
      <c r="H877" s="44" t="str">
        <f t="array" ref="H877">IF(B877="","",_xlfn.XLOOKUP(B877,'Form responses 1'!$B$2:$B$2604,'Form responses 1'!$F$2:$F$2604,""))</f>
        <v>M.67/SUMBEREJO SEJAHTERA</v>
      </c>
      <c r="I877" s="44" t="str">
        <f t="array" ref="I877">IF(B877="","",_xlfn.XLOOKUP(B877,'Form responses 1'!$B$2:$B$2604,'Form responses 1'!$I$2:$I$2604,""))</f>
        <v>SUMBEREJO SEJAHTERA</v>
      </c>
      <c r="J877" s="44" t="str">
        <f t="array" ref="J877">IF(B877="","",_xlfn.XLOOKUP(B877,'Form responses 1'!$B$2:$B$2604,'Form responses 1'!$G$2:$G$2604,""))</f>
        <v>Baynur</v>
      </c>
      <c r="K877" s="41" t="s">
        <v>2875</v>
      </c>
      <c r="L877" s="52">
        <f t="shared" si="7"/>
        <v>45609.45087</v>
      </c>
      <c r="M877" s="47" t="s">
        <v>5313</v>
      </c>
      <c r="N877" s="49"/>
      <c r="O877" s="49"/>
      <c r="P877" s="49"/>
      <c r="Q877" s="49"/>
      <c r="R877" s="49"/>
      <c r="S877" s="49"/>
      <c r="T877" s="49"/>
      <c r="U877" s="49"/>
      <c r="V877" s="49"/>
      <c r="W877" s="41" t="s">
        <v>618</v>
      </c>
      <c r="X877" s="46">
        <f t="shared" si="5"/>
        <v>45609.60435</v>
      </c>
      <c r="Y877" s="50" t="s">
        <v>482</v>
      </c>
      <c r="Z877" s="49">
        <f t="shared" si="6"/>
        <v>1</v>
      </c>
    </row>
    <row r="878" ht="22.5" customHeight="1">
      <c r="B878" s="41" t="s">
        <v>4524</v>
      </c>
      <c r="C878" s="43">
        <f t="array" ref="C878">IF(B878="","",_xlfn.XLOOKUP(B878,'Form responses 1'!$B$2:$B$2604,'Form responses 1'!$A$2:$A$2604,""))</f>
        <v>45608.42975</v>
      </c>
      <c r="D878" s="44" t="str">
        <f t="shared" si="3"/>
        <v>K/10/121124/1_45608.4297478009</v>
      </c>
      <c r="E878" s="44" t="str">
        <f t="array" ref="E878">IF(B878="","",_xlfn.XLOOKUP(B878,'Form responses 1'!$B$2:$B$2604,'Form responses 1'!$C$2:$C$2604,""))</f>
        <v>EVI UDIN/ RONI CAHYADI</v>
      </c>
      <c r="F878" s="44" t="str">
        <f t="array" ref="F878">IF(B878="","",_xlfn.XLOOKUP(B878,'Form responses 1'!$B$2:$B$2604,'Form responses 1'!$D$2:$D$2604,""))</f>
        <v>+62 821-8499-9559</v>
      </c>
      <c r="G878" s="44" t="str">
        <f t="array" ref="G878">IF(B878="","",_xlfn.XLOOKUP(B878,'Form responses 1'!$B$2:$B$2604,'Form responses 1'!$E$2:$E$2604,""))</f>
        <v>ROYA</v>
      </c>
      <c r="H878" s="44" t="str">
        <f t="array" ref="H878">IF(B878="","",_xlfn.XLOOKUP(B878,'Form responses 1'!$B$2:$B$2604,'Form responses 1'!$F$2:$F$2604,""))</f>
        <v>M. 370/ Campang Raya </v>
      </c>
      <c r="I878" s="44" t="str">
        <f t="array" ref="I878">IF(B878="","",_xlfn.XLOOKUP(B878,'Form responses 1'!$B$2:$B$2604,'Form responses 1'!$I$2:$I$2604,""))</f>
        <v>Campang Raya </v>
      </c>
      <c r="J878" s="44" t="str">
        <f t="array" ref="J878">IF(B878="","",_xlfn.XLOOKUP(B878,'Form responses 1'!$B$2:$B$2604,'Form responses 1'!$G$2:$G$2604,""))</f>
        <v>Hananda</v>
      </c>
      <c r="K878" s="41" t="s">
        <v>2875</v>
      </c>
      <c r="L878" s="52">
        <f t="shared" si="7"/>
        <v>45609.45089</v>
      </c>
      <c r="M878" s="49"/>
      <c r="N878" s="49"/>
      <c r="O878" s="49"/>
      <c r="P878" s="49"/>
      <c r="Q878" s="49"/>
      <c r="R878" s="49"/>
      <c r="S878" s="49"/>
      <c r="T878" s="49"/>
      <c r="U878" s="49"/>
      <c r="V878" s="49"/>
      <c r="W878" s="41" t="s">
        <v>618</v>
      </c>
      <c r="X878" s="46">
        <f t="shared" si="5"/>
        <v>45609.62603</v>
      </c>
      <c r="Y878" s="50" t="s">
        <v>482</v>
      </c>
      <c r="Z878" s="49">
        <f t="shared" si="6"/>
        <v>0</v>
      </c>
    </row>
    <row r="879" ht="22.5" customHeight="1">
      <c r="B879" s="41" t="s">
        <v>4631</v>
      </c>
      <c r="C879" s="43">
        <f t="array" ref="C879">IF(B879="","",_xlfn.XLOOKUP(B879,'Form responses 1'!$B$2:$B$2604,'Form responses 1'!$A$2:$A$2604,""))</f>
        <v>45608.57527</v>
      </c>
      <c r="D879" s="44" t="str">
        <f t="shared" si="3"/>
        <v>K/40/121124/1_45608.5752702083</v>
      </c>
      <c r="E879" s="44" t="str">
        <f t="array" ref="E879">IF(B879="","",_xlfn.XLOOKUP(B879,'Form responses 1'!$B$2:$B$2604,'Form responses 1'!$C$2:$C$2604,""))</f>
        <v>ISMARINA/ ACHMAD</v>
      </c>
      <c r="F879" s="44" t="str">
        <f t="array" ref="F879">IF(B879="","",_xlfn.XLOOKUP(B879,'Form responses 1'!$B$2:$B$2604,'Form responses 1'!$D$2:$D$2604,""))</f>
        <v>081377641549</v>
      </c>
      <c r="G879" s="44" t="str">
        <f t="array" ref="G879">IF(B879="","",_xlfn.XLOOKUP(B879,'Form responses 1'!$B$2:$B$2604,'Form responses 1'!$E$2:$E$2604,""))</f>
        <v>BN JUAL BELI</v>
      </c>
      <c r="H879" s="44" t="str">
        <f t="array" ref="H879">IF(B879="","",_xlfn.XLOOKUP(B879,'Form responses 1'!$B$2:$B$2604,'Form responses 1'!$F$2:$F$2604,""))</f>
        <v>M. 9364/ Kampung Baru</v>
      </c>
      <c r="I879" s="44" t="str">
        <f t="array" ref="I879">IF(B879="","",_xlfn.XLOOKUP(B879,'Form responses 1'!$B$2:$B$2604,'Form responses 1'!$I$2:$I$2604,""))</f>
        <v> Kampung Baru</v>
      </c>
      <c r="J879" s="44" t="str">
        <f t="array" ref="J879">IF(B879="","",_xlfn.XLOOKUP(B879,'Form responses 1'!$B$2:$B$2604,'Form responses 1'!$G$2:$G$2604,""))</f>
        <v>Hananda</v>
      </c>
      <c r="K879" s="41" t="s">
        <v>2875</v>
      </c>
      <c r="L879" s="52">
        <f t="shared" si="7"/>
        <v>45609.45092</v>
      </c>
      <c r="M879" s="49"/>
      <c r="N879" s="49"/>
      <c r="O879" s="49"/>
      <c r="P879" s="49"/>
      <c r="Q879" s="49"/>
      <c r="R879" s="49"/>
      <c r="S879" s="49"/>
      <c r="T879" s="49"/>
      <c r="U879" s="49"/>
      <c r="V879" s="49"/>
      <c r="W879" s="41" t="s">
        <v>618</v>
      </c>
      <c r="X879" s="46">
        <f t="shared" si="5"/>
        <v>45610.37268</v>
      </c>
      <c r="Y879" s="50" t="s">
        <v>482</v>
      </c>
      <c r="Z879" s="49">
        <f t="shared" si="6"/>
        <v>0</v>
      </c>
    </row>
    <row r="880" ht="22.5" customHeight="1">
      <c r="B880" s="41" t="s">
        <v>4663</v>
      </c>
      <c r="C880" s="43">
        <f t="array" ref="C880">IF(B880="","",_xlfn.XLOOKUP(B880,'Form responses 1'!$B$2:$B$2604,'Form responses 1'!$A$2:$A$2604,""))</f>
        <v>45608.60607</v>
      </c>
      <c r="D880" s="44" t="str">
        <f t="shared" si="3"/>
        <v>K/50/121124/1_45608.6060651968</v>
      </c>
      <c r="E880" s="44" t="str">
        <f t="array" ref="E880">IF(B880="","",_xlfn.XLOOKUP(B880,'Form responses 1'!$B$2:$B$2604,'Form responses 1'!$C$2:$C$2604,""))</f>
        <v>ERLY REBEKA SIMANJUNTAK/CHRISTINA ULINA</v>
      </c>
      <c r="F880" s="44" t="str">
        <f t="array" ref="F880">IF(B880="","",_xlfn.XLOOKUP(B880,'Form responses 1'!$B$2:$B$2604,'Form responses 1'!$D$2:$D$2604,""))</f>
        <v>0821-7879-5856</v>
      </c>
      <c r="G880" s="44" t="str">
        <f t="array" ref="G880">IF(B880="","",_xlfn.XLOOKUP(B880,'Form responses 1'!$B$2:$B$2604,'Form responses 1'!$E$2:$E$2604,""))</f>
        <v>BN JUAL BELI</v>
      </c>
      <c r="H880" s="44" t="str">
        <f t="array" ref="H880">IF(B880="","",_xlfn.XLOOKUP(B880,'Form responses 1'!$B$2:$B$2604,'Form responses 1'!$F$2:$F$2604,""))</f>
        <v>NIBEL M.1785/SUMUR PUTRI</v>
      </c>
      <c r="I880" s="44" t="str">
        <f t="array" ref="I880">IF(B880="","",_xlfn.XLOOKUP(B880,'Form responses 1'!$B$2:$B$2604,'Form responses 1'!$I$2:$I$2604,""))</f>
        <v>SUMUR PUTRI</v>
      </c>
      <c r="J880" s="44" t="str">
        <f t="array" ref="J880">IF(B880="","",_xlfn.XLOOKUP(B880,'Form responses 1'!$B$2:$B$2604,'Form responses 1'!$G$2:$G$2604,""))</f>
        <v>Baynur</v>
      </c>
      <c r="K880" s="41" t="s">
        <v>2875</v>
      </c>
      <c r="L880" s="52">
        <f t="shared" si="7"/>
        <v>45609.45094</v>
      </c>
      <c r="M880" s="47" t="s">
        <v>5669</v>
      </c>
      <c r="N880" s="49"/>
      <c r="O880" s="49"/>
      <c r="P880" s="49"/>
      <c r="Q880" s="49"/>
      <c r="R880" s="49"/>
      <c r="S880" s="49"/>
      <c r="T880" s="49"/>
      <c r="U880" s="49"/>
      <c r="V880" s="49"/>
      <c r="W880" s="41" t="s">
        <v>470</v>
      </c>
      <c r="X880" s="46">
        <f t="shared" si="5"/>
        <v>45610.36906</v>
      </c>
      <c r="Y880" s="50" t="s">
        <v>482</v>
      </c>
      <c r="Z880" s="49">
        <f t="shared" si="6"/>
        <v>1</v>
      </c>
    </row>
    <row r="881" ht="22.5" customHeight="1">
      <c r="B881" s="41" t="s">
        <v>4579</v>
      </c>
      <c r="C881" s="43">
        <f t="array" ref="C881">IF(B881="","",_xlfn.XLOOKUP(B881,'Form responses 1'!$B$2:$B$2604,'Form responses 1'!$A$2:$A$2604,""))</f>
        <v>45608.47736</v>
      </c>
      <c r="D881" s="44" t="str">
        <f t="shared" si="3"/>
        <v>K/26/121124/3_45608.4773597569</v>
      </c>
      <c r="E881" s="44" t="str">
        <f t="array" ref="E881">IF(B881="","",_xlfn.XLOOKUP(B881,'Form responses 1'!$B$2:$B$2604,'Form responses 1'!$C$2:$C$2604,""))</f>
        <v>NANIK MARYANI</v>
      </c>
      <c r="F881" s="44" t="str">
        <f t="array" ref="F881">IF(B881="","",_xlfn.XLOOKUP(B881,'Form responses 1'!$B$2:$B$2604,'Form responses 1'!$D$2:$D$2604,""))</f>
        <v>082250816900</v>
      </c>
      <c r="G881" s="44" t="str">
        <f t="array" ref="G881">IF(B881="","",_xlfn.XLOOKUP(B881,'Form responses 1'!$B$2:$B$2604,'Form responses 1'!$E$2:$E$2604,""))</f>
        <v>BN JUAL BELI</v>
      </c>
      <c r="H881" s="44" t="str">
        <f t="array" ref="H881">IF(B881="","",_xlfn.XLOOKUP(B881,'Form responses 1'!$B$2:$B$2604,'Form responses 1'!$F$2:$F$2604,""))</f>
        <v>M. 16695/ Sukabumi</v>
      </c>
      <c r="I881" s="44" t="str">
        <f t="array" ref="I881">IF(B881="","",_xlfn.XLOOKUP(B881,'Form responses 1'!$B$2:$B$2604,'Form responses 1'!$I$2:$I$2604,""))</f>
        <v>Sukabumi</v>
      </c>
      <c r="J881" s="44" t="str">
        <f t="array" ref="J881">IF(B881="","",_xlfn.XLOOKUP(B881,'Form responses 1'!$B$2:$B$2604,'Form responses 1'!$G$2:$G$2604,""))</f>
        <v>Hananda</v>
      </c>
      <c r="K881" s="41" t="s">
        <v>2875</v>
      </c>
      <c r="L881" s="52">
        <f t="shared" si="7"/>
        <v>45609.45096</v>
      </c>
      <c r="M881" s="49"/>
      <c r="N881" s="49"/>
      <c r="O881" s="49"/>
      <c r="P881" s="49"/>
      <c r="Q881" s="49"/>
      <c r="R881" s="49"/>
      <c r="S881" s="49"/>
      <c r="T881" s="49"/>
      <c r="U881" s="49"/>
      <c r="V881" s="49"/>
      <c r="W881" s="41" t="s">
        <v>618</v>
      </c>
      <c r="X881" s="46">
        <f t="shared" si="5"/>
        <v>45610.40248</v>
      </c>
      <c r="Y881" s="50" t="s">
        <v>482</v>
      </c>
      <c r="Z881" s="49">
        <f t="shared" si="6"/>
        <v>0</v>
      </c>
    </row>
    <row r="882" ht="22.5" customHeight="1">
      <c r="B882" s="41" t="s">
        <v>4518</v>
      </c>
      <c r="C882" s="43">
        <f t="array" ref="C882">IF(B882="","",_xlfn.XLOOKUP(B882,'Form responses 1'!$B$2:$B$2604,'Form responses 1'!$A$2:$A$2604,""))</f>
        <v>45608.41305</v>
      </c>
      <c r="D882" s="44" t="str">
        <f t="shared" si="3"/>
        <v>K/9/121124/2_45608.4130547917</v>
      </c>
      <c r="E882" s="44" t="str">
        <f t="array" ref="E882">IF(B882="","",_xlfn.XLOOKUP(B882,'Form responses 1'!$B$2:$B$2604,'Form responses 1'!$C$2:$C$2604,""))</f>
        <v>A ROSWANTAMA/ DWI</v>
      </c>
      <c r="F882" s="44" t="str">
        <f t="array" ref="F882">IF(B882="","",_xlfn.XLOOKUP(B882,'Form responses 1'!$B$2:$B$2604,'Form responses 1'!$D$2:$D$2604,""))</f>
        <v>+62 813-6948-8565</v>
      </c>
      <c r="G882" s="44" t="str">
        <f t="array" ref="G882">IF(B882="","",_xlfn.XLOOKUP(B882,'Form responses 1'!$B$2:$B$2604,'Form responses 1'!$E$2:$E$2604,""))</f>
        <v>BN PHB</v>
      </c>
      <c r="H882" s="44" t="str">
        <f t="array" ref="H882">IF(B882="","",_xlfn.XLOOKUP(B882,'Form responses 1'!$B$2:$B$2604,'Form responses 1'!$F$2:$F$2604,""))</f>
        <v>Nibel 2551/ Bumi raya</v>
      </c>
      <c r="I882" s="44" t="str">
        <f t="array" ref="I882">IF(B882="","",_xlfn.XLOOKUP(B882,'Form responses 1'!$B$2:$B$2604,'Form responses 1'!$I$2:$I$2604,""))</f>
        <v> Bumi raya</v>
      </c>
      <c r="J882" s="44" t="str">
        <f t="array" ref="J882">IF(B882="","",_xlfn.XLOOKUP(B882,'Form responses 1'!$B$2:$B$2604,'Form responses 1'!$G$2:$G$2604,""))</f>
        <v>Hananda</v>
      </c>
      <c r="K882" s="41" t="s">
        <v>2875</v>
      </c>
      <c r="L882" s="52">
        <f t="shared" si="7"/>
        <v>45609.45103</v>
      </c>
      <c r="M882" s="49"/>
      <c r="N882" s="49"/>
      <c r="O882" s="49"/>
      <c r="P882" s="49"/>
      <c r="Q882" s="49"/>
      <c r="R882" s="49"/>
      <c r="S882" s="49"/>
      <c r="T882" s="49"/>
      <c r="U882" s="49"/>
      <c r="V882" s="49"/>
      <c r="W882" s="41" t="s">
        <v>618</v>
      </c>
      <c r="X882" s="46">
        <f t="shared" si="5"/>
        <v>45610.38382</v>
      </c>
      <c r="Y882" s="50" t="s">
        <v>482</v>
      </c>
      <c r="Z882" s="49">
        <f t="shared" si="6"/>
        <v>0</v>
      </c>
    </row>
    <row r="883" ht="22.5" customHeight="1">
      <c r="B883" s="41" t="s">
        <v>4627</v>
      </c>
      <c r="C883" s="43">
        <f t="array" ref="C883">IF(B883="","",_xlfn.XLOOKUP(B883,'Form responses 1'!$B$2:$B$2604,'Form responses 1'!$A$2:$A$2604,""))</f>
        <v>45608.57385</v>
      </c>
      <c r="D883" s="44" t="str">
        <f t="shared" si="3"/>
        <v>L/39/121124/1_45608.5738545949</v>
      </c>
      <c r="E883" s="44" t="str">
        <f t="array" ref="E883">IF(B883="","",_xlfn.XLOOKUP(B883,'Form responses 1'!$B$2:$B$2604,'Form responses 1'!$C$2:$C$2604,""))</f>
        <v>AMIRUDDIN SIREGAR</v>
      </c>
      <c r="F883" s="44" t="str">
        <f t="array" ref="F883">IF(B883="","",_xlfn.XLOOKUP(B883,'Form responses 1'!$B$2:$B$2604,'Form responses 1'!$D$2:$D$2604,""))</f>
        <v>08127219870</v>
      </c>
      <c r="G883" s="44" t="str">
        <f t="array" ref="G883">IF(B883="","",_xlfn.XLOOKUP(B883,'Form responses 1'!$B$2:$B$2604,'Form responses 1'!$E$2:$E$2604,""))</f>
        <v>ROYA</v>
      </c>
      <c r="H883" s="44" t="str">
        <f t="array" ref="H883">IF(B883="","",_xlfn.XLOOKUP(B883,'Form responses 1'!$B$2:$B$2604,'Form responses 1'!$F$2:$F$2604,""))</f>
        <v>HM 614/RAJABASA PEMUKA</v>
      </c>
      <c r="I883" s="44" t="str">
        <f t="array" ref="I883">IF(B883="","",_xlfn.XLOOKUP(B883,'Form responses 1'!$B$2:$B$2604,'Form responses 1'!$I$2:$I$2604,""))</f>
        <v>RAJABASA PEMUKA</v>
      </c>
      <c r="J883" s="44" t="str">
        <f t="array" ref="J883">IF(B883="","",_xlfn.XLOOKUP(B883,'Form responses 1'!$B$2:$B$2604,'Form responses 1'!$G$2:$G$2604,""))</f>
        <v>Deby</v>
      </c>
      <c r="K883" s="41" t="s">
        <v>1233</v>
      </c>
      <c r="L883" s="52">
        <f t="shared" si="7"/>
        <v>45609.47798</v>
      </c>
      <c r="M883" s="49"/>
      <c r="N883" s="49"/>
      <c r="O883" s="49"/>
      <c r="P883" s="49"/>
      <c r="Q883" s="49"/>
      <c r="R883" s="49"/>
      <c r="S883" s="49"/>
      <c r="T883" s="49"/>
      <c r="U883" s="49"/>
      <c r="V883" s="49"/>
      <c r="W883" s="41" t="s">
        <v>618</v>
      </c>
      <c r="X883" s="46">
        <f t="shared" si="5"/>
        <v>45609.478</v>
      </c>
      <c r="Y883" s="50" t="s">
        <v>482</v>
      </c>
      <c r="Z883" s="49">
        <f t="shared" si="6"/>
        <v>0</v>
      </c>
    </row>
    <row r="884" ht="22.5" customHeight="1">
      <c r="B884" s="41" t="s">
        <v>4495</v>
      </c>
      <c r="C884" s="43">
        <f t="array" ref="C884">IF(B884="","",_xlfn.XLOOKUP(B884,'Form responses 1'!$B$2:$B$2604,'Form responses 1'!$A$2:$A$2604,""))</f>
        <v>45608.38677</v>
      </c>
      <c r="D884" s="44" t="str">
        <f t="shared" si="3"/>
        <v>K/1/121124/1_45608.3867666204</v>
      </c>
      <c r="E884" s="44" t="str">
        <f t="array" ref="E884">IF(B884="","",_xlfn.XLOOKUP(B884,'Form responses 1'!$B$2:$B$2604,'Form responses 1'!$C$2:$C$2604,""))</f>
        <v>Reka Surabaja AS/ Bernadeth WWR</v>
      </c>
      <c r="F884" s="44" t="str">
        <f t="array" ref="F884">IF(B884="","",_xlfn.XLOOKUP(B884,'Form responses 1'!$B$2:$B$2604,'Form responses 1'!$D$2:$D$2604,""))</f>
        <v>081372676640</v>
      </c>
      <c r="G884" s="44" t="str">
        <f t="array" ref="G884">IF(B884="","",_xlfn.XLOOKUP(B884,'Form responses 1'!$B$2:$B$2604,'Form responses 1'!$E$2:$E$2604,""))</f>
        <v>Perubahan Hak</v>
      </c>
      <c r="H884" s="44" t="str">
        <f t="array" ref="H884">IF(B884="","",_xlfn.XLOOKUP(B884,'Form responses 1'!$B$2:$B$2604,'Form responses 1'!$F$2:$F$2604,""))</f>
        <v>B. 215/ Kota Baru</v>
      </c>
      <c r="I884" s="44" t="str">
        <f t="array" ref="I884">IF(B884="","",_xlfn.XLOOKUP(B884,'Form responses 1'!$B$2:$B$2604,'Form responses 1'!$I$2:$I$2604,""))</f>
        <v>Kota Baru</v>
      </c>
      <c r="J884" s="44" t="str">
        <f t="array" ref="J884">IF(B884="","",_xlfn.XLOOKUP(B884,'Form responses 1'!$B$2:$B$2604,'Form responses 1'!$G$2:$G$2604,""))</f>
        <v>Rapita</v>
      </c>
      <c r="K884" s="41" t="s">
        <v>1233</v>
      </c>
      <c r="L884" s="52">
        <f t="shared" si="7"/>
        <v>45609.48068</v>
      </c>
      <c r="M884" s="47" t="s">
        <v>5546</v>
      </c>
      <c r="N884" s="49"/>
      <c r="O884" s="49"/>
      <c r="P884" s="49"/>
      <c r="Q884" s="49"/>
      <c r="R884" s="49"/>
      <c r="S884" s="49"/>
      <c r="T884" s="49"/>
      <c r="U884" s="49"/>
      <c r="V884" s="49"/>
      <c r="W884" s="41" t="s">
        <v>470</v>
      </c>
      <c r="X884" s="46">
        <f t="shared" si="5"/>
        <v>45609.48071</v>
      </c>
      <c r="Y884" s="50" t="s">
        <v>482</v>
      </c>
      <c r="Z884" s="49">
        <f t="shared" si="6"/>
        <v>1</v>
      </c>
    </row>
    <row r="885" ht="22.5" customHeight="1">
      <c r="B885" s="41" t="s">
        <v>4563</v>
      </c>
      <c r="C885" s="43">
        <f t="array" ref="C885">IF(B885="","",_xlfn.XLOOKUP(B885,'Form responses 1'!$B$2:$B$2604,'Form responses 1'!$A$2:$A$2604,""))</f>
        <v>45608.45593</v>
      </c>
      <c r="D885" s="44" t="str">
        <f t="shared" si="3"/>
        <v>K/21/121124/1_45608.4559349769</v>
      </c>
      <c r="E885" s="44" t="str">
        <f t="array" ref="E885">IF(B885="","",_xlfn.XLOOKUP(B885,'Form responses 1'!$B$2:$B$2604,'Form responses 1'!$C$2:$C$2604,""))</f>
        <v>Aditya/ Mena</v>
      </c>
      <c r="F885" s="44" t="str">
        <f t="array" ref="F885">IF(B885="","",_xlfn.XLOOKUP(B885,'Form responses 1'!$B$2:$B$2604,'Form responses 1'!$D$2:$D$2604,""))</f>
        <v>089654416662</v>
      </c>
      <c r="G885" s="44" t="str">
        <f t="array" ref="G885">IF(B885="","",_xlfn.XLOOKUP(B885,'Form responses 1'!$B$2:$B$2604,'Form responses 1'!$E$2:$E$2604,""))</f>
        <v>PTPGT (Pemecahan)</v>
      </c>
      <c r="H885" s="44" t="str">
        <f t="array" ref="H885">IF(B885="","",_xlfn.XLOOKUP(B885,'Form responses 1'!$B$2:$B$2604,'Form responses 1'!$F$2:$F$2604,""))</f>
        <v>M. 12302/ Jagabaya II</v>
      </c>
      <c r="I885" s="44" t="str">
        <f t="array" ref="I885">IF(B885="","",_xlfn.XLOOKUP(B885,'Form responses 1'!$B$2:$B$2604,'Form responses 1'!$I$2:$I$2604,""))</f>
        <v>Jagabaya II</v>
      </c>
      <c r="J885" s="44" t="str">
        <f t="array" ref="J885">IF(B885="","",_xlfn.XLOOKUP(B885,'Form responses 1'!$B$2:$B$2604,'Form responses 1'!$G$2:$G$2604,""))</f>
        <v>Rapita</v>
      </c>
      <c r="K885" s="41" t="s">
        <v>1233</v>
      </c>
      <c r="L885" s="52">
        <f t="shared" si="7"/>
        <v>45609.48233</v>
      </c>
      <c r="M885" s="49"/>
      <c r="N885" s="49"/>
      <c r="O885" s="49"/>
      <c r="P885" s="49"/>
      <c r="Q885" s="49"/>
      <c r="R885" s="49"/>
      <c r="S885" s="49"/>
      <c r="T885" s="49"/>
      <c r="U885" s="49"/>
      <c r="V885" s="49"/>
      <c r="W885" s="41" t="s">
        <v>618</v>
      </c>
      <c r="X885" s="46">
        <f t="shared" si="5"/>
        <v>45609.48454</v>
      </c>
      <c r="Y885" s="50" t="s">
        <v>482</v>
      </c>
      <c r="Z885" s="49">
        <f t="shared" si="6"/>
        <v>0</v>
      </c>
    </row>
    <row r="886" ht="22.5" customHeight="1">
      <c r="B886" s="41" t="s">
        <v>4623</v>
      </c>
      <c r="C886" s="43">
        <f t="array" ref="C886">IF(B886="","",_xlfn.XLOOKUP(B886,'Form responses 1'!$B$2:$B$2604,'Form responses 1'!$A$2:$A$2604,""))</f>
        <v>45608.56962</v>
      </c>
      <c r="D886" s="44" t="str">
        <f t="shared" si="3"/>
        <v>K/38/121124/1_45608.5696193982</v>
      </c>
      <c r="E886" s="44" t="str">
        <f t="array" ref="E886">IF(B886="","",_xlfn.XLOOKUP(B886,'Form responses 1'!$B$2:$B$2604,'Form responses 1'!$C$2:$C$2604,""))</f>
        <v>Vivi A/ Nurhayati</v>
      </c>
      <c r="F886" s="44" t="str">
        <f t="array" ref="F886">IF(B886="","",_xlfn.XLOOKUP(B886,'Form responses 1'!$B$2:$B$2604,'Form responses 1'!$D$2:$D$2604,""))</f>
        <v>081272099992</v>
      </c>
      <c r="G886" s="44" t="str">
        <f t="array" ref="G886">IF(B886="","",_xlfn.XLOOKUP(B886,'Form responses 1'!$B$2:$B$2604,'Form responses 1'!$E$2:$E$2604,""))</f>
        <v>Penataan Batas</v>
      </c>
      <c r="H886" s="44" t="str">
        <f t="array" ref="H886">IF(B886="","",_xlfn.XLOOKUP(B886,'Form responses 1'!$B$2:$B$2604,'Form responses 1'!$F$2:$F$2604,""))</f>
        <v>M. 1833/ Rajabasa Jaya</v>
      </c>
      <c r="I886" s="44" t="str">
        <f t="array" ref="I886">IF(B886="","",_xlfn.XLOOKUP(B886,'Form responses 1'!$B$2:$B$2604,'Form responses 1'!$I$2:$I$2604,""))</f>
        <v>Rajabasa Jaya</v>
      </c>
      <c r="J886" s="44" t="str">
        <f t="array" ref="J886">IF(B886="","",_xlfn.XLOOKUP(B886,'Form responses 1'!$B$2:$B$2604,'Form responses 1'!$G$2:$G$2604,""))</f>
        <v>Rapita</v>
      </c>
      <c r="K886" s="41" t="s">
        <v>1233</v>
      </c>
      <c r="L886" s="52">
        <f t="shared" si="7"/>
        <v>45609.48503</v>
      </c>
      <c r="M886" s="49"/>
      <c r="N886" s="49"/>
      <c r="O886" s="49"/>
      <c r="P886" s="49"/>
      <c r="Q886" s="49"/>
      <c r="R886" s="49"/>
      <c r="S886" s="49"/>
      <c r="T886" s="49"/>
      <c r="U886" s="49"/>
      <c r="V886" s="49"/>
      <c r="W886" s="41" t="s">
        <v>470</v>
      </c>
      <c r="X886" s="46">
        <f t="shared" si="5"/>
        <v>45609.48985</v>
      </c>
      <c r="Y886" s="50" t="s">
        <v>482</v>
      </c>
      <c r="Z886" s="49">
        <f t="shared" si="6"/>
        <v>0</v>
      </c>
    </row>
    <row r="887" ht="22.5" customHeight="1">
      <c r="B887" s="41" t="s">
        <v>4638</v>
      </c>
      <c r="C887" s="43">
        <f t="array" ref="C887">IF(B887="","",_xlfn.XLOOKUP(B887,'Form responses 1'!$B$2:$B$2604,'Form responses 1'!$A$2:$A$2604,""))</f>
        <v>45608.57901</v>
      </c>
      <c r="D887" s="44" t="str">
        <f t="shared" si="3"/>
        <v>K/42/121124/3_45608.5790053241</v>
      </c>
      <c r="E887" s="44" t="str">
        <f t="array" ref="E887">IF(B887="","",_xlfn.XLOOKUP(B887,'Form responses 1'!$B$2:$B$2604,'Form responses 1'!$C$2:$C$2604,""))</f>
        <v>ISMARINA/YULI</v>
      </c>
      <c r="F887" s="44" t="str">
        <f t="array" ref="F887">IF(B887="","",_xlfn.XLOOKUP(B887,'Form responses 1'!$B$2:$B$2604,'Form responses 1'!$D$2:$D$2604,""))</f>
        <v>081377641549</v>
      </c>
      <c r="G887" s="44" t="str">
        <f t="array" ref="G887">IF(B887="","",_xlfn.XLOOKUP(B887,'Form responses 1'!$B$2:$B$2604,'Form responses 1'!$E$2:$E$2604,""))</f>
        <v>BN JUAL BELI</v>
      </c>
      <c r="H887" s="44" t="str">
        <f t="array" ref="H887">IF(B887="","",_xlfn.XLOOKUP(B887,'Form responses 1'!$B$2:$B$2604,'Form responses 1'!$F$2:$F$2604,""))</f>
        <v>M. 914/ Kemiling Permai</v>
      </c>
      <c r="I887" s="44" t="str">
        <f t="array" ref="I887">IF(B887="","",_xlfn.XLOOKUP(B887,'Form responses 1'!$B$2:$B$2604,'Form responses 1'!$I$2:$I$2604,""))</f>
        <v> Kemiling Permai</v>
      </c>
      <c r="J887" s="44" t="str">
        <f t="array" ref="J887">IF(B887="","",_xlfn.XLOOKUP(B887,'Form responses 1'!$B$2:$B$2604,'Form responses 1'!$G$2:$G$2604,""))</f>
        <v>Hananda</v>
      </c>
      <c r="K887" s="41" t="s">
        <v>1233</v>
      </c>
      <c r="L887" s="52">
        <f t="shared" si="7"/>
        <v>45609.5164</v>
      </c>
      <c r="M887" s="49"/>
      <c r="N887" s="49"/>
      <c r="O887" s="49"/>
      <c r="P887" s="49"/>
      <c r="Q887" s="49"/>
      <c r="R887" s="49"/>
      <c r="S887" s="49"/>
      <c r="T887" s="49"/>
      <c r="U887" s="49"/>
      <c r="V887" s="49"/>
      <c r="W887" s="41" t="s">
        <v>618</v>
      </c>
      <c r="X887" s="46">
        <f t="shared" si="5"/>
        <v>45609.51643</v>
      </c>
      <c r="Y887" s="50" t="s">
        <v>482</v>
      </c>
      <c r="Z887" s="49">
        <f t="shared" si="6"/>
        <v>0</v>
      </c>
    </row>
    <row r="888" ht="22.5" customHeight="1">
      <c r="B888" s="41" t="s">
        <v>4654</v>
      </c>
      <c r="C888" s="43">
        <f t="array" ref="C888">IF(B888="","",_xlfn.XLOOKUP(B888,'Form responses 1'!$B$2:$B$2604,'Form responses 1'!$A$2:$A$2604,""))</f>
        <v>45608.58921</v>
      </c>
      <c r="D888" s="44" t="str">
        <f t="shared" si="3"/>
        <v>K/47/121124/1_45608.5892081134</v>
      </c>
      <c r="E888" s="44" t="str">
        <f t="array" ref="E888">IF(B888="","",_xlfn.XLOOKUP(B888,'Form responses 1'!$B$2:$B$2604,'Form responses 1'!$C$2:$C$2604,""))</f>
        <v>FAHRUL ROZI / ANDRE WIBOWO</v>
      </c>
      <c r="F888" s="44" t="str">
        <f t="array" ref="F888">IF(B888="","",_xlfn.XLOOKUP(B888,'Form responses 1'!$B$2:$B$2604,'Form responses 1'!$D$2:$D$2604,""))</f>
        <v>+62 821-7585-0002</v>
      </c>
      <c r="G888" s="44" t="str">
        <f t="array" ref="G888">IF(B888="","",_xlfn.XLOOKUP(B888,'Form responses 1'!$B$2:$B$2604,'Form responses 1'!$E$2:$E$2604,""))</f>
        <v>BN JUAL BELI</v>
      </c>
      <c r="H888" s="44" t="str">
        <f t="array" ref="H888">IF(B888="","",_xlfn.XLOOKUP(B888,'Form responses 1'!$B$2:$B$2604,'Form responses 1'!$F$2:$F$2604,""))</f>
        <v>M. 4936/ SUKADANA HAM</v>
      </c>
      <c r="I888" s="44" t="str">
        <f t="array" ref="I888">IF(B888="","",_xlfn.XLOOKUP(B888,'Form responses 1'!$B$2:$B$2604,'Form responses 1'!$I$2:$I$2604,""))</f>
        <v>SUKADANA HAM</v>
      </c>
      <c r="J888" s="44" t="str">
        <f t="array" ref="J888">IF(B888="","",_xlfn.XLOOKUP(B888,'Form responses 1'!$B$2:$B$2604,'Form responses 1'!$G$2:$G$2604,""))</f>
        <v>Aisyah</v>
      </c>
      <c r="K888" s="41" t="s">
        <v>1233</v>
      </c>
      <c r="L888" s="52">
        <f t="shared" si="7"/>
        <v>45609.51932</v>
      </c>
      <c r="M888" s="47" t="s">
        <v>5670</v>
      </c>
      <c r="N888" s="47" t="s">
        <v>5671</v>
      </c>
      <c r="O888" s="49"/>
      <c r="P888" s="49"/>
      <c r="Q888" s="49"/>
      <c r="R888" s="49"/>
      <c r="S888" s="49"/>
      <c r="T888" s="49"/>
      <c r="U888" s="49"/>
      <c r="V888" s="49"/>
      <c r="W888" s="41" t="s">
        <v>470</v>
      </c>
      <c r="X888" s="46">
        <f t="shared" si="5"/>
        <v>45609.52346</v>
      </c>
      <c r="Y888" s="50" t="s">
        <v>482</v>
      </c>
      <c r="Z888" s="49">
        <f t="shared" si="6"/>
        <v>2</v>
      </c>
    </row>
    <row r="889" ht="22.5" customHeight="1">
      <c r="B889" s="41" t="s">
        <v>4635</v>
      </c>
      <c r="C889" s="43">
        <f t="array" ref="C889">IF(B889="","",_xlfn.XLOOKUP(B889,'Form responses 1'!$B$2:$B$2604,'Form responses 1'!$A$2:$A$2604,""))</f>
        <v>45608.57761</v>
      </c>
      <c r="D889" s="44" t="str">
        <f t="shared" si="3"/>
        <v>K/41/121124/2_45608.5776106134</v>
      </c>
      <c r="E889" s="44" t="str">
        <f t="array" ref="E889">IF(B889="","",_xlfn.XLOOKUP(B889,'Form responses 1'!$B$2:$B$2604,'Form responses 1'!$C$2:$C$2604,""))</f>
        <v>ISMARINA/ BELA</v>
      </c>
      <c r="F889" s="44" t="str">
        <f t="array" ref="F889">IF(B889="","",_xlfn.XLOOKUP(B889,'Form responses 1'!$B$2:$B$2604,'Form responses 1'!$D$2:$D$2604,""))</f>
        <v>081377641549</v>
      </c>
      <c r="G889" s="44" t="str">
        <f t="array" ref="G889">IF(B889="","",_xlfn.XLOOKUP(B889,'Form responses 1'!$B$2:$B$2604,'Form responses 1'!$E$2:$E$2604,""))</f>
        <v>BN JUAL BELI</v>
      </c>
      <c r="H889" s="44" t="str">
        <f t="array" ref="H889">IF(B889="","",_xlfn.XLOOKUP(B889,'Form responses 1'!$B$2:$B$2604,'Form responses 1'!$F$2:$F$2604,""))</f>
        <v>M. 306/ Kota Sepang</v>
      </c>
      <c r="I889" s="44" t="str">
        <f t="array" ref="I889">IF(B889="","",_xlfn.XLOOKUP(B889,'Form responses 1'!$B$2:$B$2604,'Form responses 1'!$I$2:$I$2604,""))</f>
        <v>Kota Sepang</v>
      </c>
      <c r="J889" s="44" t="str">
        <f t="array" ref="J889">IF(B889="","",_xlfn.XLOOKUP(B889,'Form responses 1'!$B$2:$B$2604,'Form responses 1'!$G$2:$G$2604,""))</f>
        <v>Hananda</v>
      </c>
      <c r="K889" s="41" t="s">
        <v>1233</v>
      </c>
      <c r="L889" s="52">
        <f t="shared" si="7"/>
        <v>45609.53859</v>
      </c>
      <c r="M889" s="47" t="s">
        <v>5672</v>
      </c>
      <c r="N889" s="49"/>
      <c r="O889" s="49"/>
      <c r="P889" s="49"/>
      <c r="Q889" s="49"/>
      <c r="R889" s="49"/>
      <c r="S889" s="49"/>
      <c r="T889" s="49"/>
      <c r="U889" s="49"/>
      <c r="V889" s="49"/>
      <c r="W889" s="41" t="s">
        <v>470</v>
      </c>
      <c r="X889" s="46">
        <f t="shared" si="5"/>
        <v>45609.5415</v>
      </c>
      <c r="Y889" s="50" t="s">
        <v>482</v>
      </c>
      <c r="Z889" s="49">
        <f t="shared" si="6"/>
        <v>1</v>
      </c>
    </row>
    <row r="890" ht="22.5" customHeight="1">
      <c r="B890" s="41" t="s">
        <v>4502</v>
      </c>
      <c r="C890" s="43">
        <f t="array" ref="C890">IF(B890="","",_xlfn.XLOOKUP(B890,'Form responses 1'!$B$2:$B$2604,'Form responses 1'!$A$2:$A$2604,""))</f>
        <v>45608.3938</v>
      </c>
      <c r="D890" s="44" t="str">
        <f t="shared" si="3"/>
        <v>K/4/121124/1_45608.3937965856</v>
      </c>
      <c r="E890" s="44" t="str">
        <f t="array" ref="E890">IF(B890="","",_xlfn.XLOOKUP(B890,'Form responses 1'!$B$2:$B$2604,'Form responses 1'!$C$2:$C$2604,""))</f>
        <v>MOH REZA</v>
      </c>
      <c r="F890" s="44" t="str">
        <f t="array" ref="F890">IF(B890="","",_xlfn.XLOOKUP(B890,'Form responses 1'!$B$2:$B$2604,'Form responses 1'!$D$2:$D$2604,""))</f>
        <v>082180710101</v>
      </c>
      <c r="G890" s="44" t="str">
        <f t="array" ref="G890">IF(B890="","",_xlfn.XLOOKUP(B890,'Form responses 1'!$B$2:$B$2604,'Form responses 1'!$E$2:$E$2604,""))</f>
        <v>BN PHB</v>
      </c>
      <c r="H890" s="44" t="str">
        <f t="array" ref="H890">IF(B890="","",_xlfn.XLOOKUP(B890,'Form responses 1'!$B$2:$B$2604,'Form responses 1'!$F$2:$F$2604,""))</f>
        <v>M. 1541/ Keteguhan</v>
      </c>
      <c r="I890" s="44" t="str">
        <f t="array" ref="I890">IF(B890="","",_xlfn.XLOOKUP(B890,'Form responses 1'!$B$2:$B$2604,'Form responses 1'!$I$2:$I$2604,""))</f>
        <v>Keteguhan</v>
      </c>
      <c r="J890" s="44" t="str">
        <f t="array" ref="J890">IF(B890="","",_xlfn.XLOOKUP(B890,'Form responses 1'!$B$2:$B$2604,'Form responses 1'!$G$2:$G$2604,""))</f>
        <v>Hananda</v>
      </c>
      <c r="K890" s="41" t="s">
        <v>1233</v>
      </c>
      <c r="L890" s="52">
        <f t="shared" si="7"/>
        <v>45609.54588</v>
      </c>
      <c r="M890" s="47" t="s">
        <v>5673</v>
      </c>
      <c r="N890" s="47" t="s">
        <v>5674</v>
      </c>
      <c r="O890" s="49"/>
      <c r="P890" s="49"/>
      <c r="Q890" s="49"/>
      <c r="R890" s="49"/>
      <c r="S890" s="49"/>
      <c r="T890" s="49"/>
      <c r="U890" s="49"/>
      <c r="V890" s="49"/>
      <c r="W890" s="41" t="s">
        <v>470</v>
      </c>
      <c r="X890" s="46">
        <f t="shared" si="5"/>
        <v>45609.55769</v>
      </c>
      <c r="Y890" s="50" t="s">
        <v>482</v>
      </c>
      <c r="Z890" s="49">
        <f t="shared" si="6"/>
        <v>2</v>
      </c>
    </row>
    <row r="891" ht="22.5" customHeight="1">
      <c r="B891" s="41" t="s">
        <v>4042</v>
      </c>
      <c r="C891" s="43">
        <f t="array" ref="C891">IF(B891="","",_xlfn.XLOOKUP(B891,'Form responses 1'!$B$2:$B$2604,'Form responses 1'!$A$2:$A$2604,""))</f>
        <v>45603.55318</v>
      </c>
      <c r="D891" s="44" t="str">
        <f t="shared" si="3"/>
        <v>L/25/071124/1_45603.5531840278</v>
      </c>
      <c r="E891" s="44" t="str">
        <f t="array" ref="E891">IF(B891="","",_xlfn.XLOOKUP(B891,'Form responses 1'!$B$2:$B$2604,'Form responses 1'!$C$2:$C$2604,""))</f>
        <v>TIAS SANGUN RATU</v>
      </c>
      <c r="F891" s="44" t="str">
        <f t="array" ref="F891">IF(B891="","",_xlfn.XLOOKUP(B891,'Form responses 1'!$B$2:$B$2604,'Form responses 1'!$D$2:$D$2604,""))</f>
        <v>082248921191</v>
      </c>
      <c r="G891" s="44" t="str">
        <f t="array" ref="G891">IF(B891="","",_xlfn.XLOOKUP(B891,'Form responses 1'!$B$2:$B$2604,'Form responses 1'!$E$2:$E$2604,""))</f>
        <v>PERTAMA KALI</v>
      </c>
      <c r="H891" s="44" t="str">
        <f t="array" ref="H891">IF(B891="","",_xlfn.XLOOKUP(B891,'Form responses 1'!$B$2:$B$2604,'Form responses 1'!$F$2:$F$2604,""))</f>
        <v>TANJUNG AGUNG</v>
      </c>
      <c r="I891" s="44" t="str">
        <f t="array" ref="I891">IF(B891="","",_xlfn.XLOOKUP(B891,'Form responses 1'!$B$2:$B$2604,'Form responses 1'!$I$2:$I$2604,""))</f>
        <v>TANJUNG AGUNG</v>
      </c>
      <c r="J891" s="44" t="str">
        <f t="array" ref="J891">IF(B891="","",_xlfn.XLOOKUP(B891,'Form responses 1'!$B$2:$B$2604,'Form responses 1'!$G$2:$G$2604,""))</f>
        <v>Deby</v>
      </c>
      <c r="K891" s="41" t="s">
        <v>1233</v>
      </c>
      <c r="L891" s="52">
        <f t="shared" si="7"/>
        <v>45609.5686</v>
      </c>
      <c r="M891" s="47" t="s">
        <v>5675</v>
      </c>
      <c r="N891" s="47" t="s">
        <v>5676</v>
      </c>
      <c r="O891" s="47" t="s">
        <v>5677</v>
      </c>
      <c r="P891" s="47" t="s">
        <v>5678</v>
      </c>
      <c r="Q891" s="47" t="s">
        <v>5679</v>
      </c>
      <c r="R891" s="47" t="s">
        <v>5680</v>
      </c>
      <c r="S891" s="47" t="s">
        <v>5681</v>
      </c>
      <c r="T891" s="47" t="s">
        <v>5682</v>
      </c>
      <c r="U891" s="47" t="s">
        <v>5683</v>
      </c>
      <c r="V891" s="49"/>
      <c r="W891" s="41" t="s">
        <v>470</v>
      </c>
      <c r="X891" s="46">
        <f t="shared" si="5"/>
        <v>45609.60694</v>
      </c>
      <c r="Y891" s="50" t="s">
        <v>482</v>
      </c>
      <c r="Z891" s="49">
        <f t="shared" si="6"/>
        <v>9</v>
      </c>
    </row>
    <row r="892" ht="22.5" customHeight="1">
      <c r="B892" s="41" t="s">
        <v>3823</v>
      </c>
      <c r="C892" s="43">
        <f t="array" ref="C892">IF(B892="","",_xlfn.XLOOKUP(B892,'Form responses 1'!$B$2:$B$2604,'Form responses 1'!$A$2:$A$2604,""))</f>
        <v>45602.56847</v>
      </c>
      <c r="D892" s="44" t="str">
        <f t="shared" si="3"/>
        <v>L//061124/1_45602.5684724306</v>
      </c>
      <c r="E892" s="44" t="str">
        <f t="array" ref="E892">IF(B892="","",_xlfn.XLOOKUP(B892,'Form responses 1'!$B$2:$B$2604,'Form responses 1'!$C$2:$C$2604,""))</f>
        <v>RITA PURNAMAWATI</v>
      </c>
      <c r="F892" s="44" t="str">
        <f t="array" ref="F892">IF(B892="","",_xlfn.XLOOKUP(B892,'Form responses 1'!$B$2:$B$2604,'Form responses 1'!$D$2:$D$2604,""))</f>
        <v>082183180011</v>
      </c>
      <c r="G892" s="44" t="str">
        <f t="array" ref="G892">IF(B892="","",_xlfn.XLOOKUP(B892,'Form responses 1'!$B$2:$B$2604,'Form responses 1'!$E$2:$E$2604,""))</f>
        <v>TANAH MENTAH</v>
      </c>
      <c r="H892" s="44" t="str">
        <f t="array" ref="H892">IF(B892="","",_xlfn.XLOOKUP(B892,'Form responses 1'!$B$2:$B$2604,'Form responses 1'!$F$2:$F$2604,""))</f>
        <v>BATU PUTUK</v>
      </c>
      <c r="I892" s="44" t="str">
        <f t="array" ref="I892">IF(B892="","",_xlfn.XLOOKUP(B892,'Form responses 1'!$B$2:$B$2604,'Form responses 1'!$I$2:$I$2604,""))</f>
        <v>BATU PUTUK</v>
      </c>
      <c r="J892" s="44" t="str">
        <f t="array" ref="J892">IF(B892="","",_xlfn.XLOOKUP(B892,'Form responses 1'!$B$2:$B$2604,'Form responses 1'!$G$2:$G$2604,""))</f>
        <v>Deby</v>
      </c>
      <c r="K892" s="41" t="s">
        <v>1233</v>
      </c>
      <c r="L892" s="52">
        <f t="shared" si="7"/>
        <v>45610.35896</v>
      </c>
      <c r="M892" s="47" t="s">
        <v>5684</v>
      </c>
      <c r="N892" s="47" t="s">
        <v>5685</v>
      </c>
      <c r="O892" s="47" t="s">
        <v>5686</v>
      </c>
      <c r="P892" s="47" t="s">
        <v>5687</v>
      </c>
      <c r="Q892" s="47" t="s">
        <v>5688</v>
      </c>
      <c r="R892" s="47" t="s">
        <v>5689</v>
      </c>
      <c r="S892" s="49"/>
      <c r="T892" s="49"/>
      <c r="U892" s="49"/>
      <c r="V892" s="49"/>
      <c r="W892" s="41" t="s">
        <v>470</v>
      </c>
      <c r="X892" s="46">
        <f t="shared" si="5"/>
        <v>45610.43844</v>
      </c>
      <c r="Y892" s="50" t="s">
        <v>482</v>
      </c>
      <c r="Z892" s="49">
        <f t="shared" si="6"/>
        <v>6</v>
      </c>
    </row>
    <row r="893" ht="22.5" customHeight="1">
      <c r="B893" s="41" t="s">
        <v>4670</v>
      </c>
      <c r="C893" s="43">
        <f t="array" ref="C893">IF(B893="","",_xlfn.XLOOKUP(B893,'Form responses 1'!$B$2:$B$2604,'Form responses 1'!$A$2:$A$2604,""))</f>
        <v>45609.36959</v>
      </c>
      <c r="D893" s="44" t="str">
        <f t="shared" si="3"/>
        <v>K/2/131124/2_45609.3695924421</v>
      </c>
      <c r="E893" s="44" t="str">
        <f t="array" ref="E893">IF(B893="","",_xlfn.XLOOKUP(B893,'Form responses 1'!$B$2:$B$2604,'Form responses 1'!$C$2:$C$2604,""))</f>
        <v>Titik W/ Yuli S</v>
      </c>
      <c r="F893" s="44" t="str">
        <f t="array" ref="F893">IF(B893="","",_xlfn.XLOOKUP(B893,'Form responses 1'!$B$2:$B$2604,'Form responses 1'!$D$2:$D$2604,""))</f>
        <v>085269123525</v>
      </c>
      <c r="G893" s="44" t="str">
        <f t="array" ref="G893">IF(B893="","",_xlfn.XLOOKUP(B893,'Form responses 1'!$B$2:$B$2604,'Form responses 1'!$E$2:$E$2604,""))</f>
        <v>SKPT Lelang</v>
      </c>
      <c r="H893" s="44" t="str">
        <f t="array" ref="H893">IF(B893="","",_xlfn.XLOOKUP(B893,'Form responses 1'!$B$2:$B$2604,'Form responses 1'!$F$2:$F$2604,""))</f>
        <v>M. 1713/ Sukamaju</v>
      </c>
      <c r="I893" s="44" t="str">
        <f t="array" ref="I893">IF(B893="","",_xlfn.XLOOKUP(B893,'Form responses 1'!$B$2:$B$2604,'Form responses 1'!$I$2:$I$2604,""))</f>
        <v>Sukamaju</v>
      </c>
      <c r="J893" s="44" t="str">
        <f t="array" ref="J893">IF(B893="","",_xlfn.XLOOKUP(B893,'Form responses 1'!$B$2:$B$2604,'Form responses 1'!$G$2:$G$2604,""))</f>
        <v>Rapita</v>
      </c>
      <c r="K893" s="41" t="s">
        <v>422</v>
      </c>
      <c r="L893" s="52">
        <f t="shared" si="7"/>
        <v>45610.4405</v>
      </c>
      <c r="M893" s="49"/>
      <c r="N893" s="49"/>
      <c r="O893" s="49"/>
      <c r="P893" s="49"/>
      <c r="Q893" s="49"/>
      <c r="R893" s="49"/>
      <c r="S893" s="49"/>
      <c r="T893" s="49"/>
      <c r="U893" s="49"/>
      <c r="V893" s="49"/>
      <c r="W893" s="41" t="s">
        <v>618</v>
      </c>
      <c r="X893" s="46">
        <f t="shared" si="5"/>
        <v>45610.44372</v>
      </c>
      <c r="Y893" s="50" t="s">
        <v>482</v>
      </c>
      <c r="Z893" s="49">
        <f t="shared" si="6"/>
        <v>0</v>
      </c>
    </row>
    <row r="894" ht="22.5" customHeight="1">
      <c r="B894" s="41" t="s">
        <v>4705</v>
      </c>
      <c r="C894" s="43">
        <f t="array" ref="C894">IF(B894="","",_xlfn.XLOOKUP(B894,'Form responses 1'!$B$2:$B$2604,'Form responses 1'!$A$2:$A$2604,""))</f>
        <v>45609.43631</v>
      </c>
      <c r="D894" s="44" t="str">
        <f t="shared" si="3"/>
        <v>L/12/131124/1_45609.4363121181</v>
      </c>
      <c r="E894" s="44" t="str">
        <f t="array" ref="E894">IF(B894="","",_xlfn.XLOOKUP(B894,'Form responses 1'!$B$2:$B$2604,'Form responses 1'!$C$2:$C$2604,""))</f>
        <v>ERNI ANGGRAINI</v>
      </c>
      <c r="F894" s="44" t="str">
        <f t="array" ref="F894">IF(B894="","",_xlfn.XLOOKUP(B894,'Form responses 1'!$B$2:$B$2604,'Form responses 1'!$D$2:$D$2604,""))</f>
        <v>082375922166</v>
      </c>
      <c r="G894" s="44" t="str">
        <f t="array" ref="G894">IF(B894="","",_xlfn.XLOOKUP(B894,'Form responses 1'!$B$2:$B$2604,'Form responses 1'!$E$2:$E$2604,""))</f>
        <v>ROYA</v>
      </c>
      <c r="H894" s="44" t="str">
        <f t="array" ref="H894">IF(B894="","",_xlfn.XLOOKUP(B894,'Form responses 1'!$B$2:$B$2604,'Form responses 1'!$F$2:$F$2604,""))</f>
        <v>HM 1424/BAKUNG &amp; HM 1423/BAKUNG</v>
      </c>
      <c r="I894" s="44" t="str">
        <f t="array" ref="I894">IF(B894="","",_xlfn.XLOOKUP(B894,'Form responses 1'!$B$2:$B$2604,'Form responses 1'!$I$2:$I$2604,""))</f>
        <v>BAKUNG</v>
      </c>
      <c r="J894" s="44" t="str">
        <f t="array" ref="J894">IF(B894="","",_xlfn.XLOOKUP(B894,'Form responses 1'!$B$2:$B$2604,'Form responses 1'!$G$2:$G$2604,""))</f>
        <v>Deby</v>
      </c>
      <c r="K894" s="41" t="s">
        <v>422</v>
      </c>
      <c r="L894" s="52">
        <f t="shared" si="7"/>
        <v>45610.44053</v>
      </c>
      <c r="M894" s="47" t="s">
        <v>5690</v>
      </c>
      <c r="N894" s="49"/>
      <c r="O894" s="49"/>
      <c r="P894" s="49"/>
      <c r="Q894" s="49"/>
      <c r="R894" s="49"/>
      <c r="S894" s="49"/>
      <c r="T894" s="49"/>
      <c r="U894" s="49"/>
      <c r="V894" s="49"/>
      <c r="W894" s="41" t="s">
        <v>618</v>
      </c>
      <c r="X894" s="46">
        <f t="shared" si="5"/>
        <v>45613.36684</v>
      </c>
      <c r="Y894" s="50" t="s">
        <v>482</v>
      </c>
      <c r="Z894" s="49">
        <f t="shared" si="6"/>
        <v>1</v>
      </c>
    </row>
    <row r="895" ht="22.5" customHeight="1">
      <c r="B895" s="41" t="s">
        <v>4787</v>
      </c>
      <c r="C895" s="43">
        <f t="array" ref="C895">IF(B895="","",_xlfn.XLOOKUP(B895,'Form responses 1'!$B$2:$B$2604,'Form responses 1'!$A$2:$A$2604,""))</f>
        <v>45609.58858</v>
      </c>
      <c r="D895" s="44" t="str">
        <f t="shared" si="3"/>
        <v>K/31/131124/2_45609.5885848148</v>
      </c>
      <c r="E895" s="44" t="str">
        <f t="array" ref="E895">IF(B895="","",_xlfn.XLOOKUP(B895,'Form responses 1'!$B$2:$B$2604,'Form responses 1'!$C$2:$C$2604,""))</f>
        <v>Nuryati/ Gita H</v>
      </c>
      <c r="F895" s="44" t="str">
        <f t="array" ref="F895">IF(B895="","",_xlfn.XLOOKUP(B895,'Form responses 1'!$B$2:$B$2604,'Form responses 1'!$D$2:$D$2604,""))</f>
        <v>+62 895-3802-21877</v>
      </c>
      <c r="G895" s="44" t="str">
        <f t="array" ref="G895">IF(B895="","",_xlfn.XLOOKUP(B895,'Form responses 1'!$B$2:$B$2604,'Form responses 1'!$E$2:$E$2604,""))</f>
        <v>BN Jual Beli</v>
      </c>
      <c r="H895" s="44" t="str">
        <f t="array" ref="H895">IF(B895="","",_xlfn.XLOOKUP(B895,'Form responses 1'!$B$2:$B$2604,'Form responses 1'!$F$2:$F$2604,""))</f>
        <v>M. 1114/ Pematang Wangi</v>
      </c>
      <c r="I895" s="44" t="str">
        <f t="array" ref="I895">IF(B895="","",_xlfn.XLOOKUP(B895,'Form responses 1'!$B$2:$B$2604,'Form responses 1'!$I$2:$I$2604,""))</f>
        <v> Pematang Wangi</v>
      </c>
      <c r="J895" s="44" t="str">
        <f t="array" ref="J895">IF(B895="","",_xlfn.XLOOKUP(B895,'Form responses 1'!$B$2:$B$2604,'Form responses 1'!$G$2:$G$2604,""))</f>
        <v>Rapita</v>
      </c>
      <c r="K895" s="41" t="s">
        <v>422</v>
      </c>
      <c r="L895" s="52">
        <f t="shared" si="7"/>
        <v>45610.44055</v>
      </c>
      <c r="M895" s="47" t="s">
        <v>5691</v>
      </c>
      <c r="N895" s="49"/>
      <c r="O895" s="49"/>
      <c r="P895" s="49"/>
      <c r="Q895" s="49"/>
      <c r="R895" s="49"/>
      <c r="S895" s="49"/>
      <c r="T895" s="49"/>
      <c r="U895" s="49"/>
      <c r="V895" s="49"/>
      <c r="W895" s="41" t="s">
        <v>470</v>
      </c>
      <c r="X895" s="46">
        <f t="shared" si="5"/>
        <v>45610.45319</v>
      </c>
      <c r="Y895" s="50" t="s">
        <v>482</v>
      </c>
      <c r="Z895" s="49">
        <f t="shared" si="6"/>
        <v>1</v>
      </c>
    </row>
    <row r="896" ht="22.5" customHeight="1">
      <c r="B896" s="41" t="s">
        <v>4806</v>
      </c>
      <c r="C896" s="43">
        <f t="array" ref="C896">IF(B896="","",_xlfn.XLOOKUP(B896,'Form responses 1'!$B$2:$B$2604,'Form responses 1'!$A$2:$A$2604,""))</f>
        <v>45609.6185</v>
      </c>
      <c r="D896" s="44" t="str">
        <f t="shared" si="3"/>
        <v>K/37/131124/1_45609.618495463</v>
      </c>
      <c r="E896" s="44" t="str">
        <f t="array" ref="E896">IF(B896="","",_xlfn.XLOOKUP(B896,'Form responses 1'!$B$2:$B$2604,'Form responses 1'!$C$2:$C$2604,""))</f>
        <v>ANDRIANTO / TJEN ONA KEMBARA</v>
      </c>
      <c r="F896" s="44" t="str">
        <f t="array" ref="F896">IF(B896="","",_xlfn.XLOOKUP(B896,'Form responses 1'!$B$2:$B$2604,'Form responses 1'!$D$2:$D$2604,""))</f>
        <v>081373893119</v>
      </c>
      <c r="G896" s="44" t="str">
        <f t="array" ref="G896">IF(B896="","",_xlfn.XLOOKUP(B896,'Form responses 1'!$B$2:$B$2604,'Form responses 1'!$E$2:$E$2604,""))</f>
        <v>BN JUAL BELI</v>
      </c>
      <c r="H896" s="44" t="str">
        <f t="array" ref="H896">IF(B896="","",_xlfn.XLOOKUP(B896,'Form responses 1'!$B$2:$B$2604,'Form responses 1'!$F$2:$F$2604,""))</f>
        <v>M. 9123 / TANJUNG BARU</v>
      </c>
      <c r="I896" s="44" t="str">
        <f t="array" ref="I896">IF(B896="","",_xlfn.XLOOKUP(B896,'Form responses 1'!$B$2:$B$2604,'Form responses 1'!$I$2:$I$2604,""))</f>
        <v>TANJUNG BARU</v>
      </c>
      <c r="J896" s="44" t="str">
        <f t="array" ref="J896">IF(B896="","",_xlfn.XLOOKUP(B896,'Form responses 1'!$B$2:$B$2604,'Form responses 1'!$G$2:$G$2604,""))</f>
        <v>Aisyah</v>
      </c>
      <c r="K896" s="41" t="s">
        <v>422</v>
      </c>
      <c r="L896" s="52">
        <f t="shared" si="7"/>
        <v>45610.44056</v>
      </c>
      <c r="M896" s="47" t="s">
        <v>5396</v>
      </c>
      <c r="N896" s="49"/>
      <c r="O896" s="49"/>
      <c r="P896" s="49"/>
      <c r="Q896" s="49"/>
      <c r="R896" s="49"/>
      <c r="S896" s="49"/>
      <c r="T896" s="49"/>
      <c r="U896" s="49"/>
      <c r="V896" s="49"/>
      <c r="W896" s="41" t="s">
        <v>470</v>
      </c>
      <c r="X896" s="46">
        <f t="shared" si="5"/>
        <v>45610.45905</v>
      </c>
      <c r="Y896" s="50" t="s">
        <v>482</v>
      </c>
      <c r="Z896" s="49">
        <f t="shared" si="6"/>
        <v>1</v>
      </c>
    </row>
    <row r="897" ht="22.5" customHeight="1">
      <c r="B897" s="41" t="s">
        <v>4714</v>
      </c>
      <c r="C897" s="43">
        <f t="array" ref="C897">IF(B897="","",_xlfn.XLOOKUP(B897,'Form responses 1'!$B$2:$B$2604,'Form responses 1'!$A$2:$A$2604,""))</f>
        <v>45609.44684</v>
      </c>
      <c r="D897" s="44" t="str">
        <f t="shared" si="3"/>
        <v>K/13/131124/1_45609.4468447107</v>
      </c>
      <c r="E897" s="44" t="str">
        <f t="array" ref="E897">IF(B897="","",_xlfn.XLOOKUP(B897,'Form responses 1'!$B$2:$B$2604,'Form responses 1'!$C$2:$C$2604,""))</f>
        <v>EVI UDIN/ TRIYOKO</v>
      </c>
      <c r="F897" s="44" t="str">
        <f t="array" ref="F897">IF(B897="","",_xlfn.XLOOKUP(B897,'Form responses 1'!$B$2:$B$2604,'Form responses 1'!$D$2:$D$2604,""))</f>
        <v>+62 821-8499-9559</v>
      </c>
      <c r="G897" s="44" t="str">
        <f t="array" ref="G897">IF(B897="","",_xlfn.XLOOKUP(B897,'Form responses 1'!$B$2:$B$2604,'Form responses 1'!$E$2:$E$2604,""))</f>
        <v>BN JUAL BELI</v>
      </c>
      <c r="H897" s="44" t="str">
        <f t="array" ref="H897">IF(B897="","",_xlfn.XLOOKUP(B897,'Form responses 1'!$B$2:$B$2604,'Form responses 1'!$F$2:$F$2604,""))</f>
        <v>M. 2268/ Campang Jaya-SEKARANG; m. 1520/ CAMPANG RAYA-DULU</v>
      </c>
      <c r="I897" s="44" t="str">
        <f t="array" ref="I897">IF(B897="","",_xlfn.XLOOKUP(B897,'Form responses 1'!$B$2:$B$2604,'Form responses 1'!$I$2:$I$2604,""))</f>
        <v>CAMPANG JAYA</v>
      </c>
      <c r="J897" s="44" t="str">
        <f t="array" ref="J897">IF(B897="","",_xlfn.XLOOKUP(B897,'Form responses 1'!$B$2:$B$2604,'Form responses 1'!$G$2:$G$2604,""))</f>
        <v>Hananda</v>
      </c>
      <c r="K897" s="41" t="s">
        <v>422</v>
      </c>
      <c r="L897" s="52">
        <f t="shared" si="7"/>
        <v>45610.44058</v>
      </c>
      <c r="M897" s="47" t="s">
        <v>5593</v>
      </c>
      <c r="N897" s="47" t="s">
        <v>5692</v>
      </c>
      <c r="O897" s="47" t="s">
        <v>5693</v>
      </c>
      <c r="P897" s="47" t="s">
        <v>5694</v>
      </c>
      <c r="Q897" s="49"/>
      <c r="R897" s="49"/>
      <c r="S897" s="49"/>
      <c r="T897" s="49"/>
      <c r="U897" s="49"/>
      <c r="V897" s="49"/>
      <c r="W897" s="41" t="s">
        <v>470</v>
      </c>
      <c r="X897" s="46">
        <f t="shared" si="5"/>
        <v>45610.50024</v>
      </c>
      <c r="Y897" s="50" t="s">
        <v>482</v>
      </c>
      <c r="Z897" s="49">
        <f t="shared" si="6"/>
        <v>4</v>
      </c>
    </row>
    <row r="898" ht="22.5" customHeight="1">
      <c r="B898" s="41" t="s">
        <v>4754</v>
      </c>
      <c r="C898" s="43">
        <f t="array" ref="C898">IF(B898="","",_xlfn.XLOOKUP(B898,'Form responses 1'!$B$2:$B$2604,'Form responses 1'!$A$2:$A$2604,""))</f>
        <v>45609.56866</v>
      </c>
      <c r="D898" s="44" t="str">
        <f t="shared" si="3"/>
        <v>K/24/131124/2_45609.5686632176</v>
      </c>
      <c r="E898" s="44" t="str">
        <f t="array" ref="E898">IF(B898="","",_xlfn.XLOOKUP(B898,'Form responses 1'!$B$2:$B$2604,'Form responses 1'!$C$2:$C$2604,""))</f>
        <v>Fahrul R/ Andrian A</v>
      </c>
      <c r="F898" s="44" t="str">
        <f t="array" ref="F898">IF(B898="","",_xlfn.XLOOKUP(B898,'Form responses 1'!$B$2:$B$2604,'Form responses 1'!$D$2:$D$2604,""))</f>
        <v>+62 821-7585-0002</v>
      </c>
      <c r="G898" s="44" t="str">
        <f t="array" ref="G898">IF(B898="","",_xlfn.XLOOKUP(B898,'Form responses 1'!$B$2:$B$2604,'Form responses 1'!$E$2:$E$2604,""))</f>
        <v>BN Jual Beli</v>
      </c>
      <c r="H898" s="44" t="str">
        <f t="array" ref="H898">IF(B898="","",_xlfn.XLOOKUP(B898,'Form responses 1'!$B$2:$B$2604,'Form responses 1'!$F$2:$F$2604,""))</f>
        <v>M. 4977/ Sukadana Ham</v>
      </c>
      <c r="I898" s="44" t="str">
        <f t="array" ref="I898">IF(B898="","",_xlfn.XLOOKUP(B898,'Form responses 1'!$B$2:$B$2604,'Form responses 1'!$I$2:$I$2604,""))</f>
        <v>Sukadana Ham</v>
      </c>
      <c r="J898" s="44" t="str">
        <f t="array" ref="J898">IF(B898="","",_xlfn.XLOOKUP(B898,'Form responses 1'!$B$2:$B$2604,'Form responses 1'!$G$2:$G$2604,""))</f>
        <v>Rapita</v>
      </c>
      <c r="K898" s="41" t="s">
        <v>422</v>
      </c>
      <c r="L898" s="52">
        <f t="shared" si="7"/>
        <v>45610.4406</v>
      </c>
      <c r="M898" s="49"/>
      <c r="N898" s="49"/>
      <c r="O898" s="49"/>
      <c r="P898" s="49"/>
      <c r="Q898" s="49"/>
      <c r="R898" s="49"/>
      <c r="S898" s="49"/>
      <c r="T898" s="49"/>
      <c r="U898" s="49"/>
      <c r="V898" s="49"/>
      <c r="W898" s="41" t="s">
        <v>618</v>
      </c>
      <c r="X898" s="46">
        <f t="shared" si="5"/>
        <v>45610.51467</v>
      </c>
      <c r="Y898" s="50" t="s">
        <v>482</v>
      </c>
      <c r="Z898" s="49">
        <f t="shared" si="6"/>
        <v>0</v>
      </c>
    </row>
    <row r="899" ht="22.5" customHeight="1">
      <c r="B899" s="41" t="s">
        <v>4764</v>
      </c>
      <c r="C899" s="43">
        <f t="array" ref="C899">IF(B899="","",_xlfn.XLOOKUP(B899,'Form responses 1'!$B$2:$B$2604,'Form responses 1'!$A$2:$A$2604,""))</f>
        <v>45609.57117</v>
      </c>
      <c r="D899" s="44" t="str">
        <f t="shared" si="3"/>
        <v>L/25/131124/1_45609.5711681944</v>
      </c>
      <c r="E899" s="44" t="str">
        <f t="array" ref="E899">IF(B899="","",_xlfn.XLOOKUP(B899,'Form responses 1'!$B$2:$B$2604,'Form responses 1'!$C$2:$C$2604,""))</f>
        <v>DHANNY SETYAWAN</v>
      </c>
      <c r="F899" s="44" t="str">
        <f t="array" ref="F899">IF(B899="","",_xlfn.XLOOKUP(B899,'Form responses 1'!$B$2:$B$2604,'Form responses 1'!$D$2:$D$2604,""))</f>
        <v>08131678312</v>
      </c>
      <c r="G899" s="44" t="str">
        <f t="array" ref="G899">IF(B899="","",_xlfn.XLOOKUP(B899,'Form responses 1'!$B$2:$B$2604,'Form responses 1'!$E$2:$E$2604,""))</f>
        <v>ROYA</v>
      </c>
      <c r="H899" s="44" t="str">
        <f t="array" ref="H899">IF(B899="","",_xlfn.XLOOKUP(B899,'Form responses 1'!$B$2:$B$2604,'Form responses 1'!$F$2:$F$2604,""))</f>
        <v>HM 1075/RAJABASA RAYA</v>
      </c>
      <c r="I899" s="44" t="str">
        <f t="array" ref="I899">IF(B899="","",_xlfn.XLOOKUP(B899,'Form responses 1'!$B$2:$B$2604,'Form responses 1'!$I$2:$I$2604,""))</f>
        <v>RAJABASA RAYA</v>
      </c>
      <c r="J899" s="44" t="str">
        <f t="array" ref="J899">IF(B899="","",_xlfn.XLOOKUP(B899,'Form responses 1'!$B$2:$B$2604,'Form responses 1'!$G$2:$G$2604,""))</f>
        <v>Deby</v>
      </c>
      <c r="K899" s="41" t="s">
        <v>1233</v>
      </c>
      <c r="L899" s="52">
        <f t="shared" si="7"/>
        <v>45610.47151</v>
      </c>
      <c r="M899" s="47"/>
      <c r="N899" s="49"/>
      <c r="O899" s="49"/>
      <c r="P899" s="49"/>
      <c r="Q899" s="49"/>
      <c r="R899" s="49"/>
      <c r="S899" s="49"/>
      <c r="T899" s="49"/>
      <c r="U899" s="49"/>
      <c r="V899" s="49"/>
      <c r="W899" s="41" t="s">
        <v>618</v>
      </c>
      <c r="X899" s="46">
        <f t="shared" si="5"/>
        <v>45610.49082</v>
      </c>
      <c r="Y899" s="50" t="s">
        <v>482</v>
      </c>
      <c r="Z899" s="49">
        <f t="shared" si="6"/>
        <v>0</v>
      </c>
    </row>
    <row r="900" ht="22.5" customHeight="1">
      <c r="B900" s="41" t="s">
        <v>4709</v>
      </c>
      <c r="C900" s="43">
        <f t="array" ref="C900">IF(B900="","",_xlfn.XLOOKUP(B900,'Form responses 1'!$B$2:$B$2604,'Form responses 1'!$A$2:$A$2604,""))</f>
        <v>45609.43863</v>
      </c>
      <c r="D900" s="44" t="str">
        <f t="shared" si="3"/>
        <v>K/11/131124/1_45609.4386277662</v>
      </c>
      <c r="E900" s="44" t="str">
        <f t="array" ref="E900">IF(B900="","",_xlfn.XLOOKUP(B900,'Form responses 1'!$B$2:$B$2604,'Form responses 1'!$C$2:$C$2604,""))</f>
        <v>ROMI ZAMZAMI/ LENDRAWATI</v>
      </c>
      <c r="F900" s="44" t="str">
        <f t="array" ref="F900">IF(B900="","",_xlfn.XLOOKUP(B900,'Form responses 1'!$B$2:$B$2604,'Form responses 1'!$D$2:$D$2604,""))</f>
        <v>082177919544</v>
      </c>
      <c r="G900" s="44" t="str">
        <f t="array" ref="G900">IF(B900="","",_xlfn.XLOOKUP(B900,'Form responses 1'!$B$2:$B$2604,'Form responses 1'!$E$2:$E$2604,""))</f>
        <v>PERMOHONAN SK PERPANJANGAN</v>
      </c>
      <c r="H900" s="44" t="str">
        <f t="array" ref="H900">IF(B900="","",_xlfn.XLOOKUP(B900,'Form responses 1'!$B$2:$B$2604,'Form responses 1'!$F$2:$F$2604,""))</f>
        <v>Nibel 133/ Kelapa Tiga</v>
      </c>
      <c r="I900" s="44" t="str">
        <f t="array" ref="I900">IF(B900="","",_xlfn.XLOOKUP(B900,'Form responses 1'!$B$2:$B$2604,'Form responses 1'!$I$2:$I$2604,""))</f>
        <v>Kelapa Tiga</v>
      </c>
      <c r="J900" s="44" t="str">
        <f t="array" ref="J900">IF(B900="","",_xlfn.XLOOKUP(B900,'Form responses 1'!$B$2:$B$2604,'Form responses 1'!$G$2:$G$2604,""))</f>
        <v>Hananda</v>
      </c>
      <c r="K900" s="41" t="s">
        <v>2421</v>
      </c>
      <c r="L900" s="52">
        <f t="shared" si="7"/>
        <v>45610.49082</v>
      </c>
      <c r="M900" s="49"/>
      <c r="N900" s="49"/>
      <c r="O900" s="49"/>
      <c r="P900" s="49"/>
      <c r="Q900" s="49"/>
      <c r="R900" s="49"/>
      <c r="S900" s="49"/>
      <c r="T900" s="49"/>
      <c r="U900" s="49"/>
      <c r="V900" s="49"/>
      <c r="W900" s="41" t="s">
        <v>618</v>
      </c>
      <c r="X900" s="46">
        <f t="shared" si="5"/>
        <v>45611.43178</v>
      </c>
      <c r="Y900" s="50" t="s">
        <v>482</v>
      </c>
      <c r="Z900" s="49">
        <f t="shared" si="6"/>
        <v>0</v>
      </c>
    </row>
    <row r="901" ht="22.5" customHeight="1">
      <c r="B901" s="41" t="s">
        <v>4798</v>
      </c>
      <c r="C901" s="43">
        <f t="array" ref="C901">IF(B901="","",_xlfn.XLOOKUP(B901,'Form responses 1'!$B$2:$B$2604,'Form responses 1'!$A$2:$A$2604,""))</f>
        <v>45609.61273</v>
      </c>
      <c r="D901" s="44" t="str">
        <f t="shared" si="3"/>
        <v>K/35/131124/2_45609.6127331829</v>
      </c>
      <c r="E901" s="44" t="str">
        <f t="array" ref="E901">IF(B901="","",_xlfn.XLOOKUP(B901,'Form responses 1'!$B$2:$B$2604,'Form responses 1'!$C$2:$C$2604,""))</f>
        <v>RENDY RENALDY/ RAKA</v>
      </c>
      <c r="F901" s="44" t="str">
        <f t="array" ref="F901">IF(B901="","",_xlfn.XLOOKUP(B901,'Form responses 1'!$B$2:$B$2604,'Form responses 1'!$D$2:$D$2604,""))</f>
        <v>089508956656</v>
      </c>
      <c r="G901" s="44" t="str">
        <f t="array" ref="G901">IF(B901="","",_xlfn.XLOOKUP(B901,'Form responses 1'!$B$2:$B$2604,'Form responses 1'!$E$2:$E$2604,""))</f>
        <v>BN HIBAH</v>
      </c>
      <c r="H901" s="44" t="str">
        <f t="array" ref="H901">IF(B901="","",_xlfn.XLOOKUP(B901,'Form responses 1'!$B$2:$B$2604,'Form responses 1'!$F$2:$F$2604,""))</f>
        <v>M. 10668/ Kedaton</v>
      </c>
      <c r="I901" s="44" t="str">
        <f t="array" ref="I901">IF(B901="","",_xlfn.XLOOKUP(B901,'Form responses 1'!$B$2:$B$2604,'Form responses 1'!$I$2:$I$2604,""))</f>
        <v> Kedaton</v>
      </c>
      <c r="J901" s="44" t="str">
        <f t="array" ref="J901">IF(B901="","",_xlfn.XLOOKUP(B901,'Form responses 1'!$B$2:$B$2604,'Form responses 1'!$G$2:$G$2604,""))</f>
        <v>Hananda</v>
      </c>
      <c r="K901" s="41" t="s">
        <v>2421</v>
      </c>
      <c r="L901" s="52">
        <f t="shared" si="7"/>
        <v>45610.49082</v>
      </c>
      <c r="M901" s="49"/>
      <c r="N901" s="49"/>
      <c r="O901" s="49"/>
      <c r="P901" s="49"/>
      <c r="Q901" s="49"/>
      <c r="R901" s="49"/>
      <c r="S901" s="49"/>
      <c r="T901" s="49"/>
      <c r="U901" s="49"/>
      <c r="V901" s="49"/>
      <c r="W901" s="41" t="s">
        <v>618</v>
      </c>
      <c r="X901" s="46">
        <f t="shared" si="5"/>
        <v>45611.44529</v>
      </c>
      <c r="Y901" s="50" t="s">
        <v>482</v>
      </c>
      <c r="Z901" s="49">
        <f t="shared" si="6"/>
        <v>0</v>
      </c>
    </row>
    <row r="902" ht="22.5" customHeight="1">
      <c r="B902" s="41" t="s">
        <v>4724</v>
      </c>
      <c r="C902" s="43">
        <f t="array" ref="C902">IF(B902="","",_xlfn.XLOOKUP(B902,'Form responses 1'!$B$2:$B$2604,'Form responses 1'!$A$2:$A$2604,""))</f>
        <v>45609.47492</v>
      </c>
      <c r="D902" s="44" t="str">
        <f t="shared" si="3"/>
        <v>K/16/131124/1_45609.4749202431</v>
      </c>
      <c r="E902" s="44" t="str">
        <f t="array" ref="E902">IF(B902="","",_xlfn.XLOOKUP(B902,'Form responses 1'!$B$2:$B$2604,'Form responses 1'!$C$2:$C$2604,""))</f>
        <v>Naditha A/ Sarwan</v>
      </c>
      <c r="F902" s="44" t="str">
        <f t="array" ref="F902">IF(B902="","",_xlfn.XLOOKUP(B902,'Form responses 1'!$B$2:$B$2604,'Form responses 1'!$D$2:$D$2604,""))</f>
        <v>081367957957</v>
      </c>
      <c r="G902" s="44" t="str">
        <f t="array" ref="G902">IF(B902="","",_xlfn.XLOOKUP(B902,'Form responses 1'!$B$2:$B$2604,'Form responses 1'!$E$2:$E$2604,""))</f>
        <v>Hapus BPHTB</v>
      </c>
      <c r="H902" s="44" t="str">
        <f t="array" ref="H902">IF(B902="","",_xlfn.XLOOKUP(B902,'Form responses 1'!$B$2:$B$2604,'Form responses 1'!$F$2:$F$2604,""))</f>
        <v>M. 561/ Bumi Kedamaian</v>
      </c>
      <c r="I902" s="44" t="str">
        <f t="array" ref="I902">IF(B902="","",_xlfn.XLOOKUP(B902,'Form responses 1'!$B$2:$B$2604,'Form responses 1'!$I$2:$I$2604,""))</f>
        <v>Bumi Kedamaian</v>
      </c>
      <c r="J902" s="44" t="str">
        <f t="array" ref="J902">IF(B902="","",_xlfn.XLOOKUP(B902,'Form responses 1'!$B$2:$B$2604,'Form responses 1'!$G$2:$G$2604,""))</f>
        <v>Rapita</v>
      </c>
      <c r="K902" s="41" t="s">
        <v>2421</v>
      </c>
      <c r="L902" s="52">
        <f t="shared" si="7"/>
        <v>45610.49082</v>
      </c>
      <c r="M902" s="49"/>
      <c r="N902" s="49"/>
      <c r="O902" s="49"/>
      <c r="P902" s="49"/>
      <c r="Q902" s="49"/>
      <c r="R902" s="49"/>
      <c r="S902" s="49"/>
      <c r="T902" s="49"/>
      <c r="U902" s="49"/>
      <c r="V902" s="49"/>
      <c r="W902" s="41" t="s">
        <v>618</v>
      </c>
      <c r="X902" s="46">
        <f t="shared" si="5"/>
        <v>45611.42346</v>
      </c>
      <c r="Y902" s="50" t="s">
        <v>482</v>
      </c>
      <c r="Z902" s="49">
        <f t="shared" si="6"/>
        <v>0</v>
      </c>
    </row>
    <row r="903" ht="22.5" customHeight="1">
      <c r="B903" s="41" t="s">
        <v>4776</v>
      </c>
      <c r="C903" s="43">
        <f t="array" ref="C903">IF(B903="","",_xlfn.XLOOKUP(B903,'Form responses 1'!$B$2:$B$2604,'Form responses 1'!$A$2:$A$2604,""))</f>
        <v>45609.58003</v>
      </c>
      <c r="D903" s="44" t="str">
        <f t="shared" si="3"/>
        <v>K/28/131124/2_45609.5800318287</v>
      </c>
      <c r="E903" s="44" t="str">
        <f t="array" ref="E903">IF(B903="","",_xlfn.XLOOKUP(B903,'Form responses 1'!$B$2:$B$2604,'Form responses 1'!$C$2:$C$2604,""))</f>
        <v>ABDI HARI KURNIAWAN / WIRAHAYU</v>
      </c>
      <c r="F903" s="44" t="str">
        <f t="array" ref="F903">IF(B903="","",_xlfn.XLOOKUP(B903,'Form responses 1'!$B$2:$B$2604,'Form responses 1'!$D$2:$D$2604,""))</f>
        <v>+62 821-8241-4776</v>
      </c>
      <c r="G903" s="44" t="str">
        <f t="array" ref="G903">IF(B903="","",_xlfn.XLOOKUP(B903,'Form responses 1'!$B$2:$B$2604,'Form responses 1'!$E$2:$E$2604,""))</f>
        <v>ROYA</v>
      </c>
      <c r="H903" s="44" t="str">
        <f t="array" ref="H903">IF(B903="","",_xlfn.XLOOKUP(B903,'Form responses 1'!$B$2:$B$2604,'Form responses 1'!$F$2:$F$2604,""))</f>
        <v>M. 1635 / PANJANG SELATAN</v>
      </c>
      <c r="I903" s="44" t="str">
        <f t="array" ref="I903">IF(B903="","",_xlfn.XLOOKUP(B903,'Form responses 1'!$B$2:$B$2604,'Form responses 1'!$I$2:$I$2604,""))</f>
        <v>PANJANG SELATAN</v>
      </c>
      <c r="J903" s="44" t="str">
        <f t="array" ref="J903">IF(B903="","",_xlfn.XLOOKUP(B903,'Form responses 1'!$B$2:$B$2604,'Form responses 1'!$G$2:$G$2604,""))</f>
        <v>Aisyah</v>
      </c>
      <c r="K903" s="41" t="s">
        <v>2421</v>
      </c>
      <c r="L903" s="52">
        <f t="shared" si="7"/>
        <v>45610.49082</v>
      </c>
      <c r="M903" s="47" t="s">
        <v>5695</v>
      </c>
      <c r="N903" s="49"/>
      <c r="O903" s="49"/>
      <c r="P903" s="49"/>
      <c r="Q903" s="49"/>
      <c r="R903" s="49"/>
      <c r="S903" s="49"/>
      <c r="T903" s="49"/>
      <c r="U903" s="49"/>
      <c r="V903" s="49"/>
      <c r="W903" s="41" t="s">
        <v>470</v>
      </c>
      <c r="X903" s="46">
        <f t="shared" si="5"/>
        <v>45611.42774</v>
      </c>
      <c r="Y903" s="50" t="s">
        <v>482</v>
      </c>
      <c r="Z903" s="49">
        <f t="shared" si="6"/>
        <v>1</v>
      </c>
    </row>
    <row r="904" ht="22.5" customHeight="1">
      <c r="B904" s="41" t="s">
        <v>4739</v>
      </c>
      <c r="C904" s="43">
        <f t="array" ref="C904">IF(B904="","",_xlfn.XLOOKUP(B904,'Form responses 1'!$B$2:$B$2604,'Form responses 1'!$A$2:$A$2604,""))</f>
        <v>45609.55405</v>
      </c>
      <c r="D904" s="44" t="str">
        <f t="shared" si="3"/>
        <v>K/20/131124/1_45609.5540504861</v>
      </c>
      <c r="E904" s="44" t="str">
        <f t="array" ref="E904">IF(B904="","",_xlfn.XLOOKUP(B904,'Form responses 1'!$B$2:$B$2604,'Form responses 1'!$C$2:$C$2604,""))</f>
        <v>FRANKI MALAU/ AUFA</v>
      </c>
      <c r="F904" s="44" t="str">
        <f t="array" ref="F904">IF(B904="","",_xlfn.XLOOKUP(B904,'Form responses 1'!$B$2:$B$2604,'Form responses 1'!$D$2:$D$2604,""))</f>
        <v>+62 812-8057-4365</v>
      </c>
      <c r="G904" s="44" t="str">
        <f t="array" ref="G904">IF(B904="","",_xlfn.XLOOKUP(B904,'Form responses 1'!$B$2:$B$2604,'Form responses 1'!$E$2:$E$2604,""))</f>
        <v>BN JUAL BELI</v>
      </c>
      <c r="H904" s="44" t="str">
        <f t="array" ref="H904">IF(B904="","",_xlfn.XLOOKUP(B904,'Form responses 1'!$B$2:$B$2604,'Form responses 1'!$F$2:$F$2604,""))</f>
        <v>M. 942/ Sumur Putri</v>
      </c>
      <c r="I904" s="44" t="str">
        <f t="array" ref="I904">IF(B904="","",_xlfn.XLOOKUP(B904,'Form responses 1'!$B$2:$B$2604,'Form responses 1'!$I$2:$I$2604,""))</f>
        <v> Sumur Putri</v>
      </c>
      <c r="J904" s="44" t="str">
        <f t="array" ref="J904">IF(B904="","",_xlfn.XLOOKUP(B904,'Form responses 1'!$B$2:$B$2604,'Form responses 1'!$G$2:$G$2604,""))</f>
        <v>Hananda</v>
      </c>
      <c r="K904" s="41" t="s">
        <v>2421</v>
      </c>
      <c r="L904" s="52">
        <f t="shared" si="7"/>
        <v>45610.49082</v>
      </c>
      <c r="M904" s="47" t="s">
        <v>5696</v>
      </c>
      <c r="N904" s="49"/>
      <c r="O904" s="49"/>
      <c r="P904" s="49"/>
      <c r="Q904" s="49"/>
      <c r="R904" s="49"/>
      <c r="S904" s="49"/>
      <c r="T904" s="49"/>
      <c r="U904" s="49"/>
      <c r="V904" s="49"/>
      <c r="W904" s="41" t="s">
        <v>470</v>
      </c>
      <c r="X904" s="46">
        <f t="shared" si="5"/>
        <v>45611.44107</v>
      </c>
      <c r="Y904" s="50" t="s">
        <v>482</v>
      </c>
      <c r="Z904" s="49">
        <f t="shared" si="6"/>
        <v>1</v>
      </c>
    </row>
    <row r="905" ht="22.5" customHeight="1">
      <c r="B905" s="41" t="s">
        <v>1105</v>
      </c>
      <c r="C905" s="43">
        <f t="array" ref="C905">IF(B905="","",_xlfn.XLOOKUP(B905,'Form responses 1'!$B$2:$B$2604,'Form responses 1'!$A$2:$A$2604,""))</f>
        <v>45609.61369</v>
      </c>
      <c r="D905" s="44" t="str">
        <f t="shared" si="3"/>
        <v>K/36/131124/1_45609.6136889583</v>
      </c>
      <c r="E905" s="44" t="str">
        <f t="array" ref="E905">IF(B905="","",_xlfn.XLOOKUP(B905,'Form responses 1'!$B$2:$B$2604,'Form responses 1'!$C$2:$C$2604,""))</f>
        <v>Endang A/ Dede H</v>
      </c>
      <c r="F905" s="44" t="str">
        <f t="array" ref="F905">IF(B905="","",_xlfn.XLOOKUP(B905,'Form responses 1'!$B$2:$B$2604,'Form responses 1'!$D$2:$D$2604,""))</f>
        <v>081289235722</v>
      </c>
      <c r="G905" s="44" t="str">
        <f t="array" ref="G905">IF(B905="","",_xlfn.XLOOKUP(B905,'Form responses 1'!$B$2:$B$2604,'Form responses 1'!$E$2:$E$2604,""))</f>
        <v>BN Jual Beli</v>
      </c>
      <c r="H905" s="44" t="str">
        <f t="array" ref="H905">IF(B905="","",_xlfn.XLOOKUP(B905,'Form responses 1'!$B$2:$B$2604,'Form responses 1'!$F$2:$F$2604,""))</f>
        <v>M. 1816/ Rajabasa Nunyai</v>
      </c>
      <c r="I905" s="44" t="str">
        <f t="array" ref="I905">IF(B905="","",_xlfn.XLOOKUP(B905,'Form responses 1'!$B$2:$B$2604,'Form responses 1'!$I$2:$I$2604,""))</f>
        <v>Rajabasa Nunyai</v>
      </c>
      <c r="J905" s="44" t="str">
        <f t="array" ref="J905">IF(B905="","",_xlfn.XLOOKUP(B905,'Form responses 1'!$B$2:$B$2604,'Form responses 1'!$G$2:$G$2604,""))</f>
        <v>Rapita</v>
      </c>
      <c r="K905" s="41" t="s">
        <v>1233</v>
      </c>
      <c r="L905" s="52">
        <f t="shared" si="7"/>
        <v>45610.49082</v>
      </c>
      <c r="M905" s="47" t="s">
        <v>5697</v>
      </c>
      <c r="N905" s="47" t="s">
        <v>5698</v>
      </c>
      <c r="O905" s="47" t="s">
        <v>5699</v>
      </c>
      <c r="P905" s="49"/>
      <c r="Q905" s="49"/>
      <c r="R905" s="49"/>
      <c r="S905" s="49"/>
      <c r="T905" s="49"/>
      <c r="U905" s="49"/>
      <c r="V905" s="49"/>
      <c r="W905" s="41" t="s">
        <v>470</v>
      </c>
      <c r="X905" s="46">
        <f t="shared" si="5"/>
        <v>45610.49082</v>
      </c>
      <c r="Y905" s="50" t="s">
        <v>482</v>
      </c>
      <c r="Z905" s="49">
        <f t="shared" si="6"/>
        <v>3</v>
      </c>
    </row>
    <row r="906" ht="22.5" customHeight="1">
      <c r="B906" s="41" t="s">
        <v>4780</v>
      </c>
      <c r="C906" s="43">
        <f t="array" ref="C906">IF(B906="","",_xlfn.XLOOKUP(B906,'Form responses 1'!$B$2:$B$2604,'Form responses 1'!$A$2:$A$2604,""))</f>
        <v>45609.58452</v>
      </c>
      <c r="D906" s="44" t="str">
        <f t="shared" si="3"/>
        <v>K/29/131124/1_45609.584517037</v>
      </c>
      <c r="E906" s="44" t="str">
        <f t="array" ref="E906">IF(B906="","",_xlfn.XLOOKUP(B906,'Form responses 1'!$B$2:$B$2604,'Form responses 1'!$C$2:$C$2604,""))</f>
        <v>TJHIA GIOK TJOE / BUDI SISWA</v>
      </c>
      <c r="F906" s="44" t="str">
        <f t="array" ref="F906">IF(B906="","",_xlfn.XLOOKUP(B906,'Form responses 1'!$B$2:$B$2604,'Form responses 1'!$D$2:$D$2604,""))</f>
        <v>081273055495</v>
      </c>
      <c r="G906" s="44" t="str">
        <f t="array" ref="G906">IF(B906="","",_xlfn.XLOOKUP(B906,'Form responses 1'!$B$2:$B$2604,'Form responses 1'!$E$2:$E$2604,""))</f>
        <v>BN JUAL BELI</v>
      </c>
      <c r="H906" s="44" t="str">
        <f t="array" ref="H906">IF(B906="","",_xlfn.XLOOKUP(B906,'Form responses 1'!$B$2:$B$2604,'Form responses 1'!$F$2:$F$2604,""))</f>
        <v>M. 1200 / GULAK GALIK-SEKARANG;M. 66/SUMUR BATU-DAHULU</v>
      </c>
      <c r="I906" s="44" t="str">
        <f t="array" ref="I906">IF(B906="","",_xlfn.XLOOKUP(B906,'Form responses 1'!$B$2:$B$2604,'Form responses 1'!$I$2:$I$2604,""))</f>
        <v>GULAK GALIK</v>
      </c>
      <c r="J906" s="44" t="str">
        <f t="array" ref="J906">IF(B906="","",_xlfn.XLOOKUP(B906,'Form responses 1'!$B$2:$B$2604,'Form responses 1'!$G$2:$G$2604,""))</f>
        <v>Aisyah</v>
      </c>
      <c r="K906" s="41" t="s">
        <v>1233</v>
      </c>
      <c r="L906" s="52">
        <f t="shared" si="7"/>
        <v>45610.4978</v>
      </c>
      <c r="M906" s="49"/>
      <c r="N906" s="49"/>
      <c r="O906" s="49"/>
      <c r="P906" s="49"/>
      <c r="Q906" s="49"/>
      <c r="R906" s="49"/>
      <c r="S906" s="49"/>
      <c r="T906" s="49"/>
      <c r="U906" s="49"/>
      <c r="V906" s="49"/>
      <c r="W906" s="41" t="s">
        <v>618</v>
      </c>
      <c r="X906" s="46">
        <f t="shared" si="5"/>
        <v>45610.49782</v>
      </c>
      <c r="Y906" s="50" t="s">
        <v>482</v>
      </c>
      <c r="Z906" s="49">
        <f t="shared" si="6"/>
        <v>0</v>
      </c>
    </row>
    <row r="907" ht="22.5" customHeight="1">
      <c r="B907" s="41" t="s">
        <v>4666</v>
      </c>
      <c r="C907" s="43">
        <f t="array" ref="C907">IF(B907="","",_xlfn.XLOOKUP(B907,'Form responses 1'!$B$2:$B$2604,'Form responses 1'!$A$2:$A$2604,""))</f>
        <v>45609.36887</v>
      </c>
      <c r="D907" s="44" t="str">
        <f t="shared" si="3"/>
        <v>K/1/131124/1_45609.3688677662</v>
      </c>
      <c r="E907" s="44" t="str">
        <f t="array" ref="E907">IF(B907="","",_xlfn.XLOOKUP(B907,'Form responses 1'!$B$2:$B$2604,'Form responses 1'!$C$2:$C$2604,""))</f>
        <v>Titik W/ Yuli S</v>
      </c>
      <c r="F907" s="44" t="str">
        <f t="array" ref="F907">IF(B907="","",_xlfn.XLOOKUP(B907,'Form responses 1'!$B$2:$B$2604,'Form responses 1'!$D$2:$D$2604,""))</f>
        <v>085269123525</v>
      </c>
      <c r="G907" s="44" t="str">
        <f t="array" ref="G907">IF(B907="","",_xlfn.XLOOKUP(B907,'Form responses 1'!$B$2:$B$2604,'Form responses 1'!$E$2:$E$2604,""))</f>
        <v>SKPT Lelang</v>
      </c>
      <c r="H907" s="44" t="str">
        <f t="array" ref="H907">IF(B907="","",_xlfn.XLOOKUP(B907,'Form responses 1'!$B$2:$B$2604,'Form responses 1'!$F$2:$F$2604,""))</f>
        <v>M. 10732/ Rajabasa</v>
      </c>
      <c r="I907" s="44" t="str">
        <f t="array" ref="I907">IF(B907="","",_xlfn.XLOOKUP(B907,'Form responses 1'!$B$2:$B$2604,'Form responses 1'!$I$2:$I$2604,""))</f>
        <v>Rajabasa</v>
      </c>
      <c r="J907" s="44" t="str">
        <f t="array" ref="J907">IF(B907="","",_xlfn.XLOOKUP(B907,'Form responses 1'!$B$2:$B$2604,'Form responses 1'!$G$2:$G$2604,""))</f>
        <v>Rapita</v>
      </c>
      <c r="K907" s="41" t="s">
        <v>1233</v>
      </c>
      <c r="L907" s="52">
        <f t="shared" si="7"/>
        <v>45610.49977</v>
      </c>
      <c r="M907" s="49"/>
      <c r="N907" s="49"/>
      <c r="O907" s="49"/>
      <c r="P907" s="49"/>
      <c r="Q907" s="49"/>
      <c r="R907" s="49"/>
      <c r="S907" s="49"/>
      <c r="T907" s="49"/>
      <c r="U907" s="49"/>
      <c r="V907" s="49"/>
      <c r="W907" s="41" t="s">
        <v>618</v>
      </c>
      <c r="X907" s="46">
        <f t="shared" si="5"/>
        <v>45610.50329</v>
      </c>
      <c r="Y907" s="50" t="s">
        <v>482</v>
      </c>
      <c r="Z907" s="49">
        <f t="shared" si="6"/>
        <v>0</v>
      </c>
    </row>
    <row r="908" ht="22.5" customHeight="1">
      <c r="B908" s="41" t="s">
        <v>4791</v>
      </c>
      <c r="C908" s="43">
        <f t="array" ref="C908">IF(B908="","",_xlfn.XLOOKUP(B908,'Form responses 1'!$B$2:$B$2604,'Form responses 1'!$A$2:$A$2604,""))</f>
        <v>45609.61089</v>
      </c>
      <c r="D908" s="44" t="str">
        <f t="shared" si="3"/>
        <v>L/32/131124/1_45609.6108858681</v>
      </c>
      <c r="E908" s="44" t="str">
        <f t="array" ref="E908">IF(B908="","",_xlfn.XLOOKUP(B908,'Form responses 1'!$B$2:$B$2604,'Form responses 1'!$C$2:$C$2604,""))</f>
        <v>HADI WAHYUDI</v>
      </c>
      <c r="F908" s="44" t="str">
        <f t="array" ref="F908">IF(B908="","",_xlfn.XLOOKUP(B908,'Form responses 1'!$B$2:$B$2604,'Form responses 1'!$D$2:$D$2604,""))</f>
        <v>08122112508</v>
      </c>
      <c r="G908" s="44" t="str">
        <f t="array" ref="G908">IF(B908="","",_xlfn.XLOOKUP(B908,'Form responses 1'!$B$2:$B$2604,'Form responses 1'!$E$2:$E$2604,""))</f>
        <v>BLOKIR</v>
      </c>
      <c r="H908" s="44" t="str">
        <f t="array" ref="H908">IF(B908="","",_xlfn.XLOOKUP(B908,'Form responses 1'!$B$2:$B$2604,'Form responses 1'!$F$2:$F$2604,""))</f>
        <v>HM 380/SUKARAJA</v>
      </c>
      <c r="I908" s="44" t="str">
        <f t="array" ref="I908">IF(B908="","",_xlfn.XLOOKUP(B908,'Form responses 1'!$B$2:$B$2604,'Form responses 1'!$I$2:$I$2604,""))</f>
        <v>SUKARAJA</v>
      </c>
      <c r="J908" s="44" t="str">
        <f t="array" ref="J908">IF(B908="","",_xlfn.XLOOKUP(B908,'Form responses 1'!$B$2:$B$2604,'Form responses 1'!$G$2:$G$2604,""))</f>
        <v>Deby</v>
      </c>
      <c r="K908" s="41" t="s">
        <v>2875</v>
      </c>
      <c r="L908" s="52">
        <f t="shared" si="7"/>
        <v>45610.50784</v>
      </c>
      <c r="M908" s="49"/>
      <c r="N908" s="49"/>
      <c r="O908" s="49"/>
      <c r="P908" s="49"/>
      <c r="Q908" s="49"/>
      <c r="R908" s="49"/>
      <c r="S908" s="49"/>
      <c r="T908" s="49"/>
      <c r="U908" s="49"/>
      <c r="V908" s="49"/>
      <c r="W908" s="41" t="s">
        <v>618</v>
      </c>
      <c r="X908" s="46">
        <f t="shared" si="5"/>
        <v>45611.38305</v>
      </c>
      <c r="Y908" s="50" t="s">
        <v>482</v>
      </c>
      <c r="Z908" s="49">
        <f t="shared" si="6"/>
        <v>0</v>
      </c>
    </row>
    <row r="909" ht="22.5" customHeight="1">
      <c r="B909" s="41" t="s">
        <v>4697</v>
      </c>
      <c r="C909" s="43">
        <f t="array" ref="C909">IF(B909="","",_xlfn.XLOOKUP(B909,'Form responses 1'!$B$2:$B$2604,'Form responses 1'!$A$2:$A$2604,""))</f>
        <v>45609.41589</v>
      </c>
      <c r="D909" s="44" t="str">
        <f t="shared" si="3"/>
        <v>L/8/131124/1_45609.4158937963</v>
      </c>
      <c r="E909" s="44" t="str">
        <f t="array" ref="E909">IF(B909="","",_xlfn.XLOOKUP(B909,'Form responses 1'!$B$2:$B$2604,'Form responses 1'!$C$2:$C$2604,""))</f>
        <v>ROSNAWATI BR TARIGAN</v>
      </c>
      <c r="F909" s="44" t="str">
        <f t="array" ref="F909">IF(B909="","",_xlfn.XLOOKUP(B909,'Form responses 1'!$B$2:$B$2604,'Form responses 1'!$D$2:$D$2604,""))</f>
        <v>081375251107</v>
      </c>
      <c r="G909" s="44" t="str">
        <f t="array" ref="G909">IF(B909="","",_xlfn.XLOOKUP(B909,'Form responses 1'!$B$2:$B$2604,'Form responses 1'!$E$2:$E$2604,""))</f>
        <v>PH</v>
      </c>
      <c r="H909" s="44" t="str">
        <f t="array" ref="H909">IF(B909="","",_xlfn.XLOOKUP(B909,'Form responses 1'!$B$2:$B$2604,'Form responses 1'!$F$2:$F$2604,""))</f>
        <v>HGB 836/PWK</v>
      </c>
      <c r="I909" s="44" t="str">
        <f t="array" ref="I909">IF(B909="","",_xlfn.XLOOKUP(B909,'Form responses 1'!$B$2:$B$2604,'Form responses 1'!$I$2:$I$2604,""))</f>
        <v>PERUMNAS WAY KANDIS</v>
      </c>
      <c r="J909" s="44" t="str">
        <f t="array" ref="J909">IF(B909="","",_xlfn.XLOOKUP(B909,'Form responses 1'!$B$2:$B$2604,'Form responses 1'!$G$2:$G$2604,""))</f>
        <v>Deby</v>
      </c>
      <c r="K909" s="41" t="s">
        <v>2875</v>
      </c>
      <c r="L909" s="52">
        <f t="shared" si="7"/>
        <v>45610.50786</v>
      </c>
      <c r="M909" s="47" t="s">
        <v>5700</v>
      </c>
      <c r="N909" s="49"/>
      <c r="O909" s="49"/>
      <c r="P909" s="49"/>
      <c r="Q909" s="49"/>
      <c r="R909" s="49"/>
      <c r="S909" s="49"/>
      <c r="T909" s="49"/>
      <c r="U909" s="49"/>
      <c r="V909" s="49"/>
      <c r="W909" s="41" t="s">
        <v>470</v>
      </c>
      <c r="X909" s="46">
        <f t="shared" si="5"/>
        <v>45610.50859</v>
      </c>
      <c r="Y909" s="50" t="s">
        <v>482</v>
      </c>
      <c r="Z909" s="49">
        <f t="shared" si="6"/>
        <v>1</v>
      </c>
    </row>
    <row r="910" ht="22.5" customHeight="1">
      <c r="B910" s="41" t="s">
        <v>4672</v>
      </c>
      <c r="C910" s="43">
        <f t="array" ref="C910">IF(B910="","",_xlfn.XLOOKUP(B910,'Form responses 1'!$B$2:$B$2604,'Form responses 1'!$A$2:$A$2604,""))</f>
        <v>45609.43258</v>
      </c>
      <c r="D910" s="44" t="str">
        <f t="shared" si="3"/>
        <v>K/3/131124/3_45609.4325776042</v>
      </c>
      <c r="E910" s="44" t="str">
        <f t="array" ref="E910">IF(B910="","",_xlfn.XLOOKUP(B910,'Form responses 1'!$B$2:$B$2604,'Form responses 1'!$C$2:$C$2604,""))</f>
        <v>Titik W/ Yuli S</v>
      </c>
      <c r="F910" s="44" t="str">
        <f t="array" ref="F910">IF(B910="","",_xlfn.XLOOKUP(B910,'Form responses 1'!$B$2:$B$2604,'Form responses 1'!$D$2:$D$2604,""))</f>
        <v>085269123525</v>
      </c>
      <c r="G910" s="44" t="str">
        <f t="array" ref="G910">IF(B910="","",_xlfn.XLOOKUP(B910,'Form responses 1'!$B$2:$B$2604,'Form responses 1'!$E$2:$E$2604,""))</f>
        <v>SKPT Lelang</v>
      </c>
      <c r="H910" s="44" t="str">
        <f t="array" ref="H910">IF(B910="","",_xlfn.XLOOKUP(B910,'Form responses 1'!$B$2:$B$2604,'Form responses 1'!$F$2:$F$2604,""))</f>
        <v>M. 1714/ Sukamaju</v>
      </c>
      <c r="I910" s="44" t="str">
        <f t="array" ref="I910">IF(B910="","",_xlfn.XLOOKUP(B910,'Form responses 1'!$B$2:$B$2604,'Form responses 1'!$I$2:$I$2604,""))</f>
        <v> Sukamaju</v>
      </c>
      <c r="J910" s="44" t="str">
        <f t="array" ref="J910">IF(B910="","",_xlfn.XLOOKUP(B910,'Form responses 1'!$B$2:$B$2604,'Form responses 1'!$G$2:$G$2604,""))</f>
        <v>Rapita</v>
      </c>
      <c r="K910" s="41" t="s">
        <v>2875</v>
      </c>
      <c r="L910" s="52">
        <f t="shared" si="7"/>
        <v>45610.50787</v>
      </c>
      <c r="M910" s="47" t="s">
        <v>5701</v>
      </c>
      <c r="N910" s="49"/>
      <c r="O910" s="49"/>
      <c r="P910" s="49"/>
      <c r="Q910" s="49"/>
      <c r="R910" s="49"/>
      <c r="S910" s="49"/>
      <c r="T910" s="49"/>
      <c r="U910" s="49"/>
      <c r="V910" s="49"/>
      <c r="W910" s="41" t="s">
        <v>470</v>
      </c>
      <c r="X910" s="46">
        <f t="shared" si="5"/>
        <v>45610.50901</v>
      </c>
      <c r="Y910" s="50" t="s">
        <v>482</v>
      </c>
      <c r="Z910" s="49">
        <f t="shared" si="6"/>
        <v>1</v>
      </c>
    </row>
    <row r="911" ht="22.5" customHeight="1">
      <c r="B911" s="41" t="s">
        <v>4679</v>
      </c>
      <c r="C911" s="43">
        <f t="array" ref="C911">IF(B911="","",_xlfn.XLOOKUP(B911,'Form responses 1'!$B$2:$B$2604,'Form responses 1'!$A$2:$A$2604,""))</f>
        <v>45609.37699</v>
      </c>
      <c r="D911" s="44" t="str">
        <f t="shared" si="3"/>
        <v>K/4/131124/1_45609.3769940394</v>
      </c>
      <c r="E911" s="44" t="str">
        <f t="array" ref="E911">IF(B911="","",_xlfn.XLOOKUP(B911,'Form responses 1'!$B$2:$B$2604,'Form responses 1'!$C$2:$C$2604,""))</f>
        <v>FRANKI MALAU</v>
      </c>
      <c r="F911" s="44" t="str">
        <f t="array" ref="F911">IF(B911="","",_xlfn.XLOOKUP(B911,'Form responses 1'!$B$2:$B$2604,'Form responses 1'!$D$2:$D$2604,""))</f>
        <v>+62 812-8057-4365</v>
      </c>
      <c r="G911" s="44" t="str">
        <f t="array" ref="G911">IF(B911="","",_xlfn.XLOOKUP(B911,'Form responses 1'!$B$2:$B$2604,'Form responses 1'!$E$2:$E$2604,""))</f>
        <v>BN JUAL BELI</v>
      </c>
      <c r="H911" s="44" t="str">
        <f t="array" ref="H911">IF(B911="","",_xlfn.XLOOKUP(B911,'Form responses 1'!$B$2:$B$2604,'Form responses 1'!$F$2:$F$2604,""))</f>
        <v>M. 4605/ Rajabasa Jaya</v>
      </c>
      <c r="I911" s="44" t="str">
        <f t="array" ref="I911">IF(B911="","",_xlfn.XLOOKUP(B911,'Form responses 1'!$B$2:$B$2604,'Form responses 1'!$I$2:$I$2604,""))</f>
        <v>Rajabasa Jaya</v>
      </c>
      <c r="J911" s="44" t="str">
        <f t="array" ref="J911">IF(B911="","",_xlfn.XLOOKUP(B911,'Form responses 1'!$B$2:$B$2604,'Form responses 1'!$G$2:$G$2604,""))</f>
        <v>Hananda</v>
      </c>
      <c r="K911" s="41" t="s">
        <v>2875</v>
      </c>
      <c r="L911" s="52">
        <f t="shared" si="7"/>
        <v>45610.50789</v>
      </c>
      <c r="M911" s="49"/>
      <c r="N911" s="49"/>
      <c r="O911" s="49"/>
      <c r="P911" s="49"/>
      <c r="Q911" s="49"/>
      <c r="R911" s="49"/>
      <c r="S911" s="49"/>
      <c r="T911" s="49"/>
      <c r="U911" s="49"/>
      <c r="V911" s="49"/>
      <c r="W911" s="41" t="s">
        <v>618</v>
      </c>
      <c r="X911" s="46">
        <f t="shared" si="5"/>
        <v>45610.59659</v>
      </c>
      <c r="Y911" s="50" t="s">
        <v>482</v>
      </c>
      <c r="Z911" s="49">
        <f t="shared" si="6"/>
        <v>0</v>
      </c>
    </row>
    <row r="912" ht="22.5" customHeight="1">
      <c r="B912" s="41" t="s">
        <v>4749</v>
      </c>
      <c r="C912" s="43">
        <f t="array" ref="C912">IF(B912="","",_xlfn.XLOOKUP(B912,'Form responses 1'!$B$2:$B$2604,'Form responses 1'!$A$2:$A$2604,""))</f>
        <v>45609.56785</v>
      </c>
      <c r="D912" s="44" t="str">
        <f t="shared" si="3"/>
        <v>K/23/131124/1_45609.5678450347</v>
      </c>
      <c r="E912" s="44" t="str">
        <f t="array" ref="E912">IF(B912="","",_xlfn.XLOOKUP(B912,'Form responses 1'!$B$2:$B$2604,'Form responses 1'!$C$2:$C$2604,""))</f>
        <v>Fahrul R/ Rama Agil S</v>
      </c>
      <c r="F912" s="44" t="str">
        <f t="array" ref="F912">IF(B912="","",_xlfn.XLOOKUP(B912,'Form responses 1'!$B$2:$B$2604,'Form responses 1'!$D$2:$D$2604,""))</f>
        <v>+62 821-7585-0002</v>
      </c>
      <c r="G912" s="44" t="str">
        <f t="array" ref="G912">IF(B912="","",_xlfn.XLOOKUP(B912,'Form responses 1'!$B$2:$B$2604,'Form responses 1'!$E$2:$E$2604,""))</f>
        <v>BN Jual Beli</v>
      </c>
      <c r="H912" s="44" t="str">
        <f t="array" ref="H912">IF(B912="","",_xlfn.XLOOKUP(B912,'Form responses 1'!$B$2:$B$2604,'Form responses 1'!$F$2:$F$2604,""))</f>
        <v>M. 4937/ Sukadana Ham</v>
      </c>
      <c r="I912" s="44" t="str">
        <f t="array" ref="I912">IF(B912="","",_xlfn.XLOOKUP(B912,'Form responses 1'!$B$2:$B$2604,'Form responses 1'!$I$2:$I$2604,""))</f>
        <v>Sukadana Ham</v>
      </c>
      <c r="J912" s="44" t="str">
        <f t="array" ref="J912">IF(B912="","",_xlfn.XLOOKUP(B912,'Form responses 1'!$B$2:$B$2604,'Form responses 1'!$G$2:$G$2604,""))</f>
        <v>Rapita</v>
      </c>
      <c r="K912" s="41" t="s">
        <v>2875</v>
      </c>
      <c r="L912" s="52">
        <f t="shared" si="7"/>
        <v>45610.50791</v>
      </c>
      <c r="M912" s="47" t="s">
        <v>5702</v>
      </c>
      <c r="N912" s="49"/>
      <c r="O912" s="49"/>
      <c r="P912" s="49"/>
      <c r="Q912" s="49"/>
      <c r="R912" s="49"/>
      <c r="S912" s="49"/>
      <c r="T912" s="49"/>
      <c r="U912" s="49"/>
      <c r="V912" s="49"/>
      <c r="W912" s="41" t="s">
        <v>470</v>
      </c>
      <c r="X912" s="46">
        <f t="shared" si="5"/>
        <v>45610.59446</v>
      </c>
      <c r="Y912" s="50" t="s">
        <v>482</v>
      </c>
      <c r="Z912" s="49">
        <f t="shared" si="6"/>
        <v>1</v>
      </c>
    </row>
    <row r="913" ht="22.5" customHeight="1">
      <c r="B913" s="41" t="s">
        <v>4735</v>
      </c>
      <c r="C913" s="43">
        <f t="array" ref="C913">IF(B913="","",_xlfn.XLOOKUP(B913,'Form responses 1'!$B$2:$B$2604,'Form responses 1'!$A$2:$A$2604,""))</f>
        <v>45609.54511</v>
      </c>
      <c r="D913" s="44" t="str">
        <f t="shared" si="3"/>
        <v>K/19/131124/1_45609.5451099306</v>
      </c>
      <c r="E913" s="44" t="str">
        <f t="array" ref="E913">IF(B913="","",_xlfn.XLOOKUP(B913,'Form responses 1'!$B$2:$B$2604,'Form responses 1'!$C$2:$C$2604,""))</f>
        <v>Maryanti K/Vivi M Cs</v>
      </c>
      <c r="F913" s="44" t="str">
        <f t="array" ref="F913">IF(B913="","",_xlfn.XLOOKUP(B913,'Form responses 1'!$B$2:$B$2604,'Form responses 1'!$D$2:$D$2604,""))</f>
        <v>+62 811-7212-168</v>
      </c>
      <c r="G913" s="44" t="str">
        <f t="array" ref="G913">IF(B913="","",_xlfn.XLOOKUP(B913,'Form responses 1'!$B$2:$B$2604,'Form responses 1'!$E$2:$E$2604,""))</f>
        <v>BN Waris</v>
      </c>
      <c r="H913" s="44" t="str">
        <f t="array" ref="H913">IF(B913="","",_xlfn.XLOOKUP(B913,'Form responses 1'!$B$2:$B$2604,'Form responses 1'!$F$2:$F$2604,""))</f>
        <v>M. 1845/ Kaliawi</v>
      </c>
      <c r="I913" s="44" t="str">
        <f t="array" ref="I913">IF(B913="","",_xlfn.XLOOKUP(B913,'Form responses 1'!$B$2:$B$2604,'Form responses 1'!$I$2:$I$2604,""))</f>
        <v> Kaliawi</v>
      </c>
      <c r="J913" s="44" t="str">
        <f t="array" ref="J913">IF(B913="","",_xlfn.XLOOKUP(B913,'Form responses 1'!$B$2:$B$2604,'Form responses 1'!$G$2:$G$2604,""))</f>
        <v>Rapita</v>
      </c>
      <c r="K913" s="41" t="s">
        <v>2875</v>
      </c>
      <c r="L913" s="52">
        <f t="shared" si="7"/>
        <v>45610.50793</v>
      </c>
      <c r="M913" s="47" t="s">
        <v>5703</v>
      </c>
      <c r="N913" s="49"/>
      <c r="O913" s="49"/>
      <c r="P913" s="49"/>
      <c r="Q913" s="49"/>
      <c r="R913" s="49"/>
      <c r="S913" s="49"/>
      <c r="T913" s="49"/>
      <c r="U913" s="49"/>
      <c r="V913" s="49"/>
      <c r="W913" s="41" t="s">
        <v>470</v>
      </c>
      <c r="X913" s="46">
        <f t="shared" si="5"/>
        <v>45611.34658</v>
      </c>
      <c r="Y913" s="50" t="s">
        <v>482</v>
      </c>
      <c r="Z913" s="49">
        <f t="shared" si="6"/>
        <v>1</v>
      </c>
    </row>
    <row r="914" ht="22.5" customHeight="1">
      <c r="B914" s="41" t="s">
        <v>4784</v>
      </c>
      <c r="C914" s="43">
        <f t="array" ref="C914">IF(B914="","",_xlfn.XLOOKUP(B914,'Form responses 1'!$B$2:$B$2604,'Form responses 1'!$A$2:$A$2604,""))</f>
        <v>45609.58602</v>
      </c>
      <c r="D914" s="44" t="str">
        <f t="shared" si="3"/>
        <v>K/30/131124/1_45609.5860151042</v>
      </c>
      <c r="E914" s="44" t="str">
        <f t="array" ref="E914">IF(B914="","",_xlfn.XLOOKUP(B914,'Form responses 1'!$B$2:$B$2604,'Form responses 1'!$C$2:$C$2604,""))</f>
        <v>Nuryati/ Rosdiana Cs</v>
      </c>
      <c r="F914" s="44" t="str">
        <f t="array" ref="F914">IF(B914="","",_xlfn.XLOOKUP(B914,'Form responses 1'!$B$2:$B$2604,'Form responses 1'!$D$2:$D$2604,""))</f>
        <v>+62 895-3802-21877</v>
      </c>
      <c r="G914" s="44" t="str">
        <f t="array" ref="G914">IF(B914="","",_xlfn.XLOOKUP(B914,'Form responses 1'!$B$2:$B$2604,'Form responses 1'!$E$2:$E$2604,""))</f>
        <v>BN Waris</v>
      </c>
      <c r="H914" s="44" t="str">
        <f t="array" ref="H914">IF(B914="","",_xlfn.XLOOKUP(B914,'Form responses 1'!$B$2:$B$2604,'Form responses 1'!$F$2:$F$2604,""))</f>
        <v>M. 9210/ Kedamaian</v>
      </c>
      <c r="I914" s="44" t="str">
        <f t="array" ref="I914">IF(B914="","",_xlfn.XLOOKUP(B914,'Form responses 1'!$B$2:$B$2604,'Form responses 1'!$I$2:$I$2604,""))</f>
        <v>Kedamaian</v>
      </c>
      <c r="J914" s="44" t="str">
        <f t="array" ref="J914">IF(B914="","",_xlfn.XLOOKUP(B914,'Form responses 1'!$B$2:$B$2604,'Form responses 1'!$G$2:$G$2604,""))</f>
        <v>Rapita</v>
      </c>
      <c r="K914" s="41" t="s">
        <v>1233</v>
      </c>
      <c r="L914" s="52">
        <f t="shared" si="7"/>
        <v>45610.51217</v>
      </c>
      <c r="M914" s="47" t="s">
        <v>5704</v>
      </c>
      <c r="N914" s="49"/>
      <c r="O914" s="49"/>
      <c r="P914" s="49"/>
      <c r="Q914" s="49"/>
      <c r="R914" s="49"/>
      <c r="S914" s="49"/>
      <c r="T914" s="49"/>
      <c r="U914" s="49"/>
      <c r="V914" s="49"/>
      <c r="W914" s="41" t="s">
        <v>470</v>
      </c>
      <c r="X914" s="46">
        <f t="shared" si="5"/>
        <v>45610.51238</v>
      </c>
      <c r="Y914" s="50" t="s">
        <v>482</v>
      </c>
      <c r="Z914" s="49">
        <f t="shared" si="6"/>
        <v>1</v>
      </c>
    </row>
    <row r="915" ht="22.5" customHeight="1">
      <c r="B915" s="41" t="s">
        <v>4813</v>
      </c>
      <c r="C915" s="43">
        <f t="array" ref="C915">IF(B915="","",_xlfn.XLOOKUP(B915,'Form responses 1'!$B$2:$B$2604,'Form responses 1'!$A$2:$A$2604,""))</f>
        <v>45610.37897</v>
      </c>
      <c r="D915" s="44" t="str">
        <f t="shared" si="3"/>
        <v>L/1/141124/1_45610.3789654977</v>
      </c>
      <c r="E915" s="44" t="str">
        <f t="array" ref="E915">IF(B915="","",_xlfn.XLOOKUP(B915,'Form responses 1'!$B$2:$B$2604,'Form responses 1'!$C$2:$C$2604,""))</f>
        <v>HARYATI</v>
      </c>
      <c r="F915" s="44" t="str">
        <f t="array" ref="F915">IF(B915="","",_xlfn.XLOOKUP(B915,'Form responses 1'!$B$2:$B$2604,'Form responses 1'!$D$2:$D$2604,""))</f>
        <v>081369038380</v>
      </c>
      <c r="G915" s="44" t="str">
        <f t="array" ref="G915">IF(B915="","",_xlfn.XLOOKUP(B915,'Form responses 1'!$B$2:$B$2604,'Form responses 1'!$E$2:$E$2604,""))</f>
        <v>BN LELANG</v>
      </c>
      <c r="H915" s="44" t="str">
        <f t="array" ref="H915">IF(B915="","",_xlfn.XLOOKUP(B915,'Form responses 1'!$B$2:$B$2604,'Form responses 1'!$F$2:$F$2604,""))</f>
        <v>NIB 9499/SUKARAME BARU</v>
      </c>
      <c r="I915" s="44" t="str">
        <f t="array" ref="I915">IF(B915="","",_xlfn.XLOOKUP(B915,'Form responses 1'!$B$2:$B$2604,'Form responses 1'!$I$2:$I$2604,""))</f>
        <v>SUKARAME BARU</v>
      </c>
      <c r="J915" s="44" t="str">
        <f t="array" ref="J915">IF(B915="","",_xlfn.XLOOKUP(B915,'Form responses 1'!$B$2:$B$2604,'Form responses 1'!$G$2:$G$2604,""))</f>
        <v>Deby</v>
      </c>
      <c r="K915" s="41" t="s">
        <v>1233</v>
      </c>
      <c r="L915" s="52">
        <f t="shared" si="7"/>
        <v>45610.52436</v>
      </c>
      <c r="M915" s="49"/>
      <c r="N915" s="49"/>
      <c r="O915" s="49"/>
      <c r="P915" s="49"/>
      <c r="Q915" s="49"/>
      <c r="R915" s="49"/>
      <c r="S915" s="49"/>
      <c r="T915" s="49"/>
      <c r="U915" s="49"/>
      <c r="V915" s="49"/>
      <c r="W915" s="41" t="s">
        <v>618</v>
      </c>
      <c r="X915" s="46">
        <f t="shared" si="5"/>
        <v>45610.52821</v>
      </c>
      <c r="Y915" s="50" t="s">
        <v>482</v>
      </c>
      <c r="Z915" s="49">
        <f t="shared" si="6"/>
        <v>0</v>
      </c>
    </row>
    <row r="916" ht="22.5" customHeight="1">
      <c r="B916" s="41" t="s">
        <v>4694</v>
      </c>
      <c r="C916" s="43">
        <f t="array" ref="C916">IF(B916="","",_xlfn.XLOOKUP(B916,'Form responses 1'!$B$2:$B$2604,'Form responses 1'!$A$2:$A$2604,""))</f>
        <v>45609.4133</v>
      </c>
      <c r="D916" s="44" t="str">
        <f t="shared" si="3"/>
        <v>K/7/131124/1_45609.4133018866</v>
      </c>
      <c r="E916" s="44" t="str">
        <f t="array" ref="E916">IF(B916="","",_xlfn.XLOOKUP(B916,'Form responses 1'!$B$2:$B$2604,'Form responses 1'!$C$2:$C$2604,""))</f>
        <v>BERNARDO OTTO MARTIANUS/PANARY SITOPU</v>
      </c>
      <c r="F916" s="44" t="str">
        <f t="array" ref="F916">IF(B916="","",_xlfn.XLOOKUP(B916,'Form responses 1'!$B$2:$B$2604,'Form responses 1'!$D$2:$D$2604,""))</f>
        <v>0889-2977-399</v>
      </c>
      <c r="G916" s="44" t="str">
        <f t="array" ref="G916">IF(B916="","",_xlfn.XLOOKUP(B916,'Form responses 1'!$B$2:$B$2604,'Form responses 1'!$E$2:$E$2604,""))</f>
        <v>ROYA</v>
      </c>
      <c r="H916" s="44" t="str">
        <f t="array" ref="H916">IF(B916="","",_xlfn.XLOOKUP(B916,'Form responses 1'!$B$2:$B$2604,'Form responses 1'!$F$2:$F$2604,""))</f>
        <v>M.342/RAJABASA JAYA</v>
      </c>
      <c r="I916" s="44" t="str">
        <f t="array" ref="I916">IF(B916="","",_xlfn.XLOOKUP(B916,'Form responses 1'!$B$2:$B$2604,'Form responses 1'!$I$2:$I$2604,""))</f>
        <v>RAJABASA JAYA</v>
      </c>
      <c r="J916" s="44" t="str">
        <f t="array" ref="J916">IF(B916="","",_xlfn.XLOOKUP(B916,'Form responses 1'!$B$2:$B$2604,'Form responses 1'!$G$2:$G$2604,""))</f>
        <v>Baynur</v>
      </c>
      <c r="K916" s="41" t="s">
        <v>587</v>
      </c>
      <c r="L916" s="52">
        <f t="shared" si="7"/>
        <v>45610.60636</v>
      </c>
      <c r="M916" s="47" t="s">
        <v>5214</v>
      </c>
      <c r="N916" s="49"/>
      <c r="O916" s="49"/>
      <c r="P916" s="49"/>
      <c r="Q916" s="49"/>
      <c r="R916" s="49"/>
      <c r="S916" s="49"/>
      <c r="T916" s="49"/>
      <c r="U916" s="49"/>
      <c r="V916" s="49"/>
      <c r="W916" s="41" t="s">
        <v>618</v>
      </c>
      <c r="X916" s="46">
        <f t="shared" si="5"/>
        <v>45610.60649</v>
      </c>
      <c r="Y916" s="50" t="s">
        <v>482</v>
      </c>
      <c r="Z916" s="49">
        <f t="shared" si="6"/>
        <v>1</v>
      </c>
    </row>
    <row r="917" ht="22.5" customHeight="1">
      <c r="B917" s="41" t="s">
        <v>4728</v>
      </c>
      <c r="C917" s="43">
        <f t="array" ref="C917">IF(B917="","",_xlfn.XLOOKUP(B917,'Form responses 1'!$B$2:$B$2604,'Form responses 1'!$A$2:$A$2604,""))</f>
        <v>45609.48726</v>
      </c>
      <c r="D917" s="44" t="str">
        <f t="shared" si="3"/>
        <v>K/17/131124/1_45609.4872582407</v>
      </c>
      <c r="E917" s="44" t="str">
        <f t="array" ref="E917">IF(B917="","",_xlfn.XLOOKUP(B917,'Form responses 1'!$B$2:$B$2604,'Form responses 1'!$C$2:$C$2604,""))</f>
        <v>YUDENI THOHA / AL FARIZI QQ DR. MOHAMMAD RULLY ARDIANSYAH</v>
      </c>
      <c r="F917" s="44" t="str">
        <f t="array" ref="F917">IF(B917="","",_xlfn.XLOOKUP(B917,'Form responses 1'!$B$2:$B$2604,'Form responses 1'!$D$2:$D$2604,""))</f>
        <v>085664644484</v>
      </c>
      <c r="G917" s="44" t="str">
        <f t="array" ref="G917">IF(B917="","",_xlfn.XLOOKUP(B917,'Form responses 1'!$B$2:$B$2604,'Form responses 1'!$E$2:$E$2604,""))</f>
        <v>BN JUAL BELI</v>
      </c>
      <c r="H917" s="44" t="str">
        <f t="array" ref="H917">IF(B917="","",_xlfn.XLOOKUP(B917,'Form responses 1'!$B$2:$B$2604,'Form responses 1'!$F$2:$F$2604,""))</f>
        <v>M. 468/SUMUR PUTRI</v>
      </c>
      <c r="I917" s="44" t="str">
        <f t="array" ref="I917">IF(B917="","",_xlfn.XLOOKUP(B917,'Form responses 1'!$B$2:$B$2604,'Form responses 1'!$I$2:$I$2604,""))</f>
        <v>SUMUR PUTRI</v>
      </c>
      <c r="J917" s="44" t="str">
        <f t="array" ref="J917">IF(B917="","",_xlfn.XLOOKUP(B917,'Form responses 1'!$B$2:$B$2604,'Form responses 1'!$G$2:$G$2604,""))</f>
        <v>Aisyah</v>
      </c>
      <c r="K917" s="41" t="s">
        <v>587</v>
      </c>
      <c r="L917" s="52">
        <f t="shared" si="7"/>
        <v>45610.60739</v>
      </c>
      <c r="M917" s="47" t="s">
        <v>5705</v>
      </c>
      <c r="N917" s="49"/>
      <c r="O917" s="49"/>
      <c r="P917" s="49"/>
      <c r="Q917" s="49"/>
      <c r="R917" s="49"/>
      <c r="S917" s="49"/>
      <c r="T917" s="49"/>
      <c r="U917" s="49"/>
      <c r="V917" s="49"/>
      <c r="W917" s="41" t="s">
        <v>470</v>
      </c>
      <c r="X917" s="46">
        <f t="shared" si="5"/>
        <v>45610.60777</v>
      </c>
      <c r="Y917" s="50" t="s">
        <v>482</v>
      </c>
      <c r="Z917" s="49">
        <f t="shared" si="6"/>
        <v>1</v>
      </c>
    </row>
    <row r="918" ht="22.5" customHeight="1">
      <c r="B918" s="41" t="s">
        <v>4795</v>
      </c>
      <c r="C918" s="43">
        <f t="array" ref="C918">IF(B918="","",_xlfn.XLOOKUP(B918,'Form responses 1'!$B$2:$B$2604,'Form responses 1'!$A$2:$A$2604,""))</f>
        <v>45609.61122</v>
      </c>
      <c r="D918" s="44" t="str">
        <f t="shared" si="3"/>
        <v>K/34/131124/1_45609.6112204977</v>
      </c>
      <c r="E918" s="44" t="str">
        <f t="array" ref="E918">IF(B918="","",_xlfn.XLOOKUP(B918,'Form responses 1'!$B$2:$B$2604,'Form responses 1'!$C$2:$C$2604,""))</f>
        <v>RENDY RENALDY/ AGUS</v>
      </c>
      <c r="F918" s="44" t="str">
        <f t="array" ref="F918">IF(B918="","",_xlfn.XLOOKUP(B918,'Form responses 1'!$B$2:$B$2604,'Form responses 1'!$D$2:$D$2604,""))</f>
        <v>089508956656</v>
      </c>
      <c r="G918" s="44" t="str">
        <f t="array" ref="G918">IF(B918="","",_xlfn.XLOOKUP(B918,'Form responses 1'!$B$2:$B$2604,'Form responses 1'!$E$2:$E$2604,""))</f>
        <v>BN JUAL BELI</v>
      </c>
      <c r="H918" s="44" t="str">
        <f t="array" ref="H918">IF(B918="","",_xlfn.XLOOKUP(B918,'Form responses 1'!$B$2:$B$2604,'Form responses 1'!$F$2:$F$2604,""))</f>
        <v>M. 4728/ Langkapura</v>
      </c>
      <c r="I918" s="44" t="str">
        <f t="array" ref="I918">IF(B918="","",_xlfn.XLOOKUP(B918,'Form responses 1'!$B$2:$B$2604,'Form responses 1'!$I$2:$I$2604,""))</f>
        <v> Langkapura</v>
      </c>
      <c r="J918" s="44" t="str">
        <f t="array" ref="J918">IF(B918="","",_xlfn.XLOOKUP(B918,'Form responses 1'!$B$2:$B$2604,'Form responses 1'!$G$2:$G$2604,""))</f>
        <v>Hananda</v>
      </c>
      <c r="K918" s="41" t="s">
        <v>587</v>
      </c>
      <c r="L918" s="52">
        <f t="shared" si="7"/>
        <v>45610.60799</v>
      </c>
      <c r="M918" s="47" t="s">
        <v>5706</v>
      </c>
      <c r="N918" s="49"/>
      <c r="O918" s="49"/>
      <c r="P918" s="49"/>
      <c r="Q918" s="49"/>
      <c r="R918" s="49"/>
      <c r="S918" s="49"/>
      <c r="T918" s="49"/>
      <c r="U918" s="49"/>
      <c r="V918" s="49"/>
      <c r="W918" s="41" t="s">
        <v>470</v>
      </c>
      <c r="X918" s="46">
        <f t="shared" si="5"/>
        <v>45610.60876</v>
      </c>
      <c r="Y918" s="50" t="s">
        <v>482</v>
      </c>
      <c r="Z918" s="49">
        <f t="shared" si="6"/>
        <v>1</v>
      </c>
    </row>
    <row r="919" ht="22.5" customHeight="1">
      <c r="B919" s="41" t="s">
        <v>4804</v>
      </c>
      <c r="C919" s="43">
        <f t="array" ref="C919">IF(B919="","",_xlfn.XLOOKUP(B919,'Form responses 1'!$B$2:$B$2604,'Form responses 1'!$A$2:$A$2604,""))</f>
        <v>45609.61579</v>
      </c>
      <c r="D919" s="44" t="str">
        <f t="shared" si="3"/>
        <v>L/33/131124/2_45609.6157859606</v>
      </c>
      <c r="E919" s="44" t="str">
        <f t="array" ref="E919">IF(B919="","",_xlfn.XLOOKUP(B919,'Form responses 1'!$B$2:$B$2604,'Form responses 1'!$C$2:$C$2604,""))</f>
        <v>HADI WAHYUDI</v>
      </c>
      <c r="F919" s="44" t="str">
        <f t="array" ref="F919">IF(B919="","",_xlfn.XLOOKUP(B919,'Form responses 1'!$B$2:$B$2604,'Form responses 1'!$D$2:$D$2604,""))</f>
        <v>08122112508</v>
      </c>
      <c r="G919" s="44" t="str">
        <f t="array" ref="G919">IF(B919="","",_xlfn.XLOOKUP(B919,'Form responses 1'!$B$2:$B$2604,'Form responses 1'!$E$2:$E$2604,""))</f>
        <v>BLOKIR</v>
      </c>
      <c r="H919" s="44" t="str">
        <f t="array" ref="H919">IF(B919="","",_xlfn.XLOOKUP(B919,'Form responses 1'!$B$2:$B$2604,'Form responses 1'!$F$2:$F$2604,""))</f>
        <v>HM 381/SUKARAJA</v>
      </c>
      <c r="I919" s="44" t="str">
        <f t="array" ref="I919">IF(B919="","",_xlfn.XLOOKUP(B919,'Form responses 1'!$B$2:$B$2604,'Form responses 1'!$I$2:$I$2604,""))</f>
        <v>SUKARAJA</v>
      </c>
      <c r="J919" s="44" t="str">
        <f t="array" ref="J919">IF(B919="","",_xlfn.XLOOKUP(B919,'Form responses 1'!$B$2:$B$2604,'Form responses 1'!$G$2:$G$2604,""))</f>
        <v>Deby</v>
      </c>
      <c r="K919" s="41" t="s">
        <v>1233</v>
      </c>
      <c r="L919" s="52">
        <f t="shared" si="7"/>
        <v>45611.38527</v>
      </c>
      <c r="M919" s="49"/>
      <c r="N919" s="49"/>
      <c r="O919" s="49"/>
      <c r="P919" s="49"/>
      <c r="Q919" s="49"/>
      <c r="R919" s="49"/>
      <c r="S919" s="49"/>
      <c r="T919" s="49"/>
      <c r="U919" s="49"/>
      <c r="V919" s="49"/>
      <c r="W919" s="41" t="s">
        <v>618</v>
      </c>
      <c r="X919" s="46">
        <f t="shared" si="5"/>
        <v>45611.38535</v>
      </c>
      <c r="Y919" s="50" t="s">
        <v>482</v>
      </c>
      <c r="Z919" s="49">
        <f t="shared" si="6"/>
        <v>0</v>
      </c>
    </row>
    <row r="920" ht="22.5" customHeight="1">
      <c r="B920" s="41" t="s">
        <v>4984</v>
      </c>
      <c r="C920" s="43">
        <f t="array" ref="C920">IF(B920="","",_xlfn.XLOOKUP(B920,'Form responses 1'!$B$2:$B$2604,'Form responses 1'!$A$2:$A$2604,""))</f>
        <v>45611.39483</v>
      </c>
      <c r="D920" s="44" t="str">
        <f t="shared" si="3"/>
        <v>L/5/151124/1_45611.394831713</v>
      </c>
      <c r="E920" s="44" t="str">
        <f t="array" ref="E920">IF(B920="","",_xlfn.XLOOKUP(B920,'Form responses 1'!$B$2:$B$2604,'Form responses 1'!$C$2:$C$2604,""))</f>
        <v>HENNY KARTIKA</v>
      </c>
      <c r="F920" s="44" t="str">
        <f t="array" ref="F920">IF(B920="","",_xlfn.XLOOKUP(B920,'Form responses 1'!$B$2:$B$2604,'Form responses 1'!$D$2:$D$2604,""))</f>
        <v>082281515000</v>
      </c>
      <c r="G920" s="44" t="str">
        <f t="array" ref="G920">IF(B920="","",_xlfn.XLOOKUP(B920,'Form responses 1'!$B$2:$B$2604,'Form responses 1'!$E$2:$E$2604,""))</f>
        <v>PTPGT</v>
      </c>
      <c r="H920" s="44" t="str">
        <f t="array" ref="H920">IF(B920="","",_xlfn.XLOOKUP(B920,'Form responses 1'!$B$2:$B$2604,'Form responses 1'!$F$2:$F$2604,""))</f>
        <v>3960/KEMILING PERMAI</v>
      </c>
      <c r="I920" s="44" t="str">
        <f t="array" ref="I920">IF(B920="","",_xlfn.XLOOKUP(B920,'Form responses 1'!$B$2:$B$2604,'Form responses 1'!$I$2:$I$2604,""))</f>
        <v>KEMILING PERMAI</v>
      </c>
      <c r="J920" s="44" t="str">
        <f t="array" ref="J920">IF(B920="","",_xlfn.XLOOKUP(B920,'Form responses 1'!$B$2:$B$2604,'Form responses 1'!$G$2:$G$2604,""))</f>
        <v>Deby</v>
      </c>
      <c r="K920" s="41" t="s">
        <v>2421</v>
      </c>
      <c r="L920" s="52">
        <f t="shared" si="7"/>
        <v>45611.41863</v>
      </c>
      <c r="M920" s="49"/>
      <c r="N920" s="49"/>
      <c r="O920" s="49"/>
      <c r="P920" s="49"/>
      <c r="Q920" s="49"/>
      <c r="R920" s="49"/>
      <c r="S920" s="49"/>
      <c r="T920" s="49"/>
      <c r="U920" s="49"/>
      <c r="V920" s="49"/>
      <c r="W920" s="41" t="s">
        <v>618</v>
      </c>
      <c r="X920" s="46">
        <f t="shared" si="5"/>
        <v>45611.41866</v>
      </c>
      <c r="Y920" s="50" t="s">
        <v>482</v>
      </c>
      <c r="Z920" s="49">
        <f t="shared" si="6"/>
        <v>0</v>
      </c>
    </row>
    <row r="921" ht="22.5" customHeight="1">
      <c r="B921" s="41" t="s">
        <v>4918</v>
      </c>
      <c r="C921" s="43">
        <f t="array" ref="C921">IF(B921="","",_xlfn.XLOOKUP(B921,'Form responses 1'!$B$2:$B$2604,'Form responses 1'!$A$2:$A$2604,""))</f>
        <v>45610.59779</v>
      </c>
      <c r="D921" s="44" t="str">
        <f t="shared" si="3"/>
        <v>K/36/141124/1_45610.5977857407</v>
      </c>
      <c r="E921" s="44" t="str">
        <f t="array" ref="E921">IF(B921="","",_xlfn.XLOOKUP(B921,'Form responses 1'!$B$2:$B$2604,'Form responses 1'!$C$2:$C$2604,""))</f>
        <v>Dito Saputra</v>
      </c>
      <c r="F921" s="44" t="str">
        <f t="array" ref="F921">IF(B921="","",_xlfn.XLOOKUP(B921,'Form responses 1'!$B$2:$B$2604,'Form responses 1'!$D$2:$D$2604,""))</f>
        <v>081369350683</v>
      </c>
      <c r="G921" s="44" t="str">
        <f t="array" ref="G921">IF(B921="","",_xlfn.XLOOKUP(B921,'Form responses 1'!$B$2:$B$2604,'Form responses 1'!$E$2:$E$2604,""))</f>
        <v>SKPT Lelang</v>
      </c>
      <c r="H921" s="44" t="str">
        <f t="array" ref="H921">IF(B921="","",_xlfn.XLOOKUP(B921,'Form responses 1'!$B$2:$B$2604,'Form responses 1'!$F$2:$F$2604,""))</f>
        <v>B. 387/ Telukbetung</v>
      </c>
      <c r="I921" s="44" t="str">
        <f t="array" ref="I921">IF(B921="","",_xlfn.XLOOKUP(B921,'Form responses 1'!$B$2:$B$2604,'Form responses 1'!$I$2:$I$2604,""))</f>
        <v> Telukbetung</v>
      </c>
      <c r="J921" s="44" t="str">
        <f t="array" ref="J921">IF(B921="","",_xlfn.XLOOKUP(B921,'Form responses 1'!$B$2:$B$2604,'Form responses 1'!$G$2:$G$2604,""))</f>
        <v>Hananda</v>
      </c>
      <c r="K921" s="41" t="s">
        <v>422</v>
      </c>
      <c r="L921" s="52">
        <f t="shared" si="7"/>
        <v>45611.44366</v>
      </c>
      <c r="M921" s="49"/>
      <c r="N921" s="49"/>
      <c r="O921" s="49"/>
      <c r="P921" s="49"/>
      <c r="Q921" s="49"/>
      <c r="R921" s="49"/>
      <c r="S921" s="49"/>
      <c r="T921" s="49"/>
      <c r="U921" s="49"/>
      <c r="V921" s="49"/>
      <c r="W921" s="41" t="s">
        <v>618</v>
      </c>
      <c r="X921" s="46">
        <f t="shared" si="5"/>
        <v>45611.44627</v>
      </c>
      <c r="Y921" s="50" t="s">
        <v>482</v>
      </c>
      <c r="Z921" s="49">
        <f t="shared" si="6"/>
        <v>0</v>
      </c>
    </row>
    <row r="922" ht="22.5" customHeight="1">
      <c r="B922" s="41" t="s">
        <v>4868</v>
      </c>
      <c r="C922" s="43">
        <f t="array" ref="C922">IF(B922="","",_xlfn.XLOOKUP(B922,'Form responses 1'!$B$2:$B$2604,'Form responses 1'!$A$2:$A$2604,""))</f>
        <v>45610.4799</v>
      </c>
      <c r="D922" s="44" t="str">
        <f t="shared" si="3"/>
        <v>K/20/141124/3_45610.4799018866</v>
      </c>
      <c r="E922" s="44" t="str">
        <f t="array" ref="E922">IF(B922="","",_xlfn.XLOOKUP(B922,'Form responses 1'!$B$2:$B$2604,'Form responses 1'!$C$2:$C$2604,""))</f>
        <v>SAIDA FITRI YANA / FARIDA</v>
      </c>
      <c r="F922" s="44" t="str">
        <f t="array" ref="F922">IF(B922="","",_xlfn.XLOOKUP(B922,'Form responses 1'!$B$2:$B$2604,'Form responses 1'!$D$2:$D$2604,""))</f>
        <v>+62 812-7954-4555</v>
      </c>
      <c r="G922" s="44" t="str">
        <f t="array" ref="G922">IF(B922="","",_xlfn.XLOOKUP(B922,'Form responses 1'!$B$2:$B$2604,'Form responses 1'!$E$2:$E$2604,""))</f>
        <v>PERUBAHAN HAK</v>
      </c>
      <c r="H922" s="44" t="str">
        <f t="array" ref="H922">IF(B922="","",_xlfn.XLOOKUP(B922,'Form responses 1'!$B$2:$B$2604,'Form responses 1'!$F$2:$F$2604,""))</f>
        <v>NIBEL B. 2343/BERINGIN JAYA</v>
      </c>
      <c r="I922" s="44" t="str">
        <f t="array" ref="I922">IF(B922="","",_xlfn.XLOOKUP(B922,'Form responses 1'!$B$2:$B$2604,'Form responses 1'!$I$2:$I$2604,""))</f>
        <v>BERINGIN JAYA</v>
      </c>
      <c r="J922" s="44" t="str">
        <f t="array" ref="J922">IF(B922="","",_xlfn.XLOOKUP(B922,'Form responses 1'!$B$2:$B$2604,'Form responses 1'!$G$2:$G$2604,""))</f>
        <v>Aisyah</v>
      </c>
      <c r="K922" s="41" t="s">
        <v>422</v>
      </c>
      <c r="L922" s="52">
        <f t="shared" si="7"/>
        <v>45611.44368</v>
      </c>
      <c r="M922" s="49"/>
      <c r="N922" s="49"/>
      <c r="O922" s="49"/>
      <c r="P922" s="49"/>
      <c r="Q922" s="49"/>
      <c r="R922" s="49"/>
      <c r="S922" s="49"/>
      <c r="T922" s="49"/>
      <c r="U922" s="49"/>
      <c r="V922" s="49"/>
      <c r="W922" s="41" t="s">
        <v>618</v>
      </c>
      <c r="X922" s="46">
        <f t="shared" si="5"/>
        <v>45611.45052</v>
      </c>
      <c r="Y922" s="50" t="s">
        <v>482</v>
      </c>
      <c r="Z922" s="49">
        <f t="shared" si="6"/>
        <v>0</v>
      </c>
    </row>
    <row r="923" ht="22.5" customHeight="1">
      <c r="B923" s="41" t="s">
        <v>4915</v>
      </c>
      <c r="C923" s="43">
        <f t="array" ref="C923">IF(B923="","",_xlfn.XLOOKUP(B923,'Form responses 1'!$B$2:$B$2604,'Form responses 1'!$A$2:$A$2604,""))</f>
        <v>45610.59586</v>
      </c>
      <c r="D923" s="44" t="str">
        <f t="shared" si="3"/>
        <v>K/33/141124/2_45610.5958560301</v>
      </c>
      <c r="E923" s="44" t="str">
        <f t="array" ref="E923">IF(B923="","",_xlfn.XLOOKUP(B923,'Form responses 1'!$B$2:$B$2604,'Form responses 1'!$C$2:$C$2604,""))</f>
        <v>INTAN KUSUMA DEWI/ENDANG APRILIA</v>
      </c>
      <c r="F923" s="44" t="str">
        <f t="array" ref="F923">IF(B923="","",_xlfn.XLOOKUP(B923,'Form responses 1'!$B$2:$B$2604,'Form responses 1'!$D$2:$D$2604,""))</f>
        <v>0822-8923-5722</v>
      </c>
      <c r="G923" s="44" t="str">
        <f t="array" ref="G923">IF(B923="","",_xlfn.XLOOKUP(B923,'Form responses 1'!$B$2:$B$2604,'Form responses 1'!$E$2:$E$2604,""))</f>
        <v>PENINGKATAN HAK</v>
      </c>
      <c r="H923" s="44" t="str">
        <f t="array" ref="H923">IF(B923="","",_xlfn.XLOOKUP(B923,'Form responses 1'!$B$2:$B$2604,'Form responses 1'!$F$2:$F$2604,""))</f>
        <v>NIBEL B.2993/KEMILING PERMAI</v>
      </c>
      <c r="I923" s="44" t="str">
        <f t="array" ref="I923">IF(B923="","",_xlfn.XLOOKUP(B923,'Form responses 1'!$B$2:$B$2604,'Form responses 1'!$I$2:$I$2604,""))</f>
        <v>KEMILING PERMAI</v>
      </c>
      <c r="J923" s="44" t="str">
        <f t="array" ref="J923">IF(B923="","",_xlfn.XLOOKUP(B923,'Form responses 1'!$B$2:$B$2604,'Form responses 1'!$G$2:$G$2604,""))</f>
        <v>Baynur</v>
      </c>
      <c r="K923" s="41" t="s">
        <v>422</v>
      </c>
      <c r="L923" s="52">
        <f t="shared" si="7"/>
        <v>45611.44369</v>
      </c>
      <c r="M923" s="49"/>
      <c r="N923" s="49"/>
      <c r="O923" s="49"/>
      <c r="P923" s="49"/>
      <c r="Q923" s="49"/>
      <c r="R923" s="49"/>
      <c r="S923" s="49"/>
      <c r="T923" s="49"/>
      <c r="U923" s="49"/>
      <c r="V923" s="49"/>
      <c r="W923" s="41" t="s">
        <v>618</v>
      </c>
      <c r="X923" s="46">
        <f t="shared" si="5"/>
        <v>45611.45548</v>
      </c>
      <c r="Y923" s="50" t="s">
        <v>482</v>
      </c>
      <c r="Z923" s="49">
        <f t="shared" si="6"/>
        <v>0</v>
      </c>
    </row>
    <row r="924" ht="22.5" customHeight="1">
      <c r="B924" s="41" t="s">
        <v>4851</v>
      </c>
      <c r="C924" s="43">
        <f t="array" ref="C924">IF(B924="","",_xlfn.XLOOKUP(B924,'Form responses 1'!$B$2:$B$2604,'Form responses 1'!$A$2:$A$2604,""))</f>
        <v>45610.45834</v>
      </c>
      <c r="D924" s="44" t="str">
        <f t="shared" si="3"/>
        <v>K/13/141124/1_45610.4583446991</v>
      </c>
      <c r="E924" s="44" t="str">
        <f t="array" ref="E924">IF(B924="","",_xlfn.XLOOKUP(B924,'Form responses 1'!$B$2:$B$2604,'Form responses 1'!$C$2:$C$2604,""))</f>
        <v>RAHMADIYANTI</v>
      </c>
      <c r="F924" s="44" t="str">
        <f t="array" ref="F924">IF(B924="","",_xlfn.XLOOKUP(B924,'Form responses 1'!$B$2:$B$2604,'Form responses 1'!$D$2:$D$2604,""))</f>
        <v>+62 821-8209-0051</v>
      </c>
      <c r="G924" s="44" t="str">
        <f t="array" ref="G924">IF(B924="","",_xlfn.XLOOKUP(B924,'Form responses 1'!$B$2:$B$2604,'Form responses 1'!$E$2:$E$2604,""))</f>
        <v>PERUBAHAN HAK</v>
      </c>
      <c r="H924" s="44" t="str">
        <f t="array" ref="H924">IF(B924="","",_xlfn.XLOOKUP(B924,'Form responses 1'!$B$2:$B$2604,'Form responses 1'!$F$2:$F$2604,""))</f>
        <v>Nibel 2718/ Perumnas Way Kandis</v>
      </c>
      <c r="I924" s="44" t="str">
        <f t="array" ref="I924">IF(B924="","",_xlfn.XLOOKUP(B924,'Form responses 1'!$B$2:$B$2604,'Form responses 1'!$I$2:$I$2604,""))</f>
        <v>Perumnas Way Kandis</v>
      </c>
      <c r="J924" s="44" t="str">
        <f t="array" ref="J924">IF(B924="","",_xlfn.XLOOKUP(B924,'Form responses 1'!$B$2:$B$2604,'Form responses 1'!$G$2:$G$2604,""))</f>
        <v>Hananda</v>
      </c>
      <c r="K924" s="41" t="s">
        <v>422</v>
      </c>
      <c r="L924" s="52">
        <f t="shared" si="7"/>
        <v>45611.4437</v>
      </c>
      <c r="M924" s="47" t="s">
        <v>5707</v>
      </c>
      <c r="N924" s="47" t="s">
        <v>5708</v>
      </c>
      <c r="O924" s="47" t="s">
        <v>5709</v>
      </c>
      <c r="P924" s="49"/>
      <c r="Q924" s="49"/>
      <c r="R924" s="49"/>
      <c r="S924" s="49"/>
      <c r="T924" s="49"/>
      <c r="U924" s="49"/>
      <c r="V924" s="49"/>
      <c r="W924" s="41" t="s">
        <v>470</v>
      </c>
      <c r="X924" s="46">
        <f t="shared" si="5"/>
        <v>45611.46436</v>
      </c>
      <c r="Y924" s="50" t="s">
        <v>482</v>
      </c>
      <c r="Z924" s="49">
        <f t="shared" si="6"/>
        <v>3</v>
      </c>
    </row>
    <row r="925" ht="22.5" customHeight="1">
      <c r="B925" s="41" t="s">
        <v>4853</v>
      </c>
      <c r="C925" s="43">
        <f t="array" ref="C925">IF(B925="","",_xlfn.XLOOKUP(B925,'Form responses 1'!$B$2:$B$2604,'Form responses 1'!$A$2:$A$2604,""))</f>
        <v>45610.45948</v>
      </c>
      <c r="D925" s="44" t="str">
        <f t="shared" si="3"/>
        <v>K/14/141124/2_45610.4594836227</v>
      </c>
      <c r="E925" s="44" t="str">
        <f t="array" ref="E925">IF(B925="","",_xlfn.XLOOKUP(B925,'Form responses 1'!$B$2:$B$2604,'Form responses 1'!$C$2:$C$2604,""))</f>
        <v>RAHMADIYANTI</v>
      </c>
      <c r="F925" s="44" t="str">
        <f t="array" ref="F925">IF(B925="","",_xlfn.XLOOKUP(B925,'Form responses 1'!$B$2:$B$2604,'Form responses 1'!$D$2:$D$2604,""))</f>
        <v>+62 821-8209-0051</v>
      </c>
      <c r="G925" s="44" t="str">
        <f t="array" ref="G925">IF(B925="","",_xlfn.XLOOKUP(B925,'Form responses 1'!$B$2:$B$2604,'Form responses 1'!$E$2:$E$2604,""))</f>
        <v>PERUBAHAN HAK</v>
      </c>
      <c r="H925" s="44" t="str">
        <f t="array" ref="H925">IF(B925="","",_xlfn.XLOOKUP(B925,'Form responses 1'!$B$2:$B$2604,'Form responses 1'!$F$2:$F$2604,""))</f>
        <v>Nibel 2441/ Perumnas Way Kandis</v>
      </c>
      <c r="I925" s="44" t="str">
        <f t="array" ref="I925">IF(B925="","",_xlfn.XLOOKUP(B925,'Form responses 1'!$B$2:$B$2604,'Form responses 1'!$I$2:$I$2604,""))</f>
        <v>Perumnas Way Kandis</v>
      </c>
      <c r="J925" s="44" t="str">
        <f t="array" ref="J925">IF(B925="","",_xlfn.XLOOKUP(B925,'Form responses 1'!$B$2:$B$2604,'Form responses 1'!$G$2:$G$2604,""))</f>
        <v>Hananda</v>
      </c>
      <c r="K925" s="41" t="s">
        <v>422</v>
      </c>
      <c r="L925" s="52">
        <f t="shared" si="7"/>
        <v>45611.44372</v>
      </c>
      <c r="M925" s="47" t="s">
        <v>5707</v>
      </c>
      <c r="N925" s="47" t="s">
        <v>5708</v>
      </c>
      <c r="O925" s="49"/>
      <c r="P925" s="49"/>
      <c r="Q925" s="49"/>
      <c r="R925" s="49"/>
      <c r="S925" s="49"/>
      <c r="T925" s="49"/>
      <c r="U925" s="49"/>
      <c r="V925" s="49"/>
      <c r="W925" s="41" t="s">
        <v>470</v>
      </c>
      <c r="X925" s="46">
        <f t="shared" si="5"/>
        <v>45611.46727</v>
      </c>
      <c r="Y925" s="50" t="s">
        <v>482</v>
      </c>
      <c r="Z925" s="49">
        <f t="shared" si="6"/>
        <v>2</v>
      </c>
    </row>
    <row r="926" ht="22.5" customHeight="1">
      <c r="B926" s="41" t="s">
        <v>4857</v>
      </c>
      <c r="C926" s="43">
        <f t="array" ref="C926">IF(B926="","",_xlfn.XLOOKUP(B926,'Form responses 1'!$B$2:$B$2604,'Form responses 1'!$A$2:$A$2604,""))</f>
        <v>45610.47631</v>
      </c>
      <c r="D926" s="44" t="str">
        <f t="shared" si="3"/>
        <v>L/17/141124/1_45610.4763136111</v>
      </c>
      <c r="E926" s="44" t="str">
        <f t="array" ref="E926">IF(B926="","",_xlfn.XLOOKUP(B926,'Form responses 1'!$B$2:$B$2604,'Form responses 1'!$C$2:$C$2604,""))</f>
        <v>RIO TRIVALDI</v>
      </c>
      <c r="F926" s="44" t="str">
        <f t="array" ref="F926">IF(B926="","",_xlfn.XLOOKUP(B926,'Form responses 1'!$B$2:$B$2604,'Form responses 1'!$D$2:$D$2604,""))</f>
        <v>081322040755</v>
      </c>
      <c r="G926" s="44" t="str">
        <f t="array" ref="G926">IF(B926="","",_xlfn.XLOOKUP(B926,'Form responses 1'!$B$2:$B$2604,'Form responses 1'!$E$2:$E$2604,""))</f>
        <v>ROYA</v>
      </c>
      <c r="H926" s="44" t="str">
        <f t="array" ref="H926">IF(B926="","",_xlfn.XLOOKUP(B926,'Form responses 1'!$B$2:$B$2604,'Form responses 1'!$F$2:$F$2604,""))</f>
        <v>HM 13818/SUKABUMI</v>
      </c>
      <c r="I926" s="44" t="str">
        <f t="array" ref="I926">IF(B926="","",_xlfn.XLOOKUP(B926,'Form responses 1'!$B$2:$B$2604,'Form responses 1'!$I$2:$I$2604,""))</f>
        <v>SUKABUMI</v>
      </c>
      <c r="J926" s="44" t="str">
        <f t="array" ref="J926">IF(B926="","",_xlfn.XLOOKUP(B926,'Form responses 1'!$B$2:$B$2604,'Form responses 1'!$G$2:$G$2604,""))</f>
        <v>Deby</v>
      </c>
      <c r="K926" s="41" t="s">
        <v>422</v>
      </c>
      <c r="L926" s="52">
        <f t="shared" si="7"/>
        <v>45611.44373</v>
      </c>
      <c r="M926" s="47" t="s">
        <v>5710</v>
      </c>
      <c r="N926" s="49"/>
      <c r="O926" s="49"/>
      <c r="P926" s="49"/>
      <c r="Q926" s="49"/>
      <c r="R926" s="49"/>
      <c r="S926" s="49"/>
      <c r="T926" s="49"/>
      <c r="U926" s="49"/>
      <c r="V926" s="49"/>
      <c r="W926" s="41" t="s">
        <v>470</v>
      </c>
      <c r="X926" s="46">
        <f t="shared" si="5"/>
        <v>45611.47054</v>
      </c>
      <c r="Y926" s="50" t="s">
        <v>482</v>
      </c>
      <c r="Z926" s="49">
        <f t="shared" si="6"/>
        <v>1</v>
      </c>
    </row>
    <row r="927" ht="22.5" customHeight="1">
      <c r="B927" s="41" t="s">
        <v>4885</v>
      </c>
      <c r="C927" s="43">
        <f t="array" ref="C927">IF(B927="","",_xlfn.XLOOKUP(B927,'Form responses 1'!$B$2:$B$2604,'Form responses 1'!$A$2:$A$2604,""))</f>
        <v>45610.57478</v>
      </c>
      <c r="D927" s="44" t="str">
        <f t="shared" si="3"/>
        <v>K/25/141124/1_45610.5747783681</v>
      </c>
      <c r="E927" s="44" t="str">
        <f t="array" ref="E927">IF(B927="","",_xlfn.XLOOKUP(B927,'Form responses 1'!$B$2:$B$2604,'Form responses 1'!$C$2:$C$2604,""))</f>
        <v>DEWI SUKMASARI / FATHUR ROHMI</v>
      </c>
      <c r="F927" s="44" t="str">
        <f t="array" ref="F927">IF(B927="","",_xlfn.XLOOKUP(B927,'Form responses 1'!$B$2:$B$2604,'Form responses 1'!$D$2:$D$2604,""))</f>
        <v>+62 821-8694-9749</v>
      </c>
      <c r="G927" s="44" t="str">
        <f t="array" ref="G927">IF(B927="","",_xlfn.XLOOKUP(B927,'Form responses 1'!$B$2:$B$2604,'Form responses 1'!$E$2:$E$2604,""))</f>
        <v>BN JUAL BELI</v>
      </c>
      <c r="H927" s="44" t="str">
        <f t="array" ref="H927">IF(B927="","",_xlfn.XLOOKUP(B927,'Form responses 1'!$B$2:$B$2604,'Form responses 1'!$F$2:$F$2604,""))</f>
        <v>M. 6036/WAY KANDIS</v>
      </c>
      <c r="I927" s="44" t="str">
        <f t="array" ref="I927">IF(B927="","",_xlfn.XLOOKUP(B927,'Form responses 1'!$B$2:$B$2604,'Form responses 1'!$I$2:$I$2604,""))</f>
        <v>WAY KANDIS</v>
      </c>
      <c r="J927" s="44" t="str">
        <f t="array" ref="J927">IF(B927="","",_xlfn.XLOOKUP(B927,'Form responses 1'!$B$2:$B$2604,'Form responses 1'!$G$2:$G$2604,""))</f>
        <v>Aisyah</v>
      </c>
      <c r="K927" s="41" t="s">
        <v>422</v>
      </c>
      <c r="L927" s="52">
        <f t="shared" si="7"/>
        <v>45611.44375</v>
      </c>
      <c r="M927" s="49"/>
      <c r="N927" s="49"/>
      <c r="O927" s="49"/>
      <c r="P927" s="49"/>
      <c r="Q927" s="49"/>
      <c r="R927" s="49"/>
      <c r="S927" s="49"/>
      <c r="T927" s="49"/>
      <c r="U927" s="49"/>
      <c r="V927" s="49"/>
      <c r="W927" s="41" t="s">
        <v>618</v>
      </c>
      <c r="X927" s="46">
        <f t="shared" si="5"/>
        <v>45611.48032</v>
      </c>
      <c r="Y927" s="50" t="s">
        <v>482</v>
      </c>
      <c r="Z927" s="49">
        <f t="shared" si="6"/>
        <v>0</v>
      </c>
    </row>
    <row r="928" ht="22.5" customHeight="1">
      <c r="B928" s="41" t="s">
        <v>4840</v>
      </c>
      <c r="C928" s="43">
        <f t="array" ref="C928">IF(B928="","",_xlfn.XLOOKUP(B928,'Form responses 1'!$B$2:$B$2604,'Form responses 1'!$A$2:$A$2604,""))</f>
        <v>45610.41361</v>
      </c>
      <c r="D928" s="44" t="str">
        <f t="shared" si="3"/>
        <v>K/9/141124/1_45610.4136058102</v>
      </c>
      <c r="E928" s="44" t="str">
        <f t="array" ref="E928">IF(B928="","",_xlfn.XLOOKUP(B928,'Form responses 1'!$B$2:$B$2604,'Form responses 1'!$C$2:$C$2604,""))</f>
        <v>EVI UDIN</v>
      </c>
      <c r="F928" s="44" t="str">
        <f t="array" ref="F928">IF(B928="","",_xlfn.XLOOKUP(B928,'Form responses 1'!$B$2:$B$2604,'Form responses 1'!$D$2:$D$2604,""))</f>
        <v>+62 821-8499-9559</v>
      </c>
      <c r="G928" s="44" t="str">
        <f t="array" ref="G928">IF(B928="","",_xlfn.XLOOKUP(B928,'Form responses 1'!$B$2:$B$2604,'Form responses 1'!$E$2:$E$2604,""))</f>
        <v>BN JUAL BELI</v>
      </c>
      <c r="H928" s="44" t="str">
        <f t="array" ref="H928">IF(B928="","",_xlfn.XLOOKUP(B928,'Form responses 1'!$B$2:$B$2604,'Form responses 1'!$F$2:$F$2604,""))</f>
        <v>M. 740/ Perwata</v>
      </c>
      <c r="I928" s="44" t="str">
        <f t="array" ref="I928">IF(B928="","",_xlfn.XLOOKUP(B928,'Form responses 1'!$B$2:$B$2604,'Form responses 1'!$I$2:$I$2604,""))</f>
        <v>erwata</v>
      </c>
      <c r="J928" s="44" t="str">
        <f t="array" ref="J928">IF(B928="","",_xlfn.XLOOKUP(B928,'Form responses 1'!$B$2:$B$2604,'Form responses 1'!$G$2:$G$2604,""))</f>
        <v>Hananda</v>
      </c>
      <c r="K928" s="41" t="s">
        <v>422</v>
      </c>
      <c r="L928" s="52">
        <f t="shared" si="7"/>
        <v>45611.44378</v>
      </c>
      <c r="M928" s="47" t="s">
        <v>5711</v>
      </c>
      <c r="N928" s="49"/>
      <c r="O928" s="49"/>
      <c r="P928" s="49"/>
      <c r="Q928" s="49"/>
      <c r="R928" s="49"/>
      <c r="S928" s="49"/>
      <c r="T928" s="49"/>
      <c r="U928" s="49"/>
      <c r="V928" s="49"/>
      <c r="W928" s="41" t="s">
        <v>470</v>
      </c>
      <c r="X928" s="46">
        <f t="shared" si="5"/>
        <v>45611.49038</v>
      </c>
      <c r="Y928" s="50" t="s">
        <v>482</v>
      </c>
      <c r="Z928" s="49">
        <f t="shared" si="6"/>
        <v>1</v>
      </c>
    </row>
    <row r="929" ht="22.5" customHeight="1">
      <c r="B929" s="41" t="s">
        <v>4873</v>
      </c>
      <c r="C929" s="43">
        <f t="array" ref="C929">IF(B929="","",_xlfn.XLOOKUP(B929,'Form responses 1'!$B$2:$B$2604,'Form responses 1'!$A$2:$A$2604,""))</f>
        <v>45610.49203</v>
      </c>
      <c r="D929" s="44" t="str">
        <f t="shared" si="3"/>
        <v>K/21/141124/1_45610.4920343982</v>
      </c>
      <c r="E929" s="44" t="str">
        <f t="array" ref="E929">IF(B929="","",_xlfn.XLOOKUP(B929,'Form responses 1'!$B$2:$B$2604,'Form responses 1'!$C$2:$C$2604,""))</f>
        <v>PANARY SITOPU</v>
      </c>
      <c r="F929" s="44" t="str">
        <f t="array" ref="F929">IF(B929="","",_xlfn.XLOOKUP(B929,'Form responses 1'!$B$2:$B$2604,'Form responses 1'!$D$2:$D$2604,""))</f>
        <v>081361444098</v>
      </c>
      <c r="G929" s="44" t="str">
        <f t="array" ref="G929">IF(B929="","",_xlfn.XLOOKUP(B929,'Form responses 1'!$B$2:$B$2604,'Form responses 1'!$E$2:$E$2604,""))</f>
        <v>BN JUAL BELI</v>
      </c>
      <c r="H929" s="44" t="str">
        <f t="array" ref="H929">IF(B929="","",_xlfn.XLOOKUP(B929,'Form responses 1'!$B$2:$B$2604,'Form responses 1'!$F$2:$F$2604,""))</f>
        <v>B. 773/ Sumur Putri</v>
      </c>
      <c r="I929" s="44" t="str">
        <f t="array" ref="I929">IF(B929="","",_xlfn.XLOOKUP(B929,'Form responses 1'!$B$2:$B$2604,'Form responses 1'!$I$2:$I$2604,""))</f>
        <v> Sumur Putri</v>
      </c>
      <c r="J929" s="44" t="str">
        <f t="array" ref="J929">IF(B929="","",_xlfn.XLOOKUP(B929,'Form responses 1'!$B$2:$B$2604,'Form responses 1'!$G$2:$G$2604,""))</f>
        <v>Hananda</v>
      </c>
      <c r="K929" s="41" t="s">
        <v>422</v>
      </c>
      <c r="L929" s="52">
        <f t="shared" si="7"/>
        <v>45611.4438</v>
      </c>
      <c r="M929" s="47" t="s">
        <v>5712</v>
      </c>
      <c r="N929" s="47" t="s">
        <v>5556</v>
      </c>
      <c r="O929" s="49"/>
      <c r="P929" s="49"/>
      <c r="Q929" s="49"/>
      <c r="R929" s="49"/>
      <c r="S929" s="49"/>
      <c r="T929" s="49"/>
      <c r="U929" s="49"/>
      <c r="V929" s="49"/>
      <c r="W929" s="41" t="s">
        <v>470</v>
      </c>
      <c r="X929" s="46">
        <f t="shared" si="5"/>
        <v>45611.50038</v>
      </c>
      <c r="Y929" s="50" t="s">
        <v>482</v>
      </c>
      <c r="Z929" s="49">
        <f t="shared" si="6"/>
        <v>2</v>
      </c>
    </row>
    <row r="930" ht="22.5" customHeight="1">
      <c r="B930" s="41" t="s">
        <v>4819</v>
      </c>
      <c r="C930" s="43">
        <f t="array" ref="C930">IF(B930="","",_xlfn.XLOOKUP(B930,'Form responses 1'!$B$2:$B$2604,'Form responses 1'!$A$2:$A$2604,""))</f>
        <v>45610.39076</v>
      </c>
      <c r="D930" s="44" t="str">
        <f t="shared" si="3"/>
        <v>K/2/141124/1_45610.3907576505</v>
      </c>
      <c r="E930" s="44" t="str">
        <f t="array" ref="E930">IF(B930="","",_xlfn.XLOOKUP(B930,'Form responses 1'!$B$2:$B$2604,'Form responses 1'!$C$2:$C$2604,""))</f>
        <v>FRANSISCA/ EVA SURIANI</v>
      </c>
      <c r="F930" s="44" t="str">
        <f t="array" ref="F930">IF(B930="","",_xlfn.XLOOKUP(B930,'Form responses 1'!$B$2:$B$2604,'Form responses 1'!$D$2:$D$2604,""))</f>
        <v>+62 811-724-041</v>
      </c>
      <c r="G930" s="44" t="str">
        <f t="array" ref="G930">IF(B930="","",_xlfn.XLOOKUP(B930,'Form responses 1'!$B$2:$B$2604,'Form responses 1'!$E$2:$E$2604,""))</f>
        <v>BN JUAL BELI</v>
      </c>
      <c r="H930" s="44" t="str">
        <f t="array" ref="H930">IF(B930="","",_xlfn.XLOOKUP(B930,'Form responses 1'!$B$2:$B$2604,'Form responses 1'!$F$2:$F$2604,""))</f>
        <v>B. 799/ Sumur Putri</v>
      </c>
      <c r="I930" s="44" t="str">
        <f t="array" ref="I930">IF(B930="","",_xlfn.XLOOKUP(B930,'Form responses 1'!$B$2:$B$2604,'Form responses 1'!$I$2:$I$2604,""))</f>
        <v>Sumur Putri</v>
      </c>
      <c r="J930" s="44" t="str">
        <f t="array" ref="J930">IF(B930="","",_xlfn.XLOOKUP(B930,'Form responses 1'!$B$2:$B$2604,'Form responses 1'!$G$2:$G$2604,""))</f>
        <v>Hananda</v>
      </c>
      <c r="K930" s="41" t="s">
        <v>2875</v>
      </c>
      <c r="L930" s="52">
        <f t="shared" si="7"/>
        <v>45611.44595</v>
      </c>
      <c r="M930" s="47" t="s">
        <v>5713</v>
      </c>
      <c r="N930" s="49"/>
      <c r="O930" s="49"/>
      <c r="P930" s="49"/>
      <c r="Q930" s="49"/>
      <c r="R930" s="49"/>
      <c r="S930" s="49"/>
      <c r="T930" s="49"/>
      <c r="U930" s="49"/>
      <c r="V930" s="49"/>
      <c r="W930" s="41" t="s">
        <v>470</v>
      </c>
      <c r="X930" s="46">
        <f t="shared" si="5"/>
        <v>45611.59615</v>
      </c>
      <c r="Y930" s="50" t="s">
        <v>482</v>
      </c>
      <c r="Z930" s="49">
        <f t="shared" si="6"/>
        <v>1</v>
      </c>
    </row>
    <row r="931" ht="22.5" customHeight="1">
      <c r="B931" s="41" t="s">
        <v>4822</v>
      </c>
      <c r="C931" s="43">
        <f t="array" ref="C931">IF(B931="","",_xlfn.XLOOKUP(B931,'Form responses 1'!$B$2:$B$2604,'Form responses 1'!$A$2:$A$2604,""))</f>
        <v>45610.39231</v>
      </c>
      <c r="D931" s="44" t="str">
        <f t="shared" si="3"/>
        <v>K/3/141124/2_45610.3923062963</v>
      </c>
      <c r="E931" s="44" t="str">
        <f t="array" ref="E931">IF(B931="","",_xlfn.XLOOKUP(B931,'Form responses 1'!$B$2:$B$2604,'Form responses 1'!$C$2:$C$2604,""))</f>
        <v>EVA SURIANI/ MAHYATIN</v>
      </c>
      <c r="F931" s="44" t="str">
        <f t="array" ref="F931">IF(B931="","",_xlfn.XLOOKUP(B931,'Form responses 1'!$B$2:$B$2604,'Form responses 1'!$D$2:$D$2604,""))</f>
        <v>+62 811-724-041</v>
      </c>
      <c r="G931" s="44" t="str">
        <f t="array" ref="G931">IF(B931="","",_xlfn.XLOOKUP(B931,'Form responses 1'!$B$2:$B$2604,'Form responses 1'!$E$2:$E$2604,""))</f>
        <v>ROYA</v>
      </c>
      <c r="H931" s="44" t="str">
        <f t="array" ref="H931">IF(B931="","",_xlfn.XLOOKUP(B931,'Form responses 1'!$B$2:$B$2604,'Form responses 1'!$F$2:$F$2604,""))</f>
        <v>M. 10144/ Kampung Baru</v>
      </c>
      <c r="I931" s="44" t="str">
        <f t="array" ref="I931">IF(B931="","",_xlfn.XLOOKUP(B931,'Form responses 1'!$B$2:$B$2604,'Form responses 1'!$I$2:$I$2604,""))</f>
        <v> Kampung Baru</v>
      </c>
      <c r="J931" s="44" t="str">
        <f t="array" ref="J931">IF(B931="","",_xlfn.XLOOKUP(B931,'Form responses 1'!$B$2:$B$2604,'Form responses 1'!$G$2:$G$2604,""))</f>
        <v>Hananda</v>
      </c>
      <c r="K931" s="41" t="s">
        <v>2875</v>
      </c>
      <c r="L931" s="52">
        <f t="shared" si="7"/>
        <v>45611.44597</v>
      </c>
      <c r="M931" s="49"/>
      <c r="N931" s="49"/>
      <c r="O931" s="49"/>
      <c r="P931" s="49"/>
      <c r="Q931" s="49"/>
      <c r="R931" s="49"/>
      <c r="S931" s="49"/>
      <c r="T931" s="49"/>
      <c r="U931" s="49"/>
      <c r="V931" s="49"/>
      <c r="W931" s="41" t="s">
        <v>618</v>
      </c>
      <c r="X931" s="46">
        <f t="shared" si="5"/>
        <v>45611.50722</v>
      </c>
      <c r="Y931" s="50" t="s">
        <v>482</v>
      </c>
      <c r="Z931" s="49">
        <f t="shared" si="6"/>
        <v>0</v>
      </c>
    </row>
    <row r="932" ht="22.5" customHeight="1">
      <c r="B932" s="41" t="s">
        <v>4894</v>
      </c>
      <c r="C932" s="43">
        <f t="array" ref="C932">IF(B932="","",_xlfn.XLOOKUP(B932,'Form responses 1'!$B$2:$B$2604,'Form responses 1'!$A$2:$A$2604,""))</f>
        <v>45610.58179</v>
      </c>
      <c r="D932" s="44" t="str">
        <f t="shared" si="3"/>
        <v>L/26/141124/1_45610.5817908218</v>
      </c>
      <c r="E932" s="44" t="str">
        <f t="array" ref="E932">IF(B932="","",_xlfn.XLOOKUP(B932,'Form responses 1'!$B$2:$B$2604,'Form responses 1'!$C$2:$C$2604,""))</f>
        <v>ERWIN S PURBA</v>
      </c>
      <c r="F932" s="44" t="str">
        <f t="array" ref="F932">IF(B932="","",_xlfn.XLOOKUP(B932,'Form responses 1'!$B$2:$B$2604,'Form responses 1'!$D$2:$D$2604,""))</f>
        <v>0813246537</v>
      </c>
      <c r="G932" s="44" t="str">
        <f t="array" ref="G932">IF(B932="","",_xlfn.XLOOKUP(B932,'Form responses 1'!$B$2:$B$2604,'Form responses 1'!$E$2:$E$2604,""))</f>
        <v>ROYA</v>
      </c>
      <c r="H932" s="44" t="str">
        <f t="array" ref="H932">IF(B932="","",_xlfn.XLOOKUP(B932,'Form responses 1'!$B$2:$B$2604,'Form responses 1'!$F$2:$F$2604,""))</f>
        <v>HM 2548/WAY KANDIS</v>
      </c>
      <c r="I932" s="44" t="str">
        <f t="array" ref="I932">IF(B932="","",_xlfn.XLOOKUP(B932,'Form responses 1'!$B$2:$B$2604,'Form responses 1'!$I$2:$I$2604,""))</f>
        <v>WAY KANDIS</v>
      </c>
      <c r="J932" s="44" t="str">
        <f t="array" ref="J932">IF(B932="","",_xlfn.XLOOKUP(B932,'Form responses 1'!$B$2:$B$2604,'Form responses 1'!$G$2:$G$2604,""))</f>
        <v>Deby</v>
      </c>
      <c r="K932" s="41" t="s">
        <v>2875</v>
      </c>
      <c r="L932" s="52">
        <f t="shared" si="7"/>
        <v>45611.44599</v>
      </c>
      <c r="M932" s="47" t="s">
        <v>5628</v>
      </c>
      <c r="N932" s="49"/>
      <c r="O932" s="49"/>
      <c r="P932" s="49"/>
      <c r="Q932" s="49"/>
      <c r="R932" s="49"/>
      <c r="S932" s="49"/>
      <c r="T932" s="49"/>
      <c r="U932" s="49"/>
      <c r="V932" s="49"/>
      <c r="W932" s="41" t="s">
        <v>470</v>
      </c>
      <c r="X932" s="46">
        <f t="shared" si="5"/>
        <v>45611.50074</v>
      </c>
      <c r="Y932" s="50" t="s">
        <v>482</v>
      </c>
      <c r="Z932" s="49">
        <f t="shared" si="6"/>
        <v>1</v>
      </c>
    </row>
    <row r="933" ht="22.5" customHeight="1">
      <c r="B933" s="41" t="s">
        <v>4825</v>
      </c>
      <c r="C933" s="43">
        <f t="array" ref="C933">IF(B933="","",_xlfn.XLOOKUP(B933,'Form responses 1'!$B$2:$B$2604,'Form responses 1'!$A$2:$A$2604,""))</f>
        <v>45610.3958</v>
      </c>
      <c r="D933" s="44" t="str">
        <f t="shared" si="3"/>
        <v>K/4/141124/3_45610.395799375</v>
      </c>
      <c r="E933" s="44" t="str">
        <f t="array" ref="E933">IF(B933="","",_xlfn.XLOOKUP(B933,'Form responses 1'!$B$2:$B$2604,'Form responses 1'!$C$2:$C$2604,""))</f>
        <v>EVA SURIANI/ MAHYATIN</v>
      </c>
      <c r="F933" s="44" t="str">
        <f t="array" ref="F933">IF(B933="","",_xlfn.XLOOKUP(B933,'Form responses 1'!$B$2:$B$2604,'Form responses 1'!$D$2:$D$2604,""))</f>
        <v>+62 811-724-041</v>
      </c>
      <c r="G933" s="44" t="str">
        <f t="array" ref="G933">IF(B933="","",_xlfn.XLOOKUP(B933,'Form responses 1'!$B$2:$B$2604,'Form responses 1'!$E$2:$E$2604,""))</f>
        <v>PERUBAHAN HAK</v>
      </c>
      <c r="H933" s="44" t="str">
        <f t="array" ref="H933">IF(B933="","",_xlfn.XLOOKUP(B933,'Form responses 1'!$B$2:$B$2604,'Form responses 1'!$F$2:$F$2604,""))</f>
        <v>B. 335/ Kampung Baru</v>
      </c>
      <c r="I933" s="44" t="str">
        <f t="array" ref="I933">IF(B933="","",_xlfn.XLOOKUP(B933,'Form responses 1'!$B$2:$B$2604,'Form responses 1'!$I$2:$I$2604,""))</f>
        <v>Kampung Baru</v>
      </c>
      <c r="J933" s="44" t="str">
        <f t="array" ref="J933">IF(B933="","",_xlfn.XLOOKUP(B933,'Form responses 1'!$B$2:$B$2604,'Form responses 1'!$G$2:$G$2604,""))</f>
        <v>Hananda</v>
      </c>
      <c r="K933" s="41" t="s">
        <v>2875</v>
      </c>
      <c r="L933" s="52">
        <f t="shared" si="7"/>
        <v>45611.44601</v>
      </c>
      <c r="M933" s="49"/>
      <c r="N933" s="49"/>
      <c r="O933" s="49"/>
      <c r="P933" s="49"/>
      <c r="Q933" s="49"/>
      <c r="R933" s="49"/>
      <c r="S933" s="49"/>
      <c r="T933" s="49"/>
      <c r="U933" s="49"/>
      <c r="V933" s="49"/>
      <c r="W933" s="41" t="s">
        <v>618</v>
      </c>
      <c r="X933" s="46">
        <f t="shared" si="5"/>
        <v>45611.49806</v>
      </c>
      <c r="Y933" s="50" t="s">
        <v>482</v>
      </c>
      <c r="Z933" s="49">
        <f t="shared" si="6"/>
        <v>0</v>
      </c>
    </row>
    <row r="934" ht="22.5" customHeight="1">
      <c r="B934" s="41" t="s">
        <v>4939</v>
      </c>
      <c r="C934" s="43">
        <f t="array" ref="C934">IF(B934="","",_xlfn.XLOOKUP(B934,'Form responses 1'!$B$2:$B$2604,'Form responses 1'!$A$2:$A$2604,""))</f>
        <v>45610.60471</v>
      </c>
      <c r="D934" s="44" t="str">
        <f t="shared" si="3"/>
        <v>K/38/141124/3_45610.6047105093</v>
      </c>
      <c r="E934" s="44" t="str">
        <f t="array" ref="E934">IF(B934="","",_xlfn.XLOOKUP(B934,'Form responses 1'!$B$2:$B$2604,'Form responses 1'!$C$2:$C$2604,""))</f>
        <v>DITO SAPUTRA</v>
      </c>
      <c r="F934" s="44" t="str">
        <f t="array" ref="F934">IF(B934="","",_xlfn.XLOOKUP(B934,'Form responses 1'!$B$2:$B$2604,'Form responses 1'!$D$2:$D$2604,""))</f>
        <v>081369350683</v>
      </c>
      <c r="G934" s="44" t="str">
        <f t="array" ref="G934">IF(B934="","",_xlfn.XLOOKUP(B934,'Form responses 1'!$B$2:$B$2604,'Form responses 1'!$E$2:$E$2604,""))</f>
        <v>SKPT LELANG</v>
      </c>
      <c r="H934" s="44" t="str">
        <f t="array" ref="H934">IF(B934="","",_xlfn.XLOOKUP(B934,'Form responses 1'!$B$2:$B$2604,'Form responses 1'!$F$2:$F$2604,""))</f>
        <v>M. 1252/ Kangkung</v>
      </c>
      <c r="I934" s="44" t="str">
        <f t="array" ref="I934">IF(B934="","",_xlfn.XLOOKUP(B934,'Form responses 1'!$B$2:$B$2604,'Form responses 1'!$I$2:$I$2604,""))</f>
        <v>Kangkung</v>
      </c>
      <c r="J934" s="44" t="str">
        <f t="array" ref="J934">IF(B934="","",_xlfn.XLOOKUP(B934,'Form responses 1'!$B$2:$B$2604,'Form responses 1'!$G$2:$G$2604,""))</f>
        <v>Hananda</v>
      </c>
      <c r="K934" s="41" t="s">
        <v>2875</v>
      </c>
      <c r="L934" s="52">
        <f t="shared" si="7"/>
        <v>45611.44603</v>
      </c>
      <c r="M934" s="49"/>
      <c r="N934" s="49"/>
      <c r="O934" s="49"/>
      <c r="P934" s="49"/>
      <c r="Q934" s="49"/>
      <c r="R934" s="49"/>
      <c r="S934" s="49"/>
      <c r="T934" s="49"/>
      <c r="U934" s="49"/>
      <c r="V934" s="49"/>
      <c r="W934" s="41" t="s">
        <v>618</v>
      </c>
      <c r="X934" s="46">
        <f t="shared" si="5"/>
        <v>45611.47398</v>
      </c>
      <c r="Y934" s="50" t="s">
        <v>482</v>
      </c>
      <c r="Z934" s="49">
        <f t="shared" si="6"/>
        <v>0</v>
      </c>
    </row>
    <row r="935" ht="22.5" customHeight="1">
      <c r="B935" s="41" t="s">
        <v>4848</v>
      </c>
      <c r="C935" s="43">
        <f t="array" ref="C935">IF(B935="","",_xlfn.XLOOKUP(B935,'Form responses 1'!$B$2:$B$2604,'Form responses 1'!$A$2:$A$2604,""))</f>
        <v>45610.45235</v>
      </c>
      <c r="D935" s="44" t="str">
        <f t="shared" si="3"/>
        <v>K/12/141124/1_45610.4523504745</v>
      </c>
      <c r="E935" s="44" t="str">
        <f t="array" ref="E935">IF(B935="","",_xlfn.XLOOKUP(B935,'Form responses 1'!$B$2:$B$2604,'Form responses 1'!$C$2:$C$2604,""))</f>
        <v>AGUNG ADITYA PRATAMA/RICHARD ADI PRASTYA</v>
      </c>
      <c r="F935" s="44" t="str">
        <f t="array" ref="F935">IF(B935="","",_xlfn.XLOOKUP(B935,'Form responses 1'!$B$2:$B$2604,'Form responses 1'!$D$2:$D$2604,""))</f>
        <v>0852-7999-7821</v>
      </c>
      <c r="G935" s="44" t="str">
        <f t="array" ref="G935">IF(B935="","",_xlfn.XLOOKUP(B935,'Form responses 1'!$B$2:$B$2604,'Form responses 1'!$E$2:$E$2604,""))</f>
        <v>BN JUAL BELI</v>
      </c>
      <c r="H935" s="44" t="str">
        <f t="array" ref="H935">IF(B935="","",_xlfn.XLOOKUP(B935,'Form responses 1'!$B$2:$B$2604,'Form responses 1'!$F$2:$F$2604,""))</f>
        <v>M.2944/SUKARAME II</v>
      </c>
      <c r="I935" s="44" t="str">
        <f t="array" ref="I935">IF(B935="","",_xlfn.XLOOKUP(B935,'Form responses 1'!$B$2:$B$2604,'Form responses 1'!$I$2:$I$2604,""))</f>
        <v>SUKARAME II</v>
      </c>
      <c r="J935" s="44" t="str">
        <f t="array" ref="J935">IF(B935="","",_xlfn.XLOOKUP(B935,'Form responses 1'!$B$2:$B$2604,'Form responses 1'!$G$2:$G$2604,""))</f>
        <v>Baynur</v>
      </c>
      <c r="K935" s="41" t="s">
        <v>2875</v>
      </c>
      <c r="L935" s="52">
        <f t="shared" si="7"/>
        <v>45611.44605</v>
      </c>
      <c r="M935" s="47" t="s">
        <v>5714</v>
      </c>
      <c r="N935" s="49"/>
      <c r="O935" s="49"/>
      <c r="P935" s="49"/>
      <c r="Q935" s="49"/>
      <c r="R935" s="49"/>
      <c r="S935" s="49"/>
      <c r="T935" s="49"/>
      <c r="U935" s="49"/>
      <c r="V935" s="49"/>
      <c r="W935" s="41" t="s">
        <v>470</v>
      </c>
      <c r="X935" s="46">
        <f t="shared" si="5"/>
        <v>45611.5257</v>
      </c>
      <c r="Y935" s="50" t="s">
        <v>482</v>
      </c>
      <c r="Z935" s="49">
        <f t="shared" si="6"/>
        <v>1</v>
      </c>
    </row>
    <row r="936" ht="22.5" customHeight="1">
      <c r="B936" s="41" t="s">
        <v>4855</v>
      </c>
      <c r="C936" s="43">
        <f t="array" ref="C936">IF(B936="","",_xlfn.XLOOKUP(B936,'Form responses 1'!$B$2:$B$2604,'Form responses 1'!$A$2:$A$2604,""))</f>
        <v>45610.46164</v>
      </c>
      <c r="D936" s="44" t="str">
        <f t="shared" si="3"/>
        <v>K/15/141124/3_45610.4616429977</v>
      </c>
      <c r="E936" s="44" t="str">
        <f t="array" ref="E936">IF(B936="","",_xlfn.XLOOKUP(B936,'Form responses 1'!$B$2:$B$2604,'Form responses 1'!$C$2:$C$2604,""))</f>
        <v>RAHMADIYANTI</v>
      </c>
      <c r="F936" s="44" t="str">
        <f t="array" ref="F936">IF(B936="","",_xlfn.XLOOKUP(B936,'Form responses 1'!$B$2:$B$2604,'Form responses 1'!$D$2:$D$2604,""))</f>
        <v>+62 821-8209-0051</v>
      </c>
      <c r="G936" s="44" t="str">
        <f t="array" ref="G936">IF(B936="","",_xlfn.XLOOKUP(B936,'Form responses 1'!$B$2:$B$2604,'Form responses 1'!$E$2:$E$2604,""))</f>
        <v>BN HIBAH</v>
      </c>
      <c r="H936" s="44" t="str">
        <f t="array" ref="H936">IF(B936="","",_xlfn.XLOOKUP(B936,'Form responses 1'!$B$2:$B$2604,'Form responses 1'!$F$2:$F$2604,""))</f>
        <v>M. 693/ Gedong Air</v>
      </c>
      <c r="I936" s="44" t="str">
        <f t="array" ref="I936">IF(B936="","",_xlfn.XLOOKUP(B936,'Form responses 1'!$B$2:$B$2604,'Form responses 1'!$I$2:$I$2604,""))</f>
        <v>Gedong Air</v>
      </c>
      <c r="J936" s="44" t="str">
        <f t="array" ref="J936">IF(B936="","",_xlfn.XLOOKUP(B936,'Form responses 1'!$B$2:$B$2604,'Form responses 1'!$G$2:$G$2604,""))</f>
        <v>Hananda</v>
      </c>
      <c r="K936" s="41" t="s">
        <v>2875</v>
      </c>
      <c r="L936" s="52">
        <f t="shared" si="7"/>
        <v>45611.44608</v>
      </c>
      <c r="M936" s="47" t="s">
        <v>5715</v>
      </c>
      <c r="N936" s="49"/>
      <c r="O936" s="49"/>
      <c r="P936" s="49"/>
      <c r="Q936" s="49"/>
      <c r="R936" s="49"/>
      <c r="S936" s="49"/>
      <c r="T936" s="49"/>
      <c r="U936" s="49"/>
      <c r="V936" s="49"/>
      <c r="W936" s="41" t="s">
        <v>470</v>
      </c>
      <c r="X936" s="46">
        <f t="shared" si="5"/>
        <v>45611.5376</v>
      </c>
      <c r="Y936" s="50" t="s">
        <v>482</v>
      </c>
      <c r="Z936" s="49">
        <f t="shared" si="6"/>
        <v>1</v>
      </c>
    </row>
    <row r="937" ht="22.5" customHeight="1">
      <c r="B937" s="41" t="s">
        <v>4829</v>
      </c>
      <c r="C937" s="43">
        <f t="array" ref="C937">IF(B937="","",_xlfn.XLOOKUP(B937,'Form responses 1'!$B$2:$B$2604,'Form responses 1'!$A$2:$A$2604,""))</f>
        <v>45610.39785</v>
      </c>
      <c r="D937" s="44" t="str">
        <f t="shared" si="3"/>
        <v>K/6/141124/1_45610.3978530324</v>
      </c>
      <c r="E937" s="44" t="str">
        <f t="array" ref="E937">IF(B937="","",_xlfn.XLOOKUP(B937,'Form responses 1'!$B$2:$B$2604,'Form responses 1'!$C$2:$C$2604,""))</f>
        <v>RENALDI PRATAMA SIRYA / EKA NURFANI</v>
      </c>
      <c r="F937" s="44" t="str">
        <f t="array" ref="F937">IF(B937="","",_xlfn.XLOOKUP(B937,'Form responses 1'!$B$2:$B$2604,'Form responses 1'!$D$2:$D$2604,""))</f>
        <v>+62 823-7375-9878</v>
      </c>
      <c r="G937" s="44" t="str">
        <f t="array" ref="G937">IF(B937="","",_xlfn.XLOOKUP(B937,'Form responses 1'!$B$2:$B$2604,'Form responses 1'!$E$2:$E$2604,""))</f>
        <v>BN JUAL BELI</v>
      </c>
      <c r="H937" s="44" t="str">
        <f t="array" ref="H937">IF(B937="","",_xlfn.XLOOKUP(B937,'Form responses 1'!$B$2:$B$2604,'Form responses 1'!$F$2:$F$2604,""))</f>
        <v>M. 6925/TANJUNG SENANG</v>
      </c>
      <c r="I937" s="44" t="str">
        <f t="array" ref="I937">IF(B937="","",_xlfn.XLOOKUP(B937,'Form responses 1'!$B$2:$B$2604,'Form responses 1'!$I$2:$I$2604,""))</f>
        <v>TANJUNG SENANG</v>
      </c>
      <c r="J937" s="44" t="str">
        <f t="array" ref="J937">IF(B937="","",_xlfn.XLOOKUP(B937,'Form responses 1'!$B$2:$B$2604,'Form responses 1'!$G$2:$G$2604,""))</f>
        <v>Aisyah</v>
      </c>
      <c r="K937" s="41" t="s">
        <v>2875</v>
      </c>
      <c r="L937" s="52">
        <f t="shared" si="7"/>
        <v>45611.4461</v>
      </c>
      <c r="M937" s="49"/>
      <c r="N937" s="49"/>
      <c r="O937" s="49"/>
      <c r="P937" s="49"/>
      <c r="Q937" s="49"/>
      <c r="R937" s="49"/>
      <c r="S937" s="49"/>
      <c r="T937" s="49"/>
      <c r="U937" s="49"/>
      <c r="V937" s="49"/>
      <c r="W937" s="41" t="s">
        <v>618</v>
      </c>
      <c r="X937" s="46">
        <f t="shared" si="5"/>
        <v>45611.55751</v>
      </c>
      <c r="Y937" s="50" t="s">
        <v>482</v>
      </c>
      <c r="Z937" s="49">
        <f t="shared" si="6"/>
        <v>0</v>
      </c>
    </row>
    <row r="938" ht="22.5" customHeight="1">
      <c r="B938" s="41" t="s">
        <v>4926</v>
      </c>
      <c r="C938" s="43">
        <f t="array" ref="C938">IF(B938="","",_xlfn.XLOOKUP(B938,'Form responses 1'!$B$2:$B$2604,'Form responses 1'!$A$2:$A$2604,""))</f>
        <v>45610.60071</v>
      </c>
      <c r="D938" s="44" t="str">
        <f t="shared" si="3"/>
        <v>K/37/141124/2_45610.6007067593</v>
      </c>
      <c r="E938" s="44" t="str">
        <f t="array" ref="E938">IF(B938="","",_xlfn.XLOOKUP(B938,'Form responses 1'!$B$2:$B$2604,'Form responses 1'!$C$2:$C$2604,""))</f>
        <v>DITO SAPUTRA</v>
      </c>
      <c r="F938" s="44" t="str">
        <f t="array" ref="F938">IF(B938="","",_xlfn.XLOOKUP(B938,'Form responses 1'!$B$2:$B$2604,'Form responses 1'!$D$2:$D$2604,""))</f>
        <v>081369350683</v>
      </c>
      <c r="G938" s="44" t="str">
        <f t="array" ref="G938">IF(B938="","",_xlfn.XLOOKUP(B938,'Form responses 1'!$B$2:$B$2604,'Form responses 1'!$E$2:$E$2604,""))</f>
        <v>SKPT LELANG</v>
      </c>
      <c r="H938" s="44" t="str">
        <f t="array" ref="H938">IF(B938="","",_xlfn.XLOOKUP(B938,'Form responses 1'!$B$2:$B$2604,'Form responses 1'!$F$2:$F$2604,""))</f>
        <v>B. 384/ Telukbetung</v>
      </c>
      <c r="I938" s="44" t="str">
        <f t="array" ref="I938">IF(B938="","",_xlfn.XLOOKUP(B938,'Form responses 1'!$B$2:$B$2604,'Form responses 1'!$I$2:$I$2604,""))</f>
        <v>Telukbetung</v>
      </c>
      <c r="J938" s="44" t="str">
        <f t="array" ref="J938">IF(B938="","",_xlfn.XLOOKUP(B938,'Form responses 1'!$B$2:$B$2604,'Form responses 1'!$G$2:$G$2604,""))</f>
        <v>Hananda</v>
      </c>
      <c r="K938" s="41" t="s">
        <v>2421</v>
      </c>
      <c r="L938" s="52">
        <f t="shared" si="7"/>
        <v>45611.44972</v>
      </c>
      <c r="M938" s="47" t="s">
        <v>5716</v>
      </c>
      <c r="N938" s="49"/>
      <c r="O938" s="49"/>
      <c r="P938" s="49"/>
      <c r="Q938" s="49"/>
      <c r="R938" s="49"/>
      <c r="S938" s="49"/>
      <c r="T938" s="49"/>
      <c r="U938" s="49"/>
      <c r="V938" s="49"/>
      <c r="W938" s="41" t="s">
        <v>618</v>
      </c>
      <c r="X938" s="46">
        <f t="shared" si="5"/>
        <v>45611.45382</v>
      </c>
      <c r="Y938" s="50" t="s">
        <v>482</v>
      </c>
      <c r="Z938" s="49">
        <f t="shared" si="6"/>
        <v>1</v>
      </c>
    </row>
    <row r="939" ht="22.5" customHeight="1">
      <c r="B939" s="41" t="s">
        <v>4815</v>
      </c>
      <c r="C939" s="43">
        <f t="array" ref="C939">IF(B939="","",_xlfn.XLOOKUP(B939,'Form responses 1'!$B$2:$B$2604,'Form responses 1'!$A$2:$A$2604,""))</f>
        <v>45610.38966</v>
      </c>
      <c r="D939" s="44" t="str">
        <f t="shared" si="3"/>
        <v>L/5/141124/1_45610.389659375</v>
      </c>
      <c r="E939" s="44" t="str">
        <f t="array" ref="E939">IF(B939="","",_xlfn.XLOOKUP(B939,'Form responses 1'!$B$2:$B$2604,'Form responses 1'!$C$2:$C$2604,""))</f>
        <v>FRINSYS DOA RAYA</v>
      </c>
      <c r="F939" s="44" t="str">
        <f t="array" ref="F939">IF(B939="","",_xlfn.XLOOKUP(B939,'Form responses 1'!$B$2:$B$2604,'Form responses 1'!$D$2:$D$2604,""))</f>
        <v>081279127774</v>
      </c>
      <c r="G939" s="44" t="str">
        <f t="array" ref="G939">IF(B939="","",_xlfn.XLOOKUP(B939,'Form responses 1'!$B$2:$B$2604,'Form responses 1'!$E$2:$E$2604,""))</f>
        <v>ROYA WARIS</v>
      </c>
      <c r="H939" s="44" t="str">
        <f t="array" ref="H939">IF(B939="","",_xlfn.XLOOKUP(B939,'Form responses 1'!$B$2:$B$2604,'Form responses 1'!$F$2:$F$2604,""))</f>
        <v>HM 9337/SEGALA MIDER</v>
      </c>
      <c r="I939" s="44" t="str">
        <f t="array" ref="I939">IF(B939="","",_xlfn.XLOOKUP(B939,'Form responses 1'!$B$2:$B$2604,'Form responses 1'!$I$2:$I$2604,""))</f>
        <v>SEGALA MIDER</v>
      </c>
      <c r="J939" s="44" t="str">
        <f t="array" ref="J939">IF(B939="","",_xlfn.XLOOKUP(B939,'Form responses 1'!$B$2:$B$2604,'Form responses 1'!$G$2:$G$2604,""))</f>
        <v>Deby</v>
      </c>
      <c r="K939" s="41" t="s">
        <v>2421</v>
      </c>
      <c r="L939" s="52">
        <f t="shared" si="7"/>
        <v>45611.44975</v>
      </c>
      <c r="M939" s="49"/>
      <c r="N939" s="49"/>
      <c r="O939" s="49"/>
      <c r="P939" s="49"/>
      <c r="Q939" s="49"/>
      <c r="R939" s="49"/>
      <c r="S939" s="49"/>
      <c r="T939" s="49"/>
      <c r="U939" s="49"/>
      <c r="V939" s="49"/>
      <c r="W939" s="41" t="s">
        <v>618</v>
      </c>
      <c r="X939" s="46">
        <f t="shared" si="5"/>
        <v>45611.59971</v>
      </c>
      <c r="Y939" s="50" t="s">
        <v>482</v>
      </c>
      <c r="Z939" s="49">
        <f t="shared" si="6"/>
        <v>0</v>
      </c>
    </row>
    <row r="940" ht="22.5" customHeight="1">
      <c r="B940" s="41" t="s">
        <v>4876</v>
      </c>
      <c r="C940" s="43">
        <f t="array" ref="C940">IF(B940="","",_xlfn.XLOOKUP(B940,'Form responses 1'!$B$2:$B$2604,'Form responses 1'!$A$2:$A$2604,""))</f>
        <v>45610.56322</v>
      </c>
      <c r="D940" s="44" t="str">
        <f t="shared" si="3"/>
        <v>K/22/141124/1_45610.5632199421</v>
      </c>
      <c r="E940" s="44" t="str">
        <f t="array" ref="E940">IF(B940="","",_xlfn.XLOOKUP(B940,'Form responses 1'!$B$2:$B$2604,'Form responses 1'!$C$2:$C$2604,""))</f>
        <v>KADEK SANTI/ISMARINA</v>
      </c>
      <c r="F940" s="44" t="str">
        <f t="array" ref="F940">IF(B940="","",_xlfn.XLOOKUP(B940,'Form responses 1'!$B$2:$B$2604,'Form responses 1'!$D$2:$D$2604,""))</f>
        <v>0813-6761-0046</v>
      </c>
      <c r="G940" s="44" t="str">
        <f t="array" ref="G940">IF(B940="","",_xlfn.XLOOKUP(B940,'Form responses 1'!$B$2:$B$2604,'Form responses 1'!$E$2:$E$2604,""))</f>
        <v>BN JUAL BELI</v>
      </c>
      <c r="H940" s="44" t="str">
        <f t="array" ref="H940">IF(B940="","",_xlfn.XLOOKUP(B940,'Form responses 1'!$B$2:$B$2604,'Form responses 1'!$F$2:$F$2604,""))</f>
        <v>B.815/SUKABUMI INDAH</v>
      </c>
      <c r="I940" s="44" t="str">
        <f t="array" ref="I940">IF(B940="","",_xlfn.XLOOKUP(B940,'Form responses 1'!$B$2:$B$2604,'Form responses 1'!$I$2:$I$2604,""))</f>
        <v>SUKABUMI INDAH</v>
      </c>
      <c r="J940" s="44" t="str">
        <f t="array" ref="J940">IF(B940="","",_xlfn.XLOOKUP(B940,'Form responses 1'!$B$2:$B$2604,'Form responses 1'!$G$2:$G$2604,""))</f>
        <v>Baynur</v>
      </c>
      <c r="K940" s="41" t="s">
        <v>2421</v>
      </c>
      <c r="L940" s="52">
        <f t="shared" si="7"/>
        <v>45611.44978</v>
      </c>
      <c r="M940" s="49"/>
      <c r="N940" s="49"/>
      <c r="O940" s="49"/>
      <c r="P940" s="49"/>
      <c r="Q940" s="49"/>
      <c r="R940" s="49"/>
      <c r="S940" s="49"/>
      <c r="T940" s="49"/>
      <c r="U940" s="49"/>
      <c r="V940" s="49"/>
      <c r="W940" s="41" t="s">
        <v>618</v>
      </c>
      <c r="X940" s="46">
        <f t="shared" si="5"/>
        <v>45611.60421</v>
      </c>
      <c r="Y940" s="50" t="s">
        <v>482</v>
      </c>
      <c r="Z940" s="49">
        <f t="shared" si="6"/>
        <v>0</v>
      </c>
    </row>
    <row r="941" ht="22.5" customHeight="1">
      <c r="B941" s="41" t="s">
        <v>4962</v>
      </c>
      <c r="C941" s="43">
        <f t="array" ref="C941">IF(B941="","",_xlfn.XLOOKUP(B941,'Form responses 1'!$B$2:$B$2604,'Form responses 1'!$A$2:$A$2604,""))</f>
        <v>45611.3408</v>
      </c>
      <c r="D941" s="44" t="str">
        <f t="shared" si="3"/>
        <v>K/50/141124/1_45611.3408018519</v>
      </c>
      <c r="E941" s="44" t="str">
        <f t="array" ref="E941">IF(B941="","",_xlfn.XLOOKUP(B941,'Form responses 1'!$B$2:$B$2604,'Form responses 1'!$C$2:$C$2604,""))</f>
        <v>fahrul rozi</v>
      </c>
      <c r="F941" s="44" t="str">
        <f t="array" ref="F941">IF(B941="","",_xlfn.XLOOKUP(B941,'Form responses 1'!$B$2:$B$2604,'Form responses 1'!$D$2:$D$2604,""))</f>
        <v>+62 821-7585-0002</v>
      </c>
      <c r="G941" s="44" t="str">
        <f t="array" ref="G941">IF(B941="","",_xlfn.XLOOKUP(B941,'Form responses 1'!$B$2:$B$2604,'Form responses 1'!$E$2:$E$2604,""))</f>
        <v>BN Jual Beli</v>
      </c>
      <c r="H941" s="44" t="str">
        <f t="array" ref="H941">IF(B941="","",_xlfn.XLOOKUP(B941,'Form responses 1'!$B$2:$B$2604,'Form responses 1'!$F$2:$F$2604,""))</f>
        <v>M. 3242/ Labuhan Dalam</v>
      </c>
      <c r="I941" s="44" t="str">
        <f t="array" ref="I941">IF(B941="","",_xlfn.XLOOKUP(B941,'Form responses 1'!$B$2:$B$2604,'Form responses 1'!$I$2:$I$2604,""))</f>
        <v>LAbuhan Dalam</v>
      </c>
      <c r="J941" s="44" t="str">
        <f t="array" ref="J941">IF(B941="","",_xlfn.XLOOKUP(B941,'Form responses 1'!$B$2:$B$2604,'Form responses 1'!$G$2:$G$2604,""))</f>
        <v>Hananda</v>
      </c>
      <c r="K941" s="41" t="s">
        <v>2421</v>
      </c>
      <c r="L941" s="52">
        <f t="shared" si="7"/>
        <v>45611.4498</v>
      </c>
      <c r="M941" s="49"/>
      <c r="N941" s="49"/>
      <c r="O941" s="49"/>
      <c r="P941" s="49"/>
      <c r="Q941" s="49"/>
      <c r="R941" s="49"/>
      <c r="S941" s="49"/>
      <c r="T941" s="49"/>
      <c r="U941" s="49"/>
      <c r="V941" s="49"/>
      <c r="W941" s="41" t="s">
        <v>618</v>
      </c>
      <c r="X941" s="46">
        <f t="shared" si="5"/>
        <v>45611.50227</v>
      </c>
      <c r="Y941" s="50" t="s">
        <v>482</v>
      </c>
      <c r="Z941" s="49">
        <f t="shared" si="6"/>
        <v>0</v>
      </c>
    </row>
    <row r="942" ht="22.5" customHeight="1">
      <c r="B942" s="41" t="s">
        <v>4865</v>
      </c>
      <c r="C942" s="43">
        <f t="array" ref="C942">IF(B942="","",_xlfn.XLOOKUP(B942,'Form responses 1'!$B$2:$B$2604,'Form responses 1'!$A$2:$A$2604,""))</f>
        <v>45610.47878</v>
      </c>
      <c r="D942" s="44" t="str">
        <f t="shared" si="3"/>
        <v>K/19/141124/2_45610.4787790857</v>
      </c>
      <c r="E942" s="44" t="str">
        <f t="array" ref="E942">IF(B942="","",_xlfn.XLOOKUP(B942,'Form responses 1'!$B$2:$B$2604,'Form responses 1'!$C$2:$C$2604,""))</f>
        <v>SAIDA FITRI YANA / FARIDA</v>
      </c>
      <c r="F942" s="44" t="str">
        <f t="array" ref="F942">IF(B942="","",_xlfn.XLOOKUP(B942,'Form responses 1'!$B$2:$B$2604,'Form responses 1'!$D$2:$D$2604,""))</f>
        <v>+62 812-7954-4555</v>
      </c>
      <c r="G942" s="44" t="str">
        <f t="array" ref="G942">IF(B942="","",_xlfn.XLOOKUP(B942,'Form responses 1'!$B$2:$B$2604,'Form responses 1'!$E$2:$E$2604,""))</f>
        <v>PERUBAHAN HAK</v>
      </c>
      <c r="H942" s="44" t="str">
        <f t="array" ref="H942">IF(B942="","",_xlfn.XLOOKUP(B942,'Form responses 1'!$B$2:$B$2604,'Form responses 1'!$F$2:$F$2604,""))</f>
        <v>NIBEL B 2208/BERINGIN JAYA</v>
      </c>
      <c r="I942" s="44" t="str">
        <f t="array" ref="I942">IF(B942="","",_xlfn.XLOOKUP(B942,'Form responses 1'!$B$2:$B$2604,'Form responses 1'!$I$2:$I$2604,""))</f>
        <v>BERINGIN JAYA</v>
      </c>
      <c r="J942" s="44" t="str">
        <f t="array" ref="J942">IF(B942="","",_xlfn.XLOOKUP(B942,'Form responses 1'!$B$2:$B$2604,'Form responses 1'!$G$2:$G$2604,""))</f>
        <v>Aisyah</v>
      </c>
      <c r="K942" s="41" t="s">
        <v>2421</v>
      </c>
      <c r="L942" s="52">
        <f t="shared" si="7"/>
        <v>45611.44982</v>
      </c>
      <c r="M942" s="49"/>
      <c r="N942" s="49"/>
      <c r="O942" s="49"/>
      <c r="P942" s="49"/>
      <c r="Q942" s="49"/>
      <c r="R942" s="49"/>
      <c r="S942" s="49"/>
      <c r="T942" s="49"/>
      <c r="U942" s="49"/>
      <c r="V942" s="49"/>
      <c r="W942" s="41" t="s">
        <v>618</v>
      </c>
      <c r="X942" s="46">
        <f t="shared" si="5"/>
        <v>45611.57559</v>
      </c>
      <c r="Y942" s="50" t="s">
        <v>482</v>
      </c>
      <c r="Z942" s="49">
        <f t="shared" si="6"/>
        <v>0</v>
      </c>
    </row>
    <row r="943" ht="22.5" customHeight="1">
      <c r="B943" s="41" t="s">
        <v>4945</v>
      </c>
      <c r="C943" s="43">
        <f t="array" ref="C943">IF(B943="","",_xlfn.XLOOKUP(B943,'Form responses 1'!$B$2:$B$2604,'Form responses 1'!$A$2:$A$2604,""))</f>
        <v>45610.61094</v>
      </c>
      <c r="D943" s="44" t="str">
        <f t="shared" si="3"/>
        <v>K/44/141124/1_45610.6109372222</v>
      </c>
      <c r="E943" s="44" t="str">
        <f t="array" ref="E943">IF(B943="","",_xlfn.XLOOKUP(B943,'Form responses 1'!$B$2:$B$2604,'Form responses 1'!$C$2:$C$2604,""))</f>
        <v>NUR HAYATI</v>
      </c>
      <c r="F943" s="44" t="str">
        <f t="array" ref="F943">IF(B943="","",_xlfn.XLOOKUP(B943,'Form responses 1'!$B$2:$B$2604,'Form responses 1'!$D$2:$D$2604,""))</f>
        <v>08117222871</v>
      </c>
      <c r="G943" s="44" t="str">
        <f t="array" ref="G943">IF(B943="","",_xlfn.XLOOKUP(B943,'Form responses 1'!$B$2:$B$2604,'Form responses 1'!$E$2:$E$2604,""))</f>
        <v>ROYA</v>
      </c>
      <c r="H943" s="44" t="str">
        <f t="array" ref="H943">IF(B943="","",_xlfn.XLOOKUP(B943,'Form responses 1'!$B$2:$B$2604,'Form responses 1'!$F$2:$F$2604,""))</f>
        <v>M. 26/ Kampung Baru Raya</v>
      </c>
      <c r="I943" s="44" t="str">
        <f t="array" ref="I943">IF(B943="","",_xlfn.XLOOKUP(B943,'Form responses 1'!$B$2:$B$2604,'Form responses 1'!$I$2:$I$2604,""))</f>
        <v>Kampung Baru Raya</v>
      </c>
      <c r="J943" s="44" t="str">
        <f t="array" ref="J943">IF(B943="","",_xlfn.XLOOKUP(B943,'Form responses 1'!$B$2:$B$2604,'Form responses 1'!$G$2:$G$2604,""))</f>
        <v>Hananda</v>
      </c>
      <c r="K943" s="41" t="s">
        <v>2421</v>
      </c>
      <c r="L943" s="52">
        <f t="shared" si="7"/>
        <v>45611.44984</v>
      </c>
      <c r="M943" s="49"/>
      <c r="N943" s="49"/>
      <c r="O943" s="49"/>
      <c r="P943" s="49"/>
      <c r="Q943" s="49"/>
      <c r="R943" s="49"/>
      <c r="S943" s="49"/>
      <c r="T943" s="49"/>
      <c r="U943" s="49"/>
      <c r="V943" s="49"/>
      <c r="W943" s="41" t="s">
        <v>618</v>
      </c>
      <c r="X943" s="46">
        <f t="shared" si="5"/>
        <v>45611.54541</v>
      </c>
      <c r="Y943" s="50" t="s">
        <v>482</v>
      </c>
      <c r="Z943" s="49">
        <f t="shared" si="6"/>
        <v>0</v>
      </c>
    </row>
    <row r="944" ht="22.5" customHeight="1">
      <c r="B944" s="41" t="s">
        <v>4836</v>
      </c>
      <c r="C944" s="43">
        <f t="array" ref="C944">IF(B944="","",_xlfn.XLOOKUP(B944,'Form responses 1'!$B$2:$B$2604,'Form responses 1'!$A$2:$A$2604,""))</f>
        <v>45610.4106</v>
      </c>
      <c r="D944" s="44" t="str">
        <f t="shared" si="3"/>
        <v>L/10/141124/1_45610.4106009259</v>
      </c>
      <c r="E944" s="44" t="str">
        <f t="array" ref="E944">IF(B944="","",_xlfn.XLOOKUP(B944,'Form responses 1'!$B$2:$B$2604,'Form responses 1'!$C$2:$C$2604,""))</f>
        <v>HANAFI</v>
      </c>
      <c r="F944" s="44" t="str">
        <f t="array" ref="F944">IF(B944="","",_xlfn.XLOOKUP(B944,'Form responses 1'!$B$2:$B$2604,'Form responses 1'!$D$2:$D$2604,""))</f>
        <v>082175390279</v>
      </c>
      <c r="G944" s="44" t="str">
        <f t="array" ref="G944">IF(B944="","",_xlfn.XLOOKUP(B944,'Form responses 1'!$B$2:$B$2604,'Form responses 1'!$E$2:$E$2604,""))</f>
        <v>ROYA</v>
      </c>
      <c r="H944" s="44" t="str">
        <f t="array" ref="H944">IF(B944="","",_xlfn.XLOOKUP(B944,'Form responses 1'!$B$2:$B$2604,'Form responses 1'!$F$2:$F$2604,""))</f>
        <v>HM 17408/SUKARAME</v>
      </c>
      <c r="I944" s="44" t="str">
        <f t="array" ref="I944">IF(B944="","",_xlfn.XLOOKUP(B944,'Form responses 1'!$B$2:$B$2604,'Form responses 1'!$I$2:$I$2604,""))</f>
        <v>SUKARAME</v>
      </c>
      <c r="J944" s="44" t="str">
        <f t="array" ref="J944">IF(B944="","",_xlfn.XLOOKUP(B944,'Form responses 1'!$B$2:$B$2604,'Form responses 1'!$G$2:$G$2604,""))</f>
        <v>Deby</v>
      </c>
      <c r="K944" s="41" t="s">
        <v>2421</v>
      </c>
      <c r="L944" s="52">
        <f t="shared" si="7"/>
        <v>45611.44985</v>
      </c>
      <c r="M944" s="47" t="s">
        <v>5717</v>
      </c>
      <c r="N944" s="49"/>
      <c r="O944" s="49"/>
      <c r="P944" s="49"/>
      <c r="Q944" s="49"/>
      <c r="R944" s="49"/>
      <c r="S944" s="49"/>
      <c r="T944" s="49"/>
      <c r="U944" s="49"/>
      <c r="V944" s="49"/>
      <c r="W944" s="41" t="s">
        <v>618</v>
      </c>
      <c r="X944" s="46">
        <f t="shared" si="5"/>
        <v>45611.55178</v>
      </c>
      <c r="Y944" s="50" t="s">
        <v>482</v>
      </c>
      <c r="Z944" s="49">
        <f t="shared" si="6"/>
        <v>1</v>
      </c>
    </row>
    <row r="945" ht="22.5" customHeight="1">
      <c r="B945" s="41" t="s">
        <v>4947</v>
      </c>
      <c r="C945" s="43">
        <f t="array" ref="C945">IF(B945="","",_xlfn.XLOOKUP(B945,'Form responses 1'!$B$2:$B$2604,'Form responses 1'!$A$2:$A$2604,""))</f>
        <v>45610.61215</v>
      </c>
      <c r="D945" s="44" t="str">
        <f t="shared" si="3"/>
        <v>K/45/141124/2_45610.6121459028</v>
      </c>
      <c r="E945" s="44" t="str">
        <f t="array" ref="E945">IF(B945="","",_xlfn.XLOOKUP(B945,'Form responses 1'!$B$2:$B$2604,'Form responses 1'!$C$2:$C$2604,""))</f>
        <v>NUR HAYATI</v>
      </c>
      <c r="F945" s="44" t="str">
        <f t="array" ref="F945">IF(B945="","",_xlfn.XLOOKUP(B945,'Form responses 1'!$B$2:$B$2604,'Form responses 1'!$D$2:$D$2604,""))</f>
        <v>08117222871</v>
      </c>
      <c r="G945" s="44" t="str">
        <f t="array" ref="G945">IF(B945="","",_xlfn.XLOOKUP(B945,'Form responses 1'!$B$2:$B$2604,'Form responses 1'!$E$2:$E$2604,""))</f>
        <v>ROYA</v>
      </c>
      <c r="H945" s="44" t="str">
        <f t="array" ref="H945">IF(B945="","",_xlfn.XLOOKUP(B945,'Form responses 1'!$B$2:$B$2604,'Form responses 1'!$F$2:$F$2604,""))</f>
        <v>M. 88/ Kampung Baru Raya</v>
      </c>
      <c r="I945" s="44" t="str">
        <f t="array" ref="I945">IF(B945="","",_xlfn.XLOOKUP(B945,'Form responses 1'!$B$2:$B$2604,'Form responses 1'!$I$2:$I$2604,""))</f>
        <v> Kampung Baru Raya</v>
      </c>
      <c r="J945" s="44" t="str">
        <f t="array" ref="J945">IF(B945="","",_xlfn.XLOOKUP(B945,'Form responses 1'!$B$2:$B$2604,'Form responses 1'!$G$2:$G$2604,""))</f>
        <v>Hananda</v>
      </c>
      <c r="K945" s="41" t="s">
        <v>2421</v>
      </c>
      <c r="L945" s="52">
        <f t="shared" si="7"/>
        <v>45611.44988</v>
      </c>
      <c r="M945" s="49"/>
      <c r="N945" s="49"/>
      <c r="O945" s="49"/>
      <c r="P945" s="49"/>
      <c r="Q945" s="49"/>
      <c r="R945" s="49"/>
      <c r="S945" s="49"/>
      <c r="T945" s="49"/>
      <c r="U945" s="49"/>
      <c r="V945" s="49"/>
      <c r="W945" s="41" t="s">
        <v>618</v>
      </c>
      <c r="X945" s="46">
        <f t="shared" si="5"/>
        <v>45611.55895</v>
      </c>
      <c r="Y945" s="50" t="s">
        <v>482</v>
      </c>
      <c r="Z945" s="49">
        <f t="shared" si="6"/>
        <v>0</v>
      </c>
    </row>
    <row r="946" ht="22.5" customHeight="1">
      <c r="B946" s="41" t="s">
        <v>4952</v>
      </c>
      <c r="C946" s="43">
        <f t="array" ref="C946">IF(B946="","",_xlfn.XLOOKUP(B946,'Form responses 1'!$B$2:$B$2604,'Form responses 1'!$A$2:$A$2604,""))</f>
        <v>45610.62173</v>
      </c>
      <c r="D946" s="44" t="str">
        <f t="shared" si="3"/>
        <v>K/46/141124/3_45610.6217299421</v>
      </c>
      <c r="E946" s="44" t="str">
        <f t="array" ref="E946">IF(B946="","",_xlfn.XLOOKUP(B946,'Form responses 1'!$B$2:$B$2604,'Form responses 1'!$C$2:$C$2604,""))</f>
        <v>NUR HAYATI</v>
      </c>
      <c r="F946" s="44" t="str">
        <f t="array" ref="F946">IF(B946="","",_xlfn.XLOOKUP(B946,'Form responses 1'!$B$2:$B$2604,'Form responses 1'!$D$2:$D$2604,""))</f>
        <v>08117222871</v>
      </c>
      <c r="G946" s="44" t="str">
        <f t="array" ref="G946">IF(B946="","",_xlfn.XLOOKUP(B946,'Form responses 1'!$B$2:$B$2604,'Form responses 1'!$E$2:$E$2604,""))</f>
        <v>ROYA</v>
      </c>
      <c r="H946" s="44" t="str">
        <f t="array" ref="H946">IF(B946="","",_xlfn.XLOOKUP(B946,'Form responses 1'!$B$2:$B$2604,'Form responses 1'!$F$2:$F$2604,""))</f>
        <v>M. 12/ Kampung Baru raya</v>
      </c>
      <c r="I946" s="44" t="str">
        <f t="array" ref="I946">IF(B946="","",_xlfn.XLOOKUP(B946,'Form responses 1'!$B$2:$B$2604,'Form responses 1'!$I$2:$I$2604,""))</f>
        <v>Kampung Baru raya</v>
      </c>
      <c r="J946" s="44" t="str">
        <f t="array" ref="J946">IF(B946="","",_xlfn.XLOOKUP(B946,'Form responses 1'!$B$2:$B$2604,'Form responses 1'!$G$2:$G$2604,""))</f>
        <v>Hananda</v>
      </c>
      <c r="K946" s="41" t="s">
        <v>2421</v>
      </c>
      <c r="L946" s="52">
        <f t="shared" si="7"/>
        <v>45611.4499</v>
      </c>
      <c r="M946" s="47" t="s">
        <v>5718</v>
      </c>
      <c r="N946" s="49"/>
      <c r="O946" s="49"/>
      <c r="P946" s="49"/>
      <c r="Q946" s="49"/>
      <c r="R946" s="49"/>
      <c r="S946" s="49"/>
      <c r="T946" s="49"/>
      <c r="U946" s="49"/>
      <c r="V946" s="49"/>
      <c r="W946" s="41" t="s">
        <v>470</v>
      </c>
      <c r="X946" s="46">
        <f t="shared" si="5"/>
        <v>45611.56377</v>
      </c>
      <c r="Y946" s="50" t="s">
        <v>482</v>
      </c>
      <c r="Z946" s="49">
        <f t="shared" si="6"/>
        <v>1</v>
      </c>
    </row>
    <row r="947" ht="22.5" customHeight="1">
      <c r="B947" s="41" t="s">
        <v>4844</v>
      </c>
      <c r="C947" s="43">
        <f t="array" ref="C947">IF(B947="","",_xlfn.XLOOKUP(B947,'Form responses 1'!$B$2:$B$2604,'Form responses 1'!$A$2:$A$2604,""))</f>
        <v>45610.4392</v>
      </c>
      <c r="D947" s="44" t="str">
        <f t="shared" si="3"/>
        <v>K/11/141124/1_45610.4391958565</v>
      </c>
      <c r="E947" s="44" t="str">
        <f t="array" ref="E947">IF(B947="","",_xlfn.XLOOKUP(B947,'Form responses 1'!$B$2:$B$2604,'Form responses 1'!$C$2:$C$2604,""))</f>
        <v>FITRIANA</v>
      </c>
      <c r="F947" s="44" t="str">
        <f t="array" ref="F947">IF(B947="","",_xlfn.XLOOKUP(B947,'Form responses 1'!$B$2:$B$2604,'Form responses 1'!$D$2:$D$2604,""))</f>
        <v>+62 857-1609-3300</v>
      </c>
      <c r="G947" s="44" t="str">
        <f t="array" ref="G947">IF(B947="","",_xlfn.XLOOKUP(B947,'Form responses 1'!$B$2:$B$2604,'Form responses 1'!$E$2:$E$2604,""))</f>
        <v>ROYA</v>
      </c>
      <c r="H947" s="44" t="str">
        <f t="array" ref="H947">IF(B947="","",_xlfn.XLOOKUP(B947,'Form responses 1'!$B$2:$B$2604,'Form responses 1'!$F$2:$F$2604,""))</f>
        <v>M. 13164/ Tanjung Baru</v>
      </c>
      <c r="I947" s="44" t="str">
        <f t="array" ref="I947">IF(B947="","",_xlfn.XLOOKUP(B947,'Form responses 1'!$B$2:$B$2604,'Form responses 1'!$I$2:$I$2604,""))</f>
        <v>Tanjung Baru</v>
      </c>
      <c r="J947" s="44" t="str">
        <f t="array" ref="J947">IF(B947="","",_xlfn.XLOOKUP(B947,'Form responses 1'!$B$2:$B$2604,'Form responses 1'!$G$2:$G$2604,""))</f>
        <v>Hananda</v>
      </c>
      <c r="K947" s="41" t="s">
        <v>1233</v>
      </c>
      <c r="L947" s="52">
        <f t="shared" si="7"/>
        <v>45611.46496</v>
      </c>
      <c r="M947" s="49"/>
      <c r="N947" s="49"/>
      <c r="O947" s="49"/>
      <c r="P947" s="49"/>
      <c r="Q947" s="49"/>
      <c r="R947" s="49"/>
      <c r="S947" s="49"/>
      <c r="T947" s="49"/>
      <c r="U947" s="49"/>
      <c r="V947" s="49"/>
      <c r="W947" s="41" t="s">
        <v>618</v>
      </c>
      <c r="X947" s="46">
        <f t="shared" si="5"/>
        <v>45611.46506</v>
      </c>
      <c r="Y947" s="50" t="s">
        <v>482</v>
      </c>
      <c r="Z947" s="49">
        <f t="shared" si="6"/>
        <v>0</v>
      </c>
    </row>
    <row r="948" ht="22.5" customHeight="1">
      <c r="B948" s="41" t="s">
        <v>4870</v>
      </c>
      <c r="C948" s="43">
        <f t="array" ref="C948">IF(B948="","",_xlfn.XLOOKUP(B948,'Form responses 1'!$B$2:$B$2604,'Form responses 1'!$A$2:$A$2604,""))</f>
        <v>45610.48057</v>
      </c>
      <c r="D948" s="44" t="str">
        <f t="shared" si="3"/>
        <v>L/18/141124/1_45610.480574919</v>
      </c>
      <c r="E948" s="44" t="str">
        <f t="array" ref="E948">IF(B948="","",_xlfn.XLOOKUP(B948,'Form responses 1'!$B$2:$B$2604,'Form responses 1'!$C$2:$C$2604,""))</f>
        <v>HANAFI</v>
      </c>
      <c r="F948" s="44" t="str">
        <f t="array" ref="F948">IF(B948="","",_xlfn.XLOOKUP(B948,'Form responses 1'!$B$2:$B$2604,'Form responses 1'!$D$2:$D$2604,""))</f>
        <v>0821750390279</v>
      </c>
      <c r="G948" s="44" t="str">
        <f t="array" ref="G948">IF(B948="","",_xlfn.XLOOKUP(B948,'Form responses 1'!$B$2:$B$2604,'Form responses 1'!$E$2:$E$2604,""))</f>
        <v>ROYA</v>
      </c>
      <c r="H948" s="44" t="str">
        <f t="array" ref="H948">IF(B948="","",_xlfn.XLOOKUP(B948,'Form responses 1'!$B$2:$B$2604,'Form responses 1'!$F$2:$F$2604,""))</f>
        <v>HM 17028/SUKARAME</v>
      </c>
      <c r="I948" s="44" t="str">
        <f t="array" ref="I948">IF(B948="","",_xlfn.XLOOKUP(B948,'Form responses 1'!$B$2:$B$2604,'Form responses 1'!$I$2:$I$2604,""))</f>
        <v>SUKARAME</v>
      </c>
      <c r="J948" s="44" t="str">
        <f t="array" ref="J948">IF(B948="","",_xlfn.XLOOKUP(B948,'Form responses 1'!$B$2:$B$2604,'Form responses 1'!$G$2:$G$2604,""))</f>
        <v>Deby</v>
      </c>
      <c r="K948" s="41" t="s">
        <v>1233</v>
      </c>
      <c r="L948" s="52">
        <f t="shared" si="7"/>
        <v>45611.46922</v>
      </c>
      <c r="M948" s="49"/>
      <c r="N948" s="49"/>
      <c r="O948" s="49"/>
      <c r="P948" s="49"/>
      <c r="Q948" s="49"/>
      <c r="R948" s="49"/>
      <c r="S948" s="49"/>
      <c r="T948" s="49"/>
      <c r="U948" s="49"/>
      <c r="V948" s="49"/>
      <c r="W948" s="41" t="s">
        <v>618</v>
      </c>
      <c r="X948" s="46">
        <f t="shared" si="5"/>
        <v>45611.46925</v>
      </c>
      <c r="Y948" s="50" t="s">
        <v>482</v>
      </c>
      <c r="Z948" s="49">
        <f t="shared" si="6"/>
        <v>0</v>
      </c>
    </row>
    <row r="949" ht="22.5" customHeight="1">
      <c r="B949" s="41" t="s">
        <v>214</v>
      </c>
      <c r="C949" s="43">
        <f t="array" ref="C949">IF(B949="","",_xlfn.XLOOKUP(B949,'Form responses 1'!$B$2:$B$2604,'Form responses 1'!$A$2:$A$2604,""))</f>
        <v>45579.60447</v>
      </c>
      <c r="D949" s="44" t="str">
        <f t="shared" si="3"/>
        <v>K/39/141024/1_45579.6044700926</v>
      </c>
      <c r="E949" s="44" t="str">
        <f t="array" ref="E949">IF(B949="","",_xlfn.XLOOKUP(B949,'Form responses 1'!$B$2:$B$2604,'Form responses 1'!$C$2:$C$2604,""))</f>
        <v>MAHRODIN/VITTA N</v>
      </c>
      <c r="F949" s="44" t="str">
        <f t="array" ref="F949">IF(B949="","",_xlfn.XLOOKUP(B949,'Form responses 1'!$B$2:$B$2604,'Form responses 1'!$D$2:$D$2604,""))</f>
        <v>0821-8133-7272</v>
      </c>
      <c r="G949" s="44" t="str">
        <f t="array" ref="G949">IF(B949="","",_xlfn.XLOOKUP(B949,'Form responses 1'!$B$2:$B$2604,'Form responses 1'!$E$2:$E$2604,""))</f>
        <v>GANDES</v>
      </c>
      <c r="H949" s="44" t="str">
        <f t="array" ref="H949">IF(B949="","",_xlfn.XLOOKUP(B949,'Form responses 1'!$B$2:$B$2604,'Form responses 1'!$F$2:$F$2604,""))</f>
        <v>M.379/KALI BALAU KENCANA </v>
      </c>
      <c r="I949" s="44" t="str">
        <f t="array" ref="I949">IF(B949="","",_xlfn.XLOOKUP(B949,'Form responses 1'!$B$2:$B$2604,'Form responses 1'!$I$2:$I$2604,""))</f>
        <v>KALI BALAU KENCANA </v>
      </c>
      <c r="J949" s="44" t="str">
        <f t="array" ref="J949">IF(B949="","",_xlfn.XLOOKUP(B949,'Form responses 1'!$B$2:$B$2604,'Form responses 1'!$G$2:$G$2604,""))</f>
        <v>Baynur</v>
      </c>
      <c r="K949" s="41" t="s">
        <v>1233</v>
      </c>
      <c r="L949" s="52">
        <f t="shared" si="7"/>
        <v>45611.47226</v>
      </c>
      <c r="M949" s="49"/>
      <c r="N949" s="49"/>
      <c r="O949" s="49"/>
      <c r="P949" s="49"/>
      <c r="Q949" s="49"/>
      <c r="R949" s="49"/>
      <c r="S949" s="49"/>
      <c r="T949" s="49"/>
      <c r="U949" s="49"/>
      <c r="V949" s="49"/>
      <c r="W949" s="41" t="s">
        <v>618</v>
      </c>
      <c r="X949" s="46">
        <f t="shared" si="5"/>
        <v>45611.47456</v>
      </c>
      <c r="Y949" s="50" t="s">
        <v>482</v>
      </c>
      <c r="Z949" s="49">
        <f t="shared" si="6"/>
        <v>0</v>
      </c>
    </row>
    <row r="950" ht="22.5" customHeight="1">
      <c r="B950" s="41" t="s">
        <v>4908</v>
      </c>
      <c r="C950" s="43">
        <f t="array" ref="C950">IF(B950="","",_xlfn.XLOOKUP(B950,'Form responses 1'!$B$2:$B$2604,'Form responses 1'!$A$2:$A$2604,""))</f>
        <v>45610.59344</v>
      </c>
      <c r="D950" s="44" t="str">
        <f t="shared" si="3"/>
        <v>L/31/141124/1_45610.5934363194</v>
      </c>
      <c r="E950" s="44" t="str">
        <f t="array" ref="E950">IF(B950="","",_xlfn.XLOOKUP(B950,'Form responses 1'!$B$2:$B$2604,'Form responses 1'!$C$2:$C$2604,""))</f>
        <v>AGUS DJOHAN</v>
      </c>
      <c r="F950" s="44" t="str">
        <f t="array" ref="F950">IF(B950="","",_xlfn.XLOOKUP(B950,'Form responses 1'!$B$2:$B$2604,'Form responses 1'!$D$2:$D$2604,""))</f>
        <v>082182073279</v>
      </c>
      <c r="G950" s="44" t="str">
        <f t="array" ref="G950">IF(B950="","",_xlfn.XLOOKUP(B950,'Form responses 1'!$B$2:$B$2604,'Form responses 1'!$E$2:$E$2604,""))</f>
        <v>PTPGT</v>
      </c>
      <c r="H950" s="44" t="str">
        <f t="array" ref="H950">IF(B950="","",_xlfn.XLOOKUP(B950,'Form responses 1'!$B$2:$B$2604,'Form responses 1'!$F$2:$F$2604,""))</f>
        <v>HM 2692/KOTA BARU</v>
      </c>
      <c r="I950" s="44" t="str">
        <f t="array" ref="I950">IF(B950="","",_xlfn.XLOOKUP(B950,'Form responses 1'!$B$2:$B$2604,'Form responses 1'!$I$2:$I$2604,""))</f>
        <v>KOTA BARU</v>
      </c>
      <c r="J950" s="44" t="str">
        <f t="array" ref="J950">IF(B950="","",_xlfn.XLOOKUP(B950,'Form responses 1'!$B$2:$B$2604,'Form responses 1'!$G$2:$G$2604,""))</f>
        <v>Deby</v>
      </c>
      <c r="K950" s="41" t="s">
        <v>1233</v>
      </c>
      <c r="L950" s="52">
        <f t="shared" si="7"/>
        <v>45611.48042</v>
      </c>
      <c r="M950" s="49"/>
      <c r="N950" s="49"/>
      <c r="O950" s="49"/>
      <c r="P950" s="49"/>
      <c r="Q950" s="49"/>
      <c r="R950" s="49"/>
      <c r="S950" s="49"/>
      <c r="T950" s="49"/>
      <c r="U950" s="49"/>
      <c r="V950" s="49"/>
      <c r="W950" s="41" t="s">
        <v>618</v>
      </c>
      <c r="X950" s="46">
        <f t="shared" si="5"/>
        <v>45611.48045</v>
      </c>
      <c r="Y950" s="50" t="s">
        <v>482</v>
      </c>
      <c r="Z950" s="49">
        <f t="shared" si="6"/>
        <v>0</v>
      </c>
    </row>
    <row r="951" ht="22.5" customHeight="1">
      <c r="B951" s="41" t="s">
        <v>4832</v>
      </c>
      <c r="C951" s="43">
        <f t="array" ref="C951">IF(B951="","",_xlfn.XLOOKUP(B951,'Form responses 1'!$B$2:$B$2604,'Form responses 1'!$A$2:$A$2604,""))</f>
        <v>45610.4038</v>
      </c>
      <c r="D951" s="44" t="str">
        <f t="shared" si="3"/>
        <v>K/7/141124/1_45610.4038002315</v>
      </c>
      <c r="E951" s="44" t="str">
        <f t="array" ref="E951">IF(B951="","",_xlfn.XLOOKUP(B951,'Form responses 1'!$B$2:$B$2604,'Form responses 1'!$C$2:$C$2604,""))</f>
        <v>BAMBANG ABIYONO / WINDI KANIASARI</v>
      </c>
      <c r="F951" s="44" t="str">
        <f t="array" ref="F951">IF(B951="","",_xlfn.XLOOKUP(B951,'Form responses 1'!$B$2:$B$2604,'Form responses 1'!$D$2:$D$2604,""))</f>
        <v>+62 852-7307-2656</v>
      </c>
      <c r="G951" s="44" t="str">
        <f t="array" ref="G951">IF(B951="","",_xlfn.XLOOKUP(B951,'Form responses 1'!$B$2:$B$2604,'Form responses 1'!$E$2:$E$2604,""))</f>
        <v>BN JUAL BELI</v>
      </c>
      <c r="H951" s="44" t="str">
        <f t="array" ref="H951">IF(B951="","",_xlfn.XLOOKUP(B951,'Form responses 1'!$B$2:$B$2604,'Form responses 1'!$F$2:$F$2604,""))</f>
        <v>NIBEL M. 1762/PEMATANG WANGI</v>
      </c>
      <c r="I951" s="44" t="str">
        <f t="array" ref="I951">IF(B951="","",_xlfn.XLOOKUP(B951,'Form responses 1'!$B$2:$B$2604,'Form responses 1'!$I$2:$I$2604,""))</f>
        <v>PEMATANG WANGI</v>
      </c>
      <c r="J951" s="44" t="str">
        <f t="array" ref="J951">IF(B951="","",_xlfn.XLOOKUP(B951,'Form responses 1'!$B$2:$B$2604,'Form responses 1'!$G$2:$G$2604,""))</f>
        <v>Aisyah</v>
      </c>
      <c r="K951" s="41" t="s">
        <v>1233</v>
      </c>
      <c r="L951" s="52">
        <f t="shared" si="7"/>
        <v>45611.49618</v>
      </c>
      <c r="M951" s="49"/>
      <c r="N951" s="49"/>
      <c r="O951" s="49"/>
      <c r="P951" s="49"/>
      <c r="Q951" s="49"/>
      <c r="R951" s="49"/>
      <c r="S951" s="49"/>
      <c r="T951" s="49"/>
      <c r="U951" s="49"/>
      <c r="V951" s="49"/>
      <c r="W951" s="41" t="s">
        <v>618</v>
      </c>
      <c r="X951" s="46">
        <f t="shared" si="5"/>
        <v>45611.49619</v>
      </c>
      <c r="Y951" s="50" t="s">
        <v>482</v>
      </c>
      <c r="Z951" s="49">
        <f t="shared" si="6"/>
        <v>0</v>
      </c>
    </row>
    <row r="952" ht="22.5" customHeight="1">
      <c r="B952" s="41" t="s">
        <v>230</v>
      </c>
      <c r="C952" s="43">
        <f t="array" ref="C952">IF(B952="","",_xlfn.XLOOKUP(B952,'Form responses 1'!$B$2:$B$2604,'Form responses 1'!$A$2:$A$2604,""))</f>
        <v>45579.6163</v>
      </c>
      <c r="D952" s="44" t="str">
        <f t="shared" si="3"/>
        <v>K/41/141024/1_45579.6163003704</v>
      </c>
      <c r="E952" s="44" t="str">
        <f t="array" ref="E952">IF(B952="","",_xlfn.XLOOKUP(B952,'Form responses 1'!$B$2:$B$2604,'Form responses 1'!$C$2:$C$2604,""))</f>
        <v>RAHMADIYANTI</v>
      </c>
      <c r="F952" s="44" t="str">
        <f t="array" ref="F952">IF(B952="","",_xlfn.XLOOKUP(B952,'Form responses 1'!$B$2:$B$2604,'Form responses 1'!$D$2:$D$2604,""))</f>
        <v>082182090051</v>
      </c>
      <c r="G952" s="44" t="str">
        <f t="array" ref="G952">IF(B952="","",_xlfn.XLOOKUP(B952,'Form responses 1'!$B$2:$B$2604,'Form responses 1'!$E$2:$E$2604,""))</f>
        <v>ROYA </v>
      </c>
      <c r="H952" s="44" t="str">
        <f t="array" ref="H952">IF(B952="","",_xlfn.XLOOKUP(B952,'Form responses 1'!$B$2:$B$2604,'Form responses 1'!$F$2:$F$2604,""))</f>
        <v>M. 2283/ GEDONG AIR</v>
      </c>
      <c r="I952" s="44" t="str">
        <f t="array" ref="I952">IF(B952="","",_xlfn.XLOOKUP(B952,'Form responses 1'!$B$2:$B$2604,'Form responses 1'!$I$2:$I$2604,""))</f>
        <v>GEDONG AIR</v>
      </c>
      <c r="J952" s="44" t="str">
        <f t="array" ref="J952">IF(B952="","",_xlfn.XLOOKUP(B952,'Form responses 1'!$B$2:$B$2604,'Form responses 1'!$G$2:$G$2604,""))</f>
        <v>Hananda</v>
      </c>
      <c r="K952" s="41" t="s">
        <v>1233</v>
      </c>
      <c r="L952" s="52">
        <f t="shared" si="7"/>
        <v>45611.50251</v>
      </c>
      <c r="M952" s="49"/>
      <c r="N952" s="49"/>
      <c r="O952" s="49"/>
      <c r="P952" s="49"/>
      <c r="Q952" s="49"/>
      <c r="R952" s="49"/>
      <c r="S952" s="49"/>
      <c r="T952" s="49"/>
      <c r="U952" s="49"/>
      <c r="V952" s="49"/>
      <c r="W952" s="41" t="s">
        <v>618</v>
      </c>
      <c r="X952" s="46">
        <f t="shared" si="5"/>
        <v>45611.50253</v>
      </c>
      <c r="Y952" s="50" t="s">
        <v>482</v>
      </c>
      <c r="Z952" s="49">
        <f t="shared" si="6"/>
        <v>0</v>
      </c>
    </row>
    <row r="953" ht="22.5" customHeight="1">
      <c r="B953" s="41" t="s">
        <v>160</v>
      </c>
      <c r="C953" s="43">
        <f t="array" ref="C953">IF(B953="","",_xlfn.XLOOKUP(B953,'Form responses 1'!$B$2:$B$2604,'Form responses 1'!$A$2:$A$2604,""))</f>
        <v>45579.57794</v>
      </c>
      <c r="D953" s="44" t="str">
        <f t="shared" si="3"/>
        <v>K/29/141024/1_45579.5779375116</v>
      </c>
      <c r="E953" s="44" t="str">
        <f t="array" ref="E953">IF(B953="","",_xlfn.XLOOKUP(B953,'Form responses 1'!$B$2:$B$2604,'Form responses 1'!$C$2:$C$2604,""))</f>
        <v>GUNAWAN</v>
      </c>
      <c r="F953" s="44" t="str">
        <f t="array" ref="F953">IF(B953="","",_xlfn.XLOOKUP(B953,'Form responses 1'!$B$2:$B$2604,'Form responses 1'!$D$2:$D$2604,""))</f>
        <v>085273192152</v>
      </c>
      <c r="G953" s="44" t="str">
        <f t="array" ref="G953">IF(B953="","",_xlfn.XLOOKUP(B953,'Form responses 1'!$B$2:$B$2604,'Form responses 1'!$E$2:$E$2604,""))</f>
        <v>PTPGT PEMECAHAN</v>
      </c>
      <c r="H953" s="44" t="str">
        <f t="array" ref="H953">IF(B953="","",_xlfn.XLOOKUP(B953,'Form responses 1'!$B$2:$B$2604,'Form responses 1'!$F$2:$F$2604,""))</f>
        <v>M. 2445/ SUKADANA HAM</v>
      </c>
      <c r="I953" s="44" t="str">
        <f t="array" ref="I953">IF(B953="","",_xlfn.XLOOKUP(B953,'Form responses 1'!$B$2:$B$2604,'Form responses 1'!$I$2:$I$2604,""))</f>
        <v>SUKADANA HAM</v>
      </c>
      <c r="J953" s="44" t="str">
        <f t="array" ref="J953">IF(B953="","",_xlfn.XLOOKUP(B953,'Form responses 1'!$B$2:$B$2604,'Form responses 1'!$G$2:$G$2604,""))</f>
        <v>Hananda</v>
      </c>
      <c r="K953" s="41" t="s">
        <v>1233</v>
      </c>
      <c r="L953" s="52">
        <f t="shared" si="7"/>
        <v>45611.52548</v>
      </c>
      <c r="M953" s="49"/>
      <c r="N953" s="49"/>
      <c r="O953" s="49"/>
      <c r="P953" s="49"/>
      <c r="Q953" s="49"/>
      <c r="R953" s="49"/>
      <c r="S953" s="49"/>
      <c r="T953" s="49"/>
      <c r="U953" s="49"/>
      <c r="V953" s="49"/>
      <c r="W953" s="41" t="s">
        <v>618</v>
      </c>
      <c r="X953" s="46">
        <f t="shared" si="5"/>
        <v>45611.52549</v>
      </c>
      <c r="Y953" s="50" t="s">
        <v>482</v>
      </c>
      <c r="Z953" s="49">
        <f t="shared" si="6"/>
        <v>0</v>
      </c>
    </row>
    <row r="954" ht="22.5" customHeight="1">
      <c r="B954" s="41" t="s">
        <v>4888</v>
      </c>
      <c r="C954" s="43">
        <f t="array" ref="C954">IF(B954="","",_xlfn.XLOOKUP(B954,'Form responses 1'!$B$2:$B$2604,'Form responses 1'!$A$2:$A$2604,""))</f>
        <v>45610.58078</v>
      </c>
      <c r="D954" s="44" t="str">
        <f t="shared" si="3"/>
        <v>K/28/141124/1_45610.5807813542</v>
      </c>
      <c r="E954" s="44" t="str">
        <f t="array" ref="E954">IF(B954="","",_xlfn.XLOOKUP(B954,'Form responses 1'!$B$2:$B$2604,'Form responses 1'!$C$2:$C$2604,""))</f>
        <v>PT INTISUMBER HASILSEMPURNA/NANIK MARYANI</v>
      </c>
      <c r="F954" s="44" t="str">
        <f t="array" ref="F954">IF(B954="","",_xlfn.XLOOKUP(B954,'Form responses 1'!$B$2:$B$2604,'Form responses 1'!$D$2:$D$2604,""))</f>
        <v>0831-7850-1348</v>
      </c>
      <c r="G954" s="44" t="str">
        <f t="array" ref="G954">IF(B954="","",_xlfn.XLOOKUP(B954,'Form responses 1'!$B$2:$B$2604,'Form responses 1'!$E$2:$E$2604,""))</f>
        <v>BN JUAL BELI</v>
      </c>
      <c r="H954" s="44" t="str">
        <f t="array" ref="H954">IF(B954="","",_xlfn.XLOOKUP(B954,'Form responses 1'!$B$2:$B$2604,'Form responses 1'!$F$2:$F$2604,""))</f>
        <v>NIBEL B.1608/CAMPANG RAYA</v>
      </c>
      <c r="I954" s="44" t="str">
        <f t="array" ref="I954">IF(B954="","",_xlfn.XLOOKUP(B954,'Form responses 1'!$B$2:$B$2604,'Form responses 1'!$I$2:$I$2604,""))</f>
        <v>CAMPANG RAYA</v>
      </c>
      <c r="J954" s="44" t="str">
        <f t="array" ref="J954">IF(B954="","",_xlfn.XLOOKUP(B954,'Form responses 1'!$B$2:$B$2604,'Form responses 1'!$G$2:$G$2604,""))</f>
        <v>Baynur</v>
      </c>
      <c r="K954" s="41" t="s">
        <v>1233</v>
      </c>
      <c r="L954" s="52">
        <f t="shared" si="7"/>
        <v>45611.53332</v>
      </c>
      <c r="M954" s="49"/>
      <c r="N954" s="49"/>
      <c r="O954" s="49"/>
      <c r="P954" s="49"/>
      <c r="Q954" s="49"/>
      <c r="R954" s="49"/>
      <c r="S954" s="49"/>
      <c r="T954" s="49"/>
      <c r="U954" s="49"/>
      <c r="V954" s="49"/>
      <c r="W954" s="41" t="s">
        <v>618</v>
      </c>
      <c r="X954" s="46">
        <f t="shared" si="5"/>
        <v>45611.53336</v>
      </c>
      <c r="Y954" s="50" t="s">
        <v>482</v>
      </c>
      <c r="Z954" s="49">
        <f t="shared" si="6"/>
        <v>0</v>
      </c>
    </row>
    <row r="955" ht="22.5" customHeight="1">
      <c r="B955" s="41" t="s">
        <v>4892</v>
      </c>
      <c r="C955" s="43">
        <f t="array" ref="C955">IF(B955="","",_xlfn.XLOOKUP(B955,'Form responses 1'!$B$2:$B$2604,'Form responses 1'!$A$2:$A$2604,""))</f>
        <v>45610.58174</v>
      </c>
      <c r="D955" s="44" t="str">
        <f t="shared" si="3"/>
        <v>K/29/141124/2_45610.5817412269</v>
      </c>
      <c r="E955" s="44" t="str">
        <f t="array" ref="E955">IF(B955="","",_xlfn.XLOOKUP(B955,'Form responses 1'!$B$2:$B$2604,'Form responses 1'!$C$2:$C$2604,""))</f>
        <v>PT INTISUMBER HASILSEMPURNA/NANIK MARYANI</v>
      </c>
      <c r="F955" s="44" t="str">
        <f t="array" ref="F955">IF(B955="","",_xlfn.XLOOKUP(B955,'Form responses 1'!$B$2:$B$2604,'Form responses 1'!$D$2:$D$2604,""))</f>
        <v>0831-7850-1348</v>
      </c>
      <c r="G955" s="44" t="str">
        <f t="array" ref="G955">IF(B955="","",_xlfn.XLOOKUP(B955,'Form responses 1'!$B$2:$B$2604,'Form responses 1'!$E$2:$E$2604,""))</f>
        <v>BN JUAL BELI</v>
      </c>
      <c r="H955" s="44" t="str">
        <f t="array" ref="H955">IF(B955="","",_xlfn.XLOOKUP(B955,'Form responses 1'!$B$2:$B$2604,'Form responses 1'!$F$2:$F$2604,""))</f>
        <v>NIBEL B.2258/CAMPANG RAYA</v>
      </c>
      <c r="I955" s="44" t="str">
        <f t="array" ref="I955">IF(B955="","",_xlfn.XLOOKUP(B955,'Form responses 1'!$B$2:$B$2604,'Form responses 1'!$I$2:$I$2604,""))</f>
        <v>CAMPANG RAYA</v>
      </c>
      <c r="J955" s="44" t="str">
        <f t="array" ref="J955">IF(B955="","",_xlfn.XLOOKUP(B955,'Form responses 1'!$B$2:$B$2604,'Form responses 1'!$G$2:$G$2604,""))</f>
        <v>Baynur</v>
      </c>
      <c r="K955" s="41" t="s">
        <v>1233</v>
      </c>
      <c r="L955" s="52">
        <f t="shared" si="7"/>
        <v>45611.64177</v>
      </c>
      <c r="M955" s="49"/>
      <c r="N955" s="49"/>
      <c r="O955" s="49"/>
      <c r="P955" s="49"/>
      <c r="Q955" s="49"/>
      <c r="R955" s="49"/>
      <c r="S955" s="49"/>
      <c r="T955" s="49"/>
      <c r="U955" s="49"/>
      <c r="V955" s="49"/>
      <c r="W955" s="41" t="s">
        <v>618</v>
      </c>
      <c r="X955" s="46">
        <f t="shared" si="5"/>
        <v>45611.64181</v>
      </c>
      <c r="Y955" s="50" t="s">
        <v>482</v>
      </c>
      <c r="Z955" s="49">
        <f t="shared" si="6"/>
        <v>0</v>
      </c>
    </row>
    <row r="956" ht="22.5" customHeight="1">
      <c r="B956" s="41" t="s">
        <v>4928</v>
      </c>
      <c r="C956" s="43">
        <f t="array" ref="C956">IF(B956="","",_xlfn.XLOOKUP(B956,'Form responses 1'!$B$2:$B$2604,'Form responses 1'!$A$2:$A$2604,""))</f>
        <v>45610.6022</v>
      </c>
      <c r="D956" s="44" t="str">
        <f t="shared" si="3"/>
        <v>K/41/141124/1_45610.6021983796</v>
      </c>
      <c r="E956" s="44" t="str">
        <f t="array" ref="E956">IF(B956="","",_xlfn.XLOOKUP(B956,'Form responses 1'!$B$2:$B$2604,'Form responses 1'!$C$2:$C$2604,""))</f>
        <v>WILLIAM TANDEAN/NEDI HERYANDI</v>
      </c>
      <c r="F956" s="44" t="str">
        <f t="array" ref="F956">IF(B956="","",_xlfn.XLOOKUP(B956,'Form responses 1'!$B$2:$B$2604,'Form responses 1'!$D$2:$D$2604,""))</f>
        <v>0821-8036-8994</v>
      </c>
      <c r="G956" s="44" t="str">
        <f t="array" ref="G956">IF(B956="","",_xlfn.XLOOKUP(B956,'Form responses 1'!$B$2:$B$2604,'Form responses 1'!$E$2:$E$2604,""))</f>
        <v>BN JUAL BELI</v>
      </c>
      <c r="H956" s="44" t="str">
        <f t="array" ref="H956">IF(B956="","",_xlfn.XLOOKUP(B956,'Form responses 1'!$B$2:$B$2604,'Form responses 1'!$F$2:$F$2604,""))</f>
        <v>M.14809/RAJABASA</v>
      </c>
      <c r="I956" s="44" t="str">
        <f t="array" ref="I956">IF(B956="","",_xlfn.XLOOKUP(B956,'Form responses 1'!$B$2:$B$2604,'Form responses 1'!$I$2:$I$2604,""))</f>
        <v>RAJABASA</v>
      </c>
      <c r="J956" s="44" t="str">
        <f t="array" ref="J956">IF(B956="","",_xlfn.XLOOKUP(B956,'Form responses 1'!$B$2:$B$2604,'Form responses 1'!$G$2:$G$2604,""))</f>
        <v>Baynur</v>
      </c>
      <c r="K956" s="41" t="s">
        <v>1233</v>
      </c>
      <c r="L956" s="52">
        <f t="shared" si="7"/>
        <v>45611.64227</v>
      </c>
      <c r="M956" s="49"/>
      <c r="N956" s="49"/>
      <c r="O956" s="49"/>
      <c r="P956" s="49"/>
      <c r="Q956" s="49"/>
      <c r="R956" s="49"/>
      <c r="S956" s="49"/>
      <c r="T956" s="49"/>
      <c r="U956" s="49"/>
      <c r="V956" s="49"/>
      <c r="W956" s="41" t="s">
        <v>618</v>
      </c>
      <c r="X956" s="46">
        <f t="shared" si="5"/>
        <v>45611.64231</v>
      </c>
      <c r="Y956" s="50" t="s">
        <v>482</v>
      </c>
      <c r="Z956" s="49">
        <f t="shared" si="6"/>
        <v>0</v>
      </c>
    </row>
    <row r="957" ht="22.5" customHeight="1">
      <c r="B957" s="41" t="s">
        <v>4943</v>
      </c>
      <c r="C957" s="43">
        <f t="array" ref="C957">IF(B957="","",_xlfn.XLOOKUP(B957,'Form responses 1'!$B$2:$B$2604,'Form responses 1'!$A$2:$A$2604,""))</f>
        <v>45610.60834</v>
      </c>
      <c r="D957" s="44" t="str">
        <f t="shared" si="3"/>
        <v>K/40/141124/5_45610.6083423495</v>
      </c>
      <c r="E957" s="44" t="str">
        <f t="array" ref="E957">IF(B957="","",_xlfn.XLOOKUP(B957,'Form responses 1'!$B$2:$B$2604,'Form responses 1'!$C$2:$C$2604,""))</f>
        <v>DITO SAPUTRA</v>
      </c>
      <c r="F957" s="44" t="str">
        <f t="array" ref="F957">IF(B957="","",_xlfn.XLOOKUP(B957,'Form responses 1'!$B$2:$B$2604,'Form responses 1'!$D$2:$D$2604,""))</f>
        <v>081369350683</v>
      </c>
      <c r="G957" s="44" t="str">
        <f t="array" ref="G957">IF(B957="","",_xlfn.XLOOKUP(B957,'Form responses 1'!$B$2:$B$2604,'Form responses 1'!$E$2:$E$2604,""))</f>
        <v>SKPT LELANG</v>
      </c>
      <c r="H957" s="44" t="str">
        <f t="array" ref="H957">IF(B957="","",_xlfn.XLOOKUP(B957,'Form responses 1'!$B$2:$B$2604,'Form responses 1'!$F$2:$F$2604,""))</f>
        <v>M. 2806/ Beringin Raya</v>
      </c>
      <c r="I957" s="44" t="str">
        <f t="array" ref="I957">IF(B957="","",_xlfn.XLOOKUP(B957,'Form responses 1'!$B$2:$B$2604,'Form responses 1'!$I$2:$I$2604,""))</f>
        <v> Beringin Raya</v>
      </c>
      <c r="J957" s="44" t="str">
        <f t="array" ref="J957">IF(B957="","",_xlfn.XLOOKUP(B957,'Form responses 1'!$B$2:$B$2604,'Form responses 1'!$G$2:$G$2604,""))</f>
        <v>Hananda</v>
      </c>
      <c r="K957" s="41" t="s">
        <v>587</v>
      </c>
      <c r="L957" s="52">
        <f t="shared" si="7"/>
        <v>45611.71068</v>
      </c>
      <c r="M957" s="49"/>
      <c r="N957" s="49"/>
      <c r="O957" s="49"/>
      <c r="P957" s="49"/>
      <c r="Q957" s="49"/>
      <c r="R957" s="49"/>
      <c r="S957" s="49"/>
      <c r="T957" s="49"/>
      <c r="U957" s="49"/>
      <c r="V957" s="49"/>
      <c r="W957" s="56"/>
      <c r="X957" s="51" t="str">
        <f t="shared" si="5"/>
        <v/>
      </c>
      <c r="Y957" s="50" t="s">
        <v>482</v>
      </c>
      <c r="Z957" s="49">
        <f t="shared" si="6"/>
        <v>0</v>
      </c>
    </row>
    <row r="958" ht="22.5" customHeight="1">
      <c r="B958" s="41" t="s">
        <v>4931</v>
      </c>
      <c r="C958" s="43">
        <f t="array" ref="C958">IF(B958="","",_xlfn.XLOOKUP(B958,'Form responses 1'!$B$2:$B$2604,'Form responses 1'!$A$2:$A$2604,""))</f>
        <v>45610.60309</v>
      </c>
      <c r="D958" s="44" t="str">
        <f t="shared" si="3"/>
        <v>K/42/141124/2_45610.6030925579</v>
      </c>
      <c r="E958" s="44" t="str">
        <f t="array" ref="E958">IF(B958="","",_xlfn.XLOOKUP(B958,'Form responses 1'!$B$2:$B$2604,'Form responses 1'!$C$2:$C$2604,""))</f>
        <v>DEFTI NUGRAHENI/NEDI HERYANDI</v>
      </c>
      <c r="F958" s="44" t="str">
        <f t="array" ref="F958">IF(B958="","",_xlfn.XLOOKUP(B958,'Form responses 1'!$B$2:$B$2604,'Form responses 1'!$D$2:$D$2604,""))</f>
        <v>0821-8036-8994</v>
      </c>
      <c r="G958" s="44" t="str">
        <f t="array" ref="G958">IF(B958="","",_xlfn.XLOOKUP(B958,'Form responses 1'!$B$2:$B$2604,'Form responses 1'!$E$2:$E$2604,""))</f>
        <v>BN JUAL BELI</v>
      </c>
      <c r="H958" s="44" t="str">
        <f t="array" ref="H958">IF(B958="","",_xlfn.XLOOKUP(B958,'Form responses 1'!$B$2:$B$2604,'Form responses 1'!$F$2:$F$2604,""))</f>
        <v>M.3233/GEDONG AIR</v>
      </c>
      <c r="I958" s="44" t="str">
        <f t="array" ref="I958">IF(B958="","",_xlfn.XLOOKUP(B958,'Form responses 1'!$B$2:$B$2604,'Form responses 1'!$I$2:$I$2604,""))</f>
        <v>GEDONG AIR</v>
      </c>
      <c r="J958" s="44" t="str">
        <f t="array" ref="J958">IF(B958="","",_xlfn.XLOOKUP(B958,'Form responses 1'!$B$2:$B$2604,'Form responses 1'!$G$2:$G$2604,""))</f>
        <v>Baynur</v>
      </c>
      <c r="K958" s="41" t="s">
        <v>587</v>
      </c>
      <c r="L958" s="52">
        <f t="shared" si="7"/>
        <v>45611.71088</v>
      </c>
      <c r="M958" s="49"/>
      <c r="N958" s="49"/>
      <c r="O958" s="49"/>
      <c r="P958" s="49"/>
      <c r="Q958" s="49"/>
      <c r="R958" s="49"/>
      <c r="S958" s="49"/>
      <c r="T958" s="49"/>
      <c r="U958" s="49"/>
      <c r="V958" s="49"/>
      <c r="W958" s="56"/>
      <c r="X958" s="51" t="str">
        <f t="shared" si="5"/>
        <v/>
      </c>
      <c r="Y958" s="50" t="s">
        <v>482</v>
      </c>
      <c r="Z958" s="49">
        <f t="shared" si="6"/>
        <v>0</v>
      </c>
    </row>
    <row r="959" ht="22.5" customHeight="1">
      <c r="B959" s="41" t="s">
        <v>4937</v>
      </c>
      <c r="C959" s="43">
        <f t="array" ref="C959">IF(B959="","",_xlfn.XLOOKUP(B959,'Form responses 1'!$B$2:$B$2604,'Form responses 1'!$A$2:$A$2604,""))</f>
        <v>45610.60398</v>
      </c>
      <c r="D959" s="44" t="str">
        <f t="shared" si="3"/>
        <v>K/43/141124/3_45610.6039821412</v>
      </c>
      <c r="E959" s="44" t="str">
        <f t="array" ref="E959">IF(B959="","",_xlfn.XLOOKUP(B959,'Form responses 1'!$B$2:$B$2604,'Form responses 1'!$C$2:$C$2604,""))</f>
        <v>WILLIAM TANDEAN/NEDI HERYANDI</v>
      </c>
      <c r="F959" s="44" t="str">
        <f t="array" ref="F959">IF(B959="","",_xlfn.XLOOKUP(B959,'Form responses 1'!$B$2:$B$2604,'Form responses 1'!$D$2:$D$2604,""))</f>
        <v>0821-8036-8994</v>
      </c>
      <c r="G959" s="44" t="str">
        <f t="array" ref="G959">IF(B959="","",_xlfn.XLOOKUP(B959,'Form responses 1'!$B$2:$B$2604,'Form responses 1'!$E$2:$E$2604,""))</f>
        <v>BN JUAL BELI</v>
      </c>
      <c r="H959" s="44" t="str">
        <f t="array" ref="H959">IF(B959="","",_xlfn.XLOOKUP(B959,'Form responses 1'!$B$2:$B$2604,'Form responses 1'!$F$2:$F$2604,""))</f>
        <v>M.14810/RAJABASA</v>
      </c>
      <c r="I959" s="44" t="str">
        <f t="array" ref="I959">IF(B959="","",_xlfn.XLOOKUP(B959,'Form responses 1'!$B$2:$B$2604,'Form responses 1'!$I$2:$I$2604,""))</f>
        <v>RAJABASA</v>
      </c>
      <c r="J959" s="44" t="str">
        <f t="array" ref="J959">IF(B959="","",_xlfn.XLOOKUP(B959,'Form responses 1'!$B$2:$B$2604,'Form responses 1'!$G$2:$G$2604,""))</f>
        <v>Baynur</v>
      </c>
      <c r="K959" s="41" t="s">
        <v>587</v>
      </c>
      <c r="L959" s="52">
        <f t="shared" si="7"/>
        <v>45611.71118</v>
      </c>
      <c r="M959" s="49"/>
      <c r="N959" s="49"/>
      <c r="O959" s="49"/>
      <c r="P959" s="49"/>
      <c r="Q959" s="49"/>
      <c r="R959" s="49"/>
      <c r="S959" s="49"/>
      <c r="T959" s="49"/>
      <c r="U959" s="49"/>
      <c r="V959" s="49"/>
      <c r="W959" s="56"/>
      <c r="X959" s="51" t="str">
        <f t="shared" si="5"/>
        <v/>
      </c>
      <c r="Y959" s="50" t="s">
        <v>482</v>
      </c>
      <c r="Z959" s="49">
        <f t="shared" si="6"/>
        <v>0</v>
      </c>
    </row>
    <row r="960" ht="22.5" customHeight="1">
      <c r="B960" s="41" t="s">
        <v>4912</v>
      </c>
      <c r="C960" s="43">
        <f t="array" ref="C960">IF(B960="","",_xlfn.XLOOKUP(B960,'Form responses 1'!$B$2:$B$2604,'Form responses 1'!$A$2:$A$2604,""))</f>
        <v>45610.59509</v>
      </c>
      <c r="D960" s="44" t="str">
        <f t="shared" si="3"/>
        <v>K/32/141124/1_45610.5950855787</v>
      </c>
      <c r="E960" s="44" t="str">
        <f t="array" ref="E960">IF(B960="","",_xlfn.XLOOKUP(B960,'Form responses 1'!$B$2:$B$2604,'Form responses 1'!$C$2:$C$2604,""))</f>
        <v>ARI ANGGRAINI/ENDANG APRILIA</v>
      </c>
      <c r="F960" s="44" t="str">
        <f t="array" ref="F960">IF(B960="","",_xlfn.XLOOKUP(B960,'Form responses 1'!$B$2:$B$2604,'Form responses 1'!$D$2:$D$2604,""))</f>
        <v>0822-8923-5722</v>
      </c>
      <c r="G960" s="44" t="str">
        <f t="array" ref="G960">IF(B960="","",_xlfn.XLOOKUP(B960,'Form responses 1'!$B$2:$B$2604,'Form responses 1'!$E$2:$E$2604,""))</f>
        <v>PENINGKATAN</v>
      </c>
      <c r="H960" s="44" t="str">
        <f t="array" ref="H960">IF(B960="","",_xlfn.XLOOKUP(B960,'Form responses 1'!$B$2:$B$2604,'Form responses 1'!$F$2:$F$2604,""))</f>
        <v>NIBEL B.3054/KEMILING PERMAI</v>
      </c>
      <c r="I960" s="44" t="str">
        <f t="array" ref="I960">IF(B960="","",_xlfn.XLOOKUP(B960,'Form responses 1'!$B$2:$B$2604,'Form responses 1'!$I$2:$I$2604,""))</f>
        <v>KEMILING PERMAI</v>
      </c>
      <c r="J960" s="44" t="str">
        <f t="array" ref="J960">IF(B960="","",_xlfn.XLOOKUP(B960,'Form responses 1'!$B$2:$B$2604,'Form responses 1'!$G$2:$G$2604,""))</f>
        <v>Baynur</v>
      </c>
      <c r="K960" s="41" t="s">
        <v>587</v>
      </c>
      <c r="L960" s="52">
        <f t="shared" si="7"/>
        <v>45611.71134</v>
      </c>
      <c r="M960" s="49"/>
      <c r="N960" s="49"/>
      <c r="O960" s="49"/>
      <c r="P960" s="49"/>
      <c r="Q960" s="49"/>
      <c r="R960" s="49"/>
      <c r="S960" s="49"/>
      <c r="T960" s="49"/>
      <c r="U960" s="49"/>
      <c r="V960" s="49"/>
      <c r="W960" s="56"/>
      <c r="X960" s="51" t="str">
        <f t="shared" si="5"/>
        <v/>
      </c>
      <c r="Y960" s="50" t="s">
        <v>482</v>
      </c>
      <c r="Z960" s="49">
        <f t="shared" si="6"/>
        <v>0</v>
      </c>
    </row>
    <row r="961" ht="22.5" customHeight="1">
      <c r="B961" s="41" t="s">
        <v>4861</v>
      </c>
      <c r="C961" s="43">
        <f t="array" ref="C961">IF(B961="","",_xlfn.XLOOKUP(B961,'Form responses 1'!$B$2:$B$2604,'Form responses 1'!$A$2:$A$2604,""))</f>
        <v>45610.47774</v>
      </c>
      <c r="D961" s="44" t="str">
        <f t="shared" si="3"/>
        <v>K/16/141124/1_45610.4777422801</v>
      </c>
      <c r="E961" s="44" t="str">
        <f t="array" ref="E961">IF(B961="","",_xlfn.XLOOKUP(B961,'Form responses 1'!$B$2:$B$2604,'Form responses 1'!$C$2:$C$2604,""))</f>
        <v>SAIDA FITRI YANA / SUBHAN ROZI</v>
      </c>
      <c r="F961" s="44" t="str">
        <f t="array" ref="F961">IF(B961="","",_xlfn.XLOOKUP(B961,'Form responses 1'!$B$2:$B$2604,'Form responses 1'!$D$2:$D$2604,""))</f>
        <v>+62 812-7954-4555</v>
      </c>
      <c r="G961" s="44" t="str">
        <f t="array" ref="G961">IF(B961="","",_xlfn.XLOOKUP(B961,'Form responses 1'!$B$2:$B$2604,'Form responses 1'!$E$2:$E$2604,""))</f>
        <v>PERUBAHAN HAK</v>
      </c>
      <c r="H961" s="44" t="str">
        <f t="array" ref="H961">IF(B961="","",_xlfn.XLOOKUP(B961,'Form responses 1'!$B$2:$B$2604,'Form responses 1'!$F$2:$F$2604,""))</f>
        <v>NIBEL B 2726</v>
      </c>
      <c r="I961" s="44" t="str">
        <f t="array" ref="I961">IF(B961="","",_xlfn.XLOOKUP(B961,'Form responses 1'!$B$2:$B$2604,'Form responses 1'!$I$2:$I$2604,""))</f>
        <v>BERINGIN JAYA</v>
      </c>
      <c r="J961" s="44" t="str">
        <f t="array" ref="J961">IF(B961="","",_xlfn.XLOOKUP(B961,'Form responses 1'!$B$2:$B$2604,'Form responses 1'!$G$2:$G$2604,""))</f>
        <v>Aisyah</v>
      </c>
      <c r="K961" s="41" t="s">
        <v>587</v>
      </c>
      <c r="L961" s="52">
        <f t="shared" si="7"/>
        <v>45611.71155</v>
      </c>
      <c r="M961" s="49"/>
      <c r="N961" s="49"/>
      <c r="O961" s="49"/>
      <c r="P961" s="49"/>
      <c r="Q961" s="49"/>
      <c r="R961" s="49"/>
      <c r="S961" s="49"/>
      <c r="T961" s="49"/>
      <c r="U961" s="49"/>
      <c r="V961" s="49"/>
      <c r="W961" s="56"/>
      <c r="X961" s="51" t="str">
        <f t="shared" si="5"/>
        <v/>
      </c>
      <c r="Y961" s="50" t="s">
        <v>482</v>
      </c>
      <c r="Z961" s="49">
        <f t="shared" si="6"/>
        <v>0</v>
      </c>
    </row>
    <row r="962" ht="22.5" customHeight="1">
      <c r="B962" s="41" t="s">
        <v>5084</v>
      </c>
      <c r="C962" s="43">
        <f t="array" ref="C962">IF(B962="","",_xlfn.XLOOKUP(B962,'Form responses 1'!$B$2:$B$2604,'Form responses 1'!$A$2:$A$2604,""))</f>
        <v>45611.55792</v>
      </c>
      <c r="D962" s="44" t="str">
        <f t="shared" si="3"/>
        <v>K/35/151124/1_45611.5579237384</v>
      </c>
      <c r="E962" s="44" t="str">
        <f t="array" ref="E962">IF(B962="","",_xlfn.XLOOKUP(B962,'Form responses 1'!$B$2:$B$2604,'Form responses 1'!$C$2:$C$2604,""))</f>
        <v>Priyo Susilo/ Lukita Sari</v>
      </c>
      <c r="F962" s="44" t="str">
        <f t="array" ref="F962">IF(B962="","",_xlfn.XLOOKUP(B962,'Form responses 1'!$B$2:$B$2604,'Form responses 1'!$D$2:$D$2604,""))</f>
        <v>081278581675</v>
      </c>
      <c r="G962" s="44" t="str">
        <f t="array" ref="G962">IF(B962="","",_xlfn.XLOOKUP(B962,'Form responses 1'!$B$2:$B$2604,'Form responses 1'!$E$2:$E$2604,""))</f>
        <v>Pemecahan</v>
      </c>
      <c r="H962" s="44" t="str">
        <f t="array" ref="H962">IF(B962="","",_xlfn.XLOOKUP(B962,'Form responses 1'!$B$2:$B$2604,'Form responses 1'!$F$2:$F$2604,""))</f>
        <v>M. 101/ P W K</v>
      </c>
      <c r="I962" s="44" t="str">
        <f t="array" ref="I962">IF(B962="","",_xlfn.XLOOKUP(B962,'Form responses 1'!$B$2:$B$2604,'Form responses 1'!$I$2:$I$2604,""))</f>
        <v>Perumnas Way Kandis</v>
      </c>
      <c r="J962" s="44" t="str">
        <f t="array" ref="J962">IF(B962="","",_xlfn.XLOOKUP(B962,'Form responses 1'!$B$2:$B$2604,'Form responses 1'!$G$2:$G$2604,""))</f>
        <v>Rapita</v>
      </c>
      <c r="K962" s="41" t="s">
        <v>587</v>
      </c>
      <c r="L962" s="52">
        <f t="shared" si="7"/>
        <v>45611.71173</v>
      </c>
      <c r="M962" s="49"/>
      <c r="N962" s="49"/>
      <c r="O962" s="49"/>
      <c r="P962" s="49"/>
      <c r="Q962" s="49"/>
      <c r="R962" s="49"/>
      <c r="S962" s="49"/>
      <c r="T962" s="49"/>
      <c r="U962" s="49"/>
      <c r="V962" s="49"/>
      <c r="W962" s="56"/>
      <c r="X962" s="51" t="str">
        <f t="shared" si="5"/>
        <v/>
      </c>
      <c r="Y962" s="50" t="s">
        <v>482</v>
      </c>
      <c r="Z962" s="49">
        <f t="shared" si="6"/>
        <v>0</v>
      </c>
    </row>
    <row r="963" ht="22.5" customHeight="1">
      <c r="B963" s="41" t="s">
        <v>5139</v>
      </c>
      <c r="C963" s="43">
        <f t="array" ref="C963">IF(B963="","",_xlfn.XLOOKUP(B963,'Form responses 1'!$B$2:$B$2604,'Form responses 1'!$A$2:$A$2604,""))</f>
        <v>45611.62011</v>
      </c>
      <c r="D963" s="44" t="str">
        <f t="shared" si="3"/>
        <v>K/60/151124/2_45611.6201100347</v>
      </c>
      <c r="E963" s="44" t="str">
        <f t="array" ref="E963">IF(B963="","",_xlfn.XLOOKUP(B963,'Form responses 1'!$B$2:$B$2604,'Form responses 1'!$C$2:$C$2604,""))</f>
        <v>Fahrul Rozi/ Zaini Nurman</v>
      </c>
      <c r="F963" s="44" t="str">
        <f t="array" ref="F963">IF(B963="","",_xlfn.XLOOKUP(B963,'Form responses 1'!$B$2:$B$2604,'Form responses 1'!$D$2:$D$2604,""))</f>
        <v>+62 821-7585-0002</v>
      </c>
      <c r="G963" s="44" t="str">
        <f t="array" ref="G963">IF(B963="","",_xlfn.XLOOKUP(B963,'Form responses 1'!$B$2:$B$2604,'Form responses 1'!$E$2:$E$2604,""))</f>
        <v>BN Jual Beli</v>
      </c>
      <c r="H963" s="44" t="str">
        <f t="array" ref="H963">IF(B963="","",_xlfn.XLOOKUP(B963,'Form responses 1'!$B$2:$B$2604,'Form responses 1'!$F$2:$F$2604,""))</f>
        <v>M. 6414/ Gunung Sulah</v>
      </c>
      <c r="I963" s="44" t="str">
        <f t="array" ref="I963">IF(B963="","",_xlfn.XLOOKUP(B963,'Form responses 1'!$B$2:$B$2604,'Form responses 1'!$I$2:$I$2604,""))</f>
        <v>Gunung Sulah</v>
      </c>
      <c r="J963" s="44" t="str">
        <f t="array" ref="J963">IF(B963="","",_xlfn.XLOOKUP(B963,'Form responses 1'!$B$2:$B$2604,'Form responses 1'!$G$2:$G$2604,""))</f>
        <v>Rapita</v>
      </c>
      <c r="K963" s="41" t="s">
        <v>587</v>
      </c>
      <c r="L963" s="52">
        <f t="shared" si="7"/>
        <v>45611.71183</v>
      </c>
      <c r="M963" s="49"/>
      <c r="N963" s="49"/>
      <c r="O963" s="49"/>
      <c r="P963" s="49"/>
      <c r="Q963" s="49"/>
      <c r="R963" s="49"/>
      <c r="S963" s="49"/>
      <c r="T963" s="49"/>
      <c r="U963" s="49"/>
      <c r="V963" s="49"/>
      <c r="W963" s="56"/>
      <c r="X963" s="51" t="str">
        <f t="shared" si="5"/>
        <v/>
      </c>
      <c r="Y963" s="50" t="s">
        <v>482</v>
      </c>
      <c r="Z963" s="49">
        <f t="shared" si="6"/>
        <v>0</v>
      </c>
    </row>
    <row r="964" ht="22.5" customHeight="1">
      <c r="B964" s="41" t="s">
        <v>5168</v>
      </c>
      <c r="C964" s="43">
        <f t="array" ref="C964">IF(B964="","",_xlfn.XLOOKUP(B964,'Form responses 1'!$B$2:$B$2604,'Form responses 1'!$A$2:$A$2604,""))</f>
        <v>45611.63508</v>
      </c>
      <c r="D964" s="44" t="str">
        <f t="shared" si="3"/>
        <v>K/52/151124/5_45611.6350762153</v>
      </c>
      <c r="E964" s="44" t="str">
        <f t="array" ref="E964">IF(B964="","",_xlfn.XLOOKUP(B964,'Form responses 1'!$B$2:$B$2604,'Form responses 1'!$C$2:$C$2604,""))</f>
        <v>Fahrul R/ Zaini N</v>
      </c>
      <c r="F964" s="44" t="str">
        <f t="array" ref="F964">IF(B964="","",_xlfn.XLOOKUP(B964,'Form responses 1'!$B$2:$B$2604,'Form responses 1'!$D$2:$D$2604,""))</f>
        <v>+62 821-7585-0002</v>
      </c>
      <c r="G964" s="44" t="str">
        <f t="array" ref="G964">IF(B964="","",_xlfn.XLOOKUP(B964,'Form responses 1'!$B$2:$B$2604,'Form responses 1'!$E$2:$E$2604,""))</f>
        <v>BN Jual Beli</v>
      </c>
      <c r="H964" s="44" t="str">
        <f t="array" ref="H964">IF(B964="","",_xlfn.XLOOKUP(B964,'Form responses 1'!$B$2:$B$2604,'Form responses 1'!$F$2:$F$2604,""))</f>
        <v>M. 6416/ Gunung Sulah</v>
      </c>
      <c r="I964" s="44" t="str">
        <f t="array" ref="I964">IF(B964="","",_xlfn.XLOOKUP(B964,'Form responses 1'!$B$2:$B$2604,'Form responses 1'!$I$2:$I$2604,""))</f>
        <v>Gunung Sulah</v>
      </c>
      <c r="J964" s="44" t="str">
        <f t="array" ref="J964">IF(B964="","",_xlfn.XLOOKUP(B964,'Form responses 1'!$B$2:$B$2604,'Form responses 1'!$G$2:$G$2604,""))</f>
        <v>Rapita</v>
      </c>
      <c r="K964" s="41" t="s">
        <v>587</v>
      </c>
      <c r="L964" s="52">
        <f t="shared" si="7"/>
        <v>45611.71205</v>
      </c>
      <c r="M964" s="49"/>
      <c r="N964" s="49"/>
      <c r="O964" s="49"/>
      <c r="P964" s="49"/>
      <c r="Q964" s="49"/>
      <c r="R964" s="49"/>
      <c r="S964" s="49"/>
      <c r="T964" s="49"/>
      <c r="U964" s="49"/>
      <c r="V964" s="49"/>
      <c r="W964" s="56"/>
      <c r="X964" s="51" t="str">
        <f t="shared" si="5"/>
        <v/>
      </c>
      <c r="Y964" s="50" t="s">
        <v>482</v>
      </c>
      <c r="Z964" s="49">
        <f t="shared" si="6"/>
        <v>0</v>
      </c>
    </row>
    <row r="965" ht="22.5" customHeight="1">
      <c r="B965" s="41" t="s">
        <v>5035</v>
      </c>
      <c r="C965" s="43">
        <f t="array" ref="C965">IF(B965="","",_xlfn.XLOOKUP(B965,'Form responses 1'!$B$2:$B$2604,'Form responses 1'!$A$2:$A$2604,""))</f>
        <v>45611.43874</v>
      </c>
      <c r="D965" s="44" t="str">
        <f t="shared" si="3"/>
        <v>K/19/151124/1_45611.4387372106</v>
      </c>
      <c r="E965" s="44" t="str">
        <f t="array" ref="E965">IF(B965="","",_xlfn.XLOOKUP(B965,'Form responses 1'!$B$2:$B$2604,'Form responses 1'!$C$2:$C$2604,""))</f>
        <v>EKA SARI TAHERAH</v>
      </c>
      <c r="F965" s="44" t="str">
        <f t="array" ref="F965">IF(B965="","",_xlfn.XLOOKUP(B965,'Form responses 1'!$B$2:$B$2604,'Form responses 1'!$D$2:$D$2604,""))</f>
        <v>0895363114046</v>
      </c>
      <c r="G965" s="44" t="str">
        <f t="array" ref="G965">IF(B965="","",_xlfn.XLOOKUP(B965,'Form responses 1'!$B$2:$B$2604,'Form responses 1'!$E$2:$E$2604,""))</f>
        <v>BN JUAL BE;I</v>
      </c>
      <c r="H965" s="44" t="str">
        <f t="array" ref="H965">IF(B965="","",_xlfn.XLOOKUP(B965,'Form responses 1'!$B$2:$B$2604,'Form responses 1'!$F$2:$F$2604,""))</f>
        <v> M. 2517/ Pinang Jaya</v>
      </c>
      <c r="I965" s="44" t="str">
        <f t="array" ref="I965">IF(B965="","",_xlfn.XLOOKUP(B965,'Form responses 1'!$B$2:$B$2604,'Form responses 1'!$I$2:$I$2604,""))</f>
        <v>Pinang Jaya</v>
      </c>
      <c r="J965" s="44" t="str">
        <f t="array" ref="J965">IF(B965="","",_xlfn.XLOOKUP(B965,'Form responses 1'!$B$2:$B$2604,'Form responses 1'!$G$2:$G$2604,""))</f>
        <v>Hananda</v>
      </c>
      <c r="K965" s="41" t="s">
        <v>587</v>
      </c>
      <c r="L965" s="52">
        <f t="shared" si="7"/>
        <v>45611.71268</v>
      </c>
      <c r="M965" s="49"/>
      <c r="N965" s="49"/>
      <c r="O965" s="49"/>
      <c r="P965" s="49"/>
      <c r="Q965" s="49"/>
      <c r="R965" s="49"/>
      <c r="S965" s="49"/>
      <c r="T965" s="49"/>
      <c r="U965" s="49"/>
      <c r="V965" s="49"/>
      <c r="W965" s="56"/>
      <c r="X965" s="51" t="str">
        <f t="shared" si="5"/>
        <v/>
      </c>
      <c r="Y965" s="50" t="s">
        <v>482</v>
      </c>
      <c r="Z965" s="49">
        <f t="shared" si="6"/>
        <v>0</v>
      </c>
    </row>
    <row r="966" ht="22.5" customHeight="1">
      <c r="B966" s="41" t="s">
        <v>5102</v>
      </c>
      <c r="C966" s="43">
        <f t="array" ref="C966">IF(B966="","",_xlfn.XLOOKUP(B966,'Form responses 1'!$B$2:$B$2604,'Form responses 1'!$A$2:$A$2604,""))</f>
        <v>45611.58691</v>
      </c>
      <c r="D966" s="44" t="str">
        <f t="shared" si="3"/>
        <v>K/40/151124/1_45611.5869062732</v>
      </c>
      <c r="E966" s="44" t="str">
        <f t="array" ref="E966">IF(B966="","",_xlfn.XLOOKUP(B966,'Form responses 1'!$B$2:$B$2604,'Form responses 1'!$C$2:$C$2604,""))</f>
        <v>RATNA OKTARINA HANDAYANI/KRESHNA DJUAINI</v>
      </c>
      <c r="F966" s="44" t="str">
        <f t="array" ref="F966">IF(B966="","",_xlfn.XLOOKUP(B966,'Form responses 1'!$B$2:$B$2604,'Form responses 1'!$D$2:$D$2604,""))</f>
        <v>0895-0658-4856</v>
      </c>
      <c r="G966" s="44" t="str">
        <f t="array" ref="G966">IF(B966="","",_xlfn.XLOOKUP(B966,'Form responses 1'!$B$2:$B$2604,'Form responses 1'!$E$2:$E$2604,""))</f>
        <v>BN JUAL BELI</v>
      </c>
      <c r="H966" s="44" t="str">
        <f t="array" ref="H966">IF(B966="","",_xlfn.XLOOKUP(B966,'Form responses 1'!$B$2:$B$2604,'Form responses 1'!$F$2:$F$2604,""))</f>
        <v>M.1375/KALI BALAU KENCANA</v>
      </c>
      <c r="I966" s="44" t="str">
        <f t="array" ref="I966">IF(B966="","",_xlfn.XLOOKUP(B966,'Form responses 1'!$B$2:$B$2604,'Form responses 1'!$I$2:$I$2604,""))</f>
        <v>KALI BALAU KENCANA</v>
      </c>
      <c r="J966" s="44" t="str">
        <f t="array" ref="J966">IF(B966="","",_xlfn.XLOOKUP(B966,'Form responses 1'!$B$2:$B$2604,'Form responses 1'!$G$2:$G$2604,""))</f>
        <v>Baynur</v>
      </c>
      <c r="K966" s="41" t="s">
        <v>587</v>
      </c>
      <c r="L966" s="52">
        <f t="shared" si="7"/>
        <v>45611.7129</v>
      </c>
      <c r="M966" s="49"/>
      <c r="N966" s="49"/>
      <c r="O966" s="49"/>
      <c r="P966" s="49"/>
      <c r="Q966" s="49"/>
      <c r="R966" s="49"/>
      <c r="S966" s="49"/>
      <c r="T966" s="49"/>
      <c r="U966" s="49"/>
      <c r="V966" s="49"/>
      <c r="W966" s="56"/>
      <c r="X966" s="51" t="str">
        <f t="shared" si="5"/>
        <v/>
      </c>
      <c r="Y966" s="50" t="s">
        <v>482</v>
      </c>
      <c r="Z966" s="49">
        <f t="shared" si="6"/>
        <v>0</v>
      </c>
    </row>
    <row r="967" ht="22.5" customHeight="1">
      <c r="B967" s="41" t="s">
        <v>4981</v>
      </c>
      <c r="C967" s="43">
        <f t="array" ref="C967">IF(B967="","",_xlfn.XLOOKUP(B967,'Form responses 1'!$B$2:$B$2604,'Form responses 1'!$A$2:$A$2604,""))</f>
        <v>45611.38377</v>
      </c>
      <c r="D967" s="44" t="str">
        <f t="shared" si="3"/>
        <v>K/4/151124/1_45611.38376875</v>
      </c>
      <c r="E967" s="44" t="str">
        <f t="array" ref="E967">IF(B967="","",_xlfn.XLOOKUP(B967,'Form responses 1'!$B$2:$B$2604,'Form responses 1'!$C$2:$C$2604,""))</f>
        <v>SUGIATI/MUSA</v>
      </c>
      <c r="F967" s="44" t="str">
        <f t="array" ref="F967">IF(B967="","",_xlfn.XLOOKUP(B967,'Form responses 1'!$B$2:$B$2604,'Form responses 1'!$D$2:$D$2604,""))</f>
        <v>0895326309661</v>
      </c>
      <c r="G967" s="44" t="str">
        <f t="array" ref="G967">IF(B967="","",_xlfn.XLOOKUP(B967,'Form responses 1'!$B$2:$B$2604,'Form responses 1'!$E$2:$E$2604,""))</f>
        <v>ROYA</v>
      </c>
      <c r="H967" s="44" t="str">
        <f t="array" ref="H967">IF(B967="","",_xlfn.XLOOKUP(B967,'Form responses 1'!$B$2:$B$2604,'Form responses 1'!$F$2:$F$2604,""))</f>
        <v>M.4148/LANGKAPURA</v>
      </c>
      <c r="I967" s="44" t="str">
        <f t="array" ref="I967">IF(B967="","",_xlfn.XLOOKUP(B967,'Form responses 1'!$B$2:$B$2604,'Form responses 1'!$I$2:$I$2604,""))</f>
        <v>LANGKAPURA</v>
      </c>
      <c r="J967" s="44" t="str">
        <f t="array" ref="J967">IF(B967="","",_xlfn.XLOOKUP(B967,'Form responses 1'!$B$2:$B$2604,'Form responses 1'!$G$2:$G$2604,""))</f>
        <v>Baynur</v>
      </c>
      <c r="K967" s="41" t="s">
        <v>587</v>
      </c>
      <c r="L967" s="52">
        <f t="shared" si="7"/>
        <v>45611.71306</v>
      </c>
      <c r="M967" s="49"/>
      <c r="N967" s="49"/>
      <c r="O967" s="49"/>
      <c r="P967" s="49"/>
      <c r="Q967" s="49"/>
      <c r="R967" s="49"/>
      <c r="S967" s="49"/>
      <c r="T967" s="49"/>
      <c r="U967" s="49"/>
      <c r="V967" s="49"/>
      <c r="W967" s="56"/>
      <c r="X967" s="51" t="str">
        <f t="shared" si="5"/>
        <v/>
      </c>
      <c r="Y967" s="50" t="s">
        <v>482</v>
      </c>
      <c r="Z967" s="49">
        <f t="shared" si="6"/>
        <v>0</v>
      </c>
    </row>
    <row r="968" ht="22.5" customHeight="1">
      <c r="B968" s="41" t="s">
        <v>5109</v>
      </c>
      <c r="C968" s="43">
        <f t="array" ref="C968">IF(B968="","",_xlfn.XLOOKUP(B968,'Form responses 1'!$B$2:$B$2604,'Form responses 1'!$A$2:$A$2604,""))</f>
        <v>45611.58947</v>
      </c>
      <c r="D968" s="44" t="str">
        <f t="shared" si="3"/>
        <v>K/42/151124/1_45611.5894657407</v>
      </c>
      <c r="E968" s="44" t="str">
        <f t="array" ref="E968">IF(B968="","",_xlfn.XLOOKUP(B968,'Form responses 1'!$B$2:$B$2604,'Form responses 1'!$C$2:$C$2604,""))</f>
        <v>PUJI ASTUTIK CS/MEINAZIER ZEIN</v>
      </c>
      <c r="F968" s="44" t="str">
        <f t="array" ref="F968">IF(B968="","",_xlfn.XLOOKUP(B968,'Form responses 1'!$B$2:$B$2604,'Form responses 1'!$D$2:$D$2604,""))</f>
        <v>0852-6792-2307</v>
      </c>
      <c r="G968" s="44" t="str">
        <f t="array" ref="G968">IF(B968="","",_xlfn.XLOOKUP(B968,'Form responses 1'!$B$2:$B$2604,'Form responses 1'!$E$2:$E$2604,""))</f>
        <v>KEWARISAN</v>
      </c>
      <c r="H968" s="44" t="str">
        <f t="array" ref="H968">IF(B968="","",_xlfn.XLOOKUP(B968,'Form responses 1'!$B$2:$B$2604,'Form responses 1'!$F$2:$F$2604,""))</f>
        <v>M.42/KORPRI RAYA-SEKARANG;M.9925/SUKARAME I-DAHULU</v>
      </c>
      <c r="I968" s="44" t="str">
        <f t="array" ref="I968">IF(B968="","",_xlfn.XLOOKUP(B968,'Form responses 1'!$B$2:$B$2604,'Form responses 1'!$I$2:$I$2604,""))</f>
        <v>KORPRI RAYA</v>
      </c>
      <c r="J968" s="44" t="str">
        <f t="array" ref="J968">IF(B968="","",_xlfn.XLOOKUP(B968,'Form responses 1'!$B$2:$B$2604,'Form responses 1'!$G$2:$G$2604,""))</f>
        <v>Baynur</v>
      </c>
      <c r="K968" s="41" t="s">
        <v>587</v>
      </c>
      <c r="L968" s="52">
        <f t="shared" si="7"/>
        <v>45611.7132</v>
      </c>
      <c r="M968" s="49"/>
      <c r="N968" s="49"/>
      <c r="O968" s="49"/>
      <c r="P968" s="49"/>
      <c r="Q968" s="49"/>
      <c r="R968" s="49"/>
      <c r="S968" s="49"/>
      <c r="T968" s="49"/>
      <c r="U968" s="49"/>
      <c r="V968" s="49"/>
      <c r="W968" s="56"/>
      <c r="X968" s="51" t="str">
        <f t="shared" si="5"/>
        <v/>
      </c>
      <c r="Y968" s="50" t="s">
        <v>482</v>
      </c>
      <c r="Z968" s="49">
        <f t="shared" si="6"/>
        <v>0</v>
      </c>
    </row>
    <row r="969" ht="22.5" customHeight="1">
      <c r="B969" s="41" t="s">
        <v>5041</v>
      </c>
      <c r="C969" s="43">
        <f t="array" ref="C969">IF(B969="","",_xlfn.XLOOKUP(B969,'Form responses 1'!$B$2:$B$2604,'Form responses 1'!$A$2:$A$2604,""))</f>
        <v>45611.44132</v>
      </c>
      <c r="D969" s="44" t="str">
        <f t="shared" si="3"/>
        <v>K/21/151124/2_45611.4413199421</v>
      </c>
      <c r="E969" s="44" t="str">
        <f t="array" ref="E969">IF(B969="","",_xlfn.XLOOKUP(B969,'Form responses 1'!$B$2:$B$2604,'Form responses 1'!$C$2:$C$2604,""))</f>
        <v>ANGELIA ALI/BUDI KRISTIYANTO</v>
      </c>
      <c r="F969" s="44" t="str">
        <f t="array" ref="F969">IF(B969="","",_xlfn.XLOOKUP(B969,'Form responses 1'!$B$2:$B$2604,'Form responses 1'!$D$2:$D$2604,""))</f>
        <v>0858-6816-7367</v>
      </c>
      <c r="G969" s="44" t="str">
        <f t="array" ref="G969">IF(B969="","",_xlfn.XLOOKUP(B969,'Form responses 1'!$B$2:$B$2604,'Form responses 1'!$E$2:$E$2604,""))</f>
        <v>ROYA LELANG</v>
      </c>
      <c r="H969" s="44" t="str">
        <f t="array" ref="H969">IF(B969="","",_xlfn.XLOOKUP(B969,'Form responses 1'!$B$2:$B$2604,'Form responses 1'!$F$2:$F$2604,""))</f>
        <v>B.535/BAKUNG</v>
      </c>
      <c r="I969" s="44" t="str">
        <f t="array" ref="I969">IF(B969="","",_xlfn.XLOOKUP(B969,'Form responses 1'!$B$2:$B$2604,'Form responses 1'!$I$2:$I$2604,""))</f>
        <v>BAKUNG</v>
      </c>
      <c r="J969" s="44" t="str">
        <f t="array" ref="J969">IF(B969="","",_xlfn.XLOOKUP(B969,'Form responses 1'!$B$2:$B$2604,'Form responses 1'!$G$2:$G$2604,""))</f>
        <v>Baynur</v>
      </c>
      <c r="K969" s="41" t="s">
        <v>587</v>
      </c>
      <c r="L969" s="52">
        <f t="shared" si="7"/>
        <v>45611.71342</v>
      </c>
      <c r="M969" s="49"/>
      <c r="N969" s="49"/>
      <c r="O969" s="49"/>
      <c r="P969" s="49"/>
      <c r="Q969" s="49"/>
      <c r="R969" s="49"/>
      <c r="S969" s="49"/>
      <c r="T969" s="49"/>
      <c r="U969" s="49"/>
      <c r="V969" s="49"/>
      <c r="W969" s="56"/>
      <c r="X969" s="51" t="str">
        <f t="shared" si="5"/>
        <v/>
      </c>
      <c r="Y969" s="50" t="s">
        <v>482</v>
      </c>
      <c r="Z969" s="49">
        <f t="shared" si="6"/>
        <v>0</v>
      </c>
    </row>
    <row r="970" ht="22.5" customHeight="1">
      <c r="B970" s="41" t="s">
        <v>5062</v>
      </c>
      <c r="C970" s="43">
        <f t="array" ref="C970">IF(B970="","",_xlfn.XLOOKUP(B970,'Form responses 1'!$B$2:$B$2604,'Form responses 1'!$A$2:$A$2604,""))</f>
        <v>45611.46577</v>
      </c>
      <c r="D970" s="44" t="str">
        <f t="shared" si="3"/>
        <v>K/24/151124/1_45611.4657712963</v>
      </c>
      <c r="E970" s="44" t="str">
        <f t="array" ref="E970">IF(B970="","",_xlfn.XLOOKUP(B970,'Form responses 1'!$B$2:$B$2604,'Form responses 1'!$C$2:$C$2604,""))</f>
        <v>DEMMY ANNE WINGARDI / LIAUW DIANA SUSILAWATI</v>
      </c>
      <c r="F970" s="44" t="str">
        <f t="array" ref="F970">IF(B970="","",_xlfn.XLOOKUP(B970,'Form responses 1'!$B$2:$B$2604,'Form responses 1'!$D$2:$D$2604,""))</f>
        <v>+62 812-7940-253</v>
      </c>
      <c r="G970" s="44" t="str">
        <f t="array" ref="G970">IF(B970="","",_xlfn.XLOOKUP(B970,'Form responses 1'!$B$2:$B$2604,'Form responses 1'!$E$2:$E$2604,""))</f>
        <v>BN JUAL BELI</v>
      </c>
      <c r="H970" s="44" t="str">
        <f t="array" ref="H970">IF(B970="","",_xlfn.XLOOKUP(B970,'Form responses 1'!$B$2:$B$2604,'Form responses 1'!$F$2:$F$2604,""))</f>
        <v>M. 1717/SUMBERREJO SEJAHTERA</v>
      </c>
      <c r="I970" s="44" t="str">
        <f t="array" ref="I970">IF(B970="","",_xlfn.XLOOKUP(B970,'Form responses 1'!$B$2:$B$2604,'Form responses 1'!$I$2:$I$2604,""))</f>
        <v>SUMBERREJO SEJAHTERA</v>
      </c>
      <c r="J970" s="44" t="str">
        <f t="array" ref="J970">IF(B970="","",_xlfn.XLOOKUP(B970,'Form responses 1'!$B$2:$B$2604,'Form responses 1'!$G$2:$G$2604,""))</f>
        <v>Aisyah</v>
      </c>
      <c r="K970" s="41" t="s">
        <v>587</v>
      </c>
      <c r="L970" s="52">
        <f t="shared" si="7"/>
        <v>45611.71375</v>
      </c>
      <c r="M970" s="49"/>
      <c r="N970" s="49"/>
      <c r="O970" s="49"/>
      <c r="P970" s="49"/>
      <c r="Q970" s="49"/>
      <c r="R970" s="49"/>
      <c r="S970" s="49"/>
      <c r="T970" s="49"/>
      <c r="U970" s="49"/>
      <c r="V970" s="49"/>
      <c r="W970" s="56"/>
      <c r="X970" s="51" t="str">
        <f t="shared" si="5"/>
        <v/>
      </c>
      <c r="Y970" s="50" t="s">
        <v>482</v>
      </c>
      <c r="Z970" s="49">
        <f t="shared" si="6"/>
        <v>0</v>
      </c>
    </row>
    <row r="971" ht="22.5" customHeight="1">
      <c r="B971" s="41" t="s">
        <v>5176</v>
      </c>
      <c r="C971" s="43">
        <f t="array" ref="C971">IF(B971="","",_xlfn.XLOOKUP(B971,'Form responses 1'!$B$2:$B$2604,'Form responses 1'!$A$2:$A$2604,""))</f>
        <v>45612.38727</v>
      </c>
      <c r="D971" s="44" t="str">
        <f t="shared" si="3"/>
        <v>L/1/161124/1_45612.3872704167</v>
      </c>
      <c r="E971" s="44" t="str">
        <f t="array" ref="E971">IF(B971="","",_xlfn.XLOOKUP(B971,'Form responses 1'!$B$2:$B$2604,'Form responses 1'!$C$2:$C$2604,""))</f>
        <v>SANDY BERIA</v>
      </c>
      <c r="F971" s="44" t="str">
        <f t="array" ref="F971">IF(B971="","",_xlfn.XLOOKUP(B971,'Form responses 1'!$B$2:$B$2604,'Form responses 1'!$D$2:$D$2604,""))</f>
        <v>08137365762</v>
      </c>
      <c r="G971" s="44" t="str">
        <f t="array" ref="G971">IF(B971="","",_xlfn.XLOOKUP(B971,'Form responses 1'!$B$2:$B$2604,'Form responses 1'!$E$2:$E$2604,""))</f>
        <v>BN LELANG</v>
      </c>
      <c r="H971" s="44" t="str">
        <f t="array" ref="H971">IF(B971="","",_xlfn.XLOOKUP(B971,'Form responses 1'!$B$2:$B$2604,'Form responses 1'!$F$2:$F$2604,""))</f>
        <v>NIB 3420/TANJUNG SENANG</v>
      </c>
      <c r="I971" s="44" t="str">
        <f t="array" ref="I971">IF(B971="","",_xlfn.XLOOKUP(B971,'Form responses 1'!$B$2:$B$2604,'Form responses 1'!$I$2:$I$2604,""))</f>
        <v>TANJUNG SENANG</v>
      </c>
      <c r="J971" s="44" t="str">
        <f t="array" ref="J971">IF(B971="","",_xlfn.XLOOKUP(B971,'Form responses 1'!$B$2:$B$2604,'Form responses 1'!$G$2:$G$2604,""))</f>
        <v>Deby</v>
      </c>
      <c r="K971" s="41" t="s">
        <v>2875</v>
      </c>
      <c r="L971" s="52">
        <f t="shared" si="7"/>
        <v>45612.3998</v>
      </c>
      <c r="M971" s="49"/>
      <c r="N971" s="49"/>
      <c r="O971" s="49"/>
      <c r="P971" s="49"/>
      <c r="Q971" s="49"/>
      <c r="R971" s="49"/>
      <c r="S971" s="49"/>
      <c r="T971" s="49"/>
      <c r="U971" s="49"/>
      <c r="V971" s="49"/>
      <c r="W971" s="41" t="s">
        <v>618</v>
      </c>
      <c r="X971" s="46">
        <f t="shared" si="5"/>
        <v>45612.39984</v>
      </c>
      <c r="Y971" s="50" t="s">
        <v>482</v>
      </c>
      <c r="Z971" s="49">
        <f t="shared" si="6"/>
        <v>0</v>
      </c>
      <c r="AA971" s="59" t="s">
        <v>5719</v>
      </c>
    </row>
    <row r="972" ht="22.5" customHeight="1">
      <c r="B972" s="41" t="s">
        <v>5180</v>
      </c>
      <c r="C972" s="43">
        <f t="array" ref="C972">IF(B972="","",_xlfn.XLOOKUP(B972,'Form responses 1'!$B$2:$B$2604,'Form responses 1'!$A$2:$A$2604,""))</f>
        <v>45612.41471</v>
      </c>
      <c r="D972" s="44" t="str">
        <f t="shared" si="3"/>
        <v>L/2/161124/1_45612.4147144907</v>
      </c>
      <c r="E972" s="44" t="str">
        <f t="array" ref="E972">IF(B972="","",_xlfn.XLOOKUP(B972,'Form responses 1'!$B$2:$B$2604,'Form responses 1'!$C$2:$C$2604,""))</f>
        <v>SAIFUL FITRI</v>
      </c>
      <c r="F972" s="44" t="str">
        <f t="array" ref="F972">IF(B972="","",_xlfn.XLOOKUP(B972,'Form responses 1'!$B$2:$B$2604,'Form responses 1'!$D$2:$D$2604,""))</f>
        <v>081369177009</v>
      </c>
      <c r="G972" s="44" t="str">
        <f t="array" ref="G972">IF(B972="","",_xlfn.XLOOKUP(B972,'Form responses 1'!$B$2:$B$2604,'Form responses 1'!$E$2:$E$2604,""))</f>
        <v>PEMECAHAN</v>
      </c>
      <c r="H972" s="44" t="str">
        <f t="array" ref="H972">IF(B972="","",_xlfn.XLOOKUP(B972,'Form responses 1'!$B$2:$B$2604,'Form responses 1'!$F$2:$F$2604,""))</f>
        <v>HM 10314/SUKABUMI</v>
      </c>
      <c r="I972" s="44" t="str">
        <f t="array" ref="I972">IF(B972="","",_xlfn.XLOOKUP(B972,'Form responses 1'!$B$2:$B$2604,'Form responses 1'!$I$2:$I$2604,""))</f>
        <v>SUKABUMI</v>
      </c>
      <c r="J972" s="44" t="str">
        <f t="array" ref="J972">IF(B972="","",_xlfn.XLOOKUP(B972,'Form responses 1'!$B$2:$B$2604,'Form responses 1'!$G$2:$G$2604,""))</f>
        <v>Deby</v>
      </c>
      <c r="K972" s="41" t="s">
        <v>2875</v>
      </c>
      <c r="L972" s="52">
        <f t="shared" si="7"/>
        <v>45612.42803</v>
      </c>
      <c r="M972" s="49"/>
      <c r="N972" s="49"/>
      <c r="O972" s="49"/>
      <c r="P972" s="49"/>
      <c r="Q972" s="49"/>
      <c r="R972" s="49"/>
      <c r="S972" s="49"/>
      <c r="T972" s="49"/>
      <c r="U972" s="49"/>
      <c r="V972" s="49"/>
      <c r="W972" s="41" t="s">
        <v>618</v>
      </c>
      <c r="X972" s="46">
        <f t="shared" si="5"/>
        <v>45612.42806</v>
      </c>
      <c r="Y972" s="50" t="s">
        <v>482</v>
      </c>
      <c r="Z972" s="49">
        <f t="shared" si="6"/>
        <v>0</v>
      </c>
      <c r="AA972" s="59" t="s">
        <v>5719</v>
      </c>
    </row>
    <row r="973" ht="22.5" customHeight="1">
      <c r="B973" s="41" t="s">
        <v>5182</v>
      </c>
      <c r="C973" s="43">
        <f t="array" ref="C973">IF(B973="","",_xlfn.XLOOKUP(B973,'Form responses 1'!$B$2:$B$2604,'Form responses 1'!$A$2:$A$2604,""))</f>
        <v>45612.46868</v>
      </c>
      <c r="D973" s="44" t="str">
        <f t="shared" si="3"/>
        <v>L/3/161124/1_45612.4686758449</v>
      </c>
      <c r="E973" s="44" t="str">
        <f t="array" ref="E973">IF(B973="","",_xlfn.XLOOKUP(B973,'Form responses 1'!$B$2:$B$2604,'Form responses 1'!$C$2:$C$2604,""))</f>
        <v>PRA RIZKA</v>
      </c>
      <c r="F973" s="44" t="str">
        <f t="array" ref="F973">IF(B973="","",_xlfn.XLOOKUP(B973,'Form responses 1'!$B$2:$B$2604,'Form responses 1'!$D$2:$D$2604,""))</f>
        <v>08975733229</v>
      </c>
      <c r="G973" s="44" t="str">
        <f t="array" ref="G973">IF(B973="","",_xlfn.XLOOKUP(B973,'Form responses 1'!$B$2:$B$2604,'Form responses 1'!$E$2:$E$2604,""))</f>
        <v>BN LELANG</v>
      </c>
      <c r="H973" s="44" t="str">
        <f t="array" ref="H973">IF(B973="","",_xlfn.XLOOKUP(B973,'Form responses 1'!$B$2:$B$2604,'Form responses 1'!$F$2:$F$2604,""))</f>
        <v>NIB 2757/GUNTER</v>
      </c>
      <c r="I973" s="44" t="str">
        <f t="array" ref="I973">IF(B973="","",_xlfn.XLOOKUP(B973,'Form responses 1'!$B$2:$B$2604,'Form responses 1'!$I$2:$I$2604,""))</f>
        <v>GUNTER</v>
      </c>
      <c r="J973" s="44" t="str">
        <f t="array" ref="J973">IF(B973="","",_xlfn.XLOOKUP(B973,'Form responses 1'!$B$2:$B$2604,'Form responses 1'!$G$2:$G$2604,""))</f>
        <v>Deby</v>
      </c>
      <c r="K973" s="41" t="s">
        <v>2875</v>
      </c>
      <c r="L973" s="52">
        <f t="shared" si="7"/>
        <v>45612.47924</v>
      </c>
      <c r="M973" s="49"/>
      <c r="N973" s="49"/>
      <c r="O973" s="49"/>
      <c r="P973" s="49"/>
      <c r="Q973" s="49"/>
      <c r="R973" s="49"/>
      <c r="S973" s="49"/>
      <c r="T973" s="49"/>
      <c r="U973" s="49"/>
      <c r="V973" s="49"/>
      <c r="W973" s="41" t="s">
        <v>618</v>
      </c>
      <c r="X973" s="46">
        <f t="shared" si="5"/>
        <v>45612.47927</v>
      </c>
      <c r="Y973" s="50" t="s">
        <v>482</v>
      </c>
      <c r="Z973" s="49">
        <f t="shared" si="6"/>
        <v>0</v>
      </c>
      <c r="AA973" s="59" t="s">
        <v>5719</v>
      </c>
    </row>
    <row r="974" ht="22.5" customHeight="1">
      <c r="B974" s="41" t="s">
        <v>5027</v>
      </c>
      <c r="C974" s="43">
        <f t="array" ref="C974">IF(B974="","",_xlfn.XLOOKUP(B974,'Form responses 1'!$B$2:$B$2604,'Form responses 1'!$A$2:$A$2604,""))</f>
        <v>45611.43689</v>
      </c>
      <c r="D974" s="44" t="str">
        <f t="shared" si="3"/>
        <v>K/15/151124/1_45611.436885081</v>
      </c>
      <c r="E974" s="44" t="str">
        <f t="array" ref="E974">IF(B974="","",_xlfn.XLOOKUP(B974,'Form responses 1'!$B$2:$B$2604,'Form responses 1'!$C$2:$C$2604,""))</f>
        <v>DITO S</v>
      </c>
      <c r="F974" s="44" t="str">
        <f t="array" ref="F974">IF(B974="","",_xlfn.XLOOKUP(B974,'Form responses 1'!$B$2:$B$2604,'Form responses 1'!$D$2:$D$2604,""))</f>
        <v>+62 813-6935-0683</v>
      </c>
      <c r="G974" s="44" t="str">
        <f t="array" ref="G974">IF(B974="","",_xlfn.XLOOKUP(B974,'Form responses 1'!$B$2:$B$2604,'Form responses 1'!$E$2:$E$2604,""))</f>
        <v>SKPT LELANG</v>
      </c>
      <c r="H974" s="44" t="str">
        <f t="array" ref="H974">IF(B974="","",_xlfn.XLOOKUP(B974,'Form responses 1'!$B$2:$B$2604,'Form responses 1'!$F$2:$F$2604,""))</f>
        <v>M. 769/ Sukaraja</v>
      </c>
      <c r="I974" s="44" t="str">
        <f t="array" ref="I974">IF(B974="","",_xlfn.XLOOKUP(B974,'Form responses 1'!$B$2:$B$2604,'Form responses 1'!$I$2:$I$2604,""))</f>
        <v>Sukaraja</v>
      </c>
      <c r="J974" s="44" t="str">
        <f t="array" ref="J974">IF(B974="","",_xlfn.XLOOKUP(B974,'Form responses 1'!$B$2:$B$2604,'Form responses 1'!$G$2:$G$2604,""))</f>
        <v>Hananda</v>
      </c>
      <c r="K974" s="41" t="s">
        <v>422</v>
      </c>
      <c r="L974" s="52">
        <f t="shared" si="7"/>
        <v>45613.37587</v>
      </c>
      <c r="M974" s="49"/>
      <c r="N974" s="49"/>
      <c r="O974" s="49"/>
      <c r="P974" s="49"/>
      <c r="Q974" s="49"/>
      <c r="R974" s="49"/>
      <c r="S974" s="49"/>
      <c r="T974" s="49"/>
      <c r="U974" s="49"/>
      <c r="V974" s="49"/>
      <c r="W974" s="41" t="s">
        <v>618</v>
      </c>
      <c r="X974" s="46">
        <f t="shared" si="5"/>
        <v>45613.3778</v>
      </c>
      <c r="Y974" s="50" t="s">
        <v>482</v>
      </c>
      <c r="Z974" s="49">
        <f t="shared" si="6"/>
        <v>0</v>
      </c>
    </row>
    <row r="975" ht="22.5" customHeight="1">
      <c r="B975" s="41" t="s">
        <v>5120</v>
      </c>
      <c r="C975" s="43">
        <f t="array" ref="C975">IF(B975="","",_xlfn.XLOOKUP(B975,'Form responses 1'!$B$2:$B$2604,'Form responses 1'!$A$2:$A$2604,""))</f>
        <v>45611.59646</v>
      </c>
      <c r="D975" s="44" t="str">
        <f t="shared" si="3"/>
        <v>K/44/151124/1_45611.5964587731</v>
      </c>
      <c r="E975" s="44" t="str">
        <f t="array" ref="E975">IF(B975="","",_xlfn.XLOOKUP(B975,'Form responses 1'!$B$2:$B$2604,'Form responses 1'!$C$2:$C$2604,""))</f>
        <v>Wahyuni/ Arpan</v>
      </c>
      <c r="F975" s="44" t="str">
        <f t="array" ref="F975">IF(B975="","",_xlfn.XLOOKUP(B975,'Form responses 1'!$B$2:$B$2604,'Form responses 1'!$D$2:$D$2604,""))</f>
        <v>082288238139</v>
      </c>
      <c r="G975" s="44" t="str">
        <f t="array" ref="G975">IF(B975="","",_xlfn.XLOOKUP(B975,'Form responses 1'!$B$2:$B$2604,'Form responses 1'!$E$2:$E$2604,""))</f>
        <v>Pemecahan</v>
      </c>
      <c r="H975" s="44" t="str">
        <f t="array" ref="H975">IF(B975="","",_xlfn.XLOOKUP(B975,'Form responses 1'!$B$2:$B$2604,'Form responses 1'!$F$2:$F$2604,""))</f>
        <v>M. 344/ Bakung</v>
      </c>
      <c r="I975" s="44" t="str">
        <f t="array" ref="I975">IF(B975="","",_xlfn.XLOOKUP(B975,'Form responses 1'!$B$2:$B$2604,'Form responses 1'!$I$2:$I$2604,""))</f>
        <v>Bakung</v>
      </c>
      <c r="J975" s="44" t="str">
        <f t="array" ref="J975">IF(B975="","",_xlfn.XLOOKUP(B975,'Form responses 1'!$B$2:$B$2604,'Form responses 1'!$G$2:$G$2604,""))</f>
        <v>Rapita</v>
      </c>
      <c r="K975" s="41" t="s">
        <v>422</v>
      </c>
      <c r="L975" s="52">
        <f t="shared" si="7"/>
        <v>45613.37589</v>
      </c>
      <c r="M975" s="49"/>
      <c r="N975" s="49"/>
      <c r="O975" s="49"/>
      <c r="P975" s="49"/>
      <c r="Q975" s="49"/>
      <c r="R975" s="49"/>
      <c r="S975" s="49"/>
      <c r="T975" s="49"/>
      <c r="U975" s="49"/>
      <c r="V975" s="49"/>
      <c r="W975" s="41" t="s">
        <v>618</v>
      </c>
      <c r="X975" s="46">
        <f t="shared" si="5"/>
        <v>45613.38059</v>
      </c>
      <c r="Y975" s="50" t="s">
        <v>482</v>
      </c>
      <c r="Z975" s="49">
        <f t="shared" si="6"/>
        <v>0</v>
      </c>
    </row>
    <row r="976" ht="22.5" customHeight="1">
      <c r="B976" s="41" t="s">
        <v>5014</v>
      </c>
      <c r="C976" s="43">
        <f t="array" ref="C976">IF(B976="","",_xlfn.XLOOKUP(B976,'Form responses 1'!$B$2:$B$2604,'Form responses 1'!$A$2:$A$2604,""))</f>
        <v>45611.42585</v>
      </c>
      <c r="D976" s="44" t="str">
        <f t="shared" si="3"/>
        <v>K/13/151124/2_45611.4258460648</v>
      </c>
      <c r="E976" s="44" t="str">
        <f t="array" ref="E976">IF(B976="","",_xlfn.XLOOKUP(B976,'Form responses 1'!$B$2:$B$2604,'Form responses 1'!$C$2:$C$2604,""))</f>
        <v>SENDI DINI</v>
      </c>
      <c r="F976" s="44" t="str">
        <f t="array" ref="F976">IF(B976="","",_xlfn.XLOOKUP(B976,'Form responses 1'!$B$2:$B$2604,'Form responses 1'!$D$2:$D$2604,""))</f>
        <v>089618401409</v>
      </c>
      <c r="G976" s="44" t="str">
        <f t="array" ref="G976">IF(B976="","",_xlfn.XLOOKUP(B976,'Form responses 1'!$B$2:$B$2604,'Form responses 1'!$E$2:$E$2604,""))</f>
        <v>SKPT LELANG</v>
      </c>
      <c r="H976" s="44" t="str">
        <f t="array" ref="H976">IF(B976="","",_xlfn.XLOOKUP(B976,'Form responses 1'!$B$2:$B$2604,'Form responses 1'!$F$2:$F$2604,""))</f>
        <v>M. 1185/ Kuripan</v>
      </c>
      <c r="I976" s="44" t="str">
        <f t="array" ref="I976">IF(B976="","",_xlfn.XLOOKUP(B976,'Form responses 1'!$B$2:$B$2604,'Form responses 1'!$I$2:$I$2604,""))</f>
        <v> Kuripan</v>
      </c>
      <c r="J976" s="44" t="str">
        <f t="array" ref="J976">IF(B976="","",_xlfn.XLOOKUP(B976,'Form responses 1'!$B$2:$B$2604,'Form responses 1'!$G$2:$G$2604,""))</f>
        <v>Hananda</v>
      </c>
      <c r="K976" s="41" t="s">
        <v>422</v>
      </c>
      <c r="L976" s="52">
        <f t="shared" si="7"/>
        <v>45613.3759</v>
      </c>
      <c r="M976" s="49"/>
      <c r="N976" s="49"/>
      <c r="O976" s="49"/>
      <c r="P976" s="49"/>
      <c r="Q976" s="49"/>
      <c r="R976" s="49"/>
      <c r="S976" s="49"/>
      <c r="T976" s="49"/>
      <c r="U976" s="49"/>
      <c r="V976" s="49"/>
      <c r="W976" s="41" t="s">
        <v>618</v>
      </c>
      <c r="X976" s="46">
        <f t="shared" si="5"/>
        <v>45613.38689</v>
      </c>
      <c r="Y976" s="50" t="s">
        <v>482</v>
      </c>
      <c r="Z976" s="49">
        <f t="shared" si="6"/>
        <v>0</v>
      </c>
    </row>
    <row r="977" ht="22.5" customHeight="1">
      <c r="B977" s="41" t="s">
        <v>4996</v>
      </c>
      <c r="C977" s="43">
        <f t="array" ref="C977">IF(B977="","",_xlfn.XLOOKUP(B977,'Form responses 1'!$B$2:$B$2604,'Form responses 1'!$A$2:$A$2604,""))</f>
        <v>45611.40399</v>
      </c>
      <c r="D977" s="44" t="str">
        <f t="shared" si="3"/>
        <v>K/8/151124/2_45611.4039868866</v>
      </c>
      <c r="E977" s="44" t="str">
        <f t="array" ref="E977">IF(B977="","",_xlfn.XLOOKUP(B977,'Form responses 1'!$B$2:$B$2604,'Form responses 1'!$C$2:$C$2604,""))</f>
        <v>TONI ABDULLAH</v>
      </c>
      <c r="F977" s="44" t="str">
        <f t="array" ref="F977">IF(B977="","",_xlfn.XLOOKUP(B977,'Form responses 1'!$B$2:$B$2604,'Form responses 1'!$D$2:$D$2604,""))</f>
        <v>082180710101</v>
      </c>
      <c r="G977" s="44" t="str">
        <f t="array" ref="G977">IF(B977="","",_xlfn.XLOOKUP(B977,'Form responses 1'!$B$2:$B$2604,'Form responses 1'!$E$2:$E$2604,""))</f>
        <v>PENATAAN BATAS</v>
      </c>
      <c r="H977" s="44" t="str">
        <f t="array" ref="H977">IF(B977="","",_xlfn.XLOOKUP(B977,'Form responses 1'!$B$2:$B$2604,'Form responses 1'!$F$2:$F$2604,""))</f>
        <v>M. 2001/ Tanjung Seneng</v>
      </c>
      <c r="I977" s="44" t="str">
        <f t="array" ref="I977">IF(B977="","",_xlfn.XLOOKUP(B977,'Form responses 1'!$B$2:$B$2604,'Form responses 1'!$I$2:$I$2604,""))</f>
        <v>Tanjung Seneng</v>
      </c>
      <c r="J977" s="44" t="str">
        <f t="array" ref="J977">IF(B977="","",_xlfn.XLOOKUP(B977,'Form responses 1'!$B$2:$B$2604,'Form responses 1'!$G$2:$G$2604,""))</f>
        <v>Hananda</v>
      </c>
      <c r="K977" s="41" t="s">
        <v>422</v>
      </c>
      <c r="L977" s="52">
        <f t="shared" si="7"/>
        <v>45613.37593</v>
      </c>
      <c r="M977" s="47" t="s">
        <v>5720</v>
      </c>
      <c r="N977" s="47" t="s">
        <v>5721</v>
      </c>
      <c r="O977" s="49"/>
      <c r="P977" s="49"/>
      <c r="Q977" s="49"/>
      <c r="R977" s="49"/>
      <c r="S977" s="49"/>
      <c r="T977" s="49"/>
      <c r="U977" s="49"/>
      <c r="V977" s="49"/>
      <c r="W977" s="41" t="s">
        <v>470</v>
      </c>
      <c r="X977" s="46">
        <f t="shared" si="5"/>
        <v>45613.39273</v>
      </c>
      <c r="Y977" s="50" t="s">
        <v>482</v>
      </c>
      <c r="Z977" s="49">
        <f t="shared" si="6"/>
        <v>2</v>
      </c>
    </row>
    <row r="978" ht="22.5" customHeight="1">
      <c r="B978" s="41" t="s">
        <v>5153</v>
      </c>
      <c r="C978" s="43">
        <f t="array" ref="C978">IF(B978="","",_xlfn.XLOOKUP(B978,'Form responses 1'!$B$2:$B$2604,'Form responses 1'!$A$2:$A$2604,""))</f>
        <v>45611.6295</v>
      </c>
      <c r="D978" s="44" t="str">
        <f t="shared" si="3"/>
        <v>K/56/151124/3_45611.6295049306</v>
      </c>
      <c r="E978" s="44" t="str">
        <f t="array" ref="E978">IF(B978="","",_xlfn.XLOOKUP(B978,'Form responses 1'!$B$2:$B$2604,'Form responses 1'!$C$2:$C$2604,""))</f>
        <v>Maryanti K/ Harun</v>
      </c>
      <c r="F978" s="44" t="str">
        <f t="array" ref="F978">IF(B978="","",_xlfn.XLOOKUP(B978,'Form responses 1'!$B$2:$B$2604,'Form responses 1'!$D$2:$D$2604,""))</f>
        <v>+62 811-7212-168</v>
      </c>
      <c r="G978" s="44" t="str">
        <f t="array" ref="G978">IF(B978="","",_xlfn.XLOOKUP(B978,'Form responses 1'!$B$2:$B$2604,'Form responses 1'!$E$2:$E$2604,""))</f>
        <v>Pentaan Batas</v>
      </c>
      <c r="H978" s="44" t="str">
        <f t="array" ref="H978">IF(B978="","",_xlfn.XLOOKUP(B978,'Form responses 1'!$B$2:$B$2604,'Form responses 1'!$F$2:$F$2604,""))</f>
        <v>M. 663/ Way Gubak</v>
      </c>
      <c r="I978" s="44" t="str">
        <f t="array" ref="I978">IF(B978="","",_xlfn.XLOOKUP(B978,'Form responses 1'!$B$2:$B$2604,'Form responses 1'!$I$2:$I$2604,""))</f>
        <v>Way Gubak</v>
      </c>
      <c r="J978" s="44" t="str">
        <f t="array" ref="J978">IF(B978="","",_xlfn.XLOOKUP(B978,'Form responses 1'!$B$2:$B$2604,'Form responses 1'!$G$2:$G$2604,""))</f>
        <v>Rapita</v>
      </c>
      <c r="K978" s="41" t="s">
        <v>422</v>
      </c>
      <c r="L978" s="52">
        <f t="shared" si="7"/>
        <v>45613.37595</v>
      </c>
      <c r="M978" s="47" t="s">
        <v>5722</v>
      </c>
      <c r="N978" s="47" t="s">
        <v>5723</v>
      </c>
      <c r="O978" s="49"/>
      <c r="P978" s="49"/>
      <c r="Q978" s="49"/>
      <c r="R978" s="49"/>
      <c r="S978" s="49"/>
      <c r="T978" s="49"/>
      <c r="U978" s="49"/>
      <c r="V978" s="49"/>
      <c r="W978" s="41" t="s">
        <v>470</v>
      </c>
      <c r="X978" s="46">
        <f t="shared" si="5"/>
        <v>45613.40048</v>
      </c>
      <c r="Y978" s="50" t="s">
        <v>482</v>
      </c>
      <c r="Z978" s="49">
        <f t="shared" si="6"/>
        <v>2</v>
      </c>
    </row>
    <row r="979" ht="22.5" customHeight="1">
      <c r="B979" s="41" t="s">
        <v>5146</v>
      </c>
      <c r="C979" s="43">
        <f t="array" ref="C979">IF(B979="","",_xlfn.XLOOKUP(B979,'Form responses 1'!$B$2:$B$2604,'Form responses 1'!$A$2:$A$2604,""))</f>
        <v>45611.6231</v>
      </c>
      <c r="D979" s="44" t="str">
        <f t="shared" si="3"/>
        <v>K/54/151124/1_45611.6230953125</v>
      </c>
      <c r="E979" s="44" t="str">
        <f t="array" ref="E979">IF(B979="","",_xlfn.XLOOKUP(B979,'Form responses 1'!$B$2:$B$2604,'Form responses 1'!$C$2:$C$2604,""))</f>
        <v>Maryanti K/ Lidya C J</v>
      </c>
      <c r="F979" s="44" t="str">
        <f t="array" ref="F979">IF(B979="","",_xlfn.XLOOKUP(B979,'Form responses 1'!$B$2:$B$2604,'Form responses 1'!$D$2:$D$2604,""))</f>
        <v>+62 811-7212-168</v>
      </c>
      <c r="G979" s="44" t="str">
        <f t="array" ref="G979">IF(B979="","",_xlfn.XLOOKUP(B979,'Form responses 1'!$B$2:$B$2604,'Form responses 1'!$E$2:$E$2604,""))</f>
        <v>BN Jual Beli</v>
      </c>
      <c r="H979" s="44" t="str">
        <f t="array" ref="H979">IF(B979="","",_xlfn.XLOOKUP(B979,'Form responses 1'!$B$2:$B$2604,'Form responses 1'!$F$2:$F$2604,""))</f>
        <v>M. 1646/ Negeri Olok Gading</v>
      </c>
      <c r="I979" s="44" t="str">
        <f t="array" ref="I979">IF(B979="","",_xlfn.XLOOKUP(B979,'Form responses 1'!$B$2:$B$2604,'Form responses 1'!$I$2:$I$2604,""))</f>
        <v>Negeri Olok Gading</v>
      </c>
      <c r="J979" s="44" t="str">
        <f t="array" ref="J979">IF(B979="","",_xlfn.XLOOKUP(B979,'Form responses 1'!$B$2:$B$2604,'Form responses 1'!$G$2:$G$2604,""))</f>
        <v>Rapita</v>
      </c>
      <c r="K979" s="41" t="s">
        <v>422</v>
      </c>
      <c r="L979" s="52">
        <f t="shared" si="7"/>
        <v>45613.37596</v>
      </c>
      <c r="M979" s="47" t="s">
        <v>5724</v>
      </c>
      <c r="N979" s="49"/>
      <c r="O979" s="49"/>
      <c r="P979" s="49"/>
      <c r="Q979" s="49"/>
      <c r="R979" s="49"/>
      <c r="S979" s="49"/>
      <c r="T979" s="49"/>
      <c r="U979" s="49"/>
      <c r="V979" s="49"/>
      <c r="W979" s="41" t="s">
        <v>470</v>
      </c>
      <c r="X979" s="46">
        <f t="shared" si="5"/>
        <v>45613.40578</v>
      </c>
      <c r="Y979" s="50" t="s">
        <v>482</v>
      </c>
      <c r="Z979" s="49">
        <f t="shared" si="6"/>
        <v>1</v>
      </c>
    </row>
    <row r="980" ht="22.5" customHeight="1">
      <c r="B980" s="41" t="s">
        <v>5046</v>
      </c>
      <c r="C980" s="43">
        <f t="array" ref="C980">IF(B980="","",_xlfn.XLOOKUP(B980,'Form responses 1'!$B$2:$B$2604,'Form responses 1'!$A$2:$A$2604,""))</f>
        <v>45611.44546</v>
      </c>
      <c r="D980" s="44" t="str">
        <f t="shared" si="3"/>
        <v>K/23/151124/2_45611.4454553704</v>
      </c>
      <c r="E980" s="44" t="str">
        <f t="array" ref="E980">IF(B980="","",_xlfn.XLOOKUP(B980,'Form responses 1'!$B$2:$B$2604,'Form responses 1'!$C$2:$C$2604,""))</f>
        <v>EKA SARI TAHERAH</v>
      </c>
      <c r="F980" s="44" t="str">
        <f t="array" ref="F980">IF(B980="","",_xlfn.XLOOKUP(B980,'Form responses 1'!$B$2:$B$2604,'Form responses 1'!$D$2:$D$2604,""))</f>
        <v>+62 895-3631-14046</v>
      </c>
      <c r="G980" s="44" t="str">
        <f t="array" ref="G980">IF(B980="","",_xlfn.XLOOKUP(B980,'Form responses 1'!$B$2:$B$2604,'Form responses 1'!$E$2:$E$2604,""))</f>
        <v>BN JUAL BELI</v>
      </c>
      <c r="H980" s="44" t="str">
        <f t="array" ref="H980">IF(B980="","",_xlfn.XLOOKUP(B980,'Form responses 1'!$B$2:$B$2604,'Form responses 1'!$F$2:$F$2604,""))</f>
        <v>M. 2483/ Pinang Jaya</v>
      </c>
      <c r="I980" s="44" t="str">
        <f t="array" ref="I980">IF(B980="","",_xlfn.XLOOKUP(B980,'Form responses 1'!$B$2:$B$2604,'Form responses 1'!$I$2:$I$2604,""))</f>
        <v> Pinang Jaya</v>
      </c>
      <c r="J980" s="44" t="str">
        <f t="array" ref="J980">IF(B980="","",_xlfn.XLOOKUP(B980,'Form responses 1'!$B$2:$B$2604,'Form responses 1'!$G$2:$G$2604,""))</f>
        <v>Hananda</v>
      </c>
      <c r="K980" s="41" t="s">
        <v>422</v>
      </c>
      <c r="L980" s="52">
        <f t="shared" si="7"/>
        <v>45613.37598</v>
      </c>
      <c r="M980" s="49"/>
      <c r="N980" s="49"/>
      <c r="O980" s="49"/>
      <c r="P980" s="49"/>
      <c r="Q980" s="49"/>
      <c r="R980" s="49"/>
      <c r="S980" s="49"/>
      <c r="T980" s="49"/>
      <c r="U980" s="49"/>
      <c r="V980" s="49"/>
      <c r="W980" s="41" t="s">
        <v>618</v>
      </c>
      <c r="X980" s="46">
        <f t="shared" si="5"/>
        <v>45613.41034</v>
      </c>
      <c r="Y980" s="50" t="s">
        <v>482</v>
      </c>
      <c r="Z980" s="49">
        <f t="shared" si="6"/>
        <v>0</v>
      </c>
    </row>
    <row r="981" ht="22.5" customHeight="1">
      <c r="B981" s="41" t="s">
        <v>5020</v>
      </c>
      <c r="C981" s="43">
        <f t="array" ref="C981">IF(B981="","",_xlfn.XLOOKUP(B981,'Form responses 1'!$B$2:$B$2604,'Form responses 1'!$A$2:$A$2604,""))</f>
        <v>45611.43033</v>
      </c>
      <c r="D981" s="44" t="str">
        <f t="shared" si="3"/>
        <v>K/16/151124/1_45611.4303333565</v>
      </c>
      <c r="E981" s="44" t="str">
        <f t="array" ref="E981">IF(B981="","",_xlfn.XLOOKUP(B981,'Form responses 1'!$B$2:$B$2604,'Form responses 1'!$C$2:$C$2604,""))</f>
        <v>MARZUKI/YUNAH CS</v>
      </c>
      <c r="F981" s="44" t="str">
        <f t="array" ref="F981">IF(B981="","",_xlfn.XLOOKUP(B981,'Form responses 1'!$B$2:$B$2604,'Form responses 1'!$D$2:$D$2604,""))</f>
        <v>087868921817</v>
      </c>
      <c r="G981" s="44" t="str">
        <f t="array" ref="G981">IF(B981="","",_xlfn.XLOOKUP(B981,'Form responses 1'!$B$2:$B$2604,'Form responses 1'!$E$2:$E$2604,""))</f>
        <v>BN WARIS</v>
      </c>
      <c r="H981" s="44" t="str">
        <f t="array" ref="H981">IF(B981="","",_xlfn.XLOOKUP(B981,'Form responses 1'!$B$2:$B$2604,'Form responses 1'!$F$2:$F$2604,""))</f>
        <v>M.10613/KEDAMAIAN</v>
      </c>
      <c r="I981" s="44" t="str">
        <f t="array" ref="I981">IF(B981="","",_xlfn.XLOOKUP(B981,'Form responses 1'!$B$2:$B$2604,'Form responses 1'!$I$2:$I$2604,""))</f>
        <v>KEDAMAIAN</v>
      </c>
      <c r="J981" s="44" t="str">
        <f t="array" ref="J981">IF(B981="","",_xlfn.XLOOKUP(B981,'Form responses 1'!$B$2:$B$2604,'Form responses 1'!$G$2:$G$2604,""))</f>
        <v>Aisyah</v>
      </c>
      <c r="K981" s="41" t="s">
        <v>422</v>
      </c>
      <c r="L981" s="52">
        <f t="shared" si="7"/>
        <v>45613.376</v>
      </c>
      <c r="M981" s="47" t="s">
        <v>5725</v>
      </c>
      <c r="N981" s="47" t="s">
        <v>5726</v>
      </c>
      <c r="O981" s="49"/>
      <c r="P981" s="49"/>
      <c r="Q981" s="49"/>
      <c r="R981" s="49"/>
      <c r="S981" s="49"/>
      <c r="T981" s="49"/>
      <c r="U981" s="49"/>
      <c r="V981" s="49"/>
      <c r="W981" s="41" t="s">
        <v>470</v>
      </c>
      <c r="X981" s="46">
        <f t="shared" si="5"/>
        <v>45613.44184</v>
      </c>
      <c r="Y981" s="50" t="s">
        <v>482</v>
      </c>
      <c r="Z981" s="49">
        <f t="shared" si="6"/>
        <v>2</v>
      </c>
    </row>
    <row r="982" ht="22.5" customHeight="1">
      <c r="B982" s="41" t="s">
        <v>5166</v>
      </c>
      <c r="C982" s="43">
        <f t="array" ref="C982">IF(B982="","",_xlfn.XLOOKUP(B982,'Form responses 1'!$B$2:$B$2604,'Form responses 1'!$A$2:$A$2604,""))</f>
        <v>45611.63379</v>
      </c>
      <c r="D982" s="44" t="str">
        <f t="shared" si="3"/>
        <v>K/51/151124/4_45611.6337866667</v>
      </c>
      <c r="E982" s="44" t="str">
        <f t="array" ref="E982">IF(B982="","",_xlfn.XLOOKUP(B982,'Form responses 1'!$B$2:$B$2604,'Form responses 1'!$C$2:$C$2604,""))</f>
        <v>Fahrul R/ Zaini M</v>
      </c>
      <c r="F982" s="44" t="str">
        <f t="array" ref="F982">IF(B982="","",_xlfn.XLOOKUP(B982,'Form responses 1'!$B$2:$B$2604,'Form responses 1'!$D$2:$D$2604,""))</f>
        <v>+62 821-7585-0002</v>
      </c>
      <c r="G982" s="44" t="str">
        <f t="array" ref="G982">IF(B982="","",_xlfn.XLOOKUP(B982,'Form responses 1'!$B$2:$B$2604,'Form responses 1'!$E$2:$E$2604,""))</f>
        <v>BN Jual Beli</v>
      </c>
      <c r="H982" s="44" t="str">
        <f t="array" ref="H982">IF(B982="","",_xlfn.XLOOKUP(B982,'Form responses 1'!$B$2:$B$2604,'Form responses 1'!$F$2:$F$2604,""))</f>
        <v>M. 6415/ Gunung Sulah</v>
      </c>
      <c r="I982" s="44" t="str">
        <f t="array" ref="I982">IF(B982="","",_xlfn.XLOOKUP(B982,'Form responses 1'!$B$2:$B$2604,'Form responses 1'!$I$2:$I$2604,""))</f>
        <v>Gunung Sulah</v>
      </c>
      <c r="J982" s="44" t="str">
        <f t="array" ref="J982">IF(B982="","",_xlfn.XLOOKUP(B982,'Form responses 1'!$B$2:$B$2604,'Form responses 1'!$G$2:$G$2604,""))</f>
        <v>Rapita</v>
      </c>
      <c r="K982" s="41" t="s">
        <v>422</v>
      </c>
      <c r="L982" s="52">
        <f t="shared" si="7"/>
        <v>45613.37601</v>
      </c>
      <c r="M982" s="47" t="s">
        <v>5727</v>
      </c>
      <c r="N982" s="47" t="s">
        <v>5728</v>
      </c>
      <c r="O982" s="47" t="s">
        <v>5729</v>
      </c>
      <c r="P982" s="47" t="s">
        <v>5730</v>
      </c>
      <c r="Q982" s="49"/>
      <c r="R982" s="49"/>
      <c r="S982" s="49"/>
      <c r="T982" s="49"/>
      <c r="U982" s="49"/>
      <c r="V982" s="49"/>
      <c r="W982" s="41" t="s">
        <v>470</v>
      </c>
      <c r="X982" s="46">
        <f t="shared" si="5"/>
        <v>45613.42172</v>
      </c>
      <c r="Y982" s="50" t="s">
        <v>482</v>
      </c>
      <c r="Z982" s="49">
        <f t="shared" si="6"/>
        <v>4</v>
      </c>
    </row>
    <row r="983" ht="22.5" customHeight="1">
      <c r="B983" s="41" t="s">
        <v>5194</v>
      </c>
      <c r="C983" s="43">
        <f t="array" ref="C983">IF(B983="","",_xlfn.XLOOKUP(B983,'Form responses 1'!$B$2:$B$2604,'Form responses 1'!$A$2:$A$2604,""))</f>
        <v>45613.43433</v>
      </c>
      <c r="D983" s="44" t="str">
        <f t="shared" si="3"/>
        <v>L/1/171125/1_45613.4343333218</v>
      </c>
      <c r="E983" s="44" t="str">
        <f t="array" ref="E983">IF(B983="","",_xlfn.XLOOKUP(B983,'Form responses 1'!$B$2:$B$2604,'Form responses 1'!$C$2:$C$2604,""))</f>
        <v>MOH SOCHIB HIDAYATULLAH</v>
      </c>
      <c r="F983" s="44" t="str">
        <f t="array" ref="F983">IF(B983="","",_xlfn.XLOOKUP(B983,'Form responses 1'!$B$2:$B$2604,'Form responses 1'!$D$2:$D$2604,""))</f>
        <v>085378788988</v>
      </c>
      <c r="G983" s="44" t="str">
        <f t="array" ref="G983">IF(B983="","",_xlfn.XLOOKUP(B983,'Form responses 1'!$B$2:$B$2604,'Form responses 1'!$E$2:$E$2604,""))</f>
        <v>SKPT INFORMASI</v>
      </c>
      <c r="H983" s="44" t="str">
        <f t="array" ref="H983">IF(B983="","",_xlfn.XLOOKUP(B983,'Form responses 1'!$B$2:$B$2604,'Form responses 1'!$F$2:$F$2604,""))</f>
        <v>B. 1356/TANJUNG SENENG</v>
      </c>
      <c r="I983" s="44" t="str">
        <f t="array" ref="I983">IF(B983="","",_xlfn.XLOOKUP(B983,'Form responses 1'!$B$2:$B$2604,'Form responses 1'!$I$2:$I$2604,""))</f>
        <v>TANJUNG SENENG</v>
      </c>
      <c r="J983" s="44" t="str">
        <f t="array" ref="J983">IF(B983="","",_xlfn.XLOOKUP(B983,'Form responses 1'!$B$2:$B$2604,'Form responses 1'!$G$2:$G$2604,""))</f>
        <v>Hananda</v>
      </c>
      <c r="K983" s="41" t="s">
        <v>422</v>
      </c>
      <c r="L983" s="52">
        <f t="shared" si="7"/>
        <v>45613.43499</v>
      </c>
      <c r="M983" s="49"/>
      <c r="N983" s="49"/>
      <c r="O983" s="49"/>
      <c r="P983" s="49"/>
      <c r="Q983" s="49"/>
      <c r="R983" s="49"/>
      <c r="S983" s="49"/>
      <c r="T983" s="49"/>
      <c r="U983" s="49"/>
      <c r="V983" s="49"/>
      <c r="W983" s="41" t="s">
        <v>618</v>
      </c>
      <c r="X983" s="46">
        <f t="shared" si="5"/>
        <v>45613.43504</v>
      </c>
      <c r="Y983" s="50" t="s">
        <v>482</v>
      </c>
      <c r="Z983" s="49">
        <f t="shared" si="6"/>
        <v>0</v>
      </c>
    </row>
    <row r="984" ht="22.5" customHeight="1">
      <c r="B984" s="41" t="s">
        <v>4966</v>
      </c>
      <c r="C984" s="43">
        <f t="array" ref="C984">IF(B984="","",_xlfn.XLOOKUP(B984,'Form responses 1'!$B$2:$B$2604,'Form responses 1'!$A$2:$A$2604,""))</f>
        <v>45611.34403</v>
      </c>
      <c r="D984" s="44" t="str">
        <f t="shared" si="3"/>
        <v>K/51/141124/1_45611.3440335995</v>
      </c>
      <c r="E984" s="44" t="str">
        <f t="array" ref="E984">IF(B984="","",_xlfn.XLOOKUP(B984,'Form responses 1'!$B$2:$B$2604,'Form responses 1'!$C$2:$C$2604,""))</f>
        <v>RITO PRIASMORO/ RISA</v>
      </c>
      <c r="F984" s="44" t="str">
        <f t="array" ref="F984">IF(B984="","",_xlfn.XLOOKUP(B984,'Form responses 1'!$B$2:$B$2604,'Form responses 1'!$D$2:$D$2604,""))</f>
        <v>082186668010</v>
      </c>
      <c r="G984" s="44" t="str">
        <f t="array" ref="G984">IF(B984="","",_xlfn.XLOOKUP(B984,'Form responses 1'!$B$2:$B$2604,'Form responses 1'!$E$2:$E$2604,""))</f>
        <v>PENGUKURAN PERTAMA KALI</v>
      </c>
      <c r="H984" s="44" t="str">
        <f t="array" ref="H984">IF(B984="","",_xlfn.XLOOKUP(B984,'Form responses 1'!$B$2:$B$2604,'Form responses 1'!$F$2:$F$2604,""))</f>
        <v>TANAH MENTAH</v>
      </c>
      <c r="I984" s="44" t="str">
        <f t="array" ref="I984">IF(B984="","",_xlfn.XLOOKUP(B984,'Form responses 1'!$B$2:$B$2604,'Form responses 1'!$I$2:$I$2604,""))</f>
        <v>LANGKAPURA</v>
      </c>
      <c r="J984" s="44" t="str">
        <f t="array" ref="J984">IF(B984="","",_xlfn.XLOOKUP(B984,'Form responses 1'!$B$2:$B$2604,'Form responses 1'!$G$2:$G$2604,""))</f>
        <v>Hananda</v>
      </c>
      <c r="K984" s="41" t="s">
        <v>422</v>
      </c>
      <c r="L984" s="52">
        <f t="shared" si="7"/>
        <v>45613.46181</v>
      </c>
      <c r="M984" s="47" t="s">
        <v>5731</v>
      </c>
      <c r="N984" s="47" t="s">
        <v>5732</v>
      </c>
      <c r="O984" s="47" t="s">
        <v>5733</v>
      </c>
      <c r="P984" s="47" t="s">
        <v>5734</v>
      </c>
      <c r="Q984" s="47" t="s">
        <v>5735</v>
      </c>
      <c r="R984" s="49"/>
      <c r="S984" s="49"/>
      <c r="T984" s="49"/>
      <c r="U984" s="49"/>
      <c r="V984" s="49"/>
      <c r="W984" s="41" t="s">
        <v>470</v>
      </c>
      <c r="X984" s="46">
        <f t="shared" si="5"/>
        <v>45613.46376</v>
      </c>
      <c r="Y984" s="50" t="s">
        <v>482</v>
      </c>
      <c r="Z984" s="49">
        <f t="shared" si="6"/>
        <v>5</v>
      </c>
    </row>
    <row r="985" ht="22.5" customHeight="1">
      <c r="B985" s="57"/>
      <c r="C985" s="43" t="str">
        <f t="array" ref="C985">IF(B985="","",_xlfn.XLOOKUP(B985,'Form responses 1'!$B$2:$B$2604,'Form responses 1'!$A$2:$A$2604,""))</f>
        <v/>
      </c>
      <c r="D985" s="44" t="str">
        <f t="shared" si="3"/>
        <v/>
      </c>
      <c r="E985" s="44" t="str">
        <f t="array" ref="E985">IF(B985="","",_xlfn.XLOOKUP(B985,'Form responses 1'!$B$2:$B$2604,'Form responses 1'!$C$2:$C$2604,""))</f>
        <v/>
      </c>
      <c r="F985" s="44" t="str">
        <f t="array" ref="F985">IF(B985="","",_xlfn.XLOOKUP(B985,'Form responses 1'!$B$2:$B$2604,'Form responses 1'!$D$2:$D$2604,""))</f>
        <v/>
      </c>
      <c r="G985" s="44" t="str">
        <f t="array" ref="G985">IF(B985="","",_xlfn.XLOOKUP(B985,'Form responses 1'!$B$2:$B$2604,'Form responses 1'!$E$2:$E$2604,""))</f>
        <v/>
      </c>
      <c r="H985" s="44" t="str">
        <f t="array" ref="H985">IF(B985="","",_xlfn.XLOOKUP(B985,'Form responses 1'!$B$2:$B$2604,'Form responses 1'!$F$2:$F$2604,""))</f>
        <v/>
      </c>
      <c r="I985" s="44" t="str">
        <f t="array" ref="I985">IF(B985="","",_xlfn.XLOOKUP(B985,'Form responses 1'!$B$2:$B$2604,'Form responses 1'!$I$2:$I$2604,""))</f>
        <v/>
      </c>
      <c r="J985" s="44" t="str">
        <f t="array" ref="J985">IF(B985="","",_xlfn.XLOOKUP(B985,'Form responses 1'!$B$2:$B$2604,'Form responses 1'!$G$2:$G$2604,""))</f>
        <v/>
      </c>
      <c r="K985" s="56"/>
      <c r="L985" s="58" t="str">
        <f t="shared" si="7"/>
        <v/>
      </c>
      <c r="M985" s="49"/>
      <c r="N985" s="49"/>
      <c r="O985" s="49"/>
      <c r="P985" s="49"/>
      <c r="Q985" s="49"/>
      <c r="R985" s="49"/>
      <c r="S985" s="49"/>
      <c r="T985" s="49"/>
      <c r="U985" s="49"/>
      <c r="V985" s="49"/>
      <c r="W985" s="56"/>
      <c r="X985" s="51" t="str">
        <f t="shared" si="5"/>
        <v/>
      </c>
      <c r="Y985" s="50" t="s">
        <v>482</v>
      </c>
      <c r="Z985" s="49">
        <f t="shared" si="6"/>
        <v>0</v>
      </c>
    </row>
    <row r="986" ht="22.5" customHeight="1">
      <c r="B986" s="57"/>
      <c r="C986" s="43" t="str">
        <f t="array" ref="C986">IF(B986="","",_xlfn.XLOOKUP(B986,'Form responses 1'!$B$2:$B$2604,'Form responses 1'!$A$2:$A$2604,""))</f>
        <v/>
      </c>
      <c r="D986" s="44" t="str">
        <f t="shared" si="3"/>
        <v/>
      </c>
      <c r="E986" s="44" t="str">
        <f t="array" ref="E986">IF(B986="","",_xlfn.XLOOKUP(B986,'Form responses 1'!$B$2:$B$2604,'Form responses 1'!$C$2:$C$2604,""))</f>
        <v/>
      </c>
      <c r="F986" s="44" t="str">
        <f t="array" ref="F986">IF(B986="","",_xlfn.XLOOKUP(B986,'Form responses 1'!$B$2:$B$2604,'Form responses 1'!$D$2:$D$2604,""))</f>
        <v/>
      </c>
      <c r="G986" s="44" t="str">
        <f t="array" ref="G986">IF(B986="","",_xlfn.XLOOKUP(B986,'Form responses 1'!$B$2:$B$2604,'Form responses 1'!$E$2:$E$2604,""))</f>
        <v/>
      </c>
      <c r="H986" s="44" t="str">
        <f t="array" ref="H986">IF(B986="","",_xlfn.XLOOKUP(B986,'Form responses 1'!$B$2:$B$2604,'Form responses 1'!$F$2:$F$2604,""))</f>
        <v/>
      </c>
      <c r="I986" s="44" t="str">
        <f t="array" ref="I986">IF(B986="","",_xlfn.XLOOKUP(B986,'Form responses 1'!$B$2:$B$2604,'Form responses 1'!$I$2:$I$2604,""))</f>
        <v/>
      </c>
      <c r="J986" s="44" t="str">
        <f t="array" ref="J986">IF(B986="","",_xlfn.XLOOKUP(B986,'Form responses 1'!$B$2:$B$2604,'Form responses 1'!$G$2:$G$2604,""))</f>
        <v/>
      </c>
      <c r="K986" s="56"/>
      <c r="L986" s="58" t="str">
        <f t="shared" si="7"/>
        <v/>
      </c>
      <c r="M986" s="49"/>
      <c r="N986" s="49"/>
      <c r="O986" s="49"/>
      <c r="P986" s="49"/>
      <c r="Q986" s="49"/>
      <c r="R986" s="49"/>
      <c r="S986" s="49"/>
      <c r="T986" s="49"/>
      <c r="U986" s="49"/>
      <c r="V986" s="49"/>
      <c r="W986" s="56"/>
      <c r="X986" s="51" t="str">
        <f t="shared" si="5"/>
        <v/>
      </c>
      <c r="Y986" s="50" t="s">
        <v>482</v>
      </c>
      <c r="Z986" s="49">
        <f t="shared" si="6"/>
        <v>0</v>
      </c>
    </row>
    <row r="987" ht="22.5" customHeight="1">
      <c r="B987" s="57"/>
      <c r="C987" s="43" t="str">
        <f t="array" ref="C987">IF(B987="","",_xlfn.XLOOKUP(B987,'Form responses 1'!$B$2:$B$2604,'Form responses 1'!$A$2:$A$2604,""))</f>
        <v/>
      </c>
      <c r="D987" s="44" t="str">
        <f t="shared" si="3"/>
        <v/>
      </c>
      <c r="E987" s="44" t="str">
        <f t="array" ref="E987">IF(B987="","",_xlfn.XLOOKUP(B987,'Form responses 1'!$B$2:$B$2604,'Form responses 1'!$C$2:$C$2604,""))</f>
        <v/>
      </c>
      <c r="F987" s="44" t="str">
        <f t="array" ref="F987">IF(B987="","",_xlfn.XLOOKUP(B987,'Form responses 1'!$B$2:$B$2604,'Form responses 1'!$D$2:$D$2604,""))</f>
        <v/>
      </c>
      <c r="G987" s="44" t="str">
        <f t="array" ref="G987">IF(B987="","",_xlfn.XLOOKUP(B987,'Form responses 1'!$B$2:$B$2604,'Form responses 1'!$E$2:$E$2604,""))</f>
        <v/>
      </c>
      <c r="H987" s="44" t="str">
        <f t="array" ref="H987">IF(B987="","",_xlfn.XLOOKUP(B987,'Form responses 1'!$B$2:$B$2604,'Form responses 1'!$F$2:$F$2604,""))</f>
        <v/>
      </c>
      <c r="I987" s="44" t="str">
        <f t="array" ref="I987">IF(B987="","",_xlfn.XLOOKUP(B987,'Form responses 1'!$B$2:$B$2604,'Form responses 1'!$I$2:$I$2604,""))</f>
        <v/>
      </c>
      <c r="J987" s="44" t="str">
        <f t="array" ref="J987">IF(B987="","",_xlfn.XLOOKUP(B987,'Form responses 1'!$B$2:$B$2604,'Form responses 1'!$G$2:$G$2604,""))</f>
        <v/>
      </c>
      <c r="K987" s="56"/>
      <c r="L987" s="58" t="str">
        <f t="shared" si="7"/>
        <v/>
      </c>
      <c r="M987" s="49"/>
      <c r="N987" s="49"/>
      <c r="O987" s="49"/>
      <c r="P987" s="49"/>
      <c r="Q987" s="49"/>
      <c r="R987" s="49"/>
      <c r="S987" s="49"/>
      <c r="T987" s="49"/>
      <c r="U987" s="49"/>
      <c r="V987" s="49"/>
      <c r="W987" s="56"/>
      <c r="X987" s="51" t="str">
        <f t="shared" si="5"/>
        <v/>
      </c>
      <c r="Y987" s="50" t="s">
        <v>482</v>
      </c>
      <c r="Z987" s="49">
        <f t="shared" si="6"/>
        <v>0</v>
      </c>
    </row>
    <row r="988" ht="22.5" customHeight="1">
      <c r="B988" s="57"/>
      <c r="C988" s="43" t="str">
        <f t="array" ref="C988">IF(B988="","",_xlfn.XLOOKUP(B988,'Form responses 1'!$B$2:$B$2604,'Form responses 1'!$A$2:$A$2604,""))</f>
        <v/>
      </c>
      <c r="D988" s="44" t="str">
        <f t="shared" si="3"/>
        <v/>
      </c>
      <c r="E988" s="44" t="str">
        <f t="array" ref="E988">IF(B988="","",_xlfn.XLOOKUP(B988,'Form responses 1'!$B$2:$B$2604,'Form responses 1'!$C$2:$C$2604,""))</f>
        <v/>
      </c>
      <c r="F988" s="44" t="str">
        <f t="array" ref="F988">IF(B988="","",_xlfn.XLOOKUP(B988,'Form responses 1'!$B$2:$B$2604,'Form responses 1'!$D$2:$D$2604,""))</f>
        <v/>
      </c>
      <c r="G988" s="44" t="str">
        <f t="array" ref="G988">IF(B988="","",_xlfn.XLOOKUP(B988,'Form responses 1'!$B$2:$B$2604,'Form responses 1'!$E$2:$E$2604,""))</f>
        <v/>
      </c>
      <c r="H988" s="44" t="str">
        <f t="array" ref="H988">IF(B988="","",_xlfn.XLOOKUP(B988,'Form responses 1'!$B$2:$B$2604,'Form responses 1'!$F$2:$F$2604,""))</f>
        <v/>
      </c>
      <c r="I988" s="44" t="str">
        <f t="array" ref="I988">IF(B988="","",_xlfn.XLOOKUP(B988,'Form responses 1'!$B$2:$B$2604,'Form responses 1'!$I$2:$I$2604,""))</f>
        <v/>
      </c>
      <c r="J988" s="44" t="str">
        <f t="array" ref="J988">IF(B988="","",_xlfn.XLOOKUP(B988,'Form responses 1'!$B$2:$B$2604,'Form responses 1'!$G$2:$G$2604,""))</f>
        <v/>
      </c>
      <c r="K988" s="56"/>
      <c r="L988" s="58" t="str">
        <f t="shared" si="7"/>
        <v/>
      </c>
      <c r="M988" s="49"/>
      <c r="N988" s="49"/>
      <c r="O988" s="49"/>
      <c r="P988" s="49"/>
      <c r="Q988" s="49"/>
      <c r="R988" s="49"/>
      <c r="S988" s="49"/>
      <c r="T988" s="49"/>
      <c r="U988" s="49"/>
      <c r="V988" s="49"/>
      <c r="W988" s="56"/>
      <c r="X988" s="51" t="str">
        <f t="shared" si="5"/>
        <v/>
      </c>
      <c r="Y988" s="50" t="s">
        <v>482</v>
      </c>
      <c r="Z988" s="49">
        <f t="shared" si="6"/>
        <v>0</v>
      </c>
    </row>
    <row r="989" ht="22.5" customHeight="1">
      <c r="B989" s="57"/>
      <c r="C989" s="43" t="str">
        <f t="array" ref="C989">IF(B989="","",_xlfn.XLOOKUP(B989,'Form responses 1'!$B$2:$B$2604,'Form responses 1'!$A$2:$A$2604,""))</f>
        <v/>
      </c>
      <c r="D989" s="44" t="str">
        <f t="shared" si="3"/>
        <v/>
      </c>
      <c r="E989" s="44" t="str">
        <f t="array" ref="E989">IF(B989="","",_xlfn.XLOOKUP(B989,'Form responses 1'!$B$2:$B$2604,'Form responses 1'!$C$2:$C$2604,""))</f>
        <v/>
      </c>
      <c r="F989" s="44" t="str">
        <f t="array" ref="F989">IF(B989="","",_xlfn.XLOOKUP(B989,'Form responses 1'!$B$2:$B$2604,'Form responses 1'!$D$2:$D$2604,""))</f>
        <v/>
      </c>
      <c r="G989" s="44" t="str">
        <f t="array" ref="G989">IF(B989="","",_xlfn.XLOOKUP(B989,'Form responses 1'!$B$2:$B$2604,'Form responses 1'!$E$2:$E$2604,""))</f>
        <v/>
      </c>
      <c r="H989" s="44" t="str">
        <f t="array" ref="H989">IF(B989="","",_xlfn.XLOOKUP(B989,'Form responses 1'!$B$2:$B$2604,'Form responses 1'!$F$2:$F$2604,""))</f>
        <v/>
      </c>
      <c r="I989" s="44" t="str">
        <f t="array" ref="I989">IF(B989="","",_xlfn.XLOOKUP(B989,'Form responses 1'!$B$2:$B$2604,'Form responses 1'!$I$2:$I$2604,""))</f>
        <v/>
      </c>
      <c r="J989" s="44" t="str">
        <f t="array" ref="J989">IF(B989="","",_xlfn.XLOOKUP(B989,'Form responses 1'!$B$2:$B$2604,'Form responses 1'!$G$2:$G$2604,""))</f>
        <v/>
      </c>
      <c r="K989" s="56"/>
      <c r="L989" s="58" t="str">
        <f t="shared" si="7"/>
        <v/>
      </c>
      <c r="M989" s="49"/>
      <c r="N989" s="49"/>
      <c r="O989" s="49"/>
      <c r="P989" s="49"/>
      <c r="Q989" s="49"/>
      <c r="R989" s="49"/>
      <c r="S989" s="49"/>
      <c r="T989" s="49"/>
      <c r="U989" s="49"/>
      <c r="V989" s="49"/>
      <c r="W989" s="56"/>
      <c r="X989" s="51" t="str">
        <f t="shared" si="5"/>
        <v/>
      </c>
      <c r="Y989" s="50" t="s">
        <v>482</v>
      </c>
      <c r="Z989" s="49">
        <f t="shared" si="6"/>
        <v>0</v>
      </c>
    </row>
    <row r="990" ht="22.5" customHeight="1">
      <c r="B990" s="57"/>
      <c r="C990" s="43" t="str">
        <f t="array" ref="C990">IF(B990="","",_xlfn.XLOOKUP(B990,'Form responses 1'!$B$2:$B$2604,'Form responses 1'!$A$2:$A$2604,""))</f>
        <v/>
      </c>
      <c r="D990" s="44" t="str">
        <f t="shared" si="3"/>
        <v/>
      </c>
      <c r="E990" s="44" t="str">
        <f t="array" ref="E990">IF(B990="","",_xlfn.XLOOKUP(B990,'Form responses 1'!$B$2:$B$2604,'Form responses 1'!$C$2:$C$2604,""))</f>
        <v/>
      </c>
      <c r="F990" s="44" t="str">
        <f t="array" ref="F990">IF(B990="","",_xlfn.XLOOKUP(B990,'Form responses 1'!$B$2:$B$2604,'Form responses 1'!$D$2:$D$2604,""))</f>
        <v/>
      </c>
      <c r="G990" s="44" t="str">
        <f t="array" ref="G990">IF(B990="","",_xlfn.XLOOKUP(B990,'Form responses 1'!$B$2:$B$2604,'Form responses 1'!$E$2:$E$2604,""))</f>
        <v/>
      </c>
      <c r="H990" s="44" t="str">
        <f t="array" ref="H990">IF(B990="","",_xlfn.XLOOKUP(B990,'Form responses 1'!$B$2:$B$2604,'Form responses 1'!$F$2:$F$2604,""))</f>
        <v/>
      </c>
      <c r="I990" s="44" t="str">
        <f t="array" ref="I990">IF(B990="","",_xlfn.XLOOKUP(B990,'Form responses 1'!$B$2:$B$2604,'Form responses 1'!$I$2:$I$2604,""))</f>
        <v/>
      </c>
      <c r="J990" s="44" t="str">
        <f t="array" ref="J990">IF(B990="","",_xlfn.XLOOKUP(B990,'Form responses 1'!$B$2:$B$2604,'Form responses 1'!$G$2:$G$2604,""))</f>
        <v/>
      </c>
      <c r="K990" s="56"/>
      <c r="L990" s="58" t="str">
        <f t="shared" si="7"/>
        <v/>
      </c>
      <c r="M990" s="49"/>
      <c r="N990" s="49"/>
      <c r="O990" s="49"/>
      <c r="P990" s="49"/>
      <c r="Q990" s="49"/>
      <c r="R990" s="49"/>
      <c r="S990" s="49"/>
      <c r="T990" s="49"/>
      <c r="U990" s="49"/>
      <c r="V990" s="49"/>
      <c r="W990" s="56"/>
      <c r="X990" s="51" t="str">
        <f t="shared" si="5"/>
        <v/>
      </c>
      <c r="Y990" s="50" t="s">
        <v>482</v>
      </c>
      <c r="Z990" s="49">
        <f t="shared" si="6"/>
        <v>0</v>
      </c>
    </row>
    <row r="991" ht="22.5" customHeight="1">
      <c r="B991" s="57"/>
      <c r="C991" s="43" t="str">
        <f t="array" ref="C991">IF(B991="","",_xlfn.XLOOKUP(B991,'Form responses 1'!$B$2:$B$2604,'Form responses 1'!$A$2:$A$2604,""))</f>
        <v/>
      </c>
      <c r="D991" s="44" t="str">
        <f t="shared" si="3"/>
        <v/>
      </c>
      <c r="E991" s="44" t="str">
        <f t="array" ref="E991">IF(B991="","",_xlfn.XLOOKUP(B991,'Form responses 1'!$B$2:$B$2604,'Form responses 1'!$C$2:$C$2604,""))</f>
        <v/>
      </c>
      <c r="F991" s="44" t="str">
        <f t="array" ref="F991">IF(B991="","",_xlfn.XLOOKUP(B991,'Form responses 1'!$B$2:$B$2604,'Form responses 1'!$D$2:$D$2604,""))</f>
        <v/>
      </c>
      <c r="G991" s="44" t="str">
        <f t="array" ref="G991">IF(B991="","",_xlfn.XLOOKUP(B991,'Form responses 1'!$B$2:$B$2604,'Form responses 1'!$E$2:$E$2604,""))</f>
        <v/>
      </c>
      <c r="H991" s="44" t="str">
        <f t="array" ref="H991">IF(B991="","",_xlfn.XLOOKUP(B991,'Form responses 1'!$B$2:$B$2604,'Form responses 1'!$F$2:$F$2604,""))</f>
        <v/>
      </c>
      <c r="I991" s="44" t="str">
        <f t="array" ref="I991">IF(B991="","",_xlfn.XLOOKUP(B991,'Form responses 1'!$B$2:$B$2604,'Form responses 1'!$I$2:$I$2604,""))</f>
        <v/>
      </c>
      <c r="J991" s="44" t="str">
        <f t="array" ref="J991">IF(B991="","",_xlfn.XLOOKUP(B991,'Form responses 1'!$B$2:$B$2604,'Form responses 1'!$G$2:$G$2604,""))</f>
        <v/>
      </c>
      <c r="K991" s="56"/>
      <c r="L991" s="58" t="str">
        <f t="shared" si="7"/>
        <v/>
      </c>
      <c r="M991" s="49"/>
      <c r="N991" s="49"/>
      <c r="O991" s="49"/>
      <c r="P991" s="49"/>
      <c r="Q991" s="49"/>
      <c r="R991" s="49"/>
      <c r="S991" s="49"/>
      <c r="T991" s="49"/>
      <c r="U991" s="49"/>
      <c r="V991" s="49"/>
      <c r="W991" s="56"/>
      <c r="X991" s="51" t="str">
        <f t="shared" si="5"/>
        <v/>
      </c>
      <c r="Y991" s="50" t="s">
        <v>482</v>
      </c>
      <c r="Z991" s="49">
        <f t="shared" si="6"/>
        <v>0</v>
      </c>
    </row>
    <row r="992" ht="22.5" customHeight="1">
      <c r="B992" s="57"/>
      <c r="C992" s="43" t="str">
        <f t="array" ref="C992">IF(B992="","",_xlfn.XLOOKUP(B992,'Form responses 1'!$B$2:$B$2604,'Form responses 1'!$A$2:$A$2604,""))</f>
        <v/>
      </c>
      <c r="D992" s="44" t="str">
        <f t="shared" si="3"/>
        <v/>
      </c>
      <c r="E992" s="44" t="str">
        <f t="array" ref="E992">IF(B992="","",_xlfn.XLOOKUP(B992,'Form responses 1'!$B$2:$B$2604,'Form responses 1'!$C$2:$C$2604,""))</f>
        <v/>
      </c>
      <c r="F992" s="44" t="str">
        <f t="array" ref="F992">IF(B992="","",_xlfn.XLOOKUP(B992,'Form responses 1'!$B$2:$B$2604,'Form responses 1'!$D$2:$D$2604,""))</f>
        <v/>
      </c>
      <c r="G992" s="44" t="str">
        <f t="array" ref="G992">IF(B992="","",_xlfn.XLOOKUP(B992,'Form responses 1'!$B$2:$B$2604,'Form responses 1'!$E$2:$E$2604,""))</f>
        <v/>
      </c>
      <c r="H992" s="44" t="str">
        <f t="array" ref="H992">IF(B992="","",_xlfn.XLOOKUP(B992,'Form responses 1'!$B$2:$B$2604,'Form responses 1'!$F$2:$F$2604,""))</f>
        <v/>
      </c>
      <c r="I992" s="44" t="str">
        <f t="array" ref="I992">IF(B992="","",_xlfn.XLOOKUP(B992,'Form responses 1'!$B$2:$B$2604,'Form responses 1'!$I$2:$I$2604,""))</f>
        <v/>
      </c>
      <c r="J992" s="44" t="str">
        <f t="array" ref="J992">IF(B992="","",_xlfn.XLOOKUP(B992,'Form responses 1'!$B$2:$B$2604,'Form responses 1'!$G$2:$G$2604,""))</f>
        <v/>
      </c>
      <c r="K992" s="56"/>
      <c r="L992" s="58" t="str">
        <f t="shared" si="7"/>
        <v/>
      </c>
      <c r="M992" s="49"/>
      <c r="N992" s="49"/>
      <c r="O992" s="49"/>
      <c r="P992" s="49"/>
      <c r="Q992" s="49"/>
      <c r="R992" s="49"/>
      <c r="S992" s="49"/>
      <c r="T992" s="49"/>
      <c r="U992" s="49"/>
      <c r="V992" s="49"/>
      <c r="W992" s="56"/>
      <c r="X992" s="51" t="str">
        <f t="shared" si="5"/>
        <v/>
      </c>
      <c r="Y992" s="50" t="s">
        <v>482</v>
      </c>
      <c r="Z992" s="49">
        <f t="shared" si="6"/>
        <v>0</v>
      </c>
    </row>
    <row r="993" ht="22.5" customHeight="1">
      <c r="B993" s="57"/>
      <c r="C993" s="43" t="str">
        <f t="array" ref="C993">IF(B993="","",_xlfn.XLOOKUP(B993,'Form responses 1'!$B$2:$B$2604,'Form responses 1'!$A$2:$A$2604,""))</f>
        <v/>
      </c>
      <c r="D993" s="44" t="str">
        <f t="shared" si="3"/>
        <v/>
      </c>
      <c r="E993" s="44" t="str">
        <f t="array" ref="E993">IF(B993="","",_xlfn.XLOOKUP(B993,'Form responses 1'!$B$2:$B$2604,'Form responses 1'!$C$2:$C$2604,""))</f>
        <v/>
      </c>
      <c r="F993" s="44" t="str">
        <f t="array" ref="F993">IF(B993="","",_xlfn.XLOOKUP(B993,'Form responses 1'!$B$2:$B$2604,'Form responses 1'!$D$2:$D$2604,""))</f>
        <v/>
      </c>
      <c r="G993" s="44" t="str">
        <f t="array" ref="G993">IF(B993="","",_xlfn.XLOOKUP(B993,'Form responses 1'!$B$2:$B$2604,'Form responses 1'!$E$2:$E$2604,""))</f>
        <v/>
      </c>
      <c r="H993" s="44" t="str">
        <f t="array" ref="H993">IF(B993="","",_xlfn.XLOOKUP(B993,'Form responses 1'!$B$2:$B$2604,'Form responses 1'!$F$2:$F$2604,""))</f>
        <v/>
      </c>
      <c r="I993" s="44" t="str">
        <f t="array" ref="I993">IF(B993="","",_xlfn.XLOOKUP(B993,'Form responses 1'!$B$2:$B$2604,'Form responses 1'!$I$2:$I$2604,""))</f>
        <v/>
      </c>
      <c r="J993" s="44" t="str">
        <f t="array" ref="J993">IF(B993="","",_xlfn.XLOOKUP(B993,'Form responses 1'!$B$2:$B$2604,'Form responses 1'!$G$2:$G$2604,""))</f>
        <v/>
      </c>
      <c r="K993" s="56"/>
      <c r="L993" s="58" t="str">
        <f t="shared" si="7"/>
        <v/>
      </c>
      <c r="M993" s="49"/>
      <c r="N993" s="49"/>
      <c r="O993" s="49"/>
      <c r="P993" s="49"/>
      <c r="Q993" s="49"/>
      <c r="R993" s="49"/>
      <c r="S993" s="49"/>
      <c r="T993" s="49"/>
      <c r="U993" s="49"/>
      <c r="V993" s="49"/>
      <c r="W993" s="56"/>
      <c r="X993" s="51" t="str">
        <f t="shared" si="5"/>
        <v/>
      </c>
      <c r="Y993" s="50" t="s">
        <v>482</v>
      </c>
      <c r="Z993" s="49">
        <f t="shared" si="6"/>
        <v>0</v>
      </c>
    </row>
    <row r="994" ht="22.5" customHeight="1">
      <c r="B994" s="57"/>
      <c r="C994" s="43" t="str">
        <f t="array" ref="C994">IF(B994="","",_xlfn.XLOOKUP(B994,'Form responses 1'!$B$2:$B$2604,'Form responses 1'!$A$2:$A$2604,""))</f>
        <v/>
      </c>
      <c r="D994" s="44" t="str">
        <f t="shared" si="3"/>
        <v/>
      </c>
      <c r="E994" s="44" t="str">
        <f t="array" ref="E994">IF(B994="","",_xlfn.XLOOKUP(B994,'Form responses 1'!$B$2:$B$2604,'Form responses 1'!$C$2:$C$2604,""))</f>
        <v/>
      </c>
      <c r="F994" s="44" t="str">
        <f t="array" ref="F994">IF(B994="","",_xlfn.XLOOKUP(B994,'Form responses 1'!$B$2:$B$2604,'Form responses 1'!$D$2:$D$2604,""))</f>
        <v/>
      </c>
      <c r="G994" s="44" t="str">
        <f t="array" ref="G994">IF(B994="","",_xlfn.XLOOKUP(B994,'Form responses 1'!$B$2:$B$2604,'Form responses 1'!$E$2:$E$2604,""))</f>
        <v/>
      </c>
      <c r="H994" s="44" t="str">
        <f t="array" ref="H994">IF(B994="","",_xlfn.XLOOKUP(B994,'Form responses 1'!$B$2:$B$2604,'Form responses 1'!$F$2:$F$2604,""))</f>
        <v/>
      </c>
      <c r="I994" s="44" t="str">
        <f t="array" ref="I994">IF(B994="","",_xlfn.XLOOKUP(B994,'Form responses 1'!$B$2:$B$2604,'Form responses 1'!$I$2:$I$2604,""))</f>
        <v/>
      </c>
      <c r="J994" s="44" t="str">
        <f t="array" ref="J994">IF(B994="","",_xlfn.XLOOKUP(B994,'Form responses 1'!$B$2:$B$2604,'Form responses 1'!$G$2:$G$2604,""))</f>
        <v/>
      </c>
      <c r="K994" s="56"/>
      <c r="L994" s="58" t="str">
        <f t="shared" si="7"/>
        <v/>
      </c>
      <c r="M994" s="49"/>
      <c r="N994" s="49"/>
      <c r="O994" s="49"/>
      <c r="P994" s="49"/>
      <c r="Q994" s="49"/>
      <c r="R994" s="49"/>
      <c r="S994" s="49"/>
      <c r="T994" s="49"/>
      <c r="U994" s="49"/>
      <c r="V994" s="49"/>
      <c r="W994" s="56"/>
      <c r="X994" s="51" t="str">
        <f t="shared" si="5"/>
        <v/>
      </c>
      <c r="Y994" s="50" t="s">
        <v>482</v>
      </c>
      <c r="Z994" s="49">
        <f t="shared" si="6"/>
        <v>0</v>
      </c>
    </row>
    <row r="995" ht="22.5" customHeight="1">
      <c r="B995" s="57"/>
      <c r="C995" s="43" t="str">
        <f t="array" ref="C995">IF(B995="","",_xlfn.XLOOKUP(B995,'Form responses 1'!$B$2:$B$2604,'Form responses 1'!$A$2:$A$2604,""))</f>
        <v/>
      </c>
      <c r="D995" s="44" t="str">
        <f t="shared" si="3"/>
        <v/>
      </c>
      <c r="E995" s="44" t="str">
        <f t="array" ref="E995">IF(B995="","",_xlfn.XLOOKUP(B995,'Form responses 1'!$B$2:$B$2604,'Form responses 1'!$C$2:$C$2604,""))</f>
        <v/>
      </c>
      <c r="F995" s="44" t="str">
        <f t="array" ref="F995">IF(B995="","",_xlfn.XLOOKUP(B995,'Form responses 1'!$B$2:$B$2604,'Form responses 1'!$D$2:$D$2604,""))</f>
        <v/>
      </c>
      <c r="G995" s="44" t="str">
        <f t="array" ref="G995">IF(B995="","",_xlfn.XLOOKUP(B995,'Form responses 1'!$B$2:$B$2604,'Form responses 1'!$E$2:$E$2604,""))</f>
        <v/>
      </c>
      <c r="H995" s="44" t="str">
        <f t="array" ref="H995">IF(B995="","",_xlfn.XLOOKUP(B995,'Form responses 1'!$B$2:$B$2604,'Form responses 1'!$F$2:$F$2604,""))</f>
        <v/>
      </c>
      <c r="I995" s="44" t="str">
        <f t="array" ref="I995">IF(B995="","",_xlfn.XLOOKUP(B995,'Form responses 1'!$B$2:$B$2604,'Form responses 1'!$I$2:$I$2604,""))</f>
        <v/>
      </c>
      <c r="J995" s="44" t="str">
        <f t="array" ref="J995">IF(B995="","",_xlfn.XLOOKUP(B995,'Form responses 1'!$B$2:$B$2604,'Form responses 1'!$G$2:$G$2604,""))</f>
        <v/>
      </c>
      <c r="K995" s="56"/>
      <c r="L995" s="58" t="str">
        <f t="shared" si="7"/>
        <v/>
      </c>
      <c r="M995" s="49"/>
      <c r="N995" s="49"/>
      <c r="O995" s="49"/>
      <c r="P995" s="49"/>
      <c r="Q995" s="49"/>
      <c r="R995" s="49"/>
      <c r="S995" s="49"/>
      <c r="T995" s="49"/>
      <c r="U995" s="49"/>
      <c r="V995" s="49"/>
      <c r="W995" s="56"/>
      <c r="X995" s="51" t="str">
        <f t="shared" si="5"/>
        <v/>
      </c>
      <c r="Y995" s="50" t="s">
        <v>482</v>
      </c>
      <c r="Z995" s="49">
        <f t="shared" si="6"/>
        <v>0</v>
      </c>
    </row>
    <row r="996" ht="22.5" customHeight="1">
      <c r="B996" s="57"/>
      <c r="C996" s="43" t="str">
        <f t="array" ref="C996">IF(B996="","",_xlfn.XLOOKUP(B996,'Form responses 1'!$B$2:$B$2604,'Form responses 1'!$A$2:$A$2604,""))</f>
        <v/>
      </c>
      <c r="D996" s="44" t="str">
        <f t="shared" si="3"/>
        <v/>
      </c>
      <c r="E996" s="44" t="str">
        <f t="array" ref="E996">IF(B996="","",_xlfn.XLOOKUP(B996,'Form responses 1'!$B$2:$B$2604,'Form responses 1'!$C$2:$C$2604,""))</f>
        <v/>
      </c>
      <c r="F996" s="44" t="str">
        <f t="array" ref="F996">IF(B996="","",_xlfn.XLOOKUP(B996,'Form responses 1'!$B$2:$B$2604,'Form responses 1'!$D$2:$D$2604,""))</f>
        <v/>
      </c>
      <c r="G996" s="44" t="str">
        <f t="array" ref="G996">IF(B996="","",_xlfn.XLOOKUP(B996,'Form responses 1'!$B$2:$B$2604,'Form responses 1'!$E$2:$E$2604,""))</f>
        <v/>
      </c>
      <c r="H996" s="44" t="str">
        <f t="array" ref="H996">IF(B996="","",_xlfn.XLOOKUP(B996,'Form responses 1'!$B$2:$B$2604,'Form responses 1'!$F$2:$F$2604,""))</f>
        <v/>
      </c>
      <c r="I996" s="44" t="str">
        <f t="array" ref="I996">IF(B996="","",_xlfn.XLOOKUP(B996,'Form responses 1'!$B$2:$B$2604,'Form responses 1'!$I$2:$I$2604,""))</f>
        <v/>
      </c>
      <c r="J996" s="44" t="str">
        <f t="array" ref="J996">IF(B996="","",_xlfn.XLOOKUP(B996,'Form responses 1'!$B$2:$B$2604,'Form responses 1'!$G$2:$G$2604,""))</f>
        <v/>
      </c>
      <c r="K996" s="56"/>
      <c r="L996" s="58" t="str">
        <f t="shared" si="7"/>
        <v/>
      </c>
      <c r="M996" s="49"/>
      <c r="N996" s="49"/>
      <c r="O996" s="49"/>
      <c r="P996" s="49"/>
      <c r="Q996" s="49"/>
      <c r="R996" s="49"/>
      <c r="S996" s="49"/>
      <c r="T996" s="49"/>
      <c r="U996" s="49"/>
      <c r="V996" s="49"/>
      <c r="W996" s="56"/>
      <c r="X996" s="51" t="str">
        <f t="shared" si="5"/>
        <v/>
      </c>
      <c r="Y996" s="50" t="s">
        <v>482</v>
      </c>
      <c r="Z996" s="49">
        <f t="shared" si="6"/>
        <v>0</v>
      </c>
    </row>
    <row r="997" ht="22.5" customHeight="1">
      <c r="B997" s="57"/>
      <c r="C997" s="43" t="str">
        <f t="array" ref="C997">IF(B997="","",_xlfn.XLOOKUP(B997,'Form responses 1'!$B$2:$B$2604,'Form responses 1'!$A$2:$A$2604,""))</f>
        <v/>
      </c>
      <c r="D997" s="44" t="str">
        <f t="shared" si="3"/>
        <v/>
      </c>
      <c r="E997" s="44" t="str">
        <f t="array" ref="E997">IF(B997="","",_xlfn.XLOOKUP(B997,'Form responses 1'!$B$2:$B$2604,'Form responses 1'!$C$2:$C$2604,""))</f>
        <v/>
      </c>
      <c r="F997" s="44" t="str">
        <f t="array" ref="F997">IF(B997="","",_xlfn.XLOOKUP(B997,'Form responses 1'!$B$2:$B$2604,'Form responses 1'!$D$2:$D$2604,""))</f>
        <v/>
      </c>
      <c r="G997" s="44" t="str">
        <f t="array" ref="G997">IF(B997="","",_xlfn.XLOOKUP(B997,'Form responses 1'!$B$2:$B$2604,'Form responses 1'!$E$2:$E$2604,""))</f>
        <v/>
      </c>
      <c r="H997" s="44" t="str">
        <f t="array" ref="H997">IF(B997="","",_xlfn.XLOOKUP(B997,'Form responses 1'!$B$2:$B$2604,'Form responses 1'!$F$2:$F$2604,""))</f>
        <v/>
      </c>
      <c r="I997" s="44" t="str">
        <f t="array" ref="I997">IF(B997="","",_xlfn.XLOOKUP(B997,'Form responses 1'!$B$2:$B$2604,'Form responses 1'!$I$2:$I$2604,""))</f>
        <v/>
      </c>
      <c r="J997" s="44" t="str">
        <f t="array" ref="J997">IF(B997="","",_xlfn.XLOOKUP(B997,'Form responses 1'!$B$2:$B$2604,'Form responses 1'!$G$2:$G$2604,""))</f>
        <v/>
      </c>
      <c r="K997" s="56"/>
      <c r="L997" s="58" t="str">
        <f t="shared" si="7"/>
        <v/>
      </c>
      <c r="M997" s="49"/>
      <c r="N997" s="49"/>
      <c r="O997" s="49"/>
      <c r="P997" s="49"/>
      <c r="Q997" s="49"/>
      <c r="R997" s="49"/>
      <c r="S997" s="49"/>
      <c r="T997" s="49"/>
      <c r="U997" s="49"/>
      <c r="V997" s="49"/>
      <c r="W997" s="56"/>
      <c r="X997" s="51" t="str">
        <f t="shared" si="5"/>
        <v/>
      </c>
      <c r="Y997" s="50" t="s">
        <v>482</v>
      </c>
      <c r="Z997" s="49">
        <f t="shared" si="6"/>
        <v>0</v>
      </c>
    </row>
    <row r="998" ht="22.5" customHeight="1">
      <c r="B998" s="57"/>
      <c r="C998" s="43" t="str">
        <f t="array" ref="C998">IF(B998="","",_xlfn.XLOOKUP(B998,'Form responses 1'!$B$2:$B$2604,'Form responses 1'!$A$2:$A$2604,""))</f>
        <v/>
      </c>
      <c r="D998" s="44" t="str">
        <f t="shared" si="3"/>
        <v/>
      </c>
      <c r="E998" s="44" t="str">
        <f t="array" ref="E998">IF(B998="","",_xlfn.XLOOKUP(B998,'Form responses 1'!$B$2:$B$2604,'Form responses 1'!$C$2:$C$2604,""))</f>
        <v/>
      </c>
      <c r="F998" s="44" t="str">
        <f t="array" ref="F998">IF(B998="","",_xlfn.XLOOKUP(B998,'Form responses 1'!$B$2:$B$2604,'Form responses 1'!$D$2:$D$2604,""))</f>
        <v/>
      </c>
      <c r="G998" s="44" t="str">
        <f t="array" ref="G998">IF(B998="","",_xlfn.XLOOKUP(B998,'Form responses 1'!$B$2:$B$2604,'Form responses 1'!$E$2:$E$2604,""))</f>
        <v/>
      </c>
      <c r="H998" s="44" t="str">
        <f t="array" ref="H998">IF(B998="","",_xlfn.XLOOKUP(B998,'Form responses 1'!$B$2:$B$2604,'Form responses 1'!$F$2:$F$2604,""))</f>
        <v/>
      </c>
      <c r="I998" s="44" t="str">
        <f t="array" ref="I998">IF(B998="","",_xlfn.XLOOKUP(B998,'Form responses 1'!$B$2:$B$2604,'Form responses 1'!$I$2:$I$2604,""))</f>
        <v/>
      </c>
      <c r="J998" s="44" t="str">
        <f t="array" ref="J998">IF(B998="","",_xlfn.XLOOKUP(B998,'Form responses 1'!$B$2:$B$2604,'Form responses 1'!$G$2:$G$2604,""))</f>
        <v/>
      </c>
      <c r="K998" s="56"/>
      <c r="L998" s="58" t="str">
        <f t="shared" si="7"/>
        <v/>
      </c>
      <c r="M998" s="49"/>
      <c r="N998" s="49"/>
      <c r="O998" s="49"/>
      <c r="P998" s="49"/>
      <c r="Q998" s="49"/>
      <c r="R998" s="49"/>
      <c r="S998" s="49"/>
      <c r="T998" s="49"/>
      <c r="U998" s="49"/>
      <c r="V998" s="49"/>
      <c r="W998" s="56"/>
      <c r="X998" s="51" t="str">
        <f t="shared" si="5"/>
        <v/>
      </c>
      <c r="Y998" s="50" t="s">
        <v>482</v>
      </c>
      <c r="Z998" s="49">
        <f t="shared" si="6"/>
        <v>0</v>
      </c>
    </row>
    <row r="999" ht="22.5" customHeight="1">
      <c r="B999" s="57"/>
      <c r="C999" s="43" t="str">
        <f t="array" ref="C999">IF(B999="","",_xlfn.XLOOKUP(B999,'Form responses 1'!$B$2:$B$2604,'Form responses 1'!$A$2:$A$2604,""))</f>
        <v/>
      </c>
      <c r="D999" s="44" t="str">
        <f t="shared" si="3"/>
        <v/>
      </c>
      <c r="E999" s="44" t="str">
        <f t="array" ref="E999">IF(B999="","",_xlfn.XLOOKUP(B999,'Form responses 1'!$B$2:$B$2604,'Form responses 1'!$C$2:$C$2604,""))</f>
        <v/>
      </c>
      <c r="F999" s="44" t="str">
        <f t="array" ref="F999">IF(B999="","",_xlfn.XLOOKUP(B999,'Form responses 1'!$B$2:$B$2604,'Form responses 1'!$D$2:$D$2604,""))</f>
        <v/>
      </c>
      <c r="G999" s="44" t="str">
        <f t="array" ref="G999">IF(B999="","",_xlfn.XLOOKUP(B999,'Form responses 1'!$B$2:$B$2604,'Form responses 1'!$E$2:$E$2604,""))</f>
        <v/>
      </c>
      <c r="H999" s="44" t="str">
        <f t="array" ref="H999">IF(B999="","",_xlfn.XLOOKUP(B999,'Form responses 1'!$B$2:$B$2604,'Form responses 1'!$F$2:$F$2604,""))</f>
        <v/>
      </c>
      <c r="I999" s="44" t="str">
        <f t="array" ref="I999">IF(B999="","",_xlfn.XLOOKUP(B999,'Form responses 1'!$B$2:$B$2604,'Form responses 1'!$I$2:$I$2604,""))</f>
        <v/>
      </c>
      <c r="J999" s="44" t="str">
        <f t="array" ref="J999">IF(B999="","",_xlfn.XLOOKUP(B999,'Form responses 1'!$B$2:$B$2604,'Form responses 1'!$G$2:$G$2604,""))</f>
        <v/>
      </c>
      <c r="K999" s="56"/>
      <c r="L999" s="58" t="str">
        <f t="shared" si="7"/>
        <v/>
      </c>
      <c r="M999" s="49"/>
      <c r="N999" s="49"/>
      <c r="O999" s="49"/>
      <c r="P999" s="49"/>
      <c r="Q999" s="49"/>
      <c r="R999" s="49"/>
      <c r="S999" s="49"/>
      <c r="T999" s="49"/>
      <c r="U999" s="49"/>
      <c r="V999" s="49"/>
      <c r="W999" s="56"/>
      <c r="X999" s="51" t="str">
        <f t="shared" si="5"/>
        <v/>
      </c>
      <c r="Y999" s="50" t="s">
        <v>482</v>
      </c>
      <c r="Z999" s="49">
        <f t="shared" si="6"/>
        <v>0</v>
      </c>
    </row>
    <row r="1000" ht="22.5" customHeight="1">
      <c r="B1000" s="57"/>
      <c r="C1000" s="43" t="str">
        <f t="array" ref="C1000">IF(B1000="","",_xlfn.XLOOKUP(B1000,'Form responses 1'!$B$2:$B$2604,'Form responses 1'!$A$2:$A$2604,""))</f>
        <v/>
      </c>
      <c r="D1000" s="44" t="str">
        <f t="shared" si="3"/>
        <v/>
      </c>
      <c r="E1000" s="44" t="str">
        <f t="array" ref="E1000">IF(B1000="","",_xlfn.XLOOKUP(B1000,'Form responses 1'!$B$2:$B$2604,'Form responses 1'!$C$2:$C$2604,""))</f>
        <v/>
      </c>
      <c r="F1000" s="44" t="str">
        <f t="array" ref="F1000">IF(B1000="","",_xlfn.XLOOKUP(B1000,'Form responses 1'!$B$2:$B$2604,'Form responses 1'!$D$2:$D$2604,""))</f>
        <v/>
      </c>
      <c r="G1000" s="44" t="str">
        <f t="array" ref="G1000">IF(B1000="","",_xlfn.XLOOKUP(B1000,'Form responses 1'!$B$2:$B$2604,'Form responses 1'!$E$2:$E$2604,""))</f>
        <v/>
      </c>
      <c r="H1000" s="44" t="str">
        <f t="array" ref="H1000">IF(B1000="","",_xlfn.XLOOKUP(B1000,'Form responses 1'!$B$2:$B$2604,'Form responses 1'!$F$2:$F$2604,""))</f>
        <v/>
      </c>
      <c r="I1000" s="44" t="str">
        <f t="array" ref="I1000">IF(B1000="","",_xlfn.XLOOKUP(B1000,'Form responses 1'!$B$2:$B$2604,'Form responses 1'!$I$2:$I$2604,""))</f>
        <v/>
      </c>
      <c r="J1000" s="44" t="str">
        <f t="array" ref="J1000">IF(B1000="","",_xlfn.XLOOKUP(B1000,'Form responses 1'!$B$2:$B$2604,'Form responses 1'!$G$2:$G$2604,""))</f>
        <v/>
      </c>
      <c r="K1000" s="56"/>
      <c r="L1000" s="58" t="str">
        <f t="shared" si="7"/>
        <v/>
      </c>
      <c r="M1000" s="49"/>
      <c r="N1000" s="49"/>
      <c r="O1000" s="49"/>
      <c r="P1000" s="49"/>
      <c r="Q1000" s="49"/>
      <c r="R1000" s="49"/>
      <c r="S1000" s="49"/>
      <c r="T1000" s="49"/>
      <c r="U1000" s="49"/>
      <c r="V1000" s="49"/>
      <c r="W1000" s="56"/>
      <c r="X1000" s="51" t="str">
        <f t="shared" si="5"/>
        <v/>
      </c>
      <c r="Y1000" s="50" t="s">
        <v>482</v>
      </c>
      <c r="Z1000" s="49">
        <f t="shared" si="6"/>
        <v>0</v>
      </c>
    </row>
    <row r="1001" ht="22.5" customHeight="1">
      <c r="B1001" s="57"/>
      <c r="C1001" s="43" t="str">
        <f t="array" ref="C1001">IF(B1001="","",_xlfn.XLOOKUP(B1001,'Form responses 1'!$B$2:$B$2604,'Form responses 1'!$A$2:$A$2604,""))</f>
        <v/>
      </c>
      <c r="D1001" s="44" t="str">
        <f t="shared" si="3"/>
        <v/>
      </c>
      <c r="E1001" s="44" t="str">
        <f t="array" ref="E1001">IF(B1001="","",_xlfn.XLOOKUP(B1001,'Form responses 1'!$B$2:$B$2604,'Form responses 1'!$C$2:$C$2604,""))</f>
        <v/>
      </c>
      <c r="F1001" s="44" t="str">
        <f t="array" ref="F1001">IF(B1001="","",_xlfn.XLOOKUP(B1001,'Form responses 1'!$B$2:$B$2604,'Form responses 1'!$D$2:$D$2604,""))</f>
        <v/>
      </c>
      <c r="G1001" s="44" t="str">
        <f t="array" ref="G1001">IF(B1001="","",_xlfn.XLOOKUP(B1001,'Form responses 1'!$B$2:$B$2604,'Form responses 1'!$E$2:$E$2604,""))</f>
        <v/>
      </c>
      <c r="H1001" s="44" t="str">
        <f t="array" ref="H1001">IF(B1001="","",_xlfn.XLOOKUP(B1001,'Form responses 1'!$B$2:$B$2604,'Form responses 1'!$F$2:$F$2604,""))</f>
        <v/>
      </c>
      <c r="I1001" s="44" t="str">
        <f t="array" ref="I1001">IF(B1001="","",_xlfn.XLOOKUP(B1001,'Form responses 1'!$B$2:$B$2604,'Form responses 1'!$I$2:$I$2604,""))</f>
        <v/>
      </c>
      <c r="J1001" s="44" t="str">
        <f t="array" ref="J1001">IF(B1001="","",_xlfn.XLOOKUP(B1001,'Form responses 1'!$B$2:$B$2604,'Form responses 1'!$G$2:$G$2604,""))</f>
        <v/>
      </c>
      <c r="K1001" s="56"/>
      <c r="L1001" s="58" t="str">
        <f t="shared" si="7"/>
        <v/>
      </c>
      <c r="M1001" s="49"/>
      <c r="N1001" s="49"/>
      <c r="O1001" s="49"/>
      <c r="P1001" s="49"/>
      <c r="Q1001" s="49"/>
      <c r="R1001" s="49"/>
      <c r="S1001" s="49"/>
      <c r="T1001" s="49"/>
      <c r="U1001" s="49"/>
      <c r="V1001" s="49"/>
      <c r="W1001" s="56"/>
      <c r="X1001" s="51" t="str">
        <f t="shared" si="5"/>
        <v/>
      </c>
      <c r="Y1001" s="50" t="s">
        <v>482</v>
      </c>
      <c r="Z1001" s="49">
        <f t="shared" si="6"/>
        <v>0</v>
      </c>
    </row>
    <row r="1002" ht="22.5" customHeight="1">
      <c r="B1002" s="57"/>
      <c r="C1002" s="43" t="str">
        <f t="array" ref="C1002">IF(B1002="","",_xlfn.XLOOKUP(B1002,'Form responses 1'!$B$2:$B$2604,'Form responses 1'!$A$2:$A$2604,""))</f>
        <v/>
      </c>
      <c r="D1002" s="44" t="str">
        <f t="shared" si="3"/>
        <v/>
      </c>
      <c r="E1002" s="44" t="str">
        <f t="array" ref="E1002">IF(B1002="","",_xlfn.XLOOKUP(B1002,'Form responses 1'!$B$2:$B$2604,'Form responses 1'!$C$2:$C$2604,""))</f>
        <v/>
      </c>
      <c r="F1002" s="44" t="str">
        <f t="array" ref="F1002">IF(B1002="","",_xlfn.XLOOKUP(B1002,'Form responses 1'!$B$2:$B$2604,'Form responses 1'!$D$2:$D$2604,""))</f>
        <v/>
      </c>
      <c r="G1002" s="44" t="str">
        <f t="array" ref="G1002">IF(B1002="","",_xlfn.XLOOKUP(B1002,'Form responses 1'!$B$2:$B$2604,'Form responses 1'!$E$2:$E$2604,""))</f>
        <v/>
      </c>
      <c r="H1002" s="44" t="str">
        <f t="array" ref="H1002">IF(B1002="","",_xlfn.XLOOKUP(B1002,'Form responses 1'!$B$2:$B$2604,'Form responses 1'!$F$2:$F$2604,""))</f>
        <v/>
      </c>
      <c r="I1002" s="44" t="str">
        <f t="array" ref="I1002">IF(B1002="","",_xlfn.XLOOKUP(B1002,'Form responses 1'!$B$2:$B$2604,'Form responses 1'!$I$2:$I$2604,""))</f>
        <v/>
      </c>
      <c r="J1002" s="44" t="str">
        <f t="array" ref="J1002">IF(B1002="","",_xlfn.XLOOKUP(B1002,'Form responses 1'!$B$2:$B$2604,'Form responses 1'!$G$2:$G$2604,""))</f>
        <v/>
      </c>
      <c r="K1002" s="56"/>
      <c r="L1002" s="58" t="str">
        <f t="shared" si="7"/>
        <v/>
      </c>
      <c r="M1002" s="49"/>
      <c r="N1002" s="49"/>
      <c r="O1002" s="49"/>
      <c r="P1002" s="49"/>
      <c r="Q1002" s="49"/>
      <c r="R1002" s="49"/>
      <c r="S1002" s="49"/>
      <c r="T1002" s="49"/>
      <c r="U1002" s="49"/>
      <c r="V1002" s="49"/>
      <c r="W1002" s="56"/>
      <c r="X1002" s="51" t="str">
        <f t="shared" si="5"/>
        <v/>
      </c>
      <c r="Y1002" s="50" t="s">
        <v>482</v>
      </c>
      <c r="Z1002" s="49">
        <f t="shared" si="6"/>
        <v>0</v>
      </c>
    </row>
    <row r="1003" ht="22.5" customHeight="1">
      <c r="B1003" s="57"/>
      <c r="C1003" s="43" t="str">
        <f t="array" ref="C1003">IF(B1003="","",_xlfn.XLOOKUP(B1003,'Form responses 1'!$B$2:$B$2604,'Form responses 1'!$A$2:$A$2604,""))</f>
        <v/>
      </c>
      <c r="D1003" s="44" t="str">
        <f t="shared" si="3"/>
        <v/>
      </c>
      <c r="E1003" s="44" t="str">
        <f t="array" ref="E1003">IF(B1003="","",_xlfn.XLOOKUP(B1003,'Form responses 1'!$B$2:$B$2604,'Form responses 1'!$C$2:$C$2604,""))</f>
        <v/>
      </c>
      <c r="F1003" s="44" t="str">
        <f t="array" ref="F1003">IF(B1003="","",_xlfn.XLOOKUP(B1003,'Form responses 1'!$B$2:$B$2604,'Form responses 1'!$D$2:$D$2604,""))</f>
        <v/>
      </c>
      <c r="G1003" s="44" t="str">
        <f t="array" ref="G1003">IF(B1003="","",_xlfn.XLOOKUP(B1003,'Form responses 1'!$B$2:$B$2604,'Form responses 1'!$E$2:$E$2604,""))</f>
        <v/>
      </c>
      <c r="H1003" s="44" t="str">
        <f t="array" ref="H1003">IF(B1003="","",_xlfn.XLOOKUP(B1003,'Form responses 1'!$B$2:$B$2604,'Form responses 1'!$F$2:$F$2604,""))</f>
        <v/>
      </c>
      <c r="I1003" s="44" t="str">
        <f t="array" ref="I1003">IF(B1003="","",_xlfn.XLOOKUP(B1003,'Form responses 1'!$B$2:$B$2604,'Form responses 1'!$I$2:$I$2604,""))</f>
        <v/>
      </c>
      <c r="J1003" s="44" t="str">
        <f t="array" ref="J1003">IF(B1003="","",_xlfn.XLOOKUP(B1003,'Form responses 1'!$B$2:$B$2604,'Form responses 1'!$G$2:$G$2604,""))</f>
        <v/>
      </c>
      <c r="K1003" s="56"/>
      <c r="L1003" s="58" t="str">
        <f t="shared" si="7"/>
        <v/>
      </c>
      <c r="M1003" s="49"/>
      <c r="N1003" s="49"/>
      <c r="O1003" s="49"/>
      <c r="P1003" s="49"/>
      <c r="Q1003" s="49"/>
      <c r="R1003" s="49"/>
      <c r="S1003" s="49"/>
      <c r="T1003" s="49"/>
      <c r="U1003" s="49"/>
      <c r="V1003" s="49"/>
      <c r="W1003" s="56"/>
      <c r="X1003" s="51" t="str">
        <f t="shared" si="5"/>
        <v/>
      </c>
      <c r="Y1003" s="50" t="s">
        <v>482</v>
      </c>
      <c r="Z1003" s="49">
        <f t="shared" si="6"/>
        <v>0</v>
      </c>
    </row>
    <row r="1004" ht="22.5" customHeight="1">
      <c r="B1004" s="57"/>
      <c r="C1004" s="43" t="str">
        <f t="array" ref="C1004">IF(B1004="","",_xlfn.XLOOKUP(B1004,'Form responses 1'!$B$2:$B$2604,'Form responses 1'!$A$2:$A$2604,""))</f>
        <v/>
      </c>
      <c r="D1004" s="44" t="str">
        <f t="shared" si="3"/>
        <v/>
      </c>
      <c r="E1004" s="44" t="str">
        <f t="array" ref="E1004">IF(B1004="","",_xlfn.XLOOKUP(B1004,'Form responses 1'!$B$2:$B$2604,'Form responses 1'!$C$2:$C$2604,""))</f>
        <v/>
      </c>
      <c r="F1004" s="44" t="str">
        <f t="array" ref="F1004">IF(B1004="","",_xlfn.XLOOKUP(B1004,'Form responses 1'!$B$2:$B$2604,'Form responses 1'!$D$2:$D$2604,""))</f>
        <v/>
      </c>
      <c r="G1004" s="44" t="str">
        <f t="array" ref="G1004">IF(B1004="","",_xlfn.XLOOKUP(B1004,'Form responses 1'!$B$2:$B$2604,'Form responses 1'!$E$2:$E$2604,""))</f>
        <v/>
      </c>
      <c r="H1004" s="44" t="str">
        <f t="array" ref="H1004">IF(B1004="","",_xlfn.XLOOKUP(B1004,'Form responses 1'!$B$2:$B$2604,'Form responses 1'!$F$2:$F$2604,""))</f>
        <v/>
      </c>
      <c r="I1004" s="44" t="str">
        <f t="array" ref="I1004">IF(B1004="","",_xlfn.XLOOKUP(B1004,'Form responses 1'!$B$2:$B$2604,'Form responses 1'!$I$2:$I$2604,""))</f>
        <v/>
      </c>
      <c r="J1004" s="44" t="str">
        <f t="array" ref="J1004">IF(B1004="","",_xlfn.XLOOKUP(B1004,'Form responses 1'!$B$2:$B$2604,'Form responses 1'!$G$2:$G$2604,""))</f>
        <v/>
      </c>
      <c r="K1004" s="56"/>
      <c r="L1004" s="58" t="str">
        <f t="shared" si="7"/>
        <v/>
      </c>
      <c r="M1004" s="49"/>
      <c r="N1004" s="49"/>
      <c r="O1004" s="49"/>
      <c r="P1004" s="49"/>
      <c r="Q1004" s="49"/>
      <c r="R1004" s="49"/>
      <c r="S1004" s="49"/>
      <c r="T1004" s="49"/>
      <c r="U1004" s="49"/>
      <c r="V1004" s="49"/>
      <c r="W1004" s="56"/>
      <c r="X1004" s="51" t="str">
        <f t="shared" si="5"/>
        <v/>
      </c>
      <c r="Y1004" s="50" t="s">
        <v>482</v>
      </c>
      <c r="Z1004" s="49">
        <f t="shared" si="6"/>
        <v>0</v>
      </c>
    </row>
    <row r="1005" ht="22.5" customHeight="1">
      <c r="B1005" s="57"/>
      <c r="C1005" s="43" t="str">
        <f t="array" ref="C1005">IF(B1005="","",_xlfn.XLOOKUP(B1005,'Form responses 1'!$B$2:$B$2604,'Form responses 1'!$A$2:$A$2604,""))</f>
        <v/>
      </c>
      <c r="D1005" s="44" t="str">
        <f t="shared" si="3"/>
        <v/>
      </c>
      <c r="E1005" s="44" t="str">
        <f t="array" ref="E1005">IF(B1005="","",_xlfn.XLOOKUP(B1005,'Form responses 1'!$B$2:$B$2604,'Form responses 1'!$C$2:$C$2604,""))</f>
        <v/>
      </c>
      <c r="F1005" s="44" t="str">
        <f t="array" ref="F1005">IF(B1005="","",_xlfn.XLOOKUP(B1005,'Form responses 1'!$B$2:$B$2604,'Form responses 1'!$D$2:$D$2604,""))</f>
        <v/>
      </c>
      <c r="G1005" s="44" t="str">
        <f t="array" ref="G1005">IF(B1005="","",_xlfn.XLOOKUP(B1005,'Form responses 1'!$B$2:$B$2604,'Form responses 1'!$E$2:$E$2604,""))</f>
        <v/>
      </c>
      <c r="H1005" s="44" t="str">
        <f t="array" ref="H1005">IF(B1005="","",_xlfn.XLOOKUP(B1005,'Form responses 1'!$B$2:$B$2604,'Form responses 1'!$F$2:$F$2604,""))</f>
        <v/>
      </c>
      <c r="I1005" s="44" t="str">
        <f t="array" ref="I1005">IF(B1005="","",_xlfn.XLOOKUP(B1005,'Form responses 1'!$B$2:$B$2604,'Form responses 1'!$I$2:$I$2604,""))</f>
        <v/>
      </c>
      <c r="J1005" s="44" t="str">
        <f t="array" ref="J1005">IF(B1005="","",_xlfn.XLOOKUP(B1005,'Form responses 1'!$B$2:$B$2604,'Form responses 1'!$G$2:$G$2604,""))</f>
        <v/>
      </c>
      <c r="K1005" s="56"/>
      <c r="L1005" s="58" t="str">
        <f t="shared" si="7"/>
        <v/>
      </c>
      <c r="M1005" s="49"/>
      <c r="N1005" s="49"/>
      <c r="O1005" s="49"/>
      <c r="P1005" s="49"/>
      <c r="Q1005" s="49"/>
      <c r="R1005" s="49"/>
      <c r="S1005" s="49"/>
      <c r="T1005" s="49"/>
      <c r="U1005" s="49"/>
      <c r="V1005" s="49"/>
      <c r="W1005" s="56"/>
      <c r="X1005" s="51" t="str">
        <f t="shared" si="5"/>
        <v/>
      </c>
      <c r="Y1005" s="50" t="s">
        <v>482</v>
      </c>
      <c r="Z1005" s="49">
        <f t="shared" si="6"/>
        <v>0</v>
      </c>
    </row>
    <row r="1006" ht="22.5" customHeight="1">
      <c r="B1006" s="57"/>
      <c r="C1006" s="43" t="str">
        <f t="array" ref="C1006">IF(B1006="","",_xlfn.XLOOKUP(B1006,'Form responses 1'!$B$2:$B$2604,'Form responses 1'!$A$2:$A$2604,""))</f>
        <v/>
      </c>
      <c r="D1006" s="44" t="str">
        <f t="shared" si="3"/>
        <v/>
      </c>
      <c r="E1006" s="44" t="str">
        <f t="array" ref="E1006">IF(B1006="","",_xlfn.XLOOKUP(B1006,'Form responses 1'!$B$2:$B$2604,'Form responses 1'!$C$2:$C$2604,""))</f>
        <v/>
      </c>
      <c r="F1006" s="44" t="str">
        <f t="array" ref="F1006">IF(B1006="","",_xlfn.XLOOKUP(B1006,'Form responses 1'!$B$2:$B$2604,'Form responses 1'!$D$2:$D$2604,""))</f>
        <v/>
      </c>
      <c r="G1006" s="44" t="str">
        <f t="array" ref="G1006">IF(B1006="","",_xlfn.XLOOKUP(B1006,'Form responses 1'!$B$2:$B$2604,'Form responses 1'!$E$2:$E$2604,""))</f>
        <v/>
      </c>
      <c r="H1006" s="44" t="str">
        <f t="array" ref="H1006">IF(B1006="","",_xlfn.XLOOKUP(B1006,'Form responses 1'!$B$2:$B$2604,'Form responses 1'!$F$2:$F$2604,""))</f>
        <v/>
      </c>
      <c r="I1006" s="44" t="str">
        <f t="array" ref="I1006">IF(B1006="","",_xlfn.XLOOKUP(B1006,'Form responses 1'!$B$2:$B$2604,'Form responses 1'!$I$2:$I$2604,""))</f>
        <v/>
      </c>
      <c r="J1006" s="44" t="str">
        <f t="array" ref="J1006">IF(B1006="","",_xlfn.XLOOKUP(B1006,'Form responses 1'!$B$2:$B$2604,'Form responses 1'!$G$2:$G$2604,""))</f>
        <v/>
      </c>
      <c r="K1006" s="56"/>
      <c r="L1006" s="58" t="str">
        <f t="shared" si="7"/>
        <v/>
      </c>
      <c r="M1006" s="49"/>
      <c r="N1006" s="49"/>
      <c r="O1006" s="49"/>
      <c r="P1006" s="49"/>
      <c r="Q1006" s="49"/>
      <c r="R1006" s="49"/>
      <c r="S1006" s="49"/>
      <c r="T1006" s="49"/>
      <c r="U1006" s="49"/>
      <c r="V1006" s="49"/>
      <c r="W1006" s="56"/>
      <c r="X1006" s="51" t="str">
        <f t="shared" si="5"/>
        <v/>
      </c>
      <c r="Y1006" s="50" t="s">
        <v>482</v>
      </c>
      <c r="Z1006" s="49">
        <f t="shared" si="6"/>
        <v>0</v>
      </c>
    </row>
    <row r="1007" ht="22.5" customHeight="1">
      <c r="B1007" s="57"/>
      <c r="C1007" s="43" t="str">
        <f t="array" ref="C1007">IF(B1007="","",_xlfn.XLOOKUP(B1007,'Form responses 1'!$B$2:$B$2604,'Form responses 1'!$A$2:$A$2604,""))</f>
        <v/>
      </c>
      <c r="D1007" s="44" t="str">
        <f t="shared" si="3"/>
        <v/>
      </c>
      <c r="E1007" s="44" t="str">
        <f t="array" ref="E1007">IF(B1007="","",_xlfn.XLOOKUP(B1007,'Form responses 1'!$B$2:$B$2604,'Form responses 1'!$C$2:$C$2604,""))</f>
        <v/>
      </c>
      <c r="F1007" s="44" t="str">
        <f t="array" ref="F1007">IF(B1007="","",_xlfn.XLOOKUP(B1007,'Form responses 1'!$B$2:$B$2604,'Form responses 1'!$D$2:$D$2604,""))</f>
        <v/>
      </c>
      <c r="G1007" s="44" t="str">
        <f t="array" ref="G1007">IF(B1007="","",_xlfn.XLOOKUP(B1007,'Form responses 1'!$B$2:$B$2604,'Form responses 1'!$E$2:$E$2604,""))</f>
        <v/>
      </c>
      <c r="H1007" s="44" t="str">
        <f t="array" ref="H1007">IF(B1007="","",_xlfn.XLOOKUP(B1007,'Form responses 1'!$B$2:$B$2604,'Form responses 1'!$F$2:$F$2604,""))</f>
        <v/>
      </c>
      <c r="I1007" s="44" t="str">
        <f t="array" ref="I1007">IF(B1007="","",_xlfn.XLOOKUP(B1007,'Form responses 1'!$B$2:$B$2604,'Form responses 1'!$I$2:$I$2604,""))</f>
        <v/>
      </c>
      <c r="J1007" s="44" t="str">
        <f t="array" ref="J1007">IF(B1007="","",_xlfn.XLOOKUP(B1007,'Form responses 1'!$B$2:$B$2604,'Form responses 1'!$G$2:$G$2604,""))</f>
        <v/>
      </c>
      <c r="K1007" s="56"/>
      <c r="L1007" s="58" t="str">
        <f t="shared" si="7"/>
        <v/>
      </c>
      <c r="M1007" s="49"/>
      <c r="N1007" s="49"/>
      <c r="O1007" s="49"/>
      <c r="P1007" s="49"/>
      <c r="Q1007" s="49"/>
      <c r="R1007" s="49"/>
      <c r="S1007" s="49"/>
      <c r="T1007" s="49"/>
      <c r="U1007" s="49"/>
      <c r="V1007" s="49"/>
      <c r="W1007" s="56"/>
      <c r="X1007" s="51" t="str">
        <f t="shared" si="5"/>
        <v/>
      </c>
      <c r="Y1007" s="50" t="s">
        <v>482</v>
      </c>
      <c r="Z1007" s="49">
        <f t="shared" si="6"/>
        <v>0</v>
      </c>
    </row>
    <row r="1008" ht="22.5" customHeight="1">
      <c r="B1008" s="57"/>
      <c r="C1008" s="43" t="str">
        <f t="array" ref="C1008">IF(B1008="","",_xlfn.XLOOKUP(B1008,'Form responses 1'!$B$2:$B$2604,'Form responses 1'!$A$2:$A$2604,""))</f>
        <v/>
      </c>
      <c r="D1008" s="44" t="str">
        <f t="shared" si="3"/>
        <v/>
      </c>
      <c r="E1008" s="44" t="str">
        <f t="array" ref="E1008">IF(B1008="","",_xlfn.XLOOKUP(B1008,'Form responses 1'!$B$2:$B$2604,'Form responses 1'!$C$2:$C$2604,""))</f>
        <v/>
      </c>
      <c r="F1008" s="44" t="str">
        <f t="array" ref="F1008">IF(B1008="","",_xlfn.XLOOKUP(B1008,'Form responses 1'!$B$2:$B$2604,'Form responses 1'!$D$2:$D$2604,""))</f>
        <v/>
      </c>
      <c r="G1008" s="44" t="str">
        <f t="array" ref="G1008">IF(B1008="","",_xlfn.XLOOKUP(B1008,'Form responses 1'!$B$2:$B$2604,'Form responses 1'!$E$2:$E$2604,""))</f>
        <v/>
      </c>
      <c r="H1008" s="44" t="str">
        <f t="array" ref="H1008">IF(B1008="","",_xlfn.XLOOKUP(B1008,'Form responses 1'!$B$2:$B$2604,'Form responses 1'!$F$2:$F$2604,""))</f>
        <v/>
      </c>
      <c r="I1008" s="44" t="str">
        <f t="array" ref="I1008">IF(B1008="","",_xlfn.XLOOKUP(B1008,'Form responses 1'!$B$2:$B$2604,'Form responses 1'!$I$2:$I$2604,""))</f>
        <v/>
      </c>
      <c r="J1008" s="44" t="str">
        <f t="array" ref="J1008">IF(B1008="","",_xlfn.XLOOKUP(B1008,'Form responses 1'!$B$2:$B$2604,'Form responses 1'!$G$2:$G$2604,""))</f>
        <v/>
      </c>
      <c r="K1008" s="56"/>
      <c r="L1008" s="58" t="str">
        <f t="shared" si="7"/>
        <v/>
      </c>
      <c r="M1008" s="49"/>
      <c r="N1008" s="49"/>
      <c r="O1008" s="49"/>
      <c r="P1008" s="49"/>
      <c r="Q1008" s="49"/>
      <c r="R1008" s="49"/>
      <c r="S1008" s="49"/>
      <c r="T1008" s="49"/>
      <c r="U1008" s="49"/>
      <c r="V1008" s="49"/>
      <c r="W1008" s="56"/>
      <c r="X1008" s="51" t="str">
        <f t="shared" si="5"/>
        <v/>
      </c>
      <c r="Y1008" s="50" t="s">
        <v>482</v>
      </c>
      <c r="Z1008" s="49">
        <f t="shared" si="6"/>
        <v>0</v>
      </c>
    </row>
    <row r="1009" ht="22.5" customHeight="1">
      <c r="B1009" s="57"/>
      <c r="C1009" s="43" t="str">
        <f t="array" ref="C1009">IF(B1009="","",_xlfn.XLOOKUP(B1009,'Form responses 1'!$B$2:$B$2604,'Form responses 1'!$A$2:$A$2604,""))</f>
        <v/>
      </c>
      <c r="D1009" s="44" t="str">
        <f t="shared" si="3"/>
        <v/>
      </c>
      <c r="E1009" s="44" t="str">
        <f t="array" ref="E1009">IF(B1009="","",_xlfn.XLOOKUP(B1009,'Form responses 1'!$B$2:$B$2604,'Form responses 1'!$C$2:$C$2604,""))</f>
        <v/>
      </c>
      <c r="F1009" s="44" t="str">
        <f t="array" ref="F1009">IF(B1009="","",_xlfn.XLOOKUP(B1009,'Form responses 1'!$B$2:$B$2604,'Form responses 1'!$D$2:$D$2604,""))</f>
        <v/>
      </c>
      <c r="G1009" s="44" t="str">
        <f t="array" ref="G1009">IF(B1009="","",_xlfn.XLOOKUP(B1009,'Form responses 1'!$B$2:$B$2604,'Form responses 1'!$E$2:$E$2604,""))</f>
        <v/>
      </c>
      <c r="H1009" s="44" t="str">
        <f t="array" ref="H1009">IF(B1009="","",_xlfn.XLOOKUP(B1009,'Form responses 1'!$B$2:$B$2604,'Form responses 1'!$F$2:$F$2604,""))</f>
        <v/>
      </c>
      <c r="I1009" s="44" t="str">
        <f t="array" ref="I1009">IF(B1009="","",_xlfn.XLOOKUP(B1009,'Form responses 1'!$B$2:$B$2604,'Form responses 1'!$I$2:$I$2604,""))</f>
        <v/>
      </c>
      <c r="J1009" s="44" t="str">
        <f t="array" ref="J1009">IF(B1009="","",_xlfn.XLOOKUP(B1009,'Form responses 1'!$B$2:$B$2604,'Form responses 1'!$G$2:$G$2604,""))</f>
        <v/>
      </c>
      <c r="K1009" s="56"/>
      <c r="L1009" s="58" t="str">
        <f t="shared" si="7"/>
        <v/>
      </c>
      <c r="M1009" s="49"/>
      <c r="N1009" s="49"/>
      <c r="O1009" s="49"/>
      <c r="P1009" s="49"/>
      <c r="Q1009" s="49"/>
      <c r="R1009" s="49"/>
      <c r="S1009" s="49"/>
      <c r="T1009" s="49"/>
      <c r="U1009" s="49"/>
      <c r="V1009" s="49"/>
      <c r="W1009" s="56"/>
      <c r="X1009" s="51" t="str">
        <f t="shared" si="5"/>
        <v/>
      </c>
      <c r="Y1009" s="50" t="s">
        <v>482</v>
      </c>
      <c r="Z1009" s="49">
        <f t="shared" si="6"/>
        <v>0</v>
      </c>
    </row>
    <row r="1010" ht="22.5" customHeight="1">
      <c r="B1010" s="57"/>
      <c r="C1010" s="43" t="str">
        <f t="array" ref="C1010">IF(B1010="","",_xlfn.XLOOKUP(B1010,'Form responses 1'!$B$2:$B$2604,'Form responses 1'!$A$2:$A$2604,""))</f>
        <v/>
      </c>
      <c r="D1010" s="44" t="str">
        <f t="shared" si="3"/>
        <v/>
      </c>
      <c r="E1010" s="44" t="str">
        <f t="array" ref="E1010">IF(B1010="","",_xlfn.XLOOKUP(B1010,'Form responses 1'!$B$2:$B$2604,'Form responses 1'!$C$2:$C$2604,""))</f>
        <v/>
      </c>
      <c r="F1010" s="44" t="str">
        <f t="array" ref="F1010">IF(B1010="","",_xlfn.XLOOKUP(B1010,'Form responses 1'!$B$2:$B$2604,'Form responses 1'!$D$2:$D$2604,""))</f>
        <v/>
      </c>
      <c r="G1010" s="44" t="str">
        <f t="array" ref="G1010">IF(B1010="","",_xlfn.XLOOKUP(B1010,'Form responses 1'!$B$2:$B$2604,'Form responses 1'!$E$2:$E$2604,""))</f>
        <v/>
      </c>
      <c r="H1010" s="44" t="str">
        <f t="array" ref="H1010">IF(B1010="","",_xlfn.XLOOKUP(B1010,'Form responses 1'!$B$2:$B$2604,'Form responses 1'!$F$2:$F$2604,""))</f>
        <v/>
      </c>
      <c r="I1010" s="44" t="str">
        <f t="array" ref="I1010">IF(B1010="","",_xlfn.XLOOKUP(B1010,'Form responses 1'!$B$2:$B$2604,'Form responses 1'!$I$2:$I$2604,""))</f>
        <v/>
      </c>
      <c r="J1010" s="44" t="str">
        <f t="array" ref="J1010">IF(B1010="","",_xlfn.XLOOKUP(B1010,'Form responses 1'!$B$2:$B$2604,'Form responses 1'!$G$2:$G$2604,""))</f>
        <v/>
      </c>
      <c r="K1010" s="56"/>
      <c r="L1010" s="58" t="str">
        <f t="shared" si="7"/>
        <v/>
      </c>
      <c r="M1010" s="49"/>
      <c r="N1010" s="49"/>
      <c r="O1010" s="49"/>
      <c r="P1010" s="49"/>
      <c r="Q1010" s="49"/>
      <c r="R1010" s="49"/>
      <c r="S1010" s="49"/>
      <c r="T1010" s="49"/>
      <c r="U1010" s="49"/>
      <c r="V1010" s="49"/>
      <c r="W1010" s="56"/>
      <c r="X1010" s="51" t="str">
        <f t="shared" si="5"/>
        <v/>
      </c>
      <c r="Y1010" s="50" t="s">
        <v>482</v>
      </c>
      <c r="Z1010" s="49">
        <f t="shared" si="6"/>
        <v>0</v>
      </c>
    </row>
    <row r="1011" ht="22.5" customHeight="1">
      <c r="B1011" s="57"/>
      <c r="C1011" s="43" t="str">
        <f t="array" ref="C1011">IF(B1011="","",_xlfn.XLOOKUP(B1011,'Form responses 1'!$B$2:$B$2604,'Form responses 1'!$A$2:$A$2604,""))</f>
        <v/>
      </c>
      <c r="D1011" s="44" t="str">
        <f t="shared" si="3"/>
        <v/>
      </c>
      <c r="E1011" s="44" t="str">
        <f t="array" ref="E1011">IF(B1011="","",_xlfn.XLOOKUP(B1011,'Form responses 1'!$B$2:$B$2604,'Form responses 1'!$C$2:$C$2604,""))</f>
        <v/>
      </c>
      <c r="F1011" s="44" t="str">
        <f t="array" ref="F1011">IF(B1011="","",_xlfn.XLOOKUP(B1011,'Form responses 1'!$B$2:$B$2604,'Form responses 1'!$D$2:$D$2604,""))</f>
        <v/>
      </c>
      <c r="G1011" s="44" t="str">
        <f t="array" ref="G1011">IF(B1011="","",_xlfn.XLOOKUP(B1011,'Form responses 1'!$B$2:$B$2604,'Form responses 1'!$E$2:$E$2604,""))</f>
        <v/>
      </c>
      <c r="H1011" s="44" t="str">
        <f t="array" ref="H1011">IF(B1011="","",_xlfn.XLOOKUP(B1011,'Form responses 1'!$B$2:$B$2604,'Form responses 1'!$F$2:$F$2604,""))</f>
        <v/>
      </c>
      <c r="I1011" s="44" t="str">
        <f t="array" ref="I1011">IF(B1011="","",_xlfn.XLOOKUP(B1011,'Form responses 1'!$B$2:$B$2604,'Form responses 1'!$I$2:$I$2604,""))</f>
        <v/>
      </c>
      <c r="J1011" s="44" t="str">
        <f t="array" ref="J1011">IF(B1011="","",_xlfn.XLOOKUP(B1011,'Form responses 1'!$B$2:$B$2604,'Form responses 1'!$G$2:$G$2604,""))</f>
        <v/>
      </c>
      <c r="K1011" s="56"/>
      <c r="L1011" s="58" t="str">
        <f t="shared" si="7"/>
        <v/>
      </c>
      <c r="M1011" s="49"/>
      <c r="N1011" s="49"/>
      <c r="O1011" s="49"/>
      <c r="P1011" s="49"/>
      <c r="Q1011" s="49"/>
      <c r="R1011" s="49"/>
      <c r="S1011" s="49"/>
      <c r="T1011" s="49"/>
      <c r="U1011" s="49"/>
      <c r="V1011" s="49"/>
      <c r="W1011" s="56"/>
      <c r="X1011" s="51" t="str">
        <f t="shared" si="5"/>
        <v/>
      </c>
      <c r="Y1011" s="50" t="s">
        <v>482</v>
      </c>
      <c r="Z1011" s="49">
        <f t="shared" si="6"/>
        <v>0</v>
      </c>
    </row>
    <row r="1012" ht="22.5" customHeight="1">
      <c r="B1012" s="57"/>
      <c r="C1012" s="43" t="str">
        <f t="array" ref="C1012">IF(B1012="","",_xlfn.XLOOKUP(B1012,'Form responses 1'!$B$2:$B$2604,'Form responses 1'!$A$2:$A$2604,""))</f>
        <v/>
      </c>
      <c r="D1012" s="44" t="str">
        <f t="shared" si="3"/>
        <v/>
      </c>
      <c r="E1012" s="44" t="str">
        <f t="array" ref="E1012">IF(B1012="","",_xlfn.XLOOKUP(B1012,'Form responses 1'!$B$2:$B$2604,'Form responses 1'!$C$2:$C$2604,""))</f>
        <v/>
      </c>
      <c r="F1012" s="44" t="str">
        <f t="array" ref="F1012">IF(B1012="","",_xlfn.XLOOKUP(B1012,'Form responses 1'!$B$2:$B$2604,'Form responses 1'!$D$2:$D$2604,""))</f>
        <v/>
      </c>
      <c r="G1012" s="44" t="str">
        <f t="array" ref="G1012">IF(B1012="","",_xlfn.XLOOKUP(B1012,'Form responses 1'!$B$2:$B$2604,'Form responses 1'!$E$2:$E$2604,""))</f>
        <v/>
      </c>
      <c r="H1012" s="44" t="str">
        <f t="array" ref="H1012">IF(B1012="","",_xlfn.XLOOKUP(B1012,'Form responses 1'!$B$2:$B$2604,'Form responses 1'!$F$2:$F$2604,""))</f>
        <v/>
      </c>
      <c r="I1012" s="44" t="str">
        <f t="array" ref="I1012">IF(B1012="","",_xlfn.XLOOKUP(B1012,'Form responses 1'!$B$2:$B$2604,'Form responses 1'!$I$2:$I$2604,""))</f>
        <v/>
      </c>
      <c r="J1012" s="44" t="str">
        <f t="array" ref="J1012">IF(B1012="","",_xlfn.XLOOKUP(B1012,'Form responses 1'!$B$2:$B$2604,'Form responses 1'!$G$2:$G$2604,""))</f>
        <v/>
      </c>
      <c r="K1012" s="56"/>
      <c r="L1012" s="58" t="str">
        <f t="shared" si="7"/>
        <v/>
      </c>
      <c r="M1012" s="49"/>
      <c r="N1012" s="49"/>
      <c r="O1012" s="49"/>
      <c r="P1012" s="49"/>
      <c r="Q1012" s="49"/>
      <c r="R1012" s="49"/>
      <c r="S1012" s="49"/>
      <c r="T1012" s="49"/>
      <c r="U1012" s="49"/>
      <c r="V1012" s="49"/>
      <c r="W1012" s="56"/>
      <c r="X1012" s="51" t="str">
        <f t="shared" si="5"/>
        <v/>
      </c>
      <c r="Y1012" s="50" t="s">
        <v>482</v>
      </c>
      <c r="Z1012" s="49">
        <f t="shared" si="6"/>
        <v>0</v>
      </c>
    </row>
    <row r="1013" ht="22.5" customHeight="1">
      <c r="B1013" s="57"/>
      <c r="C1013" s="43" t="str">
        <f t="array" ref="C1013">IF(B1013="","",_xlfn.XLOOKUP(B1013,'Form responses 1'!$B$2:$B$2604,'Form responses 1'!$A$2:$A$2604,""))</f>
        <v/>
      </c>
      <c r="D1013" s="44" t="str">
        <f t="shared" si="3"/>
        <v/>
      </c>
      <c r="E1013" s="44" t="str">
        <f t="array" ref="E1013">IF(B1013="","",_xlfn.XLOOKUP(B1013,'Form responses 1'!$B$2:$B$2604,'Form responses 1'!$C$2:$C$2604,""))</f>
        <v/>
      </c>
      <c r="F1013" s="44" t="str">
        <f t="array" ref="F1013">IF(B1013="","",_xlfn.XLOOKUP(B1013,'Form responses 1'!$B$2:$B$2604,'Form responses 1'!$D$2:$D$2604,""))</f>
        <v/>
      </c>
      <c r="G1013" s="44" t="str">
        <f t="array" ref="G1013">IF(B1013="","",_xlfn.XLOOKUP(B1013,'Form responses 1'!$B$2:$B$2604,'Form responses 1'!$E$2:$E$2604,""))</f>
        <v/>
      </c>
      <c r="H1013" s="44" t="str">
        <f t="array" ref="H1013">IF(B1013="","",_xlfn.XLOOKUP(B1013,'Form responses 1'!$B$2:$B$2604,'Form responses 1'!$F$2:$F$2604,""))</f>
        <v/>
      </c>
      <c r="I1013" s="44" t="str">
        <f t="array" ref="I1013">IF(B1013="","",_xlfn.XLOOKUP(B1013,'Form responses 1'!$B$2:$B$2604,'Form responses 1'!$I$2:$I$2604,""))</f>
        <v/>
      </c>
      <c r="J1013" s="44" t="str">
        <f t="array" ref="J1013">IF(B1013="","",_xlfn.XLOOKUP(B1013,'Form responses 1'!$B$2:$B$2604,'Form responses 1'!$G$2:$G$2604,""))</f>
        <v/>
      </c>
      <c r="K1013" s="56"/>
      <c r="L1013" s="58" t="str">
        <f t="shared" si="7"/>
        <v/>
      </c>
      <c r="M1013" s="49"/>
      <c r="N1013" s="49"/>
      <c r="O1013" s="49"/>
      <c r="P1013" s="49"/>
      <c r="Q1013" s="49"/>
      <c r="R1013" s="49"/>
      <c r="S1013" s="49"/>
      <c r="T1013" s="49"/>
      <c r="U1013" s="49"/>
      <c r="V1013" s="49"/>
      <c r="W1013" s="56"/>
      <c r="X1013" s="51" t="str">
        <f t="shared" si="5"/>
        <v/>
      </c>
      <c r="Y1013" s="50" t="s">
        <v>482</v>
      </c>
      <c r="Z1013" s="49">
        <f t="shared" si="6"/>
        <v>0</v>
      </c>
    </row>
    <row r="1014" ht="22.5" customHeight="1">
      <c r="B1014" s="57"/>
      <c r="C1014" s="43" t="str">
        <f t="array" ref="C1014">IF(B1014="","",_xlfn.XLOOKUP(B1014,'Form responses 1'!$B$2:$B$2604,'Form responses 1'!$A$2:$A$2604,""))</f>
        <v/>
      </c>
      <c r="D1014" s="44" t="str">
        <f t="shared" si="3"/>
        <v/>
      </c>
      <c r="E1014" s="44" t="str">
        <f t="array" ref="E1014">IF(B1014="","",_xlfn.XLOOKUP(B1014,'Form responses 1'!$B$2:$B$2604,'Form responses 1'!$C$2:$C$2604,""))</f>
        <v/>
      </c>
      <c r="F1014" s="44" t="str">
        <f t="array" ref="F1014">IF(B1014="","",_xlfn.XLOOKUP(B1014,'Form responses 1'!$B$2:$B$2604,'Form responses 1'!$D$2:$D$2604,""))</f>
        <v/>
      </c>
      <c r="G1014" s="44" t="str">
        <f t="array" ref="G1014">IF(B1014="","",_xlfn.XLOOKUP(B1014,'Form responses 1'!$B$2:$B$2604,'Form responses 1'!$E$2:$E$2604,""))</f>
        <v/>
      </c>
      <c r="H1014" s="44" t="str">
        <f t="array" ref="H1014">IF(B1014="","",_xlfn.XLOOKUP(B1014,'Form responses 1'!$B$2:$B$2604,'Form responses 1'!$F$2:$F$2604,""))</f>
        <v/>
      </c>
      <c r="I1014" s="44" t="str">
        <f t="array" ref="I1014">IF(B1014="","",_xlfn.XLOOKUP(B1014,'Form responses 1'!$B$2:$B$2604,'Form responses 1'!$I$2:$I$2604,""))</f>
        <v/>
      </c>
      <c r="J1014" s="44" t="str">
        <f t="array" ref="J1014">IF(B1014="","",_xlfn.XLOOKUP(B1014,'Form responses 1'!$B$2:$B$2604,'Form responses 1'!$G$2:$G$2604,""))</f>
        <v/>
      </c>
      <c r="K1014" s="56"/>
      <c r="L1014" s="58" t="str">
        <f t="shared" si="7"/>
        <v/>
      </c>
      <c r="M1014" s="49"/>
      <c r="N1014" s="49"/>
      <c r="O1014" s="49"/>
      <c r="P1014" s="49"/>
      <c r="Q1014" s="49"/>
      <c r="R1014" s="49"/>
      <c r="S1014" s="49"/>
      <c r="T1014" s="49"/>
      <c r="U1014" s="49"/>
      <c r="V1014" s="49"/>
      <c r="W1014" s="56"/>
      <c r="X1014" s="51" t="str">
        <f t="shared" si="5"/>
        <v/>
      </c>
      <c r="Y1014" s="50" t="s">
        <v>482</v>
      </c>
      <c r="Z1014" s="49">
        <f t="shared" si="6"/>
        <v>0</v>
      </c>
    </row>
    <row r="1015" ht="22.5" customHeight="1">
      <c r="B1015" s="57"/>
      <c r="C1015" s="43" t="str">
        <f t="array" ref="C1015">IF(B1015="","",_xlfn.XLOOKUP(B1015,'Form responses 1'!$B$2:$B$2604,'Form responses 1'!$A$2:$A$2604,""))</f>
        <v/>
      </c>
      <c r="D1015" s="44" t="str">
        <f t="shared" si="3"/>
        <v/>
      </c>
      <c r="E1015" s="44" t="str">
        <f t="array" ref="E1015">IF(B1015="","",_xlfn.XLOOKUP(B1015,'Form responses 1'!$B$2:$B$2604,'Form responses 1'!$C$2:$C$2604,""))</f>
        <v/>
      </c>
      <c r="F1015" s="44" t="str">
        <f t="array" ref="F1015">IF(B1015="","",_xlfn.XLOOKUP(B1015,'Form responses 1'!$B$2:$B$2604,'Form responses 1'!$D$2:$D$2604,""))</f>
        <v/>
      </c>
      <c r="G1015" s="44" t="str">
        <f t="array" ref="G1015">IF(B1015="","",_xlfn.XLOOKUP(B1015,'Form responses 1'!$B$2:$B$2604,'Form responses 1'!$E$2:$E$2604,""))</f>
        <v/>
      </c>
      <c r="H1015" s="44" t="str">
        <f t="array" ref="H1015">IF(B1015="","",_xlfn.XLOOKUP(B1015,'Form responses 1'!$B$2:$B$2604,'Form responses 1'!$F$2:$F$2604,""))</f>
        <v/>
      </c>
      <c r="I1015" s="44" t="str">
        <f t="array" ref="I1015">IF(B1015="","",_xlfn.XLOOKUP(B1015,'Form responses 1'!$B$2:$B$2604,'Form responses 1'!$I$2:$I$2604,""))</f>
        <v/>
      </c>
      <c r="J1015" s="44" t="str">
        <f t="array" ref="J1015">IF(B1015="","",_xlfn.XLOOKUP(B1015,'Form responses 1'!$B$2:$B$2604,'Form responses 1'!$G$2:$G$2604,""))</f>
        <v/>
      </c>
      <c r="K1015" s="56"/>
      <c r="L1015" s="58" t="str">
        <f t="shared" si="7"/>
        <v/>
      </c>
      <c r="M1015" s="49"/>
      <c r="N1015" s="49"/>
      <c r="O1015" s="49"/>
      <c r="P1015" s="49"/>
      <c r="Q1015" s="49"/>
      <c r="R1015" s="49"/>
      <c r="S1015" s="49"/>
      <c r="T1015" s="49"/>
      <c r="U1015" s="49"/>
      <c r="V1015" s="49"/>
      <c r="W1015" s="56"/>
      <c r="X1015" s="51" t="str">
        <f t="shared" si="5"/>
        <v/>
      </c>
      <c r="Y1015" s="50" t="s">
        <v>482</v>
      </c>
      <c r="Z1015" s="49">
        <f t="shared" si="6"/>
        <v>0</v>
      </c>
    </row>
    <row r="1016" ht="22.5" customHeight="1">
      <c r="B1016" s="57"/>
      <c r="C1016" s="43" t="str">
        <f t="array" ref="C1016">IF(B1016="","",_xlfn.XLOOKUP(B1016,'Form responses 1'!$B$2:$B$2604,'Form responses 1'!$A$2:$A$2604,""))</f>
        <v/>
      </c>
      <c r="D1016" s="44" t="str">
        <f t="shared" si="3"/>
        <v/>
      </c>
      <c r="E1016" s="44" t="str">
        <f t="array" ref="E1016">IF(B1016="","",_xlfn.XLOOKUP(B1016,'Form responses 1'!$B$2:$B$2604,'Form responses 1'!$C$2:$C$2604,""))</f>
        <v/>
      </c>
      <c r="F1016" s="44" t="str">
        <f t="array" ref="F1016">IF(B1016="","",_xlfn.XLOOKUP(B1016,'Form responses 1'!$B$2:$B$2604,'Form responses 1'!$D$2:$D$2604,""))</f>
        <v/>
      </c>
      <c r="G1016" s="44" t="str">
        <f t="array" ref="G1016">IF(B1016="","",_xlfn.XLOOKUP(B1016,'Form responses 1'!$B$2:$B$2604,'Form responses 1'!$E$2:$E$2604,""))</f>
        <v/>
      </c>
      <c r="H1016" s="44" t="str">
        <f t="array" ref="H1016">IF(B1016="","",_xlfn.XLOOKUP(B1016,'Form responses 1'!$B$2:$B$2604,'Form responses 1'!$F$2:$F$2604,""))</f>
        <v/>
      </c>
      <c r="I1016" s="44" t="str">
        <f t="array" ref="I1016">IF(B1016="","",_xlfn.XLOOKUP(B1016,'Form responses 1'!$B$2:$B$2604,'Form responses 1'!$I$2:$I$2604,""))</f>
        <v/>
      </c>
      <c r="J1016" s="44" t="str">
        <f t="array" ref="J1016">IF(B1016="","",_xlfn.XLOOKUP(B1016,'Form responses 1'!$B$2:$B$2604,'Form responses 1'!$G$2:$G$2604,""))</f>
        <v/>
      </c>
      <c r="K1016" s="56"/>
      <c r="L1016" s="58" t="str">
        <f t="shared" si="7"/>
        <v/>
      </c>
      <c r="M1016" s="49"/>
      <c r="N1016" s="49"/>
      <c r="O1016" s="49"/>
      <c r="P1016" s="49"/>
      <c r="Q1016" s="49"/>
      <c r="R1016" s="49"/>
      <c r="S1016" s="49"/>
      <c r="T1016" s="49"/>
      <c r="U1016" s="49"/>
      <c r="V1016" s="49"/>
      <c r="W1016" s="56"/>
      <c r="X1016" s="51" t="str">
        <f t="shared" si="5"/>
        <v/>
      </c>
      <c r="Y1016" s="50" t="s">
        <v>482</v>
      </c>
      <c r="Z1016" s="49">
        <f t="shared" si="6"/>
        <v>0</v>
      </c>
    </row>
    <row r="1017" ht="22.5" customHeight="1">
      <c r="B1017" s="57"/>
      <c r="C1017" s="43" t="str">
        <f t="array" ref="C1017">IF(B1017="","",_xlfn.XLOOKUP(B1017,'Form responses 1'!$B$2:$B$2604,'Form responses 1'!$A$2:$A$2604,""))</f>
        <v/>
      </c>
      <c r="D1017" s="44" t="str">
        <f t="shared" si="3"/>
        <v/>
      </c>
      <c r="E1017" s="44" t="str">
        <f t="array" ref="E1017">IF(B1017="","",_xlfn.XLOOKUP(B1017,'Form responses 1'!$B$2:$B$2604,'Form responses 1'!$C$2:$C$2604,""))</f>
        <v/>
      </c>
      <c r="F1017" s="44" t="str">
        <f t="array" ref="F1017">IF(B1017="","",_xlfn.XLOOKUP(B1017,'Form responses 1'!$B$2:$B$2604,'Form responses 1'!$D$2:$D$2604,""))</f>
        <v/>
      </c>
      <c r="G1017" s="44" t="str">
        <f t="array" ref="G1017">IF(B1017="","",_xlfn.XLOOKUP(B1017,'Form responses 1'!$B$2:$B$2604,'Form responses 1'!$E$2:$E$2604,""))</f>
        <v/>
      </c>
      <c r="H1017" s="44" t="str">
        <f t="array" ref="H1017">IF(B1017="","",_xlfn.XLOOKUP(B1017,'Form responses 1'!$B$2:$B$2604,'Form responses 1'!$F$2:$F$2604,""))</f>
        <v/>
      </c>
      <c r="I1017" s="44" t="str">
        <f t="array" ref="I1017">IF(B1017="","",_xlfn.XLOOKUP(B1017,'Form responses 1'!$B$2:$B$2604,'Form responses 1'!$I$2:$I$2604,""))</f>
        <v/>
      </c>
      <c r="J1017" s="44" t="str">
        <f t="array" ref="J1017">IF(B1017="","",_xlfn.XLOOKUP(B1017,'Form responses 1'!$B$2:$B$2604,'Form responses 1'!$G$2:$G$2604,""))</f>
        <v/>
      </c>
      <c r="K1017" s="56"/>
      <c r="L1017" s="58" t="str">
        <f t="shared" si="7"/>
        <v/>
      </c>
      <c r="M1017" s="49"/>
      <c r="N1017" s="49"/>
      <c r="O1017" s="49"/>
      <c r="P1017" s="49"/>
      <c r="Q1017" s="49"/>
      <c r="R1017" s="49"/>
      <c r="S1017" s="49"/>
      <c r="T1017" s="49"/>
      <c r="U1017" s="49"/>
      <c r="V1017" s="49"/>
      <c r="W1017" s="56"/>
      <c r="X1017" s="51" t="str">
        <f t="shared" si="5"/>
        <v/>
      </c>
      <c r="Y1017" s="50" t="s">
        <v>482</v>
      </c>
      <c r="Z1017" s="49">
        <f t="shared" si="6"/>
        <v>0</v>
      </c>
    </row>
    <row r="1018" ht="22.5" customHeight="1">
      <c r="B1018" s="57"/>
      <c r="C1018" s="43" t="str">
        <f t="array" ref="C1018">IF(B1018="","",_xlfn.XLOOKUP(B1018,'Form responses 1'!$B$2:$B$2604,'Form responses 1'!$A$2:$A$2604,""))</f>
        <v/>
      </c>
      <c r="D1018" s="44" t="str">
        <f t="shared" si="3"/>
        <v/>
      </c>
      <c r="E1018" s="44" t="str">
        <f t="array" ref="E1018">IF(B1018="","",_xlfn.XLOOKUP(B1018,'Form responses 1'!$B$2:$B$2604,'Form responses 1'!$C$2:$C$2604,""))</f>
        <v/>
      </c>
      <c r="F1018" s="44" t="str">
        <f t="array" ref="F1018">IF(B1018="","",_xlfn.XLOOKUP(B1018,'Form responses 1'!$B$2:$B$2604,'Form responses 1'!$D$2:$D$2604,""))</f>
        <v/>
      </c>
      <c r="G1018" s="44" t="str">
        <f t="array" ref="G1018">IF(B1018="","",_xlfn.XLOOKUP(B1018,'Form responses 1'!$B$2:$B$2604,'Form responses 1'!$E$2:$E$2604,""))</f>
        <v/>
      </c>
      <c r="H1018" s="44" t="str">
        <f t="array" ref="H1018">IF(B1018="","",_xlfn.XLOOKUP(B1018,'Form responses 1'!$B$2:$B$2604,'Form responses 1'!$F$2:$F$2604,""))</f>
        <v/>
      </c>
      <c r="I1018" s="44" t="str">
        <f t="array" ref="I1018">IF(B1018="","",_xlfn.XLOOKUP(B1018,'Form responses 1'!$B$2:$B$2604,'Form responses 1'!$I$2:$I$2604,""))</f>
        <v/>
      </c>
      <c r="J1018" s="44" t="str">
        <f t="array" ref="J1018">IF(B1018="","",_xlfn.XLOOKUP(B1018,'Form responses 1'!$B$2:$B$2604,'Form responses 1'!$G$2:$G$2604,""))</f>
        <v/>
      </c>
      <c r="K1018" s="56"/>
      <c r="L1018" s="58" t="str">
        <f t="shared" si="7"/>
        <v/>
      </c>
      <c r="M1018" s="49"/>
      <c r="N1018" s="49"/>
      <c r="O1018" s="49"/>
      <c r="P1018" s="49"/>
      <c r="Q1018" s="49"/>
      <c r="R1018" s="49"/>
      <c r="S1018" s="49"/>
      <c r="T1018" s="49"/>
      <c r="U1018" s="49"/>
      <c r="V1018" s="49"/>
      <c r="W1018" s="56"/>
      <c r="X1018" s="51" t="str">
        <f t="shared" si="5"/>
        <v/>
      </c>
      <c r="Y1018" s="50" t="s">
        <v>482</v>
      </c>
      <c r="Z1018" s="49">
        <f t="shared" si="6"/>
        <v>0</v>
      </c>
    </row>
    <row r="1019" ht="22.5" customHeight="1">
      <c r="B1019" s="57"/>
      <c r="C1019" s="43" t="str">
        <f t="array" ref="C1019">IF(B1019="","",_xlfn.XLOOKUP(B1019,'Form responses 1'!$B$2:$B$2604,'Form responses 1'!$A$2:$A$2604,""))</f>
        <v/>
      </c>
      <c r="D1019" s="44" t="str">
        <f t="shared" si="3"/>
        <v/>
      </c>
      <c r="E1019" s="44" t="str">
        <f t="array" ref="E1019">IF(B1019="","",_xlfn.XLOOKUP(B1019,'Form responses 1'!$B$2:$B$2604,'Form responses 1'!$C$2:$C$2604,""))</f>
        <v/>
      </c>
      <c r="F1019" s="44" t="str">
        <f t="array" ref="F1019">IF(B1019="","",_xlfn.XLOOKUP(B1019,'Form responses 1'!$B$2:$B$2604,'Form responses 1'!$D$2:$D$2604,""))</f>
        <v/>
      </c>
      <c r="G1019" s="44" t="str">
        <f t="array" ref="G1019">IF(B1019="","",_xlfn.XLOOKUP(B1019,'Form responses 1'!$B$2:$B$2604,'Form responses 1'!$E$2:$E$2604,""))</f>
        <v/>
      </c>
      <c r="H1019" s="44" t="str">
        <f t="array" ref="H1019">IF(B1019="","",_xlfn.XLOOKUP(B1019,'Form responses 1'!$B$2:$B$2604,'Form responses 1'!$F$2:$F$2604,""))</f>
        <v/>
      </c>
      <c r="I1019" s="44" t="str">
        <f t="array" ref="I1019">IF(B1019="","",_xlfn.XLOOKUP(B1019,'Form responses 1'!$B$2:$B$2604,'Form responses 1'!$I$2:$I$2604,""))</f>
        <v/>
      </c>
      <c r="J1019" s="44" t="str">
        <f t="array" ref="J1019">IF(B1019="","",_xlfn.XLOOKUP(B1019,'Form responses 1'!$B$2:$B$2604,'Form responses 1'!$G$2:$G$2604,""))</f>
        <v/>
      </c>
      <c r="K1019" s="56"/>
      <c r="L1019" s="58" t="str">
        <f t="shared" si="7"/>
        <v/>
      </c>
      <c r="M1019" s="49"/>
      <c r="N1019" s="49"/>
      <c r="O1019" s="49"/>
      <c r="P1019" s="49"/>
      <c r="Q1019" s="49"/>
      <c r="R1019" s="49"/>
      <c r="S1019" s="49"/>
      <c r="T1019" s="49"/>
      <c r="U1019" s="49"/>
      <c r="V1019" s="49"/>
      <c r="W1019" s="56"/>
      <c r="X1019" s="51" t="str">
        <f t="shared" si="5"/>
        <v/>
      </c>
      <c r="Y1019" s="50" t="s">
        <v>482</v>
      </c>
      <c r="Z1019" s="49">
        <f t="shared" si="6"/>
        <v>0</v>
      </c>
    </row>
    <row r="1020" ht="22.5" customHeight="1">
      <c r="B1020" s="57"/>
      <c r="C1020" s="43" t="str">
        <f t="array" ref="C1020">IF(B1020="","",_xlfn.XLOOKUP(B1020,'Form responses 1'!$B$2:$B$2604,'Form responses 1'!$A$2:$A$2604,""))</f>
        <v/>
      </c>
      <c r="D1020" s="44" t="str">
        <f t="shared" si="3"/>
        <v/>
      </c>
      <c r="E1020" s="44" t="str">
        <f t="array" ref="E1020">IF(B1020="","",_xlfn.XLOOKUP(B1020,'Form responses 1'!$B$2:$B$2604,'Form responses 1'!$C$2:$C$2604,""))</f>
        <v/>
      </c>
      <c r="F1020" s="44" t="str">
        <f t="array" ref="F1020">IF(B1020="","",_xlfn.XLOOKUP(B1020,'Form responses 1'!$B$2:$B$2604,'Form responses 1'!$D$2:$D$2604,""))</f>
        <v/>
      </c>
      <c r="G1020" s="44" t="str">
        <f t="array" ref="G1020">IF(B1020="","",_xlfn.XLOOKUP(B1020,'Form responses 1'!$B$2:$B$2604,'Form responses 1'!$E$2:$E$2604,""))</f>
        <v/>
      </c>
      <c r="H1020" s="44" t="str">
        <f t="array" ref="H1020">IF(B1020="","",_xlfn.XLOOKUP(B1020,'Form responses 1'!$B$2:$B$2604,'Form responses 1'!$F$2:$F$2604,""))</f>
        <v/>
      </c>
      <c r="I1020" s="44" t="str">
        <f t="array" ref="I1020">IF(B1020="","",_xlfn.XLOOKUP(B1020,'Form responses 1'!$B$2:$B$2604,'Form responses 1'!$I$2:$I$2604,""))</f>
        <v/>
      </c>
      <c r="J1020" s="44" t="str">
        <f t="array" ref="J1020">IF(B1020="","",_xlfn.XLOOKUP(B1020,'Form responses 1'!$B$2:$B$2604,'Form responses 1'!$G$2:$G$2604,""))</f>
        <v/>
      </c>
      <c r="K1020" s="56"/>
      <c r="L1020" s="58" t="str">
        <f t="shared" si="7"/>
        <v/>
      </c>
      <c r="M1020" s="49"/>
      <c r="N1020" s="49"/>
      <c r="O1020" s="49"/>
      <c r="P1020" s="49"/>
      <c r="Q1020" s="49"/>
      <c r="R1020" s="49"/>
      <c r="S1020" s="49"/>
      <c r="T1020" s="49"/>
      <c r="U1020" s="49"/>
      <c r="V1020" s="49"/>
      <c r="W1020" s="56"/>
      <c r="X1020" s="51" t="str">
        <f t="shared" si="5"/>
        <v/>
      </c>
      <c r="Y1020" s="50" t="s">
        <v>482</v>
      </c>
      <c r="Z1020" s="49">
        <f t="shared" si="6"/>
        <v>0</v>
      </c>
    </row>
    <row r="1021" ht="22.5" customHeight="1">
      <c r="B1021" s="57"/>
      <c r="C1021" s="43" t="str">
        <f t="array" ref="C1021">IF(B1021="","",_xlfn.XLOOKUP(B1021,'Form responses 1'!$B$2:$B$2604,'Form responses 1'!$A$2:$A$2604,""))</f>
        <v/>
      </c>
      <c r="D1021" s="44" t="str">
        <f t="shared" si="3"/>
        <v/>
      </c>
      <c r="E1021" s="44" t="str">
        <f t="array" ref="E1021">IF(B1021="","",_xlfn.XLOOKUP(B1021,'Form responses 1'!$B$2:$B$2604,'Form responses 1'!$C$2:$C$2604,""))</f>
        <v/>
      </c>
      <c r="F1021" s="44" t="str">
        <f t="array" ref="F1021">IF(B1021="","",_xlfn.XLOOKUP(B1021,'Form responses 1'!$B$2:$B$2604,'Form responses 1'!$D$2:$D$2604,""))</f>
        <v/>
      </c>
      <c r="G1021" s="44" t="str">
        <f t="array" ref="G1021">IF(B1021="","",_xlfn.XLOOKUP(B1021,'Form responses 1'!$B$2:$B$2604,'Form responses 1'!$E$2:$E$2604,""))</f>
        <v/>
      </c>
      <c r="H1021" s="44" t="str">
        <f t="array" ref="H1021">IF(B1021="","",_xlfn.XLOOKUP(B1021,'Form responses 1'!$B$2:$B$2604,'Form responses 1'!$F$2:$F$2604,""))</f>
        <v/>
      </c>
      <c r="I1021" s="44" t="str">
        <f t="array" ref="I1021">IF(B1021="","",_xlfn.XLOOKUP(B1021,'Form responses 1'!$B$2:$B$2604,'Form responses 1'!$I$2:$I$2604,""))</f>
        <v/>
      </c>
      <c r="J1021" s="44" t="str">
        <f t="array" ref="J1021">IF(B1021="","",_xlfn.XLOOKUP(B1021,'Form responses 1'!$B$2:$B$2604,'Form responses 1'!$G$2:$G$2604,""))</f>
        <v/>
      </c>
      <c r="K1021" s="56"/>
      <c r="L1021" s="58" t="str">
        <f t="shared" si="7"/>
        <v/>
      </c>
      <c r="M1021" s="49"/>
      <c r="N1021" s="49"/>
      <c r="O1021" s="49"/>
      <c r="P1021" s="49"/>
      <c r="Q1021" s="49"/>
      <c r="R1021" s="49"/>
      <c r="S1021" s="49"/>
      <c r="T1021" s="49"/>
      <c r="U1021" s="49"/>
      <c r="V1021" s="49"/>
      <c r="W1021" s="56"/>
      <c r="X1021" s="51" t="str">
        <f t="shared" si="5"/>
        <v/>
      </c>
      <c r="Y1021" s="50" t="s">
        <v>482</v>
      </c>
      <c r="Z1021" s="49">
        <f t="shared" si="6"/>
        <v>0</v>
      </c>
    </row>
    <row r="1022" ht="22.5" customHeight="1">
      <c r="B1022" s="57"/>
      <c r="C1022" s="43" t="str">
        <f t="array" ref="C1022">IF(B1022="","",_xlfn.XLOOKUP(B1022,'Form responses 1'!$B$2:$B$2604,'Form responses 1'!$A$2:$A$2604,""))</f>
        <v/>
      </c>
      <c r="D1022" s="44" t="str">
        <f t="shared" si="3"/>
        <v/>
      </c>
      <c r="E1022" s="44" t="str">
        <f t="array" ref="E1022">IF(B1022="","",_xlfn.XLOOKUP(B1022,'Form responses 1'!$B$2:$B$2604,'Form responses 1'!$C$2:$C$2604,""))</f>
        <v/>
      </c>
      <c r="F1022" s="44" t="str">
        <f t="array" ref="F1022">IF(B1022="","",_xlfn.XLOOKUP(B1022,'Form responses 1'!$B$2:$B$2604,'Form responses 1'!$D$2:$D$2604,""))</f>
        <v/>
      </c>
      <c r="G1022" s="44" t="str">
        <f t="array" ref="G1022">IF(B1022="","",_xlfn.XLOOKUP(B1022,'Form responses 1'!$B$2:$B$2604,'Form responses 1'!$E$2:$E$2604,""))</f>
        <v/>
      </c>
      <c r="H1022" s="44" t="str">
        <f t="array" ref="H1022">IF(B1022="","",_xlfn.XLOOKUP(B1022,'Form responses 1'!$B$2:$B$2604,'Form responses 1'!$F$2:$F$2604,""))</f>
        <v/>
      </c>
      <c r="I1022" s="44" t="str">
        <f t="array" ref="I1022">IF(B1022="","",_xlfn.XLOOKUP(B1022,'Form responses 1'!$B$2:$B$2604,'Form responses 1'!$I$2:$I$2604,""))</f>
        <v/>
      </c>
      <c r="J1022" s="44" t="str">
        <f t="array" ref="J1022">IF(B1022="","",_xlfn.XLOOKUP(B1022,'Form responses 1'!$B$2:$B$2604,'Form responses 1'!$G$2:$G$2604,""))</f>
        <v/>
      </c>
      <c r="K1022" s="56"/>
      <c r="L1022" s="58" t="str">
        <f t="shared" si="7"/>
        <v/>
      </c>
      <c r="M1022" s="49"/>
      <c r="N1022" s="49"/>
      <c r="O1022" s="49"/>
      <c r="P1022" s="49"/>
      <c r="Q1022" s="49"/>
      <c r="R1022" s="49"/>
      <c r="S1022" s="49"/>
      <c r="T1022" s="49"/>
      <c r="U1022" s="49"/>
      <c r="V1022" s="49"/>
      <c r="W1022" s="56"/>
      <c r="X1022" s="51" t="str">
        <f t="shared" si="5"/>
        <v/>
      </c>
      <c r="Y1022" s="50" t="s">
        <v>482</v>
      </c>
      <c r="Z1022" s="49">
        <f t="shared" si="6"/>
        <v>0</v>
      </c>
    </row>
    <row r="1023" ht="22.5" customHeight="1">
      <c r="B1023" s="57"/>
      <c r="C1023" s="43" t="str">
        <f t="array" ref="C1023">IF(B1023="","",_xlfn.XLOOKUP(B1023,'Form responses 1'!$B$2:$B$2604,'Form responses 1'!$A$2:$A$2604,""))</f>
        <v/>
      </c>
      <c r="D1023" s="44" t="str">
        <f t="shared" si="3"/>
        <v/>
      </c>
      <c r="E1023" s="44" t="str">
        <f t="array" ref="E1023">IF(B1023="","",_xlfn.XLOOKUP(B1023,'Form responses 1'!$B$2:$B$2604,'Form responses 1'!$C$2:$C$2604,""))</f>
        <v/>
      </c>
      <c r="F1023" s="44" t="str">
        <f t="array" ref="F1023">IF(B1023="","",_xlfn.XLOOKUP(B1023,'Form responses 1'!$B$2:$B$2604,'Form responses 1'!$D$2:$D$2604,""))</f>
        <v/>
      </c>
      <c r="G1023" s="44" t="str">
        <f t="array" ref="G1023">IF(B1023="","",_xlfn.XLOOKUP(B1023,'Form responses 1'!$B$2:$B$2604,'Form responses 1'!$E$2:$E$2604,""))</f>
        <v/>
      </c>
      <c r="H1023" s="44" t="str">
        <f t="array" ref="H1023">IF(B1023="","",_xlfn.XLOOKUP(B1023,'Form responses 1'!$B$2:$B$2604,'Form responses 1'!$F$2:$F$2604,""))</f>
        <v/>
      </c>
      <c r="I1023" s="44" t="str">
        <f t="array" ref="I1023">IF(B1023="","",_xlfn.XLOOKUP(B1023,'Form responses 1'!$B$2:$B$2604,'Form responses 1'!$I$2:$I$2604,""))</f>
        <v/>
      </c>
      <c r="J1023" s="44" t="str">
        <f t="array" ref="J1023">IF(B1023="","",_xlfn.XLOOKUP(B1023,'Form responses 1'!$B$2:$B$2604,'Form responses 1'!$G$2:$G$2604,""))</f>
        <v/>
      </c>
      <c r="K1023" s="56"/>
      <c r="L1023" s="58" t="str">
        <f t="shared" si="7"/>
        <v/>
      </c>
      <c r="M1023" s="49"/>
      <c r="N1023" s="49"/>
      <c r="O1023" s="49"/>
      <c r="P1023" s="49"/>
      <c r="Q1023" s="49"/>
      <c r="R1023" s="49"/>
      <c r="S1023" s="49"/>
      <c r="T1023" s="49"/>
      <c r="U1023" s="49"/>
      <c r="V1023" s="49"/>
      <c r="W1023" s="56"/>
      <c r="X1023" s="51" t="str">
        <f t="shared" si="5"/>
        <v/>
      </c>
      <c r="Y1023" s="50" t="s">
        <v>482</v>
      </c>
      <c r="Z1023" s="49">
        <f t="shared" si="6"/>
        <v>0</v>
      </c>
    </row>
    <row r="1024" ht="22.5" customHeight="1">
      <c r="B1024" s="57"/>
      <c r="C1024" s="43" t="str">
        <f t="array" ref="C1024">IF(B1024="","",_xlfn.XLOOKUP(B1024,'Form responses 1'!$B$2:$B$2604,'Form responses 1'!$A$2:$A$2604,""))</f>
        <v/>
      </c>
      <c r="D1024" s="44" t="str">
        <f t="shared" si="3"/>
        <v/>
      </c>
      <c r="E1024" s="44" t="str">
        <f t="array" ref="E1024">IF(B1024="","",_xlfn.XLOOKUP(B1024,'Form responses 1'!$B$2:$B$2604,'Form responses 1'!$C$2:$C$2604,""))</f>
        <v/>
      </c>
      <c r="F1024" s="44" t="str">
        <f t="array" ref="F1024">IF(B1024="","",_xlfn.XLOOKUP(B1024,'Form responses 1'!$B$2:$B$2604,'Form responses 1'!$D$2:$D$2604,""))</f>
        <v/>
      </c>
      <c r="G1024" s="44" t="str">
        <f t="array" ref="G1024">IF(B1024="","",_xlfn.XLOOKUP(B1024,'Form responses 1'!$B$2:$B$2604,'Form responses 1'!$E$2:$E$2604,""))</f>
        <v/>
      </c>
      <c r="H1024" s="44" t="str">
        <f t="array" ref="H1024">IF(B1024="","",_xlfn.XLOOKUP(B1024,'Form responses 1'!$B$2:$B$2604,'Form responses 1'!$F$2:$F$2604,""))</f>
        <v/>
      </c>
      <c r="I1024" s="44" t="str">
        <f t="array" ref="I1024">IF(B1024="","",_xlfn.XLOOKUP(B1024,'Form responses 1'!$B$2:$B$2604,'Form responses 1'!$I$2:$I$2604,""))</f>
        <v/>
      </c>
      <c r="J1024" s="44" t="str">
        <f t="array" ref="J1024">IF(B1024="","",_xlfn.XLOOKUP(B1024,'Form responses 1'!$B$2:$B$2604,'Form responses 1'!$G$2:$G$2604,""))</f>
        <v/>
      </c>
      <c r="K1024" s="56"/>
      <c r="L1024" s="58" t="str">
        <f t="shared" si="7"/>
        <v/>
      </c>
      <c r="M1024" s="49"/>
      <c r="N1024" s="49"/>
      <c r="O1024" s="49"/>
      <c r="P1024" s="49"/>
      <c r="Q1024" s="49"/>
      <c r="R1024" s="49"/>
      <c r="S1024" s="49"/>
      <c r="T1024" s="49"/>
      <c r="U1024" s="49"/>
      <c r="V1024" s="49"/>
      <c r="W1024" s="56"/>
      <c r="X1024" s="51" t="str">
        <f t="shared" si="5"/>
        <v/>
      </c>
      <c r="Y1024" s="50" t="s">
        <v>482</v>
      </c>
      <c r="Z1024" s="49">
        <f t="shared" si="6"/>
        <v>0</v>
      </c>
    </row>
    <row r="1025" ht="22.5" customHeight="1">
      <c r="B1025" s="57"/>
      <c r="C1025" s="43" t="str">
        <f t="array" ref="C1025">IF(B1025="","",_xlfn.XLOOKUP(B1025,'Form responses 1'!$B$2:$B$2604,'Form responses 1'!$A$2:$A$2604,""))</f>
        <v/>
      </c>
      <c r="D1025" s="44" t="str">
        <f t="shared" si="3"/>
        <v/>
      </c>
      <c r="E1025" s="44" t="str">
        <f t="array" ref="E1025">IF(B1025="","",_xlfn.XLOOKUP(B1025,'Form responses 1'!$B$2:$B$2604,'Form responses 1'!$C$2:$C$2604,""))</f>
        <v/>
      </c>
      <c r="F1025" s="44" t="str">
        <f t="array" ref="F1025">IF(B1025="","",_xlfn.XLOOKUP(B1025,'Form responses 1'!$B$2:$B$2604,'Form responses 1'!$D$2:$D$2604,""))</f>
        <v/>
      </c>
      <c r="G1025" s="44" t="str">
        <f t="array" ref="G1025">IF(B1025="","",_xlfn.XLOOKUP(B1025,'Form responses 1'!$B$2:$B$2604,'Form responses 1'!$E$2:$E$2604,""))</f>
        <v/>
      </c>
      <c r="H1025" s="44" t="str">
        <f t="array" ref="H1025">IF(B1025="","",_xlfn.XLOOKUP(B1025,'Form responses 1'!$B$2:$B$2604,'Form responses 1'!$F$2:$F$2604,""))</f>
        <v/>
      </c>
      <c r="I1025" s="44" t="str">
        <f t="array" ref="I1025">IF(B1025="","",_xlfn.XLOOKUP(B1025,'Form responses 1'!$B$2:$B$2604,'Form responses 1'!$I$2:$I$2604,""))</f>
        <v/>
      </c>
      <c r="J1025" s="44" t="str">
        <f t="array" ref="J1025">IF(B1025="","",_xlfn.XLOOKUP(B1025,'Form responses 1'!$B$2:$B$2604,'Form responses 1'!$G$2:$G$2604,""))</f>
        <v/>
      </c>
      <c r="K1025" s="56"/>
      <c r="L1025" s="58" t="str">
        <f t="shared" si="7"/>
        <v/>
      </c>
      <c r="M1025" s="49"/>
      <c r="N1025" s="49"/>
      <c r="O1025" s="49"/>
      <c r="P1025" s="49"/>
      <c r="Q1025" s="49"/>
      <c r="R1025" s="49"/>
      <c r="S1025" s="49"/>
      <c r="T1025" s="49"/>
      <c r="U1025" s="49"/>
      <c r="V1025" s="49"/>
      <c r="W1025" s="56"/>
      <c r="X1025" s="51" t="str">
        <f t="shared" si="5"/>
        <v/>
      </c>
      <c r="Y1025" s="50" t="s">
        <v>482</v>
      </c>
      <c r="Z1025" s="49">
        <f t="shared" si="6"/>
        <v>0</v>
      </c>
    </row>
    <row r="1026" ht="22.5" customHeight="1">
      <c r="B1026" s="57"/>
      <c r="C1026" s="43" t="str">
        <f t="array" ref="C1026">IF(B1026="","",_xlfn.XLOOKUP(B1026,'Form responses 1'!$B$2:$B$2604,'Form responses 1'!$A$2:$A$2604,""))</f>
        <v/>
      </c>
      <c r="D1026" s="44" t="str">
        <f t="shared" si="3"/>
        <v/>
      </c>
      <c r="E1026" s="44" t="str">
        <f t="array" ref="E1026">IF(B1026="","",_xlfn.XLOOKUP(B1026,'Form responses 1'!$B$2:$B$2604,'Form responses 1'!$C$2:$C$2604,""))</f>
        <v/>
      </c>
      <c r="F1026" s="44" t="str">
        <f t="array" ref="F1026">IF(B1026="","",_xlfn.XLOOKUP(B1026,'Form responses 1'!$B$2:$B$2604,'Form responses 1'!$D$2:$D$2604,""))</f>
        <v/>
      </c>
      <c r="G1026" s="44" t="str">
        <f t="array" ref="G1026">IF(B1026="","",_xlfn.XLOOKUP(B1026,'Form responses 1'!$B$2:$B$2604,'Form responses 1'!$E$2:$E$2604,""))</f>
        <v/>
      </c>
      <c r="H1026" s="44" t="str">
        <f t="array" ref="H1026">IF(B1026="","",_xlfn.XLOOKUP(B1026,'Form responses 1'!$B$2:$B$2604,'Form responses 1'!$F$2:$F$2604,""))</f>
        <v/>
      </c>
      <c r="I1026" s="44" t="str">
        <f t="array" ref="I1026">IF(B1026="","",_xlfn.XLOOKUP(B1026,'Form responses 1'!$B$2:$B$2604,'Form responses 1'!$I$2:$I$2604,""))</f>
        <v/>
      </c>
      <c r="J1026" s="44" t="str">
        <f t="array" ref="J1026">IF(B1026="","",_xlfn.XLOOKUP(B1026,'Form responses 1'!$B$2:$B$2604,'Form responses 1'!$G$2:$G$2604,""))</f>
        <v/>
      </c>
      <c r="K1026" s="56"/>
      <c r="L1026" s="58" t="str">
        <f t="shared" si="7"/>
        <v/>
      </c>
      <c r="M1026" s="49"/>
      <c r="N1026" s="49"/>
      <c r="O1026" s="49"/>
      <c r="P1026" s="49"/>
      <c r="Q1026" s="49"/>
      <c r="R1026" s="49"/>
      <c r="S1026" s="49"/>
      <c r="T1026" s="49"/>
      <c r="U1026" s="49"/>
      <c r="V1026" s="49"/>
      <c r="W1026" s="56"/>
      <c r="X1026" s="51" t="str">
        <f t="shared" si="5"/>
        <v/>
      </c>
      <c r="Y1026" s="50" t="s">
        <v>482</v>
      </c>
      <c r="Z1026" s="49">
        <f t="shared" si="6"/>
        <v>0</v>
      </c>
    </row>
    <row r="1027" ht="22.5" customHeight="1">
      <c r="B1027" s="57"/>
      <c r="C1027" s="43" t="str">
        <f t="array" ref="C1027">IF(B1027="","",_xlfn.XLOOKUP(B1027,'Form responses 1'!$B$2:$B$2604,'Form responses 1'!$A$2:$A$2604,""))</f>
        <v/>
      </c>
      <c r="D1027" s="44" t="str">
        <f t="shared" si="3"/>
        <v/>
      </c>
      <c r="E1027" s="44" t="str">
        <f t="array" ref="E1027">IF(B1027="","",_xlfn.XLOOKUP(B1027,'Form responses 1'!$B$2:$B$2604,'Form responses 1'!$C$2:$C$2604,""))</f>
        <v/>
      </c>
      <c r="F1027" s="44" t="str">
        <f t="array" ref="F1027">IF(B1027="","",_xlfn.XLOOKUP(B1027,'Form responses 1'!$B$2:$B$2604,'Form responses 1'!$D$2:$D$2604,""))</f>
        <v/>
      </c>
      <c r="G1027" s="44" t="str">
        <f t="array" ref="G1027">IF(B1027="","",_xlfn.XLOOKUP(B1027,'Form responses 1'!$B$2:$B$2604,'Form responses 1'!$E$2:$E$2604,""))</f>
        <v/>
      </c>
      <c r="H1027" s="44" t="str">
        <f t="array" ref="H1027">IF(B1027="","",_xlfn.XLOOKUP(B1027,'Form responses 1'!$B$2:$B$2604,'Form responses 1'!$F$2:$F$2604,""))</f>
        <v/>
      </c>
      <c r="I1027" s="44" t="str">
        <f t="array" ref="I1027">IF(B1027="","",_xlfn.XLOOKUP(B1027,'Form responses 1'!$B$2:$B$2604,'Form responses 1'!$I$2:$I$2604,""))</f>
        <v/>
      </c>
      <c r="J1027" s="44" t="str">
        <f t="array" ref="J1027">IF(B1027="","",_xlfn.XLOOKUP(B1027,'Form responses 1'!$B$2:$B$2604,'Form responses 1'!$G$2:$G$2604,""))</f>
        <v/>
      </c>
      <c r="K1027" s="56"/>
      <c r="L1027" s="58" t="str">
        <f t="shared" si="7"/>
        <v/>
      </c>
      <c r="M1027" s="49"/>
      <c r="N1027" s="49"/>
      <c r="O1027" s="49"/>
      <c r="P1027" s="49"/>
      <c r="Q1027" s="49"/>
      <c r="R1027" s="49"/>
      <c r="S1027" s="49"/>
      <c r="T1027" s="49"/>
      <c r="U1027" s="49"/>
      <c r="V1027" s="49"/>
      <c r="W1027" s="56"/>
      <c r="X1027" s="51" t="str">
        <f t="shared" si="5"/>
        <v/>
      </c>
      <c r="Y1027" s="50" t="s">
        <v>482</v>
      </c>
      <c r="Z1027" s="49">
        <f t="shared" si="6"/>
        <v>0</v>
      </c>
    </row>
    <row r="1028" ht="22.5" customHeight="1">
      <c r="B1028" s="57"/>
      <c r="C1028" s="43" t="str">
        <f t="array" ref="C1028">IF(B1028="","",_xlfn.XLOOKUP(B1028,'Form responses 1'!$B$2:$B$2604,'Form responses 1'!$A$2:$A$2604,""))</f>
        <v/>
      </c>
      <c r="D1028" s="44" t="str">
        <f t="shared" si="3"/>
        <v/>
      </c>
      <c r="E1028" s="44" t="str">
        <f t="array" ref="E1028">IF(B1028="","",_xlfn.XLOOKUP(B1028,'Form responses 1'!$B$2:$B$2604,'Form responses 1'!$C$2:$C$2604,""))</f>
        <v/>
      </c>
      <c r="F1028" s="44" t="str">
        <f t="array" ref="F1028">IF(B1028="","",_xlfn.XLOOKUP(B1028,'Form responses 1'!$B$2:$B$2604,'Form responses 1'!$D$2:$D$2604,""))</f>
        <v/>
      </c>
      <c r="G1028" s="44" t="str">
        <f t="array" ref="G1028">IF(B1028="","",_xlfn.XLOOKUP(B1028,'Form responses 1'!$B$2:$B$2604,'Form responses 1'!$E$2:$E$2604,""))</f>
        <v/>
      </c>
      <c r="H1028" s="44" t="str">
        <f t="array" ref="H1028">IF(B1028="","",_xlfn.XLOOKUP(B1028,'Form responses 1'!$B$2:$B$2604,'Form responses 1'!$F$2:$F$2604,""))</f>
        <v/>
      </c>
      <c r="I1028" s="44" t="str">
        <f t="array" ref="I1028">IF(B1028="","",_xlfn.XLOOKUP(B1028,'Form responses 1'!$B$2:$B$2604,'Form responses 1'!$I$2:$I$2604,""))</f>
        <v/>
      </c>
      <c r="J1028" s="44" t="str">
        <f t="array" ref="J1028">IF(B1028="","",_xlfn.XLOOKUP(B1028,'Form responses 1'!$B$2:$B$2604,'Form responses 1'!$G$2:$G$2604,""))</f>
        <v/>
      </c>
      <c r="K1028" s="56"/>
      <c r="L1028" s="58" t="str">
        <f t="shared" si="7"/>
        <v/>
      </c>
      <c r="M1028" s="49"/>
      <c r="N1028" s="49"/>
      <c r="O1028" s="49"/>
      <c r="P1028" s="49"/>
      <c r="Q1028" s="49"/>
      <c r="R1028" s="49"/>
      <c r="S1028" s="49"/>
      <c r="T1028" s="49"/>
      <c r="U1028" s="49"/>
      <c r="V1028" s="49"/>
      <c r="W1028" s="56"/>
      <c r="X1028" s="51" t="str">
        <f t="shared" si="5"/>
        <v/>
      </c>
      <c r="Y1028" s="50" t="s">
        <v>482</v>
      </c>
      <c r="Z1028" s="49">
        <f t="shared" si="6"/>
        <v>0</v>
      </c>
    </row>
    <row r="1029" ht="22.5" customHeight="1">
      <c r="B1029" s="57"/>
      <c r="C1029" s="43" t="str">
        <f t="array" ref="C1029">IF(B1029="","",_xlfn.XLOOKUP(B1029,'Form responses 1'!$B$2:$B$2604,'Form responses 1'!$A$2:$A$2604,""))</f>
        <v/>
      </c>
      <c r="D1029" s="44" t="str">
        <f t="shared" si="3"/>
        <v/>
      </c>
      <c r="E1029" s="44" t="str">
        <f t="array" ref="E1029">IF(B1029="","",_xlfn.XLOOKUP(B1029,'Form responses 1'!$B$2:$B$2604,'Form responses 1'!$C$2:$C$2604,""))</f>
        <v/>
      </c>
      <c r="F1029" s="44" t="str">
        <f t="array" ref="F1029">IF(B1029="","",_xlfn.XLOOKUP(B1029,'Form responses 1'!$B$2:$B$2604,'Form responses 1'!$D$2:$D$2604,""))</f>
        <v/>
      </c>
      <c r="G1029" s="44" t="str">
        <f t="array" ref="G1029">IF(B1029="","",_xlfn.XLOOKUP(B1029,'Form responses 1'!$B$2:$B$2604,'Form responses 1'!$E$2:$E$2604,""))</f>
        <v/>
      </c>
      <c r="H1029" s="44" t="str">
        <f t="array" ref="H1029">IF(B1029="","",_xlfn.XLOOKUP(B1029,'Form responses 1'!$B$2:$B$2604,'Form responses 1'!$F$2:$F$2604,""))</f>
        <v/>
      </c>
      <c r="I1029" s="44" t="str">
        <f t="array" ref="I1029">IF(B1029="","",_xlfn.XLOOKUP(B1029,'Form responses 1'!$B$2:$B$2604,'Form responses 1'!$I$2:$I$2604,""))</f>
        <v/>
      </c>
      <c r="J1029" s="44" t="str">
        <f t="array" ref="J1029">IF(B1029="","",_xlfn.XLOOKUP(B1029,'Form responses 1'!$B$2:$B$2604,'Form responses 1'!$G$2:$G$2604,""))</f>
        <v/>
      </c>
      <c r="K1029" s="56"/>
      <c r="L1029" s="58" t="str">
        <f t="shared" si="7"/>
        <v/>
      </c>
      <c r="M1029" s="49"/>
      <c r="N1029" s="49"/>
      <c r="O1029" s="49"/>
      <c r="P1029" s="49"/>
      <c r="Q1029" s="49"/>
      <c r="R1029" s="49"/>
      <c r="S1029" s="49"/>
      <c r="T1029" s="49"/>
      <c r="U1029" s="49"/>
      <c r="V1029" s="49"/>
      <c r="W1029" s="56"/>
      <c r="X1029" s="51" t="str">
        <f t="shared" si="5"/>
        <v/>
      </c>
      <c r="Y1029" s="50" t="s">
        <v>482</v>
      </c>
      <c r="Z1029" s="49">
        <f t="shared" si="6"/>
        <v>0</v>
      </c>
    </row>
    <row r="1030" ht="22.5" customHeight="1">
      <c r="B1030" s="57"/>
      <c r="C1030" s="43" t="str">
        <f t="array" ref="C1030">IF(B1030="","",_xlfn.XLOOKUP(B1030,'Form responses 1'!$B$2:$B$2604,'Form responses 1'!$A$2:$A$2604,""))</f>
        <v/>
      </c>
      <c r="D1030" s="44" t="str">
        <f t="shared" si="3"/>
        <v/>
      </c>
      <c r="E1030" s="44" t="str">
        <f t="array" ref="E1030">IF(B1030="","",_xlfn.XLOOKUP(B1030,'Form responses 1'!$B$2:$B$2604,'Form responses 1'!$C$2:$C$2604,""))</f>
        <v/>
      </c>
      <c r="F1030" s="44" t="str">
        <f t="array" ref="F1030">IF(B1030="","",_xlfn.XLOOKUP(B1030,'Form responses 1'!$B$2:$B$2604,'Form responses 1'!$D$2:$D$2604,""))</f>
        <v/>
      </c>
      <c r="G1030" s="44" t="str">
        <f t="array" ref="G1030">IF(B1030="","",_xlfn.XLOOKUP(B1030,'Form responses 1'!$B$2:$B$2604,'Form responses 1'!$E$2:$E$2604,""))</f>
        <v/>
      </c>
      <c r="H1030" s="44" t="str">
        <f t="array" ref="H1030">IF(B1030="","",_xlfn.XLOOKUP(B1030,'Form responses 1'!$B$2:$B$2604,'Form responses 1'!$F$2:$F$2604,""))</f>
        <v/>
      </c>
      <c r="I1030" s="44" t="str">
        <f t="array" ref="I1030">IF(B1030="","",_xlfn.XLOOKUP(B1030,'Form responses 1'!$B$2:$B$2604,'Form responses 1'!$I$2:$I$2604,""))</f>
        <v/>
      </c>
      <c r="J1030" s="44" t="str">
        <f t="array" ref="J1030">IF(B1030="","",_xlfn.XLOOKUP(B1030,'Form responses 1'!$B$2:$B$2604,'Form responses 1'!$G$2:$G$2604,""))</f>
        <v/>
      </c>
      <c r="K1030" s="56"/>
      <c r="L1030" s="58" t="str">
        <f t="shared" si="7"/>
        <v/>
      </c>
      <c r="M1030" s="49"/>
      <c r="N1030" s="49"/>
      <c r="O1030" s="49"/>
      <c r="P1030" s="49"/>
      <c r="Q1030" s="49"/>
      <c r="R1030" s="49"/>
      <c r="S1030" s="49"/>
      <c r="T1030" s="49"/>
      <c r="U1030" s="49"/>
      <c r="V1030" s="49"/>
      <c r="W1030" s="56"/>
      <c r="X1030" s="51" t="str">
        <f t="shared" si="5"/>
        <v/>
      </c>
      <c r="Y1030" s="50" t="s">
        <v>482</v>
      </c>
      <c r="Z1030" s="49">
        <f t="shared" si="6"/>
        <v>0</v>
      </c>
    </row>
    <row r="1031" ht="22.5" customHeight="1">
      <c r="B1031" s="57"/>
      <c r="C1031" s="43" t="str">
        <f t="array" ref="C1031">IF(B1031="","",_xlfn.XLOOKUP(B1031,'Form responses 1'!$B$2:$B$2604,'Form responses 1'!$A$2:$A$2604,""))</f>
        <v/>
      </c>
      <c r="D1031" s="44" t="str">
        <f t="shared" si="3"/>
        <v/>
      </c>
      <c r="E1031" s="44" t="str">
        <f t="array" ref="E1031">IF(B1031="","",_xlfn.XLOOKUP(B1031,'Form responses 1'!$B$2:$B$2604,'Form responses 1'!$C$2:$C$2604,""))</f>
        <v/>
      </c>
      <c r="F1031" s="44" t="str">
        <f t="array" ref="F1031">IF(B1031="","",_xlfn.XLOOKUP(B1031,'Form responses 1'!$B$2:$B$2604,'Form responses 1'!$D$2:$D$2604,""))</f>
        <v/>
      </c>
      <c r="G1031" s="44" t="str">
        <f t="array" ref="G1031">IF(B1031="","",_xlfn.XLOOKUP(B1031,'Form responses 1'!$B$2:$B$2604,'Form responses 1'!$E$2:$E$2604,""))</f>
        <v/>
      </c>
      <c r="H1031" s="44" t="str">
        <f t="array" ref="H1031">IF(B1031="","",_xlfn.XLOOKUP(B1031,'Form responses 1'!$B$2:$B$2604,'Form responses 1'!$F$2:$F$2604,""))</f>
        <v/>
      </c>
      <c r="I1031" s="44" t="str">
        <f t="array" ref="I1031">IF(B1031="","",_xlfn.XLOOKUP(B1031,'Form responses 1'!$B$2:$B$2604,'Form responses 1'!$I$2:$I$2604,""))</f>
        <v/>
      </c>
      <c r="J1031" s="44" t="str">
        <f t="array" ref="J1031">IF(B1031="","",_xlfn.XLOOKUP(B1031,'Form responses 1'!$B$2:$B$2604,'Form responses 1'!$G$2:$G$2604,""))</f>
        <v/>
      </c>
      <c r="K1031" s="56"/>
      <c r="L1031" s="58" t="str">
        <f t="shared" si="7"/>
        <v/>
      </c>
      <c r="M1031" s="49"/>
      <c r="N1031" s="49"/>
      <c r="O1031" s="49"/>
      <c r="P1031" s="49"/>
      <c r="Q1031" s="49"/>
      <c r="R1031" s="49"/>
      <c r="S1031" s="49"/>
      <c r="T1031" s="49"/>
      <c r="U1031" s="49"/>
      <c r="V1031" s="49"/>
      <c r="W1031" s="56"/>
      <c r="X1031" s="51" t="str">
        <f t="shared" si="5"/>
        <v/>
      </c>
      <c r="Y1031" s="50" t="s">
        <v>482</v>
      </c>
      <c r="Z1031" s="49">
        <f t="shared" si="6"/>
        <v>0</v>
      </c>
    </row>
    <row r="1032" ht="22.5" customHeight="1">
      <c r="B1032" s="57"/>
      <c r="C1032" s="43" t="str">
        <f t="array" ref="C1032">IF(B1032="","",_xlfn.XLOOKUP(B1032,'Form responses 1'!$B$2:$B$2604,'Form responses 1'!$A$2:$A$2604,""))</f>
        <v/>
      </c>
      <c r="D1032" s="44" t="str">
        <f t="shared" si="3"/>
        <v/>
      </c>
      <c r="E1032" s="44" t="str">
        <f t="array" ref="E1032">IF(B1032="","",_xlfn.XLOOKUP(B1032,'Form responses 1'!$B$2:$B$2604,'Form responses 1'!$C$2:$C$2604,""))</f>
        <v/>
      </c>
      <c r="F1032" s="44" t="str">
        <f t="array" ref="F1032">IF(B1032="","",_xlfn.XLOOKUP(B1032,'Form responses 1'!$B$2:$B$2604,'Form responses 1'!$D$2:$D$2604,""))</f>
        <v/>
      </c>
      <c r="G1032" s="44" t="str">
        <f t="array" ref="G1032">IF(B1032="","",_xlfn.XLOOKUP(B1032,'Form responses 1'!$B$2:$B$2604,'Form responses 1'!$E$2:$E$2604,""))</f>
        <v/>
      </c>
      <c r="H1032" s="44" t="str">
        <f t="array" ref="H1032">IF(B1032="","",_xlfn.XLOOKUP(B1032,'Form responses 1'!$B$2:$B$2604,'Form responses 1'!$F$2:$F$2604,""))</f>
        <v/>
      </c>
      <c r="I1032" s="44" t="str">
        <f t="array" ref="I1032">IF(B1032="","",_xlfn.XLOOKUP(B1032,'Form responses 1'!$B$2:$B$2604,'Form responses 1'!$I$2:$I$2604,""))</f>
        <v/>
      </c>
      <c r="J1032" s="44" t="str">
        <f t="array" ref="J1032">IF(B1032="","",_xlfn.XLOOKUP(B1032,'Form responses 1'!$B$2:$B$2604,'Form responses 1'!$G$2:$G$2604,""))</f>
        <v/>
      </c>
      <c r="K1032" s="56"/>
      <c r="L1032" s="58" t="str">
        <f t="shared" si="7"/>
        <v/>
      </c>
      <c r="M1032" s="49"/>
      <c r="N1032" s="49"/>
      <c r="O1032" s="49"/>
      <c r="P1032" s="49"/>
      <c r="Q1032" s="49"/>
      <c r="R1032" s="49"/>
      <c r="S1032" s="49"/>
      <c r="T1032" s="49"/>
      <c r="U1032" s="49"/>
      <c r="V1032" s="49"/>
      <c r="W1032" s="56"/>
      <c r="X1032" s="51" t="str">
        <f t="shared" si="5"/>
        <v/>
      </c>
      <c r="Y1032" s="50" t="s">
        <v>482</v>
      </c>
      <c r="Z1032" s="49">
        <f t="shared" si="6"/>
        <v>0</v>
      </c>
    </row>
    <row r="1033" ht="22.5" customHeight="1">
      <c r="B1033" s="57"/>
      <c r="C1033" s="43" t="str">
        <f t="array" ref="C1033">IF(B1033="","",_xlfn.XLOOKUP(B1033,'Form responses 1'!$B$2:$B$2604,'Form responses 1'!$A$2:$A$2604,""))</f>
        <v/>
      </c>
      <c r="D1033" s="44" t="str">
        <f t="shared" si="3"/>
        <v/>
      </c>
      <c r="E1033" s="44" t="str">
        <f t="array" ref="E1033">IF(B1033="","",_xlfn.XLOOKUP(B1033,'Form responses 1'!$B$2:$B$2604,'Form responses 1'!$C$2:$C$2604,""))</f>
        <v/>
      </c>
      <c r="F1033" s="44" t="str">
        <f t="array" ref="F1033">IF(B1033="","",_xlfn.XLOOKUP(B1033,'Form responses 1'!$B$2:$B$2604,'Form responses 1'!$D$2:$D$2604,""))</f>
        <v/>
      </c>
      <c r="G1033" s="44" t="str">
        <f t="array" ref="G1033">IF(B1033="","",_xlfn.XLOOKUP(B1033,'Form responses 1'!$B$2:$B$2604,'Form responses 1'!$E$2:$E$2604,""))</f>
        <v/>
      </c>
      <c r="H1033" s="44" t="str">
        <f t="array" ref="H1033">IF(B1033="","",_xlfn.XLOOKUP(B1033,'Form responses 1'!$B$2:$B$2604,'Form responses 1'!$F$2:$F$2604,""))</f>
        <v/>
      </c>
      <c r="I1033" s="44" t="str">
        <f t="array" ref="I1033">IF(B1033="","",_xlfn.XLOOKUP(B1033,'Form responses 1'!$B$2:$B$2604,'Form responses 1'!$I$2:$I$2604,""))</f>
        <v/>
      </c>
      <c r="J1033" s="44" t="str">
        <f t="array" ref="J1033">IF(B1033="","",_xlfn.XLOOKUP(B1033,'Form responses 1'!$B$2:$B$2604,'Form responses 1'!$G$2:$G$2604,""))</f>
        <v/>
      </c>
      <c r="K1033" s="56"/>
      <c r="L1033" s="58" t="str">
        <f t="shared" si="7"/>
        <v/>
      </c>
      <c r="M1033" s="49"/>
      <c r="N1033" s="49"/>
      <c r="O1033" s="49"/>
      <c r="P1033" s="49"/>
      <c r="Q1033" s="49"/>
      <c r="R1033" s="49"/>
      <c r="S1033" s="49"/>
      <c r="T1033" s="49"/>
      <c r="U1033" s="49"/>
      <c r="V1033" s="49"/>
      <c r="W1033" s="56"/>
      <c r="X1033" s="51" t="str">
        <f t="shared" si="5"/>
        <v/>
      </c>
      <c r="Y1033" s="50" t="s">
        <v>482</v>
      </c>
      <c r="Z1033" s="49">
        <f t="shared" si="6"/>
        <v>0</v>
      </c>
    </row>
    <row r="1034" ht="22.5" customHeight="1">
      <c r="B1034" s="57"/>
      <c r="C1034" s="43" t="str">
        <f t="array" ref="C1034">IF(B1034="","",_xlfn.XLOOKUP(B1034,'Form responses 1'!$B$2:$B$2604,'Form responses 1'!$A$2:$A$2604,""))</f>
        <v/>
      </c>
      <c r="D1034" s="44" t="str">
        <f t="shared" si="3"/>
        <v/>
      </c>
      <c r="E1034" s="44" t="str">
        <f t="array" ref="E1034">IF(B1034="","",_xlfn.XLOOKUP(B1034,'Form responses 1'!$B$2:$B$2604,'Form responses 1'!$C$2:$C$2604,""))</f>
        <v/>
      </c>
      <c r="F1034" s="44" t="str">
        <f t="array" ref="F1034">IF(B1034="","",_xlfn.XLOOKUP(B1034,'Form responses 1'!$B$2:$B$2604,'Form responses 1'!$D$2:$D$2604,""))</f>
        <v/>
      </c>
      <c r="G1034" s="44" t="str">
        <f t="array" ref="G1034">IF(B1034="","",_xlfn.XLOOKUP(B1034,'Form responses 1'!$B$2:$B$2604,'Form responses 1'!$E$2:$E$2604,""))</f>
        <v/>
      </c>
      <c r="H1034" s="44" t="str">
        <f t="array" ref="H1034">IF(B1034="","",_xlfn.XLOOKUP(B1034,'Form responses 1'!$B$2:$B$2604,'Form responses 1'!$F$2:$F$2604,""))</f>
        <v/>
      </c>
      <c r="I1034" s="44" t="str">
        <f t="array" ref="I1034">IF(B1034="","",_xlfn.XLOOKUP(B1034,'Form responses 1'!$B$2:$B$2604,'Form responses 1'!$I$2:$I$2604,""))</f>
        <v/>
      </c>
      <c r="J1034" s="44" t="str">
        <f t="array" ref="J1034">IF(B1034="","",_xlfn.XLOOKUP(B1034,'Form responses 1'!$B$2:$B$2604,'Form responses 1'!$G$2:$G$2604,""))</f>
        <v/>
      </c>
      <c r="K1034" s="56"/>
      <c r="L1034" s="58" t="str">
        <f t="shared" si="7"/>
        <v/>
      </c>
      <c r="M1034" s="49"/>
      <c r="N1034" s="49"/>
      <c r="O1034" s="49"/>
      <c r="P1034" s="49"/>
      <c r="Q1034" s="49"/>
      <c r="R1034" s="49"/>
      <c r="S1034" s="49"/>
      <c r="T1034" s="49"/>
      <c r="U1034" s="49"/>
      <c r="V1034" s="49"/>
      <c r="W1034" s="56"/>
      <c r="X1034" s="51" t="str">
        <f t="shared" si="5"/>
        <v/>
      </c>
      <c r="Y1034" s="50" t="s">
        <v>482</v>
      </c>
      <c r="Z1034" s="49">
        <f t="shared" si="6"/>
        <v>0</v>
      </c>
    </row>
    <row r="1035" ht="22.5" customHeight="1">
      <c r="B1035" s="57"/>
      <c r="C1035" s="43" t="str">
        <f t="array" ref="C1035">IF(B1035="","",_xlfn.XLOOKUP(B1035,'Form responses 1'!$B$2:$B$2604,'Form responses 1'!$A$2:$A$2604,""))</f>
        <v/>
      </c>
      <c r="D1035" s="44" t="str">
        <f t="shared" si="3"/>
        <v/>
      </c>
      <c r="E1035" s="44" t="str">
        <f t="array" ref="E1035">IF(B1035="","",_xlfn.XLOOKUP(B1035,'Form responses 1'!$B$2:$B$2604,'Form responses 1'!$C$2:$C$2604,""))</f>
        <v/>
      </c>
      <c r="F1035" s="44" t="str">
        <f t="array" ref="F1035">IF(B1035="","",_xlfn.XLOOKUP(B1035,'Form responses 1'!$B$2:$B$2604,'Form responses 1'!$D$2:$D$2604,""))</f>
        <v/>
      </c>
      <c r="G1035" s="44" t="str">
        <f t="array" ref="G1035">IF(B1035="","",_xlfn.XLOOKUP(B1035,'Form responses 1'!$B$2:$B$2604,'Form responses 1'!$E$2:$E$2604,""))</f>
        <v/>
      </c>
      <c r="H1035" s="44" t="str">
        <f t="array" ref="H1035">IF(B1035="","",_xlfn.XLOOKUP(B1035,'Form responses 1'!$B$2:$B$2604,'Form responses 1'!$F$2:$F$2604,""))</f>
        <v/>
      </c>
      <c r="I1035" s="44" t="str">
        <f t="array" ref="I1035">IF(B1035="","",_xlfn.XLOOKUP(B1035,'Form responses 1'!$B$2:$B$2604,'Form responses 1'!$I$2:$I$2604,""))</f>
        <v/>
      </c>
      <c r="J1035" s="44" t="str">
        <f t="array" ref="J1035">IF(B1035="","",_xlfn.XLOOKUP(B1035,'Form responses 1'!$B$2:$B$2604,'Form responses 1'!$G$2:$G$2604,""))</f>
        <v/>
      </c>
      <c r="K1035" s="56"/>
      <c r="L1035" s="58" t="str">
        <f t="shared" si="7"/>
        <v/>
      </c>
      <c r="M1035" s="49"/>
      <c r="N1035" s="49"/>
      <c r="O1035" s="49"/>
      <c r="P1035" s="49"/>
      <c r="Q1035" s="49"/>
      <c r="R1035" s="49"/>
      <c r="S1035" s="49"/>
      <c r="T1035" s="49"/>
      <c r="U1035" s="49"/>
      <c r="V1035" s="49"/>
      <c r="W1035" s="56"/>
      <c r="X1035" s="51" t="str">
        <f t="shared" si="5"/>
        <v/>
      </c>
      <c r="Y1035" s="50" t="s">
        <v>482</v>
      </c>
      <c r="Z1035" s="49">
        <f t="shared" si="6"/>
        <v>0</v>
      </c>
    </row>
    <row r="1036" ht="22.5" customHeight="1">
      <c r="B1036" s="57"/>
      <c r="C1036" s="43" t="str">
        <f t="array" ref="C1036">IF(B1036="","",_xlfn.XLOOKUP(B1036,'Form responses 1'!$B$2:$B$2604,'Form responses 1'!$A$2:$A$2604,""))</f>
        <v/>
      </c>
      <c r="D1036" s="44" t="str">
        <f t="shared" si="3"/>
        <v/>
      </c>
      <c r="E1036" s="44" t="str">
        <f t="array" ref="E1036">IF(B1036="","",_xlfn.XLOOKUP(B1036,'Form responses 1'!$B$2:$B$2604,'Form responses 1'!$C$2:$C$2604,""))</f>
        <v/>
      </c>
      <c r="F1036" s="44" t="str">
        <f t="array" ref="F1036">IF(B1036="","",_xlfn.XLOOKUP(B1036,'Form responses 1'!$B$2:$B$2604,'Form responses 1'!$D$2:$D$2604,""))</f>
        <v/>
      </c>
      <c r="G1036" s="44" t="str">
        <f t="array" ref="G1036">IF(B1036="","",_xlfn.XLOOKUP(B1036,'Form responses 1'!$B$2:$B$2604,'Form responses 1'!$E$2:$E$2604,""))</f>
        <v/>
      </c>
      <c r="H1036" s="44" t="str">
        <f t="array" ref="H1036">IF(B1036="","",_xlfn.XLOOKUP(B1036,'Form responses 1'!$B$2:$B$2604,'Form responses 1'!$F$2:$F$2604,""))</f>
        <v/>
      </c>
      <c r="I1036" s="44" t="str">
        <f t="array" ref="I1036">IF(B1036="","",_xlfn.XLOOKUP(B1036,'Form responses 1'!$B$2:$B$2604,'Form responses 1'!$I$2:$I$2604,""))</f>
        <v/>
      </c>
      <c r="J1036" s="44" t="str">
        <f t="array" ref="J1036">IF(B1036="","",_xlfn.XLOOKUP(B1036,'Form responses 1'!$B$2:$B$2604,'Form responses 1'!$G$2:$G$2604,""))</f>
        <v/>
      </c>
      <c r="K1036" s="56"/>
      <c r="L1036" s="58" t="str">
        <f t="shared" si="7"/>
        <v/>
      </c>
      <c r="M1036" s="49"/>
      <c r="N1036" s="49"/>
      <c r="O1036" s="49"/>
      <c r="P1036" s="49"/>
      <c r="Q1036" s="49"/>
      <c r="R1036" s="49"/>
      <c r="S1036" s="49"/>
      <c r="T1036" s="49"/>
      <c r="U1036" s="49"/>
      <c r="V1036" s="49"/>
      <c r="W1036" s="56"/>
      <c r="X1036" s="51" t="str">
        <f t="shared" si="5"/>
        <v/>
      </c>
      <c r="Y1036" s="50" t="s">
        <v>482</v>
      </c>
      <c r="Z1036" s="49">
        <f t="shared" si="6"/>
        <v>0</v>
      </c>
    </row>
    <row r="1037" ht="22.5" customHeight="1">
      <c r="B1037" s="57"/>
      <c r="C1037" s="43" t="str">
        <f t="array" ref="C1037">IF(B1037="","",_xlfn.XLOOKUP(B1037,'Form responses 1'!$B$2:$B$2604,'Form responses 1'!$A$2:$A$2604,""))</f>
        <v/>
      </c>
      <c r="D1037" s="44" t="str">
        <f t="shared" si="3"/>
        <v/>
      </c>
      <c r="E1037" s="44" t="str">
        <f t="array" ref="E1037">IF(B1037="","",_xlfn.XLOOKUP(B1037,'Form responses 1'!$B$2:$B$2604,'Form responses 1'!$C$2:$C$2604,""))</f>
        <v/>
      </c>
      <c r="F1037" s="44" t="str">
        <f t="array" ref="F1037">IF(B1037="","",_xlfn.XLOOKUP(B1037,'Form responses 1'!$B$2:$B$2604,'Form responses 1'!$D$2:$D$2604,""))</f>
        <v/>
      </c>
      <c r="G1037" s="44" t="str">
        <f t="array" ref="G1037">IF(B1037="","",_xlfn.XLOOKUP(B1037,'Form responses 1'!$B$2:$B$2604,'Form responses 1'!$E$2:$E$2604,""))</f>
        <v/>
      </c>
      <c r="H1037" s="44" t="str">
        <f t="array" ref="H1037">IF(B1037="","",_xlfn.XLOOKUP(B1037,'Form responses 1'!$B$2:$B$2604,'Form responses 1'!$F$2:$F$2604,""))</f>
        <v/>
      </c>
      <c r="I1037" s="44" t="str">
        <f t="array" ref="I1037">IF(B1037="","",_xlfn.XLOOKUP(B1037,'Form responses 1'!$B$2:$B$2604,'Form responses 1'!$I$2:$I$2604,""))</f>
        <v/>
      </c>
      <c r="J1037" s="44" t="str">
        <f t="array" ref="J1037">IF(B1037="","",_xlfn.XLOOKUP(B1037,'Form responses 1'!$B$2:$B$2604,'Form responses 1'!$G$2:$G$2604,""))</f>
        <v/>
      </c>
      <c r="K1037" s="56"/>
      <c r="L1037" s="58" t="str">
        <f t="shared" si="7"/>
        <v/>
      </c>
      <c r="M1037" s="49"/>
      <c r="N1037" s="49"/>
      <c r="O1037" s="49"/>
      <c r="P1037" s="49"/>
      <c r="Q1037" s="49"/>
      <c r="R1037" s="49"/>
      <c r="S1037" s="49"/>
      <c r="T1037" s="49"/>
      <c r="U1037" s="49"/>
      <c r="V1037" s="49"/>
      <c r="W1037" s="56"/>
      <c r="X1037" s="51" t="str">
        <f t="shared" si="5"/>
        <v/>
      </c>
      <c r="Y1037" s="50" t="s">
        <v>482</v>
      </c>
      <c r="Z1037" s="49">
        <f t="shared" si="6"/>
        <v>0</v>
      </c>
    </row>
    <row r="1038" ht="22.5" customHeight="1">
      <c r="B1038" s="57"/>
      <c r="C1038" s="43" t="str">
        <f t="array" ref="C1038">IF(B1038="","",_xlfn.XLOOKUP(B1038,'Form responses 1'!$B$2:$B$2604,'Form responses 1'!$A$2:$A$2604,""))</f>
        <v/>
      </c>
      <c r="D1038" s="44" t="str">
        <f t="shared" si="3"/>
        <v/>
      </c>
      <c r="E1038" s="44" t="str">
        <f t="array" ref="E1038">IF(B1038="","",_xlfn.XLOOKUP(B1038,'Form responses 1'!$B$2:$B$2604,'Form responses 1'!$C$2:$C$2604,""))</f>
        <v/>
      </c>
      <c r="F1038" s="44" t="str">
        <f t="array" ref="F1038">IF(B1038="","",_xlfn.XLOOKUP(B1038,'Form responses 1'!$B$2:$B$2604,'Form responses 1'!$D$2:$D$2604,""))</f>
        <v/>
      </c>
      <c r="G1038" s="44" t="str">
        <f t="array" ref="G1038">IF(B1038="","",_xlfn.XLOOKUP(B1038,'Form responses 1'!$B$2:$B$2604,'Form responses 1'!$E$2:$E$2604,""))</f>
        <v/>
      </c>
      <c r="H1038" s="44" t="str">
        <f t="array" ref="H1038">IF(B1038="","",_xlfn.XLOOKUP(B1038,'Form responses 1'!$B$2:$B$2604,'Form responses 1'!$F$2:$F$2604,""))</f>
        <v/>
      </c>
      <c r="I1038" s="44" t="str">
        <f t="array" ref="I1038">IF(B1038="","",_xlfn.XLOOKUP(B1038,'Form responses 1'!$B$2:$B$2604,'Form responses 1'!$I$2:$I$2604,""))</f>
        <v/>
      </c>
      <c r="J1038" s="44" t="str">
        <f t="array" ref="J1038">IF(B1038="","",_xlfn.XLOOKUP(B1038,'Form responses 1'!$B$2:$B$2604,'Form responses 1'!$G$2:$G$2604,""))</f>
        <v/>
      </c>
      <c r="K1038" s="56"/>
      <c r="L1038" s="58" t="str">
        <f t="shared" si="7"/>
        <v/>
      </c>
      <c r="M1038" s="49"/>
      <c r="N1038" s="49"/>
      <c r="O1038" s="49"/>
      <c r="P1038" s="49"/>
      <c r="Q1038" s="49"/>
      <c r="R1038" s="49"/>
      <c r="S1038" s="49"/>
      <c r="T1038" s="49"/>
      <c r="U1038" s="49"/>
      <c r="V1038" s="49"/>
      <c r="W1038" s="56"/>
      <c r="X1038" s="51" t="str">
        <f t="shared" si="5"/>
        <v/>
      </c>
      <c r="Y1038" s="50" t="s">
        <v>482</v>
      </c>
      <c r="Z1038" s="49">
        <f t="shared" si="6"/>
        <v>0</v>
      </c>
    </row>
    <row r="1039" ht="22.5" customHeight="1">
      <c r="B1039" s="57"/>
      <c r="C1039" s="43" t="str">
        <f t="array" ref="C1039">IF(B1039="","",_xlfn.XLOOKUP(B1039,'Form responses 1'!$B$2:$B$2604,'Form responses 1'!$A$2:$A$2604,""))</f>
        <v/>
      </c>
      <c r="D1039" s="44" t="str">
        <f t="shared" si="3"/>
        <v/>
      </c>
      <c r="E1039" s="44" t="str">
        <f t="array" ref="E1039">IF(B1039="","",_xlfn.XLOOKUP(B1039,'Form responses 1'!$B$2:$B$2604,'Form responses 1'!$C$2:$C$2604,""))</f>
        <v/>
      </c>
      <c r="F1039" s="44" t="str">
        <f t="array" ref="F1039">IF(B1039="","",_xlfn.XLOOKUP(B1039,'Form responses 1'!$B$2:$B$2604,'Form responses 1'!$D$2:$D$2604,""))</f>
        <v/>
      </c>
      <c r="G1039" s="44" t="str">
        <f t="array" ref="G1039">IF(B1039="","",_xlfn.XLOOKUP(B1039,'Form responses 1'!$B$2:$B$2604,'Form responses 1'!$E$2:$E$2604,""))</f>
        <v/>
      </c>
      <c r="H1039" s="44" t="str">
        <f t="array" ref="H1039">IF(B1039="","",_xlfn.XLOOKUP(B1039,'Form responses 1'!$B$2:$B$2604,'Form responses 1'!$F$2:$F$2604,""))</f>
        <v/>
      </c>
      <c r="I1039" s="44" t="str">
        <f t="array" ref="I1039">IF(B1039="","",_xlfn.XLOOKUP(B1039,'Form responses 1'!$B$2:$B$2604,'Form responses 1'!$I$2:$I$2604,""))</f>
        <v/>
      </c>
      <c r="J1039" s="44" t="str">
        <f t="array" ref="J1039">IF(B1039="","",_xlfn.XLOOKUP(B1039,'Form responses 1'!$B$2:$B$2604,'Form responses 1'!$G$2:$G$2604,""))</f>
        <v/>
      </c>
      <c r="K1039" s="56"/>
      <c r="L1039" s="58" t="str">
        <f t="shared" si="7"/>
        <v/>
      </c>
      <c r="M1039" s="49"/>
      <c r="N1039" s="49"/>
      <c r="O1039" s="49"/>
      <c r="P1039" s="49"/>
      <c r="Q1039" s="49"/>
      <c r="R1039" s="49"/>
      <c r="S1039" s="49"/>
      <c r="T1039" s="49"/>
      <c r="U1039" s="49"/>
      <c r="V1039" s="49"/>
      <c r="W1039" s="56"/>
      <c r="X1039" s="51" t="str">
        <f t="shared" si="5"/>
        <v/>
      </c>
      <c r="Y1039" s="50" t="s">
        <v>482</v>
      </c>
      <c r="Z1039" s="49">
        <f t="shared" si="6"/>
        <v>0</v>
      </c>
    </row>
    <row r="1040" ht="22.5" customHeight="1">
      <c r="B1040" s="57"/>
      <c r="C1040" s="43" t="str">
        <f t="array" ref="C1040">IF(B1040="","",_xlfn.XLOOKUP(B1040,'Form responses 1'!$B$2:$B$2604,'Form responses 1'!$A$2:$A$2604,""))</f>
        <v/>
      </c>
      <c r="D1040" s="44" t="str">
        <f t="shared" si="3"/>
        <v/>
      </c>
      <c r="E1040" s="44" t="str">
        <f t="array" ref="E1040">IF(B1040="","",_xlfn.XLOOKUP(B1040,'Form responses 1'!$B$2:$B$2604,'Form responses 1'!$C$2:$C$2604,""))</f>
        <v/>
      </c>
      <c r="F1040" s="44" t="str">
        <f t="array" ref="F1040">IF(B1040="","",_xlfn.XLOOKUP(B1040,'Form responses 1'!$B$2:$B$2604,'Form responses 1'!$D$2:$D$2604,""))</f>
        <v/>
      </c>
      <c r="G1040" s="44" t="str">
        <f t="array" ref="G1040">IF(B1040="","",_xlfn.XLOOKUP(B1040,'Form responses 1'!$B$2:$B$2604,'Form responses 1'!$E$2:$E$2604,""))</f>
        <v/>
      </c>
      <c r="H1040" s="44" t="str">
        <f t="array" ref="H1040">IF(B1040="","",_xlfn.XLOOKUP(B1040,'Form responses 1'!$B$2:$B$2604,'Form responses 1'!$F$2:$F$2604,""))</f>
        <v/>
      </c>
      <c r="I1040" s="44" t="str">
        <f t="array" ref="I1040">IF(B1040="","",_xlfn.XLOOKUP(B1040,'Form responses 1'!$B$2:$B$2604,'Form responses 1'!$I$2:$I$2604,""))</f>
        <v/>
      </c>
      <c r="J1040" s="44" t="str">
        <f t="array" ref="J1040">IF(B1040="","",_xlfn.XLOOKUP(B1040,'Form responses 1'!$B$2:$B$2604,'Form responses 1'!$G$2:$G$2604,""))</f>
        <v/>
      </c>
      <c r="K1040" s="56"/>
      <c r="L1040" s="58" t="str">
        <f t="shared" si="7"/>
        <v/>
      </c>
      <c r="M1040" s="49"/>
      <c r="N1040" s="49"/>
      <c r="O1040" s="49"/>
      <c r="P1040" s="49"/>
      <c r="Q1040" s="49"/>
      <c r="R1040" s="49"/>
      <c r="S1040" s="49"/>
      <c r="T1040" s="49"/>
      <c r="U1040" s="49"/>
      <c r="V1040" s="49"/>
      <c r="W1040" s="56"/>
      <c r="X1040" s="51" t="str">
        <f t="shared" si="5"/>
        <v/>
      </c>
      <c r="Y1040" s="50" t="s">
        <v>482</v>
      </c>
      <c r="Z1040" s="49">
        <f t="shared" si="6"/>
        <v>0</v>
      </c>
    </row>
    <row r="1041" ht="22.5" customHeight="1">
      <c r="B1041" s="57"/>
      <c r="C1041" s="43" t="str">
        <f t="array" ref="C1041">IF(B1041="","",_xlfn.XLOOKUP(B1041,'Form responses 1'!$B$2:$B$2604,'Form responses 1'!$A$2:$A$2604,""))</f>
        <v/>
      </c>
      <c r="D1041" s="44" t="str">
        <f t="shared" si="3"/>
        <v/>
      </c>
      <c r="E1041" s="44" t="str">
        <f t="array" ref="E1041">IF(B1041="","",_xlfn.XLOOKUP(B1041,'Form responses 1'!$B$2:$B$2604,'Form responses 1'!$C$2:$C$2604,""))</f>
        <v/>
      </c>
      <c r="F1041" s="44" t="str">
        <f t="array" ref="F1041">IF(B1041="","",_xlfn.XLOOKUP(B1041,'Form responses 1'!$B$2:$B$2604,'Form responses 1'!$D$2:$D$2604,""))</f>
        <v/>
      </c>
      <c r="G1041" s="44" t="str">
        <f t="array" ref="G1041">IF(B1041="","",_xlfn.XLOOKUP(B1041,'Form responses 1'!$B$2:$B$2604,'Form responses 1'!$E$2:$E$2604,""))</f>
        <v/>
      </c>
      <c r="H1041" s="44" t="str">
        <f t="array" ref="H1041">IF(B1041="","",_xlfn.XLOOKUP(B1041,'Form responses 1'!$B$2:$B$2604,'Form responses 1'!$F$2:$F$2604,""))</f>
        <v/>
      </c>
      <c r="I1041" s="44" t="str">
        <f t="array" ref="I1041">IF(B1041="","",_xlfn.XLOOKUP(B1041,'Form responses 1'!$B$2:$B$2604,'Form responses 1'!$I$2:$I$2604,""))</f>
        <v/>
      </c>
      <c r="J1041" s="44" t="str">
        <f t="array" ref="J1041">IF(B1041="","",_xlfn.XLOOKUP(B1041,'Form responses 1'!$B$2:$B$2604,'Form responses 1'!$G$2:$G$2604,""))</f>
        <v/>
      </c>
      <c r="K1041" s="56"/>
      <c r="L1041" s="58" t="str">
        <f t="shared" si="7"/>
        <v/>
      </c>
      <c r="M1041" s="49"/>
      <c r="N1041" s="49"/>
      <c r="O1041" s="49"/>
      <c r="P1041" s="49"/>
      <c r="Q1041" s="49"/>
      <c r="R1041" s="49"/>
      <c r="S1041" s="49"/>
      <c r="T1041" s="49"/>
      <c r="U1041" s="49"/>
      <c r="V1041" s="49"/>
      <c r="W1041" s="56"/>
      <c r="X1041" s="51" t="str">
        <f t="shared" si="5"/>
        <v/>
      </c>
      <c r="Y1041" s="50" t="s">
        <v>482</v>
      </c>
      <c r="Z1041" s="49">
        <f t="shared" si="6"/>
        <v>0</v>
      </c>
    </row>
    <row r="1042" ht="22.5" customHeight="1">
      <c r="B1042" s="57"/>
      <c r="C1042" s="43" t="str">
        <f t="array" ref="C1042">IF(B1042="","",_xlfn.XLOOKUP(B1042,'Form responses 1'!$B$2:$B$2604,'Form responses 1'!$A$2:$A$2604,""))</f>
        <v/>
      </c>
      <c r="D1042" s="44" t="str">
        <f t="shared" si="3"/>
        <v/>
      </c>
      <c r="E1042" s="44" t="str">
        <f t="array" ref="E1042">IF(B1042="","",_xlfn.XLOOKUP(B1042,'Form responses 1'!$B$2:$B$2604,'Form responses 1'!$C$2:$C$2604,""))</f>
        <v/>
      </c>
      <c r="F1042" s="44" t="str">
        <f t="array" ref="F1042">IF(B1042="","",_xlfn.XLOOKUP(B1042,'Form responses 1'!$B$2:$B$2604,'Form responses 1'!$D$2:$D$2604,""))</f>
        <v/>
      </c>
      <c r="G1042" s="44" t="str">
        <f t="array" ref="G1042">IF(B1042="","",_xlfn.XLOOKUP(B1042,'Form responses 1'!$B$2:$B$2604,'Form responses 1'!$E$2:$E$2604,""))</f>
        <v/>
      </c>
      <c r="H1042" s="44" t="str">
        <f t="array" ref="H1042">IF(B1042="","",_xlfn.XLOOKUP(B1042,'Form responses 1'!$B$2:$B$2604,'Form responses 1'!$F$2:$F$2604,""))</f>
        <v/>
      </c>
      <c r="I1042" s="44" t="str">
        <f t="array" ref="I1042">IF(B1042="","",_xlfn.XLOOKUP(B1042,'Form responses 1'!$B$2:$B$2604,'Form responses 1'!$I$2:$I$2604,""))</f>
        <v/>
      </c>
      <c r="J1042" s="44" t="str">
        <f t="array" ref="J1042">IF(B1042="","",_xlfn.XLOOKUP(B1042,'Form responses 1'!$B$2:$B$2604,'Form responses 1'!$G$2:$G$2604,""))</f>
        <v/>
      </c>
      <c r="K1042" s="56"/>
      <c r="L1042" s="58" t="str">
        <f t="shared" si="7"/>
        <v/>
      </c>
      <c r="M1042" s="49"/>
      <c r="N1042" s="49"/>
      <c r="O1042" s="49"/>
      <c r="P1042" s="49"/>
      <c r="Q1042" s="49"/>
      <c r="R1042" s="49"/>
      <c r="S1042" s="49"/>
      <c r="T1042" s="49"/>
      <c r="U1042" s="49"/>
      <c r="V1042" s="49"/>
      <c r="W1042" s="56"/>
      <c r="X1042" s="51" t="str">
        <f t="shared" si="5"/>
        <v/>
      </c>
      <c r="Y1042" s="50" t="s">
        <v>482</v>
      </c>
      <c r="Z1042" s="49">
        <f t="shared" si="6"/>
        <v>0</v>
      </c>
    </row>
    <row r="1043" ht="22.5" customHeight="1">
      <c r="B1043" s="57"/>
      <c r="C1043" s="43" t="str">
        <f t="array" ref="C1043">IF(B1043="","",_xlfn.XLOOKUP(B1043,'Form responses 1'!$B$2:$B$2604,'Form responses 1'!$A$2:$A$2604,""))</f>
        <v/>
      </c>
      <c r="D1043" s="44" t="str">
        <f t="shared" si="3"/>
        <v/>
      </c>
      <c r="E1043" s="44" t="str">
        <f t="array" ref="E1043">IF(B1043="","",_xlfn.XLOOKUP(B1043,'Form responses 1'!$B$2:$B$2604,'Form responses 1'!$C$2:$C$2604,""))</f>
        <v/>
      </c>
      <c r="F1043" s="44" t="str">
        <f t="array" ref="F1043">IF(B1043="","",_xlfn.XLOOKUP(B1043,'Form responses 1'!$B$2:$B$2604,'Form responses 1'!$D$2:$D$2604,""))</f>
        <v/>
      </c>
      <c r="G1043" s="44" t="str">
        <f t="array" ref="G1043">IF(B1043="","",_xlfn.XLOOKUP(B1043,'Form responses 1'!$B$2:$B$2604,'Form responses 1'!$E$2:$E$2604,""))</f>
        <v/>
      </c>
      <c r="H1043" s="44" t="str">
        <f t="array" ref="H1043">IF(B1043="","",_xlfn.XLOOKUP(B1043,'Form responses 1'!$B$2:$B$2604,'Form responses 1'!$F$2:$F$2604,""))</f>
        <v/>
      </c>
      <c r="I1043" s="44" t="str">
        <f t="array" ref="I1043">IF(B1043="","",_xlfn.XLOOKUP(B1043,'Form responses 1'!$B$2:$B$2604,'Form responses 1'!$I$2:$I$2604,""))</f>
        <v/>
      </c>
      <c r="J1043" s="44" t="str">
        <f t="array" ref="J1043">IF(B1043="","",_xlfn.XLOOKUP(B1043,'Form responses 1'!$B$2:$B$2604,'Form responses 1'!$G$2:$G$2604,""))</f>
        <v/>
      </c>
      <c r="K1043" s="56"/>
      <c r="L1043" s="58" t="str">
        <f t="shared" si="7"/>
        <v/>
      </c>
      <c r="M1043" s="49"/>
      <c r="N1043" s="49"/>
      <c r="O1043" s="49"/>
      <c r="P1043" s="49"/>
      <c r="Q1043" s="49"/>
      <c r="R1043" s="49"/>
      <c r="S1043" s="49"/>
      <c r="T1043" s="49"/>
      <c r="U1043" s="49"/>
      <c r="V1043" s="49"/>
      <c r="W1043" s="56"/>
      <c r="X1043" s="51" t="str">
        <f t="shared" si="5"/>
        <v/>
      </c>
      <c r="Y1043" s="50" t="s">
        <v>482</v>
      </c>
      <c r="Z1043" s="49">
        <f t="shared" si="6"/>
        <v>0</v>
      </c>
    </row>
    <row r="1044" ht="22.5" customHeight="1">
      <c r="B1044" s="57"/>
      <c r="C1044" s="43" t="str">
        <f t="array" ref="C1044">IF(B1044="","",_xlfn.XLOOKUP(B1044,'Form responses 1'!$B$2:$B$2604,'Form responses 1'!$A$2:$A$2604,""))</f>
        <v/>
      </c>
      <c r="D1044" s="44" t="str">
        <f t="shared" si="3"/>
        <v/>
      </c>
      <c r="E1044" s="44" t="str">
        <f t="array" ref="E1044">IF(B1044="","",_xlfn.XLOOKUP(B1044,'Form responses 1'!$B$2:$B$2604,'Form responses 1'!$C$2:$C$2604,""))</f>
        <v/>
      </c>
      <c r="F1044" s="44" t="str">
        <f t="array" ref="F1044">IF(B1044="","",_xlfn.XLOOKUP(B1044,'Form responses 1'!$B$2:$B$2604,'Form responses 1'!$D$2:$D$2604,""))</f>
        <v/>
      </c>
      <c r="G1044" s="44" t="str">
        <f t="array" ref="G1044">IF(B1044="","",_xlfn.XLOOKUP(B1044,'Form responses 1'!$B$2:$B$2604,'Form responses 1'!$E$2:$E$2604,""))</f>
        <v/>
      </c>
      <c r="H1044" s="44" t="str">
        <f t="array" ref="H1044">IF(B1044="","",_xlfn.XLOOKUP(B1044,'Form responses 1'!$B$2:$B$2604,'Form responses 1'!$F$2:$F$2604,""))</f>
        <v/>
      </c>
      <c r="I1044" s="44" t="str">
        <f t="array" ref="I1044">IF(B1044="","",_xlfn.XLOOKUP(B1044,'Form responses 1'!$B$2:$B$2604,'Form responses 1'!$I$2:$I$2604,""))</f>
        <v/>
      </c>
      <c r="J1044" s="44" t="str">
        <f t="array" ref="J1044">IF(B1044="","",_xlfn.XLOOKUP(B1044,'Form responses 1'!$B$2:$B$2604,'Form responses 1'!$G$2:$G$2604,""))</f>
        <v/>
      </c>
      <c r="K1044" s="56"/>
      <c r="L1044" s="58" t="str">
        <f t="shared" si="7"/>
        <v/>
      </c>
      <c r="M1044" s="49"/>
      <c r="N1044" s="49"/>
      <c r="O1044" s="49"/>
      <c r="P1044" s="49"/>
      <c r="Q1044" s="49"/>
      <c r="R1044" s="49"/>
      <c r="S1044" s="49"/>
      <c r="T1044" s="49"/>
      <c r="U1044" s="49"/>
      <c r="V1044" s="49"/>
      <c r="W1044" s="56"/>
      <c r="X1044" s="51" t="str">
        <f t="shared" si="5"/>
        <v/>
      </c>
      <c r="Y1044" s="50" t="s">
        <v>482</v>
      </c>
      <c r="Z1044" s="49">
        <f t="shared" si="6"/>
        <v>0</v>
      </c>
    </row>
    <row r="1045" ht="22.5" customHeight="1">
      <c r="B1045" s="57"/>
      <c r="C1045" s="43" t="str">
        <f t="array" ref="C1045">IF(B1045="","",_xlfn.XLOOKUP(B1045,'Form responses 1'!$B$2:$B$2604,'Form responses 1'!$A$2:$A$2604,""))</f>
        <v/>
      </c>
      <c r="D1045" s="44" t="str">
        <f t="shared" si="3"/>
        <v/>
      </c>
      <c r="E1045" s="44" t="str">
        <f t="array" ref="E1045">IF(B1045="","",_xlfn.XLOOKUP(B1045,'Form responses 1'!$B$2:$B$2604,'Form responses 1'!$C$2:$C$2604,""))</f>
        <v/>
      </c>
      <c r="F1045" s="44" t="str">
        <f t="array" ref="F1045">IF(B1045="","",_xlfn.XLOOKUP(B1045,'Form responses 1'!$B$2:$B$2604,'Form responses 1'!$D$2:$D$2604,""))</f>
        <v/>
      </c>
      <c r="G1045" s="44" t="str">
        <f t="array" ref="G1045">IF(B1045="","",_xlfn.XLOOKUP(B1045,'Form responses 1'!$B$2:$B$2604,'Form responses 1'!$E$2:$E$2604,""))</f>
        <v/>
      </c>
      <c r="H1045" s="44" t="str">
        <f t="array" ref="H1045">IF(B1045="","",_xlfn.XLOOKUP(B1045,'Form responses 1'!$B$2:$B$2604,'Form responses 1'!$F$2:$F$2604,""))</f>
        <v/>
      </c>
      <c r="I1045" s="44" t="str">
        <f t="array" ref="I1045">IF(B1045="","",_xlfn.XLOOKUP(B1045,'Form responses 1'!$B$2:$B$2604,'Form responses 1'!$I$2:$I$2604,""))</f>
        <v/>
      </c>
      <c r="J1045" s="44" t="str">
        <f t="array" ref="J1045">IF(B1045="","",_xlfn.XLOOKUP(B1045,'Form responses 1'!$B$2:$B$2604,'Form responses 1'!$G$2:$G$2604,""))</f>
        <v/>
      </c>
      <c r="K1045" s="56"/>
      <c r="L1045" s="58" t="str">
        <f t="shared" si="7"/>
        <v/>
      </c>
      <c r="M1045" s="49"/>
      <c r="N1045" s="49"/>
      <c r="O1045" s="49"/>
      <c r="P1045" s="49"/>
      <c r="Q1045" s="49"/>
      <c r="R1045" s="49"/>
      <c r="S1045" s="49"/>
      <c r="T1045" s="49"/>
      <c r="U1045" s="49"/>
      <c r="V1045" s="49"/>
      <c r="W1045" s="56"/>
      <c r="X1045" s="51" t="str">
        <f t="shared" si="5"/>
        <v/>
      </c>
      <c r="Y1045" s="50" t="s">
        <v>482</v>
      </c>
      <c r="Z1045" s="49">
        <f t="shared" si="6"/>
        <v>0</v>
      </c>
    </row>
    <row r="1046" ht="22.5" customHeight="1">
      <c r="B1046" s="57"/>
      <c r="C1046" s="43" t="str">
        <f t="array" ref="C1046">IF(B1046="","",_xlfn.XLOOKUP(B1046,'Form responses 1'!$B$2:$B$2604,'Form responses 1'!$A$2:$A$2604,""))</f>
        <v/>
      </c>
      <c r="D1046" s="44" t="str">
        <f t="shared" si="3"/>
        <v/>
      </c>
      <c r="E1046" s="44" t="str">
        <f t="array" ref="E1046">IF(B1046="","",_xlfn.XLOOKUP(B1046,'Form responses 1'!$B$2:$B$2604,'Form responses 1'!$C$2:$C$2604,""))</f>
        <v/>
      </c>
      <c r="F1046" s="44" t="str">
        <f t="array" ref="F1046">IF(B1046="","",_xlfn.XLOOKUP(B1046,'Form responses 1'!$B$2:$B$2604,'Form responses 1'!$D$2:$D$2604,""))</f>
        <v/>
      </c>
      <c r="G1046" s="44" t="str">
        <f t="array" ref="G1046">IF(B1046="","",_xlfn.XLOOKUP(B1046,'Form responses 1'!$B$2:$B$2604,'Form responses 1'!$E$2:$E$2604,""))</f>
        <v/>
      </c>
      <c r="H1046" s="44" t="str">
        <f t="array" ref="H1046">IF(B1046="","",_xlfn.XLOOKUP(B1046,'Form responses 1'!$B$2:$B$2604,'Form responses 1'!$F$2:$F$2604,""))</f>
        <v/>
      </c>
      <c r="I1046" s="44" t="str">
        <f t="array" ref="I1046">IF(B1046="","",_xlfn.XLOOKUP(B1046,'Form responses 1'!$B$2:$B$2604,'Form responses 1'!$I$2:$I$2604,""))</f>
        <v/>
      </c>
      <c r="J1046" s="44" t="str">
        <f t="array" ref="J1046">IF(B1046="","",_xlfn.XLOOKUP(B1046,'Form responses 1'!$B$2:$B$2604,'Form responses 1'!$G$2:$G$2604,""))</f>
        <v/>
      </c>
      <c r="K1046" s="56"/>
      <c r="L1046" s="58" t="str">
        <f t="shared" si="7"/>
        <v/>
      </c>
      <c r="M1046" s="49"/>
      <c r="N1046" s="49"/>
      <c r="O1046" s="49"/>
      <c r="P1046" s="49"/>
      <c r="Q1046" s="49"/>
      <c r="R1046" s="49"/>
      <c r="S1046" s="49"/>
      <c r="T1046" s="49"/>
      <c r="U1046" s="49"/>
      <c r="V1046" s="49"/>
      <c r="W1046" s="56"/>
      <c r="X1046" s="51" t="str">
        <f t="shared" si="5"/>
        <v/>
      </c>
      <c r="Y1046" s="50" t="s">
        <v>482</v>
      </c>
      <c r="Z1046" s="49">
        <f t="shared" si="6"/>
        <v>0</v>
      </c>
    </row>
    <row r="1047" ht="22.5" customHeight="1">
      <c r="B1047" s="57"/>
      <c r="C1047" s="43" t="str">
        <f t="array" ref="C1047">IF(B1047="","",_xlfn.XLOOKUP(B1047,'Form responses 1'!$B$2:$B$2604,'Form responses 1'!$A$2:$A$2604,""))</f>
        <v/>
      </c>
      <c r="D1047" s="44" t="str">
        <f t="shared" si="3"/>
        <v/>
      </c>
      <c r="E1047" s="44" t="str">
        <f t="array" ref="E1047">IF(B1047="","",_xlfn.XLOOKUP(B1047,'Form responses 1'!$B$2:$B$2604,'Form responses 1'!$C$2:$C$2604,""))</f>
        <v/>
      </c>
      <c r="F1047" s="44" t="str">
        <f t="array" ref="F1047">IF(B1047="","",_xlfn.XLOOKUP(B1047,'Form responses 1'!$B$2:$B$2604,'Form responses 1'!$D$2:$D$2604,""))</f>
        <v/>
      </c>
      <c r="G1047" s="44" t="str">
        <f t="array" ref="G1047">IF(B1047="","",_xlfn.XLOOKUP(B1047,'Form responses 1'!$B$2:$B$2604,'Form responses 1'!$E$2:$E$2604,""))</f>
        <v/>
      </c>
      <c r="H1047" s="44" t="str">
        <f t="array" ref="H1047">IF(B1047="","",_xlfn.XLOOKUP(B1047,'Form responses 1'!$B$2:$B$2604,'Form responses 1'!$F$2:$F$2604,""))</f>
        <v/>
      </c>
      <c r="I1047" s="44" t="str">
        <f t="array" ref="I1047">IF(B1047="","",_xlfn.XLOOKUP(B1047,'Form responses 1'!$B$2:$B$2604,'Form responses 1'!$I$2:$I$2604,""))</f>
        <v/>
      </c>
      <c r="J1047" s="44" t="str">
        <f t="array" ref="J1047">IF(B1047="","",_xlfn.XLOOKUP(B1047,'Form responses 1'!$B$2:$B$2604,'Form responses 1'!$G$2:$G$2604,""))</f>
        <v/>
      </c>
      <c r="K1047" s="56"/>
      <c r="L1047" s="58" t="str">
        <f t="shared" si="7"/>
        <v/>
      </c>
      <c r="M1047" s="49"/>
      <c r="N1047" s="49"/>
      <c r="O1047" s="49"/>
      <c r="P1047" s="49"/>
      <c r="Q1047" s="49"/>
      <c r="R1047" s="49"/>
      <c r="S1047" s="49"/>
      <c r="T1047" s="49"/>
      <c r="U1047" s="49"/>
      <c r="V1047" s="49"/>
      <c r="W1047" s="56"/>
      <c r="X1047" s="51" t="str">
        <f t="shared" si="5"/>
        <v/>
      </c>
      <c r="Y1047" s="50" t="s">
        <v>482</v>
      </c>
      <c r="Z1047" s="49">
        <f t="shared" si="6"/>
        <v>0</v>
      </c>
    </row>
    <row r="1048" ht="22.5" customHeight="1">
      <c r="B1048" s="57"/>
      <c r="C1048" s="43" t="str">
        <f t="array" ref="C1048">IF(B1048="","",_xlfn.XLOOKUP(B1048,'Form responses 1'!$B$2:$B$2604,'Form responses 1'!$A$2:$A$2604,""))</f>
        <v/>
      </c>
      <c r="D1048" s="44" t="str">
        <f t="shared" si="3"/>
        <v/>
      </c>
      <c r="E1048" s="44" t="str">
        <f t="array" ref="E1048">IF(B1048="","",_xlfn.XLOOKUP(B1048,'Form responses 1'!$B$2:$B$2604,'Form responses 1'!$C$2:$C$2604,""))</f>
        <v/>
      </c>
      <c r="F1048" s="44" t="str">
        <f t="array" ref="F1048">IF(B1048="","",_xlfn.XLOOKUP(B1048,'Form responses 1'!$B$2:$B$2604,'Form responses 1'!$D$2:$D$2604,""))</f>
        <v/>
      </c>
      <c r="G1048" s="44" t="str">
        <f t="array" ref="G1048">IF(B1048="","",_xlfn.XLOOKUP(B1048,'Form responses 1'!$B$2:$B$2604,'Form responses 1'!$E$2:$E$2604,""))</f>
        <v/>
      </c>
      <c r="H1048" s="44" t="str">
        <f t="array" ref="H1048">IF(B1048="","",_xlfn.XLOOKUP(B1048,'Form responses 1'!$B$2:$B$2604,'Form responses 1'!$F$2:$F$2604,""))</f>
        <v/>
      </c>
      <c r="I1048" s="44" t="str">
        <f t="array" ref="I1048">IF(B1048="","",_xlfn.XLOOKUP(B1048,'Form responses 1'!$B$2:$B$2604,'Form responses 1'!$I$2:$I$2604,""))</f>
        <v/>
      </c>
      <c r="J1048" s="44" t="str">
        <f t="array" ref="J1048">IF(B1048="","",_xlfn.XLOOKUP(B1048,'Form responses 1'!$B$2:$B$2604,'Form responses 1'!$G$2:$G$2604,""))</f>
        <v/>
      </c>
      <c r="K1048" s="56"/>
      <c r="L1048" s="58" t="str">
        <f t="shared" si="7"/>
        <v/>
      </c>
      <c r="M1048" s="49"/>
      <c r="N1048" s="49"/>
      <c r="O1048" s="49"/>
      <c r="P1048" s="49"/>
      <c r="Q1048" s="49"/>
      <c r="R1048" s="49"/>
      <c r="S1048" s="49"/>
      <c r="T1048" s="49"/>
      <c r="U1048" s="49"/>
      <c r="V1048" s="49"/>
      <c r="W1048" s="56"/>
      <c r="X1048" s="51" t="str">
        <f t="shared" si="5"/>
        <v/>
      </c>
      <c r="Y1048" s="50" t="s">
        <v>482</v>
      </c>
      <c r="Z1048" s="49">
        <f t="shared" si="6"/>
        <v>0</v>
      </c>
    </row>
    <row r="1049" ht="22.5" customHeight="1">
      <c r="B1049" s="57"/>
      <c r="C1049" s="43" t="str">
        <f t="array" ref="C1049">IF(B1049="","",_xlfn.XLOOKUP(B1049,'Form responses 1'!$B$2:$B$2604,'Form responses 1'!$A$2:$A$2604,""))</f>
        <v/>
      </c>
      <c r="D1049" s="44" t="str">
        <f t="shared" si="3"/>
        <v/>
      </c>
      <c r="E1049" s="44" t="str">
        <f t="array" ref="E1049">IF(B1049="","",_xlfn.XLOOKUP(B1049,'Form responses 1'!$B$2:$B$2604,'Form responses 1'!$C$2:$C$2604,""))</f>
        <v/>
      </c>
      <c r="F1049" s="44" t="str">
        <f t="array" ref="F1049">IF(B1049="","",_xlfn.XLOOKUP(B1049,'Form responses 1'!$B$2:$B$2604,'Form responses 1'!$D$2:$D$2604,""))</f>
        <v/>
      </c>
      <c r="G1049" s="44" t="str">
        <f t="array" ref="G1049">IF(B1049="","",_xlfn.XLOOKUP(B1049,'Form responses 1'!$B$2:$B$2604,'Form responses 1'!$E$2:$E$2604,""))</f>
        <v/>
      </c>
      <c r="H1049" s="44" t="str">
        <f t="array" ref="H1049">IF(B1049="","",_xlfn.XLOOKUP(B1049,'Form responses 1'!$B$2:$B$2604,'Form responses 1'!$F$2:$F$2604,""))</f>
        <v/>
      </c>
      <c r="I1049" s="44" t="str">
        <f t="array" ref="I1049">IF(B1049="","",_xlfn.XLOOKUP(B1049,'Form responses 1'!$B$2:$B$2604,'Form responses 1'!$I$2:$I$2604,""))</f>
        <v/>
      </c>
      <c r="J1049" s="44" t="str">
        <f t="array" ref="J1049">IF(B1049="","",_xlfn.XLOOKUP(B1049,'Form responses 1'!$B$2:$B$2604,'Form responses 1'!$G$2:$G$2604,""))</f>
        <v/>
      </c>
      <c r="K1049" s="56"/>
      <c r="L1049" s="58" t="str">
        <f t="shared" si="7"/>
        <v/>
      </c>
      <c r="M1049" s="49"/>
      <c r="N1049" s="49"/>
      <c r="O1049" s="49"/>
      <c r="P1049" s="49"/>
      <c r="Q1049" s="49"/>
      <c r="R1049" s="49"/>
      <c r="S1049" s="49"/>
      <c r="T1049" s="49"/>
      <c r="U1049" s="49"/>
      <c r="V1049" s="49"/>
      <c r="W1049" s="56"/>
      <c r="X1049" s="51" t="str">
        <f t="shared" si="5"/>
        <v/>
      </c>
      <c r="Y1049" s="50" t="s">
        <v>482</v>
      </c>
      <c r="Z1049" s="49">
        <f t="shared" si="6"/>
        <v>0</v>
      </c>
    </row>
    <row r="1050" ht="22.5" customHeight="1">
      <c r="B1050" s="57"/>
      <c r="C1050" s="43" t="str">
        <f t="array" ref="C1050">IF(B1050="","",_xlfn.XLOOKUP(B1050,'Form responses 1'!$B$2:$B$2604,'Form responses 1'!$A$2:$A$2604,""))</f>
        <v/>
      </c>
      <c r="D1050" s="44" t="str">
        <f t="shared" si="3"/>
        <v/>
      </c>
      <c r="E1050" s="44" t="str">
        <f t="array" ref="E1050">IF(B1050="","",_xlfn.XLOOKUP(B1050,'Form responses 1'!$B$2:$B$2604,'Form responses 1'!$C$2:$C$2604,""))</f>
        <v/>
      </c>
      <c r="F1050" s="44" t="str">
        <f t="array" ref="F1050">IF(B1050="","",_xlfn.XLOOKUP(B1050,'Form responses 1'!$B$2:$B$2604,'Form responses 1'!$D$2:$D$2604,""))</f>
        <v/>
      </c>
      <c r="G1050" s="44" t="str">
        <f t="array" ref="G1050">IF(B1050="","",_xlfn.XLOOKUP(B1050,'Form responses 1'!$B$2:$B$2604,'Form responses 1'!$E$2:$E$2604,""))</f>
        <v/>
      </c>
      <c r="H1050" s="44" t="str">
        <f t="array" ref="H1050">IF(B1050="","",_xlfn.XLOOKUP(B1050,'Form responses 1'!$B$2:$B$2604,'Form responses 1'!$F$2:$F$2604,""))</f>
        <v/>
      </c>
      <c r="I1050" s="44" t="str">
        <f t="array" ref="I1050">IF(B1050="","",_xlfn.XLOOKUP(B1050,'Form responses 1'!$B$2:$B$2604,'Form responses 1'!$I$2:$I$2604,""))</f>
        <v/>
      </c>
      <c r="J1050" s="44" t="str">
        <f t="array" ref="J1050">IF(B1050="","",_xlfn.XLOOKUP(B1050,'Form responses 1'!$B$2:$B$2604,'Form responses 1'!$G$2:$G$2604,""))</f>
        <v/>
      </c>
      <c r="K1050" s="56"/>
      <c r="L1050" s="58" t="str">
        <f t="shared" si="7"/>
        <v/>
      </c>
      <c r="M1050" s="49"/>
      <c r="N1050" s="49"/>
      <c r="O1050" s="49"/>
      <c r="P1050" s="49"/>
      <c r="Q1050" s="49"/>
      <c r="R1050" s="49"/>
      <c r="S1050" s="49"/>
      <c r="T1050" s="49"/>
      <c r="U1050" s="49"/>
      <c r="V1050" s="49"/>
      <c r="W1050" s="56"/>
      <c r="X1050" s="51" t="str">
        <f t="shared" si="5"/>
        <v/>
      </c>
      <c r="Y1050" s="50" t="s">
        <v>482</v>
      </c>
      <c r="Z1050" s="49">
        <f t="shared" si="6"/>
        <v>0</v>
      </c>
    </row>
    <row r="1051" ht="22.5" customHeight="1">
      <c r="B1051" s="57"/>
      <c r="C1051" s="43" t="str">
        <f t="array" ref="C1051">IF(B1051="","",_xlfn.XLOOKUP(B1051,'Form responses 1'!$B$2:$B$2604,'Form responses 1'!$A$2:$A$2604,""))</f>
        <v/>
      </c>
      <c r="D1051" s="44" t="str">
        <f t="shared" si="3"/>
        <v/>
      </c>
      <c r="E1051" s="44" t="str">
        <f t="array" ref="E1051">IF(B1051="","",_xlfn.XLOOKUP(B1051,'Form responses 1'!$B$2:$B$2604,'Form responses 1'!$C$2:$C$2604,""))</f>
        <v/>
      </c>
      <c r="F1051" s="44" t="str">
        <f t="array" ref="F1051">IF(B1051="","",_xlfn.XLOOKUP(B1051,'Form responses 1'!$B$2:$B$2604,'Form responses 1'!$D$2:$D$2604,""))</f>
        <v/>
      </c>
      <c r="G1051" s="44" t="str">
        <f t="array" ref="G1051">IF(B1051="","",_xlfn.XLOOKUP(B1051,'Form responses 1'!$B$2:$B$2604,'Form responses 1'!$E$2:$E$2604,""))</f>
        <v/>
      </c>
      <c r="H1051" s="44" t="str">
        <f t="array" ref="H1051">IF(B1051="","",_xlfn.XLOOKUP(B1051,'Form responses 1'!$B$2:$B$2604,'Form responses 1'!$F$2:$F$2604,""))</f>
        <v/>
      </c>
      <c r="I1051" s="44" t="str">
        <f t="array" ref="I1051">IF(B1051="","",_xlfn.XLOOKUP(B1051,'Form responses 1'!$B$2:$B$2604,'Form responses 1'!$I$2:$I$2604,""))</f>
        <v/>
      </c>
      <c r="J1051" s="44" t="str">
        <f t="array" ref="J1051">IF(B1051="","",_xlfn.XLOOKUP(B1051,'Form responses 1'!$B$2:$B$2604,'Form responses 1'!$G$2:$G$2604,""))</f>
        <v/>
      </c>
      <c r="K1051" s="56"/>
      <c r="L1051" s="58" t="str">
        <f t="shared" si="7"/>
        <v/>
      </c>
      <c r="M1051" s="49"/>
      <c r="N1051" s="49"/>
      <c r="O1051" s="49"/>
      <c r="P1051" s="49"/>
      <c r="Q1051" s="49"/>
      <c r="R1051" s="49"/>
      <c r="S1051" s="49"/>
      <c r="T1051" s="49"/>
      <c r="U1051" s="49"/>
      <c r="V1051" s="49"/>
      <c r="W1051" s="56"/>
      <c r="X1051" s="51" t="str">
        <f t="shared" si="5"/>
        <v/>
      </c>
      <c r="Y1051" s="50" t="s">
        <v>482</v>
      </c>
      <c r="Z1051" s="49">
        <f t="shared" si="6"/>
        <v>0</v>
      </c>
    </row>
    <row r="1052" ht="22.5" customHeight="1">
      <c r="B1052" s="57"/>
      <c r="C1052" s="43" t="str">
        <f t="array" ref="C1052">IF(B1052="","",_xlfn.XLOOKUP(B1052,'Form responses 1'!$B$2:$B$2604,'Form responses 1'!$A$2:$A$2604,""))</f>
        <v/>
      </c>
      <c r="D1052" s="44" t="str">
        <f t="shared" si="3"/>
        <v/>
      </c>
      <c r="E1052" s="44" t="str">
        <f t="array" ref="E1052">IF(B1052="","",_xlfn.XLOOKUP(B1052,'Form responses 1'!$B$2:$B$2604,'Form responses 1'!$C$2:$C$2604,""))</f>
        <v/>
      </c>
      <c r="F1052" s="44" t="str">
        <f t="array" ref="F1052">IF(B1052="","",_xlfn.XLOOKUP(B1052,'Form responses 1'!$B$2:$B$2604,'Form responses 1'!$D$2:$D$2604,""))</f>
        <v/>
      </c>
      <c r="G1052" s="44" t="str">
        <f t="array" ref="G1052">IF(B1052="","",_xlfn.XLOOKUP(B1052,'Form responses 1'!$B$2:$B$2604,'Form responses 1'!$E$2:$E$2604,""))</f>
        <v/>
      </c>
      <c r="H1052" s="44" t="str">
        <f t="array" ref="H1052">IF(B1052="","",_xlfn.XLOOKUP(B1052,'Form responses 1'!$B$2:$B$2604,'Form responses 1'!$F$2:$F$2604,""))</f>
        <v/>
      </c>
      <c r="I1052" s="44" t="str">
        <f t="array" ref="I1052">IF(B1052="","",_xlfn.XLOOKUP(B1052,'Form responses 1'!$B$2:$B$2604,'Form responses 1'!$I$2:$I$2604,""))</f>
        <v/>
      </c>
      <c r="J1052" s="44" t="str">
        <f t="array" ref="J1052">IF(B1052="","",_xlfn.XLOOKUP(B1052,'Form responses 1'!$B$2:$B$2604,'Form responses 1'!$G$2:$G$2604,""))</f>
        <v/>
      </c>
      <c r="K1052" s="56"/>
      <c r="L1052" s="58" t="str">
        <f t="shared" si="7"/>
        <v/>
      </c>
      <c r="M1052" s="49"/>
      <c r="N1052" s="49"/>
      <c r="O1052" s="49"/>
      <c r="P1052" s="49"/>
      <c r="Q1052" s="49"/>
      <c r="R1052" s="49"/>
      <c r="S1052" s="49"/>
      <c r="T1052" s="49"/>
      <c r="U1052" s="49"/>
      <c r="V1052" s="49"/>
      <c r="W1052" s="56"/>
      <c r="X1052" s="51" t="str">
        <f t="shared" si="5"/>
        <v/>
      </c>
      <c r="Y1052" s="50" t="s">
        <v>482</v>
      </c>
      <c r="Z1052" s="49">
        <f t="shared" si="6"/>
        <v>0</v>
      </c>
    </row>
    <row r="1053" ht="22.5" customHeight="1">
      <c r="B1053" s="57"/>
      <c r="C1053" s="43" t="str">
        <f t="array" ref="C1053">IF(B1053="","",_xlfn.XLOOKUP(B1053,'Form responses 1'!$B$2:$B$2604,'Form responses 1'!$A$2:$A$2604,""))</f>
        <v/>
      </c>
      <c r="D1053" s="44" t="str">
        <f t="shared" si="3"/>
        <v/>
      </c>
      <c r="E1053" s="44" t="str">
        <f t="array" ref="E1053">IF(B1053="","",_xlfn.XLOOKUP(B1053,'Form responses 1'!$B$2:$B$2604,'Form responses 1'!$C$2:$C$2604,""))</f>
        <v/>
      </c>
      <c r="F1053" s="44" t="str">
        <f t="array" ref="F1053">IF(B1053="","",_xlfn.XLOOKUP(B1053,'Form responses 1'!$B$2:$B$2604,'Form responses 1'!$D$2:$D$2604,""))</f>
        <v/>
      </c>
      <c r="G1053" s="44" t="str">
        <f t="array" ref="G1053">IF(B1053="","",_xlfn.XLOOKUP(B1053,'Form responses 1'!$B$2:$B$2604,'Form responses 1'!$E$2:$E$2604,""))</f>
        <v/>
      </c>
      <c r="H1053" s="44" t="str">
        <f t="array" ref="H1053">IF(B1053="","",_xlfn.XLOOKUP(B1053,'Form responses 1'!$B$2:$B$2604,'Form responses 1'!$F$2:$F$2604,""))</f>
        <v/>
      </c>
      <c r="I1053" s="44" t="str">
        <f t="array" ref="I1053">IF(B1053="","",_xlfn.XLOOKUP(B1053,'Form responses 1'!$B$2:$B$2604,'Form responses 1'!$I$2:$I$2604,""))</f>
        <v/>
      </c>
      <c r="J1053" s="44" t="str">
        <f t="array" ref="J1053">IF(B1053="","",_xlfn.XLOOKUP(B1053,'Form responses 1'!$B$2:$B$2604,'Form responses 1'!$G$2:$G$2604,""))</f>
        <v/>
      </c>
      <c r="K1053" s="56"/>
      <c r="L1053" s="58" t="str">
        <f t="shared" si="7"/>
        <v/>
      </c>
      <c r="M1053" s="49"/>
      <c r="N1053" s="49"/>
      <c r="O1053" s="49"/>
      <c r="P1053" s="49"/>
      <c r="Q1053" s="49"/>
      <c r="R1053" s="49"/>
      <c r="S1053" s="49"/>
      <c r="T1053" s="49"/>
      <c r="U1053" s="49"/>
      <c r="V1053" s="49"/>
      <c r="W1053" s="56"/>
      <c r="X1053" s="51" t="str">
        <f t="shared" si="5"/>
        <v/>
      </c>
      <c r="Y1053" s="50" t="s">
        <v>482</v>
      </c>
      <c r="Z1053" s="49">
        <f t="shared" si="6"/>
        <v>0</v>
      </c>
    </row>
    <row r="1054" ht="22.5" customHeight="1">
      <c r="B1054" s="57"/>
      <c r="C1054" s="43" t="str">
        <f t="array" ref="C1054">IF(B1054="","",_xlfn.XLOOKUP(B1054,'Form responses 1'!$B$2:$B$2604,'Form responses 1'!$A$2:$A$2604,""))</f>
        <v/>
      </c>
      <c r="D1054" s="44" t="str">
        <f t="shared" si="3"/>
        <v/>
      </c>
      <c r="E1054" s="44" t="str">
        <f t="array" ref="E1054">IF(B1054="","",_xlfn.XLOOKUP(B1054,'Form responses 1'!$B$2:$B$2604,'Form responses 1'!$C$2:$C$2604,""))</f>
        <v/>
      </c>
      <c r="F1054" s="44" t="str">
        <f t="array" ref="F1054">IF(B1054="","",_xlfn.XLOOKUP(B1054,'Form responses 1'!$B$2:$B$2604,'Form responses 1'!$D$2:$D$2604,""))</f>
        <v/>
      </c>
      <c r="G1054" s="44" t="str">
        <f t="array" ref="G1054">IF(B1054="","",_xlfn.XLOOKUP(B1054,'Form responses 1'!$B$2:$B$2604,'Form responses 1'!$E$2:$E$2604,""))</f>
        <v/>
      </c>
      <c r="H1054" s="44" t="str">
        <f t="array" ref="H1054">IF(B1054="","",_xlfn.XLOOKUP(B1054,'Form responses 1'!$B$2:$B$2604,'Form responses 1'!$F$2:$F$2604,""))</f>
        <v/>
      </c>
      <c r="I1054" s="44" t="str">
        <f t="array" ref="I1054">IF(B1054="","",_xlfn.XLOOKUP(B1054,'Form responses 1'!$B$2:$B$2604,'Form responses 1'!$I$2:$I$2604,""))</f>
        <v/>
      </c>
      <c r="J1054" s="44" t="str">
        <f t="array" ref="J1054">IF(B1054="","",_xlfn.XLOOKUP(B1054,'Form responses 1'!$B$2:$B$2604,'Form responses 1'!$G$2:$G$2604,""))</f>
        <v/>
      </c>
      <c r="K1054" s="56"/>
      <c r="L1054" s="58" t="str">
        <f t="shared" si="7"/>
        <v/>
      </c>
      <c r="M1054" s="49"/>
      <c r="N1054" s="49"/>
      <c r="O1054" s="49"/>
      <c r="P1054" s="49"/>
      <c r="Q1054" s="49"/>
      <c r="R1054" s="49"/>
      <c r="S1054" s="49"/>
      <c r="T1054" s="49"/>
      <c r="U1054" s="49"/>
      <c r="V1054" s="49"/>
      <c r="W1054" s="56"/>
      <c r="X1054" s="51" t="str">
        <f t="shared" si="5"/>
        <v/>
      </c>
      <c r="Y1054" s="50" t="s">
        <v>482</v>
      </c>
      <c r="Z1054" s="49">
        <f t="shared" si="6"/>
        <v>0</v>
      </c>
    </row>
    <row r="1055" ht="22.5" customHeight="1">
      <c r="B1055" s="57"/>
      <c r="C1055" s="43" t="str">
        <f t="array" ref="C1055">IF(B1055="","",_xlfn.XLOOKUP(B1055,'Form responses 1'!$B$2:$B$2604,'Form responses 1'!$A$2:$A$2604,""))</f>
        <v/>
      </c>
      <c r="D1055" s="44" t="str">
        <f t="shared" si="3"/>
        <v/>
      </c>
      <c r="E1055" s="44" t="str">
        <f t="array" ref="E1055">IF(B1055="","",_xlfn.XLOOKUP(B1055,'Form responses 1'!$B$2:$B$2604,'Form responses 1'!$C$2:$C$2604,""))</f>
        <v/>
      </c>
      <c r="F1055" s="44" t="str">
        <f t="array" ref="F1055">IF(B1055="","",_xlfn.XLOOKUP(B1055,'Form responses 1'!$B$2:$B$2604,'Form responses 1'!$D$2:$D$2604,""))</f>
        <v/>
      </c>
      <c r="G1055" s="44" t="str">
        <f t="array" ref="G1055">IF(B1055="","",_xlfn.XLOOKUP(B1055,'Form responses 1'!$B$2:$B$2604,'Form responses 1'!$E$2:$E$2604,""))</f>
        <v/>
      </c>
      <c r="H1055" s="44" t="str">
        <f t="array" ref="H1055">IF(B1055="","",_xlfn.XLOOKUP(B1055,'Form responses 1'!$B$2:$B$2604,'Form responses 1'!$F$2:$F$2604,""))</f>
        <v/>
      </c>
      <c r="I1055" s="44" t="str">
        <f t="array" ref="I1055">IF(B1055="","",_xlfn.XLOOKUP(B1055,'Form responses 1'!$B$2:$B$2604,'Form responses 1'!$I$2:$I$2604,""))</f>
        <v/>
      </c>
      <c r="J1055" s="44" t="str">
        <f t="array" ref="J1055">IF(B1055="","",_xlfn.XLOOKUP(B1055,'Form responses 1'!$B$2:$B$2604,'Form responses 1'!$G$2:$G$2604,""))</f>
        <v/>
      </c>
      <c r="K1055" s="56"/>
      <c r="L1055" s="58" t="str">
        <f t="shared" si="7"/>
        <v/>
      </c>
      <c r="M1055" s="49"/>
      <c r="N1055" s="49"/>
      <c r="O1055" s="49"/>
      <c r="P1055" s="49"/>
      <c r="Q1055" s="49"/>
      <c r="R1055" s="49"/>
      <c r="S1055" s="49"/>
      <c r="T1055" s="49"/>
      <c r="U1055" s="49"/>
      <c r="V1055" s="49"/>
      <c r="W1055" s="56"/>
      <c r="X1055" s="51" t="str">
        <f t="shared" si="5"/>
        <v/>
      </c>
      <c r="Y1055" s="50" t="s">
        <v>482</v>
      </c>
      <c r="Z1055" s="49">
        <f t="shared" si="6"/>
        <v>0</v>
      </c>
    </row>
    <row r="1056" ht="22.5" customHeight="1">
      <c r="B1056" s="57"/>
      <c r="C1056" s="43" t="str">
        <f t="array" ref="C1056">IF(B1056="","",_xlfn.XLOOKUP(B1056,'Form responses 1'!$B$2:$B$2604,'Form responses 1'!$A$2:$A$2604,""))</f>
        <v/>
      </c>
      <c r="D1056" s="44" t="str">
        <f t="shared" si="3"/>
        <v/>
      </c>
      <c r="E1056" s="44" t="str">
        <f t="array" ref="E1056">IF(B1056="","",_xlfn.XLOOKUP(B1056,'Form responses 1'!$B$2:$B$2604,'Form responses 1'!$C$2:$C$2604,""))</f>
        <v/>
      </c>
      <c r="F1056" s="44" t="str">
        <f t="array" ref="F1056">IF(B1056="","",_xlfn.XLOOKUP(B1056,'Form responses 1'!$B$2:$B$2604,'Form responses 1'!$D$2:$D$2604,""))</f>
        <v/>
      </c>
      <c r="G1056" s="44" t="str">
        <f t="array" ref="G1056">IF(B1056="","",_xlfn.XLOOKUP(B1056,'Form responses 1'!$B$2:$B$2604,'Form responses 1'!$E$2:$E$2604,""))</f>
        <v/>
      </c>
      <c r="H1056" s="44" t="str">
        <f t="array" ref="H1056">IF(B1056="","",_xlfn.XLOOKUP(B1056,'Form responses 1'!$B$2:$B$2604,'Form responses 1'!$F$2:$F$2604,""))</f>
        <v/>
      </c>
      <c r="I1056" s="44" t="str">
        <f t="array" ref="I1056">IF(B1056="","",_xlfn.XLOOKUP(B1056,'Form responses 1'!$B$2:$B$2604,'Form responses 1'!$I$2:$I$2604,""))</f>
        <v/>
      </c>
      <c r="J1056" s="44" t="str">
        <f t="array" ref="J1056">IF(B1056="","",_xlfn.XLOOKUP(B1056,'Form responses 1'!$B$2:$B$2604,'Form responses 1'!$G$2:$G$2604,""))</f>
        <v/>
      </c>
      <c r="K1056" s="56"/>
      <c r="L1056" s="58" t="str">
        <f t="shared" si="7"/>
        <v/>
      </c>
      <c r="M1056" s="49"/>
      <c r="N1056" s="49"/>
      <c r="O1056" s="49"/>
      <c r="P1056" s="49"/>
      <c r="Q1056" s="49"/>
      <c r="R1056" s="49"/>
      <c r="S1056" s="49"/>
      <c r="T1056" s="49"/>
      <c r="U1056" s="49"/>
      <c r="V1056" s="49"/>
      <c r="W1056" s="56"/>
      <c r="X1056" s="51" t="str">
        <f t="shared" si="5"/>
        <v/>
      </c>
      <c r="Y1056" s="50" t="s">
        <v>482</v>
      </c>
      <c r="Z1056" s="49">
        <f t="shared" si="6"/>
        <v>0</v>
      </c>
    </row>
    <row r="1057" ht="22.5" customHeight="1">
      <c r="B1057" s="57"/>
      <c r="C1057" s="43" t="str">
        <f t="array" ref="C1057">IF(B1057="","",_xlfn.XLOOKUP(B1057,'Form responses 1'!$B$2:$B$2604,'Form responses 1'!$A$2:$A$2604,""))</f>
        <v/>
      </c>
      <c r="D1057" s="44" t="str">
        <f t="shared" si="3"/>
        <v/>
      </c>
      <c r="E1057" s="44" t="str">
        <f t="array" ref="E1057">IF(B1057="","",_xlfn.XLOOKUP(B1057,'Form responses 1'!$B$2:$B$2604,'Form responses 1'!$C$2:$C$2604,""))</f>
        <v/>
      </c>
      <c r="F1057" s="44" t="str">
        <f t="array" ref="F1057">IF(B1057="","",_xlfn.XLOOKUP(B1057,'Form responses 1'!$B$2:$B$2604,'Form responses 1'!$D$2:$D$2604,""))</f>
        <v/>
      </c>
      <c r="G1057" s="44" t="str">
        <f t="array" ref="G1057">IF(B1057="","",_xlfn.XLOOKUP(B1057,'Form responses 1'!$B$2:$B$2604,'Form responses 1'!$E$2:$E$2604,""))</f>
        <v/>
      </c>
      <c r="H1057" s="44" t="str">
        <f t="array" ref="H1057">IF(B1057="","",_xlfn.XLOOKUP(B1057,'Form responses 1'!$B$2:$B$2604,'Form responses 1'!$F$2:$F$2604,""))</f>
        <v/>
      </c>
      <c r="I1057" s="44" t="str">
        <f t="array" ref="I1057">IF(B1057="","",_xlfn.XLOOKUP(B1057,'Form responses 1'!$B$2:$B$2604,'Form responses 1'!$I$2:$I$2604,""))</f>
        <v/>
      </c>
      <c r="J1057" s="44" t="str">
        <f t="array" ref="J1057">IF(B1057="","",_xlfn.XLOOKUP(B1057,'Form responses 1'!$B$2:$B$2604,'Form responses 1'!$G$2:$G$2604,""))</f>
        <v/>
      </c>
      <c r="K1057" s="56"/>
      <c r="L1057" s="58" t="str">
        <f t="shared" si="7"/>
        <v/>
      </c>
      <c r="M1057" s="49"/>
      <c r="N1057" s="49"/>
      <c r="O1057" s="49"/>
      <c r="P1057" s="49"/>
      <c r="Q1057" s="49"/>
      <c r="R1057" s="49"/>
      <c r="S1057" s="49"/>
      <c r="T1057" s="49"/>
      <c r="U1057" s="49"/>
      <c r="V1057" s="49"/>
      <c r="W1057" s="56"/>
      <c r="X1057" s="51" t="str">
        <f t="shared" si="5"/>
        <v/>
      </c>
      <c r="Y1057" s="50" t="s">
        <v>482</v>
      </c>
      <c r="Z1057" s="49">
        <f t="shared" si="6"/>
        <v>0</v>
      </c>
    </row>
    <row r="1058" ht="22.5" customHeight="1">
      <c r="B1058" s="57"/>
      <c r="C1058" s="43" t="str">
        <f t="array" ref="C1058">IF(B1058="","",_xlfn.XLOOKUP(B1058,'Form responses 1'!$B$2:$B$2604,'Form responses 1'!$A$2:$A$2604,""))</f>
        <v/>
      </c>
      <c r="D1058" s="44" t="str">
        <f t="shared" si="3"/>
        <v/>
      </c>
      <c r="E1058" s="44" t="str">
        <f t="array" ref="E1058">IF(B1058="","",_xlfn.XLOOKUP(B1058,'Form responses 1'!$B$2:$B$2604,'Form responses 1'!$C$2:$C$2604,""))</f>
        <v/>
      </c>
      <c r="F1058" s="44" t="str">
        <f t="array" ref="F1058">IF(B1058="","",_xlfn.XLOOKUP(B1058,'Form responses 1'!$B$2:$B$2604,'Form responses 1'!$D$2:$D$2604,""))</f>
        <v/>
      </c>
      <c r="G1058" s="44" t="str">
        <f t="array" ref="G1058">IF(B1058="","",_xlfn.XLOOKUP(B1058,'Form responses 1'!$B$2:$B$2604,'Form responses 1'!$E$2:$E$2604,""))</f>
        <v/>
      </c>
      <c r="H1058" s="44" t="str">
        <f t="array" ref="H1058">IF(B1058="","",_xlfn.XLOOKUP(B1058,'Form responses 1'!$B$2:$B$2604,'Form responses 1'!$F$2:$F$2604,""))</f>
        <v/>
      </c>
      <c r="I1058" s="44" t="str">
        <f t="array" ref="I1058">IF(B1058="","",_xlfn.XLOOKUP(B1058,'Form responses 1'!$B$2:$B$2604,'Form responses 1'!$I$2:$I$2604,""))</f>
        <v/>
      </c>
      <c r="J1058" s="44" t="str">
        <f t="array" ref="J1058">IF(B1058="","",_xlfn.XLOOKUP(B1058,'Form responses 1'!$B$2:$B$2604,'Form responses 1'!$G$2:$G$2604,""))</f>
        <v/>
      </c>
      <c r="K1058" s="56"/>
      <c r="L1058" s="58" t="str">
        <f t="shared" si="7"/>
        <v/>
      </c>
      <c r="M1058" s="49"/>
      <c r="N1058" s="49"/>
      <c r="O1058" s="49"/>
      <c r="P1058" s="49"/>
      <c r="Q1058" s="49"/>
      <c r="R1058" s="49"/>
      <c r="S1058" s="49"/>
      <c r="T1058" s="49"/>
      <c r="U1058" s="49"/>
      <c r="V1058" s="49"/>
      <c r="W1058" s="56"/>
      <c r="X1058" s="51" t="str">
        <f t="shared" si="5"/>
        <v/>
      </c>
      <c r="Y1058" s="50" t="s">
        <v>482</v>
      </c>
      <c r="Z1058" s="49">
        <f t="shared" si="6"/>
        <v>0</v>
      </c>
    </row>
    <row r="1059" ht="22.5" customHeight="1">
      <c r="B1059" s="57"/>
      <c r="C1059" s="43" t="str">
        <f t="array" ref="C1059">IF(B1059="","",_xlfn.XLOOKUP(B1059,'Form responses 1'!$B$2:$B$2604,'Form responses 1'!$A$2:$A$2604,""))</f>
        <v/>
      </c>
      <c r="D1059" s="44" t="str">
        <f t="shared" si="3"/>
        <v/>
      </c>
      <c r="E1059" s="44" t="str">
        <f t="array" ref="E1059">IF(B1059="","",_xlfn.XLOOKUP(B1059,'Form responses 1'!$B$2:$B$2604,'Form responses 1'!$C$2:$C$2604,""))</f>
        <v/>
      </c>
      <c r="F1059" s="44" t="str">
        <f t="array" ref="F1059">IF(B1059="","",_xlfn.XLOOKUP(B1059,'Form responses 1'!$B$2:$B$2604,'Form responses 1'!$D$2:$D$2604,""))</f>
        <v/>
      </c>
      <c r="G1059" s="44" t="str">
        <f t="array" ref="G1059">IF(B1059="","",_xlfn.XLOOKUP(B1059,'Form responses 1'!$B$2:$B$2604,'Form responses 1'!$E$2:$E$2604,""))</f>
        <v/>
      </c>
      <c r="H1059" s="44" t="str">
        <f t="array" ref="H1059">IF(B1059="","",_xlfn.XLOOKUP(B1059,'Form responses 1'!$B$2:$B$2604,'Form responses 1'!$F$2:$F$2604,""))</f>
        <v/>
      </c>
      <c r="I1059" s="44" t="str">
        <f t="array" ref="I1059">IF(B1059="","",_xlfn.XLOOKUP(B1059,'Form responses 1'!$B$2:$B$2604,'Form responses 1'!$I$2:$I$2604,""))</f>
        <v/>
      </c>
      <c r="J1059" s="44" t="str">
        <f t="array" ref="J1059">IF(B1059="","",_xlfn.XLOOKUP(B1059,'Form responses 1'!$B$2:$B$2604,'Form responses 1'!$G$2:$G$2604,""))</f>
        <v/>
      </c>
      <c r="K1059" s="56"/>
      <c r="L1059" s="58" t="str">
        <f t="shared" si="7"/>
        <v/>
      </c>
      <c r="M1059" s="49"/>
      <c r="N1059" s="49"/>
      <c r="O1059" s="49"/>
      <c r="P1059" s="49"/>
      <c r="Q1059" s="49"/>
      <c r="R1059" s="49"/>
      <c r="S1059" s="49"/>
      <c r="T1059" s="49"/>
      <c r="U1059" s="49"/>
      <c r="V1059" s="49"/>
      <c r="W1059" s="56"/>
      <c r="X1059" s="51" t="str">
        <f t="shared" si="5"/>
        <v/>
      </c>
      <c r="Y1059" s="50" t="s">
        <v>482</v>
      </c>
      <c r="Z1059" s="49">
        <f t="shared" si="6"/>
        <v>0</v>
      </c>
    </row>
    <row r="1060" ht="22.5" customHeight="1">
      <c r="B1060" s="57"/>
      <c r="C1060" s="43" t="str">
        <f t="array" ref="C1060">IF(B1060="","",_xlfn.XLOOKUP(B1060,'Form responses 1'!$B$2:$B$2604,'Form responses 1'!$A$2:$A$2604,""))</f>
        <v/>
      </c>
      <c r="D1060" s="44" t="str">
        <f t="shared" si="3"/>
        <v/>
      </c>
      <c r="E1060" s="44" t="str">
        <f t="array" ref="E1060">IF(B1060="","",_xlfn.XLOOKUP(B1060,'Form responses 1'!$B$2:$B$2604,'Form responses 1'!$C$2:$C$2604,""))</f>
        <v/>
      </c>
      <c r="F1060" s="44" t="str">
        <f t="array" ref="F1060">IF(B1060="","",_xlfn.XLOOKUP(B1060,'Form responses 1'!$B$2:$B$2604,'Form responses 1'!$D$2:$D$2604,""))</f>
        <v/>
      </c>
      <c r="G1060" s="44" t="str">
        <f t="array" ref="G1060">IF(B1060="","",_xlfn.XLOOKUP(B1060,'Form responses 1'!$B$2:$B$2604,'Form responses 1'!$E$2:$E$2604,""))</f>
        <v/>
      </c>
      <c r="H1060" s="44" t="str">
        <f t="array" ref="H1060">IF(B1060="","",_xlfn.XLOOKUP(B1060,'Form responses 1'!$B$2:$B$2604,'Form responses 1'!$F$2:$F$2604,""))</f>
        <v/>
      </c>
      <c r="I1060" s="44" t="str">
        <f t="array" ref="I1060">IF(B1060="","",_xlfn.XLOOKUP(B1060,'Form responses 1'!$B$2:$B$2604,'Form responses 1'!$I$2:$I$2604,""))</f>
        <v/>
      </c>
      <c r="J1060" s="44" t="str">
        <f t="array" ref="J1060">IF(B1060="","",_xlfn.XLOOKUP(B1060,'Form responses 1'!$B$2:$B$2604,'Form responses 1'!$G$2:$G$2604,""))</f>
        <v/>
      </c>
      <c r="K1060" s="56"/>
      <c r="L1060" s="58" t="str">
        <f t="shared" si="7"/>
        <v/>
      </c>
      <c r="M1060" s="49"/>
      <c r="N1060" s="49"/>
      <c r="O1060" s="49"/>
      <c r="P1060" s="49"/>
      <c r="Q1060" s="49"/>
      <c r="R1060" s="49"/>
      <c r="S1060" s="49"/>
      <c r="T1060" s="49"/>
      <c r="U1060" s="49"/>
      <c r="V1060" s="49"/>
      <c r="W1060" s="56"/>
      <c r="X1060" s="51" t="str">
        <f t="shared" si="5"/>
        <v/>
      </c>
      <c r="Y1060" s="50" t="s">
        <v>482</v>
      </c>
      <c r="Z1060" s="49">
        <f t="shared" si="6"/>
        <v>0</v>
      </c>
    </row>
    <row r="1061" ht="22.5" customHeight="1">
      <c r="B1061" s="57"/>
      <c r="C1061" s="43" t="str">
        <f t="array" ref="C1061">IF(B1061="","",_xlfn.XLOOKUP(B1061,'Form responses 1'!$B$2:$B$2604,'Form responses 1'!$A$2:$A$2604,""))</f>
        <v/>
      </c>
      <c r="D1061" s="44" t="str">
        <f t="shared" si="3"/>
        <v/>
      </c>
      <c r="E1061" s="44" t="str">
        <f t="array" ref="E1061">IF(B1061="","",_xlfn.XLOOKUP(B1061,'Form responses 1'!$B$2:$B$2604,'Form responses 1'!$C$2:$C$2604,""))</f>
        <v/>
      </c>
      <c r="F1061" s="44" t="str">
        <f t="array" ref="F1061">IF(B1061="","",_xlfn.XLOOKUP(B1061,'Form responses 1'!$B$2:$B$2604,'Form responses 1'!$D$2:$D$2604,""))</f>
        <v/>
      </c>
      <c r="G1061" s="44" t="str">
        <f t="array" ref="G1061">IF(B1061="","",_xlfn.XLOOKUP(B1061,'Form responses 1'!$B$2:$B$2604,'Form responses 1'!$E$2:$E$2604,""))</f>
        <v/>
      </c>
      <c r="H1061" s="44" t="str">
        <f t="array" ref="H1061">IF(B1061="","",_xlfn.XLOOKUP(B1061,'Form responses 1'!$B$2:$B$2604,'Form responses 1'!$F$2:$F$2604,""))</f>
        <v/>
      </c>
      <c r="I1061" s="44" t="str">
        <f t="array" ref="I1061">IF(B1061="","",_xlfn.XLOOKUP(B1061,'Form responses 1'!$B$2:$B$2604,'Form responses 1'!$I$2:$I$2604,""))</f>
        <v/>
      </c>
      <c r="J1061" s="44" t="str">
        <f t="array" ref="J1061">IF(B1061="","",_xlfn.XLOOKUP(B1061,'Form responses 1'!$B$2:$B$2604,'Form responses 1'!$G$2:$G$2604,""))</f>
        <v/>
      </c>
      <c r="K1061" s="56"/>
      <c r="L1061" s="58" t="str">
        <f t="shared" si="7"/>
        <v/>
      </c>
      <c r="M1061" s="49"/>
      <c r="N1061" s="49"/>
      <c r="O1061" s="49"/>
      <c r="P1061" s="49"/>
      <c r="Q1061" s="49"/>
      <c r="R1061" s="49"/>
      <c r="S1061" s="49"/>
      <c r="T1061" s="49"/>
      <c r="U1061" s="49"/>
      <c r="V1061" s="49"/>
      <c r="W1061" s="56"/>
      <c r="X1061" s="51" t="str">
        <f t="shared" si="5"/>
        <v/>
      </c>
      <c r="Y1061" s="50" t="s">
        <v>482</v>
      </c>
      <c r="Z1061" s="49">
        <f t="shared" si="6"/>
        <v>0</v>
      </c>
    </row>
    <row r="1062" ht="22.5" customHeight="1">
      <c r="B1062" s="57"/>
      <c r="C1062" s="43" t="str">
        <f t="array" ref="C1062">IF(B1062="","",_xlfn.XLOOKUP(B1062,'Form responses 1'!$B$2:$B$2604,'Form responses 1'!$A$2:$A$2604,""))</f>
        <v/>
      </c>
      <c r="D1062" s="44" t="str">
        <f t="shared" si="3"/>
        <v/>
      </c>
      <c r="E1062" s="44" t="str">
        <f t="array" ref="E1062">IF(B1062="","",_xlfn.XLOOKUP(B1062,'Form responses 1'!$B$2:$B$2604,'Form responses 1'!$C$2:$C$2604,""))</f>
        <v/>
      </c>
      <c r="F1062" s="44" t="str">
        <f t="array" ref="F1062">IF(B1062="","",_xlfn.XLOOKUP(B1062,'Form responses 1'!$B$2:$B$2604,'Form responses 1'!$D$2:$D$2604,""))</f>
        <v/>
      </c>
      <c r="G1062" s="44" t="str">
        <f t="array" ref="G1062">IF(B1062="","",_xlfn.XLOOKUP(B1062,'Form responses 1'!$B$2:$B$2604,'Form responses 1'!$E$2:$E$2604,""))</f>
        <v/>
      </c>
      <c r="H1062" s="44" t="str">
        <f t="array" ref="H1062">IF(B1062="","",_xlfn.XLOOKUP(B1062,'Form responses 1'!$B$2:$B$2604,'Form responses 1'!$F$2:$F$2604,""))</f>
        <v/>
      </c>
      <c r="I1062" s="44" t="str">
        <f t="array" ref="I1062">IF(B1062="","",_xlfn.XLOOKUP(B1062,'Form responses 1'!$B$2:$B$2604,'Form responses 1'!$I$2:$I$2604,""))</f>
        <v/>
      </c>
      <c r="J1062" s="44" t="str">
        <f t="array" ref="J1062">IF(B1062="","",_xlfn.XLOOKUP(B1062,'Form responses 1'!$B$2:$B$2604,'Form responses 1'!$G$2:$G$2604,""))</f>
        <v/>
      </c>
      <c r="K1062" s="56"/>
      <c r="L1062" s="58" t="str">
        <f t="shared" si="7"/>
        <v/>
      </c>
      <c r="M1062" s="49"/>
      <c r="N1062" s="49"/>
      <c r="O1062" s="49"/>
      <c r="P1062" s="49"/>
      <c r="Q1062" s="49"/>
      <c r="R1062" s="49"/>
      <c r="S1062" s="49"/>
      <c r="T1062" s="49"/>
      <c r="U1062" s="49"/>
      <c r="V1062" s="49"/>
      <c r="W1062" s="56"/>
      <c r="X1062" s="51" t="str">
        <f t="shared" si="5"/>
        <v/>
      </c>
      <c r="Y1062" s="50" t="s">
        <v>482</v>
      </c>
      <c r="Z1062" s="49">
        <f t="shared" si="6"/>
        <v>0</v>
      </c>
    </row>
    <row r="1063" ht="22.5" customHeight="1">
      <c r="B1063" s="57"/>
      <c r="C1063" s="43" t="str">
        <f t="array" ref="C1063">IF(B1063="","",_xlfn.XLOOKUP(B1063,'Form responses 1'!$B$2:$B$2604,'Form responses 1'!$A$2:$A$2604,""))</f>
        <v/>
      </c>
      <c r="D1063" s="44" t="str">
        <f t="shared" si="3"/>
        <v/>
      </c>
      <c r="E1063" s="44" t="str">
        <f t="array" ref="E1063">IF(B1063="","",_xlfn.XLOOKUP(B1063,'Form responses 1'!$B$2:$B$2604,'Form responses 1'!$C$2:$C$2604,""))</f>
        <v/>
      </c>
      <c r="F1063" s="44" t="str">
        <f t="array" ref="F1063">IF(B1063="","",_xlfn.XLOOKUP(B1063,'Form responses 1'!$B$2:$B$2604,'Form responses 1'!$D$2:$D$2604,""))</f>
        <v/>
      </c>
      <c r="G1063" s="44" t="str">
        <f t="array" ref="G1063">IF(B1063="","",_xlfn.XLOOKUP(B1063,'Form responses 1'!$B$2:$B$2604,'Form responses 1'!$E$2:$E$2604,""))</f>
        <v/>
      </c>
      <c r="H1063" s="44" t="str">
        <f t="array" ref="H1063">IF(B1063="","",_xlfn.XLOOKUP(B1063,'Form responses 1'!$B$2:$B$2604,'Form responses 1'!$F$2:$F$2604,""))</f>
        <v/>
      </c>
      <c r="I1063" s="44" t="str">
        <f t="array" ref="I1063">IF(B1063="","",_xlfn.XLOOKUP(B1063,'Form responses 1'!$B$2:$B$2604,'Form responses 1'!$I$2:$I$2604,""))</f>
        <v/>
      </c>
      <c r="J1063" s="44" t="str">
        <f t="array" ref="J1063">IF(B1063="","",_xlfn.XLOOKUP(B1063,'Form responses 1'!$B$2:$B$2604,'Form responses 1'!$G$2:$G$2604,""))</f>
        <v/>
      </c>
      <c r="K1063" s="56"/>
      <c r="L1063" s="58" t="str">
        <f t="shared" si="7"/>
        <v/>
      </c>
      <c r="M1063" s="49"/>
      <c r="N1063" s="49"/>
      <c r="O1063" s="49"/>
      <c r="P1063" s="49"/>
      <c r="Q1063" s="49"/>
      <c r="R1063" s="49"/>
      <c r="S1063" s="49"/>
      <c r="T1063" s="49"/>
      <c r="U1063" s="49"/>
      <c r="V1063" s="49"/>
      <c r="W1063" s="56"/>
      <c r="X1063" s="51" t="str">
        <f t="shared" si="5"/>
        <v/>
      </c>
      <c r="Y1063" s="50" t="s">
        <v>482</v>
      </c>
      <c r="Z1063" s="49">
        <f t="shared" si="6"/>
        <v>0</v>
      </c>
    </row>
    <row r="1064" ht="22.5" customHeight="1">
      <c r="B1064" s="57"/>
      <c r="C1064" s="43" t="str">
        <f t="array" ref="C1064">IF(B1064="","",_xlfn.XLOOKUP(B1064,'Form responses 1'!$B$2:$B$2604,'Form responses 1'!$A$2:$A$2604,""))</f>
        <v/>
      </c>
      <c r="D1064" s="44" t="str">
        <f t="shared" si="3"/>
        <v/>
      </c>
      <c r="E1064" s="44" t="str">
        <f t="array" ref="E1064">IF(B1064="","",_xlfn.XLOOKUP(B1064,'Form responses 1'!$B$2:$B$2604,'Form responses 1'!$C$2:$C$2604,""))</f>
        <v/>
      </c>
      <c r="F1064" s="44" t="str">
        <f t="array" ref="F1064">IF(B1064="","",_xlfn.XLOOKUP(B1064,'Form responses 1'!$B$2:$B$2604,'Form responses 1'!$D$2:$D$2604,""))</f>
        <v/>
      </c>
      <c r="G1064" s="44" t="str">
        <f t="array" ref="G1064">IF(B1064="","",_xlfn.XLOOKUP(B1064,'Form responses 1'!$B$2:$B$2604,'Form responses 1'!$E$2:$E$2604,""))</f>
        <v/>
      </c>
      <c r="H1064" s="44" t="str">
        <f t="array" ref="H1064">IF(B1064="","",_xlfn.XLOOKUP(B1064,'Form responses 1'!$B$2:$B$2604,'Form responses 1'!$F$2:$F$2604,""))</f>
        <v/>
      </c>
      <c r="I1064" s="44" t="str">
        <f t="array" ref="I1064">IF(B1064="","",_xlfn.XLOOKUP(B1064,'Form responses 1'!$B$2:$B$2604,'Form responses 1'!$I$2:$I$2604,""))</f>
        <v/>
      </c>
      <c r="J1064" s="44" t="str">
        <f t="array" ref="J1064">IF(B1064="","",_xlfn.XLOOKUP(B1064,'Form responses 1'!$B$2:$B$2604,'Form responses 1'!$G$2:$G$2604,""))</f>
        <v/>
      </c>
      <c r="K1064" s="56"/>
      <c r="L1064" s="58" t="str">
        <f t="shared" si="7"/>
        <v/>
      </c>
      <c r="M1064" s="49"/>
      <c r="N1064" s="49"/>
      <c r="O1064" s="49"/>
      <c r="P1064" s="49"/>
      <c r="Q1064" s="49"/>
      <c r="R1064" s="49"/>
      <c r="S1064" s="49"/>
      <c r="T1064" s="49"/>
      <c r="U1064" s="49"/>
      <c r="V1064" s="49"/>
      <c r="W1064" s="56"/>
      <c r="X1064" s="51" t="str">
        <f t="shared" si="5"/>
        <v/>
      </c>
      <c r="Y1064" s="50" t="s">
        <v>482</v>
      </c>
      <c r="Z1064" s="49">
        <f t="shared" si="6"/>
        <v>0</v>
      </c>
    </row>
    <row r="1065" ht="22.5" customHeight="1">
      <c r="B1065" s="57"/>
      <c r="C1065" s="43" t="str">
        <f t="array" ref="C1065">IF(B1065="","",_xlfn.XLOOKUP(B1065,'Form responses 1'!$B$2:$B$2604,'Form responses 1'!$A$2:$A$2604,""))</f>
        <v/>
      </c>
      <c r="D1065" s="44" t="str">
        <f t="shared" si="3"/>
        <v/>
      </c>
      <c r="E1065" s="44" t="str">
        <f t="array" ref="E1065">IF(B1065="","",_xlfn.XLOOKUP(B1065,'Form responses 1'!$B$2:$B$2604,'Form responses 1'!$C$2:$C$2604,""))</f>
        <v/>
      </c>
      <c r="F1065" s="44" t="str">
        <f t="array" ref="F1065">IF(B1065="","",_xlfn.XLOOKUP(B1065,'Form responses 1'!$B$2:$B$2604,'Form responses 1'!$D$2:$D$2604,""))</f>
        <v/>
      </c>
      <c r="G1065" s="44" t="str">
        <f t="array" ref="G1065">IF(B1065="","",_xlfn.XLOOKUP(B1065,'Form responses 1'!$B$2:$B$2604,'Form responses 1'!$E$2:$E$2604,""))</f>
        <v/>
      </c>
      <c r="H1065" s="44" t="str">
        <f t="array" ref="H1065">IF(B1065="","",_xlfn.XLOOKUP(B1065,'Form responses 1'!$B$2:$B$2604,'Form responses 1'!$F$2:$F$2604,""))</f>
        <v/>
      </c>
      <c r="I1065" s="44" t="str">
        <f t="array" ref="I1065">IF(B1065="","",_xlfn.XLOOKUP(B1065,'Form responses 1'!$B$2:$B$2604,'Form responses 1'!$I$2:$I$2604,""))</f>
        <v/>
      </c>
      <c r="J1065" s="44" t="str">
        <f t="array" ref="J1065">IF(B1065="","",_xlfn.XLOOKUP(B1065,'Form responses 1'!$B$2:$B$2604,'Form responses 1'!$G$2:$G$2604,""))</f>
        <v/>
      </c>
      <c r="K1065" s="56"/>
      <c r="L1065" s="58" t="str">
        <f t="shared" si="7"/>
        <v/>
      </c>
      <c r="M1065" s="49"/>
      <c r="N1065" s="49"/>
      <c r="O1065" s="49"/>
      <c r="P1065" s="49"/>
      <c r="Q1065" s="49"/>
      <c r="R1065" s="49"/>
      <c r="S1065" s="49"/>
      <c r="T1065" s="49"/>
      <c r="U1065" s="49"/>
      <c r="V1065" s="49"/>
      <c r="W1065" s="56"/>
      <c r="X1065" s="51" t="str">
        <f t="shared" si="5"/>
        <v/>
      </c>
      <c r="Y1065" s="50" t="s">
        <v>482</v>
      </c>
      <c r="Z1065" s="49">
        <f t="shared" si="6"/>
        <v>0</v>
      </c>
    </row>
    <row r="1066" ht="22.5" customHeight="1">
      <c r="B1066" s="57"/>
      <c r="C1066" s="43" t="str">
        <f t="array" ref="C1066">IF(B1066="","",_xlfn.XLOOKUP(B1066,'Form responses 1'!$B$2:$B$2604,'Form responses 1'!$A$2:$A$2604,""))</f>
        <v/>
      </c>
      <c r="D1066" s="44" t="str">
        <f t="shared" si="3"/>
        <v/>
      </c>
      <c r="E1066" s="44" t="str">
        <f t="array" ref="E1066">IF(B1066="","",_xlfn.XLOOKUP(B1066,'Form responses 1'!$B$2:$B$2604,'Form responses 1'!$C$2:$C$2604,""))</f>
        <v/>
      </c>
      <c r="F1066" s="44" t="str">
        <f t="array" ref="F1066">IF(B1066="","",_xlfn.XLOOKUP(B1066,'Form responses 1'!$B$2:$B$2604,'Form responses 1'!$D$2:$D$2604,""))</f>
        <v/>
      </c>
      <c r="G1066" s="44" t="str">
        <f t="array" ref="G1066">IF(B1066="","",_xlfn.XLOOKUP(B1066,'Form responses 1'!$B$2:$B$2604,'Form responses 1'!$E$2:$E$2604,""))</f>
        <v/>
      </c>
      <c r="H1066" s="44" t="str">
        <f t="array" ref="H1066">IF(B1066="","",_xlfn.XLOOKUP(B1066,'Form responses 1'!$B$2:$B$2604,'Form responses 1'!$F$2:$F$2604,""))</f>
        <v/>
      </c>
      <c r="I1066" s="44" t="str">
        <f t="array" ref="I1066">IF(B1066="","",_xlfn.XLOOKUP(B1066,'Form responses 1'!$B$2:$B$2604,'Form responses 1'!$I$2:$I$2604,""))</f>
        <v/>
      </c>
      <c r="J1066" s="44" t="str">
        <f t="array" ref="J1066">IF(B1066="","",_xlfn.XLOOKUP(B1066,'Form responses 1'!$B$2:$B$2604,'Form responses 1'!$G$2:$G$2604,""))</f>
        <v/>
      </c>
      <c r="K1066" s="56"/>
      <c r="L1066" s="58" t="str">
        <f t="shared" si="7"/>
        <v/>
      </c>
      <c r="M1066" s="49"/>
      <c r="N1066" s="49"/>
      <c r="O1066" s="49"/>
      <c r="P1066" s="49"/>
      <c r="Q1066" s="49"/>
      <c r="R1066" s="49"/>
      <c r="S1066" s="49"/>
      <c r="T1066" s="49"/>
      <c r="U1066" s="49"/>
      <c r="V1066" s="49"/>
      <c r="W1066" s="56"/>
      <c r="X1066" s="51" t="str">
        <f t="shared" si="5"/>
        <v/>
      </c>
      <c r="Y1066" s="50" t="s">
        <v>482</v>
      </c>
      <c r="Z1066" s="49">
        <f t="shared" si="6"/>
        <v>0</v>
      </c>
    </row>
    <row r="1067" ht="22.5" customHeight="1">
      <c r="B1067" s="57"/>
      <c r="C1067" s="43" t="str">
        <f t="array" ref="C1067">IF(B1067="","",_xlfn.XLOOKUP(B1067,'Form responses 1'!$B$2:$B$2604,'Form responses 1'!$A$2:$A$2604,""))</f>
        <v/>
      </c>
      <c r="D1067" s="44" t="str">
        <f t="shared" si="3"/>
        <v/>
      </c>
      <c r="E1067" s="44" t="str">
        <f t="array" ref="E1067">IF(B1067="","",_xlfn.XLOOKUP(B1067,'Form responses 1'!$B$2:$B$2604,'Form responses 1'!$C$2:$C$2604,""))</f>
        <v/>
      </c>
      <c r="F1067" s="44" t="str">
        <f t="array" ref="F1067">IF(B1067="","",_xlfn.XLOOKUP(B1067,'Form responses 1'!$B$2:$B$2604,'Form responses 1'!$D$2:$D$2604,""))</f>
        <v/>
      </c>
      <c r="G1067" s="44" t="str">
        <f t="array" ref="G1067">IF(B1067="","",_xlfn.XLOOKUP(B1067,'Form responses 1'!$B$2:$B$2604,'Form responses 1'!$E$2:$E$2604,""))</f>
        <v/>
      </c>
      <c r="H1067" s="44" t="str">
        <f t="array" ref="H1067">IF(B1067="","",_xlfn.XLOOKUP(B1067,'Form responses 1'!$B$2:$B$2604,'Form responses 1'!$F$2:$F$2604,""))</f>
        <v/>
      </c>
      <c r="I1067" s="44" t="str">
        <f t="array" ref="I1067">IF(B1067="","",_xlfn.XLOOKUP(B1067,'Form responses 1'!$B$2:$B$2604,'Form responses 1'!$I$2:$I$2604,""))</f>
        <v/>
      </c>
      <c r="J1067" s="44" t="str">
        <f t="array" ref="J1067">IF(B1067="","",_xlfn.XLOOKUP(B1067,'Form responses 1'!$B$2:$B$2604,'Form responses 1'!$G$2:$G$2604,""))</f>
        <v/>
      </c>
      <c r="K1067" s="56"/>
      <c r="L1067" s="58" t="str">
        <f t="shared" si="7"/>
        <v/>
      </c>
      <c r="M1067" s="49"/>
      <c r="N1067" s="49"/>
      <c r="O1067" s="49"/>
      <c r="P1067" s="49"/>
      <c r="Q1067" s="49"/>
      <c r="R1067" s="49"/>
      <c r="S1067" s="49"/>
      <c r="T1067" s="49"/>
      <c r="U1067" s="49"/>
      <c r="V1067" s="49"/>
      <c r="W1067" s="56"/>
      <c r="X1067" s="51" t="str">
        <f t="shared" si="5"/>
        <v/>
      </c>
      <c r="Y1067" s="50" t="s">
        <v>482</v>
      </c>
      <c r="Z1067" s="49">
        <f t="shared" si="6"/>
        <v>0</v>
      </c>
    </row>
    <row r="1068" ht="22.5" customHeight="1">
      <c r="B1068" s="57"/>
      <c r="C1068" s="43" t="str">
        <f t="array" ref="C1068">IF(B1068="","",_xlfn.XLOOKUP(B1068,'Form responses 1'!$B$2:$B$2604,'Form responses 1'!$A$2:$A$2604,""))</f>
        <v/>
      </c>
      <c r="D1068" s="44" t="str">
        <f t="shared" si="3"/>
        <v/>
      </c>
      <c r="E1068" s="44" t="str">
        <f t="array" ref="E1068">IF(B1068="","",_xlfn.XLOOKUP(B1068,'Form responses 1'!$B$2:$B$2604,'Form responses 1'!$C$2:$C$2604,""))</f>
        <v/>
      </c>
      <c r="F1068" s="44" t="str">
        <f t="array" ref="F1068">IF(B1068="","",_xlfn.XLOOKUP(B1068,'Form responses 1'!$B$2:$B$2604,'Form responses 1'!$D$2:$D$2604,""))</f>
        <v/>
      </c>
      <c r="G1068" s="44" t="str">
        <f t="array" ref="G1068">IF(B1068="","",_xlfn.XLOOKUP(B1068,'Form responses 1'!$B$2:$B$2604,'Form responses 1'!$E$2:$E$2604,""))</f>
        <v/>
      </c>
      <c r="H1068" s="44" t="str">
        <f t="array" ref="H1068">IF(B1068="","",_xlfn.XLOOKUP(B1068,'Form responses 1'!$B$2:$B$2604,'Form responses 1'!$F$2:$F$2604,""))</f>
        <v/>
      </c>
      <c r="I1068" s="44" t="str">
        <f t="array" ref="I1068">IF(B1068="","",_xlfn.XLOOKUP(B1068,'Form responses 1'!$B$2:$B$2604,'Form responses 1'!$I$2:$I$2604,""))</f>
        <v/>
      </c>
      <c r="J1068" s="44" t="str">
        <f t="array" ref="J1068">IF(B1068="","",_xlfn.XLOOKUP(B1068,'Form responses 1'!$B$2:$B$2604,'Form responses 1'!$G$2:$G$2604,""))</f>
        <v/>
      </c>
      <c r="K1068" s="56"/>
      <c r="L1068" s="58" t="str">
        <f t="shared" si="7"/>
        <v/>
      </c>
      <c r="M1068" s="49"/>
      <c r="N1068" s="49"/>
      <c r="O1068" s="49"/>
      <c r="P1068" s="49"/>
      <c r="Q1068" s="49"/>
      <c r="R1068" s="49"/>
      <c r="S1068" s="49"/>
      <c r="T1068" s="49"/>
      <c r="U1068" s="49"/>
      <c r="V1068" s="49"/>
      <c r="W1068" s="56"/>
      <c r="X1068" s="51" t="str">
        <f t="shared" si="5"/>
        <v/>
      </c>
      <c r="Y1068" s="50" t="s">
        <v>482</v>
      </c>
      <c r="Z1068" s="49">
        <f t="shared" si="6"/>
        <v>0</v>
      </c>
    </row>
    <row r="1069" ht="22.5" customHeight="1">
      <c r="B1069" s="57"/>
      <c r="C1069" s="43" t="str">
        <f t="array" ref="C1069">IF(B1069="","",_xlfn.XLOOKUP(B1069,'Form responses 1'!$B$2:$B$2604,'Form responses 1'!$A$2:$A$2604,""))</f>
        <v/>
      </c>
      <c r="D1069" s="44" t="str">
        <f t="shared" si="3"/>
        <v/>
      </c>
      <c r="E1069" s="44" t="str">
        <f t="array" ref="E1069">IF(B1069="","",_xlfn.XLOOKUP(B1069,'Form responses 1'!$B$2:$B$2604,'Form responses 1'!$C$2:$C$2604,""))</f>
        <v/>
      </c>
      <c r="F1069" s="44" t="str">
        <f t="array" ref="F1069">IF(B1069="","",_xlfn.XLOOKUP(B1069,'Form responses 1'!$B$2:$B$2604,'Form responses 1'!$D$2:$D$2604,""))</f>
        <v/>
      </c>
      <c r="G1069" s="44" t="str">
        <f t="array" ref="G1069">IF(B1069="","",_xlfn.XLOOKUP(B1069,'Form responses 1'!$B$2:$B$2604,'Form responses 1'!$E$2:$E$2604,""))</f>
        <v/>
      </c>
      <c r="H1069" s="44" t="str">
        <f t="array" ref="H1069">IF(B1069="","",_xlfn.XLOOKUP(B1069,'Form responses 1'!$B$2:$B$2604,'Form responses 1'!$F$2:$F$2604,""))</f>
        <v/>
      </c>
      <c r="I1069" s="44" t="str">
        <f t="array" ref="I1069">IF(B1069="","",_xlfn.XLOOKUP(B1069,'Form responses 1'!$B$2:$B$2604,'Form responses 1'!$I$2:$I$2604,""))</f>
        <v/>
      </c>
      <c r="J1069" s="44" t="str">
        <f t="array" ref="J1069">IF(B1069="","",_xlfn.XLOOKUP(B1069,'Form responses 1'!$B$2:$B$2604,'Form responses 1'!$G$2:$G$2604,""))</f>
        <v/>
      </c>
      <c r="K1069" s="56"/>
      <c r="L1069" s="58" t="str">
        <f t="shared" si="7"/>
        <v/>
      </c>
      <c r="M1069" s="49"/>
      <c r="N1069" s="49"/>
      <c r="O1069" s="49"/>
      <c r="P1069" s="49"/>
      <c r="Q1069" s="49"/>
      <c r="R1069" s="49"/>
      <c r="S1069" s="49"/>
      <c r="T1069" s="49"/>
      <c r="U1069" s="49"/>
      <c r="V1069" s="49"/>
      <c r="W1069" s="56"/>
      <c r="X1069" s="51" t="str">
        <f t="shared" si="5"/>
        <v/>
      </c>
      <c r="Y1069" s="50" t="s">
        <v>482</v>
      </c>
      <c r="Z1069" s="49">
        <f t="shared" si="6"/>
        <v>0</v>
      </c>
    </row>
    <row r="1070" ht="22.5" customHeight="1">
      <c r="B1070" s="57"/>
      <c r="C1070" s="43" t="str">
        <f t="array" ref="C1070">IF(B1070="","",_xlfn.XLOOKUP(B1070,'Form responses 1'!$B$2:$B$2604,'Form responses 1'!$A$2:$A$2604,""))</f>
        <v/>
      </c>
      <c r="D1070" s="44" t="str">
        <f t="shared" si="3"/>
        <v/>
      </c>
      <c r="E1070" s="44" t="str">
        <f t="array" ref="E1070">IF(B1070="","",_xlfn.XLOOKUP(B1070,'Form responses 1'!$B$2:$B$2604,'Form responses 1'!$C$2:$C$2604,""))</f>
        <v/>
      </c>
      <c r="F1070" s="44" t="str">
        <f t="array" ref="F1070">IF(B1070="","",_xlfn.XLOOKUP(B1070,'Form responses 1'!$B$2:$B$2604,'Form responses 1'!$D$2:$D$2604,""))</f>
        <v/>
      </c>
      <c r="G1070" s="44" t="str">
        <f t="array" ref="G1070">IF(B1070="","",_xlfn.XLOOKUP(B1070,'Form responses 1'!$B$2:$B$2604,'Form responses 1'!$E$2:$E$2604,""))</f>
        <v/>
      </c>
      <c r="H1070" s="44" t="str">
        <f t="array" ref="H1070">IF(B1070="","",_xlfn.XLOOKUP(B1070,'Form responses 1'!$B$2:$B$2604,'Form responses 1'!$F$2:$F$2604,""))</f>
        <v/>
      </c>
      <c r="I1070" s="44" t="str">
        <f t="array" ref="I1070">IF(B1070="","",_xlfn.XLOOKUP(B1070,'Form responses 1'!$B$2:$B$2604,'Form responses 1'!$I$2:$I$2604,""))</f>
        <v/>
      </c>
      <c r="J1070" s="44" t="str">
        <f t="array" ref="J1070">IF(B1070="","",_xlfn.XLOOKUP(B1070,'Form responses 1'!$B$2:$B$2604,'Form responses 1'!$G$2:$G$2604,""))</f>
        <v/>
      </c>
      <c r="K1070" s="56"/>
      <c r="L1070" s="58" t="str">
        <f t="shared" si="7"/>
        <v/>
      </c>
      <c r="M1070" s="49"/>
      <c r="N1070" s="49"/>
      <c r="O1070" s="49"/>
      <c r="P1070" s="49"/>
      <c r="Q1070" s="49"/>
      <c r="R1070" s="49"/>
      <c r="S1070" s="49"/>
      <c r="T1070" s="49"/>
      <c r="U1070" s="49"/>
      <c r="V1070" s="49"/>
      <c r="W1070" s="56"/>
      <c r="X1070" s="51" t="str">
        <f t="shared" si="5"/>
        <v/>
      </c>
      <c r="Y1070" s="50" t="s">
        <v>482</v>
      </c>
      <c r="Z1070" s="49">
        <f t="shared" si="6"/>
        <v>0</v>
      </c>
    </row>
    <row r="1071" ht="22.5" customHeight="1">
      <c r="B1071" s="57"/>
      <c r="C1071" s="43" t="str">
        <f t="array" ref="C1071">IF(B1071="","",_xlfn.XLOOKUP(B1071,'Form responses 1'!$B$2:$B$2604,'Form responses 1'!$A$2:$A$2604,""))</f>
        <v/>
      </c>
      <c r="D1071" s="44" t="str">
        <f t="shared" si="3"/>
        <v/>
      </c>
      <c r="E1071" s="44" t="str">
        <f t="array" ref="E1071">IF(B1071="","",_xlfn.XLOOKUP(B1071,'Form responses 1'!$B$2:$B$2604,'Form responses 1'!$C$2:$C$2604,""))</f>
        <v/>
      </c>
      <c r="F1071" s="44" t="str">
        <f t="array" ref="F1071">IF(B1071="","",_xlfn.XLOOKUP(B1071,'Form responses 1'!$B$2:$B$2604,'Form responses 1'!$D$2:$D$2604,""))</f>
        <v/>
      </c>
      <c r="G1071" s="44" t="str">
        <f t="array" ref="G1071">IF(B1071="","",_xlfn.XLOOKUP(B1071,'Form responses 1'!$B$2:$B$2604,'Form responses 1'!$E$2:$E$2604,""))</f>
        <v/>
      </c>
      <c r="H1071" s="44" t="str">
        <f t="array" ref="H1071">IF(B1071="","",_xlfn.XLOOKUP(B1071,'Form responses 1'!$B$2:$B$2604,'Form responses 1'!$F$2:$F$2604,""))</f>
        <v/>
      </c>
      <c r="I1071" s="44" t="str">
        <f t="array" ref="I1071">IF(B1071="","",_xlfn.XLOOKUP(B1071,'Form responses 1'!$B$2:$B$2604,'Form responses 1'!$I$2:$I$2604,""))</f>
        <v/>
      </c>
      <c r="J1071" s="44" t="str">
        <f t="array" ref="J1071">IF(B1071="","",_xlfn.XLOOKUP(B1071,'Form responses 1'!$B$2:$B$2604,'Form responses 1'!$G$2:$G$2604,""))</f>
        <v/>
      </c>
      <c r="K1071" s="56"/>
      <c r="L1071" s="58" t="str">
        <f t="shared" si="7"/>
        <v/>
      </c>
      <c r="M1071" s="49"/>
      <c r="N1071" s="49"/>
      <c r="O1071" s="49"/>
      <c r="P1071" s="49"/>
      <c r="Q1071" s="49"/>
      <c r="R1071" s="49"/>
      <c r="S1071" s="49"/>
      <c r="T1071" s="49"/>
      <c r="U1071" s="49"/>
      <c r="V1071" s="49"/>
      <c r="W1071" s="56"/>
      <c r="X1071" s="51" t="str">
        <f t="shared" si="5"/>
        <v/>
      </c>
      <c r="Y1071" s="50" t="s">
        <v>482</v>
      </c>
      <c r="Z1071" s="49">
        <f t="shared" si="6"/>
        <v>0</v>
      </c>
    </row>
    <row r="1072" ht="22.5" customHeight="1">
      <c r="B1072" s="57"/>
      <c r="C1072" s="43" t="str">
        <f t="array" ref="C1072">IF(B1072="","",_xlfn.XLOOKUP(B1072,'Form responses 1'!$B$2:$B$2604,'Form responses 1'!$A$2:$A$2604,""))</f>
        <v/>
      </c>
      <c r="D1072" s="44" t="str">
        <f t="shared" si="3"/>
        <v/>
      </c>
      <c r="E1072" s="44" t="str">
        <f t="array" ref="E1072">IF(B1072="","",_xlfn.XLOOKUP(B1072,'Form responses 1'!$B$2:$B$2604,'Form responses 1'!$C$2:$C$2604,""))</f>
        <v/>
      </c>
      <c r="F1072" s="44" t="str">
        <f t="array" ref="F1072">IF(B1072="","",_xlfn.XLOOKUP(B1072,'Form responses 1'!$B$2:$B$2604,'Form responses 1'!$D$2:$D$2604,""))</f>
        <v/>
      </c>
      <c r="G1072" s="44" t="str">
        <f t="array" ref="G1072">IF(B1072="","",_xlfn.XLOOKUP(B1072,'Form responses 1'!$B$2:$B$2604,'Form responses 1'!$E$2:$E$2604,""))</f>
        <v/>
      </c>
      <c r="H1072" s="44" t="str">
        <f t="array" ref="H1072">IF(B1072="","",_xlfn.XLOOKUP(B1072,'Form responses 1'!$B$2:$B$2604,'Form responses 1'!$F$2:$F$2604,""))</f>
        <v/>
      </c>
      <c r="I1072" s="44" t="str">
        <f t="array" ref="I1072">IF(B1072="","",_xlfn.XLOOKUP(B1072,'Form responses 1'!$B$2:$B$2604,'Form responses 1'!$I$2:$I$2604,""))</f>
        <v/>
      </c>
      <c r="J1072" s="44" t="str">
        <f t="array" ref="J1072">IF(B1072="","",_xlfn.XLOOKUP(B1072,'Form responses 1'!$B$2:$B$2604,'Form responses 1'!$G$2:$G$2604,""))</f>
        <v/>
      </c>
      <c r="K1072" s="56"/>
      <c r="L1072" s="58" t="str">
        <f t="shared" si="7"/>
        <v/>
      </c>
      <c r="M1072" s="49"/>
      <c r="N1072" s="49"/>
      <c r="O1072" s="49"/>
      <c r="P1072" s="49"/>
      <c r="Q1072" s="49"/>
      <c r="R1072" s="49"/>
      <c r="S1072" s="49"/>
      <c r="T1072" s="49"/>
      <c r="U1072" s="49"/>
      <c r="V1072" s="49"/>
      <c r="W1072" s="56"/>
      <c r="X1072" s="51" t="str">
        <f t="shared" si="5"/>
        <v/>
      </c>
      <c r="Y1072" s="50" t="s">
        <v>482</v>
      </c>
      <c r="Z1072" s="49">
        <f t="shared" si="6"/>
        <v>0</v>
      </c>
    </row>
    <row r="1073" ht="22.5" customHeight="1">
      <c r="B1073" s="57"/>
      <c r="C1073" s="43" t="str">
        <f t="array" ref="C1073">IF(B1073="","",_xlfn.XLOOKUP(B1073,'Form responses 1'!$B$2:$B$2604,'Form responses 1'!$A$2:$A$2604,""))</f>
        <v/>
      </c>
      <c r="D1073" s="44" t="str">
        <f t="shared" si="3"/>
        <v/>
      </c>
      <c r="E1073" s="44" t="str">
        <f t="array" ref="E1073">IF(B1073="","",_xlfn.XLOOKUP(B1073,'Form responses 1'!$B$2:$B$2604,'Form responses 1'!$C$2:$C$2604,""))</f>
        <v/>
      </c>
      <c r="F1073" s="44" t="str">
        <f t="array" ref="F1073">IF(B1073="","",_xlfn.XLOOKUP(B1073,'Form responses 1'!$B$2:$B$2604,'Form responses 1'!$D$2:$D$2604,""))</f>
        <v/>
      </c>
      <c r="G1073" s="44" t="str">
        <f t="array" ref="G1073">IF(B1073="","",_xlfn.XLOOKUP(B1073,'Form responses 1'!$B$2:$B$2604,'Form responses 1'!$E$2:$E$2604,""))</f>
        <v/>
      </c>
      <c r="H1073" s="44" t="str">
        <f t="array" ref="H1073">IF(B1073="","",_xlfn.XLOOKUP(B1073,'Form responses 1'!$B$2:$B$2604,'Form responses 1'!$F$2:$F$2604,""))</f>
        <v/>
      </c>
      <c r="I1073" s="44" t="str">
        <f t="array" ref="I1073">IF(B1073="","",_xlfn.XLOOKUP(B1073,'Form responses 1'!$B$2:$B$2604,'Form responses 1'!$I$2:$I$2604,""))</f>
        <v/>
      </c>
      <c r="J1073" s="44" t="str">
        <f t="array" ref="J1073">IF(B1073="","",_xlfn.XLOOKUP(B1073,'Form responses 1'!$B$2:$B$2604,'Form responses 1'!$G$2:$G$2604,""))</f>
        <v/>
      </c>
      <c r="K1073" s="56"/>
      <c r="L1073" s="58" t="str">
        <f t="shared" si="7"/>
        <v/>
      </c>
      <c r="M1073" s="49"/>
      <c r="N1073" s="49"/>
      <c r="O1073" s="49"/>
      <c r="P1073" s="49"/>
      <c r="Q1073" s="49"/>
      <c r="R1073" s="49"/>
      <c r="S1073" s="49"/>
      <c r="T1073" s="49"/>
      <c r="U1073" s="49"/>
      <c r="V1073" s="49"/>
      <c r="W1073" s="56"/>
      <c r="X1073" s="51" t="str">
        <f t="shared" si="5"/>
        <v/>
      </c>
      <c r="Y1073" s="50" t="s">
        <v>482</v>
      </c>
      <c r="Z1073" s="49">
        <f t="shared" si="6"/>
        <v>0</v>
      </c>
    </row>
    <row r="1074" ht="22.5" customHeight="1">
      <c r="B1074" s="57"/>
      <c r="C1074" s="43" t="str">
        <f t="array" ref="C1074">IF(B1074="","",_xlfn.XLOOKUP(B1074,'Form responses 1'!$B$2:$B$2604,'Form responses 1'!$A$2:$A$2604,""))</f>
        <v/>
      </c>
      <c r="D1074" s="44" t="str">
        <f t="shared" si="3"/>
        <v/>
      </c>
      <c r="E1074" s="44" t="str">
        <f t="array" ref="E1074">IF(B1074="","",_xlfn.XLOOKUP(B1074,'Form responses 1'!$B$2:$B$2604,'Form responses 1'!$C$2:$C$2604,""))</f>
        <v/>
      </c>
      <c r="F1074" s="44" t="str">
        <f t="array" ref="F1074">IF(B1074="","",_xlfn.XLOOKUP(B1074,'Form responses 1'!$B$2:$B$2604,'Form responses 1'!$D$2:$D$2604,""))</f>
        <v/>
      </c>
      <c r="G1074" s="44" t="str">
        <f t="array" ref="G1074">IF(B1074="","",_xlfn.XLOOKUP(B1074,'Form responses 1'!$B$2:$B$2604,'Form responses 1'!$E$2:$E$2604,""))</f>
        <v/>
      </c>
      <c r="H1074" s="44" t="str">
        <f t="array" ref="H1074">IF(B1074="","",_xlfn.XLOOKUP(B1074,'Form responses 1'!$B$2:$B$2604,'Form responses 1'!$F$2:$F$2604,""))</f>
        <v/>
      </c>
      <c r="I1074" s="44" t="str">
        <f t="array" ref="I1074">IF(B1074="","",_xlfn.XLOOKUP(B1074,'Form responses 1'!$B$2:$B$2604,'Form responses 1'!$I$2:$I$2604,""))</f>
        <v/>
      </c>
      <c r="J1074" s="44" t="str">
        <f t="array" ref="J1074">IF(B1074="","",_xlfn.XLOOKUP(B1074,'Form responses 1'!$B$2:$B$2604,'Form responses 1'!$G$2:$G$2604,""))</f>
        <v/>
      </c>
      <c r="K1074" s="56"/>
      <c r="L1074" s="58" t="str">
        <f t="shared" si="7"/>
        <v/>
      </c>
      <c r="M1074" s="49"/>
      <c r="N1074" s="49"/>
      <c r="O1074" s="49"/>
      <c r="P1074" s="49"/>
      <c r="Q1074" s="49"/>
      <c r="R1074" s="49"/>
      <c r="S1074" s="49"/>
      <c r="T1074" s="49"/>
      <c r="U1074" s="49"/>
      <c r="V1074" s="49"/>
      <c r="W1074" s="56"/>
      <c r="X1074" s="51" t="str">
        <f t="shared" si="5"/>
        <v/>
      </c>
      <c r="Y1074" s="50" t="s">
        <v>482</v>
      </c>
      <c r="Z1074" s="49">
        <f t="shared" si="6"/>
        <v>0</v>
      </c>
    </row>
    <row r="1075" ht="22.5" customHeight="1">
      <c r="B1075" s="57"/>
      <c r="C1075" s="43" t="str">
        <f t="array" ref="C1075">IF(B1075="","",_xlfn.XLOOKUP(B1075,'Form responses 1'!$B$2:$B$2604,'Form responses 1'!$A$2:$A$2604,""))</f>
        <v/>
      </c>
      <c r="D1075" s="44" t="str">
        <f t="shared" si="3"/>
        <v/>
      </c>
      <c r="E1075" s="44" t="str">
        <f t="array" ref="E1075">IF(B1075="","",_xlfn.XLOOKUP(B1075,'Form responses 1'!$B$2:$B$2604,'Form responses 1'!$C$2:$C$2604,""))</f>
        <v/>
      </c>
      <c r="F1075" s="44" t="str">
        <f t="array" ref="F1075">IF(B1075="","",_xlfn.XLOOKUP(B1075,'Form responses 1'!$B$2:$B$2604,'Form responses 1'!$D$2:$D$2604,""))</f>
        <v/>
      </c>
      <c r="G1075" s="44" t="str">
        <f t="array" ref="G1075">IF(B1075="","",_xlfn.XLOOKUP(B1075,'Form responses 1'!$B$2:$B$2604,'Form responses 1'!$E$2:$E$2604,""))</f>
        <v/>
      </c>
      <c r="H1075" s="44" t="str">
        <f t="array" ref="H1075">IF(B1075="","",_xlfn.XLOOKUP(B1075,'Form responses 1'!$B$2:$B$2604,'Form responses 1'!$F$2:$F$2604,""))</f>
        <v/>
      </c>
      <c r="I1075" s="44" t="str">
        <f t="array" ref="I1075">IF(B1075="","",_xlfn.XLOOKUP(B1075,'Form responses 1'!$B$2:$B$2604,'Form responses 1'!$I$2:$I$2604,""))</f>
        <v/>
      </c>
      <c r="J1075" s="44" t="str">
        <f t="array" ref="J1075">IF(B1075="","",_xlfn.XLOOKUP(B1075,'Form responses 1'!$B$2:$B$2604,'Form responses 1'!$G$2:$G$2604,""))</f>
        <v/>
      </c>
      <c r="K1075" s="56"/>
      <c r="L1075" s="58" t="str">
        <f t="shared" si="7"/>
        <v/>
      </c>
      <c r="M1075" s="49"/>
      <c r="N1075" s="49"/>
      <c r="O1075" s="49"/>
      <c r="P1075" s="49"/>
      <c r="Q1075" s="49"/>
      <c r="R1075" s="49"/>
      <c r="S1075" s="49"/>
      <c r="T1075" s="49"/>
      <c r="U1075" s="49"/>
      <c r="V1075" s="49"/>
      <c r="W1075" s="56"/>
      <c r="X1075" s="51" t="str">
        <f t="shared" si="5"/>
        <v/>
      </c>
      <c r="Y1075" s="50" t="s">
        <v>482</v>
      </c>
      <c r="Z1075" s="49">
        <f t="shared" si="6"/>
        <v>0</v>
      </c>
    </row>
    <row r="1076" ht="22.5" customHeight="1">
      <c r="B1076" s="57"/>
      <c r="C1076" s="43" t="str">
        <f t="array" ref="C1076">IF(B1076="","",_xlfn.XLOOKUP(B1076,'Form responses 1'!$B$2:$B$2604,'Form responses 1'!$A$2:$A$2604,""))</f>
        <v/>
      </c>
      <c r="D1076" s="44" t="str">
        <f t="shared" si="3"/>
        <v/>
      </c>
      <c r="E1076" s="44" t="str">
        <f t="array" ref="E1076">IF(B1076="","",_xlfn.XLOOKUP(B1076,'Form responses 1'!$B$2:$B$2604,'Form responses 1'!$C$2:$C$2604,""))</f>
        <v/>
      </c>
      <c r="F1076" s="44" t="str">
        <f t="array" ref="F1076">IF(B1076="","",_xlfn.XLOOKUP(B1076,'Form responses 1'!$B$2:$B$2604,'Form responses 1'!$D$2:$D$2604,""))</f>
        <v/>
      </c>
      <c r="G1076" s="44" t="str">
        <f t="array" ref="G1076">IF(B1076="","",_xlfn.XLOOKUP(B1076,'Form responses 1'!$B$2:$B$2604,'Form responses 1'!$E$2:$E$2604,""))</f>
        <v/>
      </c>
      <c r="H1076" s="44" t="str">
        <f t="array" ref="H1076">IF(B1076="","",_xlfn.XLOOKUP(B1076,'Form responses 1'!$B$2:$B$2604,'Form responses 1'!$F$2:$F$2604,""))</f>
        <v/>
      </c>
      <c r="I1076" s="44" t="str">
        <f t="array" ref="I1076">IF(B1076="","",_xlfn.XLOOKUP(B1076,'Form responses 1'!$B$2:$B$2604,'Form responses 1'!$I$2:$I$2604,""))</f>
        <v/>
      </c>
      <c r="J1076" s="44" t="str">
        <f t="array" ref="J1076">IF(B1076="","",_xlfn.XLOOKUP(B1076,'Form responses 1'!$B$2:$B$2604,'Form responses 1'!$G$2:$G$2604,""))</f>
        <v/>
      </c>
      <c r="K1076" s="56"/>
      <c r="L1076" s="58" t="str">
        <f t="shared" si="7"/>
        <v/>
      </c>
      <c r="M1076" s="49"/>
      <c r="N1076" s="49"/>
      <c r="O1076" s="49"/>
      <c r="P1076" s="49"/>
      <c r="Q1076" s="49"/>
      <c r="R1076" s="49"/>
      <c r="S1076" s="49"/>
      <c r="T1076" s="49"/>
      <c r="U1076" s="49"/>
      <c r="V1076" s="49"/>
      <c r="W1076" s="56"/>
      <c r="X1076" s="51" t="str">
        <f t="shared" si="5"/>
        <v/>
      </c>
      <c r="Y1076" s="50" t="s">
        <v>482</v>
      </c>
      <c r="Z1076" s="49">
        <f t="shared" si="6"/>
        <v>0</v>
      </c>
    </row>
    <row r="1077" ht="22.5" customHeight="1">
      <c r="B1077" s="57"/>
      <c r="C1077" s="43" t="str">
        <f t="array" ref="C1077">IF(B1077="","",_xlfn.XLOOKUP(B1077,'Form responses 1'!$B$2:$B$2604,'Form responses 1'!$A$2:$A$2604,""))</f>
        <v/>
      </c>
      <c r="D1077" s="44" t="str">
        <f t="shared" si="3"/>
        <v/>
      </c>
      <c r="E1077" s="44" t="str">
        <f t="array" ref="E1077">IF(B1077="","",_xlfn.XLOOKUP(B1077,'Form responses 1'!$B$2:$B$2604,'Form responses 1'!$C$2:$C$2604,""))</f>
        <v/>
      </c>
      <c r="F1077" s="44" t="str">
        <f t="array" ref="F1077">IF(B1077="","",_xlfn.XLOOKUP(B1077,'Form responses 1'!$B$2:$B$2604,'Form responses 1'!$D$2:$D$2604,""))</f>
        <v/>
      </c>
      <c r="G1077" s="44" t="str">
        <f t="array" ref="G1077">IF(B1077="","",_xlfn.XLOOKUP(B1077,'Form responses 1'!$B$2:$B$2604,'Form responses 1'!$E$2:$E$2604,""))</f>
        <v/>
      </c>
      <c r="H1077" s="44" t="str">
        <f t="array" ref="H1077">IF(B1077="","",_xlfn.XLOOKUP(B1077,'Form responses 1'!$B$2:$B$2604,'Form responses 1'!$F$2:$F$2604,""))</f>
        <v/>
      </c>
      <c r="I1077" s="44" t="str">
        <f t="array" ref="I1077">IF(B1077="","",_xlfn.XLOOKUP(B1077,'Form responses 1'!$B$2:$B$2604,'Form responses 1'!$I$2:$I$2604,""))</f>
        <v/>
      </c>
      <c r="J1077" s="44" t="str">
        <f t="array" ref="J1077">IF(B1077="","",_xlfn.XLOOKUP(B1077,'Form responses 1'!$B$2:$B$2604,'Form responses 1'!$G$2:$G$2604,""))</f>
        <v/>
      </c>
      <c r="K1077" s="56"/>
      <c r="L1077" s="58" t="str">
        <f t="shared" si="7"/>
        <v/>
      </c>
      <c r="M1077" s="49"/>
      <c r="N1077" s="49"/>
      <c r="O1077" s="49"/>
      <c r="P1077" s="49"/>
      <c r="Q1077" s="49"/>
      <c r="R1077" s="49"/>
      <c r="S1077" s="49"/>
      <c r="T1077" s="49"/>
      <c r="U1077" s="49"/>
      <c r="V1077" s="49"/>
      <c r="W1077" s="56"/>
      <c r="X1077" s="51" t="str">
        <f t="shared" si="5"/>
        <v/>
      </c>
      <c r="Y1077" s="50" t="s">
        <v>482</v>
      </c>
      <c r="Z1077" s="49">
        <f t="shared" si="6"/>
        <v>0</v>
      </c>
    </row>
    <row r="1078" ht="22.5" customHeight="1">
      <c r="B1078" s="57"/>
      <c r="C1078" s="43" t="str">
        <f t="array" ref="C1078">IF(B1078="","",_xlfn.XLOOKUP(B1078,'Form responses 1'!$B$2:$B$2604,'Form responses 1'!$A$2:$A$2604,""))</f>
        <v/>
      </c>
      <c r="D1078" s="44" t="str">
        <f t="shared" si="3"/>
        <v/>
      </c>
      <c r="E1078" s="44" t="str">
        <f t="array" ref="E1078">IF(B1078="","",_xlfn.XLOOKUP(B1078,'Form responses 1'!$B$2:$B$2604,'Form responses 1'!$C$2:$C$2604,""))</f>
        <v/>
      </c>
      <c r="F1078" s="44" t="str">
        <f t="array" ref="F1078">IF(B1078="","",_xlfn.XLOOKUP(B1078,'Form responses 1'!$B$2:$B$2604,'Form responses 1'!$D$2:$D$2604,""))</f>
        <v/>
      </c>
      <c r="G1078" s="44" t="str">
        <f t="array" ref="G1078">IF(B1078="","",_xlfn.XLOOKUP(B1078,'Form responses 1'!$B$2:$B$2604,'Form responses 1'!$E$2:$E$2604,""))</f>
        <v/>
      </c>
      <c r="H1078" s="44" t="str">
        <f t="array" ref="H1078">IF(B1078="","",_xlfn.XLOOKUP(B1078,'Form responses 1'!$B$2:$B$2604,'Form responses 1'!$F$2:$F$2604,""))</f>
        <v/>
      </c>
      <c r="I1078" s="44" t="str">
        <f t="array" ref="I1078">IF(B1078="","",_xlfn.XLOOKUP(B1078,'Form responses 1'!$B$2:$B$2604,'Form responses 1'!$I$2:$I$2604,""))</f>
        <v/>
      </c>
      <c r="J1078" s="44" t="str">
        <f t="array" ref="J1078">IF(B1078="","",_xlfn.XLOOKUP(B1078,'Form responses 1'!$B$2:$B$2604,'Form responses 1'!$G$2:$G$2604,""))</f>
        <v/>
      </c>
      <c r="K1078" s="56"/>
      <c r="L1078" s="58" t="str">
        <f t="shared" si="7"/>
        <v/>
      </c>
      <c r="M1078" s="49"/>
      <c r="N1078" s="49"/>
      <c r="O1078" s="49"/>
      <c r="P1078" s="49"/>
      <c r="Q1078" s="49"/>
      <c r="R1078" s="49"/>
      <c r="S1078" s="49"/>
      <c r="T1078" s="49"/>
      <c r="U1078" s="49"/>
      <c r="V1078" s="49"/>
      <c r="W1078" s="56"/>
      <c r="X1078" s="51" t="str">
        <f t="shared" si="5"/>
        <v/>
      </c>
      <c r="Y1078" s="50" t="s">
        <v>482</v>
      </c>
      <c r="Z1078" s="49">
        <f t="shared" si="6"/>
        <v>0</v>
      </c>
    </row>
    <row r="1079" ht="22.5" customHeight="1">
      <c r="B1079" s="57"/>
      <c r="C1079" s="43" t="str">
        <f t="array" ref="C1079">IF(B1079="","",_xlfn.XLOOKUP(B1079,'Form responses 1'!$B$2:$B$2604,'Form responses 1'!$A$2:$A$2604,""))</f>
        <v/>
      </c>
      <c r="D1079" s="44" t="str">
        <f t="shared" si="3"/>
        <v/>
      </c>
      <c r="E1079" s="44" t="str">
        <f t="array" ref="E1079">IF(B1079="","",_xlfn.XLOOKUP(B1079,'Form responses 1'!$B$2:$B$2604,'Form responses 1'!$C$2:$C$2604,""))</f>
        <v/>
      </c>
      <c r="F1079" s="44" t="str">
        <f t="array" ref="F1079">IF(B1079="","",_xlfn.XLOOKUP(B1079,'Form responses 1'!$B$2:$B$2604,'Form responses 1'!$D$2:$D$2604,""))</f>
        <v/>
      </c>
      <c r="G1079" s="44" t="str">
        <f t="array" ref="G1079">IF(B1079="","",_xlfn.XLOOKUP(B1079,'Form responses 1'!$B$2:$B$2604,'Form responses 1'!$E$2:$E$2604,""))</f>
        <v/>
      </c>
      <c r="H1079" s="44" t="str">
        <f t="array" ref="H1079">IF(B1079="","",_xlfn.XLOOKUP(B1079,'Form responses 1'!$B$2:$B$2604,'Form responses 1'!$F$2:$F$2604,""))</f>
        <v/>
      </c>
      <c r="I1079" s="44" t="str">
        <f t="array" ref="I1079">IF(B1079="","",_xlfn.XLOOKUP(B1079,'Form responses 1'!$B$2:$B$2604,'Form responses 1'!$I$2:$I$2604,""))</f>
        <v/>
      </c>
      <c r="J1079" s="44" t="str">
        <f t="array" ref="J1079">IF(B1079="","",_xlfn.XLOOKUP(B1079,'Form responses 1'!$B$2:$B$2604,'Form responses 1'!$G$2:$G$2604,""))</f>
        <v/>
      </c>
      <c r="K1079" s="56"/>
      <c r="L1079" s="58" t="str">
        <f t="shared" si="7"/>
        <v/>
      </c>
      <c r="M1079" s="49"/>
      <c r="N1079" s="49"/>
      <c r="O1079" s="49"/>
      <c r="P1079" s="49"/>
      <c r="Q1079" s="49"/>
      <c r="R1079" s="49"/>
      <c r="S1079" s="49"/>
      <c r="T1079" s="49"/>
      <c r="U1079" s="49"/>
      <c r="V1079" s="49"/>
      <c r="W1079" s="56"/>
      <c r="X1079" s="51" t="str">
        <f t="shared" si="5"/>
        <v/>
      </c>
      <c r="Y1079" s="50" t="s">
        <v>482</v>
      </c>
      <c r="Z1079" s="49">
        <f t="shared" si="6"/>
        <v>0</v>
      </c>
    </row>
    <row r="1080" ht="22.5" customHeight="1">
      <c r="B1080" s="57"/>
      <c r="C1080" s="43" t="str">
        <f t="array" ref="C1080">IF(B1080="","",_xlfn.XLOOKUP(B1080,'Form responses 1'!$B$2:$B$2604,'Form responses 1'!$A$2:$A$2604,""))</f>
        <v/>
      </c>
      <c r="D1080" s="44" t="str">
        <f t="shared" si="3"/>
        <v/>
      </c>
      <c r="E1080" s="44" t="str">
        <f t="array" ref="E1080">IF(B1080="","",_xlfn.XLOOKUP(B1080,'Form responses 1'!$B$2:$B$2604,'Form responses 1'!$C$2:$C$2604,""))</f>
        <v/>
      </c>
      <c r="F1080" s="44" t="str">
        <f t="array" ref="F1080">IF(B1080="","",_xlfn.XLOOKUP(B1080,'Form responses 1'!$B$2:$B$2604,'Form responses 1'!$D$2:$D$2604,""))</f>
        <v/>
      </c>
      <c r="G1080" s="44" t="str">
        <f t="array" ref="G1080">IF(B1080="","",_xlfn.XLOOKUP(B1080,'Form responses 1'!$B$2:$B$2604,'Form responses 1'!$E$2:$E$2604,""))</f>
        <v/>
      </c>
      <c r="H1080" s="44" t="str">
        <f t="array" ref="H1080">IF(B1080="","",_xlfn.XLOOKUP(B1080,'Form responses 1'!$B$2:$B$2604,'Form responses 1'!$F$2:$F$2604,""))</f>
        <v/>
      </c>
      <c r="I1080" s="44" t="str">
        <f t="array" ref="I1080">IF(B1080="","",_xlfn.XLOOKUP(B1080,'Form responses 1'!$B$2:$B$2604,'Form responses 1'!$I$2:$I$2604,""))</f>
        <v/>
      </c>
      <c r="J1080" s="44" t="str">
        <f t="array" ref="J1080">IF(B1080="","",_xlfn.XLOOKUP(B1080,'Form responses 1'!$B$2:$B$2604,'Form responses 1'!$G$2:$G$2604,""))</f>
        <v/>
      </c>
      <c r="K1080" s="56"/>
      <c r="L1080" s="58" t="str">
        <f t="shared" si="7"/>
        <v/>
      </c>
      <c r="M1080" s="49"/>
      <c r="N1080" s="49"/>
      <c r="O1080" s="49"/>
      <c r="P1080" s="49"/>
      <c r="Q1080" s="49"/>
      <c r="R1080" s="49"/>
      <c r="S1080" s="49"/>
      <c r="T1080" s="49"/>
      <c r="U1080" s="49"/>
      <c r="V1080" s="49"/>
      <c r="W1080" s="56"/>
      <c r="X1080" s="51" t="str">
        <f t="shared" si="5"/>
        <v/>
      </c>
      <c r="Y1080" s="50" t="s">
        <v>482</v>
      </c>
      <c r="Z1080" s="49">
        <f t="shared" si="6"/>
        <v>0</v>
      </c>
    </row>
    <row r="1081" ht="22.5" customHeight="1">
      <c r="B1081" s="57"/>
      <c r="C1081" s="43" t="str">
        <f t="array" ref="C1081">IF(B1081="","",_xlfn.XLOOKUP(B1081,'Form responses 1'!$B$2:$B$2604,'Form responses 1'!$A$2:$A$2604,""))</f>
        <v/>
      </c>
      <c r="D1081" s="44" t="str">
        <f t="shared" si="3"/>
        <v/>
      </c>
      <c r="E1081" s="44" t="str">
        <f t="array" ref="E1081">IF(B1081="","",_xlfn.XLOOKUP(B1081,'Form responses 1'!$B$2:$B$2604,'Form responses 1'!$C$2:$C$2604,""))</f>
        <v/>
      </c>
      <c r="F1081" s="44" t="str">
        <f t="array" ref="F1081">IF(B1081="","",_xlfn.XLOOKUP(B1081,'Form responses 1'!$B$2:$B$2604,'Form responses 1'!$D$2:$D$2604,""))</f>
        <v/>
      </c>
      <c r="G1081" s="44" t="str">
        <f t="array" ref="G1081">IF(B1081="","",_xlfn.XLOOKUP(B1081,'Form responses 1'!$B$2:$B$2604,'Form responses 1'!$E$2:$E$2604,""))</f>
        <v/>
      </c>
      <c r="H1081" s="44" t="str">
        <f t="array" ref="H1081">IF(B1081="","",_xlfn.XLOOKUP(B1081,'Form responses 1'!$B$2:$B$2604,'Form responses 1'!$F$2:$F$2604,""))</f>
        <v/>
      </c>
      <c r="I1081" s="44" t="str">
        <f t="array" ref="I1081">IF(B1081="","",_xlfn.XLOOKUP(B1081,'Form responses 1'!$B$2:$B$2604,'Form responses 1'!$I$2:$I$2604,""))</f>
        <v/>
      </c>
      <c r="J1081" s="44" t="str">
        <f t="array" ref="J1081">IF(B1081="","",_xlfn.XLOOKUP(B1081,'Form responses 1'!$B$2:$B$2604,'Form responses 1'!$G$2:$G$2604,""))</f>
        <v/>
      </c>
      <c r="K1081" s="56"/>
      <c r="L1081" s="58" t="str">
        <f t="shared" si="7"/>
        <v/>
      </c>
      <c r="M1081" s="49"/>
      <c r="N1081" s="49"/>
      <c r="O1081" s="49"/>
      <c r="P1081" s="49"/>
      <c r="Q1081" s="49"/>
      <c r="R1081" s="49"/>
      <c r="S1081" s="49"/>
      <c r="T1081" s="49"/>
      <c r="U1081" s="49"/>
      <c r="V1081" s="49"/>
      <c r="W1081" s="56"/>
      <c r="X1081" s="51" t="str">
        <f t="shared" si="5"/>
        <v/>
      </c>
      <c r="Y1081" s="50" t="s">
        <v>482</v>
      </c>
      <c r="Z1081" s="49">
        <f t="shared" si="6"/>
        <v>0</v>
      </c>
    </row>
    <row r="1082" ht="22.5" customHeight="1">
      <c r="B1082" s="57"/>
      <c r="C1082" s="43" t="str">
        <f t="array" ref="C1082">IF(B1082="","",_xlfn.XLOOKUP(B1082,'Form responses 1'!$B$2:$B$2604,'Form responses 1'!$A$2:$A$2604,""))</f>
        <v/>
      </c>
      <c r="D1082" s="44" t="str">
        <f t="shared" si="3"/>
        <v/>
      </c>
      <c r="E1082" s="44" t="str">
        <f t="array" ref="E1082">IF(B1082="","",_xlfn.XLOOKUP(B1082,'Form responses 1'!$B$2:$B$2604,'Form responses 1'!$C$2:$C$2604,""))</f>
        <v/>
      </c>
      <c r="F1082" s="44" t="str">
        <f t="array" ref="F1082">IF(B1082="","",_xlfn.XLOOKUP(B1082,'Form responses 1'!$B$2:$B$2604,'Form responses 1'!$D$2:$D$2604,""))</f>
        <v/>
      </c>
      <c r="G1082" s="44" t="str">
        <f t="array" ref="G1082">IF(B1082="","",_xlfn.XLOOKUP(B1082,'Form responses 1'!$B$2:$B$2604,'Form responses 1'!$E$2:$E$2604,""))</f>
        <v/>
      </c>
      <c r="H1082" s="44" t="str">
        <f t="array" ref="H1082">IF(B1082="","",_xlfn.XLOOKUP(B1082,'Form responses 1'!$B$2:$B$2604,'Form responses 1'!$F$2:$F$2604,""))</f>
        <v/>
      </c>
      <c r="I1082" s="44" t="str">
        <f t="array" ref="I1082">IF(B1082="","",_xlfn.XLOOKUP(B1082,'Form responses 1'!$B$2:$B$2604,'Form responses 1'!$I$2:$I$2604,""))</f>
        <v/>
      </c>
      <c r="J1082" s="44" t="str">
        <f t="array" ref="J1082">IF(B1082="","",_xlfn.XLOOKUP(B1082,'Form responses 1'!$B$2:$B$2604,'Form responses 1'!$G$2:$G$2604,""))</f>
        <v/>
      </c>
      <c r="K1082" s="56"/>
      <c r="L1082" s="58" t="str">
        <f t="shared" si="7"/>
        <v/>
      </c>
      <c r="M1082" s="49"/>
      <c r="N1082" s="49"/>
      <c r="O1082" s="49"/>
      <c r="P1082" s="49"/>
      <c r="Q1082" s="49"/>
      <c r="R1082" s="49"/>
      <c r="S1082" s="49"/>
      <c r="T1082" s="49"/>
      <c r="U1082" s="49"/>
      <c r="V1082" s="49"/>
      <c r="W1082" s="56"/>
      <c r="X1082" s="51" t="str">
        <f t="shared" si="5"/>
        <v/>
      </c>
      <c r="Y1082" s="50" t="s">
        <v>482</v>
      </c>
      <c r="Z1082" s="49">
        <f t="shared" si="6"/>
        <v>0</v>
      </c>
    </row>
    <row r="1083" ht="22.5" customHeight="1">
      <c r="B1083" s="57"/>
      <c r="C1083" s="43" t="str">
        <f t="array" ref="C1083">IF(B1083="","",_xlfn.XLOOKUP(B1083,'Form responses 1'!$B$2:$B$2604,'Form responses 1'!$A$2:$A$2604,""))</f>
        <v/>
      </c>
      <c r="D1083" s="44" t="str">
        <f t="shared" si="3"/>
        <v/>
      </c>
      <c r="E1083" s="44" t="str">
        <f t="array" ref="E1083">IF(B1083="","",_xlfn.XLOOKUP(B1083,'Form responses 1'!$B$2:$B$2604,'Form responses 1'!$C$2:$C$2604,""))</f>
        <v/>
      </c>
      <c r="F1083" s="44" t="str">
        <f t="array" ref="F1083">IF(B1083="","",_xlfn.XLOOKUP(B1083,'Form responses 1'!$B$2:$B$2604,'Form responses 1'!$D$2:$D$2604,""))</f>
        <v/>
      </c>
      <c r="G1083" s="44" t="str">
        <f t="array" ref="G1083">IF(B1083="","",_xlfn.XLOOKUP(B1083,'Form responses 1'!$B$2:$B$2604,'Form responses 1'!$E$2:$E$2604,""))</f>
        <v/>
      </c>
      <c r="H1083" s="44" t="str">
        <f t="array" ref="H1083">IF(B1083="","",_xlfn.XLOOKUP(B1083,'Form responses 1'!$B$2:$B$2604,'Form responses 1'!$F$2:$F$2604,""))</f>
        <v/>
      </c>
      <c r="I1083" s="44" t="str">
        <f t="array" ref="I1083">IF(B1083="","",_xlfn.XLOOKUP(B1083,'Form responses 1'!$B$2:$B$2604,'Form responses 1'!$I$2:$I$2604,""))</f>
        <v/>
      </c>
      <c r="J1083" s="44" t="str">
        <f t="array" ref="J1083">IF(B1083="","",_xlfn.XLOOKUP(B1083,'Form responses 1'!$B$2:$B$2604,'Form responses 1'!$G$2:$G$2604,""))</f>
        <v/>
      </c>
      <c r="K1083" s="56"/>
      <c r="L1083" s="58" t="str">
        <f t="shared" si="7"/>
        <v/>
      </c>
      <c r="M1083" s="49"/>
      <c r="N1083" s="49"/>
      <c r="O1083" s="49"/>
      <c r="P1083" s="49"/>
      <c r="Q1083" s="49"/>
      <c r="R1083" s="49"/>
      <c r="S1083" s="49"/>
      <c r="T1083" s="49"/>
      <c r="U1083" s="49"/>
      <c r="V1083" s="49"/>
      <c r="W1083" s="56"/>
      <c r="X1083" s="51" t="str">
        <f t="shared" si="5"/>
        <v/>
      </c>
      <c r="Y1083" s="50" t="s">
        <v>482</v>
      </c>
      <c r="Z1083" s="49">
        <f t="shared" si="6"/>
        <v>0</v>
      </c>
    </row>
    <row r="1084" ht="22.5" customHeight="1">
      <c r="B1084" s="57"/>
      <c r="C1084" s="43" t="str">
        <f t="array" ref="C1084">IF(B1084="","",_xlfn.XLOOKUP(B1084,'Form responses 1'!$B$2:$B$2604,'Form responses 1'!$A$2:$A$2604,""))</f>
        <v/>
      </c>
      <c r="D1084" s="44" t="str">
        <f t="shared" si="3"/>
        <v/>
      </c>
      <c r="E1084" s="44" t="str">
        <f t="array" ref="E1084">IF(B1084="","",_xlfn.XLOOKUP(B1084,'Form responses 1'!$B$2:$B$2604,'Form responses 1'!$C$2:$C$2604,""))</f>
        <v/>
      </c>
      <c r="F1084" s="44" t="str">
        <f t="array" ref="F1084">IF(B1084="","",_xlfn.XLOOKUP(B1084,'Form responses 1'!$B$2:$B$2604,'Form responses 1'!$D$2:$D$2604,""))</f>
        <v/>
      </c>
      <c r="G1084" s="44" t="str">
        <f t="array" ref="G1084">IF(B1084="","",_xlfn.XLOOKUP(B1084,'Form responses 1'!$B$2:$B$2604,'Form responses 1'!$E$2:$E$2604,""))</f>
        <v/>
      </c>
      <c r="H1084" s="44" t="str">
        <f t="array" ref="H1084">IF(B1084="","",_xlfn.XLOOKUP(B1084,'Form responses 1'!$B$2:$B$2604,'Form responses 1'!$F$2:$F$2604,""))</f>
        <v/>
      </c>
      <c r="I1084" s="44" t="str">
        <f t="array" ref="I1084">IF(B1084="","",_xlfn.XLOOKUP(B1084,'Form responses 1'!$B$2:$B$2604,'Form responses 1'!$I$2:$I$2604,""))</f>
        <v/>
      </c>
      <c r="J1084" s="44" t="str">
        <f t="array" ref="J1084">IF(B1084="","",_xlfn.XLOOKUP(B1084,'Form responses 1'!$B$2:$B$2604,'Form responses 1'!$G$2:$G$2604,""))</f>
        <v/>
      </c>
      <c r="K1084" s="56"/>
      <c r="L1084" s="58" t="str">
        <f t="shared" si="7"/>
        <v/>
      </c>
      <c r="M1084" s="49"/>
      <c r="N1084" s="49"/>
      <c r="O1084" s="49"/>
      <c r="P1084" s="49"/>
      <c r="Q1084" s="49"/>
      <c r="R1084" s="49"/>
      <c r="S1084" s="49"/>
      <c r="T1084" s="49"/>
      <c r="U1084" s="49"/>
      <c r="V1084" s="49"/>
      <c r="W1084" s="56"/>
      <c r="X1084" s="51" t="str">
        <f t="shared" si="5"/>
        <v/>
      </c>
      <c r="Y1084" s="50" t="s">
        <v>482</v>
      </c>
      <c r="Z1084" s="49">
        <f t="shared" si="6"/>
        <v>0</v>
      </c>
    </row>
    <row r="1085" ht="22.5" customHeight="1">
      <c r="B1085" s="57"/>
      <c r="C1085" s="43" t="str">
        <f t="array" ref="C1085">IF(B1085="","",_xlfn.XLOOKUP(B1085,'Form responses 1'!$B$2:$B$2604,'Form responses 1'!$A$2:$A$2604,""))</f>
        <v/>
      </c>
      <c r="D1085" s="44" t="str">
        <f t="shared" si="3"/>
        <v/>
      </c>
      <c r="E1085" s="44" t="str">
        <f t="array" ref="E1085">IF(B1085="","",_xlfn.XLOOKUP(B1085,'Form responses 1'!$B$2:$B$2604,'Form responses 1'!$C$2:$C$2604,""))</f>
        <v/>
      </c>
      <c r="F1085" s="44" t="str">
        <f t="array" ref="F1085">IF(B1085="","",_xlfn.XLOOKUP(B1085,'Form responses 1'!$B$2:$B$2604,'Form responses 1'!$D$2:$D$2604,""))</f>
        <v/>
      </c>
      <c r="G1085" s="44" t="str">
        <f t="array" ref="G1085">IF(B1085="","",_xlfn.XLOOKUP(B1085,'Form responses 1'!$B$2:$B$2604,'Form responses 1'!$E$2:$E$2604,""))</f>
        <v/>
      </c>
      <c r="H1085" s="44" t="str">
        <f t="array" ref="H1085">IF(B1085="","",_xlfn.XLOOKUP(B1085,'Form responses 1'!$B$2:$B$2604,'Form responses 1'!$F$2:$F$2604,""))</f>
        <v/>
      </c>
      <c r="I1085" s="44" t="str">
        <f t="array" ref="I1085">IF(B1085="","",_xlfn.XLOOKUP(B1085,'Form responses 1'!$B$2:$B$2604,'Form responses 1'!$I$2:$I$2604,""))</f>
        <v/>
      </c>
      <c r="J1085" s="44" t="str">
        <f t="array" ref="J1085">IF(B1085="","",_xlfn.XLOOKUP(B1085,'Form responses 1'!$B$2:$B$2604,'Form responses 1'!$G$2:$G$2604,""))</f>
        <v/>
      </c>
      <c r="K1085" s="56"/>
      <c r="L1085" s="58" t="str">
        <f t="shared" si="7"/>
        <v/>
      </c>
      <c r="M1085" s="49"/>
      <c r="N1085" s="49"/>
      <c r="O1085" s="49"/>
      <c r="P1085" s="49"/>
      <c r="Q1085" s="49"/>
      <c r="R1085" s="49"/>
      <c r="S1085" s="49"/>
      <c r="T1085" s="49"/>
      <c r="U1085" s="49"/>
      <c r="V1085" s="49"/>
      <c r="W1085" s="56"/>
      <c r="X1085" s="51" t="str">
        <f t="shared" si="5"/>
        <v/>
      </c>
      <c r="Y1085" s="50" t="s">
        <v>482</v>
      </c>
      <c r="Z1085" s="49">
        <f t="shared" si="6"/>
        <v>0</v>
      </c>
    </row>
    <row r="1086" ht="22.5" customHeight="1">
      <c r="B1086" s="57"/>
      <c r="C1086" s="43" t="str">
        <f t="array" ref="C1086">IF(B1086="","",_xlfn.XLOOKUP(B1086,'Form responses 1'!$B$2:$B$2604,'Form responses 1'!$A$2:$A$2604,""))</f>
        <v/>
      </c>
      <c r="D1086" s="44" t="str">
        <f t="shared" si="3"/>
        <v/>
      </c>
      <c r="E1086" s="44" t="str">
        <f t="array" ref="E1086">IF(B1086="","",_xlfn.XLOOKUP(B1086,'Form responses 1'!$B$2:$B$2604,'Form responses 1'!$C$2:$C$2604,""))</f>
        <v/>
      </c>
      <c r="F1086" s="44" t="str">
        <f t="array" ref="F1086">IF(B1086="","",_xlfn.XLOOKUP(B1086,'Form responses 1'!$B$2:$B$2604,'Form responses 1'!$D$2:$D$2604,""))</f>
        <v/>
      </c>
      <c r="G1086" s="44" t="str">
        <f t="array" ref="G1086">IF(B1086="","",_xlfn.XLOOKUP(B1086,'Form responses 1'!$B$2:$B$2604,'Form responses 1'!$E$2:$E$2604,""))</f>
        <v/>
      </c>
      <c r="H1086" s="44" t="str">
        <f t="array" ref="H1086">IF(B1086="","",_xlfn.XLOOKUP(B1086,'Form responses 1'!$B$2:$B$2604,'Form responses 1'!$F$2:$F$2604,""))</f>
        <v/>
      </c>
      <c r="I1086" s="44" t="str">
        <f t="array" ref="I1086">IF(B1086="","",_xlfn.XLOOKUP(B1086,'Form responses 1'!$B$2:$B$2604,'Form responses 1'!$I$2:$I$2604,""))</f>
        <v/>
      </c>
      <c r="J1086" s="44" t="str">
        <f t="array" ref="J1086">IF(B1086="","",_xlfn.XLOOKUP(B1086,'Form responses 1'!$B$2:$B$2604,'Form responses 1'!$G$2:$G$2604,""))</f>
        <v/>
      </c>
      <c r="K1086" s="56"/>
      <c r="L1086" s="58" t="str">
        <f t="shared" si="7"/>
        <v/>
      </c>
      <c r="M1086" s="49"/>
      <c r="N1086" s="49"/>
      <c r="O1086" s="49"/>
      <c r="P1086" s="49"/>
      <c r="Q1086" s="49"/>
      <c r="R1086" s="49"/>
      <c r="S1086" s="49"/>
      <c r="T1086" s="49"/>
      <c r="U1086" s="49"/>
      <c r="V1086" s="49"/>
      <c r="W1086" s="56"/>
      <c r="X1086" s="51" t="str">
        <f t="shared" si="5"/>
        <v/>
      </c>
      <c r="Y1086" s="50" t="s">
        <v>482</v>
      </c>
      <c r="Z1086" s="49">
        <f t="shared" si="6"/>
        <v>0</v>
      </c>
    </row>
    <row r="1087" ht="22.5" customHeight="1">
      <c r="B1087" s="57"/>
      <c r="C1087" s="43" t="str">
        <f t="array" ref="C1087">IF(B1087="","",_xlfn.XLOOKUP(B1087,'Form responses 1'!$B$2:$B$2604,'Form responses 1'!$A$2:$A$2604,""))</f>
        <v/>
      </c>
      <c r="D1087" s="44" t="str">
        <f t="shared" si="3"/>
        <v/>
      </c>
      <c r="E1087" s="44" t="str">
        <f t="array" ref="E1087">IF(B1087="","",_xlfn.XLOOKUP(B1087,'Form responses 1'!$B$2:$B$2604,'Form responses 1'!$C$2:$C$2604,""))</f>
        <v/>
      </c>
      <c r="F1087" s="44" t="str">
        <f t="array" ref="F1087">IF(B1087="","",_xlfn.XLOOKUP(B1087,'Form responses 1'!$B$2:$B$2604,'Form responses 1'!$D$2:$D$2604,""))</f>
        <v/>
      </c>
      <c r="G1087" s="44" t="str">
        <f t="array" ref="G1087">IF(B1087="","",_xlfn.XLOOKUP(B1087,'Form responses 1'!$B$2:$B$2604,'Form responses 1'!$E$2:$E$2604,""))</f>
        <v/>
      </c>
      <c r="H1087" s="44" t="str">
        <f t="array" ref="H1087">IF(B1087="","",_xlfn.XLOOKUP(B1087,'Form responses 1'!$B$2:$B$2604,'Form responses 1'!$F$2:$F$2604,""))</f>
        <v/>
      </c>
      <c r="I1087" s="44" t="str">
        <f t="array" ref="I1087">IF(B1087="","",_xlfn.XLOOKUP(B1087,'Form responses 1'!$B$2:$B$2604,'Form responses 1'!$I$2:$I$2604,""))</f>
        <v/>
      </c>
      <c r="J1087" s="44" t="str">
        <f t="array" ref="J1087">IF(B1087="","",_xlfn.XLOOKUP(B1087,'Form responses 1'!$B$2:$B$2604,'Form responses 1'!$G$2:$G$2604,""))</f>
        <v/>
      </c>
      <c r="K1087" s="56"/>
      <c r="L1087" s="58" t="str">
        <f t="shared" si="7"/>
        <v/>
      </c>
      <c r="M1087" s="49"/>
      <c r="N1087" s="49"/>
      <c r="O1087" s="49"/>
      <c r="P1087" s="49"/>
      <c r="Q1087" s="49"/>
      <c r="R1087" s="49"/>
      <c r="S1087" s="49"/>
      <c r="T1087" s="49"/>
      <c r="U1087" s="49"/>
      <c r="V1087" s="49"/>
      <c r="W1087" s="56"/>
      <c r="X1087" s="51" t="str">
        <f t="shared" si="5"/>
        <v/>
      </c>
      <c r="Y1087" s="50" t="s">
        <v>482</v>
      </c>
      <c r="Z1087" s="49">
        <f t="shared" si="6"/>
        <v>0</v>
      </c>
    </row>
    <row r="1088" ht="22.5" customHeight="1">
      <c r="B1088" s="57"/>
      <c r="C1088" s="43" t="str">
        <f t="array" ref="C1088">IF(B1088="","",_xlfn.XLOOKUP(B1088,'Form responses 1'!$B$2:$B$2604,'Form responses 1'!$A$2:$A$2604,""))</f>
        <v/>
      </c>
      <c r="D1088" s="44" t="str">
        <f t="shared" si="3"/>
        <v/>
      </c>
      <c r="E1088" s="44" t="str">
        <f t="array" ref="E1088">IF(B1088="","",_xlfn.XLOOKUP(B1088,'Form responses 1'!$B$2:$B$2604,'Form responses 1'!$C$2:$C$2604,""))</f>
        <v/>
      </c>
      <c r="F1088" s="44" t="str">
        <f t="array" ref="F1088">IF(B1088="","",_xlfn.XLOOKUP(B1088,'Form responses 1'!$B$2:$B$2604,'Form responses 1'!$D$2:$D$2604,""))</f>
        <v/>
      </c>
      <c r="G1088" s="44" t="str">
        <f t="array" ref="G1088">IF(B1088="","",_xlfn.XLOOKUP(B1088,'Form responses 1'!$B$2:$B$2604,'Form responses 1'!$E$2:$E$2604,""))</f>
        <v/>
      </c>
      <c r="H1088" s="44" t="str">
        <f t="array" ref="H1088">IF(B1088="","",_xlfn.XLOOKUP(B1088,'Form responses 1'!$B$2:$B$2604,'Form responses 1'!$F$2:$F$2604,""))</f>
        <v/>
      </c>
      <c r="I1088" s="44" t="str">
        <f t="array" ref="I1088">IF(B1088="","",_xlfn.XLOOKUP(B1088,'Form responses 1'!$B$2:$B$2604,'Form responses 1'!$I$2:$I$2604,""))</f>
        <v/>
      </c>
      <c r="J1088" s="44" t="str">
        <f t="array" ref="J1088">IF(B1088="","",_xlfn.XLOOKUP(B1088,'Form responses 1'!$B$2:$B$2604,'Form responses 1'!$G$2:$G$2604,""))</f>
        <v/>
      </c>
      <c r="K1088" s="56"/>
      <c r="L1088" s="58" t="str">
        <f t="shared" si="7"/>
        <v/>
      </c>
      <c r="M1088" s="49"/>
      <c r="N1088" s="49"/>
      <c r="O1088" s="49"/>
      <c r="P1088" s="49"/>
      <c r="Q1088" s="49"/>
      <c r="R1088" s="49"/>
      <c r="S1088" s="49"/>
      <c r="T1088" s="49"/>
      <c r="U1088" s="49"/>
      <c r="V1088" s="49"/>
      <c r="W1088" s="56"/>
      <c r="X1088" s="51" t="str">
        <f t="shared" si="5"/>
        <v/>
      </c>
      <c r="Y1088" s="50" t="s">
        <v>482</v>
      </c>
      <c r="Z1088" s="49">
        <f t="shared" si="6"/>
        <v>0</v>
      </c>
    </row>
    <row r="1089" ht="22.5" customHeight="1">
      <c r="B1089" s="57"/>
      <c r="C1089" s="43" t="str">
        <f t="array" ref="C1089">IF(B1089="","",_xlfn.XLOOKUP(B1089,'Form responses 1'!$B$2:$B$2604,'Form responses 1'!$A$2:$A$2604,""))</f>
        <v/>
      </c>
      <c r="D1089" s="44" t="str">
        <f t="shared" si="3"/>
        <v/>
      </c>
      <c r="E1089" s="44" t="str">
        <f t="array" ref="E1089">IF(B1089="","",_xlfn.XLOOKUP(B1089,'Form responses 1'!$B$2:$B$2604,'Form responses 1'!$C$2:$C$2604,""))</f>
        <v/>
      </c>
      <c r="F1089" s="44" t="str">
        <f t="array" ref="F1089">IF(B1089="","",_xlfn.XLOOKUP(B1089,'Form responses 1'!$B$2:$B$2604,'Form responses 1'!$D$2:$D$2604,""))</f>
        <v/>
      </c>
      <c r="G1089" s="44" t="str">
        <f t="array" ref="G1089">IF(B1089="","",_xlfn.XLOOKUP(B1089,'Form responses 1'!$B$2:$B$2604,'Form responses 1'!$E$2:$E$2604,""))</f>
        <v/>
      </c>
      <c r="H1089" s="44" t="str">
        <f t="array" ref="H1089">IF(B1089="","",_xlfn.XLOOKUP(B1089,'Form responses 1'!$B$2:$B$2604,'Form responses 1'!$F$2:$F$2604,""))</f>
        <v/>
      </c>
      <c r="I1089" s="44" t="str">
        <f t="array" ref="I1089">IF(B1089="","",_xlfn.XLOOKUP(B1089,'Form responses 1'!$B$2:$B$2604,'Form responses 1'!$I$2:$I$2604,""))</f>
        <v/>
      </c>
      <c r="J1089" s="44" t="str">
        <f t="array" ref="J1089">IF(B1089="","",_xlfn.XLOOKUP(B1089,'Form responses 1'!$B$2:$B$2604,'Form responses 1'!$G$2:$G$2604,""))</f>
        <v/>
      </c>
      <c r="K1089" s="56"/>
      <c r="L1089" s="58" t="str">
        <f t="shared" si="7"/>
        <v/>
      </c>
      <c r="M1089" s="49"/>
      <c r="N1089" s="49"/>
      <c r="O1089" s="49"/>
      <c r="P1089" s="49"/>
      <c r="Q1089" s="49"/>
      <c r="R1089" s="49"/>
      <c r="S1089" s="49"/>
      <c r="T1089" s="49"/>
      <c r="U1089" s="49"/>
      <c r="V1089" s="49"/>
      <c r="W1089" s="56"/>
      <c r="X1089" s="51" t="str">
        <f t="shared" si="5"/>
        <v/>
      </c>
      <c r="Y1089" s="50" t="s">
        <v>482</v>
      </c>
      <c r="Z1089" s="49">
        <f t="shared" si="6"/>
        <v>0</v>
      </c>
    </row>
    <row r="1090" ht="22.5" customHeight="1">
      <c r="B1090" s="57"/>
      <c r="C1090" s="43" t="str">
        <f t="array" ref="C1090">IF(B1090="","",_xlfn.XLOOKUP(B1090,'Form responses 1'!$B$2:$B$2604,'Form responses 1'!$A$2:$A$2604,""))</f>
        <v/>
      </c>
      <c r="D1090" s="44" t="str">
        <f t="shared" si="3"/>
        <v/>
      </c>
      <c r="E1090" s="44" t="str">
        <f t="array" ref="E1090">IF(B1090="","",_xlfn.XLOOKUP(B1090,'Form responses 1'!$B$2:$B$2604,'Form responses 1'!$C$2:$C$2604,""))</f>
        <v/>
      </c>
      <c r="F1090" s="44" t="str">
        <f t="array" ref="F1090">IF(B1090="","",_xlfn.XLOOKUP(B1090,'Form responses 1'!$B$2:$B$2604,'Form responses 1'!$D$2:$D$2604,""))</f>
        <v/>
      </c>
      <c r="G1090" s="44" t="str">
        <f t="array" ref="G1090">IF(B1090="","",_xlfn.XLOOKUP(B1090,'Form responses 1'!$B$2:$B$2604,'Form responses 1'!$E$2:$E$2604,""))</f>
        <v/>
      </c>
      <c r="H1090" s="44" t="str">
        <f t="array" ref="H1090">IF(B1090="","",_xlfn.XLOOKUP(B1090,'Form responses 1'!$B$2:$B$2604,'Form responses 1'!$F$2:$F$2604,""))</f>
        <v/>
      </c>
      <c r="I1090" s="44" t="str">
        <f t="array" ref="I1090">IF(B1090="","",_xlfn.XLOOKUP(B1090,'Form responses 1'!$B$2:$B$2604,'Form responses 1'!$I$2:$I$2604,""))</f>
        <v/>
      </c>
      <c r="J1090" s="44" t="str">
        <f t="array" ref="J1090">IF(B1090="","",_xlfn.XLOOKUP(B1090,'Form responses 1'!$B$2:$B$2604,'Form responses 1'!$G$2:$G$2604,""))</f>
        <v/>
      </c>
      <c r="K1090" s="56"/>
      <c r="L1090" s="58" t="str">
        <f t="shared" si="7"/>
        <v/>
      </c>
      <c r="M1090" s="49"/>
      <c r="N1090" s="49"/>
      <c r="O1090" s="49"/>
      <c r="P1090" s="49"/>
      <c r="Q1090" s="49"/>
      <c r="R1090" s="49"/>
      <c r="S1090" s="49"/>
      <c r="T1090" s="49"/>
      <c r="U1090" s="49"/>
      <c r="V1090" s="49"/>
      <c r="W1090" s="56"/>
      <c r="X1090" s="51" t="str">
        <f t="shared" si="5"/>
        <v/>
      </c>
      <c r="Y1090" s="50" t="s">
        <v>482</v>
      </c>
      <c r="Z1090" s="49">
        <f t="shared" si="6"/>
        <v>0</v>
      </c>
    </row>
    <row r="1091" ht="22.5" customHeight="1">
      <c r="B1091" s="57"/>
      <c r="C1091" s="43" t="str">
        <f t="array" ref="C1091">IF(B1091="","",_xlfn.XLOOKUP(B1091,'Form responses 1'!$B$2:$B$2604,'Form responses 1'!$A$2:$A$2604,""))</f>
        <v/>
      </c>
      <c r="D1091" s="44" t="str">
        <f t="shared" si="3"/>
        <v/>
      </c>
      <c r="E1091" s="44" t="str">
        <f t="array" ref="E1091">IF(B1091="","",_xlfn.XLOOKUP(B1091,'Form responses 1'!$B$2:$B$2604,'Form responses 1'!$C$2:$C$2604,""))</f>
        <v/>
      </c>
      <c r="F1091" s="44" t="str">
        <f t="array" ref="F1091">IF(B1091="","",_xlfn.XLOOKUP(B1091,'Form responses 1'!$B$2:$B$2604,'Form responses 1'!$D$2:$D$2604,""))</f>
        <v/>
      </c>
      <c r="G1091" s="44" t="str">
        <f t="array" ref="G1091">IF(B1091="","",_xlfn.XLOOKUP(B1091,'Form responses 1'!$B$2:$B$2604,'Form responses 1'!$E$2:$E$2604,""))</f>
        <v/>
      </c>
      <c r="H1091" s="44" t="str">
        <f t="array" ref="H1091">IF(B1091="","",_xlfn.XLOOKUP(B1091,'Form responses 1'!$B$2:$B$2604,'Form responses 1'!$F$2:$F$2604,""))</f>
        <v/>
      </c>
      <c r="I1091" s="44" t="str">
        <f t="array" ref="I1091">IF(B1091="","",_xlfn.XLOOKUP(B1091,'Form responses 1'!$B$2:$B$2604,'Form responses 1'!$I$2:$I$2604,""))</f>
        <v/>
      </c>
      <c r="J1091" s="44" t="str">
        <f t="array" ref="J1091">IF(B1091="","",_xlfn.XLOOKUP(B1091,'Form responses 1'!$B$2:$B$2604,'Form responses 1'!$G$2:$G$2604,""))</f>
        <v/>
      </c>
      <c r="K1091" s="56"/>
      <c r="L1091" s="58" t="str">
        <f t="shared" si="7"/>
        <v/>
      </c>
      <c r="M1091" s="49"/>
      <c r="N1091" s="49"/>
      <c r="O1091" s="49"/>
      <c r="P1091" s="49"/>
      <c r="Q1091" s="49"/>
      <c r="R1091" s="49"/>
      <c r="S1091" s="49"/>
      <c r="T1091" s="49"/>
      <c r="U1091" s="49"/>
      <c r="V1091" s="49"/>
      <c r="W1091" s="56"/>
      <c r="X1091" s="51" t="str">
        <f t="shared" si="5"/>
        <v/>
      </c>
      <c r="Y1091" s="50" t="s">
        <v>482</v>
      </c>
      <c r="Z1091" s="49">
        <f t="shared" si="6"/>
        <v>0</v>
      </c>
    </row>
    <row r="1092" ht="22.5" customHeight="1">
      <c r="B1092" s="57"/>
      <c r="C1092" s="43" t="str">
        <f t="array" ref="C1092">IF(B1092="","",_xlfn.XLOOKUP(B1092,'Form responses 1'!$B$2:$B$2604,'Form responses 1'!$A$2:$A$2604,""))</f>
        <v/>
      </c>
      <c r="D1092" s="44" t="str">
        <f t="shared" si="3"/>
        <v/>
      </c>
      <c r="E1092" s="44" t="str">
        <f t="array" ref="E1092">IF(B1092="","",_xlfn.XLOOKUP(B1092,'Form responses 1'!$B$2:$B$2604,'Form responses 1'!$C$2:$C$2604,""))</f>
        <v/>
      </c>
      <c r="F1092" s="44" t="str">
        <f t="array" ref="F1092">IF(B1092="","",_xlfn.XLOOKUP(B1092,'Form responses 1'!$B$2:$B$2604,'Form responses 1'!$D$2:$D$2604,""))</f>
        <v/>
      </c>
      <c r="G1092" s="44" t="str">
        <f t="array" ref="G1092">IF(B1092="","",_xlfn.XLOOKUP(B1092,'Form responses 1'!$B$2:$B$2604,'Form responses 1'!$E$2:$E$2604,""))</f>
        <v/>
      </c>
      <c r="H1092" s="44" t="str">
        <f t="array" ref="H1092">IF(B1092="","",_xlfn.XLOOKUP(B1092,'Form responses 1'!$B$2:$B$2604,'Form responses 1'!$F$2:$F$2604,""))</f>
        <v/>
      </c>
      <c r="I1092" s="44" t="str">
        <f t="array" ref="I1092">IF(B1092="","",_xlfn.XLOOKUP(B1092,'Form responses 1'!$B$2:$B$2604,'Form responses 1'!$I$2:$I$2604,""))</f>
        <v/>
      </c>
      <c r="J1092" s="44" t="str">
        <f t="array" ref="J1092">IF(B1092="","",_xlfn.XLOOKUP(B1092,'Form responses 1'!$B$2:$B$2604,'Form responses 1'!$G$2:$G$2604,""))</f>
        <v/>
      </c>
      <c r="K1092" s="56"/>
      <c r="L1092" s="58" t="str">
        <f t="shared" si="7"/>
        <v/>
      </c>
      <c r="M1092" s="49"/>
      <c r="N1092" s="49"/>
      <c r="O1092" s="49"/>
      <c r="P1092" s="49"/>
      <c r="Q1092" s="49"/>
      <c r="R1092" s="49"/>
      <c r="S1092" s="49"/>
      <c r="T1092" s="49"/>
      <c r="U1092" s="49"/>
      <c r="V1092" s="49"/>
      <c r="W1092" s="56"/>
      <c r="X1092" s="51" t="str">
        <f t="shared" si="5"/>
        <v/>
      </c>
      <c r="Y1092" s="50" t="s">
        <v>482</v>
      </c>
      <c r="Z1092" s="49">
        <f t="shared" si="6"/>
        <v>0</v>
      </c>
    </row>
    <row r="1093" ht="22.5" customHeight="1">
      <c r="B1093" s="57"/>
      <c r="C1093" s="43" t="str">
        <f t="array" ref="C1093">IF(B1093="","",_xlfn.XLOOKUP(B1093,'Form responses 1'!$B$2:$B$2604,'Form responses 1'!$A$2:$A$2604,""))</f>
        <v/>
      </c>
      <c r="D1093" s="44" t="str">
        <f t="shared" si="3"/>
        <v/>
      </c>
      <c r="E1093" s="44" t="str">
        <f t="array" ref="E1093">IF(B1093="","",_xlfn.XLOOKUP(B1093,'Form responses 1'!$B$2:$B$2604,'Form responses 1'!$C$2:$C$2604,""))</f>
        <v/>
      </c>
      <c r="F1093" s="44" t="str">
        <f t="array" ref="F1093">IF(B1093="","",_xlfn.XLOOKUP(B1093,'Form responses 1'!$B$2:$B$2604,'Form responses 1'!$D$2:$D$2604,""))</f>
        <v/>
      </c>
      <c r="G1093" s="44" t="str">
        <f t="array" ref="G1093">IF(B1093="","",_xlfn.XLOOKUP(B1093,'Form responses 1'!$B$2:$B$2604,'Form responses 1'!$E$2:$E$2604,""))</f>
        <v/>
      </c>
      <c r="H1093" s="44" t="str">
        <f t="array" ref="H1093">IF(B1093="","",_xlfn.XLOOKUP(B1093,'Form responses 1'!$B$2:$B$2604,'Form responses 1'!$F$2:$F$2604,""))</f>
        <v/>
      </c>
      <c r="I1093" s="44" t="str">
        <f t="array" ref="I1093">IF(B1093="","",_xlfn.XLOOKUP(B1093,'Form responses 1'!$B$2:$B$2604,'Form responses 1'!$I$2:$I$2604,""))</f>
        <v/>
      </c>
      <c r="J1093" s="44" t="str">
        <f t="array" ref="J1093">IF(B1093="","",_xlfn.XLOOKUP(B1093,'Form responses 1'!$B$2:$B$2604,'Form responses 1'!$G$2:$G$2604,""))</f>
        <v/>
      </c>
      <c r="K1093" s="56"/>
      <c r="L1093" s="58" t="str">
        <f t="shared" si="7"/>
        <v/>
      </c>
      <c r="M1093" s="49"/>
      <c r="N1093" s="49"/>
      <c r="O1093" s="49"/>
      <c r="P1093" s="49"/>
      <c r="Q1093" s="49"/>
      <c r="R1093" s="49"/>
      <c r="S1093" s="49"/>
      <c r="T1093" s="49"/>
      <c r="U1093" s="49"/>
      <c r="V1093" s="49"/>
      <c r="W1093" s="56"/>
      <c r="X1093" s="51" t="str">
        <f t="shared" si="5"/>
        <v/>
      </c>
      <c r="Y1093" s="50" t="s">
        <v>482</v>
      </c>
      <c r="Z1093" s="49">
        <f t="shared" si="6"/>
        <v>0</v>
      </c>
    </row>
    <row r="1094" ht="22.5" customHeight="1">
      <c r="B1094" s="57"/>
      <c r="C1094" s="43" t="str">
        <f t="array" ref="C1094">IF(B1094="","",_xlfn.XLOOKUP(B1094,'Form responses 1'!$B$2:$B$2604,'Form responses 1'!$A$2:$A$2604,""))</f>
        <v/>
      </c>
      <c r="D1094" s="44" t="str">
        <f t="shared" si="3"/>
        <v/>
      </c>
      <c r="E1094" s="44" t="str">
        <f t="array" ref="E1094">IF(B1094="","",_xlfn.XLOOKUP(B1094,'Form responses 1'!$B$2:$B$2604,'Form responses 1'!$C$2:$C$2604,""))</f>
        <v/>
      </c>
      <c r="F1094" s="44" t="str">
        <f t="array" ref="F1094">IF(B1094="","",_xlfn.XLOOKUP(B1094,'Form responses 1'!$B$2:$B$2604,'Form responses 1'!$D$2:$D$2604,""))</f>
        <v/>
      </c>
      <c r="G1094" s="44" t="str">
        <f t="array" ref="G1094">IF(B1094="","",_xlfn.XLOOKUP(B1094,'Form responses 1'!$B$2:$B$2604,'Form responses 1'!$E$2:$E$2604,""))</f>
        <v/>
      </c>
      <c r="H1094" s="44" t="str">
        <f t="array" ref="H1094">IF(B1094="","",_xlfn.XLOOKUP(B1094,'Form responses 1'!$B$2:$B$2604,'Form responses 1'!$F$2:$F$2604,""))</f>
        <v/>
      </c>
      <c r="I1094" s="44" t="str">
        <f t="array" ref="I1094">IF(B1094="","",_xlfn.XLOOKUP(B1094,'Form responses 1'!$B$2:$B$2604,'Form responses 1'!$I$2:$I$2604,""))</f>
        <v/>
      </c>
      <c r="J1094" s="44" t="str">
        <f t="array" ref="J1094">IF(B1094="","",_xlfn.XLOOKUP(B1094,'Form responses 1'!$B$2:$B$2604,'Form responses 1'!$G$2:$G$2604,""))</f>
        <v/>
      </c>
      <c r="K1094" s="56"/>
      <c r="L1094" s="58" t="str">
        <f t="shared" si="7"/>
        <v/>
      </c>
      <c r="M1094" s="49"/>
      <c r="N1094" s="49"/>
      <c r="O1094" s="49"/>
      <c r="P1094" s="49"/>
      <c r="Q1094" s="49"/>
      <c r="R1094" s="49"/>
      <c r="S1094" s="49"/>
      <c r="T1094" s="49"/>
      <c r="U1094" s="49"/>
      <c r="V1094" s="49"/>
      <c r="W1094" s="56"/>
      <c r="X1094" s="51" t="str">
        <f t="shared" si="5"/>
        <v/>
      </c>
      <c r="Y1094" s="50" t="s">
        <v>482</v>
      </c>
      <c r="Z1094" s="49">
        <f t="shared" si="6"/>
        <v>0</v>
      </c>
    </row>
    <row r="1095" ht="22.5" customHeight="1">
      <c r="B1095" s="57"/>
      <c r="C1095" s="43" t="str">
        <f t="array" ref="C1095">IF(B1095="","",_xlfn.XLOOKUP(B1095,'Form responses 1'!$B$2:$B$2604,'Form responses 1'!$A$2:$A$2604,""))</f>
        <v/>
      </c>
      <c r="D1095" s="44" t="str">
        <f t="shared" si="3"/>
        <v/>
      </c>
      <c r="E1095" s="44" t="str">
        <f t="array" ref="E1095">IF(B1095="","",_xlfn.XLOOKUP(B1095,'Form responses 1'!$B$2:$B$2604,'Form responses 1'!$C$2:$C$2604,""))</f>
        <v/>
      </c>
      <c r="F1095" s="44" t="str">
        <f t="array" ref="F1095">IF(B1095="","",_xlfn.XLOOKUP(B1095,'Form responses 1'!$B$2:$B$2604,'Form responses 1'!$D$2:$D$2604,""))</f>
        <v/>
      </c>
      <c r="G1095" s="44" t="str">
        <f t="array" ref="G1095">IF(B1095="","",_xlfn.XLOOKUP(B1095,'Form responses 1'!$B$2:$B$2604,'Form responses 1'!$E$2:$E$2604,""))</f>
        <v/>
      </c>
      <c r="H1095" s="44" t="str">
        <f t="array" ref="H1095">IF(B1095="","",_xlfn.XLOOKUP(B1095,'Form responses 1'!$B$2:$B$2604,'Form responses 1'!$F$2:$F$2604,""))</f>
        <v/>
      </c>
      <c r="I1095" s="44" t="str">
        <f t="array" ref="I1095">IF(B1095="","",_xlfn.XLOOKUP(B1095,'Form responses 1'!$B$2:$B$2604,'Form responses 1'!$I$2:$I$2604,""))</f>
        <v/>
      </c>
      <c r="J1095" s="44" t="str">
        <f t="array" ref="J1095">IF(B1095="","",_xlfn.XLOOKUP(B1095,'Form responses 1'!$B$2:$B$2604,'Form responses 1'!$G$2:$G$2604,""))</f>
        <v/>
      </c>
      <c r="K1095" s="56"/>
      <c r="L1095" s="58" t="str">
        <f t="shared" si="7"/>
        <v/>
      </c>
      <c r="M1095" s="49"/>
      <c r="N1095" s="49"/>
      <c r="O1095" s="49"/>
      <c r="P1095" s="49"/>
      <c r="Q1095" s="49"/>
      <c r="R1095" s="49"/>
      <c r="S1095" s="49"/>
      <c r="T1095" s="49"/>
      <c r="U1095" s="49"/>
      <c r="V1095" s="49"/>
      <c r="W1095" s="56"/>
      <c r="X1095" s="51" t="str">
        <f t="shared" si="5"/>
        <v/>
      </c>
      <c r="Y1095" s="50" t="s">
        <v>482</v>
      </c>
      <c r="Z1095" s="49">
        <f t="shared" si="6"/>
        <v>0</v>
      </c>
    </row>
    <row r="1096" ht="22.5" customHeight="1">
      <c r="B1096" s="57"/>
      <c r="C1096" s="43" t="str">
        <f t="array" ref="C1096">IF(B1096="","",_xlfn.XLOOKUP(B1096,'Form responses 1'!$B$2:$B$2604,'Form responses 1'!$A$2:$A$2604,""))</f>
        <v/>
      </c>
      <c r="D1096" s="44" t="str">
        <f t="shared" si="3"/>
        <v/>
      </c>
      <c r="E1096" s="44" t="str">
        <f t="array" ref="E1096">IF(B1096="","",_xlfn.XLOOKUP(B1096,'Form responses 1'!$B$2:$B$2604,'Form responses 1'!$C$2:$C$2604,""))</f>
        <v/>
      </c>
      <c r="F1096" s="44" t="str">
        <f t="array" ref="F1096">IF(B1096="","",_xlfn.XLOOKUP(B1096,'Form responses 1'!$B$2:$B$2604,'Form responses 1'!$D$2:$D$2604,""))</f>
        <v/>
      </c>
      <c r="G1096" s="44" t="str">
        <f t="array" ref="G1096">IF(B1096="","",_xlfn.XLOOKUP(B1096,'Form responses 1'!$B$2:$B$2604,'Form responses 1'!$E$2:$E$2604,""))</f>
        <v/>
      </c>
      <c r="H1096" s="44" t="str">
        <f t="array" ref="H1096">IF(B1096="","",_xlfn.XLOOKUP(B1096,'Form responses 1'!$B$2:$B$2604,'Form responses 1'!$F$2:$F$2604,""))</f>
        <v/>
      </c>
      <c r="I1096" s="44" t="str">
        <f t="array" ref="I1096">IF(B1096="","",_xlfn.XLOOKUP(B1096,'Form responses 1'!$B$2:$B$2604,'Form responses 1'!$I$2:$I$2604,""))</f>
        <v/>
      </c>
      <c r="J1096" s="44" t="str">
        <f t="array" ref="J1096">IF(B1096="","",_xlfn.XLOOKUP(B1096,'Form responses 1'!$B$2:$B$2604,'Form responses 1'!$G$2:$G$2604,""))</f>
        <v/>
      </c>
      <c r="K1096" s="56"/>
      <c r="L1096" s="58" t="str">
        <f t="shared" si="7"/>
        <v/>
      </c>
      <c r="M1096" s="49"/>
      <c r="N1096" s="49"/>
      <c r="O1096" s="49"/>
      <c r="P1096" s="49"/>
      <c r="Q1096" s="49"/>
      <c r="R1096" s="49"/>
      <c r="S1096" s="49"/>
      <c r="T1096" s="49"/>
      <c r="U1096" s="49"/>
      <c r="V1096" s="49"/>
      <c r="W1096" s="56"/>
      <c r="X1096" s="51" t="str">
        <f t="shared" si="5"/>
        <v/>
      </c>
      <c r="Y1096" s="50" t="s">
        <v>482</v>
      </c>
      <c r="Z1096" s="49">
        <f t="shared" si="6"/>
        <v>0</v>
      </c>
    </row>
    <row r="1097" ht="22.5" customHeight="1">
      <c r="B1097" s="57"/>
      <c r="C1097" s="43" t="str">
        <f t="array" ref="C1097">IF(B1097="","",_xlfn.XLOOKUP(B1097,'Form responses 1'!$B$2:$B$2604,'Form responses 1'!$A$2:$A$2604,""))</f>
        <v/>
      </c>
      <c r="D1097" s="44" t="str">
        <f t="shared" si="3"/>
        <v/>
      </c>
      <c r="E1097" s="44" t="str">
        <f t="array" ref="E1097">IF(B1097="","",_xlfn.XLOOKUP(B1097,'Form responses 1'!$B$2:$B$2604,'Form responses 1'!$C$2:$C$2604,""))</f>
        <v/>
      </c>
      <c r="F1097" s="44" t="str">
        <f t="array" ref="F1097">IF(B1097="","",_xlfn.XLOOKUP(B1097,'Form responses 1'!$B$2:$B$2604,'Form responses 1'!$D$2:$D$2604,""))</f>
        <v/>
      </c>
      <c r="G1097" s="44" t="str">
        <f t="array" ref="G1097">IF(B1097="","",_xlfn.XLOOKUP(B1097,'Form responses 1'!$B$2:$B$2604,'Form responses 1'!$E$2:$E$2604,""))</f>
        <v/>
      </c>
      <c r="H1097" s="44" t="str">
        <f t="array" ref="H1097">IF(B1097="","",_xlfn.XLOOKUP(B1097,'Form responses 1'!$B$2:$B$2604,'Form responses 1'!$F$2:$F$2604,""))</f>
        <v/>
      </c>
      <c r="I1097" s="44" t="str">
        <f t="array" ref="I1097">IF(B1097="","",_xlfn.XLOOKUP(B1097,'Form responses 1'!$B$2:$B$2604,'Form responses 1'!$I$2:$I$2604,""))</f>
        <v/>
      </c>
      <c r="J1097" s="44" t="str">
        <f t="array" ref="J1097">IF(B1097="","",_xlfn.XLOOKUP(B1097,'Form responses 1'!$B$2:$B$2604,'Form responses 1'!$G$2:$G$2604,""))</f>
        <v/>
      </c>
      <c r="K1097" s="56"/>
      <c r="L1097" s="58" t="str">
        <f t="shared" si="7"/>
        <v/>
      </c>
      <c r="M1097" s="49"/>
      <c r="N1097" s="49"/>
      <c r="O1097" s="49"/>
      <c r="P1097" s="49"/>
      <c r="Q1097" s="49"/>
      <c r="R1097" s="49"/>
      <c r="S1097" s="49"/>
      <c r="T1097" s="49"/>
      <c r="U1097" s="49"/>
      <c r="V1097" s="49"/>
      <c r="W1097" s="56"/>
      <c r="X1097" s="51" t="str">
        <f t="shared" si="5"/>
        <v/>
      </c>
      <c r="Y1097" s="50" t="s">
        <v>482</v>
      </c>
      <c r="Z1097" s="49">
        <f t="shared" si="6"/>
        <v>0</v>
      </c>
    </row>
    <row r="1098" ht="22.5" customHeight="1">
      <c r="B1098" s="57"/>
      <c r="C1098" s="43" t="str">
        <f t="array" ref="C1098">IF(B1098="","",_xlfn.XLOOKUP(B1098,'Form responses 1'!$B$2:$B$2604,'Form responses 1'!$A$2:$A$2604,""))</f>
        <v/>
      </c>
      <c r="D1098" s="44" t="str">
        <f t="shared" si="3"/>
        <v/>
      </c>
      <c r="E1098" s="44" t="str">
        <f t="array" ref="E1098">IF(B1098="","",_xlfn.XLOOKUP(B1098,'Form responses 1'!$B$2:$B$2604,'Form responses 1'!$C$2:$C$2604,""))</f>
        <v/>
      </c>
      <c r="F1098" s="44" t="str">
        <f t="array" ref="F1098">IF(B1098="","",_xlfn.XLOOKUP(B1098,'Form responses 1'!$B$2:$B$2604,'Form responses 1'!$D$2:$D$2604,""))</f>
        <v/>
      </c>
      <c r="G1098" s="44" t="str">
        <f t="array" ref="G1098">IF(B1098="","",_xlfn.XLOOKUP(B1098,'Form responses 1'!$B$2:$B$2604,'Form responses 1'!$E$2:$E$2604,""))</f>
        <v/>
      </c>
      <c r="H1098" s="44" t="str">
        <f t="array" ref="H1098">IF(B1098="","",_xlfn.XLOOKUP(B1098,'Form responses 1'!$B$2:$B$2604,'Form responses 1'!$F$2:$F$2604,""))</f>
        <v/>
      </c>
      <c r="I1098" s="44" t="str">
        <f t="array" ref="I1098">IF(B1098="","",_xlfn.XLOOKUP(B1098,'Form responses 1'!$B$2:$B$2604,'Form responses 1'!$I$2:$I$2604,""))</f>
        <v/>
      </c>
      <c r="J1098" s="44" t="str">
        <f t="array" ref="J1098">IF(B1098="","",_xlfn.XLOOKUP(B1098,'Form responses 1'!$B$2:$B$2604,'Form responses 1'!$G$2:$G$2604,""))</f>
        <v/>
      </c>
      <c r="K1098" s="56"/>
      <c r="L1098" s="58" t="str">
        <f t="shared" si="7"/>
        <v/>
      </c>
      <c r="M1098" s="49"/>
      <c r="N1098" s="49"/>
      <c r="O1098" s="49"/>
      <c r="P1098" s="49"/>
      <c r="Q1098" s="49"/>
      <c r="R1098" s="49"/>
      <c r="S1098" s="49"/>
      <c r="T1098" s="49"/>
      <c r="U1098" s="49"/>
      <c r="V1098" s="49"/>
      <c r="W1098" s="56"/>
      <c r="X1098" s="51" t="str">
        <f t="shared" si="5"/>
        <v/>
      </c>
      <c r="Y1098" s="50" t="s">
        <v>482</v>
      </c>
      <c r="Z1098" s="49">
        <f t="shared" si="6"/>
        <v>0</v>
      </c>
    </row>
    <row r="1099" ht="22.5" customHeight="1">
      <c r="B1099" s="57"/>
      <c r="C1099" s="43" t="str">
        <f t="array" ref="C1099">IF(B1099="","",_xlfn.XLOOKUP(B1099,'Form responses 1'!$B$2:$B$2604,'Form responses 1'!$A$2:$A$2604,""))</f>
        <v/>
      </c>
      <c r="D1099" s="44" t="str">
        <f t="shared" si="3"/>
        <v/>
      </c>
      <c r="E1099" s="44" t="str">
        <f t="array" ref="E1099">IF(B1099="","",_xlfn.XLOOKUP(B1099,'Form responses 1'!$B$2:$B$2604,'Form responses 1'!$C$2:$C$2604,""))</f>
        <v/>
      </c>
      <c r="F1099" s="44" t="str">
        <f t="array" ref="F1099">IF(B1099="","",_xlfn.XLOOKUP(B1099,'Form responses 1'!$B$2:$B$2604,'Form responses 1'!$D$2:$D$2604,""))</f>
        <v/>
      </c>
      <c r="G1099" s="44" t="str">
        <f t="array" ref="G1099">IF(B1099="","",_xlfn.XLOOKUP(B1099,'Form responses 1'!$B$2:$B$2604,'Form responses 1'!$E$2:$E$2604,""))</f>
        <v/>
      </c>
      <c r="H1099" s="44" t="str">
        <f t="array" ref="H1099">IF(B1099="","",_xlfn.XLOOKUP(B1099,'Form responses 1'!$B$2:$B$2604,'Form responses 1'!$F$2:$F$2604,""))</f>
        <v/>
      </c>
      <c r="I1099" s="44" t="str">
        <f t="array" ref="I1099">IF(B1099="","",_xlfn.XLOOKUP(B1099,'Form responses 1'!$B$2:$B$2604,'Form responses 1'!$I$2:$I$2604,""))</f>
        <v/>
      </c>
      <c r="J1099" s="44" t="str">
        <f t="array" ref="J1099">IF(B1099="","",_xlfn.XLOOKUP(B1099,'Form responses 1'!$B$2:$B$2604,'Form responses 1'!$G$2:$G$2604,""))</f>
        <v/>
      </c>
      <c r="K1099" s="56"/>
      <c r="L1099" s="58" t="str">
        <f t="shared" si="7"/>
        <v/>
      </c>
      <c r="M1099" s="49"/>
      <c r="N1099" s="49"/>
      <c r="O1099" s="49"/>
      <c r="P1099" s="49"/>
      <c r="Q1099" s="49"/>
      <c r="R1099" s="49"/>
      <c r="S1099" s="49"/>
      <c r="T1099" s="49"/>
      <c r="U1099" s="49"/>
      <c r="V1099" s="49"/>
      <c r="W1099" s="56"/>
      <c r="X1099" s="51" t="str">
        <f t="shared" si="5"/>
        <v/>
      </c>
      <c r="Y1099" s="50" t="s">
        <v>482</v>
      </c>
      <c r="Z1099" s="49">
        <f t="shared" si="6"/>
        <v>0</v>
      </c>
    </row>
    <row r="1100" ht="22.5" customHeight="1">
      <c r="B1100" s="57"/>
      <c r="C1100" s="43" t="str">
        <f t="array" ref="C1100">IF(B1100="","",_xlfn.XLOOKUP(B1100,'Form responses 1'!$B$2:$B$2604,'Form responses 1'!$A$2:$A$2604,""))</f>
        <v/>
      </c>
      <c r="D1100" s="44" t="str">
        <f t="shared" si="3"/>
        <v/>
      </c>
      <c r="E1100" s="44" t="str">
        <f t="array" ref="E1100">IF(B1100="","",_xlfn.XLOOKUP(B1100,'Form responses 1'!$B$2:$B$2604,'Form responses 1'!$C$2:$C$2604,""))</f>
        <v/>
      </c>
      <c r="F1100" s="44" t="str">
        <f t="array" ref="F1100">IF(B1100="","",_xlfn.XLOOKUP(B1100,'Form responses 1'!$B$2:$B$2604,'Form responses 1'!$D$2:$D$2604,""))</f>
        <v/>
      </c>
      <c r="G1100" s="44" t="str">
        <f t="array" ref="G1100">IF(B1100="","",_xlfn.XLOOKUP(B1100,'Form responses 1'!$B$2:$B$2604,'Form responses 1'!$E$2:$E$2604,""))</f>
        <v/>
      </c>
      <c r="H1100" s="44" t="str">
        <f t="array" ref="H1100">IF(B1100="","",_xlfn.XLOOKUP(B1100,'Form responses 1'!$B$2:$B$2604,'Form responses 1'!$F$2:$F$2604,""))</f>
        <v/>
      </c>
      <c r="I1100" s="44" t="str">
        <f t="array" ref="I1100">IF(B1100="","",_xlfn.XLOOKUP(B1100,'Form responses 1'!$B$2:$B$2604,'Form responses 1'!$I$2:$I$2604,""))</f>
        <v/>
      </c>
      <c r="J1100" s="44" t="str">
        <f t="array" ref="J1100">IF(B1100="","",_xlfn.XLOOKUP(B1100,'Form responses 1'!$B$2:$B$2604,'Form responses 1'!$G$2:$G$2604,""))</f>
        <v/>
      </c>
      <c r="K1100" s="56"/>
      <c r="L1100" s="58" t="str">
        <f t="shared" si="7"/>
        <v/>
      </c>
      <c r="M1100" s="49"/>
      <c r="N1100" s="49"/>
      <c r="O1100" s="49"/>
      <c r="P1100" s="49"/>
      <c r="Q1100" s="49"/>
      <c r="R1100" s="49"/>
      <c r="S1100" s="49"/>
      <c r="T1100" s="49"/>
      <c r="U1100" s="49"/>
      <c r="V1100" s="49"/>
      <c r="W1100" s="56"/>
      <c r="X1100" s="51" t="str">
        <f t="shared" si="5"/>
        <v/>
      </c>
      <c r="Y1100" s="50" t="s">
        <v>482</v>
      </c>
      <c r="Z1100" s="49">
        <f t="shared" si="6"/>
        <v>0</v>
      </c>
    </row>
    <row r="1101" ht="22.5" customHeight="1">
      <c r="B1101" s="57"/>
      <c r="C1101" s="43" t="str">
        <f t="array" ref="C1101">IF(B1101="","",_xlfn.XLOOKUP(B1101,'Form responses 1'!$B$2:$B$2604,'Form responses 1'!$A$2:$A$2604,""))</f>
        <v/>
      </c>
      <c r="D1101" s="44" t="str">
        <f t="shared" si="3"/>
        <v/>
      </c>
      <c r="E1101" s="44" t="str">
        <f t="array" ref="E1101">IF(B1101="","",_xlfn.XLOOKUP(B1101,'Form responses 1'!$B$2:$B$2604,'Form responses 1'!$C$2:$C$2604,""))</f>
        <v/>
      </c>
      <c r="F1101" s="44" t="str">
        <f t="array" ref="F1101">IF(B1101="","",_xlfn.XLOOKUP(B1101,'Form responses 1'!$B$2:$B$2604,'Form responses 1'!$D$2:$D$2604,""))</f>
        <v/>
      </c>
      <c r="G1101" s="44" t="str">
        <f t="array" ref="G1101">IF(B1101="","",_xlfn.XLOOKUP(B1101,'Form responses 1'!$B$2:$B$2604,'Form responses 1'!$E$2:$E$2604,""))</f>
        <v/>
      </c>
      <c r="H1101" s="44" t="str">
        <f t="array" ref="H1101">IF(B1101="","",_xlfn.XLOOKUP(B1101,'Form responses 1'!$B$2:$B$2604,'Form responses 1'!$F$2:$F$2604,""))</f>
        <v/>
      </c>
      <c r="I1101" s="44" t="str">
        <f t="array" ref="I1101">IF(B1101="","",_xlfn.XLOOKUP(B1101,'Form responses 1'!$B$2:$B$2604,'Form responses 1'!$I$2:$I$2604,""))</f>
        <v/>
      </c>
      <c r="J1101" s="44" t="str">
        <f t="array" ref="J1101">IF(B1101="","",_xlfn.XLOOKUP(B1101,'Form responses 1'!$B$2:$B$2604,'Form responses 1'!$G$2:$G$2604,""))</f>
        <v/>
      </c>
      <c r="K1101" s="56"/>
      <c r="L1101" s="58" t="str">
        <f t="shared" si="7"/>
        <v/>
      </c>
      <c r="M1101" s="49"/>
      <c r="N1101" s="49"/>
      <c r="O1101" s="49"/>
      <c r="P1101" s="49"/>
      <c r="Q1101" s="49"/>
      <c r="R1101" s="49"/>
      <c r="S1101" s="49"/>
      <c r="T1101" s="49"/>
      <c r="U1101" s="49"/>
      <c r="V1101" s="49"/>
      <c r="W1101" s="56"/>
      <c r="X1101" s="51" t="str">
        <f t="shared" si="5"/>
        <v/>
      </c>
      <c r="Y1101" s="50" t="s">
        <v>482</v>
      </c>
      <c r="Z1101" s="49">
        <f t="shared" si="6"/>
        <v>0</v>
      </c>
    </row>
    <row r="1102" ht="22.5" customHeight="1">
      <c r="B1102" s="57"/>
      <c r="C1102" s="43" t="str">
        <f t="array" ref="C1102">IF(B1102="","",_xlfn.XLOOKUP(B1102,'Form responses 1'!$B$2:$B$2604,'Form responses 1'!$A$2:$A$2604,""))</f>
        <v/>
      </c>
      <c r="D1102" s="44" t="str">
        <f t="shared" si="3"/>
        <v/>
      </c>
      <c r="E1102" s="44" t="str">
        <f t="array" ref="E1102">IF(B1102="","",_xlfn.XLOOKUP(B1102,'Form responses 1'!$B$2:$B$2604,'Form responses 1'!$C$2:$C$2604,""))</f>
        <v/>
      </c>
      <c r="F1102" s="44" t="str">
        <f t="array" ref="F1102">IF(B1102="","",_xlfn.XLOOKUP(B1102,'Form responses 1'!$B$2:$B$2604,'Form responses 1'!$D$2:$D$2604,""))</f>
        <v/>
      </c>
      <c r="G1102" s="44" t="str">
        <f t="array" ref="G1102">IF(B1102="","",_xlfn.XLOOKUP(B1102,'Form responses 1'!$B$2:$B$2604,'Form responses 1'!$E$2:$E$2604,""))</f>
        <v/>
      </c>
      <c r="H1102" s="44" t="str">
        <f t="array" ref="H1102">IF(B1102="","",_xlfn.XLOOKUP(B1102,'Form responses 1'!$B$2:$B$2604,'Form responses 1'!$F$2:$F$2604,""))</f>
        <v/>
      </c>
      <c r="I1102" s="44" t="str">
        <f t="array" ref="I1102">IF(B1102="","",_xlfn.XLOOKUP(B1102,'Form responses 1'!$B$2:$B$2604,'Form responses 1'!$I$2:$I$2604,""))</f>
        <v/>
      </c>
      <c r="J1102" s="44" t="str">
        <f t="array" ref="J1102">IF(B1102="","",_xlfn.XLOOKUP(B1102,'Form responses 1'!$B$2:$B$2604,'Form responses 1'!$G$2:$G$2604,""))</f>
        <v/>
      </c>
      <c r="K1102" s="56"/>
      <c r="L1102" s="58" t="str">
        <f t="shared" si="7"/>
        <v/>
      </c>
      <c r="M1102" s="49"/>
      <c r="N1102" s="49"/>
      <c r="O1102" s="49"/>
      <c r="P1102" s="49"/>
      <c r="Q1102" s="49"/>
      <c r="R1102" s="49"/>
      <c r="S1102" s="49"/>
      <c r="T1102" s="49"/>
      <c r="U1102" s="49"/>
      <c r="V1102" s="49"/>
      <c r="W1102" s="56"/>
      <c r="X1102" s="51" t="str">
        <f t="shared" si="5"/>
        <v/>
      </c>
      <c r="Y1102" s="50" t="s">
        <v>482</v>
      </c>
      <c r="Z1102" s="49">
        <f t="shared" si="6"/>
        <v>0</v>
      </c>
    </row>
    <row r="1103" ht="22.5" customHeight="1">
      <c r="B1103" s="57"/>
      <c r="C1103" s="43" t="str">
        <f t="array" ref="C1103">IF(B1103="","",_xlfn.XLOOKUP(B1103,'Form responses 1'!$B$2:$B$2604,'Form responses 1'!$A$2:$A$2604,""))</f>
        <v/>
      </c>
      <c r="D1103" s="44" t="str">
        <f t="shared" si="3"/>
        <v/>
      </c>
      <c r="E1103" s="44" t="str">
        <f t="array" ref="E1103">IF(B1103="","",_xlfn.XLOOKUP(B1103,'Form responses 1'!$B$2:$B$2604,'Form responses 1'!$C$2:$C$2604,""))</f>
        <v/>
      </c>
      <c r="F1103" s="44" t="str">
        <f t="array" ref="F1103">IF(B1103="","",_xlfn.XLOOKUP(B1103,'Form responses 1'!$B$2:$B$2604,'Form responses 1'!$D$2:$D$2604,""))</f>
        <v/>
      </c>
      <c r="G1103" s="44" t="str">
        <f t="array" ref="G1103">IF(B1103="","",_xlfn.XLOOKUP(B1103,'Form responses 1'!$B$2:$B$2604,'Form responses 1'!$E$2:$E$2604,""))</f>
        <v/>
      </c>
      <c r="H1103" s="44" t="str">
        <f t="array" ref="H1103">IF(B1103="","",_xlfn.XLOOKUP(B1103,'Form responses 1'!$B$2:$B$2604,'Form responses 1'!$F$2:$F$2604,""))</f>
        <v/>
      </c>
      <c r="I1103" s="44" t="str">
        <f t="array" ref="I1103">IF(B1103="","",_xlfn.XLOOKUP(B1103,'Form responses 1'!$B$2:$B$2604,'Form responses 1'!$I$2:$I$2604,""))</f>
        <v/>
      </c>
      <c r="J1103" s="44" t="str">
        <f t="array" ref="J1103">IF(B1103="","",_xlfn.XLOOKUP(B1103,'Form responses 1'!$B$2:$B$2604,'Form responses 1'!$G$2:$G$2604,""))</f>
        <v/>
      </c>
      <c r="K1103" s="56"/>
      <c r="L1103" s="58" t="str">
        <f t="shared" si="7"/>
        <v/>
      </c>
      <c r="M1103" s="49"/>
      <c r="N1103" s="49"/>
      <c r="O1103" s="49"/>
      <c r="P1103" s="49"/>
      <c r="Q1103" s="49"/>
      <c r="R1103" s="49"/>
      <c r="S1103" s="49"/>
      <c r="T1103" s="49"/>
      <c r="U1103" s="49"/>
      <c r="V1103" s="49"/>
      <c r="W1103" s="56"/>
      <c r="X1103" s="51" t="str">
        <f t="shared" si="5"/>
        <v/>
      </c>
      <c r="Y1103" s="50" t="s">
        <v>482</v>
      </c>
      <c r="Z1103" s="49">
        <f t="shared" si="6"/>
        <v>0</v>
      </c>
    </row>
    <row r="1104" ht="22.5" customHeight="1">
      <c r="B1104" s="57"/>
      <c r="C1104" s="43" t="str">
        <f t="array" ref="C1104">IF(B1104="","",_xlfn.XLOOKUP(B1104,'Form responses 1'!$B$2:$B$2604,'Form responses 1'!$A$2:$A$2604,""))</f>
        <v/>
      </c>
      <c r="D1104" s="44" t="str">
        <f t="shared" si="3"/>
        <v/>
      </c>
      <c r="E1104" s="44" t="str">
        <f t="array" ref="E1104">IF(B1104="","",_xlfn.XLOOKUP(B1104,'Form responses 1'!$B$2:$B$2604,'Form responses 1'!$C$2:$C$2604,""))</f>
        <v/>
      </c>
      <c r="F1104" s="44" t="str">
        <f t="array" ref="F1104">IF(B1104="","",_xlfn.XLOOKUP(B1104,'Form responses 1'!$B$2:$B$2604,'Form responses 1'!$D$2:$D$2604,""))</f>
        <v/>
      </c>
      <c r="G1104" s="44" t="str">
        <f t="array" ref="G1104">IF(B1104="","",_xlfn.XLOOKUP(B1104,'Form responses 1'!$B$2:$B$2604,'Form responses 1'!$E$2:$E$2604,""))</f>
        <v/>
      </c>
      <c r="H1104" s="44" t="str">
        <f t="array" ref="H1104">IF(B1104="","",_xlfn.XLOOKUP(B1104,'Form responses 1'!$B$2:$B$2604,'Form responses 1'!$F$2:$F$2604,""))</f>
        <v/>
      </c>
      <c r="I1104" s="44" t="str">
        <f t="array" ref="I1104">IF(B1104="","",_xlfn.XLOOKUP(B1104,'Form responses 1'!$B$2:$B$2604,'Form responses 1'!$I$2:$I$2604,""))</f>
        <v/>
      </c>
      <c r="J1104" s="44" t="str">
        <f t="array" ref="J1104">IF(B1104="","",_xlfn.XLOOKUP(B1104,'Form responses 1'!$B$2:$B$2604,'Form responses 1'!$G$2:$G$2604,""))</f>
        <v/>
      </c>
      <c r="K1104" s="56"/>
      <c r="L1104" s="58" t="str">
        <f t="shared" si="7"/>
        <v/>
      </c>
      <c r="M1104" s="49"/>
      <c r="N1104" s="49"/>
      <c r="O1104" s="49"/>
      <c r="P1104" s="49"/>
      <c r="Q1104" s="49"/>
      <c r="R1104" s="49"/>
      <c r="S1104" s="49"/>
      <c r="T1104" s="49"/>
      <c r="U1104" s="49"/>
      <c r="V1104" s="49"/>
      <c r="W1104" s="56"/>
      <c r="X1104" s="51" t="str">
        <f t="shared" si="5"/>
        <v/>
      </c>
      <c r="Y1104" s="50" t="s">
        <v>482</v>
      </c>
      <c r="Z1104" s="49">
        <f t="shared" si="6"/>
        <v>0</v>
      </c>
    </row>
    <row r="1105" ht="22.5" customHeight="1">
      <c r="B1105" s="57"/>
      <c r="C1105" s="43" t="str">
        <f t="array" ref="C1105">IF(B1105="","",_xlfn.XLOOKUP(B1105,'Form responses 1'!$B$2:$B$2604,'Form responses 1'!$A$2:$A$2604,""))</f>
        <v/>
      </c>
      <c r="D1105" s="44" t="str">
        <f t="shared" si="3"/>
        <v/>
      </c>
      <c r="E1105" s="44" t="str">
        <f t="array" ref="E1105">IF(B1105="","",_xlfn.XLOOKUP(B1105,'Form responses 1'!$B$2:$B$2604,'Form responses 1'!$C$2:$C$2604,""))</f>
        <v/>
      </c>
      <c r="F1105" s="44" t="str">
        <f t="array" ref="F1105">IF(B1105="","",_xlfn.XLOOKUP(B1105,'Form responses 1'!$B$2:$B$2604,'Form responses 1'!$D$2:$D$2604,""))</f>
        <v/>
      </c>
      <c r="G1105" s="44" t="str">
        <f t="array" ref="G1105">IF(B1105="","",_xlfn.XLOOKUP(B1105,'Form responses 1'!$B$2:$B$2604,'Form responses 1'!$E$2:$E$2604,""))</f>
        <v/>
      </c>
      <c r="H1105" s="44" t="str">
        <f t="array" ref="H1105">IF(B1105="","",_xlfn.XLOOKUP(B1105,'Form responses 1'!$B$2:$B$2604,'Form responses 1'!$F$2:$F$2604,""))</f>
        <v/>
      </c>
      <c r="I1105" s="44" t="str">
        <f t="array" ref="I1105">IF(B1105="","",_xlfn.XLOOKUP(B1105,'Form responses 1'!$B$2:$B$2604,'Form responses 1'!$I$2:$I$2604,""))</f>
        <v/>
      </c>
      <c r="J1105" s="44" t="str">
        <f t="array" ref="J1105">IF(B1105="","",_xlfn.XLOOKUP(B1105,'Form responses 1'!$B$2:$B$2604,'Form responses 1'!$G$2:$G$2604,""))</f>
        <v/>
      </c>
      <c r="K1105" s="56"/>
      <c r="L1105" s="58" t="str">
        <f t="shared" si="7"/>
        <v/>
      </c>
      <c r="M1105" s="49"/>
      <c r="N1105" s="49"/>
      <c r="O1105" s="49"/>
      <c r="P1105" s="49"/>
      <c r="Q1105" s="49"/>
      <c r="R1105" s="49"/>
      <c r="S1105" s="49"/>
      <c r="T1105" s="49"/>
      <c r="U1105" s="49"/>
      <c r="V1105" s="49"/>
      <c r="W1105" s="56"/>
      <c r="X1105" s="51" t="str">
        <f t="shared" si="5"/>
        <v/>
      </c>
      <c r="Y1105" s="50" t="s">
        <v>482</v>
      </c>
      <c r="Z1105" s="49">
        <f t="shared" si="6"/>
        <v>0</v>
      </c>
    </row>
    <row r="1106" ht="22.5" customHeight="1">
      <c r="B1106" s="57"/>
      <c r="C1106" s="43" t="str">
        <f t="array" ref="C1106">IF(B1106="","",_xlfn.XLOOKUP(B1106,'Form responses 1'!$B$2:$B$2604,'Form responses 1'!$A$2:$A$2604,""))</f>
        <v/>
      </c>
      <c r="D1106" s="44" t="str">
        <f t="shared" si="3"/>
        <v/>
      </c>
      <c r="E1106" s="44" t="str">
        <f t="array" ref="E1106">IF(B1106="","",_xlfn.XLOOKUP(B1106,'Form responses 1'!$B$2:$B$2604,'Form responses 1'!$C$2:$C$2604,""))</f>
        <v/>
      </c>
      <c r="F1106" s="44" t="str">
        <f t="array" ref="F1106">IF(B1106="","",_xlfn.XLOOKUP(B1106,'Form responses 1'!$B$2:$B$2604,'Form responses 1'!$D$2:$D$2604,""))</f>
        <v/>
      </c>
      <c r="G1106" s="44" t="str">
        <f t="array" ref="G1106">IF(B1106="","",_xlfn.XLOOKUP(B1106,'Form responses 1'!$B$2:$B$2604,'Form responses 1'!$E$2:$E$2604,""))</f>
        <v/>
      </c>
      <c r="H1106" s="44" t="str">
        <f t="array" ref="H1106">IF(B1106="","",_xlfn.XLOOKUP(B1106,'Form responses 1'!$B$2:$B$2604,'Form responses 1'!$F$2:$F$2604,""))</f>
        <v/>
      </c>
      <c r="I1106" s="44" t="str">
        <f t="array" ref="I1106">IF(B1106="","",_xlfn.XLOOKUP(B1106,'Form responses 1'!$B$2:$B$2604,'Form responses 1'!$I$2:$I$2604,""))</f>
        <v/>
      </c>
      <c r="J1106" s="44" t="str">
        <f t="array" ref="J1106">IF(B1106="","",_xlfn.XLOOKUP(B1106,'Form responses 1'!$B$2:$B$2604,'Form responses 1'!$G$2:$G$2604,""))</f>
        <v/>
      </c>
      <c r="K1106" s="56"/>
      <c r="L1106" s="58" t="str">
        <f t="shared" si="7"/>
        <v/>
      </c>
      <c r="M1106" s="49"/>
      <c r="N1106" s="49"/>
      <c r="O1106" s="49"/>
      <c r="P1106" s="49"/>
      <c r="Q1106" s="49"/>
      <c r="R1106" s="49"/>
      <c r="S1106" s="49"/>
      <c r="T1106" s="49"/>
      <c r="U1106" s="49"/>
      <c r="V1106" s="49"/>
      <c r="W1106" s="56"/>
      <c r="X1106" s="51" t="str">
        <f t="shared" si="5"/>
        <v/>
      </c>
      <c r="Y1106" s="50" t="s">
        <v>482</v>
      </c>
      <c r="Z1106" s="49">
        <f t="shared" si="6"/>
        <v>0</v>
      </c>
    </row>
    <row r="1107" ht="22.5" customHeight="1">
      <c r="B1107" s="57"/>
      <c r="C1107" s="43" t="str">
        <f t="array" ref="C1107">IF(B1107="","",_xlfn.XLOOKUP(B1107,'Form responses 1'!$B$2:$B$2604,'Form responses 1'!$A$2:$A$2604,""))</f>
        <v/>
      </c>
      <c r="D1107" s="44" t="str">
        <f t="shared" si="3"/>
        <v/>
      </c>
      <c r="E1107" s="44" t="str">
        <f t="array" ref="E1107">IF(B1107="","",_xlfn.XLOOKUP(B1107,'Form responses 1'!$B$2:$B$2604,'Form responses 1'!$C$2:$C$2604,""))</f>
        <v/>
      </c>
      <c r="F1107" s="44" t="str">
        <f t="array" ref="F1107">IF(B1107="","",_xlfn.XLOOKUP(B1107,'Form responses 1'!$B$2:$B$2604,'Form responses 1'!$D$2:$D$2604,""))</f>
        <v/>
      </c>
      <c r="G1107" s="44" t="str">
        <f t="array" ref="G1107">IF(B1107="","",_xlfn.XLOOKUP(B1107,'Form responses 1'!$B$2:$B$2604,'Form responses 1'!$E$2:$E$2604,""))</f>
        <v/>
      </c>
      <c r="H1107" s="44" t="str">
        <f t="array" ref="H1107">IF(B1107="","",_xlfn.XLOOKUP(B1107,'Form responses 1'!$B$2:$B$2604,'Form responses 1'!$F$2:$F$2604,""))</f>
        <v/>
      </c>
      <c r="I1107" s="44" t="str">
        <f t="array" ref="I1107">IF(B1107="","",_xlfn.XLOOKUP(B1107,'Form responses 1'!$B$2:$B$2604,'Form responses 1'!$I$2:$I$2604,""))</f>
        <v/>
      </c>
      <c r="J1107" s="44" t="str">
        <f t="array" ref="J1107">IF(B1107="","",_xlfn.XLOOKUP(B1107,'Form responses 1'!$B$2:$B$2604,'Form responses 1'!$G$2:$G$2604,""))</f>
        <v/>
      </c>
      <c r="K1107" s="56"/>
      <c r="L1107" s="58" t="str">
        <f t="shared" si="7"/>
        <v/>
      </c>
      <c r="M1107" s="49"/>
      <c r="N1107" s="49"/>
      <c r="O1107" s="49"/>
      <c r="P1107" s="49"/>
      <c r="Q1107" s="49"/>
      <c r="R1107" s="49"/>
      <c r="S1107" s="49"/>
      <c r="T1107" s="49"/>
      <c r="U1107" s="49"/>
      <c r="V1107" s="49"/>
      <c r="W1107" s="56"/>
      <c r="X1107" s="51" t="str">
        <f t="shared" si="5"/>
        <v/>
      </c>
      <c r="Y1107" s="50" t="s">
        <v>482</v>
      </c>
      <c r="Z1107" s="49">
        <f t="shared" si="6"/>
        <v>0</v>
      </c>
    </row>
    <row r="1108" ht="22.5" customHeight="1">
      <c r="B1108" s="57"/>
      <c r="C1108" s="43" t="str">
        <f t="array" ref="C1108">IF(B1108="","",_xlfn.XLOOKUP(B1108,'Form responses 1'!$B$2:$B$2604,'Form responses 1'!$A$2:$A$2604,""))</f>
        <v/>
      </c>
      <c r="D1108" s="44" t="str">
        <f t="shared" si="3"/>
        <v/>
      </c>
      <c r="E1108" s="44" t="str">
        <f t="array" ref="E1108">IF(B1108="","",_xlfn.XLOOKUP(B1108,'Form responses 1'!$B$2:$B$2604,'Form responses 1'!$C$2:$C$2604,""))</f>
        <v/>
      </c>
      <c r="F1108" s="44" t="str">
        <f t="array" ref="F1108">IF(B1108="","",_xlfn.XLOOKUP(B1108,'Form responses 1'!$B$2:$B$2604,'Form responses 1'!$D$2:$D$2604,""))</f>
        <v/>
      </c>
      <c r="G1108" s="44" t="str">
        <f t="array" ref="G1108">IF(B1108="","",_xlfn.XLOOKUP(B1108,'Form responses 1'!$B$2:$B$2604,'Form responses 1'!$E$2:$E$2604,""))</f>
        <v/>
      </c>
      <c r="H1108" s="44" t="str">
        <f t="array" ref="H1108">IF(B1108="","",_xlfn.XLOOKUP(B1108,'Form responses 1'!$B$2:$B$2604,'Form responses 1'!$F$2:$F$2604,""))</f>
        <v/>
      </c>
      <c r="I1108" s="44" t="str">
        <f t="array" ref="I1108">IF(B1108="","",_xlfn.XLOOKUP(B1108,'Form responses 1'!$B$2:$B$2604,'Form responses 1'!$I$2:$I$2604,""))</f>
        <v/>
      </c>
      <c r="J1108" s="44" t="str">
        <f t="array" ref="J1108">IF(B1108="","",_xlfn.XLOOKUP(B1108,'Form responses 1'!$B$2:$B$2604,'Form responses 1'!$G$2:$G$2604,""))</f>
        <v/>
      </c>
      <c r="K1108" s="56"/>
      <c r="L1108" s="58" t="str">
        <f t="shared" si="7"/>
        <v/>
      </c>
      <c r="M1108" s="49"/>
      <c r="N1108" s="49"/>
      <c r="O1108" s="49"/>
      <c r="P1108" s="49"/>
      <c r="Q1108" s="49"/>
      <c r="R1108" s="49"/>
      <c r="S1108" s="49"/>
      <c r="T1108" s="49"/>
      <c r="U1108" s="49"/>
      <c r="V1108" s="49"/>
      <c r="W1108" s="56"/>
      <c r="X1108" s="51" t="str">
        <f t="shared" si="5"/>
        <v/>
      </c>
      <c r="Y1108" s="50" t="s">
        <v>482</v>
      </c>
      <c r="Z1108" s="49">
        <f t="shared" si="6"/>
        <v>0</v>
      </c>
    </row>
    <row r="1109" ht="22.5" customHeight="1">
      <c r="B1109" s="57"/>
      <c r="C1109" s="43" t="str">
        <f t="array" ref="C1109">IF(B1109="","",_xlfn.XLOOKUP(B1109,'Form responses 1'!$B$2:$B$2604,'Form responses 1'!$A$2:$A$2604,""))</f>
        <v/>
      </c>
      <c r="D1109" s="44" t="str">
        <f t="shared" si="3"/>
        <v/>
      </c>
      <c r="E1109" s="44" t="str">
        <f t="array" ref="E1109">IF(B1109="","",_xlfn.XLOOKUP(B1109,'Form responses 1'!$B$2:$B$2604,'Form responses 1'!$C$2:$C$2604,""))</f>
        <v/>
      </c>
      <c r="F1109" s="44" t="str">
        <f t="array" ref="F1109">IF(B1109="","",_xlfn.XLOOKUP(B1109,'Form responses 1'!$B$2:$B$2604,'Form responses 1'!$D$2:$D$2604,""))</f>
        <v/>
      </c>
      <c r="G1109" s="44" t="str">
        <f t="array" ref="G1109">IF(B1109="","",_xlfn.XLOOKUP(B1109,'Form responses 1'!$B$2:$B$2604,'Form responses 1'!$E$2:$E$2604,""))</f>
        <v/>
      </c>
      <c r="H1109" s="44" t="str">
        <f t="array" ref="H1109">IF(B1109="","",_xlfn.XLOOKUP(B1109,'Form responses 1'!$B$2:$B$2604,'Form responses 1'!$F$2:$F$2604,""))</f>
        <v/>
      </c>
      <c r="I1109" s="44" t="str">
        <f t="array" ref="I1109">IF(B1109="","",_xlfn.XLOOKUP(B1109,'Form responses 1'!$B$2:$B$2604,'Form responses 1'!$I$2:$I$2604,""))</f>
        <v/>
      </c>
      <c r="J1109" s="44" t="str">
        <f t="array" ref="J1109">IF(B1109="","",_xlfn.XLOOKUP(B1109,'Form responses 1'!$B$2:$B$2604,'Form responses 1'!$G$2:$G$2604,""))</f>
        <v/>
      </c>
      <c r="K1109" s="56"/>
      <c r="L1109" s="58" t="str">
        <f t="shared" si="7"/>
        <v/>
      </c>
      <c r="M1109" s="49"/>
      <c r="N1109" s="49"/>
      <c r="O1109" s="49"/>
      <c r="P1109" s="49"/>
      <c r="Q1109" s="49"/>
      <c r="R1109" s="49"/>
      <c r="S1109" s="49"/>
      <c r="T1109" s="49"/>
      <c r="U1109" s="49"/>
      <c r="V1109" s="49"/>
      <c r="W1109" s="56"/>
      <c r="X1109" s="51" t="str">
        <f t="shared" si="5"/>
        <v/>
      </c>
      <c r="Y1109" s="50" t="s">
        <v>482</v>
      </c>
      <c r="Z1109" s="49">
        <f t="shared" si="6"/>
        <v>0</v>
      </c>
    </row>
    <row r="1110" ht="22.5" customHeight="1">
      <c r="B1110" s="57"/>
      <c r="C1110" s="43" t="str">
        <f t="array" ref="C1110">IF(B1110="","",_xlfn.XLOOKUP(B1110,'Form responses 1'!$B$2:$B$2604,'Form responses 1'!$A$2:$A$2604,""))</f>
        <v/>
      </c>
      <c r="D1110" s="44" t="str">
        <f t="shared" si="3"/>
        <v/>
      </c>
      <c r="E1110" s="44" t="str">
        <f t="array" ref="E1110">IF(B1110="","",_xlfn.XLOOKUP(B1110,'Form responses 1'!$B$2:$B$2604,'Form responses 1'!$C$2:$C$2604,""))</f>
        <v/>
      </c>
      <c r="F1110" s="44" t="str">
        <f t="array" ref="F1110">IF(B1110="","",_xlfn.XLOOKUP(B1110,'Form responses 1'!$B$2:$B$2604,'Form responses 1'!$D$2:$D$2604,""))</f>
        <v/>
      </c>
      <c r="G1110" s="44" t="str">
        <f t="array" ref="G1110">IF(B1110="","",_xlfn.XLOOKUP(B1110,'Form responses 1'!$B$2:$B$2604,'Form responses 1'!$E$2:$E$2604,""))</f>
        <v/>
      </c>
      <c r="H1110" s="44" t="str">
        <f t="array" ref="H1110">IF(B1110="","",_xlfn.XLOOKUP(B1110,'Form responses 1'!$B$2:$B$2604,'Form responses 1'!$F$2:$F$2604,""))</f>
        <v/>
      </c>
      <c r="I1110" s="44" t="str">
        <f t="array" ref="I1110">IF(B1110="","",_xlfn.XLOOKUP(B1110,'Form responses 1'!$B$2:$B$2604,'Form responses 1'!$I$2:$I$2604,""))</f>
        <v/>
      </c>
      <c r="J1110" s="44" t="str">
        <f t="array" ref="J1110">IF(B1110="","",_xlfn.XLOOKUP(B1110,'Form responses 1'!$B$2:$B$2604,'Form responses 1'!$G$2:$G$2604,""))</f>
        <v/>
      </c>
      <c r="K1110" s="56"/>
      <c r="L1110" s="58" t="str">
        <f t="shared" si="7"/>
        <v/>
      </c>
      <c r="M1110" s="49"/>
      <c r="N1110" s="49"/>
      <c r="O1110" s="49"/>
      <c r="P1110" s="49"/>
      <c r="Q1110" s="49"/>
      <c r="R1110" s="49"/>
      <c r="S1110" s="49"/>
      <c r="T1110" s="49"/>
      <c r="U1110" s="49"/>
      <c r="V1110" s="49"/>
      <c r="W1110" s="56"/>
      <c r="X1110" s="51" t="str">
        <f t="shared" si="5"/>
        <v/>
      </c>
      <c r="Y1110" s="50" t="s">
        <v>482</v>
      </c>
      <c r="Z1110" s="49">
        <f t="shared" si="6"/>
        <v>0</v>
      </c>
    </row>
    <row r="1111" ht="22.5" customHeight="1">
      <c r="B1111" s="57"/>
      <c r="C1111" s="43" t="str">
        <f t="array" ref="C1111">IF(B1111="","",_xlfn.XLOOKUP(B1111,'Form responses 1'!$B$2:$B$2604,'Form responses 1'!$A$2:$A$2604,""))</f>
        <v/>
      </c>
      <c r="D1111" s="44" t="str">
        <f t="shared" si="3"/>
        <v/>
      </c>
      <c r="E1111" s="44" t="str">
        <f t="array" ref="E1111">IF(B1111="","",_xlfn.XLOOKUP(B1111,'Form responses 1'!$B$2:$B$2604,'Form responses 1'!$C$2:$C$2604,""))</f>
        <v/>
      </c>
      <c r="F1111" s="44" t="str">
        <f t="array" ref="F1111">IF(B1111="","",_xlfn.XLOOKUP(B1111,'Form responses 1'!$B$2:$B$2604,'Form responses 1'!$D$2:$D$2604,""))</f>
        <v/>
      </c>
      <c r="G1111" s="44" t="str">
        <f t="array" ref="G1111">IF(B1111="","",_xlfn.XLOOKUP(B1111,'Form responses 1'!$B$2:$B$2604,'Form responses 1'!$E$2:$E$2604,""))</f>
        <v/>
      </c>
      <c r="H1111" s="44" t="str">
        <f t="array" ref="H1111">IF(B1111="","",_xlfn.XLOOKUP(B1111,'Form responses 1'!$B$2:$B$2604,'Form responses 1'!$F$2:$F$2604,""))</f>
        <v/>
      </c>
      <c r="I1111" s="44" t="str">
        <f t="array" ref="I1111">IF(B1111="","",_xlfn.XLOOKUP(B1111,'Form responses 1'!$B$2:$B$2604,'Form responses 1'!$I$2:$I$2604,""))</f>
        <v/>
      </c>
      <c r="J1111" s="44" t="str">
        <f t="array" ref="J1111">IF(B1111="","",_xlfn.XLOOKUP(B1111,'Form responses 1'!$B$2:$B$2604,'Form responses 1'!$G$2:$G$2604,""))</f>
        <v/>
      </c>
      <c r="K1111" s="56"/>
      <c r="L1111" s="58" t="str">
        <f t="shared" si="7"/>
        <v/>
      </c>
      <c r="M1111" s="49"/>
      <c r="N1111" s="49"/>
      <c r="O1111" s="49"/>
      <c r="P1111" s="49"/>
      <c r="Q1111" s="49"/>
      <c r="R1111" s="49"/>
      <c r="S1111" s="49"/>
      <c r="T1111" s="49"/>
      <c r="U1111" s="49"/>
      <c r="V1111" s="49"/>
      <c r="W1111" s="56"/>
      <c r="X1111" s="51" t="str">
        <f t="shared" si="5"/>
        <v/>
      </c>
      <c r="Y1111" s="50" t="s">
        <v>482</v>
      </c>
      <c r="Z1111" s="49">
        <f t="shared" si="6"/>
        <v>0</v>
      </c>
    </row>
    <row r="1112" ht="22.5" customHeight="1">
      <c r="B1112" s="57"/>
      <c r="C1112" s="43" t="str">
        <f t="array" ref="C1112">IF(B1112="","",_xlfn.XLOOKUP(B1112,'Form responses 1'!$B$2:$B$2604,'Form responses 1'!$A$2:$A$2604,""))</f>
        <v/>
      </c>
      <c r="D1112" s="44" t="str">
        <f t="shared" si="3"/>
        <v/>
      </c>
      <c r="E1112" s="44" t="str">
        <f t="array" ref="E1112">IF(B1112="","",_xlfn.XLOOKUP(B1112,'Form responses 1'!$B$2:$B$2604,'Form responses 1'!$C$2:$C$2604,""))</f>
        <v/>
      </c>
      <c r="F1112" s="44" t="str">
        <f t="array" ref="F1112">IF(B1112="","",_xlfn.XLOOKUP(B1112,'Form responses 1'!$B$2:$B$2604,'Form responses 1'!$D$2:$D$2604,""))</f>
        <v/>
      </c>
      <c r="G1112" s="44" t="str">
        <f t="array" ref="G1112">IF(B1112="","",_xlfn.XLOOKUP(B1112,'Form responses 1'!$B$2:$B$2604,'Form responses 1'!$E$2:$E$2604,""))</f>
        <v/>
      </c>
      <c r="H1112" s="44" t="str">
        <f t="array" ref="H1112">IF(B1112="","",_xlfn.XLOOKUP(B1112,'Form responses 1'!$B$2:$B$2604,'Form responses 1'!$F$2:$F$2604,""))</f>
        <v/>
      </c>
      <c r="I1112" s="44" t="str">
        <f t="array" ref="I1112">IF(B1112="","",_xlfn.XLOOKUP(B1112,'Form responses 1'!$B$2:$B$2604,'Form responses 1'!$I$2:$I$2604,""))</f>
        <v/>
      </c>
      <c r="J1112" s="44" t="str">
        <f t="array" ref="J1112">IF(B1112="","",_xlfn.XLOOKUP(B1112,'Form responses 1'!$B$2:$B$2604,'Form responses 1'!$G$2:$G$2604,""))</f>
        <v/>
      </c>
      <c r="K1112" s="56"/>
      <c r="L1112" s="58" t="str">
        <f t="shared" si="7"/>
        <v/>
      </c>
      <c r="M1112" s="49"/>
      <c r="N1112" s="49"/>
      <c r="O1112" s="49"/>
      <c r="P1112" s="49"/>
      <c r="Q1112" s="49"/>
      <c r="R1112" s="49"/>
      <c r="S1112" s="49"/>
      <c r="T1112" s="49"/>
      <c r="U1112" s="49"/>
      <c r="V1112" s="49"/>
      <c r="W1112" s="56"/>
      <c r="X1112" s="51" t="str">
        <f t="shared" si="5"/>
        <v/>
      </c>
      <c r="Y1112" s="50" t="s">
        <v>482</v>
      </c>
      <c r="Z1112" s="49">
        <f t="shared" si="6"/>
        <v>0</v>
      </c>
    </row>
    <row r="1113" ht="22.5" customHeight="1">
      <c r="B1113" s="57"/>
      <c r="C1113" s="43" t="str">
        <f t="array" ref="C1113">IF(B1113="","",_xlfn.XLOOKUP(B1113,'Form responses 1'!$B$2:$B$2604,'Form responses 1'!$A$2:$A$2604,""))</f>
        <v/>
      </c>
      <c r="D1113" s="44" t="str">
        <f t="shared" si="3"/>
        <v/>
      </c>
      <c r="E1113" s="44" t="str">
        <f t="array" ref="E1113">IF(B1113="","",_xlfn.XLOOKUP(B1113,'Form responses 1'!$B$2:$B$2604,'Form responses 1'!$C$2:$C$2604,""))</f>
        <v/>
      </c>
      <c r="F1113" s="44" t="str">
        <f t="array" ref="F1113">IF(B1113="","",_xlfn.XLOOKUP(B1113,'Form responses 1'!$B$2:$B$2604,'Form responses 1'!$D$2:$D$2604,""))</f>
        <v/>
      </c>
      <c r="G1113" s="44" t="str">
        <f t="array" ref="G1113">IF(B1113="","",_xlfn.XLOOKUP(B1113,'Form responses 1'!$B$2:$B$2604,'Form responses 1'!$E$2:$E$2604,""))</f>
        <v/>
      </c>
      <c r="H1113" s="44" t="str">
        <f t="array" ref="H1113">IF(B1113="","",_xlfn.XLOOKUP(B1113,'Form responses 1'!$B$2:$B$2604,'Form responses 1'!$F$2:$F$2604,""))</f>
        <v/>
      </c>
      <c r="I1113" s="44" t="str">
        <f t="array" ref="I1113">IF(B1113="","",_xlfn.XLOOKUP(B1113,'Form responses 1'!$B$2:$B$2604,'Form responses 1'!$I$2:$I$2604,""))</f>
        <v/>
      </c>
      <c r="J1113" s="44" t="str">
        <f t="array" ref="J1113">IF(B1113="","",_xlfn.XLOOKUP(B1113,'Form responses 1'!$B$2:$B$2604,'Form responses 1'!$G$2:$G$2604,""))</f>
        <v/>
      </c>
      <c r="K1113" s="56"/>
      <c r="L1113" s="58" t="str">
        <f t="shared" si="7"/>
        <v/>
      </c>
      <c r="M1113" s="49"/>
      <c r="N1113" s="49"/>
      <c r="O1113" s="49"/>
      <c r="P1113" s="49"/>
      <c r="Q1113" s="49"/>
      <c r="R1113" s="49"/>
      <c r="S1113" s="49"/>
      <c r="T1113" s="49"/>
      <c r="U1113" s="49"/>
      <c r="V1113" s="49"/>
      <c r="W1113" s="56"/>
      <c r="X1113" s="51" t="str">
        <f t="shared" si="5"/>
        <v/>
      </c>
      <c r="Y1113" s="50" t="s">
        <v>482</v>
      </c>
      <c r="Z1113" s="49">
        <f t="shared" si="6"/>
        <v>0</v>
      </c>
    </row>
    <row r="1114" ht="22.5" customHeight="1">
      <c r="B1114" s="57"/>
      <c r="C1114" s="43" t="str">
        <f t="array" ref="C1114">IF(B1114="","",_xlfn.XLOOKUP(B1114,'Form responses 1'!$B$2:$B$2604,'Form responses 1'!$A$2:$A$2604,""))</f>
        <v/>
      </c>
      <c r="D1114" s="44" t="str">
        <f t="shared" si="3"/>
        <v/>
      </c>
      <c r="E1114" s="44" t="str">
        <f t="array" ref="E1114">IF(B1114="","",_xlfn.XLOOKUP(B1114,'Form responses 1'!$B$2:$B$2604,'Form responses 1'!$C$2:$C$2604,""))</f>
        <v/>
      </c>
      <c r="F1114" s="44" t="str">
        <f t="array" ref="F1114">IF(B1114="","",_xlfn.XLOOKUP(B1114,'Form responses 1'!$B$2:$B$2604,'Form responses 1'!$D$2:$D$2604,""))</f>
        <v/>
      </c>
      <c r="G1114" s="44" t="str">
        <f t="array" ref="G1114">IF(B1114="","",_xlfn.XLOOKUP(B1114,'Form responses 1'!$B$2:$B$2604,'Form responses 1'!$E$2:$E$2604,""))</f>
        <v/>
      </c>
      <c r="H1114" s="44" t="str">
        <f t="array" ref="H1114">IF(B1114="","",_xlfn.XLOOKUP(B1114,'Form responses 1'!$B$2:$B$2604,'Form responses 1'!$F$2:$F$2604,""))</f>
        <v/>
      </c>
      <c r="I1114" s="44" t="str">
        <f t="array" ref="I1114">IF(B1114="","",_xlfn.XLOOKUP(B1114,'Form responses 1'!$B$2:$B$2604,'Form responses 1'!$I$2:$I$2604,""))</f>
        <v/>
      </c>
      <c r="J1114" s="44" t="str">
        <f t="array" ref="J1114">IF(B1114="","",_xlfn.XLOOKUP(B1114,'Form responses 1'!$B$2:$B$2604,'Form responses 1'!$G$2:$G$2604,""))</f>
        <v/>
      </c>
      <c r="K1114" s="56"/>
      <c r="L1114" s="58" t="str">
        <f t="shared" si="7"/>
        <v/>
      </c>
      <c r="M1114" s="49"/>
      <c r="N1114" s="49"/>
      <c r="O1114" s="49"/>
      <c r="P1114" s="49"/>
      <c r="Q1114" s="49"/>
      <c r="R1114" s="49"/>
      <c r="S1114" s="49"/>
      <c r="T1114" s="49"/>
      <c r="U1114" s="49"/>
      <c r="V1114" s="49"/>
      <c r="W1114" s="56"/>
      <c r="X1114" s="51" t="str">
        <f t="shared" si="5"/>
        <v/>
      </c>
      <c r="Y1114" s="50" t="s">
        <v>482</v>
      </c>
      <c r="Z1114" s="49">
        <f t="shared" si="6"/>
        <v>0</v>
      </c>
    </row>
    <row r="1115" ht="22.5" customHeight="1">
      <c r="B1115" s="57"/>
      <c r="C1115" s="43" t="str">
        <f t="array" ref="C1115">IF(B1115="","",_xlfn.XLOOKUP(B1115,'Form responses 1'!$B$2:$B$2604,'Form responses 1'!$A$2:$A$2604,""))</f>
        <v/>
      </c>
      <c r="D1115" s="44" t="str">
        <f t="shared" si="3"/>
        <v/>
      </c>
      <c r="E1115" s="44" t="str">
        <f t="array" ref="E1115">IF(B1115="","",_xlfn.XLOOKUP(B1115,'Form responses 1'!$B$2:$B$2604,'Form responses 1'!$C$2:$C$2604,""))</f>
        <v/>
      </c>
      <c r="F1115" s="44" t="str">
        <f t="array" ref="F1115">IF(B1115="","",_xlfn.XLOOKUP(B1115,'Form responses 1'!$B$2:$B$2604,'Form responses 1'!$D$2:$D$2604,""))</f>
        <v/>
      </c>
      <c r="G1115" s="44" t="str">
        <f t="array" ref="G1115">IF(B1115="","",_xlfn.XLOOKUP(B1115,'Form responses 1'!$B$2:$B$2604,'Form responses 1'!$E$2:$E$2604,""))</f>
        <v/>
      </c>
      <c r="H1115" s="44" t="str">
        <f t="array" ref="H1115">IF(B1115="","",_xlfn.XLOOKUP(B1115,'Form responses 1'!$B$2:$B$2604,'Form responses 1'!$F$2:$F$2604,""))</f>
        <v/>
      </c>
      <c r="I1115" s="44" t="str">
        <f t="array" ref="I1115">IF(B1115="","",_xlfn.XLOOKUP(B1115,'Form responses 1'!$B$2:$B$2604,'Form responses 1'!$I$2:$I$2604,""))</f>
        <v/>
      </c>
      <c r="J1115" s="44" t="str">
        <f t="array" ref="J1115">IF(B1115="","",_xlfn.XLOOKUP(B1115,'Form responses 1'!$B$2:$B$2604,'Form responses 1'!$G$2:$G$2604,""))</f>
        <v/>
      </c>
      <c r="K1115" s="56"/>
      <c r="L1115" s="58" t="str">
        <f t="shared" si="7"/>
        <v/>
      </c>
      <c r="M1115" s="49"/>
      <c r="N1115" s="49"/>
      <c r="O1115" s="49"/>
      <c r="P1115" s="49"/>
      <c r="Q1115" s="49"/>
      <c r="R1115" s="49"/>
      <c r="S1115" s="49"/>
      <c r="T1115" s="49"/>
      <c r="U1115" s="49"/>
      <c r="V1115" s="49"/>
      <c r="W1115" s="56"/>
      <c r="X1115" s="51" t="str">
        <f t="shared" si="5"/>
        <v/>
      </c>
      <c r="Y1115" s="50" t="s">
        <v>482</v>
      </c>
      <c r="Z1115" s="49">
        <f t="shared" si="6"/>
        <v>0</v>
      </c>
    </row>
    <row r="1116" ht="22.5" customHeight="1">
      <c r="B1116" s="57"/>
      <c r="C1116" s="43" t="str">
        <f t="array" ref="C1116">IF(B1116="","",_xlfn.XLOOKUP(B1116,'Form responses 1'!$B$2:$B$2604,'Form responses 1'!$A$2:$A$2604,""))</f>
        <v/>
      </c>
      <c r="D1116" s="44" t="str">
        <f t="shared" si="3"/>
        <v/>
      </c>
      <c r="E1116" s="44" t="str">
        <f t="array" ref="E1116">IF(B1116="","",_xlfn.XLOOKUP(B1116,'Form responses 1'!$B$2:$B$2604,'Form responses 1'!$C$2:$C$2604,""))</f>
        <v/>
      </c>
      <c r="F1116" s="44" t="str">
        <f t="array" ref="F1116">IF(B1116="","",_xlfn.XLOOKUP(B1116,'Form responses 1'!$B$2:$B$2604,'Form responses 1'!$D$2:$D$2604,""))</f>
        <v/>
      </c>
      <c r="G1116" s="44" t="str">
        <f t="array" ref="G1116">IF(B1116="","",_xlfn.XLOOKUP(B1116,'Form responses 1'!$B$2:$B$2604,'Form responses 1'!$E$2:$E$2604,""))</f>
        <v/>
      </c>
      <c r="H1116" s="44" t="str">
        <f t="array" ref="H1116">IF(B1116="","",_xlfn.XLOOKUP(B1116,'Form responses 1'!$B$2:$B$2604,'Form responses 1'!$F$2:$F$2604,""))</f>
        <v/>
      </c>
      <c r="I1116" s="44" t="str">
        <f t="array" ref="I1116">IF(B1116="","",_xlfn.XLOOKUP(B1116,'Form responses 1'!$B$2:$B$2604,'Form responses 1'!$I$2:$I$2604,""))</f>
        <v/>
      </c>
      <c r="J1116" s="44" t="str">
        <f t="array" ref="J1116">IF(B1116="","",_xlfn.XLOOKUP(B1116,'Form responses 1'!$B$2:$B$2604,'Form responses 1'!$G$2:$G$2604,""))</f>
        <v/>
      </c>
      <c r="K1116" s="56"/>
      <c r="L1116" s="58" t="str">
        <f t="shared" si="7"/>
        <v/>
      </c>
      <c r="M1116" s="49"/>
      <c r="N1116" s="49"/>
      <c r="O1116" s="49"/>
      <c r="P1116" s="49"/>
      <c r="Q1116" s="49"/>
      <c r="R1116" s="49"/>
      <c r="S1116" s="49"/>
      <c r="T1116" s="49"/>
      <c r="U1116" s="49"/>
      <c r="V1116" s="49"/>
      <c r="W1116" s="56"/>
      <c r="X1116" s="51" t="str">
        <f t="shared" si="5"/>
        <v/>
      </c>
      <c r="Y1116" s="50" t="s">
        <v>482</v>
      </c>
      <c r="Z1116" s="49">
        <f t="shared" si="6"/>
        <v>0</v>
      </c>
    </row>
    <row r="1117" ht="22.5" customHeight="1">
      <c r="B1117" s="57"/>
      <c r="C1117" s="43" t="str">
        <f t="array" ref="C1117">IF(B1117="","",_xlfn.XLOOKUP(B1117,'Form responses 1'!$B$2:$B$2604,'Form responses 1'!$A$2:$A$2604,""))</f>
        <v/>
      </c>
      <c r="D1117" s="44" t="str">
        <f t="shared" si="3"/>
        <v/>
      </c>
      <c r="E1117" s="44" t="str">
        <f t="array" ref="E1117">IF(B1117="","",_xlfn.XLOOKUP(B1117,'Form responses 1'!$B$2:$B$2604,'Form responses 1'!$C$2:$C$2604,""))</f>
        <v/>
      </c>
      <c r="F1117" s="44" t="str">
        <f t="array" ref="F1117">IF(B1117="","",_xlfn.XLOOKUP(B1117,'Form responses 1'!$B$2:$B$2604,'Form responses 1'!$D$2:$D$2604,""))</f>
        <v/>
      </c>
      <c r="G1117" s="44" t="str">
        <f t="array" ref="G1117">IF(B1117="","",_xlfn.XLOOKUP(B1117,'Form responses 1'!$B$2:$B$2604,'Form responses 1'!$E$2:$E$2604,""))</f>
        <v/>
      </c>
      <c r="H1117" s="44" t="str">
        <f t="array" ref="H1117">IF(B1117="","",_xlfn.XLOOKUP(B1117,'Form responses 1'!$B$2:$B$2604,'Form responses 1'!$F$2:$F$2604,""))</f>
        <v/>
      </c>
      <c r="I1117" s="44" t="str">
        <f t="array" ref="I1117">IF(B1117="","",_xlfn.XLOOKUP(B1117,'Form responses 1'!$B$2:$B$2604,'Form responses 1'!$I$2:$I$2604,""))</f>
        <v/>
      </c>
      <c r="J1117" s="44" t="str">
        <f t="array" ref="J1117">IF(B1117="","",_xlfn.XLOOKUP(B1117,'Form responses 1'!$B$2:$B$2604,'Form responses 1'!$G$2:$G$2604,""))</f>
        <v/>
      </c>
      <c r="K1117" s="56"/>
      <c r="L1117" s="58" t="str">
        <f t="shared" si="7"/>
        <v/>
      </c>
      <c r="M1117" s="49"/>
      <c r="N1117" s="49"/>
      <c r="O1117" s="49"/>
      <c r="P1117" s="49"/>
      <c r="Q1117" s="49"/>
      <c r="R1117" s="49"/>
      <c r="S1117" s="49"/>
      <c r="T1117" s="49"/>
      <c r="U1117" s="49"/>
      <c r="V1117" s="49"/>
      <c r="W1117" s="56"/>
      <c r="X1117" s="51" t="str">
        <f t="shared" si="5"/>
        <v/>
      </c>
      <c r="Y1117" s="50" t="s">
        <v>482</v>
      </c>
      <c r="Z1117" s="49">
        <f t="shared" si="6"/>
        <v>0</v>
      </c>
    </row>
    <row r="1118" ht="22.5" customHeight="1">
      <c r="B1118" s="57"/>
      <c r="C1118" s="43" t="str">
        <f t="array" ref="C1118">IF(B1118="","",_xlfn.XLOOKUP(B1118,'Form responses 1'!$B$2:$B$2604,'Form responses 1'!$A$2:$A$2604,""))</f>
        <v/>
      </c>
      <c r="D1118" s="44" t="str">
        <f t="shared" si="3"/>
        <v/>
      </c>
      <c r="E1118" s="44" t="str">
        <f t="array" ref="E1118">IF(B1118="","",_xlfn.XLOOKUP(B1118,'Form responses 1'!$B$2:$B$2604,'Form responses 1'!$C$2:$C$2604,""))</f>
        <v/>
      </c>
      <c r="F1118" s="44" t="str">
        <f t="array" ref="F1118">IF(B1118="","",_xlfn.XLOOKUP(B1118,'Form responses 1'!$B$2:$B$2604,'Form responses 1'!$D$2:$D$2604,""))</f>
        <v/>
      </c>
      <c r="G1118" s="44" t="str">
        <f t="array" ref="G1118">IF(B1118="","",_xlfn.XLOOKUP(B1118,'Form responses 1'!$B$2:$B$2604,'Form responses 1'!$E$2:$E$2604,""))</f>
        <v/>
      </c>
      <c r="H1118" s="44" t="str">
        <f t="array" ref="H1118">IF(B1118="","",_xlfn.XLOOKUP(B1118,'Form responses 1'!$B$2:$B$2604,'Form responses 1'!$F$2:$F$2604,""))</f>
        <v/>
      </c>
      <c r="I1118" s="44" t="str">
        <f t="array" ref="I1118">IF(B1118="","",_xlfn.XLOOKUP(B1118,'Form responses 1'!$B$2:$B$2604,'Form responses 1'!$I$2:$I$2604,""))</f>
        <v/>
      </c>
      <c r="J1118" s="44" t="str">
        <f t="array" ref="J1118">IF(B1118="","",_xlfn.XLOOKUP(B1118,'Form responses 1'!$B$2:$B$2604,'Form responses 1'!$G$2:$G$2604,""))</f>
        <v/>
      </c>
      <c r="K1118" s="56"/>
      <c r="L1118" s="58" t="str">
        <f t="shared" si="7"/>
        <v/>
      </c>
      <c r="M1118" s="49"/>
      <c r="N1118" s="49"/>
      <c r="O1118" s="49"/>
      <c r="P1118" s="49"/>
      <c r="Q1118" s="49"/>
      <c r="R1118" s="49"/>
      <c r="S1118" s="49"/>
      <c r="T1118" s="49"/>
      <c r="U1118" s="49"/>
      <c r="V1118" s="49"/>
      <c r="W1118" s="56"/>
      <c r="X1118" s="51" t="str">
        <f t="shared" si="5"/>
        <v/>
      </c>
      <c r="Y1118" s="50" t="s">
        <v>482</v>
      </c>
      <c r="Z1118" s="49">
        <f t="shared" si="6"/>
        <v>0</v>
      </c>
    </row>
    <row r="1119" ht="22.5" customHeight="1">
      <c r="B1119" s="57"/>
      <c r="C1119" s="43" t="str">
        <f t="array" ref="C1119">IF(B1119="","",_xlfn.XLOOKUP(B1119,'Form responses 1'!$B$2:$B$2604,'Form responses 1'!$A$2:$A$2604,""))</f>
        <v/>
      </c>
      <c r="D1119" s="44" t="str">
        <f t="shared" si="3"/>
        <v/>
      </c>
      <c r="E1119" s="44" t="str">
        <f t="array" ref="E1119">IF(B1119="","",_xlfn.XLOOKUP(B1119,'Form responses 1'!$B$2:$B$2604,'Form responses 1'!$C$2:$C$2604,""))</f>
        <v/>
      </c>
      <c r="F1119" s="44" t="str">
        <f t="array" ref="F1119">IF(B1119="","",_xlfn.XLOOKUP(B1119,'Form responses 1'!$B$2:$B$2604,'Form responses 1'!$D$2:$D$2604,""))</f>
        <v/>
      </c>
      <c r="G1119" s="44" t="str">
        <f t="array" ref="G1119">IF(B1119="","",_xlfn.XLOOKUP(B1119,'Form responses 1'!$B$2:$B$2604,'Form responses 1'!$E$2:$E$2604,""))</f>
        <v/>
      </c>
      <c r="H1119" s="44" t="str">
        <f t="array" ref="H1119">IF(B1119="","",_xlfn.XLOOKUP(B1119,'Form responses 1'!$B$2:$B$2604,'Form responses 1'!$F$2:$F$2604,""))</f>
        <v/>
      </c>
      <c r="I1119" s="44" t="str">
        <f t="array" ref="I1119">IF(B1119="","",_xlfn.XLOOKUP(B1119,'Form responses 1'!$B$2:$B$2604,'Form responses 1'!$I$2:$I$2604,""))</f>
        <v/>
      </c>
      <c r="J1119" s="44" t="str">
        <f t="array" ref="J1119">IF(B1119="","",_xlfn.XLOOKUP(B1119,'Form responses 1'!$B$2:$B$2604,'Form responses 1'!$G$2:$G$2604,""))</f>
        <v/>
      </c>
      <c r="K1119" s="56"/>
      <c r="L1119" s="58" t="str">
        <f t="shared" si="7"/>
        <v/>
      </c>
      <c r="M1119" s="49"/>
      <c r="N1119" s="49"/>
      <c r="O1119" s="49"/>
      <c r="P1119" s="49"/>
      <c r="Q1119" s="49"/>
      <c r="R1119" s="49"/>
      <c r="S1119" s="49"/>
      <c r="T1119" s="49"/>
      <c r="U1119" s="49"/>
      <c r="V1119" s="49"/>
      <c r="W1119" s="56"/>
      <c r="X1119" s="51" t="str">
        <f t="shared" si="5"/>
        <v/>
      </c>
      <c r="Y1119" s="50" t="s">
        <v>482</v>
      </c>
      <c r="Z1119" s="49">
        <f t="shared" si="6"/>
        <v>0</v>
      </c>
    </row>
    <row r="1120" ht="22.5" customHeight="1">
      <c r="B1120" s="57"/>
      <c r="C1120" s="43" t="str">
        <f t="array" ref="C1120">IF(B1120="","",_xlfn.XLOOKUP(B1120,'Form responses 1'!$B$2:$B$2604,'Form responses 1'!$A$2:$A$2604,""))</f>
        <v/>
      </c>
      <c r="D1120" s="44" t="str">
        <f t="shared" si="3"/>
        <v/>
      </c>
      <c r="E1120" s="44" t="str">
        <f t="array" ref="E1120">IF(B1120="","",_xlfn.XLOOKUP(B1120,'Form responses 1'!$B$2:$B$2604,'Form responses 1'!$C$2:$C$2604,""))</f>
        <v/>
      </c>
      <c r="F1120" s="44" t="str">
        <f t="array" ref="F1120">IF(B1120="","",_xlfn.XLOOKUP(B1120,'Form responses 1'!$B$2:$B$2604,'Form responses 1'!$D$2:$D$2604,""))</f>
        <v/>
      </c>
      <c r="G1120" s="44" t="str">
        <f t="array" ref="G1120">IF(B1120="","",_xlfn.XLOOKUP(B1120,'Form responses 1'!$B$2:$B$2604,'Form responses 1'!$E$2:$E$2604,""))</f>
        <v/>
      </c>
      <c r="H1120" s="44" t="str">
        <f t="array" ref="H1120">IF(B1120="","",_xlfn.XLOOKUP(B1120,'Form responses 1'!$B$2:$B$2604,'Form responses 1'!$F$2:$F$2604,""))</f>
        <v/>
      </c>
      <c r="I1120" s="44" t="str">
        <f t="array" ref="I1120">IF(B1120="","",_xlfn.XLOOKUP(B1120,'Form responses 1'!$B$2:$B$2604,'Form responses 1'!$I$2:$I$2604,""))</f>
        <v/>
      </c>
      <c r="J1120" s="44" t="str">
        <f t="array" ref="J1120">IF(B1120="","",_xlfn.XLOOKUP(B1120,'Form responses 1'!$B$2:$B$2604,'Form responses 1'!$G$2:$G$2604,""))</f>
        <v/>
      </c>
      <c r="K1120" s="56"/>
      <c r="L1120" s="58" t="str">
        <f t="shared" si="7"/>
        <v/>
      </c>
      <c r="M1120" s="49"/>
      <c r="N1120" s="49"/>
      <c r="O1120" s="49"/>
      <c r="P1120" s="49"/>
      <c r="Q1120" s="49"/>
      <c r="R1120" s="49"/>
      <c r="S1120" s="49"/>
      <c r="T1120" s="49"/>
      <c r="U1120" s="49"/>
      <c r="V1120" s="49"/>
      <c r="W1120" s="56"/>
      <c r="X1120" s="51" t="str">
        <f t="shared" si="5"/>
        <v/>
      </c>
      <c r="Y1120" s="50" t="s">
        <v>482</v>
      </c>
      <c r="Z1120" s="49">
        <f t="shared" si="6"/>
        <v>0</v>
      </c>
    </row>
    <row r="1121" ht="22.5" customHeight="1">
      <c r="B1121" s="57"/>
      <c r="C1121" s="43" t="str">
        <f t="array" ref="C1121">IF(B1121="","",_xlfn.XLOOKUP(B1121,'Form responses 1'!$B$2:$B$2604,'Form responses 1'!$A$2:$A$2604,""))</f>
        <v/>
      </c>
      <c r="D1121" s="44" t="str">
        <f t="shared" si="3"/>
        <v/>
      </c>
      <c r="E1121" s="44" t="str">
        <f t="array" ref="E1121">IF(B1121="","",_xlfn.XLOOKUP(B1121,'Form responses 1'!$B$2:$B$2604,'Form responses 1'!$C$2:$C$2604,""))</f>
        <v/>
      </c>
      <c r="F1121" s="44" t="str">
        <f t="array" ref="F1121">IF(B1121="","",_xlfn.XLOOKUP(B1121,'Form responses 1'!$B$2:$B$2604,'Form responses 1'!$D$2:$D$2604,""))</f>
        <v/>
      </c>
      <c r="G1121" s="44" t="str">
        <f t="array" ref="G1121">IF(B1121="","",_xlfn.XLOOKUP(B1121,'Form responses 1'!$B$2:$B$2604,'Form responses 1'!$E$2:$E$2604,""))</f>
        <v/>
      </c>
      <c r="H1121" s="44" t="str">
        <f t="array" ref="H1121">IF(B1121="","",_xlfn.XLOOKUP(B1121,'Form responses 1'!$B$2:$B$2604,'Form responses 1'!$F$2:$F$2604,""))</f>
        <v/>
      </c>
      <c r="I1121" s="44" t="str">
        <f t="array" ref="I1121">IF(B1121="","",_xlfn.XLOOKUP(B1121,'Form responses 1'!$B$2:$B$2604,'Form responses 1'!$I$2:$I$2604,""))</f>
        <v/>
      </c>
      <c r="J1121" s="44" t="str">
        <f t="array" ref="J1121">IF(B1121="","",_xlfn.XLOOKUP(B1121,'Form responses 1'!$B$2:$B$2604,'Form responses 1'!$G$2:$G$2604,""))</f>
        <v/>
      </c>
      <c r="K1121" s="56"/>
      <c r="L1121" s="58" t="str">
        <f t="shared" si="7"/>
        <v/>
      </c>
      <c r="M1121" s="49"/>
      <c r="N1121" s="49"/>
      <c r="O1121" s="49"/>
      <c r="P1121" s="49"/>
      <c r="Q1121" s="49"/>
      <c r="R1121" s="49"/>
      <c r="S1121" s="49"/>
      <c r="T1121" s="49"/>
      <c r="U1121" s="49"/>
      <c r="V1121" s="49"/>
      <c r="W1121" s="56"/>
      <c r="X1121" s="51" t="str">
        <f t="shared" si="5"/>
        <v/>
      </c>
      <c r="Y1121" s="50" t="s">
        <v>482</v>
      </c>
      <c r="Z1121" s="49">
        <f t="shared" si="6"/>
        <v>0</v>
      </c>
    </row>
    <row r="1122" ht="22.5" customHeight="1">
      <c r="B1122" s="57"/>
      <c r="C1122" s="43" t="str">
        <f t="array" ref="C1122">IF(B1122="","",_xlfn.XLOOKUP(B1122,'Form responses 1'!$B$2:$B$2604,'Form responses 1'!$A$2:$A$2604,""))</f>
        <v/>
      </c>
      <c r="D1122" s="44" t="str">
        <f t="shared" si="3"/>
        <v/>
      </c>
      <c r="E1122" s="44" t="str">
        <f t="array" ref="E1122">IF(B1122="","",_xlfn.XLOOKUP(B1122,'Form responses 1'!$B$2:$B$2604,'Form responses 1'!$C$2:$C$2604,""))</f>
        <v/>
      </c>
      <c r="F1122" s="44" t="str">
        <f t="array" ref="F1122">IF(B1122="","",_xlfn.XLOOKUP(B1122,'Form responses 1'!$B$2:$B$2604,'Form responses 1'!$D$2:$D$2604,""))</f>
        <v/>
      </c>
      <c r="G1122" s="44" t="str">
        <f t="array" ref="G1122">IF(B1122="","",_xlfn.XLOOKUP(B1122,'Form responses 1'!$B$2:$B$2604,'Form responses 1'!$E$2:$E$2604,""))</f>
        <v/>
      </c>
      <c r="H1122" s="44" t="str">
        <f t="array" ref="H1122">IF(B1122="","",_xlfn.XLOOKUP(B1122,'Form responses 1'!$B$2:$B$2604,'Form responses 1'!$F$2:$F$2604,""))</f>
        <v/>
      </c>
      <c r="I1122" s="44" t="str">
        <f t="array" ref="I1122">IF(B1122="","",_xlfn.XLOOKUP(B1122,'Form responses 1'!$B$2:$B$2604,'Form responses 1'!$I$2:$I$2604,""))</f>
        <v/>
      </c>
      <c r="J1122" s="44" t="str">
        <f t="array" ref="J1122">IF(B1122="","",_xlfn.XLOOKUP(B1122,'Form responses 1'!$B$2:$B$2604,'Form responses 1'!$G$2:$G$2604,""))</f>
        <v/>
      </c>
      <c r="K1122" s="56"/>
      <c r="L1122" s="58" t="str">
        <f t="shared" si="7"/>
        <v/>
      </c>
      <c r="M1122" s="49"/>
      <c r="N1122" s="49"/>
      <c r="O1122" s="49"/>
      <c r="P1122" s="49"/>
      <c r="Q1122" s="49"/>
      <c r="R1122" s="49"/>
      <c r="S1122" s="49"/>
      <c r="T1122" s="49"/>
      <c r="U1122" s="49"/>
      <c r="V1122" s="49"/>
      <c r="W1122" s="56"/>
      <c r="X1122" s="51" t="str">
        <f t="shared" si="5"/>
        <v/>
      </c>
      <c r="Y1122" s="50" t="s">
        <v>482</v>
      </c>
      <c r="Z1122" s="49">
        <f t="shared" si="6"/>
        <v>0</v>
      </c>
    </row>
    <row r="1123" ht="22.5" customHeight="1">
      <c r="B1123" s="57"/>
      <c r="C1123" s="43" t="str">
        <f t="array" ref="C1123">IF(B1123="","",_xlfn.XLOOKUP(B1123,'Form responses 1'!$B$2:$B$2604,'Form responses 1'!$A$2:$A$2604,""))</f>
        <v/>
      </c>
      <c r="D1123" s="44" t="str">
        <f t="shared" si="3"/>
        <v/>
      </c>
      <c r="E1123" s="44" t="str">
        <f t="array" ref="E1123">IF(B1123="","",_xlfn.XLOOKUP(B1123,'Form responses 1'!$B$2:$B$2604,'Form responses 1'!$C$2:$C$2604,""))</f>
        <v/>
      </c>
      <c r="F1123" s="44" t="str">
        <f t="array" ref="F1123">IF(B1123="","",_xlfn.XLOOKUP(B1123,'Form responses 1'!$B$2:$B$2604,'Form responses 1'!$D$2:$D$2604,""))</f>
        <v/>
      </c>
      <c r="G1123" s="44" t="str">
        <f t="array" ref="G1123">IF(B1123="","",_xlfn.XLOOKUP(B1123,'Form responses 1'!$B$2:$B$2604,'Form responses 1'!$E$2:$E$2604,""))</f>
        <v/>
      </c>
      <c r="H1123" s="44" t="str">
        <f t="array" ref="H1123">IF(B1123="","",_xlfn.XLOOKUP(B1123,'Form responses 1'!$B$2:$B$2604,'Form responses 1'!$F$2:$F$2604,""))</f>
        <v/>
      </c>
      <c r="I1123" s="44" t="str">
        <f t="array" ref="I1123">IF(B1123="","",_xlfn.XLOOKUP(B1123,'Form responses 1'!$B$2:$B$2604,'Form responses 1'!$I$2:$I$2604,""))</f>
        <v/>
      </c>
      <c r="J1123" s="44" t="str">
        <f t="array" ref="J1123">IF(B1123="","",_xlfn.XLOOKUP(B1123,'Form responses 1'!$B$2:$B$2604,'Form responses 1'!$G$2:$G$2604,""))</f>
        <v/>
      </c>
      <c r="K1123" s="56"/>
      <c r="L1123" s="58" t="str">
        <f t="shared" si="7"/>
        <v/>
      </c>
      <c r="M1123" s="49"/>
      <c r="N1123" s="49"/>
      <c r="O1123" s="49"/>
      <c r="P1123" s="49"/>
      <c r="Q1123" s="49"/>
      <c r="R1123" s="49"/>
      <c r="S1123" s="49"/>
      <c r="T1123" s="49"/>
      <c r="U1123" s="49"/>
      <c r="V1123" s="49"/>
      <c r="W1123" s="56"/>
      <c r="X1123" s="51" t="str">
        <f t="shared" si="5"/>
        <v/>
      </c>
      <c r="Y1123" s="50" t="s">
        <v>482</v>
      </c>
      <c r="Z1123" s="49">
        <f t="shared" si="6"/>
        <v>0</v>
      </c>
    </row>
    <row r="1124" ht="22.5" customHeight="1">
      <c r="B1124" s="57"/>
      <c r="C1124" s="43" t="str">
        <f t="array" ref="C1124">IF(B1124="","",_xlfn.XLOOKUP(B1124,'Form responses 1'!$B$2:$B$2604,'Form responses 1'!$A$2:$A$2604,""))</f>
        <v/>
      </c>
      <c r="D1124" s="44" t="str">
        <f t="shared" si="3"/>
        <v/>
      </c>
      <c r="E1124" s="44" t="str">
        <f t="array" ref="E1124">IF(B1124="","",_xlfn.XLOOKUP(B1124,'Form responses 1'!$B$2:$B$2604,'Form responses 1'!$C$2:$C$2604,""))</f>
        <v/>
      </c>
      <c r="F1124" s="44" t="str">
        <f t="array" ref="F1124">IF(B1124="","",_xlfn.XLOOKUP(B1124,'Form responses 1'!$B$2:$B$2604,'Form responses 1'!$D$2:$D$2604,""))</f>
        <v/>
      </c>
      <c r="G1124" s="44" t="str">
        <f t="array" ref="G1124">IF(B1124="","",_xlfn.XLOOKUP(B1124,'Form responses 1'!$B$2:$B$2604,'Form responses 1'!$E$2:$E$2604,""))</f>
        <v/>
      </c>
      <c r="H1124" s="44" t="str">
        <f t="array" ref="H1124">IF(B1124="","",_xlfn.XLOOKUP(B1124,'Form responses 1'!$B$2:$B$2604,'Form responses 1'!$F$2:$F$2604,""))</f>
        <v/>
      </c>
      <c r="I1124" s="44" t="str">
        <f t="array" ref="I1124">IF(B1124="","",_xlfn.XLOOKUP(B1124,'Form responses 1'!$B$2:$B$2604,'Form responses 1'!$I$2:$I$2604,""))</f>
        <v/>
      </c>
      <c r="J1124" s="44" t="str">
        <f t="array" ref="J1124">IF(B1124="","",_xlfn.XLOOKUP(B1124,'Form responses 1'!$B$2:$B$2604,'Form responses 1'!$G$2:$G$2604,""))</f>
        <v/>
      </c>
      <c r="K1124" s="56"/>
      <c r="L1124" s="58" t="str">
        <f t="shared" si="7"/>
        <v/>
      </c>
      <c r="M1124" s="49"/>
      <c r="N1124" s="49"/>
      <c r="O1124" s="49"/>
      <c r="P1124" s="49"/>
      <c r="Q1124" s="49"/>
      <c r="R1124" s="49"/>
      <c r="S1124" s="49"/>
      <c r="T1124" s="49"/>
      <c r="U1124" s="49"/>
      <c r="V1124" s="49"/>
      <c r="W1124" s="56"/>
      <c r="X1124" s="51" t="str">
        <f t="shared" si="5"/>
        <v/>
      </c>
      <c r="Y1124" s="50" t="s">
        <v>482</v>
      </c>
      <c r="Z1124" s="49">
        <f t="shared" si="6"/>
        <v>0</v>
      </c>
    </row>
    <row r="1125" ht="22.5" customHeight="1">
      <c r="B1125" s="57"/>
      <c r="C1125" s="43" t="str">
        <f t="array" ref="C1125">IF(B1125="","",_xlfn.XLOOKUP(B1125,'Form responses 1'!$B$2:$B$2604,'Form responses 1'!$A$2:$A$2604,""))</f>
        <v/>
      </c>
      <c r="D1125" s="44" t="str">
        <f t="shared" si="3"/>
        <v/>
      </c>
      <c r="E1125" s="44" t="str">
        <f t="array" ref="E1125">IF(B1125="","",_xlfn.XLOOKUP(B1125,'Form responses 1'!$B$2:$B$2604,'Form responses 1'!$C$2:$C$2604,""))</f>
        <v/>
      </c>
      <c r="F1125" s="44" t="str">
        <f t="array" ref="F1125">IF(B1125="","",_xlfn.XLOOKUP(B1125,'Form responses 1'!$B$2:$B$2604,'Form responses 1'!$D$2:$D$2604,""))</f>
        <v/>
      </c>
      <c r="G1125" s="44" t="str">
        <f t="array" ref="G1125">IF(B1125="","",_xlfn.XLOOKUP(B1125,'Form responses 1'!$B$2:$B$2604,'Form responses 1'!$E$2:$E$2604,""))</f>
        <v/>
      </c>
      <c r="H1125" s="44" t="str">
        <f t="array" ref="H1125">IF(B1125="","",_xlfn.XLOOKUP(B1125,'Form responses 1'!$B$2:$B$2604,'Form responses 1'!$F$2:$F$2604,""))</f>
        <v/>
      </c>
      <c r="I1125" s="44" t="str">
        <f t="array" ref="I1125">IF(B1125="","",_xlfn.XLOOKUP(B1125,'Form responses 1'!$B$2:$B$2604,'Form responses 1'!$I$2:$I$2604,""))</f>
        <v/>
      </c>
      <c r="J1125" s="44" t="str">
        <f t="array" ref="J1125">IF(B1125="","",_xlfn.XLOOKUP(B1125,'Form responses 1'!$B$2:$B$2604,'Form responses 1'!$G$2:$G$2604,""))</f>
        <v/>
      </c>
      <c r="K1125" s="56"/>
      <c r="L1125" s="58" t="str">
        <f t="shared" si="7"/>
        <v/>
      </c>
      <c r="M1125" s="49"/>
      <c r="N1125" s="49"/>
      <c r="O1125" s="49"/>
      <c r="P1125" s="49"/>
      <c r="Q1125" s="49"/>
      <c r="R1125" s="49"/>
      <c r="S1125" s="49"/>
      <c r="T1125" s="49"/>
      <c r="U1125" s="49"/>
      <c r="V1125" s="49"/>
      <c r="W1125" s="56"/>
      <c r="X1125" s="51" t="str">
        <f t="shared" si="5"/>
        <v/>
      </c>
      <c r="Y1125" s="50" t="s">
        <v>482</v>
      </c>
      <c r="Z1125" s="49">
        <f t="shared" si="6"/>
        <v>0</v>
      </c>
    </row>
    <row r="1126" ht="22.5" customHeight="1">
      <c r="B1126" s="57"/>
      <c r="C1126" s="43" t="str">
        <f t="array" ref="C1126">IF(B1126="","",_xlfn.XLOOKUP(B1126,'Form responses 1'!$B$2:$B$2604,'Form responses 1'!$A$2:$A$2604,""))</f>
        <v/>
      </c>
      <c r="D1126" s="44" t="str">
        <f t="shared" si="3"/>
        <v/>
      </c>
      <c r="E1126" s="44" t="str">
        <f t="array" ref="E1126">IF(B1126="","",_xlfn.XLOOKUP(B1126,'Form responses 1'!$B$2:$B$2604,'Form responses 1'!$C$2:$C$2604,""))</f>
        <v/>
      </c>
      <c r="F1126" s="44" t="str">
        <f t="array" ref="F1126">IF(B1126="","",_xlfn.XLOOKUP(B1126,'Form responses 1'!$B$2:$B$2604,'Form responses 1'!$D$2:$D$2604,""))</f>
        <v/>
      </c>
      <c r="G1126" s="44" t="str">
        <f t="array" ref="G1126">IF(B1126="","",_xlfn.XLOOKUP(B1126,'Form responses 1'!$B$2:$B$2604,'Form responses 1'!$E$2:$E$2604,""))</f>
        <v/>
      </c>
      <c r="H1126" s="44" t="str">
        <f t="array" ref="H1126">IF(B1126="","",_xlfn.XLOOKUP(B1126,'Form responses 1'!$B$2:$B$2604,'Form responses 1'!$F$2:$F$2604,""))</f>
        <v/>
      </c>
      <c r="I1126" s="44" t="str">
        <f t="array" ref="I1126">IF(B1126="","",_xlfn.XLOOKUP(B1126,'Form responses 1'!$B$2:$B$2604,'Form responses 1'!$I$2:$I$2604,""))</f>
        <v/>
      </c>
      <c r="J1126" s="44" t="str">
        <f t="array" ref="J1126">IF(B1126="","",_xlfn.XLOOKUP(B1126,'Form responses 1'!$B$2:$B$2604,'Form responses 1'!$G$2:$G$2604,""))</f>
        <v/>
      </c>
      <c r="K1126" s="56"/>
      <c r="L1126" s="58" t="str">
        <f t="shared" si="7"/>
        <v/>
      </c>
      <c r="M1126" s="49"/>
      <c r="N1126" s="49"/>
      <c r="O1126" s="49"/>
      <c r="P1126" s="49"/>
      <c r="Q1126" s="49"/>
      <c r="R1126" s="49"/>
      <c r="S1126" s="49"/>
      <c r="T1126" s="49"/>
      <c r="U1126" s="49"/>
      <c r="V1126" s="49"/>
      <c r="W1126" s="56"/>
      <c r="X1126" s="51" t="str">
        <f t="shared" si="5"/>
        <v/>
      </c>
      <c r="Y1126" s="50" t="s">
        <v>482</v>
      </c>
      <c r="Z1126" s="49">
        <f t="shared" si="6"/>
        <v>0</v>
      </c>
    </row>
    <row r="1127" ht="22.5" customHeight="1">
      <c r="B1127" s="57"/>
      <c r="C1127" s="43" t="str">
        <f t="array" ref="C1127">IF(B1127="","",_xlfn.XLOOKUP(B1127,'Form responses 1'!$B$2:$B$2604,'Form responses 1'!$A$2:$A$2604,""))</f>
        <v/>
      </c>
      <c r="D1127" s="44" t="str">
        <f t="shared" si="3"/>
        <v/>
      </c>
      <c r="E1127" s="44" t="str">
        <f t="array" ref="E1127">IF(B1127="","",_xlfn.XLOOKUP(B1127,'Form responses 1'!$B$2:$B$2604,'Form responses 1'!$C$2:$C$2604,""))</f>
        <v/>
      </c>
      <c r="F1127" s="44" t="str">
        <f t="array" ref="F1127">IF(B1127="","",_xlfn.XLOOKUP(B1127,'Form responses 1'!$B$2:$B$2604,'Form responses 1'!$D$2:$D$2604,""))</f>
        <v/>
      </c>
      <c r="G1127" s="44" t="str">
        <f t="array" ref="G1127">IF(B1127="","",_xlfn.XLOOKUP(B1127,'Form responses 1'!$B$2:$B$2604,'Form responses 1'!$E$2:$E$2604,""))</f>
        <v/>
      </c>
      <c r="H1127" s="44" t="str">
        <f t="array" ref="H1127">IF(B1127="","",_xlfn.XLOOKUP(B1127,'Form responses 1'!$B$2:$B$2604,'Form responses 1'!$F$2:$F$2604,""))</f>
        <v/>
      </c>
      <c r="I1127" s="44" t="str">
        <f t="array" ref="I1127">IF(B1127="","",_xlfn.XLOOKUP(B1127,'Form responses 1'!$B$2:$B$2604,'Form responses 1'!$I$2:$I$2604,""))</f>
        <v/>
      </c>
      <c r="J1127" s="44" t="str">
        <f t="array" ref="J1127">IF(B1127="","",_xlfn.XLOOKUP(B1127,'Form responses 1'!$B$2:$B$2604,'Form responses 1'!$G$2:$G$2604,""))</f>
        <v/>
      </c>
      <c r="K1127" s="56"/>
      <c r="L1127" s="58" t="str">
        <f t="shared" si="7"/>
        <v/>
      </c>
      <c r="M1127" s="49"/>
      <c r="N1127" s="49"/>
      <c r="O1127" s="49"/>
      <c r="P1127" s="49"/>
      <c r="Q1127" s="49"/>
      <c r="R1127" s="49"/>
      <c r="S1127" s="49"/>
      <c r="T1127" s="49"/>
      <c r="U1127" s="49"/>
      <c r="V1127" s="49"/>
      <c r="W1127" s="56"/>
      <c r="X1127" s="51" t="str">
        <f t="shared" si="5"/>
        <v/>
      </c>
      <c r="Y1127" s="50" t="s">
        <v>482</v>
      </c>
      <c r="Z1127" s="49">
        <f t="shared" si="6"/>
        <v>0</v>
      </c>
    </row>
    <row r="1128" ht="22.5" customHeight="1">
      <c r="B1128" s="57"/>
      <c r="C1128" s="43" t="str">
        <f t="array" ref="C1128">IF(B1128="","",_xlfn.XLOOKUP(B1128,'Form responses 1'!$B$2:$B$2604,'Form responses 1'!$A$2:$A$2604,""))</f>
        <v/>
      </c>
      <c r="D1128" s="44" t="str">
        <f t="shared" si="3"/>
        <v/>
      </c>
      <c r="E1128" s="44" t="str">
        <f t="array" ref="E1128">IF(B1128="","",_xlfn.XLOOKUP(B1128,'Form responses 1'!$B$2:$B$2604,'Form responses 1'!$C$2:$C$2604,""))</f>
        <v/>
      </c>
      <c r="F1128" s="44" t="str">
        <f t="array" ref="F1128">IF(B1128="","",_xlfn.XLOOKUP(B1128,'Form responses 1'!$B$2:$B$2604,'Form responses 1'!$D$2:$D$2604,""))</f>
        <v/>
      </c>
      <c r="G1128" s="44" t="str">
        <f t="array" ref="G1128">IF(B1128="","",_xlfn.XLOOKUP(B1128,'Form responses 1'!$B$2:$B$2604,'Form responses 1'!$E$2:$E$2604,""))</f>
        <v/>
      </c>
      <c r="H1128" s="44" t="str">
        <f t="array" ref="H1128">IF(B1128="","",_xlfn.XLOOKUP(B1128,'Form responses 1'!$B$2:$B$2604,'Form responses 1'!$F$2:$F$2604,""))</f>
        <v/>
      </c>
      <c r="I1128" s="44" t="str">
        <f t="array" ref="I1128">IF(B1128="","",_xlfn.XLOOKUP(B1128,'Form responses 1'!$B$2:$B$2604,'Form responses 1'!$I$2:$I$2604,""))</f>
        <v/>
      </c>
      <c r="J1128" s="44" t="str">
        <f t="array" ref="J1128">IF(B1128="","",_xlfn.XLOOKUP(B1128,'Form responses 1'!$B$2:$B$2604,'Form responses 1'!$G$2:$G$2604,""))</f>
        <v/>
      </c>
      <c r="K1128" s="56"/>
      <c r="L1128" s="58" t="str">
        <f t="shared" si="7"/>
        <v/>
      </c>
      <c r="M1128" s="49"/>
      <c r="N1128" s="49"/>
      <c r="O1128" s="49"/>
      <c r="P1128" s="49"/>
      <c r="Q1128" s="49"/>
      <c r="R1128" s="49"/>
      <c r="S1128" s="49"/>
      <c r="T1128" s="49"/>
      <c r="U1128" s="49"/>
      <c r="V1128" s="49"/>
      <c r="W1128" s="56"/>
      <c r="X1128" s="51" t="str">
        <f t="shared" si="5"/>
        <v/>
      </c>
      <c r="Y1128" s="50" t="s">
        <v>482</v>
      </c>
      <c r="Z1128" s="49">
        <f t="shared" si="6"/>
        <v>0</v>
      </c>
    </row>
    <row r="1129" ht="22.5" customHeight="1">
      <c r="B1129" s="57"/>
      <c r="C1129" s="43" t="str">
        <f t="array" ref="C1129">IF(B1129="","",_xlfn.XLOOKUP(B1129,'Form responses 1'!$B$2:$B$2604,'Form responses 1'!$A$2:$A$2604,""))</f>
        <v/>
      </c>
      <c r="D1129" s="44" t="str">
        <f t="shared" si="3"/>
        <v/>
      </c>
      <c r="E1129" s="44" t="str">
        <f t="array" ref="E1129">IF(B1129="","",_xlfn.XLOOKUP(B1129,'Form responses 1'!$B$2:$B$2604,'Form responses 1'!$C$2:$C$2604,""))</f>
        <v/>
      </c>
      <c r="F1129" s="44" t="str">
        <f t="array" ref="F1129">IF(B1129="","",_xlfn.XLOOKUP(B1129,'Form responses 1'!$B$2:$B$2604,'Form responses 1'!$D$2:$D$2604,""))</f>
        <v/>
      </c>
      <c r="G1129" s="44" t="str">
        <f t="array" ref="G1129">IF(B1129="","",_xlfn.XLOOKUP(B1129,'Form responses 1'!$B$2:$B$2604,'Form responses 1'!$E$2:$E$2604,""))</f>
        <v/>
      </c>
      <c r="H1129" s="44" t="str">
        <f t="array" ref="H1129">IF(B1129="","",_xlfn.XLOOKUP(B1129,'Form responses 1'!$B$2:$B$2604,'Form responses 1'!$F$2:$F$2604,""))</f>
        <v/>
      </c>
      <c r="I1129" s="44" t="str">
        <f t="array" ref="I1129">IF(B1129="","",_xlfn.XLOOKUP(B1129,'Form responses 1'!$B$2:$B$2604,'Form responses 1'!$I$2:$I$2604,""))</f>
        <v/>
      </c>
      <c r="J1129" s="44" t="str">
        <f t="array" ref="J1129">IF(B1129="","",_xlfn.XLOOKUP(B1129,'Form responses 1'!$B$2:$B$2604,'Form responses 1'!$G$2:$G$2604,""))</f>
        <v/>
      </c>
      <c r="K1129" s="56"/>
      <c r="L1129" s="58" t="str">
        <f t="shared" si="7"/>
        <v/>
      </c>
      <c r="M1129" s="49"/>
      <c r="N1129" s="49"/>
      <c r="O1129" s="49"/>
      <c r="P1129" s="49"/>
      <c r="Q1129" s="49"/>
      <c r="R1129" s="49"/>
      <c r="S1129" s="49"/>
      <c r="T1129" s="49"/>
      <c r="U1129" s="49"/>
      <c r="V1129" s="49"/>
      <c r="W1129" s="56"/>
      <c r="X1129" s="51" t="str">
        <f t="shared" si="5"/>
        <v/>
      </c>
      <c r="Y1129" s="50" t="s">
        <v>482</v>
      </c>
      <c r="Z1129" s="49">
        <f t="shared" si="6"/>
        <v>0</v>
      </c>
    </row>
    <row r="1130" ht="22.5" customHeight="1">
      <c r="B1130" s="57"/>
      <c r="C1130" s="43" t="str">
        <f t="array" ref="C1130">IF(B1130="","",_xlfn.XLOOKUP(B1130,'Form responses 1'!$B$2:$B$2604,'Form responses 1'!$A$2:$A$2604,""))</f>
        <v/>
      </c>
      <c r="D1130" s="44" t="str">
        <f t="shared" si="3"/>
        <v/>
      </c>
      <c r="E1130" s="44" t="str">
        <f t="array" ref="E1130">IF(B1130="","",_xlfn.XLOOKUP(B1130,'Form responses 1'!$B$2:$B$2604,'Form responses 1'!$C$2:$C$2604,""))</f>
        <v/>
      </c>
      <c r="F1130" s="44" t="str">
        <f t="array" ref="F1130">IF(B1130="","",_xlfn.XLOOKUP(B1130,'Form responses 1'!$B$2:$B$2604,'Form responses 1'!$D$2:$D$2604,""))</f>
        <v/>
      </c>
      <c r="G1130" s="44" t="str">
        <f t="array" ref="G1130">IF(B1130="","",_xlfn.XLOOKUP(B1130,'Form responses 1'!$B$2:$B$2604,'Form responses 1'!$E$2:$E$2604,""))</f>
        <v/>
      </c>
      <c r="H1130" s="44" t="str">
        <f t="array" ref="H1130">IF(B1130="","",_xlfn.XLOOKUP(B1130,'Form responses 1'!$B$2:$B$2604,'Form responses 1'!$F$2:$F$2604,""))</f>
        <v/>
      </c>
      <c r="I1130" s="44" t="str">
        <f t="array" ref="I1130">IF(B1130="","",_xlfn.XLOOKUP(B1130,'Form responses 1'!$B$2:$B$2604,'Form responses 1'!$I$2:$I$2604,""))</f>
        <v/>
      </c>
      <c r="J1130" s="44" t="str">
        <f t="array" ref="J1130">IF(B1130="","",_xlfn.XLOOKUP(B1130,'Form responses 1'!$B$2:$B$2604,'Form responses 1'!$G$2:$G$2604,""))</f>
        <v/>
      </c>
      <c r="K1130" s="56"/>
      <c r="L1130" s="58" t="str">
        <f t="shared" si="7"/>
        <v/>
      </c>
      <c r="M1130" s="49"/>
      <c r="N1130" s="49"/>
      <c r="O1130" s="49"/>
      <c r="P1130" s="49"/>
      <c r="Q1130" s="49"/>
      <c r="R1130" s="49"/>
      <c r="S1130" s="49"/>
      <c r="T1130" s="49"/>
      <c r="U1130" s="49"/>
      <c r="V1130" s="49"/>
      <c r="W1130" s="56"/>
      <c r="X1130" s="51" t="str">
        <f t="shared" si="5"/>
        <v/>
      </c>
      <c r="Y1130" s="50" t="s">
        <v>482</v>
      </c>
      <c r="Z1130" s="49">
        <f t="shared" si="6"/>
        <v>0</v>
      </c>
    </row>
    <row r="1131" ht="22.5" customHeight="1">
      <c r="B1131" s="57"/>
      <c r="C1131" s="43" t="str">
        <f t="array" ref="C1131">IF(B1131="","",_xlfn.XLOOKUP(B1131,'Form responses 1'!$B$2:$B$2604,'Form responses 1'!$A$2:$A$2604,""))</f>
        <v/>
      </c>
      <c r="D1131" s="44" t="str">
        <f t="shared" si="3"/>
        <v/>
      </c>
      <c r="E1131" s="44" t="str">
        <f t="array" ref="E1131">IF(B1131="","",_xlfn.XLOOKUP(B1131,'Form responses 1'!$B$2:$B$2604,'Form responses 1'!$C$2:$C$2604,""))</f>
        <v/>
      </c>
      <c r="F1131" s="44" t="str">
        <f t="array" ref="F1131">IF(B1131="","",_xlfn.XLOOKUP(B1131,'Form responses 1'!$B$2:$B$2604,'Form responses 1'!$D$2:$D$2604,""))</f>
        <v/>
      </c>
      <c r="G1131" s="44" t="str">
        <f t="array" ref="G1131">IF(B1131="","",_xlfn.XLOOKUP(B1131,'Form responses 1'!$B$2:$B$2604,'Form responses 1'!$E$2:$E$2604,""))</f>
        <v/>
      </c>
      <c r="H1131" s="44" t="str">
        <f t="array" ref="H1131">IF(B1131="","",_xlfn.XLOOKUP(B1131,'Form responses 1'!$B$2:$B$2604,'Form responses 1'!$F$2:$F$2604,""))</f>
        <v/>
      </c>
      <c r="I1131" s="44" t="str">
        <f t="array" ref="I1131">IF(B1131="","",_xlfn.XLOOKUP(B1131,'Form responses 1'!$B$2:$B$2604,'Form responses 1'!$I$2:$I$2604,""))</f>
        <v/>
      </c>
      <c r="J1131" s="44" t="str">
        <f t="array" ref="J1131">IF(B1131="","",_xlfn.XLOOKUP(B1131,'Form responses 1'!$B$2:$B$2604,'Form responses 1'!$G$2:$G$2604,""))</f>
        <v/>
      </c>
      <c r="K1131" s="56"/>
      <c r="L1131" s="58" t="str">
        <f t="shared" si="7"/>
        <v/>
      </c>
      <c r="M1131" s="49"/>
      <c r="N1131" s="49"/>
      <c r="O1131" s="49"/>
      <c r="P1131" s="49"/>
      <c r="Q1131" s="49"/>
      <c r="R1131" s="49"/>
      <c r="S1131" s="49"/>
      <c r="T1131" s="49"/>
      <c r="U1131" s="49"/>
      <c r="V1131" s="49"/>
      <c r="W1131" s="56"/>
      <c r="X1131" s="51" t="str">
        <f t="shared" si="5"/>
        <v/>
      </c>
      <c r="Y1131" s="50" t="s">
        <v>482</v>
      </c>
      <c r="Z1131" s="49">
        <f t="shared" si="6"/>
        <v>0</v>
      </c>
    </row>
    <row r="1132" ht="22.5" customHeight="1">
      <c r="B1132" s="57"/>
      <c r="C1132" s="43" t="str">
        <f t="array" ref="C1132">IF(B1132="","",_xlfn.XLOOKUP(B1132,'Form responses 1'!$B$2:$B$2604,'Form responses 1'!$A$2:$A$2604,""))</f>
        <v/>
      </c>
      <c r="D1132" s="44" t="str">
        <f t="shared" si="3"/>
        <v/>
      </c>
      <c r="E1132" s="44" t="str">
        <f t="array" ref="E1132">IF(B1132="","",_xlfn.XLOOKUP(B1132,'Form responses 1'!$B$2:$B$2604,'Form responses 1'!$C$2:$C$2604,""))</f>
        <v/>
      </c>
      <c r="F1132" s="44" t="str">
        <f t="array" ref="F1132">IF(B1132="","",_xlfn.XLOOKUP(B1132,'Form responses 1'!$B$2:$B$2604,'Form responses 1'!$D$2:$D$2604,""))</f>
        <v/>
      </c>
      <c r="G1132" s="44" t="str">
        <f t="array" ref="G1132">IF(B1132="","",_xlfn.XLOOKUP(B1132,'Form responses 1'!$B$2:$B$2604,'Form responses 1'!$E$2:$E$2604,""))</f>
        <v/>
      </c>
      <c r="H1132" s="44" t="str">
        <f t="array" ref="H1132">IF(B1132="","",_xlfn.XLOOKUP(B1132,'Form responses 1'!$B$2:$B$2604,'Form responses 1'!$F$2:$F$2604,""))</f>
        <v/>
      </c>
      <c r="I1132" s="44" t="str">
        <f t="array" ref="I1132">IF(B1132="","",_xlfn.XLOOKUP(B1132,'Form responses 1'!$B$2:$B$2604,'Form responses 1'!$I$2:$I$2604,""))</f>
        <v/>
      </c>
      <c r="J1132" s="44" t="str">
        <f t="array" ref="J1132">IF(B1132="","",_xlfn.XLOOKUP(B1132,'Form responses 1'!$B$2:$B$2604,'Form responses 1'!$G$2:$G$2604,""))</f>
        <v/>
      </c>
      <c r="K1132" s="56"/>
      <c r="L1132" s="58" t="str">
        <f t="shared" si="7"/>
        <v/>
      </c>
      <c r="M1132" s="49"/>
      <c r="N1132" s="49"/>
      <c r="O1132" s="49"/>
      <c r="P1132" s="49"/>
      <c r="Q1132" s="49"/>
      <c r="R1132" s="49"/>
      <c r="S1132" s="49"/>
      <c r="T1132" s="49"/>
      <c r="U1132" s="49"/>
      <c r="V1132" s="49"/>
      <c r="W1132" s="56"/>
      <c r="X1132" s="51" t="str">
        <f t="shared" si="5"/>
        <v/>
      </c>
      <c r="Y1132" s="50" t="s">
        <v>482</v>
      </c>
      <c r="Z1132" s="49">
        <f t="shared" si="6"/>
        <v>0</v>
      </c>
    </row>
    <row r="1133" ht="22.5" customHeight="1">
      <c r="B1133" s="57"/>
      <c r="C1133" s="43" t="str">
        <f t="array" ref="C1133">IF(B1133="","",_xlfn.XLOOKUP(B1133,'Form responses 1'!$B$2:$B$2604,'Form responses 1'!$A$2:$A$2604,""))</f>
        <v/>
      </c>
      <c r="D1133" s="44" t="str">
        <f t="shared" si="3"/>
        <v/>
      </c>
      <c r="E1133" s="44" t="str">
        <f t="array" ref="E1133">IF(B1133="","",_xlfn.XLOOKUP(B1133,'Form responses 1'!$B$2:$B$2604,'Form responses 1'!$C$2:$C$2604,""))</f>
        <v/>
      </c>
      <c r="F1133" s="44" t="str">
        <f t="array" ref="F1133">IF(B1133="","",_xlfn.XLOOKUP(B1133,'Form responses 1'!$B$2:$B$2604,'Form responses 1'!$D$2:$D$2604,""))</f>
        <v/>
      </c>
      <c r="G1133" s="44" t="str">
        <f t="array" ref="G1133">IF(B1133="","",_xlfn.XLOOKUP(B1133,'Form responses 1'!$B$2:$B$2604,'Form responses 1'!$E$2:$E$2604,""))</f>
        <v/>
      </c>
      <c r="H1133" s="44" t="str">
        <f t="array" ref="H1133">IF(B1133="","",_xlfn.XLOOKUP(B1133,'Form responses 1'!$B$2:$B$2604,'Form responses 1'!$F$2:$F$2604,""))</f>
        <v/>
      </c>
      <c r="I1133" s="44" t="str">
        <f t="array" ref="I1133">IF(B1133="","",_xlfn.XLOOKUP(B1133,'Form responses 1'!$B$2:$B$2604,'Form responses 1'!$I$2:$I$2604,""))</f>
        <v/>
      </c>
      <c r="J1133" s="44" t="str">
        <f t="array" ref="J1133">IF(B1133="","",_xlfn.XLOOKUP(B1133,'Form responses 1'!$B$2:$B$2604,'Form responses 1'!$G$2:$G$2604,""))</f>
        <v/>
      </c>
      <c r="K1133" s="56"/>
      <c r="L1133" s="58" t="str">
        <f t="shared" si="7"/>
        <v/>
      </c>
      <c r="M1133" s="49"/>
      <c r="N1133" s="49"/>
      <c r="O1133" s="49"/>
      <c r="P1133" s="49"/>
      <c r="Q1133" s="49"/>
      <c r="R1133" s="49"/>
      <c r="S1133" s="49"/>
      <c r="T1133" s="49"/>
      <c r="U1133" s="49"/>
      <c r="V1133" s="49"/>
      <c r="W1133" s="56"/>
      <c r="X1133" s="51" t="str">
        <f t="shared" si="5"/>
        <v/>
      </c>
      <c r="Y1133" s="50" t="s">
        <v>482</v>
      </c>
      <c r="Z1133" s="49">
        <f t="shared" si="6"/>
        <v>0</v>
      </c>
    </row>
    <row r="1134" ht="22.5" customHeight="1">
      <c r="B1134" s="57"/>
      <c r="C1134" s="43" t="str">
        <f t="array" ref="C1134">IF(B1134="","",_xlfn.XLOOKUP(B1134,'Form responses 1'!$B$2:$B$2604,'Form responses 1'!$A$2:$A$2604,""))</f>
        <v/>
      </c>
      <c r="D1134" s="44" t="str">
        <f t="shared" si="3"/>
        <v/>
      </c>
      <c r="E1134" s="44" t="str">
        <f t="array" ref="E1134">IF(B1134="","",_xlfn.XLOOKUP(B1134,'Form responses 1'!$B$2:$B$2604,'Form responses 1'!$C$2:$C$2604,""))</f>
        <v/>
      </c>
      <c r="F1134" s="44" t="str">
        <f t="array" ref="F1134">IF(B1134="","",_xlfn.XLOOKUP(B1134,'Form responses 1'!$B$2:$B$2604,'Form responses 1'!$D$2:$D$2604,""))</f>
        <v/>
      </c>
      <c r="G1134" s="44" t="str">
        <f t="array" ref="G1134">IF(B1134="","",_xlfn.XLOOKUP(B1134,'Form responses 1'!$B$2:$B$2604,'Form responses 1'!$E$2:$E$2604,""))</f>
        <v/>
      </c>
      <c r="H1134" s="44" t="str">
        <f t="array" ref="H1134">IF(B1134="","",_xlfn.XLOOKUP(B1134,'Form responses 1'!$B$2:$B$2604,'Form responses 1'!$F$2:$F$2604,""))</f>
        <v/>
      </c>
      <c r="I1134" s="44" t="str">
        <f t="array" ref="I1134">IF(B1134="","",_xlfn.XLOOKUP(B1134,'Form responses 1'!$B$2:$B$2604,'Form responses 1'!$I$2:$I$2604,""))</f>
        <v/>
      </c>
      <c r="J1134" s="44" t="str">
        <f t="array" ref="J1134">IF(B1134="","",_xlfn.XLOOKUP(B1134,'Form responses 1'!$B$2:$B$2604,'Form responses 1'!$G$2:$G$2604,""))</f>
        <v/>
      </c>
      <c r="K1134" s="56"/>
      <c r="L1134" s="58" t="str">
        <f t="shared" si="7"/>
        <v/>
      </c>
      <c r="M1134" s="49"/>
      <c r="N1134" s="49"/>
      <c r="O1134" s="49"/>
      <c r="P1134" s="49"/>
      <c r="Q1134" s="49"/>
      <c r="R1134" s="49"/>
      <c r="S1134" s="49"/>
      <c r="T1134" s="49"/>
      <c r="U1134" s="49"/>
      <c r="V1134" s="49"/>
      <c r="W1134" s="56"/>
      <c r="X1134" s="51" t="str">
        <f t="shared" si="5"/>
        <v/>
      </c>
      <c r="Y1134" s="50" t="s">
        <v>482</v>
      </c>
      <c r="Z1134" s="49">
        <f t="shared" si="6"/>
        <v>0</v>
      </c>
    </row>
    <row r="1135" ht="22.5" customHeight="1">
      <c r="B1135" s="57"/>
      <c r="C1135" s="43" t="str">
        <f t="array" ref="C1135">IF(B1135="","",_xlfn.XLOOKUP(B1135,'Form responses 1'!$B$2:$B$2604,'Form responses 1'!$A$2:$A$2604,""))</f>
        <v/>
      </c>
      <c r="D1135" s="44" t="str">
        <f t="shared" si="3"/>
        <v/>
      </c>
      <c r="E1135" s="44" t="str">
        <f t="array" ref="E1135">IF(B1135="","",_xlfn.XLOOKUP(B1135,'Form responses 1'!$B$2:$B$2604,'Form responses 1'!$C$2:$C$2604,""))</f>
        <v/>
      </c>
      <c r="F1135" s="44" t="str">
        <f t="array" ref="F1135">IF(B1135="","",_xlfn.XLOOKUP(B1135,'Form responses 1'!$B$2:$B$2604,'Form responses 1'!$D$2:$D$2604,""))</f>
        <v/>
      </c>
      <c r="G1135" s="44" t="str">
        <f t="array" ref="G1135">IF(B1135="","",_xlfn.XLOOKUP(B1135,'Form responses 1'!$B$2:$B$2604,'Form responses 1'!$E$2:$E$2604,""))</f>
        <v/>
      </c>
      <c r="H1135" s="44" t="str">
        <f t="array" ref="H1135">IF(B1135="","",_xlfn.XLOOKUP(B1135,'Form responses 1'!$B$2:$B$2604,'Form responses 1'!$F$2:$F$2604,""))</f>
        <v/>
      </c>
      <c r="I1135" s="44" t="str">
        <f t="array" ref="I1135">IF(B1135="","",_xlfn.XLOOKUP(B1135,'Form responses 1'!$B$2:$B$2604,'Form responses 1'!$I$2:$I$2604,""))</f>
        <v/>
      </c>
      <c r="J1135" s="44" t="str">
        <f t="array" ref="J1135">IF(B1135="","",_xlfn.XLOOKUP(B1135,'Form responses 1'!$B$2:$B$2604,'Form responses 1'!$G$2:$G$2604,""))</f>
        <v/>
      </c>
      <c r="K1135" s="56"/>
      <c r="L1135" s="58" t="str">
        <f t="shared" si="7"/>
        <v/>
      </c>
      <c r="M1135" s="49"/>
      <c r="N1135" s="49"/>
      <c r="O1135" s="49"/>
      <c r="P1135" s="49"/>
      <c r="Q1135" s="49"/>
      <c r="R1135" s="49"/>
      <c r="S1135" s="49"/>
      <c r="T1135" s="49"/>
      <c r="U1135" s="49"/>
      <c r="V1135" s="49"/>
      <c r="W1135" s="56"/>
      <c r="X1135" s="51" t="str">
        <f t="shared" si="5"/>
        <v/>
      </c>
      <c r="Y1135" s="50" t="s">
        <v>482</v>
      </c>
      <c r="Z1135" s="49">
        <f t="shared" si="6"/>
        <v>0</v>
      </c>
    </row>
    <row r="1136" ht="22.5" customHeight="1">
      <c r="B1136" s="57"/>
      <c r="C1136" s="43" t="str">
        <f t="array" ref="C1136">IF(B1136="","",_xlfn.XLOOKUP(B1136,'Form responses 1'!$B$2:$B$2604,'Form responses 1'!$A$2:$A$2604,""))</f>
        <v/>
      </c>
      <c r="D1136" s="44" t="str">
        <f t="shared" si="3"/>
        <v/>
      </c>
      <c r="E1136" s="44" t="str">
        <f t="array" ref="E1136">IF(B1136="","",_xlfn.XLOOKUP(B1136,'Form responses 1'!$B$2:$B$2604,'Form responses 1'!$C$2:$C$2604,""))</f>
        <v/>
      </c>
      <c r="F1136" s="44" t="str">
        <f t="array" ref="F1136">IF(B1136="","",_xlfn.XLOOKUP(B1136,'Form responses 1'!$B$2:$B$2604,'Form responses 1'!$D$2:$D$2604,""))</f>
        <v/>
      </c>
      <c r="G1136" s="44" t="str">
        <f t="array" ref="G1136">IF(B1136="","",_xlfn.XLOOKUP(B1136,'Form responses 1'!$B$2:$B$2604,'Form responses 1'!$E$2:$E$2604,""))</f>
        <v/>
      </c>
      <c r="H1136" s="44" t="str">
        <f t="array" ref="H1136">IF(B1136="","",_xlfn.XLOOKUP(B1136,'Form responses 1'!$B$2:$B$2604,'Form responses 1'!$F$2:$F$2604,""))</f>
        <v/>
      </c>
      <c r="I1136" s="44" t="str">
        <f t="array" ref="I1136">IF(B1136="","",_xlfn.XLOOKUP(B1136,'Form responses 1'!$B$2:$B$2604,'Form responses 1'!$I$2:$I$2604,""))</f>
        <v/>
      </c>
      <c r="J1136" s="44" t="str">
        <f t="array" ref="J1136">IF(B1136="","",_xlfn.XLOOKUP(B1136,'Form responses 1'!$B$2:$B$2604,'Form responses 1'!$G$2:$G$2604,""))</f>
        <v/>
      </c>
      <c r="K1136" s="56"/>
      <c r="L1136" s="58" t="str">
        <f t="shared" si="7"/>
        <v/>
      </c>
      <c r="M1136" s="49"/>
      <c r="N1136" s="49"/>
      <c r="O1136" s="49"/>
      <c r="P1136" s="49"/>
      <c r="Q1136" s="49"/>
      <c r="R1136" s="49"/>
      <c r="S1136" s="49"/>
      <c r="T1136" s="49"/>
      <c r="U1136" s="49"/>
      <c r="V1136" s="49"/>
      <c r="W1136" s="56"/>
      <c r="X1136" s="51" t="str">
        <f t="shared" si="5"/>
        <v/>
      </c>
      <c r="Y1136" s="50" t="s">
        <v>482</v>
      </c>
      <c r="Z1136" s="49">
        <f t="shared" si="6"/>
        <v>0</v>
      </c>
    </row>
    <row r="1137" ht="22.5" customHeight="1">
      <c r="B1137" s="57"/>
      <c r="C1137" s="43" t="str">
        <f t="array" ref="C1137">IF(B1137="","",_xlfn.XLOOKUP(B1137,'Form responses 1'!$B$2:$B$2604,'Form responses 1'!$A$2:$A$2604,""))</f>
        <v/>
      </c>
      <c r="D1137" s="44" t="str">
        <f t="shared" si="3"/>
        <v/>
      </c>
      <c r="E1137" s="44" t="str">
        <f t="array" ref="E1137">IF(B1137="","",_xlfn.XLOOKUP(B1137,'Form responses 1'!$B$2:$B$2604,'Form responses 1'!$C$2:$C$2604,""))</f>
        <v/>
      </c>
      <c r="F1137" s="44" t="str">
        <f t="array" ref="F1137">IF(B1137="","",_xlfn.XLOOKUP(B1137,'Form responses 1'!$B$2:$B$2604,'Form responses 1'!$D$2:$D$2604,""))</f>
        <v/>
      </c>
      <c r="G1137" s="44" t="str">
        <f t="array" ref="G1137">IF(B1137="","",_xlfn.XLOOKUP(B1137,'Form responses 1'!$B$2:$B$2604,'Form responses 1'!$E$2:$E$2604,""))</f>
        <v/>
      </c>
      <c r="H1137" s="44" t="str">
        <f t="array" ref="H1137">IF(B1137="","",_xlfn.XLOOKUP(B1137,'Form responses 1'!$B$2:$B$2604,'Form responses 1'!$F$2:$F$2604,""))</f>
        <v/>
      </c>
      <c r="I1137" s="44" t="str">
        <f t="array" ref="I1137">IF(B1137="","",_xlfn.XLOOKUP(B1137,'Form responses 1'!$B$2:$B$2604,'Form responses 1'!$I$2:$I$2604,""))</f>
        <v/>
      </c>
      <c r="J1137" s="44" t="str">
        <f t="array" ref="J1137">IF(B1137="","",_xlfn.XLOOKUP(B1137,'Form responses 1'!$B$2:$B$2604,'Form responses 1'!$G$2:$G$2604,""))</f>
        <v/>
      </c>
      <c r="K1137" s="56"/>
      <c r="L1137" s="58" t="str">
        <f t="shared" si="7"/>
        <v/>
      </c>
      <c r="M1137" s="49"/>
      <c r="N1137" s="49"/>
      <c r="O1137" s="49"/>
      <c r="P1137" s="49"/>
      <c r="Q1137" s="49"/>
      <c r="R1137" s="49"/>
      <c r="S1137" s="49"/>
      <c r="T1137" s="49"/>
      <c r="U1137" s="49"/>
      <c r="V1137" s="49"/>
      <c r="W1137" s="56"/>
      <c r="X1137" s="51" t="str">
        <f t="shared" si="5"/>
        <v/>
      </c>
      <c r="Y1137" s="50" t="s">
        <v>482</v>
      </c>
      <c r="Z1137" s="49">
        <f t="shared" si="6"/>
        <v>0</v>
      </c>
    </row>
    <row r="1138" ht="22.5" customHeight="1">
      <c r="B1138" s="57"/>
      <c r="C1138" s="43" t="str">
        <f t="array" ref="C1138">IF(B1138="","",_xlfn.XLOOKUP(B1138,'Form responses 1'!$B$2:$B$2604,'Form responses 1'!$A$2:$A$2604,""))</f>
        <v/>
      </c>
      <c r="D1138" s="44" t="str">
        <f t="shared" si="3"/>
        <v/>
      </c>
      <c r="E1138" s="44" t="str">
        <f t="array" ref="E1138">IF(B1138="","",_xlfn.XLOOKUP(B1138,'Form responses 1'!$B$2:$B$2604,'Form responses 1'!$C$2:$C$2604,""))</f>
        <v/>
      </c>
      <c r="F1138" s="44" t="str">
        <f t="array" ref="F1138">IF(B1138="","",_xlfn.XLOOKUP(B1138,'Form responses 1'!$B$2:$B$2604,'Form responses 1'!$D$2:$D$2604,""))</f>
        <v/>
      </c>
      <c r="G1138" s="44" t="str">
        <f t="array" ref="G1138">IF(B1138="","",_xlfn.XLOOKUP(B1138,'Form responses 1'!$B$2:$B$2604,'Form responses 1'!$E$2:$E$2604,""))</f>
        <v/>
      </c>
      <c r="H1138" s="44" t="str">
        <f t="array" ref="H1138">IF(B1138="","",_xlfn.XLOOKUP(B1138,'Form responses 1'!$B$2:$B$2604,'Form responses 1'!$F$2:$F$2604,""))</f>
        <v/>
      </c>
      <c r="I1138" s="44" t="str">
        <f t="array" ref="I1138">IF(B1138="","",_xlfn.XLOOKUP(B1138,'Form responses 1'!$B$2:$B$2604,'Form responses 1'!$I$2:$I$2604,""))</f>
        <v/>
      </c>
      <c r="J1138" s="44" t="str">
        <f t="array" ref="J1138">IF(B1138="","",_xlfn.XLOOKUP(B1138,'Form responses 1'!$B$2:$B$2604,'Form responses 1'!$G$2:$G$2604,""))</f>
        <v/>
      </c>
      <c r="K1138" s="56"/>
      <c r="L1138" s="58" t="str">
        <f t="shared" si="7"/>
        <v/>
      </c>
      <c r="M1138" s="49"/>
      <c r="N1138" s="49"/>
      <c r="O1138" s="49"/>
      <c r="P1138" s="49"/>
      <c r="Q1138" s="49"/>
      <c r="R1138" s="49"/>
      <c r="S1138" s="49"/>
      <c r="T1138" s="49"/>
      <c r="U1138" s="49"/>
      <c r="V1138" s="49"/>
      <c r="W1138" s="56"/>
      <c r="X1138" s="51" t="str">
        <f t="shared" si="5"/>
        <v/>
      </c>
      <c r="Y1138" s="50" t="s">
        <v>482</v>
      </c>
      <c r="Z1138" s="49">
        <f t="shared" si="6"/>
        <v>0</v>
      </c>
    </row>
    <row r="1139" ht="22.5" customHeight="1">
      <c r="B1139" s="57"/>
      <c r="C1139" s="43" t="str">
        <f t="array" ref="C1139">IF(B1139="","",_xlfn.XLOOKUP(B1139,'Form responses 1'!$B$2:$B$2604,'Form responses 1'!$A$2:$A$2604,""))</f>
        <v/>
      </c>
      <c r="D1139" s="44" t="str">
        <f t="shared" si="3"/>
        <v/>
      </c>
      <c r="E1139" s="44" t="str">
        <f t="array" ref="E1139">IF(B1139="","",_xlfn.XLOOKUP(B1139,'Form responses 1'!$B$2:$B$2604,'Form responses 1'!$C$2:$C$2604,""))</f>
        <v/>
      </c>
      <c r="F1139" s="44" t="str">
        <f t="array" ref="F1139">IF(B1139="","",_xlfn.XLOOKUP(B1139,'Form responses 1'!$B$2:$B$2604,'Form responses 1'!$D$2:$D$2604,""))</f>
        <v/>
      </c>
      <c r="G1139" s="44" t="str">
        <f t="array" ref="G1139">IF(B1139="","",_xlfn.XLOOKUP(B1139,'Form responses 1'!$B$2:$B$2604,'Form responses 1'!$E$2:$E$2604,""))</f>
        <v/>
      </c>
      <c r="H1139" s="44" t="str">
        <f t="array" ref="H1139">IF(B1139="","",_xlfn.XLOOKUP(B1139,'Form responses 1'!$B$2:$B$2604,'Form responses 1'!$F$2:$F$2604,""))</f>
        <v/>
      </c>
      <c r="I1139" s="44" t="str">
        <f t="array" ref="I1139">IF(B1139="","",_xlfn.XLOOKUP(B1139,'Form responses 1'!$B$2:$B$2604,'Form responses 1'!$I$2:$I$2604,""))</f>
        <v/>
      </c>
      <c r="J1139" s="44" t="str">
        <f t="array" ref="J1139">IF(B1139="","",_xlfn.XLOOKUP(B1139,'Form responses 1'!$B$2:$B$2604,'Form responses 1'!$G$2:$G$2604,""))</f>
        <v/>
      </c>
      <c r="K1139" s="56"/>
      <c r="L1139" s="58" t="str">
        <f t="shared" si="7"/>
        <v/>
      </c>
      <c r="M1139" s="49"/>
      <c r="N1139" s="49"/>
      <c r="O1139" s="49"/>
      <c r="P1139" s="49"/>
      <c r="Q1139" s="49"/>
      <c r="R1139" s="49"/>
      <c r="S1139" s="49"/>
      <c r="T1139" s="49"/>
      <c r="U1139" s="49"/>
      <c r="V1139" s="49"/>
      <c r="W1139" s="56"/>
      <c r="X1139" s="51" t="str">
        <f t="shared" si="5"/>
        <v/>
      </c>
      <c r="Y1139" s="50" t="s">
        <v>482</v>
      </c>
      <c r="Z1139" s="49">
        <f t="shared" si="6"/>
        <v>0</v>
      </c>
    </row>
    <row r="1140" ht="22.5" customHeight="1">
      <c r="B1140" s="57"/>
      <c r="C1140" s="43" t="str">
        <f t="array" ref="C1140">IF(B1140="","",_xlfn.XLOOKUP(B1140,'Form responses 1'!$B$2:$B$2604,'Form responses 1'!$A$2:$A$2604,""))</f>
        <v/>
      </c>
      <c r="D1140" s="44" t="str">
        <f t="shared" si="3"/>
        <v/>
      </c>
      <c r="E1140" s="44" t="str">
        <f t="array" ref="E1140">IF(B1140="","",_xlfn.XLOOKUP(B1140,'Form responses 1'!$B$2:$B$2604,'Form responses 1'!$C$2:$C$2604,""))</f>
        <v/>
      </c>
      <c r="F1140" s="44" t="str">
        <f t="array" ref="F1140">IF(B1140="","",_xlfn.XLOOKUP(B1140,'Form responses 1'!$B$2:$B$2604,'Form responses 1'!$D$2:$D$2604,""))</f>
        <v/>
      </c>
      <c r="G1140" s="44" t="str">
        <f t="array" ref="G1140">IF(B1140="","",_xlfn.XLOOKUP(B1140,'Form responses 1'!$B$2:$B$2604,'Form responses 1'!$E$2:$E$2604,""))</f>
        <v/>
      </c>
      <c r="H1140" s="44" t="str">
        <f t="array" ref="H1140">IF(B1140="","",_xlfn.XLOOKUP(B1140,'Form responses 1'!$B$2:$B$2604,'Form responses 1'!$F$2:$F$2604,""))</f>
        <v/>
      </c>
      <c r="I1140" s="44" t="str">
        <f t="array" ref="I1140">IF(B1140="","",_xlfn.XLOOKUP(B1140,'Form responses 1'!$B$2:$B$2604,'Form responses 1'!$I$2:$I$2604,""))</f>
        <v/>
      </c>
      <c r="J1140" s="44" t="str">
        <f t="array" ref="J1140">IF(B1140="","",_xlfn.XLOOKUP(B1140,'Form responses 1'!$B$2:$B$2604,'Form responses 1'!$G$2:$G$2604,""))</f>
        <v/>
      </c>
      <c r="K1140" s="56"/>
      <c r="L1140" s="58" t="str">
        <f t="shared" si="7"/>
        <v/>
      </c>
      <c r="M1140" s="49"/>
      <c r="N1140" s="49"/>
      <c r="O1140" s="49"/>
      <c r="P1140" s="49"/>
      <c r="Q1140" s="49"/>
      <c r="R1140" s="49"/>
      <c r="S1140" s="49"/>
      <c r="T1140" s="49"/>
      <c r="U1140" s="49"/>
      <c r="V1140" s="49"/>
      <c r="W1140" s="56"/>
      <c r="X1140" s="51" t="str">
        <f t="shared" si="5"/>
        <v/>
      </c>
      <c r="Y1140" s="50" t="s">
        <v>482</v>
      </c>
      <c r="Z1140" s="49">
        <f t="shared" si="6"/>
        <v>0</v>
      </c>
    </row>
    <row r="1141" ht="22.5" customHeight="1">
      <c r="B1141" s="57"/>
      <c r="C1141" s="43" t="str">
        <f t="array" ref="C1141">IF(B1141="","",_xlfn.XLOOKUP(B1141,'Form responses 1'!$B$2:$B$2604,'Form responses 1'!$A$2:$A$2604,""))</f>
        <v/>
      </c>
      <c r="D1141" s="44" t="str">
        <f t="shared" si="3"/>
        <v/>
      </c>
      <c r="E1141" s="44" t="str">
        <f t="array" ref="E1141">IF(B1141="","",_xlfn.XLOOKUP(B1141,'Form responses 1'!$B$2:$B$2604,'Form responses 1'!$C$2:$C$2604,""))</f>
        <v/>
      </c>
      <c r="F1141" s="44" t="str">
        <f t="array" ref="F1141">IF(B1141="","",_xlfn.XLOOKUP(B1141,'Form responses 1'!$B$2:$B$2604,'Form responses 1'!$D$2:$D$2604,""))</f>
        <v/>
      </c>
      <c r="G1141" s="44" t="str">
        <f t="array" ref="G1141">IF(B1141="","",_xlfn.XLOOKUP(B1141,'Form responses 1'!$B$2:$B$2604,'Form responses 1'!$E$2:$E$2604,""))</f>
        <v/>
      </c>
      <c r="H1141" s="44" t="str">
        <f t="array" ref="H1141">IF(B1141="","",_xlfn.XLOOKUP(B1141,'Form responses 1'!$B$2:$B$2604,'Form responses 1'!$F$2:$F$2604,""))</f>
        <v/>
      </c>
      <c r="I1141" s="44" t="str">
        <f t="array" ref="I1141">IF(B1141="","",_xlfn.XLOOKUP(B1141,'Form responses 1'!$B$2:$B$2604,'Form responses 1'!$I$2:$I$2604,""))</f>
        <v/>
      </c>
      <c r="J1141" s="44" t="str">
        <f t="array" ref="J1141">IF(B1141="","",_xlfn.XLOOKUP(B1141,'Form responses 1'!$B$2:$B$2604,'Form responses 1'!$G$2:$G$2604,""))</f>
        <v/>
      </c>
      <c r="K1141" s="56"/>
      <c r="L1141" s="58" t="str">
        <f t="shared" si="7"/>
        <v/>
      </c>
      <c r="M1141" s="49"/>
      <c r="N1141" s="49"/>
      <c r="O1141" s="49"/>
      <c r="P1141" s="49"/>
      <c r="Q1141" s="49"/>
      <c r="R1141" s="49"/>
      <c r="S1141" s="49"/>
      <c r="T1141" s="49"/>
      <c r="U1141" s="49"/>
      <c r="V1141" s="49"/>
      <c r="W1141" s="56"/>
      <c r="X1141" s="51" t="str">
        <f t="shared" si="5"/>
        <v/>
      </c>
      <c r="Y1141" s="50" t="s">
        <v>482</v>
      </c>
      <c r="Z1141" s="49">
        <f t="shared" si="6"/>
        <v>0</v>
      </c>
    </row>
    <row r="1142" ht="22.5" customHeight="1">
      <c r="B1142" s="57"/>
      <c r="C1142" s="43" t="str">
        <f t="array" ref="C1142">IF(B1142="","",_xlfn.XLOOKUP(B1142,'Form responses 1'!$B$2:$B$2604,'Form responses 1'!$A$2:$A$2604,""))</f>
        <v/>
      </c>
      <c r="D1142" s="44" t="str">
        <f t="shared" si="3"/>
        <v/>
      </c>
      <c r="E1142" s="44" t="str">
        <f t="array" ref="E1142">IF(B1142="","",_xlfn.XLOOKUP(B1142,'Form responses 1'!$B$2:$B$2604,'Form responses 1'!$C$2:$C$2604,""))</f>
        <v/>
      </c>
      <c r="F1142" s="44" t="str">
        <f t="array" ref="F1142">IF(B1142="","",_xlfn.XLOOKUP(B1142,'Form responses 1'!$B$2:$B$2604,'Form responses 1'!$D$2:$D$2604,""))</f>
        <v/>
      </c>
      <c r="G1142" s="44" t="str">
        <f t="array" ref="G1142">IF(B1142="","",_xlfn.XLOOKUP(B1142,'Form responses 1'!$B$2:$B$2604,'Form responses 1'!$E$2:$E$2604,""))</f>
        <v/>
      </c>
      <c r="H1142" s="44" t="str">
        <f t="array" ref="H1142">IF(B1142="","",_xlfn.XLOOKUP(B1142,'Form responses 1'!$B$2:$B$2604,'Form responses 1'!$F$2:$F$2604,""))</f>
        <v/>
      </c>
      <c r="I1142" s="44" t="str">
        <f t="array" ref="I1142">IF(B1142="","",_xlfn.XLOOKUP(B1142,'Form responses 1'!$B$2:$B$2604,'Form responses 1'!$I$2:$I$2604,""))</f>
        <v/>
      </c>
      <c r="J1142" s="44" t="str">
        <f t="array" ref="J1142">IF(B1142="","",_xlfn.XLOOKUP(B1142,'Form responses 1'!$B$2:$B$2604,'Form responses 1'!$G$2:$G$2604,""))</f>
        <v/>
      </c>
      <c r="K1142" s="56"/>
      <c r="L1142" s="58" t="str">
        <f t="shared" si="7"/>
        <v/>
      </c>
      <c r="M1142" s="49"/>
      <c r="N1142" s="49"/>
      <c r="O1142" s="49"/>
      <c r="P1142" s="49"/>
      <c r="Q1142" s="49"/>
      <c r="R1142" s="49"/>
      <c r="S1142" s="49"/>
      <c r="T1142" s="49"/>
      <c r="U1142" s="49"/>
      <c r="V1142" s="49"/>
      <c r="W1142" s="56"/>
      <c r="X1142" s="51" t="str">
        <f t="shared" si="5"/>
        <v/>
      </c>
      <c r="Y1142" s="50" t="s">
        <v>482</v>
      </c>
      <c r="Z1142" s="49">
        <f t="shared" si="6"/>
        <v>0</v>
      </c>
    </row>
    <row r="1143" ht="22.5" customHeight="1">
      <c r="B1143" s="57"/>
      <c r="C1143" s="43" t="str">
        <f t="array" ref="C1143">IF(B1143="","",_xlfn.XLOOKUP(B1143,'Form responses 1'!$B$2:$B$2604,'Form responses 1'!$A$2:$A$2604,""))</f>
        <v/>
      </c>
      <c r="D1143" s="44" t="str">
        <f t="shared" si="3"/>
        <v/>
      </c>
      <c r="E1143" s="44" t="str">
        <f t="array" ref="E1143">IF(B1143="","",_xlfn.XLOOKUP(B1143,'Form responses 1'!$B$2:$B$2604,'Form responses 1'!$C$2:$C$2604,""))</f>
        <v/>
      </c>
      <c r="F1143" s="44" t="str">
        <f t="array" ref="F1143">IF(B1143="","",_xlfn.XLOOKUP(B1143,'Form responses 1'!$B$2:$B$2604,'Form responses 1'!$D$2:$D$2604,""))</f>
        <v/>
      </c>
      <c r="G1143" s="44" t="str">
        <f t="array" ref="G1143">IF(B1143="","",_xlfn.XLOOKUP(B1143,'Form responses 1'!$B$2:$B$2604,'Form responses 1'!$E$2:$E$2604,""))</f>
        <v/>
      </c>
      <c r="H1143" s="44" t="str">
        <f t="array" ref="H1143">IF(B1143="","",_xlfn.XLOOKUP(B1143,'Form responses 1'!$B$2:$B$2604,'Form responses 1'!$F$2:$F$2604,""))</f>
        <v/>
      </c>
      <c r="I1143" s="44" t="str">
        <f t="array" ref="I1143">IF(B1143="","",_xlfn.XLOOKUP(B1143,'Form responses 1'!$B$2:$B$2604,'Form responses 1'!$I$2:$I$2604,""))</f>
        <v/>
      </c>
      <c r="J1143" s="44" t="str">
        <f t="array" ref="J1143">IF(B1143="","",_xlfn.XLOOKUP(B1143,'Form responses 1'!$B$2:$B$2604,'Form responses 1'!$G$2:$G$2604,""))</f>
        <v/>
      </c>
      <c r="K1143" s="56"/>
      <c r="L1143" s="58" t="str">
        <f t="shared" si="7"/>
        <v/>
      </c>
      <c r="M1143" s="49"/>
      <c r="N1143" s="49"/>
      <c r="O1143" s="49"/>
      <c r="P1143" s="49"/>
      <c r="Q1143" s="49"/>
      <c r="R1143" s="49"/>
      <c r="S1143" s="49"/>
      <c r="T1143" s="49"/>
      <c r="U1143" s="49"/>
      <c r="V1143" s="49"/>
      <c r="W1143" s="56"/>
      <c r="X1143" s="51" t="str">
        <f t="shared" si="5"/>
        <v/>
      </c>
      <c r="Y1143" s="50" t="s">
        <v>482</v>
      </c>
      <c r="Z1143" s="49">
        <f t="shared" si="6"/>
        <v>0</v>
      </c>
    </row>
    <row r="1144" ht="22.5" customHeight="1">
      <c r="B1144" s="57"/>
      <c r="C1144" s="43" t="str">
        <f t="array" ref="C1144">IF(B1144="","",_xlfn.XLOOKUP(B1144,'Form responses 1'!$B$2:$B$2604,'Form responses 1'!$A$2:$A$2604,""))</f>
        <v/>
      </c>
      <c r="D1144" s="44" t="str">
        <f t="shared" si="3"/>
        <v/>
      </c>
      <c r="E1144" s="44" t="str">
        <f t="array" ref="E1144">IF(B1144="","",_xlfn.XLOOKUP(B1144,'Form responses 1'!$B$2:$B$2604,'Form responses 1'!$C$2:$C$2604,""))</f>
        <v/>
      </c>
      <c r="F1144" s="44" t="str">
        <f t="array" ref="F1144">IF(B1144="","",_xlfn.XLOOKUP(B1144,'Form responses 1'!$B$2:$B$2604,'Form responses 1'!$D$2:$D$2604,""))</f>
        <v/>
      </c>
      <c r="G1144" s="44" t="str">
        <f t="array" ref="G1144">IF(B1144="","",_xlfn.XLOOKUP(B1144,'Form responses 1'!$B$2:$B$2604,'Form responses 1'!$E$2:$E$2604,""))</f>
        <v/>
      </c>
      <c r="H1144" s="44" t="str">
        <f t="array" ref="H1144">IF(B1144="","",_xlfn.XLOOKUP(B1144,'Form responses 1'!$B$2:$B$2604,'Form responses 1'!$F$2:$F$2604,""))</f>
        <v/>
      </c>
      <c r="I1144" s="44" t="str">
        <f t="array" ref="I1144">IF(B1144="","",_xlfn.XLOOKUP(B1144,'Form responses 1'!$B$2:$B$2604,'Form responses 1'!$I$2:$I$2604,""))</f>
        <v/>
      </c>
      <c r="J1144" s="44" t="str">
        <f t="array" ref="J1144">IF(B1144="","",_xlfn.XLOOKUP(B1144,'Form responses 1'!$B$2:$B$2604,'Form responses 1'!$G$2:$G$2604,""))</f>
        <v/>
      </c>
      <c r="K1144" s="56"/>
      <c r="L1144" s="58" t="str">
        <f t="shared" si="7"/>
        <v/>
      </c>
      <c r="M1144" s="49"/>
      <c r="N1144" s="49"/>
      <c r="O1144" s="49"/>
      <c r="P1144" s="49"/>
      <c r="Q1144" s="49"/>
      <c r="R1144" s="49"/>
      <c r="S1144" s="49"/>
      <c r="T1144" s="49"/>
      <c r="U1144" s="49"/>
      <c r="V1144" s="49"/>
      <c r="W1144" s="56"/>
      <c r="X1144" s="51" t="str">
        <f t="shared" si="5"/>
        <v/>
      </c>
      <c r="Y1144" s="50" t="s">
        <v>482</v>
      </c>
      <c r="Z1144" s="49">
        <f t="shared" si="6"/>
        <v>0</v>
      </c>
    </row>
    <row r="1145" ht="22.5" customHeight="1">
      <c r="B1145" s="57"/>
      <c r="C1145" s="43" t="str">
        <f t="array" ref="C1145">IF(B1145="","",_xlfn.XLOOKUP(B1145,'Form responses 1'!$B$2:$B$2604,'Form responses 1'!$A$2:$A$2604,""))</f>
        <v/>
      </c>
      <c r="D1145" s="44" t="str">
        <f t="shared" si="3"/>
        <v/>
      </c>
      <c r="E1145" s="44" t="str">
        <f t="array" ref="E1145">IF(B1145="","",_xlfn.XLOOKUP(B1145,'Form responses 1'!$B$2:$B$2604,'Form responses 1'!$C$2:$C$2604,""))</f>
        <v/>
      </c>
      <c r="F1145" s="44" t="str">
        <f t="array" ref="F1145">IF(B1145="","",_xlfn.XLOOKUP(B1145,'Form responses 1'!$B$2:$B$2604,'Form responses 1'!$D$2:$D$2604,""))</f>
        <v/>
      </c>
      <c r="G1145" s="44" t="str">
        <f t="array" ref="G1145">IF(B1145="","",_xlfn.XLOOKUP(B1145,'Form responses 1'!$B$2:$B$2604,'Form responses 1'!$E$2:$E$2604,""))</f>
        <v/>
      </c>
      <c r="H1145" s="44" t="str">
        <f t="array" ref="H1145">IF(B1145="","",_xlfn.XLOOKUP(B1145,'Form responses 1'!$B$2:$B$2604,'Form responses 1'!$F$2:$F$2604,""))</f>
        <v/>
      </c>
      <c r="I1145" s="44" t="str">
        <f t="array" ref="I1145">IF(B1145="","",_xlfn.XLOOKUP(B1145,'Form responses 1'!$B$2:$B$2604,'Form responses 1'!$I$2:$I$2604,""))</f>
        <v/>
      </c>
      <c r="J1145" s="44" t="str">
        <f t="array" ref="J1145">IF(B1145="","",_xlfn.XLOOKUP(B1145,'Form responses 1'!$B$2:$B$2604,'Form responses 1'!$G$2:$G$2604,""))</f>
        <v/>
      </c>
      <c r="K1145" s="56"/>
      <c r="L1145" s="58" t="str">
        <f t="shared" si="7"/>
        <v/>
      </c>
      <c r="M1145" s="49"/>
      <c r="N1145" s="49"/>
      <c r="O1145" s="49"/>
      <c r="P1145" s="49"/>
      <c r="Q1145" s="49"/>
      <c r="R1145" s="49"/>
      <c r="S1145" s="49"/>
      <c r="T1145" s="49"/>
      <c r="U1145" s="49"/>
      <c r="V1145" s="49"/>
      <c r="W1145" s="56"/>
      <c r="X1145" s="51" t="str">
        <f t="shared" si="5"/>
        <v/>
      </c>
      <c r="Y1145" s="50" t="s">
        <v>482</v>
      </c>
      <c r="Z1145" s="49">
        <f t="shared" si="6"/>
        <v>0</v>
      </c>
    </row>
    <row r="1146" ht="22.5" customHeight="1">
      <c r="B1146" s="57"/>
      <c r="C1146" s="43" t="str">
        <f t="array" ref="C1146">IF(B1146="","",_xlfn.XLOOKUP(B1146,'Form responses 1'!$B$2:$B$2604,'Form responses 1'!$A$2:$A$2604,""))</f>
        <v/>
      </c>
      <c r="D1146" s="44" t="str">
        <f t="shared" si="3"/>
        <v/>
      </c>
      <c r="E1146" s="44" t="str">
        <f t="array" ref="E1146">IF(B1146="","",_xlfn.XLOOKUP(B1146,'Form responses 1'!$B$2:$B$2604,'Form responses 1'!$C$2:$C$2604,""))</f>
        <v/>
      </c>
      <c r="F1146" s="44" t="str">
        <f t="array" ref="F1146">IF(B1146="","",_xlfn.XLOOKUP(B1146,'Form responses 1'!$B$2:$B$2604,'Form responses 1'!$D$2:$D$2604,""))</f>
        <v/>
      </c>
      <c r="G1146" s="44" t="str">
        <f t="array" ref="G1146">IF(B1146="","",_xlfn.XLOOKUP(B1146,'Form responses 1'!$B$2:$B$2604,'Form responses 1'!$E$2:$E$2604,""))</f>
        <v/>
      </c>
      <c r="H1146" s="44" t="str">
        <f t="array" ref="H1146">IF(B1146="","",_xlfn.XLOOKUP(B1146,'Form responses 1'!$B$2:$B$2604,'Form responses 1'!$F$2:$F$2604,""))</f>
        <v/>
      </c>
      <c r="I1146" s="44" t="str">
        <f t="array" ref="I1146">IF(B1146="","",_xlfn.XLOOKUP(B1146,'Form responses 1'!$B$2:$B$2604,'Form responses 1'!$I$2:$I$2604,""))</f>
        <v/>
      </c>
      <c r="J1146" s="44" t="str">
        <f t="array" ref="J1146">IF(B1146="","",_xlfn.XLOOKUP(B1146,'Form responses 1'!$B$2:$B$2604,'Form responses 1'!$G$2:$G$2604,""))</f>
        <v/>
      </c>
      <c r="K1146" s="56"/>
      <c r="L1146" s="58" t="str">
        <f t="shared" si="7"/>
        <v/>
      </c>
      <c r="M1146" s="49"/>
      <c r="N1146" s="49"/>
      <c r="O1146" s="49"/>
      <c r="P1146" s="49"/>
      <c r="Q1146" s="49"/>
      <c r="R1146" s="49"/>
      <c r="S1146" s="49"/>
      <c r="T1146" s="49"/>
      <c r="U1146" s="49"/>
      <c r="V1146" s="49"/>
      <c r="W1146" s="56"/>
      <c r="X1146" s="51" t="str">
        <f t="shared" si="5"/>
        <v/>
      </c>
      <c r="Y1146" s="50" t="s">
        <v>482</v>
      </c>
      <c r="Z1146" s="49">
        <f t="shared" si="6"/>
        <v>0</v>
      </c>
    </row>
    <row r="1147" ht="22.5" customHeight="1">
      <c r="B1147" s="57"/>
      <c r="C1147" s="43" t="str">
        <f t="array" ref="C1147">IF(B1147="","",_xlfn.XLOOKUP(B1147,'Form responses 1'!$B$2:$B$2604,'Form responses 1'!$A$2:$A$2604,""))</f>
        <v/>
      </c>
      <c r="D1147" s="44" t="str">
        <f t="shared" si="3"/>
        <v/>
      </c>
      <c r="E1147" s="44" t="str">
        <f t="array" ref="E1147">IF(B1147="","",_xlfn.XLOOKUP(B1147,'Form responses 1'!$B$2:$B$2604,'Form responses 1'!$C$2:$C$2604,""))</f>
        <v/>
      </c>
      <c r="F1147" s="44" t="str">
        <f t="array" ref="F1147">IF(B1147="","",_xlfn.XLOOKUP(B1147,'Form responses 1'!$B$2:$B$2604,'Form responses 1'!$D$2:$D$2604,""))</f>
        <v/>
      </c>
      <c r="G1147" s="44" t="str">
        <f t="array" ref="G1147">IF(B1147="","",_xlfn.XLOOKUP(B1147,'Form responses 1'!$B$2:$B$2604,'Form responses 1'!$E$2:$E$2604,""))</f>
        <v/>
      </c>
      <c r="H1147" s="44" t="str">
        <f t="array" ref="H1147">IF(B1147="","",_xlfn.XLOOKUP(B1147,'Form responses 1'!$B$2:$B$2604,'Form responses 1'!$F$2:$F$2604,""))</f>
        <v/>
      </c>
      <c r="I1147" s="44" t="str">
        <f t="array" ref="I1147">IF(B1147="","",_xlfn.XLOOKUP(B1147,'Form responses 1'!$B$2:$B$2604,'Form responses 1'!$I$2:$I$2604,""))</f>
        <v/>
      </c>
      <c r="J1147" s="44" t="str">
        <f t="array" ref="J1147">IF(B1147="","",_xlfn.XLOOKUP(B1147,'Form responses 1'!$B$2:$B$2604,'Form responses 1'!$G$2:$G$2604,""))</f>
        <v/>
      </c>
      <c r="K1147" s="56"/>
      <c r="L1147" s="58" t="str">
        <f t="shared" si="7"/>
        <v/>
      </c>
      <c r="M1147" s="49"/>
      <c r="N1147" s="49"/>
      <c r="O1147" s="49"/>
      <c r="P1147" s="49"/>
      <c r="Q1147" s="49"/>
      <c r="R1147" s="49"/>
      <c r="S1147" s="49"/>
      <c r="T1147" s="49"/>
      <c r="U1147" s="49"/>
      <c r="V1147" s="49"/>
      <c r="W1147" s="56"/>
      <c r="X1147" s="51" t="str">
        <f t="shared" si="5"/>
        <v/>
      </c>
      <c r="Y1147" s="50" t="s">
        <v>482</v>
      </c>
      <c r="Z1147" s="49">
        <f t="shared" si="6"/>
        <v>0</v>
      </c>
    </row>
    <row r="1148" ht="22.5" customHeight="1">
      <c r="B1148" s="57"/>
      <c r="C1148" s="43" t="str">
        <f t="array" ref="C1148">IF(B1148="","",_xlfn.XLOOKUP(B1148,'Form responses 1'!$B$2:$B$2604,'Form responses 1'!$A$2:$A$2604,""))</f>
        <v/>
      </c>
      <c r="D1148" s="44" t="str">
        <f t="shared" si="3"/>
        <v/>
      </c>
      <c r="E1148" s="44" t="str">
        <f t="array" ref="E1148">IF(B1148="","",_xlfn.XLOOKUP(B1148,'Form responses 1'!$B$2:$B$2604,'Form responses 1'!$C$2:$C$2604,""))</f>
        <v/>
      </c>
      <c r="F1148" s="44" t="str">
        <f t="array" ref="F1148">IF(B1148="","",_xlfn.XLOOKUP(B1148,'Form responses 1'!$B$2:$B$2604,'Form responses 1'!$D$2:$D$2604,""))</f>
        <v/>
      </c>
      <c r="G1148" s="44" t="str">
        <f t="array" ref="G1148">IF(B1148="","",_xlfn.XLOOKUP(B1148,'Form responses 1'!$B$2:$B$2604,'Form responses 1'!$E$2:$E$2604,""))</f>
        <v/>
      </c>
      <c r="H1148" s="44" t="str">
        <f t="array" ref="H1148">IF(B1148="","",_xlfn.XLOOKUP(B1148,'Form responses 1'!$B$2:$B$2604,'Form responses 1'!$F$2:$F$2604,""))</f>
        <v/>
      </c>
      <c r="I1148" s="44" t="str">
        <f t="array" ref="I1148">IF(B1148="","",_xlfn.XLOOKUP(B1148,'Form responses 1'!$B$2:$B$2604,'Form responses 1'!$I$2:$I$2604,""))</f>
        <v/>
      </c>
      <c r="J1148" s="44" t="str">
        <f t="array" ref="J1148">IF(B1148="","",_xlfn.XLOOKUP(B1148,'Form responses 1'!$B$2:$B$2604,'Form responses 1'!$G$2:$G$2604,""))</f>
        <v/>
      </c>
      <c r="K1148" s="56"/>
      <c r="L1148" s="58" t="str">
        <f t="shared" si="7"/>
        <v/>
      </c>
      <c r="M1148" s="49"/>
      <c r="N1148" s="49"/>
      <c r="O1148" s="49"/>
      <c r="P1148" s="49"/>
      <c r="Q1148" s="49"/>
      <c r="R1148" s="49"/>
      <c r="S1148" s="49"/>
      <c r="T1148" s="49"/>
      <c r="U1148" s="49"/>
      <c r="V1148" s="49"/>
      <c r="W1148" s="56"/>
      <c r="X1148" s="51" t="str">
        <f t="shared" si="5"/>
        <v/>
      </c>
      <c r="Y1148" s="50" t="s">
        <v>482</v>
      </c>
      <c r="Z1148" s="49">
        <f t="shared" si="6"/>
        <v>0</v>
      </c>
    </row>
    <row r="1149" ht="22.5" customHeight="1">
      <c r="B1149" s="57"/>
      <c r="C1149" s="43" t="str">
        <f t="array" ref="C1149">IF(B1149="","",_xlfn.XLOOKUP(B1149,'Form responses 1'!$B$2:$B$2604,'Form responses 1'!$A$2:$A$2604,""))</f>
        <v/>
      </c>
      <c r="D1149" s="44" t="str">
        <f t="shared" si="3"/>
        <v/>
      </c>
      <c r="E1149" s="44" t="str">
        <f t="array" ref="E1149">IF(B1149="","",_xlfn.XLOOKUP(B1149,'Form responses 1'!$B$2:$B$2604,'Form responses 1'!$C$2:$C$2604,""))</f>
        <v/>
      </c>
      <c r="F1149" s="44" t="str">
        <f t="array" ref="F1149">IF(B1149="","",_xlfn.XLOOKUP(B1149,'Form responses 1'!$B$2:$B$2604,'Form responses 1'!$D$2:$D$2604,""))</f>
        <v/>
      </c>
      <c r="G1149" s="44" t="str">
        <f t="array" ref="G1149">IF(B1149="","",_xlfn.XLOOKUP(B1149,'Form responses 1'!$B$2:$B$2604,'Form responses 1'!$E$2:$E$2604,""))</f>
        <v/>
      </c>
      <c r="H1149" s="44" t="str">
        <f t="array" ref="H1149">IF(B1149="","",_xlfn.XLOOKUP(B1149,'Form responses 1'!$B$2:$B$2604,'Form responses 1'!$F$2:$F$2604,""))</f>
        <v/>
      </c>
      <c r="I1149" s="44" t="str">
        <f t="array" ref="I1149">IF(B1149="","",_xlfn.XLOOKUP(B1149,'Form responses 1'!$B$2:$B$2604,'Form responses 1'!$I$2:$I$2604,""))</f>
        <v/>
      </c>
      <c r="J1149" s="44" t="str">
        <f t="array" ref="J1149">IF(B1149="","",_xlfn.XLOOKUP(B1149,'Form responses 1'!$B$2:$B$2604,'Form responses 1'!$G$2:$G$2604,""))</f>
        <v/>
      </c>
      <c r="K1149" s="56"/>
      <c r="L1149" s="58" t="str">
        <f t="shared" si="7"/>
        <v/>
      </c>
      <c r="M1149" s="49"/>
      <c r="N1149" s="49"/>
      <c r="O1149" s="49"/>
      <c r="P1149" s="49"/>
      <c r="Q1149" s="49"/>
      <c r="R1149" s="49"/>
      <c r="S1149" s="49"/>
      <c r="T1149" s="49"/>
      <c r="U1149" s="49"/>
      <c r="V1149" s="49"/>
      <c r="W1149" s="56"/>
      <c r="X1149" s="51" t="str">
        <f t="shared" si="5"/>
        <v/>
      </c>
      <c r="Y1149" s="50" t="s">
        <v>482</v>
      </c>
      <c r="Z1149" s="49">
        <f t="shared" si="6"/>
        <v>0</v>
      </c>
    </row>
    <row r="1150" ht="22.5" customHeight="1">
      <c r="B1150" s="57"/>
      <c r="C1150" s="43" t="str">
        <f t="array" ref="C1150">IF(B1150="","",_xlfn.XLOOKUP(B1150,'Form responses 1'!$B$2:$B$2604,'Form responses 1'!$A$2:$A$2604,""))</f>
        <v/>
      </c>
      <c r="D1150" s="44" t="str">
        <f t="shared" si="3"/>
        <v/>
      </c>
      <c r="E1150" s="44" t="str">
        <f t="array" ref="E1150">IF(B1150="","",_xlfn.XLOOKUP(B1150,'Form responses 1'!$B$2:$B$2604,'Form responses 1'!$C$2:$C$2604,""))</f>
        <v/>
      </c>
      <c r="F1150" s="44" t="str">
        <f t="array" ref="F1150">IF(B1150="","",_xlfn.XLOOKUP(B1150,'Form responses 1'!$B$2:$B$2604,'Form responses 1'!$D$2:$D$2604,""))</f>
        <v/>
      </c>
      <c r="G1150" s="44" t="str">
        <f t="array" ref="G1150">IF(B1150="","",_xlfn.XLOOKUP(B1150,'Form responses 1'!$B$2:$B$2604,'Form responses 1'!$E$2:$E$2604,""))</f>
        <v/>
      </c>
      <c r="H1150" s="44" t="str">
        <f t="array" ref="H1150">IF(B1150="","",_xlfn.XLOOKUP(B1150,'Form responses 1'!$B$2:$B$2604,'Form responses 1'!$F$2:$F$2604,""))</f>
        <v/>
      </c>
      <c r="I1150" s="44" t="str">
        <f t="array" ref="I1150">IF(B1150="","",_xlfn.XLOOKUP(B1150,'Form responses 1'!$B$2:$B$2604,'Form responses 1'!$I$2:$I$2604,""))</f>
        <v/>
      </c>
      <c r="J1150" s="44" t="str">
        <f t="array" ref="J1150">IF(B1150="","",_xlfn.XLOOKUP(B1150,'Form responses 1'!$B$2:$B$2604,'Form responses 1'!$G$2:$G$2604,""))</f>
        <v/>
      </c>
      <c r="K1150" s="56"/>
      <c r="L1150" s="58" t="str">
        <f t="shared" si="7"/>
        <v/>
      </c>
      <c r="M1150" s="49"/>
      <c r="N1150" s="49"/>
      <c r="O1150" s="49"/>
      <c r="P1150" s="49"/>
      <c r="Q1150" s="49"/>
      <c r="R1150" s="49"/>
      <c r="S1150" s="49"/>
      <c r="T1150" s="49"/>
      <c r="U1150" s="49"/>
      <c r="V1150" s="49"/>
      <c r="W1150" s="56"/>
      <c r="X1150" s="51" t="str">
        <f t="shared" si="5"/>
        <v/>
      </c>
      <c r="Y1150" s="50" t="s">
        <v>482</v>
      </c>
      <c r="Z1150" s="49">
        <f t="shared" si="6"/>
        <v>0</v>
      </c>
    </row>
    <row r="1151" ht="22.5" customHeight="1">
      <c r="B1151" s="57"/>
      <c r="C1151" s="43" t="str">
        <f t="array" ref="C1151">IF(B1151="","",_xlfn.XLOOKUP(B1151,'Form responses 1'!$B$2:$B$2604,'Form responses 1'!$A$2:$A$2604,""))</f>
        <v/>
      </c>
      <c r="D1151" s="44" t="str">
        <f t="shared" si="3"/>
        <v/>
      </c>
      <c r="E1151" s="44" t="str">
        <f t="array" ref="E1151">IF(B1151="","",_xlfn.XLOOKUP(B1151,'Form responses 1'!$B$2:$B$2604,'Form responses 1'!$C$2:$C$2604,""))</f>
        <v/>
      </c>
      <c r="F1151" s="44" t="str">
        <f t="array" ref="F1151">IF(B1151="","",_xlfn.XLOOKUP(B1151,'Form responses 1'!$B$2:$B$2604,'Form responses 1'!$D$2:$D$2604,""))</f>
        <v/>
      </c>
      <c r="G1151" s="44" t="str">
        <f t="array" ref="G1151">IF(B1151="","",_xlfn.XLOOKUP(B1151,'Form responses 1'!$B$2:$B$2604,'Form responses 1'!$E$2:$E$2604,""))</f>
        <v/>
      </c>
      <c r="H1151" s="44" t="str">
        <f t="array" ref="H1151">IF(B1151="","",_xlfn.XLOOKUP(B1151,'Form responses 1'!$B$2:$B$2604,'Form responses 1'!$F$2:$F$2604,""))</f>
        <v/>
      </c>
      <c r="I1151" s="44" t="str">
        <f t="array" ref="I1151">IF(B1151="","",_xlfn.XLOOKUP(B1151,'Form responses 1'!$B$2:$B$2604,'Form responses 1'!$I$2:$I$2604,""))</f>
        <v/>
      </c>
      <c r="J1151" s="44" t="str">
        <f t="array" ref="J1151">IF(B1151="","",_xlfn.XLOOKUP(B1151,'Form responses 1'!$B$2:$B$2604,'Form responses 1'!$G$2:$G$2604,""))</f>
        <v/>
      </c>
      <c r="K1151" s="56"/>
      <c r="L1151" s="58" t="str">
        <f t="shared" si="7"/>
        <v/>
      </c>
      <c r="M1151" s="49"/>
      <c r="N1151" s="49"/>
      <c r="O1151" s="49"/>
      <c r="P1151" s="49"/>
      <c r="Q1151" s="49"/>
      <c r="R1151" s="49"/>
      <c r="S1151" s="49"/>
      <c r="T1151" s="49"/>
      <c r="U1151" s="49"/>
      <c r="V1151" s="49"/>
      <c r="W1151" s="56"/>
      <c r="X1151" s="51" t="str">
        <f t="shared" si="5"/>
        <v/>
      </c>
      <c r="Y1151" s="50" t="s">
        <v>482</v>
      </c>
      <c r="Z1151" s="49">
        <f t="shared" si="6"/>
        <v>0</v>
      </c>
    </row>
    <row r="1152" ht="22.5" customHeight="1">
      <c r="B1152" s="57"/>
      <c r="C1152" s="43" t="str">
        <f t="array" ref="C1152">IF(B1152="","",_xlfn.XLOOKUP(B1152,'Form responses 1'!$B$2:$B$2604,'Form responses 1'!$A$2:$A$2604,""))</f>
        <v/>
      </c>
      <c r="D1152" s="44" t="str">
        <f t="shared" si="3"/>
        <v/>
      </c>
      <c r="E1152" s="44" t="str">
        <f t="array" ref="E1152">IF(B1152="","",_xlfn.XLOOKUP(B1152,'Form responses 1'!$B$2:$B$2604,'Form responses 1'!$C$2:$C$2604,""))</f>
        <v/>
      </c>
      <c r="F1152" s="44" t="str">
        <f t="array" ref="F1152">IF(B1152="","",_xlfn.XLOOKUP(B1152,'Form responses 1'!$B$2:$B$2604,'Form responses 1'!$D$2:$D$2604,""))</f>
        <v/>
      </c>
      <c r="G1152" s="44" t="str">
        <f t="array" ref="G1152">IF(B1152="","",_xlfn.XLOOKUP(B1152,'Form responses 1'!$B$2:$B$2604,'Form responses 1'!$E$2:$E$2604,""))</f>
        <v/>
      </c>
      <c r="H1152" s="44" t="str">
        <f t="array" ref="H1152">IF(B1152="","",_xlfn.XLOOKUP(B1152,'Form responses 1'!$B$2:$B$2604,'Form responses 1'!$F$2:$F$2604,""))</f>
        <v/>
      </c>
      <c r="I1152" s="44" t="str">
        <f t="array" ref="I1152">IF(B1152="","",_xlfn.XLOOKUP(B1152,'Form responses 1'!$B$2:$B$2604,'Form responses 1'!$I$2:$I$2604,""))</f>
        <v/>
      </c>
      <c r="J1152" s="44" t="str">
        <f t="array" ref="J1152">IF(B1152="","",_xlfn.XLOOKUP(B1152,'Form responses 1'!$B$2:$B$2604,'Form responses 1'!$G$2:$G$2604,""))</f>
        <v/>
      </c>
      <c r="K1152" s="56"/>
      <c r="L1152" s="58" t="str">
        <f t="shared" si="7"/>
        <v/>
      </c>
      <c r="M1152" s="49"/>
      <c r="N1152" s="49"/>
      <c r="O1152" s="49"/>
      <c r="P1152" s="49"/>
      <c r="Q1152" s="49"/>
      <c r="R1152" s="49"/>
      <c r="S1152" s="49"/>
      <c r="T1152" s="49"/>
      <c r="U1152" s="49"/>
      <c r="V1152" s="49"/>
      <c r="W1152" s="56"/>
      <c r="X1152" s="51" t="str">
        <f t="shared" si="5"/>
        <v/>
      </c>
      <c r="Y1152" s="50" t="s">
        <v>482</v>
      </c>
      <c r="Z1152" s="49">
        <f t="shared" si="6"/>
        <v>0</v>
      </c>
    </row>
    <row r="1153" ht="22.5" customHeight="1">
      <c r="B1153" s="57"/>
      <c r="C1153" s="43" t="str">
        <f t="array" ref="C1153">IF(B1153="","",_xlfn.XLOOKUP(B1153,'Form responses 1'!$B$2:$B$2604,'Form responses 1'!$A$2:$A$2604,""))</f>
        <v/>
      </c>
      <c r="D1153" s="44" t="str">
        <f t="shared" si="3"/>
        <v/>
      </c>
      <c r="E1153" s="44" t="str">
        <f t="array" ref="E1153">IF(B1153="","",_xlfn.XLOOKUP(B1153,'Form responses 1'!$B$2:$B$2604,'Form responses 1'!$C$2:$C$2604,""))</f>
        <v/>
      </c>
      <c r="F1153" s="44" t="str">
        <f t="array" ref="F1153">IF(B1153="","",_xlfn.XLOOKUP(B1153,'Form responses 1'!$B$2:$B$2604,'Form responses 1'!$D$2:$D$2604,""))</f>
        <v/>
      </c>
      <c r="G1153" s="44" t="str">
        <f t="array" ref="G1153">IF(B1153="","",_xlfn.XLOOKUP(B1153,'Form responses 1'!$B$2:$B$2604,'Form responses 1'!$E$2:$E$2604,""))</f>
        <v/>
      </c>
      <c r="H1153" s="44" t="str">
        <f t="array" ref="H1153">IF(B1153="","",_xlfn.XLOOKUP(B1153,'Form responses 1'!$B$2:$B$2604,'Form responses 1'!$F$2:$F$2604,""))</f>
        <v/>
      </c>
      <c r="I1153" s="44" t="str">
        <f t="array" ref="I1153">IF(B1153="","",_xlfn.XLOOKUP(B1153,'Form responses 1'!$B$2:$B$2604,'Form responses 1'!$I$2:$I$2604,""))</f>
        <v/>
      </c>
      <c r="J1153" s="44" t="str">
        <f t="array" ref="J1153">IF(B1153="","",_xlfn.XLOOKUP(B1153,'Form responses 1'!$B$2:$B$2604,'Form responses 1'!$G$2:$G$2604,""))</f>
        <v/>
      </c>
      <c r="K1153" s="56"/>
      <c r="L1153" s="58" t="str">
        <f t="shared" si="7"/>
        <v/>
      </c>
      <c r="M1153" s="49"/>
      <c r="N1153" s="49"/>
      <c r="O1153" s="49"/>
      <c r="P1153" s="49"/>
      <c r="Q1153" s="49"/>
      <c r="R1153" s="49"/>
      <c r="S1153" s="49"/>
      <c r="T1153" s="49"/>
      <c r="U1153" s="49"/>
      <c r="V1153" s="49"/>
      <c r="W1153" s="56"/>
      <c r="X1153" s="51" t="str">
        <f t="shared" si="5"/>
        <v/>
      </c>
      <c r="Y1153" s="50" t="s">
        <v>482</v>
      </c>
      <c r="Z1153" s="49">
        <f t="shared" si="6"/>
        <v>0</v>
      </c>
    </row>
    <row r="1154" ht="22.5" customHeight="1">
      <c r="B1154" s="57"/>
      <c r="C1154" s="43" t="str">
        <f t="array" ref="C1154">IF(B1154="","",_xlfn.XLOOKUP(B1154,'Form responses 1'!$B$2:$B$2604,'Form responses 1'!$A$2:$A$2604,""))</f>
        <v/>
      </c>
      <c r="D1154" s="44" t="str">
        <f t="shared" si="3"/>
        <v/>
      </c>
      <c r="E1154" s="44" t="str">
        <f t="array" ref="E1154">IF(B1154="","",_xlfn.XLOOKUP(B1154,'Form responses 1'!$B$2:$B$2604,'Form responses 1'!$C$2:$C$2604,""))</f>
        <v/>
      </c>
      <c r="F1154" s="44" t="str">
        <f t="array" ref="F1154">IF(B1154="","",_xlfn.XLOOKUP(B1154,'Form responses 1'!$B$2:$B$2604,'Form responses 1'!$D$2:$D$2604,""))</f>
        <v/>
      </c>
      <c r="G1154" s="44" t="str">
        <f t="array" ref="G1154">IF(B1154="","",_xlfn.XLOOKUP(B1154,'Form responses 1'!$B$2:$B$2604,'Form responses 1'!$E$2:$E$2604,""))</f>
        <v/>
      </c>
      <c r="H1154" s="44" t="str">
        <f t="array" ref="H1154">IF(B1154="","",_xlfn.XLOOKUP(B1154,'Form responses 1'!$B$2:$B$2604,'Form responses 1'!$F$2:$F$2604,""))</f>
        <v/>
      </c>
      <c r="I1154" s="44" t="str">
        <f t="array" ref="I1154">IF(B1154="","",_xlfn.XLOOKUP(B1154,'Form responses 1'!$B$2:$B$2604,'Form responses 1'!$I$2:$I$2604,""))</f>
        <v/>
      </c>
      <c r="J1154" s="44" t="str">
        <f t="array" ref="J1154">IF(B1154="","",_xlfn.XLOOKUP(B1154,'Form responses 1'!$B$2:$B$2604,'Form responses 1'!$G$2:$G$2604,""))</f>
        <v/>
      </c>
      <c r="K1154" s="56"/>
      <c r="L1154" s="58" t="str">
        <f t="shared" si="7"/>
        <v/>
      </c>
      <c r="M1154" s="49"/>
      <c r="N1154" s="49"/>
      <c r="O1154" s="49"/>
      <c r="P1154" s="49"/>
      <c r="Q1154" s="49"/>
      <c r="R1154" s="49"/>
      <c r="S1154" s="49"/>
      <c r="T1154" s="49"/>
      <c r="U1154" s="49"/>
      <c r="V1154" s="49"/>
      <c r="W1154" s="56"/>
      <c r="X1154" s="51" t="str">
        <f t="shared" si="5"/>
        <v/>
      </c>
      <c r="Y1154" s="50" t="s">
        <v>482</v>
      </c>
      <c r="Z1154" s="49">
        <f t="shared" si="6"/>
        <v>0</v>
      </c>
    </row>
    <row r="1155" ht="22.5" customHeight="1">
      <c r="B1155" s="57"/>
      <c r="C1155" s="43" t="str">
        <f t="array" ref="C1155">IF(B1155="","",_xlfn.XLOOKUP(B1155,'Form responses 1'!$B$2:$B$2604,'Form responses 1'!$A$2:$A$2604,""))</f>
        <v/>
      </c>
      <c r="D1155" s="44" t="str">
        <f t="shared" si="3"/>
        <v/>
      </c>
      <c r="E1155" s="44" t="str">
        <f t="array" ref="E1155">IF(B1155="","",_xlfn.XLOOKUP(B1155,'Form responses 1'!$B$2:$B$2604,'Form responses 1'!$C$2:$C$2604,""))</f>
        <v/>
      </c>
      <c r="F1155" s="44" t="str">
        <f t="array" ref="F1155">IF(B1155="","",_xlfn.XLOOKUP(B1155,'Form responses 1'!$B$2:$B$2604,'Form responses 1'!$D$2:$D$2604,""))</f>
        <v/>
      </c>
      <c r="G1155" s="44" t="str">
        <f t="array" ref="G1155">IF(B1155="","",_xlfn.XLOOKUP(B1155,'Form responses 1'!$B$2:$B$2604,'Form responses 1'!$E$2:$E$2604,""))</f>
        <v/>
      </c>
      <c r="H1155" s="44" t="str">
        <f t="array" ref="H1155">IF(B1155="","",_xlfn.XLOOKUP(B1155,'Form responses 1'!$B$2:$B$2604,'Form responses 1'!$F$2:$F$2604,""))</f>
        <v/>
      </c>
      <c r="I1155" s="44" t="str">
        <f t="array" ref="I1155">IF(B1155="","",_xlfn.XLOOKUP(B1155,'Form responses 1'!$B$2:$B$2604,'Form responses 1'!$I$2:$I$2604,""))</f>
        <v/>
      </c>
      <c r="J1155" s="44" t="str">
        <f t="array" ref="J1155">IF(B1155="","",_xlfn.XLOOKUP(B1155,'Form responses 1'!$B$2:$B$2604,'Form responses 1'!$G$2:$G$2604,""))</f>
        <v/>
      </c>
      <c r="K1155" s="56"/>
      <c r="L1155" s="58" t="str">
        <f t="shared" si="7"/>
        <v/>
      </c>
      <c r="M1155" s="49"/>
      <c r="N1155" s="49"/>
      <c r="O1155" s="49"/>
      <c r="P1155" s="49"/>
      <c r="Q1155" s="49"/>
      <c r="R1155" s="49"/>
      <c r="S1155" s="49"/>
      <c r="T1155" s="49"/>
      <c r="U1155" s="49"/>
      <c r="V1155" s="49"/>
      <c r="W1155" s="56"/>
      <c r="X1155" s="51" t="str">
        <f t="shared" si="5"/>
        <v/>
      </c>
      <c r="Y1155" s="50" t="s">
        <v>482</v>
      </c>
      <c r="Z1155" s="49">
        <f t="shared" si="6"/>
        <v>0</v>
      </c>
    </row>
    <row r="1156" ht="22.5" customHeight="1">
      <c r="B1156" s="57"/>
      <c r="C1156" s="43" t="str">
        <f t="array" ref="C1156">IF(B1156="","",_xlfn.XLOOKUP(B1156,'Form responses 1'!$B$2:$B$2604,'Form responses 1'!$A$2:$A$2604,""))</f>
        <v/>
      </c>
      <c r="D1156" s="44" t="str">
        <f t="shared" si="3"/>
        <v/>
      </c>
      <c r="E1156" s="44" t="str">
        <f t="array" ref="E1156">IF(B1156="","",_xlfn.XLOOKUP(B1156,'Form responses 1'!$B$2:$B$2604,'Form responses 1'!$C$2:$C$2604,""))</f>
        <v/>
      </c>
      <c r="F1156" s="44" t="str">
        <f t="array" ref="F1156">IF(B1156="","",_xlfn.XLOOKUP(B1156,'Form responses 1'!$B$2:$B$2604,'Form responses 1'!$D$2:$D$2604,""))</f>
        <v/>
      </c>
      <c r="G1156" s="44" t="str">
        <f t="array" ref="G1156">IF(B1156="","",_xlfn.XLOOKUP(B1156,'Form responses 1'!$B$2:$B$2604,'Form responses 1'!$E$2:$E$2604,""))</f>
        <v/>
      </c>
      <c r="H1156" s="44" t="str">
        <f t="array" ref="H1156">IF(B1156="","",_xlfn.XLOOKUP(B1156,'Form responses 1'!$B$2:$B$2604,'Form responses 1'!$F$2:$F$2604,""))</f>
        <v/>
      </c>
      <c r="I1156" s="44" t="str">
        <f t="array" ref="I1156">IF(B1156="","",_xlfn.XLOOKUP(B1156,'Form responses 1'!$B$2:$B$2604,'Form responses 1'!$I$2:$I$2604,""))</f>
        <v/>
      </c>
      <c r="J1156" s="44" t="str">
        <f t="array" ref="J1156">IF(B1156="","",_xlfn.XLOOKUP(B1156,'Form responses 1'!$B$2:$B$2604,'Form responses 1'!$G$2:$G$2604,""))</f>
        <v/>
      </c>
      <c r="K1156" s="56"/>
      <c r="L1156" s="58" t="str">
        <f t="shared" si="7"/>
        <v/>
      </c>
      <c r="M1156" s="49"/>
      <c r="N1156" s="49"/>
      <c r="O1156" s="49"/>
      <c r="P1156" s="49"/>
      <c r="Q1156" s="49"/>
      <c r="R1156" s="49"/>
      <c r="S1156" s="49"/>
      <c r="T1156" s="49"/>
      <c r="U1156" s="49"/>
      <c r="V1156" s="49"/>
      <c r="W1156" s="56"/>
      <c r="X1156" s="51" t="str">
        <f t="shared" si="5"/>
        <v/>
      </c>
      <c r="Y1156" s="50" t="s">
        <v>482</v>
      </c>
      <c r="Z1156" s="49">
        <f t="shared" si="6"/>
        <v>0</v>
      </c>
    </row>
    <row r="1157" ht="22.5" customHeight="1">
      <c r="B1157" s="57"/>
      <c r="C1157" s="43" t="str">
        <f t="array" ref="C1157">IF(B1157="","",_xlfn.XLOOKUP(B1157,'Form responses 1'!$B$2:$B$2604,'Form responses 1'!$A$2:$A$2604,""))</f>
        <v/>
      </c>
      <c r="D1157" s="44" t="str">
        <f t="shared" si="3"/>
        <v/>
      </c>
      <c r="E1157" s="44" t="str">
        <f t="array" ref="E1157">IF(B1157="","",_xlfn.XLOOKUP(B1157,'Form responses 1'!$B$2:$B$2604,'Form responses 1'!$C$2:$C$2604,""))</f>
        <v/>
      </c>
      <c r="F1157" s="44" t="str">
        <f t="array" ref="F1157">IF(B1157="","",_xlfn.XLOOKUP(B1157,'Form responses 1'!$B$2:$B$2604,'Form responses 1'!$D$2:$D$2604,""))</f>
        <v/>
      </c>
      <c r="G1157" s="44" t="str">
        <f t="array" ref="G1157">IF(B1157="","",_xlfn.XLOOKUP(B1157,'Form responses 1'!$B$2:$B$2604,'Form responses 1'!$E$2:$E$2604,""))</f>
        <v/>
      </c>
      <c r="H1157" s="44" t="str">
        <f t="array" ref="H1157">IF(B1157="","",_xlfn.XLOOKUP(B1157,'Form responses 1'!$B$2:$B$2604,'Form responses 1'!$F$2:$F$2604,""))</f>
        <v/>
      </c>
      <c r="I1157" s="44" t="str">
        <f t="array" ref="I1157">IF(B1157="","",_xlfn.XLOOKUP(B1157,'Form responses 1'!$B$2:$B$2604,'Form responses 1'!$I$2:$I$2604,""))</f>
        <v/>
      </c>
      <c r="J1157" s="44" t="str">
        <f t="array" ref="J1157">IF(B1157="","",_xlfn.XLOOKUP(B1157,'Form responses 1'!$B$2:$B$2604,'Form responses 1'!$G$2:$G$2604,""))</f>
        <v/>
      </c>
      <c r="K1157" s="56"/>
      <c r="L1157" s="58" t="str">
        <f t="shared" si="7"/>
        <v/>
      </c>
      <c r="M1157" s="49"/>
      <c r="N1157" s="49"/>
      <c r="O1157" s="49"/>
      <c r="P1157" s="49"/>
      <c r="Q1157" s="49"/>
      <c r="R1157" s="49"/>
      <c r="S1157" s="49"/>
      <c r="T1157" s="49"/>
      <c r="U1157" s="49"/>
      <c r="V1157" s="49"/>
      <c r="W1157" s="56"/>
      <c r="X1157" s="51" t="str">
        <f t="shared" si="5"/>
        <v/>
      </c>
      <c r="Y1157" s="50" t="s">
        <v>482</v>
      </c>
      <c r="Z1157" s="49">
        <f t="shared" si="6"/>
        <v>0</v>
      </c>
    </row>
    <row r="1158" ht="22.5" customHeight="1">
      <c r="B1158" s="57"/>
      <c r="C1158" s="43" t="str">
        <f t="array" ref="C1158">IF(B1158="","",_xlfn.XLOOKUP(B1158,'Form responses 1'!$B$2:$B$2604,'Form responses 1'!$A$2:$A$2604,""))</f>
        <v/>
      </c>
      <c r="D1158" s="44" t="str">
        <f t="shared" si="3"/>
        <v/>
      </c>
      <c r="E1158" s="44" t="str">
        <f t="array" ref="E1158">IF(B1158="","",_xlfn.XLOOKUP(B1158,'Form responses 1'!$B$2:$B$2604,'Form responses 1'!$C$2:$C$2604,""))</f>
        <v/>
      </c>
      <c r="F1158" s="44" t="str">
        <f t="array" ref="F1158">IF(B1158="","",_xlfn.XLOOKUP(B1158,'Form responses 1'!$B$2:$B$2604,'Form responses 1'!$D$2:$D$2604,""))</f>
        <v/>
      </c>
      <c r="G1158" s="44" t="str">
        <f t="array" ref="G1158">IF(B1158="","",_xlfn.XLOOKUP(B1158,'Form responses 1'!$B$2:$B$2604,'Form responses 1'!$E$2:$E$2604,""))</f>
        <v/>
      </c>
      <c r="H1158" s="44" t="str">
        <f t="array" ref="H1158">IF(B1158="","",_xlfn.XLOOKUP(B1158,'Form responses 1'!$B$2:$B$2604,'Form responses 1'!$F$2:$F$2604,""))</f>
        <v/>
      </c>
      <c r="I1158" s="44" t="str">
        <f t="array" ref="I1158">IF(B1158="","",_xlfn.XLOOKUP(B1158,'Form responses 1'!$B$2:$B$2604,'Form responses 1'!$I$2:$I$2604,""))</f>
        <v/>
      </c>
      <c r="J1158" s="44" t="str">
        <f t="array" ref="J1158">IF(B1158="","",_xlfn.XLOOKUP(B1158,'Form responses 1'!$B$2:$B$2604,'Form responses 1'!$G$2:$G$2604,""))</f>
        <v/>
      </c>
      <c r="K1158" s="56"/>
      <c r="L1158" s="58" t="str">
        <f t="shared" si="7"/>
        <v/>
      </c>
      <c r="M1158" s="49"/>
      <c r="N1158" s="49"/>
      <c r="O1158" s="49"/>
      <c r="P1158" s="49"/>
      <c r="Q1158" s="49"/>
      <c r="R1158" s="49"/>
      <c r="S1158" s="49"/>
      <c r="T1158" s="49"/>
      <c r="U1158" s="49"/>
      <c r="V1158" s="49"/>
      <c r="W1158" s="56"/>
      <c r="X1158" s="51" t="str">
        <f t="shared" si="5"/>
        <v/>
      </c>
      <c r="Y1158" s="50" t="s">
        <v>482</v>
      </c>
      <c r="Z1158" s="49">
        <f t="shared" si="6"/>
        <v>0</v>
      </c>
    </row>
    <row r="1159" ht="22.5" customHeight="1">
      <c r="B1159" s="57"/>
      <c r="C1159" s="43" t="str">
        <f t="array" ref="C1159">IF(B1159="","",_xlfn.XLOOKUP(B1159,'Form responses 1'!$B$2:$B$2604,'Form responses 1'!$A$2:$A$2604,""))</f>
        <v/>
      </c>
      <c r="D1159" s="44" t="str">
        <f t="shared" si="3"/>
        <v/>
      </c>
      <c r="E1159" s="44" t="str">
        <f t="array" ref="E1159">IF(B1159="","",_xlfn.XLOOKUP(B1159,'Form responses 1'!$B$2:$B$2604,'Form responses 1'!$C$2:$C$2604,""))</f>
        <v/>
      </c>
      <c r="F1159" s="44" t="str">
        <f t="array" ref="F1159">IF(B1159="","",_xlfn.XLOOKUP(B1159,'Form responses 1'!$B$2:$B$2604,'Form responses 1'!$D$2:$D$2604,""))</f>
        <v/>
      </c>
      <c r="G1159" s="44" t="str">
        <f t="array" ref="G1159">IF(B1159="","",_xlfn.XLOOKUP(B1159,'Form responses 1'!$B$2:$B$2604,'Form responses 1'!$E$2:$E$2604,""))</f>
        <v/>
      </c>
      <c r="H1159" s="44" t="str">
        <f t="array" ref="H1159">IF(B1159="","",_xlfn.XLOOKUP(B1159,'Form responses 1'!$B$2:$B$2604,'Form responses 1'!$F$2:$F$2604,""))</f>
        <v/>
      </c>
      <c r="I1159" s="44" t="str">
        <f t="array" ref="I1159">IF(B1159="","",_xlfn.XLOOKUP(B1159,'Form responses 1'!$B$2:$B$2604,'Form responses 1'!$I$2:$I$2604,""))</f>
        <v/>
      </c>
      <c r="J1159" s="44" t="str">
        <f t="array" ref="J1159">IF(B1159="","",_xlfn.XLOOKUP(B1159,'Form responses 1'!$B$2:$B$2604,'Form responses 1'!$G$2:$G$2604,""))</f>
        <v/>
      </c>
      <c r="K1159" s="56"/>
      <c r="L1159" s="58" t="str">
        <f t="shared" si="7"/>
        <v/>
      </c>
      <c r="M1159" s="49"/>
      <c r="N1159" s="49"/>
      <c r="O1159" s="49"/>
      <c r="P1159" s="49"/>
      <c r="Q1159" s="49"/>
      <c r="R1159" s="49"/>
      <c r="S1159" s="49"/>
      <c r="T1159" s="49"/>
      <c r="U1159" s="49"/>
      <c r="V1159" s="49"/>
      <c r="W1159" s="56"/>
      <c r="X1159" s="51" t="str">
        <f t="shared" si="5"/>
        <v/>
      </c>
      <c r="Y1159" s="50" t="s">
        <v>482</v>
      </c>
      <c r="Z1159" s="49">
        <f t="shared" si="6"/>
        <v>0</v>
      </c>
    </row>
    <row r="1160" ht="22.5" customHeight="1">
      <c r="B1160" s="57"/>
      <c r="C1160" s="43" t="str">
        <f t="array" ref="C1160">IF(B1160="","",_xlfn.XLOOKUP(B1160,'Form responses 1'!$B$2:$B$2604,'Form responses 1'!$A$2:$A$2604,""))</f>
        <v/>
      </c>
      <c r="D1160" s="44" t="str">
        <f t="shared" si="3"/>
        <v/>
      </c>
      <c r="E1160" s="44" t="str">
        <f t="array" ref="E1160">IF(B1160="","",_xlfn.XLOOKUP(B1160,'Form responses 1'!$B$2:$B$2604,'Form responses 1'!$C$2:$C$2604,""))</f>
        <v/>
      </c>
      <c r="F1160" s="44" t="str">
        <f t="array" ref="F1160">IF(B1160="","",_xlfn.XLOOKUP(B1160,'Form responses 1'!$B$2:$B$2604,'Form responses 1'!$D$2:$D$2604,""))</f>
        <v/>
      </c>
      <c r="G1160" s="44" t="str">
        <f t="array" ref="G1160">IF(B1160="","",_xlfn.XLOOKUP(B1160,'Form responses 1'!$B$2:$B$2604,'Form responses 1'!$E$2:$E$2604,""))</f>
        <v/>
      </c>
      <c r="H1160" s="44" t="str">
        <f t="array" ref="H1160">IF(B1160="","",_xlfn.XLOOKUP(B1160,'Form responses 1'!$B$2:$B$2604,'Form responses 1'!$F$2:$F$2604,""))</f>
        <v/>
      </c>
      <c r="I1160" s="44" t="str">
        <f t="array" ref="I1160">IF(B1160="","",_xlfn.XLOOKUP(B1160,'Form responses 1'!$B$2:$B$2604,'Form responses 1'!$I$2:$I$2604,""))</f>
        <v/>
      </c>
      <c r="J1160" s="44" t="str">
        <f t="array" ref="J1160">IF(B1160="","",_xlfn.XLOOKUP(B1160,'Form responses 1'!$B$2:$B$2604,'Form responses 1'!$G$2:$G$2604,""))</f>
        <v/>
      </c>
      <c r="K1160" s="56"/>
      <c r="L1160" s="58" t="str">
        <f t="shared" si="7"/>
        <v/>
      </c>
      <c r="M1160" s="49"/>
      <c r="N1160" s="49"/>
      <c r="O1160" s="49"/>
      <c r="P1160" s="49"/>
      <c r="Q1160" s="49"/>
      <c r="R1160" s="49"/>
      <c r="S1160" s="49"/>
      <c r="T1160" s="49"/>
      <c r="U1160" s="49"/>
      <c r="V1160" s="49"/>
      <c r="W1160" s="56"/>
      <c r="X1160" s="51" t="str">
        <f t="shared" si="5"/>
        <v/>
      </c>
      <c r="Y1160" s="50" t="s">
        <v>482</v>
      </c>
      <c r="Z1160" s="49">
        <f t="shared" si="6"/>
        <v>0</v>
      </c>
    </row>
    <row r="1161" ht="22.5" customHeight="1">
      <c r="B1161" s="57"/>
      <c r="C1161" s="43" t="str">
        <f t="array" ref="C1161">IF(B1161="","",_xlfn.XLOOKUP(B1161,'Form responses 1'!$B$2:$B$2604,'Form responses 1'!$A$2:$A$2604,""))</f>
        <v/>
      </c>
      <c r="D1161" s="44" t="str">
        <f t="shared" si="3"/>
        <v/>
      </c>
      <c r="E1161" s="44" t="str">
        <f t="array" ref="E1161">IF(B1161="","",_xlfn.XLOOKUP(B1161,'Form responses 1'!$B$2:$B$2604,'Form responses 1'!$C$2:$C$2604,""))</f>
        <v/>
      </c>
      <c r="F1161" s="44" t="str">
        <f t="array" ref="F1161">IF(B1161="","",_xlfn.XLOOKUP(B1161,'Form responses 1'!$B$2:$B$2604,'Form responses 1'!$D$2:$D$2604,""))</f>
        <v/>
      </c>
      <c r="G1161" s="44" t="str">
        <f t="array" ref="G1161">IF(B1161="","",_xlfn.XLOOKUP(B1161,'Form responses 1'!$B$2:$B$2604,'Form responses 1'!$E$2:$E$2604,""))</f>
        <v/>
      </c>
      <c r="H1161" s="44" t="str">
        <f t="array" ref="H1161">IF(B1161="","",_xlfn.XLOOKUP(B1161,'Form responses 1'!$B$2:$B$2604,'Form responses 1'!$F$2:$F$2604,""))</f>
        <v/>
      </c>
      <c r="I1161" s="44" t="str">
        <f t="array" ref="I1161">IF(B1161="","",_xlfn.XLOOKUP(B1161,'Form responses 1'!$B$2:$B$2604,'Form responses 1'!$I$2:$I$2604,""))</f>
        <v/>
      </c>
      <c r="J1161" s="44" t="str">
        <f t="array" ref="J1161">IF(B1161="","",_xlfn.XLOOKUP(B1161,'Form responses 1'!$B$2:$B$2604,'Form responses 1'!$G$2:$G$2604,""))</f>
        <v/>
      </c>
      <c r="K1161" s="56"/>
      <c r="L1161" s="58" t="str">
        <f t="shared" si="7"/>
        <v/>
      </c>
      <c r="M1161" s="49"/>
      <c r="N1161" s="49"/>
      <c r="O1161" s="49"/>
      <c r="P1161" s="49"/>
      <c r="Q1161" s="49"/>
      <c r="R1161" s="49"/>
      <c r="S1161" s="49"/>
      <c r="T1161" s="49"/>
      <c r="U1161" s="49"/>
      <c r="V1161" s="49"/>
      <c r="W1161" s="56"/>
      <c r="X1161" s="51" t="str">
        <f t="shared" si="5"/>
        <v/>
      </c>
      <c r="Y1161" s="50" t="s">
        <v>482</v>
      </c>
      <c r="Z1161" s="49">
        <f t="shared" si="6"/>
        <v>0</v>
      </c>
    </row>
    <row r="1162" ht="22.5" customHeight="1">
      <c r="B1162" s="57"/>
      <c r="C1162" s="43" t="str">
        <f t="array" ref="C1162">IF(B1162="","",_xlfn.XLOOKUP(B1162,'Form responses 1'!$B$2:$B$2604,'Form responses 1'!$A$2:$A$2604,""))</f>
        <v/>
      </c>
      <c r="D1162" s="44" t="str">
        <f t="shared" si="3"/>
        <v/>
      </c>
      <c r="E1162" s="44" t="str">
        <f t="array" ref="E1162">IF(B1162="","",_xlfn.XLOOKUP(B1162,'Form responses 1'!$B$2:$B$2604,'Form responses 1'!$C$2:$C$2604,""))</f>
        <v/>
      </c>
      <c r="F1162" s="44" t="str">
        <f t="array" ref="F1162">IF(B1162="","",_xlfn.XLOOKUP(B1162,'Form responses 1'!$B$2:$B$2604,'Form responses 1'!$D$2:$D$2604,""))</f>
        <v/>
      </c>
      <c r="G1162" s="44" t="str">
        <f t="array" ref="G1162">IF(B1162="","",_xlfn.XLOOKUP(B1162,'Form responses 1'!$B$2:$B$2604,'Form responses 1'!$E$2:$E$2604,""))</f>
        <v/>
      </c>
      <c r="H1162" s="44" t="str">
        <f t="array" ref="H1162">IF(B1162="","",_xlfn.XLOOKUP(B1162,'Form responses 1'!$B$2:$B$2604,'Form responses 1'!$F$2:$F$2604,""))</f>
        <v/>
      </c>
      <c r="I1162" s="44" t="str">
        <f t="array" ref="I1162">IF(B1162="","",_xlfn.XLOOKUP(B1162,'Form responses 1'!$B$2:$B$2604,'Form responses 1'!$I$2:$I$2604,""))</f>
        <v/>
      </c>
      <c r="J1162" s="44" t="str">
        <f t="array" ref="J1162">IF(B1162="","",_xlfn.XLOOKUP(B1162,'Form responses 1'!$B$2:$B$2604,'Form responses 1'!$G$2:$G$2604,""))</f>
        <v/>
      </c>
      <c r="K1162" s="56"/>
      <c r="L1162" s="58" t="str">
        <f t="shared" si="7"/>
        <v/>
      </c>
      <c r="M1162" s="49"/>
      <c r="N1162" s="49"/>
      <c r="O1162" s="49"/>
      <c r="P1162" s="49"/>
      <c r="Q1162" s="49"/>
      <c r="R1162" s="49"/>
      <c r="S1162" s="49"/>
      <c r="T1162" s="49"/>
      <c r="U1162" s="49"/>
      <c r="V1162" s="49"/>
      <c r="W1162" s="56"/>
      <c r="X1162" s="51" t="str">
        <f t="shared" si="5"/>
        <v/>
      </c>
      <c r="Y1162" s="50" t="s">
        <v>482</v>
      </c>
      <c r="Z1162" s="49">
        <f t="shared" si="6"/>
        <v>0</v>
      </c>
    </row>
    <row r="1163" ht="22.5" customHeight="1">
      <c r="B1163" s="57"/>
      <c r="C1163" s="43" t="str">
        <f t="array" ref="C1163">IF(B1163="","",_xlfn.XLOOKUP(B1163,'Form responses 1'!$B$2:$B$2604,'Form responses 1'!$A$2:$A$2604,""))</f>
        <v/>
      </c>
      <c r="D1163" s="44" t="str">
        <f t="shared" si="3"/>
        <v/>
      </c>
      <c r="E1163" s="44" t="str">
        <f t="array" ref="E1163">IF(B1163="","",_xlfn.XLOOKUP(B1163,'Form responses 1'!$B$2:$B$2604,'Form responses 1'!$C$2:$C$2604,""))</f>
        <v/>
      </c>
      <c r="F1163" s="44" t="str">
        <f t="array" ref="F1163">IF(B1163="","",_xlfn.XLOOKUP(B1163,'Form responses 1'!$B$2:$B$2604,'Form responses 1'!$D$2:$D$2604,""))</f>
        <v/>
      </c>
      <c r="G1163" s="44" t="str">
        <f t="array" ref="G1163">IF(B1163="","",_xlfn.XLOOKUP(B1163,'Form responses 1'!$B$2:$B$2604,'Form responses 1'!$E$2:$E$2604,""))</f>
        <v/>
      </c>
      <c r="H1163" s="44" t="str">
        <f t="array" ref="H1163">IF(B1163="","",_xlfn.XLOOKUP(B1163,'Form responses 1'!$B$2:$B$2604,'Form responses 1'!$F$2:$F$2604,""))</f>
        <v/>
      </c>
      <c r="I1163" s="44" t="str">
        <f t="array" ref="I1163">IF(B1163="","",_xlfn.XLOOKUP(B1163,'Form responses 1'!$B$2:$B$2604,'Form responses 1'!$I$2:$I$2604,""))</f>
        <v/>
      </c>
      <c r="J1163" s="44" t="str">
        <f t="array" ref="J1163">IF(B1163="","",_xlfn.XLOOKUP(B1163,'Form responses 1'!$B$2:$B$2604,'Form responses 1'!$G$2:$G$2604,""))</f>
        <v/>
      </c>
      <c r="K1163" s="56"/>
      <c r="L1163" s="58" t="str">
        <f t="shared" si="7"/>
        <v/>
      </c>
      <c r="M1163" s="49"/>
      <c r="N1163" s="49"/>
      <c r="O1163" s="49"/>
      <c r="P1163" s="49"/>
      <c r="Q1163" s="49"/>
      <c r="R1163" s="49"/>
      <c r="S1163" s="49"/>
      <c r="T1163" s="49"/>
      <c r="U1163" s="49"/>
      <c r="V1163" s="49"/>
      <c r="W1163" s="56"/>
      <c r="X1163" s="51" t="str">
        <f t="shared" si="5"/>
        <v/>
      </c>
      <c r="Y1163" s="50" t="s">
        <v>482</v>
      </c>
      <c r="Z1163" s="49">
        <f t="shared" si="6"/>
        <v>0</v>
      </c>
    </row>
    <row r="1164" ht="22.5" customHeight="1">
      <c r="B1164" s="57"/>
      <c r="C1164" s="43" t="str">
        <f t="array" ref="C1164">IF(B1164="","",_xlfn.XLOOKUP(B1164,'Form responses 1'!$B$2:$B$2604,'Form responses 1'!$A$2:$A$2604,""))</f>
        <v/>
      </c>
      <c r="D1164" s="44" t="str">
        <f t="shared" si="3"/>
        <v/>
      </c>
      <c r="E1164" s="44" t="str">
        <f t="array" ref="E1164">IF(B1164="","",_xlfn.XLOOKUP(B1164,'Form responses 1'!$B$2:$B$2604,'Form responses 1'!$C$2:$C$2604,""))</f>
        <v/>
      </c>
      <c r="F1164" s="44" t="str">
        <f t="array" ref="F1164">IF(B1164="","",_xlfn.XLOOKUP(B1164,'Form responses 1'!$B$2:$B$2604,'Form responses 1'!$D$2:$D$2604,""))</f>
        <v/>
      </c>
      <c r="G1164" s="44" t="str">
        <f t="array" ref="G1164">IF(B1164="","",_xlfn.XLOOKUP(B1164,'Form responses 1'!$B$2:$B$2604,'Form responses 1'!$E$2:$E$2604,""))</f>
        <v/>
      </c>
      <c r="H1164" s="44" t="str">
        <f t="array" ref="H1164">IF(B1164="","",_xlfn.XLOOKUP(B1164,'Form responses 1'!$B$2:$B$2604,'Form responses 1'!$F$2:$F$2604,""))</f>
        <v/>
      </c>
      <c r="I1164" s="44" t="str">
        <f t="array" ref="I1164">IF(B1164="","",_xlfn.XLOOKUP(B1164,'Form responses 1'!$B$2:$B$2604,'Form responses 1'!$I$2:$I$2604,""))</f>
        <v/>
      </c>
      <c r="J1164" s="44" t="str">
        <f t="array" ref="J1164">IF(B1164="","",_xlfn.XLOOKUP(B1164,'Form responses 1'!$B$2:$B$2604,'Form responses 1'!$G$2:$G$2604,""))</f>
        <v/>
      </c>
      <c r="K1164" s="56"/>
      <c r="L1164" s="58" t="str">
        <f t="shared" si="7"/>
        <v/>
      </c>
      <c r="M1164" s="49"/>
      <c r="N1164" s="49"/>
      <c r="O1164" s="49"/>
      <c r="P1164" s="49"/>
      <c r="Q1164" s="49"/>
      <c r="R1164" s="49"/>
      <c r="S1164" s="49"/>
      <c r="T1164" s="49"/>
      <c r="U1164" s="49"/>
      <c r="V1164" s="49"/>
      <c r="W1164" s="56"/>
      <c r="X1164" s="51" t="str">
        <f t="shared" si="5"/>
        <v/>
      </c>
      <c r="Y1164" s="50" t="s">
        <v>482</v>
      </c>
      <c r="Z1164" s="49">
        <f t="shared" si="6"/>
        <v>0</v>
      </c>
    </row>
    <row r="1165" ht="22.5" customHeight="1">
      <c r="B1165" s="57"/>
      <c r="C1165" s="43" t="str">
        <f t="array" ref="C1165">IF(B1165="","",_xlfn.XLOOKUP(B1165,'Form responses 1'!$B$2:$B$2604,'Form responses 1'!$A$2:$A$2604,""))</f>
        <v/>
      </c>
      <c r="D1165" s="44" t="str">
        <f t="shared" si="3"/>
        <v/>
      </c>
      <c r="E1165" s="44" t="str">
        <f t="array" ref="E1165">IF(B1165="","",_xlfn.XLOOKUP(B1165,'Form responses 1'!$B$2:$B$2604,'Form responses 1'!$C$2:$C$2604,""))</f>
        <v/>
      </c>
      <c r="F1165" s="44" t="str">
        <f t="array" ref="F1165">IF(B1165="","",_xlfn.XLOOKUP(B1165,'Form responses 1'!$B$2:$B$2604,'Form responses 1'!$D$2:$D$2604,""))</f>
        <v/>
      </c>
      <c r="G1165" s="44" t="str">
        <f t="array" ref="G1165">IF(B1165="","",_xlfn.XLOOKUP(B1165,'Form responses 1'!$B$2:$B$2604,'Form responses 1'!$E$2:$E$2604,""))</f>
        <v/>
      </c>
      <c r="H1165" s="44" t="str">
        <f t="array" ref="H1165">IF(B1165="","",_xlfn.XLOOKUP(B1165,'Form responses 1'!$B$2:$B$2604,'Form responses 1'!$F$2:$F$2604,""))</f>
        <v/>
      </c>
      <c r="I1165" s="44" t="str">
        <f t="array" ref="I1165">IF(B1165="","",_xlfn.XLOOKUP(B1165,'Form responses 1'!$B$2:$B$2604,'Form responses 1'!$I$2:$I$2604,""))</f>
        <v/>
      </c>
      <c r="J1165" s="44" t="str">
        <f t="array" ref="J1165">IF(B1165="","",_xlfn.XLOOKUP(B1165,'Form responses 1'!$B$2:$B$2604,'Form responses 1'!$G$2:$G$2604,""))</f>
        <v/>
      </c>
      <c r="K1165" s="56"/>
      <c r="L1165" s="58" t="str">
        <f t="shared" si="7"/>
        <v/>
      </c>
      <c r="M1165" s="49"/>
      <c r="N1165" s="49"/>
      <c r="O1165" s="49"/>
      <c r="P1165" s="49"/>
      <c r="Q1165" s="49"/>
      <c r="R1165" s="49"/>
      <c r="S1165" s="49"/>
      <c r="T1165" s="49"/>
      <c r="U1165" s="49"/>
      <c r="V1165" s="49"/>
      <c r="W1165" s="56"/>
      <c r="X1165" s="51" t="str">
        <f t="shared" si="5"/>
        <v/>
      </c>
      <c r="Y1165" s="50" t="s">
        <v>482</v>
      </c>
      <c r="Z1165" s="49">
        <f t="shared" si="6"/>
        <v>0</v>
      </c>
    </row>
    <row r="1166" ht="22.5" customHeight="1">
      <c r="B1166" s="57"/>
      <c r="C1166" s="43" t="str">
        <f t="array" ref="C1166">IF(B1166="","",_xlfn.XLOOKUP(B1166,'Form responses 1'!$B$2:$B$2604,'Form responses 1'!$A$2:$A$2604,""))</f>
        <v/>
      </c>
      <c r="D1166" s="44" t="str">
        <f t="shared" si="3"/>
        <v/>
      </c>
      <c r="E1166" s="44" t="str">
        <f t="array" ref="E1166">IF(B1166="","",_xlfn.XLOOKUP(B1166,'Form responses 1'!$B$2:$B$2604,'Form responses 1'!$C$2:$C$2604,""))</f>
        <v/>
      </c>
      <c r="F1166" s="44" t="str">
        <f t="array" ref="F1166">IF(B1166="","",_xlfn.XLOOKUP(B1166,'Form responses 1'!$B$2:$B$2604,'Form responses 1'!$D$2:$D$2604,""))</f>
        <v/>
      </c>
      <c r="G1166" s="44" t="str">
        <f t="array" ref="G1166">IF(B1166="","",_xlfn.XLOOKUP(B1166,'Form responses 1'!$B$2:$B$2604,'Form responses 1'!$E$2:$E$2604,""))</f>
        <v/>
      </c>
      <c r="H1166" s="44" t="str">
        <f t="array" ref="H1166">IF(B1166="","",_xlfn.XLOOKUP(B1166,'Form responses 1'!$B$2:$B$2604,'Form responses 1'!$F$2:$F$2604,""))</f>
        <v/>
      </c>
      <c r="I1166" s="44" t="str">
        <f t="array" ref="I1166">IF(B1166="","",_xlfn.XLOOKUP(B1166,'Form responses 1'!$B$2:$B$2604,'Form responses 1'!$I$2:$I$2604,""))</f>
        <v/>
      </c>
      <c r="J1166" s="44" t="str">
        <f t="array" ref="J1166">IF(B1166="","",_xlfn.XLOOKUP(B1166,'Form responses 1'!$B$2:$B$2604,'Form responses 1'!$G$2:$G$2604,""))</f>
        <v/>
      </c>
      <c r="K1166" s="56"/>
      <c r="L1166" s="58" t="str">
        <f t="shared" si="7"/>
        <v/>
      </c>
      <c r="M1166" s="49"/>
      <c r="N1166" s="49"/>
      <c r="O1166" s="49"/>
      <c r="P1166" s="49"/>
      <c r="Q1166" s="49"/>
      <c r="R1166" s="49"/>
      <c r="S1166" s="49"/>
      <c r="T1166" s="49"/>
      <c r="U1166" s="49"/>
      <c r="V1166" s="49"/>
      <c r="W1166" s="56"/>
      <c r="X1166" s="51" t="str">
        <f t="shared" si="5"/>
        <v/>
      </c>
      <c r="Y1166" s="50" t="s">
        <v>482</v>
      </c>
      <c r="Z1166" s="49">
        <f t="shared" si="6"/>
        <v>0</v>
      </c>
    </row>
    <row r="1167" ht="22.5" customHeight="1">
      <c r="B1167" s="57"/>
      <c r="C1167" s="43" t="str">
        <f t="array" ref="C1167">IF(B1167="","",_xlfn.XLOOKUP(B1167,'Form responses 1'!$B$2:$B$2604,'Form responses 1'!$A$2:$A$2604,""))</f>
        <v/>
      </c>
      <c r="D1167" s="44" t="str">
        <f t="shared" si="3"/>
        <v/>
      </c>
      <c r="E1167" s="44" t="str">
        <f t="array" ref="E1167">IF(B1167="","",_xlfn.XLOOKUP(B1167,'Form responses 1'!$B$2:$B$2604,'Form responses 1'!$C$2:$C$2604,""))</f>
        <v/>
      </c>
      <c r="F1167" s="44" t="str">
        <f t="array" ref="F1167">IF(B1167="","",_xlfn.XLOOKUP(B1167,'Form responses 1'!$B$2:$B$2604,'Form responses 1'!$D$2:$D$2604,""))</f>
        <v/>
      </c>
      <c r="G1167" s="44" t="str">
        <f t="array" ref="G1167">IF(B1167="","",_xlfn.XLOOKUP(B1167,'Form responses 1'!$B$2:$B$2604,'Form responses 1'!$E$2:$E$2604,""))</f>
        <v/>
      </c>
      <c r="H1167" s="44" t="str">
        <f t="array" ref="H1167">IF(B1167="","",_xlfn.XLOOKUP(B1167,'Form responses 1'!$B$2:$B$2604,'Form responses 1'!$F$2:$F$2604,""))</f>
        <v/>
      </c>
      <c r="I1167" s="44" t="str">
        <f t="array" ref="I1167">IF(B1167="","",_xlfn.XLOOKUP(B1167,'Form responses 1'!$B$2:$B$2604,'Form responses 1'!$I$2:$I$2604,""))</f>
        <v/>
      </c>
      <c r="J1167" s="44" t="str">
        <f t="array" ref="J1167">IF(B1167="","",_xlfn.XLOOKUP(B1167,'Form responses 1'!$B$2:$B$2604,'Form responses 1'!$G$2:$G$2604,""))</f>
        <v/>
      </c>
      <c r="K1167" s="56"/>
      <c r="L1167" s="58" t="str">
        <f t="shared" si="7"/>
        <v/>
      </c>
      <c r="M1167" s="49"/>
      <c r="N1167" s="49"/>
      <c r="O1167" s="49"/>
      <c r="P1167" s="49"/>
      <c r="Q1167" s="49"/>
      <c r="R1167" s="49"/>
      <c r="S1167" s="49"/>
      <c r="T1167" s="49"/>
      <c r="U1167" s="49"/>
      <c r="V1167" s="49"/>
      <c r="W1167" s="56"/>
      <c r="X1167" s="51" t="str">
        <f t="shared" si="5"/>
        <v/>
      </c>
      <c r="Y1167" s="50" t="s">
        <v>482</v>
      </c>
      <c r="Z1167" s="49">
        <f t="shared" si="6"/>
        <v>0</v>
      </c>
    </row>
    <row r="1168" ht="22.5" customHeight="1">
      <c r="B1168" s="57"/>
      <c r="C1168" s="43" t="str">
        <f t="array" ref="C1168">IF(B1168="","",_xlfn.XLOOKUP(B1168,'Form responses 1'!$B$2:$B$2604,'Form responses 1'!$A$2:$A$2604,""))</f>
        <v/>
      </c>
      <c r="D1168" s="44" t="str">
        <f t="shared" si="3"/>
        <v/>
      </c>
      <c r="E1168" s="44" t="str">
        <f t="array" ref="E1168">IF(B1168="","",_xlfn.XLOOKUP(B1168,'Form responses 1'!$B$2:$B$2604,'Form responses 1'!$C$2:$C$2604,""))</f>
        <v/>
      </c>
      <c r="F1168" s="44" t="str">
        <f t="array" ref="F1168">IF(B1168="","",_xlfn.XLOOKUP(B1168,'Form responses 1'!$B$2:$B$2604,'Form responses 1'!$D$2:$D$2604,""))</f>
        <v/>
      </c>
      <c r="G1168" s="44" t="str">
        <f t="array" ref="G1168">IF(B1168="","",_xlfn.XLOOKUP(B1168,'Form responses 1'!$B$2:$B$2604,'Form responses 1'!$E$2:$E$2604,""))</f>
        <v/>
      </c>
      <c r="H1168" s="44" t="str">
        <f t="array" ref="H1168">IF(B1168="","",_xlfn.XLOOKUP(B1168,'Form responses 1'!$B$2:$B$2604,'Form responses 1'!$F$2:$F$2604,""))</f>
        <v/>
      </c>
      <c r="I1168" s="44" t="str">
        <f t="array" ref="I1168">IF(B1168="","",_xlfn.XLOOKUP(B1168,'Form responses 1'!$B$2:$B$2604,'Form responses 1'!$I$2:$I$2604,""))</f>
        <v/>
      </c>
      <c r="J1168" s="44" t="str">
        <f t="array" ref="J1168">IF(B1168="","",_xlfn.XLOOKUP(B1168,'Form responses 1'!$B$2:$B$2604,'Form responses 1'!$G$2:$G$2604,""))</f>
        <v/>
      </c>
      <c r="K1168" s="56"/>
      <c r="L1168" s="58" t="str">
        <f t="shared" si="7"/>
        <v/>
      </c>
      <c r="M1168" s="49"/>
      <c r="N1168" s="49"/>
      <c r="O1168" s="49"/>
      <c r="P1168" s="49"/>
      <c r="Q1168" s="49"/>
      <c r="R1168" s="49"/>
      <c r="S1168" s="49"/>
      <c r="T1168" s="49"/>
      <c r="U1168" s="49"/>
      <c r="V1168" s="49"/>
      <c r="W1168" s="56"/>
      <c r="X1168" s="51" t="str">
        <f t="shared" si="5"/>
        <v/>
      </c>
      <c r="Y1168" s="50" t="s">
        <v>482</v>
      </c>
      <c r="Z1168" s="49">
        <f t="shared" si="6"/>
        <v>0</v>
      </c>
    </row>
    <row r="1169" ht="22.5" customHeight="1">
      <c r="B1169" s="57"/>
      <c r="C1169" s="43" t="str">
        <f t="array" ref="C1169">IF(B1169="","",_xlfn.XLOOKUP(B1169,'Form responses 1'!$B$2:$B$2604,'Form responses 1'!$A$2:$A$2604,""))</f>
        <v/>
      </c>
      <c r="D1169" s="44" t="str">
        <f t="shared" si="3"/>
        <v/>
      </c>
      <c r="E1169" s="44" t="str">
        <f t="array" ref="E1169">IF(B1169="","",_xlfn.XLOOKUP(B1169,'Form responses 1'!$B$2:$B$2604,'Form responses 1'!$C$2:$C$2604,""))</f>
        <v/>
      </c>
      <c r="F1169" s="44" t="str">
        <f t="array" ref="F1169">IF(B1169="","",_xlfn.XLOOKUP(B1169,'Form responses 1'!$B$2:$B$2604,'Form responses 1'!$D$2:$D$2604,""))</f>
        <v/>
      </c>
      <c r="G1169" s="44" t="str">
        <f t="array" ref="G1169">IF(B1169="","",_xlfn.XLOOKUP(B1169,'Form responses 1'!$B$2:$B$2604,'Form responses 1'!$E$2:$E$2604,""))</f>
        <v/>
      </c>
      <c r="H1169" s="44" t="str">
        <f t="array" ref="H1169">IF(B1169="","",_xlfn.XLOOKUP(B1169,'Form responses 1'!$B$2:$B$2604,'Form responses 1'!$F$2:$F$2604,""))</f>
        <v/>
      </c>
      <c r="I1169" s="44" t="str">
        <f t="array" ref="I1169">IF(B1169="","",_xlfn.XLOOKUP(B1169,'Form responses 1'!$B$2:$B$2604,'Form responses 1'!$I$2:$I$2604,""))</f>
        <v/>
      </c>
      <c r="J1169" s="44" t="str">
        <f t="array" ref="J1169">IF(B1169="","",_xlfn.XLOOKUP(B1169,'Form responses 1'!$B$2:$B$2604,'Form responses 1'!$G$2:$G$2604,""))</f>
        <v/>
      </c>
      <c r="K1169" s="56"/>
      <c r="L1169" s="58" t="str">
        <f t="shared" si="7"/>
        <v/>
      </c>
      <c r="M1169" s="49"/>
      <c r="N1169" s="49"/>
      <c r="O1169" s="49"/>
      <c r="P1169" s="49"/>
      <c r="Q1169" s="49"/>
      <c r="R1169" s="49"/>
      <c r="S1169" s="49"/>
      <c r="T1169" s="49"/>
      <c r="U1169" s="49"/>
      <c r="V1169" s="49"/>
      <c r="W1169" s="56"/>
      <c r="X1169" s="51" t="str">
        <f t="shared" si="5"/>
        <v/>
      </c>
      <c r="Y1169" s="50" t="s">
        <v>482</v>
      </c>
      <c r="Z1169" s="49">
        <f t="shared" si="6"/>
        <v>0</v>
      </c>
    </row>
    <row r="1170" ht="22.5" customHeight="1">
      <c r="B1170" s="57"/>
      <c r="C1170" s="43" t="str">
        <f t="array" ref="C1170">IF(B1170="","",_xlfn.XLOOKUP(B1170,'Form responses 1'!$B$2:$B$2604,'Form responses 1'!$A$2:$A$2604,""))</f>
        <v/>
      </c>
      <c r="D1170" s="44" t="str">
        <f t="shared" si="3"/>
        <v/>
      </c>
      <c r="E1170" s="44" t="str">
        <f t="array" ref="E1170">IF(B1170="","",_xlfn.XLOOKUP(B1170,'Form responses 1'!$B$2:$B$2604,'Form responses 1'!$C$2:$C$2604,""))</f>
        <v/>
      </c>
      <c r="F1170" s="44" t="str">
        <f t="array" ref="F1170">IF(B1170="","",_xlfn.XLOOKUP(B1170,'Form responses 1'!$B$2:$B$2604,'Form responses 1'!$D$2:$D$2604,""))</f>
        <v/>
      </c>
      <c r="G1170" s="44" t="str">
        <f t="array" ref="G1170">IF(B1170="","",_xlfn.XLOOKUP(B1170,'Form responses 1'!$B$2:$B$2604,'Form responses 1'!$E$2:$E$2604,""))</f>
        <v/>
      </c>
      <c r="H1170" s="44" t="str">
        <f t="array" ref="H1170">IF(B1170="","",_xlfn.XLOOKUP(B1170,'Form responses 1'!$B$2:$B$2604,'Form responses 1'!$F$2:$F$2604,""))</f>
        <v/>
      </c>
      <c r="I1170" s="44" t="str">
        <f t="array" ref="I1170">IF(B1170="","",_xlfn.XLOOKUP(B1170,'Form responses 1'!$B$2:$B$2604,'Form responses 1'!$I$2:$I$2604,""))</f>
        <v/>
      </c>
      <c r="J1170" s="44" t="str">
        <f t="array" ref="J1170">IF(B1170="","",_xlfn.XLOOKUP(B1170,'Form responses 1'!$B$2:$B$2604,'Form responses 1'!$G$2:$G$2604,""))</f>
        <v/>
      </c>
      <c r="K1170" s="56"/>
      <c r="L1170" s="58" t="str">
        <f t="shared" si="7"/>
        <v/>
      </c>
      <c r="M1170" s="49"/>
      <c r="N1170" s="49"/>
      <c r="O1170" s="49"/>
      <c r="P1170" s="49"/>
      <c r="Q1170" s="49"/>
      <c r="R1170" s="49"/>
      <c r="S1170" s="49"/>
      <c r="T1170" s="49"/>
      <c r="U1170" s="49"/>
      <c r="V1170" s="49"/>
      <c r="W1170" s="56"/>
      <c r="X1170" s="51" t="str">
        <f t="shared" si="5"/>
        <v/>
      </c>
      <c r="Y1170" s="50" t="s">
        <v>482</v>
      </c>
      <c r="Z1170" s="49">
        <f t="shared" si="6"/>
        <v>0</v>
      </c>
    </row>
    <row r="1171" ht="22.5" customHeight="1">
      <c r="B1171" s="57"/>
      <c r="C1171" s="43" t="str">
        <f t="array" ref="C1171">IF(B1171="","",_xlfn.XLOOKUP(B1171,'Form responses 1'!$B$2:$B$2604,'Form responses 1'!$A$2:$A$2604,""))</f>
        <v/>
      </c>
      <c r="D1171" s="44" t="str">
        <f t="shared" si="3"/>
        <v/>
      </c>
      <c r="E1171" s="44" t="str">
        <f t="array" ref="E1171">IF(B1171="","",_xlfn.XLOOKUP(B1171,'Form responses 1'!$B$2:$B$2604,'Form responses 1'!$C$2:$C$2604,""))</f>
        <v/>
      </c>
      <c r="F1171" s="44" t="str">
        <f t="array" ref="F1171">IF(B1171="","",_xlfn.XLOOKUP(B1171,'Form responses 1'!$B$2:$B$2604,'Form responses 1'!$D$2:$D$2604,""))</f>
        <v/>
      </c>
      <c r="G1171" s="44" t="str">
        <f t="array" ref="G1171">IF(B1171="","",_xlfn.XLOOKUP(B1171,'Form responses 1'!$B$2:$B$2604,'Form responses 1'!$E$2:$E$2604,""))</f>
        <v/>
      </c>
      <c r="H1171" s="44" t="str">
        <f t="array" ref="H1171">IF(B1171="","",_xlfn.XLOOKUP(B1171,'Form responses 1'!$B$2:$B$2604,'Form responses 1'!$F$2:$F$2604,""))</f>
        <v/>
      </c>
      <c r="I1171" s="44" t="str">
        <f t="array" ref="I1171">IF(B1171="","",_xlfn.XLOOKUP(B1171,'Form responses 1'!$B$2:$B$2604,'Form responses 1'!$I$2:$I$2604,""))</f>
        <v/>
      </c>
      <c r="J1171" s="44" t="str">
        <f t="array" ref="J1171">IF(B1171="","",_xlfn.XLOOKUP(B1171,'Form responses 1'!$B$2:$B$2604,'Form responses 1'!$G$2:$G$2604,""))</f>
        <v/>
      </c>
      <c r="K1171" s="56"/>
      <c r="L1171" s="58" t="str">
        <f t="shared" si="7"/>
        <v/>
      </c>
      <c r="M1171" s="49"/>
      <c r="N1171" s="49"/>
      <c r="O1171" s="49"/>
      <c r="P1171" s="49"/>
      <c r="Q1171" s="49"/>
      <c r="R1171" s="49"/>
      <c r="S1171" s="49"/>
      <c r="T1171" s="49"/>
      <c r="U1171" s="49"/>
      <c r="V1171" s="49"/>
      <c r="W1171" s="56"/>
      <c r="X1171" s="51" t="str">
        <f t="shared" si="5"/>
        <v/>
      </c>
      <c r="Y1171" s="50" t="s">
        <v>482</v>
      </c>
      <c r="Z1171" s="49">
        <f t="shared" si="6"/>
        <v>0</v>
      </c>
    </row>
    <row r="1172" ht="22.5" customHeight="1">
      <c r="B1172" s="57"/>
      <c r="C1172" s="43" t="str">
        <f t="array" ref="C1172">IF(B1172="","",_xlfn.XLOOKUP(B1172,'Form responses 1'!$B$2:$B$2604,'Form responses 1'!$A$2:$A$2604,""))</f>
        <v/>
      </c>
      <c r="D1172" s="44" t="str">
        <f t="shared" si="3"/>
        <v/>
      </c>
      <c r="E1172" s="44" t="str">
        <f t="array" ref="E1172">IF(B1172="","",_xlfn.XLOOKUP(B1172,'Form responses 1'!$B$2:$B$2604,'Form responses 1'!$C$2:$C$2604,""))</f>
        <v/>
      </c>
      <c r="F1172" s="44" t="str">
        <f t="array" ref="F1172">IF(B1172="","",_xlfn.XLOOKUP(B1172,'Form responses 1'!$B$2:$B$2604,'Form responses 1'!$D$2:$D$2604,""))</f>
        <v/>
      </c>
      <c r="G1172" s="44" t="str">
        <f t="array" ref="G1172">IF(B1172="","",_xlfn.XLOOKUP(B1172,'Form responses 1'!$B$2:$B$2604,'Form responses 1'!$E$2:$E$2604,""))</f>
        <v/>
      </c>
      <c r="H1172" s="44" t="str">
        <f t="array" ref="H1172">IF(B1172="","",_xlfn.XLOOKUP(B1172,'Form responses 1'!$B$2:$B$2604,'Form responses 1'!$F$2:$F$2604,""))</f>
        <v/>
      </c>
      <c r="I1172" s="44" t="str">
        <f t="array" ref="I1172">IF(B1172="","",_xlfn.XLOOKUP(B1172,'Form responses 1'!$B$2:$B$2604,'Form responses 1'!$I$2:$I$2604,""))</f>
        <v/>
      </c>
      <c r="J1172" s="44" t="str">
        <f t="array" ref="J1172">IF(B1172="","",_xlfn.XLOOKUP(B1172,'Form responses 1'!$B$2:$B$2604,'Form responses 1'!$G$2:$G$2604,""))</f>
        <v/>
      </c>
      <c r="K1172" s="56"/>
      <c r="L1172" s="58" t="str">
        <f t="shared" si="7"/>
        <v/>
      </c>
      <c r="M1172" s="49"/>
      <c r="N1172" s="49"/>
      <c r="O1172" s="49"/>
      <c r="P1172" s="49"/>
      <c r="Q1172" s="49"/>
      <c r="R1172" s="49"/>
      <c r="S1172" s="49"/>
      <c r="T1172" s="49"/>
      <c r="U1172" s="49"/>
      <c r="V1172" s="49"/>
      <c r="W1172" s="56"/>
      <c r="X1172" s="51" t="str">
        <f t="shared" si="5"/>
        <v/>
      </c>
      <c r="Y1172" s="50" t="s">
        <v>482</v>
      </c>
      <c r="Z1172" s="49">
        <f t="shared" si="6"/>
        <v>0</v>
      </c>
    </row>
    <row r="1173" ht="22.5" customHeight="1">
      <c r="B1173" s="57"/>
      <c r="C1173" s="43" t="str">
        <f t="array" ref="C1173">IF(B1173="","",_xlfn.XLOOKUP(B1173,'Form responses 1'!$B$2:$B$2604,'Form responses 1'!$A$2:$A$2604,""))</f>
        <v/>
      </c>
      <c r="D1173" s="44" t="str">
        <f t="shared" si="3"/>
        <v/>
      </c>
      <c r="E1173" s="44" t="str">
        <f t="array" ref="E1173">IF(B1173="","",_xlfn.XLOOKUP(B1173,'Form responses 1'!$B$2:$B$2604,'Form responses 1'!$C$2:$C$2604,""))</f>
        <v/>
      </c>
      <c r="F1173" s="44" t="str">
        <f t="array" ref="F1173">IF(B1173="","",_xlfn.XLOOKUP(B1173,'Form responses 1'!$B$2:$B$2604,'Form responses 1'!$D$2:$D$2604,""))</f>
        <v/>
      </c>
      <c r="G1173" s="44" t="str">
        <f t="array" ref="G1173">IF(B1173="","",_xlfn.XLOOKUP(B1173,'Form responses 1'!$B$2:$B$2604,'Form responses 1'!$E$2:$E$2604,""))</f>
        <v/>
      </c>
      <c r="H1173" s="44" t="str">
        <f t="array" ref="H1173">IF(B1173="","",_xlfn.XLOOKUP(B1173,'Form responses 1'!$B$2:$B$2604,'Form responses 1'!$F$2:$F$2604,""))</f>
        <v/>
      </c>
      <c r="I1173" s="44" t="str">
        <f t="array" ref="I1173">IF(B1173="","",_xlfn.XLOOKUP(B1173,'Form responses 1'!$B$2:$B$2604,'Form responses 1'!$I$2:$I$2604,""))</f>
        <v/>
      </c>
      <c r="J1173" s="44" t="str">
        <f t="array" ref="J1173">IF(B1173="","",_xlfn.XLOOKUP(B1173,'Form responses 1'!$B$2:$B$2604,'Form responses 1'!$G$2:$G$2604,""))</f>
        <v/>
      </c>
      <c r="K1173" s="56"/>
      <c r="L1173" s="58" t="str">
        <f t="shared" si="7"/>
        <v/>
      </c>
      <c r="M1173" s="49"/>
      <c r="N1173" s="49"/>
      <c r="O1173" s="49"/>
      <c r="P1173" s="49"/>
      <c r="Q1173" s="49"/>
      <c r="R1173" s="49"/>
      <c r="S1173" s="49"/>
      <c r="T1173" s="49"/>
      <c r="U1173" s="49"/>
      <c r="V1173" s="49"/>
      <c r="W1173" s="56"/>
      <c r="X1173" s="51" t="str">
        <f t="shared" si="5"/>
        <v/>
      </c>
      <c r="Y1173" s="50" t="s">
        <v>482</v>
      </c>
      <c r="Z1173" s="49">
        <f t="shared" si="6"/>
        <v>0</v>
      </c>
    </row>
    <row r="1174" ht="22.5" customHeight="1">
      <c r="B1174" s="57"/>
      <c r="C1174" s="43" t="str">
        <f t="array" ref="C1174">IF(B1174="","",_xlfn.XLOOKUP(B1174,'Form responses 1'!$B$2:$B$2604,'Form responses 1'!$A$2:$A$2604,""))</f>
        <v/>
      </c>
      <c r="D1174" s="44" t="str">
        <f t="shared" si="3"/>
        <v/>
      </c>
      <c r="E1174" s="44" t="str">
        <f t="array" ref="E1174">IF(B1174="","",_xlfn.XLOOKUP(B1174,'Form responses 1'!$B$2:$B$2604,'Form responses 1'!$C$2:$C$2604,""))</f>
        <v/>
      </c>
      <c r="F1174" s="44" t="str">
        <f t="array" ref="F1174">IF(B1174="","",_xlfn.XLOOKUP(B1174,'Form responses 1'!$B$2:$B$2604,'Form responses 1'!$D$2:$D$2604,""))</f>
        <v/>
      </c>
      <c r="G1174" s="44" t="str">
        <f t="array" ref="G1174">IF(B1174="","",_xlfn.XLOOKUP(B1174,'Form responses 1'!$B$2:$B$2604,'Form responses 1'!$E$2:$E$2604,""))</f>
        <v/>
      </c>
      <c r="H1174" s="44" t="str">
        <f t="array" ref="H1174">IF(B1174="","",_xlfn.XLOOKUP(B1174,'Form responses 1'!$B$2:$B$2604,'Form responses 1'!$F$2:$F$2604,""))</f>
        <v/>
      </c>
      <c r="I1174" s="44" t="str">
        <f t="array" ref="I1174">IF(B1174="","",_xlfn.XLOOKUP(B1174,'Form responses 1'!$B$2:$B$2604,'Form responses 1'!$I$2:$I$2604,""))</f>
        <v/>
      </c>
      <c r="J1174" s="44" t="str">
        <f t="array" ref="J1174">IF(B1174="","",_xlfn.XLOOKUP(B1174,'Form responses 1'!$B$2:$B$2604,'Form responses 1'!$G$2:$G$2604,""))</f>
        <v/>
      </c>
      <c r="K1174" s="56"/>
      <c r="L1174" s="58" t="str">
        <f t="shared" si="7"/>
        <v/>
      </c>
      <c r="M1174" s="49"/>
      <c r="N1174" s="49"/>
      <c r="O1174" s="49"/>
      <c r="P1174" s="49"/>
      <c r="Q1174" s="49"/>
      <c r="R1174" s="49"/>
      <c r="S1174" s="49"/>
      <c r="T1174" s="49"/>
      <c r="U1174" s="49"/>
      <c r="V1174" s="49"/>
      <c r="W1174" s="56"/>
      <c r="X1174" s="51" t="str">
        <f t="shared" si="5"/>
        <v/>
      </c>
      <c r="Y1174" s="50" t="s">
        <v>482</v>
      </c>
      <c r="Z1174" s="49">
        <f t="shared" si="6"/>
        <v>0</v>
      </c>
    </row>
    <row r="1175" ht="22.5" customHeight="1">
      <c r="B1175" s="57"/>
      <c r="C1175" s="43" t="str">
        <f t="array" ref="C1175">IF(B1175="","",_xlfn.XLOOKUP(B1175,'Form responses 1'!$B$2:$B$2604,'Form responses 1'!$A$2:$A$2604,""))</f>
        <v/>
      </c>
      <c r="D1175" s="44" t="str">
        <f t="shared" si="3"/>
        <v/>
      </c>
      <c r="E1175" s="44" t="str">
        <f t="array" ref="E1175">IF(B1175="","",_xlfn.XLOOKUP(B1175,'Form responses 1'!$B$2:$B$2604,'Form responses 1'!$C$2:$C$2604,""))</f>
        <v/>
      </c>
      <c r="F1175" s="44" t="str">
        <f t="array" ref="F1175">IF(B1175="","",_xlfn.XLOOKUP(B1175,'Form responses 1'!$B$2:$B$2604,'Form responses 1'!$D$2:$D$2604,""))</f>
        <v/>
      </c>
      <c r="G1175" s="44" t="str">
        <f t="array" ref="G1175">IF(B1175="","",_xlfn.XLOOKUP(B1175,'Form responses 1'!$B$2:$B$2604,'Form responses 1'!$E$2:$E$2604,""))</f>
        <v/>
      </c>
      <c r="H1175" s="44" t="str">
        <f t="array" ref="H1175">IF(B1175="","",_xlfn.XLOOKUP(B1175,'Form responses 1'!$B$2:$B$2604,'Form responses 1'!$F$2:$F$2604,""))</f>
        <v/>
      </c>
      <c r="I1175" s="44" t="str">
        <f t="array" ref="I1175">IF(B1175="","",_xlfn.XLOOKUP(B1175,'Form responses 1'!$B$2:$B$2604,'Form responses 1'!$I$2:$I$2604,""))</f>
        <v/>
      </c>
      <c r="J1175" s="44" t="str">
        <f t="array" ref="J1175">IF(B1175="","",_xlfn.XLOOKUP(B1175,'Form responses 1'!$B$2:$B$2604,'Form responses 1'!$G$2:$G$2604,""))</f>
        <v/>
      </c>
      <c r="K1175" s="56"/>
      <c r="L1175" s="58" t="str">
        <f t="shared" si="7"/>
        <v/>
      </c>
      <c r="M1175" s="49"/>
      <c r="N1175" s="49"/>
      <c r="O1175" s="49"/>
      <c r="P1175" s="49"/>
      <c r="Q1175" s="49"/>
      <c r="R1175" s="49"/>
      <c r="S1175" s="49"/>
      <c r="T1175" s="49"/>
      <c r="U1175" s="49"/>
      <c r="V1175" s="49"/>
      <c r="W1175" s="56"/>
      <c r="X1175" s="51" t="str">
        <f t="shared" si="5"/>
        <v/>
      </c>
      <c r="Y1175" s="50" t="s">
        <v>482</v>
      </c>
      <c r="Z1175" s="49">
        <f t="shared" si="6"/>
        <v>0</v>
      </c>
    </row>
    <row r="1176" ht="22.5" customHeight="1">
      <c r="B1176" s="57"/>
      <c r="C1176" s="43" t="str">
        <f t="array" ref="C1176">IF(B1176="","",_xlfn.XLOOKUP(B1176,'Form responses 1'!$B$2:$B$2604,'Form responses 1'!$A$2:$A$2604,""))</f>
        <v/>
      </c>
      <c r="D1176" s="44" t="str">
        <f t="shared" si="3"/>
        <v/>
      </c>
      <c r="E1176" s="44" t="str">
        <f t="array" ref="E1176">IF(B1176="","",_xlfn.XLOOKUP(B1176,'Form responses 1'!$B$2:$B$2604,'Form responses 1'!$C$2:$C$2604,""))</f>
        <v/>
      </c>
      <c r="F1176" s="44" t="str">
        <f t="array" ref="F1176">IF(B1176="","",_xlfn.XLOOKUP(B1176,'Form responses 1'!$B$2:$B$2604,'Form responses 1'!$D$2:$D$2604,""))</f>
        <v/>
      </c>
      <c r="G1176" s="44" t="str">
        <f t="array" ref="G1176">IF(B1176="","",_xlfn.XLOOKUP(B1176,'Form responses 1'!$B$2:$B$2604,'Form responses 1'!$E$2:$E$2604,""))</f>
        <v/>
      </c>
      <c r="H1176" s="44" t="str">
        <f t="array" ref="H1176">IF(B1176="","",_xlfn.XLOOKUP(B1176,'Form responses 1'!$B$2:$B$2604,'Form responses 1'!$F$2:$F$2604,""))</f>
        <v/>
      </c>
      <c r="I1176" s="44" t="str">
        <f t="array" ref="I1176">IF(B1176="","",_xlfn.XLOOKUP(B1176,'Form responses 1'!$B$2:$B$2604,'Form responses 1'!$I$2:$I$2604,""))</f>
        <v/>
      </c>
      <c r="J1176" s="44" t="str">
        <f t="array" ref="J1176">IF(B1176="","",_xlfn.XLOOKUP(B1176,'Form responses 1'!$B$2:$B$2604,'Form responses 1'!$G$2:$G$2604,""))</f>
        <v/>
      </c>
      <c r="K1176" s="56"/>
      <c r="L1176" s="58" t="str">
        <f t="shared" si="7"/>
        <v/>
      </c>
      <c r="M1176" s="49"/>
      <c r="N1176" s="49"/>
      <c r="O1176" s="49"/>
      <c r="P1176" s="49"/>
      <c r="Q1176" s="49"/>
      <c r="R1176" s="49"/>
      <c r="S1176" s="49"/>
      <c r="T1176" s="49"/>
      <c r="U1176" s="49"/>
      <c r="V1176" s="49"/>
      <c r="W1176" s="56"/>
      <c r="X1176" s="51" t="str">
        <f t="shared" si="5"/>
        <v/>
      </c>
      <c r="Y1176" s="50" t="s">
        <v>482</v>
      </c>
      <c r="Z1176" s="49">
        <f t="shared" si="6"/>
        <v>0</v>
      </c>
    </row>
    <row r="1177" ht="22.5" customHeight="1">
      <c r="B1177" s="57"/>
      <c r="C1177" s="43" t="str">
        <f t="array" ref="C1177">IF(B1177="","",_xlfn.XLOOKUP(B1177,'Form responses 1'!$B$2:$B$2604,'Form responses 1'!$A$2:$A$2604,""))</f>
        <v/>
      </c>
      <c r="D1177" s="44" t="str">
        <f t="shared" si="3"/>
        <v/>
      </c>
      <c r="E1177" s="44" t="str">
        <f t="array" ref="E1177">IF(B1177="","",_xlfn.XLOOKUP(B1177,'Form responses 1'!$B$2:$B$2604,'Form responses 1'!$C$2:$C$2604,""))</f>
        <v/>
      </c>
      <c r="F1177" s="44" t="str">
        <f t="array" ref="F1177">IF(B1177="","",_xlfn.XLOOKUP(B1177,'Form responses 1'!$B$2:$B$2604,'Form responses 1'!$D$2:$D$2604,""))</f>
        <v/>
      </c>
      <c r="G1177" s="44" t="str">
        <f t="array" ref="G1177">IF(B1177="","",_xlfn.XLOOKUP(B1177,'Form responses 1'!$B$2:$B$2604,'Form responses 1'!$E$2:$E$2604,""))</f>
        <v/>
      </c>
      <c r="H1177" s="44" t="str">
        <f t="array" ref="H1177">IF(B1177="","",_xlfn.XLOOKUP(B1177,'Form responses 1'!$B$2:$B$2604,'Form responses 1'!$F$2:$F$2604,""))</f>
        <v/>
      </c>
      <c r="I1177" s="44" t="str">
        <f t="array" ref="I1177">IF(B1177="","",_xlfn.XLOOKUP(B1177,'Form responses 1'!$B$2:$B$2604,'Form responses 1'!$I$2:$I$2604,""))</f>
        <v/>
      </c>
      <c r="J1177" s="44" t="str">
        <f t="array" ref="J1177">IF(B1177="","",_xlfn.XLOOKUP(B1177,'Form responses 1'!$B$2:$B$2604,'Form responses 1'!$G$2:$G$2604,""))</f>
        <v/>
      </c>
      <c r="K1177" s="56"/>
      <c r="L1177" s="58" t="str">
        <f t="shared" si="7"/>
        <v/>
      </c>
      <c r="M1177" s="49"/>
      <c r="N1177" s="49"/>
      <c r="O1177" s="49"/>
      <c r="P1177" s="49"/>
      <c r="Q1177" s="49"/>
      <c r="R1177" s="49"/>
      <c r="S1177" s="49"/>
      <c r="T1177" s="49"/>
      <c r="U1177" s="49"/>
      <c r="V1177" s="49"/>
      <c r="W1177" s="56"/>
      <c r="X1177" s="51" t="str">
        <f t="shared" si="5"/>
        <v/>
      </c>
      <c r="Y1177" s="50" t="s">
        <v>482</v>
      </c>
      <c r="Z1177" s="49">
        <f t="shared" si="6"/>
        <v>0</v>
      </c>
    </row>
    <row r="1178" ht="22.5" customHeight="1">
      <c r="B1178" s="57"/>
      <c r="C1178" s="43" t="str">
        <f t="array" ref="C1178">IF(B1178="","",_xlfn.XLOOKUP(B1178,'Form responses 1'!$B$2:$B$2604,'Form responses 1'!$A$2:$A$2604,""))</f>
        <v/>
      </c>
      <c r="D1178" s="44" t="str">
        <f t="shared" si="3"/>
        <v/>
      </c>
      <c r="E1178" s="44" t="str">
        <f t="array" ref="E1178">IF(B1178="","",_xlfn.XLOOKUP(B1178,'Form responses 1'!$B$2:$B$2604,'Form responses 1'!$C$2:$C$2604,""))</f>
        <v/>
      </c>
      <c r="F1178" s="44" t="str">
        <f t="array" ref="F1178">IF(B1178="","",_xlfn.XLOOKUP(B1178,'Form responses 1'!$B$2:$B$2604,'Form responses 1'!$D$2:$D$2604,""))</f>
        <v/>
      </c>
      <c r="G1178" s="44" t="str">
        <f t="array" ref="G1178">IF(B1178="","",_xlfn.XLOOKUP(B1178,'Form responses 1'!$B$2:$B$2604,'Form responses 1'!$E$2:$E$2604,""))</f>
        <v/>
      </c>
      <c r="H1178" s="44" t="str">
        <f t="array" ref="H1178">IF(B1178="","",_xlfn.XLOOKUP(B1178,'Form responses 1'!$B$2:$B$2604,'Form responses 1'!$F$2:$F$2604,""))</f>
        <v/>
      </c>
      <c r="I1178" s="44" t="str">
        <f t="array" ref="I1178">IF(B1178="","",_xlfn.XLOOKUP(B1178,'Form responses 1'!$B$2:$B$2604,'Form responses 1'!$I$2:$I$2604,""))</f>
        <v/>
      </c>
      <c r="J1178" s="44" t="str">
        <f t="array" ref="J1178">IF(B1178="","",_xlfn.XLOOKUP(B1178,'Form responses 1'!$B$2:$B$2604,'Form responses 1'!$G$2:$G$2604,""))</f>
        <v/>
      </c>
      <c r="K1178" s="56"/>
      <c r="L1178" s="58" t="str">
        <f t="shared" si="7"/>
        <v/>
      </c>
      <c r="M1178" s="49"/>
      <c r="N1178" s="49"/>
      <c r="O1178" s="49"/>
      <c r="P1178" s="49"/>
      <c r="Q1178" s="49"/>
      <c r="R1178" s="49"/>
      <c r="S1178" s="49"/>
      <c r="T1178" s="49"/>
      <c r="U1178" s="49"/>
      <c r="V1178" s="49"/>
      <c r="W1178" s="56"/>
      <c r="X1178" s="51" t="str">
        <f t="shared" si="5"/>
        <v/>
      </c>
      <c r="Y1178" s="50" t="s">
        <v>482</v>
      </c>
      <c r="Z1178" s="49">
        <f t="shared" si="6"/>
        <v>0</v>
      </c>
    </row>
    <row r="1179" ht="22.5" customHeight="1">
      <c r="B1179" s="57"/>
      <c r="C1179" s="43" t="str">
        <f t="array" ref="C1179">IF(B1179="","",_xlfn.XLOOKUP(B1179,'Form responses 1'!$B$2:$B$2604,'Form responses 1'!$A$2:$A$2604,""))</f>
        <v/>
      </c>
      <c r="D1179" s="44" t="str">
        <f t="shared" si="3"/>
        <v/>
      </c>
      <c r="E1179" s="44" t="str">
        <f t="array" ref="E1179">IF(B1179="","",_xlfn.XLOOKUP(B1179,'Form responses 1'!$B$2:$B$2604,'Form responses 1'!$C$2:$C$2604,""))</f>
        <v/>
      </c>
      <c r="F1179" s="44" t="str">
        <f t="array" ref="F1179">IF(B1179="","",_xlfn.XLOOKUP(B1179,'Form responses 1'!$B$2:$B$2604,'Form responses 1'!$D$2:$D$2604,""))</f>
        <v/>
      </c>
      <c r="G1179" s="44" t="str">
        <f t="array" ref="G1179">IF(B1179="","",_xlfn.XLOOKUP(B1179,'Form responses 1'!$B$2:$B$2604,'Form responses 1'!$E$2:$E$2604,""))</f>
        <v/>
      </c>
      <c r="H1179" s="44" t="str">
        <f t="array" ref="H1179">IF(B1179="","",_xlfn.XLOOKUP(B1179,'Form responses 1'!$B$2:$B$2604,'Form responses 1'!$F$2:$F$2604,""))</f>
        <v/>
      </c>
      <c r="I1179" s="44" t="str">
        <f t="array" ref="I1179">IF(B1179="","",_xlfn.XLOOKUP(B1179,'Form responses 1'!$B$2:$B$2604,'Form responses 1'!$I$2:$I$2604,""))</f>
        <v/>
      </c>
      <c r="J1179" s="44" t="str">
        <f t="array" ref="J1179">IF(B1179="","",_xlfn.XLOOKUP(B1179,'Form responses 1'!$B$2:$B$2604,'Form responses 1'!$G$2:$G$2604,""))</f>
        <v/>
      </c>
      <c r="K1179" s="56"/>
      <c r="L1179" s="58" t="str">
        <f t="shared" si="7"/>
        <v/>
      </c>
      <c r="M1179" s="49"/>
      <c r="N1179" s="49"/>
      <c r="O1179" s="49"/>
      <c r="P1179" s="49"/>
      <c r="Q1179" s="49"/>
      <c r="R1179" s="49"/>
      <c r="S1179" s="49"/>
      <c r="T1179" s="49"/>
      <c r="U1179" s="49"/>
      <c r="V1179" s="49"/>
      <c r="W1179" s="56"/>
      <c r="X1179" s="51" t="str">
        <f t="shared" si="5"/>
        <v/>
      </c>
      <c r="Y1179" s="50" t="s">
        <v>482</v>
      </c>
      <c r="Z1179" s="49">
        <f t="shared" si="6"/>
        <v>0</v>
      </c>
    </row>
    <row r="1180" ht="22.5" customHeight="1">
      <c r="B1180" s="57"/>
      <c r="C1180" s="43" t="str">
        <f t="array" ref="C1180">IF(B1180="","",_xlfn.XLOOKUP(B1180,'Form responses 1'!$B$2:$B$2604,'Form responses 1'!$A$2:$A$2604,""))</f>
        <v/>
      </c>
      <c r="D1180" s="44" t="str">
        <f t="shared" si="3"/>
        <v/>
      </c>
      <c r="E1180" s="44" t="str">
        <f t="array" ref="E1180">IF(B1180="","",_xlfn.XLOOKUP(B1180,'Form responses 1'!$B$2:$B$2604,'Form responses 1'!$C$2:$C$2604,""))</f>
        <v/>
      </c>
      <c r="F1180" s="44" t="str">
        <f t="array" ref="F1180">IF(B1180="","",_xlfn.XLOOKUP(B1180,'Form responses 1'!$B$2:$B$2604,'Form responses 1'!$D$2:$D$2604,""))</f>
        <v/>
      </c>
      <c r="G1180" s="44" t="str">
        <f t="array" ref="G1180">IF(B1180="","",_xlfn.XLOOKUP(B1180,'Form responses 1'!$B$2:$B$2604,'Form responses 1'!$E$2:$E$2604,""))</f>
        <v/>
      </c>
      <c r="H1180" s="44" t="str">
        <f t="array" ref="H1180">IF(B1180="","",_xlfn.XLOOKUP(B1180,'Form responses 1'!$B$2:$B$2604,'Form responses 1'!$F$2:$F$2604,""))</f>
        <v/>
      </c>
      <c r="I1180" s="44" t="str">
        <f t="array" ref="I1180">IF(B1180="","",_xlfn.XLOOKUP(B1180,'Form responses 1'!$B$2:$B$2604,'Form responses 1'!$I$2:$I$2604,""))</f>
        <v/>
      </c>
      <c r="J1180" s="44" t="str">
        <f t="array" ref="J1180">IF(B1180="","",_xlfn.XLOOKUP(B1180,'Form responses 1'!$B$2:$B$2604,'Form responses 1'!$G$2:$G$2604,""))</f>
        <v/>
      </c>
      <c r="K1180" s="56"/>
      <c r="L1180" s="58" t="str">
        <f t="shared" si="7"/>
        <v/>
      </c>
      <c r="M1180" s="49"/>
      <c r="N1180" s="49"/>
      <c r="O1180" s="49"/>
      <c r="P1180" s="49"/>
      <c r="Q1180" s="49"/>
      <c r="R1180" s="49"/>
      <c r="S1180" s="49"/>
      <c r="T1180" s="49"/>
      <c r="U1180" s="49"/>
      <c r="V1180" s="49"/>
      <c r="W1180" s="56"/>
      <c r="X1180" s="51" t="str">
        <f t="shared" si="5"/>
        <v/>
      </c>
      <c r="Y1180" s="50" t="s">
        <v>482</v>
      </c>
      <c r="Z1180" s="49">
        <f t="shared" si="6"/>
        <v>0</v>
      </c>
    </row>
    <row r="1181" ht="22.5" customHeight="1">
      <c r="B1181" s="57"/>
      <c r="C1181" s="43" t="str">
        <f t="array" ref="C1181">IF(B1181="","",_xlfn.XLOOKUP(B1181,'Form responses 1'!$B$2:$B$2604,'Form responses 1'!$A$2:$A$2604,""))</f>
        <v/>
      </c>
      <c r="D1181" s="44" t="str">
        <f t="shared" si="3"/>
        <v/>
      </c>
      <c r="E1181" s="44" t="str">
        <f t="array" ref="E1181">IF(B1181="","",_xlfn.XLOOKUP(B1181,'Form responses 1'!$B$2:$B$2604,'Form responses 1'!$C$2:$C$2604,""))</f>
        <v/>
      </c>
      <c r="F1181" s="44" t="str">
        <f t="array" ref="F1181">IF(B1181="","",_xlfn.XLOOKUP(B1181,'Form responses 1'!$B$2:$B$2604,'Form responses 1'!$D$2:$D$2604,""))</f>
        <v/>
      </c>
      <c r="G1181" s="44" t="str">
        <f t="array" ref="G1181">IF(B1181="","",_xlfn.XLOOKUP(B1181,'Form responses 1'!$B$2:$B$2604,'Form responses 1'!$E$2:$E$2604,""))</f>
        <v/>
      </c>
      <c r="H1181" s="44" t="str">
        <f t="array" ref="H1181">IF(B1181="","",_xlfn.XLOOKUP(B1181,'Form responses 1'!$B$2:$B$2604,'Form responses 1'!$F$2:$F$2604,""))</f>
        <v/>
      </c>
      <c r="I1181" s="44" t="str">
        <f t="array" ref="I1181">IF(B1181="","",_xlfn.XLOOKUP(B1181,'Form responses 1'!$B$2:$B$2604,'Form responses 1'!$I$2:$I$2604,""))</f>
        <v/>
      </c>
      <c r="J1181" s="44" t="str">
        <f t="array" ref="J1181">IF(B1181="","",_xlfn.XLOOKUP(B1181,'Form responses 1'!$B$2:$B$2604,'Form responses 1'!$G$2:$G$2604,""))</f>
        <v/>
      </c>
      <c r="K1181" s="56"/>
      <c r="L1181" s="58" t="str">
        <f t="shared" si="7"/>
        <v/>
      </c>
      <c r="M1181" s="49"/>
      <c r="N1181" s="49"/>
      <c r="O1181" s="49"/>
      <c r="P1181" s="49"/>
      <c r="Q1181" s="49"/>
      <c r="R1181" s="49"/>
      <c r="S1181" s="49"/>
      <c r="T1181" s="49"/>
      <c r="U1181" s="49"/>
      <c r="V1181" s="49"/>
      <c r="W1181" s="56"/>
      <c r="X1181" s="51" t="str">
        <f t="shared" si="5"/>
        <v/>
      </c>
      <c r="Y1181" s="50" t="s">
        <v>482</v>
      </c>
      <c r="Z1181" s="49">
        <f t="shared" si="6"/>
        <v>0</v>
      </c>
    </row>
    <row r="1182" ht="22.5" customHeight="1">
      <c r="B1182" s="57"/>
      <c r="C1182" s="43" t="str">
        <f t="array" ref="C1182">IF(B1182="","",_xlfn.XLOOKUP(B1182,'Form responses 1'!$B$2:$B$2604,'Form responses 1'!$A$2:$A$2604,""))</f>
        <v/>
      </c>
      <c r="D1182" s="44" t="str">
        <f t="shared" si="3"/>
        <v/>
      </c>
      <c r="E1182" s="44" t="str">
        <f t="array" ref="E1182">IF(B1182="","",_xlfn.XLOOKUP(B1182,'Form responses 1'!$B$2:$B$2604,'Form responses 1'!$C$2:$C$2604,""))</f>
        <v/>
      </c>
      <c r="F1182" s="44" t="str">
        <f t="array" ref="F1182">IF(B1182="","",_xlfn.XLOOKUP(B1182,'Form responses 1'!$B$2:$B$2604,'Form responses 1'!$D$2:$D$2604,""))</f>
        <v/>
      </c>
      <c r="G1182" s="44" t="str">
        <f t="array" ref="G1182">IF(B1182="","",_xlfn.XLOOKUP(B1182,'Form responses 1'!$B$2:$B$2604,'Form responses 1'!$E$2:$E$2604,""))</f>
        <v/>
      </c>
      <c r="H1182" s="44" t="str">
        <f t="array" ref="H1182">IF(B1182="","",_xlfn.XLOOKUP(B1182,'Form responses 1'!$B$2:$B$2604,'Form responses 1'!$F$2:$F$2604,""))</f>
        <v/>
      </c>
      <c r="I1182" s="44" t="str">
        <f t="array" ref="I1182">IF(B1182="","",_xlfn.XLOOKUP(B1182,'Form responses 1'!$B$2:$B$2604,'Form responses 1'!$I$2:$I$2604,""))</f>
        <v/>
      </c>
      <c r="J1182" s="44" t="str">
        <f t="array" ref="J1182">IF(B1182="","",_xlfn.XLOOKUP(B1182,'Form responses 1'!$B$2:$B$2604,'Form responses 1'!$G$2:$G$2604,""))</f>
        <v/>
      </c>
      <c r="K1182" s="56"/>
      <c r="L1182" s="58" t="str">
        <f t="shared" si="7"/>
        <v/>
      </c>
      <c r="M1182" s="49"/>
      <c r="N1182" s="49"/>
      <c r="O1182" s="49"/>
      <c r="P1182" s="49"/>
      <c r="Q1182" s="49"/>
      <c r="R1182" s="49"/>
      <c r="S1182" s="49"/>
      <c r="T1182" s="49"/>
      <c r="U1182" s="49"/>
      <c r="V1182" s="49"/>
      <c r="W1182" s="56"/>
      <c r="X1182" s="51" t="str">
        <f t="shared" si="5"/>
        <v/>
      </c>
      <c r="Y1182" s="50" t="s">
        <v>482</v>
      </c>
      <c r="Z1182" s="49">
        <f t="shared" si="6"/>
        <v>0</v>
      </c>
    </row>
    <row r="1183" ht="22.5" customHeight="1">
      <c r="B1183" s="57"/>
      <c r="C1183" s="43" t="str">
        <f t="array" ref="C1183">IF(B1183="","",_xlfn.XLOOKUP(B1183,'Form responses 1'!$B$2:$B$2604,'Form responses 1'!$A$2:$A$2604,""))</f>
        <v/>
      </c>
      <c r="D1183" s="44" t="str">
        <f t="shared" si="3"/>
        <v/>
      </c>
      <c r="E1183" s="44" t="str">
        <f t="array" ref="E1183">IF(B1183="","",_xlfn.XLOOKUP(B1183,'Form responses 1'!$B$2:$B$2604,'Form responses 1'!$C$2:$C$2604,""))</f>
        <v/>
      </c>
      <c r="F1183" s="44" t="str">
        <f t="array" ref="F1183">IF(B1183="","",_xlfn.XLOOKUP(B1183,'Form responses 1'!$B$2:$B$2604,'Form responses 1'!$D$2:$D$2604,""))</f>
        <v/>
      </c>
      <c r="G1183" s="44" t="str">
        <f t="array" ref="G1183">IF(B1183="","",_xlfn.XLOOKUP(B1183,'Form responses 1'!$B$2:$B$2604,'Form responses 1'!$E$2:$E$2604,""))</f>
        <v/>
      </c>
      <c r="H1183" s="44" t="str">
        <f t="array" ref="H1183">IF(B1183="","",_xlfn.XLOOKUP(B1183,'Form responses 1'!$B$2:$B$2604,'Form responses 1'!$F$2:$F$2604,""))</f>
        <v/>
      </c>
      <c r="I1183" s="44" t="str">
        <f t="array" ref="I1183">IF(B1183="","",_xlfn.XLOOKUP(B1183,'Form responses 1'!$B$2:$B$2604,'Form responses 1'!$I$2:$I$2604,""))</f>
        <v/>
      </c>
      <c r="J1183" s="44" t="str">
        <f t="array" ref="J1183">IF(B1183="","",_xlfn.XLOOKUP(B1183,'Form responses 1'!$B$2:$B$2604,'Form responses 1'!$G$2:$G$2604,""))</f>
        <v/>
      </c>
      <c r="K1183" s="56"/>
      <c r="L1183" s="58" t="str">
        <f t="shared" si="7"/>
        <v/>
      </c>
      <c r="M1183" s="49"/>
      <c r="N1183" s="49"/>
      <c r="O1183" s="49"/>
      <c r="P1183" s="49"/>
      <c r="Q1183" s="49"/>
      <c r="R1183" s="49"/>
      <c r="S1183" s="49"/>
      <c r="T1183" s="49"/>
      <c r="U1183" s="49"/>
      <c r="V1183" s="49"/>
      <c r="W1183" s="56"/>
      <c r="X1183" s="51" t="str">
        <f t="shared" si="5"/>
        <v/>
      </c>
      <c r="Y1183" s="50" t="s">
        <v>482</v>
      </c>
      <c r="Z1183" s="49">
        <f t="shared" si="6"/>
        <v>0</v>
      </c>
    </row>
    <row r="1184" ht="22.5" customHeight="1">
      <c r="B1184" s="57"/>
      <c r="C1184" s="43" t="str">
        <f t="array" ref="C1184">IF(B1184="","",_xlfn.XLOOKUP(B1184,'Form responses 1'!$B$2:$B$2604,'Form responses 1'!$A$2:$A$2604,""))</f>
        <v/>
      </c>
      <c r="D1184" s="44" t="str">
        <f t="shared" si="3"/>
        <v/>
      </c>
      <c r="E1184" s="44" t="str">
        <f t="array" ref="E1184">IF(B1184="","",_xlfn.XLOOKUP(B1184,'Form responses 1'!$B$2:$B$2604,'Form responses 1'!$C$2:$C$2604,""))</f>
        <v/>
      </c>
      <c r="F1184" s="44" t="str">
        <f t="array" ref="F1184">IF(B1184="","",_xlfn.XLOOKUP(B1184,'Form responses 1'!$B$2:$B$2604,'Form responses 1'!$D$2:$D$2604,""))</f>
        <v/>
      </c>
      <c r="G1184" s="44" t="str">
        <f t="array" ref="G1184">IF(B1184="","",_xlfn.XLOOKUP(B1184,'Form responses 1'!$B$2:$B$2604,'Form responses 1'!$E$2:$E$2604,""))</f>
        <v/>
      </c>
      <c r="H1184" s="44" t="str">
        <f t="array" ref="H1184">IF(B1184="","",_xlfn.XLOOKUP(B1184,'Form responses 1'!$B$2:$B$2604,'Form responses 1'!$F$2:$F$2604,""))</f>
        <v/>
      </c>
      <c r="I1184" s="44" t="str">
        <f t="array" ref="I1184">IF(B1184="","",_xlfn.XLOOKUP(B1184,'Form responses 1'!$B$2:$B$2604,'Form responses 1'!$I$2:$I$2604,""))</f>
        <v/>
      </c>
      <c r="J1184" s="44" t="str">
        <f t="array" ref="J1184">IF(B1184="","",_xlfn.XLOOKUP(B1184,'Form responses 1'!$B$2:$B$2604,'Form responses 1'!$G$2:$G$2604,""))</f>
        <v/>
      </c>
      <c r="K1184" s="56"/>
      <c r="L1184" s="58" t="str">
        <f t="shared" si="7"/>
        <v/>
      </c>
      <c r="M1184" s="49"/>
      <c r="N1184" s="49"/>
      <c r="O1184" s="49"/>
      <c r="P1184" s="49"/>
      <c r="Q1184" s="49"/>
      <c r="R1184" s="49"/>
      <c r="S1184" s="49"/>
      <c r="T1184" s="49"/>
      <c r="U1184" s="49"/>
      <c r="V1184" s="49"/>
      <c r="W1184" s="56"/>
      <c r="X1184" s="51" t="str">
        <f t="shared" si="5"/>
        <v/>
      </c>
      <c r="Y1184" s="50" t="s">
        <v>482</v>
      </c>
      <c r="Z1184" s="49">
        <f t="shared" si="6"/>
        <v>0</v>
      </c>
    </row>
    <row r="1185" ht="22.5" customHeight="1">
      <c r="B1185" s="57"/>
      <c r="C1185" s="43" t="str">
        <f t="array" ref="C1185">IF(B1185="","",_xlfn.XLOOKUP(B1185,'Form responses 1'!$B$2:$B$2604,'Form responses 1'!$A$2:$A$2604,""))</f>
        <v/>
      </c>
      <c r="D1185" s="44" t="str">
        <f t="shared" si="3"/>
        <v/>
      </c>
      <c r="E1185" s="44" t="str">
        <f t="array" ref="E1185">IF(B1185="","",_xlfn.XLOOKUP(B1185,'Form responses 1'!$B$2:$B$2604,'Form responses 1'!$C$2:$C$2604,""))</f>
        <v/>
      </c>
      <c r="F1185" s="44" t="str">
        <f t="array" ref="F1185">IF(B1185="","",_xlfn.XLOOKUP(B1185,'Form responses 1'!$B$2:$B$2604,'Form responses 1'!$D$2:$D$2604,""))</f>
        <v/>
      </c>
      <c r="G1185" s="44" t="str">
        <f t="array" ref="G1185">IF(B1185="","",_xlfn.XLOOKUP(B1185,'Form responses 1'!$B$2:$B$2604,'Form responses 1'!$E$2:$E$2604,""))</f>
        <v/>
      </c>
      <c r="H1185" s="44" t="str">
        <f t="array" ref="H1185">IF(B1185="","",_xlfn.XLOOKUP(B1185,'Form responses 1'!$B$2:$B$2604,'Form responses 1'!$F$2:$F$2604,""))</f>
        <v/>
      </c>
      <c r="I1185" s="44" t="str">
        <f t="array" ref="I1185">IF(B1185="","",_xlfn.XLOOKUP(B1185,'Form responses 1'!$B$2:$B$2604,'Form responses 1'!$I$2:$I$2604,""))</f>
        <v/>
      </c>
      <c r="J1185" s="44" t="str">
        <f t="array" ref="J1185">IF(B1185="","",_xlfn.XLOOKUP(B1185,'Form responses 1'!$B$2:$B$2604,'Form responses 1'!$G$2:$G$2604,""))</f>
        <v/>
      </c>
      <c r="K1185" s="56"/>
      <c r="L1185" s="58" t="str">
        <f t="shared" si="7"/>
        <v/>
      </c>
      <c r="M1185" s="49"/>
      <c r="N1185" s="49"/>
      <c r="O1185" s="49"/>
      <c r="P1185" s="49"/>
      <c r="Q1185" s="49"/>
      <c r="R1185" s="49"/>
      <c r="S1185" s="49"/>
      <c r="T1185" s="49"/>
      <c r="U1185" s="49"/>
      <c r="V1185" s="49"/>
      <c r="W1185" s="56"/>
      <c r="X1185" s="51" t="str">
        <f t="shared" si="5"/>
        <v/>
      </c>
      <c r="Y1185" s="50" t="s">
        <v>482</v>
      </c>
      <c r="Z1185" s="49">
        <f t="shared" si="6"/>
        <v>0</v>
      </c>
    </row>
    <row r="1186" ht="22.5" customHeight="1">
      <c r="B1186" s="57"/>
      <c r="C1186" s="43" t="str">
        <f t="array" ref="C1186">IF(B1186="","",_xlfn.XLOOKUP(B1186,'Form responses 1'!$B$2:$B$2604,'Form responses 1'!$A$2:$A$2604,""))</f>
        <v/>
      </c>
      <c r="D1186" s="44" t="str">
        <f t="shared" si="3"/>
        <v/>
      </c>
      <c r="E1186" s="44" t="str">
        <f t="array" ref="E1186">IF(B1186="","",_xlfn.XLOOKUP(B1186,'Form responses 1'!$B$2:$B$2604,'Form responses 1'!$C$2:$C$2604,""))</f>
        <v/>
      </c>
      <c r="F1186" s="44" t="str">
        <f t="array" ref="F1186">IF(B1186="","",_xlfn.XLOOKUP(B1186,'Form responses 1'!$B$2:$B$2604,'Form responses 1'!$D$2:$D$2604,""))</f>
        <v/>
      </c>
      <c r="G1186" s="44" t="str">
        <f t="array" ref="G1186">IF(B1186="","",_xlfn.XLOOKUP(B1186,'Form responses 1'!$B$2:$B$2604,'Form responses 1'!$E$2:$E$2604,""))</f>
        <v/>
      </c>
      <c r="H1186" s="44" t="str">
        <f t="array" ref="H1186">IF(B1186="","",_xlfn.XLOOKUP(B1186,'Form responses 1'!$B$2:$B$2604,'Form responses 1'!$F$2:$F$2604,""))</f>
        <v/>
      </c>
      <c r="I1186" s="44" t="str">
        <f t="array" ref="I1186">IF(B1186="","",_xlfn.XLOOKUP(B1186,'Form responses 1'!$B$2:$B$2604,'Form responses 1'!$I$2:$I$2604,""))</f>
        <v/>
      </c>
      <c r="J1186" s="44" t="str">
        <f t="array" ref="J1186">IF(B1186="","",_xlfn.XLOOKUP(B1186,'Form responses 1'!$B$2:$B$2604,'Form responses 1'!$G$2:$G$2604,""))</f>
        <v/>
      </c>
      <c r="K1186" s="56"/>
      <c r="L1186" s="58" t="str">
        <f t="shared" si="7"/>
        <v/>
      </c>
      <c r="M1186" s="49"/>
      <c r="N1186" s="49"/>
      <c r="O1186" s="49"/>
      <c r="P1186" s="49"/>
      <c r="Q1186" s="49"/>
      <c r="R1186" s="49"/>
      <c r="S1186" s="49"/>
      <c r="T1186" s="49"/>
      <c r="U1186" s="49"/>
      <c r="V1186" s="49"/>
      <c r="W1186" s="56"/>
      <c r="X1186" s="51" t="str">
        <f t="shared" si="5"/>
        <v/>
      </c>
      <c r="Y1186" s="50" t="s">
        <v>482</v>
      </c>
      <c r="Z1186" s="49">
        <f t="shared" si="6"/>
        <v>0</v>
      </c>
    </row>
    <row r="1187" ht="22.5" customHeight="1">
      <c r="B1187" s="57"/>
      <c r="C1187" s="43" t="str">
        <f t="array" ref="C1187">IF(B1187="","",_xlfn.XLOOKUP(B1187,'Form responses 1'!$B$2:$B$2604,'Form responses 1'!$A$2:$A$2604,""))</f>
        <v/>
      </c>
      <c r="D1187" s="44" t="str">
        <f t="shared" si="3"/>
        <v/>
      </c>
      <c r="E1187" s="44" t="str">
        <f t="array" ref="E1187">IF(B1187="","",_xlfn.XLOOKUP(B1187,'Form responses 1'!$B$2:$B$2604,'Form responses 1'!$C$2:$C$2604,""))</f>
        <v/>
      </c>
      <c r="F1187" s="44" t="str">
        <f t="array" ref="F1187">IF(B1187="","",_xlfn.XLOOKUP(B1187,'Form responses 1'!$B$2:$B$2604,'Form responses 1'!$D$2:$D$2604,""))</f>
        <v/>
      </c>
      <c r="G1187" s="44" t="str">
        <f t="array" ref="G1187">IF(B1187="","",_xlfn.XLOOKUP(B1187,'Form responses 1'!$B$2:$B$2604,'Form responses 1'!$E$2:$E$2604,""))</f>
        <v/>
      </c>
      <c r="H1187" s="44" t="str">
        <f t="array" ref="H1187">IF(B1187="","",_xlfn.XLOOKUP(B1187,'Form responses 1'!$B$2:$B$2604,'Form responses 1'!$F$2:$F$2604,""))</f>
        <v/>
      </c>
      <c r="I1187" s="44" t="str">
        <f t="array" ref="I1187">IF(B1187="","",_xlfn.XLOOKUP(B1187,'Form responses 1'!$B$2:$B$2604,'Form responses 1'!$I$2:$I$2604,""))</f>
        <v/>
      </c>
      <c r="J1187" s="44" t="str">
        <f t="array" ref="J1187">IF(B1187="","",_xlfn.XLOOKUP(B1187,'Form responses 1'!$B$2:$B$2604,'Form responses 1'!$G$2:$G$2604,""))</f>
        <v/>
      </c>
      <c r="K1187" s="56"/>
      <c r="L1187" s="58" t="str">
        <f t="shared" si="7"/>
        <v/>
      </c>
      <c r="M1187" s="49"/>
      <c r="N1187" s="49"/>
      <c r="O1187" s="49"/>
      <c r="P1187" s="49"/>
      <c r="Q1187" s="49"/>
      <c r="R1187" s="49"/>
      <c r="S1187" s="49"/>
      <c r="T1187" s="49"/>
      <c r="U1187" s="49"/>
      <c r="V1187" s="49"/>
      <c r="W1187" s="56"/>
      <c r="X1187" s="51" t="str">
        <f t="shared" si="5"/>
        <v/>
      </c>
      <c r="Y1187" s="50" t="s">
        <v>482</v>
      </c>
      <c r="Z1187" s="49">
        <f t="shared" si="6"/>
        <v>0</v>
      </c>
    </row>
    <row r="1188" ht="22.5" customHeight="1">
      <c r="B1188" s="57"/>
      <c r="C1188" s="43" t="str">
        <f t="array" ref="C1188">IF(B1188="","",_xlfn.XLOOKUP(B1188,'Form responses 1'!$B$2:$B$2604,'Form responses 1'!$A$2:$A$2604,""))</f>
        <v/>
      </c>
      <c r="D1188" s="44" t="str">
        <f t="shared" si="3"/>
        <v/>
      </c>
      <c r="E1188" s="44" t="str">
        <f t="array" ref="E1188">IF(B1188="","",_xlfn.XLOOKUP(B1188,'Form responses 1'!$B$2:$B$2604,'Form responses 1'!$C$2:$C$2604,""))</f>
        <v/>
      </c>
      <c r="F1188" s="44" t="str">
        <f t="array" ref="F1188">IF(B1188="","",_xlfn.XLOOKUP(B1188,'Form responses 1'!$B$2:$B$2604,'Form responses 1'!$D$2:$D$2604,""))</f>
        <v/>
      </c>
      <c r="G1188" s="44" t="str">
        <f t="array" ref="G1188">IF(B1188="","",_xlfn.XLOOKUP(B1188,'Form responses 1'!$B$2:$B$2604,'Form responses 1'!$E$2:$E$2604,""))</f>
        <v/>
      </c>
      <c r="H1188" s="44" t="str">
        <f t="array" ref="H1188">IF(B1188="","",_xlfn.XLOOKUP(B1188,'Form responses 1'!$B$2:$B$2604,'Form responses 1'!$F$2:$F$2604,""))</f>
        <v/>
      </c>
      <c r="I1188" s="44" t="str">
        <f t="array" ref="I1188">IF(B1188="","",_xlfn.XLOOKUP(B1188,'Form responses 1'!$B$2:$B$2604,'Form responses 1'!$I$2:$I$2604,""))</f>
        <v/>
      </c>
      <c r="J1188" s="44" t="str">
        <f t="array" ref="J1188">IF(B1188="","",_xlfn.XLOOKUP(B1188,'Form responses 1'!$B$2:$B$2604,'Form responses 1'!$G$2:$G$2604,""))</f>
        <v/>
      </c>
      <c r="K1188" s="56"/>
      <c r="L1188" s="58" t="str">
        <f t="shared" si="7"/>
        <v/>
      </c>
      <c r="M1188" s="49"/>
      <c r="N1188" s="49"/>
      <c r="O1188" s="49"/>
      <c r="P1188" s="49"/>
      <c r="Q1188" s="49"/>
      <c r="R1188" s="49"/>
      <c r="S1188" s="49"/>
      <c r="T1188" s="49"/>
      <c r="U1188" s="49"/>
      <c r="V1188" s="49"/>
      <c r="W1188" s="56"/>
      <c r="X1188" s="51" t="str">
        <f t="shared" si="5"/>
        <v/>
      </c>
      <c r="Y1188" s="50" t="s">
        <v>482</v>
      </c>
      <c r="Z1188" s="49">
        <f t="shared" si="6"/>
        <v>0</v>
      </c>
    </row>
    <row r="1189" ht="22.5" customHeight="1">
      <c r="B1189" s="57"/>
      <c r="C1189" s="43" t="str">
        <f t="array" ref="C1189">IF(B1189="","",_xlfn.XLOOKUP(B1189,'Form responses 1'!$B$2:$B$2604,'Form responses 1'!$A$2:$A$2604,""))</f>
        <v/>
      </c>
      <c r="D1189" s="44" t="str">
        <f t="shared" si="3"/>
        <v/>
      </c>
      <c r="E1189" s="44" t="str">
        <f t="array" ref="E1189">IF(B1189="","",_xlfn.XLOOKUP(B1189,'Form responses 1'!$B$2:$B$2604,'Form responses 1'!$C$2:$C$2604,""))</f>
        <v/>
      </c>
      <c r="F1189" s="44" t="str">
        <f t="array" ref="F1189">IF(B1189="","",_xlfn.XLOOKUP(B1189,'Form responses 1'!$B$2:$B$2604,'Form responses 1'!$D$2:$D$2604,""))</f>
        <v/>
      </c>
      <c r="G1189" s="44" t="str">
        <f t="array" ref="G1189">IF(B1189="","",_xlfn.XLOOKUP(B1189,'Form responses 1'!$B$2:$B$2604,'Form responses 1'!$E$2:$E$2604,""))</f>
        <v/>
      </c>
      <c r="H1189" s="44" t="str">
        <f t="array" ref="H1189">IF(B1189="","",_xlfn.XLOOKUP(B1189,'Form responses 1'!$B$2:$B$2604,'Form responses 1'!$F$2:$F$2604,""))</f>
        <v/>
      </c>
      <c r="I1189" s="44" t="str">
        <f t="array" ref="I1189">IF(B1189="","",_xlfn.XLOOKUP(B1189,'Form responses 1'!$B$2:$B$2604,'Form responses 1'!$I$2:$I$2604,""))</f>
        <v/>
      </c>
      <c r="J1189" s="44" t="str">
        <f t="array" ref="J1189">IF(B1189="","",_xlfn.XLOOKUP(B1189,'Form responses 1'!$B$2:$B$2604,'Form responses 1'!$G$2:$G$2604,""))</f>
        <v/>
      </c>
      <c r="K1189" s="56"/>
      <c r="L1189" s="58" t="str">
        <f t="shared" si="7"/>
        <v/>
      </c>
      <c r="M1189" s="49"/>
      <c r="N1189" s="49"/>
      <c r="O1189" s="49"/>
      <c r="P1189" s="49"/>
      <c r="Q1189" s="49"/>
      <c r="R1189" s="49"/>
      <c r="S1189" s="49"/>
      <c r="T1189" s="49"/>
      <c r="U1189" s="49"/>
      <c r="V1189" s="49"/>
      <c r="W1189" s="56"/>
      <c r="X1189" s="51" t="str">
        <f t="shared" si="5"/>
        <v/>
      </c>
      <c r="Y1189" s="50" t="s">
        <v>482</v>
      </c>
      <c r="Z1189" s="49">
        <f t="shared" si="6"/>
        <v>0</v>
      </c>
    </row>
    <row r="1190" ht="22.5" customHeight="1">
      <c r="B1190" s="57"/>
      <c r="C1190" s="43" t="str">
        <f t="array" ref="C1190">IF(B1190="","",_xlfn.XLOOKUP(B1190,'Form responses 1'!$B$2:$B$2604,'Form responses 1'!$A$2:$A$2604,""))</f>
        <v/>
      </c>
      <c r="D1190" s="44" t="str">
        <f t="shared" si="3"/>
        <v/>
      </c>
      <c r="E1190" s="44" t="str">
        <f t="array" ref="E1190">IF(B1190="","",_xlfn.XLOOKUP(B1190,'Form responses 1'!$B$2:$B$2604,'Form responses 1'!$C$2:$C$2604,""))</f>
        <v/>
      </c>
      <c r="F1190" s="44" t="str">
        <f t="array" ref="F1190">IF(B1190="","",_xlfn.XLOOKUP(B1190,'Form responses 1'!$B$2:$B$2604,'Form responses 1'!$D$2:$D$2604,""))</f>
        <v/>
      </c>
      <c r="G1190" s="44" t="str">
        <f t="array" ref="G1190">IF(B1190="","",_xlfn.XLOOKUP(B1190,'Form responses 1'!$B$2:$B$2604,'Form responses 1'!$E$2:$E$2604,""))</f>
        <v/>
      </c>
      <c r="H1190" s="44" t="str">
        <f t="array" ref="H1190">IF(B1190="","",_xlfn.XLOOKUP(B1190,'Form responses 1'!$B$2:$B$2604,'Form responses 1'!$F$2:$F$2604,""))</f>
        <v/>
      </c>
      <c r="I1190" s="44" t="str">
        <f t="array" ref="I1190">IF(B1190="","",_xlfn.XLOOKUP(B1190,'Form responses 1'!$B$2:$B$2604,'Form responses 1'!$I$2:$I$2604,""))</f>
        <v/>
      </c>
      <c r="J1190" s="44" t="str">
        <f t="array" ref="J1190">IF(B1190="","",_xlfn.XLOOKUP(B1190,'Form responses 1'!$B$2:$B$2604,'Form responses 1'!$G$2:$G$2604,""))</f>
        <v/>
      </c>
      <c r="K1190" s="56"/>
      <c r="L1190" s="58" t="str">
        <f t="shared" si="7"/>
        <v/>
      </c>
      <c r="M1190" s="49"/>
      <c r="N1190" s="49"/>
      <c r="O1190" s="49"/>
      <c r="P1190" s="49"/>
      <c r="Q1190" s="49"/>
      <c r="R1190" s="49"/>
      <c r="S1190" s="49"/>
      <c r="T1190" s="49"/>
      <c r="U1190" s="49"/>
      <c r="V1190" s="49"/>
      <c r="W1190" s="56"/>
      <c r="X1190" s="51" t="str">
        <f t="shared" si="5"/>
        <v/>
      </c>
      <c r="Y1190" s="50" t="s">
        <v>482</v>
      </c>
      <c r="Z1190" s="49">
        <f t="shared" si="6"/>
        <v>0</v>
      </c>
    </row>
    <row r="1191" ht="22.5" customHeight="1">
      <c r="B1191" s="57"/>
      <c r="C1191" s="43" t="str">
        <f t="array" ref="C1191">IF(B1191="","",_xlfn.XLOOKUP(B1191,'Form responses 1'!$B$2:$B$2604,'Form responses 1'!$A$2:$A$2604,""))</f>
        <v/>
      </c>
      <c r="D1191" s="44" t="str">
        <f t="shared" si="3"/>
        <v/>
      </c>
      <c r="E1191" s="44" t="str">
        <f t="array" ref="E1191">IF(B1191="","",_xlfn.XLOOKUP(B1191,'Form responses 1'!$B$2:$B$2604,'Form responses 1'!$C$2:$C$2604,""))</f>
        <v/>
      </c>
      <c r="F1191" s="44" t="str">
        <f t="array" ref="F1191">IF(B1191="","",_xlfn.XLOOKUP(B1191,'Form responses 1'!$B$2:$B$2604,'Form responses 1'!$D$2:$D$2604,""))</f>
        <v/>
      </c>
      <c r="G1191" s="44" t="str">
        <f t="array" ref="G1191">IF(B1191="","",_xlfn.XLOOKUP(B1191,'Form responses 1'!$B$2:$B$2604,'Form responses 1'!$E$2:$E$2604,""))</f>
        <v/>
      </c>
      <c r="H1191" s="44" t="str">
        <f t="array" ref="H1191">IF(B1191="","",_xlfn.XLOOKUP(B1191,'Form responses 1'!$B$2:$B$2604,'Form responses 1'!$F$2:$F$2604,""))</f>
        <v/>
      </c>
      <c r="I1191" s="44" t="str">
        <f t="array" ref="I1191">IF(B1191="","",_xlfn.XLOOKUP(B1191,'Form responses 1'!$B$2:$B$2604,'Form responses 1'!$I$2:$I$2604,""))</f>
        <v/>
      </c>
      <c r="J1191" s="44" t="str">
        <f t="array" ref="J1191">IF(B1191="","",_xlfn.XLOOKUP(B1191,'Form responses 1'!$B$2:$B$2604,'Form responses 1'!$G$2:$G$2604,""))</f>
        <v/>
      </c>
      <c r="K1191" s="56"/>
      <c r="L1191" s="58" t="str">
        <f t="shared" si="7"/>
        <v/>
      </c>
      <c r="M1191" s="49"/>
      <c r="N1191" s="49"/>
      <c r="O1191" s="49"/>
      <c r="P1191" s="49"/>
      <c r="Q1191" s="49"/>
      <c r="R1191" s="49"/>
      <c r="S1191" s="49"/>
      <c r="T1191" s="49"/>
      <c r="U1191" s="49"/>
      <c r="V1191" s="49"/>
      <c r="W1191" s="56"/>
      <c r="X1191" s="51" t="str">
        <f t="shared" si="5"/>
        <v/>
      </c>
      <c r="Y1191" s="50" t="s">
        <v>482</v>
      </c>
      <c r="Z1191" s="49">
        <f t="shared" si="6"/>
        <v>0</v>
      </c>
    </row>
    <row r="1192" ht="22.5" customHeight="1">
      <c r="B1192" s="57"/>
      <c r="C1192" s="43" t="str">
        <f t="array" ref="C1192">IF(B1192="","",_xlfn.XLOOKUP(B1192,'Form responses 1'!$B$2:$B$2604,'Form responses 1'!$A$2:$A$2604,""))</f>
        <v/>
      </c>
      <c r="D1192" s="44" t="str">
        <f t="shared" si="3"/>
        <v/>
      </c>
      <c r="E1192" s="44" t="str">
        <f t="array" ref="E1192">IF(B1192="","",_xlfn.XLOOKUP(B1192,'Form responses 1'!$B$2:$B$2604,'Form responses 1'!$C$2:$C$2604,""))</f>
        <v/>
      </c>
      <c r="F1192" s="44" t="str">
        <f t="array" ref="F1192">IF(B1192="","",_xlfn.XLOOKUP(B1192,'Form responses 1'!$B$2:$B$2604,'Form responses 1'!$D$2:$D$2604,""))</f>
        <v/>
      </c>
      <c r="G1192" s="44" t="str">
        <f t="array" ref="G1192">IF(B1192="","",_xlfn.XLOOKUP(B1192,'Form responses 1'!$B$2:$B$2604,'Form responses 1'!$E$2:$E$2604,""))</f>
        <v/>
      </c>
      <c r="H1192" s="44" t="str">
        <f t="array" ref="H1192">IF(B1192="","",_xlfn.XLOOKUP(B1192,'Form responses 1'!$B$2:$B$2604,'Form responses 1'!$F$2:$F$2604,""))</f>
        <v/>
      </c>
      <c r="I1192" s="44" t="str">
        <f t="array" ref="I1192">IF(B1192="","",_xlfn.XLOOKUP(B1192,'Form responses 1'!$B$2:$B$2604,'Form responses 1'!$I$2:$I$2604,""))</f>
        <v/>
      </c>
      <c r="J1192" s="44" t="str">
        <f t="array" ref="J1192">IF(B1192="","",_xlfn.XLOOKUP(B1192,'Form responses 1'!$B$2:$B$2604,'Form responses 1'!$G$2:$G$2604,""))</f>
        <v/>
      </c>
      <c r="K1192" s="56"/>
      <c r="L1192" s="58" t="str">
        <f t="shared" si="7"/>
        <v/>
      </c>
      <c r="M1192" s="49"/>
      <c r="N1192" s="49"/>
      <c r="O1192" s="49"/>
      <c r="P1192" s="49"/>
      <c r="Q1192" s="49"/>
      <c r="R1192" s="49"/>
      <c r="S1192" s="49"/>
      <c r="T1192" s="49"/>
      <c r="U1192" s="49"/>
      <c r="V1192" s="49"/>
      <c r="W1192" s="56"/>
      <c r="X1192" s="51" t="str">
        <f t="shared" si="5"/>
        <v/>
      </c>
      <c r="Y1192" s="50" t="s">
        <v>482</v>
      </c>
      <c r="Z1192" s="49">
        <f t="shared" si="6"/>
        <v>0</v>
      </c>
    </row>
    <row r="1193" ht="22.5" customHeight="1">
      <c r="B1193" s="57"/>
      <c r="C1193" s="43" t="str">
        <f t="array" ref="C1193">IF(B1193="","",_xlfn.XLOOKUP(B1193,'Form responses 1'!$B$2:$B$2604,'Form responses 1'!$A$2:$A$2604,""))</f>
        <v/>
      </c>
      <c r="D1193" s="44" t="str">
        <f t="shared" si="3"/>
        <v/>
      </c>
      <c r="E1193" s="44" t="str">
        <f t="array" ref="E1193">IF(B1193="","",_xlfn.XLOOKUP(B1193,'Form responses 1'!$B$2:$B$2604,'Form responses 1'!$C$2:$C$2604,""))</f>
        <v/>
      </c>
      <c r="F1193" s="44" t="str">
        <f t="array" ref="F1193">IF(B1193="","",_xlfn.XLOOKUP(B1193,'Form responses 1'!$B$2:$B$2604,'Form responses 1'!$D$2:$D$2604,""))</f>
        <v/>
      </c>
      <c r="G1193" s="44" t="str">
        <f t="array" ref="G1193">IF(B1193="","",_xlfn.XLOOKUP(B1193,'Form responses 1'!$B$2:$B$2604,'Form responses 1'!$E$2:$E$2604,""))</f>
        <v/>
      </c>
      <c r="H1193" s="44" t="str">
        <f t="array" ref="H1193">IF(B1193="","",_xlfn.XLOOKUP(B1193,'Form responses 1'!$B$2:$B$2604,'Form responses 1'!$F$2:$F$2604,""))</f>
        <v/>
      </c>
      <c r="I1193" s="44" t="str">
        <f t="array" ref="I1193">IF(B1193="","",_xlfn.XLOOKUP(B1193,'Form responses 1'!$B$2:$B$2604,'Form responses 1'!$I$2:$I$2604,""))</f>
        <v/>
      </c>
      <c r="J1193" s="44" t="str">
        <f t="array" ref="J1193">IF(B1193="","",_xlfn.XLOOKUP(B1193,'Form responses 1'!$B$2:$B$2604,'Form responses 1'!$G$2:$G$2604,""))</f>
        <v/>
      </c>
      <c r="K1193" s="56"/>
      <c r="L1193" s="58" t="str">
        <f t="shared" si="7"/>
        <v/>
      </c>
      <c r="M1193" s="49"/>
      <c r="N1193" s="49"/>
      <c r="O1193" s="49"/>
      <c r="P1193" s="49"/>
      <c r="Q1193" s="49"/>
      <c r="R1193" s="49"/>
      <c r="S1193" s="49"/>
      <c r="T1193" s="49"/>
      <c r="U1193" s="49"/>
      <c r="V1193" s="49"/>
      <c r="W1193" s="56"/>
      <c r="X1193" s="51" t="str">
        <f t="shared" si="5"/>
        <v/>
      </c>
      <c r="Y1193" s="50" t="s">
        <v>482</v>
      </c>
      <c r="Z1193" s="49">
        <f t="shared" si="6"/>
        <v>0</v>
      </c>
    </row>
    <row r="1194" ht="22.5" customHeight="1">
      <c r="B1194" s="57"/>
      <c r="C1194" s="43" t="str">
        <f t="array" ref="C1194">IF(B1194="","",_xlfn.XLOOKUP(B1194,'Form responses 1'!$B$2:$B$2604,'Form responses 1'!$A$2:$A$2604,""))</f>
        <v/>
      </c>
      <c r="D1194" s="44" t="str">
        <f t="shared" si="3"/>
        <v/>
      </c>
      <c r="E1194" s="44" t="str">
        <f t="array" ref="E1194">IF(B1194="","",_xlfn.XLOOKUP(B1194,'Form responses 1'!$B$2:$B$2604,'Form responses 1'!$C$2:$C$2604,""))</f>
        <v/>
      </c>
      <c r="F1194" s="44" t="str">
        <f t="array" ref="F1194">IF(B1194="","",_xlfn.XLOOKUP(B1194,'Form responses 1'!$B$2:$B$2604,'Form responses 1'!$D$2:$D$2604,""))</f>
        <v/>
      </c>
      <c r="G1194" s="44" t="str">
        <f t="array" ref="G1194">IF(B1194="","",_xlfn.XLOOKUP(B1194,'Form responses 1'!$B$2:$B$2604,'Form responses 1'!$E$2:$E$2604,""))</f>
        <v/>
      </c>
      <c r="H1194" s="44" t="str">
        <f t="array" ref="H1194">IF(B1194="","",_xlfn.XLOOKUP(B1194,'Form responses 1'!$B$2:$B$2604,'Form responses 1'!$F$2:$F$2604,""))</f>
        <v/>
      </c>
      <c r="I1194" s="44" t="str">
        <f t="array" ref="I1194">IF(B1194="","",_xlfn.XLOOKUP(B1194,'Form responses 1'!$B$2:$B$2604,'Form responses 1'!$I$2:$I$2604,""))</f>
        <v/>
      </c>
      <c r="J1194" s="44" t="str">
        <f t="array" ref="J1194">IF(B1194="","",_xlfn.XLOOKUP(B1194,'Form responses 1'!$B$2:$B$2604,'Form responses 1'!$G$2:$G$2604,""))</f>
        <v/>
      </c>
      <c r="K1194" s="56"/>
      <c r="L1194" s="58" t="str">
        <f t="shared" si="7"/>
        <v/>
      </c>
      <c r="M1194" s="49"/>
      <c r="N1194" s="49"/>
      <c r="O1194" s="49"/>
      <c r="P1194" s="49"/>
      <c r="Q1194" s="49"/>
      <c r="R1194" s="49"/>
      <c r="S1194" s="49"/>
      <c r="T1194" s="49"/>
      <c r="U1194" s="49"/>
      <c r="V1194" s="49"/>
      <c r="W1194" s="56"/>
      <c r="X1194" s="51" t="str">
        <f t="shared" si="5"/>
        <v/>
      </c>
      <c r="Y1194" s="50" t="s">
        <v>482</v>
      </c>
      <c r="Z1194" s="49">
        <f t="shared" si="6"/>
        <v>0</v>
      </c>
    </row>
    <row r="1195" ht="22.5" customHeight="1">
      <c r="B1195" s="57"/>
      <c r="C1195" s="43" t="str">
        <f t="array" ref="C1195">IF(B1195="","",_xlfn.XLOOKUP(B1195,'Form responses 1'!$B$2:$B$2604,'Form responses 1'!$A$2:$A$2604,""))</f>
        <v/>
      </c>
      <c r="D1195" s="44" t="str">
        <f t="shared" si="3"/>
        <v/>
      </c>
      <c r="E1195" s="44" t="str">
        <f t="array" ref="E1195">IF(B1195="","",_xlfn.XLOOKUP(B1195,'Form responses 1'!$B$2:$B$2604,'Form responses 1'!$C$2:$C$2604,""))</f>
        <v/>
      </c>
      <c r="F1195" s="44" t="str">
        <f t="array" ref="F1195">IF(B1195="","",_xlfn.XLOOKUP(B1195,'Form responses 1'!$B$2:$B$2604,'Form responses 1'!$D$2:$D$2604,""))</f>
        <v/>
      </c>
      <c r="G1195" s="44" t="str">
        <f t="array" ref="G1195">IF(B1195="","",_xlfn.XLOOKUP(B1195,'Form responses 1'!$B$2:$B$2604,'Form responses 1'!$E$2:$E$2604,""))</f>
        <v/>
      </c>
      <c r="H1195" s="44" t="str">
        <f t="array" ref="H1195">IF(B1195="","",_xlfn.XLOOKUP(B1195,'Form responses 1'!$B$2:$B$2604,'Form responses 1'!$F$2:$F$2604,""))</f>
        <v/>
      </c>
      <c r="I1195" s="44" t="str">
        <f t="array" ref="I1195">IF(B1195="","",_xlfn.XLOOKUP(B1195,'Form responses 1'!$B$2:$B$2604,'Form responses 1'!$I$2:$I$2604,""))</f>
        <v/>
      </c>
      <c r="J1195" s="44" t="str">
        <f t="array" ref="J1195">IF(B1195="","",_xlfn.XLOOKUP(B1195,'Form responses 1'!$B$2:$B$2604,'Form responses 1'!$G$2:$G$2604,""))</f>
        <v/>
      </c>
      <c r="K1195" s="56"/>
      <c r="L1195" s="58" t="str">
        <f t="shared" si="7"/>
        <v/>
      </c>
      <c r="M1195" s="49"/>
      <c r="N1195" s="49"/>
      <c r="O1195" s="49"/>
      <c r="P1195" s="49"/>
      <c r="Q1195" s="49"/>
      <c r="R1195" s="49"/>
      <c r="S1195" s="49"/>
      <c r="T1195" s="49"/>
      <c r="U1195" s="49"/>
      <c r="V1195" s="49"/>
      <c r="W1195" s="56"/>
      <c r="X1195" s="51" t="str">
        <f t="shared" si="5"/>
        <v/>
      </c>
      <c r="Y1195" s="50" t="s">
        <v>482</v>
      </c>
      <c r="Z1195" s="49">
        <f t="shared" si="6"/>
        <v>0</v>
      </c>
    </row>
    <row r="1196" ht="22.5" customHeight="1">
      <c r="B1196" s="57"/>
      <c r="C1196" s="43" t="str">
        <f t="array" ref="C1196">IF(B1196="","",_xlfn.XLOOKUP(B1196,'Form responses 1'!$B$2:$B$2604,'Form responses 1'!$A$2:$A$2604,""))</f>
        <v/>
      </c>
      <c r="D1196" s="44" t="str">
        <f t="shared" si="3"/>
        <v/>
      </c>
      <c r="E1196" s="44" t="str">
        <f t="array" ref="E1196">IF(B1196="","",_xlfn.XLOOKUP(B1196,'Form responses 1'!$B$2:$B$2604,'Form responses 1'!$C$2:$C$2604,""))</f>
        <v/>
      </c>
      <c r="F1196" s="44" t="str">
        <f t="array" ref="F1196">IF(B1196="","",_xlfn.XLOOKUP(B1196,'Form responses 1'!$B$2:$B$2604,'Form responses 1'!$D$2:$D$2604,""))</f>
        <v/>
      </c>
      <c r="G1196" s="44" t="str">
        <f t="array" ref="G1196">IF(B1196="","",_xlfn.XLOOKUP(B1196,'Form responses 1'!$B$2:$B$2604,'Form responses 1'!$E$2:$E$2604,""))</f>
        <v/>
      </c>
      <c r="H1196" s="44" t="str">
        <f t="array" ref="H1196">IF(B1196="","",_xlfn.XLOOKUP(B1196,'Form responses 1'!$B$2:$B$2604,'Form responses 1'!$F$2:$F$2604,""))</f>
        <v/>
      </c>
      <c r="I1196" s="44" t="str">
        <f t="array" ref="I1196">IF(B1196="","",_xlfn.XLOOKUP(B1196,'Form responses 1'!$B$2:$B$2604,'Form responses 1'!$I$2:$I$2604,""))</f>
        <v/>
      </c>
      <c r="J1196" s="44" t="str">
        <f t="array" ref="J1196">IF(B1196="","",_xlfn.XLOOKUP(B1196,'Form responses 1'!$B$2:$B$2604,'Form responses 1'!$G$2:$G$2604,""))</f>
        <v/>
      </c>
      <c r="K1196" s="56"/>
      <c r="L1196" s="58" t="str">
        <f t="shared" si="7"/>
        <v/>
      </c>
      <c r="M1196" s="49"/>
      <c r="N1196" s="49"/>
      <c r="O1196" s="49"/>
      <c r="P1196" s="49"/>
      <c r="Q1196" s="49"/>
      <c r="R1196" s="49"/>
      <c r="S1196" s="49"/>
      <c r="T1196" s="49"/>
      <c r="U1196" s="49"/>
      <c r="V1196" s="49"/>
      <c r="W1196" s="56"/>
      <c r="X1196" s="51" t="str">
        <f t="shared" si="5"/>
        <v/>
      </c>
      <c r="Y1196" s="50" t="s">
        <v>482</v>
      </c>
      <c r="Z1196" s="49">
        <f t="shared" si="6"/>
        <v>0</v>
      </c>
    </row>
    <row r="1197" ht="22.5" customHeight="1">
      <c r="B1197" s="57"/>
      <c r="C1197" s="43" t="str">
        <f t="array" ref="C1197">IF(B1197="","",_xlfn.XLOOKUP(B1197,'Form responses 1'!$B$2:$B$2604,'Form responses 1'!$A$2:$A$2604,""))</f>
        <v/>
      </c>
      <c r="D1197" s="44" t="str">
        <f t="shared" si="3"/>
        <v/>
      </c>
      <c r="E1197" s="44" t="str">
        <f t="array" ref="E1197">IF(B1197="","",_xlfn.XLOOKUP(B1197,'Form responses 1'!$B$2:$B$2604,'Form responses 1'!$C$2:$C$2604,""))</f>
        <v/>
      </c>
      <c r="F1197" s="44" t="str">
        <f t="array" ref="F1197">IF(B1197="","",_xlfn.XLOOKUP(B1197,'Form responses 1'!$B$2:$B$2604,'Form responses 1'!$D$2:$D$2604,""))</f>
        <v/>
      </c>
      <c r="G1197" s="44" t="str">
        <f t="array" ref="G1197">IF(B1197="","",_xlfn.XLOOKUP(B1197,'Form responses 1'!$B$2:$B$2604,'Form responses 1'!$E$2:$E$2604,""))</f>
        <v/>
      </c>
      <c r="H1197" s="44" t="str">
        <f t="array" ref="H1197">IF(B1197="","",_xlfn.XLOOKUP(B1197,'Form responses 1'!$B$2:$B$2604,'Form responses 1'!$F$2:$F$2604,""))</f>
        <v/>
      </c>
      <c r="I1197" s="44" t="str">
        <f t="array" ref="I1197">IF(B1197="","",_xlfn.XLOOKUP(B1197,'Form responses 1'!$B$2:$B$2604,'Form responses 1'!$I$2:$I$2604,""))</f>
        <v/>
      </c>
      <c r="J1197" s="44" t="str">
        <f t="array" ref="J1197">IF(B1197="","",_xlfn.XLOOKUP(B1197,'Form responses 1'!$B$2:$B$2604,'Form responses 1'!$G$2:$G$2604,""))</f>
        <v/>
      </c>
      <c r="K1197" s="56"/>
      <c r="L1197" s="58" t="str">
        <f t="shared" si="7"/>
        <v/>
      </c>
      <c r="M1197" s="49"/>
      <c r="N1197" s="49"/>
      <c r="O1197" s="49"/>
      <c r="P1197" s="49"/>
      <c r="Q1197" s="49"/>
      <c r="R1197" s="49"/>
      <c r="S1197" s="49"/>
      <c r="T1197" s="49"/>
      <c r="U1197" s="49"/>
      <c r="V1197" s="49"/>
      <c r="W1197" s="56"/>
      <c r="X1197" s="51" t="str">
        <f t="shared" si="5"/>
        <v/>
      </c>
      <c r="Y1197" s="50" t="s">
        <v>482</v>
      </c>
      <c r="Z1197" s="49">
        <f t="shared" si="6"/>
        <v>0</v>
      </c>
    </row>
    <row r="1198" ht="22.5" customHeight="1">
      <c r="B1198" s="57"/>
      <c r="C1198" s="43" t="str">
        <f t="array" ref="C1198">IF(B1198="","",_xlfn.XLOOKUP(B1198,'Form responses 1'!$B$2:$B$2604,'Form responses 1'!$A$2:$A$2604,""))</f>
        <v/>
      </c>
      <c r="D1198" s="44" t="str">
        <f t="shared" si="3"/>
        <v/>
      </c>
      <c r="E1198" s="44" t="str">
        <f t="array" ref="E1198">IF(B1198="","",_xlfn.XLOOKUP(B1198,'Form responses 1'!$B$2:$B$2604,'Form responses 1'!$C$2:$C$2604,""))</f>
        <v/>
      </c>
      <c r="F1198" s="44" t="str">
        <f t="array" ref="F1198">IF(B1198="","",_xlfn.XLOOKUP(B1198,'Form responses 1'!$B$2:$B$2604,'Form responses 1'!$D$2:$D$2604,""))</f>
        <v/>
      </c>
      <c r="G1198" s="44" t="str">
        <f t="array" ref="G1198">IF(B1198="","",_xlfn.XLOOKUP(B1198,'Form responses 1'!$B$2:$B$2604,'Form responses 1'!$E$2:$E$2604,""))</f>
        <v/>
      </c>
      <c r="H1198" s="44" t="str">
        <f t="array" ref="H1198">IF(B1198="","",_xlfn.XLOOKUP(B1198,'Form responses 1'!$B$2:$B$2604,'Form responses 1'!$F$2:$F$2604,""))</f>
        <v/>
      </c>
      <c r="I1198" s="44" t="str">
        <f t="array" ref="I1198">IF(B1198="","",_xlfn.XLOOKUP(B1198,'Form responses 1'!$B$2:$B$2604,'Form responses 1'!$I$2:$I$2604,""))</f>
        <v/>
      </c>
      <c r="J1198" s="44" t="str">
        <f t="array" ref="J1198">IF(B1198="","",_xlfn.XLOOKUP(B1198,'Form responses 1'!$B$2:$B$2604,'Form responses 1'!$G$2:$G$2604,""))</f>
        <v/>
      </c>
      <c r="K1198" s="56"/>
      <c r="L1198" s="58" t="str">
        <f t="shared" si="7"/>
        <v/>
      </c>
      <c r="M1198" s="49"/>
      <c r="N1198" s="49"/>
      <c r="O1198" s="49"/>
      <c r="P1198" s="49"/>
      <c r="Q1198" s="49"/>
      <c r="R1198" s="49"/>
      <c r="S1198" s="49"/>
      <c r="T1198" s="49"/>
      <c r="U1198" s="49"/>
      <c r="V1198" s="49"/>
      <c r="W1198" s="56"/>
      <c r="X1198" s="51" t="str">
        <f t="shared" si="5"/>
        <v/>
      </c>
      <c r="Y1198" s="50" t="s">
        <v>482</v>
      </c>
      <c r="Z1198" s="49">
        <f t="shared" si="6"/>
        <v>0</v>
      </c>
    </row>
    <row r="1199" ht="22.5" customHeight="1">
      <c r="B1199" s="57"/>
      <c r="C1199" s="43" t="str">
        <f t="array" ref="C1199">IF(B1199="","",_xlfn.XLOOKUP(B1199,'Form responses 1'!$B$2:$B$2604,'Form responses 1'!$A$2:$A$2604,""))</f>
        <v/>
      </c>
      <c r="D1199" s="44" t="str">
        <f t="shared" si="3"/>
        <v/>
      </c>
      <c r="E1199" s="44" t="str">
        <f t="array" ref="E1199">IF(B1199="","",_xlfn.XLOOKUP(B1199,'Form responses 1'!$B$2:$B$2604,'Form responses 1'!$C$2:$C$2604,""))</f>
        <v/>
      </c>
      <c r="F1199" s="44" t="str">
        <f t="array" ref="F1199">IF(B1199="","",_xlfn.XLOOKUP(B1199,'Form responses 1'!$B$2:$B$2604,'Form responses 1'!$D$2:$D$2604,""))</f>
        <v/>
      </c>
      <c r="G1199" s="44" t="str">
        <f t="array" ref="G1199">IF(B1199="","",_xlfn.XLOOKUP(B1199,'Form responses 1'!$B$2:$B$2604,'Form responses 1'!$E$2:$E$2604,""))</f>
        <v/>
      </c>
      <c r="H1199" s="44" t="str">
        <f t="array" ref="H1199">IF(B1199="","",_xlfn.XLOOKUP(B1199,'Form responses 1'!$B$2:$B$2604,'Form responses 1'!$F$2:$F$2604,""))</f>
        <v/>
      </c>
      <c r="I1199" s="44" t="str">
        <f t="array" ref="I1199">IF(B1199="","",_xlfn.XLOOKUP(B1199,'Form responses 1'!$B$2:$B$2604,'Form responses 1'!$I$2:$I$2604,""))</f>
        <v/>
      </c>
      <c r="J1199" s="44" t="str">
        <f t="array" ref="J1199">IF(B1199="","",_xlfn.XLOOKUP(B1199,'Form responses 1'!$B$2:$B$2604,'Form responses 1'!$G$2:$G$2604,""))</f>
        <v/>
      </c>
      <c r="K1199" s="56"/>
      <c r="L1199" s="58" t="str">
        <f t="shared" si="7"/>
        <v/>
      </c>
      <c r="M1199" s="49"/>
      <c r="N1199" s="49"/>
      <c r="O1199" s="49"/>
      <c r="P1199" s="49"/>
      <c r="Q1199" s="49"/>
      <c r="R1199" s="49"/>
      <c r="S1199" s="49"/>
      <c r="T1199" s="49"/>
      <c r="U1199" s="49"/>
      <c r="V1199" s="49"/>
      <c r="W1199" s="56"/>
      <c r="X1199" s="51" t="str">
        <f t="shared" si="5"/>
        <v/>
      </c>
      <c r="Y1199" s="50" t="s">
        <v>482</v>
      </c>
      <c r="Z1199" s="49">
        <f t="shared" si="6"/>
        <v>0</v>
      </c>
    </row>
    <row r="1200" ht="22.5" customHeight="1">
      <c r="B1200" s="57"/>
      <c r="C1200" s="43" t="str">
        <f t="array" ref="C1200">IF(B1200="","",_xlfn.XLOOKUP(B1200,'Form responses 1'!$B$2:$B$2604,'Form responses 1'!$A$2:$A$2604,""))</f>
        <v/>
      </c>
      <c r="D1200" s="44" t="str">
        <f t="shared" si="3"/>
        <v/>
      </c>
      <c r="E1200" s="44" t="str">
        <f t="array" ref="E1200">IF(B1200="","",_xlfn.XLOOKUP(B1200,'Form responses 1'!$B$2:$B$2604,'Form responses 1'!$C$2:$C$2604,""))</f>
        <v/>
      </c>
      <c r="F1200" s="44" t="str">
        <f t="array" ref="F1200">IF(B1200="","",_xlfn.XLOOKUP(B1200,'Form responses 1'!$B$2:$B$2604,'Form responses 1'!$D$2:$D$2604,""))</f>
        <v/>
      </c>
      <c r="G1200" s="44" t="str">
        <f t="array" ref="G1200">IF(B1200="","",_xlfn.XLOOKUP(B1200,'Form responses 1'!$B$2:$B$2604,'Form responses 1'!$E$2:$E$2604,""))</f>
        <v/>
      </c>
      <c r="H1200" s="44" t="str">
        <f t="array" ref="H1200">IF(B1200="","",_xlfn.XLOOKUP(B1200,'Form responses 1'!$B$2:$B$2604,'Form responses 1'!$F$2:$F$2604,""))</f>
        <v/>
      </c>
      <c r="I1200" s="44" t="str">
        <f t="array" ref="I1200">IF(B1200="","",_xlfn.XLOOKUP(B1200,'Form responses 1'!$B$2:$B$2604,'Form responses 1'!$I$2:$I$2604,""))</f>
        <v/>
      </c>
      <c r="J1200" s="44" t="str">
        <f t="array" ref="J1200">IF(B1200="","",_xlfn.XLOOKUP(B1200,'Form responses 1'!$B$2:$B$2604,'Form responses 1'!$G$2:$G$2604,""))</f>
        <v/>
      </c>
      <c r="K1200" s="56"/>
      <c r="L1200" s="58" t="str">
        <f t="shared" si="7"/>
        <v/>
      </c>
      <c r="M1200" s="49"/>
      <c r="N1200" s="49"/>
      <c r="O1200" s="49"/>
      <c r="P1200" s="49"/>
      <c r="Q1200" s="49"/>
      <c r="R1200" s="49"/>
      <c r="S1200" s="49"/>
      <c r="T1200" s="49"/>
      <c r="U1200" s="49"/>
      <c r="V1200" s="49"/>
      <c r="W1200" s="56"/>
      <c r="X1200" s="51" t="str">
        <f t="shared" si="5"/>
        <v/>
      </c>
      <c r="Y1200" s="50" t="s">
        <v>482</v>
      </c>
      <c r="Z1200" s="49">
        <f t="shared" si="6"/>
        <v>0</v>
      </c>
    </row>
    <row r="1201" ht="22.5" customHeight="1">
      <c r="B1201" s="57"/>
      <c r="C1201" s="43" t="str">
        <f t="array" ref="C1201">IF(B1201="","",_xlfn.XLOOKUP(B1201,'Form responses 1'!$B$2:$B$2604,'Form responses 1'!$A$2:$A$2604,""))</f>
        <v/>
      </c>
      <c r="D1201" s="44" t="str">
        <f t="shared" si="3"/>
        <v/>
      </c>
      <c r="E1201" s="44" t="str">
        <f t="array" ref="E1201">IF(B1201="","",_xlfn.XLOOKUP(B1201,'Form responses 1'!$B$2:$B$2604,'Form responses 1'!$C$2:$C$2604,""))</f>
        <v/>
      </c>
      <c r="F1201" s="44" t="str">
        <f t="array" ref="F1201">IF(B1201="","",_xlfn.XLOOKUP(B1201,'Form responses 1'!$B$2:$B$2604,'Form responses 1'!$D$2:$D$2604,""))</f>
        <v/>
      </c>
      <c r="G1201" s="44" t="str">
        <f t="array" ref="G1201">IF(B1201="","",_xlfn.XLOOKUP(B1201,'Form responses 1'!$B$2:$B$2604,'Form responses 1'!$E$2:$E$2604,""))</f>
        <v/>
      </c>
      <c r="H1201" s="44" t="str">
        <f t="array" ref="H1201">IF(B1201="","",_xlfn.XLOOKUP(B1201,'Form responses 1'!$B$2:$B$2604,'Form responses 1'!$F$2:$F$2604,""))</f>
        <v/>
      </c>
      <c r="I1201" s="44" t="str">
        <f t="array" ref="I1201">IF(B1201="","",_xlfn.XLOOKUP(B1201,'Form responses 1'!$B$2:$B$2604,'Form responses 1'!$I$2:$I$2604,""))</f>
        <v/>
      </c>
      <c r="J1201" s="44" t="str">
        <f t="array" ref="J1201">IF(B1201="","",_xlfn.XLOOKUP(B1201,'Form responses 1'!$B$2:$B$2604,'Form responses 1'!$G$2:$G$2604,""))</f>
        <v/>
      </c>
      <c r="K1201" s="56"/>
      <c r="L1201" s="58" t="str">
        <f t="shared" si="7"/>
        <v/>
      </c>
      <c r="M1201" s="49"/>
      <c r="N1201" s="49"/>
      <c r="O1201" s="49"/>
      <c r="P1201" s="49"/>
      <c r="Q1201" s="49"/>
      <c r="R1201" s="49"/>
      <c r="S1201" s="49"/>
      <c r="T1201" s="49"/>
      <c r="U1201" s="49"/>
      <c r="V1201" s="49"/>
      <c r="W1201" s="56"/>
      <c r="X1201" s="51" t="str">
        <f t="shared" si="5"/>
        <v/>
      </c>
      <c r="Y1201" s="50" t="s">
        <v>482</v>
      </c>
      <c r="Z1201" s="49">
        <f t="shared" si="6"/>
        <v>0</v>
      </c>
    </row>
    <row r="1202" ht="22.5" customHeight="1">
      <c r="B1202" s="57"/>
      <c r="C1202" s="43" t="str">
        <f t="array" ref="C1202">IF(B1202="","",_xlfn.XLOOKUP(B1202,'Form responses 1'!$B$2:$B$2604,'Form responses 1'!$A$2:$A$2604,""))</f>
        <v/>
      </c>
      <c r="D1202" s="44" t="str">
        <f t="shared" si="3"/>
        <v/>
      </c>
      <c r="E1202" s="44" t="str">
        <f t="array" ref="E1202">IF(B1202="","",_xlfn.XLOOKUP(B1202,'Form responses 1'!$B$2:$B$2604,'Form responses 1'!$C$2:$C$2604,""))</f>
        <v/>
      </c>
      <c r="F1202" s="44" t="str">
        <f t="array" ref="F1202">IF(B1202="","",_xlfn.XLOOKUP(B1202,'Form responses 1'!$B$2:$B$2604,'Form responses 1'!$D$2:$D$2604,""))</f>
        <v/>
      </c>
      <c r="G1202" s="44" t="str">
        <f t="array" ref="G1202">IF(B1202="","",_xlfn.XLOOKUP(B1202,'Form responses 1'!$B$2:$B$2604,'Form responses 1'!$E$2:$E$2604,""))</f>
        <v/>
      </c>
      <c r="H1202" s="44" t="str">
        <f t="array" ref="H1202">IF(B1202="","",_xlfn.XLOOKUP(B1202,'Form responses 1'!$B$2:$B$2604,'Form responses 1'!$F$2:$F$2604,""))</f>
        <v/>
      </c>
      <c r="I1202" s="44" t="str">
        <f t="array" ref="I1202">IF(B1202="","",_xlfn.XLOOKUP(B1202,'Form responses 1'!$B$2:$B$2604,'Form responses 1'!$I$2:$I$2604,""))</f>
        <v/>
      </c>
      <c r="J1202" s="44" t="str">
        <f t="array" ref="J1202">IF(B1202="","",_xlfn.XLOOKUP(B1202,'Form responses 1'!$B$2:$B$2604,'Form responses 1'!$G$2:$G$2604,""))</f>
        <v/>
      </c>
      <c r="K1202" s="56"/>
      <c r="L1202" s="58" t="str">
        <f t="shared" si="7"/>
        <v/>
      </c>
      <c r="M1202" s="49"/>
      <c r="N1202" s="49"/>
      <c r="O1202" s="49"/>
      <c r="P1202" s="49"/>
      <c r="Q1202" s="49"/>
      <c r="R1202" s="49"/>
      <c r="S1202" s="49"/>
      <c r="T1202" s="49"/>
      <c r="U1202" s="49"/>
      <c r="V1202" s="49"/>
      <c r="W1202" s="56"/>
      <c r="X1202" s="51" t="str">
        <f t="shared" si="5"/>
        <v/>
      </c>
      <c r="Y1202" s="50" t="s">
        <v>482</v>
      </c>
      <c r="Z1202" s="49">
        <f t="shared" si="6"/>
        <v>0</v>
      </c>
    </row>
    <row r="1203" ht="22.5" customHeight="1">
      <c r="B1203" s="57"/>
      <c r="C1203" s="43" t="str">
        <f t="array" ref="C1203">IF(B1203="","",_xlfn.XLOOKUP(B1203,'Form responses 1'!$B$2:$B$2604,'Form responses 1'!$A$2:$A$2604,""))</f>
        <v/>
      </c>
      <c r="D1203" s="44" t="str">
        <f t="shared" si="3"/>
        <v/>
      </c>
      <c r="E1203" s="44" t="str">
        <f t="array" ref="E1203">IF(B1203="","",_xlfn.XLOOKUP(B1203,'Form responses 1'!$B$2:$B$2604,'Form responses 1'!$C$2:$C$2604,""))</f>
        <v/>
      </c>
      <c r="F1203" s="44" t="str">
        <f t="array" ref="F1203">IF(B1203="","",_xlfn.XLOOKUP(B1203,'Form responses 1'!$B$2:$B$2604,'Form responses 1'!$D$2:$D$2604,""))</f>
        <v/>
      </c>
      <c r="G1203" s="44" t="str">
        <f t="array" ref="G1203">IF(B1203="","",_xlfn.XLOOKUP(B1203,'Form responses 1'!$B$2:$B$2604,'Form responses 1'!$E$2:$E$2604,""))</f>
        <v/>
      </c>
      <c r="H1203" s="44" t="str">
        <f t="array" ref="H1203">IF(B1203="","",_xlfn.XLOOKUP(B1203,'Form responses 1'!$B$2:$B$2604,'Form responses 1'!$F$2:$F$2604,""))</f>
        <v/>
      </c>
      <c r="I1203" s="44" t="str">
        <f t="array" ref="I1203">IF(B1203="","",_xlfn.XLOOKUP(B1203,'Form responses 1'!$B$2:$B$2604,'Form responses 1'!$I$2:$I$2604,""))</f>
        <v/>
      </c>
      <c r="J1203" s="44" t="str">
        <f t="array" ref="J1203">IF(B1203="","",_xlfn.XLOOKUP(B1203,'Form responses 1'!$B$2:$B$2604,'Form responses 1'!$G$2:$G$2604,""))</f>
        <v/>
      </c>
      <c r="K1203" s="56"/>
      <c r="L1203" s="58" t="str">
        <f t="shared" si="7"/>
        <v/>
      </c>
      <c r="M1203" s="49"/>
      <c r="N1203" s="49"/>
      <c r="O1203" s="49"/>
      <c r="P1203" s="49"/>
      <c r="Q1203" s="49"/>
      <c r="R1203" s="49"/>
      <c r="S1203" s="49"/>
      <c r="T1203" s="49"/>
      <c r="U1203" s="49"/>
      <c r="V1203" s="49"/>
      <c r="W1203" s="56"/>
      <c r="X1203" s="51" t="str">
        <f t="shared" si="5"/>
        <v/>
      </c>
      <c r="Y1203" s="50" t="s">
        <v>482</v>
      </c>
      <c r="Z1203" s="49">
        <f t="shared" si="6"/>
        <v>0</v>
      </c>
    </row>
    <row r="1204" ht="22.5" customHeight="1">
      <c r="B1204" s="57"/>
      <c r="C1204" s="43" t="str">
        <f t="array" ref="C1204">IF(B1204="","",_xlfn.XLOOKUP(B1204,'Form responses 1'!$B$2:$B$2604,'Form responses 1'!$A$2:$A$2604,""))</f>
        <v/>
      </c>
      <c r="D1204" s="44" t="str">
        <f t="shared" si="3"/>
        <v/>
      </c>
      <c r="E1204" s="44" t="str">
        <f t="array" ref="E1204">IF(B1204="","",_xlfn.XLOOKUP(B1204,'Form responses 1'!$B$2:$B$2604,'Form responses 1'!$C$2:$C$2604,""))</f>
        <v/>
      </c>
      <c r="F1204" s="44" t="str">
        <f t="array" ref="F1204">IF(B1204="","",_xlfn.XLOOKUP(B1204,'Form responses 1'!$B$2:$B$2604,'Form responses 1'!$D$2:$D$2604,""))</f>
        <v/>
      </c>
      <c r="G1204" s="44" t="str">
        <f t="array" ref="G1204">IF(B1204="","",_xlfn.XLOOKUP(B1204,'Form responses 1'!$B$2:$B$2604,'Form responses 1'!$E$2:$E$2604,""))</f>
        <v/>
      </c>
      <c r="H1204" s="44" t="str">
        <f t="array" ref="H1204">IF(B1204="","",_xlfn.XLOOKUP(B1204,'Form responses 1'!$B$2:$B$2604,'Form responses 1'!$F$2:$F$2604,""))</f>
        <v/>
      </c>
      <c r="I1204" s="44" t="str">
        <f t="array" ref="I1204">IF(B1204="","",_xlfn.XLOOKUP(B1204,'Form responses 1'!$B$2:$B$2604,'Form responses 1'!$I$2:$I$2604,""))</f>
        <v/>
      </c>
      <c r="J1204" s="44" t="str">
        <f t="array" ref="J1204">IF(B1204="","",_xlfn.XLOOKUP(B1204,'Form responses 1'!$B$2:$B$2604,'Form responses 1'!$G$2:$G$2604,""))</f>
        <v/>
      </c>
      <c r="K1204" s="56"/>
      <c r="L1204" s="58" t="str">
        <f t="shared" si="7"/>
        <v/>
      </c>
      <c r="M1204" s="49"/>
      <c r="N1204" s="49"/>
      <c r="O1204" s="49"/>
      <c r="P1204" s="49"/>
      <c r="Q1204" s="49"/>
      <c r="R1204" s="49"/>
      <c r="S1204" s="49"/>
      <c r="T1204" s="49"/>
      <c r="U1204" s="49"/>
      <c r="V1204" s="49"/>
      <c r="W1204" s="56"/>
      <c r="X1204" s="51" t="str">
        <f t="shared" si="5"/>
        <v/>
      </c>
      <c r="Y1204" s="50" t="s">
        <v>482</v>
      </c>
      <c r="Z1204" s="49">
        <f t="shared" si="6"/>
        <v>0</v>
      </c>
    </row>
    <row r="1205" ht="22.5" customHeight="1">
      <c r="B1205" s="57"/>
      <c r="C1205" s="43" t="str">
        <f t="array" ref="C1205">IF(B1205="","",_xlfn.XLOOKUP(B1205,'Form responses 1'!$B$2:$B$2604,'Form responses 1'!$A$2:$A$2604,""))</f>
        <v/>
      </c>
      <c r="D1205" s="44" t="str">
        <f t="shared" si="3"/>
        <v/>
      </c>
      <c r="E1205" s="44" t="str">
        <f t="array" ref="E1205">IF(B1205="","",_xlfn.XLOOKUP(B1205,'Form responses 1'!$B$2:$B$2604,'Form responses 1'!$C$2:$C$2604,""))</f>
        <v/>
      </c>
      <c r="F1205" s="44" t="str">
        <f t="array" ref="F1205">IF(B1205="","",_xlfn.XLOOKUP(B1205,'Form responses 1'!$B$2:$B$2604,'Form responses 1'!$D$2:$D$2604,""))</f>
        <v/>
      </c>
      <c r="G1205" s="44" t="str">
        <f t="array" ref="G1205">IF(B1205="","",_xlfn.XLOOKUP(B1205,'Form responses 1'!$B$2:$B$2604,'Form responses 1'!$E$2:$E$2604,""))</f>
        <v/>
      </c>
      <c r="H1205" s="44" t="str">
        <f t="array" ref="H1205">IF(B1205="","",_xlfn.XLOOKUP(B1205,'Form responses 1'!$B$2:$B$2604,'Form responses 1'!$F$2:$F$2604,""))</f>
        <v/>
      </c>
      <c r="I1205" s="44" t="str">
        <f t="array" ref="I1205">IF(B1205="","",_xlfn.XLOOKUP(B1205,'Form responses 1'!$B$2:$B$2604,'Form responses 1'!$I$2:$I$2604,""))</f>
        <v/>
      </c>
      <c r="J1205" s="44" t="str">
        <f t="array" ref="J1205">IF(B1205="","",_xlfn.XLOOKUP(B1205,'Form responses 1'!$B$2:$B$2604,'Form responses 1'!$G$2:$G$2604,""))</f>
        <v/>
      </c>
      <c r="K1205" s="56"/>
      <c r="L1205" s="58" t="str">
        <f t="shared" si="7"/>
        <v/>
      </c>
      <c r="M1205" s="49"/>
      <c r="N1205" s="49"/>
      <c r="O1205" s="49"/>
      <c r="P1205" s="49"/>
      <c r="Q1205" s="49"/>
      <c r="R1205" s="49"/>
      <c r="S1205" s="49"/>
      <c r="T1205" s="49"/>
      <c r="U1205" s="49"/>
      <c r="V1205" s="49"/>
      <c r="W1205" s="56"/>
      <c r="X1205" s="51" t="str">
        <f t="shared" si="5"/>
        <v/>
      </c>
      <c r="Y1205" s="50" t="s">
        <v>482</v>
      </c>
      <c r="Z1205" s="49">
        <f t="shared" si="6"/>
        <v>0</v>
      </c>
    </row>
    <row r="1206" ht="22.5" customHeight="1">
      <c r="B1206" s="57"/>
      <c r="C1206" s="43" t="str">
        <f t="array" ref="C1206">IF(B1206="","",_xlfn.XLOOKUP(B1206,'Form responses 1'!$B$2:$B$2604,'Form responses 1'!$A$2:$A$2604,""))</f>
        <v/>
      </c>
      <c r="D1206" s="44" t="str">
        <f t="shared" si="3"/>
        <v/>
      </c>
      <c r="E1206" s="44" t="str">
        <f t="array" ref="E1206">IF(B1206="","",_xlfn.XLOOKUP(B1206,'Form responses 1'!$B$2:$B$2604,'Form responses 1'!$C$2:$C$2604,""))</f>
        <v/>
      </c>
      <c r="F1206" s="44" t="str">
        <f t="array" ref="F1206">IF(B1206="","",_xlfn.XLOOKUP(B1206,'Form responses 1'!$B$2:$B$2604,'Form responses 1'!$D$2:$D$2604,""))</f>
        <v/>
      </c>
      <c r="G1206" s="44" t="str">
        <f t="array" ref="G1206">IF(B1206="","",_xlfn.XLOOKUP(B1206,'Form responses 1'!$B$2:$B$2604,'Form responses 1'!$E$2:$E$2604,""))</f>
        <v/>
      </c>
      <c r="H1206" s="44" t="str">
        <f t="array" ref="H1206">IF(B1206="","",_xlfn.XLOOKUP(B1206,'Form responses 1'!$B$2:$B$2604,'Form responses 1'!$F$2:$F$2604,""))</f>
        <v/>
      </c>
      <c r="I1206" s="44" t="str">
        <f t="array" ref="I1206">IF(B1206="","",_xlfn.XLOOKUP(B1206,'Form responses 1'!$B$2:$B$2604,'Form responses 1'!$I$2:$I$2604,""))</f>
        <v/>
      </c>
      <c r="J1206" s="44" t="str">
        <f t="array" ref="J1206">IF(B1206="","",_xlfn.XLOOKUP(B1206,'Form responses 1'!$B$2:$B$2604,'Form responses 1'!$G$2:$G$2604,""))</f>
        <v/>
      </c>
      <c r="K1206" s="56"/>
      <c r="L1206" s="58" t="str">
        <f t="shared" si="7"/>
        <v/>
      </c>
      <c r="M1206" s="49"/>
      <c r="N1206" s="49"/>
      <c r="O1206" s="49"/>
      <c r="P1206" s="49"/>
      <c r="Q1206" s="49"/>
      <c r="R1206" s="49"/>
      <c r="S1206" s="49"/>
      <c r="T1206" s="49"/>
      <c r="U1206" s="49"/>
      <c r="V1206" s="49"/>
      <c r="W1206" s="56"/>
      <c r="X1206" s="51" t="str">
        <f t="shared" si="5"/>
        <v/>
      </c>
      <c r="Y1206" s="50" t="s">
        <v>482</v>
      </c>
      <c r="Z1206" s="49">
        <f t="shared" si="6"/>
        <v>0</v>
      </c>
    </row>
    <row r="1207" ht="22.5" customHeight="1">
      <c r="B1207" s="57"/>
      <c r="C1207" s="43" t="str">
        <f t="array" ref="C1207">IF(B1207="","",_xlfn.XLOOKUP(B1207,'Form responses 1'!$B$2:$B$2604,'Form responses 1'!$A$2:$A$2604,""))</f>
        <v/>
      </c>
      <c r="D1207" s="44" t="str">
        <f t="shared" si="3"/>
        <v/>
      </c>
      <c r="E1207" s="44" t="str">
        <f t="array" ref="E1207">IF(B1207="","",_xlfn.XLOOKUP(B1207,'Form responses 1'!$B$2:$B$2604,'Form responses 1'!$C$2:$C$2604,""))</f>
        <v/>
      </c>
      <c r="F1207" s="44" t="str">
        <f t="array" ref="F1207">IF(B1207="","",_xlfn.XLOOKUP(B1207,'Form responses 1'!$B$2:$B$2604,'Form responses 1'!$D$2:$D$2604,""))</f>
        <v/>
      </c>
      <c r="G1207" s="44" t="str">
        <f t="array" ref="G1207">IF(B1207="","",_xlfn.XLOOKUP(B1207,'Form responses 1'!$B$2:$B$2604,'Form responses 1'!$E$2:$E$2604,""))</f>
        <v/>
      </c>
      <c r="H1207" s="44" t="str">
        <f t="array" ref="H1207">IF(B1207="","",_xlfn.XLOOKUP(B1207,'Form responses 1'!$B$2:$B$2604,'Form responses 1'!$F$2:$F$2604,""))</f>
        <v/>
      </c>
      <c r="I1207" s="44" t="str">
        <f t="array" ref="I1207">IF(B1207="","",_xlfn.XLOOKUP(B1207,'Form responses 1'!$B$2:$B$2604,'Form responses 1'!$I$2:$I$2604,""))</f>
        <v/>
      </c>
      <c r="J1207" s="44" t="str">
        <f t="array" ref="J1207">IF(B1207="","",_xlfn.XLOOKUP(B1207,'Form responses 1'!$B$2:$B$2604,'Form responses 1'!$G$2:$G$2604,""))</f>
        <v/>
      </c>
      <c r="K1207" s="56"/>
      <c r="L1207" s="58" t="str">
        <f t="shared" si="7"/>
        <v/>
      </c>
      <c r="M1207" s="49"/>
      <c r="N1207" s="49"/>
      <c r="O1207" s="49"/>
      <c r="P1207" s="49"/>
      <c r="Q1207" s="49"/>
      <c r="R1207" s="49"/>
      <c r="S1207" s="49"/>
      <c r="T1207" s="49"/>
      <c r="U1207" s="49"/>
      <c r="V1207" s="49"/>
      <c r="W1207" s="56"/>
      <c r="X1207" s="51" t="str">
        <f t="shared" si="5"/>
        <v/>
      </c>
      <c r="Y1207" s="50" t="s">
        <v>482</v>
      </c>
      <c r="Z1207" s="49">
        <f t="shared" si="6"/>
        <v>0</v>
      </c>
    </row>
    <row r="1208" ht="22.5" customHeight="1">
      <c r="B1208" s="57"/>
      <c r="C1208" s="43" t="str">
        <f t="array" ref="C1208">IF(B1208="","",_xlfn.XLOOKUP(B1208,'Form responses 1'!$B$2:$B$2604,'Form responses 1'!$A$2:$A$2604,""))</f>
        <v/>
      </c>
      <c r="D1208" s="44" t="str">
        <f t="shared" si="3"/>
        <v/>
      </c>
      <c r="E1208" s="44" t="str">
        <f t="array" ref="E1208">IF(B1208="","",_xlfn.XLOOKUP(B1208,'Form responses 1'!$B$2:$B$2604,'Form responses 1'!$C$2:$C$2604,""))</f>
        <v/>
      </c>
      <c r="F1208" s="44" t="str">
        <f t="array" ref="F1208">IF(B1208="","",_xlfn.XLOOKUP(B1208,'Form responses 1'!$B$2:$B$2604,'Form responses 1'!$D$2:$D$2604,""))</f>
        <v/>
      </c>
      <c r="G1208" s="44" t="str">
        <f t="array" ref="G1208">IF(B1208="","",_xlfn.XLOOKUP(B1208,'Form responses 1'!$B$2:$B$2604,'Form responses 1'!$E$2:$E$2604,""))</f>
        <v/>
      </c>
      <c r="H1208" s="44" t="str">
        <f t="array" ref="H1208">IF(B1208="","",_xlfn.XLOOKUP(B1208,'Form responses 1'!$B$2:$B$2604,'Form responses 1'!$F$2:$F$2604,""))</f>
        <v/>
      </c>
      <c r="I1208" s="44" t="str">
        <f t="array" ref="I1208">IF(B1208="","",_xlfn.XLOOKUP(B1208,'Form responses 1'!$B$2:$B$2604,'Form responses 1'!$I$2:$I$2604,""))</f>
        <v/>
      </c>
      <c r="J1208" s="44" t="str">
        <f t="array" ref="J1208">IF(B1208="","",_xlfn.XLOOKUP(B1208,'Form responses 1'!$B$2:$B$2604,'Form responses 1'!$G$2:$G$2604,""))</f>
        <v/>
      </c>
      <c r="K1208" s="56"/>
      <c r="L1208" s="58" t="str">
        <f t="shared" si="7"/>
        <v/>
      </c>
      <c r="M1208" s="49"/>
      <c r="N1208" s="49"/>
      <c r="O1208" s="49"/>
      <c r="P1208" s="49"/>
      <c r="Q1208" s="49"/>
      <c r="R1208" s="49"/>
      <c r="S1208" s="49"/>
      <c r="T1208" s="49"/>
      <c r="U1208" s="49"/>
      <c r="V1208" s="49"/>
      <c r="W1208" s="56"/>
      <c r="X1208" s="51" t="str">
        <f t="shared" si="5"/>
        <v/>
      </c>
      <c r="Y1208" s="50" t="s">
        <v>482</v>
      </c>
      <c r="Z1208" s="49">
        <f t="shared" si="6"/>
        <v>0</v>
      </c>
    </row>
    <row r="1209" ht="22.5" customHeight="1">
      <c r="B1209" s="57"/>
      <c r="C1209" s="43" t="str">
        <f t="array" ref="C1209">IF(B1209="","",_xlfn.XLOOKUP(B1209,'Form responses 1'!$B$2:$B$2604,'Form responses 1'!$A$2:$A$2604,""))</f>
        <v/>
      </c>
      <c r="D1209" s="44" t="str">
        <f t="shared" si="3"/>
        <v/>
      </c>
      <c r="E1209" s="44" t="str">
        <f t="array" ref="E1209">IF(B1209="","",_xlfn.XLOOKUP(B1209,'Form responses 1'!$B$2:$B$2604,'Form responses 1'!$C$2:$C$2604,""))</f>
        <v/>
      </c>
      <c r="F1209" s="44" t="str">
        <f t="array" ref="F1209">IF(B1209="","",_xlfn.XLOOKUP(B1209,'Form responses 1'!$B$2:$B$2604,'Form responses 1'!$D$2:$D$2604,""))</f>
        <v/>
      </c>
      <c r="G1209" s="44" t="str">
        <f t="array" ref="G1209">IF(B1209="","",_xlfn.XLOOKUP(B1209,'Form responses 1'!$B$2:$B$2604,'Form responses 1'!$E$2:$E$2604,""))</f>
        <v/>
      </c>
      <c r="H1209" s="44" t="str">
        <f t="array" ref="H1209">IF(B1209="","",_xlfn.XLOOKUP(B1209,'Form responses 1'!$B$2:$B$2604,'Form responses 1'!$F$2:$F$2604,""))</f>
        <v/>
      </c>
      <c r="I1209" s="44" t="str">
        <f t="array" ref="I1209">IF(B1209="","",_xlfn.XLOOKUP(B1209,'Form responses 1'!$B$2:$B$2604,'Form responses 1'!$I$2:$I$2604,""))</f>
        <v/>
      </c>
      <c r="J1209" s="44" t="str">
        <f t="array" ref="J1209">IF(B1209="","",_xlfn.XLOOKUP(B1209,'Form responses 1'!$B$2:$B$2604,'Form responses 1'!$G$2:$G$2604,""))</f>
        <v/>
      </c>
      <c r="K1209" s="56"/>
      <c r="L1209" s="58" t="str">
        <f t="shared" si="7"/>
        <v/>
      </c>
      <c r="M1209" s="49"/>
      <c r="N1209" s="49"/>
      <c r="O1209" s="49"/>
      <c r="P1209" s="49"/>
      <c r="Q1209" s="49"/>
      <c r="R1209" s="49"/>
      <c r="S1209" s="49"/>
      <c r="T1209" s="49"/>
      <c r="U1209" s="49"/>
      <c r="V1209" s="49"/>
      <c r="W1209" s="56"/>
      <c r="X1209" s="51" t="str">
        <f t="shared" si="5"/>
        <v/>
      </c>
      <c r="Y1209" s="50" t="s">
        <v>482</v>
      </c>
      <c r="Z1209" s="49">
        <f t="shared" si="6"/>
        <v>0</v>
      </c>
    </row>
    <row r="1210" ht="22.5" customHeight="1">
      <c r="B1210" s="57"/>
      <c r="C1210" s="43" t="str">
        <f t="array" ref="C1210">IF(B1210="","",_xlfn.XLOOKUP(B1210,'Form responses 1'!$B$2:$B$2604,'Form responses 1'!$A$2:$A$2604,""))</f>
        <v/>
      </c>
      <c r="D1210" s="44" t="str">
        <f t="shared" si="3"/>
        <v/>
      </c>
      <c r="E1210" s="44" t="str">
        <f t="array" ref="E1210">IF(B1210="","",_xlfn.XLOOKUP(B1210,'Form responses 1'!$B$2:$B$2604,'Form responses 1'!$C$2:$C$2604,""))</f>
        <v/>
      </c>
      <c r="F1210" s="44" t="str">
        <f t="array" ref="F1210">IF(B1210="","",_xlfn.XLOOKUP(B1210,'Form responses 1'!$B$2:$B$2604,'Form responses 1'!$D$2:$D$2604,""))</f>
        <v/>
      </c>
      <c r="G1210" s="44" t="str">
        <f t="array" ref="G1210">IF(B1210="","",_xlfn.XLOOKUP(B1210,'Form responses 1'!$B$2:$B$2604,'Form responses 1'!$E$2:$E$2604,""))</f>
        <v/>
      </c>
      <c r="H1210" s="44" t="str">
        <f t="array" ref="H1210">IF(B1210="","",_xlfn.XLOOKUP(B1210,'Form responses 1'!$B$2:$B$2604,'Form responses 1'!$F$2:$F$2604,""))</f>
        <v/>
      </c>
      <c r="I1210" s="44" t="str">
        <f t="array" ref="I1210">IF(B1210="","",_xlfn.XLOOKUP(B1210,'Form responses 1'!$B$2:$B$2604,'Form responses 1'!$I$2:$I$2604,""))</f>
        <v/>
      </c>
      <c r="J1210" s="44" t="str">
        <f t="array" ref="J1210">IF(B1210="","",_xlfn.XLOOKUP(B1210,'Form responses 1'!$B$2:$B$2604,'Form responses 1'!$G$2:$G$2604,""))</f>
        <v/>
      </c>
      <c r="K1210" s="56"/>
      <c r="L1210" s="58" t="str">
        <f t="shared" si="7"/>
        <v/>
      </c>
      <c r="M1210" s="49"/>
      <c r="N1210" s="49"/>
      <c r="O1210" s="49"/>
      <c r="P1210" s="49"/>
      <c r="Q1210" s="49"/>
      <c r="R1210" s="49"/>
      <c r="S1210" s="49"/>
      <c r="T1210" s="49"/>
      <c r="U1210" s="49"/>
      <c r="V1210" s="49"/>
      <c r="W1210" s="56"/>
      <c r="X1210" s="51" t="str">
        <f t="shared" si="5"/>
        <v/>
      </c>
      <c r="Y1210" s="50" t="s">
        <v>482</v>
      </c>
      <c r="Z1210" s="49">
        <f t="shared" si="6"/>
        <v>0</v>
      </c>
    </row>
    <row r="1211" ht="22.5" customHeight="1">
      <c r="B1211" s="57"/>
      <c r="C1211" s="43" t="str">
        <f t="array" ref="C1211">IF(B1211="","",_xlfn.XLOOKUP(B1211,'Form responses 1'!$B$2:$B$2604,'Form responses 1'!$A$2:$A$2604,""))</f>
        <v/>
      </c>
      <c r="D1211" s="44" t="str">
        <f t="shared" si="3"/>
        <v/>
      </c>
      <c r="E1211" s="44" t="str">
        <f t="array" ref="E1211">IF(B1211="","",_xlfn.XLOOKUP(B1211,'Form responses 1'!$B$2:$B$2604,'Form responses 1'!$C$2:$C$2604,""))</f>
        <v/>
      </c>
      <c r="F1211" s="44" t="str">
        <f t="array" ref="F1211">IF(B1211="","",_xlfn.XLOOKUP(B1211,'Form responses 1'!$B$2:$B$2604,'Form responses 1'!$D$2:$D$2604,""))</f>
        <v/>
      </c>
      <c r="G1211" s="44" t="str">
        <f t="array" ref="G1211">IF(B1211="","",_xlfn.XLOOKUP(B1211,'Form responses 1'!$B$2:$B$2604,'Form responses 1'!$E$2:$E$2604,""))</f>
        <v/>
      </c>
      <c r="H1211" s="44" t="str">
        <f t="array" ref="H1211">IF(B1211="","",_xlfn.XLOOKUP(B1211,'Form responses 1'!$B$2:$B$2604,'Form responses 1'!$F$2:$F$2604,""))</f>
        <v/>
      </c>
      <c r="I1211" s="44" t="str">
        <f t="array" ref="I1211">IF(B1211="","",_xlfn.XLOOKUP(B1211,'Form responses 1'!$B$2:$B$2604,'Form responses 1'!$I$2:$I$2604,""))</f>
        <v/>
      </c>
      <c r="J1211" s="44" t="str">
        <f t="array" ref="J1211">IF(B1211="","",_xlfn.XLOOKUP(B1211,'Form responses 1'!$B$2:$B$2604,'Form responses 1'!$G$2:$G$2604,""))</f>
        <v/>
      </c>
      <c r="K1211" s="56"/>
      <c r="L1211" s="58" t="str">
        <f t="shared" si="7"/>
        <v/>
      </c>
      <c r="M1211" s="49"/>
      <c r="N1211" s="49"/>
      <c r="O1211" s="49"/>
      <c r="P1211" s="49"/>
      <c r="Q1211" s="49"/>
      <c r="R1211" s="49"/>
      <c r="S1211" s="49"/>
      <c r="T1211" s="49"/>
      <c r="U1211" s="49"/>
      <c r="V1211" s="49"/>
      <c r="W1211" s="56"/>
      <c r="X1211" s="51" t="str">
        <f t="shared" si="5"/>
        <v/>
      </c>
      <c r="Y1211" s="50" t="s">
        <v>482</v>
      </c>
      <c r="Z1211" s="49">
        <f t="shared" si="6"/>
        <v>0</v>
      </c>
    </row>
    <row r="1212" ht="22.5" customHeight="1">
      <c r="B1212" s="57"/>
      <c r="C1212" s="43" t="str">
        <f t="array" ref="C1212">IF(B1212="","",_xlfn.XLOOKUP(B1212,'Form responses 1'!$B$2:$B$2604,'Form responses 1'!$A$2:$A$2604,""))</f>
        <v/>
      </c>
      <c r="D1212" s="44" t="str">
        <f t="shared" si="3"/>
        <v/>
      </c>
      <c r="E1212" s="44" t="str">
        <f t="array" ref="E1212">IF(B1212="","",_xlfn.XLOOKUP(B1212,'Form responses 1'!$B$2:$B$2604,'Form responses 1'!$C$2:$C$2604,""))</f>
        <v/>
      </c>
      <c r="F1212" s="44" t="str">
        <f t="array" ref="F1212">IF(B1212="","",_xlfn.XLOOKUP(B1212,'Form responses 1'!$B$2:$B$2604,'Form responses 1'!$D$2:$D$2604,""))</f>
        <v/>
      </c>
      <c r="G1212" s="44" t="str">
        <f t="array" ref="G1212">IF(B1212="","",_xlfn.XLOOKUP(B1212,'Form responses 1'!$B$2:$B$2604,'Form responses 1'!$E$2:$E$2604,""))</f>
        <v/>
      </c>
      <c r="H1212" s="44" t="str">
        <f t="array" ref="H1212">IF(B1212="","",_xlfn.XLOOKUP(B1212,'Form responses 1'!$B$2:$B$2604,'Form responses 1'!$F$2:$F$2604,""))</f>
        <v/>
      </c>
      <c r="I1212" s="44" t="str">
        <f t="array" ref="I1212">IF(B1212="","",_xlfn.XLOOKUP(B1212,'Form responses 1'!$B$2:$B$2604,'Form responses 1'!$I$2:$I$2604,""))</f>
        <v/>
      </c>
      <c r="J1212" s="44" t="str">
        <f t="array" ref="J1212">IF(B1212="","",_xlfn.XLOOKUP(B1212,'Form responses 1'!$B$2:$B$2604,'Form responses 1'!$G$2:$G$2604,""))</f>
        <v/>
      </c>
      <c r="K1212" s="56"/>
      <c r="L1212" s="58" t="str">
        <f t="shared" si="7"/>
        <v/>
      </c>
      <c r="M1212" s="49"/>
      <c r="N1212" s="49"/>
      <c r="O1212" s="49"/>
      <c r="P1212" s="49"/>
      <c r="Q1212" s="49"/>
      <c r="R1212" s="49"/>
      <c r="S1212" s="49"/>
      <c r="T1212" s="49"/>
      <c r="U1212" s="49"/>
      <c r="V1212" s="49"/>
      <c r="W1212" s="56"/>
      <c r="X1212" s="51" t="str">
        <f t="shared" si="5"/>
        <v/>
      </c>
      <c r="Y1212" s="50" t="s">
        <v>482</v>
      </c>
      <c r="Z1212" s="49">
        <f t="shared" si="6"/>
        <v>0</v>
      </c>
    </row>
    <row r="1213" ht="22.5" customHeight="1">
      <c r="B1213" s="57"/>
      <c r="C1213" s="43" t="str">
        <f t="array" ref="C1213">IF(B1213="","",_xlfn.XLOOKUP(B1213,'Form responses 1'!$B$2:$B$2604,'Form responses 1'!$A$2:$A$2604,""))</f>
        <v/>
      </c>
      <c r="D1213" s="44" t="str">
        <f t="shared" si="3"/>
        <v/>
      </c>
      <c r="E1213" s="44" t="str">
        <f t="array" ref="E1213">IF(B1213="","",_xlfn.XLOOKUP(B1213,'Form responses 1'!$B$2:$B$2604,'Form responses 1'!$C$2:$C$2604,""))</f>
        <v/>
      </c>
      <c r="F1213" s="44" t="str">
        <f t="array" ref="F1213">IF(B1213="","",_xlfn.XLOOKUP(B1213,'Form responses 1'!$B$2:$B$2604,'Form responses 1'!$D$2:$D$2604,""))</f>
        <v/>
      </c>
      <c r="G1213" s="44" t="str">
        <f t="array" ref="G1213">IF(B1213="","",_xlfn.XLOOKUP(B1213,'Form responses 1'!$B$2:$B$2604,'Form responses 1'!$E$2:$E$2604,""))</f>
        <v/>
      </c>
      <c r="H1213" s="44" t="str">
        <f t="array" ref="H1213">IF(B1213="","",_xlfn.XLOOKUP(B1213,'Form responses 1'!$B$2:$B$2604,'Form responses 1'!$F$2:$F$2604,""))</f>
        <v/>
      </c>
      <c r="I1213" s="44" t="str">
        <f t="array" ref="I1213">IF(B1213="","",_xlfn.XLOOKUP(B1213,'Form responses 1'!$B$2:$B$2604,'Form responses 1'!$I$2:$I$2604,""))</f>
        <v/>
      </c>
      <c r="J1213" s="44" t="str">
        <f t="array" ref="J1213">IF(B1213="","",_xlfn.XLOOKUP(B1213,'Form responses 1'!$B$2:$B$2604,'Form responses 1'!$G$2:$G$2604,""))</f>
        <v/>
      </c>
      <c r="K1213" s="56"/>
      <c r="L1213" s="58" t="str">
        <f t="shared" si="7"/>
        <v/>
      </c>
      <c r="M1213" s="49"/>
      <c r="N1213" s="49"/>
      <c r="O1213" s="49"/>
      <c r="P1213" s="49"/>
      <c r="Q1213" s="49"/>
      <c r="R1213" s="49"/>
      <c r="S1213" s="49"/>
      <c r="T1213" s="49"/>
      <c r="U1213" s="49"/>
      <c r="V1213" s="49"/>
      <c r="W1213" s="56"/>
      <c r="X1213" s="51" t="str">
        <f t="shared" si="5"/>
        <v/>
      </c>
      <c r="Y1213" s="50" t="s">
        <v>482</v>
      </c>
      <c r="Z1213" s="49">
        <f t="shared" si="6"/>
        <v>0</v>
      </c>
    </row>
    <row r="1214" ht="22.5" customHeight="1">
      <c r="B1214" s="57"/>
      <c r="C1214" s="43" t="str">
        <f t="array" ref="C1214">IF(B1214="","",_xlfn.XLOOKUP(B1214,'Form responses 1'!$B$2:$B$2604,'Form responses 1'!$A$2:$A$2604,""))</f>
        <v/>
      </c>
      <c r="D1214" s="44" t="str">
        <f t="shared" si="3"/>
        <v/>
      </c>
      <c r="E1214" s="44" t="str">
        <f t="array" ref="E1214">IF(B1214="","",_xlfn.XLOOKUP(B1214,'Form responses 1'!$B$2:$B$2604,'Form responses 1'!$C$2:$C$2604,""))</f>
        <v/>
      </c>
      <c r="F1214" s="44" t="str">
        <f t="array" ref="F1214">IF(B1214="","",_xlfn.XLOOKUP(B1214,'Form responses 1'!$B$2:$B$2604,'Form responses 1'!$D$2:$D$2604,""))</f>
        <v/>
      </c>
      <c r="G1214" s="44" t="str">
        <f t="array" ref="G1214">IF(B1214="","",_xlfn.XLOOKUP(B1214,'Form responses 1'!$B$2:$B$2604,'Form responses 1'!$E$2:$E$2604,""))</f>
        <v/>
      </c>
      <c r="H1214" s="44" t="str">
        <f t="array" ref="H1214">IF(B1214="","",_xlfn.XLOOKUP(B1214,'Form responses 1'!$B$2:$B$2604,'Form responses 1'!$F$2:$F$2604,""))</f>
        <v/>
      </c>
      <c r="I1214" s="44" t="str">
        <f t="array" ref="I1214">IF(B1214="","",_xlfn.XLOOKUP(B1214,'Form responses 1'!$B$2:$B$2604,'Form responses 1'!$I$2:$I$2604,""))</f>
        <v/>
      </c>
      <c r="J1214" s="44" t="str">
        <f t="array" ref="J1214">IF(B1214="","",_xlfn.XLOOKUP(B1214,'Form responses 1'!$B$2:$B$2604,'Form responses 1'!$G$2:$G$2604,""))</f>
        <v/>
      </c>
      <c r="K1214" s="56"/>
      <c r="L1214" s="58" t="str">
        <f t="shared" si="7"/>
        <v/>
      </c>
      <c r="M1214" s="49"/>
      <c r="N1214" s="49"/>
      <c r="O1214" s="49"/>
      <c r="P1214" s="49"/>
      <c r="Q1214" s="49"/>
      <c r="R1214" s="49"/>
      <c r="S1214" s="49"/>
      <c r="T1214" s="49"/>
      <c r="U1214" s="49"/>
      <c r="V1214" s="49"/>
      <c r="W1214" s="56"/>
      <c r="X1214" s="51" t="str">
        <f t="shared" si="5"/>
        <v/>
      </c>
      <c r="Y1214" s="50" t="s">
        <v>482</v>
      </c>
      <c r="Z1214" s="49">
        <f t="shared" si="6"/>
        <v>0</v>
      </c>
    </row>
    <row r="1215" ht="22.5" customHeight="1">
      <c r="B1215" s="57"/>
      <c r="C1215" s="43" t="str">
        <f t="array" ref="C1215">IF(B1215="","",_xlfn.XLOOKUP(B1215,'Form responses 1'!$B$2:$B$2604,'Form responses 1'!$A$2:$A$2604,""))</f>
        <v/>
      </c>
      <c r="D1215" s="44" t="str">
        <f t="shared" si="3"/>
        <v/>
      </c>
      <c r="E1215" s="44" t="str">
        <f t="array" ref="E1215">IF(B1215="","",_xlfn.XLOOKUP(B1215,'Form responses 1'!$B$2:$B$2604,'Form responses 1'!$C$2:$C$2604,""))</f>
        <v/>
      </c>
      <c r="F1215" s="44" t="str">
        <f t="array" ref="F1215">IF(B1215="","",_xlfn.XLOOKUP(B1215,'Form responses 1'!$B$2:$B$2604,'Form responses 1'!$D$2:$D$2604,""))</f>
        <v/>
      </c>
      <c r="G1215" s="44" t="str">
        <f t="array" ref="G1215">IF(B1215="","",_xlfn.XLOOKUP(B1215,'Form responses 1'!$B$2:$B$2604,'Form responses 1'!$E$2:$E$2604,""))</f>
        <v/>
      </c>
      <c r="H1215" s="44" t="str">
        <f t="array" ref="H1215">IF(B1215="","",_xlfn.XLOOKUP(B1215,'Form responses 1'!$B$2:$B$2604,'Form responses 1'!$F$2:$F$2604,""))</f>
        <v/>
      </c>
      <c r="I1215" s="44" t="str">
        <f t="array" ref="I1215">IF(B1215="","",_xlfn.XLOOKUP(B1215,'Form responses 1'!$B$2:$B$2604,'Form responses 1'!$I$2:$I$2604,""))</f>
        <v/>
      </c>
      <c r="J1215" s="44" t="str">
        <f t="array" ref="J1215">IF(B1215="","",_xlfn.XLOOKUP(B1215,'Form responses 1'!$B$2:$B$2604,'Form responses 1'!$G$2:$G$2604,""))</f>
        <v/>
      </c>
      <c r="K1215" s="56"/>
      <c r="L1215" s="58" t="str">
        <f t="shared" si="7"/>
        <v/>
      </c>
      <c r="M1215" s="49"/>
      <c r="N1215" s="49"/>
      <c r="O1215" s="49"/>
      <c r="P1215" s="49"/>
      <c r="Q1215" s="49"/>
      <c r="R1215" s="49"/>
      <c r="S1215" s="49"/>
      <c r="T1215" s="49"/>
      <c r="U1215" s="49"/>
      <c r="V1215" s="49"/>
      <c r="W1215" s="56"/>
      <c r="X1215" s="51" t="str">
        <f t="shared" si="5"/>
        <v/>
      </c>
      <c r="Y1215" s="50" t="s">
        <v>482</v>
      </c>
      <c r="Z1215" s="49">
        <f t="shared" si="6"/>
        <v>0</v>
      </c>
    </row>
    <row r="1216" ht="22.5" customHeight="1">
      <c r="B1216" s="57"/>
      <c r="C1216" s="43" t="str">
        <f t="array" ref="C1216">IF(B1216="","",_xlfn.XLOOKUP(B1216,'Form responses 1'!$B$2:$B$2604,'Form responses 1'!$A$2:$A$2604,""))</f>
        <v/>
      </c>
      <c r="D1216" s="44" t="str">
        <f t="shared" si="3"/>
        <v/>
      </c>
      <c r="E1216" s="44" t="str">
        <f t="array" ref="E1216">IF(B1216="","",_xlfn.XLOOKUP(B1216,'Form responses 1'!$B$2:$B$2604,'Form responses 1'!$C$2:$C$2604,""))</f>
        <v/>
      </c>
      <c r="F1216" s="44" t="str">
        <f t="array" ref="F1216">IF(B1216="","",_xlfn.XLOOKUP(B1216,'Form responses 1'!$B$2:$B$2604,'Form responses 1'!$D$2:$D$2604,""))</f>
        <v/>
      </c>
      <c r="G1216" s="44" t="str">
        <f t="array" ref="G1216">IF(B1216="","",_xlfn.XLOOKUP(B1216,'Form responses 1'!$B$2:$B$2604,'Form responses 1'!$E$2:$E$2604,""))</f>
        <v/>
      </c>
      <c r="H1216" s="44" t="str">
        <f t="array" ref="H1216">IF(B1216="","",_xlfn.XLOOKUP(B1216,'Form responses 1'!$B$2:$B$2604,'Form responses 1'!$F$2:$F$2604,""))</f>
        <v/>
      </c>
      <c r="I1216" s="44" t="str">
        <f t="array" ref="I1216">IF(B1216="","",_xlfn.XLOOKUP(B1216,'Form responses 1'!$B$2:$B$2604,'Form responses 1'!$I$2:$I$2604,""))</f>
        <v/>
      </c>
      <c r="J1216" s="44" t="str">
        <f t="array" ref="J1216">IF(B1216="","",_xlfn.XLOOKUP(B1216,'Form responses 1'!$B$2:$B$2604,'Form responses 1'!$G$2:$G$2604,""))</f>
        <v/>
      </c>
      <c r="K1216" s="56"/>
      <c r="L1216" s="58" t="str">
        <f t="shared" si="7"/>
        <v/>
      </c>
      <c r="M1216" s="49"/>
      <c r="N1216" s="49"/>
      <c r="O1216" s="49"/>
      <c r="P1216" s="49"/>
      <c r="Q1216" s="49"/>
      <c r="R1216" s="49"/>
      <c r="S1216" s="49"/>
      <c r="T1216" s="49"/>
      <c r="U1216" s="49"/>
      <c r="V1216" s="49"/>
      <c r="W1216" s="56"/>
      <c r="X1216" s="51" t="str">
        <f t="shared" si="5"/>
        <v/>
      </c>
      <c r="Y1216" s="50" t="s">
        <v>482</v>
      </c>
      <c r="Z1216" s="49">
        <f t="shared" si="6"/>
        <v>0</v>
      </c>
    </row>
    <row r="1217" ht="22.5" customHeight="1">
      <c r="B1217" s="57"/>
      <c r="C1217" s="43" t="str">
        <f t="array" ref="C1217">IF(B1217="","",_xlfn.XLOOKUP(B1217,'Form responses 1'!$B$2:$B$2604,'Form responses 1'!$A$2:$A$2604,""))</f>
        <v/>
      </c>
      <c r="D1217" s="44" t="str">
        <f t="shared" si="3"/>
        <v/>
      </c>
      <c r="E1217" s="44" t="str">
        <f t="array" ref="E1217">IF(B1217="","",_xlfn.XLOOKUP(B1217,'Form responses 1'!$B$2:$B$2604,'Form responses 1'!$C$2:$C$2604,""))</f>
        <v/>
      </c>
      <c r="F1217" s="44" t="str">
        <f t="array" ref="F1217">IF(B1217="","",_xlfn.XLOOKUP(B1217,'Form responses 1'!$B$2:$B$2604,'Form responses 1'!$D$2:$D$2604,""))</f>
        <v/>
      </c>
      <c r="G1217" s="44" t="str">
        <f t="array" ref="G1217">IF(B1217="","",_xlfn.XLOOKUP(B1217,'Form responses 1'!$B$2:$B$2604,'Form responses 1'!$E$2:$E$2604,""))</f>
        <v/>
      </c>
      <c r="H1217" s="44" t="str">
        <f t="array" ref="H1217">IF(B1217="","",_xlfn.XLOOKUP(B1217,'Form responses 1'!$B$2:$B$2604,'Form responses 1'!$F$2:$F$2604,""))</f>
        <v/>
      </c>
      <c r="I1217" s="44" t="str">
        <f t="array" ref="I1217">IF(B1217="","",_xlfn.XLOOKUP(B1217,'Form responses 1'!$B$2:$B$2604,'Form responses 1'!$I$2:$I$2604,""))</f>
        <v/>
      </c>
      <c r="J1217" s="44" t="str">
        <f t="array" ref="J1217">IF(B1217="","",_xlfn.XLOOKUP(B1217,'Form responses 1'!$B$2:$B$2604,'Form responses 1'!$G$2:$G$2604,""))</f>
        <v/>
      </c>
      <c r="K1217" s="56"/>
      <c r="L1217" s="58" t="str">
        <f t="shared" si="7"/>
        <v/>
      </c>
      <c r="M1217" s="49"/>
      <c r="N1217" s="49"/>
      <c r="O1217" s="49"/>
      <c r="P1217" s="49"/>
      <c r="Q1217" s="49"/>
      <c r="R1217" s="49"/>
      <c r="S1217" s="49"/>
      <c r="T1217" s="49"/>
      <c r="U1217" s="49"/>
      <c r="V1217" s="49"/>
      <c r="W1217" s="56"/>
      <c r="X1217" s="51" t="str">
        <f t="shared" si="5"/>
        <v/>
      </c>
      <c r="Y1217" s="50" t="s">
        <v>482</v>
      </c>
      <c r="Z1217" s="49">
        <f t="shared" si="6"/>
        <v>0</v>
      </c>
    </row>
    <row r="1218" ht="22.5" customHeight="1">
      <c r="B1218" s="57"/>
      <c r="C1218" s="43" t="str">
        <f t="array" ref="C1218">IF(B1218="","",_xlfn.XLOOKUP(B1218,'Form responses 1'!$B$2:$B$2604,'Form responses 1'!$A$2:$A$2604,""))</f>
        <v/>
      </c>
      <c r="D1218" s="44" t="str">
        <f t="shared" si="3"/>
        <v/>
      </c>
      <c r="E1218" s="44" t="str">
        <f t="array" ref="E1218">IF(B1218="","",_xlfn.XLOOKUP(B1218,'Form responses 1'!$B$2:$B$2604,'Form responses 1'!$C$2:$C$2604,""))</f>
        <v/>
      </c>
      <c r="F1218" s="44" t="str">
        <f t="array" ref="F1218">IF(B1218="","",_xlfn.XLOOKUP(B1218,'Form responses 1'!$B$2:$B$2604,'Form responses 1'!$D$2:$D$2604,""))</f>
        <v/>
      </c>
      <c r="G1218" s="44" t="str">
        <f t="array" ref="G1218">IF(B1218="","",_xlfn.XLOOKUP(B1218,'Form responses 1'!$B$2:$B$2604,'Form responses 1'!$E$2:$E$2604,""))</f>
        <v/>
      </c>
      <c r="H1218" s="44" t="str">
        <f t="array" ref="H1218">IF(B1218="","",_xlfn.XLOOKUP(B1218,'Form responses 1'!$B$2:$B$2604,'Form responses 1'!$F$2:$F$2604,""))</f>
        <v/>
      </c>
      <c r="I1218" s="44" t="str">
        <f t="array" ref="I1218">IF(B1218="","",_xlfn.XLOOKUP(B1218,'Form responses 1'!$B$2:$B$2604,'Form responses 1'!$I$2:$I$2604,""))</f>
        <v/>
      </c>
      <c r="J1218" s="44" t="str">
        <f t="array" ref="J1218">IF(B1218="","",_xlfn.XLOOKUP(B1218,'Form responses 1'!$B$2:$B$2604,'Form responses 1'!$G$2:$G$2604,""))</f>
        <v/>
      </c>
      <c r="K1218" s="56"/>
      <c r="L1218" s="58" t="str">
        <f t="shared" si="7"/>
        <v/>
      </c>
      <c r="M1218" s="49"/>
      <c r="N1218" s="49"/>
      <c r="O1218" s="49"/>
      <c r="P1218" s="49"/>
      <c r="Q1218" s="49"/>
      <c r="R1218" s="49"/>
      <c r="S1218" s="49"/>
      <c r="T1218" s="49"/>
      <c r="U1218" s="49"/>
      <c r="V1218" s="49"/>
      <c r="W1218" s="56"/>
      <c r="X1218" s="51" t="str">
        <f t="shared" si="5"/>
        <v/>
      </c>
      <c r="Y1218" s="50" t="s">
        <v>482</v>
      </c>
      <c r="Z1218" s="49">
        <f t="shared" si="6"/>
        <v>0</v>
      </c>
    </row>
    <row r="1219" ht="22.5" customHeight="1">
      <c r="B1219" s="57"/>
      <c r="C1219" s="43" t="str">
        <f t="array" ref="C1219">IF(B1219="","",_xlfn.XLOOKUP(B1219,'Form responses 1'!$B$2:$B$2604,'Form responses 1'!$A$2:$A$2604,""))</f>
        <v/>
      </c>
      <c r="D1219" s="44" t="str">
        <f t="shared" si="3"/>
        <v/>
      </c>
      <c r="E1219" s="44" t="str">
        <f t="array" ref="E1219">IF(B1219="","",_xlfn.XLOOKUP(B1219,'Form responses 1'!$B$2:$B$2604,'Form responses 1'!$C$2:$C$2604,""))</f>
        <v/>
      </c>
      <c r="F1219" s="44" t="str">
        <f t="array" ref="F1219">IF(B1219="","",_xlfn.XLOOKUP(B1219,'Form responses 1'!$B$2:$B$2604,'Form responses 1'!$D$2:$D$2604,""))</f>
        <v/>
      </c>
      <c r="G1219" s="44" t="str">
        <f t="array" ref="G1219">IF(B1219="","",_xlfn.XLOOKUP(B1219,'Form responses 1'!$B$2:$B$2604,'Form responses 1'!$E$2:$E$2604,""))</f>
        <v/>
      </c>
      <c r="H1219" s="44" t="str">
        <f t="array" ref="H1219">IF(B1219="","",_xlfn.XLOOKUP(B1219,'Form responses 1'!$B$2:$B$2604,'Form responses 1'!$F$2:$F$2604,""))</f>
        <v/>
      </c>
      <c r="I1219" s="44" t="str">
        <f t="array" ref="I1219">IF(B1219="","",_xlfn.XLOOKUP(B1219,'Form responses 1'!$B$2:$B$2604,'Form responses 1'!$I$2:$I$2604,""))</f>
        <v/>
      </c>
      <c r="J1219" s="44" t="str">
        <f t="array" ref="J1219">IF(B1219="","",_xlfn.XLOOKUP(B1219,'Form responses 1'!$B$2:$B$2604,'Form responses 1'!$G$2:$G$2604,""))</f>
        <v/>
      </c>
      <c r="K1219" s="56"/>
      <c r="L1219" s="58" t="str">
        <f t="shared" si="7"/>
        <v/>
      </c>
      <c r="M1219" s="49"/>
      <c r="N1219" s="49"/>
      <c r="O1219" s="49"/>
      <c r="P1219" s="49"/>
      <c r="Q1219" s="49"/>
      <c r="R1219" s="49"/>
      <c r="S1219" s="49"/>
      <c r="T1219" s="49"/>
      <c r="U1219" s="49"/>
      <c r="V1219" s="49"/>
      <c r="W1219" s="56"/>
      <c r="X1219" s="51" t="str">
        <f t="shared" si="5"/>
        <v/>
      </c>
      <c r="Y1219" s="50" t="s">
        <v>482</v>
      </c>
      <c r="Z1219" s="49">
        <f t="shared" si="6"/>
        <v>0</v>
      </c>
    </row>
    <row r="1220" ht="22.5" customHeight="1">
      <c r="B1220" s="57"/>
      <c r="C1220" s="43" t="str">
        <f t="array" ref="C1220">IF(B1220="","",_xlfn.XLOOKUP(B1220,'Form responses 1'!$B$2:$B$2604,'Form responses 1'!$A$2:$A$2604,""))</f>
        <v/>
      </c>
      <c r="D1220" s="44" t="str">
        <f t="shared" si="3"/>
        <v/>
      </c>
      <c r="E1220" s="44" t="str">
        <f t="array" ref="E1220">IF(B1220="","",_xlfn.XLOOKUP(B1220,'Form responses 1'!$B$2:$B$2604,'Form responses 1'!$C$2:$C$2604,""))</f>
        <v/>
      </c>
      <c r="F1220" s="44" t="str">
        <f t="array" ref="F1220">IF(B1220="","",_xlfn.XLOOKUP(B1220,'Form responses 1'!$B$2:$B$2604,'Form responses 1'!$D$2:$D$2604,""))</f>
        <v/>
      </c>
      <c r="G1220" s="44" t="str">
        <f t="array" ref="G1220">IF(B1220="","",_xlfn.XLOOKUP(B1220,'Form responses 1'!$B$2:$B$2604,'Form responses 1'!$E$2:$E$2604,""))</f>
        <v/>
      </c>
      <c r="H1220" s="44" t="str">
        <f t="array" ref="H1220">IF(B1220="","",_xlfn.XLOOKUP(B1220,'Form responses 1'!$B$2:$B$2604,'Form responses 1'!$F$2:$F$2604,""))</f>
        <v/>
      </c>
      <c r="I1220" s="44" t="str">
        <f t="array" ref="I1220">IF(B1220="","",_xlfn.XLOOKUP(B1220,'Form responses 1'!$B$2:$B$2604,'Form responses 1'!$I$2:$I$2604,""))</f>
        <v/>
      </c>
      <c r="J1220" s="44" t="str">
        <f t="array" ref="J1220">IF(B1220="","",_xlfn.XLOOKUP(B1220,'Form responses 1'!$B$2:$B$2604,'Form responses 1'!$G$2:$G$2604,""))</f>
        <v/>
      </c>
      <c r="K1220" s="56"/>
      <c r="L1220" s="58" t="str">
        <f t="shared" si="7"/>
        <v/>
      </c>
      <c r="M1220" s="49"/>
      <c r="N1220" s="49"/>
      <c r="O1220" s="49"/>
      <c r="P1220" s="49"/>
      <c r="Q1220" s="49"/>
      <c r="R1220" s="49"/>
      <c r="S1220" s="49"/>
      <c r="T1220" s="49"/>
      <c r="U1220" s="49"/>
      <c r="V1220" s="49"/>
      <c r="W1220" s="56"/>
      <c r="X1220" s="51" t="str">
        <f t="shared" si="5"/>
        <v/>
      </c>
      <c r="Y1220" s="50" t="s">
        <v>482</v>
      </c>
      <c r="Z1220" s="49">
        <f t="shared" si="6"/>
        <v>0</v>
      </c>
    </row>
    <row r="1221" ht="22.5" customHeight="1">
      <c r="B1221" s="57"/>
      <c r="C1221" s="43" t="str">
        <f t="array" ref="C1221">IF(B1221="","",_xlfn.XLOOKUP(B1221,'Form responses 1'!$B$2:$B$2604,'Form responses 1'!$A$2:$A$2604,""))</f>
        <v/>
      </c>
      <c r="D1221" s="44" t="str">
        <f t="shared" si="3"/>
        <v/>
      </c>
      <c r="E1221" s="44" t="str">
        <f t="array" ref="E1221">IF(B1221="","",_xlfn.XLOOKUP(B1221,'Form responses 1'!$B$2:$B$2604,'Form responses 1'!$C$2:$C$2604,""))</f>
        <v/>
      </c>
      <c r="F1221" s="44" t="str">
        <f t="array" ref="F1221">IF(B1221="","",_xlfn.XLOOKUP(B1221,'Form responses 1'!$B$2:$B$2604,'Form responses 1'!$D$2:$D$2604,""))</f>
        <v/>
      </c>
      <c r="G1221" s="44" t="str">
        <f t="array" ref="G1221">IF(B1221="","",_xlfn.XLOOKUP(B1221,'Form responses 1'!$B$2:$B$2604,'Form responses 1'!$E$2:$E$2604,""))</f>
        <v/>
      </c>
      <c r="H1221" s="44" t="str">
        <f t="array" ref="H1221">IF(B1221="","",_xlfn.XLOOKUP(B1221,'Form responses 1'!$B$2:$B$2604,'Form responses 1'!$F$2:$F$2604,""))</f>
        <v/>
      </c>
      <c r="I1221" s="44" t="str">
        <f t="array" ref="I1221">IF(B1221="","",_xlfn.XLOOKUP(B1221,'Form responses 1'!$B$2:$B$2604,'Form responses 1'!$I$2:$I$2604,""))</f>
        <v/>
      </c>
      <c r="J1221" s="44" t="str">
        <f t="array" ref="J1221">IF(B1221="","",_xlfn.XLOOKUP(B1221,'Form responses 1'!$B$2:$B$2604,'Form responses 1'!$G$2:$G$2604,""))</f>
        <v/>
      </c>
      <c r="K1221" s="56"/>
      <c r="L1221" s="58" t="str">
        <f t="shared" si="7"/>
        <v/>
      </c>
      <c r="M1221" s="49"/>
      <c r="N1221" s="49"/>
      <c r="O1221" s="49"/>
      <c r="P1221" s="49"/>
      <c r="Q1221" s="49"/>
      <c r="R1221" s="49"/>
      <c r="S1221" s="49"/>
      <c r="T1221" s="49"/>
      <c r="U1221" s="49"/>
      <c r="V1221" s="49"/>
      <c r="W1221" s="56"/>
      <c r="X1221" s="51" t="str">
        <f t="shared" si="5"/>
        <v/>
      </c>
      <c r="Y1221" s="50" t="s">
        <v>482</v>
      </c>
      <c r="Z1221" s="49">
        <f t="shared" si="6"/>
        <v>0</v>
      </c>
    </row>
    <row r="1222" ht="22.5" customHeight="1">
      <c r="B1222" s="57"/>
      <c r="C1222" s="43" t="str">
        <f t="array" ref="C1222">IF(B1222="","",_xlfn.XLOOKUP(B1222,'Form responses 1'!$B$2:$B$2604,'Form responses 1'!$A$2:$A$2604,""))</f>
        <v/>
      </c>
      <c r="D1222" s="44" t="str">
        <f t="shared" si="3"/>
        <v/>
      </c>
      <c r="E1222" s="44" t="str">
        <f t="array" ref="E1222">IF(B1222="","",_xlfn.XLOOKUP(B1222,'Form responses 1'!$B$2:$B$2604,'Form responses 1'!$C$2:$C$2604,""))</f>
        <v/>
      </c>
      <c r="F1222" s="44" t="str">
        <f t="array" ref="F1222">IF(B1222="","",_xlfn.XLOOKUP(B1222,'Form responses 1'!$B$2:$B$2604,'Form responses 1'!$D$2:$D$2604,""))</f>
        <v/>
      </c>
      <c r="G1222" s="44" t="str">
        <f t="array" ref="G1222">IF(B1222="","",_xlfn.XLOOKUP(B1222,'Form responses 1'!$B$2:$B$2604,'Form responses 1'!$E$2:$E$2604,""))</f>
        <v/>
      </c>
      <c r="H1222" s="44" t="str">
        <f t="array" ref="H1222">IF(B1222="","",_xlfn.XLOOKUP(B1222,'Form responses 1'!$B$2:$B$2604,'Form responses 1'!$F$2:$F$2604,""))</f>
        <v/>
      </c>
      <c r="I1222" s="44" t="str">
        <f t="array" ref="I1222">IF(B1222="","",_xlfn.XLOOKUP(B1222,'Form responses 1'!$B$2:$B$2604,'Form responses 1'!$I$2:$I$2604,""))</f>
        <v/>
      </c>
      <c r="J1222" s="44" t="str">
        <f t="array" ref="J1222">IF(B1222="","",_xlfn.XLOOKUP(B1222,'Form responses 1'!$B$2:$B$2604,'Form responses 1'!$G$2:$G$2604,""))</f>
        <v/>
      </c>
      <c r="K1222" s="56"/>
      <c r="L1222" s="58" t="str">
        <f t="shared" si="7"/>
        <v/>
      </c>
      <c r="M1222" s="49"/>
      <c r="N1222" s="49"/>
      <c r="O1222" s="49"/>
      <c r="P1222" s="49"/>
      <c r="Q1222" s="49"/>
      <c r="R1222" s="49"/>
      <c r="S1222" s="49"/>
      <c r="T1222" s="49"/>
      <c r="U1222" s="49"/>
      <c r="V1222" s="49"/>
      <c r="W1222" s="56"/>
      <c r="X1222" s="51" t="str">
        <f t="shared" si="5"/>
        <v/>
      </c>
      <c r="Y1222" s="50" t="s">
        <v>482</v>
      </c>
      <c r="Z1222" s="49">
        <f t="shared" si="6"/>
        <v>0</v>
      </c>
    </row>
    <row r="1223" ht="22.5" customHeight="1">
      <c r="B1223" s="57"/>
      <c r="C1223" s="43" t="str">
        <f t="array" ref="C1223">IF(B1223="","",_xlfn.XLOOKUP(B1223,'Form responses 1'!$B$2:$B$2604,'Form responses 1'!$A$2:$A$2604,""))</f>
        <v/>
      </c>
      <c r="D1223" s="44" t="str">
        <f t="shared" si="3"/>
        <v/>
      </c>
      <c r="E1223" s="44" t="str">
        <f t="array" ref="E1223">IF(B1223="","",_xlfn.XLOOKUP(B1223,'Form responses 1'!$B$2:$B$2604,'Form responses 1'!$C$2:$C$2604,""))</f>
        <v/>
      </c>
      <c r="F1223" s="44" t="str">
        <f t="array" ref="F1223">IF(B1223="","",_xlfn.XLOOKUP(B1223,'Form responses 1'!$B$2:$B$2604,'Form responses 1'!$D$2:$D$2604,""))</f>
        <v/>
      </c>
      <c r="G1223" s="44" t="str">
        <f t="array" ref="G1223">IF(B1223="","",_xlfn.XLOOKUP(B1223,'Form responses 1'!$B$2:$B$2604,'Form responses 1'!$E$2:$E$2604,""))</f>
        <v/>
      </c>
      <c r="H1223" s="44" t="str">
        <f t="array" ref="H1223">IF(B1223="","",_xlfn.XLOOKUP(B1223,'Form responses 1'!$B$2:$B$2604,'Form responses 1'!$F$2:$F$2604,""))</f>
        <v/>
      </c>
      <c r="I1223" s="44" t="str">
        <f t="array" ref="I1223">IF(B1223="","",_xlfn.XLOOKUP(B1223,'Form responses 1'!$B$2:$B$2604,'Form responses 1'!$I$2:$I$2604,""))</f>
        <v/>
      </c>
      <c r="J1223" s="44" t="str">
        <f t="array" ref="J1223">IF(B1223="","",_xlfn.XLOOKUP(B1223,'Form responses 1'!$B$2:$B$2604,'Form responses 1'!$G$2:$G$2604,""))</f>
        <v/>
      </c>
      <c r="K1223" s="56"/>
      <c r="L1223" s="58" t="str">
        <f t="shared" si="7"/>
        <v/>
      </c>
      <c r="M1223" s="49"/>
      <c r="N1223" s="49"/>
      <c r="O1223" s="49"/>
      <c r="P1223" s="49"/>
      <c r="Q1223" s="49"/>
      <c r="R1223" s="49"/>
      <c r="S1223" s="49"/>
      <c r="T1223" s="49"/>
      <c r="U1223" s="49"/>
      <c r="V1223" s="49"/>
      <c r="W1223" s="56"/>
      <c r="X1223" s="51" t="str">
        <f t="shared" si="5"/>
        <v/>
      </c>
      <c r="Y1223" s="50" t="s">
        <v>482</v>
      </c>
      <c r="Z1223" s="49">
        <f t="shared" si="6"/>
        <v>0</v>
      </c>
    </row>
    <row r="1224" ht="22.5" customHeight="1">
      <c r="B1224" s="57"/>
      <c r="C1224" s="43" t="str">
        <f t="array" ref="C1224">IF(B1224="","",_xlfn.XLOOKUP(B1224,'Form responses 1'!$B$2:$B$2604,'Form responses 1'!$A$2:$A$2604,""))</f>
        <v/>
      </c>
      <c r="D1224" s="44" t="str">
        <f t="shared" si="3"/>
        <v/>
      </c>
      <c r="E1224" s="44" t="str">
        <f t="array" ref="E1224">IF(B1224="","",_xlfn.XLOOKUP(B1224,'Form responses 1'!$B$2:$B$2604,'Form responses 1'!$C$2:$C$2604,""))</f>
        <v/>
      </c>
      <c r="F1224" s="44" t="str">
        <f t="array" ref="F1224">IF(B1224="","",_xlfn.XLOOKUP(B1224,'Form responses 1'!$B$2:$B$2604,'Form responses 1'!$D$2:$D$2604,""))</f>
        <v/>
      </c>
      <c r="G1224" s="44" t="str">
        <f t="array" ref="G1224">IF(B1224="","",_xlfn.XLOOKUP(B1224,'Form responses 1'!$B$2:$B$2604,'Form responses 1'!$E$2:$E$2604,""))</f>
        <v/>
      </c>
      <c r="H1224" s="44" t="str">
        <f t="array" ref="H1224">IF(B1224="","",_xlfn.XLOOKUP(B1224,'Form responses 1'!$B$2:$B$2604,'Form responses 1'!$F$2:$F$2604,""))</f>
        <v/>
      </c>
      <c r="I1224" s="44" t="str">
        <f t="array" ref="I1224">IF(B1224="","",_xlfn.XLOOKUP(B1224,'Form responses 1'!$B$2:$B$2604,'Form responses 1'!$I$2:$I$2604,""))</f>
        <v/>
      </c>
      <c r="J1224" s="44" t="str">
        <f t="array" ref="J1224">IF(B1224="","",_xlfn.XLOOKUP(B1224,'Form responses 1'!$B$2:$B$2604,'Form responses 1'!$G$2:$G$2604,""))</f>
        <v/>
      </c>
      <c r="K1224" s="56"/>
      <c r="L1224" s="58" t="str">
        <f t="shared" si="7"/>
        <v/>
      </c>
      <c r="M1224" s="49"/>
      <c r="N1224" s="49"/>
      <c r="O1224" s="49"/>
      <c r="P1224" s="49"/>
      <c r="Q1224" s="49"/>
      <c r="R1224" s="49"/>
      <c r="S1224" s="49"/>
      <c r="T1224" s="49"/>
      <c r="U1224" s="49"/>
      <c r="V1224" s="49"/>
      <c r="W1224" s="56"/>
      <c r="X1224" s="51" t="str">
        <f t="shared" si="5"/>
        <v/>
      </c>
      <c r="Y1224" s="50" t="s">
        <v>482</v>
      </c>
      <c r="Z1224" s="49">
        <f t="shared" si="6"/>
        <v>0</v>
      </c>
    </row>
    <row r="1225" ht="22.5" customHeight="1">
      <c r="B1225" s="57"/>
      <c r="C1225" s="43" t="str">
        <f t="array" ref="C1225">IF(B1225="","",_xlfn.XLOOKUP(B1225,'Form responses 1'!$B$2:$B$2604,'Form responses 1'!$A$2:$A$2604,""))</f>
        <v/>
      </c>
      <c r="D1225" s="44" t="str">
        <f t="shared" si="3"/>
        <v/>
      </c>
      <c r="E1225" s="44" t="str">
        <f t="array" ref="E1225">IF(B1225="","",_xlfn.XLOOKUP(B1225,'Form responses 1'!$B$2:$B$2604,'Form responses 1'!$C$2:$C$2604,""))</f>
        <v/>
      </c>
      <c r="F1225" s="44" t="str">
        <f t="array" ref="F1225">IF(B1225="","",_xlfn.XLOOKUP(B1225,'Form responses 1'!$B$2:$B$2604,'Form responses 1'!$D$2:$D$2604,""))</f>
        <v/>
      </c>
      <c r="G1225" s="44" t="str">
        <f t="array" ref="G1225">IF(B1225="","",_xlfn.XLOOKUP(B1225,'Form responses 1'!$B$2:$B$2604,'Form responses 1'!$E$2:$E$2604,""))</f>
        <v/>
      </c>
      <c r="H1225" s="44" t="str">
        <f t="array" ref="H1225">IF(B1225="","",_xlfn.XLOOKUP(B1225,'Form responses 1'!$B$2:$B$2604,'Form responses 1'!$F$2:$F$2604,""))</f>
        <v/>
      </c>
      <c r="I1225" s="44" t="str">
        <f t="array" ref="I1225">IF(B1225="","",_xlfn.XLOOKUP(B1225,'Form responses 1'!$B$2:$B$2604,'Form responses 1'!$I$2:$I$2604,""))</f>
        <v/>
      </c>
      <c r="J1225" s="44" t="str">
        <f t="array" ref="J1225">IF(B1225="","",_xlfn.XLOOKUP(B1225,'Form responses 1'!$B$2:$B$2604,'Form responses 1'!$G$2:$G$2604,""))</f>
        <v/>
      </c>
      <c r="K1225" s="56"/>
      <c r="L1225" s="58" t="str">
        <f t="shared" si="7"/>
        <v/>
      </c>
      <c r="M1225" s="49"/>
      <c r="N1225" s="49"/>
      <c r="O1225" s="49"/>
      <c r="P1225" s="49"/>
      <c r="Q1225" s="49"/>
      <c r="R1225" s="49"/>
      <c r="S1225" s="49"/>
      <c r="T1225" s="49"/>
      <c r="U1225" s="49"/>
      <c r="V1225" s="49"/>
      <c r="W1225" s="56"/>
      <c r="X1225" s="51" t="str">
        <f t="shared" si="5"/>
        <v/>
      </c>
      <c r="Y1225" s="50" t="s">
        <v>482</v>
      </c>
      <c r="Z1225" s="49">
        <f t="shared" si="6"/>
        <v>0</v>
      </c>
    </row>
    <row r="1226" ht="22.5" customHeight="1">
      <c r="B1226" s="57"/>
      <c r="C1226" s="43" t="str">
        <f t="array" ref="C1226">IF(B1226="","",_xlfn.XLOOKUP(B1226,'Form responses 1'!$B$2:$B$2604,'Form responses 1'!$A$2:$A$2604,""))</f>
        <v/>
      </c>
      <c r="D1226" s="44" t="str">
        <f t="shared" si="3"/>
        <v/>
      </c>
      <c r="E1226" s="44" t="str">
        <f t="array" ref="E1226">IF(B1226="","",_xlfn.XLOOKUP(B1226,'Form responses 1'!$B$2:$B$2604,'Form responses 1'!$C$2:$C$2604,""))</f>
        <v/>
      </c>
      <c r="F1226" s="44" t="str">
        <f t="array" ref="F1226">IF(B1226="","",_xlfn.XLOOKUP(B1226,'Form responses 1'!$B$2:$B$2604,'Form responses 1'!$D$2:$D$2604,""))</f>
        <v/>
      </c>
      <c r="G1226" s="44" t="str">
        <f t="array" ref="G1226">IF(B1226="","",_xlfn.XLOOKUP(B1226,'Form responses 1'!$B$2:$B$2604,'Form responses 1'!$E$2:$E$2604,""))</f>
        <v/>
      </c>
      <c r="H1226" s="44" t="str">
        <f t="array" ref="H1226">IF(B1226="","",_xlfn.XLOOKUP(B1226,'Form responses 1'!$B$2:$B$2604,'Form responses 1'!$F$2:$F$2604,""))</f>
        <v/>
      </c>
      <c r="I1226" s="44" t="str">
        <f t="array" ref="I1226">IF(B1226="","",_xlfn.XLOOKUP(B1226,'Form responses 1'!$B$2:$B$2604,'Form responses 1'!$I$2:$I$2604,""))</f>
        <v/>
      </c>
      <c r="J1226" s="44" t="str">
        <f t="array" ref="J1226">IF(B1226="","",_xlfn.XLOOKUP(B1226,'Form responses 1'!$B$2:$B$2604,'Form responses 1'!$G$2:$G$2604,""))</f>
        <v/>
      </c>
      <c r="K1226" s="56"/>
      <c r="L1226" s="58" t="str">
        <f t="shared" si="7"/>
        <v/>
      </c>
      <c r="M1226" s="49"/>
      <c r="N1226" s="49"/>
      <c r="O1226" s="49"/>
      <c r="P1226" s="49"/>
      <c r="Q1226" s="49"/>
      <c r="R1226" s="49"/>
      <c r="S1226" s="49"/>
      <c r="T1226" s="49"/>
      <c r="U1226" s="49"/>
      <c r="V1226" s="49"/>
      <c r="W1226" s="56"/>
      <c r="X1226" s="51" t="str">
        <f t="shared" si="5"/>
        <v/>
      </c>
      <c r="Y1226" s="50" t="s">
        <v>482</v>
      </c>
      <c r="Z1226" s="49">
        <f t="shared" si="6"/>
        <v>0</v>
      </c>
    </row>
    <row r="1227" ht="22.5" customHeight="1">
      <c r="B1227" s="57"/>
      <c r="C1227" s="43" t="str">
        <f t="array" ref="C1227">IF(B1227="","",_xlfn.XLOOKUP(B1227,'Form responses 1'!$B$2:$B$2604,'Form responses 1'!$A$2:$A$2604,""))</f>
        <v/>
      </c>
      <c r="D1227" s="44" t="str">
        <f t="shared" si="3"/>
        <v/>
      </c>
      <c r="E1227" s="44" t="str">
        <f t="array" ref="E1227">IF(B1227="","",_xlfn.XLOOKUP(B1227,'Form responses 1'!$B$2:$B$2604,'Form responses 1'!$C$2:$C$2604,""))</f>
        <v/>
      </c>
      <c r="F1227" s="44" t="str">
        <f t="array" ref="F1227">IF(B1227="","",_xlfn.XLOOKUP(B1227,'Form responses 1'!$B$2:$B$2604,'Form responses 1'!$D$2:$D$2604,""))</f>
        <v/>
      </c>
      <c r="G1227" s="44" t="str">
        <f t="array" ref="G1227">IF(B1227="","",_xlfn.XLOOKUP(B1227,'Form responses 1'!$B$2:$B$2604,'Form responses 1'!$E$2:$E$2604,""))</f>
        <v/>
      </c>
      <c r="H1227" s="44" t="str">
        <f t="array" ref="H1227">IF(B1227="","",_xlfn.XLOOKUP(B1227,'Form responses 1'!$B$2:$B$2604,'Form responses 1'!$F$2:$F$2604,""))</f>
        <v/>
      </c>
      <c r="I1227" s="44" t="str">
        <f t="array" ref="I1227">IF(B1227="","",_xlfn.XLOOKUP(B1227,'Form responses 1'!$B$2:$B$2604,'Form responses 1'!$I$2:$I$2604,""))</f>
        <v/>
      </c>
      <c r="J1227" s="44" t="str">
        <f t="array" ref="J1227">IF(B1227="","",_xlfn.XLOOKUP(B1227,'Form responses 1'!$B$2:$B$2604,'Form responses 1'!$G$2:$G$2604,""))</f>
        <v/>
      </c>
      <c r="K1227" s="56"/>
      <c r="L1227" s="58" t="str">
        <f t="shared" si="7"/>
        <v/>
      </c>
      <c r="M1227" s="49"/>
      <c r="N1227" s="49"/>
      <c r="O1227" s="49"/>
      <c r="P1227" s="49"/>
      <c r="Q1227" s="49"/>
      <c r="R1227" s="49"/>
      <c r="S1227" s="49"/>
      <c r="T1227" s="49"/>
      <c r="U1227" s="49"/>
      <c r="V1227" s="49"/>
      <c r="W1227" s="56"/>
      <c r="X1227" s="51" t="str">
        <f t="shared" si="5"/>
        <v/>
      </c>
      <c r="Y1227" s="50" t="s">
        <v>482</v>
      </c>
      <c r="Z1227" s="49">
        <f t="shared" si="6"/>
        <v>0</v>
      </c>
    </row>
    <row r="1228" ht="22.5" customHeight="1">
      <c r="B1228" s="57"/>
      <c r="C1228" s="43" t="str">
        <f t="array" ref="C1228">IF(B1228="","",_xlfn.XLOOKUP(B1228,'Form responses 1'!$B$2:$B$2604,'Form responses 1'!$A$2:$A$2604,""))</f>
        <v/>
      </c>
      <c r="D1228" s="44" t="str">
        <f t="shared" si="3"/>
        <v/>
      </c>
      <c r="E1228" s="44" t="str">
        <f t="array" ref="E1228">IF(B1228="","",_xlfn.XLOOKUP(B1228,'Form responses 1'!$B$2:$B$2604,'Form responses 1'!$C$2:$C$2604,""))</f>
        <v/>
      </c>
      <c r="F1228" s="44" t="str">
        <f t="array" ref="F1228">IF(B1228="","",_xlfn.XLOOKUP(B1228,'Form responses 1'!$B$2:$B$2604,'Form responses 1'!$D$2:$D$2604,""))</f>
        <v/>
      </c>
      <c r="G1228" s="44" t="str">
        <f t="array" ref="G1228">IF(B1228="","",_xlfn.XLOOKUP(B1228,'Form responses 1'!$B$2:$B$2604,'Form responses 1'!$E$2:$E$2604,""))</f>
        <v/>
      </c>
      <c r="H1228" s="44" t="str">
        <f t="array" ref="H1228">IF(B1228="","",_xlfn.XLOOKUP(B1228,'Form responses 1'!$B$2:$B$2604,'Form responses 1'!$F$2:$F$2604,""))</f>
        <v/>
      </c>
      <c r="I1228" s="44" t="str">
        <f t="array" ref="I1228">IF(B1228="","",_xlfn.XLOOKUP(B1228,'Form responses 1'!$B$2:$B$2604,'Form responses 1'!$I$2:$I$2604,""))</f>
        <v/>
      </c>
      <c r="J1228" s="44" t="str">
        <f t="array" ref="J1228">IF(B1228="","",_xlfn.XLOOKUP(B1228,'Form responses 1'!$B$2:$B$2604,'Form responses 1'!$G$2:$G$2604,""))</f>
        <v/>
      </c>
      <c r="K1228" s="56"/>
      <c r="L1228" s="58" t="str">
        <f t="shared" si="7"/>
        <v/>
      </c>
      <c r="M1228" s="49"/>
      <c r="N1228" s="49"/>
      <c r="O1228" s="49"/>
      <c r="P1228" s="49"/>
      <c r="Q1228" s="49"/>
      <c r="R1228" s="49"/>
      <c r="S1228" s="49"/>
      <c r="T1228" s="49"/>
      <c r="U1228" s="49"/>
      <c r="V1228" s="49"/>
      <c r="W1228" s="56"/>
      <c r="X1228" s="51" t="str">
        <f t="shared" si="5"/>
        <v/>
      </c>
      <c r="Y1228" s="50" t="s">
        <v>482</v>
      </c>
      <c r="Z1228" s="49">
        <f t="shared" si="6"/>
        <v>0</v>
      </c>
    </row>
    <row r="1229" ht="22.5" customHeight="1">
      <c r="B1229" s="57"/>
      <c r="C1229" s="43" t="str">
        <f t="array" ref="C1229">IF(B1229="","",_xlfn.XLOOKUP(B1229,'Form responses 1'!$B$2:$B$2604,'Form responses 1'!$A$2:$A$2604,""))</f>
        <v/>
      </c>
      <c r="D1229" s="44" t="str">
        <f t="shared" si="3"/>
        <v/>
      </c>
      <c r="E1229" s="44" t="str">
        <f t="array" ref="E1229">IF(B1229="","",_xlfn.XLOOKUP(B1229,'Form responses 1'!$B$2:$B$2604,'Form responses 1'!$C$2:$C$2604,""))</f>
        <v/>
      </c>
      <c r="F1229" s="44" t="str">
        <f t="array" ref="F1229">IF(B1229="","",_xlfn.XLOOKUP(B1229,'Form responses 1'!$B$2:$B$2604,'Form responses 1'!$D$2:$D$2604,""))</f>
        <v/>
      </c>
      <c r="G1229" s="44" t="str">
        <f t="array" ref="G1229">IF(B1229="","",_xlfn.XLOOKUP(B1229,'Form responses 1'!$B$2:$B$2604,'Form responses 1'!$E$2:$E$2604,""))</f>
        <v/>
      </c>
      <c r="H1229" s="44" t="str">
        <f t="array" ref="H1229">IF(B1229="","",_xlfn.XLOOKUP(B1229,'Form responses 1'!$B$2:$B$2604,'Form responses 1'!$F$2:$F$2604,""))</f>
        <v/>
      </c>
      <c r="I1229" s="44" t="str">
        <f t="array" ref="I1229">IF(B1229="","",_xlfn.XLOOKUP(B1229,'Form responses 1'!$B$2:$B$2604,'Form responses 1'!$I$2:$I$2604,""))</f>
        <v/>
      </c>
      <c r="J1229" s="44" t="str">
        <f t="array" ref="J1229">IF(B1229="","",_xlfn.XLOOKUP(B1229,'Form responses 1'!$B$2:$B$2604,'Form responses 1'!$G$2:$G$2604,""))</f>
        <v/>
      </c>
      <c r="K1229" s="56"/>
      <c r="L1229" s="58" t="str">
        <f t="shared" si="7"/>
        <v/>
      </c>
      <c r="M1229" s="49"/>
      <c r="N1229" s="49"/>
      <c r="O1229" s="49"/>
      <c r="P1229" s="49"/>
      <c r="Q1229" s="49"/>
      <c r="R1229" s="49"/>
      <c r="S1229" s="49"/>
      <c r="T1229" s="49"/>
      <c r="U1229" s="49"/>
      <c r="V1229" s="49"/>
      <c r="W1229" s="56"/>
      <c r="X1229" s="51" t="str">
        <f t="shared" si="5"/>
        <v/>
      </c>
      <c r="Y1229" s="50" t="s">
        <v>482</v>
      </c>
      <c r="Z1229" s="49">
        <f t="shared" si="6"/>
        <v>0</v>
      </c>
    </row>
    <row r="1230" ht="22.5" customHeight="1">
      <c r="B1230" s="57"/>
      <c r="C1230" s="43" t="str">
        <f t="array" ref="C1230">IF(B1230="","",_xlfn.XLOOKUP(B1230,'Form responses 1'!$B$2:$B$2604,'Form responses 1'!$A$2:$A$2604,""))</f>
        <v/>
      </c>
      <c r="D1230" s="44" t="str">
        <f t="shared" si="3"/>
        <v/>
      </c>
      <c r="E1230" s="44" t="str">
        <f t="array" ref="E1230">IF(B1230="","",_xlfn.XLOOKUP(B1230,'Form responses 1'!$B$2:$B$2604,'Form responses 1'!$C$2:$C$2604,""))</f>
        <v/>
      </c>
      <c r="F1230" s="44" t="str">
        <f t="array" ref="F1230">IF(B1230="","",_xlfn.XLOOKUP(B1230,'Form responses 1'!$B$2:$B$2604,'Form responses 1'!$D$2:$D$2604,""))</f>
        <v/>
      </c>
      <c r="G1230" s="44" t="str">
        <f t="array" ref="G1230">IF(B1230="","",_xlfn.XLOOKUP(B1230,'Form responses 1'!$B$2:$B$2604,'Form responses 1'!$E$2:$E$2604,""))</f>
        <v/>
      </c>
      <c r="H1230" s="44" t="str">
        <f t="array" ref="H1230">IF(B1230="","",_xlfn.XLOOKUP(B1230,'Form responses 1'!$B$2:$B$2604,'Form responses 1'!$F$2:$F$2604,""))</f>
        <v/>
      </c>
      <c r="I1230" s="44" t="str">
        <f t="array" ref="I1230">IF(B1230="","",_xlfn.XLOOKUP(B1230,'Form responses 1'!$B$2:$B$2604,'Form responses 1'!$I$2:$I$2604,""))</f>
        <v/>
      </c>
      <c r="J1230" s="44" t="str">
        <f t="array" ref="J1230">IF(B1230="","",_xlfn.XLOOKUP(B1230,'Form responses 1'!$B$2:$B$2604,'Form responses 1'!$G$2:$G$2604,""))</f>
        <v/>
      </c>
      <c r="K1230" s="56"/>
      <c r="L1230" s="58" t="str">
        <f t="shared" si="7"/>
        <v/>
      </c>
      <c r="M1230" s="49"/>
      <c r="N1230" s="49"/>
      <c r="O1230" s="49"/>
      <c r="P1230" s="49"/>
      <c r="Q1230" s="49"/>
      <c r="R1230" s="49"/>
      <c r="S1230" s="49"/>
      <c r="T1230" s="49"/>
      <c r="U1230" s="49"/>
      <c r="V1230" s="49"/>
      <c r="W1230" s="56"/>
      <c r="X1230" s="51" t="str">
        <f t="shared" si="5"/>
        <v/>
      </c>
      <c r="Y1230" s="50" t="s">
        <v>482</v>
      </c>
      <c r="Z1230" s="49">
        <f t="shared" si="6"/>
        <v>0</v>
      </c>
    </row>
    <row r="1231" ht="22.5" customHeight="1">
      <c r="B1231" s="57"/>
      <c r="C1231" s="43" t="str">
        <f t="array" ref="C1231">IF(B1231="","",_xlfn.XLOOKUP(B1231,'Form responses 1'!$B$2:$B$2604,'Form responses 1'!$A$2:$A$2604,""))</f>
        <v/>
      </c>
      <c r="D1231" s="44" t="str">
        <f t="shared" si="3"/>
        <v/>
      </c>
      <c r="E1231" s="44" t="str">
        <f t="array" ref="E1231">IF(B1231="","",_xlfn.XLOOKUP(B1231,'Form responses 1'!$B$2:$B$2604,'Form responses 1'!$C$2:$C$2604,""))</f>
        <v/>
      </c>
      <c r="F1231" s="44" t="str">
        <f t="array" ref="F1231">IF(B1231="","",_xlfn.XLOOKUP(B1231,'Form responses 1'!$B$2:$B$2604,'Form responses 1'!$D$2:$D$2604,""))</f>
        <v/>
      </c>
      <c r="G1231" s="44" t="str">
        <f t="array" ref="G1231">IF(B1231="","",_xlfn.XLOOKUP(B1231,'Form responses 1'!$B$2:$B$2604,'Form responses 1'!$E$2:$E$2604,""))</f>
        <v/>
      </c>
      <c r="H1231" s="44" t="str">
        <f t="array" ref="H1231">IF(B1231="","",_xlfn.XLOOKUP(B1231,'Form responses 1'!$B$2:$B$2604,'Form responses 1'!$F$2:$F$2604,""))</f>
        <v/>
      </c>
      <c r="I1231" s="44" t="str">
        <f t="array" ref="I1231">IF(B1231="","",_xlfn.XLOOKUP(B1231,'Form responses 1'!$B$2:$B$2604,'Form responses 1'!$I$2:$I$2604,""))</f>
        <v/>
      </c>
      <c r="J1231" s="44" t="str">
        <f t="array" ref="J1231">IF(B1231="","",_xlfn.XLOOKUP(B1231,'Form responses 1'!$B$2:$B$2604,'Form responses 1'!$G$2:$G$2604,""))</f>
        <v/>
      </c>
      <c r="K1231" s="56"/>
      <c r="L1231" s="58" t="str">
        <f t="shared" si="7"/>
        <v/>
      </c>
      <c r="M1231" s="49"/>
      <c r="N1231" s="49"/>
      <c r="O1231" s="49"/>
      <c r="P1231" s="49"/>
      <c r="Q1231" s="49"/>
      <c r="R1231" s="49"/>
      <c r="S1231" s="49"/>
      <c r="T1231" s="49"/>
      <c r="U1231" s="49"/>
      <c r="V1231" s="49"/>
      <c r="W1231" s="56"/>
      <c r="X1231" s="51" t="str">
        <f t="shared" si="5"/>
        <v/>
      </c>
      <c r="Y1231" s="50" t="s">
        <v>482</v>
      </c>
      <c r="Z1231" s="49">
        <f t="shared" si="6"/>
        <v>0</v>
      </c>
    </row>
    <row r="1232" ht="22.5" customHeight="1">
      <c r="B1232" s="57"/>
      <c r="C1232" s="43" t="str">
        <f t="array" ref="C1232">IF(B1232="","",_xlfn.XLOOKUP(B1232,'Form responses 1'!$B$2:$B$2604,'Form responses 1'!$A$2:$A$2604,""))</f>
        <v/>
      </c>
      <c r="D1232" s="44" t="str">
        <f t="shared" si="3"/>
        <v/>
      </c>
      <c r="E1232" s="44" t="str">
        <f t="array" ref="E1232">IF(B1232="","",_xlfn.XLOOKUP(B1232,'Form responses 1'!$B$2:$B$2604,'Form responses 1'!$C$2:$C$2604,""))</f>
        <v/>
      </c>
      <c r="F1232" s="44" t="str">
        <f t="array" ref="F1232">IF(B1232="","",_xlfn.XLOOKUP(B1232,'Form responses 1'!$B$2:$B$2604,'Form responses 1'!$D$2:$D$2604,""))</f>
        <v/>
      </c>
      <c r="G1232" s="44" t="str">
        <f t="array" ref="G1232">IF(B1232="","",_xlfn.XLOOKUP(B1232,'Form responses 1'!$B$2:$B$2604,'Form responses 1'!$E$2:$E$2604,""))</f>
        <v/>
      </c>
      <c r="H1232" s="44" t="str">
        <f t="array" ref="H1232">IF(B1232="","",_xlfn.XLOOKUP(B1232,'Form responses 1'!$B$2:$B$2604,'Form responses 1'!$F$2:$F$2604,""))</f>
        <v/>
      </c>
      <c r="I1232" s="44" t="str">
        <f t="array" ref="I1232">IF(B1232="","",_xlfn.XLOOKUP(B1232,'Form responses 1'!$B$2:$B$2604,'Form responses 1'!$I$2:$I$2604,""))</f>
        <v/>
      </c>
      <c r="J1232" s="44" t="str">
        <f t="array" ref="J1232">IF(B1232="","",_xlfn.XLOOKUP(B1232,'Form responses 1'!$B$2:$B$2604,'Form responses 1'!$G$2:$G$2604,""))</f>
        <v/>
      </c>
      <c r="K1232" s="56"/>
      <c r="L1232" s="58" t="str">
        <f t="shared" si="7"/>
        <v/>
      </c>
      <c r="M1232" s="49"/>
      <c r="N1232" s="49"/>
      <c r="O1232" s="49"/>
      <c r="P1232" s="49"/>
      <c r="Q1232" s="49"/>
      <c r="R1232" s="49"/>
      <c r="S1232" s="49"/>
      <c r="T1232" s="49"/>
      <c r="U1232" s="49"/>
      <c r="V1232" s="49"/>
      <c r="W1232" s="56"/>
      <c r="X1232" s="51" t="str">
        <f t="shared" si="5"/>
        <v/>
      </c>
      <c r="Y1232" s="50" t="s">
        <v>482</v>
      </c>
      <c r="Z1232" s="49">
        <f t="shared" si="6"/>
        <v>0</v>
      </c>
    </row>
    <row r="1233" ht="22.5" customHeight="1">
      <c r="B1233" s="57"/>
      <c r="C1233" s="43" t="str">
        <f t="array" ref="C1233">IF(B1233="","",_xlfn.XLOOKUP(B1233,'Form responses 1'!$B$2:$B$2604,'Form responses 1'!$A$2:$A$2604,""))</f>
        <v/>
      </c>
      <c r="D1233" s="44" t="str">
        <f t="shared" si="3"/>
        <v/>
      </c>
      <c r="E1233" s="44" t="str">
        <f t="array" ref="E1233">IF(B1233="","",_xlfn.XLOOKUP(B1233,'Form responses 1'!$B$2:$B$2604,'Form responses 1'!$C$2:$C$2604,""))</f>
        <v/>
      </c>
      <c r="F1233" s="44" t="str">
        <f t="array" ref="F1233">IF(B1233="","",_xlfn.XLOOKUP(B1233,'Form responses 1'!$B$2:$B$2604,'Form responses 1'!$D$2:$D$2604,""))</f>
        <v/>
      </c>
      <c r="G1233" s="44" t="str">
        <f t="array" ref="G1233">IF(B1233="","",_xlfn.XLOOKUP(B1233,'Form responses 1'!$B$2:$B$2604,'Form responses 1'!$E$2:$E$2604,""))</f>
        <v/>
      </c>
      <c r="H1233" s="44" t="str">
        <f t="array" ref="H1233">IF(B1233="","",_xlfn.XLOOKUP(B1233,'Form responses 1'!$B$2:$B$2604,'Form responses 1'!$F$2:$F$2604,""))</f>
        <v/>
      </c>
      <c r="I1233" s="44" t="str">
        <f t="array" ref="I1233">IF(B1233="","",_xlfn.XLOOKUP(B1233,'Form responses 1'!$B$2:$B$2604,'Form responses 1'!$I$2:$I$2604,""))</f>
        <v/>
      </c>
      <c r="J1233" s="44" t="str">
        <f t="array" ref="J1233">IF(B1233="","",_xlfn.XLOOKUP(B1233,'Form responses 1'!$B$2:$B$2604,'Form responses 1'!$G$2:$G$2604,""))</f>
        <v/>
      </c>
      <c r="K1233" s="56"/>
      <c r="L1233" s="58" t="str">
        <f t="shared" si="7"/>
        <v/>
      </c>
      <c r="M1233" s="49"/>
      <c r="N1233" s="49"/>
      <c r="O1233" s="49"/>
      <c r="P1233" s="49"/>
      <c r="Q1233" s="49"/>
      <c r="R1233" s="49"/>
      <c r="S1233" s="49"/>
      <c r="T1233" s="49"/>
      <c r="U1233" s="49"/>
      <c r="V1233" s="49"/>
      <c r="W1233" s="56"/>
      <c r="X1233" s="51" t="str">
        <f t="shared" si="5"/>
        <v/>
      </c>
      <c r="Y1233" s="50" t="s">
        <v>482</v>
      </c>
      <c r="Z1233" s="49">
        <f t="shared" si="6"/>
        <v>0</v>
      </c>
    </row>
    <row r="1234" ht="22.5" customHeight="1">
      <c r="B1234" s="57"/>
      <c r="C1234" s="43" t="str">
        <f t="array" ref="C1234">IF(B1234="","",_xlfn.XLOOKUP(B1234,'Form responses 1'!$B$2:$B$2604,'Form responses 1'!$A$2:$A$2604,""))</f>
        <v/>
      </c>
      <c r="D1234" s="44" t="str">
        <f t="shared" si="3"/>
        <v/>
      </c>
      <c r="E1234" s="44" t="str">
        <f t="array" ref="E1234">IF(B1234="","",_xlfn.XLOOKUP(B1234,'Form responses 1'!$B$2:$B$2604,'Form responses 1'!$C$2:$C$2604,""))</f>
        <v/>
      </c>
      <c r="F1234" s="44" t="str">
        <f t="array" ref="F1234">IF(B1234="","",_xlfn.XLOOKUP(B1234,'Form responses 1'!$B$2:$B$2604,'Form responses 1'!$D$2:$D$2604,""))</f>
        <v/>
      </c>
      <c r="G1234" s="44" t="str">
        <f t="array" ref="G1234">IF(B1234="","",_xlfn.XLOOKUP(B1234,'Form responses 1'!$B$2:$B$2604,'Form responses 1'!$E$2:$E$2604,""))</f>
        <v/>
      </c>
      <c r="H1234" s="44" t="str">
        <f t="array" ref="H1234">IF(B1234="","",_xlfn.XLOOKUP(B1234,'Form responses 1'!$B$2:$B$2604,'Form responses 1'!$F$2:$F$2604,""))</f>
        <v/>
      </c>
      <c r="I1234" s="44" t="str">
        <f t="array" ref="I1234">IF(B1234="","",_xlfn.XLOOKUP(B1234,'Form responses 1'!$B$2:$B$2604,'Form responses 1'!$I$2:$I$2604,""))</f>
        <v/>
      </c>
      <c r="J1234" s="44" t="str">
        <f t="array" ref="J1234">IF(B1234="","",_xlfn.XLOOKUP(B1234,'Form responses 1'!$B$2:$B$2604,'Form responses 1'!$G$2:$G$2604,""))</f>
        <v/>
      </c>
      <c r="K1234" s="56"/>
      <c r="L1234" s="58" t="str">
        <f t="shared" si="7"/>
        <v/>
      </c>
      <c r="M1234" s="49"/>
      <c r="N1234" s="49"/>
      <c r="O1234" s="49"/>
      <c r="P1234" s="49"/>
      <c r="Q1234" s="49"/>
      <c r="R1234" s="49"/>
      <c r="S1234" s="49"/>
      <c r="T1234" s="49"/>
      <c r="U1234" s="49"/>
      <c r="V1234" s="49"/>
      <c r="W1234" s="56"/>
      <c r="X1234" s="51" t="str">
        <f t="shared" si="5"/>
        <v/>
      </c>
      <c r="Y1234" s="50" t="s">
        <v>482</v>
      </c>
      <c r="Z1234" s="49">
        <f t="shared" si="6"/>
        <v>0</v>
      </c>
    </row>
    <row r="1235" ht="22.5" customHeight="1">
      <c r="B1235" s="57"/>
      <c r="C1235" s="43" t="str">
        <f t="array" ref="C1235">IF(B1235="","",_xlfn.XLOOKUP(B1235,'Form responses 1'!$B$2:$B$2604,'Form responses 1'!$A$2:$A$2604,""))</f>
        <v/>
      </c>
      <c r="D1235" s="44" t="str">
        <f t="shared" si="3"/>
        <v/>
      </c>
      <c r="E1235" s="44" t="str">
        <f t="array" ref="E1235">IF(B1235="","",_xlfn.XLOOKUP(B1235,'Form responses 1'!$B$2:$B$2604,'Form responses 1'!$C$2:$C$2604,""))</f>
        <v/>
      </c>
      <c r="F1235" s="44" t="str">
        <f t="array" ref="F1235">IF(B1235="","",_xlfn.XLOOKUP(B1235,'Form responses 1'!$B$2:$B$2604,'Form responses 1'!$D$2:$D$2604,""))</f>
        <v/>
      </c>
      <c r="G1235" s="44" t="str">
        <f t="array" ref="G1235">IF(B1235="","",_xlfn.XLOOKUP(B1235,'Form responses 1'!$B$2:$B$2604,'Form responses 1'!$E$2:$E$2604,""))</f>
        <v/>
      </c>
      <c r="H1235" s="44" t="str">
        <f t="array" ref="H1235">IF(B1235="","",_xlfn.XLOOKUP(B1235,'Form responses 1'!$B$2:$B$2604,'Form responses 1'!$F$2:$F$2604,""))</f>
        <v/>
      </c>
      <c r="I1235" s="44" t="str">
        <f t="array" ref="I1235">IF(B1235="","",_xlfn.XLOOKUP(B1235,'Form responses 1'!$B$2:$B$2604,'Form responses 1'!$I$2:$I$2604,""))</f>
        <v/>
      </c>
      <c r="J1235" s="44" t="str">
        <f t="array" ref="J1235">IF(B1235="","",_xlfn.XLOOKUP(B1235,'Form responses 1'!$B$2:$B$2604,'Form responses 1'!$G$2:$G$2604,""))</f>
        <v/>
      </c>
      <c r="K1235" s="56"/>
      <c r="L1235" s="58" t="str">
        <f t="shared" si="7"/>
        <v/>
      </c>
      <c r="M1235" s="49"/>
      <c r="N1235" s="49"/>
      <c r="O1235" s="49"/>
      <c r="P1235" s="49"/>
      <c r="Q1235" s="49"/>
      <c r="R1235" s="49"/>
      <c r="S1235" s="49"/>
      <c r="T1235" s="49"/>
      <c r="U1235" s="49"/>
      <c r="V1235" s="49"/>
      <c r="W1235" s="56"/>
      <c r="X1235" s="51" t="str">
        <f t="shared" si="5"/>
        <v/>
      </c>
      <c r="Y1235" s="50" t="s">
        <v>482</v>
      </c>
      <c r="Z1235" s="49">
        <f t="shared" si="6"/>
        <v>0</v>
      </c>
    </row>
    <row r="1236" ht="22.5" customHeight="1">
      <c r="B1236" s="57"/>
      <c r="C1236" s="43" t="str">
        <f t="array" ref="C1236">IF(B1236="","",_xlfn.XLOOKUP(B1236,'Form responses 1'!$B$2:$B$2604,'Form responses 1'!$A$2:$A$2604,""))</f>
        <v/>
      </c>
      <c r="D1236" s="44" t="str">
        <f t="shared" si="3"/>
        <v/>
      </c>
      <c r="E1236" s="44" t="str">
        <f t="array" ref="E1236">IF(B1236="","",_xlfn.XLOOKUP(B1236,'Form responses 1'!$B$2:$B$2604,'Form responses 1'!$C$2:$C$2604,""))</f>
        <v/>
      </c>
      <c r="F1236" s="44" t="str">
        <f t="array" ref="F1236">IF(B1236="","",_xlfn.XLOOKUP(B1236,'Form responses 1'!$B$2:$B$2604,'Form responses 1'!$D$2:$D$2604,""))</f>
        <v/>
      </c>
      <c r="G1236" s="44" t="str">
        <f t="array" ref="G1236">IF(B1236="","",_xlfn.XLOOKUP(B1236,'Form responses 1'!$B$2:$B$2604,'Form responses 1'!$E$2:$E$2604,""))</f>
        <v/>
      </c>
      <c r="H1236" s="44" t="str">
        <f t="array" ref="H1236">IF(B1236="","",_xlfn.XLOOKUP(B1236,'Form responses 1'!$B$2:$B$2604,'Form responses 1'!$F$2:$F$2604,""))</f>
        <v/>
      </c>
      <c r="I1236" s="44" t="str">
        <f t="array" ref="I1236">IF(B1236="","",_xlfn.XLOOKUP(B1236,'Form responses 1'!$B$2:$B$2604,'Form responses 1'!$I$2:$I$2604,""))</f>
        <v/>
      </c>
      <c r="J1236" s="44" t="str">
        <f t="array" ref="J1236">IF(B1236="","",_xlfn.XLOOKUP(B1236,'Form responses 1'!$B$2:$B$2604,'Form responses 1'!$G$2:$G$2604,""))</f>
        <v/>
      </c>
      <c r="K1236" s="56"/>
      <c r="L1236" s="58" t="str">
        <f t="shared" si="7"/>
        <v/>
      </c>
      <c r="M1236" s="49"/>
      <c r="N1236" s="49"/>
      <c r="O1236" s="49"/>
      <c r="P1236" s="49"/>
      <c r="Q1236" s="49"/>
      <c r="R1236" s="49"/>
      <c r="S1236" s="49"/>
      <c r="T1236" s="49"/>
      <c r="U1236" s="49"/>
      <c r="V1236" s="49"/>
      <c r="W1236" s="56"/>
      <c r="X1236" s="51" t="str">
        <f t="shared" si="5"/>
        <v/>
      </c>
      <c r="Y1236" s="50" t="s">
        <v>482</v>
      </c>
      <c r="Z1236" s="49">
        <f t="shared" si="6"/>
        <v>0</v>
      </c>
    </row>
    <row r="1237" ht="22.5" customHeight="1">
      <c r="B1237" s="57"/>
      <c r="C1237" s="43" t="str">
        <f t="array" ref="C1237">IF(B1237="","",_xlfn.XLOOKUP(B1237,'Form responses 1'!$B$2:$B$2604,'Form responses 1'!$A$2:$A$2604,""))</f>
        <v/>
      </c>
      <c r="D1237" s="44" t="str">
        <f t="shared" si="3"/>
        <v/>
      </c>
      <c r="E1237" s="44" t="str">
        <f t="array" ref="E1237">IF(B1237="","",_xlfn.XLOOKUP(B1237,'Form responses 1'!$B$2:$B$2604,'Form responses 1'!$C$2:$C$2604,""))</f>
        <v/>
      </c>
      <c r="F1237" s="44" t="str">
        <f t="array" ref="F1237">IF(B1237="","",_xlfn.XLOOKUP(B1237,'Form responses 1'!$B$2:$B$2604,'Form responses 1'!$D$2:$D$2604,""))</f>
        <v/>
      </c>
      <c r="G1237" s="44" t="str">
        <f t="array" ref="G1237">IF(B1237="","",_xlfn.XLOOKUP(B1237,'Form responses 1'!$B$2:$B$2604,'Form responses 1'!$E$2:$E$2604,""))</f>
        <v/>
      </c>
      <c r="H1237" s="44" t="str">
        <f t="array" ref="H1237">IF(B1237="","",_xlfn.XLOOKUP(B1237,'Form responses 1'!$B$2:$B$2604,'Form responses 1'!$F$2:$F$2604,""))</f>
        <v/>
      </c>
      <c r="I1237" s="44" t="str">
        <f t="array" ref="I1237">IF(B1237="","",_xlfn.XLOOKUP(B1237,'Form responses 1'!$B$2:$B$2604,'Form responses 1'!$I$2:$I$2604,""))</f>
        <v/>
      </c>
      <c r="J1237" s="44" t="str">
        <f t="array" ref="J1237">IF(B1237="","",_xlfn.XLOOKUP(B1237,'Form responses 1'!$B$2:$B$2604,'Form responses 1'!$G$2:$G$2604,""))</f>
        <v/>
      </c>
      <c r="K1237" s="56"/>
      <c r="L1237" s="58" t="str">
        <f t="shared" si="7"/>
        <v/>
      </c>
      <c r="M1237" s="49"/>
      <c r="N1237" s="49"/>
      <c r="O1237" s="49"/>
      <c r="P1237" s="49"/>
      <c r="Q1237" s="49"/>
      <c r="R1237" s="49"/>
      <c r="S1237" s="49"/>
      <c r="T1237" s="49"/>
      <c r="U1237" s="49"/>
      <c r="V1237" s="49"/>
      <c r="W1237" s="56"/>
      <c r="X1237" s="51" t="str">
        <f t="shared" si="5"/>
        <v/>
      </c>
      <c r="Y1237" s="50" t="s">
        <v>482</v>
      </c>
      <c r="Z1237" s="49">
        <f t="shared" si="6"/>
        <v>0</v>
      </c>
    </row>
    <row r="1238" ht="22.5" customHeight="1">
      <c r="B1238" s="57"/>
      <c r="C1238" s="43" t="str">
        <f t="array" ref="C1238">IF(B1238="","",_xlfn.XLOOKUP(B1238,'Form responses 1'!$B$2:$B$2604,'Form responses 1'!$A$2:$A$2604,""))</f>
        <v/>
      </c>
      <c r="D1238" s="44" t="str">
        <f t="shared" si="3"/>
        <v/>
      </c>
      <c r="E1238" s="44" t="str">
        <f t="array" ref="E1238">IF(B1238="","",_xlfn.XLOOKUP(B1238,'Form responses 1'!$B$2:$B$2604,'Form responses 1'!$C$2:$C$2604,""))</f>
        <v/>
      </c>
      <c r="F1238" s="44" t="str">
        <f t="array" ref="F1238">IF(B1238="","",_xlfn.XLOOKUP(B1238,'Form responses 1'!$B$2:$B$2604,'Form responses 1'!$D$2:$D$2604,""))</f>
        <v/>
      </c>
      <c r="G1238" s="44" t="str">
        <f t="array" ref="G1238">IF(B1238="","",_xlfn.XLOOKUP(B1238,'Form responses 1'!$B$2:$B$2604,'Form responses 1'!$E$2:$E$2604,""))</f>
        <v/>
      </c>
      <c r="H1238" s="44" t="str">
        <f t="array" ref="H1238">IF(B1238="","",_xlfn.XLOOKUP(B1238,'Form responses 1'!$B$2:$B$2604,'Form responses 1'!$F$2:$F$2604,""))</f>
        <v/>
      </c>
      <c r="I1238" s="44" t="str">
        <f t="array" ref="I1238">IF(B1238="","",_xlfn.XLOOKUP(B1238,'Form responses 1'!$B$2:$B$2604,'Form responses 1'!$I$2:$I$2604,""))</f>
        <v/>
      </c>
      <c r="J1238" s="44" t="str">
        <f t="array" ref="J1238">IF(B1238="","",_xlfn.XLOOKUP(B1238,'Form responses 1'!$B$2:$B$2604,'Form responses 1'!$G$2:$G$2604,""))</f>
        <v/>
      </c>
      <c r="K1238" s="56"/>
      <c r="L1238" s="58" t="str">
        <f t="shared" si="7"/>
        <v/>
      </c>
      <c r="M1238" s="49"/>
      <c r="N1238" s="49"/>
      <c r="O1238" s="49"/>
      <c r="P1238" s="49"/>
      <c r="Q1238" s="49"/>
      <c r="R1238" s="49"/>
      <c r="S1238" s="49"/>
      <c r="T1238" s="49"/>
      <c r="U1238" s="49"/>
      <c r="V1238" s="49"/>
      <c r="W1238" s="56"/>
      <c r="X1238" s="51" t="str">
        <f t="shared" si="5"/>
        <v/>
      </c>
      <c r="Y1238" s="50" t="s">
        <v>482</v>
      </c>
      <c r="Z1238" s="49">
        <f t="shared" si="6"/>
        <v>0</v>
      </c>
    </row>
    <row r="1239" ht="22.5" customHeight="1">
      <c r="B1239" s="57"/>
      <c r="C1239" s="43" t="str">
        <f t="array" ref="C1239">IF(B1239="","",_xlfn.XLOOKUP(B1239,'Form responses 1'!$B$2:$B$2604,'Form responses 1'!$A$2:$A$2604,""))</f>
        <v/>
      </c>
      <c r="D1239" s="44" t="str">
        <f t="shared" si="3"/>
        <v/>
      </c>
      <c r="E1239" s="44" t="str">
        <f t="array" ref="E1239">IF(B1239="","",_xlfn.XLOOKUP(B1239,'Form responses 1'!$B$2:$B$2604,'Form responses 1'!$C$2:$C$2604,""))</f>
        <v/>
      </c>
      <c r="F1239" s="44" t="str">
        <f t="array" ref="F1239">IF(B1239="","",_xlfn.XLOOKUP(B1239,'Form responses 1'!$B$2:$B$2604,'Form responses 1'!$D$2:$D$2604,""))</f>
        <v/>
      </c>
      <c r="G1239" s="44" t="str">
        <f t="array" ref="G1239">IF(B1239="","",_xlfn.XLOOKUP(B1239,'Form responses 1'!$B$2:$B$2604,'Form responses 1'!$E$2:$E$2604,""))</f>
        <v/>
      </c>
      <c r="H1239" s="44" t="str">
        <f t="array" ref="H1239">IF(B1239="","",_xlfn.XLOOKUP(B1239,'Form responses 1'!$B$2:$B$2604,'Form responses 1'!$F$2:$F$2604,""))</f>
        <v/>
      </c>
      <c r="I1239" s="44" t="str">
        <f t="array" ref="I1239">IF(B1239="","",_xlfn.XLOOKUP(B1239,'Form responses 1'!$B$2:$B$2604,'Form responses 1'!$I$2:$I$2604,""))</f>
        <v/>
      </c>
      <c r="J1239" s="44" t="str">
        <f t="array" ref="J1239">IF(B1239="","",_xlfn.XLOOKUP(B1239,'Form responses 1'!$B$2:$B$2604,'Form responses 1'!$G$2:$G$2604,""))</f>
        <v/>
      </c>
      <c r="K1239" s="56"/>
      <c r="L1239" s="58" t="str">
        <f t="shared" si="7"/>
        <v/>
      </c>
      <c r="M1239" s="49"/>
      <c r="N1239" s="49"/>
      <c r="O1239" s="49"/>
      <c r="P1239" s="49"/>
      <c r="Q1239" s="49"/>
      <c r="R1239" s="49"/>
      <c r="S1239" s="49"/>
      <c r="T1239" s="49"/>
      <c r="U1239" s="49"/>
      <c r="V1239" s="49"/>
      <c r="W1239" s="56"/>
      <c r="X1239" s="51" t="str">
        <f t="shared" si="5"/>
        <v/>
      </c>
      <c r="Y1239" s="50" t="s">
        <v>482</v>
      </c>
      <c r="Z1239" s="49">
        <f t="shared" si="6"/>
        <v>0</v>
      </c>
    </row>
    <row r="1240" ht="22.5" customHeight="1">
      <c r="B1240" s="57"/>
      <c r="C1240" s="43" t="str">
        <f t="array" ref="C1240">IF(B1240="","",_xlfn.XLOOKUP(B1240,'Form responses 1'!$B$2:$B$2604,'Form responses 1'!$A$2:$A$2604,""))</f>
        <v/>
      </c>
      <c r="D1240" s="44" t="str">
        <f t="shared" si="3"/>
        <v/>
      </c>
      <c r="E1240" s="44" t="str">
        <f t="array" ref="E1240">IF(B1240="","",_xlfn.XLOOKUP(B1240,'Form responses 1'!$B$2:$B$2604,'Form responses 1'!$C$2:$C$2604,""))</f>
        <v/>
      </c>
      <c r="F1240" s="44" t="str">
        <f t="array" ref="F1240">IF(B1240="","",_xlfn.XLOOKUP(B1240,'Form responses 1'!$B$2:$B$2604,'Form responses 1'!$D$2:$D$2604,""))</f>
        <v/>
      </c>
      <c r="G1240" s="44" t="str">
        <f t="array" ref="G1240">IF(B1240="","",_xlfn.XLOOKUP(B1240,'Form responses 1'!$B$2:$B$2604,'Form responses 1'!$E$2:$E$2604,""))</f>
        <v/>
      </c>
      <c r="H1240" s="44" t="str">
        <f t="array" ref="H1240">IF(B1240="","",_xlfn.XLOOKUP(B1240,'Form responses 1'!$B$2:$B$2604,'Form responses 1'!$F$2:$F$2604,""))</f>
        <v/>
      </c>
      <c r="I1240" s="44" t="str">
        <f t="array" ref="I1240">IF(B1240="","",_xlfn.XLOOKUP(B1240,'Form responses 1'!$B$2:$B$2604,'Form responses 1'!$I$2:$I$2604,""))</f>
        <v/>
      </c>
      <c r="J1240" s="44" t="str">
        <f t="array" ref="J1240">IF(B1240="","",_xlfn.XLOOKUP(B1240,'Form responses 1'!$B$2:$B$2604,'Form responses 1'!$G$2:$G$2604,""))</f>
        <v/>
      </c>
      <c r="K1240" s="56"/>
      <c r="L1240" s="58" t="str">
        <f t="shared" si="7"/>
        <v/>
      </c>
      <c r="M1240" s="49"/>
      <c r="N1240" s="49"/>
      <c r="O1240" s="49"/>
      <c r="P1240" s="49"/>
      <c r="Q1240" s="49"/>
      <c r="R1240" s="49"/>
      <c r="S1240" s="49"/>
      <c r="T1240" s="49"/>
      <c r="U1240" s="49"/>
      <c r="V1240" s="49"/>
      <c r="W1240" s="56"/>
      <c r="X1240" s="51" t="str">
        <f t="shared" si="5"/>
        <v/>
      </c>
      <c r="Y1240" s="50" t="s">
        <v>482</v>
      </c>
      <c r="Z1240" s="49">
        <f t="shared" si="6"/>
        <v>0</v>
      </c>
    </row>
    <row r="1241" ht="22.5" customHeight="1">
      <c r="B1241" s="57"/>
      <c r="C1241" s="43" t="str">
        <f t="array" ref="C1241">IF(B1241="","",_xlfn.XLOOKUP(B1241,'Form responses 1'!$B$2:$B$2604,'Form responses 1'!$A$2:$A$2604,""))</f>
        <v/>
      </c>
      <c r="D1241" s="44" t="str">
        <f t="shared" si="3"/>
        <v/>
      </c>
      <c r="E1241" s="44" t="str">
        <f t="array" ref="E1241">IF(B1241="","",_xlfn.XLOOKUP(B1241,'Form responses 1'!$B$2:$B$2604,'Form responses 1'!$C$2:$C$2604,""))</f>
        <v/>
      </c>
      <c r="F1241" s="44" t="str">
        <f t="array" ref="F1241">IF(B1241="","",_xlfn.XLOOKUP(B1241,'Form responses 1'!$B$2:$B$2604,'Form responses 1'!$D$2:$D$2604,""))</f>
        <v/>
      </c>
      <c r="G1241" s="44" t="str">
        <f t="array" ref="G1241">IF(B1241="","",_xlfn.XLOOKUP(B1241,'Form responses 1'!$B$2:$B$2604,'Form responses 1'!$E$2:$E$2604,""))</f>
        <v/>
      </c>
      <c r="H1241" s="44" t="str">
        <f t="array" ref="H1241">IF(B1241="","",_xlfn.XLOOKUP(B1241,'Form responses 1'!$B$2:$B$2604,'Form responses 1'!$F$2:$F$2604,""))</f>
        <v/>
      </c>
      <c r="I1241" s="44" t="str">
        <f t="array" ref="I1241">IF(B1241="","",_xlfn.XLOOKUP(B1241,'Form responses 1'!$B$2:$B$2604,'Form responses 1'!$I$2:$I$2604,""))</f>
        <v/>
      </c>
      <c r="J1241" s="44" t="str">
        <f t="array" ref="J1241">IF(B1241="","",_xlfn.XLOOKUP(B1241,'Form responses 1'!$B$2:$B$2604,'Form responses 1'!$G$2:$G$2604,""))</f>
        <v/>
      </c>
      <c r="K1241" s="56"/>
      <c r="L1241" s="58" t="str">
        <f t="shared" si="7"/>
        <v/>
      </c>
      <c r="M1241" s="49"/>
      <c r="N1241" s="49"/>
      <c r="O1241" s="49"/>
      <c r="P1241" s="49"/>
      <c r="Q1241" s="49"/>
      <c r="R1241" s="49"/>
      <c r="S1241" s="49"/>
      <c r="T1241" s="49"/>
      <c r="U1241" s="49"/>
      <c r="V1241" s="49"/>
      <c r="W1241" s="56"/>
      <c r="X1241" s="51" t="str">
        <f t="shared" si="5"/>
        <v/>
      </c>
      <c r="Y1241" s="50" t="s">
        <v>482</v>
      </c>
      <c r="Z1241" s="49">
        <f t="shared" si="6"/>
        <v>0</v>
      </c>
    </row>
    <row r="1242" ht="22.5" customHeight="1">
      <c r="B1242" s="57"/>
      <c r="C1242" s="43" t="str">
        <f t="array" ref="C1242">IF(B1242="","",_xlfn.XLOOKUP(B1242,'Form responses 1'!$B$2:$B$2604,'Form responses 1'!$A$2:$A$2604,""))</f>
        <v/>
      </c>
      <c r="D1242" s="44" t="str">
        <f t="shared" si="3"/>
        <v/>
      </c>
      <c r="E1242" s="44" t="str">
        <f t="array" ref="E1242">IF(B1242="","",_xlfn.XLOOKUP(B1242,'Form responses 1'!$B$2:$B$2604,'Form responses 1'!$C$2:$C$2604,""))</f>
        <v/>
      </c>
      <c r="F1242" s="44" t="str">
        <f t="array" ref="F1242">IF(B1242="","",_xlfn.XLOOKUP(B1242,'Form responses 1'!$B$2:$B$2604,'Form responses 1'!$D$2:$D$2604,""))</f>
        <v/>
      </c>
      <c r="G1242" s="44" t="str">
        <f t="array" ref="G1242">IF(B1242="","",_xlfn.XLOOKUP(B1242,'Form responses 1'!$B$2:$B$2604,'Form responses 1'!$E$2:$E$2604,""))</f>
        <v/>
      </c>
      <c r="H1242" s="44" t="str">
        <f t="array" ref="H1242">IF(B1242="","",_xlfn.XLOOKUP(B1242,'Form responses 1'!$B$2:$B$2604,'Form responses 1'!$F$2:$F$2604,""))</f>
        <v/>
      </c>
      <c r="I1242" s="44" t="str">
        <f t="array" ref="I1242">IF(B1242="","",_xlfn.XLOOKUP(B1242,'Form responses 1'!$B$2:$B$2604,'Form responses 1'!$I$2:$I$2604,""))</f>
        <v/>
      </c>
      <c r="J1242" s="44" t="str">
        <f t="array" ref="J1242">IF(B1242="","",_xlfn.XLOOKUP(B1242,'Form responses 1'!$B$2:$B$2604,'Form responses 1'!$G$2:$G$2604,""))</f>
        <v/>
      </c>
      <c r="K1242" s="56"/>
      <c r="L1242" s="58" t="str">
        <f t="shared" si="7"/>
        <v/>
      </c>
      <c r="M1242" s="49"/>
      <c r="N1242" s="49"/>
      <c r="O1242" s="49"/>
      <c r="P1242" s="49"/>
      <c r="Q1242" s="49"/>
      <c r="R1242" s="49"/>
      <c r="S1242" s="49"/>
      <c r="T1242" s="49"/>
      <c r="U1242" s="49"/>
      <c r="V1242" s="49"/>
      <c r="W1242" s="56"/>
      <c r="X1242" s="51" t="str">
        <f t="shared" si="5"/>
        <v/>
      </c>
      <c r="Y1242" s="50" t="s">
        <v>482</v>
      </c>
      <c r="Z1242" s="49">
        <f t="shared" si="6"/>
        <v>0</v>
      </c>
    </row>
    <row r="1243" ht="22.5" customHeight="1">
      <c r="B1243" s="57"/>
      <c r="C1243" s="43" t="str">
        <f t="array" ref="C1243">IF(B1243="","",_xlfn.XLOOKUP(B1243,'Form responses 1'!$B$2:$B$2604,'Form responses 1'!$A$2:$A$2604,""))</f>
        <v/>
      </c>
      <c r="D1243" s="44" t="str">
        <f t="shared" si="3"/>
        <v/>
      </c>
      <c r="E1243" s="44" t="str">
        <f t="array" ref="E1243">IF(B1243="","",_xlfn.XLOOKUP(B1243,'Form responses 1'!$B$2:$B$2604,'Form responses 1'!$C$2:$C$2604,""))</f>
        <v/>
      </c>
      <c r="F1243" s="44" t="str">
        <f t="array" ref="F1243">IF(B1243="","",_xlfn.XLOOKUP(B1243,'Form responses 1'!$B$2:$B$2604,'Form responses 1'!$D$2:$D$2604,""))</f>
        <v/>
      </c>
      <c r="G1243" s="44" t="str">
        <f t="array" ref="G1243">IF(B1243="","",_xlfn.XLOOKUP(B1243,'Form responses 1'!$B$2:$B$2604,'Form responses 1'!$E$2:$E$2604,""))</f>
        <v/>
      </c>
      <c r="H1243" s="44" t="str">
        <f t="array" ref="H1243">IF(B1243="","",_xlfn.XLOOKUP(B1243,'Form responses 1'!$B$2:$B$2604,'Form responses 1'!$F$2:$F$2604,""))</f>
        <v/>
      </c>
      <c r="I1243" s="44" t="str">
        <f t="array" ref="I1243">IF(B1243="","",_xlfn.XLOOKUP(B1243,'Form responses 1'!$B$2:$B$2604,'Form responses 1'!$I$2:$I$2604,""))</f>
        <v/>
      </c>
      <c r="J1243" s="44" t="str">
        <f t="array" ref="J1243">IF(B1243="","",_xlfn.XLOOKUP(B1243,'Form responses 1'!$B$2:$B$2604,'Form responses 1'!$G$2:$G$2604,""))</f>
        <v/>
      </c>
      <c r="K1243" s="56"/>
      <c r="L1243" s="58" t="str">
        <f t="shared" si="7"/>
        <v/>
      </c>
      <c r="M1243" s="49"/>
      <c r="N1243" s="49"/>
      <c r="O1243" s="49"/>
      <c r="P1243" s="49"/>
      <c r="Q1243" s="49"/>
      <c r="R1243" s="49"/>
      <c r="S1243" s="49"/>
      <c r="T1243" s="49"/>
      <c r="U1243" s="49"/>
      <c r="V1243" s="49"/>
      <c r="W1243" s="56"/>
      <c r="X1243" s="51" t="str">
        <f t="shared" si="5"/>
        <v/>
      </c>
      <c r="Y1243" s="50" t="s">
        <v>482</v>
      </c>
      <c r="Z1243" s="49">
        <f t="shared" si="6"/>
        <v>0</v>
      </c>
    </row>
    <row r="1244" ht="22.5" customHeight="1">
      <c r="B1244" s="57"/>
      <c r="C1244" s="43" t="str">
        <f t="array" ref="C1244">IF(B1244="","",_xlfn.XLOOKUP(B1244,'Form responses 1'!$B$2:$B$2604,'Form responses 1'!$A$2:$A$2604,""))</f>
        <v/>
      </c>
      <c r="D1244" s="44" t="str">
        <f t="shared" si="3"/>
        <v/>
      </c>
      <c r="E1244" s="44" t="str">
        <f t="array" ref="E1244">IF(B1244="","",_xlfn.XLOOKUP(B1244,'Form responses 1'!$B$2:$B$2604,'Form responses 1'!$C$2:$C$2604,""))</f>
        <v/>
      </c>
      <c r="F1244" s="44" t="str">
        <f t="array" ref="F1244">IF(B1244="","",_xlfn.XLOOKUP(B1244,'Form responses 1'!$B$2:$B$2604,'Form responses 1'!$D$2:$D$2604,""))</f>
        <v/>
      </c>
      <c r="G1244" s="44" t="str">
        <f t="array" ref="G1244">IF(B1244="","",_xlfn.XLOOKUP(B1244,'Form responses 1'!$B$2:$B$2604,'Form responses 1'!$E$2:$E$2604,""))</f>
        <v/>
      </c>
      <c r="H1244" s="44" t="str">
        <f t="array" ref="H1244">IF(B1244="","",_xlfn.XLOOKUP(B1244,'Form responses 1'!$B$2:$B$2604,'Form responses 1'!$F$2:$F$2604,""))</f>
        <v/>
      </c>
      <c r="I1244" s="44" t="str">
        <f t="array" ref="I1244">IF(B1244="","",_xlfn.XLOOKUP(B1244,'Form responses 1'!$B$2:$B$2604,'Form responses 1'!$I$2:$I$2604,""))</f>
        <v/>
      </c>
      <c r="J1244" s="44" t="str">
        <f t="array" ref="J1244">IF(B1244="","",_xlfn.XLOOKUP(B1244,'Form responses 1'!$B$2:$B$2604,'Form responses 1'!$G$2:$G$2604,""))</f>
        <v/>
      </c>
      <c r="K1244" s="56"/>
      <c r="L1244" s="58" t="str">
        <f t="shared" si="7"/>
        <v/>
      </c>
      <c r="M1244" s="49"/>
      <c r="N1244" s="49"/>
      <c r="O1244" s="49"/>
      <c r="P1244" s="49"/>
      <c r="Q1244" s="49"/>
      <c r="R1244" s="49"/>
      <c r="S1244" s="49"/>
      <c r="T1244" s="49"/>
      <c r="U1244" s="49"/>
      <c r="V1244" s="49"/>
      <c r="W1244" s="56"/>
      <c r="X1244" s="51" t="str">
        <f t="shared" si="5"/>
        <v/>
      </c>
      <c r="Y1244" s="50" t="s">
        <v>482</v>
      </c>
      <c r="Z1244" s="49">
        <f t="shared" si="6"/>
        <v>0</v>
      </c>
    </row>
    <row r="1245" ht="22.5" customHeight="1">
      <c r="B1245" s="57"/>
      <c r="C1245" s="43" t="str">
        <f t="array" ref="C1245">IF(B1245="","",_xlfn.XLOOKUP(B1245,'Form responses 1'!$B$2:$B$2604,'Form responses 1'!$A$2:$A$2604,""))</f>
        <v/>
      </c>
      <c r="D1245" s="44" t="str">
        <f t="shared" si="3"/>
        <v/>
      </c>
      <c r="E1245" s="44" t="str">
        <f t="array" ref="E1245">IF(B1245="","",_xlfn.XLOOKUP(B1245,'Form responses 1'!$B$2:$B$2604,'Form responses 1'!$C$2:$C$2604,""))</f>
        <v/>
      </c>
      <c r="F1245" s="44" t="str">
        <f t="array" ref="F1245">IF(B1245="","",_xlfn.XLOOKUP(B1245,'Form responses 1'!$B$2:$B$2604,'Form responses 1'!$D$2:$D$2604,""))</f>
        <v/>
      </c>
      <c r="G1245" s="44" t="str">
        <f t="array" ref="G1245">IF(B1245="","",_xlfn.XLOOKUP(B1245,'Form responses 1'!$B$2:$B$2604,'Form responses 1'!$E$2:$E$2604,""))</f>
        <v/>
      </c>
      <c r="H1245" s="44" t="str">
        <f t="array" ref="H1245">IF(B1245="","",_xlfn.XLOOKUP(B1245,'Form responses 1'!$B$2:$B$2604,'Form responses 1'!$F$2:$F$2604,""))</f>
        <v/>
      </c>
      <c r="I1245" s="44" t="str">
        <f t="array" ref="I1245">IF(B1245="","",_xlfn.XLOOKUP(B1245,'Form responses 1'!$B$2:$B$2604,'Form responses 1'!$I$2:$I$2604,""))</f>
        <v/>
      </c>
      <c r="J1245" s="44" t="str">
        <f t="array" ref="J1245">IF(B1245="","",_xlfn.XLOOKUP(B1245,'Form responses 1'!$B$2:$B$2604,'Form responses 1'!$G$2:$G$2604,""))</f>
        <v/>
      </c>
      <c r="K1245" s="56"/>
      <c r="L1245" s="58" t="str">
        <f t="shared" si="7"/>
        <v/>
      </c>
      <c r="M1245" s="49"/>
      <c r="N1245" s="49"/>
      <c r="O1245" s="49"/>
      <c r="P1245" s="49"/>
      <c r="Q1245" s="49"/>
      <c r="R1245" s="49"/>
      <c r="S1245" s="49"/>
      <c r="T1245" s="49"/>
      <c r="U1245" s="49"/>
      <c r="V1245" s="49"/>
      <c r="W1245" s="56"/>
      <c r="X1245" s="51" t="str">
        <f t="shared" si="5"/>
        <v/>
      </c>
      <c r="Y1245" s="50" t="s">
        <v>482</v>
      </c>
      <c r="Z1245" s="49">
        <f t="shared" si="6"/>
        <v>0</v>
      </c>
    </row>
    <row r="1246" ht="22.5" customHeight="1">
      <c r="B1246" s="57"/>
      <c r="C1246" s="43" t="str">
        <f t="array" ref="C1246">IF(B1246="","",_xlfn.XLOOKUP(B1246,'Form responses 1'!$B$2:$B$2604,'Form responses 1'!$A$2:$A$2604,""))</f>
        <v/>
      </c>
      <c r="D1246" s="44" t="str">
        <f t="shared" si="3"/>
        <v/>
      </c>
      <c r="E1246" s="44" t="str">
        <f t="array" ref="E1246">IF(B1246="","",_xlfn.XLOOKUP(B1246,'Form responses 1'!$B$2:$B$2604,'Form responses 1'!$C$2:$C$2604,""))</f>
        <v/>
      </c>
      <c r="F1246" s="44" t="str">
        <f t="array" ref="F1246">IF(B1246="","",_xlfn.XLOOKUP(B1246,'Form responses 1'!$B$2:$B$2604,'Form responses 1'!$D$2:$D$2604,""))</f>
        <v/>
      </c>
      <c r="G1246" s="44" t="str">
        <f t="array" ref="G1246">IF(B1246="","",_xlfn.XLOOKUP(B1246,'Form responses 1'!$B$2:$B$2604,'Form responses 1'!$E$2:$E$2604,""))</f>
        <v/>
      </c>
      <c r="H1246" s="44" t="str">
        <f t="array" ref="H1246">IF(B1246="","",_xlfn.XLOOKUP(B1246,'Form responses 1'!$B$2:$B$2604,'Form responses 1'!$F$2:$F$2604,""))</f>
        <v/>
      </c>
      <c r="I1246" s="44" t="str">
        <f t="array" ref="I1246">IF(B1246="","",_xlfn.XLOOKUP(B1246,'Form responses 1'!$B$2:$B$2604,'Form responses 1'!$I$2:$I$2604,""))</f>
        <v/>
      </c>
      <c r="J1246" s="44" t="str">
        <f t="array" ref="J1246">IF(B1246="","",_xlfn.XLOOKUP(B1246,'Form responses 1'!$B$2:$B$2604,'Form responses 1'!$G$2:$G$2604,""))</f>
        <v/>
      </c>
      <c r="K1246" s="56"/>
      <c r="L1246" s="58" t="str">
        <f t="shared" si="7"/>
        <v/>
      </c>
      <c r="M1246" s="49"/>
      <c r="N1246" s="49"/>
      <c r="O1246" s="49"/>
      <c r="P1246" s="49"/>
      <c r="Q1246" s="49"/>
      <c r="R1246" s="49"/>
      <c r="S1246" s="49"/>
      <c r="T1246" s="49"/>
      <c r="U1246" s="49"/>
      <c r="V1246" s="49"/>
      <c r="W1246" s="56"/>
      <c r="X1246" s="51" t="str">
        <f t="shared" si="5"/>
        <v/>
      </c>
      <c r="Y1246" s="50" t="s">
        <v>482</v>
      </c>
      <c r="Z1246" s="49">
        <f t="shared" si="6"/>
        <v>0</v>
      </c>
    </row>
    <row r="1247" ht="22.5" customHeight="1">
      <c r="B1247" s="57"/>
      <c r="C1247" s="43" t="str">
        <f t="array" ref="C1247">IF(B1247="","",_xlfn.XLOOKUP(B1247,'Form responses 1'!$B$2:$B$2604,'Form responses 1'!$A$2:$A$2604,""))</f>
        <v/>
      </c>
      <c r="D1247" s="44" t="str">
        <f t="shared" si="3"/>
        <v/>
      </c>
      <c r="E1247" s="44" t="str">
        <f t="array" ref="E1247">IF(B1247="","",_xlfn.XLOOKUP(B1247,'Form responses 1'!$B$2:$B$2604,'Form responses 1'!$C$2:$C$2604,""))</f>
        <v/>
      </c>
      <c r="F1247" s="44" t="str">
        <f t="array" ref="F1247">IF(B1247="","",_xlfn.XLOOKUP(B1247,'Form responses 1'!$B$2:$B$2604,'Form responses 1'!$D$2:$D$2604,""))</f>
        <v/>
      </c>
      <c r="G1247" s="44" t="str">
        <f t="array" ref="G1247">IF(B1247="","",_xlfn.XLOOKUP(B1247,'Form responses 1'!$B$2:$B$2604,'Form responses 1'!$E$2:$E$2604,""))</f>
        <v/>
      </c>
      <c r="H1247" s="44" t="str">
        <f t="array" ref="H1247">IF(B1247="","",_xlfn.XLOOKUP(B1247,'Form responses 1'!$B$2:$B$2604,'Form responses 1'!$F$2:$F$2604,""))</f>
        <v/>
      </c>
      <c r="I1247" s="44" t="str">
        <f t="array" ref="I1247">IF(B1247="","",_xlfn.XLOOKUP(B1247,'Form responses 1'!$B$2:$B$2604,'Form responses 1'!$I$2:$I$2604,""))</f>
        <v/>
      </c>
      <c r="J1247" s="44" t="str">
        <f t="array" ref="J1247">IF(B1247="","",_xlfn.XLOOKUP(B1247,'Form responses 1'!$B$2:$B$2604,'Form responses 1'!$G$2:$G$2604,""))</f>
        <v/>
      </c>
      <c r="K1247" s="56"/>
      <c r="L1247" s="58" t="str">
        <f t="shared" si="7"/>
        <v/>
      </c>
      <c r="M1247" s="49"/>
      <c r="N1247" s="49"/>
      <c r="O1247" s="49"/>
      <c r="P1247" s="49"/>
      <c r="Q1247" s="49"/>
      <c r="R1247" s="49"/>
      <c r="S1247" s="49"/>
      <c r="T1247" s="49"/>
      <c r="U1247" s="49"/>
      <c r="V1247" s="49"/>
      <c r="W1247" s="56"/>
      <c r="X1247" s="51" t="str">
        <f t="shared" si="5"/>
        <v/>
      </c>
      <c r="Y1247" s="50" t="s">
        <v>482</v>
      </c>
      <c r="Z1247" s="49">
        <f t="shared" si="6"/>
        <v>0</v>
      </c>
    </row>
    <row r="1248" ht="22.5" customHeight="1">
      <c r="B1248" s="57"/>
      <c r="C1248" s="43" t="str">
        <f t="array" ref="C1248">IF(B1248="","",_xlfn.XLOOKUP(B1248,'Form responses 1'!$B$2:$B$2604,'Form responses 1'!$A$2:$A$2604,""))</f>
        <v/>
      </c>
      <c r="D1248" s="44" t="str">
        <f t="shared" si="3"/>
        <v/>
      </c>
      <c r="E1248" s="44" t="str">
        <f t="array" ref="E1248">IF(B1248="","",_xlfn.XLOOKUP(B1248,'Form responses 1'!$B$2:$B$2604,'Form responses 1'!$C$2:$C$2604,""))</f>
        <v/>
      </c>
      <c r="F1248" s="44" t="str">
        <f t="array" ref="F1248">IF(B1248="","",_xlfn.XLOOKUP(B1248,'Form responses 1'!$B$2:$B$2604,'Form responses 1'!$D$2:$D$2604,""))</f>
        <v/>
      </c>
      <c r="G1248" s="44" t="str">
        <f t="array" ref="G1248">IF(B1248="","",_xlfn.XLOOKUP(B1248,'Form responses 1'!$B$2:$B$2604,'Form responses 1'!$E$2:$E$2604,""))</f>
        <v/>
      </c>
      <c r="H1248" s="44" t="str">
        <f t="array" ref="H1248">IF(B1248="","",_xlfn.XLOOKUP(B1248,'Form responses 1'!$B$2:$B$2604,'Form responses 1'!$F$2:$F$2604,""))</f>
        <v/>
      </c>
      <c r="I1248" s="44" t="str">
        <f t="array" ref="I1248">IF(B1248="","",_xlfn.XLOOKUP(B1248,'Form responses 1'!$B$2:$B$2604,'Form responses 1'!$I$2:$I$2604,""))</f>
        <v/>
      </c>
      <c r="J1248" s="44" t="str">
        <f t="array" ref="J1248">IF(B1248="","",_xlfn.XLOOKUP(B1248,'Form responses 1'!$B$2:$B$2604,'Form responses 1'!$G$2:$G$2604,""))</f>
        <v/>
      </c>
      <c r="K1248" s="56"/>
      <c r="L1248" s="58" t="str">
        <f t="shared" si="7"/>
        <v/>
      </c>
      <c r="M1248" s="49"/>
      <c r="N1248" s="49"/>
      <c r="O1248" s="49"/>
      <c r="P1248" s="49"/>
      <c r="Q1248" s="49"/>
      <c r="R1248" s="49"/>
      <c r="S1248" s="49"/>
      <c r="T1248" s="49"/>
      <c r="U1248" s="49"/>
      <c r="V1248" s="49"/>
      <c r="W1248" s="56"/>
      <c r="X1248" s="51" t="str">
        <f t="shared" si="5"/>
        <v/>
      </c>
      <c r="Y1248" s="50" t="s">
        <v>482</v>
      </c>
      <c r="Z1248" s="49">
        <f t="shared" si="6"/>
        <v>0</v>
      </c>
    </row>
    <row r="1249" ht="22.5" customHeight="1">
      <c r="B1249" s="57"/>
      <c r="C1249" s="43" t="str">
        <f t="array" ref="C1249">IF(B1249="","",_xlfn.XLOOKUP(B1249,'Form responses 1'!$B$2:$B$2604,'Form responses 1'!$A$2:$A$2604,""))</f>
        <v/>
      </c>
      <c r="D1249" s="44" t="str">
        <f t="shared" si="3"/>
        <v/>
      </c>
      <c r="E1249" s="44" t="str">
        <f t="array" ref="E1249">IF(B1249="","",_xlfn.XLOOKUP(B1249,'Form responses 1'!$B$2:$B$2604,'Form responses 1'!$C$2:$C$2604,""))</f>
        <v/>
      </c>
      <c r="F1249" s="44" t="str">
        <f t="array" ref="F1249">IF(B1249="","",_xlfn.XLOOKUP(B1249,'Form responses 1'!$B$2:$B$2604,'Form responses 1'!$D$2:$D$2604,""))</f>
        <v/>
      </c>
      <c r="G1249" s="44" t="str">
        <f t="array" ref="G1249">IF(B1249="","",_xlfn.XLOOKUP(B1249,'Form responses 1'!$B$2:$B$2604,'Form responses 1'!$E$2:$E$2604,""))</f>
        <v/>
      </c>
      <c r="H1249" s="44" t="str">
        <f t="array" ref="H1249">IF(B1249="","",_xlfn.XLOOKUP(B1249,'Form responses 1'!$B$2:$B$2604,'Form responses 1'!$F$2:$F$2604,""))</f>
        <v/>
      </c>
      <c r="I1249" s="44" t="str">
        <f t="array" ref="I1249">IF(B1249="","",_xlfn.XLOOKUP(B1249,'Form responses 1'!$B$2:$B$2604,'Form responses 1'!$I$2:$I$2604,""))</f>
        <v/>
      </c>
      <c r="J1249" s="44" t="str">
        <f t="array" ref="J1249">IF(B1249="","",_xlfn.XLOOKUP(B1249,'Form responses 1'!$B$2:$B$2604,'Form responses 1'!$G$2:$G$2604,""))</f>
        <v/>
      </c>
      <c r="K1249" s="56"/>
      <c r="L1249" s="58" t="str">
        <f t="shared" si="7"/>
        <v/>
      </c>
      <c r="M1249" s="49"/>
      <c r="N1249" s="49"/>
      <c r="O1249" s="49"/>
      <c r="P1249" s="49"/>
      <c r="Q1249" s="49"/>
      <c r="R1249" s="49"/>
      <c r="S1249" s="49"/>
      <c r="T1249" s="49"/>
      <c r="U1249" s="49"/>
      <c r="V1249" s="49"/>
      <c r="W1249" s="56"/>
      <c r="X1249" s="51" t="str">
        <f t="shared" si="5"/>
        <v/>
      </c>
      <c r="Y1249" s="50" t="s">
        <v>482</v>
      </c>
      <c r="Z1249" s="49">
        <f t="shared" si="6"/>
        <v>0</v>
      </c>
    </row>
    <row r="1250" ht="22.5" customHeight="1">
      <c r="B1250" s="57"/>
      <c r="C1250" s="43" t="str">
        <f t="array" ref="C1250">IF(B1250="","",_xlfn.XLOOKUP(B1250,'Form responses 1'!$B$2:$B$2604,'Form responses 1'!$A$2:$A$2604,""))</f>
        <v/>
      </c>
      <c r="D1250" s="44" t="str">
        <f t="shared" si="3"/>
        <v/>
      </c>
      <c r="E1250" s="44" t="str">
        <f t="array" ref="E1250">IF(B1250="","",_xlfn.XLOOKUP(B1250,'Form responses 1'!$B$2:$B$2604,'Form responses 1'!$C$2:$C$2604,""))</f>
        <v/>
      </c>
      <c r="F1250" s="44" t="str">
        <f t="array" ref="F1250">IF(B1250="","",_xlfn.XLOOKUP(B1250,'Form responses 1'!$B$2:$B$2604,'Form responses 1'!$D$2:$D$2604,""))</f>
        <v/>
      </c>
      <c r="G1250" s="44" t="str">
        <f t="array" ref="G1250">IF(B1250="","",_xlfn.XLOOKUP(B1250,'Form responses 1'!$B$2:$B$2604,'Form responses 1'!$E$2:$E$2604,""))</f>
        <v/>
      </c>
      <c r="H1250" s="44" t="str">
        <f t="array" ref="H1250">IF(B1250="","",_xlfn.XLOOKUP(B1250,'Form responses 1'!$B$2:$B$2604,'Form responses 1'!$F$2:$F$2604,""))</f>
        <v/>
      </c>
      <c r="I1250" s="44" t="str">
        <f t="array" ref="I1250">IF(B1250="","",_xlfn.XLOOKUP(B1250,'Form responses 1'!$B$2:$B$2604,'Form responses 1'!$I$2:$I$2604,""))</f>
        <v/>
      </c>
      <c r="J1250" s="44" t="str">
        <f t="array" ref="J1250">IF(B1250="","",_xlfn.XLOOKUP(B1250,'Form responses 1'!$B$2:$B$2604,'Form responses 1'!$G$2:$G$2604,""))</f>
        <v/>
      </c>
      <c r="K1250" s="56"/>
      <c r="L1250" s="58" t="str">
        <f t="shared" si="7"/>
        <v/>
      </c>
      <c r="M1250" s="49"/>
      <c r="N1250" s="49"/>
      <c r="O1250" s="49"/>
      <c r="P1250" s="49"/>
      <c r="Q1250" s="49"/>
      <c r="R1250" s="49"/>
      <c r="S1250" s="49"/>
      <c r="T1250" s="49"/>
      <c r="U1250" s="49"/>
      <c r="V1250" s="49"/>
      <c r="W1250" s="56"/>
      <c r="X1250" s="51" t="str">
        <f t="shared" si="5"/>
        <v/>
      </c>
      <c r="Y1250" s="50" t="s">
        <v>482</v>
      </c>
      <c r="Z1250" s="49">
        <f t="shared" si="6"/>
        <v>0</v>
      </c>
    </row>
    <row r="1251" ht="22.5" customHeight="1">
      <c r="B1251" s="57"/>
      <c r="C1251" s="43" t="str">
        <f t="array" ref="C1251">IF(B1251="","",_xlfn.XLOOKUP(B1251,'Form responses 1'!$B$2:$B$2604,'Form responses 1'!$A$2:$A$2604,""))</f>
        <v/>
      </c>
      <c r="D1251" s="44" t="str">
        <f t="shared" si="3"/>
        <v/>
      </c>
      <c r="E1251" s="44" t="str">
        <f t="array" ref="E1251">IF(B1251="","",_xlfn.XLOOKUP(B1251,'Form responses 1'!$B$2:$B$2604,'Form responses 1'!$C$2:$C$2604,""))</f>
        <v/>
      </c>
      <c r="F1251" s="44" t="str">
        <f t="array" ref="F1251">IF(B1251="","",_xlfn.XLOOKUP(B1251,'Form responses 1'!$B$2:$B$2604,'Form responses 1'!$D$2:$D$2604,""))</f>
        <v/>
      </c>
      <c r="G1251" s="44" t="str">
        <f t="array" ref="G1251">IF(B1251="","",_xlfn.XLOOKUP(B1251,'Form responses 1'!$B$2:$B$2604,'Form responses 1'!$E$2:$E$2604,""))</f>
        <v/>
      </c>
      <c r="H1251" s="44" t="str">
        <f t="array" ref="H1251">IF(B1251="","",_xlfn.XLOOKUP(B1251,'Form responses 1'!$B$2:$B$2604,'Form responses 1'!$F$2:$F$2604,""))</f>
        <v/>
      </c>
      <c r="I1251" s="44" t="str">
        <f t="array" ref="I1251">IF(B1251="","",_xlfn.XLOOKUP(B1251,'Form responses 1'!$B$2:$B$2604,'Form responses 1'!$I$2:$I$2604,""))</f>
        <v/>
      </c>
      <c r="J1251" s="44" t="str">
        <f t="array" ref="J1251">IF(B1251="","",_xlfn.XLOOKUP(B1251,'Form responses 1'!$B$2:$B$2604,'Form responses 1'!$G$2:$G$2604,""))</f>
        <v/>
      </c>
      <c r="K1251" s="56"/>
      <c r="L1251" s="58" t="str">
        <f t="shared" si="7"/>
        <v/>
      </c>
      <c r="M1251" s="49"/>
      <c r="N1251" s="49"/>
      <c r="O1251" s="49"/>
      <c r="P1251" s="49"/>
      <c r="Q1251" s="49"/>
      <c r="R1251" s="49"/>
      <c r="S1251" s="49"/>
      <c r="T1251" s="49"/>
      <c r="U1251" s="49"/>
      <c r="V1251" s="49"/>
      <c r="W1251" s="56"/>
      <c r="X1251" s="51" t="str">
        <f t="shared" si="5"/>
        <v/>
      </c>
      <c r="Y1251" s="50" t="s">
        <v>482</v>
      </c>
      <c r="Z1251" s="49">
        <f t="shared" si="6"/>
        <v>0</v>
      </c>
    </row>
    <row r="1252" ht="22.5" customHeight="1">
      <c r="B1252" s="57"/>
      <c r="C1252" s="43" t="str">
        <f t="array" ref="C1252">IF(B1252="","",_xlfn.XLOOKUP(B1252,'Form responses 1'!$B$2:$B$2604,'Form responses 1'!$A$2:$A$2604,""))</f>
        <v/>
      </c>
      <c r="D1252" s="44" t="str">
        <f t="shared" si="3"/>
        <v/>
      </c>
      <c r="E1252" s="44" t="str">
        <f t="array" ref="E1252">IF(B1252="","",_xlfn.XLOOKUP(B1252,'Form responses 1'!$B$2:$B$2604,'Form responses 1'!$C$2:$C$2604,""))</f>
        <v/>
      </c>
      <c r="F1252" s="44" t="str">
        <f t="array" ref="F1252">IF(B1252="","",_xlfn.XLOOKUP(B1252,'Form responses 1'!$B$2:$B$2604,'Form responses 1'!$D$2:$D$2604,""))</f>
        <v/>
      </c>
      <c r="G1252" s="44" t="str">
        <f t="array" ref="G1252">IF(B1252="","",_xlfn.XLOOKUP(B1252,'Form responses 1'!$B$2:$B$2604,'Form responses 1'!$E$2:$E$2604,""))</f>
        <v/>
      </c>
      <c r="H1252" s="44" t="str">
        <f t="array" ref="H1252">IF(B1252="","",_xlfn.XLOOKUP(B1252,'Form responses 1'!$B$2:$B$2604,'Form responses 1'!$F$2:$F$2604,""))</f>
        <v/>
      </c>
      <c r="I1252" s="44" t="str">
        <f t="array" ref="I1252">IF(B1252="","",_xlfn.XLOOKUP(B1252,'Form responses 1'!$B$2:$B$2604,'Form responses 1'!$I$2:$I$2604,""))</f>
        <v/>
      </c>
      <c r="J1252" s="44" t="str">
        <f t="array" ref="J1252">IF(B1252="","",_xlfn.XLOOKUP(B1252,'Form responses 1'!$B$2:$B$2604,'Form responses 1'!$G$2:$G$2604,""))</f>
        <v/>
      </c>
      <c r="K1252" s="56"/>
      <c r="L1252" s="58" t="str">
        <f t="shared" si="7"/>
        <v/>
      </c>
      <c r="M1252" s="49"/>
      <c r="N1252" s="49"/>
      <c r="O1252" s="49"/>
      <c r="P1252" s="49"/>
      <c r="Q1252" s="49"/>
      <c r="R1252" s="49"/>
      <c r="S1252" s="49"/>
      <c r="T1252" s="49"/>
      <c r="U1252" s="49"/>
      <c r="V1252" s="49"/>
      <c r="W1252" s="56"/>
      <c r="X1252" s="51" t="str">
        <f t="shared" si="5"/>
        <v/>
      </c>
      <c r="Y1252" s="50" t="s">
        <v>482</v>
      </c>
      <c r="Z1252" s="49">
        <f t="shared" si="6"/>
        <v>0</v>
      </c>
    </row>
    <row r="1253" ht="22.5" customHeight="1">
      <c r="B1253" s="57"/>
      <c r="C1253" s="43" t="str">
        <f t="array" ref="C1253">IF(B1253="","",_xlfn.XLOOKUP(B1253,'Form responses 1'!$B$2:$B$2604,'Form responses 1'!$A$2:$A$2604,""))</f>
        <v/>
      </c>
      <c r="D1253" s="44" t="str">
        <f t="shared" si="3"/>
        <v/>
      </c>
      <c r="E1253" s="44" t="str">
        <f t="array" ref="E1253">IF(B1253="","",_xlfn.XLOOKUP(B1253,'Form responses 1'!$B$2:$B$2604,'Form responses 1'!$C$2:$C$2604,""))</f>
        <v/>
      </c>
      <c r="F1253" s="44" t="str">
        <f t="array" ref="F1253">IF(B1253="","",_xlfn.XLOOKUP(B1253,'Form responses 1'!$B$2:$B$2604,'Form responses 1'!$D$2:$D$2604,""))</f>
        <v/>
      </c>
      <c r="G1253" s="44" t="str">
        <f t="array" ref="G1253">IF(B1253="","",_xlfn.XLOOKUP(B1253,'Form responses 1'!$B$2:$B$2604,'Form responses 1'!$E$2:$E$2604,""))</f>
        <v/>
      </c>
      <c r="H1253" s="44" t="str">
        <f t="array" ref="H1253">IF(B1253="","",_xlfn.XLOOKUP(B1253,'Form responses 1'!$B$2:$B$2604,'Form responses 1'!$F$2:$F$2604,""))</f>
        <v/>
      </c>
      <c r="I1253" s="44" t="str">
        <f t="array" ref="I1253">IF(B1253="","",_xlfn.XLOOKUP(B1253,'Form responses 1'!$B$2:$B$2604,'Form responses 1'!$I$2:$I$2604,""))</f>
        <v/>
      </c>
      <c r="J1253" s="44" t="str">
        <f t="array" ref="J1253">IF(B1253="","",_xlfn.XLOOKUP(B1253,'Form responses 1'!$B$2:$B$2604,'Form responses 1'!$G$2:$G$2604,""))</f>
        <v/>
      </c>
      <c r="K1253" s="56"/>
      <c r="L1253" s="58" t="str">
        <f t="shared" si="7"/>
        <v/>
      </c>
      <c r="M1253" s="49"/>
      <c r="N1253" s="49"/>
      <c r="O1253" s="49"/>
      <c r="P1253" s="49"/>
      <c r="Q1253" s="49"/>
      <c r="R1253" s="49"/>
      <c r="S1253" s="49"/>
      <c r="T1253" s="49"/>
      <c r="U1253" s="49"/>
      <c r="V1253" s="49"/>
      <c r="W1253" s="56"/>
      <c r="X1253" s="51" t="str">
        <f t="shared" si="5"/>
        <v/>
      </c>
      <c r="Y1253" s="50" t="s">
        <v>482</v>
      </c>
      <c r="Z1253" s="49">
        <f t="shared" si="6"/>
        <v>0</v>
      </c>
    </row>
    <row r="1254" ht="22.5" customHeight="1">
      <c r="B1254" s="57"/>
      <c r="C1254" s="43" t="str">
        <f t="array" ref="C1254">IF(B1254="","",_xlfn.XLOOKUP(B1254,'Form responses 1'!$B$2:$B$2604,'Form responses 1'!$A$2:$A$2604,""))</f>
        <v/>
      </c>
      <c r="D1254" s="44" t="str">
        <f t="shared" si="3"/>
        <v/>
      </c>
      <c r="E1254" s="44" t="str">
        <f t="array" ref="E1254">IF(B1254="","",_xlfn.XLOOKUP(B1254,'Form responses 1'!$B$2:$B$2604,'Form responses 1'!$C$2:$C$2604,""))</f>
        <v/>
      </c>
      <c r="F1254" s="44" t="str">
        <f t="array" ref="F1254">IF(B1254="","",_xlfn.XLOOKUP(B1254,'Form responses 1'!$B$2:$B$2604,'Form responses 1'!$D$2:$D$2604,""))</f>
        <v/>
      </c>
      <c r="G1254" s="44" t="str">
        <f t="array" ref="G1254">IF(B1254="","",_xlfn.XLOOKUP(B1254,'Form responses 1'!$B$2:$B$2604,'Form responses 1'!$E$2:$E$2604,""))</f>
        <v/>
      </c>
      <c r="H1254" s="44" t="str">
        <f t="array" ref="H1254">IF(B1254="","",_xlfn.XLOOKUP(B1254,'Form responses 1'!$B$2:$B$2604,'Form responses 1'!$F$2:$F$2604,""))</f>
        <v/>
      </c>
      <c r="I1254" s="44" t="str">
        <f t="array" ref="I1254">IF(B1254="","",_xlfn.XLOOKUP(B1254,'Form responses 1'!$B$2:$B$2604,'Form responses 1'!$I$2:$I$2604,""))</f>
        <v/>
      </c>
      <c r="J1254" s="44" t="str">
        <f t="array" ref="J1254">IF(B1254="","",_xlfn.XLOOKUP(B1254,'Form responses 1'!$B$2:$B$2604,'Form responses 1'!$G$2:$G$2604,""))</f>
        <v/>
      </c>
      <c r="K1254" s="56"/>
      <c r="L1254" s="58" t="str">
        <f t="shared" si="7"/>
        <v/>
      </c>
      <c r="M1254" s="49"/>
      <c r="N1254" s="49"/>
      <c r="O1254" s="49"/>
      <c r="P1254" s="49"/>
      <c r="Q1254" s="49"/>
      <c r="R1254" s="49"/>
      <c r="S1254" s="49"/>
      <c r="T1254" s="49"/>
      <c r="U1254" s="49"/>
      <c r="V1254" s="49"/>
      <c r="W1254" s="56"/>
      <c r="X1254" s="51" t="str">
        <f t="shared" si="5"/>
        <v/>
      </c>
      <c r="Y1254" s="50" t="s">
        <v>482</v>
      </c>
      <c r="Z1254" s="49">
        <f t="shared" si="6"/>
        <v>0</v>
      </c>
    </row>
    <row r="1255" ht="22.5" customHeight="1">
      <c r="B1255" s="57"/>
      <c r="C1255" s="43" t="str">
        <f t="array" ref="C1255">IF(B1255="","",_xlfn.XLOOKUP(B1255,'Form responses 1'!$B$2:$B$2604,'Form responses 1'!$A$2:$A$2604,""))</f>
        <v/>
      </c>
      <c r="D1255" s="44" t="str">
        <f t="shared" si="3"/>
        <v/>
      </c>
      <c r="E1255" s="44" t="str">
        <f t="array" ref="E1255">IF(B1255="","",_xlfn.XLOOKUP(B1255,'Form responses 1'!$B$2:$B$2604,'Form responses 1'!$C$2:$C$2604,""))</f>
        <v/>
      </c>
      <c r="F1255" s="44" t="str">
        <f t="array" ref="F1255">IF(B1255="","",_xlfn.XLOOKUP(B1255,'Form responses 1'!$B$2:$B$2604,'Form responses 1'!$D$2:$D$2604,""))</f>
        <v/>
      </c>
      <c r="G1255" s="44" t="str">
        <f t="array" ref="G1255">IF(B1255="","",_xlfn.XLOOKUP(B1255,'Form responses 1'!$B$2:$B$2604,'Form responses 1'!$E$2:$E$2604,""))</f>
        <v/>
      </c>
      <c r="H1255" s="44" t="str">
        <f t="array" ref="H1255">IF(B1255="","",_xlfn.XLOOKUP(B1255,'Form responses 1'!$B$2:$B$2604,'Form responses 1'!$F$2:$F$2604,""))</f>
        <v/>
      </c>
      <c r="I1255" s="44" t="str">
        <f t="array" ref="I1255">IF(B1255="","",_xlfn.XLOOKUP(B1255,'Form responses 1'!$B$2:$B$2604,'Form responses 1'!$I$2:$I$2604,""))</f>
        <v/>
      </c>
      <c r="J1255" s="44" t="str">
        <f t="array" ref="J1255">IF(B1255="","",_xlfn.XLOOKUP(B1255,'Form responses 1'!$B$2:$B$2604,'Form responses 1'!$G$2:$G$2604,""))</f>
        <v/>
      </c>
      <c r="K1255" s="56"/>
      <c r="L1255" s="58" t="str">
        <f t="shared" si="7"/>
        <v/>
      </c>
      <c r="M1255" s="49"/>
      <c r="N1255" s="49"/>
      <c r="O1255" s="49"/>
      <c r="P1255" s="49"/>
      <c r="Q1255" s="49"/>
      <c r="R1255" s="49"/>
      <c r="S1255" s="49"/>
      <c r="T1255" s="49"/>
      <c r="U1255" s="49"/>
      <c r="V1255" s="49"/>
      <c r="W1255" s="56"/>
      <c r="X1255" s="51" t="str">
        <f t="shared" si="5"/>
        <v/>
      </c>
      <c r="Y1255" s="50" t="s">
        <v>482</v>
      </c>
      <c r="Z1255" s="49">
        <f t="shared" si="6"/>
        <v>0</v>
      </c>
    </row>
    <row r="1256" ht="22.5" customHeight="1">
      <c r="B1256" s="57"/>
      <c r="C1256" s="43" t="str">
        <f t="array" ref="C1256">IF(B1256="","",_xlfn.XLOOKUP(B1256,'Form responses 1'!$B$2:$B$2604,'Form responses 1'!$A$2:$A$2604,""))</f>
        <v/>
      </c>
      <c r="D1256" s="44" t="str">
        <f t="shared" si="3"/>
        <v/>
      </c>
      <c r="E1256" s="44" t="str">
        <f t="array" ref="E1256">IF(B1256="","",_xlfn.XLOOKUP(B1256,'Form responses 1'!$B$2:$B$2604,'Form responses 1'!$C$2:$C$2604,""))</f>
        <v/>
      </c>
      <c r="F1256" s="44" t="str">
        <f t="array" ref="F1256">IF(B1256="","",_xlfn.XLOOKUP(B1256,'Form responses 1'!$B$2:$B$2604,'Form responses 1'!$D$2:$D$2604,""))</f>
        <v/>
      </c>
      <c r="G1256" s="44" t="str">
        <f t="array" ref="G1256">IF(B1256="","",_xlfn.XLOOKUP(B1256,'Form responses 1'!$B$2:$B$2604,'Form responses 1'!$E$2:$E$2604,""))</f>
        <v/>
      </c>
      <c r="H1256" s="44" t="str">
        <f t="array" ref="H1256">IF(B1256="","",_xlfn.XLOOKUP(B1256,'Form responses 1'!$B$2:$B$2604,'Form responses 1'!$F$2:$F$2604,""))</f>
        <v/>
      </c>
      <c r="I1256" s="44" t="str">
        <f t="array" ref="I1256">IF(B1256="","",_xlfn.XLOOKUP(B1256,'Form responses 1'!$B$2:$B$2604,'Form responses 1'!$I$2:$I$2604,""))</f>
        <v/>
      </c>
      <c r="J1256" s="44" t="str">
        <f t="array" ref="J1256">IF(B1256="","",_xlfn.XLOOKUP(B1256,'Form responses 1'!$B$2:$B$2604,'Form responses 1'!$G$2:$G$2604,""))</f>
        <v/>
      </c>
      <c r="K1256" s="56"/>
      <c r="L1256" s="58" t="str">
        <f t="shared" si="7"/>
        <v/>
      </c>
      <c r="M1256" s="49"/>
      <c r="N1256" s="49"/>
      <c r="O1256" s="49"/>
      <c r="P1256" s="49"/>
      <c r="Q1256" s="49"/>
      <c r="R1256" s="49"/>
      <c r="S1256" s="49"/>
      <c r="T1256" s="49"/>
      <c r="U1256" s="49"/>
      <c r="V1256" s="49"/>
      <c r="W1256" s="56"/>
      <c r="X1256" s="51" t="str">
        <f t="shared" si="5"/>
        <v/>
      </c>
      <c r="Y1256" s="50" t="s">
        <v>482</v>
      </c>
      <c r="Z1256" s="49">
        <f t="shared" si="6"/>
        <v>0</v>
      </c>
    </row>
    <row r="1257" ht="22.5" customHeight="1">
      <c r="B1257" s="57"/>
      <c r="C1257" s="43" t="str">
        <f t="array" ref="C1257">IF(B1257="","",_xlfn.XLOOKUP(B1257,'Form responses 1'!$B$2:$B$2604,'Form responses 1'!$A$2:$A$2604,""))</f>
        <v/>
      </c>
      <c r="D1257" s="44" t="str">
        <f t="shared" si="3"/>
        <v/>
      </c>
      <c r="E1257" s="44" t="str">
        <f t="array" ref="E1257">IF(B1257="","",_xlfn.XLOOKUP(B1257,'Form responses 1'!$B$2:$B$2604,'Form responses 1'!$C$2:$C$2604,""))</f>
        <v/>
      </c>
      <c r="F1257" s="44" t="str">
        <f t="array" ref="F1257">IF(B1257="","",_xlfn.XLOOKUP(B1257,'Form responses 1'!$B$2:$B$2604,'Form responses 1'!$D$2:$D$2604,""))</f>
        <v/>
      </c>
      <c r="G1257" s="44" t="str">
        <f t="array" ref="G1257">IF(B1257="","",_xlfn.XLOOKUP(B1257,'Form responses 1'!$B$2:$B$2604,'Form responses 1'!$E$2:$E$2604,""))</f>
        <v/>
      </c>
      <c r="H1257" s="44" t="str">
        <f t="array" ref="H1257">IF(B1257="","",_xlfn.XLOOKUP(B1257,'Form responses 1'!$B$2:$B$2604,'Form responses 1'!$F$2:$F$2604,""))</f>
        <v/>
      </c>
      <c r="I1257" s="44" t="str">
        <f t="array" ref="I1257">IF(B1257="","",_xlfn.XLOOKUP(B1257,'Form responses 1'!$B$2:$B$2604,'Form responses 1'!$I$2:$I$2604,""))</f>
        <v/>
      </c>
      <c r="J1257" s="44" t="str">
        <f t="array" ref="J1257">IF(B1257="","",_xlfn.XLOOKUP(B1257,'Form responses 1'!$B$2:$B$2604,'Form responses 1'!$G$2:$G$2604,""))</f>
        <v/>
      </c>
      <c r="K1257" s="56"/>
      <c r="L1257" s="58" t="str">
        <f t="shared" si="7"/>
        <v/>
      </c>
      <c r="M1257" s="49"/>
      <c r="N1257" s="49"/>
      <c r="O1257" s="49"/>
      <c r="P1257" s="49"/>
      <c r="Q1257" s="49"/>
      <c r="R1257" s="49"/>
      <c r="S1257" s="49"/>
      <c r="T1257" s="49"/>
      <c r="U1257" s="49"/>
      <c r="V1257" s="49"/>
      <c r="W1257" s="56"/>
      <c r="X1257" s="51" t="str">
        <f t="shared" si="5"/>
        <v/>
      </c>
      <c r="Y1257" s="50" t="s">
        <v>482</v>
      </c>
      <c r="Z1257" s="49">
        <f t="shared" si="6"/>
        <v>0</v>
      </c>
    </row>
    <row r="1258" ht="22.5" customHeight="1">
      <c r="B1258" s="57"/>
      <c r="C1258" s="43" t="str">
        <f t="array" ref="C1258">IF(B1258="","",_xlfn.XLOOKUP(B1258,'Form responses 1'!$B$2:$B$2604,'Form responses 1'!$A$2:$A$2604,""))</f>
        <v/>
      </c>
      <c r="D1258" s="44" t="str">
        <f t="shared" si="3"/>
        <v/>
      </c>
      <c r="E1258" s="44" t="str">
        <f t="array" ref="E1258">IF(B1258="","",_xlfn.XLOOKUP(B1258,'Form responses 1'!$B$2:$B$2604,'Form responses 1'!$C$2:$C$2604,""))</f>
        <v/>
      </c>
      <c r="F1258" s="44" t="str">
        <f t="array" ref="F1258">IF(B1258="","",_xlfn.XLOOKUP(B1258,'Form responses 1'!$B$2:$B$2604,'Form responses 1'!$D$2:$D$2604,""))</f>
        <v/>
      </c>
      <c r="G1258" s="44" t="str">
        <f t="array" ref="G1258">IF(B1258="","",_xlfn.XLOOKUP(B1258,'Form responses 1'!$B$2:$B$2604,'Form responses 1'!$E$2:$E$2604,""))</f>
        <v/>
      </c>
      <c r="H1258" s="44" t="str">
        <f t="array" ref="H1258">IF(B1258="","",_xlfn.XLOOKUP(B1258,'Form responses 1'!$B$2:$B$2604,'Form responses 1'!$F$2:$F$2604,""))</f>
        <v/>
      </c>
      <c r="I1258" s="44" t="str">
        <f t="array" ref="I1258">IF(B1258="","",_xlfn.XLOOKUP(B1258,'Form responses 1'!$B$2:$B$2604,'Form responses 1'!$I$2:$I$2604,""))</f>
        <v/>
      </c>
      <c r="J1258" s="44" t="str">
        <f t="array" ref="J1258">IF(B1258="","",_xlfn.XLOOKUP(B1258,'Form responses 1'!$B$2:$B$2604,'Form responses 1'!$G$2:$G$2604,""))</f>
        <v/>
      </c>
      <c r="K1258" s="56"/>
      <c r="L1258" s="58" t="str">
        <f t="shared" si="7"/>
        <v/>
      </c>
      <c r="M1258" s="49"/>
      <c r="N1258" s="49"/>
      <c r="O1258" s="49"/>
      <c r="P1258" s="49"/>
      <c r="Q1258" s="49"/>
      <c r="R1258" s="49"/>
      <c r="S1258" s="49"/>
      <c r="T1258" s="49"/>
      <c r="U1258" s="49"/>
      <c r="V1258" s="49"/>
      <c r="W1258" s="56"/>
      <c r="X1258" s="51" t="str">
        <f t="shared" si="5"/>
        <v/>
      </c>
      <c r="Y1258" s="50" t="s">
        <v>482</v>
      </c>
      <c r="Z1258" s="49">
        <f t="shared" si="6"/>
        <v>0</v>
      </c>
    </row>
    <row r="1259" ht="22.5" customHeight="1">
      <c r="B1259" s="57"/>
      <c r="C1259" s="43" t="str">
        <f t="array" ref="C1259">IF(B1259="","",_xlfn.XLOOKUP(B1259,'Form responses 1'!$B$2:$B$2604,'Form responses 1'!$A$2:$A$2604,""))</f>
        <v/>
      </c>
      <c r="D1259" s="44" t="str">
        <f t="shared" si="3"/>
        <v/>
      </c>
      <c r="E1259" s="44" t="str">
        <f t="array" ref="E1259">IF(B1259="","",_xlfn.XLOOKUP(B1259,'Form responses 1'!$B$2:$B$2604,'Form responses 1'!$C$2:$C$2604,""))</f>
        <v/>
      </c>
      <c r="F1259" s="44" t="str">
        <f t="array" ref="F1259">IF(B1259="","",_xlfn.XLOOKUP(B1259,'Form responses 1'!$B$2:$B$2604,'Form responses 1'!$D$2:$D$2604,""))</f>
        <v/>
      </c>
      <c r="G1259" s="44" t="str">
        <f t="array" ref="G1259">IF(B1259="","",_xlfn.XLOOKUP(B1259,'Form responses 1'!$B$2:$B$2604,'Form responses 1'!$E$2:$E$2604,""))</f>
        <v/>
      </c>
      <c r="H1259" s="44" t="str">
        <f t="array" ref="H1259">IF(B1259="","",_xlfn.XLOOKUP(B1259,'Form responses 1'!$B$2:$B$2604,'Form responses 1'!$F$2:$F$2604,""))</f>
        <v/>
      </c>
      <c r="I1259" s="44" t="str">
        <f t="array" ref="I1259">IF(B1259="","",_xlfn.XLOOKUP(B1259,'Form responses 1'!$B$2:$B$2604,'Form responses 1'!$I$2:$I$2604,""))</f>
        <v/>
      </c>
      <c r="J1259" s="44" t="str">
        <f t="array" ref="J1259">IF(B1259="","",_xlfn.XLOOKUP(B1259,'Form responses 1'!$B$2:$B$2604,'Form responses 1'!$G$2:$G$2604,""))</f>
        <v/>
      </c>
      <c r="K1259" s="56"/>
      <c r="L1259" s="58" t="str">
        <f t="shared" si="7"/>
        <v/>
      </c>
      <c r="M1259" s="49"/>
      <c r="N1259" s="49"/>
      <c r="O1259" s="49"/>
      <c r="P1259" s="49"/>
      <c r="Q1259" s="49"/>
      <c r="R1259" s="49"/>
      <c r="S1259" s="49"/>
      <c r="T1259" s="49"/>
      <c r="U1259" s="49"/>
      <c r="V1259" s="49"/>
      <c r="W1259" s="56"/>
      <c r="X1259" s="51" t="str">
        <f t="shared" si="5"/>
        <v/>
      </c>
      <c r="Y1259" s="50" t="s">
        <v>482</v>
      </c>
      <c r="Z1259" s="49">
        <f t="shared" si="6"/>
        <v>0</v>
      </c>
    </row>
    <row r="1260" ht="22.5" customHeight="1">
      <c r="B1260" s="57"/>
      <c r="C1260" s="43" t="str">
        <f t="array" ref="C1260">IF(B1260="","",_xlfn.XLOOKUP(B1260,'Form responses 1'!$B$2:$B$2604,'Form responses 1'!$A$2:$A$2604,""))</f>
        <v/>
      </c>
      <c r="D1260" s="44" t="str">
        <f t="shared" si="3"/>
        <v/>
      </c>
      <c r="E1260" s="44" t="str">
        <f t="array" ref="E1260">IF(B1260="","",_xlfn.XLOOKUP(B1260,'Form responses 1'!$B$2:$B$2604,'Form responses 1'!$C$2:$C$2604,""))</f>
        <v/>
      </c>
      <c r="F1260" s="44" t="str">
        <f t="array" ref="F1260">IF(B1260="","",_xlfn.XLOOKUP(B1260,'Form responses 1'!$B$2:$B$2604,'Form responses 1'!$D$2:$D$2604,""))</f>
        <v/>
      </c>
      <c r="G1260" s="44" t="str">
        <f t="array" ref="G1260">IF(B1260="","",_xlfn.XLOOKUP(B1260,'Form responses 1'!$B$2:$B$2604,'Form responses 1'!$E$2:$E$2604,""))</f>
        <v/>
      </c>
      <c r="H1260" s="44" t="str">
        <f t="array" ref="H1260">IF(B1260="","",_xlfn.XLOOKUP(B1260,'Form responses 1'!$B$2:$B$2604,'Form responses 1'!$F$2:$F$2604,""))</f>
        <v/>
      </c>
      <c r="I1260" s="44" t="str">
        <f t="array" ref="I1260">IF(B1260="","",_xlfn.XLOOKUP(B1260,'Form responses 1'!$B$2:$B$2604,'Form responses 1'!$I$2:$I$2604,""))</f>
        <v/>
      </c>
      <c r="J1260" s="44" t="str">
        <f t="array" ref="J1260">IF(B1260="","",_xlfn.XLOOKUP(B1260,'Form responses 1'!$B$2:$B$2604,'Form responses 1'!$G$2:$G$2604,""))</f>
        <v/>
      </c>
      <c r="K1260" s="56"/>
      <c r="L1260" s="58" t="str">
        <f t="shared" si="7"/>
        <v/>
      </c>
      <c r="M1260" s="49"/>
      <c r="N1260" s="49"/>
      <c r="O1260" s="49"/>
      <c r="P1260" s="49"/>
      <c r="Q1260" s="49"/>
      <c r="R1260" s="49"/>
      <c r="S1260" s="49"/>
      <c r="T1260" s="49"/>
      <c r="U1260" s="49"/>
      <c r="V1260" s="49"/>
      <c r="W1260" s="56"/>
      <c r="X1260" s="51" t="str">
        <f t="shared" si="5"/>
        <v/>
      </c>
      <c r="Y1260" s="50" t="s">
        <v>482</v>
      </c>
      <c r="Z1260" s="49">
        <f t="shared" si="6"/>
        <v>0</v>
      </c>
    </row>
    <row r="1261" ht="22.5" customHeight="1">
      <c r="B1261" s="57"/>
      <c r="C1261" s="43" t="str">
        <f t="array" ref="C1261">IF(B1261="","",_xlfn.XLOOKUP(B1261,'Form responses 1'!$B$2:$B$2604,'Form responses 1'!$A$2:$A$2604,""))</f>
        <v/>
      </c>
      <c r="D1261" s="44" t="str">
        <f t="shared" si="3"/>
        <v/>
      </c>
      <c r="E1261" s="44" t="str">
        <f t="array" ref="E1261">IF(B1261="","",_xlfn.XLOOKUP(B1261,'Form responses 1'!$B$2:$B$2604,'Form responses 1'!$C$2:$C$2604,""))</f>
        <v/>
      </c>
      <c r="F1261" s="44" t="str">
        <f t="array" ref="F1261">IF(B1261="","",_xlfn.XLOOKUP(B1261,'Form responses 1'!$B$2:$B$2604,'Form responses 1'!$D$2:$D$2604,""))</f>
        <v/>
      </c>
      <c r="G1261" s="44" t="str">
        <f t="array" ref="G1261">IF(B1261="","",_xlfn.XLOOKUP(B1261,'Form responses 1'!$B$2:$B$2604,'Form responses 1'!$E$2:$E$2604,""))</f>
        <v/>
      </c>
      <c r="H1261" s="44" t="str">
        <f t="array" ref="H1261">IF(B1261="","",_xlfn.XLOOKUP(B1261,'Form responses 1'!$B$2:$B$2604,'Form responses 1'!$F$2:$F$2604,""))</f>
        <v/>
      </c>
      <c r="I1261" s="44" t="str">
        <f t="array" ref="I1261">IF(B1261="","",_xlfn.XLOOKUP(B1261,'Form responses 1'!$B$2:$B$2604,'Form responses 1'!$I$2:$I$2604,""))</f>
        <v/>
      </c>
      <c r="J1261" s="44" t="str">
        <f t="array" ref="J1261">IF(B1261="","",_xlfn.XLOOKUP(B1261,'Form responses 1'!$B$2:$B$2604,'Form responses 1'!$G$2:$G$2604,""))</f>
        <v/>
      </c>
      <c r="K1261" s="56"/>
      <c r="L1261" s="58" t="str">
        <f t="shared" si="7"/>
        <v/>
      </c>
      <c r="M1261" s="49"/>
      <c r="N1261" s="49"/>
      <c r="O1261" s="49"/>
      <c r="P1261" s="49"/>
      <c r="Q1261" s="49"/>
      <c r="R1261" s="49"/>
      <c r="S1261" s="49"/>
      <c r="T1261" s="49"/>
      <c r="U1261" s="49"/>
      <c r="V1261" s="49"/>
      <c r="W1261" s="56"/>
      <c r="X1261" s="51" t="str">
        <f t="shared" si="5"/>
        <v/>
      </c>
      <c r="Y1261" s="50" t="s">
        <v>482</v>
      </c>
      <c r="Z1261" s="49">
        <f t="shared" si="6"/>
        <v>0</v>
      </c>
    </row>
    <row r="1262" ht="22.5" customHeight="1">
      <c r="B1262" s="57"/>
      <c r="C1262" s="43" t="str">
        <f t="array" ref="C1262">IF(B1262="","",_xlfn.XLOOKUP(B1262,'Form responses 1'!$B$2:$B$2604,'Form responses 1'!$A$2:$A$2604,""))</f>
        <v/>
      </c>
      <c r="D1262" s="44" t="str">
        <f t="shared" si="3"/>
        <v/>
      </c>
      <c r="E1262" s="44" t="str">
        <f t="array" ref="E1262">IF(B1262="","",_xlfn.XLOOKUP(B1262,'Form responses 1'!$B$2:$B$2604,'Form responses 1'!$C$2:$C$2604,""))</f>
        <v/>
      </c>
      <c r="F1262" s="44" t="str">
        <f t="array" ref="F1262">IF(B1262="","",_xlfn.XLOOKUP(B1262,'Form responses 1'!$B$2:$B$2604,'Form responses 1'!$D$2:$D$2604,""))</f>
        <v/>
      </c>
      <c r="G1262" s="44" t="str">
        <f t="array" ref="G1262">IF(B1262="","",_xlfn.XLOOKUP(B1262,'Form responses 1'!$B$2:$B$2604,'Form responses 1'!$E$2:$E$2604,""))</f>
        <v/>
      </c>
      <c r="H1262" s="44" t="str">
        <f t="array" ref="H1262">IF(B1262="","",_xlfn.XLOOKUP(B1262,'Form responses 1'!$B$2:$B$2604,'Form responses 1'!$F$2:$F$2604,""))</f>
        <v/>
      </c>
      <c r="I1262" s="44" t="str">
        <f t="array" ref="I1262">IF(B1262="","",_xlfn.XLOOKUP(B1262,'Form responses 1'!$B$2:$B$2604,'Form responses 1'!$I$2:$I$2604,""))</f>
        <v/>
      </c>
      <c r="J1262" s="44" t="str">
        <f t="array" ref="J1262">IF(B1262="","",_xlfn.XLOOKUP(B1262,'Form responses 1'!$B$2:$B$2604,'Form responses 1'!$G$2:$G$2604,""))</f>
        <v/>
      </c>
      <c r="K1262" s="56"/>
      <c r="L1262" s="58" t="str">
        <f t="shared" si="7"/>
        <v/>
      </c>
      <c r="M1262" s="49"/>
      <c r="N1262" s="49"/>
      <c r="O1262" s="49"/>
      <c r="P1262" s="49"/>
      <c r="Q1262" s="49"/>
      <c r="R1262" s="49"/>
      <c r="S1262" s="49"/>
      <c r="T1262" s="49"/>
      <c r="U1262" s="49"/>
      <c r="V1262" s="49"/>
      <c r="W1262" s="56"/>
      <c r="X1262" s="51" t="str">
        <f t="shared" si="5"/>
        <v/>
      </c>
      <c r="Y1262" s="50" t="s">
        <v>482</v>
      </c>
      <c r="Z1262" s="49">
        <f t="shared" si="6"/>
        <v>0</v>
      </c>
    </row>
    <row r="1263" ht="22.5" customHeight="1">
      <c r="B1263" s="57"/>
      <c r="C1263" s="43" t="str">
        <f t="array" ref="C1263">IF(B1263="","",_xlfn.XLOOKUP(B1263,'Form responses 1'!$B$2:$B$2604,'Form responses 1'!$A$2:$A$2604,""))</f>
        <v/>
      </c>
      <c r="D1263" s="44" t="str">
        <f t="shared" si="3"/>
        <v/>
      </c>
      <c r="E1263" s="44" t="str">
        <f t="array" ref="E1263">IF(B1263="","",_xlfn.XLOOKUP(B1263,'Form responses 1'!$B$2:$B$2604,'Form responses 1'!$C$2:$C$2604,""))</f>
        <v/>
      </c>
      <c r="F1263" s="44" t="str">
        <f t="array" ref="F1263">IF(B1263="","",_xlfn.XLOOKUP(B1263,'Form responses 1'!$B$2:$B$2604,'Form responses 1'!$D$2:$D$2604,""))</f>
        <v/>
      </c>
      <c r="G1263" s="44" t="str">
        <f t="array" ref="G1263">IF(B1263="","",_xlfn.XLOOKUP(B1263,'Form responses 1'!$B$2:$B$2604,'Form responses 1'!$E$2:$E$2604,""))</f>
        <v/>
      </c>
      <c r="H1263" s="44" t="str">
        <f t="array" ref="H1263">IF(B1263="","",_xlfn.XLOOKUP(B1263,'Form responses 1'!$B$2:$B$2604,'Form responses 1'!$F$2:$F$2604,""))</f>
        <v/>
      </c>
      <c r="I1263" s="44" t="str">
        <f t="array" ref="I1263">IF(B1263="","",_xlfn.XLOOKUP(B1263,'Form responses 1'!$B$2:$B$2604,'Form responses 1'!$I$2:$I$2604,""))</f>
        <v/>
      </c>
      <c r="J1263" s="44" t="str">
        <f t="array" ref="J1263">IF(B1263="","",_xlfn.XLOOKUP(B1263,'Form responses 1'!$B$2:$B$2604,'Form responses 1'!$G$2:$G$2604,""))</f>
        <v/>
      </c>
      <c r="K1263" s="56"/>
      <c r="L1263" s="58" t="str">
        <f t="shared" si="7"/>
        <v/>
      </c>
      <c r="M1263" s="49"/>
      <c r="N1263" s="49"/>
      <c r="O1263" s="49"/>
      <c r="P1263" s="49"/>
      <c r="Q1263" s="49"/>
      <c r="R1263" s="49"/>
      <c r="S1263" s="49"/>
      <c r="T1263" s="49"/>
      <c r="U1263" s="49"/>
      <c r="V1263" s="49"/>
      <c r="W1263" s="56"/>
      <c r="X1263" s="51" t="str">
        <f t="shared" si="5"/>
        <v/>
      </c>
      <c r="Y1263" s="50" t="s">
        <v>482</v>
      </c>
      <c r="Z1263" s="49">
        <f t="shared" si="6"/>
        <v>0</v>
      </c>
    </row>
    <row r="1264" ht="22.5" customHeight="1">
      <c r="B1264" s="57"/>
      <c r="C1264" s="43" t="str">
        <f t="array" ref="C1264">IF(B1264="","",_xlfn.XLOOKUP(B1264,'Form responses 1'!$B$2:$B$2604,'Form responses 1'!$A$2:$A$2604,""))</f>
        <v/>
      </c>
      <c r="D1264" s="44" t="str">
        <f t="shared" si="3"/>
        <v/>
      </c>
      <c r="E1264" s="44" t="str">
        <f t="array" ref="E1264">IF(B1264="","",_xlfn.XLOOKUP(B1264,'Form responses 1'!$B$2:$B$2604,'Form responses 1'!$C$2:$C$2604,""))</f>
        <v/>
      </c>
      <c r="F1264" s="44" t="str">
        <f t="array" ref="F1264">IF(B1264="","",_xlfn.XLOOKUP(B1264,'Form responses 1'!$B$2:$B$2604,'Form responses 1'!$D$2:$D$2604,""))</f>
        <v/>
      </c>
      <c r="G1264" s="44" t="str">
        <f t="array" ref="G1264">IF(B1264="","",_xlfn.XLOOKUP(B1264,'Form responses 1'!$B$2:$B$2604,'Form responses 1'!$E$2:$E$2604,""))</f>
        <v/>
      </c>
      <c r="H1264" s="44" t="str">
        <f t="array" ref="H1264">IF(B1264="","",_xlfn.XLOOKUP(B1264,'Form responses 1'!$B$2:$B$2604,'Form responses 1'!$F$2:$F$2604,""))</f>
        <v/>
      </c>
      <c r="I1264" s="44" t="str">
        <f t="array" ref="I1264">IF(B1264="","",_xlfn.XLOOKUP(B1264,'Form responses 1'!$B$2:$B$2604,'Form responses 1'!$I$2:$I$2604,""))</f>
        <v/>
      </c>
      <c r="J1264" s="44" t="str">
        <f t="array" ref="J1264">IF(B1264="","",_xlfn.XLOOKUP(B1264,'Form responses 1'!$B$2:$B$2604,'Form responses 1'!$G$2:$G$2604,""))</f>
        <v/>
      </c>
      <c r="K1264" s="56"/>
      <c r="L1264" s="58" t="str">
        <f t="shared" si="7"/>
        <v/>
      </c>
      <c r="M1264" s="49"/>
      <c r="N1264" s="49"/>
      <c r="O1264" s="49"/>
      <c r="P1264" s="49"/>
      <c r="Q1264" s="49"/>
      <c r="R1264" s="49"/>
      <c r="S1264" s="49"/>
      <c r="T1264" s="49"/>
      <c r="U1264" s="49"/>
      <c r="V1264" s="49"/>
      <c r="W1264" s="56"/>
      <c r="X1264" s="51" t="str">
        <f t="shared" si="5"/>
        <v/>
      </c>
      <c r="Y1264" s="50" t="s">
        <v>482</v>
      </c>
      <c r="Z1264" s="49">
        <f t="shared" si="6"/>
        <v>0</v>
      </c>
    </row>
    <row r="1265" ht="22.5" customHeight="1">
      <c r="B1265" s="57"/>
      <c r="C1265" s="43" t="str">
        <f t="array" ref="C1265">IF(B1265="","",_xlfn.XLOOKUP(B1265,'Form responses 1'!$B$2:$B$2604,'Form responses 1'!$A$2:$A$2604,""))</f>
        <v/>
      </c>
      <c r="D1265" s="44" t="str">
        <f t="shared" si="3"/>
        <v/>
      </c>
      <c r="E1265" s="44" t="str">
        <f t="array" ref="E1265">IF(B1265="","",_xlfn.XLOOKUP(B1265,'Form responses 1'!$B$2:$B$2604,'Form responses 1'!$C$2:$C$2604,""))</f>
        <v/>
      </c>
      <c r="F1265" s="44" t="str">
        <f t="array" ref="F1265">IF(B1265="","",_xlfn.XLOOKUP(B1265,'Form responses 1'!$B$2:$B$2604,'Form responses 1'!$D$2:$D$2604,""))</f>
        <v/>
      </c>
      <c r="G1265" s="44" t="str">
        <f t="array" ref="G1265">IF(B1265="","",_xlfn.XLOOKUP(B1265,'Form responses 1'!$B$2:$B$2604,'Form responses 1'!$E$2:$E$2604,""))</f>
        <v/>
      </c>
      <c r="H1265" s="44" t="str">
        <f t="array" ref="H1265">IF(B1265="","",_xlfn.XLOOKUP(B1265,'Form responses 1'!$B$2:$B$2604,'Form responses 1'!$F$2:$F$2604,""))</f>
        <v/>
      </c>
      <c r="I1265" s="44" t="str">
        <f t="array" ref="I1265">IF(B1265="","",_xlfn.XLOOKUP(B1265,'Form responses 1'!$B$2:$B$2604,'Form responses 1'!$I$2:$I$2604,""))</f>
        <v/>
      </c>
      <c r="J1265" s="44" t="str">
        <f t="array" ref="J1265">IF(B1265="","",_xlfn.XLOOKUP(B1265,'Form responses 1'!$B$2:$B$2604,'Form responses 1'!$G$2:$G$2604,""))</f>
        <v/>
      </c>
      <c r="K1265" s="56"/>
      <c r="L1265" s="58" t="str">
        <f t="shared" si="7"/>
        <v/>
      </c>
      <c r="M1265" s="49"/>
      <c r="N1265" s="49"/>
      <c r="O1265" s="49"/>
      <c r="P1265" s="49"/>
      <c r="Q1265" s="49"/>
      <c r="R1265" s="49"/>
      <c r="S1265" s="49"/>
      <c r="T1265" s="49"/>
      <c r="U1265" s="49"/>
      <c r="V1265" s="49"/>
      <c r="W1265" s="56"/>
      <c r="X1265" s="51" t="str">
        <f t="shared" si="5"/>
        <v/>
      </c>
      <c r="Y1265" s="50" t="s">
        <v>482</v>
      </c>
      <c r="Z1265" s="49">
        <f t="shared" si="6"/>
        <v>0</v>
      </c>
    </row>
    <row r="1266" ht="22.5" customHeight="1">
      <c r="B1266" s="57"/>
      <c r="C1266" s="43" t="str">
        <f t="array" ref="C1266">IF(B1266="","",_xlfn.XLOOKUP(B1266,'Form responses 1'!$B$2:$B$2604,'Form responses 1'!$A$2:$A$2604,""))</f>
        <v/>
      </c>
      <c r="D1266" s="44" t="str">
        <f t="shared" si="3"/>
        <v/>
      </c>
      <c r="E1266" s="44" t="str">
        <f t="array" ref="E1266">IF(B1266="","",_xlfn.XLOOKUP(B1266,'Form responses 1'!$B$2:$B$2604,'Form responses 1'!$C$2:$C$2604,""))</f>
        <v/>
      </c>
      <c r="F1266" s="44" t="str">
        <f t="array" ref="F1266">IF(B1266="","",_xlfn.XLOOKUP(B1266,'Form responses 1'!$B$2:$B$2604,'Form responses 1'!$D$2:$D$2604,""))</f>
        <v/>
      </c>
      <c r="G1266" s="44" t="str">
        <f t="array" ref="G1266">IF(B1266="","",_xlfn.XLOOKUP(B1266,'Form responses 1'!$B$2:$B$2604,'Form responses 1'!$E$2:$E$2604,""))</f>
        <v/>
      </c>
      <c r="H1266" s="44" t="str">
        <f t="array" ref="H1266">IF(B1266="","",_xlfn.XLOOKUP(B1266,'Form responses 1'!$B$2:$B$2604,'Form responses 1'!$F$2:$F$2604,""))</f>
        <v/>
      </c>
      <c r="I1266" s="44" t="str">
        <f t="array" ref="I1266">IF(B1266="","",_xlfn.XLOOKUP(B1266,'Form responses 1'!$B$2:$B$2604,'Form responses 1'!$I$2:$I$2604,""))</f>
        <v/>
      </c>
      <c r="J1266" s="44" t="str">
        <f t="array" ref="J1266">IF(B1266="","",_xlfn.XLOOKUP(B1266,'Form responses 1'!$B$2:$B$2604,'Form responses 1'!$G$2:$G$2604,""))</f>
        <v/>
      </c>
      <c r="K1266" s="56"/>
      <c r="L1266" s="58" t="str">
        <f t="shared" si="7"/>
        <v/>
      </c>
      <c r="M1266" s="49"/>
      <c r="N1266" s="49"/>
      <c r="O1266" s="49"/>
      <c r="P1266" s="49"/>
      <c r="Q1266" s="49"/>
      <c r="R1266" s="49"/>
      <c r="S1266" s="49"/>
      <c r="T1266" s="49"/>
      <c r="U1266" s="49"/>
      <c r="V1266" s="49"/>
      <c r="W1266" s="56"/>
      <c r="X1266" s="51" t="str">
        <f t="shared" si="5"/>
        <v/>
      </c>
      <c r="Y1266" s="50" t="s">
        <v>482</v>
      </c>
      <c r="Z1266" s="49">
        <f t="shared" si="6"/>
        <v>0</v>
      </c>
    </row>
    <row r="1267" ht="22.5" customHeight="1">
      <c r="B1267" s="57"/>
      <c r="C1267" s="43" t="str">
        <f t="array" ref="C1267">IF(B1267="","",_xlfn.XLOOKUP(B1267,'Form responses 1'!$B$2:$B$2604,'Form responses 1'!$A$2:$A$2604,""))</f>
        <v/>
      </c>
      <c r="D1267" s="44" t="str">
        <f t="shared" si="3"/>
        <v/>
      </c>
      <c r="E1267" s="44" t="str">
        <f t="array" ref="E1267">IF(B1267="","",_xlfn.XLOOKUP(B1267,'Form responses 1'!$B$2:$B$2604,'Form responses 1'!$C$2:$C$2604,""))</f>
        <v/>
      </c>
      <c r="F1267" s="44" t="str">
        <f t="array" ref="F1267">IF(B1267="","",_xlfn.XLOOKUP(B1267,'Form responses 1'!$B$2:$B$2604,'Form responses 1'!$D$2:$D$2604,""))</f>
        <v/>
      </c>
      <c r="G1267" s="44" t="str">
        <f t="array" ref="G1267">IF(B1267="","",_xlfn.XLOOKUP(B1267,'Form responses 1'!$B$2:$B$2604,'Form responses 1'!$E$2:$E$2604,""))</f>
        <v/>
      </c>
      <c r="H1267" s="44" t="str">
        <f t="array" ref="H1267">IF(B1267="","",_xlfn.XLOOKUP(B1267,'Form responses 1'!$B$2:$B$2604,'Form responses 1'!$F$2:$F$2604,""))</f>
        <v/>
      </c>
      <c r="I1267" s="44" t="str">
        <f t="array" ref="I1267">IF(B1267="","",_xlfn.XLOOKUP(B1267,'Form responses 1'!$B$2:$B$2604,'Form responses 1'!$I$2:$I$2604,""))</f>
        <v/>
      </c>
      <c r="J1267" s="44" t="str">
        <f t="array" ref="J1267">IF(B1267="","",_xlfn.XLOOKUP(B1267,'Form responses 1'!$B$2:$B$2604,'Form responses 1'!$G$2:$G$2604,""))</f>
        <v/>
      </c>
      <c r="K1267" s="56"/>
      <c r="L1267" s="58" t="str">
        <f t="shared" si="7"/>
        <v/>
      </c>
      <c r="M1267" s="49"/>
      <c r="N1267" s="49"/>
      <c r="O1267" s="49"/>
      <c r="P1267" s="49"/>
      <c r="Q1267" s="49"/>
      <c r="R1267" s="49"/>
      <c r="S1267" s="49"/>
      <c r="T1267" s="49"/>
      <c r="U1267" s="49"/>
      <c r="V1267" s="49"/>
      <c r="W1267" s="56"/>
      <c r="X1267" s="51" t="str">
        <f t="shared" si="5"/>
        <v/>
      </c>
      <c r="Y1267" s="50" t="s">
        <v>482</v>
      </c>
      <c r="Z1267" s="49">
        <f t="shared" si="6"/>
        <v>0</v>
      </c>
    </row>
    <row r="1268" ht="22.5" customHeight="1">
      <c r="B1268" s="57"/>
      <c r="C1268" s="43" t="str">
        <f t="array" ref="C1268">IF(B1268="","",_xlfn.XLOOKUP(B1268,'Form responses 1'!$B$2:$B$2604,'Form responses 1'!$A$2:$A$2604,""))</f>
        <v/>
      </c>
      <c r="D1268" s="44" t="str">
        <f t="shared" si="3"/>
        <v/>
      </c>
      <c r="E1268" s="44" t="str">
        <f t="array" ref="E1268">IF(B1268="","",_xlfn.XLOOKUP(B1268,'Form responses 1'!$B$2:$B$2604,'Form responses 1'!$C$2:$C$2604,""))</f>
        <v/>
      </c>
      <c r="F1268" s="44" t="str">
        <f t="array" ref="F1268">IF(B1268="","",_xlfn.XLOOKUP(B1268,'Form responses 1'!$B$2:$B$2604,'Form responses 1'!$D$2:$D$2604,""))</f>
        <v/>
      </c>
      <c r="G1268" s="44" t="str">
        <f t="array" ref="G1268">IF(B1268="","",_xlfn.XLOOKUP(B1268,'Form responses 1'!$B$2:$B$2604,'Form responses 1'!$E$2:$E$2604,""))</f>
        <v/>
      </c>
      <c r="H1268" s="44" t="str">
        <f t="array" ref="H1268">IF(B1268="","",_xlfn.XLOOKUP(B1268,'Form responses 1'!$B$2:$B$2604,'Form responses 1'!$F$2:$F$2604,""))</f>
        <v/>
      </c>
      <c r="I1268" s="44" t="str">
        <f t="array" ref="I1268">IF(B1268="","",_xlfn.XLOOKUP(B1268,'Form responses 1'!$B$2:$B$2604,'Form responses 1'!$I$2:$I$2604,""))</f>
        <v/>
      </c>
      <c r="J1268" s="44" t="str">
        <f t="array" ref="J1268">IF(B1268="","",_xlfn.XLOOKUP(B1268,'Form responses 1'!$B$2:$B$2604,'Form responses 1'!$G$2:$G$2604,""))</f>
        <v/>
      </c>
      <c r="K1268" s="56"/>
      <c r="L1268" s="58" t="str">
        <f t="shared" si="7"/>
        <v/>
      </c>
      <c r="M1268" s="49"/>
      <c r="N1268" s="49"/>
      <c r="O1268" s="49"/>
      <c r="P1268" s="49"/>
      <c r="Q1268" s="49"/>
      <c r="R1268" s="49"/>
      <c r="S1268" s="49"/>
      <c r="T1268" s="49"/>
      <c r="U1268" s="49"/>
      <c r="V1268" s="49"/>
      <c r="W1268" s="56"/>
      <c r="X1268" s="51" t="str">
        <f t="shared" si="5"/>
        <v/>
      </c>
      <c r="Y1268" s="50" t="s">
        <v>482</v>
      </c>
      <c r="Z1268" s="49">
        <f t="shared" si="6"/>
        <v>0</v>
      </c>
    </row>
    <row r="1269" ht="22.5" customHeight="1">
      <c r="B1269" s="57"/>
      <c r="C1269" s="43" t="str">
        <f t="array" ref="C1269">IF(B1269="","",_xlfn.XLOOKUP(B1269,'Form responses 1'!$B$2:$B$2604,'Form responses 1'!$A$2:$A$2604,""))</f>
        <v/>
      </c>
      <c r="D1269" s="44" t="str">
        <f t="shared" si="3"/>
        <v/>
      </c>
      <c r="E1269" s="44" t="str">
        <f t="array" ref="E1269">IF(B1269="","",_xlfn.XLOOKUP(B1269,'Form responses 1'!$B$2:$B$2604,'Form responses 1'!$C$2:$C$2604,""))</f>
        <v/>
      </c>
      <c r="F1269" s="44" t="str">
        <f t="array" ref="F1269">IF(B1269="","",_xlfn.XLOOKUP(B1269,'Form responses 1'!$B$2:$B$2604,'Form responses 1'!$D$2:$D$2604,""))</f>
        <v/>
      </c>
      <c r="G1269" s="44" t="str">
        <f t="array" ref="G1269">IF(B1269="","",_xlfn.XLOOKUP(B1269,'Form responses 1'!$B$2:$B$2604,'Form responses 1'!$E$2:$E$2604,""))</f>
        <v/>
      </c>
      <c r="H1269" s="44" t="str">
        <f t="array" ref="H1269">IF(B1269="","",_xlfn.XLOOKUP(B1269,'Form responses 1'!$B$2:$B$2604,'Form responses 1'!$F$2:$F$2604,""))</f>
        <v/>
      </c>
      <c r="I1269" s="44" t="str">
        <f t="array" ref="I1269">IF(B1269="","",_xlfn.XLOOKUP(B1269,'Form responses 1'!$B$2:$B$2604,'Form responses 1'!$I$2:$I$2604,""))</f>
        <v/>
      </c>
      <c r="J1269" s="44" t="str">
        <f t="array" ref="J1269">IF(B1269="","",_xlfn.XLOOKUP(B1269,'Form responses 1'!$B$2:$B$2604,'Form responses 1'!$G$2:$G$2604,""))</f>
        <v/>
      </c>
      <c r="K1269" s="56"/>
      <c r="L1269" s="58" t="str">
        <f t="shared" si="7"/>
        <v/>
      </c>
      <c r="M1269" s="49"/>
      <c r="N1269" s="49"/>
      <c r="O1269" s="49"/>
      <c r="P1269" s="49"/>
      <c r="Q1269" s="49"/>
      <c r="R1269" s="49"/>
      <c r="S1269" s="49"/>
      <c r="T1269" s="49"/>
      <c r="U1269" s="49"/>
      <c r="V1269" s="49"/>
      <c r="W1269" s="56"/>
      <c r="X1269" s="51" t="str">
        <f t="shared" si="5"/>
        <v/>
      </c>
      <c r="Y1269" s="50" t="s">
        <v>482</v>
      </c>
      <c r="Z1269" s="49">
        <f t="shared" si="6"/>
        <v>0</v>
      </c>
    </row>
    <row r="1270" ht="22.5" customHeight="1">
      <c r="B1270" s="57"/>
      <c r="C1270" s="43" t="str">
        <f t="array" ref="C1270">IF(B1270="","",_xlfn.XLOOKUP(B1270,'Form responses 1'!$B$2:$B$2604,'Form responses 1'!$A$2:$A$2604,""))</f>
        <v/>
      </c>
      <c r="D1270" s="44" t="str">
        <f t="shared" si="3"/>
        <v/>
      </c>
      <c r="E1270" s="44" t="str">
        <f t="array" ref="E1270">IF(B1270="","",_xlfn.XLOOKUP(B1270,'Form responses 1'!$B$2:$B$2604,'Form responses 1'!$C$2:$C$2604,""))</f>
        <v/>
      </c>
      <c r="F1270" s="44" t="str">
        <f t="array" ref="F1270">IF(B1270="","",_xlfn.XLOOKUP(B1270,'Form responses 1'!$B$2:$B$2604,'Form responses 1'!$D$2:$D$2604,""))</f>
        <v/>
      </c>
      <c r="G1270" s="44" t="str">
        <f t="array" ref="G1270">IF(B1270="","",_xlfn.XLOOKUP(B1270,'Form responses 1'!$B$2:$B$2604,'Form responses 1'!$E$2:$E$2604,""))</f>
        <v/>
      </c>
      <c r="H1270" s="44" t="str">
        <f t="array" ref="H1270">IF(B1270="","",_xlfn.XLOOKUP(B1270,'Form responses 1'!$B$2:$B$2604,'Form responses 1'!$F$2:$F$2604,""))</f>
        <v/>
      </c>
      <c r="I1270" s="44" t="str">
        <f t="array" ref="I1270">IF(B1270="","",_xlfn.XLOOKUP(B1270,'Form responses 1'!$B$2:$B$2604,'Form responses 1'!$I$2:$I$2604,""))</f>
        <v/>
      </c>
      <c r="J1270" s="44" t="str">
        <f t="array" ref="J1270">IF(B1270="","",_xlfn.XLOOKUP(B1270,'Form responses 1'!$B$2:$B$2604,'Form responses 1'!$G$2:$G$2604,""))</f>
        <v/>
      </c>
      <c r="K1270" s="56"/>
      <c r="L1270" s="58" t="str">
        <f t="shared" si="7"/>
        <v/>
      </c>
      <c r="M1270" s="49"/>
      <c r="N1270" s="49"/>
      <c r="O1270" s="49"/>
      <c r="P1270" s="49"/>
      <c r="Q1270" s="49"/>
      <c r="R1270" s="49"/>
      <c r="S1270" s="49"/>
      <c r="T1270" s="49"/>
      <c r="U1270" s="49"/>
      <c r="V1270" s="49"/>
      <c r="W1270" s="56"/>
      <c r="X1270" s="51" t="str">
        <f t="shared" si="5"/>
        <v/>
      </c>
      <c r="Y1270" s="50" t="s">
        <v>482</v>
      </c>
      <c r="Z1270" s="49">
        <f t="shared" si="6"/>
        <v>0</v>
      </c>
    </row>
    <row r="1271" ht="22.5" customHeight="1">
      <c r="B1271" s="57"/>
      <c r="C1271" s="43" t="str">
        <f t="array" ref="C1271">IF(B1271="","",_xlfn.XLOOKUP(B1271,'Form responses 1'!$B$2:$B$2604,'Form responses 1'!$A$2:$A$2604,""))</f>
        <v/>
      </c>
      <c r="D1271" s="44" t="str">
        <f t="shared" si="3"/>
        <v/>
      </c>
      <c r="E1271" s="44" t="str">
        <f t="array" ref="E1271">IF(B1271="","",_xlfn.XLOOKUP(B1271,'Form responses 1'!$B$2:$B$2604,'Form responses 1'!$C$2:$C$2604,""))</f>
        <v/>
      </c>
      <c r="F1271" s="44" t="str">
        <f t="array" ref="F1271">IF(B1271="","",_xlfn.XLOOKUP(B1271,'Form responses 1'!$B$2:$B$2604,'Form responses 1'!$D$2:$D$2604,""))</f>
        <v/>
      </c>
      <c r="G1271" s="44" t="str">
        <f t="array" ref="G1271">IF(B1271="","",_xlfn.XLOOKUP(B1271,'Form responses 1'!$B$2:$B$2604,'Form responses 1'!$E$2:$E$2604,""))</f>
        <v/>
      </c>
      <c r="H1271" s="44" t="str">
        <f t="array" ref="H1271">IF(B1271="","",_xlfn.XLOOKUP(B1271,'Form responses 1'!$B$2:$B$2604,'Form responses 1'!$F$2:$F$2604,""))</f>
        <v/>
      </c>
      <c r="I1271" s="44" t="str">
        <f t="array" ref="I1271">IF(B1271="","",_xlfn.XLOOKUP(B1271,'Form responses 1'!$B$2:$B$2604,'Form responses 1'!$I$2:$I$2604,""))</f>
        <v/>
      </c>
      <c r="J1271" s="44" t="str">
        <f t="array" ref="J1271">IF(B1271="","",_xlfn.XLOOKUP(B1271,'Form responses 1'!$B$2:$B$2604,'Form responses 1'!$G$2:$G$2604,""))</f>
        <v/>
      </c>
      <c r="K1271" s="56"/>
      <c r="L1271" s="58" t="str">
        <f t="shared" si="7"/>
        <v/>
      </c>
      <c r="M1271" s="49"/>
      <c r="N1271" s="49"/>
      <c r="O1271" s="49"/>
      <c r="P1271" s="49"/>
      <c r="Q1271" s="49"/>
      <c r="R1271" s="49"/>
      <c r="S1271" s="49"/>
      <c r="T1271" s="49"/>
      <c r="U1271" s="49"/>
      <c r="V1271" s="49"/>
      <c r="W1271" s="56"/>
      <c r="X1271" s="51" t="str">
        <f t="shared" si="5"/>
        <v/>
      </c>
      <c r="Y1271" s="50" t="s">
        <v>482</v>
      </c>
      <c r="Z1271" s="49">
        <f t="shared" si="6"/>
        <v>0</v>
      </c>
    </row>
    <row r="1272" ht="22.5" customHeight="1">
      <c r="B1272" s="57"/>
      <c r="C1272" s="43" t="str">
        <f t="array" ref="C1272">IF(B1272="","",_xlfn.XLOOKUP(B1272,'Form responses 1'!$B$2:$B$2604,'Form responses 1'!$A$2:$A$2604,""))</f>
        <v/>
      </c>
      <c r="D1272" s="44" t="str">
        <f t="shared" si="3"/>
        <v/>
      </c>
      <c r="E1272" s="44" t="str">
        <f t="array" ref="E1272">IF(B1272="","",_xlfn.XLOOKUP(B1272,'Form responses 1'!$B$2:$B$2604,'Form responses 1'!$C$2:$C$2604,""))</f>
        <v/>
      </c>
      <c r="F1272" s="44" t="str">
        <f t="array" ref="F1272">IF(B1272="","",_xlfn.XLOOKUP(B1272,'Form responses 1'!$B$2:$B$2604,'Form responses 1'!$D$2:$D$2604,""))</f>
        <v/>
      </c>
      <c r="G1272" s="44" t="str">
        <f t="array" ref="G1272">IF(B1272="","",_xlfn.XLOOKUP(B1272,'Form responses 1'!$B$2:$B$2604,'Form responses 1'!$E$2:$E$2604,""))</f>
        <v/>
      </c>
      <c r="H1272" s="44" t="str">
        <f t="array" ref="H1272">IF(B1272="","",_xlfn.XLOOKUP(B1272,'Form responses 1'!$B$2:$B$2604,'Form responses 1'!$F$2:$F$2604,""))</f>
        <v/>
      </c>
      <c r="I1272" s="44" t="str">
        <f t="array" ref="I1272">IF(B1272="","",_xlfn.XLOOKUP(B1272,'Form responses 1'!$B$2:$B$2604,'Form responses 1'!$I$2:$I$2604,""))</f>
        <v/>
      </c>
      <c r="J1272" s="44" t="str">
        <f t="array" ref="J1272">IF(B1272="","",_xlfn.XLOOKUP(B1272,'Form responses 1'!$B$2:$B$2604,'Form responses 1'!$G$2:$G$2604,""))</f>
        <v/>
      </c>
      <c r="K1272" s="56"/>
      <c r="L1272" s="58" t="str">
        <f t="shared" si="7"/>
        <v/>
      </c>
      <c r="M1272" s="49"/>
      <c r="N1272" s="49"/>
      <c r="O1272" s="49"/>
      <c r="P1272" s="49"/>
      <c r="Q1272" s="49"/>
      <c r="R1272" s="49"/>
      <c r="S1272" s="49"/>
      <c r="T1272" s="49"/>
      <c r="U1272" s="49"/>
      <c r="V1272" s="49"/>
      <c r="W1272" s="56"/>
      <c r="X1272" s="51" t="str">
        <f t="shared" si="5"/>
        <v/>
      </c>
      <c r="Y1272" s="50" t="s">
        <v>482</v>
      </c>
      <c r="Z1272" s="49">
        <f t="shared" si="6"/>
        <v>0</v>
      </c>
    </row>
    <row r="1273" ht="22.5" customHeight="1">
      <c r="B1273" s="57"/>
      <c r="C1273" s="43" t="str">
        <f t="array" ref="C1273">IF(B1273="","",_xlfn.XLOOKUP(B1273,'Form responses 1'!$B$2:$B$2604,'Form responses 1'!$A$2:$A$2604,""))</f>
        <v/>
      </c>
      <c r="D1273" s="44" t="str">
        <f t="shared" si="3"/>
        <v/>
      </c>
      <c r="E1273" s="44" t="str">
        <f t="array" ref="E1273">IF(B1273="","",_xlfn.XLOOKUP(B1273,'Form responses 1'!$B$2:$B$2604,'Form responses 1'!$C$2:$C$2604,""))</f>
        <v/>
      </c>
      <c r="F1273" s="44" t="str">
        <f t="array" ref="F1273">IF(B1273="","",_xlfn.XLOOKUP(B1273,'Form responses 1'!$B$2:$B$2604,'Form responses 1'!$D$2:$D$2604,""))</f>
        <v/>
      </c>
      <c r="G1273" s="44" t="str">
        <f t="array" ref="G1273">IF(B1273="","",_xlfn.XLOOKUP(B1273,'Form responses 1'!$B$2:$B$2604,'Form responses 1'!$E$2:$E$2604,""))</f>
        <v/>
      </c>
      <c r="H1273" s="44" t="str">
        <f t="array" ref="H1273">IF(B1273="","",_xlfn.XLOOKUP(B1273,'Form responses 1'!$B$2:$B$2604,'Form responses 1'!$F$2:$F$2604,""))</f>
        <v/>
      </c>
      <c r="I1273" s="44" t="str">
        <f t="array" ref="I1273">IF(B1273="","",_xlfn.XLOOKUP(B1273,'Form responses 1'!$B$2:$B$2604,'Form responses 1'!$I$2:$I$2604,""))</f>
        <v/>
      </c>
      <c r="J1273" s="44" t="str">
        <f t="array" ref="J1273">IF(B1273="","",_xlfn.XLOOKUP(B1273,'Form responses 1'!$B$2:$B$2604,'Form responses 1'!$G$2:$G$2604,""))</f>
        <v/>
      </c>
      <c r="K1273" s="56"/>
      <c r="L1273" s="58" t="str">
        <f t="shared" si="7"/>
        <v/>
      </c>
      <c r="M1273" s="49"/>
      <c r="N1273" s="49"/>
      <c r="O1273" s="49"/>
      <c r="P1273" s="49"/>
      <c r="Q1273" s="49"/>
      <c r="R1273" s="49"/>
      <c r="S1273" s="49"/>
      <c r="T1273" s="49"/>
      <c r="U1273" s="49"/>
      <c r="V1273" s="49"/>
      <c r="W1273" s="56"/>
      <c r="X1273" s="51" t="str">
        <f t="shared" si="5"/>
        <v/>
      </c>
      <c r="Y1273" s="50" t="s">
        <v>482</v>
      </c>
      <c r="Z1273" s="49">
        <f t="shared" si="6"/>
        <v>0</v>
      </c>
    </row>
    <row r="1274" ht="22.5" customHeight="1">
      <c r="B1274" s="57"/>
      <c r="C1274" s="43" t="str">
        <f t="array" ref="C1274">IF(B1274="","",_xlfn.XLOOKUP(B1274,'Form responses 1'!$B$2:$B$2604,'Form responses 1'!$A$2:$A$2604,""))</f>
        <v/>
      </c>
      <c r="D1274" s="44" t="str">
        <f t="shared" si="3"/>
        <v/>
      </c>
      <c r="E1274" s="44" t="str">
        <f t="array" ref="E1274">IF(B1274="","",_xlfn.XLOOKUP(B1274,'Form responses 1'!$B$2:$B$2604,'Form responses 1'!$C$2:$C$2604,""))</f>
        <v/>
      </c>
      <c r="F1274" s="44" t="str">
        <f t="array" ref="F1274">IF(B1274="","",_xlfn.XLOOKUP(B1274,'Form responses 1'!$B$2:$B$2604,'Form responses 1'!$D$2:$D$2604,""))</f>
        <v/>
      </c>
      <c r="G1274" s="44" t="str">
        <f t="array" ref="G1274">IF(B1274="","",_xlfn.XLOOKUP(B1274,'Form responses 1'!$B$2:$B$2604,'Form responses 1'!$E$2:$E$2604,""))</f>
        <v/>
      </c>
      <c r="H1274" s="44" t="str">
        <f t="array" ref="H1274">IF(B1274="","",_xlfn.XLOOKUP(B1274,'Form responses 1'!$B$2:$B$2604,'Form responses 1'!$F$2:$F$2604,""))</f>
        <v/>
      </c>
      <c r="I1274" s="44" t="str">
        <f t="array" ref="I1274">IF(B1274="","",_xlfn.XLOOKUP(B1274,'Form responses 1'!$B$2:$B$2604,'Form responses 1'!$I$2:$I$2604,""))</f>
        <v/>
      </c>
      <c r="J1274" s="44" t="str">
        <f t="array" ref="J1274">IF(B1274="","",_xlfn.XLOOKUP(B1274,'Form responses 1'!$B$2:$B$2604,'Form responses 1'!$G$2:$G$2604,""))</f>
        <v/>
      </c>
      <c r="K1274" s="56"/>
      <c r="L1274" s="58" t="str">
        <f t="shared" si="7"/>
        <v/>
      </c>
      <c r="M1274" s="49"/>
      <c r="N1274" s="49"/>
      <c r="O1274" s="49"/>
      <c r="P1274" s="49"/>
      <c r="Q1274" s="49"/>
      <c r="R1274" s="49"/>
      <c r="S1274" s="49"/>
      <c r="T1274" s="49"/>
      <c r="U1274" s="49"/>
      <c r="V1274" s="49"/>
      <c r="W1274" s="56"/>
      <c r="X1274" s="51" t="str">
        <f t="shared" si="5"/>
        <v/>
      </c>
      <c r="Y1274" s="50" t="s">
        <v>482</v>
      </c>
      <c r="Z1274" s="49">
        <f t="shared" si="6"/>
        <v>0</v>
      </c>
    </row>
    <row r="1275" ht="22.5" customHeight="1">
      <c r="B1275" s="57"/>
      <c r="C1275" s="43" t="str">
        <f t="array" ref="C1275">IF(B1275="","",_xlfn.XLOOKUP(B1275,'Form responses 1'!$B$2:$B$2604,'Form responses 1'!$A$2:$A$2604,""))</f>
        <v/>
      </c>
      <c r="D1275" s="44" t="str">
        <f t="shared" si="3"/>
        <v/>
      </c>
      <c r="E1275" s="44" t="str">
        <f t="array" ref="E1275">IF(B1275="","",_xlfn.XLOOKUP(B1275,'Form responses 1'!$B$2:$B$2604,'Form responses 1'!$C$2:$C$2604,""))</f>
        <v/>
      </c>
      <c r="F1275" s="44" t="str">
        <f t="array" ref="F1275">IF(B1275="","",_xlfn.XLOOKUP(B1275,'Form responses 1'!$B$2:$B$2604,'Form responses 1'!$D$2:$D$2604,""))</f>
        <v/>
      </c>
      <c r="G1275" s="44" t="str">
        <f t="array" ref="G1275">IF(B1275="","",_xlfn.XLOOKUP(B1275,'Form responses 1'!$B$2:$B$2604,'Form responses 1'!$E$2:$E$2604,""))</f>
        <v/>
      </c>
      <c r="H1275" s="44" t="str">
        <f t="array" ref="H1275">IF(B1275="","",_xlfn.XLOOKUP(B1275,'Form responses 1'!$B$2:$B$2604,'Form responses 1'!$F$2:$F$2604,""))</f>
        <v/>
      </c>
      <c r="I1275" s="44" t="str">
        <f t="array" ref="I1275">IF(B1275="","",_xlfn.XLOOKUP(B1275,'Form responses 1'!$B$2:$B$2604,'Form responses 1'!$I$2:$I$2604,""))</f>
        <v/>
      </c>
      <c r="J1275" s="44" t="str">
        <f t="array" ref="J1275">IF(B1275="","",_xlfn.XLOOKUP(B1275,'Form responses 1'!$B$2:$B$2604,'Form responses 1'!$G$2:$G$2604,""))</f>
        <v/>
      </c>
      <c r="K1275" s="56"/>
      <c r="L1275" s="58" t="str">
        <f t="shared" si="7"/>
        <v/>
      </c>
      <c r="M1275" s="49"/>
      <c r="N1275" s="49"/>
      <c r="O1275" s="49"/>
      <c r="P1275" s="49"/>
      <c r="Q1275" s="49"/>
      <c r="R1275" s="49"/>
      <c r="S1275" s="49"/>
      <c r="T1275" s="49"/>
      <c r="U1275" s="49"/>
      <c r="V1275" s="49"/>
      <c r="W1275" s="56"/>
      <c r="X1275" s="51" t="str">
        <f t="shared" si="5"/>
        <v/>
      </c>
      <c r="Y1275" s="50" t="s">
        <v>482</v>
      </c>
      <c r="Z1275" s="49">
        <f t="shared" si="6"/>
        <v>0</v>
      </c>
    </row>
    <row r="1276" ht="22.5" customHeight="1">
      <c r="B1276" s="57"/>
      <c r="C1276" s="43" t="str">
        <f t="array" ref="C1276">IF(B1276="","",_xlfn.XLOOKUP(B1276,'Form responses 1'!$B$2:$B$2604,'Form responses 1'!$A$2:$A$2604,""))</f>
        <v/>
      </c>
      <c r="D1276" s="44" t="str">
        <f t="shared" si="3"/>
        <v/>
      </c>
      <c r="E1276" s="44" t="str">
        <f t="array" ref="E1276">IF(B1276="","",_xlfn.XLOOKUP(B1276,'Form responses 1'!$B$2:$B$2604,'Form responses 1'!$C$2:$C$2604,""))</f>
        <v/>
      </c>
      <c r="F1276" s="44" t="str">
        <f t="array" ref="F1276">IF(B1276="","",_xlfn.XLOOKUP(B1276,'Form responses 1'!$B$2:$B$2604,'Form responses 1'!$D$2:$D$2604,""))</f>
        <v/>
      </c>
      <c r="G1276" s="44" t="str">
        <f t="array" ref="G1276">IF(B1276="","",_xlfn.XLOOKUP(B1276,'Form responses 1'!$B$2:$B$2604,'Form responses 1'!$E$2:$E$2604,""))</f>
        <v/>
      </c>
      <c r="H1276" s="44" t="str">
        <f t="array" ref="H1276">IF(B1276="","",_xlfn.XLOOKUP(B1276,'Form responses 1'!$B$2:$B$2604,'Form responses 1'!$F$2:$F$2604,""))</f>
        <v/>
      </c>
      <c r="I1276" s="44" t="str">
        <f t="array" ref="I1276">IF(B1276="","",_xlfn.XLOOKUP(B1276,'Form responses 1'!$B$2:$B$2604,'Form responses 1'!$I$2:$I$2604,""))</f>
        <v/>
      </c>
      <c r="J1276" s="44" t="str">
        <f t="array" ref="J1276">IF(B1276="","",_xlfn.XLOOKUP(B1276,'Form responses 1'!$B$2:$B$2604,'Form responses 1'!$G$2:$G$2604,""))</f>
        <v/>
      </c>
      <c r="K1276" s="56"/>
      <c r="L1276" s="58" t="str">
        <f t="shared" si="7"/>
        <v/>
      </c>
      <c r="M1276" s="49"/>
      <c r="N1276" s="49"/>
      <c r="O1276" s="49"/>
      <c r="P1276" s="49"/>
      <c r="Q1276" s="49"/>
      <c r="R1276" s="49"/>
      <c r="S1276" s="49"/>
      <c r="T1276" s="49"/>
      <c r="U1276" s="49"/>
      <c r="V1276" s="49"/>
      <c r="W1276" s="56"/>
      <c r="X1276" s="51" t="str">
        <f t="shared" si="5"/>
        <v/>
      </c>
      <c r="Y1276" s="50" t="s">
        <v>482</v>
      </c>
      <c r="Z1276" s="49">
        <f t="shared" si="6"/>
        <v>0</v>
      </c>
    </row>
    <row r="1277" ht="22.5" customHeight="1">
      <c r="B1277" s="57"/>
      <c r="C1277" s="43" t="str">
        <f t="array" ref="C1277">IF(B1277="","",_xlfn.XLOOKUP(B1277,'Form responses 1'!$B$2:$B$2604,'Form responses 1'!$A$2:$A$2604,""))</f>
        <v/>
      </c>
      <c r="D1277" s="44" t="str">
        <f t="shared" si="3"/>
        <v/>
      </c>
      <c r="E1277" s="44" t="str">
        <f t="array" ref="E1277">IF(B1277="","",_xlfn.XLOOKUP(B1277,'Form responses 1'!$B$2:$B$2604,'Form responses 1'!$C$2:$C$2604,""))</f>
        <v/>
      </c>
      <c r="F1277" s="44" t="str">
        <f t="array" ref="F1277">IF(B1277="","",_xlfn.XLOOKUP(B1277,'Form responses 1'!$B$2:$B$2604,'Form responses 1'!$D$2:$D$2604,""))</f>
        <v/>
      </c>
      <c r="G1277" s="44" t="str">
        <f t="array" ref="G1277">IF(B1277="","",_xlfn.XLOOKUP(B1277,'Form responses 1'!$B$2:$B$2604,'Form responses 1'!$E$2:$E$2604,""))</f>
        <v/>
      </c>
      <c r="H1277" s="44" t="str">
        <f t="array" ref="H1277">IF(B1277="","",_xlfn.XLOOKUP(B1277,'Form responses 1'!$B$2:$B$2604,'Form responses 1'!$F$2:$F$2604,""))</f>
        <v/>
      </c>
      <c r="I1277" s="44" t="str">
        <f t="array" ref="I1277">IF(B1277="","",_xlfn.XLOOKUP(B1277,'Form responses 1'!$B$2:$B$2604,'Form responses 1'!$I$2:$I$2604,""))</f>
        <v/>
      </c>
      <c r="J1277" s="44" t="str">
        <f t="array" ref="J1277">IF(B1277="","",_xlfn.XLOOKUP(B1277,'Form responses 1'!$B$2:$B$2604,'Form responses 1'!$G$2:$G$2604,""))</f>
        <v/>
      </c>
      <c r="K1277" s="56"/>
      <c r="L1277" s="58" t="str">
        <f t="shared" si="7"/>
        <v/>
      </c>
      <c r="M1277" s="49"/>
      <c r="N1277" s="49"/>
      <c r="O1277" s="49"/>
      <c r="P1277" s="49"/>
      <c r="Q1277" s="49"/>
      <c r="R1277" s="49"/>
      <c r="S1277" s="49"/>
      <c r="T1277" s="49"/>
      <c r="U1277" s="49"/>
      <c r="V1277" s="49"/>
      <c r="W1277" s="56"/>
      <c r="X1277" s="51" t="str">
        <f t="shared" si="5"/>
        <v/>
      </c>
      <c r="Y1277" s="50" t="s">
        <v>482</v>
      </c>
      <c r="Z1277" s="49">
        <f t="shared" si="6"/>
        <v>0</v>
      </c>
    </row>
    <row r="1278" ht="22.5" customHeight="1">
      <c r="B1278" s="57"/>
      <c r="C1278" s="43" t="str">
        <f t="array" ref="C1278">IF(B1278="","",_xlfn.XLOOKUP(B1278,'Form responses 1'!$B$2:$B$2604,'Form responses 1'!$A$2:$A$2604,""))</f>
        <v/>
      </c>
      <c r="D1278" s="44" t="str">
        <f t="shared" si="3"/>
        <v/>
      </c>
      <c r="E1278" s="44" t="str">
        <f t="array" ref="E1278">IF(B1278="","",_xlfn.XLOOKUP(B1278,'Form responses 1'!$B$2:$B$2604,'Form responses 1'!$C$2:$C$2604,""))</f>
        <v/>
      </c>
      <c r="F1278" s="44" t="str">
        <f t="array" ref="F1278">IF(B1278="","",_xlfn.XLOOKUP(B1278,'Form responses 1'!$B$2:$B$2604,'Form responses 1'!$D$2:$D$2604,""))</f>
        <v/>
      </c>
      <c r="G1278" s="44" t="str">
        <f t="array" ref="G1278">IF(B1278="","",_xlfn.XLOOKUP(B1278,'Form responses 1'!$B$2:$B$2604,'Form responses 1'!$E$2:$E$2604,""))</f>
        <v/>
      </c>
      <c r="H1278" s="44" t="str">
        <f t="array" ref="H1278">IF(B1278="","",_xlfn.XLOOKUP(B1278,'Form responses 1'!$B$2:$B$2604,'Form responses 1'!$F$2:$F$2604,""))</f>
        <v/>
      </c>
      <c r="I1278" s="44" t="str">
        <f t="array" ref="I1278">IF(B1278="","",_xlfn.XLOOKUP(B1278,'Form responses 1'!$B$2:$B$2604,'Form responses 1'!$I$2:$I$2604,""))</f>
        <v/>
      </c>
      <c r="J1278" s="44" t="str">
        <f t="array" ref="J1278">IF(B1278="","",_xlfn.XLOOKUP(B1278,'Form responses 1'!$B$2:$B$2604,'Form responses 1'!$G$2:$G$2604,""))</f>
        <v/>
      </c>
      <c r="K1278" s="56"/>
      <c r="L1278" s="58" t="str">
        <f t="shared" si="7"/>
        <v/>
      </c>
      <c r="M1278" s="49"/>
      <c r="N1278" s="49"/>
      <c r="O1278" s="49"/>
      <c r="P1278" s="49"/>
      <c r="Q1278" s="49"/>
      <c r="R1278" s="49"/>
      <c r="S1278" s="49"/>
      <c r="T1278" s="49"/>
      <c r="U1278" s="49"/>
      <c r="V1278" s="49"/>
      <c r="W1278" s="56"/>
      <c r="X1278" s="51" t="str">
        <f t="shared" si="5"/>
        <v/>
      </c>
      <c r="Y1278" s="50" t="s">
        <v>482</v>
      </c>
      <c r="Z1278" s="49">
        <f t="shared" si="6"/>
        <v>0</v>
      </c>
    </row>
    <row r="1279" ht="22.5" customHeight="1">
      <c r="B1279" s="57"/>
      <c r="C1279" s="43" t="str">
        <f t="array" ref="C1279">IF(B1279="","",_xlfn.XLOOKUP(B1279,'Form responses 1'!$B$2:$B$2604,'Form responses 1'!$A$2:$A$2604,""))</f>
        <v/>
      </c>
      <c r="D1279" s="44" t="str">
        <f t="shared" si="3"/>
        <v/>
      </c>
      <c r="E1279" s="44" t="str">
        <f t="array" ref="E1279">IF(B1279="","",_xlfn.XLOOKUP(B1279,'Form responses 1'!$B$2:$B$2604,'Form responses 1'!$C$2:$C$2604,""))</f>
        <v/>
      </c>
      <c r="F1279" s="44" t="str">
        <f t="array" ref="F1279">IF(B1279="","",_xlfn.XLOOKUP(B1279,'Form responses 1'!$B$2:$B$2604,'Form responses 1'!$D$2:$D$2604,""))</f>
        <v/>
      </c>
      <c r="G1279" s="44" t="str">
        <f t="array" ref="G1279">IF(B1279="","",_xlfn.XLOOKUP(B1279,'Form responses 1'!$B$2:$B$2604,'Form responses 1'!$E$2:$E$2604,""))</f>
        <v/>
      </c>
      <c r="H1279" s="44" t="str">
        <f t="array" ref="H1279">IF(B1279="","",_xlfn.XLOOKUP(B1279,'Form responses 1'!$B$2:$B$2604,'Form responses 1'!$F$2:$F$2604,""))</f>
        <v/>
      </c>
      <c r="I1279" s="44" t="str">
        <f t="array" ref="I1279">IF(B1279="","",_xlfn.XLOOKUP(B1279,'Form responses 1'!$B$2:$B$2604,'Form responses 1'!$I$2:$I$2604,""))</f>
        <v/>
      </c>
      <c r="J1279" s="44" t="str">
        <f t="array" ref="J1279">IF(B1279="","",_xlfn.XLOOKUP(B1279,'Form responses 1'!$B$2:$B$2604,'Form responses 1'!$G$2:$G$2604,""))</f>
        <v/>
      </c>
      <c r="K1279" s="56"/>
      <c r="L1279" s="58" t="str">
        <f t="shared" si="7"/>
        <v/>
      </c>
      <c r="M1279" s="49"/>
      <c r="N1279" s="49"/>
      <c r="O1279" s="49"/>
      <c r="P1279" s="49"/>
      <c r="Q1279" s="49"/>
      <c r="R1279" s="49"/>
      <c r="S1279" s="49"/>
      <c r="T1279" s="49"/>
      <c r="U1279" s="49"/>
      <c r="V1279" s="49"/>
      <c r="W1279" s="56"/>
      <c r="X1279" s="51" t="str">
        <f t="shared" si="5"/>
        <v/>
      </c>
      <c r="Y1279" s="50" t="s">
        <v>482</v>
      </c>
      <c r="Z1279" s="49">
        <f t="shared" si="6"/>
        <v>0</v>
      </c>
    </row>
    <row r="1280" ht="22.5" customHeight="1">
      <c r="B1280" s="57"/>
      <c r="C1280" s="43" t="str">
        <f t="array" ref="C1280">IF(B1280="","",_xlfn.XLOOKUP(B1280,'Form responses 1'!$B$2:$B$2604,'Form responses 1'!$A$2:$A$2604,""))</f>
        <v/>
      </c>
      <c r="D1280" s="44" t="str">
        <f t="shared" si="3"/>
        <v/>
      </c>
      <c r="E1280" s="44" t="str">
        <f t="array" ref="E1280">IF(B1280="","",_xlfn.XLOOKUP(B1280,'Form responses 1'!$B$2:$B$2604,'Form responses 1'!$C$2:$C$2604,""))</f>
        <v/>
      </c>
      <c r="F1280" s="44" t="str">
        <f t="array" ref="F1280">IF(B1280="","",_xlfn.XLOOKUP(B1280,'Form responses 1'!$B$2:$B$2604,'Form responses 1'!$D$2:$D$2604,""))</f>
        <v/>
      </c>
      <c r="G1280" s="44" t="str">
        <f t="array" ref="G1280">IF(B1280="","",_xlfn.XLOOKUP(B1280,'Form responses 1'!$B$2:$B$2604,'Form responses 1'!$E$2:$E$2604,""))</f>
        <v/>
      </c>
      <c r="H1280" s="44" t="str">
        <f t="array" ref="H1280">IF(B1280="","",_xlfn.XLOOKUP(B1280,'Form responses 1'!$B$2:$B$2604,'Form responses 1'!$F$2:$F$2604,""))</f>
        <v/>
      </c>
      <c r="I1280" s="44" t="str">
        <f t="array" ref="I1280">IF(B1280="","",_xlfn.XLOOKUP(B1280,'Form responses 1'!$B$2:$B$2604,'Form responses 1'!$I$2:$I$2604,""))</f>
        <v/>
      </c>
      <c r="J1280" s="44" t="str">
        <f t="array" ref="J1280">IF(B1280="","",_xlfn.XLOOKUP(B1280,'Form responses 1'!$B$2:$B$2604,'Form responses 1'!$G$2:$G$2604,""))</f>
        <v/>
      </c>
      <c r="K1280" s="56"/>
      <c r="L1280" s="58" t="str">
        <f t="shared" si="7"/>
        <v/>
      </c>
      <c r="M1280" s="49"/>
      <c r="N1280" s="49"/>
      <c r="O1280" s="49"/>
      <c r="P1280" s="49"/>
      <c r="Q1280" s="49"/>
      <c r="R1280" s="49"/>
      <c r="S1280" s="49"/>
      <c r="T1280" s="49"/>
      <c r="U1280" s="49"/>
      <c r="V1280" s="49"/>
      <c r="W1280" s="56"/>
      <c r="X1280" s="51" t="str">
        <f t="shared" si="5"/>
        <v/>
      </c>
      <c r="Y1280" s="50" t="s">
        <v>482</v>
      </c>
      <c r="Z1280" s="49">
        <f t="shared" si="6"/>
        <v>0</v>
      </c>
    </row>
    <row r="1281" ht="22.5" customHeight="1">
      <c r="B1281" s="57"/>
      <c r="C1281" s="43" t="str">
        <f t="array" ref="C1281">IF(B1281="","",_xlfn.XLOOKUP(B1281,'Form responses 1'!$B$2:$B$2604,'Form responses 1'!$A$2:$A$2604,""))</f>
        <v/>
      </c>
      <c r="D1281" s="44" t="str">
        <f t="shared" si="3"/>
        <v/>
      </c>
      <c r="E1281" s="44" t="str">
        <f t="array" ref="E1281">IF(B1281="","",_xlfn.XLOOKUP(B1281,'Form responses 1'!$B$2:$B$2604,'Form responses 1'!$C$2:$C$2604,""))</f>
        <v/>
      </c>
      <c r="F1281" s="44" t="str">
        <f t="array" ref="F1281">IF(B1281="","",_xlfn.XLOOKUP(B1281,'Form responses 1'!$B$2:$B$2604,'Form responses 1'!$D$2:$D$2604,""))</f>
        <v/>
      </c>
      <c r="G1281" s="44" t="str">
        <f t="array" ref="G1281">IF(B1281="","",_xlfn.XLOOKUP(B1281,'Form responses 1'!$B$2:$B$2604,'Form responses 1'!$E$2:$E$2604,""))</f>
        <v/>
      </c>
      <c r="H1281" s="44" t="str">
        <f t="array" ref="H1281">IF(B1281="","",_xlfn.XLOOKUP(B1281,'Form responses 1'!$B$2:$B$2604,'Form responses 1'!$F$2:$F$2604,""))</f>
        <v/>
      </c>
      <c r="I1281" s="44" t="str">
        <f t="array" ref="I1281">IF(B1281="","",_xlfn.XLOOKUP(B1281,'Form responses 1'!$B$2:$B$2604,'Form responses 1'!$I$2:$I$2604,""))</f>
        <v/>
      </c>
      <c r="J1281" s="44" t="str">
        <f t="array" ref="J1281">IF(B1281="","",_xlfn.XLOOKUP(B1281,'Form responses 1'!$B$2:$B$2604,'Form responses 1'!$G$2:$G$2604,""))</f>
        <v/>
      </c>
      <c r="K1281" s="56"/>
      <c r="L1281" s="58" t="str">
        <f t="shared" si="7"/>
        <v/>
      </c>
      <c r="M1281" s="49"/>
      <c r="N1281" s="49"/>
      <c r="O1281" s="49"/>
      <c r="P1281" s="49"/>
      <c r="Q1281" s="49"/>
      <c r="R1281" s="49"/>
      <c r="S1281" s="49"/>
      <c r="T1281" s="49"/>
      <c r="U1281" s="49"/>
      <c r="V1281" s="49"/>
      <c r="W1281" s="56"/>
      <c r="X1281" s="51" t="str">
        <f t="shared" si="5"/>
        <v/>
      </c>
      <c r="Y1281" s="50" t="s">
        <v>482</v>
      </c>
      <c r="Z1281" s="49">
        <f t="shared" si="6"/>
        <v>0</v>
      </c>
    </row>
    <row r="1282" ht="22.5" customHeight="1">
      <c r="B1282" s="57"/>
      <c r="C1282" s="43" t="str">
        <f t="array" ref="C1282">IF(B1282="","",_xlfn.XLOOKUP(B1282,'Form responses 1'!$B$2:$B$2604,'Form responses 1'!$A$2:$A$2604,""))</f>
        <v/>
      </c>
      <c r="D1282" s="44" t="str">
        <f t="shared" si="3"/>
        <v/>
      </c>
      <c r="E1282" s="44" t="str">
        <f t="array" ref="E1282">IF(B1282="","",_xlfn.XLOOKUP(B1282,'Form responses 1'!$B$2:$B$2604,'Form responses 1'!$C$2:$C$2604,""))</f>
        <v/>
      </c>
      <c r="F1282" s="44" t="str">
        <f t="array" ref="F1282">IF(B1282="","",_xlfn.XLOOKUP(B1282,'Form responses 1'!$B$2:$B$2604,'Form responses 1'!$D$2:$D$2604,""))</f>
        <v/>
      </c>
      <c r="G1282" s="44" t="str">
        <f t="array" ref="G1282">IF(B1282="","",_xlfn.XLOOKUP(B1282,'Form responses 1'!$B$2:$B$2604,'Form responses 1'!$E$2:$E$2604,""))</f>
        <v/>
      </c>
      <c r="H1282" s="44" t="str">
        <f t="array" ref="H1282">IF(B1282="","",_xlfn.XLOOKUP(B1282,'Form responses 1'!$B$2:$B$2604,'Form responses 1'!$F$2:$F$2604,""))</f>
        <v/>
      </c>
      <c r="I1282" s="44" t="str">
        <f t="array" ref="I1282">IF(B1282="","",_xlfn.XLOOKUP(B1282,'Form responses 1'!$B$2:$B$2604,'Form responses 1'!$I$2:$I$2604,""))</f>
        <v/>
      </c>
      <c r="J1282" s="44" t="str">
        <f t="array" ref="J1282">IF(B1282="","",_xlfn.XLOOKUP(B1282,'Form responses 1'!$B$2:$B$2604,'Form responses 1'!$G$2:$G$2604,""))</f>
        <v/>
      </c>
      <c r="K1282" s="56"/>
      <c r="L1282" s="58" t="str">
        <f t="shared" si="7"/>
        <v/>
      </c>
      <c r="M1282" s="49"/>
      <c r="N1282" s="49"/>
      <c r="O1282" s="49"/>
      <c r="P1282" s="49"/>
      <c r="Q1282" s="49"/>
      <c r="R1282" s="49"/>
      <c r="S1282" s="49"/>
      <c r="T1282" s="49"/>
      <c r="U1282" s="49"/>
      <c r="V1282" s="49"/>
      <c r="W1282" s="56"/>
      <c r="X1282" s="51" t="str">
        <f t="shared" si="5"/>
        <v/>
      </c>
      <c r="Y1282" s="50" t="s">
        <v>482</v>
      </c>
      <c r="Z1282" s="49">
        <f t="shared" si="6"/>
        <v>0</v>
      </c>
    </row>
    <row r="1283" ht="22.5" customHeight="1">
      <c r="B1283" s="57"/>
      <c r="C1283" s="43" t="str">
        <f t="array" ref="C1283">IF(B1283="","",_xlfn.XLOOKUP(B1283,'Form responses 1'!$B$2:$B$2604,'Form responses 1'!$A$2:$A$2604,""))</f>
        <v/>
      </c>
      <c r="D1283" s="44" t="str">
        <f t="shared" si="3"/>
        <v/>
      </c>
      <c r="E1283" s="44" t="str">
        <f t="array" ref="E1283">IF(B1283="","",_xlfn.XLOOKUP(B1283,'Form responses 1'!$B$2:$B$2604,'Form responses 1'!$C$2:$C$2604,""))</f>
        <v/>
      </c>
      <c r="F1283" s="44" t="str">
        <f t="array" ref="F1283">IF(B1283="","",_xlfn.XLOOKUP(B1283,'Form responses 1'!$B$2:$B$2604,'Form responses 1'!$D$2:$D$2604,""))</f>
        <v/>
      </c>
      <c r="G1283" s="44" t="str">
        <f t="array" ref="G1283">IF(B1283="","",_xlfn.XLOOKUP(B1283,'Form responses 1'!$B$2:$B$2604,'Form responses 1'!$E$2:$E$2604,""))</f>
        <v/>
      </c>
      <c r="H1283" s="44" t="str">
        <f t="array" ref="H1283">IF(B1283="","",_xlfn.XLOOKUP(B1283,'Form responses 1'!$B$2:$B$2604,'Form responses 1'!$F$2:$F$2604,""))</f>
        <v/>
      </c>
      <c r="I1283" s="44" t="str">
        <f t="array" ref="I1283">IF(B1283="","",_xlfn.XLOOKUP(B1283,'Form responses 1'!$B$2:$B$2604,'Form responses 1'!$I$2:$I$2604,""))</f>
        <v/>
      </c>
      <c r="J1283" s="44" t="str">
        <f t="array" ref="J1283">IF(B1283="","",_xlfn.XLOOKUP(B1283,'Form responses 1'!$B$2:$B$2604,'Form responses 1'!$G$2:$G$2604,""))</f>
        <v/>
      </c>
      <c r="K1283" s="56"/>
      <c r="L1283" s="58" t="str">
        <f t="shared" si="7"/>
        <v/>
      </c>
      <c r="M1283" s="49"/>
      <c r="N1283" s="49"/>
      <c r="O1283" s="49"/>
      <c r="P1283" s="49"/>
      <c r="Q1283" s="49"/>
      <c r="R1283" s="49"/>
      <c r="S1283" s="49"/>
      <c r="T1283" s="49"/>
      <c r="U1283" s="49"/>
      <c r="V1283" s="49"/>
      <c r="W1283" s="56"/>
      <c r="X1283" s="51" t="str">
        <f t="shared" si="5"/>
        <v/>
      </c>
      <c r="Y1283" s="50" t="s">
        <v>482</v>
      </c>
      <c r="Z1283" s="49">
        <f t="shared" si="6"/>
        <v>0</v>
      </c>
    </row>
    <row r="1284" ht="22.5" customHeight="1">
      <c r="B1284" s="57"/>
      <c r="C1284" s="43" t="str">
        <f t="array" ref="C1284">IF(B1284="","",_xlfn.XLOOKUP(B1284,'Form responses 1'!$B$2:$B$2604,'Form responses 1'!$A$2:$A$2604,""))</f>
        <v/>
      </c>
      <c r="D1284" s="44" t="str">
        <f t="shared" si="3"/>
        <v/>
      </c>
      <c r="E1284" s="44" t="str">
        <f t="array" ref="E1284">IF(B1284="","",_xlfn.XLOOKUP(B1284,'Form responses 1'!$B$2:$B$2604,'Form responses 1'!$C$2:$C$2604,""))</f>
        <v/>
      </c>
      <c r="F1284" s="44" t="str">
        <f t="array" ref="F1284">IF(B1284="","",_xlfn.XLOOKUP(B1284,'Form responses 1'!$B$2:$B$2604,'Form responses 1'!$D$2:$D$2604,""))</f>
        <v/>
      </c>
      <c r="G1284" s="44" t="str">
        <f t="array" ref="G1284">IF(B1284="","",_xlfn.XLOOKUP(B1284,'Form responses 1'!$B$2:$B$2604,'Form responses 1'!$E$2:$E$2604,""))</f>
        <v/>
      </c>
      <c r="H1284" s="44" t="str">
        <f t="array" ref="H1284">IF(B1284="","",_xlfn.XLOOKUP(B1284,'Form responses 1'!$B$2:$B$2604,'Form responses 1'!$F$2:$F$2604,""))</f>
        <v/>
      </c>
      <c r="I1284" s="44" t="str">
        <f t="array" ref="I1284">IF(B1284="","",_xlfn.XLOOKUP(B1284,'Form responses 1'!$B$2:$B$2604,'Form responses 1'!$I$2:$I$2604,""))</f>
        <v/>
      </c>
      <c r="J1284" s="44" t="str">
        <f t="array" ref="J1284">IF(B1284="","",_xlfn.XLOOKUP(B1284,'Form responses 1'!$B$2:$B$2604,'Form responses 1'!$G$2:$G$2604,""))</f>
        <v/>
      </c>
      <c r="K1284" s="56"/>
      <c r="L1284" s="58" t="str">
        <f t="shared" si="7"/>
        <v/>
      </c>
      <c r="M1284" s="49"/>
      <c r="N1284" s="49"/>
      <c r="O1284" s="49"/>
      <c r="P1284" s="49"/>
      <c r="Q1284" s="49"/>
      <c r="R1284" s="49"/>
      <c r="S1284" s="49"/>
      <c r="T1284" s="49"/>
      <c r="U1284" s="49"/>
      <c r="V1284" s="49"/>
      <c r="W1284" s="56"/>
      <c r="X1284" s="51" t="str">
        <f t="shared" si="5"/>
        <v/>
      </c>
      <c r="Y1284" s="50" t="s">
        <v>482</v>
      </c>
      <c r="Z1284" s="49">
        <f t="shared" si="6"/>
        <v>0</v>
      </c>
    </row>
    <row r="1285" ht="22.5" customHeight="1">
      <c r="B1285" s="57"/>
      <c r="C1285" s="43" t="str">
        <f t="array" ref="C1285">IF(B1285="","",_xlfn.XLOOKUP(B1285,'Form responses 1'!$B$2:$B$2604,'Form responses 1'!$A$2:$A$2604,""))</f>
        <v/>
      </c>
      <c r="D1285" s="44" t="str">
        <f t="shared" si="3"/>
        <v/>
      </c>
      <c r="E1285" s="44" t="str">
        <f t="array" ref="E1285">IF(B1285="","",_xlfn.XLOOKUP(B1285,'Form responses 1'!$B$2:$B$2604,'Form responses 1'!$C$2:$C$2604,""))</f>
        <v/>
      </c>
      <c r="F1285" s="44" t="str">
        <f t="array" ref="F1285">IF(B1285="","",_xlfn.XLOOKUP(B1285,'Form responses 1'!$B$2:$B$2604,'Form responses 1'!$D$2:$D$2604,""))</f>
        <v/>
      </c>
      <c r="G1285" s="44" t="str">
        <f t="array" ref="G1285">IF(B1285="","",_xlfn.XLOOKUP(B1285,'Form responses 1'!$B$2:$B$2604,'Form responses 1'!$E$2:$E$2604,""))</f>
        <v/>
      </c>
      <c r="H1285" s="44" t="str">
        <f t="array" ref="H1285">IF(B1285="","",_xlfn.XLOOKUP(B1285,'Form responses 1'!$B$2:$B$2604,'Form responses 1'!$F$2:$F$2604,""))</f>
        <v/>
      </c>
      <c r="I1285" s="44" t="str">
        <f t="array" ref="I1285">IF(B1285="","",_xlfn.XLOOKUP(B1285,'Form responses 1'!$B$2:$B$2604,'Form responses 1'!$I$2:$I$2604,""))</f>
        <v/>
      </c>
      <c r="J1285" s="44" t="str">
        <f t="array" ref="J1285">IF(B1285="","",_xlfn.XLOOKUP(B1285,'Form responses 1'!$B$2:$B$2604,'Form responses 1'!$G$2:$G$2604,""))</f>
        <v/>
      </c>
      <c r="K1285" s="56"/>
      <c r="L1285" s="58" t="str">
        <f t="shared" si="7"/>
        <v/>
      </c>
      <c r="M1285" s="49"/>
      <c r="N1285" s="49"/>
      <c r="O1285" s="49"/>
      <c r="P1285" s="49"/>
      <c r="Q1285" s="49"/>
      <c r="R1285" s="49"/>
      <c r="S1285" s="49"/>
      <c r="T1285" s="49"/>
      <c r="U1285" s="49"/>
      <c r="V1285" s="49"/>
      <c r="W1285" s="56"/>
      <c r="X1285" s="51" t="str">
        <f t="shared" si="5"/>
        <v/>
      </c>
      <c r="Y1285" s="50" t="s">
        <v>482</v>
      </c>
      <c r="Z1285" s="49">
        <f t="shared" si="6"/>
        <v>0</v>
      </c>
    </row>
    <row r="1286" ht="22.5" customHeight="1">
      <c r="B1286" s="57"/>
      <c r="C1286" s="43" t="str">
        <f t="array" ref="C1286">IF(B1286="","",_xlfn.XLOOKUP(B1286,'Form responses 1'!$B$2:$B$2604,'Form responses 1'!$A$2:$A$2604,""))</f>
        <v/>
      </c>
      <c r="D1286" s="44" t="str">
        <f t="shared" si="3"/>
        <v/>
      </c>
      <c r="E1286" s="44" t="str">
        <f t="array" ref="E1286">IF(B1286="","",_xlfn.XLOOKUP(B1286,'Form responses 1'!$B$2:$B$2604,'Form responses 1'!$C$2:$C$2604,""))</f>
        <v/>
      </c>
      <c r="F1286" s="44" t="str">
        <f t="array" ref="F1286">IF(B1286="","",_xlfn.XLOOKUP(B1286,'Form responses 1'!$B$2:$B$2604,'Form responses 1'!$D$2:$D$2604,""))</f>
        <v/>
      </c>
      <c r="G1286" s="44" t="str">
        <f t="array" ref="G1286">IF(B1286="","",_xlfn.XLOOKUP(B1286,'Form responses 1'!$B$2:$B$2604,'Form responses 1'!$E$2:$E$2604,""))</f>
        <v/>
      </c>
      <c r="H1286" s="44" t="str">
        <f t="array" ref="H1286">IF(B1286="","",_xlfn.XLOOKUP(B1286,'Form responses 1'!$B$2:$B$2604,'Form responses 1'!$F$2:$F$2604,""))</f>
        <v/>
      </c>
      <c r="I1286" s="44" t="str">
        <f t="array" ref="I1286">IF(B1286="","",_xlfn.XLOOKUP(B1286,'Form responses 1'!$B$2:$B$2604,'Form responses 1'!$I$2:$I$2604,""))</f>
        <v/>
      </c>
      <c r="J1286" s="44" t="str">
        <f t="array" ref="J1286">IF(B1286="","",_xlfn.XLOOKUP(B1286,'Form responses 1'!$B$2:$B$2604,'Form responses 1'!$G$2:$G$2604,""))</f>
        <v/>
      </c>
      <c r="K1286" s="56"/>
      <c r="L1286" s="58" t="str">
        <f t="shared" si="7"/>
        <v/>
      </c>
      <c r="M1286" s="49"/>
      <c r="N1286" s="49"/>
      <c r="O1286" s="49"/>
      <c r="P1286" s="49"/>
      <c r="Q1286" s="49"/>
      <c r="R1286" s="49"/>
      <c r="S1286" s="49"/>
      <c r="T1286" s="49"/>
      <c r="U1286" s="49"/>
      <c r="V1286" s="49"/>
      <c r="W1286" s="56"/>
      <c r="X1286" s="51" t="str">
        <f t="shared" si="5"/>
        <v/>
      </c>
      <c r="Y1286" s="50" t="s">
        <v>482</v>
      </c>
      <c r="Z1286" s="49">
        <f t="shared" si="6"/>
        <v>0</v>
      </c>
    </row>
    <row r="1287" ht="22.5" customHeight="1">
      <c r="B1287" s="57"/>
      <c r="C1287" s="43" t="str">
        <f t="array" ref="C1287">IF(B1287="","",_xlfn.XLOOKUP(B1287,'Form responses 1'!$B$2:$B$2604,'Form responses 1'!$A$2:$A$2604,""))</f>
        <v/>
      </c>
      <c r="D1287" s="44" t="str">
        <f t="shared" si="3"/>
        <v/>
      </c>
      <c r="E1287" s="44" t="str">
        <f t="array" ref="E1287">IF(B1287="","",_xlfn.XLOOKUP(B1287,'Form responses 1'!$B$2:$B$2604,'Form responses 1'!$C$2:$C$2604,""))</f>
        <v/>
      </c>
      <c r="F1287" s="44" t="str">
        <f t="array" ref="F1287">IF(B1287="","",_xlfn.XLOOKUP(B1287,'Form responses 1'!$B$2:$B$2604,'Form responses 1'!$D$2:$D$2604,""))</f>
        <v/>
      </c>
      <c r="G1287" s="44" t="str">
        <f t="array" ref="G1287">IF(B1287="","",_xlfn.XLOOKUP(B1287,'Form responses 1'!$B$2:$B$2604,'Form responses 1'!$E$2:$E$2604,""))</f>
        <v/>
      </c>
      <c r="H1287" s="44" t="str">
        <f t="array" ref="H1287">IF(B1287="","",_xlfn.XLOOKUP(B1287,'Form responses 1'!$B$2:$B$2604,'Form responses 1'!$F$2:$F$2604,""))</f>
        <v/>
      </c>
      <c r="I1287" s="44" t="str">
        <f t="array" ref="I1287">IF(B1287="","",_xlfn.XLOOKUP(B1287,'Form responses 1'!$B$2:$B$2604,'Form responses 1'!$I$2:$I$2604,""))</f>
        <v/>
      </c>
      <c r="J1287" s="44" t="str">
        <f t="array" ref="J1287">IF(B1287="","",_xlfn.XLOOKUP(B1287,'Form responses 1'!$B$2:$B$2604,'Form responses 1'!$G$2:$G$2604,""))</f>
        <v/>
      </c>
      <c r="K1287" s="56"/>
      <c r="L1287" s="58" t="str">
        <f t="shared" si="7"/>
        <v/>
      </c>
      <c r="M1287" s="49"/>
      <c r="N1287" s="49"/>
      <c r="O1287" s="49"/>
      <c r="P1287" s="49"/>
      <c r="Q1287" s="49"/>
      <c r="R1287" s="49"/>
      <c r="S1287" s="49"/>
      <c r="T1287" s="49"/>
      <c r="U1287" s="49"/>
      <c r="V1287" s="49"/>
      <c r="W1287" s="56"/>
      <c r="X1287" s="51" t="str">
        <f t="shared" si="5"/>
        <v/>
      </c>
      <c r="Y1287" s="50" t="s">
        <v>482</v>
      </c>
      <c r="Z1287" s="49">
        <f t="shared" si="6"/>
        <v>0</v>
      </c>
    </row>
    <row r="1288" ht="22.5" customHeight="1">
      <c r="B1288" s="57"/>
      <c r="C1288" s="43" t="str">
        <f t="array" ref="C1288">IF(B1288="","",_xlfn.XLOOKUP(B1288,'Form responses 1'!$B$2:$B$2604,'Form responses 1'!$A$2:$A$2604,""))</f>
        <v/>
      </c>
      <c r="D1288" s="44" t="str">
        <f t="shared" si="3"/>
        <v/>
      </c>
      <c r="E1288" s="44" t="str">
        <f t="array" ref="E1288">IF(B1288="","",_xlfn.XLOOKUP(B1288,'Form responses 1'!$B$2:$B$2604,'Form responses 1'!$C$2:$C$2604,""))</f>
        <v/>
      </c>
      <c r="F1288" s="44" t="str">
        <f t="array" ref="F1288">IF(B1288="","",_xlfn.XLOOKUP(B1288,'Form responses 1'!$B$2:$B$2604,'Form responses 1'!$D$2:$D$2604,""))</f>
        <v/>
      </c>
      <c r="G1288" s="44" t="str">
        <f t="array" ref="G1288">IF(B1288="","",_xlfn.XLOOKUP(B1288,'Form responses 1'!$B$2:$B$2604,'Form responses 1'!$E$2:$E$2604,""))</f>
        <v/>
      </c>
      <c r="H1288" s="44" t="str">
        <f t="array" ref="H1288">IF(B1288="","",_xlfn.XLOOKUP(B1288,'Form responses 1'!$B$2:$B$2604,'Form responses 1'!$F$2:$F$2604,""))</f>
        <v/>
      </c>
      <c r="I1288" s="44" t="str">
        <f t="array" ref="I1288">IF(B1288="","",_xlfn.XLOOKUP(B1288,'Form responses 1'!$B$2:$B$2604,'Form responses 1'!$I$2:$I$2604,""))</f>
        <v/>
      </c>
      <c r="J1288" s="44" t="str">
        <f t="array" ref="J1288">IF(B1288="","",_xlfn.XLOOKUP(B1288,'Form responses 1'!$B$2:$B$2604,'Form responses 1'!$G$2:$G$2604,""))</f>
        <v/>
      </c>
      <c r="K1288" s="56"/>
      <c r="L1288" s="58" t="str">
        <f t="shared" si="7"/>
        <v/>
      </c>
      <c r="M1288" s="49"/>
      <c r="N1288" s="49"/>
      <c r="O1288" s="49"/>
      <c r="P1288" s="49"/>
      <c r="Q1288" s="49"/>
      <c r="R1288" s="49"/>
      <c r="S1288" s="49"/>
      <c r="T1288" s="49"/>
      <c r="U1288" s="49"/>
      <c r="V1288" s="49"/>
      <c r="W1288" s="56"/>
      <c r="X1288" s="51" t="str">
        <f t="shared" si="5"/>
        <v/>
      </c>
      <c r="Y1288" s="50" t="s">
        <v>482</v>
      </c>
      <c r="Z1288" s="49">
        <f t="shared" si="6"/>
        <v>0</v>
      </c>
    </row>
    <row r="1289" ht="22.5" customHeight="1">
      <c r="B1289" s="57"/>
      <c r="C1289" s="43" t="str">
        <f t="array" ref="C1289">IF(B1289="","",_xlfn.XLOOKUP(B1289,'Form responses 1'!$B$2:$B$2604,'Form responses 1'!$A$2:$A$2604,""))</f>
        <v/>
      </c>
      <c r="D1289" s="44" t="str">
        <f t="shared" si="3"/>
        <v/>
      </c>
      <c r="E1289" s="44" t="str">
        <f t="array" ref="E1289">IF(B1289="","",_xlfn.XLOOKUP(B1289,'Form responses 1'!$B$2:$B$2604,'Form responses 1'!$C$2:$C$2604,""))</f>
        <v/>
      </c>
      <c r="F1289" s="44" t="str">
        <f t="array" ref="F1289">IF(B1289="","",_xlfn.XLOOKUP(B1289,'Form responses 1'!$B$2:$B$2604,'Form responses 1'!$D$2:$D$2604,""))</f>
        <v/>
      </c>
      <c r="G1289" s="44" t="str">
        <f t="array" ref="G1289">IF(B1289="","",_xlfn.XLOOKUP(B1289,'Form responses 1'!$B$2:$B$2604,'Form responses 1'!$E$2:$E$2604,""))</f>
        <v/>
      </c>
      <c r="H1289" s="44" t="str">
        <f t="array" ref="H1289">IF(B1289="","",_xlfn.XLOOKUP(B1289,'Form responses 1'!$B$2:$B$2604,'Form responses 1'!$F$2:$F$2604,""))</f>
        <v/>
      </c>
      <c r="I1289" s="44" t="str">
        <f t="array" ref="I1289">IF(B1289="","",_xlfn.XLOOKUP(B1289,'Form responses 1'!$B$2:$B$2604,'Form responses 1'!$I$2:$I$2604,""))</f>
        <v/>
      </c>
      <c r="J1289" s="44" t="str">
        <f t="array" ref="J1289">IF(B1289="","",_xlfn.XLOOKUP(B1289,'Form responses 1'!$B$2:$B$2604,'Form responses 1'!$G$2:$G$2604,""))</f>
        <v/>
      </c>
      <c r="K1289" s="56"/>
      <c r="L1289" s="58" t="str">
        <f t="shared" si="7"/>
        <v/>
      </c>
      <c r="M1289" s="49"/>
      <c r="N1289" s="49"/>
      <c r="O1289" s="49"/>
      <c r="P1289" s="49"/>
      <c r="Q1289" s="49"/>
      <c r="R1289" s="49"/>
      <c r="S1289" s="49"/>
      <c r="T1289" s="49"/>
      <c r="U1289" s="49"/>
      <c r="V1289" s="49"/>
      <c r="W1289" s="56"/>
      <c r="X1289" s="51" t="str">
        <f t="shared" si="5"/>
        <v/>
      </c>
      <c r="Y1289" s="50" t="s">
        <v>482</v>
      </c>
      <c r="Z1289" s="49">
        <f t="shared" si="6"/>
        <v>0</v>
      </c>
    </row>
    <row r="1290" ht="22.5" customHeight="1">
      <c r="B1290" s="57"/>
      <c r="C1290" s="43" t="str">
        <f t="array" ref="C1290">IF(B1290="","",_xlfn.XLOOKUP(B1290,'Form responses 1'!$B$2:$B$2604,'Form responses 1'!$A$2:$A$2604,""))</f>
        <v/>
      </c>
      <c r="D1290" s="44" t="str">
        <f t="shared" si="3"/>
        <v/>
      </c>
      <c r="E1290" s="44" t="str">
        <f t="array" ref="E1290">IF(B1290="","",_xlfn.XLOOKUP(B1290,'Form responses 1'!$B$2:$B$2604,'Form responses 1'!$C$2:$C$2604,""))</f>
        <v/>
      </c>
      <c r="F1290" s="44" t="str">
        <f t="array" ref="F1290">IF(B1290="","",_xlfn.XLOOKUP(B1290,'Form responses 1'!$B$2:$B$2604,'Form responses 1'!$D$2:$D$2604,""))</f>
        <v/>
      </c>
      <c r="G1290" s="44" t="str">
        <f t="array" ref="G1290">IF(B1290="","",_xlfn.XLOOKUP(B1290,'Form responses 1'!$B$2:$B$2604,'Form responses 1'!$E$2:$E$2604,""))</f>
        <v/>
      </c>
      <c r="H1290" s="44" t="str">
        <f t="array" ref="H1290">IF(B1290="","",_xlfn.XLOOKUP(B1290,'Form responses 1'!$B$2:$B$2604,'Form responses 1'!$F$2:$F$2604,""))</f>
        <v/>
      </c>
      <c r="I1290" s="44" t="str">
        <f t="array" ref="I1290">IF(B1290="","",_xlfn.XLOOKUP(B1290,'Form responses 1'!$B$2:$B$2604,'Form responses 1'!$I$2:$I$2604,""))</f>
        <v/>
      </c>
      <c r="J1290" s="44" t="str">
        <f t="array" ref="J1290">IF(B1290="","",_xlfn.XLOOKUP(B1290,'Form responses 1'!$B$2:$B$2604,'Form responses 1'!$G$2:$G$2604,""))</f>
        <v/>
      </c>
      <c r="K1290" s="56"/>
      <c r="L1290" s="58" t="str">
        <f t="shared" si="7"/>
        <v/>
      </c>
      <c r="M1290" s="49"/>
      <c r="N1290" s="49"/>
      <c r="O1290" s="49"/>
      <c r="P1290" s="49"/>
      <c r="Q1290" s="49"/>
      <c r="R1290" s="49"/>
      <c r="S1290" s="49"/>
      <c r="T1290" s="49"/>
      <c r="U1290" s="49"/>
      <c r="V1290" s="49"/>
      <c r="W1290" s="56"/>
      <c r="X1290" s="51" t="str">
        <f t="shared" si="5"/>
        <v/>
      </c>
      <c r="Y1290" s="50" t="s">
        <v>482</v>
      </c>
      <c r="Z1290" s="49">
        <f t="shared" si="6"/>
        <v>0</v>
      </c>
    </row>
    <row r="1291" ht="22.5" customHeight="1">
      <c r="B1291" s="57"/>
      <c r="C1291" s="43" t="str">
        <f t="array" ref="C1291">IF(B1291="","",_xlfn.XLOOKUP(B1291,'Form responses 1'!$B$2:$B$2604,'Form responses 1'!$A$2:$A$2604,""))</f>
        <v/>
      </c>
      <c r="D1291" s="44" t="str">
        <f t="shared" si="3"/>
        <v/>
      </c>
      <c r="E1291" s="44" t="str">
        <f t="array" ref="E1291">IF(B1291="","",_xlfn.XLOOKUP(B1291,'Form responses 1'!$B$2:$B$2604,'Form responses 1'!$C$2:$C$2604,""))</f>
        <v/>
      </c>
      <c r="F1291" s="44" t="str">
        <f t="array" ref="F1291">IF(B1291="","",_xlfn.XLOOKUP(B1291,'Form responses 1'!$B$2:$B$2604,'Form responses 1'!$D$2:$D$2604,""))</f>
        <v/>
      </c>
      <c r="G1291" s="44" t="str">
        <f t="array" ref="G1291">IF(B1291="","",_xlfn.XLOOKUP(B1291,'Form responses 1'!$B$2:$B$2604,'Form responses 1'!$E$2:$E$2604,""))</f>
        <v/>
      </c>
      <c r="H1291" s="44" t="str">
        <f t="array" ref="H1291">IF(B1291="","",_xlfn.XLOOKUP(B1291,'Form responses 1'!$B$2:$B$2604,'Form responses 1'!$F$2:$F$2604,""))</f>
        <v/>
      </c>
      <c r="I1291" s="44" t="str">
        <f t="array" ref="I1291">IF(B1291="","",_xlfn.XLOOKUP(B1291,'Form responses 1'!$B$2:$B$2604,'Form responses 1'!$I$2:$I$2604,""))</f>
        <v/>
      </c>
      <c r="J1291" s="44" t="str">
        <f t="array" ref="J1291">IF(B1291="","",_xlfn.XLOOKUP(B1291,'Form responses 1'!$B$2:$B$2604,'Form responses 1'!$G$2:$G$2604,""))</f>
        <v/>
      </c>
      <c r="K1291" s="56"/>
      <c r="L1291" s="58" t="str">
        <f t="shared" si="7"/>
        <v/>
      </c>
      <c r="M1291" s="49"/>
      <c r="N1291" s="49"/>
      <c r="O1291" s="49"/>
      <c r="P1291" s="49"/>
      <c r="Q1291" s="49"/>
      <c r="R1291" s="49"/>
      <c r="S1291" s="49"/>
      <c r="T1291" s="49"/>
      <c r="U1291" s="49"/>
      <c r="V1291" s="49"/>
      <c r="W1291" s="56"/>
      <c r="X1291" s="51" t="str">
        <f t="shared" si="5"/>
        <v/>
      </c>
      <c r="Y1291" s="50" t="s">
        <v>482</v>
      </c>
      <c r="Z1291" s="49">
        <f t="shared" si="6"/>
        <v>0</v>
      </c>
    </row>
    <row r="1292" ht="22.5" customHeight="1">
      <c r="B1292" s="57"/>
      <c r="C1292" s="43" t="str">
        <f t="array" ref="C1292">IF(B1292="","",_xlfn.XLOOKUP(B1292,'Form responses 1'!$B$2:$B$2604,'Form responses 1'!$A$2:$A$2604,""))</f>
        <v/>
      </c>
      <c r="D1292" s="44" t="str">
        <f t="shared" si="3"/>
        <v/>
      </c>
      <c r="E1292" s="44" t="str">
        <f t="array" ref="E1292">IF(B1292="","",_xlfn.XLOOKUP(B1292,'Form responses 1'!$B$2:$B$2604,'Form responses 1'!$C$2:$C$2604,""))</f>
        <v/>
      </c>
      <c r="F1292" s="44" t="str">
        <f t="array" ref="F1292">IF(B1292="","",_xlfn.XLOOKUP(B1292,'Form responses 1'!$B$2:$B$2604,'Form responses 1'!$D$2:$D$2604,""))</f>
        <v/>
      </c>
      <c r="G1292" s="44" t="str">
        <f t="array" ref="G1292">IF(B1292="","",_xlfn.XLOOKUP(B1292,'Form responses 1'!$B$2:$B$2604,'Form responses 1'!$E$2:$E$2604,""))</f>
        <v/>
      </c>
      <c r="H1292" s="44" t="str">
        <f t="array" ref="H1292">IF(B1292="","",_xlfn.XLOOKUP(B1292,'Form responses 1'!$B$2:$B$2604,'Form responses 1'!$F$2:$F$2604,""))</f>
        <v/>
      </c>
      <c r="I1292" s="44" t="str">
        <f t="array" ref="I1292">IF(B1292="","",_xlfn.XLOOKUP(B1292,'Form responses 1'!$B$2:$B$2604,'Form responses 1'!$I$2:$I$2604,""))</f>
        <v/>
      </c>
      <c r="J1292" s="44" t="str">
        <f t="array" ref="J1292">IF(B1292="","",_xlfn.XLOOKUP(B1292,'Form responses 1'!$B$2:$B$2604,'Form responses 1'!$G$2:$G$2604,""))</f>
        <v/>
      </c>
      <c r="K1292" s="56"/>
      <c r="L1292" s="58" t="str">
        <f t="shared" si="7"/>
        <v/>
      </c>
      <c r="M1292" s="49"/>
      <c r="N1292" s="49"/>
      <c r="O1292" s="49"/>
      <c r="P1292" s="49"/>
      <c r="Q1292" s="49"/>
      <c r="R1292" s="49"/>
      <c r="S1292" s="49"/>
      <c r="T1292" s="49"/>
      <c r="U1292" s="49"/>
      <c r="V1292" s="49"/>
      <c r="W1292" s="56"/>
      <c r="X1292" s="51" t="str">
        <f t="shared" si="5"/>
        <v/>
      </c>
      <c r="Y1292" s="50" t="s">
        <v>482</v>
      </c>
      <c r="Z1292" s="49">
        <f t="shared" si="6"/>
        <v>0</v>
      </c>
    </row>
    <row r="1293" ht="22.5" customHeight="1">
      <c r="B1293" s="57"/>
      <c r="C1293" s="43" t="str">
        <f t="array" ref="C1293">IF(B1293="","",_xlfn.XLOOKUP(B1293,'Form responses 1'!$B$2:$B$2604,'Form responses 1'!$A$2:$A$2604,""))</f>
        <v/>
      </c>
      <c r="D1293" s="44" t="str">
        <f t="shared" si="3"/>
        <v/>
      </c>
      <c r="E1293" s="44" t="str">
        <f t="array" ref="E1293">IF(B1293="","",_xlfn.XLOOKUP(B1293,'Form responses 1'!$B$2:$B$2604,'Form responses 1'!$C$2:$C$2604,""))</f>
        <v/>
      </c>
      <c r="F1293" s="44" t="str">
        <f t="array" ref="F1293">IF(B1293="","",_xlfn.XLOOKUP(B1293,'Form responses 1'!$B$2:$B$2604,'Form responses 1'!$D$2:$D$2604,""))</f>
        <v/>
      </c>
      <c r="G1293" s="44" t="str">
        <f t="array" ref="G1293">IF(B1293="","",_xlfn.XLOOKUP(B1293,'Form responses 1'!$B$2:$B$2604,'Form responses 1'!$E$2:$E$2604,""))</f>
        <v/>
      </c>
      <c r="H1293" s="44" t="str">
        <f t="array" ref="H1293">IF(B1293="","",_xlfn.XLOOKUP(B1293,'Form responses 1'!$B$2:$B$2604,'Form responses 1'!$F$2:$F$2604,""))</f>
        <v/>
      </c>
      <c r="I1293" s="44" t="str">
        <f t="array" ref="I1293">IF(B1293="","",_xlfn.XLOOKUP(B1293,'Form responses 1'!$B$2:$B$2604,'Form responses 1'!$I$2:$I$2604,""))</f>
        <v/>
      </c>
      <c r="J1293" s="44" t="str">
        <f t="array" ref="J1293">IF(B1293="","",_xlfn.XLOOKUP(B1293,'Form responses 1'!$B$2:$B$2604,'Form responses 1'!$G$2:$G$2604,""))</f>
        <v/>
      </c>
      <c r="K1293" s="56"/>
      <c r="L1293" s="58" t="str">
        <f t="shared" si="7"/>
        <v/>
      </c>
      <c r="M1293" s="49"/>
      <c r="N1293" s="49"/>
      <c r="O1293" s="49"/>
      <c r="P1293" s="49"/>
      <c r="Q1293" s="49"/>
      <c r="R1293" s="49"/>
      <c r="S1293" s="49"/>
      <c r="T1293" s="49"/>
      <c r="U1293" s="49"/>
      <c r="V1293" s="49"/>
      <c r="W1293" s="56"/>
      <c r="X1293" s="51" t="str">
        <f t="shared" si="5"/>
        <v/>
      </c>
      <c r="Y1293" s="50" t="s">
        <v>482</v>
      </c>
      <c r="Z1293" s="49">
        <f t="shared" si="6"/>
        <v>0</v>
      </c>
    </row>
    <row r="1294" ht="22.5" customHeight="1">
      <c r="B1294" s="57"/>
      <c r="C1294" s="43" t="str">
        <f t="array" ref="C1294">IF(B1294="","",_xlfn.XLOOKUP(B1294,'Form responses 1'!$B$2:$B$2604,'Form responses 1'!$A$2:$A$2604,""))</f>
        <v/>
      </c>
      <c r="D1294" s="44" t="str">
        <f t="shared" si="3"/>
        <v/>
      </c>
      <c r="E1294" s="44" t="str">
        <f t="array" ref="E1294">IF(B1294="","",_xlfn.XLOOKUP(B1294,'Form responses 1'!$B$2:$B$2604,'Form responses 1'!$C$2:$C$2604,""))</f>
        <v/>
      </c>
      <c r="F1294" s="44" t="str">
        <f t="array" ref="F1294">IF(B1294="","",_xlfn.XLOOKUP(B1294,'Form responses 1'!$B$2:$B$2604,'Form responses 1'!$D$2:$D$2604,""))</f>
        <v/>
      </c>
      <c r="G1294" s="44" t="str">
        <f t="array" ref="G1294">IF(B1294="","",_xlfn.XLOOKUP(B1294,'Form responses 1'!$B$2:$B$2604,'Form responses 1'!$E$2:$E$2604,""))</f>
        <v/>
      </c>
      <c r="H1294" s="44" t="str">
        <f t="array" ref="H1294">IF(B1294="","",_xlfn.XLOOKUP(B1294,'Form responses 1'!$B$2:$B$2604,'Form responses 1'!$F$2:$F$2604,""))</f>
        <v/>
      </c>
      <c r="I1294" s="44" t="str">
        <f t="array" ref="I1294">IF(B1294="","",_xlfn.XLOOKUP(B1294,'Form responses 1'!$B$2:$B$2604,'Form responses 1'!$I$2:$I$2604,""))</f>
        <v/>
      </c>
      <c r="J1294" s="44" t="str">
        <f t="array" ref="J1294">IF(B1294="","",_xlfn.XLOOKUP(B1294,'Form responses 1'!$B$2:$B$2604,'Form responses 1'!$G$2:$G$2604,""))</f>
        <v/>
      </c>
      <c r="K1294" s="56"/>
      <c r="L1294" s="58" t="str">
        <f t="shared" si="7"/>
        <v/>
      </c>
      <c r="M1294" s="49"/>
      <c r="N1294" s="49"/>
      <c r="O1294" s="49"/>
      <c r="P1294" s="49"/>
      <c r="Q1294" s="49"/>
      <c r="R1294" s="49"/>
      <c r="S1294" s="49"/>
      <c r="T1294" s="49"/>
      <c r="U1294" s="49"/>
      <c r="V1294" s="49"/>
      <c r="W1294" s="56"/>
      <c r="X1294" s="51" t="str">
        <f t="shared" si="5"/>
        <v/>
      </c>
      <c r="Y1294" s="50" t="s">
        <v>482</v>
      </c>
      <c r="Z1294" s="49">
        <f t="shared" si="6"/>
        <v>0</v>
      </c>
    </row>
    <row r="1295" ht="22.5" customHeight="1">
      <c r="B1295" s="57"/>
      <c r="C1295" s="43" t="str">
        <f t="array" ref="C1295">IF(B1295="","",_xlfn.XLOOKUP(B1295,'Form responses 1'!$B$2:$B$2604,'Form responses 1'!$A$2:$A$2604,""))</f>
        <v/>
      </c>
      <c r="D1295" s="44" t="str">
        <f t="shared" si="3"/>
        <v/>
      </c>
      <c r="E1295" s="44" t="str">
        <f t="array" ref="E1295">IF(B1295="","",_xlfn.XLOOKUP(B1295,'Form responses 1'!$B$2:$B$2604,'Form responses 1'!$C$2:$C$2604,""))</f>
        <v/>
      </c>
      <c r="F1295" s="44" t="str">
        <f t="array" ref="F1295">IF(B1295="","",_xlfn.XLOOKUP(B1295,'Form responses 1'!$B$2:$B$2604,'Form responses 1'!$D$2:$D$2604,""))</f>
        <v/>
      </c>
      <c r="G1295" s="44" t="str">
        <f t="array" ref="G1295">IF(B1295="","",_xlfn.XLOOKUP(B1295,'Form responses 1'!$B$2:$B$2604,'Form responses 1'!$E$2:$E$2604,""))</f>
        <v/>
      </c>
      <c r="H1295" s="44" t="str">
        <f t="array" ref="H1295">IF(B1295="","",_xlfn.XLOOKUP(B1295,'Form responses 1'!$B$2:$B$2604,'Form responses 1'!$F$2:$F$2604,""))</f>
        <v/>
      </c>
      <c r="I1295" s="44" t="str">
        <f t="array" ref="I1295">IF(B1295="","",_xlfn.XLOOKUP(B1295,'Form responses 1'!$B$2:$B$2604,'Form responses 1'!$I$2:$I$2604,""))</f>
        <v/>
      </c>
      <c r="J1295" s="44" t="str">
        <f t="array" ref="J1295">IF(B1295="","",_xlfn.XLOOKUP(B1295,'Form responses 1'!$B$2:$B$2604,'Form responses 1'!$G$2:$G$2604,""))</f>
        <v/>
      </c>
      <c r="K1295" s="56"/>
      <c r="L1295" s="58" t="str">
        <f t="shared" si="7"/>
        <v/>
      </c>
      <c r="M1295" s="49"/>
      <c r="N1295" s="49"/>
      <c r="O1295" s="49"/>
      <c r="P1295" s="49"/>
      <c r="Q1295" s="49"/>
      <c r="R1295" s="49"/>
      <c r="S1295" s="49"/>
      <c r="T1295" s="49"/>
      <c r="U1295" s="49"/>
      <c r="V1295" s="49"/>
      <c r="W1295" s="56"/>
      <c r="X1295" s="51" t="str">
        <f t="shared" si="5"/>
        <v/>
      </c>
      <c r="Y1295" s="50" t="s">
        <v>482</v>
      </c>
      <c r="Z1295" s="49">
        <f t="shared" si="6"/>
        <v>0</v>
      </c>
    </row>
    <row r="1296" ht="22.5" customHeight="1">
      <c r="B1296" s="57"/>
      <c r="C1296" s="43" t="str">
        <f t="array" ref="C1296">IF(B1296="","",_xlfn.XLOOKUP(B1296,'Form responses 1'!$B$2:$B$2604,'Form responses 1'!$A$2:$A$2604,""))</f>
        <v/>
      </c>
      <c r="D1296" s="44" t="str">
        <f t="shared" si="3"/>
        <v/>
      </c>
      <c r="E1296" s="44" t="str">
        <f t="array" ref="E1296">IF(B1296="","",_xlfn.XLOOKUP(B1296,'Form responses 1'!$B$2:$B$2604,'Form responses 1'!$C$2:$C$2604,""))</f>
        <v/>
      </c>
      <c r="F1296" s="44" t="str">
        <f t="array" ref="F1296">IF(B1296="","",_xlfn.XLOOKUP(B1296,'Form responses 1'!$B$2:$B$2604,'Form responses 1'!$D$2:$D$2604,""))</f>
        <v/>
      </c>
      <c r="G1296" s="44" t="str">
        <f t="array" ref="G1296">IF(B1296="","",_xlfn.XLOOKUP(B1296,'Form responses 1'!$B$2:$B$2604,'Form responses 1'!$E$2:$E$2604,""))</f>
        <v/>
      </c>
      <c r="H1296" s="44" t="str">
        <f t="array" ref="H1296">IF(B1296="","",_xlfn.XLOOKUP(B1296,'Form responses 1'!$B$2:$B$2604,'Form responses 1'!$F$2:$F$2604,""))</f>
        <v/>
      </c>
      <c r="I1296" s="44" t="str">
        <f t="array" ref="I1296">IF(B1296="","",_xlfn.XLOOKUP(B1296,'Form responses 1'!$B$2:$B$2604,'Form responses 1'!$I$2:$I$2604,""))</f>
        <v/>
      </c>
      <c r="J1296" s="44" t="str">
        <f t="array" ref="J1296">IF(B1296="","",_xlfn.XLOOKUP(B1296,'Form responses 1'!$B$2:$B$2604,'Form responses 1'!$G$2:$G$2604,""))</f>
        <v/>
      </c>
      <c r="K1296" s="56"/>
      <c r="L1296" s="58" t="str">
        <f t="shared" si="7"/>
        <v/>
      </c>
      <c r="M1296" s="49"/>
      <c r="N1296" s="49"/>
      <c r="O1296" s="49"/>
      <c r="P1296" s="49"/>
      <c r="Q1296" s="49"/>
      <c r="R1296" s="49"/>
      <c r="S1296" s="49"/>
      <c r="T1296" s="49"/>
      <c r="U1296" s="49"/>
      <c r="V1296" s="49"/>
      <c r="W1296" s="56"/>
      <c r="X1296" s="51" t="str">
        <f t="shared" si="5"/>
        <v/>
      </c>
      <c r="Y1296" s="50" t="s">
        <v>482</v>
      </c>
      <c r="Z1296" s="49">
        <f t="shared" si="6"/>
        <v>0</v>
      </c>
    </row>
    <row r="1297" ht="22.5" customHeight="1">
      <c r="B1297" s="57"/>
      <c r="C1297" s="43" t="str">
        <f t="array" ref="C1297">IF(B1297="","",_xlfn.XLOOKUP(B1297,'Form responses 1'!$B$2:$B$2604,'Form responses 1'!$A$2:$A$2604,""))</f>
        <v/>
      </c>
      <c r="D1297" s="44" t="str">
        <f t="shared" si="3"/>
        <v/>
      </c>
      <c r="E1297" s="44" t="str">
        <f t="array" ref="E1297">IF(B1297="","",_xlfn.XLOOKUP(B1297,'Form responses 1'!$B$2:$B$2604,'Form responses 1'!$C$2:$C$2604,""))</f>
        <v/>
      </c>
      <c r="F1297" s="44" t="str">
        <f t="array" ref="F1297">IF(B1297="","",_xlfn.XLOOKUP(B1297,'Form responses 1'!$B$2:$B$2604,'Form responses 1'!$D$2:$D$2604,""))</f>
        <v/>
      </c>
      <c r="G1297" s="44" t="str">
        <f t="array" ref="G1297">IF(B1297="","",_xlfn.XLOOKUP(B1297,'Form responses 1'!$B$2:$B$2604,'Form responses 1'!$E$2:$E$2604,""))</f>
        <v/>
      </c>
      <c r="H1297" s="44" t="str">
        <f t="array" ref="H1297">IF(B1297="","",_xlfn.XLOOKUP(B1297,'Form responses 1'!$B$2:$B$2604,'Form responses 1'!$F$2:$F$2604,""))</f>
        <v/>
      </c>
      <c r="I1297" s="44" t="str">
        <f t="array" ref="I1297">IF(B1297="","",_xlfn.XLOOKUP(B1297,'Form responses 1'!$B$2:$B$2604,'Form responses 1'!$I$2:$I$2604,""))</f>
        <v/>
      </c>
      <c r="J1297" s="44" t="str">
        <f t="array" ref="J1297">IF(B1297="","",_xlfn.XLOOKUP(B1297,'Form responses 1'!$B$2:$B$2604,'Form responses 1'!$G$2:$G$2604,""))</f>
        <v/>
      </c>
      <c r="K1297" s="56"/>
      <c r="L1297" s="58" t="str">
        <f t="shared" si="7"/>
        <v/>
      </c>
      <c r="M1297" s="49"/>
      <c r="N1297" s="49"/>
      <c r="O1297" s="49"/>
      <c r="P1297" s="49"/>
      <c r="Q1297" s="49"/>
      <c r="R1297" s="49"/>
      <c r="S1297" s="49"/>
      <c r="T1297" s="49"/>
      <c r="U1297" s="49"/>
      <c r="V1297" s="49"/>
      <c r="W1297" s="56"/>
      <c r="X1297" s="51" t="str">
        <f t="shared" si="5"/>
        <v/>
      </c>
      <c r="Y1297" s="50" t="s">
        <v>482</v>
      </c>
      <c r="Z1297" s="49">
        <f t="shared" si="6"/>
        <v>0</v>
      </c>
    </row>
    <row r="1298" ht="22.5" customHeight="1">
      <c r="B1298" s="57"/>
      <c r="C1298" s="43" t="str">
        <f t="array" ref="C1298">IF(B1298="","",_xlfn.XLOOKUP(B1298,'Form responses 1'!$B$2:$B$2604,'Form responses 1'!$A$2:$A$2604,""))</f>
        <v/>
      </c>
      <c r="D1298" s="44" t="str">
        <f t="shared" si="3"/>
        <v/>
      </c>
      <c r="E1298" s="44" t="str">
        <f t="array" ref="E1298">IF(B1298="","",_xlfn.XLOOKUP(B1298,'Form responses 1'!$B$2:$B$2604,'Form responses 1'!$C$2:$C$2604,""))</f>
        <v/>
      </c>
      <c r="F1298" s="44" t="str">
        <f t="array" ref="F1298">IF(B1298="","",_xlfn.XLOOKUP(B1298,'Form responses 1'!$B$2:$B$2604,'Form responses 1'!$D$2:$D$2604,""))</f>
        <v/>
      </c>
      <c r="G1298" s="44" t="str">
        <f t="array" ref="G1298">IF(B1298="","",_xlfn.XLOOKUP(B1298,'Form responses 1'!$B$2:$B$2604,'Form responses 1'!$E$2:$E$2604,""))</f>
        <v/>
      </c>
      <c r="H1298" s="44" t="str">
        <f t="array" ref="H1298">IF(B1298="","",_xlfn.XLOOKUP(B1298,'Form responses 1'!$B$2:$B$2604,'Form responses 1'!$F$2:$F$2604,""))</f>
        <v/>
      </c>
      <c r="I1298" s="44" t="str">
        <f t="array" ref="I1298">IF(B1298="","",_xlfn.XLOOKUP(B1298,'Form responses 1'!$B$2:$B$2604,'Form responses 1'!$I$2:$I$2604,""))</f>
        <v/>
      </c>
      <c r="J1298" s="44" t="str">
        <f t="array" ref="J1298">IF(B1298="","",_xlfn.XLOOKUP(B1298,'Form responses 1'!$B$2:$B$2604,'Form responses 1'!$G$2:$G$2604,""))</f>
        <v/>
      </c>
      <c r="K1298" s="56"/>
      <c r="L1298" s="58" t="str">
        <f t="shared" si="7"/>
        <v/>
      </c>
      <c r="M1298" s="49"/>
      <c r="N1298" s="49"/>
      <c r="O1298" s="49"/>
      <c r="P1298" s="49"/>
      <c r="Q1298" s="49"/>
      <c r="R1298" s="49"/>
      <c r="S1298" s="49"/>
      <c r="T1298" s="49"/>
      <c r="U1298" s="49"/>
      <c r="V1298" s="49"/>
      <c r="W1298" s="56"/>
      <c r="X1298" s="51" t="str">
        <f t="shared" si="5"/>
        <v/>
      </c>
      <c r="Y1298" s="50" t="s">
        <v>482</v>
      </c>
      <c r="Z1298" s="49">
        <f t="shared" si="6"/>
        <v>0</v>
      </c>
    </row>
    <row r="1299" ht="22.5" customHeight="1">
      <c r="B1299" s="57"/>
      <c r="C1299" s="43" t="str">
        <f t="array" ref="C1299">IF(B1299="","",_xlfn.XLOOKUP(B1299,'Form responses 1'!$B$2:$B$2604,'Form responses 1'!$A$2:$A$2604,""))</f>
        <v/>
      </c>
      <c r="D1299" s="44" t="str">
        <f t="shared" si="3"/>
        <v/>
      </c>
      <c r="E1299" s="44" t="str">
        <f t="array" ref="E1299">IF(B1299="","",_xlfn.XLOOKUP(B1299,'Form responses 1'!$B$2:$B$2604,'Form responses 1'!$C$2:$C$2604,""))</f>
        <v/>
      </c>
      <c r="F1299" s="44" t="str">
        <f t="array" ref="F1299">IF(B1299="","",_xlfn.XLOOKUP(B1299,'Form responses 1'!$B$2:$B$2604,'Form responses 1'!$D$2:$D$2604,""))</f>
        <v/>
      </c>
      <c r="G1299" s="44" t="str">
        <f t="array" ref="G1299">IF(B1299="","",_xlfn.XLOOKUP(B1299,'Form responses 1'!$B$2:$B$2604,'Form responses 1'!$E$2:$E$2604,""))</f>
        <v/>
      </c>
      <c r="H1299" s="44" t="str">
        <f t="array" ref="H1299">IF(B1299="","",_xlfn.XLOOKUP(B1299,'Form responses 1'!$B$2:$B$2604,'Form responses 1'!$F$2:$F$2604,""))</f>
        <v/>
      </c>
      <c r="I1299" s="44" t="str">
        <f t="array" ref="I1299">IF(B1299="","",_xlfn.XLOOKUP(B1299,'Form responses 1'!$B$2:$B$2604,'Form responses 1'!$I$2:$I$2604,""))</f>
        <v/>
      </c>
      <c r="J1299" s="44" t="str">
        <f t="array" ref="J1299">IF(B1299="","",_xlfn.XLOOKUP(B1299,'Form responses 1'!$B$2:$B$2604,'Form responses 1'!$G$2:$G$2604,""))</f>
        <v/>
      </c>
      <c r="K1299" s="56"/>
      <c r="L1299" s="58" t="str">
        <f t="shared" si="7"/>
        <v/>
      </c>
      <c r="M1299" s="49"/>
      <c r="N1299" s="49"/>
      <c r="O1299" s="49"/>
      <c r="P1299" s="49"/>
      <c r="Q1299" s="49"/>
      <c r="R1299" s="49"/>
      <c r="S1299" s="49"/>
      <c r="T1299" s="49"/>
      <c r="U1299" s="49"/>
      <c r="V1299" s="49"/>
      <c r="W1299" s="56"/>
      <c r="X1299" s="51" t="str">
        <f t="shared" si="5"/>
        <v/>
      </c>
      <c r="Y1299" s="50" t="s">
        <v>482</v>
      </c>
      <c r="Z1299" s="49">
        <f t="shared" si="6"/>
        <v>0</v>
      </c>
    </row>
    <row r="1300" ht="22.5" customHeight="1">
      <c r="B1300" s="57"/>
      <c r="C1300" s="43" t="str">
        <f t="array" ref="C1300">IF(B1300="","",_xlfn.XLOOKUP(B1300,'Form responses 1'!$B$2:$B$2604,'Form responses 1'!$A$2:$A$2604,""))</f>
        <v/>
      </c>
      <c r="D1300" s="44" t="str">
        <f t="shared" si="3"/>
        <v/>
      </c>
      <c r="E1300" s="44" t="str">
        <f t="array" ref="E1300">IF(B1300="","",_xlfn.XLOOKUP(B1300,'Form responses 1'!$B$2:$B$2604,'Form responses 1'!$C$2:$C$2604,""))</f>
        <v/>
      </c>
      <c r="F1300" s="44" t="str">
        <f t="array" ref="F1300">IF(B1300="","",_xlfn.XLOOKUP(B1300,'Form responses 1'!$B$2:$B$2604,'Form responses 1'!$D$2:$D$2604,""))</f>
        <v/>
      </c>
      <c r="G1300" s="44" t="str">
        <f t="array" ref="G1300">IF(B1300="","",_xlfn.XLOOKUP(B1300,'Form responses 1'!$B$2:$B$2604,'Form responses 1'!$E$2:$E$2604,""))</f>
        <v/>
      </c>
      <c r="H1300" s="44" t="str">
        <f t="array" ref="H1300">IF(B1300="","",_xlfn.XLOOKUP(B1300,'Form responses 1'!$B$2:$B$2604,'Form responses 1'!$F$2:$F$2604,""))</f>
        <v/>
      </c>
      <c r="I1300" s="44" t="str">
        <f t="array" ref="I1300">IF(B1300="","",_xlfn.XLOOKUP(B1300,'Form responses 1'!$B$2:$B$2604,'Form responses 1'!$I$2:$I$2604,""))</f>
        <v/>
      </c>
      <c r="J1300" s="44" t="str">
        <f t="array" ref="J1300">IF(B1300="","",_xlfn.XLOOKUP(B1300,'Form responses 1'!$B$2:$B$2604,'Form responses 1'!$G$2:$G$2604,""))</f>
        <v/>
      </c>
      <c r="K1300" s="56"/>
      <c r="L1300" s="58" t="str">
        <f t="shared" si="7"/>
        <v/>
      </c>
      <c r="M1300" s="49"/>
      <c r="N1300" s="49"/>
      <c r="O1300" s="49"/>
      <c r="P1300" s="49"/>
      <c r="Q1300" s="49"/>
      <c r="R1300" s="49"/>
      <c r="S1300" s="49"/>
      <c r="T1300" s="49"/>
      <c r="U1300" s="49"/>
      <c r="V1300" s="49"/>
      <c r="W1300" s="56"/>
      <c r="X1300" s="51" t="str">
        <f t="shared" si="5"/>
        <v/>
      </c>
      <c r="Y1300" s="50" t="s">
        <v>482</v>
      </c>
      <c r="Z1300" s="49">
        <f t="shared" si="6"/>
        <v>0</v>
      </c>
    </row>
    <row r="1301" ht="22.5" customHeight="1">
      <c r="B1301" s="57"/>
      <c r="C1301" s="43" t="str">
        <f t="array" ref="C1301">IF(B1301="","",_xlfn.XLOOKUP(B1301,'Form responses 1'!$B$2:$B$2604,'Form responses 1'!$A$2:$A$2604,""))</f>
        <v/>
      </c>
      <c r="D1301" s="44" t="str">
        <f t="shared" si="3"/>
        <v/>
      </c>
      <c r="E1301" s="44" t="str">
        <f t="array" ref="E1301">IF(B1301="","",_xlfn.XLOOKUP(B1301,'Form responses 1'!$B$2:$B$2604,'Form responses 1'!$C$2:$C$2604,""))</f>
        <v/>
      </c>
      <c r="F1301" s="44" t="str">
        <f t="array" ref="F1301">IF(B1301="","",_xlfn.XLOOKUP(B1301,'Form responses 1'!$B$2:$B$2604,'Form responses 1'!$D$2:$D$2604,""))</f>
        <v/>
      </c>
      <c r="G1301" s="44" t="str">
        <f t="array" ref="G1301">IF(B1301="","",_xlfn.XLOOKUP(B1301,'Form responses 1'!$B$2:$B$2604,'Form responses 1'!$E$2:$E$2604,""))</f>
        <v/>
      </c>
      <c r="H1301" s="44" t="str">
        <f t="array" ref="H1301">IF(B1301="","",_xlfn.XLOOKUP(B1301,'Form responses 1'!$B$2:$B$2604,'Form responses 1'!$F$2:$F$2604,""))</f>
        <v/>
      </c>
      <c r="I1301" s="44" t="str">
        <f t="array" ref="I1301">IF(B1301="","",_xlfn.XLOOKUP(B1301,'Form responses 1'!$B$2:$B$2604,'Form responses 1'!$I$2:$I$2604,""))</f>
        <v/>
      </c>
      <c r="J1301" s="44" t="str">
        <f t="array" ref="J1301">IF(B1301="","",_xlfn.XLOOKUP(B1301,'Form responses 1'!$B$2:$B$2604,'Form responses 1'!$G$2:$G$2604,""))</f>
        <v/>
      </c>
      <c r="K1301" s="56"/>
      <c r="L1301" s="58" t="str">
        <f t="shared" si="7"/>
        <v/>
      </c>
      <c r="M1301" s="49"/>
      <c r="N1301" s="49"/>
      <c r="O1301" s="49"/>
      <c r="P1301" s="49"/>
      <c r="Q1301" s="49"/>
      <c r="R1301" s="49"/>
      <c r="S1301" s="49"/>
      <c r="T1301" s="49"/>
      <c r="U1301" s="49"/>
      <c r="V1301" s="49"/>
      <c r="W1301" s="56"/>
      <c r="X1301" s="51" t="str">
        <f t="shared" si="5"/>
        <v/>
      </c>
      <c r="Y1301" s="50" t="s">
        <v>482</v>
      </c>
      <c r="Z1301" s="49">
        <f t="shared" si="6"/>
        <v>0</v>
      </c>
    </row>
    <row r="1302" ht="22.5" customHeight="1">
      <c r="B1302" s="57"/>
      <c r="C1302" s="43" t="str">
        <f t="array" ref="C1302">IF(B1302="","",_xlfn.XLOOKUP(B1302,'Form responses 1'!$B$2:$B$2604,'Form responses 1'!$A$2:$A$2604,""))</f>
        <v/>
      </c>
      <c r="D1302" s="44" t="str">
        <f t="shared" si="3"/>
        <v/>
      </c>
      <c r="E1302" s="44" t="str">
        <f t="array" ref="E1302">IF(B1302="","",_xlfn.XLOOKUP(B1302,'Form responses 1'!$B$2:$B$2604,'Form responses 1'!$C$2:$C$2604,""))</f>
        <v/>
      </c>
      <c r="F1302" s="44" t="str">
        <f t="array" ref="F1302">IF(B1302="","",_xlfn.XLOOKUP(B1302,'Form responses 1'!$B$2:$B$2604,'Form responses 1'!$D$2:$D$2604,""))</f>
        <v/>
      </c>
      <c r="G1302" s="44" t="str">
        <f t="array" ref="G1302">IF(B1302="","",_xlfn.XLOOKUP(B1302,'Form responses 1'!$B$2:$B$2604,'Form responses 1'!$E$2:$E$2604,""))</f>
        <v/>
      </c>
      <c r="H1302" s="44" t="str">
        <f t="array" ref="H1302">IF(B1302="","",_xlfn.XLOOKUP(B1302,'Form responses 1'!$B$2:$B$2604,'Form responses 1'!$F$2:$F$2604,""))</f>
        <v/>
      </c>
      <c r="I1302" s="44" t="str">
        <f t="array" ref="I1302">IF(B1302="","",_xlfn.XLOOKUP(B1302,'Form responses 1'!$B$2:$B$2604,'Form responses 1'!$I$2:$I$2604,""))</f>
        <v/>
      </c>
      <c r="J1302" s="44" t="str">
        <f t="array" ref="J1302">IF(B1302="","",_xlfn.XLOOKUP(B1302,'Form responses 1'!$B$2:$B$2604,'Form responses 1'!$G$2:$G$2604,""))</f>
        <v/>
      </c>
      <c r="K1302" s="56"/>
      <c r="L1302" s="58" t="str">
        <f t="shared" si="7"/>
        <v/>
      </c>
      <c r="M1302" s="49"/>
      <c r="N1302" s="49"/>
      <c r="O1302" s="49"/>
      <c r="P1302" s="49"/>
      <c r="Q1302" s="49"/>
      <c r="R1302" s="49"/>
      <c r="S1302" s="49"/>
      <c r="T1302" s="49"/>
      <c r="U1302" s="49"/>
      <c r="V1302" s="49"/>
      <c r="W1302" s="56"/>
      <c r="X1302" s="51" t="str">
        <f t="shared" si="5"/>
        <v/>
      </c>
      <c r="Y1302" s="50" t="s">
        <v>482</v>
      </c>
      <c r="Z1302" s="49">
        <f t="shared" si="6"/>
        <v>0</v>
      </c>
    </row>
    <row r="1303" ht="22.5" customHeight="1">
      <c r="B1303" s="57"/>
      <c r="C1303" s="43" t="str">
        <f t="array" ref="C1303">IF(B1303="","",_xlfn.XLOOKUP(B1303,'Form responses 1'!$B$2:$B$2604,'Form responses 1'!$A$2:$A$2604,""))</f>
        <v/>
      </c>
      <c r="D1303" s="44" t="str">
        <f t="shared" si="3"/>
        <v/>
      </c>
      <c r="E1303" s="44" t="str">
        <f t="array" ref="E1303">IF(B1303="","",_xlfn.XLOOKUP(B1303,'Form responses 1'!$B$2:$B$2604,'Form responses 1'!$C$2:$C$2604,""))</f>
        <v/>
      </c>
      <c r="F1303" s="44" t="str">
        <f t="array" ref="F1303">IF(B1303="","",_xlfn.XLOOKUP(B1303,'Form responses 1'!$B$2:$B$2604,'Form responses 1'!$D$2:$D$2604,""))</f>
        <v/>
      </c>
      <c r="G1303" s="44" t="str">
        <f t="array" ref="G1303">IF(B1303="","",_xlfn.XLOOKUP(B1303,'Form responses 1'!$B$2:$B$2604,'Form responses 1'!$E$2:$E$2604,""))</f>
        <v/>
      </c>
      <c r="H1303" s="44" t="str">
        <f t="array" ref="H1303">IF(B1303="","",_xlfn.XLOOKUP(B1303,'Form responses 1'!$B$2:$B$2604,'Form responses 1'!$F$2:$F$2604,""))</f>
        <v/>
      </c>
      <c r="I1303" s="44" t="str">
        <f t="array" ref="I1303">IF(B1303="","",_xlfn.XLOOKUP(B1303,'Form responses 1'!$B$2:$B$2604,'Form responses 1'!$I$2:$I$2604,""))</f>
        <v/>
      </c>
      <c r="J1303" s="44" t="str">
        <f t="array" ref="J1303">IF(B1303="","",_xlfn.XLOOKUP(B1303,'Form responses 1'!$B$2:$B$2604,'Form responses 1'!$G$2:$G$2604,""))</f>
        <v/>
      </c>
      <c r="K1303" s="56"/>
      <c r="L1303" s="58" t="str">
        <f t="shared" si="7"/>
        <v/>
      </c>
      <c r="M1303" s="49"/>
      <c r="N1303" s="49"/>
      <c r="O1303" s="49"/>
      <c r="P1303" s="49"/>
      <c r="Q1303" s="49"/>
      <c r="R1303" s="49"/>
      <c r="S1303" s="49"/>
      <c r="T1303" s="49"/>
      <c r="U1303" s="49"/>
      <c r="V1303" s="49"/>
      <c r="W1303" s="56"/>
      <c r="X1303" s="51" t="str">
        <f t="shared" si="5"/>
        <v/>
      </c>
      <c r="Y1303" s="50" t="s">
        <v>482</v>
      </c>
      <c r="Z1303" s="49">
        <f t="shared" si="6"/>
        <v>0</v>
      </c>
    </row>
    <row r="1304" ht="22.5" customHeight="1">
      <c r="B1304" s="57"/>
      <c r="C1304" s="43" t="str">
        <f t="array" ref="C1304">IF(B1304="","",_xlfn.XLOOKUP(B1304,'Form responses 1'!$B$2:$B$2604,'Form responses 1'!$A$2:$A$2604,""))</f>
        <v/>
      </c>
      <c r="D1304" s="44" t="str">
        <f t="shared" si="3"/>
        <v/>
      </c>
      <c r="E1304" s="44" t="str">
        <f t="array" ref="E1304">IF(B1304="","",_xlfn.XLOOKUP(B1304,'Form responses 1'!$B$2:$B$2604,'Form responses 1'!$C$2:$C$2604,""))</f>
        <v/>
      </c>
      <c r="F1304" s="44" t="str">
        <f t="array" ref="F1304">IF(B1304="","",_xlfn.XLOOKUP(B1304,'Form responses 1'!$B$2:$B$2604,'Form responses 1'!$D$2:$D$2604,""))</f>
        <v/>
      </c>
      <c r="G1304" s="44" t="str">
        <f t="array" ref="G1304">IF(B1304="","",_xlfn.XLOOKUP(B1304,'Form responses 1'!$B$2:$B$2604,'Form responses 1'!$E$2:$E$2604,""))</f>
        <v/>
      </c>
      <c r="H1304" s="44" t="str">
        <f t="array" ref="H1304">IF(B1304="","",_xlfn.XLOOKUP(B1304,'Form responses 1'!$B$2:$B$2604,'Form responses 1'!$F$2:$F$2604,""))</f>
        <v/>
      </c>
      <c r="I1304" s="44" t="str">
        <f t="array" ref="I1304">IF(B1304="","",_xlfn.XLOOKUP(B1304,'Form responses 1'!$B$2:$B$2604,'Form responses 1'!$I$2:$I$2604,""))</f>
        <v/>
      </c>
      <c r="J1304" s="44" t="str">
        <f t="array" ref="J1304">IF(B1304="","",_xlfn.XLOOKUP(B1304,'Form responses 1'!$B$2:$B$2604,'Form responses 1'!$G$2:$G$2604,""))</f>
        <v/>
      </c>
      <c r="K1304" s="56"/>
      <c r="L1304" s="58" t="str">
        <f t="shared" si="7"/>
        <v/>
      </c>
      <c r="M1304" s="49"/>
      <c r="N1304" s="49"/>
      <c r="O1304" s="49"/>
      <c r="P1304" s="49"/>
      <c r="Q1304" s="49"/>
      <c r="R1304" s="49"/>
      <c r="S1304" s="49"/>
      <c r="T1304" s="49"/>
      <c r="U1304" s="49"/>
      <c r="V1304" s="49"/>
      <c r="W1304" s="56"/>
      <c r="X1304" s="51" t="str">
        <f t="shared" si="5"/>
        <v/>
      </c>
      <c r="Y1304" s="50" t="s">
        <v>482</v>
      </c>
      <c r="Z1304" s="49">
        <f t="shared" si="6"/>
        <v>0</v>
      </c>
    </row>
    <row r="1305" ht="22.5" customHeight="1">
      <c r="B1305" s="57"/>
      <c r="C1305" s="43" t="str">
        <f t="array" ref="C1305">IF(B1305="","",_xlfn.XLOOKUP(B1305,'Form responses 1'!$B$2:$B$2604,'Form responses 1'!$A$2:$A$2604,""))</f>
        <v/>
      </c>
      <c r="D1305" s="44" t="str">
        <f t="shared" si="3"/>
        <v/>
      </c>
      <c r="E1305" s="44" t="str">
        <f t="array" ref="E1305">IF(B1305="","",_xlfn.XLOOKUP(B1305,'Form responses 1'!$B$2:$B$2604,'Form responses 1'!$C$2:$C$2604,""))</f>
        <v/>
      </c>
      <c r="F1305" s="44" t="str">
        <f t="array" ref="F1305">IF(B1305="","",_xlfn.XLOOKUP(B1305,'Form responses 1'!$B$2:$B$2604,'Form responses 1'!$D$2:$D$2604,""))</f>
        <v/>
      </c>
      <c r="G1305" s="44" t="str">
        <f t="array" ref="G1305">IF(B1305="","",_xlfn.XLOOKUP(B1305,'Form responses 1'!$B$2:$B$2604,'Form responses 1'!$E$2:$E$2604,""))</f>
        <v/>
      </c>
      <c r="H1305" s="44" t="str">
        <f t="array" ref="H1305">IF(B1305="","",_xlfn.XLOOKUP(B1305,'Form responses 1'!$B$2:$B$2604,'Form responses 1'!$F$2:$F$2604,""))</f>
        <v/>
      </c>
      <c r="I1305" s="44" t="str">
        <f t="array" ref="I1305">IF(B1305="","",_xlfn.XLOOKUP(B1305,'Form responses 1'!$B$2:$B$2604,'Form responses 1'!$I$2:$I$2604,""))</f>
        <v/>
      </c>
      <c r="J1305" s="44" t="str">
        <f t="array" ref="J1305">IF(B1305="","",_xlfn.XLOOKUP(B1305,'Form responses 1'!$B$2:$B$2604,'Form responses 1'!$G$2:$G$2604,""))</f>
        <v/>
      </c>
      <c r="K1305" s="56"/>
      <c r="L1305" s="58" t="str">
        <f t="shared" si="7"/>
        <v/>
      </c>
      <c r="M1305" s="49"/>
      <c r="N1305" s="49"/>
      <c r="O1305" s="49"/>
      <c r="P1305" s="49"/>
      <c r="Q1305" s="49"/>
      <c r="R1305" s="49"/>
      <c r="S1305" s="49"/>
      <c r="T1305" s="49"/>
      <c r="U1305" s="49"/>
      <c r="V1305" s="49"/>
      <c r="W1305" s="56"/>
      <c r="X1305" s="51" t="str">
        <f t="shared" si="5"/>
        <v/>
      </c>
      <c r="Y1305" s="50" t="s">
        <v>482</v>
      </c>
      <c r="Z1305" s="49">
        <f t="shared" si="6"/>
        <v>0</v>
      </c>
    </row>
    <row r="1306" ht="22.5" customHeight="1">
      <c r="B1306" s="57"/>
      <c r="C1306" s="43" t="str">
        <f t="array" ref="C1306">IF(B1306="","",_xlfn.XLOOKUP(B1306,'Form responses 1'!$B$2:$B$2604,'Form responses 1'!$A$2:$A$2604,""))</f>
        <v/>
      </c>
      <c r="D1306" s="44" t="str">
        <f t="shared" si="3"/>
        <v/>
      </c>
      <c r="E1306" s="44" t="str">
        <f t="array" ref="E1306">IF(B1306="","",_xlfn.XLOOKUP(B1306,'Form responses 1'!$B$2:$B$2604,'Form responses 1'!$C$2:$C$2604,""))</f>
        <v/>
      </c>
      <c r="F1306" s="44" t="str">
        <f t="array" ref="F1306">IF(B1306="","",_xlfn.XLOOKUP(B1306,'Form responses 1'!$B$2:$B$2604,'Form responses 1'!$D$2:$D$2604,""))</f>
        <v/>
      </c>
      <c r="G1306" s="44" t="str">
        <f t="array" ref="G1306">IF(B1306="","",_xlfn.XLOOKUP(B1306,'Form responses 1'!$B$2:$B$2604,'Form responses 1'!$E$2:$E$2604,""))</f>
        <v/>
      </c>
      <c r="H1306" s="44" t="str">
        <f t="array" ref="H1306">IF(B1306="","",_xlfn.XLOOKUP(B1306,'Form responses 1'!$B$2:$B$2604,'Form responses 1'!$F$2:$F$2604,""))</f>
        <v/>
      </c>
      <c r="I1306" s="44" t="str">
        <f t="array" ref="I1306">IF(B1306="","",_xlfn.XLOOKUP(B1306,'Form responses 1'!$B$2:$B$2604,'Form responses 1'!$I$2:$I$2604,""))</f>
        <v/>
      </c>
      <c r="J1306" s="44" t="str">
        <f t="array" ref="J1306">IF(B1306="","",_xlfn.XLOOKUP(B1306,'Form responses 1'!$B$2:$B$2604,'Form responses 1'!$G$2:$G$2604,""))</f>
        <v/>
      </c>
      <c r="K1306" s="56"/>
      <c r="L1306" s="58" t="str">
        <f t="shared" si="7"/>
        <v/>
      </c>
      <c r="M1306" s="49"/>
      <c r="N1306" s="49"/>
      <c r="O1306" s="49"/>
      <c r="P1306" s="49"/>
      <c r="Q1306" s="49"/>
      <c r="R1306" s="49"/>
      <c r="S1306" s="49"/>
      <c r="T1306" s="49"/>
      <c r="U1306" s="49"/>
      <c r="V1306" s="49"/>
      <c r="W1306" s="56"/>
      <c r="X1306" s="51" t="str">
        <f t="shared" si="5"/>
        <v/>
      </c>
      <c r="Y1306" s="50" t="s">
        <v>482</v>
      </c>
      <c r="Z1306" s="49">
        <f t="shared" si="6"/>
        <v>0</v>
      </c>
    </row>
    <row r="1307" ht="22.5" customHeight="1">
      <c r="B1307" s="57"/>
      <c r="C1307" s="43" t="str">
        <f t="array" ref="C1307">IF(B1307="","",_xlfn.XLOOKUP(B1307,'Form responses 1'!$B$2:$B$2604,'Form responses 1'!$A$2:$A$2604,""))</f>
        <v/>
      </c>
      <c r="D1307" s="44" t="str">
        <f t="shared" si="3"/>
        <v/>
      </c>
      <c r="E1307" s="44" t="str">
        <f t="array" ref="E1307">IF(B1307="","",_xlfn.XLOOKUP(B1307,'Form responses 1'!$B$2:$B$2604,'Form responses 1'!$C$2:$C$2604,""))</f>
        <v/>
      </c>
      <c r="F1307" s="44" t="str">
        <f t="array" ref="F1307">IF(B1307="","",_xlfn.XLOOKUP(B1307,'Form responses 1'!$B$2:$B$2604,'Form responses 1'!$D$2:$D$2604,""))</f>
        <v/>
      </c>
      <c r="G1307" s="44" t="str">
        <f t="array" ref="G1307">IF(B1307="","",_xlfn.XLOOKUP(B1307,'Form responses 1'!$B$2:$B$2604,'Form responses 1'!$E$2:$E$2604,""))</f>
        <v/>
      </c>
      <c r="H1307" s="44" t="str">
        <f t="array" ref="H1307">IF(B1307="","",_xlfn.XLOOKUP(B1307,'Form responses 1'!$B$2:$B$2604,'Form responses 1'!$F$2:$F$2604,""))</f>
        <v/>
      </c>
      <c r="I1307" s="44" t="str">
        <f t="array" ref="I1307">IF(B1307="","",_xlfn.XLOOKUP(B1307,'Form responses 1'!$B$2:$B$2604,'Form responses 1'!$I$2:$I$2604,""))</f>
        <v/>
      </c>
      <c r="J1307" s="44" t="str">
        <f t="array" ref="J1307">IF(B1307="","",_xlfn.XLOOKUP(B1307,'Form responses 1'!$B$2:$B$2604,'Form responses 1'!$G$2:$G$2604,""))</f>
        <v/>
      </c>
      <c r="K1307" s="56"/>
      <c r="L1307" s="58" t="str">
        <f t="shared" si="7"/>
        <v/>
      </c>
      <c r="M1307" s="49"/>
      <c r="N1307" s="49"/>
      <c r="O1307" s="49"/>
      <c r="P1307" s="49"/>
      <c r="Q1307" s="49"/>
      <c r="R1307" s="49"/>
      <c r="S1307" s="49"/>
      <c r="T1307" s="49"/>
      <c r="U1307" s="49"/>
      <c r="V1307" s="49"/>
      <c r="W1307" s="56"/>
      <c r="X1307" s="51" t="str">
        <f t="shared" si="5"/>
        <v/>
      </c>
      <c r="Y1307" s="50" t="s">
        <v>482</v>
      </c>
      <c r="Z1307" s="49">
        <f t="shared" si="6"/>
        <v>0</v>
      </c>
    </row>
    <row r="1308" ht="22.5" customHeight="1">
      <c r="B1308" s="57"/>
      <c r="C1308" s="43" t="str">
        <f t="array" ref="C1308">IF(B1308="","",_xlfn.XLOOKUP(B1308,'Form responses 1'!$B$2:$B$2604,'Form responses 1'!$A$2:$A$2604,""))</f>
        <v/>
      </c>
      <c r="D1308" s="44" t="str">
        <f t="shared" si="3"/>
        <v/>
      </c>
      <c r="E1308" s="44" t="str">
        <f t="array" ref="E1308">IF(B1308="","",_xlfn.XLOOKUP(B1308,'Form responses 1'!$B$2:$B$2604,'Form responses 1'!$C$2:$C$2604,""))</f>
        <v/>
      </c>
      <c r="F1308" s="44" t="str">
        <f t="array" ref="F1308">IF(B1308="","",_xlfn.XLOOKUP(B1308,'Form responses 1'!$B$2:$B$2604,'Form responses 1'!$D$2:$D$2604,""))</f>
        <v/>
      </c>
      <c r="G1308" s="44" t="str">
        <f t="array" ref="G1308">IF(B1308="","",_xlfn.XLOOKUP(B1308,'Form responses 1'!$B$2:$B$2604,'Form responses 1'!$E$2:$E$2604,""))</f>
        <v/>
      </c>
      <c r="H1308" s="44" t="str">
        <f t="array" ref="H1308">IF(B1308="","",_xlfn.XLOOKUP(B1308,'Form responses 1'!$B$2:$B$2604,'Form responses 1'!$F$2:$F$2604,""))</f>
        <v/>
      </c>
      <c r="I1308" s="44" t="str">
        <f t="array" ref="I1308">IF(B1308="","",_xlfn.XLOOKUP(B1308,'Form responses 1'!$B$2:$B$2604,'Form responses 1'!$I$2:$I$2604,""))</f>
        <v/>
      </c>
      <c r="J1308" s="44" t="str">
        <f t="array" ref="J1308">IF(B1308="","",_xlfn.XLOOKUP(B1308,'Form responses 1'!$B$2:$B$2604,'Form responses 1'!$G$2:$G$2604,""))</f>
        <v/>
      </c>
      <c r="K1308" s="56"/>
      <c r="L1308" s="58" t="str">
        <f t="shared" si="7"/>
        <v/>
      </c>
      <c r="M1308" s="49"/>
      <c r="N1308" s="49"/>
      <c r="O1308" s="49"/>
      <c r="P1308" s="49"/>
      <c r="Q1308" s="49"/>
      <c r="R1308" s="49"/>
      <c r="S1308" s="49"/>
      <c r="T1308" s="49"/>
      <c r="U1308" s="49"/>
      <c r="V1308" s="49"/>
      <c r="W1308" s="56"/>
      <c r="X1308" s="51" t="str">
        <f t="shared" si="5"/>
        <v/>
      </c>
      <c r="Y1308" s="50" t="s">
        <v>482</v>
      </c>
      <c r="Z1308" s="49">
        <f t="shared" si="6"/>
        <v>0</v>
      </c>
    </row>
    <row r="1309" ht="22.5" customHeight="1">
      <c r="B1309" s="57"/>
      <c r="C1309" s="43" t="str">
        <f t="array" ref="C1309">IF(B1309="","",_xlfn.XLOOKUP(B1309,'Form responses 1'!$B$2:$B$2604,'Form responses 1'!$A$2:$A$2604,""))</f>
        <v/>
      </c>
      <c r="D1309" s="44" t="str">
        <f t="shared" si="3"/>
        <v/>
      </c>
      <c r="E1309" s="44" t="str">
        <f t="array" ref="E1309">IF(B1309="","",_xlfn.XLOOKUP(B1309,'Form responses 1'!$B$2:$B$2604,'Form responses 1'!$C$2:$C$2604,""))</f>
        <v/>
      </c>
      <c r="F1309" s="44" t="str">
        <f t="array" ref="F1309">IF(B1309="","",_xlfn.XLOOKUP(B1309,'Form responses 1'!$B$2:$B$2604,'Form responses 1'!$D$2:$D$2604,""))</f>
        <v/>
      </c>
      <c r="G1309" s="44" t="str">
        <f t="array" ref="G1309">IF(B1309="","",_xlfn.XLOOKUP(B1309,'Form responses 1'!$B$2:$B$2604,'Form responses 1'!$E$2:$E$2604,""))</f>
        <v/>
      </c>
      <c r="H1309" s="44" t="str">
        <f t="array" ref="H1309">IF(B1309="","",_xlfn.XLOOKUP(B1309,'Form responses 1'!$B$2:$B$2604,'Form responses 1'!$F$2:$F$2604,""))</f>
        <v/>
      </c>
      <c r="I1309" s="44" t="str">
        <f t="array" ref="I1309">IF(B1309="","",_xlfn.XLOOKUP(B1309,'Form responses 1'!$B$2:$B$2604,'Form responses 1'!$I$2:$I$2604,""))</f>
        <v/>
      </c>
      <c r="J1309" s="44" t="str">
        <f t="array" ref="J1309">IF(B1309="","",_xlfn.XLOOKUP(B1309,'Form responses 1'!$B$2:$B$2604,'Form responses 1'!$G$2:$G$2604,""))</f>
        <v/>
      </c>
      <c r="K1309" s="56"/>
      <c r="L1309" s="58" t="str">
        <f t="shared" si="7"/>
        <v/>
      </c>
      <c r="M1309" s="49"/>
      <c r="N1309" s="49"/>
      <c r="O1309" s="49"/>
      <c r="P1309" s="49"/>
      <c r="Q1309" s="49"/>
      <c r="R1309" s="49"/>
      <c r="S1309" s="49"/>
      <c r="T1309" s="49"/>
      <c r="U1309" s="49"/>
      <c r="V1309" s="49"/>
      <c r="W1309" s="56"/>
      <c r="X1309" s="51" t="str">
        <f t="shared" si="5"/>
        <v/>
      </c>
      <c r="Y1309" s="50" t="s">
        <v>482</v>
      </c>
      <c r="Z1309" s="49">
        <f t="shared" si="6"/>
        <v>0</v>
      </c>
    </row>
    <row r="1310" ht="22.5" customHeight="1">
      <c r="B1310" s="57"/>
      <c r="C1310" s="43" t="str">
        <f t="array" ref="C1310">IF(B1310="","",_xlfn.XLOOKUP(B1310,'Form responses 1'!$B$2:$B$2604,'Form responses 1'!$A$2:$A$2604,""))</f>
        <v/>
      </c>
      <c r="D1310" s="44" t="str">
        <f t="shared" si="3"/>
        <v/>
      </c>
      <c r="E1310" s="44" t="str">
        <f t="array" ref="E1310">IF(B1310="","",_xlfn.XLOOKUP(B1310,'Form responses 1'!$B$2:$B$2604,'Form responses 1'!$C$2:$C$2604,""))</f>
        <v/>
      </c>
      <c r="F1310" s="44" t="str">
        <f t="array" ref="F1310">IF(B1310="","",_xlfn.XLOOKUP(B1310,'Form responses 1'!$B$2:$B$2604,'Form responses 1'!$D$2:$D$2604,""))</f>
        <v/>
      </c>
      <c r="G1310" s="44" t="str">
        <f t="array" ref="G1310">IF(B1310="","",_xlfn.XLOOKUP(B1310,'Form responses 1'!$B$2:$B$2604,'Form responses 1'!$E$2:$E$2604,""))</f>
        <v/>
      </c>
      <c r="H1310" s="44" t="str">
        <f t="array" ref="H1310">IF(B1310="","",_xlfn.XLOOKUP(B1310,'Form responses 1'!$B$2:$B$2604,'Form responses 1'!$F$2:$F$2604,""))</f>
        <v/>
      </c>
      <c r="I1310" s="44" t="str">
        <f t="array" ref="I1310">IF(B1310="","",_xlfn.XLOOKUP(B1310,'Form responses 1'!$B$2:$B$2604,'Form responses 1'!$I$2:$I$2604,""))</f>
        <v/>
      </c>
      <c r="J1310" s="44" t="str">
        <f t="array" ref="J1310">IF(B1310="","",_xlfn.XLOOKUP(B1310,'Form responses 1'!$B$2:$B$2604,'Form responses 1'!$G$2:$G$2604,""))</f>
        <v/>
      </c>
      <c r="K1310" s="56"/>
      <c r="L1310" s="58" t="str">
        <f t="shared" si="7"/>
        <v/>
      </c>
      <c r="M1310" s="49"/>
      <c r="N1310" s="49"/>
      <c r="O1310" s="49"/>
      <c r="P1310" s="49"/>
      <c r="Q1310" s="49"/>
      <c r="R1310" s="49"/>
      <c r="S1310" s="49"/>
      <c r="T1310" s="49"/>
      <c r="U1310" s="49"/>
      <c r="V1310" s="49"/>
      <c r="W1310" s="56"/>
      <c r="X1310" s="51" t="str">
        <f t="shared" si="5"/>
        <v/>
      </c>
      <c r="Y1310" s="50" t="s">
        <v>482</v>
      </c>
      <c r="Z1310" s="49">
        <f t="shared" si="6"/>
        <v>0</v>
      </c>
    </row>
    <row r="1311" ht="22.5" customHeight="1">
      <c r="B1311" s="57"/>
      <c r="C1311" s="43" t="str">
        <f t="array" ref="C1311">IF(B1311="","",_xlfn.XLOOKUP(B1311,'Form responses 1'!$B$2:$B$2604,'Form responses 1'!$A$2:$A$2604,""))</f>
        <v/>
      </c>
      <c r="D1311" s="44" t="str">
        <f t="shared" si="3"/>
        <v/>
      </c>
      <c r="E1311" s="44" t="str">
        <f t="array" ref="E1311">IF(B1311="","",_xlfn.XLOOKUP(B1311,'Form responses 1'!$B$2:$B$2604,'Form responses 1'!$C$2:$C$2604,""))</f>
        <v/>
      </c>
      <c r="F1311" s="44" t="str">
        <f t="array" ref="F1311">IF(B1311="","",_xlfn.XLOOKUP(B1311,'Form responses 1'!$B$2:$B$2604,'Form responses 1'!$D$2:$D$2604,""))</f>
        <v/>
      </c>
      <c r="G1311" s="44" t="str">
        <f t="array" ref="G1311">IF(B1311="","",_xlfn.XLOOKUP(B1311,'Form responses 1'!$B$2:$B$2604,'Form responses 1'!$E$2:$E$2604,""))</f>
        <v/>
      </c>
      <c r="H1311" s="44" t="str">
        <f t="array" ref="H1311">IF(B1311="","",_xlfn.XLOOKUP(B1311,'Form responses 1'!$B$2:$B$2604,'Form responses 1'!$F$2:$F$2604,""))</f>
        <v/>
      </c>
      <c r="I1311" s="44" t="str">
        <f t="array" ref="I1311">IF(B1311="","",_xlfn.XLOOKUP(B1311,'Form responses 1'!$B$2:$B$2604,'Form responses 1'!$I$2:$I$2604,""))</f>
        <v/>
      </c>
      <c r="J1311" s="44" t="str">
        <f t="array" ref="J1311">IF(B1311="","",_xlfn.XLOOKUP(B1311,'Form responses 1'!$B$2:$B$2604,'Form responses 1'!$G$2:$G$2604,""))</f>
        <v/>
      </c>
      <c r="K1311" s="56"/>
      <c r="L1311" s="58" t="str">
        <f t="shared" si="7"/>
        <v/>
      </c>
      <c r="M1311" s="49"/>
      <c r="N1311" s="49"/>
      <c r="O1311" s="49"/>
      <c r="P1311" s="49"/>
      <c r="Q1311" s="49"/>
      <c r="R1311" s="49"/>
      <c r="S1311" s="49"/>
      <c r="T1311" s="49"/>
      <c r="U1311" s="49"/>
      <c r="V1311" s="49"/>
      <c r="W1311" s="56"/>
      <c r="X1311" s="51" t="str">
        <f t="shared" si="5"/>
        <v/>
      </c>
      <c r="Y1311" s="50" t="s">
        <v>482</v>
      </c>
      <c r="Z1311" s="49">
        <f t="shared" si="6"/>
        <v>0</v>
      </c>
    </row>
    <row r="1312" ht="22.5" customHeight="1">
      <c r="B1312" s="57"/>
      <c r="C1312" s="43" t="str">
        <f t="array" ref="C1312">IF(B1312="","",_xlfn.XLOOKUP(B1312,'Form responses 1'!$B$2:$B$2604,'Form responses 1'!$A$2:$A$2604,""))</f>
        <v/>
      </c>
      <c r="D1312" s="44" t="str">
        <f t="shared" si="3"/>
        <v/>
      </c>
      <c r="E1312" s="44" t="str">
        <f t="array" ref="E1312">IF(B1312="","",_xlfn.XLOOKUP(B1312,'Form responses 1'!$B$2:$B$2604,'Form responses 1'!$C$2:$C$2604,""))</f>
        <v/>
      </c>
      <c r="F1312" s="44" t="str">
        <f t="array" ref="F1312">IF(B1312="","",_xlfn.XLOOKUP(B1312,'Form responses 1'!$B$2:$B$2604,'Form responses 1'!$D$2:$D$2604,""))</f>
        <v/>
      </c>
      <c r="G1312" s="44" t="str">
        <f t="array" ref="G1312">IF(B1312="","",_xlfn.XLOOKUP(B1312,'Form responses 1'!$B$2:$B$2604,'Form responses 1'!$E$2:$E$2604,""))</f>
        <v/>
      </c>
      <c r="H1312" s="44" t="str">
        <f t="array" ref="H1312">IF(B1312="","",_xlfn.XLOOKUP(B1312,'Form responses 1'!$B$2:$B$2604,'Form responses 1'!$F$2:$F$2604,""))</f>
        <v/>
      </c>
      <c r="I1312" s="44" t="str">
        <f t="array" ref="I1312">IF(B1312="","",_xlfn.XLOOKUP(B1312,'Form responses 1'!$B$2:$B$2604,'Form responses 1'!$I$2:$I$2604,""))</f>
        <v/>
      </c>
      <c r="J1312" s="44" t="str">
        <f t="array" ref="J1312">IF(B1312="","",_xlfn.XLOOKUP(B1312,'Form responses 1'!$B$2:$B$2604,'Form responses 1'!$G$2:$G$2604,""))</f>
        <v/>
      </c>
      <c r="K1312" s="56"/>
      <c r="L1312" s="58" t="str">
        <f t="shared" si="7"/>
        <v/>
      </c>
      <c r="M1312" s="49"/>
      <c r="N1312" s="49"/>
      <c r="O1312" s="49"/>
      <c r="P1312" s="49"/>
      <c r="Q1312" s="49"/>
      <c r="R1312" s="49"/>
      <c r="S1312" s="49"/>
      <c r="T1312" s="49"/>
      <c r="U1312" s="49"/>
      <c r="V1312" s="49"/>
      <c r="W1312" s="56"/>
      <c r="X1312" s="51" t="str">
        <f t="shared" si="5"/>
        <v/>
      </c>
      <c r="Y1312" s="50" t="s">
        <v>482</v>
      </c>
      <c r="Z1312" s="49">
        <f t="shared" si="6"/>
        <v>0</v>
      </c>
    </row>
    <row r="1313" ht="22.5" customHeight="1">
      <c r="B1313" s="57"/>
      <c r="C1313" s="43" t="str">
        <f t="array" ref="C1313">IF(B1313="","",_xlfn.XLOOKUP(B1313,'Form responses 1'!$B$2:$B$2604,'Form responses 1'!$A$2:$A$2604,""))</f>
        <v/>
      </c>
      <c r="D1313" s="44" t="str">
        <f t="shared" si="3"/>
        <v/>
      </c>
      <c r="E1313" s="44" t="str">
        <f t="array" ref="E1313">IF(B1313="","",_xlfn.XLOOKUP(B1313,'Form responses 1'!$B$2:$B$2604,'Form responses 1'!$C$2:$C$2604,""))</f>
        <v/>
      </c>
      <c r="F1313" s="44" t="str">
        <f t="array" ref="F1313">IF(B1313="","",_xlfn.XLOOKUP(B1313,'Form responses 1'!$B$2:$B$2604,'Form responses 1'!$D$2:$D$2604,""))</f>
        <v/>
      </c>
      <c r="G1313" s="44" t="str">
        <f t="array" ref="G1313">IF(B1313="","",_xlfn.XLOOKUP(B1313,'Form responses 1'!$B$2:$B$2604,'Form responses 1'!$E$2:$E$2604,""))</f>
        <v/>
      </c>
      <c r="H1313" s="44" t="str">
        <f t="array" ref="H1313">IF(B1313="","",_xlfn.XLOOKUP(B1313,'Form responses 1'!$B$2:$B$2604,'Form responses 1'!$F$2:$F$2604,""))</f>
        <v/>
      </c>
      <c r="I1313" s="44" t="str">
        <f t="array" ref="I1313">IF(B1313="","",_xlfn.XLOOKUP(B1313,'Form responses 1'!$B$2:$B$2604,'Form responses 1'!$I$2:$I$2604,""))</f>
        <v/>
      </c>
      <c r="J1313" s="44" t="str">
        <f t="array" ref="J1313">IF(B1313="","",_xlfn.XLOOKUP(B1313,'Form responses 1'!$B$2:$B$2604,'Form responses 1'!$G$2:$G$2604,""))</f>
        <v/>
      </c>
      <c r="K1313" s="56"/>
      <c r="L1313" s="58" t="str">
        <f t="shared" si="7"/>
        <v/>
      </c>
      <c r="M1313" s="49"/>
      <c r="N1313" s="49"/>
      <c r="O1313" s="49"/>
      <c r="P1313" s="49"/>
      <c r="Q1313" s="49"/>
      <c r="R1313" s="49"/>
      <c r="S1313" s="49"/>
      <c r="T1313" s="49"/>
      <c r="U1313" s="49"/>
      <c r="V1313" s="49"/>
      <c r="W1313" s="56"/>
      <c r="X1313" s="51" t="str">
        <f t="shared" si="5"/>
        <v/>
      </c>
      <c r="Y1313" s="50" t="s">
        <v>482</v>
      </c>
      <c r="Z1313" s="49">
        <f t="shared" si="6"/>
        <v>0</v>
      </c>
    </row>
    <row r="1314" ht="22.5" customHeight="1">
      <c r="B1314" s="57"/>
      <c r="C1314" s="43" t="str">
        <f t="array" ref="C1314">IF(B1314="","",_xlfn.XLOOKUP(B1314,'Form responses 1'!$B$2:$B$2604,'Form responses 1'!$A$2:$A$2604,""))</f>
        <v/>
      </c>
      <c r="D1314" s="44" t="str">
        <f t="shared" si="3"/>
        <v/>
      </c>
      <c r="E1314" s="44" t="str">
        <f t="array" ref="E1314">IF(B1314="","",_xlfn.XLOOKUP(B1314,'Form responses 1'!$B$2:$B$2604,'Form responses 1'!$C$2:$C$2604,""))</f>
        <v/>
      </c>
      <c r="F1314" s="44" t="str">
        <f t="array" ref="F1314">IF(B1314="","",_xlfn.XLOOKUP(B1314,'Form responses 1'!$B$2:$B$2604,'Form responses 1'!$D$2:$D$2604,""))</f>
        <v/>
      </c>
      <c r="G1314" s="44" t="str">
        <f t="array" ref="G1314">IF(B1314="","",_xlfn.XLOOKUP(B1314,'Form responses 1'!$B$2:$B$2604,'Form responses 1'!$E$2:$E$2604,""))</f>
        <v/>
      </c>
      <c r="H1314" s="44" t="str">
        <f t="array" ref="H1314">IF(B1314="","",_xlfn.XLOOKUP(B1314,'Form responses 1'!$B$2:$B$2604,'Form responses 1'!$F$2:$F$2604,""))</f>
        <v/>
      </c>
      <c r="I1314" s="44" t="str">
        <f t="array" ref="I1314">IF(B1314="","",_xlfn.XLOOKUP(B1314,'Form responses 1'!$B$2:$B$2604,'Form responses 1'!$I$2:$I$2604,""))</f>
        <v/>
      </c>
      <c r="J1314" s="44" t="str">
        <f t="array" ref="J1314">IF(B1314="","",_xlfn.XLOOKUP(B1314,'Form responses 1'!$B$2:$B$2604,'Form responses 1'!$G$2:$G$2604,""))</f>
        <v/>
      </c>
      <c r="K1314" s="56"/>
      <c r="L1314" s="58" t="str">
        <f t="shared" si="7"/>
        <v/>
      </c>
      <c r="M1314" s="49"/>
      <c r="N1314" s="49"/>
      <c r="O1314" s="49"/>
      <c r="P1314" s="49"/>
      <c r="Q1314" s="49"/>
      <c r="R1314" s="49"/>
      <c r="S1314" s="49"/>
      <c r="T1314" s="49"/>
      <c r="U1314" s="49"/>
      <c r="V1314" s="49"/>
      <c r="W1314" s="56"/>
      <c r="X1314" s="51" t="str">
        <f t="shared" si="5"/>
        <v/>
      </c>
      <c r="Y1314" s="50" t="s">
        <v>482</v>
      </c>
      <c r="Z1314" s="49">
        <f t="shared" si="6"/>
        <v>0</v>
      </c>
    </row>
    <row r="1315" ht="22.5" customHeight="1">
      <c r="B1315" s="57"/>
      <c r="C1315" s="43" t="str">
        <f t="array" ref="C1315">IF(B1315="","",_xlfn.XLOOKUP(B1315,'Form responses 1'!$B$2:$B$2604,'Form responses 1'!$A$2:$A$2604,""))</f>
        <v/>
      </c>
      <c r="D1315" s="44" t="str">
        <f t="shared" si="3"/>
        <v/>
      </c>
      <c r="E1315" s="44" t="str">
        <f t="array" ref="E1315">IF(B1315="","",_xlfn.XLOOKUP(B1315,'Form responses 1'!$B$2:$B$2604,'Form responses 1'!$C$2:$C$2604,""))</f>
        <v/>
      </c>
      <c r="F1315" s="44" t="str">
        <f t="array" ref="F1315">IF(B1315="","",_xlfn.XLOOKUP(B1315,'Form responses 1'!$B$2:$B$2604,'Form responses 1'!$D$2:$D$2604,""))</f>
        <v/>
      </c>
      <c r="G1315" s="44" t="str">
        <f t="array" ref="G1315">IF(B1315="","",_xlfn.XLOOKUP(B1315,'Form responses 1'!$B$2:$B$2604,'Form responses 1'!$E$2:$E$2604,""))</f>
        <v/>
      </c>
      <c r="H1315" s="44" t="str">
        <f t="array" ref="H1315">IF(B1315="","",_xlfn.XLOOKUP(B1315,'Form responses 1'!$B$2:$B$2604,'Form responses 1'!$F$2:$F$2604,""))</f>
        <v/>
      </c>
      <c r="I1315" s="44" t="str">
        <f t="array" ref="I1315">IF(B1315="","",_xlfn.XLOOKUP(B1315,'Form responses 1'!$B$2:$B$2604,'Form responses 1'!$I$2:$I$2604,""))</f>
        <v/>
      </c>
      <c r="J1315" s="44" t="str">
        <f t="array" ref="J1315">IF(B1315="","",_xlfn.XLOOKUP(B1315,'Form responses 1'!$B$2:$B$2604,'Form responses 1'!$G$2:$G$2604,""))</f>
        <v/>
      </c>
      <c r="K1315" s="56"/>
      <c r="L1315" s="58" t="str">
        <f t="shared" si="7"/>
        <v/>
      </c>
      <c r="M1315" s="49"/>
      <c r="N1315" s="49"/>
      <c r="O1315" s="49"/>
      <c r="P1315" s="49"/>
      <c r="Q1315" s="49"/>
      <c r="R1315" s="49"/>
      <c r="S1315" s="49"/>
      <c r="T1315" s="49"/>
      <c r="U1315" s="49"/>
      <c r="V1315" s="49"/>
      <c r="W1315" s="56"/>
      <c r="X1315" s="51" t="str">
        <f t="shared" si="5"/>
        <v/>
      </c>
      <c r="Y1315" s="50" t="s">
        <v>482</v>
      </c>
      <c r="Z1315" s="49">
        <f t="shared" si="6"/>
        <v>0</v>
      </c>
    </row>
    <row r="1316" ht="22.5" customHeight="1">
      <c r="B1316" s="57"/>
      <c r="C1316" s="43" t="str">
        <f t="array" ref="C1316">IF(B1316="","",_xlfn.XLOOKUP(B1316,'Form responses 1'!$B$2:$B$2604,'Form responses 1'!$A$2:$A$2604,""))</f>
        <v/>
      </c>
      <c r="D1316" s="44" t="str">
        <f t="shared" si="3"/>
        <v/>
      </c>
      <c r="E1316" s="44" t="str">
        <f t="array" ref="E1316">IF(B1316="","",_xlfn.XLOOKUP(B1316,'Form responses 1'!$B$2:$B$2604,'Form responses 1'!$C$2:$C$2604,""))</f>
        <v/>
      </c>
      <c r="F1316" s="44" t="str">
        <f t="array" ref="F1316">IF(B1316="","",_xlfn.XLOOKUP(B1316,'Form responses 1'!$B$2:$B$2604,'Form responses 1'!$D$2:$D$2604,""))</f>
        <v/>
      </c>
      <c r="G1316" s="44" t="str">
        <f t="array" ref="G1316">IF(B1316="","",_xlfn.XLOOKUP(B1316,'Form responses 1'!$B$2:$B$2604,'Form responses 1'!$E$2:$E$2604,""))</f>
        <v/>
      </c>
      <c r="H1316" s="44" t="str">
        <f t="array" ref="H1316">IF(B1316="","",_xlfn.XLOOKUP(B1316,'Form responses 1'!$B$2:$B$2604,'Form responses 1'!$F$2:$F$2604,""))</f>
        <v/>
      </c>
      <c r="I1316" s="44" t="str">
        <f t="array" ref="I1316">IF(B1316="","",_xlfn.XLOOKUP(B1316,'Form responses 1'!$B$2:$B$2604,'Form responses 1'!$I$2:$I$2604,""))</f>
        <v/>
      </c>
      <c r="J1316" s="44" t="str">
        <f t="array" ref="J1316">IF(B1316="","",_xlfn.XLOOKUP(B1316,'Form responses 1'!$B$2:$B$2604,'Form responses 1'!$G$2:$G$2604,""))</f>
        <v/>
      </c>
      <c r="K1316" s="56"/>
      <c r="L1316" s="58" t="str">
        <f t="shared" si="7"/>
        <v/>
      </c>
      <c r="M1316" s="49"/>
      <c r="N1316" s="49"/>
      <c r="O1316" s="49"/>
      <c r="P1316" s="49"/>
      <c r="Q1316" s="49"/>
      <c r="R1316" s="49"/>
      <c r="S1316" s="49"/>
      <c r="T1316" s="49"/>
      <c r="U1316" s="49"/>
      <c r="V1316" s="49"/>
      <c r="W1316" s="56"/>
      <c r="X1316" s="51" t="str">
        <f t="shared" si="5"/>
        <v/>
      </c>
      <c r="Y1316" s="50" t="s">
        <v>482</v>
      </c>
      <c r="Z1316" s="49">
        <f t="shared" si="6"/>
        <v>0</v>
      </c>
    </row>
    <row r="1317" ht="22.5" customHeight="1">
      <c r="B1317" s="57"/>
      <c r="C1317" s="43" t="str">
        <f t="array" ref="C1317">IF(B1317="","",_xlfn.XLOOKUP(B1317,'Form responses 1'!$B$2:$B$2604,'Form responses 1'!$A$2:$A$2604,""))</f>
        <v/>
      </c>
      <c r="D1317" s="44" t="str">
        <f t="shared" si="3"/>
        <v/>
      </c>
      <c r="E1317" s="44" t="str">
        <f t="array" ref="E1317">IF(B1317="","",_xlfn.XLOOKUP(B1317,'Form responses 1'!$B$2:$B$2604,'Form responses 1'!$C$2:$C$2604,""))</f>
        <v/>
      </c>
      <c r="F1317" s="44" t="str">
        <f t="array" ref="F1317">IF(B1317="","",_xlfn.XLOOKUP(B1317,'Form responses 1'!$B$2:$B$2604,'Form responses 1'!$D$2:$D$2604,""))</f>
        <v/>
      </c>
      <c r="G1317" s="44" t="str">
        <f t="array" ref="G1317">IF(B1317="","",_xlfn.XLOOKUP(B1317,'Form responses 1'!$B$2:$B$2604,'Form responses 1'!$E$2:$E$2604,""))</f>
        <v/>
      </c>
      <c r="H1317" s="44" t="str">
        <f t="array" ref="H1317">IF(B1317="","",_xlfn.XLOOKUP(B1317,'Form responses 1'!$B$2:$B$2604,'Form responses 1'!$F$2:$F$2604,""))</f>
        <v/>
      </c>
      <c r="I1317" s="44" t="str">
        <f t="array" ref="I1317">IF(B1317="","",_xlfn.XLOOKUP(B1317,'Form responses 1'!$B$2:$B$2604,'Form responses 1'!$I$2:$I$2604,""))</f>
        <v/>
      </c>
      <c r="J1317" s="44" t="str">
        <f t="array" ref="J1317">IF(B1317="","",_xlfn.XLOOKUP(B1317,'Form responses 1'!$B$2:$B$2604,'Form responses 1'!$G$2:$G$2604,""))</f>
        <v/>
      </c>
      <c r="K1317" s="56"/>
      <c r="L1317" s="58" t="str">
        <f t="shared" si="7"/>
        <v/>
      </c>
      <c r="M1317" s="49"/>
      <c r="N1317" s="49"/>
      <c r="O1317" s="49"/>
      <c r="P1317" s="49"/>
      <c r="Q1317" s="49"/>
      <c r="R1317" s="49"/>
      <c r="S1317" s="49"/>
      <c r="T1317" s="49"/>
      <c r="U1317" s="49"/>
      <c r="V1317" s="49"/>
      <c r="W1317" s="56"/>
      <c r="X1317" s="51" t="str">
        <f t="shared" si="5"/>
        <v/>
      </c>
      <c r="Y1317" s="50" t="s">
        <v>482</v>
      </c>
      <c r="Z1317" s="49">
        <f t="shared" si="6"/>
        <v>0</v>
      </c>
    </row>
    <row r="1318" ht="22.5" customHeight="1">
      <c r="B1318" s="57"/>
      <c r="C1318" s="43" t="str">
        <f t="array" ref="C1318">IF(B1318="","",_xlfn.XLOOKUP(B1318,'Form responses 1'!$B$2:$B$2604,'Form responses 1'!$A$2:$A$2604,""))</f>
        <v/>
      </c>
      <c r="D1318" s="44" t="str">
        <f t="shared" si="3"/>
        <v/>
      </c>
      <c r="E1318" s="44" t="str">
        <f t="array" ref="E1318">IF(B1318="","",_xlfn.XLOOKUP(B1318,'Form responses 1'!$B$2:$B$2604,'Form responses 1'!$C$2:$C$2604,""))</f>
        <v/>
      </c>
      <c r="F1318" s="44" t="str">
        <f t="array" ref="F1318">IF(B1318="","",_xlfn.XLOOKUP(B1318,'Form responses 1'!$B$2:$B$2604,'Form responses 1'!$D$2:$D$2604,""))</f>
        <v/>
      </c>
      <c r="G1318" s="44" t="str">
        <f t="array" ref="G1318">IF(B1318="","",_xlfn.XLOOKUP(B1318,'Form responses 1'!$B$2:$B$2604,'Form responses 1'!$E$2:$E$2604,""))</f>
        <v/>
      </c>
      <c r="H1318" s="44" t="str">
        <f t="array" ref="H1318">IF(B1318="","",_xlfn.XLOOKUP(B1318,'Form responses 1'!$B$2:$B$2604,'Form responses 1'!$F$2:$F$2604,""))</f>
        <v/>
      </c>
      <c r="I1318" s="44" t="str">
        <f t="array" ref="I1318">IF(B1318="","",_xlfn.XLOOKUP(B1318,'Form responses 1'!$B$2:$B$2604,'Form responses 1'!$I$2:$I$2604,""))</f>
        <v/>
      </c>
      <c r="J1318" s="44" t="str">
        <f t="array" ref="J1318">IF(B1318="","",_xlfn.XLOOKUP(B1318,'Form responses 1'!$B$2:$B$2604,'Form responses 1'!$G$2:$G$2604,""))</f>
        <v/>
      </c>
      <c r="K1318" s="56"/>
      <c r="L1318" s="58" t="str">
        <f t="shared" si="7"/>
        <v/>
      </c>
      <c r="M1318" s="49"/>
      <c r="N1318" s="49"/>
      <c r="O1318" s="49"/>
      <c r="P1318" s="49"/>
      <c r="Q1318" s="49"/>
      <c r="R1318" s="49"/>
      <c r="S1318" s="49"/>
      <c r="T1318" s="49"/>
      <c r="U1318" s="49"/>
      <c r="V1318" s="49"/>
      <c r="W1318" s="56"/>
      <c r="X1318" s="51" t="str">
        <f t="shared" si="5"/>
        <v/>
      </c>
      <c r="Y1318" s="50" t="s">
        <v>482</v>
      </c>
      <c r="Z1318" s="49">
        <f t="shared" si="6"/>
        <v>0</v>
      </c>
    </row>
    <row r="1319" ht="22.5" customHeight="1">
      <c r="B1319" s="57"/>
      <c r="C1319" s="43" t="str">
        <f t="array" ref="C1319">IF(B1319="","",_xlfn.XLOOKUP(B1319,'Form responses 1'!$B$2:$B$2604,'Form responses 1'!$A$2:$A$2604,""))</f>
        <v/>
      </c>
      <c r="D1319" s="44" t="str">
        <f t="shared" si="3"/>
        <v/>
      </c>
      <c r="E1319" s="44" t="str">
        <f t="array" ref="E1319">IF(B1319="","",_xlfn.XLOOKUP(B1319,'Form responses 1'!$B$2:$B$2604,'Form responses 1'!$C$2:$C$2604,""))</f>
        <v/>
      </c>
      <c r="F1319" s="44" t="str">
        <f t="array" ref="F1319">IF(B1319="","",_xlfn.XLOOKUP(B1319,'Form responses 1'!$B$2:$B$2604,'Form responses 1'!$D$2:$D$2604,""))</f>
        <v/>
      </c>
      <c r="G1319" s="44" t="str">
        <f t="array" ref="G1319">IF(B1319="","",_xlfn.XLOOKUP(B1319,'Form responses 1'!$B$2:$B$2604,'Form responses 1'!$E$2:$E$2604,""))</f>
        <v/>
      </c>
      <c r="H1319" s="44" t="str">
        <f t="array" ref="H1319">IF(B1319="","",_xlfn.XLOOKUP(B1319,'Form responses 1'!$B$2:$B$2604,'Form responses 1'!$F$2:$F$2604,""))</f>
        <v/>
      </c>
      <c r="I1319" s="44" t="str">
        <f t="array" ref="I1319">IF(B1319="","",_xlfn.XLOOKUP(B1319,'Form responses 1'!$B$2:$B$2604,'Form responses 1'!$I$2:$I$2604,""))</f>
        <v/>
      </c>
      <c r="J1319" s="44" t="str">
        <f t="array" ref="J1319">IF(B1319="","",_xlfn.XLOOKUP(B1319,'Form responses 1'!$B$2:$B$2604,'Form responses 1'!$G$2:$G$2604,""))</f>
        <v/>
      </c>
      <c r="K1319" s="56"/>
      <c r="L1319" s="58" t="str">
        <f t="shared" si="7"/>
        <v/>
      </c>
      <c r="M1319" s="49"/>
      <c r="N1319" s="49"/>
      <c r="O1319" s="49"/>
      <c r="P1319" s="49"/>
      <c r="Q1319" s="49"/>
      <c r="R1319" s="49"/>
      <c r="S1319" s="49"/>
      <c r="T1319" s="49"/>
      <c r="U1319" s="49"/>
      <c r="V1319" s="49"/>
      <c r="W1319" s="56"/>
      <c r="X1319" s="51" t="str">
        <f t="shared" si="5"/>
        <v/>
      </c>
      <c r="Y1319" s="50" t="s">
        <v>482</v>
      </c>
      <c r="Z1319" s="49">
        <f t="shared" si="6"/>
        <v>0</v>
      </c>
    </row>
    <row r="1320" ht="22.5" customHeight="1">
      <c r="B1320" s="57"/>
      <c r="C1320" s="43" t="str">
        <f t="array" ref="C1320">IF(B1320="","",_xlfn.XLOOKUP(B1320,'Form responses 1'!$B$2:$B$2604,'Form responses 1'!$A$2:$A$2604,""))</f>
        <v/>
      </c>
      <c r="D1320" s="44" t="str">
        <f t="shared" si="3"/>
        <v/>
      </c>
      <c r="E1320" s="44" t="str">
        <f t="array" ref="E1320">IF(B1320="","",_xlfn.XLOOKUP(B1320,'Form responses 1'!$B$2:$B$2604,'Form responses 1'!$C$2:$C$2604,""))</f>
        <v/>
      </c>
      <c r="F1320" s="44" t="str">
        <f t="array" ref="F1320">IF(B1320="","",_xlfn.XLOOKUP(B1320,'Form responses 1'!$B$2:$B$2604,'Form responses 1'!$D$2:$D$2604,""))</f>
        <v/>
      </c>
      <c r="G1320" s="44" t="str">
        <f t="array" ref="G1320">IF(B1320="","",_xlfn.XLOOKUP(B1320,'Form responses 1'!$B$2:$B$2604,'Form responses 1'!$E$2:$E$2604,""))</f>
        <v/>
      </c>
      <c r="H1320" s="44" t="str">
        <f t="array" ref="H1320">IF(B1320="","",_xlfn.XLOOKUP(B1320,'Form responses 1'!$B$2:$B$2604,'Form responses 1'!$F$2:$F$2604,""))</f>
        <v/>
      </c>
      <c r="I1320" s="44" t="str">
        <f t="array" ref="I1320">IF(B1320="","",_xlfn.XLOOKUP(B1320,'Form responses 1'!$B$2:$B$2604,'Form responses 1'!$I$2:$I$2604,""))</f>
        <v/>
      </c>
      <c r="J1320" s="44" t="str">
        <f t="array" ref="J1320">IF(B1320="","",_xlfn.XLOOKUP(B1320,'Form responses 1'!$B$2:$B$2604,'Form responses 1'!$G$2:$G$2604,""))</f>
        <v/>
      </c>
      <c r="K1320" s="56"/>
      <c r="L1320" s="58" t="str">
        <f t="shared" si="7"/>
        <v/>
      </c>
      <c r="M1320" s="49"/>
      <c r="N1320" s="49"/>
      <c r="O1320" s="49"/>
      <c r="P1320" s="49"/>
      <c r="Q1320" s="49"/>
      <c r="R1320" s="49"/>
      <c r="S1320" s="49"/>
      <c r="T1320" s="49"/>
      <c r="U1320" s="49"/>
      <c r="V1320" s="49"/>
      <c r="W1320" s="56"/>
      <c r="X1320" s="51" t="str">
        <f t="shared" si="5"/>
        <v/>
      </c>
      <c r="Y1320" s="50" t="s">
        <v>482</v>
      </c>
      <c r="Z1320" s="49">
        <f t="shared" si="6"/>
        <v>0</v>
      </c>
    </row>
    <row r="1321" ht="22.5" customHeight="1">
      <c r="B1321" s="57"/>
      <c r="C1321" s="43" t="str">
        <f t="array" ref="C1321">IF(B1321="","",_xlfn.XLOOKUP(B1321,'Form responses 1'!$B$2:$B$2604,'Form responses 1'!$A$2:$A$2604,""))</f>
        <v/>
      </c>
      <c r="D1321" s="44" t="str">
        <f t="shared" si="3"/>
        <v/>
      </c>
      <c r="E1321" s="44" t="str">
        <f t="array" ref="E1321">IF(B1321="","",_xlfn.XLOOKUP(B1321,'Form responses 1'!$B$2:$B$2604,'Form responses 1'!$C$2:$C$2604,""))</f>
        <v/>
      </c>
      <c r="F1321" s="44" t="str">
        <f t="array" ref="F1321">IF(B1321="","",_xlfn.XLOOKUP(B1321,'Form responses 1'!$B$2:$B$2604,'Form responses 1'!$D$2:$D$2604,""))</f>
        <v/>
      </c>
      <c r="G1321" s="44" t="str">
        <f t="array" ref="G1321">IF(B1321="","",_xlfn.XLOOKUP(B1321,'Form responses 1'!$B$2:$B$2604,'Form responses 1'!$E$2:$E$2604,""))</f>
        <v/>
      </c>
      <c r="H1321" s="44" t="str">
        <f t="array" ref="H1321">IF(B1321="","",_xlfn.XLOOKUP(B1321,'Form responses 1'!$B$2:$B$2604,'Form responses 1'!$F$2:$F$2604,""))</f>
        <v/>
      </c>
      <c r="I1321" s="44" t="str">
        <f t="array" ref="I1321">IF(B1321="","",_xlfn.XLOOKUP(B1321,'Form responses 1'!$B$2:$B$2604,'Form responses 1'!$I$2:$I$2604,""))</f>
        <v/>
      </c>
      <c r="J1321" s="44" t="str">
        <f t="array" ref="J1321">IF(B1321="","",_xlfn.XLOOKUP(B1321,'Form responses 1'!$B$2:$B$2604,'Form responses 1'!$G$2:$G$2604,""))</f>
        <v/>
      </c>
      <c r="K1321" s="56"/>
      <c r="L1321" s="58" t="str">
        <f t="shared" si="7"/>
        <v/>
      </c>
      <c r="M1321" s="49"/>
      <c r="N1321" s="49"/>
      <c r="O1321" s="49"/>
      <c r="P1321" s="49"/>
      <c r="Q1321" s="49"/>
      <c r="R1321" s="49"/>
      <c r="S1321" s="49"/>
      <c r="T1321" s="49"/>
      <c r="U1321" s="49"/>
      <c r="V1321" s="49"/>
      <c r="W1321" s="56"/>
      <c r="X1321" s="51" t="str">
        <f t="shared" si="5"/>
        <v/>
      </c>
      <c r="Y1321" s="50" t="s">
        <v>482</v>
      </c>
      <c r="Z1321" s="49">
        <f t="shared" si="6"/>
        <v>0</v>
      </c>
    </row>
    <row r="1322" ht="22.5" customHeight="1">
      <c r="B1322" s="57"/>
      <c r="C1322" s="43" t="str">
        <f t="array" ref="C1322">IF(B1322="","",_xlfn.XLOOKUP(B1322,'Form responses 1'!$B$2:$B$2604,'Form responses 1'!$A$2:$A$2604,""))</f>
        <v/>
      </c>
      <c r="D1322" s="44" t="str">
        <f t="shared" si="3"/>
        <v/>
      </c>
      <c r="E1322" s="44" t="str">
        <f t="array" ref="E1322">IF(B1322="","",_xlfn.XLOOKUP(B1322,'Form responses 1'!$B$2:$B$2604,'Form responses 1'!$C$2:$C$2604,""))</f>
        <v/>
      </c>
      <c r="F1322" s="44" t="str">
        <f t="array" ref="F1322">IF(B1322="","",_xlfn.XLOOKUP(B1322,'Form responses 1'!$B$2:$B$2604,'Form responses 1'!$D$2:$D$2604,""))</f>
        <v/>
      </c>
      <c r="G1322" s="44" t="str">
        <f t="array" ref="G1322">IF(B1322="","",_xlfn.XLOOKUP(B1322,'Form responses 1'!$B$2:$B$2604,'Form responses 1'!$E$2:$E$2604,""))</f>
        <v/>
      </c>
      <c r="H1322" s="44" t="str">
        <f t="array" ref="H1322">IF(B1322="","",_xlfn.XLOOKUP(B1322,'Form responses 1'!$B$2:$B$2604,'Form responses 1'!$F$2:$F$2604,""))</f>
        <v/>
      </c>
      <c r="I1322" s="44" t="str">
        <f t="array" ref="I1322">IF(B1322="","",_xlfn.XLOOKUP(B1322,'Form responses 1'!$B$2:$B$2604,'Form responses 1'!$I$2:$I$2604,""))</f>
        <v/>
      </c>
      <c r="J1322" s="44" t="str">
        <f t="array" ref="J1322">IF(B1322="","",_xlfn.XLOOKUP(B1322,'Form responses 1'!$B$2:$B$2604,'Form responses 1'!$G$2:$G$2604,""))</f>
        <v/>
      </c>
      <c r="K1322" s="56"/>
      <c r="L1322" s="58" t="str">
        <f t="shared" si="7"/>
        <v/>
      </c>
      <c r="M1322" s="49"/>
      <c r="N1322" s="49"/>
      <c r="O1322" s="49"/>
      <c r="P1322" s="49"/>
      <c r="Q1322" s="49"/>
      <c r="R1322" s="49"/>
      <c r="S1322" s="49"/>
      <c r="T1322" s="49"/>
      <c r="U1322" s="49"/>
      <c r="V1322" s="49"/>
      <c r="W1322" s="56"/>
      <c r="X1322" s="51" t="str">
        <f t="shared" si="5"/>
        <v/>
      </c>
      <c r="Y1322" s="50" t="s">
        <v>482</v>
      </c>
      <c r="Z1322" s="49">
        <f t="shared" si="6"/>
        <v>0</v>
      </c>
    </row>
    <row r="1323" ht="22.5" customHeight="1">
      <c r="B1323" s="57"/>
      <c r="C1323" s="43" t="str">
        <f t="array" ref="C1323">IF(B1323="","",_xlfn.XLOOKUP(B1323,'Form responses 1'!$B$2:$B$2604,'Form responses 1'!$A$2:$A$2604,""))</f>
        <v/>
      </c>
      <c r="D1323" s="44" t="str">
        <f t="shared" si="3"/>
        <v/>
      </c>
      <c r="E1323" s="44" t="str">
        <f t="array" ref="E1323">IF(B1323="","",_xlfn.XLOOKUP(B1323,'Form responses 1'!$B$2:$B$2604,'Form responses 1'!$C$2:$C$2604,""))</f>
        <v/>
      </c>
      <c r="F1323" s="44" t="str">
        <f t="array" ref="F1323">IF(B1323="","",_xlfn.XLOOKUP(B1323,'Form responses 1'!$B$2:$B$2604,'Form responses 1'!$D$2:$D$2604,""))</f>
        <v/>
      </c>
      <c r="G1323" s="44" t="str">
        <f t="array" ref="G1323">IF(B1323="","",_xlfn.XLOOKUP(B1323,'Form responses 1'!$B$2:$B$2604,'Form responses 1'!$E$2:$E$2604,""))</f>
        <v/>
      </c>
      <c r="H1323" s="44" t="str">
        <f t="array" ref="H1323">IF(B1323="","",_xlfn.XLOOKUP(B1323,'Form responses 1'!$B$2:$B$2604,'Form responses 1'!$F$2:$F$2604,""))</f>
        <v/>
      </c>
      <c r="I1323" s="44" t="str">
        <f t="array" ref="I1323">IF(B1323="","",_xlfn.XLOOKUP(B1323,'Form responses 1'!$B$2:$B$2604,'Form responses 1'!$I$2:$I$2604,""))</f>
        <v/>
      </c>
      <c r="J1323" s="44" t="str">
        <f t="array" ref="J1323">IF(B1323="","",_xlfn.XLOOKUP(B1323,'Form responses 1'!$B$2:$B$2604,'Form responses 1'!$G$2:$G$2604,""))</f>
        <v/>
      </c>
      <c r="K1323" s="56"/>
      <c r="L1323" s="58" t="str">
        <f t="shared" si="7"/>
        <v/>
      </c>
      <c r="M1323" s="49"/>
      <c r="N1323" s="49"/>
      <c r="O1323" s="49"/>
      <c r="P1323" s="49"/>
      <c r="Q1323" s="49"/>
      <c r="R1323" s="49"/>
      <c r="S1323" s="49"/>
      <c r="T1323" s="49"/>
      <c r="U1323" s="49"/>
      <c r="V1323" s="49"/>
      <c r="W1323" s="56"/>
      <c r="X1323" s="51" t="str">
        <f t="shared" si="5"/>
        <v/>
      </c>
      <c r="Y1323" s="50" t="s">
        <v>482</v>
      </c>
      <c r="Z1323" s="49">
        <f t="shared" si="6"/>
        <v>0</v>
      </c>
    </row>
    <row r="1324" ht="22.5" customHeight="1">
      <c r="B1324" s="57"/>
      <c r="C1324" s="43" t="str">
        <f t="array" ref="C1324">IF(B1324="","",_xlfn.XLOOKUP(B1324,'Form responses 1'!$B$2:$B$2604,'Form responses 1'!$A$2:$A$2604,""))</f>
        <v/>
      </c>
      <c r="D1324" s="44" t="str">
        <f t="shared" si="3"/>
        <v/>
      </c>
      <c r="E1324" s="44" t="str">
        <f t="array" ref="E1324">IF(B1324="","",_xlfn.XLOOKUP(B1324,'Form responses 1'!$B$2:$B$2604,'Form responses 1'!$C$2:$C$2604,""))</f>
        <v/>
      </c>
      <c r="F1324" s="44" t="str">
        <f t="array" ref="F1324">IF(B1324="","",_xlfn.XLOOKUP(B1324,'Form responses 1'!$B$2:$B$2604,'Form responses 1'!$D$2:$D$2604,""))</f>
        <v/>
      </c>
      <c r="G1324" s="44" t="str">
        <f t="array" ref="G1324">IF(B1324="","",_xlfn.XLOOKUP(B1324,'Form responses 1'!$B$2:$B$2604,'Form responses 1'!$E$2:$E$2604,""))</f>
        <v/>
      </c>
      <c r="H1324" s="44" t="str">
        <f t="array" ref="H1324">IF(B1324="","",_xlfn.XLOOKUP(B1324,'Form responses 1'!$B$2:$B$2604,'Form responses 1'!$F$2:$F$2604,""))</f>
        <v/>
      </c>
      <c r="I1324" s="44" t="str">
        <f t="array" ref="I1324">IF(B1324="","",_xlfn.XLOOKUP(B1324,'Form responses 1'!$B$2:$B$2604,'Form responses 1'!$I$2:$I$2604,""))</f>
        <v/>
      </c>
      <c r="J1324" s="44" t="str">
        <f t="array" ref="J1324">IF(B1324="","",_xlfn.XLOOKUP(B1324,'Form responses 1'!$B$2:$B$2604,'Form responses 1'!$G$2:$G$2604,""))</f>
        <v/>
      </c>
      <c r="K1324" s="56"/>
      <c r="L1324" s="58" t="str">
        <f t="shared" si="7"/>
        <v/>
      </c>
      <c r="M1324" s="49"/>
      <c r="N1324" s="49"/>
      <c r="O1324" s="49"/>
      <c r="P1324" s="49"/>
      <c r="Q1324" s="49"/>
      <c r="R1324" s="49"/>
      <c r="S1324" s="49"/>
      <c r="T1324" s="49"/>
      <c r="U1324" s="49"/>
      <c r="V1324" s="49"/>
      <c r="W1324" s="56"/>
      <c r="X1324" s="51" t="str">
        <f t="shared" si="5"/>
        <v/>
      </c>
      <c r="Y1324" s="50" t="s">
        <v>482</v>
      </c>
      <c r="Z1324" s="49">
        <f t="shared" si="6"/>
        <v>0</v>
      </c>
    </row>
    <row r="1325" ht="22.5" customHeight="1">
      <c r="B1325" s="57"/>
      <c r="C1325" s="43" t="str">
        <f t="array" ref="C1325">IF(B1325="","",_xlfn.XLOOKUP(B1325,'Form responses 1'!$B$2:$B$2604,'Form responses 1'!$A$2:$A$2604,""))</f>
        <v/>
      </c>
      <c r="D1325" s="44" t="str">
        <f t="shared" si="3"/>
        <v/>
      </c>
      <c r="E1325" s="44" t="str">
        <f t="array" ref="E1325">IF(B1325="","",_xlfn.XLOOKUP(B1325,'Form responses 1'!$B$2:$B$2604,'Form responses 1'!$C$2:$C$2604,""))</f>
        <v/>
      </c>
      <c r="F1325" s="44" t="str">
        <f t="array" ref="F1325">IF(B1325="","",_xlfn.XLOOKUP(B1325,'Form responses 1'!$B$2:$B$2604,'Form responses 1'!$D$2:$D$2604,""))</f>
        <v/>
      </c>
      <c r="G1325" s="44" t="str">
        <f t="array" ref="G1325">IF(B1325="","",_xlfn.XLOOKUP(B1325,'Form responses 1'!$B$2:$B$2604,'Form responses 1'!$E$2:$E$2604,""))</f>
        <v/>
      </c>
      <c r="H1325" s="44" t="str">
        <f t="array" ref="H1325">IF(B1325="","",_xlfn.XLOOKUP(B1325,'Form responses 1'!$B$2:$B$2604,'Form responses 1'!$F$2:$F$2604,""))</f>
        <v/>
      </c>
      <c r="I1325" s="44" t="str">
        <f t="array" ref="I1325">IF(B1325="","",_xlfn.XLOOKUP(B1325,'Form responses 1'!$B$2:$B$2604,'Form responses 1'!$I$2:$I$2604,""))</f>
        <v/>
      </c>
      <c r="J1325" s="44" t="str">
        <f t="array" ref="J1325">IF(B1325="","",_xlfn.XLOOKUP(B1325,'Form responses 1'!$B$2:$B$2604,'Form responses 1'!$G$2:$G$2604,""))</f>
        <v/>
      </c>
      <c r="K1325" s="56"/>
      <c r="L1325" s="58" t="str">
        <f t="shared" si="7"/>
        <v/>
      </c>
      <c r="M1325" s="49"/>
      <c r="N1325" s="49"/>
      <c r="O1325" s="49"/>
      <c r="P1325" s="49"/>
      <c r="Q1325" s="49"/>
      <c r="R1325" s="49"/>
      <c r="S1325" s="49"/>
      <c r="T1325" s="49"/>
      <c r="U1325" s="49"/>
      <c r="V1325" s="49"/>
      <c r="W1325" s="56"/>
      <c r="X1325" s="51" t="str">
        <f t="shared" si="5"/>
        <v/>
      </c>
      <c r="Y1325" s="50" t="s">
        <v>482</v>
      </c>
      <c r="Z1325" s="49">
        <f t="shared" si="6"/>
        <v>0</v>
      </c>
    </row>
    <row r="1326" ht="22.5" customHeight="1">
      <c r="B1326" s="57"/>
      <c r="C1326" s="43" t="str">
        <f t="array" ref="C1326">IF(B1326="","",_xlfn.XLOOKUP(B1326,'Form responses 1'!$B$2:$B$2604,'Form responses 1'!$A$2:$A$2604,""))</f>
        <v/>
      </c>
      <c r="D1326" s="44" t="str">
        <f t="shared" si="3"/>
        <v/>
      </c>
      <c r="E1326" s="44" t="str">
        <f t="array" ref="E1326">IF(B1326="","",_xlfn.XLOOKUP(B1326,'Form responses 1'!$B$2:$B$2604,'Form responses 1'!$C$2:$C$2604,""))</f>
        <v/>
      </c>
      <c r="F1326" s="44" t="str">
        <f t="array" ref="F1326">IF(B1326="","",_xlfn.XLOOKUP(B1326,'Form responses 1'!$B$2:$B$2604,'Form responses 1'!$D$2:$D$2604,""))</f>
        <v/>
      </c>
      <c r="G1326" s="44" t="str">
        <f t="array" ref="G1326">IF(B1326="","",_xlfn.XLOOKUP(B1326,'Form responses 1'!$B$2:$B$2604,'Form responses 1'!$E$2:$E$2604,""))</f>
        <v/>
      </c>
      <c r="H1326" s="44" t="str">
        <f t="array" ref="H1326">IF(B1326="","",_xlfn.XLOOKUP(B1326,'Form responses 1'!$B$2:$B$2604,'Form responses 1'!$F$2:$F$2604,""))</f>
        <v/>
      </c>
      <c r="I1326" s="44" t="str">
        <f t="array" ref="I1326">IF(B1326="","",_xlfn.XLOOKUP(B1326,'Form responses 1'!$B$2:$B$2604,'Form responses 1'!$I$2:$I$2604,""))</f>
        <v/>
      </c>
      <c r="J1326" s="44" t="str">
        <f t="array" ref="J1326">IF(B1326="","",_xlfn.XLOOKUP(B1326,'Form responses 1'!$B$2:$B$2604,'Form responses 1'!$G$2:$G$2604,""))</f>
        <v/>
      </c>
      <c r="K1326" s="56"/>
      <c r="L1326" s="58" t="str">
        <f t="shared" si="7"/>
        <v/>
      </c>
      <c r="M1326" s="49"/>
      <c r="N1326" s="49"/>
      <c r="O1326" s="49"/>
      <c r="P1326" s="49"/>
      <c r="Q1326" s="49"/>
      <c r="R1326" s="49"/>
      <c r="S1326" s="49"/>
      <c r="T1326" s="49"/>
      <c r="U1326" s="49"/>
      <c r="V1326" s="49"/>
      <c r="W1326" s="56"/>
      <c r="X1326" s="51" t="str">
        <f t="shared" si="5"/>
        <v/>
      </c>
      <c r="Y1326" s="50" t="s">
        <v>482</v>
      </c>
      <c r="Z1326" s="49">
        <f t="shared" si="6"/>
        <v>0</v>
      </c>
    </row>
    <row r="1327" ht="22.5" customHeight="1">
      <c r="B1327" s="57"/>
      <c r="C1327" s="43" t="str">
        <f t="array" ref="C1327">IF(B1327="","",_xlfn.XLOOKUP(B1327,'Form responses 1'!$B$2:$B$2604,'Form responses 1'!$A$2:$A$2604,""))</f>
        <v/>
      </c>
      <c r="D1327" s="44" t="str">
        <f t="shared" si="3"/>
        <v/>
      </c>
      <c r="E1327" s="44" t="str">
        <f t="array" ref="E1327">IF(B1327="","",_xlfn.XLOOKUP(B1327,'Form responses 1'!$B$2:$B$2604,'Form responses 1'!$C$2:$C$2604,""))</f>
        <v/>
      </c>
      <c r="F1327" s="44" t="str">
        <f t="array" ref="F1327">IF(B1327="","",_xlfn.XLOOKUP(B1327,'Form responses 1'!$B$2:$B$2604,'Form responses 1'!$D$2:$D$2604,""))</f>
        <v/>
      </c>
      <c r="G1327" s="44" t="str">
        <f t="array" ref="G1327">IF(B1327="","",_xlfn.XLOOKUP(B1327,'Form responses 1'!$B$2:$B$2604,'Form responses 1'!$E$2:$E$2604,""))</f>
        <v/>
      </c>
      <c r="H1327" s="44" t="str">
        <f t="array" ref="H1327">IF(B1327="","",_xlfn.XLOOKUP(B1327,'Form responses 1'!$B$2:$B$2604,'Form responses 1'!$F$2:$F$2604,""))</f>
        <v/>
      </c>
      <c r="I1327" s="44" t="str">
        <f t="array" ref="I1327">IF(B1327="","",_xlfn.XLOOKUP(B1327,'Form responses 1'!$B$2:$B$2604,'Form responses 1'!$I$2:$I$2604,""))</f>
        <v/>
      </c>
      <c r="J1327" s="44" t="str">
        <f t="array" ref="J1327">IF(B1327="","",_xlfn.XLOOKUP(B1327,'Form responses 1'!$B$2:$B$2604,'Form responses 1'!$G$2:$G$2604,""))</f>
        <v/>
      </c>
      <c r="K1327" s="56"/>
      <c r="L1327" s="58" t="str">
        <f t="shared" si="7"/>
        <v/>
      </c>
      <c r="M1327" s="49"/>
      <c r="N1327" s="49"/>
      <c r="O1327" s="49"/>
      <c r="P1327" s="49"/>
      <c r="Q1327" s="49"/>
      <c r="R1327" s="49"/>
      <c r="S1327" s="49"/>
      <c r="T1327" s="49"/>
      <c r="U1327" s="49"/>
      <c r="V1327" s="49"/>
      <c r="W1327" s="56"/>
      <c r="X1327" s="51" t="str">
        <f t="shared" si="5"/>
        <v/>
      </c>
      <c r="Y1327" s="50" t="s">
        <v>482</v>
      </c>
      <c r="Z1327" s="49">
        <f t="shared" si="6"/>
        <v>0</v>
      </c>
    </row>
    <row r="1328" ht="22.5" customHeight="1">
      <c r="B1328" s="57"/>
      <c r="C1328" s="43" t="str">
        <f t="array" ref="C1328">IF(B1328="","",_xlfn.XLOOKUP(B1328,'Form responses 1'!$B$2:$B$2604,'Form responses 1'!$A$2:$A$2604,""))</f>
        <v/>
      </c>
      <c r="D1328" s="44" t="str">
        <f t="shared" si="3"/>
        <v/>
      </c>
      <c r="E1328" s="44" t="str">
        <f t="array" ref="E1328">IF(B1328="","",_xlfn.XLOOKUP(B1328,'Form responses 1'!$B$2:$B$2604,'Form responses 1'!$C$2:$C$2604,""))</f>
        <v/>
      </c>
      <c r="F1328" s="44" t="str">
        <f t="array" ref="F1328">IF(B1328="","",_xlfn.XLOOKUP(B1328,'Form responses 1'!$B$2:$B$2604,'Form responses 1'!$D$2:$D$2604,""))</f>
        <v/>
      </c>
      <c r="G1328" s="44" t="str">
        <f t="array" ref="G1328">IF(B1328="","",_xlfn.XLOOKUP(B1328,'Form responses 1'!$B$2:$B$2604,'Form responses 1'!$E$2:$E$2604,""))</f>
        <v/>
      </c>
      <c r="H1328" s="44" t="str">
        <f t="array" ref="H1328">IF(B1328="","",_xlfn.XLOOKUP(B1328,'Form responses 1'!$B$2:$B$2604,'Form responses 1'!$F$2:$F$2604,""))</f>
        <v/>
      </c>
      <c r="I1328" s="44" t="str">
        <f t="array" ref="I1328">IF(B1328="","",_xlfn.XLOOKUP(B1328,'Form responses 1'!$B$2:$B$2604,'Form responses 1'!$I$2:$I$2604,""))</f>
        <v/>
      </c>
      <c r="J1328" s="44" t="str">
        <f t="array" ref="J1328">IF(B1328="","",_xlfn.XLOOKUP(B1328,'Form responses 1'!$B$2:$B$2604,'Form responses 1'!$G$2:$G$2604,""))</f>
        <v/>
      </c>
      <c r="K1328" s="56"/>
      <c r="L1328" s="58" t="str">
        <f t="shared" si="7"/>
        <v/>
      </c>
      <c r="M1328" s="49"/>
      <c r="N1328" s="49"/>
      <c r="O1328" s="49"/>
      <c r="P1328" s="49"/>
      <c r="Q1328" s="49"/>
      <c r="R1328" s="49"/>
      <c r="S1328" s="49"/>
      <c r="T1328" s="49"/>
      <c r="U1328" s="49"/>
      <c r="V1328" s="49"/>
      <c r="W1328" s="56"/>
      <c r="X1328" s="51" t="str">
        <f t="shared" si="5"/>
        <v/>
      </c>
      <c r="Y1328" s="50" t="s">
        <v>482</v>
      </c>
      <c r="Z1328" s="49">
        <f t="shared" si="6"/>
        <v>0</v>
      </c>
    </row>
    <row r="1329" ht="22.5" customHeight="1">
      <c r="B1329" s="57"/>
      <c r="C1329" s="43" t="str">
        <f t="array" ref="C1329">IF(B1329="","",_xlfn.XLOOKUP(B1329,'Form responses 1'!$B$2:$B$2604,'Form responses 1'!$A$2:$A$2604,""))</f>
        <v/>
      </c>
      <c r="D1329" s="44" t="str">
        <f t="shared" si="3"/>
        <v/>
      </c>
      <c r="E1329" s="44" t="str">
        <f t="array" ref="E1329">IF(B1329="","",_xlfn.XLOOKUP(B1329,'Form responses 1'!$B$2:$B$2604,'Form responses 1'!$C$2:$C$2604,""))</f>
        <v/>
      </c>
      <c r="F1329" s="44" t="str">
        <f t="array" ref="F1329">IF(B1329="","",_xlfn.XLOOKUP(B1329,'Form responses 1'!$B$2:$B$2604,'Form responses 1'!$D$2:$D$2604,""))</f>
        <v/>
      </c>
      <c r="G1329" s="44" t="str">
        <f t="array" ref="G1329">IF(B1329="","",_xlfn.XLOOKUP(B1329,'Form responses 1'!$B$2:$B$2604,'Form responses 1'!$E$2:$E$2604,""))</f>
        <v/>
      </c>
      <c r="H1329" s="44" t="str">
        <f t="array" ref="H1329">IF(B1329="","",_xlfn.XLOOKUP(B1329,'Form responses 1'!$B$2:$B$2604,'Form responses 1'!$F$2:$F$2604,""))</f>
        <v/>
      </c>
      <c r="I1329" s="44" t="str">
        <f t="array" ref="I1329">IF(B1329="","",_xlfn.XLOOKUP(B1329,'Form responses 1'!$B$2:$B$2604,'Form responses 1'!$I$2:$I$2604,""))</f>
        <v/>
      </c>
      <c r="J1329" s="44" t="str">
        <f t="array" ref="J1329">IF(B1329="","",_xlfn.XLOOKUP(B1329,'Form responses 1'!$B$2:$B$2604,'Form responses 1'!$G$2:$G$2604,""))</f>
        <v/>
      </c>
      <c r="K1329" s="56"/>
      <c r="L1329" s="58" t="str">
        <f t="shared" si="7"/>
        <v/>
      </c>
      <c r="M1329" s="49"/>
      <c r="N1329" s="49"/>
      <c r="O1329" s="49"/>
      <c r="P1329" s="49"/>
      <c r="Q1329" s="49"/>
      <c r="R1329" s="49"/>
      <c r="S1329" s="49"/>
      <c r="T1329" s="49"/>
      <c r="U1329" s="49"/>
      <c r="V1329" s="49"/>
      <c r="W1329" s="56"/>
      <c r="X1329" s="51" t="str">
        <f t="shared" si="5"/>
        <v/>
      </c>
      <c r="Y1329" s="50" t="s">
        <v>482</v>
      </c>
      <c r="Z1329" s="49">
        <f t="shared" si="6"/>
        <v>0</v>
      </c>
    </row>
    <row r="1330" ht="22.5" customHeight="1">
      <c r="B1330" s="57"/>
      <c r="C1330" s="43" t="str">
        <f t="array" ref="C1330">IF(B1330="","",_xlfn.XLOOKUP(B1330,'Form responses 1'!$B$2:$B$2604,'Form responses 1'!$A$2:$A$2604,""))</f>
        <v/>
      </c>
      <c r="D1330" s="44" t="str">
        <f t="shared" si="3"/>
        <v/>
      </c>
      <c r="E1330" s="44" t="str">
        <f t="array" ref="E1330">IF(B1330="","",_xlfn.XLOOKUP(B1330,'Form responses 1'!$B$2:$B$2604,'Form responses 1'!$C$2:$C$2604,""))</f>
        <v/>
      </c>
      <c r="F1330" s="44" t="str">
        <f t="array" ref="F1330">IF(B1330="","",_xlfn.XLOOKUP(B1330,'Form responses 1'!$B$2:$B$2604,'Form responses 1'!$D$2:$D$2604,""))</f>
        <v/>
      </c>
      <c r="G1330" s="44" t="str">
        <f t="array" ref="G1330">IF(B1330="","",_xlfn.XLOOKUP(B1330,'Form responses 1'!$B$2:$B$2604,'Form responses 1'!$E$2:$E$2604,""))</f>
        <v/>
      </c>
      <c r="H1330" s="44" t="str">
        <f t="array" ref="H1330">IF(B1330="","",_xlfn.XLOOKUP(B1330,'Form responses 1'!$B$2:$B$2604,'Form responses 1'!$F$2:$F$2604,""))</f>
        <v/>
      </c>
      <c r="I1330" s="44" t="str">
        <f t="array" ref="I1330">IF(B1330="","",_xlfn.XLOOKUP(B1330,'Form responses 1'!$B$2:$B$2604,'Form responses 1'!$I$2:$I$2604,""))</f>
        <v/>
      </c>
      <c r="J1330" s="44" t="str">
        <f t="array" ref="J1330">IF(B1330="","",_xlfn.XLOOKUP(B1330,'Form responses 1'!$B$2:$B$2604,'Form responses 1'!$G$2:$G$2604,""))</f>
        <v/>
      </c>
      <c r="K1330" s="56"/>
      <c r="L1330" s="58" t="str">
        <f t="shared" si="7"/>
        <v/>
      </c>
      <c r="M1330" s="49"/>
      <c r="N1330" s="49"/>
      <c r="O1330" s="49"/>
      <c r="P1330" s="49"/>
      <c r="Q1330" s="49"/>
      <c r="R1330" s="49"/>
      <c r="S1330" s="49"/>
      <c r="T1330" s="49"/>
      <c r="U1330" s="49"/>
      <c r="V1330" s="49"/>
      <c r="W1330" s="56"/>
      <c r="X1330" s="51" t="str">
        <f t="shared" si="5"/>
        <v/>
      </c>
      <c r="Y1330" s="50" t="s">
        <v>482</v>
      </c>
      <c r="Z1330" s="49">
        <f t="shared" si="6"/>
        <v>0</v>
      </c>
    </row>
    <row r="1331" ht="22.5" customHeight="1">
      <c r="B1331" s="57"/>
      <c r="C1331" s="43" t="str">
        <f t="array" ref="C1331">IF(B1331="","",_xlfn.XLOOKUP(B1331,'Form responses 1'!$B$2:$B$2604,'Form responses 1'!$A$2:$A$2604,""))</f>
        <v/>
      </c>
      <c r="D1331" s="44" t="str">
        <f t="shared" si="3"/>
        <v/>
      </c>
      <c r="E1331" s="44" t="str">
        <f t="array" ref="E1331">IF(B1331="","",_xlfn.XLOOKUP(B1331,'Form responses 1'!$B$2:$B$2604,'Form responses 1'!$C$2:$C$2604,""))</f>
        <v/>
      </c>
      <c r="F1331" s="44" t="str">
        <f t="array" ref="F1331">IF(B1331="","",_xlfn.XLOOKUP(B1331,'Form responses 1'!$B$2:$B$2604,'Form responses 1'!$D$2:$D$2604,""))</f>
        <v/>
      </c>
      <c r="G1331" s="44" t="str">
        <f t="array" ref="G1331">IF(B1331="","",_xlfn.XLOOKUP(B1331,'Form responses 1'!$B$2:$B$2604,'Form responses 1'!$E$2:$E$2604,""))</f>
        <v/>
      </c>
      <c r="H1331" s="44" t="str">
        <f t="array" ref="H1331">IF(B1331="","",_xlfn.XLOOKUP(B1331,'Form responses 1'!$B$2:$B$2604,'Form responses 1'!$F$2:$F$2604,""))</f>
        <v/>
      </c>
      <c r="I1331" s="44" t="str">
        <f t="array" ref="I1331">IF(B1331="","",_xlfn.XLOOKUP(B1331,'Form responses 1'!$B$2:$B$2604,'Form responses 1'!$I$2:$I$2604,""))</f>
        <v/>
      </c>
      <c r="J1331" s="44" t="str">
        <f t="array" ref="J1331">IF(B1331="","",_xlfn.XLOOKUP(B1331,'Form responses 1'!$B$2:$B$2604,'Form responses 1'!$G$2:$G$2604,""))</f>
        <v/>
      </c>
      <c r="K1331" s="56"/>
      <c r="L1331" s="58" t="str">
        <f t="shared" si="7"/>
        <v/>
      </c>
      <c r="M1331" s="49"/>
      <c r="N1331" s="49"/>
      <c r="O1331" s="49"/>
      <c r="P1331" s="49"/>
      <c r="Q1331" s="49"/>
      <c r="R1331" s="49"/>
      <c r="S1331" s="49"/>
      <c r="T1331" s="49"/>
      <c r="U1331" s="49"/>
      <c r="V1331" s="49"/>
      <c r="W1331" s="56"/>
      <c r="X1331" s="51" t="str">
        <f t="shared" si="5"/>
        <v/>
      </c>
      <c r="Y1331" s="50" t="s">
        <v>482</v>
      </c>
      <c r="Z1331" s="49">
        <f t="shared" si="6"/>
        <v>0</v>
      </c>
    </row>
    <row r="1332" ht="22.5" customHeight="1">
      <c r="B1332" s="57"/>
      <c r="C1332" s="43" t="str">
        <f t="array" ref="C1332">IF(B1332="","",_xlfn.XLOOKUP(B1332,'Form responses 1'!$B$2:$B$2604,'Form responses 1'!$A$2:$A$2604,""))</f>
        <v/>
      </c>
      <c r="D1332" s="44" t="str">
        <f t="shared" si="3"/>
        <v/>
      </c>
      <c r="E1332" s="44" t="str">
        <f t="array" ref="E1332">IF(B1332="","",_xlfn.XLOOKUP(B1332,'Form responses 1'!$B$2:$B$2604,'Form responses 1'!$C$2:$C$2604,""))</f>
        <v/>
      </c>
      <c r="F1332" s="44" t="str">
        <f t="array" ref="F1332">IF(B1332="","",_xlfn.XLOOKUP(B1332,'Form responses 1'!$B$2:$B$2604,'Form responses 1'!$D$2:$D$2604,""))</f>
        <v/>
      </c>
      <c r="G1332" s="44" t="str">
        <f t="array" ref="G1332">IF(B1332="","",_xlfn.XLOOKUP(B1332,'Form responses 1'!$B$2:$B$2604,'Form responses 1'!$E$2:$E$2604,""))</f>
        <v/>
      </c>
      <c r="H1332" s="44" t="str">
        <f t="array" ref="H1332">IF(B1332="","",_xlfn.XLOOKUP(B1332,'Form responses 1'!$B$2:$B$2604,'Form responses 1'!$F$2:$F$2604,""))</f>
        <v/>
      </c>
      <c r="I1332" s="44" t="str">
        <f t="array" ref="I1332">IF(B1332="","",_xlfn.XLOOKUP(B1332,'Form responses 1'!$B$2:$B$2604,'Form responses 1'!$I$2:$I$2604,""))</f>
        <v/>
      </c>
      <c r="J1332" s="44" t="str">
        <f t="array" ref="J1332">IF(B1332="","",_xlfn.XLOOKUP(B1332,'Form responses 1'!$B$2:$B$2604,'Form responses 1'!$G$2:$G$2604,""))</f>
        <v/>
      </c>
      <c r="K1332" s="56"/>
      <c r="L1332" s="58" t="str">
        <f t="shared" si="7"/>
        <v/>
      </c>
      <c r="M1332" s="49"/>
      <c r="N1332" s="49"/>
      <c r="O1332" s="49"/>
      <c r="P1332" s="49"/>
      <c r="Q1332" s="49"/>
      <c r="R1332" s="49"/>
      <c r="S1332" s="49"/>
      <c r="T1332" s="49"/>
      <c r="U1332" s="49"/>
      <c r="V1332" s="49"/>
      <c r="W1332" s="56"/>
      <c r="X1332" s="51" t="str">
        <f t="shared" si="5"/>
        <v/>
      </c>
      <c r="Y1332" s="50" t="s">
        <v>482</v>
      </c>
      <c r="Z1332" s="49">
        <f t="shared" si="6"/>
        <v>0</v>
      </c>
    </row>
    <row r="1333" ht="22.5" customHeight="1">
      <c r="B1333" s="57"/>
      <c r="C1333" s="43" t="str">
        <f t="array" ref="C1333">IF(B1333="","",_xlfn.XLOOKUP(B1333,'Form responses 1'!$B$2:$B$2604,'Form responses 1'!$A$2:$A$2604,""))</f>
        <v/>
      </c>
      <c r="D1333" s="44" t="str">
        <f t="shared" si="3"/>
        <v/>
      </c>
      <c r="E1333" s="44" t="str">
        <f t="array" ref="E1333">IF(B1333="","",_xlfn.XLOOKUP(B1333,'Form responses 1'!$B$2:$B$2604,'Form responses 1'!$C$2:$C$2604,""))</f>
        <v/>
      </c>
      <c r="F1333" s="44" t="str">
        <f t="array" ref="F1333">IF(B1333="","",_xlfn.XLOOKUP(B1333,'Form responses 1'!$B$2:$B$2604,'Form responses 1'!$D$2:$D$2604,""))</f>
        <v/>
      </c>
      <c r="G1333" s="44" t="str">
        <f t="array" ref="G1333">IF(B1333="","",_xlfn.XLOOKUP(B1333,'Form responses 1'!$B$2:$B$2604,'Form responses 1'!$E$2:$E$2604,""))</f>
        <v/>
      </c>
      <c r="H1333" s="44" t="str">
        <f t="array" ref="H1333">IF(B1333="","",_xlfn.XLOOKUP(B1333,'Form responses 1'!$B$2:$B$2604,'Form responses 1'!$F$2:$F$2604,""))</f>
        <v/>
      </c>
      <c r="I1333" s="44" t="str">
        <f t="array" ref="I1333">IF(B1333="","",_xlfn.XLOOKUP(B1333,'Form responses 1'!$B$2:$B$2604,'Form responses 1'!$I$2:$I$2604,""))</f>
        <v/>
      </c>
      <c r="J1333" s="44" t="str">
        <f t="array" ref="J1333">IF(B1333="","",_xlfn.XLOOKUP(B1333,'Form responses 1'!$B$2:$B$2604,'Form responses 1'!$G$2:$G$2604,""))</f>
        <v/>
      </c>
      <c r="K1333" s="56"/>
      <c r="L1333" s="58" t="str">
        <f t="shared" si="7"/>
        <v/>
      </c>
      <c r="M1333" s="49"/>
      <c r="N1333" s="49"/>
      <c r="O1333" s="49"/>
      <c r="P1333" s="49"/>
      <c r="Q1333" s="49"/>
      <c r="R1333" s="49"/>
      <c r="S1333" s="49"/>
      <c r="T1333" s="49"/>
      <c r="U1333" s="49"/>
      <c r="V1333" s="49"/>
      <c r="W1333" s="56"/>
      <c r="X1333" s="51" t="str">
        <f t="shared" si="5"/>
        <v/>
      </c>
      <c r="Y1333" s="50" t="s">
        <v>482</v>
      </c>
      <c r="Z1333" s="49">
        <f t="shared" si="6"/>
        <v>0</v>
      </c>
    </row>
    <row r="1334" ht="22.5" customHeight="1">
      <c r="B1334" s="57"/>
      <c r="C1334" s="43" t="str">
        <f t="array" ref="C1334">IF(B1334="","",_xlfn.XLOOKUP(B1334,'Form responses 1'!$B$2:$B$2604,'Form responses 1'!$A$2:$A$2604,""))</f>
        <v/>
      </c>
      <c r="D1334" s="44" t="str">
        <f t="shared" si="3"/>
        <v/>
      </c>
      <c r="E1334" s="44" t="str">
        <f t="array" ref="E1334">IF(B1334="","",_xlfn.XLOOKUP(B1334,'Form responses 1'!$B$2:$B$2604,'Form responses 1'!$C$2:$C$2604,""))</f>
        <v/>
      </c>
      <c r="F1334" s="44" t="str">
        <f t="array" ref="F1334">IF(B1334="","",_xlfn.XLOOKUP(B1334,'Form responses 1'!$B$2:$B$2604,'Form responses 1'!$D$2:$D$2604,""))</f>
        <v/>
      </c>
      <c r="G1334" s="44" t="str">
        <f t="array" ref="G1334">IF(B1334="","",_xlfn.XLOOKUP(B1334,'Form responses 1'!$B$2:$B$2604,'Form responses 1'!$E$2:$E$2604,""))</f>
        <v/>
      </c>
      <c r="H1334" s="44" t="str">
        <f t="array" ref="H1334">IF(B1334="","",_xlfn.XLOOKUP(B1334,'Form responses 1'!$B$2:$B$2604,'Form responses 1'!$F$2:$F$2604,""))</f>
        <v/>
      </c>
      <c r="I1334" s="44" t="str">
        <f t="array" ref="I1334">IF(B1334="","",_xlfn.XLOOKUP(B1334,'Form responses 1'!$B$2:$B$2604,'Form responses 1'!$I$2:$I$2604,""))</f>
        <v/>
      </c>
      <c r="J1334" s="44" t="str">
        <f t="array" ref="J1334">IF(B1334="","",_xlfn.XLOOKUP(B1334,'Form responses 1'!$B$2:$B$2604,'Form responses 1'!$G$2:$G$2604,""))</f>
        <v/>
      </c>
      <c r="K1334" s="56"/>
      <c r="L1334" s="58" t="str">
        <f t="shared" si="7"/>
        <v/>
      </c>
      <c r="M1334" s="49"/>
      <c r="N1334" s="49"/>
      <c r="O1334" s="49"/>
      <c r="P1334" s="49"/>
      <c r="Q1334" s="49"/>
      <c r="R1334" s="49"/>
      <c r="S1334" s="49"/>
      <c r="T1334" s="49"/>
      <c r="U1334" s="49"/>
      <c r="V1334" s="49"/>
      <c r="W1334" s="56"/>
      <c r="X1334" s="51" t="str">
        <f t="shared" si="5"/>
        <v/>
      </c>
      <c r="Y1334" s="50" t="s">
        <v>482</v>
      </c>
      <c r="Z1334" s="49">
        <f t="shared" si="6"/>
        <v>0</v>
      </c>
    </row>
    <row r="1335" ht="22.5" customHeight="1">
      <c r="B1335" s="57"/>
      <c r="C1335" s="43" t="str">
        <f t="array" ref="C1335">IF(B1335="","",_xlfn.XLOOKUP(B1335,'Form responses 1'!$B$2:$B$2604,'Form responses 1'!$A$2:$A$2604,""))</f>
        <v/>
      </c>
      <c r="D1335" s="44" t="str">
        <f t="shared" si="3"/>
        <v/>
      </c>
      <c r="E1335" s="44" t="str">
        <f t="array" ref="E1335">IF(B1335="","",_xlfn.XLOOKUP(B1335,'Form responses 1'!$B$2:$B$2604,'Form responses 1'!$C$2:$C$2604,""))</f>
        <v/>
      </c>
      <c r="F1335" s="44" t="str">
        <f t="array" ref="F1335">IF(B1335="","",_xlfn.XLOOKUP(B1335,'Form responses 1'!$B$2:$B$2604,'Form responses 1'!$D$2:$D$2604,""))</f>
        <v/>
      </c>
      <c r="G1335" s="44" t="str">
        <f t="array" ref="G1335">IF(B1335="","",_xlfn.XLOOKUP(B1335,'Form responses 1'!$B$2:$B$2604,'Form responses 1'!$E$2:$E$2604,""))</f>
        <v/>
      </c>
      <c r="H1335" s="44" t="str">
        <f t="array" ref="H1335">IF(B1335="","",_xlfn.XLOOKUP(B1335,'Form responses 1'!$B$2:$B$2604,'Form responses 1'!$F$2:$F$2604,""))</f>
        <v/>
      </c>
      <c r="I1335" s="44" t="str">
        <f t="array" ref="I1335">IF(B1335="","",_xlfn.XLOOKUP(B1335,'Form responses 1'!$B$2:$B$2604,'Form responses 1'!$I$2:$I$2604,""))</f>
        <v/>
      </c>
      <c r="J1335" s="44" t="str">
        <f t="array" ref="J1335">IF(B1335="","",_xlfn.XLOOKUP(B1335,'Form responses 1'!$B$2:$B$2604,'Form responses 1'!$G$2:$G$2604,""))</f>
        <v/>
      </c>
      <c r="K1335" s="56"/>
      <c r="L1335" s="58" t="str">
        <f t="shared" si="7"/>
        <v/>
      </c>
      <c r="M1335" s="49"/>
      <c r="N1335" s="49"/>
      <c r="O1335" s="49"/>
      <c r="P1335" s="49"/>
      <c r="Q1335" s="49"/>
      <c r="R1335" s="49"/>
      <c r="S1335" s="49"/>
      <c r="T1335" s="49"/>
      <c r="U1335" s="49"/>
      <c r="V1335" s="49"/>
      <c r="W1335" s="56"/>
      <c r="X1335" s="51" t="str">
        <f t="shared" si="5"/>
        <v/>
      </c>
      <c r="Y1335" s="50" t="s">
        <v>482</v>
      </c>
      <c r="Z1335" s="49">
        <f t="shared" si="6"/>
        <v>0</v>
      </c>
    </row>
    <row r="1336" ht="22.5" customHeight="1">
      <c r="B1336" s="57"/>
      <c r="C1336" s="43" t="str">
        <f t="array" ref="C1336">IF(B1336="","",_xlfn.XLOOKUP(B1336,'Form responses 1'!$B$2:$B$2604,'Form responses 1'!$A$2:$A$2604,""))</f>
        <v/>
      </c>
      <c r="D1336" s="44" t="str">
        <f t="shared" si="3"/>
        <v/>
      </c>
      <c r="E1336" s="44" t="str">
        <f t="array" ref="E1336">IF(B1336="","",_xlfn.XLOOKUP(B1336,'Form responses 1'!$B$2:$B$2604,'Form responses 1'!$C$2:$C$2604,""))</f>
        <v/>
      </c>
      <c r="F1336" s="44" t="str">
        <f t="array" ref="F1336">IF(B1336="","",_xlfn.XLOOKUP(B1336,'Form responses 1'!$B$2:$B$2604,'Form responses 1'!$D$2:$D$2604,""))</f>
        <v/>
      </c>
      <c r="G1336" s="44" t="str">
        <f t="array" ref="G1336">IF(B1336="","",_xlfn.XLOOKUP(B1336,'Form responses 1'!$B$2:$B$2604,'Form responses 1'!$E$2:$E$2604,""))</f>
        <v/>
      </c>
      <c r="H1336" s="44" t="str">
        <f t="array" ref="H1336">IF(B1336="","",_xlfn.XLOOKUP(B1336,'Form responses 1'!$B$2:$B$2604,'Form responses 1'!$F$2:$F$2604,""))</f>
        <v/>
      </c>
      <c r="I1336" s="44" t="str">
        <f t="array" ref="I1336">IF(B1336="","",_xlfn.XLOOKUP(B1336,'Form responses 1'!$B$2:$B$2604,'Form responses 1'!$I$2:$I$2604,""))</f>
        <v/>
      </c>
      <c r="J1336" s="44" t="str">
        <f t="array" ref="J1336">IF(B1336="","",_xlfn.XLOOKUP(B1336,'Form responses 1'!$B$2:$B$2604,'Form responses 1'!$G$2:$G$2604,""))</f>
        <v/>
      </c>
      <c r="K1336" s="56"/>
      <c r="L1336" s="58" t="str">
        <f t="shared" si="7"/>
        <v/>
      </c>
      <c r="M1336" s="49"/>
      <c r="N1336" s="49"/>
      <c r="O1336" s="49"/>
      <c r="P1336" s="49"/>
      <c r="Q1336" s="49"/>
      <c r="R1336" s="49"/>
      <c r="S1336" s="49"/>
      <c r="T1336" s="49"/>
      <c r="U1336" s="49"/>
      <c r="V1336" s="49"/>
      <c r="W1336" s="56"/>
      <c r="X1336" s="51" t="str">
        <f t="shared" si="5"/>
        <v/>
      </c>
      <c r="Y1336" s="50" t="s">
        <v>482</v>
      </c>
      <c r="Z1336" s="49">
        <f t="shared" si="6"/>
        <v>0</v>
      </c>
    </row>
    <row r="1337" ht="22.5" customHeight="1">
      <c r="B1337" s="57"/>
      <c r="C1337" s="43" t="str">
        <f t="array" ref="C1337">IF(B1337="","",_xlfn.XLOOKUP(B1337,'Form responses 1'!$B$2:$B$2604,'Form responses 1'!$A$2:$A$2604,""))</f>
        <v/>
      </c>
      <c r="D1337" s="44" t="str">
        <f t="shared" si="3"/>
        <v/>
      </c>
      <c r="E1337" s="44" t="str">
        <f t="array" ref="E1337">IF(B1337="","",_xlfn.XLOOKUP(B1337,'Form responses 1'!$B$2:$B$2604,'Form responses 1'!$C$2:$C$2604,""))</f>
        <v/>
      </c>
      <c r="F1337" s="44" t="str">
        <f t="array" ref="F1337">IF(B1337="","",_xlfn.XLOOKUP(B1337,'Form responses 1'!$B$2:$B$2604,'Form responses 1'!$D$2:$D$2604,""))</f>
        <v/>
      </c>
      <c r="G1337" s="44" t="str">
        <f t="array" ref="G1337">IF(B1337="","",_xlfn.XLOOKUP(B1337,'Form responses 1'!$B$2:$B$2604,'Form responses 1'!$E$2:$E$2604,""))</f>
        <v/>
      </c>
      <c r="H1337" s="44" t="str">
        <f t="array" ref="H1337">IF(B1337="","",_xlfn.XLOOKUP(B1337,'Form responses 1'!$B$2:$B$2604,'Form responses 1'!$F$2:$F$2604,""))</f>
        <v/>
      </c>
      <c r="I1337" s="44" t="str">
        <f t="array" ref="I1337">IF(B1337="","",_xlfn.XLOOKUP(B1337,'Form responses 1'!$B$2:$B$2604,'Form responses 1'!$I$2:$I$2604,""))</f>
        <v/>
      </c>
      <c r="J1337" s="44" t="str">
        <f t="array" ref="J1337">IF(B1337="","",_xlfn.XLOOKUP(B1337,'Form responses 1'!$B$2:$B$2604,'Form responses 1'!$G$2:$G$2604,""))</f>
        <v/>
      </c>
      <c r="K1337" s="56"/>
      <c r="L1337" s="58" t="str">
        <f t="shared" si="7"/>
        <v/>
      </c>
      <c r="M1337" s="49"/>
      <c r="N1337" s="49"/>
      <c r="O1337" s="49"/>
      <c r="P1337" s="49"/>
      <c r="Q1337" s="49"/>
      <c r="R1337" s="49"/>
      <c r="S1337" s="49"/>
      <c r="T1337" s="49"/>
      <c r="U1337" s="49"/>
      <c r="V1337" s="49"/>
      <c r="W1337" s="56"/>
      <c r="X1337" s="51" t="str">
        <f t="shared" si="5"/>
        <v/>
      </c>
      <c r="Y1337" s="50" t="s">
        <v>482</v>
      </c>
      <c r="Z1337" s="49">
        <f t="shared" si="6"/>
        <v>0</v>
      </c>
    </row>
    <row r="1338" ht="22.5" customHeight="1">
      <c r="B1338" s="57"/>
      <c r="C1338" s="43" t="str">
        <f t="array" ref="C1338">IF(B1338="","",_xlfn.XLOOKUP(B1338,'Form responses 1'!$B$2:$B$2604,'Form responses 1'!$A$2:$A$2604,""))</f>
        <v/>
      </c>
      <c r="D1338" s="44" t="str">
        <f t="shared" si="3"/>
        <v/>
      </c>
      <c r="E1338" s="44" t="str">
        <f t="array" ref="E1338">IF(B1338="","",_xlfn.XLOOKUP(B1338,'Form responses 1'!$B$2:$B$2604,'Form responses 1'!$C$2:$C$2604,""))</f>
        <v/>
      </c>
      <c r="F1338" s="44" t="str">
        <f t="array" ref="F1338">IF(B1338="","",_xlfn.XLOOKUP(B1338,'Form responses 1'!$B$2:$B$2604,'Form responses 1'!$D$2:$D$2604,""))</f>
        <v/>
      </c>
      <c r="G1338" s="44" t="str">
        <f t="array" ref="G1338">IF(B1338="","",_xlfn.XLOOKUP(B1338,'Form responses 1'!$B$2:$B$2604,'Form responses 1'!$E$2:$E$2604,""))</f>
        <v/>
      </c>
      <c r="H1338" s="44" t="str">
        <f t="array" ref="H1338">IF(B1338="","",_xlfn.XLOOKUP(B1338,'Form responses 1'!$B$2:$B$2604,'Form responses 1'!$F$2:$F$2604,""))</f>
        <v/>
      </c>
      <c r="I1338" s="44" t="str">
        <f t="array" ref="I1338">IF(B1338="","",_xlfn.XLOOKUP(B1338,'Form responses 1'!$B$2:$B$2604,'Form responses 1'!$I$2:$I$2604,""))</f>
        <v/>
      </c>
      <c r="J1338" s="44" t="str">
        <f t="array" ref="J1338">IF(B1338="","",_xlfn.XLOOKUP(B1338,'Form responses 1'!$B$2:$B$2604,'Form responses 1'!$G$2:$G$2604,""))</f>
        <v/>
      </c>
      <c r="K1338" s="56"/>
      <c r="L1338" s="58" t="str">
        <f t="shared" si="7"/>
        <v/>
      </c>
      <c r="M1338" s="49"/>
      <c r="N1338" s="49"/>
      <c r="O1338" s="49"/>
      <c r="P1338" s="49"/>
      <c r="Q1338" s="49"/>
      <c r="R1338" s="49"/>
      <c r="S1338" s="49"/>
      <c r="T1338" s="49"/>
      <c r="U1338" s="49"/>
      <c r="V1338" s="49"/>
      <c r="W1338" s="56"/>
      <c r="X1338" s="51" t="str">
        <f t="shared" si="5"/>
        <v/>
      </c>
      <c r="Y1338" s="50" t="s">
        <v>482</v>
      </c>
      <c r="Z1338" s="49">
        <f t="shared" si="6"/>
        <v>0</v>
      </c>
    </row>
    <row r="1339" ht="22.5" customHeight="1">
      <c r="B1339" s="57"/>
      <c r="C1339" s="43" t="str">
        <f t="array" ref="C1339">IF(B1339="","",_xlfn.XLOOKUP(B1339,'Form responses 1'!$B$2:$B$2604,'Form responses 1'!$A$2:$A$2604,""))</f>
        <v/>
      </c>
      <c r="D1339" s="44" t="str">
        <f t="shared" si="3"/>
        <v/>
      </c>
      <c r="E1339" s="44" t="str">
        <f t="array" ref="E1339">IF(B1339="","",_xlfn.XLOOKUP(B1339,'Form responses 1'!$B$2:$B$2604,'Form responses 1'!$C$2:$C$2604,""))</f>
        <v/>
      </c>
      <c r="F1339" s="44" t="str">
        <f t="array" ref="F1339">IF(B1339="","",_xlfn.XLOOKUP(B1339,'Form responses 1'!$B$2:$B$2604,'Form responses 1'!$D$2:$D$2604,""))</f>
        <v/>
      </c>
      <c r="G1339" s="44" t="str">
        <f t="array" ref="G1339">IF(B1339="","",_xlfn.XLOOKUP(B1339,'Form responses 1'!$B$2:$B$2604,'Form responses 1'!$E$2:$E$2604,""))</f>
        <v/>
      </c>
      <c r="H1339" s="44" t="str">
        <f t="array" ref="H1339">IF(B1339="","",_xlfn.XLOOKUP(B1339,'Form responses 1'!$B$2:$B$2604,'Form responses 1'!$F$2:$F$2604,""))</f>
        <v/>
      </c>
      <c r="I1339" s="44" t="str">
        <f t="array" ref="I1339">IF(B1339="","",_xlfn.XLOOKUP(B1339,'Form responses 1'!$B$2:$B$2604,'Form responses 1'!$I$2:$I$2604,""))</f>
        <v/>
      </c>
      <c r="J1339" s="44" t="str">
        <f t="array" ref="J1339">IF(B1339="","",_xlfn.XLOOKUP(B1339,'Form responses 1'!$B$2:$B$2604,'Form responses 1'!$G$2:$G$2604,""))</f>
        <v/>
      </c>
      <c r="K1339" s="56"/>
      <c r="L1339" s="58" t="str">
        <f t="shared" si="7"/>
        <v/>
      </c>
      <c r="M1339" s="49"/>
      <c r="N1339" s="49"/>
      <c r="O1339" s="49"/>
      <c r="P1339" s="49"/>
      <c r="Q1339" s="49"/>
      <c r="R1339" s="49"/>
      <c r="S1339" s="49"/>
      <c r="T1339" s="49"/>
      <c r="U1339" s="49"/>
      <c r="V1339" s="49"/>
      <c r="W1339" s="56"/>
      <c r="X1339" s="51" t="str">
        <f t="shared" si="5"/>
        <v/>
      </c>
      <c r="Y1339" s="50" t="s">
        <v>482</v>
      </c>
      <c r="Z1339" s="49">
        <f t="shared" si="6"/>
        <v>0</v>
      </c>
    </row>
    <row r="1340" ht="22.5" customHeight="1">
      <c r="B1340" s="57"/>
      <c r="C1340" s="43" t="str">
        <f t="array" ref="C1340">IF(B1340="","",_xlfn.XLOOKUP(B1340,'Form responses 1'!$B$2:$B$2604,'Form responses 1'!$A$2:$A$2604,""))</f>
        <v/>
      </c>
      <c r="D1340" s="44" t="str">
        <f t="shared" si="3"/>
        <v/>
      </c>
      <c r="E1340" s="44" t="str">
        <f t="array" ref="E1340">IF(B1340="","",_xlfn.XLOOKUP(B1340,'Form responses 1'!$B$2:$B$2604,'Form responses 1'!$C$2:$C$2604,""))</f>
        <v/>
      </c>
      <c r="F1340" s="44" t="str">
        <f t="array" ref="F1340">IF(B1340="","",_xlfn.XLOOKUP(B1340,'Form responses 1'!$B$2:$B$2604,'Form responses 1'!$D$2:$D$2604,""))</f>
        <v/>
      </c>
      <c r="G1340" s="44" t="str">
        <f t="array" ref="G1340">IF(B1340="","",_xlfn.XLOOKUP(B1340,'Form responses 1'!$B$2:$B$2604,'Form responses 1'!$E$2:$E$2604,""))</f>
        <v/>
      </c>
      <c r="H1340" s="44" t="str">
        <f t="array" ref="H1340">IF(B1340="","",_xlfn.XLOOKUP(B1340,'Form responses 1'!$B$2:$B$2604,'Form responses 1'!$F$2:$F$2604,""))</f>
        <v/>
      </c>
      <c r="I1340" s="44" t="str">
        <f t="array" ref="I1340">IF(B1340="","",_xlfn.XLOOKUP(B1340,'Form responses 1'!$B$2:$B$2604,'Form responses 1'!$I$2:$I$2604,""))</f>
        <v/>
      </c>
      <c r="J1340" s="44" t="str">
        <f t="array" ref="J1340">IF(B1340="","",_xlfn.XLOOKUP(B1340,'Form responses 1'!$B$2:$B$2604,'Form responses 1'!$G$2:$G$2604,""))</f>
        <v/>
      </c>
      <c r="K1340" s="56"/>
      <c r="L1340" s="58" t="str">
        <f t="shared" si="7"/>
        <v/>
      </c>
      <c r="M1340" s="49"/>
      <c r="N1340" s="49"/>
      <c r="O1340" s="49"/>
      <c r="P1340" s="49"/>
      <c r="Q1340" s="49"/>
      <c r="R1340" s="49"/>
      <c r="S1340" s="49"/>
      <c r="T1340" s="49"/>
      <c r="U1340" s="49"/>
      <c r="V1340" s="49"/>
      <c r="W1340" s="56"/>
      <c r="X1340" s="51" t="str">
        <f t="shared" si="5"/>
        <v/>
      </c>
      <c r="Y1340" s="50" t="s">
        <v>482</v>
      </c>
      <c r="Z1340" s="49">
        <f t="shared" si="6"/>
        <v>0</v>
      </c>
    </row>
    <row r="1341" ht="22.5" customHeight="1">
      <c r="B1341" s="57"/>
      <c r="C1341" s="43" t="str">
        <f t="array" ref="C1341">IF(B1341="","",_xlfn.XLOOKUP(B1341,'Form responses 1'!$B$2:$B$2604,'Form responses 1'!$A$2:$A$2604,""))</f>
        <v/>
      </c>
      <c r="D1341" s="44" t="str">
        <f t="shared" si="3"/>
        <v/>
      </c>
      <c r="E1341" s="44" t="str">
        <f t="array" ref="E1341">IF(B1341="","",_xlfn.XLOOKUP(B1341,'Form responses 1'!$B$2:$B$2604,'Form responses 1'!$C$2:$C$2604,""))</f>
        <v/>
      </c>
      <c r="F1341" s="44" t="str">
        <f t="array" ref="F1341">IF(B1341="","",_xlfn.XLOOKUP(B1341,'Form responses 1'!$B$2:$B$2604,'Form responses 1'!$D$2:$D$2604,""))</f>
        <v/>
      </c>
      <c r="G1341" s="44" t="str">
        <f t="array" ref="G1341">IF(B1341="","",_xlfn.XLOOKUP(B1341,'Form responses 1'!$B$2:$B$2604,'Form responses 1'!$E$2:$E$2604,""))</f>
        <v/>
      </c>
      <c r="H1341" s="44" t="str">
        <f t="array" ref="H1341">IF(B1341="","",_xlfn.XLOOKUP(B1341,'Form responses 1'!$B$2:$B$2604,'Form responses 1'!$F$2:$F$2604,""))</f>
        <v/>
      </c>
      <c r="I1341" s="44" t="str">
        <f t="array" ref="I1341">IF(B1341="","",_xlfn.XLOOKUP(B1341,'Form responses 1'!$B$2:$B$2604,'Form responses 1'!$I$2:$I$2604,""))</f>
        <v/>
      </c>
      <c r="J1341" s="44" t="str">
        <f t="array" ref="J1341">IF(B1341="","",_xlfn.XLOOKUP(B1341,'Form responses 1'!$B$2:$B$2604,'Form responses 1'!$G$2:$G$2604,""))</f>
        <v/>
      </c>
      <c r="K1341" s="56"/>
      <c r="L1341" s="58" t="str">
        <f t="shared" si="7"/>
        <v/>
      </c>
      <c r="M1341" s="49"/>
      <c r="N1341" s="49"/>
      <c r="O1341" s="49"/>
      <c r="P1341" s="49"/>
      <c r="Q1341" s="49"/>
      <c r="R1341" s="49"/>
      <c r="S1341" s="49"/>
      <c r="T1341" s="49"/>
      <c r="U1341" s="49"/>
      <c r="V1341" s="49"/>
      <c r="W1341" s="56"/>
      <c r="X1341" s="51" t="str">
        <f t="shared" si="5"/>
        <v/>
      </c>
      <c r="Y1341" s="50" t="s">
        <v>482</v>
      </c>
      <c r="Z1341" s="49">
        <f t="shared" si="6"/>
        <v>0</v>
      </c>
    </row>
    <row r="1342" ht="22.5" customHeight="1">
      <c r="B1342" s="57"/>
      <c r="C1342" s="43" t="str">
        <f t="array" ref="C1342">IF(B1342="","",_xlfn.XLOOKUP(B1342,'Form responses 1'!$B$2:$B$2604,'Form responses 1'!$A$2:$A$2604,""))</f>
        <v/>
      </c>
      <c r="D1342" s="44" t="str">
        <f t="shared" si="3"/>
        <v/>
      </c>
      <c r="E1342" s="44" t="str">
        <f t="array" ref="E1342">IF(B1342="","",_xlfn.XLOOKUP(B1342,'Form responses 1'!$B$2:$B$2604,'Form responses 1'!$C$2:$C$2604,""))</f>
        <v/>
      </c>
      <c r="F1342" s="44" t="str">
        <f t="array" ref="F1342">IF(B1342="","",_xlfn.XLOOKUP(B1342,'Form responses 1'!$B$2:$B$2604,'Form responses 1'!$D$2:$D$2604,""))</f>
        <v/>
      </c>
      <c r="G1342" s="44" t="str">
        <f t="array" ref="G1342">IF(B1342="","",_xlfn.XLOOKUP(B1342,'Form responses 1'!$B$2:$B$2604,'Form responses 1'!$E$2:$E$2604,""))</f>
        <v/>
      </c>
      <c r="H1342" s="44" t="str">
        <f t="array" ref="H1342">IF(B1342="","",_xlfn.XLOOKUP(B1342,'Form responses 1'!$B$2:$B$2604,'Form responses 1'!$F$2:$F$2604,""))</f>
        <v/>
      </c>
      <c r="I1342" s="44" t="str">
        <f t="array" ref="I1342">IF(B1342="","",_xlfn.XLOOKUP(B1342,'Form responses 1'!$B$2:$B$2604,'Form responses 1'!$I$2:$I$2604,""))</f>
        <v/>
      </c>
      <c r="J1342" s="44" t="str">
        <f t="array" ref="J1342">IF(B1342="","",_xlfn.XLOOKUP(B1342,'Form responses 1'!$B$2:$B$2604,'Form responses 1'!$G$2:$G$2604,""))</f>
        <v/>
      </c>
      <c r="K1342" s="56"/>
      <c r="L1342" s="58" t="str">
        <f t="shared" si="7"/>
        <v/>
      </c>
      <c r="M1342" s="49"/>
      <c r="N1342" s="49"/>
      <c r="O1342" s="49"/>
      <c r="P1342" s="49"/>
      <c r="Q1342" s="49"/>
      <c r="R1342" s="49"/>
      <c r="S1342" s="49"/>
      <c r="T1342" s="49"/>
      <c r="U1342" s="49"/>
      <c r="V1342" s="49"/>
      <c r="W1342" s="56"/>
      <c r="X1342" s="51" t="str">
        <f t="shared" si="5"/>
        <v/>
      </c>
      <c r="Y1342" s="50" t="s">
        <v>482</v>
      </c>
      <c r="Z1342" s="49">
        <f t="shared" si="6"/>
        <v>0</v>
      </c>
    </row>
    <row r="1343" ht="22.5" customHeight="1">
      <c r="B1343" s="57"/>
      <c r="C1343" s="43" t="str">
        <f t="array" ref="C1343">IF(B1343="","",_xlfn.XLOOKUP(B1343,'Form responses 1'!$B$2:$B$2604,'Form responses 1'!$A$2:$A$2604,""))</f>
        <v/>
      </c>
      <c r="D1343" s="44" t="str">
        <f t="shared" si="3"/>
        <v/>
      </c>
      <c r="E1343" s="44" t="str">
        <f t="array" ref="E1343">IF(B1343="","",_xlfn.XLOOKUP(B1343,'Form responses 1'!$B$2:$B$2604,'Form responses 1'!$C$2:$C$2604,""))</f>
        <v/>
      </c>
      <c r="F1343" s="44" t="str">
        <f t="array" ref="F1343">IF(B1343="","",_xlfn.XLOOKUP(B1343,'Form responses 1'!$B$2:$B$2604,'Form responses 1'!$D$2:$D$2604,""))</f>
        <v/>
      </c>
      <c r="G1343" s="44" t="str">
        <f t="array" ref="G1343">IF(B1343="","",_xlfn.XLOOKUP(B1343,'Form responses 1'!$B$2:$B$2604,'Form responses 1'!$E$2:$E$2604,""))</f>
        <v/>
      </c>
      <c r="H1343" s="44" t="str">
        <f t="array" ref="H1343">IF(B1343="","",_xlfn.XLOOKUP(B1343,'Form responses 1'!$B$2:$B$2604,'Form responses 1'!$F$2:$F$2604,""))</f>
        <v/>
      </c>
      <c r="I1343" s="44" t="str">
        <f t="array" ref="I1343">IF(B1343="","",_xlfn.XLOOKUP(B1343,'Form responses 1'!$B$2:$B$2604,'Form responses 1'!$I$2:$I$2604,""))</f>
        <v/>
      </c>
      <c r="J1343" s="44" t="str">
        <f t="array" ref="J1343">IF(B1343="","",_xlfn.XLOOKUP(B1343,'Form responses 1'!$B$2:$B$2604,'Form responses 1'!$G$2:$G$2604,""))</f>
        <v/>
      </c>
      <c r="K1343" s="56"/>
      <c r="L1343" s="58" t="str">
        <f t="shared" si="7"/>
        <v/>
      </c>
      <c r="M1343" s="49"/>
      <c r="N1343" s="49"/>
      <c r="O1343" s="49"/>
      <c r="P1343" s="49"/>
      <c r="Q1343" s="49"/>
      <c r="R1343" s="49"/>
      <c r="S1343" s="49"/>
      <c r="T1343" s="49"/>
      <c r="U1343" s="49"/>
      <c r="V1343" s="49"/>
      <c r="W1343" s="56"/>
      <c r="X1343" s="51" t="str">
        <f t="shared" si="5"/>
        <v/>
      </c>
      <c r="Y1343" s="50" t="s">
        <v>482</v>
      </c>
      <c r="Z1343" s="49">
        <f t="shared" si="6"/>
        <v>0</v>
      </c>
    </row>
    <row r="1344" ht="22.5" customHeight="1">
      <c r="B1344" s="57"/>
      <c r="C1344" s="43" t="str">
        <f t="array" ref="C1344">IF(B1344="","",_xlfn.XLOOKUP(B1344,'Form responses 1'!$B$2:$B$2604,'Form responses 1'!$A$2:$A$2604,""))</f>
        <v/>
      </c>
      <c r="D1344" s="44" t="str">
        <f t="shared" si="3"/>
        <v/>
      </c>
      <c r="E1344" s="44" t="str">
        <f t="array" ref="E1344">IF(B1344="","",_xlfn.XLOOKUP(B1344,'Form responses 1'!$B$2:$B$2604,'Form responses 1'!$C$2:$C$2604,""))</f>
        <v/>
      </c>
      <c r="F1344" s="44" t="str">
        <f t="array" ref="F1344">IF(B1344="","",_xlfn.XLOOKUP(B1344,'Form responses 1'!$B$2:$B$2604,'Form responses 1'!$D$2:$D$2604,""))</f>
        <v/>
      </c>
      <c r="G1344" s="44" t="str">
        <f t="array" ref="G1344">IF(B1344="","",_xlfn.XLOOKUP(B1344,'Form responses 1'!$B$2:$B$2604,'Form responses 1'!$E$2:$E$2604,""))</f>
        <v/>
      </c>
      <c r="H1344" s="44" t="str">
        <f t="array" ref="H1344">IF(B1344="","",_xlfn.XLOOKUP(B1344,'Form responses 1'!$B$2:$B$2604,'Form responses 1'!$F$2:$F$2604,""))</f>
        <v/>
      </c>
      <c r="I1344" s="44" t="str">
        <f t="array" ref="I1344">IF(B1344="","",_xlfn.XLOOKUP(B1344,'Form responses 1'!$B$2:$B$2604,'Form responses 1'!$I$2:$I$2604,""))</f>
        <v/>
      </c>
      <c r="J1344" s="44" t="str">
        <f t="array" ref="J1344">IF(B1344="","",_xlfn.XLOOKUP(B1344,'Form responses 1'!$B$2:$B$2604,'Form responses 1'!$G$2:$G$2604,""))</f>
        <v/>
      </c>
      <c r="K1344" s="56"/>
      <c r="L1344" s="58" t="str">
        <f t="shared" si="7"/>
        <v/>
      </c>
      <c r="M1344" s="49"/>
      <c r="N1344" s="49"/>
      <c r="O1344" s="49"/>
      <c r="P1344" s="49"/>
      <c r="Q1344" s="49"/>
      <c r="R1344" s="49"/>
      <c r="S1344" s="49"/>
      <c r="T1344" s="49"/>
      <c r="U1344" s="49"/>
      <c r="V1344" s="49"/>
      <c r="W1344" s="56"/>
      <c r="X1344" s="51" t="str">
        <f t="shared" si="5"/>
        <v/>
      </c>
      <c r="Y1344" s="50" t="s">
        <v>482</v>
      </c>
      <c r="Z1344" s="49">
        <f t="shared" si="6"/>
        <v>0</v>
      </c>
    </row>
    <row r="1345" ht="22.5" customHeight="1">
      <c r="B1345" s="57"/>
      <c r="C1345" s="43" t="str">
        <f t="array" ref="C1345">IF(B1345="","",_xlfn.XLOOKUP(B1345,'Form responses 1'!$B$2:$B$2604,'Form responses 1'!$A$2:$A$2604,""))</f>
        <v/>
      </c>
      <c r="D1345" s="44" t="str">
        <f t="shared" si="3"/>
        <v/>
      </c>
      <c r="E1345" s="44" t="str">
        <f t="array" ref="E1345">IF(B1345="","",_xlfn.XLOOKUP(B1345,'Form responses 1'!$B$2:$B$2604,'Form responses 1'!$C$2:$C$2604,""))</f>
        <v/>
      </c>
      <c r="F1345" s="44" t="str">
        <f t="array" ref="F1345">IF(B1345="","",_xlfn.XLOOKUP(B1345,'Form responses 1'!$B$2:$B$2604,'Form responses 1'!$D$2:$D$2604,""))</f>
        <v/>
      </c>
      <c r="G1345" s="44" t="str">
        <f t="array" ref="G1345">IF(B1345="","",_xlfn.XLOOKUP(B1345,'Form responses 1'!$B$2:$B$2604,'Form responses 1'!$E$2:$E$2604,""))</f>
        <v/>
      </c>
      <c r="H1345" s="44" t="str">
        <f t="array" ref="H1345">IF(B1345="","",_xlfn.XLOOKUP(B1345,'Form responses 1'!$B$2:$B$2604,'Form responses 1'!$F$2:$F$2604,""))</f>
        <v/>
      </c>
      <c r="I1345" s="44" t="str">
        <f t="array" ref="I1345">IF(B1345="","",_xlfn.XLOOKUP(B1345,'Form responses 1'!$B$2:$B$2604,'Form responses 1'!$I$2:$I$2604,""))</f>
        <v/>
      </c>
      <c r="J1345" s="44" t="str">
        <f t="array" ref="J1345">IF(B1345="","",_xlfn.XLOOKUP(B1345,'Form responses 1'!$B$2:$B$2604,'Form responses 1'!$G$2:$G$2604,""))</f>
        <v/>
      </c>
      <c r="K1345" s="56"/>
      <c r="L1345" s="58" t="str">
        <f t="shared" si="7"/>
        <v/>
      </c>
      <c r="M1345" s="49"/>
      <c r="N1345" s="49"/>
      <c r="O1345" s="49"/>
      <c r="P1345" s="49"/>
      <c r="Q1345" s="49"/>
      <c r="R1345" s="49"/>
      <c r="S1345" s="49"/>
      <c r="T1345" s="49"/>
      <c r="U1345" s="49"/>
      <c r="V1345" s="49"/>
      <c r="W1345" s="56"/>
      <c r="X1345" s="51" t="str">
        <f t="shared" si="5"/>
        <v/>
      </c>
      <c r="Y1345" s="50" t="s">
        <v>482</v>
      </c>
      <c r="Z1345" s="49">
        <f t="shared" si="6"/>
        <v>0</v>
      </c>
    </row>
    <row r="1346" ht="22.5" customHeight="1">
      <c r="B1346" s="57"/>
      <c r="C1346" s="43" t="str">
        <f t="array" ref="C1346">IF(B1346="","",_xlfn.XLOOKUP(B1346,'Form responses 1'!$B$2:$B$2604,'Form responses 1'!$A$2:$A$2604,""))</f>
        <v/>
      </c>
      <c r="D1346" s="44" t="str">
        <f t="shared" si="3"/>
        <v/>
      </c>
      <c r="E1346" s="44" t="str">
        <f t="array" ref="E1346">IF(B1346="","",_xlfn.XLOOKUP(B1346,'Form responses 1'!$B$2:$B$2604,'Form responses 1'!$C$2:$C$2604,""))</f>
        <v/>
      </c>
      <c r="F1346" s="44" t="str">
        <f t="array" ref="F1346">IF(B1346="","",_xlfn.XLOOKUP(B1346,'Form responses 1'!$B$2:$B$2604,'Form responses 1'!$D$2:$D$2604,""))</f>
        <v/>
      </c>
      <c r="G1346" s="44" t="str">
        <f t="array" ref="G1346">IF(B1346="","",_xlfn.XLOOKUP(B1346,'Form responses 1'!$B$2:$B$2604,'Form responses 1'!$E$2:$E$2604,""))</f>
        <v/>
      </c>
      <c r="H1346" s="44" t="str">
        <f t="array" ref="H1346">IF(B1346="","",_xlfn.XLOOKUP(B1346,'Form responses 1'!$B$2:$B$2604,'Form responses 1'!$F$2:$F$2604,""))</f>
        <v/>
      </c>
      <c r="I1346" s="44" t="str">
        <f t="array" ref="I1346">IF(B1346="","",_xlfn.XLOOKUP(B1346,'Form responses 1'!$B$2:$B$2604,'Form responses 1'!$I$2:$I$2604,""))</f>
        <v/>
      </c>
      <c r="J1346" s="44" t="str">
        <f t="array" ref="J1346">IF(B1346="","",_xlfn.XLOOKUP(B1346,'Form responses 1'!$B$2:$B$2604,'Form responses 1'!$G$2:$G$2604,""))</f>
        <v/>
      </c>
      <c r="K1346" s="56"/>
      <c r="L1346" s="58" t="str">
        <f t="shared" si="7"/>
        <v/>
      </c>
      <c r="M1346" s="49"/>
      <c r="N1346" s="49"/>
      <c r="O1346" s="49"/>
      <c r="P1346" s="49"/>
      <c r="Q1346" s="49"/>
      <c r="R1346" s="49"/>
      <c r="S1346" s="49"/>
      <c r="T1346" s="49"/>
      <c r="U1346" s="49"/>
      <c r="V1346" s="49"/>
      <c r="W1346" s="56"/>
      <c r="X1346" s="51" t="str">
        <f t="shared" si="5"/>
        <v/>
      </c>
      <c r="Y1346" s="50" t="s">
        <v>482</v>
      </c>
      <c r="Z1346" s="49">
        <f t="shared" si="6"/>
        <v>0</v>
      </c>
    </row>
    <row r="1347" ht="22.5" customHeight="1">
      <c r="B1347" s="57"/>
      <c r="C1347" s="43" t="str">
        <f t="array" ref="C1347">IF(B1347="","",_xlfn.XLOOKUP(B1347,'Form responses 1'!$B$2:$B$2604,'Form responses 1'!$A$2:$A$2604,""))</f>
        <v/>
      </c>
      <c r="D1347" s="44" t="str">
        <f t="shared" si="3"/>
        <v/>
      </c>
      <c r="E1347" s="44" t="str">
        <f t="array" ref="E1347">IF(B1347="","",_xlfn.XLOOKUP(B1347,'Form responses 1'!$B$2:$B$2604,'Form responses 1'!$C$2:$C$2604,""))</f>
        <v/>
      </c>
      <c r="F1347" s="44" t="str">
        <f t="array" ref="F1347">IF(B1347="","",_xlfn.XLOOKUP(B1347,'Form responses 1'!$B$2:$B$2604,'Form responses 1'!$D$2:$D$2604,""))</f>
        <v/>
      </c>
      <c r="G1347" s="44" t="str">
        <f t="array" ref="G1347">IF(B1347="","",_xlfn.XLOOKUP(B1347,'Form responses 1'!$B$2:$B$2604,'Form responses 1'!$E$2:$E$2604,""))</f>
        <v/>
      </c>
      <c r="H1347" s="44" t="str">
        <f t="array" ref="H1347">IF(B1347="","",_xlfn.XLOOKUP(B1347,'Form responses 1'!$B$2:$B$2604,'Form responses 1'!$F$2:$F$2604,""))</f>
        <v/>
      </c>
      <c r="I1347" s="44" t="str">
        <f t="array" ref="I1347">IF(B1347="","",_xlfn.XLOOKUP(B1347,'Form responses 1'!$B$2:$B$2604,'Form responses 1'!$I$2:$I$2604,""))</f>
        <v/>
      </c>
      <c r="J1347" s="44" t="str">
        <f t="array" ref="J1347">IF(B1347="","",_xlfn.XLOOKUP(B1347,'Form responses 1'!$B$2:$B$2604,'Form responses 1'!$G$2:$G$2604,""))</f>
        <v/>
      </c>
      <c r="K1347" s="56"/>
      <c r="L1347" s="58" t="str">
        <f t="shared" si="7"/>
        <v/>
      </c>
      <c r="M1347" s="49"/>
      <c r="N1347" s="49"/>
      <c r="O1347" s="49"/>
      <c r="P1347" s="49"/>
      <c r="Q1347" s="49"/>
      <c r="R1347" s="49"/>
      <c r="S1347" s="49"/>
      <c r="T1347" s="49"/>
      <c r="U1347" s="49"/>
      <c r="V1347" s="49"/>
      <c r="W1347" s="56"/>
      <c r="X1347" s="51" t="str">
        <f t="shared" si="5"/>
        <v/>
      </c>
      <c r="Y1347" s="50" t="s">
        <v>482</v>
      </c>
      <c r="Z1347" s="49">
        <f t="shared" si="6"/>
        <v>0</v>
      </c>
    </row>
    <row r="1348" ht="22.5" customHeight="1">
      <c r="B1348" s="57"/>
      <c r="C1348" s="43" t="str">
        <f t="array" ref="C1348">IF(B1348="","",_xlfn.XLOOKUP(B1348,'Form responses 1'!$B$2:$B$2604,'Form responses 1'!$A$2:$A$2604,""))</f>
        <v/>
      </c>
      <c r="D1348" s="44" t="str">
        <f t="shared" si="3"/>
        <v/>
      </c>
      <c r="E1348" s="44" t="str">
        <f t="array" ref="E1348">IF(B1348="","",_xlfn.XLOOKUP(B1348,'Form responses 1'!$B$2:$B$2604,'Form responses 1'!$C$2:$C$2604,""))</f>
        <v/>
      </c>
      <c r="F1348" s="44" t="str">
        <f t="array" ref="F1348">IF(B1348="","",_xlfn.XLOOKUP(B1348,'Form responses 1'!$B$2:$B$2604,'Form responses 1'!$D$2:$D$2604,""))</f>
        <v/>
      </c>
      <c r="G1348" s="44" t="str">
        <f t="array" ref="G1348">IF(B1348="","",_xlfn.XLOOKUP(B1348,'Form responses 1'!$B$2:$B$2604,'Form responses 1'!$E$2:$E$2604,""))</f>
        <v/>
      </c>
      <c r="H1348" s="44" t="str">
        <f t="array" ref="H1348">IF(B1348="","",_xlfn.XLOOKUP(B1348,'Form responses 1'!$B$2:$B$2604,'Form responses 1'!$F$2:$F$2604,""))</f>
        <v/>
      </c>
      <c r="I1348" s="44" t="str">
        <f t="array" ref="I1348">IF(B1348="","",_xlfn.XLOOKUP(B1348,'Form responses 1'!$B$2:$B$2604,'Form responses 1'!$I$2:$I$2604,""))</f>
        <v/>
      </c>
      <c r="J1348" s="44" t="str">
        <f t="array" ref="J1348">IF(B1348="","",_xlfn.XLOOKUP(B1348,'Form responses 1'!$B$2:$B$2604,'Form responses 1'!$G$2:$G$2604,""))</f>
        <v/>
      </c>
      <c r="K1348" s="56"/>
      <c r="L1348" s="58" t="str">
        <f t="shared" si="7"/>
        <v/>
      </c>
      <c r="M1348" s="49"/>
      <c r="N1348" s="49"/>
      <c r="O1348" s="49"/>
      <c r="P1348" s="49"/>
      <c r="Q1348" s="49"/>
      <c r="R1348" s="49"/>
      <c r="S1348" s="49"/>
      <c r="T1348" s="49"/>
      <c r="U1348" s="49"/>
      <c r="V1348" s="49"/>
      <c r="W1348" s="56"/>
      <c r="X1348" s="51" t="str">
        <f t="shared" si="5"/>
        <v/>
      </c>
      <c r="Y1348" s="50" t="s">
        <v>482</v>
      </c>
      <c r="Z1348" s="49">
        <f t="shared" si="6"/>
        <v>0</v>
      </c>
    </row>
    <row r="1349" ht="22.5" customHeight="1">
      <c r="B1349" s="57"/>
      <c r="C1349" s="43" t="str">
        <f t="array" ref="C1349">IF(B1349="","",_xlfn.XLOOKUP(B1349,'Form responses 1'!$B$2:$B$2604,'Form responses 1'!$A$2:$A$2604,""))</f>
        <v/>
      </c>
      <c r="D1349" s="44" t="str">
        <f t="shared" si="3"/>
        <v/>
      </c>
      <c r="E1349" s="44" t="str">
        <f t="array" ref="E1349">IF(B1349="","",_xlfn.XLOOKUP(B1349,'Form responses 1'!$B$2:$B$2604,'Form responses 1'!$C$2:$C$2604,""))</f>
        <v/>
      </c>
      <c r="F1349" s="44" t="str">
        <f t="array" ref="F1349">IF(B1349="","",_xlfn.XLOOKUP(B1349,'Form responses 1'!$B$2:$B$2604,'Form responses 1'!$D$2:$D$2604,""))</f>
        <v/>
      </c>
      <c r="G1349" s="44" t="str">
        <f t="array" ref="G1349">IF(B1349="","",_xlfn.XLOOKUP(B1349,'Form responses 1'!$B$2:$B$2604,'Form responses 1'!$E$2:$E$2604,""))</f>
        <v/>
      </c>
      <c r="H1349" s="44" t="str">
        <f t="array" ref="H1349">IF(B1349="","",_xlfn.XLOOKUP(B1349,'Form responses 1'!$B$2:$B$2604,'Form responses 1'!$F$2:$F$2604,""))</f>
        <v/>
      </c>
      <c r="I1349" s="44" t="str">
        <f t="array" ref="I1349">IF(B1349="","",_xlfn.XLOOKUP(B1349,'Form responses 1'!$B$2:$B$2604,'Form responses 1'!$I$2:$I$2604,""))</f>
        <v/>
      </c>
      <c r="J1349" s="44" t="str">
        <f t="array" ref="J1349">IF(B1349="","",_xlfn.XLOOKUP(B1349,'Form responses 1'!$B$2:$B$2604,'Form responses 1'!$G$2:$G$2604,""))</f>
        <v/>
      </c>
      <c r="K1349" s="56"/>
      <c r="L1349" s="58" t="str">
        <f t="shared" si="7"/>
        <v/>
      </c>
      <c r="M1349" s="49"/>
      <c r="N1349" s="49"/>
      <c r="O1349" s="49"/>
      <c r="P1349" s="49"/>
      <c r="Q1349" s="49"/>
      <c r="R1349" s="49"/>
      <c r="S1349" s="49"/>
      <c r="T1349" s="49"/>
      <c r="U1349" s="49"/>
      <c r="V1349" s="49"/>
      <c r="W1349" s="56"/>
      <c r="X1349" s="51" t="str">
        <f t="shared" si="5"/>
        <v/>
      </c>
      <c r="Y1349" s="50" t="s">
        <v>482</v>
      </c>
      <c r="Z1349" s="49">
        <f t="shared" si="6"/>
        <v>0</v>
      </c>
    </row>
    <row r="1350" ht="22.5" customHeight="1">
      <c r="B1350" s="57"/>
      <c r="C1350" s="43" t="str">
        <f t="array" ref="C1350">IF(B1350="","",_xlfn.XLOOKUP(B1350,'Form responses 1'!$B$2:$B$2604,'Form responses 1'!$A$2:$A$2604,""))</f>
        <v/>
      </c>
      <c r="D1350" s="44" t="str">
        <f t="shared" si="3"/>
        <v/>
      </c>
      <c r="E1350" s="44" t="str">
        <f t="array" ref="E1350">IF(B1350="","",_xlfn.XLOOKUP(B1350,'Form responses 1'!$B$2:$B$2604,'Form responses 1'!$C$2:$C$2604,""))</f>
        <v/>
      </c>
      <c r="F1350" s="44" t="str">
        <f t="array" ref="F1350">IF(B1350="","",_xlfn.XLOOKUP(B1350,'Form responses 1'!$B$2:$B$2604,'Form responses 1'!$D$2:$D$2604,""))</f>
        <v/>
      </c>
      <c r="G1350" s="44" t="str">
        <f t="array" ref="G1350">IF(B1350="","",_xlfn.XLOOKUP(B1350,'Form responses 1'!$B$2:$B$2604,'Form responses 1'!$E$2:$E$2604,""))</f>
        <v/>
      </c>
      <c r="H1350" s="44" t="str">
        <f t="array" ref="H1350">IF(B1350="","",_xlfn.XLOOKUP(B1350,'Form responses 1'!$B$2:$B$2604,'Form responses 1'!$F$2:$F$2604,""))</f>
        <v/>
      </c>
      <c r="I1350" s="44" t="str">
        <f t="array" ref="I1350">IF(B1350="","",_xlfn.XLOOKUP(B1350,'Form responses 1'!$B$2:$B$2604,'Form responses 1'!$I$2:$I$2604,""))</f>
        <v/>
      </c>
      <c r="J1350" s="44" t="str">
        <f t="array" ref="J1350">IF(B1350="","",_xlfn.XLOOKUP(B1350,'Form responses 1'!$B$2:$B$2604,'Form responses 1'!$G$2:$G$2604,""))</f>
        <v/>
      </c>
      <c r="K1350" s="56"/>
      <c r="L1350" s="58" t="str">
        <f t="shared" si="7"/>
        <v/>
      </c>
      <c r="M1350" s="49"/>
      <c r="N1350" s="49"/>
      <c r="O1350" s="49"/>
      <c r="P1350" s="49"/>
      <c r="Q1350" s="49"/>
      <c r="R1350" s="49"/>
      <c r="S1350" s="49"/>
      <c r="T1350" s="49"/>
      <c r="U1350" s="49"/>
      <c r="V1350" s="49"/>
      <c r="W1350" s="56"/>
      <c r="X1350" s="51" t="str">
        <f t="shared" si="5"/>
        <v/>
      </c>
      <c r="Y1350" s="50" t="s">
        <v>482</v>
      </c>
      <c r="Z1350" s="49">
        <f t="shared" si="6"/>
        <v>0</v>
      </c>
    </row>
    <row r="1351" ht="22.5" customHeight="1">
      <c r="B1351" s="57"/>
      <c r="C1351" s="43" t="str">
        <f t="array" ref="C1351">IF(B1351="","",_xlfn.XLOOKUP(B1351,'Form responses 1'!$B$2:$B$2604,'Form responses 1'!$A$2:$A$2604,""))</f>
        <v/>
      </c>
      <c r="D1351" s="44" t="str">
        <f t="shared" si="3"/>
        <v/>
      </c>
      <c r="E1351" s="44" t="str">
        <f t="array" ref="E1351">IF(B1351="","",_xlfn.XLOOKUP(B1351,'Form responses 1'!$B$2:$B$2604,'Form responses 1'!$C$2:$C$2604,""))</f>
        <v/>
      </c>
      <c r="F1351" s="44" t="str">
        <f t="array" ref="F1351">IF(B1351="","",_xlfn.XLOOKUP(B1351,'Form responses 1'!$B$2:$B$2604,'Form responses 1'!$D$2:$D$2604,""))</f>
        <v/>
      </c>
      <c r="G1351" s="44" t="str">
        <f t="array" ref="G1351">IF(B1351="","",_xlfn.XLOOKUP(B1351,'Form responses 1'!$B$2:$B$2604,'Form responses 1'!$E$2:$E$2604,""))</f>
        <v/>
      </c>
      <c r="H1351" s="44" t="str">
        <f t="array" ref="H1351">IF(B1351="","",_xlfn.XLOOKUP(B1351,'Form responses 1'!$B$2:$B$2604,'Form responses 1'!$F$2:$F$2604,""))</f>
        <v/>
      </c>
      <c r="I1351" s="44" t="str">
        <f t="array" ref="I1351">IF(B1351="","",_xlfn.XLOOKUP(B1351,'Form responses 1'!$B$2:$B$2604,'Form responses 1'!$I$2:$I$2604,""))</f>
        <v/>
      </c>
      <c r="J1351" s="44" t="str">
        <f t="array" ref="J1351">IF(B1351="","",_xlfn.XLOOKUP(B1351,'Form responses 1'!$B$2:$B$2604,'Form responses 1'!$G$2:$G$2604,""))</f>
        <v/>
      </c>
      <c r="K1351" s="56"/>
      <c r="L1351" s="58" t="str">
        <f t="shared" si="7"/>
        <v/>
      </c>
      <c r="M1351" s="49"/>
      <c r="N1351" s="49"/>
      <c r="O1351" s="49"/>
      <c r="P1351" s="49"/>
      <c r="Q1351" s="49"/>
      <c r="R1351" s="49"/>
      <c r="S1351" s="49"/>
      <c r="T1351" s="49"/>
      <c r="U1351" s="49"/>
      <c r="V1351" s="49"/>
      <c r="W1351" s="56"/>
      <c r="X1351" s="51" t="str">
        <f t="shared" si="5"/>
        <v/>
      </c>
      <c r="Y1351" s="50" t="s">
        <v>482</v>
      </c>
      <c r="Z1351" s="49">
        <f t="shared" si="6"/>
        <v>0</v>
      </c>
    </row>
    <row r="1352" ht="22.5" customHeight="1">
      <c r="B1352" s="57"/>
      <c r="C1352" s="43" t="str">
        <f t="array" ref="C1352">IF(B1352="","",_xlfn.XLOOKUP(B1352,'Form responses 1'!$B$2:$B$2604,'Form responses 1'!$A$2:$A$2604,""))</f>
        <v/>
      </c>
      <c r="D1352" s="44" t="str">
        <f t="shared" si="3"/>
        <v/>
      </c>
      <c r="E1352" s="44" t="str">
        <f t="array" ref="E1352">IF(B1352="","",_xlfn.XLOOKUP(B1352,'Form responses 1'!$B$2:$B$2604,'Form responses 1'!$C$2:$C$2604,""))</f>
        <v/>
      </c>
      <c r="F1352" s="44" t="str">
        <f t="array" ref="F1352">IF(B1352="","",_xlfn.XLOOKUP(B1352,'Form responses 1'!$B$2:$B$2604,'Form responses 1'!$D$2:$D$2604,""))</f>
        <v/>
      </c>
      <c r="G1352" s="44" t="str">
        <f t="array" ref="G1352">IF(B1352="","",_xlfn.XLOOKUP(B1352,'Form responses 1'!$B$2:$B$2604,'Form responses 1'!$E$2:$E$2604,""))</f>
        <v/>
      </c>
      <c r="H1352" s="44" t="str">
        <f t="array" ref="H1352">IF(B1352="","",_xlfn.XLOOKUP(B1352,'Form responses 1'!$B$2:$B$2604,'Form responses 1'!$F$2:$F$2604,""))</f>
        <v/>
      </c>
      <c r="I1352" s="44" t="str">
        <f t="array" ref="I1352">IF(B1352="","",_xlfn.XLOOKUP(B1352,'Form responses 1'!$B$2:$B$2604,'Form responses 1'!$I$2:$I$2604,""))</f>
        <v/>
      </c>
      <c r="J1352" s="44" t="str">
        <f t="array" ref="J1352">IF(B1352="","",_xlfn.XLOOKUP(B1352,'Form responses 1'!$B$2:$B$2604,'Form responses 1'!$G$2:$G$2604,""))</f>
        <v/>
      </c>
      <c r="K1352" s="56"/>
      <c r="L1352" s="58" t="str">
        <f t="shared" si="7"/>
        <v/>
      </c>
      <c r="M1352" s="49"/>
      <c r="N1352" s="49"/>
      <c r="O1352" s="49"/>
      <c r="P1352" s="49"/>
      <c r="Q1352" s="49"/>
      <c r="R1352" s="49"/>
      <c r="S1352" s="49"/>
      <c r="T1352" s="49"/>
      <c r="U1352" s="49"/>
      <c r="V1352" s="49"/>
      <c r="W1352" s="56"/>
      <c r="X1352" s="51" t="str">
        <f t="shared" si="5"/>
        <v/>
      </c>
      <c r="Y1352" s="50" t="s">
        <v>482</v>
      </c>
      <c r="Z1352" s="49">
        <f t="shared" si="6"/>
        <v>0</v>
      </c>
    </row>
    <row r="1353" ht="22.5" customHeight="1">
      <c r="B1353" s="57"/>
      <c r="C1353" s="43" t="str">
        <f t="array" ref="C1353">IF(B1353="","",_xlfn.XLOOKUP(B1353,'Form responses 1'!$B$2:$B$2604,'Form responses 1'!$A$2:$A$2604,""))</f>
        <v/>
      </c>
      <c r="D1353" s="44" t="str">
        <f t="shared" si="3"/>
        <v/>
      </c>
      <c r="E1353" s="44" t="str">
        <f t="array" ref="E1353">IF(B1353="","",_xlfn.XLOOKUP(B1353,'Form responses 1'!$B$2:$B$2604,'Form responses 1'!$C$2:$C$2604,""))</f>
        <v/>
      </c>
      <c r="F1353" s="44" t="str">
        <f t="array" ref="F1353">IF(B1353="","",_xlfn.XLOOKUP(B1353,'Form responses 1'!$B$2:$B$2604,'Form responses 1'!$D$2:$D$2604,""))</f>
        <v/>
      </c>
      <c r="G1353" s="44" t="str">
        <f t="array" ref="G1353">IF(B1353="","",_xlfn.XLOOKUP(B1353,'Form responses 1'!$B$2:$B$2604,'Form responses 1'!$E$2:$E$2604,""))</f>
        <v/>
      </c>
      <c r="H1353" s="44" t="str">
        <f t="array" ref="H1353">IF(B1353="","",_xlfn.XLOOKUP(B1353,'Form responses 1'!$B$2:$B$2604,'Form responses 1'!$F$2:$F$2604,""))</f>
        <v/>
      </c>
      <c r="I1353" s="44" t="str">
        <f t="array" ref="I1353">IF(B1353="","",_xlfn.XLOOKUP(B1353,'Form responses 1'!$B$2:$B$2604,'Form responses 1'!$I$2:$I$2604,""))</f>
        <v/>
      </c>
      <c r="J1353" s="44" t="str">
        <f t="array" ref="J1353">IF(B1353="","",_xlfn.XLOOKUP(B1353,'Form responses 1'!$B$2:$B$2604,'Form responses 1'!$G$2:$G$2604,""))</f>
        <v/>
      </c>
      <c r="K1353" s="56"/>
      <c r="L1353" s="58" t="str">
        <f t="shared" si="7"/>
        <v/>
      </c>
      <c r="M1353" s="49"/>
      <c r="N1353" s="49"/>
      <c r="O1353" s="49"/>
      <c r="P1353" s="49"/>
      <c r="Q1353" s="49"/>
      <c r="R1353" s="49"/>
      <c r="S1353" s="49"/>
      <c r="T1353" s="49"/>
      <c r="U1353" s="49"/>
      <c r="V1353" s="49"/>
      <c r="W1353" s="56"/>
      <c r="X1353" s="51" t="str">
        <f t="shared" si="5"/>
        <v/>
      </c>
      <c r="Y1353" s="50" t="s">
        <v>482</v>
      </c>
      <c r="Z1353" s="49">
        <f t="shared" si="6"/>
        <v>0</v>
      </c>
    </row>
    <row r="1354" ht="22.5" customHeight="1">
      <c r="B1354" s="57"/>
      <c r="C1354" s="43" t="str">
        <f t="array" ref="C1354">IF(B1354="","",_xlfn.XLOOKUP(B1354,'Form responses 1'!$B$2:$B$2604,'Form responses 1'!$A$2:$A$2604,""))</f>
        <v/>
      </c>
      <c r="D1354" s="44" t="str">
        <f t="shared" si="3"/>
        <v/>
      </c>
      <c r="E1354" s="44" t="str">
        <f t="array" ref="E1354">IF(B1354="","",_xlfn.XLOOKUP(B1354,'Form responses 1'!$B$2:$B$2604,'Form responses 1'!$C$2:$C$2604,""))</f>
        <v/>
      </c>
      <c r="F1354" s="44" t="str">
        <f t="array" ref="F1354">IF(B1354="","",_xlfn.XLOOKUP(B1354,'Form responses 1'!$B$2:$B$2604,'Form responses 1'!$D$2:$D$2604,""))</f>
        <v/>
      </c>
      <c r="G1354" s="44" t="str">
        <f t="array" ref="G1354">IF(B1354="","",_xlfn.XLOOKUP(B1354,'Form responses 1'!$B$2:$B$2604,'Form responses 1'!$E$2:$E$2604,""))</f>
        <v/>
      </c>
      <c r="H1354" s="44" t="str">
        <f t="array" ref="H1354">IF(B1354="","",_xlfn.XLOOKUP(B1354,'Form responses 1'!$B$2:$B$2604,'Form responses 1'!$F$2:$F$2604,""))</f>
        <v/>
      </c>
      <c r="I1354" s="44" t="str">
        <f t="array" ref="I1354">IF(B1354="","",_xlfn.XLOOKUP(B1354,'Form responses 1'!$B$2:$B$2604,'Form responses 1'!$I$2:$I$2604,""))</f>
        <v/>
      </c>
      <c r="J1354" s="44" t="str">
        <f t="array" ref="J1354">IF(B1354="","",_xlfn.XLOOKUP(B1354,'Form responses 1'!$B$2:$B$2604,'Form responses 1'!$G$2:$G$2604,""))</f>
        <v/>
      </c>
      <c r="K1354" s="56"/>
      <c r="L1354" s="58" t="str">
        <f t="shared" si="7"/>
        <v/>
      </c>
      <c r="M1354" s="49"/>
      <c r="N1354" s="49"/>
      <c r="O1354" s="49"/>
      <c r="P1354" s="49"/>
      <c r="Q1354" s="49"/>
      <c r="R1354" s="49"/>
      <c r="S1354" s="49"/>
      <c r="T1354" s="49"/>
      <c r="U1354" s="49"/>
      <c r="V1354" s="49"/>
      <c r="W1354" s="56"/>
      <c r="X1354" s="51" t="str">
        <f t="shared" si="5"/>
        <v/>
      </c>
      <c r="Y1354" s="50" t="s">
        <v>482</v>
      </c>
      <c r="Z1354" s="49">
        <f t="shared" si="6"/>
        <v>0</v>
      </c>
    </row>
    <row r="1355" ht="22.5" customHeight="1">
      <c r="B1355" s="57"/>
      <c r="C1355" s="43" t="str">
        <f t="array" ref="C1355">IF(B1355="","",_xlfn.XLOOKUP(B1355,'Form responses 1'!$B$2:$B$2604,'Form responses 1'!$A$2:$A$2604,""))</f>
        <v/>
      </c>
      <c r="D1355" s="44" t="str">
        <f t="shared" si="3"/>
        <v/>
      </c>
      <c r="E1355" s="44" t="str">
        <f t="array" ref="E1355">IF(B1355="","",_xlfn.XLOOKUP(B1355,'Form responses 1'!$B$2:$B$2604,'Form responses 1'!$C$2:$C$2604,""))</f>
        <v/>
      </c>
      <c r="F1355" s="44" t="str">
        <f t="array" ref="F1355">IF(B1355="","",_xlfn.XLOOKUP(B1355,'Form responses 1'!$B$2:$B$2604,'Form responses 1'!$D$2:$D$2604,""))</f>
        <v/>
      </c>
      <c r="G1355" s="44" t="str">
        <f t="array" ref="G1355">IF(B1355="","",_xlfn.XLOOKUP(B1355,'Form responses 1'!$B$2:$B$2604,'Form responses 1'!$E$2:$E$2604,""))</f>
        <v/>
      </c>
      <c r="H1355" s="44" t="str">
        <f t="array" ref="H1355">IF(B1355="","",_xlfn.XLOOKUP(B1355,'Form responses 1'!$B$2:$B$2604,'Form responses 1'!$F$2:$F$2604,""))</f>
        <v/>
      </c>
      <c r="I1355" s="44" t="str">
        <f t="array" ref="I1355">IF(B1355="","",_xlfn.XLOOKUP(B1355,'Form responses 1'!$B$2:$B$2604,'Form responses 1'!$I$2:$I$2604,""))</f>
        <v/>
      </c>
      <c r="J1355" s="44" t="str">
        <f t="array" ref="J1355">IF(B1355="","",_xlfn.XLOOKUP(B1355,'Form responses 1'!$B$2:$B$2604,'Form responses 1'!$G$2:$G$2604,""))</f>
        <v/>
      </c>
      <c r="K1355" s="56"/>
      <c r="L1355" s="58" t="str">
        <f t="shared" si="7"/>
        <v/>
      </c>
      <c r="M1355" s="49"/>
      <c r="N1355" s="49"/>
      <c r="O1355" s="49"/>
      <c r="P1355" s="49"/>
      <c r="Q1355" s="49"/>
      <c r="R1355" s="49"/>
      <c r="S1355" s="49"/>
      <c r="T1355" s="49"/>
      <c r="U1355" s="49"/>
      <c r="V1355" s="49"/>
      <c r="W1355" s="56"/>
      <c r="X1355" s="51" t="str">
        <f t="shared" si="5"/>
        <v/>
      </c>
      <c r="Y1355" s="50" t="s">
        <v>482</v>
      </c>
      <c r="Z1355" s="49">
        <f t="shared" si="6"/>
        <v>0</v>
      </c>
    </row>
    <row r="1356" ht="22.5" customHeight="1">
      <c r="B1356" s="57"/>
      <c r="C1356" s="43" t="str">
        <f t="array" ref="C1356">IF(B1356="","",_xlfn.XLOOKUP(B1356,'Form responses 1'!$B$2:$B$2604,'Form responses 1'!$A$2:$A$2604,""))</f>
        <v/>
      </c>
      <c r="D1356" s="44" t="str">
        <f t="shared" si="3"/>
        <v/>
      </c>
      <c r="E1356" s="44" t="str">
        <f t="array" ref="E1356">IF(B1356="","",_xlfn.XLOOKUP(B1356,'Form responses 1'!$B$2:$B$2604,'Form responses 1'!$C$2:$C$2604,""))</f>
        <v/>
      </c>
      <c r="F1356" s="44" t="str">
        <f t="array" ref="F1356">IF(B1356="","",_xlfn.XLOOKUP(B1356,'Form responses 1'!$B$2:$B$2604,'Form responses 1'!$D$2:$D$2604,""))</f>
        <v/>
      </c>
      <c r="G1356" s="44" t="str">
        <f t="array" ref="G1356">IF(B1356="","",_xlfn.XLOOKUP(B1356,'Form responses 1'!$B$2:$B$2604,'Form responses 1'!$E$2:$E$2604,""))</f>
        <v/>
      </c>
      <c r="H1356" s="44" t="str">
        <f t="array" ref="H1356">IF(B1356="","",_xlfn.XLOOKUP(B1356,'Form responses 1'!$B$2:$B$2604,'Form responses 1'!$F$2:$F$2604,""))</f>
        <v/>
      </c>
      <c r="I1356" s="44" t="str">
        <f t="array" ref="I1356">IF(B1356="","",_xlfn.XLOOKUP(B1356,'Form responses 1'!$B$2:$B$2604,'Form responses 1'!$I$2:$I$2604,""))</f>
        <v/>
      </c>
      <c r="J1356" s="44" t="str">
        <f t="array" ref="J1356">IF(B1356="","",_xlfn.XLOOKUP(B1356,'Form responses 1'!$B$2:$B$2604,'Form responses 1'!$G$2:$G$2604,""))</f>
        <v/>
      </c>
      <c r="K1356" s="56"/>
      <c r="L1356" s="58" t="str">
        <f t="shared" si="7"/>
        <v/>
      </c>
      <c r="M1356" s="49"/>
      <c r="N1356" s="49"/>
      <c r="O1356" s="49"/>
      <c r="P1356" s="49"/>
      <c r="Q1356" s="49"/>
      <c r="R1356" s="49"/>
      <c r="S1356" s="49"/>
      <c r="T1356" s="49"/>
      <c r="U1356" s="49"/>
      <c r="V1356" s="49"/>
      <c r="W1356" s="56"/>
      <c r="X1356" s="51" t="str">
        <f t="shared" si="5"/>
        <v/>
      </c>
      <c r="Y1356" s="50" t="s">
        <v>482</v>
      </c>
      <c r="Z1356" s="49">
        <f t="shared" si="6"/>
        <v>0</v>
      </c>
    </row>
    <row r="1357" ht="22.5" customHeight="1">
      <c r="B1357" s="57"/>
      <c r="C1357" s="43" t="str">
        <f t="array" ref="C1357">IF(B1357="","",_xlfn.XLOOKUP(B1357,'Form responses 1'!$B$2:$B$2604,'Form responses 1'!$A$2:$A$2604,""))</f>
        <v/>
      </c>
      <c r="D1357" s="44" t="str">
        <f t="shared" si="3"/>
        <v/>
      </c>
      <c r="E1357" s="44" t="str">
        <f t="array" ref="E1357">IF(B1357="","",_xlfn.XLOOKUP(B1357,'Form responses 1'!$B$2:$B$2604,'Form responses 1'!$C$2:$C$2604,""))</f>
        <v/>
      </c>
      <c r="F1357" s="44" t="str">
        <f t="array" ref="F1357">IF(B1357="","",_xlfn.XLOOKUP(B1357,'Form responses 1'!$B$2:$B$2604,'Form responses 1'!$D$2:$D$2604,""))</f>
        <v/>
      </c>
      <c r="G1357" s="44" t="str">
        <f t="array" ref="G1357">IF(B1357="","",_xlfn.XLOOKUP(B1357,'Form responses 1'!$B$2:$B$2604,'Form responses 1'!$E$2:$E$2604,""))</f>
        <v/>
      </c>
      <c r="H1357" s="44" t="str">
        <f t="array" ref="H1357">IF(B1357="","",_xlfn.XLOOKUP(B1357,'Form responses 1'!$B$2:$B$2604,'Form responses 1'!$F$2:$F$2604,""))</f>
        <v/>
      </c>
      <c r="I1357" s="44" t="str">
        <f t="array" ref="I1357">IF(B1357="","",_xlfn.XLOOKUP(B1357,'Form responses 1'!$B$2:$B$2604,'Form responses 1'!$I$2:$I$2604,""))</f>
        <v/>
      </c>
      <c r="J1357" s="44" t="str">
        <f t="array" ref="J1357">IF(B1357="","",_xlfn.XLOOKUP(B1357,'Form responses 1'!$B$2:$B$2604,'Form responses 1'!$G$2:$G$2604,""))</f>
        <v/>
      </c>
      <c r="K1357" s="56"/>
      <c r="L1357" s="58" t="str">
        <f t="shared" si="7"/>
        <v/>
      </c>
      <c r="M1357" s="49"/>
      <c r="N1357" s="49"/>
      <c r="O1357" s="49"/>
      <c r="P1357" s="49"/>
      <c r="Q1357" s="49"/>
      <c r="R1357" s="49"/>
      <c r="S1357" s="49"/>
      <c r="T1357" s="49"/>
      <c r="U1357" s="49"/>
      <c r="V1357" s="49"/>
      <c r="W1357" s="56"/>
      <c r="X1357" s="51" t="str">
        <f t="shared" si="5"/>
        <v/>
      </c>
      <c r="Y1357" s="50" t="s">
        <v>482</v>
      </c>
      <c r="Z1357" s="49">
        <f t="shared" si="6"/>
        <v>0</v>
      </c>
    </row>
    <row r="1358" ht="22.5" customHeight="1">
      <c r="B1358" s="57"/>
      <c r="C1358" s="43" t="str">
        <f t="array" ref="C1358">IF(B1358="","",_xlfn.XLOOKUP(B1358,'Form responses 1'!$B$2:$B$2604,'Form responses 1'!$A$2:$A$2604,""))</f>
        <v/>
      </c>
      <c r="D1358" s="44" t="str">
        <f t="shared" si="3"/>
        <v/>
      </c>
      <c r="E1358" s="44" t="str">
        <f t="array" ref="E1358">IF(B1358="","",_xlfn.XLOOKUP(B1358,'Form responses 1'!$B$2:$B$2604,'Form responses 1'!$C$2:$C$2604,""))</f>
        <v/>
      </c>
      <c r="F1358" s="44" t="str">
        <f t="array" ref="F1358">IF(B1358="","",_xlfn.XLOOKUP(B1358,'Form responses 1'!$B$2:$B$2604,'Form responses 1'!$D$2:$D$2604,""))</f>
        <v/>
      </c>
      <c r="G1358" s="44" t="str">
        <f t="array" ref="G1358">IF(B1358="","",_xlfn.XLOOKUP(B1358,'Form responses 1'!$B$2:$B$2604,'Form responses 1'!$E$2:$E$2604,""))</f>
        <v/>
      </c>
      <c r="H1358" s="44" t="str">
        <f t="array" ref="H1358">IF(B1358="","",_xlfn.XLOOKUP(B1358,'Form responses 1'!$B$2:$B$2604,'Form responses 1'!$F$2:$F$2604,""))</f>
        <v/>
      </c>
      <c r="I1358" s="44" t="str">
        <f t="array" ref="I1358">IF(B1358="","",_xlfn.XLOOKUP(B1358,'Form responses 1'!$B$2:$B$2604,'Form responses 1'!$I$2:$I$2604,""))</f>
        <v/>
      </c>
      <c r="J1358" s="44" t="str">
        <f t="array" ref="J1358">IF(B1358="","",_xlfn.XLOOKUP(B1358,'Form responses 1'!$B$2:$B$2604,'Form responses 1'!$G$2:$G$2604,""))</f>
        <v/>
      </c>
      <c r="K1358" s="56"/>
      <c r="L1358" s="58" t="str">
        <f t="shared" si="7"/>
        <v/>
      </c>
      <c r="M1358" s="49"/>
      <c r="N1358" s="49"/>
      <c r="O1358" s="49"/>
      <c r="P1358" s="49"/>
      <c r="Q1358" s="49"/>
      <c r="R1358" s="49"/>
      <c r="S1358" s="49"/>
      <c r="T1358" s="49"/>
      <c r="U1358" s="49"/>
      <c r="V1358" s="49"/>
      <c r="W1358" s="56"/>
      <c r="X1358" s="51" t="str">
        <f t="shared" si="5"/>
        <v/>
      </c>
      <c r="Y1358" s="50" t="s">
        <v>482</v>
      </c>
      <c r="Z1358" s="49">
        <f t="shared" si="6"/>
        <v>0</v>
      </c>
    </row>
    <row r="1359" ht="22.5" customHeight="1">
      <c r="B1359" s="57"/>
      <c r="C1359" s="43" t="str">
        <f t="array" ref="C1359">IF(B1359="","",_xlfn.XLOOKUP(B1359,'Form responses 1'!$B$2:$B$2604,'Form responses 1'!$A$2:$A$2604,""))</f>
        <v/>
      </c>
      <c r="D1359" s="44" t="str">
        <f t="shared" si="3"/>
        <v/>
      </c>
      <c r="E1359" s="44" t="str">
        <f t="array" ref="E1359">IF(B1359="","",_xlfn.XLOOKUP(B1359,'Form responses 1'!$B$2:$B$2604,'Form responses 1'!$C$2:$C$2604,""))</f>
        <v/>
      </c>
      <c r="F1359" s="44" t="str">
        <f t="array" ref="F1359">IF(B1359="","",_xlfn.XLOOKUP(B1359,'Form responses 1'!$B$2:$B$2604,'Form responses 1'!$D$2:$D$2604,""))</f>
        <v/>
      </c>
      <c r="G1359" s="44" t="str">
        <f t="array" ref="G1359">IF(B1359="","",_xlfn.XLOOKUP(B1359,'Form responses 1'!$B$2:$B$2604,'Form responses 1'!$E$2:$E$2604,""))</f>
        <v/>
      </c>
      <c r="H1359" s="44" t="str">
        <f t="array" ref="H1359">IF(B1359="","",_xlfn.XLOOKUP(B1359,'Form responses 1'!$B$2:$B$2604,'Form responses 1'!$F$2:$F$2604,""))</f>
        <v/>
      </c>
      <c r="I1359" s="44" t="str">
        <f t="array" ref="I1359">IF(B1359="","",_xlfn.XLOOKUP(B1359,'Form responses 1'!$B$2:$B$2604,'Form responses 1'!$I$2:$I$2604,""))</f>
        <v/>
      </c>
      <c r="J1359" s="44" t="str">
        <f t="array" ref="J1359">IF(B1359="","",_xlfn.XLOOKUP(B1359,'Form responses 1'!$B$2:$B$2604,'Form responses 1'!$G$2:$G$2604,""))</f>
        <v/>
      </c>
      <c r="K1359" s="56"/>
      <c r="L1359" s="58" t="str">
        <f t="shared" si="7"/>
        <v/>
      </c>
      <c r="M1359" s="49"/>
      <c r="N1359" s="49"/>
      <c r="O1359" s="49"/>
      <c r="P1359" s="49"/>
      <c r="Q1359" s="49"/>
      <c r="R1359" s="49"/>
      <c r="S1359" s="49"/>
      <c r="T1359" s="49"/>
      <c r="U1359" s="49"/>
      <c r="V1359" s="49"/>
      <c r="W1359" s="56"/>
      <c r="X1359" s="51" t="str">
        <f t="shared" si="5"/>
        <v/>
      </c>
      <c r="Y1359" s="50" t="s">
        <v>482</v>
      </c>
      <c r="Z1359" s="49">
        <f t="shared" si="6"/>
        <v>0</v>
      </c>
    </row>
    <row r="1360" ht="22.5" customHeight="1">
      <c r="B1360" s="57"/>
      <c r="C1360" s="43" t="str">
        <f t="array" ref="C1360">IF(B1360="","",_xlfn.XLOOKUP(B1360,'Form responses 1'!$B$2:$B$2604,'Form responses 1'!$A$2:$A$2604,""))</f>
        <v/>
      </c>
      <c r="D1360" s="44" t="str">
        <f t="shared" si="3"/>
        <v/>
      </c>
      <c r="E1360" s="44" t="str">
        <f t="array" ref="E1360">IF(B1360="","",_xlfn.XLOOKUP(B1360,'Form responses 1'!$B$2:$B$2604,'Form responses 1'!$C$2:$C$2604,""))</f>
        <v/>
      </c>
      <c r="F1360" s="44" t="str">
        <f t="array" ref="F1360">IF(B1360="","",_xlfn.XLOOKUP(B1360,'Form responses 1'!$B$2:$B$2604,'Form responses 1'!$D$2:$D$2604,""))</f>
        <v/>
      </c>
      <c r="G1360" s="44" t="str">
        <f t="array" ref="G1360">IF(B1360="","",_xlfn.XLOOKUP(B1360,'Form responses 1'!$B$2:$B$2604,'Form responses 1'!$E$2:$E$2604,""))</f>
        <v/>
      </c>
      <c r="H1360" s="44" t="str">
        <f t="array" ref="H1360">IF(B1360="","",_xlfn.XLOOKUP(B1360,'Form responses 1'!$B$2:$B$2604,'Form responses 1'!$F$2:$F$2604,""))</f>
        <v/>
      </c>
      <c r="I1360" s="44" t="str">
        <f t="array" ref="I1360">IF(B1360="","",_xlfn.XLOOKUP(B1360,'Form responses 1'!$B$2:$B$2604,'Form responses 1'!$I$2:$I$2604,""))</f>
        <v/>
      </c>
      <c r="J1360" s="44" t="str">
        <f t="array" ref="J1360">IF(B1360="","",_xlfn.XLOOKUP(B1360,'Form responses 1'!$B$2:$B$2604,'Form responses 1'!$G$2:$G$2604,""))</f>
        <v/>
      </c>
      <c r="K1360" s="56"/>
      <c r="L1360" s="58" t="str">
        <f t="shared" si="7"/>
        <v/>
      </c>
      <c r="M1360" s="49"/>
      <c r="N1360" s="49"/>
      <c r="O1360" s="49"/>
      <c r="P1360" s="49"/>
      <c r="Q1360" s="49"/>
      <c r="R1360" s="49"/>
      <c r="S1360" s="49"/>
      <c r="T1360" s="49"/>
      <c r="U1360" s="49"/>
      <c r="V1360" s="49"/>
      <c r="W1360" s="56"/>
      <c r="X1360" s="51" t="str">
        <f t="shared" si="5"/>
        <v/>
      </c>
      <c r="Y1360" s="50" t="s">
        <v>482</v>
      </c>
      <c r="Z1360" s="49">
        <f t="shared" si="6"/>
        <v>0</v>
      </c>
    </row>
    <row r="1361" ht="22.5" customHeight="1">
      <c r="B1361" s="57"/>
      <c r="C1361" s="43" t="str">
        <f t="array" ref="C1361">IF(B1361="","",_xlfn.XLOOKUP(B1361,'Form responses 1'!$B$2:$B$2604,'Form responses 1'!$A$2:$A$2604,""))</f>
        <v/>
      </c>
      <c r="D1361" s="44" t="str">
        <f t="shared" si="3"/>
        <v/>
      </c>
      <c r="E1361" s="44" t="str">
        <f t="array" ref="E1361">IF(B1361="","",_xlfn.XLOOKUP(B1361,'Form responses 1'!$B$2:$B$2604,'Form responses 1'!$C$2:$C$2604,""))</f>
        <v/>
      </c>
      <c r="F1361" s="44" t="str">
        <f t="array" ref="F1361">IF(B1361="","",_xlfn.XLOOKUP(B1361,'Form responses 1'!$B$2:$B$2604,'Form responses 1'!$D$2:$D$2604,""))</f>
        <v/>
      </c>
      <c r="G1361" s="44" t="str">
        <f t="array" ref="G1361">IF(B1361="","",_xlfn.XLOOKUP(B1361,'Form responses 1'!$B$2:$B$2604,'Form responses 1'!$E$2:$E$2604,""))</f>
        <v/>
      </c>
      <c r="H1361" s="44" t="str">
        <f t="array" ref="H1361">IF(B1361="","",_xlfn.XLOOKUP(B1361,'Form responses 1'!$B$2:$B$2604,'Form responses 1'!$F$2:$F$2604,""))</f>
        <v/>
      </c>
      <c r="I1361" s="44" t="str">
        <f t="array" ref="I1361">IF(B1361="","",_xlfn.XLOOKUP(B1361,'Form responses 1'!$B$2:$B$2604,'Form responses 1'!$I$2:$I$2604,""))</f>
        <v/>
      </c>
      <c r="J1361" s="44" t="str">
        <f t="array" ref="J1361">IF(B1361="","",_xlfn.XLOOKUP(B1361,'Form responses 1'!$B$2:$B$2604,'Form responses 1'!$G$2:$G$2604,""))</f>
        <v/>
      </c>
      <c r="K1361" s="56"/>
      <c r="L1361" s="58" t="str">
        <f t="shared" si="7"/>
        <v/>
      </c>
      <c r="M1361" s="49"/>
      <c r="N1361" s="49"/>
      <c r="O1361" s="49"/>
      <c r="P1361" s="49"/>
      <c r="Q1361" s="49"/>
      <c r="R1361" s="49"/>
      <c r="S1361" s="49"/>
      <c r="T1361" s="49"/>
      <c r="U1361" s="49"/>
      <c r="V1361" s="49"/>
      <c r="W1361" s="56"/>
      <c r="X1361" s="51" t="str">
        <f t="shared" si="5"/>
        <v/>
      </c>
      <c r="Y1361" s="50" t="s">
        <v>482</v>
      </c>
      <c r="Z1361" s="49">
        <f t="shared" si="6"/>
        <v>0</v>
      </c>
    </row>
    <row r="1362" ht="22.5" customHeight="1">
      <c r="B1362" s="57"/>
      <c r="C1362" s="43" t="str">
        <f t="array" ref="C1362">IF(B1362="","",_xlfn.XLOOKUP(B1362,'Form responses 1'!$B$2:$B$2604,'Form responses 1'!$A$2:$A$2604,""))</f>
        <v/>
      </c>
      <c r="D1362" s="44" t="str">
        <f t="shared" si="3"/>
        <v/>
      </c>
      <c r="E1362" s="44" t="str">
        <f t="array" ref="E1362">IF(B1362="","",_xlfn.XLOOKUP(B1362,'Form responses 1'!$B$2:$B$2604,'Form responses 1'!$C$2:$C$2604,""))</f>
        <v/>
      </c>
      <c r="F1362" s="44" t="str">
        <f t="array" ref="F1362">IF(B1362="","",_xlfn.XLOOKUP(B1362,'Form responses 1'!$B$2:$B$2604,'Form responses 1'!$D$2:$D$2604,""))</f>
        <v/>
      </c>
      <c r="G1362" s="44" t="str">
        <f t="array" ref="G1362">IF(B1362="","",_xlfn.XLOOKUP(B1362,'Form responses 1'!$B$2:$B$2604,'Form responses 1'!$E$2:$E$2604,""))</f>
        <v/>
      </c>
      <c r="H1362" s="44" t="str">
        <f t="array" ref="H1362">IF(B1362="","",_xlfn.XLOOKUP(B1362,'Form responses 1'!$B$2:$B$2604,'Form responses 1'!$F$2:$F$2604,""))</f>
        <v/>
      </c>
      <c r="I1362" s="44" t="str">
        <f t="array" ref="I1362">IF(B1362="","",_xlfn.XLOOKUP(B1362,'Form responses 1'!$B$2:$B$2604,'Form responses 1'!$I$2:$I$2604,""))</f>
        <v/>
      </c>
      <c r="J1362" s="44" t="str">
        <f t="array" ref="J1362">IF(B1362="","",_xlfn.XLOOKUP(B1362,'Form responses 1'!$B$2:$B$2604,'Form responses 1'!$G$2:$G$2604,""))</f>
        <v/>
      </c>
      <c r="K1362" s="56"/>
      <c r="L1362" s="58" t="str">
        <f t="shared" si="7"/>
        <v/>
      </c>
      <c r="M1362" s="49"/>
      <c r="N1362" s="49"/>
      <c r="O1362" s="49"/>
      <c r="P1362" s="49"/>
      <c r="Q1362" s="49"/>
      <c r="R1362" s="49"/>
      <c r="S1362" s="49"/>
      <c r="T1362" s="49"/>
      <c r="U1362" s="49"/>
      <c r="V1362" s="49"/>
      <c r="W1362" s="56"/>
      <c r="X1362" s="51" t="str">
        <f t="shared" si="5"/>
        <v/>
      </c>
      <c r="Y1362" s="50" t="s">
        <v>482</v>
      </c>
      <c r="Z1362" s="49">
        <f t="shared" si="6"/>
        <v>0</v>
      </c>
    </row>
    <row r="1363" ht="22.5" customHeight="1">
      <c r="B1363" s="57"/>
      <c r="C1363" s="43" t="str">
        <f t="array" ref="C1363">IF(B1363="","",_xlfn.XLOOKUP(B1363,'Form responses 1'!$B$2:$B$2604,'Form responses 1'!$A$2:$A$2604,""))</f>
        <v/>
      </c>
      <c r="D1363" s="44" t="str">
        <f t="shared" si="3"/>
        <v/>
      </c>
      <c r="E1363" s="44" t="str">
        <f t="array" ref="E1363">IF(B1363="","",_xlfn.XLOOKUP(B1363,'Form responses 1'!$B$2:$B$2604,'Form responses 1'!$C$2:$C$2604,""))</f>
        <v/>
      </c>
      <c r="F1363" s="44" t="str">
        <f t="array" ref="F1363">IF(B1363="","",_xlfn.XLOOKUP(B1363,'Form responses 1'!$B$2:$B$2604,'Form responses 1'!$D$2:$D$2604,""))</f>
        <v/>
      </c>
      <c r="G1363" s="44" t="str">
        <f t="array" ref="G1363">IF(B1363="","",_xlfn.XLOOKUP(B1363,'Form responses 1'!$B$2:$B$2604,'Form responses 1'!$E$2:$E$2604,""))</f>
        <v/>
      </c>
      <c r="H1363" s="44" t="str">
        <f t="array" ref="H1363">IF(B1363="","",_xlfn.XLOOKUP(B1363,'Form responses 1'!$B$2:$B$2604,'Form responses 1'!$F$2:$F$2604,""))</f>
        <v/>
      </c>
      <c r="I1363" s="44" t="str">
        <f t="array" ref="I1363">IF(B1363="","",_xlfn.XLOOKUP(B1363,'Form responses 1'!$B$2:$B$2604,'Form responses 1'!$I$2:$I$2604,""))</f>
        <v/>
      </c>
      <c r="J1363" s="44" t="str">
        <f t="array" ref="J1363">IF(B1363="","",_xlfn.XLOOKUP(B1363,'Form responses 1'!$B$2:$B$2604,'Form responses 1'!$G$2:$G$2604,""))</f>
        <v/>
      </c>
      <c r="K1363" s="56"/>
      <c r="L1363" s="58" t="str">
        <f t="shared" si="7"/>
        <v/>
      </c>
      <c r="M1363" s="49"/>
      <c r="N1363" s="49"/>
      <c r="O1363" s="49"/>
      <c r="P1363" s="49"/>
      <c r="Q1363" s="49"/>
      <c r="R1363" s="49"/>
      <c r="S1363" s="49"/>
      <c r="T1363" s="49"/>
      <c r="U1363" s="49"/>
      <c r="V1363" s="49"/>
      <c r="W1363" s="56"/>
      <c r="X1363" s="51" t="str">
        <f t="shared" si="5"/>
        <v/>
      </c>
      <c r="Y1363" s="50" t="s">
        <v>482</v>
      </c>
      <c r="Z1363" s="49">
        <f t="shared" si="6"/>
        <v>0</v>
      </c>
    </row>
    <row r="1364" ht="22.5" customHeight="1">
      <c r="B1364" s="57"/>
      <c r="C1364" s="43" t="str">
        <f t="array" ref="C1364">IF(B1364="","",_xlfn.XLOOKUP(B1364,'Form responses 1'!$B$2:$B$2604,'Form responses 1'!$A$2:$A$2604,""))</f>
        <v/>
      </c>
      <c r="D1364" s="44" t="str">
        <f t="shared" si="3"/>
        <v/>
      </c>
      <c r="E1364" s="44" t="str">
        <f t="array" ref="E1364">IF(B1364="","",_xlfn.XLOOKUP(B1364,'Form responses 1'!$B$2:$B$2604,'Form responses 1'!$C$2:$C$2604,""))</f>
        <v/>
      </c>
      <c r="F1364" s="44" t="str">
        <f t="array" ref="F1364">IF(B1364="","",_xlfn.XLOOKUP(B1364,'Form responses 1'!$B$2:$B$2604,'Form responses 1'!$D$2:$D$2604,""))</f>
        <v/>
      </c>
      <c r="G1364" s="44" t="str">
        <f t="array" ref="G1364">IF(B1364="","",_xlfn.XLOOKUP(B1364,'Form responses 1'!$B$2:$B$2604,'Form responses 1'!$E$2:$E$2604,""))</f>
        <v/>
      </c>
      <c r="H1364" s="44" t="str">
        <f t="array" ref="H1364">IF(B1364="","",_xlfn.XLOOKUP(B1364,'Form responses 1'!$B$2:$B$2604,'Form responses 1'!$F$2:$F$2604,""))</f>
        <v/>
      </c>
      <c r="I1364" s="44" t="str">
        <f t="array" ref="I1364">IF(B1364="","",_xlfn.XLOOKUP(B1364,'Form responses 1'!$B$2:$B$2604,'Form responses 1'!$I$2:$I$2604,""))</f>
        <v/>
      </c>
      <c r="J1364" s="44" t="str">
        <f t="array" ref="J1364">IF(B1364="","",_xlfn.XLOOKUP(B1364,'Form responses 1'!$B$2:$B$2604,'Form responses 1'!$G$2:$G$2604,""))</f>
        <v/>
      </c>
      <c r="K1364" s="56"/>
      <c r="L1364" s="58" t="str">
        <f t="shared" si="7"/>
        <v/>
      </c>
      <c r="M1364" s="49"/>
      <c r="N1364" s="49"/>
      <c r="O1364" s="49"/>
      <c r="P1364" s="49"/>
      <c r="Q1364" s="49"/>
      <c r="R1364" s="49"/>
      <c r="S1364" s="49"/>
      <c r="T1364" s="49"/>
      <c r="U1364" s="49"/>
      <c r="V1364" s="49"/>
      <c r="W1364" s="56"/>
      <c r="X1364" s="51" t="str">
        <f t="shared" si="5"/>
        <v/>
      </c>
      <c r="Y1364" s="50" t="s">
        <v>482</v>
      </c>
      <c r="Z1364" s="49">
        <f t="shared" si="6"/>
        <v>0</v>
      </c>
    </row>
    <row r="1365" ht="22.5" customHeight="1">
      <c r="B1365" s="57"/>
      <c r="C1365" s="43" t="str">
        <f t="array" ref="C1365">IF(B1365="","",_xlfn.XLOOKUP(B1365,'Form responses 1'!$B$2:$B$2604,'Form responses 1'!$A$2:$A$2604,""))</f>
        <v/>
      </c>
      <c r="D1365" s="44" t="str">
        <f t="shared" si="3"/>
        <v/>
      </c>
      <c r="E1365" s="44" t="str">
        <f t="array" ref="E1365">IF(B1365="","",_xlfn.XLOOKUP(B1365,'Form responses 1'!$B$2:$B$2604,'Form responses 1'!$C$2:$C$2604,""))</f>
        <v/>
      </c>
      <c r="F1365" s="44" t="str">
        <f t="array" ref="F1365">IF(B1365="","",_xlfn.XLOOKUP(B1365,'Form responses 1'!$B$2:$B$2604,'Form responses 1'!$D$2:$D$2604,""))</f>
        <v/>
      </c>
      <c r="G1365" s="44" t="str">
        <f t="array" ref="G1365">IF(B1365="","",_xlfn.XLOOKUP(B1365,'Form responses 1'!$B$2:$B$2604,'Form responses 1'!$E$2:$E$2604,""))</f>
        <v/>
      </c>
      <c r="H1365" s="44" t="str">
        <f t="array" ref="H1365">IF(B1365="","",_xlfn.XLOOKUP(B1365,'Form responses 1'!$B$2:$B$2604,'Form responses 1'!$F$2:$F$2604,""))</f>
        <v/>
      </c>
      <c r="I1365" s="44" t="str">
        <f t="array" ref="I1365">IF(B1365="","",_xlfn.XLOOKUP(B1365,'Form responses 1'!$B$2:$B$2604,'Form responses 1'!$I$2:$I$2604,""))</f>
        <v/>
      </c>
      <c r="J1365" s="44" t="str">
        <f t="array" ref="J1365">IF(B1365="","",_xlfn.XLOOKUP(B1365,'Form responses 1'!$B$2:$B$2604,'Form responses 1'!$G$2:$G$2604,""))</f>
        <v/>
      </c>
      <c r="K1365" s="56"/>
      <c r="L1365" s="58" t="str">
        <f t="shared" si="7"/>
        <v/>
      </c>
      <c r="M1365" s="49"/>
      <c r="N1365" s="49"/>
      <c r="O1365" s="49"/>
      <c r="P1365" s="49"/>
      <c r="Q1365" s="49"/>
      <c r="R1365" s="49"/>
      <c r="S1365" s="49"/>
      <c r="T1365" s="49"/>
      <c r="U1365" s="49"/>
      <c r="V1365" s="49"/>
      <c r="W1365" s="56"/>
      <c r="X1365" s="51" t="str">
        <f t="shared" si="5"/>
        <v/>
      </c>
      <c r="Y1365" s="50" t="s">
        <v>482</v>
      </c>
      <c r="Z1365" s="49">
        <f t="shared" si="6"/>
        <v>0</v>
      </c>
    </row>
    <row r="1366" ht="22.5" customHeight="1">
      <c r="B1366" s="57"/>
      <c r="C1366" s="43" t="str">
        <f t="array" ref="C1366">IF(B1366="","",_xlfn.XLOOKUP(B1366,'Form responses 1'!$B$2:$B$2604,'Form responses 1'!$A$2:$A$2604,""))</f>
        <v/>
      </c>
      <c r="D1366" s="44" t="str">
        <f t="shared" si="3"/>
        <v/>
      </c>
      <c r="E1366" s="44" t="str">
        <f t="array" ref="E1366">IF(B1366="","",_xlfn.XLOOKUP(B1366,'Form responses 1'!$B$2:$B$2604,'Form responses 1'!$C$2:$C$2604,""))</f>
        <v/>
      </c>
      <c r="F1366" s="44" t="str">
        <f t="array" ref="F1366">IF(B1366="","",_xlfn.XLOOKUP(B1366,'Form responses 1'!$B$2:$B$2604,'Form responses 1'!$D$2:$D$2604,""))</f>
        <v/>
      </c>
      <c r="G1366" s="44" t="str">
        <f t="array" ref="G1366">IF(B1366="","",_xlfn.XLOOKUP(B1366,'Form responses 1'!$B$2:$B$2604,'Form responses 1'!$E$2:$E$2604,""))</f>
        <v/>
      </c>
      <c r="H1366" s="44" t="str">
        <f t="array" ref="H1366">IF(B1366="","",_xlfn.XLOOKUP(B1366,'Form responses 1'!$B$2:$B$2604,'Form responses 1'!$F$2:$F$2604,""))</f>
        <v/>
      </c>
      <c r="I1366" s="44" t="str">
        <f t="array" ref="I1366">IF(B1366="","",_xlfn.XLOOKUP(B1366,'Form responses 1'!$B$2:$B$2604,'Form responses 1'!$I$2:$I$2604,""))</f>
        <v/>
      </c>
      <c r="J1366" s="44" t="str">
        <f t="array" ref="J1366">IF(B1366="","",_xlfn.XLOOKUP(B1366,'Form responses 1'!$B$2:$B$2604,'Form responses 1'!$G$2:$G$2604,""))</f>
        <v/>
      </c>
      <c r="K1366" s="56"/>
      <c r="L1366" s="58" t="str">
        <f t="shared" si="7"/>
        <v/>
      </c>
      <c r="M1366" s="49"/>
      <c r="N1366" s="49"/>
      <c r="O1366" s="49"/>
      <c r="P1366" s="49"/>
      <c r="Q1366" s="49"/>
      <c r="R1366" s="49"/>
      <c r="S1366" s="49"/>
      <c r="T1366" s="49"/>
      <c r="U1366" s="49"/>
      <c r="V1366" s="49"/>
      <c r="W1366" s="56"/>
      <c r="X1366" s="51" t="str">
        <f t="shared" si="5"/>
        <v/>
      </c>
      <c r="Y1366" s="50" t="s">
        <v>482</v>
      </c>
      <c r="Z1366" s="49">
        <f t="shared" si="6"/>
        <v>0</v>
      </c>
    </row>
    <row r="1367" ht="22.5" customHeight="1">
      <c r="B1367" s="57"/>
      <c r="C1367" s="43" t="str">
        <f t="array" ref="C1367">IF(B1367="","",_xlfn.XLOOKUP(B1367,'Form responses 1'!$B$2:$B$2604,'Form responses 1'!$A$2:$A$2604,""))</f>
        <v/>
      </c>
      <c r="D1367" s="44" t="str">
        <f t="shared" si="3"/>
        <v/>
      </c>
      <c r="E1367" s="44" t="str">
        <f t="array" ref="E1367">IF(B1367="","",_xlfn.XLOOKUP(B1367,'Form responses 1'!$B$2:$B$2604,'Form responses 1'!$C$2:$C$2604,""))</f>
        <v/>
      </c>
      <c r="F1367" s="44" t="str">
        <f t="array" ref="F1367">IF(B1367="","",_xlfn.XLOOKUP(B1367,'Form responses 1'!$B$2:$B$2604,'Form responses 1'!$D$2:$D$2604,""))</f>
        <v/>
      </c>
      <c r="G1367" s="44" t="str">
        <f t="array" ref="G1367">IF(B1367="","",_xlfn.XLOOKUP(B1367,'Form responses 1'!$B$2:$B$2604,'Form responses 1'!$E$2:$E$2604,""))</f>
        <v/>
      </c>
      <c r="H1367" s="44" t="str">
        <f t="array" ref="H1367">IF(B1367="","",_xlfn.XLOOKUP(B1367,'Form responses 1'!$B$2:$B$2604,'Form responses 1'!$F$2:$F$2604,""))</f>
        <v/>
      </c>
      <c r="I1367" s="44" t="str">
        <f t="array" ref="I1367">IF(B1367="","",_xlfn.XLOOKUP(B1367,'Form responses 1'!$B$2:$B$2604,'Form responses 1'!$I$2:$I$2604,""))</f>
        <v/>
      </c>
      <c r="J1367" s="44" t="str">
        <f t="array" ref="J1367">IF(B1367="","",_xlfn.XLOOKUP(B1367,'Form responses 1'!$B$2:$B$2604,'Form responses 1'!$G$2:$G$2604,""))</f>
        <v/>
      </c>
      <c r="K1367" s="56"/>
      <c r="L1367" s="58" t="str">
        <f t="shared" si="7"/>
        <v/>
      </c>
      <c r="M1367" s="49"/>
      <c r="N1367" s="49"/>
      <c r="O1367" s="49"/>
      <c r="P1367" s="49"/>
      <c r="Q1367" s="49"/>
      <c r="R1367" s="49"/>
      <c r="S1367" s="49"/>
      <c r="T1367" s="49"/>
      <c r="U1367" s="49"/>
      <c r="V1367" s="49"/>
      <c r="W1367" s="56"/>
      <c r="X1367" s="51" t="str">
        <f t="shared" si="5"/>
        <v/>
      </c>
      <c r="Y1367" s="50" t="s">
        <v>482</v>
      </c>
      <c r="Z1367" s="49">
        <f t="shared" si="6"/>
        <v>0</v>
      </c>
    </row>
    <row r="1368" ht="22.5" customHeight="1">
      <c r="B1368" s="57"/>
      <c r="C1368" s="43" t="str">
        <f t="array" ref="C1368">IF(B1368="","",_xlfn.XLOOKUP(B1368,'Form responses 1'!$B$2:$B$2604,'Form responses 1'!$A$2:$A$2604,""))</f>
        <v/>
      </c>
      <c r="D1368" s="44" t="str">
        <f t="shared" si="3"/>
        <v/>
      </c>
      <c r="E1368" s="44" t="str">
        <f t="array" ref="E1368">IF(B1368="","",_xlfn.XLOOKUP(B1368,'Form responses 1'!$B$2:$B$2604,'Form responses 1'!$C$2:$C$2604,""))</f>
        <v/>
      </c>
      <c r="F1368" s="44" t="str">
        <f t="array" ref="F1368">IF(B1368="","",_xlfn.XLOOKUP(B1368,'Form responses 1'!$B$2:$B$2604,'Form responses 1'!$D$2:$D$2604,""))</f>
        <v/>
      </c>
      <c r="G1368" s="44" t="str">
        <f t="array" ref="G1368">IF(B1368="","",_xlfn.XLOOKUP(B1368,'Form responses 1'!$B$2:$B$2604,'Form responses 1'!$E$2:$E$2604,""))</f>
        <v/>
      </c>
      <c r="H1368" s="44" t="str">
        <f t="array" ref="H1368">IF(B1368="","",_xlfn.XLOOKUP(B1368,'Form responses 1'!$B$2:$B$2604,'Form responses 1'!$F$2:$F$2604,""))</f>
        <v/>
      </c>
      <c r="I1368" s="44" t="str">
        <f t="array" ref="I1368">IF(B1368="","",_xlfn.XLOOKUP(B1368,'Form responses 1'!$B$2:$B$2604,'Form responses 1'!$I$2:$I$2604,""))</f>
        <v/>
      </c>
      <c r="J1368" s="44" t="str">
        <f t="array" ref="J1368">IF(B1368="","",_xlfn.XLOOKUP(B1368,'Form responses 1'!$B$2:$B$2604,'Form responses 1'!$G$2:$G$2604,""))</f>
        <v/>
      </c>
      <c r="K1368" s="56"/>
      <c r="L1368" s="58" t="str">
        <f t="shared" si="7"/>
        <v/>
      </c>
      <c r="M1368" s="49"/>
      <c r="N1368" s="49"/>
      <c r="O1368" s="49"/>
      <c r="P1368" s="49"/>
      <c r="Q1368" s="49"/>
      <c r="R1368" s="49"/>
      <c r="S1368" s="49"/>
      <c r="T1368" s="49"/>
      <c r="U1368" s="49"/>
      <c r="V1368" s="49"/>
      <c r="W1368" s="56"/>
      <c r="X1368" s="51" t="str">
        <f t="shared" si="5"/>
        <v/>
      </c>
      <c r="Y1368" s="50" t="s">
        <v>482</v>
      </c>
      <c r="Z1368" s="49">
        <f t="shared" si="6"/>
        <v>0</v>
      </c>
    </row>
    <row r="1369" ht="22.5" customHeight="1">
      <c r="B1369" s="57"/>
      <c r="C1369" s="43" t="str">
        <f t="array" ref="C1369">IF(B1369="","",_xlfn.XLOOKUP(B1369,'Form responses 1'!$B$2:$B$2604,'Form responses 1'!$A$2:$A$2604,""))</f>
        <v/>
      </c>
      <c r="D1369" s="44" t="str">
        <f t="shared" si="3"/>
        <v/>
      </c>
      <c r="E1369" s="44" t="str">
        <f t="array" ref="E1369">IF(B1369="","",_xlfn.XLOOKUP(B1369,'Form responses 1'!$B$2:$B$2604,'Form responses 1'!$C$2:$C$2604,""))</f>
        <v/>
      </c>
      <c r="F1369" s="44" t="str">
        <f t="array" ref="F1369">IF(B1369="","",_xlfn.XLOOKUP(B1369,'Form responses 1'!$B$2:$B$2604,'Form responses 1'!$D$2:$D$2604,""))</f>
        <v/>
      </c>
      <c r="G1369" s="44" t="str">
        <f t="array" ref="G1369">IF(B1369="","",_xlfn.XLOOKUP(B1369,'Form responses 1'!$B$2:$B$2604,'Form responses 1'!$E$2:$E$2604,""))</f>
        <v/>
      </c>
      <c r="H1369" s="44" t="str">
        <f t="array" ref="H1369">IF(B1369="","",_xlfn.XLOOKUP(B1369,'Form responses 1'!$B$2:$B$2604,'Form responses 1'!$F$2:$F$2604,""))</f>
        <v/>
      </c>
      <c r="I1369" s="44" t="str">
        <f t="array" ref="I1369">IF(B1369="","",_xlfn.XLOOKUP(B1369,'Form responses 1'!$B$2:$B$2604,'Form responses 1'!$I$2:$I$2604,""))</f>
        <v/>
      </c>
      <c r="J1369" s="44" t="str">
        <f t="array" ref="J1369">IF(B1369="","",_xlfn.XLOOKUP(B1369,'Form responses 1'!$B$2:$B$2604,'Form responses 1'!$G$2:$G$2604,""))</f>
        <v/>
      </c>
      <c r="K1369" s="56"/>
      <c r="L1369" s="58" t="str">
        <f t="shared" si="7"/>
        <v/>
      </c>
      <c r="M1369" s="49"/>
      <c r="N1369" s="49"/>
      <c r="O1369" s="49"/>
      <c r="P1369" s="49"/>
      <c r="Q1369" s="49"/>
      <c r="R1369" s="49"/>
      <c r="S1369" s="49"/>
      <c r="T1369" s="49"/>
      <c r="U1369" s="49"/>
      <c r="V1369" s="49"/>
      <c r="W1369" s="56"/>
      <c r="X1369" s="51" t="str">
        <f t="shared" si="5"/>
        <v/>
      </c>
      <c r="Y1369" s="50" t="s">
        <v>482</v>
      </c>
      <c r="Z1369" s="49">
        <f t="shared" si="6"/>
        <v>0</v>
      </c>
    </row>
    <row r="1370" ht="22.5" customHeight="1">
      <c r="B1370" s="57"/>
      <c r="C1370" s="43" t="str">
        <f t="array" ref="C1370">IF(B1370="","",_xlfn.XLOOKUP(B1370,'Form responses 1'!$B$2:$B$2604,'Form responses 1'!$A$2:$A$2604,""))</f>
        <v/>
      </c>
      <c r="D1370" s="44" t="str">
        <f t="shared" si="3"/>
        <v/>
      </c>
      <c r="E1370" s="44" t="str">
        <f t="array" ref="E1370">IF(B1370="","",_xlfn.XLOOKUP(B1370,'Form responses 1'!$B$2:$B$2604,'Form responses 1'!$C$2:$C$2604,""))</f>
        <v/>
      </c>
      <c r="F1370" s="44" t="str">
        <f t="array" ref="F1370">IF(B1370="","",_xlfn.XLOOKUP(B1370,'Form responses 1'!$B$2:$B$2604,'Form responses 1'!$D$2:$D$2604,""))</f>
        <v/>
      </c>
      <c r="G1370" s="44" t="str">
        <f t="array" ref="G1370">IF(B1370="","",_xlfn.XLOOKUP(B1370,'Form responses 1'!$B$2:$B$2604,'Form responses 1'!$E$2:$E$2604,""))</f>
        <v/>
      </c>
      <c r="H1370" s="44" t="str">
        <f t="array" ref="H1370">IF(B1370="","",_xlfn.XLOOKUP(B1370,'Form responses 1'!$B$2:$B$2604,'Form responses 1'!$F$2:$F$2604,""))</f>
        <v/>
      </c>
      <c r="I1370" s="44" t="str">
        <f t="array" ref="I1370">IF(B1370="","",_xlfn.XLOOKUP(B1370,'Form responses 1'!$B$2:$B$2604,'Form responses 1'!$I$2:$I$2604,""))</f>
        <v/>
      </c>
      <c r="J1370" s="44" t="str">
        <f t="array" ref="J1370">IF(B1370="","",_xlfn.XLOOKUP(B1370,'Form responses 1'!$B$2:$B$2604,'Form responses 1'!$G$2:$G$2604,""))</f>
        <v/>
      </c>
      <c r="K1370" s="56"/>
      <c r="L1370" s="58" t="str">
        <f t="shared" si="7"/>
        <v/>
      </c>
      <c r="M1370" s="49"/>
      <c r="N1370" s="49"/>
      <c r="O1370" s="49"/>
      <c r="P1370" s="49"/>
      <c r="Q1370" s="49"/>
      <c r="R1370" s="49"/>
      <c r="S1370" s="49"/>
      <c r="T1370" s="49"/>
      <c r="U1370" s="49"/>
      <c r="V1370" s="49"/>
      <c r="W1370" s="56"/>
      <c r="X1370" s="51" t="str">
        <f t="shared" si="5"/>
        <v/>
      </c>
      <c r="Y1370" s="50" t="s">
        <v>482</v>
      </c>
      <c r="Z1370" s="49">
        <f t="shared" si="6"/>
        <v>0</v>
      </c>
    </row>
    <row r="1371" ht="22.5" customHeight="1">
      <c r="B1371" s="57"/>
      <c r="C1371" s="43" t="str">
        <f t="array" ref="C1371">IF(B1371="","",_xlfn.XLOOKUP(B1371,'Form responses 1'!$B$2:$B$2604,'Form responses 1'!$A$2:$A$2604,""))</f>
        <v/>
      </c>
      <c r="D1371" s="44" t="str">
        <f t="shared" si="3"/>
        <v/>
      </c>
      <c r="E1371" s="44" t="str">
        <f t="array" ref="E1371">IF(B1371="","",_xlfn.XLOOKUP(B1371,'Form responses 1'!$B$2:$B$2604,'Form responses 1'!$C$2:$C$2604,""))</f>
        <v/>
      </c>
      <c r="F1371" s="44" t="str">
        <f t="array" ref="F1371">IF(B1371="","",_xlfn.XLOOKUP(B1371,'Form responses 1'!$B$2:$B$2604,'Form responses 1'!$D$2:$D$2604,""))</f>
        <v/>
      </c>
      <c r="G1371" s="44" t="str">
        <f t="array" ref="G1371">IF(B1371="","",_xlfn.XLOOKUP(B1371,'Form responses 1'!$B$2:$B$2604,'Form responses 1'!$E$2:$E$2604,""))</f>
        <v/>
      </c>
      <c r="H1371" s="44" t="str">
        <f t="array" ref="H1371">IF(B1371="","",_xlfn.XLOOKUP(B1371,'Form responses 1'!$B$2:$B$2604,'Form responses 1'!$F$2:$F$2604,""))</f>
        <v/>
      </c>
      <c r="I1371" s="44" t="str">
        <f t="array" ref="I1371">IF(B1371="","",_xlfn.XLOOKUP(B1371,'Form responses 1'!$B$2:$B$2604,'Form responses 1'!$I$2:$I$2604,""))</f>
        <v/>
      </c>
      <c r="J1371" s="44" t="str">
        <f t="array" ref="J1371">IF(B1371="","",_xlfn.XLOOKUP(B1371,'Form responses 1'!$B$2:$B$2604,'Form responses 1'!$G$2:$G$2604,""))</f>
        <v/>
      </c>
      <c r="K1371" s="56"/>
      <c r="L1371" s="58" t="str">
        <f t="shared" si="7"/>
        <v/>
      </c>
      <c r="M1371" s="49"/>
      <c r="N1371" s="49"/>
      <c r="O1371" s="49"/>
      <c r="P1371" s="49"/>
      <c r="Q1371" s="49"/>
      <c r="R1371" s="49"/>
      <c r="S1371" s="49"/>
      <c r="T1371" s="49"/>
      <c r="U1371" s="49"/>
      <c r="V1371" s="49"/>
      <c r="W1371" s="56"/>
      <c r="X1371" s="51" t="str">
        <f t="shared" si="5"/>
        <v/>
      </c>
      <c r="Y1371" s="50" t="s">
        <v>482</v>
      </c>
      <c r="Z1371" s="49">
        <f t="shared" si="6"/>
        <v>0</v>
      </c>
    </row>
    <row r="1372" ht="22.5" customHeight="1">
      <c r="B1372" s="57"/>
      <c r="C1372" s="43" t="str">
        <f t="array" ref="C1372">IF(B1372="","",_xlfn.XLOOKUP(B1372,'Form responses 1'!$B$2:$B$2604,'Form responses 1'!$A$2:$A$2604,""))</f>
        <v/>
      </c>
      <c r="D1372" s="44" t="str">
        <f t="shared" si="3"/>
        <v/>
      </c>
      <c r="E1372" s="44" t="str">
        <f t="array" ref="E1372">IF(B1372="","",_xlfn.XLOOKUP(B1372,'Form responses 1'!$B$2:$B$2604,'Form responses 1'!$C$2:$C$2604,""))</f>
        <v/>
      </c>
      <c r="F1372" s="44" t="str">
        <f t="array" ref="F1372">IF(B1372="","",_xlfn.XLOOKUP(B1372,'Form responses 1'!$B$2:$B$2604,'Form responses 1'!$D$2:$D$2604,""))</f>
        <v/>
      </c>
      <c r="G1372" s="44" t="str">
        <f t="array" ref="G1372">IF(B1372="","",_xlfn.XLOOKUP(B1372,'Form responses 1'!$B$2:$B$2604,'Form responses 1'!$E$2:$E$2604,""))</f>
        <v/>
      </c>
      <c r="H1372" s="44" t="str">
        <f t="array" ref="H1372">IF(B1372="","",_xlfn.XLOOKUP(B1372,'Form responses 1'!$B$2:$B$2604,'Form responses 1'!$F$2:$F$2604,""))</f>
        <v/>
      </c>
      <c r="I1372" s="44" t="str">
        <f t="array" ref="I1372">IF(B1372="","",_xlfn.XLOOKUP(B1372,'Form responses 1'!$B$2:$B$2604,'Form responses 1'!$I$2:$I$2604,""))</f>
        <v/>
      </c>
      <c r="J1372" s="44" t="str">
        <f t="array" ref="J1372">IF(B1372="","",_xlfn.XLOOKUP(B1372,'Form responses 1'!$B$2:$B$2604,'Form responses 1'!$G$2:$G$2604,""))</f>
        <v/>
      </c>
      <c r="K1372" s="56"/>
      <c r="L1372" s="58" t="str">
        <f t="shared" si="7"/>
        <v/>
      </c>
      <c r="M1372" s="49"/>
      <c r="N1372" s="49"/>
      <c r="O1372" s="49"/>
      <c r="P1372" s="49"/>
      <c r="Q1372" s="49"/>
      <c r="R1372" s="49"/>
      <c r="S1372" s="49"/>
      <c r="T1372" s="49"/>
      <c r="U1372" s="49"/>
      <c r="V1372" s="49"/>
      <c r="W1372" s="56"/>
      <c r="X1372" s="51" t="str">
        <f t="shared" si="5"/>
        <v/>
      </c>
      <c r="Y1372" s="50" t="s">
        <v>482</v>
      </c>
      <c r="Z1372" s="49">
        <f t="shared" si="6"/>
        <v>0</v>
      </c>
    </row>
    <row r="1373" ht="22.5" customHeight="1">
      <c r="B1373" s="57"/>
      <c r="C1373" s="43" t="str">
        <f t="array" ref="C1373">IF(B1373="","",_xlfn.XLOOKUP(B1373,'Form responses 1'!$B$2:$B$2604,'Form responses 1'!$A$2:$A$2604,""))</f>
        <v/>
      </c>
      <c r="D1373" s="44" t="str">
        <f t="shared" si="3"/>
        <v/>
      </c>
      <c r="E1373" s="44" t="str">
        <f t="array" ref="E1373">IF(B1373="","",_xlfn.XLOOKUP(B1373,'Form responses 1'!$B$2:$B$2604,'Form responses 1'!$C$2:$C$2604,""))</f>
        <v/>
      </c>
      <c r="F1373" s="44" t="str">
        <f t="array" ref="F1373">IF(B1373="","",_xlfn.XLOOKUP(B1373,'Form responses 1'!$B$2:$B$2604,'Form responses 1'!$D$2:$D$2604,""))</f>
        <v/>
      </c>
      <c r="G1373" s="44" t="str">
        <f t="array" ref="G1373">IF(B1373="","",_xlfn.XLOOKUP(B1373,'Form responses 1'!$B$2:$B$2604,'Form responses 1'!$E$2:$E$2604,""))</f>
        <v/>
      </c>
      <c r="H1373" s="44" t="str">
        <f t="array" ref="H1373">IF(B1373="","",_xlfn.XLOOKUP(B1373,'Form responses 1'!$B$2:$B$2604,'Form responses 1'!$F$2:$F$2604,""))</f>
        <v/>
      </c>
      <c r="I1373" s="44" t="str">
        <f t="array" ref="I1373">IF(B1373="","",_xlfn.XLOOKUP(B1373,'Form responses 1'!$B$2:$B$2604,'Form responses 1'!$I$2:$I$2604,""))</f>
        <v/>
      </c>
      <c r="J1373" s="44" t="str">
        <f t="array" ref="J1373">IF(B1373="","",_xlfn.XLOOKUP(B1373,'Form responses 1'!$B$2:$B$2604,'Form responses 1'!$G$2:$G$2604,""))</f>
        <v/>
      </c>
      <c r="K1373" s="56"/>
      <c r="L1373" s="58" t="str">
        <f t="shared" si="7"/>
        <v/>
      </c>
      <c r="M1373" s="49"/>
      <c r="N1373" s="49"/>
      <c r="O1373" s="49"/>
      <c r="P1373" s="49"/>
      <c r="Q1373" s="49"/>
      <c r="R1373" s="49"/>
      <c r="S1373" s="49"/>
      <c r="T1373" s="49"/>
      <c r="U1373" s="49"/>
      <c r="V1373" s="49"/>
      <c r="W1373" s="56"/>
      <c r="X1373" s="51" t="str">
        <f t="shared" si="5"/>
        <v/>
      </c>
      <c r="Y1373" s="50" t="s">
        <v>482</v>
      </c>
      <c r="Z1373" s="49">
        <f t="shared" si="6"/>
        <v>0</v>
      </c>
    </row>
    <row r="1374" ht="22.5" customHeight="1">
      <c r="B1374" s="57"/>
      <c r="C1374" s="43" t="str">
        <f t="array" ref="C1374">IF(B1374="","",_xlfn.XLOOKUP(B1374,'Form responses 1'!$B$2:$B$2604,'Form responses 1'!$A$2:$A$2604,""))</f>
        <v/>
      </c>
      <c r="D1374" s="44" t="str">
        <f t="shared" si="3"/>
        <v/>
      </c>
      <c r="E1374" s="44" t="str">
        <f t="array" ref="E1374">IF(B1374="","",_xlfn.XLOOKUP(B1374,'Form responses 1'!$B$2:$B$2604,'Form responses 1'!$C$2:$C$2604,""))</f>
        <v/>
      </c>
      <c r="F1374" s="44" t="str">
        <f t="array" ref="F1374">IF(B1374="","",_xlfn.XLOOKUP(B1374,'Form responses 1'!$B$2:$B$2604,'Form responses 1'!$D$2:$D$2604,""))</f>
        <v/>
      </c>
      <c r="G1374" s="44" t="str">
        <f t="array" ref="G1374">IF(B1374="","",_xlfn.XLOOKUP(B1374,'Form responses 1'!$B$2:$B$2604,'Form responses 1'!$E$2:$E$2604,""))</f>
        <v/>
      </c>
      <c r="H1374" s="44" t="str">
        <f t="array" ref="H1374">IF(B1374="","",_xlfn.XLOOKUP(B1374,'Form responses 1'!$B$2:$B$2604,'Form responses 1'!$F$2:$F$2604,""))</f>
        <v/>
      </c>
      <c r="I1374" s="44" t="str">
        <f t="array" ref="I1374">IF(B1374="","",_xlfn.XLOOKUP(B1374,'Form responses 1'!$B$2:$B$2604,'Form responses 1'!$I$2:$I$2604,""))</f>
        <v/>
      </c>
      <c r="J1374" s="44" t="str">
        <f t="array" ref="J1374">IF(B1374="","",_xlfn.XLOOKUP(B1374,'Form responses 1'!$B$2:$B$2604,'Form responses 1'!$G$2:$G$2604,""))</f>
        <v/>
      </c>
      <c r="K1374" s="56"/>
      <c r="L1374" s="58" t="str">
        <f t="shared" si="7"/>
        <v/>
      </c>
      <c r="M1374" s="49"/>
      <c r="N1374" s="49"/>
      <c r="O1374" s="49"/>
      <c r="P1374" s="49"/>
      <c r="Q1374" s="49"/>
      <c r="R1374" s="49"/>
      <c r="S1374" s="49"/>
      <c r="T1374" s="49"/>
      <c r="U1374" s="49"/>
      <c r="V1374" s="49"/>
      <c r="W1374" s="56"/>
      <c r="X1374" s="51" t="str">
        <f t="shared" si="5"/>
        <v/>
      </c>
      <c r="Y1374" s="50" t="s">
        <v>482</v>
      </c>
      <c r="Z1374" s="49">
        <f t="shared" si="6"/>
        <v>0</v>
      </c>
    </row>
    <row r="1375" ht="22.5" customHeight="1">
      <c r="B1375" s="57"/>
      <c r="C1375" s="43" t="str">
        <f t="array" ref="C1375">IF(B1375="","",_xlfn.XLOOKUP(B1375,'Form responses 1'!$B$2:$B$2604,'Form responses 1'!$A$2:$A$2604,""))</f>
        <v/>
      </c>
      <c r="D1375" s="44" t="str">
        <f t="shared" si="3"/>
        <v/>
      </c>
      <c r="E1375" s="44" t="str">
        <f t="array" ref="E1375">IF(B1375="","",_xlfn.XLOOKUP(B1375,'Form responses 1'!$B$2:$B$2604,'Form responses 1'!$C$2:$C$2604,""))</f>
        <v/>
      </c>
      <c r="F1375" s="44" t="str">
        <f t="array" ref="F1375">IF(B1375="","",_xlfn.XLOOKUP(B1375,'Form responses 1'!$B$2:$B$2604,'Form responses 1'!$D$2:$D$2604,""))</f>
        <v/>
      </c>
      <c r="G1375" s="44" t="str">
        <f t="array" ref="G1375">IF(B1375="","",_xlfn.XLOOKUP(B1375,'Form responses 1'!$B$2:$B$2604,'Form responses 1'!$E$2:$E$2604,""))</f>
        <v/>
      </c>
      <c r="H1375" s="44" t="str">
        <f t="array" ref="H1375">IF(B1375="","",_xlfn.XLOOKUP(B1375,'Form responses 1'!$B$2:$B$2604,'Form responses 1'!$F$2:$F$2604,""))</f>
        <v/>
      </c>
      <c r="I1375" s="44" t="str">
        <f t="array" ref="I1375">IF(B1375="","",_xlfn.XLOOKUP(B1375,'Form responses 1'!$B$2:$B$2604,'Form responses 1'!$I$2:$I$2604,""))</f>
        <v/>
      </c>
      <c r="J1375" s="44" t="str">
        <f t="array" ref="J1375">IF(B1375="","",_xlfn.XLOOKUP(B1375,'Form responses 1'!$B$2:$B$2604,'Form responses 1'!$G$2:$G$2604,""))</f>
        <v/>
      </c>
      <c r="K1375" s="56"/>
      <c r="L1375" s="58" t="str">
        <f t="shared" si="7"/>
        <v/>
      </c>
      <c r="M1375" s="49"/>
      <c r="N1375" s="49"/>
      <c r="O1375" s="49"/>
      <c r="P1375" s="49"/>
      <c r="Q1375" s="49"/>
      <c r="R1375" s="49"/>
      <c r="S1375" s="49"/>
      <c r="T1375" s="49"/>
      <c r="U1375" s="49"/>
      <c r="V1375" s="49"/>
      <c r="W1375" s="56"/>
      <c r="X1375" s="51" t="str">
        <f t="shared" si="5"/>
        <v/>
      </c>
      <c r="Y1375" s="50" t="s">
        <v>482</v>
      </c>
      <c r="Z1375" s="49">
        <f t="shared" si="6"/>
        <v>0</v>
      </c>
    </row>
    <row r="1376" ht="22.5" customHeight="1">
      <c r="B1376" s="57"/>
      <c r="C1376" s="43" t="str">
        <f t="array" ref="C1376">IF(B1376="","",_xlfn.XLOOKUP(B1376,'Form responses 1'!$B$2:$B$2604,'Form responses 1'!$A$2:$A$2604,""))</f>
        <v/>
      </c>
      <c r="D1376" s="44" t="str">
        <f t="shared" si="3"/>
        <v/>
      </c>
      <c r="E1376" s="44" t="str">
        <f t="array" ref="E1376">IF(B1376="","",_xlfn.XLOOKUP(B1376,'Form responses 1'!$B$2:$B$2604,'Form responses 1'!$C$2:$C$2604,""))</f>
        <v/>
      </c>
      <c r="F1376" s="44" t="str">
        <f t="array" ref="F1376">IF(B1376="","",_xlfn.XLOOKUP(B1376,'Form responses 1'!$B$2:$B$2604,'Form responses 1'!$D$2:$D$2604,""))</f>
        <v/>
      </c>
      <c r="G1376" s="44" t="str">
        <f t="array" ref="G1376">IF(B1376="","",_xlfn.XLOOKUP(B1376,'Form responses 1'!$B$2:$B$2604,'Form responses 1'!$E$2:$E$2604,""))</f>
        <v/>
      </c>
      <c r="H1376" s="44" t="str">
        <f t="array" ref="H1376">IF(B1376="","",_xlfn.XLOOKUP(B1376,'Form responses 1'!$B$2:$B$2604,'Form responses 1'!$F$2:$F$2604,""))</f>
        <v/>
      </c>
      <c r="I1376" s="44" t="str">
        <f t="array" ref="I1376">IF(B1376="","",_xlfn.XLOOKUP(B1376,'Form responses 1'!$B$2:$B$2604,'Form responses 1'!$I$2:$I$2604,""))</f>
        <v/>
      </c>
      <c r="J1376" s="44" t="str">
        <f t="array" ref="J1376">IF(B1376="","",_xlfn.XLOOKUP(B1376,'Form responses 1'!$B$2:$B$2604,'Form responses 1'!$G$2:$G$2604,""))</f>
        <v/>
      </c>
      <c r="K1376" s="56"/>
      <c r="L1376" s="58" t="str">
        <f t="shared" si="7"/>
        <v/>
      </c>
      <c r="M1376" s="49"/>
      <c r="N1376" s="49"/>
      <c r="O1376" s="49"/>
      <c r="P1376" s="49"/>
      <c r="Q1376" s="49"/>
      <c r="R1376" s="49"/>
      <c r="S1376" s="49"/>
      <c r="T1376" s="49"/>
      <c r="U1376" s="49"/>
      <c r="V1376" s="49"/>
      <c r="W1376" s="56"/>
      <c r="X1376" s="51" t="str">
        <f t="shared" si="5"/>
        <v/>
      </c>
      <c r="Y1376" s="50" t="s">
        <v>482</v>
      </c>
      <c r="Z1376" s="49">
        <f t="shared" si="6"/>
        <v>0</v>
      </c>
    </row>
    <row r="1377" ht="22.5" customHeight="1">
      <c r="B1377" s="57"/>
      <c r="C1377" s="43" t="str">
        <f t="array" ref="C1377">IF(B1377="","",_xlfn.XLOOKUP(B1377,'Form responses 1'!$B$2:$B$2604,'Form responses 1'!$A$2:$A$2604,""))</f>
        <v/>
      </c>
      <c r="D1377" s="44" t="str">
        <f t="shared" si="3"/>
        <v/>
      </c>
      <c r="E1377" s="44" t="str">
        <f t="array" ref="E1377">IF(B1377="","",_xlfn.XLOOKUP(B1377,'Form responses 1'!$B$2:$B$2604,'Form responses 1'!$C$2:$C$2604,""))</f>
        <v/>
      </c>
      <c r="F1377" s="44" t="str">
        <f t="array" ref="F1377">IF(B1377="","",_xlfn.XLOOKUP(B1377,'Form responses 1'!$B$2:$B$2604,'Form responses 1'!$D$2:$D$2604,""))</f>
        <v/>
      </c>
      <c r="G1377" s="44" t="str">
        <f t="array" ref="G1377">IF(B1377="","",_xlfn.XLOOKUP(B1377,'Form responses 1'!$B$2:$B$2604,'Form responses 1'!$E$2:$E$2604,""))</f>
        <v/>
      </c>
      <c r="H1377" s="44" t="str">
        <f t="array" ref="H1377">IF(B1377="","",_xlfn.XLOOKUP(B1377,'Form responses 1'!$B$2:$B$2604,'Form responses 1'!$F$2:$F$2604,""))</f>
        <v/>
      </c>
      <c r="I1377" s="44" t="str">
        <f t="array" ref="I1377">IF(B1377="","",_xlfn.XLOOKUP(B1377,'Form responses 1'!$B$2:$B$2604,'Form responses 1'!$I$2:$I$2604,""))</f>
        <v/>
      </c>
      <c r="J1377" s="44" t="str">
        <f t="array" ref="J1377">IF(B1377="","",_xlfn.XLOOKUP(B1377,'Form responses 1'!$B$2:$B$2604,'Form responses 1'!$G$2:$G$2604,""))</f>
        <v/>
      </c>
      <c r="K1377" s="56"/>
      <c r="L1377" s="58" t="str">
        <f t="shared" si="7"/>
        <v/>
      </c>
      <c r="M1377" s="49"/>
      <c r="N1377" s="49"/>
      <c r="O1377" s="49"/>
      <c r="P1377" s="49"/>
      <c r="Q1377" s="49"/>
      <c r="R1377" s="49"/>
      <c r="S1377" s="49"/>
      <c r="T1377" s="49"/>
      <c r="U1377" s="49"/>
      <c r="V1377" s="49"/>
      <c r="W1377" s="56"/>
      <c r="X1377" s="51" t="str">
        <f t="shared" si="5"/>
        <v/>
      </c>
      <c r="Y1377" s="50" t="s">
        <v>482</v>
      </c>
      <c r="Z1377" s="49">
        <f t="shared" si="6"/>
        <v>0</v>
      </c>
    </row>
    <row r="1378" ht="22.5" customHeight="1">
      <c r="B1378" s="57"/>
      <c r="C1378" s="43" t="str">
        <f t="array" ref="C1378">IF(B1378="","",_xlfn.XLOOKUP(B1378,'Form responses 1'!$B$2:$B$2604,'Form responses 1'!$A$2:$A$2604,""))</f>
        <v/>
      </c>
      <c r="D1378" s="44" t="str">
        <f t="shared" si="3"/>
        <v/>
      </c>
      <c r="E1378" s="44" t="str">
        <f t="array" ref="E1378">IF(B1378="","",_xlfn.XLOOKUP(B1378,'Form responses 1'!$B$2:$B$2604,'Form responses 1'!$C$2:$C$2604,""))</f>
        <v/>
      </c>
      <c r="F1378" s="44" t="str">
        <f t="array" ref="F1378">IF(B1378="","",_xlfn.XLOOKUP(B1378,'Form responses 1'!$B$2:$B$2604,'Form responses 1'!$D$2:$D$2604,""))</f>
        <v/>
      </c>
      <c r="G1378" s="44" t="str">
        <f t="array" ref="G1378">IF(B1378="","",_xlfn.XLOOKUP(B1378,'Form responses 1'!$B$2:$B$2604,'Form responses 1'!$E$2:$E$2604,""))</f>
        <v/>
      </c>
      <c r="H1378" s="44" t="str">
        <f t="array" ref="H1378">IF(B1378="","",_xlfn.XLOOKUP(B1378,'Form responses 1'!$B$2:$B$2604,'Form responses 1'!$F$2:$F$2604,""))</f>
        <v/>
      </c>
      <c r="I1378" s="44" t="str">
        <f t="array" ref="I1378">IF(B1378="","",_xlfn.XLOOKUP(B1378,'Form responses 1'!$B$2:$B$2604,'Form responses 1'!$I$2:$I$2604,""))</f>
        <v/>
      </c>
      <c r="J1378" s="44" t="str">
        <f t="array" ref="J1378">IF(B1378="","",_xlfn.XLOOKUP(B1378,'Form responses 1'!$B$2:$B$2604,'Form responses 1'!$G$2:$G$2604,""))</f>
        <v/>
      </c>
      <c r="K1378" s="56"/>
      <c r="L1378" s="58" t="str">
        <f t="shared" si="7"/>
        <v/>
      </c>
      <c r="M1378" s="49"/>
      <c r="N1378" s="49"/>
      <c r="O1378" s="49"/>
      <c r="P1378" s="49"/>
      <c r="Q1378" s="49"/>
      <c r="R1378" s="49"/>
      <c r="S1378" s="49"/>
      <c r="T1378" s="49"/>
      <c r="U1378" s="49"/>
      <c r="V1378" s="49"/>
      <c r="W1378" s="56"/>
      <c r="X1378" s="51" t="str">
        <f t="shared" si="5"/>
        <v/>
      </c>
      <c r="Y1378" s="50" t="s">
        <v>482</v>
      </c>
      <c r="Z1378" s="49">
        <f t="shared" si="6"/>
        <v>0</v>
      </c>
    </row>
    <row r="1379" ht="22.5" customHeight="1">
      <c r="B1379" s="57"/>
      <c r="C1379" s="43" t="str">
        <f t="array" ref="C1379">IF(B1379="","",_xlfn.XLOOKUP(B1379,'Form responses 1'!$B$2:$B$2604,'Form responses 1'!$A$2:$A$2604,""))</f>
        <v/>
      </c>
      <c r="D1379" s="44" t="str">
        <f t="shared" si="3"/>
        <v/>
      </c>
      <c r="E1379" s="44" t="str">
        <f t="array" ref="E1379">IF(B1379="","",_xlfn.XLOOKUP(B1379,'Form responses 1'!$B$2:$B$2604,'Form responses 1'!$C$2:$C$2604,""))</f>
        <v/>
      </c>
      <c r="F1379" s="44" t="str">
        <f t="array" ref="F1379">IF(B1379="","",_xlfn.XLOOKUP(B1379,'Form responses 1'!$B$2:$B$2604,'Form responses 1'!$D$2:$D$2604,""))</f>
        <v/>
      </c>
      <c r="G1379" s="44" t="str">
        <f t="array" ref="G1379">IF(B1379="","",_xlfn.XLOOKUP(B1379,'Form responses 1'!$B$2:$B$2604,'Form responses 1'!$E$2:$E$2604,""))</f>
        <v/>
      </c>
      <c r="H1379" s="44" t="str">
        <f t="array" ref="H1379">IF(B1379="","",_xlfn.XLOOKUP(B1379,'Form responses 1'!$B$2:$B$2604,'Form responses 1'!$F$2:$F$2604,""))</f>
        <v/>
      </c>
      <c r="I1379" s="44" t="str">
        <f t="array" ref="I1379">IF(B1379="","",_xlfn.XLOOKUP(B1379,'Form responses 1'!$B$2:$B$2604,'Form responses 1'!$I$2:$I$2604,""))</f>
        <v/>
      </c>
      <c r="J1379" s="44" t="str">
        <f t="array" ref="J1379">IF(B1379="","",_xlfn.XLOOKUP(B1379,'Form responses 1'!$B$2:$B$2604,'Form responses 1'!$G$2:$G$2604,""))</f>
        <v/>
      </c>
      <c r="K1379" s="56"/>
      <c r="L1379" s="58" t="str">
        <f t="shared" si="7"/>
        <v/>
      </c>
      <c r="M1379" s="49"/>
      <c r="N1379" s="49"/>
      <c r="O1379" s="49"/>
      <c r="P1379" s="49"/>
      <c r="Q1379" s="49"/>
      <c r="R1379" s="49"/>
      <c r="S1379" s="49"/>
      <c r="T1379" s="49"/>
      <c r="U1379" s="49"/>
      <c r="V1379" s="49"/>
      <c r="W1379" s="56"/>
      <c r="X1379" s="51" t="str">
        <f t="shared" si="5"/>
        <v/>
      </c>
      <c r="Y1379" s="50" t="s">
        <v>482</v>
      </c>
      <c r="Z1379" s="49">
        <f t="shared" si="6"/>
        <v>0</v>
      </c>
    </row>
    <row r="1380" ht="22.5" customHeight="1">
      <c r="B1380" s="57"/>
      <c r="C1380" s="43" t="str">
        <f t="array" ref="C1380">IF(B1380="","",_xlfn.XLOOKUP(B1380,'Form responses 1'!$B$2:$B$2604,'Form responses 1'!$A$2:$A$2604,""))</f>
        <v/>
      </c>
      <c r="D1380" s="44" t="str">
        <f t="shared" si="3"/>
        <v/>
      </c>
      <c r="E1380" s="44" t="str">
        <f t="array" ref="E1380">IF(B1380="","",_xlfn.XLOOKUP(B1380,'Form responses 1'!$B$2:$B$2604,'Form responses 1'!$C$2:$C$2604,""))</f>
        <v/>
      </c>
      <c r="F1380" s="44" t="str">
        <f t="array" ref="F1380">IF(B1380="","",_xlfn.XLOOKUP(B1380,'Form responses 1'!$B$2:$B$2604,'Form responses 1'!$D$2:$D$2604,""))</f>
        <v/>
      </c>
      <c r="G1380" s="44" t="str">
        <f t="array" ref="G1380">IF(B1380="","",_xlfn.XLOOKUP(B1380,'Form responses 1'!$B$2:$B$2604,'Form responses 1'!$E$2:$E$2604,""))</f>
        <v/>
      </c>
      <c r="H1380" s="44" t="str">
        <f t="array" ref="H1380">IF(B1380="","",_xlfn.XLOOKUP(B1380,'Form responses 1'!$B$2:$B$2604,'Form responses 1'!$F$2:$F$2604,""))</f>
        <v/>
      </c>
      <c r="I1380" s="44" t="str">
        <f t="array" ref="I1380">IF(B1380="","",_xlfn.XLOOKUP(B1380,'Form responses 1'!$B$2:$B$2604,'Form responses 1'!$I$2:$I$2604,""))</f>
        <v/>
      </c>
      <c r="J1380" s="44" t="str">
        <f t="array" ref="J1380">IF(B1380="","",_xlfn.XLOOKUP(B1380,'Form responses 1'!$B$2:$B$2604,'Form responses 1'!$G$2:$G$2604,""))</f>
        <v/>
      </c>
      <c r="K1380" s="56"/>
      <c r="L1380" s="58" t="str">
        <f t="shared" si="7"/>
        <v/>
      </c>
      <c r="M1380" s="49"/>
      <c r="N1380" s="49"/>
      <c r="O1380" s="49"/>
      <c r="P1380" s="49"/>
      <c r="Q1380" s="49"/>
      <c r="R1380" s="49"/>
      <c r="S1380" s="49"/>
      <c r="T1380" s="49"/>
      <c r="U1380" s="49"/>
      <c r="V1380" s="49"/>
      <c r="W1380" s="56"/>
      <c r="X1380" s="51" t="str">
        <f t="shared" si="5"/>
        <v/>
      </c>
      <c r="Y1380" s="50" t="s">
        <v>482</v>
      </c>
      <c r="Z1380" s="49">
        <f t="shared" si="6"/>
        <v>0</v>
      </c>
    </row>
    <row r="1381" ht="22.5" customHeight="1">
      <c r="B1381" s="57"/>
      <c r="C1381" s="43" t="str">
        <f t="array" ref="C1381">IF(B1381="","",_xlfn.XLOOKUP(B1381,'Form responses 1'!$B$2:$B$2604,'Form responses 1'!$A$2:$A$2604,""))</f>
        <v/>
      </c>
      <c r="D1381" s="44" t="str">
        <f t="shared" si="3"/>
        <v/>
      </c>
      <c r="E1381" s="44" t="str">
        <f t="array" ref="E1381">IF(B1381="","",_xlfn.XLOOKUP(B1381,'Form responses 1'!$B$2:$B$2604,'Form responses 1'!$C$2:$C$2604,""))</f>
        <v/>
      </c>
      <c r="F1381" s="44" t="str">
        <f t="array" ref="F1381">IF(B1381="","",_xlfn.XLOOKUP(B1381,'Form responses 1'!$B$2:$B$2604,'Form responses 1'!$D$2:$D$2604,""))</f>
        <v/>
      </c>
      <c r="G1381" s="44" t="str">
        <f t="array" ref="G1381">IF(B1381="","",_xlfn.XLOOKUP(B1381,'Form responses 1'!$B$2:$B$2604,'Form responses 1'!$E$2:$E$2604,""))</f>
        <v/>
      </c>
      <c r="H1381" s="44" t="str">
        <f t="array" ref="H1381">IF(B1381="","",_xlfn.XLOOKUP(B1381,'Form responses 1'!$B$2:$B$2604,'Form responses 1'!$F$2:$F$2604,""))</f>
        <v/>
      </c>
      <c r="I1381" s="44" t="str">
        <f t="array" ref="I1381">IF(B1381="","",_xlfn.XLOOKUP(B1381,'Form responses 1'!$B$2:$B$2604,'Form responses 1'!$I$2:$I$2604,""))</f>
        <v/>
      </c>
      <c r="J1381" s="44" t="str">
        <f t="array" ref="J1381">IF(B1381="","",_xlfn.XLOOKUP(B1381,'Form responses 1'!$B$2:$B$2604,'Form responses 1'!$G$2:$G$2604,""))</f>
        <v/>
      </c>
      <c r="K1381" s="56"/>
      <c r="L1381" s="58" t="str">
        <f t="shared" si="7"/>
        <v/>
      </c>
      <c r="M1381" s="49"/>
      <c r="N1381" s="49"/>
      <c r="O1381" s="49"/>
      <c r="P1381" s="49"/>
      <c r="Q1381" s="49"/>
      <c r="R1381" s="49"/>
      <c r="S1381" s="49"/>
      <c r="T1381" s="49"/>
      <c r="U1381" s="49"/>
      <c r="V1381" s="49"/>
      <c r="W1381" s="56"/>
      <c r="X1381" s="51" t="str">
        <f t="shared" si="5"/>
        <v/>
      </c>
      <c r="Y1381" s="50" t="s">
        <v>482</v>
      </c>
      <c r="Z1381" s="49">
        <f t="shared" si="6"/>
        <v>0</v>
      </c>
    </row>
    <row r="1382" ht="22.5" customHeight="1">
      <c r="B1382" s="57"/>
      <c r="C1382" s="43" t="str">
        <f t="array" ref="C1382">IF(B1382="","",_xlfn.XLOOKUP(B1382,'Form responses 1'!$B$2:$B$2604,'Form responses 1'!$A$2:$A$2604,""))</f>
        <v/>
      </c>
      <c r="D1382" s="44" t="str">
        <f t="shared" si="3"/>
        <v/>
      </c>
      <c r="E1382" s="44" t="str">
        <f t="array" ref="E1382">IF(B1382="","",_xlfn.XLOOKUP(B1382,'Form responses 1'!$B$2:$B$2604,'Form responses 1'!$C$2:$C$2604,""))</f>
        <v/>
      </c>
      <c r="F1382" s="44" t="str">
        <f t="array" ref="F1382">IF(B1382="","",_xlfn.XLOOKUP(B1382,'Form responses 1'!$B$2:$B$2604,'Form responses 1'!$D$2:$D$2604,""))</f>
        <v/>
      </c>
      <c r="G1382" s="44" t="str">
        <f t="array" ref="G1382">IF(B1382="","",_xlfn.XLOOKUP(B1382,'Form responses 1'!$B$2:$B$2604,'Form responses 1'!$E$2:$E$2604,""))</f>
        <v/>
      </c>
      <c r="H1382" s="44" t="str">
        <f t="array" ref="H1382">IF(B1382="","",_xlfn.XLOOKUP(B1382,'Form responses 1'!$B$2:$B$2604,'Form responses 1'!$F$2:$F$2604,""))</f>
        <v/>
      </c>
      <c r="I1382" s="44" t="str">
        <f t="array" ref="I1382">IF(B1382="","",_xlfn.XLOOKUP(B1382,'Form responses 1'!$B$2:$B$2604,'Form responses 1'!$I$2:$I$2604,""))</f>
        <v/>
      </c>
      <c r="J1382" s="44" t="str">
        <f t="array" ref="J1382">IF(B1382="","",_xlfn.XLOOKUP(B1382,'Form responses 1'!$B$2:$B$2604,'Form responses 1'!$G$2:$G$2604,""))</f>
        <v/>
      </c>
      <c r="K1382" s="56"/>
      <c r="L1382" s="58" t="str">
        <f t="shared" si="7"/>
        <v/>
      </c>
      <c r="M1382" s="49"/>
      <c r="N1382" s="49"/>
      <c r="O1382" s="49"/>
      <c r="P1382" s="49"/>
      <c r="Q1382" s="49"/>
      <c r="R1382" s="49"/>
      <c r="S1382" s="49"/>
      <c r="T1382" s="49"/>
      <c r="U1382" s="49"/>
      <c r="V1382" s="49"/>
      <c r="W1382" s="56"/>
      <c r="X1382" s="51" t="str">
        <f t="shared" si="5"/>
        <v/>
      </c>
      <c r="Y1382" s="50" t="s">
        <v>482</v>
      </c>
      <c r="Z1382" s="49">
        <f t="shared" si="6"/>
        <v>0</v>
      </c>
    </row>
    <row r="1383" ht="22.5" customHeight="1">
      <c r="B1383" s="57"/>
      <c r="C1383" s="43" t="str">
        <f t="array" ref="C1383">IF(B1383="","",_xlfn.XLOOKUP(B1383,'Form responses 1'!$B$2:$B$2604,'Form responses 1'!$A$2:$A$2604,""))</f>
        <v/>
      </c>
      <c r="D1383" s="44" t="str">
        <f t="shared" si="3"/>
        <v/>
      </c>
      <c r="E1383" s="44" t="str">
        <f t="array" ref="E1383">IF(B1383="","",_xlfn.XLOOKUP(B1383,'Form responses 1'!$B$2:$B$2604,'Form responses 1'!$C$2:$C$2604,""))</f>
        <v/>
      </c>
      <c r="F1383" s="44" t="str">
        <f t="array" ref="F1383">IF(B1383="","",_xlfn.XLOOKUP(B1383,'Form responses 1'!$B$2:$B$2604,'Form responses 1'!$D$2:$D$2604,""))</f>
        <v/>
      </c>
      <c r="G1383" s="44" t="str">
        <f t="array" ref="G1383">IF(B1383="","",_xlfn.XLOOKUP(B1383,'Form responses 1'!$B$2:$B$2604,'Form responses 1'!$E$2:$E$2604,""))</f>
        <v/>
      </c>
      <c r="H1383" s="44" t="str">
        <f t="array" ref="H1383">IF(B1383="","",_xlfn.XLOOKUP(B1383,'Form responses 1'!$B$2:$B$2604,'Form responses 1'!$F$2:$F$2604,""))</f>
        <v/>
      </c>
      <c r="I1383" s="44" t="str">
        <f t="array" ref="I1383">IF(B1383="","",_xlfn.XLOOKUP(B1383,'Form responses 1'!$B$2:$B$2604,'Form responses 1'!$I$2:$I$2604,""))</f>
        <v/>
      </c>
      <c r="J1383" s="44" t="str">
        <f t="array" ref="J1383">IF(B1383="","",_xlfn.XLOOKUP(B1383,'Form responses 1'!$B$2:$B$2604,'Form responses 1'!$G$2:$G$2604,""))</f>
        <v/>
      </c>
      <c r="K1383" s="56"/>
      <c r="L1383" s="58" t="str">
        <f t="shared" si="7"/>
        <v/>
      </c>
      <c r="M1383" s="49"/>
      <c r="N1383" s="49"/>
      <c r="O1383" s="49"/>
      <c r="P1383" s="49"/>
      <c r="Q1383" s="49"/>
      <c r="R1383" s="49"/>
      <c r="S1383" s="49"/>
      <c r="T1383" s="49"/>
      <c r="U1383" s="49"/>
      <c r="V1383" s="49"/>
      <c r="W1383" s="56"/>
      <c r="X1383" s="51" t="str">
        <f t="shared" si="5"/>
        <v/>
      </c>
      <c r="Y1383" s="50" t="s">
        <v>482</v>
      </c>
      <c r="Z1383" s="49">
        <f t="shared" si="6"/>
        <v>0</v>
      </c>
    </row>
    <row r="1384" ht="22.5" customHeight="1">
      <c r="B1384" s="57"/>
      <c r="C1384" s="43" t="str">
        <f t="array" ref="C1384">IF(B1384="","",_xlfn.XLOOKUP(B1384,'Form responses 1'!$B$2:$B$2604,'Form responses 1'!$A$2:$A$2604,""))</f>
        <v/>
      </c>
      <c r="D1384" s="44" t="str">
        <f t="shared" si="3"/>
        <v/>
      </c>
      <c r="E1384" s="44" t="str">
        <f t="array" ref="E1384">IF(B1384="","",_xlfn.XLOOKUP(B1384,'Form responses 1'!$B$2:$B$2604,'Form responses 1'!$C$2:$C$2604,""))</f>
        <v/>
      </c>
      <c r="F1384" s="44" t="str">
        <f t="array" ref="F1384">IF(B1384="","",_xlfn.XLOOKUP(B1384,'Form responses 1'!$B$2:$B$2604,'Form responses 1'!$D$2:$D$2604,""))</f>
        <v/>
      </c>
      <c r="G1384" s="44" t="str">
        <f t="array" ref="G1384">IF(B1384="","",_xlfn.XLOOKUP(B1384,'Form responses 1'!$B$2:$B$2604,'Form responses 1'!$E$2:$E$2604,""))</f>
        <v/>
      </c>
      <c r="H1384" s="44" t="str">
        <f t="array" ref="H1384">IF(B1384="","",_xlfn.XLOOKUP(B1384,'Form responses 1'!$B$2:$B$2604,'Form responses 1'!$F$2:$F$2604,""))</f>
        <v/>
      </c>
      <c r="I1384" s="44" t="str">
        <f t="array" ref="I1384">IF(B1384="","",_xlfn.XLOOKUP(B1384,'Form responses 1'!$B$2:$B$2604,'Form responses 1'!$I$2:$I$2604,""))</f>
        <v/>
      </c>
      <c r="J1384" s="44" t="str">
        <f t="array" ref="J1384">IF(B1384="","",_xlfn.XLOOKUP(B1384,'Form responses 1'!$B$2:$B$2604,'Form responses 1'!$G$2:$G$2604,""))</f>
        <v/>
      </c>
      <c r="K1384" s="56"/>
      <c r="L1384" s="58" t="str">
        <f t="shared" si="7"/>
        <v/>
      </c>
      <c r="M1384" s="49"/>
      <c r="N1384" s="49"/>
      <c r="O1384" s="49"/>
      <c r="P1384" s="49"/>
      <c r="Q1384" s="49"/>
      <c r="R1384" s="49"/>
      <c r="S1384" s="49"/>
      <c r="T1384" s="49"/>
      <c r="U1384" s="49"/>
      <c r="V1384" s="49"/>
      <c r="W1384" s="56"/>
      <c r="X1384" s="51" t="str">
        <f t="shared" si="5"/>
        <v/>
      </c>
      <c r="Y1384" s="50" t="s">
        <v>482</v>
      </c>
      <c r="Z1384" s="49">
        <f t="shared" si="6"/>
        <v>0</v>
      </c>
    </row>
    <row r="1385" ht="22.5" customHeight="1">
      <c r="B1385" s="57"/>
      <c r="C1385" s="43" t="str">
        <f t="array" ref="C1385">IF(B1385="","",_xlfn.XLOOKUP(B1385,'Form responses 1'!$B$2:$B$2604,'Form responses 1'!$A$2:$A$2604,""))</f>
        <v/>
      </c>
      <c r="D1385" s="44" t="str">
        <f t="shared" si="3"/>
        <v/>
      </c>
      <c r="E1385" s="44" t="str">
        <f t="array" ref="E1385">IF(B1385="","",_xlfn.XLOOKUP(B1385,'Form responses 1'!$B$2:$B$2604,'Form responses 1'!$C$2:$C$2604,""))</f>
        <v/>
      </c>
      <c r="F1385" s="44" t="str">
        <f t="array" ref="F1385">IF(B1385="","",_xlfn.XLOOKUP(B1385,'Form responses 1'!$B$2:$B$2604,'Form responses 1'!$D$2:$D$2604,""))</f>
        <v/>
      </c>
      <c r="G1385" s="44" t="str">
        <f t="array" ref="G1385">IF(B1385="","",_xlfn.XLOOKUP(B1385,'Form responses 1'!$B$2:$B$2604,'Form responses 1'!$E$2:$E$2604,""))</f>
        <v/>
      </c>
      <c r="H1385" s="44" t="str">
        <f t="array" ref="H1385">IF(B1385="","",_xlfn.XLOOKUP(B1385,'Form responses 1'!$B$2:$B$2604,'Form responses 1'!$F$2:$F$2604,""))</f>
        <v/>
      </c>
      <c r="I1385" s="44" t="str">
        <f t="array" ref="I1385">IF(B1385="","",_xlfn.XLOOKUP(B1385,'Form responses 1'!$B$2:$B$2604,'Form responses 1'!$I$2:$I$2604,""))</f>
        <v/>
      </c>
      <c r="J1385" s="44" t="str">
        <f t="array" ref="J1385">IF(B1385="","",_xlfn.XLOOKUP(B1385,'Form responses 1'!$B$2:$B$2604,'Form responses 1'!$G$2:$G$2604,""))</f>
        <v/>
      </c>
      <c r="K1385" s="56"/>
      <c r="L1385" s="58" t="str">
        <f t="shared" si="7"/>
        <v/>
      </c>
      <c r="M1385" s="49"/>
      <c r="N1385" s="49"/>
      <c r="O1385" s="49"/>
      <c r="P1385" s="49"/>
      <c r="Q1385" s="49"/>
      <c r="R1385" s="49"/>
      <c r="S1385" s="49"/>
      <c r="T1385" s="49"/>
      <c r="U1385" s="49"/>
      <c r="V1385" s="49"/>
      <c r="W1385" s="56"/>
      <c r="X1385" s="51" t="str">
        <f t="shared" si="5"/>
        <v/>
      </c>
      <c r="Y1385" s="50" t="s">
        <v>482</v>
      </c>
      <c r="Z1385" s="49">
        <f t="shared" si="6"/>
        <v>0</v>
      </c>
    </row>
    <row r="1386" ht="22.5" customHeight="1">
      <c r="B1386" s="57"/>
      <c r="C1386" s="43" t="str">
        <f t="array" ref="C1386">IF(B1386="","",_xlfn.XLOOKUP(B1386,'Form responses 1'!$B$2:$B$2604,'Form responses 1'!$A$2:$A$2604,""))</f>
        <v/>
      </c>
      <c r="D1386" s="44" t="str">
        <f t="shared" si="3"/>
        <v/>
      </c>
      <c r="E1386" s="44" t="str">
        <f t="array" ref="E1386">IF(B1386="","",_xlfn.XLOOKUP(B1386,'Form responses 1'!$B$2:$B$2604,'Form responses 1'!$C$2:$C$2604,""))</f>
        <v/>
      </c>
      <c r="F1386" s="44" t="str">
        <f t="array" ref="F1386">IF(B1386="","",_xlfn.XLOOKUP(B1386,'Form responses 1'!$B$2:$B$2604,'Form responses 1'!$D$2:$D$2604,""))</f>
        <v/>
      </c>
      <c r="G1386" s="44" t="str">
        <f t="array" ref="G1386">IF(B1386="","",_xlfn.XLOOKUP(B1386,'Form responses 1'!$B$2:$B$2604,'Form responses 1'!$E$2:$E$2604,""))</f>
        <v/>
      </c>
      <c r="H1386" s="44" t="str">
        <f t="array" ref="H1386">IF(B1386="","",_xlfn.XLOOKUP(B1386,'Form responses 1'!$B$2:$B$2604,'Form responses 1'!$F$2:$F$2604,""))</f>
        <v/>
      </c>
      <c r="I1386" s="44" t="str">
        <f t="array" ref="I1386">IF(B1386="","",_xlfn.XLOOKUP(B1386,'Form responses 1'!$B$2:$B$2604,'Form responses 1'!$I$2:$I$2604,""))</f>
        <v/>
      </c>
      <c r="J1386" s="44" t="str">
        <f t="array" ref="J1386">IF(B1386="","",_xlfn.XLOOKUP(B1386,'Form responses 1'!$B$2:$B$2604,'Form responses 1'!$G$2:$G$2604,""))</f>
        <v/>
      </c>
      <c r="K1386" s="56"/>
      <c r="L1386" s="58" t="str">
        <f t="shared" si="7"/>
        <v/>
      </c>
      <c r="M1386" s="49"/>
      <c r="N1386" s="49"/>
      <c r="O1386" s="49"/>
      <c r="P1386" s="49"/>
      <c r="Q1386" s="49"/>
      <c r="R1386" s="49"/>
      <c r="S1386" s="49"/>
      <c r="T1386" s="49"/>
      <c r="U1386" s="49"/>
      <c r="V1386" s="49"/>
      <c r="W1386" s="56"/>
      <c r="X1386" s="51" t="str">
        <f t="shared" si="5"/>
        <v/>
      </c>
      <c r="Y1386" s="50" t="s">
        <v>482</v>
      </c>
      <c r="Z1386" s="49">
        <f t="shared" si="6"/>
        <v>0</v>
      </c>
    </row>
    <row r="1387" ht="22.5" customHeight="1">
      <c r="B1387" s="57"/>
      <c r="C1387" s="43" t="str">
        <f t="array" ref="C1387">IF(B1387="","",_xlfn.XLOOKUP(B1387,'Form responses 1'!$B$2:$B$2604,'Form responses 1'!$A$2:$A$2604,""))</f>
        <v/>
      </c>
      <c r="D1387" s="44" t="str">
        <f t="shared" si="3"/>
        <v/>
      </c>
      <c r="E1387" s="44" t="str">
        <f t="array" ref="E1387">IF(B1387="","",_xlfn.XLOOKUP(B1387,'Form responses 1'!$B$2:$B$2604,'Form responses 1'!$C$2:$C$2604,""))</f>
        <v/>
      </c>
      <c r="F1387" s="44" t="str">
        <f t="array" ref="F1387">IF(B1387="","",_xlfn.XLOOKUP(B1387,'Form responses 1'!$B$2:$B$2604,'Form responses 1'!$D$2:$D$2604,""))</f>
        <v/>
      </c>
      <c r="G1387" s="44" t="str">
        <f t="array" ref="G1387">IF(B1387="","",_xlfn.XLOOKUP(B1387,'Form responses 1'!$B$2:$B$2604,'Form responses 1'!$E$2:$E$2604,""))</f>
        <v/>
      </c>
      <c r="H1387" s="44" t="str">
        <f t="array" ref="H1387">IF(B1387="","",_xlfn.XLOOKUP(B1387,'Form responses 1'!$B$2:$B$2604,'Form responses 1'!$F$2:$F$2604,""))</f>
        <v/>
      </c>
      <c r="I1387" s="44" t="str">
        <f t="array" ref="I1387">IF(B1387="","",_xlfn.XLOOKUP(B1387,'Form responses 1'!$B$2:$B$2604,'Form responses 1'!$I$2:$I$2604,""))</f>
        <v/>
      </c>
      <c r="J1387" s="44" t="str">
        <f t="array" ref="J1387">IF(B1387="","",_xlfn.XLOOKUP(B1387,'Form responses 1'!$B$2:$B$2604,'Form responses 1'!$G$2:$G$2604,""))</f>
        <v/>
      </c>
      <c r="K1387" s="56"/>
      <c r="L1387" s="58" t="str">
        <f t="shared" si="7"/>
        <v/>
      </c>
      <c r="M1387" s="49"/>
      <c r="N1387" s="49"/>
      <c r="O1387" s="49"/>
      <c r="P1387" s="49"/>
      <c r="Q1387" s="49"/>
      <c r="R1387" s="49"/>
      <c r="S1387" s="49"/>
      <c r="T1387" s="49"/>
      <c r="U1387" s="49"/>
      <c r="V1387" s="49"/>
      <c r="W1387" s="56"/>
      <c r="X1387" s="51" t="str">
        <f t="shared" si="5"/>
        <v/>
      </c>
      <c r="Y1387" s="50" t="s">
        <v>482</v>
      </c>
      <c r="Z1387" s="49">
        <f t="shared" si="6"/>
        <v>0</v>
      </c>
    </row>
    <row r="1388" ht="22.5" customHeight="1">
      <c r="B1388" s="57"/>
      <c r="C1388" s="43" t="str">
        <f t="array" ref="C1388">IF(B1388="","",_xlfn.XLOOKUP(B1388,'Form responses 1'!$B$2:$B$2604,'Form responses 1'!$A$2:$A$2604,""))</f>
        <v/>
      </c>
      <c r="D1388" s="44" t="str">
        <f t="shared" si="3"/>
        <v/>
      </c>
      <c r="E1388" s="44" t="str">
        <f t="array" ref="E1388">IF(B1388="","",_xlfn.XLOOKUP(B1388,'Form responses 1'!$B$2:$B$2604,'Form responses 1'!$C$2:$C$2604,""))</f>
        <v/>
      </c>
      <c r="F1388" s="44" t="str">
        <f t="array" ref="F1388">IF(B1388="","",_xlfn.XLOOKUP(B1388,'Form responses 1'!$B$2:$B$2604,'Form responses 1'!$D$2:$D$2604,""))</f>
        <v/>
      </c>
      <c r="G1388" s="44" t="str">
        <f t="array" ref="G1388">IF(B1388="","",_xlfn.XLOOKUP(B1388,'Form responses 1'!$B$2:$B$2604,'Form responses 1'!$E$2:$E$2604,""))</f>
        <v/>
      </c>
      <c r="H1388" s="44" t="str">
        <f t="array" ref="H1388">IF(B1388="","",_xlfn.XLOOKUP(B1388,'Form responses 1'!$B$2:$B$2604,'Form responses 1'!$F$2:$F$2604,""))</f>
        <v/>
      </c>
      <c r="I1388" s="44" t="str">
        <f t="array" ref="I1388">IF(B1388="","",_xlfn.XLOOKUP(B1388,'Form responses 1'!$B$2:$B$2604,'Form responses 1'!$I$2:$I$2604,""))</f>
        <v/>
      </c>
      <c r="J1388" s="44" t="str">
        <f t="array" ref="J1388">IF(B1388="","",_xlfn.XLOOKUP(B1388,'Form responses 1'!$B$2:$B$2604,'Form responses 1'!$G$2:$G$2604,""))</f>
        <v/>
      </c>
      <c r="K1388" s="56"/>
      <c r="L1388" s="58" t="str">
        <f t="shared" si="7"/>
        <v/>
      </c>
      <c r="M1388" s="49"/>
      <c r="N1388" s="49"/>
      <c r="O1388" s="49"/>
      <c r="P1388" s="49"/>
      <c r="Q1388" s="49"/>
      <c r="R1388" s="49"/>
      <c r="S1388" s="49"/>
      <c r="T1388" s="49"/>
      <c r="U1388" s="49"/>
      <c r="V1388" s="49"/>
      <c r="W1388" s="56"/>
      <c r="X1388" s="51" t="str">
        <f t="shared" si="5"/>
        <v/>
      </c>
      <c r="Y1388" s="50" t="s">
        <v>482</v>
      </c>
      <c r="Z1388" s="49">
        <f t="shared" si="6"/>
        <v>0</v>
      </c>
    </row>
    <row r="1389" ht="22.5" customHeight="1">
      <c r="B1389" s="57"/>
      <c r="C1389" s="43" t="str">
        <f t="array" ref="C1389">IF(B1389="","",_xlfn.XLOOKUP(B1389,'Form responses 1'!$B$2:$B$2604,'Form responses 1'!$A$2:$A$2604,""))</f>
        <v/>
      </c>
      <c r="D1389" s="44" t="str">
        <f t="shared" si="3"/>
        <v/>
      </c>
      <c r="E1389" s="44" t="str">
        <f t="array" ref="E1389">IF(B1389="","",_xlfn.XLOOKUP(B1389,'Form responses 1'!$B$2:$B$2604,'Form responses 1'!$C$2:$C$2604,""))</f>
        <v/>
      </c>
      <c r="F1389" s="44" t="str">
        <f t="array" ref="F1389">IF(B1389="","",_xlfn.XLOOKUP(B1389,'Form responses 1'!$B$2:$B$2604,'Form responses 1'!$D$2:$D$2604,""))</f>
        <v/>
      </c>
      <c r="G1389" s="44" t="str">
        <f t="array" ref="G1389">IF(B1389="","",_xlfn.XLOOKUP(B1389,'Form responses 1'!$B$2:$B$2604,'Form responses 1'!$E$2:$E$2604,""))</f>
        <v/>
      </c>
      <c r="H1389" s="44" t="str">
        <f t="array" ref="H1389">IF(B1389="","",_xlfn.XLOOKUP(B1389,'Form responses 1'!$B$2:$B$2604,'Form responses 1'!$F$2:$F$2604,""))</f>
        <v/>
      </c>
      <c r="I1389" s="44" t="str">
        <f t="array" ref="I1389">IF(B1389="","",_xlfn.XLOOKUP(B1389,'Form responses 1'!$B$2:$B$2604,'Form responses 1'!$I$2:$I$2604,""))</f>
        <v/>
      </c>
      <c r="J1389" s="44" t="str">
        <f t="array" ref="J1389">IF(B1389="","",_xlfn.XLOOKUP(B1389,'Form responses 1'!$B$2:$B$2604,'Form responses 1'!$G$2:$G$2604,""))</f>
        <v/>
      </c>
      <c r="K1389" s="56"/>
      <c r="L1389" s="58" t="str">
        <f t="shared" si="7"/>
        <v/>
      </c>
      <c r="M1389" s="49"/>
      <c r="N1389" s="49"/>
      <c r="O1389" s="49"/>
      <c r="P1389" s="49"/>
      <c r="Q1389" s="49"/>
      <c r="R1389" s="49"/>
      <c r="S1389" s="49"/>
      <c r="T1389" s="49"/>
      <c r="U1389" s="49"/>
      <c r="V1389" s="49"/>
      <c r="W1389" s="56"/>
      <c r="X1389" s="51" t="str">
        <f t="shared" si="5"/>
        <v/>
      </c>
      <c r="Y1389" s="50" t="s">
        <v>482</v>
      </c>
      <c r="Z1389" s="49">
        <f t="shared" si="6"/>
        <v>0</v>
      </c>
    </row>
    <row r="1390" ht="22.5" customHeight="1">
      <c r="B1390" s="57"/>
      <c r="C1390" s="43" t="str">
        <f t="array" ref="C1390">IF(B1390="","",_xlfn.XLOOKUP(B1390,'Form responses 1'!$B$2:$B$2604,'Form responses 1'!$A$2:$A$2604,""))</f>
        <v/>
      </c>
      <c r="D1390" s="44" t="str">
        <f t="shared" si="3"/>
        <v/>
      </c>
      <c r="E1390" s="44" t="str">
        <f t="array" ref="E1390">IF(B1390="","",_xlfn.XLOOKUP(B1390,'Form responses 1'!$B$2:$B$2604,'Form responses 1'!$C$2:$C$2604,""))</f>
        <v/>
      </c>
      <c r="F1390" s="44" t="str">
        <f t="array" ref="F1390">IF(B1390="","",_xlfn.XLOOKUP(B1390,'Form responses 1'!$B$2:$B$2604,'Form responses 1'!$D$2:$D$2604,""))</f>
        <v/>
      </c>
      <c r="G1390" s="44" t="str">
        <f t="array" ref="G1390">IF(B1390="","",_xlfn.XLOOKUP(B1390,'Form responses 1'!$B$2:$B$2604,'Form responses 1'!$E$2:$E$2604,""))</f>
        <v/>
      </c>
      <c r="H1390" s="44" t="str">
        <f t="array" ref="H1390">IF(B1390="","",_xlfn.XLOOKUP(B1390,'Form responses 1'!$B$2:$B$2604,'Form responses 1'!$F$2:$F$2604,""))</f>
        <v/>
      </c>
      <c r="I1390" s="44" t="str">
        <f t="array" ref="I1390">IF(B1390="","",_xlfn.XLOOKUP(B1390,'Form responses 1'!$B$2:$B$2604,'Form responses 1'!$I$2:$I$2604,""))</f>
        <v/>
      </c>
      <c r="J1390" s="44" t="str">
        <f t="array" ref="J1390">IF(B1390="","",_xlfn.XLOOKUP(B1390,'Form responses 1'!$B$2:$B$2604,'Form responses 1'!$G$2:$G$2604,""))</f>
        <v/>
      </c>
      <c r="K1390" s="56"/>
      <c r="L1390" s="58" t="str">
        <f t="shared" si="7"/>
        <v/>
      </c>
      <c r="M1390" s="49"/>
      <c r="N1390" s="49"/>
      <c r="O1390" s="49"/>
      <c r="P1390" s="49"/>
      <c r="Q1390" s="49"/>
      <c r="R1390" s="49"/>
      <c r="S1390" s="49"/>
      <c r="T1390" s="49"/>
      <c r="U1390" s="49"/>
      <c r="V1390" s="49"/>
      <c r="W1390" s="56"/>
      <c r="X1390" s="51" t="str">
        <f t="shared" si="5"/>
        <v/>
      </c>
      <c r="Y1390" s="50" t="s">
        <v>482</v>
      </c>
      <c r="Z1390" s="49">
        <f t="shared" si="6"/>
        <v>0</v>
      </c>
    </row>
    <row r="1391" ht="22.5" customHeight="1">
      <c r="B1391" s="57"/>
      <c r="C1391" s="43" t="str">
        <f t="array" ref="C1391">IF(B1391="","",_xlfn.XLOOKUP(B1391,'Form responses 1'!$B$2:$B$2604,'Form responses 1'!$A$2:$A$2604,""))</f>
        <v/>
      </c>
      <c r="D1391" s="44" t="str">
        <f t="shared" si="3"/>
        <v/>
      </c>
      <c r="E1391" s="44" t="str">
        <f t="array" ref="E1391">IF(B1391="","",_xlfn.XLOOKUP(B1391,'Form responses 1'!$B$2:$B$2604,'Form responses 1'!$C$2:$C$2604,""))</f>
        <v/>
      </c>
      <c r="F1391" s="44" t="str">
        <f t="array" ref="F1391">IF(B1391="","",_xlfn.XLOOKUP(B1391,'Form responses 1'!$B$2:$B$2604,'Form responses 1'!$D$2:$D$2604,""))</f>
        <v/>
      </c>
      <c r="G1391" s="44" t="str">
        <f t="array" ref="G1391">IF(B1391="","",_xlfn.XLOOKUP(B1391,'Form responses 1'!$B$2:$B$2604,'Form responses 1'!$E$2:$E$2604,""))</f>
        <v/>
      </c>
      <c r="H1391" s="44" t="str">
        <f t="array" ref="H1391">IF(B1391="","",_xlfn.XLOOKUP(B1391,'Form responses 1'!$B$2:$B$2604,'Form responses 1'!$F$2:$F$2604,""))</f>
        <v/>
      </c>
      <c r="I1391" s="44" t="str">
        <f t="array" ref="I1391">IF(B1391="","",_xlfn.XLOOKUP(B1391,'Form responses 1'!$B$2:$B$2604,'Form responses 1'!$I$2:$I$2604,""))</f>
        <v/>
      </c>
      <c r="J1391" s="44" t="str">
        <f t="array" ref="J1391">IF(B1391="","",_xlfn.XLOOKUP(B1391,'Form responses 1'!$B$2:$B$2604,'Form responses 1'!$G$2:$G$2604,""))</f>
        <v/>
      </c>
      <c r="K1391" s="56"/>
      <c r="L1391" s="58" t="str">
        <f t="shared" si="7"/>
        <v/>
      </c>
      <c r="M1391" s="49"/>
      <c r="N1391" s="49"/>
      <c r="O1391" s="49"/>
      <c r="P1391" s="49"/>
      <c r="Q1391" s="49"/>
      <c r="R1391" s="49"/>
      <c r="S1391" s="49"/>
      <c r="T1391" s="49"/>
      <c r="U1391" s="49"/>
      <c r="V1391" s="49"/>
      <c r="W1391" s="56"/>
      <c r="X1391" s="51" t="str">
        <f t="shared" si="5"/>
        <v/>
      </c>
      <c r="Y1391" s="50" t="s">
        <v>482</v>
      </c>
      <c r="Z1391" s="49">
        <f t="shared" si="6"/>
        <v>0</v>
      </c>
    </row>
    <row r="1392" ht="22.5" customHeight="1">
      <c r="B1392" s="57"/>
      <c r="C1392" s="43" t="str">
        <f t="array" ref="C1392">IF(B1392="","",_xlfn.XLOOKUP(B1392,'Form responses 1'!$B$2:$B$2604,'Form responses 1'!$A$2:$A$2604,""))</f>
        <v/>
      </c>
      <c r="D1392" s="44" t="str">
        <f t="shared" si="3"/>
        <v/>
      </c>
      <c r="E1392" s="44" t="str">
        <f t="array" ref="E1392">IF(B1392="","",_xlfn.XLOOKUP(B1392,'Form responses 1'!$B$2:$B$2604,'Form responses 1'!$C$2:$C$2604,""))</f>
        <v/>
      </c>
      <c r="F1392" s="44" t="str">
        <f t="array" ref="F1392">IF(B1392="","",_xlfn.XLOOKUP(B1392,'Form responses 1'!$B$2:$B$2604,'Form responses 1'!$D$2:$D$2604,""))</f>
        <v/>
      </c>
      <c r="G1392" s="44" t="str">
        <f t="array" ref="G1392">IF(B1392="","",_xlfn.XLOOKUP(B1392,'Form responses 1'!$B$2:$B$2604,'Form responses 1'!$E$2:$E$2604,""))</f>
        <v/>
      </c>
      <c r="H1392" s="44" t="str">
        <f t="array" ref="H1392">IF(B1392="","",_xlfn.XLOOKUP(B1392,'Form responses 1'!$B$2:$B$2604,'Form responses 1'!$F$2:$F$2604,""))</f>
        <v/>
      </c>
      <c r="I1392" s="44" t="str">
        <f t="array" ref="I1392">IF(B1392="","",_xlfn.XLOOKUP(B1392,'Form responses 1'!$B$2:$B$2604,'Form responses 1'!$I$2:$I$2604,""))</f>
        <v/>
      </c>
      <c r="J1392" s="44" t="str">
        <f t="array" ref="J1392">IF(B1392="","",_xlfn.XLOOKUP(B1392,'Form responses 1'!$B$2:$B$2604,'Form responses 1'!$G$2:$G$2604,""))</f>
        <v/>
      </c>
      <c r="K1392" s="56"/>
      <c r="L1392" s="58" t="str">
        <f t="shared" si="7"/>
        <v/>
      </c>
      <c r="M1392" s="49"/>
      <c r="N1392" s="49"/>
      <c r="O1392" s="49"/>
      <c r="P1392" s="49"/>
      <c r="Q1392" s="49"/>
      <c r="R1392" s="49"/>
      <c r="S1392" s="49"/>
      <c r="T1392" s="49"/>
      <c r="U1392" s="49"/>
      <c r="V1392" s="49"/>
      <c r="W1392" s="56"/>
      <c r="X1392" s="51" t="str">
        <f t="shared" si="5"/>
        <v/>
      </c>
      <c r="Y1392" s="50" t="s">
        <v>482</v>
      </c>
      <c r="Z1392" s="49">
        <f t="shared" si="6"/>
        <v>0</v>
      </c>
    </row>
    <row r="1393" ht="22.5" customHeight="1">
      <c r="B1393" s="57"/>
      <c r="C1393" s="43" t="str">
        <f t="array" ref="C1393">IF(B1393="","",_xlfn.XLOOKUP(B1393,'Form responses 1'!$B$2:$B$2604,'Form responses 1'!$A$2:$A$2604,""))</f>
        <v/>
      </c>
      <c r="D1393" s="44" t="str">
        <f t="shared" si="3"/>
        <v/>
      </c>
      <c r="E1393" s="44" t="str">
        <f t="array" ref="E1393">IF(B1393="","",_xlfn.XLOOKUP(B1393,'Form responses 1'!$B$2:$B$2604,'Form responses 1'!$C$2:$C$2604,""))</f>
        <v/>
      </c>
      <c r="F1393" s="44" t="str">
        <f t="array" ref="F1393">IF(B1393="","",_xlfn.XLOOKUP(B1393,'Form responses 1'!$B$2:$B$2604,'Form responses 1'!$D$2:$D$2604,""))</f>
        <v/>
      </c>
      <c r="G1393" s="44" t="str">
        <f t="array" ref="G1393">IF(B1393="","",_xlfn.XLOOKUP(B1393,'Form responses 1'!$B$2:$B$2604,'Form responses 1'!$E$2:$E$2604,""))</f>
        <v/>
      </c>
      <c r="H1393" s="44" t="str">
        <f t="array" ref="H1393">IF(B1393="","",_xlfn.XLOOKUP(B1393,'Form responses 1'!$B$2:$B$2604,'Form responses 1'!$F$2:$F$2604,""))</f>
        <v/>
      </c>
      <c r="I1393" s="44" t="str">
        <f t="array" ref="I1393">IF(B1393="","",_xlfn.XLOOKUP(B1393,'Form responses 1'!$B$2:$B$2604,'Form responses 1'!$I$2:$I$2604,""))</f>
        <v/>
      </c>
      <c r="J1393" s="44" t="str">
        <f t="array" ref="J1393">IF(B1393="","",_xlfn.XLOOKUP(B1393,'Form responses 1'!$B$2:$B$2604,'Form responses 1'!$G$2:$G$2604,""))</f>
        <v/>
      </c>
      <c r="K1393" s="56"/>
      <c r="L1393" s="58" t="str">
        <f t="shared" si="7"/>
        <v/>
      </c>
      <c r="M1393" s="49"/>
      <c r="N1393" s="49"/>
      <c r="O1393" s="49"/>
      <c r="P1393" s="49"/>
      <c r="Q1393" s="49"/>
      <c r="R1393" s="49"/>
      <c r="S1393" s="49"/>
      <c r="T1393" s="49"/>
      <c r="U1393" s="49"/>
      <c r="V1393" s="49"/>
      <c r="W1393" s="56"/>
      <c r="X1393" s="51" t="str">
        <f t="shared" si="5"/>
        <v/>
      </c>
      <c r="Y1393" s="50" t="s">
        <v>482</v>
      </c>
      <c r="Z1393" s="49">
        <f t="shared" si="6"/>
        <v>0</v>
      </c>
    </row>
    <row r="1394" ht="22.5" customHeight="1">
      <c r="B1394" s="57"/>
      <c r="C1394" s="43" t="str">
        <f t="array" ref="C1394">IF(B1394="","",_xlfn.XLOOKUP(B1394,'Form responses 1'!$B$2:$B$2604,'Form responses 1'!$A$2:$A$2604,""))</f>
        <v/>
      </c>
      <c r="D1394" s="44" t="str">
        <f t="shared" si="3"/>
        <v/>
      </c>
      <c r="E1394" s="44" t="str">
        <f t="array" ref="E1394">IF(B1394="","",_xlfn.XLOOKUP(B1394,'Form responses 1'!$B$2:$B$2604,'Form responses 1'!$C$2:$C$2604,""))</f>
        <v/>
      </c>
      <c r="F1394" s="44" t="str">
        <f t="array" ref="F1394">IF(B1394="","",_xlfn.XLOOKUP(B1394,'Form responses 1'!$B$2:$B$2604,'Form responses 1'!$D$2:$D$2604,""))</f>
        <v/>
      </c>
      <c r="G1394" s="44" t="str">
        <f t="array" ref="G1394">IF(B1394="","",_xlfn.XLOOKUP(B1394,'Form responses 1'!$B$2:$B$2604,'Form responses 1'!$E$2:$E$2604,""))</f>
        <v/>
      </c>
      <c r="H1394" s="44" t="str">
        <f t="array" ref="H1394">IF(B1394="","",_xlfn.XLOOKUP(B1394,'Form responses 1'!$B$2:$B$2604,'Form responses 1'!$F$2:$F$2604,""))</f>
        <v/>
      </c>
      <c r="I1394" s="44" t="str">
        <f t="array" ref="I1394">IF(B1394="","",_xlfn.XLOOKUP(B1394,'Form responses 1'!$B$2:$B$2604,'Form responses 1'!$I$2:$I$2604,""))</f>
        <v/>
      </c>
      <c r="J1394" s="44" t="str">
        <f t="array" ref="J1394">IF(B1394="","",_xlfn.XLOOKUP(B1394,'Form responses 1'!$B$2:$B$2604,'Form responses 1'!$G$2:$G$2604,""))</f>
        <v/>
      </c>
      <c r="K1394" s="56"/>
      <c r="L1394" s="58" t="str">
        <f t="shared" si="7"/>
        <v/>
      </c>
      <c r="M1394" s="49"/>
      <c r="N1394" s="49"/>
      <c r="O1394" s="49"/>
      <c r="P1394" s="49"/>
      <c r="Q1394" s="49"/>
      <c r="R1394" s="49"/>
      <c r="S1394" s="49"/>
      <c r="T1394" s="49"/>
      <c r="U1394" s="49"/>
      <c r="V1394" s="49"/>
      <c r="W1394" s="56"/>
      <c r="X1394" s="51" t="str">
        <f t="shared" si="5"/>
        <v/>
      </c>
      <c r="Y1394" s="50" t="s">
        <v>482</v>
      </c>
      <c r="Z1394" s="49">
        <f t="shared" si="6"/>
        <v>0</v>
      </c>
    </row>
    <row r="1395" ht="22.5" customHeight="1">
      <c r="B1395" s="57"/>
      <c r="C1395" s="43" t="str">
        <f t="array" ref="C1395">IF(B1395="","",_xlfn.XLOOKUP(B1395,'Form responses 1'!$B$2:$B$2604,'Form responses 1'!$A$2:$A$2604,""))</f>
        <v/>
      </c>
      <c r="D1395" s="44" t="str">
        <f t="shared" si="3"/>
        <v/>
      </c>
      <c r="E1395" s="44" t="str">
        <f t="array" ref="E1395">IF(B1395="","",_xlfn.XLOOKUP(B1395,'Form responses 1'!$B$2:$B$2604,'Form responses 1'!$C$2:$C$2604,""))</f>
        <v/>
      </c>
      <c r="F1395" s="44" t="str">
        <f t="array" ref="F1395">IF(B1395="","",_xlfn.XLOOKUP(B1395,'Form responses 1'!$B$2:$B$2604,'Form responses 1'!$D$2:$D$2604,""))</f>
        <v/>
      </c>
      <c r="G1395" s="44" t="str">
        <f t="array" ref="G1395">IF(B1395="","",_xlfn.XLOOKUP(B1395,'Form responses 1'!$B$2:$B$2604,'Form responses 1'!$E$2:$E$2604,""))</f>
        <v/>
      </c>
      <c r="H1395" s="44" t="str">
        <f t="array" ref="H1395">IF(B1395="","",_xlfn.XLOOKUP(B1395,'Form responses 1'!$B$2:$B$2604,'Form responses 1'!$F$2:$F$2604,""))</f>
        <v/>
      </c>
      <c r="I1395" s="44" t="str">
        <f t="array" ref="I1395">IF(B1395="","",_xlfn.XLOOKUP(B1395,'Form responses 1'!$B$2:$B$2604,'Form responses 1'!$I$2:$I$2604,""))</f>
        <v/>
      </c>
      <c r="J1395" s="44" t="str">
        <f t="array" ref="J1395">IF(B1395="","",_xlfn.XLOOKUP(B1395,'Form responses 1'!$B$2:$B$2604,'Form responses 1'!$G$2:$G$2604,""))</f>
        <v/>
      </c>
      <c r="K1395" s="56"/>
      <c r="L1395" s="58" t="str">
        <f t="shared" si="7"/>
        <v/>
      </c>
      <c r="M1395" s="49"/>
      <c r="N1395" s="49"/>
      <c r="O1395" s="49"/>
      <c r="P1395" s="49"/>
      <c r="Q1395" s="49"/>
      <c r="R1395" s="49"/>
      <c r="S1395" s="49"/>
      <c r="T1395" s="49"/>
      <c r="U1395" s="49"/>
      <c r="V1395" s="49"/>
      <c r="W1395" s="56"/>
      <c r="X1395" s="51" t="str">
        <f t="shared" si="5"/>
        <v/>
      </c>
      <c r="Y1395" s="50" t="s">
        <v>482</v>
      </c>
      <c r="Z1395" s="49">
        <f t="shared" si="6"/>
        <v>0</v>
      </c>
    </row>
    <row r="1396" ht="22.5" customHeight="1">
      <c r="B1396" s="57"/>
      <c r="C1396" s="43" t="str">
        <f t="array" ref="C1396">IF(B1396="","",_xlfn.XLOOKUP(B1396,'Form responses 1'!$B$2:$B$2604,'Form responses 1'!$A$2:$A$2604,""))</f>
        <v/>
      </c>
      <c r="D1396" s="44" t="str">
        <f t="shared" si="3"/>
        <v/>
      </c>
      <c r="E1396" s="44" t="str">
        <f t="array" ref="E1396">IF(B1396="","",_xlfn.XLOOKUP(B1396,'Form responses 1'!$B$2:$B$2604,'Form responses 1'!$C$2:$C$2604,""))</f>
        <v/>
      </c>
      <c r="F1396" s="44" t="str">
        <f t="array" ref="F1396">IF(B1396="","",_xlfn.XLOOKUP(B1396,'Form responses 1'!$B$2:$B$2604,'Form responses 1'!$D$2:$D$2604,""))</f>
        <v/>
      </c>
      <c r="G1396" s="44" t="str">
        <f t="array" ref="G1396">IF(B1396="","",_xlfn.XLOOKUP(B1396,'Form responses 1'!$B$2:$B$2604,'Form responses 1'!$E$2:$E$2604,""))</f>
        <v/>
      </c>
      <c r="H1396" s="44" t="str">
        <f t="array" ref="H1396">IF(B1396="","",_xlfn.XLOOKUP(B1396,'Form responses 1'!$B$2:$B$2604,'Form responses 1'!$F$2:$F$2604,""))</f>
        <v/>
      </c>
      <c r="I1396" s="44" t="str">
        <f t="array" ref="I1396">IF(B1396="","",_xlfn.XLOOKUP(B1396,'Form responses 1'!$B$2:$B$2604,'Form responses 1'!$I$2:$I$2604,""))</f>
        <v/>
      </c>
      <c r="J1396" s="44" t="str">
        <f t="array" ref="J1396">IF(B1396="","",_xlfn.XLOOKUP(B1396,'Form responses 1'!$B$2:$B$2604,'Form responses 1'!$G$2:$G$2604,""))</f>
        <v/>
      </c>
      <c r="K1396" s="56"/>
      <c r="L1396" s="58" t="str">
        <f t="shared" si="7"/>
        <v/>
      </c>
      <c r="M1396" s="49"/>
      <c r="N1396" s="49"/>
      <c r="O1396" s="49"/>
      <c r="P1396" s="49"/>
      <c r="Q1396" s="49"/>
      <c r="R1396" s="49"/>
      <c r="S1396" s="49"/>
      <c r="T1396" s="49"/>
      <c r="U1396" s="49"/>
      <c r="V1396" s="49"/>
      <c r="W1396" s="56"/>
      <c r="X1396" s="51" t="str">
        <f t="shared" si="5"/>
        <v/>
      </c>
      <c r="Y1396" s="50" t="s">
        <v>482</v>
      </c>
      <c r="Z1396" s="49">
        <f t="shared" si="6"/>
        <v>0</v>
      </c>
    </row>
    <row r="1397" ht="22.5" customHeight="1">
      <c r="B1397" s="57"/>
      <c r="C1397" s="43" t="str">
        <f t="array" ref="C1397">IF(B1397="","",_xlfn.XLOOKUP(B1397,'Form responses 1'!$B$2:$B$2604,'Form responses 1'!$A$2:$A$2604,""))</f>
        <v/>
      </c>
      <c r="D1397" s="44" t="str">
        <f t="shared" si="3"/>
        <v/>
      </c>
      <c r="E1397" s="44" t="str">
        <f t="array" ref="E1397">IF(B1397="","",_xlfn.XLOOKUP(B1397,'Form responses 1'!$B$2:$B$2604,'Form responses 1'!$C$2:$C$2604,""))</f>
        <v/>
      </c>
      <c r="F1397" s="44" t="str">
        <f t="array" ref="F1397">IF(B1397="","",_xlfn.XLOOKUP(B1397,'Form responses 1'!$B$2:$B$2604,'Form responses 1'!$D$2:$D$2604,""))</f>
        <v/>
      </c>
      <c r="G1397" s="44" t="str">
        <f t="array" ref="G1397">IF(B1397="","",_xlfn.XLOOKUP(B1397,'Form responses 1'!$B$2:$B$2604,'Form responses 1'!$E$2:$E$2604,""))</f>
        <v/>
      </c>
      <c r="H1397" s="44" t="str">
        <f t="array" ref="H1397">IF(B1397="","",_xlfn.XLOOKUP(B1397,'Form responses 1'!$B$2:$B$2604,'Form responses 1'!$F$2:$F$2604,""))</f>
        <v/>
      </c>
      <c r="I1397" s="44" t="str">
        <f t="array" ref="I1397">IF(B1397="","",_xlfn.XLOOKUP(B1397,'Form responses 1'!$B$2:$B$2604,'Form responses 1'!$I$2:$I$2604,""))</f>
        <v/>
      </c>
      <c r="J1397" s="44" t="str">
        <f t="array" ref="J1397">IF(B1397="","",_xlfn.XLOOKUP(B1397,'Form responses 1'!$B$2:$B$2604,'Form responses 1'!$G$2:$G$2604,""))</f>
        <v/>
      </c>
      <c r="K1397" s="56"/>
      <c r="L1397" s="58" t="str">
        <f t="shared" si="7"/>
        <v/>
      </c>
      <c r="M1397" s="49"/>
      <c r="N1397" s="49"/>
      <c r="O1397" s="49"/>
      <c r="P1397" s="49"/>
      <c r="Q1397" s="49"/>
      <c r="R1397" s="49"/>
      <c r="S1397" s="49"/>
      <c r="T1397" s="49"/>
      <c r="U1397" s="49"/>
      <c r="V1397" s="49"/>
      <c r="W1397" s="56"/>
      <c r="X1397" s="51" t="str">
        <f t="shared" si="5"/>
        <v/>
      </c>
      <c r="Y1397" s="50" t="s">
        <v>482</v>
      </c>
      <c r="Z1397" s="49">
        <f t="shared" si="6"/>
        <v>0</v>
      </c>
    </row>
    <row r="1398" ht="22.5" customHeight="1">
      <c r="B1398" s="57"/>
      <c r="C1398" s="43" t="str">
        <f t="array" ref="C1398">IF(B1398="","",_xlfn.XLOOKUP(B1398,'Form responses 1'!$B$2:$B$2604,'Form responses 1'!$A$2:$A$2604,""))</f>
        <v/>
      </c>
      <c r="D1398" s="44" t="str">
        <f t="shared" si="3"/>
        <v/>
      </c>
      <c r="E1398" s="44" t="str">
        <f t="array" ref="E1398">IF(B1398="","",_xlfn.XLOOKUP(B1398,'Form responses 1'!$B$2:$B$2604,'Form responses 1'!$C$2:$C$2604,""))</f>
        <v/>
      </c>
      <c r="F1398" s="44" t="str">
        <f t="array" ref="F1398">IF(B1398="","",_xlfn.XLOOKUP(B1398,'Form responses 1'!$B$2:$B$2604,'Form responses 1'!$D$2:$D$2604,""))</f>
        <v/>
      </c>
      <c r="G1398" s="44" t="str">
        <f t="array" ref="G1398">IF(B1398="","",_xlfn.XLOOKUP(B1398,'Form responses 1'!$B$2:$B$2604,'Form responses 1'!$E$2:$E$2604,""))</f>
        <v/>
      </c>
      <c r="H1398" s="44" t="str">
        <f t="array" ref="H1398">IF(B1398="","",_xlfn.XLOOKUP(B1398,'Form responses 1'!$B$2:$B$2604,'Form responses 1'!$F$2:$F$2604,""))</f>
        <v/>
      </c>
      <c r="I1398" s="44" t="str">
        <f t="array" ref="I1398">IF(B1398="","",_xlfn.XLOOKUP(B1398,'Form responses 1'!$B$2:$B$2604,'Form responses 1'!$I$2:$I$2604,""))</f>
        <v/>
      </c>
      <c r="J1398" s="44" t="str">
        <f t="array" ref="J1398">IF(B1398="","",_xlfn.XLOOKUP(B1398,'Form responses 1'!$B$2:$B$2604,'Form responses 1'!$G$2:$G$2604,""))</f>
        <v/>
      </c>
      <c r="K1398" s="56"/>
      <c r="L1398" s="58" t="str">
        <f t="shared" si="7"/>
        <v/>
      </c>
      <c r="M1398" s="49"/>
      <c r="N1398" s="49"/>
      <c r="O1398" s="49"/>
      <c r="P1398" s="49"/>
      <c r="Q1398" s="49"/>
      <c r="R1398" s="49"/>
      <c r="S1398" s="49"/>
      <c r="T1398" s="49"/>
      <c r="U1398" s="49"/>
      <c r="V1398" s="49"/>
      <c r="W1398" s="56"/>
      <c r="X1398" s="51" t="str">
        <f t="shared" si="5"/>
        <v/>
      </c>
      <c r="Y1398" s="50" t="s">
        <v>482</v>
      </c>
      <c r="Z1398" s="49">
        <f t="shared" si="6"/>
        <v>0</v>
      </c>
    </row>
    <row r="1399" ht="22.5" customHeight="1">
      <c r="B1399" s="57"/>
      <c r="C1399" s="43" t="str">
        <f t="array" ref="C1399">IF(B1399="","",_xlfn.XLOOKUP(B1399,'Form responses 1'!$B$2:$B$2604,'Form responses 1'!$A$2:$A$2604,""))</f>
        <v/>
      </c>
      <c r="D1399" s="44" t="str">
        <f t="shared" si="3"/>
        <v/>
      </c>
      <c r="E1399" s="44" t="str">
        <f t="array" ref="E1399">IF(B1399="","",_xlfn.XLOOKUP(B1399,'Form responses 1'!$B$2:$B$2604,'Form responses 1'!$C$2:$C$2604,""))</f>
        <v/>
      </c>
      <c r="F1399" s="44" t="str">
        <f t="array" ref="F1399">IF(B1399="","",_xlfn.XLOOKUP(B1399,'Form responses 1'!$B$2:$B$2604,'Form responses 1'!$D$2:$D$2604,""))</f>
        <v/>
      </c>
      <c r="G1399" s="44" t="str">
        <f t="array" ref="G1399">IF(B1399="","",_xlfn.XLOOKUP(B1399,'Form responses 1'!$B$2:$B$2604,'Form responses 1'!$E$2:$E$2604,""))</f>
        <v/>
      </c>
      <c r="H1399" s="44" t="str">
        <f t="array" ref="H1399">IF(B1399="","",_xlfn.XLOOKUP(B1399,'Form responses 1'!$B$2:$B$2604,'Form responses 1'!$F$2:$F$2604,""))</f>
        <v/>
      </c>
      <c r="I1399" s="44" t="str">
        <f t="array" ref="I1399">IF(B1399="","",_xlfn.XLOOKUP(B1399,'Form responses 1'!$B$2:$B$2604,'Form responses 1'!$I$2:$I$2604,""))</f>
        <v/>
      </c>
      <c r="J1399" s="44" t="str">
        <f t="array" ref="J1399">IF(B1399="","",_xlfn.XLOOKUP(B1399,'Form responses 1'!$B$2:$B$2604,'Form responses 1'!$G$2:$G$2604,""))</f>
        <v/>
      </c>
      <c r="K1399" s="56"/>
      <c r="L1399" s="58" t="str">
        <f t="shared" si="7"/>
        <v/>
      </c>
      <c r="M1399" s="49"/>
      <c r="N1399" s="49"/>
      <c r="O1399" s="49"/>
      <c r="P1399" s="49"/>
      <c r="Q1399" s="49"/>
      <c r="R1399" s="49"/>
      <c r="S1399" s="49"/>
      <c r="T1399" s="49"/>
      <c r="U1399" s="49"/>
      <c r="V1399" s="49"/>
      <c r="W1399" s="56"/>
      <c r="X1399" s="51" t="str">
        <f t="shared" si="5"/>
        <v/>
      </c>
      <c r="Y1399" s="50" t="s">
        <v>482</v>
      </c>
      <c r="Z1399" s="49">
        <f t="shared" si="6"/>
        <v>0</v>
      </c>
    </row>
    <row r="1400" ht="22.5" customHeight="1">
      <c r="B1400" s="57"/>
      <c r="C1400" s="43" t="str">
        <f t="array" ref="C1400">IF(B1400="","",_xlfn.XLOOKUP(B1400,'Form responses 1'!$B$2:$B$2604,'Form responses 1'!$A$2:$A$2604,""))</f>
        <v/>
      </c>
      <c r="D1400" s="44" t="str">
        <f t="shared" si="3"/>
        <v/>
      </c>
      <c r="E1400" s="44" t="str">
        <f t="array" ref="E1400">IF(B1400="","",_xlfn.XLOOKUP(B1400,'Form responses 1'!$B$2:$B$2604,'Form responses 1'!$C$2:$C$2604,""))</f>
        <v/>
      </c>
      <c r="F1400" s="44" t="str">
        <f t="array" ref="F1400">IF(B1400="","",_xlfn.XLOOKUP(B1400,'Form responses 1'!$B$2:$B$2604,'Form responses 1'!$D$2:$D$2604,""))</f>
        <v/>
      </c>
      <c r="G1400" s="44" t="str">
        <f t="array" ref="G1400">IF(B1400="","",_xlfn.XLOOKUP(B1400,'Form responses 1'!$B$2:$B$2604,'Form responses 1'!$E$2:$E$2604,""))</f>
        <v/>
      </c>
      <c r="H1400" s="44" t="str">
        <f t="array" ref="H1400">IF(B1400="","",_xlfn.XLOOKUP(B1400,'Form responses 1'!$B$2:$B$2604,'Form responses 1'!$F$2:$F$2604,""))</f>
        <v/>
      </c>
      <c r="I1400" s="44" t="str">
        <f t="array" ref="I1400">IF(B1400="","",_xlfn.XLOOKUP(B1400,'Form responses 1'!$B$2:$B$2604,'Form responses 1'!$I$2:$I$2604,""))</f>
        <v/>
      </c>
      <c r="J1400" s="44" t="str">
        <f t="array" ref="J1400">IF(B1400="","",_xlfn.XLOOKUP(B1400,'Form responses 1'!$B$2:$B$2604,'Form responses 1'!$G$2:$G$2604,""))</f>
        <v/>
      </c>
      <c r="K1400" s="56"/>
      <c r="L1400" s="58" t="str">
        <f t="shared" si="7"/>
        <v/>
      </c>
      <c r="M1400" s="49"/>
      <c r="N1400" s="49"/>
      <c r="O1400" s="49"/>
      <c r="P1400" s="49"/>
      <c r="Q1400" s="49"/>
      <c r="R1400" s="49"/>
      <c r="S1400" s="49"/>
      <c r="T1400" s="49"/>
      <c r="U1400" s="49"/>
      <c r="V1400" s="49"/>
      <c r="W1400" s="56"/>
      <c r="X1400" s="51" t="str">
        <f t="shared" si="5"/>
        <v/>
      </c>
      <c r="Y1400" s="50" t="s">
        <v>482</v>
      </c>
      <c r="Z1400" s="49">
        <f t="shared" si="6"/>
        <v>0</v>
      </c>
    </row>
    <row r="1401" ht="22.5" customHeight="1">
      <c r="B1401" s="57"/>
      <c r="C1401" s="43" t="str">
        <f t="array" ref="C1401">IF(B1401="","",_xlfn.XLOOKUP(B1401,'Form responses 1'!$B$2:$B$2604,'Form responses 1'!$A$2:$A$2604,""))</f>
        <v/>
      </c>
      <c r="D1401" s="44" t="str">
        <f t="shared" si="3"/>
        <v/>
      </c>
      <c r="E1401" s="44" t="str">
        <f t="array" ref="E1401">IF(B1401="","",_xlfn.XLOOKUP(B1401,'Form responses 1'!$B$2:$B$2604,'Form responses 1'!$C$2:$C$2604,""))</f>
        <v/>
      </c>
      <c r="F1401" s="44" t="str">
        <f t="array" ref="F1401">IF(B1401="","",_xlfn.XLOOKUP(B1401,'Form responses 1'!$B$2:$B$2604,'Form responses 1'!$D$2:$D$2604,""))</f>
        <v/>
      </c>
      <c r="G1401" s="44" t="str">
        <f t="array" ref="G1401">IF(B1401="","",_xlfn.XLOOKUP(B1401,'Form responses 1'!$B$2:$B$2604,'Form responses 1'!$E$2:$E$2604,""))</f>
        <v/>
      </c>
      <c r="H1401" s="44" t="str">
        <f t="array" ref="H1401">IF(B1401="","",_xlfn.XLOOKUP(B1401,'Form responses 1'!$B$2:$B$2604,'Form responses 1'!$F$2:$F$2604,""))</f>
        <v/>
      </c>
      <c r="I1401" s="44" t="str">
        <f t="array" ref="I1401">IF(B1401="","",_xlfn.XLOOKUP(B1401,'Form responses 1'!$B$2:$B$2604,'Form responses 1'!$I$2:$I$2604,""))</f>
        <v/>
      </c>
      <c r="J1401" s="44" t="str">
        <f t="array" ref="J1401">IF(B1401="","",_xlfn.XLOOKUP(B1401,'Form responses 1'!$B$2:$B$2604,'Form responses 1'!$G$2:$G$2604,""))</f>
        <v/>
      </c>
      <c r="K1401" s="56"/>
      <c r="L1401" s="58" t="str">
        <f t="shared" si="7"/>
        <v/>
      </c>
      <c r="M1401" s="49"/>
      <c r="N1401" s="49"/>
      <c r="O1401" s="49"/>
      <c r="P1401" s="49"/>
      <c r="Q1401" s="49"/>
      <c r="R1401" s="49"/>
      <c r="S1401" s="49"/>
      <c r="T1401" s="49"/>
      <c r="U1401" s="49"/>
      <c r="V1401" s="49"/>
      <c r="W1401" s="56"/>
      <c r="X1401" s="51" t="str">
        <f t="shared" si="5"/>
        <v/>
      </c>
      <c r="Y1401" s="50" t="s">
        <v>482</v>
      </c>
      <c r="Z1401" s="49">
        <f t="shared" si="6"/>
        <v>0</v>
      </c>
    </row>
    <row r="1402" ht="22.5" customHeight="1">
      <c r="B1402" s="57"/>
      <c r="C1402" s="43" t="str">
        <f t="array" ref="C1402">IF(B1402="","",_xlfn.XLOOKUP(B1402,'Form responses 1'!$B$2:$B$2604,'Form responses 1'!$A$2:$A$2604,""))</f>
        <v/>
      </c>
      <c r="D1402" s="44" t="str">
        <f t="shared" si="3"/>
        <v/>
      </c>
      <c r="E1402" s="44" t="str">
        <f t="array" ref="E1402">IF(B1402="","",_xlfn.XLOOKUP(B1402,'Form responses 1'!$B$2:$B$2604,'Form responses 1'!$C$2:$C$2604,""))</f>
        <v/>
      </c>
      <c r="F1402" s="44" t="str">
        <f t="array" ref="F1402">IF(B1402="","",_xlfn.XLOOKUP(B1402,'Form responses 1'!$B$2:$B$2604,'Form responses 1'!$D$2:$D$2604,""))</f>
        <v/>
      </c>
      <c r="G1402" s="44" t="str">
        <f t="array" ref="G1402">IF(B1402="","",_xlfn.XLOOKUP(B1402,'Form responses 1'!$B$2:$B$2604,'Form responses 1'!$E$2:$E$2604,""))</f>
        <v/>
      </c>
      <c r="H1402" s="44" t="str">
        <f t="array" ref="H1402">IF(B1402="","",_xlfn.XLOOKUP(B1402,'Form responses 1'!$B$2:$B$2604,'Form responses 1'!$F$2:$F$2604,""))</f>
        <v/>
      </c>
      <c r="I1402" s="44" t="str">
        <f t="array" ref="I1402">IF(B1402="","",_xlfn.XLOOKUP(B1402,'Form responses 1'!$B$2:$B$2604,'Form responses 1'!$I$2:$I$2604,""))</f>
        <v/>
      </c>
      <c r="J1402" s="44" t="str">
        <f t="array" ref="J1402">IF(B1402="","",_xlfn.XLOOKUP(B1402,'Form responses 1'!$B$2:$B$2604,'Form responses 1'!$G$2:$G$2604,""))</f>
        <v/>
      </c>
      <c r="K1402" s="56"/>
      <c r="L1402" s="58" t="str">
        <f t="shared" si="7"/>
        <v/>
      </c>
      <c r="M1402" s="49"/>
      <c r="N1402" s="49"/>
      <c r="O1402" s="49"/>
      <c r="P1402" s="49"/>
      <c r="Q1402" s="49"/>
      <c r="R1402" s="49"/>
      <c r="S1402" s="49"/>
      <c r="T1402" s="49"/>
      <c r="U1402" s="49"/>
      <c r="V1402" s="49"/>
      <c r="W1402" s="56"/>
      <c r="X1402" s="51" t="str">
        <f t="shared" si="5"/>
        <v/>
      </c>
      <c r="Y1402" s="50" t="s">
        <v>482</v>
      </c>
      <c r="Z1402" s="49">
        <f t="shared" si="6"/>
        <v>0</v>
      </c>
    </row>
    <row r="1403" ht="22.5" customHeight="1">
      <c r="B1403" s="57"/>
      <c r="C1403" s="43" t="str">
        <f t="array" ref="C1403">IF(B1403="","",_xlfn.XLOOKUP(B1403,'Form responses 1'!$B$2:$B$2604,'Form responses 1'!$A$2:$A$2604,""))</f>
        <v/>
      </c>
      <c r="D1403" s="44" t="str">
        <f t="shared" si="3"/>
        <v/>
      </c>
      <c r="E1403" s="44" t="str">
        <f t="array" ref="E1403">IF(B1403="","",_xlfn.XLOOKUP(B1403,'Form responses 1'!$B$2:$B$2604,'Form responses 1'!$C$2:$C$2604,""))</f>
        <v/>
      </c>
      <c r="F1403" s="44" t="str">
        <f t="array" ref="F1403">IF(B1403="","",_xlfn.XLOOKUP(B1403,'Form responses 1'!$B$2:$B$2604,'Form responses 1'!$D$2:$D$2604,""))</f>
        <v/>
      </c>
      <c r="G1403" s="44" t="str">
        <f t="array" ref="G1403">IF(B1403="","",_xlfn.XLOOKUP(B1403,'Form responses 1'!$B$2:$B$2604,'Form responses 1'!$E$2:$E$2604,""))</f>
        <v/>
      </c>
      <c r="H1403" s="44" t="str">
        <f t="array" ref="H1403">IF(B1403="","",_xlfn.XLOOKUP(B1403,'Form responses 1'!$B$2:$B$2604,'Form responses 1'!$F$2:$F$2604,""))</f>
        <v/>
      </c>
      <c r="I1403" s="44" t="str">
        <f t="array" ref="I1403">IF(B1403="","",_xlfn.XLOOKUP(B1403,'Form responses 1'!$B$2:$B$2604,'Form responses 1'!$I$2:$I$2604,""))</f>
        <v/>
      </c>
      <c r="J1403" s="44" t="str">
        <f t="array" ref="J1403">IF(B1403="","",_xlfn.XLOOKUP(B1403,'Form responses 1'!$B$2:$B$2604,'Form responses 1'!$G$2:$G$2604,""))</f>
        <v/>
      </c>
      <c r="K1403" s="56"/>
      <c r="L1403" s="58" t="str">
        <f t="shared" si="7"/>
        <v/>
      </c>
      <c r="M1403" s="49"/>
      <c r="N1403" s="49"/>
      <c r="O1403" s="49"/>
      <c r="P1403" s="49"/>
      <c r="Q1403" s="49"/>
      <c r="R1403" s="49"/>
      <c r="S1403" s="49"/>
      <c r="T1403" s="49"/>
      <c r="U1403" s="49"/>
      <c r="V1403" s="49"/>
      <c r="W1403" s="56"/>
      <c r="X1403" s="51" t="str">
        <f t="shared" si="5"/>
        <v/>
      </c>
      <c r="Y1403" s="50" t="s">
        <v>482</v>
      </c>
      <c r="Z1403" s="49">
        <f t="shared" si="6"/>
        <v>0</v>
      </c>
    </row>
    <row r="1404" ht="22.5" customHeight="1">
      <c r="B1404" s="57"/>
      <c r="C1404" s="43" t="str">
        <f t="array" ref="C1404">IF(B1404="","",_xlfn.XLOOKUP(B1404,'Form responses 1'!$B$2:$B$2604,'Form responses 1'!$A$2:$A$2604,""))</f>
        <v/>
      </c>
      <c r="D1404" s="44" t="str">
        <f t="shared" si="3"/>
        <v/>
      </c>
      <c r="E1404" s="44" t="str">
        <f t="array" ref="E1404">IF(B1404="","",_xlfn.XLOOKUP(B1404,'Form responses 1'!$B$2:$B$2604,'Form responses 1'!$C$2:$C$2604,""))</f>
        <v/>
      </c>
      <c r="F1404" s="44" t="str">
        <f t="array" ref="F1404">IF(B1404="","",_xlfn.XLOOKUP(B1404,'Form responses 1'!$B$2:$B$2604,'Form responses 1'!$D$2:$D$2604,""))</f>
        <v/>
      </c>
      <c r="G1404" s="44" t="str">
        <f t="array" ref="G1404">IF(B1404="","",_xlfn.XLOOKUP(B1404,'Form responses 1'!$B$2:$B$2604,'Form responses 1'!$E$2:$E$2604,""))</f>
        <v/>
      </c>
      <c r="H1404" s="44" t="str">
        <f t="array" ref="H1404">IF(B1404="","",_xlfn.XLOOKUP(B1404,'Form responses 1'!$B$2:$B$2604,'Form responses 1'!$F$2:$F$2604,""))</f>
        <v/>
      </c>
      <c r="I1404" s="44" t="str">
        <f t="array" ref="I1404">IF(B1404="","",_xlfn.XLOOKUP(B1404,'Form responses 1'!$B$2:$B$2604,'Form responses 1'!$I$2:$I$2604,""))</f>
        <v/>
      </c>
      <c r="J1404" s="44" t="str">
        <f t="array" ref="J1404">IF(B1404="","",_xlfn.XLOOKUP(B1404,'Form responses 1'!$B$2:$B$2604,'Form responses 1'!$G$2:$G$2604,""))</f>
        <v/>
      </c>
      <c r="K1404" s="56"/>
      <c r="L1404" s="58" t="str">
        <f t="shared" si="7"/>
        <v/>
      </c>
      <c r="M1404" s="49"/>
      <c r="N1404" s="49"/>
      <c r="O1404" s="49"/>
      <c r="P1404" s="49"/>
      <c r="Q1404" s="49"/>
      <c r="R1404" s="49"/>
      <c r="S1404" s="49"/>
      <c r="T1404" s="49"/>
      <c r="U1404" s="49"/>
      <c r="V1404" s="49"/>
      <c r="W1404" s="56"/>
      <c r="X1404" s="51" t="str">
        <f t="shared" si="5"/>
        <v/>
      </c>
      <c r="Y1404" s="50" t="s">
        <v>482</v>
      </c>
      <c r="Z1404" s="49">
        <f t="shared" si="6"/>
        <v>0</v>
      </c>
    </row>
    <row r="1405" ht="22.5" customHeight="1">
      <c r="B1405" s="57"/>
      <c r="C1405" s="43" t="str">
        <f t="array" ref="C1405">IF(B1405="","",_xlfn.XLOOKUP(B1405,'Form responses 1'!$B$2:$B$2604,'Form responses 1'!$A$2:$A$2604,""))</f>
        <v/>
      </c>
      <c r="D1405" s="44" t="str">
        <f t="shared" si="3"/>
        <v/>
      </c>
      <c r="E1405" s="44" t="str">
        <f t="array" ref="E1405">IF(B1405="","",_xlfn.XLOOKUP(B1405,'Form responses 1'!$B$2:$B$2604,'Form responses 1'!$C$2:$C$2604,""))</f>
        <v/>
      </c>
      <c r="F1405" s="44" t="str">
        <f t="array" ref="F1405">IF(B1405="","",_xlfn.XLOOKUP(B1405,'Form responses 1'!$B$2:$B$2604,'Form responses 1'!$D$2:$D$2604,""))</f>
        <v/>
      </c>
      <c r="G1405" s="44" t="str">
        <f t="array" ref="G1405">IF(B1405="","",_xlfn.XLOOKUP(B1405,'Form responses 1'!$B$2:$B$2604,'Form responses 1'!$E$2:$E$2604,""))</f>
        <v/>
      </c>
      <c r="H1405" s="44" t="str">
        <f t="array" ref="H1405">IF(B1405="","",_xlfn.XLOOKUP(B1405,'Form responses 1'!$B$2:$B$2604,'Form responses 1'!$F$2:$F$2604,""))</f>
        <v/>
      </c>
      <c r="I1405" s="44" t="str">
        <f t="array" ref="I1405">IF(B1405="","",_xlfn.XLOOKUP(B1405,'Form responses 1'!$B$2:$B$2604,'Form responses 1'!$I$2:$I$2604,""))</f>
        <v/>
      </c>
      <c r="J1405" s="44" t="str">
        <f t="array" ref="J1405">IF(B1405="","",_xlfn.XLOOKUP(B1405,'Form responses 1'!$B$2:$B$2604,'Form responses 1'!$G$2:$G$2604,""))</f>
        <v/>
      </c>
      <c r="K1405" s="56"/>
      <c r="L1405" s="58" t="str">
        <f t="shared" si="7"/>
        <v/>
      </c>
      <c r="M1405" s="49"/>
      <c r="N1405" s="49"/>
      <c r="O1405" s="49"/>
      <c r="P1405" s="49"/>
      <c r="Q1405" s="49"/>
      <c r="R1405" s="49"/>
      <c r="S1405" s="49"/>
      <c r="T1405" s="49"/>
      <c r="U1405" s="49"/>
      <c r="V1405" s="49"/>
      <c r="W1405" s="56"/>
      <c r="X1405" s="51" t="str">
        <f t="shared" si="5"/>
        <v/>
      </c>
      <c r="Y1405" s="50" t="s">
        <v>482</v>
      </c>
      <c r="Z1405" s="49">
        <f t="shared" si="6"/>
        <v>0</v>
      </c>
    </row>
    <row r="1406" ht="22.5" customHeight="1">
      <c r="B1406" s="57"/>
      <c r="C1406" s="43" t="str">
        <f t="array" ref="C1406">IF(B1406="","",_xlfn.XLOOKUP(B1406,'Form responses 1'!$B$2:$B$2604,'Form responses 1'!$A$2:$A$2604,""))</f>
        <v/>
      </c>
      <c r="D1406" s="44" t="str">
        <f t="shared" si="3"/>
        <v/>
      </c>
      <c r="E1406" s="44" t="str">
        <f t="array" ref="E1406">IF(B1406="","",_xlfn.XLOOKUP(B1406,'Form responses 1'!$B$2:$B$2604,'Form responses 1'!$C$2:$C$2604,""))</f>
        <v/>
      </c>
      <c r="F1406" s="44" t="str">
        <f t="array" ref="F1406">IF(B1406="","",_xlfn.XLOOKUP(B1406,'Form responses 1'!$B$2:$B$2604,'Form responses 1'!$D$2:$D$2604,""))</f>
        <v/>
      </c>
      <c r="G1406" s="44" t="str">
        <f t="array" ref="G1406">IF(B1406="","",_xlfn.XLOOKUP(B1406,'Form responses 1'!$B$2:$B$2604,'Form responses 1'!$E$2:$E$2604,""))</f>
        <v/>
      </c>
      <c r="H1406" s="44" t="str">
        <f t="array" ref="H1406">IF(B1406="","",_xlfn.XLOOKUP(B1406,'Form responses 1'!$B$2:$B$2604,'Form responses 1'!$F$2:$F$2604,""))</f>
        <v/>
      </c>
      <c r="I1406" s="44" t="str">
        <f t="array" ref="I1406">IF(B1406="","",_xlfn.XLOOKUP(B1406,'Form responses 1'!$B$2:$B$2604,'Form responses 1'!$I$2:$I$2604,""))</f>
        <v/>
      </c>
      <c r="J1406" s="44" t="str">
        <f t="array" ref="J1406">IF(B1406="","",_xlfn.XLOOKUP(B1406,'Form responses 1'!$B$2:$B$2604,'Form responses 1'!$G$2:$G$2604,""))</f>
        <v/>
      </c>
      <c r="K1406" s="56"/>
      <c r="L1406" s="58" t="str">
        <f t="shared" si="7"/>
        <v/>
      </c>
      <c r="M1406" s="49"/>
      <c r="N1406" s="49"/>
      <c r="O1406" s="49"/>
      <c r="P1406" s="49"/>
      <c r="Q1406" s="49"/>
      <c r="R1406" s="49"/>
      <c r="S1406" s="49"/>
      <c r="T1406" s="49"/>
      <c r="U1406" s="49"/>
      <c r="V1406" s="49"/>
      <c r="W1406" s="56"/>
      <c r="X1406" s="51" t="str">
        <f t="shared" si="5"/>
        <v/>
      </c>
      <c r="Y1406" s="50" t="s">
        <v>482</v>
      </c>
      <c r="Z1406" s="49">
        <f t="shared" si="6"/>
        <v>0</v>
      </c>
    </row>
    <row r="1407" ht="22.5" customHeight="1">
      <c r="B1407" s="57"/>
      <c r="C1407" s="43" t="str">
        <f t="array" ref="C1407">IF(B1407="","",_xlfn.XLOOKUP(B1407,'Form responses 1'!$B$2:$B$2604,'Form responses 1'!$A$2:$A$2604,""))</f>
        <v/>
      </c>
      <c r="D1407" s="44" t="str">
        <f t="shared" si="3"/>
        <v/>
      </c>
      <c r="E1407" s="44" t="str">
        <f t="array" ref="E1407">IF(B1407="","",_xlfn.XLOOKUP(B1407,'Form responses 1'!$B$2:$B$2604,'Form responses 1'!$C$2:$C$2604,""))</f>
        <v/>
      </c>
      <c r="F1407" s="44" t="str">
        <f t="array" ref="F1407">IF(B1407="","",_xlfn.XLOOKUP(B1407,'Form responses 1'!$B$2:$B$2604,'Form responses 1'!$D$2:$D$2604,""))</f>
        <v/>
      </c>
      <c r="G1407" s="44" t="str">
        <f t="array" ref="G1407">IF(B1407="","",_xlfn.XLOOKUP(B1407,'Form responses 1'!$B$2:$B$2604,'Form responses 1'!$E$2:$E$2604,""))</f>
        <v/>
      </c>
      <c r="H1407" s="44" t="str">
        <f t="array" ref="H1407">IF(B1407="","",_xlfn.XLOOKUP(B1407,'Form responses 1'!$B$2:$B$2604,'Form responses 1'!$F$2:$F$2604,""))</f>
        <v/>
      </c>
      <c r="I1407" s="44" t="str">
        <f t="array" ref="I1407">IF(B1407="","",_xlfn.XLOOKUP(B1407,'Form responses 1'!$B$2:$B$2604,'Form responses 1'!$I$2:$I$2604,""))</f>
        <v/>
      </c>
      <c r="J1407" s="44" t="str">
        <f t="array" ref="J1407">IF(B1407="","",_xlfn.XLOOKUP(B1407,'Form responses 1'!$B$2:$B$2604,'Form responses 1'!$G$2:$G$2604,""))</f>
        <v/>
      </c>
      <c r="K1407" s="56"/>
      <c r="L1407" s="58" t="str">
        <f t="shared" si="7"/>
        <v/>
      </c>
      <c r="M1407" s="49"/>
      <c r="N1407" s="49"/>
      <c r="O1407" s="49"/>
      <c r="P1407" s="49"/>
      <c r="Q1407" s="49"/>
      <c r="R1407" s="49"/>
      <c r="S1407" s="49"/>
      <c r="T1407" s="49"/>
      <c r="U1407" s="49"/>
      <c r="V1407" s="49"/>
      <c r="W1407" s="56"/>
      <c r="X1407" s="51" t="str">
        <f t="shared" si="5"/>
        <v/>
      </c>
      <c r="Y1407" s="50" t="s">
        <v>482</v>
      </c>
      <c r="Z1407" s="49">
        <f t="shared" si="6"/>
        <v>0</v>
      </c>
    </row>
    <row r="1408" ht="22.5" customHeight="1">
      <c r="B1408" s="57"/>
      <c r="C1408" s="43" t="str">
        <f t="array" ref="C1408">IF(B1408="","",_xlfn.XLOOKUP(B1408,'Form responses 1'!$B$2:$B$2604,'Form responses 1'!$A$2:$A$2604,""))</f>
        <v/>
      </c>
      <c r="D1408" s="44" t="str">
        <f t="shared" si="3"/>
        <v/>
      </c>
      <c r="E1408" s="44" t="str">
        <f t="array" ref="E1408">IF(B1408="","",_xlfn.XLOOKUP(B1408,'Form responses 1'!$B$2:$B$2604,'Form responses 1'!$C$2:$C$2604,""))</f>
        <v/>
      </c>
      <c r="F1408" s="44" t="str">
        <f t="array" ref="F1408">IF(B1408="","",_xlfn.XLOOKUP(B1408,'Form responses 1'!$B$2:$B$2604,'Form responses 1'!$D$2:$D$2604,""))</f>
        <v/>
      </c>
      <c r="G1408" s="44" t="str">
        <f t="array" ref="G1408">IF(B1408="","",_xlfn.XLOOKUP(B1408,'Form responses 1'!$B$2:$B$2604,'Form responses 1'!$E$2:$E$2604,""))</f>
        <v/>
      </c>
      <c r="H1408" s="44" t="str">
        <f t="array" ref="H1408">IF(B1408="","",_xlfn.XLOOKUP(B1408,'Form responses 1'!$B$2:$B$2604,'Form responses 1'!$F$2:$F$2604,""))</f>
        <v/>
      </c>
      <c r="I1408" s="44" t="str">
        <f t="array" ref="I1408">IF(B1408="","",_xlfn.XLOOKUP(B1408,'Form responses 1'!$B$2:$B$2604,'Form responses 1'!$I$2:$I$2604,""))</f>
        <v/>
      </c>
      <c r="J1408" s="44" t="str">
        <f t="array" ref="J1408">IF(B1408="","",_xlfn.XLOOKUP(B1408,'Form responses 1'!$B$2:$B$2604,'Form responses 1'!$G$2:$G$2604,""))</f>
        <v/>
      </c>
      <c r="K1408" s="56"/>
      <c r="L1408" s="58" t="str">
        <f t="shared" si="7"/>
        <v/>
      </c>
      <c r="M1408" s="49"/>
      <c r="N1408" s="49"/>
      <c r="O1408" s="49"/>
      <c r="P1408" s="49"/>
      <c r="Q1408" s="49"/>
      <c r="R1408" s="49"/>
      <c r="S1408" s="49"/>
      <c r="T1408" s="49"/>
      <c r="U1408" s="49"/>
      <c r="V1408" s="49"/>
      <c r="W1408" s="56"/>
      <c r="X1408" s="51" t="str">
        <f t="shared" si="5"/>
        <v/>
      </c>
      <c r="Y1408" s="50" t="s">
        <v>482</v>
      </c>
      <c r="Z1408" s="49">
        <f t="shared" si="6"/>
        <v>0</v>
      </c>
    </row>
    <row r="1409" ht="22.5" customHeight="1">
      <c r="B1409" s="57"/>
      <c r="C1409" s="43" t="str">
        <f t="array" ref="C1409">IF(B1409="","",_xlfn.XLOOKUP(B1409,'Form responses 1'!$B$2:$B$2604,'Form responses 1'!$A$2:$A$2604,""))</f>
        <v/>
      </c>
      <c r="D1409" s="44" t="str">
        <f t="shared" si="3"/>
        <v/>
      </c>
      <c r="E1409" s="44" t="str">
        <f t="array" ref="E1409">IF(B1409="","",_xlfn.XLOOKUP(B1409,'Form responses 1'!$B$2:$B$2604,'Form responses 1'!$C$2:$C$2604,""))</f>
        <v/>
      </c>
      <c r="F1409" s="44" t="str">
        <f t="array" ref="F1409">IF(B1409="","",_xlfn.XLOOKUP(B1409,'Form responses 1'!$B$2:$B$2604,'Form responses 1'!$D$2:$D$2604,""))</f>
        <v/>
      </c>
      <c r="G1409" s="44" t="str">
        <f t="array" ref="G1409">IF(B1409="","",_xlfn.XLOOKUP(B1409,'Form responses 1'!$B$2:$B$2604,'Form responses 1'!$E$2:$E$2604,""))</f>
        <v/>
      </c>
      <c r="H1409" s="44" t="str">
        <f t="array" ref="H1409">IF(B1409="","",_xlfn.XLOOKUP(B1409,'Form responses 1'!$B$2:$B$2604,'Form responses 1'!$F$2:$F$2604,""))</f>
        <v/>
      </c>
      <c r="I1409" s="44" t="str">
        <f t="array" ref="I1409">IF(B1409="","",_xlfn.XLOOKUP(B1409,'Form responses 1'!$B$2:$B$2604,'Form responses 1'!$I$2:$I$2604,""))</f>
        <v/>
      </c>
      <c r="J1409" s="44" t="str">
        <f t="array" ref="J1409">IF(B1409="","",_xlfn.XLOOKUP(B1409,'Form responses 1'!$B$2:$B$2604,'Form responses 1'!$G$2:$G$2604,""))</f>
        <v/>
      </c>
      <c r="K1409" s="56"/>
      <c r="L1409" s="58" t="str">
        <f t="shared" si="7"/>
        <v/>
      </c>
      <c r="M1409" s="49"/>
      <c r="N1409" s="49"/>
      <c r="O1409" s="49"/>
      <c r="P1409" s="49"/>
      <c r="Q1409" s="49"/>
      <c r="R1409" s="49"/>
      <c r="S1409" s="49"/>
      <c r="T1409" s="49"/>
      <c r="U1409" s="49"/>
      <c r="V1409" s="49"/>
      <c r="W1409" s="56"/>
      <c r="X1409" s="51" t="str">
        <f t="shared" si="5"/>
        <v/>
      </c>
      <c r="Y1409" s="50" t="s">
        <v>482</v>
      </c>
      <c r="Z1409" s="49">
        <f t="shared" si="6"/>
        <v>0</v>
      </c>
    </row>
    <row r="1410" ht="22.5" customHeight="1">
      <c r="B1410" s="57"/>
      <c r="C1410" s="43" t="str">
        <f t="array" ref="C1410">IF(B1410="","",_xlfn.XLOOKUP(B1410,'Form responses 1'!$B$2:$B$2604,'Form responses 1'!$A$2:$A$2604,""))</f>
        <v/>
      </c>
      <c r="D1410" s="44" t="str">
        <f t="shared" si="3"/>
        <v/>
      </c>
      <c r="E1410" s="44" t="str">
        <f t="array" ref="E1410">IF(B1410="","",_xlfn.XLOOKUP(B1410,'Form responses 1'!$B$2:$B$2604,'Form responses 1'!$C$2:$C$2604,""))</f>
        <v/>
      </c>
      <c r="F1410" s="44" t="str">
        <f t="array" ref="F1410">IF(B1410="","",_xlfn.XLOOKUP(B1410,'Form responses 1'!$B$2:$B$2604,'Form responses 1'!$D$2:$D$2604,""))</f>
        <v/>
      </c>
      <c r="G1410" s="44" t="str">
        <f t="array" ref="G1410">IF(B1410="","",_xlfn.XLOOKUP(B1410,'Form responses 1'!$B$2:$B$2604,'Form responses 1'!$E$2:$E$2604,""))</f>
        <v/>
      </c>
      <c r="H1410" s="44" t="str">
        <f t="array" ref="H1410">IF(B1410="","",_xlfn.XLOOKUP(B1410,'Form responses 1'!$B$2:$B$2604,'Form responses 1'!$F$2:$F$2604,""))</f>
        <v/>
      </c>
      <c r="I1410" s="44" t="str">
        <f t="array" ref="I1410">IF(B1410="","",_xlfn.XLOOKUP(B1410,'Form responses 1'!$B$2:$B$2604,'Form responses 1'!$I$2:$I$2604,""))</f>
        <v/>
      </c>
      <c r="J1410" s="44" t="str">
        <f t="array" ref="J1410">IF(B1410="","",_xlfn.XLOOKUP(B1410,'Form responses 1'!$B$2:$B$2604,'Form responses 1'!$G$2:$G$2604,""))</f>
        <v/>
      </c>
      <c r="K1410" s="56"/>
      <c r="L1410" s="58" t="str">
        <f t="shared" si="7"/>
        <v/>
      </c>
      <c r="M1410" s="49"/>
      <c r="N1410" s="49"/>
      <c r="O1410" s="49"/>
      <c r="P1410" s="49"/>
      <c r="Q1410" s="49"/>
      <c r="R1410" s="49"/>
      <c r="S1410" s="49"/>
      <c r="T1410" s="49"/>
      <c r="U1410" s="49"/>
      <c r="V1410" s="49"/>
      <c r="W1410" s="56"/>
      <c r="X1410" s="51" t="str">
        <f t="shared" si="5"/>
        <v/>
      </c>
      <c r="Y1410" s="50" t="s">
        <v>482</v>
      </c>
      <c r="Z1410" s="49">
        <f t="shared" si="6"/>
        <v>0</v>
      </c>
    </row>
    <row r="1411" ht="22.5" customHeight="1">
      <c r="B1411" s="57"/>
      <c r="C1411" s="43" t="str">
        <f t="array" ref="C1411">IF(B1411="","",_xlfn.XLOOKUP(B1411,'Form responses 1'!$B$2:$B$2604,'Form responses 1'!$A$2:$A$2604,""))</f>
        <v/>
      </c>
      <c r="D1411" s="44" t="str">
        <f t="shared" si="3"/>
        <v/>
      </c>
      <c r="E1411" s="44" t="str">
        <f t="array" ref="E1411">IF(B1411="","",_xlfn.XLOOKUP(B1411,'Form responses 1'!$B$2:$B$2604,'Form responses 1'!$C$2:$C$2604,""))</f>
        <v/>
      </c>
      <c r="F1411" s="44" t="str">
        <f t="array" ref="F1411">IF(B1411="","",_xlfn.XLOOKUP(B1411,'Form responses 1'!$B$2:$B$2604,'Form responses 1'!$D$2:$D$2604,""))</f>
        <v/>
      </c>
      <c r="G1411" s="44" t="str">
        <f t="array" ref="G1411">IF(B1411="","",_xlfn.XLOOKUP(B1411,'Form responses 1'!$B$2:$B$2604,'Form responses 1'!$E$2:$E$2604,""))</f>
        <v/>
      </c>
      <c r="H1411" s="44" t="str">
        <f t="array" ref="H1411">IF(B1411="","",_xlfn.XLOOKUP(B1411,'Form responses 1'!$B$2:$B$2604,'Form responses 1'!$F$2:$F$2604,""))</f>
        <v/>
      </c>
      <c r="I1411" s="44" t="str">
        <f t="array" ref="I1411">IF(B1411="","",_xlfn.XLOOKUP(B1411,'Form responses 1'!$B$2:$B$2604,'Form responses 1'!$I$2:$I$2604,""))</f>
        <v/>
      </c>
      <c r="J1411" s="44" t="str">
        <f t="array" ref="J1411">IF(B1411="","",_xlfn.XLOOKUP(B1411,'Form responses 1'!$B$2:$B$2604,'Form responses 1'!$G$2:$G$2604,""))</f>
        <v/>
      </c>
      <c r="K1411" s="56"/>
      <c r="L1411" s="58" t="str">
        <f t="shared" si="7"/>
        <v/>
      </c>
      <c r="M1411" s="49"/>
      <c r="N1411" s="49"/>
      <c r="O1411" s="49"/>
      <c r="P1411" s="49"/>
      <c r="Q1411" s="49"/>
      <c r="R1411" s="49"/>
      <c r="S1411" s="49"/>
      <c r="T1411" s="49"/>
      <c r="U1411" s="49"/>
      <c r="V1411" s="49"/>
      <c r="W1411" s="56"/>
      <c r="X1411" s="51" t="str">
        <f t="shared" si="5"/>
        <v/>
      </c>
      <c r="Y1411" s="50" t="s">
        <v>482</v>
      </c>
      <c r="Z1411" s="49">
        <f t="shared" si="6"/>
        <v>0</v>
      </c>
    </row>
    <row r="1412" ht="22.5" customHeight="1">
      <c r="B1412" s="57"/>
      <c r="C1412" s="43" t="str">
        <f t="array" ref="C1412">IF(B1412="","",_xlfn.XLOOKUP(B1412,'Form responses 1'!$B$2:$B$2604,'Form responses 1'!$A$2:$A$2604,""))</f>
        <v/>
      </c>
      <c r="D1412" s="44" t="str">
        <f t="shared" si="3"/>
        <v/>
      </c>
      <c r="E1412" s="44" t="str">
        <f t="array" ref="E1412">IF(B1412="","",_xlfn.XLOOKUP(B1412,'Form responses 1'!$B$2:$B$2604,'Form responses 1'!$C$2:$C$2604,""))</f>
        <v/>
      </c>
      <c r="F1412" s="44" t="str">
        <f t="array" ref="F1412">IF(B1412="","",_xlfn.XLOOKUP(B1412,'Form responses 1'!$B$2:$B$2604,'Form responses 1'!$D$2:$D$2604,""))</f>
        <v/>
      </c>
      <c r="G1412" s="44" t="str">
        <f t="array" ref="G1412">IF(B1412="","",_xlfn.XLOOKUP(B1412,'Form responses 1'!$B$2:$B$2604,'Form responses 1'!$E$2:$E$2604,""))</f>
        <v/>
      </c>
      <c r="H1412" s="44" t="str">
        <f t="array" ref="H1412">IF(B1412="","",_xlfn.XLOOKUP(B1412,'Form responses 1'!$B$2:$B$2604,'Form responses 1'!$F$2:$F$2604,""))</f>
        <v/>
      </c>
      <c r="I1412" s="44" t="str">
        <f t="array" ref="I1412">IF(B1412="","",_xlfn.XLOOKUP(B1412,'Form responses 1'!$B$2:$B$2604,'Form responses 1'!$I$2:$I$2604,""))</f>
        <v/>
      </c>
      <c r="J1412" s="44" t="str">
        <f t="array" ref="J1412">IF(B1412="","",_xlfn.XLOOKUP(B1412,'Form responses 1'!$B$2:$B$2604,'Form responses 1'!$G$2:$G$2604,""))</f>
        <v/>
      </c>
      <c r="K1412" s="56"/>
      <c r="L1412" s="58" t="str">
        <f t="shared" si="7"/>
        <v/>
      </c>
      <c r="M1412" s="49"/>
      <c r="N1412" s="49"/>
      <c r="O1412" s="49"/>
      <c r="P1412" s="49"/>
      <c r="Q1412" s="49"/>
      <c r="R1412" s="49"/>
      <c r="S1412" s="49"/>
      <c r="T1412" s="49"/>
      <c r="U1412" s="49"/>
      <c r="V1412" s="49"/>
      <c r="W1412" s="56"/>
      <c r="X1412" s="51" t="str">
        <f t="shared" si="5"/>
        <v/>
      </c>
      <c r="Y1412" s="50" t="s">
        <v>482</v>
      </c>
      <c r="Z1412" s="49">
        <f t="shared" si="6"/>
        <v>0</v>
      </c>
    </row>
    <row r="1413" ht="22.5" customHeight="1">
      <c r="B1413" s="57"/>
      <c r="C1413" s="43" t="str">
        <f t="array" ref="C1413">IF(B1413="","",_xlfn.XLOOKUP(B1413,'Form responses 1'!$B$2:$B$2604,'Form responses 1'!$A$2:$A$2604,""))</f>
        <v/>
      </c>
      <c r="D1413" s="44" t="str">
        <f t="shared" si="3"/>
        <v/>
      </c>
      <c r="E1413" s="44" t="str">
        <f t="array" ref="E1413">IF(B1413="","",_xlfn.XLOOKUP(B1413,'Form responses 1'!$B$2:$B$2604,'Form responses 1'!$C$2:$C$2604,""))</f>
        <v/>
      </c>
      <c r="F1413" s="44" t="str">
        <f t="array" ref="F1413">IF(B1413="","",_xlfn.XLOOKUP(B1413,'Form responses 1'!$B$2:$B$2604,'Form responses 1'!$D$2:$D$2604,""))</f>
        <v/>
      </c>
      <c r="G1413" s="44" t="str">
        <f t="array" ref="G1413">IF(B1413="","",_xlfn.XLOOKUP(B1413,'Form responses 1'!$B$2:$B$2604,'Form responses 1'!$E$2:$E$2604,""))</f>
        <v/>
      </c>
      <c r="H1413" s="44" t="str">
        <f t="array" ref="H1413">IF(B1413="","",_xlfn.XLOOKUP(B1413,'Form responses 1'!$B$2:$B$2604,'Form responses 1'!$F$2:$F$2604,""))</f>
        <v/>
      </c>
      <c r="I1413" s="44" t="str">
        <f t="array" ref="I1413">IF(B1413="","",_xlfn.XLOOKUP(B1413,'Form responses 1'!$B$2:$B$2604,'Form responses 1'!$I$2:$I$2604,""))</f>
        <v/>
      </c>
      <c r="J1413" s="44" t="str">
        <f t="array" ref="J1413">IF(B1413="","",_xlfn.XLOOKUP(B1413,'Form responses 1'!$B$2:$B$2604,'Form responses 1'!$G$2:$G$2604,""))</f>
        <v/>
      </c>
      <c r="K1413" s="56"/>
      <c r="L1413" s="58" t="str">
        <f t="shared" si="7"/>
        <v/>
      </c>
      <c r="M1413" s="49"/>
      <c r="N1413" s="49"/>
      <c r="O1413" s="49"/>
      <c r="P1413" s="49"/>
      <c r="Q1413" s="49"/>
      <c r="R1413" s="49"/>
      <c r="S1413" s="49"/>
      <c r="T1413" s="49"/>
      <c r="U1413" s="49"/>
      <c r="V1413" s="49"/>
      <c r="W1413" s="56"/>
      <c r="X1413" s="51" t="str">
        <f t="shared" si="5"/>
        <v/>
      </c>
      <c r="Y1413" s="50" t="s">
        <v>482</v>
      </c>
      <c r="Z1413" s="49">
        <f t="shared" si="6"/>
        <v>0</v>
      </c>
    </row>
    <row r="1414" ht="22.5" customHeight="1">
      <c r="B1414" s="57"/>
      <c r="C1414" s="43" t="str">
        <f t="array" ref="C1414">IF(B1414="","",_xlfn.XLOOKUP(B1414,'Form responses 1'!$B$2:$B$2604,'Form responses 1'!$A$2:$A$2604,""))</f>
        <v/>
      </c>
      <c r="D1414" s="44" t="str">
        <f t="shared" si="3"/>
        <v/>
      </c>
      <c r="E1414" s="44" t="str">
        <f t="array" ref="E1414">IF(B1414="","",_xlfn.XLOOKUP(B1414,'Form responses 1'!$B$2:$B$2604,'Form responses 1'!$C$2:$C$2604,""))</f>
        <v/>
      </c>
      <c r="F1414" s="44" t="str">
        <f t="array" ref="F1414">IF(B1414="","",_xlfn.XLOOKUP(B1414,'Form responses 1'!$B$2:$B$2604,'Form responses 1'!$D$2:$D$2604,""))</f>
        <v/>
      </c>
      <c r="G1414" s="44" t="str">
        <f t="array" ref="G1414">IF(B1414="","",_xlfn.XLOOKUP(B1414,'Form responses 1'!$B$2:$B$2604,'Form responses 1'!$E$2:$E$2604,""))</f>
        <v/>
      </c>
      <c r="H1414" s="44" t="str">
        <f t="array" ref="H1414">IF(B1414="","",_xlfn.XLOOKUP(B1414,'Form responses 1'!$B$2:$B$2604,'Form responses 1'!$F$2:$F$2604,""))</f>
        <v/>
      </c>
      <c r="I1414" s="44" t="str">
        <f t="array" ref="I1414">IF(B1414="","",_xlfn.XLOOKUP(B1414,'Form responses 1'!$B$2:$B$2604,'Form responses 1'!$I$2:$I$2604,""))</f>
        <v/>
      </c>
      <c r="J1414" s="44" t="str">
        <f t="array" ref="J1414">IF(B1414="","",_xlfn.XLOOKUP(B1414,'Form responses 1'!$B$2:$B$2604,'Form responses 1'!$G$2:$G$2604,""))</f>
        <v/>
      </c>
      <c r="K1414" s="56"/>
      <c r="L1414" s="58" t="str">
        <f t="shared" si="7"/>
        <v/>
      </c>
      <c r="M1414" s="49"/>
      <c r="N1414" s="49"/>
      <c r="O1414" s="49"/>
      <c r="P1414" s="49"/>
      <c r="Q1414" s="49"/>
      <c r="R1414" s="49"/>
      <c r="S1414" s="49"/>
      <c r="T1414" s="49"/>
      <c r="U1414" s="49"/>
      <c r="V1414" s="49"/>
      <c r="W1414" s="56"/>
      <c r="X1414" s="51" t="str">
        <f t="shared" si="5"/>
        <v/>
      </c>
      <c r="Y1414" s="50" t="s">
        <v>482</v>
      </c>
      <c r="Z1414" s="49">
        <f t="shared" si="6"/>
        <v>0</v>
      </c>
    </row>
    <row r="1415" ht="22.5" customHeight="1">
      <c r="B1415" s="57"/>
      <c r="C1415" s="43" t="str">
        <f t="array" ref="C1415">IF(B1415="","",_xlfn.XLOOKUP(B1415,'Form responses 1'!$B$2:$B$2604,'Form responses 1'!$A$2:$A$2604,""))</f>
        <v/>
      </c>
      <c r="D1415" s="44" t="str">
        <f t="shared" si="3"/>
        <v/>
      </c>
      <c r="E1415" s="44" t="str">
        <f t="array" ref="E1415">IF(B1415="","",_xlfn.XLOOKUP(B1415,'Form responses 1'!$B$2:$B$2604,'Form responses 1'!$C$2:$C$2604,""))</f>
        <v/>
      </c>
      <c r="F1415" s="44" t="str">
        <f t="array" ref="F1415">IF(B1415="","",_xlfn.XLOOKUP(B1415,'Form responses 1'!$B$2:$B$2604,'Form responses 1'!$D$2:$D$2604,""))</f>
        <v/>
      </c>
      <c r="G1415" s="44" t="str">
        <f t="array" ref="G1415">IF(B1415="","",_xlfn.XLOOKUP(B1415,'Form responses 1'!$B$2:$B$2604,'Form responses 1'!$E$2:$E$2604,""))</f>
        <v/>
      </c>
      <c r="H1415" s="44" t="str">
        <f t="array" ref="H1415">IF(B1415="","",_xlfn.XLOOKUP(B1415,'Form responses 1'!$B$2:$B$2604,'Form responses 1'!$F$2:$F$2604,""))</f>
        <v/>
      </c>
      <c r="I1415" s="44" t="str">
        <f t="array" ref="I1415">IF(B1415="","",_xlfn.XLOOKUP(B1415,'Form responses 1'!$B$2:$B$2604,'Form responses 1'!$I$2:$I$2604,""))</f>
        <v/>
      </c>
      <c r="J1415" s="44" t="str">
        <f t="array" ref="J1415">IF(B1415="","",_xlfn.XLOOKUP(B1415,'Form responses 1'!$B$2:$B$2604,'Form responses 1'!$G$2:$G$2604,""))</f>
        <v/>
      </c>
      <c r="K1415" s="56"/>
      <c r="L1415" s="58" t="str">
        <f t="shared" si="7"/>
        <v/>
      </c>
      <c r="M1415" s="49"/>
      <c r="N1415" s="49"/>
      <c r="O1415" s="49"/>
      <c r="P1415" s="49"/>
      <c r="Q1415" s="49"/>
      <c r="R1415" s="49"/>
      <c r="S1415" s="49"/>
      <c r="T1415" s="49"/>
      <c r="U1415" s="49"/>
      <c r="V1415" s="49"/>
      <c r="W1415" s="56"/>
      <c r="X1415" s="51" t="str">
        <f t="shared" si="5"/>
        <v/>
      </c>
      <c r="Y1415" s="50" t="s">
        <v>482</v>
      </c>
      <c r="Z1415" s="49">
        <f t="shared" si="6"/>
        <v>0</v>
      </c>
    </row>
    <row r="1416" ht="22.5" customHeight="1">
      <c r="B1416" s="57"/>
      <c r="C1416" s="43" t="str">
        <f t="array" ref="C1416">IF(B1416="","",_xlfn.XLOOKUP(B1416,'Form responses 1'!$B$2:$B$2604,'Form responses 1'!$A$2:$A$2604,""))</f>
        <v/>
      </c>
      <c r="D1416" s="44" t="str">
        <f t="shared" si="3"/>
        <v/>
      </c>
      <c r="E1416" s="44" t="str">
        <f t="array" ref="E1416">IF(B1416="","",_xlfn.XLOOKUP(B1416,'Form responses 1'!$B$2:$B$2604,'Form responses 1'!$C$2:$C$2604,""))</f>
        <v/>
      </c>
      <c r="F1416" s="44" t="str">
        <f t="array" ref="F1416">IF(B1416="","",_xlfn.XLOOKUP(B1416,'Form responses 1'!$B$2:$B$2604,'Form responses 1'!$D$2:$D$2604,""))</f>
        <v/>
      </c>
      <c r="G1416" s="44" t="str">
        <f t="array" ref="G1416">IF(B1416="","",_xlfn.XLOOKUP(B1416,'Form responses 1'!$B$2:$B$2604,'Form responses 1'!$E$2:$E$2604,""))</f>
        <v/>
      </c>
      <c r="H1416" s="44" t="str">
        <f t="array" ref="H1416">IF(B1416="","",_xlfn.XLOOKUP(B1416,'Form responses 1'!$B$2:$B$2604,'Form responses 1'!$F$2:$F$2604,""))</f>
        <v/>
      </c>
      <c r="I1416" s="44" t="str">
        <f t="array" ref="I1416">IF(B1416="","",_xlfn.XLOOKUP(B1416,'Form responses 1'!$B$2:$B$2604,'Form responses 1'!$I$2:$I$2604,""))</f>
        <v/>
      </c>
      <c r="J1416" s="44" t="str">
        <f t="array" ref="J1416">IF(B1416="","",_xlfn.XLOOKUP(B1416,'Form responses 1'!$B$2:$B$2604,'Form responses 1'!$G$2:$G$2604,""))</f>
        <v/>
      </c>
      <c r="K1416" s="56"/>
      <c r="L1416" s="58" t="str">
        <f t="shared" si="7"/>
        <v/>
      </c>
      <c r="M1416" s="49"/>
      <c r="N1416" s="49"/>
      <c r="O1416" s="49"/>
      <c r="P1416" s="49"/>
      <c r="Q1416" s="49"/>
      <c r="R1416" s="49"/>
      <c r="S1416" s="49"/>
      <c r="T1416" s="49"/>
      <c r="U1416" s="49"/>
      <c r="V1416" s="49"/>
      <c r="W1416" s="56"/>
      <c r="X1416" s="51" t="str">
        <f t="shared" si="5"/>
        <v/>
      </c>
      <c r="Y1416" s="50" t="s">
        <v>482</v>
      </c>
      <c r="Z1416" s="49">
        <f t="shared" si="6"/>
        <v>0</v>
      </c>
    </row>
    <row r="1417" ht="22.5" customHeight="1">
      <c r="B1417" s="57"/>
      <c r="C1417" s="43" t="str">
        <f t="array" ref="C1417">IF(B1417="","",_xlfn.XLOOKUP(B1417,'Form responses 1'!$B$2:$B$2604,'Form responses 1'!$A$2:$A$2604,""))</f>
        <v/>
      </c>
      <c r="D1417" s="44" t="str">
        <f t="shared" si="3"/>
        <v/>
      </c>
      <c r="E1417" s="44" t="str">
        <f t="array" ref="E1417">IF(B1417="","",_xlfn.XLOOKUP(B1417,'Form responses 1'!$B$2:$B$2604,'Form responses 1'!$C$2:$C$2604,""))</f>
        <v/>
      </c>
      <c r="F1417" s="44" t="str">
        <f t="array" ref="F1417">IF(B1417="","",_xlfn.XLOOKUP(B1417,'Form responses 1'!$B$2:$B$2604,'Form responses 1'!$D$2:$D$2604,""))</f>
        <v/>
      </c>
      <c r="G1417" s="44" t="str">
        <f t="array" ref="G1417">IF(B1417="","",_xlfn.XLOOKUP(B1417,'Form responses 1'!$B$2:$B$2604,'Form responses 1'!$E$2:$E$2604,""))</f>
        <v/>
      </c>
      <c r="H1417" s="44" t="str">
        <f t="array" ref="H1417">IF(B1417="","",_xlfn.XLOOKUP(B1417,'Form responses 1'!$B$2:$B$2604,'Form responses 1'!$F$2:$F$2604,""))</f>
        <v/>
      </c>
      <c r="I1417" s="44" t="str">
        <f t="array" ref="I1417">IF(B1417="","",_xlfn.XLOOKUP(B1417,'Form responses 1'!$B$2:$B$2604,'Form responses 1'!$I$2:$I$2604,""))</f>
        <v/>
      </c>
      <c r="J1417" s="44" t="str">
        <f t="array" ref="J1417">IF(B1417="","",_xlfn.XLOOKUP(B1417,'Form responses 1'!$B$2:$B$2604,'Form responses 1'!$G$2:$G$2604,""))</f>
        <v/>
      </c>
      <c r="K1417" s="56"/>
      <c r="L1417" s="58" t="str">
        <f t="shared" si="7"/>
        <v/>
      </c>
      <c r="M1417" s="49"/>
      <c r="N1417" s="49"/>
      <c r="O1417" s="49"/>
      <c r="P1417" s="49"/>
      <c r="Q1417" s="49"/>
      <c r="R1417" s="49"/>
      <c r="S1417" s="49"/>
      <c r="T1417" s="49"/>
      <c r="U1417" s="49"/>
      <c r="V1417" s="49"/>
      <c r="W1417" s="56"/>
      <c r="X1417" s="51" t="str">
        <f t="shared" si="5"/>
        <v/>
      </c>
      <c r="Y1417" s="50" t="s">
        <v>482</v>
      </c>
      <c r="Z1417" s="49">
        <f t="shared" si="6"/>
        <v>0</v>
      </c>
    </row>
    <row r="1418" ht="22.5" customHeight="1">
      <c r="B1418" s="57"/>
      <c r="C1418" s="43" t="str">
        <f t="array" ref="C1418">IF(B1418="","",_xlfn.XLOOKUP(B1418,'Form responses 1'!$B$2:$B$2604,'Form responses 1'!$A$2:$A$2604,""))</f>
        <v/>
      </c>
      <c r="D1418" s="44" t="str">
        <f t="shared" si="3"/>
        <v/>
      </c>
      <c r="E1418" s="44" t="str">
        <f t="array" ref="E1418">IF(B1418="","",_xlfn.XLOOKUP(B1418,'Form responses 1'!$B$2:$B$2604,'Form responses 1'!$C$2:$C$2604,""))</f>
        <v/>
      </c>
      <c r="F1418" s="44" t="str">
        <f t="array" ref="F1418">IF(B1418="","",_xlfn.XLOOKUP(B1418,'Form responses 1'!$B$2:$B$2604,'Form responses 1'!$D$2:$D$2604,""))</f>
        <v/>
      </c>
      <c r="G1418" s="44" t="str">
        <f t="array" ref="G1418">IF(B1418="","",_xlfn.XLOOKUP(B1418,'Form responses 1'!$B$2:$B$2604,'Form responses 1'!$E$2:$E$2604,""))</f>
        <v/>
      </c>
      <c r="H1418" s="44" t="str">
        <f t="array" ref="H1418">IF(B1418="","",_xlfn.XLOOKUP(B1418,'Form responses 1'!$B$2:$B$2604,'Form responses 1'!$F$2:$F$2604,""))</f>
        <v/>
      </c>
      <c r="I1418" s="44" t="str">
        <f t="array" ref="I1418">IF(B1418="","",_xlfn.XLOOKUP(B1418,'Form responses 1'!$B$2:$B$2604,'Form responses 1'!$I$2:$I$2604,""))</f>
        <v/>
      </c>
      <c r="J1418" s="44" t="str">
        <f t="array" ref="J1418">IF(B1418="","",_xlfn.XLOOKUP(B1418,'Form responses 1'!$B$2:$B$2604,'Form responses 1'!$G$2:$G$2604,""))</f>
        <v/>
      </c>
      <c r="K1418" s="56"/>
      <c r="L1418" s="58" t="str">
        <f t="shared" si="7"/>
        <v/>
      </c>
      <c r="M1418" s="49"/>
      <c r="N1418" s="49"/>
      <c r="O1418" s="49"/>
      <c r="P1418" s="49"/>
      <c r="Q1418" s="49"/>
      <c r="R1418" s="49"/>
      <c r="S1418" s="49"/>
      <c r="T1418" s="49"/>
      <c r="U1418" s="49"/>
      <c r="V1418" s="49"/>
      <c r="W1418" s="56"/>
      <c r="X1418" s="51" t="str">
        <f t="shared" si="5"/>
        <v/>
      </c>
      <c r="Y1418" s="50" t="s">
        <v>482</v>
      </c>
      <c r="Z1418" s="49">
        <f t="shared" si="6"/>
        <v>0</v>
      </c>
    </row>
    <row r="1419" ht="22.5" customHeight="1">
      <c r="B1419" s="57"/>
      <c r="C1419" s="43" t="str">
        <f t="array" ref="C1419">IF(B1419="","",_xlfn.XLOOKUP(B1419,'Form responses 1'!$B$2:$B$2604,'Form responses 1'!$A$2:$A$2604,""))</f>
        <v/>
      </c>
      <c r="D1419" s="44" t="str">
        <f t="shared" si="3"/>
        <v/>
      </c>
      <c r="E1419" s="44" t="str">
        <f t="array" ref="E1419">IF(B1419="","",_xlfn.XLOOKUP(B1419,'Form responses 1'!$B$2:$B$2604,'Form responses 1'!$C$2:$C$2604,""))</f>
        <v/>
      </c>
      <c r="F1419" s="44" t="str">
        <f t="array" ref="F1419">IF(B1419="","",_xlfn.XLOOKUP(B1419,'Form responses 1'!$B$2:$B$2604,'Form responses 1'!$D$2:$D$2604,""))</f>
        <v/>
      </c>
      <c r="G1419" s="44" t="str">
        <f t="array" ref="G1419">IF(B1419="","",_xlfn.XLOOKUP(B1419,'Form responses 1'!$B$2:$B$2604,'Form responses 1'!$E$2:$E$2604,""))</f>
        <v/>
      </c>
      <c r="H1419" s="44" t="str">
        <f t="array" ref="H1419">IF(B1419="","",_xlfn.XLOOKUP(B1419,'Form responses 1'!$B$2:$B$2604,'Form responses 1'!$F$2:$F$2604,""))</f>
        <v/>
      </c>
      <c r="I1419" s="44" t="str">
        <f t="array" ref="I1419">IF(B1419="","",_xlfn.XLOOKUP(B1419,'Form responses 1'!$B$2:$B$2604,'Form responses 1'!$I$2:$I$2604,""))</f>
        <v/>
      </c>
      <c r="J1419" s="44" t="str">
        <f t="array" ref="J1419">IF(B1419="","",_xlfn.XLOOKUP(B1419,'Form responses 1'!$B$2:$B$2604,'Form responses 1'!$G$2:$G$2604,""))</f>
        <v/>
      </c>
      <c r="K1419" s="56"/>
      <c r="L1419" s="58" t="str">
        <f t="shared" si="7"/>
        <v/>
      </c>
      <c r="M1419" s="49"/>
      <c r="N1419" s="49"/>
      <c r="O1419" s="49"/>
      <c r="P1419" s="49"/>
      <c r="Q1419" s="49"/>
      <c r="R1419" s="49"/>
      <c r="S1419" s="49"/>
      <c r="T1419" s="49"/>
      <c r="U1419" s="49"/>
      <c r="V1419" s="49"/>
      <c r="W1419" s="56"/>
      <c r="X1419" s="51" t="str">
        <f t="shared" si="5"/>
        <v/>
      </c>
      <c r="Y1419" s="50" t="s">
        <v>482</v>
      </c>
      <c r="Z1419" s="49">
        <f t="shared" si="6"/>
        <v>0</v>
      </c>
    </row>
    <row r="1420" ht="22.5" customHeight="1">
      <c r="B1420" s="57"/>
      <c r="C1420" s="43" t="str">
        <f t="array" ref="C1420">IF(B1420="","",_xlfn.XLOOKUP(B1420,'Form responses 1'!$B$2:$B$2604,'Form responses 1'!$A$2:$A$2604,""))</f>
        <v/>
      </c>
      <c r="D1420" s="44" t="str">
        <f t="shared" si="3"/>
        <v/>
      </c>
      <c r="E1420" s="44" t="str">
        <f t="array" ref="E1420">IF(B1420="","",_xlfn.XLOOKUP(B1420,'Form responses 1'!$B$2:$B$2604,'Form responses 1'!$C$2:$C$2604,""))</f>
        <v/>
      </c>
      <c r="F1420" s="44" t="str">
        <f t="array" ref="F1420">IF(B1420="","",_xlfn.XLOOKUP(B1420,'Form responses 1'!$B$2:$B$2604,'Form responses 1'!$D$2:$D$2604,""))</f>
        <v/>
      </c>
      <c r="G1420" s="44" t="str">
        <f t="array" ref="G1420">IF(B1420="","",_xlfn.XLOOKUP(B1420,'Form responses 1'!$B$2:$B$2604,'Form responses 1'!$E$2:$E$2604,""))</f>
        <v/>
      </c>
      <c r="H1420" s="44" t="str">
        <f t="array" ref="H1420">IF(B1420="","",_xlfn.XLOOKUP(B1420,'Form responses 1'!$B$2:$B$2604,'Form responses 1'!$F$2:$F$2604,""))</f>
        <v/>
      </c>
      <c r="I1420" s="44" t="str">
        <f t="array" ref="I1420">IF(B1420="","",_xlfn.XLOOKUP(B1420,'Form responses 1'!$B$2:$B$2604,'Form responses 1'!$I$2:$I$2604,""))</f>
        <v/>
      </c>
      <c r="J1420" s="44" t="str">
        <f t="array" ref="J1420">IF(B1420="","",_xlfn.XLOOKUP(B1420,'Form responses 1'!$B$2:$B$2604,'Form responses 1'!$G$2:$G$2604,""))</f>
        <v/>
      </c>
      <c r="K1420" s="56"/>
      <c r="L1420" s="58" t="str">
        <f t="shared" si="7"/>
        <v/>
      </c>
      <c r="M1420" s="49"/>
      <c r="N1420" s="49"/>
      <c r="O1420" s="49"/>
      <c r="P1420" s="49"/>
      <c r="Q1420" s="49"/>
      <c r="R1420" s="49"/>
      <c r="S1420" s="49"/>
      <c r="T1420" s="49"/>
      <c r="U1420" s="49"/>
      <c r="V1420" s="49"/>
      <c r="W1420" s="56"/>
      <c r="X1420" s="51" t="str">
        <f t="shared" si="5"/>
        <v/>
      </c>
      <c r="Y1420" s="50" t="s">
        <v>482</v>
      </c>
      <c r="Z1420" s="49">
        <f t="shared" si="6"/>
        <v>0</v>
      </c>
    </row>
    <row r="1421" ht="22.5" customHeight="1">
      <c r="B1421" s="57"/>
      <c r="C1421" s="43" t="str">
        <f t="array" ref="C1421">IF(B1421="","",_xlfn.XLOOKUP(B1421,'Form responses 1'!$B$2:$B$2604,'Form responses 1'!$A$2:$A$2604,""))</f>
        <v/>
      </c>
      <c r="D1421" s="44" t="str">
        <f t="shared" si="3"/>
        <v/>
      </c>
      <c r="E1421" s="44" t="str">
        <f t="array" ref="E1421">IF(B1421="","",_xlfn.XLOOKUP(B1421,'Form responses 1'!$B$2:$B$2604,'Form responses 1'!$C$2:$C$2604,""))</f>
        <v/>
      </c>
      <c r="F1421" s="44" t="str">
        <f t="array" ref="F1421">IF(B1421="","",_xlfn.XLOOKUP(B1421,'Form responses 1'!$B$2:$B$2604,'Form responses 1'!$D$2:$D$2604,""))</f>
        <v/>
      </c>
      <c r="G1421" s="44" t="str">
        <f t="array" ref="G1421">IF(B1421="","",_xlfn.XLOOKUP(B1421,'Form responses 1'!$B$2:$B$2604,'Form responses 1'!$E$2:$E$2604,""))</f>
        <v/>
      </c>
      <c r="H1421" s="44" t="str">
        <f t="array" ref="H1421">IF(B1421="","",_xlfn.XLOOKUP(B1421,'Form responses 1'!$B$2:$B$2604,'Form responses 1'!$F$2:$F$2604,""))</f>
        <v/>
      </c>
      <c r="I1421" s="44" t="str">
        <f t="array" ref="I1421">IF(B1421="","",_xlfn.XLOOKUP(B1421,'Form responses 1'!$B$2:$B$2604,'Form responses 1'!$I$2:$I$2604,""))</f>
        <v/>
      </c>
      <c r="J1421" s="44" t="str">
        <f t="array" ref="J1421">IF(B1421="","",_xlfn.XLOOKUP(B1421,'Form responses 1'!$B$2:$B$2604,'Form responses 1'!$G$2:$G$2604,""))</f>
        <v/>
      </c>
      <c r="K1421" s="56"/>
      <c r="L1421" s="58" t="str">
        <f t="shared" si="7"/>
        <v/>
      </c>
      <c r="M1421" s="49"/>
      <c r="N1421" s="49"/>
      <c r="O1421" s="49"/>
      <c r="P1421" s="49"/>
      <c r="Q1421" s="49"/>
      <c r="R1421" s="49"/>
      <c r="S1421" s="49"/>
      <c r="T1421" s="49"/>
      <c r="U1421" s="49"/>
      <c r="V1421" s="49"/>
      <c r="W1421" s="56"/>
      <c r="X1421" s="51" t="str">
        <f t="shared" si="5"/>
        <v/>
      </c>
      <c r="Y1421" s="50" t="s">
        <v>482</v>
      </c>
      <c r="Z1421" s="49">
        <f t="shared" si="6"/>
        <v>0</v>
      </c>
    </row>
    <row r="1422" ht="22.5" customHeight="1">
      <c r="B1422" s="57"/>
      <c r="C1422" s="43" t="str">
        <f t="array" ref="C1422">IF(B1422="","",_xlfn.XLOOKUP(B1422,'Form responses 1'!$B$2:$B$2604,'Form responses 1'!$A$2:$A$2604,""))</f>
        <v/>
      </c>
      <c r="D1422" s="44" t="str">
        <f t="shared" si="3"/>
        <v/>
      </c>
      <c r="E1422" s="44" t="str">
        <f t="array" ref="E1422">IF(B1422="","",_xlfn.XLOOKUP(B1422,'Form responses 1'!$B$2:$B$2604,'Form responses 1'!$C$2:$C$2604,""))</f>
        <v/>
      </c>
      <c r="F1422" s="44" t="str">
        <f t="array" ref="F1422">IF(B1422="","",_xlfn.XLOOKUP(B1422,'Form responses 1'!$B$2:$B$2604,'Form responses 1'!$D$2:$D$2604,""))</f>
        <v/>
      </c>
      <c r="G1422" s="44" t="str">
        <f t="array" ref="G1422">IF(B1422="","",_xlfn.XLOOKUP(B1422,'Form responses 1'!$B$2:$B$2604,'Form responses 1'!$E$2:$E$2604,""))</f>
        <v/>
      </c>
      <c r="H1422" s="44" t="str">
        <f t="array" ref="H1422">IF(B1422="","",_xlfn.XLOOKUP(B1422,'Form responses 1'!$B$2:$B$2604,'Form responses 1'!$F$2:$F$2604,""))</f>
        <v/>
      </c>
      <c r="I1422" s="44" t="str">
        <f t="array" ref="I1422">IF(B1422="","",_xlfn.XLOOKUP(B1422,'Form responses 1'!$B$2:$B$2604,'Form responses 1'!$I$2:$I$2604,""))</f>
        <v/>
      </c>
      <c r="J1422" s="44" t="str">
        <f t="array" ref="J1422">IF(B1422="","",_xlfn.XLOOKUP(B1422,'Form responses 1'!$B$2:$B$2604,'Form responses 1'!$G$2:$G$2604,""))</f>
        <v/>
      </c>
      <c r="K1422" s="56"/>
      <c r="L1422" s="58" t="str">
        <f t="shared" si="7"/>
        <v/>
      </c>
      <c r="M1422" s="49"/>
      <c r="N1422" s="49"/>
      <c r="O1422" s="49"/>
      <c r="P1422" s="49"/>
      <c r="Q1422" s="49"/>
      <c r="R1422" s="49"/>
      <c r="S1422" s="49"/>
      <c r="T1422" s="49"/>
      <c r="U1422" s="49"/>
      <c r="V1422" s="49"/>
      <c r="W1422" s="56"/>
      <c r="X1422" s="51" t="str">
        <f t="shared" si="5"/>
        <v/>
      </c>
      <c r="Y1422" s="50" t="s">
        <v>482</v>
      </c>
      <c r="Z1422" s="49">
        <f t="shared" si="6"/>
        <v>0</v>
      </c>
    </row>
    <row r="1423" ht="22.5" customHeight="1">
      <c r="B1423" s="57"/>
      <c r="C1423" s="43" t="str">
        <f t="array" ref="C1423">IF(B1423="","",_xlfn.XLOOKUP(B1423,'Form responses 1'!$B$2:$B$2604,'Form responses 1'!$A$2:$A$2604,""))</f>
        <v/>
      </c>
      <c r="D1423" s="44" t="str">
        <f t="shared" si="3"/>
        <v/>
      </c>
      <c r="E1423" s="44" t="str">
        <f t="array" ref="E1423">IF(B1423="","",_xlfn.XLOOKUP(B1423,'Form responses 1'!$B$2:$B$2604,'Form responses 1'!$C$2:$C$2604,""))</f>
        <v/>
      </c>
      <c r="F1423" s="44" t="str">
        <f t="array" ref="F1423">IF(B1423="","",_xlfn.XLOOKUP(B1423,'Form responses 1'!$B$2:$B$2604,'Form responses 1'!$D$2:$D$2604,""))</f>
        <v/>
      </c>
      <c r="G1423" s="44" t="str">
        <f t="array" ref="G1423">IF(B1423="","",_xlfn.XLOOKUP(B1423,'Form responses 1'!$B$2:$B$2604,'Form responses 1'!$E$2:$E$2604,""))</f>
        <v/>
      </c>
      <c r="H1423" s="44" t="str">
        <f t="array" ref="H1423">IF(B1423="","",_xlfn.XLOOKUP(B1423,'Form responses 1'!$B$2:$B$2604,'Form responses 1'!$F$2:$F$2604,""))</f>
        <v/>
      </c>
      <c r="I1423" s="44" t="str">
        <f t="array" ref="I1423">IF(B1423="","",_xlfn.XLOOKUP(B1423,'Form responses 1'!$B$2:$B$2604,'Form responses 1'!$I$2:$I$2604,""))</f>
        <v/>
      </c>
      <c r="J1423" s="44" t="str">
        <f t="array" ref="J1423">IF(B1423="","",_xlfn.XLOOKUP(B1423,'Form responses 1'!$B$2:$B$2604,'Form responses 1'!$G$2:$G$2604,""))</f>
        <v/>
      </c>
      <c r="K1423" s="56"/>
      <c r="L1423" s="58" t="str">
        <f t="shared" si="7"/>
        <v/>
      </c>
      <c r="M1423" s="49"/>
      <c r="N1423" s="49"/>
      <c r="O1423" s="49"/>
      <c r="P1423" s="49"/>
      <c r="Q1423" s="49"/>
      <c r="R1423" s="49"/>
      <c r="S1423" s="49"/>
      <c r="T1423" s="49"/>
      <c r="U1423" s="49"/>
      <c r="V1423" s="49"/>
      <c r="W1423" s="56"/>
      <c r="X1423" s="51" t="str">
        <f t="shared" si="5"/>
        <v/>
      </c>
      <c r="Y1423" s="50" t="s">
        <v>482</v>
      </c>
      <c r="Z1423" s="49">
        <f t="shared" si="6"/>
        <v>0</v>
      </c>
    </row>
    <row r="1424" ht="22.5" customHeight="1">
      <c r="B1424" s="57"/>
      <c r="C1424" s="43" t="str">
        <f t="array" ref="C1424">IF(B1424="","",_xlfn.XLOOKUP(B1424,'Form responses 1'!$B$2:$B$2604,'Form responses 1'!$A$2:$A$2604,""))</f>
        <v/>
      </c>
      <c r="D1424" s="44" t="str">
        <f t="shared" si="3"/>
        <v/>
      </c>
      <c r="E1424" s="44" t="str">
        <f t="array" ref="E1424">IF(B1424="","",_xlfn.XLOOKUP(B1424,'Form responses 1'!$B$2:$B$2604,'Form responses 1'!$C$2:$C$2604,""))</f>
        <v/>
      </c>
      <c r="F1424" s="44" t="str">
        <f t="array" ref="F1424">IF(B1424="","",_xlfn.XLOOKUP(B1424,'Form responses 1'!$B$2:$B$2604,'Form responses 1'!$D$2:$D$2604,""))</f>
        <v/>
      </c>
      <c r="G1424" s="44" t="str">
        <f t="array" ref="G1424">IF(B1424="","",_xlfn.XLOOKUP(B1424,'Form responses 1'!$B$2:$B$2604,'Form responses 1'!$E$2:$E$2604,""))</f>
        <v/>
      </c>
      <c r="H1424" s="44" t="str">
        <f t="array" ref="H1424">IF(B1424="","",_xlfn.XLOOKUP(B1424,'Form responses 1'!$B$2:$B$2604,'Form responses 1'!$F$2:$F$2604,""))</f>
        <v/>
      </c>
      <c r="I1424" s="44" t="str">
        <f t="array" ref="I1424">IF(B1424="","",_xlfn.XLOOKUP(B1424,'Form responses 1'!$B$2:$B$2604,'Form responses 1'!$I$2:$I$2604,""))</f>
        <v/>
      </c>
      <c r="J1424" s="44" t="str">
        <f t="array" ref="J1424">IF(B1424="","",_xlfn.XLOOKUP(B1424,'Form responses 1'!$B$2:$B$2604,'Form responses 1'!$G$2:$G$2604,""))</f>
        <v/>
      </c>
      <c r="K1424" s="56"/>
      <c r="L1424" s="58" t="str">
        <f t="shared" si="7"/>
        <v/>
      </c>
      <c r="M1424" s="49"/>
      <c r="N1424" s="49"/>
      <c r="O1424" s="49"/>
      <c r="P1424" s="49"/>
      <c r="Q1424" s="49"/>
      <c r="R1424" s="49"/>
      <c r="S1424" s="49"/>
      <c r="T1424" s="49"/>
      <c r="U1424" s="49"/>
      <c r="V1424" s="49"/>
      <c r="W1424" s="56"/>
      <c r="X1424" s="51" t="str">
        <f t="shared" si="5"/>
        <v/>
      </c>
      <c r="Y1424" s="50" t="s">
        <v>482</v>
      </c>
      <c r="Z1424" s="49">
        <f t="shared" si="6"/>
        <v>0</v>
      </c>
    </row>
    <row r="1425" ht="22.5" customHeight="1">
      <c r="B1425" s="57"/>
      <c r="C1425" s="43" t="str">
        <f t="array" ref="C1425">IF(B1425="","",_xlfn.XLOOKUP(B1425,'Form responses 1'!$B$2:$B$2604,'Form responses 1'!$A$2:$A$2604,""))</f>
        <v/>
      </c>
      <c r="D1425" s="44" t="str">
        <f t="shared" si="3"/>
        <v/>
      </c>
      <c r="E1425" s="44" t="str">
        <f t="array" ref="E1425">IF(B1425="","",_xlfn.XLOOKUP(B1425,'Form responses 1'!$B$2:$B$2604,'Form responses 1'!$C$2:$C$2604,""))</f>
        <v/>
      </c>
      <c r="F1425" s="44" t="str">
        <f t="array" ref="F1425">IF(B1425="","",_xlfn.XLOOKUP(B1425,'Form responses 1'!$B$2:$B$2604,'Form responses 1'!$D$2:$D$2604,""))</f>
        <v/>
      </c>
      <c r="G1425" s="44" t="str">
        <f t="array" ref="G1425">IF(B1425="","",_xlfn.XLOOKUP(B1425,'Form responses 1'!$B$2:$B$2604,'Form responses 1'!$E$2:$E$2604,""))</f>
        <v/>
      </c>
      <c r="H1425" s="44" t="str">
        <f t="array" ref="H1425">IF(B1425="","",_xlfn.XLOOKUP(B1425,'Form responses 1'!$B$2:$B$2604,'Form responses 1'!$F$2:$F$2604,""))</f>
        <v/>
      </c>
      <c r="I1425" s="44" t="str">
        <f t="array" ref="I1425">IF(B1425="","",_xlfn.XLOOKUP(B1425,'Form responses 1'!$B$2:$B$2604,'Form responses 1'!$I$2:$I$2604,""))</f>
        <v/>
      </c>
      <c r="J1425" s="44" t="str">
        <f t="array" ref="J1425">IF(B1425="","",_xlfn.XLOOKUP(B1425,'Form responses 1'!$B$2:$B$2604,'Form responses 1'!$G$2:$G$2604,""))</f>
        <v/>
      </c>
      <c r="K1425" s="56"/>
      <c r="L1425" s="58" t="str">
        <f t="shared" si="7"/>
        <v/>
      </c>
      <c r="M1425" s="49"/>
      <c r="N1425" s="49"/>
      <c r="O1425" s="49"/>
      <c r="P1425" s="49"/>
      <c r="Q1425" s="49"/>
      <c r="R1425" s="49"/>
      <c r="S1425" s="49"/>
      <c r="T1425" s="49"/>
      <c r="U1425" s="49"/>
      <c r="V1425" s="49"/>
      <c r="W1425" s="56"/>
      <c r="X1425" s="51" t="str">
        <f t="shared" si="5"/>
        <v/>
      </c>
      <c r="Y1425" s="50" t="s">
        <v>482</v>
      </c>
      <c r="Z1425" s="49">
        <f t="shared" si="6"/>
        <v>0</v>
      </c>
    </row>
    <row r="1426" ht="22.5" customHeight="1">
      <c r="B1426" s="57"/>
      <c r="C1426" s="43" t="str">
        <f t="array" ref="C1426">IF(B1426="","",_xlfn.XLOOKUP(B1426,'Form responses 1'!$B$2:$B$2604,'Form responses 1'!$A$2:$A$2604,""))</f>
        <v/>
      </c>
      <c r="D1426" s="44" t="str">
        <f t="shared" si="3"/>
        <v/>
      </c>
      <c r="E1426" s="44" t="str">
        <f t="array" ref="E1426">IF(B1426="","",_xlfn.XLOOKUP(B1426,'Form responses 1'!$B$2:$B$2604,'Form responses 1'!$C$2:$C$2604,""))</f>
        <v/>
      </c>
      <c r="F1426" s="44" t="str">
        <f t="array" ref="F1426">IF(B1426="","",_xlfn.XLOOKUP(B1426,'Form responses 1'!$B$2:$B$2604,'Form responses 1'!$D$2:$D$2604,""))</f>
        <v/>
      </c>
      <c r="G1426" s="44" t="str">
        <f t="array" ref="G1426">IF(B1426="","",_xlfn.XLOOKUP(B1426,'Form responses 1'!$B$2:$B$2604,'Form responses 1'!$E$2:$E$2604,""))</f>
        <v/>
      </c>
      <c r="H1426" s="44" t="str">
        <f t="array" ref="H1426">IF(B1426="","",_xlfn.XLOOKUP(B1426,'Form responses 1'!$B$2:$B$2604,'Form responses 1'!$F$2:$F$2604,""))</f>
        <v/>
      </c>
      <c r="I1426" s="44" t="str">
        <f t="array" ref="I1426">IF(B1426="","",_xlfn.XLOOKUP(B1426,'Form responses 1'!$B$2:$B$2604,'Form responses 1'!$I$2:$I$2604,""))</f>
        <v/>
      </c>
      <c r="J1426" s="44" t="str">
        <f t="array" ref="J1426">IF(B1426="","",_xlfn.XLOOKUP(B1426,'Form responses 1'!$B$2:$B$2604,'Form responses 1'!$G$2:$G$2604,""))</f>
        <v/>
      </c>
      <c r="K1426" s="56"/>
      <c r="L1426" s="58" t="str">
        <f t="shared" si="7"/>
        <v/>
      </c>
      <c r="M1426" s="49"/>
      <c r="N1426" s="49"/>
      <c r="O1426" s="49"/>
      <c r="P1426" s="49"/>
      <c r="Q1426" s="49"/>
      <c r="R1426" s="49"/>
      <c r="S1426" s="49"/>
      <c r="T1426" s="49"/>
      <c r="U1426" s="49"/>
      <c r="V1426" s="49"/>
      <c r="W1426" s="56"/>
      <c r="X1426" s="51" t="str">
        <f t="shared" si="5"/>
        <v/>
      </c>
      <c r="Y1426" s="50" t="s">
        <v>482</v>
      </c>
      <c r="Z1426" s="49">
        <f t="shared" si="6"/>
        <v>0</v>
      </c>
    </row>
    <row r="1427" ht="22.5" customHeight="1">
      <c r="B1427" s="57"/>
      <c r="C1427" s="43" t="str">
        <f t="array" ref="C1427">IF(B1427="","",_xlfn.XLOOKUP(B1427,'Form responses 1'!$B$2:$B$2604,'Form responses 1'!$A$2:$A$2604,""))</f>
        <v/>
      </c>
      <c r="D1427" s="44" t="str">
        <f t="shared" si="3"/>
        <v/>
      </c>
      <c r="E1427" s="44" t="str">
        <f t="array" ref="E1427">IF(B1427="","",_xlfn.XLOOKUP(B1427,'Form responses 1'!$B$2:$B$2604,'Form responses 1'!$C$2:$C$2604,""))</f>
        <v/>
      </c>
      <c r="F1427" s="44" t="str">
        <f t="array" ref="F1427">IF(B1427="","",_xlfn.XLOOKUP(B1427,'Form responses 1'!$B$2:$B$2604,'Form responses 1'!$D$2:$D$2604,""))</f>
        <v/>
      </c>
      <c r="G1427" s="44" t="str">
        <f t="array" ref="G1427">IF(B1427="","",_xlfn.XLOOKUP(B1427,'Form responses 1'!$B$2:$B$2604,'Form responses 1'!$E$2:$E$2604,""))</f>
        <v/>
      </c>
      <c r="H1427" s="44" t="str">
        <f t="array" ref="H1427">IF(B1427="","",_xlfn.XLOOKUP(B1427,'Form responses 1'!$B$2:$B$2604,'Form responses 1'!$F$2:$F$2604,""))</f>
        <v/>
      </c>
      <c r="I1427" s="44" t="str">
        <f t="array" ref="I1427">IF(B1427="","",_xlfn.XLOOKUP(B1427,'Form responses 1'!$B$2:$B$2604,'Form responses 1'!$I$2:$I$2604,""))</f>
        <v/>
      </c>
      <c r="J1427" s="44" t="str">
        <f t="array" ref="J1427">IF(B1427="","",_xlfn.XLOOKUP(B1427,'Form responses 1'!$B$2:$B$2604,'Form responses 1'!$G$2:$G$2604,""))</f>
        <v/>
      </c>
      <c r="K1427" s="56"/>
      <c r="L1427" s="58" t="str">
        <f t="shared" si="7"/>
        <v/>
      </c>
      <c r="M1427" s="49"/>
      <c r="N1427" s="49"/>
      <c r="O1427" s="49"/>
      <c r="P1427" s="49"/>
      <c r="Q1427" s="49"/>
      <c r="R1427" s="49"/>
      <c r="S1427" s="49"/>
      <c r="T1427" s="49"/>
      <c r="U1427" s="49"/>
      <c r="V1427" s="49"/>
      <c r="W1427" s="56"/>
      <c r="X1427" s="51" t="str">
        <f t="shared" si="5"/>
        <v/>
      </c>
      <c r="Y1427" s="50" t="s">
        <v>482</v>
      </c>
      <c r="Z1427" s="49">
        <f t="shared" si="6"/>
        <v>0</v>
      </c>
    </row>
    <row r="1428" ht="22.5" customHeight="1">
      <c r="B1428" s="57"/>
      <c r="C1428" s="43" t="str">
        <f t="array" ref="C1428">IF(B1428="","",_xlfn.XLOOKUP(B1428,'Form responses 1'!$B$2:$B$2604,'Form responses 1'!$A$2:$A$2604,""))</f>
        <v/>
      </c>
      <c r="D1428" s="44" t="str">
        <f t="shared" si="3"/>
        <v/>
      </c>
      <c r="E1428" s="44" t="str">
        <f t="array" ref="E1428">IF(B1428="","",_xlfn.XLOOKUP(B1428,'Form responses 1'!$B$2:$B$2604,'Form responses 1'!$C$2:$C$2604,""))</f>
        <v/>
      </c>
      <c r="F1428" s="44" t="str">
        <f t="array" ref="F1428">IF(B1428="","",_xlfn.XLOOKUP(B1428,'Form responses 1'!$B$2:$B$2604,'Form responses 1'!$D$2:$D$2604,""))</f>
        <v/>
      </c>
      <c r="G1428" s="44" t="str">
        <f t="array" ref="G1428">IF(B1428="","",_xlfn.XLOOKUP(B1428,'Form responses 1'!$B$2:$B$2604,'Form responses 1'!$E$2:$E$2604,""))</f>
        <v/>
      </c>
      <c r="H1428" s="44" t="str">
        <f t="array" ref="H1428">IF(B1428="","",_xlfn.XLOOKUP(B1428,'Form responses 1'!$B$2:$B$2604,'Form responses 1'!$F$2:$F$2604,""))</f>
        <v/>
      </c>
      <c r="I1428" s="44" t="str">
        <f t="array" ref="I1428">IF(B1428="","",_xlfn.XLOOKUP(B1428,'Form responses 1'!$B$2:$B$2604,'Form responses 1'!$I$2:$I$2604,""))</f>
        <v/>
      </c>
      <c r="J1428" s="44" t="str">
        <f t="array" ref="J1428">IF(B1428="","",_xlfn.XLOOKUP(B1428,'Form responses 1'!$B$2:$B$2604,'Form responses 1'!$G$2:$G$2604,""))</f>
        <v/>
      </c>
      <c r="K1428" s="56"/>
      <c r="L1428" s="58" t="str">
        <f t="shared" si="7"/>
        <v/>
      </c>
      <c r="M1428" s="49"/>
      <c r="N1428" s="49"/>
      <c r="O1428" s="49"/>
      <c r="P1428" s="49"/>
      <c r="Q1428" s="49"/>
      <c r="R1428" s="49"/>
      <c r="S1428" s="49"/>
      <c r="T1428" s="49"/>
      <c r="U1428" s="49"/>
      <c r="V1428" s="49"/>
      <c r="W1428" s="56"/>
      <c r="X1428" s="51" t="str">
        <f t="shared" si="5"/>
        <v/>
      </c>
      <c r="Y1428" s="50" t="s">
        <v>482</v>
      </c>
      <c r="Z1428" s="49">
        <f t="shared" si="6"/>
        <v>0</v>
      </c>
    </row>
    <row r="1429" ht="22.5" customHeight="1">
      <c r="B1429" s="57"/>
      <c r="C1429" s="43" t="str">
        <f t="array" ref="C1429">IF(B1429="","",_xlfn.XLOOKUP(B1429,'Form responses 1'!$B$2:$B$2604,'Form responses 1'!$A$2:$A$2604,""))</f>
        <v/>
      </c>
      <c r="D1429" s="44" t="str">
        <f t="shared" si="3"/>
        <v/>
      </c>
      <c r="E1429" s="44" t="str">
        <f t="array" ref="E1429">IF(B1429="","",_xlfn.XLOOKUP(B1429,'Form responses 1'!$B$2:$B$2604,'Form responses 1'!$C$2:$C$2604,""))</f>
        <v/>
      </c>
      <c r="F1429" s="44" t="str">
        <f t="array" ref="F1429">IF(B1429="","",_xlfn.XLOOKUP(B1429,'Form responses 1'!$B$2:$B$2604,'Form responses 1'!$D$2:$D$2604,""))</f>
        <v/>
      </c>
      <c r="G1429" s="44" t="str">
        <f t="array" ref="G1429">IF(B1429="","",_xlfn.XLOOKUP(B1429,'Form responses 1'!$B$2:$B$2604,'Form responses 1'!$E$2:$E$2604,""))</f>
        <v/>
      </c>
      <c r="H1429" s="44" t="str">
        <f t="array" ref="H1429">IF(B1429="","",_xlfn.XLOOKUP(B1429,'Form responses 1'!$B$2:$B$2604,'Form responses 1'!$F$2:$F$2604,""))</f>
        <v/>
      </c>
      <c r="I1429" s="44" t="str">
        <f t="array" ref="I1429">IF(B1429="","",_xlfn.XLOOKUP(B1429,'Form responses 1'!$B$2:$B$2604,'Form responses 1'!$I$2:$I$2604,""))</f>
        <v/>
      </c>
      <c r="J1429" s="44" t="str">
        <f t="array" ref="J1429">IF(B1429="","",_xlfn.XLOOKUP(B1429,'Form responses 1'!$B$2:$B$2604,'Form responses 1'!$G$2:$G$2604,""))</f>
        <v/>
      </c>
      <c r="K1429" s="56"/>
      <c r="L1429" s="58" t="str">
        <f t="shared" si="7"/>
        <v/>
      </c>
      <c r="M1429" s="49"/>
      <c r="N1429" s="49"/>
      <c r="O1429" s="49"/>
      <c r="P1429" s="49"/>
      <c r="Q1429" s="49"/>
      <c r="R1429" s="49"/>
      <c r="S1429" s="49"/>
      <c r="T1429" s="49"/>
      <c r="U1429" s="49"/>
      <c r="V1429" s="49"/>
      <c r="W1429" s="56"/>
      <c r="X1429" s="51" t="str">
        <f t="shared" si="5"/>
        <v/>
      </c>
      <c r="Y1429" s="50" t="s">
        <v>482</v>
      </c>
      <c r="Z1429" s="49">
        <f t="shared" si="6"/>
        <v>0</v>
      </c>
    </row>
    <row r="1430" ht="22.5" customHeight="1">
      <c r="B1430" s="57"/>
      <c r="C1430" s="43" t="str">
        <f t="array" ref="C1430">IF(B1430="","",_xlfn.XLOOKUP(B1430,'Form responses 1'!$B$2:$B$2604,'Form responses 1'!$A$2:$A$2604,""))</f>
        <v/>
      </c>
      <c r="D1430" s="44" t="str">
        <f t="shared" si="3"/>
        <v/>
      </c>
      <c r="E1430" s="44" t="str">
        <f t="array" ref="E1430">IF(B1430="","",_xlfn.XLOOKUP(B1430,'Form responses 1'!$B$2:$B$2604,'Form responses 1'!$C$2:$C$2604,""))</f>
        <v/>
      </c>
      <c r="F1430" s="44" t="str">
        <f t="array" ref="F1430">IF(B1430="","",_xlfn.XLOOKUP(B1430,'Form responses 1'!$B$2:$B$2604,'Form responses 1'!$D$2:$D$2604,""))</f>
        <v/>
      </c>
      <c r="G1430" s="44" t="str">
        <f t="array" ref="G1430">IF(B1430="","",_xlfn.XLOOKUP(B1430,'Form responses 1'!$B$2:$B$2604,'Form responses 1'!$E$2:$E$2604,""))</f>
        <v/>
      </c>
      <c r="H1430" s="44" t="str">
        <f t="array" ref="H1430">IF(B1430="","",_xlfn.XLOOKUP(B1430,'Form responses 1'!$B$2:$B$2604,'Form responses 1'!$F$2:$F$2604,""))</f>
        <v/>
      </c>
      <c r="I1430" s="44" t="str">
        <f t="array" ref="I1430">IF(B1430="","",_xlfn.XLOOKUP(B1430,'Form responses 1'!$B$2:$B$2604,'Form responses 1'!$I$2:$I$2604,""))</f>
        <v/>
      </c>
      <c r="J1430" s="44" t="str">
        <f t="array" ref="J1430">IF(B1430="","",_xlfn.XLOOKUP(B1430,'Form responses 1'!$B$2:$B$2604,'Form responses 1'!$G$2:$G$2604,""))</f>
        <v/>
      </c>
      <c r="K1430" s="56"/>
      <c r="L1430" s="58" t="str">
        <f t="shared" si="7"/>
        <v/>
      </c>
      <c r="M1430" s="49"/>
      <c r="N1430" s="49"/>
      <c r="O1430" s="49"/>
      <c r="P1430" s="49"/>
      <c r="Q1430" s="49"/>
      <c r="R1430" s="49"/>
      <c r="S1430" s="49"/>
      <c r="T1430" s="49"/>
      <c r="U1430" s="49"/>
      <c r="V1430" s="49"/>
      <c r="W1430" s="56"/>
      <c r="X1430" s="51" t="str">
        <f t="shared" si="5"/>
        <v/>
      </c>
      <c r="Y1430" s="50" t="s">
        <v>482</v>
      </c>
      <c r="Z1430" s="49">
        <f t="shared" si="6"/>
        <v>0</v>
      </c>
    </row>
    <row r="1431" ht="22.5" customHeight="1">
      <c r="B1431" s="57"/>
      <c r="C1431" s="43" t="str">
        <f t="array" ref="C1431">IF(B1431="","",_xlfn.XLOOKUP(B1431,'Form responses 1'!$B$2:$B$2604,'Form responses 1'!$A$2:$A$2604,""))</f>
        <v/>
      </c>
      <c r="D1431" s="44" t="str">
        <f t="shared" si="3"/>
        <v/>
      </c>
      <c r="E1431" s="44" t="str">
        <f t="array" ref="E1431">IF(B1431="","",_xlfn.XLOOKUP(B1431,'Form responses 1'!$B$2:$B$2604,'Form responses 1'!$C$2:$C$2604,""))</f>
        <v/>
      </c>
      <c r="F1431" s="44" t="str">
        <f t="array" ref="F1431">IF(B1431="","",_xlfn.XLOOKUP(B1431,'Form responses 1'!$B$2:$B$2604,'Form responses 1'!$D$2:$D$2604,""))</f>
        <v/>
      </c>
      <c r="G1431" s="44" t="str">
        <f t="array" ref="G1431">IF(B1431="","",_xlfn.XLOOKUP(B1431,'Form responses 1'!$B$2:$B$2604,'Form responses 1'!$E$2:$E$2604,""))</f>
        <v/>
      </c>
      <c r="H1431" s="44" t="str">
        <f t="array" ref="H1431">IF(B1431="","",_xlfn.XLOOKUP(B1431,'Form responses 1'!$B$2:$B$2604,'Form responses 1'!$F$2:$F$2604,""))</f>
        <v/>
      </c>
      <c r="I1431" s="44" t="str">
        <f t="array" ref="I1431">IF(B1431="","",_xlfn.XLOOKUP(B1431,'Form responses 1'!$B$2:$B$2604,'Form responses 1'!$I$2:$I$2604,""))</f>
        <v/>
      </c>
      <c r="J1431" s="44" t="str">
        <f t="array" ref="J1431">IF(B1431="","",_xlfn.XLOOKUP(B1431,'Form responses 1'!$B$2:$B$2604,'Form responses 1'!$G$2:$G$2604,""))</f>
        <v/>
      </c>
      <c r="K1431" s="56"/>
      <c r="L1431" s="58" t="str">
        <f t="shared" si="7"/>
        <v/>
      </c>
      <c r="M1431" s="49"/>
      <c r="N1431" s="49"/>
      <c r="O1431" s="49"/>
      <c r="P1431" s="49"/>
      <c r="Q1431" s="49"/>
      <c r="R1431" s="49"/>
      <c r="S1431" s="49"/>
      <c r="T1431" s="49"/>
      <c r="U1431" s="49"/>
      <c r="V1431" s="49"/>
      <c r="W1431" s="56"/>
      <c r="X1431" s="51" t="str">
        <f t="shared" si="5"/>
        <v/>
      </c>
      <c r="Y1431" s="50" t="s">
        <v>482</v>
      </c>
      <c r="Z1431" s="49">
        <f t="shared" si="6"/>
        <v>0</v>
      </c>
    </row>
    <row r="1432" ht="22.5" customHeight="1">
      <c r="B1432" s="57"/>
      <c r="C1432" s="43" t="str">
        <f t="array" ref="C1432">IF(B1432="","",_xlfn.XLOOKUP(B1432,'Form responses 1'!$B$2:$B$2604,'Form responses 1'!$A$2:$A$2604,""))</f>
        <v/>
      </c>
      <c r="D1432" s="44" t="str">
        <f t="shared" si="3"/>
        <v/>
      </c>
      <c r="E1432" s="44" t="str">
        <f t="array" ref="E1432">IF(B1432="","",_xlfn.XLOOKUP(B1432,'Form responses 1'!$B$2:$B$2604,'Form responses 1'!$C$2:$C$2604,""))</f>
        <v/>
      </c>
      <c r="F1432" s="44" t="str">
        <f t="array" ref="F1432">IF(B1432="","",_xlfn.XLOOKUP(B1432,'Form responses 1'!$B$2:$B$2604,'Form responses 1'!$D$2:$D$2604,""))</f>
        <v/>
      </c>
      <c r="G1432" s="44" t="str">
        <f t="array" ref="G1432">IF(B1432="","",_xlfn.XLOOKUP(B1432,'Form responses 1'!$B$2:$B$2604,'Form responses 1'!$E$2:$E$2604,""))</f>
        <v/>
      </c>
      <c r="H1432" s="44" t="str">
        <f t="array" ref="H1432">IF(B1432="","",_xlfn.XLOOKUP(B1432,'Form responses 1'!$B$2:$B$2604,'Form responses 1'!$F$2:$F$2604,""))</f>
        <v/>
      </c>
      <c r="I1432" s="44" t="str">
        <f t="array" ref="I1432">IF(B1432="","",_xlfn.XLOOKUP(B1432,'Form responses 1'!$B$2:$B$2604,'Form responses 1'!$I$2:$I$2604,""))</f>
        <v/>
      </c>
      <c r="J1432" s="44" t="str">
        <f t="array" ref="J1432">IF(B1432="","",_xlfn.XLOOKUP(B1432,'Form responses 1'!$B$2:$B$2604,'Form responses 1'!$G$2:$G$2604,""))</f>
        <v/>
      </c>
      <c r="K1432" s="56"/>
      <c r="L1432" s="58" t="str">
        <f t="shared" si="7"/>
        <v/>
      </c>
      <c r="M1432" s="49"/>
      <c r="N1432" s="49"/>
      <c r="O1432" s="49"/>
      <c r="P1432" s="49"/>
      <c r="Q1432" s="49"/>
      <c r="R1432" s="49"/>
      <c r="S1432" s="49"/>
      <c r="T1432" s="49"/>
      <c r="U1432" s="49"/>
      <c r="V1432" s="49"/>
      <c r="W1432" s="56"/>
      <c r="X1432" s="51" t="str">
        <f t="shared" si="5"/>
        <v/>
      </c>
      <c r="Y1432" s="50" t="s">
        <v>482</v>
      </c>
      <c r="Z1432" s="49">
        <f t="shared" si="6"/>
        <v>0</v>
      </c>
    </row>
    <row r="1433" ht="22.5" customHeight="1">
      <c r="B1433" s="57"/>
      <c r="C1433" s="43" t="str">
        <f t="array" ref="C1433">IF(B1433="","",_xlfn.XLOOKUP(B1433,'Form responses 1'!$B$2:$B$2604,'Form responses 1'!$A$2:$A$2604,""))</f>
        <v/>
      </c>
      <c r="D1433" s="44" t="str">
        <f t="shared" si="3"/>
        <v/>
      </c>
      <c r="E1433" s="44" t="str">
        <f t="array" ref="E1433">IF(B1433="","",_xlfn.XLOOKUP(B1433,'Form responses 1'!$B$2:$B$2604,'Form responses 1'!$C$2:$C$2604,""))</f>
        <v/>
      </c>
      <c r="F1433" s="44" t="str">
        <f t="array" ref="F1433">IF(B1433="","",_xlfn.XLOOKUP(B1433,'Form responses 1'!$B$2:$B$2604,'Form responses 1'!$D$2:$D$2604,""))</f>
        <v/>
      </c>
      <c r="G1433" s="44" t="str">
        <f t="array" ref="G1433">IF(B1433="","",_xlfn.XLOOKUP(B1433,'Form responses 1'!$B$2:$B$2604,'Form responses 1'!$E$2:$E$2604,""))</f>
        <v/>
      </c>
      <c r="H1433" s="44" t="str">
        <f t="array" ref="H1433">IF(B1433="","",_xlfn.XLOOKUP(B1433,'Form responses 1'!$B$2:$B$2604,'Form responses 1'!$F$2:$F$2604,""))</f>
        <v/>
      </c>
      <c r="I1433" s="44" t="str">
        <f t="array" ref="I1433">IF(B1433="","",_xlfn.XLOOKUP(B1433,'Form responses 1'!$B$2:$B$2604,'Form responses 1'!$I$2:$I$2604,""))</f>
        <v/>
      </c>
      <c r="J1433" s="44" t="str">
        <f t="array" ref="J1433">IF(B1433="","",_xlfn.XLOOKUP(B1433,'Form responses 1'!$B$2:$B$2604,'Form responses 1'!$G$2:$G$2604,""))</f>
        <v/>
      </c>
      <c r="K1433" s="56"/>
      <c r="L1433" s="58" t="str">
        <f t="shared" si="7"/>
        <v/>
      </c>
      <c r="M1433" s="49"/>
      <c r="N1433" s="49"/>
      <c r="O1433" s="49"/>
      <c r="P1433" s="49"/>
      <c r="Q1433" s="49"/>
      <c r="R1433" s="49"/>
      <c r="S1433" s="49"/>
      <c r="T1433" s="49"/>
      <c r="U1433" s="49"/>
      <c r="V1433" s="49"/>
      <c r="W1433" s="56"/>
      <c r="X1433" s="51" t="str">
        <f t="shared" si="5"/>
        <v/>
      </c>
      <c r="Y1433" s="50" t="s">
        <v>482</v>
      </c>
      <c r="Z1433" s="49">
        <f t="shared" si="6"/>
        <v>0</v>
      </c>
    </row>
    <row r="1434" ht="22.5" customHeight="1">
      <c r="B1434" s="57"/>
      <c r="C1434" s="43" t="str">
        <f t="array" ref="C1434">IF(B1434="","",_xlfn.XLOOKUP(B1434,'Form responses 1'!$B$2:$B$2604,'Form responses 1'!$A$2:$A$2604,""))</f>
        <v/>
      </c>
      <c r="D1434" s="44" t="str">
        <f t="shared" si="3"/>
        <v/>
      </c>
      <c r="E1434" s="44" t="str">
        <f t="array" ref="E1434">IF(B1434="","",_xlfn.XLOOKUP(B1434,'Form responses 1'!$B$2:$B$2604,'Form responses 1'!$C$2:$C$2604,""))</f>
        <v/>
      </c>
      <c r="F1434" s="44" t="str">
        <f t="array" ref="F1434">IF(B1434="","",_xlfn.XLOOKUP(B1434,'Form responses 1'!$B$2:$B$2604,'Form responses 1'!$D$2:$D$2604,""))</f>
        <v/>
      </c>
      <c r="G1434" s="44" t="str">
        <f t="array" ref="G1434">IF(B1434="","",_xlfn.XLOOKUP(B1434,'Form responses 1'!$B$2:$B$2604,'Form responses 1'!$E$2:$E$2604,""))</f>
        <v/>
      </c>
      <c r="H1434" s="44" t="str">
        <f t="array" ref="H1434">IF(B1434="","",_xlfn.XLOOKUP(B1434,'Form responses 1'!$B$2:$B$2604,'Form responses 1'!$F$2:$F$2604,""))</f>
        <v/>
      </c>
      <c r="I1434" s="44" t="str">
        <f t="array" ref="I1434">IF(B1434="","",_xlfn.XLOOKUP(B1434,'Form responses 1'!$B$2:$B$2604,'Form responses 1'!$I$2:$I$2604,""))</f>
        <v/>
      </c>
      <c r="J1434" s="44" t="str">
        <f t="array" ref="J1434">IF(B1434="","",_xlfn.XLOOKUP(B1434,'Form responses 1'!$B$2:$B$2604,'Form responses 1'!$G$2:$G$2604,""))</f>
        <v/>
      </c>
      <c r="K1434" s="56"/>
      <c r="L1434" s="58" t="str">
        <f t="shared" si="7"/>
        <v/>
      </c>
      <c r="M1434" s="49"/>
      <c r="N1434" s="49"/>
      <c r="O1434" s="49"/>
      <c r="P1434" s="49"/>
      <c r="Q1434" s="49"/>
      <c r="R1434" s="49"/>
      <c r="S1434" s="49"/>
      <c r="T1434" s="49"/>
      <c r="U1434" s="49"/>
      <c r="V1434" s="49"/>
      <c r="W1434" s="56"/>
      <c r="X1434" s="51" t="str">
        <f t="shared" si="5"/>
        <v/>
      </c>
      <c r="Y1434" s="50" t="s">
        <v>482</v>
      </c>
      <c r="Z1434" s="49">
        <f t="shared" si="6"/>
        <v>0</v>
      </c>
    </row>
    <row r="1435" ht="22.5" customHeight="1">
      <c r="B1435" s="57"/>
      <c r="C1435" s="43" t="str">
        <f t="array" ref="C1435">IF(B1435="","",_xlfn.XLOOKUP(B1435,'Form responses 1'!$B$2:$B$2604,'Form responses 1'!$A$2:$A$2604,""))</f>
        <v/>
      </c>
      <c r="D1435" s="44" t="str">
        <f t="shared" si="3"/>
        <v/>
      </c>
      <c r="E1435" s="44" t="str">
        <f t="array" ref="E1435">IF(B1435="","",_xlfn.XLOOKUP(B1435,'Form responses 1'!$B$2:$B$2604,'Form responses 1'!$C$2:$C$2604,""))</f>
        <v/>
      </c>
      <c r="F1435" s="44" t="str">
        <f t="array" ref="F1435">IF(B1435="","",_xlfn.XLOOKUP(B1435,'Form responses 1'!$B$2:$B$2604,'Form responses 1'!$D$2:$D$2604,""))</f>
        <v/>
      </c>
      <c r="G1435" s="44" t="str">
        <f t="array" ref="G1435">IF(B1435="","",_xlfn.XLOOKUP(B1435,'Form responses 1'!$B$2:$B$2604,'Form responses 1'!$E$2:$E$2604,""))</f>
        <v/>
      </c>
      <c r="H1435" s="44" t="str">
        <f t="array" ref="H1435">IF(B1435="","",_xlfn.XLOOKUP(B1435,'Form responses 1'!$B$2:$B$2604,'Form responses 1'!$F$2:$F$2604,""))</f>
        <v/>
      </c>
      <c r="I1435" s="44" t="str">
        <f t="array" ref="I1435">IF(B1435="","",_xlfn.XLOOKUP(B1435,'Form responses 1'!$B$2:$B$2604,'Form responses 1'!$I$2:$I$2604,""))</f>
        <v/>
      </c>
      <c r="J1435" s="44" t="str">
        <f t="array" ref="J1435">IF(B1435="","",_xlfn.XLOOKUP(B1435,'Form responses 1'!$B$2:$B$2604,'Form responses 1'!$G$2:$G$2604,""))</f>
        <v/>
      </c>
      <c r="K1435" s="56"/>
      <c r="L1435" s="58" t="str">
        <f t="shared" si="7"/>
        <v/>
      </c>
      <c r="M1435" s="49"/>
      <c r="N1435" s="49"/>
      <c r="O1435" s="49"/>
      <c r="P1435" s="49"/>
      <c r="Q1435" s="49"/>
      <c r="R1435" s="49"/>
      <c r="S1435" s="49"/>
      <c r="T1435" s="49"/>
      <c r="U1435" s="49"/>
      <c r="V1435" s="49"/>
      <c r="W1435" s="56"/>
      <c r="X1435" s="51" t="str">
        <f t="shared" si="5"/>
        <v/>
      </c>
      <c r="Y1435" s="50" t="s">
        <v>482</v>
      </c>
      <c r="Z1435" s="49">
        <f t="shared" si="6"/>
        <v>0</v>
      </c>
    </row>
    <row r="1436" ht="22.5" customHeight="1">
      <c r="B1436" s="57"/>
      <c r="C1436" s="43" t="str">
        <f t="array" ref="C1436">IF(B1436="","",_xlfn.XLOOKUP(B1436,'Form responses 1'!$B$2:$B$2604,'Form responses 1'!$A$2:$A$2604,""))</f>
        <v/>
      </c>
      <c r="D1436" s="44" t="str">
        <f t="shared" si="3"/>
        <v/>
      </c>
      <c r="E1436" s="44" t="str">
        <f t="array" ref="E1436">IF(B1436="","",_xlfn.XLOOKUP(B1436,'Form responses 1'!$B$2:$B$2604,'Form responses 1'!$C$2:$C$2604,""))</f>
        <v/>
      </c>
      <c r="F1436" s="44" t="str">
        <f t="array" ref="F1436">IF(B1436="","",_xlfn.XLOOKUP(B1436,'Form responses 1'!$B$2:$B$2604,'Form responses 1'!$D$2:$D$2604,""))</f>
        <v/>
      </c>
      <c r="G1436" s="44" t="str">
        <f t="array" ref="G1436">IF(B1436="","",_xlfn.XLOOKUP(B1436,'Form responses 1'!$B$2:$B$2604,'Form responses 1'!$E$2:$E$2604,""))</f>
        <v/>
      </c>
      <c r="H1436" s="44" t="str">
        <f t="array" ref="H1436">IF(B1436="","",_xlfn.XLOOKUP(B1436,'Form responses 1'!$B$2:$B$2604,'Form responses 1'!$F$2:$F$2604,""))</f>
        <v/>
      </c>
      <c r="I1436" s="44" t="str">
        <f t="array" ref="I1436">IF(B1436="","",_xlfn.XLOOKUP(B1436,'Form responses 1'!$B$2:$B$2604,'Form responses 1'!$I$2:$I$2604,""))</f>
        <v/>
      </c>
      <c r="J1436" s="44" t="str">
        <f t="array" ref="J1436">IF(B1436="","",_xlfn.XLOOKUP(B1436,'Form responses 1'!$B$2:$B$2604,'Form responses 1'!$G$2:$G$2604,""))</f>
        <v/>
      </c>
      <c r="K1436" s="56"/>
      <c r="L1436" s="58" t="str">
        <f t="shared" si="7"/>
        <v/>
      </c>
      <c r="M1436" s="49"/>
      <c r="N1436" s="49"/>
      <c r="O1436" s="49"/>
      <c r="P1436" s="49"/>
      <c r="Q1436" s="49"/>
      <c r="R1436" s="49"/>
      <c r="S1436" s="49"/>
      <c r="T1436" s="49"/>
      <c r="U1436" s="49"/>
      <c r="V1436" s="49"/>
      <c r="W1436" s="56"/>
      <c r="X1436" s="51" t="str">
        <f t="shared" si="5"/>
        <v/>
      </c>
      <c r="Y1436" s="50" t="s">
        <v>482</v>
      </c>
      <c r="Z1436" s="49">
        <f t="shared" si="6"/>
        <v>0</v>
      </c>
    </row>
    <row r="1437" ht="22.5" customHeight="1">
      <c r="B1437" s="57"/>
      <c r="C1437" s="43" t="str">
        <f t="array" ref="C1437">IF(B1437="","",_xlfn.XLOOKUP(B1437,'Form responses 1'!$B$2:$B$2604,'Form responses 1'!$A$2:$A$2604,""))</f>
        <v/>
      </c>
      <c r="D1437" s="44" t="str">
        <f t="shared" si="3"/>
        <v/>
      </c>
      <c r="E1437" s="44" t="str">
        <f t="array" ref="E1437">IF(B1437="","",_xlfn.XLOOKUP(B1437,'Form responses 1'!$B$2:$B$2604,'Form responses 1'!$C$2:$C$2604,""))</f>
        <v/>
      </c>
      <c r="F1437" s="44" t="str">
        <f t="array" ref="F1437">IF(B1437="","",_xlfn.XLOOKUP(B1437,'Form responses 1'!$B$2:$B$2604,'Form responses 1'!$D$2:$D$2604,""))</f>
        <v/>
      </c>
      <c r="G1437" s="44" t="str">
        <f t="array" ref="G1437">IF(B1437="","",_xlfn.XLOOKUP(B1437,'Form responses 1'!$B$2:$B$2604,'Form responses 1'!$E$2:$E$2604,""))</f>
        <v/>
      </c>
      <c r="H1437" s="44" t="str">
        <f t="array" ref="H1437">IF(B1437="","",_xlfn.XLOOKUP(B1437,'Form responses 1'!$B$2:$B$2604,'Form responses 1'!$F$2:$F$2604,""))</f>
        <v/>
      </c>
      <c r="I1437" s="44" t="str">
        <f t="array" ref="I1437">IF(B1437="","",_xlfn.XLOOKUP(B1437,'Form responses 1'!$B$2:$B$2604,'Form responses 1'!$I$2:$I$2604,""))</f>
        <v/>
      </c>
      <c r="J1437" s="44" t="str">
        <f t="array" ref="J1437">IF(B1437="","",_xlfn.XLOOKUP(B1437,'Form responses 1'!$B$2:$B$2604,'Form responses 1'!$G$2:$G$2604,""))</f>
        <v/>
      </c>
      <c r="K1437" s="56"/>
      <c r="L1437" s="58" t="str">
        <f t="shared" si="7"/>
        <v/>
      </c>
      <c r="M1437" s="49"/>
      <c r="N1437" s="49"/>
      <c r="O1437" s="49"/>
      <c r="P1437" s="49"/>
      <c r="Q1437" s="49"/>
      <c r="R1437" s="49"/>
      <c r="S1437" s="49"/>
      <c r="T1437" s="49"/>
      <c r="U1437" s="49"/>
      <c r="V1437" s="49"/>
      <c r="W1437" s="56"/>
      <c r="X1437" s="51" t="str">
        <f t="shared" si="5"/>
        <v/>
      </c>
      <c r="Y1437" s="50" t="s">
        <v>482</v>
      </c>
      <c r="Z1437" s="49">
        <f t="shared" si="6"/>
        <v>0</v>
      </c>
    </row>
    <row r="1438" ht="22.5" customHeight="1">
      <c r="B1438" s="57"/>
      <c r="C1438" s="43" t="str">
        <f t="array" ref="C1438">IF(B1438="","",_xlfn.XLOOKUP(B1438,'Form responses 1'!$B$2:$B$2604,'Form responses 1'!$A$2:$A$2604,""))</f>
        <v/>
      </c>
      <c r="D1438" s="44" t="str">
        <f t="shared" si="3"/>
        <v/>
      </c>
      <c r="E1438" s="44" t="str">
        <f t="array" ref="E1438">IF(B1438="","",_xlfn.XLOOKUP(B1438,'Form responses 1'!$B$2:$B$2604,'Form responses 1'!$C$2:$C$2604,""))</f>
        <v/>
      </c>
      <c r="F1438" s="44" t="str">
        <f t="array" ref="F1438">IF(B1438="","",_xlfn.XLOOKUP(B1438,'Form responses 1'!$B$2:$B$2604,'Form responses 1'!$D$2:$D$2604,""))</f>
        <v/>
      </c>
      <c r="G1438" s="44" t="str">
        <f t="array" ref="G1438">IF(B1438="","",_xlfn.XLOOKUP(B1438,'Form responses 1'!$B$2:$B$2604,'Form responses 1'!$E$2:$E$2604,""))</f>
        <v/>
      </c>
      <c r="H1438" s="44" t="str">
        <f t="array" ref="H1438">IF(B1438="","",_xlfn.XLOOKUP(B1438,'Form responses 1'!$B$2:$B$2604,'Form responses 1'!$F$2:$F$2604,""))</f>
        <v/>
      </c>
      <c r="I1438" s="44" t="str">
        <f t="array" ref="I1438">IF(B1438="","",_xlfn.XLOOKUP(B1438,'Form responses 1'!$B$2:$B$2604,'Form responses 1'!$I$2:$I$2604,""))</f>
        <v/>
      </c>
      <c r="J1438" s="44" t="str">
        <f t="array" ref="J1438">IF(B1438="","",_xlfn.XLOOKUP(B1438,'Form responses 1'!$B$2:$B$2604,'Form responses 1'!$G$2:$G$2604,""))</f>
        <v/>
      </c>
      <c r="K1438" s="56"/>
      <c r="L1438" s="58" t="str">
        <f t="shared" si="7"/>
        <v/>
      </c>
      <c r="M1438" s="49"/>
      <c r="N1438" s="49"/>
      <c r="O1438" s="49"/>
      <c r="P1438" s="49"/>
      <c r="Q1438" s="49"/>
      <c r="R1438" s="49"/>
      <c r="S1438" s="49"/>
      <c r="T1438" s="49"/>
      <c r="U1438" s="49"/>
      <c r="V1438" s="49"/>
      <c r="W1438" s="56"/>
      <c r="X1438" s="51" t="str">
        <f t="shared" si="5"/>
        <v/>
      </c>
      <c r="Y1438" s="50" t="s">
        <v>482</v>
      </c>
      <c r="Z1438" s="49">
        <f t="shared" si="6"/>
        <v>0</v>
      </c>
    </row>
    <row r="1439" ht="22.5" customHeight="1">
      <c r="B1439" s="57"/>
      <c r="C1439" s="43" t="str">
        <f t="array" ref="C1439">IF(B1439="","",_xlfn.XLOOKUP(B1439,'Form responses 1'!$B$2:$B$2604,'Form responses 1'!$A$2:$A$2604,""))</f>
        <v/>
      </c>
      <c r="D1439" s="44" t="str">
        <f t="shared" si="3"/>
        <v/>
      </c>
      <c r="E1439" s="44" t="str">
        <f t="array" ref="E1439">IF(B1439="","",_xlfn.XLOOKUP(B1439,'Form responses 1'!$B$2:$B$2604,'Form responses 1'!$C$2:$C$2604,""))</f>
        <v/>
      </c>
      <c r="F1439" s="44" t="str">
        <f t="array" ref="F1439">IF(B1439="","",_xlfn.XLOOKUP(B1439,'Form responses 1'!$B$2:$B$2604,'Form responses 1'!$D$2:$D$2604,""))</f>
        <v/>
      </c>
      <c r="G1439" s="44" t="str">
        <f t="array" ref="G1439">IF(B1439="","",_xlfn.XLOOKUP(B1439,'Form responses 1'!$B$2:$B$2604,'Form responses 1'!$E$2:$E$2604,""))</f>
        <v/>
      </c>
      <c r="H1439" s="44" t="str">
        <f t="array" ref="H1439">IF(B1439="","",_xlfn.XLOOKUP(B1439,'Form responses 1'!$B$2:$B$2604,'Form responses 1'!$F$2:$F$2604,""))</f>
        <v/>
      </c>
      <c r="I1439" s="44" t="str">
        <f t="array" ref="I1439">IF(B1439="","",_xlfn.XLOOKUP(B1439,'Form responses 1'!$B$2:$B$2604,'Form responses 1'!$I$2:$I$2604,""))</f>
        <v/>
      </c>
      <c r="J1439" s="44" t="str">
        <f t="array" ref="J1439">IF(B1439="","",_xlfn.XLOOKUP(B1439,'Form responses 1'!$B$2:$B$2604,'Form responses 1'!$G$2:$G$2604,""))</f>
        <v/>
      </c>
      <c r="K1439" s="56"/>
      <c r="L1439" s="58" t="str">
        <f t="shared" si="7"/>
        <v/>
      </c>
      <c r="M1439" s="49"/>
      <c r="N1439" s="49"/>
      <c r="O1439" s="49"/>
      <c r="P1439" s="49"/>
      <c r="Q1439" s="49"/>
      <c r="R1439" s="49"/>
      <c r="S1439" s="49"/>
      <c r="T1439" s="49"/>
      <c r="U1439" s="49"/>
      <c r="V1439" s="49"/>
      <c r="W1439" s="56"/>
      <c r="X1439" s="51" t="str">
        <f t="shared" si="5"/>
        <v/>
      </c>
      <c r="Y1439" s="50" t="s">
        <v>482</v>
      </c>
      <c r="Z1439" s="49">
        <f t="shared" si="6"/>
        <v>0</v>
      </c>
    </row>
    <row r="1440" ht="22.5" customHeight="1">
      <c r="B1440" s="57"/>
      <c r="C1440" s="43" t="str">
        <f t="array" ref="C1440">IF(B1440="","",_xlfn.XLOOKUP(B1440,'Form responses 1'!$B$2:$B$2604,'Form responses 1'!$A$2:$A$2604,""))</f>
        <v/>
      </c>
      <c r="D1440" s="44" t="str">
        <f t="shared" si="3"/>
        <v/>
      </c>
      <c r="E1440" s="44" t="str">
        <f t="array" ref="E1440">IF(B1440="","",_xlfn.XLOOKUP(B1440,'Form responses 1'!$B$2:$B$2604,'Form responses 1'!$C$2:$C$2604,""))</f>
        <v/>
      </c>
      <c r="F1440" s="44" t="str">
        <f t="array" ref="F1440">IF(B1440="","",_xlfn.XLOOKUP(B1440,'Form responses 1'!$B$2:$B$2604,'Form responses 1'!$D$2:$D$2604,""))</f>
        <v/>
      </c>
      <c r="G1440" s="44" t="str">
        <f t="array" ref="G1440">IF(B1440="","",_xlfn.XLOOKUP(B1440,'Form responses 1'!$B$2:$B$2604,'Form responses 1'!$E$2:$E$2604,""))</f>
        <v/>
      </c>
      <c r="H1440" s="44" t="str">
        <f t="array" ref="H1440">IF(B1440="","",_xlfn.XLOOKUP(B1440,'Form responses 1'!$B$2:$B$2604,'Form responses 1'!$F$2:$F$2604,""))</f>
        <v/>
      </c>
      <c r="I1440" s="44" t="str">
        <f t="array" ref="I1440">IF(B1440="","",_xlfn.XLOOKUP(B1440,'Form responses 1'!$B$2:$B$2604,'Form responses 1'!$I$2:$I$2604,""))</f>
        <v/>
      </c>
      <c r="J1440" s="44" t="str">
        <f t="array" ref="J1440">IF(B1440="","",_xlfn.XLOOKUP(B1440,'Form responses 1'!$B$2:$B$2604,'Form responses 1'!$G$2:$G$2604,""))</f>
        <v/>
      </c>
      <c r="K1440" s="56"/>
      <c r="L1440" s="58" t="str">
        <f t="shared" si="7"/>
        <v/>
      </c>
      <c r="M1440" s="49"/>
      <c r="N1440" s="49"/>
      <c r="O1440" s="49"/>
      <c r="P1440" s="49"/>
      <c r="Q1440" s="49"/>
      <c r="R1440" s="49"/>
      <c r="S1440" s="49"/>
      <c r="T1440" s="49"/>
      <c r="U1440" s="49"/>
      <c r="V1440" s="49"/>
      <c r="W1440" s="56"/>
      <c r="X1440" s="51" t="str">
        <f t="shared" si="5"/>
        <v/>
      </c>
      <c r="Y1440" s="50" t="s">
        <v>482</v>
      </c>
      <c r="Z1440" s="49">
        <f t="shared" si="6"/>
        <v>0</v>
      </c>
    </row>
    <row r="1441" ht="22.5" customHeight="1">
      <c r="B1441" s="57"/>
      <c r="C1441" s="43" t="str">
        <f t="array" ref="C1441">IF(B1441="","",_xlfn.XLOOKUP(B1441,'Form responses 1'!$B$2:$B$2604,'Form responses 1'!$A$2:$A$2604,""))</f>
        <v/>
      </c>
      <c r="D1441" s="44" t="str">
        <f t="shared" si="3"/>
        <v/>
      </c>
      <c r="E1441" s="44" t="str">
        <f t="array" ref="E1441">IF(B1441="","",_xlfn.XLOOKUP(B1441,'Form responses 1'!$B$2:$B$2604,'Form responses 1'!$C$2:$C$2604,""))</f>
        <v/>
      </c>
      <c r="F1441" s="44" t="str">
        <f t="array" ref="F1441">IF(B1441="","",_xlfn.XLOOKUP(B1441,'Form responses 1'!$B$2:$B$2604,'Form responses 1'!$D$2:$D$2604,""))</f>
        <v/>
      </c>
      <c r="G1441" s="44" t="str">
        <f t="array" ref="G1441">IF(B1441="","",_xlfn.XLOOKUP(B1441,'Form responses 1'!$B$2:$B$2604,'Form responses 1'!$E$2:$E$2604,""))</f>
        <v/>
      </c>
      <c r="H1441" s="44" t="str">
        <f t="array" ref="H1441">IF(B1441="","",_xlfn.XLOOKUP(B1441,'Form responses 1'!$B$2:$B$2604,'Form responses 1'!$F$2:$F$2604,""))</f>
        <v/>
      </c>
      <c r="I1441" s="44" t="str">
        <f t="array" ref="I1441">IF(B1441="","",_xlfn.XLOOKUP(B1441,'Form responses 1'!$B$2:$B$2604,'Form responses 1'!$I$2:$I$2604,""))</f>
        <v/>
      </c>
      <c r="J1441" s="44" t="str">
        <f t="array" ref="J1441">IF(B1441="","",_xlfn.XLOOKUP(B1441,'Form responses 1'!$B$2:$B$2604,'Form responses 1'!$G$2:$G$2604,""))</f>
        <v/>
      </c>
      <c r="K1441" s="56"/>
      <c r="L1441" s="58" t="str">
        <f t="shared" si="7"/>
        <v/>
      </c>
      <c r="M1441" s="49"/>
      <c r="N1441" s="49"/>
      <c r="O1441" s="49"/>
      <c r="P1441" s="49"/>
      <c r="Q1441" s="49"/>
      <c r="R1441" s="49"/>
      <c r="S1441" s="49"/>
      <c r="T1441" s="49"/>
      <c r="U1441" s="49"/>
      <c r="V1441" s="49"/>
      <c r="W1441" s="56"/>
      <c r="X1441" s="51" t="str">
        <f t="shared" si="5"/>
        <v/>
      </c>
      <c r="Y1441" s="50" t="s">
        <v>482</v>
      </c>
      <c r="Z1441" s="49">
        <f t="shared" si="6"/>
        <v>0</v>
      </c>
    </row>
    <row r="1442" ht="22.5" customHeight="1">
      <c r="B1442" s="57"/>
      <c r="C1442" s="43" t="str">
        <f t="array" ref="C1442">IF(B1442="","",_xlfn.XLOOKUP(B1442,'Form responses 1'!$B$2:$B$2604,'Form responses 1'!$A$2:$A$2604,""))</f>
        <v/>
      </c>
      <c r="D1442" s="44" t="str">
        <f t="shared" si="3"/>
        <v/>
      </c>
      <c r="E1442" s="44" t="str">
        <f t="array" ref="E1442">IF(B1442="","",_xlfn.XLOOKUP(B1442,'Form responses 1'!$B$2:$B$2604,'Form responses 1'!$C$2:$C$2604,""))</f>
        <v/>
      </c>
      <c r="F1442" s="44" t="str">
        <f t="array" ref="F1442">IF(B1442="","",_xlfn.XLOOKUP(B1442,'Form responses 1'!$B$2:$B$2604,'Form responses 1'!$D$2:$D$2604,""))</f>
        <v/>
      </c>
      <c r="G1442" s="44" t="str">
        <f t="array" ref="G1442">IF(B1442="","",_xlfn.XLOOKUP(B1442,'Form responses 1'!$B$2:$B$2604,'Form responses 1'!$E$2:$E$2604,""))</f>
        <v/>
      </c>
      <c r="H1442" s="44" t="str">
        <f t="array" ref="H1442">IF(B1442="","",_xlfn.XLOOKUP(B1442,'Form responses 1'!$B$2:$B$2604,'Form responses 1'!$F$2:$F$2604,""))</f>
        <v/>
      </c>
      <c r="I1442" s="44" t="str">
        <f t="array" ref="I1442">IF(B1442="","",_xlfn.XLOOKUP(B1442,'Form responses 1'!$B$2:$B$2604,'Form responses 1'!$I$2:$I$2604,""))</f>
        <v/>
      </c>
      <c r="J1442" s="44" t="str">
        <f t="array" ref="J1442">IF(B1442="","",_xlfn.XLOOKUP(B1442,'Form responses 1'!$B$2:$B$2604,'Form responses 1'!$G$2:$G$2604,""))</f>
        <v/>
      </c>
      <c r="K1442" s="56"/>
      <c r="L1442" s="58" t="str">
        <f t="shared" si="7"/>
        <v/>
      </c>
      <c r="M1442" s="49"/>
      <c r="N1442" s="49"/>
      <c r="O1442" s="49"/>
      <c r="P1442" s="49"/>
      <c r="Q1442" s="49"/>
      <c r="R1442" s="49"/>
      <c r="S1442" s="49"/>
      <c r="T1442" s="49"/>
      <c r="U1442" s="49"/>
      <c r="V1442" s="49"/>
      <c r="W1442" s="56"/>
      <c r="X1442" s="51" t="str">
        <f t="shared" si="5"/>
        <v/>
      </c>
      <c r="Y1442" s="50" t="s">
        <v>482</v>
      </c>
      <c r="Z1442" s="49">
        <f t="shared" si="6"/>
        <v>0</v>
      </c>
    </row>
    <row r="1443" ht="22.5" customHeight="1">
      <c r="B1443" s="57"/>
      <c r="C1443" s="43" t="str">
        <f t="array" ref="C1443">IF(B1443="","",_xlfn.XLOOKUP(B1443,'Form responses 1'!$B$2:$B$2604,'Form responses 1'!$A$2:$A$2604,""))</f>
        <v/>
      </c>
      <c r="D1443" s="44" t="str">
        <f t="shared" si="3"/>
        <v/>
      </c>
      <c r="E1443" s="44" t="str">
        <f t="array" ref="E1443">IF(B1443="","",_xlfn.XLOOKUP(B1443,'Form responses 1'!$B$2:$B$2604,'Form responses 1'!$C$2:$C$2604,""))</f>
        <v/>
      </c>
      <c r="F1443" s="44" t="str">
        <f t="array" ref="F1443">IF(B1443="","",_xlfn.XLOOKUP(B1443,'Form responses 1'!$B$2:$B$2604,'Form responses 1'!$D$2:$D$2604,""))</f>
        <v/>
      </c>
      <c r="G1443" s="44" t="str">
        <f t="array" ref="G1443">IF(B1443="","",_xlfn.XLOOKUP(B1443,'Form responses 1'!$B$2:$B$2604,'Form responses 1'!$E$2:$E$2604,""))</f>
        <v/>
      </c>
      <c r="H1443" s="44" t="str">
        <f t="array" ref="H1443">IF(B1443="","",_xlfn.XLOOKUP(B1443,'Form responses 1'!$B$2:$B$2604,'Form responses 1'!$F$2:$F$2604,""))</f>
        <v/>
      </c>
      <c r="I1443" s="44" t="str">
        <f t="array" ref="I1443">IF(B1443="","",_xlfn.XLOOKUP(B1443,'Form responses 1'!$B$2:$B$2604,'Form responses 1'!$I$2:$I$2604,""))</f>
        <v/>
      </c>
      <c r="J1443" s="44" t="str">
        <f t="array" ref="J1443">IF(B1443="","",_xlfn.XLOOKUP(B1443,'Form responses 1'!$B$2:$B$2604,'Form responses 1'!$G$2:$G$2604,""))</f>
        <v/>
      </c>
      <c r="K1443" s="56"/>
      <c r="L1443" s="58" t="str">
        <f t="shared" si="7"/>
        <v/>
      </c>
      <c r="M1443" s="49"/>
      <c r="N1443" s="49"/>
      <c r="O1443" s="49"/>
      <c r="P1443" s="49"/>
      <c r="Q1443" s="49"/>
      <c r="R1443" s="49"/>
      <c r="S1443" s="49"/>
      <c r="T1443" s="49"/>
      <c r="U1443" s="49"/>
      <c r="V1443" s="49"/>
      <c r="W1443" s="56"/>
      <c r="X1443" s="51" t="str">
        <f t="shared" si="5"/>
        <v/>
      </c>
      <c r="Y1443" s="50" t="s">
        <v>482</v>
      </c>
      <c r="Z1443" s="49">
        <f t="shared" si="6"/>
        <v>0</v>
      </c>
    </row>
    <row r="1444" ht="22.5" customHeight="1">
      <c r="B1444" s="57"/>
      <c r="C1444" s="43" t="str">
        <f t="array" ref="C1444">IF(B1444="","",_xlfn.XLOOKUP(B1444,'Form responses 1'!$B$2:$B$2604,'Form responses 1'!$A$2:$A$2604,""))</f>
        <v/>
      </c>
      <c r="D1444" s="44" t="str">
        <f t="shared" si="3"/>
        <v/>
      </c>
      <c r="E1444" s="44" t="str">
        <f t="array" ref="E1444">IF(B1444="","",_xlfn.XLOOKUP(B1444,'Form responses 1'!$B$2:$B$2604,'Form responses 1'!$C$2:$C$2604,""))</f>
        <v/>
      </c>
      <c r="F1444" s="44" t="str">
        <f t="array" ref="F1444">IF(B1444="","",_xlfn.XLOOKUP(B1444,'Form responses 1'!$B$2:$B$2604,'Form responses 1'!$D$2:$D$2604,""))</f>
        <v/>
      </c>
      <c r="G1444" s="44" t="str">
        <f t="array" ref="G1444">IF(B1444="","",_xlfn.XLOOKUP(B1444,'Form responses 1'!$B$2:$B$2604,'Form responses 1'!$E$2:$E$2604,""))</f>
        <v/>
      </c>
      <c r="H1444" s="44" t="str">
        <f t="array" ref="H1444">IF(B1444="","",_xlfn.XLOOKUP(B1444,'Form responses 1'!$B$2:$B$2604,'Form responses 1'!$F$2:$F$2604,""))</f>
        <v/>
      </c>
      <c r="I1444" s="44" t="str">
        <f t="array" ref="I1444">IF(B1444="","",_xlfn.XLOOKUP(B1444,'Form responses 1'!$B$2:$B$2604,'Form responses 1'!$I$2:$I$2604,""))</f>
        <v/>
      </c>
      <c r="J1444" s="44" t="str">
        <f t="array" ref="J1444">IF(B1444="","",_xlfn.XLOOKUP(B1444,'Form responses 1'!$B$2:$B$2604,'Form responses 1'!$G$2:$G$2604,""))</f>
        <v/>
      </c>
      <c r="K1444" s="56"/>
      <c r="L1444" s="58" t="str">
        <f t="shared" si="7"/>
        <v/>
      </c>
      <c r="M1444" s="49"/>
      <c r="N1444" s="49"/>
      <c r="O1444" s="49"/>
      <c r="P1444" s="49"/>
      <c r="Q1444" s="49"/>
      <c r="R1444" s="49"/>
      <c r="S1444" s="49"/>
      <c r="T1444" s="49"/>
      <c r="U1444" s="49"/>
      <c r="V1444" s="49"/>
      <c r="W1444" s="56"/>
      <c r="X1444" s="51" t="str">
        <f t="shared" si="5"/>
        <v/>
      </c>
      <c r="Y1444" s="50" t="s">
        <v>482</v>
      </c>
      <c r="Z1444" s="49">
        <f t="shared" si="6"/>
        <v>0</v>
      </c>
    </row>
    <row r="1445" ht="22.5" customHeight="1">
      <c r="B1445" s="57"/>
      <c r="C1445" s="43" t="str">
        <f t="array" ref="C1445">IF(B1445="","",_xlfn.XLOOKUP(B1445,'Form responses 1'!$B$2:$B$2604,'Form responses 1'!$A$2:$A$2604,""))</f>
        <v/>
      </c>
      <c r="D1445" s="44" t="str">
        <f t="shared" si="3"/>
        <v/>
      </c>
      <c r="E1445" s="44" t="str">
        <f t="array" ref="E1445">IF(B1445="","",_xlfn.XLOOKUP(B1445,'Form responses 1'!$B$2:$B$2604,'Form responses 1'!$C$2:$C$2604,""))</f>
        <v/>
      </c>
      <c r="F1445" s="44" t="str">
        <f t="array" ref="F1445">IF(B1445="","",_xlfn.XLOOKUP(B1445,'Form responses 1'!$B$2:$B$2604,'Form responses 1'!$D$2:$D$2604,""))</f>
        <v/>
      </c>
      <c r="G1445" s="44" t="str">
        <f t="array" ref="G1445">IF(B1445="","",_xlfn.XLOOKUP(B1445,'Form responses 1'!$B$2:$B$2604,'Form responses 1'!$E$2:$E$2604,""))</f>
        <v/>
      </c>
      <c r="H1445" s="44" t="str">
        <f t="array" ref="H1445">IF(B1445="","",_xlfn.XLOOKUP(B1445,'Form responses 1'!$B$2:$B$2604,'Form responses 1'!$F$2:$F$2604,""))</f>
        <v/>
      </c>
      <c r="I1445" s="44" t="str">
        <f t="array" ref="I1445">IF(B1445="","",_xlfn.XLOOKUP(B1445,'Form responses 1'!$B$2:$B$2604,'Form responses 1'!$I$2:$I$2604,""))</f>
        <v/>
      </c>
      <c r="J1445" s="44" t="str">
        <f t="array" ref="J1445">IF(B1445="","",_xlfn.XLOOKUP(B1445,'Form responses 1'!$B$2:$B$2604,'Form responses 1'!$G$2:$G$2604,""))</f>
        <v/>
      </c>
      <c r="K1445" s="56"/>
      <c r="L1445" s="58" t="str">
        <f t="shared" si="7"/>
        <v/>
      </c>
      <c r="M1445" s="49"/>
      <c r="N1445" s="49"/>
      <c r="O1445" s="49"/>
      <c r="P1445" s="49"/>
      <c r="Q1445" s="49"/>
      <c r="R1445" s="49"/>
      <c r="S1445" s="49"/>
      <c r="T1445" s="49"/>
      <c r="U1445" s="49"/>
      <c r="V1445" s="49"/>
      <c r="W1445" s="56"/>
      <c r="X1445" s="51" t="str">
        <f t="shared" si="5"/>
        <v/>
      </c>
      <c r="Y1445" s="50" t="s">
        <v>482</v>
      </c>
      <c r="Z1445" s="49">
        <f t="shared" si="6"/>
        <v>0</v>
      </c>
    </row>
    <row r="1446" ht="22.5" customHeight="1">
      <c r="B1446" s="57"/>
      <c r="C1446" s="43" t="str">
        <f t="array" ref="C1446">IF(B1446="","",_xlfn.XLOOKUP(B1446,'Form responses 1'!$B$2:$B$2604,'Form responses 1'!$A$2:$A$2604,""))</f>
        <v/>
      </c>
      <c r="D1446" s="44" t="str">
        <f t="shared" si="3"/>
        <v/>
      </c>
      <c r="E1446" s="44" t="str">
        <f t="array" ref="E1446">IF(B1446="","",_xlfn.XLOOKUP(B1446,'Form responses 1'!$B$2:$B$2604,'Form responses 1'!$C$2:$C$2604,""))</f>
        <v/>
      </c>
      <c r="F1446" s="44" t="str">
        <f t="array" ref="F1446">IF(B1446="","",_xlfn.XLOOKUP(B1446,'Form responses 1'!$B$2:$B$2604,'Form responses 1'!$D$2:$D$2604,""))</f>
        <v/>
      </c>
      <c r="G1446" s="44" t="str">
        <f t="array" ref="G1446">IF(B1446="","",_xlfn.XLOOKUP(B1446,'Form responses 1'!$B$2:$B$2604,'Form responses 1'!$E$2:$E$2604,""))</f>
        <v/>
      </c>
      <c r="H1446" s="44" t="str">
        <f t="array" ref="H1446">IF(B1446="","",_xlfn.XLOOKUP(B1446,'Form responses 1'!$B$2:$B$2604,'Form responses 1'!$F$2:$F$2604,""))</f>
        <v/>
      </c>
      <c r="I1446" s="44" t="str">
        <f t="array" ref="I1446">IF(B1446="","",_xlfn.XLOOKUP(B1446,'Form responses 1'!$B$2:$B$2604,'Form responses 1'!$I$2:$I$2604,""))</f>
        <v/>
      </c>
      <c r="J1446" s="44" t="str">
        <f t="array" ref="J1446">IF(B1446="","",_xlfn.XLOOKUP(B1446,'Form responses 1'!$B$2:$B$2604,'Form responses 1'!$G$2:$G$2604,""))</f>
        <v/>
      </c>
      <c r="K1446" s="56"/>
      <c r="L1446" s="58" t="str">
        <f t="shared" si="7"/>
        <v/>
      </c>
      <c r="M1446" s="49"/>
      <c r="N1446" s="49"/>
      <c r="O1446" s="49"/>
      <c r="P1446" s="49"/>
      <c r="Q1446" s="49"/>
      <c r="R1446" s="49"/>
      <c r="S1446" s="49"/>
      <c r="T1446" s="49"/>
      <c r="U1446" s="49"/>
      <c r="V1446" s="49"/>
      <c r="W1446" s="56"/>
      <c r="X1446" s="51" t="str">
        <f t="shared" si="5"/>
        <v/>
      </c>
      <c r="Y1446" s="50" t="s">
        <v>482</v>
      </c>
      <c r="Z1446" s="49">
        <f t="shared" si="6"/>
        <v>0</v>
      </c>
    </row>
    <row r="1447" ht="22.5" customHeight="1">
      <c r="B1447" s="57"/>
      <c r="C1447" s="43" t="str">
        <f t="array" ref="C1447">IF(B1447="","",_xlfn.XLOOKUP(B1447,'Form responses 1'!$B$2:$B$2604,'Form responses 1'!$A$2:$A$2604,""))</f>
        <v/>
      </c>
      <c r="D1447" s="44" t="str">
        <f t="shared" si="3"/>
        <v/>
      </c>
      <c r="E1447" s="44" t="str">
        <f t="array" ref="E1447">IF(B1447="","",_xlfn.XLOOKUP(B1447,'Form responses 1'!$B$2:$B$2604,'Form responses 1'!$C$2:$C$2604,""))</f>
        <v/>
      </c>
      <c r="F1447" s="44" t="str">
        <f t="array" ref="F1447">IF(B1447="","",_xlfn.XLOOKUP(B1447,'Form responses 1'!$B$2:$B$2604,'Form responses 1'!$D$2:$D$2604,""))</f>
        <v/>
      </c>
      <c r="G1447" s="44" t="str">
        <f t="array" ref="G1447">IF(B1447="","",_xlfn.XLOOKUP(B1447,'Form responses 1'!$B$2:$B$2604,'Form responses 1'!$E$2:$E$2604,""))</f>
        <v/>
      </c>
      <c r="H1447" s="44" t="str">
        <f t="array" ref="H1447">IF(B1447="","",_xlfn.XLOOKUP(B1447,'Form responses 1'!$B$2:$B$2604,'Form responses 1'!$F$2:$F$2604,""))</f>
        <v/>
      </c>
      <c r="I1447" s="44" t="str">
        <f t="array" ref="I1447">IF(B1447="","",_xlfn.XLOOKUP(B1447,'Form responses 1'!$B$2:$B$2604,'Form responses 1'!$I$2:$I$2604,""))</f>
        <v/>
      </c>
      <c r="J1447" s="44" t="str">
        <f t="array" ref="J1447">IF(B1447="","",_xlfn.XLOOKUP(B1447,'Form responses 1'!$B$2:$B$2604,'Form responses 1'!$G$2:$G$2604,""))</f>
        <v/>
      </c>
      <c r="K1447" s="56"/>
      <c r="L1447" s="58" t="str">
        <f t="shared" si="7"/>
        <v/>
      </c>
      <c r="M1447" s="49"/>
      <c r="N1447" s="49"/>
      <c r="O1447" s="49"/>
      <c r="P1447" s="49"/>
      <c r="Q1447" s="49"/>
      <c r="R1447" s="49"/>
      <c r="S1447" s="49"/>
      <c r="T1447" s="49"/>
      <c r="U1447" s="49"/>
      <c r="V1447" s="49"/>
      <c r="W1447" s="56"/>
      <c r="X1447" s="51" t="str">
        <f t="shared" si="5"/>
        <v/>
      </c>
      <c r="Y1447" s="50" t="s">
        <v>482</v>
      </c>
      <c r="Z1447" s="49">
        <f t="shared" si="6"/>
        <v>0</v>
      </c>
    </row>
    <row r="1448" ht="22.5" customHeight="1">
      <c r="B1448" s="57"/>
      <c r="C1448" s="43" t="str">
        <f t="array" ref="C1448">IF(B1448="","",_xlfn.XLOOKUP(B1448,'Form responses 1'!$B$2:$B$2604,'Form responses 1'!$A$2:$A$2604,""))</f>
        <v/>
      </c>
      <c r="D1448" s="44" t="str">
        <f t="shared" si="3"/>
        <v/>
      </c>
      <c r="E1448" s="44" t="str">
        <f t="array" ref="E1448">IF(B1448="","",_xlfn.XLOOKUP(B1448,'Form responses 1'!$B$2:$B$2604,'Form responses 1'!$C$2:$C$2604,""))</f>
        <v/>
      </c>
      <c r="F1448" s="44" t="str">
        <f t="array" ref="F1448">IF(B1448="","",_xlfn.XLOOKUP(B1448,'Form responses 1'!$B$2:$B$2604,'Form responses 1'!$D$2:$D$2604,""))</f>
        <v/>
      </c>
      <c r="G1448" s="44" t="str">
        <f t="array" ref="G1448">IF(B1448="","",_xlfn.XLOOKUP(B1448,'Form responses 1'!$B$2:$B$2604,'Form responses 1'!$E$2:$E$2604,""))</f>
        <v/>
      </c>
      <c r="H1448" s="44" t="str">
        <f t="array" ref="H1448">IF(B1448="","",_xlfn.XLOOKUP(B1448,'Form responses 1'!$B$2:$B$2604,'Form responses 1'!$F$2:$F$2604,""))</f>
        <v/>
      </c>
      <c r="I1448" s="44" t="str">
        <f t="array" ref="I1448">IF(B1448="","",_xlfn.XLOOKUP(B1448,'Form responses 1'!$B$2:$B$2604,'Form responses 1'!$I$2:$I$2604,""))</f>
        <v/>
      </c>
      <c r="J1448" s="44" t="str">
        <f t="array" ref="J1448">IF(B1448="","",_xlfn.XLOOKUP(B1448,'Form responses 1'!$B$2:$B$2604,'Form responses 1'!$G$2:$G$2604,""))</f>
        <v/>
      </c>
      <c r="K1448" s="56"/>
      <c r="L1448" s="58" t="str">
        <f t="shared" si="7"/>
        <v/>
      </c>
      <c r="M1448" s="49"/>
      <c r="N1448" s="49"/>
      <c r="O1448" s="49"/>
      <c r="P1448" s="49"/>
      <c r="Q1448" s="49"/>
      <c r="R1448" s="49"/>
      <c r="S1448" s="49"/>
      <c r="T1448" s="49"/>
      <c r="U1448" s="49"/>
      <c r="V1448" s="49"/>
      <c r="W1448" s="56"/>
      <c r="X1448" s="51" t="str">
        <f t="shared" si="5"/>
        <v/>
      </c>
      <c r="Y1448" s="50" t="s">
        <v>482</v>
      </c>
      <c r="Z1448" s="49">
        <f t="shared" si="6"/>
        <v>0</v>
      </c>
    </row>
    <row r="1449" ht="22.5" customHeight="1">
      <c r="B1449" s="57"/>
      <c r="C1449" s="43" t="str">
        <f t="array" ref="C1449">IF(B1449="","",_xlfn.XLOOKUP(B1449,'Form responses 1'!$B$2:$B$2604,'Form responses 1'!$A$2:$A$2604,""))</f>
        <v/>
      </c>
      <c r="D1449" s="44" t="str">
        <f t="shared" si="3"/>
        <v/>
      </c>
      <c r="E1449" s="44" t="str">
        <f t="array" ref="E1449">IF(B1449="","",_xlfn.XLOOKUP(B1449,'Form responses 1'!$B$2:$B$2604,'Form responses 1'!$C$2:$C$2604,""))</f>
        <v/>
      </c>
      <c r="F1449" s="44" t="str">
        <f t="array" ref="F1449">IF(B1449="","",_xlfn.XLOOKUP(B1449,'Form responses 1'!$B$2:$B$2604,'Form responses 1'!$D$2:$D$2604,""))</f>
        <v/>
      </c>
      <c r="G1449" s="44" t="str">
        <f t="array" ref="G1449">IF(B1449="","",_xlfn.XLOOKUP(B1449,'Form responses 1'!$B$2:$B$2604,'Form responses 1'!$E$2:$E$2604,""))</f>
        <v/>
      </c>
      <c r="H1449" s="44" t="str">
        <f t="array" ref="H1449">IF(B1449="","",_xlfn.XLOOKUP(B1449,'Form responses 1'!$B$2:$B$2604,'Form responses 1'!$F$2:$F$2604,""))</f>
        <v/>
      </c>
      <c r="I1449" s="44" t="str">
        <f t="array" ref="I1449">IF(B1449="","",_xlfn.XLOOKUP(B1449,'Form responses 1'!$B$2:$B$2604,'Form responses 1'!$I$2:$I$2604,""))</f>
        <v/>
      </c>
      <c r="J1449" s="44" t="str">
        <f t="array" ref="J1449">IF(B1449="","",_xlfn.XLOOKUP(B1449,'Form responses 1'!$B$2:$B$2604,'Form responses 1'!$G$2:$G$2604,""))</f>
        <v/>
      </c>
      <c r="K1449" s="56"/>
      <c r="L1449" s="58" t="str">
        <f t="shared" si="7"/>
        <v/>
      </c>
      <c r="M1449" s="49"/>
      <c r="N1449" s="49"/>
      <c r="O1449" s="49"/>
      <c r="P1449" s="49"/>
      <c r="Q1449" s="49"/>
      <c r="R1449" s="49"/>
      <c r="S1449" s="49"/>
      <c r="T1449" s="49"/>
      <c r="U1449" s="49"/>
      <c r="V1449" s="49"/>
      <c r="W1449" s="56"/>
      <c r="X1449" s="51" t="str">
        <f t="shared" si="5"/>
        <v/>
      </c>
      <c r="Y1449" s="50" t="s">
        <v>482</v>
      </c>
      <c r="Z1449" s="49">
        <f t="shared" si="6"/>
        <v>0</v>
      </c>
    </row>
    <row r="1450" ht="22.5" customHeight="1">
      <c r="B1450" s="57"/>
      <c r="C1450" s="43" t="str">
        <f t="array" ref="C1450">IF(B1450="","",_xlfn.XLOOKUP(B1450,'Form responses 1'!$B$2:$B$2604,'Form responses 1'!$A$2:$A$2604,""))</f>
        <v/>
      </c>
      <c r="D1450" s="44" t="str">
        <f t="shared" si="3"/>
        <v/>
      </c>
      <c r="E1450" s="44" t="str">
        <f t="array" ref="E1450">IF(B1450="","",_xlfn.XLOOKUP(B1450,'Form responses 1'!$B$2:$B$2604,'Form responses 1'!$C$2:$C$2604,""))</f>
        <v/>
      </c>
      <c r="F1450" s="44" t="str">
        <f t="array" ref="F1450">IF(B1450="","",_xlfn.XLOOKUP(B1450,'Form responses 1'!$B$2:$B$2604,'Form responses 1'!$D$2:$D$2604,""))</f>
        <v/>
      </c>
      <c r="G1450" s="44" t="str">
        <f t="array" ref="G1450">IF(B1450="","",_xlfn.XLOOKUP(B1450,'Form responses 1'!$B$2:$B$2604,'Form responses 1'!$E$2:$E$2604,""))</f>
        <v/>
      </c>
      <c r="H1450" s="44" t="str">
        <f t="array" ref="H1450">IF(B1450="","",_xlfn.XLOOKUP(B1450,'Form responses 1'!$B$2:$B$2604,'Form responses 1'!$F$2:$F$2604,""))</f>
        <v/>
      </c>
      <c r="I1450" s="44" t="str">
        <f t="array" ref="I1450">IF(B1450="","",_xlfn.XLOOKUP(B1450,'Form responses 1'!$B$2:$B$2604,'Form responses 1'!$I$2:$I$2604,""))</f>
        <v/>
      </c>
      <c r="J1450" s="44" t="str">
        <f t="array" ref="J1450">IF(B1450="","",_xlfn.XLOOKUP(B1450,'Form responses 1'!$B$2:$B$2604,'Form responses 1'!$G$2:$G$2604,""))</f>
        <v/>
      </c>
      <c r="K1450" s="56"/>
      <c r="L1450" s="58" t="str">
        <f t="shared" si="7"/>
        <v/>
      </c>
      <c r="M1450" s="49"/>
      <c r="N1450" s="49"/>
      <c r="O1450" s="49"/>
      <c r="P1450" s="49"/>
      <c r="Q1450" s="49"/>
      <c r="R1450" s="49"/>
      <c r="S1450" s="49"/>
      <c r="T1450" s="49"/>
      <c r="U1450" s="49"/>
      <c r="V1450" s="49"/>
      <c r="W1450" s="56"/>
      <c r="X1450" s="51" t="str">
        <f t="shared" si="5"/>
        <v/>
      </c>
      <c r="Y1450" s="50" t="s">
        <v>482</v>
      </c>
      <c r="Z1450" s="49">
        <f t="shared" si="6"/>
        <v>0</v>
      </c>
    </row>
    <row r="1451" ht="22.5" customHeight="1">
      <c r="B1451" s="57"/>
      <c r="C1451" s="43" t="str">
        <f t="array" ref="C1451">IF(B1451="","",_xlfn.XLOOKUP(B1451,'Form responses 1'!$B$2:$B$2604,'Form responses 1'!$A$2:$A$2604,""))</f>
        <v/>
      </c>
      <c r="D1451" s="44" t="str">
        <f t="shared" si="3"/>
        <v/>
      </c>
      <c r="E1451" s="44" t="str">
        <f t="array" ref="E1451">IF(B1451="","",_xlfn.XLOOKUP(B1451,'Form responses 1'!$B$2:$B$2604,'Form responses 1'!$C$2:$C$2604,""))</f>
        <v/>
      </c>
      <c r="F1451" s="44" t="str">
        <f t="array" ref="F1451">IF(B1451="","",_xlfn.XLOOKUP(B1451,'Form responses 1'!$B$2:$B$2604,'Form responses 1'!$D$2:$D$2604,""))</f>
        <v/>
      </c>
      <c r="G1451" s="44" t="str">
        <f t="array" ref="G1451">IF(B1451="","",_xlfn.XLOOKUP(B1451,'Form responses 1'!$B$2:$B$2604,'Form responses 1'!$E$2:$E$2604,""))</f>
        <v/>
      </c>
      <c r="H1451" s="44" t="str">
        <f t="array" ref="H1451">IF(B1451="","",_xlfn.XLOOKUP(B1451,'Form responses 1'!$B$2:$B$2604,'Form responses 1'!$F$2:$F$2604,""))</f>
        <v/>
      </c>
      <c r="I1451" s="44" t="str">
        <f t="array" ref="I1451">IF(B1451="","",_xlfn.XLOOKUP(B1451,'Form responses 1'!$B$2:$B$2604,'Form responses 1'!$I$2:$I$2604,""))</f>
        <v/>
      </c>
      <c r="J1451" s="44" t="str">
        <f t="array" ref="J1451">IF(B1451="","",_xlfn.XLOOKUP(B1451,'Form responses 1'!$B$2:$B$2604,'Form responses 1'!$G$2:$G$2604,""))</f>
        <v/>
      </c>
      <c r="K1451" s="56"/>
      <c r="L1451" s="58" t="str">
        <f t="shared" si="7"/>
        <v/>
      </c>
      <c r="M1451" s="49"/>
      <c r="N1451" s="49"/>
      <c r="O1451" s="49"/>
      <c r="P1451" s="49"/>
      <c r="Q1451" s="49"/>
      <c r="R1451" s="49"/>
      <c r="S1451" s="49"/>
      <c r="T1451" s="49"/>
      <c r="U1451" s="49"/>
      <c r="V1451" s="49"/>
      <c r="W1451" s="56"/>
      <c r="X1451" s="51" t="str">
        <f t="shared" si="5"/>
        <v/>
      </c>
      <c r="Y1451" s="50" t="s">
        <v>482</v>
      </c>
      <c r="Z1451" s="49">
        <f t="shared" si="6"/>
        <v>0</v>
      </c>
    </row>
    <row r="1452" ht="22.5" customHeight="1">
      <c r="B1452" s="57"/>
      <c r="C1452" s="43" t="str">
        <f t="array" ref="C1452">IF(B1452="","",_xlfn.XLOOKUP(B1452,'Form responses 1'!$B$2:$B$2604,'Form responses 1'!$A$2:$A$2604,""))</f>
        <v/>
      </c>
      <c r="D1452" s="44" t="str">
        <f t="shared" si="3"/>
        <v/>
      </c>
      <c r="E1452" s="44" t="str">
        <f t="array" ref="E1452">IF(B1452="","",_xlfn.XLOOKUP(B1452,'Form responses 1'!$B$2:$B$2604,'Form responses 1'!$C$2:$C$2604,""))</f>
        <v/>
      </c>
      <c r="F1452" s="44" t="str">
        <f t="array" ref="F1452">IF(B1452="","",_xlfn.XLOOKUP(B1452,'Form responses 1'!$B$2:$B$2604,'Form responses 1'!$D$2:$D$2604,""))</f>
        <v/>
      </c>
      <c r="G1452" s="44" t="str">
        <f t="array" ref="G1452">IF(B1452="","",_xlfn.XLOOKUP(B1452,'Form responses 1'!$B$2:$B$2604,'Form responses 1'!$E$2:$E$2604,""))</f>
        <v/>
      </c>
      <c r="H1452" s="44" t="str">
        <f t="array" ref="H1452">IF(B1452="","",_xlfn.XLOOKUP(B1452,'Form responses 1'!$B$2:$B$2604,'Form responses 1'!$F$2:$F$2604,""))</f>
        <v/>
      </c>
      <c r="I1452" s="44" t="str">
        <f t="array" ref="I1452">IF(B1452="","",_xlfn.XLOOKUP(B1452,'Form responses 1'!$B$2:$B$2604,'Form responses 1'!$I$2:$I$2604,""))</f>
        <v/>
      </c>
      <c r="J1452" s="44" t="str">
        <f t="array" ref="J1452">IF(B1452="","",_xlfn.XLOOKUP(B1452,'Form responses 1'!$B$2:$B$2604,'Form responses 1'!$G$2:$G$2604,""))</f>
        <v/>
      </c>
      <c r="K1452" s="56"/>
      <c r="L1452" s="58" t="str">
        <f t="shared" si="7"/>
        <v/>
      </c>
      <c r="M1452" s="49"/>
      <c r="N1452" s="49"/>
      <c r="O1452" s="49"/>
      <c r="P1452" s="49"/>
      <c r="Q1452" s="49"/>
      <c r="R1452" s="49"/>
      <c r="S1452" s="49"/>
      <c r="T1452" s="49"/>
      <c r="U1452" s="49"/>
      <c r="V1452" s="49"/>
      <c r="W1452" s="56"/>
      <c r="X1452" s="51" t="str">
        <f t="shared" si="5"/>
        <v/>
      </c>
      <c r="Y1452" s="50" t="s">
        <v>482</v>
      </c>
      <c r="Z1452" s="49">
        <f t="shared" si="6"/>
        <v>0</v>
      </c>
    </row>
    <row r="1453" ht="22.5" customHeight="1">
      <c r="B1453" s="57"/>
      <c r="C1453" s="43" t="str">
        <f t="array" ref="C1453">IF(B1453="","",_xlfn.XLOOKUP(B1453,'Form responses 1'!$B$2:$B$2604,'Form responses 1'!$A$2:$A$2604,""))</f>
        <v/>
      </c>
      <c r="D1453" s="44" t="str">
        <f t="shared" si="3"/>
        <v/>
      </c>
      <c r="E1453" s="44" t="str">
        <f t="array" ref="E1453">IF(B1453="","",_xlfn.XLOOKUP(B1453,'Form responses 1'!$B$2:$B$2604,'Form responses 1'!$C$2:$C$2604,""))</f>
        <v/>
      </c>
      <c r="F1453" s="44" t="str">
        <f t="array" ref="F1453">IF(B1453="","",_xlfn.XLOOKUP(B1453,'Form responses 1'!$B$2:$B$2604,'Form responses 1'!$D$2:$D$2604,""))</f>
        <v/>
      </c>
      <c r="G1453" s="44" t="str">
        <f t="array" ref="G1453">IF(B1453="","",_xlfn.XLOOKUP(B1453,'Form responses 1'!$B$2:$B$2604,'Form responses 1'!$E$2:$E$2604,""))</f>
        <v/>
      </c>
      <c r="H1453" s="44" t="str">
        <f t="array" ref="H1453">IF(B1453="","",_xlfn.XLOOKUP(B1453,'Form responses 1'!$B$2:$B$2604,'Form responses 1'!$F$2:$F$2604,""))</f>
        <v/>
      </c>
      <c r="I1453" s="44" t="str">
        <f t="array" ref="I1453">IF(B1453="","",_xlfn.XLOOKUP(B1453,'Form responses 1'!$B$2:$B$2604,'Form responses 1'!$I$2:$I$2604,""))</f>
        <v/>
      </c>
      <c r="J1453" s="44" t="str">
        <f t="array" ref="J1453">IF(B1453="","",_xlfn.XLOOKUP(B1453,'Form responses 1'!$B$2:$B$2604,'Form responses 1'!$G$2:$G$2604,""))</f>
        <v/>
      </c>
      <c r="K1453" s="56"/>
      <c r="L1453" s="58" t="str">
        <f t="shared" si="7"/>
        <v/>
      </c>
      <c r="M1453" s="49"/>
      <c r="N1453" s="49"/>
      <c r="O1453" s="49"/>
      <c r="P1453" s="49"/>
      <c r="Q1453" s="49"/>
      <c r="R1453" s="49"/>
      <c r="S1453" s="49"/>
      <c r="T1453" s="49"/>
      <c r="U1453" s="49"/>
      <c r="V1453" s="49"/>
      <c r="W1453" s="56"/>
      <c r="X1453" s="51" t="str">
        <f t="shared" si="5"/>
        <v/>
      </c>
      <c r="Y1453" s="50" t="s">
        <v>482</v>
      </c>
      <c r="Z1453" s="49">
        <f t="shared" si="6"/>
        <v>0</v>
      </c>
    </row>
    <row r="1454" ht="22.5" customHeight="1">
      <c r="B1454" s="57"/>
      <c r="C1454" s="43" t="str">
        <f t="array" ref="C1454">IF(B1454="","",_xlfn.XLOOKUP(B1454,'Form responses 1'!$B$2:$B$2604,'Form responses 1'!$A$2:$A$2604,""))</f>
        <v/>
      </c>
      <c r="D1454" s="44" t="str">
        <f t="shared" si="3"/>
        <v/>
      </c>
      <c r="E1454" s="44" t="str">
        <f t="array" ref="E1454">IF(B1454="","",_xlfn.XLOOKUP(B1454,'Form responses 1'!$B$2:$B$2604,'Form responses 1'!$C$2:$C$2604,""))</f>
        <v/>
      </c>
      <c r="F1454" s="44" t="str">
        <f t="array" ref="F1454">IF(B1454="","",_xlfn.XLOOKUP(B1454,'Form responses 1'!$B$2:$B$2604,'Form responses 1'!$D$2:$D$2604,""))</f>
        <v/>
      </c>
      <c r="G1454" s="44" t="str">
        <f t="array" ref="G1454">IF(B1454="","",_xlfn.XLOOKUP(B1454,'Form responses 1'!$B$2:$B$2604,'Form responses 1'!$E$2:$E$2604,""))</f>
        <v/>
      </c>
      <c r="H1454" s="44" t="str">
        <f t="array" ref="H1454">IF(B1454="","",_xlfn.XLOOKUP(B1454,'Form responses 1'!$B$2:$B$2604,'Form responses 1'!$F$2:$F$2604,""))</f>
        <v/>
      </c>
      <c r="I1454" s="44" t="str">
        <f t="array" ref="I1454">IF(B1454="","",_xlfn.XLOOKUP(B1454,'Form responses 1'!$B$2:$B$2604,'Form responses 1'!$I$2:$I$2604,""))</f>
        <v/>
      </c>
      <c r="J1454" s="44" t="str">
        <f t="array" ref="J1454">IF(B1454="","",_xlfn.XLOOKUP(B1454,'Form responses 1'!$B$2:$B$2604,'Form responses 1'!$G$2:$G$2604,""))</f>
        <v/>
      </c>
      <c r="K1454" s="56"/>
      <c r="L1454" s="58" t="str">
        <f t="shared" si="7"/>
        <v/>
      </c>
      <c r="M1454" s="49"/>
      <c r="N1454" s="49"/>
      <c r="O1454" s="49"/>
      <c r="P1454" s="49"/>
      <c r="Q1454" s="49"/>
      <c r="R1454" s="49"/>
      <c r="S1454" s="49"/>
      <c r="T1454" s="49"/>
      <c r="U1454" s="49"/>
      <c r="V1454" s="49"/>
      <c r="W1454" s="56"/>
      <c r="X1454" s="51" t="str">
        <f t="shared" si="5"/>
        <v/>
      </c>
      <c r="Y1454" s="50" t="s">
        <v>482</v>
      </c>
      <c r="Z1454" s="49">
        <f t="shared" si="6"/>
        <v>0</v>
      </c>
    </row>
    <row r="1455" ht="22.5" customHeight="1">
      <c r="B1455" s="57"/>
      <c r="C1455" s="43" t="str">
        <f t="array" ref="C1455">IF(B1455="","",_xlfn.XLOOKUP(B1455,'Form responses 1'!$B$2:$B$2604,'Form responses 1'!$A$2:$A$2604,""))</f>
        <v/>
      </c>
      <c r="D1455" s="44" t="str">
        <f t="shared" si="3"/>
        <v/>
      </c>
      <c r="E1455" s="44" t="str">
        <f t="array" ref="E1455">IF(B1455="","",_xlfn.XLOOKUP(B1455,'Form responses 1'!$B$2:$B$2604,'Form responses 1'!$C$2:$C$2604,""))</f>
        <v/>
      </c>
      <c r="F1455" s="44" t="str">
        <f t="array" ref="F1455">IF(B1455="","",_xlfn.XLOOKUP(B1455,'Form responses 1'!$B$2:$B$2604,'Form responses 1'!$D$2:$D$2604,""))</f>
        <v/>
      </c>
      <c r="G1455" s="44" t="str">
        <f t="array" ref="G1455">IF(B1455="","",_xlfn.XLOOKUP(B1455,'Form responses 1'!$B$2:$B$2604,'Form responses 1'!$E$2:$E$2604,""))</f>
        <v/>
      </c>
      <c r="H1455" s="44" t="str">
        <f t="array" ref="H1455">IF(B1455="","",_xlfn.XLOOKUP(B1455,'Form responses 1'!$B$2:$B$2604,'Form responses 1'!$F$2:$F$2604,""))</f>
        <v/>
      </c>
      <c r="I1455" s="44" t="str">
        <f t="array" ref="I1455">IF(B1455="","",_xlfn.XLOOKUP(B1455,'Form responses 1'!$B$2:$B$2604,'Form responses 1'!$I$2:$I$2604,""))</f>
        <v/>
      </c>
      <c r="J1455" s="44" t="str">
        <f t="array" ref="J1455">IF(B1455="","",_xlfn.XLOOKUP(B1455,'Form responses 1'!$B$2:$B$2604,'Form responses 1'!$G$2:$G$2604,""))</f>
        <v/>
      </c>
      <c r="K1455" s="56"/>
      <c r="L1455" s="58" t="str">
        <f t="shared" si="7"/>
        <v/>
      </c>
      <c r="M1455" s="49"/>
      <c r="N1455" s="49"/>
      <c r="O1455" s="49"/>
      <c r="P1455" s="49"/>
      <c r="Q1455" s="49"/>
      <c r="R1455" s="49"/>
      <c r="S1455" s="49"/>
      <c r="T1455" s="49"/>
      <c r="U1455" s="49"/>
      <c r="V1455" s="49"/>
      <c r="W1455" s="56"/>
      <c r="X1455" s="51" t="str">
        <f t="shared" si="5"/>
        <v/>
      </c>
      <c r="Y1455" s="50" t="s">
        <v>482</v>
      </c>
      <c r="Z1455" s="49">
        <f t="shared" si="6"/>
        <v>0</v>
      </c>
    </row>
    <row r="1456" ht="22.5" customHeight="1">
      <c r="B1456" s="57"/>
      <c r="C1456" s="43" t="str">
        <f t="array" ref="C1456">IF(B1456="","",_xlfn.XLOOKUP(B1456,'Form responses 1'!$B$2:$B$2604,'Form responses 1'!$A$2:$A$2604,""))</f>
        <v/>
      </c>
      <c r="D1456" s="44" t="str">
        <f t="shared" si="3"/>
        <v/>
      </c>
      <c r="E1456" s="44" t="str">
        <f t="array" ref="E1456">IF(B1456="","",_xlfn.XLOOKUP(B1456,'Form responses 1'!$B$2:$B$2604,'Form responses 1'!$C$2:$C$2604,""))</f>
        <v/>
      </c>
      <c r="F1456" s="44" t="str">
        <f t="array" ref="F1456">IF(B1456="","",_xlfn.XLOOKUP(B1456,'Form responses 1'!$B$2:$B$2604,'Form responses 1'!$D$2:$D$2604,""))</f>
        <v/>
      </c>
      <c r="G1456" s="44" t="str">
        <f t="array" ref="G1456">IF(B1456="","",_xlfn.XLOOKUP(B1456,'Form responses 1'!$B$2:$B$2604,'Form responses 1'!$E$2:$E$2604,""))</f>
        <v/>
      </c>
      <c r="H1456" s="44" t="str">
        <f t="array" ref="H1456">IF(B1456="","",_xlfn.XLOOKUP(B1456,'Form responses 1'!$B$2:$B$2604,'Form responses 1'!$F$2:$F$2604,""))</f>
        <v/>
      </c>
      <c r="I1456" s="44" t="str">
        <f t="array" ref="I1456">IF(B1456="","",_xlfn.XLOOKUP(B1456,'Form responses 1'!$B$2:$B$2604,'Form responses 1'!$I$2:$I$2604,""))</f>
        <v/>
      </c>
      <c r="J1456" s="44" t="str">
        <f t="array" ref="J1456">IF(B1456="","",_xlfn.XLOOKUP(B1456,'Form responses 1'!$B$2:$B$2604,'Form responses 1'!$G$2:$G$2604,""))</f>
        <v/>
      </c>
      <c r="K1456" s="56"/>
      <c r="L1456" s="58" t="str">
        <f t="shared" si="7"/>
        <v/>
      </c>
      <c r="M1456" s="49"/>
      <c r="N1456" s="49"/>
      <c r="O1456" s="49"/>
      <c r="P1456" s="49"/>
      <c r="Q1456" s="49"/>
      <c r="R1456" s="49"/>
      <c r="S1456" s="49"/>
      <c r="T1456" s="49"/>
      <c r="U1456" s="49"/>
      <c r="V1456" s="49"/>
      <c r="W1456" s="56"/>
      <c r="X1456" s="51" t="str">
        <f t="shared" si="5"/>
        <v/>
      </c>
      <c r="Y1456" s="50" t="s">
        <v>482</v>
      </c>
      <c r="Z1456" s="49">
        <f t="shared" si="6"/>
        <v>0</v>
      </c>
    </row>
    <row r="1457" ht="22.5" customHeight="1">
      <c r="B1457" s="57"/>
      <c r="C1457" s="43" t="str">
        <f t="array" ref="C1457">IF(B1457="","",_xlfn.XLOOKUP(B1457,'Form responses 1'!$B$2:$B$2604,'Form responses 1'!$A$2:$A$2604,""))</f>
        <v/>
      </c>
      <c r="D1457" s="44" t="str">
        <f t="shared" si="3"/>
        <v/>
      </c>
      <c r="E1457" s="44" t="str">
        <f t="array" ref="E1457">IF(B1457="","",_xlfn.XLOOKUP(B1457,'Form responses 1'!$B$2:$B$2604,'Form responses 1'!$C$2:$C$2604,""))</f>
        <v/>
      </c>
      <c r="F1457" s="44" t="str">
        <f t="array" ref="F1457">IF(B1457="","",_xlfn.XLOOKUP(B1457,'Form responses 1'!$B$2:$B$2604,'Form responses 1'!$D$2:$D$2604,""))</f>
        <v/>
      </c>
      <c r="G1457" s="44" t="str">
        <f t="array" ref="G1457">IF(B1457="","",_xlfn.XLOOKUP(B1457,'Form responses 1'!$B$2:$B$2604,'Form responses 1'!$E$2:$E$2604,""))</f>
        <v/>
      </c>
      <c r="H1457" s="44" t="str">
        <f t="array" ref="H1457">IF(B1457="","",_xlfn.XLOOKUP(B1457,'Form responses 1'!$B$2:$B$2604,'Form responses 1'!$F$2:$F$2604,""))</f>
        <v/>
      </c>
      <c r="I1457" s="44" t="str">
        <f t="array" ref="I1457">IF(B1457="","",_xlfn.XLOOKUP(B1457,'Form responses 1'!$B$2:$B$2604,'Form responses 1'!$I$2:$I$2604,""))</f>
        <v/>
      </c>
      <c r="J1457" s="44" t="str">
        <f t="array" ref="J1457">IF(B1457="","",_xlfn.XLOOKUP(B1457,'Form responses 1'!$B$2:$B$2604,'Form responses 1'!$G$2:$G$2604,""))</f>
        <v/>
      </c>
      <c r="K1457" s="56"/>
      <c r="L1457" s="58" t="str">
        <f t="shared" si="7"/>
        <v/>
      </c>
      <c r="M1457" s="49"/>
      <c r="N1457" s="49"/>
      <c r="O1457" s="49"/>
      <c r="P1457" s="49"/>
      <c r="Q1457" s="49"/>
      <c r="R1457" s="49"/>
      <c r="S1457" s="49"/>
      <c r="T1457" s="49"/>
      <c r="U1457" s="49"/>
      <c r="V1457" s="49"/>
      <c r="W1457" s="56"/>
      <c r="X1457" s="51" t="str">
        <f t="shared" si="5"/>
        <v/>
      </c>
      <c r="Y1457" s="50" t="s">
        <v>482</v>
      </c>
      <c r="Z1457" s="49">
        <f t="shared" si="6"/>
        <v>0</v>
      </c>
    </row>
    <row r="1458" ht="22.5" customHeight="1">
      <c r="B1458" s="57"/>
      <c r="C1458" s="43" t="str">
        <f t="array" ref="C1458">IF(B1458="","",_xlfn.XLOOKUP(B1458,'Form responses 1'!$B$2:$B$2604,'Form responses 1'!$A$2:$A$2604,""))</f>
        <v/>
      </c>
      <c r="D1458" s="44" t="str">
        <f t="shared" si="3"/>
        <v/>
      </c>
      <c r="E1458" s="44" t="str">
        <f t="array" ref="E1458">IF(B1458="","",_xlfn.XLOOKUP(B1458,'Form responses 1'!$B$2:$B$2604,'Form responses 1'!$C$2:$C$2604,""))</f>
        <v/>
      </c>
      <c r="F1458" s="44" t="str">
        <f t="array" ref="F1458">IF(B1458="","",_xlfn.XLOOKUP(B1458,'Form responses 1'!$B$2:$B$2604,'Form responses 1'!$D$2:$D$2604,""))</f>
        <v/>
      </c>
      <c r="G1458" s="44" t="str">
        <f t="array" ref="G1458">IF(B1458="","",_xlfn.XLOOKUP(B1458,'Form responses 1'!$B$2:$B$2604,'Form responses 1'!$E$2:$E$2604,""))</f>
        <v/>
      </c>
      <c r="H1458" s="44" t="str">
        <f t="array" ref="H1458">IF(B1458="","",_xlfn.XLOOKUP(B1458,'Form responses 1'!$B$2:$B$2604,'Form responses 1'!$F$2:$F$2604,""))</f>
        <v/>
      </c>
      <c r="I1458" s="44" t="str">
        <f t="array" ref="I1458">IF(B1458="","",_xlfn.XLOOKUP(B1458,'Form responses 1'!$B$2:$B$2604,'Form responses 1'!$I$2:$I$2604,""))</f>
        <v/>
      </c>
      <c r="J1458" s="44" t="str">
        <f t="array" ref="J1458">IF(B1458="","",_xlfn.XLOOKUP(B1458,'Form responses 1'!$B$2:$B$2604,'Form responses 1'!$G$2:$G$2604,""))</f>
        <v/>
      </c>
      <c r="K1458" s="56"/>
      <c r="L1458" s="58" t="str">
        <f t="shared" si="7"/>
        <v/>
      </c>
      <c r="M1458" s="49"/>
      <c r="N1458" s="49"/>
      <c r="O1458" s="49"/>
      <c r="P1458" s="49"/>
      <c r="Q1458" s="49"/>
      <c r="R1458" s="49"/>
      <c r="S1458" s="49"/>
      <c r="T1458" s="49"/>
      <c r="U1458" s="49"/>
      <c r="V1458" s="49"/>
      <c r="W1458" s="56"/>
      <c r="X1458" s="51" t="str">
        <f t="shared" si="5"/>
        <v/>
      </c>
      <c r="Y1458" s="50" t="s">
        <v>482</v>
      </c>
      <c r="Z1458" s="49">
        <f t="shared" si="6"/>
        <v>0</v>
      </c>
    </row>
    <row r="1459" ht="22.5" customHeight="1">
      <c r="B1459" s="57"/>
      <c r="C1459" s="43" t="str">
        <f t="array" ref="C1459">IF(B1459="","",_xlfn.XLOOKUP(B1459,'Form responses 1'!$B$2:$B$2604,'Form responses 1'!$A$2:$A$2604,""))</f>
        <v/>
      </c>
      <c r="D1459" s="44" t="str">
        <f t="shared" si="3"/>
        <v/>
      </c>
      <c r="E1459" s="44" t="str">
        <f t="array" ref="E1459">IF(B1459="","",_xlfn.XLOOKUP(B1459,'Form responses 1'!$B$2:$B$2604,'Form responses 1'!$C$2:$C$2604,""))</f>
        <v/>
      </c>
      <c r="F1459" s="44" t="str">
        <f t="array" ref="F1459">IF(B1459="","",_xlfn.XLOOKUP(B1459,'Form responses 1'!$B$2:$B$2604,'Form responses 1'!$D$2:$D$2604,""))</f>
        <v/>
      </c>
      <c r="G1459" s="44" t="str">
        <f t="array" ref="G1459">IF(B1459="","",_xlfn.XLOOKUP(B1459,'Form responses 1'!$B$2:$B$2604,'Form responses 1'!$E$2:$E$2604,""))</f>
        <v/>
      </c>
      <c r="H1459" s="44" t="str">
        <f t="array" ref="H1459">IF(B1459="","",_xlfn.XLOOKUP(B1459,'Form responses 1'!$B$2:$B$2604,'Form responses 1'!$F$2:$F$2604,""))</f>
        <v/>
      </c>
      <c r="I1459" s="44" t="str">
        <f t="array" ref="I1459">IF(B1459="","",_xlfn.XLOOKUP(B1459,'Form responses 1'!$B$2:$B$2604,'Form responses 1'!$I$2:$I$2604,""))</f>
        <v/>
      </c>
      <c r="J1459" s="44" t="str">
        <f t="array" ref="J1459">IF(B1459="","",_xlfn.XLOOKUP(B1459,'Form responses 1'!$B$2:$B$2604,'Form responses 1'!$G$2:$G$2604,""))</f>
        <v/>
      </c>
      <c r="K1459" s="56"/>
      <c r="L1459" s="58" t="str">
        <f t="shared" si="7"/>
        <v/>
      </c>
      <c r="M1459" s="49"/>
      <c r="N1459" s="49"/>
      <c r="O1459" s="49"/>
      <c r="P1459" s="49"/>
      <c r="Q1459" s="49"/>
      <c r="R1459" s="49"/>
      <c r="S1459" s="49"/>
      <c r="T1459" s="49"/>
      <c r="U1459" s="49"/>
      <c r="V1459" s="49"/>
      <c r="W1459" s="56"/>
      <c r="X1459" s="51" t="str">
        <f t="shared" si="5"/>
        <v/>
      </c>
      <c r="Y1459" s="50" t="s">
        <v>482</v>
      </c>
      <c r="Z1459" s="49">
        <f t="shared" si="6"/>
        <v>0</v>
      </c>
    </row>
    <row r="1460" ht="22.5" customHeight="1">
      <c r="B1460" s="57"/>
      <c r="C1460" s="43" t="str">
        <f t="array" ref="C1460">IF(B1460="","",_xlfn.XLOOKUP(B1460,'Form responses 1'!$B$2:$B$2604,'Form responses 1'!$A$2:$A$2604,""))</f>
        <v/>
      </c>
      <c r="D1460" s="44" t="str">
        <f t="shared" si="3"/>
        <v/>
      </c>
      <c r="E1460" s="44" t="str">
        <f t="array" ref="E1460">IF(B1460="","",_xlfn.XLOOKUP(B1460,'Form responses 1'!$B$2:$B$2604,'Form responses 1'!$C$2:$C$2604,""))</f>
        <v/>
      </c>
      <c r="F1460" s="44" t="str">
        <f t="array" ref="F1460">IF(B1460="","",_xlfn.XLOOKUP(B1460,'Form responses 1'!$B$2:$B$2604,'Form responses 1'!$D$2:$D$2604,""))</f>
        <v/>
      </c>
      <c r="G1460" s="44" t="str">
        <f t="array" ref="G1460">IF(B1460="","",_xlfn.XLOOKUP(B1460,'Form responses 1'!$B$2:$B$2604,'Form responses 1'!$E$2:$E$2604,""))</f>
        <v/>
      </c>
      <c r="H1460" s="44" t="str">
        <f t="array" ref="H1460">IF(B1460="","",_xlfn.XLOOKUP(B1460,'Form responses 1'!$B$2:$B$2604,'Form responses 1'!$F$2:$F$2604,""))</f>
        <v/>
      </c>
      <c r="I1460" s="44" t="str">
        <f t="array" ref="I1460">IF(B1460="","",_xlfn.XLOOKUP(B1460,'Form responses 1'!$B$2:$B$2604,'Form responses 1'!$I$2:$I$2604,""))</f>
        <v/>
      </c>
      <c r="J1460" s="44" t="str">
        <f t="array" ref="J1460">IF(B1460="","",_xlfn.XLOOKUP(B1460,'Form responses 1'!$B$2:$B$2604,'Form responses 1'!$G$2:$G$2604,""))</f>
        <v/>
      </c>
      <c r="K1460" s="56"/>
      <c r="L1460" s="58" t="str">
        <f t="shared" si="7"/>
        <v/>
      </c>
      <c r="M1460" s="49"/>
      <c r="N1460" s="49"/>
      <c r="O1460" s="49"/>
      <c r="P1460" s="49"/>
      <c r="Q1460" s="49"/>
      <c r="R1460" s="49"/>
      <c r="S1460" s="49"/>
      <c r="T1460" s="49"/>
      <c r="U1460" s="49"/>
      <c r="V1460" s="49"/>
      <c r="W1460" s="56"/>
      <c r="X1460" s="51" t="str">
        <f t="shared" si="5"/>
        <v/>
      </c>
      <c r="Y1460" s="50" t="s">
        <v>482</v>
      </c>
      <c r="Z1460" s="49">
        <f t="shared" si="6"/>
        <v>0</v>
      </c>
    </row>
    <row r="1461" ht="22.5" customHeight="1">
      <c r="B1461" s="57"/>
      <c r="C1461" s="43" t="str">
        <f t="array" ref="C1461">IF(B1461="","",_xlfn.XLOOKUP(B1461,'Form responses 1'!$B$2:$B$2604,'Form responses 1'!$A$2:$A$2604,""))</f>
        <v/>
      </c>
      <c r="D1461" s="44" t="str">
        <f t="shared" si="3"/>
        <v/>
      </c>
      <c r="E1461" s="44" t="str">
        <f t="array" ref="E1461">IF(B1461="","",_xlfn.XLOOKUP(B1461,'Form responses 1'!$B$2:$B$2604,'Form responses 1'!$C$2:$C$2604,""))</f>
        <v/>
      </c>
      <c r="F1461" s="44" t="str">
        <f t="array" ref="F1461">IF(B1461="","",_xlfn.XLOOKUP(B1461,'Form responses 1'!$B$2:$B$2604,'Form responses 1'!$D$2:$D$2604,""))</f>
        <v/>
      </c>
      <c r="G1461" s="44" t="str">
        <f t="array" ref="G1461">IF(B1461="","",_xlfn.XLOOKUP(B1461,'Form responses 1'!$B$2:$B$2604,'Form responses 1'!$E$2:$E$2604,""))</f>
        <v/>
      </c>
      <c r="H1461" s="44" t="str">
        <f t="array" ref="H1461">IF(B1461="","",_xlfn.XLOOKUP(B1461,'Form responses 1'!$B$2:$B$2604,'Form responses 1'!$F$2:$F$2604,""))</f>
        <v/>
      </c>
      <c r="I1461" s="44" t="str">
        <f t="array" ref="I1461">IF(B1461="","",_xlfn.XLOOKUP(B1461,'Form responses 1'!$B$2:$B$2604,'Form responses 1'!$I$2:$I$2604,""))</f>
        <v/>
      </c>
      <c r="J1461" s="44" t="str">
        <f t="array" ref="J1461">IF(B1461="","",_xlfn.XLOOKUP(B1461,'Form responses 1'!$B$2:$B$2604,'Form responses 1'!$G$2:$G$2604,""))</f>
        <v/>
      </c>
      <c r="K1461" s="56"/>
      <c r="L1461" s="58" t="str">
        <f t="shared" si="7"/>
        <v/>
      </c>
      <c r="M1461" s="49"/>
      <c r="N1461" s="49"/>
      <c r="O1461" s="49"/>
      <c r="P1461" s="49"/>
      <c r="Q1461" s="49"/>
      <c r="R1461" s="49"/>
      <c r="S1461" s="49"/>
      <c r="T1461" s="49"/>
      <c r="U1461" s="49"/>
      <c r="V1461" s="49"/>
      <c r="W1461" s="56"/>
      <c r="X1461" s="51" t="str">
        <f t="shared" si="5"/>
        <v/>
      </c>
      <c r="Y1461" s="50" t="s">
        <v>482</v>
      </c>
      <c r="Z1461" s="49">
        <f t="shared" si="6"/>
        <v>0</v>
      </c>
    </row>
    <row r="1462" ht="22.5" customHeight="1">
      <c r="B1462" s="57"/>
      <c r="C1462" s="43" t="str">
        <f t="array" ref="C1462">IF(B1462="","",_xlfn.XLOOKUP(B1462,'Form responses 1'!$B$2:$B$2604,'Form responses 1'!$A$2:$A$2604,""))</f>
        <v/>
      </c>
      <c r="D1462" s="44" t="str">
        <f t="shared" si="3"/>
        <v/>
      </c>
      <c r="E1462" s="44" t="str">
        <f t="array" ref="E1462">IF(B1462="","",_xlfn.XLOOKUP(B1462,'Form responses 1'!$B$2:$B$2604,'Form responses 1'!$C$2:$C$2604,""))</f>
        <v/>
      </c>
      <c r="F1462" s="44" t="str">
        <f t="array" ref="F1462">IF(B1462="","",_xlfn.XLOOKUP(B1462,'Form responses 1'!$B$2:$B$2604,'Form responses 1'!$D$2:$D$2604,""))</f>
        <v/>
      </c>
      <c r="G1462" s="44" t="str">
        <f t="array" ref="G1462">IF(B1462="","",_xlfn.XLOOKUP(B1462,'Form responses 1'!$B$2:$B$2604,'Form responses 1'!$E$2:$E$2604,""))</f>
        <v/>
      </c>
      <c r="H1462" s="44" t="str">
        <f t="array" ref="H1462">IF(B1462="","",_xlfn.XLOOKUP(B1462,'Form responses 1'!$B$2:$B$2604,'Form responses 1'!$F$2:$F$2604,""))</f>
        <v/>
      </c>
      <c r="I1462" s="44" t="str">
        <f t="array" ref="I1462">IF(B1462="","",_xlfn.XLOOKUP(B1462,'Form responses 1'!$B$2:$B$2604,'Form responses 1'!$I$2:$I$2604,""))</f>
        <v/>
      </c>
      <c r="J1462" s="44" t="str">
        <f t="array" ref="J1462">IF(B1462="","",_xlfn.XLOOKUP(B1462,'Form responses 1'!$B$2:$B$2604,'Form responses 1'!$G$2:$G$2604,""))</f>
        <v/>
      </c>
      <c r="K1462" s="56"/>
      <c r="L1462" s="58" t="str">
        <f t="shared" si="7"/>
        <v/>
      </c>
      <c r="M1462" s="49"/>
      <c r="N1462" s="49"/>
      <c r="O1462" s="49"/>
      <c r="P1462" s="49"/>
      <c r="Q1462" s="49"/>
      <c r="R1462" s="49"/>
      <c r="S1462" s="49"/>
      <c r="T1462" s="49"/>
      <c r="U1462" s="49"/>
      <c r="V1462" s="49"/>
      <c r="W1462" s="56"/>
      <c r="X1462" s="51" t="str">
        <f t="shared" si="5"/>
        <v/>
      </c>
      <c r="Y1462" s="50" t="s">
        <v>482</v>
      </c>
      <c r="Z1462" s="49">
        <f t="shared" si="6"/>
        <v>0</v>
      </c>
    </row>
    <row r="1463" ht="22.5" customHeight="1">
      <c r="B1463" s="57"/>
      <c r="C1463" s="43" t="str">
        <f t="array" ref="C1463">IF(B1463="","",_xlfn.XLOOKUP(B1463,'Form responses 1'!$B$2:$B$2604,'Form responses 1'!$A$2:$A$2604,""))</f>
        <v/>
      </c>
      <c r="D1463" s="44" t="str">
        <f t="shared" si="3"/>
        <v/>
      </c>
      <c r="E1463" s="44" t="str">
        <f t="array" ref="E1463">IF(B1463="","",_xlfn.XLOOKUP(B1463,'Form responses 1'!$B$2:$B$2604,'Form responses 1'!$C$2:$C$2604,""))</f>
        <v/>
      </c>
      <c r="F1463" s="44" t="str">
        <f t="array" ref="F1463">IF(B1463="","",_xlfn.XLOOKUP(B1463,'Form responses 1'!$B$2:$B$2604,'Form responses 1'!$D$2:$D$2604,""))</f>
        <v/>
      </c>
      <c r="G1463" s="44" t="str">
        <f t="array" ref="G1463">IF(B1463="","",_xlfn.XLOOKUP(B1463,'Form responses 1'!$B$2:$B$2604,'Form responses 1'!$E$2:$E$2604,""))</f>
        <v/>
      </c>
      <c r="H1463" s="44" t="str">
        <f t="array" ref="H1463">IF(B1463="","",_xlfn.XLOOKUP(B1463,'Form responses 1'!$B$2:$B$2604,'Form responses 1'!$F$2:$F$2604,""))</f>
        <v/>
      </c>
      <c r="I1463" s="44" t="str">
        <f t="array" ref="I1463">IF(B1463="","",_xlfn.XLOOKUP(B1463,'Form responses 1'!$B$2:$B$2604,'Form responses 1'!$I$2:$I$2604,""))</f>
        <v/>
      </c>
      <c r="J1463" s="44" t="str">
        <f t="array" ref="J1463">IF(B1463="","",_xlfn.XLOOKUP(B1463,'Form responses 1'!$B$2:$B$2604,'Form responses 1'!$G$2:$G$2604,""))</f>
        <v/>
      </c>
      <c r="K1463" s="56"/>
      <c r="L1463" s="58" t="str">
        <f t="shared" si="7"/>
        <v/>
      </c>
      <c r="M1463" s="49"/>
      <c r="N1463" s="49"/>
      <c r="O1463" s="49"/>
      <c r="P1463" s="49"/>
      <c r="Q1463" s="49"/>
      <c r="R1463" s="49"/>
      <c r="S1463" s="49"/>
      <c r="T1463" s="49"/>
      <c r="U1463" s="49"/>
      <c r="V1463" s="49"/>
      <c r="W1463" s="56"/>
      <c r="X1463" s="51" t="str">
        <f t="shared" si="5"/>
        <v/>
      </c>
      <c r="Y1463" s="50" t="s">
        <v>482</v>
      </c>
      <c r="Z1463" s="49">
        <f t="shared" si="6"/>
        <v>0</v>
      </c>
    </row>
    <row r="1464" ht="22.5" customHeight="1">
      <c r="B1464" s="57"/>
      <c r="C1464" s="43" t="str">
        <f t="array" ref="C1464">IF(B1464="","",_xlfn.XLOOKUP(B1464,'Form responses 1'!$B$2:$B$2604,'Form responses 1'!$A$2:$A$2604,""))</f>
        <v/>
      </c>
      <c r="D1464" s="44" t="str">
        <f t="shared" si="3"/>
        <v/>
      </c>
      <c r="E1464" s="44" t="str">
        <f t="array" ref="E1464">IF(B1464="","",_xlfn.XLOOKUP(B1464,'Form responses 1'!$B$2:$B$2604,'Form responses 1'!$C$2:$C$2604,""))</f>
        <v/>
      </c>
      <c r="F1464" s="44" t="str">
        <f t="array" ref="F1464">IF(B1464="","",_xlfn.XLOOKUP(B1464,'Form responses 1'!$B$2:$B$2604,'Form responses 1'!$D$2:$D$2604,""))</f>
        <v/>
      </c>
      <c r="G1464" s="44" t="str">
        <f t="array" ref="G1464">IF(B1464="","",_xlfn.XLOOKUP(B1464,'Form responses 1'!$B$2:$B$2604,'Form responses 1'!$E$2:$E$2604,""))</f>
        <v/>
      </c>
      <c r="H1464" s="44" t="str">
        <f t="array" ref="H1464">IF(B1464="","",_xlfn.XLOOKUP(B1464,'Form responses 1'!$B$2:$B$2604,'Form responses 1'!$F$2:$F$2604,""))</f>
        <v/>
      </c>
      <c r="I1464" s="44" t="str">
        <f t="array" ref="I1464">IF(B1464="","",_xlfn.XLOOKUP(B1464,'Form responses 1'!$B$2:$B$2604,'Form responses 1'!$I$2:$I$2604,""))</f>
        <v/>
      </c>
      <c r="J1464" s="44" t="str">
        <f t="array" ref="J1464">IF(B1464="","",_xlfn.XLOOKUP(B1464,'Form responses 1'!$B$2:$B$2604,'Form responses 1'!$G$2:$G$2604,""))</f>
        <v/>
      </c>
      <c r="K1464" s="56"/>
      <c r="L1464" s="58" t="str">
        <f t="shared" si="7"/>
        <v/>
      </c>
      <c r="M1464" s="49"/>
      <c r="N1464" s="49"/>
      <c r="O1464" s="49"/>
      <c r="P1464" s="49"/>
      <c r="Q1464" s="49"/>
      <c r="R1464" s="49"/>
      <c r="S1464" s="49"/>
      <c r="T1464" s="49"/>
      <c r="U1464" s="49"/>
      <c r="V1464" s="49"/>
      <c r="W1464" s="56"/>
      <c r="X1464" s="51" t="str">
        <f t="shared" si="5"/>
        <v/>
      </c>
      <c r="Y1464" s="50" t="s">
        <v>482</v>
      </c>
      <c r="Z1464" s="49">
        <f t="shared" si="6"/>
        <v>0</v>
      </c>
    </row>
    <row r="1465" ht="22.5" customHeight="1">
      <c r="B1465" s="57"/>
      <c r="C1465" s="43" t="str">
        <f t="array" ref="C1465">IF(B1465="","",_xlfn.XLOOKUP(B1465,'Form responses 1'!$B$2:$B$2604,'Form responses 1'!$A$2:$A$2604,""))</f>
        <v/>
      </c>
      <c r="D1465" s="44" t="str">
        <f t="shared" si="3"/>
        <v/>
      </c>
      <c r="E1465" s="44" t="str">
        <f t="array" ref="E1465">IF(B1465="","",_xlfn.XLOOKUP(B1465,'Form responses 1'!$B$2:$B$2604,'Form responses 1'!$C$2:$C$2604,""))</f>
        <v/>
      </c>
      <c r="F1465" s="44" t="str">
        <f t="array" ref="F1465">IF(B1465="","",_xlfn.XLOOKUP(B1465,'Form responses 1'!$B$2:$B$2604,'Form responses 1'!$D$2:$D$2604,""))</f>
        <v/>
      </c>
      <c r="G1465" s="44" t="str">
        <f t="array" ref="G1465">IF(B1465="","",_xlfn.XLOOKUP(B1465,'Form responses 1'!$B$2:$B$2604,'Form responses 1'!$E$2:$E$2604,""))</f>
        <v/>
      </c>
      <c r="H1465" s="44" t="str">
        <f t="array" ref="H1465">IF(B1465="","",_xlfn.XLOOKUP(B1465,'Form responses 1'!$B$2:$B$2604,'Form responses 1'!$F$2:$F$2604,""))</f>
        <v/>
      </c>
      <c r="I1465" s="44" t="str">
        <f t="array" ref="I1465">IF(B1465="","",_xlfn.XLOOKUP(B1465,'Form responses 1'!$B$2:$B$2604,'Form responses 1'!$I$2:$I$2604,""))</f>
        <v/>
      </c>
      <c r="J1465" s="44" t="str">
        <f t="array" ref="J1465">IF(B1465="","",_xlfn.XLOOKUP(B1465,'Form responses 1'!$B$2:$B$2604,'Form responses 1'!$G$2:$G$2604,""))</f>
        <v/>
      </c>
      <c r="K1465" s="56"/>
      <c r="L1465" s="58" t="str">
        <f t="shared" si="7"/>
        <v/>
      </c>
      <c r="M1465" s="49"/>
      <c r="N1465" s="49"/>
      <c r="O1465" s="49"/>
      <c r="P1465" s="49"/>
      <c r="Q1465" s="49"/>
      <c r="R1465" s="49"/>
      <c r="S1465" s="49"/>
      <c r="T1465" s="49"/>
      <c r="U1465" s="49"/>
      <c r="V1465" s="49"/>
      <c r="W1465" s="56"/>
      <c r="X1465" s="51" t="str">
        <f t="shared" si="5"/>
        <v/>
      </c>
      <c r="Y1465" s="50" t="s">
        <v>482</v>
      </c>
      <c r="Z1465" s="49">
        <f t="shared" si="6"/>
        <v>0</v>
      </c>
    </row>
    <row r="1466" ht="22.5" customHeight="1">
      <c r="B1466" s="57"/>
      <c r="C1466" s="43" t="str">
        <f t="array" ref="C1466">IF(B1466="","",_xlfn.XLOOKUP(B1466,'Form responses 1'!$B$2:$B$2604,'Form responses 1'!$A$2:$A$2604,""))</f>
        <v/>
      </c>
      <c r="D1466" s="44" t="str">
        <f t="shared" si="3"/>
        <v/>
      </c>
      <c r="E1466" s="44" t="str">
        <f t="array" ref="E1466">IF(B1466="","",_xlfn.XLOOKUP(B1466,'Form responses 1'!$B$2:$B$2604,'Form responses 1'!$C$2:$C$2604,""))</f>
        <v/>
      </c>
      <c r="F1466" s="44" t="str">
        <f t="array" ref="F1466">IF(B1466="","",_xlfn.XLOOKUP(B1466,'Form responses 1'!$B$2:$B$2604,'Form responses 1'!$D$2:$D$2604,""))</f>
        <v/>
      </c>
      <c r="G1466" s="44" t="str">
        <f t="array" ref="G1466">IF(B1466="","",_xlfn.XLOOKUP(B1466,'Form responses 1'!$B$2:$B$2604,'Form responses 1'!$E$2:$E$2604,""))</f>
        <v/>
      </c>
      <c r="H1466" s="44" t="str">
        <f t="array" ref="H1466">IF(B1466="","",_xlfn.XLOOKUP(B1466,'Form responses 1'!$B$2:$B$2604,'Form responses 1'!$F$2:$F$2604,""))</f>
        <v/>
      </c>
      <c r="I1466" s="44" t="str">
        <f t="array" ref="I1466">IF(B1466="","",_xlfn.XLOOKUP(B1466,'Form responses 1'!$B$2:$B$2604,'Form responses 1'!$I$2:$I$2604,""))</f>
        <v/>
      </c>
      <c r="J1466" s="44" t="str">
        <f t="array" ref="J1466">IF(B1466="","",_xlfn.XLOOKUP(B1466,'Form responses 1'!$B$2:$B$2604,'Form responses 1'!$G$2:$G$2604,""))</f>
        <v/>
      </c>
      <c r="K1466" s="56"/>
      <c r="L1466" s="58" t="str">
        <f t="shared" si="7"/>
        <v/>
      </c>
      <c r="M1466" s="49"/>
      <c r="N1466" s="49"/>
      <c r="O1466" s="49"/>
      <c r="P1466" s="49"/>
      <c r="Q1466" s="49"/>
      <c r="R1466" s="49"/>
      <c r="S1466" s="49"/>
      <c r="T1466" s="49"/>
      <c r="U1466" s="49"/>
      <c r="V1466" s="49"/>
      <c r="W1466" s="56"/>
      <c r="X1466" s="51" t="str">
        <f t="shared" si="5"/>
        <v/>
      </c>
      <c r="Y1466" s="50" t="s">
        <v>482</v>
      </c>
      <c r="Z1466" s="49">
        <f t="shared" si="6"/>
        <v>0</v>
      </c>
    </row>
    <row r="1467" ht="22.5" customHeight="1">
      <c r="B1467" s="57"/>
      <c r="C1467" s="43" t="str">
        <f t="array" ref="C1467">IF(B1467="","",_xlfn.XLOOKUP(B1467,'Form responses 1'!$B$2:$B$2604,'Form responses 1'!$A$2:$A$2604,""))</f>
        <v/>
      </c>
      <c r="D1467" s="44" t="str">
        <f t="shared" si="3"/>
        <v/>
      </c>
      <c r="E1467" s="44" t="str">
        <f t="array" ref="E1467">IF(B1467="","",_xlfn.XLOOKUP(B1467,'Form responses 1'!$B$2:$B$2604,'Form responses 1'!$C$2:$C$2604,""))</f>
        <v/>
      </c>
      <c r="F1467" s="44" t="str">
        <f t="array" ref="F1467">IF(B1467="","",_xlfn.XLOOKUP(B1467,'Form responses 1'!$B$2:$B$2604,'Form responses 1'!$D$2:$D$2604,""))</f>
        <v/>
      </c>
      <c r="G1467" s="44" t="str">
        <f t="array" ref="G1467">IF(B1467="","",_xlfn.XLOOKUP(B1467,'Form responses 1'!$B$2:$B$2604,'Form responses 1'!$E$2:$E$2604,""))</f>
        <v/>
      </c>
      <c r="H1467" s="44" t="str">
        <f t="array" ref="H1467">IF(B1467="","",_xlfn.XLOOKUP(B1467,'Form responses 1'!$B$2:$B$2604,'Form responses 1'!$F$2:$F$2604,""))</f>
        <v/>
      </c>
      <c r="I1467" s="44" t="str">
        <f t="array" ref="I1467">IF(B1467="","",_xlfn.XLOOKUP(B1467,'Form responses 1'!$B$2:$B$2604,'Form responses 1'!$I$2:$I$2604,""))</f>
        <v/>
      </c>
      <c r="J1467" s="44" t="str">
        <f t="array" ref="J1467">IF(B1467="","",_xlfn.XLOOKUP(B1467,'Form responses 1'!$B$2:$B$2604,'Form responses 1'!$G$2:$G$2604,""))</f>
        <v/>
      </c>
      <c r="K1467" s="56"/>
      <c r="L1467" s="58" t="str">
        <f t="shared" si="7"/>
        <v/>
      </c>
      <c r="M1467" s="49"/>
      <c r="N1467" s="49"/>
      <c r="O1467" s="49"/>
      <c r="P1467" s="49"/>
      <c r="Q1467" s="49"/>
      <c r="R1467" s="49"/>
      <c r="S1467" s="49"/>
      <c r="T1467" s="49"/>
      <c r="U1467" s="49"/>
      <c r="V1467" s="49"/>
      <c r="W1467" s="56"/>
      <c r="X1467" s="51" t="str">
        <f t="shared" si="5"/>
        <v/>
      </c>
      <c r="Y1467" s="50" t="s">
        <v>482</v>
      </c>
      <c r="Z1467" s="49">
        <f t="shared" si="6"/>
        <v>0</v>
      </c>
    </row>
    <row r="1468" ht="22.5" customHeight="1">
      <c r="B1468" s="57"/>
      <c r="C1468" s="43" t="str">
        <f t="array" ref="C1468">IF(B1468="","",_xlfn.XLOOKUP(B1468,'Form responses 1'!$B$2:$B$2604,'Form responses 1'!$A$2:$A$2604,""))</f>
        <v/>
      </c>
      <c r="D1468" s="44" t="str">
        <f t="shared" si="3"/>
        <v/>
      </c>
      <c r="E1468" s="44" t="str">
        <f t="array" ref="E1468">IF(B1468="","",_xlfn.XLOOKUP(B1468,'Form responses 1'!$B$2:$B$2604,'Form responses 1'!$C$2:$C$2604,""))</f>
        <v/>
      </c>
      <c r="F1468" s="44" t="str">
        <f t="array" ref="F1468">IF(B1468="","",_xlfn.XLOOKUP(B1468,'Form responses 1'!$B$2:$B$2604,'Form responses 1'!$D$2:$D$2604,""))</f>
        <v/>
      </c>
      <c r="G1468" s="44" t="str">
        <f t="array" ref="G1468">IF(B1468="","",_xlfn.XLOOKUP(B1468,'Form responses 1'!$B$2:$B$2604,'Form responses 1'!$E$2:$E$2604,""))</f>
        <v/>
      </c>
      <c r="H1468" s="44" t="str">
        <f t="array" ref="H1468">IF(B1468="","",_xlfn.XLOOKUP(B1468,'Form responses 1'!$B$2:$B$2604,'Form responses 1'!$F$2:$F$2604,""))</f>
        <v/>
      </c>
      <c r="I1468" s="44" t="str">
        <f t="array" ref="I1468">IF(B1468="","",_xlfn.XLOOKUP(B1468,'Form responses 1'!$B$2:$B$2604,'Form responses 1'!$I$2:$I$2604,""))</f>
        <v/>
      </c>
      <c r="J1468" s="44" t="str">
        <f t="array" ref="J1468">IF(B1468="","",_xlfn.XLOOKUP(B1468,'Form responses 1'!$B$2:$B$2604,'Form responses 1'!$G$2:$G$2604,""))</f>
        <v/>
      </c>
      <c r="K1468" s="56"/>
      <c r="L1468" s="58" t="str">
        <f t="shared" si="7"/>
        <v/>
      </c>
      <c r="M1468" s="49"/>
      <c r="N1468" s="49"/>
      <c r="O1468" s="49"/>
      <c r="P1468" s="49"/>
      <c r="Q1468" s="49"/>
      <c r="R1468" s="49"/>
      <c r="S1468" s="49"/>
      <c r="T1468" s="49"/>
      <c r="U1468" s="49"/>
      <c r="V1468" s="49"/>
      <c r="W1468" s="56"/>
      <c r="X1468" s="51" t="str">
        <f t="shared" si="5"/>
        <v/>
      </c>
      <c r="Y1468" s="50" t="s">
        <v>482</v>
      </c>
      <c r="Z1468" s="49">
        <f t="shared" si="6"/>
        <v>0</v>
      </c>
    </row>
    <row r="1469" ht="22.5" customHeight="1">
      <c r="B1469" s="57"/>
      <c r="C1469" s="43" t="str">
        <f t="array" ref="C1469">IF(B1469="","",_xlfn.XLOOKUP(B1469,'Form responses 1'!$B$2:$B$2604,'Form responses 1'!$A$2:$A$2604,""))</f>
        <v/>
      </c>
      <c r="D1469" s="44" t="str">
        <f t="shared" si="3"/>
        <v/>
      </c>
      <c r="E1469" s="44" t="str">
        <f t="array" ref="E1469">IF(B1469="","",_xlfn.XLOOKUP(B1469,'Form responses 1'!$B$2:$B$2604,'Form responses 1'!$C$2:$C$2604,""))</f>
        <v/>
      </c>
      <c r="F1469" s="44" t="str">
        <f t="array" ref="F1469">IF(B1469="","",_xlfn.XLOOKUP(B1469,'Form responses 1'!$B$2:$B$2604,'Form responses 1'!$D$2:$D$2604,""))</f>
        <v/>
      </c>
      <c r="G1469" s="44" t="str">
        <f t="array" ref="G1469">IF(B1469="","",_xlfn.XLOOKUP(B1469,'Form responses 1'!$B$2:$B$2604,'Form responses 1'!$E$2:$E$2604,""))</f>
        <v/>
      </c>
      <c r="H1469" s="44" t="str">
        <f t="array" ref="H1469">IF(B1469="","",_xlfn.XLOOKUP(B1469,'Form responses 1'!$B$2:$B$2604,'Form responses 1'!$F$2:$F$2604,""))</f>
        <v/>
      </c>
      <c r="I1469" s="44" t="str">
        <f t="array" ref="I1469">IF(B1469="","",_xlfn.XLOOKUP(B1469,'Form responses 1'!$B$2:$B$2604,'Form responses 1'!$I$2:$I$2604,""))</f>
        <v/>
      </c>
      <c r="J1469" s="44" t="str">
        <f t="array" ref="J1469">IF(B1469="","",_xlfn.XLOOKUP(B1469,'Form responses 1'!$B$2:$B$2604,'Form responses 1'!$G$2:$G$2604,""))</f>
        <v/>
      </c>
      <c r="K1469" s="56"/>
      <c r="L1469" s="58" t="str">
        <f t="shared" si="7"/>
        <v/>
      </c>
      <c r="M1469" s="49"/>
      <c r="N1469" s="49"/>
      <c r="O1469" s="49"/>
      <c r="P1469" s="49"/>
      <c r="Q1469" s="49"/>
      <c r="R1469" s="49"/>
      <c r="S1469" s="49"/>
      <c r="T1469" s="49"/>
      <c r="U1469" s="49"/>
      <c r="V1469" s="49"/>
      <c r="W1469" s="56"/>
      <c r="X1469" s="51" t="str">
        <f t="shared" si="5"/>
        <v/>
      </c>
      <c r="Y1469" s="50" t="s">
        <v>482</v>
      </c>
      <c r="Z1469" s="49">
        <f t="shared" si="6"/>
        <v>0</v>
      </c>
    </row>
    <row r="1470" ht="22.5" customHeight="1">
      <c r="B1470" s="57"/>
      <c r="C1470" s="43" t="str">
        <f t="array" ref="C1470">IF(B1470="","",_xlfn.XLOOKUP(B1470,'Form responses 1'!$B$2:$B$2604,'Form responses 1'!$A$2:$A$2604,""))</f>
        <v/>
      </c>
      <c r="D1470" s="44" t="str">
        <f t="shared" si="3"/>
        <v/>
      </c>
      <c r="E1470" s="44" t="str">
        <f t="array" ref="E1470">IF(B1470="","",_xlfn.XLOOKUP(B1470,'Form responses 1'!$B$2:$B$2604,'Form responses 1'!$C$2:$C$2604,""))</f>
        <v/>
      </c>
      <c r="F1470" s="44" t="str">
        <f t="array" ref="F1470">IF(B1470="","",_xlfn.XLOOKUP(B1470,'Form responses 1'!$B$2:$B$2604,'Form responses 1'!$D$2:$D$2604,""))</f>
        <v/>
      </c>
      <c r="G1470" s="44" t="str">
        <f t="array" ref="G1470">IF(B1470="","",_xlfn.XLOOKUP(B1470,'Form responses 1'!$B$2:$B$2604,'Form responses 1'!$E$2:$E$2604,""))</f>
        <v/>
      </c>
      <c r="H1470" s="44" t="str">
        <f t="array" ref="H1470">IF(B1470="","",_xlfn.XLOOKUP(B1470,'Form responses 1'!$B$2:$B$2604,'Form responses 1'!$F$2:$F$2604,""))</f>
        <v/>
      </c>
      <c r="I1470" s="44" t="str">
        <f t="array" ref="I1470">IF(B1470="","",_xlfn.XLOOKUP(B1470,'Form responses 1'!$B$2:$B$2604,'Form responses 1'!$I$2:$I$2604,""))</f>
        <v/>
      </c>
      <c r="J1470" s="44" t="str">
        <f t="array" ref="J1470">IF(B1470="","",_xlfn.XLOOKUP(B1470,'Form responses 1'!$B$2:$B$2604,'Form responses 1'!$G$2:$G$2604,""))</f>
        <v/>
      </c>
      <c r="K1470" s="56"/>
      <c r="L1470" s="58" t="str">
        <f t="shared" si="7"/>
        <v/>
      </c>
      <c r="M1470" s="49"/>
      <c r="N1470" s="49"/>
      <c r="O1470" s="49"/>
      <c r="P1470" s="49"/>
      <c r="Q1470" s="49"/>
      <c r="R1470" s="49"/>
      <c r="S1470" s="49"/>
      <c r="T1470" s="49"/>
      <c r="U1470" s="49"/>
      <c r="V1470" s="49"/>
      <c r="W1470" s="56"/>
      <c r="X1470" s="51" t="str">
        <f t="shared" si="5"/>
        <v/>
      </c>
      <c r="Y1470" s="50" t="s">
        <v>482</v>
      </c>
      <c r="Z1470" s="49">
        <f t="shared" si="6"/>
        <v>0</v>
      </c>
    </row>
    <row r="1471" ht="22.5" customHeight="1">
      <c r="B1471" s="57"/>
      <c r="C1471" s="43" t="str">
        <f t="array" ref="C1471">IF(B1471="","",_xlfn.XLOOKUP(B1471,'Form responses 1'!$B$2:$B$2604,'Form responses 1'!$A$2:$A$2604,""))</f>
        <v/>
      </c>
      <c r="D1471" s="44" t="str">
        <f t="shared" si="3"/>
        <v/>
      </c>
      <c r="E1471" s="44" t="str">
        <f t="array" ref="E1471">IF(B1471="","",_xlfn.XLOOKUP(B1471,'Form responses 1'!$B$2:$B$2604,'Form responses 1'!$C$2:$C$2604,""))</f>
        <v/>
      </c>
      <c r="F1471" s="44" t="str">
        <f t="array" ref="F1471">IF(B1471="","",_xlfn.XLOOKUP(B1471,'Form responses 1'!$B$2:$B$2604,'Form responses 1'!$D$2:$D$2604,""))</f>
        <v/>
      </c>
      <c r="G1471" s="44" t="str">
        <f t="array" ref="G1471">IF(B1471="","",_xlfn.XLOOKUP(B1471,'Form responses 1'!$B$2:$B$2604,'Form responses 1'!$E$2:$E$2604,""))</f>
        <v/>
      </c>
      <c r="H1471" s="44" t="str">
        <f t="array" ref="H1471">IF(B1471="","",_xlfn.XLOOKUP(B1471,'Form responses 1'!$B$2:$B$2604,'Form responses 1'!$F$2:$F$2604,""))</f>
        <v/>
      </c>
      <c r="I1471" s="44" t="str">
        <f t="array" ref="I1471">IF(B1471="","",_xlfn.XLOOKUP(B1471,'Form responses 1'!$B$2:$B$2604,'Form responses 1'!$I$2:$I$2604,""))</f>
        <v/>
      </c>
      <c r="J1471" s="44" t="str">
        <f t="array" ref="J1471">IF(B1471="","",_xlfn.XLOOKUP(B1471,'Form responses 1'!$B$2:$B$2604,'Form responses 1'!$G$2:$G$2604,""))</f>
        <v/>
      </c>
      <c r="K1471" s="56"/>
      <c r="L1471" s="58" t="str">
        <f t="shared" si="7"/>
        <v/>
      </c>
      <c r="M1471" s="49"/>
      <c r="N1471" s="49"/>
      <c r="O1471" s="49"/>
      <c r="P1471" s="49"/>
      <c r="Q1471" s="49"/>
      <c r="R1471" s="49"/>
      <c r="S1471" s="49"/>
      <c r="T1471" s="49"/>
      <c r="U1471" s="49"/>
      <c r="V1471" s="49"/>
      <c r="W1471" s="56"/>
      <c r="X1471" s="51" t="str">
        <f t="shared" si="5"/>
        <v/>
      </c>
      <c r="Y1471" s="50" t="s">
        <v>482</v>
      </c>
      <c r="Z1471" s="49">
        <f t="shared" si="6"/>
        <v>0</v>
      </c>
    </row>
    <row r="1472" ht="22.5" customHeight="1">
      <c r="B1472" s="57"/>
      <c r="C1472" s="43" t="str">
        <f t="array" ref="C1472">IF(B1472="","",_xlfn.XLOOKUP(B1472,'Form responses 1'!$B$2:$B$2604,'Form responses 1'!$A$2:$A$2604,""))</f>
        <v/>
      </c>
      <c r="D1472" s="44" t="str">
        <f t="shared" si="3"/>
        <v/>
      </c>
      <c r="E1472" s="44" t="str">
        <f t="array" ref="E1472">IF(B1472="","",_xlfn.XLOOKUP(B1472,'Form responses 1'!$B$2:$B$2604,'Form responses 1'!$C$2:$C$2604,""))</f>
        <v/>
      </c>
      <c r="F1472" s="44" t="str">
        <f t="array" ref="F1472">IF(B1472="","",_xlfn.XLOOKUP(B1472,'Form responses 1'!$B$2:$B$2604,'Form responses 1'!$D$2:$D$2604,""))</f>
        <v/>
      </c>
      <c r="G1472" s="44" t="str">
        <f t="array" ref="G1472">IF(B1472="","",_xlfn.XLOOKUP(B1472,'Form responses 1'!$B$2:$B$2604,'Form responses 1'!$E$2:$E$2604,""))</f>
        <v/>
      </c>
      <c r="H1472" s="44" t="str">
        <f t="array" ref="H1472">IF(B1472="","",_xlfn.XLOOKUP(B1472,'Form responses 1'!$B$2:$B$2604,'Form responses 1'!$F$2:$F$2604,""))</f>
        <v/>
      </c>
      <c r="I1472" s="44" t="str">
        <f t="array" ref="I1472">IF(B1472="","",_xlfn.XLOOKUP(B1472,'Form responses 1'!$B$2:$B$2604,'Form responses 1'!$I$2:$I$2604,""))</f>
        <v/>
      </c>
      <c r="J1472" s="44" t="str">
        <f t="array" ref="J1472">IF(B1472="","",_xlfn.XLOOKUP(B1472,'Form responses 1'!$B$2:$B$2604,'Form responses 1'!$G$2:$G$2604,""))</f>
        <v/>
      </c>
      <c r="K1472" s="56"/>
      <c r="L1472" s="58" t="str">
        <f t="shared" si="7"/>
        <v/>
      </c>
      <c r="M1472" s="49"/>
      <c r="N1472" s="49"/>
      <c r="O1472" s="49"/>
      <c r="P1472" s="49"/>
      <c r="Q1472" s="49"/>
      <c r="R1472" s="49"/>
      <c r="S1472" s="49"/>
      <c r="T1472" s="49"/>
      <c r="U1472" s="49"/>
      <c r="V1472" s="49"/>
      <c r="W1472" s="56"/>
      <c r="X1472" s="51" t="str">
        <f t="shared" si="5"/>
        <v/>
      </c>
      <c r="Y1472" s="50" t="s">
        <v>482</v>
      </c>
      <c r="Z1472" s="49">
        <f t="shared" si="6"/>
        <v>0</v>
      </c>
    </row>
    <row r="1473" ht="22.5" customHeight="1">
      <c r="B1473" s="57"/>
      <c r="C1473" s="43" t="str">
        <f t="array" ref="C1473">IF(B1473="","",_xlfn.XLOOKUP(B1473,'Form responses 1'!$B$2:$B$2604,'Form responses 1'!$A$2:$A$2604,""))</f>
        <v/>
      </c>
      <c r="D1473" s="44" t="str">
        <f t="shared" si="3"/>
        <v/>
      </c>
      <c r="E1473" s="44" t="str">
        <f t="array" ref="E1473">IF(B1473="","",_xlfn.XLOOKUP(B1473,'Form responses 1'!$B$2:$B$2604,'Form responses 1'!$C$2:$C$2604,""))</f>
        <v/>
      </c>
      <c r="F1473" s="44" t="str">
        <f t="array" ref="F1473">IF(B1473="","",_xlfn.XLOOKUP(B1473,'Form responses 1'!$B$2:$B$2604,'Form responses 1'!$D$2:$D$2604,""))</f>
        <v/>
      </c>
      <c r="G1473" s="44" t="str">
        <f t="array" ref="G1473">IF(B1473="","",_xlfn.XLOOKUP(B1473,'Form responses 1'!$B$2:$B$2604,'Form responses 1'!$E$2:$E$2604,""))</f>
        <v/>
      </c>
      <c r="H1473" s="44" t="str">
        <f t="array" ref="H1473">IF(B1473="","",_xlfn.XLOOKUP(B1473,'Form responses 1'!$B$2:$B$2604,'Form responses 1'!$F$2:$F$2604,""))</f>
        <v/>
      </c>
      <c r="I1473" s="44" t="str">
        <f t="array" ref="I1473">IF(B1473="","",_xlfn.XLOOKUP(B1473,'Form responses 1'!$B$2:$B$2604,'Form responses 1'!$I$2:$I$2604,""))</f>
        <v/>
      </c>
      <c r="J1473" s="44" t="str">
        <f t="array" ref="J1473">IF(B1473="","",_xlfn.XLOOKUP(B1473,'Form responses 1'!$B$2:$B$2604,'Form responses 1'!$G$2:$G$2604,""))</f>
        <v/>
      </c>
      <c r="K1473" s="56"/>
      <c r="L1473" s="58" t="str">
        <f t="shared" si="7"/>
        <v/>
      </c>
      <c r="M1473" s="49"/>
      <c r="N1473" s="49"/>
      <c r="O1473" s="49"/>
      <c r="P1473" s="49"/>
      <c r="Q1473" s="49"/>
      <c r="R1473" s="49"/>
      <c r="S1473" s="49"/>
      <c r="T1473" s="49"/>
      <c r="U1473" s="49"/>
      <c r="V1473" s="49"/>
      <c r="W1473" s="56"/>
      <c r="X1473" s="51" t="str">
        <f t="shared" si="5"/>
        <v/>
      </c>
      <c r="Y1473" s="50" t="s">
        <v>482</v>
      </c>
      <c r="Z1473" s="49">
        <f t="shared" si="6"/>
        <v>0</v>
      </c>
    </row>
    <row r="1474" ht="22.5" customHeight="1">
      <c r="B1474" s="57"/>
      <c r="C1474" s="43" t="str">
        <f t="array" ref="C1474">IF(B1474="","",_xlfn.XLOOKUP(B1474,'Form responses 1'!$B$2:$B$2604,'Form responses 1'!$A$2:$A$2604,""))</f>
        <v/>
      </c>
      <c r="D1474" s="44" t="str">
        <f t="shared" si="3"/>
        <v/>
      </c>
      <c r="E1474" s="44" t="str">
        <f t="array" ref="E1474">IF(B1474="","",_xlfn.XLOOKUP(B1474,'Form responses 1'!$B$2:$B$2604,'Form responses 1'!$C$2:$C$2604,""))</f>
        <v/>
      </c>
      <c r="F1474" s="44" t="str">
        <f t="array" ref="F1474">IF(B1474="","",_xlfn.XLOOKUP(B1474,'Form responses 1'!$B$2:$B$2604,'Form responses 1'!$D$2:$D$2604,""))</f>
        <v/>
      </c>
      <c r="G1474" s="44" t="str">
        <f t="array" ref="G1474">IF(B1474="","",_xlfn.XLOOKUP(B1474,'Form responses 1'!$B$2:$B$2604,'Form responses 1'!$E$2:$E$2604,""))</f>
        <v/>
      </c>
      <c r="H1474" s="44" t="str">
        <f t="array" ref="H1474">IF(B1474="","",_xlfn.XLOOKUP(B1474,'Form responses 1'!$B$2:$B$2604,'Form responses 1'!$F$2:$F$2604,""))</f>
        <v/>
      </c>
      <c r="I1474" s="44" t="str">
        <f t="array" ref="I1474">IF(B1474="","",_xlfn.XLOOKUP(B1474,'Form responses 1'!$B$2:$B$2604,'Form responses 1'!$I$2:$I$2604,""))</f>
        <v/>
      </c>
      <c r="J1474" s="44" t="str">
        <f t="array" ref="J1474">IF(B1474="","",_xlfn.XLOOKUP(B1474,'Form responses 1'!$B$2:$B$2604,'Form responses 1'!$G$2:$G$2604,""))</f>
        <v/>
      </c>
      <c r="K1474" s="56"/>
      <c r="L1474" s="58" t="str">
        <f t="shared" si="7"/>
        <v/>
      </c>
      <c r="M1474" s="49"/>
      <c r="N1474" s="49"/>
      <c r="O1474" s="49"/>
      <c r="P1474" s="49"/>
      <c r="Q1474" s="49"/>
      <c r="R1474" s="49"/>
      <c r="S1474" s="49"/>
      <c r="T1474" s="49"/>
      <c r="U1474" s="49"/>
      <c r="V1474" s="49"/>
      <c r="W1474" s="56"/>
      <c r="X1474" s="51" t="str">
        <f t="shared" si="5"/>
        <v/>
      </c>
      <c r="Y1474" s="50" t="s">
        <v>482</v>
      </c>
      <c r="Z1474" s="49">
        <f t="shared" si="6"/>
        <v>0</v>
      </c>
    </row>
    <row r="1475" ht="22.5" customHeight="1">
      <c r="B1475" s="57"/>
      <c r="C1475" s="43" t="str">
        <f t="array" ref="C1475">IF(B1475="","",_xlfn.XLOOKUP(B1475,'Form responses 1'!$B$2:$B$2604,'Form responses 1'!$A$2:$A$2604,""))</f>
        <v/>
      </c>
      <c r="D1475" s="44" t="str">
        <f t="shared" si="3"/>
        <v/>
      </c>
      <c r="E1475" s="44" t="str">
        <f t="array" ref="E1475">IF(B1475="","",_xlfn.XLOOKUP(B1475,'Form responses 1'!$B$2:$B$2604,'Form responses 1'!$C$2:$C$2604,""))</f>
        <v/>
      </c>
      <c r="F1475" s="44" t="str">
        <f t="array" ref="F1475">IF(B1475="","",_xlfn.XLOOKUP(B1475,'Form responses 1'!$B$2:$B$2604,'Form responses 1'!$D$2:$D$2604,""))</f>
        <v/>
      </c>
      <c r="G1475" s="44" t="str">
        <f t="array" ref="G1475">IF(B1475="","",_xlfn.XLOOKUP(B1475,'Form responses 1'!$B$2:$B$2604,'Form responses 1'!$E$2:$E$2604,""))</f>
        <v/>
      </c>
      <c r="H1475" s="44" t="str">
        <f t="array" ref="H1475">IF(B1475="","",_xlfn.XLOOKUP(B1475,'Form responses 1'!$B$2:$B$2604,'Form responses 1'!$F$2:$F$2604,""))</f>
        <v/>
      </c>
      <c r="I1475" s="44" t="str">
        <f t="array" ref="I1475">IF(B1475="","",_xlfn.XLOOKUP(B1475,'Form responses 1'!$B$2:$B$2604,'Form responses 1'!$I$2:$I$2604,""))</f>
        <v/>
      </c>
      <c r="J1475" s="44" t="str">
        <f t="array" ref="J1475">IF(B1475="","",_xlfn.XLOOKUP(B1475,'Form responses 1'!$B$2:$B$2604,'Form responses 1'!$G$2:$G$2604,""))</f>
        <v/>
      </c>
      <c r="K1475" s="56"/>
      <c r="L1475" s="58" t="str">
        <f t="shared" si="7"/>
        <v/>
      </c>
      <c r="M1475" s="49"/>
      <c r="N1475" s="49"/>
      <c r="O1475" s="49"/>
      <c r="P1475" s="49"/>
      <c r="Q1475" s="49"/>
      <c r="R1475" s="49"/>
      <c r="S1475" s="49"/>
      <c r="T1475" s="49"/>
      <c r="U1475" s="49"/>
      <c r="V1475" s="49"/>
      <c r="W1475" s="56"/>
      <c r="X1475" s="51" t="str">
        <f t="shared" si="5"/>
        <v/>
      </c>
      <c r="Y1475" s="50" t="s">
        <v>482</v>
      </c>
      <c r="Z1475" s="49">
        <f t="shared" si="6"/>
        <v>0</v>
      </c>
    </row>
    <row r="1476" ht="22.5" customHeight="1">
      <c r="B1476" s="57"/>
      <c r="C1476" s="43" t="str">
        <f t="array" ref="C1476">IF(B1476="","",_xlfn.XLOOKUP(B1476,'Form responses 1'!$B$2:$B$2604,'Form responses 1'!$A$2:$A$2604,""))</f>
        <v/>
      </c>
      <c r="D1476" s="44" t="str">
        <f t="shared" si="3"/>
        <v/>
      </c>
      <c r="E1476" s="44" t="str">
        <f t="array" ref="E1476">IF(B1476="","",_xlfn.XLOOKUP(B1476,'Form responses 1'!$B$2:$B$2604,'Form responses 1'!$C$2:$C$2604,""))</f>
        <v/>
      </c>
      <c r="F1476" s="44" t="str">
        <f t="array" ref="F1476">IF(B1476="","",_xlfn.XLOOKUP(B1476,'Form responses 1'!$B$2:$B$2604,'Form responses 1'!$D$2:$D$2604,""))</f>
        <v/>
      </c>
      <c r="G1476" s="44" t="str">
        <f t="array" ref="G1476">IF(B1476="","",_xlfn.XLOOKUP(B1476,'Form responses 1'!$B$2:$B$2604,'Form responses 1'!$E$2:$E$2604,""))</f>
        <v/>
      </c>
      <c r="H1476" s="44" t="str">
        <f t="array" ref="H1476">IF(B1476="","",_xlfn.XLOOKUP(B1476,'Form responses 1'!$B$2:$B$2604,'Form responses 1'!$F$2:$F$2604,""))</f>
        <v/>
      </c>
      <c r="I1476" s="44" t="str">
        <f t="array" ref="I1476">IF(B1476="","",_xlfn.XLOOKUP(B1476,'Form responses 1'!$B$2:$B$2604,'Form responses 1'!$I$2:$I$2604,""))</f>
        <v/>
      </c>
      <c r="J1476" s="44" t="str">
        <f t="array" ref="J1476">IF(B1476="","",_xlfn.XLOOKUP(B1476,'Form responses 1'!$B$2:$B$2604,'Form responses 1'!$G$2:$G$2604,""))</f>
        <v/>
      </c>
      <c r="K1476" s="56"/>
      <c r="L1476" s="58" t="str">
        <f t="shared" si="7"/>
        <v/>
      </c>
      <c r="M1476" s="49"/>
      <c r="N1476" s="49"/>
      <c r="O1476" s="49"/>
      <c r="P1476" s="49"/>
      <c r="Q1476" s="49"/>
      <c r="R1476" s="49"/>
      <c r="S1476" s="49"/>
      <c r="T1476" s="49"/>
      <c r="U1476" s="49"/>
      <c r="V1476" s="49"/>
      <c r="W1476" s="56"/>
      <c r="X1476" s="51" t="str">
        <f t="shared" si="5"/>
        <v/>
      </c>
      <c r="Y1476" s="50" t="s">
        <v>482</v>
      </c>
      <c r="Z1476" s="49">
        <f t="shared" si="6"/>
        <v>0</v>
      </c>
    </row>
    <row r="1477" ht="22.5" customHeight="1">
      <c r="B1477" s="57"/>
      <c r="C1477" s="43" t="str">
        <f t="array" ref="C1477">IF(B1477="","",_xlfn.XLOOKUP(B1477,'Form responses 1'!$B$2:$B$2604,'Form responses 1'!$A$2:$A$2604,""))</f>
        <v/>
      </c>
      <c r="D1477" s="44" t="str">
        <f t="shared" si="3"/>
        <v/>
      </c>
      <c r="E1477" s="44" t="str">
        <f t="array" ref="E1477">IF(B1477="","",_xlfn.XLOOKUP(B1477,'Form responses 1'!$B$2:$B$2604,'Form responses 1'!$C$2:$C$2604,""))</f>
        <v/>
      </c>
      <c r="F1477" s="44" t="str">
        <f t="array" ref="F1477">IF(B1477="","",_xlfn.XLOOKUP(B1477,'Form responses 1'!$B$2:$B$2604,'Form responses 1'!$D$2:$D$2604,""))</f>
        <v/>
      </c>
      <c r="G1477" s="44" t="str">
        <f t="array" ref="G1477">IF(B1477="","",_xlfn.XLOOKUP(B1477,'Form responses 1'!$B$2:$B$2604,'Form responses 1'!$E$2:$E$2604,""))</f>
        <v/>
      </c>
      <c r="H1477" s="44" t="str">
        <f t="array" ref="H1477">IF(B1477="","",_xlfn.XLOOKUP(B1477,'Form responses 1'!$B$2:$B$2604,'Form responses 1'!$F$2:$F$2604,""))</f>
        <v/>
      </c>
      <c r="I1477" s="44" t="str">
        <f t="array" ref="I1477">IF(B1477="","",_xlfn.XLOOKUP(B1477,'Form responses 1'!$B$2:$B$2604,'Form responses 1'!$I$2:$I$2604,""))</f>
        <v/>
      </c>
      <c r="J1477" s="44" t="str">
        <f t="array" ref="J1477">IF(B1477="","",_xlfn.XLOOKUP(B1477,'Form responses 1'!$B$2:$B$2604,'Form responses 1'!$G$2:$G$2604,""))</f>
        <v/>
      </c>
      <c r="K1477" s="56"/>
      <c r="L1477" s="58" t="str">
        <f t="shared" si="7"/>
        <v/>
      </c>
      <c r="M1477" s="49"/>
      <c r="N1477" s="49"/>
      <c r="O1477" s="49"/>
      <c r="P1477" s="49"/>
      <c r="Q1477" s="49"/>
      <c r="R1477" s="49"/>
      <c r="S1477" s="49"/>
      <c r="T1477" s="49"/>
      <c r="U1477" s="49"/>
      <c r="V1477" s="49"/>
      <c r="W1477" s="56"/>
      <c r="X1477" s="51" t="str">
        <f t="shared" si="5"/>
        <v/>
      </c>
      <c r="Y1477" s="50" t="s">
        <v>482</v>
      </c>
      <c r="Z1477" s="49">
        <f t="shared" si="6"/>
        <v>0</v>
      </c>
    </row>
    <row r="1478" ht="22.5" customHeight="1">
      <c r="B1478" s="57"/>
      <c r="C1478" s="43" t="str">
        <f t="array" ref="C1478">IF(B1478="","",_xlfn.XLOOKUP(B1478,'Form responses 1'!$B$2:$B$2604,'Form responses 1'!$A$2:$A$2604,""))</f>
        <v/>
      </c>
      <c r="D1478" s="44" t="str">
        <f t="shared" si="3"/>
        <v/>
      </c>
      <c r="E1478" s="44" t="str">
        <f t="array" ref="E1478">IF(B1478="","",_xlfn.XLOOKUP(B1478,'Form responses 1'!$B$2:$B$2604,'Form responses 1'!$C$2:$C$2604,""))</f>
        <v/>
      </c>
      <c r="F1478" s="44" t="str">
        <f t="array" ref="F1478">IF(B1478="","",_xlfn.XLOOKUP(B1478,'Form responses 1'!$B$2:$B$2604,'Form responses 1'!$D$2:$D$2604,""))</f>
        <v/>
      </c>
      <c r="G1478" s="44" t="str">
        <f t="array" ref="G1478">IF(B1478="","",_xlfn.XLOOKUP(B1478,'Form responses 1'!$B$2:$B$2604,'Form responses 1'!$E$2:$E$2604,""))</f>
        <v/>
      </c>
      <c r="H1478" s="44" t="str">
        <f t="array" ref="H1478">IF(B1478="","",_xlfn.XLOOKUP(B1478,'Form responses 1'!$B$2:$B$2604,'Form responses 1'!$F$2:$F$2604,""))</f>
        <v/>
      </c>
      <c r="I1478" s="44" t="str">
        <f t="array" ref="I1478">IF(B1478="","",_xlfn.XLOOKUP(B1478,'Form responses 1'!$B$2:$B$2604,'Form responses 1'!$I$2:$I$2604,""))</f>
        <v/>
      </c>
      <c r="J1478" s="44" t="str">
        <f t="array" ref="J1478">IF(B1478="","",_xlfn.XLOOKUP(B1478,'Form responses 1'!$B$2:$B$2604,'Form responses 1'!$G$2:$G$2604,""))</f>
        <v/>
      </c>
      <c r="K1478" s="56"/>
      <c r="L1478" s="58" t="str">
        <f t="shared" si="7"/>
        <v/>
      </c>
      <c r="M1478" s="49"/>
      <c r="N1478" s="49"/>
      <c r="O1478" s="49"/>
      <c r="P1478" s="49"/>
      <c r="Q1478" s="49"/>
      <c r="R1478" s="49"/>
      <c r="S1478" s="49"/>
      <c r="T1478" s="49"/>
      <c r="U1478" s="49"/>
      <c r="V1478" s="49"/>
      <c r="W1478" s="56"/>
      <c r="X1478" s="51" t="str">
        <f t="shared" si="5"/>
        <v/>
      </c>
      <c r="Y1478" s="50" t="s">
        <v>482</v>
      </c>
      <c r="Z1478" s="49">
        <f t="shared" si="6"/>
        <v>0</v>
      </c>
    </row>
    <row r="1479" ht="22.5" customHeight="1">
      <c r="B1479" s="57"/>
      <c r="C1479" s="43" t="str">
        <f t="array" ref="C1479">IF(B1479="","",_xlfn.XLOOKUP(B1479,'Form responses 1'!$B$2:$B$2604,'Form responses 1'!$A$2:$A$2604,""))</f>
        <v/>
      </c>
      <c r="D1479" s="44" t="str">
        <f t="shared" si="3"/>
        <v/>
      </c>
      <c r="E1479" s="44" t="str">
        <f t="array" ref="E1479">IF(B1479="","",_xlfn.XLOOKUP(B1479,'Form responses 1'!$B$2:$B$2604,'Form responses 1'!$C$2:$C$2604,""))</f>
        <v/>
      </c>
      <c r="F1479" s="44" t="str">
        <f t="array" ref="F1479">IF(B1479="","",_xlfn.XLOOKUP(B1479,'Form responses 1'!$B$2:$B$2604,'Form responses 1'!$D$2:$D$2604,""))</f>
        <v/>
      </c>
      <c r="G1479" s="44" t="str">
        <f t="array" ref="G1479">IF(B1479="","",_xlfn.XLOOKUP(B1479,'Form responses 1'!$B$2:$B$2604,'Form responses 1'!$E$2:$E$2604,""))</f>
        <v/>
      </c>
      <c r="H1479" s="44" t="str">
        <f t="array" ref="H1479">IF(B1479="","",_xlfn.XLOOKUP(B1479,'Form responses 1'!$B$2:$B$2604,'Form responses 1'!$F$2:$F$2604,""))</f>
        <v/>
      </c>
      <c r="I1479" s="44" t="str">
        <f t="array" ref="I1479">IF(B1479="","",_xlfn.XLOOKUP(B1479,'Form responses 1'!$B$2:$B$2604,'Form responses 1'!$I$2:$I$2604,""))</f>
        <v/>
      </c>
      <c r="J1479" s="44" t="str">
        <f t="array" ref="J1479">IF(B1479="","",_xlfn.XLOOKUP(B1479,'Form responses 1'!$B$2:$B$2604,'Form responses 1'!$G$2:$G$2604,""))</f>
        <v/>
      </c>
      <c r="K1479" s="56"/>
      <c r="L1479" s="58" t="str">
        <f t="shared" si="7"/>
        <v/>
      </c>
      <c r="M1479" s="49"/>
      <c r="N1479" s="49"/>
      <c r="O1479" s="49"/>
      <c r="P1479" s="49"/>
      <c r="Q1479" s="49"/>
      <c r="R1479" s="49"/>
      <c r="S1479" s="49"/>
      <c r="T1479" s="49"/>
      <c r="U1479" s="49"/>
      <c r="V1479" s="49"/>
      <c r="W1479" s="56"/>
      <c r="X1479" s="51" t="str">
        <f t="shared" si="5"/>
        <v/>
      </c>
      <c r="Y1479" s="50" t="s">
        <v>482</v>
      </c>
      <c r="Z1479" s="49">
        <f t="shared" si="6"/>
        <v>0</v>
      </c>
    </row>
    <row r="1480" ht="22.5" customHeight="1">
      <c r="B1480" s="57"/>
      <c r="C1480" s="43" t="str">
        <f t="array" ref="C1480">IF(B1480="","",_xlfn.XLOOKUP(B1480,'Form responses 1'!$B$2:$B$2604,'Form responses 1'!$A$2:$A$2604,""))</f>
        <v/>
      </c>
      <c r="D1480" s="44" t="str">
        <f t="shared" si="3"/>
        <v/>
      </c>
      <c r="E1480" s="44" t="str">
        <f t="array" ref="E1480">IF(B1480="","",_xlfn.XLOOKUP(B1480,'Form responses 1'!$B$2:$B$2604,'Form responses 1'!$C$2:$C$2604,""))</f>
        <v/>
      </c>
      <c r="F1480" s="44" t="str">
        <f t="array" ref="F1480">IF(B1480="","",_xlfn.XLOOKUP(B1480,'Form responses 1'!$B$2:$B$2604,'Form responses 1'!$D$2:$D$2604,""))</f>
        <v/>
      </c>
      <c r="G1480" s="44" t="str">
        <f t="array" ref="G1480">IF(B1480="","",_xlfn.XLOOKUP(B1480,'Form responses 1'!$B$2:$B$2604,'Form responses 1'!$E$2:$E$2604,""))</f>
        <v/>
      </c>
      <c r="H1480" s="44" t="str">
        <f t="array" ref="H1480">IF(B1480="","",_xlfn.XLOOKUP(B1480,'Form responses 1'!$B$2:$B$2604,'Form responses 1'!$F$2:$F$2604,""))</f>
        <v/>
      </c>
      <c r="I1480" s="44" t="str">
        <f t="array" ref="I1480">IF(B1480="","",_xlfn.XLOOKUP(B1480,'Form responses 1'!$B$2:$B$2604,'Form responses 1'!$I$2:$I$2604,""))</f>
        <v/>
      </c>
      <c r="J1480" s="44" t="str">
        <f t="array" ref="J1480">IF(B1480="","",_xlfn.XLOOKUP(B1480,'Form responses 1'!$B$2:$B$2604,'Form responses 1'!$G$2:$G$2604,""))</f>
        <v/>
      </c>
      <c r="K1480" s="56"/>
      <c r="L1480" s="58" t="str">
        <f t="shared" si="7"/>
        <v/>
      </c>
      <c r="M1480" s="49"/>
      <c r="N1480" s="49"/>
      <c r="O1480" s="49"/>
      <c r="P1480" s="49"/>
      <c r="Q1480" s="49"/>
      <c r="R1480" s="49"/>
      <c r="S1480" s="49"/>
      <c r="T1480" s="49"/>
      <c r="U1480" s="49"/>
      <c r="V1480" s="49"/>
      <c r="W1480" s="56"/>
      <c r="X1480" s="51" t="str">
        <f t="shared" si="5"/>
        <v/>
      </c>
      <c r="Y1480" s="50" t="s">
        <v>482</v>
      </c>
      <c r="Z1480" s="49">
        <f t="shared" si="6"/>
        <v>0</v>
      </c>
    </row>
    <row r="1481" ht="22.5" customHeight="1">
      <c r="B1481" s="57"/>
      <c r="C1481" s="43" t="str">
        <f t="array" ref="C1481">IF(B1481="","",_xlfn.XLOOKUP(B1481,'Form responses 1'!$B$2:$B$2604,'Form responses 1'!$A$2:$A$2604,""))</f>
        <v/>
      </c>
      <c r="D1481" s="44" t="str">
        <f t="shared" si="3"/>
        <v/>
      </c>
      <c r="E1481" s="44" t="str">
        <f t="array" ref="E1481">IF(B1481="","",_xlfn.XLOOKUP(B1481,'Form responses 1'!$B$2:$B$2604,'Form responses 1'!$C$2:$C$2604,""))</f>
        <v/>
      </c>
      <c r="F1481" s="44" t="str">
        <f t="array" ref="F1481">IF(B1481="","",_xlfn.XLOOKUP(B1481,'Form responses 1'!$B$2:$B$2604,'Form responses 1'!$D$2:$D$2604,""))</f>
        <v/>
      </c>
      <c r="G1481" s="44" t="str">
        <f t="array" ref="G1481">IF(B1481="","",_xlfn.XLOOKUP(B1481,'Form responses 1'!$B$2:$B$2604,'Form responses 1'!$E$2:$E$2604,""))</f>
        <v/>
      </c>
      <c r="H1481" s="44" t="str">
        <f t="array" ref="H1481">IF(B1481="","",_xlfn.XLOOKUP(B1481,'Form responses 1'!$B$2:$B$2604,'Form responses 1'!$F$2:$F$2604,""))</f>
        <v/>
      </c>
      <c r="I1481" s="44" t="str">
        <f t="array" ref="I1481">IF(B1481="","",_xlfn.XLOOKUP(B1481,'Form responses 1'!$B$2:$B$2604,'Form responses 1'!$I$2:$I$2604,""))</f>
        <v/>
      </c>
      <c r="J1481" s="44" t="str">
        <f t="array" ref="J1481">IF(B1481="","",_xlfn.XLOOKUP(B1481,'Form responses 1'!$B$2:$B$2604,'Form responses 1'!$G$2:$G$2604,""))</f>
        <v/>
      </c>
      <c r="K1481" s="56"/>
      <c r="L1481" s="58" t="str">
        <f t="shared" si="7"/>
        <v/>
      </c>
      <c r="M1481" s="49"/>
      <c r="N1481" s="49"/>
      <c r="O1481" s="49"/>
      <c r="P1481" s="49"/>
      <c r="Q1481" s="49"/>
      <c r="R1481" s="49"/>
      <c r="S1481" s="49"/>
      <c r="T1481" s="49"/>
      <c r="U1481" s="49"/>
      <c r="V1481" s="49"/>
      <c r="W1481" s="56"/>
      <c r="X1481" s="51" t="str">
        <f t="shared" si="5"/>
        <v/>
      </c>
      <c r="Y1481" s="50" t="s">
        <v>482</v>
      </c>
      <c r="Z1481" s="49">
        <f t="shared" si="6"/>
        <v>0</v>
      </c>
    </row>
    <row r="1482" ht="22.5" customHeight="1">
      <c r="B1482" s="57"/>
      <c r="C1482" s="43" t="str">
        <f t="array" ref="C1482">IF(B1482="","",_xlfn.XLOOKUP(B1482,'Form responses 1'!$B$2:$B$2604,'Form responses 1'!$A$2:$A$2604,""))</f>
        <v/>
      </c>
      <c r="D1482" s="44" t="str">
        <f t="shared" si="3"/>
        <v/>
      </c>
      <c r="E1482" s="44" t="str">
        <f t="array" ref="E1482">IF(B1482="","",_xlfn.XLOOKUP(B1482,'Form responses 1'!$B$2:$B$2604,'Form responses 1'!$C$2:$C$2604,""))</f>
        <v/>
      </c>
      <c r="F1482" s="44" t="str">
        <f t="array" ref="F1482">IF(B1482="","",_xlfn.XLOOKUP(B1482,'Form responses 1'!$B$2:$B$2604,'Form responses 1'!$D$2:$D$2604,""))</f>
        <v/>
      </c>
      <c r="G1482" s="44" t="str">
        <f t="array" ref="G1482">IF(B1482="","",_xlfn.XLOOKUP(B1482,'Form responses 1'!$B$2:$B$2604,'Form responses 1'!$E$2:$E$2604,""))</f>
        <v/>
      </c>
      <c r="H1482" s="44" t="str">
        <f t="array" ref="H1482">IF(B1482="","",_xlfn.XLOOKUP(B1482,'Form responses 1'!$B$2:$B$2604,'Form responses 1'!$F$2:$F$2604,""))</f>
        <v/>
      </c>
      <c r="I1482" s="44" t="str">
        <f t="array" ref="I1482">IF(B1482="","",_xlfn.XLOOKUP(B1482,'Form responses 1'!$B$2:$B$2604,'Form responses 1'!$I$2:$I$2604,""))</f>
        <v/>
      </c>
      <c r="J1482" s="44" t="str">
        <f t="array" ref="J1482">IF(B1482="","",_xlfn.XLOOKUP(B1482,'Form responses 1'!$B$2:$B$2604,'Form responses 1'!$G$2:$G$2604,""))</f>
        <v/>
      </c>
      <c r="K1482" s="56"/>
      <c r="L1482" s="58" t="str">
        <f t="shared" si="7"/>
        <v/>
      </c>
      <c r="M1482" s="49"/>
      <c r="N1482" s="49"/>
      <c r="O1482" s="49"/>
      <c r="P1482" s="49"/>
      <c r="Q1482" s="49"/>
      <c r="R1482" s="49"/>
      <c r="S1482" s="49"/>
      <c r="T1482" s="49"/>
      <c r="U1482" s="49"/>
      <c r="V1482" s="49"/>
      <c r="W1482" s="56"/>
      <c r="X1482" s="51" t="str">
        <f t="shared" si="5"/>
        <v/>
      </c>
      <c r="Y1482" s="50" t="s">
        <v>482</v>
      </c>
      <c r="Z1482" s="49">
        <f t="shared" si="6"/>
        <v>0</v>
      </c>
    </row>
    <row r="1483" ht="22.5" customHeight="1">
      <c r="B1483" s="57"/>
      <c r="C1483" s="43" t="str">
        <f t="array" ref="C1483">IF(B1483="","",_xlfn.XLOOKUP(B1483,'Form responses 1'!$B$2:$B$2604,'Form responses 1'!$A$2:$A$2604,""))</f>
        <v/>
      </c>
      <c r="D1483" s="44" t="str">
        <f t="shared" si="3"/>
        <v/>
      </c>
      <c r="E1483" s="44" t="str">
        <f t="array" ref="E1483">IF(B1483="","",_xlfn.XLOOKUP(B1483,'Form responses 1'!$B$2:$B$2604,'Form responses 1'!$C$2:$C$2604,""))</f>
        <v/>
      </c>
      <c r="F1483" s="44" t="str">
        <f t="array" ref="F1483">IF(B1483="","",_xlfn.XLOOKUP(B1483,'Form responses 1'!$B$2:$B$2604,'Form responses 1'!$D$2:$D$2604,""))</f>
        <v/>
      </c>
      <c r="G1483" s="44" t="str">
        <f t="array" ref="G1483">IF(B1483="","",_xlfn.XLOOKUP(B1483,'Form responses 1'!$B$2:$B$2604,'Form responses 1'!$E$2:$E$2604,""))</f>
        <v/>
      </c>
      <c r="H1483" s="44" t="str">
        <f t="array" ref="H1483">IF(B1483="","",_xlfn.XLOOKUP(B1483,'Form responses 1'!$B$2:$B$2604,'Form responses 1'!$F$2:$F$2604,""))</f>
        <v/>
      </c>
      <c r="I1483" s="44" t="str">
        <f t="array" ref="I1483">IF(B1483="","",_xlfn.XLOOKUP(B1483,'Form responses 1'!$B$2:$B$2604,'Form responses 1'!$I$2:$I$2604,""))</f>
        <v/>
      </c>
      <c r="J1483" s="44" t="str">
        <f t="array" ref="J1483">IF(B1483="","",_xlfn.XLOOKUP(B1483,'Form responses 1'!$B$2:$B$2604,'Form responses 1'!$G$2:$G$2604,""))</f>
        <v/>
      </c>
      <c r="K1483" s="56"/>
      <c r="L1483" s="58" t="str">
        <f t="shared" si="7"/>
        <v/>
      </c>
      <c r="M1483" s="49"/>
      <c r="N1483" s="49"/>
      <c r="O1483" s="49"/>
      <c r="P1483" s="49"/>
      <c r="Q1483" s="49"/>
      <c r="R1483" s="49"/>
      <c r="S1483" s="49"/>
      <c r="T1483" s="49"/>
      <c r="U1483" s="49"/>
      <c r="V1483" s="49"/>
      <c r="W1483" s="56"/>
      <c r="X1483" s="51" t="str">
        <f t="shared" si="5"/>
        <v/>
      </c>
      <c r="Y1483" s="50" t="s">
        <v>482</v>
      </c>
      <c r="Z1483" s="49">
        <f t="shared" si="6"/>
        <v>0</v>
      </c>
    </row>
    <row r="1484" ht="22.5" customHeight="1">
      <c r="B1484" s="57"/>
      <c r="C1484" s="43" t="str">
        <f t="array" ref="C1484">IF(B1484="","",_xlfn.XLOOKUP(B1484,'Form responses 1'!$B$2:$B$2604,'Form responses 1'!$A$2:$A$2604,""))</f>
        <v/>
      </c>
      <c r="D1484" s="44" t="str">
        <f t="shared" si="3"/>
        <v/>
      </c>
      <c r="E1484" s="44" t="str">
        <f t="array" ref="E1484">IF(B1484="","",_xlfn.XLOOKUP(B1484,'Form responses 1'!$B$2:$B$2604,'Form responses 1'!$C$2:$C$2604,""))</f>
        <v/>
      </c>
      <c r="F1484" s="44" t="str">
        <f t="array" ref="F1484">IF(B1484="","",_xlfn.XLOOKUP(B1484,'Form responses 1'!$B$2:$B$2604,'Form responses 1'!$D$2:$D$2604,""))</f>
        <v/>
      </c>
      <c r="G1484" s="44" t="str">
        <f t="array" ref="G1484">IF(B1484="","",_xlfn.XLOOKUP(B1484,'Form responses 1'!$B$2:$B$2604,'Form responses 1'!$E$2:$E$2604,""))</f>
        <v/>
      </c>
      <c r="H1484" s="44" t="str">
        <f t="array" ref="H1484">IF(B1484="","",_xlfn.XLOOKUP(B1484,'Form responses 1'!$B$2:$B$2604,'Form responses 1'!$F$2:$F$2604,""))</f>
        <v/>
      </c>
      <c r="I1484" s="44" t="str">
        <f t="array" ref="I1484">IF(B1484="","",_xlfn.XLOOKUP(B1484,'Form responses 1'!$B$2:$B$2604,'Form responses 1'!$I$2:$I$2604,""))</f>
        <v/>
      </c>
      <c r="J1484" s="44" t="str">
        <f t="array" ref="J1484">IF(B1484="","",_xlfn.XLOOKUP(B1484,'Form responses 1'!$B$2:$B$2604,'Form responses 1'!$G$2:$G$2604,""))</f>
        <v/>
      </c>
      <c r="K1484" s="56"/>
      <c r="L1484" s="58" t="str">
        <f t="shared" si="7"/>
        <v/>
      </c>
      <c r="M1484" s="49"/>
      <c r="N1484" s="49"/>
      <c r="O1484" s="49"/>
      <c r="P1484" s="49"/>
      <c r="Q1484" s="49"/>
      <c r="R1484" s="49"/>
      <c r="S1484" s="49"/>
      <c r="T1484" s="49"/>
      <c r="U1484" s="49"/>
      <c r="V1484" s="49"/>
      <c r="W1484" s="56"/>
      <c r="X1484" s="51" t="str">
        <f t="shared" si="5"/>
        <v/>
      </c>
      <c r="Y1484" s="50" t="s">
        <v>482</v>
      </c>
      <c r="Z1484" s="49">
        <f t="shared" si="6"/>
        <v>0</v>
      </c>
    </row>
    <row r="1485" ht="22.5" customHeight="1">
      <c r="B1485" s="57"/>
      <c r="C1485" s="43" t="str">
        <f t="array" ref="C1485">IF(B1485="","",_xlfn.XLOOKUP(B1485,'Form responses 1'!$B$2:$B$2604,'Form responses 1'!$A$2:$A$2604,""))</f>
        <v/>
      </c>
      <c r="D1485" s="44" t="str">
        <f t="shared" si="3"/>
        <v/>
      </c>
      <c r="E1485" s="44" t="str">
        <f t="array" ref="E1485">IF(B1485="","",_xlfn.XLOOKUP(B1485,'Form responses 1'!$B$2:$B$2604,'Form responses 1'!$C$2:$C$2604,""))</f>
        <v/>
      </c>
      <c r="F1485" s="44" t="str">
        <f t="array" ref="F1485">IF(B1485="","",_xlfn.XLOOKUP(B1485,'Form responses 1'!$B$2:$B$2604,'Form responses 1'!$D$2:$D$2604,""))</f>
        <v/>
      </c>
      <c r="G1485" s="44" t="str">
        <f t="array" ref="G1485">IF(B1485="","",_xlfn.XLOOKUP(B1485,'Form responses 1'!$B$2:$B$2604,'Form responses 1'!$E$2:$E$2604,""))</f>
        <v/>
      </c>
      <c r="H1485" s="44" t="str">
        <f t="array" ref="H1485">IF(B1485="","",_xlfn.XLOOKUP(B1485,'Form responses 1'!$B$2:$B$2604,'Form responses 1'!$F$2:$F$2604,""))</f>
        <v/>
      </c>
      <c r="I1485" s="44" t="str">
        <f t="array" ref="I1485">IF(B1485="","",_xlfn.XLOOKUP(B1485,'Form responses 1'!$B$2:$B$2604,'Form responses 1'!$I$2:$I$2604,""))</f>
        <v/>
      </c>
      <c r="J1485" s="44" t="str">
        <f t="array" ref="J1485">IF(B1485="","",_xlfn.XLOOKUP(B1485,'Form responses 1'!$B$2:$B$2604,'Form responses 1'!$G$2:$G$2604,""))</f>
        <v/>
      </c>
      <c r="K1485" s="56"/>
      <c r="L1485" s="58" t="str">
        <f t="shared" si="7"/>
        <v/>
      </c>
      <c r="M1485" s="49"/>
      <c r="N1485" s="49"/>
      <c r="O1485" s="49"/>
      <c r="P1485" s="49"/>
      <c r="Q1485" s="49"/>
      <c r="R1485" s="49"/>
      <c r="S1485" s="49"/>
      <c r="T1485" s="49"/>
      <c r="U1485" s="49"/>
      <c r="V1485" s="49"/>
      <c r="W1485" s="56"/>
      <c r="X1485" s="51" t="str">
        <f t="shared" si="5"/>
        <v/>
      </c>
      <c r="Y1485" s="50" t="s">
        <v>482</v>
      </c>
      <c r="Z1485" s="49">
        <f t="shared" si="6"/>
        <v>0</v>
      </c>
    </row>
    <row r="1486" ht="22.5" customHeight="1">
      <c r="B1486" s="57"/>
      <c r="C1486" s="43" t="str">
        <f t="array" ref="C1486">IF(B1486="","",_xlfn.XLOOKUP(B1486,'Form responses 1'!$B$2:$B$2604,'Form responses 1'!$A$2:$A$2604,""))</f>
        <v/>
      </c>
      <c r="D1486" s="44" t="str">
        <f t="shared" si="3"/>
        <v/>
      </c>
      <c r="E1486" s="44" t="str">
        <f t="array" ref="E1486">IF(B1486="","",_xlfn.XLOOKUP(B1486,'Form responses 1'!$B$2:$B$2604,'Form responses 1'!$C$2:$C$2604,""))</f>
        <v/>
      </c>
      <c r="F1486" s="44" t="str">
        <f t="array" ref="F1486">IF(B1486="","",_xlfn.XLOOKUP(B1486,'Form responses 1'!$B$2:$B$2604,'Form responses 1'!$D$2:$D$2604,""))</f>
        <v/>
      </c>
      <c r="G1486" s="44" t="str">
        <f t="array" ref="G1486">IF(B1486="","",_xlfn.XLOOKUP(B1486,'Form responses 1'!$B$2:$B$2604,'Form responses 1'!$E$2:$E$2604,""))</f>
        <v/>
      </c>
      <c r="H1486" s="44" t="str">
        <f t="array" ref="H1486">IF(B1486="","",_xlfn.XLOOKUP(B1486,'Form responses 1'!$B$2:$B$2604,'Form responses 1'!$F$2:$F$2604,""))</f>
        <v/>
      </c>
      <c r="I1486" s="44" t="str">
        <f t="array" ref="I1486">IF(B1486="","",_xlfn.XLOOKUP(B1486,'Form responses 1'!$B$2:$B$2604,'Form responses 1'!$I$2:$I$2604,""))</f>
        <v/>
      </c>
      <c r="J1486" s="44" t="str">
        <f t="array" ref="J1486">IF(B1486="","",_xlfn.XLOOKUP(B1486,'Form responses 1'!$B$2:$B$2604,'Form responses 1'!$G$2:$G$2604,""))</f>
        <v/>
      </c>
      <c r="K1486" s="56"/>
      <c r="L1486" s="58" t="str">
        <f t="shared" si="7"/>
        <v/>
      </c>
      <c r="M1486" s="49"/>
      <c r="N1486" s="49"/>
      <c r="O1486" s="49"/>
      <c r="P1486" s="49"/>
      <c r="Q1486" s="49"/>
      <c r="R1486" s="49"/>
      <c r="S1486" s="49"/>
      <c r="T1486" s="49"/>
      <c r="U1486" s="49"/>
      <c r="V1486" s="49"/>
      <c r="W1486" s="56"/>
      <c r="X1486" s="51" t="str">
        <f t="shared" si="5"/>
        <v/>
      </c>
      <c r="Y1486" s="50" t="s">
        <v>482</v>
      </c>
      <c r="Z1486" s="49">
        <f t="shared" si="6"/>
        <v>0</v>
      </c>
    </row>
    <row r="1487" ht="22.5" customHeight="1">
      <c r="B1487" s="57"/>
      <c r="C1487" s="43" t="str">
        <f t="array" ref="C1487">IF(B1487="","",_xlfn.XLOOKUP(B1487,'Form responses 1'!$B$2:$B$2604,'Form responses 1'!$A$2:$A$2604,""))</f>
        <v/>
      </c>
      <c r="D1487" s="44" t="str">
        <f t="shared" si="3"/>
        <v/>
      </c>
      <c r="E1487" s="44" t="str">
        <f t="array" ref="E1487">IF(B1487="","",_xlfn.XLOOKUP(B1487,'Form responses 1'!$B$2:$B$2604,'Form responses 1'!$C$2:$C$2604,""))</f>
        <v/>
      </c>
      <c r="F1487" s="44" t="str">
        <f t="array" ref="F1487">IF(B1487="","",_xlfn.XLOOKUP(B1487,'Form responses 1'!$B$2:$B$2604,'Form responses 1'!$D$2:$D$2604,""))</f>
        <v/>
      </c>
      <c r="G1487" s="44" t="str">
        <f t="array" ref="G1487">IF(B1487="","",_xlfn.XLOOKUP(B1487,'Form responses 1'!$B$2:$B$2604,'Form responses 1'!$E$2:$E$2604,""))</f>
        <v/>
      </c>
      <c r="H1487" s="44" t="str">
        <f t="array" ref="H1487">IF(B1487="","",_xlfn.XLOOKUP(B1487,'Form responses 1'!$B$2:$B$2604,'Form responses 1'!$F$2:$F$2604,""))</f>
        <v/>
      </c>
      <c r="I1487" s="44" t="str">
        <f t="array" ref="I1487">IF(B1487="","",_xlfn.XLOOKUP(B1487,'Form responses 1'!$B$2:$B$2604,'Form responses 1'!$I$2:$I$2604,""))</f>
        <v/>
      </c>
      <c r="J1487" s="44" t="str">
        <f t="array" ref="J1487">IF(B1487="","",_xlfn.XLOOKUP(B1487,'Form responses 1'!$B$2:$B$2604,'Form responses 1'!$G$2:$G$2604,""))</f>
        <v/>
      </c>
      <c r="K1487" s="56"/>
      <c r="L1487" s="58" t="str">
        <f t="shared" si="7"/>
        <v/>
      </c>
      <c r="M1487" s="49"/>
      <c r="N1487" s="49"/>
      <c r="O1487" s="49"/>
      <c r="P1487" s="49"/>
      <c r="Q1487" s="49"/>
      <c r="R1487" s="49"/>
      <c r="S1487" s="49"/>
      <c r="T1487" s="49"/>
      <c r="U1487" s="49"/>
      <c r="V1487" s="49"/>
      <c r="W1487" s="56"/>
      <c r="X1487" s="51" t="str">
        <f t="shared" si="5"/>
        <v/>
      </c>
      <c r="Y1487" s="50" t="s">
        <v>482</v>
      </c>
      <c r="Z1487" s="49">
        <f t="shared" si="6"/>
        <v>0</v>
      </c>
    </row>
    <row r="1488" ht="22.5" customHeight="1">
      <c r="B1488" s="57"/>
      <c r="C1488" s="43" t="str">
        <f t="array" ref="C1488">IF(B1488="","",_xlfn.XLOOKUP(B1488,'Form responses 1'!$B$2:$B$2604,'Form responses 1'!$A$2:$A$2604,""))</f>
        <v/>
      </c>
      <c r="D1488" s="44" t="str">
        <f t="shared" si="3"/>
        <v/>
      </c>
      <c r="E1488" s="44" t="str">
        <f t="array" ref="E1488">IF(B1488="","",_xlfn.XLOOKUP(B1488,'Form responses 1'!$B$2:$B$2604,'Form responses 1'!$C$2:$C$2604,""))</f>
        <v/>
      </c>
      <c r="F1488" s="44" t="str">
        <f t="array" ref="F1488">IF(B1488="","",_xlfn.XLOOKUP(B1488,'Form responses 1'!$B$2:$B$2604,'Form responses 1'!$D$2:$D$2604,""))</f>
        <v/>
      </c>
      <c r="G1488" s="44" t="str">
        <f t="array" ref="G1488">IF(B1488="","",_xlfn.XLOOKUP(B1488,'Form responses 1'!$B$2:$B$2604,'Form responses 1'!$E$2:$E$2604,""))</f>
        <v/>
      </c>
      <c r="H1488" s="44" t="str">
        <f t="array" ref="H1488">IF(B1488="","",_xlfn.XLOOKUP(B1488,'Form responses 1'!$B$2:$B$2604,'Form responses 1'!$F$2:$F$2604,""))</f>
        <v/>
      </c>
      <c r="I1488" s="44" t="str">
        <f t="array" ref="I1488">IF(B1488="","",_xlfn.XLOOKUP(B1488,'Form responses 1'!$B$2:$B$2604,'Form responses 1'!$I$2:$I$2604,""))</f>
        <v/>
      </c>
      <c r="J1488" s="44" t="str">
        <f t="array" ref="J1488">IF(B1488="","",_xlfn.XLOOKUP(B1488,'Form responses 1'!$B$2:$B$2604,'Form responses 1'!$G$2:$G$2604,""))</f>
        <v/>
      </c>
      <c r="K1488" s="56"/>
      <c r="L1488" s="58" t="str">
        <f t="shared" si="7"/>
        <v/>
      </c>
      <c r="M1488" s="49"/>
      <c r="N1488" s="49"/>
      <c r="O1488" s="49"/>
      <c r="P1488" s="49"/>
      <c r="Q1488" s="49"/>
      <c r="R1488" s="49"/>
      <c r="S1488" s="49"/>
      <c r="T1488" s="49"/>
      <c r="U1488" s="49"/>
      <c r="V1488" s="49"/>
      <c r="W1488" s="56"/>
      <c r="X1488" s="51" t="str">
        <f t="shared" si="5"/>
        <v/>
      </c>
      <c r="Y1488" s="50" t="s">
        <v>482</v>
      </c>
      <c r="Z1488" s="49">
        <f t="shared" si="6"/>
        <v>0</v>
      </c>
    </row>
    <row r="1489" ht="22.5" customHeight="1">
      <c r="B1489" s="57"/>
      <c r="C1489" s="43" t="str">
        <f t="array" ref="C1489">IF(B1489="","",_xlfn.XLOOKUP(B1489,'Form responses 1'!$B$2:$B$2604,'Form responses 1'!$A$2:$A$2604,""))</f>
        <v/>
      </c>
      <c r="D1489" s="44" t="str">
        <f t="shared" si="3"/>
        <v/>
      </c>
      <c r="E1489" s="44" t="str">
        <f t="array" ref="E1489">IF(B1489="","",_xlfn.XLOOKUP(B1489,'Form responses 1'!$B$2:$B$2604,'Form responses 1'!$C$2:$C$2604,""))</f>
        <v/>
      </c>
      <c r="F1489" s="44" t="str">
        <f t="array" ref="F1489">IF(B1489="","",_xlfn.XLOOKUP(B1489,'Form responses 1'!$B$2:$B$2604,'Form responses 1'!$D$2:$D$2604,""))</f>
        <v/>
      </c>
      <c r="G1489" s="44" t="str">
        <f t="array" ref="G1489">IF(B1489="","",_xlfn.XLOOKUP(B1489,'Form responses 1'!$B$2:$B$2604,'Form responses 1'!$E$2:$E$2604,""))</f>
        <v/>
      </c>
      <c r="H1489" s="44" t="str">
        <f t="array" ref="H1489">IF(B1489="","",_xlfn.XLOOKUP(B1489,'Form responses 1'!$B$2:$B$2604,'Form responses 1'!$F$2:$F$2604,""))</f>
        <v/>
      </c>
      <c r="I1489" s="44" t="str">
        <f t="array" ref="I1489">IF(B1489="","",_xlfn.XLOOKUP(B1489,'Form responses 1'!$B$2:$B$2604,'Form responses 1'!$I$2:$I$2604,""))</f>
        <v/>
      </c>
      <c r="J1489" s="44" t="str">
        <f t="array" ref="J1489">IF(B1489="","",_xlfn.XLOOKUP(B1489,'Form responses 1'!$B$2:$B$2604,'Form responses 1'!$G$2:$G$2604,""))</f>
        <v/>
      </c>
      <c r="K1489" s="56"/>
      <c r="L1489" s="58" t="str">
        <f t="shared" si="7"/>
        <v/>
      </c>
      <c r="M1489" s="49"/>
      <c r="N1489" s="49"/>
      <c r="O1489" s="49"/>
      <c r="P1489" s="49"/>
      <c r="Q1489" s="49"/>
      <c r="R1489" s="49"/>
      <c r="S1489" s="49"/>
      <c r="T1489" s="49"/>
      <c r="U1489" s="49"/>
      <c r="V1489" s="49"/>
      <c r="W1489" s="56"/>
      <c r="X1489" s="51" t="str">
        <f t="shared" si="5"/>
        <v/>
      </c>
      <c r="Y1489" s="50" t="s">
        <v>482</v>
      </c>
      <c r="Z1489" s="49">
        <f t="shared" si="6"/>
        <v>0</v>
      </c>
    </row>
    <row r="1490" ht="22.5" customHeight="1">
      <c r="B1490" s="57"/>
      <c r="C1490" s="43" t="str">
        <f t="array" ref="C1490">IF(B1490="","",_xlfn.XLOOKUP(B1490,'Form responses 1'!$B$2:$B$2604,'Form responses 1'!$A$2:$A$2604,""))</f>
        <v/>
      </c>
      <c r="D1490" s="44" t="str">
        <f t="shared" si="3"/>
        <v/>
      </c>
      <c r="E1490" s="44" t="str">
        <f t="array" ref="E1490">IF(B1490="","",_xlfn.XLOOKUP(B1490,'Form responses 1'!$B$2:$B$2604,'Form responses 1'!$C$2:$C$2604,""))</f>
        <v/>
      </c>
      <c r="F1490" s="44" t="str">
        <f t="array" ref="F1490">IF(B1490="","",_xlfn.XLOOKUP(B1490,'Form responses 1'!$B$2:$B$2604,'Form responses 1'!$D$2:$D$2604,""))</f>
        <v/>
      </c>
      <c r="G1490" s="44" t="str">
        <f t="array" ref="G1490">IF(B1490="","",_xlfn.XLOOKUP(B1490,'Form responses 1'!$B$2:$B$2604,'Form responses 1'!$E$2:$E$2604,""))</f>
        <v/>
      </c>
      <c r="H1490" s="44" t="str">
        <f t="array" ref="H1490">IF(B1490="","",_xlfn.XLOOKUP(B1490,'Form responses 1'!$B$2:$B$2604,'Form responses 1'!$F$2:$F$2604,""))</f>
        <v/>
      </c>
      <c r="I1490" s="44" t="str">
        <f t="array" ref="I1490">IF(B1490="","",_xlfn.XLOOKUP(B1490,'Form responses 1'!$B$2:$B$2604,'Form responses 1'!$I$2:$I$2604,""))</f>
        <v/>
      </c>
      <c r="J1490" s="44" t="str">
        <f t="array" ref="J1490">IF(B1490="","",_xlfn.XLOOKUP(B1490,'Form responses 1'!$B$2:$B$2604,'Form responses 1'!$G$2:$G$2604,""))</f>
        <v/>
      </c>
      <c r="K1490" s="56"/>
      <c r="L1490" s="58" t="str">
        <f t="shared" si="7"/>
        <v/>
      </c>
      <c r="M1490" s="49"/>
      <c r="N1490" s="49"/>
      <c r="O1490" s="49"/>
      <c r="P1490" s="49"/>
      <c r="Q1490" s="49"/>
      <c r="R1490" s="49"/>
      <c r="S1490" s="49"/>
      <c r="T1490" s="49"/>
      <c r="U1490" s="49"/>
      <c r="V1490" s="49"/>
      <c r="W1490" s="56"/>
      <c r="X1490" s="51" t="str">
        <f t="shared" si="5"/>
        <v/>
      </c>
      <c r="Y1490" s="50" t="s">
        <v>482</v>
      </c>
      <c r="Z1490" s="49">
        <f t="shared" si="6"/>
        <v>0</v>
      </c>
    </row>
    <row r="1491" ht="22.5" customHeight="1">
      <c r="B1491" s="57"/>
      <c r="C1491" s="43" t="str">
        <f t="array" ref="C1491">IF(B1491="","",_xlfn.XLOOKUP(B1491,'Form responses 1'!$B$2:$B$2604,'Form responses 1'!$A$2:$A$2604,""))</f>
        <v/>
      </c>
      <c r="D1491" s="44" t="str">
        <f t="shared" si="3"/>
        <v/>
      </c>
      <c r="E1491" s="44" t="str">
        <f t="array" ref="E1491">IF(B1491="","",_xlfn.XLOOKUP(B1491,'Form responses 1'!$B$2:$B$2604,'Form responses 1'!$C$2:$C$2604,""))</f>
        <v/>
      </c>
      <c r="F1491" s="44" t="str">
        <f t="array" ref="F1491">IF(B1491="","",_xlfn.XLOOKUP(B1491,'Form responses 1'!$B$2:$B$2604,'Form responses 1'!$D$2:$D$2604,""))</f>
        <v/>
      </c>
      <c r="G1491" s="44" t="str">
        <f t="array" ref="G1491">IF(B1491="","",_xlfn.XLOOKUP(B1491,'Form responses 1'!$B$2:$B$2604,'Form responses 1'!$E$2:$E$2604,""))</f>
        <v/>
      </c>
      <c r="H1491" s="44" t="str">
        <f t="array" ref="H1491">IF(B1491="","",_xlfn.XLOOKUP(B1491,'Form responses 1'!$B$2:$B$2604,'Form responses 1'!$F$2:$F$2604,""))</f>
        <v/>
      </c>
      <c r="I1491" s="44" t="str">
        <f t="array" ref="I1491">IF(B1491="","",_xlfn.XLOOKUP(B1491,'Form responses 1'!$B$2:$B$2604,'Form responses 1'!$I$2:$I$2604,""))</f>
        <v/>
      </c>
      <c r="J1491" s="44" t="str">
        <f t="array" ref="J1491">IF(B1491="","",_xlfn.XLOOKUP(B1491,'Form responses 1'!$B$2:$B$2604,'Form responses 1'!$G$2:$G$2604,""))</f>
        <v/>
      </c>
      <c r="K1491" s="56"/>
      <c r="L1491" s="58" t="str">
        <f t="shared" si="7"/>
        <v/>
      </c>
      <c r="M1491" s="49"/>
      <c r="N1491" s="49"/>
      <c r="O1491" s="49"/>
      <c r="P1491" s="49"/>
      <c r="Q1491" s="49"/>
      <c r="R1491" s="49"/>
      <c r="S1491" s="49"/>
      <c r="T1491" s="49"/>
      <c r="U1491" s="49"/>
      <c r="V1491" s="49"/>
      <c r="W1491" s="56"/>
      <c r="X1491" s="51" t="str">
        <f t="shared" si="5"/>
        <v/>
      </c>
      <c r="Y1491" s="50" t="s">
        <v>482</v>
      </c>
      <c r="Z1491" s="49">
        <f t="shared" si="6"/>
        <v>0</v>
      </c>
    </row>
    <row r="1492" ht="22.5" customHeight="1">
      <c r="B1492" s="57"/>
      <c r="C1492" s="43" t="str">
        <f t="array" ref="C1492">IF(B1492="","",_xlfn.XLOOKUP(B1492,'Form responses 1'!$B$2:$B$2604,'Form responses 1'!$A$2:$A$2604,""))</f>
        <v/>
      </c>
      <c r="D1492" s="44" t="str">
        <f t="shared" si="3"/>
        <v/>
      </c>
      <c r="E1492" s="44" t="str">
        <f t="array" ref="E1492">IF(B1492="","",_xlfn.XLOOKUP(B1492,'Form responses 1'!$B$2:$B$2604,'Form responses 1'!$C$2:$C$2604,""))</f>
        <v/>
      </c>
      <c r="F1492" s="44" t="str">
        <f t="array" ref="F1492">IF(B1492="","",_xlfn.XLOOKUP(B1492,'Form responses 1'!$B$2:$B$2604,'Form responses 1'!$D$2:$D$2604,""))</f>
        <v/>
      </c>
      <c r="G1492" s="44" t="str">
        <f t="array" ref="G1492">IF(B1492="","",_xlfn.XLOOKUP(B1492,'Form responses 1'!$B$2:$B$2604,'Form responses 1'!$E$2:$E$2604,""))</f>
        <v/>
      </c>
      <c r="H1492" s="44" t="str">
        <f t="array" ref="H1492">IF(B1492="","",_xlfn.XLOOKUP(B1492,'Form responses 1'!$B$2:$B$2604,'Form responses 1'!$F$2:$F$2604,""))</f>
        <v/>
      </c>
      <c r="I1492" s="44" t="str">
        <f t="array" ref="I1492">IF(B1492="","",_xlfn.XLOOKUP(B1492,'Form responses 1'!$B$2:$B$2604,'Form responses 1'!$I$2:$I$2604,""))</f>
        <v/>
      </c>
      <c r="J1492" s="44" t="str">
        <f t="array" ref="J1492">IF(B1492="","",_xlfn.XLOOKUP(B1492,'Form responses 1'!$B$2:$B$2604,'Form responses 1'!$G$2:$G$2604,""))</f>
        <v/>
      </c>
      <c r="K1492" s="56"/>
      <c r="L1492" s="58" t="str">
        <f t="shared" si="7"/>
        <v/>
      </c>
      <c r="M1492" s="49"/>
      <c r="N1492" s="49"/>
      <c r="O1492" s="49"/>
      <c r="P1492" s="49"/>
      <c r="Q1492" s="49"/>
      <c r="R1492" s="49"/>
      <c r="S1492" s="49"/>
      <c r="T1492" s="49"/>
      <c r="U1492" s="49"/>
      <c r="V1492" s="49"/>
      <c r="W1492" s="56"/>
      <c r="X1492" s="51" t="str">
        <f t="shared" si="5"/>
        <v/>
      </c>
      <c r="Y1492" s="50" t="s">
        <v>482</v>
      </c>
      <c r="Z1492" s="49">
        <f t="shared" si="6"/>
        <v>0</v>
      </c>
    </row>
    <row r="1493" ht="22.5" customHeight="1">
      <c r="B1493" s="57"/>
      <c r="C1493" s="43" t="str">
        <f t="array" ref="C1493">IF(B1493="","",_xlfn.XLOOKUP(B1493,'Form responses 1'!$B$2:$B$2604,'Form responses 1'!$A$2:$A$2604,""))</f>
        <v/>
      </c>
      <c r="D1493" s="44" t="str">
        <f t="shared" si="3"/>
        <v/>
      </c>
      <c r="E1493" s="44" t="str">
        <f t="array" ref="E1493">IF(B1493="","",_xlfn.XLOOKUP(B1493,'Form responses 1'!$B$2:$B$2604,'Form responses 1'!$C$2:$C$2604,""))</f>
        <v/>
      </c>
      <c r="F1493" s="44" t="str">
        <f t="array" ref="F1493">IF(B1493="","",_xlfn.XLOOKUP(B1493,'Form responses 1'!$B$2:$B$2604,'Form responses 1'!$D$2:$D$2604,""))</f>
        <v/>
      </c>
      <c r="G1493" s="44" t="str">
        <f t="array" ref="G1493">IF(B1493="","",_xlfn.XLOOKUP(B1493,'Form responses 1'!$B$2:$B$2604,'Form responses 1'!$E$2:$E$2604,""))</f>
        <v/>
      </c>
      <c r="H1493" s="44" t="str">
        <f t="array" ref="H1493">IF(B1493="","",_xlfn.XLOOKUP(B1493,'Form responses 1'!$B$2:$B$2604,'Form responses 1'!$F$2:$F$2604,""))</f>
        <v/>
      </c>
      <c r="I1493" s="44" t="str">
        <f t="array" ref="I1493">IF(B1493="","",_xlfn.XLOOKUP(B1493,'Form responses 1'!$B$2:$B$2604,'Form responses 1'!$I$2:$I$2604,""))</f>
        <v/>
      </c>
      <c r="J1493" s="44" t="str">
        <f t="array" ref="J1493">IF(B1493="","",_xlfn.XLOOKUP(B1493,'Form responses 1'!$B$2:$B$2604,'Form responses 1'!$G$2:$G$2604,""))</f>
        <v/>
      </c>
      <c r="K1493" s="56"/>
      <c r="L1493" s="58" t="str">
        <f t="shared" si="7"/>
        <v/>
      </c>
      <c r="M1493" s="49"/>
      <c r="N1493" s="49"/>
      <c r="O1493" s="49"/>
      <c r="P1493" s="49"/>
      <c r="Q1493" s="49"/>
      <c r="R1493" s="49"/>
      <c r="S1493" s="49"/>
      <c r="T1493" s="49"/>
      <c r="U1493" s="49"/>
      <c r="V1493" s="49"/>
      <c r="W1493" s="56"/>
      <c r="X1493" s="51" t="str">
        <f t="shared" si="5"/>
        <v/>
      </c>
      <c r="Y1493" s="50" t="s">
        <v>482</v>
      </c>
      <c r="Z1493" s="49">
        <f t="shared" si="6"/>
        <v>0</v>
      </c>
    </row>
    <row r="1494" ht="22.5" customHeight="1">
      <c r="B1494" s="57"/>
      <c r="C1494" s="43" t="str">
        <f t="array" ref="C1494">IF(B1494="","",_xlfn.XLOOKUP(B1494,'Form responses 1'!$B$2:$B$2604,'Form responses 1'!$A$2:$A$2604,""))</f>
        <v/>
      </c>
      <c r="D1494" s="44" t="str">
        <f t="shared" si="3"/>
        <v/>
      </c>
      <c r="E1494" s="44" t="str">
        <f t="array" ref="E1494">IF(B1494="","",_xlfn.XLOOKUP(B1494,'Form responses 1'!$B$2:$B$2604,'Form responses 1'!$C$2:$C$2604,""))</f>
        <v/>
      </c>
      <c r="F1494" s="44" t="str">
        <f t="array" ref="F1494">IF(B1494="","",_xlfn.XLOOKUP(B1494,'Form responses 1'!$B$2:$B$2604,'Form responses 1'!$D$2:$D$2604,""))</f>
        <v/>
      </c>
      <c r="G1494" s="44" t="str">
        <f t="array" ref="G1494">IF(B1494="","",_xlfn.XLOOKUP(B1494,'Form responses 1'!$B$2:$B$2604,'Form responses 1'!$E$2:$E$2604,""))</f>
        <v/>
      </c>
      <c r="H1494" s="44" t="str">
        <f t="array" ref="H1494">IF(B1494="","",_xlfn.XLOOKUP(B1494,'Form responses 1'!$B$2:$B$2604,'Form responses 1'!$F$2:$F$2604,""))</f>
        <v/>
      </c>
      <c r="I1494" s="44" t="str">
        <f t="array" ref="I1494">IF(B1494="","",_xlfn.XLOOKUP(B1494,'Form responses 1'!$B$2:$B$2604,'Form responses 1'!$I$2:$I$2604,""))</f>
        <v/>
      </c>
      <c r="J1494" s="44" t="str">
        <f t="array" ref="J1494">IF(B1494="","",_xlfn.XLOOKUP(B1494,'Form responses 1'!$B$2:$B$2604,'Form responses 1'!$G$2:$G$2604,""))</f>
        <v/>
      </c>
      <c r="K1494" s="56"/>
      <c r="L1494" s="58" t="str">
        <f t="shared" si="7"/>
        <v/>
      </c>
      <c r="M1494" s="49"/>
      <c r="N1494" s="49"/>
      <c r="O1494" s="49"/>
      <c r="P1494" s="49"/>
      <c r="Q1494" s="49"/>
      <c r="R1494" s="49"/>
      <c r="S1494" s="49"/>
      <c r="T1494" s="49"/>
      <c r="U1494" s="49"/>
      <c r="V1494" s="49"/>
      <c r="W1494" s="56"/>
      <c r="X1494" s="51" t="str">
        <f t="shared" si="5"/>
        <v/>
      </c>
      <c r="Y1494" s="50" t="s">
        <v>482</v>
      </c>
      <c r="Z1494" s="49">
        <f t="shared" si="6"/>
        <v>0</v>
      </c>
    </row>
    <row r="1495" ht="22.5" customHeight="1">
      <c r="B1495" s="57"/>
      <c r="C1495" s="43" t="str">
        <f t="array" ref="C1495">IF(B1495="","",_xlfn.XLOOKUP(B1495,'Form responses 1'!$B$2:$B$2604,'Form responses 1'!$A$2:$A$2604,""))</f>
        <v/>
      </c>
      <c r="D1495" s="44" t="str">
        <f t="shared" si="3"/>
        <v/>
      </c>
      <c r="E1495" s="44" t="str">
        <f t="array" ref="E1495">IF(B1495="","",_xlfn.XLOOKUP(B1495,'Form responses 1'!$B$2:$B$2604,'Form responses 1'!$C$2:$C$2604,""))</f>
        <v/>
      </c>
      <c r="F1495" s="44" t="str">
        <f t="array" ref="F1495">IF(B1495="","",_xlfn.XLOOKUP(B1495,'Form responses 1'!$B$2:$B$2604,'Form responses 1'!$D$2:$D$2604,""))</f>
        <v/>
      </c>
      <c r="G1495" s="44" t="str">
        <f t="array" ref="G1495">IF(B1495="","",_xlfn.XLOOKUP(B1495,'Form responses 1'!$B$2:$B$2604,'Form responses 1'!$E$2:$E$2604,""))</f>
        <v/>
      </c>
      <c r="H1495" s="44" t="str">
        <f t="array" ref="H1495">IF(B1495="","",_xlfn.XLOOKUP(B1495,'Form responses 1'!$B$2:$B$2604,'Form responses 1'!$F$2:$F$2604,""))</f>
        <v/>
      </c>
      <c r="I1495" s="44" t="str">
        <f t="array" ref="I1495">IF(B1495="","",_xlfn.XLOOKUP(B1495,'Form responses 1'!$B$2:$B$2604,'Form responses 1'!$I$2:$I$2604,""))</f>
        <v/>
      </c>
      <c r="J1495" s="44" t="str">
        <f t="array" ref="J1495">IF(B1495="","",_xlfn.XLOOKUP(B1495,'Form responses 1'!$B$2:$B$2604,'Form responses 1'!$G$2:$G$2604,""))</f>
        <v/>
      </c>
      <c r="K1495" s="56"/>
      <c r="L1495" s="58" t="str">
        <f t="shared" si="7"/>
        <v/>
      </c>
      <c r="M1495" s="49"/>
      <c r="N1495" s="49"/>
      <c r="O1495" s="49"/>
      <c r="P1495" s="49"/>
      <c r="Q1495" s="49"/>
      <c r="R1495" s="49"/>
      <c r="S1495" s="49"/>
      <c r="T1495" s="49"/>
      <c r="U1495" s="49"/>
      <c r="V1495" s="49"/>
      <c r="W1495" s="56"/>
      <c r="X1495" s="51" t="str">
        <f t="shared" si="5"/>
        <v/>
      </c>
      <c r="Y1495" s="50" t="s">
        <v>482</v>
      </c>
      <c r="Z1495" s="49">
        <f t="shared" si="6"/>
        <v>0</v>
      </c>
    </row>
    <row r="1496" ht="22.5" customHeight="1">
      <c r="B1496" s="57"/>
      <c r="C1496" s="43" t="str">
        <f t="array" ref="C1496">IF(B1496="","",_xlfn.XLOOKUP(B1496,'Form responses 1'!$B$2:$B$2604,'Form responses 1'!$A$2:$A$2604,""))</f>
        <v/>
      </c>
      <c r="D1496" s="44" t="str">
        <f t="shared" si="3"/>
        <v/>
      </c>
      <c r="E1496" s="44" t="str">
        <f t="array" ref="E1496">IF(B1496="","",_xlfn.XLOOKUP(B1496,'Form responses 1'!$B$2:$B$2604,'Form responses 1'!$C$2:$C$2604,""))</f>
        <v/>
      </c>
      <c r="F1496" s="44" t="str">
        <f t="array" ref="F1496">IF(B1496="","",_xlfn.XLOOKUP(B1496,'Form responses 1'!$B$2:$B$2604,'Form responses 1'!$D$2:$D$2604,""))</f>
        <v/>
      </c>
      <c r="G1496" s="44" t="str">
        <f t="array" ref="G1496">IF(B1496="","",_xlfn.XLOOKUP(B1496,'Form responses 1'!$B$2:$B$2604,'Form responses 1'!$E$2:$E$2604,""))</f>
        <v/>
      </c>
      <c r="H1496" s="44" t="str">
        <f t="array" ref="H1496">IF(B1496="","",_xlfn.XLOOKUP(B1496,'Form responses 1'!$B$2:$B$2604,'Form responses 1'!$F$2:$F$2604,""))</f>
        <v/>
      </c>
      <c r="I1496" s="44" t="str">
        <f t="array" ref="I1496">IF(B1496="","",_xlfn.XLOOKUP(B1496,'Form responses 1'!$B$2:$B$2604,'Form responses 1'!$I$2:$I$2604,""))</f>
        <v/>
      </c>
      <c r="J1496" s="44" t="str">
        <f t="array" ref="J1496">IF(B1496="","",_xlfn.XLOOKUP(B1496,'Form responses 1'!$B$2:$B$2604,'Form responses 1'!$G$2:$G$2604,""))</f>
        <v/>
      </c>
      <c r="K1496" s="56"/>
      <c r="L1496" s="58" t="str">
        <f t="shared" si="7"/>
        <v/>
      </c>
      <c r="M1496" s="49"/>
      <c r="N1496" s="49"/>
      <c r="O1496" s="49"/>
      <c r="P1496" s="49"/>
      <c r="Q1496" s="49"/>
      <c r="R1496" s="49"/>
      <c r="S1496" s="49"/>
      <c r="T1496" s="49"/>
      <c r="U1496" s="49"/>
      <c r="V1496" s="49"/>
      <c r="W1496" s="56"/>
      <c r="X1496" s="51" t="str">
        <f t="shared" si="5"/>
        <v/>
      </c>
      <c r="Y1496" s="50" t="s">
        <v>482</v>
      </c>
      <c r="Z1496" s="49">
        <f t="shared" si="6"/>
        <v>0</v>
      </c>
    </row>
    <row r="1497" ht="22.5" customHeight="1">
      <c r="B1497" s="57"/>
      <c r="C1497" s="43" t="str">
        <f t="array" ref="C1497">IF(B1497="","",_xlfn.XLOOKUP(B1497,'Form responses 1'!$B$2:$B$2604,'Form responses 1'!$A$2:$A$2604,""))</f>
        <v/>
      </c>
      <c r="D1497" s="44" t="str">
        <f t="shared" si="3"/>
        <v/>
      </c>
      <c r="E1497" s="44" t="str">
        <f t="array" ref="E1497">IF(B1497="","",_xlfn.XLOOKUP(B1497,'Form responses 1'!$B$2:$B$2604,'Form responses 1'!$C$2:$C$2604,""))</f>
        <v/>
      </c>
      <c r="F1497" s="44" t="str">
        <f t="array" ref="F1497">IF(B1497="","",_xlfn.XLOOKUP(B1497,'Form responses 1'!$B$2:$B$2604,'Form responses 1'!$D$2:$D$2604,""))</f>
        <v/>
      </c>
      <c r="G1497" s="44" t="str">
        <f t="array" ref="G1497">IF(B1497="","",_xlfn.XLOOKUP(B1497,'Form responses 1'!$B$2:$B$2604,'Form responses 1'!$E$2:$E$2604,""))</f>
        <v/>
      </c>
      <c r="H1497" s="44" t="str">
        <f t="array" ref="H1497">IF(B1497="","",_xlfn.XLOOKUP(B1497,'Form responses 1'!$B$2:$B$2604,'Form responses 1'!$F$2:$F$2604,""))</f>
        <v/>
      </c>
      <c r="I1497" s="44" t="str">
        <f t="array" ref="I1497">IF(B1497="","",_xlfn.XLOOKUP(B1497,'Form responses 1'!$B$2:$B$2604,'Form responses 1'!$I$2:$I$2604,""))</f>
        <v/>
      </c>
      <c r="J1497" s="44" t="str">
        <f t="array" ref="J1497">IF(B1497="","",_xlfn.XLOOKUP(B1497,'Form responses 1'!$B$2:$B$2604,'Form responses 1'!$G$2:$G$2604,""))</f>
        <v/>
      </c>
      <c r="K1497" s="56"/>
      <c r="L1497" s="58" t="str">
        <f t="shared" si="7"/>
        <v/>
      </c>
      <c r="M1497" s="49"/>
      <c r="N1497" s="49"/>
      <c r="O1497" s="49"/>
      <c r="P1497" s="49"/>
      <c r="Q1497" s="49"/>
      <c r="R1497" s="49"/>
      <c r="S1497" s="49"/>
      <c r="T1497" s="49"/>
      <c r="U1497" s="49"/>
      <c r="V1497" s="49"/>
      <c r="W1497" s="56"/>
      <c r="X1497" s="51" t="str">
        <f t="shared" si="5"/>
        <v/>
      </c>
      <c r="Y1497" s="50" t="s">
        <v>482</v>
      </c>
      <c r="Z1497" s="49">
        <f t="shared" si="6"/>
        <v>0</v>
      </c>
    </row>
    <row r="1498" ht="22.5" customHeight="1">
      <c r="B1498" s="57"/>
      <c r="C1498" s="43" t="str">
        <f t="array" ref="C1498">IF(B1498="","",_xlfn.XLOOKUP(B1498,'Form responses 1'!$B$2:$B$2604,'Form responses 1'!$A$2:$A$2604,""))</f>
        <v/>
      </c>
      <c r="D1498" s="44" t="str">
        <f t="shared" si="3"/>
        <v/>
      </c>
      <c r="E1498" s="44" t="str">
        <f t="array" ref="E1498">IF(B1498="","",_xlfn.XLOOKUP(B1498,'Form responses 1'!$B$2:$B$2604,'Form responses 1'!$C$2:$C$2604,""))</f>
        <v/>
      </c>
      <c r="F1498" s="44" t="str">
        <f t="array" ref="F1498">IF(B1498="","",_xlfn.XLOOKUP(B1498,'Form responses 1'!$B$2:$B$2604,'Form responses 1'!$D$2:$D$2604,""))</f>
        <v/>
      </c>
      <c r="G1498" s="44" t="str">
        <f t="array" ref="G1498">IF(B1498="","",_xlfn.XLOOKUP(B1498,'Form responses 1'!$B$2:$B$2604,'Form responses 1'!$E$2:$E$2604,""))</f>
        <v/>
      </c>
      <c r="H1498" s="44" t="str">
        <f t="array" ref="H1498">IF(B1498="","",_xlfn.XLOOKUP(B1498,'Form responses 1'!$B$2:$B$2604,'Form responses 1'!$F$2:$F$2604,""))</f>
        <v/>
      </c>
      <c r="I1498" s="44" t="str">
        <f t="array" ref="I1498">IF(B1498="","",_xlfn.XLOOKUP(B1498,'Form responses 1'!$B$2:$B$2604,'Form responses 1'!$I$2:$I$2604,""))</f>
        <v/>
      </c>
      <c r="J1498" s="44" t="str">
        <f t="array" ref="J1498">IF(B1498="","",_xlfn.XLOOKUP(B1498,'Form responses 1'!$B$2:$B$2604,'Form responses 1'!$G$2:$G$2604,""))</f>
        <v/>
      </c>
      <c r="K1498" s="56"/>
      <c r="L1498" s="58" t="str">
        <f t="shared" si="7"/>
        <v/>
      </c>
      <c r="M1498" s="49"/>
      <c r="N1498" s="49"/>
      <c r="O1498" s="49"/>
      <c r="P1498" s="49"/>
      <c r="Q1498" s="49"/>
      <c r="R1498" s="49"/>
      <c r="S1498" s="49"/>
      <c r="T1498" s="49"/>
      <c r="U1498" s="49"/>
      <c r="V1498" s="49"/>
      <c r="W1498" s="56"/>
      <c r="X1498" s="51" t="str">
        <f t="shared" si="5"/>
        <v/>
      </c>
      <c r="Y1498" s="50" t="s">
        <v>482</v>
      </c>
      <c r="Z1498" s="49">
        <f t="shared" si="6"/>
        <v>0</v>
      </c>
    </row>
    <row r="1499" ht="22.5" customHeight="1">
      <c r="B1499" s="57"/>
      <c r="C1499" s="43" t="str">
        <f t="array" ref="C1499">IF(B1499="","",_xlfn.XLOOKUP(B1499,'Form responses 1'!$B$2:$B$2604,'Form responses 1'!$A$2:$A$2604,""))</f>
        <v/>
      </c>
      <c r="D1499" s="44" t="str">
        <f t="shared" si="3"/>
        <v/>
      </c>
      <c r="E1499" s="44" t="str">
        <f t="array" ref="E1499">IF(B1499="","",_xlfn.XLOOKUP(B1499,'Form responses 1'!$B$2:$B$2604,'Form responses 1'!$C$2:$C$2604,""))</f>
        <v/>
      </c>
      <c r="F1499" s="44" t="str">
        <f t="array" ref="F1499">IF(B1499="","",_xlfn.XLOOKUP(B1499,'Form responses 1'!$B$2:$B$2604,'Form responses 1'!$D$2:$D$2604,""))</f>
        <v/>
      </c>
      <c r="G1499" s="44" t="str">
        <f t="array" ref="G1499">IF(B1499="","",_xlfn.XLOOKUP(B1499,'Form responses 1'!$B$2:$B$2604,'Form responses 1'!$E$2:$E$2604,""))</f>
        <v/>
      </c>
      <c r="H1499" s="44" t="str">
        <f t="array" ref="H1499">IF(B1499="","",_xlfn.XLOOKUP(B1499,'Form responses 1'!$B$2:$B$2604,'Form responses 1'!$F$2:$F$2604,""))</f>
        <v/>
      </c>
      <c r="I1499" s="44" t="str">
        <f t="array" ref="I1499">IF(B1499="","",_xlfn.XLOOKUP(B1499,'Form responses 1'!$B$2:$B$2604,'Form responses 1'!$I$2:$I$2604,""))</f>
        <v/>
      </c>
      <c r="J1499" s="44" t="str">
        <f t="array" ref="J1499">IF(B1499="","",_xlfn.XLOOKUP(B1499,'Form responses 1'!$B$2:$B$2604,'Form responses 1'!$G$2:$G$2604,""))</f>
        <v/>
      </c>
      <c r="K1499" s="56"/>
      <c r="L1499" s="58" t="str">
        <f t="shared" si="7"/>
        <v/>
      </c>
      <c r="M1499" s="49"/>
      <c r="N1499" s="49"/>
      <c r="O1499" s="49"/>
      <c r="P1499" s="49"/>
      <c r="Q1499" s="49"/>
      <c r="R1499" s="49"/>
      <c r="S1499" s="49"/>
      <c r="T1499" s="49"/>
      <c r="U1499" s="49"/>
      <c r="V1499" s="49"/>
      <c r="W1499" s="56"/>
      <c r="X1499" s="51" t="str">
        <f t="shared" si="5"/>
        <v/>
      </c>
      <c r="Y1499" s="50" t="s">
        <v>482</v>
      </c>
      <c r="Z1499" s="49">
        <f t="shared" si="6"/>
        <v>0</v>
      </c>
    </row>
    <row r="1500" ht="22.5" customHeight="1">
      <c r="B1500" s="57"/>
      <c r="C1500" s="43" t="str">
        <f t="array" ref="C1500">IF(B1500="","",_xlfn.XLOOKUP(B1500,'Form responses 1'!$B$2:$B$2604,'Form responses 1'!$A$2:$A$2604,""))</f>
        <v/>
      </c>
      <c r="D1500" s="44" t="str">
        <f t="shared" si="3"/>
        <v/>
      </c>
      <c r="E1500" s="44" t="str">
        <f t="array" ref="E1500">IF(B1500="","",_xlfn.XLOOKUP(B1500,'Form responses 1'!$B$2:$B$2604,'Form responses 1'!$C$2:$C$2604,""))</f>
        <v/>
      </c>
      <c r="F1500" s="44" t="str">
        <f t="array" ref="F1500">IF(B1500="","",_xlfn.XLOOKUP(B1500,'Form responses 1'!$B$2:$B$2604,'Form responses 1'!$D$2:$D$2604,""))</f>
        <v/>
      </c>
      <c r="G1500" s="44" t="str">
        <f t="array" ref="G1500">IF(B1500="","",_xlfn.XLOOKUP(B1500,'Form responses 1'!$B$2:$B$2604,'Form responses 1'!$E$2:$E$2604,""))</f>
        <v/>
      </c>
      <c r="H1500" s="44" t="str">
        <f t="array" ref="H1500">IF(B1500="","",_xlfn.XLOOKUP(B1500,'Form responses 1'!$B$2:$B$2604,'Form responses 1'!$F$2:$F$2604,""))</f>
        <v/>
      </c>
      <c r="I1500" s="44" t="str">
        <f t="array" ref="I1500">IF(B1500="","",_xlfn.XLOOKUP(B1500,'Form responses 1'!$B$2:$B$2604,'Form responses 1'!$I$2:$I$2604,""))</f>
        <v/>
      </c>
      <c r="J1500" s="44" t="str">
        <f t="array" ref="J1500">IF(B1500="","",_xlfn.XLOOKUP(B1500,'Form responses 1'!$B$2:$B$2604,'Form responses 1'!$G$2:$G$2604,""))</f>
        <v/>
      </c>
      <c r="K1500" s="56"/>
      <c r="L1500" s="58" t="str">
        <f t="shared" si="7"/>
        <v/>
      </c>
      <c r="M1500" s="49"/>
      <c r="N1500" s="49"/>
      <c r="O1500" s="49"/>
      <c r="P1500" s="49"/>
      <c r="Q1500" s="49"/>
      <c r="R1500" s="49"/>
      <c r="S1500" s="49"/>
      <c r="T1500" s="49"/>
      <c r="U1500" s="49"/>
      <c r="V1500" s="49"/>
      <c r="W1500" s="56"/>
      <c r="X1500" s="51" t="str">
        <f t="shared" si="5"/>
        <v/>
      </c>
      <c r="Y1500" s="50" t="s">
        <v>482</v>
      </c>
      <c r="Z1500" s="49">
        <f t="shared" si="6"/>
        <v>0</v>
      </c>
    </row>
    <row r="1501" ht="22.5" customHeight="1">
      <c r="B1501" s="57"/>
      <c r="C1501" s="43" t="str">
        <f t="array" ref="C1501">IF(B1501="","",_xlfn.XLOOKUP(B1501,'Form responses 1'!$B$2:$B$2604,'Form responses 1'!$A$2:$A$2604,""))</f>
        <v/>
      </c>
      <c r="D1501" s="44" t="str">
        <f t="shared" si="3"/>
        <v/>
      </c>
      <c r="E1501" s="44" t="str">
        <f t="array" ref="E1501">IF(B1501="","",_xlfn.XLOOKUP(B1501,'Form responses 1'!$B$2:$B$2604,'Form responses 1'!$C$2:$C$2604,""))</f>
        <v/>
      </c>
      <c r="F1501" s="44" t="str">
        <f t="array" ref="F1501">IF(B1501="","",_xlfn.XLOOKUP(B1501,'Form responses 1'!$B$2:$B$2604,'Form responses 1'!$D$2:$D$2604,""))</f>
        <v/>
      </c>
      <c r="G1501" s="44" t="str">
        <f t="array" ref="G1501">IF(B1501="","",_xlfn.XLOOKUP(B1501,'Form responses 1'!$B$2:$B$2604,'Form responses 1'!$E$2:$E$2604,""))</f>
        <v/>
      </c>
      <c r="H1501" s="44" t="str">
        <f t="array" ref="H1501">IF(B1501="","",_xlfn.XLOOKUP(B1501,'Form responses 1'!$B$2:$B$2604,'Form responses 1'!$F$2:$F$2604,""))</f>
        <v/>
      </c>
      <c r="I1501" s="44" t="str">
        <f t="array" ref="I1501">IF(B1501="","",_xlfn.XLOOKUP(B1501,'Form responses 1'!$B$2:$B$2604,'Form responses 1'!$I$2:$I$2604,""))</f>
        <v/>
      </c>
      <c r="J1501" s="44" t="str">
        <f t="array" ref="J1501">IF(B1501="","",_xlfn.XLOOKUP(B1501,'Form responses 1'!$B$2:$B$2604,'Form responses 1'!$G$2:$G$2604,""))</f>
        <v/>
      </c>
      <c r="K1501" s="56"/>
      <c r="L1501" s="58" t="str">
        <f t="shared" si="7"/>
        <v/>
      </c>
      <c r="M1501" s="49"/>
      <c r="N1501" s="49"/>
      <c r="O1501" s="49"/>
      <c r="P1501" s="49"/>
      <c r="Q1501" s="49"/>
      <c r="R1501" s="49"/>
      <c r="S1501" s="49"/>
      <c r="T1501" s="49"/>
      <c r="U1501" s="49"/>
      <c r="V1501" s="49"/>
      <c r="W1501" s="56"/>
      <c r="X1501" s="51" t="str">
        <f t="shared" si="5"/>
        <v/>
      </c>
      <c r="Y1501" s="50" t="s">
        <v>482</v>
      </c>
      <c r="Z1501" s="49">
        <f t="shared" si="6"/>
        <v>0</v>
      </c>
    </row>
    <row r="1502" ht="22.5" customHeight="1">
      <c r="B1502" s="57"/>
      <c r="C1502" s="43" t="str">
        <f t="array" ref="C1502">IF(B1502="","",_xlfn.XLOOKUP(B1502,'Form responses 1'!$B$2:$B$2604,'Form responses 1'!$A$2:$A$2604,""))</f>
        <v/>
      </c>
      <c r="D1502" s="44" t="str">
        <f t="shared" si="3"/>
        <v/>
      </c>
      <c r="E1502" s="44" t="str">
        <f t="array" ref="E1502">IF(B1502="","",_xlfn.XLOOKUP(B1502,'Form responses 1'!$B$2:$B$2604,'Form responses 1'!$C$2:$C$2604,""))</f>
        <v/>
      </c>
      <c r="F1502" s="44" t="str">
        <f t="array" ref="F1502">IF(B1502="","",_xlfn.XLOOKUP(B1502,'Form responses 1'!$B$2:$B$2604,'Form responses 1'!$D$2:$D$2604,""))</f>
        <v/>
      </c>
      <c r="G1502" s="44" t="str">
        <f t="array" ref="G1502">IF(B1502="","",_xlfn.XLOOKUP(B1502,'Form responses 1'!$B$2:$B$2604,'Form responses 1'!$E$2:$E$2604,""))</f>
        <v/>
      </c>
      <c r="H1502" s="44" t="str">
        <f t="array" ref="H1502">IF(B1502="","",_xlfn.XLOOKUP(B1502,'Form responses 1'!$B$2:$B$2604,'Form responses 1'!$F$2:$F$2604,""))</f>
        <v/>
      </c>
      <c r="I1502" s="44" t="str">
        <f t="array" ref="I1502">IF(B1502="","",_xlfn.XLOOKUP(B1502,'Form responses 1'!$B$2:$B$2604,'Form responses 1'!$I$2:$I$2604,""))</f>
        <v/>
      </c>
      <c r="J1502" s="44" t="str">
        <f t="array" ref="J1502">IF(B1502="","",_xlfn.XLOOKUP(B1502,'Form responses 1'!$B$2:$B$2604,'Form responses 1'!$G$2:$G$2604,""))</f>
        <v/>
      </c>
      <c r="K1502" s="56"/>
      <c r="L1502" s="58" t="str">
        <f t="shared" si="7"/>
        <v/>
      </c>
      <c r="M1502" s="49"/>
      <c r="N1502" s="49"/>
      <c r="O1502" s="49"/>
      <c r="P1502" s="49"/>
      <c r="Q1502" s="49"/>
      <c r="R1502" s="49"/>
      <c r="S1502" s="49"/>
      <c r="T1502" s="49"/>
      <c r="U1502" s="49"/>
      <c r="V1502" s="49"/>
      <c r="W1502" s="56"/>
      <c r="X1502" s="51" t="str">
        <f t="shared" si="5"/>
        <v/>
      </c>
      <c r="Y1502" s="50" t="s">
        <v>482</v>
      </c>
      <c r="Z1502" s="49">
        <f t="shared" si="6"/>
        <v>0</v>
      </c>
    </row>
    <row r="1503" ht="22.5" customHeight="1">
      <c r="B1503" s="57"/>
      <c r="C1503" s="43" t="str">
        <f t="array" ref="C1503">IF(B1503="","",_xlfn.XLOOKUP(B1503,'Form responses 1'!$B$2:$B$2604,'Form responses 1'!$A$2:$A$2604,""))</f>
        <v/>
      </c>
      <c r="D1503" s="44" t="str">
        <f t="shared" si="3"/>
        <v/>
      </c>
      <c r="E1503" s="44" t="str">
        <f t="array" ref="E1503">IF(B1503="","",_xlfn.XLOOKUP(B1503,'Form responses 1'!$B$2:$B$2604,'Form responses 1'!$C$2:$C$2604,""))</f>
        <v/>
      </c>
      <c r="F1503" s="44" t="str">
        <f t="array" ref="F1503">IF(B1503="","",_xlfn.XLOOKUP(B1503,'Form responses 1'!$B$2:$B$2604,'Form responses 1'!$D$2:$D$2604,""))</f>
        <v/>
      </c>
      <c r="G1503" s="44" t="str">
        <f t="array" ref="G1503">IF(B1503="","",_xlfn.XLOOKUP(B1503,'Form responses 1'!$B$2:$B$2604,'Form responses 1'!$E$2:$E$2604,""))</f>
        <v/>
      </c>
      <c r="H1503" s="44" t="str">
        <f t="array" ref="H1503">IF(B1503="","",_xlfn.XLOOKUP(B1503,'Form responses 1'!$B$2:$B$2604,'Form responses 1'!$F$2:$F$2604,""))</f>
        <v/>
      </c>
      <c r="I1503" s="44" t="str">
        <f t="array" ref="I1503">IF(B1503="","",_xlfn.XLOOKUP(B1503,'Form responses 1'!$B$2:$B$2604,'Form responses 1'!$I$2:$I$2604,""))</f>
        <v/>
      </c>
      <c r="J1503" s="44" t="str">
        <f t="array" ref="J1503">IF(B1503="","",_xlfn.XLOOKUP(B1503,'Form responses 1'!$B$2:$B$2604,'Form responses 1'!$G$2:$G$2604,""))</f>
        <v/>
      </c>
      <c r="K1503" s="56"/>
      <c r="L1503" s="58" t="str">
        <f t="shared" si="7"/>
        <v/>
      </c>
      <c r="M1503" s="49"/>
      <c r="N1503" s="49"/>
      <c r="O1503" s="49"/>
      <c r="P1503" s="49"/>
      <c r="Q1503" s="49"/>
      <c r="R1503" s="49"/>
      <c r="S1503" s="49"/>
      <c r="T1503" s="49"/>
      <c r="U1503" s="49"/>
      <c r="V1503" s="49"/>
      <c r="W1503" s="56"/>
      <c r="X1503" s="51" t="str">
        <f t="shared" si="5"/>
        <v/>
      </c>
      <c r="Y1503" s="50" t="s">
        <v>482</v>
      </c>
      <c r="Z1503" s="49">
        <f t="shared" si="6"/>
        <v>0</v>
      </c>
    </row>
    <row r="1504" ht="22.5" customHeight="1">
      <c r="B1504" s="57"/>
      <c r="C1504" s="43" t="str">
        <f t="array" ref="C1504">IF(B1504="","",_xlfn.XLOOKUP(B1504,'Form responses 1'!$B$2:$B$2604,'Form responses 1'!$A$2:$A$2604,""))</f>
        <v/>
      </c>
      <c r="D1504" s="44" t="str">
        <f t="shared" si="3"/>
        <v/>
      </c>
      <c r="E1504" s="44" t="str">
        <f t="array" ref="E1504">IF(B1504="","",_xlfn.XLOOKUP(B1504,'Form responses 1'!$B$2:$B$2604,'Form responses 1'!$C$2:$C$2604,""))</f>
        <v/>
      </c>
      <c r="F1504" s="44" t="str">
        <f t="array" ref="F1504">IF(B1504="","",_xlfn.XLOOKUP(B1504,'Form responses 1'!$B$2:$B$2604,'Form responses 1'!$D$2:$D$2604,""))</f>
        <v/>
      </c>
      <c r="G1504" s="44" t="str">
        <f t="array" ref="G1504">IF(B1504="","",_xlfn.XLOOKUP(B1504,'Form responses 1'!$B$2:$B$2604,'Form responses 1'!$E$2:$E$2604,""))</f>
        <v/>
      </c>
      <c r="H1504" s="44" t="str">
        <f t="array" ref="H1504">IF(B1504="","",_xlfn.XLOOKUP(B1504,'Form responses 1'!$B$2:$B$2604,'Form responses 1'!$F$2:$F$2604,""))</f>
        <v/>
      </c>
      <c r="I1504" s="44" t="str">
        <f t="array" ref="I1504">IF(B1504="","",_xlfn.XLOOKUP(B1504,'Form responses 1'!$B$2:$B$2604,'Form responses 1'!$I$2:$I$2604,""))</f>
        <v/>
      </c>
      <c r="J1504" s="44" t="str">
        <f t="array" ref="J1504">IF(B1504="","",_xlfn.XLOOKUP(B1504,'Form responses 1'!$B$2:$B$2604,'Form responses 1'!$G$2:$G$2604,""))</f>
        <v/>
      </c>
      <c r="K1504" s="56"/>
      <c r="L1504" s="58" t="str">
        <f t="shared" si="7"/>
        <v/>
      </c>
      <c r="M1504" s="49"/>
      <c r="N1504" s="49"/>
      <c r="O1504" s="49"/>
      <c r="P1504" s="49"/>
      <c r="Q1504" s="49"/>
      <c r="R1504" s="49"/>
      <c r="S1504" s="49"/>
      <c r="T1504" s="49"/>
      <c r="U1504" s="49"/>
      <c r="V1504" s="49"/>
      <c r="W1504" s="56"/>
      <c r="X1504" s="51" t="str">
        <f t="shared" si="5"/>
        <v/>
      </c>
      <c r="Y1504" s="50" t="s">
        <v>482</v>
      </c>
      <c r="Z1504" s="49">
        <f t="shared" si="6"/>
        <v>0</v>
      </c>
    </row>
    <row r="1505" ht="22.5" customHeight="1">
      <c r="B1505" s="57"/>
      <c r="C1505" s="43" t="str">
        <f t="array" ref="C1505">IF(B1505="","",_xlfn.XLOOKUP(B1505,'Form responses 1'!$B$2:$B$2604,'Form responses 1'!$A$2:$A$2604,""))</f>
        <v/>
      </c>
      <c r="D1505" s="44" t="str">
        <f t="shared" si="3"/>
        <v/>
      </c>
      <c r="E1505" s="44" t="str">
        <f t="array" ref="E1505">IF(B1505="","",_xlfn.XLOOKUP(B1505,'Form responses 1'!$B$2:$B$2604,'Form responses 1'!$C$2:$C$2604,""))</f>
        <v/>
      </c>
      <c r="F1505" s="44" t="str">
        <f t="array" ref="F1505">IF(B1505="","",_xlfn.XLOOKUP(B1505,'Form responses 1'!$B$2:$B$2604,'Form responses 1'!$D$2:$D$2604,""))</f>
        <v/>
      </c>
      <c r="G1505" s="44" t="str">
        <f t="array" ref="G1505">IF(B1505="","",_xlfn.XLOOKUP(B1505,'Form responses 1'!$B$2:$B$2604,'Form responses 1'!$E$2:$E$2604,""))</f>
        <v/>
      </c>
      <c r="H1505" s="44" t="str">
        <f t="array" ref="H1505">IF(B1505="","",_xlfn.XLOOKUP(B1505,'Form responses 1'!$B$2:$B$2604,'Form responses 1'!$F$2:$F$2604,""))</f>
        <v/>
      </c>
      <c r="I1505" s="44" t="str">
        <f t="array" ref="I1505">IF(B1505="","",_xlfn.XLOOKUP(B1505,'Form responses 1'!$B$2:$B$2604,'Form responses 1'!$I$2:$I$2604,""))</f>
        <v/>
      </c>
      <c r="J1505" s="44" t="str">
        <f t="array" ref="J1505">IF(B1505="","",_xlfn.XLOOKUP(B1505,'Form responses 1'!$B$2:$B$2604,'Form responses 1'!$G$2:$G$2604,""))</f>
        <v/>
      </c>
      <c r="K1505" s="56"/>
      <c r="L1505" s="58" t="str">
        <f t="shared" si="7"/>
        <v/>
      </c>
      <c r="M1505" s="49"/>
      <c r="N1505" s="49"/>
      <c r="O1505" s="49"/>
      <c r="P1505" s="49"/>
      <c r="Q1505" s="49"/>
      <c r="R1505" s="49"/>
      <c r="S1505" s="49"/>
      <c r="T1505" s="49"/>
      <c r="U1505" s="49"/>
      <c r="V1505" s="49"/>
      <c r="W1505" s="56"/>
      <c r="X1505" s="51" t="str">
        <f t="shared" si="5"/>
        <v/>
      </c>
      <c r="Y1505" s="50" t="s">
        <v>482</v>
      </c>
      <c r="Z1505" s="49">
        <f t="shared" si="6"/>
        <v>0</v>
      </c>
    </row>
    <row r="1506" ht="22.5" customHeight="1">
      <c r="B1506" s="57"/>
      <c r="C1506" s="43" t="str">
        <f t="array" ref="C1506">IF(B1506="","",_xlfn.XLOOKUP(B1506,'Form responses 1'!$B$2:$B$2604,'Form responses 1'!$A$2:$A$2604,""))</f>
        <v/>
      </c>
      <c r="D1506" s="44" t="str">
        <f t="shared" si="3"/>
        <v/>
      </c>
      <c r="E1506" s="44" t="str">
        <f t="array" ref="E1506">IF(B1506="","",_xlfn.XLOOKUP(B1506,'Form responses 1'!$B$2:$B$2604,'Form responses 1'!$C$2:$C$2604,""))</f>
        <v/>
      </c>
      <c r="F1506" s="44" t="str">
        <f t="array" ref="F1506">IF(B1506="","",_xlfn.XLOOKUP(B1506,'Form responses 1'!$B$2:$B$2604,'Form responses 1'!$D$2:$D$2604,""))</f>
        <v/>
      </c>
      <c r="G1506" s="44" t="str">
        <f t="array" ref="G1506">IF(B1506="","",_xlfn.XLOOKUP(B1506,'Form responses 1'!$B$2:$B$2604,'Form responses 1'!$E$2:$E$2604,""))</f>
        <v/>
      </c>
      <c r="H1506" s="44" t="str">
        <f t="array" ref="H1506">IF(B1506="","",_xlfn.XLOOKUP(B1506,'Form responses 1'!$B$2:$B$2604,'Form responses 1'!$F$2:$F$2604,""))</f>
        <v/>
      </c>
      <c r="I1506" s="44" t="str">
        <f t="array" ref="I1506">IF(B1506="","",_xlfn.XLOOKUP(B1506,'Form responses 1'!$B$2:$B$2604,'Form responses 1'!$I$2:$I$2604,""))</f>
        <v/>
      </c>
      <c r="J1506" s="44" t="str">
        <f t="array" ref="J1506">IF(B1506="","",_xlfn.XLOOKUP(B1506,'Form responses 1'!$B$2:$B$2604,'Form responses 1'!$G$2:$G$2604,""))</f>
        <v/>
      </c>
      <c r="K1506" s="56"/>
      <c r="L1506" s="58" t="str">
        <f t="shared" si="7"/>
        <v/>
      </c>
      <c r="M1506" s="49"/>
      <c r="N1506" s="49"/>
      <c r="O1506" s="49"/>
      <c r="P1506" s="49"/>
      <c r="Q1506" s="49"/>
      <c r="R1506" s="49"/>
      <c r="S1506" s="49"/>
      <c r="T1506" s="49"/>
      <c r="U1506" s="49"/>
      <c r="V1506" s="49"/>
      <c r="W1506" s="56"/>
      <c r="X1506" s="51" t="str">
        <f t="shared" si="5"/>
        <v/>
      </c>
      <c r="Y1506" s="50" t="s">
        <v>482</v>
      </c>
      <c r="Z1506" s="49">
        <f t="shared" si="6"/>
        <v>0</v>
      </c>
    </row>
    <row r="1507" ht="22.5" customHeight="1">
      <c r="B1507" s="57"/>
      <c r="C1507" s="43" t="str">
        <f t="array" ref="C1507">IF(B1507="","",_xlfn.XLOOKUP(B1507,'Form responses 1'!$B$2:$B$2604,'Form responses 1'!$A$2:$A$2604,""))</f>
        <v/>
      </c>
      <c r="D1507" s="44" t="str">
        <f t="shared" si="3"/>
        <v/>
      </c>
      <c r="E1507" s="44" t="str">
        <f t="array" ref="E1507">IF(B1507="","",_xlfn.XLOOKUP(B1507,'Form responses 1'!$B$2:$B$2604,'Form responses 1'!$C$2:$C$2604,""))</f>
        <v/>
      </c>
      <c r="F1507" s="44" t="str">
        <f t="array" ref="F1507">IF(B1507="","",_xlfn.XLOOKUP(B1507,'Form responses 1'!$B$2:$B$2604,'Form responses 1'!$D$2:$D$2604,""))</f>
        <v/>
      </c>
      <c r="G1507" s="44" t="str">
        <f t="array" ref="G1507">IF(B1507="","",_xlfn.XLOOKUP(B1507,'Form responses 1'!$B$2:$B$2604,'Form responses 1'!$E$2:$E$2604,""))</f>
        <v/>
      </c>
      <c r="H1507" s="44" t="str">
        <f t="array" ref="H1507">IF(B1507="","",_xlfn.XLOOKUP(B1507,'Form responses 1'!$B$2:$B$2604,'Form responses 1'!$F$2:$F$2604,""))</f>
        <v/>
      </c>
      <c r="I1507" s="44" t="str">
        <f t="array" ref="I1507">IF(B1507="","",_xlfn.XLOOKUP(B1507,'Form responses 1'!$B$2:$B$2604,'Form responses 1'!$I$2:$I$2604,""))</f>
        <v/>
      </c>
      <c r="J1507" s="44" t="str">
        <f t="array" ref="J1507">IF(B1507="","",_xlfn.XLOOKUP(B1507,'Form responses 1'!$B$2:$B$2604,'Form responses 1'!$G$2:$G$2604,""))</f>
        <v/>
      </c>
      <c r="K1507" s="56"/>
      <c r="L1507" s="58" t="str">
        <f t="shared" si="7"/>
        <v/>
      </c>
      <c r="M1507" s="49"/>
      <c r="N1507" s="49"/>
      <c r="O1507" s="49"/>
      <c r="P1507" s="49"/>
      <c r="Q1507" s="49"/>
      <c r="R1507" s="49"/>
      <c r="S1507" s="49"/>
      <c r="T1507" s="49"/>
      <c r="U1507" s="49"/>
      <c r="V1507" s="49"/>
      <c r="W1507" s="56"/>
      <c r="X1507" s="51" t="str">
        <f t="shared" si="5"/>
        <v/>
      </c>
      <c r="Y1507" s="50" t="s">
        <v>482</v>
      </c>
      <c r="Z1507" s="49">
        <f t="shared" si="6"/>
        <v>0</v>
      </c>
    </row>
    <row r="1508" ht="22.5" customHeight="1">
      <c r="B1508" s="57"/>
      <c r="C1508" s="43" t="str">
        <f t="array" ref="C1508">IF(B1508="","",_xlfn.XLOOKUP(B1508,'Form responses 1'!$B$2:$B$2604,'Form responses 1'!$A$2:$A$2604,""))</f>
        <v/>
      </c>
      <c r="D1508" s="44" t="str">
        <f t="shared" si="3"/>
        <v/>
      </c>
      <c r="E1508" s="44" t="str">
        <f t="array" ref="E1508">IF(B1508="","",_xlfn.XLOOKUP(B1508,'Form responses 1'!$B$2:$B$2604,'Form responses 1'!$C$2:$C$2604,""))</f>
        <v/>
      </c>
      <c r="F1508" s="44" t="str">
        <f t="array" ref="F1508">IF(B1508="","",_xlfn.XLOOKUP(B1508,'Form responses 1'!$B$2:$B$2604,'Form responses 1'!$D$2:$D$2604,""))</f>
        <v/>
      </c>
      <c r="G1508" s="44" t="str">
        <f t="array" ref="G1508">IF(B1508="","",_xlfn.XLOOKUP(B1508,'Form responses 1'!$B$2:$B$2604,'Form responses 1'!$E$2:$E$2604,""))</f>
        <v/>
      </c>
      <c r="H1508" s="44" t="str">
        <f t="array" ref="H1508">IF(B1508="","",_xlfn.XLOOKUP(B1508,'Form responses 1'!$B$2:$B$2604,'Form responses 1'!$F$2:$F$2604,""))</f>
        <v/>
      </c>
      <c r="I1508" s="44" t="str">
        <f t="array" ref="I1508">IF(B1508="","",_xlfn.XLOOKUP(B1508,'Form responses 1'!$B$2:$B$2604,'Form responses 1'!$I$2:$I$2604,""))</f>
        <v/>
      </c>
      <c r="J1508" s="44" t="str">
        <f t="array" ref="J1508">IF(B1508="","",_xlfn.XLOOKUP(B1508,'Form responses 1'!$B$2:$B$2604,'Form responses 1'!$G$2:$G$2604,""))</f>
        <v/>
      </c>
      <c r="K1508" s="56"/>
      <c r="L1508" s="58" t="str">
        <f t="shared" si="7"/>
        <v/>
      </c>
      <c r="M1508" s="49"/>
      <c r="N1508" s="49"/>
      <c r="O1508" s="49"/>
      <c r="P1508" s="49"/>
      <c r="Q1508" s="49"/>
      <c r="R1508" s="49"/>
      <c r="S1508" s="49"/>
      <c r="T1508" s="49"/>
      <c r="U1508" s="49"/>
      <c r="V1508" s="49"/>
      <c r="W1508" s="56"/>
      <c r="X1508" s="51" t="str">
        <f t="shared" si="5"/>
        <v/>
      </c>
      <c r="Y1508" s="50" t="s">
        <v>482</v>
      </c>
      <c r="Z1508" s="49">
        <f t="shared" si="6"/>
        <v>0</v>
      </c>
    </row>
    <row r="1509" ht="22.5" customHeight="1">
      <c r="B1509" s="57"/>
      <c r="C1509" s="43" t="str">
        <f t="array" ref="C1509">IF(B1509="","",_xlfn.XLOOKUP(B1509,'Form responses 1'!$B$2:$B$2604,'Form responses 1'!$A$2:$A$2604,""))</f>
        <v/>
      </c>
      <c r="D1509" s="44" t="str">
        <f t="shared" si="3"/>
        <v/>
      </c>
      <c r="E1509" s="44" t="str">
        <f t="array" ref="E1509">IF(B1509="","",_xlfn.XLOOKUP(B1509,'Form responses 1'!$B$2:$B$2604,'Form responses 1'!$C$2:$C$2604,""))</f>
        <v/>
      </c>
      <c r="F1509" s="44" t="str">
        <f t="array" ref="F1509">IF(B1509="","",_xlfn.XLOOKUP(B1509,'Form responses 1'!$B$2:$B$2604,'Form responses 1'!$D$2:$D$2604,""))</f>
        <v/>
      </c>
      <c r="G1509" s="44" t="str">
        <f t="array" ref="G1509">IF(B1509="","",_xlfn.XLOOKUP(B1509,'Form responses 1'!$B$2:$B$2604,'Form responses 1'!$E$2:$E$2604,""))</f>
        <v/>
      </c>
      <c r="H1509" s="44" t="str">
        <f t="array" ref="H1509">IF(B1509="","",_xlfn.XLOOKUP(B1509,'Form responses 1'!$B$2:$B$2604,'Form responses 1'!$F$2:$F$2604,""))</f>
        <v/>
      </c>
      <c r="I1509" s="44" t="str">
        <f t="array" ref="I1509">IF(B1509="","",_xlfn.XLOOKUP(B1509,'Form responses 1'!$B$2:$B$2604,'Form responses 1'!$I$2:$I$2604,""))</f>
        <v/>
      </c>
      <c r="J1509" s="44" t="str">
        <f t="array" ref="J1509">IF(B1509="","",_xlfn.XLOOKUP(B1509,'Form responses 1'!$B$2:$B$2604,'Form responses 1'!$G$2:$G$2604,""))</f>
        <v/>
      </c>
      <c r="K1509" s="56"/>
      <c r="L1509" s="58" t="str">
        <f t="shared" si="7"/>
        <v/>
      </c>
      <c r="M1509" s="49"/>
      <c r="N1509" s="49"/>
      <c r="O1509" s="49"/>
      <c r="P1509" s="49"/>
      <c r="Q1509" s="49"/>
      <c r="R1509" s="49"/>
      <c r="S1509" s="49"/>
      <c r="T1509" s="49"/>
      <c r="U1509" s="49"/>
      <c r="V1509" s="49"/>
      <c r="W1509" s="56"/>
      <c r="X1509" s="51" t="str">
        <f t="shared" si="5"/>
        <v/>
      </c>
      <c r="Y1509" s="50" t="s">
        <v>482</v>
      </c>
      <c r="Z1509" s="49">
        <f t="shared" si="6"/>
        <v>0</v>
      </c>
    </row>
    <row r="1510" ht="22.5" customHeight="1">
      <c r="B1510" s="57"/>
      <c r="C1510" s="43" t="str">
        <f t="array" ref="C1510">IF(B1510="","",_xlfn.XLOOKUP(B1510,'Form responses 1'!$B$2:$B$2604,'Form responses 1'!$A$2:$A$2604,""))</f>
        <v/>
      </c>
      <c r="D1510" s="44" t="str">
        <f t="shared" si="3"/>
        <v/>
      </c>
      <c r="E1510" s="44" t="str">
        <f t="array" ref="E1510">IF(B1510="","",_xlfn.XLOOKUP(B1510,'Form responses 1'!$B$2:$B$2604,'Form responses 1'!$C$2:$C$2604,""))</f>
        <v/>
      </c>
      <c r="F1510" s="44" t="str">
        <f t="array" ref="F1510">IF(B1510="","",_xlfn.XLOOKUP(B1510,'Form responses 1'!$B$2:$B$2604,'Form responses 1'!$D$2:$D$2604,""))</f>
        <v/>
      </c>
      <c r="G1510" s="44" t="str">
        <f t="array" ref="G1510">IF(B1510="","",_xlfn.XLOOKUP(B1510,'Form responses 1'!$B$2:$B$2604,'Form responses 1'!$E$2:$E$2604,""))</f>
        <v/>
      </c>
      <c r="H1510" s="44" t="str">
        <f t="array" ref="H1510">IF(B1510="","",_xlfn.XLOOKUP(B1510,'Form responses 1'!$B$2:$B$2604,'Form responses 1'!$F$2:$F$2604,""))</f>
        <v/>
      </c>
      <c r="I1510" s="44" t="str">
        <f t="array" ref="I1510">IF(B1510="","",_xlfn.XLOOKUP(B1510,'Form responses 1'!$B$2:$B$2604,'Form responses 1'!$I$2:$I$2604,""))</f>
        <v/>
      </c>
      <c r="J1510" s="44" t="str">
        <f t="array" ref="J1510">IF(B1510="","",_xlfn.XLOOKUP(B1510,'Form responses 1'!$B$2:$B$2604,'Form responses 1'!$G$2:$G$2604,""))</f>
        <v/>
      </c>
      <c r="K1510" s="56"/>
      <c r="L1510" s="58" t="str">
        <f t="shared" si="7"/>
        <v/>
      </c>
      <c r="M1510" s="49"/>
      <c r="N1510" s="49"/>
      <c r="O1510" s="49"/>
      <c r="P1510" s="49"/>
      <c r="Q1510" s="49"/>
      <c r="R1510" s="49"/>
      <c r="S1510" s="49"/>
      <c r="T1510" s="49"/>
      <c r="U1510" s="49"/>
      <c r="V1510" s="49"/>
      <c r="W1510" s="56"/>
      <c r="X1510" s="51" t="str">
        <f t="shared" si="5"/>
        <v/>
      </c>
      <c r="Y1510" s="50" t="s">
        <v>482</v>
      </c>
      <c r="Z1510" s="49">
        <f t="shared" si="6"/>
        <v>0</v>
      </c>
    </row>
    <row r="1511" ht="22.5" customHeight="1">
      <c r="B1511" s="57"/>
      <c r="C1511" s="43" t="str">
        <f t="array" ref="C1511">IF(B1511="","",_xlfn.XLOOKUP(B1511,'Form responses 1'!$B$2:$B$2604,'Form responses 1'!$A$2:$A$2604,""))</f>
        <v/>
      </c>
      <c r="D1511" s="44" t="str">
        <f t="shared" si="3"/>
        <v/>
      </c>
      <c r="E1511" s="44" t="str">
        <f t="array" ref="E1511">IF(B1511="","",_xlfn.XLOOKUP(B1511,'Form responses 1'!$B$2:$B$2604,'Form responses 1'!$C$2:$C$2604,""))</f>
        <v/>
      </c>
      <c r="F1511" s="44" t="str">
        <f t="array" ref="F1511">IF(B1511="","",_xlfn.XLOOKUP(B1511,'Form responses 1'!$B$2:$B$2604,'Form responses 1'!$D$2:$D$2604,""))</f>
        <v/>
      </c>
      <c r="G1511" s="44" t="str">
        <f t="array" ref="G1511">IF(B1511="","",_xlfn.XLOOKUP(B1511,'Form responses 1'!$B$2:$B$2604,'Form responses 1'!$E$2:$E$2604,""))</f>
        <v/>
      </c>
      <c r="H1511" s="44" t="str">
        <f t="array" ref="H1511">IF(B1511="","",_xlfn.XLOOKUP(B1511,'Form responses 1'!$B$2:$B$2604,'Form responses 1'!$F$2:$F$2604,""))</f>
        <v/>
      </c>
      <c r="I1511" s="44" t="str">
        <f t="array" ref="I1511">IF(B1511="","",_xlfn.XLOOKUP(B1511,'Form responses 1'!$B$2:$B$2604,'Form responses 1'!$I$2:$I$2604,""))</f>
        <v/>
      </c>
      <c r="J1511" s="44" t="str">
        <f t="array" ref="J1511">IF(B1511="","",_xlfn.XLOOKUP(B1511,'Form responses 1'!$B$2:$B$2604,'Form responses 1'!$G$2:$G$2604,""))</f>
        <v/>
      </c>
      <c r="K1511" s="56"/>
      <c r="L1511" s="58" t="str">
        <f t="shared" si="7"/>
        <v/>
      </c>
      <c r="M1511" s="49"/>
      <c r="N1511" s="49"/>
      <c r="O1511" s="49"/>
      <c r="P1511" s="49"/>
      <c r="Q1511" s="49"/>
      <c r="R1511" s="49"/>
      <c r="S1511" s="49"/>
      <c r="T1511" s="49"/>
      <c r="U1511" s="49"/>
      <c r="V1511" s="49"/>
      <c r="W1511" s="56"/>
      <c r="X1511" s="51" t="str">
        <f t="shared" si="5"/>
        <v/>
      </c>
      <c r="Y1511" s="50" t="s">
        <v>482</v>
      </c>
      <c r="Z1511" s="49">
        <f t="shared" si="6"/>
        <v>0</v>
      </c>
    </row>
    <row r="1512" ht="22.5" customHeight="1">
      <c r="B1512" s="57"/>
      <c r="C1512" s="43" t="str">
        <f t="array" ref="C1512">IF(B1512="","",_xlfn.XLOOKUP(B1512,'Form responses 1'!$B$2:$B$2604,'Form responses 1'!$A$2:$A$2604,""))</f>
        <v/>
      </c>
      <c r="D1512" s="44" t="str">
        <f t="shared" si="3"/>
        <v/>
      </c>
      <c r="E1512" s="44" t="str">
        <f t="array" ref="E1512">IF(B1512="","",_xlfn.XLOOKUP(B1512,'Form responses 1'!$B$2:$B$2604,'Form responses 1'!$C$2:$C$2604,""))</f>
        <v/>
      </c>
      <c r="F1512" s="44" t="str">
        <f t="array" ref="F1512">IF(B1512="","",_xlfn.XLOOKUP(B1512,'Form responses 1'!$B$2:$B$2604,'Form responses 1'!$D$2:$D$2604,""))</f>
        <v/>
      </c>
      <c r="G1512" s="44" t="str">
        <f t="array" ref="G1512">IF(B1512="","",_xlfn.XLOOKUP(B1512,'Form responses 1'!$B$2:$B$2604,'Form responses 1'!$E$2:$E$2604,""))</f>
        <v/>
      </c>
      <c r="H1512" s="44" t="str">
        <f t="array" ref="H1512">IF(B1512="","",_xlfn.XLOOKUP(B1512,'Form responses 1'!$B$2:$B$2604,'Form responses 1'!$F$2:$F$2604,""))</f>
        <v/>
      </c>
      <c r="I1512" s="44" t="str">
        <f t="array" ref="I1512">IF(B1512="","",_xlfn.XLOOKUP(B1512,'Form responses 1'!$B$2:$B$2604,'Form responses 1'!$I$2:$I$2604,""))</f>
        <v/>
      </c>
      <c r="J1512" s="44" t="str">
        <f t="array" ref="J1512">IF(B1512="","",_xlfn.XLOOKUP(B1512,'Form responses 1'!$B$2:$B$2604,'Form responses 1'!$G$2:$G$2604,""))</f>
        <v/>
      </c>
      <c r="K1512" s="56"/>
      <c r="L1512" s="58" t="str">
        <f t="shared" si="7"/>
        <v/>
      </c>
      <c r="M1512" s="49"/>
      <c r="N1512" s="49"/>
      <c r="O1512" s="49"/>
      <c r="P1512" s="49"/>
      <c r="Q1512" s="49"/>
      <c r="R1512" s="49"/>
      <c r="S1512" s="49"/>
      <c r="T1512" s="49"/>
      <c r="U1512" s="49"/>
      <c r="V1512" s="49"/>
      <c r="W1512" s="56"/>
      <c r="X1512" s="51" t="str">
        <f t="shared" si="5"/>
        <v/>
      </c>
      <c r="Y1512" s="50" t="s">
        <v>482</v>
      </c>
      <c r="Z1512" s="49">
        <f t="shared" si="6"/>
        <v>0</v>
      </c>
    </row>
    <row r="1513" ht="22.5" customHeight="1">
      <c r="B1513" s="57"/>
      <c r="C1513" s="43" t="str">
        <f t="array" ref="C1513">IF(B1513="","",_xlfn.XLOOKUP(B1513,'Form responses 1'!$B$2:$B$2604,'Form responses 1'!$A$2:$A$2604,""))</f>
        <v/>
      </c>
      <c r="D1513" s="44" t="str">
        <f t="shared" si="3"/>
        <v/>
      </c>
      <c r="E1513" s="44" t="str">
        <f t="array" ref="E1513">IF(B1513="","",_xlfn.XLOOKUP(B1513,'Form responses 1'!$B$2:$B$2604,'Form responses 1'!$C$2:$C$2604,""))</f>
        <v/>
      </c>
      <c r="F1513" s="44" t="str">
        <f t="array" ref="F1513">IF(B1513="","",_xlfn.XLOOKUP(B1513,'Form responses 1'!$B$2:$B$2604,'Form responses 1'!$D$2:$D$2604,""))</f>
        <v/>
      </c>
      <c r="G1513" s="44" t="str">
        <f t="array" ref="G1513">IF(B1513="","",_xlfn.XLOOKUP(B1513,'Form responses 1'!$B$2:$B$2604,'Form responses 1'!$E$2:$E$2604,""))</f>
        <v/>
      </c>
      <c r="H1513" s="44" t="str">
        <f t="array" ref="H1513">IF(B1513="","",_xlfn.XLOOKUP(B1513,'Form responses 1'!$B$2:$B$2604,'Form responses 1'!$F$2:$F$2604,""))</f>
        <v/>
      </c>
      <c r="I1513" s="44" t="str">
        <f t="array" ref="I1513">IF(B1513="","",_xlfn.XLOOKUP(B1513,'Form responses 1'!$B$2:$B$2604,'Form responses 1'!$I$2:$I$2604,""))</f>
        <v/>
      </c>
      <c r="J1513" s="44" t="str">
        <f t="array" ref="J1513">IF(B1513="","",_xlfn.XLOOKUP(B1513,'Form responses 1'!$B$2:$B$2604,'Form responses 1'!$G$2:$G$2604,""))</f>
        <v/>
      </c>
      <c r="K1513" s="56"/>
      <c r="L1513" s="58" t="str">
        <f t="shared" si="7"/>
        <v/>
      </c>
      <c r="M1513" s="49"/>
      <c r="N1513" s="49"/>
      <c r="O1513" s="49"/>
      <c r="P1513" s="49"/>
      <c r="Q1513" s="49"/>
      <c r="R1513" s="49"/>
      <c r="S1513" s="49"/>
      <c r="T1513" s="49"/>
      <c r="U1513" s="49"/>
      <c r="V1513" s="49"/>
      <c r="W1513" s="56"/>
      <c r="X1513" s="51" t="str">
        <f t="shared" si="5"/>
        <v/>
      </c>
      <c r="Y1513" s="50" t="s">
        <v>482</v>
      </c>
      <c r="Z1513" s="49">
        <f t="shared" si="6"/>
        <v>0</v>
      </c>
    </row>
    <row r="1514" ht="22.5" customHeight="1">
      <c r="B1514" s="57"/>
      <c r="C1514" s="43" t="str">
        <f t="array" ref="C1514">IF(B1514="","",_xlfn.XLOOKUP(B1514,'Form responses 1'!$B$2:$B$2604,'Form responses 1'!$A$2:$A$2604,""))</f>
        <v/>
      </c>
      <c r="D1514" s="44" t="str">
        <f t="shared" si="3"/>
        <v/>
      </c>
      <c r="E1514" s="44" t="str">
        <f t="array" ref="E1514">IF(B1514="","",_xlfn.XLOOKUP(B1514,'Form responses 1'!$B$2:$B$2604,'Form responses 1'!$C$2:$C$2604,""))</f>
        <v/>
      </c>
      <c r="F1514" s="44" t="str">
        <f t="array" ref="F1514">IF(B1514="","",_xlfn.XLOOKUP(B1514,'Form responses 1'!$B$2:$B$2604,'Form responses 1'!$D$2:$D$2604,""))</f>
        <v/>
      </c>
      <c r="G1514" s="44" t="str">
        <f t="array" ref="G1514">IF(B1514="","",_xlfn.XLOOKUP(B1514,'Form responses 1'!$B$2:$B$2604,'Form responses 1'!$E$2:$E$2604,""))</f>
        <v/>
      </c>
      <c r="H1514" s="44" t="str">
        <f t="array" ref="H1514">IF(B1514="","",_xlfn.XLOOKUP(B1514,'Form responses 1'!$B$2:$B$2604,'Form responses 1'!$F$2:$F$2604,""))</f>
        <v/>
      </c>
      <c r="I1514" s="44" t="str">
        <f t="array" ref="I1514">IF(B1514="","",_xlfn.XLOOKUP(B1514,'Form responses 1'!$B$2:$B$2604,'Form responses 1'!$I$2:$I$2604,""))</f>
        <v/>
      </c>
      <c r="J1514" s="44" t="str">
        <f t="array" ref="J1514">IF(B1514="","",_xlfn.XLOOKUP(B1514,'Form responses 1'!$B$2:$B$2604,'Form responses 1'!$G$2:$G$2604,""))</f>
        <v/>
      </c>
      <c r="K1514" s="56"/>
      <c r="L1514" s="58" t="str">
        <f t="shared" si="7"/>
        <v/>
      </c>
      <c r="M1514" s="49"/>
      <c r="N1514" s="49"/>
      <c r="O1514" s="49"/>
      <c r="P1514" s="49"/>
      <c r="Q1514" s="49"/>
      <c r="R1514" s="49"/>
      <c r="S1514" s="49"/>
      <c r="T1514" s="49"/>
      <c r="U1514" s="49"/>
      <c r="V1514" s="49"/>
      <c r="W1514" s="56"/>
      <c r="X1514" s="51" t="str">
        <f t="shared" si="5"/>
        <v/>
      </c>
      <c r="Y1514" s="50" t="s">
        <v>482</v>
      </c>
      <c r="Z1514" s="49">
        <f t="shared" si="6"/>
        <v>0</v>
      </c>
    </row>
    <row r="1515" ht="22.5" customHeight="1">
      <c r="B1515" s="57"/>
      <c r="C1515" s="43" t="str">
        <f t="array" ref="C1515">IF(B1515="","",_xlfn.XLOOKUP(B1515,'Form responses 1'!$B$2:$B$2604,'Form responses 1'!$A$2:$A$2604,""))</f>
        <v/>
      </c>
      <c r="D1515" s="44" t="str">
        <f t="shared" si="3"/>
        <v/>
      </c>
      <c r="E1515" s="44" t="str">
        <f t="array" ref="E1515">IF(B1515="","",_xlfn.XLOOKUP(B1515,'Form responses 1'!$B$2:$B$2604,'Form responses 1'!$C$2:$C$2604,""))</f>
        <v/>
      </c>
      <c r="F1515" s="44" t="str">
        <f t="array" ref="F1515">IF(B1515="","",_xlfn.XLOOKUP(B1515,'Form responses 1'!$B$2:$B$2604,'Form responses 1'!$D$2:$D$2604,""))</f>
        <v/>
      </c>
      <c r="G1515" s="44" t="str">
        <f t="array" ref="G1515">IF(B1515="","",_xlfn.XLOOKUP(B1515,'Form responses 1'!$B$2:$B$2604,'Form responses 1'!$E$2:$E$2604,""))</f>
        <v/>
      </c>
      <c r="H1515" s="44" t="str">
        <f t="array" ref="H1515">IF(B1515="","",_xlfn.XLOOKUP(B1515,'Form responses 1'!$B$2:$B$2604,'Form responses 1'!$F$2:$F$2604,""))</f>
        <v/>
      </c>
      <c r="I1515" s="44" t="str">
        <f t="array" ref="I1515">IF(B1515="","",_xlfn.XLOOKUP(B1515,'Form responses 1'!$B$2:$B$2604,'Form responses 1'!$I$2:$I$2604,""))</f>
        <v/>
      </c>
      <c r="J1515" s="44" t="str">
        <f t="array" ref="J1515">IF(B1515="","",_xlfn.XLOOKUP(B1515,'Form responses 1'!$B$2:$B$2604,'Form responses 1'!$G$2:$G$2604,""))</f>
        <v/>
      </c>
      <c r="K1515" s="56"/>
      <c r="L1515" s="58" t="str">
        <f t="shared" si="7"/>
        <v/>
      </c>
      <c r="M1515" s="49"/>
      <c r="N1515" s="49"/>
      <c r="O1515" s="49"/>
      <c r="P1515" s="49"/>
      <c r="Q1515" s="49"/>
      <c r="R1515" s="49"/>
      <c r="S1515" s="49"/>
      <c r="T1515" s="49"/>
      <c r="U1515" s="49"/>
      <c r="V1515" s="49"/>
      <c r="W1515" s="56"/>
      <c r="X1515" s="51" t="str">
        <f t="shared" si="5"/>
        <v/>
      </c>
      <c r="Y1515" s="50" t="s">
        <v>482</v>
      </c>
      <c r="Z1515" s="49">
        <f t="shared" si="6"/>
        <v>0</v>
      </c>
    </row>
    <row r="1516" ht="22.5" customHeight="1">
      <c r="B1516" s="57"/>
      <c r="C1516" s="43" t="str">
        <f t="array" ref="C1516">IF(B1516="","",_xlfn.XLOOKUP(B1516,'Form responses 1'!$B$2:$B$2604,'Form responses 1'!$A$2:$A$2604,""))</f>
        <v/>
      </c>
      <c r="D1516" s="44" t="str">
        <f t="shared" si="3"/>
        <v/>
      </c>
      <c r="E1516" s="44" t="str">
        <f t="array" ref="E1516">IF(B1516="","",_xlfn.XLOOKUP(B1516,'Form responses 1'!$B$2:$B$2604,'Form responses 1'!$C$2:$C$2604,""))</f>
        <v/>
      </c>
      <c r="F1516" s="44" t="str">
        <f t="array" ref="F1516">IF(B1516="","",_xlfn.XLOOKUP(B1516,'Form responses 1'!$B$2:$B$2604,'Form responses 1'!$D$2:$D$2604,""))</f>
        <v/>
      </c>
      <c r="G1516" s="44" t="str">
        <f t="array" ref="G1516">IF(B1516="","",_xlfn.XLOOKUP(B1516,'Form responses 1'!$B$2:$B$2604,'Form responses 1'!$E$2:$E$2604,""))</f>
        <v/>
      </c>
      <c r="H1516" s="44" t="str">
        <f t="array" ref="H1516">IF(B1516="","",_xlfn.XLOOKUP(B1516,'Form responses 1'!$B$2:$B$2604,'Form responses 1'!$F$2:$F$2604,""))</f>
        <v/>
      </c>
      <c r="I1516" s="44" t="str">
        <f t="array" ref="I1516">IF(B1516="","",_xlfn.XLOOKUP(B1516,'Form responses 1'!$B$2:$B$2604,'Form responses 1'!$I$2:$I$2604,""))</f>
        <v/>
      </c>
      <c r="J1516" s="44" t="str">
        <f t="array" ref="J1516">IF(B1516="","",_xlfn.XLOOKUP(B1516,'Form responses 1'!$B$2:$B$2604,'Form responses 1'!$G$2:$G$2604,""))</f>
        <v/>
      </c>
      <c r="K1516" s="56"/>
      <c r="L1516" s="58" t="str">
        <f t="shared" si="7"/>
        <v/>
      </c>
      <c r="M1516" s="49"/>
      <c r="N1516" s="49"/>
      <c r="O1516" s="49"/>
      <c r="P1516" s="49"/>
      <c r="Q1516" s="49"/>
      <c r="R1516" s="49"/>
      <c r="S1516" s="49"/>
      <c r="T1516" s="49"/>
      <c r="U1516" s="49"/>
      <c r="V1516" s="49"/>
      <c r="W1516" s="56"/>
      <c r="X1516" s="51" t="str">
        <f t="shared" si="5"/>
        <v/>
      </c>
      <c r="Y1516" s="50" t="s">
        <v>482</v>
      </c>
      <c r="Z1516" s="49">
        <f t="shared" si="6"/>
        <v>0</v>
      </c>
    </row>
    <row r="1517" ht="22.5" customHeight="1">
      <c r="B1517" s="57"/>
      <c r="C1517" s="43" t="str">
        <f t="array" ref="C1517">IF(B1517="","",_xlfn.XLOOKUP(B1517,'Form responses 1'!$B$2:$B$2604,'Form responses 1'!$A$2:$A$2604,""))</f>
        <v/>
      </c>
      <c r="D1517" s="44" t="str">
        <f t="shared" si="3"/>
        <v/>
      </c>
      <c r="E1517" s="44" t="str">
        <f t="array" ref="E1517">IF(B1517="","",_xlfn.XLOOKUP(B1517,'Form responses 1'!$B$2:$B$2604,'Form responses 1'!$C$2:$C$2604,""))</f>
        <v/>
      </c>
      <c r="F1517" s="44" t="str">
        <f t="array" ref="F1517">IF(B1517="","",_xlfn.XLOOKUP(B1517,'Form responses 1'!$B$2:$B$2604,'Form responses 1'!$D$2:$D$2604,""))</f>
        <v/>
      </c>
      <c r="G1517" s="44" t="str">
        <f t="array" ref="G1517">IF(B1517="","",_xlfn.XLOOKUP(B1517,'Form responses 1'!$B$2:$B$2604,'Form responses 1'!$E$2:$E$2604,""))</f>
        <v/>
      </c>
      <c r="H1517" s="44" t="str">
        <f t="array" ref="H1517">IF(B1517="","",_xlfn.XLOOKUP(B1517,'Form responses 1'!$B$2:$B$2604,'Form responses 1'!$F$2:$F$2604,""))</f>
        <v/>
      </c>
      <c r="I1517" s="44" t="str">
        <f t="array" ref="I1517">IF(B1517="","",_xlfn.XLOOKUP(B1517,'Form responses 1'!$B$2:$B$2604,'Form responses 1'!$I$2:$I$2604,""))</f>
        <v/>
      </c>
      <c r="J1517" s="44" t="str">
        <f t="array" ref="J1517">IF(B1517="","",_xlfn.XLOOKUP(B1517,'Form responses 1'!$B$2:$B$2604,'Form responses 1'!$G$2:$G$2604,""))</f>
        <v/>
      </c>
      <c r="K1517" s="56"/>
      <c r="L1517" s="58" t="str">
        <f t="shared" si="7"/>
        <v/>
      </c>
      <c r="M1517" s="49"/>
      <c r="N1517" s="49"/>
      <c r="O1517" s="49"/>
      <c r="P1517" s="49"/>
      <c r="Q1517" s="49"/>
      <c r="R1517" s="49"/>
      <c r="S1517" s="49"/>
      <c r="T1517" s="49"/>
      <c r="U1517" s="49"/>
      <c r="V1517" s="49"/>
      <c r="W1517" s="56"/>
      <c r="X1517" s="51" t="str">
        <f t="shared" si="5"/>
        <v/>
      </c>
      <c r="Y1517" s="50" t="s">
        <v>482</v>
      </c>
      <c r="Z1517" s="49">
        <f t="shared" si="6"/>
        <v>0</v>
      </c>
    </row>
    <row r="1518" ht="22.5" customHeight="1">
      <c r="B1518" s="57"/>
      <c r="C1518" s="43" t="str">
        <f t="array" ref="C1518">IF(B1518="","",_xlfn.XLOOKUP(B1518,'Form responses 1'!$B$2:$B$2604,'Form responses 1'!$A$2:$A$2604,""))</f>
        <v/>
      </c>
      <c r="D1518" s="44" t="str">
        <f t="shared" si="3"/>
        <v/>
      </c>
      <c r="E1518" s="44" t="str">
        <f t="array" ref="E1518">IF(B1518="","",_xlfn.XLOOKUP(B1518,'Form responses 1'!$B$2:$B$2604,'Form responses 1'!$C$2:$C$2604,""))</f>
        <v/>
      </c>
      <c r="F1518" s="44" t="str">
        <f t="array" ref="F1518">IF(B1518="","",_xlfn.XLOOKUP(B1518,'Form responses 1'!$B$2:$B$2604,'Form responses 1'!$D$2:$D$2604,""))</f>
        <v/>
      </c>
      <c r="G1518" s="44" t="str">
        <f t="array" ref="G1518">IF(B1518="","",_xlfn.XLOOKUP(B1518,'Form responses 1'!$B$2:$B$2604,'Form responses 1'!$E$2:$E$2604,""))</f>
        <v/>
      </c>
      <c r="H1518" s="44" t="str">
        <f t="array" ref="H1518">IF(B1518="","",_xlfn.XLOOKUP(B1518,'Form responses 1'!$B$2:$B$2604,'Form responses 1'!$F$2:$F$2604,""))</f>
        <v/>
      </c>
      <c r="I1518" s="44" t="str">
        <f t="array" ref="I1518">IF(B1518="","",_xlfn.XLOOKUP(B1518,'Form responses 1'!$B$2:$B$2604,'Form responses 1'!$I$2:$I$2604,""))</f>
        <v/>
      </c>
      <c r="J1518" s="44" t="str">
        <f t="array" ref="J1518">IF(B1518="","",_xlfn.XLOOKUP(B1518,'Form responses 1'!$B$2:$B$2604,'Form responses 1'!$G$2:$G$2604,""))</f>
        <v/>
      </c>
      <c r="K1518" s="56"/>
      <c r="L1518" s="58" t="str">
        <f t="shared" si="7"/>
        <v/>
      </c>
      <c r="M1518" s="49"/>
      <c r="N1518" s="49"/>
      <c r="O1518" s="49"/>
      <c r="P1518" s="49"/>
      <c r="Q1518" s="49"/>
      <c r="R1518" s="49"/>
      <c r="S1518" s="49"/>
      <c r="T1518" s="49"/>
      <c r="U1518" s="49"/>
      <c r="V1518" s="49"/>
      <c r="W1518" s="56"/>
      <c r="X1518" s="51" t="str">
        <f t="shared" si="5"/>
        <v/>
      </c>
      <c r="Y1518" s="50" t="s">
        <v>482</v>
      </c>
      <c r="Z1518" s="49">
        <f t="shared" si="6"/>
        <v>0</v>
      </c>
    </row>
    <row r="1519" ht="22.5" customHeight="1">
      <c r="B1519" s="57"/>
      <c r="C1519" s="43" t="str">
        <f t="array" ref="C1519">IF(B1519="","",_xlfn.XLOOKUP(B1519,'Form responses 1'!$B$2:$B$2604,'Form responses 1'!$A$2:$A$2604,""))</f>
        <v/>
      </c>
      <c r="D1519" s="44" t="str">
        <f t="shared" si="3"/>
        <v/>
      </c>
      <c r="E1519" s="44" t="str">
        <f t="array" ref="E1519">IF(B1519="","",_xlfn.XLOOKUP(B1519,'Form responses 1'!$B$2:$B$2604,'Form responses 1'!$C$2:$C$2604,""))</f>
        <v/>
      </c>
      <c r="F1519" s="44" t="str">
        <f t="array" ref="F1519">IF(B1519="","",_xlfn.XLOOKUP(B1519,'Form responses 1'!$B$2:$B$2604,'Form responses 1'!$D$2:$D$2604,""))</f>
        <v/>
      </c>
      <c r="G1519" s="44" t="str">
        <f t="array" ref="G1519">IF(B1519="","",_xlfn.XLOOKUP(B1519,'Form responses 1'!$B$2:$B$2604,'Form responses 1'!$E$2:$E$2604,""))</f>
        <v/>
      </c>
      <c r="H1519" s="44" t="str">
        <f t="array" ref="H1519">IF(B1519="","",_xlfn.XLOOKUP(B1519,'Form responses 1'!$B$2:$B$2604,'Form responses 1'!$F$2:$F$2604,""))</f>
        <v/>
      </c>
      <c r="I1519" s="44" t="str">
        <f t="array" ref="I1519">IF(B1519="","",_xlfn.XLOOKUP(B1519,'Form responses 1'!$B$2:$B$2604,'Form responses 1'!$I$2:$I$2604,""))</f>
        <v/>
      </c>
      <c r="J1519" s="44" t="str">
        <f t="array" ref="J1519">IF(B1519="","",_xlfn.XLOOKUP(B1519,'Form responses 1'!$B$2:$B$2604,'Form responses 1'!$G$2:$G$2604,""))</f>
        <v/>
      </c>
      <c r="K1519" s="56"/>
      <c r="L1519" s="58" t="str">
        <f t="shared" si="7"/>
        <v/>
      </c>
      <c r="M1519" s="49"/>
      <c r="N1519" s="49"/>
      <c r="O1519" s="49"/>
      <c r="P1519" s="49"/>
      <c r="Q1519" s="49"/>
      <c r="R1519" s="49"/>
      <c r="S1519" s="49"/>
      <c r="T1519" s="49"/>
      <c r="U1519" s="49"/>
      <c r="V1519" s="49"/>
      <c r="W1519" s="56"/>
      <c r="X1519" s="51" t="str">
        <f t="shared" si="5"/>
        <v/>
      </c>
      <c r="Y1519" s="50" t="s">
        <v>482</v>
      </c>
      <c r="Z1519" s="49">
        <f t="shared" si="6"/>
        <v>0</v>
      </c>
    </row>
    <row r="1520" ht="22.5" customHeight="1">
      <c r="B1520" s="57"/>
      <c r="C1520" s="43" t="str">
        <f t="array" ref="C1520">IF(B1520="","",_xlfn.XLOOKUP(B1520,'Form responses 1'!$B$2:$B$2604,'Form responses 1'!$A$2:$A$2604,""))</f>
        <v/>
      </c>
      <c r="D1520" s="44" t="str">
        <f t="shared" si="3"/>
        <v/>
      </c>
      <c r="E1520" s="44" t="str">
        <f t="array" ref="E1520">IF(B1520="","",_xlfn.XLOOKUP(B1520,'Form responses 1'!$B$2:$B$2604,'Form responses 1'!$C$2:$C$2604,""))</f>
        <v/>
      </c>
      <c r="F1520" s="44" t="str">
        <f t="array" ref="F1520">IF(B1520="","",_xlfn.XLOOKUP(B1520,'Form responses 1'!$B$2:$B$2604,'Form responses 1'!$D$2:$D$2604,""))</f>
        <v/>
      </c>
      <c r="G1520" s="44" t="str">
        <f t="array" ref="G1520">IF(B1520="","",_xlfn.XLOOKUP(B1520,'Form responses 1'!$B$2:$B$2604,'Form responses 1'!$E$2:$E$2604,""))</f>
        <v/>
      </c>
      <c r="H1520" s="44" t="str">
        <f t="array" ref="H1520">IF(B1520="","",_xlfn.XLOOKUP(B1520,'Form responses 1'!$B$2:$B$2604,'Form responses 1'!$F$2:$F$2604,""))</f>
        <v/>
      </c>
      <c r="I1520" s="44" t="str">
        <f t="array" ref="I1520">IF(B1520="","",_xlfn.XLOOKUP(B1520,'Form responses 1'!$B$2:$B$2604,'Form responses 1'!$I$2:$I$2604,""))</f>
        <v/>
      </c>
      <c r="J1520" s="44" t="str">
        <f t="array" ref="J1520">IF(B1520="","",_xlfn.XLOOKUP(B1520,'Form responses 1'!$B$2:$B$2604,'Form responses 1'!$G$2:$G$2604,""))</f>
        <v/>
      </c>
      <c r="K1520" s="56"/>
      <c r="L1520" s="58" t="str">
        <f t="shared" si="7"/>
        <v/>
      </c>
      <c r="M1520" s="49"/>
      <c r="N1520" s="49"/>
      <c r="O1520" s="49"/>
      <c r="P1520" s="49"/>
      <c r="Q1520" s="49"/>
      <c r="R1520" s="49"/>
      <c r="S1520" s="49"/>
      <c r="T1520" s="49"/>
      <c r="U1520" s="49"/>
      <c r="V1520" s="49"/>
      <c r="W1520" s="56"/>
      <c r="X1520" s="51" t="str">
        <f t="shared" si="5"/>
        <v/>
      </c>
      <c r="Y1520" s="50" t="s">
        <v>482</v>
      </c>
      <c r="Z1520" s="49">
        <f t="shared" si="6"/>
        <v>0</v>
      </c>
    </row>
    <row r="1521" ht="22.5" customHeight="1">
      <c r="B1521" s="57"/>
      <c r="C1521" s="43" t="str">
        <f t="array" ref="C1521">IF(B1521="","",_xlfn.XLOOKUP(B1521,'Form responses 1'!$B$2:$B$2604,'Form responses 1'!$A$2:$A$2604,""))</f>
        <v/>
      </c>
      <c r="D1521" s="44" t="str">
        <f t="shared" si="3"/>
        <v/>
      </c>
      <c r="E1521" s="44" t="str">
        <f t="array" ref="E1521">IF(B1521="","",_xlfn.XLOOKUP(B1521,'Form responses 1'!$B$2:$B$2604,'Form responses 1'!$C$2:$C$2604,""))</f>
        <v/>
      </c>
      <c r="F1521" s="44" t="str">
        <f t="array" ref="F1521">IF(B1521="","",_xlfn.XLOOKUP(B1521,'Form responses 1'!$B$2:$B$2604,'Form responses 1'!$D$2:$D$2604,""))</f>
        <v/>
      </c>
      <c r="G1521" s="44" t="str">
        <f t="array" ref="G1521">IF(B1521="","",_xlfn.XLOOKUP(B1521,'Form responses 1'!$B$2:$B$2604,'Form responses 1'!$E$2:$E$2604,""))</f>
        <v/>
      </c>
      <c r="H1521" s="44" t="str">
        <f t="array" ref="H1521">IF(B1521="","",_xlfn.XLOOKUP(B1521,'Form responses 1'!$B$2:$B$2604,'Form responses 1'!$F$2:$F$2604,""))</f>
        <v/>
      </c>
      <c r="I1521" s="44" t="str">
        <f t="array" ref="I1521">IF(B1521="","",_xlfn.XLOOKUP(B1521,'Form responses 1'!$B$2:$B$2604,'Form responses 1'!$I$2:$I$2604,""))</f>
        <v/>
      </c>
      <c r="J1521" s="44" t="str">
        <f t="array" ref="J1521">IF(B1521="","",_xlfn.XLOOKUP(B1521,'Form responses 1'!$B$2:$B$2604,'Form responses 1'!$G$2:$G$2604,""))</f>
        <v/>
      </c>
      <c r="K1521" s="56"/>
      <c r="L1521" s="58" t="str">
        <f t="shared" si="7"/>
        <v/>
      </c>
      <c r="M1521" s="49"/>
      <c r="N1521" s="49"/>
      <c r="O1521" s="49"/>
      <c r="P1521" s="49"/>
      <c r="Q1521" s="49"/>
      <c r="R1521" s="49"/>
      <c r="S1521" s="49"/>
      <c r="T1521" s="49"/>
      <c r="U1521" s="49"/>
      <c r="V1521" s="49"/>
      <c r="W1521" s="56"/>
      <c r="X1521" s="51" t="str">
        <f t="shared" si="5"/>
        <v/>
      </c>
      <c r="Y1521" s="50" t="s">
        <v>482</v>
      </c>
      <c r="Z1521" s="49">
        <f t="shared" si="6"/>
        <v>0</v>
      </c>
    </row>
    <row r="1522" ht="22.5" customHeight="1">
      <c r="B1522" s="57"/>
      <c r="C1522" s="43" t="str">
        <f t="array" ref="C1522">IF(B1522="","",_xlfn.XLOOKUP(B1522,'Form responses 1'!$B$2:$B$2604,'Form responses 1'!$A$2:$A$2604,""))</f>
        <v/>
      </c>
      <c r="D1522" s="44" t="str">
        <f t="shared" si="3"/>
        <v/>
      </c>
      <c r="E1522" s="44" t="str">
        <f t="array" ref="E1522">IF(B1522="","",_xlfn.XLOOKUP(B1522,'Form responses 1'!$B$2:$B$2604,'Form responses 1'!$C$2:$C$2604,""))</f>
        <v/>
      </c>
      <c r="F1522" s="44" t="str">
        <f t="array" ref="F1522">IF(B1522="","",_xlfn.XLOOKUP(B1522,'Form responses 1'!$B$2:$B$2604,'Form responses 1'!$D$2:$D$2604,""))</f>
        <v/>
      </c>
      <c r="G1522" s="44" t="str">
        <f t="array" ref="G1522">IF(B1522="","",_xlfn.XLOOKUP(B1522,'Form responses 1'!$B$2:$B$2604,'Form responses 1'!$E$2:$E$2604,""))</f>
        <v/>
      </c>
      <c r="H1522" s="44" t="str">
        <f t="array" ref="H1522">IF(B1522="","",_xlfn.XLOOKUP(B1522,'Form responses 1'!$B$2:$B$2604,'Form responses 1'!$F$2:$F$2604,""))</f>
        <v/>
      </c>
      <c r="I1522" s="44" t="str">
        <f t="array" ref="I1522">IF(B1522="","",_xlfn.XLOOKUP(B1522,'Form responses 1'!$B$2:$B$2604,'Form responses 1'!$I$2:$I$2604,""))</f>
        <v/>
      </c>
      <c r="J1522" s="44" t="str">
        <f t="array" ref="J1522">IF(B1522="","",_xlfn.XLOOKUP(B1522,'Form responses 1'!$B$2:$B$2604,'Form responses 1'!$G$2:$G$2604,""))</f>
        <v/>
      </c>
      <c r="K1522" s="56"/>
      <c r="L1522" s="58" t="str">
        <f t="shared" si="7"/>
        <v/>
      </c>
      <c r="M1522" s="49"/>
      <c r="N1522" s="49"/>
      <c r="O1522" s="49"/>
      <c r="P1522" s="49"/>
      <c r="Q1522" s="49"/>
      <c r="R1522" s="49"/>
      <c r="S1522" s="49"/>
      <c r="T1522" s="49"/>
      <c r="U1522" s="49"/>
      <c r="V1522" s="49"/>
      <c r="W1522" s="56"/>
      <c r="X1522" s="51" t="str">
        <f t="shared" si="5"/>
        <v/>
      </c>
      <c r="Y1522" s="50" t="s">
        <v>482</v>
      </c>
      <c r="Z1522" s="49">
        <f t="shared" si="6"/>
        <v>0</v>
      </c>
    </row>
    <row r="1523" ht="22.5" customHeight="1">
      <c r="B1523" s="57"/>
      <c r="C1523" s="43" t="str">
        <f t="array" ref="C1523">IF(B1523="","",_xlfn.XLOOKUP(B1523,'Form responses 1'!$B$2:$B$2604,'Form responses 1'!$A$2:$A$2604,""))</f>
        <v/>
      </c>
      <c r="D1523" s="44" t="str">
        <f t="shared" si="3"/>
        <v/>
      </c>
      <c r="E1523" s="44" t="str">
        <f t="array" ref="E1523">IF(B1523="","",_xlfn.XLOOKUP(B1523,'Form responses 1'!$B$2:$B$2604,'Form responses 1'!$C$2:$C$2604,""))</f>
        <v/>
      </c>
      <c r="F1523" s="44" t="str">
        <f t="array" ref="F1523">IF(B1523="","",_xlfn.XLOOKUP(B1523,'Form responses 1'!$B$2:$B$2604,'Form responses 1'!$D$2:$D$2604,""))</f>
        <v/>
      </c>
      <c r="G1523" s="44" t="str">
        <f t="array" ref="G1523">IF(B1523="","",_xlfn.XLOOKUP(B1523,'Form responses 1'!$B$2:$B$2604,'Form responses 1'!$E$2:$E$2604,""))</f>
        <v/>
      </c>
      <c r="H1523" s="44" t="str">
        <f t="array" ref="H1523">IF(B1523="","",_xlfn.XLOOKUP(B1523,'Form responses 1'!$B$2:$B$2604,'Form responses 1'!$F$2:$F$2604,""))</f>
        <v/>
      </c>
      <c r="I1523" s="44" t="str">
        <f t="array" ref="I1523">IF(B1523="","",_xlfn.XLOOKUP(B1523,'Form responses 1'!$B$2:$B$2604,'Form responses 1'!$I$2:$I$2604,""))</f>
        <v/>
      </c>
      <c r="J1523" s="44" t="str">
        <f t="array" ref="J1523">IF(B1523="","",_xlfn.XLOOKUP(B1523,'Form responses 1'!$B$2:$B$2604,'Form responses 1'!$G$2:$G$2604,""))</f>
        <v/>
      </c>
      <c r="K1523" s="56"/>
      <c r="L1523" s="58" t="str">
        <f t="shared" si="7"/>
        <v/>
      </c>
      <c r="M1523" s="49"/>
      <c r="N1523" s="49"/>
      <c r="O1523" s="49"/>
      <c r="P1523" s="49"/>
      <c r="Q1523" s="49"/>
      <c r="R1523" s="49"/>
      <c r="S1523" s="49"/>
      <c r="T1523" s="49"/>
      <c r="U1523" s="49"/>
      <c r="V1523" s="49"/>
      <c r="W1523" s="56"/>
      <c r="X1523" s="51" t="str">
        <f t="shared" si="5"/>
        <v/>
      </c>
      <c r="Y1523" s="50" t="s">
        <v>482</v>
      </c>
      <c r="Z1523" s="49">
        <f t="shared" si="6"/>
        <v>0</v>
      </c>
    </row>
    <row r="1524" ht="22.5" customHeight="1">
      <c r="B1524" s="57"/>
      <c r="C1524" s="43" t="str">
        <f t="array" ref="C1524">IF(B1524="","",_xlfn.XLOOKUP(B1524,'Form responses 1'!$B$2:$B$2604,'Form responses 1'!$A$2:$A$2604,""))</f>
        <v/>
      </c>
      <c r="D1524" s="44" t="str">
        <f t="shared" si="3"/>
        <v/>
      </c>
      <c r="E1524" s="44" t="str">
        <f t="array" ref="E1524">IF(B1524="","",_xlfn.XLOOKUP(B1524,'Form responses 1'!$B$2:$B$2604,'Form responses 1'!$C$2:$C$2604,""))</f>
        <v/>
      </c>
      <c r="F1524" s="44" t="str">
        <f t="array" ref="F1524">IF(B1524="","",_xlfn.XLOOKUP(B1524,'Form responses 1'!$B$2:$B$2604,'Form responses 1'!$D$2:$D$2604,""))</f>
        <v/>
      </c>
      <c r="G1524" s="44" t="str">
        <f t="array" ref="G1524">IF(B1524="","",_xlfn.XLOOKUP(B1524,'Form responses 1'!$B$2:$B$2604,'Form responses 1'!$E$2:$E$2604,""))</f>
        <v/>
      </c>
      <c r="H1524" s="44" t="str">
        <f t="array" ref="H1524">IF(B1524="","",_xlfn.XLOOKUP(B1524,'Form responses 1'!$B$2:$B$2604,'Form responses 1'!$F$2:$F$2604,""))</f>
        <v/>
      </c>
      <c r="I1524" s="44" t="str">
        <f t="array" ref="I1524">IF(B1524="","",_xlfn.XLOOKUP(B1524,'Form responses 1'!$B$2:$B$2604,'Form responses 1'!$I$2:$I$2604,""))</f>
        <v/>
      </c>
      <c r="J1524" s="44" t="str">
        <f t="array" ref="J1524">IF(B1524="","",_xlfn.XLOOKUP(B1524,'Form responses 1'!$B$2:$B$2604,'Form responses 1'!$G$2:$G$2604,""))</f>
        <v/>
      </c>
      <c r="K1524" s="56"/>
      <c r="L1524" s="58" t="str">
        <f t="shared" si="7"/>
        <v/>
      </c>
      <c r="M1524" s="49"/>
      <c r="N1524" s="49"/>
      <c r="O1524" s="49"/>
      <c r="P1524" s="49"/>
      <c r="Q1524" s="49"/>
      <c r="R1524" s="49"/>
      <c r="S1524" s="49"/>
      <c r="T1524" s="49"/>
      <c r="U1524" s="49"/>
      <c r="V1524" s="49"/>
      <c r="W1524" s="56"/>
      <c r="X1524" s="51" t="str">
        <f t="shared" si="5"/>
        <v/>
      </c>
      <c r="Y1524" s="50" t="s">
        <v>482</v>
      </c>
      <c r="Z1524" s="49">
        <f t="shared" si="6"/>
        <v>0</v>
      </c>
    </row>
    <row r="1525" ht="22.5" customHeight="1">
      <c r="B1525" s="57"/>
      <c r="C1525" s="43" t="str">
        <f t="array" ref="C1525">IF(B1525="","",_xlfn.XLOOKUP(B1525,'Form responses 1'!$B$2:$B$2604,'Form responses 1'!$A$2:$A$2604,""))</f>
        <v/>
      </c>
      <c r="D1525" s="44" t="str">
        <f t="shared" si="3"/>
        <v/>
      </c>
      <c r="E1525" s="44" t="str">
        <f t="array" ref="E1525">IF(B1525="","",_xlfn.XLOOKUP(B1525,'Form responses 1'!$B$2:$B$2604,'Form responses 1'!$C$2:$C$2604,""))</f>
        <v/>
      </c>
      <c r="F1525" s="44" t="str">
        <f t="array" ref="F1525">IF(B1525="","",_xlfn.XLOOKUP(B1525,'Form responses 1'!$B$2:$B$2604,'Form responses 1'!$D$2:$D$2604,""))</f>
        <v/>
      </c>
      <c r="G1525" s="44" t="str">
        <f t="array" ref="G1525">IF(B1525="","",_xlfn.XLOOKUP(B1525,'Form responses 1'!$B$2:$B$2604,'Form responses 1'!$E$2:$E$2604,""))</f>
        <v/>
      </c>
      <c r="H1525" s="44" t="str">
        <f t="array" ref="H1525">IF(B1525="","",_xlfn.XLOOKUP(B1525,'Form responses 1'!$B$2:$B$2604,'Form responses 1'!$F$2:$F$2604,""))</f>
        <v/>
      </c>
      <c r="I1525" s="44" t="str">
        <f t="array" ref="I1525">IF(B1525="","",_xlfn.XLOOKUP(B1525,'Form responses 1'!$B$2:$B$2604,'Form responses 1'!$I$2:$I$2604,""))</f>
        <v/>
      </c>
      <c r="J1525" s="44" t="str">
        <f t="array" ref="J1525">IF(B1525="","",_xlfn.XLOOKUP(B1525,'Form responses 1'!$B$2:$B$2604,'Form responses 1'!$G$2:$G$2604,""))</f>
        <v/>
      </c>
      <c r="K1525" s="56"/>
      <c r="L1525" s="58" t="str">
        <f t="shared" si="7"/>
        <v/>
      </c>
      <c r="M1525" s="49"/>
      <c r="N1525" s="49"/>
      <c r="O1525" s="49"/>
      <c r="P1525" s="49"/>
      <c r="Q1525" s="49"/>
      <c r="R1525" s="49"/>
      <c r="S1525" s="49"/>
      <c r="T1525" s="49"/>
      <c r="U1525" s="49"/>
      <c r="V1525" s="49"/>
      <c r="W1525" s="56"/>
      <c r="X1525" s="51" t="str">
        <f t="shared" si="5"/>
        <v/>
      </c>
      <c r="Y1525" s="50" t="s">
        <v>482</v>
      </c>
      <c r="Z1525" s="49">
        <f t="shared" si="6"/>
        <v>0</v>
      </c>
    </row>
    <row r="1526" ht="22.5" customHeight="1">
      <c r="B1526" s="57"/>
      <c r="C1526" s="43" t="str">
        <f t="array" ref="C1526">IF(B1526="","",_xlfn.XLOOKUP(B1526,'Form responses 1'!$B$2:$B$2604,'Form responses 1'!$A$2:$A$2604,""))</f>
        <v/>
      </c>
      <c r="D1526" s="44" t="str">
        <f t="shared" si="3"/>
        <v/>
      </c>
      <c r="E1526" s="44" t="str">
        <f t="array" ref="E1526">IF(B1526="","",_xlfn.XLOOKUP(B1526,'Form responses 1'!$B$2:$B$2604,'Form responses 1'!$C$2:$C$2604,""))</f>
        <v/>
      </c>
      <c r="F1526" s="44" t="str">
        <f t="array" ref="F1526">IF(B1526="","",_xlfn.XLOOKUP(B1526,'Form responses 1'!$B$2:$B$2604,'Form responses 1'!$D$2:$D$2604,""))</f>
        <v/>
      </c>
      <c r="G1526" s="44" t="str">
        <f t="array" ref="G1526">IF(B1526="","",_xlfn.XLOOKUP(B1526,'Form responses 1'!$B$2:$B$2604,'Form responses 1'!$E$2:$E$2604,""))</f>
        <v/>
      </c>
      <c r="H1526" s="44" t="str">
        <f t="array" ref="H1526">IF(B1526="","",_xlfn.XLOOKUP(B1526,'Form responses 1'!$B$2:$B$2604,'Form responses 1'!$F$2:$F$2604,""))</f>
        <v/>
      </c>
      <c r="I1526" s="44" t="str">
        <f t="array" ref="I1526">IF(B1526="","",_xlfn.XLOOKUP(B1526,'Form responses 1'!$B$2:$B$2604,'Form responses 1'!$I$2:$I$2604,""))</f>
        <v/>
      </c>
      <c r="J1526" s="44" t="str">
        <f t="array" ref="J1526">IF(B1526="","",_xlfn.XLOOKUP(B1526,'Form responses 1'!$B$2:$B$2604,'Form responses 1'!$G$2:$G$2604,""))</f>
        <v/>
      </c>
      <c r="K1526" s="56"/>
      <c r="L1526" s="58" t="str">
        <f t="shared" si="7"/>
        <v/>
      </c>
      <c r="M1526" s="49"/>
      <c r="N1526" s="49"/>
      <c r="O1526" s="49"/>
      <c r="P1526" s="49"/>
      <c r="Q1526" s="49"/>
      <c r="R1526" s="49"/>
      <c r="S1526" s="49"/>
      <c r="T1526" s="49"/>
      <c r="U1526" s="49"/>
      <c r="V1526" s="49"/>
      <c r="W1526" s="56"/>
      <c r="X1526" s="51" t="str">
        <f t="shared" si="5"/>
        <v/>
      </c>
      <c r="Y1526" s="50" t="s">
        <v>482</v>
      </c>
      <c r="Z1526" s="49">
        <f t="shared" si="6"/>
        <v>0</v>
      </c>
    </row>
    <row r="1527" ht="22.5" customHeight="1">
      <c r="B1527" s="57"/>
      <c r="C1527" s="43" t="str">
        <f t="array" ref="C1527">IF(B1527="","",_xlfn.XLOOKUP(B1527,'Form responses 1'!$B$2:$B$2604,'Form responses 1'!$A$2:$A$2604,""))</f>
        <v/>
      </c>
      <c r="D1527" s="44" t="str">
        <f t="shared" si="3"/>
        <v/>
      </c>
      <c r="E1527" s="44" t="str">
        <f t="array" ref="E1527">IF(B1527="","",_xlfn.XLOOKUP(B1527,'Form responses 1'!$B$2:$B$2604,'Form responses 1'!$C$2:$C$2604,""))</f>
        <v/>
      </c>
      <c r="F1527" s="44" t="str">
        <f t="array" ref="F1527">IF(B1527="","",_xlfn.XLOOKUP(B1527,'Form responses 1'!$B$2:$B$2604,'Form responses 1'!$D$2:$D$2604,""))</f>
        <v/>
      </c>
      <c r="G1527" s="44" t="str">
        <f t="array" ref="G1527">IF(B1527="","",_xlfn.XLOOKUP(B1527,'Form responses 1'!$B$2:$B$2604,'Form responses 1'!$E$2:$E$2604,""))</f>
        <v/>
      </c>
      <c r="H1527" s="44" t="str">
        <f t="array" ref="H1527">IF(B1527="","",_xlfn.XLOOKUP(B1527,'Form responses 1'!$B$2:$B$2604,'Form responses 1'!$F$2:$F$2604,""))</f>
        <v/>
      </c>
      <c r="I1527" s="44" t="str">
        <f t="array" ref="I1527">IF(B1527="","",_xlfn.XLOOKUP(B1527,'Form responses 1'!$B$2:$B$2604,'Form responses 1'!$I$2:$I$2604,""))</f>
        <v/>
      </c>
      <c r="J1527" s="44" t="str">
        <f t="array" ref="J1527">IF(B1527="","",_xlfn.XLOOKUP(B1527,'Form responses 1'!$B$2:$B$2604,'Form responses 1'!$G$2:$G$2604,""))</f>
        <v/>
      </c>
      <c r="K1527" s="56"/>
      <c r="L1527" s="58" t="str">
        <f t="shared" si="7"/>
        <v/>
      </c>
      <c r="M1527" s="49"/>
      <c r="N1527" s="49"/>
      <c r="O1527" s="49"/>
      <c r="P1527" s="49"/>
      <c r="Q1527" s="49"/>
      <c r="R1527" s="49"/>
      <c r="S1527" s="49"/>
      <c r="T1527" s="49"/>
      <c r="U1527" s="49"/>
      <c r="V1527" s="49"/>
      <c r="W1527" s="56"/>
      <c r="X1527" s="51" t="str">
        <f t="shared" si="5"/>
        <v/>
      </c>
      <c r="Y1527" s="50" t="s">
        <v>482</v>
      </c>
      <c r="Z1527" s="49">
        <f t="shared" si="6"/>
        <v>0</v>
      </c>
    </row>
    <row r="1528" ht="22.5" customHeight="1">
      <c r="B1528" s="57"/>
      <c r="C1528" s="43" t="str">
        <f t="array" ref="C1528">IF(B1528="","",_xlfn.XLOOKUP(B1528,'Form responses 1'!$B$2:$B$2604,'Form responses 1'!$A$2:$A$2604,""))</f>
        <v/>
      </c>
      <c r="D1528" s="44" t="str">
        <f t="shared" si="3"/>
        <v/>
      </c>
      <c r="E1528" s="44" t="str">
        <f t="array" ref="E1528">IF(B1528="","",_xlfn.XLOOKUP(B1528,'Form responses 1'!$B$2:$B$2604,'Form responses 1'!$C$2:$C$2604,""))</f>
        <v/>
      </c>
      <c r="F1528" s="44" t="str">
        <f t="array" ref="F1528">IF(B1528="","",_xlfn.XLOOKUP(B1528,'Form responses 1'!$B$2:$B$2604,'Form responses 1'!$D$2:$D$2604,""))</f>
        <v/>
      </c>
      <c r="G1528" s="44" t="str">
        <f t="array" ref="G1528">IF(B1528="","",_xlfn.XLOOKUP(B1528,'Form responses 1'!$B$2:$B$2604,'Form responses 1'!$E$2:$E$2604,""))</f>
        <v/>
      </c>
      <c r="H1528" s="44" t="str">
        <f t="array" ref="H1528">IF(B1528="","",_xlfn.XLOOKUP(B1528,'Form responses 1'!$B$2:$B$2604,'Form responses 1'!$F$2:$F$2604,""))</f>
        <v/>
      </c>
      <c r="I1528" s="44" t="str">
        <f t="array" ref="I1528">IF(B1528="","",_xlfn.XLOOKUP(B1528,'Form responses 1'!$B$2:$B$2604,'Form responses 1'!$I$2:$I$2604,""))</f>
        <v/>
      </c>
      <c r="J1528" s="44" t="str">
        <f t="array" ref="J1528">IF(B1528="","",_xlfn.XLOOKUP(B1528,'Form responses 1'!$B$2:$B$2604,'Form responses 1'!$G$2:$G$2604,""))</f>
        <v/>
      </c>
      <c r="K1528" s="56"/>
      <c r="L1528" s="58" t="str">
        <f t="shared" si="7"/>
        <v/>
      </c>
      <c r="M1528" s="49"/>
      <c r="N1528" s="49"/>
      <c r="O1528" s="49"/>
      <c r="P1528" s="49"/>
      <c r="Q1528" s="49"/>
      <c r="R1528" s="49"/>
      <c r="S1528" s="49"/>
      <c r="T1528" s="49"/>
      <c r="U1528" s="49"/>
      <c r="V1528" s="49"/>
      <c r="W1528" s="56"/>
      <c r="X1528" s="51" t="str">
        <f t="shared" si="5"/>
        <v/>
      </c>
      <c r="Y1528" s="50" t="s">
        <v>482</v>
      </c>
      <c r="Z1528" s="49">
        <f t="shared" si="6"/>
        <v>0</v>
      </c>
    </row>
    <row r="1529" ht="22.5" customHeight="1">
      <c r="B1529" s="57"/>
      <c r="C1529" s="43" t="str">
        <f t="array" ref="C1529">IF(B1529="","",_xlfn.XLOOKUP(B1529,'Form responses 1'!$B$2:$B$2604,'Form responses 1'!$A$2:$A$2604,""))</f>
        <v/>
      </c>
      <c r="D1529" s="44" t="str">
        <f t="shared" si="3"/>
        <v/>
      </c>
      <c r="E1529" s="44" t="str">
        <f t="array" ref="E1529">IF(B1529="","",_xlfn.XLOOKUP(B1529,'Form responses 1'!$B$2:$B$2604,'Form responses 1'!$C$2:$C$2604,""))</f>
        <v/>
      </c>
      <c r="F1529" s="44" t="str">
        <f t="array" ref="F1529">IF(B1529="","",_xlfn.XLOOKUP(B1529,'Form responses 1'!$B$2:$B$2604,'Form responses 1'!$D$2:$D$2604,""))</f>
        <v/>
      </c>
      <c r="G1529" s="44" t="str">
        <f t="array" ref="G1529">IF(B1529="","",_xlfn.XLOOKUP(B1529,'Form responses 1'!$B$2:$B$2604,'Form responses 1'!$E$2:$E$2604,""))</f>
        <v/>
      </c>
      <c r="H1529" s="44" t="str">
        <f t="array" ref="H1529">IF(B1529="","",_xlfn.XLOOKUP(B1529,'Form responses 1'!$B$2:$B$2604,'Form responses 1'!$F$2:$F$2604,""))</f>
        <v/>
      </c>
      <c r="I1529" s="44" t="str">
        <f t="array" ref="I1529">IF(B1529="","",_xlfn.XLOOKUP(B1529,'Form responses 1'!$B$2:$B$2604,'Form responses 1'!$I$2:$I$2604,""))</f>
        <v/>
      </c>
      <c r="J1529" s="44" t="str">
        <f t="array" ref="J1529">IF(B1529="","",_xlfn.XLOOKUP(B1529,'Form responses 1'!$B$2:$B$2604,'Form responses 1'!$G$2:$G$2604,""))</f>
        <v/>
      </c>
      <c r="K1529" s="56"/>
      <c r="L1529" s="58" t="str">
        <f t="shared" si="7"/>
        <v/>
      </c>
      <c r="M1529" s="49"/>
      <c r="N1529" s="49"/>
      <c r="O1529" s="49"/>
      <c r="P1529" s="49"/>
      <c r="Q1529" s="49"/>
      <c r="R1529" s="49"/>
      <c r="S1529" s="49"/>
      <c r="T1529" s="49"/>
      <c r="U1529" s="49"/>
      <c r="V1529" s="49"/>
      <c r="W1529" s="56"/>
      <c r="X1529" s="51" t="str">
        <f t="shared" si="5"/>
        <v/>
      </c>
      <c r="Y1529" s="50" t="s">
        <v>482</v>
      </c>
      <c r="Z1529" s="49">
        <f t="shared" si="6"/>
        <v>0</v>
      </c>
    </row>
    <row r="1530" ht="22.5" customHeight="1">
      <c r="B1530" s="57"/>
      <c r="C1530" s="43" t="str">
        <f t="array" ref="C1530">IF(B1530="","",_xlfn.XLOOKUP(B1530,'Form responses 1'!$B$2:$B$2604,'Form responses 1'!$A$2:$A$2604,""))</f>
        <v/>
      </c>
      <c r="D1530" s="44" t="str">
        <f t="shared" si="3"/>
        <v/>
      </c>
      <c r="E1530" s="44" t="str">
        <f t="array" ref="E1530">IF(B1530="","",_xlfn.XLOOKUP(B1530,'Form responses 1'!$B$2:$B$2604,'Form responses 1'!$C$2:$C$2604,""))</f>
        <v/>
      </c>
      <c r="F1530" s="44" t="str">
        <f t="array" ref="F1530">IF(B1530="","",_xlfn.XLOOKUP(B1530,'Form responses 1'!$B$2:$B$2604,'Form responses 1'!$D$2:$D$2604,""))</f>
        <v/>
      </c>
      <c r="G1530" s="44" t="str">
        <f t="array" ref="G1530">IF(B1530="","",_xlfn.XLOOKUP(B1530,'Form responses 1'!$B$2:$B$2604,'Form responses 1'!$E$2:$E$2604,""))</f>
        <v/>
      </c>
      <c r="H1530" s="44" t="str">
        <f t="array" ref="H1530">IF(B1530="","",_xlfn.XLOOKUP(B1530,'Form responses 1'!$B$2:$B$2604,'Form responses 1'!$F$2:$F$2604,""))</f>
        <v/>
      </c>
      <c r="I1530" s="44" t="str">
        <f t="array" ref="I1530">IF(B1530="","",_xlfn.XLOOKUP(B1530,'Form responses 1'!$B$2:$B$2604,'Form responses 1'!$I$2:$I$2604,""))</f>
        <v/>
      </c>
      <c r="J1530" s="44" t="str">
        <f t="array" ref="J1530">IF(B1530="","",_xlfn.XLOOKUP(B1530,'Form responses 1'!$B$2:$B$2604,'Form responses 1'!$G$2:$G$2604,""))</f>
        <v/>
      </c>
      <c r="K1530" s="56"/>
      <c r="L1530" s="58" t="str">
        <f t="shared" si="7"/>
        <v/>
      </c>
      <c r="M1530" s="49"/>
      <c r="N1530" s="49"/>
      <c r="O1530" s="49"/>
      <c r="P1530" s="49"/>
      <c r="Q1530" s="49"/>
      <c r="R1530" s="49"/>
      <c r="S1530" s="49"/>
      <c r="T1530" s="49"/>
      <c r="U1530" s="49"/>
      <c r="V1530" s="49"/>
      <c r="W1530" s="56"/>
      <c r="X1530" s="51" t="str">
        <f t="shared" si="5"/>
        <v/>
      </c>
      <c r="Y1530" s="50" t="s">
        <v>482</v>
      </c>
      <c r="Z1530" s="49">
        <f t="shared" si="6"/>
        <v>0</v>
      </c>
    </row>
    <row r="1531" ht="22.5" customHeight="1">
      <c r="B1531" s="57"/>
      <c r="C1531" s="43" t="str">
        <f t="array" ref="C1531">IF(B1531="","",_xlfn.XLOOKUP(B1531,'Form responses 1'!$B$2:$B$2604,'Form responses 1'!$A$2:$A$2604,""))</f>
        <v/>
      </c>
      <c r="D1531" s="44" t="str">
        <f t="shared" si="3"/>
        <v/>
      </c>
      <c r="E1531" s="44" t="str">
        <f t="array" ref="E1531">IF(B1531="","",_xlfn.XLOOKUP(B1531,'Form responses 1'!$B$2:$B$2604,'Form responses 1'!$C$2:$C$2604,""))</f>
        <v/>
      </c>
      <c r="F1531" s="44" t="str">
        <f t="array" ref="F1531">IF(B1531="","",_xlfn.XLOOKUP(B1531,'Form responses 1'!$B$2:$B$2604,'Form responses 1'!$D$2:$D$2604,""))</f>
        <v/>
      </c>
      <c r="G1531" s="44" t="str">
        <f t="array" ref="G1531">IF(B1531="","",_xlfn.XLOOKUP(B1531,'Form responses 1'!$B$2:$B$2604,'Form responses 1'!$E$2:$E$2604,""))</f>
        <v/>
      </c>
      <c r="H1531" s="44" t="str">
        <f t="array" ref="H1531">IF(B1531="","",_xlfn.XLOOKUP(B1531,'Form responses 1'!$B$2:$B$2604,'Form responses 1'!$F$2:$F$2604,""))</f>
        <v/>
      </c>
      <c r="I1531" s="44" t="str">
        <f t="array" ref="I1531">IF(B1531="","",_xlfn.XLOOKUP(B1531,'Form responses 1'!$B$2:$B$2604,'Form responses 1'!$I$2:$I$2604,""))</f>
        <v/>
      </c>
      <c r="J1531" s="44" t="str">
        <f t="array" ref="J1531">IF(B1531="","",_xlfn.XLOOKUP(B1531,'Form responses 1'!$B$2:$B$2604,'Form responses 1'!$G$2:$G$2604,""))</f>
        <v/>
      </c>
      <c r="K1531" s="56"/>
      <c r="L1531" s="58" t="str">
        <f t="shared" si="7"/>
        <v/>
      </c>
      <c r="M1531" s="49"/>
      <c r="N1531" s="49"/>
      <c r="O1531" s="49"/>
      <c r="P1531" s="49"/>
      <c r="Q1531" s="49"/>
      <c r="R1531" s="49"/>
      <c r="S1531" s="49"/>
      <c r="T1531" s="49"/>
      <c r="U1531" s="49"/>
      <c r="V1531" s="49"/>
      <c r="W1531" s="56"/>
      <c r="X1531" s="51" t="str">
        <f t="shared" si="5"/>
        <v/>
      </c>
      <c r="Y1531" s="50" t="s">
        <v>482</v>
      </c>
      <c r="Z1531" s="49">
        <f t="shared" si="6"/>
        <v>0</v>
      </c>
    </row>
    <row r="1532" ht="22.5" customHeight="1">
      <c r="B1532" s="57"/>
      <c r="C1532" s="43" t="str">
        <f t="array" ref="C1532">IF(B1532="","",_xlfn.XLOOKUP(B1532,'Form responses 1'!$B$2:$B$2604,'Form responses 1'!$A$2:$A$2604,""))</f>
        <v/>
      </c>
      <c r="D1532" s="44" t="str">
        <f t="shared" si="3"/>
        <v/>
      </c>
      <c r="E1532" s="44" t="str">
        <f t="array" ref="E1532">IF(B1532="","",_xlfn.XLOOKUP(B1532,'Form responses 1'!$B$2:$B$2604,'Form responses 1'!$C$2:$C$2604,""))</f>
        <v/>
      </c>
      <c r="F1532" s="44" t="str">
        <f t="array" ref="F1532">IF(B1532="","",_xlfn.XLOOKUP(B1532,'Form responses 1'!$B$2:$B$2604,'Form responses 1'!$D$2:$D$2604,""))</f>
        <v/>
      </c>
      <c r="G1532" s="44" t="str">
        <f t="array" ref="G1532">IF(B1532="","",_xlfn.XLOOKUP(B1532,'Form responses 1'!$B$2:$B$2604,'Form responses 1'!$E$2:$E$2604,""))</f>
        <v/>
      </c>
      <c r="H1532" s="44" t="str">
        <f t="array" ref="H1532">IF(B1532="","",_xlfn.XLOOKUP(B1532,'Form responses 1'!$B$2:$B$2604,'Form responses 1'!$F$2:$F$2604,""))</f>
        <v/>
      </c>
      <c r="I1532" s="44" t="str">
        <f t="array" ref="I1532">IF(B1532="","",_xlfn.XLOOKUP(B1532,'Form responses 1'!$B$2:$B$2604,'Form responses 1'!$I$2:$I$2604,""))</f>
        <v/>
      </c>
      <c r="J1532" s="44" t="str">
        <f t="array" ref="J1532">IF(B1532="","",_xlfn.XLOOKUP(B1532,'Form responses 1'!$B$2:$B$2604,'Form responses 1'!$G$2:$G$2604,""))</f>
        <v/>
      </c>
      <c r="K1532" s="56"/>
      <c r="L1532" s="58" t="str">
        <f t="shared" si="7"/>
        <v/>
      </c>
      <c r="M1532" s="49"/>
      <c r="N1532" s="49"/>
      <c r="O1532" s="49"/>
      <c r="P1532" s="49"/>
      <c r="Q1532" s="49"/>
      <c r="R1532" s="49"/>
      <c r="S1532" s="49"/>
      <c r="T1532" s="49"/>
      <c r="U1532" s="49"/>
      <c r="V1532" s="49"/>
      <c r="W1532" s="56"/>
      <c r="X1532" s="51" t="str">
        <f t="shared" si="5"/>
        <v/>
      </c>
      <c r="Y1532" s="50" t="s">
        <v>482</v>
      </c>
      <c r="Z1532" s="49">
        <f t="shared" si="6"/>
        <v>0</v>
      </c>
    </row>
    <row r="1533" ht="22.5" customHeight="1">
      <c r="B1533" s="57"/>
      <c r="C1533" s="43" t="str">
        <f t="array" ref="C1533">IF(B1533="","",_xlfn.XLOOKUP(B1533,'Form responses 1'!$B$2:$B$2604,'Form responses 1'!$A$2:$A$2604,""))</f>
        <v/>
      </c>
      <c r="D1533" s="44" t="str">
        <f t="shared" si="3"/>
        <v/>
      </c>
      <c r="E1533" s="44" t="str">
        <f t="array" ref="E1533">IF(B1533="","",_xlfn.XLOOKUP(B1533,'Form responses 1'!$B$2:$B$2604,'Form responses 1'!$C$2:$C$2604,""))</f>
        <v/>
      </c>
      <c r="F1533" s="44" t="str">
        <f t="array" ref="F1533">IF(B1533="","",_xlfn.XLOOKUP(B1533,'Form responses 1'!$B$2:$B$2604,'Form responses 1'!$D$2:$D$2604,""))</f>
        <v/>
      </c>
      <c r="G1533" s="44" t="str">
        <f t="array" ref="G1533">IF(B1533="","",_xlfn.XLOOKUP(B1533,'Form responses 1'!$B$2:$B$2604,'Form responses 1'!$E$2:$E$2604,""))</f>
        <v/>
      </c>
      <c r="H1533" s="44" t="str">
        <f t="array" ref="H1533">IF(B1533="","",_xlfn.XLOOKUP(B1533,'Form responses 1'!$B$2:$B$2604,'Form responses 1'!$F$2:$F$2604,""))</f>
        <v/>
      </c>
      <c r="I1533" s="44" t="str">
        <f t="array" ref="I1533">IF(B1533="","",_xlfn.XLOOKUP(B1533,'Form responses 1'!$B$2:$B$2604,'Form responses 1'!$I$2:$I$2604,""))</f>
        <v/>
      </c>
      <c r="J1533" s="44" t="str">
        <f t="array" ref="J1533">IF(B1533="","",_xlfn.XLOOKUP(B1533,'Form responses 1'!$B$2:$B$2604,'Form responses 1'!$G$2:$G$2604,""))</f>
        <v/>
      </c>
      <c r="K1533" s="56"/>
      <c r="L1533" s="58" t="str">
        <f t="shared" si="7"/>
        <v/>
      </c>
      <c r="M1533" s="49"/>
      <c r="N1533" s="49"/>
      <c r="O1533" s="49"/>
      <c r="P1533" s="49"/>
      <c r="Q1533" s="49"/>
      <c r="R1533" s="49"/>
      <c r="S1533" s="49"/>
      <c r="T1533" s="49"/>
      <c r="U1533" s="49"/>
      <c r="V1533" s="49"/>
      <c r="W1533" s="56"/>
      <c r="X1533" s="51" t="str">
        <f t="shared" si="5"/>
        <v/>
      </c>
      <c r="Y1533" s="50" t="s">
        <v>482</v>
      </c>
      <c r="Z1533" s="49">
        <f t="shared" si="6"/>
        <v>0</v>
      </c>
    </row>
    <row r="1534" ht="22.5" customHeight="1">
      <c r="B1534" s="57"/>
      <c r="C1534" s="43" t="str">
        <f t="array" ref="C1534">IF(B1534="","",_xlfn.XLOOKUP(B1534,'Form responses 1'!$B$2:$B$2604,'Form responses 1'!$A$2:$A$2604,""))</f>
        <v/>
      </c>
      <c r="D1534" s="44" t="str">
        <f t="shared" si="3"/>
        <v/>
      </c>
      <c r="E1534" s="44" t="str">
        <f t="array" ref="E1534">IF(B1534="","",_xlfn.XLOOKUP(B1534,'Form responses 1'!$B$2:$B$2604,'Form responses 1'!$C$2:$C$2604,""))</f>
        <v/>
      </c>
      <c r="F1534" s="44" t="str">
        <f t="array" ref="F1534">IF(B1534="","",_xlfn.XLOOKUP(B1534,'Form responses 1'!$B$2:$B$2604,'Form responses 1'!$D$2:$D$2604,""))</f>
        <v/>
      </c>
      <c r="G1534" s="44" t="str">
        <f t="array" ref="G1534">IF(B1534="","",_xlfn.XLOOKUP(B1534,'Form responses 1'!$B$2:$B$2604,'Form responses 1'!$E$2:$E$2604,""))</f>
        <v/>
      </c>
      <c r="H1534" s="44" t="str">
        <f t="array" ref="H1534">IF(B1534="","",_xlfn.XLOOKUP(B1534,'Form responses 1'!$B$2:$B$2604,'Form responses 1'!$F$2:$F$2604,""))</f>
        <v/>
      </c>
      <c r="I1534" s="44" t="str">
        <f t="array" ref="I1534">IF(B1534="","",_xlfn.XLOOKUP(B1534,'Form responses 1'!$B$2:$B$2604,'Form responses 1'!$I$2:$I$2604,""))</f>
        <v/>
      </c>
      <c r="J1534" s="44" t="str">
        <f t="array" ref="J1534">IF(B1534="","",_xlfn.XLOOKUP(B1534,'Form responses 1'!$B$2:$B$2604,'Form responses 1'!$G$2:$G$2604,""))</f>
        <v/>
      </c>
      <c r="K1534" s="56"/>
      <c r="L1534" s="58" t="str">
        <f t="shared" si="7"/>
        <v/>
      </c>
      <c r="M1534" s="49"/>
      <c r="N1534" s="49"/>
      <c r="O1534" s="49"/>
      <c r="P1534" s="49"/>
      <c r="Q1534" s="49"/>
      <c r="R1534" s="49"/>
      <c r="S1534" s="49"/>
      <c r="T1534" s="49"/>
      <c r="U1534" s="49"/>
      <c r="V1534" s="49"/>
      <c r="W1534" s="56"/>
      <c r="X1534" s="51" t="str">
        <f t="shared" si="5"/>
        <v/>
      </c>
      <c r="Y1534" s="50" t="s">
        <v>482</v>
      </c>
      <c r="Z1534" s="49">
        <f t="shared" si="6"/>
        <v>0</v>
      </c>
    </row>
    <row r="1535" ht="22.5" customHeight="1">
      <c r="B1535" s="57"/>
      <c r="C1535" s="43" t="str">
        <f t="array" ref="C1535">IF(B1535="","",_xlfn.XLOOKUP(B1535,'Form responses 1'!$B$2:$B$2604,'Form responses 1'!$A$2:$A$2604,""))</f>
        <v/>
      </c>
      <c r="D1535" s="44" t="str">
        <f t="shared" si="3"/>
        <v/>
      </c>
      <c r="E1535" s="44" t="str">
        <f t="array" ref="E1535">IF(B1535="","",_xlfn.XLOOKUP(B1535,'Form responses 1'!$B$2:$B$2604,'Form responses 1'!$C$2:$C$2604,""))</f>
        <v/>
      </c>
      <c r="F1535" s="44" t="str">
        <f t="array" ref="F1535">IF(B1535="","",_xlfn.XLOOKUP(B1535,'Form responses 1'!$B$2:$B$2604,'Form responses 1'!$D$2:$D$2604,""))</f>
        <v/>
      </c>
      <c r="G1535" s="44" t="str">
        <f t="array" ref="G1535">IF(B1535="","",_xlfn.XLOOKUP(B1535,'Form responses 1'!$B$2:$B$2604,'Form responses 1'!$E$2:$E$2604,""))</f>
        <v/>
      </c>
      <c r="H1535" s="44" t="str">
        <f t="array" ref="H1535">IF(B1535="","",_xlfn.XLOOKUP(B1535,'Form responses 1'!$B$2:$B$2604,'Form responses 1'!$F$2:$F$2604,""))</f>
        <v/>
      </c>
      <c r="I1535" s="44" t="str">
        <f t="array" ref="I1535">IF(B1535="","",_xlfn.XLOOKUP(B1535,'Form responses 1'!$B$2:$B$2604,'Form responses 1'!$I$2:$I$2604,""))</f>
        <v/>
      </c>
      <c r="J1535" s="44" t="str">
        <f t="array" ref="J1535">IF(B1535="","",_xlfn.XLOOKUP(B1535,'Form responses 1'!$B$2:$B$2604,'Form responses 1'!$G$2:$G$2604,""))</f>
        <v/>
      </c>
      <c r="K1535" s="56"/>
      <c r="L1535" s="58" t="str">
        <f t="shared" si="7"/>
        <v/>
      </c>
      <c r="M1535" s="49"/>
      <c r="N1535" s="49"/>
      <c r="O1535" s="49"/>
      <c r="P1535" s="49"/>
      <c r="Q1535" s="49"/>
      <c r="R1535" s="49"/>
      <c r="S1535" s="49"/>
      <c r="T1535" s="49"/>
      <c r="U1535" s="49"/>
      <c r="V1535" s="49"/>
      <c r="W1535" s="56"/>
      <c r="X1535" s="51" t="str">
        <f t="shared" si="5"/>
        <v/>
      </c>
      <c r="Y1535" s="50" t="s">
        <v>482</v>
      </c>
      <c r="Z1535" s="49">
        <f t="shared" si="6"/>
        <v>0</v>
      </c>
    </row>
    <row r="1536" ht="22.5" customHeight="1">
      <c r="B1536" s="57"/>
      <c r="C1536" s="43" t="str">
        <f t="array" ref="C1536">IF(B1536="","",_xlfn.XLOOKUP(B1536,'Form responses 1'!$B$2:$B$2604,'Form responses 1'!$A$2:$A$2604,""))</f>
        <v/>
      </c>
      <c r="D1536" s="44" t="str">
        <f t="shared" si="3"/>
        <v/>
      </c>
      <c r="E1536" s="44" t="str">
        <f t="array" ref="E1536">IF(B1536="","",_xlfn.XLOOKUP(B1536,'Form responses 1'!$B$2:$B$2604,'Form responses 1'!$C$2:$C$2604,""))</f>
        <v/>
      </c>
      <c r="F1536" s="44" t="str">
        <f t="array" ref="F1536">IF(B1536="","",_xlfn.XLOOKUP(B1536,'Form responses 1'!$B$2:$B$2604,'Form responses 1'!$D$2:$D$2604,""))</f>
        <v/>
      </c>
      <c r="G1536" s="44" t="str">
        <f t="array" ref="G1536">IF(B1536="","",_xlfn.XLOOKUP(B1536,'Form responses 1'!$B$2:$B$2604,'Form responses 1'!$E$2:$E$2604,""))</f>
        <v/>
      </c>
      <c r="H1536" s="44" t="str">
        <f t="array" ref="H1536">IF(B1536="","",_xlfn.XLOOKUP(B1536,'Form responses 1'!$B$2:$B$2604,'Form responses 1'!$F$2:$F$2604,""))</f>
        <v/>
      </c>
      <c r="I1536" s="44" t="str">
        <f t="array" ref="I1536">IF(B1536="","",_xlfn.XLOOKUP(B1536,'Form responses 1'!$B$2:$B$2604,'Form responses 1'!$I$2:$I$2604,""))</f>
        <v/>
      </c>
      <c r="J1536" s="44" t="str">
        <f t="array" ref="J1536">IF(B1536="","",_xlfn.XLOOKUP(B1536,'Form responses 1'!$B$2:$B$2604,'Form responses 1'!$G$2:$G$2604,""))</f>
        <v/>
      </c>
      <c r="K1536" s="56"/>
      <c r="L1536" s="58" t="str">
        <f t="shared" si="7"/>
        <v/>
      </c>
      <c r="M1536" s="49"/>
      <c r="N1536" s="49"/>
      <c r="O1536" s="49"/>
      <c r="P1536" s="49"/>
      <c r="Q1536" s="49"/>
      <c r="R1536" s="49"/>
      <c r="S1536" s="49"/>
      <c r="T1536" s="49"/>
      <c r="U1536" s="49"/>
      <c r="V1536" s="49"/>
      <c r="W1536" s="56"/>
      <c r="X1536" s="51" t="str">
        <f t="shared" si="5"/>
        <v/>
      </c>
      <c r="Y1536" s="50" t="s">
        <v>482</v>
      </c>
      <c r="Z1536" s="49">
        <f t="shared" si="6"/>
        <v>0</v>
      </c>
    </row>
    <row r="1537" ht="22.5" customHeight="1">
      <c r="B1537" s="57"/>
      <c r="C1537" s="43" t="str">
        <f t="array" ref="C1537">IF(B1537="","",_xlfn.XLOOKUP(B1537,'Form responses 1'!$B$2:$B$2604,'Form responses 1'!$A$2:$A$2604,""))</f>
        <v/>
      </c>
      <c r="D1537" s="44" t="str">
        <f t="shared" si="3"/>
        <v/>
      </c>
      <c r="E1537" s="44" t="str">
        <f t="array" ref="E1537">IF(B1537="","",_xlfn.XLOOKUP(B1537,'Form responses 1'!$B$2:$B$2604,'Form responses 1'!$C$2:$C$2604,""))</f>
        <v/>
      </c>
      <c r="F1537" s="44" t="str">
        <f t="array" ref="F1537">IF(B1537="","",_xlfn.XLOOKUP(B1537,'Form responses 1'!$B$2:$B$2604,'Form responses 1'!$D$2:$D$2604,""))</f>
        <v/>
      </c>
      <c r="G1537" s="44" t="str">
        <f t="array" ref="G1537">IF(B1537="","",_xlfn.XLOOKUP(B1537,'Form responses 1'!$B$2:$B$2604,'Form responses 1'!$E$2:$E$2604,""))</f>
        <v/>
      </c>
      <c r="H1537" s="44" t="str">
        <f t="array" ref="H1537">IF(B1537="","",_xlfn.XLOOKUP(B1537,'Form responses 1'!$B$2:$B$2604,'Form responses 1'!$F$2:$F$2604,""))</f>
        <v/>
      </c>
      <c r="I1537" s="44" t="str">
        <f t="array" ref="I1537">IF(B1537="","",_xlfn.XLOOKUP(B1537,'Form responses 1'!$B$2:$B$2604,'Form responses 1'!$I$2:$I$2604,""))</f>
        <v/>
      </c>
      <c r="J1537" s="44" t="str">
        <f t="array" ref="J1537">IF(B1537="","",_xlfn.XLOOKUP(B1537,'Form responses 1'!$B$2:$B$2604,'Form responses 1'!$G$2:$G$2604,""))</f>
        <v/>
      </c>
      <c r="K1537" s="56"/>
      <c r="L1537" s="58" t="str">
        <f t="shared" si="7"/>
        <v/>
      </c>
      <c r="M1537" s="49"/>
      <c r="N1537" s="49"/>
      <c r="O1537" s="49"/>
      <c r="P1537" s="49"/>
      <c r="Q1537" s="49"/>
      <c r="R1537" s="49"/>
      <c r="S1537" s="49"/>
      <c r="T1537" s="49"/>
      <c r="U1537" s="49"/>
      <c r="V1537" s="49"/>
      <c r="W1537" s="56"/>
      <c r="X1537" s="51" t="str">
        <f t="shared" si="5"/>
        <v/>
      </c>
      <c r="Y1537" s="50" t="s">
        <v>482</v>
      </c>
      <c r="Z1537" s="49">
        <f t="shared" si="6"/>
        <v>0</v>
      </c>
    </row>
    <row r="1538" ht="22.5" customHeight="1">
      <c r="B1538" s="57"/>
      <c r="C1538" s="43" t="str">
        <f t="array" ref="C1538">IF(B1538="","",_xlfn.XLOOKUP(B1538,'Form responses 1'!$B$2:$B$2604,'Form responses 1'!$A$2:$A$2604,""))</f>
        <v/>
      </c>
      <c r="D1538" s="44" t="str">
        <f t="shared" si="3"/>
        <v/>
      </c>
      <c r="E1538" s="44" t="str">
        <f t="array" ref="E1538">IF(B1538="","",_xlfn.XLOOKUP(B1538,'Form responses 1'!$B$2:$B$2604,'Form responses 1'!$C$2:$C$2604,""))</f>
        <v/>
      </c>
      <c r="F1538" s="44" t="str">
        <f t="array" ref="F1538">IF(B1538="","",_xlfn.XLOOKUP(B1538,'Form responses 1'!$B$2:$B$2604,'Form responses 1'!$D$2:$D$2604,""))</f>
        <v/>
      </c>
      <c r="G1538" s="44" t="str">
        <f t="array" ref="G1538">IF(B1538="","",_xlfn.XLOOKUP(B1538,'Form responses 1'!$B$2:$B$2604,'Form responses 1'!$E$2:$E$2604,""))</f>
        <v/>
      </c>
      <c r="H1538" s="44" t="str">
        <f t="array" ref="H1538">IF(B1538="","",_xlfn.XLOOKUP(B1538,'Form responses 1'!$B$2:$B$2604,'Form responses 1'!$F$2:$F$2604,""))</f>
        <v/>
      </c>
      <c r="I1538" s="44" t="str">
        <f t="array" ref="I1538">IF(B1538="","",_xlfn.XLOOKUP(B1538,'Form responses 1'!$B$2:$B$2604,'Form responses 1'!$I$2:$I$2604,""))</f>
        <v/>
      </c>
      <c r="J1538" s="44" t="str">
        <f t="array" ref="J1538">IF(B1538="","",_xlfn.XLOOKUP(B1538,'Form responses 1'!$B$2:$B$2604,'Form responses 1'!$G$2:$G$2604,""))</f>
        <v/>
      </c>
      <c r="K1538" s="56"/>
      <c r="L1538" s="58" t="str">
        <f t="shared" si="7"/>
        <v/>
      </c>
      <c r="M1538" s="49"/>
      <c r="N1538" s="49"/>
      <c r="O1538" s="49"/>
      <c r="P1538" s="49"/>
      <c r="Q1538" s="49"/>
      <c r="R1538" s="49"/>
      <c r="S1538" s="49"/>
      <c r="T1538" s="49"/>
      <c r="U1538" s="49"/>
      <c r="V1538" s="49"/>
      <c r="W1538" s="56"/>
      <c r="X1538" s="51" t="str">
        <f t="shared" si="5"/>
        <v/>
      </c>
      <c r="Y1538" s="50" t="s">
        <v>482</v>
      </c>
      <c r="Z1538" s="49">
        <f t="shared" si="6"/>
        <v>0</v>
      </c>
    </row>
    <row r="1539" ht="22.5" customHeight="1">
      <c r="B1539" s="57"/>
      <c r="C1539" s="43" t="str">
        <f t="array" ref="C1539">IF(B1539="","",_xlfn.XLOOKUP(B1539,'Form responses 1'!$B$2:$B$2604,'Form responses 1'!$A$2:$A$2604,""))</f>
        <v/>
      </c>
      <c r="D1539" s="44" t="str">
        <f t="shared" si="3"/>
        <v/>
      </c>
      <c r="E1539" s="44" t="str">
        <f t="array" ref="E1539">IF(B1539="","",_xlfn.XLOOKUP(B1539,'Form responses 1'!$B$2:$B$2604,'Form responses 1'!$C$2:$C$2604,""))</f>
        <v/>
      </c>
      <c r="F1539" s="44" t="str">
        <f t="array" ref="F1539">IF(B1539="","",_xlfn.XLOOKUP(B1539,'Form responses 1'!$B$2:$B$2604,'Form responses 1'!$D$2:$D$2604,""))</f>
        <v/>
      </c>
      <c r="G1539" s="44" t="str">
        <f t="array" ref="G1539">IF(B1539="","",_xlfn.XLOOKUP(B1539,'Form responses 1'!$B$2:$B$2604,'Form responses 1'!$E$2:$E$2604,""))</f>
        <v/>
      </c>
      <c r="H1539" s="44" t="str">
        <f t="array" ref="H1539">IF(B1539="","",_xlfn.XLOOKUP(B1539,'Form responses 1'!$B$2:$B$2604,'Form responses 1'!$F$2:$F$2604,""))</f>
        <v/>
      </c>
      <c r="I1539" s="44" t="str">
        <f t="array" ref="I1539">IF(B1539="","",_xlfn.XLOOKUP(B1539,'Form responses 1'!$B$2:$B$2604,'Form responses 1'!$I$2:$I$2604,""))</f>
        <v/>
      </c>
      <c r="J1539" s="44" t="str">
        <f t="array" ref="J1539">IF(B1539="","",_xlfn.XLOOKUP(B1539,'Form responses 1'!$B$2:$B$2604,'Form responses 1'!$G$2:$G$2604,""))</f>
        <v/>
      </c>
      <c r="K1539" s="56"/>
      <c r="L1539" s="58" t="str">
        <f t="shared" si="7"/>
        <v/>
      </c>
      <c r="M1539" s="49"/>
      <c r="N1539" s="49"/>
      <c r="O1539" s="49"/>
      <c r="P1539" s="49"/>
      <c r="Q1539" s="49"/>
      <c r="R1539" s="49"/>
      <c r="S1539" s="49"/>
      <c r="T1539" s="49"/>
      <c r="U1539" s="49"/>
      <c r="V1539" s="49"/>
      <c r="W1539" s="56"/>
      <c r="X1539" s="51" t="str">
        <f t="shared" si="5"/>
        <v/>
      </c>
      <c r="Y1539" s="50" t="s">
        <v>482</v>
      </c>
      <c r="Z1539" s="49">
        <f t="shared" si="6"/>
        <v>0</v>
      </c>
    </row>
    <row r="1540" ht="22.5" customHeight="1">
      <c r="B1540" s="57"/>
      <c r="C1540" s="43" t="str">
        <f t="array" ref="C1540">IF(B1540="","",_xlfn.XLOOKUP(B1540,'Form responses 1'!$B$2:$B$2604,'Form responses 1'!$A$2:$A$2604,""))</f>
        <v/>
      </c>
      <c r="D1540" s="44" t="str">
        <f t="shared" si="3"/>
        <v/>
      </c>
      <c r="E1540" s="44" t="str">
        <f t="array" ref="E1540">IF(B1540="","",_xlfn.XLOOKUP(B1540,'Form responses 1'!$B$2:$B$2604,'Form responses 1'!$C$2:$C$2604,""))</f>
        <v/>
      </c>
      <c r="F1540" s="44" t="str">
        <f t="array" ref="F1540">IF(B1540="","",_xlfn.XLOOKUP(B1540,'Form responses 1'!$B$2:$B$2604,'Form responses 1'!$D$2:$D$2604,""))</f>
        <v/>
      </c>
      <c r="G1540" s="44" t="str">
        <f t="array" ref="G1540">IF(B1540="","",_xlfn.XLOOKUP(B1540,'Form responses 1'!$B$2:$B$2604,'Form responses 1'!$E$2:$E$2604,""))</f>
        <v/>
      </c>
      <c r="H1540" s="44" t="str">
        <f t="array" ref="H1540">IF(B1540="","",_xlfn.XLOOKUP(B1540,'Form responses 1'!$B$2:$B$2604,'Form responses 1'!$F$2:$F$2604,""))</f>
        <v/>
      </c>
      <c r="I1540" s="44" t="str">
        <f t="array" ref="I1540">IF(B1540="","",_xlfn.XLOOKUP(B1540,'Form responses 1'!$B$2:$B$2604,'Form responses 1'!$I$2:$I$2604,""))</f>
        <v/>
      </c>
      <c r="J1540" s="44" t="str">
        <f t="array" ref="J1540">IF(B1540="","",_xlfn.XLOOKUP(B1540,'Form responses 1'!$B$2:$B$2604,'Form responses 1'!$G$2:$G$2604,""))</f>
        <v/>
      </c>
      <c r="K1540" s="56"/>
      <c r="L1540" s="58" t="str">
        <f t="shared" si="7"/>
        <v/>
      </c>
      <c r="M1540" s="49"/>
      <c r="N1540" s="49"/>
      <c r="O1540" s="49"/>
      <c r="P1540" s="49"/>
      <c r="Q1540" s="49"/>
      <c r="R1540" s="49"/>
      <c r="S1540" s="49"/>
      <c r="T1540" s="49"/>
      <c r="U1540" s="49"/>
      <c r="V1540" s="49"/>
      <c r="W1540" s="56"/>
      <c r="X1540" s="51" t="str">
        <f t="shared" si="5"/>
        <v/>
      </c>
      <c r="Y1540" s="50" t="s">
        <v>482</v>
      </c>
      <c r="Z1540" s="49">
        <f t="shared" si="6"/>
        <v>0</v>
      </c>
    </row>
    <row r="1541" ht="22.5" customHeight="1">
      <c r="B1541" s="57"/>
      <c r="C1541" s="43" t="str">
        <f t="array" ref="C1541">IF(B1541="","",_xlfn.XLOOKUP(B1541,'Form responses 1'!$B$2:$B$2604,'Form responses 1'!$A$2:$A$2604,""))</f>
        <v/>
      </c>
      <c r="D1541" s="44" t="str">
        <f t="shared" si="3"/>
        <v/>
      </c>
      <c r="E1541" s="44" t="str">
        <f t="array" ref="E1541">IF(B1541="","",_xlfn.XLOOKUP(B1541,'Form responses 1'!$B$2:$B$2604,'Form responses 1'!$C$2:$C$2604,""))</f>
        <v/>
      </c>
      <c r="F1541" s="44" t="str">
        <f t="array" ref="F1541">IF(B1541="","",_xlfn.XLOOKUP(B1541,'Form responses 1'!$B$2:$B$2604,'Form responses 1'!$D$2:$D$2604,""))</f>
        <v/>
      </c>
      <c r="G1541" s="44" t="str">
        <f t="array" ref="G1541">IF(B1541="","",_xlfn.XLOOKUP(B1541,'Form responses 1'!$B$2:$B$2604,'Form responses 1'!$E$2:$E$2604,""))</f>
        <v/>
      </c>
      <c r="H1541" s="44" t="str">
        <f t="array" ref="H1541">IF(B1541="","",_xlfn.XLOOKUP(B1541,'Form responses 1'!$B$2:$B$2604,'Form responses 1'!$F$2:$F$2604,""))</f>
        <v/>
      </c>
      <c r="I1541" s="44" t="str">
        <f t="array" ref="I1541">IF(B1541="","",_xlfn.XLOOKUP(B1541,'Form responses 1'!$B$2:$B$2604,'Form responses 1'!$I$2:$I$2604,""))</f>
        <v/>
      </c>
      <c r="J1541" s="44" t="str">
        <f t="array" ref="J1541">IF(B1541="","",_xlfn.XLOOKUP(B1541,'Form responses 1'!$B$2:$B$2604,'Form responses 1'!$G$2:$G$2604,""))</f>
        <v/>
      </c>
      <c r="K1541" s="56"/>
      <c r="L1541" s="58" t="str">
        <f t="shared" si="7"/>
        <v/>
      </c>
      <c r="M1541" s="49"/>
      <c r="N1541" s="49"/>
      <c r="O1541" s="49"/>
      <c r="P1541" s="49"/>
      <c r="Q1541" s="49"/>
      <c r="R1541" s="49"/>
      <c r="S1541" s="49"/>
      <c r="T1541" s="49"/>
      <c r="U1541" s="49"/>
      <c r="V1541" s="49"/>
      <c r="W1541" s="56"/>
      <c r="X1541" s="51" t="str">
        <f t="shared" si="5"/>
        <v/>
      </c>
      <c r="Y1541" s="50" t="s">
        <v>482</v>
      </c>
      <c r="Z1541" s="49">
        <f t="shared" si="6"/>
        <v>0</v>
      </c>
    </row>
    <row r="1542" ht="22.5" customHeight="1">
      <c r="B1542" s="57"/>
      <c r="C1542" s="43" t="str">
        <f t="array" ref="C1542">IF(B1542="","",_xlfn.XLOOKUP(B1542,'Form responses 1'!$B$2:$B$2604,'Form responses 1'!$A$2:$A$2604,""))</f>
        <v/>
      </c>
      <c r="D1542" s="44" t="str">
        <f t="shared" si="3"/>
        <v/>
      </c>
      <c r="E1542" s="44" t="str">
        <f t="array" ref="E1542">IF(B1542="","",_xlfn.XLOOKUP(B1542,'Form responses 1'!$B$2:$B$2604,'Form responses 1'!$C$2:$C$2604,""))</f>
        <v/>
      </c>
      <c r="F1542" s="44" t="str">
        <f t="array" ref="F1542">IF(B1542="","",_xlfn.XLOOKUP(B1542,'Form responses 1'!$B$2:$B$2604,'Form responses 1'!$D$2:$D$2604,""))</f>
        <v/>
      </c>
      <c r="G1542" s="44" t="str">
        <f t="array" ref="G1542">IF(B1542="","",_xlfn.XLOOKUP(B1542,'Form responses 1'!$B$2:$B$2604,'Form responses 1'!$E$2:$E$2604,""))</f>
        <v/>
      </c>
      <c r="H1542" s="44" t="str">
        <f t="array" ref="H1542">IF(B1542="","",_xlfn.XLOOKUP(B1542,'Form responses 1'!$B$2:$B$2604,'Form responses 1'!$F$2:$F$2604,""))</f>
        <v/>
      </c>
      <c r="I1542" s="44" t="str">
        <f t="array" ref="I1542">IF(B1542="","",_xlfn.XLOOKUP(B1542,'Form responses 1'!$B$2:$B$2604,'Form responses 1'!$I$2:$I$2604,""))</f>
        <v/>
      </c>
      <c r="J1542" s="44" t="str">
        <f t="array" ref="J1542">IF(B1542="","",_xlfn.XLOOKUP(B1542,'Form responses 1'!$B$2:$B$2604,'Form responses 1'!$G$2:$G$2604,""))</f>
        <v/>
      </c>
      <c r="K1542" s="56"/>
      <c r="L1542" s="58" t="str">
        <f t="shared" si="7"/>
        <v/>
      </c>
      <c r="M1542" s="49"/>
      <c r="N1542" s="49"/>
      <c r="O1542" s="49"/>
      <c r="P1542" s="49"/>
      <c r="Q1542" s="49"/>
      <c r="R1542" s="49"/>
      <c r="S1542" s="49"/>
      <c r="T1542" s="49"/>
      <c r="U1542" s="49"/>
      <c r="V1542" s="49"/>
      <c r="W1542" s="56"/>
      <c r="X1542" s="51" t="str">
        <f t="shared" si="5"/>
        <v/>
      </c>
      <c r="Y1542" s="50" t="s">
        <v>482</v>
      </c>
      <c r="Z1542" s="49">
        <f t="shared" si="6"/>
        <v>0</v>
      </c>
    </row>
    <row r="1543" ht="22.5" customHeight="1">
      <c r="B1543" s="57"/>
      <c r="C1543" s="43" t="str">
        <f t="array" ref="C1543">IF(B1543="","",_xlfn.XLOOKUP(B1543,'Form responses 1'!$B$2:$B$2604,'Form responses 1'!$A$2:$A$2604,""))</f>
        <v/>
      </c>
      <c r="D1543" s="44" t="str">
        <f t="shared" si="3"/>
        <v/>
      </c>
      <c r="E1543" s="44" t="str">
        <f t="array" ref="E1543">IF(B1543="","",_xlfn.XLOOKUP(B1543,'Form responses 1'!$B$2:$B$2604,'Form responses 1'!$C$2:$C$2604,""))</f>
        <v/>
      </c>
      <c r="F1543" s="44" t="str">
        <f t="array" ref="F1543">IF(B1543="","",_xlfn.XLOOKUP(B1543,'Form responses 1'!$B$2:$B$2604,'Form responses 1'!$D$2:$D$2604,""))</f>
        <v/>
      </c>
      <c r="G1543" s="44" t="str">
        <f t="array" ref="G1543">IF(B1543="","",_xlfn.XLOOKUP(B1543,'Form responses 1'!$B$2:$B$2604,'Form responses 1'!$E$2:$E$2604,""))</f>
        <v/>
      </c>
      <c r="H1543" s="44" t="str">
        <f t="array" ref="H1543">IF(B1543="","",_xlfn.XLOOKUP(B1543,'Form responses 1'!$B$2:$B$2604,'Form responses 1'!$F$2:$F$2604,""))</f>
        <v/>
      </c>
      <c r="I1543" s="44" t="str">
        <f t="array" ref="I1543">IF(B1543="","",_xlfn.XLOOKUP(B1543,'Form responses 1'!$B$2:$B$2604,'Form responses 1'!$I$2:$I$2604,""))</f>
        <v/>
      </c>
      <c r="J1543" s="44" t="str">
        <f t="array" ref="J1543">IF(B1543="","",_xlfn.XLOOKUP(B1543,'Form responses 1'!$B$2:$B$2604,'Form responses 1'!$G$2:$G$2604,""))</f>
        <v/>
      </c>
      <c r="K1543" s="56"/>
      <c r="L1543" s="58" t="str">
        <f t="shared" si="7"/>
        <v/>
      </c>
      <c r="M1543" s="49"/>
      <c r="N1543" s="49"/>
      <c r="O1543" s="49"/>
      <c r="P1543" s="49"/>
      <c r="Q1543" s="49"/>
      <c r="R1543" s="49"/>
      <c r="S1543" s="49"/>
      <c r="T1543" s="49"/>
      <c r="U1543" s="49"/>
      <c r="V1543" s="49"/>
      <c r="W1543" s="56"/>
      <c r="X1543" s="51" t="str">
        <f t="shared" si="5"/>
        <v/>
      </c>
      <c r="Y1543" s="50" t="s">
        <v>482</v>
      </c>
      <c r="Z1543" s="49">
        <f t="shared" si="6"/>
        <v>0</v>
      </c>
    </row>
    <row r="1544" ht="22.5" customHeight="1">
      <c r="B1544" s="57"/>
      <c r="C1544" s="43" t="str">
        <f t="array" ref="C1544">IF(B1544="","",_xlfn.XLOOKUP(B1544,'Form responses 1'!$B$2:$B$2604,'Form responses 1'!$A$2:$A$2604,""))</f>
        <v/>
      </c>
      <c r="D1544" s="44" t="str">
        <f t="shared" si="3"/>
        <v/>
      </c>
      <c r="E1544" s="44" t="str">
        <f t="array" ref="E1544">IF(B1544="","",_xlfn.XLOOKUP(B1544,'Form responses 1'!$B$2:$B$2604,'Form responses 1'!$C$2:$C$2604,""))</f>
        <v/>
      </c>
      <c r="F1544" s="44" t="str">
        <f t="array" ref="F1544">IF(B1544="","",_xlfn.XLOOKUP(B1544,'Form responses 1'!$B$2:$B$2604,'Form responses 1'!$D$2:$D$2604,""))</f>
        <v/>
      </c>
      <c r="G1544" s="44" t="str">
        <f t="array" ref="G1544">IF(B1544="","",_xlfn.XLOOKUP(B1544,'Form responses 1'!$B$2:$B$2604,'Form responses 1'!$E$2:$E$2604,""))</f>
        <v/>
      </c>
      <c r="H1544" s="44" t="str">
        <f t="array" ref="H1544">IF(B1544="","",_xlfn.XLOOKUP(B1544,'Form responses 1'!$B$2:$B$2604,'Form responses 1'!$F$2:$F$2604,""))</f>
        <v/>
      </c>
      <c r="I1544" s="44" t="str">
        <f t="array" ref="I1544">IF(B1544="","",_xlfn.XLOOKUP(B1544,'Form responses 1'!$B$2:$B$2604,'Form responses 1'!$I$2:$I$2604,""))</f>
        <v/>
      </c>
      <c r="J1544" s="44" t="str">
        <f t="array" ref="J1544">IF(B1544="","",_xlfn.XLOOKUP(B1544,'Form responses 1'!$B$2:$B$2604,'Form responses 1'!$G$2:$G$2604,""))</f>
        <v/>
      </c>
      <c r="K1544" s="56"/>
      <c r="L1544" s="58" t="str">
        <f t="shared" si="7"/>
        <v/>
      </c>
      <c r="M1544" s="49"/>
      <c r="N1544" s="49"/>
      <c r="O1544" s="49"/>
      <c r="P1544" s="49"/>
      <c r="Q1544" s="49"/>
      <c r="R1544" s="49"/>
      <c r="S1544" s="49"/>
      <c r="T1544" s="49"/>
      <c r="U1544" s="49"/>
      <c r="V1544" s="49"/>
      <c r="W1544" s="56"/>
      <c r="X1544" s="51" t="str">
        <f t="shared" si="5"/>
        <v/>
      </c>
      <c r="Y1544" s="50" t="s">
        <v>482</v>
      </c>
      <c r="Z1544" s="49">
        <f t="shared" si="6"/>
        <v>0</v>
      </c>
    </row>
    <row r="1545" ht="22.5" customHeight="1">
      <c r="B1545" s="57"/>
      <c r="C1545" s="43" t="str">
        <f t="array" ref="C1545">IF(B1545="","",_xlfn.XLOOKUP(B1545,'Form responses 1'!$B$2:$B$2604,'Form responses 1'!$A$2:$A$2604,""))</f>
        <v/>
      </c>
      <c r="D1545" s="44" t="str">
        <f t="shared" si="3"/>
        <v/>
      </c>
      <c r="E1545" s="44" t="str">
        <f t="array" ref="E1545">IF(B1545="","",_xlfn.XLOOKUP(B1545,'Form responses 1'!$B$2:$B$2604,'Form responses 1'!$C$2:$C$2604,""))</f>
        <v/>
      </c>
      <c r="F1545" s="44" t="str">
        <f t="array" ref="F1545">IF(B1545="","",_xlfn.XLOOKUP(B1545,'Form responses 1'!$B$2:$B$2604,'Form responses 1'!$D$2:$D$2604,""))</f>
        <v/>
      </c>
      <c r="G1545" s="44" t="str">
        <f t="array" ref="G1545">IF(B1545="","",_xlfn.XLOOKUP(B1545,'Form responses 1'!$B$2:$B$2604,'Form responses 1'!$E$2:$E$2604,""))</f>
        <v/>
      </c>
      <c r="H1545" s="44" t="str">
        <f t="array" ref="H1545">IF(B1545="","",_xlfn.XLOOKUP(B1545,'Form responses 1'!$B$2:$B$2604,'Form responses 1'!$F$2:$F$2604,""))</f>
        <v/>
      </c>
      <c r="I1545" s="44" t="str">
        <f t="array" ref="I1545">IF(B1545="","",_xlfn.XLOOKUP(B1545,'Form responses 1'!$B$2:$B$2604,'Form responses 1'!$I$2:$I$2604,""))</f>
        <v/>
      </c>
      <c r="J1545" s="44" t="str">
        <f t="array" ref="J1545">IF(B1545="","",_xlfn.XLOOKUP(B1545,'Form responses 1'!$B$2:$B$2604,'Form responses 1'!$G$2:$G$2604,""))</f>
        <v/>
      </c>
      <c r="K1545" s="56"/>
      <c r="L1545" s="58" t="str">
        <f t="shared" si="7"/>
        <v/>
      </c>
      <c r="M1545" s="49"/>
      <c r="N1545" s="49"/>
      <c r="O1545" s="49"/>
      <c r="P1545" s="49"/>
      <c r="Q1545" s="49"/>
      <c r="R1545" s="49"/>
      <c r="S1545" s="49"/>
      <c r="T1545" s="49"/>
      <c r="U1545" s="49"/>
      <c r="V1545" s="49"/>
      <c r="W1545" s="56"/>
      <c r="X1545" s="51" t="str">
        <f t="shared" si="5"/>
        <v/>
      </c>
      <c r="Y1545" s="50" t="s">
        <v>482</v>
      </c>
      <c r="Z1545" s="49">
        <f t="shared" si="6"/>
        <v>0</v>
      </c>
    </row>
    <row r="1546" ht="22.5" customHeight="1">
      <c r="B1546" s="57"/>
      <c r="C1546" s="43" t="str">
        <f t="array" ref="C1546">IF(B1546="","",_xlfn.XLOOKUP(B1546,'Form responses 1'!$B$2:$B$2604,'Form responses 1'!$A$2:$A$2604,""))</f>
        <v/>
      </c>
      <c r="D1546" s="44" t="str">
        <f t="shared" si="3"/>
        <v/>
      </c>
      <c r="E1546" s="44" t="str">
        <f t="array" ref="E1546">IF(B1546="","",_xlfn.XLOOKUP(B1546,'Form responses 1'!$B$2:$B$2604,'Form responses 1'!$C$2:$C$2604,""))</f>
        <v/>
      </c>
      <c r="F1546" s="44" t="str">
        <f t="array" ref="F1546">IF(B1546="","",_xlfn.XLOOKUP(B1546,'Form responses 1'!$B$2:$B$2604,'Form responses 1'!$D$2:$D$2604,""))</f>
        <v/>
      </c>
      <c r="G1546" s="44" t="str">
        <f t="array" ref="G1546">IF(B1546="","",_xlfn.XLOOKUP(B1546,'Form responses 1'!$B$2:$B$2604,'Form responses 1'!$E$2:$E$2604,""))</f>
        <v/>
      </c>
      <c r="H1546" s="44" t="str">
        <f t="array" ref="H1546">IF(B1546="","",_xlfn.XLOOKUP(B1546,'Form responses 1'!$B$2:$B$2604,'Form responses 1'!$F$2:$F$2604,""))</f>
        <v/>
      </c>
      <c r="I1546" s="44" t="str">
        <f t="array" ref="I1546">IF(B1546="","",_xlfn.XLOOKUP(B1546,'Form responses 1'!$B$2:$B$2604,'Form responses 1'!$I$2:$I$2604,""))</f>
        <v/>
      </c>
      <c r="J1546" s="44" t="str">
        <f t="array" ref="J1546">IF(B1546="","",_xlfn.XLOOKUP(B1546,'Form responses 1'!$B$2:$B$2604,'Form responses 1'!$G$2:$G$2604,""))</f>
        <v/>
      </c>
      <c r="K1546" s="56"/>
      <c r="L1546" s="58" t="str">
        <f t="shared" si="7"/>
        <v/>
      </c>
      <c r="M1546" s="49"/>
      <c r="N1546" s="49"/>
      <c r="O1546" s="49"/>
      <c r="P1546" s="49"/>
      <c r="Q1546" s="49"/>
      <c r="R1546" s="49"/>
      <c r="S1546" s="49"/>
      <c r="T1546" s="49"/>
      <c r="U1546" s="49"/>
      <c r="V1546" s="49"/>
      <c r="W1546" s="56"/>
      <c r="X1546" s="51" t="str">
        <f t="shared" si="5"/>
        <v/>
      </c>
      <c r="Y1546" s="50" t="s">
        <v>482</v>
      </c>
      <c r="Z1546" s="49">
        <f t="shared" si="6"/>
        <v>0</v>
      </c>
    </row>
    <row r="1547" ht="22.5" customHeight="1">
      <c r="B1547" s="57"/>
      <c r="C1547" s="43" t="str">
        <f t="array" ref="C1547">IF(B1547="","",_xlfn.XLOOKUP(B1547,'Form responses 1'!$B$2:$B$2604,'Form responses 1'!$A$2:$A$2604,""))</f>
        <v/>
      </c>
      <c r="D1547" s="44" t="str">
        <f t="shared" si="3"/>
        <v/>
      </c>
      <c r="E1547" s="44" t="str">
        <f t="array" ref="E1547">IF(B1547="","",_xlfn.XLOOKUP(B1547,'Form responses 1'!$B$2:$B$2604,'Form responses 1'!$C$2:$C$2604,""))</f>
        <v/>
      </c>
      <c r="F1547" s="44" t="str">
        <f t="array" ref="F1547">IF(B1547="","",_xlfn.XLOOKUP(B1547,'Form responses 1'!$B$2:$B$2604,'Form responses 1'!$D$2:$D$2604,""))</f>
        <v/>
      </c>
      <c r="G1547" s="44" t="str">
        <f t="array" ref="G1547">IF(B1547="","",_xlfn.XLOOKUP(B1547,'Form responses 1'!$B$2:$B$2604,'Form responses 1'!$E$2:$E$2604,""))</f>
        <v/>
      </c>
      <c r="H1547" s="44" t="str">
        <f t="array" ref="H1547">IF(B1547="","",_xlfn.XLOOKUP(B1547,'Form responses 1'!$B$2:$B$2604,'Form responses 1'!$F$2:$F$2604,""))</f>
        <v/>
      </c>
      <c r="I1547" s="44" t="str">
        <f t="array" ref="I1547">IF(B1547="","",_xlfn.XLOOKUP(B1547,'Form responses 1'!$B$2:$B$2604,'Form responses 1'!$I$2:$I$2604,""))</f>
        <v/>
      </c>
      <c r="J1547" s="44" t="str">
        <f t="array" ref="J1547">IF(B1547="","",_xlfn.XLOOKUP(B1547,'Form responses 1'!$B$2:$B$2604,'Form responses 1'!$G$2:$G$2604,""))</f>
        <v/>
      </c>
      <c r="K1547" s="56"/>
      <c r="L1547" s="58" t="str">
        <f t="shared" si="7"/>
        <v/>
      </c>
      <c r="M1547" s="49"/>
      <c r="N1547" s="49"/>
      <c r="O1547" s="49"/>
      <c r="P1547" s="49"/>
      <c r="Q1547" s="49"/>
      <c r="R1547" s="49"/>
      <c r="S1547" s="49"/>
      <c r="T1547" s="49"/>
      <c r="U1547" s="49"/>
      <c r="V1547" s="49"/>
      <c r="W1547" s="56"/>
      <c r="X1547" s="51" t="str">
        <f t="shared" si="5"/>
        <v/>
      </c>
      <c r="Y1547" s="50" t="s">
        <v>482</v>
      </c>
      <c r="Z1547" s="49">
        <f t="shared" si="6"/>
        <v>0</v>
      </c>
    </row>
    <row r="1548" ht="22.5" customHeight="1">
      <c r="B1548" s="57"/>
      <c r="C1548" s="43" t="str">
        <f t="array" ref="C1548">IF(B1548="","",_xlfn.XLOOKUP(B1548,'Form responses 1'!$B$2:$B$2604,'Form responses 1'!$A$2:$A$2604,""))</f>
        <v/>
      </c>
      <c r="D1548" s="44" t="str">
        <f t="shared" si="3"/>
        <v/>
      </c>
      <c r="E1548" s="44" t="str">
        <f t="array" ref="E1548">IF(B1548="","",_xlfn.XLOOKUP(B1548,'Form responses 1'!$B$2:$B$2604,'Form responses 1'!$C$2:$C$2604,""))</f>
        <v/>
      </c>
      <c r="F1548" s="44" t="str">
        <f t="array" ref="F1548">IF(B1548="","",_xlfn.XLOOKUP(B1548,'Form responses 1'!$B$2:$B$2604,'Form responses 1'!$D$2:$D$2604,""))</f>
        <v/>
      </c>
      <c r="G1548" s="44" t="str">
        <f t="array" ref="G1548">IF(B1548="","",_xlfn.XLOOKUP(B1548,'Form responses 1'!$B$2:$B$2604,'Form responses 1'!$E$2:$E$2604,""))</f>
        <v/>
      </c>
      <c r="H1548" s="44" t="str">
        <f t="array" ref="H1548">IF(B1548="","",_xlfn.XLOOKUP(B1548,'Form responses 1'!$B$2:$B$2604,'Form responses 1'!$F$2:$F$2604,""))</f>
        <v/>
      </c>
      <c r="I1548" s="44" t="str">
        <f t="array" ref="I1548">IF(B1548="","",_xlfn.XLOOKUP(B1548,'Form responses 1'!$B$2:$B$2604,'Form responses 1'!$I$2:$I$2604,""))</f>
        <v/>
      </c>
      <c r="J1548" s="44" t="str">
        <f t="array" ref="J1548">IF(B1548="","",_xlfn.XLOOKUP(B1548,'Form responses 1'!$B$2:$B$2604,'Form responses 1'!$G$2:$G$2604,""))</f>
        <v/>
      </c>
      <c r="K1548" s="56"/>
      <c r="L1548" s="58" t="str">
        <f t="shared" si="7"/>
        <v/>
      </c>
      <c r="M1548" s="49"/>
      <c r="N1548" s="49"/>
      <c r="O1548" s="49"/>
      <c r="P1548" s="49"/>
      <c r="Q1548" s="49"/>
      <c r="R1548" s="49"/>
      <c r="S1548" s="49"/>
      <c r="T1548" s="49"/>
      <c r="U1548" s="49"/>
      <c r="V1548" s="49"/>
      <c r="W1548" s="56"/>
      <c r="X1548" s="51" t="str">
        <f t="shared" si="5"/>
        <v/>
      </c>
      <c r="Y1548" s="50" t="s">
        <v>482</v>
      </c>
      <c r="Z1548" s="49">
        <f t="shared" si="6"/>
        <v>0</v>
      </c>
    </row>
    <row r="1549" ht="22.5" customHeight="1">
      <c r="B1549" s="57"/>
      <c r="C1549" s="43" t="str">
        <f t="array" ref="C1549">IF(B1549="","",_xlfn.XLOOKUP(B1549,'Form responses 1'!$B$2:$B$2604,'Form responses 1'!$A$2:$A$2604,""))</f>
        <v/>
      </c>
      <c r="D1549" s="44" t="str">
        <f t="shared" si="3"/>
        <v/>
      </c>
      <c r="E1549" s="44" t="str">
        <f t="array" ref="E1549">IF(B1549="","",_xlfn.XLOOKUP(B1549,'Form responses 1'!$B$2:$B$2604,'Form responses 1'!$C$2:$C$2604,""))</f>
        <v/>
      </c>
      <c r="F1549" s="44" t="str">
        <f t="array" ref="F1549">IF(B1549="","",_xlfn.XLOOKUP(B1549,'Form responses 1'!$B$2:$B$2604,'Form responses 1'!$D$2:$D$2604,""))</f>
        <v/>
      </c>
      <c r="G1549" s="44" t="str">
        <f t="array" ref="G1549">IF(B1549="","",_xlfn.XLOOKUP(B1549,'Form responses 1'!$B$2:$B$2604,'Form responses 1'!$E$2:$E$2604,""))</f>
        <v/>
      </c>
      <c r="H1549" s="44" t="str">
        <f t="array" ref="H1549">IF(B1549="","",_xlfn.XLOOKUP(B1549,'Form responses 1'!$B$2:$B$2604,'Form responses 1'!$F$2:$F$2604,""))</f>
        <v/>
      </c>
      <c r="I1549" s="44" t="str">
        <f t="array" ref="I1549">IF(B1549="","",_xlfn.XLOOKUP(B1549,'Form responses 1'!$B$2:$B$2604,'Form responses 1'!$I$2:$I$2604,""))</f>
        <v/>
      </c>
      <c r="J1549" s="44" t="str">
        <f t="array" ref="J1549">IF(B1549="","",_xlfn.XLOOKUP(B1549,'Form responses 1'!$B$2:$B$2604,'Form responses 1'!$G$2:$G$2604,""))</f>
        <v/>
      </c>
      <c r="K1549" s="56"/>
      <c r="L1549" s="58" t="str">
        <f t="shared" si="7"/>
        <v/>
      </c>
      <c r="M1549" s="49"/>
      <c r="N1549" s="49"/>
      <c r="O1549" s="49"/>
      <c r="P1549" s="49"/>
      <c r="Q1549" s="49"/>
      <c r="R1549" s="49"/>
      <c r="S1549" s="49"/>
      <c r="T1549" s="49"/>
      <c r="U1549" s="49"/>
      <c r="V1549" s="49"/>
      <c r="W1549" s="56"/>
      <c r="X1549" s="51" t="str">
        <f t="shared" si="5"/>
        <v/>
      </c>
      <c r="Y1549" s="50" t="s">
        <v>482</v>
      </c>
      <c r="Z1549" s="49">
        <f t="shared" si="6"/>
        <v>0</v>
      </c>
    </row>
    <row r="1550" ht="22.5" customHeight="1">
      <c r="B1550" s="57"/>
      <c r="C1550" s="43" t="str">
        <f t="array" ref="C1550">IF(B1550="","",_xlfn.XLOOKUP(B1550,'Form responses 1'!$B$2:$B$2604,'Form responses 1'!$A$2:$A$2604,""))</f>
        <v/>
      </c>
      <c r="D1550" s="44" t="str">
        <f t="shared" si="3"/>
        <v/>
      </c>
      <c r="E1550" s="44" t="str">
        <f t="array" ref="E1550">IF(B1550="","",_xlfn.XLOOKUP(B1550,'Form responses 1'!$B$2:$B$2604,'Form responses 1'!$C$2:$C$2604,""))</f>
        <v/>
      </c>
      <c r="F1550" s="44" t="str">
        <f t="array" ref="F1550">IF(B1550="","",_xlfn.XLOOKUP(B1550,'Form responses 1'!$B$2:$B$2604,'Form responses 1'!$D$2:$D$2604,""))</f>
        <v/>
      </c>
      <c r="G1550" s="44" t="str">
        <f t="array" ref="G1550">IF(B1550="","",_xlfn.XLOOKUP(B1550,'Form responses 1'!$B$2:$B$2604,'Form responses 1'!$E$2:$E$2604,""))</f>
        <v/>
      </c>
      <c r="H1550" s="44" t="str">
        <f t="array" ref="H1550">IF(B1550="","",_xlfn.XLOOKUP(B1550,'Form responses 1'!$B$2:$B$2604,'Form responses 1'!$F$2:$F$2604,""))</f>
        <v/>
      </c>
      <c r="I1550" s="44" t="str">
        <f t="array" ref="I1550">IF(B1550="","",_xlfn.XLOOKUP(B1550,'Form responses 1'!$B$2:$B$2604,'Form responses 1'!$I$2:$I$2604,""))</f>
        <v/>
      </c>
      <c r="J1550" s="44" t="str">
        <f t="array" ref="J1550">IF(B1550="","",_xlfn.XLOOKUP(B1550,'Form responses 1'!$B$2:$B$2604,'Form responses 1'!$G$2:$G$2604,""))</f>
        <v/>
      </c>
      <c r="K1550" s="56"/>
      <c r="L1550" s="58" t="str">
        <f t="shared" si="7"/>
        <v/>
      </c>
      <c r="M1550" s="49"/>
      <c r="N1550" s="49"/>
      <c r="O1550" s="49"/>
      <c r="P1550" s="49"/>
      <c r="Q1550" s="49"/>
      <c r="R1550" s="49"/>
      <c r="S1550" s="49"/>
      <c r="T1550" s="49"/>
      <c r="U1550" s="49"/>
      <c r="V1550" s="49"/>
      <c r="W1550" s="56"/>
      <c r="X1550" s="51" t="str">
        <f t="shared" si="5"/>
        <v/>
      </c>
      <c r="Y1550" s="50" t="s">
        <v>482</v>
      </c>
      <c r="Z1550" s="49">
        <f t="shared" si="6"/>
        <v>0</v>
      </c>
    </row>
    <row r="1551" ht="22.5" customHeight="1">
      <c r="B1551" s="57"/>
      <c r="C1551" s="43" t="str">
        <f t="array" ref="C1551">IF(B1551="","",_xlfn.XLOOKUP(B1551,'Form responses 1'!$B$2:$B$2604,'Form responses 1'!$A$2:$A$2604,""))</f>
        <v/>
      </c>
      <c r="D1551" s="44" t="str">
        <f t="shared" si="3"/>
        <v/>
      </c>
      <c r="E1551" s="44" t="str">
        <f t="array" ref="E1551">IF(B1551="","",_xlfn.XLOOKUP(B1551,'Form responses 1'!$B$2:$B$2604,'Form responses 1'!$C$2:$C$2604,""))</f>
        <v/>
      </c>
      <c r="F1551" s="44" t="str">
        <f t="array" ref="F1551">IF(B1551="","",_xlfn.XLOOKUP(B1551,'Form responses 1'!$B$2:$B$2604,'Form responses 1'!$D$2:$D$2604,""))</f>
        <v/>
      </c>
      <c r="G1551" s="44" t="str">
        <f t="array" ref="G1551">IF(B1551="","",_xlfn.XLOOKUP(B1551,'Form responses 1'!$B$2:$B$2604,'Form responses 1'!$E$2:$E$2604,""))</f>
        <v/>
      </c>
      <c r="H1551" s="44" t="str">
        <f t="array" ref="H1551">IF(B1551="","",_xlfn.XLOOKUP(B1551,'Form responses 1'!$B$2:$B$2604,'Form responses 1'!$F$2:$F$2604,""))</f>
        <v/>
      </c>
      <c r="I1551" s="44" t="str">
        <f t="array" ref="I1551">IF(B1551="","",_xlfn.XLOOKUP(B1551,'Form responses 1'!$B$2:$B$2604,'Form responses 1'!$I$2:$I$2604,""))</f>
        <v/>
      </c>
      <c r="J1551" s="44" t="str">
        <f t="array" ref="J1551">IF(B1551="","",_xlfn.XLOOKUP(B1551,'Form responses 1'!$B$2:$B$2604,'Form responses 1'!$G$2:$G$2604,""))</f>
        <v/>
      </c>
      <c r="K1551" s="56"/>
      <c r="L1551" s="58" t="str">
        <f t="shared" si="7"/>
        <v/>
      </c>
      <c r="M1551" s="49"/>
      <c r="N1551" s="49"/>
      <c r="O1551" s="49"/>
      <c r="P1551" s="49"/>
      <c r="Q1551" s="49"/>
      <c r="R1551" s="49"/>
      <c r="S1551" s="49"/>
      <c r="T1551" s="49"/>
      <c r="U1551" s="49"/>
      <c r="V1551" s="49"/>
      <c r="W1551" s="56"/>
      <c r="X1551" s="51" t="str">
        <f t="shared" si="5"/>
        <v/>
      </c>
      <c r="Y1551" s="50" t="s">
        <v>482</v>
      </c>
      <c r="Z1551" s="49">
        <f t="shared" si="6"/>
        <v>0</v>
      </c>
    </row>
    <row r="1552" ht="22.5" customHeight="1">
      <c r="B1552" s="57"/>
      <c r="C1552" s="43" t="str">
        <f t="array" ref="C1552">IF(B1552="","",_xlfn.XLOOKUP(B1552,'Form responses 1'!$B$2:$B$2604,'Form responses 1'!$A$2:$A$2604,""))</f>
        <v/>
      </c>
      <c r="D1552" s="44" t="str">
        <f t="shared" si="3"/>
        <v/>
      </c>
      <c r="E1552" s="44" t="str">
        <f t="array" ref="E1552">IF(B1552="","",_xlfn.XLOOKUP(B1552,'Form responses 1'!$B$2:$B$2604,'Form responses 1'!$C$2:$C$2604,""))</f>
        <v/>
      </c>
      <c r="F1552" s="44" t="str">
        <f t="array" ref="F1552">IF(B1552="","",_xlfn.XLOOKUP(B1552,'Form responses 1'!$B$2:$B$2604,'Form responses 1'!$D$2:$D$2604,""))</f>
        <v/>
      </c>
      <c r="G1552" s="44" t="str">
        <f t="array" ref="G1552">IF(B1552="","",_xlfn.XLOOKUP(B1552,'Form responses 1'!$B$2:$B$2604,'Form responses 1'!$E$2:$E$2604,""))</f>
        <v/>
      </c>
      <c r="H1552" s="44" t="str">
        <f t="array" ref="H1552">IF(B1552="","",_xlfn.XLOOKUP(B1552,'Form responses 1'!$B$2:$B$2604,'Form responses 1'!$F$2:$F$2604,""))</f>
        <v/>
      </c>
      <c r="I1552" s="44" t="str">
        <f t="array" ref="I1552">IF(B1552="","",_xlfn.XLOOKUP(B1552,'Form responses 1'!$B$2:$B$2604,'Form responses 1'!$I$2:$I$2604,""))</f>
        <v/>
      </c>
      <c r="J1552" s="44" t="str">
        <f t="array" ref="J1552">IF(B1552="","",_xlfn.XLOOKUP(B1552,'Form responses 1'!$B$2:$B$2604,'Form responses 1'!$G$2:$G$2604,""))</f>
        <v/>
      </c>
      <c r="K1552" s="56"/>
      <c r="L1552" s="58" t="str">
        <f t="shared" si="7"/>
        <v/>
      </c>
      <c r="M1552" s="49"/>
      <c r="N1552" s="49"/>
      <c r="O1552" s="49"/>
      <c r="P1552" s="49"/>
      <c r="Q1552" s="49"/>
      <c r="R1552" s="49"/>
      <c r="S1552" s="49"/>
      <c r="T1552" s="49"/>
      <c r="U1552" s="49"/>
      <c r="V1552" s="49"/>
      <c r="W1552" s="56"/>
      <c r="X1552" s="51" t="str">
        <f t="shared" si="5"/>
        <v/>
      </c>
      <c r="Y1552" s="50" t="s">
        <v>482</v>
      </c>
      <c r="Z1552" s="49">
        <f t="shared" si="6"/>
        <v>0</v>
      </c>
    </row>
    <row r="1553" ht="22.5" customHeight="1">
      <c r="B1553" s="57"/>
      <c r="C1553" s="43" t="str">
        <f t="array" ref="C1553">IF(B1553="","",_xlfn.XLOOKUP(B1553,'Form responses 1'!$B$2:$B$2604,'Form responses 1'!$A$2:$A$2604,""))</f>
        <v/>
      </c>
      <c r="D1553" s="44" t="str">
        <f t="shared" si="3"/>
        <v/>
      </c>
      <c r="E1553" s="44" t="str">
        <f t="array" ref="E1553">IF(B1553="","",_xlfn.XLOOKUP(B1553,'Form responses 1'!$B$2:$B$2604,'Form responses 1'!$C$2:$C$2604,""))</f>
        <v/>
      </c>
      <c r="F1553" s="44" t="str">
        <f t="array" ref="F1553">IF(B1553="","",_xlfn.XLOOKUP(B1553,'Form responses 1'!$B$2:$B$2604,'Form responses 1'!$D$2:$D$2604,""))</f>
        <v/>
      </c>
      <c r="G1553" s="44" t="str">
        <f t="array" ref="G1553">IF(B1553="","",_xlfn.XLOOKUP(B1553,'Form responses 1'!$B$2:$B$2604,'Form responses 1'!$E$2:$E$2604,""))</f>
        <v/>
      </c>
      <c r="H1553" s="44" t="str">
        <f t="array" ref="H1553">IF(B1553="","",_xlfn.XLOOKUP(B1553,'Form responses 1'!$B$2:$B$2604,'Form responses 1'!$F$2:$F$2604,""))</f>
        <v/>
      </c>
      <c r="I1553" s="44" t="str">
        <f t="array" ref="I1553">IF(B1553="","",_xlfn.XLOOKUP(B1553,'Form responses 1'!$B$2:$B$2604,'Form responses 1'!$I$2:$I$2604,""))</f>
        <v/>
      </c>
      <c r="J1553" s="44" t="str">
        <f t="array" ref="J1553">IF(B1553="","",_xlfn.XLOOKUP(B1553,'Form responses 1'!$B$2:$B$2604,'Form responses 1'!$G$2:$G$2604,""))</f>
        <v/>
      </c>
      <c r="K1553" s="56"/>
      <c r="L1553" s="58" t="str">
        <f t="shared" si="7"/>
        <v/>
      </c>
      <c r="M1553" s="49"/>
      <c r="N1553" s="49"/>
      <c r="O1553" s="49"/>
      <c r="P1553" s="49"/>
      <c r="Q1553" s="49"/>
      <c r="R1553" s="49"/>
      <c r="S1553" s="49"/>
      <c r="T1553" s="49"/>
      <c r="U1553" s="49"/>
      <c r="V1553" s="49"/>
      <c r="W1553" s="56"/>
      <c r="X1553" s="51" t="str">
        <f t="shared" si="5"/>
        <v/>
      </c>
      <c r="Y1553" s="50" t="s">
        <v>482</v>
      </c>
      <c r="Z1553" s="49">
        <f t="shared" si="6"/>
        <v>0</v>
      </c>
    </row>
    <row r="1554" ht="22.5" customHeight="1">
      <c r="B1554" s="57"/>
      <c r="C1554" s="43" t="str">
        <f t="array" ref="C1554">IF(B1554="","",_xlfn.XLOOKUP(B1554,'Form responses 1'!$B$2:$B$2604,'Form responses 1'!$A$2:$A$2604,""))</f>
        <v/>
      </c>
      <c r="D1554" s="44" t="str">
        <f t="shared" si="3"/>
        <v/>
      </c>
      <c r="E1554" s="44" t="str">
        <f t="array" ref="E1554">IF(B1554="","",_xlfn.XLOOKUP(B1554,'Form responses 1'!$B$2:$B$2604,'Form responses 1'!$C$2:$C$2604,""))</f>
        <v/>
      </c>
      <c r="F1554" s="44" t="str">
        <f t="array" ref="F1554">IF(B1554="","",_xlfn.XLOOKUP(B1554,'Form responses 1'!$B$2:$B$2604,'Form responses 1'!$D$2:$D$2604,""))</f>
        <v/>
      </c>
      <c r="G1554" s="44" t="str">
        <f t="array" ref="G1554">IF(B1554="","",_xlfn.XLOOKUP(B1554,'Form responses 1'!$B$2:$B$2604,'Form responses 1'!$E$2:$E$2604,""))</f>
        <v/>
      </c>
      <c r="H1554" s="44" t="str">
        <f t="array" ref="H1554">IF(B1554="","",_xlfn.XLOOKUP(B1554,'Form responses 1'!$B$2:$B$2604,'Form responses 1'!$F$2:$F$2604,""))</f>
        <v/>
      </c>
      <c r="I1554" s="44" t="str">
        <f t="array" ref="I1554">IF(B1554="","",_xlfn.XLOOKUP(B1554,'Form responses 1'!$B$2:$B$2604,'Form responses 1'!$I$2:$I$2604,""))</f>
        <v/>
      </c>
      <c r="J1554" s="44" t="str">
        <f t="array" ref="J1554">IF(B1554="","",_xlfn.XLOOKUP(B1554,'Form responses 1'!$B$2:$B$2604,'Form responses 1'!$G$2:$G$2604,""))</f>
        <v/>
      </c>
      <c r="K1554" s="56"/>
      <c r="L1554" s="58" t="str">
        <f t="shared" si="7"/>
        <v/>
      </c>
      <c r="M1554" s="49"/>
      <c r="N1554" s="49"/>
      <c r="O1554" s="49"/>
      <c r="P1554" s="49"/>
      <c r="Q1554" s="49"/>
      <c r="R1554" s="49"/>
      <c r="S1554" s="49"/>
      <c r="T1554" s="49"/>
      <c r="U1554" s="49"/>
      <c r="V1554" s="49"/>
      <c r="W1554" s="56"/>
      <c r="X1554" s="51" t="str">
        <f t="shared" si="5"/>
        <v/>
      </c>
      <c r="Y1554" s="50" t="s">
        <v>482</v>
      </c>
      <c r="Z1554" s="49">
        <f t="shared" si="6"/>
        <v>0</v>
      </c>
    </row>
    <row r="1555" ht="22.5" customHeight="1">
      <c r="B1555" s="57"/>
      <c r="C1555" s="43" t="str">
        <f t="array" ref="C1555">IF(B1555="","",_xlfn.XLOOKUP(B1555,'Form responses 1'!$B$2:$B$2604,'Form responses 1'!$A$2:$A$2604,""))</f>
        <v/>
      </c>
      <c r="D1555" s="44" t="str">
        <f t="shared" si="3"/>
        <v/>
      </c>
      <c r="E1555" s="44" t="str">
        <f t="array" ref="E1555">IF(B1555="","",_xlfn.XLOOKUP(B1555,'Form responses 1'!$B$2:$B$2604,'Form responses 1'!$C$2:$C$2604,""))</f>
        <v/>
      </c>
      <c r="F1555" s="44" t="str">
        <f t="array" ref="F1555">IF(B1555="","",_xlfn.XLOOKUP(B1555,'Form responses 1'!$B$2:$B$2604,'Form responses 1'!$D$2:$D$2604,""))</f>
        <v/>
      </c>
      <c r="G1555" s="44" t="str">
        <f t="array" ref="G1555">IF(B1555="","",_xlfn.XLOOKUP(B1555,'Form responses 1'!$B$2:$B$2604,'Form responses 1'!$E$2:$E$2604,""))</f>
        <v/>
      </c>
      <c r="H1555" s="44" t="str">
        <f t="array" ref="H1555">IF(B1555="","",_xlfn.XLOOKUP(B1555,'Form responses 1'!$B$2:$B$2604,'Form responses 1'!$F$2:$F$2604,""))</f>
        <v/>
      </c>
      <c r="I1555" s="44" t="str">
        <f t="array" ref="I1555">IF(B1555="","",_xlfn.XLOOKUP(B1555,'Form responses 1'!$B$2:$B$2604,'Form responses 1'!$I$2:$I$2604,""))</f>
        <v/>
      </c>
      <c r="J1555" s="44" t="str">
        <f t="array" ref="J1555">IF(B1555="","",_xlfn.XLOOKUP(B1555,'Form responses 1'!$B$2:$B$2604,'Form responses 1'!$G$2:$G$2604,""))</f>
        <v/>
      </c>
      <c r="K1555" s="56"/>
      <c r="L1555" s="58" t="str">
        <f t="shared" si="7"/>
        <v/>
      </c>
      <c r="M1555" s="49"/>
      <c r="N1555" s="49"/>
      <c r="O1555" s="49"/>
      <c r="P1555" s="49"/>
      <c r="Q1555" s="49"/>
      <c r="R1555" s="49"/>
      <c r="S1555" s="49"/>
      <c r="T1555" s="49"/>
      <c r="U1555" s="49"/>
      <c r="V1555" s="49"/>
      <c r="W1555" s="56"/>
      <c r="X1555" s="51" t="str">
        <f t="shared" si="5"/>
        <v/>
      </c>
      <c r="Y1555" s="50" t="s">
        <v>482</v>
      </c>
      <c r="Z1555" s="49">
        <f t="shared" si="6"/>
        <v>0</v>
      </c>
    </row>
    <row r="1556" ht="22.5" customHeight="1">
      <c r="B1556" s="57"/>
      <c r="C1556" s="43" t="str">
        <f t="array" ref="C1556">IF(B1556="","",_xlfn.XLOOKUP(B1556,'Form responses 1'!$B$2:$B$2604,'Form responses 1'!$A$2:$A$2604,""))</f>
        <v/>
      </c>
      <c r="D1556" s="44" t="str">
        <f t="shared" si="3"/>
        <v/>
      </c>
      <c r="E1556" s="44" t="str">
        <f t="array" ref="E1556">IF(B1556="","",_xlfn.XLOOKUP(B1556,'Form responses 1'!$B$2:$B$2604,'Form responses 1'!$C$2:$C$2604,""))</f>
        <v/>
      </c>
      <c r="F1556" s="44" t="str">
        <f t="array" ref="F1556">IF(B1556="","",_xlfn.XLOOKUP(B1556,'Form responses 1'!$B$2:$B$2604,'Form responses 1'!$D$2:$D$2604,""))</f>
        <v/>
      </c>
      <c r="G1556" s="44" t="str">
        <f t="array" ref="G1556">IF(B1556="","",_xlfn.XLOOKUP(B1556,'Form responses 1'!$B$2:$B$2604,'Form responses 1'!$E$2:$E$2604,""))</f>
        <v/>
      </c>
      <c r="H1556" s="44" t="str">
        <f t="array" ref="H1556">IF(B1556="","",_xlfn.XLOOKUP(B1556,'Form responses 1'!$B$2:$B$2604,'Form responses 1'!$F$2:$F$2604,""))</f>
        <v/>
      </c>
      <c r="I1556" s="44" t="str">
        <f t="array" ref="I1556">IF(B1556="","",_xlfn.XLOOKUP(B1556,'Form responses 1'!$B$2:$B$2604,'Form responses 1'!$I$2:$I$2604,""))</f>
        <v/>
      </c>
      <c r="J1556" s="44" t="str">
        <f t="array" ref="J1556">IF(B1556="","",_xlfn.XLOOKUP(B1556,'Form responses 1'!$B$2:$B$2604,'Form responses 1'!$G$2:$G$2604,""))</f>
        <v/>
      </c>
      <c r="K1556" s="56"/>
      <c r="L1556" s="58" t="str">
        <f t="shared" si="7"/>
        <v/>
      </c>
      <c r="M1556" s="49"/>
      <c r="N1556" s="49"/>
      <c r="O1556" s="49"/>
      <c r="P1556" s="49"/>
      <c r="Q1556" s="49"/>
      <c r="R1556" s="49"/>
      <c r="S1556" s="49"/>
      <c r="T1556" s="49"/>
      <c r="U1556" s="49"/>
      <c r="V1556" s="49"/>
      <c r="W1556" s="56"/>
      <c r="X1556" s="51" t="str">
        <f t="shared" si="5"/>
        <v/>
      </c>
      <c r="Y1556" s="50" t="s">
        <v>482</v>
      </c>
      <c r="Z1556" s="49">
        <f t="shared" si="6"/>
        <v>0</v>
      </c>
    </row>
    <row r="1557" ht="22.5" customHeight="1">
      <c r="B1557" s="57"/>
      <c r="C1557" s="43" t="str">
        <f t="array" ref="C1557">IF(B1557="","",_xlfn.XLOOKUP(B1557,'Form responses 1'!$B$2:$B$2604,'Form responses 1'!$A$2:$A$2604,""))</f>
        <v/>
      </c>
      <c r="D1557" s="44" t="str">
        <f t="shared" si="3"/>
        <v/>
      </c>
      <c r="E1557" s="44" t="str">
        <f t="array" ref="E1557">IF(B1557="","",_xlfn.XLOOKUP(B1557,'Form responses 1'!$B$2:$B$2604,'Form responses 1'!$C$2:$C$2604,""))</f>
        <v/>
      </c>
      <c r="F1557" s="44" t="str">
        <f t="array" ref="F1557">IF(B1557="","",_xlfn.XLOOKUP(B1557,'Form responses 1'!$B$2:$B$2604,'Form responses 1'!$D$2:$D$2604,""))</f>
        <v/>
      </c>
      <c r="G1557" s="44" t="str">
        <f t="array" ref="G1557">IF(B1557="","",_xlfn.XLOOKUP(B1557,'Form responses 1'!$B$2:$B$2604,'Form responses 1'!$E$2:$E$2604,""))</f>
        <v/>
      </c>
      <c r="H1557" s="44" t="str">
        <f t="array" ref="H1557">IF(B1557="","",_xlfn.XLOOKUP(B1557,'Form responses 1'!$B$2:$B$2604,'Form responses 1'!$F$2:$F$2604,""))</f>
        <v/>
      </c>
      <c r="I1557" s="44" t="str">
        <f t="array" ref="I1557">IF(B1557="","",_xlfn.XLOOKUP(B1557,'Form responses 1'!$B$2:$B$2604,'Form responses 1'!$I$2:$I$2604,""))</f>
        <v/>
      </c>
      <c r="J1557" s="44" t="str">
        <f t="array" ref="J1557">IF(B1557="","",_xlfn.XLOOKUP(B1557,'Form responses 1'!$B$2:$B$2604,'Form responses 1'!$G$2:$G$2604,""))</f>
        <v/>
      </c>
      <c r="K1557" s="56"/>
      <c r="L1557" s="58" t="str">
        <f t="shared" si="7"/>
        <v/>
      </c>
      <c r="M1557" s="49"/>
      <c r="N1557" s="49"/>
      <c r="O1557" s="49"/>
      <c r="P1557" s="49"/>
      <c r="Q1557" s="49"/>
      <c r="R1557" s="49"/>
      <c r="S1557" s="49"/>
      <c r="T1557" s="49"/>
      <c r="U1557" s="49"/>
      <c r="V1557" s="49"/>
      <c r="W1557" s="56"/>
      <c r="X1557" s="51" t="str">
        <f t="shared" si="5"/>
        <v/>
      </c>
      <c r="Y1557" s="50" t="s">
        <v>482</v>
      </c>
      <c r="Z1557" s="49">
        <f t="shared" si="6"/>
        <v>0</v>
      </c>
    </row>
    <row r="1558" ht="22.5" customHeight="1">
      <c r="B1558" s="57"/>
      <c r="C1558" s="43" t="str">
        <f t="array" ref="C1558">IF(B1558="","",_xlfn.XLOOKUP(B1558,'Form responses 1'!$B$2:$B$2604,'Form responses 1'!$A$2:$A$2604,""))</f>
        <v/>
      </c>
      <c r="D1558" s="44" t="str">
        <f t="shared" si="3"/>
        <v/>
      </c>
      <c r="E1558" s="44" t="str">
        <f t="array" ref="E1558">IF(B1558="","",_xlfn.XLOOKUP(B1558,'Form responses 1'!$B$2:$B$2604,'Form responses 1'!$C$2:$C$2604,""))</f>
        <v/>
      </c>
      <c r="F1558" s="44" t="str">
        <f t="array" ref="F1558">IF(B1558="","",_xlfn.XLOOKUP(B1558,'Form responses 1'!$B$2:$B$2604,'Form responses 1'!$D$2:$D$2604,""))</f>
        <v/>
      </c>
      <c r="G1558" s="44" t="str">
        <f t="array" ref="G1558">IF(B1558="","",_xlfn.XLOOKUP(B1558,'Form responses 1'!$B$2:$B$2604,'Form responses 1'!$E$2:$E$2604,""))</f>
        <v/>
      </c>
      <c r="H1558" s="44" t="str">
        <f t="array" ref="H1558">IF(B1558="","",_xlfn.XLOOKUP(B1558,'Form responses 1'!$B$2:$B$2604,'Form responses 1'!$F$2:$F$2604,""))</f>
        <v/>
      </c>
      <c r="I1558" s="44" t="str">
        <f t="array" ref="I1558">IF(B1558="","",_xlfn.XLOOKUP(B1558,'Form responses 1'!$B$2:$B$2604,'Form responses 1'!$I$2:$I$2604,""))</f>
        <v/>
      </c>
      <c r="J1558" s="44" t="str">
        <f t="array" ref="J1558">IF(B1558="","",_xlfn.XLOOKUP(B1558,'Form responses 1'!$B$2:$B$2604,'Form responses 1'!$G$2:$G$2604,""))</f>
        <v/>
      </c>
      <c r="K1558" s="56"/>
      <c r="L1558" s="58" t="str">
        <f t="shared" si="7"/>
        <v/>
      </c>
      <c r="M1558" s="49"/>
      <c r="N1558" s="49"/>
      <c r="O1558" s="49"/>
      <c r="P1558" s="49"/>
      <c r="Q1558" s="49"/>
      <c r="R1558" s="49"/>
      <c r="S1558" s="49"/>
      <c r="T1558" s="49"/>
      <c r="U1558" s="49"/>
      <c r="V1558" s="49"/>
      <c r="W1558" s="56"/>
      <c r="X1558" s="51" t="str">
        <f t="shared" si="5"/>
        <v/>
      </c>
      <c r="Y1558" s="50" t="s">
        <v>482</v>
      </c>
      <c r="Z1558" s="49">
        <f t="shared" si="6"/>
        <v>0</v>
      </c>
    </row>
    <row r="1559" ht="22.5" customHeight="1">
      <c r="B1559" s="57"/>
      <c r="C1559" s="43" t="str">
        <f t="array" ref="C1559">IF(B1559="","",_xlfn.XLOOKUP(B1559,'Form responses 1'!$B$2:$B$2604,'Form responses 1'!$A$2:$A$2604,""))</f>
        <v/>
      </c>
      <c r="D1559" s="44" t="str">
        <f t="shared" si="3"/>
        <v/>
      </c>
      <c r="E1559" s="44" t="str">
        <f t="array" ref="E1559">IF(B1559="","",_xlfn.XLOOKUP(B1559,'Form responses 1'!$B$2:$B$2604,'Form responses 1'!$C$2:$C$2604,""))</f>
        <v/>
      </c>
      <c r="F1559" s="44" t="str">
        <f t="array" ref="F1559">IF(B1559="","",_xlfn.XLOOKUP(B1559,'Form responses 1'!$B$2:$B$2604,'Form responses 1'!$D$2:$D$2604,""))</f>
        <v/>
      </c>
      <c r="G1559" s="44" t="str">
        <f t="array" ref="G1559">IF(B1559="","",_xlfn.XLOOKUP(B1559,'Form responses 1'!$B$2:$B$2604,'Form responses 1'!$E$2:$E$2604,""))</f>
        <v/>
      </c>
      <c r="H1559" s="44" t="str">
        <f t="array" ref="H1559">IF(B1559="","",_xlfn.XLOOKUP(B1559,'Form responses 1'!$B$2:$B$2604,'Form responses 1'!$F$2:$F$2604,""))</f>
        <v/>
      </c>
      <c r="I1559" s="44" t="str">
        <f t="array" ref="I1559">IF(B1559="","",_xlfn.XLOOKUP(B1559,'Form responses 1'!$B$2:$B$2604,'Form responses 1'!$I$2:$I$2604,""))</f>
        <v/>
      </c>
      <c r="J1559" s="44" t="str">
        <f t="array" ref="J1559">IF(B1559="","",_xlfn.XLOOKUP(B1559,'Form responses 1'!$B$2:$B$2604,'Form responses 1'!$G$2:$G$2604,""))</f>
        <v/>
      </c>
      <c r="K1559" s="56"/>
      <c r="L1559" s="58" t="str">
        <f t="shared" si="7"/>
        <v/>
      </c>
      <c r="M1559" s="49"/>
      <c r="N1559" s="49"/>
      <c r="O1559" s="49"/>
      <c r="P1559" s="49"/>
      <c r="Q1559" s="49"/>
      <c r="R1559" s="49"/>
      <c r="S1559" s="49"/>
      <c r="T1559" s="49"/>
      <c r="U1559" s="49"/>
      <c r="V1559" s="49"/>
      <c r="W1559" s="56"/>
      <c r="X1559" s="51" t="str">
        <f t="shared" si="5"/>
        <v/>
      </c>
      <c r="Y1559" s="50" t="s">
        <v>482</v>
      </c>
      <c r="Z1559" s="49">
        <f t="shared" si="6"/>
        <v>0</v>
      </c>
    </row>
    <row r="1560" ht="22.5" customHeight="1">
      <c r="B1560" s="57"/>
      <c r="C1560" s="43" t="str">
        <f t="array" ref="C1560">IF(B1560="","",_xlfn.XLOOKUP(B1560,'Form responses 1'!$B$2:$B$2604,'Form responses 1'!$A$2:$A$2604,""))</f>
        <v/>
      </c>
      <c r="D1560" s="44" t="str">
        <f t="shared" si="3"/>
        <v/>
      </c>
      <c r="E1560" s="44" t="str">
        <f t="array" ref="E1560">IF(B1560="","",_xlfn.XLOOKUP(B1560,'Form responses 1'!$B$2:$B$2604,'Form responses 1'!$C$2:$C$2604,""))</f>
        <v/>
      </c>
      <c r="F1560" s="44" t="str">
        <f t="array" ref="F1560">IF(B1560="","",_xlfn.XLOOKUP(B1560,'Form responses 1'!$B$2:$B$2604,'Form responses 1'!$D$2:$D$2604,""))</f>
        <v/>
      </c>
      <c r="G1560" s="44" t="str">
        <f t="array" ref="G1560">IF(B1560="","",_xlfn.XLOOKUP(B1560,'Form responses 1'!$B$2:$B$2604,'Form responses 1'!$E$2:$E$2604,""))</f>
        <v/>
      </c>
      <c r="H1560" s="44" t="str">
        <f t="array" ref="H1560">IF(B1560="","",_xlfn.XLOOKUP(B1560,'Form responses 1'!$B$2:$B$2604,'Form responses 1'!$F$2:$F$2604,""))</f>
        <v/>
      </c>
      <c r="I1560" s="44" t="str">
        <f t="array" ref="I1560">IF(B1560="","",_xlfn.XLOOKUP(B1560,'Form responses 1'!$B$2:$B$2604,'Form responses 1'!$I$2:$I$2604,""))</f>
        <v/>
      </c>
      <c r="J1560" s="44" t="str">
        <f t="array" ref="J1560">IF(B1560="","",_xlfn.XLOOKUP(B1560,'Form responses 1'!$B$2:$B$2604,'Form responses 1'!$G$2:$G$2604,""))</f>
        <v/>
      </c>
      <c r="K1560" s="56"/>
      <c r="L1560" s="58" t="str">
        <f t="shared" si="7"/>
        <v/>
      </c>
      <c r="M1560" s="49"/>
      <c r="N1560" s="49"/>
      <c r="O1560" s="49"/>
      <c r="P1560" s="49"/>
      <c r="Q1560" s="49"/>
      <c r="R1560" s="49"/>
      <c r="S1560" s="49"/>
      <c r="T1560" s="49"/>
      <c r="U1560" s="49"/>
      <c r="V1560" s="49"/>
      <c r="W1560" s="56"/>
      <c r="X1560" s="51" t="str">
        <f t="shared" si="5"/>
        <v/>
      </c>
      <c r="Y1560" s="50" t="s">
        <v>482</v>
      </c>
      <c r="Z1560" s="49">
        <f t="shared" si="6"/>
        <v>0</v>
      </c>
    </row>
    <row r="1561" ht="22.5" customHeight="1">
      <c r="B1561" s="57"/>
      <c r="C1561" s="43" t="str">
        <f t="array" ref="C1561">IF(B1561="","",_xlfn.XLOOKUP(B1561,'Form responses 1'!$B$2:$B$2604,'Form responses 1'!$A$2:$A$2604,""))</f>
        <v/>
      </c>
      <c r="D1561" s="44" t="str">
        <f t="shared" si="3"/>
        <v/>
      </c>
      <c r="E1561" s="44" t="str">
        <f t="array" ref="E1561">IF(B1561="","",_xlfn.XLOOKUP(B1561,'Form responses 1'!$B$2:$B$2604,'Form responses 1'!$C$2:$C$2604,""))</f>
        <v/>
      </c>
      <c r="F1561" s="44" t="str">
        <f t="array" ref="F1561">IF(B1561="","",_xlfn.XLOOKUP(B1561,'Form responses 1'!$B$2:$B$2604,'Form responses 1'!$D$2:$D$2604,""))</f>
        <v/>
      </c>
      <c r="G1561" s="44" t="str">
        <f t="array" ref="G1561">IF(B1561="","",_xlfn.XLOOKUP(B1561,'Form responses 1'!$B$2:$B$2604,'Form responses 1'!$E$2:$E$2604,""))</f>
        <v/>
      </c>
      <c r="H1561" s="44" t="str">
        <f t="array" ref="H1561">IF(B1561="","",_xlfn.XLOOKUP(B1561,'Form responses 1'!$B$2:$B$2604,'Form responses 1'!$F$2:$F$2604,""))</f>
        <v/>
      </c>
      <c r="I1561" s="44" t="str">
        <f t="array" ref="I1561">IF(B1561="","",_xlfn.XLOOKUP(B1561,'Form responses 1'!$B$2:$B$2604,'Form responses 1'!$I$2:$I$2604,""))</f>
        <v/>
      </c>
      <c r="J1561" s="44" t="str">
        <f t="array" ref="J1561">IF(B1561="","",_xlfn.XLOOKUP(B1561,'Form responses 1'!$B$2:$B$2604,'Form responses 1'!$G$2:$G$2604,""))</f>
        <v/>
      </c>
      <c r="K1561" s="56"/>
      <c r="L1561" s="58" t="str">
        <f t="shared" si="7"/>
        <v/>
      </c>
      <c r="M1561" s="49"/>
      <c r="N1561" s="49"/>
      <c r="O1561" s="49"/>
      <c r="P1561" s="49"/>
      <c r="Q1561" s="49"/>
      <c r="R1561" s="49"/>
      <c r="S1561" s="49"/>
      <c r="T1561" s="49"/>
      <c r="U1561" s="49"/>
      <c r="V1561" s="49"/>
      <c r="W1561" s="56"/>
      <c r="X1561" s="51" t="str">
        <f t="shared" si="5"/>
        <v/>
      </c>
      <c r="Y1561" s="50" t="s">
        <v>482</v>
      </c>
      <c r="Z1561" s="49">
        <f t="shared" si="6"/>
        <v>0</v>
      </c>
    </row>
    <row r="1562" ht="22.5" customHeight="1">
      <c r="B1562" s="57"/>
      <c r="C1562" s="43" t="str">
        <f t="array" ref="C1562">IF(B1562="","",_xlfn.XLOOKUP(B1562,'Form responses 1'!$B$2:$B$2604,'Form responses 1'!$A$2:$A$2604,""))</f>
        <v/>
      </c>
      <c r="D1562" s="44" t="str">
        <f t="shared" si="3"/>
        <v/>
      </c>
      <c r="E1562" s="44" t="str">
        <f t="array" ref="E1562">IF(B1562="","",_xlfn.XLOOKUP(B1562,'Form responses 1'!$B$2:$B$2604,'Form responses 1'!$C$2:$C$2604,""))</f>
        <v/>
      </c>
      <c r="F1562" s="44" t="str">
        <f t="array" ref="F1562">IF(B1562="","",_xlfn.XLOOKUP(B1562,'Form responses 1'!$B$2:$B$2604,'Form responses 1'!$D$2:$D$2604,""))</f>
        <v/>
      </c>
      <c r="G1562" s="44" t="str">
        <f t="array" ref="G1562">IF(B1562="","",_xlfn.XLOOKUP(B1562,'Form responses 1'!$B$2:$B$2604,'Form responses 1'!$E$2:$E$2604,""))</f>
        <v/>
      </c>
      <c r="H1562" s="44" t="str">
        <f t="array" ref="H1562">IF(B1562="","",_xlfn.XLOOKUP(B1562,'Form responses 1'!$B$2:$B$2604,'Form responses 1'!$F$2:$F$2604,""))</f>
        <v/>
      </c>
      <c r="I1562" s="44" t="str">
        <f t="array" ref="I1562">IF(B1562="","",_xlfn.XLOOKUP(B1562,'Form responses 1'!$B$2:$B$2604,'Form responses 1'!$I$2:$I$2604,""))</f>
        <v/>
      </c>
      <c r="J1562" s="44" t="str">
        <f t="array" ref="J1562">IF(B1562="","",_xlfn.XLOOKUP(B1562,'Form responses 1'!$B$2:$B$2604,'Form responses 1'!$G$2:$G$2604,""))</f>
        <v/>
      </c>
      <c r="K1562" s="56"/>
      <c r="L1562" s="58" t="str">
        <f t="shared" si="7"/>
        <v/>
      </c>
      <c r="M1562" s="49"/>
      <c r="N1562" s="49"/>
      <c r="O1562" s="49"/>
      <c r="P1562" s="49"/>
      <c r="Q1562" s="49"/>
      <c r="R1562" s="49"/>
      <c r="S1562" s="49"/>
      <c r="T1562" s="49"/>
      <c r="U1562" s="49"/>
      <c r="V1562" s="49"/>
      <c r="W1562" s="56"/>
      <c r="X1562" s="51" t="str">
        <f t="shared" si="5"/>
        <v/>
      </c>
      <c r="Y1562" s="50" t="s">
        <v>482</v>
      </c>
      <c r="Z1562" s="49">
        <f t="shared" si="6"/>
        <v>0</v>
      </c>
    </row>
    <row r="1563" ht="22.5" customHeight="1">
      <c r="B1563" s="57"/>
      <c r="C1563" s="43" t="str">
        <f t="array" ref="C1563">IF(B1563="","",_xlfn.XLOOKUP(B1563,'Form responses 1'!$B$2:$B$2604,'Form responses 1'!$A$2:$A$2604,""))</f>
        <v/>
      </c>
      <c r="D1563" s="44" t="str">
        <f t="shared" si="3"/>
        <v/>
      </c>
      <c r="E1563" s="44" t="str">
        <f t="array" ref="E1563">IF(B1563="","",_xlfn.XLOOKUP(B1563,'Form responses 1'!$B$2:$B$2604,'Form responses 1'!$C$2:$C$2604,""))</f>
        <v/>
      </c>
      <c r="F1563" s="44" t="str">
        <f t="array" ref="F1563">IF(B1563="","",_xlfn.XLOOKUP(B1563,'Form responses 1'!$B$2:$B$2604,'Form responses 1'!$D$2:$D$2604,""))</f>
        <v/>
      </c>
      <c r="G1563" s="44" t="str">
        <f t="array" ref="G1563">IF(B1563="","",_xlfn.XLOOKUP(B1563,'Form responses 1'!$B$2:$B$2604,'Form responses 1'!$E$2:$E$2604,""))</f>
        <v/>
      </c>
      <c r="H1563" s="44" t="str">
        <f t="array" ref="H1563">IF(B1563="","",_xlfn.XLOOKUP(B1563,'Form responses 1'!$B$2:$B$2604,'Form responses 1'!$F$2:$F$2604,""))</f>
        <v/>
      </c>
      <c r="I1563" s="44" t="str">
        <f t="array" ref="I1563">IF(B1563="","",_xlfn.XLOOKUP(B1563,'Form responses 1'!$B$2:$B$2604,'Form responses 1'!$I$2:$I$2604,""))</f>
        <v/>
      </c>
      <c r="J1563" s="44" t="str">
        <f t="array" ref="J1563">IF(B1563="","",_xlfn.XLOOKUP(B1563,'Form responses 1'!$B$2:$B$2604,'Form responses 1'!$G$2:$G$2604,""))</f>
        <v/>
      </c>
      <c r="K1563" s="56"/>
      <c r="L1563" s="58" t="str">
        <f t="shared" si="7"/>
        <v/>
      </c>
      <c r="M1563" s="49"/>
      <c r="N1563" s="49"/>
      <c r="O1563" s="49"/>
      <c r="P1563" s="49"/>
      <c r="Q1563" s="49"/>
      <c r="R1563" s="49"/>
      <c r="S1563" s="49"/>
      <c r="T1563" s="49"/>
      <c r="U1563" s="49"/>
      <c r="V1563" s="49"/>
      <c r="W1563" s="56"/>
      <c r="X1563" s="51" t="str">
        <f t="shared" si="5"/>
        <v/>
      </c>
      <c r="Y1563" s="50" t="s">
        <v>482</v>
      </c>
      <c r="Z1563" s="49">
        <f t="shared" si="6"/>
        <v>0</v>
      </c>
    </row>
    <row r="1564" ht="22.5" customHeight="1">
      <c r="B1564" s="57"/>
      <c r="C1564" s="43" t="str">
        <f t="array" ref="C1564">IF(B1564="","",_xlfn.XLOOKUP(B1564,'Form responses 1'!$B$2:$B$2604,'Form responses 1'!$A$2:$A$2604,""))</f>
        <v/>
      </c>
      <c r="D1564" s="44" t="str">
        <f t="shared" si="3"/>
        <v/>
      </c>
      <c r="E1564" s="44" t="str">
        <f t="array" ref="E1564">IF(B1564="","",_xlfn.XLOOKUP(B1564,'Form responses 1'!$B$2:$B$2604,'Form responses 1'!$C$2:$C$2604,""))</f>
        <v/>
      </c>
      <c r="F1564" s="44" t="str">
        <f t="array" ref="F1564">IF(B1564="","",_xlfn.XLOOKUP(B1564,'Form responses 1'!$B$2:$B$2604,'Form responses 1'!$D$2:$D$2604,""))</f>
        <v/>
      </c>
      <c r="G1564" s="44" t="str">
        <f t="array" ref="G1564">IF(B1564="","",_xlfn.XLOOKUP(B1564,'Form responses 1'!$B$2:$B$2604,'Form responses 1'!$E$2:$E$2604,""))</f>
        <v/>
      </c>
      <c r="H1564" s="44" t="str">
        <f t="array" ref="H1564">IF(B1564="","",_xlfn.XLOOKUP(B1564,'Form responses 1'!$B$2:$B$2604,'Form responses 1'!$F$2:$F$2604,""))</f>
        <v/>
      </c>
      <c r="I1564" s="44" t="str">
        <f t="array" ref="I1564">IF(B1564="","",_xlfn.XLOOKUP(B1564,'Form responses 1'!$B$2:$B$2604,'Form responses 1'!$I$2:$I$2604,""))</f>
        <v/>
      </c>
      <c r="J1564" s="44" t="str">
        <f t="array" ref="J1564">IF(B1564="","",_xlfn.XLOOKUP(B1564,'Form responses 1'!$B$2:$B$2604,'Form responses 1'!$G$2:$G$2604,""))</f>
        <v/>
      </c>
      <c r="K1564" s="56"/>
      <c r="L1564" s="58" t="str">
        <f t="shared" si="7"/>
        <v/>
      </c>
      <c r="M1564" s="49"/>
      <c r="N1564" s="49"/>
      <c r="O1564" s="49"/>
      <c r="P1564" s="49"/>
      <c r="Q1564" s="49"/>
      <c r="R1564" s="49"/>
      <c r="S1564" s="49"/>
      <c r="T1564" s="49"/>
      <c r="U1564" s="49"/>
      <c r="V1564" s="49"/>
      <c r="W1564" s="56"/>
      <c r="X1564" s="51" t="str">
        <f t="shared" si="5"/>
        <v/>
      </c>
      <c r="Y1564" s="50" t="s">
        <v>482</v>
      </c>
      <c r="Z1564" s="49">
        <f t="shared" si="6"/>
        <v>0</v>
      </c>
    </row>
    <row r="1565" ht="22.5" customHeight="1">
      <c r="B1565" s="57"/>
      <c r="C1565" s="43" t="str">
        <f t="array" ref="C1565">IF(B1565="","",_xlfn.XLOOKUP(B1565,'Form responses 1'!$B$2:$B$2604,'Form responses 1'!$A$2:$A$2604,""))</f>
        <v/>
      </c>
      <c r="D1565" s="44" t="str">
        <f t="shared" si="3"/>
        <v/>
      </c>
      <c r="E1565" s="44" t="str">
        <f t="array" ref="E1565">IF(B1565="","",_xlfn.XLOOKUP(B1565,'Form responses 1'!$B$2:$B$2604,'Form responses 1'!$C$2:$C$2604,""))</f>
        <v/>
      </c>
      <c r="F1565" s="44" t="str">
        <f t="array" ref="F1565">IF(B1565="","",_xlfn.XLOOKUP(B1565,'Form responses 1'!$B$2:$B$2604,'Form responses 1'!$D$2:$D$2604,""))</f>
        <v/>
      </c>
      <c r="G1565" s="44" t="str">
        <f t="array" ref="G1565">IF(B1565="","",_xlfn.XLOOKUP(B1565,'Form responses 1'!$B$2:$B$2604,'Form responses 1'!$E$2:$E$2604,""))</f>
        <v/>
      </c>
      <c r="H1565" s="44" t="str">
        <f t="array" ref="H1565">IF(B1565="","",_xlfn.XLOOKUP(B1565,'Form responses 1'!$B$2:$B$2604,'Form responses 1'!$F$2:$F$2604,""))</f>
        <v/>
      </c>
      <c r="I1565" s="44" t="str">
        <f t="array" ref="I1565">IF(B1565="","",_xlfn.XLOOKUP(B1565,'Form responses 1'!$B$2:$B$2604,'Form responses 1'!$I$2:$I$2604,""))</f>
        <v/>
      </c>
      <c r="J1565" s="44" t="str">
        <f t="array" ref="J1565">IF(B1565="","",_xlfn.XLOOKUP(B1565,'Form responses 1'!$B$2:$B$2604,'Form responses 1'!$G$2:$G$2604,""))</f>
        <v/>
      </c>
      <c r="K1565" s="56"/>
      <c r="L1565" s="58" t="str">
        <f t="shared" si="7"/>
        <v/>
      </c>
      <c r="M1565" s="49"/>
      <c r="N1565" s="49"/>
      <c r="O1565" s="49"/>
      <c r="P1565" s="49"/>
      <c r="Q1565" s="49"/>
      <c r="R1565" s="49"/>
      <c r="S1565" s="49"/>
      <c r="T1565" s="49"/>
      <c r="U1565" s="49"/>
      <c r="V1565" s="49"/>
      <c r="W1565" s="56"/>
      <c r="X1565" s="51" t="str">
        <f t="shared" si="5"/>
        <v/>
      </c>
      <c r="Y1565" s="50" t="s">
        <v>482</v>
      </c>
      <c r="Z1565" s="49">
        <f t="shared" si="6"/>
        <v>0</v>
      </c>
    </row>
    <row r="1566" ht="22.5" customHeight="1">
      <c r="B1566" s="57"/>
      <c r="C1566" s="43" t="str">
        <f t="array" ref="C1566">IF(B1566="","",_xlfn.XLOOKUP(B1566,'Form responses 1'!$B$2:$B$2604,'Form responses 1'!$A$2:$A$2604,""))</f>
        <v/>
      </c>
      <c r="D1566" s="44" t="str">
        <f t="shared" si="3"/>
        <v/>
      </c>
      <c r="E1566" s="44" t="str">
        <f t="array" ref="E1566">IF(B1566="","",_xlfn.XLOOKUP(B1566,'Form responses 1'!$B$2:$B$2604,'Form responses 1'!$C$2:$C$2604,""))</f>
        <v/>
      </c>
      <c r="F1566" s="44" t="str">
        <f t="array" ref="F1566">IF(B1566="","",_xlfn.XLOOKUP(B1566,'Form responses 1'!$B$2:$B$2604,'Form responses 1'!$D$2:$D$2604,""))</f>
        <v/>
      </c>
      <c r="G1566" s="44" t="str">
        <f t="array" ref="G1566">IF(B1566="","",_xlfn.XLOOKUP(B1566,'Form responses 1'!$B$2:$B$2604,'Form responses 1'!$E$2:$E$2604,""))</f>
        <v/>
      </c>
      <c r="H1566" s="44" t="str">
        <f t="array" ref="H1566">IF(B1566="","",_xlfn.XLOOKUP(B1566,'Form responses 1'!$B$2:$B$2604,'Form responses 1'!$F$2:$F$2604,""))</f>
        <v/>
      </c>
      <c r="I1566" s="44" t="str">
        <f t="array" ref="I1566">IF(B1566="","",_xlfn.XLOOKUP(B1566,'Form responses 1'!$B$2:$B$2604,'Form responses 1'!$I$2:$I$2604,""))</f>
        <v/>
      </c>
      <c r="J1566" s="44" t="str">
        <f t="array" ref="J1566">IF(B1566="","",_xlfn.XLOOKUP(B1566,'Form responses 1'!$B$2:$B$2604,'Form responses 1'!$G$2:$G$2604,""))</f>
        <v/>
      </c>
      <c r="K1566" s="56"/>
      <c r="L1566" s="58" t="str">
        <f t="shared" si="7"/>
        <v/>
      </c>
      <c r="M1566" s="49"/>
      <c r="N1566" s="49"/>
      <c r="O1566" s="49"/>
      <c r="P1566" s="49"/>
      <c r="Q1566" s="49"/>
      <c r="R1566" s="49"/>
      <c r="S1566" s="49"/>
      <c r="T1566" s="49"/>
      <c r="U1566" s="49"/>
      <c r="V1566" s="49"/>
      <c r="W1566" s="56"/>
      <c r="X1566" s="51" t="str">
        <f t="shared" si="5"/>
        <v/>
      </c>
      <c r="Y1566" s="50" t="s">
        <v>482</v>
      </c>
      <c r="Z1566" s="49">
        <f t="shared" si="6"/>
        <v>0</v>
      </c>
    </row>
    <row r="1567" ht="22.5" customHeight="1">
      <c r="B1567" s="57"/>
      <c r="C1567" s="43" t="str">
        <f t="array" ref="C1567">IF(B1567="","",_xlfn.XLOOKUP(B1567,'Form responses 1'!$B$2:$B$2604,'Form responses 1'!$A$2:$A$2604,""))</f>
        <v/>
      </c>
      <c r="D1567" s="44" t="str">
        <f t="shared" si="3"/>
        <v/>
      </c>
      <c r="E1567" s="44" t="str">
        <f t="array" ref="E1567">IF(B1567="","",_xlfn.XLOOKUP(B1567,'Form responses 1'!$B$2:$B$2604,'Form responses 1'!$C$2:$C$2604,""))</f>
        <v/>
      </c>
      <c r="F1567" s="44" t="str">
        <f t="array" ref="F1567">IF(B1567="","",_xlfn.XLOOKUP(B1567,'Form responses 1'!$B$2:$B$2604,'Form responses 1'!$D$2:$D$2604,""))</f>
        <v/>
      </c>
      <c r="G1567" s="44" t="str">
        <f t="array" ref="G1567">IF(B1567="","",_xlfn.XLOOKUP(B1567,'Form responses 1'!$B$2:$B$2604,'Form responses 1'!$E$2:$E$2604,""))</f>
        <v/>
      </c>
      <c r="H1567" s="44" t="str">
        <f t="array" ref="H1567">IF(B1567="","",_xlfn.XLOOKUP(B1567,'Form responses 1'!$B$2:$B$2604,'Form responses 1'!$F$2:$F$2604,""))</f>
        <v/>
      </c>
      <c r="I1567" s="44" t="str">
        <f t="array" ref="I1567">IF(B1567="","",_xlfn.XLOOKUP(B1567,'Form responses 1'!$B$2:$B$2604,'Form responses 1'!$I$2:$I$2604,""))</f>
        <v/>
      </c>
      <c r="J1567" s="44" t="str">
        <f t="array" ref="J1567">IF(B1567="","",_xlfn.XLOOKUP(B1567,'Form responses 1'!$B$2:$B$2604,'Form responses 1'!$G$2:$G$2604,""))</f>
        <v/>
      </c>
      <c r="K1567" s="56"/>
      <c r="L1567" s="58" t="str">
        <f t="shared" si="7"/>
        <v/>
      </c>
      <c r="M1567" s="49"/>
      <c r="N1567" s="49"/>
      <c r="O1567" s="49"/>
      <c r="P1567" s="49"/>
      <c r="Q1567" s="49"/>
      <c r="R1567" s="49"/>
      <c r="S1567" s="49"/>
      <c r="T1567" s="49"/>
      <c r="U1567" s="49"/>
      <c r="V1567" s="49"/>
      <c r="W1567" s="56"/>
      <c r="X1567" s="51" t="str">
        <f t="shared" si="5"/>
        <v/>
      </c>
      <c r="Y1567" s="50" t="s">
        <v>482</v>
      </c>
      <c r="Z1567" s="49">
        <f t="shared" si="6"/>
        <v>0</v>
      </c>
    </row>
    <row r="1568" ht="22.5" customHeight="1">
      <c r="B1568" s="57"/>
      <c r="C1568" s="43" t="str">
        <f t="array" ref="C1568">IF(B1568="","",_xlfn.XLOOKUP(B1568,'Form responses 1'!$B$2:$B$2604,'Form responses 1'!$A$2:$A$2604,""))</f>
        <v/>
      </c>
      <c r="D1568" s="44" t="str">
        <f t="shared" si="3"/>
        <v/>
      </c>
      <c r="E1568" s="44" t="str">
        <f t="array" ref="E1568">IF(B1568="","",_xlfn.XLOOKUP(B1568,'Form responses 1'!$B$2:$B$2604,'Form responses 1'!$C$2:$C$2604,""))</f>
        <v/>
      </c>
      <c r="F1568" s="44" t="str">
        <f t="array" ref="F1568">IF(B1568="","",_xlfn.XLOOKUP(B1568,'Form responses 1'!$B$2:$B$2604,'Form responses 1'!$D$2:$D$2604,""))</f>
        <v/>
      </c>
      <c r="G1568" s="44" t="str">
        <f t="array" ref="G1568">IF(B1568="","",_xlfn.XLOOKUP(B1568,'Form responses 1'!$B$2:$B$2604,'Form responses 1'!$E$2:$E$2604,""))</f>
        <v/>
      </c>
      <c r="H1568" s="44" t="str">
        <f t="array" ref="H1568">IF(B1568="","",_xlfn.XLOOKUP(B1568,'Form responses 1'!$B$2:$B$2604,'Form responses 1'!$F$2:$F$2604,""))</f>
        <v/>
      </c>
      <c r="I1568" s="44" t="str">
        <f t="array" ref="I1568">IF(B1568="","",_xlfn.XLOOKUP(B1568,'Form responses 1'!$B$2:$B$2604,'Form responses 1'!$I$2:$I$2604,""))</f>
        <v/>
      </c>
      <c r="J1568" s="44" t="str">
        <f t="array" ref="J1568">IF(B1568="","",_xlfn.XLOOKUP(B1568,'Form responses 1'!$B$2:$B$2604,'Form responses 1'!$G$2:$G$2604,""))</f>
        <v/>
      </c>
      <c r="K1568" s="56"/>
      <c r="L1568" s="58" t="str">
        <f t="shared" si="7"/>
        <v/>
      </c>
      <c r="M1568" s="49"/>
      <c r="N1568" s="49"/>
      <c r="O1568" s="49"/>
      <c r="P1568" s="49"/>
      <c r="Q1568" s="49"/>
      <c r="R1568" s="49"/>
      <c r="S1568" s="49"/>
      <c r="T1568" s="49"/>
      <c r="U1568" s="49"/>
      <c r="V1568" s="49"/>
      <c r="W1568" s="56"/>
      <c r="X1568" s="51" t="str">
        <f t="shared" si="5"/>
        <v/>
      </c>
      <c r="Y1568" s="50" t="s">
        <v>482</v>
      </c>
      <c r="Z1568" s="49">
        <f t="shared" si="6"/>
        <v>0</v>
      </c>
    </row>
    <row r="1569" ht="22.5" customHeight="1">
      <c r="B1569" s="57"/>
      <c r="C1569" s="43" t="str">
        <f t="array" ref="C1569">IF(B1569="","",_xlfn.XLOOKUP(B1569,'Form responses 1'!$B$2:$B$2604,'Form responses 1'!$A$2:$A$2604,""))</f>
        <v/>
      </c>
      <c r="D1569" s="44" t="str">
        <f t="shared" si="3"/>
        <v/>
      </c>
      <c r="E1569" s="44" t="str">
        <f t="array" ref="E1569">IF(B1569="","",_xlfn.XLOOKUP(B1569,'Form responses 1'!$B$2:$B$2604,'Form responses 1'!$C$2:$C$2604,""))</f>
        <v/>
      </c>
      <c r="F1569" s="44" t="str">
        <f t="array" ref="F1569">IF(B1569="","",_xlfn.XLOOKUP(B1569,'Form responses 1'!$B$2:$B$2604,'Form responses 1'!$D$2:$D$2604,""))</f>
        <v/>
      </c>
      <c r="G1569" s="44" t="str">
        <f t="array" ref="G1569">IF(B1569="","",_xlfn.XLOOKUP(B1569,'Form responses 1'!$B$2:$B$2604,'Form responses 1'!$E$2:$E$2604,""))</f>
        <v/>
      </c>
      <c r="H1569" s="44" t="str">
        <f t="array" ref="H1569">IF(B1569="","",_xlfn.XLOOKUP(B1569,'Form responses 1'!$B$2:$B$2604,'Form responses 1'!$F$2:$F$2604,""))</f>
        <v/>
      </c>
      <c r="I1569" s="44" t="str">
        <f t="array" ref="I1569">IF(B1569="","",_xlfn.XLOOKUP(B1569,'Form responses 1'!$B$2:$B$2604,'Form responses 1'!$I$2:$I$2604,""))</f>
        <v/>
      </c>
      <c r="J1569" s="44" t="str">
        <f t="array" ref="J1569">IF(B1569="","",_xlfn.XLOOKUP(B1569,'Form responses 1'!$B$2:$B$2604,'Form responses 1'!$G$2:$G$2604,""))</f>
        <v/>
      </c>
      <c r="K1569" s="56"/>
      <c r="L1569" s="58" t="str">
        <f t="shared" si="7"/>
        <v/>
      </c>
      <c r="M1569" s="49"/>
      <c r="N1569" s="49"/>
      <c r="O1569" s="49"/>
      <c r="P1569" s="49"/>
      <c r="Q1569" s="49"/>
      <c r="R1569" s="49"/>
      <c r="S1569" s="49"/>
      <c r="T1569" s="49"/>
      <c r="U1569" s="49"/>
      <c r="V1569" s="49"/>
      <c r="W1569" s="56"/>
      <c r="X1569" s="51" t="str">
        <f t="shared" si="5"/>
        <v/>
      </c>
      <c r="Y1569" s="50" t="s">
        <v>482</v>
      </c>
      <c r="Z1569" s="49">
        <f t="shared" si="6"/>
        <v>0</v>
      </c>
    </row>
    <row r="1570" ht="22.5" customHeight="1">
      <c r="B1570" s="57"/>
      <c r="C1570" s="43" t="str">
        <f t="array" ref="C1570">IF(B1570="","",_xlfn.XLOOKUP(B1570,'Form responses 1'!$B$2:$B$2604,'Form responses 1'!$A$2:$A$2604,""))</f>
        <v/>
      </c>
      <c r="D1570" s="44" t="str">
        <f t="shared" si="3"/>
        <v/>
      </c>
      <c r="E1570" s="44" t="str">
        <f t="array" ref="E1570">IF(B1570="","",_xlfn.XLOOKUP(B1570,'Form responses 1'!$B$2:$B$2604,'Form responses 1'!$C$2:$C$2604,""))</f>
        <v/>
      </c>
      <c r="F1570" s="44" t="str">
        <f t="array" ref="F1570">IF(B1570="","",_xlfn.XLOOKUP(B1570,'Form responses 1'!$B$2:$B$2604,'Form responses 1'!$D$2:$D$2604,""))</f>
        <v/>
      </c>
      <c r="G1570" s="44" t="str">
        <f t="array" ref="G1570">IF(B1570="","",_xlfn.XLOOKUP(B1570,'Form responses 1'!$B$2:$B$2604,'Form responses 1'!$E$2:$E$2604,""))</f>
        <v/>
      </c>
      <c r="H1570" s="44" t="str">
        <f t="array" ref="H1570">IF(B1570="","",_xlfn.XLOOKUP(B1570,'Form responses 1'!$B$2:$B$2604,'Form responses 1'!$F$2:$F$2604,""))</f>
        <v/>
      </c>
      <c r="I1570" s="44" t="str">
        <f t="array" ref="I1570">IF(B1570="","",_xlfn.XLOOKUP(B1570,'Form responses 1'!$B$2:$B$2604,'Form responses 1'!$I$2:$I$2604,""))</f>
        <v/>
      </c>
      <c r="J1570" s="44" t="str">
        <f t="array" ref="J1570">IF(B1570="","",_xlfn.XLOOKUP(B1570,'Form responses 1'!$B$2:$B$2604,'Form responses 1'!$G$2:$G$2604,""))</f>
        <v/>
      </c>
      <c r="K1570" s="56"/>
      <c r="L1570" s="58" t="str">
        <f t="shared" si="7"/>
        <v/>
      </c>
      <c r="M1570" s="49"/>
      <c r="N1570" s="49"/>
      <c r="O1570" s="49"/>
      <c r="P1570" s="49"/>
      <c r="Q1570" s="49"/>
      <c r="R1570" s="49"/>
      <c r="S1570" s="49"/>
      <c r="T1570" s="49"/>
      <c r="U1570" s="49"/>
      <c r="V1570" s="49"/>
      <c r="W1570" s="56"/>
      <c r="X1570" s="51" t="str">
        <f t="shared" si="5"/>
        <v/>
      </c>
      <c r="Y1570" s="50" t="s">
        <v>482</v>
      </c>
      <c r="Z1570" s="49">
        <f t="shared" si="6"/>
        <v>0</v>
      </c>
    </row>
    <row r="1571" ht="22.5" customHeight="1">
      <c r="B1571" s="57"/>
      <c r="C1571" s="43" t="str">
        <f t="array" ref="C1571">IF(B1571="","",_xlfn.XLOOKUP(B1571,'Form responses 1'!$B$2:$B$2604,'Form responses 1'!$A$2:$A$2604,""))</f>
        <v/>
      </c>
      <c r="D1571" s="44" t="str">
        <f t="shared" si="3"/>
        <v/>
      </c>
      <c r="E1571" s="44" t="str">
        <f t="array" ref="E1571">IF(B1571="","",_xlfn.XLOOKUP(B1571,'Form responses 1'!$B$2:$B$2604,'Form responses 1'!$C$2:$C$2604,""))</f>
        <v/>
      </c>
      <c r="F1571" s="44" t="str">
        <f t="array" ref="F1571">IF(B1571="","",_xlfn.XLOOKUP(B1571,'Form responses 1'!$B$2:$B$2604,'Form responses 1'!$D$2:$D$2604,""))</f>
        <v/>
      </c>
      <c r="G1571" s="44" t="str">
        <f t="array" ref="G1571">IF(B1571="","",_xlfn.XLOOKUP(B1571,'Form responses 1'!$B$2:$B$2604,'Form responses 1'!$E$2:$E$2604,""))</f>
        <v/>
      </c>
      <c r="H1571" s="44" t="str">
        <f t="array" ref="H1571">IF(B1571="","",_xlfn.XLOOKUP(B1571,'Form responses 1'!$B$2:$B$2604,'Form responses 1'!$F$2:$F$2604,""))</f>
        <v/>
      </c>
      <c r="I1571" s="44" t="str">
        <f t="array" ref="I1571">IF(B1571="","",_xlfn.XLOOKUP(B1571,'Form responses 1'!$B$2:$B$2604,'Form responses 1'!$I$2:$I$2604,""))</f>
        <v/>
      </c>
      <c r="J1571" s="44" t="str">
        <f t="array" ref="J1571">IF(B1571="","",_xlfn.XLOOKUP(B1571,'Form responses 1'!$B$2:$B$2604,'Form responses 1'!$G$2:$G$2604,""))</f>
        <v/>
      </c>
      <c r="K1571" s="56"/>
      <c r="L1571" s="58" t="str">
        <f t="shared" si="7"/>
        <v/>
      </c>
      <c r="M1571" s="49"/>
      <c r="N1571" s="49"/>
      <c r="O1571" s="49"/>
      <c r="P1571" s="49"/>
      <c r="Q1571" s="49"/>
      <c r="R1571" s="49"/>
      <c r="S1571" s="49"/>
      <c r="T1571" s="49"/>
      <c r="U1571" s="49"/>
      <c r="V1571" s="49"/>
      <c r="W1571" s="56"/>
      <c r="X1571" s="51" t="str">
        <f t="shared" si="5"/>
        <v/>
      </c>
      <c r="Y1571" s="50" t="s">
        <v>482</v>
      </c>
      <c r="Z1571" s="49">
        <f t="shared" si="6"/>
        <v>0</v>
      </c>
    </row>
    <row r="1572" ht="22.5" customHeight="1">
      <c r="B1572" s="57"/>
      <c r="C1572" s="43" t="str">
        <f t="array" ref="C1572">IF(B1572="","",_xlfn.XLOOKUP(B1572,'Form responses 1'!$B$2:$B$2604,'Form responses 1'!$A$2:$A$2604,""))</f>
        <v/>
      </c>
      <c r="D1572" s="44" t="str">
        <f t="shared" si="3"/>
        <v/>
      </c>
      <c r="E1572" s="44" t="str">
        <f t="array" ref="E1572">IF(B1572="","",_xlfn.XLOOKUP(B1572,'Form responses 1'!$B$2:$B$2604,'Form responses 1'!$C$2:$C$2604,""))</f>
        <v/>
      </c>
      <c r="F1572" s="44" t="str">
        <f t="array" ref="F1572">IF(B1572="","",_xlfn.XLOOKUP(B1572,'Form responses 1'!$B$2:$B$2604,'Form responses 1'!$D$2:$D$2604,""))</f>
        <v/>
      </c>
      <c r="G1572" s="44" t="str">
        <f t="array" ref="G1572">IF(B1572="","",_xlfn.XLOOKUP(B1572,'Form responses 1'!$B$2:$B$2604,'Form responses 1'!$E$2:$E$2604,""))</f>
        <v/>
      </c>
      <c r="H1572" s="44" t="str">
        <f t="array" ref="H1572">IF(B1572="","",_xlfn.XLOOKUP(B1572,'Form responses 1'!$B$2:$B$2604,'Form responses 1'!$F$2:$F$2604,""))</f>
        <v/>
      </c>
      <c r="I1572" s="44" t="str">
        <f t="array" ref="I1572">IF(B1572="","",_xlfn.XLOOKUP(B1572,'Form responses 1'!$B$2:$B$2604,'Form responses 1'!$I$2:$I$2604,""))</f>
        <v/>
      </c>
      <c r="J1572" s="44" t="str">
        <f t="array" ref="J1572">IF(B1572="","",_xlfn.XLOOKUP(B1572,'Form responses 1'!$B$2:$B$2604,'Form responses 1'!$G$2:$G$2604,""))</f>
        <v/>
      </c>
      <c r="K1572" s="56"/>
      <c r="L1572" s="58" t="str">
        <f t="shared" si="7"/>
        <v/>
      </c>
      <c r="M1572" s="49"/>
      <c r="N1572" s="49"/>
      <c r="O1572" s="49"/>
      <c r="P1572" s="49"/>
      <c r="Q1572" s="49"/>
      <c r="R1572" s="49"/>
      <c r="S1572" s="49"/>
      <c r="T1572" s="49"/>
      <c r="U1572" s="49"/>
      <c r="V1572" s="49"/>
      <c r="W1572" s="56"/>
      <c r="X1572" s="51" t="str">
        <f t="shared" si="5"/>
        <v/>
      </c>
      <c r="Y1572" s="50" t="s">
        <v>482</v>
      </c>
      <c r="Z1572" s="49">
        <f t="shared" si="6"/>
        <v>0</v>
      </c>
    </row>
    <row r="1573" ht="22.5" customHeight="1">
      <c r="B1573" s="57"/>
      <c r="C1573" s="43" t="str">
        <f t="array" ref="C1573">IF(B1573="","",_xlfn.XLOOKUP(B1573,'Form responses 1'!$B$2:$B$2604,'Form responses 1'!$A$2:$A$2604,""))</f>
        <v/>
      </c>
      <c r="D1573" s="44" t="str">
        <f t="shared" si="3"/>
        <v/>
      </c>
      <c r="E1573" s="44" t="str">
        <f t="array" ref="E1573">IF(B1573="","",_xlfn.XLOOKUP(B1573,'Form responses 1'!$B$2:$B$2604,'Form responses 1'!$C$2:$C$2604,""))</f>
        <v/>
      </c>
      <c r="F1573" s="44" t="str">
        <f t="array" ref="F1573">IF(B1573="","",_xlfn.XLOOKUP(B1573,'Form responses 1'!$B$2:$B$2604,'Form responses 1'!$D$2:$D$2604,""))</f>
        <v/>
      </c>
      <c r="G1573" s="44" t="str">
        <f t="array" ref="G1573">IF(B1573="","",_xlfn.XLOOKUP(B1573,'Form responses 1'!$B$2:$B$2604,'Form responses 1'!$E$2:$E$2604,""))</f>
        <v/>
      </c>
      <c r="H1573" s="44" t="str">
        <f t="array" ref="H1573">IF(B1573="","",_xlfn.XLOOKUP(B1573,'Form responses 1'!$B$2:$B$2604,'Form responses 1'!$F$2:$F$2604,""))</f>
        <v/>
      </c>
      <c r="I1573" s="44" t="str">
        <f t="array" ref="I1573">IF(B1573="","",_xlfn.XLOOKUP(B1573,'Form responses 1'!$B$2:$B$2604,'Form responses 1'!$I$2:$I$2604,""))</f>
        <v/>
      </c>
      <c r="J1573" s="44" t="str">
        <f t="array" ref="J1573">IF(B1573="","",_xlfn.XLOOKUP(B1573,'Form responses 1'!$B$2:$B$2604,'Form responses 1'!$G$2:$G$2604,""))</f>
        <v/>
      </c>
      <c r="K1573" s="56"/>
      <c r="L1573" s="58" t="str">
        <f t="shared" si="7"/>
        <v/>
      </c>
      <c r="M1573" s="49"/>
      <c r="N1573" s="49"/>
      <c r="O1573" s="49"/>
      <c r="P1573" s="49"/>
      <c r="Q1573" s="49"/>
      <c r="R1573" s="49"/>
      <c r="S1573" s="49"/>
      <c r="T1573" s="49"/>
      <c r="U1573" s="49"/>
      <c r="V1573" s="49"/>
      <c r="W1573" s="56"/>
      <c r="X1573" s="51" t="str">
        <f t="shared" si="5"/>
        <v/>
      </c>
      <c r="Y1573" s="50" t="s">
        <v>482</v>
      </c>
      <c r="Z1573" s="49">
        <f t="shared" si="6"/>
        <v>0</v>
      </c>
    </row>
    <row r="1574" ht="22.5" customHeight="1">
      <c r="B1574" s="57"/>
      <c r="C1574" s="43" t="str">
        <f t="array" ref="C1574">IF(B1574="","",_xlfn.XLOOKUP(B1574,'Form responses 1'!$B$2:$B$2604,'Form responses 1'!$A$2:$A$2604,""))</f>
        <v/>
      </c>
      <c r="D1574" s="44" t="str">
        <f t="shared" si="3"/>
        <v/>
      </c>
      <c r="E1574" s="44" t="str">
        <f t="array" ref="E1574">IF(B1574="","",_xlfn.XLOOKUP(B1574,'Form responses 1'!$B$2:$B$2604,'Form responses 1'!$C$2:$C$2604,""))</f>
        <v/>
      </c>
      <c r="F1574" s="44" t="str">
        <f t="array" ref="F1574">IF(B1574="","",_xlfn.XLOOKUP(B1574,'Form responses 1'!$B$2:$B$2604,'Form responses 1'!$D$2:$D$2604,""))</f>
        <v/>
      </c>
      <c r="G1574" s="44" t="str">
        <f t="array" ref="G1574">IF(B1574="","",_xlfn.XLOOKUP(B1574,'Form responses 1'!$B$2:$B$2604,'Form responses 1'!$E$2:$E$2604,""))</f>
        <v/>
      </c>
      <c r="H1574" s="44" t="str">
        <f t="array" ref="H1574">IF(B1574="","",_xlfn.XLOOKUP(B1574,'Form responses 1'!$B$2:$B$2604,'Form responses 1'!$F$2:$F$2604,""))</f>
        <v/>
      </c>
      <c r="I1574" s="44" t="str">
        <f t="array" ref="I1574">IF(B1574="","",_xlfn.XLOOKUP(B1574,'Form responses 1'!$B$2:$B$2604,'Form responses 1'!$I$2:$I$2604,""))</f>
        <v/>
      </c>
      <c r="J1574" s="44" t="str">
        <f t="array" ref="J1574">IF(B1574="","",_xlfn.XLOOKUP(B1574,'Form responses 1'!$B$2:$B$2604,'Form responses 1'!$G$2:$G$2604,""))</f>
        <v/>
      </c>
      <c r="K1574" s="56"/>
      <c r="L1574" s="58" t="str">
        <f t="shared" si="7"/>
        <v/>
      </c>
      <c r="M1574" s="49"/>
      <c r="N1574" s="49"/>
      <c r="O1574" s="49"/>
      <c r="P1574" s="49"/>
      <c r="Q1574" s="49"/>
      <c r="R1574" s="49"/>
      <c r="S1574" s="49"/>
      <c r="T1574" s="49"/>
      <c r="U1574" s="49"/>
      <c r="V1574" s="49"/>
      <c r="W1574" s="56"/>
      <c r="X1574" s="51" t="str">
        <f t="shared" si="5"/>
        <v/>
      </c>
      <c r="Y1574" s="50" t="s">
        <v>482</v>
      </c>
      <c r="Z1574" s="49">
        <f t="shared" si="6"/>
        <v>0</v>
      </c>
    </row>
    <row r="1575" ht="22.5" customHeight="1">
      <c r="B1575" s="57"/>
      <c r="C1575" s="43" t="str">
        <f t="array" ref="C1575">IF(B1575="","",_xlfn.XLOOKUP(B1575,'Form responses 1'!$B$2:$B$2604,'Form responses 1'!$A$2:$A$2604,""))</f>
        <v/>
      </c>
      <c r="D1575" s="44" t="str">
        <f t="shared" si="3"/>
        <v/>
      </c>
      <c r="E1575" s="44" t="str">
        <f t="array" ref="E1575">IF(B1575="","",_xlfn.XLOOKUP(B1575,'Form responses 1'!$B$2:$B$2604,'Form responses 1'!$C$2:$C$2604,""))</f>
        <v/>
      </c>
      <c r="F1575" s="44" t="str">
        <f t="array" ref="F1575">IF(B1575="","",_xlfn.XLOOKUP(B1575,'Form responses 1'!$B$2:$B$2604,'Form responses 1'!$D$2:$D$2604,""))</f>
        <v/>
      </c>
      <c r="G1575" s="44" t="str">
        <f t="array" ref="G1575">IF(B1575="","",_xlfn.XLOOKUP(B1575,'Form responses 1'!$B$2:$B$2604,'Form responses 1'!$E$2:$E$2604,""))</f>
        <v/>
      </c>
      <c r="H1575" s="44" t="str">
        <f t="array" ref="H1575">IF(B1575="","",_xlfn.XLOOKUP(B1575,'Form responses 1'!$B$2:$B$2604,'Form responses 1'!$F$2:$F$2604,""))</f>
        <v/>
      </c>
      <c r="I1575" s="44" t="str">
        <f t="array" ref="I1575">IF(B1575="","",_xlfn.XLOOKUP(B1575,'Form responses 1'!$B$2:$B$2604,'Form responses 1'!$I$2:$I$2604,""))</f>
        <v/>
      </c>
      <c r="J1575" s="44" t="str">
        <f t="array" ref="J1575">IF(B1575="","",_xlfn.XLOOKUP(B1575,'Form responses 1'!$B$2:$B$2604,'Form responses 1'!$G$2:$G$2604,""))</f>
        <v/>
      </c>
      <c r="K1575" s="56"/>
      <c r="L1575" s="58" t="str">
        <f t="shared" si="7"/>
        <v/>
      </c>
      <c r="M1575" s="49"/>
      <c r="N1575" s="49"/>
      <c r="O1575" s="49"/>
      <c r="P1575" s="49"/>
      <c r="Q1575" s="49"/>
      <c r="R1575" s="49"/>
      <c r="S1575" s="49"/>
      <c r="T1575" s="49"/>
      <c r="U1575" s="49"/>
      <c r="V1575" s="49"/>
      <c r="W1575" s="56"/>
      <c r="X1575" s="51" t="str">
        <f t="shared" si="5"/>
        <v/>
      </c>
      <c r="Y1575" s="50" t="s">
        <v>482</v>
      </c>
      <c r="Z1575" s="49">
        <f t="shared" si="6"/>
        <v>0</v>
      </c>
    </row>
    <row r="1576" ht="22.5" customHeight="1">
      <c r="B1576" s="57"/>
      <c r="C1576" s="43" t="str">
        <f t="array" ref="C1576">IF(B1576="","",_xlfn.XLOOKUP(B1576,'Form responses 1'!$B$2:$B$2604,'Form responses 1'!$A$2:$A$2604,""))</f>
        <v/>
      </c>
      <c r="D1576" s="44" t="str">
        <f t="shared" si="3"/>
        <v/>
      </c>
      <c r="E1576" s="44" t="str">
        <f t="array" ref="E1576">IF(B1576="","",_xlfn.XLOOKUP(B1576,'Form responses 1'!$B$2:$B$2604,'Form responses 1'!$C$2:$C$2604,""))</f>
        <v/>
      </c>
      <c r="F1576" s="44" t="str">
        <f t="array" ref="F1576">IF(B1576="","",_xlfn.XLOOKUP(B1576,'Form responses 1'!$B$2:$B$2604,'Form responses 1'!$D$2:$D$2604,""))</f>
        <v/>
      </c>
      <c r="G1576" s="44" t="str">
        <f t="array" ref="G1576">IF(B1576="","",_xlfn.XLOOKUP(B1576,'Form responses 1'!$B$2:$B$2604,'Form responses 1'!$E$2:$E$2604,""))</f>
        <v/>
      </c>
      <c r="H1576" s="44" t="str">
        <f t="array" ref="H1576">IF(B1576="","",_xlfn.XLOOKUP(B1576,'Form responses 1'!$B$2:$B$2604,'Form responses 1'!$F$2:$F$2604,""))</f>
        <v/>
      </c>
      <c r="I1576" s="44" t="str">
        <f t="array" ref="I1576">IF(B1576="","",_xlfn.XLOOKUP(B1576,'Form responses 1'!$B$2:$B$2604,'Form responses 1'!$I$2:$I$2604,""))</f>
        <v/>
      </c>
      <c r="J1576" s="44" t="str">
        <f t="array" ref="J1576">IF(B1576="","",_xlfn.XLOOKUP(B1576,'Form responses 1'!$B$2:$B$2604,'Form responses 1'!$G$2:$G$2604,""))</f>
        <v/>
      </c>
      <c r="K1576" s="56"/>
      <c r="L1576" s="58" t="str">
        <f t="shared" si="7"/>
        <v/>
      </c>
      <c r="M1576" s="49"/>
      <c r="N1576" s="49"/>
      <c r="O1576" s="49"/>
      <c r="P1576" s="49"/>
      <c r="Q1576" s="49"/>
      <c r="R1576" s="49"/>
      <c r="S1576" s="49"/>
      <c r="T1576" s="49"/>
      <c r="U1576" s="49"/>
      <c r="V1576" s="49"/>
      <c r="W1576" s="56"/>
      <c r="X1576" s="51" t="str">
        <f t="shared" si="5"/>
        <v/>
      </c>
      <c r="Y1576" s="50" t="s">
        <v>482</v>
      </c>
      <c r="Z1576" s="49">
        <f t="shared" si="6"/>
        <v>0</v>
      </c>
    </row>
    <row r="1577" ht="22.5" customHeight="1">
      <c r="B1577" s="57"/>
      <c r="C1577" s="43" t="str">
        <f t="array" ref="C1577">IF(B1577="","",_xlfn.XLOOKUP(B1577,'Form responses 1'!$B$2:$B$2604,'Form responses 1'!$A$2:$A$2604,""))</f>
        <v/>
      </c>
      <c r="D1577" s="44" t="str">
        <f t="shared" si="3"/>
        <v/>
      </c>
      <c r="E1577" s="44" t="str">
        <f t="array" ref="E1577">IF(B1577="","",_xlfn.XLOOKUP(B1577,'Form responses 1'!$B$2:$B$2604,'Form responses 1'!$C$2:$C$2604,""))</f>
        <v/>
      </c>
      <c r="F1577" s="44" t="str">
        <f t="array" ref="F1577">IF(B1577="","",_xlfn.XLOOKUP(B1577,'Form responses 1'!$B$2:$B$2604,'Form responses 1'!$D$2:$D$2604,""))</f>
        <v/>
      </c>
      <c r="G1577" s="44" t="str">
        <f t="array" ref="G1577">IF(B1577="","",_xlfn.XLOOKUP(B1577,'Form responses 1'!$B$2:$B$2604,'Form responses 1'!$E$2:$E$2604,""))</f>
        <v/>
      </c>
      <c r="H1577" s="44" t="str">
        <f t="array" ref="H1577">IF(B1577="","",_xlfn.XLOOKUP(B1577,'Form responses 1'!$B$2:$B$2604,'Form responses 1'!$F$2:$F$2604,""))</f>
        <v/>
      </c>
      <c r="I1577" s="44" t="str">
        <f t="array" ref="I1577">IF(B1577="","",_xlfn.XLOOKUP(B1577,'Form responses 1'!$B$2:$B$2604,'Form responses 1'!$I$2:$I$2604,""))</f>
        <v/>
      </c>
      <c r="J1577" s="44" t="str">
        <f t="array" ref="J1577">IF(B1577="","",_xlfn.XLOOKUP(B1577,'Form responses 1'!$B$2:$B$2604,'Form responses 1'!$G$2:$G$2604,""))</f>
        <v/>
      </c>
      <c r="K1577" s="56"/>
      <c r="L1577" s="58" t="str">
        <f t="shared" si="7"/>
        <v/>
      </c>
      <c r="M1577" s="49"/>
      <c r="N1577" s="49"/>
      <c r="O1577" s="49"/>
      <c r="P1577" s="49"/>
      <c r="Q1577" s="49"/>
      <c r="R1577" s="49"/>
      <c r="S1577" s="49"/>
      <c r="T1577" s="49"/>
      <c r="U1577" s="49"/>
      <c r="V1577" s="49"/>
      <c r="W1577" s="56"/>
      <c r="X1577" s="51" t="str">
        <f t="shared" si="5"/>
        <v/>
      </c>
      <c r="Y1577" s="50" t="s">
        <v>482</v>
      </c>
      <c r="Z1577" s="49">
        <f t="shared" si="6"/>
        <v>0</v>
      </c>
    </row>
    <row r="1578" ht="22.5" customHeight="1">
      <c r="B1578" s="57"/>
      <c r="C1578" s="43" t="str">
        <f t="array" ref="C1578">IF(B1578="","",_xlfn.XLOOKUP(B1578,'Form responses 1'!$B$2:$B$2604,'Form responses 1'!$A$2:$A$2604,""))</f>
        <v/>
      </c>
      <c r="D1578" s="44" t="str">
        <f t="shared" si="3"/>
        <v/>
      </c>
      <c r="E1578" s="44" t="str">
        <f t="array" ref="E1578">IF(B1578="","",_xlfn.XLOOKUP(B1578,'Form responses 1'!$B$2:$B$2604,'Form responses 1'!$C$2:$C$2604,""))</f>
        <v/>
      </c>
      <c r="F1578" s="44" t="str">
        <f t="array" ref="F1578">IF(B1578="","",_xlfn.XLOOKUP(B1578,'Form responses 1'!$B$2:$B$2604,'Form responses 1'!$D$2:$D$2604,""))</f>
        <v/>
      </c>
      <c r="G1578" s="44" t="str">
        <f t="array" ref="G1578">IF(B1578="","",_xlfn.XLOOKUP(B1578,'Form responses 1'!$B$2:$B$2604,'Form responses 1'!$E$2:$E$2604,""))</f>
        <v/>
      </c>
      <c r="H1578" s="44" t="str">
        <f t="array" ref="H1578">IF(B1578="","",_xlfn.XLOOKUP(B1578,'Form responses 1'!$B$2:$B$2604,'Form responses 1'!$F$2:$F$2604,""))</f>
        <v/>
      </c>
      <c r="I1578" s="44" t="str">
        <f t="array" ref="I1578">IF(B1578="","",_xlfn.XLOOKUP(B1578,'Form responses 1'!$B$2:$B$2604,'Form responses 1'!$I$2:$I$2604,""))</f>
        <v/>
      </c>
      <c r="J1578" s="44" t="str">
        <f t="array" ref="J1578">IF(B1578="","",_xlfn.XLOOKUP(B1578,'Form responses 1'!$B$2:$B$2604,'Form responses 1'!$G$2:$G$2604,""))</f>
        <v/>
      </c>
      <c r="K1578" s="56"/>
      <c r="L1578" s="58" t="str">
        <f t="shared" si="7"/>
        <v/>
      </c>
      <c r="M1578" s="49"/>
      <c r="N1578" s="49"/>
      <c r="O1578" s="49"/>
      <c r="P1578" s="49"/>
      <c r="Q1578" s="49"/>
      <c r="R1578" s="49"/>
      <c r="S1578" s="49"/>
      <c r="T1578" s="49"/>
      <c r="U1578" s="49"/>
      <c r="V1578" s="49"/>
      <c r="W1578" s="56"/>
      <c r="X1578" s="51" t="str">
        <f t="shared" si="5"/>
        <v/>
      </c>
      <c r="Y1578" s="50" t="s">
        <v>482</v>
      </c>
      <c r="Z1578" s="49">
        <f t="shared" si="6"/>
        <v>0</v>
      </c>
    </row>
    <row r="1579" ht="22.5" customHeight="1">
      <c r="B1579" s="57"/>
      <c r="C1579" s="43" t="str">
        <f t="array" ref="C1579">IF(B1579="","",_xlfn.XLOOKUP(B1579,'Form responses 1'!$B$2:$B$2604,'Form responses 1'!$A$2:$A$2604,""))</f>
        <v/>
      </c>
      <c r="D1579" s="44" t="str">
        <f t="shared" si="3"/>
        <v/>
      </c>
      <c r="E1579" s="44" t="str">
        <f t="array" ref="E1579">IF(B1579="","",_xlfn.XLOOKUP(B1579,'Form responses 1'!$B$2:$B$2604,'Form responses 1'!$C$2:$C$2604,""))</f>
        <v/>
      </c>
      <c r="F1579" s="44" t="str">
        <f t="array" ref="F1579">IF(B1579="","",_xlfn.XLOOKUP(B1579,'Form responses 1'!$B$2:$B$2604,'Form responses 1'!$D$2:$D$2604,""))</f>
        <v/>
      </c>
      <c r="G1579" s="44" t="str">
        <f t="array" ref="G1579">IF(B1579="","",_xlfn.XLOOKUP(B1579,'Form responses 1'!$B$2:$B$2604,'Form responses 1'!$E$2:$E$2604,""))</f>
        <v/>
      </c>
      <c r="H1579" s="44" t="str">
        <f t="array" ref="H1579">IF(B1579="","",_xlfn.XLOOKUP(B1579,'Form responses 1'!$B$2:$B$2604,'Form responses 1'!$F$2:$F$2604,""))</f>
        <v/>
      </c>
      <c r="I1579" s="44" t="str">
        <f t="array" ref="I1579">IF(B1579="","",_xlfn.XLOOKUP(B1579,'Form responses 1'!$B$2:$B$2604,'Form responses 1'!$I$2:$I$2604,""))</f>
        <v/>
      </c>
      <c r="J1579" s="44" t="str">
        <f t="array" ref="J1579">IF(B1579="","",_xlfn.XLOOKUP(B1579,'Form responses 1'!$B$2:$B$2604,'Form responses 1'!$G$2:$G$2604,""))</f>
        <v/>
      </c>
      <c r="K1579" s="56"/>
      <c r="L1579" s="58" t="str">
        <f t="shared" si="7"/>
        <v/>
      </c>
      <c r="M1579" s="49"/>
      <c r="N1579" s="49"/>
      <c r="O1579" s="49"/>
      <c r="P1579" s="49"/>
      <c r="Q1579" s="49"/>
      <c r="R1579" s="49"/>
      <c r="S1579" s="49"/>
      <c r="T1579" s="49"/>
      <c r="U1579" s="49"/>
      <c r="V1579" s="49"/>
      <c r="W1579" s="56"/>
      <c r="X1579" s="51" t="str">
        <f t="shared" si="5"/>
        <v/>
      </c>
      <c r="Y1579" s="50" t="s">
        <v>482</v>
      </c>
      <c r="Z1579" s="49">
        <f t="shared" si="6"/>
        <v>0</v>
      </c>
    </row>
    <row r="1580" ht="22.5" customHeight="1">
      <c r="B1580" s="57"/>
      <c r="C1580" s="43" t="str">
        <f t="array" ref="C1580">IF(B1580="","",_xlfn.XLOOKUP(B1580,'Form responses 1'!$B$2:$B$2604,'Form responses 1'!$A$2:$A$2604,""))</f>
        <v/>
      </c>
      <c r="D1580" s="44" t="str">
        <f t="shared" si="3"/>
        <v/>
      </c>
      <c r="E1580" s="44" t="str">
        <f t="array" ref="E1580">IF(B1580="","",_xlfn.XLOOKUP(B1580,'Form responses 1'!$B$2:$B$2604,'Form responses 1'!$C$2:$C$2604,""))</f>
        <v/>
      </c>
      <c r="F1580" s="44" t="str">
        <f t="array" ref="F1580">IF(B1580="","",_xlfn.XLOOKUP(B1580,'Form responses 1'!$B$2:$B$2604,'Form responses 1'!$D$2:$D$2604,""))</f>
        <v/>
      </c>
      <c r="G1580" s="44" t="str">
        <f t="array" ref="G1580">IF(B1580="","",_xlfn.XLOOKUP(B1580,'Form responses 1'!$B$2:$B$2604,'Form responses 1'!$E$2:$E$2604,""))</f>
        <v/>
      </c>
      <c r="H1580" s="44" t="str">
        <f t="array" ref="H1580">IF(B1580="","",_xlfn.XLOOKUP(B1580,'Form responses 1'!$B$2:$B$2604,'Form responses 1'!$F$2:$F$2604,""))</f>
        <v/>
      </c>
      <c r="I1580" s="44" t="str">
        <f t="array" ref="I1580">IF(B1580="","",_xlfn.XLOOKUP(B1580,'Form responses 1'!$B$2:$B$2604,'Form responses 1'!$I$2:$I$2604,""))</f>
        <v/>
      </c>
      <c r="J1580" s="44" t="str">
        <f t="array" ref="J1580">IF(B1580="","",_xlfn.XLOOKUP(B1580,'Form responses 1'!$B$2:$B$2604,'Form responses 1'!$G$2:$G$2604,""))</f>
        <v/>
      </c>
      <c r="K1580" s="56"/>
      <c r="L1580" s="58" t="str">
        <f t="shared" si="7"/>
        <v/>
      </c>
      <c r="M1580" s="49"/>
      <c r="N1580" s="49"/>
      <c r="O1580" s="49"/>
      <c r="P1580" s="49"/>
      <c r="Q1580" s="49"/>
      <c r="R1580" s="49"/>
      <c r="S1580" s="49"/>
      <c r="T1580" s="49"/>
      <c r="U1580" s="49"/>
      <c r="V1580" s="49"/>
      <c r="W1580" s="56"/>
      <c r="X1580" s="51" t="str">
        <f t="shared" si="5"/>
        <v/>
      </c>
      <c r="Y1580" s="50" t="s">
        <v>482</v>
      </c>
      <c r="Z1580" s="49">
        <f t="shared" si="6"/>
        <v>0</v>
      </c>
    </row>
    <row r="1581" ht="22.5" customHeight="1">
      <c r="B1581" s="57"/>
      <c r="C1581" s="43" t="str">
        <f t="array" ref="C1581">IF(B1581="","",_xlfn.XLOOKUP(B1581,'Form responses 1'!$B$2:$B$2604,'Form responses 1'!$A$2:$A$2604,""))</f>
        <v/>
      </c>
      <c r="D1581" s="44" t="str">
        <f t="shared" si="3"/>
        <v/>
      </c>
      <c r="E1581" s="44" t="str">
        <f t="array" ref="E1581">IF(B1581="","",_xlfn.XLOOKUP(B1581,'Form responses 1'!$B$2:$B$2604,'Form responses 1'!$C$2:$C$2604,""))</f>
        <v/>
      </c>
      <c r="F1581" s="44" t="str">
        <f t="array" ref="F1581">IF(B1581="","",_xlfn.XLOOKUP(B1581,'Form responses 1'!$B$2:$B$2604,'Form responses 1'!$D$2:$D$2604,""))</f>
        <v/>
      </c>
      <c r="G1581" s="44" t="str">
        <f t="array" ref="G1581">IF(B1581="","",_xlfn.XLOOKUP(B1581,'Form responses 1'!$B$2:$B$2604,'Form responses 1'!$E$2:$E$2604,""))</f>
        <v/>
      </c>
      <c r="H1581" s="44" t="str">
        <f t="array" ref="H1581">IF(B1581="","",_xlfn.XLOOKUP(B1581,'Form responses 1'!$B$2:$B$2604,'Form responses 1'!$F$2:$F$2604,""))</f>
        <v/>
      </c>
      <c r="I1581" s="44" t="str">
        <f t="array" ref="I1581">IF(B1581="","",_xlfn.XLOOKUP(B1581,'Form responses 1'!$B$2:$B$2604,'Form responses 1'!$I$2:$I$2604,""))</f>
        <v/>
      </c>
      <c r="J1581" s="44" t="str">
        <f t="array" ref="J1581">IF(B1581="","",_xlfn.XLOOKUP(B1581,'Form responses 1'!$B$2:$B$2604,'Form responses 1'!$G$2:$G$2604,""))</f>
        <v/>
      </c>
      <c r="K1581" s="56"/>
      <c r="L1581" s="58" t="str">
        <f t="shared" si="7"/>
        <v/>
      </c>
      <c r="M1581" s="49"/>
      <c r="N1581" s="49"/>
      <c r="O1581" s="49"/>
      <c r="P1581" s="49"/>
      <c r="Q1581" s="49"/>
      <c r="R1581" s="49"/>
      <c r="S1581" s="49"/>
      <c r="T1581" s="49"/>
      <c r="U1581" s="49"/>
      <c r="V1581" s="49"/>
      <c r="W1581" s="56"/>
      <c r="X1581" s="51" t="str">
        <f t="shared" si="5"/>
        <v/>
      </c>
      <c r="Y1581" s="50" t="s">
        <v>482</v>
      </c>
      <c r="Z1581" s="49">
        <f t="shared" si="6"/>
        <v>0</v>
      </c>
    </row>
    <row r="1582" ht="22.5" customHeight="1">
      <c r="B1582" s="57"/>
      <c r="C1582" s="43" t="str">
        <f t="array" ref="C1582">IF(B1582="","",_xlfn.XLOOKUP(B1582,'Form responses 1'!$B$2:$B$2604,'Form responses 1'!$A$2:$A$2604,""))</f>
        <v/>
      </c>
      <c r="D1582" s="44" t="str">
        <f t="shared" si="3"/>
        <v/>
      </c>
      <c r="E1582" s="44" t="str">
        <f t="array" ref="E1582">IF(B1582="","",_xlfn.XLOOKUP(B1582,'Form responses 1'!$B$2:$B$2604,'Form responses 1'!$C$2:$C$2604,""))</f>
        <v/>
      </c>
      <c r="F1582" s="44" t="str">
        <f t="array" ref="F1582">IF(B1582="","",_xlfn.XLOOKUP(B1582,'Form responses 1'!$B$2:$B$2604,'Form responses 1'!$D$2:$D$2604,""))</f>
        <v/>
      </c>
      <c r="G1582" s="44" t="str">
        <f t="array" ref="G1582">IF(B1582="","",_xlfn.XLOOKUP(B1582,'Form responses 1'!$B$2:$B$2604,'Form responses 1'!$E$2:$E$2604,""))</f>
        <v/>
      </c>
      <c r="H1582" s="44" t="str">
        <f t="array" ref="H1582">IF(B1582="","",_xlfn.XLOOKUP(B1582,'Form responses 1'!$B$2:$B$2604,'Form responses 1'!$F$2:$F$2604,""))</f>
        <v/>
      </c>
      <c r="I1582" s="44" t="str">
        <f t="array" ref="I1582">IF(B1582="","",_xlfn.XLOOKUP(B1582,'Form responses 1'!$B$2:$B$2604,'Form responses 1'!$I$2:$I$2604,""))</f>
        <v/>
      </c>
      <c r="J1582" s="44" t="str">
        <f t="array" ref="J1582">IF(B1582="","",_xlfn.XLOOKUP(B1582,'Form responses 1'!$B$2:$B$2604,'Form responses 1'!$G$2:$G$2604,""))</f>
        <v/>
      </c>
      <c r="K1582" s="56"/>
      <c r="L1582" s="58" t="str">
        <f t="shared" si="7"/>
        <v/>
      </c>
      <c r="M1582" s="49"/>
      <c r="N1582" s="49"/>
      <c r="O1582" s="49"/>
      <c r="P1582" s="49"/>
      <c r="Q1582" s="49"/>
      <c r="R1582" s="49"/>
      <c r="S1582" s="49"/>
      <c r="T1582" s="49"/>
      <c r="U1582" s="49"/>
      <c r="V1582" s="49"/>
      <c r="W1582" s="56"/>
      <c r="X1582" s="51" t="str">
        <f t="shared" si="5"/>
        <v/>
      </c>
      <c r="Y1582" s="50" t="s">
        <v>482</v>
      </c>
      <c r="Z1582" s="49">
        <f t="shared" si="6"/>
        <v>0</v>
      </c>
    </row>
    <row r="1583" ht="22.5" customHeight="1">
      <c r="B1583" s="57"/>
      <c r="C1583" s="43" t="str">
        <f t="array" ref="C1583">IF(B1583="","",_xlfn.XLOOKUP(B1583,'Form responses 1'!$B$2:$B$2604,'Form responses 1'!$A$2:$A$2604,""))</f>
        <v/>
      </c>
      <c r="D1583" s="44" t="str">
        <f t="shared" si="3"/>
        <v/>
      </c>
      <c r="E1583" s="44" t="str">
        <f t="array" ref="E1583">IF(B1583="","",_xlfn.XLOOKUP(B1583,'Form responses 1'!$B$2:$B$2604,'Form responses 1'!$C$2:$C$2604,""))</f>
        <v/>
      </c>
      <c r="F1583" s="44" t="str">
        <f t="array" ref="F1583">IF(B1583="","",_xlfn.XLOOKUP(B1583,'Form responses 1'!$B$2:$B$2604,'Form responses 1'!$D$2:$D$2604,""))</f>
        <v/>
      </c>
      <c r="G1583" s="44" t="str">
        <f t="array" ref="G1583">IF(B1583="","",_xlfn.XLOOKUP(B1583,'Form responses 1'!$B$2:$B$2604,'Form responses 1'!$E$2:$E$2604,""))</f>
        <v/>
      </c>
      <c r="H1583" s="44" t="str">
        <f t="array" ref="H1583">IF(B1583="","",_xlfn.XLOOKUP(B1583,'Form responses 1'!$B$2:$B$2604,'Form responses 1'!$F$2:$F$2604,""))</f>
        <v/>
      </c>
      <c r="I1583" s="44" t="str">
        <f t="array" ref="I1583">IF(B1583="","",_xlfn.XLOOKUP(B1583,'Form responses 1'!$B$2:$B$2604,'Form responses 1'!$I$2:$I$2604,""))</f>
        <v/>
      </c>
      <c r="J1583" s="44" t="str">
        <f t="array" ref="J1583">IF(B1583="","",_xlfn.XLOOKUP(B1583,'Form responses 1'!$B$2:$B$2604,'Form responses 1'!$G$2:$G$2604,""))</f>
        <v/>
      </c>
      <c r="K1583" s="56"/>
      <c r="L1583" s="58" t="str">
        <f t="shared" si="7"/>
        <v/>
      </c>
      <c r="M1583" s="49"/>
      <c r="N1583" s="49"/>
      <c r="O1583" s="49"/>
      <c r="P1583" s="49"/>
      <c r="Q1583" s="49"/>
      <c r="R1583" s="49"/>
      <c r="S1583" s="49"/>
      <c r="T1583" s="49"/>
      <c r="U1583" s="49"/>
      <c r="V1583" s="49"/>
      <c r="W1583" s="56"/>
      <c r="X1583" s="51" t="str">
        <f t="shared" si="5"/>
        <v/>
      </c>
      <c r="Y1583" s="50" t="s">
        <v>482</v>
      </c>
      <c r="Z1583" s="49">
        <f t="shared" si="6"/>
        <v>0</v>
      </c>
    </row>
    <row r="1584" ht="22.5" customHeight="1">
      <c r="B1584" s="57"/>
      <c r="C1584" s="43" t="str">
        <f t="array" ref="C1584">IF(B1584="","",_xlfn.XLOOKUP(B1584,'Form responses 1'!$B$2:$B$2604,'Form responses 1'!$A$2:$A$2604,""))</f>
        <v/>
      </c>
      <c r="D1584" s="44" t="str">
        <f t="shared" si="3"/>
        <v/>
      </c>
      <c r="E1584" s="44" t="str">
        <f t="array" ref="E1584">IF(B1584="","",_xlfn.XLOOKUP(B1584,'Form responses 1'!$B$2:$B$2604,'Form responses 1'!$C$2:$C$2604,""))</f>
        <v/>
      </c>
      <c r="F1584" s="44" t="str">
        <f t="array" ref="F1584">IF(B1584="","",_xlfn.XLOOKUP(B1584,'Form responses 1'!$B$2:$B$2604,'Form responses 1'!$D$2:$D$2604,""))</f>
        <v/>
      </c>
      <c r="G1584" s="44" t="str">
        <f t="array" ref="G1584">IF(B1584="","",_xlfn.XLOOKUP(B1584,'Form responses 1'!$B$2:$B$2604,'Form responses 1'!$E$2:$E$2604,""))</f>
        <v/>
      </c>
      <c r="H1584" s="44" t="str">
        <f t="array" ref="H1584">IF(B1584="","",_xlfn.XLOOKUP(B1584,'Form responses 1'!$B$2:$B$2604,'Form responses 1'!$F$2:$F$2604,""))</f>
        <v/>
      </c>
      <c r="I1584" s="44" t="str">
        <f t="array" ref="I1584">IF(B1584="","",_xlfn.XLOOKUP(B1584,'Form responses 1'!$B$2:$B$2604,'Form responses 1'!$I$2:$I$2604,""))</f>
        <v/>
      </c>
      <c r="J1584" s="44" t="str">
        <f t="array" ref="J1584">IF(B1584="","",_xlfn.XLOOKUP(B1584,'Form responses 1'!$B$2:$B$2604,'Form responses 1'!$G$2:$G$2604,""))</f>
        <v/>
      </c>
      <c r="K1584" s="56"/>
      <c r="L1584" s="58" t="str">
        <f t="shared" si="7"/>
        <v/>
      </c>
      <c r="M1584" s="49"/>
      <c r="N1584" s="49"/>
      <c r="O1584" s="49"/>
      <c r="P1584" s="49"/>
      <c r="Q1584" s="49"/>
      <c r="R1584" s="49"/>
      <c r="S1584" s="49"/>
      <c r="T1584" s="49"/>
      <c r="U1584" s="49"/>
      <c r="V1584" s="49"/>
      <c r="W1584" s="56"/>
      <c r="X1584" s="51" t="str">
        <f t="shared" si="5"/>
        <v/>
      </c>
      <c r="Y1584" s="50" t="s">
        <v>482</v>
      </c>
      <c r="Z1584" s="49">
        <f t="shared" si="6"/>
        <v>0</v>
      </c>
    </row>
    <row r="1585" ht="22.5" customHeight="1">
      <c r="B1585" s="57"/>
      <c r="C1585" s="43" t="str">
        <f t="array" ref="C1585">IF(B1585="","",_xlfn.XLOOKUP(B1585,'Form responses 1'!$B$2:$B$2604,'Form responses 1'!$A$2:$A$2604,""))</f>
        <v/>
      </c>
      <c r="D1585" s="44" t="str">
        <f t="shared" si="3"/>
        <v/>
      </c>
      <c r="E1585" s="44" t="str">
        <f t="array" ref="E1585">IF(B1585="","",_xlfn.XLOOKUP(B1585,'Form responses 1'!$B$2:$B$2604,'Form responses 1'!$C$2:$C$2604,""))</f>
        <v/>
      </c>
      <c r="F1585" s="44" t="str">
        <f t="array" ref="F1585">IF(B1585="","",_xlfn.XLOOKUP(B1585,'Form responses 1'!$B$2:$B$2604,'Form responses 1'!$D$2:$D$2604,""))</f>
        <v/>
      </c>
      <c r="G1585" s="44" t="str">
        <f t="array" ref="G1585">IF(B1585="","",_xlfn.XLOOKUP(B1585,'Form responses 1'!$B$2:$B$2604,'Form responses 1'!$E$2:$E$2604,""))</f>
        <v/>
      </c>
      <c r="H1585" s="44" t="str">
        <f t="array" ref="H1585">IF(B1585="","",_xlfn.XLOOKUP(B1585,'Form responses 1'!$B$2:$B$2604,'Form responses 1'!$F$2:$F$2604,""))</f>
        <v/>
      </c>
      <c r="I1585" s="44" t="str">
        <f t="array" ref="I1585">IF(B1585="","",_xlfn.XLOOKUP(B1585,'Form responses 1'!$B$2:$B$2604,'Form responses 1'!$I$2:$I$2604,""))</f>
        <v/>
      </c>
      <c r="J1585" s="44" t="str">
        <f t="array" ref="J1585">IF(B1585="","",_xlfn.XLOOKUP(B1585,'Form responses 1'!$B$2:$B$2604,'Form responses 1'!$G$2:$G$2604,""))</f>
        <v/>
      </c>
      <c r="K1585" s="56"/>
      <c r="L1585" s="58" t="str">
        <f t="shared" si="7"/>
        <v/>
      </c>
      <c r="M1585" s="49"/>
      <c r="N1585" s="49"/>
      <c r="O1585" s="49"/>
      <c r="P1585" s="49"/>
      <c r="Q1585" s="49"/>
      <c r="R1585" s="49"/>
      <c r="S1585" s="49"/>
      <c r="T1585" s="49"/>
      <c r="U1585" s="49"/>
      <c r="V1585" s="49"/>
      <c r="W1585" s="56"/>
      <c r="X1585" s="51" t="str">
        <f t="shared" si="5"/>
        <v/>
      </c>
      <c r="Y1585" s="50" t="s">
        <v>482</v>
      </c>
      <c r="Z1585" s="49">
        <f t="shared" si="6"/>
        <v>0</v>
      </c>
    </row>
    <row r="1586" ht="22.5" customHeight="1">
      <c r="B1586" s="57"/>
      <c r="C1586" s="43" t="str">
        <f t="array" ref="C1586">IF(B1586="","",_xlfn.XLOOKUP(B1586,'Form responses 1'!$B$2:$B$2604,'Form responses 1'!$A$2:$A$2604,""))</f>
        <v/>
      </c>
      <c r="D1586" s="44" t="str">
        <f t="shared" si="3"/>
        <v/>
      </c>
      <c r="E1586" s="44" t="str">
        <f t="array" ref="E1586">IF(B1586="","",_xlfn.XLOOKUP(B1586,'Form responses 1'!$B$2:$B$2604,'Form responses 1'!$C$2:$C$2604,""))</f>
        <v/>
      </c>
      <c r="F1586" s="44" t="str">
        <f t="array" ref="F1586">IF(B1586="","",_xlfn.XLOOKUP(B1586,'Form responses 1'!$B$2:$B$2604,'Form responses 1'!$D$2:$D$2604,""))</f>
        <v/>
      </c>
      <c r="G1586" s="44" t="str">
        <f t="array" ref="G1586">IF(B1586="","",_xlfn.XLOOKUP(B1586,'Form responses 1'!$B$2:$B$2604,'Form responses 1'!$E$2:$E$2604,""))</f>
        <v/>
      </c>
      <c r="H1586" s="44" t="str">
        <f t="array" ref="H1586">IF(B1586="","",_xlfn.XLOOKUP(B1586,'Form responses 1'!$B$2:$B$2604,'Form responses 1'!$F$2:$F$2604,""))</f>
        <v/>
      </c>
      <c r="I1586" s="44" t="str">
        <f t="array" ref="I1586">IF(B1586="","",_xlfn.XLOOKUP(B1586,'Form responses 1'!$B$2:$B$2604,'Form responses 1'!$I$2:$I$2604,""))</f>
        <v/>
      </c>
      <c r="J1586" s="44" t="str">
        <f t="array" ref="J1586">IF(B1586="","",_xlfn.XLOOKUP(B1586,'Form responses 1'!$B$2:$B$2604,'Form responses 1'!$G$2:$G$2604,""))</f>
        <v/>
      </c>
      <c r="K1586" s="56"/>
      <c r="L1586" s="58" t="str">
        <f t="shared" si="7"/>
        <v/>
      </c>
      <c r="M1586" s="49"/>
      <c r="N1586" s="49"/>
      <c r="O1586" s="49"/>
      <c r="P1586" s="49"/>
      <c r="Q1586" s="49"/>
      <c r="R1586" s="49"/>
      <c r="S1586" s="49"/>
      <c r="T1586" s="49"/>
      <c r="U1586" s="49"/>
      <c r="V1586" s="49"/>
      <c r="W1586" s="56"/>
      <c r="X1586" s="51" t="str">
        <f t="shared" si="5"/>
        <v/>
      </c>
      <c r="Y1586" s="50" t="s">
        <v>482</v>
      </c>
      <c r="Z1586" s="49">
        <f t="shared" si="6"/>
        <v>0</v>
      </c>
    </row>
    <row r="1587" ht="22.5" customHeight="1">
      <c r="B1587" s="57"/>
      <c r="C1587" s="43" t="str">
        <f t="array" ref="C1587">IF(B1587="","",_xlfn.XLOOKUP(B1587,'Form responses 1'!$B$2:$B$2604,'Form responses 1'!$A$2:$A$2604,""))</f>
        <v/>
      </c>
      <c r="D1587" s="44" t="str">
        <f t="shared" si="3"/>
        <v/>
      </c>
      <c r="E1587" s="44" t="str">
        <f t="array" ref="E1587">IF(B1587="","",_xlfn.XLOOKUP(B1587,'Form responses 1'!$B$2:$B$2604,'Form responses 1'!$C$2:$C$2604,""))</f>
        <v/>
      </c>
      <c r="F1587" s="44" t="str">
        <f t="array" ref="F1587">IF(B1587="","",_xlfn.XLOOKUP(B1587,'Form responses 1'!$B$2:$B$2604,'Form responses 1'!$D$2:$D$2604,""))</f>
        <v/>
      </c>
      <c r="G1587" s="44" t="str">
        <f t="array" ref="G1587">IF(B1587="","",_xlfn.XLOOKUP(B1587,'Form responses 1'!$B$2:$B$2604,'Form responses 1'!$E$2:$E$2604,""))</f>
        <v/>
      </c>
      <c r="H1587" s="44" t="str">
        <f t="array" ref="H1587">IF(B1587="","",_xlfn.XLOOKUP(B1587,'Form responses 1'!$B$2:$B$2604,'Form responses 1'!$F$2:$F$2604,""))</f>
        <v/>
      </c>
      <c r="I1587" s="44" t="str">
        <f t="array" ref="I1587">IF(B1587="","",_xlfn.XLOOKUP(B1587,'Form responses 1'!$B$2:$B$2604,'Form responses 1'!$I$2:$I$2604,""))</f>
        <v/>
      </c>
      <c r="J1587" s="44" t="str">
        <f t="array" ref="J1587">IF(B1587="","",_xlfn.XLOOKUP(B1587,'Form responses 1'!$B$2:$B$2604,'Form responses 1'!$G$2:$G$2604,""))</f>
        <v/>
      </c>
      <c r="K1587" s="56"/>
      <c r="L1587" s="58" t="str">
        <f t="shared" si="7"/>
        <v/>
      </c>
      <c r="M1587" s="49"/>
      <c r="N1587" s="49"/>
      <c r="O1587" s="49"/>
      <c r="P1587" s="49"/>
      <c r="Q1587" s="49"/>
      <c r="R1587" s="49"/>
      <c r="S1587" s="49"/>
      <c r="T1587" s="49"/>
      <c r="U1587" s="49"/>
      <c r="V1587" s="49"/>
      <c r="W1587" s="56"/>
      <c r="X1587" s="51" t="str">
        <f t="shared" si="5"/>
        <v/>
      </c>
      <c r="Y1587" s="50" t="s">
        <v>482</v>
      </c>
      <c r="Z1587" s="49">
        <f t="shared" si="6"/>
        <v>0</v>
      </c>
    </row>
    <row r="1588" ht="22.5" customHeight="1">
      <c r="B1588" s="57"/>
      <c r="C1588" s="43" t="str">
        <f t="array" ref="C1588">IF(B1588="","",_xlfn.XLOOKUP(B1588,'Form responses 1'!$B$2:$B$2604,'Form responses 1'!$A$2:$A$2604,""))</f>
        <v/>
      </c>
      <c r="D1588" s="44" t="str">
        <f t="shared" si="3"/>
        <v/>
      </c>
      <c r="E1588" s="44" t="str">
        <f t="array" ref="E1588">IF(B1588="","",_xlfn.XLOOKUP(B1588,'Form responses 1'!$B$2:$B$2604,'Form responses 1'!$C$2:$C$2604,""))</f>
        <v/>
      </c>
      <c r="F1588" s="44" t="str">
        <f t="array" ref="F1588">IF(B1588="","",_xlfn.XLOOKUP(B1588,'Form responses 1'!$B$2:$B$2604,'Form responses 1'!$D$2:$D$2604,""))</f>
        <v/>
      </c>
      <c r="G1588" s="44" t="str">
        <f t="array" ref="G1588">IF(B1588="","",_xlfn.XLOOKUP(B1588,'Form responses 1'!$B$2:$B$2604,'Form responses 1'!$E$2:$E$2604,""))</f>
        <v/>
      </c>
      <c r="H1588" s="44" t="str">
        <f t="array" ref="H1588">IF(B1588="","",_xlfn.XLOOKUP(B1588,'Form responses 1'!$B$2:$B$2604,'Form responses 1'!$F$2:$F$2604,""))</f>
        <v/>
      </c>
      <c r="I1588" s="44" t="str">
        <f t="array" ref="I1588">IF(B1588="","",_xlfn.XLOOKUP(B1588,'Form responses 1'!$B$2:$B$2604,'Form responses 1'!$I$2:$I$2604,""))</f>
        <v/>
      </c>
      <c r="J1588" s="44" t="str">
        <f t="array" ref="J1588">IF(B1588="","",_xlfn.XLOOKUP(B1588,'Form responses 1'!$B$2:$B$2604,'Form responses 1'!$G$2:$G$2604,""))</f>
        <v/>
      </c>
      <c r="K1588" s="56"/>
      <c r="L1588" s="58" t="str">
        <f t="shared" si="7"/>
        <v/>
      </c>
      <c r="M1588" s="49"/>
      <c r="N1588" s="49"/>
      <c r="O1588" s="49"/>
      <c r="P1588" s="49"/>
      <c r="Q1588" s="49"/>
      <c r="R1588" s="49"/>
      <c r="S1588" s="49"/>
      <c r="T1588" s="49"/>
      <c r="U1588" s="49"/>
      <c r="V1588" s="49"/>
      <c r="W1588" s="56"/>
      <c r="X1588" s="51" t="str">
        <f t="shared" si="5"/>
        <v/>
      </c>
      <c r="Y1588" s="50" t="s">
        <v>482</v>
      </c>
      <c r="Z1588" s="49">
        <f t="shared" si="6"/>
        <v>0</v>
      </c>
    </row>
    <row r="1589" ht="22.5" customHeight="1">
      <c r="B1589" s="57"/>
      <c r="C1589" s="43" t="str">
        <f t="array" ref="C1589">IF(B1589="","",_xlfn.XLOOKUP(B1589,'Form responses 1'!$B$2:$B$2604,'Form responses 1'!$A$2:$A$2604,""))</f>
        <v/>
      </c>
      <c r="D1589" s="44" t="str">
        <f t="shared" si="3"/>
        <v/>
      </c>
      <c r="E1589" s="44" t="str">
        <f t="array" ref="E1589">IF(B1589="","",_xlfn.XLOOKUP(B1589,'Form responses 1'!$B$2:$B$2604,'Form responses 1'!$C$2:$C$2604,""))</f>
        <v/>
      </c>
      <c r="F1589" s="44" t="str">
        <f t="array" ref="F1589">IF(B1589="","",_xlfn.XLOOKUP(B1589,'Form responses 1'!$B$2:$B$2604,'Form responses 1'!$D$2:$D$2604,""))</f>
        <v/>
      </c>
      <c r="G1589" s="44" t="str">
        <f t="array" ref="G1589">IF(B1589="","",_xlfn.XLOOKUP(B1589,'Form responses 1'!$B$2:$B$2604,'Form responses 1'!$E$2:$E$2604,""))</f>
        <v/>
      </c>
      <c r="H1589" s="44" t="str">
        <f t="array" ref="H1589">IF(B1589="","",_xlfn.XLOOKUP(B1589,'Form responses 1'!$B$2:$B$2604,'Form responses 1'!$F$2:$F$2604,""))</f>
        <v/>
      </c>
      <c r="I1589" s="44" t="str">
        <f t="array" ref="I1589">IF(B1589="","",_xlfn.XLOOKUP(B1589,'Form responses 1'!$B$2:$B$2604,'Form responses 1'!$I$2:$I$2604,""))</f>
        <v/>
      </c>
      <c r="J1589" s="44" t="str">
        <f t="array" ref="J1589">IF(B1589="","",_xlfn.XLOOKUP(B1589,'Form responses 1'!$B$2:$B$2604,'Form responses 1'!$G$2:$G$2604,""))</f>
        <v/>
      </c>
      <c r="K1589" s="56"/>
      <c r="L1589" s="58" t="str">
        <f t="shared" si="7"/>
        <v/>
      </c>
      <c r="M1589" s="49"/>
      <c r="N1589" s="49"/>
      <c r="O1589" s="49"/>
      <c r="P1589" s="49"/>
      <c r="Q1589" s="49"/>
      <c r="R1589" s="49"/>
      <c r="S1589" s="49"/>
      <c r="T1589" s="49"/>
      <c r="U1589" s="49"/>
      <c r="V1589" s="49"/>
      <c r="W1589" s="56"/>
      <c r="X1589" s="51" t="str">
        <f t="shared" si="5"/>
        <v/>
      </c>
      <c r="Y1589" s="50" t="s">
        <v>482</v>
      </c>
      <c r="Z1589" s="49">
        <f t="shared" si="6"/>
        <v>0</v>
      </c>
    </row>
    <row r="1590" ht="22.5" customHeight="1">
      <c r="B1590" s="57"/>
      <c r="C1590" s="43" t="str">
        <f t="array" ref="C1590">IF(B1590="","",_xlfn.XLOOKUP(B1590,'Form responses 1'!$B$2:$B$2604,'Form responses 1'!$A$2:$A$2604,""))</f>
        <v/>
      </c>
      <c r="D1590" s="44" t="str">
        <f t="shared" si="3"/>
        <v/>
      </c>
      <c r="E1590" s="44" t="str">
        <f t="array" ref="E1590">IF(B1590="","",_xlfn.XLOOKUP(B1590,'Form responses 1'!$B$2:$B$2604,'Form responses 1'!$C$2:$C$2604,""))</f>
        <v/>
      </c>
      <c r="F1590" s="44" t="str">
        <f t="array" ref="F1590">IF(B1590="","",_xlfn.XLOOKUP(B1590,'Form responses 1'!$B$2:$B$2604,'Form responses 1'!$D$2:$D$2604,""))</f>
        <v/>
      </c>
      <c r="G1590" s="44" t="str">
        <f t="array" ref="G1590">IF(B1590="","",_xlfn.XLOOKUP(B1590,'Form responses 1'!$B$2:$B$2604,'Form responses 1'!$E$2:$E$2604,""))</f>
        <v/>
      </c>
      <c r="H1590" s="44" t="str">
        <f t="array" ref="H1590">IF(B1590="","",_xlfn.XLOOKUP(B1590,'Form responses 1'!$B$2:$B$2604,'Form responses 1'!$F$2:$F$2604,""))</f>
        <v/>
      </c>
      <c r="I1590" s="44" t="str">
        <f t="array" ref="I1590">IF(B1590="","",_xlfn.XLOOKUP(B1590,'Form responses 1'!$B$2:$B$2604,'Form responses 1'!$I$2:$I$2604,""))</f>
        <v/>
      </c>
      <c r="J1590" s="44" t="str">
        <f t="array" ref="J1590">IF(B1590="","",_xlfn.XLOOKUP(B1590,'Form responses 1'!$B$2:$B$2604,'Form responses 1'!$G$2:$G$2604,""))</f>
        <v/>
      </c>
      <c r="K1590" s="56"/>
      <c r="L1590" s="58" t="str">
        <f t="shared" si="7"/>
        <v/>
      </c>
      <c r="M1590" s="49"/>
      <c r="N1590" s="49"/>
      <c r="O1590" s="49"/>
      <c r="P1590" s="49"/>
      <c r="Q1590" s="49"/>
      <c r="R1590" s="49"/>
      <c r="S1590" s="49"/>
      <c r="T1590" s="49"/>
      <c r="U1590" s="49"/>
      <c r="V1590" s="49"/>
      <c r="W1590" s="56"/>
      <c r="X1590" s="51" t="str">
        <f t="shared" si="5"/>
        <v/>
      </c>
      <c r="Y1590" s="50" t="s">
        <v>482</v>
      </c>
      <c r="Z1590" s="49">
        <f t="shared" si="6"/>
        <v>0</v>
      </c>
    </row>
    <row r="1591" ht="22.5" customHeight="1">
      <c r="B1591" s="57"/>
      <c r="C1591" s="43" t="str">
        <f t="array" ref="C1591">IF(B1591="","",_xlfn.XLOOKUP(B1591,'Form responses 1'!$B$2:$B$2604,'Form responses 1'!$A$2:$A$2604,""))</f>
        <v/>
      </c>
      <c r="D1591" s="44" t="str">
        <f t="shared" si="3"/>
        <v/>
      </c>
      <c r="E1591" s="44" t="str">
        <f t="array" ref="E1591">IF(B1591="","",_xlfn.XLOOKUP(B1591,'Form responses 1'!$B$2:$B$2604,'Form responses 1'!$C$2:$C$2604,""))</f>
        <v/>
      </c>
      <c r="F1591" s="44" t="str">
        <f t="array" ref="F1591">IF(B1591="","",_xlfn.XLOOKUP(B1591,'Form responses 1'!$B$2:$B$2604,'Form responses 1'!$D$2:$D$2604,""))</f>
        <v/>
      </c>
      <c r="G1591" s="44" t="str">
        <f t="array" ref="G1591">IF(B1591="","",_xlfn.XLOOKUP(B1591,'Form responses 1'!$B$2:$B$2604,'Form responses 1'!$E$2:$E$2604,""))</f>
        <v/>
      </c>
      <c r="H1591" s="44" t="str">
        <f t="array" ref="H1591">IF(B1591="","",_xlfn.XLOOKUP(B1591,'Form responses 1'!$B$2:$B$2604,'Form responses 1'!$F$2:$F$2604,""))</f>
        <v/>
      </c>
      <c r="I1591" s="44" t="str">
        <f t="array" ref="I1591">IF(B1591="","",_xlfn.XLOOKUP(B1591,'Form responses 1'!$B$2:$B$2604,'Form responses 1'!$I$2:$I$2604,""))</f>
        <v/>
      </c>
      <c r="J1591" s="44" t="str">
        <f t="array" ref="J1591">IF(B1591="","",_xlfn.XLOOKUP(B1591,'Form responses 1'!$B$2:$B$2604,'Form responses 1'!$G$2:$G$2604,""))</f>
        <v/>
      </c>
      <c r="K1591" s="56"/>
      <c r="L1591" s="58" t="str">
        <f t="shared" si="7"/>
        <v/>
      </c>
      <c r="M1591" s="49"/>
      <c r="N1591" s="49"/>
      <c r="O1591" s="49"/>
      <c r="P1591" s="49"/>
      <c r="Q1591" s="49"/>
      <c r="R1591" s="49"/>
      <c r="S1591" s="49"/>
      <c r="T1591" s="49"/>
      <c r="U1591" s="49"/>
      <c r="V1591" s="49"/>
      <c r="W1591" s="56"/>
      <c r="X1591" s="51" t="str">
        <f t="shared" si="5"/>
        <v/>
      </c>
      <c r="Y1591" s="50" t="s">
        <v>482</v>
      </c>
      <c r="Z1591" s="49">
        <f t="shared" si="6"/>
        <v>0</v>
      </c>
    </row>
    <row r="1592" ht="22.5" customHeight="1">
      <c r="B1592" s="57"/>
      <c r="C1592" s="43" t="str">
        <f t="array" ref="C1592">IF(B1592="","",_xlfn.XLOOKUP(B1592,'Form responses 1'!$B$2:$B$2604,'Form responses 1'!$A$2:$A$2604,""))</f>
        <v/>
      </c>
      <c r="D1592" s="44" t="str">
        <f t="shared" si="3"/>
        <v/>
      </c>
      <c r="E1592" s="44" t="str">
        <f t="array" ref="E1592">IF(B1592="","",_xlfn.XLOOKUP(B1592,'Form responses 1'!$B$2:$B$2604,'Form responses 1'!$C$2:$C$2604,""))</f>
        <v/>
      </c>
      <c r="F1592" s="44" t="str">
        <f t="array" ref="F1592">IF(B1592="","",_xlfn.XLOOKUP(B1592,'Form responses 1'!$B$2:$B$2604,'Form responses 1'!$D$2:$D$2604,""))</f>
        <v/>
      </c>
      <c r="G1592" s="44" t="str">
        <f t="array" ref="G1592">IF(B1592="","",_xlfn.XLOOKUP(B1592,'Form responses 1'!$B$2:$B$2604,'Form responses 1'!$E$2:$E$2604,""))</f>
        <v/>
      </c>
      <c r="H1592" s="44" t="str">
        <f t="array" ref="H1592">IF(B1592="","",_xlfn.XLOOKUP(B1592,'Form responses 1'!$B$2:$B$2604,'Form responses 1'!$F$2:$F$2604,""))</f>
        <v/>
      </c>
      <c r="I1592" s="44" t="str">
        <f t="array" ref="I1592">IF(B1592="","",_xlfn.XLOOKUP(B1592,'Form responses 1'!$B$2:$B$2604,'Form responses 1'!$I$2:$I$2604,""))</f>
        <v/>
      </c>
      <c r="J1592" s="44" t="str">
        <f t="array" ref="J1592">IF(B1592="","",_xlfn.XLOOKUP(B1592,'Form responses 1'!$B$2:$B$2604,'Form responses 1'!$G$2:$G$2604,""))</f>
        <v/>
      </c>
      <c r="K1592" s="56"/>
      <c r="L1592" s="58" t="str">
        <f t="shared" si="7"/>
        <v/>
      </c>
      <c r="M1592" s="49"/>
      <c r="N1592" s="49"/>
      <c r="O1592" s="49"/>
      <c r="P1592" s="49"/>
      <c r="Q1592" s="49"/>
      <c r="R1592" s="49"/>
      <c r="S1592" s="49"/>
      <c r="T1592" s="49"/>
      <c r="U1592" s="49"/>
      <c r="V1592" s="49"/>
      <c r="W1592" s="56"/>
      <c r="X1592" s="51" t="str">
        <f t="shared" si="5"/>
        <v/>
      </c>
      <c r="Y1592" s="50" t="s">
        <v>482</v>
      </c>
      <c r="Z1592" s="49">
        <f t="shared" si="6"/>
        <v>0</v>
      </c>
    </row>
    <row r="1593" ht="22.5" customHeight="1">
      <c r="B1593" s="57"/>
      <c r="C1593" s="43" t="str">
        <f t="array" ref="C1593">IF(B1593="","",_xlfn.XLOOKUP(B1593,'Form responses 1'!$B$2:$B$2604,'Form responses 1'!$A$2:$A$2604,""))</f>
        <v/>
      </c>
      <c r="D1593" s="44" t="str">
        <f t="shared" si="3"/>
        <v/>
      </c>
      <c r="E1593" s="44" t="str">
        <f t="array" ref="E1593">IF(B1593="","",_xlfn.XLOOKUP(B1593,'Form responses 1'!$B$2:$B$2604,'Form responses 1'!$C$2:$C$2604,""))</f>
        <v/>
      </c>
      <c r="F1593" s="44" t="str">
        <f t="array" ref="F1593">IF(B1593="","",_xlfn.XLOOKUP(B1593,'Form responses 1'!$B$2:$B$2604,'Form responses 1'!$D$2:$D$2604,""))</f>
        <v/>
      </c>
      <c r="G1593" s="44" t="str">
        <f t="array" ref="G1593">IF(B1593="","",_xlfn.XLOOKUP(B1593,'Form responses 1'!$B$2:$B$2604,'Form responses 1'!$E$2:$E$2604,""))</f>
        <v/>
      </c>
      <c r="H1593" s="44" t="str">
        <f t="array" ref="H1593">IF(B1593="","",_xlfn.XLOOKUP(B1593,'Form responses 1'!$B$2:$B$2604,'Form responses 1'!$F$2:$F$2604,""))</f>
        <v/>
      </c>
      <c r="I1593" s="44" t="str">
        <f t="array" ref="I1593">IF(B1593="","",_xlfn.XLOOKUP(B1593,'Form responses 1'!$B$2:$B$2604,'Form responses 1'!$I$2:$I$2604,""))</f>
        <v/>
      </c>
      <c r="J1593" s="44" t="str">
        <f t="array" ref="J1593">IF(B1593="","",_xlfn.XLOOKUP(B1593,'Form responses 1'!$B$2:$B$2604,'Form responses 1'!$G$2:$G$2604,""))</f>
        <v/>
      </c>
      <c r="K1593" s="56"/>
      <c r="L1593" s="58" t="str">
        <f t="shared" si="7"/>
        <v/>
      </c>
      <c r="M1593" s="49"/>
      <c r="N1593" s="49"/>
      <c r="O1593" s="49"/>
      <c r="P1593" s="49"/>
      <c r="Q1593" s="49"/>
      <c r="R1593" s="49"/>
      <c r="S1593" s="49"/>
      <c r="T1593" s="49"/>
      <c r="U1593" s="49"/>
      <c r="V1593" s="49"/>
      <c r="W1593" s="56"/>
      <c r="X1593" s="51" t="str">
        <f t="shared" si="5"/>
        <v/>
      </c>
      <c r="Y1593" s="50" t="s">
        <v>482</v>
      </c>
      <c r="Z1593" s="49">
        <f t="shared" si="6"/>
        <v>0</v>
      </c>
    </row>
    <row r="1594" ht="22.5" customHeight="1">
      <c r="B1594" s="57"/>
      <c r="C1594" s="43" t="str">
        <f t="array" ref="C1594">IF(B1594="","",_xlfn.XLOOKUP(B1594,'Form responses 1'!$B$2:$B$2604,'Form responses 1'!$A$2:$A$2604,""))</f>
        <v/>
      </c>
      <c r="D1594" s="44" t="str">
        <f t="shared" si="3"/>
        <v/>
      </c>
      <c r="E1594" s="44" t="str">
        <f t="array" ref="E1594">IF(B1594="","",_xlfn.XLOOKUP(B1594,'Form responses 1'!$B$2:$B$2604,'Form responses 1'!$C$2:$C$2604,""))</f>
        <v/>
      </c>
      <c r="F1594" s="44" t="str">
        <f t="array" ref="F1594">IF(B1594="","",_xlfn.XLOOKUP(B1594,'Form responses 1'!$B$2:$B$2604,'Form responses 1'!$D$2:$D$2604,""))</f>
        <v/>
      </c>
      <c r="G1594" s="44" t="str">
        <f t="array" ref="G1594">IF(B1594="","",_xlfn.XLOOKUP(B1594,'Form responses 1'!$B$2:$B$2604,'Form responses 1'!$E$2:$E$2604,""))</f>
        <v/>
      </c>
      <c r="H1594" s="44" t="str">
        <f t="array" ref="H1594">IF(B1594="","",_xlfn.XLOOKUP(B1594,'Form responses 1'!$B$2:$B$2604,'Form responses 1'!$F$2:$F$2604,""))</f>
        <v/>
      </c>
      <c r="I1594" s="44" t="str">
        <f t="array" ref="I1594">IF(B1594="","",_xlfn.XLOOKUP(B1594,'Form responses 1'!$B$2:$B$2604,'Form responses 1'!$I$2:$I$2604,""))</f>
        <v/>
      </c>
      <c r="J1594" s="44" t="str">
        <f t="array" ref="J1594">IF(B1594="","",_xlfn.XLOOKUP(B1594,'Form responses 1'!$B$2:$B$2604,'Form responses 1'!$G$2:$G$2604,""))</f>
        <v/>
      </c>
      <c r="K1594" s="56"/>
      <c r="L1594" s="58" t="str">
        <f t="shared" si="7"/>
        <v/>
      </c>
      <c r="M1594" s="49"/>
      <c r="N1594" s="49"/>
      <c r="O1594" s="49"/>
      <c r="P1594" s="49"/>
      <c r="Q1594" s="49"/>
      <c r="R1594" s="49"/>
      <c r="S1594" s="49"/>
      <c r="T1594" s="49"/>
      <c r="U1594" s="49"/>
      <c r="V1594" s="49"/>
      <c r="W1594" s="56"/>
      <c r="X1594" s="51" t="str">
        <f t="shared" si="5"/>
        <v/>
      </c>
      <c r="Y1594" s="50" t="s">
        <v>482</v>
      </c>
      <c r="Z1594" s="49">
        <f t="shared" si="6"/>
        <v>0</v>
      </c>
    </row>
    <row r="1595" ht="22.5" customHeight="1">
      <c r="B1595" s="57"/>
      <c r="C1595" s="43" t="str">
        <f t="array" ref="C1595">IF(B1595="","",_xlfn.XLOOKUP(B1595,'Form responses 1'!$B$2:$B$2604,'Form responses 1'!$A$2:$A$2604,""))</f>
        <v/>
      </c>
      <c r="D1595" s="44" t="str">
        <f t="shared" si="3"/>
        <v/>
      </c>
      <c r="E1595" s="44" t="str">
        <f t="array" ref="E1595">IF(B1595="","",_xlfn.XLOOKUP(B1595,'Form responses 1'!$B$2:$B$2604,'Form responses 1'!$C$2:$C$2604,""))</f>
        <v/>
      </c>
      <c r="F1595" s="44" t="str">
        <f t="array" ref="F1595">IF(B1595="","",_xlfn.XLOOKUP(B1595,'Form responses 1'!$B$2:$B$2604,'Form responses 1'!$D$2:$D$2604,""))</f>
        <v/>
      </c>
      <c r="G1595" s="44" t="str">
        <f t="array" ref="G1595">IF(B1595="","",_xlfn.XLOOKUP(B1595,'Form responses 1'!$B$2:$B$2604,'Form responses 1'!$E$2:$E$2604,""))</f>
        <v/>
      </c>
      <c r="H1595" s="44" t="str">
        <f t="array" ref="H1595">IF(B1595="","",_xlfn.XLOOKUP(B1595,'Form responses 1'!$B$2:$B$2604,'Form responses 1'!$F$2:$F$2604,""))</f>
        <v/>
      </c>
      <c r="I1595" s="44" t="str">
        <f t="array" ref="I1595">IF(B1595="","",_xlfn.XLOOKUP(B1595,'Form responses 1'!$B$2:$B$2604,'Form responses 1'!$I$2:$I$2604,""))</f>
        <v/>
      </c>
      <c r="J1595" s="44" t="str">
        <f t="array" ref="J1595">IF(B1595="","",_xlfn.XLOOKUP(B1595,'Form responses 1'!$B$2:$B$2604,'Form responses 1'!$G$2:$G$2604,""))</f>
        <v/>
      </c>
      <c r="K1595" s="56"/>
      <c r="L1595" s="58" t="str">
        <f t="shared" si="7"/>
        <v/>
      </c>
      <c r="M1595" s="49"/>
      <c r="N1595" s="49"/>
      <c r="O1595" s="49"/>
      <c r="P1595" s="49"/>
      <c r="Q1595" s="49"/>
      <c r="R1595" s="49"/>
      <c r="S1595" s="49"/>
      <c r="T1595" s="49"/>
      <c r="U1595" s="49"/>
      <c r="V1595" s="49"/>
      <c r="W1595" s="56"/>
      <c r="X1595" s="51" t="str">
        <f t="shared" si="5"/>
        <v/>
      </c>
      <c r="Y1595" s="50" t="s">
        <v>482</v>
      </c>
      <c r="Z1595" s="49">
        <f t="shared" si="6"/>
        <v>0</v>
      </c>
    </row>
    <row r="1596" ht="22.5" customHeight="1">
      <c r="B1596" s="57"/>
      <c r="C1596" s="43" t="str">
        <f t="array" ref="C1596">IF(B1596="","",_xlfn.XLOOKUP(B1596,'Form responses 1'!$B$2:$B$2604,'Form responses 1'!$A$2:$A$2604,""))</f>
        <v/>
      </c>
      <c r="D1596" s="44" t="str">
        <f t="shared" si="3"/>
        <v/>
      </c>
      <c r="E1596" s="44" t="str">
        <f t="array" ref="E1596">IF(B1596="","",_xlfn.XLOOKUP(B1596,'Form responses 1'!$B$2:$B$2604,'Form responses 1'!$C$2:$C$2604,""))</f>
        <v/>
      </c>
      <c r="F1596" s="44" t="str">
        <f t="array" ref="F1596">IF(B1596="","",_xlfn.XLOOKUP(B1596,'Form responses 1'!$B$2:$B$2604,'Form responses 1'!$D$2:$D$2604,""))</f>
        <v/>
      </c>
      <c r="G1596" s="44" t="str">
        <f t="array" ref="G1596">IF(B1596="","",_xlfn.XLOOKUP(B1596,'Form responses 1'!$B$2:$B$2604,'Form responses 1'!$E$2:$E$2604,""))</f>
        <v/>
      </c>
      <c r="H1596" s="44" t="str">
        <f t="array" ref="H1596">IF(B1596="","",_xlfn.XLOOKUP(B1596,'Form responses 1'!$B$2:$B$2604,'Form responses 1'!$F$2:$F$2604,""))</f>
        <v/>
      </c>
      <c r="I1596" s="44" t="str">
        <f t="array" ref="I1596">IF(B1596="","",_xlfn.XLOOKUP(B1596,'Form responses 1'!$B$2:$B$2604,'Form responses 1'!$I$2:$I$2604,""))</f>
        <v/>
      </c>
      <c r="J1596" s="44" t="str">
        <f t="array" ref="J1596">IF(B1596="","",_xlfn.XLOOKUP(B1596,'Form responses 1'!$B$2:$B$2604,'Form responses 1'!$G$2:$G$2604,""))</f>
        <v/>
      </c>
      <c r="K1596" s="56"/>
      <c r="L1596" s="58" t="str">
        <f t="shared" si="7"/>
        <v/>
      </c>
      <c r="M1596" s="49"/>
      <c r="N1596" s="49"/>
      <c r="O1596" s="49"/>
      <c r="P1596" s="49"/>
      <c r="Q1596" s="49"/>
      <c r="R1596" s="49"/>
      <c r="S1596" s="49"/>
      <c r="T1596" s="49"/>
      <c r="U1596" s="49"/>
      <c r="V1596" s="49"/>
      <c r="W1596" s="56"/>
      <c r="X1596" s="51" t="str">
        <f t="shared" si="5"/>
        <v/>
      </c>
      <c r="Y1596" s="50" t="s">
        <v>482</v>
      </c>
      <c r="Z1596" s="49">
        <f t="shared" si="6"/>
        <v>0</v>
      </c>
    </row>
    <row r="1597" ht="22.5" customHeight="1">
      <c r="B1597" s="57"/>
      <c r="C1597" s="43" t="str">
        <f t="array" ref="C1597">IF(B1597="","",_xlfn.XLOOKUP(B1597,'Form responses 1'!$B$2:$B$2604,'Form responses 1'!$A$2:$A$2604,""))</f>
        <v/>
      </c>
      <c r="D1597" s="44" t="str">
        <f t="shared" si="3"/>
        <v/>
      </c>
      <c r="E1597" s="44" t="str">
        <f t="array" ref="E1597">IF(B1597="","",_xlfn.XLOOKUP(B1597,'Form responses 1'!$B$2:$B$2604,'Form responses 1'!$C$2:$C$2604,""))</f>
        <v/>
      </c>
      <c r="F1597" s="44" t="str">
        <f t="array" ref="F1597">IF(B1597="","",_xlfn.XLOOKUP(B1597,'Form responses 1'!$B$2:$B$2604,'Form responses 1'!$D$2:$D$2604,""))</f>
        <v/>
      </c>
      <c r="G1597" s="44" t="str">
        <f t="array" ref="G1597">IF(B1597="","",_xlfn.XLOOKUP(B1597,'Form responses 1'!$B$2:$B$2604,'Form responses 1'!$E$2:$E$2604,""))</f>
        <v/>
      </c>
      <c r="H1597" s="44" t="str">
        <f t="array" ref="H1597">IF(B1597="","",_xlfn.XLOOKUP(B1597,'Form responses 1'!$B$2:$B$2604,'Form responses 1'!$F$2:$F$2604,""))</f>
        <v/>
      </c>
      <c r="I1597" s="44" t="str">
        <f t="array" ref="I1597">IF(B1597="","",_xlfn.XLOOKUP(B1597,'Form responses 1'!$B$2:$B$2604,'Form responses 1'!$I$2:$I$2604,""))</f>
        <v/>
      </c>
      <c r="J1597" s="44" t="str">
        <f t="array" ref="J1597">IF(B1597="","",_xlfn.XLOOKUP(B1597,'Form responses 1'!$B$2:$B$2604,'Form responses 1'!$G$2:$G$2604,""))</f>
        <v/>
      </c>
      <c r="K1597" s="56"/>
      <c r="L1597" s="58" t="str">
        <f t="shared" si="7"/>
        <v/>
      </c>
      <c r="M1597" s="49"/>
      <c r="N1597" s="49"/>
      <c r="O1597" s="49"/>
      <c r="P1597" s="49"/>
      <c r="Q1597" s="49"/>
      <c r="R1597" s="49"/>
      <c r="S1597" s="49"/>
      <c r="T1597" s="49"/>
      <c r="U1597" s="49"/>
      <c r="V1597" s="49"/>
      <c r="W1597" s="56"/>
      <c r="X1597" s="51" t="str">
        <f t="shared" si="5"/>
        <v/>
      </c>
      <c r="Y1597" s="50" t="s">
        <v>482</v>
      </c>
      <c r="Z1597" s="49">
        <f t="shared" si="6"/>
        <v>0</v>
      </c>
    </row>
    <row r="1598" ht="22.5" customHeight="1">
      <c r="B1598" s="57"/>
      <c r="C1598" s="43" t="str">
        <f t="array" ref="C1598">IF(B1598="","",_xlfn.XLOOKUP(B1598,'Form responses 1'!$B$2:$B$2604,'Form responses 1'!$A$2:$A$2604,""))</f>
        <v/>
      </c>
      <c r="D1598" s="44" t="str">
        <f t="shared" si="3"/>
        <v/>
      </c>
      <c r="E1598" s="44" t="str">
        <f t="array" ref="E1598">IF(B1598="","",_xlfn.XLOOKUP(B1598,'Form responses 1'!$B$2:$B$2604,'Form responses 1'!$C$2:$C$2604,""))</f>
        <v/>
      </c>
      <c r="F1598" s="44" t="str">
        <f t="array" ref="F1598">IF(B1598="","",_xlfn.XLOOKUP(B1598,'Form responses 1'!$B$2:$B$2604,'Form responses 1'!$D$2:$D$2604,""))</f>
        <v/>
      </c>
      <c r="G1598" s="44" t="str">
        <f t="array" ref="G1598">IF(B1598="","",_xlfn.XLOOKUP(B1598,'Form responses 1'!$B$2:$B$2604,'Form responses 1'!$E$2:$E$2604,""))</f>
        <v/>
      </c>
      <c r="H1598" s="44" t="str">
        <f t="array" ref="H1598">IF(B1598="","",_xlfn.XLOOKUP(B1598,'Form responses 1'!$B$2:$B$2604,'Form responses 1'!$F$2:$F$2604,""))</f>
        <v/>
      </c>
      <c r="I1598" s="44" t="str">
        <f t="array" ref="I1598">IF(B1598="","",_xlfn.XLOOKUP(B1598,'Form responses 1'!$B$2:$B$2604,'Form responses 1'!$I$2:$I$2604,""))</f>
        <v/>
      </c>
      <c r="J1598" s="44" t="str">
        <f t="array" ref="J1598">IF(B1598="","",_xlfn.XLOOKUP(B1598,'Form responses 1'!$B$2:$B$2604,'Form responses 1'!$G$2:$G$2604,""))</f>
        <v/>
      </c>
      <c r="K1598" s="56"/>
      <c r="L1598" s="58" t="str">
        <f t="shared" si="7"/>
        <v/>
      </c>
      <c r="M1598" s="49"/>
      <c r="N1598" s="49"/>
      <c r="O1598" s="49"/>
      <c r="P1598" s="49"/>
      <c r="Q1598" s="49"/>
      <c r="R1598" s="49"/>
      <c r="S1598" s="49"/>
      <c r="T1598" s="49"/>
      <c r="U1598" s="49"/>
      <c r="V1598" s="49"/>
      <c r="W1598" s="56"/>
      <c r="X1598" s="51" t="str">
        <f t="shared" si="5"/>
        <v/>
      </c>
      <c r="Y1598" s="50" t="s">
        <v>482</v>
      </c>
      <c r="Z1598" s="49">
        <f t="shared" si="6"/>
        <v>0</v>
      </c>
    </row>
    <row r="1599" ht="22.5" customHeight="1">
      <c r="B1599" s="57"/>
      <c r="C1599" s="43" t="str">
        <f t="array" ref="C1599">IF(B1599="","",_xlfn.XLOOKUP(B1599,'Form responses 1'!$B$2:$B$2604,'Form responses 1'!$A$2:$A$2604,""))</f>
        <v/>
      </c>
      <c r="D1599" s="44" t="str">
        <f t="shared" si="3"/>
        <v/>
      </c>
      <c r="E1599" s="44" t="str">
        <f t="array" ref="E1599">IF(B1599="","",_xlfn.XLOOKUP(B1599,'Form responses 1'!$B$2:$B$2604,'Form responses 1'!$C$2:$C$2604,""))</f>
        <v/>
      </c>
      <c r="F1599" s="44" t="str">
        <f t="array" ref="F1599">IF(B1599="","",_xlfn.XLOOKUP(B1599,'Form responses 1'!$B$2:$B$2604,'Form responses 1'!$D$2:$D$2604,""))</f>
        <v/>
      </c>
      <c r="G1599" s="44" t="str">
        <f t="array" ref="G1599">IF(B1599="","",_xlfn.XLOOKUP(B1599,'Form responses 1'!$B$2:$B$2604,'Form responses 1'!$E$2:$E$2604,""))</f>
        <v/>
      </c>
      <c r="H1599" s="44" t="str">
        <f t="array" ref="H1599">IF(B1599="","",_xlfn.XLOOKUP(B1599,'Form responses 1'!$B$2:$B$2604,'Form responses 1'!$F$2:$F$2604,""))</f>
        <v/>
      </c>
      <c r="I1599" s="44" t="str">
        <f t="array" ref="I1599">IF(B1599="","",_xlfn.XLOOKUP(B1599,'Form responses 1'!$B$2:$B$2604,'Form responses 1'!$I$2:$I$2604,""))</f>
        <v/>
      </c>
      <c r="J1599" s="44" t="str">
        <f t="array" ref="J1599">IF(B1599="","",_xlfn.XLOOKUP(B1599,'Form responses 1'!$B$2:$B$2604,'Form responses 1'!$G$2:$G$2604,""))</f>
        <v/>
      </c>
      <c r="K1599" s="56"/>
      <c r="L1599" s="58" t="str">
        <f t="shared" si="7"/>
        <v/>
      </c>
      <c r="M1599" s="49"/>
      <c r="N1599" s="49"/>
      <c r="O1599" s="49"/>
      <c r="P1599" s="49"/>
      <c r="Q1599" s="49"/>
      <c r="R1599" s="49"/>
      <c r="S1599" s="49"/>
      <c r="T1599" s="49"/>
      <c r="U1599" s="49"/>
      <c r="V1599" s="49"/>
      <c r="W1599" s="56"/>
      <c r="X1599" s="51" t="str">
        <f t="shared" si="5"/>
        <v/>
      </c>
      <c r="Y1599" s="50" t="s">
        <v>482</v>
      </c>
      <c r="Z1599" s="49">
        <f t="shared" si="6"/>
        <v>0</v>
      </c>
    </row>
    <row r="1600" ht="22.5" customHeight="1">
      <c r="B1600" s="57"/>
      <c r="C1600" s="43" t="str">
        <f t="array" ref="C1600">IF(B1600="","",_xlfn.XLOOKUP(B1600,'Form responses 1'!$B$2:$B$2604,'Form responses 1'!$A$2:$A$2604,""))</f>
        <v/>
      </c>
      <c r="D1600" s="44" t="str">
        <f t="shared" si="3"/>
        <v/>
      </c>
      <c r="E1600" s="44" t="str">
        <f t="array" ref="E1600">IF(B1600="","",_xlfn.XLOOKUP(B1600,'Form responses 1'!$B$2:$B$2604,'Form responses 1'!$C$2:$C$2604,""))</f>
        <v/>
      </c>
      <c r="F1600" s="44" t="str">
        <f t="array" ref="F1600">IF(B1600="","",_xlfn.XLOOKUP(B1600,'Form responses 1'!$B$2:$B$2604,'Form responses 1'!$D$2:$D$2604,""))</f>
        <v/>
      </c>
      <c r="G1600" s="44" t="str">
        <f t="array" ref="G1600">IF(B1600="","",_xlfn.XLOOKUP(B1600,'Form responses 1'!$B$2:$B$2604,'Form responses 1'!$E$2:$E$2604,""))</f>
        <v/>
      </c>
      <c r="H1600" s="44" t="str">
        <f t="array" ref="H1600">IF(B1600="","",_xlfn.XLOOKUP(B1600,'Form responses 1'!$B$2:$B$2604,'Form responses 1'!$F$2:$F$2604,""))</f>
        <v/>
      </c>
      <c r="I1600" s="44" t="str">
        <f t="array" ref="I1600">IF(B1600="","",_xlfn.XLOOKUP(B1600,'Form responses 1'!$B$2:$B$2604,'Form responses 1'!$I$2:$I$2604,""))</f>
        <v/>
      </c>
      <c r="J1600" s="44" t="str">
        <f t="array" ref="J1600">IF(B1600="","",_xlfn.XLOOKUP(B1600,'Form responses 1'!$B$2:$B$2604,'Form responses 1'!$G$2:$G$2604,""))</f>
        <v/>
      </c>
      <c r="K1600" s="56"/>
      <c r="L1600" s="58" t="str">
        <f t="shared" si="7"/>
        <v/>
      </c>
      <c r="M1600" s="49"/>
      <c r="N1600" s="49"/>
      <c r="O1600" s="49"/>
      <c r="P1600" s="49"/>
      <c r="Q1600" s="49"/>
      <c r="R1600" s="49"/>
      <c r="S1600" s="49"/>
      <c r="T1600" s="49"/>
      <c r="U1600" s="49"/>
      <c r="V1600" s="49"/>
      <c r="W1600" s="56"/>
      <c r="X1600" s="51" t="str">
        <f t="shared" si="5"/>
        <v/>
      </c>
      <c r="Y1600" s="50" t="s">
        <v>482</v>
      </c>
      <c r="Z1600" s="49">
        <f t="shared" si="6"/>
        <v>0</v>
      </c>
    </row>
    <row r="1601" ht="22.5" customHeight="1">
      <c r="B1601" s="57"/>
      <c r="C1601" s="43" t="str">
        <f t="array" ref="C1601">IF(B1601="","",_xlfn.XLOOKUP(B1601,'Form responses 1'!$B$2:$B$2604,'Form responses 1'!$A$2:$A$2604,""))</f>
        <v/>
      </c>
      <c r="D1601" s="44" t="str">
        <f t="shared" si="3"/>
        <v/>
      </c>
      <c r="E1601" s="44" t="str">
        <f t="array" ref="E1601">IF(B1601="","",_xlfn.XLOOKUP(B1601,'Form responses 1'!$B$2:$B$2604,'Form responses 1'!$C$2:$C$2604,""))</f>
        <v/>
      </c>
      <c r="F1601" s="44" t="str">
        <f t="array" ref="F1601">IF(B1601="","",_xlfn.XLOOKUP(B1601,'Form responses 1'!$B$2:$B$2604,'Form responses 1'!$D$2:$D$2604,""))</f>
        <v/>
      </c>
      <c r="G1601" s="44" t="str">
        <f t="array" ref="G1601">IF(B1601="","",_xlfn.XLOOKUP(B1601,'Form responses 1'!$B$2:$B$2604,'Form responses 1'!$E$2:$E$2604,""))</f>
        <v/>
      </c>
      <c r="H1601" s="44" t="str">
        <f t="array" ref="H1601">IF(B1601="","",_xlfn.XLOOKUP(B1601,'Form responses 1'!$B$2:$B$2604,'Form responses 1'!$F$2:$F$2604,""))</f>
        <v/>
      </c>
      <c r="I1601" s="44" t="str">
        <f t="array" ref="I1601">IF(B1601="","",_xlfn.XLOOKUP(B1601,'Form responses 1'!$B$2:$B$2604,'Form responses 1'!$I$2:$I$2604,""))</f>
        <v/>
      </c>
      <c r="J1601" s="44" t="str">
        <f t="array" ref="J1601">IF(B1601="","",_xlfn.XLOOKUP(B1601,'Form responses 1'!$B$2:$B$2604,'Form responses 1'!$G$2:$G$2604,""))</f>
        <v/>
      </c>
      <c r="K1601" s="56"/>
      <c r="L1601" s="58" t="str">
        <f t="shared" si="7"/>
        <v/>
      </c>
      <c r="M1601" s="49"/>
      <c r="N1601" s="49"/>
      <c r="O1601" s="49"/>
      <c r="P1601" s="49"/>
      <c r="Q1601" s="49"/>
      <c r="R1601" s="49"/>
      <c r="S1601" s="49"/>
      <c r="T1601" s="49"/>
      <c r="U1601" s="49"/>
      <c r="V1601" s="49"/>
      <c r="W1601" s="56"/>
      <c r="X1601" s="51" t="str">
        <f t="shared" si="5"/>
        <v/>
      </c>
      <c r="Y1601" s="50" t="s">
        <v>482</v>
      </c>
      <c r="Z1601" s="49">
        <f t="shared" si="6"/>
        <v>0</v>
      </c>
    </row>
    <row r="1602" ht="22.5" customHeight="1">
      <c r="B1602" s="57"/>
      <c r="C1602" s="43" t="str">
        <f t="array" ref="C1602">IF(B1602="","",_xlfn.XLOOKUP(B1602,'Form responses 1'!$B$2:$B$2604,'Form responses 1'!$A$2:$A$2604,""))</f>
        <v/>
      </c>
      <c r="D1602" s="44" t="str">
        <f t="shared" si="3"/>
        <v/>
      </c>
      <c r="E1602" s="44" t="str">
        <f t="array" ref="E1602">IF(B1602="","",_xlfn.XLOOKUP(B1602,'Form responses 1'!$B$2:$B$2604,'Form responses 1'!$C$2:$C$2604,""))</f>
        <v/>
      </c>
      <c r="F1602" s="44" t="str">
        <f t="array" ref="F1602">IF(B1602="","",_xlfn.XLOOKUP(B1602,'Form responses 1'!$B$2:$B$2604,'Form responses 1'!$D$2:$D$2604,""))</f>
        <v/>
      </c>
      <c r="G1602" s="44" t="str">
        <f t="array" ref="G1602">IF(B1602="","",_xlfn.XLOOKUP(B1602,'Form responses 1'!$B$2:$B$2604,'Form responses 1'!$E$2:$E$2604,""))</f>
        <v/>
      </c>
      <c r="H1602" s="44" t="str">
        <f t="array" ref="H1602">IF(B1602="","",_xlfn.XLOOKUP(B1602,'Form responses 1'!$B$2:$B$2604,'Form responses 1'!$F$2:$F$2604,""))</f>
        <v/>
      </c>
      <c r="I1602" s="44" t="str">
        <f t="array" ref="I1602">IF(B1602="","",_xlfn.XLOOKUP(B1602,'Form responses 1'!$B$2:$B$2604,'Form responses 1'!$I$2:$I$2604,""))</f>
        <v/>
      </c>
      <c r="J1602" s="44" t="str">
        <f t="array" ref="J1602">IF(B1602="","",_xlfn.XLOOKUP(B1602,'Form responses 1'!$B$2:$B$2604,'Form responses 1'!$G$2:$G$2604,""))</f>
        <v/>
      </c>
      <c r="K1602" s="56"/>
      <c r="L1602" s="58" t="str">
        <f t="shared" si="7"/>
        <v/>
      </c>
      <c r="M1602" s="49"/>
      <c r="N1602" s="49"/>
      <c r="O1602" s="49"/>
      <c r="P1602" s="49"/>
      <c r="Q1602" s="49"/>
      <c r="R1602" s="49"/>
      <c r="S1602" s="49"/>
      <c r="T1602" s="49"/>
      <c r="U1602" s="49"/>
      <c r="V1602" s="49"/>
      <c r="W1602" s="56"/>
      <c r="X1602" s="51" t="str">
        <f t="shared" si="5"/>
        <v/>
      </c>
      <c r="Y1602" s="50" t="s">
        <v>482</v>
      </c>
      <c r="Z1602" s="49">
        <f t="shared" si="6"/>
        <v>0</v>
      </c>
    </row>
    <row r="1603" ht="22.5" customHeight="1">
      <c r="B1603" s="57"/>
      <c r="C1603" s="43" t="str">
        <f t="array" ref="C1603">IF(B1603="","",_xlfn.XLOOKUP(B1603,'Form responses 1'!$B$2:$B$2604,'Form responses 1'!$A$2:$A$2604,""))</f>
        <v/>
      </c>
      <c r="D1603" s="44" t="str">
        <f t="shared" si="3"/>
        <v/>
      </c>
      <c r="E1603" s="44" t="str">
        <f t="array" ref="E1603">IF(B1603="","",_xlfn.XLOOKUP(B1603,'Form responses 1'!$B$2:$B$2604,'Form responses 1'!$C$2:$C$2604,""))</f>
        <v/>
      </c>
      <c r="F1603" s="44" t="str">
        <f t="array" ref="F1603">IF(B1603="","",_xlfn.XLOOKUP(B1603,'Form responses 1'!$B$2:$B$2604,'Form responses 1'!$D$2:$D$2604,""))</f>
        <v/>
      </c>
      <c r="G1603" s="44" t="str">
        <f t="array" ref="G1603">IF(B1603="","",_xlfn.XLOOKUP(B1603,'Form responses 1'!$B$2:$B$2604,'Form responses 1'!$E$2:$E$2604,""))</f>
        <v/>
      </c>
      <c r="H1603" s="44" t="str">
        <f t="array" ref="H1603">IF(B1603="","",_xlfn.XLOOKUP(B1603,'Form responses 1'!$B$2:$B$2604,'Form responses 1'!$F$2:$F$2604,""))</f>
        <v/>
      </c>
      <c r="I1603" s="44" t="str">
        <f t="array" ref="I1603">IF(B1603="","",_xlfn.XLOOKUP(B1603,'Form responses 1'!$B$2:$B$2604,'Form responses 1'!$I$2:$I$2604,""))</f>
        <v/>
      </c>
      <c r="J1603" s="44" t="str">
        <f t="array" ref="J1603">IF(B1603="","",_xlfn.XLOOKUP(B1603,'Form responses 1'!$B$2:$B$2604,'Form responses 1'!$G$2:$G$2604,""))</f>
        <v/>
      </c>
      <c r="K1603" s="56"/>
      <c r="L1603" s="58" t="str">
        <f t="shared" si="7"/>
        <v/>
      </c>
      <c r="M1603" s="49"/>
      <c r="N1603" s="49"/>
      <c r="O1603" s="49"/>
      <c r="P1603" s="49"/>
      <c r="Q1603" s="49"/>
      <c r="R1603" s="49"/>
      <c r="S1603" s="49"/>
      <c r="T1603" s="49"/>
      <c r="U1603" s="49"/>
      <c r="V1603" s="49"/>
      <c r="W1603" s="56"/>
      <c r="X1603" s="51" t="str">
        <f t="shared" si="5"/>
        <v/>
      </c>
      <c r="Y1603" s="50" t="s">
        <v>482</v>
      </c>
      <c r="Z1603" s="49">
        <f t="shared" si="6"/>
        <v>0</v>
      </c>
    </row>
    <row r="1604" ht="22.5" customHeight="1">
      <c r="B1604" s="57"/>
      <c r="C1604" s="43" t="str">
        <f t="array" ref="C1604">IF(B1604="","",_xlfn.XLOOKUP(B1604,'Form responses 1'!$B$2:$B$2604,'Form responses 1'!$A$2:$A$2604,""))</f>
        <v/>
      </c>
      <c r="D1604" s="44" t="str">
        <f t="shared" si="3"/>
        <v/>
      </c>
      <c r="E1604" s="44" t="str">
        <f t="array" ref="E1604">IF(B1604="","",_xlfn.XLOOKUP(B1604,'Form responses 1'!$B$2:$B$2604,'Form responses 1'!$C$2:$C$2604,""))</f>
        <v/>
      </c>
      <c r="F1604" s="44" t="str">
        <f t="array" ref="F1604">IF(B1604="","",_xlfn.XLOOKUP(B1604,'Form responses 1'!$B$2:$B$2604,'Form responses 1'!$D$2:$D$2604,""))</f>
        <v/>
      </c>
      <c r="G1604" s="44" t="str">
        <f t="array" ref="G1604">IF(B1604="","",_xlfn.XLOOKUP(B1604,'Form responses 1'!$B$2:$B$2604,'Form responses 1'!$E$2:$E$2604,""))</f>
        <v/>
      </c>
      <c r="H1604" s="44" t="str">
        <f t="array" ref="H1604">IF(B1604="","",_xlfn.XLOOKUP(B1604,'Form responses 1'!$B$2:$B$2604,'Form responses 1'!$F$2:$F$2604,""))</f>
        <v/>
      </c>
      <c r="I1604" s="44" t="str">
        <f t="array" ref="I1604">IF(B1604="","",_xlfn.XLOOKUP(B1604,'Form responses 1'!$B$2:$B$2604,'Form responses 1'!$I$2:$I$2604,""))</f>
        <v/>
      </c>
      <c r="J1604" s="44" t="str">
        <f t="array" ref="J1604">IF(B1604="","",_xlfn.XLOOKUP(B1604,'Form responses 1'!$B$2:$B$2604,'Form responses 1'!$G$2:$G$2604,""))</f>
        <v/>
      </c>
      <c r="K1604" s="56"/>
      <c r="L1604" s="58" t="str">
        <f t="shared" si="7"/>
        <v/>
      </c>
      <c r="M1604" s="49"/>
      <c r="N1604" s="49"/>
      <c r="O1604" s="49"/>
      <c r="P1604" s="49"/>
      <c r="Q1604" s="49"/>
      <c r="R1604" s="49"/>
      <c r="S1604" s="49"/>
      <c r="T1604" s="49"/>
      <c r="U1604" s="49"/>
      <c r="V1604" s="49"/>
      <c r="W1604" s="56"/>
      <c r="X1604" s="51" t="str">
        <f t="shared" si="5"/>
        <v/>
      </c>
      <c r="Y1604" s="50" t="s">
        <v>482</v>
      </c>
      <c r="Z1604" s="49">
        <f t="shared" si="6"/>
        <v>0</v>
      </c>
    </row>
    <row r="1605" ht="22.5" customHeight="1">
      <c r="B1605" s="57"/>
      <c r="C1605" s="43" t="str">
        <f t="array" ref="C1605">IF(B1605="","",_xlfn.XLOOKUP(B1605,'Form responses 1'!$B$2:$B$2604,'Form responses 1'!$A$2:$A$2604,""))</f>
        <v/>
      </c>
      <c r="D1605" s="44" t="str">
        <f t="shared" si="3"/>
        <v/>
      </c>
      <c r="E1605" s="44" t="str">
        <f t="array" ref="E1605">IF(B1605="","",_xlfn.XLOOKUP(B1605,'Form responses 1'!$B$2:$B$2604,'Form responses 1'!$C$2:$C$2604,""))</f>
        <v/>
      </c>
      <c r="F1605" s="44" t="str">
        <f t="array" ref="F1605">IF(B1605="","",_xlfn.XLOOKUP(B1605,'Form responses 1'!$B$2:$B$2604,'Form responses 1'!$D$2:$D$2604,""))</f>
        <v/>
      </c>
      <c r="G1605" s="44" t="str">
        <f t="array" ref="G1605">IF(B1605="","",_xlfn.XLOOKUP(B1605,'Form responses 1'!$B$2:$B$2604,'Form responses 1'!$E$2:$E$2604,""))</f>
        <v/>
      </c>
      <c r="H1605" s="44" t="str">
        <f t="array" ref="H1605">IF(B1605="","",_xlfn.XLOOKUP(B1605,'Form responses 1'!$B$2:$B$2604,'Form responses 1'!$F$2:$F$2604,""))</f>
        <v/>
      </c>
      <c r="I1605" s="44" t="str">
        <f t="array" ref="I1605">IF(B1605="","",_xlfn.XLOOKUP(B1605,'Form responses 1'!$B$2:$B$2604,'Form responses 1'!$I$2:$I$2604,""))</f>
        <v/>
      </c>
      <c r="J1605" s="44" t="str">
        <f t="array" ref="J1605">IF(B1605="","",_xlfn.XLOOKUP(B1605,'Form responses 1'!$B$2:$B$2604,'Form responses 1'!$G$2:$G$2604,""))</f>
        <v/>
      </c>
      <c r="K1605" s="56"/>
      <c r="L1605" s="58" t="str">
        <f t="shared" si="7"/>
        <v/>
      </c>
      <c r="M1605" s="49"/>
      <c r="N1605" s="49"/>
      <c r="O1605" s="49"/>
      <c r="P1605" s="49"/>
      <c r="Q1605" s="49"/>
      <c r="R1605" s="49"/>
      <c r="S1605" s="49"/>
      <c r="T1605" s="49"/>
      <c r="U1605" s="49"/>
      <c r="V1605" s="49"/>
      <c r="W1605" s="56"/>
      <c r="X1605" s="51" t="str">
        <f t="shared" si="5"/>
        <v/>
      </c>
      <c r="Y1605" s="50" t="s">
        <v>482</v>
      </c>
      <c r="Z1605" s="49">
        <f t="shared" si="6"/>
        <v>0</v>
      </c>
    </row>
    <row r="1606" ht="22.5" customHeight="1">
      <c r="B1606" s="57"/>
      <c r="C1606" s="43" t="str">
        <f t="array" ref="C1606">IF(B1606="","",_xlfn.XLOOKUP(B1606,'Form responses 1'!$B$2:$B$2604,'Form responses 1'!$A$2:$A$2604,""))</f>
        <v/>
      </c>
      <c r="D1606" s="44" t="str">
        <f t="shared" si="3"/>
        <v/>
      </c>
      <c r="E1606" s="44" t="str">
        <f t="array" ref="E1606">IF(B1606="","",_xlfn.XLOOKUP(B1606,'Form responses 1'!$B$2:$B$2604,'Form responses 1'!$C$2:$C$2604,""))</f>
        <v/>
      </c>
      <c r="F1606" s="44" t="str">
        <f t="array" ref="F1606">IF(B1606="","",_xlfn.XLOOKUP(B1606,'Form responses 1'!$B$2:$B$2604,'Form responses 1'!$D$2:$D$2604,""))</f>
        <v/>
      </c>
      <c r="G1606" s="44" t="str">
        <f t="array" ref="G1606">IF(B1606="","",_xlfn.XLOOKUP(B1606,'Form responses 1'!$B$2:$B$2604,'Form responses 1'!$E$2:$E$2604,""))</f>
        <v/>
      </c>
      <c r="H1606" s="44" t="str">
        <f t="array" ref="H1606">IF(B1606="","",_xlfn.XLOOKUP(B1606,'Form responses 1'!$B$2:$B$2604,'Form responses 1'!$F$2:$F$2604,""))</f>
        <v/>
      </c>
      <c r="I1606" s="44" t="str">
        <f t="array" ref="I1606">IF(B1606="","",_xlfn.XLOOKUP(B1606,'Form responses 1'!$B$2:$B$2604,'Form responses 1'!$I$2:$I$2604,""))</f>
        <v/>
      </c>
      <c r="J1606" s="44" t="str">
        <f t="array" ref="J1606">IF(B1606="","",_xlfn.XLOOKUP(B1606,'Form responses 1'!$B$2:$B$2604,'Form responses 1'!$G$2:$G$2604,""))</f>
        <v/>
      </c>
      <c r="K1606" s="56"/>
      <c r="L1606" s="58" t="str">
        <f t="shared" si="7"/>
        <v/>
      </c>
      <c r="M1606" s="49"/>
      <c r="N1606" s="49"/>
      <c r="O1606" s="49"/>
      <c r="P1606" s="49"/>
      <c r="Q1606" s="49"/>
      <c r="R1606" s="49"/>
      <c r="S1606" s="49"/>
      <c r="T1606" s="49"/>
      <c r="U1606" s="49"/>
      <c r="V1606" s="49"/>
      <c r="W1606" s="56"/>
      <c r="X1606" s="51" t="str">
        <f t="shared" si="5"/>
        <v/>
      </c>
      <c r="Y1606" s="50" t="s">
        <v>482</v>
      </c>
      <c r="Z1606" s="49">
        <f t="shared" si="6"/>
        <v>0</v>
      </c>
    </row>
    <row r="1607" ht="22.5" customHeight="1">
      <c r="B1607" s="57"/>
      <c r="C1607" s="43" t="str">
        <f t="array" ref="C1607">IF(B1607="","",_xlfn.XLOOKUP(B1607,'Form responses 1'!$B$2:$B$2604,'Form responses 1'!$A$2:$A$2604,""))</f>
        <v/>
      </c>
      <c r="D1607" s="44" t="str">
        <f t="shared" si="3"/>
        <v/>
      </c>
      <c r="E1607" s="44" t="str">
        <f t="array" ref="E1607">IF(B1607="","",_xlfn.XLOOKUP(B1607,'Form responses 1'!$B$2:$B$2604,'Form responses 1'!$C$2:$C$2604,""))</f>
        <v/>
      </c>
      <c r="F1607" s="44" t="str">
        <f t="array" ref="F1607">IF(B1607="","",_xlfn.XLOOKUP(B1607,'Form responses 1'!$B$2:$B$2604,'Form responses 1'!$D$2:$D$2604,""))</f>
        <v/>
      </c>
      <c r="G1607" s="44" t="str">
        <f t="array" ref="G1607">IF(B1607="","",_xlfn.XLOOKUP(B1607,'Form responses 1'!$B$2:$B$2604,'Form responses 1'!$E$2:$E$2604,""))</f>
        <v/>
      </c>
      <c r="H1607" s="44" t="str">
        <f t="array" ref="H1607">IF(B1607="","",_xlfn.XLOOKUP(B1607,'Form responses 1'!$B$2:$B$2604,'Form responses 1'!$F$2:$F$2604,""))</f>
        <v/>
      </c>
      <c r="I1607" s="44" t="str">
        <f t="array" ref="I1607">IF(B1607="","",_xlfn.XLOOKUP(B1607,'Form responses 1'!$B$2:$B$2604,'Form responses 1'!$I$2:$I$2604,""))</f>
        <v/>
      </c>
      <c r="J1607" s="44" t="str">
        <f t="array" ref="J1607">IF(B1607="","",_xlfn.XLOOKUP(B1607,'Form responses 1'!$B$2:$B$2604,'Form responses 1'!$G$2:$G$2604,""))</f>
        <v/>
      </c>
      <c r="K1607" s="56"/>
      <c r="L1607" s="58" t="str">
        <f t="shared" si="7"/>
        <v/>
      </c>
      <c r="M1607" s="49"/>
      <c r="N1607" s="49"/>
      <c r="O1607" s="49"/>
      <c r="P1607" s="49"/>
      <c r="Q1607" s="49"/>
      <c r="R1607" s="49"/>
      <c r="S1607" s="49"/>
      <c r="T1607" s="49"/>
      <c r="U1607" s="49"/>
      <c r="V1607" s="49"/>
      <c r="W1607" s="56"/>
      <c r="X1607" s="51" t="str">
        <f t="shared" si="5"/>
        <v/>
      </c>
      <c r="Y1607" s="50" t="s">
        <v>482</v>
      </c>
      <c r="Z1607" s="49">
        <f t="shared" si="6"/>
        <v>0</v>
      </c>
    </row>
    <row r="1608" ht="22.5" customHeight="1">
      <c r="B1608" s="57"/>
      <c r="C1608" s="43" t="str">
        <f t="array" ref="C1608">IF(B1608="","",_xlfn.XLOOKUP(B1608,'Form responses 1'!$B$2:$B$2604,'Form responses 1'!$A$2:$A$2604,""))</f>
        <v/>
      </c>
      <c r="D1608" s="44" t="str">
        <f t="shared" si="3"/>
        <v/>
      </c>
      <c r="E1608" s="44" t="str">
        <f t="array" ref="E1608">IF(B1608="","",_xlfn.XLOOKUP(B1608,'Form responses 1'!$B$2:$B$2604,'Form responses 1'!$C$2:$C$2604,""))</f>
        <v/>
      </c>
      <c r="F1608" s="44" t="str">
        <f t="array" ref="F1608">IF(B1608="","",_xlfn.XLOOKUP(B1608,'Form responses 1'!$B$2:$B$2604,'Form responses 1'!$D$2:$D$2604,""))</f>
        <v/>
      </c>
      <c r="G1608" s="44" t="str">
        <f t="array" ref="G1608">IF(B1608="","",_xlfn.XLOOKUP(B1608,'Form responses 1'!$B$2:$B$2604,'Form responses 1'!$E$2:$E$2604,""))</f>
        <v/>
      </c>
      <c r="H1608" s="44" t="str">
        <f t="array" ref="H1608">IF(B1608="","",_xlfn.XLOOKUP(B1608,'Form responses 1'!$B$2:$B$2604,'Form responses 1'!$F$2:$F$2604,""))</f>
        <v/>
      </c>
      <c r="I1608" s="44" t="str">
        <f t="array" ref="I1608">IF(B1608="","",_xlfn.XLOOKUP(B1608,'Form responses 1'!$B$2:$B$2604,'Form responses 1'!$I$2:$I$2604,""))</f>
        <v/>
      </c>
      <c r="J1608" s="44" t="str">
        <f t="array" ref="J1608">IF(B1608="","",_xlfn.XLOOKUP(B1608,'Form responses 1'!$B$2:$B$2604,'Form responses 1'!$G$2:$G$2604,""))</f>
        <v/>
      </c>
      <c r="K1608" s="56"/>
      <c r="L1608" s="58" t="str">
        <f t="shared" si="7"/>
        <v/>
      </c>
      <c r="M1608" s="49"/>
      <c r="N1608" s="49"/>
      <c r="O1608" s="49"/>
      <c r="P1608" s="49"/>
      <c r="Q1608" s="49"/>
      <c r="R1608" s="49"/>
      <c r="S1608" s="49"/>
      <c r="T1608" s="49"/>
      <c r="U1608" s="49"/>
      <c r="V1608" s="49"/>
      <c r="W1608" s="56"/>
      <c r="X1608" s="51" t="str">
        <f t="shared" si="5"/>
        <v/>
      </c>
      <c r="Y1608" s="50" t="s">
        <v>482</v>
      </c>
      <c r="Z1608" s="49">
        <f t="shared" si="6"/>
        <v>0</v>
      </c>
    </row>
    <row r="1609" ht="22.5" customHeight="1">
      <c r="B1609" s="57"/>
      <c r="C1609" s="43" t="str">
        <f t="array" ref="C1609">IF(B1609="","",_xlfn.XLOOKUP(B1609,'Form responses 1'!$B$2:$B$2604,'Form responses 1'!$A$2:$A$2604,""))</f>
        <v/>
      </c>
      <c r="D1609" s="44" t="str">
        <f t="shared" si="3"/>
        <v/>
      </c>
      <c r="E1609" s="44" t="str">
        <f t="array" ref="E1609">IF(B1609="","",_xlfn.XLOOKUP(B1609,'Form responses 1'!$B$2:$B$2604,'Form responses 1'!$C$2:$C$2604,""))</f>
        <v/>
      </c>
      <c r="F1609" s="44" t="str">
        <f t="array" ref="F1609">IF(B1609="","",_xlfn.XLOOKUP(B1609,'Form responses 1'!$B$2:$B$2604,'Form responses 1'!$D$2:$D$2604,""))</f>
        <v/>
      </c>
      <c r="G1609" s="44" t="str">
        <f t="array" ref="G1609">IF(B1609="","",_xlfn.XLOOKUP(B1609,'Form responses 1'!$B$2:$B$2604,'Form responses 1'!$E$2:$E$2604,""))</f>
        <v/>
      </c>
      <c r="H1609" s="44" t="str">
        <f t="array" ref="H1609">IF(B1609="","",_xlfn.XLOOKUP(B1609,'Form responses 1'!$B$2:$B$2604,'Form responses 1'!$F$2:$F$2604,""))</f>
        <v/>
      </c>
      <c r="I1609" s="44" t="str">
        <f t="array" ref="I1609">IF(B1609="","",_xlfn.XLOOKUP(B1609,'Form responses 1'!$B$2:$B$2604,'Form responses 1'!$I$2:$I$2604,""))</f>
        <v/>
      </c>
      <c r="J1609" s="44" t="str">
        <f t="array" ref="J1609">IF(B1609="","",_xlfn.XLOOKUP(B1609,'Form responses 1'!$B$2:$B$2604,'Form responses 1'!$G$2:$G$2604,""))</f>
        <v/>
      </c>
      <c r="K1609" s="56"/>
      <c r="L1609" s="58" t="str">
        <f t="shared" si="7"/>
        <v/>
      </c>
      <c r="M1609" s="49"/>
      <c r="N1609" s="49"/>
      <c r="O1609" s="49"/>
      <c r="P1609" s="49"/>
      <c r="Q1609" s="49"/>
      <c r="R1609" s="49"/>
      <c r="S1609" s="49"/>
      <c r="T1609" s="49"/>
      <c r="U1609" s="49"/>
      <c r="V1609" s="49"/>
      <c r="W1609" s="56"/>
      <c r="X1609" s="51" t="str">
        <f t="shared" si="5"/>
        <v/>
      </c>
      <c r="Y1609" s="50" t="s">
        <v>482</v>
      </c>
      <c r="Z1609" s="49">
        <f t="shared" si="6"/>
        <v>0</v>
      </c>
    </row>
    <row r="1610" ht="22.5" customHeight="1">
      <c r="B1610" s="57"/>
      <c r="C1610" s="43" t="str">
        <f t="array" ref="C1610">IF(B1610="","",_xlfn.XLOOKUP(B1610,'Form responses 1'!$B$2:$B$2604,'Form responses 1'!$A$2:$A$2604,""))</f>
        <v/>
      </c>
      <c r="D1610" s="44" t="str">
        <f t="shared" si="3"/>
        <v/>
      </c>
      <c r="E1610" s="44" t="str">
        <f t="array" ref="E1610">IF(B1610="","",_xlfn.XLOOKUP(B1610,'Form responses 1'!$B$2:$B$2604,'Form responses 1'!$C$2:$C$2604,""))</f>
        <v/>
      </c>
      <c r="F1610" s="44" t="str">
        <f t="array" ref="F1610">IF(B1610="","",_xlfn.XLOOKUP(B1610,'Form responses 1'!$B$2:$B$2604,'Form responses 1'!$D$2:$D$2604,""))</f>
        <v/>
      </c>
      <c r="G1610" s="44" t="str">
        <f t="array" ref="G1610">IF(B1610="","",_xlfn.XLOOKUP(B1610,'Form responses 1'!$B$2:$B$2604,'Form responses 1'!$E$2:$E$2604,""))</f>
        <v/>
      </c>
      <c r="H1610" s="44" t="str">
        <f t="array" ref="H1610">IF(B1610="","",_xlfn.XLOOKUP(B1610,'Form responses 1'!$B$2:$B$2604,'Form responses 1'!$F$2:$F$2604,""))</f>
        <v/>
      </c>
      <c r="I1610" s="44" t="str">
        <f t="array" ref="I1610">IF(B1610="","",_xlfn.XLOOKUP(B1610,'Form responses 1'!$B$2:$B$2604,'Form responses 1'!$I$2:$I$2604,""))</f>
        <v/>
      </c>
      <c r="J1610" s="44" t="str">
        <f t="array" ref="J1610">IF(B1610="","",_xlfn.XLOOKUP(B1610,'Form responses 1'!$B$2:$B$2604,'Form responses 1'!$G$2:$G$2604,""))</f>
        <v/>
      </c>
      <c r="K1610" s="56"/>
      <c r="L1610" s="58" t="str">
        <f t="shared" si="7"/>
        <v/>
      </c>
      <c r="M1610" s="49"/>
      <c r="N1610" s="49"/>
      <c r="O1610" s="49"/>
      <c r="P1610" s="49"/>
      <c r="Q1610" s="49"/>
      <c r="R1610" s="49"/>
      <c r="S1610" s="49"/>
      <c r="T1610" s="49"/>
      <c r="U1610" s="49"/>
      <c r="V1610" s="49"/>
      <c r="W1610" s="56"/>
      <c r="X1610" s="51" t="str">
        <f t="shared" si="5"/>
        <v/>
      </c>
      <c r="Y1610" s="50" t="s">
        <v>482</v>
      </c>
      <c r="Z1610" s="49">
        <f t="shared" si="6"/>
        <v>0</v>
      </c>
    </row>
    <row r="1611" ht="22.5" customHeight="1">
      <c r="B1611" s="57"/>
      <c r="C1611" s="43" t="str">
        <f t="array" ref="C1611">IF(B1611="","",_xlfn.XLOOKUP(B1611,'Form responses 1'!$B$2:$B$2604,'Form responses 1'!$A$2:$A$2604,""))</f>
        <v/>
      </c>
      <c r="D1611" s="44" t="str">
        <f t="shared" si="3"/>
        <v/>
      </c>
      <c r="E1611" s="44" t="str">
        <f t="array" ref="E1611">IF(B1611="","",_xlfn.XLOOKUP(B1611,'Form responses 1'!$B$2:$B$2604,'Form responses 1'!$C$2:$C$2604,""))</f>
        <v/>
      </c>
      <c r="F1611" s="44" t="str">
        <f t="array" ref="F1611">IF(B1611="","",_xlfn.XLOOKUP(B1611,'Form responses 1'!$B$2:$B$2604,'Form responses 1'!$D$2:$D$2604,""))</f>
        <v/>
      </c>
      <c r="G1611" s="44" t="str">
        <f t="array" ref="G1611">IF(B1611="","",_xlfn.XLOOKUP(B1611,'Form responses 1'!$B$2:$B$2604,'Form responses 1'!$E$2:$E$2604,""))</f>
        <v/>
      </c>
      <c r="H1611" s="44" t="str">
        <f t="array" ref="H1611">IF(B1611="","",_xlfn.XLOOKUP(B1611,'Form responses 1'!$B$2:$B$2604,'Form responses 1'!$F$2:$F$2604,""))</f>
        <v/>
      </c>
      <c r="I1611" s="44" t="str">
        <f t="array" ref="I1611">IF(B1611="","",_xlfn.XLOOKUP(B1611,'Form responses 1'!$B$2:$B$2604,'Form responses 1'!$I$2:$I$2604,""))</f>
        <v/>
      </c>
      <c r="J1611" s="44" t="str">
        <f t="array" ref="J1611">IF(B1611="","",_xlfn.XLOOKUP(B1611,'Form responses 1'!$B$2:$B$2604,'Form responses 1'!$G$2:$G$2604,""))</f>
        <v/>
      </c>
      <c r="K1611" s="56"/>
      <c r="L1611" s="58" t="str">
        <f t="shared" si="7"/>
        <v/>
      </c>
      <c r="M1611" s="49"/>
      <c r="N1611" s="49"/>
      <c r="O1611" s="49"/>
      <c r="P1611" s="49"/>
      <c r="Q1611" s="49"/>
      <c r="R1611" s="49"/>
      <c r="S1611" s="49"/>
      <c r="T1611" s="49"/>
      <c r="U1611" s="49"/>
      <c r="V1611" s="49"/>
      <c r="W1611" s="56"/>
      <c r="X1611" s="51" t="str">
        <f t="shared" si="5"/>
        <v/>
      </c>
      <c r="Y1611" s="50" t="s">
        <v>482</v>
      </c>
      <c r="Z1611" s="49">
        <f t="shared" si="6"/>
        <v>0</v>
      </c>
    </row>
    <row r="1612" ht="22.5" customHeight="1">
      <c r="B1612" s="57"/>
      <c r="C1612" s="43" t="str">
        <f t="array" ref="C1612">IF(B1612="","",_xlfn.XLOOKUP(B1612,'Form responses 1'!$B$2:$B$2604,'Form responses 1'!$A$2:$A$2604,""))</f>
        <v/>
      </c>
      <c r="D1612" s="44" t="str">
        <f t="shared" si="3"/>
        <v/>
      </c>
      <c r="E1612" s="44" t="str">
        <f t="array" ref="E1612">IF(B1612="","",_xlfn.XLOOKUP(B1612,'Form responses 1'!$B$2:$B$2604,'Form responses 1'!$C$2:$C$2604,""))</f>
        <v/>
      </c>
      <c r="F1612" s="44" t="str">
        <f t="array" ref="F1612">IF(B1612="","",_xlfn.XLOOKUP(B1612,'Form responses 1'!$B$2:$B$2604,'Form responses 1'!$D$2:$D$2604,""))</f>
        <v/>
      </c>
      <c r="G1612" s="44" t="str">
        <f t="array" ref="G1612">IF(B1612="","",_xlfn.XLOOKUP(B1612,'Form responses 1'!$B$2:$B$2604,'Form responses 1'!$E$2:$E$2604,""))</f>
        <v/>
      </c>
      <c r="H1612" s="44" t="str">
        <f t="array" ref="H1612">IF(B1612="","",_xlfn.XLOOKUP(B1612,'Form responses 1'!$B$2:$B$2604,'Form responses 1'!$F$2:$F$2604,""))</f>
        <v/>
      </c>
      <c r="I1612" s="44" t="str">
        <f t="array" ref="I1612">IF(B1612="","",_xlfn.XLOOKUP(B1612,'Form responses 1'!$B$2:$B$2604,'Form responses 1'!$I$2:$I$2604,""))</f>
        <v/>
      </c>
      <c r="J1612" s="44" t="str">
        <f t="array" ref="J1612">IF(B1612="","",_xlfn.XLOOKUP(B1612,'Form responses 1'!$B$2:$B$2604,'Form responses 1'!$G$2:$G$2604,""))</f>
        <v/>
      </c>
      <c r="K1612" s="56"/>
      <c r="L1612" s="58" t="str">
        <f t="shared" si="7"/>
        <v/>
      </c>
      <c r="M1612" s="49"/>
      <c r="N1612" s="49"/>
      <c r="O1612" s="49"/>
      <c r="P1612" s="49"/>
      <c r="Q1612" s="49"/>
      <c r="R1612" s="49"/>
      <c r="S1612" s="49"/>
      <c r="T1612" s="49"/>
      <c r="U1612" s="49"/>
      <c r="V1612" s="49"/>
      <c r="W1612" s="56"/>
      <c r="X1612" s="51" t="str">
        <f t="shared" si="5"/>
        <v/>
      </c>
      <c r="Y1612" s="50" t="s">
        <v>482</v>
      </c>
      <c r="Z1612" s="49">
        <f t="shared" si="6"/>
        <v>0</v>
      </c>
    </row>
    <row r="1613" ht="22.5" customHeight="1">
      <c r="B1613" s="57"/>
      <c r="C1613" s="43" t="str">
        <f t="array" ref="C1613">IF(B1613="","",_xlfn.XLOOKUP(B1613,'Form responses 1'!$B$2:$B$2604,'Form responses 1'!$A$2:$A$2604,""))</f>
        <v/>
      </c>
      <c r="D1613" s="44" t="str">
        <f t="shared" si="3"/>
        <v/>
      </c>
      <c r="E1613" s="44" t="str">
        <f t="array" ref="E1613">IF(B1613="","",_xlfn.XLOOKUP(B1613,'Form responses 1'!$B$2:$B$2604,'Form responses 1'!$C$2:$C$2604,""))</f>
        <v/>
      </c>
      <c r="F1613" s="44" t="str">
        <f t="array" ref="F1613">IF(B1613="","",_xlfn.XLOOKUP(B1613,'Form responses 1'!$B$2:$B$2604,'Form responses 1'!$D$2:$D$2604,""))</f>
        <v/>
      </c>
      <c r="G1613" s="44" t="str">
        <f t="array" ref="G1613">IF(B1613="","",_xlfn.XLOOKUP(B1613,'Form responses 1'!$B$2:$B$2604,'Form responses 1'!$E$2:$E$2604,""))</f>
        <v/>
      </c>
      <c r="H1613" s="44" t="str">
        <f t="array" ref="H1613">IF(B1613="","",_xlfn.XLOOKUP(B1613,'Form responses 1'!$B$2:$B$2604,'Form responses 1'!$F$2:$F$2604,""))</f>
        <v/>
      </c>
      <c r="I1613" s="44" t="str">
        <f t="array" ref="I1613">IF(B1613="","",_xlfn.XLOOKUP(B1613,'Form responses 1'!$B$2:$B$2604,'Form responses 1'!$I$2:$I$2604,""))</f>
        <v/>
      </c>
      <c r="J1613" s="44" t="str">
        <f t="array" ref="J1613">IF(B1613="","",_xlfn.XLOOKUP(B1613,'Form responses 1'!$B$2:$B$2604,'Form responses 1'!$G$2:$G$2604,""))</f>
        <v/>
      </c>
      <c r="K1613" s="56"/>
      <c r="L1613" s="58" t="str">
        <f t="shared" si="7"/>
        <v/>
      </c>
      <c r="M1613" s="49"/>
      <c r="N1613" s="49"/>
      <c r="O1613" s="49"/>
      <c r="P1613" s="49"/>
      <c r="Q1613" s="49"/>
      <c r="R1613" s="49"/>
      <c r="S1613" s="49"/>
      <c r="T1613" s="49"/>
      <c r="U1613" s="49"/>
      <c r="V1613" s="49"/>
      <c r="W1613" s="56"/>
      <c r="X1613" s="51" t="str">
        <f t="shared" si="5"/>
        <v/>
      </c>
      <c r="Y1613" s="50" t="s">
        <v>482</v>
      </c>
      <c r="Z1613" s="49">
        <f t="shared" si="6"/>
        <v>0</v>
      </c>
    </row>
    <row r="1614" ht="22.5" customHeight="1">
      <c r="B1614" s="57"/>
      <c r="C1614" s="43" t="str">
        <f t="array" ref="C1614">IF(B1614="","",_xlfn.XLOOKUP(B1614,'Form responses 1'!$B$2:$B$2604,'Form responses 1'!$A$2:$A$2604,""))</f>
        <v/>
      </c>
      <c r="D1614" s="44" t="str">
        <f t="shared" si="3"/>
        <v/>
      </c>
      <c r="E1614" s="44" t="str">
        <f t="array" ref="E1614">IF(B1614="","",_xlfn.XLOOKUP(B1614,'Form responses 1'!$B$2:$B$2604,'Form responses 1'!$C$2:$C$2604,""))</f>
        <v/>
      </c>
      <c r="F1614" s="44" t="str">
        <f t="array" ref="F1614">IF(B1614="","",_xlfn.XLOOKUP(B1614,'Form responses 1'!$B$2:$B$2604,'Form responses 1'!$D$2:$D$2604,""))</f>
        <v/>
      </c>
      <c r="G1614" s="44" t="str">
        <f t="array" ref="G1614">IF(B1614="","",_xlfn.XLOOKUP(B1614,'Form responses 1'!$B$2:$B$2604,'Form responses 1'!$E$2:$E$2604,""))</f>
        <v/>
      </c>
      <c r="H1614" s="44" t="str">
        <f t="array" ref="H1614">IF(B1614="","",_xlfn.XLOOKUP(B1614,'Form responses 1'!$B$2:$B$2604,'Form responses 1'!$F$2:$F$2604,""))</f>
        <v/>
      </c>
      <c r="I1614" s="44" t="str">
        <f t="array" ref="I1614">IF(B1614="","",_xlfn.XLOOKUP(B1614,'Form responses 1'!$B$2:$B$2604,'Form responses 1'!$I$2:$I$2604,""))</f>
        <v/>
      </c>
      <c r="J1614" s="44" t="str">
        <f t="array" ref="J1614">IF(B1614="","",_xlfn.XLOOKUP(B1614,'Form responses 1'!$B$2:$B$2604,'Form responses 1'!$G$2:$G$2604,""))</f>
        <v/>
      </c>
      <c r="K1614" s="56"/>
      <c r="L1614" s="58" t="str">
        <f t="shared" si="7"/>
        <v/>
      </c>
      <c r="M1614" s="49"/>
      <c r="N1614" s="49"/>
      <c r="O1614" s="49"/>
      <c r="P1614" s="49"/>
      <c r="Q1614" s="49"/>
      <c r="R1614" s="49"/>
      <c r="S1614" s="49"/>
      <c r="T1614" s="49"/>
      <c r="U1614" s="49"/>
      <c r="V1614" s="49"/>
      <c r="W1614" s="56"/>
      <c r="X1614" s="51" t="str">
        <f t="shared" si="5"/>
        <v/>
      </c>
      <c r="Y1614" s="50" t="s">
        <v>482</v>
      </c>
      <c r="Z1614" s="49">
        <f t="shared" si="6"/>
        <v>0</v>
      </c>
    </row>
    <row r="1615" ht="22.5" customHeight="1">
      <c r="B1615" s="57"/>
      <c r="C1615" s="43" t="str">
        <f t="array" ref="C1615">IF(B1615="","",_xlfn.XLOOKUP(B1615,'Form responses 1'!$B$2:$B$2604,'Form responses 1'!$A$2:$A$2604,""))</f>
        <v/>
      </c>
      <c r="D1615" s="44" t="str">
        <f t="shared" si="3"/>
        <v/>
      </c>
      <c r="E1615" s="44" t="str">
        <f t="array" ref="E1615">IF(B1615="","",_xlfn.XLOOKUP(B1615,'Form responses 1'!$B$2:$B$2604,'Form responses 1'!$C$2:$C$2604,""))</f>
        <v/>
      </c>
      <c r="F1615" s="44" t="str">
        <f t="array" ref="F1615">IF(B1615="","",_xlfn.XLOOKUP(B1615,'Form responses 1'!$B$2:$B$2604,'Form responses 1'!$D$2:$D$2604,""))</f>
        <v/>
      </c>
      <c r="G1615" s="44" t="str">
        <f t="array" ref="G1615">IF(B1615="","",_xlfn.XLOOKUP(B1615,'Form responses 1'!$B$2:$B$2604,'Form responses 1'!$E$2:$E$2604,""))</f>
        <v/>
      </c>
      <c r="H1615" s="44" t="str">
        <f t="array" ref="H1615">IF(B1615="","",_xlfn.XLOOKUP(B1615,'Form responses 1'!$B$2:$B$2604,'Form responses 1'!$F$2:$F$2604,""))</f>
        <v/>
      </c>
      <c r="I1615" s="44" t="str">
        <f t="array" ref="I1615">IF(B1615="","",_xlfn.XLOOKUP(B1615,'Form responses 1'!$B$2:$B$2604,'Form responses 1'!$I$2:$I$2604,""))</f>
        <v/>
      </c>
      <c r="J1615" s="44" t="str">
        <f t="array" ref="J1615">IF(B1615="","",_xlfn.XLOOKUP(B1615,'Form responses 1'!$B$2:$B$2604,'Form responses 1'!$G$2:$G$2604,""))</f>
        <v/>
      </c>
      <c r="K1615" s="56"/>
      <c r="L1615" s="58" t="str">
        <f t="shared" si="7"/>
        <v/>
      </c>
      <c r="M1615" s="49"/>
      <c r="N1615" s="49"/>
      <c r="O1615" s="49"/>
      <c r="P1615" s="49"/>
      <c r="Q1615" s="49"/>
      <c r="R1615" s="49"/>
      <c r="S1615" s="49"/>
      <c r="T1615" s="49"/>
      <c r="U1615" s="49"/>
      <c r="V1615" s="49"/>
      <c r="W1615" s="56"/>
      <c r="X1615" s="51" t="str">
        <f t="shared" si="5"/>
        <v/>
      </c>
      <c r="Y1615" s="50" t="s">
        <v>482</v>
      </c>
      <c r="Z1615" s="49">
        <f t="shared" si="6"/>
        <v>0</v>
      </c>
    </row>
    <row r="1616" ht="22.5" customHeight="1">
      <c r="B1616" s="57"/>
      <c r="C1616" s="43" t="str">
        <f t="array" ref="C1616">IF(B1616="","",_xlfn.XLOOKUP(B1616,'Form responses 1'!$B$2:$B$2604,'Form responses 1'!$A$2:$A$2604,""))</f>
        <v/>
      </c>
      <c r="D1616" s="44" t="str">
        <f t="shared" si="3"/>
        <v/>
      </c>
      <c r="E1616" s="44" t="str">
        <f t="array" ref="E1616">IF(B1616="","",_xlfn.XLOOKUP(B1616,'Form responses 1'!$B$2:$B$2604,'Form responses 1'!$C$2:$C$2604,""))</f>
        <v/>
      </c>
      <c r="F1616" s="44" t="str">
        <f t="array" ref="F1616">IF(B1616="","",_xlfn.XLOOKUP(B1616,'Form responses 1'!$B$2:$B$2604,'Form responses 1'!$D$2:$D$2604,""))</f>
        <v/>
      </c>
      <c r="G1616" s="44" t="str">
        <f t="array" ref="G1616">IF(B1616="","",_xlfn.XLOOKUP(B1616,'Form responses 1'!$B$2:$B$2604,'Form responses 1'!$E$2:$E$2604,""))</f>
        <v/>
      </c>
      <c r="H1616" s="44" t="str">
        <f t="array" ref="H1616">IF(B1616="","",_xlfn.XLOOKUP(B1616,'Form responses 1'!$B$2:$B$2604,'Form responses 1'!$F$2:$F$2604,""))</f>
        <v/>
      </c>
      <c r="I1616" s="44" t="str">
        <f t="array" ref="I1616">IF(B1616="","",_xlfn.XLOOKUP(B1616,'Form responses 1'!$B$2:$B$2604,'Form responses 1'!$I$2:$I$2604,""))</f>
        <v/>
      </c>
      <c r="J1616" s="44" t="str">
        <f t="array" ref="J1616">IF(B1616="","",_xlfn.XLOOKUP(B1616,'Form responses 1'!$B$2:$B$2604,'Form responses 1'!$G$2:$G$2604,""))</f>
        <v/>
      </c>
      <c r="K1616" s="56"/>
      <c r="L1616" s="58" t="str">
        <f t="shared" si="7"/>
        <v/>
      </c>
      <c r="M1616" s="49"/>
      <c r="N1616" s="49"/>
      <c r="O1616" s="49"/>
      <c r="P1616" s="49"/>
      <c r="Q1616" s="49"/>
      <c r="R1616" s="49"/>
      <c r="S1616" s="49"/>
      <c r="T1616" s="49"/>
      <c r="U1616" s="49"/>
      <c r="V1616" s="49"/>
      <c r="W1616" s="56"/>
      <c r="X1616" s="51" t="str">
        <f t="shared" si="5"/>
        <v/>
      </c>
      <c r="Y1616" s="50" t="s">
        <v>482</v>
      </c>
      <c r="Z1616" s="49">
        <f t="shared" si="6"/>
        <v>0</v>
      </c>
    </row>
    <row r="1617" ht="22.5" customHeight="1">
      <c r="B1617" s="57"/>
      <c r="C1617" s="43" t="str">
        <f t="array" ref="C1617">IF(B1617="","",_xlfn.XLOOKUP(B1617,'Form responses 1'!$B$2:$B$2604,'Form responses 1'!$A$2:$A$2604,""))</f>
        <v/>
      </c>
      <c r="D1617" s="44" t="str">
        <f t="shared" si="3"/>
        <v/>
      </c>
      <c r="E1617" s="44" t="str">
        <f t="array" ref="E1617">IF(B1617="","",_xlfn.XLOOKUP(B1617,'Form responses 1'!$B$2:$B$2604,'Form responses 1'!$C$2:$C$2604,""))</f>
        <v/>
      </c>
      <c r="F1617" s="44" t="str">
        <f t="array" ref="F1617">IF(B1617="","",_xlfn.XLOOKUP(B1617,'Form responses 1'!$B$2:$B$2604,'Form responses 1'!$D$2:$D$2604,""))</f>
        <v/>
      </c>
      <c r="G1617" s="44" t="str">
        <f t="array" ref="G1617">IF(B1617="","",_xlfn.XLOOKUP(B1617,'Form responses 1'!$B$2:$B$2604,'Form responses 1'!$E$2:$E$2604,""))</f>
        <v/>
      </c>
      <c r="H1617" s="44" t="str">
        <f t="array" ref="H1617">IF(B1617="","",_xlfn.XLOOKUP(B1617,'Form responses 1'!$B$2:$B$2604,'Form responses 1'!$F$2:$F$2604,""))</f>
        <v/>
      </c>
      <c r="I1617" s="44" t="str">
        <f t="array" ref="I1617">IF(B1617="","",_xlfn.XLOOKUP(B1617,'Form responses 1'!$B$2:$B$2604,'Form responses 1'!$I$2:$I$2604,""))</f>
        <v/>
      </c>
      <c r="J1617" s="44" t="str">
        <f t="array" ref="J1617">IF(B1617="","",_xlfn.XLOOKUP(B1617,'Form responses 1'!$B$2:$B$2604,'Form responses 1'!$G$2:$G$2604,""))</f>
        <v/>
      </c>
      <c r="K1617" s="56"/>
      <c r="L1617" s="58" t="str">
        <f t="shared" si="7"/>
        <v/>
      </c>
      <c r="M1617" s="49"/>
      <c r="N1617" s="49"/>
      <c r="O1617" s="49"/>
      <c r="P1617" s="49"/>
      <c r="Q1617" s="49"/>
      <c r="R1617" s="49"/>
      <c r="S1617" s="49"/>
      <c r="T1617" s="49"/>
      <c r="U1617" s="49"/>
      <c r="V1617" s="49"/>
      <c r="W1617" s="56"/>
      <c r="X1617" s="51" t="str">
        <f t="shared" si="5"/>
        <v/>
      </c>
      <c r="Y1617" s="50" t="s">
        <v>482</v>
      </c>
      <c r="Z1617" s="49">
        <f t="shared" si="6"/>
        <v>0</v>
      </c>
    </row>
    <row r="1618" ht="22.5" customHeight="1">
      <c r="B1618" s="57"/>
      <c r="C1618" s="43" t="str">
        <f t="array" ref="C1618">IF(B1618="","",_xlfn.XLOOKUP(B1618,'Form responses 1'!$B$2:$B$2604,'Form responses 1'!$A$2:$A$2604,""))</f>
        <v/>
      </c>
      <c r="D1618" s="44" t="str">
        <f t="shared" si="3"/>
        <v/>
      </c>
      <c r="E1618" s="44" t="str">
        <f t="array" ref="E1618">IF(B1618="","",_xlfn.XLOOKUP(B1618,'Form responses 1'!$B$2:$B$2604,'Form responses 1'!$C$2:$C$2604,""))</f>
        <v/>
      </c>
      <c r="F1618" s="44" t="str">
        <f t="array" ref="F1618">IF(B1618="","",_xlfn.XLOOKUP(B1618,'Form responses 1'!$B$2:$B$2604,'Form responses 1'!$D$2:$D$2604,""))</f>
        <v/>
      </c>
      <c r="G1618" s="44" t="str">
        <f t="array" ref="G1618">IF(B1618="","",_xlfn.XLOOKUP(B1618,'Form responses 1'!$B$2:$B$2604,'Form responses 1'!$E$2:$E$2604,""))</f>
        <v/>
      </c>
      <c r="H1618" s="44" t="str">
        <f t="array" ref="H1618">IF(B1618="","",_xlfn.XLOOKUP(B1618,'Form responses 1'!$B$2:$B$2604,'Form responses 1'!$F$2:$F$2604,""))</f>
        <v/>
      </c>
      <c r="I1618" s="44" t="str">
        <f t="array" ref="I1618">IF(B1618="","",_xlfn.XLOOKUP(B1618,'Form responses 1'!$B$2:$B$2604,'Form responses 1'!$I$2:$I$2604,""))</f>
        <v/>
      </c>
      <c r="J1618" s="44" t="str">
        <f t="array" ref="J1618">IF(B1618="","",_xlfn.XLOOKUP(B1618,'Form responses 1'!$B$2:$B$2604,'Form responses 1'!$G$2:$G$2604,""))</f>
        <v/>
      </c>
      <c r="K1618" s="56"/>
      <c r="L1618" s="58" t="str">
        <f t="shared" si="7"/>
        <v/>
      </c>
      <c r="M1618" s="49"/>
      <c r="N1618" s="49"/>
      <c r="O1618" s="49"/>
      <c r="P1618" s="49"/>
      <c r="Q1618" s="49"/>
      <c r="R1618" s="49"/>
      <c r="S1618" s="49"/>
      <c r="T1618" s="49"/>
      <c r="U1618" s="49"/>
      <c r="V1618" s="49"/>
      <c r="W1618" s="56"/>
      <c r="X1618" s="51" t="str">
        <f t="shared" si="5"/>
        <v/>
      </c>
      <c r="Y1618" s="50" t="s">
        <v>482</v>
      </c>
      <c r="Z1618" s="49">
        <f t="shared" si="6"/>
        <v>0</v>
      </c>
    </row>
    <row r="1619" ht="22.5" customHeight="1">
      <c r="B1619" s="57"/>
      <c r="C1619" s="43" t="str">
        <f t="array" ref="C1619">IF(B1619="","",_xlfn.XLOOKUP(B1619,'Form responses 1'!$B$2:$B$2604,'Form responses 1'!$A$2:$A$2604,""))</f>
        <v/>
      </c>
      <c r="D1619" s="44" t="str">
        <f t="shared" si="3"/>
        <v/>
      </c>
      <c r="E1619" s="44" t="str">
        <f t="array" ref="E1619">IF(B1619="","",_xlfn.XLOOKUP(B1619,'Form responses 1'!$B$2:$B$2604,'Form responses 1'!$C$2:$C$2604,""))</f>
        <v/>
      </c>
      <c r="F1619" s="44" t="str">
        <f t="array" ref="F1619">IF(B1619="","",_xlfn.XLOOKUP(B1619,'Form responses 1'!$B$2:$B$2604,'Form responses 1'!$D$2:$D$2604,""))</f>
        <v/>
      </c>
      <c r="G1619" s="44" t="str">
        <f t="array" ref="G1619">IF(B1619="","",_xlfn.XLOOKUP(B1619,'Form responses 1'!$B$2:$B$2604,'Form responses 1'!$E$2:$E$2604,""))</f>
        <v/>
      </c>
      <c r="H1619" s="44" t="str">
        <f t="array" ref="H1619">IF(B1619="","",_xlfn.XLOOKUP(B1619,'Form responses 1'!$B$2:$B$2604,'Form responses 1'!$F$2:$F$2604,""))</f>
        <v/>
      </c>
      <c r="I1619" s="44" t="str">
        <f t="array" ref="I1619">IF(B1619="","",_xlfn.XLOOKUP(B1619,'Form responses 1'!$B$2:$B$2604,'Form responses 1'!$I$2:$I$2604,""))</f>
        <v/>
      </c>
      <c r="J1619" s="44" t="str">
        <f t="array" ref="J1619">IF(B1619="","",_xlfn.XLOOKUP(B1619,'Form responses 1'!$B$2:$B$2604,'Form responses 1'!$G$2:$G$2604,""))</f>
        <v/>
      </c>
      <c r="K1619" s="56"/>
      <c r="L1619" s="58" t="str">
        <f t="shared" si="7"/>
        <v/>
      </c>
      <c r="M1619" s="49"/>
      <c r="N1619" s="49"/>
      <c r="O1619" s="49"/>
      <c r="P1619" s="49"/>
      <c r="Q1619" s="49"/>
      <c r="R1619" s="49"/>
      <c r="S1619" s="49"/>
      <c r="T1619" s="49"/>
      <c r="U1619" s="49"/>
      <c r="V1619" s="49"/>
      <c r="W1619" s="56"/>
      <c r="X1619" s="51" t="str">
        <f t="shared" si="5"/>
        <v/>
      </c>
      <c r="Y1619" s="50" t="s">
        <v>482</v>
      </c>
      <c r="Z1619" s="49">
        <f t="shared" si="6"/>
        <v>0</v>
      </c>
    </row>
    <row r="1620" ht="22.5" customHeight="1">
      <c r="B1620" s="57"/>
      <c r="C1620" s="43" t="str">
        <f t="array" ref="C1620">IF(B1620="","",_xlfn.XLOOKUP(B1620,'Form responses 1'!$B$2:$B$2604,'Form responses 1'!$A$2:$A$2604,""))</f>
        <v/>
      </c>
      <c r="D1620" s="44" t="str">
        <f t="shared" si="3"/>
        <v/>
      </c>
      <c r="E1620" s="44" t="str">
        <f t="array" ref="E1620">IF(B1620="","",_xlfn.XLOOKUP(B1620,'Form responses 1'!$B$2:$B$2604,'Form responses 1'!$C$2:$C$2604,""))</f>
        <v/>
      </c>
      <c r="F1620" s="44" t="str">
        <f t="array" ref="F1620">IF(B1620="","",_xlfn.XLOOKUP(B1620,'Form responses 1'!$B$2:$B$2604,'Form responses 1'!$D$2:$D$2604,""))</f>
        <v/>
      </c>
      <c r="G1620" s="44" t="str">
        <f t="array" ref="G1620">IF(B1620="","",_xlfn.XLOOKUP(B1620,'Form responses 1'!$B$2:$B$2604,'Form responses 1'!$E$2:$E$2604,""))</f>
        <v/>
      </c>
      <c r="H1620" s="44" t="str">
        <f t="array" ref="H1620">IF(B1620="","",_xlfn.XLOOKUP(B1620,'Form responses 1'!$B$2:$B$2604,'Form responses 1'!$F$2:$F$2604,""))</f>
        <v/>
      </c>
      <c r="I1620" s="44" t="str">
        <f t="array" ref="I1620">IF(B1620="","",_xlfn.XLOOKUP(B1620,'Form responses 1'!$B$2:$B$2604,'Form responses 1'!$I$2:$I$2604,""))</f>
        <v/>
      </c>
      <c r="J1620" s="44" t="str">
        <f t="array" ref="J1620">IF(B1620="","",_xlfn.XLOOKUP(B1620,'Form responses 1'!$B$2:$B$2604,'Form responses 1'!$G$2:$G$2604,""))</f>
        <v/>
      </c>
      <c r="K1620" s="56"/>
      <c r="L1620" s="58" t="str">
        <f t="shared" si="7"/>
        <v/>
      </c>
      <c r="M1620" s="49"/>
      <c r="N1620" s="49"/>
      <c r="O1620" s="49"/>
      <c r="P1620" s="49"/>
      <c r="Q1620" s="49"/>
      <c r="R1620" s="49"/>
      <c r="S1620" s="49"/>
      <c r="T1620" s="49"/>
      <c r="U1620" s="49"/>
      <c r="V1620" s="49"/>
      <c r="W1620" s="56"/>
      <c r="X1620" s="51" t="str">
        <f t="shared" si="5"/>
        <v/>
      </c>
      <c r="Y1620" s="50" t="s">
        <v>482</v>
      </c>
      <c r="Z1620" s="49">
        <f t="shared" si="6"/>
        <v>0</v>
      </c>
    </row>
    <row r="1621" ht="22.5" customHeight="1">
      <c r="B1621" s="57"/>
      <c r="C1621" s="43" t="str">
        <f t="array" ref="C1621">IF(B1621="","",_xlfn.XLOOKUP(B1621,'Form responses 1'!$B$2:$B$2604,'Form responses 1'!$A$2:$A$2604,""))</f>
        <v/>
      </c>
      <c r="D1621" s="44" t="str">
        <f t="shared" si="3"/>
        <v/>
      </c>
      <c r="E1621" s="44" t="str">
        <f t="array" ref="E1621">IF(B1621="","",_xlfn.XLOOKUP(B1621,'Form responses 1'!$B$2:$B$2604,'Form responses 1'!$C$2:$C$2604,""))</f>
        <v/>
      </c>
      <c r="F1621" s="44" t="str">
        <f t="array" ref="F1621">IF(B1621="","",_xlfn.XLOOKUP(B1621,'Form responses 1'!$B$2:$B$2604,'Form responses 1'!$D$2:$D$2604,""))</f>
        <v/>
      </c>
      <c r="G1621" s="44" t="str">
        <f t="array" ref="G1621">IF(B1621="","",_xlfn.XLOOKUP(B1621,'Form responses 1'!$B$2:$B$2604,'Form responses 1'!$E$2:$E$2604,""))</f>
        <v/>
      </c>
      <c r="H1621" s="44" t="str">
        <f t="array" ref="H1621">IF(B1621="","",_xlfn.XLOOKUP(B1621,'Form responses 1'!$B$2:$B$2604,'Form responses 1'!$F$2:$F$2604,""))</f>
        <v/>
      </c>
      <c r="I1621" s="44" t="str">
        <f t="array" ref="I1621">IF(B1621="","",_xlfn.XLOOKUP(B1621,'Form responses 1'!$B$2:$B$2604,'Form responses 1'!$I$2:$I$2604,""))</f>
        <v/>
      </c>
      <c r="J1621" s="44" t="str">
        <f t="array" ref="J1621">IF(B1621="","",_xlfn.XLOOKUP(B1621,'Form responses 1'!$B$2:$B$2604,'Form responses 1'!$G$2:$G$2604,""))</f>
        <v/>
      </c>
      <c r="K1621" s="56"/>
      <c r="L1621" s="58" t="str">
        <f t="shared" si="7"/>
        <v/>
      </c>
      <c r="M1621" s="49"/>
      <c r="N1621" s="49"/>
      <c r="O1621" s="49"/>
      <c r="P1621" s="49"/>
      <c r="Q1621" s="49"/>
      <c r="R1621" s="49"/>
      <c r="S1621" s="49"/>
      <c r="T1621" s="49"/>
      <c r="U1621" s="49"/>
      <c r="V1621" s="49"/>
      <c r="W1621" s="56"/>
      <c r="X1621" s="51" t="str">
        <f t="shared" si="5"/>
        <v/>
      </c>
      <c r="Y1621" s="50" t="s">
        <v>482</v>
      </c>
      <c r="Z1621" s="49">
        <f t="shared" si="6"/>
        <v>0</v>
      </c>
    </row>
    <row r="1622" ht="22.5" customHeight="1">
      <c r="B1622" s="57"/>
      <c r="C1622" s="43" t="str">
        <f t="array" ref="C1622">IF(B1622="","",_xlfn.XLOOKUP(B1622,'Form responses 1'!$B$2:$B$2604,'Form responses 1'!$A$2:$A$2604,""))</f>
        <v/>
      </c>
      <c r="D1622" s="44" t="str">
        <f t="shared" si="3"/>
        <v/>
      </c>
      <c r="E1622" s="44" t="str">
        <f t="array" ref="E1622">IF(B1622="","",_xlfn.XLOOKUP(B1622,'Form responses 1'!$B$2:$B$2604,'Form responses 1'!$C$2:$C$2604,""))</f>
        <v/>
      </c>
      <c r="F1622" s="44" t="str">
        <f t="array" ref="F1622">IF(B1622="","",_xlfn.XLOOKUP(B1622,'Form responses 1'!$B$2:$B$2604,'Form responses 1'!$D$2:$D$2604,""))</f>
        <v/>
      </c>
      <c r="G1622" s="44" t="str">
        <f t="array" ref="G1622">IF(B1622="","",_xlfn.XLOOKUP(B1622,'Form responses 1'!$B$2:$B$2604,'Form responses 1'!$E$2:$E$2604,""))</f>
        <v/>
      </c>
      <c r="H1622" s="44" t="str">
        <f t="array" ref="H1622">IF(B1622="","",_xlfn.XLOOKUP(B1622,'Form responses 1'!$B$2:$B$2604,'Form responses 1'!$F$2:$F$2604,""))</f>
        <v/>
      </c>
      <c r="I1622" s="44" t="str">
        <f t="array" ref="I1622">IF(B1622="","",_xlfn.XLOOKUP(B1622,'Form responses 1'!$B$2:$B$2604,'Form responses 1'!$I$2:$I$2604,""))</f>
        <v/>
      </c>
      <c r="J1622" s="44" t="str">
        <f t="array" ref="J1622">IF(B1622="","",_xlfn.XLOOKUP(B1622,'Form responses 1'!$B$2:$B$2604,'Form responses 1'!$G$2:$G$2604,""))</f>
        <v/>
      </c>
      <c r="K1622" s="56"/>
      <c r="L1622" s="58" t="str">
        <f t="shared" si="7"/>
        <v/>
      </c>
      <c r="M1622" s="49"/>
      <c r="N1622" s="49"/>
      <c r="O1622" s="49"/>
      <c r="P1622" s="49"/>
      <c r="Q1622" s="49"/>
      <c r="R1622" s="49"/>
      <c r="S1622" s="49"/>
      <c r="T1622" s="49"/>
      <c r="U1622" s="49"/>
      <c r="V1622" s="49"/>
      <c r="W1622" s="56"/>
      <c r="X1622" s="51" t="str">
        <f t="shared" si="5"/>
        <v/>
      </c>
      <c r="Y1622" s="50" t="s">
        <v>482</v>
      </c>
      <c r="Z1622" s="49">
        <f t="shared" si="6"/>
        <v>0</v>
      </c>
    </row>
    <row r="1623" ht="22.5" customHeight="1">
      <c r="B1623" s="57"/>
      <c r="C1623" s="43" t="str">
        <f t="array" ref="C1623">IF(B1623="","",_xlfn.XLOOKUP(B1623,'Form responses 1'!$B$2:$B$2604,'Form responses 1'!$A$2:$A$2604,""))</f>
        <v/>
      </c>
      <c r="D1623" s="44" t="str">
        <f t="shared" si="3"/>
        <v/>
      </c>
      <c r="E1623" s="44" t="str">
        <f t="array" ref="E1623">IF(B1623="","",_xlfn.XLOOKUP(B1623,'Form responses 1'!$B$2:$B$2604,'Form responses 1'!$C$2:$C$2604,""))</f>
        <v/>
      </c>
      <c r="F1623" s="44" t="str">
        <f t="array" ref="F1623">IF(B1623="","",_xlfn.XLOOKUP(B1623,'Form responses 1'!$B$2:$B$2604,'Form responses 1'!$D$2:$D$2604,""))</f>
        <v/>
      </c>
      <c r="G1623" s="44" t="str">
        <f t="array" ref="G1623">IF(B1623="","",_xlfn.XLOOKUP(B1623,'Form responses 1'!$B$2:$B$2604,'Form responses 1'!$E$2:$E$2604,""))</f>
        <v/>
      </c>
      <c r="H1623" s="44" t="str">
        <f t="array" ref="H1623">IF(B1623="","",_xlfn.XLOOKUP(B1623,'Form responses 1'!$B$2:$B$2604,'Form responses 1'!$F$2:$F$2604,""))</f>
        <v/>
      </c>
      <c r="I1623" s="44" t="str">
        <f t="array" ref="I1623">IF(B1623="","",_xlfn.XLOOKUP(B1623,'Form responses 1'!$B$2:$B$2604,'Form responses 1'!$I$2:$I$2604,""))</f>
        <v/>
      </c>
      <c r="J1623" s="44" t="str">
        <f t="array" ref="J1623">IF(B1623="","",_xlfn.XLOOKUP(B1623,'Form responses 1'!$B$2:$B$2604,'Form responses 1'!$G$2:$G$2604,""))</f>
        <v/>
      </c>
      <c r="K1623" s="56"/>
      <c r="L1623" s="58" t="str">
        <f t="shared" si="7"/>
        <v/>
      </c>
      <c r="M1623" s="49"/>
      <c r="N1623" s="49"/>
      <c r="O1623" s="49"/>
      <c r="P1623" s="49"/>
      <c r="Q1623" s="49"/>
      <c r="R1623" s="49"/>
      <c r="S1623" s="49"/>
      <c r="T1623" s="49"/>
      <c r="U1623" s="49"/>
      <c r="V1623" s="49"/>
      <c r="W1623" s="56"/>
      <c r="X1623" s="51" t="str">
        <f t="shared" si="5"/>
        <v/>
      </c>
      <c r="Y1623" s="50" t="s">
        <v>482</v>
      </c>
      <c r="Z1623" s="49">
        <f t="shared" si="6"/>
        <v>0</v>
      </c>
    </row>
    <row r="1624" ht="22.5" customHeight="1">
      <c r="B1624" s="57"/>
      <c r="C1624" s="43" t="str">
        <f t="array" ref="C1624">IF(B1624="","",_xlfn.XLOOKUP(B1624,'Form responses 1'!$B$2:$B$2604,'Form responses 1'!$A$2:$A$2604,""))</f>
        <v/>
      </c>
      <c r="D1624" s="44" t="str">
        <f t="shared" si="3"/>
        <v/>
      </c>
      <c r="E1624" s="44" t="str">
        <f t="array" ref="E1624">IF(B1624="","",_xlfn.XLOOKUP(B1624,'Form responses 1'!$B$2:$B$2604,'Form responses 1'!$C$2:$C$2604,""))</f>
        <v/>
      </c>
      <c r="F1624" s="44" t="str">
        <f t="array" ref="F1624">IF(B1624="","",_xlfn.XLOOKUP(B1624,'Form responses 1'!$B$2:$B$2604,'Form responses 1'!$D$2:$D$2604,""))</f>
        <v/>
      </c>
      <c r="G1624" s="44" t="str">
        <f t="array" ref="G1624">IF(B1624="","",_xlfn.XLOOKUP(B1624,'Form responses 1'!$B$2:$B$2604,'Form responses 1'!$E$2:$E$2604,""))</f>
        <v/>
      </c>
      <c r="H1624" s="44" t="str">
        <f t="array" ref="H1624">IF(B1624="","",_xlfn.XLOOKUP(B1624,'Form responses 1'!$B$2:$B$2604,'Form responses 1'!$F$2:$F$2604,""))</f>
        <v/>
      </c>
      <c r="I1624" s="44" t="str">
        <f t="array" ref="I1624">IF(B1624="","",_xlfn.XLOOKUP(B1624,'Form responses 1'!$B$2:$B$2604,'Form responses 1'!$I$2:$I$2604,""))</f>
        <v/>
      </c>
      <c r="J1624" s="44" t="str">
        <f t="array" ref="J1624">IF(B1624="","",_xlfn.XLOOKUP(B1624,'Form responses 1'!$B$2:$B$2604,'Form responses 1'!$G$2:$G$2604,""))</f>
        <v/>
      </c>
      <c r="K1624" s="56"/>
      <c r="L1624" s="58" t="str">
        <f t="shared" si="7"/>
        <v/>
      </c>
      <c r="M1624" s="49"/>
      <c r="N1624" s="49"/>
      <c r="O1624" s="49"/>
      <c r="P1624" s="49"/>
      <c r="Q1624" s="49"/>
      <c r="R1624" s="49"/>
      <c r="S1624" s="49"/>
      <c r="T1624" s="49"/>
      <c r="U1624" s="49"/>
      <c r="V1624" s="49"/>
      <c r="W1624" s="56"/>
      <c r="X1624" s="51" t="str">
        <f t="shared" si="5"/>
        <v/>
      </c>
      <c r="Y1624" s="50" t="s">
        <v>482</v>
      </c>
      <c r="Z1624" s="49">
        <f t="shared" si="6"/>
        <v>0</v>
      </c>
    </row>
    <row r="1625" ht="22.5" customHeight="1">
      <c r="B1625" s="57"/>
      <c r="C1625" s="43" t="str">
        <f t="array" ref="C1625">IF(B1625="","",_xlfn.XLOOKUP(B1625,'Form responses 1'!$B$2:$B$2604,'Form responses 1'!$A$2:$A$2604,""))</f>
        <v/>
      </c>
      <c r="D1625" s="44" t="str">
        <f t="shared" si="3"/>
        <v/>
      </c>
      <c r="E1625" s="44" t="str">
        <f t="array" ref="E1625">IF(B1625="","",_xlfn.XLOOKUP(B1625,'Form responses 1'!$B$2:$B$2604,'Form responses 1'!$C$2:$C$2604,""))</f>
        <v/>
      </c>
      <c r="F1625" s="44" t="str">
        <f t="array" ref="F1625">IF(B1625="","",_xlfn.XLOOKUP(B1625,'Form responses 1'!$B$2:$B$2604,'Form responses 1'!$D$2:$D$2604,""))</f>
        <v/>
      </c>
      <c r="G1625" s="44" t="str">
        <f t="array" ref="G1625">IF(B1625="","",_xlfn.XLOOKUP(B1625,'Form responses 1'!$B$2:$B$2604,'Form responses 1'!$E$2:$E$2604,""))</f>
        <v/>
      </c>
      <c r="H1625" s="44" t="str">
        <f t="array" ref="H1625">IF(B1625="","",_xlfn.XLOOKUP(B1625,'Form responses 1'!$B$2:$B$2604,'Form responses 1'!$F$2:$F$2604,""))</f>
        <v/>
      </c>
      <c r="I1625" s="44" t="str">
        <f t="array" ref="I1625">IF(B1625="","",_xlfn.XLOOKUP(B1625,'Form responses 1'!$B$2:$B$2604,'Form responses 1'!$I$2:$I$2604,""))</f>
        <v/>
      </c>
      <c r="J1625" s="44" t="str">
        <f t="array" ref="J1625">IF(B1625="","",_xlfn.XLOOKUP(B1625,'Form responses 1'!$B$2:$B$2604,'Form responses 1'!$G$2:$G$2604,""))</f>
        <v/>
      </c>
      <c r="K1625" s="56"/>
      <c r="L1625" s="58" t="str">
        <f t="shared" si="7"/>
        <v/>
      </c>
      <c r="M1625" s="49"/>
      <c r="N1625" s="49"/>
      <c r="O1625" s="49"/>
      <c r="P1625" s="49"/>
      <c r="Q1625" s="49"/>
      <c r="R1625" s="49"/>
      <c r="S1625" s="49"/>
      <c r="T1625" s="49"/>
      <c r="U1625" s="49"/>
      <c r="V1625" s="49"/>
      <c r="W1625" s="56"/>
      <c r="X1625" s="51" t="str">
        <f t="shared" si="5"/>
        <v/>
      </c>
      <c r="Y1625" s="50" t="s">
        <v>482</v>
      </c>
      <c r="Z1625" s="49">
        <f t="shared" si="6"/>
        <v>0</v>
      </c>
    </row>
    <row r="1626" ht="22.5" customHeight="1">
      <c r="B1626" s="57"/>
      <c r="C1626" s="43" t="str">
        <f t="array" ref="C1626">IF(B1626="","",_xlfn.XLOOKUP(B1626,'Form responses 1'!$B$2:$B$2604,'Form responses 1'!$A$2:$A$2604,""))</f>
        <v/>
      </c>
      <c r="D1626" s="44" t="str">
        <f t="shared" si="3"/>
        <v/>
      </c>
      <c r="E1626" s="44" t="str">
        <f t="array" ref="E1626">IF(B1626="","",_xlfn.XLOOKUP(B1626,'Form responses 1'!$B$2:$B$2604,'Form responses 1'!$C$2:$C$2604,""))</f>
        <v/>
      </c>
      <c r="F1626" s="44" t="str">
        <f t="array" ref="F1626">IF(B1626="","",_xlfn.XLOOKUP(B1626,'Form responses 1'!$B$2:$B$2604,'Form responses 1'!$D$2:$D$2604,""))</f>
        <v/>
      </c>
      <c r="G1626" s="44" t="str">
        <f t="array" ref="G1626">IF(B1626="","",_xlfn.XLOOKUP(B1626,'Form responses 1'!$B$2:$B$2604,'Form responses 1'!$E$2:$E$2604,""))</f>
        <v/>
      </c>
      <c r="H1626" s="44" t="str">
        <f t="array" ref="H1626">IF(B1626="","",_xlfn.XLOOKUP(B1626,'Form responses 1'!$B$2:$B$2604,'Form responses 1'!$F$2:$F$2604,""))</f>
        <v/>
      </c>
      <c r="I1626" s="44" t="str">
        <f t="array" ref="I1626">IF(B1626="","",_xlfn.XLOOKUP(B1626,'Form responses 1'!$B$2:$B$2604,'Form responses 1'!$I$2:$I$2604,""))</f>
        <v/>
      </c>
      <c r="J1626" s="44" t="str">
        <f t="array" ref="J1626">IF(B1626="","",_xlfn.XLOOKUP(B1626,'Form responses 1'!$B$2:$B$2604,'Form responses 1'!$G$2:$G$2604,""))</f>
        <v/>
      </c>
      <c r="K1626" s="56"/>
      <c r="L1626" s="58" t="str">
        <f t="shared" si="7"/>
        <v/>
      </c>
      <c r="M1626" s="49"/>
      <c r="N1626" s="49"/>
      <c r="O1626" s="49"/>
      <c r="P1626" s="49"/>
      <c r="Q1626" s="49"/>
      <c r="R1626" s="49"/>
      <c r="S1626" s="49"/>
      <c r="T1626" s="49"/>
      <c r="U1626" s="49"/>
      <c r="V1626" s="49"/>
      <c r="W1626" s="56"/>
      <c r="X1626" s="51" t="str">
        <f t="shared" si="5"/>
        <v/>
      </c>
      <c r="Y1626" s="50" t="s">
        <v>482</v>
      </c>
      <c r="Z1626" s="49">
        <f t="shared" si="6"/>
        <v>0</v>
      </c>
    </row>
    <row r="1627" ht="22.5" customHeight="1">
      <c r="B1627" s="57"/>
      <c r="C1627" s="43" t="str">
        <f t="array" ref="C1627">IF(B1627="","",_xlfn.XLOOKUP(B1627,'Form responses 1'!$B$2:$B$2604,'Form responses 1'!$A$2:$A$2604,""))</f>
        <v/>
      </c>
      <c r="D1627" s="44" t="str">
        <f t="shared" si="3"/>
        <v/>
      </c>
      <c r="E1627" s="44" t="str">
        <f t="array" ref="E1627">IF(B1627="","",_xlfn.XLOOKUP(B1627,'Form responses 1'!$B$2:$B$2604,'Form responses 1'!$C$2:$C$2604,""))</f>
        <v/>
      </c>
      <c r="F1627" s="44" t="str">
        <f t="array" ref="F1627">IF(B1627="","",_xlfn.XLOOKUP(B1627,'Form responses 1'!$B$2:$B$2604,'Form responses 1'!$D$2:$D$2604,""))</f>
        <v/>
      </c>
      <c r="G1627" s="44" t="str">
        <f t="array" ref="G1627">IF(B1627="","",_xlfn.XLOOKUP(B1627,'Form responses 1'!$B$2:$B$2604,'Form responses 1'!$E$2:$E$2604,""))</f>
        <v/>
      </c>
      <c r="H1627" s="44" t="str">
        <f t="array" ref="H1627">IF(B1627="","",_xlfn.XLOOKUP(B1627,'Form responses 1'!$B$2:$B$2604,'Form responses 1'!$F$2:$F$2604,""))</f>
        <v/>
      </c>
      <c r="I1627" s="44" t="str">
        <f t="array" ref="I1627">IF(B1627="","",_xlfn.XLOOKUP(B1627,'Form responses 1'!$B$2:$B$2604,'Form responses 1'!$I$2:$I$2604,""))</f>
        <v/>
      </c>
      <c r="J1627" s="44" t="str">
        <f t="array" ref="J1627">IF(B1627="","",_xlfn.XLOOKUP(B1627,'Form responses 1'!$B$2:$B$2604,'Form responses 1'!$G$2:$G$2604,""))</f>
        <v/>
      </c>
      <c r="K1627" s="56"/>
      <c r="L1627" s="58" t="str">
        <f t="shared" si="7"/>
        <v/>
      </c>
      <c r="M1627" s="49"/>
      <c r="N1627" s="49"/>
      <c r="O1627" s="49"/>
      <c r="P1627" s="49"/>
      <c r="Q1627" s="49"/>
      <c r="R1627" s="49"/>
      <c r="S1627" s="49"/>
      <c r="T1627" s="49"/>
      <c r="U1627" s="49"/>
      <c r="V1627" s="49"/>
      <c r="W1627" s="56"/>
      <c r="X1627" s="51" t="str">
        <f t="shared" si="5"/>
        <v/>
      </c>
      <c r="Y1627" s="50" t="s">
        <v>482</v>
      </c>
      <c r="Z1627" s="49">
        <f t="shared" si="6"/>
        <v>0</v>
      </c>
    </row>
    <row r="1628" ht="22.5" customHeight="1">
      <c r="B1628" s="57"/>
      <c r="C1628" s="43" t="str">
        <f t="array" ref="C1628">IF(B1628="","",_xlfn.XLOOKUP(B1628,'Form responses 1'!$B$2:$B$2604,'Form responses 1'!$A$2:$A$2604,""))</f>
        <v/>
      </c>
      <c r="D1628" s="44" t="str">
        <f t="shared" si="3"/>
        <v/>
      </c>
      <c r="E1628" s="44" t="str">
        <f t="array" ref="E1628">IF(B1628="","",_xlfn.XLOOKUP(B1628,'Form responses 1'!$B$2:$B$2604,'Form responses 1'!$C$2:$C$2604,""))</f>
        <v/>
      </c>
      <c r="F1628" s="44" t="str">
        <f t="array" ref="F1628">IF(B1628="","",_xlfn.XLOOKUP(B1628,'Form responses 1'!$B$2:$B$2604,'Form responses 1'!$D$2:$D$2604,""))</f>
        <v/>
      </c>
      <c r="G1628" s="44" t="str">
        <f t="array" ref="G1628">IF(B1628="","",_xlfn.XLOOKUP(B1628,'Form responses 1'!$B$2:$B$2604,'Form responses 1'!$E$2:$E$2604,""))</f>
        <v/>
      </c>
      <c r="H1628" s="44" t="str">
        <f t="array" ref="H1628">IF(B1628="","",_xlfn.XLOOKUP(B1628,'Form responses 1'!$B$2:$B$2604,'Form responses 1'!$F$2:$F$2604,""))</f>
        <v/>
      </c>
      <c r="I1628" s="44" t="str">
        <f t="array" ref="I1628">IF(B1628="","",_xlfn.XLOOKUP(B1628,'Form responses 1'!$B$2:$B$2604,'Form responses 1'!$I$2:$I$2604,""))</f>
        <v/>
      </c>
      <c r="J1628" s="44" t="str">
        <f t="array" ref="J1628">IF(B1628="","",_xlfn.XLOOKUP(B1628,'Form responses 1'!$B$2:$B$2604,'Form responses 1'!$G$2:$G$2604,""))</f>
        <v/>
      </c>
      <c r="K1628" s="56"/>
      <c r="L1628" s="58" t="str">
        <f t="shared" si="7"/>
        <v/>
      </c>
      <c r="M1628" s="49"/>
      <c r="N1628" s="49"/>
      <c r="O1628" s="49"/>
      <c r="P1628" s="49"/>
      <c r="Q1628" s="49"/>
      <c r="R1628" s="49"/>
      <c r="S1628" s="49"/>
      <c r="T1628" s="49"/>
      <c r="U1628" s="49"/>
      <c r="V1628" s="49"/>
      <c r="W1628" s="56"/>
      <c r="X1628" s="51" t="str">
        <f t="shared" si="5"/>
        <v/>
      </c>
      <c r="Y1628" s="50" t="s">
        <v>482</v>
      </c>
      <c r="Z1628" s="49">
        <f t="shared" si="6"/>
        <v>0</v>
      </c>
    </row>
    <row r="1629" ht="22.5" customHeight="1">
      <c r="B1629" s="57"/>
      <c r="C1629" s="43" t="str">
        <f t="array" ref="C1629">IF(B1629="","",_xlfn.XLOOKUP(B1629,'Form responses 1'!$B$2:$B$2604,'Form responses 1'!$A$2:$A$2604,""))</f>
        <v/>
      </c>
      <c r="D1629" s="44" t="str">
        <f t="shared" si="3"/>
        <v/>
      </c>
      <c r="E1629" s="44" t="str">
        <f t="array" ref="E1629">IF(B1629="","",_xlfn.XLOOKUP(B1629,'Form responses 1'!$B$2:$B$2604,'Form responses 1'!$C$2:$C$2604,""))</f>
        <v/>
      </c>
      <c r="F1629" s="44" t="str">
        <f t="array" ref="F1629">IF(B1629="","",_xlfn.XLOOKUP(B1629,'Form responses 1'!$B$2:$B$2604,'Form responses 1'!$D$2:$D$2604,""))</f>
        <v/>
      </c>
      <c r="G1629" s="44" t="str">
        <f t="array" ref="G1629">IF(B1629="","",_xlfn.XLOOKUP(B1629,'Form responses 1'!$B$2:$B$2604,'Form responses 1'!$E$2:$E$2604,""))</f>
        <v/>
      </c>
      <c r="H1629" s="44" t="str">
        <f t="array" ref="H1629">IF(B1629="","",_xlfn.XLOOKUP(B1629,'Form responses 1'!$B$2:$B$2604,'Form responses 1'!$F$2:$F$2604,""))</f>
        <v/>
      </c>
      <c r="I1629" s="44" t="str">
        <f t="array" ref="I1629">IF(B1629="","",_xlfn.XLOOKUP(B1629,'Form responses 1'!$B$2:$B$2604,'Form responses 1'!$I$2:$I$2604,""))</f>
        <v/>
      </c>
      <c r="J1629" s="44" t="str">
        <f t="array" ref="J1629">IF(B1629="","",_xlfn.XLOOKUP(B1629,'Form responses 1'!$B$2:$B$2604,'Form responses 1'!$G$2:$G$2604,""))</f>
        <v/>
      </c>
      <c r="K1629" s="56"/>
      <c r="L1629" s="58" t="str">
        <f t="shared" si="7"/>
        <v/>
      </c>
      <c r="M1629" s="49"/>
      <c r="N1629" s="49"/>
      <c r="O1629" s="49"/>
      <c r="P1629" s="49"/>
      <c r="Q1629" s="49"/>
      <c r="R1629" s="49"/>
      <c r="S1629" s="49"/>
      <c r="T1629" s="49"/>
      <c r="U1629" s="49"/>
      <c r="V1629" s="49"/>
      <c r="W1629" s="56"/>
      <c r="X1629" s="51" t="str">
        <f t="shared" si="5"/>
        <v/>
      </c>
      <c r="Y1629" s="50" t="s">
        <v>482</v>
      </c>
      <c r="Z1629" s="49">
        <f t="shared" si="6"/>
        <v>0</v>
      </c>
    </row>
    <row r="1630" ht="22.5" customHeight="1">
      <c r="B1630" s="57"/>
      <c r="C1630" s="43" t="str">
        <f t="array" ref="C1630">IF(B1630="","",_xlfn.XLOOKUP(B1630,'Form responses 1'!$B$2:$B$2604,'Form responses 1'!$A$2:$A$2604,""))</f>
        <v/>
      </c>
      <c r="D1630" s="44" t="str">
        <f t="shared" si="3"/>
        <v/>
      </c>
      <c r="E1630" s="44" t="str">
        <f t="array" ref="E1630">IF(B1630="","",_xlfn.XLOOKUP(B1630,'Form responses 1'!$B$2:$B$2604,'Form responses 1'!$C$2:$C$2604,""))</f>
        <v/>
      </c>
      <c r="F1630" s="44" t="str">
        <f t="array" ref="F1630">IF(B1630="","",_xlfn.XLOOKUP(B1630,'Form responses 1'!$B$2:$B$2604,'Form responses 1'!$D$2:$D$2604,""))</f>
        <v/>
      </c>
      <c r="G1630" s="44" t="str">
        <f t="array" ref="G1630">IF(B1630="","",_xlfn.XLOOKUP(B1630,'Form responses 1'!$B$2:$B$2604,'Form responses 1'!$E$2:$E$2604,""))</f>
        <v/>
      </c>
      <c r="H1630" s="44" t="str">
        <f t="array" ref="H1630">IF(B1630="","",_xlfn.XLOOKUP(B1630,'Form responses 1'!$B$2:$B$2604,'Form responses 1'!$F$2:$F$2604,""))</f>
        <v/>
      </c>
      <c r="I1630" s="44" t="str">
        <f t="array" ref="I1630">IF(B1630="","",_xlfn.XLOOKUP(B1630,'Form responses 1'!$B$2:$B$2604,'Form responses 1'!$I$2:$I$2604,""))</f>
        <v/>
      </c>
      <c r="J1630" s="44" t="str">
        <f t="array" ref="J1630">IF(B1630="","",_xlfn.XLOOKUP(B1630,'Form responses 1'!$B$2:$B$2604,'Form responses 1'!$G$2:$G$2604,""))</f>
        <v/>
      </c>
      <c r="K1630" s="56"/>
      <c r="L1630" s="58" t="str">
        <f t="shared" si="7"/>
        <v/>
      </c>
      <c r="M1630" s="49"/>
      <c r="N1630" s="49"/>
      <c r="O1630" s="49"/>
      <c r="P1630" s="49"/>
      <c r="Q1630" s="49"/>
      <c r="R1630" s="49"/>
      <c r="S1630" s="49"/>
      <c r="T1630" s="49"/>
      <c r="U1630" s="49"/>
      <c r="V1630" s="49"/>
      <c r="W1630" s="56"/>
      <c r="X1630" s="51" t="str">
        <f t="shared" si="5"/>
        <v/>
      </c>
      <c r="Y1630" s="50" t="s">
        <v>482</v>
      </c>
      <c r="Z1630" s="49">
        <f t="shared" si="6"/>
        <v>0</v>
      </c>
    </row>
    <row r="1631" ht="22.5" customHeight="1">
      <c r="B1631" s="57"/>
      <c r="C1631" s="43" t="str">
        <f t="array" ref="C1631">IF(B1631="","",_xlfn.XLOOKUP(B1631,'Form responses 1'!$B$2:$B$2604,'Form responses 1'!$A$2:$A$2604,""))</f>
        <v/>
      </c>
      <c r="D1631" s="44" t="str">
        <f t="shared" si="3"/>
        <v/>
      </c>
      <c r="E1631" s="44" t="str">
        <f t="array" ref="E1631">IF(B1631="","",_xlfn.XLOOKUP(B1631,'Form responses 1'!$B$2:$B$2604,'Form responses 1'!$C$2:$C$2604,""))</f>
        <v/>
      </c>
      <c r="F1631" s="44" t="str">
        <f t="array" ref="F1631">IF(B1631="","",_xlfn.XLOOKUP(B1631,'Form responses 1'!$B$2:$B$2604,'Form responses 1'!$D$2:$D$2604,""))</f>
        <v/>
      </c>
      <c r="G1631" s="44" t="str">
        <f t="array" ref="G1631">IF(B1631="","",_xlfn.XLOOKUP(B1631,'Form responses 1'!$B$2:$B$2604,'Form responses 1'!$E$2:$E$2604,""))</f>
        <v/>
      </c>
      <c r="H1631" s="44" t="str">
        <f t="array" ref="H1631">IF(B1631="","",_xlfn.XLOOKUP(B1631,'Form responses 1'!$B$2:$B$2604,'Form responses 1'!$F$2:$F$2604,""))</f>
        <v/>
      </c>
      <c r="I1631" s="44" t="str">
        <f t="array" ref="I1631">IF(B1631="","",_xlfn.XLOOKUP(B1631,'Form responses 1'!$B$2:$B$2604,'Form responses 1'!$I$2:$I$2604,""))</f>
        <v/>
      </c>
      <c r="J1631" s="44" t="str">
        <f t="array" ref="J1631">IF(B1631="","",_xlfn.XLOOKUP(B1631,'Form responses 1'!$B$2:$B$2604,'Form responses 1'!$G$2:$G$2604,""))</f>
        <v/>
      </c>
      <c r="K1631" s="56"/>
      <c r="L1631" s="58" t="str">
        <f t="shared" si="7"/>
        <v/>
      </c>
      <c r="M1631" s="49"/>
      <c r="N1631" s="49"/>
      <c r="O1631" s="49"/>
      <c r="P1631" s="49"/>
      <c r="Q1631" s="49"/>
      <c r="R1631" s="49"/>
      <c r="S1631" s="49"/>
      <c r="T1631" s="49"/>
      <c r="U1631" s="49"/>
      <c r="V1631" s="49"/>
      <c r="W1631" s="56"/>
      <c r="X1631" s="51" t="str">
        <f t="shared" si="5"/>
        <v/>
      </c>
      <c r="Y1631" s="50" t="s">
        <v>482</v>
      </c>
      <c r="Z1631" s="49">
        <f t="shared" si="6"/>
        <v>0</v>
      </c>
    </row>
    <row r="1632" ht="22.5" customHeight="1">
      <c r="B1632" s="57"/>
      <c r="C1632" s="43" t="str">
        <f t="array" ref="C1632">IF(B1632="","",_xlfn.XLOOKUP(B1632,'Form responses 1'!$B$2:$B$2604,'Form responses 1'!$A$2:$A$2604,""))</f>
        <v/>
      </c>
      <c r="D1632" s="44" t="str">
        <f t="shared" si="3"/>
        <v/>
      </c>
      <c r="E1632" s="44" t="str">
        <f t="array" ref="E1632">IF(B1632="","",_xlfn.XLOOKUP(B1632,'Form responses 1'!$B$2:$B$2604,'Form responses 1'!$C$2:$C$2604,""))</f>
        <v/>
      </c>
      <c r="F1632" s="44" t="str">
        <f t="array" ref="F1632">IF(B1632="","",_xlfn.XLOOKUP(B1632,'Form responses 1'!$B$2:$B$2604,'Form responses 1'!$D$2:$D$2604,""))</f>
        <v/>
      </c>
      <c r="G1632" s="44" t="str">
        <f t="array" ref="G1632">IF(B1632="","",_xlfn.XLOOKUP(B1632,'Form responses 1'!$B$2:$B$2604,'Form responses 1'!$E$2:$E$2604,""))</f>
        <v/>
      </c>
      <c r="H1632" s="44" t="str">
        <f t="array" ref="H1632">IF(B1632="","",_xlfn.XLOOKUP(B1632,'Form responses 1'!$B$2:$B$2604,'Form responses 1'!$F$2:$F$2604,""))</f>
        <v/>
      </c>
      <c r="I1632" s="44" t="str">
        <f t="array" ref="I1632">IF(B1632="","",_xlfn.XLOOKUP(B1632,'Form responses 1'!$B$2:$B$2604,'Form responses 1'!$I$2:$I$2604,""))</f>
        <v/>
      </c>
      <c r="J1632" s="44" t="str">
        <f t="array" ref="J1632">IF(B1632="","",_xlfn.XLOOKUP(B1632,'Form responses 1'!$B$2:$B$2604,'Form responses 1'!$G$2:$G$2604,""))</f>
        <v/>
      </c>
      <c r="K1632" s="56"/>
      <c r="L1632" s="58" t="str">
        <f t="shared" si="7"/>
        <v/>
      </c>
      <c r="M1632" s="49"/>
      <c r="N1632" s="49"/>
      <c r="O1632" s="49"/>
      <c r="P1632" s="49"/>
      <c r="Q1632" s="49"/>
      <c r="R1632" s="49"/>
      <c r="S1632" s="49"/>
      <c r="T1632" s="49"/>
      <c r="U1632" s="49"/>
      <c r="V1632" s="49"/>
      <c r="W1632" s="56"/>
      <c r="X1632" s="51" t="str">
        <f t="shared" si="5"/>
        <v/>
      </c>
      <c r="Y1632" s="50" t="s">
        <v>482</v>
      </c>
      <c r="Z1632" s="49">
        <f t="shared" si="6"/>
        <v>0</v>
      </c>
    </row>
    <row r="1633" ht="22.5" customHeight="1">
      <c r="B1633" s="57"/>
      <c r="C1633" s="43" t="str">
        <f t="array" ref="C1633">IF(B1633="","",_xlfn.XLOOKUP(B1633,'Form responses 1'!$B$2:$B$2604,'Form responses 1'!$A$2:$A$2604,""))</f>
        <v/>
      </c>
      <c r="D1633" s="44" t="str">
        <f t="shared" si="3"/>
        <v/>
      </c>
      <c r="E1633" s="44" t="str">
        <f t="array" ref="E1633">IF(B1633="","",_xlfn.XLOOKUP(B1633,'Form responses 1'!$B$2:$B$2604,'Form responses 1'!$C$2:$C$2604,""))</f>
        <v/>
      </c>
      <c r="F1633" s="44" t="str">
        <f t="array" ref="F1633">IF(B1633="","",_xlfn.XLOOKUP(B1633,'Form responses 1'!$B$2:$B$2604,'Form responses 1'!$D$2:$D$2604,""))</f>
        <v/>
      </c>
      <c r="G1633" s="44" t="str">
        <f t="array" ref="G1633">IF(B1633="","",_xlfn.XLOOKUP(B1633,'Form responses 1'!$B$2:$B$2604,'Form responses 1'!$E$2:$E$2604,""))</f>
        <v/>
      </c>
      <c r="H1633" s="44" t="str">
        <f t="array" ref="H1633">IF(B1633="","",_xlfn.XLOOKUP(B1633,'Form responses 1'!$B$2:$B$2604,'Form responses 1'!$F$2:$F$2604,""))</f>
        <v/>
      </c>
      <c r="I1633" s="44" t="str">
        <f t="array" ref="I1633">IF(B1633="","",_xlfn.XLOOKUP(B1633,'Form responses 1'!$B$2:$B$2604,'Form responses 1'!$I$2:$I$2604,""))</f>
        <v/>
      </c>
      <c r="J1633" s="44" t="str">
        <f t="array" ref="J1633">IF(B1633="","",_xlfn.XLOOKUP(B1633,'Form responses 1'!$B$2:$B$2604,'Form responses 1'!$G$2:$G$2604,""))</f>
        <v/>
      </c>
      <c r="K1633" s="56"/>
      <c r="L1633" s="58" t="str">
        <f t="shared" si="7"/>
        <v/>
      </c>
      <c r="M1633" s="49"/>
      <c r="N1633" s="49"/>
      <c r="O1633" s="49"/>
      <c r="P1633" s="49"/>
      <c r="Q1633" s="49"/>
      <c r="R1633" s="49"/>
      <c r="S1633" s="49"/>
      <c r="T1633" s="49"/>
      <c r="U1633" s="49"/>
      <c r="V1633" s="49"/>
      <c r="W1633" s="56"/>
      <c r="X1633" s="51" t="str">
        <f t="shared" si="5"/>
        <v/>
      </c>
      <c r="Y1633" s="50" t="s">
        <v>482</v>
      </c>
      <c r="Z1633" s="49">
        <f t="shared" si="6"/>
        <v>0</v>
      </c>
    </row>
    <row r="1634" ht="22.5" customHeight="1">
      <c r="B1634" s="57"/>
      <c r="C1634" s="43" t="str">
        <f t="array" ref="C1634">IF(B1634="","",_xlfn.XLOOKUP(B1634,'Form responses 1'!$B$2:$B$2604,'Form responses 1'!$A$2:$A$2604,""))</f>
        <v/>
      </c>
      <c r="D1634" s="44" t="str">
        <f t="shared" si="3"/>
        <v/>
      </c>
      <c r="E1634" s="44" t="str">
        <f t="array" ref="E1634">IF(B1634="","",_xlfn.XLOOKUP(B1634,'Form responses 1'!$B$2:$B$2604,'Form responses 1'!$C$2:$C$2604,""))</f>
        <v/>
      </c>
      <c r="F1634" s="44" t="str">
        <f t="array" ref="F1634">IF(B1634="","",_xlfn.XLOOKUP(B1634,'Form responses 1'!$B$2:$B$2604,'Form responses 1'!$D$2:$D$2604,""))</f>
        <v/>
      </c>
      <c r="G1634" s="44" t="str">
        <f t="array" ref="G1634">IF(B1634="","",_xlfn.XLOOKUP(B1634,'Form responses 1'!$B$2:$B$2604,'Form responses 1'!$E$2:$E$2604,""))</f>
        <v/>
      </c>
      <c r="H1634" s="44" t="str">
        <f t="array" ref="H1634">IF(B1634="","",_xlfn.XLOOKUP(B1634,'Form responses 1'!$B$2:$B$2604,'Form responses 1'!$F$2:$F$2604,""))</f>
        <v/>
      </c>
      <c r="I1634" s="44" t="str">
        <f t="array" ref="I1634">IF(B1634="","",_xlfn.XLOOKUP(B1634,'Form responses 1'!$B$2:$B$2604,'Form responses 1'!$I$2:$I$2604,""))</f>
        <v/>
      </c>
      <c r="J1634" s="44" t="str">
        <f t="array" ref="J1634">IF(B1634="","",_xlfn.XLOOKUP(B1634,'Form responses 1'!$B$2:$B$2604,'Form responses 1'!$G$2:$G$2604,""))</f>
        <v/>
      </c>
      <c r="K1634" s="56"/>
      <c r="L1634" s="58" t="str">
        <f t="shared" si="7"/>
        <v/>
      </c>
      <c r="M1634" s="49"/>
      <c r="N1634" s="49"/>
      <c r="O1634" s="49"/>
      <c r="P1634" s="49"/>
      <c r="Q1634" s="49"/>
      <c r="R1634" s="49"/>
      <c r="S1634" s="49"/>
      <c r="T1634" s="49"/>
      <c r="U1634" s="49"/>
      <c r="V1634" s="49"/>
      <c r="W1634" s="56"/>
      <c r="X1634" s="51" t="str">
        <f t="shared" si="5"/>
        <v/>
      </c>
      <c r="Y1634" s="50" t="s">
        <v>482</v>
      </c>
      <c r="Z1634" s="49">
        <f t="shared" si="6"/>
        <v>0</v>
      </c>
    </row>
    <row r="1635" ht="22.5" customHeight="1">
      <c r="B1635" s="57"/>
      <c r="C1635" s="43" t="str">
        <f t="array" ref="C1635">IF(B1635="","",_xlfn.XLOOKUP(B1635,'Form responses 1'!$B$2:$B$2604,'Form responses 1'!$A$2:$A$2604,""))</f>
        <v/>
      </c>
      <c r="D1635" s="44" t="str">
        <f t="shared" si="3"/>
        <v/>
      </c>
      <c r="E1635" s="44" t="str">
        <f t="array" ref="E1635">IF(B1635="","",_xlfn.XLOOKUP(B1635,'Form responses 1'!$B$2:$B$2604,'Form responses 1'!$C$2:$C$2604,""))</f>
        <v/>
      </c>
      <c r="F1635" s="44" t="str">
        <f t="array" ref="F1635">IF(B1635="","",_xlfn.XLOOKUP(B1635,'Form responses 1'!$B$2:$B$2604,'Form responses 1'!$D$2:$D$2604,""))</f>
        <v/>
      </c>
      <c r="G1635" s="44" t="str">
        <f t="array" ref="G1635">IF(B1635="","",_xlfn.XLOOKUP(B1635,'Form responses 1'!$B$2:$B$2604,'Form responses 1'!$E$2:$E$2604,""))</f>
        <v/>
      </c>
      <c r="H1635" s="44" t="str">
        <f t="array" ref="H1635">IF(B1635="","",_xlfn.XLOOKUP(B1635,'Form responses 1'!$B$2:$B$2604,'Form responses 1'!$F$2:$F$2604,""))</f>
        <v/>
      </c>
      <c r="I1635" s="44" t="str">
        <f t="array" ref="I1635">IF(B1635="","",_xlfn.XLOOKUP(B1635,'Form responses 1'!$B$2:$B$2604,'Form responses 1'!$I$2:$I$2604,""))</f>
        <v/>
      </c>
      <c r="J1635" s="44" t="str">
        <f t="array" ref="J1635">IF(B1635="","",_xlfn.XLOOKUP(B1635,'Form responses 1'!$B$2:$B$2604,'Form responses 1'!$G$2:$G$2604,""))</f>
        <v/>
      </c>
      <c r="K1635" s="56"/>
      <c r="L1635" s="58" t="str">
        <f t="shared" si="7"/>
        <v/>
      </c>
      <c r="M1635" s="49"/>
      <c r="N1635" s="49"/>
      <c r="O1635" s="49"/>
      <c r="P1635" s="49"/>
      <c r="Q1635" s="49"/>
      <c r="R1635" s="49"/>
      <c r="S1635" s="49"/>
      <c r="T1635" s="49"/>
      <c r="U1635" s="49"/>
      <c r="V1635" s="49"/>
      <c r="W1635" s="56"/>
      <c r="X1635" s="51" t="str">
        <f t="shared" si="5"/>
        <v/>
      </c>
      <c r="Y1635" s="50" t="s">
        <v>482</v>
      </c>
      <c r="Z1635" s="49">
        <f t="shared" si="6"/>
        <v>0</v>
      </c>
    </row>
    <row r="1636" ht="22.5" customHeight="1">
      <c r="B1636" s="57"/>
      <c r="C1636" s="43" t="str">
        <f t="array" ref="C1636">IF(B1636="","",_xlfn.XLOOKUP(B1636,'Form responses 1'!$B$2:$B$2604,'Form responses 1'!$A$2:$A$2604,""))</f>
        <v/>
      </c>
      <c r="D1636" s="44" t="str">
        <f t="shared" si="3"/>
        <v/>
      </c>
      <c r="E1636" s="44" t="str">
        <f t="array" ref="E1636">IF(B1636="","",_xlfn.XLOOKUP(B1636,'Form responses 1'!$B$2:$B$2604,'Form responses 1'!$C$2:$C$2604,""))</f>
        <v/>
      </c>
      <c r="F1636" s="44" t="str">
        <f t="array" ref="F1636">IF(B1636="","",_xlfn.XLOOKUP(B1636,'Form responses 1'!$B$2:$B$2604,'Form responses 1'!$D$2:$D$2604,""))</f>
        <v/>
      </c>
      <c r="G1636" s="44" t="str">
        <f t="array" ref="G1636">IF(B1636="","",_xlfn.XLOOKUP(B1636,'Form responses 1'!$B$2:$B$2604,'Form responses 1'!$E$2:$E$2604,""))</f>
        <v/>
      </c>
      <c r="H1636" s="44" t="str">
        <f t="array" ref="H1636">IF(B1636="","",_xlfn.XLOOKUP(B1636,'Form responses 1'!$B$2:$B$2604,'Form responses 1'!$F$2:$F$2604,""))</f>
        <v/>
      </c>
      <c r="I1636" s="44" t="str">
        <f t="array" ref="I1636">IF(B1636="","",_xlfn.XLOOKUP(B1636,'Form responses 1'!$B$2:$B$2604,'Form responses 1'!$I$2:$I$2604,""))</f>
        <v/>
      </c>
      <c r="J1636" s="44" t="str">
        <f t="array" ref="J1636">IF(B1636="","",_xlfn.XLOOKUP(B1636,'Form responses 1'!$B$2:$B$2604,'Form responses 1'!$G$2:$G$2604,""))</f>
        <v/>
      </c>
      <c r="K1636" s="56"/>
      <c r="L1636" s="58" t="str">
        <f t="shared" si="7"/>
        <v/>
      </c>
      <c r="M1636" s="49"/>
      <c r="N1636" s="49"/>
      <c r="O1636" s="49"/>
      <c r="P1636" s="49"/>
      <c r="Q1636" s="49"/>
      <c r="R1636" s="49"/>
      <c r="S1636" s="49"/>
      <c r="T1636" s="49"/>
      <c r="U1636" s="49"/>
      <c r="V1636" s="49"/>
      <c r="W1636" s="56"/>
      <c r="X1636" s="51" t="str">
        <f t="shared" si="5"/>
        <v/>
      </c>
      <c r="Y1636" s="50" t="s">
        <v>482</v>
      </c>
      <c r="Z1636" s="49">
        <f t="shared" si="6"/>
        <v>0</v>
      </c>
    </row>
    <row r="1637" ht="22.5" customHeight="1">
      <c r="B1637" s="57"/>
      <c r="C1637" s="43" t="str">
        <f t="array" ref="C1637">IF(B1637="","",_xlfn.XLOOKUP(B1637,'Form responses 1'!$B$2:$B$2604,'Form responses 1'!$A$2:$A$2604,""))</f>
        <v/>
      </c>
      <c r="D1637" s="44" t="str">
        <f t="shared" si="3"/>
        <v/>
      </c>
      <c r="E1637" s="44" t="str">
        <f t="array" ref="E1637">IF(B1637="","",_xlfn.XLOOKUP(B1637,'Form responses 1'!$B$2:$B$2604,'Form responses 1'!$C$2:$C$2604,""))</f>
        <v/>
      </c>
      <c r="F1637" s="44" t="str">
        <f t="array" ref="F1637">IF(B1637="","",_xlfn.XLOOKUP(B1637,'Form responses 1'!$B$2:$B$2604,'Form responses 1'!$D$2:$D$2604,""))</f>
        <v/>
      </c>
      <c r="G1637" s="44" t="str">
        <f t="array" ref="G1637">IF(B1637="","",_xlfn.XLOOKUP(B1637,'Form responses 1'!$B$2:$B$2604,'Form responses 1'!$E$2:$E$2604,""))</f>
        <v/>
      </c>
      <c r="H1637" s="44" t="str">
        <f t="array" ref="H1637">IF(B1637="","",_xlfn.XLOOKUP(B1637,'Form responses 1'!$B$2:$B$2604,'Form responses 1'!$F$2:$F$2604,""))</f>
        <v/>
      </c>
      <c r="I1637" s="44" t="str">
        <f t="array" ref="I1637">IF(B1637="","",_xlfn.XLOOKUP(B1637,'Form responses 1'!$B$2:$B$2604,'Form responses 1'!$I$2:$I$2604,""))</f>
        <v/>
      </c>
      <c r="J1637" s="44" t="str">
        <f t="array" ref="J1637">IF(B1637="","",_xlfn.XLOOKUP(B1637,'Form responses 1'!$B$2:$B$2604,'Form responses 1'!$G$2:$G$2604,""))</f>
        <v/>
      </c>
      <c r="K1637" s="56"/>
      <c r="L1637" s="58" t="str">
        <f t="shared" si="7"/>
        <v/>
      </c>
      <c r="M1637" s="49"/>
      <c r="N1637" s="49"/>
      <c r="O1637" s="49"/>
      <c r="P1637" s="49"/>
      <c r="Q1637" s="49"/>
      <c r="R1637" s="49"/>
      <c r="S1637" s="49"/>
      <c r="T1637" s="49"/>
      <c r="U1637" s="49"/>
      <c r="V1637" s="49"/>
      <c r="W1637" s="56"/>
      <c r="X1637" s="51" t="str">
        <f t="shared" si="5"/>
        <v/>
      </c>
      <c r="Y1637" s="50" t="s">
        <v>482</v>
      </c>
      <c r="Z1637" s="49">
        <f t="shared" si="6"/>
        <v>0</v>
      </c>
    </row>
    <row r="1638" ht="22.5" customHeight="1">
      <c r="B1638" s="57"/>
      <c r="C1638" s="43" t="str">
        <f t="array" ref="C1638">IF(B1638="","",_xlfn.XLOOKUP(B1638,'Form responses 1'!$B$2:$B$2604,'Form responses 1'!$A$2:$A$2604,""))</f>
        <v/>
      </c>
      <c r="D1638" s="44" t="str">
        <f t="shared" si="3"/>
        <v/>
      </c>
      <c r="E1638" s="44" t="str">
        <f t="array" ref="E1638">IF(B1638="","",_xlfn.XLOOKUP(B1638,'Form responses 1'!$B$2:$B$2604,'Form responses 1'!$C$2:$C$2604,""))</f>
        <v/>
      </c>
      <c r="F1638" s="44" t="str">
        <f t="array" ref="F1638">IF(B1638="","",_xlfn.XLOOKUP(B1638,'Form responses 1'!$B$2:$B$2604,'Form responses 1'!$D$2:$D$2604,""))</f>
        <v/>
      </c>
      <c r="G1638" s="44" t="str">
        <f t="array" ref="G1638">IF(B1638="","",_xlfn.XLOOKUP(B1638,'Form responses 1'!$B$2:$B$2604,'Form responses 1'!$E$2:$E$2604,""))</f>
        <v/>
      </c>
      <c r="H1638" s="44" t="str">
        <f t="array" ref="H1638">IF(B1638="","",_xlfn.XLOOKUP(B1638,'Form responses 1'!$B$2:$B$2604,'Form responses 1'!$F$2:$F$2604,""))</f>
        <v/>
      </c>
      <c r="I1638" s="44" t="str">
        <f t="array" ref="I1638">IF(B1638="","",_xlfn.XLOOKUP(B1638,'Form responses 1'!$B$2:$B$2604,'Form responses 1'!$I$2:$I$2604,""))</f>
        <v/>
      </c>
      <c r="J1638" s="44" t="str">
        <f t="array" ref="J1638">IF(B1638="","",_xlfn.XLOOKUP(B1638,'Form responses 1'!$B$2:$B$2604,'Form responses 1'!$G$2:$G$2604,""))</f>
        <v/>
      </c>
      <c r="K1638" s="56"/>
      <c r="L1638" s="58" t="str">
        <f t="shared" si="7"/>
        <v/>
      </c>
      <c r="M1638" s="49"/>
      <c r="N1638" s="49"/>
      <c r="O1638" s="49"/>
      <c r="P1638" s="49"/>
      <c r="Q1638" s="49"/>
      <c r="R1638" s="49"/>
      <c r="S1638" s="49"/>
      <c r="T1638" s="49"/>
      <c r="U1638" s="49"/>
      <c r="V1638" s="49"/>
      <c r="W1638" s="56"/>
      <c r="X1638" s="51" t="str">
        <f t="shared" si="5"/>
        <v/>
      </c>
      <c r="Y1638" s="50" t="s">
        <v>482</v>
      </c>
      <c r="Z1638" s="49">
        <f t="shared" si="6"/>
        <v>0</v>
      </c>
    </row>
    <row r="1639" ht="22.5" customHeight="1">
      <c r="B1639" s="57"/>
      <c r="C1639" s="43" t="str">
        <f t="array" ref="C1639">IF(B1639="","",_xlfn.XLOOKUP(B1639,'Form responses 1'!$B$2:$B$2604,'Form responses 1'!$A$2:$A$2604,""))</f>
        <v/>
      </c>
      <c r="D1639" s="44" t="str">
        <f t="shared" si="3"/>
        <v/>
      </c>
      <c r="E1639" s="44" t="str">
        <f t="array" ref="E1639">IF(B1639="","",_xlfn.XLOOKUP(B1639,'Form responses 1'!$B$2:$B$2604,'Form responses 1'!$C$2:$C$2604,""))</f>
        <v/>
      </c>
      <c r="F1639" s="44" t="str">
        <f t="array" ref="F1639">IF(B1639="","",_xlfn.XLOOKUP(B1639,'Form responses 1'!$B$2:$B$2604,'Form responses 1'!$D$2:$D$2604,""))</f>
        <v/>
      </c>
      <c r="G1639" s="44" t="str">
        <f t="array" ref="G1639">IF(B1639="","",_xlfn.XLOOKUP(B1639,'Form responses 1'!$B$2:$B$2604,'Form responses 1'!$E$2:$E$2604,""))</f>
        <v/>
      </c>
      <c r="H1639" s="44" t="str">
        <f t="array" ref="H1639">IF(B1639="","",_xlfn.XLOOKUP(B1639,'Form responses 1'!$B$2:$B$2604,'Form responses 1'!$F$2:$F$2604,""))</f>
        <v/>
      </c>
      <c r="I1639" s="44" t="str">
        <f t="array" ref="I1639">IF(B1639="","",_xlfn.XLOOKUP(B1639,'Form responses 1'!$B$2:$B$2604,'Form responses 1'!$I$2:$I$2604,""))</f>
        <v/>
      </c>
      <c r="J1639" s="44" t="str">
        <f t="array" ref="J1639">IF(B1639="","",_xlfn.XLOOKUP(B1639,'Form responses 1'!$B$2:$B$2604,'Form responses 1'!$G$2:$G$2604,""))</f>
        <v/>
      </c>
      <c r="K1639" s="56"/>
      <c r="L1639" s="58" t="str">
        <f t="shared" si="7"/>
        <v/>
      </c>
      <c r="M1639" s="49"/>
      <c r="N1639" s="49"/>
      <c r="O1639" s="49"/>
      <c r="P1639" s="49"/>
      <c r="Q1639" s="49"/>
      <c r="R1639" s="49"/>
      <c r="S1639" s="49"/>
      <c r="T1639" s="49"/>
      <c r="U1639" s="49"/>
      <c r="V1639" s="49"/>
      <c r="W1639" s="56"/>
      <c r="X1639" s="51" t="str">
        <f t="shared" si="5"/>
        <v/>
      </c>
      <c r="Y1639" s="50" t="s">
        <v>482</v>
      </c>
      <c r="Z1639" s="49">
        <f t="shared" si="6"/>
        <v>0</v>
      </c>
    </row>
    <row r="1640" ht="22.5" customHeight="1">
      <c r="B1640" s="57"/>
      <c r="C1640" s="43" t="str">
        <f t="array" ref="C1640">IF(B1640="","",_xlfn.XLOOKUP(B1640,'Form responses 1'!$B$2:$B$2604,'Form responses 1'!$A$2:$A$2604,""))</f>
        <v/>
      </c>
      <c r="D1640" s="44" t="str">
        <f t="shared" si="3"/>
        <v/>
      </c>
      <c r="E1640" s="44" t="str">
        <f t="array" ref="E1640">IF(B1640="","",_xlfn.XLOOKUP(B1640,'Form responses 1'!$B$2:$B$2604,'Form responses 1'!$C$2:$C$2604,""))</f>
        <v/>
      </c>
      <c r="F1640" s="44" t="str">
        <f t="array" ref="F1640">IF(B1640="","",_xlfn.XLOOKUP(B1640,'Form responses 1'!$B$2:$B$2604,'Form responses 1'!$D$2:$D$2604,""))</f>
        <v/>
      </c>
      <c r="G1640" s="44" t="str">
        <f t="array" ref="G1640">IF(B1640="","",_xlfn.XLOOKUP(B1640,'Form responses 1'!$B$2:$B$2604,'Form responses 1'!$E$2:$E$2604,""))</f>
        <v/>
      </c>
      <c r="H1640" s="44" t="str">
        <f t="array" ref="H1640">IF(B1640="","",_xlfn.XLOOKUP(B1640,'Form responses 1'!$B$2:$B$2604,'Form responses 1'!$F$2:$F$2604,""))</f>
        <v/>
      </c>
      <c r="I1640" s="44" t="str">
        <f t="array" ref="I1640">IF(B1640="","",_xlfn.XLOOKUP(B1640,'Form responses 1'!$B$2:$B$2604,'Form responses 1'!$I$2:$I$2604,""))</f>
        <v/>
      </c>
      <c r="J1640" s="44" t="str">
        <f t="array" ref="J1640">IF(B1640="","",_xlfn.XLOOKUP(B1640,'Form responses 1'!$B$2:$B$2604,'Form responses 1'!$G$2:$G$2604,""))</f>
        <v/>
      </c>
      <c r="K1640" s="56"/>
      <c r="L1640" s="58" t="str">
        <f t="shared" si="7"/>
        <v/>
      </c>
      <c r="M1640" s="49"/>
      <c r="N1640" s="49"/>
      <c r="O1640" s="49"/>
      <c r="P1640" s="49"/>
      <c r="Q1640" s="49"/>
      <c r="R1640" s="49"/>
      <c r="S1640" s="49"/>
      <c r="T1640" s="49"/>
      <c r="U1640" s="49"/>
      <c r="V1640" s="49"/>
      <c r="W1640" s="56"/>
      <c r="X1640" s="51" t="str">
        <f t="shared" si="5"/>
        <v/>
      </c>
      <c r="Y1640" s="50" t="s">
        <v>482</v>
      </c>
      <c r="Z1640" s="49">
        <f t="shared" si="6"/>
        <v>0</v>
      </c>
    </row>
    <row r="1641" ht="22.5" customHeight="1">
      <c r="B1641" s="57"/>
      <c r="C1641" s="43" t="str">
        <f t="array" ref="C1641">IF(B1641="","",_xlfn.XLOOKUP(B1641,'Form responses 1'!$B$2:$B$2604,'Form responses 1'!$A$2:$A$2604,""))</f>
        <v/>
      </c>
      <c r="D1641" s="44" t="str">
        <f t="shared" si="3"/>
        <v/>
      </c>
      <c r="E1641" s="44" t="str">
        <f t="array" ref="E1641">IF(B1641="","",_xlfn.XLOOKUP(B1641,'Form responses 1'!$B$2:$B$2604,'Form responses 1'!$C$2:$C$2604,""))</f>
        <v/>
      </c>
      <c r="F1641" s="44" t="str">
        <f t="array" ref="F1641">IF(B1641="","",_xlfn.XLOOKUP(B1641,'Form responses 1'!$B$2:$B$2604,'Form responses 1'!$D$2:$D$2604,""))</f>
        <v/>
      </c>
      <c r="G1641" s="44" t="str">
        <f t="array" ref="G1641">IF(B1641="","",_xlfn.XLOOKUP(B1641,'Form responses 1'!$B$2:$B$2604,'Form responses 1'!$E$2:$E$2604,""))</f>
        <v/>
      </c>
      <c r="H1641" s="44" t="str">
        <f t="array" ref="H1641">IF(B1641="","",_xlfn.XLOOKUP(B1641,'Form responses 1'!$B$2:$B$2604,'Form responses 1'!$F$2:$F$2604,""))</f>
        <v/>
      </c>
      <c r="I1641" s="44" t="str">
        <f t="array" ref="I1641">IF(B1641="","",_xlfn.XLOOKUP(B1641,'Form responses 1'!$B$2:$B$2604,'Form responses 1'!$I$2:$I$2604,""))</f>
        <v/>
      </c>
      <c r="J1641" s="44" t="str">
        <f t="array" ref="J1641">IF(B1641="","",_xlfn.XLOOKUP(B1641,'Form responses 1'!$B$2:$B$2604,'Form responses 1'!$G$2:$G$2604,""))</f>
        <v/>
      </c>
      <c r="K1641" s="56"/>
      <c r="L1641" s="58" t="str">
        <f t="shared" si="7"/>
        <v/>
      </c>
      <c r="M1641" s="49"/>
      <c r="N1641" s="49"/>
      <c r="O1641" s="49"/>
      <c r="P1641" s="49"/>
      <c r="Q1641" s="49"/>
      <c r="R1641" s="49"/>
      <c r="S1641" s="49"/>
      <c r="T1641" s="49"/>
      <c r="U1641" s="49"/>
      <c r="V1641" s="49"/>
      <c r="W1641" s="56"/>
      <c r="X1641" s="51" t="str">
        <f t="shared" si="5"/>
        <v/>
      </c>
      <c r="Y1641" s="50" t="s">
        <v>482</v>
      </c>
      <c r="Z1641" s="49">
        <f t="shared" si="6"/>
        <v>0</v>
      </c>
    </row>
    <row r="1642" ht="22.5" customHeight="1">
      <c r="B1642" s="57"/>
      <c r="C1642" s="43" t="str">
        <f t="array" ref="C1642">IF(B1642="","",_xlfn.XLOOKUP(B1642,'Form responses 1'!$B$2:$B$2604,'Form responses 1'!$A$2:$A$2604,""))</f>
        <v/>
      </c>
      <c r="D1642" s="44" t="str">
        <f t="shared" si="3"/>
        <v/>
      </c>
      <c r="E1642" s="44" t="str">
        <f t="array" ref="E1642">IF(B1642="","",_xlfn.XLOOKUP(B1642,'Form responses 1'!$B$2:$B$2604,'Form responses 1'!$C$2:$C$2604,""))</f>
        <v/>
      </c>
      <c r="F1642" s="44" t="str">
        <f t="array" ref="F1642">IF(B1642="","",_xlfn.XLOOKUP(B1642,'Form responses 1'!$B$2:$B$2604,'Form responses 1'!$D$2:$D$2604,""))</f>
        <v/>
      </c>
      <c r="G1642" s="44" t="str">
        <f t="array" ref="G1642">IF(B1642="","",_xlfn.XLOOKUP(B1642,'Form responses 1'!$B$2:$B$2604,'Form responses 1'!$E$2:$E$2604,""))</f>
        <v/>
      </c>
      <c r="H1642" s="44" t="str">
        <f t="array" ref="H1642">IF(B1642="","",_xlfn.XLOOKUP(B1642,'Form responses 1'!$B$2:$B$2604,'Form responses 1'!$F$2:$F$2604,""))</f>
        <v/>
      </c>
      <c r="I1642" s="44" t="str">
        <f t="array" ref="I1642">IF(B1642="","",_xlfn.XLOOKUP(B1642,'Form responses 1'!$B$2:$B$2604,'Form responses 1'!$I$2:$I$2604,""))</f>
        <v/>
      </c>
      <c r="J1642" s="44" t="str">
        <f t="array" ref="J1642">IF(B1642="","",_xlfn.XLOOKUP(B1642,'Form responses 1'!$B$2:$B$2604,'Form responses 1'!$G$2:$G$2604,""))</f>
        <v/>
      </c>
      <c r="K1642" s="56"/>
      <c r="L1642" s="58" t="str">
        <f t="shared" si="7"/>
        <v/>
      </c>
      <c r="M1642" s="49"/>
      <c r="N1642" s="49"/>
      <c r="O1642" s="49"/>
      <c r="P1642" s="49"/>
      <c r="Q1642" s="49"/>
      <c r="R1642" s="49"/>
      <c r="S1642" s="49"/>
      <c r="T1642" s="49"/>
      <c r="U1642" s="49"/>
      <c r="V1642" s="49"/>
      <c r="W1642" s="56"/>
      <c r="X1642" s="51" t="str">
        <f t="shared" si="5"/>
        <v/>
      </c>
      <c r="Y1642" s="50" t="s">
        <v>482</v>
      </c>
      <c r="Z1642" s="49">
        <f t="shared" si="6"/>
        <v>0</v>
      </c>
    </row>
    <row r="1643" ht="22.5" customHeight="1">
      <c r="B1643" s="57"/>
      <c r="C1643" s="43" t="str">
        <f t="array" ref="C1643">IF(B1643="","",_xlfn.XLOOKUP(B1643,'Form responses 1'!$B$2:$B$2604,'Form responses 1'!$A$2:$A$2604,""))</f>
        <v/>
      </c>
      <c r="D1643" s="44" t="str">
        <f t="shared" si="3"/>
        <v/>
      </c>
      <c r="E1643" s="44" t="str">
        <f t="array" ref="E1643">IF(B1643="","",_xlfn.XLOOKUP(B1643,'Form responses 1'!$B$2:$B$2604,'Form responses 1'!$C$2:$C$2604,""))</f>
        <v/>
      </c>
      <c r="F1643" s="44" t="str">
        <f t="array" ref="F1643">IF(B1643="","",_xlfn.XLOOKUP(B1643,'Form responses 1'!$B$2:$B$2604,'Form responses 1'!$D$2:$D$2604,""))</f>
        <v/>
      </c>
      <c r="G1643" s="44" t="str">
        <f t="array" ref="G1643">IF(B1643="","",_xlfn.XLOOKUP(B1643,'Form responses 1'!$B$2:$B$2604,'Form responses 1'!$E$2:$E$2604,""))</f>
        <v/>
      </c>
      <c r="H1643" s="44" t="str">
        <f t="array" ref="H1643">IF(B1643="","",_xlfn.XLOOKUP(B1643,'Form responses 1'!$B$2:$B$2604,'Form responses 1'!$F$2:$F$2604,""))</f>
        <v/>
      </c>
      <c r="I1643" s="44" t="str">
        <f t="array" ref="I1643">IF(B1643="","",_xlfn.XLOOKUP(B1643,'Form responses 1'!$B$2:$B$2604,'Form responses 1'!$I$2:$I$2604,""))</f>
        <v/>
      </c>
      <c r="J1643" s="44" t="str">
        <f t="array" ref="J1643">IF(B1643="","",_xlfn.XLOOKUP(B1643,'Form responses 1'!$B$2:$B$2604,'Form responses 1'!$G$2:$G$2604,""))</f>
        <v/>
      </c>
      <c r="K1643" s="56"/>
      <c r="L1643" s="58" t="str">
        <f t="shared" si="7"/>
        <v/>
      </c>
      <c r="M1643" s="49"/>
      <c r="N1643" s="49"/>
      <c r="O1643" s="49"/>
      <c r="P1643" s="49"/>
      <c r="Q1643" s="49"/>
      <c r="R1643" s="49"/>
      <c r="S1643" s="49"/>
      <c r="T1643" s="49"/>
      <c r="U1643" s="49"/>
      <c r="V1643" s="49"/>
      <c r="W1643" s="56"/>
      <c r="X1643" s="51" t="str">
        <f t="shared" si="5"/>
        <v/>
      </c>
      <c r="Y1643" s="50" t="s">
        <v>482</v>
      </c>
      <c r="Z1643" s="49">
        <f t="shared" si="6"/>
        <v>0</v>
      </c>
    </row>
    <row r="1644" ht="22.5" customHeight="1">
      <c r="B1644" s="57"/>
      <c r="C1644" s="43" t="str">
        <f t="array" ref="C1644">IF(B1644="","",_xlfn.XLOOKUP(B1644,'Form responses 1'!$B$2:$B$2604,'Form responses 1'!$A$2:$A$2604,""))</f>
        <v/>
      </c>
      <c r="D1644" s="44" t="str">
        <f t="shared" si="3"/>
        <v/>
      </c>
      <c r="E1644" s="44" t="str">
        <f t="array" ref="E1644">IF(B1644="","",_xlfn.XLOOKUP(B1644,'Form responses 1'!$B$2:$B$2604,'Form responses 1'!$C$2:$C$2604,""))</f>
        <v/>
      </c>
      <c r="F1644" s="44" t="str">
        <f t="array" ref="F1644">IF(B1644="","",_xlfn.XLOOKUP(B1644,'Form responses 1'!$B$2:$B$2604,'Form responses 1'!$D$2:$D$2604,""))</f>
        <v/>
      </c>
      <c r="G1644" s="44" t="str">
        <f t="array" ref="G1644">IF(B1644="","",_xlfn.XLOOKUP(B1644,'Form responses 1'!$B$2:$B$2604,'Form responses 1'!$E$2:$E$2604,""))</f>
        <v/>
      </c>
      <c r="H1644" s="44" t="str">
        <f t="array" ref="H1644">IF(B1644="","",_xlfn.XLOOKUP(B1644,'Form responses 1'!$B$2:$B$2604,'Form responses 1'!$F$2:$F$2604,""))</f>
        <v/>
      </c>
      <c r="I1644" s="44" t="str">
        <f t="array" ref="I1644">IF(B1644="","",_xlfn.XLOOKUP(B1644,'Form responses 1'!$B$2:$B$2604,'Form responses 1'!$I$2:$I$2604,""))</f>
        <v/>
      </c>
      <c r="J1644" s="44" t="str">
        <f t="array" ref="J1644">IF(B1644="","",_xlfn.XLOOKUP(B1644,'Form responses 1'!$B$2:$B$2604,'Form responses 1'!$G$2:$G$2604,""))</f>
        <v/>
      </c>
      <c r="K1644" s="56"/>
      <c r="L1644" s="58" t="str">
        <f t="shared" si="7"/>
        <v/>
      </c>
      <c r="M1644" s="49"/>
      <c r="N1644" s="49"/>
      <c r="O1644" s="49"/>
      <c r="P1644" s="49"/>
      <c r="Q1644" s="49"/>
      <c r="R1644" s="49"/>
      <c r="S1644" s="49"/>
      <c r="T1644" s="49"/>
      <c r="U1644" s="49"/>
      <c r="V1644" s="49"/>
      <c r="W1644" s="56"/>
      <c r="X1644" s="51" t="str">
        <f t="shared" si="5"/>
        <v/>
      </c>
      <c r="Y1644" s="50" t="s">
        <v>482</v>
      </c>
      <c r="Z1644" s="49">
        <f t="shared" si="6"/>
        <v>0</v>
      </c>
    </row>
    <row r="1645" ht="22.5" customHeight="1">
      <c r="B1645" s="57"/>
      <c r="C1645" s="43" t="str">
        <f t="array" ref="C1645">IF(B1645="","",_xlfn.XLOOKUP(B1645,'Form responses 1'!$B$2:$B$2604,'Form responses 1'!$A$2:$A$2604,""))</f>
        <v/>
      </c>
      <c r="D1645" s="44" t="str">
        <f t="shared" si="3"/>
        <v/>
      </c>
      <c r="E1645" s="44" t="str">
        <f t="array" ref="E1645">IF(B1645="","",_xlfn.XLOOKUP(B1645,'Form responses 1'!$B$2:$B$2604,'Form responses 1'!$C$2:$C$2604,""))</f>
        <v/>
      </c>
      <c r="F1645" s="44" t="str">
        <f t="array" ref="F1645">IF(B1645="","",_xlfn.XLOOKUP(B1645,'Form responses 1'!$B$2:$B$2604,'Form responses 1'!$D$2:$D$2604,""))</f>
        <v/>
      </c>
      <c r="G1645" s="44" t="str">
        <f t="array" ref="G1645">IF(B1645="","",_xlfn.XLOOKUP(B1645,'Form responses 1'!$B$2:$B$2604,'Form responses 1'!$E$2:$E$2604,""))</f>
        <v/>
      </c>
      <c r="H1645" s="44" t="str">
        <f t="array" ref="H1645">IF(B1645="","",_xlfn.XLOOKUP(B1645,'Form responses 1'!$B$2:$B$2604,'Form responses 1'!$F$2:$F$2604,""))</f>
        <v/>
      </c>
      <c r="I1645" s="44" t="str">
        <f t="array" ref="I1645">IF(B1645="","",_xlfn.XLOOKUP(B1645,'Form responses 1'!$B$2:$B$2604,'Form responses 1'!$I$2:$I$2604,""))</f>
        <v/>
      </c>
      <c r="J1645" s="44" t="str">
        <f t="array" ref="J1645">IF(B1645="","",_xlfn.XLOOKUP(B1645,'Form responses 1'!$B$2:$B$2604,'Form responses 1'!$G$2:$G$2604,""))</f>
        <v/>
      </c>
      <c r="K1645" s="56"/>
      <c r="L1645" s="58" t="str">
        <f t="shared" si="7"/>
        <v/>
      </c>
      <c r="M1645" s="49"/>
      <c r="N1645" s="49"/>
      <c r="O1645" s="49"/>
      <c r="P1645" s="49"/>
      <c r="Q1645" s="49"/>
      <c r="R1645" s="49"/>
      <c r="S1645" s="49"/>
      <c r="T1645" s="49"/>
      <c r="U1645" s="49"/>
      <c r="V1645" s="49"/>
      <c r="W1645" s="56"/>
      <c r="X1645" s="51" t="str">
        <f t="shared" si="5"/>
        <v/>
      </c>
      <c r="Y1645" s="50" t="s">
        <v>482</v>
      </c>
      <c r="Z1645" s="49">
        <f t="shared" si="6"/>
        <v>0</v>
      </c>
    </row>
    <row r="1646" ht="22.5" customHeight="1">
      <c r="B1646" s="57"/>
      <c r="C1646" s="43" t="str">
        <f t="array" ref="C1646">IF(B1646="","",_xlfn.XLOOKUP(B1646,'Form responses 1'!$B$2:$B$2604,'Form responses 1'!$A$2:$A$2604,""))</f>
        <v/>
      </c>
      <c r="D1646" s="44" t="str">
        <f t="shared" si="3"/>
        <v/>
      </c>
      <c r="E1646" s="44" t="str">
        <f t="array" ref="E1646">IF(B1646="","",_xlfn.XLOOKUP(B1646,'Form responses 1'!$B$2:$B$2604,'Form responses 1'!$C$2:$C$2604,""))</f>
        <v/>
      </c>
      <c r="F1646" s="44" t="str">
        <f t="array" ref="F1646">IF(B1646="","",_xlfn.XLOOKUP(B1646,'Form responses 1'!$B$2:$B$2604,'Form responses 1'!$D$2:$D$2604,""))</f>
        <v/>
      </c>
      <c r="G1646" s="44" t="str">
        <f t="array" ref="G1646">IF(B1646="","",_xlfn.XLOOKUP(B1646,'Form responses 1'!$B$2:$B$2604,'Form responses 1'!$E$2:$E$2604,""))</f>
        <v/>
      </c>
      <c r="H1646" s="44" t="str">
        <f t="array" ref="H1646">IF(B1646="","",_xlfn.XLOOKUP(B1646,'Form responses 1'!$B$2:$B$2604,'Form responses 1'!$F$2:$F$2604,""))</f>
        <v/>
      </c>
      <c r="I1646" s="44" t="str">
        <f t="array" ref="I1646">IF(B1646="","",_xlfn.XLOOKUP(B1646,'Form responses 1'!$B$2:$B$2604,'Form responses 1'!$I$2:$I$2604,""))</f>
        <v/>
      </c>
      <c r="J1646" s="44" t="str">
        <f t="array" ref="J1646">IF(B1646="","",_xlfn.XLOOKUP(B1646,'Form responses 1'!$B$2:$B$2604,'Form responses 1'!$G$2:$G$2604,""))</f>
        <v/>
      </c>
      <c r="K1646" s="56"/>
      <c r="L1646" s="58" t="str">
        <f t="shared" si="7"/>
        <v/>
      </c>
      <c r="M1646" s="49"/>
      <c r="N1646" s="49"/>
      <c r="O1646" s="49"/>
      <c r="P1646" s="49"/>
      <c r="Q1646" s="49"/>
      <c r="R1646" s="49"/>
      <c r="S1646" s="49"/>
      <c r="T1646" s="49"/>
      <c r="U1646" s="49"/>
      <c r="V1646" s="49"/>
      <c r="W1646" s="56"/>
      <c r="X1646" s="51" t="str">
        <f t="shared" si="5"/>
        <v/>
      </c>
      <c r="Y1646" s="50" t="s">
        <v>482</v>
      </c>
      <c r="Z1646" s="49">
        <f t="shared" si="6"/>
        <v>0</v>
      </c>
    </row>
    <row r="1647" ht="22.5" customHeight="1">
      <c r="B1647" s="57"/>
      <c r="C1647" s="43" t="str">
        <f t="array" ref="C1647">IF(B1647="","",_xlfn.XLOOKUP(B1647,'Form responses 1'!$B$2:$B$2604,'Form responses 1'!$A$2:$A$2604,""))</f>
        <v/>
      </c>
      <c r="D1647" s="44" t="str">
        <f t="shared" si="3"/>
        <v/>
      </c>
      <c r="E1647" s="44" t="str">
        <f t="array" ref="E1647">IF(B1647="","",_xlfn.XLOOKUP(B1647,'Form responses 1'!$B$2:$B$2604,'Form responses 1'!$C$2:$C$2604,""))</f>
        <v/>
      </c>
      <c r="F1647" s="44" t="str">
        <f t="array" ref="F1647">IF(B1647="","",_xlfn.XLOOKUP(B1647,'Form responses 1'!$B$2:$B$2604,'Form responses 1'!$D$2:$D$2604,""))</f>
        <v/>
      </c>
      <c r="G1647" s="44" t="str">
        <f t="array" ref="G1647">IF(B1647="","",_xlfn.XLOOKUP(B1647,'Form responses 1'!$B$2:$B$2604,'Form responses 1'!$E$2:$E$2604,""))</f>
        <v/>
      </c>
      <c r="H1647" s="44" t="str">
        <f t="array" ref="H1647">IF(B1647="","",_xlfn.XLOOKUP(B1647,'Form responses 1'!$B$2:$B$2604,'Form responses 1'!$F$2:$F$2604,""))</f>
        <v/>
      </c>
      <c r="I1647" s="44" t="str">
        <f t="array" ref="I1647">IF(B1647="","",_xlfn.XLOOKUP(B1647,'Form responses 1'!$B$2:$B$2604,'Form responses 1'!$I$2:$I$2604,""))</f>
        <v/>
      </c>
      <c r="J1647" s="44" t="str">
        <f t="array" ref="J1647">IF(B1647="","",_xlfn.XLOOKUP(B1647,'Form responses 1'!$B$2:$B$2604,'Form responses 1'!$G$2:$G$2604,""))</f>
        <v/>
      </c>
      <c r="K1647" s="56"/>
      <c r="L1647" s="58" t="str">
        <f t="shared" si="7"/>
        <v/>
      </c>
      <c r="M1647" s="49"/>
      <c r="N1647" s="49"/>
      <c r="O1647" s="49"/>
      <c r="P1647" s="49"/>
      <c r="Q1647" s="49"/>
      <c r="R1647" s="49"/>
      <c r="S1647" s="49"/>
      <c r="T1647" s="49"/>
      <c r="U1647" s="49"/>
      <c r="V1647" s="49"/>
      <c r="W1647" s="56"/>
      <c r="X1647" s="51" t="str">
        <f t="shared" si="5"/>
        <v/>
      </c>
      <c r="Y1647" s="50" t="s">
        <v>482</v>
      </c>
      <c r="Z1647" s="49">
        <f t="shared" si="6"/>
        <v>0</v>
      </c>
    </row>
    <row r="1648" ht="22.5" customHeight="1">
      <c r="B1648" s="57"/>
      <c r="C1648" s="43" t="str">
        <f t="array" ref="C1648">IF(B1648="","",_xlfn.XLOOKUP(B1648,'Form responses 1'!$B$2:$B$2604,'Form responses 1'!$A$2:$A$2604,""))</f>
        <v/>
      </c>
      <c r="D1648" s="44" t="str">
        <f t="shared" si="3"/>
        <v/>
      </c>
      <c r="E1648" s="44" t="str">
        <f t="array" ref="E1648">IF(B1648="","",_xlfn.XLOOKUP(B1648,'Form responses 1'!$B$2:$B$2604,'Form responses 1'!$C$2:$C$2604,""))</f>
        <v/>
      </c>
      <c r="F1648" s="44" t="str">
        <f t="array" ref="F1648">IF(B1648="","",_xlfn.XLOOKUP(B1648,'Form responses 1'!$B$2:$B$2604,'Form responses 1'!$D$2:$D$2604,""))</f>
        <v/>
      </c>
      <c r="G1648" s="44" t="str">
        <f t="array" ref="G1648">IF(B1648="","",_xlfn.XLOOKUP(B1648,'Form responses 1'!$B$2:$B$2604,'Form responses 1'!$E$2:$E$2604,""))</f>
        <v/>
      </c>
      <c r="H1648" s="44" t="str">
        <f t="array" ref="H1648">IF(B1648="","",_xlfn.XLOOKUP(B1648,'Form responses 1'!$B$2:$B$2604,'Form responses 1'!$F$2:$F$2604,""))</f>
        <v/>
      </c>
      <c r="I1648" s="44" t="str">
        <f t="array" ref="I1648">IF(B1648="","",_xlfn.XLOOKUP(B1648,'Form responses 1'!$B$2:$B$2604,'Form responses 1'!$I$2:$I$2604,""))</f>
        <v/>
      </c>
      <c r="J1648" s="44" t="str">
        <f t="array" ref="J1648">IF(B1648="","",_xlfn.XLOOKUP(B1648,'Form responses 1'!$B$2:$B$2604,'Form responses 1'!$G$2:$G$2604,""))</f>
        <v/>
      </c>
      <c r="K1648" s="56"/>
      <c r="L1648" s="58" t="str">
        <f t="shared" si="7"/>
        <v/>
      </c>
      <c r="M1648" s="49"/>
      <c r="N1648" s="49"/>
      <c r="O1648" s="49"/>
      <c r="P1648" s="49"/>
      <c r="Q1648" s="49"/>
      <c r="R1648" s="49"/>
      <c r="S1648" s="49"/>
      <c r="T1648" s="49"/>
      <c r="U1648" s="49"/>
      <c r="V1648" s="49"/>
      <c r="W1648" s="56"/>
      <c r="X1648" s="51" t="str">
        <f t="shared" si="5"/>
        <v/>
      </c>
      <c r="Y1648" s="50" t="s">
        <v>482</v>
      </c>
      <c r="Z1648" s="49">
        <f t="shared" si="6"/>
        <v>0</v>
      </c>
    </row>
    <row r="1649" ht="22.5" customHeight="1">
      <c r="B1649" s="57"/>
      <c r="C1649" s="43" t="str">
        <f t="array" ref="C1649">IF(B1649="","",_xlfn.XLOOKUP(B1649,'Form responses 1'!$B$2:$B$2604,'Form responses 1'!$A$2:$A$2604,""))</f>
        <v/>
      </c>
      <c r="D1649" s="44" t="str">
        <f t="shared" si="3"/>
        <v/>
      </c>
      <c r="E1649" s="44" t="str">
        <f t="array" ref="E1649">IF(B1649="","",_xlfn.XLOOKUP(B1649,'Form responses 1'!$B$2:$B$2604,'Form responses 1'!$C$2:$C$2604,""))</f>
        <v/>
      </c>
      <c r="F1649" s="44" t="str">
        <f t="array" ref="F1649">IF(B1649="","",_xlfn.XLOOKUP(B1649,'Form responses 1'!$B$2:$B$2604,'Form responses 1'!$D$2:$D$2604,""))</f>
        <v/>
      </c>
      <c r="G1649" s="44" t="str">
        <f t="array" ref="G1649">IF(B1649="","",_xlfn.XLOOKUP(B1649,'Form responses 1'!$B$2:$B$2604,'Form responses 1'!$E$2:$E$2604,""))</f>
        <v/>
      </c>
      <c r="H1649" s="44" t="str">
        <f t="array" ref="H1649">IF(B1649="","",_xlfn.XLOOKUP(B1649,'Form responses 1'!$B$2:$B$2604,'Form responses 1'!$F$2:$F$2604,""))</f>
        <v/>
      </c>
      <c r="I1649" s="44" t="str">
        <f t="array" ref="I1649">IF(B1649="","",_xlfn.XLOOKUP(B1649,'Form responses 1'!$B$2:$B$2604,'Form responses 1'!$I$2:$I$2604,""))</f>
        <v/>
      </c>
      <c r="J1649" s="44" t="str">
        <f t="array" ref="J1649">IF(B1649="","",_xlfn.XLOOKUP(B1649,'Form responses 1'!$B$2:$B$2604,'Form responses 1'!$G$2:$G$2604,""))</f>
        <v/>
      </c>
      <c r="K1649" s="56"/>
      <c r="L1649" s="58" t="str">
        <f t="shared" si="7"/>
        <v/>
      </c>
      <c r="M1649" s="49"/>
      <c r="N1649" s="49"/>
      <c r="O1649" s="49"/>
      <c r="P1649" s="49"/>
      <c r="Q1649" s="49"/>
      <c r="R1649" s="49"/>
      <c r="S1649" s="49"/>
      <c r="T1649" s="49"/>
      <c r="U1649" s="49"/>
      <c r="V1649" s="49"/>
      <c r="W1649" s="56"/>
      <c r="X1649" s="51" t="str">
        <f t="shared" si="5"/>
        <v/>
      </c>
      <c r="Y1649" s="50" t="s">
        <v>482</v>
      </c>
      <c r="Z1649" s="49">
        <f t="shared" si="6"/>
        <v>0</v>
      </c>
    </row>
    <row r="1650" ht="22.5" customHeight="1">
      <c r="B1650" s="57"/>
      <c r="C1650" s="43" t="str">
        <f t="array" ref="C1650">IF(B1650="","",_xlfn.XLOOKUP(B1650,'Form responses 1'!$B$2:$B$2604,'Form responses 1'!$A$2:$A$2604,""))</f>
        <v/>
      </c>
      <c r="D1650" s="44" t="str">
        <f t="shared" si="3"/>
        <v/>
      </c>
      <c r="E1650" s="44" t="str">
        <f t="array" ref="E1650">IF(B1650="","",_xlfn.XLOOKUP(B1650,'Form responses 1'!$B$2:$B$2604,'Form responses 1'!$C$2:$C$2604,""))</f>
        <v/>
      </c>
      <c r="F1650" s="44" t="str">
        <f t="array" ref="F1650">IF(B1650="","",_xlfn.XLOOKUP(B1650,'Form responses 1'!$B$2:$B$2604,'Form responses 1'!$D$2:$D$2604,""))</f>
        <v/>
      </c>
      <c r="G1650" s="44" t="str">
        <f t="array" ref="G1650">IF(B1650="","",_xlfn.XLOOKUP(B1650,'Form responses 1'!$B$2:$B$2604,'Form responses 1'!$E$2:$E$2604,""))</f>
        <v/>
      </c>
      <c r="H1650" s="44" t="str">
        <f t="array" ref="H1650">IF(B1650="","",_xlfn.XLOOKUP(B1650,'Form responses 1'!$B$2:$B$2604,'Form responses 1'!$F$2:$F$2604,""))</f>
        <v/>
      </c>
      <c r="I1650" s="44" t="str">
        <f t="array" ref="I1650">IF(B1650="","",_xlfn.XLOOKUP(B1650,'Form responses 1'!$B$2:$B$2604,'Form responses 1'!$I$2:$I$2604,""))</f>
        <v/>
      </c>
      <c r="J1650" s="44" t="str">
        <f t="array" ref="J1650">IF(B1650="","",_xlfn.XLOOKUP(B1650,'Form responses 1'!$B$2:$B$2604,'Form responses 1'!$G$2:$G$2604,""))</f>
        <v/>
      </c>
      <c r="K1650" s="56"/>
      <c r="L1650" s="58" t="str">
        <f t="shared" si="7"/>
        <v/>
      </c>
      <c r="M1650" s="49"/>
      <c r="N1650" s="49"/>
      <c r="O1650" s="49"/>
      <c r="P1650" s="49"/>
      <c r="Q1650" s="49"/>
      <c r="R1650" s="49"/>
      <c r="S1650" s="49"/>
      <c r="T1650" s="49"/>
      <c r="U1650" s="49"/>
      <c r="V1650" s="49"/>
      <c r="W1650" s="56"/>
      <c r="X1650" s="51" t="str">
        <f t="shared" si="5"/>
        <v/>
      </c>
      <c r="Y1650" s="50" t="s">
        <v>482</v>
      </c>
      <c r="Z1650" s="49">
        <f t="shared" si="6"/>
        <v>0</v>
      </c>
    </row>
    <row r="1651" ht="22.5" customHeight="1">
      <c r="B1651" s="57"/>
      <c r="C1651" s="43" t="str">
        <f t="array" ref="C1651">IF(B1651="","",_xlfn.XLOOKUP(B1651,'Form responses 1'!$B$2:$B$2604,'Form responses 1'!$A$2:$A$2604,""))</f>
        <v/>
      </c>
      <c r="D1651" s="44" t="str">
        <f t="shared" si="3"/>
        <v/>
      </c>
      <c r="E1651" s="44" t="str">
        <f t="array" ref="E1651">IF(B1651="","",_xlfn.XLOOKUP(B1651,'Form responses 1'!$B$2:$B$2604,'Form responses 1'!$C$2:$C$2604,""))</f>
        <v/>
      </c>
      <c r="F1651" s="44" t="str">
        <f t="array" ref="F1651">IF(B1651="","",_xlfn.XLOOKUP(B1651,'Form responses 1'!$B$2:$B$2604,'Form responses 1'!$D$2:$D$2604,""))</f>
        <v/>
      </c>
      <c r="G1651" s="44" t="str">
        <f t="array" ref="G1651">IF(B1651="","",_xlfn.XLOOKUP(B1651,'Form responses 1'!$B$2:$B$2604,'Form responses 1'!$E$2:$E$2604,""))</f>
        <v/>
      </c>
      <c r="H1651" s="44" t="str">
        <f t="array" ref="H1651">IF(B1651="","",_xlfn.XLOOKUP(B1651,'Form responses 1'!$B$2:$B$2604,'Form responses 1'!$F$2:$F$2604,""))</f>
        <v/>
      </c>
      <c r="I1651" s="44" t="str">
        <f t="array" ref="I1651">IF(B1651="","",_xlfn.XLOOKUP(B1651,'Form responses 1'!$B$2:$B$2604,'Form responses 1'!$I$2:$I$2604,""))</f>
        <v/>
      </c>
      <c r="J1651" s="44" t="str">
        <f t="array" ref="J1651">IF(B1651="","",_xlfn.XLOOKUP(B1651,'Form responses 1'!$B$2:$B$2604,'Form responses 1'!$G$2:$G$2604,""))</f>
        <v/>
      </c>
      <c r="K1651" s="56"/>
      <c r="L1651" s="58" t="str">
        <f t="shared" si="7"/>
        <v/>
      </c>
      <c r="M1651" s="49"/>
      <c r="N1651" s="49"/>
      <c r="O1651" s="49"/>
      <c r="P1651" s="49"/>
      <c r="Q1651" s="49"/>
      <c r="R1651" s="49"/>
      <c r="S1651" s="49"/>
      <c r="T1651" s="49"/>
      <c r="U1651" s="49"/>
      <c r="V1651" s="49"/>
      <c r="W1651" s="56"/>
      <c r="X1651" s="51" t="str">
        <f t="shared" si="5"/>
        <v/>
      </c>
      <c r="Y1651" s="50" t="s">
        <v>482</v>
      </c>
      <c r="Z1651" s="49">
        <f t="shared" si="6"/>
        <v>0</v>
      </c>
    </row>
    <row r="1652" ht="22.5" customHeight="1">
      <c r="B1652" s="57"/>
      <c r="C1652" s="43" t="str">
        <f t="array" ref="C1652">IF(B1652="","",_xlfn.XLOOKUP(B1652,'Form responses 1'!$B$2:$B$2604,'Form responses 1'!$A$2:$A$2604,""))</f>
        <v/>
      </c>
      <c r="D1652" s="44" t="str">
        <f t="shared" si="3"/>
        <v/>
      </c>
      <c r="E1652" s="44" t="str">
        <f t="array" ref="E1652">IF(B1652="","",_xlfn.XLOOKUP(B1652,'Form responses 1'!$B$2:$B$2604,'Form responses 1'!$C$2:$C$2604,""))</f>
        <v/>
      </c>
      <c r="F1652" s="44" t="str">
        <f t="array" ref="F1652">IF(B1652="","",_xlfn.XLOOKUP(B1652,'Form responses 1'!$B$2:$B$2604,'Form responses 1'!$D$2:$D$2604,""))</f>
        <v/>
      </c>
      <c r="G1652" s="44" t="str">
        <f t="array" ref="G1652">IF(B1652="","",_xlfn.XLOOKUP(B1652,'Form responses 1'!$B$2:$B$2604,'Form responses 1'!$E$2:$E$2604,""))</f>
        <v/>
      </c>
      <c r="H1652" s="44" t="str">
        <f t="array" ref="H1652">IF(B1652="","",_xlfn.XLOOKUP(B1652,'Form responses 1'!$B$2:$B$2604,'Form responses 1'!$F$2:$F$2604,""))</f>
        <v/>
      </c>
      <c r="I1652" s="44" t="str">
        <f t="array" ref="I1652">IF(B1652="","",_xlfn.XLOOKUP(B1652,'Form responses 1'!$B$2:$B$2604,'Form responses 1'!$I$2:$I$2604,""))</f>
        <v/>
      </c>
      <c r="J1652" s="44" t="str">
        <f t="array" ref="J1652">IF(B1652="","",_xlfn.XLOOKUP(B1652,'Form responses 1'!$B$2:$B$2604,'Form responses 1'!$G$2:$G$2604,""))</f>
        <v/>
      </c>
      <c r="K1652" s="56"/>
      <c r="L1652" s="58" t="str">
        <f t="shared" si="7"/>
        <v/>
      </c>
      <c r="M1652" s="49"/>
      <c r="N1652" s="49"/>
      <c r="O1652" s="49"/>
      <c r="P1652" s="49"/>
      <c r="Q1652" s="49"/>
      <c r="R1652" s="49"/>
      <c r="S1652" s="49"/>
      <c r="T1652" s="49"/>
      <c r="U1652" s="49"/>
      <c r="V1652" s="49"/>
      <c r="W1652" s="56"/>
      <c r="X1652" s="51" t="str">
        <f t="shared" si="5"/>
        <v/>
      </c>
      <c r="Y1652" s="50" t="s">
        <v>482</v>
      </c>
      <c r="Z1652" s="49">
        <f t="shared" si="6"/>
        <v>0</v>
      </c>
    </row>
    <row r="1653" ht="22.5" customHeight="1">
      <c r="B1653" s="57"/>
      <c r="C1653" s="43" t="str">
        <f t="array" ref="C1653">IF(B1653="","",_xlfn.XLOOKUP(B1653,'Form responses 1'!$B$2:$B$2604,'Form responses 1'!$A$2:$A$2604,""))</f>
        <v/>
      </c>
      <c r="D1653" s="44" t="str">
        <f t="shared" si="3"/>
        <v/>
      </c>
      <c r="E1653" s="44" t="str">
        <f t="array" ref="E1653">IF(B1653="","",_xlfn.XLOOKUP(B1653,'Form responses 1'!$B$2:$B$2604,'Form responses 1'!$C$2:$C$2604,""))</f>
        <v/>
      </c>
      <c r="F1653" s="44" t="str">
        <f t="array" ref="F1653">IF(B1653="","",_xlfn.XLOOKUP(B1653,'Form responses 1'!$B$2:$B$2604,'Form responses 1'!$D$2:$D$2604,""))</f>
        <v/>
      </c>
      <c r="G1653" s="44" t="str">
        <f t="array" ref="G1653">IF(B1653="","",_xlfn.XLOOKUP(B1653,'Form responses 1'!$B$2:$B$2604,'Form responses 1'!$E$2:$E$2604,""))</f>
        <v/>
      </c>
      <c r="H1653" s="44" t="str">
        <f t="array" ref="H1653">IF(B1653="","",_xlfn.XLOOKUP(B1653,'Form responses 1'!$B$2:$B$2604,'Form responses 1'!$F$2:$F$2604,""))</f>
        <v/>
      </c>
      <c r="I1653" s="44" t="str">
        <f t="array" ref="I1653">IF(B1653="","",_xlfn.XLOOKUP(B1653,'Form responses 1'!$B$2:$B$2604,'Form responses 1'!$I$2:$I$2604,""))</f>
        <v/>
      </c>
      <c r="J1653" s="44" t="str">
        <f t="array" ref="J1653">IF(B1653="","",_xlfn.XLOOKUP(B1653,'Form responses 1'!$B$2:$B$2604,'Form responses 1'!$G$2:$G$2604,""))</f>
        <v/>
      </c>
      <c r="K1653" s="56"/>
      <c r="L1653" s="58" t="str">
        <f t="shared" si="7"/>
        <v/>
      </c>
      <c r="M1653" s="49"/>
      <c r="N1653" s="49"/>
      <c r="O1653" s="49"/>
      <c r="P1653" s="49"/>
      <c r="Q1653" s="49"/>
      <c r="R1653" s="49"/>
      <c r="S1653" s="49"/>
      <c r="T1653" s="49"/>
      <c r="U1653" s="49"/>
      <c r="V1653" s="49"/>
      <c r="W1653" s="56"/>
      <c r="X1653" s="51" t="str">
        <f t="shared" si="5"/>
        <v/>
      </c>
      <c r="Y1653" s="50" t="s">
        <v>482</v>
      </c>
      <c r="Z1653" s="49">
        <f t="shared" si="6"/>
        <v>0</v>
      </c>
    </row>
    <row r="1654" ht="22.5" customHeight="1">
      <c r="B1654" s="57"/>
      <c r="C1654" s="43" t="str">
        <f t="array" ref="C1654">IF(B1654="","",_xlfn.XLOOKUP(B1654,'Form responses 1'!$B$2:$B$2604,'Form responses 1'!$A$2:$A$2604,""))</f>
        <v/>
      </c>
      <c r="D1654" s="44" t="str">
        <f t="shared" si="3"/>
        <v/>
      </c>
      <c r="E1654" s="44" t="str">
        <f t="array" ref="E1654">IF(B1654="","",_xlfn.XLOOKUP(B1654,'Form responses 1'!$B$2:$B$2604,'Form responses 1'!$C$2:$C$2604,""))</f>
        <v/>
      </c>
      <c r="F1654" s="44" t="str">
        <f t="array" ref="F1654">IF(B1654="","",_xlfn.XLOOKUP(B1654,'Form responses 1'!$B$2:$B$2604,'Form responses 1'!$D$2:$D$2604,""))</f>
        <v/>
      </c>
      <c r="G1654" s="44" t="str">
        <f t="array" ref="G1654">IF(B1654="","",_xlfn.XLOOKUP(B1654,'Form responses 1'!$B$2:$B$2604,'Form responses 1'!$E$2:$E$2604,""))</f>
        <v/>
      </c>
      <c r="H1654" s="44" t="str">
        <f t="array" ref="H1654">IF(B1654="","",_xlfn.XLOOKUP(B1654,'Form responses 1'!$B$2:$B$2604,'Form responses 1'!$F$2:$F$2604,""))</f>
        <v/>
      </c>
      <c r="I1654" s="44" t="str">
        <f t="array" ref="I1654">IF(B1654="","",_xlfn.XLOOKUP(B1654,'Form responses 1'!$B$2:$B$2604,'Form responses 1'!$I$2:$I$2604,""))</f>
        <v/>
      </c>
      <c r="J1654" s="44" t="str">
        <f t="array" ref="J1654">IF(B1654="","",_xlfn.XLOOKUP(B1654,'Form responses 1'!$B$2:$B$2604,'Form responses 1'!$G$2:$G$2604,""))</f>
        <v/>
      </c>
      <c r="K1654" s="56"/>
      <c r="L1654" s="58" t="str">
        <f t="shared" si="7"/>
        <v/>
      </c>
      <c r="M1654" s="49"/>
      <c r="N1654" s="49"/>
      <c r="O1654" s="49"/>
      <c r="P1654" s="49"/>
      <c r="Q1654" s="49"/>
      <c r="R1654" s="49"/>
      <c r="S1654" s="49"/>
      <c r="T1654" s="49"/>
      <c r="U1654" s="49"/>
      <c r="V1654" s="49"/>
      <c r="W1654" s="56"/>
      <c r="X1654" s="51" t="str">
        <f t="shared" si="5"/>
        <v/>
      </c>
      <c r="Y1654" s="50" t="s">
        <v>482</v>
      </c>
      <c r="Z1654" s="49">
        <f t="shared" si="6"/>
        <v>0</v>
      </c>
    </row>
    <row r="1655" ht="22.5" customHeight="1">
      <c r="B1655" s="57"/>
      <c r="C1655" s="43" t="str">
        <f t="array" ref="C1655">IF(B1655="","",_xlfn.XLOOKUP(B1655,'Form responses 1'!$B$2:$B$2604,'Form responses 1'!$A$2:$A$2604,""))</f>
        <v/>
      </c>
      <c r="D1655" s="44" t="str">
        <f t="shared" si="3"/>
        <v/>
      </c>
      <c r="E1655" s="44" t="str">
        <f t="array" ref="E1655">IF(B1655="","",_xlfn.XLOOKUP(B1655,'Form responses 1'!$B$2:$B$2604,'Form responses 1'!$C$2:$C$2604,""))</f>
        <v/>
      </c>
      <c r="F1655" s="44" t="str">
        <f t="array" ref="F1655">IF(B1655="","",_xlfn.XLOOKUP(B1655,'Form responses 1'!$B$2:$B$2604,'Form responses 1'!$D$2:$D$2604,""))</f>
        <v/>
      </c>
      <c r="G1655" s="44" t="str">
        <f t="array" ref="G1655">IF(B1655="","",_xlfn.XLOOKUP(B1655,'Form responses 1'!$B$2:$B$2604,'Form responses 1'!$E$2:$E$2604,""))</f>
        <v/>
      </c>
      <c r="H1655" s="44" t="str">
        <f t="array" ref="H1655">IF(B1655="","",_xlfn.XLOOKUP(B1655,'Form responses 1'!$B$2:$B$2604,'Form responses 1'!$F$2:$F$2604,""))</f>
        <v/>
      </c>
      <c r="I1655" s="44" t="str">
        <f t="array" ref="I1655">IF(B1655="","",_xlfn.XLOOKUP(B1655,'Form responses 1'!$B$2:$B$2604,'Form responses 1'!$I$2:$I$2604,""))</f>
        <v/>
      </c>
      <c r="J1655" s="44" t="str">
        <f t="array" ref="J1655">IF(B1655="","",_xlfn.XLOOKUP(B1655,'Form responses 1'!$B$2:$B$2604,'Form responses 1'!$G$2:$G$2604,""))</f>
        <v/>
      </c>
      <c r="K1655" s="56"/>
      <c r="L1655" s="58" t="str">
        <f t="shared" si="7"/>
        <v/>
      </c>
      <c r="M1655" s="49"/>
      <c r="N1655" s="49"/>
      <c r="O1655" s="49"/>
      <c r="P1655" s="49"/>
      <c r="Q1655" s="49"/>
      <c r="R1655" s="49"/>
      <c r="S1655" s="49"/>
      <c r="T1655" s="49"/>
      <c r="U1655" s="49"/>
      <c r="V1655" s="49"/>
      <c r="W1655" s="56"/>
      <c r="X1655" s="51" t="str">
        <f t="shared" si="5"/>
        <v/>
      </c>
      <c r="Y1655" s="50" t="s">
        <v>482</v>
      </c>
      <c r="Z1655" s="49">
        <f t="shared" si="6"/>
        <v>0</v>
      </c>
    </row>
    <row r="1656" ht="22.5" customHeight="1">
      <c r="B1656" s="57"/>
      <c r="C1656" s="43" t="str">
        <f t="array" ref="C1656">IF(B1656="","",_xlfn.XLOOKUP(B1656,'Form responses 1'!$B$2:$B$2604,'Form responses 1'!$A$2:$A$2604,""))</f>
        <v/>
      </c>
      <c r="D1656" s="44" t="str">
        <f t="shared" si="3"/>
        <v/>
      </c>
      <c r="E1656" s="44" t="str">
        <f t="array" ref="E1656">IF(B1656="","",_xlfn.XLOOKUP(B1656,'Form responses 1'!$B$2:$B$2604,'Form responses 1'!$C$2:$C$2604,""))</f>
        <v/>
      </c>
      <c r="F1656" s="44" t="str">
        <f t="array" ref="F1656">IF(B1656="","",_xlfn.XLOOKUP(B1656,'Form responses 1'!$B$2:$B$2604,'Form responses 1'!$D$2:$D$2604,""))</f>
        <v/>
      </c>
      <c r="G1656" s="44" t="str">
        <f t="array" ref="G1656">IF(B1656="","",_xlfn.XLOOKUP(B1656,'Form responses 1'!$B$2:$B$2604,'Form responses 1'!$E$2:$E$2604,""))</f>
        <v/>
      </c>
      <c r="H1656" s="44" t="str">
        <f t="array" ref="H1656">IF(B1656="","",_xlfn.XLOOKUP(B1656,'Form responses 1'!$B$2:$B$2604,'Form responses 1'!$F$2:$F$2604,""))</f>
        <v/>
      </c>
      <c r="I1656" s="44" t="str">
        <f t="array" ref="I1656">IF(B1656="","",_xlfn.XLOOKUP(B1656,'Form responses 1'!$B$2:$B$2604,'Form responses 1'!$I$2:$I$2604,""))</f>
        <v/>
      </c>
      <c r="J1656" s="44" t="str">
        <f t="array" ref="J1656">IF(B1656="","",_xlfn.XLOOKUP(B1656,'Form responses 1'!$B$2:$B$2604,'Form responses 1'!$G$2:$G$2604,""))</f>
        <v/>
      </c>
      <c r="K1656" s="56"/>
      <c r="L1656" s="58" t="str">
        <f t="shared" si="7"/>
        <v/>
      </c>
      <c r="M1656" s="49"/>
      <c r="N1656" s="49"/>
      <c r="O1656" s="49"/>
      <c r="P1656" s="49"/>
      <c r="Q1656" s="49"/>
      <c r="R1656" s="49"/>
      <c r="S1656" s="49"/>
      <c r="T1656" s="49"/>
      <c r="U1656" s="49"/>
      <c r="V1656" s="49"/>
      <c r="W1656" s="56"/>
      <c r="X1656" s="51" t="str">
        <f t="shared" si="5"/>
        <v/>
      </c>
      <c r="Y1656" s="50" t="s">
        <v>482</v>
      </c>
      <c r="Z1656" s="49">
        <f t="shared" si="6"/>
        <v>0</v>
      </c>
    </row>
    <row r="1657" ht="22.5" customHeight="1">
      <c r="B1657" s="57"/>
      <c r="C1657" s="43" t="str">
        <f t="array" ref="C1657">IF(B1657="","",_xlfn.XLOOKUP(B1657,'Form responses 1'!$B$2:$B$2604,'Form responses 1'!$A$2:$A$2604,""))</f>
        <v/>
      </c>
      <c r="D1657" s="44" t="str">
        <f t="shared" si="3"/>
        <v/>
      </c>
      <c r="E1657" s="44" t="str">
        <f t="array" ref="E1657">IF(B1657="","",_xlfn.XLOOKUP(B1657,'Form responses 1'!$B$2:$B$2604,'Form responses 1'!$C$2:$C$2604,""))</f>
        <v/>
      </c>
      <c r="F1657" s="44" t="str">
        <f t="array" ref="F1657">IF(B1657="","",_xlfn.XLOOKUP(B1657,'Form responses 1'!$B$2:$B$2604,'Form responses 1'!$D$2:$D$2604,""))</f>
        <v/>
      </c>
      <c r="G1657" s="44" t="str">
        <f t="array" ref="G1657">IF(B1657="","",_xlfn.XLOOKUP(B1657,'Form responses 1'!$B$2:$B$2604,'Form responses 1'!$E$2:$E$2604,""))</f>
        <v/>
      </c>
      <c r="H1657" s="44" t="str">
        <f t="array" ref="H1657">IF(B1657="","",_xlfn.XLOOKUP(B1657,'Form responses 1'!$B$2:$B$2604,'Form responses 1'!$F$2:$F$2604,""))</f>
        <v/>
      </c>
      <c r="I1657" s="44" t="str">
        <f t="array" ref="I1657">IF(B1657="","",_xlfn.XLOOKUP(B1657,'Form responses 1'!$B$2:$B$2604,'Form responses 1'!$I$2:$I$2604,""))</f>
        <v/>
      </c>
      <c r="J1657" s="44" t="str">
        <f t="array" ref="J1657">IF(B1657="","",_xlfn.XLOOKUP(B1657,'Form responses 1'!$B$2:$B$2604,'Form responses 1'!$G$2:$G$2604,""))</f>
        <v/>
      </c>
      <c r="K1657" s="56"/>
      <c r="L1657" s="58" t="str">
        <f t="shared" si="7"/>
        <v/>
      </c>
      <c r="M1657" s="49"/>
      <c r="N1657" s="49"/>
      <c r="O1657" s="49"/>
      <c r="P1657" s="49"/>
      <c r="Q1657" s="49"/>
      <c r="R1657" s="49"/>
      <c r="S1657" s="49"/>
      <c r="T1657" s="49"/>
      <c r="U1657" s="49"/>
      <c r="V1657" s="49"/>
      <c r="W1657" s="56"/>
      <c r="X1657" s="51" t="str">
        <f t="shared" si="5"/>
        <v/>
      </c>
      <c r="Y1657" s="50" t="s">
        <v>482</v>
      </c>
      <c r="Z1657" s="49">
        <f t="shared" si="6"/>
        <v>0</v>
      </c>
    </row>
    <row r="1658" ht="22.5" customHeight="1">
      <c r="B1658" s="57"/>
      <c r="C1658" s="43" t="str">
        <f t="array" ref="C1658">IF(B1658="","",_xlfn.XLOOKUP(B1658,'Form responses 1'!$B$2:$B$2604,'Form responses 1'!$A$2:$A$2604,""))</f>
        <v/>
      </c>
      <c r="D1658" s="44" t="str">
        <f t="shared" si="3"/>
        <v/>
      </c>
      <c r="E1658" s="44" t="str">
        <f t="array" ref="E1658">IF(B1658="","",_xlfn.XLOOKUP(B1658,'Form responses 1'!$B$2:$B$2604,'Form responses 1'!$C$2:$C$2604,""))</f>
        <v/>
      </c>
      <c r="F1658" s="44" t="str">
        <f t="array" ref="F1658">IF(B1658="","",_xlfn.XLOOKUP(B1658,'Form responses 1'!$B$2:$B$2604,'Form responses 1'!$D$2:$D$2604,""))</f>
        <v/>
      </c>
      <c r="G1658" s="44" t="str">
        <f t="array" ref="G1658">IF(B1658="","",_xlfn.XLOOKUP(B1658,'Form responses 1'!$B$2:$B$2604,'Form responses 1'!$E$2:$E$2604,""))</f>
        <v/>
      </c>
      <c r="H1658" s="44" t="str">
        <f t="array" ref="H1658">IF(B1658="","",_xlfn.XLOOKUP(B1658,'Form responses 1'!$B$2:$B$2604,'Form responses 1'!$F$2:$F$2604,""))</f>
        <v/>
      </c>
      <c r="I1658" s="44" t="str">
        <f t="array" ref="I1658">IF(B1658="","",_xlfn.XLOOKUP(B1658,'Form responses 1'!$B$2:$B$2604,'Form responses 1'!$I$2:$I$2604,""))</f>
        <v/>
      </c>
      <c r="J1658" s="44" t="str">
        <f t="array" ref="J1658">IF(B1658="","",_xlfn.XLOOKUP(B1658,'Form responses 1'!$B$2:$B$2604,'Form responses 1'!$G$2:$G$2604,""))</f>
        <v/>
      </c>
      <c r="K1658" s="56"/>
      <c r="L1658" s="58" t="str">
        <f t="shared" si="7"/>
        <v/>
      </c>
      <c r="M1658" s="49"/>
      <c r="N1658" s="49"/>
      <c r="O1658" s="49"/>
      <c r="P1658" s="49"/>
      <c r="Q1658" s="49"/>
      <c r="R1658" s="49"/>
      <c r="S1658" s="49"/>
      <c r="T1658" s="49"/>
      <c r="U1658" s="49"/>
      <c r="V1658" s="49"/>
      <c r="W1658" s="56"/>
      <c r="X1658" s="51" t="str">
        <f t="shared" si="5"/>
        <v/>
      </c>
      <c r="Y1658" s="50" t="s">
        <v>482</v>
      </c>
      <c r="Z1658" s="49">
        <f t="shared" si="6"/>
        <v>0</v>
      </c>
    </row>
    <row r="1659" ht="22.5" customHeight="1">
      <c r="B1659" s="57"/>
      <c r="C1659" s="43" t="str">
        <f t="array" ref="C1659">IF(B1659="","",_xlfn.XLOOKUP(B1659,'Form responses 1'!$B$2:$B$2604,'Form responses 1'!$A$2:$A$2604,""))</f>
        <v/>
      </c>
      <c r="D1659" s="44" t="str">
        <f t="shared" si="3"/>
        <v/>
      </c>
      <c r="E1659" s="44" t="str">
        <f t="array" ref="E1659">IF(B1659="","",_xlfn.XLOOKUP(B1659,'Form responses 1'!$B$2:$B$2604,'Form responses 1'!$C$2:$C$2604,""))</f>
        <v/>
      </c>
      <c r="F1659" s="44" t="str">
        <f t="array" ref="F1659">IF(B1659="","",_xlfn.XLOOKUP(B1659,'Form responses 1'!$B$2:$B$2604,'Form responses 1'!$D$2:$D$2604,""))</f>
        <v/>
      </c>
      <c r="G1659" s="44" t="str">
        <f t="array" ref="G1659">IF(B1659="","",_xlfn.XLOOKUP(B1659,'Form responses 1'!$B$2:$B$2604,'Form responses 1'!$E$2:$E$2604,""))</f>
        <v/>
      </c>
      <c r="H1659" s="44" t="str">
        <f t="array" ref="H1659">IF(B1659="","",_xlfn.XLOOKUP(B1659,'Form responses 1'!$B$2:$B$2604,'Form responses 1'!$F$2:$F$2604,""))</f>
        <v/>
      </c>
      <c r="I1659" s="44" t="str">
        <f t="array" ref="I1659">IF(B1659="","",_xlfn.XLOOKUP(B1659,'Form responses 1'!$B$2:$B$2604,'Form responses 1'!$I$2:$I$2604,""))</f>
        <v/>
      </c>
      <c r="J1659" s="44" t="str">
        <f t="array" ref="J1659">IF(B1659="","",_xlfn.XLOOKUP(B1659,'Form responses 1'!$B$2:$B$2604,'Form responses 1'!$G$2:$G$2604,""))</f>
        <v/>
      </c>
      <c r="K1659" s="56"/>
      <c r="L1659" s="58" t="str">
        <f t="shared" si="7"/>
        <v/>
      </c>
      <c r="M1659" s="49"/>
      <c r="N1659" s="49"/>
      <c r="O1659" s="49"/>
      <c r="P1659" s="49"/>
      <c r="Q1659" s="49"/>
      <c r="R1659" s="49"/>
      <c r="S1659" s="49"/>
      <c r="T1659" s="49"/>
      <c r="U1659" s="49"/>
      <c r="V1659" s="49"/>
      <c r="W1659" s="56"/>
      <c r="X1659" s="51" t="str">
        <f t="shared" si="5"/>
        <v/>
      </c>
      <c r="Y1659" s="50" t="s">
        <v>482</v>
      </c>
      <c r="Z1659" s="49">
        <f t="shared" si="6"/>
        <v>0</v>
      </c>
    </row>
    <row r="1660" ht="22.5" customHeight="1">
      <c r="B1660" s="57"/>
      <c r="C1660" s="43" t="str">
        <f t="array" ref="C1660">IF(B1660="","",_xlfn.XLOOKUP(B1660,'Form responses 1'!$B$2:$B$2604,'Form responses 1'!$A$2:$A$2604,""))</f>
        <v/>
      </c>
      <c r="D1660" s="44" t="str">
        <f t="shared" si="3"/>
        <v/>
      </c>
      <c r="E1660" s="44" t="str">
        <f t="array" ref="E1660">IF(B1660="","",_xlfn.XLOOKUP(B1660,'Form responses 1'!$B$2:$B$2604,'Form responses 1'!$C$2:$C$2604,""))</f>
        <v/>
      </c>
      <c r="F1660" s="44" t="str">
        <f t="array" ref="F1660">IF(B1660="","",_xlfn.XLOOKUP(B1660,'Form responses 1'!$B$2:$B$2604,'Form responses 1'!$D$2:$D$2604,""))</f>
        <v/>
      </c>
      <c r="G1660" s="44" t="str">
        <f t="array" ref="G1660">IF(B1660="","",_xlfn.XLOOKUP(B1660,'Form responses 1'!$B$2:$B$2604,'Form responses 1'!$E$2:$E$2604,""))</f>
        <v/>
      </c>
      <c r="H1660" s="44" t="str">
        <f t="array" ref="H1660">IF(B1660="","",_xlfn.XLOOKUP(B1660,'Form responses 1'!$B$2:$B$2604,'Form responses 1'!$F$2:$F$2604,""))</f>
        <v/>
      </c>
      <c r="I1660" s="44" t="str">
        <f t="array" ref="I1660">IF(B1660="","",_xlfn.XLOOKUP(B1660,'Form responses 1'!$B$2:$B$2604,'Form responses 1'!$I$2:$I$2604,""))</f>
        <v/>
      </c>
      <c r="J1660" s="44" t="str">
        <f t="array" ref="J1660">IF(B1660="","",_xlfn.XLOOKUP(B1660,'Form responses 1'!$B$2:$B$2604,'Form responses 1'!$G$2:$G$2604,""))</f>
        <v/>
      </c>
      <c r="K1660" s="56"/>
      <c r="L1660" s="58" t="str">
        <f t="shared" si="7"/>
        <v/>
      </c>
      <c r="M1660" s="49"/>
      <c r="N1660" s="49"/>
      <c r="O1660" s="49"/>
      <c r="P1660" s="49"/>
      <c r="Q1660" s="49"/>
      <c r="R1660" s="49"/>
      <c r="S1660" s="49"/>
      <c r="T1660" s="49"/>
      <c r="U1660" s="49"/>
      <c r="V1660" s="49"/>
      <c r="W1660" s="56"/>
      <c r="X1660" s="51" t="str">
        <f t="shared" si="5"/>
        <v/>
      </c>
      <c r="Y1660" s="50" t="s">
        <v>482</v>
      </c>
      <c r="Z1660" s="49">
        <f t="shared" si="6"/>
        <v>0</v>
      </c>
    </row>
    <row r="1661" ht="22.5" customHeight="1">
      <c r="B1661" s="57"/>
      <c r="C1661" s="43" t="str">
        <f t="array" ref="C1661">IF(B1661="","",_xlfn.XLOOKUP(B1661,'Form responses 1'!$B$2:$B$2604,'Form responses 1'!$A$2:$A$2604,""))</f>
        <v/>
      </c>
      <c r="D1661" s="44" t="str">
        <f t="shared" si="3"/>
        <v/>
      </c>
      <c r="E1661" s="44" t="str">
        <f t="array" ref="E1661">IF(B1661="","",_xlfn.XLOOKUP(B1661,'Form responses 1'!$B$2:$B$2604,'Form responses 1'!$C$2:$C$2604,""))</f>
        <v/>
      </c>
      <c r="F1661" s="44" t="str">
        <f t="array" ref="F1661">IF(B1661="","",_xlfn.XLOOKUP(B1661,'Form responses 1'!$B$2:$B$2604,'Form responses 1'!$D$2:$D$2604,""))</f>
        <v/>
      </c>
      <c r="G1661" s="44" t="str">
        <f t="array" ref="G1661">IF(B1661="","",_xlfn.XLOOKUP(B1661,'Form responses 1'!$B$2:$B$2604,'Form responses 1'!$E$2:$E$2604,""))</f>
        <v/>
      </c>
      <c r="H1661" s="44" t="str">
        <f t="array" ref="H1661">IF(B1661="","",_xlfn.XLOOKUP(B1661,'Form responses 1'!$B$2:$B$2604,'Form responses 1'!$F$2:$F$2604,""))</f>
        <v/>
      </c>
      <c r="I1661" s="44" t="str">
        <f t="array" ref="I1661">IF(B1661="","",_xlfn.XLOOKUP(B1661,'Form responses 1'!$B$2:$B$2604,'Form responses 1'!$I$2:$I$2604,""))</f>
        <v/>
      </c>
      <c r="J1661" s="44" t="str">
        <f t="array" ref="J1661">IF(B1661="","",_xlfn.XLOOKUP(B1661,'Form responses 1'!$B$2:$B$2604,'Form responses 1'!$G$2:$G$2604,""))</f>
        <v/>
      </c>
      <c r="K1661" s="56"/>
      <c r="L1661" s="58" t="str">
        <f t="shared" si="7"/>
        <v/>
      </c>
      <c r="M1661" s="49"/>
      <c r="N1661" s="49"/>
      <c r="O1661" s="49"/>
      <c r="P1661" s="49"/>
      <c r="Q1661" s="49"/>
      <c r="R1661" s="49"/>
      <c r="S1661" s="49"/>
      <c r="T1661" s="49"/>
      <c r="U1661" s="49"/>
      <c r="V1661" s="49"/>
      <c r="W1661" s="56"/>
      <c r="X1661" s="51" t="str">
        <f t="shared" si="5"/>
        <v/>
      </c>
      <c r="Y1661" s="50" t="s">
        <v>482</v>
      </c>
      <c r="Z1661" s="49">
        <f t="shared" si="6"/>
        <v>0</v>
      </c>
    </row>
    <row r="1662" ht="22.5" customHeight="1">
      <c r="B1662" s="57"/>
      <c r="C1662" s="43" t="str">
        <f t="array" ref="C1662">IF(B1662="","",_xlfn.XLOOKUP(B1662,'Form responses 1'!$B$2:$B$2604,'Form responses 1'!$A$2:$A$2604,""))</f>
        <v/>
      </c>
      <c r="D1662" s="44" t="str">
        <f t="shared" si="3"/>
        <v/>
      </c>
      <c r="E1662" s="44" t="str">
        <f t="array" ref="E1662">IF(B1662="","",_xlfn.XLOOKUP(B1662,'Form responses 1'!$B$2:$B$2604,'Form responses 1'!$C$2:$C$2604,""))</f>
        <v/>
      </c>
      <c r="F1662" s="44" t="str">
        <f t="array" ref="F1662">IF(B1662="","",_xlfn.XLOOKUP(B1662,'Form responses 1'!$B$2:$B$2604,'Form responses 1'!$D$2:$D$2604,""))</f>
        <v/>
      </c>
      <c r="G1662" s="44" t="str">
        <f t="array" ref="G1662">IF(B1662="","",_xlfn.XLOOKUP(B1662,'Form responses 1'!$B$2:$B$2604,'Form responses 1'!$E$2:$E$2604,""))</f>
        <v/>
      </c>
      <c r="H1662" s="44" t="str">
        <f t="array" ref="H1662">IF(B1662="","",_xlfn.XLOOKUP(B1662,'Form responses 1'!$B$2:$B$2604,'Form responses 1'!$F$2:$F$2604,""))</f>
        <v/>
      </c>
      <c r="I1662" s="44" t="str">
        <f t="array" ref="I1662">IF(B1662="","",_xlfn.XLOOKUP(B1662,'Form responses 1'!$B$2:$B$2604,'Form responses 1'!$I$2:$I$2604,""))</f>
        <v/>
      </c>
      <c r="J1662" s="44" t="str">
        <f t="array" ref="J1662">IF(B1662="","",_xlfn.XLOOKUP(B1662,'Form responses 1'!$B$2:$B$2604,'Form responses 1'!$G$2:$G$2604,""))</f>
        <v/>
      </c>
      <c r="K1662" s="56"/>
      <c r="L1662" s="58" t="str">
        <f t="shared" si="7"/>
        <v/>
      </c>
      <c r="M1662" s="49"/>
      <c r="N1662" s="49"/>
      <c r="O1662" s="49"/>
      <c r="P1662" s="49"/>
      <c r="Q1662" s="49"/>
      <c r="R1662" s="49"/>
      <c r="S1662" s="49"/>
      <c r="T1662" s="49"/>
      <c r="U1662" s="49"/>
      <c r="V1662" s="49"/>
      <c r="W1662" s="56"/>
      <c r="X1662" s="51" t="str">
        <f t="shared" si="5"/>
        <v/>
      </c>
      <c r="Y1662" s="50" t="s">
        <v>482</v>
      </c>
      <c r="Z1662" s="49">
        <f t="shared" si="6"/>
        <v>0</v>
      </c>
    </row>
    <row r="1663" ht="22.5" customHeight="1">
      <c r="B1663" s="57"/>
      <c r="C1663" s="43" t="str">
        <f t="array" ref="C1663">IF(B1663="","",_xlfn.XLOOKUP(B1663,'Form responses 1'!$B$2:$B$2604,'Form responses 1'!$A$2:$A$2604,""))</f>
        <v/>
      </c>
      <c r="D1663" s="44" t="str">
        <f t="shared" si="3"/>
        <v/>
      </c>
      <c r="E1663" s="44" t="str">
        <f t="array" ref="E1663">IF(B1663="","",_xlfn.XLOOKUP(B1663,'Form responses 1'!$B$2:$B$2604,'Form responses 1'!$C$2:$C$2604,""))</f>
        <v/>
      </c>
      <c r="F1663" s="44" t="str">
        <f t="array" ref="F1663">IF(B1663="","",_xlfn.XLOOKUP(B1663,'Form responses 1'!$B$2:$B$2604,'Form responses 1'!$D$2:$D$2604,""))</f>
        <v/>
      </c>
      <c r="G1663" s="44" t="str">
        <f t="array" ref="G1663">IF(B1663="","",_xlfn.XLOOKUP(B1663,'Form responses 1'!$B$2:$B$2604,'Form responses 1'!$E$2:$E$2604,""))</f>
        <v/>
      </c>
      <c r="H1663" s="44" t="str">
        <f t="array" ref="H1663">IF(B1663="","",_xlfn.XLOOKUP(B1663,'Form responses 1'!$B$2:$B$2604,'Form responses 1'!$F$2:$F$2604,""))</f>
        <v/>
      </c>
      <c r="I1663" s="44" t="str">
        <f t="array" ref="I1663">IF(B1663="","",_xlfn.XLOOKUP(B1663,'Form responses 1'!$B$2:$B$2604,'Form responses 1'!$I$2:$I$2604,""))</f>
        <v/>
      </c>
      <c r="J1663" s="44" t="str">
        <f t="array" ref="J1663">IF(B1663="","",_xlfn.XLOOKUP(B1663,'Form responses 1'!$B$2:$B$2604,'Form responses 1'!$G$2:$G$2604,""))</f>
        <v/>
      </c>
      <c r="K1663" s="56"/>
      <c r="L1663" s="58" t="str">
        <f t="shared" si="7"/>
        <v/>
      </c>
      <c r="M1663" s="49"/>
      <c r="N1663" s="49"/>
      <c r="O1663" s="49"/>
      <c r="P1663" s="49"/>
      <c r="Q1663" s="49"/>
      <c r="R1663" s="49"/>
      <c r="S1663" s="49"/>
      <c r="T1663" s="49"/>
      <c r="U1663" s="49"/>
      <c r="V1663" s="49"/>
      <c r="W1663" s="56"/>
      <c r="X1663" s="51" t="str">
        <f t="shared" si="5"/>
        <v/>
      </c>
      <c r="Y1663" s="50" t="s">
        <v>482</v>
      </c>
      <c r="Z1663" s="49">
        <f t="shared" si="6"/>
        <v>0</v>
      </c>
    </row>
    <row r="1664" ht="22.5" customHeight="1">
      <c r="B1664" s="57"/>
      <c r="C1664" s="43" t="str">
        <f t="array" ref="C1664">IF(B1664="","",_xlfn.XLOOKUP(B1664,'Form responses 1'!$B$2:$B$2604,'Form responses 1'!$A$2:$A$2604,""))</f>
        <v/>
      </c>
      <c r="D1664" s="44" t="str">
        <f t="shared" si="3"/>
        <v/>
      </c>
      <c r="E1664" s="44" t="str">
        <f t="array" ref="E1664">IF(B1664="","",_xlfn.XLOOKUP(B1664,'Form responses 1'!$B$2:$B$2604,'Form responses 1'!$C$2:$C$2604,""))</f>
        <v/>
      </c>
      <c r="F1664" s="44" t="str">
        <f t="array" ref="F1664">IF(B1664="","",_xlfn.XLOOKUP(B1664,'Form responses 1'!$B$2:$B$2604,'Form responses 1'!$D$2:$D$2604,""))</f>
        <v/>
      </c>
      <c r="G1664" s="44" t="str">
        <f t="array" ref="G1664">IF(B1664="","",_xlfn.XLOOKUP(B1664,'Form responses 1'!$B$2:$B$2604,'Form responses 1'!$E$2:$E$2604,""))</f>
        <v/>
      </c>
      <c r="H1664" s="44" t="str">
        <f t="array" ref="H1664">IF(B1664="","",_xlfn.XLOOKUP(B1664,'Form responses 1'!$B$2:$B$2604,'Form responses 1'!$F$2:$F$2604,""))</f>
        <v/>
      </c>
      <c r="I1664" s="44" t="str">
        <f t="array" ref="I1664">IF(B1664="","",_xlfn.XLOOKUP(B1664,'Form responses 1'!$B$2:$B$2604,'Form responses 1'!$I$2:$I$2604,""))</f>
        <v/>
      </c>
      <c r="J1664" s="44" t="str">
        <f t="array" ref="J1664">IF(B1664="","",_xlfn.XLOOKUP(B1664,'Form responses 1'!$B$2:$B$2604,'Form responses 1'!$G$2:$G$2604,""))</f>
        <v/>
      </c>
      <c r="K1664" s="56"/>
      <c r="L1664" s="58" t="str">
        <f t="shared" si="7"/>
        <v/>
      </c>
      <c r="M1664" s="49"/>
      <c r="N1664" s="49"/>
      <c r="O1664" s="49"/>
      <c r="P1664" s="49"/>
      <c r="Q1664" s="49"/>
      <c r="R1664" s="49"/>
      <c r="S1664" s="49"/>
      <c r="T1664" s="49"/>
      <c r="U1664" s="49"/>
      <c r="V1664" s="49"/>
      <c r="W1664" s="56"/>
      <c r="X1664" s="51" t="str">
        <f t="shared" si="5"/>
        <v/>
      </c>
      <c r="Y1664" s="50" t="s">
        <v>482</v>
      </c>
      <c r="Z1664" s="49">
        <f t="shared" si="6"/>
        <v>0</v>
      </c>
    </row>
    <row r="1665" ht="22.5" customHeight="1">
      <c r="B1665" s="57"/>
      <c r="C1665" s="43" t="str">
        <f t="array" ref="C1665">IF(B1665="","",_xlfn.XLOOKUP(B1665,'Form responses 1'!$B$2:$B$2604,'Form responses 1'!$A$2:$A$2604,""))</f>
        <v/>
      </c>
      <c r="D1665" s="44" t="str">
        <f t="shared" si="3"/>
        <v/>
      </c>
      <c r="E1665" s="44" t="str">
        <f t="array" ref="E1665">IF(B1665="","",_xlfn.XLOOKUP(B1665,'Form responses 1'!$B$2:$B$2604,'Form responses 1'!$C$2:$C$2604,""))</f>
        <v/>
      </c>
      <c r="F1665" s="44" t="str">
        <f t="array" ref="F1665">IF(B1665="","",_xlfn.XLOOKUP(B1665,'Form responses 1'!$B$2:$B$2604,'Form responses 1'!$D$2:$D$2604,""))</f>
        <v/>
      </c>
      <c r="G1665" s="44" t="str">
        <f t="array" ref="G1665">IF(B1665="","",_xlfn.XLOOKUP(B1665,'Form responses 1'!$B$2:$B$2604,'Form responses 1'!$E$2:$E$2604,""))</f>
        <v/>
      </c>
      <c r="H1665" s="44" t="str">
        <f t="array" ref="H1665">IF(B1665="","",_xlfn.XLOOKUP(B1665,'Form responses 1'!$B$2:$B$2604,'Form responses 1'!$F$2:$F$2604,""))</f>
        <v/>
      </c>
      <c r="I1665" s="44" t="str">
        <f t="array" ref="I1665">IF(B1665="","",_xlfn.XLOOKUP(B1665,'Form responses 1'!$B$2:$B$2604,'Form responses 1'!$I$2:$I$2604,""))</f>
        <v/>
      </c>
      <c r="J1665" s="44" t="str">
        <f t="array" ref="J1665">IF(B1665="","",_xlfn.XLOOKUP(B1665,'Form responses 1'!$B$2:$B$2604,'Form responses 1'!$G$2:$G$2604,""))</f>
        <v/>
      </c>
      <c r="K1665" s="56"/>
      <c r="L1665" s="58" t="str">
        <f t="shared" si="7"/>
        <v/>
      </c>
      <c r="M1665" s="49"/>
      <c r="N1665" s="49"/>
      <c r="O1665" s="49"/>
      <c r="P1665" s="49"/>
      <c r="Q1665" s="49"/>
      <c r="R1665" s="49"/>
      <c r="S1665" s="49"/>
      <c r="T1665" s="49"/>
      <c r="U1665" s="49"/>
      <c r="V1665" s="49"/>
      <c r="W1665" s="56"/>
      <c r="X1665" s="51" t="str">
        <f t="shared" si="5"/>
        <v/>
      </c>
      <c r="Y1665" s="50" t="s">
        <v>482</v>
      </c>
      <c r="Z1665" s="49">
        <f t="shared" si="6"/>
        <v>0</v>
      </c>
    </row>
    <row r="1666" ht="22.5" customHeight="1">
      <c r="B1666" s="57"/>
      <c r="C1666" s="43" t="str">
        <f t="array" ref="C1666">IF(B1666="","",_xlfn.XLOOKUP(B1666,'Form responses 1'!$B$2:$B$2604,'Form responses 1'!$A$2:$A$2604,""))</f>
        <v/>
      </c>
      <c r="D1666" s="44" t="str">
        <f t="shared" si="3"/>
        <v/>
      </c>
      <c r="E1666" s="44" t="str">
        <f t="array" ref="E1666">IF(B1666="","",_xlfn.XLOOKUP(B1666,'Form responses 1'!$B$2:$B$2604,'Form responses 1'!$C$2:$C$2604,""))</f>
        <v/>
      </c>
      <c r="F1666" s="44" t="str">
        <f t="array" ref="F1666">IF(B1666="","",_xlfn.XLOOKUP(B1666,'Form responses 1'!$B$2:$B$2604,'Form responses 1'!$D$2:$D$2604,""))</f>
        <v/>
      </c>
      <c r="G1666" s="44" t="str">
        <f t="array" ref="G1666">IF(B1666="","",_xlfn.XLOOKUP(B1666,'Form responses 1'!$B$2:$B$2604,'Form responses 1'!$E$2:$E$2604,""))</f>
        <v/>
      </c>
      <c r="H1666" s="44" t="str">
        <f t="array" ref="H1666">IF(B1666="","",_xlfn.XLOOKUP(B1666,'Form responses 1'!$B$2:$B$2604,'Form responses 1'!$F$2:$F$2604,""))</f>
        <v/>
      </c>
      <c r="I1666" s="44" t="str">
        <f t="array" ref="I1666">IF(B1666="","",_xlfn.XLOOKUP(B1666,'Form responses 1'!$B$2:$B$2604,'Form responses 1'!$I$2:$I$2604,""))</f>
        <v/>
      </c>
      <c r="J1666" s="44" t="str">
        <f t="array" ref="J1666">IF(B1666="","",_xlfn.XLOOKUP(B1666,'Form responses 1'!$B$2:$B$2604,'Form responses 1'!$G$2:$G$2604,""))</f>
        <v/>
      </c>
      <c r="K1666" s="56"/>
      <c r="L1666" s="58" t="str">
        <f t="shared" si="7"/>
        <v/>
      </c>
      <c r="M1666" s="49"/>
      <c r="N1666" s="49"/>
      <c r="O1666" s="49"/>
      <c r="P1666" s="49"/>
      <c r="Q1666" s="49"/>
      <c r="R1666" s="49"/>
      <c r="S1666" s="49"/>
      <c r="T1666" s="49"/>
      <c r="U1666" s="49"/>
      <c r="V1666" s="49"/>
      <c r="W1666" s="56"/>
      <c r="X1666" s="51" t="str">
        <f t="shared" si="5"/>
        <v/>
      </c>
      <c r="Y1666" s="50" t="s">
        <v>482</v>
      </c>
      <c r="Z1666" s="49">
        <f t="shared" si="6"/>
        <v>0</v>
      </c>
    </row>
    <row r="1667" ht="22.5" customHeight="1">
      <c r="B1667" s="57"/>
      <c r="C1667" s="43" t="str">
        <f t="array" ref="C1667">IF(B1667="","",_xlfn.XLOOKUP(B1667,'Form responses 1'!$B$2:$B$2604,'Form responses 1'!$A$2:$A$2604,""))</f>
        <v/>
      </c>
      <c r="D1667" s="44" t="str">
        <f t="shared" si="3"/>
        <v/>
      </c>
      <c r="E1667" s="44" t="str">
        <f t="array" ref="E1667">IF(B1667="","",_xlfn.XLOOKUP(B1667,'Form responses 1'!$B$2:$B$2604,'Form responses 1'!$C$2:$C$2604,""))</f>
        <v/>
      </c>
      <c r="F1667" s="44" t="str">
        <f t="array" ref="F1667">IF(B1667="","",_xlfn.XLOOKUP(B1667,'Form responses 1'!$B$2:$B$2604,'Form responses 1'!$D$2:$D$2604,""))</f>
        <v/>
      </c>
      <c r="G1667" s="44" t="str">
        <f t="array" ref="G1667">IF(B1667="","",_xlfn.XLOOKUP(B1667,'Form responses 1'!$B$2:$B$2604,'Form responses 1'!$E$2:$E$2604,""))</f>
        <v/>
      </c>
      <c r="H1667" s="44" t="str">
        <f t="array" ref="H1667">IF(B1667="","",_xlfn.XLOOKUP(B1667,'Form responses 1'!$B$2:$B$2604,'Form responses 1'!$F$2:$F$2604,""))</f>
        <v/>
      </c>
      <c r="I1667" s="44" t="str">
        <f t="array" ref="I1667">IF(B1667="","",_xlfn.XLOOKUP(B1667,'Form responses 1'!$B$2:$B$2604,'Form responses 1'!$I$2:$I$2604,""))</f>
        <v/>
      </c>
      <c r="J1667" s="44" t="str">
        <f t="array" ref="J1667">IF(B1667="","",_xlfn.XLOOKUP(B1667,'Form responses 1'!$B$2:$B$2604,'Form responses 1'!$G$2:$G$2604,""))</f>
        <v/>
      </c>
      <c r="K1667" s="56"/>
      <c r="L1667" s="58" t="str">
        <f t="shared" si="7"/>
        <v/>
      </c>
      <c r="M1667" s="49"/>
      <c r="N1667" s="49"/>
      <c r="O1667" s="49"/>
      <c r="P1667" s="49"/>
      <c r="Q1667" s="49"/>
      <c r="R1667" s="49"/>
      <c r="S1667" s="49"/>
      <c r="T1667" s="49"/>
      <c r="U1667" s="49"/>
      <c r="V1667" s="49"/>
      <c r="W1667" s="56"/>
      <c r="X1667" s="51" t="str">
        <f t="shared" si="5"/>
        <v/>
      </c>
      <c r="Y1667" s="50" t="s">
        <v>482</v>
      </c>
      <c r="Z1667" s="49">
        <f t="shared" si="6"/>
        <v>0</v>
      </c>
    </row>
    <row r="1668" ht="22.5" customHeight="1">
      <c r="B1668" s="57"/>
      <c r="C1668" s="43" t="str">
        <f t="array" ref="C1668">IF(B1668="","",_xlfn.XLOOKUP(B1668,'Form responses 1'!$B$2:$B$2604,'Form responses 1'!$A$2:$A$2604,""))</f>
        <v/>
      </c>
      <c r="D1668" s="44" t="str">
        <f t="shared" si="3"/>
        <v/>
      </c>
      <c r="E1668" s="44" t="str">
        <f t="array" ref="E1668">IF(B1668="","",_xlfn.XLOOKUP(B1668,'Form responses 1'!$B$2:$B$2604,'Form responses 1'!$C$2:$C$2604,""))</f>
        <v/>
      </c>
      <c r="F1668" s="44" t="str">
        <f t="array" ref="F1668">IF(B1668="","",_xlfn.XLOOKUP(B1668,'Form responses 1'!$B$2:$B$2604,'Form responses 1'!$D$2:$D$2604,""))</f>
        <v/>
      </c>
      <c r="G1668" s="44" t="str">
        <f t="array" ref="G1668">IF(B1668="","",_xlfn.XLOOKUP(B1668,'Form responses 1'!$B$2:$B$2604,'Form responses 1'!$E$2:$E$2604,""))</f>
        <v/>
      </c>
      <c r="H1668" s="44" t="str">
        <f t="array" ref="H1668">IF(B1668="","",_xlfn.XLOOKUP(B1668,'Form responses 1'!$B$2:$B$2604,'Form responses 1'!$F$2:$F$2604,""))</f>
        <v/>
      </c>
      <c r="I1668" s="44" t="str">
        <f t="array" ref="I1668">IF(B1668="","",_xlfn.XLOOKUP(B1668,'Form responses 1'!$B$2:$B$2604,'Form responses 1'!$I$2:$I$2604,""))</f>
        <v/>
      </c>
      <c r="J1668" s="44" t="str">
        <f t="array" ref="J1668">IF(B1668="","",_xlfn.XLOOKUP(B1668,'Form responses 1'!$B$2:$B$2604,'Form responses 1'!$G$2:$G$2604,""))</f>
        <v/>
      </c>
      <c r="K1668" s="56"/>
      <c r="L1668" s="58" t="str">
        <f t="shared" si="7"/>
        <v/>
      </c>
      <c r="M1668" s="49"/>
      <c r="N1668" s="49"/>
      <c r="O1668" s="49"/>
      <c r="P1668" s="49"/>
      <c r="Q1668" s="49"/>
      <c r="R1668" s="49"/>
      <c r="S1668" s="49"/>
      <c r="T1668" s="49"/>
      <c r="U1668" s="49"/>
      <c r="V1668" s="49"/>
      <c r="W1668" s="56"/>
      <c r="X1668" s="51" t="str">
        <f t="shared" si="5"/>
        <v/>
      </c>
      <c r="Y1668" s="50" t="s">
        <v>482</v>
      </c>
      <c r="Z1668" s="49">
        <f t="shared" si="6"/>
        <v>0</v>
      </c>
    </row>
    <row r="1669" ht="22.5" customHeight="1">
      <c r="B1669" s="57"/>
      <c r="C1669" s="43" t="str">
        <f t="array" ref="C1669">IF(B1669="","",_xlfn.XLOOKUP(B1669,'Form responses 1'!$B$2:$B$2604,'Form responses 1'!$A$2:$A$2604,""))</f>
        <v/>
      </c>
      <c r="D1669" s="44" t="str">
        <f t="shared" si="3"/>
        <v/>
      </c>
      <c r="E1669" s="44" t="str">
        <f t="array" ref="E1669">IF(B1669="","",_xlfn.XLOOKUP(B1669,'Form responses 1'!$B$2:$B$2604,'Form responses 1'!$C$2:$C$2604,""))</f>
        <v/>
      </c>
      <c r="F1669" s="44" t="str">
        <f t="array" ref="F1669">IF(B1669="","",_xlfn.XLOOKUP(B1669,'Form responses 1'!$B$2:$B$2604,'Form responses 1'!$D$2:$D$2604,""))</f>
        <v/>
      </c>
      <c r="G1669" s="44" t="str">
        <f t="array" ref="G1669">IF(B1669="","",_xlfn.XLOOKUP(B1669,'Form responses 1'!$B$2:$B$2604,'Form responses 1'!$E$2:$E$2604,""))</f>
        <v/>
      </c>
      <c r="H1669" s="44" t="str">
        <f t="array" ref="H1669">IF(B1669="","",_xlfn.XLOOKUP(B1669,'Form responses 1'!$B$2:$B$2604,'Form responses 1'!$F$2:$F$2604,""))</f>
        <v/>
      </c>
      <c r="I1669" s="44" t="str">
        <f t="array" ref="I1669">IF(B1669="","",_xlfn.XLOOKUP(B1669,'Form responses 1'!$B$2:$B$2604,'Form responses 1'!$I$2:$I$2604,""))</f>
        <v/>
      </c>
      <c r="J1669" s="44" t="str">
        <f t="array" ref="J1669">IF(B1669="","",_xlfn.XLOOKUP(B1669,'Form responses 1'!$B$2:$B$2604,'Form responses 1'!$G$2:$G$2604,""))</f>
        <v/>
      </c>
      <c r="K1669" s="56"/>
      <c r="L1669" s="58" t="str">
        <f t="shared" si="7"/>
        <v/>
      </c>
      <c r="M1669" s="49"/>
      <c r="N1669" s="49"/>
      <c r="O1669" s="49"/>
      <c r="P1669" s="49"/>
      <c r="Q1669" s="49"/>
      <c r="R1669" s="49"/>
      <c r="S1669" s="49"/>
      <c r="T1669" s="49"/>
      <c r="U1669" s="49"/>
      <c r="V1669" s="49"/>
      <c r="W1669" s="56"/>
      <c r="X1669" s="51" t="str">
        <f t="shared" si="5"/>
        <v/>
      </c>
      <c r="Y1669" s="50" t="s">
        <v>482</v>
      </c>
      <c r="Z1669" s="49">
        <f t="shared" si="6"/>
        <v>0</v>
      </c>
    </row>
    <row r="1670" ht="22.5" customHeight="1">
      <c r="B1670" s="57"/>
      <c r="C1670" s="43" t="str">
        <f t="array" ref="C1670">IF(B1670="","",_xlfn.XLOOKUP(B1670,'Form responses 1'!$B$2:$B$2604,'Form responses 1'!$A$2:$A$2604,""))</f>
        <v/>
      </c>
      <c r="D1670" s="44" t="str">
        <f t="shared" si="3"/>
        <v/>
      </c>
      <c r="E1670" s="44" t="str">
        <f t="array" ref="E1670">IF(B1670="","",_xlfn.XLOOKUP(B1670,'Form responses 1'!$B$2:$B$2604,'Form responses 1'!$C$2:$C$2604,""))</f>
        <v/>
      </c>
      <c r="F1670" s="44" t="str">
        <f t="array" ref="F1670">IF(B1670="","",_xlfn.XLOOKUP(B1670,'Form responses 1'!$B$2:$B$2604,'Form responses 1'!$D$2:$D$2604,""))</f>
        <v/>
      </c>
      <c r="G1670" s="44" t="str">
        <f t="array" ref="G1670">IF(B1670="","",_xlfn.XLOOKUP(B1670,'Form responses 1'!$B$2:$B$2604,'Form responses 1'!$E$2:$E$2604,""))</f>
        <v/>
      </c>
      <c r="H1670" s="44" t="str">
        <f t="array" ref="H1670">IF(B1670="","",_xlfn.XLOOKUP(B1670,'Form responses 1'!$B$2:$B$2604,'Form responses 1'!$F$2:$F$2604,""))</f>
        <v/>
      </c>
      <c r="I1670" s="44" t="str">
        <f t="array" ref="I1670">IF(B1670="","",_xlfn.XLOOKUP(B1670,'Form responses 1'!$B$2:$B$2604,'Form responses 1'!$I$2:$I$2604,""))</f>
        <v/>
      </c>
      <c r="J1670" s="44" t="str">
        <f t="array" ref="J1670">IF(B1670="","",_xlfn.XLOOKUP(B1670,'Form responses 1'!$B$2:$B$2604,'Form responses 1'!$G$2:$G$2604,""))</f>
        <v/>
      </c>
      <c r="K1670" s="56"/>
      <c r="L1670" s="58" t="str">
        <f t="shared" si="7"/>
        <v/>
      </c>
      <c r="M1670" s="49"/>
      <c r="N1670" s="49"/>
      <c r="O1670" s="49"/>
      <c r="P1670" s="49"/>
      <c r="Q1670" s="49"/>
      <c r="R1670" s="49"/>
      <c r="S1670" s="49"/>
      <c r="T1670" s="49"/>
      <c r="U1670" s="49"/>
      <c r="V1670" s="49"/>
      <c r="W1670" s="56"/>
      <c r="X1670" s="51" t="str">
        <f t="shared" si="5"/>
        <v/>
      </c>
      <c r="Y1670" s="50" t="s">
        <v>482</v>
      </c>
      <c r="Z1670" s="49">
        <f t="shared" si="6"/>
        <v>0</v>
      </c>
    </row>
    <row r="1671" ht="22.5" customHeight="1">
      <c r="B1671" s="57"/>
      <c r="C1671" s="43" t="str">
        <f t="array" ref="C1671">IF(B1671="","",_xlfn.XLOOKUP(B1671,'Form responses 1'!$B$2:$B$2604,'Form responses 1'!$A$2:$A$2604,""))</f>
        <v/>
      </c>
      <c r="D1671" s="44" t="str">
        <f t="shared" si="3"/>
        <v/>
      </c>
      <c r="E1671" s="44" t="str">
        <f t="array" ref="E1671">IF(B1671="","",_xlfn.XLOOKUP(B1671,'Form responses 1'!$B$2:$B$2604,'Form responses 1'!$C$2:$C$2604,""))</f>
        <v/>
      </c>
      <c r="F1671" s="44" t="str">
        <f t="array" ref="F1671">IF(B1671="","",_xlfn.XLOOKUP(B1671,'Form responses 1'!$B$2:$B$2604,'Form responses 1'!$D$2:$D$2604,""))</f>
        <v/>
      </c>
      <c r="G1671" s="44" t="str">
        <f t="array" ref="G1671">IF(B1671="","",_xlfn.XLOOKUP(B1671,'Form responses 1'!$B$2:$B$2604,'Form responses 1'!$E$2:$E$2604,""))</f>
        <v/>
      </c>
      <c r="H1671" s="44" t="str">
        <f t="array" ref="H1671">IF(B1671="","",_xlfn.XLOOKUP(B1671,'Form responses 1'!$B$2:$B$2604,'Form responses 1'!$F$2:$F$2604,""))</f>
        <v/>
      </c>
      <c r="I1671" s="44" t="str">
        <f t="array" ref="I1671">IF(B1671="","",_xlfn.XLOOKUP(B1671,'Form responses 1'!$B$2:$B$2604,'Form responses 1'!$I$2:$I$2604,""))</f>
        <v/>
      </c>
      <c r="J1671" s="44" t="str">
        <f t="array" ref="J1671">IF(B1671="","",_xlfn.XLOOKUP(B1671,'Form responses 1'!$B$2:$B$2604,'Form responses 1'!$G$2:$G$2604,""))</f>
        <v/>
      </c>
      <c r="K1671" s="56"/>
      <c r="L1671" s="58" t="str">
        <f t="shared" si="7"/>
        <v/>
      </c>
      <c r="M1671" s="49"/>
      <c r="N1671" s="49"/>
      <c r="O1671" s="49"/>
      <c r="P1671" s="49"/>
      <c r="Q1671" s="49"/>
      <c r="R1671" s="49"/>
      <c r="S1671" s="49"/>
      <c r="T1671" s="49"/>
      <c r="U1671" s="49"/>
      <c r="V1671" s="49"/>
      <c r="W1671" s="56"/>
      <c r="X1671" s="51" t="str">
        <f t="shared" si="5"/>
        <v/>
      </c>
      <c r="Y1671" s="50" t="s">
        <v>482</v>
      </c>
      <c r="Z1671" s="49">
        <f t="shared" si="6"/>
        <v>0</v>
      </c>
    </row>
    <row r="1672" ht="22.5" customHeight="1">
      <c r="B1672" s="57"/>
      <c r="C1672" s="43" t="str">
        <f t="array" ref="C1672">IF(B1672="","",_xlfn.XLOOKUP(B1672,'Form responses 1'!$B$2:$B$2604,'Form responses 1'!$A$2:$A$2604,""))</f>
        <v/>
      </c>
      <c r="D1672" s="44" t="str">
        <f t="shared" si="3"/>
        <v/>
      </c>
      <c r="E1672" s="44" t="str">
        <f t="array" ref="E1672">IF(B1672="","",_xlfn.XLOOKUP(B1672,'Form responses 1'!$B$2:$B$2604,'Form responses 1'!$C$2:$C$2604,""))</f>
        <v/>
      </c>
      <c r="F1672" s="44" t="str">
        <f t="array" ref="F1672">IF(B1672="","",_xlfn.XLOOKUP(B1672,'Form responses 1'!$B$2:$B$2604,'Form responses 1'!$D$2:$D$2604,""))</f>
        <v/>
      </c>
      <c r="G1672" s="44" t="str">
        <f t="array" ref="G1672">IF(B1672="","",_xlfn.XLOOKUP(B1672,'Form responses 1'!$B$2:$B$2604,'Form responses 1'!$E$2:$E$2604,""))</f>
        <v/>
      </c>
      <c r="H1672" s="44" t="str">
        <f t="array" ref="H1672">IF(B1672="","",_xlfn.XLOOKUP(B1672,'Form responses 1'!$B$2:$B$2604,'Form responses 1'!$F$2:$F$2604,""))</f>
        <v/>
      </c>
      <c r="I1672" s="44" t="str">
        <f t="array" ref="I1672">IF(B1672="","",_xlfn.XLOOKUP(B1672,'Form responses 1'!$B$2:$B$2604,'Form responses 1'!$I$2:$I$2604,""))</f>
        <v/>
      </c>
      <c r="J1672" s="44" t="str">
        <f t="array" ref="J1672">IF(B1672="","",_xlfn.XLOOKUP(B1672,'Form responses 1'!$B$2:$B$2604,'Form responses 1'!$G$2:$G$2604,""))</f>
        <v/>
      </c>
      <c r="K1672" s="56"/>
      <c r="L1672" s="58" t="str">
        <f t="shared" si="7"/>
        <v/>
      </c>
      <c r="M1672" s="49"/>
      <c r="N1672" s="49"/>
      <c r="O1672" s="49"/>
      <c r="P1672" s="49"/>
      <c r="Q1672" s="49"/>
      <c r="R1672" s="49"/>
      <c r="S1672" s="49"/>
      <c r="T1672" s="49"/>
      <c r="U1672" s="49"/>
      <c r="V1672" s="49"/>
      <c r="W1672" s="56"/>
      <c r="X1672" s="51" t="str">
        <f t="shared" si="5"/>
        <v/>
      </c>
      <c r="Y1672" s="50" t="s">
        <v>482</v>
      </c>
      <c r="Z1672" s="49">
        <f t="shared" si="6"/>
        <v>0</v>
      </c>
    </row>
    <row r="1673" ht="22.5" customHeight="1">
      <c r="B1673" s="57"/>
      <c r="C1673" s="43" t="str">
        <f t="array" ref="C1673">IF(B1673="","",_xlfn.XLOOKUP(B1673,'Form responses 1'!$B$2:$B$2604,'Form responses 1'!$A$2:$A$2604,""))</f>
        <v/>
      </c>
      <c r="D1673" s="44" t="str">
        <f t="shared" si="3"/>
        <v/>
      </c>
      <c r="E1673" s="44" t="str">
        <f t="array" ref="E1673">IF(B1673="","",_xlfn.XLOOKUP(B1673,'Form responses 1'!$B$2:$B$2604,'Form responses 1'!$C$2:$C$2604,""))</f>
        <v/>
      </c>
      <c r="F1673" s="44" t="str">
        <f t="array" ref="F1673">IF(B1673="","",_xlfn.XLOOKUP(B1673,'Form responses 1'!$B$2:$B$2604,'Form responses 1'!$D$2:$D$2604,""))</f>
        <v/>
      </c>
      <c r="G1673" s="44" t="str">
        <f t="array" ref="G1673">IF(B1673="","",_xlfn.XLOOKUP(B1673,'Form responses 1'!$B$2:$B$2604,'Form responses 1'!$E$2:$E$2604,""))</f>
        <v/>
      </c>
      <c r="H1673" s="44" t="str">
        <f t="array" ref="H1673">IF(B1673="","",_xlfn.XLOOKUP(B1673,'Form responses 1'!$B$2:$B$2604,'Form responses 1'!$F$2:$F$2604,""))</f>
        <v/>
      </c>
      <c r="I1673" s="44" t="str">
        <f t="array" ref="I1673">IF(B1673="","",_xlfn.XLOOKUP(B1673,'Form responses 1'!$B$2:$B$2604,'Form responses 1'!$I$2:$I$2604,""))</f>
        <v/>
      </c>
      <c r="J1673" s="44" t="str">
        <f t="array" ref="J1673">IF(B1673="","",_xlfn.XLOOKUP(B1673,'Form responses 1'!$B$2:$B$2604,'Form responses 1'!$G$2:$G$2604,""))</f>
        <v/>
      </c>
      <c r="K1673" s="56"/>
      <c r="L1673" s="58" t="str">
        <f t="shared" si="7"/>
        <v/>
      </c>
      <c r="M1673" s="49"/>
      <c r="N1673" s="49"/>
      <c r="O1673" s="49"/>
      <c r="P1673" s="49"/>
      <c r="Q1673" s="49"/>
      <c r="R1673" s="49"/>
      <c r="S1673" s="49"/>
      <c r="T1673" s="49"/>
      <c r="U1673" s="49"/>
      <c r="V1673" s="49"/>
      <c r="W1673" s="56"/>
      <c r="X1673" s="51" t="str">
        <f t="shared" si="5"/>
        <v/>
      </c>
      <c r="Y1673" s="50" t="s">
        <v>482</v>
      </c>
      <c r="Z1673" s="49">
        <f t="shared" si="6"/>
        <v>0</v>
      </c>
    </row>
    <row r="1674" ht="22.5" customHeight="1">
      <c r="B1674" s="57"/>
      <c r="C1674" s="43" t="str">
        <f t="array" ref="C1674">IF(B1674="","",_xlfn.XLOOKUP(B1674,'Form responses 1'!$B$2:$B$2604,'Form responses 1'!$A$2:$A$2604,""))</f>
        <v/>
      </c>
      <c r="D1674" s="44" t="str">
        <f t="shared" si="3"/>
        <v/>
      </c>
      <c r="E1674" s="44" t="str">
        <f t="array" ref="E1674">IF(B1674="","",_xlfn.XLOOKUP(B1674,'Form responses 1'!$B$2:$B$2604,'Form responses 1'!$C$2:$C$2604,""))</f>
        <v/>
      </c>
      <c r="F1674" s="44" t="str">
        <f t="array" ref="F1674">IF(B1674="","",_xlfn.XLOOKUP(B1674,'Form responses 1'!$B$2:$B$2604,'Form responses 1'!$D$2:$D$2604,""))</f>
        <v/>
      </c>
      <c r="G1674" s="44" t="str">
        <f t="array" ref="G1674">IF(B1674="","",_xlfn.XLOOKUP(B1674,'Form responses 1'!$B$2:$B$2604,'Form responses 1'!$E$2:$E$2604,""))</f>
        <v/>
      </c>
      <c r="H1674" s="44" t="str">
        <f t="array" ref="H1674">IF(B1674="","",_xlfn.XLOOKUP(B1674,'Form responses 1'!$B$2:$B$2604,'Form responses 1'!$F$2:$F$2604,""))</f>
        <v/>
      </c>
      <c r="I1674" s="44" t="str">
        <f t="array" ref="I1674">IF(B1674="","",_xlfn.XLOOKUP(B1674,'Form responses 1'!$B$2:$B$2604,'Form responses 1'!$I$2:$I$2604,""))</f>
        <v/>
      </c>
      <c r="J1674" s="44" t="str">
        <f t="array" ref="J1674">IF(B1674="","",_xlfn.XLOOKUP(B1674,'Form responses 1'!$B$2:$B$2604,'Form responses 1'!$G$2:$G$2604,""))</f>
        <v/>
      </c>
      <c r="K1674" s="56"/>
      <c r="L1674" s="58" t="str">
        <f t="shared" si="7"/>
        <v/>
      </c>
      <c r="M1674" s="49"/>
      <c r="N1674" s="49"/>
      <c r="O1674" s="49"/>
      <c r="P1674" s="49"/>
      <c r="Q1674" s="49"/>
      <c r="R1674" s="49"/>
      <c r="S1674" s="49"/>
      <c r="T1674" s="49"/>
      <c r="U1674" s="49"/>
      <c r="V1674" s="49"/>
      <c r="W1674" s="56"/>
      <c r="X1674" s="51" t="str">
        <f t="shared" si="5"/>
        <v/>
      </c>
      <c r="Y1674" s="50" t="s">
        <v>482</v>
      </c>
      <c r="Z1674" s="49">
        <f t="shared" si="6"/>
        <v>0</v>
      </c>
    </row>
    <row r="1675" ht="22.5" customHeight="1">
      <c r="B1675" s="57"/>
      <c r="C1675" s="43" t="str">
        <f t="array" ref="C1675">IF(B1675="","",_xlfn.XLOOKUP(B1675,'Form responses 1'!$B$2:$B$2604,'Form responses 1'!$A$2:$A$2604,""))</f>
        <v/>
      </c>
      <c r="D1675" s="44" t="str">
        <f t="shared" si="3"/>
        <v/>
      </c>
      <c r="E1675" s="44" t="str">
        <f t="array" ref="E1675">IF(B1675="","",_xlfn.XLOOKUP(B1675,'Form responses 1'!$B$2:$B$2604,'Form responses 1'!$C$2:$C$2604,""))</f>
        <v/>
      </c>
      <c r="F1675" s="44" t="str">
        <f t="array" ref="F1675">IF(B1675="","",_xlfn.XLOOKUP(B1675,'Form responses 1'!$B$2:$B$2604,'Form responses 1'!$D$2:$D$2604,""))</f>
        <v/>
      </c>
      <c r="G1675" s="44" t="str">
        <f t="array" ref="G1675">IF(B1675="","",_xlfn.XLOOKUP(B1675,'Form responses 1'!$B$2:$B$2604,'Form responses 1'!$E$2:$E$2604,""))</f>
        <v/>
      </c>
      <c r="H1675" s="44" t="str">
        <f t="array" ref="H1675">IF(B1675="","",_xlfn.XLOOKUP(B1675,'Form responses 1'!$B$2:$B$2604,'Form responses 1'!$F$2:$F$2604,""))</f>
        <v/>
      </c>
      <c r="I1675" s="44" t="str">
        <f t="array" ref="I1675">IF(B1675="","",_xlfn.XLOOKUP(B1675,'Form responses 1'!$B$2:$B$2604,'Form responses 1'!$I$2:$I$2604,""))</f>
        <v/>
      </c>
      <c r="J1675" s="44" t="str">
        <f t="array" ref="J1675">IF(B1675="","",_xlfn.XLOOKUP(B1675,'Form responses 1'!$B$2:$B$2604,'Form responses 1'!$G$2:$G$2604,""))</f>
        <v/>
      </c>
      <c r="K1675" s="56"/>
      <c r="L1675" s="58" t="str">
        <f t="shared" si="7"/>
        <v/>
      </c>
      <c r="M1675" s="49"/>
      <c r="N1675" s="49"/>
      <c r="O1675" s="49"/>
      <c r="P1675" s="49"/>
      <c r="Q1675" s="49"/>
      <c r="R1675" s="49"/>
      <c r="S1675" s="49"/>
      <c r="T1675" s="49"/>
      <c r="U1675" s="49"/>
      <c r="V1675" s="49"/>
      <c r="W1675" s="56"/>
      <c r="X1675" s="51" t="str">
        <f t="shared" si="5"/>
        <v/>
      </c>
      <c r="Y1675" s="50" t="s">
        <v>482</v>
      </c>
      <c r="Z1675" s="49">
        <f t="shared" si="6"/>
        <v>0</v>
      </c>
    </row>
    <row r="1676" ht="22.5" customHeight="1">
      <c r="B1676" s="57"/>
      <c r="C1676" s="43" t="str">
        <f t="array" ref="C1676">IF(B1676="","",_xlfn.XLOOKUP(B1676,'Form responses 1'!$B$2:$B$2604,'Form responses 1'!$A$2:$A$2604,""))</f>
        <v/>
      </c>
      <c r="D1676" s="44" t="str">
        <f t="shared" si="3"/>
        <v/>
      </c>
      <c r="E1676" s="44" t="str">
        <f t="array" ref="E1676">IF(B1676="","",_xlfn.XLOOKUP(B1676,'Form responses 1'!$B$2:$B$2604,'Form responses 1'!$C$2:$C$2604,""))</f>
        <v/>
      </c>
      <c r="F1676" s="44" t="str">
        <f t="array" ref="F1676">IF(B1676="","",_xlfn.XLOOKUP(B1676,'Form responses 1'!$B$2:$B$2604,'Form responses 1'!$D$2:$D$2604,""))</f>
        <v/>
      </c>
      <c r="G1676" s="44" t="str">
        <f t="array" ref="G1676">IF(B1676="","",_xlfn.XLOOKUP(B1676,'Form responses 1'!$B$2:$B$2604,'Form responses 1'!$E$2:$E$2604,""))</f>
        <v/>
      </c>
      <c r="H1676" s="44" t="str">
        <f t="array" ref="H1676">IF(B1676="","",_xlfn.XLOOKUP(B1676,'Form responses 1'!$B$2:$B$2604,'Form responses 1'!$F$2:$F$2604,""))</f>
        <v/>
      </c>
      <c r="I1676" s="44" t="str">
        <f t="array" ref="I1676">IF(B1676="","",_xlfn.XLOOKUP(B1676,'Form responses 1'!$B$2:$B$2604,'Form responses 1'!$I$2:$I$2604,""))</f>
        <v/>
      </c>
      <c r="J1676" s="44" t="str">
        <f t="array" ref="J1676">IF(B1676="","",_xlfn.XLOOKUP(B1676,'Form responses 1'!$B$2:$B$2604,'Form responses 1'!$G$2:$G$2604,""))</f>
        <v/>
      </c>
      <c r="K1676" s="56"/>
      <c r="L1676" s="58" t="str">
        <f t="shared" si="7"/>
        <v/>
      </c>
      <c r="M1676" s="49"/>
      <c r="N1676" s="49"/>
      <c r="O1676" s="49"/>
      <c r="P1676" s="49"/>
      <c r="Q1676" s="49"/>
      <c r="R1676" s="49"/>
      <c r="S1676" s="49"/>
      <c r="T1676" s="49"/>
      <c r="U1676" s="49"/>
      <c r="V1676" s="49"/>
      <c r="W1676" s="56"/>
      <c r="X1676" s="51" t="str">
        <f t="shared" si="5"/>
        <v/>
      </c>
      <c r="Y1676" s="50" t="s">
        <v>482</v>
      </c>
      <c r="Z1676" s="49">
        <f t="shared" si="6"/>
        <v>0</v>
      </c>
    </row>
    <row r="1677" ht="22.5" customHeight="1">
      <c r="B1677" s="57"/>
      <c r="C1677" s="43" t="str">
        <f t="array" ref="C1677">IF(B1677="","",_xlfn.XLOOKUP(B1677,'Form responses 1'!$B$2:$B$2604,'Form responses 1'!$A$2:$A$2604,""))</f>
        <v/>
      </c>
      <c r="D1677" s="44" t="str">
        <f t="shared" si="3"/>
        <v/>
      </c>
      <c r="E1677" s="44" t="str">
        <f t="array" ref="E1677">IF(B1677="","",_xlfn.XLOOKUP(B1677,'Form responses 1'!$B$2:$B$2604,'Form responses 1'!$C$2:$C$2604,""))</f>
        <v/>
      </c>
      <c r="F1677" s="44" t="str">
        <f t="array" ref="F1677">IF(B1677="","",_xlfn.XLOOKUP(B1677,'Form responses 1'!$B$2:$B$2604,'Form responses 1'!$D$2:$D$2604,""))</f>
        <v/>
      </c>
      <c r="G1677" s="44" t="str">
        <f t="array" ref="G1677">IF(B1677="","",_xlfn.XLOOKUP(B1677,'Form responses 1'!$B$2:$B$2604,'Form responses 1'!$E$2:$E$2604,""))</f>
        <v/>
      </c>
      <c r="H1677" s="44" t="str">
        <f t="array" ref="H1677">IF(B1677="","",_xlfn.XLOOKUP(B1677,'Form responses 1'!$B$2:$B$2604,'Form responses 1'!$F$2:$F$2604,""))</f>
        <v/>
      </c>
      <c r="I1677" s="44" t="str">
        <f t="array" ref="I1677">IF(B1677="","",_xlfn.XLOOKUP(B1677,'Form responses 1'!$B$2:$B$2604,'Form responses 1'!$I$2:$I$2604,""))</f>
        <v/>
      </c>
      <c r="J1677" s="44" t="str">
        <f t="array" ref="J1677">IF(B1677="","",_xlfn.XLOOKUP(B1677,'Form responses 1'!$B$2:$B$2604,'Form responses 1'!$G$2:$G$2604,""))</f>
        <v/>
      </c>
      <c r="K1677" s="56"/>
      <c r="L1677" s="58" t="str">
        <f t="shared" si="7"/>
        <v/>
      </c>
      <c r="M1677" s="49"/>
      <c r="N1677" s="49"/>
      <c r="O1677" s="49"/>
      <c r="P1677" s="49"/>
      <c r="Q1677" s="49"/>
      <c r="R1677" s="49"/>
      <c r="S1677" s="49"/>
      <c r="T1677" s="49"/>
      <c r="U1677" s="49"/>
      <c r="V1677" s="49"/>
      <c r="W1677" s="56"/>
      <c r="X1677" s="51" t="str">
        <f t="shared" si="5"/>
        <v/>
      </c>
      <c r="Y1677" s="50" t="s">
        <v>482</v>
      </c>
      <c r="Z1677" s="49">
        <f t="shared" si="6"/>
        <v>0</v>
      </c>
    </row>
    <row r="1678" ht="22.5" customHeight="1">
      <c r="B1678" s="57"/>
      <c r="C1678" s="43" t="str">
        <f t="array" ref="C1678">IF(B1678="","",_xlfn.XLOOKUP(B1678,'Form responses 1'!$B$2:$B$2604,'Form responses 1'!$A$2:$A$2604,""))</f>
        <v/>
      </c>
      <c r="D1678" s="44" t="str">
        <f t="shared" si="3"/>
        <v/>
      </c>
      <c r="E1678" s="44" t="str">
        <f t="array" ref="E1678">IF(B1678="","",_xlfn.XLOOKUP(B1678,'Form responses 1'!$B$2:$B$2604,'Form responses 1'!$C$2:$C$2604,""))</f>
        <v/>
      </c>
      <c r="F1678" s="44" t="str">
        <f t="array" ref="F1678">IF(B1678="","",_xlfn.XLOOKUP(B1678,'Form responses 1'!$B$2:$B$2604,'Form responses 1'!$D$2:$D$2604,""))</f>
        <v/>
      </c>
      <c r="G1678" s="44" t="str">
        <f t="array" ref="G1678">IF(B1678="","",_xlfn.XLOOKUP(B1678,'Form responses 1'!$B$2:$B$2604,'Form responses 1'!$E$2:$E$2604,""))</f>
        <v/>
      </c>
      <c r="H1678" s="44" t="str">
        <f t="array" ref="H1678">IF(B1678="","",_xlfn.XLOOKUP(B1678,'Form responses 1'!$B$2:$B$2604,'Form responses 1'!$F$2:$F$2604,""))</f>
        <v/>
      </c>
      <c r="I1678" s="44" t="str">
        <f t="array" ref="I1678">IF(B1678="","",_xlfn.XLOOKUP(B1678,'Form responses 1'!$B$2:$B$2604,'Form responses 1'!$I$2:$I$2604,""))</f>
        <v/>
      </c>
      <c r="J1678" s="44" t="str">
        <f t="array" ref="J1678">IF(B1678="","",_xlfn.XLOOKUP(B1678,'Form responses 1'!$B$2:$B$2604,'Form responses 1'!$G$2:$G$2604,""))</f>
        <v/>
      </c>
      <c r="K1678" s="56"/>
      <c r="L1678" s="58" t="str">
        <f t="shared" si="7"/>
        <v/>
      </c>
      <c r="M1678" s="49"/>
      <c r="N1678" s="49"/>
      <c r="O1678" s="49"/>
      <c r="P1678" s="49"/>
      <c r="Q1678" s="49"/>
      <c r="R1678" s="49"/>
      <c r="S1678" s="49"/>
      <c r="T1678" s="49"/>
      <c r="U1678" s="49"/>
      <c r="V1678" s="49"/>
      <c r="W1678" s="56"/>
      <c r="X1678" s="51" t="str">
        <f t="shared" si="5"/>
        <v/>
      </c>
      <c r="Y1678" s="50" t="s">
        <v>482</v>
      </c>
      <c r="Z1678" s="49">
        <f t="shared" si="6"/>
        <v>0</v>
      </c>
    </row>
    <row r="1679" ht="22.5" customHeight="1">
      <c r="B1679" s="57"/>
      <c r="C1679" s="43" t="str">
        <f t="array" ref="C1679">IF(B1679="","",_xlfn.XLOOKUP(B1679,'Form responses 1'!$B$2:$B$2604,'Form responses 1'!$A$2:$A$2604,""))</f>
        <v/>
      </c>
      <c r="D1679" s="44" t="str">
        <f t="shared" si="3"/>
        <v/>
      </c>
      <c r="E1679" s="44" t="str">
        <f t="array" ref="E1679">IF(B1679="","",_xlfn.XLOOKUP(B1679,'Form responses 1'!$B$2:$B$2604,'Form responses 1'!$C$2:$C$2604,""))</f>
        <v/>
      </c>
      <c r="F1679" s="44" t="str">
        <f t="array" ref="F1679">IF(B1679="","",_xlfn.XLOOKUP(B1679,'Form responses 1'!$B$2:$B$2604,'Form responses 1'!$D$2:$D$2604,""))</f>
        <v/>
      </c>
      <c r="G1679" s="44" t="str">
        <f t="array" ref="G1679">IF(B1679="","",_xlfn.XLOOKUP(B1679,'Form responses 1'!$B$2:$B$2604,'Form responses 1'!$E$2:$E$2604,""))</f>
        <v/>
      </c>
      <c r="H1679" s="44" t="str">
        <f t="array" ref="H1679">IF(B1679="","",_xlfn.XLOOKUP(B1679,'Form responses 1'!$B$2:$B$2604,'Form responses 1'!$F$2:$F$2604,""))</f>
        <v/>
      </c>
      <c r="I1679" s="44" t="str">
        <f t="array" ref="I1679">IF(B1679="","",_xlfn.XLOOKUP(B1679,'Form responses 1'!$B$2:$B$2604,'Form responses 1'!$I$2:$I$2604,""))</f>
        <v/>
      </c>
      <c r="J1679" s="44" t="str">
        <f t="array" ref="J1679">IF(B1679="","",_xlfn.XLOOKUP(B1679,'Form responses 1'!$B$2:$B$2604,'Form responses 1'!$G$2:$G$2604,""))</f>
        <v/>
      </c>
      <c r="K1679" s="56"/>
      <c r="L1679" s="58" t="str">
        <f t="shared" si="7"/>
        <v/>
      </c>
      <c r="M1679" s="49"/>
      <c r="N1679" s="49"/>
      <c r="O1679" s="49"/>
      <c r="P1679" s="49"/>
      <c r="Q1679" s="49"/>
      <c r="R1679" s="49"/>
      <c r="S1679" s="49"/>
      <c r="T1679" s="49"/>
      <c r="U1679" s="49"/>
      <c r="V1679" s="49"/>
      <c r="W1679" s="56"/>
      <c r="X1679" s="51" t="str">
        <f t="shared" si="5"/>
        <v/>
      </c>
      <c r="Y1679" s="50" t="s">
        <v>482</v>
      </c>
      <c r="Z1679" s="49">
        <f t="shared" si="6"/>
        <v>0</v>
      </c>
    </row>
    <row r="1680" ht="22.5" customHeight="1">
      <c r="B1680" s="57"/>
      <c r="C1680" s="43" t="str">
        <f t="array" ref="C1680">IF(B1680="","",_xlfn.XLOOKUP(B1680,'Form responses 1'!$B$2:$B$2604,'Form responses 1'!$A$2:$A$2604,""))</f>
        <v/>
      </c>
      <c r="D1680" s="44" t="str">
        <f t="shared" si="3"/>
        <v/>
      </c>
      <c r="E1680" s="44" t="str">
        <f t="array" ref="E1680">IF(B1680="","",_xlfn.XLOOKUP(B1680,'Form responses 1'!$B$2:$B$2604,'Form responses 1'!$C$2:$C$2604,""))</f>
        <v/>
      </c>
      <c r="F1680" s="44" t="str">
        <f t="array" ref="F1680">IF(B1680="","",_xlfn.XLOOKUP(B1680,'Form responses 1'!$B$2:$B$2604,'Form responses 1'!$D$2:$D$2604,""))</f>
        <v/>
      </c>
      <c r="G1680" s="44" t="str">
        <f t="array" ref="G1680">IF(B1680="","",_xlfn.XLOOKUP(B1680,'Form responses 1'!$B$2:$B$2604,'Form responses 1'!$E$2:$E$2604,""))</f>
        <v/>
      </c>
      <c r="H1680" s="44" t="str">
        <f t="array" ref="H1680">IF(B1680="","",_xlfn.XLOOKUP(B1680,'Form responses 1'!$B$2:$B$2604,'Form responses 1'!$F$2:$F$2604,""))</f>
        <v/>
      </c>
      <c r="I1680" s="44" t="str">
        <f t="array" ref="I1680">IF(B1680="","",_xlfn.XLOOKUP(B1680,'Form responses 1'!$B$2:$B$2604,'Form responses 1'!$I$2:$I$2604,""))</f>
        <v/>
      </c>
      <c r="J1680" s="44" t="str">
        <f t="array" ref="J1680">IF(B1680="","",_xlfn.XLOOKUP(B1680,'Form responses 1'!$B$2:$B$2604,'Form responses 1'!$G$2:$G$2604,""))</f>
        <v/>
      </c>
      <c r="K1680" s="56"/>
      <c r="L1680" s="58" t="str">
        <f t="shared" si="7"/>
        <v/>
      </c>
      <c r="M1680" s="49"/>
      <c r="N1680" s="49"/>
      <c r="O1680" s="49"/>
      <c r="P1680" s="49"/>
      <c r="Q1680" s="49"/>
      <c r="R1680" s="49"/>
      <c r="S1680" s="49"/>
      <c r="T1680" s="49"/>
      <c r="U1680" s="49"/>
      <c r="V1680" s="49"/>
      <c r="W1680" s="56"/>
      <c r="X1680" s="51" t="str">
        <f t="shared" si="5"/>
        <v/>
      </c>
      <c r="Y1680" s="50" t="s">
        <v>482</v>
      </c>
      <c r="Z1680" s="49">
        <f t="shared" si="6"/>
        <v>0</v>
      </c>
    </row>
    <row r="1681" ht="22.5" customHeight="1">
      <c r="B1681" s="57"/>
      <c r="C1681" s="43" t="str">
        <f t="array" ref="C1681">IF(B1681="","",_xlfn.XLOOKUP(B1681,'Form responses 1'!$B$2:$B$2604,'Form responses 1'!$A$2:$A$2604,""))</f>
        <v/>
      </c>
      <c r="D1681" s="44" t="str">
        <f t="shared" si="3"/>
        <v/>
      </c>
      <c r="E1681" s="44" t="str">
        <f t="array" ref="E1681">IF(B1681="","",_xlfn.XLOOKUP(B1681,'Form responses 1'!$B$2:$B$2604,'Form responses 1'!$C$2:$C$2604,""))</f>
        <v/>
      </c>
      <c r="F1681" s="44" t="str">
        <f t="array" ref="F1681">IF(B1681="","",_xlfn.XLOOKUP(B1681,'Form responses 1'!$B$2:$B$2604,'Form responses 1'!$D$2:$D$2604,""))</f>
        <v/>
      </c>
      <c r="G1681" s="44" t="str">
        <f t="array" ref="G1681">IF(B1681="","",_xlfn.XLOOKUP(B1681,'Form responses 1'!$B$2:$B$2604,'Form responses 1'!$E$2:$E$2604,""))</f>
        <v/>
      </c>
      <c r="H1681" s="44" t="str">
        <f t="array" ref="H1681">IF(B1681="","",_xlfn.XLOOKUP(B1681,'Form responses 1'!$B$2:$B$2604,'Form responses 1'!$F$2:$F$2604,""))</f>
        <v/>
      </c>
      <c r="I1681" s="44" t="str">
        <f t="array" ref="I1681">IF(B1681="","",_xlfn.XLOOKUP(B1681,'Form responses 1'!$B$2:$B$2604,'Form responses 1'!$I$2:$I$2604,""))</f>
        <v/>
      </c>
      <c r="J1681" s="44" t="str">
        <f t="array" ref="J1681">IF(B1681="","",_xlfn.XLOOKUP(B1681,'Form responses 1'!$B$2:$B$2604,'Form responses 1'!$G$2:$G$2604,""))</f>
        <v/>
      </c>
      <c r="K1681" s="56"/>
      <c r="L1681" s="58" t="str">
        <f t="shared" si="7"/>
        <v/>
      </c>
      <c r="M1681" s="49"/>
      <c r="N1681" s="49"/>
      <c r="O1681" s="49"/>
      <c r="P1681" s="49"/>
      <c r="Q1681" s="49"/>
      <c r="R1681" s="49"/>
      <c r="S1681" s="49"/>
      <c r="T1681" s="49"/>
      <c r="U1681" s="49"/>
      <c r="V1681" s="49"/>
      <c r="W1681" s="56"/>
      <c r="X1681" s="51" t="str">
        <f t="shared" si="5"/>
        <v/>
      </c>
      <c r="Y1681" s="50" t="s">
        <v>482</v>
      </c>
      <c r="Z1681" s="49">
        <f t="shared" si="6"/>
        <v>0</v>
      </c>
    </row>
    <row r="1682" ht="22.5" customHeight="1">
      <c r="B1682" s="57"/>
      <c r="C1682" s="43" t="str">
        <f t="array" ref="C1682">IF(B1682="","",_xlfn.XLOOKUP(B1682,'Form responses 1'!$B$2:$B$2604,'Form responses 1'!$A$2:$A$2604,""))</f>
        <v/>
      </c>
      <c r="D1682" s="44" t="str">
        <f t="shared" si="3"/>
        <v/>
      </c>
      <c r="E1682" s="44" t="str">
        <f t="array" ref="E1682">IF(B1682="","",_xlfn.XLOOKUP(B1682,'Form responses 1'!$B$2:$B$2604,'Form responses 1'!$C$2:$C$2604,""))</f>
        <v/>
      </c>
      <c r="F1682" s="44" t="str">
        <f t="array" ref="F1682">IF(B1682="","",_xlfn.XLOOKUP(B1682,'Form responses 1'!$B$2:$B$2604,'Form responses 1'!$D$2:$D$2604,""))</f>
        <v/>
      </c>
      <c r="G1682" s="44" t="str">
        <f t="array" ref="G1682">IF(B1682="","",_xlfn.XLOOKUP(B1682,'Form responses 1'!$B$2:$B$2604,'Form responses 1'!$E$2:$E$2604,""))</f>
        <v/>
      </c>
      <c r="H1682" s="44" t="str">
        <f t="array" ref="H1682">IF(B1682="","",_xlfn.XLOOKUP(B1682,'Form responses 1'!$B$2:$B$2604,'Form responses 1'!$F$2:$F$2604,""))</f>
        <v/>
      </c>
      <c r="I1682" s="44" t="str">
        <f t="array" ref="I1682">IF(B1682="","",_xlfn.XLOOKUP(B1682,'Form responses 1'!$B$2:$B$2604,'Form responses 1'!$I$2:$I$2604,""))</f>
        <v/>
      </c>
      <c r="J1682" s="44" t="str">
        <f t="array" ref="J1682">IF(B1682="","",_xlfn.XLOOKUP(B1682,'Form responses 1'!$B$2:$B$2604,'Form responses 1'!$G$2:$G$2604,""))</f>
        <v/>
      </c>
      <c r="K1682" s="56"/>
      <c r="L1682" s="58" t="str">
        <f t="shared" si="7"/>
        <v/>
      </c>
      <c r="M1682" s="49"/>
      <c r="N1682" s="49"/>
      <c r="O1682" s="49"/>
      <c r="P1682" s="49"/>
      <c r="Q1682" s="49"/>
      <c r="R1682" s="49"/>
      <c r="S1682" s="49"/>
      <c r="T1682" s="49"/>
      <c r="U1682" s="49"/>
      <c r="V1682" s="49"/>
      <c r="W1682" s="56"/>
      <c r="X1682" s="51" t="str">
        <f t="shared" si="5"/>
        <v/>
      </c>
      <c r="Y1682" s="50" t="s">
        <v>482</v>
      </c>
      <c r="Z1682" s="49">
        <f t="shared" si="6"/>
        <v>0</v>
      </c>
    </row>
    <row r="1683" ht="22.5" customHeight="1">
      <c r="B1683" s="57"/>
      <c r="C1683" s="43" t="str">
        <f t="array" ref="C1683">IF(B1683="","",_xlfn.XLOOKUP(B1683,'Form responses 1'!$B$2:$B$2604,'Form responses 1'!$A$2:$A$2604,""))</f>
        <v/>
      </c>
      <c r="D1683" s="44" t="str">
        <f t="shared" si="3"/>
        <v/>
      </c>
      <c r="E1683" s="44" t="str">
        <f t="array" ref="E1683">IF(B1683="","",_xlfn.XLOOKUP(B1683,'Form responses 1'!$B$2:$B$2604,'Form responses 1'!$C$2:$C$2604,""))</f>
        <v/>
      </c>
      <c r="F1683" s="44" t="str">
        <f t="array" ref="F1683">IF(B1683="","",_xlfn.XLOOKUP(B1683,'Form responses 1'!$B$2:$B$2604,'Form responses 1'!$D$2:$D$2604,""))</f>
        <v/>
      </c>
      <c r="G1683" s="44" t="str">
        <f t="array" ref="G1683">IF(B1683="","",_xlfn.XLOOKUP(B1683,'Form responses 1'!$B$2:$B$2604,'Form responses 1'!$E$2:$E$2604,""))</f>
        <v/>
      </c>
      <c r="H1683" s="44" t="str">
        <f t="array" ref="H1683">IF(B1683="","",_xlfn.XLOOKUP(B1683,'Form responses 1'!$B$2:$B$2604,'Form responses 1'!$F$2:$F$2604,""))</f>
        <v/>
      </c>
      <c r="I1683" s="44" t="str">
        <f t="array" ref="I1683">IF(B1683="","",_xlfn.XLOOKUP(B1683,'Form responses 1'!$B$2:$B$2604,'Form responses 1'!$I$2:$I$2604,""))</f>
        <v/>
      </c>
      <c r="J1683" s="44" t="str">
        <f t="array" ref="J1683">IF(B1683="","",_xlfn.XLOOKUP(B1683,'Form responses 1'!$B$2:$B$2604,'Form responses 1'!$G$2:$G$2604,""))</f>
        <v/>
      </c>
      <c r="K1683" s="56"/>
      <c r="L1683" s="58" t="str">
        <f t="shared" si="7"/>
        <v/>
      </c>
      <c r="M1683" s="49"/>
      <c r="N1683" s="49"/>
      <c r="O1683" s="49"/>
      <c r="P1683" s="49"/>
      <c r="Q1683" s="49"/>
      <c r="R1683" s="49"/>
      <c r="S1683" s="49"/>
      <c r="T1683" s="49"/>
      <c r="U1683" s="49"/>
      <c r="V1683" s="49"/>
      <c r="W1683" s="56"/>
      <c r="X1683" s="51" t="str">
        <f t="shared" si="5"/>
        <v/>
      </c>
      <c r="Y1683" s="50" t="s">
        <v>482</v>
      </c>
      <c r="Z1683" s="49">
        <f t="shared" si="6"/>
        <v>0</v>
      </c>
    </row>
    <row r="1684" ht="22.5" customHeight="1">
      <c r="B1684" s="57"/>
      <c r="C1684" s="43" t="str">
        <f t="array" ref="C1684">IF(B1684="","",_xlfn.XLOOKUP(B1684,'Form responses 1'!$B$2:$B$2604,'Form responses 1'!$A$2:$A$2604,""))</f>
        <v/>
      </c>
      <c r="D1684" s="44" t="str">
        <f t="shared" si="3"/>
        <v/>
      </c>
      <c r="E1684" s="44" t="str">
        <f t="array" ref="E1684">IF(B1684="","",_xlfn.XLOOKUP(B1684,'Form responses 1'!$B$2:$B$2604,'Form responses 1'!$C$2:$C$2604,""))</f>
        <v/>
      </c>
      <c r="F1684" s="44" t="str">
        <f t="array" ref="F1684">IF(B1684="","",_xlfn.XLOOKUP(B1684,'Form responses 1'!$B$2:$B$2604,'Form responses 1'!$D$2:$D$2604,""))</f>
        <v/>
      </c>
      <c r="G1684" s="44" t="str">
        <f t="array" ref="G1684">IF(B1684="","",_xlfn.XLOOKUP(B1684,'Form responses 1'!$B$2:$B$2604,'Form responses 1'!$E$2:$E$2604,""))</f>
        <v/>
      </c>
      <c r="H1684" s="44" t="str">
        <f t="array" ref="H1684">IF(B1684="","",_xlfn.XLOOKUP(B1684,'Form responses 1'!$B$2:$B$2604,'Form responses 1'!$F$2:$F$2604,""))</f>
        <v/>
      </c>
      <c r="I1684" s="44" t="str">
        <f t="array" ref="I1684">IF(B1684="","",_xlfn.XLOOKUP(B1684,'Form responses 1'!$B$2:$B$2604,'Form responses 1'!$I$2:$I$2604,""))</f>
        <v/>
      </c>
      <c r="J1684" s="44" t="str">
        <f t="array" ref="J1684">IF(B1684="","",_xlfn.XLOOKUP(B1684,'Form responses 1'!$B$2:$B$2604,'Form responses 1'!$G$2:$G$2604,""))</f>
        <v/>
      </c>
      <c r="K1684" s="56"/>
      <c r="L1684" s="58" t="str">
        <f t="shared" si="7"/>
        <v/>
      </c>
      <c r="M1684" s="49"/>
      <c r="N1684" s="49"/>
      <c r="O1684" s="49"/>
      <c r="P1684" s="49"/>
      <c r="Q1684" s="49"/>
      <c r="R1684" s="49"/>
      <c r="S1684" s="49"/>
      <c r="T1684" s="49"/>
      <c r="U1684" s="49"/>
      <c r="V1684" s="49"/>
      <c r="W1684" s="56"/>
      <c r="X1684" s="51" t="str">
        <f t="shared" si="5"/>
        <v/>
      </c>
      <c r="Y1684" s="50" t="s">
        <v>482</v>
      </c>
      <c r="Z1684" s="49">
        <f t="shared" si="6"/>
        <v>0</v>
      </c>
    </row>
    <row r="1685" ht="22.5" customHeight="1">
      <c r="B1685" s="57"/>
      <c r="C1685" s="43" t="str">
        <f t="array" ref="C1685">IF(B1685="","",_xlfn.XLOOKUP(B1685,'Form responses 1'!$B$2:$B$2604,'Form responses 1'!$A$2:$A$2604,""))</f>
        <v/>
      </c>
      <c r="D1685" s="44" t="str">
        <f t="shared" si="3"/>
        <v/>
      </c>
      <c r="E1685" s="44" t="str">
        <f t="array" ref="E1685">IF(B1685="","",_xlfn.XLOOKUP(B1685,'Form responses 1'!$B$2:$B$2604,'Form responses 1'!$C$2:$C$2604,""))</f>
        <v/>
      </c>
      <c r="F1685" s="44" t="str">
        <f t="array" ref="F1685">IF(B1685="","",_xlfn.XLOOKUP(B1685,'Form responses 1'!$B$2:$B$2604,'Form responses 1'!$D$2:$D$2604,""))</f>
        <v/>
      </c>
      <c r="G1685" s="44" t="str">
        <f t="array" ref="G1685">IF(B1685="","",_xlfn.XLOOKUP(B1685,'Form responses 1'!$B$2:$B$2604,'Form responses 1'!$E$2:$E$2604,""))</f>
        <v/>
      </c>
      <c r="H1685" s="44" t="str">
        <f t="array" ref="H1685">IF(B1685="","",_xlfn.XLOOKUP(B1685,'Form responses 1'!$B$2:$B$2604,'Form responses 1'!$F$2:$F$2604,""))</f>
        <v/>
      </c>
      <c r="I1685" s="44" t="str">
        <f t="array" ref="I1685">IF(B1685="","",_xlfn.XLOOKUP(B1685,'Form responses 1'!$B$2:$B$2604,'Form responses 1'!$I$2:$I$2604,""))</f>
        <v/>
      </c>
      <c r="J1685" s="44" t="str">
        <f t="array" ref="J1685">IF(B1685="","",_xlfn.XLOOKUP(B1685,'Form responses 1'!$B$2:$B$2604,'Form responses 1'!$G$2:$G$2604,""))</f>
        <v/>
      </c>
      <c r="K1685" s="56"/>
      <c r="L1685" s="58" t="str">
        <f t="shared" si="7"/>
        <v/>
      </c>
      <c r="M1685" s="49"/>
      <c r="N1685" s="49"/>
      <c r="O1685" s="49"/>
      <c r="P1685" s="49"/>
      <c r="Q1685" s="49"/>
      <c r="R1685" s="49"/>
      <c r="S1685" s="49"/>
      <c r="T1685" s="49"/>
      <c r="U1685" s="49"/>
      <c r="V1685" s="49"/>
      <c r="W1685" s="56"/>
      <c r="X1685" s="51" t="str">
        <f t="shared" si="5"/>
        <v/>
      </c>
      <c r="Y1685" s="50" t="s">
        <v>482</v>
      </c>
      <c r="Z1685" s="49">
        <f t="shared" si="6"/>
        <v>0</v>
      </c>
    </row>
    <row r="1686" ht="22.5" customHeight="1">
      <c r="B1686" s="57"/>
      <c r="C1686" s="43" t="str">
        <f t="array" ref="C1686">IF(B1686="","",_xlfn.XLOOKUP(B1686,'Form responses 1'!$B$2:$B$2604,'Form responses 1'!$A$2:$A$2604,""))</f>
        <v/>
      </c>
      <c r="D1686" s="44" t="str">
        <f t="shared" si="3"/>
        <v/>
      </c>
      <c r="E1686" s="44" t="str">
        <f t="array" ref="E1686">IF(B1686="","",_xlfn.XLOOKUP(B1686,'Form responses 1'!$B$2:$B$2604,'Form responses 1'!$C$2:$C$2604,""))</f>
        <v/>
      </c>
      <c r="F1686" s="44" t="str">
        <f t="array" ref="F1686">IF(B1686="","",_xlfn.XLOOKUP(B1686,'Form responses 1'!$B$2:$B$2604,'Form responses 1'!$D$2:$D$2604,""))</f>
        <v/>
      </c>
      <c r="G1686" s="44" t="str">
        <f t="array" ref="G1686">IF(B1686="","",_xlfn.XLOOKUP(B1686,'Form responses 1'!$B$2:$B$2604,'Form responses 1'!$E$2:$E$2604,""))</f>
        <v/>
      </c>
      <c r="H1686" s="44" t="str">
        <f t="array" ref="H1686">IF(B1686="","",_xlfn.XLOOKUP(B1686,'Form responses 1'!$B$2:$B$2604,'Form responses 1'!$F$2:$F$2604,""))</f>
        <v/>
      </c>
      <c r="I1686" s="44" t="str">
        <f t="array" ref="I1686">IF(B1686="","",_xlfn.XLOOKUP(B1686,'Form responses 1'!$B$2:$B$2604,'Form responses 1'!$I$2:$I$2604,""))</f>
        <v/>
      </c>
      <c r="J1686" s="44" t="str">
        <f t="array" ref="J1686">IF(B1686="","",_xlfn.XLOOKUP(B1686,'Form responses 1'!$B$2:$B$2604,'Form responses 1'!$G$2:$G$2604,""))</f>
        <v/>
      </c>
      <c r="K1686" s="56"/>
      <c r="L1686" s="58" t="str">
        <f t="shared" si="7"/>
        <v/>
      </c>
      <c r="M1686" s="49"/>
      <c r="N1686" s="49"/>
      <c r="O1686" s="49"/>
      <c r="P1686" s="49"/>
      <c r="Q1686" s="49"/>
      <c r="R1686" s="49"/>
      <c r="S1686" s="49"/>
      <c r="T1686" s="49"/>
      <c r="U1686" s="49"/>
      <c r="V1686" s="49"/>
      <c r="W1686" s="56"/>
      <c r="X1686" s="51" t="str">
        <f t="shared" si="5"/>
        <v/>
      </c>
      <c r="Y1686" s="50" t="s">
        <v>482</v>
      </c>
      <c r="Z1686" s="49">
        <f t="shared" si="6"/>
        <v>0</v>
      </c>
    </row>
    <row r="1687" ht="22.5" customHeight="1">
      <c r="B1687" s="57"/>
      <c r="C1687" s="43" t="str">
        <f t="array" ref="C1687">IF(B1687="","",_xlfn.XLOOKUP(B1687,'Form responses 1'!$B$2:$B$2604,'Form responses 1'!$A$2:$A$2604,""))</f>
        <v/>
      </c>
      <c r="D1687" s="44" t="str">
        <f t="shared" si="3"/>
        <v/>
      </c>
      <c r="E1687" s="44" t="str">
        <f t="array" ref="E1687">IF(B1687="","",_xlfn.XLOOKUP(B1687,'Form responses 1'!$B$2:$B$2604,'Form responses 1'!$C$2:$C$2604,""))</f>
        <v/>
      </c>
      <c r="F1687" s="44" t="str">
        <f t="array" ref="F1687">IF(B1687="","",_xlfn.XLOOKUP(B1687,'Form responses 1'!$B$2:$B$2604,'Form responses 1'!$D$2:$D$2604,""))</f>
        <v/>
      </c>
      <c r="G1687" s="44" t="str">
        <f t="array" ref="G1687">IF(B1687="","",_xlfn.XLOOKUP(B1687,'Form responses 1'!$B$2:$B$2604,'Form responses 1'!$E$2:$E$2604,""))</f>
        <v/>
      </c>
      <c r="H1687" s="44" t="str">
        <f t="array" ref="H1687">IF(B1687="","",_xlfn.XLOOKUP(B1687,'Form responses 1'!$B$2:$B$2604,'Form responses 1'!$F$2:$F$2604,""))</f>
        <v/>
      </c>
      <c r="I1687" s="44" t="str">
        <f t="array" ref="I1687">IF(B1687="","",_xlfn.XLOOKUP(B1687,'Form responses 1'!$B$2:$B$2604,'Form responses 1'!$I$2:$I$2604,""))</f>
        <v/>
      </c>
      <c r="J1687" s="44" t="str">
        <f t="array" ref="J1687">IF(B1687="","",_xlfn.XLOOKUP(B1687,'Form responses 1'!$B$2:$B$2604,'Form responses 1'!$G$2:$G$2604,""))</f>
        <v/>
      </c>
      <c r="K1687" s="56"/>
      <c r="L1687" s="58" t="str">
        <f t="shared" si="7"/>
        <v/>
      </c>
      <c r="M1687" s="49"/>
      <c r="N1687" s="49"/>
      <c r="O1687" s="49"/>
      <c r="P1687" s="49"/>
      <c r="Q1687" s="49"/>
      <c r="R1687" s="49"/>
      <c r="S1687" s="49"/>
      <c r="T1687" s="49"/>
      <c r="U1687" s="49"/>
      <c r="V1687" s="49"/>
      <c r="W1687" s="56"/>
      <c r="X1687" s="51" t="str">
        <f t="shared" si="5"/>
        <v/>
      </c>
      <c r="Y1687" s="50" t="s">
        <v>482</v>
      </c>
      <c r="Z1687" s="49">
        <f t="shared" si="6"/>
        <v>0</v>
      </c>
    </row>
    <row r="1688" ht="22.5" customHeight="1">
      <c r="B1688" s="57"/>
      <c r="C1688" s="43" t="str">
        <f t="array" ref="C1688">IF(B1688="","",_xlfn.XLOOKUP(B1688,'Form responses 1'!$B$2:$B$2604,'Form responses 1'!$A$2:$A$2604,""))</f>
        <v/>
      </c>
      <c r="D1688" s="44" t="str">
        <f t="shared" si="3"/>
        <v/>
      </c>
      <c r="E1688" s="44" t="str">
        <f t="array" ref="E1688">IF(B1688="","",_xlfn.XLOOKUP(B1688,'Form responses 1'!$B$2:$B$2604,'Form responses 1'!$C$2:$C$2604,""))</f>
        <v/>
      </c>
      <c r="F1688" s="44" t="str">
        <f t="array" ref="F1688">IF(B1688="","",_xlfn.XLOOKUP(B1688,'Form responses 1'!$B$2:$B$2604,'Form responses 1'!$D$2:$D$2604,""))</f>
        <v/>
      </c>
      <c r="G1688" s="44" t="str">
        <f t="array" ref="G1688">IF(B1688="","",_xlfn.XLOOKUP(B1688,'Form responses 1'!$B$2:$B$2604,'Form responses 1'!$E$2:$E$2604,""))</f>
        <v/>
      </c>
      <c r="H1688" s="44" t="str">
        <f t="array" ref="H1688">IF(B1688="","",_xlfn.XLOOKUP(B1688,'Form responses 1'!$B$2:$B$2604,'Form responses 1'!$F$2:$F$2604,""))</f>
        <v/>
      </c>
      <c r="I1688" s="44" t="str">
        <f t="array" ref="I1688">IF(B1688="","",_xlfn.XLOOKUP(B1688,'Form responses 1'!$B$2:$B$2604,'Form responses 1'!$I$2:$I$2604,""))</f>
        <v/>
      </c>
      <c r="J1688" s="44" t="str">
        <f t="array" ref="J1688">IF(B1688="","",_xlfn.XLOOKUP(B1688,'Form responses 1'!$B$2:$B$2604,'Form responses 1'!$G$2:$G$2604,""))</f>
        <v/>
      </c>
      <c r="K1688" s="56"/>
      <c r="L1688" s="58" t="str">
        <f t="shared" si="7"/>
        <v/>
      </c>
      <c r="M1688" s="49"/>
      <c r="N1688" s="49"/>
      <c r="O1688" s="49"/>
      <c r="P1688" s="49"/>
      <c r="Q1688" s="49"/>
      <c r="R1688" s="49"/>
      <c r="S1688" s="49"/>
      <c r="T1688" s="49"/>
      <c r="U1688" s="49"/>
      <c r="V1688" s="49"/>
      <c r="W1688" s="56"/>
      <c r="X1688" s="51" t="str">
        <f t="shared" si="5"/>
        <v/>
      </c>
      <c r="Y1688" s="50" t="s">
        <v>482</v>
      </c>
      <c r="Z1688" s="49">
        <f t="shared" si="6"/>
        <v>0</v>
      </c>
    </row>
    <row r="1689" ht="22.5" customHeight="1">
      <c r="B1689" s="57"/>
      <c r="C1689" s="43" t="str">
        <f t="array" ref="C1689">IF(B1689="","",_xlfn.XLOOKUP(B1689,'Form responses 1'!$B$2:$B$2604,'Form responses 1'!$A$2:$A$2604,""))</f>
        <v/>
      </c>
      <c r="D1689" s="44" t="str">
        <f t="shared" si="3"/>
        <v/>
      </c>
      <c r="E1689" s="44" t="str">
        <f t="array" ref="E1689">IF(B1689="","",_xlfn.XLOOKUP(B1689,'Form responses 1'!$B$2:$B$2604,'Form responses 1'!$C$2:$C$2604,""))</f>
        <v/>
      </c>
      <c r="F1689" s="44" t="str">
        <f t="array" ref="F1689">IF(B1689="","",_xlfn.XLOOKUP(B1689,'Form responses 1'!$B$2:$B$2604,'Form responses 1'!$D$2:$D$2604,""))</f>
        <v/>
      </c>
      <c r="G1689" s="44" t="str">
        <f t="array" ref="G1689">IF(B1689="","",_xlfn.XLOOKUP(B1689,'Form responses 1'!$B$2:$B$2604,'Form responses 1'!$E$2:$E$2604,""))</f>
        <v/>
      </c>
      <c r="H1689" s="44" t="str">
        <f t="array" ref="H1689">IF(B1689="","",_xlfn.XLOOKUP(B1689,'Form responses 1'!$B$2:$B$2604,'Form responses 1'!$F$2:$F$2604,""))</f>
        <v/>
      </c>
      <c r="I1689" s="44" t="str">
        <f t="array" ref="I1689">IF(B1689="","",_xlfn.XLOOKUP(B1689,'Form responses 1'!$B$2:$B$2604,'Form responses 1'!$I$2:$I$2604,""))</f>
        <v/>
      </c>
      <c r="J1689" s="44" t="str">
        <f t="array" ref="J1689">IF(B1689="","",_xlfn.XLOOKUP(B1689,'Form responses 1'!$B$2:$B$2604,'Form responses 1'!$G$2:$G$2604,""))</f>
        <v/>
      </c>
      <c r="K1689" s="56"/>
      <c r="L1689" s="58" t="str">
        <f t="shared" si="7"/>
        <v/>
      </c>
      <c r="M1689" s="49"/>
      <c r="N1689" s="49"/>
      <c r="O1689" s="49"/>
      <c r="P1689" s="49"/>
      <c r="Q1689" s="49"/>
      <c r="R1689" s="49"/>
      <c r="S1689" s="49"/>
      <c r="T1689" s="49"/>
      <c r="U1689" s="49"/>
      <c r="V1689" s="49"/>
      <c r="W1689" s="56"/>
      <c r="X1689" s="51" t="str">
        <f t="shared" si="5"/>
        <v/>
      </c>
      <c r="Y1689" s="50" t="s">
        <v>482</v>
      </c>
      <c r="Z1689" s="49">
        <f t="shared" si="6"/>
        <v>0</v>
      </c>
    </row>
    <row r="1690" ht="22.5" customHeight="1">
      <c r="B1690" s="57"/>
      <c r="C1690" s="43" t="str">
        <f t="array" ref="C1690">IF(B1690="","",_xlfn.XLOOKUP(B1690,'Form responses 1'!$B$2:$B$2604,'Form responses 1'!$A$2:$A$2604,""))</f>
        <v/>
      </c>
      <c r="D1690" s="44" t="str">
        <f t="shared" si="3"/>
        <v/>
      </c>
      <c r="E1690" s="44" t="str">
        <f t="array" ref="E1690">IF(B1690="","",_xlfn.XLOOKUP(B1690,'Form responses 1'!$B$2:$B$2604,'Form responses 1'!$C$2:$C$2604,""))</f>
        <v/>
      </c>
      <c r="F1690" s="44" t="str">
        <f t="array" ref="F1690">IF(B1690="","",_xlfn.XLOOKUP(B1690,'Form responses 1'!$B$2:$B$2604,'Form responses 1'!$D$2:$D$2604,""))</f>
        <v/>
      </c>
      <c r="G1690" s="44" t="str">
        <f t="array" ref="G1690">IF(B1690="","",_xlfn.XLOOKUP(B1690,'Form responses 1'!$B$2:$B$2604,'Form responses 1'!$E$2:$E$2604,""))</f>
        <v/>
      </c>
      <c r="H1690" s="44" t="str">
        <f t="array" ref="H1690">IF(B1690="","",_xlfn.XLOOKUP(B1690,'Form responses 1'!$B$2:$B$2604,'Form responses 1'!$F$2:$F$2604,""))</f>
        <v/>
      </c>
      <c r="I1690" s="44" t="str">
        <f t="array" ref="I1690">IF(B1690="","",_xlfn.XLOOKUP(B1690,'Form responses 1'!$B$2:$B$2604,'Form responses 1'!$I$2:$I$2604,""))</f>
        <v/>
      </c>
      <c r="J1690" s="44" t="str">
        <f t="array" ref="J1690">IF(B1690="","",_xlfn.XLOOKUP(B1690,'Form responses 1'!$B$2:$B$2604,'Form responses 1'!$G$2:$G$2604,""))</f>
        <v/>
      </c>
      <c r="K1690" s="56"/>
      <c r="L1690" s="58" t="str">
        <f t="shared" si="7"/>
        <v/>
      </c>
      <c r="M1690" s="49"/>
      <c r="N1690" s="49"/>
      <c r="O1690" s="49"/>
      <c r="P1690" s="49"/>
      <c r="Q1690" s="49"/>
      <c r="R1690" s="49"/>
      <c r="S1690" s="49"/>
      <c r="T1690" s="49"/>
      <c r="U1690" s="49"/>
      <c r="V1690" s="49"/>
      <c r="W1690" s="56"/>
      <c r="X1690" s="51" t="str">
        <f t="shared" si="5"/>
        <v/>
      </c>
      <c r="Y1690" s="50" t="s">
        <v>482</v>
      </c>
      <c r="Z1690" s="49">
        <f t="shared" si="6"/>
        <v>0</v>
      </c>
    </row>
    <row r="1691" ht="22.5" customHeight="1">
      <c r="B1691" s="57"/>
      <c r="C1691" s="43" t="str">
        <f t="array" ref="C1691">IF(B1691="","",_xlfn.XLOOKUP(B1691,'Form responses 1'!$B$2:$B$2604,'Form responses 1'!$A$2:$A$2604,""))</f>
        <v/>
      </c>
      <c r="D1691" s="44" t="str">
        <f t="shared" si="3"/>
        <v/>
      </c>
      <c r="E1691" s="44" t="str">
        <f t="array" ref="E1691">IF(B1691="","",_xlfn.XLOOKUP(B1691,'Form responses 1'!$B$2:$B$2604,'Form responses 1'!$C$2:$C$2604,""))</f>
        <v/>
      </c>
      <c r="F1691" s="44" t="str">
        <f t="array" ref="F1691">IF(B1691="","",_xlfn.XLOOKUP(B1691,'Form responses 1'!$B$2:$B$2604,'Form responses 1'!$D$2:$D$2604,""))</f>
        <v/>
      </c>
      <c r="G1691" s="44" t="str">
        <f t="array" ref="G1691">IF(B1691="","",_xlfn.XLOOKUP(B1691,'Form responses 1'!$B$2:$B$2604,'Form responses 1'!$E$2:$E$2604,""))</f>
        <v/>
      </c>
      <c r="H1691" s="44" t="str">
        <f t="array" ref="H1691">IF(B1691="","",_xlfn.XLOOKUP(B1691,'Form responses 1'!$B$2:$B$2604,'Form responses 1'!$F$2:$F$2604,""))</f>
        <v/>
      </c>
      <c r="I1691" s="44" t="str">
        <f t="array" ref="I1691">IF(B1691="","",_xlfn.XLOOKUP(B1691,'Form responses 1'!$B$2:$B$2604,'Form responses 1'!$I$2:$I$2604,""))</f>
        <v/>
      </c>
      <c r="J1691" s="44" t="str">
        <f t="array" ref="J1691">IF(B1691="","",_xlfn.XLOOKUP(B1691,'Form responses 1'!$B$2:$B$2604,'Form responses 1'!$G$2:$G$2604,""))</f>
        <v/>
      </c>
      <c r="K1691" s="56"/>
      <c r="L1691" s="58" t="str">
        <f t="shared" si="7"/>
        <v/>
      </c>
      <c r="M1691" s="49"/>
      <c r="N1691" s="49"/>
      <c r="O1691" s="49"/>
      <c r="P1691" s="49"/>
      <c r="Q1691" s="49"/>
      <c r="R1691" s="49"/>
      <c r="S1691" s="49"/>
      <c r="T1691" s="49"/>
      <c r="U1691" s="49"/>
      <c r="V1691" s="49"/>
      <c r="W1691" s="56"/>
      <c r="X1691" s="51" t="str">
        <f t="shared" si="5"/>
        <v/>
      </c>
      <c r="Y1691" s="50" t="s">
        <v>482</v>
      </c>
      <c r="Z1691" s="49">
        <f t="shared" si="6"/>
        <v>0</v>
      </c>
    </row>
    <row r="1692" ht="22.5" customHeight="1">
      <c r="B1692" s="57"/>
      <c r="C1692" s="43" t="str">
        <f t="array" ref="C1692">IF(B1692="","",_xlfn.XLOOKUP(B1692,'Form responses 1'!$B$2:$B$2604,'Form responses 1'!$A$2:$A$2604,""))</f>
        <v/>
      </c>
      <c r="D1692" s="44" t="str">
        <f t="shared" si="3"/>
        <v/>
      </c>
      <c r="E1692" s="44" t="str">
        <f t="array" ref="E1692">IF(B1692="","",_xlfn.XLOOKUP(B1692,'Form responses 1'!$B$2:$B$2604,'Form responses 1'!$C$2:$C$2604,""))</f>
        <v/>
      </c>
      <c r="F1692" s="44" t="str">
        <f t="array" ref="F1692">IF(B1692="","",_xlfn.XLOOKUP(B1692,'Form responses 1'!$B$2:$B$2604,'Form responses 1'!$D$2:$D$2604,""))</f>
        <v/>
      </c>
      <c r="G1692" s="44" t="str">
        <f t="array" ref="G1692">IF(B1692="","",_xlfn.XLOOKUP(B1692,'Form responses 1'!$B$2:$B$2604,'Form responses 1'!$E$2:$E$2604,""))</f>
        <v/>
      </c>
      <c r="H1692" s="44" t="str">
        <f t="array" ref="H1692">IF(B1692="","",_xlfn.XLOOKUP(B1692,'Form responses 1'!$B$2:$B$2604,'Form responses 1'!$F$2:$F$2604,""))</f>
        <v/>
      </c>
      <c r="I1692" s="44" t="str">
        <f t="array" ref="I1692">IF(B1692="","",_xlfn.XLOOKUP(B1692,'Form responses 1'!$B$2:$B$2604,'Form responses 1'!$I$2:$I$2604,""))</f>
        <v/>
      </c>
      <c r="J1692" s="44" t="str">
        <f t="array" ref="J1692">IF(B1692="","",_xlfn.XLOOKUP(B1692,'Form responses 1'!$B$2:$B$2604,'Form responses 1'!$G$2:$G$2604,""))</f>
        <v/>
      </c>
      <c r="K1692" s="56"/>
      <c r="L1692" s="58" t="str">
        <f t="shared" si="7"/>
        <v/>
      </c>
      <c r="M1692" s="49"/>
      <c r="N1692" s="49"/>
      <c r="O1692" s="49"/>
      <c r="P1692" s="49"/>
      <c r="Q1692" s="49"/>
      <c r="R1692" s="49"/>
      <c r="S1692" s="49"/>
      <c r="T1692" s="49"/>
      <c r="U1692" s="49"/>
      <c r="V1692" s="49"/>
      <c r="W1692" s="56"/>
      <c r="X1692" s="51" t="str">
        <f t="shared" si="5"/>
        <v/>
      </c>
      <c r="Y1692" s="50" t="s">
        <v>482</v>
      </c>
      <c r="Z1692" s="49">
        <f t="shared" si="6"/>
        <v>0</v>
      </c>
    </row>
    <row r="1693" ht="22.5" customHeight="1">
      <c r="B1693" s="57"/>
      <c r="C1693" s="43" t="str">
        <f t="array" ref="C1693">IF(B1693="","",_xlfn.XLOOKUP(B1693,'Form responses 1'!$B$2:$B$2604,'Form responses 1'!$A$2:$A$2604,""))</f>
        <v/>
      </c>
      <c r="D1693" s="44" t="str">
        <f t="shared" si="3"/>
        <v/>
      </c>
      <c r="E1693" s="44" t="str">
        <f t="array" ref="E1693">IF(B1693="","",_xlfn.XLOOKUP(B1693,'Form responses 1'!$B$2:$B$2604,'Form responses 1'!$C$2:$C$2604,""))</f>
        <v/>
      </c>
      <c r="F1693" s="44" t="str">
        <f t="array" ref="F1693">IF(B1693="","",_xlfn.XLOOKUP(B1693,'Form responses 1'!$B$2:$B$2604,'Form responses 1'!$D$2:$D$2604,""))</f>
        <v/>
      </c>
      <c r="G1693" s="44" t="str">
        <f t="array" ref="G1693">IF(B1693="","",_xlfn.XLOOKUP(B1693,'Form responses 1'!$B$2:$B$2604,'Form responses 1'!$E$2:$E$2604,""))</f>
        <v/>
      </c>
      <c r="H1693" s="44" t="str">
        <f t="array" ref="H1693">IF(B1693="","",_xlfn.XLOOKUP(B1693,'Form responses 1'!$B$2:$B$2604,'Form responses 1'!$F$2:$F$2604,""))</f>
        <v/>
      </c>
      <c r="I1693" s="44" t="str">
        <f t="array" ref="I1693">IF(B1693="","",_xlfn.XLOOKUP(B1693,'Form responses 1'!$B$2:$B$2604,'Form responses 1'!$I$2:$I$2604,""))</f>
        <v/>
      </c>
      <c r="J1693" s="44" t="str">
        <f t="array" ref="J1693">IF(B1693="","",_xlfn.XLOOKUP(B1693,'Form responses 1'!$B$2:$B$2604,'Form responses 1'!$G$2:$G$2604,""))</f>
        <v/>
      </c>
      <c r="K1693" s="56"/>
      <c r="L1693" s="58" t="str">
        <f t="shared" si="7"/>
        <v/>
      </c>
      <c r="M1693" s="49"/>
      <c r="N1693" s="49"/>
      <c r="O1693" s="49"/>
      <c r="P1693" s="49"/>
      <c r="Q1693" s="49"/>
      <c r="R1693" s="49"/>
      <c r="S1693" s="49"/>
      <c r="T1693" s="49"/>
      <c r="U1693" s="49"/>
      <c r="V1693" s="49"/>
      <c r="W1693" s="56"/>
      <c r="X1693" s="51" t="str">
        <f t="shared" si="5"/>
        <v/>
      </c>
      <c r="Y1693" s="50" t="s">
        <v>482</v>
      </c>
      <c r="Z1693" s="49">
        <f t="shared" si="6"/>
        <v>0</v>
      </c>
    </row>
    <row r="1694" ht="22.5" customHeight="1">
      <c r="B1694" s="57"/>
      <c r="C1694" s="43" t="str">
        <f t="array" ref="C1694">IF(B1694="","",_xlfn.XLOOKUP(B1694,'Form responses 1'!$B$2:$B$2604,'Form responses 1'!$A$2:$A$2604,""))</f>
        <v/>
      </c>
      <c r="D1694" s="44" t="str">
        <f t="shared" si="3"/>
        <v/>
      </c>
      <c r="E1694" s="44" t="str">
        <f t="array" ref="E1694">IF(B1694="","",_xlfn.XLOOKUP(B1694,'Form responses 1'!$B$2:$B$2604,'Form responses 1'!$C$2:$C$2604,""))</f>
        <v/>
      </c>
      <c r="F1694" s="44" t="str">
        <f t="array" ref="F1694">IF(B1694="","",_xlfn.XLOOKUP(B1694,'Form responses 1'!$B$2:$B$2604,'Form responses 1'!$D$2:$D$2604,""))</f>
        <v/>
      </c>
      <c r="G1694" s="44" t="str">
        <f t="array" ref="G1694">IF(B1694="","",_xlfn.XLOOKUP(B1694,'Form responses 1'!$B$2:$B$2604,'Form responses 1'!$E$2:$E$2604,""))</f>
        <v/>
      </c>
      <c r="H1694" s="44" t="str">
        <f t="array" ref="H1694">IF(B1694="","",_xlfn.XLOOKUP(B1694,'Form responses 1'!$B$2:$B$2604,'Form responses 1'!$F$2:$F$2604,""))</f>
        <v/>
      </c>
      <c r="I1694" s="44" t="str">
        <f t="array" ref="I1694">IF(B1694="","",_xlfn.XLOOKUP(B1694,'Form responses 1'!$B$2:$B$2604,'Form responses 1'!$I$2:$I$2604,""))</f>
        <v/>
      </c>
      <c r="J1694" s="44" t="str">
        <f t="array" ref="J1694">IF(B1694="","",_xlfn.XLOOKUP(B1694,'Form responses 1'!$B$2:$B$2604,'Form responses 1'!$G$2:$G$2604,""))</f>
        <v/>
      </c>
      <c r="K1694" s="56"/>
      <c r="L1694" s="58" t="str">
        <f t="shared" si="7"/>
        <v/>
      </c>
      <c r="M1694" s="49"/>
      <c r="N1694" s="49"/>
      <c r="O1694" s="49"/>
      <c r="P1694" s="49"/>
      <c r="Q1694" s="49"/>
      <c r="R1694" s="49"/>
      <c r="S1694" s="49"/>
      <c r="T1694" s="49"/>
      <c r="U1694" s="49"/>
      <c r="V1694" s="49"/>
      <c r="W1694" s="56"/>
      <c r="X1694" s="51" t="str">
        <f t="shared" si="5"/>
        <v/>
      </c>
      <c r="Y1694" s="50" t="s">
        <v>482</v>
      </c>
      <c r="Z1694" s="49">
        <f t="shared" si="6"/>
        <v>0</v>
      </c>
    </row>
    <row r="1695" ht="22.5" customHeight="1">
      <c r="B1695" s="57"/>
      <c r="C1695" s="43" t="str">
        <f t="array" ref="C1695">IF(B1695="","",_xlfn.XLOOKUP(B1695,'Form responses 1'!$B$2:$B$2604,'Form responses 1'!$A$2:$A$2604,""))</f>
        <v/>
      </c>
      <c r="D1695" s="44" t="str">
        <f t="shared" si="3"/>
        <v/>
      </c>
      <c r="E1695" s="44" t="str">
        <f t="array" ref="E1695">IF(B1695="","",_xlfn.XLOOKUP(B1695,'Form responses 1'!$B$2:$B$2604,'Form responses 1'!$C$2:$C$2604,""))</f>
        <v/>
      </c>
      <c r="F1695" s="44" t="str">
        <f t="array" ref="F1695">IF(B1695="","",_xlfn.XLOOKUP(B1695,'Form responses 1'!$B$2:$B$2604,'Form responses 1'!$D$2:$D$2604,""))</f>
        <v/>
      </c>
      <c r="G1695" s="44" t="str">
        <f t="array" ref="G1695">IF(B1695="","",_xlfn.XLOOKUP(B1695,'Form responses 1'!$B$2:$B$2604,'Form responses 1'!$E$2:$E$2604,""))</f>
        <v/>
      </c>
      <c r="H1695" s="44" t="str">
        <f t="array" ref="H1695">IF(B1695="","",_xlfn.XLOOKUP(B1695,'Form responses 1'!$B$2:$B$2604,'Form responses 1'!$F$2:$F$2604,""))</f>
        <v/>
      </c>
      <c r="I1695" s="44" t="str">
        <f t="array" ref="I1695">IF(B1695="","",_xlfn.XLOOKUP(B1695,'Form responses 1'!$B$2:$B$2604,'Form responses 1'!$I$2:$I$2604,""))</f>
        <v/>
      </c>
      <c r="J1695" s="44" t="str">
        <f t="array" ref="J1695">IF(B1695="","",_xlfn.XLOOKUP(B1695,'Form responses 1'!$B$2:$B$2604,'Form responses 1'!$G$2:$G$2604,""))</f>
        <v/>
      </c>
      <c r="K1695" s="56"/>
      <c r="L1695" s="58" t="str">
        <f t="shared" si="7"/>
        <v/>
      </c>
      <c r="M1695" s="49"/>
      <c r="N1695" s="49"/>
      <c r="O1695" s="49"/>
      <c r="P1695" s="49"/>
      <c r="Q1695" s="49"/>
      <c r="R1695" s="49"/>
      <c r="S1695" s="49"/>
      <c r="T1695" s="49"/>
      <c r="U1695" s="49"/>
      <c r="V1695" s="49"/>
      <c r="W1695" s="56"/>
      <c r="X1695" s="51" t="str">
        <f t="shared" si="5"/>
        <v/>
      </c>
      <c r="Y1695" s="50" t="s">
        <v>482</v>
      </c>
      <c r="Z1695" s="49">
        <f t="shared" si="6"/>
        <v>0</v>
      </c>
    </row>
    <row r="1696" ht="22.5" customHeight="1">
      <c r="B1696" s="57"/>
      <c r="C1696" s="43" t="str">
        <f t="array" ref="C1696">IF(B1696="","",_xlfn.XLOOKUP(B1696,'Form responses 1'!$B$2:$B$2604,'Form responses 1'!$A$2:$A$2604,""))</f>
        <v/>
      </c>
      <c r="D1696" s="44" t="str">
        <f t="shared" si="3"/>
        <v/>
      </c>
      <c r="E1696" s="44" t="str">
        <f t="array" ref="E1696">IF(B1696="","",_xlfn.XLOOKUP(B1696,'Form responses 1'!$B$2:$B$2604,'Form responses 1'!$C$2:$C$2604,""))</f>
        <v/>
      </c>
      <c r="F1696" s="44" t="str">
        <f t="array" ref="F1696">IF(B1696="","",_xlfn.XLOOKUP(B1696,'Form responses 1'!$B$2:$B$2604,'Form responses 1'!$D$2:$D$2604,""))</f>
        <v/>
      </c>
      <c r="G1696" s="44" t="str">
        <f t="array" ref="G1696">IF(B1696="","",_xlfn.XLOOKUP(B1696,'Form responses 1'!$B$2:$B$2604,'Form responses 1'!$E$2:$E$2604,""))</f>
        <v/>
      </c>
      <c r="H1696" s="44" t="str">
        <f t="array" ref="H1696">IF(B1696="","",_xlfn.XLOOKUP(B1696,'Form responses 1'!$B$2:$B$2604,'Form responses 1'!$F$2:$F$2604,""))</f>
        <v/>
      </c>
      <c r="I1696" s="44" t="str">
        <f t="array" ref="I1696">IF(B1696="","",_xlfn.XLOOKUP(B1696,'Form responses 1'!$B$2:$B$2604,'Form responses 1'!$I$2:$I$2604,""))</f>
        <v/>
      </c>
      <c r="J1696" s="44" t="str">
        <f t="array" ref="J1696">IF(B1696="","",_xlfn.XLOOKUP(B1696,'Form responses 1'!$B$2:$B$2604,'Form responses 1'!$G$2:$G$2604,""))</f>
        <v/>
      </c>
      <c r="K1696" s="56"/>
      <c r="L1696" s="58" t="str">
        <f t="shared" si="7"/>
        <v/>
      </c>
      <c r="M1696" s="49"/>
      <c r="N1696" s="49"/>
      <c r="O1696" s="49"/>
      <c r="P1696" s="49"/>
      <c r="Q1696" s="49"/>
      <c r="R1696" s="49"/>
      <c r="S1696" s="49"/>
      <c r="T1696" s="49"/>
      <c r="U1696" s="49"/>
      <c r="V1696" s="49"/>
      <c r="W1696" s="56"/>
      <c r="X1696" s="51" t="str">
        <f t="shared" si="5"/>
        <v/>
      </c>
      <c r="Y1696" s="50" t="s">
        <v>482</v>
      </c>
      <c r="Z1696" s="49">
        <f t="shared" si="6"/>
        <v>0</v>
      </c>
    </row>
    <row r="1697" ht="22.5" customHeight="1">
      <c r="B1697" s="57"/>
      <c r="C1697" s="43" t="str">
        <f t="array" ref="C1697">IF(B1697="","",_xlfn.XLOOKUP(B1697,'Form responses 1'!$B$2:$B$2604,'Form responses 1'!$A$2:$A$2604,""))</f>
        <v/>
      </c>
      <c r="D1697" s="44" t="str">
        <f t="shared" si="3"/>
        <v/>
      </c>
      <c r="E1697" s="44" t="str">
        <f t="array" ref="E1697">IF(B1697="","",_xlfn.XLOOKUP(B1697,'Form responses 1'!$B$2:$B$2604,'Form responses 1'!$C$2:$C$2604,""))</f>
        <v/>
      </c>
      <c r="F1697" s="44" t="str">
        <f t="array" ref="F1697">IF(B1697="","",_xlfn.XLOOKUP(B1697,'Form responses 1'!$B$2:$B$2604,'Form responses 1'!$D$2:$D$2604,""))</f>
        <v/>
      </c>
      <c r="G1697" s="44" t="str">
        <f t="array" ref="G1697">IF(B1697="","",_xlfn.XLOOKUP(B1697,'Form responses 1'!$B$2:$B$2604,'Form responses 1'!$E$2:$E$2604,""))</f>
        <v/>
      </c>
      <c r="H1697" s="44" t="str">
        <f t="array" ref="H1697">IF(B1697="","",_xlfn.XLOOKUP(B1697,'Form responses 1'!$B$2:$B$2604,'Form responses 1'!$F$2:$F$2604,""))</f>
        <v/>
      </c>
      <c r="I1697" s="44" t="str">
        <f t="array" ref="I1697">IF(B1697="","",_xlfn.XLOOKUP(B1697,'Form responses 1'!$B$2:$B$2604,'Form responses 1'!$I$2:$I$2604,""))</f>
        <v/>
      </c>
      <c r="J1697" s="44" t="str">
        <f t="array" ref="J1697">IF(B1697="","",_xlfn.XLOOKUP(B1697,'Form responses 1'!$B$2:$B$2604,'Form responses 1'!$G$2:$G$2604,""))</f>
        <v/>
      </c>
      <c r="K1697" s="56"/>
      <c r="L1697" s="58" t="str">
        <f t="shared" si="7"/>
        <v/>
      </c>
      <c r="M1697" s="49"/>
      <c r="N1697" s="49"/>
      <c r="O1697" s="49"/>
      <c r="P1697" s="49"/>
      <c r="Q1697" s="49"/>
      <c r="R1697" s="49"/>
      <c r="S1697" s="49"/>
      <c r="T1697" s="49"/>
      <c r="U1697" s="49"/>
      <c r="V1697" s="49"/>
      <c r="W1697" s="56"/>
      <c r="X1697" s="51" t="str">
        <f t="shared" si="5"/>
        <v/>
      </c>
      <c r="Y1697" s="50" t="s">
        <v>482</v>
      </c>
      <c r="Z1697" s="49">
        <f t="shared" si="6"/>
        <v>0</v>
      </c>
    </row>
    <row r="1698" ht="22.5" customHeight="1">
      <c r="B1698" s="57"/>
      <c r="C1698" s="43" t="str">
        <f t="array" ref="C1698">IF(B1698="","",_xlfn.XLOOKUP(B1698,'Form responses 1'!$B$2:$B$2604,'Form responses 1'!$A$2:$A$2604,""))</f>
        <v/>
      </c>
      <c r="D1698" s="44" t="str">
        <f t="shared" si="3"/>
        <v/>
      </c>
      <c r="E1698" s="44" t="str">
        <f t="array" ref="E1698">IF(B1698="","",_xlfn.XLOOKUP(B1698,'Form responses 1'!$B$2:$B$2604,'Form responses 1'!$C$2:$C$2604,""))</f>
        <v/>
      </c>
      <c r="F1698" s="44" t="str">
        <f t="array" ref="F1698">IF(B1698="","",_xlfn.XLOOKUP(B1698,'Form responses 1'!$B$2:$B$2604,'Form responses 1'!$D$2:$D$2604,""))</f>
        <v/>
      </c>
      <c r="G1698" s="44" t="str">
        <f t="array" ref="G1698">IF(B1698="","",_xlfn.XLOOKUP(B1698,'Form responses 1'!$B$2:$B$2604,'Form responses 1'!$E$2:$E$2604,""))</f>
        <v/>
      </c>
      <c r="H1698" s="44" t="str">
        <f t="array" ref="H1698">IF(B1698="","",_xlfn.XLOOKUP(B1698,'Form responses 1'!$B$2:$B$2604,'Form responses 1'!$F$2:$F$2604,""))</f>
        <v/>
      </c>
      <c r="I1698" s="44" t="str">
        <f t="array" ref="I1698">IF(B1698="","",_xlfn.XLOOKUP(B1698,'Form responses 1'!$B$2:$B$2604,'Form responses 1'!$I$2:$I$2604,""))</f>
        <v/>
      </c>
      <c r="J1698" s="44" t="str">
        <f t="array" ref="J1698">IF(B1698="","",_xlfn.XLOOKUP(B1698,'Form responses 1'!$B$2:$B$2604,'Form responses 1'!$G$2:$G$2604,""))</f>
        <v/>
      </c>
      <c r="K1698" s="56"/>
      <c r="L1698" s="58" t="str">
        <f t="shared" si="7"/>
        <v/>
      </c>
      <c r="M1698" s="49"/>
      <c r="N1698" s="49"/>
      <c r="O1698" s="49"/>
      <c r="P1698" s="49"/>
      <c r="Q1698" s="49"/>
      <c r="R1698" s="49"/>
      <c r="S1698" s="49"/>
      <c r="T1698" s="49"/>
      <c r="U1698" s="49"/>
      <c r="V1698" s="49"/>
      <c r="W1698" s="56"/>
      <c r="X1698" s="51" t="str">
        <f t="shared" si="5"/>
        <v/>
      </c>
      <c r="Y1698" s="50" t="s">
        <v>482</v>
      </c>
      <c r="Z1698" s="49">
        <f t="shared" si="6"/>
        <v>0</v>
      </c>
    </row>
    <row r="1699" ht="22.5" customHeight="1">
      <c r="B1699" s="57"/>
      <c r="C1699" s="43" t="str">
        <f t="array" ref="C1699">IF(B1699="","",_xlfn.XLOOKUP(B1699,'Form responses 1'!$B$2:$B$2604,'Form responses 1'!$A$2:$A$2604,""))</f>
        <v/>
      </c>
      <c r="D1699" s="44" t="str">
        <f t="shared" si="3"/>
        <v/>
      </c>
      <c r="E1699" s="44" t="str">
        <f t="array" ref="E1699">IF(B1699="","",_xlfn.XLOOKUP(B1699,'Form responses 1'!$B$2:$B$2604,'Form responses 1'!$C$2:$C$2604,""))</f>
        <v/>
      </c>
      <c r="F1699" s="44" t="str">
        <f t="array" ref="F1699">IF(B1699="","",_xlfn.XLOOKUP(B1699,'Form responses 1'!$B$2:$B$2604,'Form responses 1'!$D$2:$D$2604,""))</f>
        <v/>
      </c>
      <c r="G1699" s="44" t="str">
        <f t="array" ref="G1699">IF(B1699="","",_xlfn.XLOOKUP(B1699,'Form responses 1'!$B$2:$B$2604,'Form responses 1'!$E$2:$E$2604,""))</f>
        <v/>
      </c>
      <c r="H1699" s="44" t="str">
        <f t="array" ref="H1699">IF(B1699="","",_xlfn.XLOOKUP(B1699,'Form responses 1'!$B$2:$B$2604,'Form responses 1'!$F$2:$F$2604,""))</f>
        <v/>
      </c>
      <c r="I1699" s="44" t="str">
        <f t="array" ref="I1699">IF(B1699="","",_xlfn.XLOOKUP(B1699,'Form responses 1'!$B$2:$B$2604,'Form responses 1'!$I$2:$I$2604,""))</f>
        <v/>
      </c>
      <c r="J1699" s="44" t="str">
        <f t="array" ref="J1699">IF(B1699="","",_xlfn.XLOOKUP(B1699,'Form responses 1'!$B$2:$B$2604,'Form responses 1'!$G$2:$G$2604,""))</f>
        <v/>
      </c>
      <c r="K1699" s="56"/>
      <c r="L1699" s="58" t="str">
        <f t="shared" si="7"/>
        <v/>
      </c>
      <c r="M1699" s="49"/>
      <c r="N1699" s="49"/>
      <c r="O1699" s="49"/>
      <c r="P1699" s="49"/>
      <c r="Q1699" s="49"/>
      <c r="R1699" s="49"/>
      <c r="S1699" s="49"/>
      <c r="T1699" s="49"/>
      <c r="U1699" s="49"/>
      <c r="V1699" s="49"/>
      <c r="W1699" s="56"/>
      <c r="X1699" s="51" t="str">
        <f t="shared" si="5"/>
        <v/>
      </c>
      <c r="Y1699" s="50" t="s">
        <v>482</v>
      </c>
      <c r="Z1699" s="49">
        <f t="shared" si="6"/>
        <v>0</v>
      </c>
    </row>
    <row r="1700" ht="22.5" customHeight="1">
      <c r="B1700" s="57"/>
      <c r="C1700" s="43" t="str">
        <f t="array" ref="C1700">IF(B1700="","",_xlfn.XLOOKUP(B1700,'Form responses 1'!$B$2:$B$2604,'Form responses 1'!$A$2:$A$2604,""))</f>
        <v/>
      </c>
      <c r="D1700" s="44" t="str">
        <f t="shared" si="3"/>
        <v/>
      </c>
      <c r="E1700" s="44" t="str">
        <f t="array" ref="E1700">IF(B1700="","",_xlfn.XLOOKUP(B1700,'Form responses 1'!$B$2:$B$2604,'Form responses 1'!$C$2:$C$2604,""))</f>
        <v/>
      </c>
      <c r="F1700" s="44" t="str">
        <f t="array" ref="F1700">IF(B1700="","",_xlfn.XLOOKUP(B1700,'Form responses 1'!$B$2:$B$2604,'Form responses 1'!$D$2:$D$2604,""))</f>
        <v/>
      </c>
      <c r="G1700" s="44" t="str">
        <f t="array" ref="G1700">IF(B1700="","",_xlfn.XLOOKUP(B1700,'Form responses 1'!$B$2:$B$2604,'Form responses 1'!$E$2:$E$2604,""))</f>
        <v/>
      </c>
      <c r="H1700" s="44" t="str">
        <f t="array" ref="H1700">IF(B1700="","",_xlfn.XLOOKUP(B1700,'Form responses 1'!$B$2:$B$2604,'Form responses 1'!$F$2:$F$2604,""))</f>
        <v/>
      </c>
      <c r="I1700" s="44" t="str">
        <f t="array" ref="I1700">IF(B1700="","",_xlfn.XLOOKUP(B1700,'Form responses 1'!$B$2:$B$2604,'Form responses 1'!$I$2:$I$2604,""))</f>
        <v/>
      </c>
      <c r="J1700" s="44" t="str">
        <f t="array" ref="J1700">IF(B1700="","",_xlfn.XLOOKUP(B1700,'Form responses 1'!$B$2:$B$2604,'Form responses 1'!$G$2:$G$2604,""))</f>
        <v/>
      </c>
      <c r="K1700" s="56"/>
      <c r="L1700" s="58" t="str">
        <f t="shared" si="7"/>
        <v/>
      </c>
      <c r="M1700" s="49"/>
      <c r="N1700" s="49"/>
      <c r="O1700" s="49"/>
      <c r="P1700" s="49"/>
      <c r="Q1700" s="49"/>
      <c r="R1700" s="49"/>
      <c r="S1700" s="49"/>
      <c r="T1700" s="49"/>
      <c r="U1700" s="49"/>
      <c r="V1700" s="49"/>
      <c r="W1700" s="56"/>
      <c r="X1700" s="51" t="str">
        <f t="shared" si="5"/>
        <v/>
      </c>
      <c r="Y1700" s="50" t="s">
        <v>482</v>
      </c>
      <c r="Z1700" s="49">
        <f t="shared" si="6"/>
        <v>0</v>
      </c>
    </row>
    <row r="1701" ht="22.5" customHeight="1">
      <c r="B1701" s="57"/>
      <c r="C1701" s="43" t="str">
        <f t="array" ref="C1701">IF(B1701="","",_xlfn.XLOOKUP(B1701,'Form responses 1'!$B$2:$B$2604,'Form responses 1'!$A$2:$A$2604,""))</f>
        <v/>
      </c>
      <c r="D1701" s="44" t="str">
        <f t="shared" si="3"/>
        <v/>
      </c>
      <c r="E1701" s="44" t="str">
        <f t="array" ref="E1701">IF(B1701="","",_xlfn.XLOOKUP(B1701,'Form responses 1'!$B$2:$B$2604,'Form responses 1'!$C$2:$C$2604,""))</f>
        <v/>
      </c>
      <c r="F1701" s="44" t="str">
        <f t="array" ref="F1701">IF(B1701="","",_xlfn.XLOOKUP(B1701,'Form responses 1'!$B$2:$B$2604,'Form responses 1'!$D$2:$D$2604,""))</f>
        <v/>
      </c>
      <c r="G1701" s="44" t="str">
        <f t="array" ref="G1701">IF(B1701="","",_xlfn.XLOOKUP(B1701,'Form responses 1'!$B$2:$B$2604,'Form responses 1'!$E$2:$E$2604,""))</f>
        <v/>
      </c>
      <c r="H1701" s="44" t="str">
        <f t="array" ref="H1701">IF(B1701="","",_xlfn.XLOOKUP(B1701,'Form responses 1'!$B$2:$B$2604,'Form responses 1'!$F$2:$F$2604,""))</f>
        <v/>
      </c>
      <c r="I1701" s="44" t="str">
        <f t="array" ref="I1701">IF(B1701="","",_xlfn.XLOOKUP(B1701,'Form responses 1'!$B$2:$B$2604,'Form responses 1'!$I$2:$I$2604,""))</f>
        <v/>
      </c>
      <c r="J1701" s="44" t="str">
        <f t="array" ref="J1701">IF(B1701="","",_xlfn.XLOOKUP(B1701,'Form responses 1'!$B$2:$B$2604,'Form responses 1'!$G$2:$G$2604,""))</f>
        <v/>
      </c>
      <c r="K1701" s="56"/>
      <c r="L1701" s="58" t="str">
        <f t="shared" si="7"/>
        <v/>
      </c>
      <c r="M1701" s="49"/>
      <c r="N1701" s="49"/>
      <c r="O1701" s="49"/>
      <c r="P1701" s="49"/>
      <c r="Q1701" s="49"/>
      <c r="R1701" s="49"/>
      <c r="S1701" s="49"/>
      <c r="T1701" s="49"/>
      <c r="U1701" s="49"/>
      <c r="V1701" s="49"/>
      <c r="W1701" s="56"/>
      <c r="X1701" s="51" t="str">
        <f t="shared" si="5"/>
        <v/>
      </c>
      <c r="Y1701" s="50" t="s">
        <v>482</v>
      </c>
      <c r="Z1701" s="49">
        <f t="shared" si="6"/>
        <v>0</v>
      </c>
    </row>
    <row r="1702" ht="22.5" customHeight="1">
      <c r="B1702" s="57"/>
      <c r="C1702" s="43" t="str">
        <f t="array" ref="C1702">IF(B1702="","",_xlfn.XLOOKUP(B1702,'Form responses 1'!$B$2:$B$2604,'Form responses 1'!$A$2:$A$2604,""))</f>
        <v/>
      </c>
      <c r="D1702" s="44" t="str">
        <f t="shared" si="3"/>
        <v/>
      </c>
      <c r="E1702" s="44" t="str">
        <f t="array" ref="E1702">IF(B1702="","",_xlfn.XLOOKUP(B1702,'Form responses 1'!$B$2:$B$2604,'Form responses 1'!$C$2:$C$2604,""))</f>
        <v/>
      </c>
      <c r="F1702" s="44" t="str">
        <f t="array" ref="F1702">IF(B1702="","",_xlfn.XLOOKUP(B1702,'Form responses 1'!$B$2:$B$2604,'Form responses 1'!$D$2:$D$2604,""))</f>
        <v/>
      </c>
      <c r="G1702" s="44" t="str">
        <f t="array" ref="G1702">IF(B1702="","",_xlfn.XLOOKUP(B1702,'Form responses 1'!$B$2:$B$2604,'Form responses 1'!$E$2:$E$2604,""))</f>
        <v/>
      </c>
      <c r="H1702" s="44" t="str">
        <f t="array" ref="H1702">IF(B1702="","",_xlfn.XLOOKUP(B1702,'Form responses 1'!$B$2:$B$2604,'Form responses 1'!$F$2:$F$2604,""))</f>
        <v/>
      </c>
      <c r="I1702" s="44" t="str">
        <f t="array" ref="I1702">IF(B1702="","",_xlfn.XLOOKUP(B1702,'Form responses 1'!$B$2:$B$2604,'Form responses 1'!$I$2:$I$2604,""))</f>
        <v/>
      </c>
      <c r="J1702" s="44" t="str">
        <f t="array" ref="J1702">IF(B1702="","",_xlfn.XLOOKUP(B1702,'Form responses 1'!$B$2:$B$2604,'Form responses 1'!$G$2:$G$2604,""))</f>
        <v/>
      </c>
      <c r="K1702" s="56"/>
      <c r="L1702" s="58" t="str">
        <f t="shared" si="7"/>
        <v/>
      </c>
      <c r="M1702" s="49"/>
      <c r="N1702" s="49"/>
      <c r="O1702" s="49"/>
      <c r="P1702" s="49"/>
      <c r="Q1702" s="49"/>
      <c r="R1702" s="49"/>
      <c r="S1702" s="49"/>
      <c r="T1702" s="49"/>
      <c r="U1702" s="49"/>
      <c r="V1702" s="49"/>
      <c r="W1702" s="56"/>
      <c r="X1702" s="51" t="str">
        <f t="shared" si="5"/>
        <v/>
      </c>
      <c r="Y1702" s="50" t="s">
        <v>482</v>
      </c>
      <c r="Z1702" s="49">
        <f t="shared" si="6"/>
        <v>0</v>
      </c>
    </row>
    <row r="1703" ht="22.5" customHeight="1">
      <c r="B1703" s="57"/>
      <c r="C1703" s="43" t="str">
        <f t="array" ref="C1703">IF(B1703="","",_xlfn.XLOOKUP(B1703,'Form responses 1'!$B$2:$B$2604,'Form responses 1'!$A$2:$A$2604,""))</f>
        <v/>
      </c>
      <c r="D1703" s="44" t="str">
        <f t="shared" si="3"/>
        <v/>
      </c>
      <c r="E1703" s="44" t="str">
        <f t="array" ref="E1703">IF(B1703="","",_xlfn.XLOOKUP(B1703,'Form responses 1'!$B$2:$B$2604,'Form responses 1'!$C$2:$C$2604,""))</f>
        <v/>
      </c>
      <c r="F1703" s="44" t="str">
        <f t="array" ref="F1703">IF(B1703="","",_xlfn.XLOOKUP(B1703,'Form responses 1'!$B$2:$B$2604,'Form responses 1'!$D$2:$D$2604,""))</f>
        <v/>
      </c>
      <c r="G1703" s="44" t="str">
        <f t="array" ref="G1703">IF(B1703="","",_xlfn.XLOOKUP(B1703,'Form responses 1'!$B$2:$B$2604,'Form responses 1'!$E$2:$E$2604,""))</f>
        <v/>
      </c>
      <c r="H1703" s="44" t="str">
        <f t="array" ref="H1703">IF(B1703="","",_xlfn.XLOOKUP(B1703,'Form responses 1'!$B$2:$B$2604,'Form responses 1'!$F$2:$F$2604,""))</f>
        <v/>
      </c>
      <c r="I1703" s="44" t="str">
        <f t="array" ref="I1703">IF(B1703="","",_xlfn.XLOOKUP(B1703,'Form responses 1'!$B$2:$B$2604,'Form responses 1'!$I$2:$I$2604,""))</f>
        <v/>
      </c>
      <c r="J1703" s="44" t="str">
        <f t="array" ref="J1703">IF(B1703="","",_xlfn.XLOOKUP(B1703,'Form responses 1'!$B$2:$B$2604,'Form responses 1'!$G$2:$G$2604,""))</f>
        <v/>
      </c>
      <c r="K1703" s="56"/>
      <c r="L1703" s="58" t="str">
        <f t="shared" si="7"/>
        <v/>
      </c>
      <c r="M1703" s="49"/>
      <c r="N1703" s="49"/>
      <c r="O1703" s="49"/>
      <c r="P1703" s="49"/>
      <c r="Q1703" s="49"/>
      <c r="R1703" s="49"/>
      <c r="S1703" s="49"/>
      <c r="T1703" s="49"/>
      <c r="U1703" s="49"/>
      <c r="V1703" s="49"/>
      <c r="W1703" s="56"/>
      <c r="X1703" s="51" t="str">
        <f t="shared" si="5"/>
        <v/>
      </c>
      <c r="Y1703" s="50" t="s">
        <v>482</v>
      </c>
      <c r="Z1703" s="49">
        <f t="shared" si="6"/>
        <v>0</v>
      </c>
    </row>
    <row r="1704" ht="22.5" customHeight="1">
      <c r="B1704" s="57"/>
      <c r="C1704" s="43" t="str">
        <f t="array" ref="C1704">IF(B1704="","",_xlfn.XLOOKUP(B1704,'Form responses 1'!$B$2:$B$2604,'Form responses 1'!$A$2:$A$2604,""))</f>
        <v/>
      </c>
      <c r="D1704" s="44" t="str">
        <f t="shared" si="3"/>
        <v/>
      </c>
      <c r="E1704" s="44" t="str">
        <f t="array" ref="E1704">IF(B1704="","",_xlfn.XLOOKUP(B1704,'Form responses 1'!$B$2:$B$2604,'Form responses 1'!$C$2:$C$2604,""))</f>
        <v/>
      </c>
      <c r="F1704" s="44" t="str">
        <f t="array" ref="F1704">IF(B1704="","",_xlfn.XLOOKUP(B1704,'Form responses 1'!$B$2:$B$2604,'Form responses 1'!$D$2:$D$2604,""))</f>
        <v/>
      </c>
      <c r="G1704" s="44" t="str">
        <f t="array" ref="G1704">IF(B1704="","",_xlfn.XLOOKUP(B1704,'Form responses 1'!$B$2:$B$2604,'Form responses 1'!$E$2:$E$2604,""))</f>
        <v/>
      </c>
      <c r="H1704" s="44" t="str">
        <f t="array" ref="H1704">IF(B1704="","",_xlfn.XLOOKUP(B1704,'Form responses 1'!$B$2:$B$2604,'Form responses 1'!$F$2:$F$2604,""))</f>
        <v/>
      </c>
      <c r="I1704" s="44" t="str">
        <f t="array" ref="I1704">IF(B1704="","",_xlfn.XLOOKUP(B1704,'Form responses 1'!$B$2:$B$2604,'Form responses 1'!$I$2:$I$2604,""))</f>
        <v/>
      </c>
      <c r="J1704" s="44" t="str">
        <f t="array" ref="J1704">IF(B1704="","",_xlfn.XLOOKUP(B1704,'Form responses 1'!$B$2:$B$2604,'Form responses 1'!$G$2:$G$2604,""))</f>
        <v/>
      </c>
      <c r="K1704" s="56"/>
      <c r="L1704" s="58" t="str">
        <f t="shared" si="7"/>
        <v/>
      </c>
      <c r="M1704" s="49"/>
      <c r="N1704" s="49"/>
      <c r="O1704" s="49"/>
      <c r="P1704" s="49"/>
      <c r="Q1704" s="49"/>
      <c r="R1704" s="49"/>
      <c r="S1704" s="49"/>
      <c r="T1704" s="49"/>
      <c r="U1704" s="49"/>
      <c r="V1704" s="49"/>
      <c r="W1704" s="56"/>
      <c r="X1704" s="51" t="str">
        <f t="shared" si="5"/>
        <v/>
      </c>
      <c r="Y1704" s="50" t="s">
        <v>482</v>
      </c>
      <c r="Z1704" s="49">
        <f t="shared" si="6"/>
        <v>0</v>
      </c>
    </row>
    <row r="1705" ht="22.5" customHeight="1">
      <c r="B1705" s="57"/>
      <c r="C1705" s="43" t="str">
        <f t="array" ref="C1705">IF(B1705="","",_xlfn.XLOOKUP(B1705,'Form responses 1'!$B$2:$B$2604,'Form responses 1'!$A$2:$A$2604,""))</f>
        <v/>
      </c>
      <c r="D1705" s="44" t="str">
        <f t="shared" si="3"/>
        <v/>
      </c>
      <c r="E1705" s="44" t="str">
        <f t="array" ref="E1705">IF(B1705="","",_xlfn.XLOOKUP(B1705,'Form responses 1'!$B$2:$B$2604,'Form responses 1'!$C$2:$C$2604,""))</f>
        <v/>
      </c>
      <c r="F1705" s="44" t="str">
        <f t="array" ref="F1705">IF(B1705="","",_xlfn.XLOOKUP(B1705,'Form responses 1'!$B$2:$B$2604,'Form responses 1'!$D$2:$D$2604,""))</f>
        <v/>
      </c>
      <c r="G1705" s="44" t="str">
        <f t="array" ref="G1705">IF(B1705="","",_xlfn.XLOOKUP(B1705,'Form responses 1'!$B$2:$B$2604,'Form responses 1'!$E$2:$E$2604,""))</f>
        <v/>
      </c>
      <c r="H1705" s="44" t="str">
        <f t="array" ref="H1705">IF(B1705="","",_xlfn.XLOOKUP(B1705,'Form responses 1'!$B$2:$B$2604,'Form responses 1'!$F$2:$F$2604,""))</f>
        <v/>
      </c>
      <c r="I1705" s="44" t="str">
        <f t="array" ref="I1705">IF(B1705="","",_xlfn.XLOOKUP(B1705,'Form responses 1'!$B$2:$B$2604,'Form responses 1'!$I$2:$I$2604,""))</f>
        <v/>
      </c>
      <c r="J1705" s="44" t="str">
        <f t="array" ref="J1705">IF(B1705="","",_xlfn.XLOOKUP(B1705,'Form responses 1'!$B$2:$B$2604,'Form responses 1'!$G$2:$G$2604,""))</f>
        <v/>
      </c>
      <c r="K1705" s="56"/>
      <c r="L1705" s="58" t="str">
        <f t="shared" si="7"/>
        <v/>
      </c>
      <c r="M1705" s="49"/>
      <c r="N1705" s="49"/>
      <c r="O1705" s="49"/>
      <c r="P1705" s="49"/>
      <c r="Q1705" s="49"/>
      <c r="R1705" s="49"/>
      <c r="S1705" s="49"/>
      <c r="T1705" s="49"/>
      <c r="U1705" s="49"/>
      <c r="V1705" s="49"/>
      <c r="W1705" s="56"/>
      <c r="X1705" s="51" t="str">
        <f t="shared" si="5"/>
        <v/>
      </c>
      <c r="Y1705" s="50" t="s">
        <v>482</v>
      </c>
      <c r="Z1705" s="49">
        <f t="shared" si="6"/>
        <v>0</v>
      </c>
    </row>
    <row r="1706" ht="22.5" customHeight="1">
      <c r="B1706" s="57"/>
      <c r="C1706" s="43" t="str">
        <f t="array" ref="C1706">IF(B1706="","",_xlfn.XLOOKUP(B1706,'Form responses 1'!$B$2:$B$2604,'Form responses 1'!$A$2:$A$2604,""))</f>
        <v/>
      </c>
      <c r="D1706" s="44" t="str">
        <f t="shared" si="3"/>
        <v/>
      </c>
      <c r="E1706" s="44" t="str">
        <f t="array" ref="E1706">IF(B1706="","",_xlfn.XLOOKUP(B1706,'Form responses 1'!$B$2:$B$2604,'Form responses 1'!$C$2:$C$2604,""))</f>
        <v/>
      </c>
      <c r="F1706" s="44" t="str">
        <f t="array" ref="F1706">IF(B1706="","",_xlfn.XLOOKUP(B1706,'Form responses 1'!$B$2:$B$2604,'Form responses 1'!$D$2:$D$2604,""))</f>
        <v/>
      </c>
      <c r="G1706" s="44" t="str">
        <f t="array" ref="G1706">IF(B1706="","",_xlfn.XLOOKUP(B1706,'Form responses 1'!$B$2:$B$2604,'Form responses 1'!$E$2:$E$2604,""))</f>
        <v/>
      </c>
      <c r="H1706" s="44" t="str">
        <f t="array" ref="H1706">IF(B1706="","",_xlfn.XLOOKUP(B1706,'Form responses 1'!$B$2:$B$2604,'Form responses 1'!$F$2:$F$2604,""))</f>
        <v/>
      </c>
      <c r="I1706" s="44" t="str">
        <f t="array" ref="I1706">IF(B1706="","",_xlfn.XLOOKUP(B1706,'Form responses 1'!$B$2:$B$2604,'Form responses 1'!$I$2:$I$2604,""))</f>
        <v/>
      </c>
      <c r="J1706" s="44" t="str">
        <f t="array" ref="J1706">IF(B1706="","",_xlfn.XLOOKUP(B1706,'Form responses 1'!$B$2:$B$2604,'Form responses 1'!$G$2:$G$2604,""))</f>
        <v/>
      </c>
      <c r="K1706" s="56"/>
      <c r="L1706" s="58" t="str">
        <f t="shared" si="7"/>
        <v/>
      </c>
      <c r="M1706" s="49"/>
      <c r="N1706" s="49"/>
      <c r="O1706" s="49"/>
      <c r="P1706" s="49"/>
      <c r="Q1706" s="49"/>
      <c r="R1706" s="49"/>
      <c r="S1706" s="49"/>
      <c r="T1706" s="49"/>
      <c r="U1706" s="49"/>
      <c r="V1706" s="49"/>
      <c r="W1706" s="56"/>
      <c r="X1706" s="51" t="str">
        <f t="shared" si="5"/>
        <v/>
      </c>
      <c r="Y1706" s="50" t="s">
        <v>482</v>
      </c>
      <c r="Z1706" s="49">
        <f t="shared" si="6"/>
        <v>0</v>
      </c>
    </row>
    <row r="1707" ht="22.5" customHeight="1">
      <c r="B1707" s="57"/>
      <c r="C1707" s="43" t="str">
        <f t="array" ref="C1707">IF(B1707="","",_xlfn.XLOOKUP(B1707,'Form responses 1'!$B$2:$B$2604,'Form responses 1'!$A$2:$A$2604,""))</f>
        <v/>
      </c>
      <c r="D1707" s="44" t="str">
        <f t="shared" si="3"/>
        <v/>
      </c>
      <c r="E1707" s="44" t="str">
        <f t="array" ref="E1707">IF(B1707="","",_xlfn.XLOOKUP(B1707,'Form responses 1'!$B$2:$B$2604,'Form responses 1'!$C$2:$C$2604,""))</f>
        <v/>
      </c>
      <c r="F1707" s="44" t="str">
        <f t="array" ref="F1707">IF(B1707="","",_xlfn.XLOOKUP(B1707,'Form responses 1'!$B$2:$B$2604,'Form responses 1'!$D$2:$D$2604,""))</f>
        <v/>
      </c>
      <c r="G1707" s="44" t="str">
        <f t="array" ref="G1707">IF(B1707="","",_xlfn.XLOOKUP(B1707,'Form responses 1'!$B$2:$B$2604,'Form responses 1'!$E$2:$E$2604,""))</f>
        <v/>
      </c>
      <c r="H1707" s="44" t="str">
        <f t="array" ref="H1707">IF(B1707="","",_xlfn.XLOOKUP(B1707,'Form responses 1'!$B$2:$B$2604,'Form responses 1'!$F$2:$F$2604,""))</f>
        <v/>
      </c>
      <c r="I1707" s="44" t="str">
        <f t="array" ref="I1707">IF(B1707="","",_xlfn.XLOOKUP(B1707,'Form responses 1'!$B$2:$B$2604,'Form responses 1'!$I$2:$I$2604,""))</f>
        <v/>
      </c>
      <c r="J1707" s="44" t="str">
        <f t="array" ref="J1707">IF(B1707="","",_xlfn.XLOOKUP(B1707,'Form responses 1'!$B$2:$B$2604,'Form responses 1'!$G$2:$G$2604,""))</f>
        <v/>
      </c>
      <c r="K1707" s="56"/>
      <c r="L1707" s="58" t="str">
        <f t="shared" si="7"/>
        <v/>
      </c>
      <c r="M1707" s="49"/>
      <c r="N1707" s="49"/>
      <c r="O1707" s="49"/>
      <c r="P1707" s="49"/>
      <c r="Q1707" s="49"/>
      <c r="R1707" s="49"/>
      <c r="S1707" s="49"/>
      <c r="T1707" s="49"/>
      <c r="U1707" s="49"/>
      <c r="V1707" s="49"/>
      <c r="W1707" s="56"/>
      <c r="X1707" s="51" t="str">
        <f t="shared" si="5"/>
        <v/>
      </c>
      <c r="Y1707" s="50" t="s">
        <v>482</v>
      </c>
      <c r="Z1707" s="49">
        <f t="shared" si="6"/>
        <v>0</v>
      </c>
    </row>
    <row r="1708" ht="22.5" customHeight="1">
      <c r="B1708" s="57"/>
      <c r="C1708" s="43" t="str">
        <f t="array" ref="C1708">IF(B1708="","",_xlfn.XLOOKUP(B1708,'Form responses 1'!$B$2:$B$2604,'Form responses 1'!$A$2:$A$2604,""))</f>
        <v/>
      </c>
      <c r="D1708" s="44" t="str">
        <f t="shared" si="3"/>
        <v/>
      </c>
      <c r="E1708" s="44" t="str">
        <f t="array" ref="E1708">IF(B1708="","",_xlfn.XLOOKUP(B1708,'Form responses 1'!$B$2:$B$2604,'Form responses 1'!$C$2:$C$2604,""))</f>
        <v/>
      </c>
      <c r="F1708" s="44" t="str">
        <f t="array" ref="F1708">IF(B1708="","",_xlfn.XLOOKUP(B1708,'Form responses 1'!$B$2:$B$2604,'Form responses 1'!$D$2:$D$2604,""))</f>
        <v/>
      </c>
      <c r="G1708" s="44" t="str">
        <f t="array" ref="G1708">IF(B1708="","",_xlfn.XLOOKUP(B1708,'Form responses 1'!$B$2:$B$2604,'Form responses 1'!$E$2:$E$2604,""))</f>
        <v/>
      </c>
      <c r="H1708" s="44" t="str">
        <f t="array" ref="H1708">IF(B1708="","",_xlfn.XLOOKUP(B1708,'Form responses 1'!$B$2:$B$2604,'Form responses 1'!$F$2:$F$2604,""))</f>
        <v/>
      </c>
      <c r="I1708" s="44" t="str">
        <f t="array" ref="I1708">IF(B1708="","",_xlfn.XLOOKUP(B1708,'Form responses 1'!$B$2:$B$2604,'Form responses 1'!$I$2:$I$2604,""))</f>
        <v/>
      </c>
      <c r="J1708" s="44" t="str">
        <f t="array" ref="J1708">IF(B1708="","",_xlfn.XLOOKUP(B1708,'Form responses 1'!$B$2:$B$2604,'Form responses 1'!$G$2:$G$2604,""))</f>
        <v/>
      </c>
      <c r="K1708" s="56"/>
      <c r="L1708" s="58" t="str">
        <f t="shared" si="7"/>
        <v/>
      </c>
      <c r="M1708" s="49"/>
      <c r="N1708" s="49"/>
      <c r="O1708" s="49"/>
      <c r="P1708" s="49"/>
      <c r="Q1708" s="49"/>
      <c r="R1708" s="49"/>
      <c r="S1708" s="49"/>
      <c r="T1708" s="49"/>
      <c r="U1708" s="49"/>
      <c r="V1708" s="49"/>
      <c r="W1708" s="56"/>
      <c r="X1708" s="51" t="str">
        <f t="shared" si="5"/>
        <v/>
      </c>
      <c r="Y1708" s="50" t="s">
        <v>482</v>
      </c>
      <c r="Z1708" s="49">
        <f t="shared" si="6"/>
        <v>0</v>
      </c>
    </row>
    <row r="1709" ht="22.5" customHeight="1">
      <c r="B1709" s="57"/>
      <c r="C1709" s="43" t="str">
        <f t="array" ref="C1709">IF(B1709="","",_xlfn.XLOOKUP(B1709,'Form responses 1'!$B$2:$B$2604,'Form responses 1'!$A$2:$A$2604,""))</f>
        <v/>
      </c>
      <c r="D1709" s="44" t="str">
        <f t="shared" si="3"/>
        <v/>
      </c>
      <c r="E1709" s="44" t="str">
        <f t="array" ref="E1709">IF(B1709="","",_xlfn.XLOOKUP(B1709,'Form responses 1'!$B$2:$B$2604,'Form responses 1'!$C$2:$C$2604,""))</f>
        <v/>
      </c>
      <c r="F1709" s="44" t="str">
        <f t="array" ref="F1709">IF(B1709="","",_xlfn.XLOOKUP(B1709,'Form responses 1'!$B$2:$B$2604,'Form responses 1'!$D$2:$D$2604,""))</f>
        <v/>
      </c>
      <c r="G1709" s="44" t="str">
        <f t="array" ref="G1709">IF(B1709="","",_xlfn.XLOOKUP(B1709,'Form responses 1'!$B$2:$B$2604,'Form responses 1'!$E$2:$E$2604,""))</f>
        <v/>
      </c>
      <c r="H1709" s="44" t="str">
        <f t="array" ref="H1709">IF(B1709="","",_xlfn.XLOOKUP(B1709,'Form responses 1'!$B$2:$B$2604,'Form responses 1'!$F$2:$F$2604,""))</f>
        <v/>
      </c>
      <c r="I1709" s="44" t="str">
        <f t="array" ref="I1709">IF(B1709="","",_xlfn.XLOOKUP(B1709,'Form responses 1'!$B$2:$B$2604,'Form responses 1'!$I$2:$I$2604,""))</f>
        <v/>
      </c>
      <c r="J1709" s="44" t="str">
        <f t="array" ref="J1709">IF(B1709="","",_xlfn.XLOOKUP(B1709,'Form responses 1'!$B$2:$B$2604,'Form responses 1'!$G$2:$G$2604,""))</f>
        <v/>
      </c>
      <c r="K1709" s="56"/>
      <c r="L1709" s="58" t="str">
        <f t="shared" si="7"/>
        <v/>
      </c>
      <c r="M1709" s="49"/>
      <c r="N1709" s="49"/>
      <c r="O1709" s="49"/>
      <c r="P1709" s="49"/>
      <c r="Q1709" s="49"/>
      <c r="R1709" s="49"/>
      <c r="S1709" s="49"/>
      <c r="T1709" s="49"/>
      <c r="U1709" s="49"/>
      <c r="V1709" s="49"/>
      <c r="W1709" s="56"/>
      <c r="X1709" s="51" t="str">
        <f t="shared" si="5"/>
        <v/>
      </c>
      <c r="Y1709" s="50" t="s">
        <v>482</v>
      </c>
      <c r="Z1709" s="49">
        <f t="shared" si="6"/>
        <v>0</v>
      </c>
    </row>
    <row r="1710" ht="22.5" customHeight="1">
      <c r="B1710" s="57"/>
      <c r="C1710" s="43" t="str">
        <f t="array" ref="C1710">IF(B1710="","",_xlfn.XLOOKUP(B1710,'Form responses 1'!$B$2:$B$2604,'Form responses 1'!$A$2:$A$2604,""))</f>
        <v/>
      </c>
      <c r="D1710" s="44" t="str">
        <f t="shared" si="3"/>
        <v/>
      </c>
      <c r="E1710" s="44" t="str">
        <f t="array" ref="E1710">IF(B1710="","",_xlfn.XLOOKUP(B1710,'Form responses 1'!$B$2:$B$2604,'Form responses 1'!$C$2:$C$2604,""))</f>
        <v/>
      </c>
      <c r="F1710" s="44" t="str">
        <f t="array" ref="F1710">IF(B1710="","",_xlfn.XLOOKUP(B1710,'Form responses 1'!$B$2:$B$2604,'Form responses 1'!$D$2:$D$2604,""))</f>
        <v/>
      </c>
      <c r="G1710" s="44" t="str">
        <f t="array" ref="G1710">IF(B1710="","",_xlfn.XLOOKUP(B1710,'Form responses 1'!$B$2:$B$2604,'Form responses 1'!$E$2:$E$2604,""))</f>
        <v/>
      </c>
      <c r="H1710" s="44" t="str">
        <f t="array" ref="H1710">IF(B1710="","",_xlfn.XLOOKUP(B1710,'Form responses 1'!$B$2:$B$2604,'Form responses 1'!$F$2:$F$2604,""))</f>
        <v/>
      </c>
      <c r="I1710" s="44" t="str">
        <f t="array" ref="I1710">IF(B1710="","",_xlfn.XLOOKUP(B1710,'Form responses 1'!$B$2:$B$2604,'Form responses 1'!$I$2:$I$2604,""))</f>
        <v/>
      </c>
      <c r="J1710" s="44" t="str">
        <f t="array" ref="J1710">IF(B1710="","",_xlfn.XLOOKUP(B1710,'Form responses 1'!$B$2:$B$2604,'Form responses 1'!$G$2:$G$2604,""))</f>
        <v/>
      </c>
      <c r="K1710" s="56"/>
      <c r="L1710" s="58" t="str">
        <f t="shared" si="7"/>
        <v/>
      </c>
      <c r="M1710" s="49"/>
      <c r="N1710" s="49"/>
      <c r="O1710" s="49"/>
      <c r="P1710" s="49"/>
      <c r="Q1710" s="49"/>
      <c r="R1710" s="49"/>
      <c r="S1710" s="49"/>
      <c r="T1710" s="49"/>
      <c r="U1710" s="49"/>
      <c r="V1710" s="49"/>
      <c r="W1710" s="56"/>
      <c r="X1710" s="51" t="str">
        <f t="shared" si="5"/>
        <v/>
      </c>
      <c r="Y1710" s="50" t="s">
        <v>482</v>
      </c>
      <c r="Z1710" s="49">
        <f t="shared" si="6"/>
        <v>0</v>
      </c>
    </row>
    <row r="1711" ht="22.5" customHeight="1">
      <c r="B1711" s="57"/>
      <c r="C1711" s="43" t="str">
        <f t="array" ref="C1711">IF(B1711="","",_xlfn.XLOOKUP(B1711,'Form responses 1'!$B$2:$B$2604,'Form responses 1'!$A$2:$A$2604,""))</f>
        <v/>
      </c>
      <c r="D1711" s="44" t="str">
        <f t="shared" si="3"/>
        <v/>
      </c>
      <c r="E1711" s="44" t="str">
        <f t="array" ref="E1711">IF(B1711="","",_xlfn.XLOOKUP(B1711,'Form responses 1'!$B$2:$B$2604,'Form responses 1'!$C$2:$C$2604,""))</f>
        <v/>
      </c>
      <c r="F1711" s="44" t="str">
        <f t="array" ref="F1711">IF(B1711="","",_xlfn.XLOOKUP(B1711,'Form responses 1'!$B$2:$B$2604,'Form responses 1'!$D$2:$D$2604,""))</f>
        <v/>
      </c>
      <c r="G1711" s="44" t="str">
        <f t="array" ref="G1711">IF(B1711="","",_xlfn.XLOOKUP(B1711,'Form responses 1'!$B$2:$B$2604,'Form responses 1'!$E$2:$E$2604,""))</f>
        <v/>
      </c>
      <c r="H1711" s="44" t="str">
        <f t="array" ref="H1711">IF(B1711="","",_xlfn.XLOOKUP(B1711,'Form responses 1'!$B$2:$B$2604,'Form responses 1'!$F$2:$F$2604,""))</f>
        <v/>
      </c>
      <c r="I1711" s="44" t="str">
        <f t="array" ref="I1711">IF(B1711="","",_xlfn.XLOOKUP(B1711,'Form responses 1'!$B$2:$B$2604,'Form responses 1'!$I$2:$I$2604,""))</f>
        <v/>
      </c>
      <c r="J1711" s="44" t="str">
        <f t="array" ref="J1711">IF(B1711="","",_xlfn.XLOOKUP(B1711,'Form responses 1'!$B$2:$B$2604,'Form responses 1'!$G$2:$G$2604,""))</f>
        <v/>
      </c>
      <c r="K1711" s="56"/>
      <c r="L1711" s="58" t="str">
        <f t="shared" si="7"/>
        <v/>
      </c>
      <c r="M1711" s="49"/>
      <c r="N1711" s="49"/>
      <c r="O1711" s="49"/>
      <c r="P1711" s="49"/>
      <c r="Q1711" s="49"/>
      <c r="R1711" s="49"/>
      <c r="S1711" s="49"/>
      <c r="T1711" s="49"/>
      <c r="U1711" s="49"/>
      <c r="V1711" s="49"/>
      <c r="W1711" s="56"/>
      <c r="X1711" s="51" t="str">
        <f t="shared" si="5"/>
        <v/>
      </c>
      <c r="Y1711" s="50" t="s">
        <v>482</v>
      </c>
      <c r="Z1711" s="49">
        <f t="shared" si="6"/>
        <v>0</v>
      </c>
    </row>
    <row r="1712" ht="22.5" customHeight="1">
      <c r="B1712" s="57"/>
      <c r="C1712" s="43" t="str">
        <f t="array" ref="C1712">IF(B1712="","",_xlfn.XLOOKUP(B1712,'Form responses 1'!$B$2:$B$2604,'Form responses 1'!$A$2:$A$2604,""))</f>
        <v/>
      </c>
      <c r="D1712" s="44" t="str">
        <f t="shared" si="3"/>
        <v/>
      </c>
      <c r="E1712" s="44" t="str">
        <f t="array" ref="E1712">IF(B1712="","",_xlfn.XLOOKUP(B1712,'Form responses 1'!$B$2:$B$2604,'Form responses 1'!$C$2:$C$2604,""))</f>
        <v/>
      </c>
      <c r="F1712" s="44" t="str">
        <f t="array" ref="F1712">IF(B1712="","",_xlfn.XLOOKUP(B1712,'Form responses 1'!$B$2:$B$2604,'Form responses 1'!$D$2:$D$2604,""))</f>
        <v/>
      </c>
      <c r="G1712" s="44" t="str">
        <f t="array" ref="G1712">IF(B1712="","",_xlfn.XLOOKUP(B1712,'Form responses 1'!$B$2:$B$2604,'Form responses 1'!$E$2:$E$2604,""))</f>
        <v/>
      </c>
      <c r="H1712" s="44" t="str">
        <f t="array" ref="H1712">IF(B1712="","",_xlfn.XLOOKUP(B1712,'Form responses 1'!$B$2:$B$2604,'Form responses 1'!$F$2:$F$2604,""))</f>
        <v/>
      </c>
      <c r="I1712" s="44" t="str">
        <f t="array" ref="I1712">IF(B1712="","",_xlfn.XLOOKUP(B1712,'Form responses 1'!$B$2:$B$2604,'Form responses 1'!$I$2:$I$2604,""))</f>
        <v/>
      </c>
      <c r="J1712" s="44" t="str">
        <f t="array" ref="J1712">IF(B1712="","",_xlfn.XLOOKUP(B1712,'Form responses 1'!$B$2:$B$2604,'Form responses 1'!$G$2:$G$2604,""))</f>
        <v/>
      </c>
      <c r="K1712" s="56"/>
      <c r="L1712" s="58" t="str">
        <f t="shared" si="7"/>
        <v/>
      </c>
      <c r="M1712" s="49"/>
      <c r="N1712" s="49"/>
      <c r="O1712" s="49"/>
      <c r="P1712" s="49"/>
      <c r="Q1712" s="49"/>
      <c r="R1712" s="49"/>
      <c r="S1712" s="49"/>
      <c r="T1712" s="49"/>
      <c r="U1712" s="49"/>
      <c r="V1712" s="49"/>
      <c r="W1712" s="56"/>
      <c r="X1712" s="51" t="str">
        <f t="shared" si="5"/>
        <v/>
      </c>
      <c r="Y1712" s="50" t="s">
        <v>482</v>
      </c>
      <c r="Z1712" s="49">
        <f t="shared" si="6"/>
        <v>0</v>
      </c>
    </row>
    <row r="1713" ht="22.5" customHeight="1">
      <c r="B1713" s="57"/>
      <c r="C1713" s="43" t="str">
        <f t="array" ref="C1713">IF(B1713="","",_xlfn.XLOOKUP(B1713,'Form responses 1'!$B$2:$B$2604,'Form responses 1'!$A$2:$A$2604,""))</f>
        <v/>
      </c>
      <c r="D1713" s="44" t="str">
        <f t="shared" si="3"/>
        <v/>
      </c>
      <c r="E1713" s="44" t="str">
        <f t="array" ref="E1713">IF(B1713="","",_xlfn.XLOOKUP(B1713,'Form responses 1'!$B$2:$B$2604,'Form responses 1'!$C$2:$C$2604,""))</f>
        <v/>
      </c>
      <c r="F1713" s="44" t="str">
        <f t="array" ref="F1713">IF(B1713="","",_xlfn.XLOOKUP(B1713,'Form responses 1'!$B$2:$B$2604,'Form responses 1'!$D$2:$D$2604,""))</f>
        <v/>
      </c>
      <c r="G1713" s="44" t="str">
        <f t="array" ref="G1713">IF(B1713="","",_xlfn.XLOOKUP(B1713,'Form responses 1'!$B$2:$B$2604,'Form responses 1'!$E$2:$E$2604,""))</f>
        <v/>
      </c>
      <c r="H1713" s="44" t="str">
        <f t="array" ref="H1713">IF(B1713="","",_xlfn.XLOOKUP(B1713,'Form responses 1'!$B$2:$B$2604,'Form responses 1'!$F$2:$F$2604,""))</f>
        <v/>
      </c>
      <c r="I1713" s="44" t="str">
        <f t="array" ref="I1713">IF(B1713="","",_xlfn.XLOOKUP(B1713,'Form responses 1'!$B$2:$B$2604,'Form responses 1'!$I$2:$I$2604,""))</f>
        <v/>
      </c>
      <c r="J1713" s="44" t="str">
        <f t="array" ref="J1713">IF(B1713="","",_xlfn.XLOOKUP(B1713,'Form responses 1'!$B$2:$B$2604,'Form responses 1'!$G$2:$G$2604,""))</f>
        <v/>
      </c>
      <c r="K1713" s="56"/>
      <c r="L1713" s="58" t="str">
        <f t="shared" si="7"/>
        <v/>
      </c>
      <c r="M1713" s="49"/>
      <c r="N1713" s="49"/>
      <c r="O1713" s="49"/>
      <c r="P1713" s="49"/>
      <c r="Q1713" s="49"/>
      <c r="R1713" s="49"/>
      <c r="S1713" s="49"/>
      <c r="T1713" s="49"/>
      <c r="U1713" s="49"/>
      <c r="V1713" s="49"/>
      <c r="W1713" s="56"/>
      <c r="X1713" s="51" t="str">
        <f t="shared" si="5"/>
        <v/>
      </c>
      <c r="Y1713" s="50" t="s">
        <v>482</v>
      </c>
      <c r="Z1713" s="49">
        <f t="shared" si="6"/>
        <v>0</v>
      </c>
    </row>
    <row r="1714" ht="22.5" customHeight="1">
      <c r="B1714" s="57"/>
      <c r="C1714" s="43" t="str">
        <f t="array" ref="C1714">IF(B1714="","",_xlfn.XLOOKUP(B1714,'Form responses 1'!$B$2:$B$2604,'Form responses 1'!$A$2:$A$2604,""))</f>
        <v/>
      </c>
      <c r="D1714" s="44" t="str">
        <f t="shared" si="3"/>
        <v/>
      </c>
      <c r="E1714" s="44" t="str">
        <f t="array" ref="E1714">IF(B1714="","",_xlfn.XLOOKUP(B1714,'Form responses 1'!$B$2:$B$2604,'Form responses 1'!$C$2:$C$2604,""))</f>
        <v/>
      </c>
      <c r="F1714" s="44" t="str">
        <f t="array" ref="F1714">IF(B1714="","",_xlfn.XLOOKUP(B1714,'Form responses 1'!$B$2:$B$2604,'Form responses 1'!$D$2:$D$2604,""))</f>
        <v/>
      </c>
      <c r="G1714" s="44" t="str">
        <f t="array" ref="G1714">IF(B1714="","",_xlfn.XLOOKUP(B1714,'Form responses 1'!$B$2:$B$2604,'Form responses 1'!$E$2:$E$2604,""))</f>
        <v/>
      </c>
      <c r="H1714" s="44" t="str">
        <f t="array" ref="H1714">IF(B1714="","",_xlfn.XLOOKUP(B1714,'Form responses 1'!$B$2:$B$2604,'Form responses 1'!$F$2:$F$2604,""))</f>
        <v/>
      </c>
      <c r="I1714" s="44" t="str">
        <f t="array" ref="I1714">IF(B1714="","",_xlfn.XLOOKUP(B1714,'Form responses 1'!$B$2:$B$2604,'Form responses 1'!$I$2:$I$2604,""))</f>
        <v/>
      </c>
      <c r="J1714" s="44" t="str">
        <f t="array" ref="J1714">IF(B1714="","",_xlfn.XLOOKUP(B1714,'Form responses 1'!$B$2:$B$2604,'Form responses 1'!$G$2:$G$2604,""))</f>
        <v/>
      </c>
      <c r="K1714" s="56"/>
      <c r="L1714" s="58" t="str">
        <f t="shared" si="7"/>
        <v/>
      </c>
      <c r="M1714" s="49"/>
      <c r="N1714" s="49"/>
      <c r="O1714" s="49"/>
      <c r="P1714" s="49"/>
      <c r="Q1714" s="49"/>
      <c r="R1714" s="49"/>
      <c r="S1714" s="49"/>
      <c r="T1714" s="49"/>
      <c r="U1714" s="49"/>
      <c r="V1714" s="49"/>
      <c r="W1714" s="56"/>
      <c r="X1714" s="51" t="str">
        <f t="shared" si="5"/>
        <v/>
      </c>
      <c r="Y1714" s="50" t="s">
        <v>482</v>
      </c>
      <c r="Z1714" s="49">
        <f t="shared" si="6"/>
        <v>0</v>
      </c>
    </row>
    <row r="1715" ht="22.5" customHeight="1">
      <c r="B1715" s="57"/>
      <c r="C1715" s="43" t="str">
        <f t="array" ref="C1715">IF(B1715="","",_xlfn.XLOOKUP(B1715,'Form responses 1'!$B$2:$B$2604,'Form responses 1'!$A$2:$A$2604,""))</f>
        <v/>
      </c>
      <c r="D1715" s="44" t="str">
        <f t="shared" si="3"/>
        <v/>
      </c>
      <c r="E1715" s="44" t="str">
        <f t="array" ref="E1715">IF(B1715="","",_xlfn.XLOOKUP(B1715,'Form responses 1'!$B$2:$B$2604,'Form responses 1'!$C$2:$C$2604,""))</f>
        <v/>
      </c>
      <c r="F1715" s="44" t="str">
        <f t="array" ref="F1715">IF(B1715="","",_xlfn.XLOOKUP(B1715,'Form responses 1'!$B$2:$B$2604,'Form responses 1'!$D$2:$D$2604,""))</f>
        <v/>
      </c>
      <c r="G1715" s="44" t="str">
        <f t="array" ref="G1715">IF(B1715="","",_xlfn.XLOOKUP(B1715,'Form responses 1'!$B$2:$B$2604,'Form responses 1'!$E$2:$E$2604,""))</f>
        <v/>
      </c>
      <c r="H1715" s="44" t="str">
        <f t="array" ref="H1715">IF(B1715="","",_xlfn.XLOOKUP(B1715,'Form responses 1'!$B$2:$B$2604,'Form responses 1'!$F$2:$F$2604,""))</f>
        <v/>
      </c>
      <c r="I1715" s="44" t="str">
        <f t="array" ref="I1715">IF(B1715="","",_xlfn.XLOOKUP(B1715,'Form responses 1'!$B$2:$B$2604,'Form responses 1'!$I$2:$I$2604,""))</f>
        <v/>
      </c>
      <c r="J1715" s="44" t="str">
        <f t="array" ref="J1715">IF(B1715="","",_xlfn.XLOOKUP(B1715,'Form responses 1'!$B$2:$B$2604,'Form responses 1'!$G$2:$G$2604,""))</f>
        <v/>
      </c>
      <c r="K1715" s="56"/>
      <c r="L1715" s="58" t="str">
        <f t="shared" si="7"/>
        <v/>
      </c>
      <c r="M1715" s="49"/>
      <c r="N1715" s="49"/>
      <c r="O1715" s="49"/>
      <c r="P1715" s="49"/>
      <c r="Q1715" s="49"/>
      <c r="R1715" s="49"/>
      <c r="S1715" s="49"/>
      <c r="T1715" s="49"/>
      <c r="U1715" s="49"/>
      <c r="V1715" s="49"/>
      <c r="W1715" s="56"/>
      <c r="X1715" s="51" t="str">
        <f t="shared" si="5"/>
        <v/>
      </c>
      <c r="Y1715" s="50" t="s">
        <v>482</v>
      </c>
      <c r="Z1715" s="49">
        <f t="shared" si="6"/>
        <v>0</v>
      </c>
    </row>
    <row r="1716" ht="22.5" customHeight="1">
      <c r="B1716" s="57"/>
      <c r="C1716" s="43" t="str">
        <f t="array" ref="C1716">IF(B1716="","",_xlfn.XLOOKUP(B1716,'Form responses 1'!$B$2:$B$2604,'Form responses 1'!$A$2:$A$2604,""))</f>
        <v/>
      </c>
      <c r="D1716" s="44" t="str">
        <f t="shared" si="3"/>
        <v/>
      </c>
      <c r="E1716" s="44" t="str">
        <f t="array" ref="E1716">IF(B1716="","",_xlfn.XLOOKUP(B1716,'Form responses 1'!$B$2:$B$2604,'Form responses 1'!$C$2:$C$2604,""))</f>
        <v/>
      </c>
      <c r="F1716" s="44" t="str">
        <f t="array" ref="F1716">IF(B1716="","",_xlfn.XLOOKUP(B1716,'Form responses 1'!$B$2:$B$2604,'Form responses 1'!$D$2:$D$2604,""))</f>
        <v/>
      </c>
      <c r="G1716" s="44" t="str">
        <f t="array" ref="G1716">IF(B1716="","",_xlfn.XLOOKUP(B1716,'Form responses 1'!$B$2:$B$2604,'Form responses 1'!$E$2:$E$2604,""))</f>
        <v/>
      </c>
      <c r="H1716" s="44" t="str">
        <f t="array" ref="H1716">IF(B1716="","",_xlfn.XLOOKUP(B1716,'Form responses 1'!$B$2:$B$2604,'Form responses 1'!$F$2:$F$2604,""))</f>
        <v/>
      </c>
      <c r="I1716" s="44" t="str">
        <f t="array" ref="I1716">IF(B1716="","",_xlfn.XLOOKUP(B1716,'Form responses 1'!$B$2:$B$2604,'Form responses 1'!$I$2:$I$2604,""))</f>
        <v/>
      </c>
      <c r="J1716" s="44" t="str">
        <f t="array" ref="J1716">IF(B1716="","",_xlfn.XLOOKUP(B1716,'Form responses 1'!$B$2:$B$2604,'Form responses 1'!$G$2:$G$2604,""))</f>
        <v/>
      </c>
      <c r="K1716" s="56"/>
      <c r="L1716" s="58" t="str">
        <f t="shared" si="7"/>
        <v/>
      </c>
      <c r="M1716" s="49"/>
      <c r="N1716" s="49"/>
      <c r="O1716" s="49"/>
      <c r="P1716" s="49"/>
      <c r="Q1716" s="49"/>
      <c r="R1716" s="49"/>
      <c r="S1716" s="49"/>
      <c r="T1716" s="49"/>
      <c r="U1716" s="49"/>
      <c r="V1716" s="49"/>
      <c r="W1716" s="56"/>
      <c r="X1716" s="51" t="str">
        <f t="shared" si="5"/>
        <v/>
      </c>
      <c r="Y1716" s="50" t="s">
        <v>482</v>
      </c>
      <c r="Z1716" s="49">
        <f t="shared" si="6"/>
        <v>0</v>
      </c>
    </row>
    <row r="1717" ht="22.5" customHeight="1">
      <c r="B1717" s="57"/>
      <c r="C1717" s="43" t="str">
        <f t="array" ref="C1717">IF(B1717="","",_xlfn.XLOOKUP(B1717,'Form responses 1'!$B$2:$B$2604,'Form responses 1'!$A$2:$A$2604,""))</f>
        <v/>
      </c>
      <c r="D1717" s="44" t="str">
        <f t="shared" si="3"/>
        <v/>
      </c>
      <c r="E1717" s="44" t="str">
        <f t="array" ref="E1717">IF(B1717="","",_xlfn.XLOOKUP(B1717,'Form responses 1'!$B$2:$B$2604,'Form responses 1'!$C$2:$C$2604,""))</f>
        <v/>
      </c>
      <c r="F1717" s="44" t="str">
        <f t="array" ref="F1717">IF(B1717="","",_xlfn.XLOOKUP(B1717,'Form responses 1'!$B$2:$B$2604,'Form responses 1'!$D$2:$D$2604,""))</f>
        <v/>
      </c>
      <c r="G1717" s="44" t="str">
        <f t="array" ref="G1717">IF(B1717="","",_xlfn.XLOOKUP(B1717,'Form responses 1'!$B$2:$B$2604,'Form responses 1'!$E$2:$E$2604,""))</f>
        <v/>
      </c>
      <c r="H1717" s="44" t="str">
        <f t="array" ref="H1717">IF(B1717="","",_xlfn.XLOOKUP(B1717,'Form responses 1'!$B$2:$B$2604,'Form responses 1'!$F$2:$F$2604,""))</f>
        <v/>
      </c>
      <c r="I1717" s="44" t="str">
        <f t="array" ref="I1717">IF(B1717="","",_xlfn.XLOOKUP(B1717,'Form responses 1'!$B$2:$B$2604,'Form responses 1'!$I$2:$I$2604,""))</f>
        <v/>
      </c>
      <c r="J1717" s="44" t="str">
        <f t="array" ref="J1717">IF(B1717="","",_xlfn.XLOOKUP(B1717,'Form responses 1'!$B$2:$B$2604,'Form responses 1'!$G$2:$G$2604,""))</f>
        <v/>
      </c>
      <c r="K1717" s="56"/>
      <c r="L1717" s="58" t="str">
        <f t="shared" si="7"/>
        <v/>
      </c>
      <c r="M1717" s="49"/>
      <c r="N1717" s="49"/>
      <c r="O1717" s="49"/>
      <c r="P1717" s="49"/>
      <c r="Q1717" s="49"/>
      <c r="R1717" s="49"/>
      <c r="S1717" s="49"/>
      <c r="T1717" s="49"/>
      <c r="U1717" s="49"/>
      <c r="V1717" s="49"/>
      <c r="W1717" s="56"/>
      <c r="X1717" s="51" t="str">
        <f t="shared" si="5"/>
        <v/>
      </c>
      <c r="Y1717" s="50" t="s">
        <v>482</v>
      </c>
      <c r="Z1717" s="49">
        <f t="shared" si="6"/>
        <v>0</v>
      </c>
    </row>
    <row r="1718" ht="22.5" customHeight="1">
      <c r="B1718" s="57"/>
      <c r="C1718" s="43" t="str">
        <f t="array" ref="C1718">IF(B1718="","",_xlfn.XLOOKUP(B1718,'Form responses 1'!$B$2:$B$2604,'Form responses 1'!$A$2:$A$2604,""))</f>
        <v/>
      </c>
      <c r="D1718" s="44" t="str">
        <f t="shared" si="3"/>
        <v/>
      </c>
      <c r="E1718" s="44" t="str">
        <f t="array" ref="E1718">IF(B1718="","",_xlfn.XLOOKUP(B1718,'Form responses 1'!$B$2:$B$2604,'Form responses 1'!$C$2:$C$2604,""))</f>
        <v/>
      </c>
      <c r="F1718" s="44" t="str">
        <f t="array" ref="F1718">IF(B1718="","",_xlfn.XLOOKUP(B1718,'Form responses 1'!$B$2:$B$2604,'Form responses 1'!$D$2:$D$2604,""))</f>
        <v/>
      </c>
      <c r="G1718" s="44" t="str">
        <f t="array" ref="G1718">IF(B1718="","",_xlfn.XLOOKUP(B1718,'Form responses 1'!$B$2:$B$2604,'Form responses 1'!$E$2:$E$2604,""))</f>
        <v/>
      </c>
      <c r="H1718" s="44" t="str">
        <f t="array" ref="H1718">IF(B1718="","",_xlfn.XLOOKUP(B1718,'Form responses 1'!$B$2:$B$2604,'Form responses 1'!$F$2:$F$2604,""))</f>
        <v/>
      </c>
      <c r="I1718" s="44" t="str">
        <f t="array" ref="I1718">IF(B1718="","",_xlfn.XLOOKUP(B1718,'Form responses 1'!$B$2:$B$2604,'Form responses 1'!$I$2:$I$2604,""))</f>
        <v/>
      </c>
      <c r="J1718" s="44" t="str">
        <f t="array" ref="J1718">IF(B1718="","",_xlfn.XLOOKUP(B1718,'Form responses 1'!$B$2:$B$2604,'Form responses 1'!$G$2:$G$2604,""))</f>
        <v/>
      </c>
      <c r="K1718" s="56"/>
      <c r="L1718" s="58" t="str">
        <f t="shared" si="7"/>
        <v/>
      </c>
      <c r="M1718" s="49"/>
      <c r="N1718" s="49"/>
      <c r="O1718" s="49"/>
      <c r="P1718" s="49"/>
      <c r="Q1718" s="49"/>
      <c r="R1718" s="49"/>
      <c r="S1718" s="49"/>
      <c r="T1718" s="49"/>
      <c r="U1718" s="49"/>
      <c r="V1718" s="49"/>
      <c r="W1718" s="56"/>
      <c r="X1718" s="51" t="str">
        <f t="shared" si="5"/>
        <v/>
      </c>
      <c r="Y1718" s="50" t="s">
        <v>482</v>
      </c>
      <c r="Z1718" s="49">
        <f t="shared" si="6"/>
        <v>0</v>
      </c>
    </row>
    <row r="1719" ht="22.5" customHeight="1">
      <c r="B1719" s="57"/>
      <c r="C1719" s="43" t="str">
        <f t="array" ref="C1719">IF(B1719="","",_xlfn.XLOOKUP(B1719,'Form responses 1'!$B$2:$B$2604,'Form responses 1'!$A$2:$A$2604,""))</f>
        <v/>
      </c>
      <c r="D1719" s="44" t="str">
        <f t="shared" si="3"/>
        <v/>
      </c>
      <c r="E1719" s="44" t="str">
        <f t="array" ref="E1719">IF(B1719="","",_xlfn.XLOOKUP(B1719,'Form responses 1'!$B$2:$B$2604,'Form responses 1'!$C$2:$C$2604,""))</f>
        <v/>
      </c>
      <c r="F1719" s="44" t="str">
        <f t="array" ref="F1719">IF(B1719="","",_xlfn.XLOOKUP(B1719,'Form responses 1'!$B$2:$B$2604,'Form responses 1'!$D$2:$D$2604,""))</f>
        <v/>
      </c>
      <c r="G1719" s="44" t="str">
        <f t="array" ref="G1719">IF(B1719="","",_xlfn.XLOOKUP(B1719,'Form responses 1'!$B$2:$B$2604,'Form responses 1'!$E$2:$E$2604,""))</f>
        <v/>
      </c>
      <c r="H1719" s="44" t="str">
        <f t="array" ref="H1719">IF(B1719="","",_xlfn.XLOOKUP(B1719,'Form responses 1'!$B$2:$B$2604,'Form responses 1'!$F$2:$F$2604,""))</f>
        <v/>
      </c>
      <c r="I1719" s="44" t="str">
        <f t="array" ref="I1719">IF(B1719="","",_xlfn.XLOOKUP(B1719,'Form responses 1'!$B$2:$B$2604,'Form responses 1'!$I$2:$I$2604,""))</f>
        <v/>
      </c>
      <c r="J1719" s="44" t="str">
        <f t="array" ref="J1719">IF(B1719="","",_xlfn.XLOOKUP(B1719,'Form responses 1'!$B$2:$B$2604,'Form responses 1'!$G$2:$G$2604,""))</f>
        <v/>
      </c>
      <c r="K1719" s="56"/>
      <c r="L1719" s="58" t="str">
        <f t="shared" si="7"/>
        <v/>
      </c>
      <c r="M1719" s="49"/>
      <c r="N1719" s="49"/>
      <c r="O1719" s="49"/>
      <c r="P1719" s="49"/>
      <c r="Q1719" s="49"/>
      <c r="R1719" s="49"/>
      <c r="S1719" s="49"/>
      <c r="T1719" s="49"/>
      <c r="U1719" s="49"/>
      <c r="V1719" s="49"/>
      <c r="W1719" s="56"/>
      <c r="X1719" s="51" t="str">
        <f t="shared" si="5"/>
        <v/>
      </c>
      <c r="Y1719" s="50" t="s">
        <v>482</v>
      </c>
      <c r="Z1719" s="49">
        <f t="shared" si="6"/>
        <v>0</v>
      </c>
    </row>
    <row r="1720" ht="22.5" customHeight="1">
      <c r="B1720" s="57"/>
      <c r="C1720" s="43" t="str">
        <f t="array" ref="C1720">IF(B1720="","",_xlfn.XLOOKUP(B1720,'Form responses 1'!$B$2:$B$2604,'Form responses 1'!$A$2:$A$2604,""))</f>
        <v/>
      </c>
      <c r="D1720" s="44" t="str">
        <f t="shared" si="3"/>
        <v/>
      </c>
      <c r="E1720" s="44" t="str">
        <f t="array" ref="E1720">IF(B1720="","",_xlfn.XLOOKUP(B1720,'Form responses 1'!$B$2:$B$2604,'Form responses 1'!$C$2:$C$2604,""))</f>
        <v/>
      </c>
      <c r="F1720" s="44" t="str">
        <f t="array" ref="F1720">IF(B1720="","",_xlfn.XLOOKUP(B1720,'Form responses 1'!$B$2:$B$2604,'Form responses 1'!$D$2:$D$2604,""))</f>
        <v/>
      </c>
      <c r="G1720" s="44" t="str">
        <f t="array" ref="G1720">IF(B1720="","",_xlfn.XLOOKUP(B1720,'Form responses 1'!$B$2:$B$2604,'Form responses 1'!$E$2:$E$2604,""))</f>
        <v/>
      </c>
      <c r="H1720" s="44" t="str">
        <f t="array" ref="H1720">IF(B1720="","",_xlfn.XLOOKUP(B1720,'Form responses 1'!$B$2:$B$2604,'Form responses 1'!$F$2:$F$2604,""))</f>
        <v/>
      </c>
      <c r="I1720" s="44" t="str">
        <f t="array" ref="I1720">IF(B1720="","",_xlfn.XLOOKUP(B1720,'Form responses 1'!$B$2:$B$2604,'Form responses 1'!$I$2:$I$2604,""))</f>
        <v/>
      </c>
      <c r="J1720" s="44" t="str">
        <f t="array" ref="J1720">IF(B1720="","",_xlfn.XLOOKUP(B1720,'Form responses 1'!$B$2:$B$2604,'Form responses 1'!$G$2:$G$2604,""))</f>
        <v/>
      </c>
      <c r="K1720" s="56"/>
      <c r="L1720" s="58" t="str">
        <f t="shared" si="7"/>
        <v/>
      </c>
      <c r="M1720" s="49"/>
      <c r="N1720" s="49"/>
      <c r="O1720" s="49"/>
      <c r="P1720" s="49"/>
      <c r="Q1720" s="49"/>
      <c r="R1720" s="49"/>
      <c r="S1720" s="49"/>
      <c r="T1720" s="49"/>
      <c r="U1720" s="49"/>
      <c r="V1720" s="49"/>
      <c r="W1720" s="56"/>
      <c r="X1720" s="51" t="str">
        <f t="shared" si="5"/>
        <v/>
      </c>
      <c r="Y1720" s="50" t="s">
        <v>482</v>
      </c>
      <c r="Z1720" s="49">
        <f t="shared" si="6"/>
        <v>0</v>
      </c>
    </row>
    <row r="1721" ht="22.5" customHeight="1">
      <c r="B1721" s="57"/>
      <c r="C1721" s="43" t="str">
        <f t="array" ref="C1721">IF(B1721="","",_xlfn.XLOOKUP(B1721,'Form responses 1'!$B$2:$B$2604,'Form responses 1'!$A$2:$A$2604,""))</f>
        <v/>
      </c>
      <c r="D1721" s="44" t="str">
        <f t="shared" si="3"/>
        <v/>
      </c>
      <c r="E1721" s="44" t="str">
        <f t="array" ref="E1721">IF(B1721="","",_xlfn.XLOOKUP(B1721,'Form responses 1'!$B$2:$B$2604,'Form responses 1'!$C$2:$C$2604,""))</f>
        <v/>
      </c>
      <c r="F1721" s="44" t="str">
        <f t="array" ref="F1721">IF(B1721="","",_xlfn.XLOOKUP(B1721,'Form responses 1'!$B$2:$B$2604,'Form responses 1'!$D$2:$D$2604,""))</f>
        <v/>
      </c>
      <c r="G1721" s="44" t="str">
        <f t="array" ref="G1721">IF(B1721="","",_xlfn.XLOOKUP(B1721,'Form responses 1'!$B$2:$B$2604,'Form responses 1'!$E$2:$E$2604,""))</f>
        <v/>
      </c>
      <c r="H1721" s="44" t="str">
        <f t="array" ref="H1721">IF(B1721="","",_xlfn.XLOOKUP(B1721,'Form responses 1'!$B$2:$B$2604,'Form responses 1'!$F$2:$F$2604,""))</f>
        <v/>
      </c>
      <c r="I1721" s="44" t="str">
        <f t="array" ref="I1721">IF(B1721="","",_xlfn.XLOOKUP(B1721,'Form responses 1'!$B$2:$B$2604,'Form responses 1'!$I$2:$I$2604,""))</f>
        <v/>
      </c>
      <c r="J1721" s="44" t="str">
        <f t="array" ref="J1721">IF(B1721="","",_xlfn.XLOOKUP(B1721,'Form responses 1'!$B$2:$B$2604,'Form responses 1'!$G$2:$G$2604,""))</f>
        <v/>
      </c>
      <c r="K1721" s="56"/>
      <c r="L1721" s="58" t="str">
        <f t="shared" si="7"/>
        <v/>
      </c>
      <c r="M1721" s="49"/>
      <c r="N1721" s="49"/>
      <c r="O1721" s="49"/>
      <c r="P1721" s="49"/>
      <c r="Q1721" s="49"/>
      <c r="R1721" s="49"/>
      <c r="S1721" s="49"/>
      <c r="T1721" s="49"/>
      <c r="U1721" s="49"/>
      <c r="V1721" s="49"/>
      <c r="W1721" s="56"/>
      <c r="X1721" s="51" t="str">
        <f t="shared" si="5"/>
        <v/>
      </c>
      <c r="Y1721" s="50" t="s">
        <v>482</v>
      </c>
      <c r="Z1721" s="49">
        <f t="shared" si="6"/>
        <v>0</v>
      </c>
    </row>
    <row r="1722" ht="22.5" customHeight="1">
      <c r="B1722" s="57"/>
      <c r="C1722" s="43" t="str">
        <f t="array" ref="C1722">IF(B1722="","",_xlfn.XLOOKUP(B1722,'Form responses 1'!$B$2:$B$2604,'Form responses 1'!$A$2:$A$2604,""))</f>
        <v/>
      </c>
      <c r="D1722" s="44" t="str">
        <f t="shared" si="3"/>
        <v/>
      </c>
      <c r="E1722" s="44" t="str">
        <f t="array" ref="E1722">IF(B1722="","",_xlfn.XLOOKUP(B1722,'Form responses 1'!$B$2:$B$2604,'Form responses 1'!$C$2:$C$2604,""))</f>
        <v/>
      </c>
      <c r="F1722" s="44" t="str">
        <f t="array" ref="F1722">IF(B1722="","",_xlfn.XLOOKUP(B1722,'Form responses 1'!$B$2:$B$2604,'Form responses 1'!$D$2:$D$2604,""))</f>
        <v/>
      </c>
      <c r="G1722" s="44" t="str">
        <f t="array" ref="G1722">IF(B1722="","",_xlfn.XLOOKUP(B1722,'Form responses 1'!$B$2:$B$2604,'Form responses 1'!$E$2:$E$2604,""))</f>
        <v/>
      </c>
      <c r="H1722" s="44" t="str">
        <f t="array" ref="H1722">IF(B1722="","",_xlfn.XLOOKUP(B1722,'Form responses 1'!$B$2:$B$2604,'Form responses 1'!$F$2:$F$2604,""))</f>
        <v/>
      </c>
      <c r="I1722" s="44" t="str">
        <f t="array" ref="I1722">IF(B1722="","",_xlfn.XLOOKUP(B1722,'Form responses 1'!$B$2:$B$2604,'Form responses 1'!$I$2:$I$2604,""))</f>
        <v/>
      </c>
      <c r="J1722" s="44" t="str">
        <f t="array" ref="J1722">IF(B1722="","",_xlfn.XLOOKUP(B1722,'Form responses 1'!$B$2:$B$2604,'Form responses 1'!$G$2:$G$2604,""))</f>
        <v/>
      </c>
      <c r="K1722" s="56"/>
      <c r="L1722" s="58" t="str">
        <f t="shared" si="7"/>
        <v/>
      </c>
      <c r="M1722" s="49"/>
      <c r="N1722" s="49"/>
      <c r="O1722" s="49"/>
      <c r="P1722" s="49"/>
      <c r="Q1722" s="49"/>
      <c r="R1722" s="49"/>
      <c r="S1722" s="49"/>
      <c r="T1722" s="49"/>
      <c r="U1722" s="49"/>
      <c r="V1722" s="49"/>
      <c r="W1722" s="56"/>
      <c r="X1722" s="51" t="str">
        <f t="shared" si="5"/>
        <v/>
      </c>
      <c r="Y1722" s="50" t="s">
        <v>482</v>
      </c>
      <c r="Z1722" s="49">
        <f t="shared" si="6"/>
        <v>0</v>
      </c>
    </row>
    <row r="1723" ht="22.5" customHeight="1">
      <c r="B1723" s="57"/>
      <c r="C1723" s="43" t="str">
        <f t="array" ref="C1723">IF(B1723="","",_xlfn.XLOOKUP(B1723,'Form responses 1'!$B$2:$B$2604,'Form responses 1'!$A$2:$A$2604,""))</f>
        <v/>
      </c>
      <c r="D1723" s="44" t="str">
        <f t="shared" si="3"/>
        <v/>
      </c>
      <c r="E1723" s="44" t="str">
        <f t="array" ref="E1723">IF(B1723="","",_xlfn.XLOOKUP(B1723,'Form responses 1'!$B$2:$B$2604,'Form responses 1'!$C$2:$C$2604,""))</f>
        <v/>
      </c>
      <c r="F1723" s="44" t="str">
        <f t="array" ref="F1723">IF(B1723="","",_xlfn.XLOOKUP(B1723,'Form responses 1'!$B$2:$B$2604,'Form responses 1'!$D$2:$D$2604,""))</f>
        <v/>
      </c>
      <c r="G1723" s="44" t="str">
        <f t="array" ref="G1723">IF(B1723="","",_xlfn.XLOOKUP(B1723,'Form responses 1'!$B$2:$B$2604,'Form responses 1'!$E$2:$E$2604,""))</f>
        <v/>
      </c>
      <c r="H1723" s="44" t="str">
        <f t="array" ref="H1723">IF(B1723="","",_xlfn.XLOOKUP(B1723,'Form responses 1'!$B$2:$B$2604,'Form responses 1'!$F$2:$F$2604,""))</f>
        <v/>
      </c>
      <c r="I1723" s="44" t="str">
        <f t="array" ref="I1723">IF(B1723="","",_xlfn.XLOOKUP(B1723,'Form responses 1'!$B$2:$B$2604,'Form responses 1'!$I$2:$I$2604,""))</f>
        <v/>
      </c>
      <c r="J1723" s="44" t="str">
        <f t="array" ref="J1723">IF(B1723="","",_xlfn.XLOOKUP(B1723,'Form responses 1'!$B$2:$B$2604,'Form responses 1'!$G$2:$G$2604,""))</f>
        <v/>
      </c>
      <c r="K1723" s="56"/>
      <c r="L1723" s="58" t="str">
        <f t="shared" si="7"/>
        <v/>
      </c>
      <c r="M1723" s="49"/>
      <c r="N1723" s="49"/>
      <c r="O1723" s="49"/>
      <c r="P1723" s="49"/>
      <c r="Q1723" s="49"/>
      <c r="R1723" s="49"/>
      <c r="S1723" s="49"/>
      <c r="T1723" s="49"/>
      <c r="U1723" s="49"/>
      <c r="V1723" s="49"/>
      <c r="W1723" s="56"/>
      <c r="X1723" s="51" t="str">
        <f t="shared" si="5"/>
        <v/>
      </c>
      <c r="Y1723" s="50" t="s">
        <v>482</v>
      </c>
      <c r="Z1723" s="49">
        <f t="shared" si="6"/>
        <v>0</v>
      </c>
    </row>
    <row r="1724" ht="22.5" customHeight="1">
      <c r="B1724" s="57"/>
      <c r="C1724" s="43" t="str">
        <f t="array" ref="C1724">IF(B1724="","",_xlfn.XLOOKUP(B1724,'Form responses 1'!$B$2:$B$2604,'Form responses 1'!$A$2:$A$2604,""))</f>
        <v/>
      </c>
      <c r="D1724" s="44" t="str">
        <f t="shared" si="3"/>
        <v/>
      </c>
      <c r="E1724" s="44" t="str">
        <f t="array" ref="E1724">IF(B1724="","",_xlfn.XLOOKUP(B1724,'Form responses 1'!$B$2:$B$2604,'Form responses 1'!$C$2:$C$2604,""))</f>
        <v/>
      </c>
      <c r="F1724" s="44" t="str">
        <f t="array" ref="F1724">IF(B1724="","",_xlfn.XLOOKUP(B1724,'Form responses 1'!$B$2:$B$2604,'Form responses 1'!$D$2:$D$2604,""))</f>
        <v/>
      </c>
      <c r="G1724" s="44" t="str">
        <f t="array" ref="G1724">IF(B1724="","",_xlfn.XLOOKUP(B1724,'Form responses 1'!$B$2:$B$2604,'Form responses 1'!$E$2:$E$2604,""))</f>
        <v/>
      </c>
      <c r="H1724" s="44" t="str">
        <f t="array" ref="H1724">IF(B1724="","",_xlfn.XLOOKUP(B1724,'Form responses 1'!$B$2:$B$2604,'Form responses 1'!$F$2:$F$2604,""))</f>
        <v/>
      </c>
      <c r="I1724" s="44" t="str">
        <f t="array" ref="I1724">IF(B1724="","",_xlfn.XLOOKUP(B1724,'Form responses 1'!$B$2:$B$2604,'Form responses 1'!$I$2:$I$2604,""))</f>
        <v/>
      </c>
      <c r="J1724" s="44" t="str">
        <f t="array" ref="J1724">IF(B1724="","",_xlfn.XLOOKUP(B1724,'Form responses 1'!$B$2:$B$2604,'Form responses 1'!$G$2:$G$2604,""))</f>
        <v/>
      </c>
      <c r="K1724" s="56"/>
      <c r="L1724" s="58" t="str">
        <f t="shared" si="7"/>
        <v/>
      </c>
      <c r="M1724" s="49"/>
      <c r="N1724" s="49"/>
      <c r="O1724" s="49"/>
      <c r="P1724" s="49"/>
      <c r="Q1724" s="49"/>
      <c r="R1724" s="49"/>
      <c r="S1724" s="49"/>
      <c r="T1724" s="49"/>
      <c r="U1724" s="49"/>
      <c r="V1724" s="49"/>
      <c r="W1724" s="56"/>
      <c r="X1724" s="51" t="str">
        <f t="shared" si="5"/>
        <v/>
      </c>
      <c r="Y1724" s="50" t="s">
        <v>482</v>
      </c>
      <c r="Z1724" s="49">
        <f t="shared" si="6"/>
        <v>0</v>
      </c>
    </row>
    <row r="1725" ht="22.5" customHeight="1">
      <c r="B1725" s="57"/>
      <c r="C1725" s="43" t="str">
        <f t="array" ref="C1725">IF(B1725="","",_xlfn.XLOOKUP(B1725,'Form responses 1'!$B$2:$B$2604,'Form responses 1'!$A$2:$A$2604,""))</f>
        <v/>
      </c>
      <c r="D1725" s="44" t="str">
        <f t="shared" si="3"/>
        <v/>
      </c>
      <c r="E1725" s="44" t="str">
        <f t="array" ref="E1725">IF(B1725="","",_xlfn.XLOOKUP(B1725,'Form responses 1'!$B$2:$B$2604,'Form responses 1'!$C$2:$C$2604,""))</f>
        <v/>
      </c>
      <c r="F1725" s="44" t="str">
        <f t="array" ref="F1725">IF(B1725="","",_xlfn.XLOOKUP(B1725,'Form responses 1'!$B$2:$B$2604,'Form responses 1'!$D$2:$D$2604,""))</f>
        <v/>
      </c>
      <c r="G1725" s="44" t="str">
        <f t="array" ref="G1725">IF(B1725="","",_xlfn.XLOOKUP(B1725,'Form responses 1'!$B$2:$B$2604,'Form responses 1'!$E$2:$E$2604,""))</f>
        <v/>
      </c>
      <c r="H1725" s="44" t="str">
        <f t="array" ref="H1725">IF(B1725="","",_xlfn.XLOOKUP(B1725,'Form responses 1'!$B$2:$B$2604,'Form responses 1'!$F$2:$F$2604,""))</f>
        <v/>
      </c>
      <c r="I1725" s="44" t="str">
        <f t="array" ref="I1725">IF(B1725="","",_xlfn.XLOOKUP(B1725,'Form responses 1'!$B$2:$B$2604,'Form responses 1'!$I$2:$I$2604,""))</f>
        <v/>
      </c>
      <c r="J1725" s="44" t="str">
        <f t="array" ref="J1725">IF(B1725="","",_xlfn.XLOOKUP(B1725,'Form responses 1'!$B$2:$B$2604,'Form responses 1'!$G$2:$G$2604,""))</f>
        <v/>
      </c>
      <c r="K1725" s="56"/>
      <c r="L1725" s="58" t="str">
        <f t="shared" si="7"/>
        <v/>
      </c>
      <c r="M1725" s="49"/>
      <c r="N1725" s="49"/>
      <c r="O1725" s="49"/>
      <c r="P1725" s="49"/>
      <c r="Q1725" s="49"/>
      <c r="R1725" s="49"/>
      <c r="S1725" s="49"/>
      <c r="T1725" s="49"/>
      <c r="U1725" s="49"/>
      <c r="V1725" s="49"/>
      <c r="W1725" s="56"/>
      <c r="X1725" s="51" t="str">
        <f t="shared" si="5"/>
        <v/>
      </c>
      <c r="Y1725" s="50" t="s">
        <v>482</v>
      </c>
      <c r="Z1725" s="49">
        <f t="shared" si="6"/>
        <v>0</v>
      </c>
    </row>
    <row r="1726" ht="22.5" customHeight="1">
      <c r="B1726" s="57"/>
      <c r="C1726" s="43" t="str">
        <f t="array" ref="C1726">IF(B1726="","",_xlfn.XLOOKUP(B1726,'Form responses 1'!$B$2:$B$2604,'Form responses 1'!$A$2:$A$2604,""))</f>
        <v/>
      </c>
      <c r="D1726" s="44" t="str">
        <f t="shared" si="3"/>
        <v/>
      </c>
      <c r="E1726" s="44" t="str">
        <f t="array" ref="E1726">IF(B1726="","",_xlfn.XLOOKUP(B1726,'Form responses 1'!$B$2:$B$2604,'Form responses 1'!$C$2:$C$2604,""))</f>
        <v/>
      </c>
      <c r="F1726" s="44" t="str">
        <f t="array" ref="F1726">IF(B1726="","",_xlfn.XLOOKUP(B1726,'Form responses 1'!$B$2:$B$2604,'Form responses 1'!$D$2:$D$2604,""))</f>
        <v/>
      </c>
      <c r="G1726" s="44" t="str">
        <f t="array" ref="G1726">IF(B1726="","",_xlfn.XLOOKUP(B1726,'Form responses 1'!$B$2:$B$2604,'Form responses 1'!$E$2:$E$2604,""))</f>
        <v/>
      </c>
      <c r="H1726" s="44" t="str">
        <f t="array" ref="H1726">IF(B1726="","",_xlfn.XLOOKUP(B1726,'Form responses 1'!$B$2:$B$2604,'Form responses 1'!$F$2:$F$2604,""))</f>
        <v/>
      </c>
      <c r="I1726" s="44" t="str">
        <f t="array" ref="I1726">IF(B1726="","",_xlfn.XLOOKUP(B1726,'Form responses 1'!$B$2:$B$2604,'Form responses 1'!$I$2:$I$2604,""))</f>
        <v/>
      </c>
      <c r="J1726" s="44" t="str">
        <f t="array" ref="J1726">IF(B1726="","",_xlfn.XLOOKUP(B1726,'Form responses 1'!$B$2:$B$2604,'Form responses 1'!$G$2:$G$2604,""))</f>
        <v/>
      </c>
      <c r="K1726" s="56"/>
      <c r="L1726" s="58" t="str">
        <f t="shared" si="7"/>
        <v/>
      </c>
      <c r="M1726" s="49"/>
      <c r="N1726" s="49"/>
      <c r="O1726" s="49"/>
      <c r="P1726" s="49"/>
      <c r="Q1726" s="49"/>
      <c r="R1726" s="49"/>
      <c r="S1726" s="49"/>
      <c r="T1726" s="49"/>
      <c r="U1726" s="49"/>
      <c r="V1726" s="49"/>
      <c r="W1726" s="56"/>
      <c r="X1726" s="51" t="str">
        <f t="shared" si="5"/>
        <v/>
      </c>
      <c r="Y1726" s="50" t="s">
        <v>482</v>
      </c>
      <c r="Z1726" s="49">
        <f t="shared" si="6"/>
        <v>0</v>
      </c>
    </row>
    <row r="1727" ht="22.5" customHeight="1">
      <c r="B1727" s="57"/>
      <c r="C1727" s="43" t="str">
        <f t="array" ref="C1727">IF(B1727="","",_xlfn.XLOOKUP(B1727,'Form responses 1'!$B$2:$B$2604,'Form responses 1'!$A$2:$A$2604,""))</f>
        <v/>
      </c>
      <c r="D1727" s="44" t="str">
        <f t="shared" si="3"/>
        <v/>
      </c>
      <c r="E1727" s="44" t="str">
        <f t="array" ref="E1727">IF(B1727="","",_xlfn.XLOOKUP(B1727,'Form responses 1'!$B$2:$B$2604,'Form responses 1'!$C$2:$C$2604,""))</f>
        <v/>
      </c>
      <c r="F1727" s="44" t="str">
        <f t="array" ref="F1727">IF(B1727="","",_xlfn.XLOOKUP(B1727,'Form responses 1'!$B$2:$B$2604,'Form responses 1'!$D$2:$D$2604,""))</f>
        <v/>
      </c>
      <c r="G1727" s="44" t="str">
        <f t="array" ref="G1727">IF(B1727="","",_xlfn.XLOOKUP(B1727,'Form responses 1'!$B$2:$B$2604,'Form responses 1'!$E$2:$E$2604,""))</f>
        <v/>
      </c>
      <c r="H1727" s="44" t="str">
        <f t="array" ref="H1727">IF(B1727="","",_xlfn.XLOOKUP(B1727,'Form responses 1'!$B$2:$B$2604,'Form responses 1'!$F$2:$F$2604,""))</f>
        <v/>
      </c>
      <c r="I1727" s="44" t="str">
        <f t="array" ref="I1727">IF(B1727="","",_xlfn.XLOOKUP(B1727,'Form responses 1'!$B$2:$B$2604,'Form responses 1'!$I$2:$I$2604,""))</f>
        <v/>
      </c>
      <c r="J1727" s="44" t="str">
        <f t="array" ref="J1727">IF(B1727="","",_xlfn.XLOOKUP(B1727,'Form responses 1'!$B$2:$B$2604,'Form responses 1'!$G$2:$G$2604,""))</f>
        <v/>
      </c>
      <c r="K1727" s="56"/>
      <c r="L1727" s="58" t="str">
        <f t="shared" si="7"/>
        <v/>
      </c>
      <c r="M1727" s="49"/>
      <c r="N1727" s="49"/>
      <c r="O1727" s="49"/>
      <c r="P1727" s="49"/>
      <c r="Q1727" s="49"/>
      <c r="R1727" s="49"/>
      <c r="S1727" s="49"/>
      <c r="T1727" s="49"/>
      <c r="U1727" s="49"/>
      <c r="V1727" s="49"/>
      <c r="W1727" s="56"/>
      <c r="X1727" s="51" t="str">
        <f t="shared" si="5"/>
        <v/>
      </c>
      <c r="Y1727" s="50" t="s">
        <v>482</v>
      </c>
      <c r="Z1727" s="49">
        <f t="shared" si="6"/>
        <v>0</v>
      </c>
    </row>
    <row r="1728" ht="22.5" customHeight="1">
      <c r="B1728" s="57"/>
      <c r="C1728" s="43" t="str">
        <f t="array" ref="C1728">IF(B1728="","",_xlfn.XLOOKUP(B1728,'Form responses 1'!$B$2:$B$2604,'Form responses 1'!$A$2:$A$2604,""))</f>
        <v/>
      </c>
      <c r="D1728" s="44" t="str">
        <f t="shared" si="3"/>
        <v/>
      </c>
      <c r="E1728" s="44" t="str">
        <f t="array" ref="E1728">IF(B1728="","",_xlfn.XLOOKUP(B1728,'Form responses 1'!$B$2:$B$2604,'Form responses 1'!$C$2:$C$2604,""))</f>
        <v/>
      </c>
      <c r="F1728" s="44" t="str">
        <f t="array" ref="F1728">IF(B1728="","",_xlfn.XLOOKUP(B1728,'Form responses 1'!$B$2:$B$2604,'Form responses 1'!$D$2:$D$2604,""))</f>
        <v/>
      </c>
      <c r="G1728" s="44" t="str">
        <f t="array" ref="G1728">IF(B1728="","",_xlfn.XLOOKUP(B1728,'Form responses 1'!$B$2:$B$2604,'Form responses 1'!$E$2:$E$2604,""))</f>
        <v/>
      </c>
      <c r="H1728" s="44" t="str">
        <f t="array" ref="H1728">IF(B1728="","",_xlfn.XLOOKUP(B1728,'Form responses 1'!$B$2:$B$2604,'Form responses 1'!$F$2:$F$2604,""))</f>
        <v/>
      </c>
      <c r="I1728" s="44" t="str">
        <f t="array" ref="I1728">IF(B1728="","",_xlfn.XLOOKUP(B1728,'Form responses 1'!$B$2:$B$2604,'Form responses 1'!$I$2:$I$2604,""))</f>
        <v/>
      </c>
      <c r="J1728" s="44" t="str">
        <f t="array" ref="J1728">IF(B1728="","",_xlfn.XLOOKUP(B1728,'Form responses 1'!$B$2:$B$2604,'Form responses 1'!$G$2:$G$2604,""))</f>
        <v/>
      </c>
      <c r="K1728" s="56"/>
      <c r="L1728" s="58" t="str">
        <f t="shared" si="7"/>
        <v/>
      </c>
      <c r="M1728" s="49"/>
      <c r="N1728" s="49"/>
      <c r="O1728" s="49"/>
      <c r="P1728" s="49"/>
      <c r="Q1728" s="49"/>
      <c r="R1728" s="49"/>
      <c r="S1728" s="49"/>
      <c r="T1728" s="49"/>
      <c r="U1728" s="49"/>
      <c r="V1728" s="49"/>
      <c r="W1728" s="56"/>
      <c r="X1728" s="51" t="str">
        <f t="shared" si="5"/>
        <v/>
      </c>
      <c r="Y1728" s="50" t="s">
        <v>482</v>
      </c>
      <c r="Z1728" s="49">
        <f t="shared" si="6"/>
        <v>0</v>
      </c>
    </row>
    <row r="1729" ht="22.5" customHeight="1">
      <c r="B1729" s="57"/>
      <c r="C1729" s="43" t="str">
        <f t="array" ref="C1729">IF(B1729="","",_xlfn.XLOOKUP(B1729,'Form responses 1'!$B$2:$B$2604,'Form responses 1'!$A$2:$A$2604,""))</f>
        <v/>
      </c>
      <c r="D1729" s="44" t="str">
        <f t="shared" si="3"/>
        <v/>
      </c>
      <c r="E1729" s="44" t="str">
        <f t="array" ref="E1729">IF(B1729="","",_xlfn.XLOOKUP(B1729,'Form responses 1'!$B$2:$B$2604,'Form responses 1'!$C$2:$C$2604,""))</f>
        <v/>
      </c>
      <c r="F1729" s="44" t="str">
        <f t="array" ref="F1729">IF(B1729="","",_xlfn.XLOOKUP(B1729,'Form responses 1'!$B$2:$B$2604,'Form responses 1'!$D$2:$D$2604,""))</f>
        <v/>
      </c>
      <c r="G1729" s="44" t="str">
        <f t="array" ref="G1729">IF(B1729="","",_xlfn.XLOOKUP(B1729,'Form responses 1'!$B$2:$B$2604,'Form responses 1'!$E$2:$E$2604,""))</f>
        <v/>
      </c>
      <c r="H1729" s="44" t="str">
        <f t="array" ref="H1729">IF(B1729="","",_xlfn.XLOOKUP(B1729,'Form responses 1'!$B$2:$B$2604,'Form responses 1'!$F$2:$F$2604,""))</f>
        <v/>
      </c>
      <c r="I1729" s="44" t="str">
        <f t="array" ref="I1729">IF(B1729="","",_xlfn.XLOOKUP(B1729,'Form responses 1'!$B$2:$B$2604,'Form responses 1'!$I$2:$I$2604,""))</f>
        <v/>
      </c>
      <c r="J1729" s="44" t="str">
        <f t="array" ref="J1729">IF(B1729="","",_xlfn.XLOOKUP(B1729,'Form responses 1'!$B$2:$B$2604,'Form responses 1'!$G$2:$G$2604,""))</f>
        <v/>
      </c>
      <c r="K1729" s="56"/>
      <c r="L1729" s="58" t="str">
        <f t="shared" si="7"/>
        <v/>
      </c>
      <c r="M1729" s="49"/>
      <c r="N1729" s="49"/>
      <c r="O1729" s="49"/>
      <c r="P1729" s="49"/>
      <c r="Q1729" s="49"/>
      <c r="R1729" s="49"/>
      <c r="S1729" s="49"/>
      <c r="T1729" s="49"/>
      <c r="U1729" s="49"/>
      <c r="V1729" s="49"/>
      <c r="W1729" s="56"/>
      <c r="X1729" s="51" t="str">
        <f t="shared" si="5"/>
        <v/>
      </c>
      <c r="Y1729" s="50" t="s">
        <v>482</v>
      </c>
      <c r="Z1729" s="49">
        <f t="shared" si="6"/>
        <v>0</v>
      </c>
    </row>
    <row r="1730" ht="22.5" customHeight="1">
      <c r="B1730" s="57"/>
      <c r="C1730" s="43" t="str">
        <f t="array" ref="C1730">IF(B1730="","",_xlfn.XLOOKUP(B1730,'Form responses 1'!$B$2:$B$2604,'Form responses 1'!$A$2:$A$2604,""))</f>
        <v/>
      </c>
      <c r="D1730" s="44" t="str">
        <f t="shared" si="3"/>
        <v/>
      </c>
      <c r="E1730" s="44" t="str">
        <f t="array" ref="E1730">IF(B1730="","",_xlfn.XLOOKUP(B1730,'Form responses 1'!$B$2:$B$2604,'Form responses 1'!$C$2:$C$2604,""))</f>
        <v/>
      </c>
      <c r="F1730" s="44" t="str">
        <f t="array" ref="F1730">IF(B1730="","",_xlfn.XLOOKUP(B1730,'Form responses 1'!$B$2:$B$2604,'Form responses 1'!$D$2:$D$2604,""))</f>
        <v/>
      </c>
      <c r="G1730" s="44" t="str">
        <f t="array" ref="G1730">IF(B1730="","",_xlfn.XLOOKUP(B1730,'Form responses 1'!$B$2:$B$2604,'Form responses 1'!$E$2:$E$2604,""))</f>
        <v/>
      </c>
      <c r="H1730" s="44" t="str">
        <f t="array" ref="H1730">IF(B1730="","",_xlfn.XLOOKUP(B1730,'Form responses 1'!$B$2:$B$2604,'Form responses 1'!$F$2:$F$2604,""))</f>
        <v/>
      </c>
      <c r="I1730" s="44" t="str">
        <f t="array" ref="I1730">IF(B1730="","",_xlfn.XLOOKUP(B1730,'Form responses 1'!$B$2:$B$2604,'Form responses 1'!$I$2:$I$2604,""))</f>
        <v/>
      </c>
      <c r="J1730" s="44" t="str">
        <f t="array" ref="J1730">IF(B1730="","",_xlfn.XLOOKUP(B1730,'Form responses 1'!$B$2:$B$2604,'Form responses 1'!$G$2:$G$2604,""))</f>
        <v/>
      </c>
      <c r="K1730" s="56"/>
      <c r="L1730" s="58" t="str">
        <f t="shared" si="7"/>
        <v/>
      </c>
      <c r="M1730" s="49"/>
      <c r="N1730" s="49"/>
      <c r="O1730" s="49"/>
      <c r="P1730" s="49"/>
      <c r="Q1730" s="49"/>
      <c r="R1730" s="49"/>
      <c r="S1730" s="49"/>
      <c r="T1730" s="49"/>
      <c r="U1730" s="49"/>
      <c r="V1730" s="49"/>
      <c r="W1730" s="56"/>
      <c r="X1730" s="51" t="str">
        <f t="shared" si="5"/>
        <v/>
      </c>
      <c r="Y1730" s="50" t="s">
        <v>482</v>
      </c>
      <c r="Z1730" s="49">
        <f t="shared" si="6"/>
        <v>0</v>
      </c>
    </row>
    <row r="1731" ht="22.5" customHeight="1">
      <c r="B1731" s="57"/>
      <c r="C1731" s="43" t="str">
        <f t="array" ref="C1731">IF(B1731="","",_xlfn.XLOOKUP(B1731,'Form responses 1'!$B$2:$B$2604,'Form responses 1'!$A$2:$A$2604,""))</f>
        <v/>
      </c>
      <c r="D1731" s="44" t="str">
        <f t="shared" si="3"/>
        <v/>
      </c>
      <c r="E1731" s="44" t="str">
        <f t="array" ref="E1731">IF(B1731="","",_xlfn.XLOOKUP(B1731,'Form responses 1'!$B$2:$B$2604,'Form responses 1'!$C$2:$C$2604,""))</f>
        <v/>
      </c>
      <c r="F1731" s="44" t="str">
        <f t="array" ref="F1731">IF(B1731="","",_xlfn.XLOOKUP(B1731,'Form responses 1'!$B$2:$B$2604,'Form responses 1'!$D$2:$D$2604,""))</f>
        <v/>
      </c>
      <c r="G1731" s="44" t="str">
        <f t="array" ref="G1731">IF(B1731="","",_xlfn.XLOOKUP(B1731,'Form responses 1'!$B$2:$B$2604,'Form responses 1'!$E$2:$E$2604,""))</f>
        <v/>
      </c>
      <c r="H1731" s="44" t="str">
        <f t="array" ref="H1731">IF(B1731="","",_xlfn.XLOOKUP(B1731,'Form responses 1'!$B$2:$B$2604,'Form responses 1'!$F$2:$F$2604,""))</f>
        <v/>
      </c>
      <c r="I1731" s="44" t="str">
        <f t="array" ref="I1731">IF(B1731="","",_xlfn.XLOOKUP(B1731,'Form responses 1'!$B$2:$B$2604,'Form responses 1'!$I$2:$I$2604,""))</f>
        <v/>
      </c>
      <c r="J1731" s="44" t="str">
        <f t="array" ref="J1731">IF(B1731="","",_xlfn.XLOOKUP(B1731,'Form responses 1'!$B$2:$B$2604,'Form responses 1'!$G$2:$G$2604,""))</f>
        <v/>
      </c>
      <c r="K1731" s="56"/>
      <c r="L1731" s="58" t="str">
        <f t="shared" si="7"/>
        <v/>
      </c>
      <c r="M1731" s="49"/>
      <c r="N1731" s="49"/>
      <c r="O1731" s="49"/>
      <c r="P1731" s="49"/>
      <c r="Q1731" s="49"/>
      <c r="R1731" s="49"/>
      <c r="S1731" s="49"/>
      <c r="T1731" s="49"/>
      <c r="U1731" s="49"/>
      <c r="V1731" s="49"/>
      <c r="W1731" s="56"/>
      <c r="X1731" s="51" t="str">
        <f t="shared" si="5"/>
        <v/>
      </c>
      <c r="Y1731" s="50" t="s">
        <v>482</v>
      </c>
      <c r="Z1731" s="49">
        <f t="shared" si="6"/>
        <v>0</v>
      </c>
    </row>
    <row r="1732" ht="22.5" customHeight="1">
      <c r="B1732" s="57"/>
      <c r="C1732" s="43" t="str">
        <f t="array" ref="C1732">IF(B1732="","",_xlfn.XLOOKUP(B1732,'Form responses 1'!$B$2:$B$2604,'Form responses 1'!$A$2:$A$2604,""))</f>
        <v/>
      </c>
      <c r="D1732" s="44" t="str">
        <f t="shared" si="3"/>
        <v/>
      </c>
      <c r="E1732" s="44" t="str">
        <f t="array" ref="E1732">IF(B1732="","",_xlfn.XLOOKUP(B1732,'Form responses 1'!$B$2:$B$2604,'Form responses 1'!$C$2:$C$2604,""))</f>
        <v/>
      </c>
      <c r="F1732" s="44" t="str">
        <f t="array" ref="F1732">IF(B1732="","",_xlfn.XLOOKUP(B1732,'Form responses 1'!$B$2:$B$2604,'Form responses 1'!$D$2:$D$2604,""))</f>
        <v/>
      </c>
      <c r="G1732" s="44" t="str">
        <f t="array" ref="G1732">IF(B1732="","",_xlfn.XLOOKUP(B1732,'Form responses 1'!$B$2:$B$2604,'Form responses 1'!$E$2:$E$2604,""))</f>
        <v/>
      </c>
      <c r="H1732" s="44" t="str">
        <f t="array" ref="H1732">IF(B1732="","",_xlfn.XLOOKUP(B1732,'Form responses 1'!$B$2:$B$2604,'Form responses 1'!$F$2:$F$2604,""))</f>
        <v/>
      </c>
      <c r="I1732" s="44" t="str">
        <f t="array" ref="I1732">IF(B1732="","",_xlfn.XLOOKUP(B1732,'Form responses 1'!$B$2:$B$2604,'Form responses 1'!$I$2:$I$2604,""))</f>
        <v/>
      </c>
      <c r="J1732" s="44" t="str">
        <f t="array" ref="J1732">IF(B1732="","",_xlfn.XLOOKUP(B1732,'Form responses 1'!$B$2:$B$2604,'Form responses 1'!$G$2:$G$2604,""))</f>
        <v/>
      </c>
      <c r="K1732" s="56"/>
      <c r="L1732" s="58" t="str">
        <f t="shared" si="7"/>
        <v/>
      </c>
      <c r="M1732" s="49"/>
      <c r="N1732" s="49"/>
      <c r="O1732" s="49"/>
      <c r="P1732" s="49"/>
      <c r="Q1732" s="49"/>
      <c r="R1732" s="49"/>
      <c r="S1732" s="49"/>
      <c r="T1732" s="49"/>
      <c r="U1732" s="49"/>
      <c r="V1732" s="49"/>
      <c r="W1732" s="56"/>
      <c r="X1732" s="51" t="str">
        <f t="shared" si="5"/>
        <v/>
      </c>
      <c r="Y1732" s="50" t="s">
        <v>482</v>
      </c>
      <c r="Z1732" s="49">
        <f t="shared" si="6"/>
        <v>0</v>
      </c>
    </row>
    <row r="1733" ht="22.5" customHeight="1">
      <c r="B1733" s="57"/>
      <c r="C1733" s="43" t="str">
        <f t="array" ref="C1733">IF(B1733="","",_xlfn.XLOOKUP(B1733,'Form responses 1'!$B$2:$B$2604,'Form responses 1'!$A$2:$A$2604,""))</f>
        <v/>
      </c>
      <c r="D1733" s="44" t="str">
        <f t="shared" si="3"/>
        <v/>
      </c>
      <c r="E1733" s="44" t="str">
        <f t="array" ref="E1733">IF(B1733="","",_xlfn.XLOOKUP(B1733,'Form responses 1'!$B$2:$B$2604,'Form responses 1'!$C$2:$C$2604,""))</f>
        <v/>
      </c>
      <c r="F1733" s="44" t="str">
        <f t="array" ref="F1733">IF(B1733="","",_xlfn.XLOOKUP(B1733,'Form responses 1'!$B$2:$B$2604,'Form responses 1'!$D$2:$D$2604,""))</f>
        <v/>
      </c>
      <c r="G1733" s="44" t="str">
        <f t="array" ref="G1733">IF(B1733="","",_xlfn.XLOOKUP(B1733,'Form responses 1'!$B$2:$B$2604,'Form responses 1'!$E$2:$E$2604,""))</f>
        <v/>
      </c>
      <c r="H1733" s="44" t="str">
        <f t="array" ref="H1733">IF(B1733="","",_xlfn.XLOOKUP(B1733,'Form responses 1'!$B$2:$B$2604,'Form responses 1'!$F$2:$F$2604,""))</f>
        <v/>
      </c>
      <c r="I1733" s="44" t="str">
        <f t="array" ref="I1733">IF(B1733="","",_xlfn.XLOOKUP(B1733,'Form responses 1'!$B$2:$B$2604,'Form responses 1'!$I$2:$I$2604,""))</f>
        <v/>
      </c>
      <c r="J1733" s="44" t="str">
        <f t="array" ref="J1733">IF(B1733="","",_xlfn.XLOOKUP(B1733,'Form responses 1'!$B$2:$B$2604,'Form responses 1'!$G$2:$G$2604,""))</f>
        <v/>
      </c>
      <c r="K1733" s="56"/>
      <c r="L1733" s="58" t="str">
        <f t="shared" si="7"/>
        <v/>
      </c>
      <c r="M1733" s="49"/>
      <c r="N1733" s="49"/>
      <c r="O1733" s="49"/>
      <c r="P1733" s="49"/>
      <c r="Q1733" s="49"/>
      <c r="R1733" s="49"/>
      <c r="S1733" s="49"/>
      <c r="T1733" s="49"/>
      <c r="U1733" s="49"/>
      <c r="V1733" s="49"/>
      <c r="W1733" s="56"/>
      <c r="X1733" s="51" t="str">
        <f t="shared" si="5"/>
        <v/>
      </c>
      <c r="Y1733" s="50" t="s">
        <v>482</v>
      </c>
      <c r="Z1733" s="49">
        <f t="shared" si="6"/>
        <v>0</v>
      </c>
    </row>
    <row r="1734" ht="22.5" customHeight="1">
      <c r="B1734" s="57"/>
      <c r="C1734" s="43" t="str">
        <f t="array" ref="C1734">IF(B1734="","",_xlfn.XLOOKUP(B1734,'Form responses 1'!$B$2:$B$2604,'Form responses 1'!$A$2:$A$2604,""))</f>
        <v/>
      </c>
      <c r="D1734" s="44" t="str">
        <f t="shared" si="3"/>
        <v/>
      </c>
      <c r="E1734" s="44" t="str">
        <f t="array" ref="E1734">IF(B1734="","",_xlfn.XLOOKUP(B1734,'Form responses 1'!$B$2:$B$2604,'Form responses 1'!$C$2:$C$2604,""))</f>
        <v/>
      </c>
      <c r="F1734" s="44" t="str">
        <f t="array" ref="F1734">IF(B1734="","",_xlfn.XLOOKUP(B1734,'Form responses 1'!$B$2:$B$2604,'Form responses 1'!$D$2:$D$2604,""))</f>
        <v/>
      </c>
      <c r="G1734" s="44" t="str">
        <f t="array" ref="G1734">IF(B1734="","",_xlfn.XLOOKUP(B1734,'Form responses 1'!$B$2:$B$2604,'Form responses 1'!$E$2:$E$2604,""))</f>
        <v/>
      </c>
      <c r="H1734" s="44" t="str">
        <f t="array" ref="H1734">IF(B1734="","",_xlfn.XLOOKUP(B1734,'Form responses 1'!$B$2:$B$2604,'Form responses 1'!$F$2:$F$2604,""))</f>
        <v/>
      </c>
      <c r="I1734" s="44" t="str">
        <f t="array" ref="I1734">IF(B1734="","",_xlfn.XLOOKUP(B1734,'Form responses 1'!$B$2:$B$2604,'Form responses 1'!$I$2:$I$2604,""))</f>
        <v/>
      </c>
      <c r="J1734" s="44" t="str">
        <f t="array" ref="J1734">IF(B1734="","",_xlfn.XLOOKUP(B1734,'Form responses 1'!$B$2:$B$2604,'Form responses 1'!$G$2:$G$2604,""))</f>
        <v/>
      </c>
      <c r="K1734" s="56"/>
      <c r="L1734" s="58" t="str">
        <f t="shared" si="7"/>
        <v/>
      </c>
      <c r="M1734" s="49"/>
      <c r="N1734" s="49"/>
      <c r="O1734" s="49"/>
      <c r="P1734" s="49"/>
      <c r="Q1734" s="49"/>
      <c r="R1734" s="49"/>
      <c r="S1734" s="49"/>
      <c r="T1734" s="49"/>
      <c r="U1734" s="49"/>
      <c r="V1734" s="49"/>
      <c r="W1734" s="56"/>
      <c r="X1734" s="51" t="str">
        <f t="shared" si="5"/>
        <v/>
      </c>
      <c r="Y1734" s="50" t="s">
        <v>482</v>
      </c>
      <c r="Z1734" s="49">
        <f t="shared" si="6"/>
        <v>0</v>
      </c>
    </row>
    <row r="1735" ht="22.5" customHeight="1">
      <c r="B1735" s="57"/>
      <c r="C1735" s="43" t="str">
        <f t="array" ref="C1735">IF(B1735="","",_xlfn.XLOOKUP(B1735,'Form responses 1'!$B$2:$B$2604,'Form responses 1'!$A$2:$A$2604,""))</f>
        <v/>
      </c>
      <c r="D1735" s="44" t="str">
        <f t="shared" si="3"/>
        <v/>
      </c>
      <c r="E1735" s="44" t="str">
        <f t="array" ref="E1735">IF(B1735="","",_xlfn.XLOOKUP(B1735,'Form responses 1'!$B$2:$B$2604,'Form responses 1'!$C$2:$C$2604,""))</f>
        <v/>
      </c>
      <c r="F1735" s="44" t="str">
        <f t="array" ref="F1735">IF(B1735="","",_xlfn.XLOOKUP(B1735,'Form responses 1'!$B$2:$B$2604,'Form responses 1'!$D$2:$D$2604,""))</f>
        <v/>
      </c>
      <c r="G1735" s="44" t="str">
        <f t="array" ref="G1735">IF(B1735="","",_xlfn.XLOOKUP(B1735,'Form responses 1'!$B$2:$B$2604,'Form responses 1'!$E$2:$E$2604,""))</f>
        <v/>
      </c>
      <c r="H1735" s="44" t="str">
        <f t="array" ref="H1735">IF(B1735="","",_xlfn.XLOOKUP(B1735,'Form responses 1'!$B$2:$B$2604,'Form responses 1'!$F$2:$F$2604,""))</f>
        <v/>
      </c>
      <c r="I1735" s="44" t="str">
        <f t="array" ref="I1735">IF(B1735="","",_xlfn.XLOOKUP(B1735,'Form responses 1'!$B$2:$B$2604,'Form responses 1'!$I$2:$I$2604,""))</f>
        <v/>
      </c>
      <c r="J1735" s="44" t="str">
        <f t="array" ref="J1735">IF(B1735="","",_xlfn.XLOOKUP(B1735,'Form responses 1'!$B$2:$B$2604,'Form responses 1'!$G$2:$G$2604,""))</f>
        <v/>
      </c>
      <c r="K1735" s="56"/>
      <c r="L1735" s="58" t="str">
        <f t="shared" si="7"/>
        <v/>
      </c>
      <c r="M1735" s="49"/>
      <c r="N1735" s="49"/>
      <c r="O1735" s="49"/>
      <c r="P1735" s="49"/>
      <c r="Q1735" s="49"/>
      <c r="R1735" s="49"/>
      <c r="S1735" s="49"/>
      <c r="T1735" s="49"/>
      <c r="U1735" s="49"/>
      <c r="V1735" s="49"/>
      <c r="W1735" s="56"/>
      <c r="X1735" s="51" t="str">
        <f t="shared" si="5"/>
        <v/>
      </c>
      <c r="Y1735" s="50" t="s">
        <v>482</v>
      </c>
      <c r="Z1735" s="49">
        <f t="shared" si="6"/>
        <v>0</v>
      </c>
    </row>
    <row r="1736" ht="22.5" customHeight="1">
      <c r="B1736" s="57"/>
      <c r="C1736" s="43" t="str">
        <f t="array" ref="C1736">IF(B1736="","",_xlfn.XLOOKUP(B1736,'Form responses 1'!$B$2:$B$2604,'Form responses 1'!$A$2:$A$2604,""))</f>
        <v/>
      </c>
      <c r="D1736" s="44" t="str">
        <f t="shared" si="3"/>
        <v/>
      </c>
      <c r="E1736" s="44" t="str">
        <f t="array" ref="E1736">IF(B1736="","",_xlfn.XLOOKUP(B1736,'Form responses 1'!$B$2:$B$2604,'Form responses 1'!$C$2:$C$2604,""))</f>
        <v/>
      </c>
      <c r="F1736" s="44" t="str">
        <f t="array" ref="F1736">IF(B1736="","",_xlfn.XLOOKUP(B1736,'Form responses 1'!$B$2:$B$2604,'Form responses 1'!$D$2:$D$2604,""))</f>
        <v/>
      </c>
      <c r="G1736" s="44" t="str">
        <f t="array" ref="G1736">IF(B1736="","",_xlfn.XLOOKUP(B1736,'Form responses 1'!$B$2:$B$2604,'Form responses 1'!$E$2:$E$2604,""))</f>
        <v/>
      </c>
      <c r="H1736" s="44" t="str">
        <f t="array" ref="H1736">IF(B1736="","",_xlfn.XLOOKUP(B1736,'Form responses 1'!$B$2:$B$2604,'Form responses 1'!$F$2:$F$2604,""))</f>
        <v/>
      </c>
      <c r="I1736" s="44" t="str">
        <f t="array" ref="I1736">IF(B1736="","",_xlfn.XLOOKUP(B1736,'Form responses 1'!$B$2:$B$2604,'Form responses 1'!$I$2:$I$2604,""))</f>
        <v/>
      </c>
      <c r="J1736" s="44" t="str">
        <f t="array" ref="J1736">IF(B1736="","",_xlfn.XLOOKUP(B1736,'Form responses 1'!$B$2:$B$2604,'Form responses 1'!$G$2:$G$2604,""))</f>
        <v/>
      </c>
      <c r="K1736" s="56"/>
      <c r="L1736" s="58" t="str">
        <f t="shared" si="7"/>
        <v/>
      </c>
      <c r="M1736" s="49"/>
      <c r="N1736" s="49"/>
      <c r="O1736" s="49"/>
      <c r="P1736" s="49"/>
      <c r="Q1736" s="49"/>
      <c r="R1736" s="49"/>
      <c r="S1736" s="49"/>
      <c r="T1736" s="49"/>
      <c r="U1736" s="49"/>
      <c r="V1736" s="49"/>
      <c r="W1736" s="56"/>
      <c r="X1736" s="51" t="str">
        <f t="shared" si="5"/>
        <v/>
      </c>
      <c r="Y1736" s="50" t="s">
        <v>482</v>
      </c>
      <c r="Z1736" s="49">
        <f t="shared" si="6"/>
        <v>0</v>
      </c>
    </row>
    <row r="1737" ht="22.5" customHeight="1">
      <c r="B1737" s="57"/>
      <c r="C1737" s="43" t="str">
        <f t="array" ref="C1737">IF(B1737="","",_xlfn.XLOOKUP(B1737,'Form responses 1'!$B$2:$B$2604,'Form responses 1'!$A$2:$A$2604,""))</f>
        <v/>
      </c>
      <c r="D1737" s="44" t="str">
        <f t="shared" si="3"/>
        <v/>
      </c>
      <c r="E1737" s="44" t="str">
        <f t="array" ref="E1737">IF(B1737="","",_xlfn.XLOOKUP(B1737,'Form responses 1'!$B$2:$B$2604,'Form responses 1'!$C$2:$C$2604,""))</f>
        <v/>
      </c>
      <c r="F1737" s="44" t="str">
        <f t="array" ref="F1737">IF(B1737="","",_xlfn.XLOOKUP(B1737,'Form responses 1'!$B$2:$B$2604,'Form responses 1'!$D$2:$D$2604,""))</f>
        <v/>
      </c>
      <c r="G1737" s="44" t="str">
        <f t="array" ref="G1737">IF(B1737="","",_xlfn.XLOOKUP(B1737,'Form responses 1'!$B$2:$B$2604,'Form responses 1'!$E$2:$E$2604,""))</f>
        <v/>
      </c>
      <c r="H1737" s="44" t="str">
        <f t="array" ref="H1737">IF(B1737="","",_xlfn.XLOOKUP(B1737,'Form responses 1'!$B$2:$B$2604,'Form responses 1'!$F$2:$F$2604,""))</f>
        <v/>
      </c>
      <c r="I1737" s="44" t="str">
        <f t="array" ref="I1737">IF(B1737="","",_xlfn.XLOOKUP(B1737,'Form responses 1'!$B$2:$B$2604,'Form responses 1'!$I$2:$I$2604,""))</f>
        <v/>
      </c>
      <c r="J1737" s="44" t="str">
        <f t="array" ref="J1737">IF(B1737="","",_xlfn.XLOOKUP(B1737,'Form responses 1'!$B$2:$B$2604,'Form responses 1'!$G$2:$G$2604,""))</f>
        <v/>
      </c>
      <c r="K1737" s="56"/>
      <c r="L1737" s="58" t="str">
        <f t="shared" si="7"/>
        <v/>
      </c>
      <c r="M1737" s="49"/>
      <c r="N1737" s="49"/>
      <c r="O1737" s="49"/>
      <c r="P1737" s="49"/>
      <c r="Q1737" s="49"/>
      <c r="R1737" s="49"/>
      <c r="S1737" s="49"/>
      <c r="T1737" s="49"/>
      <c r="U1737" s="49"/>
      <c r="V1737" s="49"/>
      <c r="W1737" s="56"/>
      <c r="X1737" s="51" t="str">
        <f t="shared" si="5"/>
        <v/>
      </c>
      <c r="Y1737" s="50" t="s">
        <v>482</v>
      </c>
      <c r="Z1737" s="49">
        <f t="shared" si="6"/>
        <v>0</v>
      </c>
    </row>
    <row r="1738" ht="22.5" customHeight="1">
      <c r="B1738" s="57"/>
      <c r="C1738" s="43" t="str">
        <f t="array" ref="C1738">IF(B1738="","",_xlfn.XLOOKUP(B1738,'Form responses 1'!$B$2:$B$2604,'Form responses 1'!$A$2:$A$2604,""))</f>
        <v/>
      </c>
      <c r="D1738" s="44" t="str">
        <f t="shared" si="3"/>
        <v/>
      </c>
      <c r="E1738" s="44" t="str">
        <f t="array" ref="E1738">IF(B1738="","",_xlfn.XLOOKUP(B1738,'Form responses 1'!$B$2:$B$2604,'Form responses 1'!$C$2:$C$2604,""))</f>
        <v/>
      </c>
      <c r="F1738" s="44" t="str">
        <f t="array" ref="F1738">IF(B1738="","",_xlfn.XLOOKUP(B1738,'Form responses 1'!$B$2:$B$2604,'Form responses 1'!$D$2:$D$2604,""))</f>
        <v/>
      </c>
      <c r="G1738" s="44" t="str">
        <f t="array" ref="G1738">IF(B1738="","",_xlfn.XLOOKUP(B1738,'Form responses 1'!$B$2:$B$2604,'Form responses 1'!$E$2:$E$2604,""))</f>
        <v/>
      </c>
      <c r="H1738" s="44" t="str">
        <f t="array" ref="H1738">IF(B1738="","",_xlfn.XLOOKUP(B1738,'Form responses 1'!$B$2:$B$2604,'Form responses 1'!$F$2:$F$2604,""))</f>
        <v/>
      </c>
      <c r="I1738" s="44" t="str">
        <f t="array" ref="I1738">IF(B1738="","",_xlfn.XLOOKUP(B1738,'Form responses 1'!$B$2:$B$2604,'Form responses 1'!$I$2:$I$2604,""))</f>
        <v/>
      </c>
      <c r="J1738" s="44" t="str">
        <f t="array" ref="J1738">IF(B1738="","",_xlfn.XLOOKUP(B1738,'Form responses 1'!$B$2:$B$2604,'Form responses 1'!$G$2:$G$2604,""))</f>
        <v/>
      </c>
      <c r="K1738" s="56"/>
      <c r="L1738" s="58" t="str">
        <f t="shared" si="7"/>
        <v/>
      </c>
      <c r="M1738" s="49"/>
      <c r="N1738" s="49"/>
      <c r="O1738" s="49"/>
      <c r="P1738" s="49"/>
      <c r="Q1738" s="49"/>
      <c r="R1738" s="49"/>
      <c r="S1738" s="49"/>
      <c r="T1738" s="49"/>
      <c r="U1738" s="49"/>
      <c r="V1738" s="49"/>
      <c r="W1738" s="56"/>
      <c r="X1738" s="51" t="str">
        <f t="shared" si="5"/>
        <v/>
      </c>
      <c r="Y1738" s="50" t="s">
        <v>482</v>
      </c>
      <c r="Z1738" s="49">
        <f t="shared" si="6"/>
        <v>0</v>
      </c>
    </row>
    <row r="1739" ht="22.5" customHeight="1">
      <c r="B1739" s="57"/>
      <c r="C1739" s="43" t="str">
        <f t="array" ref="C1739">IF(B1739="","",_xlfn.XLOOKUP(B1739,'Form responses 1'!$B$2:$B$2604,'Form responses 1'!$A$2:$A$2604,""))</f>
        <v/>
      </c>
      <c r="D1739" s="44" t="str">
        <f t="shared" si="3"/>
        <v/>
      </c>
      <c r="E1739" s="44" t="str">
        <f t="array" ref="E1739">IF(B1739="","",_xlfn.XLOOKUP(B1739,'Form responses 1'!$B$2:$B$2604,'Form responses 1'!$C$2:$C$2604,""))</f>
        <v/>
      </c>
      <c r="F1739" s="44" t="str">
        <f t="array" ref="F1739">IF(B1739="","",_xlfn.XLOOKUP(B1739,'Form responses 1'!$B$2:$B$2604,'Form responses 1'!$D$2:$D$2604,""))</f>
        <v/>
      </c>
      <c r="G1739" s="44" t="str">
        <f t="array" ref="G1739">IF(B1739="","",_xlfn.XLOOKUP(B1739,'Form responses 1'!$B$2:$B$2604,'Form responses 1'!$E$2:$E$2604,""))</f>
        <v/>
      </c>
      <c r="H1739" s="44" t="str">
        <f t="array" ref="H1739">IF(B1739="","",_xlfn.XLOOKUP(B1739,'Form responses 1'!$B$2:$B$2604,'Form responses 1'!$F$2:$F$2604,""))</f>
        <v/>
      </c>
      <c r="I1739" s="44" t="str">
        <f t="array" ref="I1739">IF(B1739="","",_xlfn.XLOOKUP(B1739,'Form responses 1'!$B$2:$B$2604,'Form responses 1'!$I$2:$I$2604,""))</f>
        <v/>
      </c>
      <c r="J1739" s="44" t="str">
        <f t="array" ref="J1739">IF(B1739="","",_xlfn.XLOOKUP(B1739,'Form responses 1'!$B$2:$B$2604,'Form responses 1'!$G$2:$G$2604,""))</f>
        <v/>
      </c>
      <c r="K1739" s="56"/>
      <c r="L1739" s="58" t="str">
        <f t="shared" si="7"/>
        <v/>
      </c>
      <c r="M1739" s="49"/>
      <c r="N1739" s="49"/>
      <c r="O1739" s="49"/>
      <c r="P1739" s="49"/>
      <c r="Q1739" s="49"/>
      <c r="R1739" s="49"/>
      <c r="S1739" s="49"/>
      <c r="T1739" s="49"/>
      <c r="U1739" s="49"/>
      <c r="V1739" s="49"/>
      <c r="W1739" s="56"/>
      <c r="X1739" s="51" t="str">
        <f t="shared" si="5"/>
        <v/>
      </c>
      <c r="Y1739" s="50" t="s">
        <v>482</v>
      </c>
      <c r="Z1739" s="49">
        <f t="shared" si="6"/>
        <v>0</v>
      </c>
    </row>
    <row r="1740" ht="22.5" customHeight="1">
      <c r="B1740" s="57"/>
      <c r="C1740" s="43" t="str">
        <f t="array" ref="C1740">IF(B1740="","",_xlfn.XLOOKUP(B1740,'Form responses 1'!$B$2:$B$2604,'Form responses 1'!$A$2:$A$2604,""))</f>
        <v/>
      </c>
      <c r="D1740" s="44" t="str">
        <f t="shared" si="3"/>
        <v/>
      </c>
      <c r="E1740" s="44" t="str">
        <f t="array" ref="E1740">IF(B1740="","",_xlfn.XLOOKUP(B1740,'Form responses 1'!$B$2:$B$2604,'Form responses 1'!$C$2:$C$2604,""))</f>
        <v/>
      </c>
      <c r="F1740" s="44" t="str">
        <f t="array" ref="F1740">IF(B1740="","",_xlfn.XLOOKUP(B1740,'Form responses 1'!$B$2:$B$2604,'Form responses 1'!$D$2:$D$2604,""))</f>
        <v/>
      </c>
      <c r="G1740" s="44" t="str">
        <f t="array" ref="G1740">IF(B1740="","",_xlfn.XLOOKUP(B1740,'Form responses 1'!$B$2:$B$2604,'Form responses 1'!$E$2:$E$2604,""))</f>
        <v/>
      </c>
      <c r="H1740" s="44" t="str">
        <f t="array" ref="H1740">IF(B1740="","",_xlfn.XLOOKUP(B1740,'Form responses 1'!$B$2:$B$2604,'Form responses 1'!$F$2:$F$2604,""))</f>
        <v/>
      </c>
      <c r="I1740" s="44" t="str">
        <f t="array" ref="I1740">IF(B1740="","",_xlfn.XLOOKUP(B1740,'Form responses 1'!$B$2:$B$2604,'Form responses 1'!$I$2:$I$2604,""))</f>
        <v/>
      </c>
      <c r="J1740" s="44" t="str">
        <f t="array" ref="J1740">IF(B1740="","",_xlfn.XLOOKUP(B1740,'Form responses 1'!$B$2:$B$2604,'Form responses 1'!$G$2:$G$2604,""))</f>
        <v/>
      </c>
      <c r="K1740" s="56"/>
      <c r="L1740" s="58" t="str">
        <f t="shared" si="7"/>
        <v/>
      </c>
      <c r="M1740" s="49"/>
      <c r="N1740" s="49"/>
      <c r="O1740" s="49"/>
      <c r="P1740" s="49"/>
      <c r="Q1740" s="49"/>
      <c r="R1740" s="49"/>
      <c r="S1740" s="49"/>
      <c r="T1740" s="49"/>
      <c r="U1740" s="49"/>
      <c r="V1740" s="49"/>
      <c r="W1740" s="56"/>
      <c r="X1740" s="51" t="str">
        <f t="shared" si="5"/>
        <v/>
      </c>
      <c r="Y1740" s="50" t="s">
        <v>482</v>
      </c>
      <c r="Z1740" s="49">
        <f t="shared" si="6"/>
        <v>0</v>
      </c>
    </row>
    <row r="1741" ht="22.5" customHeight="1">
      <c r="B1741" s="57"/>
      <c r="C1741" s="43" t="str">
        <f t="array" ref="C1741">IF(B1741="","",_xlfn.XLOOKUP(B1741,'Form responses 1'!$B$2:$B$2604,'Form responses 1'!$A$2:$A$2604,""))</f>
        <v/>
      </c>
      <c r="D1741" s="44" t="str">
        <f t="shared" si="3"/>
        <v/>
      </c>
      <c r="E1741" s="44" t="str">
        <f t="array" ref="E1741">IF(B1741="","",_xlfn.XLOOKUP(B1741,'Form responses 1'!$B$2:$B$2604,'Form responses 1'!$C$2:$C$2604,""))</f>
        <v/>
      </c>
      <c r="F1741" s="44" t="str">
        <f t="array" ref="F1741">IF(B1741="","",_xlfn.XLOOKUP(B1741,'Form responses 1'!$B$2:$B$2604,'Form responses 1'!$D$2:$D$2604,""))</f>
        <v/>
      </c>
      <c r="G1741" s="44" t="str">
        <f t="array" ref="G1741">IF(B1741="","",_xlfn.XLOOKUP(B1741,'Form responses 1'!$B$2:$B$2604,'Form responses 1'!$E$2:$E$2604,""))</f>
        <v/>
      </c>
      <c r="H1741" s="44" t="str">
        <f t="array" ref="H1741">IF(B1741="","",_xlfn.XLOOKUP(B1741,'Form responses 1'!$B$2:$B$2604,'Form responses 1'!$F$2:$F$2604,""))</f>
        <v/>
      </c>
      <c r="I1741" s="44" t="str">
        <f t="array" ref="I1741">IF(B1741="","",_xlfn.XLOOKUP(B1741,'Form responses 1'!$B$2:$B$2604,'Form responses 1'!$I$2:$I$2604,""))</f>
        <v/>
      </c>
      <c r="J1741" s="44" t="str">
        <f t="array" ref="J1741">IF(B1741="","",_xlfn.XLOOKUP(B1741,'Form responses 1'!$B$2:$B$2604,'Form responses 1'!$G$2:$G$2604,""))</f>
        <v/>
      </c>
      <c r="K1741" s="56"/>
      <c r="L1741" s="58" t="str">
        <f t="shared" si="7"/>
        <v/>
      </c>
      <c r="M1741" s="49"/>
      <c r="N1741" s="49"/>
      <c r="O1741" s="49"/>
      <c r="P1741" s="49"/>
      <c r="Q1741" s="49"/>
      <c r="R1741" s="49"/>
      <c r="S1741" s="49"/>
      <c r="T1741" s="49"/>
      <c r="U1741" s="49"/>
      <c r="V1741" s="49"/>
      <c r="W1741" s="56"/>
      <c r="X1741" s="51" t="str">
        <f t="shared" si="5"/>
        <v/>
      </c>
      <c r="Y1741" s="50" t="s">
        <v>482</v>
      </c>
      <c r="Z1741" s="49">
        <f t="shared" si="6"/>
        <v>0</v>
      </c>
    </row>
    <row r="1742" ht="22.5" customHeight="1">
      <c r="B1742" s="57"/>
      <c r="C1742" s="43" t="str">
        <f t="array" ref="C1742">IF(B1742="","",_xlfn.XLOOKUP(B1742,'Form responses 1'!$B$2:$B$2604,'Form responses 1'!$A$2:$A$2604,""))</f>
        <v/>
      </c>
      <c r="D1742" s="44" t="str">
        <f t="shared" si="3"/>
        <v/>
      </c>
      <c r="E1742" s="44" t="str">
        <f t="array" ref="E1742">IF(B1742="","",_xlfn.XLOOKUP(B1742,'Form responses 1'!$B$2:$B$2604,'Form responses 1'!$C$2:$C$2604,""))</f>
        <v/>
      </c>
      <c r="F1742" s="44" t="str">
        <f t="array" ref="F1742">IF(B1742="","",_xlfn.XLOOKUP(B1742,'Form responses 1'!$B$2:$B$2604,'Form responses 1'!$D$2:$D$2604,""))</f>
        <v/>
      </c>
      <c r="G1742" s="44" t="str">
        <f t="array" ref="G1742">IF(B1742="","",_xlfn.XLOOKUP(B1742,'Form responses 1'!$B$2:$B$2604,'Form responses 1'!$E$2:$E$2604,""))</f>
        <v/>
      </c>
      <c r="H1742" s="44" t="str">
        <f t="array" ref="H1742">IF(B1742="","",_xlfn.XLOOKUP(B1742,'Form responses 1'!$B$2:$B$2604,'Form responses 1'!$F$2:$F$2604,""))</f>
        <v/>
      </c>
      <c r="I1742" s="44" t="str">
        <f t="array" ref="I1742">IF(B1742="","",_xlfn.XLOOKUP(B1742,'Form responses 1'!$B$2:$B$2604,'Form responses 1'!$I$2:$I$2604,""))</f>
        <v/>
      </c>
      <c r="J1742" s="44" t="str">
        <f t="array" ref="J1742">IF(B1742="","",_xlfn.XLOOKUP(B1742,'Form responses 1'!$B$2:$B$2604,'Form responses 1'!$G$2:$G$2604,""))</f>
        <v/>
      </c>
      <c r="K1742" s="56"/>
      <c r="L1742" s="58" t="str">
        <f t="shared" si="7"/>
        <v/>
      </c>
      <c r="M1742" s="49"/>
      <c r="N1742" s="49"/>
      <c r="O1742" s="49"/>
      <c r="P1742" s="49"/>
      <c r="Q1742" s="49"/>
      <c r="R1742" s="49"/>
      <c r="S1742" s="49"/>
      <c r="T1742" s="49"/>
      <c r="U1742" s="49"/>
      <c r="V1742" s="49"/>
      <c r="W1742" s="56"/>
      <c r="X1742" s="51" t="str">
        <f t="shared" si="5"/>
        <v/>
      </c>
      <c r="Y1742" s="50" t="s">
        <v>482</v>
      </c>
      <c r="Z1742" s="49">
        <f t="shared" si="6"/>
        <v>0</v>
      </c>
    </row>
    <row r="1743" ht="22.5" customHeight="1">
      <c r="B1743" s="57"/>
      <c r="C1743" s="43" t="str">
        <f t="array" ref="C1743">IF(B1743="","",_xlfn.XLOOKUP(B1743,'Form responses 1'!$B$2:$B$2604,'Form responses 1'!$A$2:$A$2604,""))</f>
        <v/>
      </c>
      <c r="D1743" s="44" t="str">
        <f t="shared" si="3"/>
        <v/>
      </c>
      <c r="E1743" s="44" t="str">
        <f t="array" ref="E1743">IF(B1743="","",_xlfn.XLOOKUP(B1743,'Form responses 1'!$B$2:$B$2604,'Form responses 1'!$C$2:$C$2604,""))</f>
        <v/>
      </c>
      <c r="F1743" s="44" t="str">
        <f t="array" ref="F1743">IF(B1743="","",_xlfn.XLOOKUP(B1743,'Form responses 1'!$B$2:$B$2604,'Form responses 1'!$D$2:$D$2604,""))</f>
        <v/>
      </c>
      <c r="G1743" s="44" t="str">
        <f t="array" ref="G1743">IF(B1743="","",_xlfn.XLOOKUP(B1743,'Form responses 1'!$B$2:$B$2604,'Form responses 1'!$E$2:$E$2604,""))</f>
        <v/>
      </c>
      <c r="H1743" s="44" t="str">
        <f t="array" ref="H1743">IF(B1743="","",_xlfn.XLOOKUP(B1743,'Form responses 1'!$B$2:$B$2604,'Form responses 1'!$F$2:$F$2604,""))</f>
        <v/>
      </c>
      <c r="I1743" s="44" t="str">
        <f t="array" ref="I1743">IF(B1743="","",_xlfn.XLOOKUP(B1743,'Form responses 1'!$B$2:$B$2604,'Form responses 1'!$I$2:$I$2604,""))</f>
        <v/>
      </c>
      <c r="J1743" s="44" t="str">
        <f t="array" ref="J1743">IF(B1743="","",_xlfn.XLOOKUP(B1743,'Form responses 1'!$B$2:$B$2604,'Form responses 1'!$G$2:$G$2604,""))</f>
        <v/>
      </c>
      <c r="K1743" s="56"/>
      <c r="L1743" s="58" t="str">
        <f t="shared" si="7"/>
        <v/>
      </c>
      <c r="M1743" s="49"/>
      <c r="N1743" s="49"/>
      <c r="O1743" s="49"/>
      <c r="P1743" s="49"/>
      <c r="Q1743" s="49"/>
      <c r="R1743" s="49"/>
      <c r="S1743" s="49"/>
      <c r="T1743" s="49"/>
      <c r="U1743" s="49"/>
      <c r="V1743" s="49"/>
      <c r="W1743" s="56"/>
      <c r="X1743" s="51" t="str">
        <f t="shared" si="5"/>
        <v/>
      </c>
      <c r="Y1743" s="50" t="s">
        <v>482</v>
      </c>
      <c r="Z1743" s="49">
        <f t="shared" si="6"/>
        <v>0</v>
      </c>
    </row>
    <row r="1744" ht="22.5" customHeight="1">
      <c r="B1744" s="57"/>
      <c r="C1744" s="43" t="str">
        <f t="array" ref="C1744">IF(B1744="","",_xlfn.XLOOKUP(B1744,'Form responses 1'!$B$2:$B$2604,'Form responses 1'!$A$2:$A$2604,""))</f>
        <v/>
      </c>
      <c r="D1744" s="44" t="str">
        <f t="shared" si="3"/>
        <v/>
      </c>
      <c r="E1744" s="44" t="str">
        <f t="array" ref="E1744">IF(B1744="","",_xlfn.XLOOKUP(B1744,'Form responses 1'!$B$2:$B$2604,'Form responses 1'!$C$2:$C$2604,""))</f>
        <v/>
      </c>
      <c r="F1744" s="44" t="str">
        <f t="array" ref="F1744">IF(B1744="","",_xlfn.XLOOKUP(B1744,'Form responses 1'!$B$2:$B$2604,'Form responses 1'!$D$2:$D$2604,""))</f>
        <v/>
      </c>
      <c r="G1744" s="44" t="str">
        <f t="array" ref="G1744">IF(B1744="","",_xlfn.XLOOKUP(B1744,'Form responses 1'!$B$2:$B$2604,'Form responses 1'!$E$2:$E$2604,""))</f>
        <v/>
      </c>
      <c r="H1744" s="44" t="str">
        <f t="array" ref="H1744">IF(B1744="","",_xlfn.XLOOKUP(B1744,'Form responses 1'!$B$2:$B$2604,'Form responses 1'!$F$2:$F$2604,""))</f>
        <v/>
      </c>
      <c r="I1744" s="44" t="str">
        <f t="array" ref="I1744">IF(B1744="","",_xlfn.XLOOKUP(B1744,'Form responses 1'!$B$2:$B$2604,'Form responses 1'!$I$2:$I$2604,""))</f>
        <v/>
      </c>
      <c r="J1744" s="44" t="str">
        <f t="array" ref="J1744">IF(B1744="","",_xlfn.XLOOKUP(B1744,'Form responses 1'!$B$2:$B$2604,'Form responses 1'!$G$2:$G$2604,""))</f>
        <v/>
      </c>
      <c r="K1744" s="56"/>
      <c r="L1744" s="58" t="str">
        <f t="shared" si="7"/>
        <v/>
      </c>
      <c r="M1744" s="49"/>
      <c r="N1744" s="49"/>
      <c r="O1744" s="49"/>
      <c r="P1744" s="49"/>
      <c r="Q1744" s="49"/>
      <c r="R1744" s="49"/>
      <c r="S1744" s="49"/>
      <c r="T1744" s="49"/>
      <c r="U1744" s="49"/>
      <c r="V1744" s="49"/>
      <c r="W1744" s="56"/>
      <c r="X1744" s="51" t="str">
        <f t="shared" si="5"/>
        <v/>
      </c>
      <c r="Y1744" s="50" t="s">
        <v>482</v>
      </c>
      <c r="Z1744" s="49">
        <f t="shared" si="6"/>
        <v>0</v>
      </c>
    </row>
    <row r="1745" ht="22.5" customHeight="1">
      <c r="B1745" s="57"/>
      <c r="C1745" s="43" t="str">
        <f t="array" ref="C1745">IF(B1745="","",_xlfn.XLOOKUP(B1745,'Form responses 1'!$B$2:$B$2604,'Form responses 1'!$A$2:$A$2604,""))</f>
        <v/>
      </c>
      <c r="D1745" s="44" t="str">
        <f t="shared" si="3"/>
        <v/>
      </c>
      <c r="E1745" s="44" t="str">
        <f t="array" ref="E1745">IF(B1745="","",_xlfn.XLOOKUP(B1745,'Form responses 1'!$B$2:$B$2604,'Form responses 1'!$C$2:$C$2604,""))</f>
        <v/>
      </c>
      <c r="F1745" s="44" t="str">
        <f t="array" ref="F1745">IF(B1745="","",_xlfn.XLOOKUP(B1745,'Form responses 1'!$B$2:$B$2604,'Form responses 1'!$D$2:$D$2604,""))</f>
        <v/>
      </c>
      <c r="G1745" s="44" t="str">
        <f t="array" ref="G1745">IF(B1745="","",_xlfn.XLOOKUP(B1745,'Form responses 1'!$B$2:$B$2604,'Form responses 1'!$E$2:$E$2604,""))</f>
        <v/>
      </c>
      <c r="H1745" s="44" t="str">
        <f t="array" ref="H1745">IF(B1745="","",_xlfn.XLOOKUP(B1745,'Form responses 1'!$B$2:$B$2604,'Form responses 1'!$F$2:$F$2604,""))</f>
        <v/>
      </c>
      <c r="I1745" s="44" t="str">
        <f t="array" ref="I1745">IF(B1745="","",_xlfn.XLOOKUP(B1745,'Form responses 1'!$B$2:$B$2604,'Form responses 1'!$I$2:$I$2604,""))</f>
        <v/>
      </c>
      <c r="J1745" s="44" t="str">
        <f t="array" ref="J1745">IF(B1745="","",_xlfn.XLOOKUP(B1745,'Form responses 1'!$B$2:$B$2604,'Form responses 1'!$G$2:$G$2604,""))</f>
        <v/>
      </c>
      <c r="K1745" s="56"/>
      <c r="L1745" s="58" t="str">
        <f t="shared" si="7"/>
        <v/>
      </c>
      <c r="M1745" s="49"/>
      <c r="N1745" s="49"/>
      <c r="O1745" s="49"/>
      <c r="P1745" s="49"/>
      <c r="Q1745" s="49"/>
      <c r="R1745" s="49"/>
      <c r="S1745" s="49"/>
      <c r="T1745" s="49"/>
      <c r="U1745" s="49"/>
      <c r="V1745" s="49"/>
      <c r="W1745" s="56"/>
      <c r="X1745" s="51" t="str">
        <f t="shared" si="5"/>
        <v/>
      </c>
      <c r="Y1745" s="50" t="s">
        <v>482</v>
      </c>
      <c r="Z1745" s="49">
        <f t="shared" si="6"/>
        <v>0</v>
      </c>
    </row>
    <row r="1746" ht="22.5" customHeight="1">
      <c r="B1746" s="57"/>
      <c r="C1746" s="43" t="str">
        <f t="array" ref="C1746">IF(B1746="","",_xlfn.XLOOKUP(B1746,'Form responses 1'!$B$2:$B$2604,'Form responses 1'!$A$2:$A$2604,""))</f>
        <v/>
      </c>
      <c r="D1746" s="44" t="str">
        <f t="shared" si="3"/>
        <v/>
      </c>
      <c r="E1746" s="44" t="str">
        <f t="array" ref="E1746">IF(B1746="","",_xlfn.XLOOKUP(B1746,'Form responses 1'!$B$2:$B$2604,'Form responses 1'!$C$2:$C$2604,""))</f>
        <v/>
      </c>
      <c r="F1746" s="44" t="str">
        <f t="array" ref="F1746">IF(B1746="","",_xlfn.XLOOKUP(B1746,'Form responses 1'!$B$2:$B$2604,'Form responses 1'!$D$2:$D$2604,""))</f>
        <v/>
      </c>
      <c r="G1746" s="44" t="str">
        <f t="array" ref="G1746">IF(B1746="","",_xlfn.XLOOKUP(B1746,'Form responses 1'!$B$2:$B$2604,'Form responses 1'!$E$2:$E$2604,""))</f>
        <v/>
      </c>
      <c r="H1746" s="44" t="str">
        <f t="array" ref="H1746">IF(B1746="","",_xlfn.XLOOKUP(B1746,'Form responses 1'!$B$2:$B$2604,'Form responses 1'!$F$2:$F$2604,""))</f>
        <v/>
      </c>
      <c r="I1746" s="44" t="str">
        <f t="array" ref="I1746">IF(B1746="","",_xlfn.XLOOKUP(B1746,'Form responses 1'!$B$2:$B$2604,'Form responses 1'!$I$2:$I$2604,""))</f>
        <v/>
      </c>
      <c r="J1746" s="44" t="str">
        <f t="array" ref="J1746">IF(B1746="","",_xlfn.XLOOKUP(B1746,'Form responses 1'!$B$2:$B$2604,'Form responses 1'!$G$2:$G$2604,""))</f>
        <v/>
      </c>
      <c r="K1746" s="56"/>
      <c r="L1746" s="58" t="str">
        <f t="shared" si="7"/>
        <v/>
      </c>
      <c r="M1746" s="49"/>
      <c r="N1746" s="49"/>
      <c r="O1746" s="49"/>
      <c r="P1746" s="49"/>
      <c r="Q1746" s="49"/>
      <c r="R1746" s="49"/>
      <c r="S1746" s="49"/>
      <c r="T1746" s="49"/>
      <c r="U1746" s="49"/>
      <c r="V1746" s="49"/>
      <c r="W1746" s="56"/>
      <c r="X1746" s="51" t="str">
        <f t="shared" si="5"/>
        <v/>
      </c>
      <c r="Y1746" s="50" t="s">
        <v>482</v>
      </c>
      <c r="Z1746" s="49">
        <f t="shared" si="6"/>
        <v>0</v>
      </c>
    </row>
    <row r="1747" ht="22.5" customHeight="1">
      <c r="B1747" s="57"/>
      <c r="C1747" s="43" t="str">
        <f t="array" ref="C1747">IF(B1747="","",_xlfn.XLOOKUP(B1747,'Form responses 1'!$B$2:$B$2604,'Form responses 1'!$A$2:$A$2604,""))</f>
        <v/>
      </c>
      <c r="D1747" s="44" t="str">
        <f t="shared" si="3"/>
        <v/>
      </c>
      <c r="E1747" s="44" t="str">
        <f t="array" ref="E1747">IF(B1747="","",_xlfn.XLOOKUP(B1747,'Form responses 1'!$B$2:$B$2604,'Form responses 1'!$C$2:$C$2604,""))</f>
        <v/>
      </c>
      <c r="F1747" s="44" t="str">
        <f t="array" ref="F1747">IF(B1747="","",_xlfn.XLOOKUP(B1747,'Form responses 1'!$B$2:$B$2604,'Form responses 1'!$D$2:$D$2604,""))</f>
        <v/>
      </c>
      <c r="G1747" s="44" t="str">
        <f t="array" ref="G1747">IF(B1747="","",_xlfn.XLOOKUP(B1747,'Form responses 1'!$B$2:$B$2604,'Form responses 1'!$E$2:$E$2604,""))</f>
        <v/>
      </c>
      <c r="H1747" s="44" t="str">
        <f t="array" ref="H1747">IF(B1747="","",_xlfn.XLOOKUP(B1747,'Form responses 1'!$B$2:$B$2604,'Form responses 1'!$F$2:$F$2604,""))</f>
        <v/>
      </c>
      <c r="I1747" s="44" t="str">
        <f t="array" ref="I1747">IF(B1747="","",_xlfn.XLOOKUP(B1747,'Form responses 1'!$B$2:$B$2604,'Form responses 1'!$I$2:$I$2604,""))</f>
        <v/>
      </c>
      <c r="J1747" s="44" t="str">
        <f t="array" ref="J1747">IF(B1747="","",_xlfn.XLOOKUP(B1747,'Form responses 1'!$B$2:$B$2604,'Form responses 1'!$G$2:$G$2604,""))</f>
        <v/>
      </c>
      <c r="K1747" s="56"/>
      <c r="L1747" s="58" t="str">
        <f t="shared" si="7"/>
        <v/>
      </c>
      <c r="M1747" s="49"/>
      <c r="N1747" s="49"/>
      <c r="O1747" s="49"/>
      <c r="P1747" s="49"/>
      <c r="Q1747" s="49"/>
      <c r="R1747" s="49"/>
      <c r="S1747" s="49"/>
      <c r="T1747" s="49"/>
      <c r="U1747" s="49"/>
      <c r="V1747" s="49"/>
      <c r="W1747" s="56"/>
      <c r="X1747" s="51" t="str">
        <f t="shared" si="5"/>
        <v/>
      </c>
      <c r="Y1747" s="50" t="s">
        <v>482</v>
      </c>
      <c r="Z1747" s="49">
        <f t="shared" si="6"/>
        <v>0</v>
      </c>
    </row>
    <row r="1748" ht="22.5" customHeight="1">
      <c r="B1748" s="57"/>
      <c r="C1748" s="43" t="str">
        <f t="array" ref="C1748">IF(B1748="","",_xlfn.XLOOKUP(B1748,'Form responses 1'!$B$2:$B$2604,'Form responses 1'!$A$2:$A$2604,""))</f>
        <v/>
      </c>
      <c r="D1748" s="44" t="str">
        <f t="shared" si="3"/>
        <v/>
      </c>
      <c r="E1748" s="44" t="str">
        <f t="array" ref="E1748">IF(B1748="","",_xlfn.XLOOKUP(B1748,'Form responses 1'!$B$2:$B$2604,'Form responses 1'!$C$2:$C$2604,""))</f>
        <v/>
      </c>
      <c r="F1748" s="44" t="str">
        <f t="array" ref="F1748">IF(B1748="","",_xlfn.XLOOKUP(B1748,'Form responses 1'!$B$2:$B$2604,'Form responses 1'!$D$2:$D$2604,""))</f>
        <v/>
      </c>
      <c r="G1748" s="44" t="str">
        <f t="array" ref="G1748">IF(B1748="","",_xlfn.XLOOKUP(B1748,'Form responses 1'!$B$2:$B$2604,'Form responses 1'!$E$2:$E$2604,""))</f>
        <v/>
      </c>
      <c r="H1748" s="44" t="str">
        <f t="array" ref="H1748">IF(B1748="","",_xlfn.XLOOKUP(B1748,'Form responses 1'!$B$2:$B$2604,'Form responses 1'!$F$2:$F$2604,""))</f>
        <v/>
      </c>
      <c r="I1748" s="44" t="str">
        <f t="array" ref="I1748">IF(B1748="","",_xlfn.XLOOKUP(B1748,'Form responses 1'!$B$2:$B$2604,'Form responses 1'!$I$2:$I$2604,""))</f>
        <v/>
      </c>
      <c r="J1748" s="44" t="str">
        <f t="array" ref="J1748">IF(B1748="","",_xlfn.XLOOKUP(B1748,'Form responses 1'!$B$2:$B$2604,'Form responses 1'!$G$2:$G$2604,""))</f>
        <v/>
      </c>
      <c r="K1748" s="56"/>
      <c r="L1748" s="58" t="str">
        <f t="shared" si="7"/>
        <v/>
      </c>
      <c r="M1748" s="49"/>
      <c r="N1748" s="49"/>
      <c r="O1748" s="49"/>
      <c r="P1748" s="49"/>
      <c r="Q1748" s="49"/>
      <c r="R1748" s="49"/>
      <c r="S1748" s="49"/>
      <c r="T1748" s="49"/>
      <c r="U1748" s="49"/>
      <c r="V1748" s="49"/>
      <c r="W1748" s="56"/>
      <c r="X1748" s="51" t="str">
        <f t="shared" si="5"/>
        <v/>
      </c>
      <c r="Y1748" s="50" t="s">
        <v>482</v>
      </c>
      <c r="Z1748" s="49">
        <f t="shared" si="6"/>
        <v>0</v>
      </c>
    </row>
    <row r="1749" ht="22.5" customHeight="1">
      <c r="B1749" s="57"/>
      <c r="C1749" s="43" t="str">
        <f t="array" ref="C1749">IF(B1749="","",_xlfn.XLOOKUP(B1749,'Form responses 1'!$B$2:$B$2604,'Form responses 1'!$A$2:$A$2604,""))</f>
        <v/>
      </c>
      <c r="D1749" s="44" t="str">
        <f t="shared" si="3"/>
        <v/>
      </c>
      <c r="E1749" s="44" t="str">
        <f t="array" ref="E1749">IF(B1749="","",_xlfn.XLOOKUP(B1749,'Form responses 1'!$B$2:$B$2604,'Form responses 1'!$C$2:$C$2604,""))</f>
        <v/>
      </c>
      <c r="F1749" s="44" t="str">
        <f t="array" ref="F1749">IF(B1749="","",_xlfn.XLOOKUP(B1749,'Form responses 1'!$B$2:$B$2604,'Form responses 1'!$D$2:$D$2604,""))</f>
        <v/>
      </c>
      <c r="G1749" s="44" t="str">
        <f t="array" ref="G1749">IF(B1749="","",_xlfn.XLOOKUP(B1749,'Form responses 1'!$B$2:$B$2604,'Form responses 1'!$E$2:$E$2604,""))</f>
        <v/>
      </c>
      <c r="H1749" s="44" t="str">
        <f t="array" ref="H1749">IF(B1749="","",_xlfn.XLOOKUP(B1749,'Form responses 1'!$B$2:$B$2604,'Form responses 1'!$F$2:$F$2604,""))</f>
        <v/>
      </c>
      <c r="I1749" s="44" t="str">
        <f t="array" ref="I1749">IF(B1749="","",_xlfn.XLOOKUP(B1749,'Form responses 1'!$B$2:$B$2604,'Form responses 1'!$I$2:$I$2604,""))</f>
        <v/>
      </c>
      <c r="J1749" s="44" t="str">
        <f t="array" ref="J1749">IF(B1749="","",_xlfn.XLOOKUP(B1749,'Form responses 1'!$B$2:$B$2604,'Form responses 1'!$G$2:$G$2604,""))</f>
        <v/>
      </c>
      <c r="K1749" s="56"/>
      <c r="L1749" s="58" t="str">
        <f t="shared" si="7"/>
        <v/>
      </c>
      <c r="M1749" s="49"/>
      <c r="N1749" s="49"/>
      <c r="O1749" s="49"/>
      <c r="P1749" s="49"/>
      <c r="Q1749" s="49"/>
      <c r="R1749" s="49"/>
      <c r="S1749" s="49"/>
      <c r="T1749" s="49"/>
      <c r="U1749" s="49"/>
      <c r="V1749" s="49"/>
      <c r="W1749" s="56"/>
      <c r="X1749" s="51" t="str">
        <f t="shared" si="5"/>
        <v/>
      </c>
      <c r="Y1749" s="50" t="s">
        <v>482</v>
      </c>
      <c r="Z1749" s="49">
        <f t="shared" si="6"/>
        <v>0</v>
      </c>
    </row>
    <row r="1750" ht="22.5" customHeight="1">
      <c r="B1750" s="57"/>
      <c r="C1750" s="43" t="str">
        <f t="array" ref="C1750">IF(B1750="","",_xlfn.XLOOKUP(B1750,'Form responses 1'!$B$2:$B$2604,'Form responses 1'!$A$2:$A$2604,""))</f>
        <v/>
      </c>
      <c r="D1750" s="44" t="str">
        <f t="shared" si="3"/>
        <v/>
      </c>
      <c r="E1750" s="44" t="str">
        <f t="array" ref="E1750">IF(B1750="","",_xlfn.XLOOKUP(B1750,'Form responses 1'!$B$2:$B$2604,'Form responses 1'!$C$2:$C$2604,""))</f>
        <v/>
      </c>
      <c r="F1750" s="44" t="str">
        <f t="array" ref="F1750">IF(B1750="","",_xlfn.XLOOKUP(B1750,'Form responses 1'!$B$2:$B$2604,'Form responses 1'!$D$2:$D$2604,""))</f>
        <v/>
      </c>
      <c r="G1750" s="44" t="str">
        <f t="array" ref="G1750">IF(B1750="","",_xlfn.XLOOKUP(B1750,'Form responses 1'!$B$2:$B$2604,'Form responses 1'!$E$2:$E$2604,""))</f>
        <v/>
      </c>
      <c r="H1750" s="44" t="str">
        <f t="array" ref="H1750">IF(B1750="","",_xlfn.XLOOKUP(B1750,'Form responses 1'!$B$2:$B$2604,'Form responses 1'!$F$2:$F$2604,""))</f>
        <v/>
      </c>
      <c r="I1750" s="44" t="str">
        <f t="array" ref="I1750">IF(B1750="","",_xlfn.XLOOKUP(B1750,'Form responses 1'!$B$2:$B$2604,'Form responses 1'!$I$2:$I$2604,""))</f>
        <v/>
      </c>
      <c r="J1750" s="44" t="str">
        <f t="array" ref="J1750">IF(B1750="","",_xlfn.XLOOKUP(B1750,'Form responses 1'!$B$2:$B$2604,'Form responses 1'!$G$2:$G$2604,""))</f>
        <v/>
      </c>
      <c r="K1750" s="56"/>
      <c r="L1750" s="58" t="str">
        <f t="shared" si="7"/>
        <v/>
      </c>
      <c r="M1750" s="49"/>
      <c r="N1750" s="49"/>
      <c r="O1750" s="49"/>
      <c r="P1750" s="49"/>
      <c r="Q1750" s="49"/>
      <c r="R1750" s="49"/>
      <c r="S1750" s="49"/>
      <c r="T1750" s="49"/>
      <c r="U1750" s="49"/>
      <c r="V1750" s="49"/>
      <c r="W1750" s="56"/>
      <c r="X1750" s="51" t="str">
        <f t="shared" si="5"/>
        <v/>
      </c>
      <c r="Y1750" s="50" t="s">
        <v>482</v>
      </c>
      <c r="Z1750" s="49">
        <f t="shared" si="6"/>
        <v>0</v>
      </c>
    </row>
    <row r="1751" ht="22.5" customHeight="1">
      <c r="B1751" s="57"/>
      <c r="C1751" s="43" t="str">
        <f t="array" ref="C1751">IF(B1751="","",_xlfn.XLOOKUP(B1751,'Form responses 1'!$B$2:$B$2604,'Form responses 1'!$A$2:$A$2604,""))</f>
        <v/>
      </c>
      <c r="D1751" s="44" t="str">
        <f t="shared" si="3"/>
        <v/>
      </c>
      <c r="E1751" s="44" t="str">
        <f t="array" ref="E1751">IF(B1751="","",_xlfn.XLOOKUP(B1751,'Form responses 1'!$B$2:$B$2604,'Form responses 1'!$C$2:$C$2604,""))</f>
        <v/>
      </c>
      <c r="F1751" s="44" t="str">
        <f t="array" ref="F1751">IF(B1751="","",_xlfn.XLOOKUP(B1751,'Form responses 1'!$B$2:$B$2604,'Form responses 1'!$D$2:$D$2604,""))</f>
        <v/>
      </c>
      <c r="G1751" s="44" t="str">
        <f t="array" ref="G1751">IF(B1751="","",_xlfn.XLOOKUP(B1751,'Form responses 1'!$B$2:$B$2604,'Form responses 1'!$E$2:$E$2604,""))</f>
        <v/>
      </c>
      <c r="H1751" s="44" t="str">
        <f t="array" ref="H1751">IF(B1751="","",_xlfn.XLOOKUP(B1751,'Form responses 1'!$B$2:$B$2604,'Form responses 1'!$F$2:$F$2604,""))</f>
        <v/>
      </c>
      <c r="I1751" s="44" t="str">
        <f t="array" ref="I1751">IF(B1751="","",_xlfn.XLOOKUP(B1751,'Form responses 1'!$B$2:$B$2604,'Form responses 1'!$I$2:$I$2604,""))</f>
        <v/>
      </c>
      <c r="J1751" s="44" t="str">
        <f t="array" ref="J1751">IF(B1751="","",_xlfn.XLOOKUP(B1751,'Form responses 1'!$B$2:$B$2604,'Form responses 1'!$G$2:$G$2604,""))</f>
        <v/>
      </c>
      <c r="K1751" s="56"/>
      <c r="L1751" s="58" t="str">
        <f t="shared" si="7"/>
        <v/>
      </c>
      <c r="M1751" s="49"/>
      <c r="N1751" s="49"/>
      <c r="O1751" s="49"/>
      <c r="P1751" s="49"/>
      <c r="Q1751" s="49"/>
      <c r="R1751" s="49"/>
      <c r="S1751" s="49"/>
      <c r="T1751" s="49"/>
      <c r="U1751" s="49"/>
      <c r="V1751" s="49"/>
      <c r="W1751" s="56"/>
      <c r="X1751" s="51" t="str">
        <f t="shared" si="5"/>
        <v/>
      </c>
      <c r="Y1751" s="50" t="s">
        <v>482</v>
      </c>
      <c r="Z1751" s="49">
        <f t="shared" si="6"/>
        <v>0</v>
      </c>
    </row>
    <row r="1752" ht="22.5" customHeight="1">
      <c r="B1752" s="57"/>
      <c r="C1752" s="43" t="str">
        <f t="array" ref="C1752">IF(B1752="","",_xlfn.XLOOKUP(B1752,'Form responses 1'!$B$2:$B$2604,'Form responses 1'!$A$2:$A$2604,""))</f>
        <v/>
      </c>
      <c r="D1752" s="44" t="str">
        <f t="shared" si="3"/>
        <v/>
      </c>
      <c r="E1752" s="44" t="str">
        <f t="array" ref="E1752">IF(B1752="","",_xlfn.XLOOKUP(B1752,'Form responses 1'!$B$2:$B$2604,'Form responses 1'!$C$2:$C$2604,""))</f>
        <v/>
      </c>
      <c r="F1752" s="44" t="str">
        <f t="array" ref="F1752">IF(B1752="","",_xlfn.XLOOKUP(B1752,'Form responses 1'!$B$2:$B$2604,'Form responses 1'!$D$2:$D$2604,""))</f>
        <v/>
      </c>
      <c r="G1752" s="44" t="str">
        <f t="array" ref="G1752">IF(B1752="","",_xlfn.XLOOKUP(B1752,'Form responses 1'!$B$2:$B$2604,'Form responses 1'!$E$2:$E$2604,""))</f>
        <v/>
      </c>
      <c r="H1752" s="44" t="str">
        <f t="array" ref="H1752">IF(B1752="","",_xlfn.XLOOKUP(B1752,'Form responses 1'!$B$2:$B$2604,'Form responses 1'!$F$2:$F$2604,""))</f>
        <v/>
      </c>
      <c r="I1752" s="44" t="str">
        <f t="array" ref="I1752">IF(B1752="","",_xlfn.XLOOKUP(B1752,'Form responses 1'!$B$2:$B$2604,'Form responses 1'!$I$2:$I$2604,""))</f>
        <v/>
      </c>
      <c r="J1752" s="44" t="str">
        <f t="array" ref="J1752">IF(B1752="","",_xlfn.XLOOKUP(B1752,'Form responses 1'!$B$2:$B$2604,'Form responses 1'!$G$2:$G$2604,""))</f>
        <v/>
      </c>
      <c r="K1752" s="56"/>
      <c r="L1752" s="58" t="str">
        <f t="shared" si="7"/>
        <v/>
      </c>
      <c r="M1752" s="49"/>
      <c r="N1752" s="49"/>
      <c r="O1752" s="49"/>
      <c r="P1752" s="49"/>
      <c r="Q1752" s="49"/>
      <c r="R1752" s="49"/>
      <c r="S1752" s="49"/>
      <c r="T1752" s="49"/>
      <c r="U1752" s="49"/>
      <c r="V1752" s="49"/>
      <c r="W1752" s="56"/>
      <c r="X1752" s="51" t="str">
        <f t="shared" si="5"/>
        <v/>
      </c>
      <c r="Y1752" s="50" t="s">
        <v>482</v>
      </c>
      <c r="Z1752" s="49">
        <f t="shared" si="6"/>
        <v>0</v>
      </c>
    </row>
    <row r="1753" ht="22.5" customHeight="1">
      <c r="B1753" s="57"/>
      <c r="C1753" s="43" t="str">
        <f t="array" ref="C1753">IF(B1753="","",_xlfn.XLOOKUP(B1753,'Form responses 1'!$B$2:$B$2604,'Form responses 1'!$A$2:$A$2604,""))</f>
        <v/>
      </c>
      <c r="D1753" s="44" t="str">
        <f t="shared" si="3"/>
        <v/>
      </c>
      <c r="E1753" s="44" t="str">
        <f t="array" ref="E1753">IF(B1753="","",_xlfn.XLOOKUP(B1753,'Form responses 1'!$B$2:$B$2604,'Form responses 1'!$C$2:$C$2604,""))</f>
        <v/>
      </c>
      <c r="F1753" s="44" t="str">
        <f t="array" ref="F1753">IF(B1753="","",_xlfn.XLOOKUP(B1753,'Form responses 1'!$B$2:$B$2604,'Form responses 1'!$D$2:$D$2604,""))</f>
        <v/>
      </c>
      <c r="G1753" s="44" t="str">
        <f t="array" ref="G1753">IF(B1753="","",_xlfn.XLOOKUP(B1753,'Form responses 1'!$B$2:$B$2604,'Form responses 1'!$E$2:$E$2604,""))</f>
        <v/>
      </c>
      <c r="H1753" s="44" t="str">
        <f t="array" ref="H1753">IF(B1753="","",_xlfn.XLOOKUP(B1753,'Form responses 1'!$B$2:$B$2604,'Form responses 1'!$F$2:$F$2604,""))</f>
        <v/>
      </c>
      <c r="I1753" s="44" t="str">
        <f t="array" ref="I1753">IF(B1753="","",_xlfn.XLOOKUP(B1753,'Form responses 1'!$B$2:$B$2604,'Form responses 1'!$I$2:$I$2604,""))</f>
        <v/>
      </c>
      <c r="J1753" s="44" t="str">
        <f t="array" ref="J1753">IF(B1753="","",_xlfn.XLOOKUP(B1753,'Form responses 1'!$B$2:$B$2604,'Form responses 1'!$G$2:$G$2604,""))</f>
        <v/>
      </c>
      <c r="K1753" s="56"/>
      <c r="L1753" s="58" t="str">
        <f t="shared" si="7"/>
        <v/>
      </c>
      <c r="M1753" s="49"/>
      <c r="N1753" s="49"/>
      <c r="O1753" s="49"/>
      <c r="P1753" s="49"/>
      <c r="Q1753" s="49"/>
      <c r="R1753" s="49"/>
      <c r="S1753" s="49"/>
      <c r="T1753" s="49"/>
      <c r="U1753" s="49"/>
      <c r="V1753" s="49"/>
      <c r="W1753" s="56"/>
      <c r="X1753" s="51" t="str">
        <f t="shared" si="5"/>
        <v/>
      </c>
      <c r="Y1753" s="50" t="s">
        <v>482</v>
      </c>
      <c r="Z1753" s="49">
        <f t="shared" si="6"/>
        <v>0</v>
      </c>
    </row>
    <row r="1754" ht="22.5" customHeight="1">
      <c r="B1754" s="57"/>
      <c r="C1754" s="43" t="str">
        <f t="array" ref="C1754">IF(B1754="","",_xlfn.XLOOKUP(B1754,'Form responses 1'!$B$2:$B$2604,'Form responses 1'!$A$2:$A$2604,""))</f>
        <v/>
      </c>
      <c r="D1754" s="44" t="str">
        <f t="shared" si="3"/>
        <v/>
      </c>
      <c r="E1754" s="44" t="str">
        <f t="array" ref="E1754">IF(B1754="","",_xlfn.XLOOKUP(B1754,'Form responses 1'!$B$2:$B$2604,'Form responses 1'!$C$2:$C$2604,""))</f>
        <v/>
      </c>
      <c r="F1754" s="44" t="str">
        <f t="array" ref="F1754">IF(B1754="","",_xlfn.XLOOKUP(B1754,'Form responses 1'!$B$2:$B$2604,'Form responses 1'!$D$2:$D$2604,""))</f>
        <v/>
      </c>
      <c r="G1754" s="44" t="str">
        <f t="array" ref="G1754">IF(B1754="","",_xlfn.XLOOKUP(B1754,'Form responses 1'!$B$2:$B$2604,'Form responses 1'!$E$2:$E$2604,""))</f>
        <v/>
      </c>
      <c r="H1754" s="44" t="str">
        <f t="array" ref="H1754">IF(B1754="","",_xlfn.XLOOKUP(B1754,'Form responses 1'!$B$2:$B$2604,'Form responses 1'!$F$2:$F$2604,""))</f>
        <v/>
      </c>
      <c r="I1754" s="44" t="str">
        <f t="array" ref="I1754">IF(B1754="","",_xlfn.XLOOKUP(B1754,'Form responses 1'!$B$2:$B$2604,'Form responses 1'!$I$2:$I$2604,""))</f>
        <v/>
      </c>
      <c r="J1754" s="44" t="str">
        <f t="array" ref="J1754">IF(B1754="","",_xlfn.XLOOKUP(B1754,'Form responses 1'!$B$2:$B$2604,'Form responses 1'!$G$2:$G$2604,""))</f>
        <v/>
      </c>
      <c r="K1754" s="56"/>
      <c r="L1754" s="58" t="str">
        <f t="shared" si="7"/>
        <v/>
      </c>
      <c r="M1754" s="49"/>
      <c r="N1754" s="49"/>
      <c r="O1754" s="49"/>
      <c r="P1754" s="49"/>
      <c r="Q1754" s="49"/>
      <c r="R1754" s="49"/>
      <c r="S1754" s="49"/>
      <c r="T1754" s="49"/>
      <c r="U1754" s="49"/>
      <c r="V1754" s="49"/>
      <c r="W1754" s="56"/>
      <c r="X1754" s="51" t="str">
        <f t="shared" si="5"/>
        <v/>
      </c>
      <c r="Y1754" s="50" t="s">
        <v>482</v>
      </c>
      <c r="Z1754" s="49">
        <f t="shared" si="6"/>
        <v>0</v>
      </c>
    </row>
    <row r="1755" ht="22.5" customHeight="1">
      <c r="B1755" s="57"/>
      <c r="C1755" s="43" t="str">
        <f t="array" ref="C1755">IF(B1755="","",_xlfn.XLOOKUP(B1755,'Form responses 1'!$B$2:$B$2604,'Form responses 1'!$A$2:$A$2604,""))</f>
        <v/>
      </c>
      <c r="D1755" s="44" t="str">
        <f t="shared" si="3"/>
        <v/>
      </c>
      <c r="E1755" s="44" t="str">
        <f t="array" ref="E1755">IF(B1755="","",_xlfn.XLOOKUP(B1755,'Form responses 1'!$B$2:$B$2604,'Form responses 1'!$C$2:$C$2604,""))</f>
        <v/>
      </c>
      <c r="F1755" s="44" t="str">
        <f t="array" ref="F1755">IF(B1755="","",_xlfn.XLOOKUP(B1755,'Form responses 1'!$B$2:$B$2604,'Form responses 1'!$D$2:$D$2604,""))</f>
        <v/>
      </c>
      <c r="G1755" s="44" t="str">
        <f t="array" ref="G1755">IF(B1755="","",_xlfn.XLOOKUP(B1755,'Form responses 1'!$B$2:$B$2604,'Form responses 1'!$E$2:$E$2604,""))</f>
        <v/>
      </c>
      <c r="H1755" s="44" t="str">
        <f t="array" ref="H1755">IF(B1755="","",_xlfn.XLOOKUP(B1755,'Form responses 1'!$B$2:$B$2604,'Form responses 1'!$F$2:$F$2604,""))</f>
        <v/>
      </c>
      <c r="I1755" s="44" t="str">
        <f t="array" ref="I1755">IF(B1755="","",_xlfn.XLOOKUP(B1755,'Form responses 1'!$B$2:$B$2604,'Form responses 1'!$I$2:$I$2604,""))</f>
        <v/>
      </c>
      <c r="J1755" s="44" t="str">
        <f t="array" ref="J1755">IF(B1755="","",_xlfn.XLOOKUP(B1755,'Form responses 1'!$B$2:$B$2604,'Form responses 1'!$G$2:$G$2604,""))</f>
        <v/>
      </c>
      <c r="K1755" s="56"/>
      <c r="L1755" s="58" t="str">
        <f t="shared" si="7"/>
        <v/>
      </c>
      <c r="M1755" s="49"/>
      <c r="N1755" s="49"/>
      <c r="O1755" s="49"/>
      <c r="P1755" s="49"/>
      <c r="Q1755" s="49"/>
      <c r="R1755" s="49"/>
      <c r="S1755" s="49"/>
      <c r="T1755" s="49"/>
      <c r="U1755" s="49"/>
      <c r="V1755" s="49"/>
      <c r="W1755" s="56"/>
      <c r="X1755" s="51" t="str">
        <f t="shared" si="5"/>
        <v/>
      </c>
      <c r="Y1755" s="50" t="s">
        <v>482</v>
      </c>
      <c r="Z1755" s="49">
        <f t="shared" si="6"/>
        <v>0</v>
      </c>
    </row>
    <row r="1756" ht="22.5" customHeight="1">
      <c r="B1756" s="57"/>
      <c r="C1756" s="43" t="str">
        <f t="array" ref="C1756">IF(B1756="","",_xlfn.XLOOKUP(B1756,'Form responses 1'!$B$2:$B$2604,'Form responses 1'!$A$2:$A$2604,""))</f>
        <v/>
      </c>
      <c r="D1756" s="44" t="str">
        <f t="shared" si="3"/>
        <v/>
      </c>
      <c r="E1756" s="44" t="str">
        <f t="array" ref="E1756">IF(B1756="","",_xlfn.XLOOKUP(B1756,'Form responses 1'!$B$2:$B$2604,'Form responses 1'!$C$2:$C$2604,""))</f>
        <v/>
      </c>
      <c r="F1756" s="44" t="str">
        <f t="array" ref="F1756">IF(B1756="","",_xlfn.XLOOKUP(B1756,'Form responses 1'!$B$2:$B$2604,'Form responses 1'!$D$2:$D$2604,""))</f>
        <v/>
      </c>
      <c r="G1756" s="44" t="str">
        <f t="array" ref="G1756">IF(B1756="","",_xlfn.XLOOKUP(B1756,'Form responses 1'!$B$2:$B$2604,'Form responses 1'!$E$2:$E$2604,""))</f>
        <v/>
      </c>
      <c r="H1756" s="44" t="str">
        <f t="array" ref="H1756">IF(B1756="","",_xlfn.XLOOKUP(B1756,'Form responses 1'!$B$2:$B$2604,'Form responses 1'!$F$2:$F$2604,""))</f>
        <v/>
      </c>
      <c r="I1756" s="44" t="str">
        <f t="array" ref="I1756">IF(B1756="","",_xlfn.XLOOKUP(B1756,'Form responses 1'!$B$2:$B$2604,'Form responses 1'!$I$2:$I$2604,""))</f>
        <v/>
      </c>
      <c r="J1756" s="44" t="str">
        <f t="array" ref="J1756">IF(B1756="","",_xlfn.XLOOKUP(B1756,'Form responses 1'!$B$2:$B$2604,'Form responses 1'!$G$2:$G$2604,""))</f>
        <v/>
      </c>
      <c r="K1756" s="56"/>
      <c r="L1756" s="58" t="str">
        <f t="shared" si="7"/>
        <v/>
      </c>
      <c r="M1756" s="49"/>
      <c r="N1756" s="49"/>
      <c r="O1756" s="49"/>
      <c r="P1756" s="49"/>
      <c r="Q1756" s="49"/>
      <c r="R1756" s="49"/>
      <c r="S1756" s="49"/>
      <c r="T1756" s="49"/>
      <c r="U1756" s="49"/>
      <c r="V1756" s="49"/>
      <c r="W1756" s="56"/>
      <c r="X1756" s="51" t="str">
        <f t="shared" si="5"/>
        <v/>
      </c>
      <c r="Y1756" s="50" t="s">
        <v>482</v>
      </c>
      <c r="Z1756" s="49">
        <f t="shared" si="6"/>
        <v>0</v>
      </c>
    </row>
    <row r="1757" ht="22.5" customHeight="1">
      <c r="B1757" s="57"/>
      <c r="C1757" s="43" t="str">
        <f t="array" ref="C1757">IF(B1757="","",_xlfn.XLOOKUP(B1757,'Form responses 1'!$B$2:$B$2604,'Form responses 1'!$A$2:$A$2604,""))</f>
        <v/>
      </c>
      <c r="D1757" s="44" t="str">
        <f t="shared" si="3"/>
        <v/>
      </c>
      <c r="E1757" s="44" t="str">
        <f t="array" ref="E1757">IF(B1757="","",_xlfn.XLOOKUP(B1757,'Form responses 1'!$B$2:$B$2604,'Form responses 1'!$C$2:$C$2604,""))</f>
        <v/>
      </c>
      <c r="F1757" s="44" t="str">
        <f t="array" ref="F1757">IF(B1757="","",_xlfn.XLOOKUP(B1757,'Form responses 1'!$B$2:$B$2604,'Form responses 1'!$D$2:$D$2604,""))</f>
        <v/>
      </c>
      <c r="G1757" s="44" t="str">
        <f t="array" ref="G1757">IF(B1757="","",_xlfn.XLOOKUP(B1757,'Form responses 1'!$B$2:$B$2604,'Form responses 1'!$E$2:$E$2604,""))</f>
        <v/>
      </c>
      <c r="H1757" s="44" t="str">
        <f t="array" ref="H1757">IF(B1757="","",_xlfn.XLOOKUP(B1757,'Form responses 1'!$B$2:$B$2604,'Form responses 1'!$F$2:$F$2604,""))</f>
        <v/>
      </c>
      <c r="I1757" s="44" t="str">
        <f t="array" ref="I1757">IF(B1757="","",_xlfn.XLOOKUP(B1757,'Form responses 1'!$B$2:$B$2604,'Form responses 1'!$I$2:$I$2604,""))</f>
        <v/>
      </c>
      <c r="J1757" s="44" t="str">
        <f t="array" ref="J1757">IF(B1757="","",_xlfn.XLOOKUP(B1757,'Form responses 1'!$B$2:$B$2604,'Form responses 1'!$G$2:$G$2604,""))</f>
        <v/>
      </c>
      <c r="K1757" s="56"/>
      <c r="L1757" s="58" t="str">
        <f t="shared" si="7"/>
        <v/>
      </c>
      <c r="M1757" s="49"/>
      <c r="N1757" s="49"/>
      <c r="O1757" s="49"/>
      <c r="P1757" s="49"/>
      <c r="Q1757" s="49"/>
      <c r="R1757" s="49"/>
      <c r="S1757" s="49"/>
      <c r="T1757" s="49"/>
      <c r="U1757" s="49"/>
      <c r="V1757" s="49"/>
      <c r="W1757" s="56"/>
      <c r="X1757" s="51" t="str">
        <f t="shared" si="5"/>
        <v/>
      </c>
      <c r="Y1757" s="50" t="s">
        <v>482</v>
      </c>
      <c r="Z1757" s="49">
        <f t="shared" si="6"/>
        <v>0</v>
      </c>
    </row>
    <row r="1758" ht="22.5" customHeight="1">
      <c r="B1758" s="57"/>
      <c r="C1758" s="43" t="str">
        <f t="array" ref="C1758">IF(B1758="","",_xlfn.XLOOKUP(B1758,'Form responses 1'!$B$2:$B$2604,'Form responses 1'!$A$2:$A$2604,""))</f>
        <v/>
      </c>
      <c r="D1758" s="44" t="str">
        <f t="shared" si="3"/>
        <v/>
      </c>
      <c r="E1758" s="44" t="str">
        <f t="array" ref="E1758">IF(B1758="","",_xlfn.XLOOKUP(B1758,'Form responses 1'!$B$2:$B$2604,'Form responses 1'!$C$2:$C$2604,""))</f>
        <v/>
      </c>
      <c r="F1758" s="44" t="str">
        <f t="array" ref="F1758">IF(B1758="","",_xlfn.XLOOKUP(B1758,'Form responses 1'!$B$2:$B$2604,'Form responses 1'!$D$2:$D$2604,""))</f>
        <v/>
      </c>
      <c r="G1758" s="44" t="str">
        <f t="array" ref="G1758">IF(B1758="","",_xlfn.XLOOKUP(B1758,'Form responses 1'!$B$2:$B$2604,'Form responses 1'!$E$2:$E$2604,""))</f>
        <v/>
      </c>
      <c r="H1758" s="44" t="str">
        <f t="array" ref="H1758">IF(B1758="","",_xlfn.XLOOKUP(B1758,'Form responses 1'!$B$2:$B$2604,'Form responses 1'!$F$2:$F$2604,""))</f>
        <v/>
      </c>
      <c r="I1758" s="44" t="str">
        <f t="array" ref="I1758">IF(B1758="","",_xlfn.XLOOKUP(B1758,'Form responses 1'!$B$2:$B$2604,'Form responses 1'!$I$2:$I$2604,""))</f>
        <v/>
      </c>
      <c r="J1758" s="44" t="str">
        <f t="array" ref="J1758">IF(B1758="","",_xlfn.XLOOKUP(B1758,'Form responses 1'!$B$2:$B$2604,'Form responses 1'!$G$2:$G$2604,""))</f>
        <v/>
      </c>
      <c r="K1758" s="56"/>
      <c r="L1758" s="58" t="str">
        <f t="shared" si="7"/>
        <v/>
      </c>
      <c r="M1758" s="49"/>
      <c r="N1758" s="49"/>
      <c r="O1758" s="49"/>
      <c r="P1758" s="49"/>
      <c r="Q1758" s="49"/>
      <c r="R1758" s="49"/>
      <c r="S1758" s="49"/>
      <c r="T1758" s="49"/>
      <c r="U1758" s="49"/>
      <c r="V1758" s="49"/>
      <c r="W1758" s="56"/>
      <c r="X1758" s="51" t="str">
        <f t="shared" si="5"/>
        <v/>
      </c>
      <c r="Y1758" s="50" t="s">
        <v>482</v>
      </c>
      <c r="Z1758" s="49">
        <f t="shared" si="6"/>
        <v>0</v>
      </c>
    </row>
    <row r="1759" ht="22.5" customHeight="1">
      <c r="B1759" s="57"/>
      <c r="C1759" s="43" t="str">
        <f t="array" ref="C1759">IF(B1759="","",_xlfn.XLOOKUP(B1759,'Form responses 1'!$B$2:$B$2604,'Form responses 1'!$A$2:$A$2604,""))</f>
        <v/>
      </c>
      <c r="D1759" s="44" t="str">
        <f t="shared" si="3"/>
        <v/>
      </c>
      <c r="E1759" s="44" t="str">
        <f t="array" ref="E1759">IF(B1759="","",_xlfn.XLOOKUP(B1759,'Form responses 1'!$B$2:$B$2604,'Form responses 1'!$C$2:$C$2604,""))</f>
        <v/>
      </c>
      <c r="F1759" s="44" t="str">
        <f t="array" ref="F1759">IF(B1759="","",_xlfn.XLOOKUP(B1759,'Form responses 1'!$B$2:$B$2604,'Form responses 1'!$D$2:$D$2604,""))</f>
        <v/>
      </c>
      <c r="G1759" s="44" t="str">
        <f t="array" ref="G1759">IF(B1759="","",_xlfn.XLOOKUP(B1759,'Form responses 1'!$B$2:$B$2604,'Form responses 1'!$E$2:$E$2604,""))</f>
        <v/>
      </c>
      <c r="H1759" s="44" t="str">
        <f t="array" ref="H1759">IF(B1759="","",_xlfn.XLOOKUP(B1759,'Form responses 1'!$B$2:$B$2604,'Form responses 1'!$F$2:$F$2604,""))</f>
        <v/>
      </c>
      <c r="I1759" s="44" t="str">
        <f t="array" ref="I1759">IF(B1759="","",_xlfn.XLOOKUP(B1759,'Form responses 1'!$B$2:$B$2604,'Form responses 1'!$I$2:$I$2604,""))</f>
        <v/>
      </c>
      <c r="J1759" s="44" t="str">
        <f t="array" ref="J1759">IF(B1759="","",_xlfn.XLOOKUP(B1759,'Form responses 1'!$B$2:$B$2604,'Form responses 1'!$G$2:$G$2604,""))</f>
        <v/>
      </c>
      <c r="K1759" s="56"/>
      <c r="L1759" s="58" t="str">
        <f t="shared" si="7"/>
        <v/>
      </c>
      <c r="M1759" s="49"/>
      <c r="N1759" s="49"/>
      <c r="O1759" s="49"/>
      <c r="P1759" s="49"/>
      <c r="Q1759" s="49"/>
      <c r="R1759" s="49"/>
      <c r="S1759" s="49"/>
      <c r="T1759" s="49"/>
      <c r="U1759" s="49"/>
      <c r="V1759" s="49"/>
      <c r="W1759" s="56"/>
      <c r="X1759" s="51" t="str">
        <f t="shared" si="5"/>
        <v/>
      </c>
      <c r="Y1759" s="50" t="s">
        <v>482</v>
      </c>
      <c r="Z1759" s="49">
        <f t="shared" si="6"/>
        <v>0</v>
      </c>
    </row>
    <row r="1760" ht="22.5" customHeight="1">
      <c r="B1760" s="57"/>
      <c r="C1760" s="43" t="str">
        <f t="array" ref="C1760">IF(B1760="","",_xlfn.XLOOKUP(B1760,'Form responses 1'!$B$2:$B$2604,'Form responses 1'!$A$2:$A$2604,""))</f>
        <v/>
      </c>
      <c r="D1760" s="44" t="str">
        <f t="shared" si="3"/>
        <v/>
      </c>
      <c r="E1760" s="44" t="str">
        <f t="array" ref="E1760">IF(B1760="","",_xlfn.XLOOKUP(B1760,'Form responses 1'!$B$2:$B$2604,'Form responses 1'!$C$2:$C$2604,""))</f>
        <v/>
      </c>
      <c r="F1760" s="44" t="str">
        <f t="array" ref="F1760">IF(B1760="","",_xlfn.XLOOKUP(B1760,'Form responses 1'!$B$2:$B$2604,'Form responses 1'!$D$2:$D$2604,""))</f>
        <v/>
      </c>
      <c r="G1760" s="44" t="str">
        <f t="array" ref="G1760">IF(B1760="","",_xlfn.XLOOKUP(B1760,'Form responses 1'!$B$2:$B$2604,'Form responses 1'!$E$2:$E$2604,""))</f>
        <v/>
      </c>
      <c r="H1760" s="44" t="str">
        <f t="array" ref="H1760">IF(B1760="","",_xlfn.XLOOKUP(B1760,'Form responses 1'!$B$2:$B$2604,'Form responses 1'!$F$2:$F$2604,""))</f>
        <v/>
      </c>
      <c r="I1760" s="44" t="str">
        <f t="array" ref="I1760">IF(B1760="","",_xlfn.XLOOKUP(B1760,'Form responses 1'!$B$2:$B$2604,'Form responses 1'!$I$2:$I$2604,""))</f>
        <v/>
      </c>
      <c r="J1760" s="44" t="str">
        <f t="array" ref="J1760">IF(B1760="","",_xlfn.XLOOKUP(B1760,'Form responses 1'!$B$2:$B$2604,'Form responses 1'!$G$2:$G$2604,""))</f>
        <v/>
      </c>
      <c r="K1760" s="56"/>
      <c r="L1760" s="58" t="str">
        <f t="shared" si="7"/>
        <v/>
      </c>
      <c r="M1760" s="49"/>
      <c r="N1760" s="49"/>
      <c r="O1760" s="49"/>
      <c r="P1760" s="49"/>
      <c r="Q1760" s="49"/>
      <c r="R1760" s="49"/>
      <c r="S1760" s="49"/>
      <c r="T1760" s="49"/>
      <c r="U1760" s="49"/>
      <c r="V1760" s="49"/>
      <c r="W1760" s="56"/>
      <c r="X1760" s="51" t="str">
        <f t="shared" si="5"/>
        <v/>
      </c>
      <c r="Y1760" s="50" t="s">
        <v>482</v>
      </c>
      <c r="Z1760" s="49">
        <f t="shared" si="6"/>
        <v>0</v>
      </c>
    </row>
    <row r="1761" ht="22.5" customHeight="1">
      <c r="B1761" s="57"/>
      <c r="C1761" s="43" t="str">
        <f t="array" ref="C1761">IF(B1761="","",_xlfn.XLOOKUP(B1761,'Form responses 1'!$B$2:$B$2604,'Form responses 1'!$A$2:$A$2604,""))</f>
        <v/>
      </c>
      <c r="D1761" s="44" t="str">
        <f t="shared" si="3"/>
        <v/>
      </c>
      <c r="E1761" s="44" t="str">
        <f t="array" ref="E1761">IF(B1761="","",_xlfn.XLOOKUP(B1761,'Form responses 1'!$B$2:$B$2604,'Form responses 1'!$C$2:$C$2604,""))</f>
        <v/>
      </c>
      <c r="F1761" s="44" t="str">
        <f t="array" ref="F1761">IF(B1761="","",_xlfn.XLOOKUP(B1761,'Form responses 1'!$B$2:$B$2604,'Form responses 1'!$D$2:$D$2604,""))</f>
        <v/>
      </c>
      <c r="G1761" s="44" t="str">
        <f t="array" ref="G1761">IF(B1761="","",_xlfn.XLOOKUP(B1761,'Form responses 1'!$B$2:$B$2604,'Form responses 1'!$E$2:$E$2604,""))</f>
        <v/>
      </c>
      <c r="H1761" s="44" t="str">
        <f t="array" ref="H1761">IF(B1761="","",_xlfn.XLOOKUP(B1761,'Form responses 1'!$B$2:$B$2604,'Form responses 1'!$F$2:$F$2604,""))</f>
        <v/>
      </c>
      <c r="I1761" s="44" t="str">
        <f t="array" ref="I1761">IF(B1761="","",_xlfn.XLOOKUP(B1761,'Form responses 1'!$B$2:$B$2604,'Form responses 1'!$I$2:$I$2604,""))</f>
        <v/>
      </c>
      <c r="J1761" s="44" t="str">
        <f t="array" ref="J1761">IF(B1761="","",_xlfn.XLOOKUP(B1761,'Form responses 1'!$B$2:$B$2604,'Form responses 1'!$G$2:$G$2604,""))</f>
        <v/>
      </c>
      <c r="K1761" s="56"/>
      <c r="L1761" s="58" t="str">
        <f t="shared" si="7"/>
        <v/>
      </c>
      <c r="M1761" s="49"/>
      <c r="N1761" s="49"/>
      <c r="O1761" s="49"/>
      <c r="P1761" s="49"/>
      <c r="Q1761" s="49"/>
      <c r="R1761" s="49"/>
      <c r="S1761" s="49"/>
      <c r="T1761" s="49"/>
      <c r="U1761" s="49"/>
      <c r="V1761" s="49"/>
      <c r="W1761" s="56"/>
      <c r="X1761" s="51" t="str">
        <f t="shared" si="5"/>
        <v/>
      </c>
      <c r="Y1761" s="50" t="s">
        <v>482</v>
      </c>
      <c r="Z1761" s="49">
        <f t="shared" si="6"/>
        <v>0</v>
      </c>
    </row>
    <row r="1762" ht="22.5" customHeight="1">
      <c r="B1762" s="57"/>
      <c r="C1762" s="43" t="str">
        <f t="array" ref="C1762">IF(B1762="","",_xlfn.XLOOKUP(B1762,'Form responses 1'!$B$2:$B$2604,'Form responses 1'!$A$2:$A$2604,""))</f>
        <v/>
      </c>
      <c r="D1762" s="44" t="str">
        <f t="shared" si="3"/>
        <v/>
      </c>
      <c r="E1762" s="44" t="str">
        <f t="array" ref="E1762">IF(B1762="","",_xlfn.XLOOKUP(B1762,'Form responses 1'!$B$2:$B$2604,'Form responses 1'!$C$2:$C$2604,""))</f>
        <v/>
      </c>
      <c r="F1762" s="44" t="str">
        <f t="array" ref="F1762">IF(B1762="","",_xlfn.XLOOKUP(B1762,'Form responses 1'!$B$2:$B$2604,'Form responses 1'!$D$2:$D$2604,""))</f>
        <v/>
      </c>
      <c r="G1762" s="44" t="str">
        <f t="array" ref="G1762">IF(B1762="","",_xlfn.XLOOKUP(B1762,'Form responses 1'!$B$2:$B$2604,'Form responses 1'!$E$2:$E$2604,""))</f>
        <v/>
      </c>
      <c r="H1762" s="44" t="str">
        <f t="array" ref="H1762">IF(B1762="","",_xlfn.XLOOKUP(B1762,'Form responses 1'!$B$2:$B$2604,'Form responses 1'!$F$2:$F$2604,""))</f>
        <v/>
      </c>
      <c r="I1762" s="44" t="str">
        <f t="array" ref="I1762">IF(B1762="","",_xlfn.XLOOKUP(B1762,'Form responses 1'!$B$2:$B$2604,'Form responses 1'!$I$2:$I$2604,""))</f>
        <v/>
      </c>
      <c r="J1762" s="44" t="str">
        <f t="array" ref="J1762">IF(B1762="","",_xlfn.XLOOKUP(B1762,'Form responses 1'!$B$2:$B$2604,'Form responses 1'!$G$2:$G$2604,""))</f>
        <v/>
      </c>
      <c r="K1762" s="56"/>
      <c r="L1762" s="58" t="str">
        <f t="shared" si="7"/>
        <v/>
      </c>
      <c r="M1762" s="49"/>
      <c r="N1762" s="49"/>
      <c r="O1762" s="49"/>
      <c r="P1762" s="49"/>
      <c r="Q1762" s="49"/>
      <c r="R1762" s="49"/>
      <c r="S1762" s="49"/>
      <c r="T1762" s="49"/>
      <c r="U1762" s="49"/>
      <c r="V1762" s="49"/>
      <c r="W1762" s="56"/>
      <c r="X1762" s="51" t="str">
        <f t="shared" si="5"/>
        <v/>
      </c>
      <c r="Y1762" s="50" t="s">
        <v>482</v>
      </c>
      <c r="Z1762" s="49">
        <f t="shared" si="6"/>
        <v>0</v>
      </c>
    </row>
    <row r="1763" ht="22.5" customHeight="1">
      <c r="B1763" s="57"/>
      <c r="C1763" s="43" t="str">
        <f t="array" ref="C1763">IF(B1763="","",_xlfn.XLOOKUP(B1763,'Form responses 1'!$B$2:$B$2604,'Form responses 1'!$A$2:$A$2604,""))</f>
        <v/>
      </c>
      <c r="D1763" s="44" t="str">
        <f t="shared" si="3"/>
        <v/>
      </c>
      <c r="E1763" s="44" t="str">
        <f t="array" ref="E1763">IF(B1763="","",_xlfn.XLOOKUP(B1763,'Form responses 1'!$B$2:$B$2604,'Form responses 1'!$C$2:$C$2604,""))</f>
        <v/>
      </c>
      <c r="F1763" s="44" t="str">
        <f t="array" ref="F1763">IF(B1763="","",_xlfn.XLOOKUP(B1763,'Form responses 1'!$B$2:$B$2604,'Form responses 1'!$D$2:$D$2604,""))</f>
        <v/>
      </c>
      <c r="G1763" s="44" t="str">
        <f t="array" ref="G1763">IF(B1763="","",_xlfn.XLOOKUP(B1763,'Form responses 1'!$B$2:$B$2604,'Form responses 1'!$E$2:$E$2604,""))</f>
        <v/>
      </c>
      <c r="H1763" s="44" t="str">
        <f t="array" ref="H1763">IF(B1763="","",_xlfn.XLOOKUP(B1763,'Form responses 1'!$B$2:$B$2604,'Form responses 1'!$F$2:$F$2604,""))</f>
        <v/>
      </c>
      <c r="I1763" s="44" t="str">
        <f t="array" ref="I1763">IF(B1763="","",_xlfn.XLOOKUP(B1763,'Form responses 1'!$B$2:$B$2604,'Form responses 1'!$I$2:$I$2604,""))</f>
        <v/>
      </c>
      <c r="J1763" s="44" t="str">
        <f t="array" ref="J1763">IF(B1763="","",_xlfn.XLOOKUP(B1763,'Form responses 1'!$B$2:$B$2604,'Form responses 1'!$G$2:$G$2604,""))</f>
        <v/>
      </c>
      <c r="K1763" s="56"/>
      <c r="L1763" s="58" t="str">
        <f t="shared" si="7"/>
        <v/>
      </c>
      <c r="M1763" s="49"/>
      <c r="N1763" s="49"/>
      <c r="O1763" s="49"/>
      <c r="P1763" s="49"/>
      <c r="Q1763" s="49"/>
      <c r="R1763" s="49"/>
      <c r="S1763" s="49"/>
      <c r="T1763" s="49"/>
      <c r="U1763" s="49"/>
      <c r="V1763" s="49"/>
      <c r="W1763" s="56"/>
      <c r="X1763" s="51" t="str">
        <f t="shared" si="5"/>
        <v/>
      </c>
      <c r="Y1763" s="50" t="s">
        <v>482</v>
      </c>
      <c r="Z1763" s="49">
        <f t="shared" si="6"/>
        <v>0</v>
      </c>
    </row>
    <row r="1764" ht="22.5" customHeight="1">
      <c r="B1764" s="57"/>
      <c r="C1764" s="43" t="str">
        <f t="array" ref="C1764">IF(B1764="","",_xlfn.XLOOKUP(B1764,'Form responses 1'!$B$2:$B$2604,'Form responses 1'!$A$2:$A$2604,""))</f>
        <v/>
      </c>
      <c r="D1764" s="44" t="str">
        <f t="shared" si="3"/>
        <v/>
      </c>
      <c r="E1764" s="44" t="str">
        <f t="array" ref="E1764">IF(B1764="","",_xlfn.XLOOKUP(B1764,'Form responses 1'!$B$2:$B$2604,'Form responses 1'!$C$2:$C$2604,""))</f>
        <v/>
      </c>
      <c r="F1764" s="44" t="str">
        <f t="array" ref="F1764">IF(B1764="","",_xlfn.XLOOKUP(B1764,'Form responses 1'!$B$2:$B$2604,'Form responses 1'!$D$2:$D$2604,""))</f>
        <v/>
      </c>
      <c r="G1764" s="44" t="str">
        <f t="array" ref="G1764">IF(B1764="","",_xlfn.XLOOKUP(B1764,'Form responses 1'!$B$2:$B$2604,'Form responses 1'!$E$2:$E$2604,""))</f>
        <v/>
      </c>
      <c r="H1764" s="44" t="str">
        <f t="array" ref="H1764">IF(B1764="","",_xlfn.XLOOKUP(B1764,'Form responses 1'!$B$2:$B$2604,'Form responses 1'!$F$2:$F$2604,""))</f>
        <v/>
      </c>
      <c r="I1764" s="44" t="str">
        <f t="array" ref="I1764">IF(B1764="","",_xlfn.XLOOKUP(B1764,'Form responses 1'!$B$2:$B$2604,'Form responses 1'!$I$2:$I$2604,""))</f>
        <v/>
      </c>
      <c r="J1764" s="44" t="str">
        <f t="array" ref="J1764">IF(B1764="","",_xlfn.XLOOKUP(B1764,'Form responses 1'!$B$2:$B$2604,'Form responses 1'!$G$2:$G$2604,""))</f>
        <v/>
      </c>
      <c r="K1764" s="56"/>
      <c r="L1764" s="58" t="str">
        <f t="shared" si="7"/>
        <v/>
      </c>
      <c r="M1764" s="49"/>
      <c r="N1764" s="49"/>
      <c r="O1764" s="49"/>
      <c r="P1764" s="49"/>
      <c r="Q1764" s="49"/>
      <c r="R1764" s="49"/>
      <c r="S1764" s="49"/>
      <c r="T1764" s="49"/>
      <c r="U1764" s="49"/>
      <c r="V1764" s="49"/>
      <c r="W1764" s="56"/>
      <c r="X1764" s="51" t="str">
        <f t="shared" si="5"/>
        <v/>
      </c>
      <c r="Y1764" s="50" t="s">
        <v>482</v>
      </c>
      <c r="Z1764" s="49">
        <f t="shared" si="6"/>
        <v>0</v>
      </c>
    </row>
    <row r="1765" ht="22.5" customHeight="1">
      <c r="B1765" s="57"/>
      <c r="C1765" s="43" t="str">
        <f t="array" ref="C1765">IF(B1765="","",_xlfn.XLOOKUP(B1765,'Form responses 1'!$B$2:$B$2604,'Form responses 1'!$A$2:$A$2604,""))</f>
        <v/>
      </c>
      <c r="D1765" s="44" t="str">
        <f t="shared" si="3"/>
        <v/>
      </c>
      <c r="E1765" s="44" t="str">
        <f t="array" ref="E1765">IF(B1765="","",_xlfn.XLOOKUP(B1765,'Form responses 1'!$B$2:$B$2604,'Form responses 1'!$C$2:$C$2604,""))</f>
        <v/>
      </c>
      <c r="F1765" s="44" t="str">
        <f t="array" ref="F1765">IF(B1765="","",_xlfn.XLOOKUP(B1765,'Form responses 1'!$B$2:$B$2604,'Form responses 1'!$D$2:$D$2604,""))</f>
        <v/>
      </c>
      <c r="G1765" s="44" t="str">
        <f t="array" ref="G1765">IF(B1765="","",_xlfn.XLOOKUP(B1765,'Form responses 1'!$B$2:$B$2604,'Form responses 1'!$E$2:$E$2604,""))</f>
        <v/>
      </c>
      <c r="H1765" s="44" t="str">
        <f t="array" ref="H1765">IF(B1765="","",_xlfn.XLOOKUP(B1765,'Form responses 1'!$B$2:$B$2604,'Form responses 1'!$F$2:$F$2604,""))</f>
        <v/>
      </c>
      <c r="I1765" s="44" t="str">
        <f t="array" ref="I1765">IF(B1765="","",_xlfn.XLOOKUP(B1765,'Form responses 1'!$B$2:$B$2604,'Form responses 1'!$I$2:$I$2604,""))</f>
        <v/>
      </c>
      <c r="J1765" s="44" t="str">
        <f t="array" ref="J1765">IF(B1765="","",_xlfn.XLOOKUP(B1765,'Form responses 1'!$B$2:$B$2604,'Form responses 1'!$G$2:$G$2604,""))</f>
        <v/>
      </c>
      <c r="K1765" s="56"/>
      <c r="L1765" s="58" t="str">
        <f t="shared" si="7"/>
        <v/>
      </c>
      <c r="M1765" s="49"/>
      <c r="N1765" s="49"/>
      <c r="O1765" s="49"/>
      <c r="P1765" s="49"/>
      <c r="Q1765" s="49"/>
      <c r="R1765" s="49"/>
      <c r="S1765" s="49"/>
      <c r="T1765" s="49"/>
      <c r="U1765" s="49"/>
      <c r="V1765" s="49"/>
      <c r="W1765" s="56"/>
      <c r="X1765" s="51" t="str">
        <f t="shared" si="5"/>
        <v/>
      </c>
      <c r="Y1765" s="50" t="s">
        <v>482</v>
      </c>
      <c r="Z1765" s="49">
        <f t="shared" si="6"/>
        <v>0</v>
      </c>
    </row>
    <row r="1766" ht="22.5" customHeight="1">
      <c r="B1766" s="57"/>
      <c r="C1766" s="43" t="str">
        <f t="array" ref="C1766">IF(B1766="","",_xlfn.XLOOKUP(B1766,'Form responses 1'!$B$2:$B$2604,'Form responses 1'!$A$2:$A$2604,""))</f>
        <v/>
      </c>
      <c r="D1766" s="44" t="str">
        <f t="shared" si="3"/>
        <v/>
      </c>
      <c r="E1766" s="44" t="str">
        <f t="array" ref="E1766">IF(B1766="","",_xlfn.XLOOKUP(B1766,'Form responses 1'!$B$2:$B$2604,'Form responses 1'!$C$2:$C$2604,""))</f>
        <v/>
      </c>
      <c r="F1766" s="44" t="str">
        <f t="array" ref="F1766">IF(B1766="","",_xlfn.XLOOKUP(B1766,'Form responses 1'!$B$2:$B$2604,'Form responses 1'!$D$2:$D$2604,""))</f>
        <v/>
      </c>
      <c r="G1766" s="44" t="str">
        <f t="array" ref="G1766">IF(B1766="","",_xlfn.XLOOKUP(B1766,'Form responses 1'!$B$2:$B$2604,'Form responses 1'!$E$2:$E$2604,""))</f>
        <v/>
      </c>
      <c r="H1766" s="44" t="str">
        <f t="array" ref="H1766">IF(B1766="","",_xlfn.XLOOKUP(B1766,'Form responses 1'!$B$2:$B$2604,'Form responses 1'!$F$2:$F$2604,""))</f>
        <v/>
      </c>
      <c r="I1766" s="44" t="str">
        <f t="array" ref="I1766">IF(B1766="","",_xlfn.XLOOKUP(B1766,'Form responses 1'!$B$2:$B$2604,'Form responses 1'!$I$2:$I$2604,""))</f>
        <v/>
      </c>
      <c r="J1766" s="44" t="str">
        <f t="array" ref="J1766">IF(B1766="","",_xlfn.XLOOKUP(B1766,'Form responses 1'!$B$2:$B$2604,'Form responses 1'!$G$2:$G$2604,""))</f>
        <v/>
      </c>
      <c r="K1766" s="56"/>
      <c r="L1766" s="58" t="str">
        <f t="shared" si="7"/>
        <v/>
      </c>
      <c r="M1766" s="49"/>
      <c r="N1766" s="49"/>
      <c r="O1766" s="49"/>
      <c r="P1766" s="49"/>
      <c r="Q1766" s="49"/>
      <c r="R1766" s="49"/>
      <c r="S1766" s="49"/>
      <c r="T1766" s="49"/>
      <c r="U1766" s="49"/>
      <c r="V1766" s="49"/>
      <c r="W1766" s="56"/>
      <c r="X1766" s="51" t="str">
        <f t="shared" si="5"/>
        <v/>
      </c>
      <c r="Y1766" s="50" t="s">
        <v>482</v>
      </c>
      <c r="Z1766" s="49">
        <f t="shared" si="6"/>
        <v>0</v>
      </c>
    </row>
    <row r="1767" ht="22.5" customHeight="1">
      <c r="B1767" s="57"/>
      <c r="C1767" s="43" t="str">
        <f t="array" ref="C1767">IF(B1767="","",_xlfn.XLOOKUP(B1767,'Form responses 1'!$B$2:$B$2604,'Form responses 1'!$A$2:$A$2604,""))</f>
        <v/>
      </c>
      <c r="D1767" s="44" t="str">
        <f t="shared" si="3"/>
        <v/>
      </c>
      <c r="E1767" s="44" t="str">
        <f t="array" ref="E1767">IF(B1767="","",_xlfn.XLOOKUP(B1767,'Form responses 1'!$B$2:$B$2604,'Form responses 1'!$C$2:$C$2604,""))</f>
        <v/>
      </c>
      <c r="F1767" s="44" t="str">
        <f t="array" ref="F1767">IF(B1767="","",_xlfn.XLOOKUP(B1767,'Form responses 1'!$B$2:$B$2604,'Form responses 1'!$D$2:$D$2604,""))</f>
        <v/>
      </c>
      <c r="G1767" s="44" t="str">
        <f t="array" ref="G1767">IF(B1767="","",_xlfn.XLOOKUP(B1767,'Form responses 1'!$B$2:$B$2604,'Form responses 1'!$E$2:$E$2604,""))</f>
        <v/>
      </c>
      <c r="H1767" s="44" t="str">
        <f t="array" ref="H1767">IF(B1767="","",_xlfn.XLOOKUP(B1767,'Form responses 1'!$B$2:$B$2604,'Form responses 1'!$F$2:$F$2604,""))</f>
        <v/>
      </c>
      <c r="I1767" s="44" t="str">
        <f t="array" ref="I1767">IF(B1767="","",_xlfn.XLOOKUP(B1767,'Form responses 1'!$B$2:$B$2604,'Form responses 1'!$I$2:$I$2604,""))</f>
        <v/>
      </c>
      <c r="J1767" s="44" t="str">
        <f t="array" ref="J1767">IF(B1767="","",_xlfn.XLOOKUP(B1767,'Form responses 1'!$B$2:$B$2604,'Form responses 1'!$G$2:$G$2604,""))</f>
        <v/>
      </c>
      <c r="K1767" s="56"/>
      <c r="L1767" s="58" t="str">
        <f t="shared" si="7"/>
        <v/>
      </c>
      <c r="M1767" s="49"/>
      <c r="N1767" s="49"/>
      <c r="O1767" s="49"/>
      <c r="P1767" s="49"/>
      <c r="Q1767" s="49"/>
      <c r="R1767" s="49"/>
      <c r="S1767" s="49"/>
      <c r="T1767" s="49"/>
      <c r="U1767" s="49"/>
      <c r="V1767" s="49"/>
      <c r="W1767" s="56"/>
      <c r="X1767" s="51" t="str">
        <f t="shared" si="5"/>
        <v/>
      </c>
      <c r="Y1767" s="50" t="s">
        <v>482</v>
      </c>
      <c r="Z1767" s="49">
        <f t="shared" si="6"/>
        <v>0</v>
      </c>
    </row>
    <row r="1768" ht="22.5" customHeight="1">
      <c r="B1768" s="57"/>
      <c r="C1768" s="43" t="str">
        <f t="array" ref="C1768">IF(B1768="","",_xlfn.XLOOKUP(B1768,'Form responses 1'!$B$2:$B$2604,'Form responses 1'!$A$2:$A$2604,""))</f>
        <v/>
      </c>
      <c r="D1768" s="44" t="str">
        <f t="shared" si="3"/>
        <v/>
      </c>
      <c r="E1768" s="44" t="str">
        <f t="array" ref="E1768">IF(B1768="","",_xlfn.XLOOKUP(B1768,'Form responses 1'!$B$2:$B$2604,'Form responses 1'!$C$2:$C$2604,""))</f>
        <v/>
      </c>
      <c r="F1768" s="44" t="str">
        <f t="array" ref="F1768">IF(B1768="","",_xlfn.XLOOKUP(B1768,'Form responses 1'!$B$2:$B$2604,'Form responses 1'!$D$2:$D$2604,""))</f>
        <v/>
      </c>
      <c r="G1768" s="44" t="str">
        <f t="array" ref="G1768">IF(B1768="","",_xlfn.XLOOKUP(B1768,'Form responses 1'!$B$2:$B$2604,'Form responses 1'!$E$2:$E$2604,""))</f>
        <v/>
      </c>
      <c r="H1768" s="44" t="str">
        <f t="array" ref="H1768">IF(B1768="","",_xlfn.XLOOKUP(B1768,'Form responses 1'!$B$2:$B$2604,'Form responses 1'!$F$2:$F$2604,""))</f>
        <v/>
      </c>
      <c r="I1768" s="44" t="str">
        <f t="array" ref="I1768">IF(B1768="","",_xlfn.XLOOKUP(B1768,'Form responses 1'!$B$2:$B$2604,'Form responses 1'!$I$2:$I$2604,""))</f>
        <v/>
      </c>
      <c r="J1768" s="44" t="str">
        <f t="array" ref="J1768">IF(B1768="","",_xlfn.XLOOKUP(B1768,'Form responses 1'!$B$2:$B$2604,'Form responses 1'!$G$2:$G$2604,""))</f>
        <v/>
      </c>
      <c r="K1768" s="56"/>
      <c r="L1768" s="58" t="str">
        <f t="shared" si="7"/>
        <v/>
      </c>
      <c r="M1768" s="49"/>
      <c r="N1768" s="49"/>
      <c r="O1768" s="49"/>
      <c r="P1768" s="49"/>
      <c r="Q1768" s="49"/>
      <c r="R1768" s="49"/>
      <c r="S1768" s="49"/>
      <c r="T1768" s="49"/>
      <c r="U1768" s="49"/>
      <c r="V1768" s="49"/>
      <c r="W1768" s="56"/>
      <c r="X1768" s="51" t="str">
        <f t="shared" si="5"/>
        <v/>
      </c>
      <c r="Y1768" s="50" t="s">
        <v>482</v>
      </c>
      <c r="Z1768" s="49">
        <f t="shared" si="6"/>
        <v>0</v>
      </c>
    </row>
    <row r="1769" ht="22.5" customHeight="1">
      <c r="B1769" s="57"/>
      <c r="C1769" s="43" t="str">
        <f t="array" ref="C1769">IF(B1769="","",_xlfn.XLOOKUP(B1769,'Form responses 1'!$B$2:$B$2604,'Form responses 1'!$A$2:$A$2604,""))</f>
        <v/>
      </c>
      <c r="D1769" s="44" t="str">
        <f t="shared" si="3"/>
        <v/>
      </c>
      <c r="E1769" s="44" t="str">
        <f t="array" ref="E1769">IF(B1769="","",_xlfn.XLOOKUP(B1769,'Form responses 1'!$B$2:$B$2604,'Form responses 1'!$C$2:$C$2604,""))</f>
        <v/>
      </c>
      <c r="F1769" s="44" t="str">
        <f t="array" ref="F1769">IF(B1769="","",_xlfn.XLOOKUP(B1769,'Form responses 1'!$B$2:$B$2604,'Form responses 1'!$D$2:$D$2604,""))</f>
        <v/>
      </c>
      <c r="G1769" s="44" t="str">
        <f t="array" ref="G1769">IF(B1769="","",_xlfn.XLOOKUP(B1769,'Form responses 1'!$B$2:$B$2604,'Form responses 1'!$E$2:$E$2604,""))</f>
        <v/>
      </c>
      <c r="H1769" s="44" t="str">
        <f t="array" ref="H1769">IF(B1769="","",_xlfn.XLOOKUP(B1769,'Form responses 1'!$B$2:$B$2604,'Form responses 1'!$F$2:$F$2604,""))</f>
        <v/>
      </c>
      <c r="I1769" s="44" t="str">
        <f t="array" ref="I1769">IF(B1769="","",_xlfn.XLOOKUP(B1769,'Form responses 1'!$B$2:$B$2604,'Form responses 1'!$I$2:$I$2604,""))</f>
        <v/>
      </c>
      <c r="J1769" s="44" t="str">
        <f t="array" ref="J1769">IF(B1769="","",_xlfn.XLOOKUP(B1769,'Form responses 1'!$B$2:$B$2604,'Form responses 1'!$G$2:$G$2604,""))</f>
        <v/>
      </c>
      <c r="K1769" s="56"/>
      <c r="L1769" s="58" t="str">
        <f t="shared" si="7"/>
        <v/>
      </c>
      <c r="M1769" s="49"/>
      <c r="N1769" s="49"/>
      <c r="O1769" s="49"/>
      <c r="P1769" s="49"/>
      <c r="Q1769" s="49"/>
      <c r="R1769" s="49"/>
      <c r="S1769" s="49"/>
      <c r="T1769" s="49"/>
      <c r="U1769" s="49"/>
      <c r="V1769" s="49"/>
      <c r="W1769" s="56"/>
      <c r="X1769" s="51" t="str">
        <f t="shared" si="5"/>
        <v/>
      </c>
      <c r="Y1769" s="50" t="s">
        <v>482</v>
      </c>
      <c r="Z1769" s="49">
        <f t="shared" si="6"/>
        <v>0</v>
      </c>
    </row>
    <row r="1770" ht="22.5" customHeight="1">
      <c r="B1770" s="57"/>
      <c r="C1770" s="43" t="str">
        <f t="array" ref="C1770">IF(B1770="","",_xlfn.XLOOKUP(B1770,'Form responses 1'!$B$2:$B$2604,'Form responses 1'!$A$2:$A$2604,""))</f>
        <v/>
      </c>
      <c r="D1770" s="44" t="str">
        <f t="shared" si="3"/>
        <v/>
      </c>
      <c r="E1770" s="44" t="str">
        <f t="array" ref="E1770">IF(B1770="","",_xlfn.XLOOKUP(B1770,'Form responses 1'!$B$2:$B$2604,'Form responses 1'!$C$2:$C$2604,""))</f>
        <v/>
      </c>
      <c r="F1770" s="44" t="str">
        <f t="array" ref="F1770">IF(B1770="","",_xlfn.XLOOKUP(B1770,'Form responses 1'!$B$2:$B$2604,'Form responses 1'!$D$2:$D$2604,""))</f>
        <v/>
      </c>
      <c r="G1770" s="44" t="str">
        <f t="array" ref="G1770">IF(B1770="","",_xlfn.XLOOKUP(B1770,'Form responses 1'!$B$2:$B$2604,'Form responses 1'!$E$2:$E$2604,""))</f>
        <v/>
      </c>
      <c r="H1770" s="44" t="str">
        <f t="array" ref="H1770">IF(B1770="","",_xlfn.XLOOKUP(B1770,'Form responses 1'!$B$2:$B$2604,'Form responses 1'!$F$2:$F$2604,""))</f>
        <v/>
      </c>
      <c r="I1770" s="44" t="str">
        <f t="array" ref="I1770">IF(B1770="","",_xlfn.XLOOKUP(B1770,'Form responses 1'!$B$2:$B$2604,'Form responses 1'!$I$2:$I$2604,""))</f>
        <v/>
      </c>
      <c r="J1770" s="44" t="str">
        <f t="array" ref="J1770">IF(B1770="","",_xlfn.XLOOKUP(B1770,'Form responses 1'!$B$2:$B$2604,'Form responses 1'!$G$2:$G$2604,""))</f>
        <v/>
      </c>
      <c r="K1770" s="56"/>
      <c r="L1770" s="58" t="str">
        <f t="shared" si="7"/>
        <v/>
      </c>
      <c r="M1770" s="49"/>
      <c r="N1770" s="49"/>
      <c r="O1770" s="49"/>
      <c r="P1770" s="49"/>
      <c r="Q1770" s="49"/>
      <c r="R1770" s="49"/>
      <c r="S1770" s="49"/>
      <c r="T1770" s="49"/>
      <c r="U1770" s="49"/>
      <c r="V1770" s="49"/>
      <c r="W1770" s="56"/>
      <c r="X1770" s="51" t="str">
        <f t="shared" si="5"/>
        <v/>
      </c>
      <c r="Y1770" s="50" t="s">
        <v>482</v>
      </c>
      <c r="Z1770" s="49">
        <f t="shared" si="6"/>
        <v>0</v>
      </c>
    </row>
    <row r="1771" ht="22.5" customHeight="1">
      <c r="B1771" s="57"/>
      <c r="C1771" s="43" t="str">
        <f t="array" ref="C1771">IF(B1771="","",_xlfn.XLOOKUP(B1771,'Form responses 1'!$B$2:$B$2604,'Form responses 1'!$A$2:$A$2604,""))</f>
        <v/>
      </c>
      <c r="D1771" s="44" t="str">
        <f t="shared" si="3"/>
        <v/>
      </c>
      <c r="E1771" s="44" t="str">
        <f t="array" ref="E1771">IF(B1771="","",_xlfn.XLOOKUP(B1771,'Form responses 1'!$B$2:$B$2604,'Form responses 1'!$C$2:$C$2604,""))</f>
        <v/>
      </c>
      <c r="F1771" s="44" t="str">
        <f t="array" ref="F1771">IF(B1771="","",_xlfn.XLOOKUP(B1771,'Form responses 1'!$B$2:$B$2604,'Form responses 1'!$D$2:$D$2604,""))</f>
        <v/>
      </c>
      <c r="G1771" s="44" t="str">
        <f t="array" ref="G1771">IF(B1771="","",_xlfn.XLOOKUP(B1771,'Form responses 1'!$B$2:$B$2604,'Form responses 1'!$E$2:$E$2604,""))</f>
        <v/>
      </c>
      <c r="H1771" s="44" t="str">
        <f t="array" ref="H1771">IF(B1771="","",_xlfn.XLOOKUP(B1771,'Form responses 1'!$B$2:$B$2604,'Form responses 1'!$F$2:$F$2604,""))</f>
        <v/>
      </c>
      <c r="I1771" s="44" t="str">
        <f t="array" ref="I1771">IF(B1771="","",_xlfn.XLOOKUP(B1771,'Form responses 1'!$B$2:$B$2604,'Form responses 1'!$I$2:$I$2604,""))</f>
        <v/>
      </c>
      <c r="J1771" s="44" t="str">
        <f t="array" ref="J1771">IF(B1771="","",_xlfn.XLOOKUP(B1771,'Form responses 1'!$B$2:$B$2604,'Form responses 1'!$G$2:$G$2604,""))</f>
        <v/>
      </c>
      <c r="K1771" s="56"/>
      <c r="L1771" s="58" t="str">
        <f t="shared" si="7"/>
        <v/>
      </c>
      <c r="M1771" s="49"/>
      <c r="N1771" s="49"/>
      <c r="O1771" s="49"/>
      <c r="P1771" s="49"/>
      <c r="Q1771" s="49"/>
      <c r="R1771" s="49"/>
      <c r="S1771" s="49"/>
      <c r="T1771" s="49"/>
      <c r="U1771" s="49"/>
      <c r="V1771" s="49"/>
      <c r="W1771" s="56"/>
      <c r="X1771" s="51" t="str">
        <f t="shared" si="5"/>
        <v/>
      </c>
      <c r="Y1771" s="50" t="s">
        <v>482</v>
      </c>
      <c r="Z1771" s="49">
        <f t="shared" si="6"/>
        <v>0</v>
      </c>
    </row>
    <row r="1772" ht="22.5" customHeight="1">
      <c r="B1772" s="57"/>
      <c r="C1772" s="43" t="str">
        <f t="array" ref="C1772">IF(B1772="","",_xlfn.XLOOKUP(B1772,'Form responses 1'!$B$2:$B$2604,'Form responses 1'!$A$2:$A$2604,""))</f>
        <v/>
      </c>
      <c r="D1772" s="44" t="str">
        <f t="shared" si="3"/>
        <v/>
      </c>
      <c r="E1772" s="44" t="str">
        <f t="array" ref="E1772">IF(B1772="","",_xlfn.XLOOKUP(B1772,'Form responses 1'!$B$2:$B$2604,'Form responses 1'!$C$2:$C$2604,""))</f>
        <v/>
      </c>
      <c r="F1772" s="44" t="str">
        <f t="array" ref="F1772">IF(B1772="","",_xlfn.XLOOKUP(B1772,'Form responses 1'!$B$2:$B$2604,'Form responses 1'!$D$2:$D$2604,""))</f>
        <v/>
      </c>
      <c r="G1772" s="44" t="str">
        <f t="array" ref="G1772">IF(B1772="","",_xlfn.XLOOKUP(B1772,'Form responses 1'!$B$2:$B$2604,'Form responses 1'!$E$2:$E$2604,""))</f>
        <v/>
      </c>
      <c r="H1772" s="44" t="str">
        <f t="array" ref="H1772">IF(B1772="","",_xlfn.XLOOKUP(B1772,'Form responses 1'!$B$2:$B$2604,'Form responses 1'!$F$2:$F$2604,""))</f>
        <v/>
      </c>
      <c r="I1772" s="44" t="str">
        <f t="array" ref="I1772">IF(B1772="","",_xlfn.XLOOKUP(B1772,'Form responses 1'!$B$2:$B$2604,'Form responses 1'!$I$2:$I$2604,""))</f>
        <v/>
      </c>
      <c r="J1772" s="44" t="str">
        <f t="array" ref="J1772">IF(B1772="","",_xlfn.XLOOKUP(B1772,'Form responses 1'!$B$2:$B$2604,'Form responses 1'!$G$2:$G$2604,""))</f>
        <v/>
      </c>
      <c r="K1772" s="56"/>
      <c r="L1772" s="58" t="str">
        <f t="shared" si="7"/>
        <v/>
      </c>
      <c r="M1772" s="49"/>
      <c r="N1772" s="49"/>
      <c r="O1772" s="49"/>
      <c r="P1772" s="49"/>
      <c r="Q1772" s="49"/>
      <c r="R1772" s="49"/>
      <c r="S1772" s="49"/>
      <c r="T1772" s="49"/>
      <c r="U1772" s="49"/>
      <c r="V1772" s="49"/>
      <c r="W1772" s="56"/>
      <c r="X1772" s="51" t="str">
        <f t="shared" si="5"/>
        <v/>
      </c>
      <c r="Y1772" s="50" t="s">
        <v>482</v>
      </c>
      <c r="Z1772" s="49">
        <f t="shared" si="6"/>
        <v>0</v>
      </c>
    </row>
    <row r="1773" ht="22.5" customHeight="1">
      <c r="B1773" s="57"/>
      <c r="C1773" s="43" t="str">
        <f t="array" ref="C1773">IF(B1773="","",_xlfn.XLOOKUP(B1773,'Form responses 1'!$B$2:$B$2604,'Form responses 1'!$A$2:$A$2604,""))</f>
        <v/>
      </c>
      <c r="D1773" s="44" t="str">
        <f t="shared" si="3"/>
        <v/>
      </c>
      <c r="E1773" s="44" t="str">
        <f t="array" ref="E1773">IF(B1773="","",_xlfn.XLOOKUP(B1773,'Form responses 1'!$B$2:$B$2604,'Form responses 1'!$C$2:$C$2604,""))</f>
        <v/>
      </c>
      <c r="F1773" s="44" t="str">
        <f t="array" ref="F1773">IF(B1773="","",_xlfn.XLOOKUP(B1773,'Form responses 1'!$B$2:$B$2604,'Form responses 1'!$D$2:$D$2604,""))</f>
        <v/>
      </c>
      <c r="G1773" s="44" t="str">
        <f t="array" ref="G1773">IF(B1773="","",_xlfn.XLOOKUP(B1773,'Form responses 1'!$B$2:$B$2604,'Form responses 1'!$E$2:$E$2604,""))</f>
        <v/>
      </c>
      <c r="H1773" s="44" t="str">
        <f t="array" ref="H1773">IF(B1773="","",_xlfn.XLOOKUP(B1773,'Form responses 1'!$B$2:$B$2604,'Form responses 1'!$F$2:$F$2604,""))</f>
        <v/>
      </c>
      <c r="I1773" s="44" t="str">
        <f t="array" ref="I1773">IF(B1773="","",_xlfn.XLOOKUP(B1773,'Form responses 1'!$B$2:$B$2604,'Form responses 1'!$I$2:$I$2604,""))</f>
        <v/>
      </c>
      <c r="J1773" s="44" t="str">
        <f t="array" ref="J1773">IF(B1773="","",_xlfn.XLOOKUP(B1773,'Form responses 1'!$B$2:$B$2604,'Form responses 1'!$G$2:$G$2604,""))</f>
        <v/>
      </c>
      <c r="K1773" s="56"/>
      <c r="L1773" s="58" t="str">
        <f t="shared" si="7"/>
        <v/>
      </c>
      <c r="M1773" s="49"/>
      <c r="N1773" s="49"/>
      <c r="O1773" s="49"/>
      <c r="P1773" s="49"/>
      <c r="Q1773" s="49"/>
      <c r="R1773" s="49"/>
      <c r="S1773" s="49"/>
      <c r="T1773" s="49"/>
      <c r="U1773" s="49"/>
      <c r="V1773" s="49"/>
      <c r="W1773" s="56"/>
      <c r="X1773" s="51" t="str">
        <f t="shared" si="5"/>
        <v/>
      </c>
      <c r="Y1773" s="50" t="s">
        <v>482</v>
      </c>
      <c r="Z1773" s="49">
        <f t="shared" si="6"/>
        <v>0</v>
      </c>
    </row>
    <row r="1774" ht="22.5" customHeight="1">
      <c r="B1774" s="57"/>
      <c r="C1774" s="43" t="str">
        <f t="array" ref="C1774">IF(B1774="","",_xlfn.XLOOKUP(B1774,'Form responses 1'!$B$2:$B$2604,'Form responses 1'!$A$2:$A$2604,""))</f>
        <v/>
      </c>
      <c r="D1774" s="44" t="str">
        <f t="shared" si="3"/>
        <v/>
      </c>
      <c r="E1774" s="44" t="str">
        <f t="array" ref="E1774">IF(B1774="","",_xlfn.XLOOKUP(B1774,'Form responses 1'!$B$2:$B$2604,'Form responses 1'!$C$2:$C$2604,""))</f>
        <v/>
      </c>
      <c r="F1774" s="44" t="str">
        <f t="array" ref="F1774">IF(B1774="","",_xlfn.XLOOKUP(B1774,'Form responses 1'!$B$2:$B$2604,'Form responses 1'!$D$2:$D$2604,""))</f>
        <v/>
      </c>
      <c r="G1774" s="44" t="str">
        <f t="array" ref="G1774">IF(B1774="","",_xlfn.XLOOKUP(B1774,'Form responses 1'!$B$2:$B$2604,'Form responses 1'!$E$2:$E$2604,""))</f>
        <v/>
      </c>
      <c r="H1774" s="44" t="str">
        <f t="array" ref="H1774">IF(B1774="","",_xlfn.XLOOKUP(B1774,'Form responses 1'!$B$2:$B$2604,'Form responses 1'!$F$2:$F$2604,""))</f>
        <v/>
      </c>
      <c r="I1774" s="44" t="str">
        <f t="array" ref="I1774">IF(B1774="","",_xlfn.XLOOKUP(B1774,'Form responses 1'!$B$2:$B$2604,'Form responses 1'!$I$2:$I$2604,""))</f>
        <v/>
      </c>
      <c r="J1774" s="44" t="str">
        <f t="array" ref="J1774">IF(B1774="","",_xlfn.XLOOKUP(B1774,'Form responses 1'!$B$2:$B$2604,'Form responses 1'!$G$2:$G$2604,""))</f>
        <v/>
      </c>
      <c r="K1774" s="56"/>
      <c r="L1774" s="58" t="str">
        <f t="shared" si="7"/>
        <v/>
      </c>
      <c r="M1774" s="49"/>
      <c r="N1774" s="49"/>
      <c r="O1774" s="49"/>
      <c r="P1774" s="49"/>
      <c r="Q1774" s="49"/>
      <c r="R1774" s="49"/>
      <c r="S1774" s="49"/>
      <c r="T1774" s="49"/>
      <c r="U1774" s="49"/>
      <c r="V1774" s="49"/>
      <c r="W1774" s="56"/>
      <c r="X1774" s="51" t="str">
        <f t="shared" si="5"/>
        <v/>
      </c>
      <c r="Y1774" s="50" t="s">
        <v>482</v>
      </c>
      <c r="Z1774" s="49">
        <f t="shared" si="6"/>
        <v>0</v>
      </c>
    </row>
    <row r="1775" ht="22.5" customHeight="1">
      <c r="B1775" s="57"/>
      <c r="C1775" s="43" t="str">
        <f t="array" ref="C1775">IF(B1775="","",_xlfn.XLOOKUP(B1775,'Form responses 1'!$B$2:$B$2604,'Form responses 1'!$A$2:$A$2604,""))</f>
        <v/>
      </c>
      <c r="D1775" s="44" t="str">
        <f t="shared" si="3"/>
        <v/>
      </c>
      <c r="E1775" s="44" t="str">
        <f t="array" ref="E1775">IF(B1775="","",_xlfn.XLOOKUP(B1775,'Form responses 1'!$B$2:$B$2604,'Form responses 1'!$C$2:$C$2604,""))</f>
        <v/>
      </c>
      <c r="F1775" s="44" t="str">
        <f t="array" ref="F1775">IF(B1775="","",_xlfn.XLOOKUP(B1775,'Form responses 1'!$B$2:$B$2604,'Form responses 1'!$D$2:$D$2604,""))</f>
        <v/>
      </c>
      <c r="G1775" s="44" t="str">
        <f t="array" ref="G1775">IF(B1775="","",_xlfn.XLOOKUP(B1775,'Form responses 1'!$B$2:$B$2604,'Form responses 1'!$E$2:$E$2604,""))</f>
        <v/>
      </c>
      <c r="H1775" s="44" t="str">
        <f t="array" ref="H1775">IF(B1775="","",_xlfn.XLOOKUP(B1775,'Form responses 1'!$B$2:$B$2604,'Form responses 1'!$F$2:$F$2604,""))</f>
        <v/>
      </c>
      <c r="I1775" s="44" t="str">
        <f t="array" ref="I1775">IF(B1775="","",_xlfn.XLOOKUP(B1775,'Form responses 1'!$B$2:$B$2604,'Form responses 1'!$I$2:$I$2604,""))</f>
        <v/>
      </c>
      <c r="J1775" s="44" t="str">
        <f t="array" ref="J1775">IF(B1775="","",_xlfn.XLOOKUP(B1775,'Form responses 1'!$B$2:$B$2604,'Form responses 1'!$G$2:$G$2604,""))</f>
        <v/>
      </c>
      <c r="K1775" s="56"/>
      <c r="L1775" s="58" t="str">
        <f t="shared" si="7"/>
        <v/>
      </c>
      <c r="M1775" s="49"/>
      <c r="N1775" s="49"/>
      <c r="O1775" s="49"/>
      <c r="P1775" s="49"/>
      <c r="Q1775" s="49"/>
      <c r="R1775" s="49"/>
      <c r="S1775" s="49"/>
      <c r="T1775" s="49"/>
      <c r="U1775" s="49"/>
      <c r="V1775" s="49"/>
      <c r="W1775" s="56"/>
      <c r="X1775" s="51" t="str">
        <f t="shared" si="5"/>
        <v/>
      </c>
      <c r="Y1775" s="50" t="s">
        <v>482</v>
      </c>
      <c r="Z1775" s="49">
        <f t="shared" si="6"/>
        <v>0</v>
      </c>
    </row>
    <row r="1776" ht="22.5" customHeight="1">
      <c r="B1776" s="57"/>
      <c r="C1776" s="43" t="str">
        <f t="array" ref="C1776">IF(B1776="","",_xlfn.XLOOKUP(B1776,'Form responses 1'!$B$2:$B$2604,'Form responses 1'!$A$2:$A$2604,""))</f>
        <v/>
      </c>
      <c r="D1776" s="44" t="str">
        <f t="shared" si="3"/>
        <v/>
      </c>
      <c r="E1776" s="44" t="str">
        <f t="array" ref="E1776">IF(B1776="","",_xlfn.XLOOKUP(B1776,'Form responses 1'!$B$2:$B$2604,'Form responses 1'!$C$2:$C$2604,""))</f>
        <v/>
      </c>
      <c r="F1776" s="44" t="str">
        <f t="array" ref="F1776">IF(B1776="","",_xlfn.XLOOKUP(B1776,'Form responses 1'!$B$2:$B$2604,'Form responses 1'!$D$2:$D$2604,""))</f>
        <v/>
      </c>
      <c r="G1776" s="44" t="str">
        <f t="array" ref="G1776">IF(B1776="","",_xlfn.XLOOKUP(B1776,'Form responses 1'!$B$2:$B$2604,'Form responses 1'!$E$2:$E$2604,""))</f>
        <v/>
      </c>
      <c r="H1776" s="44" t="str">
        <f t="array" ref="H1776">IF(B1776="","",_xlfn.XLOOKUP(B1776,'Form responses 1'!$B$2:$B$2604,'Form responses 1'!$F$2:$F$2604,""))</f>
        <v/>
      </c>
      <c r="I1776" s="44" t="str">
        <f t="array" ref="I1776">IF(B1776="","",_xlfn.XLOOKUP(B1776,'Form responses 1'!$B$2:$B$2604,'Form responses 1'!$I$2:$I$2604,""))</f>
        <v/>
      </c>
      <c r="J1776" s="44" t="str">
        <f t="array" ref="J1776">IF(B1776="","",_xlfn.XLOOKUP(B1776,'Form responses 1'!$B$2:$B$2604,'Form responses 1'!$G$2:$G$2604,""))</f>
        <v/>
      </c>
      <c r="K1776" s="56"/>
      <c r="L1776" s="58" t="str">
        <f t="shared" si="7"/>
        <v/>
      </c>
      <c r="M1776" s="49"/>
      <c r="N1776" s="49"/>
      <c r="O1776" s="49"/>
      <c r="P1776" s="49"/>
      <c r="Q1776" s="49"/>
      <c r="R1776" s="49"/>
      <c r="S1776" s="49"/>
      <c r="T1776" s="49"/>
      <c r="U1776" s="49"/>
      <c r="V1776" s="49"/>
      <c r="W1776" s="56"/>
      <c r="X1776" s="51" t="str">
        <f t="shared" si="5"/>
        <v/>
      </c>
      <c r="Y1776" s="50" t="s">
        <v>482</v>
      </c>
      <c r="Z1776" s="49">
        <f t="shared" si="6"/>
        <v>0</v>
      </c>
    </row>
    <row r="1777" ht="22.5" customHeight="1">
      <c r="B1777" s="57"/>
      <c r="C1777" s="43" t="str">
        <f t="array" ref="C1777">IF(B1777="","",_xlfn.XLOOKUP(B1777,'Form responses 1'!$B$2:$B$2604,'Form responses 1'!$A$2:$A$2604,""))</f>
        <v/>
      </c>
      <c r="D1777" s="44" t="str">
        <f t="shared" si="3"/>
        <v/>
      </c>
      <c r="E1777" s="44" t="str">
        <f t="array" ref="E1777">IF(B1777="","",_xlfn.XLOOKUP(B1777,'Form responses 1'!$B$2:$B$2604,'Form responses 1'!$C$2:$C$2604,""))</f>
        <v/>
      </c>
      <c r="F1777" s="44" t="str">
        <f t="array" ref="F1777">IF(B1777="","",_xlfn.XLOOKUP(B1777,'Form responses 1'!$B$2:$B$2604,'Form responses 1'!$D$2:$D$2604,""))</f>
        <v/>
      </c>
      <c r="G1777" s="44" t="str">
        <f t="array" ref="G1777">IF(B1777="","",_xlfn.XLOOKUP(B1777,'Form responses 1'!$B$2:$B$2604,'Form responses 1'!$E$2:$E$2604,""))</f>
        <v/>
      </c>
      <c r="H1777" s="44" t="str">
        <f t="array" ref="H1777">IF(B1777="","",_xlfn.XLOOKUP(B1777,'Form responses 1'!$B$2:$B$2604,'Form responses 1'!$F$2:$F$2604,""))</f>
        <v/>
      </c>
      <c r="I1777" s="44" t="str">
        <f t="array" ref="I1777">IF(B1777="","",_xlfn.XLOOKUP(B1777,'Form responses 1'!$B$2:$B$2604,'Form responses 1'!$I$2:$I$2604,""))</f>
        <v/>
      </c>
      <c r="J1777" s="44" t="str">
        <f t="array" ref="J1777">IF(B1777="","",_xlfn.XLOOKUP(B1777,'Form responses 1'!$B$2:$B$2604,'Form responses 1'!$G$2:$G$2604,""))</f>
        <v/>
      </c>
      <c r="K1777" s="56"/>
      <c r="L1777" s="58" t="str">
        <f t="shared" si="7"/>
        <v/>
      </c>
      <c r="M1777" s="49"/>
      <c r="N1777" s="49"/>
      <c r="O1777" s="49"/>
      <c r="P1777" s="49"/>
      <c r="Q1777" s="49"/>
      <c r="R1777" s="49"/>
      <c r="S1777" s="49"/>
      <c r="T1777" s="49"/>
      <c r="U1777" s="49"/>
      <c r="V1777" s="49"/>
      <c r="W1777" s="56"/>
      <c r="X1777" s="51" t="str">
        <f t="shared" si="5"/>
        <v/>
      </c>
      <c r="Y1777" s="50" t="s">
        <v>482</v>
      </c>
      <c r="Z1777" s="49">
        <f t="shared" si="6"/>
        <v>0</v>
      </c>
    </row>
    <row r="1778" ht="22.5" customHeight="1">
      <c r="B1778" s="57"/>
      <c r="C1778" s="43" t="str">
        <f t="array" ref="C1778">IF(B1778="","",_xlfn.XLOOKUP(B1778,'Form responses 1'!$B$2:$B$2604,'Form responses 1'!$A$2:$A$2604,""))</f>
        <v/>
      </c>
      <c r="D1778" s="44" t="str">
        <f t="shared" si="3"/>
        <v/>
      </c>
      <c r="E1778" s="44" t="str">
        <f t="array" ref="E1778">IF(B1778="","",_xlfn.XLOOKUP(B1778,'Form responses 1'!$B$2:$B$2604,'Form responses 1'!$C$2:$C$2604,""))</f>
        <v/>
      </c>
      <c r="F1778" s="44" t="str">
        <f t="array" ref="F1778">IF(B1778="","",_xlfn.XLOOKUP(B1778,'Form responses 1'!$B$2:$B$2604,'Form responses 1'!$D$2:$D$2604,""))</f>
        <v/>
      </c>
      <c r="G1778" s="44" t="str">
        <f t="array" ref="G1778">IF(B1778="","",_xlfn.XLOOKUP(B1778,'Form responses 1'!$B$2:$B$2604,'Form responses 1'!$E$2:$E$2604,""))</f>
        <v/>
      </c>
      <c r="H1778" s="44" t="str">
        <f t="array" ref="H1778">IF(B1778="","",_xlfn.XLOOKUP(B1778,'Form responses 1'!$B$2:$B$2604,'Form responses 1'!$F$2:$F$2604,""))</f>
        <v/>
      </c>
      <c r="I1778" s="44" t="str">
        <f t="array" ref="I1778">IF(B1778="","",_xlfn.XLOOKUP(B1778,'Form responses 1'!$B$2:$B$2604,'Form responses 1'!$I$2:$I$2604,""))</f>
        <v/>
      </c>
      <c r="J1778" s="44" t="str">
        <f t="array" ref="J1778">IF(B1778="","",_xlfn.XLOOKUP(B1778,'Form responses 1'!$B$2:$B$2604,'Form responses 1'!$G$2:$G$2604,""))</f>
        <v/>
      </c>
      <c r="K1778" s="56"/>
      <c r="L1778" s="58" t="str">
        <f t="shared" si="7"/>
        <v/>
      </c>
      <c r="M1778" s="49"/>
      <c r="N1778" s="49"/>
      <c r="O1778" s="49"/>
      <c r="P1778" s="49"/>
      <c r="Q1778" s="49"/>
      <c r="R1778" s="49"/>
      <c r="S1778" s="49"/>
      <c r="T1778" s="49"/>
      <c r="U1778" s="49"/>
      <c r="V1778" s="49"/>
      <c r="W1778" s="56"/>
      <c r="X1778" s="51" t="str">
        <f t="shared" si="5"/>
        <v/>
      </c>
      <c r="Y1778" s="50" t="s">
        <v>482</v>
      </c>
      <c r="Z1778" s="49">
        <f t="shared" si="6"/>
        <v>0</v>
      </c>
    </row>
    <row r="1779" ht="22.5" customHeight="1">
      <c r="B1779" s="57"/>
      <c r="C1779" s="43" t="str">
        <f t="array" ref="C1779">IF(B1779="","",_xlfn.XLOOKUP(B1779,'Form responses 1'!$B$2:$B$2604,'Form responses 1'!$A$2:$A$2604,""))</f>
        <v/>
      </c>
      <c r="D1779" s="44" t="str">
        <f t="shared" si="3"/>
        <v/>
      </c>
      <c r="E1779" s="44" t="str">
        <f t="array" ref="E1779">IF(B1779="","",_xlfn.XLOOKUP(B1779,'Form responses 1'!$B$2:$B$2604,'Form responses 1'!$C$2:$C$2604,""))</f>
        <v/>
      </c>
      <c r="F1779" s="44" t="str">
        <f t="array" ref="F1779">IF(B1779="","",_xlfn.XLOOKUP(B1779,'Form responses 1'!$B$2:$B$2604,'Form responses 1'!$D$2:$D$2604,""))</f>
        <v/>
      </c>
      <c r="G1779" s="44" t="str">
        <f t="array" ref="G1779">IF(B1779="","",_xlfn.XLOOKUP(B1779,'Form responses 1'!$B$2:$B$2604,'Form responses 1'!$E$2:$E$2604,""))</f>
        <v/>
      </c>
      <c r="H1779" s="44" t="str">
        <f t="array" ref="H1779">IF(B1779="","",_xlfn.XLOOKUP(B1779,'Form responses 1'!$B$2:$B$2604,'Form responses 1'!$F$2:$F$2604,""))</f>
        <v/>
      </c>
      <c r="I1779" s="44" t="str">
        <f t="array" ref="I1779">IF(B1779="","",_xlfn.XLOOKUP(B1779,'Form responses 1'!$B$2:$B$2604,'Form responses 1'!$I$2:$I$2604,""))</f>
        <v/>
      </c>
      <c r="J1779" s="44" t="str">
        <f t="array" ref="J1779">IF(B1779="","",_xlfn.XLOOKUP(B1779,'Form responses 1'!$B$2:$B$2604,'Form responses 1'!$G$2:$G$2604,""))</f>
        <v/>
      </c>
      <c r="K1779" s="56"/>
      <c r="L1779" s="58" t="str">
        <f t="shared" si="7"/>
        <v/>
      </c>
      <c r="M1779" s="49"/>
      <c r="N1779" s="49"/>
      <c r="O1779" s="49"/>
      <c r="P1779" s="49"/>
      <c r="Q1779" s="49"/>
      <c r="R1779" s="49"/>
      <c r="S1779" s="49"/>
      <c r="T1779" s="49"/>
      <c r="U1779" s="49"/>
      <c r="V1779" s="49"/>
      <c r="W1779" s="56"/>
      <c r="X1779" s="51" t="str">
        <f t="shared" si="5"/>
        <v/>
      </c>
      <c r="Y1779" s="50" t="s">
        <v>482</v>
      </c>
      <c r="Z1779" s="49">
        <f t="shared" si="6"/>
        <v>0</v>
      </c>
    </row>
    <row r="1780" ht="22.5" customHeight="1">
      <c r="B1780" s="57"/>
      <c r="C1780" s="43" t="str">
        <f t="array" ref="C1780">IF(B1780="","",_xlfn.XLOOKUP(B1780,'Form responses 1'!$B$2:$B$2604,'Form responses 1'!$A$2:$A$2604,""))</f>
        <v/>
      </c>
      <c r="D1780" s="44" t="str">
        <f t="shared" si="3"/>
        <v/>
      </c>
      <c r="E1780" s="44" t="str">
        <f t="array" ref="E1780">IF(B1780="","",_xlfn.XLOOKUP(B1780,'Form responses 1'!$B$2:$B$2604,'Form responses 1'!$C$2:$C$2604,""))</f>
        <v/>
      </c>
      <c r="F1780" s="44" t="str">
        <f t="array" ref="F1780">IF(B1780="","",_xlfn.XLOOKUP(B1780,'Form responses 1'!$B$2:$B$2604,'Form responses 1'!$D$2:$D$2604,""))</f>
        <v/>
      </c>
      <c r="G1780" s="44" t="str">
        <f t="array" ref="G1780">IF(B1780="","",_xlfn.XLOOKUP(B1780,'Form responses 1'!$B$2:$B$2604,'Form responses 1'!$E$2:$E$2604,""))</f>
        <v/>
      </c>
      <c r="H1780" s="44" t="str">
        <f t="array" ref="H1780">IF(B1780="","",_xlfn.XLOOKUP(B1780,'Form responses 1'!$B$2:$B$2604,'Form responses 1'!$F$2:$F$2604,""))</f>
        <v/>
      </c>
      <c r="I1780" s="44" t="str">
        <f t="array" ref="I1780">IF(B1780="","",_xlfn.XLOOKUP(B1780,'Form responses 1'!$B$2:$B$2604,'Form responses 1'!$I$2:$I$2604,""))</f>
        <v/>
      </c>
      <c r="J1780" s="44" t="str">
        <f t="array" ref="J1780">IF(B1780="","",_xlfn.XLOOKUP(B1780,'Form responses 1'!$B$2:$B$2604,'Form responses 1'!$G$2:$G$2604,""))</f>
        <v/>
      </c>
      <c r="K1780" s="56"/>
      <c r="L1780" s="58" t="str">
        <f t="shared" si="7"/>
        <v/>
      </c>
      <c r="M1780" s="49"/>
      <c r="N1780" s="49"/>
      <c r="O1780" s="49"/>
      <c r="P1780" s="49"/>
      <c r="Q1780" s="49"/>
      <c r="R1780" s="49"/>
      <c r="S1780" s="49"/>
      <c r="T1780" s="49"/>
      <c r="U1780" s="49"/>
      <c r="V1780" s="49"/>
      <c r="W1780" s="56"/>
      <c r="X1780" s="51" t="str">
        <f t="shared" si="5"/>
        <v/>
      </c>
      <c r="Y1780" s="50" t="s">
        <v>482</v>
      </c>
      <c r="Z1780" s="49">
        <f t="shared" si="6"/>
        <v>0</v>
      </c>
    </row>
    <row r="1781" ht="22.5" customHeight="1">
      <c r="B1781" s="57"/>
      <c r="C1781" s="43" t="str">
        <f t="array" ref="C1781">IF(B1781="","",_xlfn.XLOOKUP(B1781,'Form responses 1'!$B$2:$B$2604,'Form responses 1'!$A$2:$A$2604,""))</f>
        <v/>
      </c>
      <c r="D1781" s="44" t="str">
        <f t="shared" si="3"/>
        <v/>
      </c>
      <c r="E1781" s="44" t="str">
        <f t="array" ref="E1781">IF(B1781="","",_xlfn.XLOOKUP(B1781,'Form responses 1'!$B$2:$B$2604,'Form responses 1'!$C$2:$C$2604,""))</f>
        <v/>
      </c>
      <c r="F1781" s="44" t="str">
        <f t="array" ref="F1781">IF(B1781="","",_xlfn.XLOOKUP(B1781,'Form responses 1'!$B$2:$B$2604,'Form responses 1'!$D$2:$D$2604,""))</f>
        <v/>
      </c>
      <c r="G1781" s="44" t="str">
        <f t="array" ref="G1781">IF(B1781="","",_xlfn.XLOOKUP(B1781,'Form responses 1'!$B$2:$B$2604,'Form responses 1'!$E$2:$E$2604,""))</f>
        <v/>
      </c>
      <c r="H1781" s="44" t="str">
        <f t="array" ref="H1781">IF(B1781="","",_xlfn.XLOOKUP(B1781,'Form responses 1'!$B$2:$B$2604,'Form responses 1'!$F$2:$F$2604,""))</f>
        <v/>
      </c>
      <c r="I1781" s="44" t="str">
        <f t="array" ref="I1781">IF(B1781="","",_xlfn.XLOOKUP(B1781,'Form responses 1'!$B$2:$B$2604,'Form responses 1'!$I$2:$I$2604,""))</f>
        <v/>
      </c>
      <c r="J1781" s="44" t="str">
        <f t="array" ref="J1781">IF(B1781="","",_xlfn.XLOOKUP(B1781,'Form responses 1'!$B$2:$B$2604,'Form responses 1'!$G$2:$G$2604,""))</f>
        <v/>
      </c>
      <c r="K1781" s="56"/>
      <c r="L1781" s="58" t="str">
        <f t="shared" si="7"/>
        <v/>
      </c>
      <c r="M1781" s="49"/>
      <c r="N1781" s="49"/>
      <c r="O1781" s="49"/>
      <c r="P1781" s="49"/>
      <c r="Q1781" s="49"/>
      <c r="R1781" s="49"/>
      <c r="S1781" s="49"/>
      <c r="T1781" s="49"/>
      <c r="U1781" s="49"/>
      <c r="V1781" s="49"/>
      <c r="W1781" s="56"/>
      <c r="X1781" s="51" t="str">
        <f t="shared" si="5"/>
        <v/>
      </c>
      <c r="Y1781" s="50" t="s">
        <v>482</v>
      </c>
      <c r="Z1781" s="49">
        <f t="shared" si="6"/>
        <v>0</v>
      </c>
    </row>
    <row r="1782" ht="22.5" customHeight="1">
      <c r="B1782" s="57"/>
      <c r="C1782" s="43" t="str">
        <f t="array" ref="C1782">IF(B1782="","",_xlfn.XLOOKUP(B1782,'Form responses 1'!$B$2:$B$2604,'Form responses 1'!$A$2:$A$2604,""))</f>
        <v/>
      </c>
      <c r="D1782" s="44" t="str">
        <f t="shared" si="3"/>
        <v/>
      </c>
      <c r="E1782" s="44" t="str">
        <f t="array" ref="E1782">IF(B1782="","",_xlfn.XLOOKUP(B1782,'Form responses 1'!$B$2:$B$2604,'Form responses 1'!$C$2:$C$2604,""))</f>
        <v/>
      </c>
      <c r="F1782" s="44" t="str">
        <f t="array" ref="F1782">IF(B1782="","",_xlfn.XLOOKUP(B1782,'Form responses 1'!$B$2:$B$2604,'Form responses 1'!$D$2:$D$2604,""))</f>
        <v/>
      </c>
      <c r="G1782" s="44" t="str">
        <f t="array" ref="G1782">IF(B1782="","",_xlfn.XLOOKUP(B1782,'Form responses 1'!$B$2:$B$2604,'Form responses 1'!$E$2:$E$2604,""))</f>
        <v/>
      </c>
      <c r="H1782" s="44" t="str">
        <f t="array" ref="H1782">IF(B1782="","",_xlfn.XLOOKUP(B1782,'Form responses 1'!$B$2:$B$2604,'Form responses 1'!$F$2:$F$2604,""))</f>
        <v/>
      </c>
      <c r="I1782" s="44" t="str">
        <f t="array" ref="I1782">IF(B1782="","",_xlfn.XLOOKUP(B1782,'Form responses 1'!$B$2:$B$2604,'Form responses 1'!$I$2:$I$2604,""))</f>
        <v/>
      </c>
      <c r="J1782" s="44" t="str">
        <f t="array" ref="J1782">IF(B1782="","",_xlfn.XLOOKUP(B1782,'Form responses 1'!$B$2:$B$2604,'Form responses 1'!$G$2:$G$2604,""))</f>
        <v/>
      </c>
      <c r="K1782" s="56"/>
      <c r="L1782" s="58" t="str">
        <f t="shared" si="7"/>
        <v/>
      </c>
      <c r="M1782" s="49"/>
      <c r="N1782" s="49"/>
      <c r="O1782" s="49"/>
      <c r="P1782" s="49"/>
      <c r="Q1782" s="49"/>
      <c r="R1782" s="49"/>
      <c r="S1782" s="49"/>
      <c r="T1782" s="49"/>
      <c r="U1782" s="49"/>
      <c r="V1782" s="49"/>
      <c r="W1782" s="56"/>
      <c r="X1782" s="51" t="str">
        <f t="shared" si="5"/>
        <v/>
      </c>
      <c r="Y1782" s="50" t="s">
        <v>482</v>
      </c>
      <c r="Z1782" s="49">
        <f t="shared" si="6"/>
        <v>0</v>
      </c>
    </row>
    <row r="1783" ht="22.5" customHeight="1">
      <c r="B1783" s="57"/>
      <c r="C1783" s="43" t="str">
        <f t="array" ref="C1783">IF(B1783="","",_xlfn.XLOOKUP(B1783,'Form responses 1'!$B$2:$B$2604,'Form responses 1'!$A$2:$A$2604,""))</f>
        <v/>
      </c>
      <c r="D1783" s="44" t="str">
        <f t="shared" si="3"/>
        <v/>
      </c>
      <c r="E1783" s="44" t="str">
        <f t="array" ref="E1783">IF(B1783="","",_xlfn.XLOOKUP(B1783,'Form responses 1'!$B$2:$B$2604,'Form responses 1'!$C$2:$C$2604,""))</f>
        <v/>
      </c>
      <c r="F1783" s="44" t="str">
        <f t="array" ref="F1783">IF(B1783="","",_xlfn.XLOOKUP(B1783,'Form responses 1'!$B$2:$B$2604,'Form responses 1'!$D$2:$D$2604,""))</f>
        <v/>
      </c>
      <c r="G1783" s="44" t="str">
        <f t="array" ref="G1783">IF(B1783="","",_xlfn.XLOOKUP(B1783,'Form responses 1'!$B$2:$B$2604,'Form responses 1'!$E$2:$E$2604,""))</f>
        <v/>
      </c>
      <c r="H1783" s="44" t="str">
        <f t="array" ref="H1783">IF(B1783="","",_xlfn.XLOOKUP(B1783,'Form responses 1'!$B$2:$B$2604,'Form responses 1'!$F$2:$F$2604,""))</f>
        <v/>
      </c>
      <c r="I1783" s="44" t="str">
        <f t="array" ref="I1783">IF(B1783="","",_xlfn.XLOOKUP(B1783,'Form responses 1'!$B$2:$B$2604,'Form responses 1'!$I$2:$I$2604,""))</f>
        <v/>
      </c>
      <c r="J1783" s="44" t="str">
        <f t="array" ref="J1783">IF(B1783="","",_xlfn.XLOOKUP(B1783,'Form responses 1'!$B$2:$B$2604,'Form responses 1'!$G$2:$G$2604,""))</f>
        <v/>
      </c>
      <c r="K1783" s="56"/>
      <c r="L1783" s="58" t="str">
        <f t="shared" si="7"/>
        <v/>
      </c>
      <c r="M1783" s="49"/>
      <c r="N1783" s="49"/>
      <c r="O1783" s="49"/>
      <c r="P1783" s="49"/>
      <c r="Q1783" s="49"/>
      <c r="R1783" s="49"/>
      <c r="S1783" s="49"/>
      <c r="T1783" s="49"/>
      <c r="U1783" s="49"/>
      <c r="V1783" s="49"/>
      <c r="W1783" s="56"/>
      <c r="X1783" s="51" t="str">
        <f t="shared" si="5"/>
        <v/>
      </c>
      <c r="Y1783" s="50" t="s">
        <v>482</v>
      </c>
      <c r="Z1783" s="49">
        <f t="shared" si="6"/>
        <v>0</v>
      </c>
    </row>
    <row r="1784" ht="22.5" customHeight="1">
      <c r="B1784" s="57"/>
      <c r="C1784" s="43" t="str">
        <f t="array" ref="C1784">IF(B1784="","",_xlfn.XLOOKUP(B1784,'Form responses 1'!$B$2:$B$2604,'Form responses 1'!$A$2:$A$2604,""))</f>
        <v/>
      </c>
      <c r="D1784" s="44" t="str">
        <f t="shared" si="3"/>
        <v/>
      </c>
      <c r="E1784" s="44" t="str">
        <f t="array" ref="E1784">IF(B1784="","",_xlfn.XLOOKUP(B1784,'Form responses 1'!$B$2:$B$2604,'Form responses 1'!$C$2:$C$2604,""))</f>
        <v/>
      </c>
      <c r="F1784" s="44" t="str">
        <f t="array" ref="F1784">IF(B1784="","",_xlfn.XLOOKUP(B1784,'Form responses 1'!$B$2:$B$2604,'Form responses 1'!$D$2:$D$2604,""))</f>
        <v/>
      </c>
      <c r="G1784" s="44" t="str">
        <f t="array" ref="G1784">IF(B1784="","",_xlfn.XLOOKUP(B1784,'Form responses 1'!$B$2:$B$2604,'Form responses 1'!$E$2:$E$2604,""))</f>
        <v/>
      </c>
      <c r="H1784" s="44" t="str">
        <f t="array" ref="H1784">IF(B1784="","",_xlfn.XLOOKUP(B1784,'Form responses 1'!$B$2:$B$2604,'Form responses 1'!$F$2:$F$2604,""))</f>
        <v/>
      </c>
      <c r="I1784" s="44" t="str">
        <f t="array" ref="I1784">IF(B1784="","",_xlfn.XLOOKUP(B1784,'Form responses 1'!$B$2:$B$2604,'Form responses 1'!$I$2:$I$2604,""))</f>
        <v/>
      </c>
      <c r="J1784" s="44" t="str">
        <f t="array" ref="J1784">IF(B1784="","",_xlfn.XLOOKUP(B1784,'Form responses 1'!$B$2:$B$2604,'Form responses 1'!$G$2:$G$2604,""))</f>
        <v/>
      </c>
      <c r="K1784" s="56"/>
      <c r="L1784" s="58" t="str">
        <f t="shared" si="7"/>
        <v/>
      </c>
      <c r="M1784" s="49"/>
      <c r="N1784" s="49"/>
      <c r="O1784" s="49"/>
      <c r="P1784" s="49"/>
      <c r="Q1784" s="49"/>
      <c r="R1784" s="49"/>
      <c r="S1784" s="49"/>
      <c r="T1784" s="49"/>
      <c r="U1784" s="49"/>
      <c r="V1784" s="49"/>
      <c r="W1784" s="56"/>
      <c r="X1784" s="51" t="str">
        <f t="shared" si="5"/>
        <v/>
      </c>
      <c r="Y1784" s="50" t="s">
        <v>482</v>
      </c>
      <c r="Z1784" s="49">
        <f t="shared" si="6"/>
        <v>0</v>
      </c>
    </row>
    <row r="1785" ht="22.5" customHeight="1">
      <c r="B1785" s="57"/>
      <c r="C1785" s="43" t="str">
        <f t="array" ref="C1785">IF(B1785="","",_xlfn.XLOOKUP(B1785,'Form responses 1'!$B$2:$B$2604,'Form responses 1'!$A$2:$A$2604,""))</f>
        <v/>
      </c>
      <c r="D1785" s="44" t="str">
        <f t="shared" si="3"/>
        <v/>
      </c>
      <c r="E1785" s="44" t="str">
        <f t="array" ref="E1785">IF(B1785="","",_xlfn.XLOOKUP(B1785,'Form responses 1'!$B$2:$B$2604,'Form responses 1'!$C$2:$C$2604,""))</f>
        <v/>
      </c>
      <c r="F1785" s="44" t="str">
        <f t="array" ref="F1785">IF(B1785="","",_xlfn.XLOOKUP(B1785,'Form responses 1'!$B$2:$B$2604,'Form responses 1'!$D$2:$D$2604,""))</f>
        <v/>
      </c>
      <c r="G1785" s="44" t="str">
        <f t="array" ref="G1785">IF(B1785="","",_xlfn.XLOOKUP(B1785,'Form responses 1'!$B$2:$B$2604,'Form responses 1'!$E$2:$E$2604,""))</f>
        <v/>
      </c>
      <c r="H1785" s="44" t="str">
        <f t="array" ref="H1785">IF(B1785="","",_xlfn.XLOOKUP(B1785,'Form responses 1'!$B$2:$B$2604,'Form responses 1'!$F$2:$F$2604,""))</f>
        <v/>
      </c>
      <c r="I1785" s="44" t="str">
        <f t="array" ref="I1785">IF(B1785="","",_xlfn.XLOOKUP(B1785,'Form responses 1'!$B$2:$B$2604,'Form responses 1'!$I$2:$I$2604,""))</f>
        <v/>
      </c>
      <c r="J1785" s="44" t="str">
        <f t="array" ref="J1785">IF(B1785="","",_xlfn.XLOOKUP(B1785,'Form responses 1'!$B$2:$B$2604,'Form responses 1'!$G$2:$G$2604,""))</f>
        <v/>
      </c>
      <c r="K1785" s="56"/>
      <c r="L1785" s="58" t="str">
        <f t="shared" si="7"/>
        <v/>
      </c>
      <c r="M1785" s="49"/>
      <c r="N1785" s="49"/>
      <c r="O1785" s="49"/>
      <c r="P1785" s="49"/>
      <c r="Q1785" s="49"/>
      <c r="R1785" s="49"/>
      <c r="S1785" s="49"/>
      <c r="T1785" s="49"/>
      <c r="U1785" s="49"/>
      <c r="V1785" s="49"/>
      <c r="W1785" s="56"/>
      <c r="X1785" s="51" t="str">
        <f t="shared" si="5"/>
        <v/>
      </c>
      <c r="Y1785" s="50" t="s">
        <v>482</v>
      </c>
      <c r="Z1785" s="49">
        <f t="shared" si="6"/>
        <v>0</v>
      </c>
    </row>
    <row r="1786" ht="22.5" customHeight="1">
      <c r="B1786" s="57"/>
      <c r="C1786" s="43" t="str">
        <f t="array" ref="C1786">IF(B1786="","",_xlfn.XLOOKUP(B1786,'Form responses 1'!$B$2:$B$2604,'Form responses 1'!$A$2:$A$2604,""))</f>
        <v/>
      </c>
      <c r="D1786" s="44" t="str">
        <f t="shared" si="3"/>
        <v/>
      </c>
      <c r="E1786" s="44" t="str">
        <f t="array" ref="E1786">IF(B1786="","",_xlfn.XLOOKUP(B1786,'Form responses 1'!$B$2:$B$2604,'Form responses 1'!$C$2:$C$2604,""))</f>
        <v/>
      </c>
      <c r="F1786" s="44" t="str">
        <f t="array" ref="F1786">IF(B1786="","",_xlfn.XLOOKUP(B1786,'Form responses 1'!$B$2:$B$2604,'Form responses 1'!$D$2:$D$2604,""))</f>
        <v/>
      </c>
      <c r="G1786" s="44" t="str">
        <f t="array" ref="G1786">IF(B1786="","",_xlfn.XLOOKUP(B1786,'Form responses 1'!$B$2:$B$2604,'Form responses 1'!$E$2:$E$2604,""))</f>
        <v/>
      </c>
      <c r="H1786" s="44" t="str">
        <f t="array" ref="H1786">IF(B1786="","",_xlfn.XLOOKUP(B1786,'Form responses 1'!$B$2:$B$2604,'Form responses 1'!$F$2:$F$2604,""))</f>
        <v/>
      </c>
      <c r="I1786" s="44" t="str">
        <f t="array" ref="I1786">IF(B1786="","",_xlfn.XLOOKUP(B1786,'Form responses 1'!$B$2:$B$2604,'Form responses 1'!$I$2:$I$2604,""))</f>
        <v/>
      </c>
      <c r="J1786" s="44" t="str">
        <f t="array" ref="J1786">IF(B1786="","",_xlfn.XLOOKUP(B1786,'Form responses 1'!$B$2:$B$2604,'Form responses 1'!$G$2:$G$2604,""))</f>
        <v/>
      </c>
      <c r="K1786" s="56"/>
      <c r="L1786" s="58" t="str">
        <f t="shared" si="7"/>
        <v/>
      </c>
      <c r="M1786" s="49"/>
      <c r="N1786" s="49"/>
      <c r="O1786" s="49"/>
      <c r="P1786" s="49"/>
      <c r="Q1786" s="49"/>
      <c r="R1786" s="49"/>
      <c r="S1786" s="49"/>
      <c r="T1786" s="49"/>
      <c r="U1786" s="49"/>
      <c r="V1786" s="49"/>
      <c r="W1786" s="56"/>
      <c r="X1786" s="51" t="str">
        <f t="shared" si="5"/>
        <v/>
      </c>
      <c r="Y1786" s="50" t="s">
        <v>482</v>
      </c>
      <c r="Z1786" s="49">
        <f t="shared" si="6"/>
        <v>0</v>
      </c>
    </row>
    <row r="1787" ht="22.5" customHeight="1">
      <c r="B1787" s="57"/>
      <c r="C1787" s="43" t="str">
        <f t="array" ref="C1787">IF(B1787="","",_xlfn.XLOOKUP(B1787,'Form responses 1'!$B$2:$B$2604,'Form responses 1'!$A$2:$A$2604,""))</f>
        <v/>
      </c>
      <c r="D1787" s="44" t="str">
        <f t="shared" si="3"/>
        <v/>
      </c>
      <c r="E1787" s="44" t="str">
        <f t="array" ref="E1787">IF(B1787="","",_xlfn.XLOOKUP(B1787,'Form responses 1'!$B$2:$B$2604,'Form responses 1'!$C$2:$C$2604,""))</f>
        <v/>
      </c>
      <c r="F1787" s="44" t="str">
        <f t="array" ref="F1787">IF(B1787="","",_xlfn.XLOOKUP(B1787,'Form responses 1'!$B$2:$B$2604,'Form responses 1'!$D$2:$D$2604,""))</f>
        <v/>
      </c>
      <c r="G1787" s="44" t="str">
        <f t="array" ref="G1787">IF(B1787="","",_xlfn.XLOOKUP(B1787,'Form responses 1'!$B$2:$B$2604,'Form responses 1'!$E$2:$E$2604,""))</f>
        <v/>
      </c>
      <c r="H1787" s="44" t="str">
        <f t="array" ref="H1787">IF(B1787="","",_xlfn.XLOOKUP(B1787,'Form responses 1'!$B$2:$B$2604,'Form responses 1'!$F$2:$F$2604,""))</f>
        <v/>
      </c>
      <c r="I1787" s="44" t="str">
        <f t="array" ref="I1787">IF(B1787="","",_xlfn.XLOOKUP(B1787,'Form responses 1'!$B$2:$B$2604,'Form responses 1'!$I$2:$I$2604,""))</f>
        <v/>
      </c>
      <c r="J1787" s="44" t="str">
        <f t="array" ref="J1787">IF(B1787="","",_xlfn.XLOOKUP(B1787,'Form responses 1'!$B$2:$B$2604,'Form responses 1'!$G$2:$G$2604,""))</f>
        <v/>
      </c>
      <c r="K1787" s="56"/>
      <c r="L1787" s="58" t="str">
        <f t="shared" si="7"/>
        <v/>
      </c>
      <c r="M1787" s="49"/>
      <c r="N1787" s="49"/>
      <c r="O1787" s="49"/>
      <c r="P1787" s="49"/>
      <c r="Q1787" s="49"/>
      <c r="R1787" s="49"/>
      <c r="S1787" s="49"/>
      <c r="T1787" s="49"/>
      <c r="U1787" s="49"/>
      <c r="V1787" s="49"/>
      <c r="W1787" s="56"/>
      <c r="X1787" s="51" t="str">
        <f t="shared" si="5"/>
        <v/>
      </c>
      <c r="Y1787" s="50" t="s">
        <v>482</v>
      </c>
      <c r="Z1787" s="49">
        <f t="shared" si="6"/>
        <v>0</v>
      </c>
    </row>
    <row r="1788" ht="22.5" customHeight="1">
      <c r="B1788" s="57"/>
      <c r="C1788" s="43" t="str">
        <f t="array" ref="C1788">IF(B1788="","",_xlfn.XLOOKUP(B1788,'Form responses 1'!$B$2:$B$2604,'Form responses 1'!$A$2:$A$2604,""))</f>
        <v/>
      </c>
      <c r="D1788" s="44" t="str">
        <f t="shared" si="3"/>
        <v/>
      </c>
      <c r="E1788" s="44" t="str">
        <f t="array" ref="E1788">IF(B1788="","",_xlfn.XLOOKUP(B1788,'Form responses 1'!$B$2:$B$2604,'Form responses 1'!$C$2:$C$2604,""))</f>
        <v/>
      </c>
      <c r="F1788" s="44" t="str">
        <f t="array" ref="F1788">IF(B1788="","",_xlfn.XLOOKUP(B1788,'Form responses 1'!$B$2:$B$2604,'Form responses 1'!$D$2:$D$2604,""))</f>
        <v/>
      </c>
      <c r="G1788" s="44" t="str">
        <f t="array" ref="G1788">IF(B1788="","",_xlfn.XLOOKUP(B1788,'Form responses 1'!$B$2:$B$2604,'Form responses 1'!$E$2:$E$2604,""))</f>
        <v/>
      </c>
      <c r="H1788" s="44" t="str">
        <f t="array" ref="H1788">IF(B1788="","",_xlfn.XLOOKUP(B1788,'Form responses 1'!$B$2:$B$2604,'Form responses 1'!$F$2:$F$2604,""))</f>
        <v/>
      </c>
      <c r="I1788" s="44" t="str">
        <f t="array" ref="I1788">IF(B1788="","",_xlfn.XLOOKUP(B1788,'Form responses 1'!$B$2:$B$2604,'Form responses 1'!$I$2:$I$2604,""))</f>
        <v/>
      </c>
      <c r="J1788" s="44" t="str">
        <f t="array" ref="J1788">IF(B1788="","",_xlfn.XLOOKUP(B1788,'Form responses 1'!$B$2:$B$2604,'Form responses 1'!$G$2:$G$2604,""))</f>
        <v/>
      </c>
      <c r="K1788" s="56"/>
      <c r="L1788" s="58" t="str">
        <f t="shared" si="7"/>
        <v/>
      </c>
      <c r="M1788" s="49"/>
      <c r="N1788" s="49"/>
      <c r="O1788" s="49"/>
      <c r="P1788" s="49"/>
      <c r="Q1788" s="49"/>
      <c r="R1788" s="49"/>
      <c r="S1788" s="49"/>
      <c r="T1788" s="49"/>
      <c r="U1788" s="49"/>
      <c r="V1788" s="49"/>
      <c r="W1788" s="56"/>
      <c r="X1788" s="51" t="str">
        <f t="shared" si="5"/>
        <v/>
      </c>
      <c r="Y1788" s="50" t="s">
        <v>482</v>
      </c>
      <c r="Z1788" s="49">
        <f t="shared" si="6"/>
        <v>0</v>
      </c>
    </row>
    <row r="1789" ht="22.5" customHeight="1">
      <c r="B1789" s="57"/>
      <c r="C1789" s="43" t="str">
        <f t="array" ref="C1789">IF(B1789="","",_xlfn.XLOOKUP(B1789,'Form responses 1'!$B$2:$B$2604,'Form responses 1'!$A$2:$A$2604,""))</f>
        <v/>
      </c>
      <c r="D1789" s="44" t="str">
        <f t="shared" si="3"/>
        <v/>
      </c>
      <c r="E1789" s="44" t="str">
        <f t="array" ref="E1789">IF(B1789="","",_xlfn.XLOOKUP(B1789,'Form responses 1'!$B$2:$B$2604,'Form responses 1'!$C$2:$C$2604,""))</f>
        <v/>
      </c>
      <c r="F1789" s="44" t="str">
        <f t="array" ref="F1789">IF(B1789="","",_xlfn.XLOOKUP(B1789,'Form responses 1'!$B$2:$B$2604,'Form responses 1'!$D$2:$D$2604,""))</f>
        <v/>
      </c>
      <c r="G1789" s="44" t="str">
        <f t="array" ref="G1789">IF(B1789="","",_xlfn.XLOOKUP(B1789,'Form responses 1'!$B$2:$B$2604,'Form responses 1'!$E$2:$E$2604,""))</f>
        <v/>
      </c>
      <c r="H1789" s="44" t="str">
        <f t="array" ref="H1789">IF(B1789="","",_xlfn.XLOOKUP(B1789,'Form responses 1'!$B$2:$B$2604,'Form responses 1'!$F$2:$F$2604,""))</f>
        <v/>
      </c>
      <c r="I1789" s="44" t="str">
        <f t="array" ref="I1789">IF(B1789="","",_xlfn.XLOOKUP(B1789,'Form responses 1'!$B$2:$B$2604,'Form responses 1'!$I$2:$I$2604,""))</f>
        <v/>
      </c>
      <c r="J1789" s="44" t="str">
        <f t="array" ref="J1789">IF(B1789="","",_xlfn.XLOOKUP(B1789,'Form responses 1'!$B$2:$B$2604,'Form responses 1'!$G$2:$G$2604,""))</f>
        <v/>
      </c>
      <c r="K1789" s="56"/>
      <c r="L1789" s="58" t="str">
        <f t="shared" si="7"/>
        <v/>
      </c>
      <c r="M1789" s="49"/>
      <c r="N1789" s="49"/>
      <c r="O1789" s="49"/>
      <c r="P1789" s="49"/>
      <c r="Q1789" s="49"/>
      <c r="R1789" s="49"/>
      <c r="S1789" s="49"/>
      <c r="T1789" s="49"/>
      <c r="U1789" s="49"/>
      <c r="V1789" s="49"/>
      <c r="W1789" s="56"/>
      <c r="X1789" s="51" t="str">
        <f t="shared" si="5"/>
        <v/>
      </c>
      <c r="Y1789" s="50" t="s">
        <v>482</v>
      </c>
      <c r="Z1789" s="49">
        <f t="shared" si="6"/>
        <v>0</v>
      </c>
    </row>
    <row r="1790" ht="22.5" customHeight="1">
      <c r="B1790" s="57"/>
      <c r="C1790" s="43" t="str">
        <f t="array" ref="C1790">IF(B1790="","",_xlfn.XLOOKUP(B1790,'Form responses 1'!$B$2:$B$2604,'Form responses 1'!$A$2:$A$2604,""))</f>
        <v/>
      </c>
      <c r="D1790" s="44" t="str">
        <f t="shared" si="3"/>
        <v/>
      </c>
      <c r="E1790" s="44" t="str">
        <f t="array" ref="E1790">IF(B1790="","",_xlfn.XLOOKUP(B1790,'Form responses 1'!$B$2:$B$2604,'Form responses 1'!$C$2:$C$2604,""))</f>
        <v/>
      </c>
      <c r="F1790" s="44" t="str">
        <f t="array" ref="F1790">IF(B1790="","",_xlfn.XLOOKUP(B1790,'Form responses 1'!$B$2:$B$2604,'Form responses 1'!$D$2:$D$2604,""))</f>
        <v/>
      </c>
      <c r="G1790" s="44" t="str">
        <f t="array" ref="G1790">IF(B1790="","",_xlfn.XLOOKUP(B1790,'Form responses 1'!$B$2:$B$2604,'Form responses 1'!$E$2:$E$2604,""))</f>
        <v/>
      </c>
      <c r="H1790" s="44" t="str">
        <f t="array" ref="H1790">IF(B1790="","",_xlfn.XLOOKUP(B1790,'Form responses 1'!$B$2:$B$2604,'Form responses 1'!$F$2:$F$2604,""))</f>
        <v/>
      </c>
      <c r="I1790" s="44" t="str">
        <f t="array" ref="I1790">IF(B1790="","",_xlfn.XLOOKUP(B1790,'Form responses 1'!$B$2:$B$2604,'Form responses 1'!$I$2:$I$2604,""))</f>
        <v/>
      </c>
      <c r="J1790" s="44" t="str">
        <f t="array" ref="J1790">IF(B1790="","",_xlfn.XLOOKUP(B1790,'Form responses 1'!$B$2:$B$2604,'Form responses 1'!$G$2:$G$2604,""))</f>
        <v/>
      </c>
      <c r="K1790" s="56"/>
      <c r="L1790" s="58" t="str">
        <f t="shared" si="7"/>
        <v/>
      </c>
      <c r="M1790" s="49"/>
      <c r="N1790" s="49"/>
      <c r="O1790" s="49"/>
      <c r="P1790" s="49"/>
      <c r="Q1790" s="49"/>
      <c r="R1790" s="49"/>
      <c r="S1790" s="49"/>
      <c r="T1790" s="49"/>
      <c r="U1790" s="49"/>
      <c r="V1790" s="49"/>
      <c r="W1790" s="56"/>
      <c r="X1790" s="51" t="str">
        <f t="shared" si="5"/>
        <v/>
      </c>
      <c r="Y1790" s="50" t="s">
        <v>482</v>
      </c>
      <c r="Z1790" s="49">
        <f t="shared" si="6"/>
        <v>0</v>
      </c>
    </row>
    <row r="1791" ht="22.5" customHeight="1">
      <c r="B1791" s="57"/>
      <c r="C1791" s="43" t="str">
        <f t="array" ref="C1791">IF(B1791="","",_xlfn.XLOOKUP(B1791,'Form responses 1'!$B$2:$B$2604,'Form responses 1'!$A$2:$A$2604,""))</f>
        <v/>
      </c>
      <c r="D1791" s="44" t="str">
        <f t="shared" si="3"/>
        <v/>
      </c>
      <c r="E1791" s="44" t="str">
        <f t="array" ref="E1791">IF(B1791="","",_xlfn.XLOOKUP(B1791,'Form responses 1'!$B$2:$B$2604,'Form responses 1'!$C$2:$C$2604,""))</f>
        <v/>
      </c>
      <c r="F1791" s="44" t="str">
        <f t="array" ref="F1791">IF(B1791="","",_xlfn.XLOOKUP(B1791,'Form responses 1'!$B$2:$B$2604,'Form responses 1'!$D$2:$D$2604,""))</f>
        <v/>
      </c>
      <c r="G1791" s="44" t="str">
        <f t="array" ref="G1791">IF(B1791="","",_xlfn.XLOOKUP(B1791,'Form responses 1'!$B$2:$B$2604,'Form responses 1'!$E$2:$E$2604,""))</f>
        <v/>
      </c>
      <c r="H1791" s="44" t="str">
        <f t="array" ref="H1791">IF(B1791="","",_xlfn.XLOOKUP(B1791,'Form responses 1'!$B$2:$B$2604,'Form responses 1'!$F$2:$F$2604,""))</f>
        <v/>
      </c>
      <c r="I1791" s="44" t="str">
        <f t="array" ref="I1791">IF(B1791="","",_xlfn.XLOOKUP(B1791,'Form responses 1'!$B$2:$B$2604,'Form responses 1'!$I$2:$I$2604,""))</f>
        <v/>
      </c>
      <c r="J1791" s="44" t="str">
        <f t="array" ref="J1791">IF(B1791="","",_xlfn.XLOOKUP(B1791,'Form responses 1'!$B$2:$B$2604,'Form responses 1'!$G$2:$G$2604,""))</f>
        <v/>
      </c>
      <c r="K1791" s="56"/>
      <c r="L1791" s="58" t="str">
        <f t="shared" si="7"/>
        <v/>
      </c>
      <c r="M1791" s="49"/>
      <c r="N1791" s="49"/>
      <c r="O1791" s="49"/>
      <c r="P1791" s="49"/>
      <c r="Q1791" s="49"/>
      <c r="R1791" s="49"/>
      <c r="S1791" s="49"/>
      <c r="T1791" s="49"/>
      <c r="U1791" s="49"/>
      <c r="V1791" s="49"/>
      <c r="W1791" s="56"/>
      <c r="X1791" s="51" t="str">
        <f t="shared" si="5"/>
        <v/>
      </c>
      <c r="Y1791" s="50" t="s">
        <v>482</v>
      </c>
      <c r="Z1791" s="49">
        <f t="shared" si="6"/>
        <v>0</v>
      </c>
    </row>
    <row r="1792" ht="22.5" customHeight="1">
      <c r="B1792" s="57"/>
      <c r="C1792" s="43" t="str">
        <f t="array" ref="C1792">IF(B1792="","",_xlfn.XLOOKUP(B1792,'Form responses 1'!$B$2:$B$2604,'Form responses 1'!$A$2:$A$2604,""))</f>
        <v/>
      </c>
      <c r="D1792" s="44" t="str">
        <f t="shared" si="3"/>
        <v/>
      </c>
      <c r="E1792" s="44" t="str">
        <f t="array" ref="E1792">IF(B1792="","",_xlfn.XLOOKUP(B1792,'Form responses 1'!$B$2:$B$2604,'Form responses 1'!$C$2:$C$2604,""))</f>
        <v/>
      </c>
      <c r="F1792" s="44" t="str">
        <f t="array" ref="F1792">IF(B1792="","",_xlfn.XLOOKUP(B1792,'Form responses 1'!$B$2:$B$2604,'Form responses 1'!$D$2:$D$2604,""))</f>
        <v/>
      </c>
      <c r="G1792" s="44" t="str">
        <f t="array" ref="G1792">IF(B1792="","",_xlfn.XLOOKUP(B1792,'Form responses 1'!$B$2:$B$2604,'Form responses 1'!$E$2:$E$2604,""))</f>
        <v/>
      </c>
      <c r="H1792" s="44" t="str">
        <f t="array" ref="H1792">IF(B1792="","",_xlfn.XLOOKUP(B1792,'Form responses 1'!$B$2:$B$2604,'Form responses 1'!$F$2:$F$2604,""))</f>
        <v/>
      </c>
      <c r="I1792" s="44" t="str">
        <f t="array" ref="I1792">IF(B1792="","",_xlfn.XLOOKUP(B1792,'Form responses 1'!$B$2:$B$2604,'Form responses 1'!$I$2:$I$2604,""))</f>
        <v/>
      </c>
      <c r="J1792" s="44" t="str">
        <f t="array" ref="J1792">IF(B1792="","",_xlfn.XLOOKUP(B1792,'Form responses 1'!$B$2:$B$2604,'Form responses 1'!$G$2:$G$2604,""))</f>
        <v/>
      </c>
      <c r="K1792" s="56"/>
      <c r="L1792" s="58" t="str">
        <f t="shared" si="7"/>
        <v/>
      </c>
      <c r="M1792" s="49"/>
      <c r="N1792" s="49"/>
      <c r="O1792" s="49"/>
      <c r="P1792" s="49"/>
      <c r="Q1792" s="49"/>
      <c r="R1792" s="49"/>
      <c r="S1792" s="49"/>
      <c r="T1792" s="49"/>
      <c r="U1792" s="49"/>
      <c r="V1792" s="49"/>
      <c r="W1792" s="56"/>
      <c r="X1792" s="51" t="str">
        <f t="shared" si="5"/>
        <v/>
      </c>
      <c r="Y1792" s="50" t="s">
        <v>482</v>
      </c>
      <c r="Z1792" s="49">
        <f t="shared" si="6"/>
        <v>0</v>
      </c>
    </row>
    <row r="1793" ht="22.5" customHeight="1">
      <c r="B1793" s="57"/>
      <c r="C1793" s="43" t="str">
        <f t="array" ref="C1793">IF(B1793="","",_xlfn.XLOOKUP(B1793,'Form responses 1'!$B$2:$B$2604,'Form responses 1'!$A$2:$A$2604,""))</f>
        <v/>
      </c>
      <c r="D1793" s="44" t="str">
        <f t="shared" si="3"/>
        <v/>
      </c>
      <c r="E1793" s="44" t="str">
        <f t="array" ref="E1793">IF(B1793="","",_xlfn.XLOOKUP(B1793,'Form responses 1'!$B$2:$B$2604,'Form responses 1'!$C$2:$C$2604,""))</f>
        <v/>
      </c>
      <c r="F1793" s="44" t="str">
        <f t="array" ref="F1793">IF(B1793="","",_xlfn.XLOOKUP(B1793,'Form responses 1'!$B$2:$B$2604,'Form responses 1'!$D$2:$D$2604,""))</f>
        <v/>
      </c>
      <c r="G1793" s="44" t="str">
        <f t="array" ref="G1793">IF(B1793="","",_xlfn.XLOOKUP(B1793,'Form responses 1'!$B$2:$B$2604,'Form responses 1'!$E$2:$E$2604,""))</f>
        <v/>
      </c>
      <c r="H1793" s="44" t="str">
        <f t="array" ref="H1793">IF(B1793="","",_xlfn.XLOOKUP(B1793,'Form responses 1'!$B$2:$B$2604,'Form responses 1'!$F$2:$F$2604,""))</f>
        <v/>
      </c>
      <c r="I1793" s="44" t="str">
        <f t="array" ref="I1793">IF(B1793="","",_xlfn.XLOOKUP(B1793,'Form responses 1'!$B$2:$B$2604,'Form responses 1'!$I$2:$I$2604,""))</f>
        <v/>
      </c>
      <c r="J1793" s="44" t="str">
        <f t="array" ref="J1793">IF(B1793="","",_xlfn.XLOOKUP(B1793,'Form responses 1'!$B$2:$B$2604,'Form responses 1'!$G$2:$G$2604,""))</f>
        <v/>
      </c>
      <c r="K1793" s="56"/>
      <c r="L1793" s="58" t="str">
        <f t="shared" si="7"/>
        <v/>
      </c>
      <c r="M1793" s="49"/>
      <c r="N1793" s="49"/>
      <c r="O1793" s="49"/>
      <c r="P1793" s="49"/>
      <c r="Q1793" s="49"/>
      <c r="R1793" s="49"/>
      <c r="S1793" s="49"/>
      <c r="T1793" s="49"/>
      <c r="U1793" s="49"/>
      <c r="V1793" s="49"/>
      <c r="W1793" s="56"/>
      <c r="X1793" s="51" t="str">
        <f t="shared" si="5"/>
        <v/>
      </c>
      <c r="Y1793" s="50" t="s">
        <v>482</v>
      </c>
      <c r="Z1793" s="49">
        <f t="shared" si="6"/>
        <v>0</v>
      </c>
    </row>
    <row r="1794" ht="22.5" customHeight="1">
      <c r="B1794" s="57"/>
      <c r="C1794" s="43" t="str">
        <f t="array" ref="C1794">IF(B1794="","",_xlfn.XLOOKUP(B1794,'Form responses 1'!$B$2:$B$2604,'Form responses 1'!$A$2:$A$2604,""))</f>
        <v/>
      </c>
      <c r="D1794" s="44" t="str">
        <f t="shared" si="3"/>
        <v/>
      </c>
      <c r="E1794" s="44" t="str">
        <f t="array" ref="E1794">IF(B1794="","",_xlfn.XLOOKUP(B1794,'Form responses 1'!$B$2:$B$2604,'Form responses 1'!$C$2:$C$2604,""))</f>
        <v/>
      </c>
      <c r="F1794" s="44" t="str">
        <f t="array" ref="F1794">IF(B1794="","",_xlfn.XLOOKUP(B1794,'Form responses 1'!$B$2:$B$2604,'Form responses 1'!$D$2:$D$2604,""))</f>
        <v/>
      </c>
      <c r="G1794" s="44" t="str">
        <f t="array" ref="G1794">IF(B1794="","",_xlfn.XLOOKUP(B1794,'Form responses 1'!$B$2:$B$2604,'Form responses 1'!$E$2:$E$2604,""))</f>
        <v/>
      </c>
      <c r="H1794" s="44" t="str">
        <f t="array" ref="H1794">IF(B1794="","",_xlfn.XLOOKUP(B1794,'Form responses 1'!$B$2:$B$2604,'Form responses 1'!$F$2:$F$2604,""))</f>
        <v/>
      </c>
      <c r="I1794" s="44" t="str">
        <f t="array" ref="I1794">IF(B1794="","",_xlfn.XLOOKUP(B1794,'Form responses 1'!$B$2:$B$2604,'Form responses 1'!$I$2:$I$2604,""))</f>
        <v/>
      </c>
      <c r="J1794" s="44" t="str">
        <f t="array" ref="J1794">IF(B1794="","",_xlfn.XLOOKUP(B1794,'Form responses 1'!$B$2:$B$2604,'Form responses 1'!$G$2:$G$2604,""))</f>
        <v/>
      </c>
      <c r="K1794" s="56"/>
      <c r="L1794" s="58" t="str">
        <f t="shared" si="7"/>
        <v/>
      </c>
      <c r="M1794" s="49"/>
      <c r="N1794" s="49"/>
      <c r="O1794" s="49"/>
      <c r="P1794" s="49"/>
      <c r="Q1794" s="49"/>
      <c r="R1794" s="49"/>
      <c r="S1794" s="49"/>
      <c r="T1794" s="49"/>
      <c r="U1794" s="49"/>
      <c r="V1794" s="49"/>
      <c r="W1794" s="56"/>
      <c r="X1794" s="51" t="str">
        <f t="shared" si="5"/>
        <v/>
      </c>
      <c r="Y1794" s="50" t="s">
        <v>482</v>
      </c>
      <c r="Z1794" s="49">
        <f t="shared" si="6"/>
        <v>0</v>
      </c>
    </row>
    <row r="1795" ht="22.5" customHeight="1">
      <c r="B1795" s="57"/>
      <c r="C1795" s="43" t="str">
        <f t="array" ref="C1795">IF(B1795="","",_xlfn.XLOOKUP(B1795,'Form responses 1'!$B$2:$B$2604,'Form responses 1'!$A$2:$A$2604,""))</f>
        <v/>
      </c>
      <c r="D1795" s="44" t="str">
        <f t="shared" si="3"/>
        <v/>
      </c>
      <c r="E1795" s="44" t="str">
        <f t="array" ref="E1795">IF(B1795="","",_xlfn.XLOOKUP(B1795,'Form responses 1'!$B$2:$B$2604,'Form responses 1'!$C$2:$C$2604,""))</f>
        <v/>
      </c>
      <c r="F1795" s="44" t="str">
        <f t="array" ref="F1795">IF(B1795="","",_xlfn.XLOOKUP(B1795,'Form responses 1'!$B$2:$B$2604,'Form responses 1'!$D$2:$D$2604,""))</f>
        <v/>
      </c>
      <c r="G1795" s="44" t="str">
        <f t="array" ref="G1795">IF(B1795="","",_xlfn.XLOOKUP(B1795,'Form responses 1'!$B$2:$B$2604,'Form responses 1'!$E$2:$E$2604,""))</f>
        <v/>
      </c>
      <c r="H1795" s="44" t="str">
        <f t="array" ref="H1795">IF(B1795="","",_xlfn.XLOOKUP(B1795,'Form responses 1'!$B$2:$B$2604,'Form responses 1'!$F$2:$F$2604,""))</f>
        <v/>
      </c>
      <c r="I1795" s="44" t="str">
        <f t="array" ref="I1795">IF(B1795="","",_xlfn.XLOOKUP(B1795,'Form responses 1'!$B$2:$B$2604,'Form responses 1'!$I$2:$I$2604,""))</f>
        <v/>
      </c>
      <c r="J1795" s="44" t="str">
        <f t="array" ref="J1795">IF(B1795="","",_xlfn.XLOOKUP(B1795,'Form responses 1'!$B$2:$B$2604,'Form responses 1'!$G$2:$G$2604,""))</f>
        <v/>
      </c>
      <c r="K1795" s="56"/>
      <c r="L1795" s="58" t="str">
        <f t="shared" si="7"/>
        <v/>
      </c>
      <c r="M1795" s="49"/>
      <c r="N1795" s="49"/>
      <c r="O1795" s="49"/>
      <c r="P1795" s="49"/>
      <c r="Q1795" s="49"/>
      <c r="R1795" s="49"/>
      <c r="S1795" s="49"/>
      <c r="T1795" s="49"/>
      <c r="U1795" s="49"/>
      <c r="V1795" s="49"/>
      <c r="W1795" s="56"/>
      <c r="X1795" s="51" t="str">
        <f t="shared" si="5"/>
        <v/>
      </c>
      <c r="Y1795" s="50" t="s">
        <v>482</v>
      </c>
      <c r="Z1795" s="49">
        <f t="shared" si="6"/>
        <v>0</v>
      </c>
    </row>
    <row r="1796" ht="22.5" customHeight="1">
      <c r="B1796" s="57"/>
      <c r="C1796" s="43" t="str">
        <f t="array" ref="C1796">IF(B1796="","",_xlfn.XLOOKUP(B1796,'Form responses 1'!$B$2:$B$2604,'Form responses 1'!$A$2:$A$2604,""))</f>
        <v/>
      </c>
      <c r="D1796" s="44" t="str">
        <f t="shared" si="3"/>
        <v/>
      </c>
      <c r="E1796" s="44" t="str">
        <f t="array" ref="E1796">IF(B1796="","",_xlfn.XLOOKUP(B1796,'Form responses 1'!$B$2:$B$2604,'Form responses 1'!$C$2:$C$2604,""))</f>
        <v/>
      </c>
      <c r="F1796" s="44" t="str">
        <f t="array" ref="F1796">IF(B1796="","",_xlfn.XLOOKUP(B1796,'Form responses 1'!$B$2:$B$2604,'Form responses 1'!$D$2:$D$2604,""))</f>
        <v/>
      </c>
      <c r="G1796" s="44" t="str">
        <f t="array" ref="G1796">IF(B1796="","",_xlfn.XLOOKUP(B1796,'Form responses 1'!$B$2:$B$2604,'Form responses 1'!$E$2:$E$2604,""))</f>
        <v/>
      </c>
      <c r="H1796" s="44" t="str">
        <f t="array" ref="H1796">IF(B1796="","",_xlfn.XLOOKUP(B1796,'Form responses 1'!$B$2:$B$2604,'Form responses 1'!$F$2:$F$2604,""))</f>
        <v/>
      </c>
      <c r="I1796" s="44" t="str">
        <f t="array" ref="I1796">IF(B1796="","",_xlfn.XLOOKUP(B1796,'Form responses 1'!$B$2:$B$2604,'Form responses 1'!$I$2:$I$2604,""))</f>
        <v/>
      </c>
      <c r="J1796" s="44" t="str">
        <f t="array" ref="J1796">IF(B1796="","",_xlfn.XLOOKUP(B1796,'Form responses 1'!$B$2:$B$2604,'Form responses 1'!$G$2:$G$2604,""))</f>
        <v/>
      </c>
      <c r="K1796" s="56"/>
      <c r="L1796" s="58" t="str">
        <f t="shared" si="7"/>
        <v/>
      </c>
      <c r="M1796" s="49"/>
      <c r="N1796" s="49"/>
      <c r="O1796" s="49"/>
      <c r="P1796" s="49"/>
      <c r="Q1796" s="49"/>
      <c r="R1796" s="49"/>
      <c r="S1796" s="49"/>
      <c r="T1796" s="49"/>
      <c r="U1796" s="49"/>
      <c r="V1796" s="49"/>
      <c r="W1796" s="56"/>
      <c r="X1796" s="51" t="str">
        <f t="shared" si="5"/>
        <v/>
      </c>
      <c r="Y1796" s="50" t="s">
        <v>482</v>
      </c>
      <c r="Z1796" s="49">
        <f t="shared" si="6"/>
        <v>0</v>
      </c>
    </row>
    <row r="1797" ht="22.5" customHeight="1">
      <c r="B1797" s="57"/>
      <c r="C1797" s="43" t="str">
        <f t="array" ref="C1797">IF(B1797="","",_xlfn.XLOOKUP(B1797,'Form responses 1'!$B$2:$B$2604,'Form responses 1'!$A$2:$A$2604,""))</f>
        <v/>
      </c>
      <c r="D1797" s="44" t="str">
        <f t="shared" si="3"/>
        <v/>
      </c>
      <c r="E1797" s="44" t="str">
        <f t="array" ref="E1797">IF(B1797="","",_xlfn.XLOOKUP(B1797,'Form responses 1'!$B$2:$B$2604,'Form responses 1'!$C$2:$C$2604,""))</f>
        <v/>
      </c>
      <c r="F1797" s="44" t="str">
        <f t="array" ref="F1797">IF(B1797="","",_xlfn.XLOOKUP(B1797,'Form responses 1'!$B$2:$B$2604,'Form responses 1'!$D$2:$D$2604,""))</f>
        <v/>
      </c>
      <c r="G1797" s="44" t="str">
        <f t="array" ref="G1797">IF(B1797="","",_xlfn.XLOOKUP(B1797,'Form responses 1'!$B$2:$B$2604,'Form responses 1'!$E$2:$E$2604,""))</f>
        <v/>
      </c>
      <c r="H1797" s="44" t="str">
        <f t="array" ref="H1797">IF(B1797="","",_xlfn.XLOOKUP(B1797,'Form responses 1'!$B$2:$B$2604,'Form responses 1'!$F$2:$F$2604,""))</f>
        <v/>
      </c>
      <c r="I1797" s="44" t="str">
        <f t="array" ref="I1797">IF(B1797="","",_xlfn.XLOOKUP(B1797,'Form responses 1'!$B$2:$B$2604,'Form responses 1'!$I$2:$I$2604,""))</f>
        <v/>
      </c>
      <c r="J1797" s="44" t="str">
        <f t="array" ref="J1797">IF(B1797="","",_xlfn.XLOOKUP(B1797,'Form responses 1'!$B$2:$B$2604,'Form responses 1'!$G$2:$G$2604,""))</f>
        <v/>
      </c>
      <c r="K1797" s="56"/>
      <c r="L1797" s="58" t="str">
        <f t="shared" si="7"/>
        <v/>
      </c>
      <c r="M1797" s="49"/>
      <c r="N1797" s="49"/>
      <c r="O1797" s="49"/>
      <c r="P1797" s="49"/>
      <c r="Q1797" s="49"/>
      <c r="R1797" s="49"/>
      <c r="S1797" s="49"/>
      <c r="T1797" s="49"/>
      <c r="U1797" s="49"/>
      <c r="V1797" s="49"/>
      <c r="W1797" s="56"/>
      <c r="X1797" s="51" t="str">
        <f t="shared" si="5"/>
        <v/>
      </c>
      <c r="Y1797" s="50" t="s">
        <v>482</v>
      </c>
      <c r="Z1797" s="49">
        <f t="shared" si="6"/>
        <v>0</v>
      </c>
    </row>
    <row r="1798" ht="22.5" customHeight="1">
      <c r="B1798" s="57"/>
      <c r="C1798" s="43" t="str">
        <f t="array" ref="C1798">IF(B1798="","",_xlfn.XLOOKUP(B1798,'Form responses 1'!$B$2:$B$2604,'Form responses 1'!$A$2:$A$2604,""))</f>
        <v/>
      </c>
      <c r="D1798" s="44" t="str">
        <f t="shared" si="3"/>
        <v/>
      </c>
      <c r="E1798" s="44" t="str">
        <f t="array" ref="E1798">IF(B1798="","",_xlfn.XLOOKUP(B1798,'Form responses 1'!$B$2:$B$2604,'Form responses 1'!$C$2:$C$2604,""))</f>
        <v/>
      </c>
      <c r="F1798" s="44" t="str">
        <f t="array" ref="F1798">IF(B1798="","",_xlfn.XLOOKUP(B1798,'Form responses 1'!$B$2:$B$2604,'Form responses 1'!$D$2:$D$2604,""))</f>
        <v/>
      </c>
      <c r="G1798" s="44" t="str">
        <f t="array" ref="G1798">IF(B1798="","",_xlfn.XLOOKUP(B1798,'Form responses 1'!$B$2:$B$2604,'Form responses 1'!$E$2:$E$2604,""))</f>
        <v/>
      </c>
      <c r="H1798" s="44" t="str">
        <f t="array" ref="H1798">IF(B1798="","",_xlfn.XLOOKUP(B1798,'Form responses 1'!$B$2:$B$2604,'Form responses 1'!$F$2:$F$2604,""))</f>
        <v/>
      </c>
      <c r="I1798" s="44" t="str">
        <f t="array" ref="I1798">IF(B1798="","",_xlfn.XLOOKUP(B1798,'Form responses 1'!$B$2:$B$2604,'Form responses 1'!$I$2:$I$2604,""))</f>
        <v/>
      </c>
      <c r="J1798" s="44" t="str">
        <f t="array" ref="J1798">IF(B1798="","",_xlfn.XLOOKUP(B1798,'Form responses 1'!$B$2:$B$2604,'Form responses 1'!$G$2:$G$2604,""))</f>
        <v/>
      </c>
      <c r="K1798" s="56"/>
      <c r="L1798" s="58" t="str">
        <f t="shared" si="7"/>
        <v/>
      </c>
      <c r="M1798" s="49"/>
      <c r="N1798" s="49"/>
      <c r="O1798" s="49"/>
      <c r="P1798" s="49"/>
      <c r="Q1798" s="49"/>
      <c r="R1798" s="49"/>
      <c r="S1798" s="49"/>
      <c r="T1798" s="49"/>
      <c r="U1798" s="49"/>
      <c r="V1798" s="49"/>
      <c r="W1798" s="56"/>
      <c r="X1798" s="51" t="str">
        <f t="shared" si="5"/>
        <v/>
      </c>
      <c r="Y1798" s="50" t="s">
        <v>482</v>
      </c>
      <c r="Z1798" s="49">
        <f t="shared" si="6"/>
        <v>0</v>
      </c>
    </row>
    <row r="1799" ht="22.5" customHeight="1">
      <c r="B1799" s="57"/>
      <c r="C1799" s="43" t="str">
        <f t="array" ref="C1799">IF(B1799="","",_xlfn.XLOOKUP(B1799,'Form responses 1'!$B$2:$B$2604,'Form responses 1'!$A$2:$A$2604,""))</f>
        <v/>
      </c>
      <c r="D1799" s="44" t="str">
        <f t="shared" si="3"/>
        <v/>
      </c>
      <c r="E1799" s="44" t="str">
        <f t="array" ref="E1799">IF(B1799="","",_xlfn.XLOOKUP(B1799,'Form responses 1'!$B$2:$B$2604,'Form responses 1'!$C$2:$C$2604,""))</f>
        <v/>
      </c>
      <c r="F1799" s="44" t="str">
        <f t="array" ref="F1799">IF(B1799="","",_xlfn.XLOOKUP(B1799,'Form responses 1'!$B$2:$B$2604,'Form responses 1'!$D$2:$D$2604,""))</f>
        <v/>
      </c>
      <c r="G1799" s="44" t="str">
        <f t="array" ref="G1799">IF(B1799="","",_xlfn.XLOOKUP(B1799,'Form responses 1'!$B$2:$B$2604,'Form responses 1'!$E$2:$E$2604,""))</f>
        <v/>
      </c>
      <c r="H1799" s="44" t="str">
        <f t="array" ref="H1799">IF(B1799="","",_xlfn.XLOOKUP(B1799,'Form responses 1'!$B$2:$B$2604,'Form responses 1'!$F$2:$F$2604,""))</f>
        <v/>
      </c>
      <c r="I1799" s="44" t="str">
        <f t="array" ref="I1799">IF(B1799="","",_xlfn.XLOOKUP(B1799,'Form responses 1'!$B$2:$B$2604,'Form responses 1'!$I$2:$I$2604,""))</f>
        <v/>
      </c>
      <c r="J1799" s="44" t="str">
        <f t="array" ref="J1799">IF(B1799="","",_xlfn.XLOOKUP(B1799,'Form responses 1'!$B$2:$B$2604,'Form responses 1'!$G$2:$G$2604,""))</f>
        <v/>
      </c>
      <c r="K1799" s="56"/>
      <c r="L1799" s="58" t="str">
        <f t="shared" si="7"/>
        <v/>
      </c>
      <c r="M1799" s="49"/>
      <c r="N1799" s="49"/>
      <c r="O1799" s="49"/>
      <c r="P1799" s="49"/>
      <c r="Q1799" s="49"/>
      <c r="R1799" s="49"/>
      <c r="S1799" s="49"/>
      <c r="T1799" s="49"/>
      <c r="U1799" s="49"/>
      <c r="V1799" s="49"/>
      <c r="W1799" s="56"/>
      <c r="X1799" s="51" t="str">
        <f t="shared" si="5"/>
        <v/>
      </c>
      <c r="Y1799" s="50" t="s">
        <v>482</v>
      </c>
      <c r="Z1799" s="49">
        <f t="shared" si="6"/>
        <v>0</v>
      </c>
    </row>
    <row r="1800" ht="22.5" customHeight="1">
      <c r="B1800" s="57"/>
      <c r="C1800" s="43" t="str">
        <f t="array" ref="C1800">IF(B1800="","",_xlfn.XLOOKUP(B1800,'Form responses 1'!$B$2:$B$2604,'Form responses 1'!$A$2:$A$2604,""))</f>
        <v/>
      </c>
      <c r="D1800" s="44" t="str">
        <f t="shared" si="3"/>
        <v/>
      </c>
      <c r="E1800" s="44" t="str">
        <f t="array" ref="E1800">IF(B1800="","",_xlfn.XLOOKUP(B1800,'Form responses 1'!$B$2:$B$2604,'Form responses 1'!$C$2:$C$2604,""))</f>
        <v/>
      </c>
      <c r="F1800" s="44" t="str">
        <f t="array" ref="F1800">IF(B1800="","",_xlfn.XLOOKUP(B1800,'Form responses 1'!$B$2:$B$2604,'Form responses 1'!$D$2:$D$2604,""))</f>
        <v/>
      </c>
      <c r="G1800" s="44" t="str">
        <f t="array" ref="G1800">IF(B1800="","",_xlfn.XLOOKUP(B1800,'Form responses 1'!$B$2:$B$2604,'Form responses 1'!$E$2:$E$2604,""))</f>
        <v/>
      </c>
      <c r="H1800" s="44" t="str">
        <f t="array" ref="H1800">IF(B1800="","",_xlfn.XLOOKUP(B1800,'Form responses 1'!$B$2:$B$2604,'Form responses 1'!$F$2:$F$2604,""))</f>
        <v/>
      </c>
      <c r="I1800" s="44" t="str">
        <f t="array" ref="I1800">IF(B1800="","",_xlfn.XLOOKUP(B1800,'Form responses 1'!$B$2:$B$2604,'Form responses 1'!$I$2:$I$2604,""))</f>
        <v/>
      </c>
      <c r="J1800" s="44" t="str">
        <f t="array" ref="J1800">IF(B1800="","",_xlfn.XLOOKUP(B1800,'Form responses 1'!$B$2:$B$2604,'Form responses 1'!$G$2:$G$2604,""))</f>
        <v/>
      </c>
      <c r="K1800" s="56"/>
      <c r="L1800" s="58" t="str">
        <f t="shared" si="7"/>
        <v/>
      </c>
      <c r="M1800" s="49"/>
      <c r="N1800" s="49"/>
      <c r="O1800" s="49"/>
      <c r="P1800" s="49"/>
      <c r="Q1800" s="49"/>
      <c r="R1800" s="49"/>
      <c r="S1800" s="49"/>
      <c r="T1800" s="49"/>
      <c r="U1800" s="49"/>
      <c r="V1800" s="49"/>
      <c r="W1800" s="56"/>
      <c r="X1800" s="51" t="str">
        <f t="shared" si="5"/>
        <v/>
      </c>
      <c r="Y1800" s="50" t="s">
        <v>482</v>
      </c>
      <c r="Z1800" s="49">
        <f t="shared" si="6"/>
        <v>0</v>
      </c>
    </row>
    <row r="1801" ht="22.5" customHeight="1">
      <c r="B1801" s="57"/>
      <c r="C1801" s="43" t="str">
        <f t="array" ref="C1801">IF(B1801="","",_xlfn.XLOOKUP(B1801,'Form responses 1'!$B$2:$B$2604,'Form responses 1'!$A$2:$A$2604,""))</f>
        <v/>
      </c>
      <c r="D1801" s="44" t="str">
        <f t="shared" si="3"/>
        <v/>
      </c>
      <c r="E1801" s="44" t="str">
        <f t="array" ref="E1801">IF(B1801="","",_xlfn.XLOOKUP(B1801,'Form responses 1'!$B$2:$B$2604,'Form responses 1'!$C$2:$C$2604,""))</f>
        <v/>
      </c>
      <c r="F1801" s="44" t="str">
        <f t="array" ref="F1801">IF(B1801="","",_xlfn.XLOOKUP(B1801,'Form responses 1'!$B$2:$B$2604,'Form responses 1'!$D$2:$D$2604,""))</f>
        <v/>
      </c>
      <c r="G1801" s="44" t="str">
        <f t="array" ref="G1801">IF(B1801="","",_xlfn.XLOOKUP(B1801,'Form responses 1'!$B$2:$B$2604,'Form responses 1'!$E$2:$E$2604,""))</f>
        <v/>
      </c>
      <c r="H1801" s="44" t="str">
        <f t="array" ref="H1801">IF(B1801="","",_xlfn.XLOOKUP(B1801,'Form responses 1'!$B$2:$B$2604,'Form responses 1'!$F$2:$F$2604,""))</f>
        <v/>
      </c>
      <c r="I1801" s="44" t="str">
        <f t="array" ref="I1801">IF(B1801="","",_xlfn.XLOOKUP(B1801,'Form responses 1'!$B$2:$B$2604,'Form responses 1'!$I$2:$I$2604,""))</f>
        <v/>
      </c>
      <c r="J1801" s="44" t="str">
        <f t="array" ref="J1801">IF(B1801="","",_xlfn.XLOOKUP(B1801,'Form responses 1'!$B$2:$B$2604,'Form responses 1'!$G$2:$G$2604,""))</f>
        <v/>
      </c>
      <c r="K1801" s="56"/>
      <c r="L1801" s="58" t="str">
        <f t="shared" si="7"/>
        <v/>
      </c>
      <c r="M1801" s="49"/>
      <c r="N1801" s="49"/>
      <c r="O1801" s="49"/>
      <c r="P1801" s="49"/>
      <c r="Q1801" s="49"/>
      <c r="R1801" s="49"/>
      <c r="S1801" s="49"/>
      <c r="T1801" s="49"/>
      <c r="U1801" s="49"/>
      <c r="V1801" s="49"/>
      <c r="W1801" s="56"/>
      <c r="X1801" s="51" t="str">
        <f t="shared" si="5"/>
        <v/>
      </c>
      <c r="Y1801" s="50" t="s">
        <v>482</v>
      </c>
      <c r="Z1801" s="49">
        <f t="shared" si="6"/>
        <v>0</v>
      </c>
    </row>
    <row r="1802" ht="22.5" customHeight="1">
      <c r="B1802" s="57"/>
      <c r="C1802" s="43" t="str">
        <f t="array" ref="C1802">IF(B1802="","",_xlfn.XLOOKUP(B1802,'Form responses 1'!$B$2:$B$2604,'Form responses 1'!$A$2:$A$2604,""))</f>
        <v/>
      </c>
      <c r="D1802" s="44" t="str">
        <f t="shared" si="3"/>
        <v/>
      </c>
      <c r="E1802" s="44" t="str">
        <f t="array" ref="E1802">IF(B1802="","",_xlfn.XLOOKUP(B1802,'Form responses 1'!$B$2:$B$2604,'Form responses 1'!$C$2:$C$2604,""))</f>
        <v/>
      </c>
      <c r="F1802" s="44" t="str">
        <f t="array" ref="F1802">IF(B1802="","",_xlfn.XLOOKUP(B1802,'Form responses 1'!$B$2:$B$2604,'Form responses 1'!$D$2:$D$2604,""))</f>
        <v/>
      </c>
      <c r="G1802" s="44" t="str">
        <f t="array" ref="G1802">IF(B1802="","",_xlfn.XLOOKUP(B1802,'Form responses 1'!$B$2:$B$2604,'Form responses 1'!$E$2:$E$2604,""))</f>
        <v/>
      </c>
      <c r="H1802" s="44" t="str">
        <f t="array" ref="H1802">IF(B1802="","",_xlfn.XLOOKUP(B1802,'Form responses 1'!$B$2:$B$2604,'Form responses 1'!$F$2:$F$2604,""))</f>
        <v/>
      </c>
      <c r="I1802" s="44" t="str">
        <f t="array" ref="I1802">IF(B1802="","",_xlfn.XLOOKUP(B1802,'Form responses 1'!$B$2:$B$2604,'Form responses 1'!$I$2:$I$2604,""))</f>
        <v/>
      </c>
      <c r="J1802" s="44" t="str">
        <f t="array" ref="J1802">IF(B1802="","",_xlfn.XLOOKUP(B1802,'Form responses 1'!$B$2:$B$2604,'Form responses 1'!$G$2:$G$2604,""))</f>
        <v/>
      </c>
      <c r="K1802" s="56"/>
      <c r="L1802" s="58" t="str">
        <f t="shared" si="7"/>
        <v/>
      </c>
      <c r="M1802" s="49"/>
      <c r="N1802" s="49"/>
      <c r="O1802" s="49"/>
      <c r="P1802" s="49"/>
      <c r="Q1802" s="49"/>
      <c r="R1802" s="49"/>
      <c r="S1802" s="49"/>
      <c r="T1802" s="49"/>
      <c r="U1802" s="49"/>
      <c r="V1802" s="49"/>
      <c r="W1802" s="56"/>
      <c r="X1802" s="51" t="str">
        <f t="shared" si="5"/>
        <v/>
      </c>
      <c r="Y1802" s="50" t="s">
        <v>482</v>
      </c>
      <c r="Z1802" s="49">
        <f t="shared" si="6"/>
        <v>0</v>
      </c>
    </row>
    <row r="1803" ht="22.5" customHeight="1">
      <c r="B1803" s="57"/>
      <c r="C1803" s="43" t="str">
        <f t="array" ref="C1803">IF(B1803="","",_xlfn.XLOOKUP(B1803,'Form responses 1'!$B$2:$B$2604,'Form responses 1'!$A$2:$A$2604,""))</f>
        <v/>
      </c>
      <c r="D1803" s="44" t="str">
        <f t="shared" si="3"/>
        <v/>
      </c>
      <c r="E1803" s="44" t="str">
        <f t="array" ref="E1803">IF(B1803="","",_xlfn.XLOOKUP(B1803,'Form responses 1'!$B$2:$B$2604,'Form responses 1'!$C$2:$C$2604,""))</f>
        <v/>
      </c>
      <c r="F1803" s="44" t="str">
        <f t="array" ref="F1803">IF(B1803="","",_xlfn.XLOOKUP(B1803,'Form responses 1'!$B$2:$B$2604,'Form responses 1'!$D$2:$D$2604,""))</f>
        <v/>
      </c>
      <c r="G1803" s="44" t="str">
        <f t="array" ref="G1803">IF(B1803="","",_xlfn.XLOOKUP(B1803,'Form responses 1'!$B$2:$B$2604,'Form responses 1'!$E$2:$E$2604,""))</f>
        <v/>
      </c>
      <c r="H1803" s="44" t="str">
        <f t="array" ref="H1803">IF(B1803="","",_xlfn.XLOOKUP(B1803,'Form responses 1'!$B$2:$B$2604,'Form responses 1'!$F$2:$F$2604,""))</f>
        <v/>
      </c>
      <c r="I1803" s="44" t="str">
        <f t="array" ref="I1803">IF(B1803="","",_xlfn.XLOOKUP(B1803,'Form responses 1'!$B$2:$B$2604,'Form responses 1'!$I$2:$I$2604,""))</f>
        <v/>
      </c>
      <c r="J1803" s="44" t="str">
        <f t="array" ref="J1803">IF(B1803="","",_xlfn.XLOOKUP(B1803,'Form responses 1'!$B$2:$B$2604,'Form responses 1'!$G$2:$G$2604,""))</f>
        <v/>
      </c>
      <c r="K1803" s="56"/>
      <c r="L1803" s="58" t="str">
        <f t="shared" si="7"/>
        <v/>
      </c>
      <c r="M1803" s="49"/>
      <c r="N1803" s="49"/>
      <c r="O1803" s="49"/>
      <c r="P1803" s="49"/>
      <c r="Q1803" s="49"/>
      <c r="R1803" s="49"/>
      <c r="S1803" s="49"/>
      <c r="T1803" s="49"/>
      <c r="U1803" s="49"/>
      <c r="V1803" s="49"/>
      <c r="W1803" s="56"/>
      <c r="X1803" s="51" t="str">
        <f t="shared" si="5"/>
        <v/>
      </c>
      <c r="Y1803" s="50" t="s">
        <v>482</v>
      </c>
      <c r="Z1803" s="49">
        <f t="shared" si="6"/>
        <v>0</v>
      </c>
    </row>
    <row r="1804" ht="22.5" customHeight="1">
      <c r="B1804" s="57"/>
      <c r="C1804" s="43" t="str">
        <f t="array" ref="C1804">IF(B1804="","",_xlfn.XLOOKUP(B1804,'Form responses 1'!$B$2:$B$2604,'Form responses 1'!$A$2:$A$2604,""))</f>
        <v/>
      </c>
      <c r="D1804" s="44" t="str">
        <f t="shared" si="3"/>
        <v/>
      </c>
      <c r="E1804" s="44" t="str">
        <f t="array" ref="E1804">IF(B1804="","",_xlfn.XLOOKUP(B1804,'Form responses 1'!$B$2:$B$2604,'Form responses 1'!$C$2:$C$2604,""))</f>
        <v/>
      </c>
      <c r="F1804" s="44" t="str">
        <f t="array" ref="F1804">IF(B1804="","",_xlfn.XLOOKUP(B1804,'Form responses 1'!$B$2:$B$2604,'Form responses 1'!$D$2:$D$2604,""))</f>
        <v/>
      </c>
      <c r="G1804" s="44" t="str">
        <f t="array" ref="G1804">IF(B1804="","",_xlfn.XLOOKUP(B1804,'Form responses 1'!$B$2:$B$2604,'Form responses 1'!$E$2:$E$2604,""))</f>
        <v/>
      </c>
      <c r="H1804" s="44" t="str">
        <f t="array" ref="H1804">IF(B1804="","",_xlfn.XLOOKUP(B1804,'Form responses 1'!$B$2:$B$2604,'Form responses 1'!$F$2:$F$2604,""))</f>
        <v/>
      </c>
      <c r="I1804" s="44" t="str">
        <f t="array" ref="I1804">IF(B1804="","",_xlfn.XLOOKUP(B1804,'Form responses 1'!$B$2:$B$2604,'Form responses 1'!$I$2:$I$2604,""))</f>
        <v/>
      </c>
      <c r="J1804" s="44" t="str">
        <f t="array" ref="J1804">IF(B1804="","",_xlfn.XLOOKUP(B1804,'Form responses 1'!$B$2:$B$2604,'Form responses 1'!$G$2:$G$2604,""))</f>
        <v/>
      </c>
      <c r="K1804" s="56"/>
      <c r="L1804" s="58" t="str">
        <f t="shared" si="7"/>
        <v/>
      </c>
      <c r="M1804" s="49"/>
      <c r="N1804" s="49"/>
      <c r="O1804" s="49"/>
      <c r="P1804" s="49"/>
      <c r="Q1804" s="49"/>
      <c r="R1804" s="49"/>
      <c r="S1804" s="49"/>
      <c r="T1804" s="49"/>
      <c r="U1804" s="49"/>
      <c r="V1804" s="49"/>
      <c r="W1804" s="56"/>
      <c r="X1804" s="51" t="str">
        <f t="shared" si="5"/>
        <v/>
      </c>
      <c r="Y1804" s="50" t="s">
        <v>482</v>
      </c>
      <c r="Z1804" s="49">
        <f t="shared" si="6"/>
        <v>0</v>
      </c>
    </row>
    <row r="1805" ht="22.5" customHeight="1">
      <c r="B1805" s="57"/>
      <c r="C1805" s="43" t="str">
        <f t="array" ref="C1805">IF(B1805="","",_xlfn.XLOOKUP(B1805,'Form responses 1'!$B$2:$B$2604,'Form responses 1'!$A$2:$A$2604,""))</f>
        <v/>
      </c>
      <c r="D1805" s="44" t="str">
        <f t="shared" si="3"/>
        <v/>
      </c>
      <c r="E1805" s="44" t="str">
        <f t="array" ref="E1805">IF(B1805="","",_xlfn.XLOOKUP(B1805,'Form responses 1'!$B$2:$B$2604,'Form responses 1'!$C$2:$C$2604,""))</f>
        <v/>
      </c>
      <c r="F1805" s="44" t="str">
        <f t="array" ref="F1805">IF(B1805="","",_xlfn.XLOOKUP(B1805,'Form responses 1'!$B$2:$B$2604,'Form responses 1'!$D$2:$D$2604,""))</f>
        <v/>
      </c>
      <c r="G1805" s="44" t="str">
        <f t="array" ref="G1805">IF(B1805="","",_xlfn.XLOOKUP(B1805,'Form responses 1'!$B$2:$B$2604,'Form responses 1'!$E$2:$E$2604,""))</f>
        <v/>
      </c>
      <c r="H1805" s="44" t="str">
        <f t="array" ref="H1805">IF(B1805="","",_xlfn.XLOOKUP(B1805,'Form responses 1'!$B$2:$B$2604,'Form responses 1'!$F$2:$F$2604,""))</f>
        <v/>
      </c>
      <c r="I1805" s="44" t="str">
        <f t="array" ref="I1805">IF(B1805="","",_xlfn.XLOOKUP(B1805,'Form responses 1'!$B$2:$B$2604,'Form responses 1'!$I$2:$I$2604,""))</f>
        <v/>
      </c>
      <c r="J1805" s="44" t="str">
        <f t="array" ref="J1805">IF(B1805="","",_xlfn.XLOOKUP(B1805,'Form responses 1'!$B$2:$B$2604,'Form responses 1'!$G$2:$G$2604,""))</f>
        <v/>
      </c>
      <c r="K1805" s="56"/>
      <c r="L1805" s="58" t="str">
        <f t="shared" si="7"/>
        <v/>
      </c>
      <c r="M1805" s="49"/>
      <c r="N1805" s="49"/>
      <c r="O1805" s="49"/>
      <c r="P1805" s="49"/>
      <c r="Q1805" s="49"/>
      <c r="R1805" s="49"/>
      <c r="S1805" s="49"/>
      <c r="T1805" s="49"/>
      <c r="U1805" s="49"/>
      <c r="V1805" s="49"/>
      <c r="W1805" s="56"/>
      <c r="X1805" s="51" t="str">
        <f t="shared" si="5"/>
        <v/>
      </c>
      <c r="Y1805" s="50" t="s">
        <v>482</v>
      </c>
      <c r="Z1805" s="49">
        <f t="shared" si="6"/>
        <v>0</v>
      </c>
    </row>
    <row r="1806" ht="22.5" customHeight="1">
      <c r="B1806" s="57"/>
      <c r="C1806" s="43" t="str">
        <f t="array" ref="C1806">IF(B1806="","",_xlfn.XLOOKUP(B1806,'Form responses 1'!$B$2:$B$2604,'Form responses 1'!$A$2:$A$2604,""))</f>
        <v/>
      </c>
      <c r="D1806" s="44" t="str">
        <f t="shared" si="3"/>
        <v/>
      </c>
      <c r="E1806" s="44" t="str">
        <f t="array" ref="E1806">IF(B1806="","",_xlfn.XLOOKUP(B1806,'Form responses 1'!$B$2:$B$2604,'Form responses 1'!$C$2:$C$2604,""))</f>
        <v/>
      </c>
      <c r="F1806" s="44" t="str">
        <f t="array" ref="F1806">IF(B1806="","",_xlfn.XLOOKUP(B1806,'Form responses 1'!$B$2:$B$2604,'Form responses 1'!$D$2:$D$2604,""))</f>
        <v/>
      </c>
      <c r="G1806" s="44" t="str">
        <f t="array" ref="G1806">IF(B1806="","",_xlfn.XLOOKUP(B1806,'Form responses 1'!$B$2:$B$2604,'Form responses 1'!$E$2:$E$2604,""))</f>
        <v/>
      </c>
      <c r="H1806" s="44" t="str">
        <f t="array" ref="H1806">IF(B1806="","",_xlfn.XLOOKUP(B1806,'Form responses 1'!$B$2:$B$2604,'Form responses 1'!$F$2:$F$2604,""))</f>
        <v/>
      </c>
      <c r="I1806" s="44" t="str">
        <f t="array" ref="I1806">IF(B1806="","",_xlfn.XLOOKUP(B1806,'Form responses 1'!$B$2:$B$2604,'Form responses 1'!$I$2:$I$2604,""))</f>
        <v/>
      </c>
      <c r="J1806" s="44" t="str">
        <f t="array" ref="J1806">IF(B1806="","",_xlfn.XLOOKUP(B1806,'Form responses 1'!$B$2:$B$2604,'Form responses 1'!$G$2:$G$2604,""))</f>
        <v/>
      </c>
      <c r="K1806" s="56"/>
      <c r="L1806" s="58" t="str">
        <f t="shared" si="7"/>
        <v/>
      </c>
      <c r="M1806" s="49"/>
      <c r="N1806" s="49"/>
      <c r="O1806" s="49"/>
      <c r="P1806" s="49"/>
      <c r="Q1806" s="49"/>
      <c r="R1806" s="49"/>
      <c r="S1806" s="49"/>
      <c r="T1806" s="49"/>
      <c r="U1806" s="49"/>
      <c r="V1806" s="49"/>
      <c r="W1806" s="56"/>
      <c r="X1806" s="51" t="str">
        <f t="shared" si="5"/>
        <v/>
      </c>
      <c r="Y1806" s="50" t="s">
        <v>482</v>
      </c>
      <c r="Z1806" s="49">
        <f t="shared" si="6"/>
        <v>0</v>
      </c>
    </row>
    <row r="1807" ht="22.5" customHeight="1">
      <c r="B1807" s="57"/>
      <c r="C1807" s="43" t="str">
        <f t="array" ref="C1807">IF(B1807="","",_xlfn.XLOOKUP(B1807,'Form responses 1'!$B$2:$B$2604,'Form responses 1'!$A$2:$A$2604,""))</f>
        <v/>
      </c>
      <c r="D1807" s="44" t="str">
        <f t="shared" si="3"/>
        <v/>
      </c>
      <c r="E1807" s="44" t="str">
        <f t="array" ref="E1807">IF(B1807="","",_xlfn.XLOOKUP(B1807,'Form responses 1'!$B$2:$B$2604,'Form responses 1'!$C$2:$C$2604,""))</f>
        <v/>
      </c>
      <c r="F1807" s="44" t="str">
        <f t="array" ref="F1807">IF(B1807="","",_xlfn.XLOOKUP(B1807,'Form responses 1'!$B$2:$B$2604,'Form responses 1'!$D$2:$D$2604,""))</f>
        <v/>
      </c>
      <c r="G1807" s="44" t="str">
        <f t="array" ref="G1807">IF(B1807="","",_xlfn.XLOOKUP(B1807,'Form responses 1'!$B$2:$B$2604,'Form responses 1'!$E$2:$E$2604,""))</f>
        <v/>
      </c>
      <c r="H1807" s="44" t="str">
        <f t="array" ref="H1807">IF(B1807="","",_xlfn.XLOOKUP(B1807,'Form responses 1'!$B$2:$B$2604,'Form responses 1'!$F$2:$F$2604,""))</f>
        <v/>
      </c>
      <c r="I1807" s="44" t="str">
        <f t="array" ref="I1807">IF(B1807="","",_xlfn.XLOOKUP(B1807,'Form responses 1'!$B$2:$B$2604,'Form responses 1'!$I$2:$I$2604,""))</f>
        <v/>
      </c>
      <c r="J1807" s="44" t="str">
        <f t="array" ref="J1807">IF(B1807="","",_xlfn.XLOOKUP(B1807,'Form responses 1'!$B$2:$B$2604,'Form responses 1'!$G$2:$G$2604,""))</f>
        <v/>
      </c>
      <c r="K1807" s="56"/>
      <c r="L1807" s="58" t="str">
        <f t="shared" si="7"/>
        <v/>
      </c>
      <c r="M1807" s="49"/>
      <c r="N1807" s="49"/>
      <c r="O1807" s="49"/>
      <c r="P1807" s="49"/>
      <c r="Q1807" s="49"/>
      <c r="R1807" s="49"/>
      <c r="S1807" s="49"/>
      <c r="T1807" s="49"/>
      <c r="U1807" s="49"/>
      <c r="V1807" s="49"/>
      <c r="W1807" s="56"/>
      <c r="X1807" s="51" t="str">
        <f t="shared" si="5"/>
        <v/>
      </c>
      <c r="Y1807" s="50" t="s">
        <v>482</v>
      </c>
      <c r="Z1807" s="49">
        <f t="shared" si="6"/>
        <v>0</v>
      </c>
    </row>
    <row r="1808" ht="22.5" customHeight="1">
      <c r="B1808" s="57"/>
      <c r="C1808" s="43" t="str">
        <f t="array" ref="C1808">IF(B1808="","",_xlfn.XLOOKUP(B1808,'Form responses 1'!$B$2:$B$2604,'Form responses 1'!$A$2:$A$2604,""))</f>
        <v/>
      </c>
      <c r="D1808" s="44" t="str">
        <f t="shared" si="3"/>
        <v/>
      </c>
      <c r="E1808" s="44" t="str">
        <f t="array" ref="E1808">IF(B1808="","",_xlfn.XLOOKUP(B1808,'Form responses 1'!$B$2:$B$2604,'Form responses 1'!$C$2:$C$2604,""))</f>
        <v/>
      </c>
      <c r="F1808" s="44" t="str">
        <f t="array" ref="F1808">IF(B1808="","",_xlfn.XLOOKUP(B1808,'Form responses 1'!$B$2:$B$2604,'Form responses 1'!$D$2:$D$2604,""))</f>
        <v/>
      </c>
      <c r="G1808" s="44" t="str">
        <f t="array" ref="G1808">IF(B1808="","",_xlfn.XLOOKUP(B1808,'Form responses 1'!$B$2:$B$2604,'Form responses 1'!$E$2:$E$2604,""))</f>
        <v/>
      </c>
      <c r="H1808" s="44" t="str">
        <f t="array" ref="H1808">IF(B1808="","",_xlfn.XLOOKUP(B1808,'Form responses 1'!$B$2:$B$2604,'Form responses 1'!$F$2:$F$2604,""))</f>
        <v/>
      </c>
      <c r="I1808" s="44" t="str">
        <f t="array" ref="I1808">IF(B1808="","",_xlfn.XLOOKUP(B1808,'Form responses 1'!$B$2:$B$2604,'Form responses 1'!$I$2:$I$2604,""))</f>
        <v/>
      </c>
      <c r="J1808" s="44" t="str">
        <f t="array" ref="J1808">IF(B1808="","",_xlfn.XLOOKUP(B1808,'Form responses 1'!$B$2:$B$2604,'Form responses 1'!$G$2:$G$2604,""))</f>
        <v/>
      </c>
      <c r="K1808" s="56"/>
      <c r="L1808" s="58" t="str">
        <f t="shared" si="7"/>
        <v/>
      </c>
      <c r="M1808" s="49"/>
      <c r="N1808" s="49"/>
      <c r="O1808" s="49"/>
      <c r="P1808" s="49"/>
      <c r="Q1808" s="49"/>
      <c r="R1808" s="49"/>
      <c r="S1808" s="49"/>
      <c r="T1808" s="49"/>
      <c r="U1808" s="49"/>
      <c r="V1808" s="49"/>
      <c r="W1808" s="56"/>
      <c r="X1808" s="51" t="str">
        <f t="shared" si="5"/>
        <v/>
      </c>
      <c r="Y1808" s="50" t="s">
        <v>482</v>
      </c>
      <c r="Z1808" s="49">
        <f t="shared" si="6"/>
        <v>0</v>
      </c>
    </row>
    <row r="1809" ht="22.5" customHeight="1">
      <c r="B1809" s="57"/>
      <c r="C1809" s="43" t="str">
        <f t="array" ref="C1809">IF(B1809="","",_xlfn.XLOOKUP(B1809,'Form responses 1'!$B$2:$B$2604,'Form responses 1'!$A$2:$A$2604,""))</f>
        <v/>
      </c>
      <c r="D1809" s="44" t="str">
        <f t="shared" si="3"/>
        <v/>
      </c>
      <c r="E1809" s="44" t="str">
        <f t="array" ref="E1809">IF(B1809="","",_xlfn.XLOOKUP(B1809,'Form responses 1'!$B$2:$B$2604,'Form responses 1'!$C$2:$C$2604,""))</f>
        <v/>
      </c>
      <c r="F1809" s="44" t="str">
        <f t="array" ref="F1809">IF(B1809="","",_xlfn.XLOOKUP(B1809,'Form responses 1'!$B$2:$B$2604,'Form responses 1'!$D$2:$D$2604,""))</f>
        <v/>
      </c>
      <c r="G1809" s="44" t="str">
        <f t="array" ref="G1809">IF(B1809="","",_xlfn.XLOOKUP(B1809,'Form responses 1'!$B$2:$B$2604,'Form responses 1'!$E$2:$E$2604,""))</f>
        <v/>
      </c>
      <c r="H1809" s="44" t="str">
        <f t="array" ref="H1809">IF(B1809="","",_xlfn.XLOOKUP(B1809,'Form responses 1'!$B$2:$B$2604,'Form responses 1'!$F$2:$F$2604,""))</f>
        <v/>
      </c>
      <c r="I1809" s="44" t="str">
        <f t="array" ref="I1809">IF(B1809="","",_xlfn.XLOOKUP(B1809,'Form responses 1'!$B$2:$B$2604,'Form responses 1'!$I$2:$I$2604,""))</f>
        <v/>
      </c>
      <c r="J1809" s="44" t="str">
        <f t="array" ref="J1809">IF(B1809="","",_xlfn.XLOOKUP(B1809,'Form responses 1'!$B$2:$B$2604,'Form responses 1'!$G$2:$G$2604,""))</f>
        <v/>
      </c>
      <c r="K1809" s="56"/>
      <c r="L1809" s="58" t="str">
        <f t="shared" si="7"/>
        <v/>
      </c>
      <c r="M1809" s="49"/>
      <c r="N1809" s="49"/>
      <c r="O1809" s="49"/>
      <c r="P1809" s="49"/>
      <c r="Q1809" s="49"/>
      <c r="R1809" s="49"/>
      <c r="S1809" s="49"/>
      <c r="T1809" s="49"/>
      <c r="U1809" s="49"/>
      <c r="V1809" s="49"/>
      <c r="W1809" s="56"/>
      <c r="X1809" s="51" t="str">
        <f t="shared" si="5"/>
        <v/>
      </c>
      <c r="Y1809" s="50" t="s">
        <v>482</v>
      </c>
      <c r="Z1809" s="49">
        <f t="shared" si="6"/>
        <v>0</v>
      </c>
    </row>
    <row r="1810" ht="22.5" customHeight="1">
      <c r="B1810" s="57"/>
      <c r="C1810" s="43" t="str">
        <f t="array" ref="C1810">IF(B1810="","",_xlfn.XLOOKUP(B1810,'Form responses 1'!$B$2:$B$2604,'Form responses 1'!$A$2:$A$2604,""))</f>
        <v/>
      </c>
      <c r="D1810" s="44" t="str">
        <f t="shared" si="3"/>
        <v/>
      </c>
      <c r="E1810" s="44" t="str">
        <f t="array" ref="E1810">IF(B1810="","",_xlfn.XLOOKUP(B1810,'Form responses 1'!$B$2:$B$2604,'Form responses 1'!$C$2:$C$2604,""))</f>
        <v/>
      </c>
      <c r="F1810" s="44" t="str">
        <f t="array" ref="F1810">IF(B1810="","",_xlfn.XLOOKUP(B1810,'Form responses 1'!$B$2:$B$2604,'Form responses 1'!$D$2:$D$2604,""))</f>
        <v/>
      </c>
      <c r="G1810" s="44" t="str">
        <f t="array" ref="G1810">IF(B1810="","",_xlfn.XLOOKUP(B1810,'Form responses 1'!$B$2:$B$2604,'Form responses 1'!$E$2:$E$2604,""))</f>
        <v/>
      </c>
      <c r="H1810" s="44" t="str">
        <f t="array" ref="H1810">IF(B1810="","",_xlfn.XLOOKUP(B1810,'Form responses 1'!$B$2:$B$2604,'Form responses 1'!$F$2:$F$2604,""))</f>
        <v/>
      </c>
      <c r="I1810" s="44" t="str">
        <f t="array" ref="I1810">IF(B1810="","",_xlfn.XLOOKUP(B1810,'Form responses 1'!$B$2:$B$2604,'Form responses 1'!$I$2:$I$2604,""))</f>
        <v/>
      </c>
      <c r="J1810" s="44" t="str">
        <f t="array" ref="J1810">IF(B1810="","",_xlfn.XLOOKUP(B1810,'Form responses 1'!$B$2:$B$2604,'Form responses 1'!$G$2:$G$2604,""))</f>
        <v/>
      </c>
      <c r="K1810" s="56"/>
      <c r="L1810" s="58" t="str">
        <f t="shared" si="7"/>
        <v/>
      </c>
      <c r="M1810" s="49"/>
      <c r="N1810" s="49"/>
      <c r="O1810" s="49"/>
      <c r="P1810" s="49"/>
      <c r="Q1810" s="49"/>
      <c r="R1810" s="49"/>
      <c r="S1810" s="49"/>
      <c r="T1810" s="49"/>
      <c r="U1810" s="49"/>
      <c r="V1810" s="49"/>
      <c r="W1810" s="56"/>
      <c r="X1810" s="51" t="str">
        <f t="shared" si="5"/>
        <v/>
      </c>
      <c r="Y1810" s="50" t="s">
        <v>482</v>
      </c>
      <c r="Z1810" s="49">
        <f t="shared" si="6"/>
        <v>0</v>
      </c>
    </row>
    <row r="1811" ht="22.5" customHeight="1">
      <c r="B1811" s="57"/>
      <c r="C1811" s="43" t="str">
        <f t="array" ref="C1811">IF(B1811="","",_xlfn.XLOOKUP(B1811,'Form responses 1'!$B$2:$B$2604,'Form responses 1'!$A$2:$A$2604,""))</f>
        <v/>
      </c>
      <c r="D1811" s="44" t="str">
        <f t="shared" si="3"/>
        <v/>
      </c>
      <c r="E1811" s="44" t="str">
        <f t="array" ref="E1811">IF(B1811="","",_xlfn.XLOOKUP(B1811,'Form responses 1'!$B$2:$B$2604,'Form responses 1'!$C$2:$C$2604,""))</f>
        <v/>
      </c>
      <c r="F1811" s="44" t="str">
        <f t="array" ref="F1811">IF(B1811="","",_xlfn.XLOOKUP(B1811,'Form responses 1'!$B$2:$B$2604,'Form responses 1'!$D$2:$D$2604,""))</f>
        <v/>
      </c>
      <c r="G1811" s="44" t="str">
        <f t="array" ref="G1811">IF(B1811="","",_xlfn.XLOOKUP(B1811,'Form responses 1'!$B$2:$B$2604,'Form responses 1'!$E$2:$E$2604,""))</f>
        <v/>
      </c>
      <c r="H1811" s="44" t="str">
        <f t="array" ref="H1811">IF(B1811="","",_xlfn.XLOOKUP(B1811,'Form responses 1'!$B$2:$B$2604,'Form responses 1'!$F$2:$F$2604,""))</f>
        <v/>
      </c>
      <c r="I1811" s="44" t="str">
        <f t="array" ref="I1811">IF(B1811="","",_xlfn.XLOOKUP(B1811,'Form responses 1'!$B$2:$B$2604,'Form responses 1'!$I$2:$I$2604,""))</f>
        <v/>
      </c>
      <c r="J1811" s="44" t="str">
        <f t="array" ref="J1811">IF(B1811="","",_xlfn.XLOOKUP(B1811,'Form responses 1'!$B$2:$B$2604,'Form responses 1'!$G$2:$G$2604,""))</f>
        <v/>
      </c>
      <c r="K1811" s="56"/>
      <c r="L1811" s="58" t="str">
        <f t="shared" si="7"/>
        <v/>
      </c>
      <c r="M1811" s="49"/>
      <c r="N1811" s="49"/>
      <c r="O1811" s="49"/>
      <c r="P1811" s="49"/>
      <c r="Q1811" s="49"/>
      <c r="R1811" s="49"/>
      <c r="S1811" s="49"/>
      <c r="T1811" s="49"/>
      <c r="U1811" s="49"/>
      <c r="V1811" s="49"/>
      <c r="W1811" s="56"/>
      <c r="X1811" s="51" t="str">
        <f t="shared" si="5"/>
        <v/>
      </c>
      <c r="Y1811" s="50" t="s">
        <v>482</v>
      </c>
      <c r="Z1811" s="49">
        <f t="shared" si="6"/>
        <v>0</v>
      </c>
    </row>
    <row r="1812" ht="22.5" customHeight="1">
      <c r="B1812" s="57"/>
      <c r="C1812" s="43" t="str">
        <f t="array" ref="C1812">IF(B1812="","",_xlfn.XLOOKUP(B1812,'Form responses 1'!$B$2:$B$2604,'Form responses 1'!$A$2:$A$2604,""))</f>
        <v/>
      </c>
      <c r="D1812" s="44" t="str">
        <f t="shared" si="3"/>
        <v/>
      </c>
      <c r="E1812" s="44" t="str">
        <f t="array" ref="E1812">IF(B1812="","",_xlfn.XLOOKUP(B1812,'Form responses 1'!$B$2:$B$2604,'Form responses 1'!$C$2:$C$2604,""))</f>
        <v/>
      </c>
      <c r="F1812" s="44" t="str">
        <f t="array" ref="F1812">IF(B1812="","",_xlfn.XLOOKUP(B1812,'Form responses 1'!$B$2:$B$2604,'Form responses 1'!$D$2:$D$2604,""))</f>
        <v/>
      </c>
      <c r="G1812" s="44" t="str">
        <f t="array" ref="G1812">IF(B1812="","",_xlfn.XLOOKUP(B1812,'Form responses 1'!$B$2:$B$2604,'Form responses 1'!$E$2:$E$2604,""))</f>
        <v/>
      </c>
      <c r="H1812" s="44" t="str">
        <f t="array" ref="H1812">IF(B1812="","",_xlfn.XLOOKUP(B1812,'Form responses 1'!$B$2:$B$2604,'Form responses 1'!$F$2:$F$2604,""))</f>
        <v/>
      </c>
      <c r="I1812" s="44" t="str">
        <f t="array" ref="I1812">IF(B1812="","",_xlfn.XLOOKUP(B1812,'Form responses 1'!$B$2:$B$2604,'Form responses 1'!$I$2:$I$2604,""))</f>
        <v/>
      </c>
      <c r="J1812" s="44" t="str">
        <f t="array" ref="J1812">IF(B1812="","",_xlfn.XLOOKUP(B1812,'Form responses 1'!$B$2:$B$2604,'Form responses 1'!$G$2:$G$2604,""))</f>
        <v/>
      </c>
      <c r="K1812" s="56"/>
      <c r="L1812" s="58" t="str">
        <f t="shared" si="7"/>
        <v/>
      </c>
      <c r="M1812" s="49"/>
      <c r="N1812" s="49"/>
      <c r="O1812" s="49"/>
      <c r="P1812" s="49"/>
      <c r="Q1812" s="49"/>
      <c r="R1812" s="49"/>
      <c r="S1812" s="49"/>
      <c r="T1812" s="49"/>
      <c r="U1812" s="49"/>
      <c r="V1812" s="49"/>
      <c r="W1812" s="56"/>
      <c r="X1812" s="51" t="str">
        <f t="shared" si="5"/>
        <v/>
      </c>
      <c r="Y1812" s="50" t="s">
        <v>482</v>
      </c>
      <c r="Z1812" s="49">
        <f t="shared" si="6"/>
        <v>0</v>
      </c>
    </row>
    <row r="1813" ht="22.5" customHeight="1">
      <c r="B1813" s="57"/>
      <c r="C1813" s="43" t="str">
        <f t="array" ref="C1813">IF(B1813="","",_xlfn.XLOOKUP(B1813,'Form responses 1'!$B$2:$B$2604,'Form responses 1'!$A$2:$A$2604,""))</f>
        <v/>
      </c>
      <c r="D1813" s="44" t="str">
        <f t="shared" si="3"/>
        <v/>
      </c>
      <c r="E1813" s="44" t="str">
        <f t="array" ref="E1813">IF(B1813="","",_xlfn.XLOOKUP(B1813,'Form responses 1'!$B$2:$B$2604,'Form responses 1'!$C$2:$C$2604,""))</f>
        <v/>
      </c>
      <c r="F1813" s="44" t="str">
        <f t="array" ref="F1813">IF(B1813="","",_xlfn.XLOOKUP(B1813,'Form responses 1'!$B$2:$B$2604,'Form responses 1'!$D$2:$D$2604,""))</f>
        <v/>
      </c>
      <c r="G1813" s="44" t="str">
        <f t="array" ref="G1813">IF(B1813="","",_xlfn.XLOOKUP(B1813,'Form responses 1'!$B$2:$B$2604,'Form responses 1'!$E$2:$E$2604,""))</f>
        <v/>
      </c>
      <c r="H1813" s="44" t="str">
        <f t="array" ref="H1813">IF(B1813="","",_xlfn.XLOOKUP(B1813,'Form responses 1'!$B$2:$B$2604,'Form responses 1'!$F$2:$F$2604,""))</f>
        <v/>
      </c>
      <c r="I1813" s="44" t="str">
        <f t="array" ref="I1813">IF(B1813="","",_xlfn.XLOOKUP(B1813,'Form responses 1'!$B$2:$B$2604,'Form responses 1'!$I$2:$I$2604,""))</f>
        <v/>
      </c>
      <c r="J1813" s="44" t="str">
        <f t="array" ref="J1813">IF(B1813="","",_xlfn.XLOOKUP(B1813,'Form responses 1'!$B$2:$B$2604,'Form responses 1'!$G$2:$G$2604,""))</f>
        <v/>
      </c>
      <c r="K1813" s="56"/>
      <c r="L1813" s="58" t="str">
        <f t="shared" si="7"/>
        <v/>
      </c>
      <c r="M1813" s="49"/>
      <c r="N1813" s="49"/>
      <c r="O1813" s="49"/>
      <c r="P1813" s="49"/>
      <c r="Q1813" s="49"/>
      <c r="R1813" s="49"/>
      <c r="S1813" s="49"/>
      <c r="T1813" s="49"/>
      <c r="U1813" s="49"/>
      <c r="V1813" s="49"/>
      <c r="W1813" s="56"/>
      <c r="X1813" s="51" t="str">
        <f t="shared" si="5"/>
        <v/>
      </c>
      <c r="Y1813" s="50" t="s">
        <v>482</v>
      </c>
      <c r="Z1813" s="49">
        <f t="shared" si="6"/>
        <v>0</v>
      </c>
    </row>
    <row r="1814" ht="22.5" customHeight="1">
      <c r="B1814" s="57"/>
      <c r="C1814" s="43" t="str">
        <f t="array" ref="C1814">IF(B1814="","",_xlfn.XLOOKUP(B1814,'Form responses 1'!$B$2:$B$2604,'Form responses 1'!$A$2:$A$2604,""))</f>
        <v/>
      </c>
      <c r="D1814" s="44" t="str">
        <f t="shared" si="3"/>
        <v/>
      </c>
      <c r="E1814" s="44" t="str">
        <f t="array" ref="E1814">IF(B1814="","",_xlfn.XLOOKUP(B1814,'Form responses 1'!$B$2:$B$2604,'Form responses 1'!$C$2:$C$2604,""))</f>
        <v/>
      </c>
      <c r="F1814" s="44" t="str">
        <f t="array" ref="F1814">IF(B1814="","",_xlfn.XLOOKUP(B1814,'Form responses 1'!$B$2:$B$2604,'Form responses 1'!$D$2:$D$2604,""))</f>
        <v/>
      </c>
      <c r="G1814" s="44" t="str">
        <f t="array" ref="G1814">IF(B1814="","",_xlfn.XLOOKUP(B1814,'Form responses 1'!$B$2:$B$2604,'Form responses 1'!$E$2:$E$2604,""))</f>
        <v/>
      </c>
      <c r="H1814" s="44" t="str">
        <f t="array" ref="H1814">IF(B1814="","",_xlfn.XLOOKUP(B1814,'Form responses 1'!$B$2:$B$2604,'Form responses 1'!$F$2:$F$2604,""))</f>
        <v/>
      </c>
      <c r="I1814" s="44" t="str">
        <f t="array" ref="I1814">IF(B1814="","",_xlfn.XLOOKUP(B1814,'Form responses 1'!$B$2:$B$2604,'Form responses 1'!$I$2:$I$2604,""))</f>
        <v/>
      </c>
      <c r="J1814" s="44" t="str">
        <f t="array" ref="J1814">IF(B1814="","",_xlfn.XLOOKUP(B1814,'Form responses 1'!$B$2:$B$2604,'Form responses 1'!$G$2:$G$2604,""))</f>
        <v/>
      </c>
      <c r="K1814" s="56"/>
      <c r="L1814" s="58" t="str">
        <f t="shared" si="7"/>
        <v/>
      </c>
      <c r="M1814" s="49"/>
      <c r="N1814" s="49"/>
      <c r="O1814" s="49"/>
      <c r="P1814" s="49"/>
      <c r="Q1814" s="49"/>
      <c r="R1814" s="49"/>
      <c r="S1814" s="49"/>
      <c r="T1814" s="49"/>
      <c r="U1814" s="49"/>
      <c r="V1814" s="49"/>
      <c r="W1814" s="56"/>
      <c r="X1814" s="51" t="str">
        <f t="shared" si="5"/>
        <v/>
      </c>
      <c r="Y1814" s="50" t="s">
        <v>482</v>
      </c>
      <c r="Z1814" s="49">
        <f t="shared" si="6"/>
        <v>0</v>
      </c>
    </row>
    <row r="1815" ht="22.5" customHeight="1">
      <c r="B1815" s="57"/>
      <c r="C1815" s="43" t="str">
        <f t="array" ref="C1815">IF(B1815="","",_xlfn.XLOOKUP(B1815,'Form responses 1'!$B$2:$B$2604,'Form responses 1'!$A$2:$A$2604,""))</f>
        <v/>
      </c>
      <c r="D1815" s="44" t="str">
        <f t="shared" si="3"/>
        <v/>
      </c>
      <c r="E1815" s="44" t="str">
        <f t="array" ref="E1815">IF(B1815="","",_xlfn.XLOOKUP(B1815,'Form responses 1'!$B$2:$B$2604,'Form responses 1'!$C$2:$C$2604,""))</f>
        <v/>
      </c>
      <c r="F1815" s="44" t="str">
        <f t="array" ref="F1815">IF(B1815="","",_xlfn.XLOOKUP(B1815,'Form responses 1'!$B$2:$B$2604,'Form responses 1'!$D$2:$D$2604,""))</f>
        <v/>
      </c>
      <c r="G1815" s="44" t="str">
        <f t="array" ref="G1815">IF(B1815="","",_xlfn.XLOOKUP(B1815,'Form responses 1'!$B$2:$B$2604,'Form responses 1'!$E$2:$E$2604,""))</f>
        <v/>
      </c>
      <c r="H1815" s="44" t="str">
        <f t="array" ref="H1815">IF(B1815="","",_xlfn.XLOOKUP(B1815,'Form responses 1'!$B$2:$B$2604,'Form responses 1'!$F$2:$F$2604,""))</f>
        <v/>
      </c>
      <c r="I1815" s="44" t="str">
        <f t="array" ref="I1815">IF(B1815="","",_xlfn.XLOOKUP(B1815,'Form responses 1'!$B$2:$B$2604,'Form responses 1'!$I$2:$I$2604,""))</f>
        <v/>
      </c>
      <c r="J1815" s="44" t="str">
        <f t="array" ref="J1815">IF(B1815="","",_xlfn.XLOOKUP(B1815,'Form responses 1'!$B$2:$B$2604,'Form responses 1'!$G$2:$G$2604,""))</f>
        <v/>
      </c>
      <c r="K1815" s="56"/>
      <c r="L1815" s="58" t="str">
        <f t="shared" si="7"/>
        <v/>
      </c>
      <c r="M1815" s="49"/>
      <c r="N1815" s="49"/>
      <c r="O1815" s="49"/>
      <c r="P1815" s="49"/>
      <c r="Q1815" s="49"/>
      <c r="R1815" s="49"/>
      <c r="S1815" s="49"/>
      <c r="T1815" s="49"/>
      <c r="U1815" s="49"/>
      <c r="V1815" s="49"/>
      <c r="W1815" s="56"/>
      <c r="X1815" s="51" t="str">
        <f t="shared" si="5"/>
        <v/>
      </c>
      <c r="Y1815" s="50" t="s">
        <v>482</v>
      </c>
      <c r="Z1815" s="49">
        <f t="shared" si="6"/>
        <v>0</v>
      </c>
    </row>
    <row r="1816" ht="22.5" customHeight="1">
      <c r="B1816" s="57"/>
      <c r="C1816" s="43" t="str">
        <f t="array" ref="C1816">IF(B1816="","",_xlfn.XLOOKUP(B1816,'Form responses 1'!$B$2:$B$2604,'Form responses 1'!$A$2:$A$2604,""))</f>
        <v/>
      </c>
      <c r="D1816" s="44" t="str">
        <f t="shared" si="3"/>
        <v/>
      </c>
      <c r="E1816" s="44" t="str">
        <f t="array" ref="E1816">IF(B1816="","",_xlfn.XLOOKUP(B1816,'Form responses 1'!$B$2:$B$2604,'Form responses 1'!$C$2:$C$2604,""))</f>
        <v/>
      </c>
      <c r="F1816" s="44" t="str">
        <f t="array" ref="F1816">IF(B1816="","",_xlfn.XLOOKUP(B1816,'Form responses 1'!$B$2:$B$2604,'Form responses 1'!$D$2:$D$2604,""))</f>
        <v/>
      </c>
      <c r="G1816" s="44" t="str">
        <f t="array" ref="G1816">IF(B1816="","",_xlfn.XLOOKUP(B1816,'Form responses 1'!$B$2:$B$2604,'Form responses 1'!$E$2:$E$2604,""))</f>
        <v/>
      </c>
      <c r="H1816" s="44" t="str">
        <f t="array" ref="H1816">IF(B1816="","",_xlfn.XLOOKUP(B1816,'Form responses 1'!$B$2:$B$2604,'Form responses 1'!$F$2:$F$2604,""))</f>
        <v/>
      </c>
      <c r="I1816" s="44" t="str">
        <f t="array" ref="I1816">IF(B1816="","",_xlfn.XLOOKUP(B1816,'Form responses 1'!$B$2:$B$2604,'Form responses 1'!$I$2:$I$2604,""))</f>
        <v/>
      </c>
      <c r="J1816" s="44" t="str">
        <f t="array" ref="J1816">IF(B1816="","",_xlfn.XLOOKUP(B1816,'Form responses 1'!$B$2:$B$2604,'Form responses 1'!$G$2:$G$2604,""))</f>
        <v/>
      </c>
      <c r="K1816" s="56"/>
      <c r="L1816" s="58" t="str">
        <f t="shared" si="7"/>
        <v/>
      </c>
      <c r="M1816" s="49"/>
      <c r="N1816" s="49"/>
      <c r="O1816" s="49"/>
      <c r="P1816" s="49"/>
      <c r="Q1816" s="49"/>
      <c r="R1816" s="49"/>
      <c r="S1816" s="49"/>
      <c r="T1816" s="49"/>
      <c r="U1816" s="49"/>
      <c r="V1816" s="49"/>
      <c r="W1816" s="56"/>
      <c r="X1816" s="51" t="str">
        <f t="shared" si="5"/>
        <v/>
      </c>
      <c r="Y1816" s="50" t="s">
        <v>482</v>
      </c>
      <c r="Z1816" s="49">
        <f t="shared" si="6"/>
        <v>0</v>
      </c>
    </row>
    <row r="1817" ht="22.5" customHeight="1">
      <c r="B1817" s="57"/>
      <c r="C1817" s="43" t="str">
        <f t="array" ref="C1817">IF(B1817="","",_xlfn.XLOOKUP(B1817,'Form responses 1'!$B$2:$B$2604,'Form responses 1'!$A$2:$A$2604,""))</f>
        <v/>
      </c>
      <c r="D1817" s="44" t="str">
        <f t="shared" si="3"/>
        <v/>
      </c>
      <c r="E1817" s="44" t="str">
        <f t="array" ref="E1817">IF(B1817="","",_xlfn.XLOOKUP(B1817,'Form responses 1'!$B$2:$B$2604,'Form responses 1'!$C$2:$C$2604,""))</f>
        <v/>
      </c>
      <c r="F1817" s="44" t="str">
        <f t="array" ref="F1817">IF(B1817="","",_xlfn.XLOOKUP(B1817,'Form responses 1'!$B$2:$B$2604,'Form responses 1'!$D$2:$D$2604,""))</f>
        <v/>
      </c>
      <c r="G1817" s="44" t="str">
        <f t="array" ref="G1817">IF(B1817="","",_xlfn.XLOOKUP(B1817,'Form responses 1'!$B$2:$B$2604,'Form responses 1'!$E$2:$E$2604,""))</f>
        <v/>
      </c>
      <c r="H1817" s="44" t="str">
        <f t="array" ref="H1817">IF(B1817="","",_xlfn.XLOOKUP(B1817,'Form responses 1'!$B$2:$B$2604,'Form responses 1'!$F$2:$F$2604,""))</f>
        <v/>
      </c>
      <c r="I1817" s="44" t="str">
        <f t="array" ref="I1817">IF(B1817="","",_xlfn.XLOOKUP(B1817,'Form responses 1'!$B$2:$B$2604,'Form responses 1'!$I$2:$I$2604,""))</f>
        <v/>
      </c>
      <c r="J1817" s="44" t="str">
        <f t="array" ref="J1817">IF(B1817="","",_xlfn.XLOOKUP(B1817,'Form responses 1'!$B$2:$B$2604,'Form responses 1'!$G$2:$G$2604,""))</f>
        <v/>
      </c>
      <c r="K1817" s="56"/>
      <c r="L1817" s="58" t="str">
        <f t="shared" si="7"/>
        <v/>
      </c>
      <c r="M1817" s="49"/>
      <c r="N1817" s="49"/>
      <c r="O1817" s="49"/>
      <c r="P1817" s="49"/>
      <c r="Q1817" s="49"/>
      <c r="R1817" s="49"/>
      <c r="S1817" s="49"/>
      <c r="T1817" s="49"/>
      <c r="U1817" s="49"/>
      <c r="V1817" s="49"/>
      <c r="W1817" s="56"/>
      <c r="X1817" s="51" t="str">
        <f t="shared" si="5"/>
        <v/>
      </c>
      <c r="Y1817" s="50" t="s">
        <v>482</v>
      </c>
      <c r="Z1817" s="49">
        <f t="shared" si="6"/>
        <v>0</v>
      </c>
    </row>
    <row r="1818" ht="22.5" customHeight="1">
      <c r="B1818" s="57"/>
      <c r="C1818" s="43" t="str">
        <f t="array" ref="C1818">IF(B1818="","",_xlfn.XLOOKUP(B1818,'Form responses 1'!$B$2:$B$2604,'Form responses 1'!$A$2:$A$2604,""))</f>
        <v/>
      </c>
      <c r="D1818" s="44" t="str">
        <f t="shared" si="3"/>
        <v/>
      </c>
      <c r="E1818" s="44" t="str">
        <f t="array" ref="E1818">IF(B1818="","",_xlfn.XLOOKUP(B1818,'Form responses 1'!$B$2:$B$2604,'Form responses 1'!$C$2:$C$2604,""))</f>
        <v/>
      </c>
      <c r="F1818" s="44" t="str">
        <f t="array" ref="F1818">IF(B1818="","",_xlfn.XLOOKUP(B1818,'Form responses 1'!$B$2:$B$2604,'Form responses 1'!$D$2:$D$2604,""))</f>
        <v/>
      </c>
      <c r="G1818" s="44" t="str">
        <f t="array" ref="G1818">IF(B1818="","",_xlfn.XLOOKUP(B1818,'Form responses 1'!$B$2:$B$2604,'Form responses 1'!$E$2:$E$2604,""))</f>
        <v/>
      </c>
      <c r="H1818" s="44" t="str">
        <f t="array" ref="H1818">IF(B1818="","",_xlfn.XLOOKUP(B1818,'Form responses 1'!$B$2:$B$2604,'Form responses 1'!$F$2:$F$2604,""))</f>
        <v/>
      </c>
      <c r="I1818" s="44" t="str">
        <f t="array" ref="I1818">IF(B1818="","",_xlfn.XLOOKUP(B1818,'Form responses 1'!$B$2:$B$2604,'Form responses 1'!$I$2:$I$2604,""))</f>
        <v/>
      </c>
      <c r="J1818" s="44" t="str">
        <f t="array" ref="J1818">IF(B1818="","",_xlfn.XLOOKUP(B1818,'Form responses 1'!$B$2:$B$2604,'Form responses 1'!$G$2:$G$2604,""))</f>
        <v/>
      </c>
      <c r="K1818" s="56"/>
      <c r="L1818" s="58" t="str">
        <f t="shared" si="7"/>
        <v/>
      </c>
      <c r="M1818" s="49"/>
      <c r="N1818" s="49"/>
      <c r="O1818" s="49"/>
      <c r="P1818" s="49"/>
      <c r="Q1818" s="49"/>
      <c r="R1818" s="49"/>
      <c r="S1818" s="49"/>
      <c r="T1818" s="49"/>
      <c r="U1818" s="49"/>
      <c r="V1818" s="49"/>
      <c r="W1818" s="56"/>
      <c r="X1818" s="51" t="str">
        <f t="shared" si="5"/>
        <v/>
      </c>
      <c r="Y1818" s="50" t="s">
        <v>482</v>
      </c>
      <c r="Z1818" s="49">
        <f t="shared" si="6"/>
        <v>0</v>
      </c>
    </row>
    <row r="1819" ht="22.5" customHeight="1">
      <c r="B1819" s="57"/>
      <c r="C1819" s="43" t="str">
        <f t="array" ref="C1819">IF(B1819="","",_xlfn.XLOOKUP(B1819,'Form responses 1'!$B$2:$B$2604,'Form responses 1'!$A$2:$A$2604,""))</f>
        <v/>
      </c>
      <c r="D1819" s="44" t="str">
        <f t="shared" si="3"/>
        <v/>
      </c>
      <c r="E1819" s="44" t="str">
        <f t="array" ref="E1819">IF(B1819="","",_xlfn.XLOOKUP(B1819,'Form responses 1'!$B$2:$B$2604,'Form responses 1'!$C$2:$C$2604,""))</f>
        <v/>
      </c>
      <c r="F1819" s="44" t="str">
        <f t="array" ref="F1819">IF(B1819="","",_xlfn.XLOOKUP(B1819,'Form responses 1'!$B$2:$B$2604,'Form responses 1'!$D$2:$D$2604,""))</f>
        <v/>
      </c>
      <c r="G1819" s="44" t="str">
        <f t="array" ref="G1819">IF(B1819="","",_xlfn.XLOOKUP(B1819,'Form responses 1'!$B$2:$B$2604,'Form responses 1'!$E$2:$E$2604,""))</f>
        <v/>
      </c>
      <c r="H1819" s="44" t="str">
        <f t="array" ref="H1819">IF(B1819="","",_xlfn.XLOOKUP(B1819,'Form responses 1'!$B$2:$B$2604,'Form responses 1'!$F$2:$F$2604,""))</f>
        <v/>
      </c>
      <c r="I1819" s="44" t="str">
        <f t="array" ref="I1819">IF(B1819="","",_xlfn.XLOOKUP(B1819,'Form responses 1'!$B$2:$B$2604,'Form responses 1'!$I$2:$I$2604,""))</f>
        <v/>
      </c>
      <c r="J1819" s="44" t="str">
        <f t="array" ref="J1819">IF(B1819="","",_xlfn.XLOOKUP(B1819,'Form responses 1'!$B$2:$B$2604,'Form responses 1'!$G$2:$G$2604,""))</f>
        <v/>
      </c>
      <c r="K1819" s="56"/>
      <c r="L1819" s="58" t="str">
        <f t="shared" si="7"/>
        <v/>
      </c>
      <c r="M1819" s="49"/>
      <c r="N1819" s="49"/>
      <c r="O1819" s="49"/>
      <c r="P1819" s="49"/>
      <c r="Q1819" s="49"/>
      <c r="R1819" s="49"/>
      <c r="S1819" s="49"/>
      <c r="T1819" s="49"/>
      <c r="U1819" s="49"/>
      <c r="V1819" s="49"/>
      <c r="W1819" s="56"/>
      <c r="X1819" s="51" t="str">
        <f t="shared" si="5"/>
        <v/>
      </c>
      <c r="Y1819" s="50" t="s">
        <v>482</v>
      </c>
      <c r="Z1819" s="49">
        <f t="shared" si="6"/>
        <v>0</v>
      </c>
    </row>
    <row r="1820" ht="22.5" customHeight="1">
      <c r="B1820" s="57"/>
      <c r="C1820" s="43" t="str">
        <f t="array" ref="C1820">IF(B1820="","",_xlfn.XLOOKUP(B1820,'Form responses 1'!$B$2:$B$2604,'Form responses 1'!$A$2:$A$2604,""))</f>
        <v/>
      </c>
      <c r="D1820" s="44" t="str">
        <f t="shared" si="3"/>
        <v/>
      </c>
      <c r="E1820" s="44" t="str">
        <f t="array" ref="E1820">IF(B1820="","",_xlfn.XLOOKUP(B1820,'Form responses 1'!$B$2:$B$2604,'Form responses 1'!$C$2:$C$2604,""))</f>
        <v/>
      </c>
      <c r="F1820" s="44" t="str">
        <f t="array" ref="F1820">IF(B1820="","",_xlfn.XLOOKUP(B1820,'Form responses 1'!$B$2:$B$2604,'Form responses 1'!$D$2:$D$2604,""))</f>
        <v/>
      </c>
      <c r="G1820" s="44" t="str">
        <f t="array" ref="G1820">IF(B1820="","",_xlfn.XLOOKUP(B1820,'Form responses 1'!$B$2:$B$2604,'Form responses 1'!$E$2:$E$2604,""))</f>
        <v/>
      </c>
      <c r="H1820" s="44" t="str">
        <f t="array" ref="H1820">IF(B1820="","",_xlfn.XLOOKUP(B1820,'Form responses 1'!$B$2:$B$2604,'Form responses 1'!$F$2:$F$2604,""))</f>
        <v/>
      </c>
      <c r="I1820" s="44" t="str">
        <f t="array" ref="I1820">IF(B1820="","",_xlfn.XLOOKUP(B1820,'Form responses 1'!$B$2:$B$2604,'Form responses 1'!$I$2:$I$2604,""))</f>
        <v/>
      </c>
      <c r="J1820" s="44" t="str">
        <f t="array" ref="J1820">IF(B1820="","",_xlfn.XLOOKUP(B1820,'Form responses 1'!$B$2:$B$2604,'Form responses 1'!$G$2:$G$2604,""))</f>
        <v/>
      </c>
      <c r="K1820" s="56"/>
      <c r="L1820" s="58" t="str">
        <f t="shared" si="7"/>
        <v/>
      </c>
      <c r="M1820" s="49"/>
      <c r="N1820" s="49"/>
      <c r="O1820" s="49"/>
      <c r="P1820" s="49"/>
      <c r="Q1820" s="49"/>
      <c r="R1820" s="49"/>
      <c r="S1820" s="49"/>
      <c r="T1820" s="49"/>
      <c r="U1820" s="49"/>
      <c r="V1820" s="49"/>
      <c r="W1820" s="56"/>
      <c r="X1820" s="51" t="str">
        <f t="shared" si="5"/>
        <v/>
      </c>
      <c r="Y1820" s="50" t="s">
        <v>482</v>
      </c>
      <c r="Z1820" s="49">
        <f t="shared" si="6"/>
        <v>0</v>
      </c>
    </row>
    <row r="1821" ht="22.5" customHeight="1">
      <c r="B1821" s="57"/>
      <c r="C1821" s="43" t="str">
        <f t="array" ref="C1821">IF(B1821="","",_xlfn.XLOOKUP(B1821,'Form responses 1'!$B$2:$B$2604,'Form responses 1'!$A$2:$A$2604,""))</f>
        <v/>
      </c>
      <c r="D1821" s="44" t="str">
        <f t="shared" si="3"/>
        <v/>
      </c>
      <c r="E1821" s="44" t="str">
        <f t="array" ref="E1821">IF(B1821="","",_xlfn.XLOOKUP(B1821,'Form responses 1'!$B$2:$B$2604,'Form responses 1'!$C$2:$C$2604,""))</f>
        <v/>
      </c>
      <c r="F1821" s="44" t="str">
        <f t="array" ref="F1821">IF(B1821="","",_xlfn.XLOOKUP(B1821,'Form responses 1'!$B$2:$B$2604,'Form responses 1'!$D$2:$D$2604,""))</f>
        <v/>
      </c>
      <c r="G1821" s="44" t="str">
        <f t="array" ref="G1821">IF(B1821="","",_xlfn.XLOOKUP(B1821,'Form responses 1'!$B$2:$B$2604,'Form responses 1'!$E$2:$E$2604,""))</f>
        <v/>
      </c>
      <c r="H1821" s="44" t="str">
        <f t="array" ref="H1821">IF(B1821="","",_xlfn.XLOOKUP(B1821,'Form responses 1'!$B$2:$B$2604,'Form responses 1'!$F$2:$F$2604,""))</f>
        <v/>
      </c>
      <c r="I1821" s="44" t="str">
        <f t="array" ref="I1821">IF(B1821="","",_xlfn.XLOOKUP(B1821,'Form responses 1'!$B$2:$B$2604,'Form responses 1'!$I$2:$I$2604,""))</f>
        <v/>
      </c>
      <c r="J1821" s="44" t="str">
        <f t="array" ref="J1821">IF(B1821="","",_xlfn.XLOOKUP(B1821,'Form responses 1'!$B$2:$B$2604,'Form responses 1'!$G$2:$G$2604,""))</f>
        <v/>
      </c>
      <c r="K1821" s="56"/>
      <c r="L1821" s="58" t="str">
        <f t="shared" si="7"/>
        <v/>
      </c>
      <c r="M1821" s="49"/>
      <c r="N1821" s="49"/>
      <c r="O1821" s="49"/>
      <c r="P1821" s="49"/>
      <c r="Q1821" s="49"/>
      <c r="R1821" s="49"/>
      <c r="S1821" s="49"/>
      <c r="T1821" s="49"/>
      <c r="U1821" s="49"/>
      <c r="V1821" s="49"/>
      <c r="W1821" s="56"/>
      <c r="X1821" s="51" t="str">
        <f t="shared" si="5"/>
        <v/>
      </c>
      <c r="Y1821" s="50" t="s">
        <v>482</v>
      </c>
      <c r="Z1821" s="49">
        <f t="shared" si="6"/>
        <v>0</v>
      </c>
    </row>
    <row r="1822" ht="22.5" customHeight="1">
      <c r="B1822" s="57"/>
      <c r="C1822" s="43" t="str">
        <f t="array" ref="C1822">IF(B1822="","",_xlfn.XLOOKUP(B1822,'Form responses 1'!$B$2:$B$2604,'Form responses 1'!$A$2:$A$2604,""))</f>
        <v/>
      </c>
      <c r="D1822" s="44" t="str">
        <f t="shared" si="3"/>
        <v/>
      </c>
      <c r="E1822" s="44" t="str">
        <f t="array" ref="E1822">IF(B1822="","",_xlfn.XLOOKUP(B1822,'Form responses 1'!$B$2:$B$2604,'Form responses 1'!$C$2:$C$2604,""))</f>
        <v/>
      </c>
      <c r="F1822" s="44" t="str">
        <f t="array" ref="F1822">IF(B1822="","",_xlfn.XLOOKUP(B1822,'Form responses 1'!$B$2:$B$2604,'Form responses 1'!$D$2:$D$2604,""))</f>
        <v/>
      </c>
      <c r="G1822" s="44" t="str">
        <f t="array" ref="G1822">IF(B1822="","",_xlfn.XLOOKUP(B1822,'Form responses 1'!$B$2:$B$2604,'Form responses 1'!$E$2:$E$2604,""))</f>
        <v/>
      </c>
      <c r="H1822" s="44" t="str">
        <f t="array" ref="H1822">IF(B1822="","",_xlfn.XLOOKUP(B1822,'Form responses 1'!$B$2:$B$2604,'Form responses 1'!$F$2:$F$2604,""))</f>
        <v/>
      </c>
      <c r="I1822" s="44" t="str">
        <f t="array" ref="I1822">IF(B1822="","",_xlfn.XLOOKUP(B1822,'Form responses 1'!$B$2:$B$2604,'Form responses 1'!$I$2:$I$2604,""))</f>
        <v/>
      </c>
      <c r="J1822" s="44" t="str">
        <f t="array" ref="J1822">IF(B1822="","",_xlfn.XLOOKUP(B1822,'Form responses 1'!$B$2:$B$2604,'Form responses 1'!$G$2:$G$2604,""))</f>
        <v/>
      </c>
      <c r="K1822" s="56"/>
      <c r="L1822" s="58" t="str">
        <f t="shared" si="7"/>
        <v/>
      </c>
      <c r="M1822" s="49"/>
      <c r="N1822" s="49"/>
      <c r="O1822" s="49"/>
      <c r="P1822" s="49"/>
      <c r="Q1822" s="49"/>
      <c r="R1822" s="49"/>
      <c r="S1822" s="49"/>
      <c r="T1822" s="49"/>
      <c r="U1822" s="49"/>
      <c r="V1822" s="49"/>
      <c r="W1822" s="56"/>
      <c r="X1822" s="51" t="str">
        <f t="shared" si="5"/>
        <v/>
      </c>
      <c r="Y1822" s="50" t="s">
        <v>482</v>
      </c>
      <c r="Z1822" s="49">
        <f t="shared" si="6"/>
        <v>0</v>
      </c>
    </row>
    <row r="1823" ht="22.5" customHeight="1">
      <c r="B1823" s="57"/>
      <c r="C1823" s="43" t="str">
        <f t="array" ref="C1823">IF(B1823="","",_xlfn.XLOOKUP(B1823,'Form responses 1'!$B$2:$B$2604,'Form responses 1'!$A$2:$A$2604,""))</f>
        <v/>
      </c>
      <c r="D1823" s="44" t="str">
        <f t="shared" si="3"/>
        <v/>
      </c>
      <c r="E1823" s="44" t="str">
        <f t="array" ref="E1823">IF(B1823="","",_xlfn.XLOOKUP(B1823,'Form responses 1'!$B$2:$B$2604,'Form responses 1'!$C$2:$C$2604,""))</f>
        <v/>
      </c>
      <c r="F1823" s="44" t="str">
        <f t="array" ref="F1823">IF(B1823="","",_xlfn.XLOOKUP(B1823,'Form responses 1'!$B$2:$B$2604,'Form responses 1'!$D$2:$D$2604,""))</f>
        <v/>
      </c>
      <c r="G1823" s="44" t="str">
        <f t="array" ref="G1823">IF(B1823="","",_xlfn.XLOOKUP(B1823,'Form responses 1'!$B$2:$B$2604,'Form responses 1'!$E$2:$E$2604,""))</f>
        <v/>
      </c>
      <c r="H1823" s="44" t="str">
        <f t="array" ref="H1823">IF(B1823="","",_xlfn.XLOOKUP(B1823,'Form responses 1'!$B$2:$B$2604,'Form responses 1'!$F$2:$F$2604,""))</f>
        <v/>
      </c>
      <c r="I1823" s="44" t="str">
        <f t="array" ref="I1823">IF(B1823="","",_xlfn.XLOOKUP(B1823,'Form responses 1'!$B$2:$B$2604,'Form responses 1'!$I$2:$I$2604,""))</f>
        <v/>
      </c>
      <c r="J1823" s="44" t="str">
        <f t="array" ref="J1823">IF(B1823="","",_xlfn.XLOOKUP(B1823,'Form responses 1'!$B$2:$B$2604,'Form responses 1'!$G$2:$G$2604,""))</f>
        <v/>
      </c>
      <c r="K1823" s="56"/>
      <c r="L1823" s="58" t="str">
        <f t="shared" si="7"/>
        <v/>
      </c>
      <c r="M1823" s="49"/>
      <c r="N1823" s="49"/>
      <c r="O1823" s="49"/>
      <c r="P1823" s="49"/>
      <c r="Q1823" s="49"/>
      <c r="R1823" s="49"/>
      <c r="S1823" s="49"/>
      <c r="T1823" s="49"/>
      <c r="U1823" s="49"/>
      <c r="V1823" s="49"/>
      <c r="W1823" s="56"/>
      <c r="X1823" s="51" t="str">
        <f t="shared" si="5"/>
        <v/>
      </c>
      <c r="Y1823" s="50" t="s">
        <v>482</v>
      </c>
      <c r="Z1823" s="49">
        <f t="shared" si="6"/>
        <v>0</v>
      </c>
    </row>
    <row r="1824" ht="22.5" customHeight="1">
      <c r="B1824" s="57"/>
      <c r="C1824" s="43" t="str">
        <f t="array" ref="C1824">IF(B1824="","",_xlfn.XLOOKUP(B1824,'Form responses 1'!$B$2:$B$2604,'Form responses 1'!$A$2:$A$2604,""))</f>
        <v/>
      </c>
      <c r="D1824" s="44" t="str">
        <f t="shared" si="3"/>
        <v/>
      </c>
      <c r="E1824" s="44" t="str">
        <f t="array" ref="E1824">IF(B1824="","",_xlfn.XLOOKUP(B1824,'Form responses 1'!$B$2:$B$2604,'Form responses 1'!$C$2:$C$2604,""))</f>
        <v/>
      </c>
      <c r="F1824" s="44" t="str">
        <f t="array" ref="F1824">IF(B1824="","",_xlfn.XLOOKUP(B1824,'Form responses 1'!$B$2:$B$2604,'Form responses 1'!$D$2:$D$2604,""))</f>
        <v/>
      </c>
      <c r="G1824" s="44" t="str">
        <f t="array" ref="G1824">IF(B1824="","",_xlfn.XLOOKUP(B1824,'Form responses 1'!$B$2:$B$2604,'Form responses 1'!$E$2:$E$2604,""))</f>
        <v/>
      </c>
      <c r="H1824" s="44" t="str">
        <f t="array" ref="H1824">IF(B1824="","",_xlfn.XLOOKUP(B1824,'Form responses 1'!$B$2:$B$2604,'Form responses 1'!$F$2:$F$2604,""))</f>
        <v/>
      </c>
      <c r="I1824" s="44" t="str">
        <f t="array" ref="I1824">IF(B1824="","",_xlfn.XLOOKUP(B1824,'Form responses 1'!$B$2:$B$2604,'Form responses 1'!$I$2:$I$2604,""))</f>
        <v/>
      </c>
      <c r="J1824" s="44" t="str">
        <f t="array" ref="J1824">IF(B1824="","",_xlfn.XLOOKUP(B1824,'Form responses 1'!$B$2:$B$2604,'Form responses 1'!$G$2:$G$2604,""))</f>
        <v/>
      </c>
      <c r="K1824" s="56"/>
      <c r="L1824" s="58" t="str">
        <f t="shared" si="7"/>
        <v/>
      </c>
      <c r="M1824" s="49"/>
      <c r="N1824" s="49"/>
      <c r="O1824" s="49"/>
      <c r="P1824" s="49"/>
      <c r="Q1824" s="49"/>
      <c r="R1824" s="49"/>
      <c r="S1824" s="49"/>
      <c r="T1824" s="49"/>
      <c r="U1824" s="49"/>
      <c r="V1824" s="49"/>
      <c r="W1824" s="56"/>
      <c r="X1824" s="51" t="str">
        <f t="shared" si="5"/>
        <v/>
      </c>
      <c r="Y1824" s="50" t="s">
        <v>482</v>
      </c>
      <c r="Z1824" s="49">
        <f t="shared" si="6"/>
        <v>0</v>
      </c>
    </row>
    <row r="1825" ht="22.5" customHeight="1">
      <c r="B1825" s="57"/>
      <c r="C1825" s="43" t="str">
        <f t="array" ref="C1825">IF(B1825="","",_xlfn.XLOOKUP(B1825,'Form responses 1'!$B$2:$B$2604,'Form responses 1'!$A$2:$A$2604,""))</f>
        <v/>
      </c>
      <c r="D1825" s="44" t="str">
        <f t="shared" si="3"/>
        <v/>
      </c>
      <c r="E1825" s="44" t="str">
        <f t="array" ref="E1825">IF(B1825="","",_xlfn.XLOOKUP(B1825,'Form responses 1'!$B$2:$B$2604,'Form responses 1'!$C$2:$C$2604,""))</f>
        <v/>
      </c>
      <c r="F1825" s="44" t="str">
        <f t="array" ref="F1825">IF(B1825="","",_xlfn.XLOOKUP(B1825,'Form responses 1'!$B$2:$B$2604,'Form responses 1'!$D$2:$D$2604,""))</f>
        <v/>
      </c>
      <c r="G1825" s="44" t="str">
        <f t="array" ref="G1825">IF(B1825="","",_xlfn.XLOOKUP(B1825,'Form responses 1'!$B$2:$B$2604,'Form responses 1'!$E$2:$E$2604,""))</f>
        <v/>
      </c>
      <c r="H1825" s="44" t="str">
        <f t="array" ref="H1825">IF(B1825="","",_xlfn.XLOOKUP(B1825,'Form responses 1'!$B$2:$B$2604,'Form responses 1'!$F$2:$F$2604,""))</f>
        <v/>
      </c>
      <c r="I1825" s="44" t="str">
        <f t="array" ref="I1825">IF(B1825="","",_xlfn.XLOOKUP(B1825,'Form responses 1'!$B$2:$B$2604,'Form responses 1'!$I$2:$I$2604,""))</f>
        <v/>
      </c>
      <c r="J1825" s="44" t="str">
        <f t="array" ref="J1825">IF(B1825="","",_xlfn.XLOOKUP(B1825,'Form responses 1'!$B$2:$B$2604,'Form responses 1'!$G$2:$G$2604,""))</f>
        <v/>
      </c>
      <c r="K1825" s="56"/>
      <c r="L1825" s="58" t="str">
        <f t="shared" si="7"/>
        <v/>
      </c>
      <c r="M1825" s="49"/>
      <c r="N1825" s="49"/>
      <c r="O1825" s="49"/>
      <c r="P1825" s="49"/>
      <c r="Q1825" s="49"/>
      <c r="R1825" s="49"/>
      <c r="S1825" s="49"/>
      <c r="T1825" s="49"/>
      <c r="U1825" s="49"/>
      <c r="V1825" s="49"/>
      <c r="W1825" s="56"/>
      <c r="X1825" s="51" t="str">
        <f t="shared" si="5"/>
        <v/>
      </c>
      <c r="Y1825" s="50" t="s">
        <v>482</v>
      </c>
      <c r="Z1825" s="49">
        <f t="shared" si="6"/>
        <v>0</v>
      </c>
    </row>
    <row r="1826" ht="22.5" customHeight="1">
      <c r="B1826" s="57"/>
      <c r="C1826" s="43" t="str">
        <f t="array" ref="C1826">IF(B1826="","",_xlfn.XLOOKUP(B1826,'Form responses 1'!$B$2:$B$2604,'Form responses 1'!$A$2:$A$2604,""))</f>
        <v/>
      </c>
      <c r="D1826" s="44" t="str">
        <f t="shared" si="3"/>
        <v/>
      </c>
      <c r="E1826" s="44" t="str">
        <f t="array" ref="E1826">IF(B1826="","",_xlfn.XLOOKUP(B1826,'Form responses 1'!$B$2:$B$2604,'Form responses 1'!$C$2:$C$2604,""))</f>
        <v/>
      </c>
      <c r="F1826" s="44" t="str">
        <f t="array" ref="F1826">IF(B1826="","",_xlfn.XLOOKUP(B1826,'Form responses 1'!$B$2:$B$2604,'Form responses 1'!$D$2:$D$2604,""))</f>
        <v/>
      </c>
      <c r="G1826" s="44" t="str">
        <f t="array" ref="G1826">IF(B1826="","",_xlfn.XLOOKUP(B1826,'Form responses 1'!$B$2:$B$2604,'Form responses 1'!$E$2:$E$2604,""))</f>
        <v/>
      </c>
      <c r="H1826" s="44" t="str">
        <f t="array" ref="H1826">IF(B1826="","",_xlfn.XLOOKUP(B1826,'Form responses 1'!$B$2:$B$2604,'Form responses 1'!$F$2:$F$2604,""))</f>
        <v/>
      </c>
      <c r="I1826" s="44" t="str">
        <f t="array" ref="I1826">IF(B1826="","",_xlfn.XLOOKUP(B1826,'Form responses 1'!$B$2:$B$2604,'Form responses 1'!$I$2:$I$2604,""))</f>
        <v/>
      </c>
      <c r="J1826" s="44" t="str">
        <f t="array" ref="J1826">IF(B1826="","",_xlfn.XLOOKUP(B1826,'Form responses 1'!$B$2:$B$2604,'Form responses 1'!$G$2:$G$2604,""))</f>
        <v/>
      </c>
      <c r="K1826" s="56"/>
      <c r="L1826" s="58" t="str">
        <f t="shared" si="7"/>
        <v/>
      </c>
      <c r="M1826" s="49"/>
      <c r="N1826" s="49"/>
      <c r="O1826" s="49"/>
      <c r="P1826" s="49"/>
      <c r="Q1826" s="49"/>
      <c r="R1826" s="49"/>
      <c r="S1826" s="49"/>
      <c r="T1826" s="49"/>
      <c r="U1826" s="49"/>
      <c r="V1826" s="49"/>
      <c r="W1826" s="56"/>
      <c r="X1826" s="51" t="str">
        <f t="shared" si="5"/>
        <v/>
      </c>
      <c r="Y1826" s="50" t="s">
        <v>482</v>
      </c>
      <c r="Z1826" s="49">
        <f t="shared" si="6"/>
        <v>0</v>
      </c>
    </row>
    <row r="1827" ht="22.5" customHeight="1">
      <c r="B1827" s="57"/>
      <c r="C1827" s="43" t="str">
        <f t="array" ref="C1827">IF(B1827="","",_xlfn.XLOOKUP(B1827,'Form responses 1'!$B$2:$B$2604,'Form responses 1'!$A$2:$A$2604,""))</f>
        <v/>
      </c>
      <c r="D1827" s="44" t="str">
        <f t="shared" si="3"/>
        <v/>
      </c>
      <c r="E1827" s="44" t="str">
        <f t="array" ref="E1827">IF(B1827="","",_xlfn.XLOOKUP(B1827,'Form responses 1'!$B$2:$B$2604,'Form responses 1'!$C$2:$C$2604,""))</f>
        <v/>
      </c>
      <c r="F1827" s="44" t="str">
        <f t="array" ref="F1827">IF(B1827="","",_xlfn.XLOOKUP(B1827,'Form responses 1'!$B$2:$B$2604,'Form responses 1'!$D$2:$D$2604,""))</f>
        <v/>
      </c>
      <c r="G1827" s="44" t="str">
        <f t="array" ref="G1827">IF(B1827="","",_xlfn.XLOOKUP(B1827,'Form responses 1'!$B$2:$B$2604,'Form responses 1'!$E$2:$E$2604,""))</f>
        <v/>
      </c>
      <c r="H1827" s="44" t="str">
        <f t="array" ref="H1827">IF(B1827="","",_xlfn.XLOOKUP(B1827,'Form responses 1'!$B$2:$B$2604,'Form responses 1'!$F$2:$F$2604,""))</f>
        <v/>
      </c>
      <c r="I1827" s="44" t="str">
        <f t="array" ref="I1827">IF(B1827="","",_xlfn.XLOOKUP(B1827,'Form responses 1'!$B$2:$B$2604,'Form responses 1'!$I$2:$I$2604,""))</f>
        <v/>
      </c>
      <c r="J1827" s="44" t="str">
        <f t="array" ref="J1827">IF(B1827="","",_xlfn.XLOOKUP(B1827,'Form responses 1'!$B$2:$B$2604,'Form responses 1'!$G$2:$G$2604,""))</f>
        <v/>
      </c>
      <c r="K1827" s="56"/>
      <c r="L1827" s="58" t="str">
        <f t="shared" si="7"/>
        <v/>
      </c>
      <c r="M1827" s="49"/>
      <c r="N1827" s="49"/>
      <c r="O1827" s="49"/>
      <c r="P1827" s="49"/>
      <c r="Q1827" s="49"/>
      <c r="R1827" s="49"/>
      <c r="S1827" s="49"/>
      <c r="T1827" s="49"/>
      <c r="U1827" s="49"/>
      <c r="V1827" s="49"/>
      <c r="W1827" s="56"/>
      <c r="X1827" s="51" t="str">
        <f t="shared" si="5"/>
        <v/>
      </c>
      <c r="Y1827" s="50" t="s">
        <v>482</v>
      </c>
      <c r="Z1827" s="49">
        <f t="shared" si="6"/>
        <v>0</v>
      </c>
    </row>
    <row r="1828" ht="22.5" customHeight="1">
      <c r="B1828" s="57"/>
      <c r="C1828" s="43" t="str">
        <f t="array" ref="C1828">IF(B1828="","",_xlfn.XLOOKUP(B1828,'Form responses 1'!$B$2:$B$2604,'Form responses 1'!$A$2:$A$2604,""))</f>
        <v/>
      </c>
      <c r="D1828" s="44" t="str">
        <f t="shared" si="3"/>
        <v/>
      </c>
      <c r="E1828" s="44" t="str">
        <f t="array" ref="E1828">IF(B1828="","",_xlfn.XLOOKUP(B1828,'Form responses 1'!$B$2:$B$2604,'Form responses 1'!$C$2:$C$2604,""))</f>
        <v/>
      </c>
      <c r="F1828" s="44" t="str">
        <f t="array" ref="F1828">IF(B1828="","",_xlfn.XLOOKUP(B1828,'Form responses 1'!$B$2:$B$2604,'Form responses 1'!$D$2:$D$2604,""))</f>
        <v/>
      </c>
      <c r="G1828" s="44" t="str">
        <f t="array" ref="G1828">IF(B1828="","",_xlfn.XLOOKUP(B1828,'Form responses 1'!$B$2:$B$2604,'Form responses 1'!$E$2:$E$2604,""))</f>
        <v/>
      </c>
      <c r="H1828" s="44" t="str">
        <f t="array" ref="H1828">IF(B1828="","",_xlfn.XLOOKUP(B1828,'Form responses 1'!$B$2:$B$2604,'Form responses 1'!$F$2:$F$2604,""))</f>
        <v/>
      </c>
      <c r="I1828" s="44" t="str">
        <f t="array" ref="I1828">IF(B1828="","",_xlfn.XLOOKUP(B1828,'Form responses 1'!$B$2:$B$2604,'Form responses 1'!$I$2:$I$2604,""))</f>
        <v/>
      </c>
      <c r="J1828" s="44" t="str">
        <f t="array" ref="J1828">IF(B1828="","",_xlfn.XLOOKUP(B1828,'Form responses 1'!$B$2:$B$2604,'Form responses 1'!$G$2:$G$2604,""))</f>
        <v/>
      </c>
      <c r="K1828" s="56"/>
      <c r="L1828" s="58" t="str">
        <f t="shared" si="7"/>
        <v/>
      </c>
      <c r="M1828" s="49"/>
      <c r="N1828" s="49"/>
      <c r="O1828" s="49"/>
      <c r="P1828" s="49"/>
      <c r="Q1828" s="49"/>
      <c r="R1828" s="49"/>
      <c r="S1828" s="49"/>
      <c r="T1828" s="49"/>
      <c r="U1828" s="49"/>
      <c r="V1828" s="49"/>
      <c r="W1828" s="56"/>
      <c r="X1828" s="51" t="str">
        <f t="shared" si="5"/>
        <v/>
      </c>
      <c r="Y1828" s="50" t="s">
        <v>482</v>
      </c>
      <c r="Z1828" s="49">
        <f t="shared" si="6"/>
        <v>0</v>
      </c>
    </row>
    <row r="1829" ht="22.5" customHeight="1">
      <c r="B1829" s="57"/>
      <c r="C1829" s="43" t="str">
        <f t="array" ref="C1829">IF(B1829="","",_xlfn.XLOOKUP(B1829,'Form responses 1'!$B$2:$B$2604,'Form responses 1'!$A$2:$A$2604,""))</f>
        <v/>
      </c>
      <c r="D1829" s="44" t="str">
        <f t="shared" si="3"/>
        <v/>
      </c>
      <c r="E1829" s="44" t="str">
        <f t="array" ref="E1829">IF(B1829="","",_xlfn.XLOOKUP(B1829,'Form responses 1'!$B$2:$B$2604,'Form responses 1'!$C$2:$C$2604,""))</f>
        <v/>
      </c>
      <c r="F1829" s="44" t="str">
        <f t="array" ref="F1829">IF(B1829="","",_xlfn.XLOOKUP(B1829,'Form responses 1'!$B$2:$B$2604,'Form responses 1'!$D$2:$D$2604,""))</f>
        <v/>
      </c>
      <c r="G1829" s="44" t="str">
        <f t="array" ref="G1829">IF(B1829="","",_xlfn.XLOOKUP(B1829,'Form responses 1'!$B$2:$B$2604,'Form responses 1'!$E$2:$E$2604,""))</f>
        <v/>
      </c>
      <c r="H1829" s="44" t="str">
        <f t="array" ref="H1829">IF(B1829="","",_xlfn.XLOOKUP(B1829,'Form responses 1'!$B$2:$B$2604,'Form responses 1'!$F$2:$F$2604,""))</f>
        <v/>
      </c>
      <c r="I1829" s="44" t="str">
        <f t="array" ref="I1829">IF(B1829="","",_xlfn.XLOOKUP(B1829,'Form responses 1'!$B$2:$B$2604,'Form responses 1'!$I$2:$I$2604,""))</f>
        <v/>
      </c>
      <c r="J1829" s="44" t="str">
        <f t="array" ref="J1829">IF(B1829="","",_xlfn.XLOOKUP(B1829,'Form responses 1'!$B$2:$B$2604,'Form responses 1'!$G$2:$G$2604,""))</f>
        <v/>
      </c>
      <c r="K1829" s="56"/>
      <c r="L1829" s="58" t="str">
        <f t="shared" si="7"/>
        <v/>
      </c>
      <c r="M1829" s="49"/>
      <c r="N1829" s="49"/>
      <c r="O1829" s="49"/>
      <c r="P1829" s="49"/>
      <c r="Q1829" s="49"/>
      <c r="R1829" s="49"/>
      <c r="S1829" s="49"/>
      <c r="T1829" s="49"/>
      <c r="U1829" s="49"/>
      <c r="V1829" s="49"/>
      <c r="W1829" s="56"/>
      <c r="X1829" s="51" t="str">
        <f t="shared" si="5"/>
        <v/>
      </c>
      <c r="Y1829" s="50" t="s">
        <v>482</v>
      </c>
      <c r="Z1829" s="49">
        <f t="shared" si="6"/>
        <v>0</v>
      </c>
    </row>
    <row r="1830" ht="22.5" customHeight="1">
      <c r="B1830" s="57"/>
      <c r="C1830" s="43" t="str">
        <f t="array" ref="C1830">IF(B1830="","",_xlfn.XLOOKUP(B1830,'Form responses 1'!$B$2:$B$2604,'Form responses 1'!$A$2:$A$2604,""))</f>
        <v/>
      </c>
      <c r="D1830" s="44" t="str">
        <f t="shared" si="3"/>
        <v/>
      </c>
      <c r="E1830" s="44" t="str">
        <f t="array" ref="E1830">IF(B1830="","",_xlfn.XLOOKUP(B1830,'Form responses 1'!$B$2:$B$2604,'Form responses 1'!$C$2:$C$2604,""))</f>
        <v/>
      </c>
      <c r="F1830" s="44" t="str">
        <f t="array" ref="F1830">IF(B1830="","",_xlfn.XLOOKUP(B1830,'Form responses 1'!$B$2:$B$2604,'Form responses 1'!$D$2:$D$2604,""))</f>
        <v/>
      </c>
      <c r="G1830" s="44" t="str">
        <f t="array" ref="G1830">IF(B1830="","",_xlfn.XLOOKUP(B1830,'Form responses 1'!$B$2:$B$2604,'Form responses 1'!$E$2:$E$2604,""))</f>
        <v/>
      </c>
      <c r="H1830" s="44" t="str">
        <f t="array" ref="H1830">IF(B1830="","",_xlfn.XLOOKUP(B1830,'Form responses 1'!$B$2:$B$2604,'Form responses 1'!$F$2:$F$2604,""))</f>
        <v/>
      </c>
      <c r="I1830" s="44" t="str">
        <f t="array" ref="I1830">IF(B1830="","",_xlfn.XLOOKUP(B1830,'Form responses 1'!$B$2:$B$2604,'Form responses 1'!$I$2:$I$2604,""))</f>
        <v/>
      </c>
      <c r="J1830" s="44" t="str">
        <f t="array" ref="J1830">IF(B1830="","",_xlfn.XLOOKUP(B1830,'Form responses 1'!$B$2:$B$2604,'Form responses 1'!$G$2:$G$2604,""))</f>
        <v/>
      </c>
      <c r="K1830" s="56"/>
      <c r="L1830" s="58" t="str">
        <f t="shared" si="7"/>
        <v/>
      </c>
      <c r="M1830" s="49"/>
      <c r="N1830" s="49"/>
      <c r="O1830" s="49"/>
      <c r="P1830" s="49"/>
      <c r="Q1830" s="49"/>
      <c r="R1830" s="49"/>
      <c r="S1830" s="49"/>
      <c r="T1830" s="49"/>
      <c r="U1830" s="49"/>
      <c r="V1830" s="49"/>
      <c r="W1830" s="56"/>
      <c r="X1830" s="51" t="str">
        <f t="shared" si="5"/>
        <v/>
      </c>
      <c r="Y1830" s="50" t="s">
        <v>482</v>
      </c>
      <c r="Z1830" s="49">
        <f t="shared" si="6"/>
        <v>0</v>
      </c>
    </row>
    <row r="1831" ht="22.5" customHeight="1">
      <c r="B1831" s="57"/>
      <c r="C1831" s="43" t="str">
        <f t="array" ref="C1831">IF(B1831="","",_xlfn.XLOOKUP(B1831,'Form responses 1'!$B$2:$B$2604,'Form responses 1'!$A$2:$A$2604,""))</f>
        <v/>
      </c>
      <c r="D1831" s="44" t="str">
        <f t="shared" si="3"/>
        <v/>
      </c>
      <c r="E1831" s="44" t="str">
        <f t="array" ref="E1831">IF(B1831="","",_xlfn.XLOOKUP(B1831,'Form responses 1'!$B$2:$B$2604,'Form responses 1'!$C$2:$C$2604,""))</f>
        <v/>
      </c>
      <c r="F1831" s="44" t="str">
        <f t="array" ref="F1831">IF(B1831="","",_xlfn.XLOOKUP(B1831,'Form responses 1'!$B$2:$B$2604,'Form responses 1'!$D$2:$D$2604,""))</f>
        <v/>
      </c>
      <c r="G1831" s="44" t="str">
        <f t="array" ref="G1831">IF(B1831="","",_xlfn.XLOOKUP(B1831,'Form responses 1'!$B$2:$B$2604,'Form responses 1'!$E$2:$E$2604,""))</f>
        <v/>
      </c>
      <c r="H1831" s="44" t="str">
        <f t="array" ref="H1831">IF(B1831="","",_xlfn.XLOOKUP(B1831,'Form responses 1'!$B$2:$B$2604,'Form responses 1'!$F$2:$F$2604,""))</f>
        <v/>
      </c>
      <c r="I1831" s="44" t="str">
        <f t="array" ref="I1831">IF(B1831="","",_xlfn.XLOOKUP(B1831,'Form responses 1'!$B$2:$B$2604,'Form responses 1'!$I$2:$I$2604,""))</f>
        <v/>
      </c>
      <c r="J1831" s="44" t="str">
        <f t="array" ref="J1831">IF(B1831="","",_xlfn.XLOOKUP(B1831,'Form responses 1'!$B$2:$B$2604,'Form responses 1'!$G$2:$G$2604,""))</f>
        <v/>
      </c>
      <c r="K1831" s="56"/>
      <c r="L1831" s="58" t="str">
        <f t="shared" si="7"/>
        <v/>
      </c>
      <c r="M1831" s="49"/>
      <c r="N1831" s="49"/>
      <c r="O1831" s="49"/>
      <c r="P1831" s="49"/>
      <c r="Q1831" s="49"/>
      <c r="R1831" s="49"/>
      <c r="S1831" s="49"/>
      <c r="T1831" s="49"/>
      <c r="U1831" s="49"/>
      <c r="V1831" s="49"/>
      <c r="W1831" s="56"/>
      <c r="X1831" s="51" t="str">
        <f t="shared" si="5"/>
        <v/>
      </c>
      <c r="Y1831" s="50" t="s">
        <v>482</v>
      </c>
      <c r="Z1831" s="49">
        <f t="shared" si="6"/>
        <v>0</v>
      </c>
    </row>
    <row r="1832" ht="22.5" customHeight="1">
      <c r="B1832" s="57"/>
      <c r="C1832" s="43" t="str">
        <f t="array" ref="C1832">IF(B1832="","",_xlfn.XLOOKUP(B1832,'Form responses 1'!$B$2:$B$2604,'Form responses 1'!$A$2:$A$2604,""))</f>
        <v/>
      </c>
      <c r="D1832" s="44" t="str">
        <f t="shared" si="3"/>
        <v/>
      </c>
      <c r="E1832" s="44" t="str">
        <f t="array" ref="E1832">IF(B1832="","",_xlfn.XLOOKUP(B1832,'Form responses 1'!$B$2:$B$2604,'Form responses 1'!$C$2:$C$2604,""))</f>
        <v/>
      </c>
      <c r="F1832" s="44" t="str">
        <f t="array" ref="F1832">IF(B1832="","",_xlfn.XLOOKUP(B1832,'Form responses 1'!$B$2:$B$2604,'Form responses 1'!$D$2:$D$2604,""))</f>
        <v/>
      </c>
      <c r="G1832" s="44" t="str">
        <f t="array" ref="G1832">IF(B1832="","",_xlfn.XLOOKUP(B1832,'Form responses 1'!$B$2:$B$2604,'Form responses 1'!$E$2:$E$2604,""))</f>
        <v/>
      </c>
      <c r="H1832" s="44" t="str">
        <f t="array" ref="H1832">IF(B1832="","",_xlfn.XLOOKUP(B1832,'Form responses 1'!$B$2:$B$2604,'Form responses 1'!$F$2:$F$2604,""))</f>
        <v/>
      </c>
      <c r="I1832" s="44" t="str">
        <f t="array" ref="I1832">IF(B1832="","",_xlfn.XLOOKUP(B1832,'Form responses 1'!$B$2:$B$2604,'Form responses 1'!$I$2:$I$2604,""))</f>
        <v/>
      </c>
      <c r="J1832" s="44" t="str">
        <f t="array" ref="J1832">IF(B1832="","",_xlfn.XLOOKUP(B1832,'Form responses 1'!$B$2:$B$2604,'Form responses 1'!$G$2:$G$2604,""))</f>
        <v/>
      </c>
      <c r="K1832" s="56"/>
      <c r="L1832" s="58" t="str">
        <f t="shared" si="7"/>
        <v/>
      </c>
      <c r="M1832" s="49"/>
      <c r="N1832" s="49"/>
      <c r="O1832" s="49"/>
      <c r="P1832" s="49"/>
      <c r="Q1832" s="49"/>
      <c r="R1832" s="49"/>
      <c r="S1832" s="49"/>
      <c r="T1832" s="49"/>
      <c r="U1832" s="49"/>
      <c r="V1832" s="49"/>
      <c r="W1832" s="56"/>
      <c r="X1832" s="51" t="str">
        <f t="shared" si="5"/>
        <v/>
      </c>
      <c r="Y1832" s="50" t="s">
        <v>482</v>
      </c>
      <c r="Z1832" s="49">
        <f t="shared" si="6"/>
        <v>0</v>
      </c>
    </row>
    <row r="1833" ht="22.5" customHeight="1">
      <c r="B1833" s="57"/>
      <c r="C1833" s="43" t="str">
        <f t="array" ref="C1833">IF(B1833="","",_xlfn.XLOOKUP(B1833,'Form responses 1'!$B$2:$B$2604,'Form responses 1'!$A$2:$A$2604,""))</f>
        <v/>
      </c>
      <c r="D1833" s="44" t="str">
        <f t="shared" si="3"/>
        <v/>
      </c>
      <c r="E1833" s="44" t="str">
        <f t="array" ref="E1833">IF(B1833="","",_xlfn.XLOOKUP(B1833,'Form responses 1'!$B$2:$B$2604,'Form responses 1'!$C$2:$C$2604,""))</f>
        <v/>
      </c>
      <c r="F1833" s="44" t="str">
        <f t="array" ref="F1833">IF(B1833="","",_xlfn.XLOOKUP(B1833,'Form responses 1'!$B$2:$B$2604,'Form responses 1'!$D$2:$D$2604,""))</f>
        <v/>
      </c>
      <c r="G1833" s="44" t="str">
        <f t="array" ref="G1833">IF(B1833="","",_xlfn.XLOOKUP(B1833,'Form responses 1'!$B$2:$B$2604,'Form responses 1'!$E$2:$E$2604,""))</f>
        <v/>
      </c>
      <c r="H1833" s="44" t="str">
        <f t="array" ref="H1833">IF(B1833="","",_xlfn.XLOOKUP(B1833,'Form responses 1'!$B$2:$B$2604,'Form responses 1'!$F$2:$F$2604,""))</f>
        <v/>
      </c>
      <c r="I1833" s="44" t="str">
        <f t="array" ref="I1833">IF(B1833="","",_xlfn.XLOOKUP(B1833,'Form responses 1'!$B$2:$B$2604,'Form responses 1'!$I$2:$I$2604,""))</f>
        <v/>
      </c>
      <c r="J1833" s="44" t="str">
        <f t="array" ref="J1833">IF(B1833="","",_xlfn.XLOOKUP(B1833,'Form responses 1'!$B$2:$B$2604,'Form responses 1'!$G$2:$G$2604,""))</f>
        <v/>
      </c>
      <c r="K1833" s="56"/>
      <c r="L1833" s="58" t="str">
        <f t="shared" si="7"/>
        <v/>
      </c>
      <c r="M1833" s="49"/>
      <c r="N1833" s="49"/>
      <c r="O1833" s="49"/>
      <c r="P1833" s="49"/>
      <c r="Q1833" s="49"/>
      <c r="R1833" s="49"/>
      <c r="S1833" s="49"/>
      <c r="T1833" s="49"/>
      <c r="U1833" s="49"/>
      <c r="V1833" s="49"/>
      <c r="W1833" s="56"/>
      <c r="X1833" s="51" t="str">
        <f t="shared" si="5"/>
        <v/>
      </c>
      <c r="Y1833" s="50" t="s">
        <v>482</v>
      </c>
      <c r="Z1833" s="49">
        <f t="shared" si="6"/>
        <v>0</v>
      </c>
    </row>
    <row r="1834" ht="22.5" customHeight="1">
      <c r="B1834" s="57"/>
      <c r="C1834" s="43" t="str">
        <f t="array" ref="C1834">IF(B1834="","",_xlfn.XLOOKUP(B1834,'Form responses 1'!$B$2:$B$2604,'Form responses 1'!$A$2:$A$2604,""))</f>
        <v/>
      </c>
      <c r="D1834" s="44" t="str">
        <f t="shared" si="3"/>
        <v/>
      </c>
      <c r="E1834" s="44" t="str">
        <f t="array" ref="E1834">IF(B1834="","",_xlfn.XLOOKUP(B1834,'Form responses 1'!$B$2:$B$2604,'Form responses 1'!$C$2:$C$2604,""))</f>
        <v/>
      </c>
      <c r="F1834" s="44" t="str">
        <f t="array" ref="F1834">IF(B1834="","",_xlfn.XLOOKUP(B1834,'Form responses 1'!$B$2:$B$2604,'Form responses 1'!$D$2:$D$2604,""))</f>
        <v/>
      </c>
      <c r="G1834" s="44" t="str">
        <f t="array" ref="G1834">IF(B1834="","",_xlfn.XLOOKUP(B1834,'Form responses 1'!$B$2:$B$2604,'Form responses 1'!$E$2:$E$2604,""))</f>
        <v/>
      </c>
      <c r="H1834" s="44" t="str">
        <f t="array" ref="H1834">IF(B1834="","",_xlfn.XLOOKUP(B1834,'Form responses 1'!$B$2:$B$2604,'Form responses 1'!$F$2:$F$2604,""))</f>
        <v/>
      </c>
      <c r="I1834" s="44" t="str">
        <f t="array" ref="I1834">IF(B1834="","",_xlfn.XLOOKUP(B1834,'Form responses 1'!$B$2:$B$2604,'Form responses 1'!$I$2:$I$2604,""))</f>
        <v/>
      </c>
      <c r="J1834" s="44" t="str">
        <f t="array" ref="J1834">IF(B1834="","",_xlfn.XLOOKUP(B1834,'Form responses 1'!$B$2:$B$2604,'Form responses 1'!$G$2:$G$2604,""))</f>
        <v/>
      </c>
      <c r="K1834" s="56"/>
      <c r="L1834" s="58" t="str">
        <f t="shared" si="7"/>
        <v/>
      </c>
      <c r="M1834" s="49"/>
      <c r="N1834" s="49"/>
      <c r="O1834" s="49"/>
      <c r="P1834" s="49"/>
      <c r="Q1834" s="49"/>
      <c r="R1834" s="49"/>
      <c r="S1834" s="49"/>
      <c r="T1834" s="49"/>
      <c r="U1834" s="49"/>
      <c r="V1834" s="49"/>
      <c r="W1834" s="56"/>
      <c r="X1834" s="51" t="str">
        <f t="shared" si="5"/>
        <v/>
      </c>
      <c r="Y1834" s="50" t="s">
        <v>482</v>
      </c>
      <c r="Z1834" s="49">
        <f t="shared" si="6"/>
        <v>0</v>
      </c>
    </row>
    <row r="1835" ht="22.5" customHeight="1">
      <c r="B1835" s="57"/>
      <c r="C1835" s="43" t="str">
        <f t="array" ref="C1835">IF(B1835="","",_xlfn.XLOOKUP(B1835,'Form responses 1'!$B$2:$B$2604,'Form responses 1'!$A$2:$A$2604,""))</f>
        <v/>
      </c>
      <c r="D1835" s="44" t="str">
        <f t="shared" si="3"/>
        <v/>
      </c>
      <c r="E1835" s="44" t="str">
        <f t="array" ref="E1835">IF(B1835="","",_xlfn.XLOOKUP(B1835,'Form responses 1'!$B$2:$B$2604,'Form responses 1'!$C$2:$C$2604,""))</f>
        <v/>
      </c>
      <c r="F1835" s="44" t="str">
        <f t="array" ref="F1835">IF(B1835="","",_xlfn.XLOOKUP(B1835,'Form responses 1'!$B$2:$B$2604,'Form responses 1'!$D$2:$D$2604,""))</f>
        <v/>
      </c>
      <c r="G1835" s="44" t="str">
        <f t="array" ref="G1835">IF(B1835="","",_xlfn.XLOOKUP(B1835,'Form responses 1'!$B$2:$B$2604,'Form responses 1'!$E$2:$E$2604,""))</f>
        <v/>
      </c>
      <c r="H1835" s="44" t="str">
        <f t="array" ref="H1835">IF(B1835="","",_xlfn.XLOOKUP(B1835,'Form responses 1'!$B$2:$B$2604,'Form responses 1'!$F$2:$F$2604,""))</f>
        <v/>
      </c>
      <c r="I1835" s="44" t="str">
        <f t="array" ref="I1835">IF(B1835="","",_xlfn.XLOOKUP(B1835,'Form responses 1'!$B$2:$B$2604,'Form responses 1'!$I$2:$I$2604,""))</f>
        <v/>
      </c>
      <c r="J1835" s="44" t="str">
        <f t="array" ref="J1835">IF(B1835="","",_xlfn.XLOOKUP(B1835,'Form responses 1'!$B$2:$B$2604,'Form responses 1'!$G$2:$G$2604,""))</f>
        <v/>
      </c>
      <c r="K1835" s="56"/>
      <c r="L1835" s="58" t="str">
        <f t="shared" si="7"/>
        <v/>
      </c>
      <c r="M1835" s="49"/>
      <c r="N1835" s="49"/>
      <c r="O1835" s="49"/>
      <c r="P1835" s="49"/>
      <c r="Q1835" s="49"/>
      <c r="R1835" s="49"/>
      <c r="S1835" s="49"/>
      <c r="T1835" s="49"/>
      <c r="U1835" s="49"/>
      <c r="V1835" s="49"/>
      <c r="W1835" s="56"/>
      <c r="X1835" s="51" t="str">
        <f t="shared" si="5"/>
        <v/>
      </c>
      <c r="Y1835" s="50" t="s">
        <v>482</v>
      </c>
      <c r="Z1835" s="49">
        <f t="shared" si="6"/>
        <v>0</v>
      </c>
    </row>
    <row r="1836" ht="22.5" customHeight="1">
      <c r="B1836" s="57"/>
      <c r="C1836" s="43" t="str">
        <f t="array" ref="C1836">IF(B1836="","",_xlfn.XLOOKUP(B1836,'Form responses 1'!$B$2:$B$2604,'Form responses 1'!$A$2:$A$2604,""))</f>
        <v/>
      </c>
      <c r="D1836" s="44" t="str">
        <f t="shared" si="3"/>
        <v/>
      </c>
      <c r="E1836" s="44" t="str">
        <f t="array" ref="E1836">IF(B1836="","",_xlfn.XLOOKUP(B1836,'Form responses 1'!$B$2:$B$2604,'Form responses 1'!$C$2:$C$2604,""))</f>
        <v/>
      </c>
      <c r="F1836" s="44" t="str">
        <f t="array" ref="F1836">IF(B1836="","",_xlfn.XLOOKUP(B1836,'Form responses 1'!$B$2:$B$2604,'Form responses 1'!$D$2:$D$2604,""))</f>
        <v/>
      </c>
      <c r="G1836" s="44" t="str">
        <f t="array" ref="G1836">IF(B1836="","",_xlfn.XLOOKUP(B1836,'Form responses 1'!$B$2:$B$2604,'Form responses 1'!$E$2:$E$2604,""))</f>
        <v/>
      </c>
      <c r="H1836" s="44" t="str">
        <f t="array" ref="H1836">IF(B1836="","",_xlfn.XLOOKUP(B1836,'Form responses 1'!$B$2:$B$2604,'Form responses 1'!$F$2:$F$2604,""))</f>
        <v/>
      </c>
      <c r="I1836" s="44" t="str">
        <f t="array" ref="I1836">IF(B1836="","",_xlfn.XLOOKUP(B1836,'Form responses 1'!$B$2:$B$2604,'Form responses 1'!$I$2:$I$2604,""))</f>
        <v/>
      </c>
      <c r="J1836" s="44" t="str">
        <f t="array" ref="J1836">IF(B1836="","",_xlfn.XLOOKUP(B1836,'Form responses 1'!$B$2:$B$2604,'Form responses 1'!$G$2:$G$2604,""))</f>
        <v/>
      </c>
      <c r="K1836" s="56"/>
      <c r="L1836" s="58" t="str">
        <f t="shared" si="7"/>
        <v/>
      </c>
      <c r="M1836" s="49"/>
      <c r="N1836" s="49"/>
      <c r="O1836" s="49"/>
      <c r="P1836" s="49"/>
      <c r="Q1836" s="49"/>
      <c r="R1836" s="49"/>
      <c r="S1836" s="49"/>
      <c r="T1836" s="49"/>
      <c r="U1836" s="49"/>
      <c r="V1836" s="49"/>
      <c r="W1836" s="56"/>
      <c r="X1836" s="51" t="str">
        <f t="shared" si="5"/>
        <v/>
      </c>
      <c r="Y1836" s="50" t="s">
        <v>482</v>
      </c>
      <c r="Z1836" s="49">
        <f t="shared" si="6"/>
        <v>0</v>
      </c>
    </row>
    <row r="1837" ht="22.5" customHeight="1">
      <c r="B1837" s="57"/>
      <c r="C1837" s="43" t="str">
        <f t="array" ref="C1837">IF(B1837="","",_xlfn.XLOOKUP(B1837,'Form responses 1'!$B$2:$B$2604,'Form responses 1'!$A$2:$A$2604,""))</f>
        <v/>
      </c>
      <c r="D1837" s="44" t="str">
        <f t="shared" si="3"/>
        <v/>
      </c>
      <c r="E1837" s="44" t="str">
        <f t="array" ref="E1837">IF(B1837="","",_xlfn.XLOOKUP(B1837,'Form responses 1'!$B$2:$B$2604,'Form responses 1'!$C$2:$C$2604,""))</f>
        <v/>
      </c>
      <c r="F1837" s="44" t="str">
        <f t="array" ref="F1837">IF(B1837="","",_xlfn.XLOOKUP(B1837,'Form responses 1'!$B$2:$B$2604,'Form responses 1'!$D$2:$D$2604,""))</f>
        <v/>
      </c>
      <c r="G1837" s="44" t="str">
        <f t="array" ref="G1837">IF(B1837="","",_xlfn.XLOOKUP(B1837,'Form responses 1'!$B$2:$B$2604,'Form responses 1'!$E$2:$E$2604,""))</f>
        <v/>
      </c>
      <c r="H1837" s="44" t="str">
        <f t="array" ref="H1837">IF(B1837="","",_xlfn.XLOOKUP(B1837,'Form responses 1'!$B$2:$B$2604,'Form responses 1'!$F$2:$F$2604,""))</f>
        <v/>
      </c>
      <c r="I1837" s="44" t="str">
        <f t="array" ref="I1837">IF(B1837="","",_xlfn.XLOOKUP(B1837,'Form responses 1'!$B$2:$B$2604,'Form responses 1'!$I$2:$I$2604,""))</f>
        <v/>
      </c>
      <c r="J1837" s="44" t="str">
        <f t="array" ref="J1837">IF(B1837="","",_xlfn.XLOOKUP(B1837,'Form responses 1'!$B$2:$B$2604,'Form responses 1'!$G$2:$G$2604,""))</f>
        <v/>
      </c>
      <c r="K1837" s="56"/>
      <c r="L1837" s="58" t="str">
        <f t="shared" si="7"/>
        <v/>
      </c>
      <c r="M1837" s="49"/>
      <c r="N1837" s="49"/>
      <c r="O1837" s="49"/>
      <c r="P1837" s="49"/>
      <c r="Q1837" s="49"/>
      <c r="R1837" s="49"/>
      <c r="S1837" s="49"/>
      <c r="T1837" s="49"/>
      <c r="U1837" s="49"/>
      <c r="V1837" s="49"/>
      <c r="W1837" s="56"/>
      <c r="X1837" s="51" t="str">
        <f t="shared" si="5"/>
        <v/>
      </c>
      <c r="Y1837" s="50" t="s">
        <v>482</v>
      </c>
      <c r="Z1837" s="49">
        <f t="shared" si="6"/>
        <v>0</v>
      </c>
    </row>
    <row r="1838" ht="22.5" customHeight="1">
      <c r="B1838" s="57"/>
      <c r="C1838" s="43" t="str">
        <f t="array" ref="C1838">IF(B1838="","",_xlfn.XLOOKUP(B1838,'Form responses 1'!$B$2:$B$2604,'Form responses 1'!$A$2:$A$2604,""))</f>
        <v/>
      </c>
      <c r="D1838" s="44" t="str">
        <f t="shared" si="3"/>
        <v/>
      </c>
      <c r="E1838" s="44" t="str">
        <f t="array" ref="E1838">IF(B1838="","",_xlfn.XLOOKUP(B1838,'Form responses 1'!$B$2:$B$2604,'Form responses 1'!$C$2:$C$2604,""))</f>
        <v/>
      </c>
      <c r="F1838" s="44" t="str">
        <f t="array" ref="F1838">IF(B1838="","",_xlfn.XLOOKUP(B1838,'Form responses 1'!$B$2:$B$2604,'Form responses 1'!$D$2:$D$2604,""))</f>
        <v/>
      </c>
      <c r="G1838" s="44" t="str">
        <f t="array" ref="G1838">IF(B1838="","",_xlfn.XLOOKUP(B1838,'Form responses 1'!$B$2:$B$2604,'Form responses 1'!$E$2:$E$2604,""))</f>
        <v/>
      </c>
      <c r="H1838" s="44" t="str">
        <f t="array" ref="H1838">IF(B1838="","",_xlfn.XLOOKUP(B1838,'Form responses 1'!$B$2:$B$2604,'Form responses 1'!$F$2:$F$2604,""))</f>
        <v/>
      </c>
      <c r="I1838" s="44" t="str">
        <f t="array" ref="I1838">IF(B1838="","",_xlfn.XLOOKUP(B1838,'Form responses 1'!$B$2:$B$2604,'Form responses 1'!$I$2:$I$2604,""))</f>
        <v/>
      </c>
      <c r="J1838" s="44" t="str">
        <f t="array" ref="J1838">IF(B1838="","",_xlfn.XLOOKUP(B1838,'Form responses 1'!$B$2:$B$2604,'Form responses 1'!$G$2:$G$2604,""))</f>
        <v/>
      </c>
      <c r="K1838" s="56"/>
      <c r="L1838" s="58" t="str">
        <f t="shared" si="7"/>
        <v/>
      </c>
      <c r="M1838" s="49"/>
      <c r="N1838" s="49"/>
      <c r="O1838" s="49"/>
      <c r="P1838" s="49"/>
      <c r="Q1838" s="49"/>
      <c r="R1838" s="49"/>
      <c r="S1838" s="49"/>
      <c r="T1838" s="49"/>
      <c r="U1838" s="49"/>
      <c r="V1838" s="49"/>
      <c r="W1838" s="56"/>
      <c r="X1838" s="51" t="str">
        <f t="shared" si="5"/>
        <v/>
      </c>
      <c r="Y1838" s="50" t="s">
        <v>482</v>
      </c>
      <c r="Z1838" s="49">
        <f t="shared" si="6"/>
        <v>0</v>
      </c>
    </row>
    <row r="1839" ht="22.5" customHeight="1">
      <c r="B1839" s="57"/>
      <c r="C1839" s="43" t="str">
        <f t="array" ref="C1839">IF(B1839="","",_xlfn.XLOOKUP(B1839,'Form responses 1'!$B$2:$B$2604,'Form responses 1'!$A$2:$A$2604,""))</f>
        <v/>
      </c>
      <c r="D1839" s="44" t="str">
        <f t="shared" si="3"/>
        <v/>
      </c>
      <c r="E1839" s="44" t="str">
        <f t="array" ref="E1839">IF(B1839="","",_xlfn.XLOOKUP(B1839,'Form responses 1'!$B$2:$B$2604,'Form responses 1'!$C$2:$C$2604,""))</f>
        <v/>
      </c>
      <c r="F1839" s="44" t="str">
        <f t="array" ref="F1839">IF(B1839="","",_xlfn.XLOOKUP(B1839,'Form responses 1'!$B$2:$B$2604,'Form responses 1'!$D$2:$D$2604,""))</f>
        <v/>
      </c>
      <c r="G1839" s="44" t="str">
        <f t="array" ref="G1839">IF(B1839="","",_xlfn.XLOOKUP(B1839,'Form responses 1'!$B$2:$B$2604,'Form responses 1'!$E$2:$E$2604,""))</f>
        <v/>
      </c>
      <c r="H1839" s="44" t="str">
        <f t="array" ref="H1839">IF(B1839="","",_xlfn.XLOOKUP(B1839,'Form responses 1'!$B$2:$B$2604,'Form responses 1'!$F$2:$F$2604,""))</f>
        <v/>
      </c>
      <c r="I1839" s="44" t="str">
        <f t="array" ref="I1839">IF(B1839="","",_xlfn.XLOOKUP(B1839,'Form responses 1'!$B$2:$B$2604,'Form responses 1'!$I$2:$I$2604,""))</f>
        <v/>
      </c>
      <c r="J1839" s="44" t="str">
        <f t="array" ref="J1839">IF(B1839="","",_xlfn.XLOOKUP(B1839,'Form responses 1'!$B$2:$B$2604,'Form responses 1'!$G$2:$G$2604,""))</f>
        <v/>
      </c>
      <c r="K1839" s="56"/>
      <c r="L1839" s="58" t="str">
        <f t="shared" si="7"/>
        <v/>
      </c>
      <c r="M1839" s="49"/>
      <c r="N1839" s="49"/>
      <c r="O1839" s="49"/>
      <c r="P1839" s="49"/>
      <c r="Q1839" s="49"/>
      <c r="R1839" s="49"/>
      <c r="S1839" s="49"/>
      <c r="T1839" s="49"/>
      <c r="U1839" s="49"/>
      <c r="V1839" s="49"/>
      <c r="W1839" s="56"/>
      <c r="X1839" s="51" t="str">
        <f t="shared" si="5"/>
        <v/>
      </c>
      <c r="Y1839" s="50" t="s">
        <v>482</v>
      </c>
      <c r="Z1839" s="49">
        <f t="shared" si="6"/>
        <v>0</v>
      </c>
    </row>
    <row r="1840" ht="22.5" customHeight="1">
      <c r="B1840" s="57"/>
      <c r="C1840" s="43" t="str">
        <f t="array" ref="C1840">IF(B1840="","",_xlfn.XLOOKUP(B1840,'Form responses 1'!$B$2:$B$2604,'Form responses 1'!$A$2:$A$2604,""))</f>
        <v/>
      </c>
      <c r="D1840" s="44" t="str">
        <f t="shared" si="3"/>
        <v/>
      </c>
      <c r="E1840" s="44" t="str">
        <f t="array" ref="E1840">IF(B1840="","",_xlfn.XLOOKUP(B1840,'Form responses 1'!$B$2:$B$2604,'Form responses 1'!$C$2:$C$2604,""))</f>
        <v/>
      </c>
      <c r="F1840" s="44" t="str">
        <f t="array" ref="F1840">IF(B1840="","",_xlfn.XLOOKUP(B1840,'Form responses 1'!$B$2:$B$2604,'Form responses 1'!$D$2:$D$2604,""))</f>
        <v/>
      </c>
      <c r="G1840" s="44" t="str">
        <f t="array" ref="G1840">IF(B1840="","",_xlfn.XLOOKUP(B1840,'Form responses 1'!$B$2:$B$2604,'Form responses 1'!$E$2:$E$2604,""))</f>
        <v/>
      </c>
      <c r="H1840" s="44" t="str">
        <f t="array" ref="H1840">IF(B1840="","",_xlfn.XLOOKUP(B1840,'Form responses 1'!$B$2:$B$2604,'Form responses 1'!$F$2:$F$2604,""))</f>
        <v/>
      </c>
      <c r="I1840" s="44" t="str">
        <f t="array" ref="I1840">IF(B1840="","",_xlfn.XLOOKUP(B1840,'Form responses 1'!$B$2:$B$2604,'Form responses 1'!$I$2:$I$2604,""))</f>
        <v/>
      </c>
      <c r="J1840" s="44" t="str">
        <f t="array" ref="J1840">IF(B1840="","",_xlfn.XLOOKUP(B1840,'Form responses 1'!$B$2:$B$2604,'Form responses 1'!$G$2:$G$2604,""))</f>
        <v/>
      </c>
      <c r="K1840" s="56"/>
      <c r="L1840" s="58" t="str">
        <f t="shared" si="7"/>
        <v/>
      </c>
      <c r="M1840" s="49"/>
      <c r="N1840" s="49"/>
      <c r="O1840" s="49"/>
      <c r="P1840" s="49"/>
      <c r="Q1840" s="49"/>
      <c r="R1840" s="49"/>
      <c r="S1840" s="49"/>
      <c r="T1840" s="49"/>
      <c r="U1840" s="49"/>
      <c r="V1840" s="49"/>
      <c r="W1840" s="56"/>
      <c r="X1840" s="51" t="str">
        <f t="shared" si="5"/>
        <v/>
      </c>
      <c r="Y1840" s="50" t="s">
        <v>482</v>
      </c>
      <c r="Z1840" s="49">
        <f t="shared" si="6"/>
        <v>0</v>
      </c>
    </row>
    <row r="1841" ht="22.5" customHeight="1">
      <c r="B1841" s="57"/>
      <c r="C1841" s="43" t="str">
        <f t="array" ref="C1841">IF(B1841="","",_xlfn.XLOOKUP(B1841,'Form responses 1'!$B$2:$B$2604,'Form responses 1'!$A$2:$A$2604,""))</f>
        <v/>
      </c>
      <c r="D1841" s="44" t="str">
        <f t="shared" si="3"/>
        <v/>
      </c>
      <c r="E1841" s="44" t="str">
        <f t="array" ref="E1841">IF(B1841="","",_xlfn.XLOOKUP(B1841,'Form responses 1'!$B$2:$B$2604,'Form responses 1'!$C$2:$C$2604,""))</f>
        <v/>
      </c>
      <c r="F1841" s="44" t="str">
        <f t="array" ref="F1841">IF(B1841="","",_xlfn.XLOOKUP(B1841,'Form responses 1'!$B$2:$B$2604,'Form responses 1'!$D$2:$D$2604,""))</f>
        <v/>
      </c>
      <c r="G1841" s="44" t="str">
        <f t="array" ref="G1841">IF(B1841="","",_xlfn.XLOOKUP(B1841,'Form responses 1'!$B$2:$B$2604,'Form responses 1'!$E$2:$E$2604,""))</f>
        <v/>
      </c>
      <c r="H1841" s="44" t="str">
        <f t="array" ref="H1841">IF(B1841="","",_xlfn.XLOOKUP(B1841,'Form responses 1'!$B$2:$B$2604,'Form responses 1'!$F$2:$F$2604,""))</f>
        <v/>
      </c>
      <c r="I1841" s="44" t="str">
        <f t="array" ref="I1841">IF(B1841="","",_xlfn.XLOOKUP(B1841,'Form responses 1'!$B$2:$B$2604,'Form responses 1'!$I$2:$I$2604,""))</f>
        <v/>
      </c>
      <c r="J1841" s="44" t="str">
        <f t="array" ref="J1841">IF(B1841="","",_xlfn.XLOOKUP(B1841,'Form responses 1'!$B$2:$B$2604,'Form responses 1'!$G$2:$G$2604,""))</f>
        <v/>
      </c>
      <c r="K1841" s="56"/>
      <c r="L1841" s="58" t="str">
        <f t="shared" si="7"/>
        <v/>
      </c>
      <c r="M1841" s="49"/>
      <c r="N1841" s="49"/>
      <c r="O1841" s="49"/>
      <c r="P1841" s="49"/>
      <c r="Q1841" s="49"/>
      <c r="R1841" s="49"/>
      <c r="S1841" s="49"/>
      <c r="T1841" s="49"/>
      <c r="U1841" s="49"/>
      <c r="V1841" s="49"/>
      <c r="W1841" s="56"/>
      <c r="X1841" s="51" t="str">
        <f t="shared" si="5"/>
        <v/>
      </c>
      <c r="Y1841" s="50" t="s">
        <v>482</v>
      </c>
      <c r="Z1841" s="49">
        <f t="shared" si="6"/>
        <v>0</v>
      </c>
    </row>
    <row r="1842" ht="22.5" customHeight="1">
      <c r="B1842" s="57"/>
      <c r="C1842" s="43" t="str">
        <f t="array" ref="C1842">IF(B1842="","",_xlfn.XLOOKUP(B1842,'Form responses 1'!$B$2:$B$2604,'Form responses 1'!$A$2:$A$2604,""))</f>
        <v/>
      </c>
      <c r="D1842" s="44" t="str">
        <f t="shared" si="3"/>
        <v/>
      </c>
      <c r="E1842" s="44" t="str">
        <f t="array" ref="E1842">IF(B1842="","",_xlfn.XLOOKUP(B1842,'Form responses 1'!$B$2:$B$2604,'Form responses 1'!$C$2:$C$2604,""))</f>
        <v/>
      </c>
      <c r="F1842" s="44" t="str">
        <f t="array" ref="F1842">IF(B1842="","",_xlfn.XLOOKUP(B1842,'Form responses 1'!$B$2:$B$2604,'Form responses 1'!$D$2:$D$2604,""))</f>
        <v/>
      </c>
      <c r="G1842" s="44" t="str">
        <f t="array" ref="G1842">IF(B1842="","",_xlfn.XLOOKUP(B1842,'Form responses 1'!$B$2:$B$2604,'Form responses 1'!$E$2:$E$2604,""))</f>
        <v/>
      </c>
      <c r="H1842" s="44" t="str">
        <f t="array" ref="H1842">IF(B1842="","",_xlfn.XLOOKUP(B1842,'Form responses 1'!$B$2:$B$2604,'Form responses 1'!$F$2:$F$2604,""))</f>
        <v/>
      </c>
      <c r="I1842" s="44" t="str">
        <f t="array" ref="I1842">IF(B1842="","",_xlfn.XLOOKUP(B1842,'Form responses 1'!$B$2:$B$2604,'Form responses 1'!$I$2:$I$2604,""))</f>
        <v/>
      </c>
      <c r="J1842" s="44" t="str">
        <f t="array" ref="J1842">IF(B1842="","",_xlfn.XLOOKUP(B1842,'Form responses 1'!$B$2:$B$2604,'Form responses 1'!$G$2:$G$2604,""))</f>
        <v/>
      </c>
      <c r="K1842" s="56"/>
      <c r="L1842" s="58" t="str">
        <f t="shared" si="7"/>
        <v/>
      </c>
      <c r="M1842" s="49"/>
      <c r="N1842" s="49"/>
      <c r="O1842" s="49"/>
      <c r="P1842" s="49"/>
      <c r="Q1842" s="49"/>
      <c r="R1842" s="49"/>
      <c r="S1842" s="49"/>
      <c r="T1842" s="49"/>
      <c r="U1842" s="49"/>
      <c r="V1842" s="49"/>
      <c r="W1842" s="56"/>
      <c r="X1842" s="51" t="str">
        <f t="shared" si="5"/>
        <v/>
      </c>
      <c r="Y1842" s="50" t="s">
        <v>482</v>
      </c>
      <c r="Z1842" s="49">
        <f t="shared" si="6"/>
        <v>0</v>
      </c>
    </row>
    <row r="1843" ht="22.5" customHeight="1">
      <c r="B1843" s="57"/>
      <c r="C1843" s="43" t="str">
        <f t="array" ref="C1843">IF(B1843="","",_xlfn.XLOOKUP(B1843,'Form responses 1'!$B$2:$B$2604,'Form responses 1'!$A$2:$A$2604,""))</f>
        <v/>
      </c>
      <c r="D1843" s="44" t="str">
        <f t="shared" si="3"/>
        <v/>
      </c>
      <c r="E1843" s="44" t="str">
        <f t="array" ref="E1843">IF(B1843="","",_xlfn.XLOOKUP(B1843,'Form responses 1'!$B$2:$B$2604,'Form responses 1'!$C$2:$C$2604,""))</f>
        <v/>
      </c>
      <c r="F1843" s="44" t="str">
        <f t="array" ref="F1843">IF(B1843="","",_xlfn.XLOOKUP(B1843,'Form responses 1'!$B$2:$B$2604,'Form responses 1'!$D$2:$D$2604,""))</f>
        <v/>
      </c>
      <c r="G1843" s="44" t="str">
        <f t="array" ref="G1843">IF(B1843="","",_xlfn.XLOOKUP(B1843,'Form responses 1'!$B$2:$B$2604,'Form responses 1'!$E$2:$E$2604,""))</f>
        <v/>
      </c>
      <c r="H1843" s="44" t="str">
        <f t="array" ref="H1843">IF(B1843="","",_xlfn.XLOOKUP(B1843,'Form responses 1'!$B$2:$B$2604,'Form responses 1'!$F$2:$F$2604,""))</f>
        <v/>
      </c>
      <c r="I1843" s="44" t="str">
        <f t="array" ref="I1843">IF(B1843="","",_xlfn.XLOOKUP(B1843,'Form responses 1'!$B$2:$B$2604,'Form responses 1'!$I$2:$I$2604,""))</f>
        <v/>
      </c>
      <c r="J1843" s="44" t="str">
        <f t="array" ref="J1843">IF(B1843="","",_xlfn.XLOOKUP(B1843,'Form responses 1'!$B$2:$B$2604,'Form responses 1'!$G$2:$G$2604,""))</f>
        <v/>
      </c>
      <c r="K1843" s="56"/>
      <c r="L1843" s="58" t="str">
        <f t="shared" si="7"/>
        <v/>
      </c>
      <c r="M1843" s="49"/>
      <c r="N1843" s="49"/>
      <c r="O1843" s="49"/>
      <c r="P1843" s="49"/>
      <c r="Q1843" s="49"/>
      <c r="R1843" s="49"/>
      <c r="S1843" s="49"/>
      <c r="T1843" s="49"/>
      <c r="U1843" s="49"/>
      <c r="V1843" s="49"/>
      <c r="W1843" s="56"/>
      <c r="X1843" s="51" t="str">
        <f t="shared" si="5"/>
        <v/>
      </c>
      <c r="Y1843" s="50" t="s">
        <v>482</v>
      </c>
      <c r="Z1843" s="49">
        <f t="shared" si="6"/>
        <v>0</v>
      </c>
    </row>
    <row r="1844" ht="22.5" customHeight="1">
      <c r="B1844" s="57"/>
      <c r="C1844" s="43" t="str">
        <f t="array" ref="C1844">IF(B1844="","",_xlfn.XLOOKUP(B1844,'Form responses 1'!$B$2:$B$2604,'Form responses 1'!$A$2:$A$2604,""))</f>
        <v/>
      </c>
      <c r="D1844" s="44" t="str">
        <f t="shared" si="3"/>
        <v/>
      </c>
      <c r="E1844" s="44" t="str">
        <f t="array" ref="E1844">IF(B1844="","",_xlfn.XLOOKUP(B1844,'Form responses 1'!$B$2:$B$2604,'Form responses 1'!$C$2:$C$2604,""))</f>
        <v/>
      </c>
      <c r="F1844" s="44" t="str">
        <f t="array" ref="F1844">IF(B1844="","",_xlfn.XLOOKUP(B1844,'Form responses 1'!$B$2:$B$2604,'Form responses 1'!$D$2:$D$2604,""))</f>
        <v/>
      </c>
      <c r="G1844" s="44" t="str">
        <f t="array" ref="G1844">IF(B1844="","",_xlfn.XLOOKUP(B1844,'Form responses 1'!$B$2:$B$2604,'Form responses 1'!$E$2:$E$2604,""))</f>
        <v/>
      </c>
      <c r="H1844" s="44" t="str">
        <f t="array" ref="H1844">IF(B1844="","",_xlfn.XLOOKUP(B1844,'Form responses 1'!$B$2:$B$2604,'Form responses 1'!$F$2:$F$2604,""))</f>
        <v/>
      </c>
      <c r="I1844" s="44" t="str">
        <f t="array" ref="I1844">IF(B1844="","",_xlfn.XLOOKUP(B1844,'Form responses 1'!$B$2:$B$2604,'Form responses 1'!$I$2:$I$2604,""))</f>
        <v/>
      </c>
      <c r="J1844" s="44" t="str">
        <f t="array" ref="J1844">IF(B1844="","",_xlfn.XLOOKUP(B1844,'Form responses 1'!$B$2:$B$2604,'Form responses 1'!$G$2:$G$2604,""))</f>
        <v/>
      </c>
      <c r="K1844" s="56"/>
      <c r="L1844" s="58" t="str">
        <f t="shared" si="7"/>
        <v/>
      </c>
      <c r="M1844" s="49"/>
      <c r="N1844" s="49"/>
      <c r="O1844" s="49"/>
      <c r="P1844" s="49"/>
      <c r="Q1844" s="49"/>
      <c r="R1844" s="49"/>
      <c r="S1844" s="49"/>
      <c r="T1844" s="49"/>
      <c r="U1844" s="49"/>
      <c r="V1844" s="49"/>
      <c r="W1844" s="56"/>
      <c r="X1844" s="51" t="str">
        <f t="shared" si="5"/>
        <v/>
      </c>
      <c r="Y1844" s="50" t="s">
        <v>482</v>
      </c>
      <c r="Z1844" s="49">
        <f t="shared" si="6"/>
        <v>0</v>
      </c>
    </row>
    <row r="1845" ht="22.5" customHeight="1">
      <c r="B1845" s="57"/>
      <c r="C1845" s="43" t="str">
        <f t="array" ref="C1845">IF(B1845="","",_xlfn.XLOOKUP(B1845,'Form responses 1'!$B$2:$B$2604,'Form responses 1'!$A$2:$A$2604,""))</f>
        <v/>
      </c>
      <c r="D1845" s="44" t="str">
        <f t="shared" si="3"/>
        <v/>
      </c>
      <c r="E1845" s="44" t="str">
        <f t="array" ref="E1845">IF(B1845="","",_xlfn.XLOOKUP(B1845,'Form responses 1'!$B$2:$B$2604,'Form responses 1'!$C$2:$C$2604,""))</f>
        <v/>
      </c>
      <c r="F1845" s="44" t="str">
        <f t="array" ref="F1845">IF(B1845="","",_xlfn.XLOOKUP(B1845,'Form responses 1'!$B$2:$B$2604,'Form responses 1'!$D$2:$D$2604,""))</f>
        <v/>
      </c>
      <c r="G1845" s="44" t="str">
        <f t="array" ref="G1845">IF(B1845="","",_xlfn.XLOOKUP(B1845,'Form responses 1'!$B$2:$B$2604,'Form responses 1'!$E$2:$E$2604,""))</f>
        <v/>
      </c>
      <c r="H1845" s="44" t="str">
        <f t="array" ref="H1845">IF(B1845="","",_xlfn.XLOOKUP(B1845,'Form responses 1'!$B$2:$B$2604,'Form responses 1'!$F$2:$F$2604,""))</f>
        <v/>
      </c>
      <c r="I1845" s="44" t="str">
        <f t="array" ref="I1845">IF(B1845="","",_xlfn.XLOOKUP(B1845,'Form responses 1'!$B$2:$B$2604,'Form responses 1'!$I$2:$I$2604,""))</f>
        <v/>
      </c>
      <c r="J1845" s="44" t="str">
        <f t="array" ref="J1845">IF(B1845="","",_xlfn.XLOOKUP(B1845,'Form responses 1'!$B$2:$B$2604,'Form responses 1'!$G$2:$G$2604,""))</f>
        <v/>
      </c>
      <c r="K1845" s="56"/>
      <c r="L1845" s="58" t="str">
        <f t="shared" si="7"/>
        <v/>
      </c>
      <c r="M1845" s="49"/>
      <c r="N1845" s="49"/>
      <c r="O1845" s="49"/>
      <c r="P1845" s="49"/>
      <c r="Q1845" s="49"/>
      <c r="R1845" s="49"/>
      <c r="S1845" s="49"/>
      <c r="T1845" s="49"/>
      <c r="U1845" s="49"/>
      <c r="V1845" s="49"/>
      <c r="W1845" s="56"/>
      <c r="X1845" s="51" t="str">
        <f t="shared" si="5"/>
        <v/>
      </c>
      <c r="Y1845" s="50" t="s">
        <v>482</v>
      </c>
      <c r="Z1845" s="49">
        <f t="shared" si="6"/>
        <v>0</v>
      </c>
    </row>
    <row r="1846" ht="22.5" customHeight="1">
      <c r="B1846" s="57"/>
      <c r="C1846" s="43" t="str">
        <f t="array" ref="C1846">IF(B1846="","",_xlfn.XLOOKUP(B1846,'Form responses 1'!$B$2:$B$2604,'Form responses 1'!$A$2:$A$2604,""))</f>
        <v/>
      </c>
      <c r="D1846" s="44" t="str">
        <f t="shared" si="3"/>
        <v/>
      </c>
      <c r="E1846" s="44" t="str">
        <f t="array" ref="E1846">IF(B1846="","",_xlfn.XLOOKUP(B1846,'Form responses 1'!$B$2:$B$2604,'Form responses 1'!$C$2:$C$2604,""))</f>
        <v/>
      </c>
      <c r="F1846" s="44" t="str">
        <f t="array" ref="F1846">IF(B1846="","",_xlfn.XLOOKUP(B1846,'Form responses 1'!$B$2:$B$2604,'Form responses 1'!$D$2:$D$2604,""))</f>
        <v/>
      </c>
      <c r="G1846" s="44" t="str">
        <f t="array" ref="G1846">IF(B1846="","",_xlfn.XLOOKUP(B1846,'Form responses 1'!$B$2:$B$2604,'Form responses 1'!$E$2:$E$2604,""))</f>
        <v/>
      </c>
      <c r="H1846" s="44" t="str">
        <f t="array" ref="H1846">IF(B1846="","",_xlfn.XLOOKUP(B1846,'Form responses 1'!$B$2:$B$2604,'Form responses 1'!$F$2:$F$2604,""))</f>
        <v/>
      </c>
      <c r="I1846" s="44" t="str">
        <f t="array" ref="I1846">IF(B1846="","",_xlfn.XLOOKUP(B1846,'Form responses 1'!$B$2:$B$2604,'Form responses 1'!$I$2:$I$2604,""))</f>
        <v/>
      </c>
      <c r="J1846" s="44" t="str">
        <f t="array" ref="J1846">IF(B1846="","",_xlfn.XLOOKUP(B1846,'Form responses 1'!$B$2:$B$2604,'Form responses 1'!$G$2:$G$2604,""))</f>
        <v/>
      </c>
      <c r="K1846" s="56"/>
      <c r="L1846" s="58" t="str">
        <f t="shared" si="7"/>
        <v/>
      </c>
      <c r="M1846" s="49"/>
      <c r="N1846" s="49"/>
      <c r="O1846" s="49"/>
      <c r="P1846" s="49"/>
      <c r="Q1846" s="49"/>
      <c r="R1846" s="49"/>
      <c r="S1846" s="49"/>
      <c r="T1846" s="49"/>
      <c r="U1846" s="49"/>
      <c r="V1846" s="49"/>
      <c r="W1846" s="56"/>
      <c r="X1846" s="51" t="str">
        <f t="shared" si="5"/>
        <v/>
      </c>
      <c r="Y1846" s="50" t="s">
        <v>482</v>
      </c>
      <c r="Z1846" s="49">
        <f t="shared" si="6"/>
        <v>0</v>
      </c>
    </row>
    <row r="1847" ht="22.5" customHeight="1">
      <c r="B1847" s="57"/>
      <c r="C1847" s="43" t="str">
        <f t="array" ref="C1847">IF(B1847="","",_xlfn.XLOOKUP(B1847,'Form responses 1'!$B$2:$B$2604,'Form responses 1'!$A$2:$A$2604,""))</f>
        <v/>
      </c>
      <c r="D1847" s="44" t="str">
        <f t="shared" si="3"/>
        <v/>
      </c>
      <c r="E1847" s="44" t="str">
        <f t="array" ref="E1847">IF(B1847="","",_xlfn.XLOOKUP(B1847,'Form responses 1'!$B$2:$B$2604,'Form responses 1'!$C$2:$C$2604,""))</f>
        <v/>
      </c>
      <c r="F1847" s="44" t="str">
        <f t="array" ref="F1847">IF(B1847="","",_xlfn.XLOOKUP(B1847,'Form responses 1'!$B$2:$B$2604,'Form responses 1'!$D$2:$D$2604,""))</f>
        <v/>
      </c>
      <c r="G1847" s="44" t="str">
        <f t="array" ref="G1847">IF(B1847="","",_xlfn.XLOOKUP(B1847,'Form responses 1'!$B$2:$B$2604,'Form responses 1'!$E$2:$E$2604,""))</f>
        <v/>
      </c>
      <c r="H1847" s="44" t="str">
        <f t="array" ref="H1847">IF(B1847="","",_xlfn.XLOOKUP(B1847,'Form responses 1'!$B$2:$B$2604,'Form responses 1'!$F$2:$F$2604,""))</f>
        <v/>
      </c>
      <c r="I1847" s="44" t="str">
        <f t="array" ref="I1847">IF(B1847="","",_xlfn.XLOOKUP(B1847,'Form responses 1'!$B$2:$B$2604,'Form responses 1'!$I$2:$I$2604,""))</f>
        <v/>
      </c>
      <c r="J1847" s="44" t="str">
        <f t="array" ref="J1847">IF(B1847="","",_xlfn.XLOOKUP(B1847,'Form responses 1'!$B$2:$B$2604,'Form responses 1'!$G$2:$G$2604,""))</f>
        <v/>
      </c>
      <c r="K1847" s="56"/>
      <c r="L1847" s="58" t="str">
        <f t="shared" si="7"/>
        <v/>
      </c>
      <c r="M1847" s="49"/>
      <c r="N1847" s="49"/>
      <c r="O1847" s="49"/>
      <c r="P1847" s="49"/>
      <c r="Q1847" s="49"/>
      <c r="R1847" s="49"/>
      <c r="S1847" s="49"/>
      <c r="T1847" s="49"/>
      <c r="U1847" s="49"/>
      <c r="V1847" s="49"/>
      <c r="W1847" s="56"/>
      <c r="X1847" s="51" t="str">
        <f t="shared" si="5"/>
        <v/>
      </c>
      <c r="Y1847" s="50" t="s">
        <v>482</v>
      </c>
      <c r="Z1847" s="49">
        <f t="shared" si="6"/>
        <v>0</v>
      </c>
    </row>
    <row r="1848" ht="22.5" customHeight="1">
      <c r="B1848" s="57"/>
      <c r="C1848" s="43" t="str">
        <f t="array" ref="C1848">IF(B1848="","",_xlfn.XLOOKUP(B1848,'Form responses 1'!$B$2:$B$2604,'Form responses 1'!$A$2:$A$2604,""))</f>
        <v/>
      </c>
      <c r="D1848" s="44" t="str">
        <f t="shared" si="3"/>
        <v/>
      </c>
      <c r="E1848" s="44" t="str">
        <f t="array" ref="E1848">IF(B1848="","",_xlfn.XLOOKUP(B1848,'Form responses 1'!$B$2:$B$2604,'Form responses 1'!$C$2:$C$2604,""))</f>
        <v/>
      </c>
      <c r="F1848" s="44" t="str">
        <f t="array" ref="F1848">IF(B1848="","",_xlfn.XLOOKUP(B1848,'Form responses 1'!$B$2:$B$2604,'Form responses 1'!$D$2:$D$2604,""))</f>
        <v/>
      </c>
      <c r="G1848" s="44" t="str">
        <f t="array" ref="G1848">IF(B1848="","",_xlfn.XLOOKUP(B1848,'Form responses 1'!$B$2:$B$2604,'Form responses 1'!$E$2:$E$2604,""))</f>
        <v/>
      </c>
      <c r="H1848" s="44" t="str">
        <f t="array" ref="H1848">IF(B1848="","",_xlfn.XLOOKUP(B1848,'Form responses 1'!$B$2:$B$2604,'Form responses 1'!$F$2:$F$2604,""))</f>
        <v/>
      </c>
      <c r="I1848" s="44" t="str">
        <f t="array" ref="I1848">IF(B1848="","",_xlfn.XLOOKUP(B1848,'Form responses 1'!$B$2:$B$2604,'Form responses 1'!$I$2:$I$2604,""))</f>
        <v/>
      </c>
      <c r="J1848" s="44" t="str">
        <f t="array" ref="J1848">IF(B1848="","",_xlfn.XLOOKUP(B1848,'Form responses 1'!$B$2:$B$2604,'Form responses 1'!$G$2:$G$2604,""))</f>
        <v/>
      </c>
      <c r="K1848" s="56"/>
      <c r="L1848" s="58" t="str">
        <f t="shared" si="7"/>
        <v/>
      </c>
      <c r="M1848" s="49"/>
      <c r="N1848" s="49"/>
      <c r="O1848" s="49"/>
      <c r="P1848" s="49"/>
      <c r="Q1848" s="49"/>
      <c r="R1848" s="49"/>
      <c r="S1848" s="49"/>
      <c r="T1848" s="49"/>
      <c r="U1848" s="49"/>
      <c r="V1848" s="49"/>
      <c r="W1848" s="56"/>
      <c r="X1848" s="51" t="str">
        <f t="shared" si="5"/>
        <v/>
      </c>
      <c r="Y1848" s="50" t="s">
        <v>482</v>
      </c>
      <c r="Z1848" s="49">
        <f t="shared" si="6"/>
        <v>0</v>
      </c>
    </row>
    <row r="1849" ht="22.5" customHeight="1">
      <c r="B1849" s="57"/>
      <c r="C1849" s="43" t="str">
        <f t="array" ref="C1849">IF(B1849="","",_xlfn.XLOOKUP(B1849,'Form responses 1'!$B$2:$B$2604,'Form responses 1'!$A$2:$A$2604,""))</f>
        <v/>
      </c>
      <c r="D1849" s="44" t="str">
        <f t="shared" si="3"/>
        <v/>
      </c>
      <c r="E1849" s="44" t="str">
        <f t="array" ref="E1849">IF(B1849="","",_xlfn.XLOOKUP(B1849,'Form responses 1'!$B$2:$B$2604,'Form responses 1'!$C$2:$C$2604,""))</f>
        <v/>
      </c>
      <c r="F1849" s="44" t="str">
        <f t="array" ref="F1849">IF(B1849="","",_xlfn.XLOOKUP(B1849,'Form responses 1'!$B$2:$B$2604,'Form responses 1'!$D$2:$D$2604,""))</f>
        <v/>
      </c>
      <c r="G1849" s="44" t="str">
        <f t="array" ref="G1849">IF(B1849="","",_xlfn.XLOOKUP(B1849,'Form responses 1'!$B$2:$B$2604,'Form responses 1'!$E$2:$E$2604,""))</f>
        <v/>
      </c>
      <c r="H1849" s="44" t="str">
        <f t="array" ref="H1849">IF(B1849="","",_xlfn.XLOOKUP(B1849,'Form responses 1'!$B$2:$B$2604,'Form responses 1'!$F$2:$F$2604,""))</f>
        <v/>
      </c>
      <c r="I1849" s="44" t="str">
        <f t="array" ref="I1849">IF(B1849="","",_xlfn.XLOOKUP(B1849,'Form responses 1'!$B$2:$B$2604,'Form responses 1'!$I$2:$I$2604,""))</f>
        <v/>
      </c>
      <c r="J1849" s="44" t="str">
        <f t="array" ref="J1849">IF(B1849="","",_xlfn.XLOOKUP(B1849,'Form responses 1'!$B$2:$B$2604,'Form responses 1'!$G$2:$G$2604,""))</f>
        <v/>
      </c>
      <c r="K1849" s="56"/>
      <c r="L1849" s="58" t="str">
        <f t="shared" si="7"/>
        <v/>
      </c>
      <c r="M1849" s="49"/>
      <c r="N1849" s="49"/>
      <c r="O1849" s="49"/>
      <c r="P1849" s="49"/>
      <c r="Q1849" s="49"/>
      <c r="R1849" s="49"/>
      <c r="S1849" s="49"/>
      <c r="T1849" s="49"/>
      <c r="U1849" s="49"/>
      <c r="V1849" s="49"/>
      <c r="W1849" s="56"/>
      <c r="X1849" s="51" t="str">
        <f t="shared" si="5"/>
        <v/>
      </c>
      <c r="Y1849" s="50" t="s">
        <v>482</v>
      </c>
      <c r="Z1849" s="49">
        <f t="shared" si="6"/>
        <v>0</v>
      </c>
    </row>
    <row r="1850" ht="22.5" customHeight="1">
      <c r="B1850" s="57"/>
      <c r="C1850" s="43" t="str">
        <f t="array" ref="C1850">IF(B1850="","",_xlfn.XLOOKUP(B1850,'Form responses 1'!$B$2:$B$2604,'Form responses 1'!$A$2:$A$2604,""))</f>
        <v/>
      </c>
      <c r="D1850" s="44" t="str">
        <f t="shared" si="3"/>
        <v/>
      </c>
      <c r="E1850" s="44" t="str">
        <f t="array" ref="E1850">IF(B1850="","",_xlfn.XLOOKUP(B1850,'Form responses 1'!$B$2:$B$2604,'Form responses 1'!$C$2:$C$2604,""))</f>
        <v/>
      </c>
      <c r="F1850" s="44" t="str">
        <f t="array" ref="F1850">IF(B1850="","",_xlfn.XLOOKUP(B1850,'Form responses 1'!$B$2:$B$2604,'Form responses 1'!$D$2:$D$2604,""))</f>
        <v/>
      </c>
      <c r="G1850" s="44" t="str">
        <f t="array" ref="G1850">IF(B1850="","",_xlfn.XLOOKUP(B1850,'Form responses 1'!$B$2:$B$2604,'Form responses 1'!$E$2:$E$2604,""))</f>
        <v/>
      </c>
      <c r="H1850" s="44" t="str">
        <f t="array" ref="H1850">IF(B1850="","",_xlfn.XLOOKUP(B1850,'Form responses 1'!$B$2:$B$2604,'Form responses 1'!$F$2:$F$2604,""))</f>
        <v/>
      </c>
      <c r="I1850" s="44" t="str">
        <f t="array" ref="I1850">IF(B1850="","",_xlfn.XLOOKUP(B1850,'Form responses 1'!$B$2:$B$2604,'Form responses 1'!$I$2:$I$2604,""))</f>
        <v/>
      </c>
      <c r="J1850" s="44" t="str">
        <f t="array" ref="J1850">IF(B1850="","",_xlfn.XLOOKUP(B1850,'Form responses 1'!$B$2:$B$2604,'Form responses 1'!$G$2:$G$2604,""))</f>
        <v/>
      </c>
      <c r="K1850" s="56"/>
      <c r="L1850" s="58" t="str">
        <f t="shared" si="7"/>
        <v/>
      </c>
      <c r="M1850" s="49"/>
      <c r="N1850" s="49"/>
      <c r="O1850" s="49"/>
      <c r="P1850" s="49"/>
      <c r="Q1850" s="49"/>
      <c r="R1850" s="49"/>
      <c r="S1850" s="49"/>
      <c r="T1850" s="49"/>
      <c r="U1850" s="49"/>
      <c r="V1850" s="49"/>
      <c r="W1850" s="56"/>
      <c r="X1850" s="51" t="str">
        <f t="shared" si="5"/>
        <v/>
      </c>
      <c r="Y1850" s="50" t="s">
        <v>482</v>
      </c>
      <c r="Z1850" s="49">
        <f t="shared" si="6"/>
        <v>0</v>
      </c>
    </row>
    <row r="1851" ht="22.5" customHeight="1">
      <c r="B1851" s="57"/>
      <c r="C1851" s="43" t="str">
        <f t="array" ref="C1851">IF(B1851="","",_xlfn.XLOOKUP(B1851,'Form responses 1'!$B$2:$B$2604,'Form responses 1'!$A$2:$A$2604,""))</f>
        <v/>
      </c>
      <c r="D1851" s="44" t="str">
        <f t="shared" si="3"/>
        <v/>
      </c>
      <c r="E1851" s="44" t="str">
        <f t="array" ref="E1851">IF(B1851="","",_xlfn.XLOOKUP(B1851,'Form responses 1'!$B$2:$B$2604,'Form responses 1'!$C$2:$C$2604,""))</f>
        <v/>
      </c>
      <c r="F1851" s="44" t="str">
        <f t="array" ref="F1851">IF(B1851="","",_xlfn.XLOOKUP(B1851,'Form responses 1'!$B$2:$B$2604,'Form responses 1'!$D$2:$D$2604,""))</f>
        <v/>
      </c>
      <c r="G1851" s="44" t="str">
        <f t="array" ref="G1851">IF(B1851="","",_xlfn.XLOOKUP(B1851,'Form responses 1'!$B$2:$B$2604,'Form responses 1'!$E$2:$E$2604,""))</f>
        <v/>
      </c>
      <c r="H1851" s="44" t="str">
        <f t="array" ref="H1851">IF(B1851="","",_xlfn.XLOOKUP(B1851,'Form responses 1'!$B$2:$B$2604,'Form responses 1'!$F$2:$F$2604,""))</f>
        <v/>
      </c>
      <c r="I1851" s="44" t="str">
        <f t="array" ref="I1851">IF(B1851="","",_xlfn.XLOOKUP(B1851,'Form responses 1'!$B$2:$B$2604,'Form responses 1'!$I$2:$I$2604,""))</f>
        <v/>
      </c>
      <c r="J1851" s="44" t="str">
        <f t="array" ref="J1851">IF(B1851="","",_xlfn.XLOOKUP(B1851,'Form responses 1'!$B$2:$B$2604,'Form responses 1'!$G$2:$G$2604,""))</f>
        <v/>
      </c>
      <c r="K1851" s="56"/>
      <c r="L1851" s="58" t="str">
        <f t="shared" si="7"/>
        <v/>
      </c>
      <c r="M1851" s="49"/>
      <c r="N1851" s="49"/>
      <c r="O1851" s="49"/>
      <c r="P1851" s="49"/>
      <c r="Q1851" s="49"/>
      <c r="R1851" s="49"/>
      <c r="S1851" s="49"/>
      <c r="T1851" s="49"/>
      <c r="U1851" s="49"/>
      <c r="V1851" s="49"/>
      <c r="W1851" s="56"/>
      <c r="X1851" s="51" t="str">
        <f t="shared" si="5"/>
        <v/>
      </c>
      <c r="Y1851" s="50" t="s">
        <v>482</v>
      </c>
      <c r="Z1851" s="49">
        <f t="shared" si="6"/>
        <v>0</v>
      </c>
    </row>
    <row r="1852" ht="22.5" customHeight="1">
      <c r="B1852" s="57"/>
      <c r="C1852" s="43" t="str">
        <f t="array" ref="C1852">IF(B1852="","",_xlfn.XLOOKUP(B1852,'Form responses 1'!$B$2:$B$2604,'Form responses 1'!$A$2:$A$2604,""))</f>
        <v/>
      </c>
      <c r="D1852" s="44" t="str">
        <f t="shared" si="3"/>
        <v/>
      </c>
      <c r="E1852" s="44" t="str">
        <f t="array" ref="E1852">IF(B1852="","",_xlfn.XLOOKUP(B1852,'Form responses 1'!$B$2:$B$2604,'Form responses 1'!$C$2:$C$2604,""))</f>
        <v/>
      </c>
      <c r="F1852" s="44" t="str">
        <f t="array" ref="F1852">IF(B1852="","",_xlfn.XLOOKUP(B1852,'Form responses 1'!$B$2:$B$2604,'Form responses 1'!$D$2:$D$2604,""))</f>
        <v/>
      </c>
      <c r="G1852" s="44" t="str">
        <f t="array" ref="G1852">IF(B1852="","",_xlfn.XLOOKUP(B1852,'Form responses 1'!$B$2:$B$2604,'Form responses 1'!$E$2:$E$2604,""))</f>
        <v/>
      </c>
      <c r="H1852" s="44" t="str">
        <f t="array" ref="H1852">IF(B1852="","",_xlfn.XLOOKUP(B1852,'Form responses 1'!$B$2:$B$2604,'Form responses 1'!$F$2:$F$2604,""))</f>
        <v/>
      </c>
      <c r="I1852" s="44" t="str">
        <f t="array" ref="I1852">IF(B1852="","",_xlfn.XLOOKUP(B1852,'Form responses 1'!$B$2:$B$2604,'Form responses 1'!$I$2:$I$2604,""))</f>
        <v/>
      </c>
      <c r="J1852" s="44" t="str">
        <f t="array" ref="J1852">IF(B1852="","",_xlfn.XLOOKUP(B1852,'Form responses 1'!$B$2:$B$2604,'Form responses 1'!$G$2:$G$2604,""))</f>
        <v/>
      </c>
      <c r="K1852" s="56"/>
      <c r="L1852" s="58" t="str">
        <f t="shared" si="7"/>
        <v/>
      </c>
      <c r="M1852" s="49"/>
      <c r="N1852" s="49"/>
      <c r="O1852" s="49"/>
      <c r="P1852" s="49"/>
      <c r="Q1852" s="49"/>
      <c r="R1852" s="49"/>
      <c r="S1852" s="49"/>
      <c r="T1852" s="49"/>
      <c r="U1852" s="49"/>
      <c r="V1852" s="49"/>
      <c r="W1852" s="56"/>
      <c r="X1852" s="51" t="str">
        <f t="shared" si="5"/>
        <v/>
      </c>
      <c r="Y1852" s="50" t="s">
        <v>482</v>
      </c>
      <c r="Z1852" s="49">
        <f t="shared" si="6"/>
        <v>0</v>
      </c>
    </row>
    <row r="1853" ht="22.5" customHeight="1">
      <c r="B1853" s="57"/>
      <c r="C1853" s="43" t="str">
        <f t="array" ref="C1853">IF(B1853="","",_xlfn.XLOOKUP(B1853,'Form responses 1'!$B$2:$B$2604,'Form responses 1'!$A$2:$A$2604,""))</f>
        <v/>
      </c>
      <c r="D1853" s="44" t="str">
        <f t="shared" si="3"/>
        <v/>
      </c>
      <c r="E1853" s="44" t="str">
        <f t="array" ref="E1853">IF(B1853="","",_xlfn.XLOOKUP(B1853,'Form responses 1'!$B$2:$B$2604,'Form responses 1'!$C$2:$C$2604,""))</f>
        <v/>
      </c>
      <c r="F1853" s="44" t="str">
        <f t="array" ref="F1853">IF(B1853="","",_xlfn.XLOOKUP(B1853,'Form responses 1'!$B$2:$B$2604,'Form responses 1'!$D$2:$D$2604,""))</f>
        <v/>
      </c>
      <c r="G1853" s="44" t="str">
        <f t="array" ref="G1853">IF(B1853="","",_xlfn.XLOOKUP(B1853,'Form responses 1'!$B$2:$B$2604,'Form responses 1'!$E$2:$E$2604,""))</f>
        <v/>
      </c>
      <c r="H1853" s="44" t="str">
        <f t="array" ref="H1853">IF(B1853="","",_xlfn.XLOOKUP(B1853,'Form responses 1'!$B$2:$B$2604,'Form responses 1'!$F$2:$F$2604,""))</f>
        <v/>
      </c>
      <c r="I1853" s="44" t="str">
        <f t="array" ref="I1853">IF(B1853="","",_xlfn.XLOOKUP(B1853,'Form responses 1'!$B$2:$B$2604,'Form responses 1'!$I$2:$I$2604,""))</f>
        <v/>
      </c>
      <c r="J1853" s="44" t="str">
        <f t="array" ref="J1853">IF(B1853="","",_xlfn.XLOOKUP(B1853,'Form responses 1'!$B$2:$B$2604,'Form responses 1'!$G$2:$G$2604,""))</f>
        <v/>
      </c>
      <c r="K1853" s="56"/>
      <c r="L1853" s="58" t="str">
        <f t="shared" si="7"/>
        <v/>
      </c>
      <c r="M1853" s="49"/>
      <c r="N1853" s="49"/>
      <c r="O1853" s="49"/>
      <c r="P1853" s="49"/>
      <c r="Q1853" s="49"/>
      <c r="R1853" s="49"/>
      <c r="S1853" s="49"/>
      <c r="T1853" s="49"/>
      <c r="U1853" s="49"/>
      <c r="V1853" s="49"/>
      <c r="W1853" s="56"/>
      <c r="X1853" s="51" t="str">
        <f t="shared" si="5"/>
        <v/>
      </c>
      <c r="Y1853" s="50" t="s">
        <v>482</v>
      </c>
      <c r="Z1853" s="49">
        <f t="shared" si="6"/>
        <v>0</v>
      </c>
    </row>
    <row r="1854" ht="22.5" customHeight="1">
      <c r="B1854" s="57"/>
      <c r="C1854" s="43" t="str">
        <f t="array" ref="C1854">IF(B1854="","",_xlfn.XLOOKUP(B1854,'Form responses 1'!$B$2:$B$2604,'Form responses 1'!$A$2:$A$2604,""))</f>
        <v/>
      </c>
      <c r="D1854" s="44" t="str">
        <f t="shared" si="3"/>
        <v/>
      </c>
      <c r="E1854" s="44" t="str">
        <f t="array" ref="E1854">IF(B1854="","",_xlfn.XLOOKUP(B1854,'Form responses 1'!$B$2:$B$2604,'Form responses 1'!$C$2:$C$2604,""))</f>
        <v/>
      </c>
      <c r="F1854" s="44" t="str">
        <f t="array" ref="F1854">IF(B1854="","",_xlfn.XLOOKUP(B1854,'Form responses 1'!$B$2:$B$2604,'Form responses 1'!$D$2:$D$2604,""))</f>
        <v/>
      </c>
      <c r="G1854" s="44" t="str">
        <f t="array" ref="G1854">IF(B1854="","",_xlfn.XLOOKUP(B1854,'Form responses 1'!$B$2:$B$2604,'Form responses 1'!$E$2:$E$2604,""))</f>
        <v/>
      </c>
      <c r="H1854" s="44" t="str">
        <f t="array" ref="H1854">IF(B1854="","",_xlfn.XLOOKUP(B1854,'Form responses 1'!$B$2:$B$2604,'Form responses 1'!$F$2:$F$2604,""))</f>
        <v/>
      </c>
      <c r="I1854" s="44" t="str">
        <f t="array" ref="I1854">IF(B1854="","",_xlfn.XLOOKUP(B1854,'Form responses 1'!$B$2:$B$2604,'Form responses 1'!$I$2:$I$2604,""))</f>
        <v/>
      </c>
      <c r="J1854" s="44" t="str">
        <f t="array" ref="J1854">IF(B1854="","",_xlfn.XLOOKUP(B1854,'Form responses 1'!$B$2:$B$2604,'Form responses 1'!$G$2:$G$2604,""))</f>
        <v/>
      </c>
      <c r="K1854" s="56"/>
      <c r="L1854" s="58" t="str">
        <f t="shared" si="7"/>
        <v/>
      </c>
      <c r="M1854" s="49"/>
      <c r="N1854" s="49"/>
      <c r="O1854" s="49"/>
      <c r="P1854" s="49"/>
      <c r="Q1854" s="49"/>
      <c r="R1854" s="49"/>
      <c r="S1854" s="49"/>
      <c r="T1854" s="49"/>
      <c r="U1854" s="49"/>
      <c r="V1854" s="49"/>
      <c r="W1854" s="56"/>
      <c r="X1854" s="51" t="str">
        <f t="shared" si="5"/>
        <v/>
      </c>
      <c r="Y1854" s="50" t="s">
        <v>482</v>
      </c>
      <c r="Z1854" s="49">
        <f t="shared" si="6"/>
        <v>0</v>
      </c>
    </row>
    <row r="1855" ht="22.5" customHeight="1">
      <c r="B1855" s="57"/>
      <c r="C1855" s="43" t="str">
        <f t="array" ref="C1855">IF(B1855="","",_xlfn.XLOOKUP(B1855,'Form responses 1'!$B$2:$B$2604,'Form responses 1'!$A$2:$A$2604,""))</f>
        <v/>
      </c>
      <c r="D1855" s="44" t="str">
        <f t="shared" si="3"/>
        <v/>
      </c>
      <c r="E1855" s="44" t="str">
        <f t="array" ref="E1855">IF(B1855="","",_xlfn.XLOOKUP(B1855,'Form responses 1'!$B$2:$B$2604,'Form responses 1'!$C$2:$C$2604,""))</f>
        <v/>
      </c>
      <c r="F1855" s="44" t="str">
        <f t="array" ref="F1855">IF(B1855="","",_xlfn.XLOOKUP(B1855,'Form responses 1'!$B$2:$B$2604,'Form responses 1'!$D$2:$D$2604,""))</f>
        <v/>
      </c>
      <c r="G1855" s="44" t="str">
        <f t="array" ref="G1855">IF(B1855="","",_xlfn.XLOOKUP(B1855,'Form responses 1'!$B$2:$B$2604,'Form responses 1'!$E$2:$E$2604,""))</f>
        <v/>
      </c>
      <c r="H1855" s="44" t="str">
        <f t="array" ref="H1855">IF(B1855="","",_xlfn.XLOOKUP(B1855,'Form responses 1'!$B$2:$B$2604,'Form responses 1'!$F$2:$F$2604,""))</f>
        <v/>
      </c>
      <c r="I1855" s="44" t="str">
        <f t="array" ref="I1855">IF(B1855="","",_xlfn.XLOOKUP(B1855,'Form responses 1'!$B$2:$B$2604,'Form responses 1'!$I$2:$I$2604,""))</f>
        <v/>
      </c>
      <c r="J1855" s="44" t="str">
        <f t="array" ref="J1855">IF(B1855="","",_xlfn.XLOOKUP(B1855,'Form responses 1'!$B$2:$B$2604,'Form responses 1'!$G$2:$G$2604,""))</f>
        <v/>
      </c>
      <c r="K1855" s="56"/>
      <c r="L1855" s="58" t="str">
        <f t="shared" si="7"/>
        <v/>
      </c>
      <c r="M1855" s="49"/>
      <c r="N1855" s="49"/>
      <c r="O1855" s="49"/>
      <c r="P1855" s="49"/>
      <c r="Q1855" s="49"/>
      <c r="R1855" s="49"/>
      <c r="S1855" s="49"/>
      <c r="T1855" s="49"/>
      <c r="U1855" s="49"/>
      <c r="V1855" s="49"/>
      <c r="W1855" s="56"/>
      <c r="X1855" s="51" t="str">
        <f t="shared" si="5"/>
        <v/>
      </c>
      <c r="Y1855" s="50" t="s">
        <v>482</v>
      </c>
      <c r="Z1855" s="49">
        <f t="shared" si="6"/>
        <v>0</v>
      </c>
    </row>
    <row r="1856" ht="22.5" customHeight="1">
      <c r="B1856" s="57"/>
      <c r="C1856" s="43" t="str">
        <f t="array" ref="C1856">IF(B1856="","",_xlfn.XLOOKUP(B1856,'Form responses 1'!$B$2:$B$2604,'Form responses 1'!$A$2:$A$2604,""))</f>
        <v/>
      </c>
      <c r="D1856" s="44" t="str">
        <f t="shared" si="3"/>
        <v/>
      </c>
      <c r="E1856" s="44" t="str">
        <f t="array" ref="E1856">IF(B1856="","",_xlfn.XLOOKUP(B1856,'Form responses 1'!$B$2:$B$2604,'Form responses 1'!$C$2:$C$2604,""))</f>
        <v/>
      </c>
      <c r="F1856" s="44" t="str">
        <f t="array" ref="F1856">IF(B1856="","",_xlfn.XLOOKUP(B1856,'Form responses 1'!$B$2:$B$2604,'Form responses 1'!$D$2:$D$2604,""))</f>
        <v/>
      </c>
      <c r="G1856" s="44" t="str">
        <f t="array" ref="G1856">IF(B1856="","",_xlfn.XLOOKUP(B1856,'Form responses 1'!$B$2:$B$2604,'Form responses 1'!$E$2:$E$2604,""))</f>
        <v/>
      </c>
      <c r="H1856" s="44" t="str">
        <f t="array" ref="H1856">IF(B1856="","",_xlfn.XLOOKUP(B1856,'Form responses 1'!$B$2:$B$2604,'Form responses 1'!$F$2:$F$2604,""))</f>
        <v/>
      </c>
      <c r="I1856" s="44" t="str">
        <f t="array" ref="I1856">IF(B1856="","",_xlfn.XLOOKUP(B1856,'Form responses 1'!$B$2:$B$2604,'Form responses 1'!$I$2:$I$2604,""))</f>
        <v/>
      </c>
      <c r="J1856" s="44" t="str">
        <f t="array" ref="J1856">IF(B1856="","",_xlfn.XLOOKUP(B1856,'Form responses 1'!$B$2:$B$2604,'Form responses 1'!$G$2:$G$2604,""))</f>
        <v/>
      </c>
      <c r="K1856" s="56"/>
      <c r="L1856" s="58" t="str">
        <f t="shared" si="7"/>
        <v/>
      </c>
      <c r="M1856" s="49"/>
      <c r="N1856" s="49"/>
      <c r="O1856" s="49"/>
      <c r="P1856" s="49"/>
      <c r="Q1856" s="49"/>
      <c r="R1856" s="49"/>
      <c r="S1856" s="49"/>
      <c r="T1856" s="49"/>
      <c r="U1856" s="49"/>
      <c r="V1856" s="49"/>
      <c r="W1856" s="56"/>
      <c r="X1856" s="51" t="str">
        <f t="shared" si="5"/>
        <v/>
      </c>
      <c r="Y1856" s="50" t="s">
        <v>482</v>
      </c>
      <c r="Z1856" s="49">
        <f t="shared" si="6"/>
        <v>0</v>
      </c>
    </row>
    <row r="1857" ht="22.5" customHeight="1">
      <c r="B1857" s="57"/>
      <c r="C1857" s="43" t="str">
        <f t="array" ref="C1857">IF(B1857="","",_xlfn.XLOOKUP(B1857,'Form responses 1'!$B$2:$B$2604,'Form responses 1'!$A$2:$A$2604,""))</f>
        <v/>
      </c>
      <c r="D1857" s="44" t="str">
        <f t="shared" si="3"/>
        <v/>
      </c>
      <c r="E1857" s="44" t="str">
        <f t="array" ref="E1857">IF(B1857="","",_xlfn.XLOOKUP(B1857,'Form responses 1'!$B$2:$B$2604,'Form responses 1'!$C$2:$C$2604,""))</f>
        <v/>
      </c>
      <c r="F1857" s="44" t="str">
        <f t="array" ref="F1857">IF(B1857="","",_xlfn.XLOOKUP(B1857,'Form responses 1'!$B$2:$B$2604,'Form responses 1'!$D$2:$D$2604,""))</f>
        <v/>
      </c>
      <c r="G1857" s="44" t="str">
        <f t="array" ref="G1857">IF(B1857="","",_xlfn.XLOOKUP(B1857,'Form responses 1'!$B$2:$B$2604,'Form responses 1'!$E$2:$E$2604,""))</f>
        <v/>
      </c>
      <c r="H1857" s="44" t="str">
        <f t="array" ref="H1857">IF(B1857="","",_xlfn.XLOOKUP(B1857,'Form responses 1'!$B$2:$B$2604,'Form responses 1'!$F$2:$F$2604,""))</f>
        <v/>
      </c>
      <c r="I1857" s="44" t="str">
        <f t="array" ref="I1857">IF(B1857="","",_xlfn.XLOOKUP(B1857,'Form responses 1'!$B$2:$B$2604,'Form responses 1'!$I$2:$I$2604,""))</f>
        <v/>
      </c>
      <c r="J1857" s="44" t="str">
        <f t="array" ref="J1857">IF(B1857="","",_xlfn.XLOOKUP(B1857,'Form responses 1'!$B$2:$B$2604,'Form responses 1'!$G$2:$G$2604,""))</f>
        <v/>
      </c>
      <c r="K1857" s="56"/>
      <c r="L1857" s="58" t="str">
        <f t="shared" si="7"/>
        <v/>
      </c>
      <c r="M1857" s="49"/>
      <c r="N1857" s="49"/>
      <c r="O1857" s="49"/>
      <c r="P1857" s="49"/>
      <c r="Q1857" s="49"/>
      <c r="R1857" s="49"/>
      <c r="S1857" s="49"/>
      <c r="T1857" s="49"/>
      <c r="U1857" s="49"/>
      <c r="V1857" s="49"/>
      <c r="W1857" s="56"/>
      <c r="X1857" s="51" t="str">
        <f t="shared" si="5"/>
        <v/>
      </c>
      <c r="Y1857" s="50" t="s">
        <v>482</v>
      </c>
      <c r="Z1857" s="49">
        <f t="shared" si="6"/>
        <v>0</v>
      </c>
    </row>
    <row r="1858" ht="22.5" customHeight="1">
      <c r="B1858" s="57"/>
      <c r="C1858" s="43" t="str">
        <f t="array" ref="C1858">IF(B1858="","",_xlfn.XLOOKUP(B1858,'Form responses 1'!$B$2:$B$2604,'Form responses 1'!$A$2:$A$2604,""))</f>
        <v/>
      </c>
      <c r="D1858" s="44" t="str">
        <f t="shared" si="3"/>
        <v/>
      </c>
      <c r="E1858" s="44" t="str">
        <f t="array" ref="E1858">IF(B1858="","",_xlfn.XLOOKUP(B1858,'Form responses 1'!$B$2:$B$2604,'Form responses 1'!$C$2:$C$2604,""))</f>
        <v/>
      </c>
      <c r="F1858" s="44" t="str">
        <f t="array" ref="F1858">IF(B1858="","",_xlfn.XLOOKUP(B1858,'Form responses 1'!$B$2:$B$2604,'Form responses 1'!$D$2:$D$2604,""))</f>
        <v/>
      </c>
      <c r="G1858" s="44" t="str">
        <f t="array" ref="G1858">IF(B1858="","",_xlfn.XLOOKUP(B1858,'Form responses 1'!$B$2:$B$2604,'Form responses 1'!$E$2:$E$2604,""))</f>
        <v/>
      </c>
      <c r="H1858" s="44" t="str">
        <f t="array" ref="H1858">IF(B1858="","",_xlfn.XLOOKUP(B1858,'Form responses 1'!$B$2:$B$2604,'Form responses 1'!$F$2:$F$2604,""))</f>
        <v/>
      </c>
      <c r="I1858" s="44" t="str">
        <f t="array" ref="I1858">IF(B1858="","",_xlfn.XLOOKUP(B1858,'Form responses 1'!$B$2:$B$2604,'Form responses 1'!$I$2:$I$2604,""))</f>
        <v/>
      </c>
      <c r="J1858" s="44" t="str">
        <f t="array" ref="J1858">IF(B1858="","",_xlfn.XLOOKUP(B1858,'Form responses 1'!$B$2:$B$2604,'Form responses 1'!$G$2:$G$2604,""))</f>
        <v/>
      </c>
      <c r="K1858" s="56"/>
      <c r="L1858" s="58" t="str">
        <f t="shared" si="7"/>
        <v/>
      </c>
      <c r="M1858" s="49"/>
      <c r="N1858" s="49"/>
      <c r="O1858" s="49"/>
      <c r="P1858" s="49"/>
      <c r="Q1858" s="49"/>
      <c r="R1858" s="49"/>
      <c r="S1858" s="49"/>
      <c r="T1858" s="49"/>
      <c r="U1858" s="49"/>
      <c r="V1858" s="49"/>
      <c r="W1858" s="56"/>
      <c r="X1858" s="51" t="str">
        <f t="shared" si="5"/>
        <v/>
      </c>
      <c r="Y1858" s="50" t="s">
        <v>482</v>
      </c>
      <c r="Z1858" s="49">
        <f t="shared" si="6"/>
        <v>0</v>
      </c>
    </row>
    <row r="1859" ht="22.5" customHeight="1">
      <c r="B1859" s="57"/>
      <c r="C1859" s="43" t="str">
        <f t="array" ref="C1859">IF(B1859="","",_xlfn.XLOOKUP(B1859,'Form responses 1'!$B$2:$B$2604,'Form responses 1'!$A$2:$A$2604,""))</f>
        <v/>
      </c>
      <c r="D1859" s="44" t="str">
        <f t="shared" si="3"/>
        <v/>
      </c>
      <c r="E1859" s="44" t="str">
        <f t="array" ref="E1859">IF(B1859="","",_xlfn.XLOOKUP(B1859,'Form responses 1'!$B$2:$B$2604,'Form responses 1'!$C$2:$C$2604,""))</f>
        <v/>
      </c>
      <c r="F1859" s="44" t="str">
        <f t="array" ref="F1859">IF(B1859="","",_xlfn.XLOOKUP(B1859,'Form responses 1'!$B$2:$B$2604,'Form responses 1'!$D$2:$D$2604,""))</f>
        <v/>
      </c>
      <c r="G1859" s="44" t="str">
        <f t="array" ref="G1859">IF(B1859="","",_xlfn.XLOOKUP(B1859,'Form responses 1'!$B$2:$B$2604,'Form responses 1'!$E$2:$E$2604,""))</f>
        <v/>
      </c>
      <c r="H1859" s="44" t="str">
        <f t="array" ref="H1859">IF(B1859="","",_xlfn.XLOOKUP(B1859,'Form responses 1'!$B$2:$B$2604,'Form responses 1'!$F$2:$F$2604,""))</f>
        <v/>
      </c>
      <c r="I1859" s="44" t="str">
        <f t="array" ref="I1859">IF(B1859="","",_xlfn.XLOOKUP(B1859,'Form responses 1'!$B$2:$B$2604,'Form responses 1'!$I$2:$I$2604,""))</f>
        <v/>
      </c>
      <c r="J1859" s="44" t="str">
        <f t="array" ref="J1859">IF(B1859="","",_xlfn.XLOOKUP(B1859,'Form responses 1'!$B$2:$B$2604,'Form responses 1'!$G$2:$G$2604,""))</f>
        <v/>
      </c>
      <c r="K1859" s="56"/>
      <c r="L1859" s="58" t="str">
        <f t="shared" si="7"/>
        <v/>
      </c>
      <c r="M1859" s="49"/>
      <c r="N1859" s="49"/>
      <c r="O1859" s="49"/>
      <c r="P1859" s="49"/>
      <c r="Q1859" s="49"/>
      <c r="R1859" s="49"/>
      <c r="S1859" s="49"/>
      <c r="T1859" s="49"/>
      <c r="U1859" s="49"/>
      <c r="V1859" s="49"/>
      <c r="W1859" s="56"/>
      <c r="X1859" s="51" t="str">
        <f t="shared" si="5"/>
        <v/>
      </c>
      <c r="Y1859" s="50" t="s">
        <v>482</v>
      </c>
      <c r="Z1859" s="49">
        <f t="shared" si="6"/>
        <v>0</v>
      </c>
    </row>
    <row r="1860" ht="22.5" customHeight="1">
      <c r="B1860" s="57"/>
      <c r="C1860" s="43" t="str">
        <f t="array" ref="C1860">IF(B1860="","",_xlfn.XLOOKUP(B1860,'Form responses 1'!$B$2:$B$2604,'Form responses 1'!$A$2:$A$2604,""))</f>
        <v/>
      </c>
      <c r="D1860" s="44" t="str">
        <f t="shared" si="3"/>
        <v/>
      </c>
      <c r="E1860" s="44" t="str">
        <f t="array" ref="E1860">IF(B1860="","",_xlfn.XLOOKUP(B1860,'Form responses 1'!$B$2:$B$2604,'Form responses 1'!$C$2:$C$2604,""))</f>
        <v/>
      </c>
      <c r="F1860" s="44" t="str">
        <f t="array" ref="F1860">IF(B1860="","",_xlfn.XLOOKUP(B1860,'Form responses 1'!$B$2:$B$2604,'Form responses 1'!$D$2:$D$2604,""))</f>
        <v/>
      </c>
      <c r="G1860" s="44" t="str">
        <f t="array" ref="G1860">IF(B1860="","",_xlfn.XLOOKUP(B1860,'Form responses 1'!$B$2:$B$2604,'Form responses 1'!$E$2:$E$2604,""))</f>
        <v/>
      </c>
      <c r="H1860" s="44" t="str">
        <f t="array" ref="H1860">IF(B1860="","",_xlfn.XLOOKUP(B1860,'Form responses 1'!$B$2:$B$2604,'Form responses 1'!$F$2:$F$2604,""))</f>
        <v/>
      </c>
      <c r="I1860" s="44" t="str">
        <f t="array" ref="I1860">IF(B1860="","",_xlfn.XLOOKUP(B1860,'Form responses 1'!$B$2:$B$2604,'Form responses 1'!$I$2:$I$2604,""))</f>
        <v/>
      </c>
      <c r="J1860" s="44" t="str">
        <f t="array" ref="J1860">IF(B1860="","",_xlfn.XLOOKUP(B1860,'Form responses 1'!$B$2:$B$2604,'Form responses 1'!$G$2:$G$2604,""))</f>
        <v/>
      </c>
      <c r="K1860" s="56"/>
      <c r="L1860" s="58" t="str">
        <f t="shared" si="7"/>
        <v/>
      </c>
      <c r="M1860" s="49"/>
      <c r="N1860" s="49"/>
      <c r="O1860" s="49"/>
      <c r="P1860" s="49"/>
      <c r="Q1860" s="49"/>
      <c r="R1860" s="49"/>
      <c r="S1860" s="49"/>
      <c r="T1860" s="49"/>
      <c r="U1860" s="49"/>
      <c r="V1860" s="49"/>
      <c r="W1860" s="56"/>
      <c r="X1860" s="51" t="str">
        <f t="shared" si="5"/>
        <v/>
      </c>
      <c r="Y1860" s="50" t="s">
        <v>482</v>
      </c>
      <c r="Z1860" s="49">
        <f t="shared" si="6"/>
        <v>0</v>
      </c>
    </row>
    <row r="1861" ht="22.5" customHeight="1">
      <c r="B1861" s="57"/>
      <c r="C1861" s="43" t="str">
        <f t="array" ref="C1861">IF(B1861="","",_xlfn.XLOOKUP(B1861,'Form responses 1'!$B$2:$B$2604,'Form responses 1'!$A$2:$A$2604,""))</f>
        <v/>
      </c>
      <c r="D1861" s="44" t="str">
        <f t="shared" si="3"/>
        <v/>
      </c>
      <c r="E1861" s="44" t="str">
        <f t="array" ref="E1861">IF(B1861="","",_xlfn.XLOOKUP(B1861,'Form responses 1'!$B$2:$B$2604,'Form responses 1'!$C$2:$C$2604,""))</f>
        <v/>
      </c>
      <c r="F1861" s="44" t="str">
        <f t="array" ref="F1861">IF(B1861="","",_xlfn.XLOOKUP(B1861,'Form responses 1'!$B$2:$B$2604,'Form responses 1'!$D$2:$D$2604,""))</f>
        <v/>
      </c>
      <c r="G1861" s="44" t="str">
        <f t="array" ref="G1861">IF(B1861="","",_xlfn.XLOOKUP(B1861,'Form responses 1'!$B$2:$B$2604,'Form responses 1'!$E$2:$E$2604,""))</f>
        <v/>
      </c>
      <c r="H1861" s="44" t="str">
        <f t="array" ref="H1861">IF(B1861="","",_xlfn.XLOOKUP(B1861,'Form responses 1'!$B$2:$B$2604,'Form responses 1'!$F$2:$F$2604,""))</f>
        <v/>
      </c>
      <c r="I1861" s="44" t="str">
        <f t="array" ref="I1861">IF(B1861="","",_xlfn.XLOOKUP(B1861,'Form responses 1'!$B$2:$B$2604,'Form responses 1'!$I$2:$I$2604,""))</f>
        <v/>
      </c>
      <c r="J1861" s="44" t="str">
        <f t="array" ref="J1861">IF(B1861="","",_xlfn.XLOOKUP(B1861,'Form responses 1'!$B$2:$B$2604,'Form responses 1'!$G$2:$G$2604,""))</f>
        <v/>
      </c>
      <c r="K1861" s="56"/>
      <c r="L1861" s="58" t="str">
        <f t="shared" si="7"/>
        <v/>
      </c>
      <c r="M1861" s="49"/>
      <c r="N1861" s="49"/>
      <c r="O1861" s="49"/>
      <c r="P1861" s="49"/>
      <c r="Q1861" s="49"/>
      <c r="R1861" s="49"/>
      <c r="S1861" s="49"/>
      <c r="T1861" s="49"/>
      <c r="U1861" s="49"/>
      <c r="V1861" s="49"/>
      <c r="W1861" s="56"/>
      <c r="X1861" s="51" t="str">
        <f t="shared" si="5"/>
        <v/>
      </c>
      <c r="Y1861" s="50" t="s">
        <v>482</v>
      </c>
      <c r="Z1861" s="49">
        <f t="shared" si="6"/>
        <v>0</v>
      </c>
    </row>
    <row r="1862" ht="22.5" customHeight="1">
      <c r="B1862" s="57"/>
      <c r="C1862" s="43" t="str">
        <f t="array" ref="C1862">IF(B1862="","",_xlfn.XLOOKUP(B1862,'Form responses 1'!$B$2:$B$2604,'Form responses 1'!$A$2:$A$2604,""))</f>
        <v/>
      </c>
      <c r="D1862" s="44" t="str">
        <f t="shared" si="3"/>
        <v/>
      </c>
      <c r="E1862" s="44" t="str">
        <f t="array" ref="E1862">IF(B1862="","",_xlfn.XLOOKUP(B1862,'Form responses 1'!$B$2:$B$2604,'Form responses 1'!$C$2:$C$2604,""))</f>
        <v/>
      </c>
      <c r="F1862" s="44" t="str">
        <f t="array" ref="F1862">IF(B1862="","",_xlfn.XLOOKUP(B1862,'Form responses 1'!$B$2:$B$2604,'Form responses 1'!$D$2:$D$2604,""))</f>
        <v/>
      </c>
      <c r="G1862" s="44" t="str">
        <f t="array" ref="G1862">IF(B1862="","",_xlfn.XLOOKUP(B1862,'Form responses 1'!$B$2:$B$2604,'Form responses 1'!$E$2:$E$2604,""))</f>
        <v/>
      </c>
      <c r="H1862" s="44" t="str">
        <f t="array" ref="H1862">IF(B1862="","",_xlfn.XLOOKUP(B1862,'Form responses 1'!$B$2:$B$2604,'Form responses 1'!$F$2:$F$2604,""))</f>
        <v/>
      </c>
      <c r="I1862" s="44" t="str">
        <f t="array" ref="I1862">IF(B1862="","",_xlfn.XLOOKUP(B1862,'Form responses 1'!$B$2:$B$2604,'Form responses 1'!$I$2:$I$2604,""))</f>
        <v/>
      </c>
      <c r="J1862" s="44" t="str">
        <f t="array" ref="J1862">IF(B1862="","",_xlfn.XLOOKUP(B1862,'Form responses 1'!$B$2:$B$2604,'Form responses 1'!$G$2:$G$2604,""))</f>
        <v/>
      </c>
      <c r="K1862" s="56"/>
      <c r="L1862" s="58" t="str">
        <f t="shared" si="7"/>
        <v/>
      </c>
      <c r="M1862" s="49"/>
      <c r="N1862" s="49"/>
      <c r="O1862" s="49"/>
      <c r="P1862" s="49"/>
      <c r="Q1862" s="49"/>
      <c r="R1862" s="49"/>
      <c r="S1862" s="49"/>
      <c r="T1862" s="49"/>
      <c r="U1862" s="49"/>
      <c r="V1862" s="49"/>
      <c r="W1862" s="56"/>
      <c r="X1862" s="51" t="str">
        <f t="shared" si="5"/>
        <v/>
      </c>
      <c r="Y1862" s="50" t="s">
        <v>482</v>
      </c>
      <c r="Z1862" s="49">
        <f t="shared" si="6"/>
        <v>0</v>
      </c>
    </row>
    <row r="1863" ht="22.5" customHeight="1">
      <c r="B1863" s="57"/>
      <c r="C1863" s="43" t="str">
        <f t="array" ref="C1863">IF(B1863="","",_xlfn.XLOOKUP(B1863,'Form responses 1'!$B$2:$B$2604,'Form responses 1'!$A$2:$A$2604,""))</f>
        <v/>
      </c>
      <c r="D1863" s="44" t="str">
        <f t="shared" si="3"/>
        <v/>
      </c>
      <c r="E1863" s="44" t="str">
        <f t="array" ref="E1863">IF(B1863="","",_xlfn.XLOOKUP(B1863,'Form responses 1'!$B$2:$B$2604,'Form responses 1'!$C$2:$C$2604,""))</f>
        <v/>
      </c>
      <c r="F1863" s="44" t="str">
        <f t="array" ref="F1863">IF(B1863="","",_xlfn.XLOOKUP(B1863,'Form responses 1'!$B$2:$B$2604,'Form responses 1'!$D$2:$D$2604,""))</f>
        <v/>
      </c>
      <c r="G1863" s="44" t="str">
        <f t="array" ref="G1863">IF(B1863="","",_xlfn.XLOOKUP(B1863,'Form responses 1'!$B$2:$B$2604,'Form responses 1'!$E$2:$E$2604,""))</f>
        <v/>
      </c>
      <c r="H1863" s="44" t="str">
        <f t="array" ref="H1863">IF(B1863="","",_xlfn.XLOOKUP(B1863,'Form responses 1'!$B$2:$B$2604,'Form responses 1'!$F$2:$F$2604,""))</f>
        <v/>
      </c>
      <c r="I1863" s="44" t="str">
        <f t="array" ref="I1863">IF(B1863="","",_xlfn.XLOOKUP(B1863,'Form responses 1'!$B$2:$B$2604,'Form responses 1'!$I$2:$I$2604,""))</f>
        <v/>
      </c>
      <c r="J1863" s="44" t="str">
        <f t="array" ref="J1863">IF(B1863="","",_xlfn.XLOOKUP(B1863,'Form responses 1'!$B$2:$B$2604,'Form responses 1'!$G$2:$G$2604,""))</f>
        <v/>
      </c>
      <c r="K1863" s="56"/>
      <c r="L1863" s="58" t="str">
        <f t="shared" si="7"/>
        <v/>
      </c>
      <c r="M1863" s="49"/>
      <c r="N1863" s="49"/>
      <c r="O1863" s="49"/>
      <c r="P1863" s="49"/>
      <c r="Q1863" s="49"/>
      <c r="R1863" s="49"/>
      <c r="S1863" s="49"/>
      <c r="T1863" s="49"/>
      <c r="U1863" s="49"/>
      <c r="V1863" s="49"/>
      <c r="W1863" s="56"/>
      <c r="X1863" s="51" t="str">
        <f t="shared" si="5"/>
        <v/>
      </c>
      <c r="Y1863" s="50" t="s">
        <v>482</v>
      </c>
      <c r="Z1863" s="49">
        <f t="shared" si="6"/>
        <v>0</v>
      </c>
    </row>
    <row r="1864" ht="22.5" customHeight="1">
      <c r="B1864" s="57"/>
      <c r="C1864" s="43" t="str">
        <f t="array" ref="C1864">IF(B1864="","",_xlfn.XLOOKUP(B1864,'Form responses 1'!$B$2:$B$2604,'Form responses 1'!$A$2:$A$2604,""))</f>
        <v/>
      </c>
      <c r="D1864" s="44" t="str">
        <f t="shared" si="3"/>
        <v/>
      </c>
      <c r="E1864" s="44" t="str">
        <f t="array" ref="E1864">IF(B1864="","",_xlfn.XLOOKUP(B1864,'Form responses 1'!$B$2:$B$2604,'Form responses 1'!$C$2:$C$2604,""))</f>
        <v/>
      </c>
      <c r="F1864" s="44" t="str">
        <f t="array" ref="F1864">IF(B1864="","",_xlfn.XLOOKUP(B1864,'Form responses 1'!$B$2:$B$2604,'Form responses 1'!$D$2:$D$2604,""))</f>
        <v/>
      </c>
      <c r="G1864" s="44" t="str">
        <f t="array" ref="G1864">IF(B1864="","",_xlfn.XLOOKUP(B1864,'Form responses 1'!$B$2:$B$2604,'Form responses 1'!$E$2:$E$2604,""))</f>
        <v/>
      </c>
      <c r="H1864" s="44" t="str">
        <f t="array" ref="H1864">IF(B1864="","",_xlfn.XLOOKUP(B1864,'Form responses 1'!$B$2:$B$2604,'Form responses 1'!$F$2:$F$2604,""))</f>
        <v/>
      </c>
      <c r="I1864" s="44" t="str">
        <f t="array" ref="I1864">IF(B1864="","",_xlfn.XLOOKUP(B1864,'Form responses 1'!$B$2:$B$2604,'Form responses 1'!$I$2:$I$2604,""))</f>
        <v/>
      </c>
      <c r="J1864" s="44" t="str">
        <f t="array" ref="J1864">IF(B1864="","",_xlfn.XLOOKUP(B1864,'Form responses 1'!$B$2:$B$2604,'Form responses 1'!$G$2:$G$2604,""))</f>
        <v/>
      </c>
      <c r="K1864" s="56"/>
      <c r="L1864" s="58" t="str">
        <f t="shared" si="7"/>
        <v/>
      </c>
      <c r="M1864" s="49"/>
      <c r="N1864" s="49"/>
      <c r="O1864" s="49"/>
      <c r="P1864" s="49"/>
      <c r="Q1864" s="49"/>
      <c r="R1864" s="49"/>
      <c r="S1864" s="49"/>
      <c r="T1864" s="49"/>
      <c r="U1864" s="49"/>
      <c r="V1864" s="49"/>
      <c r="W1864" s="56"/>
      <c r="X1864" s="51" t="str">
        <f t="shared" si="5"/>
        <v/>
      </c>
      <c r="Y1864" s="50" t="s">
        <v>482</v>
      </c>
      <c r="Z1864" s="49">
        <f t="shared" si="6"/>
        <v>0</v>
      </c>
    </row>
    <row r="1865" ht="22.5" customHeight="1">
      <c r="B1865" s="57"/>
      <c r="C1865" s="43" t="str">
        <f t="array" ref="C1865">IF(B1865="","",_xlfn.XLOOKUP(B1865,'Form responses 1'!$B$2:$B$2604,'Form responses 1'!$A$2:$A$2604,""))</f>
        <v/>
      </c>
      <c r="D1865" s="44" t="str">
        <f t="shared" si="3"/>
        <v/>
      </c>
      <c r="E1865" s="44" t="str">
        <f t="array" ref="E1865">IF(B1865="","",_xlfn.XLOOKUP(B1865,'Form responses 1'!$B$2:$B$2604,'Form responses 1'!$C$2:$C$2604,""))</f>
        <v/>
      </c>
      <c r="F1865" s="44" t="str">
        <f t="array" ref="F1865">IF(B1865="","",_xlfn.XLOOKUP(B1865,'Form responses 1'!$B$2:$B$2604,'Form responses 1'!$D$2:$D$2604,""))</f>
        <v/>
      </c>
      <c r="G1865" s="44" t="str">
        <f t="array" ref="G1865">IF(B1865="","",_xlfn.XLOOKUP(B1865,'Form responses 1'!$B$2:$B$2604,'Form responses 1'!$E$2:$E$2604,""))</f>
        <v/>
      </c>
      <c r="H1865" s="44" t="str">
        <f t="array" ref="H1865">IF(B1865="","",_xlfn.XLOOKUP(B1865,'Form responses 1'!$B$2:$B$2604,'Form responses 1'!$F$2:$F$2604,""))</f>
        <v/>
      </c>
      <c r="I1865" s="44" t="str">
        <f t="array" ref="I1865">IF(B1865="","",_xlfn.XLOOKUP(B1865,'Form responses 1'!$B$2:$B$2604,'Form responses 1'!$I$2:$I$2604,""))</f>
        <v/>
      </c>
      <c r="J1865" s="44" t="str">
        <f t="array" ref="J1865">IF(B1865="","",_xlfn.XLOOKUP(B1865,'Form responses 1'!$B$2:$B$2604,'Form responses 1'!$G$2:$G$2604,""))</f>
        <v/>
      </c>
      <c r="K1865" s="56"/>
      <c r="L1865" s="58" t="str">
        <f t="shared" si="7"/>
        <v/>
      </c>
      <c r="M1865" s="49"/>
      <c r="N1865" s="49"/>
      <c r="O1865" s="49"/>
      <c r="P1865" s="49"/>
      <c r="Q1865" s="49"/>
      <c r="R1865" s="49"/>
      <c r="S1865" s="49"/>
      <c r="T1865" s="49"/>
      <c r="U1865" s="49"/>
      <c r="V1865" s="49"/>
      <c r="W1865" s="56"/>
      <c r="X1865" s="51" t="str">
        <f t="shared" si="5"/>
        <v/>
      </c>
      <c r="Y1865" s="50" t="s">
        <v>482</v>
      </c>
      <c r="Z1865" s="49">
        <f t="shared" si="6"/>
        <v>0</v>
      </c>
    </row>
    <row r="1866" ht="22.5" customHeight="1">
      <c r="B1866" s="57"/>
      <c r="C1866" s="43" t="str">
        <f t="array" ref="C1866">IF(B1866="","",_xlfn.XLOOKUP(B1866,'Form responses 1'!$B$2:$B$2604,'Form responses 1'!$A$2:$A$2604,""))</f>
        <v/>
      </c>
      <c r="D1866" s="44" t="str">
        <f t="shared" si="3"/>
        <v/>
      </c>
      <c r="E1866" s="44" t="str">
        <f t="array" ref="E1866">IF(B1866="","",_xlfn.XLOOKUP(B1866,'Form responses 1'!$B$2:$B$2604,'Form responses 1'!$C$2:$C$2604,""))</f>
        <v/>
      </c>
      <c r="F1866" s="44" t="str">
        <f t="array" ref="F1866">IF(B1866="","",_xlfn.XLOOKUP(B1866,'Form responses 1'!$B$2:$B$2604,'Form responses 1'!$D$2:$D$2604,""))</f>
        <v/>
      </c>
      <c r="G1866" s="44" t="str">
        <f t="array" ref="G1866">IF(B1866="","",_xlfn.XLOOKUP(B1866,'Form responses 1'!$B$2:$B$2604,'Form responses 1'!$E$2:$E$2604,""))</f>
        <v/>
      </c>
      <c r="H1866" s="44" t="str">
        <f t="array" ref="H1866">IF(B1866="","",_xlfn.XLOOKUP(B1866,'Form responses 1'!$B$2:$B$2604,'Form responses 1'!$F$2:$F$2604,""))</f>
        <v/>
      </c>
      <c r="I1866" s="44" t="str">
        <f t="array" ref="I1866">IF(B1866="","",_xlfn.XLOOKUP(B1866,'Form responses 1'!$B$2:$B$2604,'Form responses 1'!$I$2:$I$2604,""))</f>
        <v/>
      </c>
      <c r="J1866" s="44" t="str">
        <f t="array" ref="J1866">IF(B1866="","",_xlfn.XLOOKUP(B1866,'Form responses 1'!$B$2:$B$2604,'Form responses 1'!$G$2:$G$2604,""))</f>
        <v/>
      </c>
      <c r="K1866" s="56"/>
      <c r="L1866" s="58" t="str">
        <f t="shared" si="7"/>
        <v/>
      </c>
      <c r="M1866" s="49"/>
      <c r="N1866" s="49"/>
      <c r="O1866" s="49"/>
      <c r="P1866" s="49"/>
      <c r="Q1866" s="49"/>
      <c r="R1866" s="49"/>
      <c r="S1866" s="49"/>
      <c r="T1866" s="49"/>
      <c r="U1866" s="49"/>
      <c r="V1866" s="49"/>
      <c r="W1866" s="56"/>
      <c r="X1866" s="51" t="str">
        <f t="shared" si="5"/>
        <v/>
      </c>
      <c r="Y1866" s="50" t="s">
        <v>482</v>
      </c>
      <c r="Z1866" s="49">
        <f t="shared" si="6"/>
        <v>0</v>
      </c>
    </row>
    <row r="1867" ht="22.5" customHeight="1">
      <c r="B1867" s="57"/>
      <c r="C1867" s="43" t="str">
        <f t="array" ref="C1867">IF(B1867="","",_xlfn.XLOOKUP(B1867,'Form responses 1'!$B$2:$B$2604,'Form responses 1'!$A$2:$A$2604,""))</f>
        <v/>
      </c>
      <c r="D1867" s="44" t="str">
        <f t="shared" si="3"/>
        <v/>
      </c>
      <c r="E1867" s="44" t="str">
        <f t="array" ref="E1867">IF(B1867="","",_xlfn.XLOOKUP(B1867,'Form responses 1'!$B$2:$B$2604,'Form responses 1'!$C$2:$C$2604,""))</f>
        <v/>
      </c>
      <c r="F1867" s="44" t="str">
        <f t="array" ref="F1867">IF(B1867="","",_xlfn.XLOOKUP(B1867,'Form responses 1'!$B$2:$B$2604,'Form responses 1'!$D$2:$D$2604,""))</f>
        <v/>
      </c>
      <c r="G1867" s="44" t="str">
        <f t="array" ref="G1867">IF(B1867="","",_xlfn.XLOOKUP(B1867,'Form responses 1'!$B$2:$B$2604,'Form responses 1'!$E$2:$E$2604,""))</f>
        <v/>
      </c>
      <c r="H1867" s="44" t="str">
        <f t="array" ref="H1867">IF(B1867="","",_xlfn.XLOOKUP(B1867,'Form responses 1'!$B$2:$B$2604,'Form responses 1'!$F$2:$F$2604,""))</f>
        <v/>
      </c>
      <c r="I1867" s="44" t="str">
        <f t="array" ref="I1867">IF(B1867="","",_xlfn.XLOOKUP(B1867,'Form responses 1'!$B$2:$B$2604,'Form responses 1'!$I$2:$I$2604,""))</f>
        <v/>
      </c>
      <c r="J1867" s="44" t="str">
        <f t="array" ref="J1867">IF(B1867="","",_xlfn.XLOOKUP(B1867,'Form responses 1'!$B$2:$B$2604,'Form responses 1'!$G$2:$G$2604,""))</f>
        <v/>
      </c>
      <c r="K1867" s="56"/>
      <c r="L1867" s="58" t="str">
        <f t="shared" si="7"/>
        <v/>
      </c>
      <c r="M1867" s="49"/>
      <c r="N1867" s="49"/>
      <c r="O1867" s="49"/>
      <c r="P1867" s="49"/>
      <c r="Q1867" s="49"/>
      <c r="R1867" s="49"/>
      <c r="S1867" s="49"/>
      <c r="T1867" s="49"/>
      <c r="U1867" s="49"/>
      <c r="V1867" s="49"/>
      <c r="W1867" s="56"/>
      <c r="X1867" s="51" t="str">
        <f t="shared" si="5"/>
        <v/>
      </c>
      <c r="Y1867" s="50" t="s">
        <v>482</v>
      </c>
      <c r="Z1867" s="49">
        <f t="shared" si="6"/>
        <v>0</v>
      </c>
    </row>
    <row r="1868" ht="22.5" customHeight="1">
      <c r="B1868" s="57"/>
      <c r="C1868" s="43" t="str">
        <f t="array" ref="C1868">IF(B1868="","",_xlfn.XLOOKUP(B1868,'Form responses 1'!$B$2:$B$2604,'Form responses 1'!$A$2:$A$2604,""))</f>
        <v/>
      </c>
      <c r="D1868" s="44" t="str">
        <f t="shared" si="3"/>
        <v/>
      </c>
      <c r="E1868" s="44" t="str">
        <f t="array" ref="E1868">IF(B1868="","",_xlfn.XLOOKUP(B1868,'Form responses 1'!$B$2:$B$2604,'Form responses 1'!$C$2:$C$2604,""))</f>
        <v/>
      </c>
      <c r="F1868" s="44" t="str">
        <f t="array" ref="F1868">IF(B1868="","",_xlfn.XLOOKUP(B1868,'Form responses 1'!$B$2:$B$2604,'Form responses 1'!$D$2:$D$2604,""))</f>
        <v/>
      </c>
      <c r="G1868" s="44" t="str">
        <f t="array" ref="G1868">IF(B1868="","",_xlfn.XLOOKUP(B1868,'Form responses 1'!$B$2:$B$2604,'Form responses 1'!$E$2:$E$2604,""))</f>
        <v/>
      </c>
      <c r="H1868" s="44" t="str">
        <f t="array" ref="H1868">IF(B1868="","",_xlfn.XLOOKUP(B1868,'Form responses 1'!$B$2:$B$2604,'Form responses 1'!$F$2:$F$2604,""))</f>
        <v/>
      </c>
      <c r="I1868" s="44" t="str">
        <f t="array" ref="I1868">IF(B1868="","",_xlfn.XLOOKUP(B1868,'Form responses 1'!$B$2:$B$2604,'Form responses 1'!$I$2:$I$2604,""))</f>
        <v/>
      </c>
      <c r="J1868" s="44" t="str">
        <f t="array" ref="J1868">IF(B1868="","",_xlfn.XLOOKUP(B1868,'Form responses 1'!$B$2:$B$2604,'Form responses 1'!$G$2:$G$2604,""))</f>
        <v/>
      </c>
      <c r="K1868" s="56"/>
      <c r="L1868" s="58" t="str">
        <f t="shared" si="7"/>
        <v/>
      </c>
      <c r="M1868" s="49"/>
      <c r="N1868" s="49"/>
      <c r="O1868" s="49"/>
      <c r="P1868" s="49"/>
      <c r="Q1868" s="49"/>
      <c r="R1868" s="49"/>
      <c r="S1868" s="49"/>
      <c r="T1868" s="49"/>
      <c r="U1868" s="49"/>
      <c r="V1868" s="49"/>
      <c r="W1868" s="56"/>
      <c r="X1868" s="51" t="str">
        <f t="shared" si="5"/>
        <v/>
      </c>
      <c r="Y1868" s="50" t="s">
        <v>482</v>
      </c>
      <c r="Z1868" s="49">
        <f t="shared" si="6"/>
        <v>0</v>
      </c>
    </row>
    <row r="1869" ht="22.5" customHeight="1">
      <c r="B1869" s="57"/>
      <c r="C1869" s="43" t="str">
        <f t="array" ref="C1869">IF(B1869="","",_xlfn.XLOOKUP(B1869,'Form responses 1'!$B$2:$B$2604,'Form responses 1'!$A$2:$A$2604,""))</f>
        <v/>
      </c>
      <c r="D1869" s="44" t="str">
        <f t="shared" si="3"/>
        <v/>
      </c>
      <c r="E1869" s="44" t="str">
        <f t="array" ref="E1869">IF(B1869="","",_xlfn.XLOOKUP(B1869,'Form responses 1'!$B$2:$B$2604,'Form responses 1'!$C$2:$C$2604,""))</f>
        <v/>
      </c>
      <c r="F1869" s="44" t="str">
        <f t="array" ref="F1869">IF(B1869="","",_xlfn.XLOOKUP(B1869,'Form responses 1'!$B$2:$B$2604,'Form responses 1'!$D$2:$D$2604,""))</f>
        <v/>
      </c>
      <c r="G1869" s="44" t="str">
        <f t="array" ref="G1869">IF(B1869="","",_xlfn.XLOOKUP(B1869,'Form responses 1'!$B$2:$B$2604,'Form responses 1'!$E$2:$E$2604,""))</f>
        <v/>
      </c>
      <c r="H1869" s="44" t="str">
        <f t="array" ref="H1869">IF(B1869="","",_xlfn.XLOOKUP(B1869,'Form responses 1'!$B$2:$B$2604,'Form responses 1'!$F$2:$F$2604,""))</f>
        <v/>
      </c>
      <c r="I1869" s="44" t="str">
        <f t="array" ref="I1869">IF(B1869="","",_xlfn.XLOOKUP(B1869,'Form responses 1'!$B$2:$B$2604,'Form responses 1'!$I$2:$I$2604,""))</f>
        <v/>
      </c>
      <c r="J1869" s="44" t="str">
        <f t="array" ref="J1869">IF(B1869="","",_xlfn.XLOOKUP(B1869,'Form responses 1'!$B$2:$B$2604,'Form responses 1'!$G$2:$G$2604,""))</f>
        <v/>
      </c>
      <c r="K1869" s="56"/>
      <c r="L1869" s="58" t="str">
        <f t="shared" si="7"/>
        <v/>
      </c>
      <c r="M1869" s="49"/>
      <c r="N1869" s="49"/>
      <c r="O1869" s="49"/>
      <c r="P1869" s="49"/>
      <c r="Q1869" s="49"/>
      <c r="R1869" s="49"/>
      <c r="S1869" s="49"/>
      <c r="T1869" s="49"/>
      <c r="U1869" s="49"/>
      <c r="V1869" s="49"/>
      <c r="W1869" s="56"/>
      <c r="X1869" s="51" t="str">
        <f t="shared" si="5"/>
        <v/>
      </c>
      <c r="Y1869" s="50" t="s">
        <v>482</v>
      </c>
      <c r="Z1869" s="49">
        <f t="shared" si="6"/>
        <v>0</v>
      </c>
    </row>
    <row r="1870" ht="22.5" customHeight="1">
      <c r="B1870" s="57"/>
      <c r="C1870" s="43" t="str">
        <f t="array" ref="C1870">IF(B1870="","",_xlfn.XLOOKUP(B1870,'Form responses 1'!$B$2:$B$2604,'Form responses 1'!$A$2:$A$2604,""))</f>
        <v/>
      </c>
      <c r="D1870" s="44" t="str">
        <f t="shared" si="3"/>
        <v/>
      </c>
      <c r="E1870" s="44" t="str">
        <f t="array" ref="E1870">IF(B1870="","",_xlfn.XLOOKUP(B1870,'Form responses 1'!$B$2:$B$2604,'Form responses 1'!$C$2:$C$2604,""))</f>
        <v/>
      </c>
      <c r="F1870" s="44" t="str">
        <f t="array" ref="F1870">IF(B1870="","",_xlfn.XLOOKUP(B1870,'Form responses 1'!$B$2:$B$2604,'Form responses 1'!$D$2:$D$2604,""))</f>
        <v/>
      </c>
      <c r="G1870" s="44" t="str">
        <f t="array" ref="G1870">IF(B1870="","",_xlfn.XLOOKUP(B1870,'Form responses 1'!$B$2:$B$2604,'Form responses 1'!$E$2:$E$2604,""))</f>
        <v/>
      </c>
      <c r="H1870" s="44" t="str">
        <f t="array" ref="H1870">IF(B1870="","",_xlfn.XLOOKUP(B1870,'Form responses 1'!$B$2:$B$2604,'Form responses 1'!$F$2:$F$2604,""))</f>
        <v/>
      </c>
      <c r="I1870" s="44" t="str">
        <f t="array" ref="I1870">IF(B1870="","",_xlfn.XLOOKUP(B1870,'Form responses 1'!$B$2:$B$2604,'Form responses 1'!$I$2:$I$2604,""))</f>
        <v/>
      </c>
      <c r="J1870" s="44" t="str">
        <f t="array" ref="J1870">IF(B1870="","",_xlfn.XLOOKUP(B1870,'Form responses 1'!$B$2:$B$2604,'Form responses 1'!$G$2:$G$2604,""))</f>
        <v/>
      </c>
      <c r="K1870" s="56"/>
      <c r="L1870" s="58" t="str">
        <f t="shared" si="7"/>
        <v/>
      </c>
      <c r="M1870" s="49"/>
      <c r="N1870" s="49"/>
      <c r="O1870" s="49"/>
      <c r="P1870" s="49"/>
      <c r="Q1870" s="49"/>
      <c r="R1870" s="49"/>
      <c r="S1870" s="49"/>
      <c r="T1870" s="49"/>
      <c r="U1870" s="49"/>
      <c r="V1870" s="49"/>
      <c r="W1870" s="56"/>
      <c r="X1870" s="51" t="str">
        <f t="shared" si="5"/>
        <v/>
      </c>
      <c r="Y1870" s="50" t="s">
        <v>482</v>
      </c>
      <c r="Z1870" s="49">
        <f t="shared" si="6"/>
        <v>0</v>
      </c>
    </row>
    <row r="1871" ht="22.5" customHeight="1">
      <c r="B1871" s="57"/>
      <c r="C1871" s="43" t="str">
        <f t="array" ref="C1871">IF(B1871="","",_xlfn.XLOOKUP(B1871,'Form responses 1'!$B$2:$B$2604,'Form responses 1'!$A$2:$A$2604,""))</f>
        <v/>
      </c>
      <c r="D1871" s="44" t="str">
        <f t="shared" si="3"/>
        <v/>
      </c>
      <c r="E1871" s="44" t="str">
        <f t="array" ref="E1871">IF(B1871="","",_xlfn.XLOOKUP(B1871,'Form responses 1'!$B$2:$B$2604,'Form responses 1'!$C$2:$C$2604,""))</f>
        <v/>
      </c>
      <c r="F1871" s="44" t="str">
        <f t="array" ref="F1871">IF(B1871="","",_xlfn.XLOOKUP(B1871,'Form responses 1'!$B$2:$B$2604,'Form responses 1'!$D$2:$D$2604,""))</f>
        <v/>
      </c>
      <c r="G1871" s="44" t="str">
        <f t="array" ref="G1871">IF(B1871="","",_xlfn.XLOOKUP(B1871,'Form responses 1'!$B$2:$B$2604,'Form responses 1'!$E$2:$E$2604,""))</f>
        <v/>
      </c>
      <c r="H1871" s="44" t="str">
        <f t="array" ref="H1871">IF(B1871="","",_xlfn.XLOOKUP(B1871,'Form responses 1'!$B$2:$B$2604,'Form responses 1'!$F$2:$F$2604,""))</f>
        <v/>
      </c>
      <c r="I1871" s="44" t="str">
        <f t="array" ref="I1871">IF(B1871="","",_xlfn.XLOOKUP(B1871,'Form responses 1'!$B$2:$B$2604,'Form responses 1'!$I$2:$I$2604,""))</f>
        <v/>
      </c>
      <c r="J1871" s="44" t="str">
        <f t="array" ref="J1871">IF(B1871="","",_xlfn.XLOOKUP(B1871,'Form responses 1'!$B$2:$B$2604,'Form responses 1'!$G$2:$G$2604,""))</f>
        <v/>
      </c>
      <c r="K1871" s="56"/>
      <c r="L1871" s="58" t="str">
        <f t="shared" si="7"/>
        <v/>
      </c>
      <c r="M1871" s="49"/>
      <c r="N1871" s="49"/>
      <c r="O1871" s="49"/>
      <c r="P1871" s="49"/>
      <c r="Q1871" s="49"/>
      <c r="R1871" s="49"/>
      <c r="S1871" s="49"/>
      <c r="T1871" s="49"/>
      <c r="U1871" s="49"/>
      <c r="V1871" s="49"/>
      <c r="W1871" s="56"/>
      <c r="X1871" s="51" t="str">
        <f t="shared" si="5"/>
        <v/>
      </c>
      <c r="Y1871" s="50" t="s">
        <v>482</v>
      </c>
      <c r="Z1871" s="49">
        <f t="shared" si="6"/>
        <v>0</v>
      </c>
    </row>
    <row r="1872" ht="22.5" customHeight="1">
      <c r="B1872" s="57"/>
      <c r="C1872" s="43" t="str">
        <f t="array" ref="C1872">IF(B1872="","",_xlfn.XLOOKUP(B1872,'Form responses 1'!$B$2:$B$2604,'Form responses 1'!$A$2:$A$2604,""))</f>
        <v/>
      </c>
      <c r="D1872" s="44" t="str">
        <f t="shared" si="3"/>
        <v/>
      </c>
      <c r="E1872" s="44" t="str">
        <f t="array" ref="E1872">IF(B1872="","",_xlfn.XLOOKUP(B1872,'Form responses 1'!$B$2:$B$2604,'Form responses 1'!$C$2:$C$2604,""))</f>
        <v/>
      </c>
      <c r="F1872" s="44" t="str">
        <f t="array" ref="F1872">IF(B1872="","",_xlfn.XLOOKUP(B1872,'Form responses 1'!$B$2:$B$2604,'Form responses 1'!$D$2:$D$2604,""))</f>
        <v/>
      </c>
      <c r="G1872" s="44" t="str">
        <f t="array" ref="G1872">IF(B1872="","",_xlfn.XLOOKUP(B1872,'Form responses 1'!$B$2:$B$2604,'Form responses 1'!$E$2:$E$2604,""))</f>
        <v/>
      </c>
      <c r="H1872" s="44" t="str">
        <f t="array" ref="H1872">IF(B1872="","",_xlfn.XLOOKUP(B1872,'Form responses 1'!$B$2:$B$2604,'Form responses 1'!$F$2:$F$2604,""))</f>
        <v/>
      </c>
      <c r="I1872" s="44" t="str">
        <f t="array" ref="I1872">IF(B1872="","",_xlfn.XLOOKUP(B1872,'Form responses 1'!$B$2:$B$2604,'Form responses 1'!$I$2:$I$2604,""))</f>
        <v/>
      </c>
      <c r="J1872" s="44" t="str">
        <f t="array" ref="J1872">IF(B1872="","",_xlfn.XLOOKUP(B1872,'Form responses 1'!$B$2:$B$2604,'Form responses 1'!$G$2:$G$2604,""))</f>
        <v/>
      </c>
      <c r="K1872" s="56"/>
      <c r="L1872" s="58" t="str">
        <f t="shared" si="7"/>
        <v/>
      </c>
      <c r="M1872" s="49"/>
      <c r="N1872" s="49"/>
      <c r="O1872" s="49"/>
      <c r="P1872" s="49"/>
      <c r="Q1872" s="49"/>
      <c r="R1872" s="49"/>
      <c r="S1872" s="49"/>
      <c r="T1872" s="49"/>
      <c r="U1872" s="49"/>
      <c r="V1872" s="49"/>
      <c r="W1872" s="56"/>
      <c r="X1872" s="51" t="str">
        <f t="shared" si="5"/>
        <v/>
      </c>
      <c r="Y1872" s="50" t="s">
        <v>482</v>
      </c>
      <c r="Z1872" s="49">
        <f t="shared" si="6"/>
        <v>0</v>
      </c>
    </row>
    <row r="1873" ht="22.5" customHeight="1">
      <c r="B1873" s="57"/>
      <c r="C1873" s="43" t="str">
        <f t="array" ref="C1873">IF(B1873="","",_xlfn.XLOOKUP(B1873,'Form responses 1'!$B$2:$B$2604,'Form responses 1'!$A$2:$A$2604,""))</f>
        <v/>
      </c>
      <c r="D1873" s="44" t="str">
        <f t="shared" si="3"/>
        <v/>
      </c>
      <c r="E1873" s="44" t="str">
        <f t="array" ref="E1873">IF(B1873="","",_xlfn.XLOOKUP(B1873,'Form responses 1'!$B$2:$B$2604,'Form responses 1'!$C$2:$C$2604,""))</f>
        <v/>
      </c>
      <c r="F1873" s="44" t="str">
        <f t="array" ref="F1873">IF(B1873="","",_xlfn.XLOOKUP(B1873,'Form responses 1'!$B$2:$B$2604,'Form responses 1'!$D$2:$D$2604,""))</f>
        <v/>
      </c>
      <c r="G1873" s="44" t="str">
        <f t="array" ref="G1873">IF(B1873="","",_xlfn.XLOOKUP(B1873,'Form responses 1'!$B$2:$B$2604,'Form responses 1'!$E$2:$E$2604,""))</f>
        <v/>
      </c>
      <c r="H1873" s="44" t="str">
        <f t="array" ref="H1873">IF(B1873="","",_xlfn.XLOOKUP(B1873,'Form responses 1'!$B$2:$B$2604,'Form responses 1'!$F$2:$F$2604,""))</f>
        <v/>
      </c>
      <c r="I1873" s="44" t="str">
        <f t="array" ref="I1873">IF(B1873="","",_xlfn.XLOOKUP(B1873,'Form responses 1'!$B$2:$B$2604,'Form responses 1'!$I$2:$I$2604,""))</f>
        <v/>
      </c>
      <c r="J1873" s="44" t="str">
        <f t="array" ref="J1873">IF(B1873="","",_xlfn.XLOOKUP(B1873,'Form responses 1'!$B$2:$B$2604,'Form responses 1'!$G$2:$G$2604,""))</f>
        <v/>
      </c>
      <c r="K1873" s="56"/>
      <c r="L1873" s="58" t="str">
        <f t="shared" si="7"/>
        <v/>
      </c>
      <c r="M1873" s="49"/>
      <c r="N1873" s="49"/>
      <c r="O1873" s="49"/>
      <c r="P1873" s="49"/>
      <c r="Q1873" s="49"/>
      <c r="R1873" s="49"/>
      <c r="S1873" s="49"/>
      <c r="T1873" s="49"/>
      <c r="U1873" s="49"/>
      <c r="V1873" s="49"/>
      <c r="W1873" s="56"/>
      <c r="X1873" s="51" t="str">
        <f t="shared" si="5"/>
        <v/>
      </c>
      <c r="Y1873" s="50" t="s">
        <v>482</v>
      </c>
      <c r="Z1873" s="49">
        <f t="shared" si="6"/>
        <v>0</v>
      </c>
    </row>
    <row r="1874" ht="22.5" customHeight="1">
      <c r="B1874" s="57"/>
      <c r="C1874" s="43" t="str">
        <f t="array" ref="C1874">IF(B1874="","",_xlfn.XLOOKUP(B1874,'Form responses 1'!$B$2:$B$2604,'Form responses 1'!$A$2:$A$2604,""))</f>
        <v/>
      </c>
      <c r="D1874" s="44" t="str">
        <f t="shared" si="3"/>
        <v/>
      </c>
      <c r="E1874" s="44" t="str">
        <f t="array" ref="E1874">IF(B1874="","",_xlfn.XLOOKUP(B1874,'Form responses 1'!$B$2:$B$2604,'Form responses 1'!$C$2:$C$2604,""))</f>
        <v/>
      </c>
      <c r="F1874" s="44" t="str">
        <f t="array" ref="F1874">IF(B1874="","",_xlfn.XLOOKUP(B1874,'Form responses 1'!$B$2:$B$2604,'Form responses 1'!$D$2:$D$2604,""))</f>
        <v/>
      </c>
      <c r="G1874" s="44" t="str">
        <f t="array" ref="G1874">IF(B1874="","",_xlfn.XLOOKUP(B1874,'Form responses 1'!$B$2:$B$2604,'Form responses 1'!$E$2:$E$2604,""))</f>
        <v/>
      </c>
      <c r="H1874" s="44" t="str">
        <f t="array" ref="H1874">IF(B1874="","",_xlfn.XLOOKUP(B1874,'Form responses 1'!$B$2:$B$2604,'Form responses 1'!$F$2:$F$2604,""))</f>
        <v/>
      </c>
      <c r="I1874" s="44" t="str">
        <f t="array" ref="I1874">IF(B1874="","",_xlfn.XLOOKUP(B1874,'Form responses 1'!$B$2:$B$2604,'Form responses 1'!$I$2:$I$2604,""))</f>
        <v/>
      </c>
      <c r="J1874" s="44" t="str">
        <f t="array" ref="J1874">IF(B1874="","",_xlfn.XLOOKUP(B1874,'Form responses 1'!$B$2:$B$2604,'Form responses 1'!$G$2:$G$2604,""))</f>
        <v/>
      </c>
      <c r="K1874" s="56"/>
      <c r="L1874" s="58" t="str">
        <f t="shared" si="7"/>
        <v/>
      </c>
      <c r="M1874" s="49"/>
      <c r="N1874" s="49"/>
      <c r="O1874" s="49"/>
      <c r="P1874" s="49"/>
      <c r="Q1874" s="49"/>
      <c r="R1874" s="49"/>
      <c r="S1874" s="49"/>
      <c r="T1874" s="49"/>
      <c r="U1874" s="49"/>
      <c r="V1874" s="49"/>
      <c r="W1874" s="56"/>
      <c r="X1874" s="51" t="str">
        <f t="shared" si="5"/>
        <v/>
      </c>
      <c r="Y1874" s="50" t="s">
        <v>482</v>
      </c>
      <c r="Z1874" s="49">
        <f t="shared" si="6"/>
        <v>0</v>
      </c>
    </row>
    <row r="1875" ht="22.5" customHeight="1">
      <c r="B1875" s="57"/>
      <c r="C1875" s="43" t="str">
        <f t="array" ref="C1875">IF(B1875="","",_xlfn.XLOOKUP(B1875,'Form responses 1'!$B$2:$B$2604,'Form responses 1'!$A$2:$A$2604,""))</f>
        <v/>
      </c>
      <c r="D1875" s="44" t="str">
        <f t="shared" si="3"/>
        <v/>
      </c>
      <c r="E1875" s="44" t="str">
        <f t="array" ref="E1875">IF(B1875="","",_xlfn.XLOOKUP(B1875,'Form responses 1'!$B$2:$B$2604,'Form responses 1'!$C$2:$C$2604,""))</f>
        <v/>
      </c>
      <c r="F1875" s="44" t="str">
        <f t="array" ref="F1875">IF(B1875="","",_xlfn.XLOOKUP(B1875,'Form responses 1'!$B$2:$B$2604,'Form responses 1'!$D$2:$D$2604,""))</f>
        <v/>
      </c>
      <c r="G1875" s="44" t="str">
        <f t="array" ref="G1875">IF(B1875="","",_xlfn.XLOOKUP(B1875,'Form responses 1'!$B$2:$B$2604,'Form responses 1'!$E$2:$E$2604,""))</f>
        <v/>
      </c>
      <c r="H1875" s="44" t="str">
        <f t="array" ref="H1875">IF(B1875="","",_xlfn.XLOOKUP(B1875,'Form responses 1'!$B$2:$B$2604,'Form responses 1'!$F$2:$F$2604,""))</f>
        <v/>
      </c>
      <c r="I1875" s="44" t="str">
        <f t="array" ref="I1875">IF(B1875="","",_xlfn.XLOOKUP(B1875,'Form responses 1'!$B$2:$B$2604,'Form responses 1'!$I$2:$I$2604,""))</f>
        <v/>
      </c>
      <c r="J1875" s="44" t="str">
        <f t="array" ref="J1875">IF(B1875="","",_xlfn.XLOOKUP(B1875,'Form responses 1'!$B$2:$B$2604,'Form responses 1'!$G$2:$G$2604,""))</f>
        <v/>
      </c>
      <c r="K1875" s="56"/>
      <c r="L1875" s="58" t="str">
        <f t="shared" si="7"/>
        <v/>
      </c>
      <c r="M1875" s="49"/>
      <c r="N1875" s="49"/>
      <c r="O1875" s="49"/>
      <c r="P1875" s="49"/>
      <c r="Q1875" s="49"/>
      <c r="R1875" s="49"/>
      <c r="S1875" s="49"/>
      <c r="T1875" s="49"/>
      <c r="U1875" s="49"/>
      <c r="V1875" s="49"/>
      <c r="W1875" s="56"/>
      <c r="X1875" s="51" t="str">
        <f t="shared" si="5"/>
        <v/>
      </c>
      <c r="Y1875" s="50" t="s">
        <v>482</v>
      </c>
      <c r="Z1875" s="49">
        <f t="shared" si="6"/>
        <v>0</v>
      </c>
    </row>
    <row r="1876" ht="22.5" customHeight="1">
      <c r="B1876" s="57"/>
      <c r="C1876" s="43" t="str">
        <f t="array" ref="C1876">IF(B1876="","",_xlfn.XLOOKUP(B1876,'Form responses 1'!$B$2:$B$2604,'Form responses 1'!$A$2:$A$2604,""))</f>
        <v/>
      </c>
      <c r="D1876" s="44" t="str">
        <f t="shared" si="3"/>
        <v/>
      </c>
      <c r="E1876" s="44" t="str">
        <f t="array" ref="E1876">IF(B1876="","",_xlfn.XLOOKUP(B1876,'Form responses 1'!$B$2:$B$2604,'Form responses 1'!$C$2:$C$2604,""))</f>
        <v/>
      </c>
      <c r="F1876" s="44" t="str">
        <f t="array" ref="F1876">IF(B1876="","",_xlfn.XLOOKUP(B1876,'Form responses 1'!$B$2:$B$2604,'Form responses 1'!$D$2:$D$2604,""))</f>
        <v/>
      </c>
      <c r="G1876" s="44" t="str">
        <f t="array" ref="G1876">IF(B1876="","",_xlfn.XLOOKUP(B1876,'Form responses 1'!$B$2:$B$2604,'Form responses 1'!$E$2:$E$2604,""))</f>
        <v/>
      </c>
      <c r="H1876" s="44" t="str">
        <f t="array" ref="H1876">IF(B1876="","",_xlfn.XLOOKUP(B1876,'Form responses 1'!$B$2:$B$2604,'Form responses 1'!$F$2:$F$2604,""))</f>
        <v/>
      </c>
      <c r="I1876" s="44" t="str">
        <f t="array" ref="I1876">IF(B1876="","",_xlfn.XLOOKUP(B1876,'Form responses 1'!$B$2:$B$2604,'Form responses 1'!$I$2:$I$2604,""))</f>
        <v/>
      </c>
      <c r="J1876" s="44" t="str">
        <f t="array" ref="J1876">IF(B1876="","",_xlfn.XLOOKUP(B1876,'Form responses 1'!$B$2:$B$2604,'Form responses 1'!$G$2:$G$2604,""))</f>
        <v/>
      </c>
      <c r="K1876" s="56"/>
      <c r="L1876" s="58" t="str">
        <f t="shared" si="7"/>
        <v/>
      </c>
      <c r="M1876" s="49"/>
      <c r="N1876" s="49"/>
      <c r="O1876" s="49"/>
      <c r="P1876" s="49"/>
      <c r="Q1876" s="49"/>
      <c r="R1876" s="49"/>
      <c r="S1876" s="49"/>
      <c r="T1876" s="49"/>
      <c r="U1876" s="49"/>
      <c r="V1876" s="49"/>
      <c r="W1876" s="56"/>
      <c r="X1876" s="51" t="str">
        <f t="shared" si="5"/>
        <v/>
      </c>
      <c r="Y1876" s="50" t="s">
        <v>482</v>
      </c>
      <c r="Z1876" s="49">
        <f t="shared" si="6"/>
        <v>0</v>
      </c>
    </row>
    <row r="1877" ht="22.5" customHeight="1">
      <c r="B1877" s="57"/>
      <c r="C1877" s="43" t="str">
        <f t="array" ref="C1877">IF(B1877="","",_xlfn.XLOOKUP(B1877,'Form responses 1'!$B$2:$B$2604,'Form responses 1'!$A$2:$A$2604,""))</f>
        <v/>
      </c>
      <c r="D1877" s="44" t="str">
        <f t="shared" si="3"/>
        <v/>
      </c>
      <c r="E1877" s="44" t="str">
        <f t="array" ref="E1877">IF(B1877="","",_xlfn.XLOOKUP(B1877,'Form responses 1'!$B$2:$B$2604,'Form responses 1'!$C$2:$C$2604,""))</f>
        <v/>
      </c>
      <c r="F1877" s="44" t="str">
        <f t="array" ref="F1877">IF(B1877="","",_xlfn.XLOOKUP(B1877,'Form responses 1'!$B$2:$B$2604,'Form responses 1'!$D$2:$D$2604,""))</f>
        <v/>
      </c>
      <c r="G1877" s="44" t="str">
        <f t="array" ref="G1877">IF(B1877="","",_xlfn.XLOOKUP(B1877,'Form responses 1'!$B$2:$B$2604,'Form responses 1'!$E$2:$E$2604,""))</f>
        <v/>
      </c>
      <c r="H1877" s="44" t="str">
        <f t="array" ref="H1877">IF(B1877="","",_xlfn.XLOOKUP(B1877,'Form responses 1'!$B$2:$B$2604,'Form responses 1'!$F$2:$F$2604,""))</f>
        <v/>
      </c>
      <c r="I1877" s="44" t="str">
        <f t="array" ref="I1877">IF(B1877="","",_xlfn.XLOOKUP(B1877,'Form responses 1'!$B$2:$B$2604,'Form responses 1'!$I$2:$I$2604,""))</f>
        <v/>
      </c>
      <c r="J1877" s="44" t="str">
        <f t="array" ref="J1877">IF(B1877="","",_xlfn.XLOOKUP(B1877,'Form responses 1'!$B$2:$B$2604,'Form responses 1'!$G$2:$G$2604,""))</f>
        <v/>
      </c>
      <c r="K1877" s="56"/>
      <c r="L1877" s="58" t="str">
        <f t="shared" si="7"/>
        <v/>
      </c>
      <c r="M1877" s="49"/>
      <c r="N1877" s="49"/>
      <c r="O1877" s="49"/>
      <c r="P1877" s="49"/>
      <c r="Q1877" s="49"/>
      <c r="R1877" s="49"/>
      <c r="S1877" s="49"/>
      <c r="T1877" s="49"/>
      <c r="U1877" s="49"/>
      <c r="V1877" s="49"/>
      <c r="W1877" s="56"/>
      <c r="X1877" s="51" t="str">
        <f t="shared" si="5"/>
        <v/>
      </c>
      <c r="Y1877" s="50" t="s">
        <v>482</v>
      </c>
      <c r="Z1877" s="49">
        <f t="shared" si="6"/>
        <v>0</v>
      </c>
    </row>
    <row r="1878" ht="22.5" customHeight="1">
      <c r="B1878" s="57"/>
      <c r="C1878" s="43" t="str">
        <f t="array" ref="C1878">IF(B1878="","",_xlfn.XLOOKUP(B1878,'Form responses 1'!$B$2:$B$2604,'Form responses 1'!$A$2:$A$2604,""))</f>
        <v/>
      </c>
      <c r="D1878" s="44" t="str">
        <f t="shared" si="3"/>
        <v/>
      </c>
      <c r="E1878" s="44" t="str">
        <f t="array" ref="E1878">IF(B1878="","",_xlfn.XLOOKUP(B1878,'Form responses 1'!$B$2:$B$2604,'Form responses 1'!$C$2:$C$2604,""))</f>
        <v/>
      </c>
      <c r="F1878" s="44" t="str">
        <f t="array" ref="F1878">IF(B1878="","",_xlfn.XLOOKUP(B1878,'Form responses 1'!$B$2:$B$2604,'Form responses 1'!$D$2:$D$2604,""))</f>
        <v/>
      </c>
      <c r="G1878" s="44" t="str">
        <f t="array" ref="G1878">IF(B1878="","",_xlfn.XLOOKUP(B1878,'Form responses 1'!$B$2:$B$2604,'Form responses 1'!$E$2:$E$2604,""))</f>
        <v/>
      </c>
      <c r="H1878" s="44" t="str">
        <f t="array" ref="H1878">IF(B1878="","",_xlfn.XLOOKUP(B1878,'Form responses 1'!$B$2:$B$2604,'Form responses 1'!$F$2:$F$2604,""))</f>
        <v/>
      </c>
      <c r="I1878" s="44" t="str">
        <f t="array" ref="I1878">IF(B1878="","",_xlfn.XLOOKUP(B1878,'Form responses 1'!$B$2:$B$2604,'Form responses 1'!$I$2:$I$2604,""))</f>
        <v/>
      </c>
      <c r="J1878" s="44" t="str">
        <f t="array" ref="J1878">IF(B1878="","",_xlfn.XLOOKUP(B1878,'Form responses 1'!$B$2:$B$2604,'Form responses 1'!$G$2:$G$2604,""))</f>
        <v/>
      </c>
      <c r="K1878" s="56"/>
      <c r="L1878" s="58" t="str">
        <f t="shared" si="7"/>
        <v/>
      </c>
      <c r="M1878" s="49"/>
      <c r="N1878" s="49"/>
      <c r="O1878" s="49"/>
      <c r="P1878" s="49"/>
      <c r="Q1878" s="49"/>
      <c r="R1878" s="49"/>
      <c r="S1878" s="49"/>
      <c r="T1878" s="49"/>
      <c r="U1878" s="49"/>
      <c r="V1878" s="49"/>
      <c r="W1878" s="56"/>
      <c r="X1878" s="51" t="str">
        <f t="shared" si="5"/>
        <v/>
      </c>
      <c r="Y1878" s="50" t="s">
        <v>482</v>
      </c>
      <c r="Z1878" s="49">
        <f t="shared" si="6"/>
        <v>0</v>
      </c>
    </row>
    <row r="1879" ht="22.5" customHeight="1">
      <c r="B1879" s="57"/>
      <c r="C1879" s="43" t="str">
        <f t="array" ref="C1879">IF(B1879="","",_xlfn.XLOOKUP(B1879,'Form responses 1'!$B$2:$B$2604,'Form responses 1'!$A$2:$A$2604,""))</f>
        <v/>
      </c>
      <c r="D1879" s="44" t="str">
        <f t="shared" si="3"/>
        <v/>
      </c>
      <c r="E1879" s="44" t="str">
        <f t="array" ref="E1879">IF(B1879="","",_xlfn.XLOOKUP(B1879,'Form responses 1'!$B$2:$B$2604,'Form responses 1'!$C$2:$C$2604,""))</f>
        <v/>
      </c>
      <c r="F1879" s="44" t="str">
        <f t="array" ref="F1879">IF(B1879="","",_xlfn.XLOOKUP(B1879,'Form responses 1'!$B$2:$B$2604,'Form responses 1'!$D$2:$D$2604,""))</f>
        <v/>
      </c>
      <c r="G1879" s="44" t="str">
        <f t="array" ref="G1879">IF(B1879="","",_xlfn.XLOOKUP(B1879,'Form responses 1'!$B$2:$B$2604,'Form responses 1'!$E$2:$E$2604,""))</f>
        <v/>
      </c>
      <c r="H1879" s="44" t="str">
        <f t="array" ref="H1879">IF(B1879="","",_xlfn.XLOOKUP(B1879,'Form responses 1'!$B$2:$B$2604,'Form responses 1'!$F$2:$F$2604,""))</f>
        <v/>
      </c>
      <c r="I1879" s="44" t="str">
        <f t="array" ref="I1879">IF(B1879="","",_xlfn.XLOOKUP(B1879,'Form responses 1'!$B$2:$B$2604,'Form responses 1'!$I$2:$I$2604,""))</f>
        <v/>
      </c>
      <c r="J1879" s="44" t="str">
        <f t="array" ref="J1879">IF(B1879="","",_xlfn.XLOOKUP(B1879,'Form responses 1'!$B$2:$B$2604,'Form responses 1'!$G$2:$G$2604,""))</f>
        <v/>
      </c>
      <c r="K1879" s="56"/>
      <c r="L1879" s="58" t="str">
        <f t="shared" si="7"/>
        <v/>
      </c>
      <c r="M1879" s="49"/>
      <c r="N1879" s="49"/>
      <c r="O1879" s="49"/>
      <c r="P1879" s="49"/>
      <c r="Q1879" s="49"/>
      <c r="R1879" s="49"/>
      <c r="S1879" s="49"/>
      <c r="T1879" s="49"/>
      <c r="U1879" s="49"/>
      <c r="V1879" s="49"/>
      <c r="W1879" s="56"/>
      <c r="X1879" s="51" t="str">
        <f t="shared" si="5"/>
        <v/>
      </c>
      <c r="Y1879" s="50" t="s">
        <v>482</v>
      </c>
      <c r="Z1879" s="49">
        <f t="shared" si="6"/>
        <v>0</v>
      </c>
    </row>
    <row r="1880" ht="22.5" customHeight="1">
      <c r="B1880" s="57"/>
      <c r="C1880" s="43" t="str">
        <f t="array" ref="C1880">IF(B1880="","",_xlfn.XLOOKUP(B1880,'Form responses 1'!$B$2:$B$2604,'Form responses 1'!$A$2:$A$2604,""))</f>
        <v/>
      </c>
      <c r="D1880" s="44" t="str">
        <f t="shared" si="3"/>
        <v/>
      </c>
      <c r="E1880" s="44" t="str">
        <f t="array" ref="E1880">IF(B1880="","",_xlfn.XLOOKUP(B1880,'Form responses 1'!$B$2:$B$2604,'Form responses 1'!$C$2:$C$2604,""))</f>
        <v/>
      </c>
      <c r="F1880" s="44" t="str">
        <f t="array" ref="F1880">IF(B1880="","",_xlfn.XLOOKUP(B1880,'Form responses 1'!$B$2:$B$2604,'Form responses 1'!$D$2:$D$2604,""))</f>
        <v/>
      </c>
      <c r="G1880" s="44" t="str">
        <f t="array" ref="G1880">IF(B1880="","",_xlfn.XLOOKUP(B1880,'Form responses 1'!$B$2:$B$2604,'Form responses 1'!$E$2:$E$2604,""))</f>
        <v/>
      </c>
      <c r="H1880" s="44" t="str">
        <f t="array" ref="H1880">IF(B1880="","",_xlfn.XLOOKUP(B1880,'Form responses 1'!$B$2:$B$2604,'Form responses 1'!$F$2:$F$2604,""))</f>
        <v/>
      </c>
      <c r="I1880" s="44" t="str">
        <f t="array" ref="I1880">IF(B1880="","",_xlfn.XLOOKUP(B1880,'Form responses 1'!$B$2:$B$2604,'Form responses 1'!$I$2:$I$2604,""))</f>
        <v/>
      </c>
      <c r="J1880" s="44" t="str">
        <f t="array" ref="J1880">IF(B1880="","",_xlfn.XLOOKUP(B1880,'Form responses 1'!$B$2:$B$2604,'Form responses 1'!$G$2:$G$2604,""))</f>
        <v/>
      </c>
      <c r="K1880" s="56"/>
      <c r="L1880" s="58" t="str">
        <f t="shared" si="7"/>
        <v/>
      </c>
      <c r="M1880" s="49"/>
      <c r="N1880" s="49"/>
      <c r="O1880" s="49"/>
      <c r="P1880" s="49"/>
      <c r="Q1880" s="49"/>
      <c r="R1880" s="49"/>
      <c r="S1880" s="49"/>
      <c r="T1880" s="49"/>
      <c r="U1880" s="49"/>
      <c r="V1880" s="49"/>
      <c r="W1880" s="56"/>
      <c r="X1880" s="51" t="str">
        <f t="shared" si="5"/>
        <v/>
      </c>
      <c r="Y1880" s="50" t="s">
        <v>482</v>
      </c>
      <c r="Z1880" s="49">
        <f t="shared" si="6"/>
        <v>0</v>
      </c>
    </row>
    <row r="1881" ht="22.5" customHeight="1">
      <c r="B1881" s="57"/>
      <c r="C1881" s="43" t="str">
        <f t="array" ref="C1881">IF(B1881="","",_xlfn.XLOOKUP(B1881,'Form responses 1'!$B$2:$B$2604,'Form responses 1'!$A$2:$A$2604,""))</f>
        <v/>
      </c>
      <c r="D1881" s="44" t="str">
        <f t="shared" si="3"/>
        <v/>
      </c>
      <c r="E1881" s="44" t="str">
        <f t="array" ref="E1881">IF(B1881="","",_xlfn.XLOOKUP(B1881,'Form responses 1'!$B$2:$B$2604,'Form responses 1'!$C$2:$C$2604,""))</f>
        <v/>
      </c>
      <c r="F1881" s="44" t="str">
        <f t="array" ref="F1881">IF(B1881="","",_xlfn.XLOOKUP(B1881,'Form responses 1'!$B$2:$B$2604,'Form responses 1'!$D$2:$D$2604,""))</f>
        <v/>
      </c>
      <c r="G1881" s="44" t="str">
        <f t="array" ref="G1881">IF(B1881="","",_xlfn.XLOOKUP(B1881,'Form responses 1'!$B$2:$B$2604,'Form responses 1'!$E$2:$E$2604,""))</f>
        <v/>
      </c>
      <c r="H1881" s="44" t="str">
        <f t="array" ref="H1881">IF(B1881="","",_xlfn.XLOOKUP(B1881,'Form responses 1'!$B$2:$B$2604,'Form responses 1'!$F$2:$F$2604,""))</f>
        <v/>
      </c>
      <c r="I1881" s="44" t="str">
        <f t="array" ref="I1881">IF(B1881="","",_xlfn.XLOOKUP(B1881,'Form responses 1'!$B$2:$B$2604,'Form responses 1'!$I$2:$I$2604,""))</f>
        <v/>
      </c>
      <c r="J1881" s="44" t="str">
        <f t="array" ref="J1881">IF(B1881="","",_xlfn.XLOOKUP(B1881,'Form responses 1'!$B$2:$B$2604,'Form responses 1'!$G$2:$G$2604,""))</f>
        <v/>
      </c>
      <c r="K1881" s="56"/>
      <c r="L1881" s="58" t="str">
        <f t="shared" si="7"/>
        <v/>
      </c>
      <c r="M1881" s="49"/>
      <c r="N1881" s="49"/>
      <c r="O1881" s="49"/>
      <c r="P1881" s="49"/>
      <c r="Q1881" s="49"/>
      <c r="R1881" s="49"/>
      <c r="S1881" s="49"/>
      <c r="T1881" s="49"/>
      <c r="U1881" s="49"/>
      <c r="V1881" s="49"/>
      <c r="W1881" s="56"/>
      <c r="X1881" s="51" t="str">
        <f t="shared" si="5"/>
        <v/>
      </c>
      <c r="Y1881" s="50" t="s">
        <v>482</v>
      </c>
      <c r="Z1881" s="49">
        <f t="shared" si="6"/>
        <v>0</v>
      </c>
    </row>
    <row r="1882" ht="22.5" customHeight="1">
      <c r="B1882" s="57"/>
      <c r="C1882" s="43" t="str">
        <f t="array" ref="C1882">IF(B1882="","",_xlfn.XLOOKUP(B1882,'Form responses 1'!$B$2:$B$2604,'Form responses 1'!$A$2:$A$2604,""))</f>
        <v/>
      </c>
      <c r="D1882" s="44" t="str">
        <f t="shared" si="3"/>
        <v/>
      </c>
      <c r="E1882" s="44" t="str">
        <f t="array" ref="E1882">IF(B1882="","",_xlfn.XLOOKUP(B1882,'Form responses 1'!$B$2:$B$2604,'Form responses 1'!$C$2:$C$2604,""))</f>
        <v/>
      </c>
      <c r="F1882" s="44" t="str">
        <f t="array" ref="F1882">IF(B1882="","",_xlfn.XLOOKUP(B1882,'Form responses 1'!$B$2:$B$2604,'Form responses 1'!$D$2:$D$2604,""))</f>
        <v/>
      </c>
      <c r="G1882" s="44" t="str">
        <f t="array" ref="G1882">IF(B1882="","",_xlfn.XLOOKUP(B1882,'Form responses 1'!$B$2:$B$2604,'Form responses 1'!$E$2:$E$2604,""))</f>
        <v/>
      </c>
      <c r="H1882" s="44" t="str">
        <f t="array" ref="H1882">IF(B1882="","",_xlfn.XLOOKUP(B1882,'Form responses 1'!$B$2:$B$2604,'Form responses 1'!$F$2:$F$2604,""))</f>
        <v/>
      </c>
      <c r="I1882" s="44" t="str">
        <f t="array" ref="I1882">IF(B1882="","",_xlfn.XLOOKUP(B1882,'Form responses 1'!$B$2:$B$2604,'Form responses 1'!$I$2:$I$2604,""))</f>
        <v/>
      </c>
      <c r="J1882" s="44" t="str">
        <f t="array" ref="J1882">IF(B1882="","",_xlfn.XLOOKUP(B1882,'Form responses 1'!$B$2:$B$2604,'Form responses 1'!$G$2:$G$2604,""))</f>
        <v/>
      </c>
      <c r="K1882" s="56"/>
      <c r="L1882" s="58" t="str">
        <f t="shared" si="7"/>
        <v/>
      </c>
      <c r="M1882" s="49"/>
      <c r="N1882" s="49"/>
      <c r="O1882" s="49"/>
      <c r="P1882" s="49"/>
      <c r="Q1882" s="49"/>
      <c r="R1882" s="49"/>
      <c r="S1882" s="49"/>
      <c r="T1882" s="49"/>
      <c r="U1882" s="49"/>
      <c r="V1882" s="49"/>
      <c r="W1882" s="56"/>
      <c r="X1882" s="51" t="str">
        <f t="shared" si="5"/>
        <v/>
      </c>
      <c r="Y1882" s="50" t="s">
        <v>482</v>
      </c>
      <c r="Z1882" s="49">
        <f t="shared" si="6"/>
        <v>0</v>
      </c>
    </row>
    <row r="1883" ht="22.5" customHeight="1">
      <c r="B1883" s="57"/>
      <c r="C1883" s="43" t="str">
        <f t="array" ref="C1883">IF(B1883="","",_xlfn.XLOOKUP(B1883,'Form responses 1'!$B$2:$B$2604,'Form responses 1'!$A$2:$A$2604,""))</f>
        <v/>
      </c>
      <c r="D1883" s="44" t="str">
        <f t="shared" si="3"/>
        <v/>
      </c>
      <c r="E1883" s="44" t="str">
        <f t="array" ref="E1883">IF(B1883="","",_xlfn.XLOOKUP(B1883,'Form responses 1'!$B$2:$B$2604,'Form responses 1'!$C$2:$C$2604,""))</f>
        <v/>
      </c>
      <c r="F1883" s="44" t="str">
        <f t="array" ref="F1883">IF(B1883="","",_xlfn.XLOOKUP(B1883,'Form responses 1'!$B$2:$B$2604,'Form responses 1'!$D$2:$D$2604,""))</f>
        <v/>
      </c>
      <c r="G1883" s="44" t="str">
        <f t="array" ref="G1883">IF(B1883="","",_xlfn.XLOOKUP(B1883,'Form responses 1'!$B$2:$B$2604,'Form responses 1'!$E$2:$E$2604,""))</f>
        <v/>
      </c>
      <c r="H1883" s="44" t="str">
        <f t="array" ref="H1883">IF(B1883="","",_xlfn.XLOOKUP(B1883,'Form responses 1'!$B$2:$B$2604,'Form responses 1'!$F$2:$F$2604,""))</f>
        <v/>
      </c>
      <c r="I1883" s="44" t="str">
        <f t="array" ref="I1883">IF(B1883="","",_xlfn.XLOOKUP(B1883,'Form responses 1'!$B$2:$B$2604,'Form responses 1'!$I$2:$I$2604,""))</f>
        <v/>
      </c>
      <c r="J1883" s="44" t="str">
        <f t="array" ref="J1883">IF(B1883="","",_xlfn.XLOOKUP(B1883,'Form responses 1'!$B$2:$B$2604,'Form responses 1'!$G$2:$G$2604,""))</f>
        <v/>
      </c>
      <c r="K1883" s="56"/>
      <c r="L1883" s="58" t="str">
        <f t="shared" si="7"/>
        <v/>
      </c>
      <c r="M1883" s="49"/>
      <c r="N1883" s="49"/>
      <c r="O1883" s="49"/>
      <c r="P1883" s="49"/>
      <c r="Q1883" s="49"/>
      <c r="R1883" s="49"/>
      <c r="S1883" s="49"/>
      <c r="T1883" s="49"/>
      <c r="U1883" s="49"/>
      <c r="V1883" s="49"/>
      <c r="W1883" s="56"/>
      <c r="X1883" s="51" t="str">
        <f t="shared" si="5"/>
        <v/>
      </c>
      <c r="Y1883" s="50" t="s">
        <v>482</v>
      </c>
      <c r="Z1883" s="49">
        <f t="shared" si="6"/>
        <v>0</v>
      </c>
    </row>
    <row r="1884" ht="22.5" customHeight="1">
      <c r="B1884" s="57"/>
      <c r="C1884" s="43" t="str">
        <f t="array" ref="C1884">IF(B1884="","",_xlfn.XLOOKUP(B1884,'Form responses 1'!$B$2:$B$2604,'Form responses 1'!$A$2:$A$2604,""))</f>
        <v/>
      </c>
      <c r="D1884" s="44" t="str">
        <f t="shared" si="3"/>
        <v/>
      </c>
      <c r="E1884" s="44" t="str">
        <f t="array" ref="E1884">IF(B1884="","",_xlfn.XLOOKUP(B1884,'Form responses 1'!$B$2:$B$2604,'Form responses 1'!$C$2:$C$2604,""))</f>
        <v/>
      </c>
      <c r="F1884" s="44" t="str">
        <f t="array" ref="F1884">IF(B1884="","",_xlfn.XLOOKUP(B1884,'Form responses 1'!$B$2:$B$2604,'Form responses 1'!$D$2:$D$2604,""))</f>
        <v/>
      </c>
      <c r="G1884" s="44" t="str">
        <f t="array" ref="G1884">IF(B1884="","",_xlfn.XLOOKUP(B1884,'Form responses 1'!$B$2:$B$2604,'Form responses 1'!$E$2:$E$2604,""))</f>
        <v/>
      </c>
      <c r="H1884" s="44" t="str">
        <f t="array" ref="H1884">IF(B1884="","",_xlfn.XLOOKUP(B1884,'Form responses 1'!$B$2:$B$2604,'Form responses 1'!$F$2:$F$2604,""))</f>
        <v/>
      </c>
      <c r="I1884" s="44" t="str">
        <f t="array" ref="I1884">IF(B1884="","",_xlfn.XLOOKUP(B1884,'Form responses 1'!$B$2:$B$2604,'Form responses 1'!$I$2:$I$2604,""))</f>
        <v/>
      </c>
      <c r="J1884" s="44" t="str">
        <f t="array" ref="J1884">IF(B1884="","",_xlfn.XLOOKUP(B1884,'Form responses 1'!$B$2:$B$2604,'Form responses 1'!$G$2:$G$2604,""))</f>
        <v/>
      </c>
      <c r="K1884" s="56"/>
      <c r="L1884" s="58" t="str">
        <f t="shared" si="7"/>
        <v/>
      </c>
      <c r="M1884" s="49"/>
      <c r="N1884" s="49"/>
      <c r="O1884" s="49"/>
      <c r="P1884" s="49"/>
      <c r="Q1884" s="49"/>
      <c r="R1884" s="49"/>
      <c r="S1884" s="49"/>
      <c r="T1884" s="49"/>
      <c r="U1884" s="49"/>
      <c r="V1884" s="49"/>
      <c r="W1884" s="56"/>
      <c r="X1884" s="51" t="str">
        <f t="shared" si="5"/>
        <v/>
      </c>
      <c r="Y1884" s="50" t="s">
        <v>482</v>
      </c>
      <c r="Z1884" s="49">
        <f t="shared" si="6"/>
        <v>0</v>
      </c>
    </row>
    <row r="1885" ht="22.5" customHeight="1">
      <c r="B1885" s="57"/>
      <c r="C1885" s="43" t="str">
        <f t="array" ref="C1885">IF(B1885="","",_xlfn.XLOOKUP(B1885,'Form responses 1'!$B$2:$B$2604,'Form responses 1'!$A$2:$A$2604,""))</f>
        <v/>
      </c>
      <c r="D1885" s="44" t="str">
        <f t="shared" si="3"/>
        <v/>
      </c>
      <c r="E1885" s="44" t="str">
        <f t="array" ref="E1885">IF(B1885="","",_xlfn.XLOOKUP(B1885,'Form responses 1'!$B$2:$B$2604,'Form responses 1'!$C$2:$C$2604,""))</f>
        <v/>
      </c>
      <c r="F1885" s="44" t="str">
        <f t="array" ref="F1885">IF(B1885="","",_xlfn.XLOOKUP(B1885,'Form responses 1'!$B$2:$B$2604,'Form responses 1'!$D$2:$D$2604,""))</f>
        <v/>
      </c>
      <c r="G1885" s="44" t="str">
        <f t="array" ref="G1885">IF(B1885="","",_xlfn.XLOOKUP(B1885,'Form responses 1'!$B$2:$B$2604,'Form responses 1'!$E$2:$E$2604,""))</f>
        <v/>
      </c>
      <c r="H1885" s="44" t="str">
        <f t="array" ref="H1885">IF(B1885="","",_xlfn.XLOOKUP(B1885,'Form responses 1'!$B$2:$B$2604,'Form responses 1'!$F$2:$F$2604,""))</f>
        <v/>
      </c>
      <c r="I1885" s="44" t="str">
        <f t="array" ref="I1885">IF(B1885="","",_xlfn.XLOOKUP(B1885,'Form responses 1'!$B$2:$B$2604,'Form responses 1'!$I$2:$I$2604,""))</f>
        <v/>
      </c>
      <c r="J1885" s="44" t="str">
        <f t="array" ref="J1885">IF(B1885="","",_xlfn.XLOOKUP(B1885,'Form responses 1'!$B$2:$B$2604,'Form responses 1'!$G$2:$G$2604,""))</f>
        <v/>
      </c>
      <c r="K1885" s="56"/>
      <c r="L1885" s="58" t="str">
        <f t="shared" si="7"/>
        <v/>
      </c>
      <c r="M1885" s="49"/>
      <c r="N1885" s="49"/>
      <c r="O1885" s="49"/>
      <c r="P1885" s="49"/>
      <c r="Q1885" s="49"/>
      <c r="R1885" s="49"/>
      <c r="S1885" s="49"/>
      <c r="T1885" s="49"/>
      <c r="U1885" s="49"/>
      <c r="V1885" s="49"/>
      <c r="W1885" s="56"/>
      <c r="X1885" s="51" t="str">
        <f t="shared" si="5"/>
        <v/>
      </c>
      <c r="Y1885" s="50" t="s">
        <v>482</v>
      </c>
      <c r="Z1885" s="49">
        <f t="shared" si="6"/>
        <v>0</v>
      </c>
    </row>
    <row r="1886" ht="22.5" customHeight="1">
      <c r="B1886" s="57"/>
      <c r="C1886" s="43" t="str">
        <f t="array" ref="C1886">IF(B1886="","",_xlfn.XLOOKUP(B1886,'Form responses 1'!$B$2:$B$2604,'Form responses 1'!$A$2:$A$2604,""))</f>
        <v/>
      </c>
      <c r="D1886" s="44" t="str">
        <f t="shared" si="3"/>
        <v/>
      </c>
      <c r="E1886" s="44" t="str">
        <f t="array" ref="E1886">IF(B1886="","",_xlfn.XLOOKUP(B1886,'Form responses 1'!$B$2:$B$2604,'Form responses 1'!$C$2:$C$2604,""))</f>
        <v/>
      </c>
      <c r="F1886" s="44" t="str">
        <f t="array" ref="F1886">IF(B1886="","",_xlfn.XLOOKUP(B1886,'Form responses 1'!$B$2:$B$2604,'Form responses 1'!$D$2:$D$2604,""))</f>
        <v/>
      </c>
      <c r="G1886" s="44" t="str">
        <f t="array" ref="G1886">IF(B1886="","",_xlfn.XLOOKUP(B1886,'Form responses 1'!$B$2:$B$2604,'Form responses 1'!$E$2:$E$2604,""))</f>
        <v/>
      </c>
      <c r="H1886" s="44" t="str">
        <f t="array" ref="H1886">IF(B1886="","",_xlfn.XLOOKUP(B1886,'Form responses 1'!$B$2:$B$2604,'Form responses 1'!$F$2:$F$2604,""))</f>
        <v/>
      </c>
      <c r="I1886" s="44" t="str">
        <f t="array" ref="I1886">IF(B1886="","",_xlfn.XLOOKUP(B1886,'Form responses 1'!$B$2:$B$2604,'Form responses 1'!$I$2:$I$2604,""))</f>
        <v/>
      </c>
      <c r="J1886" s="44" t="str">
        <f t="array" ref="J1886">IF(B1886="","",_xlfn.XLOOKUP(B1886,'Form responses 1'!$B$2:$B$2604,'Form responses 1'!$G$2:$G$2604,""))</f>
        <v/>
      </c>
      <c r="K1886" s="56"/>
      <c r="L1886" s="58" t="str">
        <f t="shared" si="7"/>
        <v/>
      </c>
      <c r="M1886" s="49"/>
      <c r="N1886" s="49"/>
      <c r="O1886" s="49"/>
      <c r="P1886" s="49"/>
      <c r="Q1886" s="49"/>
      <c r="R1886" s="49"/>
      <c r="S1886" s="49"/>
      <c r="T1886" s="49"/>
      <c r="U1886" s="49"/>
      <c r="V1886" s="49"/>
      <c r="W1886" s="56"/>
      <c r="X1886" s="51" t="str">
        <f t="shared" si="5"/>
        <v/>
      </c>
      <c r="Y1886" s="50" t="s">
        <v>482</v>
      </c>
      <c r="Z1886" s="49">
        <f t="shared" si="6"/>
        <v>0</v>
      </c>
    </row>
    <row r="1887" ht="22.5" customHeight="1">
      <c r="B1887" s="57"/>
      <c r="C1887" s="43" t="str">
        <f t="array" ref="C1887">IF(B1887="","",_xlfn.XLOOKUP(B1887,'Form responses 1'!$B$2:$B$2604,'Form responses 1'!$A$2:$A$2604,""))</f>
        <v/>
      </c>
      <c r="D1887" s="44" t="str">
        <f t="shared" si="3"/>
        <v/>
      </c>
      <c r="E1887" s="44" t="str">
        <f t="array" ref="E1887">IF(B1887="","",_xlfn.XLOOKUP(B1887,'Form responses 1'!$B$2:$B$2604,'Form responses 1'!$C$2:$C$2604,""))</f>
        <v/>
      </c>
      <c r="F1887" s="44" t="str">
        <f t="array" ref="F1887">IF(B1887="","",_xlfn.XLOOKUP(B1887,'Form responses 1'!$B$2:$B$2604,'Form responses 1'!$D$2:$D$2604,""))</f>
        <v/>
      </c>
      <c r="G1887" s="44" t="str">
        <f t="array" ref="G1887">IF(B1887="","",_xlfn.XLOOKUP(B1887,'Form responses 1'!$B$2:$B$2604,'Form responses 1'!$E$2:$E$2604,""))</f>
        <v/>
      </c>
      <c r="H1887" s="44" t="str">
        <f t="array" ref="H1887">IF(B1887="","",_xlfn.XLOOKUP(B1887,'Form responses 1'!$B$2:$B$2604,'Form responses 1'!$F$2:$F$2604,""))</f>
        <v/>
      </c>
      <c r="I1887" s="44" t="str">
        <f t="array" ref="I1887">IF(B1887="","",_xlfn.XLOOKUP(B1887,'Form responses 1'!$B$2:$B$2604,'Form responses 1'!$I$2:$I$2604,""))</f>
        <v/>
      </c>
      <c r="J1887" s="44" t="str">
        <f t="array" ref="J1887">IF(B1887="","",_xlfn.XLOOKUP(B1887,'Form responses 1'!$B$2:$B$2604,'Form responses 1'!$G$2:$G$2604,""))</f>
        <v/>
      </c>
      <c r="K1887" s="56"/>
      <c r="L1887" s="58" t="str">
        <f t="shared" si="7"/>
        <v/>
      </c>
      <c r="M1887" s="49"/>
      <c r="N1887" s="49"/>
      <c r="O1887" s="49"/>
      <c r="P1887" s="49"/>
      <c r="Q1887" s="49"/>
      <c r="R1887" s="49"/>
      <c r="S1887" s="49"/>
      <c r="T1887" s="49"/>
      <c r="U1887" s="49"/>
      <c r="V1887" s="49"/>
      <c r="W1887" s="56"/>
      <c r="X1887" s="51" t="str">
        <f t="shared" si="5"/>
        <v/>
      </c>
      <c r="Y1887" s="50" t="s">
        <v>482</v>
      </c>
      <c r="Z1887" s="49">
        <f t="shared" si="6"/>
        <v>0</v>
      </c>
    </row>
    <row r="1888" ht="22.5" customHeight="1">
      <c r="B1888" s="57"/>
      <c r="C1888" s="43" t="str">
        <f t="array" ref="C1888">IF(B1888="","",_xlfn.XLOOKUP(B1888,'Form responses 1'!$B$2:$B$2604,'Form responses 1'!$A$2:$A$2604,""))</f>
        <v/>
      </c>
      <c r="D1888" s="44" t="str">
        <f t="shared" si="3"/>
        <v/>
      </c>
      <c r="E1888" s="44" t="str">
        <f t="array" ref="E1888">IF(B1888="","",_xlfn.XLOOKUP(B1888,'Form responses 1'!$B$2:$B$2604,'Form responses 1'!$C$2:$C$2604,""))</f>
        <v/>
      </c>
      <c r="F1888" s="44" t="str">
        <f t="array" ref="F1888">IF(B1888="","",_xlfn.XLOOKUP(B1888,'Form responses 1'!$B$2:$B$2604,'Form responses 1'!$D$2:$D$2604,""))</f>
        <v/>
      </c>
      <c r="G1888" s="44" t="str">
        <f t="array" ref="G1888">IF(B1888="","",_xlfn.XLOOKUP(B1888,'Form responses 1'!$B$2:$B$2604,'Form responses 1'!$E$2:$E$2604,""))</f>
        <v/>
      </c>
      <c r="H1888" s="44" t="str">
        <f t="array" ref="H1888">IF(B1888="","",_xlfn.XLOOKUP(B1888,'Form responses 1'!$B$2:$B$2604,'Form responses 1'!$F$2:$F$2604,""))</f>
        <v/>
      </c>
      <c r="I1888" s="44" t="str">
        <f t="array" ref="I1888">IF(B1888="","",_xlfn.XLOOKUP(B1888,'Form responses 1'!$B$2:$B$2604,'Form responses 1'!$I$2:$I$2604,""))</f>
        <v/>
      </c>
      <c r="J1888" s="44" t="str">
        <f t="array" ref="J1888">IF(B1888="","",_xlfn.XLOOKUP(B1888,'Form responses 1'!$B$2:$B$2604,'Form responses 1'!$G$2:$G$2604,""))</f>
        <v/>
      </c>
      <c r="K1888" s="56"/>
      <c r="L1888" s="58" t="str">
        <f t="shared" si="7"/>
        <v/>
      </c>
      <c r="M1888" s="49"/>
      <c r="N1888" s="49"/>
      <c r="O1888" s="49"/>
      <c r="P1888" s="49"/>
      <c r="Q1888" s="49"/>
      <c r="R1888" s="49"/>
      <c r="S1888" s="49"/>
      <c r="T1888" s="49"/>
      <c r="U1888" s="49"/>
      <c r="V1888" s="49"/>
      <c r="W1888" s="56"/>
      <c r="X1888" s="51" t="str">
        <f t="shared" si="5"/>
        <v/>
      </c>
      <c r="Y1888" s="50" t="s">
        <v>482</v>
      </c>
      <c r="Z1888" s="49">
        <f t="shared" si="6"/>
        <v>0</v>
      </c>
    </row>
    <row r="1889" ht="22.5" customHeight="1">
      <c r="B1889" s="57"/>
      <c r="C1889" s="43" t="str">
        <f t="array" ref="C1889">IF(B1889="","",_xlfn.XLOOKUP(B1889,'Form responses 1'!$B$2:$B$2604,'Form responses 1'!$A$2:$A$2604,""))</f>
        <v/>
      </c>
      <c r="D1889" s="44" t="str">
        <f t="shared" si="3"/>
        <v/>
      </c>
      <c r="E1889" s="44" t="str">
        <f t="array" ref="E1889">IF(B1889="","",_xlfn.XLOOKUP(B1889,'Form responses 1'!$B$2:$B$2604,'Form responses 1'!$C$2:$C$2604,""))</f>
        <v/>
      </c>
      <c r="F1889" s="44" t="str">
        <f t="array" ref="F1889">IF(B1889="","",_xlfn.XLOOKUP(B1889,'Form responses 1'!$B$2:$B$2604,'Form responses 1'!$D$2:$D$2604,""))</f>
        <v/>
      </c>
      <c r="G1889" s="44" t="str">
        <f t="array" ref="G1889">IF(B1889="","",_xlfn.XLOOKUP(B1889,'Form responses 1'!$B$2:$B$2604,'Form responses 1'!$E$2:$E$2604,""))</f>
        <v/>
      </c>
      <c r="H1889" s="44" t="str">
        <f t="array" ref="H1889">IF(B1889="","",_xlfn.XLOOKUP(B1889,'Form responses 1'!$B$2:$B$2604,'Form responses 1'!$F$2:$F$2604,""))</f>
        <v/>
      </c>
      <c r="I1889" s="44" t="str">
        <f t="array" ref="I1889">IF(B1889="","",_xlfn.XLOOKUP(B1889,'Form responses 1'!$B$2:$B$2604,'Form responses 1'!$I$2:$I$2604,""))</f>
        <v/>
      </c>
      <c r="J1889" s="44" t="str">
        <f t="array" ref="J1889">IF(B1889="","",_xlfn.XLOOKUP(B1889,'Form responses 1'!$B$2:$B$2604,'Form responses 1'!$G$2:$G$2604,""))</f>
        <v/>
      </c>
      <c r="K1889" s="56"/>
      <c r="L1889" s="58" t="str">
        <f t="shared" si="7"/>
        <v/>
      </c>
      <c r="M1889" s="49"/>
      <c r="N1889" s="49"/>
      <c r="O1889" s="49"/>
      <c r="P1889" s="49"/>
      <c r="Q1889" s="49"/>
      <c r="R1889" s="49"/>
      <c r="S1889" s="49"/>
      <c r="T1889" s="49"/>
      <c r="U1889" s="49"/>
      <c r="V1889" s="49"/>
      <c r="W1889" s="56"/>
      <c r="X1889" s="51" t="str">
        <f t="shared" si="5"/>
        <v/>
      </c>
      <c r="Y1889" s="50" t="s">
        <v>482</v>
      </c>
      <c r="Z1889" s="49">
        <f t="shared" si="6"/>
        <v>0</v>
      </c>
    </row>
    <row r="1890" ht="22.5" customHeight="1">
      <c r="B1890" s="57"/>
      <c r="C1890" s="43" t="str">
        <f t="array" ref="C1890">IF(B1890="","",_xlfn.XLOOKUP(B1890,'Form responses 1'!$B$2:$B$2604,'Form responses 1'!$A$2:$A$2604,""))</f>
        <v/>
      </c>
      <c r="D1890" s="44" t="str">
        <f t="shared" si="3"/>
        <v/>
      </c>
      <c r="E1890" s="44" t="str">
        <f t="array" ref="E1890">IF(B1890="","",_xlfn.XLOOKUP(B1890,'Form responses 1'!$B$2:$B$2604,'Form responses 1'!$C$2:$C$2604,""))</f>
        <v/>
      </c>
      <c r="F1890" s="44" t="str">
        <f t="array" ref="F1890">IF(B1890="","",_xlfn.XLOOKUP(B1890,'Form responses 1'!$B$2:$B$2604,'Form responses 1'!$D$2:$D$2604,""))</f>
        <v/>
      </c>
      <c r="G1890" s="44" t="str">
        <f t="array" ref="G1890">IF(B1890="","",_xlfn.XLOOKUP(B1890,'Form responses 1'!$B$2:$B$2604,'Form responses 1'!$E$2:$E$2604,""))</f>
        <v/>
      </c>
      <c r="H1890" s="44" t="str">
        <f t="array" ref="H1890">IF(B1890="","",_xlfn.XLOOKUP(B1890,'Form responses 1'!$B$2:$B$2604,'Form responses 1'!$F$2:$F$2604,""))</f>
        <v/>
      </c>
      <c r="I1890" s="44" t="str">
        <f t="array" ref="I1890">IF(B1890="","",_xlfn.XLOOKUP(B1890,'Form responses 1'!$B$2:$B$2604,'Form responses 1'!$I$2:$I$2604,""))</f>
        <v/>
      </c>
      <c r="J1890" s="44" t="str">
        <f t="array" ref="J1890">IF(B1890="","",_xlfn.XLOOKUP(B1890,'Form responses 1'!$B$2:$B$2604,'Form responses 1'!$G$2:$G$2604,""))</f>
        <v/>
      </c>
      <c r="K1890" s="56"/>
      <c r="L1890" s="58" t="str">
        <f t="shared" si="7"/>
        <v/>
      </c>
      <c r="M1890" s="49"/>
      <c r="N1890" s="49"/>
      <c r="O1890" s="49"/>
      <c r="P1890" s="49"/>
      <c r="Q1890" s="49"/>
      <c r="R1890" s="49"/>
      <c r="S1890" s="49"/>
      <c r="T1890" s="49"/>
      <c r="U1890" s="49"/>
      <c r="V1890" s="49"/>
      <c r="W1890" s="56"/>
      <c r="X1890" s="51" t="str">
        <f t="shared" si="5"/>
        <v/>
      </c>
      <c r="Y1890" s="50" t="s">
        <v>482</v>
      </c>
      <c r="Z1890" s="49">
        <f t="shared" si="6"/>
        <v>0</v>
      </c>
    </row>
    <row r="1891" ht="22.5" customHeight="1">
      <c r="B1891" s="57"/>
      <c r="C1891" s="43" t="str">
        <f t="array" ref="C1891">IF(B1891="","",_xlfn.XLOOKUP(B1891,'Form responses 1'!$B$2:$B$2604,'Form responses 1'!$A$2:$A$2604,""))</f>
        <v/>
      </c>
      <c r="D1891" s="44" t="str">
        <f t="shared" si="3"/>
        <v/>
      </c>
      <c r="E1891" s="44" t="str">
        <f t="array" ref="E1891">IF(B1891="","",_xlfn.XLOOKUP(B1891,'Form responses 1'!$B$2:$B$2604,'Form responses 1'!$C$2:$C$2604,""))</f>
        <v/>
      </c>
      <c r="F1891" s="44" t="str">
        <f t="array" ref="F1891">IF(B1891="","",_xlfn.XLOOKUP(B1891,'Form responses 1'!$B$2:$B$2604,'Form responses 1'!$D$2:$D$2604,""))</f>
        <v/>
      </c>
      <c r="G1891" s="44" t="str">
        <f t="array" ref="G1891">IF(B1891="","",_xlfn.XLOOKUP(B1891,'Form responses 1'!$B$2:$B$2604,'Form responses 1'!$E$2:$E$2604,""))</f>
        <v/>
      </c>
      <c r="H1891" s="44" t="str">
        <f t="array" ref="H1891">IF(B1891="","",_xlfn.XLOOKUP(B1891,'Form responses 1'!$B$2:$B$2604,'Form responses 1'!$F$2:$F$2604,""))</f>
        <v/>
      </c>
      <c r="I1891" s="44" t="str">
        <f t="array" ref="I1891">IF(B1891="","",_xlfn.XLOOKUP(B1891,'Form responses 1'!$B$2:$B$2604,'Form responses 1'!$I$2:$I$2604,""))</f>
        <v/>
      </c>
      <c r="J1891" s="44" t="str">
        <f t="array" ref="J1891">IF(B1891="","",_xlfn.XLOOKUP(B1891,'Form responses 1'!$B$2:$B$2604,'Form responses 1'!$G$2:$G$2604,""))</f>
        <v/>
      </c>
      <c r="K1891" s="56"/>
      <c r="L1891" s="58" t="str">
        <f t="shared" si="7"/>
        <v/>
      </c>
      <c r="M1891" s="49"/>
      <c r="N1891" s="49"/>
      <c r="O1891" s="49"/>
      <c r="P1891" s="49"/>
      <c r="Q1891" s="49"/>
      <c r="R1891" s="49"/>
      <c r="S1891" s="49"/>
      <c r="T1891" s="49"/>
      <c r="U1891" s="49"/>
      <c r="V1891" s="49"/>
      <c r="W1891" s="56"/>
      <c r="X1891" s="51" t="str">
        <f t="shared" si="5"/>
        <v/>
      </c>
      <c r="Y1891" s="50" t="s">
        <v>482</v>
      </c>
      <c r="Z1891" s="49">
        <f t="shared" si="6"/>
        <v>0</v>
      </c>
    </row>
    <row r="1892" ht="22.5" customHeight="1">
      <c r="B1892" s="57"/>
      <c r="C1892" s="43" t="str">
        <f t="array" ref="C1892">IF(B1892="","",_xlfn.XLOOKUP(B1892,'Form responses 1'!$B$2:$B$2604,'Form responses 1'!$A$2:$A$2604,""))</f>
        <v/>
      </c>
      <c r="D1892" s="44" t="str">
        <f t="shared" si="3"/>
        <v/>
      </c>
      <c r="E1892" s="44" t="str">
        <f t="array" ref="E1892">IF(B1892="","",_xlfn.XLOOKUP(B1892,'Form responses 1'!$B$2:$B$2604,'Form responses 1'!$C$2:$C$2604,""))</f>
        <v/>
      </c>
      <c r="F1892" s="44" t="str">
        <f t="array" ref="F1892">IF(B1892="","",_xlfn.XLOOKUP(B1892,'Form responses 1'!$B$2:$B$2604,'Form responses 1'!$D$2:$D$2604,""))</f>
        <v/>
      </c>
      <c r="G1892" s="44" t="str">
        <f t="array" ref="G1892">IF(B1892="","",_xlfn.XLOOKUP(B1892,'Form responses 1'!$B$2:$B$2604,'Form responses 1'!$E$2:$E$2604,""))</f>
        <v/>
      </c>
      <c r="H1892" s="44" t="str">
        <f t="array" ref="H1892">IF(B1892="","",_xlfn.XLOOKUP(B1892,'Form responses 1'!$B$2:$B$2604,'Form responses 1'!$F$2:$F$2604,""))</f>
        <v/>
      </c>
      <c r="I1892" s="44" t="str">
        <f t="array" ref="I1892">IF(B1892="","",_xlfn.XLOOKUP(B1892,'Form responses 1'!$B$2:$B$2604,'Form responses 1'!$I$2:$I$2604,""))</f>
        <v/>
      </c>
      <c r="J1892" s="44" t="str">
        <f t="array" ref="J1892">IF(B1892="","",_xlfn.XLOOKUP(B1892,'Form responses 1'!$B$2:$B$2604,'Form responses 1'!$G$2:$G$2604,""))</f>
        <v/>
      </c>
      <c r="K1892" s="56"/>
      <c r="L1892" s="58" t="str">
        <f t="shared" si="7"/>
        <v/>
      </c>
      <c r="M1892" s="49"/>
      <c r="N1892" s="49"/>
      <c r="O1892" s="49"/>
      <c r="P1892" s="49"/>
      <c r="Q1892" s="49"/>
      <c r="R1892" s="49"/>
      <c r="S1892" s="49"/>
      <c r="T1892" s="49"/>
      <c r="U1892" s="49"/>
      <c r="V1892" s="49"/>
      <c r="W1892" s="56"/>
      <c r="X1892" s="51" t="str">
        <f t="shared" si="5"/>
        <v/>
      </c>
      <c r="Y1892" s="50" t="s">
        <v>482</v>
      </c>
      <c r="Z1892" s="49">
        <f t="shared" si="6"/>
        <v>0</v>
      </c>
    </row>
    <row r="1893" ht="22.5" customHeight="1">
      <c r="B1893" s="57"/>
      <c r="C1893" s="43" t="str">
        <f t="array" ref="C1893">IF(B1893="","",_xlfn.XLOOKUP(B1893,'Form responses 1'!$B$2:$B$2604,'Form responses 1'!$A$2:$A$2604,""))</f>
        <v/>
      </c>
      <c r="D1893" s="44" t="str">
        <f t="shared" si="3"/>
        <v/>
      </c>
      <c r="E1893" s="44" t="str">
        <f t="array" ref="E1893">IF(B1893="","",_xlfn.XLOOKUP(B1893,'Form responses 1'!$B$2:$B$2604,'Form responses 1'!$C$2:$C$2604,""))</f>
        <v/>
      </c>
      <c r="F1893" s="44" t="str">
        <f t="array" ref="F1893">IF(B1893="","",_xlfn.XLOOKUP(B1893,'Form responses 1'!$B$2:$B$2604,'Form responses 1'!$D$2:$D$2604,""))</f>
        <v/>
      </c>
      <c r="G1893" s="44" t="str">
        <f t="array" ref="G1893">IF(B1893="","",_xlfn.XLOOKUP(B1893,'Form responses 1'!$B$2:$B$2604,'Form responses 1'!$E$2:$E$2604,""))</f>
        <v/>
      </c>
      <c r="H1893" s="44" t="str">
        <f t="array" ref="H1893">IF(B1893="","",_xlfn.XLOOKUP(B1893,'Form responses 1'!$B$2:$B$2604,'Form responses 1'!$F$2:$F$2604,""))</f>
        <v/>
      </c>
      <c r="I1893" s="44" t="str">
        <f t="array" ref="I1893">IF(B1893="","",_xlfn.XLOOKUP(B1893,'Form responses 1'!$B$2:$B$2604,'Form responses 1'!$I$2:$I$2604,""))</f>
        <v/>
      </c>
      <c r="J1893" s="44" t="str">
        <f t="array" ref="J1893">IF(B1893="","",_xlfn.XLOOKUP(B1893,'Form responses 1'!$B$2:$B$2604,'Form responses 1'!$G$2:$G$2604,""))</f>
        <v/>
      </c>
      <c r="K1893" s="56"/>
      <c r="L1893" s="58" t="str">
        <f t="shared" si="7"/>
        <v/>
      </c>
      <c r="M1893" s="49"/>
      <c r="N1893" s="49"/>
      <c r="O1893" s="49"/>
      <c r="P1893" s="49"/>
      <c r="Q1893" s="49"/>
      <c r="R1893" s="49"/>
      <c r="S1893" s="49"/>
      <c r="T1893" s="49"/>
      <c r="U1893" s="49"/>
      <c r="V1893" s="49"/>
      <c r="W1893" s="56"/>
      <c r="X1893" s="51" t="str">
        <f t="shared" si="5"/>
        <v/>
      </c>
      <c r="Y1893" s="50" t="s">
        <v>482</v>
      </c>
      <c r="Z1893" s="49">
        <f t="shared" si="6"/>
        <v>0</v>
      </c>
    </row>
    <row r="1894" ht="22.5" customHeight="1">
      <c r="B1894" s="57"/>
      <c r="C1894" s="43" t="str">
        <f t="array" ref="C1894">IF(B1894="","",_xlfn.XLOOKUP(B1894,'Form responses 1'!$B$2:$B$2604,'Form responses 1'!$A$2:$A$2604,""))</f>
        <v/>
      </c>
      <c r="D1894" s="44" t="str">
        <f t="shared" si="3"/>
        <v/>
      </c>
      <c r="E1894" s="44" t="str">
        <f t="array" ref="E1894">IF(B1894="","",_xlfn.XLOOKUP(B1894,'Form responses 1'!$B$2:$B$2604,'Form responses 1'!$C$2:$C$2604,""))</f>
        <v/>
      </c>
      <c r="F1894" s="44" t="str">
        <f t="array" ref="F1894">IF(B1894="","",_xlfn.XLOOKUP(B1894,'Form responses 1'!$B$2:$B$2604,'Form responses 1'!$D$2:$D$2604,""))</f>
        <v/>
      </c>
      <c r="G1894" s="44" t="str">
        <f t="array" ref="G1894">IF(B1894="","",_xlfn.XLOOKUP(B1894,'Form responses 1'!$B$2:$B$2604,'Form responses 1'!$E$2:$E$2604,""))</f>
        <v/>
      </c>
      <c r="H1894" s="44" t="str">
        <f t="array" ref="H1894">IF(B1894="","",_xlfn.XLOOKUP(B1894,'Form responses 1'!$B$2:$B$2604,'Form responses 1'!$F$2:$F$2604,""))</f>
        <v/>
      </c>
      <c r="I1894" s="44" t="str">
        <f t="array" ref="I1894">IF(B1894="","",_xlfn.XLOOKUP(B1894,'Form responses 1'!$B$2:$B$2604,'Form responses 1'!$I$2:$I$2604,""))</f>
        <v/>
      </c>
      <c r="J1894" s="44" t="str">
        <f t="array" ref="J1894">IF(B1894="","",_xlfn.XLOOKUP(B1894,'Form responses 1'!$B$2:$B$2604,'Form responses 1'!$G$2:$G$2604,""))</f>
        <v/>
      </c>
      <c r="K1894" s="56"/>
      <c r="L1894" s="58" t="str">
        <f t="shared" si="7"/>
        <v/>
      </c>
      <c r="M1894" s="49"/>
      <c r="N1894" s="49"/>
      <c r="O1894" s="49"/>
      <c r="P1894" s="49"/>
      <c r="Q1894" s="49"/>
      <c r="R1894" s="49"/>
      <c r="S1894" s="49"/>
      <c r="T1894" s="49"/>
      <c r="U1894" s="49"/>
      <c r="V1894" s="49"/>
      <c r="W1894" s="56"/>
      <c r="X1894" s="51" t="str">
        <f t="shared" si="5"/>
        <v/>
      </c>
      <c r="Y1894" s="50" t="s">
        <v>482</v>
      </c>
      <c r="Z1894" s="49">
        <f t="shared" si="6"/>
        <v>0</v>
      </c>
    </row>
    <row r="1895" ht="22.5" customHeight="1">
      <c r="B1895" s="57"/>
      <c r="C1895" s="43" t="str">
        <f t="array" ref="C1895">IF(B1895="","",_xlfn.XLOOKUP(B1895,'Form responses 1'!$B$2:$B$2604,'Form responses 1'!$A$2:$A$2604,""))</f>
        <v/>
      </c>
      <c r="D1895" s="44" t="str">
        <f t="shared" si="3"/>
        <v/>
      </c>
      <c r="E1895" s="44" t="str">
        <f t="array" ref="E1895">IF(B1895="","",_xlfn.XLOOKUP(B1895,'Form responses 1'!$B$2:$B$2604,'Form responses 1'!$C$2:$C$2604,""))</f>
        <v/>
      </c>
      <c r="F1895" s="44" t="str">
        <f t="array" ref="F1895">IF(B1895="","",_xlfn.XLOOKUP(B1895,'Form responses 1'!$B$2:$B$2604,'Form responses 1'!$D$2:$D$2604,""))</f>
        <v/>
      </c>
      <c r="G1895" s="44" t="str">
        <f t="array" ref="G1895">IF(B1895="","",_xlfn.XLOOKUP(B1895,'Form responses 1'!$B$2:$B$2604,'Form responses 1'!$E$2:$E$2604,""))</f>
        <v/>
      </c>
      <c r="H1895" s="44" t="str">
        <f t="array" ref="H1895">IF(B1895="","",_xlfn.XLOOKUP(B1895,'Form responses 1'!$B$2:$B$2604,'Form responses 1'!$F$2:$F$2604,""))</f>
        <v/>
      </c>
      <c r="I1895" s="44" t="str">
        <f t="array" ref="I1895">IF(B1895="","",_xlfn.XLOOKUP(B1895,'Form responses 1'!$B$2:$B$2604,'Form responses 1'!$I$2:$I$2604,""))</f>
        <v/>
      </c>
      <c r="J1895" s="44" t="str">
        <f t="array" ref="J1895">IF(B1895="","",_xlfn.XLOOKUP(B1895,'Form responses 1'!$B$2:$B$2604,'Form responses 1'!$G$2:$G$2604,""))</f>
        <v/>
      </c>
      <c r="K1895" s="56"/>
      <c r="L1895" s="58" t="str">
        <f t="shared" si="7"/>
        <v/>
      </c>
      <c r="M1895" s="49"/>
      <c r="N1895" s="49"/>
      <c r="O1895" s="49"/>
      <c r="P1895" s="49"/>
      <c r="Q1895" s="49"/>
      <c r="R1895" s="49"/>
      <c r="S1895" s="49"/>
      <c r="T1895" s="49"/>
      <c r="U1895" s="49"/>
      <c r="V1895" s="49"/>
      <c r="W1895" s="56"/>
      <c r="X1895" s="51" t="str">
        <f t="shared" si="5"/>
        <v/>
      </c>
      <c r="Y1895" s="50" t="s">
        <v>482</v>
      </c>
      <c r="Z1895" s="49">
        <f t="shared" si="6"/>
        <v>0</v>
      </c>
    </row>
    <row r="1896" ht="22.5" customHeight="1">
      <c r="B1896" s="57"/>
      <c r="C1896" s="43" t="str">
        <f t="array" ref="C1896">IF(B1896="","",_xlfn.XLOOKUP(B1896,'Form responses 1'!$B$2:$B$2604,'Form responses 1'!$A$2:$A$2604,""))</f>
        <v/>
      </c>
      <c r="D1896" s="44" t="str">
        <f t="shared" si="3"/>
        <v/>
      </c>
      <c r="E1896" s="44" t="str">
        <f t="array" ref="E1896">IF(B1896="","",_xlfn.XLOOKUP(B1896,'Form responses 1'!$B$2:$B$2604,'Form responses 1'!$C$2:$C$2604,""))</f>
        <v/>
      </c>
      <c r="F1896" s="44" t="str">
        <f t="array" ref="F1896">IF(B1896="","",_xlfn.XLOOKUP(B1896,'Form responses 1'!$B$2:$B$2604,'Form responses 1'!$D$2:$D$2604,""))</f>
        <v/>
      </c>
      <c r="G1896" s="44" t="str">
        <f t="array" ref="G1896">IF(B1896="","",_xlfn.XLOOKUP(B1896,'Form responses 1'!$B$2:$B$2604,'Form responses 1'!$E$2:$E$2604,""))</f>
        <v/>
      </c>
      <c r="H1896" s="44" t="str">
        <f t="array" ref="H1896">IF(B1896="","",_xlfn.XLOOKUP(B1896,'Form responses 1'!$B$2:$B$2604,'Form responses 1'!$F$2:$F$2604,""))</f>
        <v/>
      </c>
      <c r="I1896" s="44" t="str">
        <f t="array" ref="I1896">IF(B1896="","",_xlfn.XLOOKUP(B1896,'Form responses 1'!$B$2:$B$2604,'Form responses 1'!$I$2:$I$2604,""))</f>
        <v/>
      </c>
      <c r="J1896" s="44" t="str">
        <f t="array" ref="J1896">IF(B1896="","",_xlfn.XLOOKUP(B1896,'Form responses 1'!$B$2:$B$2604,'Form responses 1'!$G$2:$G$2604,""))</f>
        <v/>
      </c>
      <c r="K1896" s="56"/>
      <c r="L1896" s="58" t="str">
        <f t="shared" si="7"/>
        <v/>
      </c>
      <c r="M1896" s="49"/>
      <c r="N1896" s="49"/>
      <c r="O1896" s="49"/>
      <c r="P1896" s="49"/>
      <c r="Q1896" s="49"/>
      <c r="R1896" s="49"/>
      <c r="S1896" s="49"/>
      <c r="T1896" s="49"/>
      <c r="U1896" s="49"/>
      <c r="V1896" s="49"/>
      <c r="W1896" s="56"/>
      <c r="X1896" s="51" t="str">
        <f t="shared" si="5"/>
        <v/>
      </c>
      <c r="Y1896" s="50" t="s">
        <v>482</v>
      </c>
      <c r="Z1896" s="49">
        <f t="shared" si="6"/>
        <v>0</v>
      </c>
    </row>
    <row r="1897" ht="22.5" customHeight="1">
      <c r="B1897" s="57"/>
      <c r="C1897" s="43" t="str">
        <f t="array" ref="C1897">IF(B1897="","",_xlfn.XLOOKUP(B1897,'Form responses 1'!$B$2:$B$2604,'Form responses 1'!$A$2:$A$2604,""))</f>
        <v/>
      </c>
      <c r="D1897" s="44" t="str">
        <f t="shared" si="3"/>
        <v/>
      </c>
      <c r="E1897" s="44" t="str">
        <f t="array" ref="E1897">IF(B1897="","",_xlfn.XLOOKUP(B1897,'Form responses 1'!$B$2:$B$2604,'Form responses 1'!$C$2:$C$2604,""))</f>
        <v/>
      </c>
      <c r="F1897" s="44" t="str">
        <f t="array" ref="F1897">IF(B1897="","",_xlfn.XLOOKUP(B1897,'Form responses 1'!$B$2:$B$2604,'Form responses 1'!$D$2:$D$2604,""))</f>
        <v/>
      </c>
      <c r="G1897" s="44" t="str">
        <f t="array" ref="G1897">IF(B1897="","",_xlfn.XLOOKUP(B1897,'Form responses 1'!$B$2:$B$2604,'Form responses 1'!$E$2:$E$2604,""))</f>
        <v/>
      </c>
      <c r="H1897" s="44" t="str">
        <f t="array" ref="H1897">IF(B1897="","",_xlfn.XLOOKUP(B1897,'Form responses 1'!$B$2:$B$2604,'Form responses 1'!$F$2:$F$2604,""))</f>
        <v/>
      </c>
      <c r="I1897" s="44" t="str">
        <f t="array" ref="I1897">IF(B1897="","",_xlfn.XLOOKUP(B1897,'Form responses 1'!$B$2:$B$2604,'Form responses 1'!$I$2:$I$2604,""))</f>
        <v/>
      </c>
      <c r="J1897" s="44" t="str">
        <f t="array" ref="J1897">IF(B1897="","",_xlfn.XLOOKUP(B1897,'Form responses 1'!$B$2:$B$2604,'Form responses 1'!$G$2:$G$2604,""))</f>
        <v/>
      </c>
      <c r="K1897" s="56"/>
      <c r="L1897" s="58" t="str">
        <f t="shared" si="7"/>
        <v/>
      </c>
      <c r="M1897" s="49"/>
      <c r="N1897" s="49"/>
      <c r="O1897" s="49"/>
      <c r="P1897" s="49"/>
      <c r="Q1897" s="49"/>
      <c r="R1897" s="49"/>
      <c r="S1897" s="49"/>
      <c r="T1897" s="49"/>
      <c r="U1897" s="49"/>
      <c r="V1897" s="49"/>
      <c r="W1897" s="56"/>
      <c r="X1897" s="51" t="str">
        <f t="shared" si="5"/>
        <v/>
      </c>
      <c r="Y1897" s="50" t="s">
        <v>482</v>
      </c>
      <c r="Z1897" s="49">
        <f t="shared" si="6"/>
        <v>0</v>
      </c>
    </row>
    <row r="1898" ht="22.5" customHeight="1">
      <c r="B1898" s="57"/>
      <c r="C1898" s="43" t="str">
        <f t="array" ref="C1898">IF(B1898="","",_xlfn.XLOOKUP(B1898,'Form responses 1'!$B$2:$B$2604,'Form responses 1'!$A$2:$A$2604,""))</f>
        <v/>
      </c>
      <c r="D1898" s="44" t="str">
        <f t="shared" si="3"/>
        <v/>
      </c>
      <c r="E1898" s="44" t="str">
        <f t="array" ref="E1898">IF(B1898="","",_xlfn.XLOOKUP(B1898,'Form responses 1'!$B$2:$B$2604,'Form responses 1'!$C$2:$C$2604,""))</f>
        <v/>
      </c>
      <c r="F1898" s="44" t="str">
        <f t="array" ref="F1898">IF(B1898="","",_xlfn.XLOOKUP(B1898,'Form responses 1'!$B$2:$B$2604,'Form responses 1'!$D$2:$D$2604,""))</f>
        <v/>
      </c>
      <c r="G1898" s="44" t="str">
        <f t="array" ref="G1898">IF(B1898="","",_xlfn.XLOOKUP(B1898,'Form responses 1'!$B$2:$B$2604,'Form responses 1'!$E$2:$E$2604,""))</f>
        <v/>
      </c>
      <c r="H1898" s="44" t="str">
        <f t="array" ref="H1898">IF(B1898="","",_xlfn.XLOOKUP(B1898,'Form responses 1'!$B$2:$B$2604,'Form responses 1'!$F$2:$F$2604,""))</f>
        <v/>
      </c>
      <c r="I1898" s="44" t="str">
        <f t="array" ref="I1898">IF(B1898="","",_xlfn.XLOOKUP(B1898,'Form responses 1'!$B$2:$B$2604,'Form responses 1'!$I$2:$I$2604,""))</f>
        <v/>
      </c>
      <c r="J1898" s="44" t="str">
        <f t="array" ref="J1898">IF(B1898="","",_xlfn.XLOOKUP(B1898,'Form responses 1'!$B$2:$B$2604,'Form responses 1'!$G$2:$G$2604,""))</f>
        <v/>
      </c>
      <c r="K1898" s="56"/>
      <c r="L1898" s="58" t="str">
        <f t="shared" si="7"/>
        <v/>
      </c>
      <c r="M1898" s="49"/>
      <c r="N1898" s="49"/>
      <c r="O1898" s="49"/>
      <c r="P1898" s="49"/>
      <c r="Q1898" s="49"/>
      <c r="R1898" s="49"/>
      <c r="S1898" s="49"/>
      <c r="T1898" s="49"/>
      <c r="U1898" s="49"/>
      <c r="V1898" s="49"/>
      <c r="W1898" s="56"/>
      <c r="X1898" s="51" t="str">
        <f t="shared" si="5"/>
        <v/>
      </c>
      <c r="Y1898" s="50" t="s">
        <v>482</v>
      </c>
      <c r="Z1898" s="49">
        <f t="shared" si="6"/>
        <v>0</v>
      </c>
    </row>
    <row r="1899" ht="22.5" customHeight="1">
      <c r="B1899" s="57"/>
      <c r="C1899" s="43" t="str">
        <f t="array" ref="C1899">IF(B1899="","",_xlfn.XLOOKUP(B1899,'Form responses 1'!$B$2:$B$2604,'Form responses 1'!$A$2:$A$2604,""))</f>
        <v/>
      </c>
      <c r="D1899" s="44" t="str">
        <f t="shared" si="3"/>
        <v/>
      </c>
      <c r="E1899" s="44" t="str">
        <f t="array" ref="E1899">IF(B1899="","",_xlfn.XLOOKUP(B1899,'Form responses 1'!$B$2:$B$2604,'Form responses 1'!$C$2:$C$2604,""))</f>
        <v/>
      </c>
      <c r="F1899" s="44" t="str">
        <f t="array" ref="F1899">IF(B1899="","",_xlfn.XLOOKUP(B1899,'Form responses 1'!$B$2:$B$2604,'Form responses 1'!$D$2:$D$2604,""))</f>
        <v/>
      </c>
      <c r="G1899" s="44" t="str">
        <f t="array" ref="G1899">IF(B1899="","",_xlfn.XLOOKUP(B1899,'Form responses 1'!$B$2:$B$2604,'Form responses 1'!$E$2:$E$2604,""))</f>
        <v/>
      </c>
      <c r="H1899" s="44" t="str">
        <f t="array" ref="H1899">IF(B1899="","",_xlfn.XLOOKUP(B1899,'Form responses 1'!$B$2:$B$2604,'Form responses 1'!$F$2:$F$2604,""))</f>
        <v/>
      </c>
      <c r="I1899" s="44" t="str">
        <f t="array" ref="I1899">IF(B1899="","",_xlfn.XLOOKUP(B1899,'Form responses 1'!$B$2:$B$2604,'Form responses 1'!$I$2:$I$2604,""))</f>
        <v/>
      </c>
      <c r="J1899" s="44" t="str">
        <f t="array" ref="J1899">IF(B1899="","",_xlfn.XLOOKUP(B1899,'Form responses 1'!$B$2:$B$2604,'Form responses 1'!$G$2:$G$2604,""))</f>
        <v/>
      </c>
      <c r="K1899" s="56"/>
      <c r="L1899" s="58" t="str">
        <f t="shared" si="7"/>
        <v/>
      </c>
      <c r="M1899" s="49"/>
      <c r="N1899" s="49"/>
      <c r="O1899" s="49"/>
      <c r="P1899" s="49"/>
      <c r="Q1899" s="49"/>
      <c r="R1899" s="49"/>
      <c r="S1899" s="49"/>
      <c r="T1899" s="49"/>
      <c r="U1899" s="49"/>
      <c r="V1899" s="49"/>
      <c r="W1899" s="56"/>
      <c r="X1899" s="51" t="str">
        <f t="shared" si="5"/>
        <v/>
      </c>
      <c r="Y1899" s="50" t="s">
        <v>482</v>
      </c>
      <c r="Z1899" s="49">
        <f t="shared" si="6"/>
        <v>0</v>
      </c>
    </row>
    <row r="1900" ht="22.5" customHeight="1">
      <c r="B1900" s="57"/>
      <c r="C1900" s="43" t="str">
        <f t="array" ref="C1900">IF(B1900="","",_xlfn.XLOOKUP(B1900,'Form responses 1'!$B$2:$B$2604,'Form responses 1'!$A$2:$A$2604,""))</f>
        <v/>
      </c>
      <c r="D1900" s="44" t="str">
        <f t="shared" si="3"/>
        <v/>
      </c>
      <c r="E1900" s="44" t="str">
        <f t="array" ref="E1900">IF(B1900="","",_xlfn.XLOOKUP(B1900,'Form responses 1'!$B$2:$B$2604,'Form responses 1'!$C$2:$C$2604,""))</f>
        <v/>
      </c>
      <c r="F1900" s="44" t="str">
        <f t="array" ref="F1900">IF(B1900="","",_xlfn.XLOOKUP(B1900,'Form responses 1'!$B$2:$B$2604,'Form responses 1'!$D$2:$D$2604,""))</f>
        <v/>
      </c>
      <c r="G1900" s="44" t="str">
        <f t="array" ref="G1900">IF(B1900="","",_xlfn.XLOOKUP(B1900,'Form responses 1'!$B$2:$B$2604,'Form responses 1'!$E$2:$E$2604,""))</f>
        <v/>
      </c>
      <c r="H1900" s="44" t="str">
        <f t="array" ref="H1900">IF(B1900="","",_xlfn.XLOOKUP(B1900,'Form responses 1'!$B$2:$B$2604,'Form responses 1'!$F$2:$F$2604,""))</f>
        <v/>
      </c>
      <c r="I1900" s="44" t="str">
        <f t="array" ref="I1900">IF(B1900="","",_xlfn.XLOOKUP(B1900,'Form responses 1'!$B$2:$B$2604,'Form responses 1'!$I$2:$I$2604,""))</f>
        <v/>
      </c>
      <c r="J1900" s="44" t="str">
        <f t="array" ref="J1900">IF(B1900="","",_xlfn.XLOOKUP(B1900,'Form responses 1'!$B$2:$B$2604,'Form responses 1'!$G$2:$G$2604,""))</f>
        <v/>
      </c>
      <c r="K1900" s="56"/>
      <c r="L1900" s="58" t="str">
        <f t="shared" si="7"/>
        <v/>
      </c>
      <c r="M1900" s="49"/>
      <c r="N1900" s="49"/>
      <c r="O1900" s="49"/>
      <c r="P1900" s="49"/>
      <c r="Q1900" s="49"/>
      <c r="R1900" s="49"/>
      <c r="S1900" s="49"/>
      <c r="T1900" s="49"/>
      <c r="U1900" s="49"/>
      <c r="V1900" s="49"/>
      <c r="W1900" s="56"/>
      <c r="X1900" s="51" t="str">
        <f t="shared" si="5"/>
        <v/>
      </c>
      <c r="Y1900" s="50" t="s">
        <v>482</v>
      </c>
      <c r="Z1900" s="49">
        <f t="shared" si="6"/>
        <v>0</v>
      </c>
    </row>
    <row r="1901" ht="22.5" customHeight="1">
      <c r="B1901" s="57"/>
      <c r="C1901" s="43" t="str">
        <f t="array" ref="C1901">IF(B1901="","",_xlfn.XLOOKUP(B1901,'Form responses 1'!$B$2:$B$2604,'Form responses 1'!$A$2:$A$2604,""))</f>
        <v/>
      </c>
      <c r="D1901" s="44" t="str">
        <f t="shared" si="3"/>
        <v/>
      </c>
      <c r="E1901" s="44" t="str">
        <f t="array" ref="E1901">IF(B1901="","",_xlfn.XLOOKUP(B1901,'Form responses 1'!$B$2:$B$2604,'Form responses 1'!$C$2:$C$2604,""))</f>
        <v/>
      </c>
      <c r="F1901" s="44" t="str">
        <f t="array" ref="F1901">IF(B1901="","",_xlfn.XLOOKUP(B1901,'Form responses 1'!$B$2:$B$2604,'Form responses 1'!$D$2:$D$2604,""))</f>
        <v/>
      </c>
      <c r="G1901" s="44" t="str">
        <f t="array" ref="G1901">IF(B1901="","",_xlfn.XLOOKUP(B1901,'Form responses 1'!$B$2:$B$2604,'Form responses 1'!$E$2:$E$2604,""))</f>
        <v/>
      </c>
      <c r="H1901" s="44" t="str">
        <f t="array" ref="H1901">IF(B1901="","",_xlfn.XLOOKUP(B1901,'Form responses 1'!$B$2:$B$2604,'Form responses 1'!$F$2:$F$2604,""))</f>
        <v/>
      </c>
      <c r="I1901" s="44" t="str">
        <f t="array" ref="I1901">IF(B1901="","",_xlfn.XLOOKUP(B1901,'Form responses 1'!$B$2:$B$2604,'Form responses 1'!$I$2:$I$2604,""))</f>
        <v/>
      </c>
      <c r="J1901" s="44" t="str">
        <f t="array" ref="J1901">IF(B1901="","",_xlfn.XLOOKUP(B1901,'Form responses 1'!$B$2:$B$2604,'Form responses 1'!$G$2:$G$2604,""))</f>
        <v/>
      </c>
      <c r="K1901" s="56"/>
      <c r="L1901" s="58" t="str">
        <f t="shared" si="7"/>
        <v/>
      </c>
      <c r="M1901" s="49"/>
      <c r="N1901" s="49"/>
      <c r="O1901" s="49"/>
      <c r="P1901" s="49"/>
      <c r="Q1901" s="49"/>
      <c r="R1901" s="49"/>
      <c r="S1901" s="49"/>
      <c r="T1901" s="49"/>
      <c r="U1901" s="49"/>
      <c r="V1901" s="49"/>
      <c r="W1901" s="56"/>
      <c r="X1901" s="51" t="str">
        <f t="shared" si="5"/>
        <v/>
      </c>
      <c r="Y1901" s="50" t="s">
        <v>482</v>
      </c>
      <c r="Z1901" s="49">
        <f t="shared" si="6"/>
        <v>0</v>
      </c>
    </row>
    <row r="1902" ht="22.5" customHeight="1">
      <c r="B1902" s="57"/>
      <c r="C1902" s="43" t="str">
        <f t="array" ref="C1902">IF(B1902="","",_xlfn.XLOOKUP(B1902,'Form responses 1'!$B$2:$B$2604,'Form responses 1'!$A$2:$A$2604,""))</f>
        <v/>
      </c>
      <c r="D1902" s="44" t="str">
        <f t="shared" si="3"/>
        <v/>
      </c>
      <c r="E1902" s="44" t="str">
        <f t="array" ref="E1902">IF(B1902="","",_xlfn.XLOOKUP(B1902,'Form responses 1'!$B$2:$B$2604,'Form responses 1'!$C$2:$C$2604,""))</f>
        <v/>
      </c>
      <c r="F1902" s="44" t="str">
        <f t="array" ref="F1902">IF(B1902="","",_xlfn.XLOOKUP(B1902,'Form responses 1'!$B$2:$B$2604,'Form responses 1'!$D$2:$D$2604,""))</f>
        <v/>
      </c>
      <c r="G1902" s="44" t="str">
        <f t="array" ref="G1902">IF(B1902="","",_xlfn.XLOOKUP(B1902,'Form responses 1'!$B$2:$B$2604,'Form responses 1'!$E$2:$E$2604,""))</f>
        <v/>
      </c>
      <c r="H1902" s="44" t="str">
        <f t="array" ref="H1902">IF(B1902="","",_xlfn.XLOOKUP(B1902,'Form responses 1'!$B$2:$B$2604,'Form responses 1'!$F$2:$F$2604,""))</f>
        <v/>
      </c>
      <c r="I1902" s="44" t="str">
        <f t="array" ref="I1902">IF(B1902="","",_xlfn.XLOOKUP(B1902,'Form responses 1'!$B$2:$B$2604,'Form responses 1'!$I$2:$I$2604,""))</f>
        <v/>
      </c>
      <c r="J1902" s="44" t="str">
        <f t="array" ref="J1902">IF(B1902="","",_xlfn.XLOOKUP(B1902,'Form responses 1'!$B$2:$B$2604,'Form responses 1'!$G$2:$G$2604,""))</f>
        <v/>
      </c>
      <c r="K1902" s="56"/>
      <c r="L1902" s="58" t="str">
        <f t="shared" si="7"/>
        <v/>
      </c>
      <c r="M1902" s="49"/>
      <c r="N1902" s="49"/>
      <c r="O1902" s="49"/>
      <c r="P1902" s="49"/>
      <c r="Q1902" s="49"/>
      <c r="R1902" s="49"/>
      <c r="S1902" s="49"/>
      <c r="T1902" s="49"/>
      <c r="U1902" s="49"/>
      <c r="V1902" s="49"/>
      <c r="W1902" s="56"/>
      <c r="X1902" s="51" t="str">
        <f t="shared" si="5"/>
        <v/>
      </c>
      <c r="Y1902" s="50" t="s">
        <v>482</v>
      </c>
      <c r="Z1902" s="49">
        <f t="shared" si="6"/>
        <v>0</v>
      </c>
    </row>
    <row r="1903" ht="22.5" customHeight="1">
      <c r="B1903" s="57"/>
      <c r="C1903" s="43" t="str">
        <f t="array" ref="C1903">IF(B1903="","",_xlfn.XLOOKUP(B1903,'Form responses 1'!$B$2:$B$2604,'Form responses 1'!$A$2:$A$2604,""))</f>
        <v/>
      </c>
      <c r="D1903" s="44" t="str">
        <f t="shared" si="3"/>
        <v/>
      </c>
      <c r="E1903" s="44" t="str">
        <f t="array" ref="E1903">IF(B1903="","",_xlfn.XLOOKUP(B1903,'Form responses 1'!$B$2:$B$2604,'Form responses 1'!$C$2:$C$2604,""))</f>
        <v/>
      </c>
      <c r="F1903" s="44" t="str">
        <f t="array" ref="F1903">IF(B1903="","",_xlfn.XLOOKUP(B1903,'Form responses 1'!$B$2:$B$2604,'Form responses 1'!$D$2:$D$2604,""))</f>
        <v/>
      </c>
      <c r="G1903" s="44" t="str">
        <f t="array" ref="G1903">IF(B1903="","",_xlfn.XLOOKUP(B1903,'Form responses 1'!$B$2:$B$2604,'Form responses 1'!$E$2:$E$2604,""))</f>
        <v/>
      </c>
      <c r="H1903" s="44" t="str">
        <f t="array" ref="H1903">IF(B1903="","",_xlfn.XLOOKUP(B1903,'Form responses 1'!$B$2:$B$2604,'Form responses 1'!$F$2:$F$2604,""))</f>
        <v/>
      </c>
      <c r="I1903" s="44" t="str">
        <f t="array" ref="I1903">IF(B1903="","",_xlfn.XLOOKUP(B1903,'Form responses 1'!$B$2:$B$2604,'Form responses 1'!$I$2:$I$2604,""))</f>
        <v/>
      </c>
      <c r="J1903" s="44" t="str">
        <f t="array" ref="J1903">IF(B1903="","",_xlfn.XLOOKUP(B1903,'Form responses 1'!$B$2:$B$2604,'Form responses 1'!$G$2:$G$2604,""))</f>
        <v/>
      </c>
      <c r="K1903" s="56"/>
      <c r="L1903" s="58" t="str">
        <f t="shared" si="7"/>
        <v/>
      </c>
      <c r="M1903" s="49"/>
      <c r="N1903" s="49"/>
      <c r="O1903" s="49"/>
      <c r="P1903" s="49"/>
      <c r="Q1903" s="49"/>
      <c r="R1903" s="49"/>
      <c r="S1903" s="49"/>
      <c r="T1903" s="49"/>
      <c r="U1903" s="49"/>
      <c r="V1903" s="49"/>
      <c r="W1903" s="56"/>
      <c r="X1903" s="51" t="str">
        <f t="shared" si="5"/>
        <v/>
      </c>
      <c r="Y1903" s="50" t="s">
        <v>482</v>
      </c>
      <c r="Z1903" s="49">
        <f t="shared" si="6"/>
        <v>0</v>
      </c>
    </row>
    <row r="1904" ht="22.5" customHeight="1">
      <c r="B1904" s="57"/>
      <c r="C1904" s="43" t="str">
        <f t="array" ref="C1904">IF(B1904="","",_xlfn.XLOOKUP(B1904,'Form responses 1'!$B$2:$B$2604,'Form responses 1'!$A$2:$A$2604,""))</f>
        <v/>
      </c>
      <c r="D1904" s="44" t="str">
        <f t="shared" si="3"/>
        <v/>
      </c>
      <c r="E1904" s="44" t="str">
        <f t="array" ref="E1904">IF(B1904="","",_xlfn.XLOOKUP(B1904,'Form responses 1'!$B$2:$B$2604,'Form responses 1'!$C$2:$C$2604,""))</f>
        <v/>
      </c>
      <c r="F1904" s="44" t="str">
        <f t="array" ref="F1904">IF(B1904="","",_xlfn.XLOOKUP(B1904,'Form responses 1'!$B$2:$B$2604,'Form responses 1'!$D$2:$D$2604,""))</f>
        <v/>
      </c>
      <c r="G1904" s="44" t="str">
        <f t="array" ref="G1904">IF(B1904="","",_xlfn.XLOOKUP(B1904,'Form responses 1'!$B$2:$B$2604,'Form responses 1'!$E$2:$E$2604,""))</f>
        <v/>
      </c>
      <c r="H1904" s="44" t="str">
        <f t="array" ref="H1904">IF(B1904="","",_xlfn.XLOOKUP(B1904,'Form responses 1'!$B$2:$B$2604,'Form responses 1'!$F$2:$F$2604,""))</f>
        <v/>
      </c>
      <c r="I1904" s="44" t="str">
        <f t="array" ref="I1904">IF(B1904="","",_xlfn.XLOOKUP(B1904,'Form responses 1'!$B$2:$B$2604,'Form responses 1'!$I$2:$I$2604,""))</f>
        <v/>
      </c>
      <c r="J1904" s="44" t="str">
        <f t="array" ref="J1904">IF(B1904="","",_xlfn.XLOOKUP(B1904,'Form responses 1'!$B$2:$B$2604,'Form responses 1'!$G$2:$G$2604,""))</f>
        <v/>
      </c>
      <c r="K1904" s="56"/>
      <c r="L1904" s="58" t="str">
        <f t="shared" si="7"/>
        <v/>
      </c>
      <c r="M1904" s="49"/>
      <c r="N1904" s="49"/>
      <c r="O1904" s="49"/>
      <c r="P1904" s="49"/>
      <c r="Q1904" s="49"/>
      <c r="R1904" s="49"/>
      <c r="S1904" s="49"/>
      <c r="T1904" s="49"/>
      <c r="U1904" s="49"/>
      <c r="V1904" s="49"/>
      <c r="W1904" s="56"/>
      <c r="X1904" s="51" t="str">
        <f t="shared" si="5"/>
        <v/>
      </c>
      <c r="Y1904" s="50" t="s">
        <v>482</v>
      </c>
      <c r="Z1904" s="49">
        <f t="shared" si="6"/>
        <v>0</v>
      </c>
    </row>
    <row r="1905" ht="22.5" customHeight="1">
      <c r="B1905" s="57"/>
      <c r="C1905" s="43" t="str">
        <f t="array" ref="C1905">IF(B1905="","",_xlfn.XLOOKUP(B1905,'Form responses 1'!$B$2:$B$2604,'Form responses 1'!$A$2:$A$2604,""))</f>
        <v/>
      </c>
      <c r="D1905" s="44" t="str">
        <f t="shared" si="3"/>
        <v/>
      </c>
      <c r="E1905" s="44" t="str">
        <f t="array" ref="E1905">IF(B1905="","",_xlfn.XLOOKUP(B1905,'Form responses 1'!$B$2:$B$2604,'Form responses 1'!$C$2:$C$2604,""))</f>
        <v/>
      </c>
      <c r="F1905" s="44" t="str">
        <f t="array" ref="F1905">IF(B1905="","",_xlfn.XLOOKUP(B1905,'Form responses 1'!$B$2:$B$2604,'Form responses 1'!$D$2:$D$2604,""))</f>
        <v/>
      </c>
      <c r="G1905" s="44" t="str">
        <f t="array" ref="G1905">IF(B1905="","",_xlfn.XLOOKUP(B1905,'Form responses 1'!$B$2:$B$2604,'Form responses 1'!$E$2:$E$2604,""))</f>
        <v/>
      </c>
      <c r="H1905" s="44" t="str">
        <f t="array" ref="H1905">IF(B1905="","",_xlfn.XLOOKUP(B1905,'Form responses 1'!$B$2:$B$2604,'Form responses 1'!$F$2:$F$2604,""))</f>
        <v/>
      </c>
      <c r="I1905" s="44" t="str">
        <f t="array" ref="I1905">IF(B1905="","",_xlfn.XLOOKUP(B1905,'Form responses 1'!$B$2:$B$2604,'Form responses 1'!$I$2:$I$2604,""))</f>
        <v/>
      </c>
      <c r="J1905" s="44" t="str">
        <f t="array" ref="J1905">IF(B1905="","",_xlfn.XLOOKUP(B1905,'Form responses 1'!$B$2:$B$2604,'Form responses 1'!$G$2:$G$2604,""))</f>
        <v/>
      </c>
      <c r="K1905" s="56"/>
      <c r="L1905" s="58" t="str">
        <f t="shared" si="7"/>
        <v/>
      </c>
      <c r="M1905" s="49"/>
      <c r="N1905" s="49"/>
      <c r="O1905" s="49"/>
      <c r="P1905" s="49"/>
      <c r="Q1905" s="49"/>
      <c r="R1905" s="49"/>
      <c r="S1905" s="49"/>
      <c r="T1905" s="49"/>
      <c r="U1905" s="49"/>
      <c r="V1905" s="49"/>
      <c r="W1905" s="56"/>
      <c r="X1905" s="51" t="str">
        <f t="shared" si="5"/>
        <v/>
      </c>
      <c r="Y1905" s="50" t="s">
        <v>482</v>
      </c>
      <c r="Z1905" s="49">
        <f t="shared" si="6"/>
        <v>0</v>
      </c>
    </row>
    <row r="1906" ht="22.5" customHeight="1">
      <c r="B1906" s="57"/>
      <c r="C1906" s="43" t="str">
        <f t="array" ref="C1906">IF(B1906="","",_xlfn.XLOOKUP(B1906,'Form responses 1'!$B$2:$B$2604,'Form responses 1'!$A$2:$A$2604,""))</f>
        <v/>
      </c>
      <c r="D1906" s="44" t="str">
        <f t="shared" si="3"/>
        <v/>
      </c>
      <c r="E1906" s="44" t="str">
        <f t="array" ref="E1906">IF(B1906="","",_xlfn.XLOOKUP(B1906,'Form responses 1'!$B$2:$B$2604,'Form responses 1'!$C$2:$C$2604,""))</f>
        <v/>
      </c>
      <c r="F1906" s="44" t="str">
        <f t="array" ref="F1906">IF(B1906="","",_xlfn.XLOOKUP(B1906,'Form responses 1'!$B$2:$B$2604,'Form responses 1'!$D$2:$D$2604,""))</f>
        <v/>
      </c>
      <c r="G1906" s="44" t="str">
        <f t="array" ref="G1906">IF(B1906="","",_xlfn.XLOOKUP(B1906,'Form responses 1'!$B$2:$B$2604,'Form responses 1'!$E$2:$E$2604,""))</f>
        <v/>
      </c>
      <c r="H1906" s="44" t="str">
        <f t="array" ref="H1906">IF(B1906="","",_xlfn.XLOOKUP(B1906,'Form responses 1'!$B$2:$B$2604,'Form responses 1'!$F$2:$F$2604,""))</f>
        <v/>
      </c>
      <c r="I1906" s="44" t="str">
        <f t="array" ref="I1906">IF(B1906="","",_xlfn.XLOOKUP(B1906,'Form responses 1'!$B$2:$B$2604,'Form responses 1'!$I$2:$I$2604,""))</f>
        <v/>
      </c>
      <c r="J1906" s="44" t="str">
        <f t="array" ref="J1906">IF(B1906="","",_xlfn.XLOOKUP(B1906,'Form responses 1'!$B$2:$B$2604,'Form responses 1'!$G$2:$G$2604,""))</f>
        <v/>
      </c>
      <c r="K1906" s="56"/>
      <c r="L1906" s="58" t="str">
        <f t="shared" si="7"/>
        <v/>
      </c>
      <c r="M1906" s="49"/>
      <c r="N1906" s="49"/>
      <c r="O1906" s="49"/>
      <c r="P1906" s="49"/>
      <c r="Q1906" s="49"/>
      <c r="R1906" s="49"/>
      <c r="S1906" s="49"/>
      <c r="T1906" s="49"/>
      <c r="U1906" s="49"/>
      <c r="V1906" s="49"/>
      <c r="W1906" s="56"/>
      <c r="X1906" s="51" t="str">
        <f t="shared" si="5"/>
        <v/>
      </c>
      <c r="Y1906" s="50" t="s">
        <v>482</v>
      </c>
      <c r="Z1906" s="49">
        <f t="shared" si="6"/>
        <v>0</v>
      </c>
    </row>
    <row r="1907" ht="22.5" customHeight="1">
      <c r="B1907" s="57"/>
      <c r="C1907" s="43" t="str">
        <f t="array" ref="C1907">IF(B1907="","",_xlfn.XLOOKUP(B1907,'Form responses 1'!$B$2:$B$2604,'Form responses 1'!$A$2:$A$2604,""))</f>
        <v/>
      </c>
      <c r="D1907" s="44" t="str">
        <f t="shared" si="3"/>
        <v/>
      </c>
      <c r="E1907" s="44" t="str">
        <f t="array" ref="E1907">IF(B1907="","",_xlfn.XLOOKUP(B1907,'Form responses 1'!$B$2:$B$2604,'Form responses 1'!$C$2:$C$2604,""))</f>
        <v/>
      </c>
      <c r="F1907" s="44" t="str">
        <f t="array" ref="F1907">IF(B1907="","",_xlfn.XLOOKUP(B1907,'Form responses 1'!$B$2:$B$2604,'Form responses 1'!$D$2:$D$2604,""))</f>
        <v/>
      </c>
      <c r="G1907" s="44" t="str">
        <f t="array" ref="G1907">IF(B1907="","",_xlfn.XLOOKUP(B1907,'Form responses 1'!$B$2:$B$2604,'Form responses 1'!$E$2:$E$2604,""))</f>
        <v/>
      </c>
      <c r="H1907" s="44" t="str">
        <f t="array" ref="H1907">IF(B1907="","",_xlfn.XLOOKUP(B1907,'Form responses 1'!$B$2:$B$2604,'Form responses 1'!$F$2:$F$2604,""))</f>
        <v/>
      </c>
      <c r="I1907" s="44" t="str">
        <f t="array" ref="I1907">IF(B1907="","",_xlfn.XLOOKUP(B1907,'Form responses 1'!$B$2:$B$2604,'Form responses 1'!$I$2:$I$2604,""))</f>
        <v/>
      </c>
      <c r="J1907" s="44" t="str">
        <f t="array" ref="J1907">IF(B1907="","",_xlfn.XLOOKUP(B1907,'Form responses 1'!$B$2:$B$2604,'Form responses 1'!$G$2:$G$2604,""))</f>
        <v/>
      </c>
      <c r="K1907" s="56"/>
      <c r="L1907" s="58" t="str">
        <f t="shared" si="7"/>
        <v/>
      </c>
      <c r="M1907" s="49"/>
      <c r="N1907" s="49"/>
      <c r="O1907" s="49"/>
      <c r="P1907" s="49"/>
      <c r="Q1907" s="49"/>
      <c r="R1907" s="49"/>
      <c r="S1907" s="49"/>
      <c r="T1907" s="49"/>
      <c r="U1907" s="49"/>
      <c r="V1907" s="49"/>
      <c r="W1907" s="56"/>
      <c r="X1907" s="51" t="str">
        <f t="shared" si="5"/>
        <v/>
      </c>
      <c r="Y1907" s="50" t="s">
        <v>482</v>
      </c>
      <c r="Z1907" s="49">
        <f t="shared" si="6"/>
        <v>0</v>
      </c>
    </row>
    <row r="1908" ht="22.5" customHeight="1">
      <c r="B1908" s="57"/>
      <c r="C1908" s="43" t="str">
        <f t="array" ref="C1908">IF(B1908="","",_xlfn.XLOOKUP(B1908,'Form responses 1'!$B$2:$B$2604,'Form responses 1'!$A$2:$A$2604,""))</f>
        <v/>
      </c>
      <c r="D1908" s="44" t="str">
        <f t="shared" si="3"/>
        <v/>
      </c>
      <c r="E1908" s="44" t="str">
        <f t="array" ref="E1908">IF(B1908="","",_xlfn.XLOOKUP(B1908,'Form responses 1'!$B$2:$B$2604,'Form responses 1'!$C$2:$C$2604,""))</f>
        <v/>
      </c>
      <c r="F1908" s="44" t="str">
        <f t="array" ref="F1908">IF(B1908="","",_xlfn.XLOOKUP(B1908,'Form responses 1'!$B$2:$B$2604,'Form responses 1'!$D$2:$D$2604,""))</f>
        <v/>
      </c>
      <c r="G1908" s="44" t="str">
        <f t="array" ref="G1908">IF(B1908="","",_xlfn.XLOOKUP(B1908,'Form responses 1'!$B$2:$B$2604,'Form responses 1'!$E$2:$E$2604,""))</f>
        <v/>
      </c>
      <c r="H1908" s="44" t="str">
        <f t="array" ref="H1908">IF(B1908="","",_xlfn.XLOOKUP(B1908,'Form responses 1'!$B$2:$B$2604,'Form responses 1'!$F$2:$F$2604,""))</f>
        <v/>
      </c>
      <c r="I1908" s="44" t="str">
        <f t="array" ref="I1908">IF(B1908="","",_xlfn.XLOOKUP(B1908,'Form responses 1'!$B$2:$B$2604,'Form responses 1'!$I$2:$I$2604,""))</f>
        <v/>
      </c>
      <c r="J1908" s="44" t="str">
        <f t="array" ref="J1908">IF(B1908="","",_xlfn.XLOOKUP(B1908,'Form responses 1'!$B$2:$B$2604,'Form responses 1'!$G$2:$G$2604,""))</f>
        <v/>
      </c>
      <c r="K1908" s="56"/>
      <c r="L1908" s="58" t="str">
        <f t="shared" si="7"/>
        <v/>
      </c>
      <c r="M1908" s="49"/>
      <c r="N1908" s="49"/>
      <c r="O1908" s="49"/>
      <c r="P1908" s="49"/>
      <c r="Q1908" s="49"/>
      <c r="R1908" s="49"/>
      <c r="S1908" s="49"/>
      <c r="T1908" s="49"/>
      <c r="U1908" s="49"/>
      <c r="V1908" s="49"/>
      <c r="W1908" s="56"/>
      <c r="X1908" s="51" t="str">
        <f t="shared" si="5"/>
        <v/>
      </c>
      <c r="Y1908" s="50" t="s">
        <v>482</v>
      </c>
      <c r="Z1908" s="49">
        <f t="shared" si="6"/>
        <v>0</v>
      </c>
    </row>
    <row r="1909" ht="22.5" customHeight="1">
      <c r="B1909" s="57"/>
      <c r="C1909" s="43" t="str">
        <f t="array" ref="C1909">IF(B1909="","",_xlfn.XLOOKUP(B1909,'Form responses 1'!$B$2:$B$2604,'Form responses 1'!$A$2:$A$2604,""))</f>
        <v/>
      </c>
      <c r="D1909" s="44" t="str">
        <f t="shared" si="3"/>
        <v/>
      </c>
      <c r="E1909" s="44" t="str">
        <f t="array" ref="E1909">IF(B1909="","",_xlfn.XLOOKUP(B1909,'Form responses 1'!$B$2:$B$2604,'Form responses 1'!$C$2:$C$2604,""))</f>
        <v/>
      </c>
      <c r="F1909" s="44" t="str">
        <f t="array" ref="F1909">IF(B1909="","",_xlfn.XLOOKUP(B1909,'Form responses 1'!$B$2:$B$2604,'Form responses 1'!$D$2:$D$2604,""))</f>
        <v/>
      </c>
      <c r="G1909" s="44" t="str">
        <f t="array" ref="G1909">IF(B1909="","",_xlfn.XLOOKUP(B1909,'Form responses 1'!$B$2:$B$2604,'Form responses 1'!$E$2:$E$2604,""))</f>
        <v/>
      </c>
      <c r="H1909" s="44" t="str">
        <f t="array" ref="H1909">IF(B1909="","",_xlfn.XLOOKUP(B1909,'Form responses 1'!$B$2:$B$2604,'Form responses 1'!$F$2:$F$2604,""))</f>
        <v/>
      </c>
      <c r="I1909" s="44" t="str">
        <f t="array" ref="I1909">IF(B1909="","",_xlfn.XLOOKUP(B1909,'Form responses 1'!$B$2:$B$2604,'Form responses 1'!$I$2:$I$2604,""))</f>
        <v/>
      </c>
      <c r="J1909" s="44" t="str">
        <f t="array" ref="J1909">IF(B1909="","",_xlfn.XLOOKUP(B1909,'Form responses 1'!$B$2:$B$2604,'Form responses 1'!$G$2:$G$2604,""))</f>
        <v/>
      </c>
      <c r="K1909" s="56"/>
      <c r="L1909" s="58" t="str">
        <f t="shared" si="7"/>
        <v/>
      </c>
      <c r="M1909" s="49"/>
      <c r="N1909" s="49"/>
      <c r="O1909" s="49"/>
      <c r="P1909" s="49"/>
      <c r="Q1909" s="49"/>
      <c r="R1909" s="49"/>
      <c r="S1909" s="49"/>
      <c r="T1909" s="49"/>
      <c r="U1909" s="49"/>
      <c r="V1909" s="49"/>
      <c r="W1909" s="56"/>
      <c r="X1909" s="51" t="str">
        <f t="shared" si="5"/>
        <v/>
      </c>
      <c r="Y1909" s="50" t="s">
        <v>482</v>
      </c>
      <c r="Z1909" s="49">
        <f t="shared" si="6"/>
        <v>0</v>
      </c>
    </row>
    <row r="1910" ht="22.5" customHeight="1">
      <c r="B1910" s="57"/>
      <c r="C1910" s="43" t="str">
        <f t="array" ref="C1910">IF(B1910="","",_xlfn.XLOOKUP(B1910,'Form responses 1'!$B$2:$B$2604,'Form responses 1'!$A$2:$A$2604,""))</f>
        <v/>
      </c>
      <c r="D1910" s="44" t="str">
        <f t="shared" si="3"/>
        <v/>
      </c>
      <c r="E1910" s="44" t="str">
        <f t="array" ref="E1910">IF(B1910="","",_xlfn.XLOOKUP(B1910,'Form responses 1'!$B$2:$B$2604,'Form responses 1'!$C$2:$C$2604,""))</f>
        <v/>
      </c>
      <c r="F1910" s="44" t="str">
        <f t="array" ref="F1910">IF(B1910="","",_xlfn.XLOOKUP(B1910,'Form responses 1'!$B$2:$B$2604,'Form responses 1'!$D$2:$D$2604,""))</f>
        <v/>
      </c>
      <c r="G1910" s="44" t="str">
        <f t="array" ref="G1910">IF(B1910="","",_xlfn.XLOOKUP(B1910,'Form responses 1'!$B$2:$B$2604,'Form responses 1'!$E$2:$E$2604,""))</f>
        <v/>
      </c>
      <c r="H1910" s="44" t="str">
        <f t="array" ref="H1910">IF(B1910="","",_xlfn.XLOOKUP(B1910,'Form responses 1'!$B$2:$B$2604,'Form responses 1'!$F$2:$F$2604,""))</f>
        <v/>
      </c>
      <c r="I1910" s="44" t="str">
        <f t="array" ref="I1910">IF(B1910="","",_xlfn.XLOOKUP(B1910,'Form responses 1'!$B$2:$B$2604,'Form responses 1'!$I$2:$I$2604,""))</f>
        <v/>
      </c>
      <c r="J1910" s="44" t="str">
        <f t="array" ref="J1910">IF(B1910="","",_xlfn.XLOOKUP(B1910,'Form responses 1'!$B$2:$B$2604,'Form responses 1'!$G$2:$G$2604,""))</f>
        <v/>
      </c>
      <c r="K1910" s="56"/>
      <c r="L1910" s="58" t="str">
        <f t="shared" si="7"/>
        <v/>
      </c>
      <c r="M1910" s="49"/>
      <c r="N1910" s="49"/>
      <c r="O1910" s="49"/>
      <c r="P1910" s="49"/>
      <c r="Q1910" s="49"/>
      <c r="R1910" s="49"/>
      <c r="S1910" s="49"/>
      <c r="T1910" s="49"/>
      <c r="U1910" s="49"/>
      <c r="V1910" s="49"/>
      <c r="W1910" s="56"/>
      <c r="X1910" s="51" t="str">
        <f t="shared" si="5"/>
        <v/>
      </c>
      <c r="Y1910" s="50" t="s">
        <v>482</v>
      </c>
      <c r="Z1910" s="49">
        <f t="shared" si="6"/>
        <v>0</v>
      </c>
    </row>
    <row r="1911" ht="22.5" customHeight="1">
      <c r="B1911" s="57"/>
      <c r="C1911" s="43" t="str">
        <f t="array" ref="C1911">IF(B1911="","",_xlfn.XLOOKUP(B1911,'Form responses 1'!$B$2:$B$2604,'Form responses 1'!$A$2:$A$2604,""))</f>
        <v/>
      </c>
      <c r="D1911" s="44" t="str">
        <f t="shared" si="3"/>
        <v/>
      </c>
      <c r="E1911" s="44" t="str">
        <f t="array" ref="E1911">IF(B1911="","",_xlfn.XLOOKUP(B1911,'Form responses 1'!$B$2:$B$2604,'Form responses 1'!$C$2:$C$2604,""))</f>
        <v/>
      </c>
      <c r="F1911" s="44" t="str">
        <f t="array" ref="F1911">IF(B1911="","",_xlfn.XLOOKUP(B1911,'Form responses 1'!$B$2:$B$2604,'Form responses 1'!$D$2:$D$2604,""))</f>
        <v/>
      </c>
      <c r="G1911" s="44" t="str">
        <f t="array" ref="G1911">IF(B1911="","",_xlfn.XLOOKUP(B1911,'Form responses 1'!$B$2:$B$2604,'Form responses 1'!$E$2:$E$2604,""))</f>
        <v/>
      </c>
      <c r="H1911" s="44" t="str">
        <f t="array" ref="H1911">IF(B1911="","",_xlfn.XLOOKUP(B1911,'Form responses 1'!$B$2:$B$2604,'Form responses 1'!$F$2:$F$2604,""))</f>
        <v/>
      </c>
      <c r="I1911" s="44" t="str">
        <f t="array" ref="I1911">IF(B1911="","",_xlfn.XLOOKUP(B1911,'Form responses 1'!$B$2:$B$2604,'Form responses 1'!$I$2:$I$2604,""))</f>
        <v/>
      </c>
      <c r="J1911" s="44" t="str">
        <f t="array" ref="J1911">IF(B1911="","",_xlfn.XLOOKUP(B1911,'Form responses 1'!$B$2:$B$2604,'Form responses 1'!$G$2:$G$2604,""))</f>
        <v/>
      </c>
      <c r="K1911" s="56"/>
      <c r="L1911" s="58" t="str">
        <f t="shared" si="7"/>
        <v/>
      </c>
      <c r="M1911" s="49"/>
      <c r="N1911" s="49"/>
      <c r="O1911" s="49"/>
      <c r="P1911" s="49"/>
      <c r="Q1911" s="49"/>
      <c r="R1911" s="49"/>
      <c r="S1911" s="49"/>
      <c r="T1911" s="49"/>
      <c r="U1911" s="49"/>
      <c r="V1911" s="49"/>
      <c r="W1911" s="56"/>
      <c r="X1911" s="51" t="str">
        <f t="shared" si="5"/>
        <v/>
      </c>
      <c r="Y1911" s="50" t="s">
        <v>482</v>
      </c>
      <c r="Z1911" s="49">
        <f t="shared" si="6"/>
        <v>0</v>
      </c>
    </row>
    <row r="1912" ht="22.5" customHeight="1">
      <c r="B1912" s="57"/>
      <c r="C1912" s="43" t="str">
        <f t="array" ref="C1912">IF(B1912="","",_xlfn.XLOOKUP(B1912,'Form responses 1'!$B$2:$B$2604,'Form responses 1'!$A$2:$A$2604,""))</f>
        <v/>
      </c>
      <c r="D1912" s="44" t="str">
        <f t="shared" si="3"/>
        <v/>
      </c>
      <c r="E1912" s="44" t="str">
        <f t="array" ref="E1912">IF(B1912="","",_xlfn.XLOOKUP(B1912,'Form responses 1'!$B$2:$B$2604,'Form responses 1'!$C$2:$C$2604,""))</f>
        <v/>
      </c>
      <c r="F1912" s="44" t="str">
        <f t="array" ref="F1912">IF(B1912="","",_xlfn.XLOOKUP(B1912,'Form responses 1'!$B$2:$B$2604,'Form responses 1'!$D$2:$D$2604,""))</f>
        <v/>
      </c>
      <c r="G1912" s="44" t="str">
        <f t="array" ref="G1912">IF(B1912="","",_xlfn.XLOOKUP(B1912,'Form responses 1'!$B$2:$B$2604,'Form responses 1'!$E$2:$E$2604,""))</f>
        <v/>
      </c>
      <c r="H1912" s="44" t="str">
        <f t="array" ref="H1912">IF(B1912="","",_xlfn.XLOOKUP(B1912,'Form responses 1'!$B$2:$B$2604,'Form responses 1'!$F$2:$F$2604,""))</f>
        <v/>
      </c>
      <c r="I1912" s="44" t="str">
        <f t="array" ref="I1912">IF(B1912="","",_xlfn.XLOOKUP(B1912,'Form responses 1'!$B$2:$B$2604,'Form responses 1'!$I$2:$I$2604,""))</f>
        <v/>
      </c>
      <c r="J1912" s="44" t="str">
        <f t="array" ref="J1912">IF(B1912="","",_xlfn.XLOOKUP(B1912,'Form responses 1'!$B$2:$B$2604,'Form responses 1'!$G$2:$G$2604,""))</f>
        <v/>
      </c>
      <c r="K1912" s="56"/>
      <c r="L1912" s="58" t="str">
        <f t="shared" si="7"/>
        <v/>
      </c>
      <c r="M1912" s="49"/>
      <c r="N1912" s="49"/>
      <c r="O1912" s="49"/>
      <c r="P1912" s="49"/>
      <c r="Q1912" s="49"/>
      <c r="R1912" s="49"/>
      <c r="S1912" s="49"/>
      <c r="T1912" s="49"/>
      <c r="U1912" s="49"/>
      <c r="V1912" s="49"/>
      <c r="W1912" s="56"/>
      <c r="X1912" s="51" t="str">
        <f t="shared" si="5"/>
        <v/>
      </c>
      <c r="Y1912" s="50" t="s">
        <v>482</v>
      </c>
      <c r="Z1912" s="49">
        <f t="shared" si="6"/>
        <v>0</v>
      </c>
    </row>
    <row r="1913" ht="22.5" customHeight="1">
      <c r="B1913" s="57"/>
      <c r="C1913" s="43" t="str">
        <f t="array" ref="C1913">IF(B1913="","",_xlfn.XLOOKUP(B1913,'Form responses 1'!$B$2:$B$2604,'Form responses 1'!$A$2:$A$2604,""))</f>
        <v/>
      </c>
      <c r="D1913" s="44" t="str">
        <f t="shared" si="3"/>
        <v/>
      </c>
      <c r="E1913" s="44" t="str">
        <f t="array" ref="E1913">IF(B1913="","",_xlfn.XLOOKUP(B1913,'Form responses 1'!$B$2:$B$2604,'Form responses 1'!$C$2:$C$2604,""))</f>
        <v/>
      </c>
      <c r="F1913" s="44" t="str">
        <f t="array" ref="F1913">IF(B1913="","",_xlfn.XLOOKUP(B1913,'Form responses 1'!$B$2:$B$2604,'Form responses 1'!$D$2:$D$2604,""))</f>
        <v/>
      </c>
      <c r="G1913" s="44" t="str">
        <f t="array" ref="G1913">IF(B1913="","",_xlfn.XLOOKUP(B1913,'Form responses 1'!$B$2:$B$2604,'Form responses 1'!$E$2:$E$2604,""))</f>
        <v/>
      </c>
      <c r="H1913" s="44" t="str">
        <f t="array" ref="H1913">IF(B1913="","",_xlfn.XLOOKUP(B1913,'Form responses 1'!$B$2:$B$2604,'Form responses 1'!$F$2:$F$2604,""))</f>
        <v/>
      </c>
      <c r="I1913" s="44" t="str">
        <f t="array" ref="I1913">IF(B1913="","",_xlfn.XLOOKUP(B1913,'Form responses 1'!$B$2:$B$2604,'Form responses 1'!$I$2:$I$2604,""))</f>
        <v/>
      </c>
      <c r="J1913" s="44" t="str">
        <f t="array" ref="J1913">IF(B1913="","",_xlfn.XLOOKUP(B1913,'Form responses 1'!$B$2:$B$2604,'Form responses 1'!$G$2:$G$2604,""))</f>
        <v/>
      </c>
      <c r="K1913" s="56"/>
      <c r="L1913" s="58" t="str">
        <f t="shared" si="7"/>
        <v/>
      </c>
      <c r="M1913" s="49"/>
      <c r="N1913" s="49"/>
      <c r="O1913" s="49"/>
      <c r="P1913" s="49"/>
      <c r="Q1913" s="49"/>
      <c r="R1913" s="49"/>
      <c r="S1913" s="49"/>
      <c r="T1913" s="49"/>
      <c r="U1913" s="49"/>
      <c r="V1913" s="49"/>
      <c r="W1913" s="56"/>
      <c r="X1913" s="51" t="str">
        <f t="shared" si="5"/>
        <v/>
      </c>
      <c r="Y1913" s="50" t="s">
        <v>482</v>
      </c>
      <c r="Z1913" s="49">
        <f t="shared" si="6"/>
        <v>0</v>
      </c>
    </row>
    <row r="1914" ht="22.5" customHeight="1">
      <c r="B1914" s="57"/>
      <c r="C1914" s="43" t="str">
        <f t="array" ref="C1914">IF(B1914="","",_xlfn.XLOOKUP(B1914,'Form responses 1'!$B$2:$B$2604,'Form responses 1'!$A$2:$A$2604,""))</f>
        <v/>
      </c>
      <c r="D1914" s="44" t="str">
        <f t="shared" si="3"/>
        <v/>
      </c>
      <c r="E1914" s="44" t="str">
        <f t="array" ref="E1914">IF(B1914="","",_xlfn.XLOOKUP(B1914,'Form responses 1'!$B$2:$B$2604,'Form responses 1'!$C$2:$C$2604,""))</f>
        <v/>
      </c>
      <c r="F1914" s="44" t="str">
        <f t="array" ref="F1914">IF(B1914="","",_xlfn.XLOOKUP(B1914,'Form responses 1'!$B$2:$B$2604,'Form responses 1'!$D$2:$D$2604,""))</f>
        <v/>
      </c>
      <c r="G1914" s="44" t="str">
        <f t="array" ref="G1914">IF(B1914="","",_xlfn.XLOOKUP(B1914,'Form responses 1'!$B$2:$B$2604,'Form responses 1'!$E$2:$E$2604,""))</f>
        <v/>
      </c>
      <c r="H1914" s="44" t="str">
        <f t="array" ref="H1914">IF(B1914="","",_xlfn.XLOOKUP(B1914,'Form responses 1'!$B$2:$B$2604,'Form responses 1'!$F$2:$F$2604,""))</f>
        <v/>
      </c>
      <c r="I1914" s="44" t="str">
        <f t="array" ref="I1914">IF(B1914="","",_xlfn.XLOOKUP(B1914,'Form responses 1'!$B$2:$B$2604,'Form responses 1'!$I$2:$I$2604,""))</f>
        <v/>
      </c>
      <c r="J1914" s="44" t="str">
        <f t="array" ref="J1914">IF(B1914="","",_xlfn.XLOOKUP(B1914,'Form responses 1'!$B$2:$B$2604,'Form responses 1'!$G$2:$G$2604,""))</f>
        <v/>
      </c>
      <c r="K1914" s="56"/>
      <c r="L1914" s="58" t="str">
        <f t="shared" si="7"/>
        <v/>
      </c>
      <c r="M1914" s="49"/>
      <c r="N1914" s="49"/>
      <c r="O1914" s="49"/>
      <c r="P1914" s="49"/>
      <c r="Q1914" s="49"/>
      <c r="R1914" s="49"/>
      <c r="S1914" s="49"/>
      <c r="T1914" s="49"/>
      <c r="U1914" s="49"/>
      <c r="V1914" s="49"/>
      <c r="W1914" s="56"/>
      <c r="X1914" s="51" t="str">
        <f t="shared" si="5"/>
        <v/>
      </c>
      <c r="Y1914" s="50" t="s">
        <v>482</v>
      </c>
      <c r="Z1914" s="49">
        <f t="shared" si="6"/>
        <v>0</v>
      </c>
    </row>
    <row r="1915" ht="22.5" customHeight="1">
      <c r="B1915" s="57"/>
      <c r="C1915" s="43" t="str">
        <f t="array" ref="C1915">IF(B1915="","",_xlfn.XLOOKUP(B1915,'Form responses 1'!$B$2:$B$2604,'Form responses 1'!$A$2:$A$2604,""))</f>
        <v/>
      </c>
      <c r="D1915" s="44" t="str">
        <f t="shared" si="3"/>
        <v/>
      </c>
      <c r="E1915" s="44" t="str">
        <f t="array" ref="E1915">IF(B1915="","",_xlfn.XLOOKUP(B1915,'Form responses 1'!$B$2:$B$2604,'Form responses 1'!$C$2:$C$2604,""))</f>
        <v/>
      </c>
      <c r="F1915" s="44" t="str">
        <f t="array" ref="F1915">IF(B1915="","",_xlfn.XLOOKUP(B1915,'Form responses 1'!$B$2:$B$2604,'Form responses 1'!$D$2:$D$2604,""))</f>
        <v/>
      </c>
      <c r="G1915" s="44" t="str">
        <f t="array" ref="G1915">IF(B1915="","",_xlfn.XLOOKUP(B1915,'Form responses 1'!$B$2:$B$2604,'Form responses 1'!$E$2:$E$2604,""))</f>
        <v/>
      </c>
      <c r="H1915" s="44" t="str">
        <f t="array" ref="H1915">IF(B1915="","",_xlfn.XLOOKUP(B1915,'Form responses 1'!$B$2:$B$2604,'Form responses 1'!$F$2:$F$2604,""))</f>
        <v/>
      </c>
      <c r="I1915" s="44" t="str">
        <f t="array" ref="I1915">IF(B1915="","",_xlfn.XLOOKUP(B1915,'Form responses 1'!$B$2:$B$2604,'Form responses 1'!$I$2:$I$2604,""))</f>
        <v/>
      </c>
      <c r="J1915" s="44" t="str">
        <f t="array" ref="J1915">IF(B1915="","",_xlfn.XLOOKUP(B1915,'Form responses 1'!$B$2:$B$2604,'Form responses 1'!$G$2:$G$2604,""))</f>
        <v/>
      </c>
      <c r="K1915" s="56"/>
      <c r="L1915" s="58" t="str">
        <f t="shared" si="7"/>
        <v/>
      </c>
      <c r="M1915" s="49"/>
      <c r="N1915" s="49"/>
      <c r="O1915" s="49"/>
      <c r="P1915" s="49"/>
      <c r="Q1915" s="49"/>
      <c r="R1915" s="49"/>
      <c r="S1915" s="49"/>
      <c r="T1915" s="49"/>
      <c r="U1915" s="49"/>
      <c r="V1915" s="49"/>
      <c r="W1915" s="56"/>
      <c r="X1915" s="51" t="str">
        <f t="shared" si="5"/>
        <v/>
      </c>
      <c r="Y1915" s="50" t="s">
        <v>482</v>
      </c>
      <c r="Z1915" s="49">
        <f t="shared" si="6"/>
        <v>0</v>
      </c>
    </row>
    <row r="1916" ht="22.5" customHeight="1">
      <c r="B1916" s="57"/>
      <c r="C1916" s="43" t="str">
        <f t="array" ref="C1916">IF(B1916="","",_xlfn.XLOOKUP(B1916,'Form responses 1'!$B$2:$B$2604,'Form responses 1'!$A$2:$A$2604,""))</f>
        <v/>
      </c>
      <c r="D1916" s="44" t="str">
        <f t="shared" si="3"/>
        <v/>
      </c>
      <c r="E1916" s="44" t="str">
        <f t="array" ref="E1916">IF(B1916="","",_xlfn.XLOOKUP(B1916,'Form responses 1'!$B$2:$B$2604,'Form responses 1'!$C$2:$C$2604,""))</f>
        <v/>
      </c>
      <c r="F1916" s="44" t="str">
        <f t="array" ref="F1916">IF(B1916="","",_xlfn.XLOOKUP(B1916,'Form responses 1'!$B$2:$B$2604,'Form responses 1'!$D$2:$D$2604,""))</f>
        <v/>
      </c>
      <c r="G1916" s="44" t="str">
        <f t="array" ref="G1916">IF(B1916="","",_xlfn.XLOOKUP(B1916,'Form responses 1'!$B$2:$B$2604,'Form responses 1'!$E$2:$E$2604,""))</f>
        <v/>
      </c>
      <c r="H1916" s="44" t="str">
        <f t="array" ref="H1916">IF(B1916="","",_xlfn.XLOOKUP(B1916,'Form responses 1'!$B$2:$B$2604,'Form responses 1'!$F$2:$F$2604,""))</f>
        <v/>
      </c>
      <c r="I1916" s="44" t="str">
        <f t="array" ref="I1916">IF(B1916="","",_xlfn.XLOOKUP(B1916,'Form responses 1'!$B$2:$B$2604,'Form responses 1'!$I$2:$I$2604,""))</f>
        <v/>
      </c>
      <c r="J1916" s="44" t="str">
        <f t="array" ref="J1916">IF(B1916="","",_xlfn.XLOOKUP(B1916,'Form responses 1'!$B$2:$B$2604,'Form responses 1'!$G$2:$G$2604,""))</f>
        <v/>
      </c>
      <c r="K1916" s="56"/>
      <c r="L1916" s="58" t="str">
        <f t="shared" si="7"/>
        <v/>
      </c>
      <c r="M1916" s="49"/>
      <c r="N1916" s="49"/>
      <c r="O1916" s="49"/>
      <c r="P1916" s="49"/>
      <c r="Q1916" s="49"/>
      <c r="R1916" s="49"/>
      <c r="S1916" s="49"/>
      <c r="T1916" s="49"/>
      <c r="U1916" s="49"/>
      <c r="V1916" s="49"/>
      <c r="W1916" s="56"/>
      <c r="X1916" s="51" t="str">
        <f t="shared" si="5"/>
        <v/>
      </c>
      <c r="Y1916" s="50" t="s">
        <v>482</v>
      </c>
      <c r="Z1916" s="49">
        <f t="shared" si="6"/>
        <v>0</v>
      </c>
    </row>
    <row r="1917" ht="22.5" customHeight="1">
      <c r="B1917" s="57"/>
      <c r="C1917" s="43" t="str">
        <f t="array" ref="C1917">IF(B1917="","",_xlfn.XLOOKUP(B1917,'Form responses 1'!$B$2:$B$2604,'Form responses 1'!$A$2:$A$2604,""))</f>
        <v/>
      </c>
      <c r="D1917" s="44" t="str">
        <f t="shared" si="3"/>
        <v/>
      </c>
      <c r="E1917" s="44" t="str">
        <f t="array" ref="E1917">IF(B1917="","",_xlfn.XLOOKUP(B1917,'Form responses 1'!$B$2:$B$2604,'Form responses 1'!$C$2:$C$2604,""))</f>
        <v/>
      </c>
      <c r="F1917" s="44" t="str">
        <f t="array" ref="F1917">IF(B1917="","",_xlfn.XLOOKUP(B1917,'Form responses 1'!$B$2:$B$2604,'Form responses 1'!$D$2:$D$2604,""))</f>
        <v/>
      </c>
      <c r="G1917" s="44" t="str">
        <f t="array" ref="G1917">IF(B1917="","",_xlfn.XLOOKUP(B1917,'Form responses 1'!$B$2:$B$2604,'Form responses 1'!$E$2:$E$2604,""))</f>
        <v/>
      </c>
      <c r="H1917" s="44" t="str">
        <f t="array" ref="H1917">IF(B1917="","",_xlfn.XLOOKUP(B1917,'Form responses 1'!$B$2:$B$2604,'Form responses 1'!$F$2:$F$2604,""))</f>
        <v/>
      </c>
      <c r="I1917" s="44" t="str">
        <f t="array" ref="I1917">IF(B1917="","",_xlfn.XLOOKUP(B1917,'Form responses 1'!$B$2:$B$2604,'Form responses 1'!$I$2:$I$2604,""))</f>
        <v/>
      </c>
      <c r="J1917" s="44" t="str">
        <f t="array" ref="J1917">IF(B1917="","",_xlfn.XLOOKUP(B1917,'Form responses 1'!$B$2:$B$2604,'Form responses 1'!$G$2:$G$2604,""))</f>
        <v/>
      </c>
      <c r="K1917" s="56"/>
      <c r="L1917" s="58" t="str">
        <f t="shared" si="7"/>
        <v/>
      </c>
      <c r="M1917" s="49"/>
      <c r="N1917" s="49"/>
      <c r="O1917" s="49"/>
      <c r="P1917" s="49"/>
      <c r="Q1917" s="49"/>
      <c r="R1917" s="49"/>
      <c r="S1917" s="49"/>
      <c r="T1917" s="49"/>
      <c r="U1917" s="49"/>
      <c r="V1917" s="49"/>
      <c r="W1917" s="56"/>
      <c r="X1917" s="51" t="str">
        <f t="shared" si="5"/>
        <v/>
      </c>
      <c r="Y1917" s="50" t="s">
        <v>482</v>
      </c>
      <c r="Z1917" s="49">
        <f t="shared" si="6"/>
        <v>0</v>
      </c>
    </row>
    <row r="1918" ht="22.5" customHeight="1">
      <c r="B1918" s="57"/>
      <c r="C1918" s="43" t="str">
        <f t="array" ref="C1918">IF(B1918="","",_xlfn.XLOOKUP(B1918,'Form responses 1'!$B$2:$B$2604,'Form responses 1'!$A$2:$A$2604,""))</f>
        <v/>
      </c>
      <c r="D1918" s="44" t="str">
        <f t="shared" si="3"/>
        <v/>
      </c>
      <c r="E1918" s="44" t="str">
        <f t="array" ref="E1918">IF(B1918="","",_xlfn.XLOOKUP(B1918,'Form responses 1'!$B$2:$B$2604,'Form responses 1'!$C$2:$C$2604,""))</f>
        <v/>
      </c>
      <c r="F1918" s="44" t="str">
        <f t="array" ref="F1918">IF(B1918="","",_xlfn.XLOOKUP(B1918,'Form responses 1'!$B$2:$B$2604,'Form responses 1'!$D$2:$D$2604,""))</f>
        <v/>
      </c>
      <c r="G1918" s="44" t="str">
        <f t="array" ref="G1918">IF(B1918="","",_xlfn.XLOOKUP(B1918,'Form responses 1'!$B$2:$B$2604,'Form responses 1'!$E$2:$E$2604,""))</f>
        <v/>
      </c>
      <c r="H1918" s="44" t="str">
        <f t="array" ref="H1918">IF(B1918="","",_xlfn.XLOOKUP(B1918,'Form responses 1'!$B$2:$B$2604,'Form responses 1'!$F$2:$F$2604,""))</f>
        <v/>
      </c>
      <c r="I1918" s="44" t="str">
        <f t="array" ref="I1918">IF(B1918="","",_xlfn.XLOOKUP(B1918,'Form responses 1'!$B$2:$B$2604,'Form responses 1'!$I$2:$I$2604,""))</f>
        <v/>
      </c>
      <c r="J1918" s="44" t="str">
        <f t="array" ref="J1918">IF(B1918="","",_xlfn.XLOOKUP(B1918,'Form responses 1'!$B$2:$B$2604,'Form responses 1'!$G$2:$G$2604,""))</f>
        <v/>
      </c>
      <c r="K1918" s="56"/>
      <c r="L1918" s="58" t="str">
        <f t="shared" si="7"/>
        <v/>
      </c>
      <c r="M1918" s="49"/>
      <c r="N1918" s="49"/>
      <c r="O1918" s="49"/>
      <c r="P1918" s="49"/>
      <c r="Q1918" s="49"/>
      <c r="R1918" s="49"/>
      <c r="S1918" s="49"/>
      <c r="T1918" s="49"/>
      <c r="U1918" s="49"/>
      <c r="V1918" s="49"/>
      <c r="W1918" s="56"/>
      <c r="X1918" s="51" t="str">
        <f t="shared" si="5"/>
        <v/>
      </c>
      <c r="Y1918" s="50" t="s">
        <v>482</v>
      </c>
      <c r="Z1918" s="49">
        <f t="shared" si="6"/>
        <v>0</v>
      </c>
    </row>
    <row r="1919" ht="22.5" customHeight="1">
      <c r="B1919" s="57"/>
      <c r="C1919" s="43" t="str">
        <f t="array" ref="C1919">IF(B1919="","",_xlfn.XLOOKUP(B1919,'Form responses 1'!$B$2:$B$2604,'Form responses 1'!$A$2:$A$2604,""))</f>
        <v/>
      </c>
      <c r="D1919" s="44" t="str">
        <f t="shared" si="3"/>
        <v/>
      </c>
      <c r="E1919" s="44" t="str">
        <f t="array" ref="E1919">IF(B1919="","",_xlfn.XLOOKUP(B1919,'Form responses 1'!$B$2:$B$2604,'Form responses 1'!$C$2:$C$2604,""))</f>
        <v/>
      </c>
      <c r="F1919" s="44" t="str">
        <f t="array" ref="F1919">IF(B1919="","",_xlfn.XLOOKUP(B1919,'Form responses 1'!$B$2:$B$2604,'Form responses 1'!$D$2:$D$2604,""))</f>
        <v/>
      </c>
      <c r="G1919" s="44" t="str">
        <f t="array" ref="G1919">IF(B1919="","",_xlfn.XLOOKUP(B1919,'Form responses 1'!$B$2:$B$2604,'Form responses 1'!$E$2:$E$2604,""))</f>
        <v/>
      </c>
      <c r="H1919" s="44" t="str">
        <f t="array" ref="H1919">IF(B1919="","",_xlfn.XLOOKUP(B1919,'Form responses 1'!$B$2:$B$2604,'Form responses 1'!$F$2:$F$2604,""))</f>
        <v/>
      </c>
      <c r="I1919" s="44" t="str">
        <f t="array" ref="I1919">IF(B1919="","",_xlfn.XLOOKUP(B1919,'Form responses 1'!$B$2:$B$2604,'Form responses 1'!$I$2:$I$2604,""))</f>
        <v/>
      </c>
      <c r="J1919" s="44" t="str">
        <f t="array" ref="J1919">IF(B1919="","",_xlfn.XLOOKUP(B1919,'Form responses 1'!$B$2:$B$2604,'Form responses 1'!$G$2:$G$2604,""))</f>
        <v/>
      </c>
      <c r="K1919" s="56"/>
      <c r="L1919" s="58" t="str">
        <f t="shared" si="7"/>
        <v/>
      </c>
      <c r="M1919" s="49"/>
      <c r="N1919" s="49"/>
      <c r="O1919" s="49"/>
      <c r="P1919" s="49"/>
      <c r="Q1919" s="49"/>
      <c r="R1919" s="49"/>
      <c r="S1919" s="49"/>
      <c r="T1919" s="49"/>
      <c r="U1919" s="49"/>
      <c r="V1919" s="49"/>
      <c r="W1919" s="56"/>
      <c r="X1919" s="51" t="str">
        <f t="shared" si="5"/>
        <v/>
      </c>
      <c r="Y1919" s="50" t="s">
        <v>482</v>
      </c>
      <c r="Z1919" s="49">
        <f t="shared" si="6"/>
        <v>0</v>
      </c>
    </row>
    <row r="1920" ht="22.5" customHeight="1">
      <c r="B1920" s="57"/>
      <c r="C1920" s="43" t="str">
        <f t="array" ref="C1920">IF(B1920="","",_xlfn.XLOOKUP(B1920,'Form responses 1'!$B$2:$B$2604,'Form responses 1'!$A$2:$A$2604,""))</f>
        <v/>
      </c>
      <c r="D1920" s="44" t="str">
        <f t="shared" si="3"/>
        <v/>
      </c>
      <c r="E1920" s="44" t="str">
        <f t="array" ref="E1920">IF(B1920="","",_xlfn.XLOOKUP(B1920,'Form responses 1'!$B$2:$B$2604,'Form responses 1'!$C$2:$C$2604,""))</f>
        <v/>
      </c>
      <c r="F1920" s="44" t="str">
        <f t="array" ref="F1920">IF(B1920="","",_xlfn.XLOOKUP(B1920,'Form responses 1'!$B$2:$B$2604,'Form responses 1'!$D$2:$D$2604,""))</f>
        <v/>
      </c>
      <c r="G1920" s="44" t="str">
        <f t="array" ref="G1920">IF(B1920="","",_xlfn.XLOOKUP(B1920,'Form responses 1'!$B$2:$B$2604,'Form responses 1'!$E$2:$E$2604,""))</f>
        <v/>
      </c>
      <c r="H1920" s="44" t="str">
        <f t="array" ref="H1920">IF(B1920="","",_xlfn.XLOOKUP(B1920,'Form responses 1'!$B$2:$B$2604,'Form responses 1'!$F$2:$F$2604,""))</f>
        <v/>
      </c>
      <c r="I1920" s="44" t="str">
        <f t="array" ref="I1920">IF(B1920="","",_xlfn.XLOOKUP(B1920,'Form responses 1'!$B$2:$B$2604,'Form responses 1'!$I$2:$I$2604,""))</f>
        <v/>
      </c>
      <c r="J1920" s="44" t="str">
        <f t="array" ref="J1920">IF(B1920="","",_xlfn.XLOOKUP(B1920,'Form responses 1'!$B$2:$B$2604,'Form responses 1'!$G$2:$G$2604,""))</f>
        <v/>
      </c>
      <c r="K1920" s="56"/>
      <c r="L1920" s="58" t="str">
        <f t="shared" si="7"/>
        <v/>
      </c>
      <c r="M1920" s="49"/>
      <c r="N1920" s="49"/>
      <c r="O1920" s="49"/>
      <c r="P1920" s="49"/>
      <c r="Q1920" s="49"/>
      <c r="R1920" s="49"/>
      <c r="S1920" s="49"/>
      <c r="T1920" s="49"/>
      <c r="U1920" s="49"/>
      <c r="V1920" s="49"/>
      <c r="W1920" s="56"/>
      <c r="X1920" s="51" t="str">
        <f t="shared" si="5"/>
        <v/>
      </c>
      <c r="Y1920" s="50" t="s">
        <v>482</v>
      </c>
      <c r="Z1920" s="49">
        <f t="shared" si="6"/>
        <v>0</v>
      </c>
    </row>
    <row r="1921" ht="22.5" customHeight="1">
      <c r="B1921" s="57"/>
      <c r="C1921" s="43" t="str">
        <f t="array" ref="C1921">IF(B1921="","",_xlfn.XLOOKUP(B1921,'Form responses 1'!$B$2:$B$2604,'Form responses 1'!$A$2:$A$2604,""))</f>
        <v/>
      </c>
      <c r="D1921" s="44" t="str">
        <f t="shared" si="3"/>
        <v/>
      </c>
      <c r="E1921" s="44" t="str">
        <f t="array" ref="E1921">IF(B1921="","",_xlfn.XLOOKUP(B1921,'Form responses 1'!$B$2:$B$2604,'Form responses 1'!$C$2:$C$2604,""))</f>
        <v/>
      </c>
      <c r="F1921" s="44" t="str">
        <f t="array" ref="F1921">IF(B1921="","",_xlfn.XLOOKUP(B1921,'Form responses 1'!$B$2:$B$2604,'Form responses 1'!$D$2:$D$2604,""))</f>
        <v/>
      </c>
      <c r="G1921" s="44" t="str">
        <f t="array" ref="G1921">IF(B1921="","",_xlfn.XLOOKUP(B1921,'Form responses 1'!$B$2:$B$2604,'Form responses 1'!$E$2:$E$2604,""))</f>
        <v/>
      </c>
      <c r="H1921" s="44" t="str">
        <f t="array" ref="H1921">IF(B1921="","",_xlfn.XLOOKUP(B1921,'Form responses 1'!$B$2:$B$2604,'Form responses 1'!$F$2:$F$2604,""))</f>
        <v/>
      </c>
      <c r="I1921" s="44" t="str">
        <f t="array" ref="I1921">IF(B1921="","",_xlfn.XLOOKUP(B1921,'Form responses 1'!$B$2:$B$2604,'Form responses 1'!$I$2:$I$2604,""))</f>
        <v/>
      </c>
      <c r="J1921" s="44" t="str">
        <f t="array" ref="J1921">IF(B1921="","",_xlfn.XLOOKUP(B1921,'Form responses 1'!$B$2:$B$2604,'Form responses 1'!$G$2:$G$2604,""))</f>
        <v/>
      </c>
      <c r="K1921" s="56"/>
      <c r="L1921" s="58" t="str">
        <f t="shared" si="7"/>
        <v/>
      </c>
      <c r="M1921" s="49"/>
      <c r="N1921" s="49"/>
      <c r="O1921" s="49"/>
      <c r="P1921" s="49"/>
      <c r="Q1921" s="49"/>
      <c r="R1921" s="49"/>
      <c r="S1921" s="49"/>
      <c r="T1921" s="49"/>
      <c r="U1921" s="49"/>
      <c r="V1921" s="49"/>
      <c r="W1921" s="56"/>
      <c r="X1921" s="51" t="str">
        <f t="shared" si="5"/>
        <v/>
      </c>
      <c r="Y1921" s="50" t="s">
        <v>482</v>
      </c>
      <c r="Z1921" s="49">
        <f t="shared" si="6"/>
        <v>0</v>
      </c>
    </row>
    <row r="1922" ht="22.5" customHeight="1">
      <c r="B1922" s="57"/>
      <c r="C1922" s="43" t="str">
        <f t="array" ref="C1922">IF(B1922="","",_xlfn.XLOOKUP(B1922,'Form responses 1'!$B$2:$B$2604,'Form responses 1'!$A$2:$A$2604,""))</f>
        <v/>
      </c>
      <c r="D1922" s="44" t="str">
        <f t="shared" si="3"/>
        <v/>
      </c>
      <c r="E1922" s="44" t="str">
        <f t="array" ref="E1922">IF(B1922="","",_xlfn.XLOOKUP(B1922,'Form responses 1'!$B$2:$B$2604,'Form responses 1'!$C$2:$C$2604,""))</f>
        <v/>
      </c>
      <c r="F1922" s="44" t="str">
        <f t="array" ref="F1922">IF(B1922="","",_xlfn.XLOOKUP(B1922,'Form responses 1'!$B$2:$B$2604,'Form responses 1'!$D$2:$D$2604,""))</f>
        <v/>
      </c>
      <c r="G1922" s="44" t="str">
        <f t="array" ref="G1922">IF(B1922="","",_xlfn.XLOOKUP(B1922,'Form responses 1'!$B$2:$B$2604,'Form responses 1'!$E$2:$E$2604,""))</f>
        <v/>
      </c>
      <c r="H1922" s="44" t="str">
        <f t="array" ref="H1922">IF(B1922="","",_xlfn.XLOOKUP(B1922,'Form responses 1'!$B$2:$B$2604,'Form responses 1'!$F$2:$F$2604,""))</f>
        <v/>
      </c>
      <c r="I1922" s="44" t="str">
        <f t="array" ref="I1922">IF(B1922="","",_xlfn.XLOOKUP(B1922,'Form responses 1'!$B$2:$B$2604,'Form responses 1'!$I$2:$I$2604,""))</f>
        <v/>
      </c>
      <c r="J1922" s="44" t="str">
        <f t="array" ref="J1922">IF(B1922="","",_xlfn.XLOOKUP(B1922,'Form responses 1'!$B$2:$B$2604,'Form responses 1'!$G$2:$G$2604,""))</f>
        <v/>
      </c>
      <c r="K1922" s="56"/>
      <c r="L1922" s="58" t="str">
        <f t="shared" si="7"/>
        <v/>
      </c>
      <c r="M1922" s="49"/>
      <c r="N1922" s="49"/>
      <c r="O1922" s="49"/>
      <c r="P1922" s="49"/>
      <c r="Q1922" s="49"/>
      <c r="R1922" s="49"/>
      <c r="S1922" s="49"/>
      <c r="T1922" s="49"/>
      <c r="U1922" s="49"/>
      <c r="V1922" s="49"/>
      <c r="W1922" s="56"/>
      <c r="X1922" s="51" t="str">
        <f t="shared" si="5"/>
        <v/>
      </c>
      <c r="Y1922" s="50" t="s">
        <v>482</v>
      </c>
      <c r="Z1922" s="49">
        <f t="shared" si="6"/>
        <v>0</v>
      </c>
    </row>
    <row r="1923" ht="22.5" customHeight="1">
      <c r="B1923" s="57"/>
      <c r="C1923" s="43" t="str">
        <f t="array" ref="C1923">IF(B1923="","",_xlfn.XLOOKUP(B1923,'Form responses 1'!$B$2:$B$2604,'Form responses 1'!$A$2:$A$2604,""))</f>
        <v/>
      </c>
      <c r="D1923" s="44" t="str">
        <f t="shared" si="3"/>
        <v/>
      </c>
      <c r="E1923" s="44" t="str">
        <f t="array" ref="E1923">IF(B1923="","",_xlfn.XLOOKUP(B1923,'Form responses 1'!$B$2:$B$2604,'Form responses 1'!$C$2:$C$2604,""))</f>
        <v/>
      </c>
      <c r="F1923" s="44" t="str">
        <f t="array" ref="F1923">IF(B1923="","",_xlfn.XLOOKUP(B1923,'Form responses 1'!$B$2:$B$2604,'Form responses 1'!$D$2:$D$2604,""))</f>
        <v/>
      </c>
      <c r="G1923" s="44" t="str">
        <f t="array" ref="G1923">IF(B1923="","",_xlfn.XLOOKUP(B1923,'Form responses 1'!$B$2:$B$2604,'Form responses 1'!$E$2:$E$2604,""))</f>
        <v/>
      </c>
      <c r="H1923" s="44" t="str">
        <f t="array" ref="H1923">IF(B1923="","",_xlfn.XLOOKUP(B1923,'Form responses 1'!$B$2:$B$2604,'Form responses 1'!$F$2:$F$2604,""))</f>
        <v/>
      </c>
      <c r="I1923" s="44" t="str">
        <f t="array" ref="I1923">IF(B1923="","",_xlfn.XLOOKUP(B1923,'Form responses 1'!$B$2:$B$2604,'Form responses 1'!$I$2:$I$2604,""))</f>
        <v/>
      </c>
      <c r="J1923" s="44" t="str">
        <f t="array" ref="J1923">IF(B1923="","",_xlfn.XLOOKUP(B1923,'Form responses 1'!$B$2:$B$2604,'Form responses 1'!$G$2:$G$2604,""))</f>
        <v/>
      </c>
      <c r="K1923" s="56"/>
      <c r="L1923" s="58" t="str">
        <f t="shared" si="7"/>
        <v/>
      </c>
      <c r="M1923" s="49"/>
      <c r="N1923" s="49"/>
      <c r="O1923" s="49"/>
      <c r="P1923" s="49"/>
      <c r="Q1923" s="49"/>
      <c r="R1923" s="49"/>
      <c r="S1923" s="49"/>
      <c r="T1923" s="49"/>
      <c r="U1923" s="49"/>
      <c r="V1923" s="49"/>
      <c r="W1923" s="56"/>
      <c r="X1923" s="51" t="str">
        <f t="shared" si="5"/>
        <v/>
      </c>
      <c r="Y1923" s="50" t="s">
        <v>482</v>
      </c>
      <c r="Z1923" s="49">
        <f t="shared" si="6"/>
        <v>0</v>
      </c>
    </row>
    <row r="1924" ht="22.5" customHeight="1">
      <c r="B1924" s="57"/>
      <c r="C1924" s="43" t="str">
        <f t="array" ref="C1924">IF(B1924="","",_xlfn.XLOOKUP(B1924,'Form responses 1'!$B$2:$B$2604,'Form responses 1'!$A$2:$A$2604,""))</f>
        <v/>
      </c>
      <c r="D1924" s="44" t="str">
        <f t="shared" si="3"/>
        <v/>
      </c>
      <c r="E1924" s="44" t="str">
        <f t="array" ref="E1924">IF(B1924="","",_xlfn.XLOOKUP(B1924,'Form responses 1'!$B$2:$B$2604,'Form responses 1'!$C$2:$C$2604,""))</f>
        <v/>
      </c>
      <c r="F1924" s="44" t="str">
        <f t="array" ref="F1924">IF(B1924="","",_xlfn.XLOOKUP(B1924,'Form responses 1'!$B$2:$B$2604,'Form responses 1'!$D$2:$D$2604,""))</f>
        <v/>
      </c>
      <c r="G1924" s="44" t="str">
        <f t="array" ref="G1924">IF(B1924="","",_xlfn.XLOOKUP(B1924,'Form responses 1'!$B$2:$B$2604,'Form responses 1'!$E$2:$E$2604,""))</f>
        <v/>
      </c>
      <c r="H1924" s="44" t="str">
        <f t="array" ref="H1924">IF(B1924="","",_xlfn.XLOOKUP(B1924,'Form responses 1'!$B$2:$B$2604,'Form responses 1'!$F$2:$F$2604,""))</f>
        <v/>
      </c>
      <c r="I1924" s="44" t="str">
        <f t="array" ref="I1924">IF(B1924="","",_xlfn.XLOOKUP(B1924,'Form responses 1'!$B$2:$B$2604,'Form responses 1'!$I$2:$I$2604,""))</f>
        <v/>
      </c>
      <c r="J1924" s="44" t="str">
        <f t="array" ref="J1924">IF(B1924="","",_xlfn.XLOOKUP(B1924,'Form responses 1'!$B$2:$B$2604,'Form responses 1'!$G$2:$G$2604,""))</f>
        <v/>
      </c>
      <c r="K1924" s="56"/>
      <c r="L1924" s="58" t="str">
        <f t="shared" si="7"/>
        <v/>
      </c>
      <c r="M1924" s="49"/>
      <c r="N1924" s="49"/>
      <c r="O1924" s="49"/>
      <c r="P1924" s="49"/>
      <c r="Q1924" s="49"/>
      <c r="R1924" s="49"/>
      <c r="S1924" s="49"/>
      <c r="T1924" s="49"/>
      <c r="U1924" s="49"/>
      <c r="V1924" s="49"/>
      <c r="W1924" s="56"/>
      <c r="X1924" s="51" t="str">
        <f t="shared" si="5"/>
        <v/>
      </c>
      <c r="Y1924" s="50" t="s">
        <v>482</v>
      </c>
      <c r="Z1924" s="49">
        <f t="shared" si="6"/>
        <v>0</v>
      </c>
    </row>
    <row r="1925" ht="22.5" customHeight="1">
      <c r="B1925" s="57"/>
      <c r="C1925" s="43" t="str">
        <f t="array" ref="C1925">IF(B1925="","",_xlfn.XLOOKUP(B1925,'Form responses 1'!$B$2:$B$2604,'Form responses 1'!$A$2:$A$2604,""))</f>
        <v/>
      </c>
      <c r="D1925" s="44" t="str">
        <f t="shared" si="3"/>
        <v/>
      </c>
      <c r="E1925" s="44" t="str">
        <f t="array" ref="E1925">IF(B1925="","",_xlfn.XLOOKUP(B1925,'Form responses 1'!$B$2:$B$2604,'Form responses 1'!$C$2:$C$2604,""))</f>
        <v/>
      </c>
      <c r="F1925" s="44" t="str">
        <f t="array" ref="F1925">IF(B1925="","",_xlfn.XLOOKUP(B1925,'Form responses 1'!$B$2:$B$2604,'Form responses 1'!$D$2:$D$2604,""))</f>
        <v/>
      </c>
      <c r="G1925" s="44" t="str">
        <f t="array" ref="G1925">IF(B1925="","",_xlfn.XLOOKUP(B1925,'Form responses 1'!$B$2:$B$2604,'Form responses 1'!$E$2:$E$2604,""))</f>
        <v/>
      </c>
      <c r="H1925" s="44" t="str">
        <f t="array" ref="H1925">IF(B1925="","",_xlfn.XLOOKUP(B1925,'Form responses 1'!$B$2:$B$2604,'Form responses 1'!$F$2:$F$2604,""))</f>
        <v/>
      </c>
      <c r="I1925" s="44" t="str">
        <f t="array" ref="I1925">IF(B1925="","",_xlfn.XLOOKUP(B1925,'Form responses 1'!$B$2:$B$2604,'Form responses 1'!$I$2:$I$2604,""))</f>
        <v/>
      </c>
      <c r="J1925" s="44" t="str">
        <f t="array" ref="J1925">IF(B1925="","",_xlfn.XLOOKUP(B1925,'Form responses 1'!$B$2:$B$2604,'Form responses 1'!$G$2:$G$2604,""))</f>
        <v/>
      </c>
      <c r="K1925" s="56"/>
      <c r="L1925" s="58" t="str">
        <f t="shared" si="7"/>
        <v/>
      </c>
      <c r="M1925" s="49"/>
      <c r="N1925" s="49"/>
      <c r="O1925" s="49"/>
      <c r="P1925" s="49"/>
      <c r="Q1925" s="49"/>
      <c r="R1925" s="49"/>
      <c r="S1925" s="49"/>
      <c r="T1925" s="49"/>
      <c r="U1925" s="49"/>
      <c r="V1925" s="49"/>
      <c r="W1925" s="56"/>
      <c r="X1925" s="51" t="str">
        <f t="shared" si="5"/>
        <v/>
      </c>
      <c r="Y1925" s="50" t="s">
        <v>482</v>
      </c>
      <c r="Z1925" s="49">
        <f t="shared" si="6"/>
        <v>0</v>
      </c>
    </row>
    <row r="1926" ht="22.5" customHeight="1">
      <c r="B1926" s="57"/>
      <c r="C1926" s="43" t="str">
        <f t="array" ref="C1926">IF(B1926="","",_xlfn.XLOOKUP(B1926,'Form responses 1'!$B$2:$B$2604,'Form responses 1'!$A$2:$A$2604,""))</f>
        <v/>
      </c>
      <c r="D1926" s="44" t="str">
        <f t="shared" si="3"/>
        <v/>
      </c>
      <c r="E1926" s="44" t="str">
        <f t="array" ref="E1926">IF(B1926="","",_xlfn.XLOOKUP(B1926,'Form responses 1'!$B$2:$B$2604,'Form responses 1'!$C$2:$C$2604,""))</f>
        <v/>
      </c>
      <c r="F1926" s="44" t="str">
        <f t="array" ref="F1926">IF(B1926="","",_xlfn.XLOOKUP(B1926,'Form responses 1'!$B$2:$B$2604,'Form responses 1'!$D$2:$D$2604,""))</f>
        <v/>
      </c>
      <c r="G1926" s="44" t="str">
        <f t="array" ref="G1926">IF(B1926="","",_xlfn.XLOOKUP(B1926,'Form responses 1'!$B$2:$B$2604,'Form responses 1'!$E$2:$E$2604,""))</f>
        <v/>
      </c>
      <c r="H1926" s="44" t="str">
        <f t="array" ref="H1926">IF(B1926="","",_xlfn.XLOOKUP(B1926,'Form responses 1'!$B$2:$B$2604,'Form responses 1'!$F$2:$F$2604,""))</f>
        <v/>
      </c>
      <c r="I1926" s="44" t="str">
        <f t="array" ref="I1926">IF(B1926="","",_xlfn.XLOOKUP(B1926,'Form responses 1'!$B$2:$B$2604,'Form responses 1'!$I$2:$I$2604,""))</f>
        <v/>
      </c>
      <c r="J1926" s="44" t="str">
        <f t="array" ref="J1926">IF(B1926="","",_xlfn.XLOOKUP(B1926,'Form responses 1'!$B$2:$B$2604,'Form responses 1'!$G$2:$G$2604,""))</f>
        <v/>
      </c>
      <c r="K1926" s="56"/>
      <c r="L1926" s="58" t="str">
        <f t="shared" si="7"/>
        <v/>
      </c>
      <c r="M1926" s="49"/>
      <c r="N1926" s="49"/>
      <c r="O1926" s="49"/>
      <c r="P1926" s="49"/>
      <c r="Q1926" s="49"/>
      <c r="R1926" s="49"/>
      <c r="S1926" s="49"/>
      <c r="T1926" s="49"/>
      <c r="U1926" s="49"/>
      <c r="V1926" s="49"/>
      <c r="W1926" s="56"/>
      <c r="X1926" s="51" t="str">
        <f t="shared" si="5"/>
        <v/>
      </c>
      <c r="Y1926" s="50" t="s">
        <v>482</v>
      </c>
      <c r="Z1926" s="49">
        <f t="shared" si="6"/>
        <v>0</v>
      </c>
    </row>
    <row r="1927" ht="22.5" customHeight="1">
      <c r="B1927" s="57"/>
      <c r="C1927" s="43" t="str">
        <f t="array" ref="C1927">IF(B1927="","",_xlfn.XLOOKUP(B1927,'Form responses 1'!$B$2:$B$2604,'Form responses 1'!$A$2:$A$2604,""))</f>
        <v/>
      </c>
      <c r="D1927" s="44" t="str">
        <f t="shared" si="3"/>
        <v/>
      </c>
      <c r="E1927" s="44" t="str">
        <f t="array" ref="E1927">IF(B1927="","",_xlfn.XLOOKUP(B1927,'Form responses 1'!$B$2:$B$2604,'Form responses 1'!$C$2:$C$2604,""))</f>
        <v/>
      </c>
      <c r="F1927" s="44" t="str">
        <f t="array" ref="F1927">IF(B1927="","",_xlfn.XLOOKUP(B1927,'Form responses 1'!$B$2:$B$2604,'Form responses 1'!$D$2:$D$2604,""))</f>
        <v/>
      </c>
      <c r="G1927" s="44" t="str">
        <f t="array" ref="G1927">IF(B1927="","",_xlfn.XLOOKUP(B1927,'Form responses 1'!$B$2:$B$2604,'Form responses 1'!$E$2:$E$2604,""))</f>
        <v/>
      </c>
      <c r="H1927" s="44" t="str">
        <f t="array" ref="H1927">IF(B1927="","",_xlfn.XLOOKUP(B1927,'Form responses 1'!$B$2:$B$2604,'Form responses 1'!$F$2:$F$2604,""))</f>
        <v/>
      </c>
      <c r="I1927" s="44" t="str">
        <f t="array" ref="I1927">IF(B1927="","",_xlfn.XLOOKUP(B1927,'Form responses 1'!$B$2:$B$2604,'Form responses 1'!$I$2:$I$2604,""))</f>
        <v/>
      </c>
      <c r="J1927" s="44" t="str">
        <f t="array" ref="J1927">IF(B1927="","",_xlfn.XLOOKUP(B1927,'Form responses 1'!$B$2:$B$2604,'Form responses 1'!$G$2:$G$2604,""))</f>
        <v/>
      </c>
      <c r="K1927" s="56"/>
      <c r="L1927" s="58" t="str">
        <f t="shared" si="7"/>
        <v/>
      </c>
      <c r="M1927" s="49"/>
      <c r="N1927" s="49"/>
      <c r="O1927" s="49"/>
      <c r="P1927" s="49"/>
      <c r="Q1927" s="49"/>
      <c r="R1927" s="49"/>
      <c r="S1927" s="49"/>
      <c r="T1927" s="49"/>
      <c r="U1927" s="49"/>
      <c r="V1927" s="49"/>
      <c r="W1927" s="56"/>
      <c r="X1927" s="51" t="str">
        <f t="shared" si="5"/>
        <v/>
      </c>
      <c r="Y1927" s="50" t="s">
        <v>482</v>
      </c>
      <c r="Z1927" s="49">
        <f t="shared" si="6"/>
        <v>0</v>
      </c>
    </row>
    <row r="1928" ht="22.5" customHeight="1">
      <c r="B1928" s="57"/>
      <c r="C1928" s="43" t="str">
        <f t="array" ref="C1928">IF(B1928="","",_xlfn.XLOOKUP(B1928,'Form responses 1'!$B$2:$B$2604,'Form responses 1'!$A$2:$A$2604,""))</f>
        <v/>
      </c>
      <c r="D1928" s="44" t="str">
        <f t="shared" si="3"/>
        <v/>
      </c>
      <c r="E1928" s="44" t="str">
        <f t="array" ref="E1928">IF(B1928="","",_xlfn.XLOOKUP(B1928,'Form responses 1'!$B$2:$B$2604,'Form responses 1'!$C$2:$C$2604,""))</f>
        <v/>
      </c>
      <c r="F1928" s="44" t="str">
        <f t="array" ref="F1928">IF(B1928="","",_xlfn.XLOOKUP(B1928,'Form responses 1'!$B$2:$B$2604,'Form responses 1'!$D$2:$D$2604,""))</f>
        <v/>
      </c>
      <c r="G1928" s="44" t="str">
        <f t="array" ref="G1928">IF(B1928="","",_xlfn.XLOOKUP(B1928,'Form responses 1'!$B$2:$B$2604,'Form responses 1'!$E$2:$E$2604,""))</f>
        <v/>
      </c>
      <c r="H1928" s="44" t="str">
        <f t="array" ref="H1928">IF(B1928="","",_xlfn.XLOOKUP(B1928,'Form responses 1'!$B$2:$B$2604,'Form responses 1'!$F$2:$F$2604,""))</f>
        <v/>
      </c>
      <c r="I1928" s="44" t="str">
        <f t="array" ref="I1928">IF(B1928="","",_xlfn.XLOOKUP(B1928,'Form responses 1'!$B$2:$B$2604,'Form responses 1'!$I$2:$I$2604,""))</f>
        <v/>
      </c>
      <c r="J1928" s="44" t="str">
        <f t="array" ref="J1928">IF(B1928="","",_xlfn.XLOOKUP(B1928,'Form responses 1'!$B$2:$B$2604,'Form responses 1'!$G$2:$G$2604,""))</f>
        <v/>
      </c>
      <c r="K1928" s="56"/>
      <c r="L1928" s="58" t="str">
        <f t="shared" si="7"/>
        <v/>
      </c>
      <c r="M1928" s="49"/>
      <c r="N1928" s="49"/>
      <c r="O1928" s="49"/>
      <c r="P1928" s="49"/>
      <c r="Q1928" s="49"/>
      <c r="R1928" s="49"/>
      <c r="S1928" s="49"/>
      <c r="T1928" s="49"/>
      <c r="U1928" s="49"/>
      <c r="V1928" s="49"/>
      <c r="W1928" s="56"/>
      <c r="X1928" s="51" t="str">
        <f t="shared" si="5"/>
        <v/>
      </c>
      <c r="Y1928" s="50" t="s">
        <v>482</v>
      </c>
      <c r="Z1928" s="49">
        <f t="shared" si="6"/>
        <v>0</v>
      </c>
    </row>
    <row r="1929" ht="22.5" customHeight="1">
      <c r="B1929" s="57"/>
      <c r="C1929" s="43" t="str">
        <f t="array" ref="C1929">IF(B1929="","",_xlfn.XLOOKUP(B1929,'Form responses 1'!$B$2:$B$2604,'Form responses 1'!$A$2:$A$2604,""))</f>
        <v/>
      </c>
      <c r="D1929" s="44" t="str">
        <f t="shared" si="3"/>
        <v/>
      </c>
      <c r="E1929" s="44" t="str">
        <f t="array" ref="E1929">IF(B1929="","",_xlfn.XLOOKUP(B1929,'Form responses 1'!$B$2:$B$2604,'Form responses 1'!$C$2:$C$2604,""))</f>
        <v/>
      </c>
      <c r="F1929" s="44" t="str">
        <f t="array" ref="F1929">IF(B1929="","",_xlfn.XLOOKUP(B1929,'Form responses 1'!$B$2:$B$2604,'Form responses 1'!$D$2:$D$2604,""))</f>
        <v/>
      </c>
      <c r="G1929" s="44" t="str">
        <f t="array" ref="G1929">IF(B1929="","",_xlfn.XLOOKUP(B1929,'Form responses 1'!$B$2:$B$2604,'Form responses 1'!$E$2:$E$2604,""))</f>
        <v/>
      </c>
      <c r="H1929" s="44" t="str">
        <f t="array" ref="H1929">IF(B1929="","",_xlfn.XLOOKUP(B1929,'Form responses 1'!$B$2:$B$2604,'Form responses 1'!$F$2:$F$2604,""))</f>
        <v/>
      </c>
      <c r="I1929" s="44" t="str">
        <f t="array" ref="I1929">IF(B1929="","",_xlfn.XLOOKUP(B1929,'Form responses 1'!$B$2:$B$2604,'Form responses 1'!$I$2:$I$2604,""))</f>
        <v/>
      </c>
      <c r="J1929" s="44" t="str">
        <f t="array" ref="J1929">IF(B1929="","",_xlfn.XLOOKUP(B1929,'Form responses 1'!$B$2:$B$2604,'Form responses 1'!$G$2:$G$2604,""))</f>
        <v/>
      </c>
      <c r="K1929" s="56"/>
      <c r="L1929" s="58" t="str">
        <f t="shared" si="7"/>
        <v/>
      </c>
      <c r="M1929" s="49"/>
      <c r="N1929" s="49"/>
      <c r="O1929" s="49"/>
      <c r="P1929" s="49"/>
      <c r="Q1929" s="49"/>
      <c r="R1929" s="49"/>
      <c r="S1929" s="49"/>
      <c r="T1929" s="49"/>
      <c r="U1929" s="49"/>
      <c r="V1929" s="49"/>
      <c r="W1929" s="56"/>
      <c r="X1929" s="51" t="str">
        <f t="shared" si="5"/>
        <v/>
      </c>
      <c r="Y1929" s="50" t="s">
        <v>482</v>
      </c>
      <c r="Z1929" s="49">
        <f t="shared" si="6"/>
        <v>0</v>
      </c>
    </row>
    <row r="1930" ht="22.5" customHeight="1">
      <c r="B1930" s="57"/>
      <c r="C1930" s="43" t="str">
        <f t="array" ref="C1930">IF(B1930="","",_xlfn.XLOOKUP(B1930,'Form responses 1'!$B$2:$B$2604,'Form responses 1'!$A$2:$A$2604,""))</f>
        <v/>
      </c>
      <c r="D1930" s="44" t="str">
        <f t="shared" si="3"/>
        <v/>
      </c>
      <c r="E1930" s="44" t="str">
        <f t="array" ref="E1930">IF(B1930="","",_xlfn.XLOOKUP(B1930,'Form responses 1'!$B$2:$B$2604,'Form responses 1'!$C$2:$C$2604,""))</f>
        <v/>
      </c>
      <c r="F1930" s="44" t="str">
        <f t="array" ref="F1930">IF(B1930="","",_xlfn.XLOOKUP(B1930,'Form responses 1'!$B$2:$B$2604,'Form responses 1'!$D$2:$D$2604,""))</f>
        <v/>
      </c>
      <c r="G1930" s="44" t="str">
        <f t="array" ref="G1930">IF(B1930="","",_xlfn.XLOOKUP(B1930,'Form responses 1'!$B$2:$B$2604,'Form responses 1'!$E$2:$E$2604,""))</f>
        <v/>
      </c>
      <c r="H1930" s="44" t="str">
        <f t="array" ref="H1930">IF(B1930="","",_xlfn.XLOOKUP(B1930,'Form responses 1'!$B$2:$B$2604,'Form responses 1'!$F$2:$F$2604,""))</f>
        <v/>
      </c>
      <c r="I1930" s="44" t="str">
        <f t="array" ref="I1930">IF(B1930="","",_xlfn.XLOOKUP(B1930,'Form responses 1'!$B$2:$B$2604,'Form responses 1'!$I$2:$I$2604,""))</f>
        <v/>
      </c>
      <c r="J1930" s="44" t="str">
        <f t="array" ref="J1930">IF(B1930="","",_xlfn.XLOOKUP(B1930,'Form responses 1'!$B$2:$B$2604,'Form responses 1'!$G$2:$G$2604,""))</f>
        <v/>
      </c>
      <c r="K1930" s="56"/>
      <c r="L1930" s="58" t="str">
        <f t="shared" si="7"/>
        <v/>
      </c>
      <c r="M1930" s="49"/>
      <c r="N1930" s="49"/>
      <c r="O1930" s="49"/>
      <c r="P1930" s="49"/>
      <c r="Q1930" s="49"/>
      <c r="R1930" s="49"/>
      <c r="S1930" s="49"/>
      <c r="T1930" s="49"/>
      <c r="U1930" s="49"/>
      <c r="V1930" s="49"/>
      <c r="W1930" s="56"/>
      <c r="X1930" s="51" t="str">
        <f t="shared" si="5"/>
        <v/>
      </c>
      <c r="Y1930" s="50" t="s">
        <v>482</v>
      </c>
      <c r="Z1930" s="49">
        <f t="shared" si="6"/>
        <v>0</v>
      </c>
    </row>
    <row r="1931" ht="22.5" customHeight="1">
      <c r="B1931" s="57"/>
      <c r="C1931" s="43" t="str">
        <f t="array" ref="C1931">IF(B1931="","",_xlfn.XLOOKUP(B1931,'Form responses 1'!$B$2:$B$2604,'Form responses 1'!$A$2:$A$2604,""))</f>
        <v/>
      </c>
      <c r="D1931" s="44" t="str">
        <f t="shared" si="3"/>
        <v/>
      </c>
      <c r="E1931" s="44" t="str">
        <f t="array" ref="E1931">IF(B1931="","",_xlfn.XLOOKUP(B1931,'Form responses 1'!$B$2:$B$2604,'Form responses 1'!$C$2:$C$2604,""))</f>
        <v/>
      </c>
      <c r="F1931" s="44" t="str">
        <f t="array" ref="F1931">IF(B1931="","",_xlfn.XLOOKUP(B1931,'Form responses 1'!$B$2:$B$2604,'Form responses 1'!$D$2:$D$2604,""))</f>
        <v/>
      </c>
      <c r="G1931" s="44" t="str">
        <f t="array" ref="G1931">IF(B1931="","",_xlfn.XLOOKUP(B1931,'Form responses 1'!$B$2:$B$2604,'Form responses 1'!$E$2:$E$2604,""))</f>
        <v/>
      </c>
      <c r="H1931" s="44" t="str">
        <f t="array" ref="H1931">IF(B1931="","",_xlfn.XLOOKUP(B1931,'Form responses 1'!$B$2:$B$2604,'Form responses 1'!$F$2:$F$2604,""))</f>
        <v/>
      </c>
      <c r="I1931" s="44" t="str">
        <f t="array" ref="I1931">IF(B1931="","",_xlfn.XLOOKUP(B1931,'Form responses 1'!$B$2:$B$2604,'Form responses 1'!$I$2:$I$2604,""))</f>
        <v/>
      </c>
      <c r="J1931" s="44" t="str">
        <f t="array" ref="J1931">IF(B1931="","",_xlfn.XLOOKUP(B1931,'Form responses 1'!$B$2:$B$2604,'Form responses 1'!$G$2:$G$2604,""))</f>
        <v/>
      </c>
      <c r="K1931" s="56"/>
      <c r="L1931" s="58" t="str">
        <f t="shared" si="7"/>
        <v/>
      </c>
      <c r="M1931" s="49"/>
      <c r="N1931" s="49"/>
      <c r="O1931" s="49"/>
      <c r="P1931" s="49"/>
      <c r="Q1931" s="49"/>
      <c r="R1931" s="49"/>
      <c r="S1931" s="49"/>
      <c r="T1931" s="49"/>
      <c r="U1931" s="49"/>
      <c r="V1931" s="49"/>
      <c r="W1931" s="56"/>
      <c r="X1931" s="51" t="str">
        <f t="shared" si="5"/>
        <v/>
      </c>
      <c r="Y1931" s="50" t="s">
        <v>482</v>
      </c>
      <c r="Z1931" s="49">
        <f t="shared" si="6"/>
        <v>0</v>
      </c>
    </row>
    <row r="1932" ht="22.5" customHeight="1">
      <c r="B1932" s="57"/>
      <c r="C1932" s="43" t="str">
        <f t="array" ref="C1932">IF(B1932="","",_xlfn.XLOOKUP(B1932,'Form responses 1'!$B$2:$B$2604,'Form responses 1'!$A$2:$A$2604,""))</f>
        <v/>
      </c>
      <c r="D1932" s="44" t="str">
        <f t="shared" si="3"/>
        <v/>
      </c>
      <c r="E1932" s="44" t="str">
        <f t="array" ref="E1932">IF(B1932="","",_xlfn.XLOOKUP(B1932,'Form responses 1'!$B$2:$B$2604,'Form responses 1'!$C$2:$C$2604,""))</f>
        <v/>
      </c>
      <c r="F1932" s="44" t="str">
        <f t="array" ref="F1932">IF(B1932="","",_xlfn.XLOOKUP(B1932,'Form responses 1'!$B$2:$B$2604,'Form responses 1'!$D$2:$D$2604,""))</f>
        <v/>
      </c>
      <c r="G1932" s="44" t="str">
        <f t="array" ref="G1932">IF(B1932="","",_xlfn.XLOOKUP(B1932,'Form responses 1'!$B$2:$B$2604,'Form responses 1'!$E$2:$E$2604,""))</f>
        <v/>
      </c>
      <c r="H1932" s="44" t="str">
        <f t="array" ref="H1932">IF(B1932="","",_xlfn.XLOOKUP(B1932,'Form responses 1'!$B$2:$B$2604,'Form responses 1'!$F$2:$F$2604,""))</f>
        <v/>
      </c>
      <c r="I1932" s="44" t="str">
        <f t="array" ref="I1932">IF(B1932="","",_xlfn.XLOOKUP(B1932,'Form responses 1'!$B$2:$B$2604,'Form responses 1'!$I$2:$I$2604,""))</f>
        <v/>
      </c>
      <c r="J1932" s="44" t="str">
        <f t="array" ref="J1932">IF(B1932="","",_xlfn.XLOOKUP(B1932,'Form responses 1'!$B$2:$B$2604,'Form responses 1'!$G$2:$G$2604,""))</f>
        <v/>
      </c>
      <c r="K1932" s="56"/>
      <c r="L1932" s="58" t="str">
        <f t="shared" si="7"/>
        <v/>
      </c>
      <c r="M1932" s="49"/>
      <c r="N1932" s="49"/>
      <c r="O1932" s="49"/>
      <c r="P1932" s="49"/>
      <c r="Q1932" s="49"/>
      <c r="R1932" s="49"/>
      <c r="S1932" s="49"/>
      <c r="T1932" s="49"/>
      <c r="U1932" s="49"/>
      <c r="V1932" s="49"/>
      <c r="W1932" s="56"/>
      <c r="X1932" s="51" t="str">
        <f t="shared" si="5"/>
        <v/>
      </c>
      <c r="Y1932" s="50" t="s">
        <v>482</v>
      </c>
      <c r="Z1932" s="49">
        <f t="shared" si="6"/>
        <v>0</v>
      </c>
    </row>
    <row r="1933" ht="22.5" customHeight="1">
      <c r="B1933" s="57"/>
      <c r="C1933" s="43" t="str">
        <f t="array" ref="C1933">IF(B1933="","",_xlfn.XLOOKUP(B1933,'Form responses 1'!$B$2:$B$2604,'Form responses 1'!$A$2:$A$2604,""))</f>
        <v/>
      </c>
      <c r="D1933" s="44" t="str">
        <f t="shared" si="3"/>
        <v/>
      </c>
      <c r="E1933" s="44" t="str">
        <f t="array" ref="E1933">IF(B1933="","",_xlfn.XLOOKUP(B1933,'Form responses 1'!$B$2:$B$2604,'Form responses 1'!$C$2:$C$2604,""))</f>
        <v/>
      </c>
      <c r="F1933" s="44" t="str">
        <f t="array" ref="F1933">IF(B1933="","",_xlfn.XLOOKUP(B1933,'Form responses 1'!$B$2:$B$2604,'Form responses 1'!$D$2:$D$2604,""))</f>
        <v/>
      </c>
      <c r="G1933" s="44" t="str">
        <f t="array" ref="G1933">IF(B1933="","",_xlfn.XLOOKUP(B1933,'Form responses 1'!$B$2:$B$2604,'Form responses 1'!$E$2:$E$2604,""))</f>
        <v/>
      </c>
      <c r="H1933" s="44" t="str">
        <f t="array" ref="H1933">IF(B1933="","",_xlfn.XLOOKUP(B1933,'Form responses 1'!$B$2:$B$2604,'Form responses 1'!$F$2:$F$2604,""))</f>
        <v/>
      </c>
      <c r="I1933" s="44" t="str">
        <f t="array" ref="I1933">IF(B1933="","",_xlfn.XLOOKUP(B1933,'Form responses 1'!$B$2:$B$2604,'Form responses 1'!$I$2:$I$2604,""))</f>
        <v/>
      </c>
      <c r="J1933" s="44" t="str">
        <f t="array" ref="J1933">IF(B1933="","",_xlfn.XLOOKUP(B1933,'Form responses 1'!$B$2:$B$2604,'Form responses 1'!$G$2:$G$2604,""))</f>
        <v/>
      </c>
      <c r="K1933" s="56"/>
      <c r="L1933" s="58" t="str">
        <f t="shared" si="7"/>
        <v/>
      </c>
      <c r="M1933" s="49"/>
      <c r="N1933" s="49"/>
      <c r="O1933" s="49"/>
      <c r="P1933" s="49"/>
      <c r="Q1933" s="49"/>
      <c r="R1933" s="49"/>
      <c r="S1933" s="49"/>
      <c r="T1933" s="49"/>
      <c r="U1933" s="49"/>
      <c r="V1933" s="49"/>
      <c r="W1933" s="56"/>
      <c r="X1933" s="51" t="str">
        <f t="shared" si="5"/>
        <v/>
      </c>
      <c r="Y1933" s="50" t="s">
        <v>482</v>
      </c>
      <c r="Z1933" s="49">
        <f t="shared" si="6"/>
        <v>0</v>
      </c>
    </row>
    <row r="1934" ht="22.5" customHeight="1">
      <c r="B1934" s="57"/>
      <c r="C1934" s="43" t="str">
        <f t="array" ref="C1934">IF(B1934="","",_xlfn.XLOOKUP(B1934,'Form responses 1'!$B$2:$B$2604,'Form responses 1'!$A$2:$A$2604,""))</f>
        <v/>
      </c>
      <c r="D1934" s="44" t="str">
        <f t="shared" si="3"/>
        <v/>
      </c>
      <c r="E1934" s="44" t="str">
        <f t="array" ref="E1934">IF(B1934="","",_xlfn.XLOOKUP(B1934,'Form responses 1'!$B$2:$B$2604,'Form responses 1'!$C$2:$C$2604,""))</f>
        <v/>
      </c>
      <c r="F1934" s="44" t="str">
        <f t="array" ref="F1934">IF(B1934="","",_xlfn.XLOOKUP(B1934,'Form responses 1'!$B$2:$B$2604,'Form responses 1'!$D$2:$D$2604,""))</f>
        <v/>
      </c>
      <c r="G1934" s="44" t="str">
        <f t="array" ref="G1934">IF(B1934="","",_xlfn.XLOOKUP(B1934,'Form responses 1'!$B$2:$B$2604,'Form responses 1'!$E$2:$E$2604,""))</f>
        <v/>
      </c>
      <c r="H1934" s="44" t="str">
        <f t="array" ref="H1934">IF(B1934="","",_xlfn.XLOOKUP(B1934,'Form responses 1'!$B$2:$B$2604,'Form responses 1'!$F$2:$F$2604,""))</f>
        <v/>
      </c>
      <c r="I1934" s="44" t="str">
        <f t="array" ref="I1934">IF(B1934="","",_xlfn.XLOOKUP(B1934,'Form responses 1'!$B$2:$B$2604,'Form responses 1'!$I$2:$I$2604,""))</f>
        <v/>
      </c>
      <c r="J1934" s="44" t="str">
        <f t="array" ref="J1934">IF(B1934="","",_xlfn.XLOOKUP(B1934,'Form responses 1'!$B$2:$B$2604,'Form responses 1'!$G$2:$G$2604,""))</f>
        <v/>
      </c>
      <c r="K1934" s="56"/>
      <c r="L1934" s="58" t="str">
        <f t="shared" si="7"/>
        <v/>
      </c>
      <c r="M1934" s="49"/>
      <c r="N1934" s="49"/>
      <c r="O1934" s="49"/>
      <c r="P1934" s="49"/>
      <c r="Q1934" s="49"/>
      <c r="R1934" s="49"/>
      <c r="S1934" s="49"/>
      <c r="T1934" s="49"/>
      <c r="U1934" s="49"/>
      <c r="V1934" s="49"/>
      <c r="W1934" s="56"/>
      <c r="X1934" s="51" t="str">
        <f t="shared" si="5"/>
        <v/>
      </c>
      <c r="Y1934" s="50" t="s">
        <v>482</v>
      </c>
      <c r="Z1934" s="49">
        <f t="shared" si="6"/>
        <v>0</v>
      </c>
    </row>
    <row r="1935" ht="22.5" customHeight="1">
      <c r="B1935" s="57"/>
      <c r="C1935" s="43" t="str">
        <f t="array" ref="C1935">IF(B1935="","",_xlfn.XLOOKUP(B1935,'Form responses 1'!$B$2:$B$2604,'Form responses 1'!$A$2:$A$2604,""))</f>
        <v/>
      </c>
      <c r="D1935" s="44" t="str">
        <f t="shared" si="3"/>
        <v/>
      </c>
      <c r="E1935" s="44" t="str">
        <f t="array" ref="E1935">IF(B1935="","",_xlfn.XLOOKUP(B1935,'Form responses 1'!$B$2:$B$2604,'Form responses 1'!$C$2:$C$2604,""))</f>
        <v/>
      </c>
      <c r="F1935" s="44" t="str">
        <f t="array" ref="F1935">IF(B1935="","",_xlfn.XLOOKUP(B1935,'Form responses 1'!$B$2:$B$2604,'Form responses 1'!$D$2:$D$2604,""))</f>
        <v/>
      </c>
      <c r="G1935" s="44" t="str">
        <f t="array" ref="G1935">IF(B1935="","",_xlfn.XLOOKUP(B1935,'Form responses 1'!$B$2:$B$2604,'Form responses 1'!$E$2:$E$2604,""))</f>
        <v/>
      </c>
      <c r="H1935" s="44" t="str">
        <f t="array" ref="H1935">IF(B1935="","",_xlfn.XLOOKUP(B1935,'Form responses 1'!$B$2:$B$2604,'Form responses 1'!$F$2:$F$2604,""))</f>
        <v/>
      </c>
      <c r="I1935" s="44" t="str">
        <f t="array" ref="I1935">IF(B1935="","",_xlfn.XLOOKUP(B1935,'Form responses 1'!$B$2:$B$2604,'Form responses 1'!$I$2:$I$2604,""))</f>
        <v/>
      </c>
      <c r="J1935" s="44" t="str">
        <f t="array" ref="J1935">IF(B1935="","",_xlfn.XLOOKUP(B1935,'Form responses 1'!$B$2:$B$2604,'Form responses 1'!$G$2:$G$2604,""))</f>
        <v/>
      </c>
      <c r="K1935" s="56"/>
      <c r="L1935" s="58" t="str">
        <f t="shared" si="7"/>
        <v/>
      </c>
      <c r="M1935" s="49"/>
      <c r="N1935" s="49"/>
      <c r="O1935" s="49"/>
      <c r="P1935" s="49"/>
      <c r="Q1935" s="49"/>
      <c r="R1935" s="49"/>
      <c r="S1935" s="49"/>
      <c r="T1935" s="49"/>
      <c r="U1935" s="49"/>
      <c r="V1935" s="49"/>
      <c r="W1935" s="56"/>
      <c r="X1935" s="51" t="str">
        <f t="shared" si="5"/>
        <v/>
      </c>
      <c r="Y1935" s="50" t="s">
        <v>482</v>
      </c>
      <c r="Z1935" s="49">
        <f t="shared" si="6"/>
        <v>0</v>
      </c>
    </row>
    <row r="1936" ht="22.5" customHeight="1">
      <c r="B1936" s="57"/>
      <c r="C1936" s="43" t="str">
        <f t="array" ref="C1936">IF(B1936="","",_xlfn.XLOOKUP(B1936,'Form responses 1'!$B$2:$B$2604,'Form responses 1'!$A$2:$A$2604,""))</f>
        <v/>
      </c>
      <c r="D1936" s="44" t="str">
        <f t="shared" si="3"/>
        <v/>
      </c>
      <c r="E1936" s="44" t="str">
        <f t="array" ref="E1936">IF(B1936="","",_xlfn.XLOOKUP(B1936,'Form responses 1'!$B$2:$B$2604,'Form responses 1'!$C$2:$C$2604,""))</f>
        <v/>
      </c>
      <c r="F1936" s="44" t="str">
        <f t="array" ref="F1936">IF(B1936="","",_xlfn.XLOOKUP(B1936,'Form responses 1'!$B$2:$B$2604,'Form responses 1'!$D$2:$D$2604,""))</f>
        <v/>
      </c>
      <c r="G1936" s="44" t="str">
        <f t="array" ref="G1936">IF(B1936="","",_xlfn.XLOOKUP(B1936,'Form responses 1'!$B$2:$B$2604,'Form responses 1'!$E$2:$E$2604,""))</f>
        <v/>
      </c>
      <c r="H1936" s="44" t="str">
        <f t="array" ref="H1936">IF(B1936="","",_xlfn.XLOOKUP(B1936,'Form responses 1'!$B$2:$B$2604,'Form responses 1'!$F$2:$F$2604,""))</f>
        <v/>
      </c>
      <c r="I1936" s="44" t="str">
        <f t="array" ref="I1936">IF(B1936="","",_xlfn.XLOOKUP(B1936,'Form responses 1'!$B$2:$B$2604,'Form responses 1'!$I$2:$I$2604,""))</f>
        <v/>
      </c>
      <c r="J1936" s="44" t="str">
        <f t="array" ref="J1936">IF(B1936="","",_xlfn.XLOOKUP(B1936,'Form responses 1'!$B$2:$B$2604,'Form responses 1'!$G$2:$G$2604,""))</f>
        <v/>
      </c>
      <c r="K1936" s="56"/>
      <c r="L1936" s="58" t="str">
        <f t="shared" si="7"/>
        <v/>
      </c>
      <c r="M1936" s="49"/>
      <c r="N1936" s="49"/>
      <c r="O1936" s="49"/>
      <c r="P1936" s="49"/>
      <c r="Q1936" s="49"/>
      <c r="R1936" s="49"/>
      <c r="S1936" s="49"/>
      <c r="T1936" s="49"/>
      <c r="U1936" s="49"/>
      <c r="V1936" s="49"/>
      <c r="W1936" s="56"/>
      <c r="X1936" s="51" t="str">
        <f t="shared" si="5"/>
        <v/>
      </c>
      <c r="Y1936" s="50" t="s">
        <v>482</v>
      </c>
      <c r="Z1936" s="49">
        <f t="shared" si="6"/>
        <v>0</v>
      </c>
    </row>
    <row r="1937" ht="22.5" customHeight="1">
      <c r="B1937" s="57"/>
      <c r="C1937" s="43" t="str">
        <f t="array" ref="C1937">IF(B1937="","",_xlfn.XLOOKUP(B1937,'Form responses 1'!$B$2:$B$2604,'Form responses 1'!$A$2:$A$2604,""))</f>
        <v/>
      </c>
      <c r="D1937" s="44" t="str">
        <f t="shared" si="3"/>
        <v/>
      </c>
      <c r="E1937" s="44" t="str">
        <f t="array" ref="E1937">IF(B1937="","",_xlfn.XLOOKUP(B1937,'Form responses 1'!$B$2:$B$2604,'Form responses 1'!$C$2:$C$2604,""))</f>
        <v/>
      </c>
      <c r="F1937" s="44" t="str">
        <f t="array" ref="F1937">IF(B1937="","",_xlfn.XLOOKUP(B1937,'Form responses 1'!$B$2:$B$2604,'Form responses 1'!$D$2:$D$2604,""))</f>
        <v/>
      </c>
      <c r="G1937" s="44" t="str">
        <f t="array" ref="G1937">IF(B1937="","",_xlfn.XLOOKUP(B1937,'Form responses 1'!$B$2:$B$2604,'Form responses 1'!$E$2:$E$2604,""))</f>
        <v/>
      </c>
      <c r="H1937" s="44" t="str">
        <f t="array" ref="H1937">IF(B1937="","",_xlfn.XLOOKUP(B1937,'Form responses 1'!$B$2:$B$2604,'Form responses 1'!$F$2:$F$2604,""))</f>
        <v/>
      </c>
      <c r="I1937" s="44" t="str">
        <f t="array" ref="I1937">IF(B1937="","",_xlfn.XLOOKUP(B1937,'Form responses 1'!$B$2:$B$2604,'Form responses 1'!$I$2:$I$2604,""))</f>
        <v/>
      </c>
      <c r="J1937" s="44" t="str">
        <f t="array" ref="J1937">IF(B1937="","",_xlfn.XLOOKUP(B1937,'Form responses 1'!$B$2:$B$2604,'Form responses 1'!$G$2:$G$2604,""))</f>
        <v/>
      </c>
      <c r="K1937" s="56"/>
      <c r="L1937" s="58" t="str">
        <f t="shared" si="7"/>
        <v/>
      </c>
      <c r="M1937" s="49"/>
      <c r="N1937" s="49"/>
      <c r="O1937" s="49"/>
      <c r="P1937" s="49"/>
      <c r="Q1937" s="49"/>
      <c r="R1937" s="49"/>
      <c r="S1937" s="49"/>
      <c r="T1937" s="49"/>
      <c r="U1937" s="49"/>
      <c r="V1937" s="49"/>
      <c r="W1937" s="56"/>
      <c r="X1937" s="51" t="str">
        <f t="shared" si="5"/>
        <v/>
      </c>
      <c r="Y1937" s="50" t="s">
        <v>482</v>
      </c>
      <c r="Z1937" s="49">
        <f t="shared" si="6"/>
        <v>0</v>
      </c>
    </row>
    <row r="1938" ht="22.5" customHeight="1">
      <c r="B1938" s="57"/>
      <c r="C1938" s="43" t="str">
        <f t="array" ref="C1938">IF(B1938="","",_xlfn.XLOOKUP(B1938,'Form responses 1'!$B$2:$B$2604,'Form responses 1'!$A$2:$A$2604,""))</f>
        <v/>
      </c>
      <c r="D1938" s="44" t="str">
        <f t="shared" si="3"/>
        <v/>
      </c>
      <c r="E1938" s="44" t="str">
        <f t="array" ref="E1938">IF(B1938="","",_xlfn.XLOOKUP(B1938,'Form responses 1'!$B$2:$B$2604,'Form responses 1'!$C$2:$C$2604,""))</f>
        <v/>
      </c>
      <c r="F1938" s="44" t="str">
        <f t="array" ref="F1938">IF(B1938="","",_xlfn.XLOOKUP(B1938,'Form responses 1'!$B$2:$B$2604,'Form responses 1'!$D$2:$D$2604,""))</f>
        <v/>
      </c>
      <c r="G1938" s="44" t="str">
        <f t="array" ref="G1938">IF(B1938="","",_xlfn.XLOOKUP(B1938,'Form responses 1'!$B$2:$B$2604,'Form responses 1'!$E$2:$E$2604,""))</f>
        <v/>
      </c>
      <c r="H1938" s="44" t="str">
        <f t="array" ref="H1938">IF(B1938="","",_xlfn.XLOOKUP(B1938,'Form responses 1'!$B$2:$B$2604,'Form responses 1'!$F$2:$F$2604,""))</f>
        <v/>
      </c>
      <c r="I1938" s="44" t="str">
        <f t="array" ref="I1938">IF(B1938="","",_xlfn.XLOOKUP(B1938,'Form responses 1'!$B$2:$B$2604,'Form responses 1'!$I$2:$I$2604,""))</f>
        <v/>
      </c>
      <c r="J1938" s="44" t="str">
        <f t="array" ref="J1938">IF(B1938="","",_xlfn.XLOOKUP(B1938,'Form responses 1'!$B$2:$B$2604,'Form responses 1'!$G$2:$G$2604,""))</f>
        <v/>
      </c>
      <c r="K1938" s="56"/>
      <c r="L1938" s="58" t="str">
        <f t="shared" si="7"/>
        <v/>
      </c>
      <c r="M1938" s="49"/>
      <c r="N1938" s="49"/>
      <c r="O1938" s="49"/>
      <c r="P1938" s="49"/>
      <c r="Q1938" s="49"/>
      <c r="R1938" s="49"/>
      <c r="S1938" s="49"/>
      <c r="T1938" s="49"/>
      <c r="U1938" s="49"/>
      <c r="V1938" s="49"/>
      <c r="W1938" s="56"/>
      <c r="X1938" s="51" t="str">
        <f t="shared" si="5"/>
        <v/>
      </c>
      <c r="Y1938" s="50" t="s">
        <v>482</v>
      </c>
      <c r="Z1938" s="49">
        <f t="shared" si="6"/>
        <v>0</v>
      </c>
    </row>
    <row r="1939" ht="22.5" customHeight="1">
      <c r="B1939" s="57"/>
      <c r="C1939" s="43" t="str">
        <f t="array" ref="C1939">IF(B1939="","",_xlfn.XLOOKUP(B1939,'Form responses 1'!$B$2:$B$2604,'Form responses 1'!$A$2:$A$2604,""))</f>
        <v/>
      </c>
      <c r="D1939" s="44" t="str">
        <f t="shared" si="3"/>
        <v/>
      </c>
      <c r="E1939" s="44" t="str">
        <f t="array" ref="E1939">IF(B1939="","",_xlfn.XLOOKUP(B1939,'Form responses 1'!$B$2:$B$2604,'Form responses 1'!$C$2:$C$2604,""))</f>
        <v/>
      </c>
      <c r="F1939" s="44" t="str">
        <f t="array" ref="F1939">IF(B1939="","",_xlfn.XLOOKUP(B1939,'Form responses 1'!$B$2:$B$2604,'Form responses 1'!$D$2:$D$2604,""))</f>
        <v/>
      </c>
      <c r="G1939" s="44" t="str">
        <f t="array" ref="G1939">IF(B1939="","",_xlfn.XLOOKUP(B1939,'Form responses 1'!$B$2:$B$2604,'Form responses 1'!$E$2:$E$2604,""))</f>
        <v/>
      </c>
      <c r="H1939" s="44" t="str">
        <f t="array" ref="H1939">IF(B1939="","",_xlfn.XLOOKUP(B1939,'Form responses 1'!$B$2:$B$2604,'Form responses 1'!$F$2:$F$2604,""))</f>
        <v/>
      </c>
      <c r="I1939" s="44" t="str">
        <f t="array" ref="I1939">IF(B1939="","",_xlfn.XLOOKUP(B1939,'Form responses 1'!$B$2:$B$2604,'Form responses 1'!$I$2:$I$2604,""))</f>
        <v/>
      </c>
      <c r="J1939" s="44" t="str">
        <f t="array" ref="J1939">IF(B1939="","",_xlfn.XLOOKUP(B1939,'Form responses 1'!$B$2:$B$2604,'Form responses 1'!$G$2:$G$2604,""))</f>
        <v/>
      </c>
      <c r="K1939" s="56"/>
      <c r="L1939" s="58" t="str">
        <f t="shared" si="7"/>
        <v/>
      </c>
      <c r="M1939" s="49"/>
      <c r="N1939" s="49"/>
      <c r="O1939" s="49"/>
      <c r="P1939" s="49"/>
      <c r="Q1939" s="49"/>
      <c r="R1939" s="49"/>
      <c r="S1939" s="49"/>
      <c r="T1939" s="49"/>
      <c r="U1939" s="49"/>
      <c r="V1939" s="49"/>
      <c r="W1939" s="56"/>
      <c r="X1939" s="51" t="str">
        <f t="shared" si="5"/>
        <v/>
      </c>
      <c r="Y1939" s="50" t="s">
        <v>482</v>
      </c>
      <c r="Z1939" s="49">
        <f t="shared" si="6"/>
        <v>0</v>
      </c>
    </row>
    <row r="1940" ht="22.5" customHeight="1">
      <c r="B1940" s="57"/>
      <c r="C1940" s="43" t="str">
        <f t="array" ref="C1940">IF(B1940="","",_xlfn.XLOOKUP(B1940,'Form responses 1'!$B$2:$B$2604,'Form responses 1'!$A$2:$A$2604,""))</f>
        <v/>
      </c>
      <c r="D1940" s="44" t="str">
        <f t="shared" si="3"/>
        <v/>
      </c>
      <c r="E1940" s="44" t="str">
        <f t="array" ref="E1940">IF(B1940="","",_xlfn.XLOOKUP(B1940,'Form responses 1'!$B$2:$B$2604,'Form responses 1'!$C$2:$C$2604,""))</f>
        <v/>
      </c>
      <c r="F1940" s="44" t="str">
        <f t="array" ref="F1940">IF(B1940="","",_xlfn.XLOOKUP(B1940,'Form responses 1'!$B$2:$B$2604,'Form responses 1'!$D$2:$D$2604,""))</f>
        <v/>
      </c>
      <c r="G1940" s="44" t="str">
        <f t="array" ref="G1940">IF(B1940="","",_xlfn.XLOOKUP(B1940,'Form responses 1'!$B$2:$B$2604,'Form responses 1'!$E$2:$E$2604,""))</f>
        <v/>
      </c>
      <c r="H1940" s="44" t="str">
        <f t="array" ref="H1940">IF(B1940="","",_xlfn.XLOOKUP(B1940,'Form responses 1'!$B$2:$B$2604,'Form responses 1'!$F$2:$F$2604,""))</f>
        <v/>
      </c>
      <c r="I1940" s="44" t="str">
        <f t="array" ref="I1940">IF(B1940="","",_xlfn.XLOOKUP(B1940,'Form responses 1'!$B$2:$B$2604,'Form responses 1'!$I$2:$I$2604,""))</f>
        <v/>
      </c>
      <c r="J1940" s="44" t="str">
        <f t="array" ref="J1940">IF(B1940="","",_xlfn.XLOOKUP(B1940,'Form responses 1'!$B$2:$B$2604,'Form responses 1'!$G$2:$G$2604,""))</f>
        <v/>
      </c>
      <c r="K1940" s="56"/>
      <c r="L1940" s="58" t="str">
        <f t="shared" si="7"/>
        <v/>
      </c>
      <c r="M1940" s="49"/>
      <c r="N1940" s="49"/>
      <c r="O1940" s="49"/>
      <c r="P1940" s="49"/>
      <c r="Q1940" s="49"/>
      <c r="R1940" s="49"/>
      <c r="S1940" s="49"/>
      <c r="T1940" s="49"/>
      <c r="U1940" s="49"/>
      <c r="V1940" s="49"/>
      <c r="W1940" s="56"/>
      <c r="X1940" s="51" t="str">
        <f t="shared" si="5"/>
        <v/>
      </c>
      <c r="Y1940" s="50" t="s">
        <v>482</v>
      </c>
      <c r="Z1940" s="49">
        <f t="shared" si="6"/>
        <v>0</v>
      </c>
    </row>
    <row r="1941" ht="22.5" customHeight="1">
      <c r="B1941" s="57"/>
      <c r="C1941" s="43" t="str">
        <f t="array" ref="C1941">IF(B1941="","",_xlfn.XLOOKUP(B1941,'Form responses 1'!$B$2:$B$2604,'Form responses 1'!$A$2:$A$2604,""))</f>
        <v/>
      </c>
      <c r="D1941" s="44" t="str">
        <f t="shared" si="3"/>
        <v/>
      </c>
      <c r="E1941" s="44" t="str">
        <f t="array" ref="E1941">IF(B1941="","",_xlfn.XLOOKUP(B1941,'Form responses 1'!$B$2:$B$2604,'Form responses 1'!$C$2:$C$2604,""))</f>
        <v/>
      </c>
      <c r="F1941" s="44" t="str">
        <f t="array" ref="F1941">IF(B1941="","",_xlfn.XLOOKUP(B1941,'Form responses 1'!$B$2:$B$2604,'Form responses 1'!$D$2:$D$2604,""))</f>
        <v/>
      </c>
      <c r="G1941" s="44" t="str">
        <f t="array" ref="G1941">IF(B1941="","",_xlfn.XLOOKUP(B1941,'Form responses 1'!$B$2:$B$2604,'Form responses 1'!$E$2:$E$2604,""))</f>
        <v/>
      </c>
      <c r="H1941" s="44" t="str">
        <f t="array" ref="H1941">IF(B1941="","",_xlfn.XLOOKUP(B1941,'Form responses 1'!$B$2:$B$2604,'Form responses 1'!$F$2:$F$2604,""))</f>
        <v/>
      </c>
      <c r="I1941" s="44" t="str">
        <f t="array" ref="I1941">IF(B1941="","",_xlfn.XLOOKUP(B1941,'Form responses 1'!$B$2:$B$2604,'Form responses 1'!$I$2:$I$2604,""))</f>
        <v/>
      </c>
      <c r="J1941" s="44" t="str">
        <f t="array" ref="J1941">IF(B1941="","",_xlfn.XLOOKUP(B1941,'Form responses 1'!$B$2:$B$2604,'Form responses 1'!$G$2:$G$2604,""))</f>
        <v/>
      </c>
      <c r="K1941" s="56"/>
      <c r="L1941" s="58" t="str">
        <f t="shared" si="7"/>
        <v/>
      </c>
      <c r="M1941" s="49"/>
      <c r="N1941" s="49"/>
      <c r="O1941" s="49"/>
      <c r="P1941" s="49"/>
      <c r="Q1941" s="49"/>
      <c r="R1941" s="49"/>
      <c r="S1941" s="49"/>
      <c r="T1941" s="49"/>
      <c r="U1941" s="49"/>
      <c r="V1941" s="49"/>
      <c r="W1941" s="56"/>
      <c r="X1941" s="51" t="str">
        <f t="shared" si="5"/>
        <v/>
      </c>
      <c r="Y1941" s="50" t="s">
        <v>482</v>
      </c>
      <c r="Z1941" s="49">
        <f t="shared" si="6"/>
        <v>0</v>
      </c>
    </row>
    <row r="1942" ht="22.5" customHeight="1">
      <c r="B1942" s="57"/>
      <c r="C1942" s="43" t="str">
        <f t="array" ref="C1942">IF(B1942="","",_xlfn.XLOOKUP(B1942,'Form responses 1'!$B$2:$B$2604,'Form responses 1'!$A$2:$A$2604,""))</f>
        <v/>
      </c>
      <c r="D1942" s="44" t="str">
        <f t="shared" si="3"/>
        <v/>
      </c>
      <c r="E1942" s="44" t="str">
        <f t="array" ref="E1942">IF(B1942="","",_xlfn.XLOOKUP(B1942,'Form responses 1'!$B$2:$B$2604,'Form responses 1'!$C$2:$C$2604,""))</f>
        <v/>
      </c>
      <c r="F1942" s="44" t="str">
        <f t="array" ref="F1942">IF(B1942="","",_xlfn.XLOOKUP(B1942,'Form responses 1'!$B$2:$B$2604,'Form responses 1'!$D$2:$D$2604,""))</f>
        <v/>
      </c>
      <c r="G1942" s="44" t="str">
        <f t="array" ref="G1942">IF(B1942="","",_xlfn.XLOOKUP(B1942,'Form responses 1'!$B$2:$B$2604,'Form responses 1'!$E$2:$E$2604,""))</f>
        <v/>
      </c>
      <c r="H1942" s="44" t="str">
        <f t="array" ref="H1942">IF(B1942="","",_xlfn.XLOOKUP(B1942,'Form responses 1'!$B$2:$B$2604,'Form responses 1'!$F$2:$F$2604,""))</f>
        <v/>
      </c>
      <c r="I1942" s="44" t="str">
        <f t="array" ref="I1942">IF(B1942="","",_xlfn.XLOOKUP(B1942,'Form responses 1'!$B$2:$B$2604,'Form responses 1'!$I$2:$I$2604,""))</f>
        <v/>
      </c>
      <c r="J1942" s="44" t="str">
        <f t="array" ref="J1942">IF(B1942="","",_xlfn.XLOOKUP(B1942,'Form responses 1'!$B$2:$B$2604,'Form responses 1'!$G$2:$G$2604,""))</f>
        <v/>
      </c>
      <c r="K1942" s="56"/>
      <c r="L1942" s="58" t="str">
        <f t="shared" si="7"/>
        <v/>
      </c>
      <c r="M1942" s="49"/>
      <c r="N1942" s="49"/>
      <c r="O1942" s="49"/>
      <c r="P1942" s="49"/>
      <c r="Q1942" s="49"/>
      <c r="R1942" s="49"/>
      <c r="S1942" s="49"/>
      <c r="T1942" s="49"/>
      <c r="U1942" s="49"/>
      <c r="V1942" s="49"/>
      <c r="W1942" s="56"/>
      <c r="X1942" s="51" t="str">
        <f t="shared" si="5"/>
        <v/>
      </c>
      <c r="Y1942" s="50" t="s">
        <v>482</v>
      </c>
      <c r="Z1942" s="49">
        <f t="shared" si="6"/>
        <v>0</v>
      </c>
    </row>
    <row r="1943" ht="22.5" customHeight="1">
      <c r="B1943" s="57"/>
      <c r="C1943" s="43" t="str">
        <f t="array" ref="C1943">IF(B1943="","",_xlfn.XLOOKUP(B1943,'Form responses 1'!$B$2:$B$2604,'Form responses 1'!$A$2:$A$2604,""))</f>
        <v/>
      </c>
      <c r="D1943" s="44" t="str">
        <f t="shared" si="3"/>
        <v/>
      </c>
      <c r="E1943" s="44" t="str">
        <f t="array" ref="E1943">IF(B1943="","",_xlfn.XLOOKUP(B1943,'Form responses 1'!$B$2:$B$2604,'Form responses 1'!$C$2:$C$2604,""))</f>
        <v/>
      </c>
      <c r="F1943" s="44" t="str">
        <f t="array" ref="F1943">IF(B1943="","",_xlfn.XLOOKUP(B1943,'Form responses 1'!$B$2:$B$2604,'Form responses 1'!$D$2:$D$2604,""))</f>
        <v/>
      </c>
      <c r="G1943" s="44" t="str">
        <f t="array" ref="G1943">IF(B1943="","",_xlfn.XLOOKUP(B1943,'Form responses 1'!$B$2:$B$2604,'Form responses 1'!$E$2:$E$2604,""))</f>
        <v/>
      </c>
      <c r="H1943" s="44" t="str">
        <f t="array" ref="H1943">IF(B1943="","",_xlfn.XLOOKUP(B1943,'Form responses 1'!$B$2:$B$2604,'Form responses 1'!$F$2:$F$2604,""))</f>
        <v/>
      </c>
      <c r="I1943" s="44" t="str">
        <f t="array" ref="I1943">IF(B1943="","",_xlfn.XLOOKUP(B1943,'Form responses 1'!$B$2:$B$2604,'Form responses 1'!$I$2:$I$2604,""))</f>
        <v/>
      </c>
      <c r="J1943" s="44" t="str">
        <f t="array" ref="J1943">IF(B1943="","",_xlfn.XLOOKUP(B1943,'Form responses 1'!$B$2:$B$2604,'Form responses 1'!$G$2:$G$2604,""))</f>
        <v/>
      </c>
      <c r="K1943" s="56"/>
      <c r="L1943" s="58" t="str">
        <f t="shared" si="7"/>
        <v/>
      </c>
      <c r="M1943" s="49"/>
      <c r="N1943" s="49"/>
      <c r="O1943" s="49"/>
      <c r="P1943" s="49"/>
      <c r="Q1943" s="49"/>
      <c r="R1943" s="49"/>
      <c r="S1943" s="49"/>
      <c r="T1943" s="49"/>
      <c r="U1943" s="49"/>
      <c r="V1943" s="49"/>
      <c r="W1943" s="56"/>
      <c r="X1943" s="51" t="str">
        <f t="shared" si="5"/>
        <v/>
      </c>
      <c r="Y1943" s="50" t="s">
        <v>482</v>
      </c>
      <c r="Z1943" s="49">
        <f t="shared" si="6"/>
        <v>0</v>
      </c>
    </row>
    <row r="1944" ht="22.5" customHeight="1">
      <c r="B1944" s="57"/>
      <c r="C1944" s="43" t="str">
        <f t="array" ref="C1944">IF(B1944="","",_xlfn.XLOOKUP(B1944,'Form responses 1'!$B$2:$B$2604,'Form responses 1'!$A$2:$A$2604,""))</f>
        <v/>
      </c>
      <c r="D1944" s="44" t="str">
        <f t="shared" si="3"/>
        <v/>
      </c>
      <c r="E1944" s="44" t="str">
        <f t="array" ref="E1944">IF(B1944="","",_xlfn.XLOOKUP(B1944,'Form responses 1'!$B$2:$B$2604,'Form responses 1'!$C$2:$C$2604,""))</f>
        <v/>
      </c>
      <c r="F1944" s="44" t="str">
        <f t="array" ref="F1944">IF(B1944="","",_xlfn.XLOOKUP(B1944,'Form responses 1'!$B$2:$B$2604,'Form responses 1'!$D$2:$D$2604,""))</f>
        <v/>
      </c>
      <c r="G1944" s="44" t="str">
        <f t="array" ref="G1944">IF(B1944="","",_xlfn.XLOOKUP(B1944,'Form responses 1'!$B$2:$B$2604,'Form responses 1'!$E$2:$E$2604,""))</f>
        <v/>
      </c>
      <c r="H1944" s="44" t="str">
        <f t="array" ref="H1944">IF(B1944="","",_xlfn.XLOOKUP(B1944,'Form responses 1'!$B$2:$B$2604,'Form responses 1'!$F$2:$F$2604,""))</f>
        <v/>
      </c>
      <c r="I1944" s="44" t="str">
        <f t="array" ref="I1944">IF(B1944="","",_xlfn.XLOOKUP(B1944,'Form responses 1'!$B$2:$B$2604,'Form responses 1'!$I$2:$I$2604,""))</f>
        <v/>
      </c>
      <c r="J1944" s="44" t="str">
        <f t="array" ref="J1944">IF(B1944="","",_xlfn.XLOOKUP(B1944,'Form responses 1'!$B$2:$B$2604,'Form responses 1'!$G$2:$G$2604,""))</f>
        <v/>
      </c>
      <c r="K1944" s="56"/>
      <c r="L1944" s="58" t="str">
        <f t="shared" si="7"/>
        <v/>
      </c>
      <c r="M1944" s="49"/>
      <c r="N1944" s="49"/>
      <c r="O1944" s="49"/>
      <c r="P1944" s="49"/>
      <c r="Q1944" s="49"/>
      <c r="R1944" s="49"/>
      <c r="S1944" s="49"/>
      <c r="T1944" s="49"/>
      <c r="U1944" s="49"/>
      <c r="V1944" s="49"/>
      <c r="W1944" s="56"/>
      <c r="X1944" s="51" t="str">
        <f t="shared" si="5"/>
        <v/>
      </c>
      <c r="Y1944" s="50" t="s">
        <v>482</v>
      </c>
      <c r="Z1944" s="49">
        <f t="shared" si="6"/>
        <v>0</v>
      </c>
    </row>
    <row r="1945" ht="22.5" customHeight="1">
      <c r="B1945" s="57"/>
      <c r="C1945" s="43" t="str">
        <f t="array" ref="C1945">IF(B1945="","",_xlfn.XLOOKUP(B1945,'Form responses 1'!$B$2:$B$2604,'Form responses 1'!$A$2:$A$2604,""))</f>
        <v/>
      </c>
      <c r="D1945" s="44" t="str">
        <f t="shared" si="3"/>
        <v/>
      </c>
      <c r="E1945" s="44" t="str">
        <f t="array" ref="E1945">IF(B1945="","",_xlfn.XLOOKUP(B1945,'Form responses 1'!$B$2:$B$2604,'Form responses 1'!$C$2:$C$2604,""))</f>
        <v/>
      </c>
      <c r="F1945" s="44" t="str">
        <f t="array" ref="F1945">IF(B1945="","",_xlfn.XLOOKUP(B1945,'Form responses 1'!$B$2:$B$2604,'Form responses 1'!$D$2:$D$2604,""))</f>
        <v/>
      </c>
      <c r="G1945" s="44" t="str">
        <f t="array" ref="G1945">IF(B1945="","",_xlfn.XLOOKUP(B1945,'Form responses 1'!$B$2:$B$2604,'Form responses 1'!$E$2:$E$2604,""))</f>
        <v/>
      </c>
      <c r="H1945" s="44" t="str">
        <f t="array" ref="H1945">IF(B1945="","",_xlfn.XLOOKUP(B1945,'Form responses 1'!$B$2:$B$2604,'Form responses 1'!$F$2:$F$2604,""))</f>
        <v/>
      </c>
      <c r="I1945" s="44" t="str">
        <f t="array" ref="I1945">IF(B1945="","",_xlfn.XLOOKUP(B1945,'Form responses 1'!$B$2:$B$2604,'Form responses 1'!$I$2:$I$2604,""))</f>
        <v/>
      </c>
      <c r="J1945" s="44" t="str">
        <f t="array" ref="J1945">IF(B1945="","",_xlfn.XLOOKUP(B1945,'Form responses 1'!$B$2:$B$2604,'Form responses 1'!$G$2:$G$2604,""))</f>
        <v/>
      </c>
      <c r="K1945" s="56"/>
      <c r="L1945" s="58" t="str">
        <f t="shared" si="7"/>
        <v/>
      </c>
      <c r="M1945" s="49"/>
      <c r="N1945" s="49"/>
      <c r="O1945" s="49"/>
      <c r="P1945" s="49"/>
      <c r="Q1945" s="49"/>
      <c r="R1945" s="49"/>
      <c r="S1945" s="49"/>
      <c r="T1945" s="49"/>
      <c r="U1945" s="49"/>
      <c r="V1945" s="49"/>
      <c r="W1945" s="56"/>
      <c r="X1945" s="51" t="str">
        <f t="shared" si="5"/>
        <v/>
      </c>
      <c r="Y1945" s="50" t="s">
        <v>482</v>
      </c>
      <c r="Z1945" s="49">
        <f t="shared" si="6"/>
        <v>0</v>
      </c>
    </row>
    <row r="1946" ht="22.5" customHeight="1">
      <c r="B1946" s="57"/>
      <c r="C1946" s="43" t="str">
        <f t="array" ref="C1946">IF(B1946="","",_xlfn.XLOOKUP(B1946,'Form responses 1'!$B$2:$B$2604,'Form responses 1'!$A$2:$A$2604,""))</f>
        <v/>
      </c>
      <c r="D1946" s="44" t="str">
        <f t="shared" si="3"/>
        <v/>
      </c>
      <c r="E1946" s="44" t="str">
        <f t="array" ref="E1946">IF(B1946="","",_xlfn.XLOOKUP(B1946,'Form responses 1'!$B$2:$B$2604,'Form responses 1'!$C$2:$C$2604,""))</f>
        <v/>
      </c>
      <c r="F1946" s="44" t="str">
        <f t="array" ref="F1946">IF(B1946="","",_xlfn.XLOOKUP(B1946,'Form responses 1'!$B$2:$B$2604,'Form responses 1'!$D$2:$D$2604,""))</f>
        <v/>
      </c>
      <c r="G1946" s="44" t="str">
        <f t="array" ref="G1946">IF(B1946="","",_xlfn.XLOOKUP(B1946,'Form responses 1'!$B$2:$B$2604,'Form responses 1'!$E$2:$E$2604,""))</f>
        <v/>
      </c>
      <c r="H1946" s="44" t="str">
        <f t="array" ref="H1946">IF(B1946="","",_xlfn.XLOOKUP(B1946,'Form responses 1'!$B$2:$B$2604,'Form responses 1'!$F$2:$F$2604,""))</f>
        <v/>
      </c>
      <c r="I1946" s="44" t="str">
        <f t="array" ref="I1946">IF(B1946="","",_xlfn.XLOOKUP(B1946,'Form responses 1'!$B$2:$B$2604,'Form responses 1'!$I$2:$I$2604,""))</f>
        <v/>
      </c>
      <c r="J1946" s="44" t="str">
        <f t="array" ref="J1946">IF(B1946="","",_xlfn.XLOOKUP(B1946,'Form responses 1'!$B$2:$B$2604,'Form responses 1'!$G$2:$G$2604,""))</f>
        <v/>
      </c>
      <c r="K1946" s="56"/>
      <c r="L1946" s="58" t="str">
        <f t="shared" si="7"/>
        <v/>
      </c>
      <c r="M1946" s="49"/>
      <c r="N1946" s="49"/>
      <c r="O1946" s="49"/>
      <c r="P1946" s="49"/>
      <c r="Q1946" s="49"/>
      <c r="R1946" s="49"/>
      <c r="S1946" s="49"/>
      <c r="T1946" s="49"/>
      <c r="U1946" s="49"/>
      <c r="V1946" s="49"/>
      <c r="W1946" s="56"/>
      <c r="X1946" s="51" t="str">
        <f t="shared" si="5"/>
        <v/>
      </c>
      <c r="Y1946" s="50" t="s">
        <v>482</v>
      </c>
      <c r="Z1946" s="49">
        <f t="shared" si="6"/>
        <v>0</v>
      </c>
    </row>
    <row r="1947" ht="22.5" customHeight="1">
      <c r="B1947" s="57"/>
      <c r="C1947" s="43" t="str">
        <f t="array" ref="C1947">IF(B1947="","",_xlfn.XLOOKUP(B1947,'Form responses 1'!$B$2:$B$2604,'Form responses 1'!$A$2:$A$2604,""))</f>
        <v/>
      </c>
      <c r="D1947" s="44" t="str">
        <f t="shared" si="3"/>
        <v/>
      </c>
      <c r="E1947" s="44" t="str">
        <f t="array" ref="E1947">IF(B1947="","",_xlfn.XLOOKUP(B1947,'Form responses 1'!$B$2:$B$2604,'Form responses 1'!$C$2:$C$2604,""))</f>
        <v/>
      </c>
      <c r="F1947" s="44" t="str">
        <f t="array" ref="F1947">IF(B1947="","",_xlfn.XLOOKUP(B1947,'Form responses 1'!$B$2:$B$2604,'Form responses 1'!$D$2:$D$2604,""))</f>
        <v/>
      </c>
      <c r="G1947" s="44" t="str">
        <f t="array" ref="G1947">IF(B1947="","",_xlfn.XLOOKUP(B1947,'Form responses 1'!$B$2:$B$2604,'Form responses 1'!$E$2:$E$2604,""))</f>
        <v/>
      </c>
      <c r="H1947" s="44" t="str">
        <f t="array" ref="H1947">IF(B1947="","",_xlfn.XLOOKUP(B1947,'Form responses 1'!$B$2:$B$2604,'Form responses 1'!$F$2:$F$2604,""))</f>
        <v/>
      </c>
      <c r="I1947" s="44" t="str">
        <f t="array" ref="I1947">IF(B1947="","",_xlfn.XLOOKUP(B1947,'Form responses 1'!$B$2:$B$2604,'Form responses 1'!$I$2:$I$2604,""))</f>
        <v/>
      </c>
      <c r="J1947" s="44" t="str">
        <f t="array" ref="J1947">IF(B1947="","",_xlfn.XLOOKUP(B1947,'Form responses 1'!$B$2:$B$2604,'Form responses 1'!$G$2:$G$2604,""))</f>
        <v/>
      </c>
      <c r="K1947" s="56"/>
      <c r="L1947" s="58" t="str">
        <f t="shared" si="7"/>
        <v/>
      </c>
      <c r="M1947" s="49"/>
      <c r="N1947" s="49"/>
      <c r="O1947" s="49"/>
      <c r="P1947" s="49"/>
      <c r="Q1947" s="49"/>
      <c r="R1947" s="49"/>
      <c r="S1947" s="49"/>
      <c r="T1947" s="49"/>
      <c r="U1947" s="49"/>
      <c r="V1947" s="49"/>
      <c r="W1947" s="56"/>
      <c r="X1947" s="51" t="str">
        <f t="shared" si="5"/>
        <v/>
      </c>
      <c r="Y1947" s="50" t="s">
        <v>482</v>
      </c>
      <c r="Z1947" s="49">
        <f t="shared" si="6"/>
        <v>0</v>
      </c>
    </row>
    <row r="1948" ht="22.5" customHeight="1">
      <c r="B1948" s="57"/>
      <c r="C1948" s="43" t="str">
        <f t="array" ref="C1948">IF(B1948="","",_xlfn.XLOOKUP(B1948,'Form responses 1'!$B$2:$B$2604,'Form responses 1'!$A$2:$A$2604,""))</f>
        <v/>
      </c>
      <c r="D1948" s="44" t="str">
        <f t="shared" si="3"/>
        <v/>
      </c>
      <c r="E1948" s="44" t="str">
        <f t="array" ref="E1948">IF(B1948="","",_xlfn.XLOOKUP(B1948,'Form responses 1'!$B$2:$B$2604,'Form responses 1'!$C$2:$C$2604,""))</f>
        <v/>
      </c>
      <c r="F1948" s="44" t="str">
        <f t="array" ref="F1948">IF(B1948="","",_xlfn.XLOOKUP(B1948,'Form responses 1'!$B$2:$B$2604,'Form responses 1'!$D$2:$D$2604,""))</f>
        <v/>
      </c>
      <c r="G1948" s="44" t="str">
        <f t="array" ref="G1948">IF(B1948="","",_xlfn.XLOOKUP(B1948,'Form responses 1'!$B$2:$B$2604,'Form responses 1'!$E$2:$E$2604,""))</f>
        <v/>
      </c>
      <c r="H1948" s="44" t="str">
        <f t="array" ref="H1948">IF(B1948="","",_xlfn.XLOOKUP(B1948,'Form responses 1'!$B$2:$B$2604,'Form responses 1'!$F$2:$F$2604,""))</f>
        <v/>
      </c>
      <c r="I1948" s="44" t="str">
        <f t="array" ref="I1948">IF(B1948="","",_xlfn.XLOOKUP(B1948,'Form responses 1'!$B$2:$B$2604,'Form responses 1'!$I$2:$I$2604,""))</f>
        <v/>
      </c>
      <c r="J1948" s="44" t="str">
        <f t="array" ref="J1948">IF(B1948="","",_xlfn.XLOOKUP(B1948,'Form responses 1'!$B$2:$B$2604,'Form responses 1'!$G$2:$G$2604,""))</f>
        <v/>
      </c>
      <c r="K1948" s="56"/>
      <c r="L1948" s="58" t="str">
        <f t="shared" si="7"/>
        <v/>
      </c>
      <c r="M1948" s="49"/>
      <c r="N1948" s="49"/>
      <c r="O1948" s="49"/>
      <c r="P1948" s="49"/>
      <c r="Q1948" s="49"/>
      <c r="R1948" s="49"/>
      <c r="S1948" s="49"/>
      <c r="T1948" s="49"/>
      <c r="U1948" s="49"/>
      <c r="V1948" s="49"/>
      <c r="W1948" s="56"/>
      <c r="X1948" s="51" t="str">
        <f t="shared" si="5"/>
        <v/>
      </c>
      <c r="Y1948" s="50" t="s">
        <v>482</v>
      </c>
      <c r="Z1948" s="49">
        <f t="shared" si="6"/>
        <v>0</v>
      </c>
    </row>
    <row r="1949" ht="22.5" customHeight="1">
      <c r="B1949" s="57"/>
      <c r="C1949" s="43" t="str">
        <f t="array" ref="C1949">IF(B1949="","",_xlfn.XLOOKUP(B1949,'Form responses 1'!$B$2:$B$2604,'Form responses 1'!$A$2:$A$2604,""))</f>
        <v/>
      </c>
      <c r="D1949" s="44" t="str">
        <f t="shared" si="3"/>
        <v/>
      </c>
      <c r="E1949" s="44" t="str">
        <f t="array" ref="E1949">IF(B1949="","",_xlfn.XLOOKUP(B1949,'Form responses 1'!$B$2:$B$2604,'Form responses 1'!$C$2:$C$2604,""))</f>
        <v/>
      </c>
      <c r="F1949" s="44" t="str">
        <f t="array" ref="F1949">IF(B1949="","",_xlfn.XLOOKUP(B1949,'Form responses 1'!$B$2:$B$2604,'Form responses 1'!$D$2:$D$2604,""))</f>
        <v/>
      </c>
      <c r="G1949" s="44" t="str">
        <f t="array" ref="G1949">IF(B1949="","",_xlfn.XLOOKUP(B1949,'Form responses 1'!$B$2:$B$2604,'Form responses 1'!$E$2:$E$2604,""))</f>
        <v/>
      </c>
      <c r="H1949" s="44" t="str">
        <f t="array" ref="H1949">IF(B1949="","",_xlfn.XLOOKUP(B1949,'Form responses 1'!$B$2:$B$2604,'Form responses 1'!$F$2:$F$2604,""))</f>
        <v/>
      </c>
      <c r="I1949" s="44" t="str">
        <f t="array" ref="I1949">IF(B1949="","",_xlfn.XLOOKUP(B1949,'Form responses 1'!$B$2:$B$2604,'Form responses 1'!$I$2:$I$2604,""))</f>
        <v/>
      </c>
      <c r="J1949" s="44" t="str">
        <f t="array" ref="J1949">IF(B1949="","",_xlfn.XLOOKUP(B1949,'Form responses 1'!$B$2:$B$2604,'Form responses 1'!$G$2:$G$2604,""))</f>
        <v/>
      </c>
      <c r="K1949" s="56"/>
      <c r="L1949" s="58" t="str">
        <f t="shared" si="7"/>
        <v/>
      </c>
      <c r="M1949" s="49"/>
      <c r="N1949" s="49"/>
      <c r="O1949" s="49"/>
      <c r="P1949" s="49"/>
      <c r="Q1949" s="49"/>
      <c r="R1949" s="49"/>
      <c r="S1949" s="49"/>
      <c r="T1949" s="49"/>
      <c r="U1949" s="49"/>
      <c r="V1949" s="49"/>
      <c r="W1949" s="56"/>
      <c r="X1949" s="51" t="str">
        <f t="shared" si="5"/>
        <v/>
      </c>
      <c r="Y1949" s="50" t="s">
        <v>482</v>
      </c>
      <c r="Z1949" s="49">
        <f t="shared" si="6"/>
        <v>0</v>
      </c>
    </row>
    <row r="1950" ht="22.5" customHeight="1">
      <c r="B1950" s="57"/>
      <c r="C1950" s="43" t="str">
        <f t="array" ref="C1950">IF(B1950="","",_xlfn.XLOOKUP(B1950,'Form responses 1'!$B$2:$B$2604,'Form responses 1'!$A$2:$A$2604,""))</f>
        <v/>
      </c>
      <c r="D1950" s="44" t="str">
        <f t="shared" si="3"/>
        <v/>
      </c>
      <c r="E1950" s="44" t="str">
        <f t="array" ref="E1950">IF(B1950="","",_xlfn.XLOOKUP(B1950,'Form responses 1'!$B$2:$B$2604,'Form responses 1'!$C$2:$C$2604,""))</f>
        <v/>
      </c>
      <c r="F1950" s="44" t="str">
        <f t="array" ref="F1950">IF(B1950="","",_xlfn.XLOOKUP(B1950,'Form responses 1'!$B$2:$B$2604,'Form responses 1'!$D$2:$D$2604,""))</f>
        <v/>
      </c>
      <c r="G1950" s="44" t="str">
        <f t="array" ref="G1950">IF(B1950="","",_xlfn.XLOOKUP(B1950,'Form responses 1'!$B$2:$B$2604,'Form responses 1'!$E$2:$E$2604,""))</f>
        <v/>
      </c>
      <c r="H1950" s="44" t="str">
        <f t="array" ref="H1950">IF(B1950="","",_xlfn.XLOOKUP(B1950,'Form responses 1'!$B$2:$B$2604,'Form responses 1'!$F$2:$F$2604,""))</f>
        <v/>
      </c>
      <c r="I1950" s="44" t="str">
        <f t="array" ref="I1950">IF(B1950="","",_xlfn.XLOOKUP(B1950,'Form responses 1'!$B$2:$B$2604,'Form responses 1'!$I$2:$I$2604,""))</f>
        <v/>
      </c>
      <c r="J1950" s="44" t="str">
        <f t="array" ref="J1950">IF(B1950="","",_xlfn.XLOOKUP(B1950,'Form responses 1'!$B$2:$B$2604,'Form responses 1'!$G$2:$G$2604,""))</f>
        <v/>
      </c>
      <c r="K1950" s="56"/>
      <c r="L1950" s="58" t="str">
        <f t="shared" si="7"/>
        <v/>
      </c>
      <c r="M1950" s="49"/>
      <c r="N1950" s="49"/>
      <c r="O1950" s="49"/>
      <c r="P1950" s="49"/>
      <c r="Q1950" s="49"/>
      <c r="R1950" s="49"/>
      <c r="S1950" s="49"/>
      <c r="T1950" s="49"/>
      <c r="U1950" s="49"/>
      <c r="V1950" s="49"/>
      <c r="W1950" s="56"/>
      <c r="X1950" s="51" t="str">
        <f t="shared" si="5"/>
        <v/>
      </c>
      <c r="Y1950" s="50" t="s">
        <v>482</v>
      </c>
      <c r="Z1950" s="49">
        <f t="shared" si="6"/>
        <v>0</v>
      </c>
    </row>
    <row r="1951" ht="22.5" customHeight="1">
      <c r="B1951" s="57"/>
      <c r="C1951" s="43" t="str">
        <f t="array" ref="C1951">IF(B1951="","",_xlfn.XLOOKUP(B1951,'Form responses 1'!$B$2:$B$2604,'Form responses 1'!$A$2:$A$2604,""))</f>
        <v/>
      </c>
      <c r="D1951" s="44" t="str">
        <f t="shared" si="3"/>
        <v/>
      </c>
      <c r="E1951" s="44" t="str">
        <f t="array" ref="E1951">IF(B1951="","",_xlfn.XLOOKUP(B1951,'Form responses 1'!$B$2:$B$2604,'Form responses 1'!$C$2:$C$2604,""))</f>
        <v/>
      </c>
      <c r="F1951" s="44" t="str">
        <f t="array" ref="F1951">IF(B1951="","",_xlfn.XLOOKUP(B1951,'Form responses 1'!$B$2:$B$2604,'Form responses 1'!$D$2:$D$2604,""))</f>
        <v/>
      </c>
      <c r="G1951" s="44" t="str">
        <f t="array" ref="G1951">IF(B1951="","",_xlfn.XLOOKUP(B1951,'Form responses 1'!$B$2:$B$2604,'Form responses 1'!$E$2:$E$2604,""))</f>
        <v/>
      </c>
      <c r="H1951" s="44" t="str">
        <f t="array" ref="H1951">IF(B1951="","",_xlfn.XLOOKUP(B1951,'Form responses 1'!$B$2:$B$2604,'Form responses 1'!$F$2:$F$2604,""))</f>
        <v/>
      </c>
      <c r="I1951" s="44" t="str">
        <f t="array" ref="I1951">IF(B1951="","",_xlfn.XLOOKUP(B1951,'Form responses 1'!$B$2:$B$2604,'Form responses 1'!$I$2:$I$2604,""))</f>
        <v/>
      </c>
      <c r="J1951" s="44" t="str">
        <f t="array" ref="J1951">IF(B1951="","",_xlfn.XLOOKUP(B1951,'Form responses 1'!$B$2:$B$2604,'Form responses 1'!$G$2:$G$2604,""))</f>
        <v/>
      </c>
      <c r="K1951" s="56"/>
      <c r="L1951" s="58" t="str">
        <f t="shared" si="7"/>
        <v/>
      </c>
      <c r="M1951" s="49"/>
      <c r="N1951" s="49"/>
      <c r="O1951" s="49"/>
      <c r="P1951" s="49"/>
      <c r="Q1951" s="49"/>
      <c r="R1951" s="49"/>
      <c r="S1951" s="49"/>
      <c r="T1951" s="49"/>
      <c r="U1951" s="49"/>
      <c r="V1951" s="49"/>
      <c r="W1951" s="56"/>
      <c r="X1951" s="51" t="str">
        <f t="shared" si="5"/>
        <v/>
      </c>
      <c r="Y1951" s="50" t="s">
        <v>482</v>
      </c>
      <c r="Z1951" s="49">
        <f t="shared" si="6"/>
        <v>0</v>
      </c>
    </row>
    <row r="1952" ht="22.5" customHeight="1">
      <c r="B1952" s="57"/>
      <c r="C1952" s="43" t="str">
        <f t="array" ref="C1952">IF(B1952="","",_xlfn.XLOOKUP(B1952,'Form responses 1'!$B$2:$B$2604,'Form responses 1'!$A$2:$A$2604,""))</f>
        <v/>
      </c>
      <c r="D1952" s="44" t="str">
        <f t="shared" si="3"/>
        <v/>
      </c>
      <c r="E1952" s="44" t="str">
        <f t="array" ref="E1952">IF(B1952="","",_xlfn.XLOOKUP(B1952,'Form responses 1'!$B$2:$B$2604,'Form responses 1'!$C$2:$C$2604,""))</f>
        <v/>
      </c>
      <c r="F1952" s="44" t="str">
        <f t="array" ref="F1952">IF(B1952="","",_xlfn.XLOOKUP(B1952,'Form responses 1'!$B$2:$B$2604,'Form responses 1'!$D$2:$D$2604,""))</f>
        <v/>
      </c>
      <c r="G1952" s="44" t="str">
        <f t="array" ref="G1952">IF(B1952="","",_xlfn.XLOOKUP(B1952,'Form responses 1'!$B$2:$B$2604,'Form responses 1'!$E$2:$E$2604,""))</f>
        <v/>
      </c>
      <c r="H1952" s="44" t="str">
        <f t="array" ref="H1952">IF(B1952="","",_xlfn.XLOOKUP(B1952,'Form responses 1'!$B$2:$B$2604,'Form responses 1'!$F$2:$F$2604,""))</f>
        <v/>
      </c>
      <c r="I1952" s="44" t="str">
        <f t="array" ref="I1952">IF(B1952="","",_xlfn.XLOOKUP(B1952,'Form responses 1'!$B$2:$B$2604,'Form responses 1'!$I$2:$I$2604,""))</f>
        <v/>
      </c>
      <c r="J1952" s="44" t="str">
        <f t="array" ref="J1952">IF(B1952="","",_xlfn.XLOOKUP(B1952,'Form responses 1'!$B$2:$B$2604,'Form responses 1'!$G$2:$G$2604,""))</f>
        <v/>
      </c>
      <c r="K1952" s="56"/>
      <c r="L1952" s="58" t="str">
        <f t="shared" si="7"/>
        <v/>
      </c>
      <c r="M1952" s="49"/>
      <c r="N1952" s="49"/>
      <c r="O1952" s="49"/>
      <c r="P1952" s="49"/>
      <c r="Q1952" s="49"/>
      <c r="R1952" s="49"/>
      <c r="S1952" s="49"/>
      <c r="T1952" s="49"/>
      <c r="U1952" s="49"/>
      <c r="V1952" s="49"/>
      <c r="W1952" s="56"/>
      <c r="X1952" s="51" t="str">
        <f t="shared" si="5"/>
        <v/>
      </c>
      <c r="Y1952" s="50" t="s">
        <v>482</v>
      </c>
      <c r="Z1952" s="49">
        <f t="shared" si="6"/>
        <v>0</v>
      </c>
    </row>
    <row r="1953" ht="22.5" customHeight="1">
      <c r="B1953" s="57"/>
      <c r="C1953" s="43" t="str">
        <f t="array" ref="C1953">IF(B1953="","",_xlfn.XLOOKUP(B1953,'Form responses 1'!$B$2:$B$2604,'Form responses 1'!$A$2:$A$2604,""))</f>
        <v/>
      </c>
      <c r="D1953" s="44" t="str">
        <f t="shared" si="3"/>
        <v/>
      </c>
      <c r="E1953" s="44" t="str">
        <f t="array" ref="E1953">IF(B1953="","",_xlfn.XLOOKUP(B1953,'Form responses 1'!$B$2:$B$2604,'Form responses 1'!$C$2:$C$2604,""))</f>
        <v/>
      </c>
      <c r="F1953" s="44" t="str">
        <f t="array" ref="F1953">IF(B1953="","",_xlfn.XLOOKUP(B1953,'Form responses 1'!$B$2:$B$2604,'Form responses 1'!$D$2:$D$2604,""))</f>
        <v/>
      </c>
      <c r="G1953" s="44" t="str">
        <f t="array" ref="G1953">IF(B1953="","",_xlfn.XLOOKUP(B1953,'Form responses 1'!$B$2:$B$2604,'Form responses 1'!$E$2:$E$2604,""))</f>
        <v/>
      </c>
      <c r="H1953" s="44" t="str">
        <f t="array" ref="H1953">IF(B1953="","",_xlfn.XLOOKUP(B1953,'Form responses 1'!$B$2:$B$2604,'Form responses 1'!$F$2:$F$2604,""))</f>
        <v/>
      </c>
      <c r="I1953" s="44" t="str">
        <f t="array" ref="I1953">IF(B1953="","",_xlfn.XLOOKUP(B1953,'Form responses 1'!$B$2:$B$2604,'Form responses 1'!$I$2:$I$2604,""))</f>
        <v/>
      </c>
      <c r="J1953" s="44" t="str">
        <f t="array" ref="J1953">IF(B1953="","",_xlfn.XLOOKUP(B1953,'Form responses 1'!$B$2:$B$2604,'Form responses 1'!$G$2:$G$2604,""))</f>
        <v/>
      </c>
      <c r="K1953" s="56"/>
      <c r="L1953" s="58" t="str">
        <f t="shared" si="7"/>
        <v/>
      </c>
      <c r="M1953" s="49"/>
      <c r="N1953" s="49"/>
      <c r="O1953" s="49"/>
      <c r="P1953" s="49"/>
      <c r="Q1953" s="49"/>
      <c r="R1953" s="49"/>
      <c r="S1953" s="49"/>
      <c r="T1953" s="49"/>
      <c r="U1953" s="49"/>
      <c r="V1953" s="49"/>
      <c r="W1953" s="56"/>
      <c r="X1953" s="51" t="str">
        <f t="shared" si="5"/>
        <v/>
      </c>
      <c r="Y1953" s="50" t="s">
        <v>482</v>
      </c>
      <c r="Z1953" s="49">
        <f t="shared" si="6"/>
        <v>0</v>
      </c>
    </row>
    <row r="1954" ht="22.5" customHeight="1">
      <c r="B1954" s="57"/>
      <c r="C1954" s="43" t="str">
        <f t="array" ref="C1954">IF(B1954="","",_xlfn.XLOOKUP(B1954,'Form responses 1'!$B$2:$B$2604,'Form responses 1'!$A$2:$A$2604,""))</f>
        <v/>
      </c>
      <c r="D1954" s="44" t="str">
        <f t="shared" si="3"/>
        <v/>
      </c>
      <c r="E1954" s="44" t="str">
        <f t="array" ref="E1954">IF(B1954="","",_xlfn.XLOOKUP(B1954,'Form responses 1'!$B$2:$B$2604,'Form responses 1'!$C$2:$C$2604,""))</f>
        <v/>
      </c>
      <c r="F1954" s="44" t="str">
        <f t="array" ref="F1954">IF(B1954="","",_xlfn.XLOOKUP(B1954,'Form responses 1'!$B$2:$B$2604,'Form responses 1'!$D$2:$D$2604,""))</f>
        <v/>
      </c>
      <c r="G1954" s="44" t="str">
        <f t="array" ref="G1954">IF(B1954="","",_xlfn.XLOOKUP(B1954,'Form responses 1'!$B$2:$B$2604,'Form responses 1'!$E$2:$E$2604,""))</f>
        <v/>
      </c>
      <c r="H1954" s="44" t="str">
        <f t="array" ref="H1954">IF(B1954="","",_xlfn.XLOOKUP(B1954,'Form responses 1'!$B$2:$B$2604,'Form responses 1'!$F$2:$F$2604,""))</f>
        <v/>
      </c>
      <c r="I1954" s="44" t="str">
        <f t="array" ref="I1954">IF(B1954="","",_xlfn.XLOOKUP(B1954,'Form responses 1'!$B$2:$B$2604,'Form responses 1'!$I$2:$I$2604,""))</f>
        <v/>
      </c>
      <c r="J1954" s="44" t="str">
        <f t="array" ref="J1954">IF(B1954="","",_xlfn.XLOOKUP(B1954,'Form responses 1'!$B$2:$B$2604,'Form responses 1'!$G$2:$G$2604,""))</f>
        <v/>
      </c>
      <c r="K1954" s="56"/>
      <c r="L1954" s="58" t="str">
        <f t="shared" si="7"/>
        <v/>
      </c>
      <c r="M1954" s="49"/>
      <c r="N1954" s="49"/>
      <c r="O1954" s="49"/>
      <c r="P1954" s="49"/>
      <c r="Q1954" s="49"/>
      <c r="R1954" s="49"/>
      <c r="S1954" s="49"/>
      <c r="T1954" s="49"/>
      <c r="U1954" s="49"/>
      <c r="V1954" s="49"/>
      <c r="W1954" s="56"/>
      <c r="X1954" s="51" t="str">
        <f t="shared" si="5"/>
        <v/>
      </c>
      <c r="Y1954" s="50" t="s">
        <v>482</v>
      </c>
      <c r="Z1954" s="49">
        <f t="shared" si="6"/>
        <v>0</v>
      </c>
    </row>
    <row r="1955" ht="22.5" customHeight="1">
      <c r="B1955" s="57"/>
      <c r="C1955" s="43" t="str">
        <f t="array" ref="C1955">IF(B1955="","",_xlfn.XLOOKUP(B1955,'Form responses 1'!$B$2:$B$2604,'Form responses 1'!$A$2:$A$2604,""))</f>
        <v/>
      </c>
      <c r="D1955" s="44" t="str">
        <f t="shared" si="3"/>
        <v/>
      </c>
      <c r="E1955" s="44" t="str">
        <f t="array" ref="E1955">IF(B1955="","",_xlfn.XLOOKUP(B1955,'Form responses 1'!$B$2:$B$2604,'Form responses 1'!$C$2:$C$2604,""))</f>
        <v/>
      </c>
      <c r="F1955" s="44" t="str">
        <f t="array" ref="F1955">IF(B1955="","",_xlfn.XLOOKUP(B1955,'Form responses 1'!$B$2:$B$2604,'Form responses 1'!$D$2:$D$2604,""))</f>
        <v/>
      </c>
      <c r="G1955" s="44" t="str">
        <f t="array" ref="G1955">IF(B1955="","",_xlfn.XLOOKUP(B1955,'Form responses 1'!$B$2:$B$2604,'Form responses 1'!$E$2:$E$2604,""))</f>
        <v/>
      </c>
      <c r="H1955" s="44" t="str">
        <f t="array" ref="H1955">IF(B1955="","",_xlfn.XLOOKUP(B1955,'Form responses 1'!$B$2:$B$2604,'Form responses 1'!$F$2:$F$2604,""))</f>
        <v/>
      </c>
      <c r="I1955" s="44" t="str">
        <f t="array" ref="I1955">IF(B1955="","",_xlfn.XLOOKUP(B1955,'Form responses 1'!$B$2:$B$2604,'Form responses 1'!$I$2:$I$2604,""))</f>
        <v/>
      </c>
      <c r="J1955" s="44" t="str">
        <f t="array" ref="J1955">IF(B1955="","",_xlfn.XLOOKUP(B1955,'Form responses 1'!$B$2:$B$2604,'Form responses 1'!$G$2:$G$2604,""))</f>
        <v/>
      </c>
      <c r="K1955" s="56"/>
      <c r="L1955" s="58" t="str">
        <f t="shared" si="7"/>
        <v/>
      </c>
      <c r="M1955" s="49"/>
      <c r="N1955" s="49"/>
      <c r="O1955" s="49"/>
      <c r="P1955" s="49"/>
      <c r="Q1955" s="49"/>
      <c r="R1955" s="49"/>
      <c r="S1955" s="49"/>
      <c r="T1955" s="49"/>
      <c r="U1955" s="49"/>
      <c r="V1955" s="49"/>
      <c r="W1955" s="56"/>
      <c r="X1955" s="51" t="str">
        <f t="shared" si="5"/>
        <v/>
      </c>
      <c r="Y1955" s="50" t="s">
        <v>482</v>
      </c>
      <c r="Z1955" s="49">
        <f t="shared" si="6"/>
        <v>0</v>
      </c>
    </row>
    <row r="1956" ht="22.5" customHeight="1">
      <c r="B1956" s="57"/>
      <c r="C1956" s="43" t="str">
        <f t="array" ref="C1956">IF(B1956="","",_xlfn.XLOOKUP(B1956,'Form responses 1'!$B$2:$B$2604,'Form responses 1'!$A$2:$A$2604,""))</f>
        <v/>
      </c>
      <c r="D1956" s="44" t="str">
        <f t="shared" si="3"/>
        <v/>
      </c>
      <c r="E1956" s="44" t="str">
        <f t="array" ref="E1956">IF(B1956="","",_xlfn.XLOOKUP(B1956,'Form responses 1'!$B$2:$B$2604,'Form responses 1'!$C$2:$C$2604,""))</f>
        <v/>
      </c>
      <c r="F1956" s="44" t="str">
        <f t="array" ref="F1956">IF(B1956="","",_xlfn.XLOOKUP(B1956,'Form responses 1'!$B$2:$B$2604,'Form responses 1'!$D$2:$D$2604,""))</f>
        <v/>
      </c>
      <c r="G1956" s="44" t="str">
        <f t="array" ref="G1956">IF(B1956="","",_xlfn.XLOOKUP(B1956,'Form responses 1'!$B$2:$B$2604,'Form responses 1'!$E$2:$E$2604,""))</f>
        <v/>
      </c>
      <c r="H1956" s="44" t="str">
        <f t="array" ref="H1956">IF(B1956="","",_xlfn.XLOOKUP(B1956,'Form responses 1'!$B$2:$B$2604,'Form responses 1'!$F$2:$F$2604,""))</f>
        <v/>
      </c>
      <c r="I1956" s="44" t="str">
        <f t="array" ref="I1956">IF(B1956="","",_xlfn.XLOOKUP(B1956,'Form responses 1'!$B$2:$B$2604,'Form responses 1'!$I$2:$I$2604,""))</f>
        <v/>
      </c>
      <c r="J1956" s="44" t="str">
        <f t="array" ref="J1956">IF(B1956="","",_xlfn.XLOOKUP(B1956,'Form responses 1'!$B$2:$B$2604,'Form responses 1'!$G$2:$G$2604,""))</f>
        <v/>
      </c>
      <c r="K1956" s="56"/>
      <c r="L1956" s="58" t="str">
        <f t="shared" si="7"/>
        <v/>
      </c>
      <c r="M1956" s="49"/>
      <c r="N1956" s="49"/>
      <c r="O1956" s="49"/>
      <c r="P1956" s="49"/>
      <c r="Q1956" s="49"/>
      <c r="R1956" s="49"/>
      <c r="S1956" s="49"/>
      <c r="T1956" s="49"/>
      <c r="U1956" s="49"/>
      <c r="V1956" s="49"/>
      <c r="W1956" s="56"/>
      <c r="X1956" s="51" t="str">
        <f t="shared" si="5"/>
        <v/>
      </c>
      <c r="Y1956" s="50" t="s">
        <v>482</v>
      </c>
      <c r="Z1956" s="49">
        <f t="shared" si="6"/>
        <v>0</v>
      </c>
    </row>
    <row r="1957" ht="22.5" customHeight="1">
      <c r="B1957" s="57"/>
      <c r="C1957" s="43" t="str">
        <f t="array" ref="C1957">IF(B1957="","",_xlfn.XLOOKUP(B1957,'Form responses 1'!$B$2:$B$2604,'Form responses 1'!$A$2:$A$2604,""))</f>
        <v/>
      </c>
      <c r="D1957" s="44" t="str">
        <f t="shared" si="3"/>
        <v/>
      </c>
      <c r="E1957" s="44" t="str">
        <f t="array" ref="E1957">IF(B1957="","",_xlfn.XLOOKUP(B1957,'Form responses 1'!$B$2:$B$2604,'Form responses 1'!$C$2:$C$2604,""))</f>
        <v/>
      </c>
      <c r="F1957" s="44" t="str">
        <f t="array" ref="F1957">IF(B1957="","",_xlfn.XLOOKUP(B1957,'Form responses 1'!$B$2:$B$2604,'Form responses 1'!$D$2:$D$2604,""))</f>
        <v/>
      </c>
      <c r="G1957" s="44" t="str">
        <f t="array" ref="G1957">IF(B1957="","",_xlfn.XLOOKUP(B1957,'Form responses 1'!$B$2:$B$2604,'Form responses 1'!$E$2:$E$2604,""))</f>
        <v/>
      </c>
      <c r="H1957" s="44" t="str">
        <f t="array" ref="H1957">IF(B1957="","",_xlfn.XLOOKUP(B1957,'Form responses 1'!$B$2:$B$2604,'Form responses 1'!$F$2:$F$2604,""))</f>
        <v/>
      </c>
      <c r="I1957" s="44" t="str">
        <f t="array" ref="I1957">IF(B1957="","",_xlfn.XLOOKUP(B1957,'Form responses 1'!$B$2:$B$2604,'Form responses 1'!$I$2:$I$2604,""))</f>
        <v/>
      </c>
      <c r="J1957" s="44" t="str">
        <f t="array" ref="J1957">IF(B1957="","",_xlfn.XLOOKUP(B1957,'Form responses 1'!$B$2:$B$2604,'Form responses 1'!$G$2:$G$2604,""))</f>
        <v/>
      </c>
      <c r="K1957" s="56"/>
      <c r="L1957" s="58" t="str">
        <f t="shared" si="7"/>
        <v/>
      </c>
      <c r="M1957" s="49"/>
      <c r="N1957" s="49"/>
      <c r="O1957" s="49"/>
      <c r="P1957" s="49"/>
      <c r="Q1957" s="49"/>
      <c r="R1957" s="49"/>
      <c r="S1957" s="49"/>
      <c r="T1957" s="49"/>
      <c r="U1957" s="49"/>
      <c r="V1957" s="49"/>
      <c r="W1957" s="56"/>
      <c r="X1957" s="51" t="str">
        <f t="shared" si="5"/>
        <v/>
      </c>
      <c r="Y1957" s="50" t="s">
        <v>482</v>
      </c>
      <c r="Z1957" s="49">
        <f t="shared" si="6"/>
        <v>0</v>
      </c>
    </row>
    <row r="1958" ht="22.5" customHeight="1">
      <c r="B1958" s="57"/>
      <c r="C1958" s="43" t="str">
        <f t="array" ref="C1958">IF(B1958="","",_xlfn.XLOOKUP(B1958,'Form responses 1'!$B$2:$B$2604,'Form responses 1'!$A$2:$A$2604,""))</f>
        <v/>
      </c>
      <c r="D1958" s="44" t="str">
        <f t="shared" si="3"/>
        <v/>
      </c>
      <c r="E1958" s="44" t="str">
        <f t="array" ref="E1958">IF(B1958="","",_xlfn.XLOOKUP(B1958,'Form responses 1'!$B$2:$B$2604,'Form responses 1'!$C$2:$C$2604,""))</f>
        <v/>
      </c>
      <c r="F1958" s="44" t="str">
        <f t="array" ref="F1958">IF(B1958="","",_xlfn.XLOOKUP(B1958,'Form responses 1'!$B$2:$B$2604,'Form responses 1'!$D$2:$D$2604,""))</f>
        <v/>
      </c>
      <c r="G1958" s="44" t="str">
        <f t="array" ref="G1958">IF(B1958="","",_xlfn.XLOOKUP(B1958,'Form responses 1'!$B$2:$B$2604,'Form responses 1'!$E$2:$E$2604,""))</f>
        <v/>
      </c>
      <c r="H1958" s="44" t="str">
        <f t="array" ref="H1958">IF(B1958="","",_xlfn.XLOOKUP(B1958,'Form responses 1'!$B$2:$B$2604,'Form responses 1'!$F$2:$F$2604,""))</f>
        <v/>
      </c>
      <c r="I1958" s="44" t="str">
        <f t="array" ref="I1958">IF(B1958="","",_xlfn.XLOOKUP(B1958,'Form responses 1'!$B$2:$B$2604,'Form responses 1'!$I$2:$I$2604,""))</f>
        <v/>
      </c>
      <c r="J1958" s="44" t="str">
        <f t="array" ref="J1958">IF(B1958="","",_xlfn.XLOOKUP(B1958,'Form responses 1'!$B$2:$B$2604,'Form responses 1'!$G$2:$G$2604,""))</f>
        <v/>
      </c>
      <c r="K1958" s="56"/>
      <c r="L1958" s="58" t="str">
        <f t="shared" si="7"/>
        <v/>
      </c>
      <c r="M1958" s="49"/>
      <c r="N1958" s="49"/>
      <c r="O1958" s="49"/>
      <c r="P1958" s="49"/>
      <c r="Q1958" s="49"/>
      <c r="R1958" s="49"/>
      <c r="S1958" s="49"/>
      <c r="T1958" s="49"/>
      <c r="U1958" s="49"/>
      <c r="V1958" s="49"/>
      <c r="W1958" s="56"/>
      <c r="X1958" s="51" t="str">
        <f t="shared" si="5"/>
        <v/>
      </c>
      <c r="Y1958" s="50" t="s">
        <v>482</v>
      </c>
      <c r="Z1958" s="49">
        <f t="shared" si="6"/>
        <v>0</v>
      </c>
    </row>
    <row r="1959" ht="22.5" customHeight="1">
      <c r="B1959" s="57"/>
      <c r="C1959" s="43" t="str">
        <f t="array" ref="C1959">IF(B1959="","",_xlfn.XLOOKUP(B1959,'Form responses 1'!$B$2:$B$2604,'Form responses 1'!$A$2:$A$2604,""))</f>
        <v/>
      </c>
      <c r="D1959" s="44" t="str">
        <f t="shared" si="3"/>
        <v/>
      </c>
      <c r="E1959" s="44" t="str">
        <f t="array" ref="E1959">IF(B1959="","",_xlfn.XLOOKUP(B1959,'Form responses 1'!$B$2:$B$2604,'Form responses 1'!$C$2:$C$2604,""))</f>
        <v/>
      </c>
      <c r="F1959" s="44" t="str">
        <f t="array" ref="F1959">IF(B1959="","",_xlfn.XLOOKUP(B1959,'Form responses 1'!$B$2:$B$2604,'Form responses 1'!$D$2:$D$2604,""))</f>
        <v/>
      </c>
      <c r="G1959" s="44" t="str">
        <f t="array" ref="G1959">IF(B1959="","",_xlfn.XLOOKUP(B1959,'Form responses 1'!$B$2:$B$2604,'Form responses 1'!$E$2:$E$2604,""))</f>
        <v/>
      </c>
      <c r="H1959" s="44" t="str">
        <f t="array" ref="H1959">IF(B1959="","",_xlfn.XLOOKUP(B1959,'Form responses 1'!$B$2:$B$2604,'Form responses 1'!$F$2:$F$2604,""))</f>
        <v/>
      </c>
      <c r="I1959" s="44" t="str">
        <f t="array" ref="I1959">IF(B1959="","",_xlfn.XLOOKUP(B1959,'Form responses 1'!$B$2:$B$2604,'Form responses 1'!$I$2:$I$2604,""))</f>
        <v/>
      </c>
      <c r="J1959" s="44" t="str">
        <f t="array" ref="J1959">IF(B1959="","",_xlfn.XLOOKUP(B1959,'Form responses 1'!$B$2:$B$2604,'Form responses 1'!$G$2:$G$2604,""))</f>
        <v/>
      </c>
      <c r="K1959" s="56"/>
      <c r="L1959" s="58" t="str">
        <f t="shared" si="7"/>
        <v/>
      </c>
      <c r="M1959" s="49"/>
      <c r="N1959" s="49"/>
      <c r="O1959" s="49"/>
      <c r="P1959" s="49"/>
      <c r="Q1959" s="49"/>
      <c r="R1959" s="49"/>
      <c r="S1959" s="49"/>
      <c r="T1959" s="49"/>
      <c r="U1959" s="49"/>
      <c r="V1959" s="49"/>
      <c r="W1959" s="56"/>
      <c r="X1959" s="51" t="str">
        <f t="shared" si="5"/>
        <v/>
      </c>
      <c r="Y1959" s="50" t="s">
        <v>482</v>
      </c>
      <c r="Z1959" s="49">
        <f t="shared" si="6"/>
        <v>0</v>
      </c>
    </row>
    <row r="1960" ht="22.5" customHeight="1">
      <c r="B1960" s="57"/>
      <c r="C1960" s="43" t="str">
        <f t="array" ref="C1960">IF(B1960="","",_xlfn.XLOOKUP(B1960,'Form responses 1'!$B$2:$B$2604,'Form responses 1'!$A$2:$A$2604,""))</f>
        <v/>
      </c>
      <c r="D1960" s="44" t="str">
        <f t="shared" si="3"/>
        <v/>
      </c>
      <c r="E1960" s="44" t="str">
        <f t="array" ref="E1960">IF(B1960="","",_xlfn.XLOOKUP(B1960,'Form responses 1'!$B$2:$B$2604,'Form responses 1'!$C$2:$C$2604,""))</f>
        <v/>
      </c>
      <c r="F1960" s="44" t="str">
        <f t="array" ref="F1960">IF(B1960="","",_xlfn.XLOOKUP(B1960,'Form responses 1'!$B$2:$B$2604,'Form responses 1'!$D$2:$D$2604,""))</f>
        <v/>
      </c>
      <c r="G1960" s="44" t="str">
        <f t="array" ref="G1960">IF(B1960="","",_xlfn.XLOOKUP(B1960,'Form responses 1'!$B$2:$B$2604,'Form responses 1'!$E$2:$E$2604,""))</f>
        <v/>
      </c>
      <c r="H1960" s="44" t="str">
        <f t="array" ref="H1960">IF(B1960="","",_xlfn.XLOOKUP(B1960,'Form responses 1'!$B$2:$B$2604,'Form responses 1'!$F$2:$F$2604,""))</f>
        <v/>
      </c>
      <c r="I1960" s="44" t="str">
        <f t="array" ref="I1960">IF(B1960="","",_xlfn.XLOOKUP(B1960,'Form responses 1'!$B$2:$B$2604,'Form responses 1'!$I$2:$I$2604,""))</f>
        <v/>
      </c>
      <c r="J1960" s="44" t="str">
        <f t="array" ref="J1960">IF(B1960="","",_xlfn.XLOOKUP(B1960,'Form responses 1'!$B$2:$B$2604,'Form responses 1'!$G$2:$G$2604,""))</f>
        <v/>
      </c>
      <c r="K1960" s="56"/>
      <c r="L1960" s="58" t="str">
        <f t="shared" si="7"/>
        <v/>
      </c>
      <c r="M1960" s="49"/>
      <c r="N1960" s="49"/>
      <c r="O1960" s="49"/>
      <c r="P1960" s="49"/>
      <c r="Q1960" s="49"/>
      <c r="R1960" s="49"/>
      <c r="S1960" s="49"/>
      <c r="T1960" s="49"/>
      <c r="U1960" s="49"/>
      <c r="V1960" s="49"/>
      <c r="W1960" s="56"/>
      <c r="X1960" s="51" t="str">
        <f t="shared" si="5"/>
        <v/>
      </c>
      <c r="Y1960" s="50" t="s">
        <v>482</v>
      </c>
      <c r="Z1960" s="49">
        <f t="shared" si="6"/>
        <v>0</v>
      </c>
    </row>
    <row r="1961" ht="22.5" customHeight="1">
      <c r="B1961" s="57"/>
      <c r="C1961" s="43" t="str">
        <f t="array" ref="C1961">IF(B1961="","",_xlfn.XLOOKUP(B1961,'Form responses 1'!$B$2:$B$2604,'Form responses 1'!$A$2:$A$2604,""))</f>
        <v/>
      </c>
      <c r="D1961" s="44" t="str">
        <f t="shared" si="3"/>
        <v/>
      </c>
      <c r="E1961" s="44" t="str">
        <f t="array" ref="E1961">IF(B1961="","",_xlfn.XLOOKUP(B1961,'Form responses 1'!$B$2:$B$2604,'Form responses 1'!$C$2:$C$2604,""))</f>
        <v/>
      </c>
      <c r="F1961" s="44" t="str">
        <f t="array" ref="F1961">IF(B1961="","",_xlfn.XLOOKUP(B1961,'Form responses 1'!$B$2:$B$2604,'Form responses 1'!$D$2:$D$2604,""))</f>
        <v/>
      </c>
      <c r="G1961" s="44" t="str">
        <f t="array" ref="G1961">IF(B1961="","",_xlfn.XLOOKUP(B1961,'Form responses 1'!$B$2:$B$2604,'Form responses 1'!$E$2:$E$2604,""))</f>
        <v/>
      </c>
      <c r="H1961" s="44" t="str">
        <f t="array" ref="H1961">IF(B1961="","",_xlfn.XLOOKUP(B1961,'Form responses 1'!$B$2:$B$2604,'Form responses 1'!$F$2:$F$2604,""))</f>
        <v/>
      </c>
      <c r="I1961" s="44" t="str">
        <f t="array" ref="I1961">IF(B1961="","",_xlfn.XLOOKUP(B1961,'Form responses 1'!$B$2:$B$2604,'Form responses 1'!$I$2:$I$2604,""))</f>
        <v/>
      </c>
      <c r="J1961" s="44" t="str">
        <f t="array" ref="J1961">IF(B1961="","",_xlfn.XLOOKUP(B1961,'Form responses 1'!$B$2:$B$2604,'Form responses 1'!$G$2:$G$2604,""))</f>
        <v/>
      </c>
      <c r="K1961" s="56"/>
      <c r="L1961" s="58" t="str">
        <f t="shared" si="7"/>
        <v/>
      </c>
      <c r="M1961" s="49"/>
      <c r="N1961" s="49"/>
      <c r="O1961" s="49"/>
      <c r="P1961" s="49"/>
      <c r="Q1961" s="49"/>
      <c r="R1961" s="49"/>
      <c r="S1961" s="49"/>
      <c r="T1961" s="49"/>
      <c r="U1961" s="49"/>
      <c r="V1961" s="49"/>
      <c r="W1961" s="56"/>
      <c r="X1961" s="51" t="str">
        <f t="shared" si="5"/>
        <v/>
      </c>
      <c r="Y1961" s="50" t="s">
        <v>482</v>
      </c>
      <c r="Z1961" s="49">
        <f t="shared" si="6"/>
        <v>0</v>
      </c>
    </row>
    <row r="1962" ht="22.5" customHeight="1">
      <c r="B1962" s="57"/>
      <c r="C1962" s="43" t="str">
        <f t="array" ref="C1962">IF(B1962="","",_xlfn.XLOOKUP(B1962,'Form responses 1'!$B$2:$B$2604,'Form responses 1'!$A$2:$A$2604,""))</f>
        <v/>
      </c>
      <c r="D1962" s="44" t="str">
        <f t="shared" si="3"/>
        <v/>
      </c>
      <c r="E1962" s="44" t="str">
        <f t="array" ref="E1962">IF(B1962="","",_xlfn.XLOOKUP(B1962,'Form responses 1'!$B$2:$B$2604,'Form responses 1'!$C$2:$C$2604,""))</f>
        <v/>
      </c>
      <c r="F1962" s="44" t="str">
        <f t="array" ref="F1962">IF(B1962="","",_xlfn.XLOOKUP(B1962,'Form responses 1'!$B$2:$B$2604,'Form responses 1'!$D$2:$D$2604,""))</f>
        <v/>
      </c>
      <c r="G1962" s="44" t="str">
        <f t="array" ref="G1962">IF(B1962="","",_xlfn.XLOOKUP(B1962,'Form responses 1'!$B$2:$B$2604,'Form responses 1'!$E$2:$E$2604,""))</f>
        <v/>
      </c>
      <c r="H1962" s="44" t="str">
        <f t="array" ref="H1962">IF(B1962="","",_xlfn.XLOOKUP(B1962,'Form responses 1'!$B$2:$B$2604,'Form responses 1'!$F$2:$F$2604,""))</f>
        <v/>
      </c>
      <c r="I1962" s="44" t="str">
        <f t="array" ref="I1962">IF(B1962="","",_xlfn.XLOOKUP(B1962,'Form responses 1'!$B$2:$B$2604,'Form responses 1'!$I$2:$I$2604,""))</f>
        <v/>
      </c>
      <c r="J1962" s="44" t="str">
        <f t="array" ref="J1962">IF(B1962="","",_xlfn.XLOOKUP(B1962,'Form responses 1'!$B$2:$B$2604,'Form responses 1'!$G$2:$G$2604,""))</f>
        <v/>
      </c>
      <c r="K1962" s="56"/>
      <c r="L1962" s="58" t="str">
        <f t="shared" si="7"/>
        <v/>
      </c>
      <c r="M1962" s="49"/>
      <c r="N1962" s="49"/>
      <c r="O1962" s="49"/>
      <c r="P1962" s="49"/>
      <c r="Q1962" s="49"/>
      <c r="R1962" s="49"/>
      <c r="S1962" s="49"/>
      <c r="T1962" s="49"/>
      <c r="U1962" s="49"/>
      <c r="V1962" s="49"/>
      <c r="W1962" s="56"/>
      <c r="X1962" s="51" t="str">
        <f t="shared" si="5"/>
        <v/>
      </c>
      <c r="Y1962" s="50" t="s">
        <v>482</v>
      </c>
      <c r="Z1962" s="49">
        <f t="shared" si="6"/>
        <v>0</v>
      </c>
    </row>
    <row r="1963" ht="22.5" customHeight="1">
      <c r="B1963" s="57"/>
      <c r="C1963" s="43" t="str">
        <f t="array" ref="C1963">IF(B1963="","",_xlfn.XLOOKUP(B1963,'Form responses 1'!$B$2:$B$2604,'Form responses 1'!$A$2:$A$2604,""))</f>
        <v/>
      </c>
      <c r="D1963" s="44" t="str">
        <f t="shared" si="3"/>
        <v/>
      </c>
      <c r="E1963" s="44" t="str">
        <f t="array" ref="E1963">IF(B1963="","",_xlfn.XLOOKUP(B1963,'Form responses 1'!$B$2:$B$2604,'Form responses 1'!$C$2:$C$2604,""))</f>
        <v/>
      </c>
      <c r="F1963" s="44" t="str">
        <f t="array" ref="F1963">IF(B1963="","",_xlfn.XLOOKUP(B1963,'Form responses 1'!$B$2:$B$2604,'Form responses 1'!$D$2:$D$2604,""))</f>
        <v/>
      </c>
      <c r="G1963" s="44" t="str">
        <f t="array" ref="G1963">IF(B1963="","",_xlfn.XLOOKUP(B1963,'Form responses 1'!$B$2:$B$2604,'Form responses 1'!$E$2:$E$2604,""))</f>
        <v/>
      </c>
      <c r="H1963" s="44" t="str">
        <f t="array" ref="H1963">IF(B1963="","",_xlfn.XLOOKUP(B1963,'Form responses 1'!$B$2:$B$2604,'Form responses 1'!$F$2:$F$2604,""))</f>
        <v/>
      </c>
      <c r="I1963" s="44" t="str">
        <f t="array" ref="I1963">IF(B1963="","",_xlfn.XLOOKUP(B1963,'Form responses 1'!$B$2:$B$2604,'Form responses 1'!$I$2:$I$2604,""))</f>
        <v/>
      </c>
      <c r="J1963" s="44" t="str">
        <f t="array" ref="J1963">IF(B1963="","",_xlfn.XLOOKUP(B1963,'Form responses 1'!$B$2:$B$2604,'Form responses 1'!$G$2:$G$2604,""))</f>
        <v/>
      </c>
      <c r="K1963" s="56"/>
      <c r="L1963" s="58" t="str">
        <f t="shared" si="7"/>
        <v/>
      </c>
      <c r="M1963" s="49"/>
      <c r="N1963" s="49"/>
      <c r="O1963" s="49"/>
      <c r="P1963" s="49"/>
      <c r="Q1963" s="49"/>
      <c r="R1963" s="49"/>
      <c r="S1963" s="49"/>
      <c r="T1963" s="49"/>
      <c r="U1963" s="49"/>
      <c r="V1963" s="49"/>
      <c r="W1963" s="56"/>
      <c r="X1963" s="51" t="str">
        <f t="shared" si="5"/>
        <v/>
      </c>
      <c r="Y1963" s="50" t="s">
        <v>482</v>
      </c>
      <c r="Z1963" s="49">
        <f t="shared" si="6"/>
        <v>0</v>
      </c>
    </row>
    <row r="1964" ht="22.5" customHeight="1">
      <c r="B1964" s="57"/>
      <c r="C1964" s="43" t="str">
        <f t="array" ref="C1964">IF(B1964="","",_xlfn.XLOOKUP(B1964,'Form responses 1'!$B$2:$B$2604,'Form responses 1'!$A$2:$A$2604,""))</f>
        <v/>
      </c>
      <c r="D1964" s="44" t="str">
        <f t="shared" si="3"/>
        <v/>
      </c>
      <c r="E1964" s="44" t="str">
        <f t="array" ref="E1964">IF(B1964="","",_xlfn.XLOOKUP(B1964,'Form responses 1'!$B$2:$B$2604,'Form responses 1'!$C$2:$C$2604,""))</f>
        <v/>
      </c>
      <c r="F1964" s="44" t="str">
        <f t="array" ref="F1964">IF(B1964="","",_xlfn.XLOOKUP(B1964,'Form responses 1'!$B$2:$B$2604,'Form responses 1'!$D$2:$D$2604,""))</f>
        <v/>
      </c>
      <c r="G1964" s="44" t="str">
        <f t="array" ref="G1964">IF(B1964="","",_xlfn.XLOOKUP(B1964,'Form responses 1'!$B$2:$B$2604,'Form responses 1'!$E$2:$E$2604,""))</f>
        <v/>
      </c>
      <c r="H1964" s="44" t="str">
        <f t="array" ref="H1964">IF(B1964="","",_xlfn.XLOOKUP(B1964,'Form responses 1'!$B$2:$B$2604,'Form responses 1'!$F$2:$F$2604,""))</f>
        <v/>
      </c>
      <c r="I1964" s="44" t="str">
        <f t="array" ref="I1964">IF(B1964="","",_xlfn.XLOOKUP(B1964,'Form responses 1'!$B$2:$B$2604,'Form responses 1'!$I$2:$I$2604,""))</f>
        <v/>
      </c>
      <c r="J1964" s="44" t="str">
        <f t="array" ref="J1964">IF(B1964="","",_xlfn.XLOOKUP(B1964,'Form responses 1'!$B$2:$B$2604,'Form responses 1'!$G$2:$G$2604,""))</f>
        <v/>
      </c>
      <c r="K1964" s="56"/>
      <c r="L1964" s="58" t="str">
        <f t="shared" si="7"/>
        <v/>
      </c>
      <c r="M1964" s="49"/>
      <c r="N1964" s="49"/>
      <c r="O1964" s="49"/>
      <c r="P1964" s="49"/>
      <c r="Q1964" s="49"/>
      <c r="R1964" s="49"/>
      <c r="S1964" s="49"/>
      <c r="T1964" s="49"/>
      <c r="U1964" s="49"/>
      <c r="V1964" s="49"/>
      <c r="W1964" s="56"/>
      <c r="X1964" s="51" t="str">
        <f t="shared" si="5"/>
        <v/>
      </c>
      <c r="Y1964" s="50" t="s">
        <v>482</v>
      </c>
      <c r="Z1964" s="49">
        <f t="shared" si="6"/>
        <v>0</v>
      </c>
    </row>
    <row r="1965" ht="22.5" customHeight="1">
      <c r="B1965" s="57"/>
      <c r="C1965" s="43" t="str">
        <f t="array" ref="C1965">IF(B1965="","",_xlfn.XLOOKUP(B1965,'Form responses 1'!$B$2:$B$2604,'Form responses 1'!$A$2:$A$2604,""))</f>
        <v/>
      </c>
      <c r="D1965" s="44" t="str">
        <f t="shared" si="3"/>
        <v/>
      </c>
      <c r="E1965" s="44" t="str">
        <f t="array" ref="E1965">IF(B1965="","",_xlfn.XLOOKUP(B1965,'Form responses 1'!$B$2:$B$2604,'Form responses 1'!$C$2:$C$2604,""))</f>
        <v/>
      </c>
      <c r="F1965" s="44" t="str">
        <f t="array" ref="F1965">IF(B1965="","",_xlfn.XLOOKUP(B1965,'Form responses 1'!$B$2:$B$2604,'Form responses 1'!$D$2:$D$2604,""))</f>
        <v/>
      </c>
      <c r="G1965" s="44" t="str">
        <f t="array" ref="G1965">IF(B1965="","",_xlfn.XLOOKUP(B1965,'Form responses 1'!$B$2:$B$2604,'Form responses 1'!$E$2:$E$2604,""))</f>
        <v/>
      </c>
      <c r="H1965" s="44" t="str">
        <f t="array" ref="H1965">IF(B1965="","",_xlfn.XLOOKUP(B1965,'Form responses 1'!$B$2:$B$2604,'Form responses 1'!$F$2:$F$2604,""))</f>
        <v/>
      </c>
      <c r="I1965" s="44" t="str">
        <f t="array" ref="I1965">IF(B1965="","",_xlfn.XLOOKUP(B1965,'Form responses 1'!$B$2:$B$2604,'Form responses 1'!$I$2:$I$2604,""))</f>
        <v/>
      </c>
      <c r="J1965" s="44" t="str">
        <f t="array" ref="J1965">IF(B1965="","",_xlfn.XLOOKUP(B1965,'Form responses 1'!$B$2:$B$2604,'Form responses 1'!$G$2:$G$2604,""))</f>
        <v/>
      </c>
      <c r="K1965" s="56"/>
      <c r="L1965" s="58" t="str">
        <f t="shared" si="7"/>
        <v/>
      </c>
      <c r="M1965" s="49"/>
      <c r="N1965" s="49"/>
      <c r="O1965" s="49"/>
      <c r="P1965" s="49"/>
      <c r="Q1965" s="49"/>
      <c r="R1965" s="49"/>
      <c r="S1965" s="49"/>
      <c r="T1965" s="49"/>
      <c r="U1965" s="49"/>
      <c r="V1965" s="49"/>
      <c r="W1965" s="56"/>
      <c r="X1965" s="51" t="str">
        <f t="shared" si="5"/>
        <v/>
      </c>
      <c r="Y1965" s="50" t="s">
        <v>482</v>
      </c>
      <c r="Z1965" s="49">
        <f t="shared" si="6"/>
        <v>0</v>
      </c>
    </row>
    <row r="1966" ht="22.5" customHeight="1">
      <c r="B1966" s="57"/>
      <c r="C1966" s="43" t="str">
        <f t="array" ref="C1966">IF(B1966="","",_xlfn.XLOOKUP(B1966,'Form responses 1'!$B$2:$B$2604,'Form responses 1'!$A$2:$A$2604,""))</f>
        <v/>
      </c>
      <c r="D1966" s="44" t="str">
        <f t="shared" si="3"/>
        <v/>
      </c>
      <c r="E1966" s="44" t="str">
        <f t="array" ref="E1966">IF(B1966="","",_xlfn.XLOOKUP(B1966,'Form responses 1'!$B$2:$B$2604,'Form responses 1'!$C$2:$C$2604,""))</f>
        <v/>
      </c>
      <c r="F1966" s="44" t="str">
        <f t="array" ref="F1966">IF(B1966="","",_xlfn.XLOOKUP(B1966,'Form responses 1'!$B$2:$B$2604,'Form responses 1'!$D$2:$D$2604,""))</f>
        <v/>
      </c>
      <c r="G1966" s="44" t="str">
        <f t="array" ref="G1966">IF(B1966="","",_xlfn.XLOOKUP(B1966,'Form responses 1'!$B$2:$B$2604,'Form responses 1'!$E$2:$E$2604,""))</f>
        <v/>
      </c>
      <c r="H1966" s="44" t="str">
        <f t="array" ref="H1966">IF(B1966="","",_xlfn.XLOOKUP(B1966,'Form responses 1'!$B$2:$B$2604,'Form responses 1'!$F$2:$F$2604,""))</f>
        <v/>
      </c>
      <c r="I1966" s="44" t="str">
        <f t="array" ref="I1966">IF(B1966="","",_xlfn.XLOOKUP(B1966,'Form responses 1'!$B$2:$B$2604,'Form responses 1'!$I$2:$I$2604,""))</f>
        <v/>
      </c>
      <c r="J1966" s="44" t="str">
        <f t="array" ref="J1966">IF(B1966="","",_xlfn.XLOOKUP(B1966,'Form responses 1'!$B$2:$B$2604,'Form responses 1'!$G$2:$G$2604,""))</f>
        <v/>
      </c>
      <c r="K1966" s="56"/>
      <c r="L1966" s="58" t="str">
        <f t="shared" si="7"/>
        <v/>
      </c>
      <c r="M1966" s="49"/>
      <c r="N1966" s="49"/>
      <c r="O1966" s="49"/>
      <c r="P1966" s="49"/>
      <c r="Q1966" s="49"/>
      <c r="R1966" s="49"/>
      <c r="S1966" s="49"/>
      <c r="T1966" s="49"/>
      <c r="U1966" s="49"/>
      <c r="V1966" s="49"/>
      <c r="W1966" s="56"/>
      <c r="X1966" s="51" t="str">
        <f t="shared" si="5"/>
        <v/>
      </c>
      <c r="Y1966" s="50" t="s">
        <v>482</v>
      </c>
      <c r="Z1966" s="49">
        <f t="shared" si="6"/>
        <v>0</v>
      </c>
    </row>
    <row r="1967" ht="22.5" customHeight="1">
      <c r="B1967" s="57"/>
      <c r="C1967" s="43" t="str">
        <f t="array" ref="C1967">IF(B1967="","",_xlfn.XLOOKUP(B1967,'Form responses 1'!$B$2:$B$2604,'Form responses 1'!$A$2:$A$2604,""))</f>
        <v/>
      </c>
      <c r="D1967" s="44" t="str">
        <f t="shared" si="3"/>
        <v/>
      </c>
      <c r="E1967" s="44" t="str">
        <f t="array" ref="E1967">IF(B1967="","",_xlfn.XLOOKUP(B1967,'Form responses 1'!$B$2:$B$2604,'Form responses 1'!$C$2:$C$2604,""))</f>
        <v/>
      </c>
      <c r="F1967" s="44" t="str">
        <f t="array" ref="F1967">IF(B1967="","",_xlfn.XLOOKUP(B1967,'Form responses 1'!$B$2:$B$2604,'Form responses 1'!$D$2:$D$2604,""))</f>
        <v/>
      </c>
      <c r="G1967" s="44" t="str">
        <f t="array" ref="G1967">IF(B1967="","",_xlfn.XLOOKUP(B1967,'Form responses 1'!$B$2:$B$2604,'Form responses 1'!$E$2:$E$2604,""))</f>
        <v/>
      </c>
      <c r="H1967" s="44" t="str">
        <f t="array" ref="H1967">IF(B1967="","",_xlfn.XLOOKUP(B1967,'Form responses 1'!$B$2:$B$2604,'Form responses 1'!$F$2:$F$2604,""))</f>
        <v/>
      </c>
      <c r="I1967" s="44" t="str">
        <f t="array" ref="I1967">IF(B1967="","",_xlfn.XLOOKUP(B1967,'Form responses 1'!$B$2:$B$2604,'Form responses 1'!$I$2:$I$2604,""))</f>
        <v/>
      </c>
      <c r="J1967" s="44" t="str">
        <f t="array" ref="J1967">IF(B1967="","",_xlfn.XLOOKUP(B1967,'Form responses 1'!$B$2:$B$2604,'Form responses 1'!$G$2:$G$2604,""))</f>
        <v/>
      </c>
      <c r="K1967" s="56"/>
      <c r="L1967" s="58" t="str">
        <f t="shared" si="7"/>
        <v/>
      </c>
      <c r="M1967" s="49"/>
      <c r="N1967" s="49"/>
      <c r="O1967" s="49"/>
      <c r="P1967" s="49"/>
      <c r="Q1967" s="49"/>
      <c r="R1967" s="49"/>
      <c r="S1967" s="49"/>
      <c r="T1967" s="49"/>
      <c r="U1967" s="49"/>
      <c r="V1967" s="49"/>
      <c r="W1967" s="56"/>
      <c r="X1967" s="51" t="str">
        <f t="shared" si="5"/>
        <v/>
      </c>
      <c r="Y1967" s="50" t="s">
        <v>482</v>
      </c>
      <c r="Z1967" s="49">
        <f t="shared" si="6"/>
        <v>0</v>
      </c>
    </row>
    <row r="1968" ht="22.5" customHeight="1">
      <c r="B1968" s="57"/>
      <c r="C1968" s="43" t="str">
        <f t="array" ref="C1968">IF(B1968="","",_xlfn.XLOOKUP(B1968,'Form responses 1'!$B$2:$B$2604,'Form responses 1'!$A$2:$A$2604,""))</f>
        <v/>
      </c>
      <c r="D1968" s="44" t="str">
        <f t="shared" si="3"/>
        <v/>
      </c>
      <c r="E1968" s="44" t="str">
        <f t="array" ref="E1968">IF(B1968="","",_xlfn.XLOOKUP(B1968,'Form responses 1'!$B$2:$B$2604,'Form responses 1'!$C$2:$C$2604,""))</f>
        <v/>
      </c>
      <c r="F1968" s="44" t="str">
        <f t="array" ref="F1968">IF(B1968="","",_xlfn.XLOOKUP(B1968,'Form responses 1'!$B$2:$B$2604,'Form responses 1'!$D$2:$D$2604,""))</f>
        <v/>
      </c>
      <c r="G1968" s="44" t="str">
        <f t="array" ref="G1968">IF(B1968="","",_xlfn.XLOOKUP(B1968,'Form responses 1'!$B$2:$B$2604,'Form responses 1'!$E$2:$E$2604,""))</f>
        <v/>
      </c>
      <c r="H1968" s="44" t="str">
        <f t="array" ref="H1968">IF(B1968="","",_xlfn.XLOOKUP(B1968,'Form responses 1'!$B$2:$B$2604,'Form responses 1'!$F$2:$F$2604,""))</f>
        <v/>
      </c>
      <c r="I1968" s="44" t="str">
        <f t="array" ref="I1968">IF(B1968="","",_xlfn.XLOOKUP(B1968,'Form responses 1'!$B$2:$B$2604,'Form responses 1'!$I$2:$I$2604,""))</f>
        <v/>
      </c>
      <c r="J1968" s="44" t="str">
        <f t="array" ref="J1968">IF(B1968="","",_xlfn.XLOOKUP(B1968,'Form responses 1'!$B$2:$B$2604,'Form responses 1'!$G$2:$G$2604,""))</f>
        <v/>
      </c>
      <c r="K1968" s="56"/>
      <c r="L1968" s="58" t="str">
        <f t="shared" si="7"/>
        <v/>
      </c>
      <c r="M1968" s="49"/>
      <c r="N1968" s="49"/>
      <c r="O1968" s="49"/>
      <c r="P1968" s="49"/>
      <c r="Q1968" s="49"/>
      <c r="R1968" s="49"/>
      <c r="S1968" s="49"/>
      <c r="T1968" s="49"/>
      <c r="U1968" s="49"/>
      <c r="V1968" s="49"/>
      <c r="W1968" s="56"/>
      <c r="X1968" s="51" t="str">
        <f t="shared" si="5"/>
        <v/>
      </c>
      <c r="Y1968" s="50" t="s">
        <v>482</v>
      </c>
      <c r="Z1968" s="49">
        <f t="shared" si="6"/>
        <v>0</v>
      </c>
    </row>
    <row r="1969" ht="22.5" customHeight="1">
      <c r="B1969" s="57"/>
      <c r="C1969" s="43" t="str">
        <f t="array" ref="C1969">IF(B1969="","",_xlfn.XLOOKUP(B1969,'Form responses 1'!$B$2:$B$2604,'Form responses 1'!$A$2:$A$2604,""))</f>
        <v/>
      </c>
      <c r="D1969" s="44" t="str">
        <f t="shared" si="3"/>
        <v/>
      </c>
      <c r="E1969" s="44" t="str">
        <f t="array" ref="E1969">IF(B1969="","",_xlfn.XLOOKUP(B1969,'Form responses 1'!$B$2:$B$2604,'Form responses 1'!$C$2:$C$2604,""))</f>
        <v/>
      </c>
      <c r="F1969" s="44" t="str">
        <f t="array" ref="F1969">IF(B1969="","",_xlfn.XLOOKUP(B1969,'Form responses 1'!$B$2:$B$2604,'Form responses 1'!$D$2:$D$2604,""))</f>
        <v/>
      </c>
      <c r="G1969" s="44" t="str">
        <f t="array" ref="G1969">IF(B1969="","",_xlfn.XLOOKUP(B1969,'Form responses 1'!$B$2:$B$2604,'Form responses 1'!$E$2:$E$2604,""))</f>
        <v/>
      </c>
      <c r="H1969" s="44" t="str">
        <f t="array" ref="H1969">IF(B1969="","",_xlfn.XLOOKUP(B1969,'Form responses 1'!$B$2:$B$2604,'Form responses 1'!$F$2:$F$2604,""))</f>
        <v/>
      </c>
      <c r="I1969" s="44" t="str">
        <f t="array" ref="I1969">IF(B1969="","",_xlfn.XLOOKUP(B1969,'Form responses 1'!$B$2:$B$2604,'Form responses 1'!$I$2:$I$2604,""))</f>
        <v/>
      </c>
      <c r="J1969" s="44" t="str">
        <f t="array" ref="J1969">IF(B1969="","",_xlfn.XLOOKUP(B1969,'Form responses 1'!$B$2:$B$2604,'Form responses 1'!$G$2:$G$2604,""))</f>
        <v/>
      </c>
      <c r="K1969" s="56"/>
      <c r="L1969" s="58" t="str">
        <f t="shared" si="7"/>
        <v/>
      </c>
      <c r="M1969" s="49"/>
      <c r="N1969" s="49"/>
      <c r="O1969" s="49"/>
      <c r="P1969" s="49"/>
      <c r="Q1969" s="49"/>
      <c r="R1969" s="49"/>
      <c r="S1969" s="49"/>
      <c r="T1969" s="49"/>
      <c r="U1969" s="49"/>
      <c r="V1969" s="49"/>
      <c r="W1969" s="56"/>
      <c r="X1969" s="51" t="str">
        <f t="shared" si="5"/>
        <v/>
      </c>
      <c r="Y1969" s="50" t="s">
        <v>482</v>
      </c>
      <c r="Z1969" s="49">
        <f t="shared" si="6"/>
        <v>0</v>
      </c>
    </row>
    <row r="1970" ht="22.5" customHeight="1">
      <c r="B1970" s="57"/>
      <c r="C1970" s="43" t="str">
        <f t="array" ref="C1970">IF(B1970="","",_xlfn.XLOOKUP(B1970,'Form responses 1'!$B$2:$B$2604,'Form responses 1'!$A$2:$A$2604,""))</f>
        <v/>
      </c>
      <c r="D1970" s="44" t="str">
        <f t="shared" si="3"/>
        <v/>
      </c>
      <c r="E1970" s="44" t="str">
        <f t="array" ref="E1970">IF(B1970="","",_xlfn.XLOOKUP(B1970,'Form responses 1'!$B$2:$B$2604,'Form responses 1'!$C$2:$C$2604,""))</f>
        <v/>
      </c>
      <c r="F1970" s="44" t="str">
        <f t="array" ref="F1970">IF(B1970="","",_xlfn.XLOOKUP(B1970,'Form responses 1'!$B$2:$B$2604,'Form responses 1'!$D$2:$D$2604,""))</f>
        <v/>
      </c>
      <c r="G1970" s="44" t="str">
        <f t="array" ref="G1970">IF(B1970="","",_xlfn.XLOOKUP(B1970,'Form responses 1'!$B$2:$B$2604,'Form responses 1'!$E$2:$E$2604,""))</f>
        <v/>
      </c>
      <c r="H1970" s="44" t="str">
        <f t="array" ref="H1970">IF(B1970="","",_xlfn.XLOOKUP(B1970,'Form responses 1'!$B$2:$B$2604,'Form responses 1'!$F$2:$F$2604,""))</f>
        <v/>
      </c>
      <c r="I1970" s="44" t="str">
        <f t="array" ref="I1970">IF(B1970="","",_xlfn.XLOOKUP(B1970,'Form responses 1'!$B$2:$B$2604,'Form responses 1'!$I$2:$I$2604,""))</f>
        <v/>
      </c>
      <c r="J1970" s="44" t="str">
        <f t="array" ref="J1970">IF(B1970="","",_xlfn.XLOOKUP(B1970,'Form responses 1'!$B$2:$B$2604,'Form responses 1'!$G$2:$G$2604,""))</f>
        <v/>
      </c>
      <c r="K1970" s="56"/>
      <c r="L1970" s="58" t="str">
        <f t="shared" si="7"/>
        <v/>
      </c>
      <c r="M1970" s="49"/>
      <c r="N1970" s="49"/>
      <c r="O1970" s="49"/>
      <c r="P1970" s="49"/>
      <c r="Q1970" s="49"/>
      <c r="R1970" s="49"/>
      <c r="S1970" s="49"/>
      <c r="T1970" s="49"/>
      <c r="U1970" s="49"/>
      <c r="V1970" s="49"/>
      <c r="W1970" s="56"/>
      <c r="X1970" s="51" t="str">
        <f t="shared" si="5"/>
        <v/>
      </c>
      <c r="Y1970" s="50" t="s">
        <v>482</v>
      </c>
      <c r="Z1970" s="49">
        <f t="shared" si="6"/>
        <v>0</v>
      </c>
    </row>
    <row r="1971" ht="22.5" customHeight="1">
      <c r="B1971" s="57"/>
      <c r="C1971" s="43" t="str">
        <f t="array" ref="C1971">IF(B1971="","",_xlfn.XLOOKUP(B1971,'Form responses 1'!$B$2:$B$2604,'Form responses 1'!$A$2:$A$2604,""))</f>
        <v/>
      </c>
      <c r="D1971" s="44" t="str">
        <f t="shared" si="3"/>
        <v/>
      </c>
      <c r="E1971" s="44" t="str">
        <f t="array" ref="E1971">IF(B1971="","",_xlfn.XLOOKUP(B1971,'Form responses 1'!$B$2:$B$2604,'Form responses 1'!$C$2:$C$2604,""))</f>
        <v/>
      </c>
      <c r="F1971" s="44" t="str">
        <f t="array" ref="F1971">IF(B1971="","",_xlfn.XLOOKUP(B1971,'Form responses 1'!$B$2:$B$2604,'Form responses 1'!$D$2:$D$2604,""))</f>
        <v/>
      </c>
      <c r="G1971" s="44" t="str">
        <f t="array" ref="G1971">IF(B1971="","",_xlfn.XLOOKUP(B1971,'Form responses 1'!$B$2:$B$2604,'Form responses 1'!$E$2:$E$2604,""))</f>
        <v/>
      </c>
      <c r="H1971" s="44" t="str">
        <f t="array" ref="H1971">IF(B1971="","",_xlfn.XLOOKUP(B1971,'Form responses 1'!$B$2:$B$2604,'Form responses 1'!$F$2:$F$2604,""))</f>
        <v/>
      </c>
      <c r="I1971" s="44" t="str">
        <f t="array" ref="I1971">IF(B1971="","",_xlfn.XLOOKUP(B1971,'Form responses 1'!$B$2:$B$2604,'Form responses 1'!$I$2:$I$2604,""))</f>
        <v/>
      </c>
      <c r="J1971" s="44" t="str">
        <f t="array" ref="J1971">IF(B1971="","",_xlfn.XLOOKUP(B1971,'Form responses 1'!$B$2:$B$2604,'Form responses 1'!$G$2:$G$2604,""))</f>
        <v/>
      </c>
      <c r="K1971" s="56"/>
      <c r="L1971" s="58" t="str">
        <f t="shared" si="7"/>
        <v/>
      </c>
      <c r="M1971" s="49"/>
      <c r="N1971" s="49"/>
      <c r="O1971" s="49"/>
      <c r="P1971" s="49"/>
      <c r="Q1971" s="49"/>
      <c r="R1971" s="49"/>
      <c r="S1971" s="49"/>
      <c r="T1971" s="49"/>
      <c r="U1971" s="49"/>
      <c r="V1971" s="49"/>
      <c r="W1971" s="56"/>
      <c r="X1971" s="51" t="str">
        <f t="shared" si="5"/>
        <v/>
      </c>
      <c r="Y1971" s="50" t="s">
        <v>482</v>
      </c>
      <c r="Z1971" s="49">
        <f t="shared" si="6"/>
        <v>0</v>
      </c>
    </row>
    <row r="1972" ht="22.5" customHeight="1">
      <c r="B1972" s="57"/>
      <c r="C1972" s="43" t="str">
        <f t="array" ref="C1972">IF(B1972="","",_xlfn.XLOOKUP(B1972,'Form responses 1'!$B$2:$B$2604,'Form responses 1'!$A$2:$A$2604,""))</f>
        <v/>
      </c>
      <c r="D1972" s="44" t="str">
        <f t="shared" si="3"/>
        <v/>
      </c>
      <c r="E1972" s="44" t="str">
        <f t="array" ref="E1972">IF(B1972="","",_xlfn.XLOOKUP(B1972,'Form responses 1'!$B$2:$B$2604,'Form responses 1'!$C$2:$C$2604,""))</f>
        <v/>
      </c>
      <c r="F1972" s="44" t="str">
        <f t="array" ref="F1972">IF(B1972="","",_xlfn.XLOOKUP(B1972,'Form responses 1'!$B$2:$B$2604,'Form responses 1'!$D$2:$D$2604,""))</f>
        <v/>
      </c>
      <c r="G1972" s="44" t="str">
        <f t="array" ref="G1972">IF(B1972="","",_xlfn.XLOOKUP(B1972,'Form responses 1'!$B$2:$B$2604,'Form responses 1'!$E$2:$E$2604,""))</f>
        <v/>
      </c>
      <c r="H1972" s="44" t="str">
        <f t="array" ref="H1972">IF(B1972="","",_xlfn.XLOOKUP(B1972,'Form responses 1'!$B$2:$B$2604,'Form responses 1'!$F$2:$F$2604,""))</f>
        <v/>
      </c>
      <c r="I1972" s="44" t="str">
        <f t="array" ref="I1972">IF(B1972="","",_xlfn.XLOOKUP(B1972,'Form responses 1'!$B$2:$B$2604,'Form responses 1'!$I$2:$I$2604,""))</f>
        <v/>
      </c>
      <c r="J1972" s="44" t="str">
        <f t="array" ref="J1972">IF(B1972="","",_xlfn.XLOOKUP(B1972,'Form responses 1'!$B$2:$B$2604,'Form responses 1'!$G$2:$G$2604,""))</f>
        <v/>
      </c>
      <c r="K1972" s="56"/>
      <c r="L1972" s="58" t="str">
        <f t="shared" si="7"/>
        <v/>
      </c>
      <c r="M1972" s="49"/>
      <c r="N1972" s="49"/>
      <c r="O1972" s="49"/>
      <c r="P1972" s="49"/>
      <c r="Q1972" s="49"/>
      <c r="R1972" s="49"/>
      <c r="S1972" s="49"/>
      <c r="T1972" s="49"/>
      <c r="U1972" s="49"/>
      <c r="V1972" s="49"/>
      <c r="W1972" s="56"/>
      <c r="X1972" s="51" t="str">
        <f t="shared" si="5"/>
        <v/>
      </c>
      <c r="Y1972" s="50" t="s">
        <v>482</v>
      </c>
      <c r="Z1972" s="49">
        <f t="shared" si="6"/>
        <v>0</v>
      </c>
    </row>
    <row r="1973" ht="22.5" customHeight="1">
      <c r="B1973" s="57"/>
      <c r="C1973" s="43" t="str">
        <f t="array" ref="C1973">IF(B1973="","",_xlfn.XLOOKUP(B1973,'Form responses 1'!$B$2:$B$2604,'Form responses 1'!$A$2:$A$2604,""))</f>
        <v/>
      </c>
      <c r="D1973" s="44" t="str">
        <f t="shared" si="3"/>
        <v/>
      </c>
      <c r="E1973" s="44" t="str">
        <f t="array" ref="E1973">IF(B1973="","",_xlfn.XLOOKUP(B1973,'Form responses 1'!$B$2:$B$2604,'Form responses 1'!$C$2:$C$2604,""))</f>
        <v/>
      </c>
      <c r="F1973" s="44" t="str">
        <f t="array" ref="F1973">IF(B1973="","",_xlfn.XLOOKUP(B1973,'Form responses 1'!$B$2:$B$2604,'Form responses 1'!$D$2:$D$2604,""))</f>
        <v/>
      </c>
      <c r="G1973" s="44" t="str">
        <f t="array" ref="G1973">IF(B1973="","",_xlfn.XLOOKUP(B1973,'Form responses 1'!$B$2:$B$2604,'Form responses 1'!$E$2:$E$2604,""))</f>
        <v/>
      </c>
      <c r="H1973" s="44" t="str">
        <f t="array" ref="H1973">IF(B1973="","",_xlfn.XLOOKUP(B1973,'Form responses 1'!$B$2:$B$2604,'Form responses 1'!$F$2:$F$2604,""))</f>
        <v/>
      </c>
      <c r="I1973" s="44" t="str">
        <f t="array" ref="I1973">IF(B1973="","",_xlfn.XLOOKUP(B1973,'Form responses 1'!$B$2:$B$2604,'Form responses 1'!$I$2:$I$2604,""))</f>
        <v/>
      </c>
      <c r="J1973" s="44" t="str">
        <f t="array" ref="J1973">IF(B1973="","",_xlfn.XLOOKUP(B1973,'Form responses 1'!$B$2:$B$2604,'Form responses 1'!$G$2:$G$2604,""))</f>
        <v/>
      </c>
      <c r="K1973" s="56"/>
      <c r="L1973" s="58" t="str">
        <f t="shared" si="7"/>
        <v/>
      </c>
      <c r="M1973" s="49"/>
      <c r="N1973" s="49"/>
      <c r="O1973" s="49"/>
      <c r="P1973" s="49"/>
      <c r="Q1973" s="49"/>
      <c r="R1973" s="49"/>
      <c r="S1973" s="49"/>
      <c r="T1973" s="49"/>
      <c r="U1973" s="49"/>
      <c r="V1973" s="49"/>
      <c r="W1973" s="56"/>
      <c r="X1973" s="51" t="str">
        <f t="shared" si="5"/>
        <v/>
      </c>
      <c r="Y1973" s="50" t="s">
        <v>482</v>
      </c>
      <c r="Z1973" s="49">
        <f t="shared" si="6"/>
        <v>0</v>
      </c>
    </row>
    <row r="1974" ht="22.5" customHeight="1">
      <c r="B1974" s="57"/>
      <c r="C1974" s="43" t="str">
        <f t="array" ref="C1974">IF(B1974="","",_xlfn.XLOOKUP(B1974,'Form responses 1'!$B$2:$B$2604,'Form responses 1'!$A$2:$A$2604,""))</f>
        <v/>
      </c>
      <c r="D1974" s="44" t="str">
        <f t="shared" si="3"/>
        <v/>
      </c>
      <c r="E1974" s="44" t="str">
        <f t="array" ref="E1974">IF(B1974="","",_xlfn.XLOOKUP(B1974,'Form responses 1'!$B$2:$B$2604,'Form responses 1'!$C$2:$C$2604,""))</f>
        <v/>
      </c>
      <c r="F1974" s="44" t="str">
        <f t="array" ref="F1974">IF(B1974="","",_xlfn.XLOOKUP(B1974,'Form responses 1'!$B$2:$B$2604,'Form responses 1'!$D$2:$D$2604,""))</f>
        <v/>
      </c>
      <c r="G1974" s="44" t="str">
        <f t="array" ref="G1974">IF(B1974="","",_xlfn.XLOOKUP(B1974,'Form responses 1'!$B$2:$B$2604,'Form responses 1'!$E$2:$E$2604,""))</f>
        <v/>
      </c>
      <c r="H1974" s="44" t="str">
        <f t="array" ref="H1974">IF(B1974="","",_xlfn.XLOOKUP(B1974,'Form responses 1'!$B$2:$B$2604,'Form responses 1'!$F$2:$F$2604,""))</f>
        <v/>
      </c>
      <c r="I1974" s="44" t="str">
        <f t="array" ref="I1974">IF(B1974="","",_xlfn.XLOOKUP(B1974,'Form responses 1'!$B$2:$B$2604,'Form responses 1'!$I$2:$I$2604,""))</f>
        <v/>
      </c>
      <c r="J1974" s="44" t="str">
        <f t="array" ref="J1974">IF(B1974="","",_xlfn.XLOOKUP(B1974,'Form responses 1'!$B$2:$B$2604,'Form responses 1'!$G$2:$G$2604,""))</f>
        <v/>
      </c>
      <c r="K1974" s="56"/>
      <c r="L1974" s="58" t="str">
        <f t="shared" si="7"/>
        <v/>
      </c>
      <c r="M1974" s="49"/>
      <c r="N1974" s="49"/>
      <c r="O1974" s="49"/>
      <c r="P1974" s="49"/>
      <c r="Q1974" s="49"/>
      <c r="R1974" s="49"/>
      <c r="S1974" s="49"/>
      <c r="T1974" s="49"/>
      <c r="U1974" s="49"/>
      <c r="V1974" s="49"/>
      <c r="W1974" s="56"/>
      <c r="X1974" s="51" t="str">
        <f t="shared" si="5"/>
        <v/>
      </c>
      <c r="Y1974" s="50" t="s">
        <v>482</v>
      </c>
      <c r="Z1974" s="49">
        <f t="shared" si="6"/>
        <v>0</v>
      </c>
    </row>
    <row r="1975" ht="22.5" customHeight="1">
      <c r="B1975" s="57"/>
      <c r="C1975" s="43" t="str">
        <f t="array" ref="C1975">IF(B1975="","",_xlfn.XLOOKUP(B1975,'Form responses 1'!$B$2:$B$2604,'Form responses 1'!$A$2:$A$2604,""))</f>
        <v/>
      </c>
      <c r="D1975" s="44" t="str">
        <f t="shared" si="3"/>
        <v/>
      </c>
      <c r="E1975" s="44" t="str">
        <f t="array" ref="E1975">IF(B1975="","",_xlfn.XLOOKUP(B1975,'Form responses 1'!$B$2:$B$2604,'Form responses 1'!$C$2:$C$2604,""))</f>
        <v/>
      </c>
      <c r="F1975" s="44" t="str">
        <f t="array" ref="F1975">IF(B1975="","",_xlfn.XLOOKUP(B1975,'Form responses 1'!$B$2:$B$2604,'Form responses 1'!$D$2:$D$2604,""))</f>
        <v/>
      </c>
      <c r="G1975" s="44" t="str">
        <f t="array" ref="G1975">IF(B1975="","",_xlfn.XLOOKUP(B1975,'Form responses 1'!$B$2:$B$2604,'Form responses 1'!$E$2:$E$2604,""))</f>
        <v/>
      </c>
      <c r="H1975" s="44" t="str">
        <f t="array" ref="H1975">IF(B1975="","",_xlfn.XLOOKUP(B1975,'Form responses 1'!$B$2:$B$2604,'Form responses 1'!$F$2:$F$2604,""))</f>
        <v/>
      </c>
      <c r="I1975" s="44" t="str">
        <f t="array" ref="I1975">IF(B1975="","",_xlfn.XLOOKUP(B1975,'Form responses 1'!$B$2:$B$2604,'Form responses 1'!$I$2:$I$2604,""))</f>
        <v/>
      </c>
      <c r="J1975" s="44" t="str">
        <f t="array" ref="J1975">IF(B1975="","",_xlfn.XLOOKUP(B1975,'Form responses 1'!$B$2:$B$2604,'Form responses 1'!$G$2:$G$2604,""))</f>
        <v/>
      </c>
      <c r="K1975" s="56"/>
      <c r="L1975" s="58" t="str">
        <f t="shared" si="7"/>
        <v/>
      </c>
      <c r="M1975" s="49"/>
      <c r="N1975" s="49"/>
      <c r="O1975" s="49"/>
      <c r="P1975" s="49"/>
      <c r="Q1975" s="49"/>
      <c r="R1975" s="49"/>
      <c r="S1975" s="49"/>
      <c r="T1975" s="49"/>
      <c r="U1975" s="49"/>
      <c r="V1975" s="49"/>
      <c r="W1975" s="56"/>
      <c r="X1975" s="51" t="str">
        <f t="shared" si="5"/>
        <v/>
      </c>
      <c r="Y1975" s="50" t="s">
        <v>482</v>
      </c>
      <c r="Z1975" s="49">
        <f t="shared" si="6"/>
        <v>0</v>
      </c>
    </row>
    <row r="1976" ht="22.5" customHeight="1">
      <c r="B1976" s="57"/>
      <c r="C1976" s="43" t="str">
        <f t="array" ref="C1976">IF(B1976="","",_xlfn.XLOOKUP(B1976,'Form responses 1'!$B$2:$B$2604,'Form responses 1'!$A$2:$A$2604,""))</f>
        <v/>
      </c>
      <c r="D1976" s="44" t="str">
        <f t="shared" si="3"/>
        <v/>
      </c>
      <c r="E1976" s="44" t="str">
        <f t="array" ref="E1976">IF(B1976="","",_xlfn.XLOOKUP(B1976,'Form responses 1'!$B$2:$B$2604,'Form responses 1'!$C$2:$C$2604,""))</f>
        <v/>
      </c>
      <c r="F1976" s="44" t="str">
        <f t="array" ref="F1976">IF(B1976="","",_xlfn.XLOOKUP(B1976,'Form responses 1'!$B$2:$B$2604,'Form responses 1'!$D$2:$D$2604,""))</f>
        <v/>
      </c>
      <c r="G1976" s="44" t="str">
        <f t="array" ref="G1976">IF(B1976="","",_xlfn.XLOOKUP(B1976,'Form responses 1'!$B$2:$B$2604,'Form responses 1'!$E$2:$E$2604,""))</f>
        <v/>
      </c>
      <c r="H1976" s="44" t="str">
        <f t="array" ref="H1976">IF(B1976="","",_xlfn.XLOOKUP(B1976,'Form responses 1'!$B$2:$B$2604,'Form responses 1'!$F$2:$F$2604,""))</f>
        <v/>
      </c>
      <c r="I1976" s="44" t="str">
        <f t="array" ref="I1976">IF(B1976="","",_xlfn.XLOOKUP(B1976,'Form responses 1'!$B$2:$B$2604,'Form responses 1'!$I$2:$I$2604,""))</f>
        <v/>
      </c>
      <c r="J1976" s="44" t="str">
        <f t="array" ref="J1976">IF(B1976="","",_xlfn.XLOOKUP(B1976,'Form responses 1'!$B$2:$B$2604,'Form responses 1'!$G$2:$G$2604,""))</f>
        <v/>
      </c>
      <c r="K1976" s="56"/>
      <c r="L1976" s="58" t="str">
        <f t="shared" si="7"/>
        <v/>
      </c>
      <c r="M1976" s="49"/>
      <c r="N1976" s="49"/>
      <c r="O1976" s="49"/>
      <c r="P1976" s="49"/>
      <c r="Q1976" s="49"/>
      <c r="R1976" s="49"/>
      <c r="S1976" s="49"/>
      <c r="T1976" s="49"/>
      <c r="U1976" s="49"/>
      <c r="V1976" s="49"/>
      <c r="W1976" s="56"/>
      <c r="X1976" s="51" t="str">
        <f t="shared" si="5"/>
        <v/>
      </c>
      <c r="Y1976" s="50" t="s">
        <v>482</v>
      </c>
      <c r="Z1976" s="49">
        <f t="shared" si="6"/>
        <v>0</v>
      </c>
    </row>
    <row r="1977" ht="22.5" customHeight="1">
      <c r="B1977" s="57"/>
      <c r="C1977" s="43" t="str">
        <f t="array" ref="C1977">IF(B1977="","",_xlfn.XLOOKUP(B1977,'Form responses 1'!$B$2:$B$2604,'Form responses 1'!$A$2:$A$2604,""))</f>
        <v/>
      </c>
      <c r="D1977" s="44" t="str">
        <f t="shared" si="3"/>
        <v/>
      </c>
      <c r="E1977" s="44" t="str">
        <f t="array" ref="E1977">IF(B1977="","",_xlfn.XLOOKUP(B1977,'Form responses 1'!$B$2:$B$2604,'Form responses 1'!$C$2:$C$2604,""))</f>
        <v/>
      </c>
      <c r="F1977" s="44" t="str">
        <f t="array" ref="F1977">IF(B1977="","",_xlfn.XLOOKUP(B1977,'Form responses 1'!$B$2:$B$2604,'Form responses 1'!$D$2:$D$2604,""))</f>
        <v/>
      </c>
      <c r="G1977" s="44" t="str">
        <f t="array" ref="G1977">IF(B1977="","",_xlfn.XLOOKUP(B1977,'Form responses 1'!$B$2:$B$2604,'Form responses 1'!$E$2:$E$2604,""))</f>
        <v/>
      </c>
      <c r="H1977" s="44" t="str">
        <f t="array" ref="H1977">IF(B1977="","",_xlfn.XLOOKUP(B1977,'Form responses 1'!$B$2:$B$2604,'Form responses 1'!$F$2:$F$2604,""))</f>
        <v/>
      </c>
      <c r="I1977" s="44" t="str">
        <f t="array" ref="I1977">IF(B1977="","",_xlfn.XLOOKUP(B1977,'Form responses 1'!$B$2:$B$2604,'Form responses 1'!$I$2:$I$2604,""))</f>
        <v/>
      </c>
      <c r="J1977" s="44" t="str">
        <f t="array" ref="J1977">IF(B1977="","",_xlfn.XLOOKUP(B1977,'Form responses 1'!$B$2:$B$2604,'Form responses 1'!$G$2:$G$2604,""))</f>
        <v/>
      </c>
      <c r="K1977" s="56"/>
      <c r="L1977" s="58" t="str">
        <f t="shared" si="7"/>
        <v/>
      </c>
      <c r="M1977" s="49"/>
      <c r="N1977" s="49"/>
      <c r="O1977" s="49"/>
      <c r="P1977" s="49"/>
      <c r="Q1977" s="49"/>
      <c r="R1977" s="49"/>
      <c r="S1977" s="49"/>
      <c r="T1977" s="49"/>
      <c r="U1977" s="49"/>
      <c r="V1977" s="49"/>
      <c r="W1977" s="56"/>
      <c r="X1977" s="51" t="str">
        <f t="shared" si="5"/>
        <v/>
      </c>
      <c r="Y1977" s="50" t="s">
        <v>482</v>
      </c>
      <c r="Z1977" s="49">
        <f t="shared" si="6"/>
        <v>0</v>
      </c>
    </row>
    <row r="1978" ht="22.5" customHeight="1">
      <c r="B1978" s="57"/>
      <c r="C1978" s="43" t="str">
        <f t="array" ref="C1978">IF(B1978="","",_xlfn.XLOOKUP(B1978,'Form responses 1'!$B$2:$B$2604,'Form responses 1'!$A$2:$A$2604,""))</f>
        <v/>
      </c>
      <c r="D1978" s="44" t="str">
        <f t="shared" si="3"/>
        <v/>
      </c>
      <c r="E1978" s="44" t="str">
        <f t="array" ref="E1978">IF(B1978="","",_xlfn.XLOOKUP(B1978,'Form responses 1'!$B$2:$B$2604,'Form responses 1'!$C$2:$C$2604,""))</f>
        <v/>
      </c>
      <c r="F1978" s="44" t="str">
        <f t="array" ref="F1978">IF(B1978="","",_xlfn.XLOOKUP(B1978,'Form responses 1'!$B$2:$B$2604,'Form responses 1'!$D$2:$D$2604,""))</f>
        <v/>
      </c>
      <c r="G1978" s="44" t="str">
        <f t="array" ref="G1978">IF(B1978="","",_xlfn.XLOOKUP(B1978,'Form responses 1'!$B$2:$B$2604,'Form responses 1'!$E$2:$E$2604,""))</f>
        <v/>
      </c>
      <c r="H1978" s="44" t="str">
        <f t="array" ref="H1978">IF(B1978="","",_xlfn.XLOOKUP(B1978,'Form responses 1'!$B$2:$B$2604,'Form responses 1'!$F$2:$F$2604,""))</f>
        <v/>
      </c>
      <c r="I1978" s="44" t="str">
        <f t="array" ref="I1978">IF(B1978="","",_xlfn.XLOOKUP(B1978,'Form responses 1'!$B$2:$B$2604,'Form responses 1'!$I$2:$I$2604,""))</f>
        <v/>
      </c>
      <c r="J1978" s="44" t="str">
        <f t="array" ref="J1978">IF(B1978="","",_xlfn.XLOOKUP(B1978,'Form responses 1'!$B$2:$B$2604,'Form responses 1'!$G$2:$G$2604,""))</f>
        <v/>
      </c>
      <c r="K1978" s="56"/>
      <c r="L1978" s="58" t="str">
        <f t="shared" si="7"/>
        <v/>
      </c>
      <c r="M1978" s="49"/>
      <c r="N1978" s="49"/>
      <c r="O1978" s="49"/>
      <c r="P1978" s="49"/>
      <c r="Q1978" s="49"/>
      <c r="R1978" s="49"/>
      <c r="S1978" s="49"/>
      <c r="T1978" s="49"/>
      <c r="U1978" s="49"/>
      <c r="V1978" s="49"/>
      <c r="W1978" s="56"/>
      <c r="X1978" s="51" t="str">
        <f t="shared" si="5"/>
        <v/>
      </c>
      <c r="Y1978" s="50" t="s">
        <v>482</v>
      </c>
      <c r="Z1978" s="49">
        <f t="shared" si="6"/>
        <v>0</v>
      </c>
    </row>
    <row r="1979" ht="22.5" customHeight="1">
      <c r="B1979" s="57"/>
      <c r="C1979" s="43" t="str">
        <f t="array" ref="C1979">IF(B1979="","",_xlfn.XLOOKUP(B1979,'Form responses 1'!$B$2:$B$2604,'Form responses 1'!$A$2:$A$2604,""))</f>
        <v/>
      </c>
      <c r="D1979" s="44" t="str">
        <f t="shared" si="3"/>
        <v/>
      </c>
      <c r="E1979" s="44" t="str">
        <f t="array" ref="E1979">IF(B1979="","",_xlfn.XLOOKUP(B1979,'Form responses 1'!$B$2:$B$2604,'Form responses 1'!$C$2:$C$2604,""))</f>
        <v/>
      </c>
      <c r="F1979" s="44" t="str">
        <f t="array" ref="F1979">IF(B1979="","",_xlfn.XLOOKUP(B1979,'Form responses 1'!$B$2:$B$2604,'Form responses 1'!$D$2:$D$2604,""))</f>
        <v/>
      </c>
      <c r="G1979" s="44" t="str">
        <f t="array" ref="G1979">IF(B1979="","",_xlfn.XLOOKUP(B1979,'Form responses 1'!$B$2:$B$2604,'Form responses 1'!$E$2:$E$2604,""))</f>
        <v/>
      </c>
      <c r="H1979" s="44" t="str">
        <f t="array" ref="H1979">IF(B1979="","",_xlfn.XLOOKUP(B1979,'Form responses 1'!$B$2:$B$2604,'Form responses 1'!$F$2:$F$2604,""))</f>
        <v/>
      </c>
      <c r="I1979" s="44" t="str">
        <f t="array" ref="I1979">IF(B1979="","",_xlfn.XLOOKUP(B1979,'Form responses 1'!$B$2:$B$2604,'Form responses 1'!$I$2:$I$2604,""))</f>
        <v/>
      </c>
      <c r="J1979" s="44" t="str">
        <f t="array" ref="J1979">IF(B1979="","",_xlfn.XLOOKUP(B1979,'Form responses 1'!$B$2:$B$2604,'Form responses 1'!$G$2:$G$2604,""))</f>
        <v/>
      </c>
      <c r="K1979" s="56"/>
      <c r="L1979" s="58" t="str">
        <f t="shared" si="7"/>
        <v/>
      </c>
      <c r="M1979" s="49"/>
      <c r="N1979" s="49"/>
      <c r="O1979" s="49"/>
      <c r="P1979" s="49"/>
      <c r="Q1979" s="49"/>
      <c r="R1979" s="49"/>
      <c r="S1979" s="49"/>
      <c r="T1979" s="49"/>
      <c r="U1979" s="49"/>
      <c r="V1979" s="49"/>
      <c r="W1979" s="56"/>
      <c r="X1979" s="51" t="str">
        <f t="shared" si="5"/>
        <v/>
      </c>
      <c r="Y1979" s="50" t="s">
        <v>482</v>
      </c>
      <c r="Z1979" s="49">
        <f t="shared" si="6"/>
        <v>0</v>
      </c>
    </row>
    <row r="1980" ht="22.5" customHeight="1">
      <c r="B1980" s="57"/>
      <c r="C1980" s="43" t="str">
        <f t="array" ref="C1980">IF(B1980="","",_xlfn.XLOOKUP(B1980,'Form responses 1'!$B$2:$B$2604,'Form responses 1'!$A$2:$A$2604,""))</f>
        <v/>
      </c>
      <c r="D1980" s="44" t="str">
        <f t="shared" si="3"/>
        <v/>
      </c>
      <c r="E1980" s="44" t="str">
        <f t="array" ref="E1980">IF(B1980="","",_xlfn.XLOOKUP(B1980,'Form responses 1'!$B$2:$B$2604,'Form responses 1'!$C$2:$C$2604,""))</f>
        <v/>
      </c>
      <c r="F1980" s="44" t="str">
        <f t="array" ref="F1980">IF(B1980="","",_xlfn.XLOOKUP(B1980,'Form responses 1'!$B$2:$B$2604,'Form responses 1'!$D$2:$D$2604,""))</f>
        <v/>
      </c>
      <c r="G1980" s="44" t="str">
        <f t="array" ref="G1980">IF(B1980="","",_xlfn.XLOOKUP(B1980,'Form responses 1'!$B$2:$B$2604,'Form responses 1'!$E$2:$E$2604,""))</f>
        <v/>
      </c>
      <c r="H1980" s="44" t="str">
        <f t="array" ref="H1980">IF(B1980="","",_xlfn.XLOOKUP(B1980,'Form responses 1'!$B$2:$B$2604,'Form responses 1'!$F$2:$F$2604,""))</f>
        <v/>
      </c>
      <c r="I1980" s="44" t="str">
        <f t="array" ref="I1980">IF(B1980="","",_xlfn.XLOOKUP(B1980,'Form responses 1'!$B$2:$B$2604,'Form responses 1'!$I$2:$I$2604,""))</f>
        <v/>
      </c>
      <c r="J1980" s="44" t="str">
        <f t="array" ref="J1980">IF(B1980="","",_xlfn.XLOOKUP(B1980,'Form responses 1'!$B$2:$B$2604,'Form responses 1'!$G$2:$G$2604,""))</f>
        <v/>
      </c>
      <c r="K1980" s="56"/>
      <c r="L1980" s="58" t="str">
        <f t="shared" si="7"/>
        <v/>
      </c>
      <c r="M1980" s="49"/>
      <c r="N1980" s="49"/>
      <c r="O1980" s="49"/>
      <c r="P1980" s="49"/>
      <c r="Q1980" s="49"/>
      <c r="R1980" s="49"/>
      <c r="S1980" s="49"/>
      <c r="T1980" s="49"/>
      <c r="U1980" s="49"/>
      <c r="V1980" s="49"/>
      <c r="W1980" s="56"/>
      <c r="X1980" s="51" t="str">
        <f t="shared" si="5"/>
        <v/>
      </c>
      <c r="Y1980" s="50" t="s">
        <v>482</v>
      </c>
      <c r="Z1980" s="49">
        <f t="shared" si="6"/>
        <v>0</v>
      </c>
    </row>
    <row r="1981" ht="22.5" customHeight="1">
      <c r="B1981" s="57"/>
      <c r="C1981" s="43" t="str">
        <f t="array" ref="C1981">IF(B1981="","",_xlfn.XLOOKUP(B1981,'Form responses 1'!$B$2:$B$2604,'Form responses 1'!$A$2:$A$2604,""))</f>
        <v/>
      </c>
      <c r="D1981" s="44" t="str">
        <f t="shared" si="3"/>
        <v/>
      </c>
      <c r="E1981" s="44" t="str">
        <f t="array" ref="E1981">IF(B1981="","",_xlfn.XLOOKUP(B1981,'Form responses 1'!$B$2:$B$2604,'Form responses 1'!$C$2:$C$2604,""))</f>
        <v/>
      </c>
      <c r="F1981" s="44" t="str">
        <f t="array" ref="F1981">IF(B1981="","",_xlfn.XLOOKUP(B1981,'Form responses 1'!$B$2:$B$2604,'Form responses 1'!$D$2:$D$2604,""))</f>
        <v/>
      </c>
      <c r="G1981" s="44" t="str">
        <f t="array" ref="G1981">IF(B1981="","",_xlfn.XLOOKUP(B1981,'Form responses 1'!$B$2:$B$2604,'Form responses 1'!$E$2:$E$2604,""))</f>
        <v/>
      </c>
      <c r="H1981" s="44" t="str">
        <f t="array" ref="H1981">IF(B1981="","",_xlfn.XLOOKUP(B1981,'Form responses 1'!$B$2:$B$2604,'Form responses 1'!$F$2:$F$2604,""))</f>
        <v/>
      </c>
      <c r="I1981" s="44" t="str">
        <f t="array" ref="I1981">IF(B1981="","",_xlfn.XLOOKUP(B1981,'Form responses 1'!$B$2:$B$2604,'Form responses 1'!$I$2:$I$2604,""))</f>
        <v/>
      </c>
      <c r="J1981" s="44" t="str">
        <f t="array" ref="J1981">IF(B1981="","",_xlfn.XLOOKUP(B1981,'Form responses 1'!$B$2:$B$2604,'Form responses 1'!$G$2:$G$2604,""))</f>
        <v/>
      </c>
      <c r="K1981" s="56"/>
      <c r="L1981" s="58" t="str">
        <f t="shared" si="7"/>
        <v/>
      </c>
      <c r="M1981" s="49"/>
      <c r="N1981" s="49"/>
      <c r="O1981" s="49"/>
      <c r="P1981" s="49"/>
      <c r="Q1981" s="49"/>
      <c r="R1981" s="49"/>
      <c r="S1981" s="49"/>
      <c r="T1981" s="49"/>
      <c r="U1981" s="49"/>
      <c r="V1981" s="49"/>
      <c r="W1981" s="56"/>
      <c r="X1981" s="51" t="str">
        <f t="shared" si="5"/>
        <v/>
      </c>
      <c r="Y1981" s="50" t="s">
        <v>482</v>
      </c>
      <c r="Z1981" s="49">
        <f t="shared" si="6"/>
        <v>0</v>
      </c>
    </row>
    <row r="1982" ht="22.5" customHeight="1">
      <c r="B1982" s="57"/>
      <c r="C1982" s="43" t="str">
        <f t="array" ref="C1982">IF(B1982="","",_xlfn.XLOOKUP(B1982,'Form responses 1'!$B$2:$B$2604,'Form responses 1'!$A$2:$A$2604,""))</f>
        <v/>
      </c>
      <c r="D1982" s="44" t="str">
        <f t="shared" si="3"/>
        <v/>
      </c>
      <c r="E1982" s="44" t="str">
        <f t="array" ref="E1982">IF(B1982="","",_xlfn.XLOOKUP(B1982,'Form responses 1'!$B$2:$B$2604,'Form responses 1'!$C$2:$C$2604,""))</f>
        <v/>
      </c>
      <c r="F1982" s="44" t="str">
        <f t="array" ref="F1982">IF(B1982="","",_xlfn.XLOOKUP(B1982,'Form responses 1'!$B$2:$B$2604,'Form responses 1'!$D$2:$D$2604,""))</f>
        <v/>
      </c>
      <c r="G1982" s="44" t="str">
        <f t="array" ref="G1982">IF(B1982="","",_xlfn.XLOOKUP(B1982,'Form responses 1'!$B$2:$B$2604,'Form responses 1'!$E$2:$E$2604,""))</f>
        <v/>
      </c>
      <c r="H1982" s="44" t="str">
        <f t="array" ref="H1982">IF(B1982="","",_xlfn.XLOOKUP(B1982,'Form responses 1'!$B$2:$B$2604,'Form responses 1'!$F$2:$F$2604,""))</f>
        <v/>
      </c>
      <c r="I1982" s="44" t="str">
        <f t="array" ref="I1982">IF(B1982="","",_xlfn.XLOOKUP(B1982,'Form responses 1'!$B$2:$B$2604,'Form responses 1'!$I$2:$I$2604,""))</f>
        <v/>
      </c>
      <c r="J1982" s="44" t="str">
        <f t="array" ref="J1982">IF(B1982="","",_xlfn.XLOOKUP(B1982,'Form responses 1'!$B$2:$B$2604,'Form responses 1'!$G$2:$G$2604,""))</f>
        <v/>
      </c>
      <c r="K1982" s="56"/>
      <c r="L1982" s="58" t="str">
        <f t="shared" si="7"/>
        <v/>
      </c>
      <c r="M1982" s="49"/>
      <c r="N1982" s="49"/>
      <c r="O1982" s="49"/>
      <c r="P1982" s="49"/>
      <c r="Q1982" s="49"/>
      <c r="R1982" s="49"/>
      <c r="S1982" s="49"/>
      <c r="T1982" s="49"/>
      <c r="U1982" s="49"/>
      <c r="V1982" s="49"/>
      <c r="W1982" s="56"/>
      <c r="X1982" s="51" t="str">
        <f t="shared" si="5"/>
        <v/>
      </c>
      <c r="Y1982" s="50" t="s">
        <v>482</v>
      </c>
      <c r="Z1982" s="49">
        <f t="shared" si="6"/>
        <v>0</v>
      </c>
    </row>
    <row r="1983" ht="22.5" customHeight="1">
      <c r="B1983" s="57"/>
      <c r="C1983" s="43" t="str">
        <f t="array" ref="C1983">IF(B1983="","",_xlfn.XLOOKUP(B1983,'Form responses 1'!$B$2:$B$2604,'Form responses 1'!$A$2:$A$2604,""))</f>
        <v/>
      </c>
      <c r="D1983" s="44" t="str">
        <f t="shared" si="3"/>
        <v/>
      </c>
      <c r="E1983" s="44" t="str">
        <f t="array" ref="E1983">IF(B1983="","",_xlfn.XLOOKUP(B1983,'Form responses 1'!$B$2:$B$2604,'Form responses 1'!$C$2:$C$2604,""))</f>
        <v/>
      </c>
      <c r="F1983" s="44" t="str">
        <f t="array" ref="F1983">IF(B1983="","",_xlfn.XLOOKUP(B1983,'Form responses 1'!$B$2:$B$2604,'Form responses 1'!$D$2:$D$2604,""))</f>
        <v/>
      </c>
      <c r="G1983" s="44" t="str">
        <f t="array" ref="G1983">IF(B1983="","",_xlfn.XLOOKUP(B1983,'Form responses 1'!$B$2:$B$2604,'Form responses 1'!$E$2:$E$2604,""))</f>
        <v/>
      </c>
      <c r="H1983" s="44" t="str">
        <f t="array" ref="H1983">IF(B1983="","",_xlfn.XLOOKUP(B1983,'Form responses 1'!$B$2:$B$2604,'Form responses 1'!$F$2:$F$2604,""))</f>
        <v/>
      </c>
      <c r="I1983" s="44" t="str">
        <f t="array" ref="I1983">IF(B1983="","",_xlfn.XLOOKUP(B1983,'Form responses 1'!$B$2:$B$2604,'Form responses 1'!$I$2:$I$2604,""))</f>
        <v/>
      </c>
      <c r="J1983" s="44" t="str">
        <f t="array" ref="J1983">IF(B1983="","",_xlfn.XLOOKUP(B1983,'Form responses 1'!$B$2:$B$2604,'Form responses 1'!$G$2:$G$2604,""))</f>
        <v/>
      </c>
      <c r="K1983" s="56"/>
      <c r="L1983" s="58" t="str">
        <f t="shared" si="7"/>
        <v/>
      </c>
      <c r="M1983" s="49"/>
      <c r="N1983" s="49"/>
      <c r="O1983" s="49"/>
      <c r="P1983" s="49"/>
      <c r="Q1983" s="49"/>
      <c r="R1983" s="49"/>
      <c r="S1983" s="49"/>
      <c r="T1983" s="49"/>
      <c r="U1983" s="49"/>
      <c r="V1983" s="49"/>
      <c r="W1983" s="56"/>
      <c r="X1983" s="51" t="str">
        <f t="shared" si="5"/>
        <v/>
      </c>
      <c r="Y1983" s="50" t="s">
        <v>482</v>
      </c>
      <c r="Z1983" s="49">
        <f t="shared" si="6"/>
        <v>0</v>
      </c>
    </row>
    <row r="1984" ht="22.5" customHeight="1">
      <c r="B1984" s="57"/>
      <c r="C1984" s="43" t="str">
        <f t="array" ref="C1984">IF(B1984="","",_xlfn.XLOOKUP(B1984,'Form responses 1'!$B$2:$B$2604,'Form responses 1'!$A$2:$A$2604,""))</f>
        <v/>
      </c>
      <c r="D1984" s="44" t="str">
        <f t="shared" si="3"/>
        <v/>
      </c>
      <c r="E1984" s="44" t="str">
        <f t="array" ref="E1984">IF(B1984="","",_xlfn.XLOOKUP(B1984,'Form responses 1'!$B$2:$B$2604,'Form responses 1'!$C$2:$C$2604,""))</f>
        <v/>
      </c>
      <c r="F1984" s="44" t="str">
        <f t="array" ref="F1984">IF(B1984="","",_xlfn.XLOOKUP(B1984,'Form responses 1'!$B$2:$B$2604,'Form responses 1'!$D$2:$D$2604,""))</f>
        <v/>
      </c>
      <c r="G1984" s="44" t="str">
        <f t="array" ref="G1984">IF(B1984="","",_xlfn.XLOOKUP(B1984,'Form responses 1'!$B$2:$B$2604,'Form responses 1'!$E$2:$E$2604,""))</f>
        <v/>
      </c>
      <c r="H1984" s="44" t="str">
        <f t="array" ref="H1984">IF(B1984="","",_xlfn.XLOOKUP(B1984,'Form responses 1'!$B$2:$B$2604,'Form responses 1'!$F$2:$F$2604,""))</f>
        <v/>
      </c>
      <c r="I1984" s="44" t="str">
        <f t="array" ref="I1984">IF(B1984="","",_xlfn.XLOOKUP(B1984,'Form responses 1'!$B$2:$B$2604,'Form responses 1'!$I$2:$I$2604,""))</f>
        <v/>
      </c>
      <c r="J1984" s="44" t="str">
        <f t="array" ref="J1984">IF(B1984="","",_xlfn.XLOOKUP(B1984,'Form responses 1'!$B$2:$B$2604,'Form responses 1'!$G$2:$G$2604,""))</f>
        <v/>
      </c>
      <c r="K1984" s="56"/>
      <c r="L1984" s="58" t="str">
        <f t="shared" si="7"/>
        <v/>
      </c>
      <c r="M1984" s="49"/>
      <c r="N1984" s="49"/>
      <c r="O1984" s="49"/>
      <c r="P1984" s="49"/>
      <c r="Q1984" s="49"/>
      <c r="R1984" s="49"/>
      <c r="S1984" s="49"/>
      <c r="T1984" s="49"/>
      <c r="U1984" s="49"/>
      <c r="V1984" s="49"/>
      <c r="W1984" s="56"/>
      <c r="X1984" s="51" t="str">
        <f t="shared" si="5"/>
        <v/>
      </c>
      <c r="Y1984" s="50" t="s">
        <v>482</v>
      </c>
      <c r="Z1984" s="49">
        <f t="shared" si="6"/>
        <v>0</v>
      </c>
    </row>
    <row r="1985" ht="22.5" customHeight="1">
      <c r="B1985" s="57"/>
      <c r="C1985" s="43" t="str">
        <f t="array" ref="C1985">IF(B1985="","",_xlfn.XLOOKUP(B1985,'Form responses 1'!$B$2:$B$2604,'Form responses 1'!$A$2:$A$2604,""))</f>
        <v/>
      </c>
      <c r="D1985" s="44" t="str">
        <f t="shared" si="3"/>
        <v/>
      </c>
      <c r="E1985" s="44" t="str">
        <f t="array" ref="E1985">IF(B1985="","",_xlfn.XLOOKUP(B1985,'Form responses 1'!$B$2:$B$2604,'Form responses 1'!$C$2:$C$2604,""))</f>
        <v/>
      </c>
      <c r="F1985" s="44" t="str">
        <f t="array" ref="F1985">IF(B1985="","",_xlfn.XLOOKUP(B1985,'Form responses 1'!$B$2:$B$2604,'Form responses 1'!$D$2:$D$2604,""))</f>
        <v/>
      </c>
      <c r="G1985" s="44" t="str">
        <f t="array" ref="G1985">IF(B1985="","",_xlfn.XLOOKUP(B1985,'Form responses 1'!$B$2:$B$2604,'Form responses 1'!$E$2:$E$2604,""))</f>
        <v/>
      </c>
      <c r="H1985" s="44" t="str">
        <f t="array" ref="H1985">IF(B1985="","",_xlfn.XLOOKUP(B1985,'Form responses 1'!$B$2:$B$2604,'Form responses 1'!$F$2:$F$2604,""))</f>
        <v/>
      </c>
      <c r="I1985" s="44" t="str">
        <f t="array" ref="I1985">IF(B1985="","",_xlfn.XLOOKUP(B1985,'Form responses 1'!$B$2:$B$2604,'Form responses 1'!$I$2:$I$2604,""))</f>
        <v/>
      </c>
      <c r="J1985" s="44" t="str">
        <f t="array" ref="J1985">IF(B1985="","",_xlfn.XLOOKUP(B1985,'Form responses 1'!$B$2:$B$2604,'Form responses 1'!$G$2:$G$2604,""))</f>
        <v/>
      </c>
      <c r="K1985" s="56"/>
      <c r="L1985" s="58" t="str">
        <f t="shared" si="7"/>
        <v/>
      </c>
      <c r="M1985" s="49"/>
      <c r="N1985" s="49"/>
      <c r="O1985" s="49"/>
      <c r="P1985" s="49"/>
      <c r="Q1985" s="49"/>
      <c r="R1985" s="49"/>
      <c r="S1985" s="49"/>
      <c r="T1985" s="49"/>
      <c r="U1985" s="49"/>
      <c r="V1985" s="49"/>
      <c r="W1985" s="56"/>
      <c r="X1985" s="51" t="str">
        <f t="shared" si="5"/>
        <v/>
      </c>
      <c r="Y1985" s="50" t="s">
        <v>482</v>
      </c>
      <c r="Z1985" s="49">
        <f t="shared" si="6"/>
        <v>0</v>
      </c>
    </row>
    <row r="1986" ht="22.5" customHeight="1">
      <c r="B1986" s="57"/>
      <c r="C1986" s="43" t="str">
        <f t="array" ref="C1986">IF(B1986="","",_xlfn.XLOOKUP(B1986,'Form responses 1'!$B$2:$B$2604,'Form responses 1'!$A$2:$A$2604,""))</f>
        <v/>
      </c>
      <c r="D1986" s="44" t="str">
        <f t="shared" si="3"/>
        <v/>
      </c>
      <c r="E1986" s="44" t="str">
        <f t="array" ref="E1986">IF(B1986="","",_xlfn.XLOOKUP(B1986,'Form responses 1'!$B$2:$B$2604,'Form responses 1'!$C$2:$C$2604,""))</f>
        <v/>
      </c>
      <c r="F1986" s="44" t="str">
        <f t="array" ref="F1986">IF(B1986="","",_xlfn.XLOOKUP(B1986,'Form responses 1'!$B$2:$B$2604,'Form responses 1'!$D$2:$D$2604,""))</f>
        <v/>
      </c>
      <c r="G1986" s="44" t="str">
        <f t="array" ref="G1986">IF(B1986="","",_xlfn.XLOOKUP(B1986,'Form responses 1'!$B$2:$B$2604,'Form responses 1'!$E$2:$E$2604,""))</f>
        <v/>
      </c>
      <c r="H1986" s="44" t="str">
        <f t="array" ref="H1986">IF(B1986="","",_xlfn.XLOOKUP(B1986,'Form responses 1'!$B$2:$B$2604,'Form responses 1'!$F$2:$F$2604,""))</f>
        <v/>
      </c>
      <c r="I1986" s="44" t="str">
        <f t="array" ref="I1986">IF(B1986="","",_xlfn.XLOOKUP(B1986,'Form responses 1'!$B$2:$B$2604,'Form responses 1'!$I$2:$I$2604,""))</f>
        <v/>
      </c>
      <c r="J1986" s="44" t="str">
        <f t="array" ref="J1986">IF(B1986="","",_xlfn.XLOOKUP(B1986,'Form responses 1'!$B$2:$B$2604,'Form responses 1'!$G$2:$G$2604,""))</f>
        <v/>
      </c>
      <c r="K1986" s="56"/>
      <c r="L1986" s="58" t="str">
        <f t="shared" si="7"/>
        <v/>
      </c>
      <c r="M1986" s="49"/>
      <c r="N1986" s="49"/>
      <c r="O1986" s="49"/>
      <c r="P1986" s="49"/>
      <c r="Q1986" s="49"/>
      <c r="R1986" s="49"/>
      <c r="S1986" s="49"/>
      <c r="T1986" s="49"/>
      <c r="U1986" s="49"/>
      <c r="V1986" s="49"/>
      <c r="W1986" s="56"/>
      <c r="X1986" s="51" t="str">
        <f t="shared" si="5"/>
        <v/>
      </c>
      <c r="Y1986" s="50" t="s">
        <v>482</v>
      </c>
      <c r="Z1986" s="49">
        <f t="shared" si="6"/>
        <v>0</v>
      </c>
    </row>
    <row r="1987" ht="22.5" customHeight="1">
      <c r="B1987" s="57"/>
      <c r="C1987" s="43" t="str">
        <f t="array" ref="C1987">IF(B1987="","",_xlfn.XLOOKUP(B1987,'Form responses 1'!$B$2:$B$2604,'Form responses 1'!$A$2:$A$2604,""))</f>
        <v/>
      </c>
      <c r="D1987" s="44" t="str">
        <f t="shared" si="3"/>
        <v/>
      </c>
      <c r="E1987" s="44" t="str">
        <f t="array" ref="E1987">IF(B1987="","",_xlfn.XLOOKUP(B1987,'Form responses 1'!$B$2:$B$2604,'Form responses 1'!$C$2:$C$2604,""))</f>
        <v/>
      </c>
      <c r="F1987" s="44" t="str">
        <f t="array" ref="F1987">IF(B1987="","",_xlfn.XLOOKUP(B1987,'Form responses 1'!$B$2:$B$2604,'Form responses 1'!$D$2:$D$2604,""))</f>
        <v/>
      </c>
      <c r="G1987" s="44" t="str">
        <f t="array" ref="G1987">IF(B1987="","",_xlfn.XLOOKUP(B1987,'Form responses 1'!$B$2:$B$2604,'Form responses 1'!$E$2:$E$2604,""))</f>
        <v/>
      </c>
      <c r="H1987" s="44" t="str">
        <f t="array" ref="H1987">IF(B1987="","",_xlfn.XLOOKUP(B1987,'Form responses 1'!$B$2:$B$2604,'Form responses 1'!$F$2:$F$2604,""))</f>
        <v/>
      </c>
      <c r="I1987" s="44" t="str">
        <f t="array" ref="I1987">IF(B1987="","",_xlfn.XLOOKUP(B1987,'Form responses 1'!$B$2:$B$2604,'Form responses 1'!$I$2:$I$2604,""))</f>
        <v/>
      </c>
      <c r="J1987" s="44" t="str">
        <f t="array" ref="J1987">IF(B1987="","",_xlfn.XLOOKUP(B1987,'Form responses 1'!$B$2:$B$2604,'Form responses 1'!$G$2:$G$2604,""))</f>
        <v/>
      </c>
      <c r="K1987" s="56"/>
      <c r="L1987" s="58" t="str">
        <f t="shared" si="7"/>
        <v/>
      </c>
      <c r="M1987" s="49"/>
      <c r="N1987" s="49"/>
      <c r="O1987" s="49"/>
      <c r="P1987" s="49"/>
      <c r="Q1987" s="49"/>
      <c r="R1987" s="49"/>
      <c r="S1987" s="49"/>
      <c r="T1987" s="49"/>
      <c r="U1987" s="49"/>
      <c r="V1987" s="49"/>
      <c r="W1987" s="56"/>
      <c r="X1987" s="51" t="str">
        <f t="shared" si="5"/>
        <v/>
      </c>
      <c r="Y1987" s="50" t="s">
        <v>482</v>
      </c>
      <c r="Z1987" s="49">
        <f t="shared" si="6"/>
        <v>0</v>
      </c>
    </row>
    <row r="1988" ht="22.5" customHeight="1">
      <c r="B1988" s="57"/>
      <c r="C1988" s="43" t="str">
        <f t="array" ref="C1988">IF(B1988="","",_xlfn.XLOOKUP(B1988,'Form responses 1'!$B$2:$B$2604,'Form responses 1'!$A$2:$A$2604,""))</f>
        <v/>
      </c>
      <c r="D1988" s="44" t="str">
        <f t="shared" si="3"/>
        <v/>
      </c>
      <c r="E1988" s="44" t="str">
        <f t="array" ref="E1988">IF(B1988="","",_xlfn.XLOOKUP(B1988,'Form responses 1'!$B$2:$B$2604,'Form responses 1'!$C$2:$C$2604,""))</f>
        <v/>
      </c>
      <c r="F1988" s="44" t="str">
        <f t="array" ref="F1988">IF(B1988="","",_xlfn.XLOOKUP(B1988,'Form responses 1'!$B$2:$B$2604,'Form responses 1'!$D$2:$D$2604,""))</f>
        <v/>
      </c>
      <c r="G1988" s="44" t="str">
        <f t="array" ref="G1988">IF(B1988="","",_xlfn.XLOOKUP(B1988,'Form responses 1'!$B$2:$B$2604,'Form responses 1'!$E$2:$E$2604,""))</f>
        <v/>
      </c>
      <c r="H1988" s="44" t="str">
        <f t="array" ref="H1988">IF(B1988="","",_xlfn.XLOOKUP(B1988,'Form responses 1'!$B$2:$B$2604,'Form responses 1'!$F$2:$F$2604,""))</f>
        <v/>
      </c>
      <c r="I1988" s="44" t="str">
        <f t="array" ref="I1988">IF(B1988="","",_xlfn.XLOOKUP(B1988,'Form responses 1'!$B$2:$B$2604,'Form responses 1'!$I$2:$I$2604,""))</f>
        <v/>
      </c>
      <c r="J1988" s="44" t="str">
        <f t="array" ref="J1988">IF(B1988="","",_xlfn.XLOOKUP(B1988,'Form responses 1'!$B$2:$B$2604,'Form responses 1'!$G$2:$G$2604,""))</f>
        <v/>
      </c>
      <c r="K1988" s="56"/>
      <c r="L1988" s="58" t="str">
        <f t="shared" si="7"/>
        <v/>
      </c>
      <c r="M1988" s="49"/>
      <c r="N1988" s="49"/>
      <c r="O1988" s="49"/>
      <c r="P1988" s="49"/>
      <c r="Q1988" s="49"/>
      <c r="R1988" s="49"/>
      <c r="S1988" s="49"/>
      <c r="T1988" s="49"/>
      <c r="U1988" s="49"/>
      <c r="V1988" s="49"/>
      <c r="W1988" s="56"/>
      <c r="X1988" s="51" t="str">
        <f t="shared" si="5"/>
        <v/>
      </c>
      <c r="Y1988" s="50" t="s">
        <v>482</v>
      </c>
      <c r="Z1988" s="49">
        <f t="shared" si="6"/>
        <v>0</v>
      </c>
    </row>
    <row r="1989" ht="22.5" customHeight="1">
      <c r="B1989" s="57"/>
      <c r="C1989" s="43" t="str">
        <f t="array" ref="C1989">IF(B1989="","",_xlfn.XLOOKUP(B1989,'Form responses 1'!$B$2:$B$2604,'Form responses 1'!$A$2:$A$2604,""))</f>
        <v/>
      </c>
      <c r="D1989" s="44" t="str">
        <f t="shared" si="3"/>
        <v/>
      </c>
      <c r="E1989" s="44" t="str">
        <f t="array" ref="E1989">IF(B1989="","",_xlfn.XLOOKUP(B1989,'Form responses 1'!$B$2:$B$2604,'Form responses 1'!$C$2:$C$2604,""))</f>
        <v/>
      </c>
      <c r="F1989" s="44" t="str">
        <f t="array" ref="F1989">IF(B1989="","",_xlfn.XLOOKUP(B1989,'Form responses 1'!$B$2:$B$2604,'Form responses 1'!$D$2:$D$2604,""))</f>
        <v/>
      </c>
      <c r="G1989" s="44" t="str">
        <f t="array" ref="G1989">IF(B1989="","",_xlfn.XLOOKUP(B1989,'Form responses 1'!$B$2:$B$2604,'Form responses 1'!$E$2:$E$2604,""))</f>
        <v/>
      </c>
      <c r="H1989" s="44" t="str">
        <f t="array" ref="H1989">IF(B1989="","",_xlfn.XLOOKUP(B1989,'Form responses 1'!$B$2:$B$2604,'Form responses 1'!$F$2:$F$2604,""))</f>
        <v/>
      </c>
      <c r="I1989" s="44" t="str">
        <f t="array" ref="I1989">IF(B1989="","",_xlfn.XLOOKUP(B1989,'Form responses 1'!$B$2:$B$2604,'Form responses 1'!$I$2:$I$2604,""))</f>
        <v/>
      </c>
      <c r="J1989" s="44" t="str">
        <f t="array" ref="J1989">IF(B1989="","",_xlfn.XLOOKUP(B1989,'Form responses 1'!$B$2:$B$2604,'Form responses 1'!$G$2:$G$2604,""))</f>
        <v/>
      </c>
      <c r="K1989" s="56"/>
      <c r="L1989" s="58" t="str">
        <f t="shared" si="7"/>
        <v/>
      </c>
      <c r="M1989" s="49"/>
      <c r="N1989" s="49"/>
      <c r="O1989" s="49"/>
      <c r="P1989" s="49"/>
      <c r="Q1989" s="49"/>
      <c r="R1989" s="49"/>
      <c r="S1989" s="49"/>
      <c r="T1989" s="49"/>
      <c r="U1989" s="49"/>
      <c r="V1989" s="49"/>
      <c r="W1989" s="56"/>
      <c r="X1989" s="51" t="str">
        <f t="shared" si="5"/>
        <v/>
      </c>
      <c r="Y1989" s="50" t="s">
        <v>482</v>
      </c>
      <c r="Z1989" s="49">
        <f t="shared" si="6"/>
        <v>0</v>
      </c>
    </row>
    <row r="1990" ht="22.5" customHeight="1">
      <c r="B1990" s="57"/>
      <c r="C1990" s="43" t="str">
        <f t="array" ref="C1990">IF(B1990="","",_xlfn.XLOOKUP(B1990,'Form responses 1'!$B$2:$B$2604,'Form responses 1'!$A$2:$A$2604,""))</f>
        <v/>
      </c>
      <c r="D1990" s="44" t="str">
        <f t="shared" si="3"/>
        <v/>
      </c>
      <c r="E1990" s="44" t="str">
        <f t="array" ref="E1990">IF(B1990="","",_xlfn.XLOOKUP(B1990,'Form responses 1'!$B$2:$B$2604,'Form responses 1'!$C$2:$C$2604,""))</f>
        <v/>
      </c>
      <c r="F1990" s="44" t="str">
        <f t="array" ref="F1990">IF(B1990="","",_xlfn.XLOOKUP(B1990,'Form responses 1'!$B$2:$B$2604,'Form responses 1'!$D$2:$D$2604,""))</f>
        <v/>
      </c>
      <c r="G1990" s="44" t="str">
        <f t="array" ref="G1990">IF(B1990="","",_xlfn.XLOOKUP(B1990,'Form responses 1'!$B$2:$B$2604,'Form responses 1'!$E$2:$E$2604,""))</f>
        <v/>
      </c>
      <c r="H1990" s="44" t="str">
        <f t="array" ref="H1990">IF(B1990="","",_xlfn.XLOOKUP(B1990,'Form responses 1'!$B$2:$B$2604,'Form responses 1'!$F$2:$F$2604,""))</f>
        <v/>
      </c>
      <c r="I1990" s="44" t="str">
        <f t="array" ref="I1990">IF(B1990="","",_xlfn.XLOOKUP(B1990,'Form responses 1'!$B$2:$B$2604,'Form responses 1'!$I$2:$I$2604,""))</f>
        <v/>
      </c>
      <c r="J1990" s="44" t="str">
        <f t="array" ref="J1990">IF(B1990="","",_xlfn.XLOOKUP(B1990,'Form responses 1'!$B$2:$B$2604,'Form responses 1'!$G$2:$G$2604,""))</f>
        <v/>
      </c>
      <c r="K1990" s="56"/>
      <c r="L1990" s="58" t="str">
        <f t="shared" si="7"/>
        <v/>
      </c>
      <c r="M1990" s="49"/>
      <c r="N1990" s="49"/>
      <c r="O1990" s="49"/>
      <c r="P1990" s="49"/>
      <c r="Q1990" s="49"/>
      <c r="R1990" s="49"/>
      <c r="S1990" s="49"/>
      <c r="T1990" s="49"/>
      <c r="U1990" s="49"/>
      <c r="V1990" s="49"/>
      <c r="W1990" s="56"/>
      <c r="X1990" s="51" t="str">
        <f t="shared" si="5"/>
        <v/>
      </c>
      <c r="Y1990" s="50" t="s">
        <v>482</v>
      </c>
      <c r="Z1990" s="49">
        <f t="shared" si="6"/>
        <v>0</v>
      </c>
    </row>
    <row r="1991" ht="22.5" customHeight="1">
      <c r="B1991" s="57"/>
      <c r="C1991" s="43" t="str">
        <f t="array" ref="C1991">IF(B1991="","",_xlfn.XLOOKUP(B1991,'Form responses 1'!$B$2:$B$2604,'Form responses 1'!$A$2:$A$2604,""))</f>
        <v/>
      </c>
      <c r="D1991" s="44" t="str">
        <f t="shared" si="3"/>
        <v/>
      </c>
      <c r="E1991" s="44" t="str">
        <f t="array" ref="E1991">IF(B1991="","",_xlfn.XLOOKUP(B1991,'Form responses 1'!$B$2:$B$2604,'Form responses 1'!$C$2:$C$2604,""))</f>
        <v/>
      </c>
      <c r="F1991" s="44" t="str">
        <f t="array" ref="F1991">IF(B1991="","",_xlfn.XLOOKUP(B1991,'Form responses 1'!$B$2:$B$2604,'Form responses 1'!$D$2:$D$2604,""))</f>
        <v/>
      </c>
      <c r="G1991" s="44" t="str">
        <f t="array" ref="G1991">IF(B1991="","",_xlfn.XLOOKUP(B1991,'Form responses 1'!$B$2:$B$2604,'Form responses 1'!$E$2:$E$2604,""))</f>
        <v/>
      </c>
      <c r="H1991" s="44" t="str">
        <f t="array" ref="H1991">IF(B1991="","",_xlfn.XLOOKUP(B1991,'Form responses 1'!$B$2:$B$2604,'Form responses 1'!$F$2:$F$2604,""))</f>
        <v/>
      </c>
      <c r="I1991" s="44" t="str">
        <f t="array" ref="I1991">IF(B1991="","",_xlfn.XLOOKUP(B1991,'Form responses 1'!$B$2:$B$2604,'Form responses 1'!$I$2:$I$2604,""))</f>
        <v/>
      </c>
      <c r="J1991" s="44" t="str">
        <f t="array" ref="J1991">IF(B1991="","",_xlfn.XLOOKUP(B1991,'Form responses 1'!$B$2:$B$2604,'Form responses 1'!$G$2:$G$2604,""))</f>
        <v/>
      </c>
      <c r="K1991" s="56"/>
      <c r="L1991" s="58" t="str">
        <f t="shared" si="7"/>
        <v/>
      </c>
      <c r="M1991" s="49"/>
      <c r="N1991" s="49"/>
      <c r="O1991" s="49"/>
      <c r="P1991" s="49"/>
      <c r="Q1991" s="49"/>
      <c r="R1991" s="49"/>
      <c r="S1991" s="49"/>
      <c r="T1991" s="49"/>
      <c r="U1991" s="49"/>
      <c r="V1991" s="49"/>
      <c r="W1991" s="56"/>
      <c r="X1991" s="51" t="str">
        <f t="shared" si="5"/>
        <v/>
      </c>
      <c r="Y1991" s="50" t="s">
        <v>482</v>
      </c>
      <c r="Z1991" s="49">
        <f t="shared" si="6"/>
        <v>0</v>
      </c>
    </row>
    <row r="1992" ht="22.5" customHeight="1">
      <c r="B1992" s="57"/>
      <c r="C1992" s="43" t="str">
        <f t="array" ref="C1992">IF(B1992="","",_xlfn.XLOOKUP(B1992,'Form responses 1'!$B$2:$B$2604,'Form responses 1'!$A$2:$A$2604,""))</f>
        <v/>
      </c>
      <c r="D1992" s="44" t="str">
        <f t="shared" si="3"/>
        <v/>
      </c>
      <c r="E1992" s="44" t="str">
        <f t="array" ref="E1992">IF(B1992="","",_xlfn.XLOOKUP(B1992,'Form responses 1'!$B$2:$B$2604,'Form responses 1'!$C$2:$C$2604,""))</f>
        <v/>
      </c>
      <c r="F1992" s="44" t="str">
        <f t="array" ref="F1992">IF(B1992="","",_xlfn.XLOOKUP(B1992,'Form responses 1'!$B$2:$B$2604,'Form responses 1'!$D$2:$D$2604,""))</f>
        <v/>
      </c>
      <c r="G1992" s="44" t="str">
        <f t="array" ref="G1992">IF(B1992="","",_xlfn.XLOOKUP(B1992,'Form responses 1'!$B$2:$B$2604,'Form responses 1'!$E$2:$E$2604,""))</f>
        <v/>
      </c>
      <c r="H1992" s="44" t="str">
        <f t="array" ref="H1992">IF(B1992="","",_xlfn.XLOOKUP(B1992,'Form responses 1'!$B$2:$B$2604,'Form responses 1'!$F$2:$F$2604,""))</f>
        <v/>
      </c>
      <c r="I1992" s="44" t="str">
        <f t="array" ref="I1992">IF(B1992="","",_xlfn.XLOOKUP(B1992,'Form responses 1'!$B$2:$B$2604,'Form responses 1'!$I$2:$I$2604,""))</f>
        <v/>
      </c>
      <c r="J1992" s="44" t="str">
        <f t="array" ref="J1992">IF(B1992="","",_xlfn.XLOOKUP(B1992,'Form responses 1'!$B$2:$B$2604,'Form responses 1'!$G$2:$G$2604,""))</f>
        <v/>
      </c>
      <c r="K1992" s="56"/>
      <c r="L1992" s="58" t="str">
        <f t="shared" si="7"/>
        <v/>
      </c>
      <c r="M1992" s="49"/>
      <c r="N1992" s="49"/>
      <c r="O1992" s="49"/>
      <c r="P1992" s="49"/>
      <c r="Q1992" s="49"/>
      <c r="R1992" s="49"/>
      <c r="S1992" s="49"/>
      <c r="T1992" s="49"/>
      <c r="U1992" s="49"/>
      <c r="V1992" s="49"/>
      <c r="W1992" s="56"/>
      <c r="X1992" s="51" t="str">
        <f t="shared" si="5"/>
        <v/>
      </c>
      <c r="Y1992" s="50" t="s">
        <v>482</v>
      </c>
      <c r="Z1992" s="49">
        <f t="shared" si="6"/>
        <v>0</v>
      </c>
    </row>
    <row r="1993" ht="22.5" customHeight="1">
      <c r="B1993" s="57"/>
      <c r="C1993" s="43" t="str">
        <f t="array" ref="C1993">IF(B1993="","",_xlfn.XLOOKUP(B1993,'Form responses 1'!$B$2:$B$2604,'Form responses 1'!$A$2:$A$2604,""))</f>
        <v/>
      </c>
      <c r="D1993" s="44" t="str">
        <f t="shared" si="3"/>
        <v/>
      </c>
      <c r="E1993" s="44" t="str">
        <f t="array" ref="E1993">IF(B1993="","",_xlfn.XLOOKUP(B1993,'Form responses 1'!$B$2:$B$2604,'Form responses 1'!$C$2:$C$2604,""))</f>
        <v/>
      </c>
      <c r="F1993" s="44" t="str">
        <f t="array" ref="F1993">IF(B1993="","",_xlfn.XLOOKUP(B1993,'Form responses 1'!$B$2:$B$2604,'Form responses 1'!$D$2:$D$2604,""))</f>
        <v/>
      </c>
      <c r="G1993" s="44" t="str">
        <f t="array" ref="G1993">IF(B1993="","",_xlfn.XLOOKUP(B1993,'Form responses 1'!$B$2:$B$2604,'Form responses 1'!$E$2:$E$2604,""))</f>
        <v/>
      </c>
      <c r="H1993" s="44" t="str">
        <f t="array" ref="H1993">IF(B1993="","",_xlfn.XLOOKUP(B1993,'Form responses 1'!$B$2:$B$2604,'Form responses 1'!$F$2:$F$2604,""))</f>
        <v/>
      </c>
      <c r="I1993" s="44" t="str">
        <f t="array" ref="I1993">IF(B1993="","",_xlfn.XLOOKUP(B1993,'Form responses 1'!$B$2:$B$2604,'Form responses 1'!$I$2:$I$2604,""))</f>
        <v/>
      </c>
      <c r="J1993" s="44" t="str">
        <f t="array" ref="J1993">IF(B1993="","",_xlfn.XLOOKUP(B1993,'Form responses 1'!$B$2:$B$2604,'Form responses 1'!$G$2:$G$2604,""))</f>
        <v/>
      </c>
      <c r="K1993" s="56"/>
      <c r="L1993" s="58" t="str">
        <f t="shared" si="7"/>
        <v/>
      </c>
      <c r="M1993" s="49"/>
      <c r="N1993" s="49"/>
      <c r="O1993" s="49"/>
      <c r="P1993" s="49"/>
      <c r="Q1993" s="49"/>
      <c r="R1993" s="49"/>
      <c r="S1993" s="49"/>
      <c r="T1993" s="49"/>
      <c r="U1993" s="49"/>
      <c r="V1993" s="49"/>
      <c r="W1993" s="56"/>
      <c r="X1993" s="51" t="str">
        <f t="shared" si="5"/>
        <v/>
      </c>
      <c r="Y1993" s="50" t="s">
        <v>482</v>
      </c>
      <c r="Z1993" s="49">
        <f t="shared" si="6"/>
        <v>0</v>
      </c>
    </row>
    <row r="1994" ht="22.5" customHeight="1">
      <c r="B1994" s="57"/>
      <c r="C1994" s="43" t="str">
        <f t="array" ref="C1994">IF(B1994="","",_xlfn.XLOOKUP(B1994,'Form responses 1'!$B$2:$B$2604,'Form responses 1'!$A$2:$A$2604,""))</f>
        <v/>
      </c>
      <c r="D1994" s="44" t="str">
        <f t="shared" si="3"/>
        <v/>
      </c>
      <c r="E1994" s="44" t="str">
        <f t="array" ref="E1994">IF(B1994="","",_xlfn.XLOOKUP(B1994,'Form responses 1'!$B$2:$B$2604,'Form responses 1'!$C$2:$C$2604,""))</f>
        <v/>
      </c>
      <c r="F1994" s="44" t="str">
        <f t="array" ref="F1994">IF(B1994="","",_xlfn.XLOOKUP(B1994,'Form responses 1'!$B$2:$B$2604,'Form responses 1'!$D$2:$D$2604,""))</f>
        <v/>
      </c>
      <c r="G1994" s="44" t="str">
        <f t="array" ref="G1994">IF(B1994="","",_xlfn.XLOOKUP(B1994,'Form responses 1'!$B$2:$B$2604,'Form responses 1'!$E$2:$E$2604,""))</f>
        <v/>
      </c>
      <c r="H1994" s="44" t="str">
        <f t="array" ref="H1994">IF(B1994="","",_xlfn.XLOOKUP(B1994,'Form responses 1'!$B$2:$B$2604,'Form responses 1'!$F$2:$F$2604,""))</f>
        <v/>
      </c>
      <c r="I1994" s="44" t="str">
        <f t="array" ref="I1994">IF(B1994="","",_xlfn.XLOOKUP(B1994,'Form responses 1'!$B$2:$B$2604,'Form responses 1'!$I$2:$I$2604,""))</f>
        <v/>
      </c>
      <c r="J1994" s="44" t="str">
        <f t="array" ref="J1994">IF(B1994="","",_xlfn.XLOOKUP(B1994,'Form responses 1'!$B$2:$B$2604,'Form responses 1'!$G$2:$G$2604,""))</f>
        <v/>
      </c>
      <c r="K1994" s="56"/>
      <c r="L1994" s="58" t="str">
        <f t="shared" si="7"/>
        <v/>
      </c>
      <c r="M1994" s="49"/>
      <c r="N1994" s="49"/>
      <c r="O1994" s="49"/>
      <c r="P1994" s="49"/>
      <c r="Q1994" s="49"/>
      <c r="R1994" s="49"/>
      <c r="S1994" s="49"/>
      <c r="T1994" s="49"/>
      <c r="U1994" s="49"/>
      <c r="V1994" s="49"/>
      <c r="W1994" s="56"/>
      <c r="X1994" s="51" t="str">
        <f t="shared" si="5"/>
        <v/>
      </c>
      <c r="Y1994" s="50" t="s">
        <v>482</v>
      </c>
      <c r="Z1994" s="49">
        <f t="shared" si="6"/>
        <v>0</v>
      </c>
    </row>
    <row r="1995" ht="22.5" customHeight="1">
      <c r="B1995" s="57"/>
      <c r="C1995" s="43" t="str">
        <f t="array" ref="C1995">IF(B1995="","",_xlfn.XLOOKUP(B1995,'Form responses 1'!$B$2:$B$2604,'Form responses 1'!$A$2:$A$2604,""))</f>
        <v/>
      </c>
      <c r="D1995" s="44" t="str">
        <f t="shared" si="3"/>
        <v/>
      </c>
      <c r="E1995" s="44" t="str">
        <f t="array" ref="E1995">IF(B1995="","",_xlfn.XLOOKUP(B1995,'Form responses 1'!$B$2:$B$2604,'Form responses 1'!$C$2:$C$2604,""))</f>
        <v/>
      </c>
      <c r="F1995" s="44" t="str">
        <f t="array" ref="F1995">IF(B1995="","",_xlfn.XLOOKUP(B1995,'Form responses 1'!$B$2:$B$2604,'Form responses 1'!$D$2:$D$2604,""))</f>
        <v/>
      </c>
      <c r="G1995" s="44" t="str">
        <f t="array" ref="G1995">IF(B1995="","",_xlfn.XLOOKUP(B1995,'Form responses 1'!$B$2:$B$2604,'Form responses 1'!$E$2:$E$2604,""))</f>
        <v/>
      </c>
      <c r="H1995" s="44" t="str">
        <f t="array" ref="H1995">IF(B1995="","",_xlfn.XLOOKUP(B1995,'Form responses 1'!$B$2:$B$2604,'Form responses 1'!$F$2:$F$2604,""))</f>
        <v/>
      </c>
      <c r="I1995" s="44" t="str">
        <f t="array" ref="I1995">IF(B1995="","",_xlfn.XLOOKUP(B1995,'Form responses 1'!$B$2:$B$2604,'Form responses 1'!$I$2:$I$2604,""))</f>
        <v/>
      </c>
      <c r="J1995" s="44" t="str">
        <f t="array" ref="J1995">IF(B1995="","",_xlfn.XLOOKUP(B1995,'Form responses 1'!$B$2:$B$2604,'Form responses 1'!$G$2:$G$2604,""))</f>
        <v/>
      </c>
      <c r="K1995" s="56"/>
      <c r="L1995" s="58" t="str">
        <f t="shared" si="7"/>
        <v/>
      </c>
      <c r="M1995" s="49"/>
      <c r="N1995" s="49"/>
      <c r="O1995" s="49"/>
      <c r="P1995" s="49"/>
      <c r="Q1995" s="49"/>
      <c r="R1995" s="49"/>
      <c r="S1995" s="49"/>
      <c r="T1995" s="49"/>
      <c r="U1995" s="49"/>
      <c r="V1995" s="49"/>
      <c r="W1995" s="56"/>
      <c r="X1995" s="51" t="str">
        <f t="shared" si="5"/>
        <v/>
      </c>
      <c r="Y1995" s="50" t="s">
        <v>482</v>
      </c>
      <c r="Z1995" s="49">
        <f t="shared" si="6"/>
        <v>0</v>
      </c>
    </row>
    <row r="1996" ht="22.5" customHeight="1">
      <c r="B1996" s="57"/>
      <c r="C1996" s="43" t="str">
        <f t="array" ref="C1996">IF(B1996="","",_xlfn.XLOOKUP(B1996,'Form responses 1'!$B$2:$B$2604,'Form responses 1'!$A$2:$A$2604,""))</f>
        <v/>
      </c>
      <c r="D1996" s="44" t="str">
        <f t="shared" si="3"/>
        <v/>
      </c>
      <c r="E1996" s="44" t="str">
        <f t="array" ref="E1996">IF(B1996="","",_xlfn.XLOOKUP(B1996,'Form responses 1'!$B$2:$B$2604,'Form responses 1'!$C$2:$C$2604,""))</f>
        <v/>
      </c>
      <c r="F1996" s="44" t="str">
        <f t="array" ref="F1996">IF(B1996="","",_xlfn.XLOOKUP(B1996,'Form responses 1'!$B$2:$B$2604,'Form responses 1'!$D$2:$D$2604,""))</f>
        <v/>
      </c>
      <c r="G1996" s="44" t="str">
        <f t="array" ref="G1996">IF(B1996="","",_xlfn.XLOOKUP(B1996,'Form responses 1'!$B$2:$B$2604,'Form responses 1'!$E$2:$E$2604,""))</f>
        <v/>
      </c>
      <c r="H1996" s="44" t="str">
        <f t="array" ref="H1996">IF(B1996="","",_xlfn.XLOOKUP(B1996,'Form responses 1'!$B$2:$B$2604,'Form responses 1'!$F$2:$F$2604,""))</f>
        <v/>
      </c>
      <c r="I1996" s="44" t="str">
        <f t="array" ref="I1996">IF(B1996="","",_xlfn.XLOOKUP(B1996,'Form responses 1'!$B$2:$B$2604,'Form responses 1'!$I$2:$I$2604,""))</f>
        <v/>
      </c>
      <c r="J1996" s="44" t="str">
        <f t="array" ref="J1996">IF(B1996="","",_xlfn.XLOOKUP(B1996,'Form responses 1'!$B$2:$B$2604,'Form responses 1'!$G$2:$G$2604,""))</f>
        <v/>
      </c>
      <c r="K1996" s="56"/>
      <c r="L1996" s="58" t="str">
        <f t="shared" si="7"/>
        <v/>
      </c>
      <c r="M1996" s="49"/>
      <c r="N1996" s="49"/>
      <c r="O1996" s="49"/>
      <c r="P1996" s="49"/>
      <c r="Q1996" s="49"/>
      <c r="R1996" s="49"/>
      <c r="S1996" s="49"/>
      <c r="T1996" s="49"/>
      <c r="U1996" s="49"/>
      <c r="V1996" s="49"/>
      <c r="W1996" s="56"/>
      <c r="X1996" s="51" t="str">
        <f t="shared" si="5"/>
        <v/>
      </c>
      <c r="Y1996" s="50" t="s">
        <v>482</v>
      </c>
      <c r="Z1996" s="49">
        <f t="shared" si="6"/>
        <v>0</v>
      </c>
    </row>
    <row r="1997" ht="22.5" customHeight="1">
      <c r="B1997" s="57"/>
      <c r="C1997" s="43" t="str">
        <f t="array" ref="C1997">IF(B1997="","",_xlfn.XLOOKUP(B1997,'Form responses 1'!$B$2:$B$2604,'Form responses 1'!$A$2:$A$2604,""))</f>
        <v/>
      </c>
      <c r="D1997" s="44" t="str">
        <f t="shared" si="3"/>
        <v/>
      </c>
      <c r="E1997" s="44" t="str">
        <f t="array" ref="E1997">IF(B1997="","",_xlfn.XLOOKUP(B1997,'Form responses 1'!$B$2:$B$2604,'Form responses 1'!$C$2:$C$2604,""))</f>
        <v/>
      </c>
      <c r="F1997" s="44" t="str">
        <f t="array" ref="F1997">IF(B1997="","",_xlfn.XLOOKUP(B1997,'Form responses 1'!$B$2:$B$2604,'Form responses 1'!$D$2:$D$2604,""))</f>
        <v/>
      </c>
      <c r="G1997" s="44" t="str">
        <f t="array" ref="G1997">IF(B1997="","",_xlfn.XLOOKUP(B1997,'Form responses 1'!$B$2:$B$2604,'Form responses 1'!$E$2:$E$2604,""))</f>
        <v/>
      </c>
      <c r="H1997" s="44" t="str">
        <f t="array" ref="H1997">IF(B1997="","",_xlfn.XLOOKUP(B1997,'Form responses 1'!$B$2:$B$2604,'Form responses 1'!$F$2:$F$2604,""))</f>
        <v/>
      </c>
      <c r="I1997" s="44" t="str">
        <f t="array" ref="I1997">IF(B1997="","",_xlfn.XLOOKUP(B1997,'Form responses 1'!$B$2:$B$2604,'Form responses 1'!$I$2:$I$2604,""))</f>
        <v/>
      </c>
      <c r="J1997" s="44" t="str">
        <f t="array" ref="J1997">IF(B1997="","",_xlfn.XLOOKUP(B1997,'Form responses 1'!$B$2:$B$2604,'Form responses 1'!$G$2:$G$2604,""))</f>
        <v/>
      </c>
      <c r="K1997" s="56"/>
      <c r="L1997" s="58" t="str">
        <f t="shared" si="7"/>
        <v/>
      </c>
      <c r="M1997" s="49"/>
      <c r="N1997" s="49"/>
      <c r="O1997" s="49"/>
      <c r="P1997" s="49"/>
      <c r="Q1997" s="49"/>
      <c r="R1997" s="49"/>
      <c r="S1997" s="49"/>
      <c r="T1997" s="49"/>
      <c r="U1997" s="49"/>
      <c r="V1997" s="49"/>
      <c r="W1997" s="56"/>
      <c r="X1997" s="51" t="str">
        <f t="shared" si="5"/>
        <v/>
      </c>
      <c r="Y1997" s="50" t="s">
        <v>482</v>
      </c>
      <c r="Z1997" s="49">
        <f t="shared" si="6"/>
        <v>0</v>
      </c>
    </row>
    <row r="1998" ht="22.5" customHeight="1">
      <c r="B1998" s="57"/>
      <c r="C1998" s="43" t="str">
        <f t="array" ref="C1998">IF(B1998="","",_xlfn.XLOOKUP(B1998,'Form responses 1'!$B$2:$B$2604,'Form responses 1'!$A$2:$A$2604,""))</f>
        <v/>
      </c>
      <c r="D1998" s="44" t="str">
        <f t="shared" si="3"/>
        <v/>
      </c>
      <c r="E1998" s="44" t="str">
        <f t="array" ref="E1998">IF(B1998="","",_xlfn.XLOOKUP(B1998,'Form responses 1'!$B$2:$B$2604,'Form responses 1'!$C$2:$C$2604,""))</f>
        <v/>
      </c>
      <c r="F1998" s="44" t="str">
        <f t="array" ref="F1998">IF(B1998="","",_xlfn.XLOOKUP(B1998,'Form responses 1'!$B$2:$B$2604,'Form responses 1'!$D$2:$D$2604,""))</f>
        <v/>
      </c>
      <c r="G1998" s="44" t="str">
        <f t="array" ref="G1998">IF(B1998="","",_xlfn.XLOOKUP(B1998,'Form responses 1'!$B$2:$B$2604,'Form responses 1'!$E$2:$E$2604,""))</f>
        <v/>
      </c>
      <c r="H1998" s="44" t="str">
        <f t="array" ref="H1998">IF(B1998="","",_xlfn.XLOOKUP(B1998,'Form responses 1'!$B$2:$B$2604,'Form responses 1'!$F$2:$F$2604,""))</f>
        <v/>
      </c>
      <c r="I1998" s="44" t="str">
        <f t="array" ref="I1998">IF(B1998="","",_xlfn.XLOOKUP(B1998,'Form responses 1'!$B$2:$B$2604,'Form responses 1'!$I$2:$I$2604,""))</f>
        <v/>
      </c>
      <c r="J1998" s="44" t="str">
        <f t="array" ref="J1998">IF(B1998="","",_xlfn.XLOOKUP(B1998,'Form responses 1'!$B$2:$B$2604,'Form responses 1'!$G$2:$G$2604,""))</f>
        <v/>
      </c>
      <c r="K1998" s="56"/>
      <c r="L1998" s="58" t="str">
        <f t="shared" si="7"/>
        <v/>
      </c>
      <c r="M1998" s="49"/>
      <c r="N1998" s="49"/>
      <c r="O1998" s="49"/>
      <c r="P1998" s="49"/>
      <c r="Q1998" s="49"/>
      <c r="R1998" s="49"/>
      <c r="S1998" s="49"/>
      <c r="T1998" s="49"/>
      <c r="U1998" s="49"/>
      <c r="V1998" s="49"/>
      <c r="W1998" s="56"/>
      <c r="X1998" s="51" t="str">
        <f t="shared" si="5"/>
        <v/>
      </c>
      <c r="Y1998" s="50" t="s">
        <v>482</v>
      </c>
      <c r="Z1998" s="49">
        <f t="shared" si="6"/>
        <v>0</v>
      </c>
    </row>
    <row r="1999" ht="22.5" customHeight="1">
      <c r="B1999" s="57"/>
      <c r="C1999" s="43" t="str">
        <f t="array" ref="C1999">IF(B1999="","",_xlfn.XLOOKUP(B1999,'Form responses 1'!$B$2:$B$2604,'Form responses 1'!$A$2:$A$2604,""))</f>
        <v/>
      </c>
      <c r="D1999" s="44" t="str">
        <f t="shared" si="3"/>
        <v/>
      </c>
      <c r="E1999" s="44" t="str">
        <f t="array" ref="E1999">IF(B1999="","",_xlfn.XLOOKUP(B1999,'Form responses 1'!$B$2:$B$2604,'Form responses 1'!$C$2:$C$2604,""))</f>
        <v/>
      </c>
      <c r="F1999" s="44" t="str">
        <f t="array" ref="F1999">IF(B1999="","",_xlfn.XLOOKUP(B1999,'Form responses 1'!$B$2:$B$2604,'Form responses 1'!$D$2:$D$2604,""))</f>
        <v/>
      </c>
      <c r="G1999" s="44" t="str">
        <f t="array" ref="G1999">IF(B1999="","",_xlfn.XLOOKUP(B1999,'Form responses 1'!$B$2:$B$2604,'Form responses 1'!$E$2:$E$2604,""))</f>
        <v/>
      </c>
      <c r="H1999" s="44" t="str">
        <f t="array" ref="H1999">IF(B1999="","",_xlfn.XLOOKUP(B1999,'Form responses 1'!$B$2:$B$2604,'Form responses 1'!$F$2:$F$2604,""))</f>
        <v/>
      </c>
      <c r="I1999" s="44" t="str">
        <f t="array" ref="I1999">IF(B1999="","",_xlfn.XLOOKUP(B1999,'Form responses 1'!$B$2:$B$2604,'Form responses 1'!$I$2:$I$2604,""))</f>
        <v/>
      </c>
      <c r="J1999" s="44" t="str">
        <f t="array" ref="J1999">IF(B1999="","",_xlfn.XLOOKUP(B1999,'Form responses 1'!$B$2:$B$2604,'Form responses 1'!$G$2:$G$2604,""))</f>
        <v/>
      </c>
      <c r="K1999" s="56"/>
      <c r="L1999" s="58" t="str">
        <f t="shared" si="7"/>
        <v/>
      </c>
      <c r="M1999" s="49"/>
      <c r="N1999" s="49"/>
      <c r="O1999" s="49"/>
      <c r="P1999" s="49"/>
      <c r="Q1999" s="49"/>
      <c r="R1999" s="49"/>
      <c r="S1999" s="49"/>
      <c r="T1999" s="49"/>
      <c r="U1999" s="49"/>
      <c r="V1999" s="49"/>
      <c r="W1999" s="56"/>
      <c r="X1999" s="51" t="str">
        <f t="shared" si="5"/>
        <v/>
      </c>
      <c r="Y1999" s="50" t="s">
        <v>482</v>
      </c>
      <c r="Z1999" s="49">
        <f t="shared" si="6"/>
        <v>0</v>
      </c>
    </row>
    <row r="2000" ht="22.5" customHeight="1">
      <c r="B2000" s="57"/>
      <c r="C2000" s="43" t="str">
        <f t="array" ref="C2000">IF(B2000="","",_xlfn.XLOOKUP(B2000,'Form responses 1'!$B$2:$B$2604,'Form responses 1'!$A$2:$A$2604,""))</f>
        <v/>
      </c>
      <c r="D2000" s="44" t="str">
        <f t="shared" si="3"/>
        <v/>
      </c>
      <c r="E2000" s="44" t="str">
        <f t="array" ref="E2000">IF(B2000="","",_xlfn.XLOOKUP(B2000,'Form responses 1'!$B$2:$B$2604,'Form responses 1'!$C$2:$C$2604,""))</f>
        <v/>
      </c>
      <c r="F2000" s="44" t="str">
        <f t="array" ref="F2000">IF(B2000="","",_xlfn.XLOOKUP(B2000,'Form responses 1'!$B$2:$B$2604,'Form responses 1'!$D$2:$D$2604,""))</f>
        <v/>
      </c>
      <c r="G2000" s="44" t="str">
        <f t="array" ref="G2000">IF(B2000="","",_xlfn.XLOOKUP(B2000,'Form responses 1'!$B$2:$B$2604,'Form responses 1'!$E$2:$E$2604,""))</f>
        <v/>
      </c>
      <c r="H2000" s="44" t="str">
        <f t="array" ref="H2000">IF(B2000="","",_xlfn.XLOOKUP(B2000,'Form responses 1'!$B$2:$B$2604,'Form responses 1'!$F$2:$F$2604,""))</f>
        <v/>
      </c>
      <c r="I2000" s="44" t="str">
        <f t="array" ref="I2000">IF(B2000="","",_xlfn.XLOOKUP(B2000,'Form responses 1'!$B$2:$B$2604,'Form responses 1'!$I$2:$I$2604,""))</f>
        <v/>
      </c>
      <c r="J2000" s="44" t="str">
        <f t="array" ref="J2000">IF(B2000="","",_xlfn.XLOOKUP(B2000,'Form responses 1'!$B$2:$B$2604,'Form responses 1'!$G$2:$G$2604,""))</f>
        <v/>
      </c>
      <c r="K2000" s="56"/>
      <c r="L2000" s="58" t="str">
        <f t="shared" si="7"/>
        <v/>
      </c>
      <c r="M2000" s="49"/>
      <c r="N2000" s="49"/>
      <c r="O2000" s="49"/>
      <c r="P2000" s="49"/>
      <c r="Q2000" s="49"/>
      <c r="R2000" s="49"/>
      <c r="S2000" s="49"/>
      <c r="T2000" s="49"/>
      <c r="U2000" s="49"/>
      <c r="V2000" s="49"/>
      <c r="W2000" s="56"/>
      <c r="X2000" s="51" t="str">
        <f t="shared" si="5"/>
        <v/>
      </c>
      <c r="Y2000" s="50" t="s">
        <v>482</v>
      </c>
      <c r="Z2000" s="49">
        <f t="shared" si="6"/>
        <v>0</v>
      </c>
    </row>
    <row r="2001" ht="22.5" customHeight="1">
      <c r="B2001" s="57"/>
      <c r="C2001" s="43" t="str">
        <f t="array" ref="C2001">IF(B2001="","",_xlfn.XLOOKUP(B2001,'Form responses 1'!$B$2:$B$2604,'Form responses 1'!$A$2:$A$2604,""))</f>
        <v/>
      </c>
      <c r="D2001" s="44" t="str">
        <f t="shared" si="3"/>
        <v/>
      </c>
      <c r="E2001" s="44" t="str">
        <f t="array" ref="E2001">IF(B2001="","",_xlfn.XLOOKUP(B2001,'Form responses 1'!$B$2:$B$2604,'Form responses 1'!$C$2:$C$2604,""))</f>
        <v/>
      </c>
      <c r="F2001" s="44" t="str">
        <f t="array" ref="F2001">IF(B2001="","",_xlfn.XLOOKUP(B2001,'Form responses 1'!$B$2:$B$2604,'Form responses 1'!$D$2:$D$2604,""))</f>
        <v/>
      </c>
      <c r="G2001" s="44" t="str">
        <f t="array" ref="G2001">IF(B2001="","",_xlfn.XLOOKUP(B2001,'Form responses 1'!$B$2:$B$2604,'Form responses 1'!$E$2:$E$2604,""))</f>
        <v/>
      </c>
      <c r="H2001" s="44" t="str">
        <f t="array" ref="H2001">IF(B2001="","",_xlfn.XLOOKUP(B2001,'Form responses 1'!$B$2:$B$2604,'Form responses 1'!$F$2:$F$2604,""))</f>
        <v/>
      </c>
      <c r="I2001" s="44" t="str">
        <f t="array" ref="I2001">IF(B2001="","",_xlfn.XLOOKUP(B2001,'Form responses 1'!$B$2:$B$2604,'Form responses 1'!$I$2:$I$2604,""))</f>
        <v/>
      </c>
      <c r="J2001" s="44" t="str">
        <f t="array" ref="J2001">IF(B2001="","",_xlfn.XLOOKUP(B2001,'Form responses 1'!$B$2:$B$2604,'Form responses 1'!$G$2:$G$2604,""))</f>
        <v/>
      </c>
      <c r="K2001" s="56"/>
      <c r="L2001" s="58" t="str">
        <f t="shared" si="7"/>
        <v/>
      </c>
      <c r="M2001" s="49"/>
      <c r="N2001" s="49"/>
      <c r="O2001" s="49"/>
      <c r="P2001" s="49"/>
      <c r="Q2001" s="49"/>
      <c r="R2001" s="49"/>
      <c r="S2001" s="49"/>
      <c r="T2001" s="49"/>
      <c r="U2001" s="49"/>
      <c r="V2001" s="49"/>
      <c r="W2001" s="56"/>
      <c r="X2001" s="51" t="str">
        <f t="shared" si="5"/>
        <v/>
      </c>
      <c r="Y2001" s="50" t="s">
        <v>482</v>
      </c>
      <c r="Z2001" s="49">
        <f t="shared" si="6"/>
        <v>0</v>
      </c>
    </row>
    <row r="2002" ht="22.5" customHeight="1">
      <c r="B2002" s="57"/>
      <c r="C2002" s="43" t="str">
        <f t="array" ref="C2002">IF(B2002="","",_xlfn.XLOOKUP(B2002,'Form responses 1'!$B$2:$B$2604,'Form responses 1'!$A$2:$A$2604,""))</f>
        <v/>
      </c>
      <c r="D2002" s="44" t="str">
        <f t="shared" si="3"/>
        <v/>
      </c>
      <c r="E2002" s="44" t="str">
        <f t="array" ref="E2002">IF(B2002="","",_xlfn.XLOOKUP(B2002,'Form responses 1'!$B$2:$B$2604,'Form responses 1'!$C$2:$C$2604,""))</f>
        <v/>
      </c>
      <c r="F2002" s="44" t="str">
        <f t="array" ref="F2002">IF(B2002="","",_xlfn.XLOOKUP(B2002,'Form responses 1'!$B$2:$B$2604,'Form responses 1'!$D$2:$D$2604,""))</f>
        <v/>
      </c>
      <c r="G2002" s="44" t="str">
        <f t="array" ref="G2002">IF(B2002="","",_xlfn.XLOOKUP(B2002,'Form responses 1'!$B$2:$B$2604,'Form responses 1'!$E$2:$E$2604,""))</f>
        <v/>
      </c>
      <c r="H2002" s="44" t="str">
        <f t="array" ref="H2002">IF(B2002="","",_xlfn.XLOOKUP(B2002,'Form responses 1'!$B$2:$B$2604,'Form responses 1'!$F$2:$F$2604,""))</f>
        <v/>
      </c>
      <c r="I2002" s="44" t="str">
        <f t="array" ref="I2002">IF(B2002="","",_xlfn.XLOOKUP(B2002,'Form responses 1'!$B$2:$B$2604,'Form responses 1'!$I$2:$I$2604,""))</f>
        <v/>
      </c>
      <c r="J2002" s="44" t="str">
        <f t="array" ref="J2002">IF(B2002="","",_xlfn.XLOOKUP(B2002,'Form responses 1'!$B$2:$B$2604,'Form responses 1'!$G$2:$G$2604,""))</f>
        <v/>
      </c>
      <c r="K2002" s="56"/>
      <c r="L2002" s="58" t="str">
        <f t="shared" si="7"/>
        <v/>
      </c>
      <c r="M2002" s="49"/>
      <c r="N2002" s="49"/>
      <c r="O2002" s="49"/>
      <c r="P2002" s="49"/>
      <c r="Q2002" s="49"/>
      <c r="R2002" s="49"/>
      <c r="S2002" s="49"/>
      <c r="T2002" s="49"/>
      <c r="U2002" s="49"/>
      <c r="V2002" s="49"/>
      <c r="W2002" s="56"/>
      <c r="X2002" s="51" t="str">
        <f t="shared" si="5"/>
        <v/>
      </c>
      <c r="Y2002" s="50" t="s">
        <v>482</v>
      </c>
      <c r="Z2002" s="49">
        <f t="shared" si="6"/>
        <v>0</v>
      </c>
    </row>
    <row r="2003" ht="22.5" customHeight="1">
      <c r="B2003" s="57"/>
      <c r="C2003" s="43" t="str">
        <f t="array" ref="C2003">IF(B2003="","",_xlfn.XLOOKUP(B2003,'Form responses 1'!$B$2:$B$2604,'Form responses 1'!$A$2:$A$2604,""))</f>
        <v/>
      </c>
      <c r="D2003" s="44" t="str">
        <f t="shared" si="3"/>
        <v/>
      </c>
      <c r="E2003" s="44" t="str">
        <f t="array" ref="E2003">IF(B2003="","",_xlfn.XLOOKUP(B2003,'Form responses 1'!$B$2:$B$2604,'Form responses 1'!$C$2:$C$2604,""))</f>
        <v/>
      </c>
      <c r="F2003" s="44" t="str">
        <f t="array" ref="F2003">IF(B2003="","",_xlfn.XLOOKUP(B2003,'Form responses 1'!$B$2:$B$2604,'Form responses 1'!$D$2:$D$2604,""))</f>
        <v/>
      </c>
      <c r="G2003" s="44" t="str">
        <f t="array" ref="G2003">IF(B2003="","",_xlfn.XLOOKUP(B2003,'Form responses 1'!$B$2:$B$2604,'Form responses 1'!$E$2:$E$2604,""))</f>
        <v/>
      </c>
      <c r="H2003" s="44" t="str">
        <f t="array" ref="H2003">IF(B2003="","",_xlfn.XLOOKUP(B2003,'Form responses 1'!$B$2:$B$2604,'Form responses 1'!$F$2:$F$2604,""))</f>
        <v/>
      </c>
      <c r="I2003" s="44" t="str">
        <f t="array" ref="I2003">IF(B2003="","",_xlfn.XLOOKUP(B2003,'Form responses 1'!$B$2:$B$2604,'Form responses 1'!$I$2:$I$2604,""))</f>
        <v/>
      </c>
      <c r="J2003" s="44" t="str">
        <f t="array" ref="J2003">IF(B2003="","",_xlfn.XLOOKUP(B2003,'Form responses 1'!$B$2:$B$2604,'Form responses 1'!$G$2:$G$2604,""))</f>
        <v/>
      </c>
      <c r="K2003" s="56"/>
      <c r="L2003" s="58" t="str">
        <f t="shared" si="7"/>
        <v/>
      </c>
      <c r="M2003" s="49"/>
      <c r="N2003" s="49"/>
      <c r="O2003" s="49"/>
      <c r="P2003" s="49"/>
      <c r="Q2003" s="49"/>
      <c r="R2003" s="49"/>
      <c r="S2003" s="49"/>
      <c r="T2003" s="49"/>
      <c r="U2003" s="49"/>
      <c r="V2003" s="49"/>
      <c r="W2003" s="56"/>
      <c r="X2003" s="51" t="str">
        <f t="shared" si="5"/>
        <v/>
      </c>
      <c r="Y2003" s="50" t="s">
        <v>482</v>
      </c>
      <c r="Z2003" s="49">
        <f t="shared" si="6"/>
        <v>0</v>
      </c>
    </row>
    <row r="2004" ht="22.5" customHeight="1">
      <c r="B2004" s="57"/>
      <c r="C2004" s="43" t="str">
        <f t="array" ref="C2004">IF(B2004="","",_xlfn.XLOOKUP(B2004,'Form responses 1'!$B$2:$B$2604,'Form responses 1'!$A$2:$A$2604,""))</f>
        <v/>
      </c>
      <c r="D2004" s="44" t="str">
        <f t="shared" si="3"/>
        <v/>
      </c>
      <c r="E2004" s="44" t="str">
        <f t="array" ref="E2004">IF(B2004="","",_xlfn.XLOOKUP(B2004,'Form responses 1'!$B$2:$B$2604,'Form responses 1'!$C$2:$C$2604,""))</f>
        <v/>
      </c>
      <c r="F2004" s="44" t="str">
        <f t="array" ref="F2004">IF(B2004="","",_xlfn.XLOOKUP(B2004,'Form responses 1'!$B$2:$B$2604,'Form responses 1'!$D$2:$D$2604,""))</f>
        <v/>
      </c>
      <c r="G2004" s="44" t="str">
        <f t="array" ref="G2004">IF(B2004="","",_xlfn.XLOOKUP(B2004,'Form responses 1'!$B$2:$B$2604,'Form responses 1'!$E$2:$E$2604,""))</f>
        <v/>
      </c>
      <c r="H2004" s="44" t="str">
        <f t="array" ref="H2004">IF(B2004="","",_xlfn.XLOOKUP(B2004,'Form responses 1'!$B$2:$B$2604,'Form responses 1'!$F$2:$F$2604,""))</f>
        <v/>
      </c>
      <c r="I2004" s="44" t="str">
        <f t="array" ref="I2004">IF(B2004="","",_xlfn.XLOOKUP(B2004,'Form responses 1'!$B$2:$B$2604,'Form responses 1'!$I$2:$I$2604,""))</f>
        <v/>
      </c>
      <c r="J2004" s="44" t="str">
        <f t="array" ref="J2004">IF(B2004="","",_xlfn.XLOOKUP(B2004,'Form responses 1'!$B$2:$B$2604,'Form responses 1'!$G$2:$G$2604,""))</f>
        <v/>
      </c>
      <c r="K2004" s="56"/>
      <c r="L2004" s="58" t="str">
        <f t="shared" si="7"/>
        <v/>
      </c>
      <c r="M2004" s="49"/>
      <c r="N2004" s="49"/>
      <c r="O2004" s="49"/>
      <c r="P2004" s="49"/>
      <c r="Q2004" s="49"/>
      <c r="R2004" s="49"/>
      <c r="S2004" s="49"/>
      <c r="T2004" s="49"/>
      <c r="U2004" s="49"/>
      <c r="V2004" s="49"/>
      <c r="W2004" s="56"/>
      <c r="X2004" s="51" t="str">
        <f t="shared" si="5"/>
        <v/>
      </c>
      <c r="Y2004" s="50" t="s">
        <v>482</v>
      </c>
      <c r="Z2004" s="49">
        <f t="shared" si="6"/>
        <v>0</v>
      </c>
    </row>
    <row r="2005" ht="22.5" customHeight="1">
      <c r="B2005" s="57"/>
      <c r="C2005" s="43" t="str">
        <f t="array" ref="C2005">IF(B2005="","",_xlfn.XLOOKUP(B2005,'Form responses 1'!$B$2:$B$2604,'Form responses 1'!$A$2:$A$2604,""))</f>
        <v/>
      </c>
      <c r="D2005" s="44" t="str">
        <f t="shared" si="3"/>
        <v/>
      </c>
      <c r="E2005" s="44" t="str">
        <f t="array" ref="E2005">IF(B2005="","",_xlfn.XLOOKUP(B2005,'Form responses 1'!$B$2:$B$2604,'Form responses 1'!$C$2:$C$2604,""))</f>
        <v/>
      </c>
      <c r="F2005" s="44" t="str">
        <f t="array" ref="F2005">IF(B2005="","",_xlfn.XLOOKUP(B2005,'Form responses 1'!$B$2:$B$2604,'Form responses 1'!$D$2:$D$2604,""))</f>
        <v/>
      </c>
      <c r="G2005" s="44" t="str">
        <f t="array" ref="G2005">IF(B2005="","",_xlfn.XLOOKUP(B2005,'Form responses 1'!$B$2:$B$2604,'Form responses 1'!$E$2:$E$2604,""))</f>
        <v/>
      </c>
      <c r="H2005" s="44" t="str">
        <f t="array" ref="H2005">IF(B2005="","",_xlfn.XLOOKUP(B2005,'Form responses 1'!$B$2:$B$2604,'Form responses 1'!$F$2:$F$2604,""))</f>
        <v/>
      </c>
      <c r="I2005" s="44" t="str">
        <f t="array" ref="I2005">IF(B2005="","",_xlfn.XLOOKUP(B2005,'Form responses 1'!$B$2:$B$2604,'Form responses 1'!$I$2:$I$2604,""))</f>
        <v/>
      </c>
      <c r="J2005" s="44" t="str">
        <f t="array" ref="J2005">IF(B2005="","",_xlfn.XLOOKUP(B2005,'Form responses 1'!$B$2:$B$2604,'Form responses 1'!$G$2:$G$2604,""))</f>
        <v/>
      </c>
      <c r="K2005" s="56"/>
      <c r="L2005" s="58" t="str">
        <f t="shared" si="7"/>
        <v/>
      </c>
      <c r="M2005" s="49"/>
      <c r="N2005" s="49"/>
      <c r="O2005" s="49"/>
      <c r="P2005" s="49"/>
      <c r="Q2005" s="49"/>
      <c r="R2005" s="49"/>
      <c r="S2005" s="49"/>
      <c r="T2005" s="49"/>
      <c r="U2005" s="49"/>
      <c r="V2005" s="49"/>
      <c r="W2005" s="56"/>
      <c r="X2005" s="51" t="str">
        <f t="shared" si="5"/>
        <v/>
      </c>
      <c r="Y2005" s="50" t="s">
        <v>482</v>
      </c>
      <c r="Z2005" s="49">
        <f t="shared" si="6"/>
        <v>0</v>
      </c>
    </row>
    <row r="2006" ht="22.5" customHeight="1">
      <c r="B2006" s="57"/>
      <c r="C2006" s="43" t="str">
        <f t="array" ref="C2006">IF(B2006="","",_xlfn.XLOOKUP(B2006,'Form responses 1'!$B$2:$B$2604,'Form responses 1'!$A$2:$A$2604,""))</f>
        <v/>
      </c>
      <c r="D2006" s="44" t="str">
        <f t="shared" si="3"/>
        <v/>
      </c>
      <c r="E2006" s="44" t="str">
        <f t="array" ref="E2006">IF(B2006="","",_xlfn.XLOOKUP(B2006,'Form responses 1'!$B$2:$B$2604,'Form responses 1'!$C$2:$C$2604,""))</f>
        <v/>
      </c>
      <c r="F2006" s="44" t="str">
        <f t="array" ref="F2006">IF(B2006="","",_xlfn.XLOOKUP(B2006,'Form responses 1'!$B$2:$B$2604,'Form responses 1'!$D$2:$D$2604,""))</f>
        <v/>
      </c>
      <c r="G2006" s="44" t="str">
        <f t="array" ref="G2006">IF(B2006="","",_xlfn.XLOOKUP(B2006,'Form responses 1'!$B$2:$B$2604,'Form responses 1'!$E$2:$E$2604,""))</f>
        <v/>
      </c>
      <c r="H2006" s="44" t="str">
        <f t="array" ref="H2006">IF(B2006="","",_xlfn.XLOOKUP(B2006,'Form responses 1'!$B$2:$B$2604,'Form responses 1'!$F$2:$F$2604,""))</f>
        <v/>
      </c>
      <c r="I2006" s="44" t="str">
        <f t="array" ref="I2006">IF(B2006="","",_xlfn.XLOOKUP(B2006,'Form responses 1'!$B$2:$B$2604,'Form responses 1'!$I$2:$I$2604,""))</f>
        <v/>
      </c>
      <c r="J2006" s="44" t="str">
        <f t="array" ref="J2006">IF(B2006="","",_xlfn.XLOOKUP(B2006,'Form responses 1'!$B$2:$B$2604,'Form responses 1'!$G$2:$G$2604,""))</f>
        <v/>
      </c>
      <c r="K2006" s="56"/>
      <c r="L2006" s="58" t="str">
        <f t="shared" si="7"/>
        <v/>
      </c>
      <c r="M2006" s="49"/>
      <c r="N2006" s="49"/>
      <c r="O2006" s="49"/>
      <c r="P2006" s="49"/>
      <c r="Q2006" s="49"/>
      <c r="R2006" s="49"/>
      <c r="S2006" s="49"/>
      <c r="T2006" s="49"/>
      <c r="U2006" s="49"/>
      <c r="V2006" s="49"/>
      <c r="W2006" s="56"/>
      <c r="X2006" s="51" t="str">
        <f t="shared" si="5"/>
        <v/>
      </c>
      <c r="Y2006" s="50" t="s">
        <v>482</v>
      </c>
      <c r="Z2006" s="49">
        <f t="shared" si="6"/>
        <v>0</v>
      </c>
    </row>
    <row r="2007" ht="22.5" customHeight="1">
      <c r="B2007" s="57"/>
      <c r="C2007" s="43" t="str">
        <f t="array" ref="C2007">IF(B2007="","",_xlfn.XLOOKUP(B2007,'Form responses 1'!$B$2:$B$2604,'Form responses 1'!$A$2:$A$2604,""))</f>
        <v/>
      </c>
      <c r="D2007" s="44" t="str">
        <f t="shared" si="3"/>
        <v/>
      </c>
      <c r="E2007" s="44" t="str">
        <f t="array" ref="E2007">IF(B2007="","",_xlfn.XLOOKUP(B2007,'Form responses 1'!$B$2:$B$2604,'Form responses 1'!$C$2:$C$2604,""))</f>
        <v/>
      </c>
      <c r="F2007" s="44" t="str">
        <f t="array" ref="F2007">IF(B2007="","",_xlfn.XLOOKUP(B2007,'Form responses 1'!$B$2:$B$2604,'Form responses 1'!$D$2:$D$2604,""))</f>
        <v/>
      </c>
      <c r="G2007" s="44" t="str">
        <f t="array" ref="G2007">IF(B2007="","",_xlfn.XLOOKUP(B2007,'Form responses 1'!$B$2:$B$2604,'Form responses 1'!$E$2:$E$2604,""))</f>
        <v/>
      </c>
      <c r="H2007" s="44" t="str">
        <f t="array" ref="H2007">IF(B2007="","",_xlfn.XLOOKUP(B2007,'Form responses 1'!$B$2:$B$2604,'Form responses 1'!$F$2:$F$2604,""))</f>
        <v/>
      </c>
      <c r="I2007" s="44" t="str">
        <f t="array" ref="I2007">IF(B2007="","",_xlfn.XLOOKUP(B2007,'Form responses 1'!$B$2:$B$2604,'Form responses 1'!$I$2:$I$2604,""))</f>
        <v/>
      </c>
      <c r="J2007" s="44" t="str">
        <f t="array" ref="J2007">IF(B2007="","",_xlfn.XLOOKUP(B2007,'Form responses 1'!$B$2:$B$2604,'Form responses 1'!$G$2:$G$2604,""))</f>
        <v/>
      </c>
      <c r="K2007" s="56"/>
      <c r="L2007" s="58" t="str">
        <f t="shared" si="7"/>
        <v/>
      </c>
      <c r="M2007" s="49"/>
      <c r="N2007" s="49"/>
      <c r="O2007" s="49"/>
      <c r="P2007" s="49"/>
      <c r="Q2007" s="49"/>
      <c r="R2007" s="49"/>
      <c r="S2007" s="49"/>
      <c r="T2007" s="49"/>
      <c r="U2007" s="49"/>
      <c r="V2007" s="49"/>
      <c r="W2007" s="56"/>
      <c r="X2007" s="51" t="str">
        <f t="shared" si="5"/>
        <v/>
      </c>
      <c r="Y2007" s="50" t="s">
        <v>482</v>
      </c>
      <c r="Z2007" s="49">
        <f t="shared" si="6"/>
        <v>0</v>
      </c>
    </row>
    <row r="2008" ht="22.5" customHeight="1">
      <c r="B2008" s="57"/>
      <c r="C2008" s="43" t="str">
        <f t="array" ref="C2008">IF(B2008="","",_xlfn.XLOOKUP(B2008,'Form responses 1'!$B$2:$B$2604,'Form responses 1'!$A$2:$A$2604,""))</f>
        <v/>
      </c>
      <c r="D2008" s="44" t="str">
        <f t="shared" si="3"/>
        <v/>
      </c>
      <c r="E2008" s="44" t="str">
        <f t="array" ref="E2008">IF(B2008="","",_xlfn.XLOOKUP(B2008,'Form responses 1'!$B$2:$B$2604,'Form responses 1'!$C$2:$C$2604,""))</f>
        <v/>
      </c>
      <c r="F2008" s="44" t="str">
        <f t="array" ref="F2008">IF(B2008="","",_xlfn.XLOOKUP(B2008,'Form responses 1'!$B$2:$B$2604,'Form responses 1'!$D$2:$D$2604,""))</f>
        <v/>
      </c>
      <c r="G2008" s="44" t="str">
        <f t="array" ref="G2008">IF(B2008="","",_xlfn.XLOOKUP(B2008,'Form responses 1'!$B$2:$B$2604,'Form responses 1'!$E$2:$E$2604,""))</f>
        <v/>
      </c>
      <c r="H2008" s="44" t="str">
        <f t="array" ref="H2008">IF(B2008="","",_xlfn.XLOOKUP(B2008,'Form responses 1'!$B$2:$B$2604,'Form responses 1'!$F$2:$F$2604,""))</f>
        <v/>
      </c>
      <c r="I2008" s="44" t="str">
        <f t="array" ref="I2008">IF(B2008="","",_xlfn.XLOOKUP(B2008,'Form responses 1'!$B$2:$B$2604,'Form responses 1'!$I$2:$I$2604,""))</f>
        <v/>
      </c>
      <c r="J2008" s="44" t="str">
        <f t="array" ref="J2008">IF(B2008="","",_xlfn.XLOOKUP(B2008,'Form responses 1'!$B$2:$B$2604,'Form responses 1'!$G$2:$G$2604,""))</f>
        <v/>
      </c>
      <c r="K2008" s="56"/>
      <c r="L2008" s="58" t="str">
        <f t="shared" si="7"/>
        <v/>
      </c>
      <c r="M2008" s="49"/>
      <c r="N2008" s="49"/>
      <c r="O2008" s="49"/>
      <c r="P2008" s="49"/>
      <c r="Q2008" s="49"/>
      <c r="R2008" s="49"/>
      <c r="S2008" s="49"/>
      <c r="T2008" s="49"/>
      <c r="U2008" s="49"/>
      <c r="V2008" s="49"/>
      <c r="W2008" s="56"/>
      <c r="X2008" s="51" t="str">
        <f t="shared" si="5"/>
        <v/>
      </c>
      <c r="Y2008" s="50" t="s">
        <v>482</v>
      </c>
      <c r="Z2008" s="49">
        <f t="shared" si="6"/>
        <v>0</v>
      </c>
    </row>
    <row r="2009" ht="22.5" customHeight="1">
      <c r="B2009" s="57"/>
      <c r="C2009" s="43" t="str">
        <f t="array" ref="C2009">IF(B2009="","",_xlfn.XLOOKUP(B2009,'Form responses 1'!$B$2:$B$2604,'Form responses 1'!$A$2:$A$2604,""))</f>
        <v/>
      </c>
      <c r="D2009" s="44" t="str">
        <f t="shared" si="3"/>
        <v/>
      </c>
      <c r="E2009" s="44" t="str">
        <f t="array" ref="E2009">IF(B2009="","",_xlfn.XLOOKUP(B2009,'Form responses 1'!$B$2:$B$2604,'Form responses 1'!$C$2:$C$2604,""))</f>
        <v/>
      </c>
      <c r="F2009" s="44" t="str">
        <f t="array" ref="F2009">IF(B2009="","",_xlfn.XLOOKUP(B2009,'Form responses 1'!$B$2:$B$2604,'Form responses 1'!$D$2:$D$2604,""))</f>
        <v/>
      </c>
      <c r="G2009" s="44" t="str">
        <f t="array" ref="G2009">IF(B2009="","",_xlfn.XLOOKUP(B2009,'Form responses 1'!$B$2:$B$2604,'Form responses 1'!$E$2:$E$2604,""))</f>
        <v/>
      </c>
      <c r="H2009" s="44" t="str">
        <f t="array" ref="H2009">IF(B2009="","",_xlfn.XLOOKUP(B2009,'Form responses 1'!$B$2:$B$2604,'Form responses 1'!$F$2:$F$2604,""))</f>
        <v/>
      </c>
      <c r="I2009" s="44" t="str">
        <f t="array" ref="I2009">IF(B2009="","",_xlfn.XLOOKUP(B2009,'Form responses 1'!$B$2:$B$2604,'Form responses 1'!$I$2:$I$2604,""))</f>
        <v/>
      </c>
      <c r="J2009" s="44" t="str">
        <f t="array" ref="J2009">IF(B2009="","",_xlfn.XLOOKUP(B2009,'Form responses 1'!$B$2:$B$2604,'Form responses 1'!$G$2:$G$2604,""))</f>
        <v/>
      </c>
      <c r="K2009" s="56"/>
      <c r="L2009" s="58" t="str">
        <f t="shared" si="7"/>
        <v/>
      </c>
      <c r="M2009" s="49"/>
      <c r="N2009" s="49"/>
      <c r="O2009" s="49"/>
      <c r="P2009" s="49"/>
      <c r="Q2009" s="49"/>
      <c r="R2009" s="49"/>
      <c r="S2009" s="49"/>
      <c r="T2009" s="49"/>
      <c r="U2009" s="49"/>
      <c r="V2009" s="49"/>
      <c r="W2009" s="56"/>
      <c r="X2009" s="51" t="str">
        <f t="shared" si="5"/>
        <v/>
      </c>
      <c r="Y2009" s="50" t="s">
        <v>482</v>
      </c>
      <c r="Z2009" s="49">
        <f t="shared" si="6"/>
        <v>0</v>
      </c>
    </row>
    <row r="2010" ht="22.5" customHeight="1">
      <c r="B2010" s="57"/>
      <c r="C2010" s="43" t="str">
        <f t="array" ref="C2010">IF(B2010="","",_xlfn.XLOOKUP(B2010,'Form responses 1'!$B$2:$B$2604,'Form responses 1'!$A$2:$A$2604,""))</f>
        <v/>
      </c>
      <c r="D2010" s="44" t="str">
        <f t="shared" si="3"/>
        <v/>
      </c>
      <c r="E2010" s="44" t="str">
        <f t="array" ref="E2010">IF(B2010="","",_xlfn.XLOOKUP(B2010,'Form responses 1'!$B$2:$B$2604,'Form responses 1'!$C$2:$C$2604,""))</f>
        <v/>
      </c>
      <c r="F2010" s="44" t="str">
        <f t="array" ref="F2010">IF(B2010="","",_xlfn.XLOOKUP(B2010,'Form responses 1'!$B$2:$B$2604,'Form responses 1'!$D$2:$D$2604,""))</f>
        <v/>
      </c>
      <c r="G2010" s="44" t="str">
        <f t="array" ref="G2010">IF(B2010="","",_xlfn.XLOOKUP(B2010,'Form responses 1'!$B$2:$B$2604,'Form responses 1'!$E$2:$E$2604,""))</f>
        <v/>
      </c>
      <c r="H2010" s="44" t="str">
        <f t="array" ref="H2010">IF(B2010="","",_xlfn.XLOOKUP(B2010,'Form responses 1'!$B$2:$B$2604,'Form responses 1'!$F$2:$F$2604,""))</f>
        <v/>
      </c>
      <c r="I2010" s="44" t="str">
        <f t="array" ref="I2010">IF(B2010="","",_xlfn.XLOOKUP(B2010,'Form responses 1'!$B$2:$B$2604,'Form responses 1'!$I$2:$I$2604,""))</f>
        <v/>
      </c>
      <c r="J2010" s="44" t="str">
        <f t="array" ref="J2010">IF(B2010="","",_xlfn.XLOOKUP(B2010,'Form responses 1'!$B$2:$B$2604,'Form responses 1'!$G$2:$G$2604,""))</f>
        <v/>
      </c>
      <c r="K2010" s="56"/>
      <c r="L2010" s="58" t="str">
        <f t="shared" si="7"/>
        <v/>
      </c>
      <c r="M2010" s="49"/>
      <c r="N2010" s="49"/>
      <c r="O2010" s="49"/>
      <c r="P2010" s="49"/>
      <c r="Q2010" s="49"/>
      <c r="R2010" s="49"/>
      <c r="S2010" s="49"/>
      <c r="T2010" s="49"/>
      <c r="U2010" s="49"/>
      <c r="V2010" s="49"/>
      <c r="W2010" s="56"/>
      <c r="X2010" s="51" t="str">
        <f t="shared" si="5"/>
        <v/>
      </c>
      <c r="Y2010" s="50" t="s">
        <v>482</v>
      </c>
      <c r="Z2010" s="49">
        <f t="shared" si="6"/>
        <v>0</v>
      </c>
    </row>
    <row r="2011" ht="22.5" customHeight="1">
      <c r="B2011" s="57"/>
      <c r="C2011" s="43" t="str">
        <f t="array" ref="C2011">IF(B2011="","",_xlfn.XLOOKUP(B2011,'Form responses 1'!$B$2:$B$2604,'Form responses 1'!$A$2:$A$2604,""))</f>
        <v/>
      </c>
      <c r="D2011" s="44" t="str">
        <f t="shared" si="3"/>
        <v/>
      </c>
      <c r="E2011" s="44" t="str">
        <f t="array" ref="E2011">IF(B2011="","",_xlfn.XLOOKUP(B2011,'Form responses 1'!$B$2:$B$2604,'Form responses 1'!$C$2:$C$2604,""))</f>
        <v/>
      </c>
      <c r="F2011" s="44" t="str">
        <f t="array" ref="F2011">IF(B2011="","",_xlfn.XLOOKUP(B2011,'Form responses 1'!$B$2:$B$2604,'Form responses 1'!$D$2:$D$2604,""))</f>
        <v/>
      </c>
      <c r="G2011" s="44" t="str">
        <f t="array" ref="G2011">IF(B2011="","",_xlfn.XLOOKUP(B2011,'Form responses 1'!$B$2:$B$2604,'Form responses 1'!$E$2:$E$2604,""))</f>
        <v/>
      </c>
      <c r="H2011" s="44" t="str">
        <f t="array" ref="H2011">IF(B2011="","",_xlfn.XLOOKUP(B2011,'Form responses 1'!$B$2:$B$2604,'Form responses 1'!$F$2:$F$2604,""))</f>
        <v/>
      </c>
      <c r="I2011" s="44" t="str">
        <f t="array" ref="I2011">IF(B2011="","",_xlfn.XLOOKUP(B2011,'Form responses 1'!$B$2:$B$2604,'Form responses 1'!$I$2:$I$2604,""))</f>
        <v/>
      </c>
      <c r="J2011" s="44" t="str">
        <f t="array" ref="J2011">IF(B2011="","",_xlfn.XLOOKUP(B2011,'Form responses 1'!$B$2:$B$2604,'Form responses 1'!$G$2:$G$2604,""))</f>
        <v/>
      </c>
      <c r="K2011" s="56"/>
      <c r="L2011" s="58" t="str">
        <f t="shared" si="7"/>
        <v/>
      </c>
      <c r="M2011" s="49"/>
      <c r="N2011" s="49"/>
      <c r="O2011" s="49"/>
      <c r="P2011" s="49"/>
      <c r="Q2011" s="49"/>
      <c r="R2011" s="49"/>
      <c r="S2011" s="49"/>
      <c r="T2011" s="49"/>
      <c r="U2011" s="49"/>
      <c r="V2011" s="49"/>
      <c r="W2011" s="56"/>
      <c r="X2011" s="51" t="str">
        <f t="shared" si="5"/>
        <v/>
      </c>
      <c r="Y2011" s="50" t="s">
        <v>482</v>
      </c>
      <c r="Z2011" s="49">
        <f t="shared" si="6"/>
        <v>0</v>
      </c>
    </row>
    <row r="2012" ht="22.5" customHeight="1">
      <c r="B2012" s="57"/>
      <c r="C2012" s="43" t="str">
        <f t="array" ref="C2012">IF(B2012="","",_xlfn.XLOOKUP(B2012,'Form responses 1'!$B$2:$B$2604,'Form responses 1'!$A$2:$A$2604,""))</f>
        <v/>
      </c>
      <c r="D2012" s="44" t="str">
        <f t="shared" si="3"/>
        <v/>
      </c>
      <c r="E2012" s="44" t="str">
        <f t="array" ref="E2012">IF(B2012="","",_xlfn.XLOOKUP(B2012,'Form responses 1'!$B$2:$B$2604,'Form responses 1'!$C$2:$C$2604,""))</f>
        <v/>
      </c>
      <c r="F2012" s="44" t="str">
        <f t="array" ref="F2012">IF(B2012="","",_xlfn.XLOOKUP(B2012,'Form responses 1'!$B$2:$B$2604,'Form responses 1'!$D$2:$D$2604,""))</f>
        <v/>
      </c>
      <c r="G2012" s="44" t="str">
        <f t="array" ref="G2012">IF(B2012="","",_xlfn.XLOOKUP(B2012,'Form responses 1'!$B$2:$B$2604,'Form responses 1'!$E$2:$E$2604,""))</f>
        <v/>
      </c>
      <c r="H2012" s="44" t="str">
        <f t="array" ref="H2012">IF(B2012="","",_xlfn.XLOOKUP(B2012,'Form responses 1'!$B$2:$B$2604,'Form responses 1'!$F$2:$F$2604,""))</f>
        <v/>
      </c>
      <c r="I2012" s="44" t="str">
        <f t="array" ref="I2012">IF(B2012="","",_xlfn.XLOOKUP(B2012,'Form responses 1'!$B$2:$B$2604,'Form responses 1'!$I$2:$I$2604,""))</f>
        <v/>
      </c>
      <c r="J2012" s="44" t="str">
        <f t="array" ref="J2012">IF(B2012="","",_xlfn.XLOOKUP(B2012,'Form responses 1'!$B$2:$B$2604,'Form responses 1'!$G$2:$G$2604,""))</f>
        <v/>
      </c>
      <c r="K2012" s="56"/>
      <c r="L2012" s="58" t="str">
        <f t="shared" si="7"/>
        <v/>
      </c>
      <c r="M2012" s="49"/>
      <c r="N2012" s="49"/>
      <c r="O2012" s="49"/>
      <c r="P2012" s="49"/>
      <c r="Q2012" s="49"/>
      <c r="R2012" s="49"/>
      <c r="S2012" s="49"/>
      <c r="T2012" s="49"/>
      <c r="U2012" s="49"/>
      <c r="V2012" s="49"/>
      <c r="W2012" s="56"/>
      <c r="X2012" s="51" t="str">
        <f t="shared" si="5"/>
        <v/>
      </c>
      <c r="Y2012" s="50" t="s">
        <v>482</v>
      </c>
      <c r="Z2012" s="49">
        <f t="shared" si="6"/>
        <v>0</v>
      </c>
    </row>
    <row r="2013" ht="22.5" customHeight="1">
      <c r="B2013" s="57"/>
      <c r="C2013" s="43" t="str">
        <f t="array" ref="C2013">IF(B2013="","",_xlfn.XLOOKUP(B2013,'Form responses 1'!$B$2:$B$2604,'Form responses 1'!$A$2:$A$2604,""))</f>
        <v/>
      </c>
      <c r="D2013" s="44" t="str">
        <f t="shared" si="3"/>
        <v/>
      </c>
      <c r="E2013" s="44" t="str">
        <f t="array" ref="E2013">IF(B2013="","",_xlfn.XLOOKUP(B2013,'Form responses 1'!$B$2:$B$2604,'Form responses 1'!$C$2:$C$2604,""))</f>
        <v/>
      </c>
      <c r="F2013" s="44" t="str">
        <f t="array" ref="F2013">IF(B2013="","",_xlfn.XLOOKUP(B2013,'Form responses 1'!$B$2:$B$2604,'Form responses 1'!$D$2:$D$2604,""))</f>
        <v/>
      </c>
      <c r="G2013" s="44" t="str">
        <f t="array" ref="G2013">IF(B2013="","",_xlfn.XLOOKUP(B2013,'Form responses 1'!$B$2:$B$2604,'Form responses 1'!$E$2:$E$2604,""))</f>
        <v/>
      </c>
      <c r="H2013" s="44" t="str">
        <f t="array" ref="H2013">IF(B2013="","",_xlfn.XLOOKUP(B2013,'Form responses 1'!$B$2:$B$2604,'Form responses 1'!$F$2:$F$2604,""))</f>
        <v/>
      </c>
      <c r="I2013" s="44" t="str">
        <f t="array" ref="I2013">IF(B2013="","",_xlfn.XLOOKUP(B2013,'Form responses 1'!$B$2:$B$2604,'Form responses 1'!$I$2:$I$2604,""))</f>
        <v/>
      </c>
      <c r="J2013" s="44" t="str">
        <f t="array" ref="J2013">IF(B2013="","",_xlfn.XLOOKUP(B2013,'Form responses 1'!$B$2:$B$2604,'Form responses 1'!$G$2:$G$2604,""))</f>
        <v/>
      </c>
      <c r="K2013" s="56"/>
      <c r="L2013" s="58" t="str">
        <f t="shared" si="7"/>
        <v/>
      </c>
      <c r="M2013" s="49"/>
      <c r="N2013" s="49"/>
      <c r="O2013" s="49"/>
      <c r="P2013" s="49"/>
      <c r="Q2013" s="49"/>
      <c r="R2013" s="49"/>
      <c r="S2013" s="49"/>
      <c r="T2013" s="49"/>
      <c r="U2013" s="49"/>
      <c r="V2013" s="49"/>
      <c r="W2013" s="56"/>
      <c r="X2013" s="51" t="str">
        <f t="shared" si="5"/>
        <v/>
      </c>
      <c r="Y2013" s="50" t="s">
        <v>482</v>
      </c>
      <c r="Z2013" s="49">
        <f t="shared" si="6"/>
        <v>0</v>
      </c>
    </row>
    <row r="2014" ht="22.5" customHeight="1">
      <c r="B2014" s="57"/>
      <c r="C2014" s="43" t="str">
        <f t="array" ref="C2014">IF(B2014="","",_xlfn.XLOOKUP(B2014,'Form responses 1'!$B$2:$B$2604,'Form responses 1'!$A$2:$A$2604,""))</f>
        <v/>
      </c>
      <c r="D2014" s="44" t="str">
        <f t="shared" si="3"/>
        <v/>
      </c>
      <c r="E2014" s="44" t="str">
        <f t="array" ref="E2014">IF(B2014="","",_xlfn.XLOOKUP(B2014,'Form responses 1'!$B$2:$B$2604,'Form responses 1'!$C$2:$C$2604,""))</f>
        <v/>
      </c>
      <c r="F2014" s="44" t="str">
        <f t="array" ref="F2014">IF(B2014="","",_xlfn.XLOOKUP(B2014,'Form responses 1'!$B$2:$B$2604,'Form responses 1'!$D$2:$D$2604,""))</f>
        <v/>
      </c>
      <c r="G2014" s="44" t="str">
        <f t="array" ref="G2014">IF(B2014="","",_xlfn.XLOOKUP(B2014,'Form responses 1'!$B$2:$B$2604,'Form responses 1'!$E$2:$E$2604,""))</f>
        <v/>
      </c>
      <c r="H2014" s="44" t="str">
        <f t="array" ref="H2014">IF(B2014="","",_xlfn.XLOOKUP(B2014,'Form responses 1'!$B$2:$B$2604,'Form responses 1'!$F$2:$F$2604,""))</f>
        <v/>
      </c>
      <c r="I2014" s="44" t="str">
        <f t="array" ref="I2014">IF(B2014="","",_xlfn.XLOOKUP(B2014,'Form responses 1'!$B$2:$B$2604,'Form responses 1'!$I$2:$I$2604,""))</f>
        <v/>
      </c>
      <c r="J2014" s="44" t="str">
        <f t="array" ref="J2014">IF(B2014="","",_xlfn.XLOOKUP(B2014,'Form responses 1'!$B$2:$B$2604,'Form responses 1'!$G$2:$G$2604,""))</f>
        <v/>
      </c>
      <c r="K2014" s="56"/>
      <c r="L2014" s="58" t="str">
        <f t="shared" si="7"/>
        <v/>
      </c>
      <c r="M2014" s="49"/>
      <c r="N2014" s="49"/>
      <c r="O2014" s="49"/>
      <c r="P2014" s="49"/>
      <c r="Q2014" s="49"/>
      <c r="R2014" s="49"/>
      <c r="S2014" s="49"/>
      <c r="T2014" s="49"/>
      <c r="U2014" s="49"/>
      <c r="V2014" s="49"/>
      <c r="W2014" s="56"/>
      <c r="X2014" s="51" t="str">
        <f t="shared" si="5"/>
        <v/>
      </c>
      <c r="Y2014" s="50" t="s">
        <v>482</v>
      </c>
      <c r="Z2014" s="49">
        <f t="shared" si="6"/>
        <v>0</v>
      </c>
    </row>
    <row r="2015" ht="22.5" customHeight="1">
      <c r="B2015" s="57"/>
      <c r="C2015" s="43" t="str">
        <f t="array" ref="C2015">IF(B2015="","",_xlfn.XLOOKUP(B2015,'Form responses 1'!$B$2:$B$2604,'Form responses 1'!$A$2:$A$2604,""))</f>
        <v/>
      </c>
      <c r="D2015" s="44" t="str">
        <f t="shared" si="3"/>
        <v/>
      </c>
      <c r="E2015" s="44" t="str">
        <f t="array" ref="E2015">IF(B2015="","",_xlfn.XLOOKUP(B2015,'Form responses 1'!$B$2:$B$2604,'Form responses 1'!$C$2:$C$2604,""))</f>
        <v/>
      </c>
      <c r="F2015" s="44" t="str">
        <f t="array" ref="F2015">IF(B2015="","",_xlfn.XLOOKUP(B2015,'Form responses 1'!$B$2:$B$2604,'Form responses 1'!$D$2:$D$2604,""))</f>
        <v/>
      </c>
      <c r="G2015" s="44" t="str">
        <f t="array" ref="G2015">IF(B2015="","",_xlfn.XLOOKUP(B2015,'Form responses 1'!$B$2:$B$2604,'Form responses 1'!$E$2:$E$2604,""))</f>
        <v/>
      </c>
      <c r="H2015" s="44" t="str">
        <f t="array" ref="H2015">IF(B2015="","",_xlfn.XLOOKUP(B2015,'Form responses 1'!$B$2:$B$2604,'Form responses 1'!$F$2:$F$2604,""))</f>
        <v/>
      </c>
      <c r="I2015" s="44" t="str">
        <f t="array" ref="I2015">IF(B2015="","",_xlfn.XLOOKUP(B2015,'Form responses 1'!$B$2:$B$2604,'Form responses 1'!$I$2:$I$2604,""))</f>
        <v/>
      </c>
      <c r="J2015" s="44" t="str">
        <f t="array" ref="J2015">IF(B2015="","",_xlfn.XLOOKUP(B2015,'Form responses 1'!$B$2:$B$2604,'Form responses 1'!$G$2:$G$2604,""))</f>
        <v/>
      </c>
      <c r="K2015" s="56"/>
      <c r="L2015" s="58" t="str">
        <f t="shared" si="7"/>
        <v/>
      </c>
      <c r="M2015" s="49"/>
      <c r="N2015" s="49"/>
      <c r="O2015" s="49"/>
      <c r="P2015" s="49"/>
      <c r="Q2015" s="49"/>
      <c r="R2015" s="49"/>
      <c r="S2015" s="49"/>
      <c r="T2015" s="49"/>
      <c r="U2015" s="49"/>
      <c r="V2015" s="49"/>
      <c r="W2015" s="56"/>
      <c r="X2015" s="51" t="str">
        <f t="shared" si="5"/>
        <v/>
      </c>
      <c r="Y2015" s="50" t="s">
        <v>482</v>
      </c>
      <c r="Z2015" s="49">
        <f t="shared" si="6"/>
        <v>0</v>
      </c>
    </row>
    <row r="2016" ht="22.5" customHeight="1">
      <c r="B2016" s="57"/>
      <c r="C2016" s="43" t="str">
        <f t="array" ref="C2016">IF(B2016="","",_xlfn.XLOOKUP(B2016,'Form responses 1'!$B$2:$B$2604,'Form responses 1'!$A$2:$A$2604,""))</f>
        <v/>
      </c>
      <c r="D2016" s="44" t="str">
        <f t="shared" si="3"/>
        <v/>
      </c>
      <c r="E2016" s="44" t="str">
        <f t="array" ref="E2016">IF(B2016="","",_xlfn.XLOOKUP(B2016,'Form responses 1'!$B$2:$B$2604,'Form responses 1'!$C$2:$C$2604,""))</f>
        <v/>
      </c>
      <c r="F2016" s="44" t="str">
        <f t="array" ref="F2016">IF(B2016="","",_xlfn.XLOOKUP(B2016,'Form responses 1'!$B$2:$B$2604,'Form responses 1'!$D$2:$D$2604,""))</f>
        <v/>
      </c>
      <c r="G2016" s="44" t="str">
        <f t="array" ref="G2016">IF(B2016="","",_xlfn.XLOOKUP(B2016,'Form responses 1'!$B$2:$B$2604,'Form responses 1'!$E$2:$E$2604,""))</f>
        <v/>
      </c>
      <c r="H2016" s="44" t="str">
        <f t="array" ref="H2016">IF(B2016="","",_xlfn.XLOOKUP(B2016,'Form responses 1'!$B$2:$B$2604,'Form responses 1'!$F$2:$F$2604,""))</f>
        <v/>
      </c>
      <c r="I2016" s="44" t="str">
        <f t="array" ref="I2016">IF(B2016="","",_xlfn.XLOOKUP(B2016,'Form responses 1'!$B$2:$B$2604,'Form responses 1'!$I$2:$I$2604,""))</f>
        <v/>
      </c>
      <c r="J2016" s="44" t="str">
        <f t="array" ref="J2016">IF(B2016="","",_xlfn.XLOOKUP(B2016,'Form responses 1'!$B$2:$B$2604,'Form responses 1'!$G$2:$G$2604,""))</f>
        <v/>
      </c>
      <c r="K2016" s="56"/>
      <c r="L2016" s="58" t="str">
        <f t="shared" si="7"/>
        <v/>
      </c>
      <c r="M2016" s="49"/>
      <c r="N2016" s="49"/>
      <c r="O2016" s="49"/>
      <c r="P2016" s="49"/>
      <c r="Q2016" s="49"/>
      <c r="R2016" s="49"/>
      <c r="S2016" s="49"/>
      <c r="T2016" s="49"/>
      <c r="U2016" s="49"/>
      <c r="V2016" s="49"/>
      <c r="W2016" s="56"/>
      <c r="X2016" s="51" t="str">
        <f t="shared" si="5"/>
        <v/>
      </c>
      <c r="Y2016" s="50" t="s">
        <v>482</v>
      </c>
      <c r="Z2016" s="49">
        <f t="shared" si="6"/>
        <v>0</v>
      </c>
    </row>
    <row r="2017" ht="22.5" customHeight="1">
      <c r="B2017" s="57"/>
      <c r="C2017" s="43" t="str">
        <f t="array" ref="C2017">IF(B2017="","",_xlfn.XLOOKUP(B2017,'Form responses 1'!$B$2:$B$2604,'Form responses 1'!$A$2:$A$2604,""))</f>
        <v/>
      </c>
      <c r="D2017" s="44" t="str">
        <f t="shared" si="3"/>
        <v/>
      </c>
      <c r="E2017" s="44" t="str">
        <f t="array" ref="E2017">IF(B2017="","",_xlfn.XLOOKUP(B2017,'Form responses 1'!$B$2:$B$2604,'Form responses 1'!$C$2:$C$2604,""))</f>
        <v/>
      </c>
      <c r="F2017" s="44" t="str">
        <f t="array" ref="F2017">IF(B2017="","",_xlfn.XLOOKUP(B2017,'Form responses 1'!$B$2:$B$2604,'Form responses 1'!$D$2:$D$2604,""))</f>
        <v/>
      </c>
      <c r="G2017" s="44" t="str">
        <f t="array" ref="G2017">IF(B2017="","",_xlfn.XLOOKUP(B2017,'Form responses 1'!$B$2:$B$2604,'Form responses 1'!$E$2:$E$2604,""))</f>
        <v/>
      </c>
      <c r="H2017" s="44" t="str">
        <f t="array" ref="H2017">IF(B2017="","",_xlfn.XLOOKUP(B2017,'Form responses 1'!$B$2:$B$2604,'Form responses 1'!$F$2:$F$2604,""))</f>
        <v/>
      </c>
      <c r="I2017" s="44" t="str">
        <f t="array" ref="I2017">IF(B2017="","",_xlfn.XLOOKUP(B2017,'Form responses 1'!$B$2:$B$2604,'Form responses 1'!$I$2:$I$2604,""))</f>
        <v/>
      </c>
      <c r="J2017" s="44" t="str">
        <f t="array" ref="J2017">IF(B2017="","",_xlfn.XLOOKUP(B2017,'Form responses 1'!$B$2:$B$2604,'Form responses 1'!$G$2:$G$2604,""))</f>
        <v/>
      </c>
      <c r="K2017" s="56"/>
      <c r="L2017" s="58" t="str">
        <f t="shared" si="7"/>
        <v/>
      </c>
      <c r="M2017" s="49"/>
      <c r="N2017" s="49"/>
      <c r="O2017" s="49"/>
      <c r="P2017" s="49"/>
      <c r="Q2017" s="49"/>
      <c r="R2017" s="49"/>
      <c r="S2017" s="49"/>
      <c r="T2017" s="49"/>
      <c r="U2017" s="49"/>
      <c r="V2017" s="49"/>
      <c r="W2017" s="56"/>
      <c r="X2017" s="51" t="str">
        <f t="shared" si="5"/>
        <v/>
      </c>
      <c r="Y2017" s="50" t="s">
        <v>482</v>
      </c>
      <c r="Z2017" s="49">
        <f t="shared" si="6"/>
        <v>0</v>
      </c>
    </row>
    <row r="2018" ht="22.5" customHeight="1">
      <c r="B2018" s="57"/>
      <c r="C2018" s="43" t="str">
        <f t="array" ref="C2018">IF(B2018="","",_xlfn.XLOOKUP(B2018,'Form responses 1'!$B$2:$B$2604,'Form responses 1'!$A$2:$A$2604,""))</f>
        <v/>
      </c>
      <c r="D2018" s="44" t="str">
        <f t="shared" si="3"/>
        <v/>
      </c>
      <c r="E2018" s="44" t="str">
        <f t="array" ref="E2018">IF(B2018="","",_xlfn.XLOOKUP(B2018,'Form responses 1'!$B$2:$B$2604,'Form responses 1'!$C$2:$C$2604,""))</f>
        <v/>
      </c>
      <c r="F2018" s="44" t="str">
        <f t="array" ref="F2018">IF(B2018="","",_xlfn.XLOOKUP(B2018,'Form responses 1'!$B$2:$B$2604,'Form responses 1'!$D$2:$D$2604,""))</f>
        <v/>
      </c>
      <c r="G2018" s="44" t="str">
        <f t="array" ref="G2018">IF(B2018="","",_xlfn.XLOOKUP(B2018,'Form responses 1'!$B$2:$B$2604,'Form responses 1'!$E$2:$E$2604,""))</f>
        <v/>
      </c>
      <c r="H2018" s="44" t="str">
        <f t="array" ref="H2018">IF(B2018="","",_xlfn.XLOOKUP(B2018,'Form responses 1'!$B$2:$B$2604,'Form responses 1'!$F$2:$F$2604,""))</f>
        <v/>
      </c>
      <c r="I2018" s="44" t="str">
        <f t="array" ref="I2018">IF(B2018="","",_xlfn.XLOOKUP(B2018,'Form responses 1'!$B$2:$B$2604,'Form responses 1'!$I$2:$I$2604,""))</f>
        <v/>
      </c>
      <c r="J2018" s="44" t="str">
        <f t="array" ref="J2018">IF(B2018="","",_xlfn.XLOOKUP(B2018,'Form responses 1'!$B$2:$B$2604,'Form responses 1'!$G$2:$G$2604,""))</f>
        <v/>
      </c>
      <c r="K2018" s="56"/>
      <c r="L2018" s="58" t="str">
        <f t="shared" si="7"/>
        <v/>
      </c>
      <c r="M2018" s="49"/>
      <c r="N2018" s="49"/>
      <c r="O2018" s="49"/>
      <c r="P2018" s="49"/>
      <c r="Q2018" s="49"/>
      <c r="R2018" s="49"/>
      <c r="S2018" s="49"/>
      <c r="T2018" s="49"/>
      <c r="U2018" s="49"/>
      <c r="V2018" s="49"/>
      <c r="W2018" s="56"/>
      <c r="X2018" s="51" t="str">
        <f t="shared" si="5"/>
        <v/>
      </c>
      <c r="Y2018" s="50" t="s">
        <v>482</v>
      </c>
      <c r="Z2018" s="49">
        <f t="shared" si="6"/>
        <v>0</v>
      </c>
    </row>
    <row r="2019" ht="22.5" customHeight="1">
      <c r="B2019" s="57"/>
      <c r="C2019" s="43" t="str">
        <f t="array" ref="C2019">IF(B2019="","",_xlfn.XLOOKUP(B2019,'Form responses 1'!$B$2:$B$2604,'Form responses 1'!$A$2:$A$2604,""))</f>
        <v/>
      </c>
      <c r="D2019" s="44" t="str">
        <f t="shared" si="3"/>
        <v/>
      </c>
      <c r="E2019" s="44" t="str">
        <f t="array" ref="E2019">IF(B2019="","",_xlfn.XLOOKUP(B2019,'Form responses 1'!$B$2:$B$2604,'Form responses 1'!$C$2:$C$2604,""))</f>
        <v/>
      </c>
      <c r="F2019" s="44" t="str">
        <f t="array" ref="F2019">IF(B2019="","",_xlfn.XLOOKUP(B2019,'Form responses 1'!$B$2:$B$2604,'Form responses 1'!$D$2:$D$2604,""))</f>
        <v/>
      </c>
      <c r="G2019" s="44" t="str">
        <f t="array" ref="G2019">IF(B2019="","",_xlfn.XLOOKUP(B2019,'Form responses 1'!$B$2:$B$2604,'Form responses 1'!$E$2:$E$2604,""))</f>
        <v/>
      </c>
      <c r="H2019" s="44" t="str">
        <f t="array" ref="H2019">IF(B2019="","",_xlfn.XLOOKUP(B2019,'Form responses 1'!$B$2:$B$2604,'Form responses 1'!$F$2:$F$2604,""))</f>
        <v/>
      </c>
      <c r="I2019" s="44" t="str">
        <f t="array" ref="I2019">IF(B2019="","",_xlfn.XLOOKUP(B2019,'Form responses 1'!$B$2:$B$2604,'Form responses 1'!$I$2:$I$2604,""))</f>
        <v/>
      </c>
      <c r="J2019" s="44" t="str">
        <f t="array" ref="J2019">IF(B2019="","",_xlfn.XLOOKUP(B2019,'Form responses 1'!$B$2:$B$2604,'Form responses 1'!$G$2:$G$2604,""))</f>
        <v/>
      </c>
      <c r="K2019" s="56"/>
      <c r="L2019" s="58" t="str">
        <f t="shared" si="7"/>
        <v/>
      </c>
      <c r="M2019" s="49"/>
      <c r="N2019" s="49"/>
      <c r="O2019" s="49"/>
      <c r="P2019" s="49"/>
      <c r="Q2019" s="49"/>
      <c r="R2019" s="49"/>
      <c r="S2019" s="49"/>
      <c r="T2019" s="49"/>
      <c r="U2019" s="49"/>
      <c r="V2019" s="49"/>
      <c r="W2019" s="56"/>
      <c r="X2019" s="51" t="str">
        <f t="shared" si="5"/>
        <v/>
      </c>
      <c r="Y2019" s="50" t="s">
        <v>482</v>
      </c>
      <c r="Z2019" s="49">
        <f t="shared" si="6"/>
        <v>0</v>
      </c>
    </row>
    <row r="2020" ht="22.5" customHeight="1">
      <c r="B2020" s="57"/>
      <c r="C2020" s="43" t="str">
        <f t="array" ref="C2020">IF(B2020="","",_xlfn.XLOOKUP(B2020,'Form responses 1'!$B$2:$B$2604,'Form responses 1'!$A$2:$A$2604,""))</f>
        <v/>
      </c>
      <c r="D2020" s="44" t="str">
        <f t="shared" si="3"/>
        <v/>
      </c>
      <c r="E2020" s="44" t="str">
        <f t="array" ref="E2020">IF(B2020="","",_xlfn.XLOOKUP(B2020,'Form responses 1'!$B$2:$B$2604,'Form responses 1'!$C$2:$C$2604,""))</f>
        <v/>
      </c>
      <c r="F2020" s="44" t="str">
        <f t="array" ref="F2020">IF(B2020="","",_xlfn.XLOOKUP(B2020,'Form responses 1'!$B$2:$B$2604,'Form responses 1'!$D$2:$D$2604,""))</f>
        <v/>
      </c>
      <c r="G2020" s="44" t="str">
        <f t="array" ref="G2020">IF(B2020="","",_xlfn.XLOOKUP(B2020,'Form responses 1'!$B$2:$B$2604,'Form responses 1'!$E$2:$E$2604,""))</f>
        <v/>
      </c>
      <c r="H2020" s="44" t="str">
        <f t="array" ref="H2020">IF(B2020="","",_xlfn.XLOOKUP(B2020,'Form responses 1'!$B$2:$B$2604,'Form responses 1'!$F$2:$F$2604,""))</f>
        <v/>
      </c>
      <c r="I2020" s="44" t="str">
        <f t="array" ref="I2020">IF(B2020="","",_xlfn.XLOOKUP(B2020,'Form responses 1'!$B$2:$B$2604,'Form responses 1'!$I$2:$I$2604,""))</f>
        <v/>
      </c>
      <c r="J2020" s="44" t="str">
        <f t="array" ref="J2020">IF(B2020="","",_xlfn.XLOOKUP(B2020,'Form responses 1'!$B$2:$B$2604,'Form responses 1'!$G$2:$G$2604,""))</f>
        <v/>
      </c>
      <c r="K2020" s="56"/>
      <c r="L2020" s="58" t="str">
        <f t="shared" si="7"/>
        <v/>
      </c>
      <c r="M2020" s="49"/>
      <c r="N2020" s="49"/>
      <c r="O2020" s="49"/>
      <c r="P2020" s="49"/>
      <c r="Q2020" s="49"/>
      <c r="R2020" s="49"/>
      <c r="S2020" s="49"/>
      <c r="T2020" s="49"/>
      <c r="U2020" s="49"/>
      <c r="V2020" s="49"/>
      <c r="W2020" s="56"/>
      <c r="X2020" s="51" t="str">
        <f t="shared" si="5"/>
        <v/>
      </c>
      <c r="Y2020" s="50" t="s">
        <v>482</v>
      </c>
      <c r="Z2020" s="49">
        <f t="shared" si="6"/>
        <v>0</v>
      </c>
    </row>
    <row r="2021" ht="22.5" customHeight="1">
      <c r="B2021" s="57"/>
      <c r="C2021" s="43" t="str">
        <f t="array" ref="C2021">IF(B2021="","",_xlfn.XLOOKUP(B2021,'Form responses 1'!$B$2:$B$2604,'Form responses 1'!$A$2:$A$2604,""))</f>
        <v/>
      </c>
      <c r="D2021" s="44" t="str">
        <f t="shared" si="3"/>
        <v/>
      </c>
      <c r="E2021" s="44" t="str">
        <f t="array" ref="E2021">IF(B2021="","",_xlfn.XLOOKUP(B2021,'Form responses 1'!$B$2:$B$2604,'Form responses 1'!$C$2:$C$2604,""))</f>
        <v/>
      </c>
      <c r="F2021" s="44" t="str">
        <f t="array" ref="F2021">IF(B2021="","",_xlfn.XLOOKUP(B2021,'Form responses 1'!$B$2:$B$2604,'Form responses 1'!$D$2:$D$2604,""))</f>
        <v/>
      </c>
      <c r="G2021" s="44" t="str">
        <f t="array" ref="G2021">IF(B2021="","",_xlfn.XLOOKUP(B2021,'Form responses 1'!$B$2:$B$2604,'Form responses 1'!$E$2:$E$2604,""))</f>
        <v/>
      </c>
      <c r="H2021" s="44" t="str">
        <f t="array" ref="H2021">IF(B2021="","",_xlfn.XLOOKUP(B2021,'Form responses 1'!$B$2:$B$2604,'Form responses 1'!$F$2:$F$2604,""))</f>
        <v/>
      </c>
      <c r="I2021" s="44" t="str">
        <f t="array" ref="I2021">IF(B2021="","",_xlfn.XLOOKUP(B2021,'Form responses 1'!$B$2:$B$2604,'Form responses 1'!$I$2:$I$2604,""))</f>
        <v/>
      </c>
      <c r="J2021" s="44" t="str">
        <f t="array" ref="J2021">IF(B2021="","",_xlfn.XLOOKUP(B2021,'Form responses 1'!$B$2:$B$2604,'Form responses 1'!$G$2:$G$2604,""))</f>
        <v/>
      </c>
      <c r="K2021" s="56"/>
      <c r="L2021" s="58" t="str">
        <f t="shared" si="7"/>
        <v/>
      </c>
      <c r="M2021" s="49"/>
      <c r="N2021" s="49"/>
      <c r="O2021" s="49"/>
      <c r="P2021" s="49"/>
      <c r="Q2021" s="49"/>
      <c r="R2021" s="49"/>
      <c r="S2021" s="49"/>
      <c r="T2021" s="49"/>
      <c r="U2021" s="49"/>
      <c r="V2021" s="49"/>
      <c r="W2021" s="56"/>
      <c r="X2021" s="51" t="str">
        <f t="shared" si="5"/>
        <v/>
      </c>
      <c r="Y2021" s="50" t="s">
        <v>482</v>
      </c>
      <c r="Z2021" s="49">
        <f t="shared" si="6"/>
        <v>0</v>
      </c>
    </row>
    <row r="2022" ht="22.5" customHeight="1">
      <c r="B2022" s="57"/>
      <c r="C2022" s="43" t="str">
        <f t="array" ref="C2022">IF(B2022="","",_xlfn.XLOOKUP(B2022,'Form responses 1'!$B$2:$B$2604,'Form responses 1'!$A$2:$A$2604,""))</f>
        <v/>
      </c>
      <c r="D2022" s="44" t="str">
        <f t="shared" si="3"/>
        <v/>
      </c>
      <c r="E2022" s="44" t="str">
        <f t="array" ref="E2022">IF(B2022="","",_xlfn.XLOOKUP(B2022,'Form responses 1'!$B$2:$B$2604,'Form responses 1'!$C$2:$C$2604,""))</f>
        <v/>
      </c>
      <c r="F2022" s="44" t="str">
        <f t="array" ref="F2022">IF(B2022="","",_xlfn.XLOOKUP(B2022,'Form responses 1'!$B$2:$B$2604,'Form responses 1'!$D$2:$D$2604,""))</f>
        <v/>
      </c>
      <c r="G2022" s="44" t="str">
        <f t="array" ref="G2022">IF(B2022="","",_xlfn.XLOOKUP(B2022,'Form responses 1'!$B$2:$B$2604,'Form responses 1'!$E$2:$E$2604,""))</f>
        <v/>
      </c>
      <c r="H2022" s="44" t="str">
        <f t="array" ref="H2022">IF(B2022="","",_xlfn.XLOOKUP(B2022,'Form responses 1'!$B$2:$B$2604,'Form responses 1'!$F$2:$F$2604,""))</f>
        <v/>
      </c>
      <c r="I2022" s="44" t="str">
        <f t="array" ref="I2022">IF(B2022="","",_xlfn.XLOOKUP(B2022,'Form responses 1'!$B$2:$B$2604,'Form responses 1'!$I$2:$I$2604,""))</f>
        <v/>
      </c>
      <c r="J2022" s="44" t="str">
        <f t="array" ref="J2022">IF(B2022="","",_xlfn.XLOOKUP(B2022,'Form responses 1'!$B$2:$B$2604,'Form responses 1'!$G$2:$G$2604,""))</f>
        <v/>
      </c>
      <c r="K2022" s="56"/>
      <c r="L2022" s="58" t="str">
        <f t="shared" si="7"/>
        <v/>
      </c>
      <c r="M2022" s="49"/>
      <c r="N2022" s="49"/>
      <c r="O2022" s="49"/>
      <c r="P2022" s="49"/>
      <c r="Q2022" s="49"/>
      <c r="R2022" s="49"/>
      <c r="S2022" s="49"/>
      <c r="T2022" s="49"/>
      <c r="U2022" s="49"/>
      <c r="V2022" s="49"/>
      <c r="W2022" s="56"/>
      <c r="X2022" s="51" t="str">
        <f t="shared" si="5"/>
        <v/>
      </c>
      <c r="Y2022" s="50" t="s">
        <v>482</v>
      </c>
      <c r="Z2022" s="49">
        <f t="shared" si="6"/>
        <v>0</v>
      </c>
    </row>
    <row r="2023" ht="22.5" customHeight="1">
      <c r="B2023" s="57"/>
      <c r="C2023" s="43" t="str">
        <f t="array" ref="C2023">IF(B2023="","",_xlfn.XLOOKUP(B2023,'Form responses 1'!$B$2:$B$2604,'Form responses 1'!$A$2:$A$2604,""))</f>
        <v/>
      </c>
      <c r="D2023" s="44" t="str">
        <f t="shared" si="3"/>
        <v/>
      </c>
      <c r="E2023" s="44" t="str">
        <f t="array" ref="E2023">IF(B2023="","",_xlfn.XLOOKUP(B2023,'Form responses 1'!$B$2:$B$2604,'Form responses 1'!$C$2:$C$2604,""))</f>
        <v/>
      </c>
      <c r="F2023" s="44" t="str">
        <f t="array" ref="F2023">IF(B2023="","",_xlfn.XLOOKUP(B2023,'Form responses 1'!$B$2:$B$2604,'Form responses 1'!$D$2:$D$2604,""))</f>
        <v/>
      </c>
      <c r="G2023" s="44" t="str">
        <f t="array" ref="G2023">IF(B2023="","",_xlfn.XLOOKUP(B2023,'Form responses 1'!$B$2:$B$2604,'Form responses 1'!$E$2:$E$2604,""))</f>
        <v/>
      </c>
      <c r="H2023" s="44" t="str">
        <f t="array" ref="H2023">IF(B2023="","",_xlfn.XLOOKUP(B2023,'Form responses 1'!$B$2:$B$2604,'Form responses 1'!$F$2:$F$2604,""))</f>
        <v/>
      </c>
      <c r="I2023" s="44" t="str">
        <f t="array" ref="I2023">IF(B2023="","",_xlfn.XLOOKUP(B2023,'Form responses 1'!$B$2:$B$2604,'Form responses 1'!$I$2:$I$2604,""))</f>
        <v/>
      </c>
      <c r="J2023" s="44" t="str">
        <f t="array" ref="J2023">IF(B2023="","",_xlfn.XLOOKUP(B2023,'Form responses 1'!$B$2:$B$2604,'Form responses 1'!$G$2:$G$2604,""))</f>
        <v/>
      </c>
      <c r="K2023" s="56"/>
      <c r="L2023" s="58" t="str">
        <f t="shared" si="7"/>
        <v/>
      </c>
      <c r="M2023" s="49"/>
      <c r="N2023" s="49"/>
      <c r="O2023" s="49"/>
      <c r="P2023" s="49"/>
      <c r="Q2023" s="49"/>
      <c r="R2023" s="49"/>
      <c r="S2023" s="49"/>
      <c r="T2023" s="49"/>
      <c r="U2023" s="49"/>
      <c r="V2023" s="49"/>
      <c r="W2023" s="56"/>
      <c r="X2023" s="51" t="str">
        <f t="shared" si="5"/>
        <v/>
      </c>
      <c r="Y2023" s="50" t="s">
        <v>482</v>
      </c>
      <c r="Z2023" s="49">
        <f t="shared" si="6"/>
        <v>0</v>
      </c>
    </row>
    <row r="2024" ht="22.5" customHeight="1">
      <c r="B2024" s="57"/>
      <c r="C2024" s="43" t="str">
        <f t="array" ref="C2024">IF(B2024="","",_xlfn.XLOOKUP(B2024,'Form responses 1'!$B$2:$B$2604,'Form responses 1'!$A$2:$A$2604,""))</f>
        <v/>
      </c>
      <c r="D2024" s="44" t="str">
        <f t="shared" si="3"/>
        <v/>
      </c>
      <c r="E2024" s="44" t="str">
        <f t="array" ref="E2024">IF(B2024="","",_xlfn.XLOOKUP(B2024,'Form responses 1'!$B$2:$B$2604,'Form responses 1'!$C$2:$C$2604,""))</f>
        <v/>
      </c>
      <c r="F2024" s="44" t="str">
        <f t="array" ref="F2024">IF(B2024="","",_xlfn.XLOOKUP(B2024,'Form responses 1'!$B$2:$B$2604,'Form responses 1'!$D$2:$D$2604,""))</f>
        <v/>
      </c>
      <c r="G2024" s="44" t="str">
        <f t="array" ref="G2024">IF(B2024="","",_xlfn.XLOOKUP(B2024,'Form responses 1'!$B$2:$B$2604,'Form responses 1'!$E$2:$E$2604,""))</f>
        <v/>
      </c>
      <c r="H2024" s="44" t="str">
        <f t="array" ref="H2024">IF(B2024="","",_xlfn.XLOOKUP(B2024,'Form responses 1'!$B$2:$B$2604,'Form responses 1'!$F$2:$F$2604,""))</f>
        <v/>
      </c>
      <c r="I2024" s="44" t="str">
        <f t="array" ref="I2024">IF(B2024="","",_xlfn.XLOOKUP(B2024,'Form responses 1'!$B$2:$B$2604,'Form responses 1'!$I$2:$I$2604,""))</f>
        <v/>
      </c>
      <c r="J2024" s="44" t="str">
        <f t="array" ref="J2024">IF(B2024="","",_xlfn.XLOOKUP(B2024,'Form responses 1'!$B$2:$B$2604,'Form responses 1'!$G$2:$G$2604,""))</f>
        <v/>
      </c>
      <c r="K2024" s="56"/>
      <c r="L2024" s="58" t="str">
        <f t="shared" si="7"/>
        <v/>
      </c>
      <c r="M2024" s="49"/>
      <c r="N2024" s="49"/>
      <c r="O2024" s="49"/>
      <c r="P2024" s="49"/>
      <c r="Q2024" s="49"/>
      <c r="R2024" s="49"/>
      <c r="S2024" s="49"/>
      <c r="T2024" s="49"/>
      <c r="U2024" s="49"/>
      <c r="V2024" s="49"/>
      <c r="W2024" s="56"/>
      <c r="X2024" s="51" t="str">
        <f t="shared" si="5"/>
        <v/>
      </c>
      <c r="Y2024" s="50" t="s">
        <v>482</v>
      </c>
      <c r="Z2024" s="49">
        <f t="shared" si="6"/>
        <v>0</v>
      </c>
    </row>
    <row r="2025" ht="22.5" customHeight="1">
      <c r="B2025" s="57"/>
      <c r="C2025" s="43" t="str">
        <f t="array" ref="C2025">IF(B2025="","",_xlfn.XLOOKUP(B2025,'Form responses 1'!$B$2:$B$2604,'Form responses 1'!$A$2:$A$2604,""))</f>
        <v/>
      </c>
      <c r="D2025" s="44" t="str">
        <f t="shared" si="3"/>
        <v/>
      </c>
      <c r="E2025" s="44" t="str">
        <f t="array" ref="E2025">IF(B2025="","",_xlfn.XLOOKUP(B2025,'Form responses 1'!$B$2:$B$2604,'Form responses 1'!$C$2:$C$2604,""))</f>
        <v/>
      </c>
      <c r="F2025" s="44" t="str">
        <f t="array" ref="F2025">IF(B2025="","",_xlfn.XLOOKUP(B2025,'Form responses 1'!$B$2:$B$2604,'Form responses 1'!$D$2:$D$2604,""))</f>
        <v/>
      </c>
      <c r="G2025" s="44" t="str">
        <f t="array" ref="G2025">IF(B2025="","",_xlfn.XLOOKUP(B2025,'Form responses 1'!$B$2:$B$2604,'Form responses 1'!$E$2:$E$2604,""))</f>
        <v/>
      </c>
      <c r="H2025" s="44" t="str">
        <f t="array" ref="H2025">IF(B2025="","",_xlfn.XLOOKUP(B2025,'Form responses 1'!$B$2:$B$2604,'Form responses 1'!$F$2:$F$2604,""))</f>
        <v/>
      </c>
      <c r="I2025" s="44" t="str">
        <f t="array" ref="I2025">IF(B2025="","",_xlfn.XLOOKUP(B2025,'Form responses 1'!$B$2:$B$2604,'Form responses 1'!$I$2:$I$2604,""))</f>
        <v/>
      </c>
      <c r="J2025" s="44" t="str">
        <f t="array" ref="J2025">IF(B2025="","",_xlfn.XLOOKUP(B2025,'Form responses 1'!$B$2:$B$2604,'Form responses 1'!$G$2:$G$2604,""))</f>
        <v/>
      </c>
      <c r="K2025" s="56"/>
      <c r="L2025" s="58" t="str">
        <f t="shared" si="7"/>
        <v/>
      </c>
      <c r="M2025" s="49"/>
      <c r="N2025" s="49"/>
      <c r="O2025" s="49"/>
      <c r="P2025" s="49"/>
      <c r="Q2025" s="49"/>
      <c r="R2025" s="49"/>
      <c r="S2025" s="49"/>
      <c r="T2025" s="49"/>
      <c r="U2025" s="49"/>
      <c r="V2025" s="49"/>
      <c r="W2025" s="56"/>
      <c r="X2025" s="51" t="str">
        <f t="shared" si="5"/>
        <v/>
      </c>
      <c r="Y2025" s="50" t="s">
        <v>482</v>
      </c>
      <c r="Z2025" s="49">
        <f t="shared" si="6"/>
        <v>0</v>
      </c>
    </row>
    <row r="2026" ht="22.5" customHeight="1">
      <c r="B2026" s="57"/>
      <c r="C2026" s="43" t="str">
        <f t="array" ref="C2026">IF(B2026="","",_xlfn.XLOOKUP(B2026,'Form responses 1'!$B$2:$B$2604,'Form responses 1'!$A$2:$A$2604,""))</f>
        <v/>
      </c>
      <c r="D2026" s="44" t="str">
        <f t="shared" si="3"/>
        <v/>
      </c>
      <c r="E2026" s="44" t="str">
        <f t="array" ref="E2026">IF(B2026="","",_xlfn.XLOOKUP(B2026,'Form responses 1'!$B$2:$B$2604,'Form responses 1'!$C$2:$C$2604,""))</f>
        <v/>
      </c>
      <c r="F2026" s="44" t="str">
        <f t="array" ref="F2026">IF(B2026="","",_xlfn.XLOOKUP(B2026,'Form responses 1'!$B$2:$B$2604,'Form responses 1'!$D$2:$D$2604,""))</f>
        <v/>
      </c>
      <c r="G2026" s="44" t="str">
        <f t="array" ref="G2026">IF(B2026="","",_xlfn.XLOOKUP(B2026,'Form responses 1'!$B$2:$B$2604,'Form responses 1'!$E$2:$E$2604,""))</f>
        <v/>
      </c>
      <c r="H2026" s="44" t="str">
        <f t="array" ref="H2026">IF(B2026="","",_xlfn.XLOOKUP(B2026,'Form responses 1'!$B$2:$B$2604,'Form responses 1'!$F$2:$F$2604,""))</f>
        <v/>
      </c>
      <c r="I2026" s="44" t="str">
        <f t="array" ref="I2026">IF(B2026="","",_xlfn.XLOOKUP(B2026,'Form responses 1'!$B$2:$B$2604,'Form responses 1'!$I$2:$I$2604,""))</f>
        <v/>
      </c>
      <c r="J2026" s="44" t="str">
        <f t="array" ref="J2026">IF(B2026="","",_xlfn.XLOOKUP(B2026,'Form responses 1'!$B$2:$B$2604,'Form responses 1'!$G$2:$G$2604,""))</f>
        <v/>
      </c>
      <c r="K2026" s="56"/>
      <c r="L2026" s="58" t="str">
        <f t="shared" si="7"/>
        <v/>
      </c>
      <c r="M2026" s="49"/>
      <c r="N2026" s="49"/>
      <c r="O2026" s="49"/>
      <c r="P2026" s="49"/>
      <c r="Q2026" s="49"/>
      <c r="R2026" s="49"/>
      <c r="S2026" s="49"/>
      <c r="T2026" s="49"/>
      <c r="U2026" s="49"/>
      <c r="V2026" s="49"/>
      <c r="W2026" s="56"/>
      <c r="X2026" s="51" t="str">
        <f t="shared" si="5"/>
        <v/>
      </c>
      <c r="Y2026" s="50" t="s">
        <v>482</v>
      </c>
      <c r="Z2026" s="49">
        <f t="shared" si="6"/>
        <v>0</v>
      </c>
    </row>
    <row r="2027" ht="22.5" customHeight="1">
      <c r="B2027" s="57"/>
      <c r="C2027" s="43" t="str">
        <f t="array" ref="C2027">IF(B2027="","",_xlfn.XLOOKUP(B2027,'Form responses 1'!$B$2:$B$2604,'Form responses 1'!$A$2:$A$2604,""))</f>
        <v/>
      </c>
      <c r="D2027" s="44" t="str">
        <f t="shared" si="3"/>
        <v/>
      </c>
      <c r="E2027" s="44" t="str">
        <f t="array" ref="E2027">IF(B2027="","",_xlfn.XLOOKUP(B2027,'Form responses 1'!$B$2:$B$2604,'Form responses 1'!$C$2:$C$2604,""))</f>
        <v/>
      </c>
      <c r="F2027" s="44" t="str">
        <f t="array" ref="F2027">IF(B2027="","",_xlfn.XLOOKUP(B2027,'Form responses 1'!$B$2:$B$2604,'Form responses 1'!$D$2:$D$2604,""))</f>
        <v/>
      </c>
      <c r="G2027" s="44" t="str">
        <f t="array" ref="G2027">IF(B2027="","",_xlfn.XLOOKUP(B2027,'Form responses 1'!$B$2:$B$2604,'Form responses 1'!$E$2:$E$2604,""))</f>
        <v/>
      </c>
      <c r="H2027" s="44" t="str">
        <f t="array" ref="H2027">IF(B2027="","",_xlfn.XLOOKUP(B2027,'Form responses 1'!$B$2:$B$2604,'Form responses 1'!$F$2:$F$2604,""))</f>
        <v/>
      </c>
      <c r="I2027" s="44" t="str">
        <f t="array" ref="I2027">IF(B2027="","",_xlfn.XLOOKUP(B2027,'Form responses 1'!$B$2:$B$2604,'Form responses 1'!$I$2:$I$2604,""))</f>
        <v/>
      </c>
      <c r="J2027" s="44" t="str">
        <f t="array" ref="J2027">IF(B2027="","",_xlfn.XLOOKUP(B2027,'Form responses 1'!$B$2:$B$2604,'Form responses 1'!$G$2:$G$2604,""))</f>
        <v/>
      </c>
      <c r="K2027" s="56"/>
      <c r="L2027" s="58" t="str">
        <f t="shared" si="7"/>
        <v/>
      </c>
      <c r="M2027" s="49"/>
      <c r="N2027" s="49"/>
      <c r="O2027" s="49"/>
      <c r="P2027" s="49"/>
      <c r="Q2027" s="49"/>
      <c r="R2027" s="49"/>
      <c r="S2027" s="49"/>
      <c r="T2027" s="49"/>
      <c r="U2027" s="49"/>
      <c r="V2027" s="49"/>
      <c r="W2027" s="56"/>
      <c r="X2027" s="51" t="str">
        <f t="shared" si="5"/>
        <v/>
      </c>
      <c r="Y2027" s="50" t="s">
        <v>482</v>
      </c>
      <c r="Z2027" s="49">
        <f t="shared" si="6"/>
        <v>0</v>
      </c>
    </row>
    <row r="2028" ht="22.5" customHeight="1">
      <c r="B2028" s="57"/>
      <c r="C2028" s="43" t="str">
        <f t="array" ref="C2028">IF(B2028="","",_xlfn.XLOOKUP(B2028,'Form responses 1'!$B$2:$B$2604,'Form responses 1'!$A$2:$A$2604,""))</f>
        <v/>
      </c>
      <c r="D2028" s="44" t="str">
        <f t="shared" si="3"/>
        <v/>
      </c>
      <c r="E2028" s="44" t="str">
        <f t="array" ref="E2028">IF(B2028="","",_xlfn.XLOOKUP(B2028,'Form responses 1'!$B$2:$B$2604,'Form responses 1'!$C$2:$C$2604,""))</f>
        <v/>
      </c>
      <c r="F2028" s="44" t="str">
        <f t="array" ref="F2028">IF(B2028="","",_xlfn.XLOOKUP(B2028,'Form responses 1'!$B$2:$B$2604,'Form responses 1'!$D$2:$D$2604,""))</f>
        <v/>
      </c>
      <c r="G2028" s="44" t="str">
        <f t="array" ref="G2028">IF(B2028="","",_xlfn.XLOOKUP(B2028,'Form responses 1'!$B$2:$B$2604,'Form responses 1'!$E$2:$E$2604,""))</f>
        <v/>
      </c>
      <c r="H2028" s="44" t="str">
        <f t="array" ref="H2028">IF(B2028="","",_xlfn.XLOOKUP(B2028,'Form responses 1'!$B$2:$B$2604,'Form responses 1'!$F$2:$F$2604,""))</f>
        <v/>
      </c>
      <c r="I2028" s="44" t="str">
        <f t="array" ref="I2028">IF(B2028="","",_xlfn.XLOOKUP(B2028,'Form responses 1'!$B$2:$B$2604,'Form responses 1'!$I$2:$I$2604,""))</f>
        <v/>
      </c>
      <c r="J2028" s="44" t="str">
        <f t="array" ref="J2028">IF(B2028="","",_xlfn.XLOOKUP(B2028,'Form responses 1'!$B$2:$B$2604,'Form responses 1'!$G$2:$G$2604,""))</f>
        <v/>
      </c>
      <c r="K2028" s="56"/>
      <c r="L2028" s="58" t="str">
        <f t="shared" si="7"/>
        <v/>
      </c>
      <c r="M2028" s="49"/>
      <c r="N2028" s="49"/>
      <c r="O2028" s="49"/>
      <c r="P2028" s="49"/>
      <c r="Q2028" s="49"/>
      <c r="R2028" s="49"/>
      <c r="S2028" s="49"/>
      <c r="T2028" s="49"/>
      <c r="U2028" s="49"/>
      <c r="V2028" s="49"/>
      <c r="W2028" s="56"/>
      <c r="X2028" s="51" t="str">
        <f t="shared" si="5"/>
        <v/>
      </c>
      <c r="Y2028" s="50" t="s">
        <v>482</v>
      </c>
      <c r="Z2028" s="49">
        <f t="shared" si="6"/>
        <v>0</v>
      </c>
    </row>
    <row r="2029" ht="22.5" customHeight="1">
      <c r="B2029" s="57"/>
      <c r="C2029" s="43" t="str">
        <f t="array" ref="C2029">IF(B2029="","",_xlfn.XLOOKUP(B2029,'Form responses 1'!$B$2:$B$2604,'Form responses 1'!$A$2:$A$2604,""))</f>
        <v/>
      </c>
      <c r="D2029" s="44" t="str">
        <f t="shared" si="3"/>
        <v/>
      </c>
      <c r="E2029" s="44" t="str">
        <f t="array" ref="E2029">IF(B2029="","",_xlfn.XLOOKUP(B2029,'Form responses 1'!$B$2:$B$2604,'Form responses 1'!$C$2:$C$2604,""))</f>
        <v/>
      </c>
      <c r="F2029" s="44" t="str">
        <f t="array" ref="F2029">IF(B2029="","",_xlfn.XLOOKUP(B2029,'Form responses 1'!$B$2:$B$2604,'Form responses 1'!$D$2:$D$2604,""))</f>
        <v/>
      </c>
      <c r="G2029" s="44" t="str">
        <f t="array" ref="G2029">IF(B2029="","",_xlfn.XLOOKUP(B2029,'Form responses 1'!$B$2:$B$2604,'Form responses 1'!$E$2:$E$2604,""))</f>
        <v/>
      </c>
      <c r="H2029" s="44" t="str">
        <f t="array" ref="H2029">IF(B2029="","",_xlfn.XLOOKUP(B2029,'Form responses 1'!$B$2:$B$2604,'Form responses 1'!$F$2:$F$2604,""))</f>
        <v/>
      </c>
      <c r="I2029" s="44" t="str">
        <f t="array" ref="I2029">IF(B2029="","",_xlfn.XLOOKUP(B2029,'Form responses 1'!$B$2:$B$2604,'Form responses 1'!$I$2:$I$2604,""))</f>
        <v/>
      </c>
      <c r="J2029" s="44" t="str">
        <f t="array" ref="J2029">IF(B2029="","",_xlfn.XLOOKUP(B2029,'Form responses 1'!$B$2:$B$2604,'Form responses 1'!$G$2:$G$2604,""))</f>
        <v/>
      </c>
      <c r="K2029" s="56"/>
      <c r="L2029" s="58" t="str">
        <f t="shared" si="7"/>
        <v/>
      </c>
      <c r="M2029" s="49"/>
      <c r="N2029" s="49"/>
      <c r="O2029" s="49"/>
      <c r="P2029" s="49"/>
      <c r="Q2029" s="49"/>
      <c r="R2029" s="49"/>
      <c r="S2029" s="49"/>
      <c r="T2029" s="49"/>
      <c r="U2029" s="49"/>
      <c r="V2029" s="49"/>
      <c r="W2029" s="56"/>
      <c r="X2029" s="51" t="str">
        <f t="shared" si="5"/>
        <v/>
      </c>
      <c r="Y2029" s="50" t="s">
        <v>482</v>
      </c>
      <c r="Z2029" s="49">
        <f t="shared" si="6"/>
        <v>0</v>
      </c>
    </row>
    <row r="2030" ht="22.5" customHeight="1">
      <c r="B2030" s="57"/>
      <c r="C2030" s="43" t="str">
        <f t="array" ref="C2030">IF(B2030="","",_xlfn.XLOOKUP(B2030,'Form responses 1'!$B$2:$B$2604,'Form responses 1'!$A$2:$A$2604,""))</f>
        <v/>
      </c>
      <c r="D2030" s="44" t="str">
        <f t="shared" si="3"/>
        <v/>
      </c>
      <c r="E2030" s="44" t="str">
        <f t="array" ref="E2030">IF(B2030="","",_xlfn.XLOOKUP(B2030,'Form responses 1'!$B$2:$B$2604,'Form responses 1'!$C$2:$C$2604,""))</f>
        <v/>
      </c>
      <c r="F2030" s="44" t="str">
        <f t="array" ref="F2030">IF(B2030="","",_xlfn.XLOOKUP(B2030,'Form responses 1'!$B$2:$B$2604,'Form responses 1'!$D$2:$D$2604,""))</f>
        <v/>
      </c>
      <c r="G2030" s="44" t="str">
        <f t="array" ref="G2030">IF(B2030="","",_xlfn.XLOOKUP(B2030,'Form responses 1'!$B$2:$B$2604,'Form responses 1'!$E$2:$E$2604,""))</f>
        <v/>
      </c>
      <c r="H2030" s="44" t="str">
        <f t="array" ref="H2030">IF(B2030="","",_xlfn.XLOOKUP(B2030,'Form responses 1'!$B$2:$B$2604,'Form responses 1'!$F$2:$F$2604,""))</f>
        <v/>
      </c>
      <c r="I2030" s="44" t="str">
        <f t="array" ref="I2030">IF(B2030="","",_xlfn.XLOOKUP(B2030,'Form responses 1'!$B$2:$B$2604,'Form responses 1'!$I$2:$I$2604,""))</f>
        <v/>
      </c>
      <c r="J2030" s="44" t="str">
        <f t="array" ref="J2030">IF(B2030="","",_xlfn.XLOOKUP(B2030,'Form responses 1'!$B$2:$B$2604,'Form responses 1'!$G$2:$G$2604,""))</f>
        <v/>
      </c>
      <c r="K2030" s="56"/>
      <c r="L2030" s="58" t="str">
        <f t="shared" si="7"/>
        <v/>
      </c>
      <c r="M2030" s="49"/>
      <c r="N2030" s="49"/>
      <c r="O2030" s="49"/>
      <c r="P2030" s="49"/>
      <c r="Q2030" s="49"/>
      <c r="R2030" s="49"/>
      <c r="S2030" s="49"/>
      <c r="T2030" s="49"/>
      <c r="U2030" s="49"/>
      <c r="V2030" s="49"/>
      <c r="W2030" s="56"/>
      <c r="X2030" s="51" t="str">
        <f t="shared" si="5"/>
        <v/>
      </c>
      <c r="Y2030" s="50" t="s">
        <v>482</v>
      </c>
      <c r="Z2030" s="49">
        <f t="shared" si="6"/>
        <v>0</v>
      </c>
    </row>
    <row r="2031" ht="22.5" customHeight="1">
      <c r="B2031" s="57"/>
      <c r="C2031" s="43" t="str">
        <f t="array" ref="C2031">IF(B2031="","",_xlfn.XLOOKUP(B2031,'Form responses 1'!$B$2:$B$2604,'Form responses 1'!$A$2:$A$2604,""))</f>
        <v/>
      </c>
      <c r="D2031" s="44" t="str">
        <f t="shared" si="3"/>
        <v/>
      </c>
      <c r="E2031" s="44" t="str">
        <f t="array" ref="E2031">IF(B2031="","",_xlfn.XLOOKUP(B2031,'Form responses 1'!$B$2:$B$2604,'Form responses 1'!$C$2:$C$2604,""))</f>
        <v/>
      </c>
      <c r="F2031" s="44" t="str">
        <f t="array" ref="F2031">IF(B2031="","",_xlfn.XLOOKUP(B2031,'Form responses 1'!$B$2:$B$2604,'Form responses 1'!$D$2:$D$2604,""))</f>
        <v/>
      </c>
      <c r="G2031" s="44" t="str">
        <f t="array" ref="G2031">IF(B2031="","",_xlfn.XLOOKUP(B2031,'Form responses 1'!$B$2:$B$2604,'Form responses 1'!$E$2:$E$2604,""))</f>
        <v/>
      </c>
      <c r="H2031" s="44" t="str">
        <f t="array" ref="H2031">IF(B2031="","",_xlfn.XLOOKUP(B2031,'Form responses 1'!$B$2:$B$2604,'Form responses 1'!$F$2:$F$2604,""))</f>
        <v/>
      </c>
      <c r="I2031" s="44" t="str">
        <f t="array" ref="I2031">IF(B2031="","",_xlfn.XLOOKUP(B2031,'Form responses 1'!$B$2:$B$2604,'Form responses 1'!$I$2:$I$2604,""))</f>
        <v/>
      </c>
      <c r="J2031" s="44" t="str">
        <f t="array" ref="J2031">IF(B2031="","",_xlfn.XLOOKUP(B2031,'Form responses 1'!$B$2:$B$2604,'Form responses 1'!$G$2:$G$2604,""))</f>
        <v/>
      </c>
      <c r="K2031" s="56"/>
      <c r="L2031" s="58" t="str">
        <f t="shared" si="7"/>
        <v/>
      </c>
      <c r="M2031" s="49"/>
      <c r="N2031" s="49"/>
      <c r="O2031" s="49"/>
      <c r="P2031" s="49"/>
      <c r="Q2031" s="49"/>
      <c r="R2031" s="49"/>
      <c r="S2031" s="49"/>
      <c r="T2031" s="49"/>
      <c r="U2031" s="49"/>
      <c r="V2031" s="49"/>
      <c r="W2031" s="56"/>
      <c r="X2031" s="51" t="str">
        <f t="shared" si="5"/>
        <v/>
      </c>
      <c r="Y2031" s="50" t="s">
        <v>482</v>
      </c>
      <c r="Z2031" s="49">
        <f t="shared" si="6"/>
        <v>0</v>
      </c>
    </row>
    <row r="2032" ht="22.5" customHeight="1">
      <c r="B2032" s="57"/>
      <c r="C2032" s="43" t="str">
        <f t="array" ref="C2032">IF(B2032="","",_xlfn.XLOOKUP(B2032,'Form responses 1'!$B$2:$B$2604,'Form responses 1'!$A$2:$A$2604,""))</f>
        <v/>
      </c>
      <c r="D2032" s="44" t="str">
        <f t="shared" si="3"/>
        <v/>
      </c>
      <c r="E2032" s="44" t="str">
        <f t="array" ref="E2032">IF(B2032="","",_xlfn.XLOOKUP(B2032,'Form responses 1'!$B$2:$B$2604,'Form responses 1'!$C$2:$C$2604,""))</f>
        <v/>
      </c>
      <c r="F2032" s="44" t="str">
        <f t="array" ref="F2032">IF(B2032="","",_xlfn.XLOOKUP(B2032,'Form responses 1'!$B$2:$B$2604,'Form responses 1'!$D$2:$D$2604,""))</f>
        <v/>
      </c>
      <c r="G2032" s="44" t="str">
        <f t="array" ref="G2032">IF(B2032="","",_xlfn.XLOOKUP(B2032,'Form responses 1'!$B$2:$B$2604,'Form responses 1'!$E$2:$E$2604,""))</f>
        <v/>
      </c>
      <c r="H2032" s="44" t="str">
        <f t="array" ref="H2032">IF(B2032="","",_xlfn.XLOOKUP(B2032,'Form responses 1'!$B$2:$B$2604,'Form responses 1'!$F$2:$F$2604,""))</f>
        <v/>
      </c>
      <c r="I2032" s="44" t="str">
        <f t="array" ref="I2032">IF(B2032="","",_xlfn.XLOOKUP(B2032,'Form responses 1'!$B$2:$B$2604,'Form responses 1'!$I$2:$I$2604,""))</f>
        <v/>
      </c>
      <c r="J2032" s="44" t="str">
        <f t="array" ref="J2032">IF(B2032="","",_xlfn.XLOOKUP(B2032,'Form responses 1'!$B$2:$B$2604,'Form responses 1'!$G$2:$G$2604,""))</f>
        <v/>
      </c>
      <c r="K2032" s="56"/>
      <c r="L2032" s="58" t="str">
        <f t="shared" si="7"/>
        <v/>
      </c>
      <c r="M2032" s="49"/>
      <c r="N2032" s="49"/>
      <c r="O2032" s="49"/>
      <c r="P2032" s="49"/>
      <c r="Q2032" s="49"/>
      <c r="R2032" s="49"/>
      <c r="S2032" s="49"/>
      <c r="T2032" s="49"/>
      <c r="U2032" s="49"/>
      <c r="V2032" s="49"/>
      <c r="W2032" s="56"/>
      <c r="X2032" s="51" t="str">
        <f t="shared" si="5"/>
        <v/>
      </c>
      <c r="Y2032" s="50" t="s">
        <v>482</v>
      </c>
      <c r="Z2032" s="49">
        <f t="shared" si="6"/>
        <v>0</v>
      </c>
    </row>
    <row r="2033" ht="22.5" customHeight="1">
      <c r="B2033" s="57"/>
      <c r="C2033" s="43" t="str">
        <f t="array" ref="C2033">IF(B2033="","",_xlfn.XLOOKUP(B2033,'Form responses 1'!$B$2:$B$2604,'Form responses 1'!$A$2:$A$2604,""))</f>
        <v/>
      </c>
      <c r="D2033" s="44" t="str">
        <f t="shared" si="3"/>
        <v/>
      </c>
      <c r="E2033" s="44" t="str">
        <f t="array" ref="E2033">IF(B2033="","",_xlfn.XLOOKUP(B2033,'Form responses 1'!$B$2:$B$2604,'Form responses 1'!$C$2:$C$2604,""))</f>
        <v/>
      </c>
      <c r="F2033" s="44" t="str">
        <f t="array" ref="F2033">IF(B2033="","",_xlfn.XLOOKUP(B2033,'Form responses 1'!$B$2:$B$2604,'Form responses 1'!$D$2:$D$2604,""))</f>
        <v/>
      </c>
      <c r="G2033" s="44" t="str">
        <f t="array" ref="G2033">IF(B2033="","",_xlfn.XLOOKUP(B2033,'Form responses 1'!$B$2:$B$2604,'Form responses 1'!$E$2:$E$2604,""))</f>
        <v/>
      </c>
      <c r="H2033" s="44" t="str">
        <f t="array" ref="H2033">IF(B2033="","",_xlfn.XLOOKUP(B2033,'Form responses 1'!$B$2:$B$2604,'Form responses 1'!$F$2:$F$2604,""))</f>
        <v/>
      </c>
      <c r="I2033" s="44" t="str">
        <f t="array" ref="I2033">IF(B2033="","",_xlfn.XLOOKUP(B2033,'Form responses 1'!$B$2:$B$2604,'Form responses 1'!$I$2:$I$2604,""))</f>
        <v/>
      </c>
      <c r="J2033" s="44" t="str">
        <f t="array" ref="J2033">IF(B2033="","",_xlfn.XLOOKUP(B2033,'Form responses 1'!$B$2:$B$2604,'Form responses 1'!$G$2:$G$2604,""))</f>
        <v/>
      </c>
      <c r="K2033" s="56"/>
      <c r="L2033" s="58" t="str">
        <f t="shared" si="7"/>
        <v/>
      </c>
      <c r="M2033" s="49"/>
      <c r="N2033" s="49"/>
      <c r="O2033" s="49"/>
      <c r="P2033" s="49"/>
      <c r="Q2033" s="49"/>
      <c r="R2033" s="49"/>
      <c r="S2033" s="49"/>
      <c r="T2033" s="49"/>
      <c r="U2033" s="49"/>
      <c r="V2033" s="49"/>
      <c r="W2033" s="56"/>
      <c r="X2033" s="51" t="str">
        <f t="shared" si="5"/>
        <v/>
      </c>
      <c r="Y2033" s="50" t="s">
        <v>482</v>
      </c>
      <c r="Z2033" s="49">
        <f t="shared" si="6"/>
        <v>0</v>
      </c>
    </row>
    <row r="2034" ht="22.5" customHeight="1">
      <c r="B2034" s="57"/>
      <c r="C2034" s="43" t="str">
        <f t="array" ref="C2034">IF(B2034="","",_xlfn.XLOOKUP(B2034,'Form responses 1'!$B$2:$B$2604,'Form responses 1'!$A$2:$A$2604,""))</f>
        <v/>
      </c>
      <c r="D2034" s="44" t="str">
        <f t="shared" si="3"/>
        <v/>
      </c>
      <c r="E2034" s="44" t="str">
        <f t="array" ref="E2034">IF(B2034="","",_xlfn.XLOOKUP(B2034,'Form responses 1'!$B$2:$B$2604,'Form responses 1'!$C$2:$C$2604,""))</f>
        <v/>
      </c>
      <c r="F2034" s="44" t="str">
        <f t="array" ref="F2034">IF(B2034="","",_xlfn.XLOOKUP(B2034,'Form responses 1'!$B$2:$B$2604,'Form responses 1'!$D$2:$D$2604,""))</f>
        <v/>
      </c>
      <c r="G2034" s="44" t="str">
        <f t="array" ref="G2034">IF(B2034="","",_xlfn.XLOOKUP(B2034,'Form responses 1'!$B$2:$B$2604,'Form responses 1'!$E$2:$E$2604,""))</f>
        <v/>
      </c>
      <c r="H2034" s="44" t="str">
        <f t="array" ref="H2034">IF(B2034="","",_xlfn.XLOOKUP(B2034,'Form responses 1'!$B$2:$B$2604,'Form responses 1'!$F$2:$F$2604,""))</f>
        <v/>
      </c>
      <c r="I2034" s="44" t="str">
        <f t="array" ref="I2034">IF(B2034="","",_xlfn.XLOOKUP(B2034,'Form responses 1'!$B$2:$B$2604,'Form responses 1'!$I$2:$I$2604,""))</f>
        <v/>
      </c>
      <c r="J2034" s="44" t="str">
        <f t="array" ref="J2034">IF(B2034="","",_xlfn.XLOOKUP(B2034,'Form responses 1'!$B$2:$B$2604,'Form responses 1'!$G$2:$G$2604,""))</f>
        <v/>
      </c>
      <c r="K2034" s="56"/>
      <c r="L2034" s="58" t="str">
        <f t="shared" si="7"/>
        <v/>
      </c>
      <c r="M2034" s="49"/>
      <c r="N2034" s="49"/>
      <c r="O2034" s="49"/>
      <c r="P2034" s="49"/>
      <c r="Q2034" s="49"/>
      <c r="R2034" s="49"/>
      <c r="S2034" s="49"/>
      <c r="T2034" s="49"/>
      <c r="U2034" s="49"/>
      <c r="V2034" s="49"/>
      <c r="W2034" s="56"/>
      <c r="X2034" s="51" t="str">
        <f t="shared" si="5"/>
        <v/>
      </c>
      <c r="Y2034" s="50" t="s">
        <v>482</v>
      </c>
      <c r="Z2034" s="49">
        <f t="shared" si="6"/>
        <v>0</v>
      </c>
    </row>
    <row r="2035" ht="22.5" customHeight="1">
      <c r="B2035" s="57"/>
      <c r="C2035" s="43" t="str">
        <f t="array" ref="C2035">IF(B2035="","",_xlfn.XLOOKUP(B2035,'Form responses 1'!$B$2:$B$2604,'Form responses 1'!$A$2:$A$2604,""))</f>
        <v/>
      </c>
      <c r="D2035" s="44" t="str">
        <f t="shared" si="3"/>
        <v/>
      </c>
      <c r="E2035" s="44" t="str">
        <f t="array" ref="E2035">IF(B2035="","",_xlfn.XLOOKUP(B2035,'Form responses 1'!$B$2:$B$2604,'Form responses 1'!$C$2:$C$2604,""))</f>
        <v/>
      </c>
      <c r="F2035" s="44" t="str">
        <f t="array" ref="F2035">IF(B2035="","",_xlfn.XLOOKUP(B2035,'Form responses 1'!$B$2:$B$2604,'Form responses 1'!$D$2:$D$2604,""))</f>
        <v/>
      </c>
      <c r="G2035" s="44" t="str">
        <f t="array" ref="G2035">IF(B2035="","",_xlfn.XLOOKUP(B2035,'Form responses 1'!$B$2:$B$2604,'Form responses 1'!$E$2:$E$2604,""))</f>
        <v/>
      </c>
      <c r="H2035" s="44" t="str">
        <f t="array" ref="H2035">IF(B2035="","",_xlfn.XLOOKUP(B2035,'Form responses 1'!$B$2:$B$2604,'Form responses 1'!$F$2:$F$2604,""))</f>
        <v/>
      </c>
      <c r="I2035" s="44" t="str">
        <f t="array" ref="I2035">IF(B2035="","",_xlfn.XLOOKUP(B2035,'Form responses 1'!$B$2:$B$2604,'Form responses 1'!$I$2:$I$2604,""))</f>
        <v/>
      </c>
      <c r="J2035" s="44" t="str">
        <f t="array" ref="J2035">IF(B2035="","",_xlfn.XLOOKUP(B2035,'Form responses 1'!$B$2:$B$2604,'Form responses 1'!$G$2:$G$2604,""))</f>
        <v/>
      </c>
      <c r="K2035" s="56"/>
      <c r="L2035" s="58" t="str">
        <f t="shared" si="7"/>
        <v/>
      </c>
      <c r="M2035" s="49"/>
      <c r="N2035" s="49"/>
      <c r="O2035" s="49"/>
      <c r="P2035" s="49"/>
      <c r="Q2035" s="49"/>
      <c r="R2035" s="49"/>
      <c r="S2035" s="49"/>
      <c r="T2035" s="49"/>
      <c r="U2035" s="49"/>
      <c r="V2035" s="49"/>
      <c r="W2035" s="56"/>
      <c r="X2035" s="51" t="str">
        <f t="shared" si="5"/>
        <v/>
      </c>
      <c r="Y2035" s="50" t="s">
        <v>482</v>
      </c>
      <c r="Z2035" s="49">
        <f t="shared" si="6"/>
        <v>0</v>
      </c>
    </row>
    <row r="2036" ht="22.5" customHeight="1">
      <c r="B2036" s="57"/>
      <c r="C2036" s="43" t="str">
        <f t="array" ref="C2036">IF(B2036="","",_xlfn.XLOOKUP(B2036,'Form responses 1'!$B$2:$B$2604,'Form responses 1'!$A$2:$A$2604,""))</f>
        <v/>
      </c>
      <c r="D2036" s="44" t="str">
        <f t="shared" si="3"/>
        <v/>
      </c>
      <c r="E2036" s="44" t="str">
        <f t="array" ref="E2036">IF(B2036="","",_xlfn.XLOOKUP(B2036,'Form responses 1'!$B$2:$B$2604,'Form responses 1'!$C$2:$C$2604,""))</f>
        <v/>
      </c>
      <c r="F2036" s="44" t="str">
        <f t="array" ref="F2036">IF(B2036="","",_xlfn.XLOOKUP(B2036,'Form responses 1'!$B$2:$B$2604,'Form responses 1'!$D$2:$D$2604,""))</f>
        <v/>
      </c>
      <c r="G2036" s="44" t="str">
        <f t="array" ref="G2036">IF(B2036="","",_xlfn.XLOOKUP(B2036,'Form responses 1'!$B$2:$B$2604,'Form responses 1'!$E$2:$E$2604,""))</f>
        <v/>
      </c>
      <c r="H2036" s="44" t="str">
        <f t="array" ref="H2036">IF(B2036="","",_xlfn.XLOOKUP(B2036,'Form responses 1'!$B$2:$B$2604,'Form responses 1'!$F$2:$F$2604,""))</f>
        <v/>
      </c>
      <c r="I2036" s="44" t="str">
        <f t="array" ref="I2036">IF(B2036="","",_xlfn.XLOOKUP(B2036,'Form responses 1'!$B$2:$B$2604,'Form responses 1'!$I$2:$I$2604,""))</f>
        <v/>
      </c>
      <c r="J2036" s="44" t="str">
        <f t="array" ref="J2036">IF(B2036="","",_xlfn.XLOOKUP(B2036,'Form responses 1'!$B$2:$B$2604,'Form responses 1'!$G$2:$G$2604,""))</f>
        <v/>
      </c>
      <c r="K2036" s="56"/>
      <c r="L2036" s="58" t="str">
        <f t="shared" si="7"/>
        <v/>
      </c>
      <c r="M2036" s="49"/>
      <c r="N2036" s="49"/>
      <c r="O2036" s="49"/>
      <c r="P2036" s="49"/>
      <c r="Q2036" s="49"/>
      <c r="R2036" s="49"/>
      <c r="S2036" s="49"/>
      <c r="T2036" s="49"/>
      <c r="U2036" s="49"/>
      <c r="V2036" s="49"/>
      <c r="W2036" s="56"/>
      <c r="X2036" s="51" t="str">
        <f t="shared" si="5"/>
        <v/>
      </c>
      <c r="Y2036" s="50" t="s">
        <v>482</v>
      </c>
      <c r="Z2036" s="49">
        <f t="shared" si="6"/>
        <v>0</v>
      </c>
    </row>
    <row r="2037" ht="22.5" customHeight="1">
      <c r="B2037" s="57"/>
      <c r="C2037" s="43" t="str">
        <f t="array" ref="C2037">IF(B2037="","",_xlfn.XLOOKUP(B2037,'Form responses 1'!$B$2:$B$2604,'Form responses 1'!$A$2:$A$2604,""))</f>
        <v/>
      </c>
      <c r="D2037" s="44" t="str">
        <f t="shared" si="3"/>
        <v/>
      </c>
      <c r="E2037" s="44" t="str">
        <f t="array" ref="E2037">IF(B2037="","",_xlfn.XLOOKUP(B2037,'Form responses 1'!$B$2:$B$2604,'Form responses 1'!$C$2:$C$2604,""))</f>
        <v/>
      </c>
      <c r="F2037" s="44" t="str">
        <f t="array" ref="F2037">IF(B2037="","",_xlfn.XLOOKUP(B2037,'Form responses 1'!$B$2:$B$2604,'Form responses 1'!$D$2:$D$2604,""))</f>
        <v/>
      </c>
      <c r="G2037" s="44" t="str">
        <f t="array" ref="G2037">IF(B2037="","",_xlfn.XLOOKUP(B2037,'Form responses 1'!$B$2:$B$2604,'Form responses 1'!$E$2:$E$2604,""))</f>
        <v/>
      </c>
      <c r="H2037" s="44" t="str">
        <f t="array" ref="H2037">IF(B2037="","",_xlfn.XLOOKUP(B2037,'Form responses 1'!$B$2:$B$2604,'Form responses 1'!$F$2:$F$2604,""))</f>
        <v/>
      </c>
      <c r="I2037" s="44" t="str">
        <f t="array" ref="I2037">IF(B2037="","",_xlfn.XLOOKUP(B2037,'Form responses 1'!$B$2:$B$2604,'Form responses 1'!$I$2:$I$2604,""))</f>
        <v/>
      </c>
      <c r="J2037" s="44" t="str">
        <f t="array" ref="J2037">IF(B2037="","",_xlfn.XLOOKUP(B2037,'Form responses 1'!$B$2:$B$2604,'Form responses 1'!$G$2:$G$2604,""))</f>
        <v/>
      </c>
      <c r="K2037" s="56"/>
      <c r="L2037" s="58" t="str">
        <f t="shared" si="7"/>
        <v/>
      </c>
      <c r="M2037" s="49"/>
      <c r="N2037" s="49"/>
      <c r="O2037" s="49"/>
      <c r="P2037" s="49"/>
      <c r="Q2037" s="49"/>
      <c r="R2037" s="49"/>
      <c r="S2037" s="49"/>
      <c r="T2037" s="49"/>
      <c r="U2037" s="49"/>
      <c r="V2037" s="49"/>
      <c r="W2037" s="56"/>
      <c r="X2037" s="51" t="str">
        <f t="shared" si="5"/>
        <v/>
      </c>
      <c r="Y2037" s="50" t="s">
        <v>482</v>
      </c>
      <c r="Z2037" s="49">
        <f t="shared" si="6"/>
        <v>0</v>
      </c>
    </row>
    <row r="2038" ht="22.5" customHeight="1">
      <c r="B2038" s="57"/>
      <c r="C2038" s="43" t="str">
        <f t="array" ref="C2038">IF(B2038="","",_xlfn.XLOOKUP(B2038,'Form responses 1'!$B$2:$B$2604,'Form responses 1'!$A$2:$A$2604,""))</f>
        <v/>
      </c>
      <c r="D2038" s="44" t="str">
        <f t="shared" si="3"/>
        <v/>
      </c>
      <c r="E2038" s="44" t="str">
        <f t="array" ref="E2038">IF(B2038="","",_xlfn.XLOOKUP(B2038,'Form responses 1'!$B$2:$B$2604,'Form responses 1'!$C$2:$C$2604,""))</f>
        <v/>
      </c>
      <c r="F2038" s="44" t="str">
        <f t="array" ref="F2038">IF(B2038="","",_xlfn.XLOOKUP(B2038,'Form responses 1'!$B$2:$B$2604,'Form responses 1'!$D$2:$D$2604,""))</f>
        <v/>
      </c>
      <c r="G2038" s="44" t="str">
        <f t="array" ref="G2038">IF(B2038="","",_xlfn.XLOOKUP(B2038,'Form responses 1'!$B$2:$B$2604,'Form responses 1'!$E$2:$E$2604,""))</f>
        <v/>
      </c>
      <c r="H2038" s="44" t="str">
        <f t="array" ref="H2038">IF(B2038="","",_xlfn.XLOOKUP(B2038,'Form responses 1'!$B$2:$B$2604,'Form responses 1'!$F$2:$F$2604,""))</f>
        <v/>
      </c>
      <c r="I2038" s="44" t="str">
        <f t="array" ref="I2038">IF(B2038="","",_xlfn.XLOOKUP(B2038,'Form responses 1'!$B$2:$B$2604,'Form responses 1'!$I$2:$I$2604,""))</f>
        <v/>
      </c>
      <c r="J2038" s="44" t="str">
        <f t="array" ref="J2038">IF(B2038="","",_xlfn.XLOOKUP(B2038,'Form responses 1'!$B$2:$B$2604,'Form responses 1'!$G$2:$G$2604,""))</f>
        <v/>
      </c>
      <c r="K2038" s="56"/>
      <c r="L2038" s="58" t="str">
        <f t="shared" si="7"/>
        <v/>
      </c>
      <c r="M2038" s="49"/>
      <c r="N2038" s="49"/>
      <c r="O2038" s="49"/>
      <c r="P2038" s="49"/>
      <c r="Q2038" s="49"/>
      <c r="R2038" s="49"/>
      <c r="S2038" s="49"/>
      <c r="T2038" s="49"/>
      <c r="U2038" s="49"/>
      <c r="V2038" s="49"/>
      <c r="W2038" s="56"/>
      <c r="X2038" s="51" t="str">
        <f t="shared" si="5"/>
        <v/>
      </c>
      <c r="Y2038" s="50" t="s">
        <v>482</v>
      </c>
      <c r="Z2038" s="49">
        <f t="shared" si="6"/>
        <v>0</v>
      </c>
    </row>
    <row r="2039" ht="22.5" customHeight="1">
      <c r="B2039" s="57"/>
      <c r="C2039" s="43" t="str">
        <f t="array" ref="C2039">IF(B2039="","",_xlfn.XLOOKUP(B2039,'Form responses 1'!$B$2:$B$2604,'Form responses 1'!$A$2:$A$2604,""))</f>
        <v/>
      </c>
      <c r="D2039" s="44" t="str">
        <f t="shared" si="3"/>
        <v/>
      </c>
      <c r="E2039" s="44" t="str">
        <f t="array" ref="E2039">IF(B2039="","",_xlfn.XLOOKUP(B2039,'Form responses 1'!$B$2:$B$2604,'Form responses 1'!$C$2:$C$2604,""))</f>
        <v/>
      </c>
      <c r="F2039" s="44" t="str">
        <f t="array" ref="F2039">IF(B2039="","",_xlfn.XLOOKUP(B2039,'Form responses 1'!$B$2:$B$2604,'Form responses 1'!$D$2:$D$2604,""))</f>
        <v/>
      </c>
      <c r="G2039" s="44" t="str">
        <f t="array" ref="G2039">IF(B2039="","",_xlfn.XLOOKUP(B2039,'Form responses 1'!$B$2:$B$2604,'Form responses 1'!$E$2:$E$2604,""))</f>
        <v/>
      </c>
      <c r="H2039" s="44" t="str">
        <f t="array" ref="H2039">IF(B2039="","",_xlfn.XLOOKUP(B2039,'Form responses 1'!$B$2:$B$2604,'Form responses 1'!$F$2:$F$2604,""))</f>
        <v/>
      </c>
      <c r="I2039" s="44" t="str">
        <f t="array" ref="I2039">IF(B2039="","",_xlfn.XLOOKUP(B2039,'Form responses 1'!$B$2:$B$2604,'Form responses 1'!$I$2:$I$2604,""))</f>
        <v/>
      </c>
      <c r="J2039" s="44" t="str">
        <f t="array" ref="J2039">IF(B2039="","",_xlfn.XLOOKUP(B2039,'Form responses 1'!$B$2:$B$2604,'Form responses 1'!$G$2:$G$2604,""))</f>
        <v/>
      </c>
      <c r="K2039" s="56"/>
      <c r="L2039" s="58" t="str">
        <f t="shared" si="7"/>
        <v/>
      </c>
      <c r="M2039" s="49"/>
      <c r="N2039" s="49"/>
      <c r="O2039" s="49"/>
      <c r="P2039" s="49"/>
      <c r="Q2039" s="49"/>
      <c r="R2039" s="49"/>
      <c r="S2039" s="49"/>
      <c r="T2039" s="49"/>
      <c r="U2039" s="49"/>
      <c r="V2039" s="49"/>
      <c r="W2039" s="56"/>
      <c r="X2039" s="51" t="str">
        <f t="shared" si="5"/>
        <v/>
      </c>
      <c r="Y2039" s="50" t="s">
        <v>482</v>
      </c>
      <c r="Z2039" s="49">
        <f t="shared" si="6"/>
        <v>0</v>
      </c>
    </row>
    <row r="2040" ht="22.5" customHeight="1">
      <c r="B2040" s="57"/>
      <c r="C2040" s="43" t="str">
        <f t="array" ref="C2040">IF(B2040="","",_xlfn.XLOOKUP(B2040,'Form responses 1'!$B$2:$B$2604,'Form responses 1'!$A$2:$A$2604,""))</f>
        <v/>
      </c>
      <c r="D2040" s="44" t="str">
        <f t="shared" si="3"/>
        <v/>
      </c>
      <c r="E2040" s="44" t="str">
        <f t="array" ref="E2040">IF(B2040="","",_xlfn.XLOOKUP(B2040,'Form responses 1'!$B$2:$B$2604,'Form responses 1'!$C$2:$C$2604,""))</f>
        <v/>
      </c>
      <c r="F2040" s="44" t="str">
        <f t="array" ref="F2040">IF(B2040="","",_xlfn.XLOOKUP(B2040,'Form responses 1'!$B$2:$B$2604,'Form responses 1'!$D$2:$D$2604,""))</f>
        <v/>
      </c>
      <c r="G2040" s="44" t="str">
        <f t="array" ref="G2040">IF(B2040="","",_xlfn.XLOOKUP(B2040,'Form responses 1'!$B$2:$B$2604,'Form responses 1'!$E$2:$E$2604,""))</f>
        <v/>
      </c>
      <c r="H2040" s="44" t="str">
        <f t="array" ref="H2040">IF(B2040="","",_xlfn.XLOOKUP(B2040,'Form responses 1'!$B$2:$B$2604,'Form responses 1'!$F$2:$F$2604,""))</f>
        <v/>
      </c>
      <c r="I2040" s="44" t="str">
        <f t="array" ref="I2040">IF(B2040="","",_xlfn.XLOOKUP(B2040,'Form responses 1'!$B$2:$B$2604,'Form responses 1'!$I$2:$I$2604,""))</f>
        <v/>
      </c>
      <c r="J2040" s="44" t="str">
        <f t="array" ref="J2040">IF(B2040="","",_xlfn.XLOOKUP(B2040,'Form responses 1'!$B$2:$B$2604,'Form responses 1'!$G$2:$G$2604,""))</f>
        <v/>
      </c>
      <c r="K2040" s="56"/>
      <c r="L2040" s="58" t="str">
        <f t="shared" si="7"/>
        <v/>
      </c>
      <c r="M2040" s="49"/>
      <c r="N2040" s="49"/>
      <c r="O2040" s="49"/>
      <c r="P2040" s="49"/>
      <c r="Q2040" s="49"/>
      <c r="R2040" s="49"/>
      <c r="S2040" s="49"/>
      <c r="T2040" s="49"/>
      <c r="U2040" s="49"/>
      <c r="V2040" s="49"/>
      <c r="W2040" s="56"/>
      <c r="X2040" s="51" t="str">
        <f t="shared" si="5"/>
        <v/>
      </c>
      <c r="Y2040" s="50" t="s">
        <v>482</v>
      </c>
      <c r="Z2040" s="49">
        <f t="shared" si="6"/>
        <v>0</v>
      </c>
    </row>
    <row r="2041" ht="22.5" customHeight="1">
      <c r="B2041" s="57"/>
      <c r="C2041" s="43" t="str">
        <f t="array" ref="C2041">IF(B2041="","",_xlfn.XLOOKUP(B2041,'Form responses 1'!$B$2:$B$2604,'Form responses 1'!$A$2:$A$2604,""))</f>
        <v/>
      </c>
      <c r="D2041" s="44" t="str">
        <f t="shared" si="3"/>
        <v/>
      </c>
      <c r="E2041" s="44" t="str">
        <f t="array" ref="E2041">IF(B2041="","",_xlfn.XLOOKUP(B2041,'Form responses 1'!$B$2:$B$2604,'Form responses 1'!$C$2:$C$2604,""))</f>
        <v/>
      </c>
      <c r="F2041" s="44" t="str">
        <f t="array" ref="F2041">IF(B2041="","",_xlfn.XLOOKUP(B2041,'Form responses 1'!$B$2:$B$2604,'Form responses 1'!$D$2:$D$2604,""))</f>
        <v/>
      </c>
      <c r="G2041" s="44" t="str">
        <f t="array" ref="G2041">IF(B2041="","",_xlfn.XLOOKUP(B2041,'Form responses 1'!$B$2:$B$2604,'Form responses 1'!$E$2:$E$2604,""))</f>
        <v/>
      </c>
      <c r="H2041" s="44" t="str">
        <f t="array" ref="H2041">IF(B2041="","",_xlfn.XLOOKUP(B2041,'Form responses 1'!$B$2:$B$2604,'Form responses 1'!$F$2:$F$2604,""))</f>
        <v/>
      </c>
      <c r="I2041" s="44" t="str">
        <f t="array" ref="I2041">IF(B2041="","",_xlfn.XLOOKUP(B2041,'Form responses 1'!$B$2:$B$2604,'Form responses 1'!$I$2:$I$2604,""))</f>
        <v/>
      </c>
      <c r="J2041" s="44" t="str">
        <f t="array" ref="J2041">IF(B2041="","",_xlfn.XLOOKUP(B2041,'Form responses 1'!$B$2:$B$2604,'Form responses 1'!$G$2:$G$2604,""))</f>
        <v/>
      </c>
      <c r="K2041" s="56"/>
      <c r="L2041" s="58" t="str">
        <f t="shared" si="7"/>
        <v/>
      </c>
      <c r="M2041" s="49"/>
      <c r="N2041" s="49"/>
      <c r="O2041" s="49"/>
      <c r="P2041" s="49"/>
      <c r="Q2041" s="49"/>
      <c r="R2041" s="49"/>
      <c r="S2041" s="49"/>
      <c r="T2041" s="49"/>
      <c r="U2041" s="49"/>
      <c r="V2041" s="49"/>
      <c r="W2041" s="56"/>
      <c r="X2041" s="51" t="str">
        <f t="shared" si="5"/>
        <v/>
      </c>
      <c r="Y2041" s="50" t="s">
        <v>482</v>
      </c>
      <c r="Z2041" s="49">
        <f t="shared" si="6"/>
        <v>0</v>
      </c>
    </row>
    <row r="2042" ht="22.5" customHeight="1">
      <c r="B2042" s="57"/>
      <c r="C2042" s="43" t="str">
        <f t="array" ref="C2042">IF(B2042="","",_xlfn.XLOOKUP(B2042,'Form responses 1'!$B$2:$B$2604,'Form responses 1'!$A$2:$A$2604,""))</f>
        <v/>
      </c>
      <c r="D2042" s="44" t="str">
        <f t="shared" si="3"/>
        <v/>
      </c>
      <c r="E2042" s="44" t="str">
        <f t="array" ref="E2042">IF(B2042="","",_xlfn.XLOOKUP(B2042,'Form responses 1'!$B$2:$B$2604,'Form responses 1'!$C$2:$C$2604,""))</f>
        <v/>
      </c>
      <c r="F2042" s="44" t="str">
        <f t="array" ref="F2042">IF(B2042="","",_xlfn.XLOOKUP(B2042,'Form responses 1'!$B$2:$B$2604,'Form responses 1'!$D$2:$D$2604,""))</f>
        <v/>
      </c>
      <c r="G2042" s="44" t="str">
        <f t="array" ref="G2042">IF(B2042="","",_xlfn.XLOOKUP(B2042,'Form responses 1'!$B$2:$B$2604,'Form responses 1'!$E$2:$E$2604,""))</f>
        <v/>
      </c>
      <c r="H2042" s="44" t="str">
        <f t="array" ref="H2042">IF(B2042="","",_xlfn.XLOOKUP(B2042,'Form responses 1'!$B$2:$B$2604,'Form responses 1'!$F$2:$F$2604,""))</f>
        <v/>
      </c>
      <c r="I2042" s="44" t="str">
        <f t="array" ref="I2042">IF(B2042="","",_xlfn.XLOOKUP(B2042,'Form responses 1'!$B$2:$B$2604,'Form responses 1'!$I$2:$I$2604,""))</f>
        <v/>
      </c>
      <c r="J2042" s="44" t="str">
        <f t="array" ref="J2042">IF(B2042="","",_xlfn.XLOOKUP(B2042,'Form responses 1'!$B$2:$B$2604,'Form responses 1'!$G$2:$G$2604,""))</f>
        <v/>
      </c>
      <c r="K2042" s="56"/>
      <c r="L2042" s="58" t="str">
        <f t="shared" si="7"/>
        <v/>
      </c>
      <c r="M2042" s="49"/>
      <c r="N2042" s="49"/>
      <c r="O2042" s="49"/>
      <c r="P2042" s="49"/>
      <c r="Q2042" s="49"/>
      <c r="R2042" s="49"/>
      <c r="S2042" s="49"/>
      <c r="T2042" s="49"/>
      <c r="U2042" s="49"/>
      <c r="V2042" s="49"/>
      <c r="W2042" s="56"/>
      <c r="X2042" s="51" t="str">
        <f t="shared" si="5"/>
        <v/>
      </c>
      <c r="Y2042" s="50" t="s">
        <v>482</v>
      </c>
      <c r="Z2042" s="49">
        <f t="shared" si="6"/>
        <v>0</v>
      </c>
    </row>
    <row r="2043" ht="22.5" customHeight="1">
      <c r="B2043" s="57"/>
      <c r="C2043" s="43" t="str">
        <f t="array" ref="C2043">IF(B2043="","",_xlfn.XLOOKUP(B2043,'Form responses 1'!$B$2:$B$2604,'Form responses 1'!$A$2:$A$2604,""))</f>
        <v/>
      </c>
      <c r="D2043" s="44" t="str">
        <f t="shared" si="3"/>
        <v/>
      </c>
      <c r="E2043" s="44" t="str">
        <f t="array" ref="E2043">IF(B2043="","",_xlfn.XLOOKUP(B2043,'Form responses 1'!$B$2:$B$2604,'Form responses 1'!$C$2:$C$2604,""))</f>
        <v/>
      </c>
      <c r="F2043" s="44" t="str">
        <f t="array" ref="F2043">IF(B2043="","",_xlfn.XLOOKUP(B2043,'Form responses 1'!$B$2:$B$2604,'Form responses 1'!$D$2:$D$2604,""))</f>
        <v/>
      </c>
      <c r="G2043" s="44" t="str">
        <f t="array" ref="G2043">IF(B2043="","",_xlfn.XLOOKUP(B2043,'Form responses 1'!$B$2:$B$2604,'Form responses 1'!$E$2:$E$2604,""))</f>
        <v/>
      </c>
      <c r="H2043" s="44" t="str">
        <f t="array" ref="H2043">IF(B2043="","",_xlfn.XLOOKUP(B2043,'Form responses 1'!$B$2:$B$2604,'Form responses 1'!$F$2:$F$2604,""))</f>
        <v/>
      </c>
      <c r="I2043" s="44" t="str">
        <f t="array" ref="I2043">IF(B2043="","",_xlfn.XLOOKUP(B2043,'Form responses 1'!$B$2:$B$2604,'Form responses 1'!$I$2:$I$2604,""))</f>
        <v/>
      </c>
      <c r="J2043" s="44" t="str">
        <f t="array" ref="J2043">IF(B2043="","",_xlfn.XLOOKUP(B2043,'Form responses 1'!$B$2:$B$2604,'Form responses 1'!$G$2:$G$2604,""))</f>
        <v/>
      </c>
      <c r="K2043" s="56"/>
      <c r="L2043" s="58" t="str">
        <f t="shared" si="7"/>
        <v/>
      </c>
      <c r="M2043" s="49"/>
      <c r="N2043" s="49"/>
      <c r="O2043" s="49"/>
      <c r="P2043" s="49"/>
      <c r="Q2043" s="49"/>
      <c r="R2043" s="49"/>
      <c r="S2043" s="49"/>
      <c r="T2043" s="49"/>
      <c r="U2043" s="49"/>
      <c r="V2043" s="49"/>
      <c r="W2043" s="56"/>
      <c r="X2043" s="51" t="str">
        <f t="shared" si="5"/>
        <v/>
      </c>
      <c r="Y2043" s="50" t="s">
        <v>482</v>
      </c>
      <c r="Z2043" s="49">
        <f t="shared" si="6"/>
        <v>0</v>
      </c>
    </row>
    <row r="2044" ht="22.5" customHeight="1">
      <c r="B2044" s="57"/>
      <c r="C2044" s="43" t="str">
        <f t="array" ref="C2044">IF(B2044="","",_xlfn.XLOOKUP(B2044,'Form responses 1'!$B$2:$B$2604,'Form responses 1'!$A$2:$A$2604,""))</f>
        <v/>
      </c>
      <c r="D2044" s="44" t="str">
        <f t="shared" si="3"/>
        <v/>
      </c>
      <c r="E2044" s="44" t="str">
        <f t="array" ref="E2044">IF(B2044="","",_xlfn.XLOOKUP(B2044,'Form responses 1'!$B$2:$B$2604,'Form responses 1'!$C$2:$C$2604,""))</f>
        <v/>
      </c>
      <c r="F2044" s="44" t="str">
        <f t="array" ref="F2044">IF(B2044="","",_xlfn.XLOOKUP(B2044,'Form responses 1'!$B$2:$B$2604,'Form responses 1'!$D$2:$D$2604,""))</f>
        <v/>
      </c>
      <c r="G2044" s="44" t="str">
        <f t="array" ref="G2044">IF(B2044="","",_xlfn.XLOOKUP(B2044,'Form responses 1'!$B$2:$B$2604,'Form responses 1'!$E$2:$E$2604,""))</f>
        <v/>
      </c>
      <c r="H2044" s="44" t="str">
        <f t="array" ref="H2044">IF(B2044="","",_xlfn.XLOOKUP(B2044,'Form responses 1'!$B$2:$B$2604,'Form responses 1'!$F$2:$F$2604,""))</f>
        <v/>
      </c>
      <c r="I2044" s="44" t="str">
        <f t="array" ref="I2044">IF(B2044="","",_xlfn.XLOOKUP(B2044,'Form responses 1'!$B$2:$B$2604,'Form responses 1'!$I$2:$I$2604,""))</f>
        <v/>
      </c>
      <c r="J2044" s="44" t="str">
        <f t="array" ref="J2044">IF(B2044="","",_xlfn.XLOOKUP(B2044,'Form responses 1'!$B$2:$B$2604,'Form responses 1'!$G$2:$G$2604,""))</f>
        <v/>
      </c>
      <c r="K2044" s="56"/>
      <c r="L2044" s="58" t="str">
        <f t="shared" si="7"/>
        <v/>
      </c>
      <c r="M2044" s="49"/>
      <c r="N2044" s="49"/>
      <c r="O2044" s="49"/>
      <c r="P2044" s="49"/>
      <c r="Q2044" s="49"/>
      <c r="R2044" s="49"/>
      <c r="S2044" s="49"/>
      <c r="T2044" s="49"/>
      <c r="U2044" s="49"/>
      <c r="V2044" s="49"/>
      <c r="W2044" s="56"/>
      <c r="X2044" s="51" t="str">
        <f t="shared" si="5"/>
        <v/>
      </c>
      <c r="Y2044" s="50" t="s">
        <v>482</v>
      </c>
      <c r="Z2044" s="49">
        <f t="shared" si="6"/>
        <v>0</v>
      </c>
    </row>
    <row r="2045" ht="22.5" customHeight="1">
      <c r="B2045" s="57"/>
      <c r="C2045" s="43" t="str">
        <f t="array" ref="C2045">IF(B2045="","",_xlfn.XLOOKUP(B2045,'Form responses 1'!$B$2:$B$2604,'Form responses 1'!$A$2:$A$2604,""))</f>
        <v/>
      </c>
      <c r="D2045" s="44" t="str">
        <f t="shared" si="3"/>
        <v/>
      </c>
      <c r="E2045" s="44" t="str">
        <f t="array" ref="E2045">IF(B2045="","",_xlfn.XLOOKUP(B2045,'Form responses 1'!$B$2:$B$2604,'Form responses 1'!$C$2:$C$2604,""))</f>
        <v/>
      </c>
      <c r="F2045" s="44" t="str">
        <f t="array" ref="F2045">IF(B2045="","",_xlfn.XLOOKUP(B2045,'Form responses 1'!$B$2:$B$2604,'Form responses 1'!$D$2:$D$2604,""))</f>
        <v/>
      </c>
      <c r="G2045" s="44" t="str">
        <f t="array" ref="G2045">IF(B2045="","",_xlfn.XLOOKUP(B2045,'Form responses 1'!$B$2:$B$2604,'Form responses 1'!$E$2:$E$2604,""))</f>
        <v/>
      </c>
      <c r="H2045" s="44" t="str">
        <f t="array" ref="H2045">IF(B2045="","",_xlfn.XLOOKUP(B2045,'Form responses 1'!$B$2:$B$2604,'Form responses 1'!$F$2:$F$2604,""))</f>
        <v/>
      </c>
      <c r="I2045" s="44" t="str">
        <f t="array" ref="I2045">IF(B2045="","",_xlfn.XLOOKUP(B2045,'Form responses 1'!$B$2:$B$2604,'Form responses 1'!$I$2:$I$2604,""))</f>
        <v/>
      </c>
      <c r="J2045" s="44" t="str">
        <f t="array" ref="J2045">IF(B2045="","",_xlfn.XLOOKUP(B2045,'Form responses 1'!$B$2:$B$2604,'Form responses 1'!$G$2:$G$2604,""))</f>
        <v/>
      </c>
      <c r="K2045" s="56"/>
      <c r="L2045" s="58" t="str">
        <f t="shared" si="7"/>
        <v/>
      </c>
      <c r="M2045" s="49"/>
      <c r="N2045" s="49"/>
      <c r="O2045" s="49"/>
      <c r="P2045" s="49"/>
      <c r="Q2045" s="49"/>
      <c r="R2045" s="49"/>
      <c r="S2045" s="49"/>
      <c r="T2045" s="49"/>
      <c r="U2045" s="49"/>
      <c r="V2045" s="49"/>
      <c r="W2045" s="56"/>
      <c r="X2045" s="51" t="str">
        <f t="shared" si="5"/>
        <v/>
      </c>
      <c r="Y2045" s="50" t="s">
        <v>482</v>
      </c>
      <c r="Z2045" s="49">
        <f t="shared" si="6"/>
        <v>0</v>
      </c>
    </row>
    <row r="2046" ht="22.5" customHeight="1">
      <c r="B2046" s="57"/>
      <c r="C2046" s="43" t="str">
        <f t="array" ref="C2046">IF(B2046="","",_xlfn.XLOOKUP(B2046,'Form responses 1'!$B$2:$B$2604,'Form responses 1'!$A$2:$A$2604,""))</f>
        <v/>
      </c>
      <c r="D2046" s="44" t="str">
        <f t="shared" si="3"/>
        <v/>
      </c>
      <c r="E2046" s="44" t="str">
        <f t="array" ref="E2046">IF(B2046="","",_xlfn.XLOOKUP(B2046,'Form responses 1'!$B$2:$B$2604,'Form responses 1'!$C$2:$C$2604,""))</f>
        <v/>
      </c>
      <c r="F2046" s="44" t="str">
        <f t="array" ref="F2046">IF(B2046="","",_xlfn.XLOOKUP(B2046,'Form responses 1'!$B$2:$B$2604,'Form responses 1'!$D$2:$D$2604,""))</f>
        <v/>
      </c>
      <c r="G2046" s="44" t="str">
        <f t="array" ref="G2046">IF(B2046="","",_xlfn.XLOOKUP(B2046,'Form responses 1'!$B$2:$B$2604,'Form responses 1'!$E$2:$E$2604,""))</f>
        <v/>
      </c>
      <c r="H2046" s="44" t="str">
        <f t="array" ref="H2046">IF(B2046="","",_xlfn.XLOOKUP(B2046,'Form responses 1'!$B$2:$B$2604,'Form responses 1'!$F$2:$F$2604,""))</f>
        <v/>
      </c>
      <c r="I2046" s="44" t="str">
        <f t="array" ref="I2046">IF(B2046="","",_xlfn.XLOOKUP(B2046,'Form responses 1'!$B$2:$B$2604,'Form responses 1'!$I$2:$I$2604,""))</f>
        <v/>
      </c>
      <c r="J2046" s="44" t="str">
        <f t="array" ref="J2046">IF(B2046="","",_xlfn.XLOOKUP(B2046,'Form responses 1'!$B$2:$B$2604,'Form responses 1'!$G$2:$G$2604,""))</f>
        <v/>
      </c>
      <c r="K2046" s="56"/>
      <c r="L2046" s="58" t="str">
        <f t="shared" si="7"/>
        <v/>
      </c>
      <c r="M2046" s="49"/>
      <c r="N2046" s="49"/>
      <c r="O2046" s="49"/>
      <c r="P2046" s="49"/>
      <c r="Q2046" s="49"/>
      <c r="R2046" s="49"/>
      <c r="S2046" s="49"/>
      <c r="T2046" s="49"/>
      <c r="U2046" s="49"/>
      <c r="V2046" s="49"/>
      <c r="W2046" s="56"/>
      <c r="X2046" s="51" t="str">
        <f t="shared" si="5"/>
        <v/>
      </c>
      <c r="Y2046" s="50" t="s">
        <v>482</v>
      </c>
      <c r="Z2046" s="49">
        <f t="shared" si="6"/>
        <v>0</v>
      </c>
    </row>
    <row r="2047" ht="22.5" customHeight="1">
      <c r="B2047" s="57"/>
      <c r="C2047" s="43" t="str">
        <f t="array" ref="C2047">IF(B2047="","",_xlfn.XLOOKUP(B2047,'Form responses 1'!$B$2:$B$2604,'Form responses 1'!$A$2:$A$2604,""))</f>
        <v/>
      </c>
      <c r="D2047" s="44" t="str">
        <f t="shared" si="3"/>
        <v/>
      </c>
      <c r="E2047" s="44" t="str">
        <f t="array" ref="E2047">IF(B2047="","",_xlfn.XLOOKUP(B2047,'Form responses 1'!$B$2:$B$2604,'Form responses 1'!$C$2:$C$2604,""))</f>
        <v/>
      </c>
      <c r="F2047" s="44" t="str">
        <f t="array" ref="F2047">IF(B2047="","",_xlfn.XLOOKUP(B2047,'Form responses 1'!$B$2:$B$2604,'Form responses 1'!$D$2:$D$2604,""))</f>
        <v/>
      </c>
      <c r="G2047" s="44" t="str">
        <f t="array" ref="G2047">IF(B2047="","",_xlfn.XLOOKUP(B2047,'Form responses 1'!$B$2:$B$2604,'Form responses 1'!$E$2:$E$2604,""))</f>
        <v/>
      </c>
      <c r="H2047" s="44" t="str">
        <f t="array" ref="H2047">IF(B2047="","",_xlfn.XLOOKUP(B2047,'Form responses 1'!$B$2:$B$2604,'Form responses 1'!$F$2:$F$2604,""))</f>
        <v/>
      </c>
      <c r="I2047" s="44" t="str">
        <f t="array" ref="I2047">IF(B2047="","",_xlfn.XLOOKUP(B2047,'Form responses 1'!$B$2:$B$2604,'Form responses 1'!$I$2:$I$2604,""))</f>
        <v/>
      </c>
      <c r="J2047" s="44" t="str">
        <f t="array" ref="J2047">IF(B2047="","",_xlfn.XLOOKUP(B2047,'Form responses 1'!$B$2:$B$2604,'Form responses 1'!$G$2:$G$2604,""))</f>
        <v/>
      </c>
      <c r="K2047" s="56"/>
      <c r="L2047" s="58" t="str">
        <f t="shared" si="7"/>
        <v/>
      </c>
      <c r="M2047" s="49"/>
      <c r="N2047" s="49"/>
      <c r="O2047" s="49"/>
      <c r="P2047" s="49"/>
      <c r="Q2047" s="49"/>
      <c r="R2047" s="49"/>
      <c r="S2047" s="49"/>
      <c r="T2047" s="49"/>
      <c r="U2047" s="49"/>
      <c r="V2047" s="49"/>
      <c r="W2047" s="56"/>
      <c r="X2047" s="51" t="str">
        <f t="shared" si="5"/>
        <v/>
      </c>
      <c r="Y2047" s="50" t="s">
        <v>482</v>
      </c>
      <c r="Z2047" s="49">
        <f t="shared" si="6"/>
        <v>0</v>
      </c>
    </row>
    <row r="2048" ht="22.5" customHeight="1">
      <c r="B2048" s="57"/>
      <c r="C2048" s="43" t="str">
        <f t="array" ref="C2048">IF(B2048="","",_xlfn.XLOOKUP(B2048,'Form responses 1'!$B$2:$B$2604,'Form responses 1'!$A$2:$A$2604,""))</f>
        <v/>
      </c>
      <c r="D2048" s="44" t="str">
        <f t="shared" si="3"/>
        <v/>
      </c>
      <c r="E2048" s="44" t="str">
        <f t="array" ref="E2048">IF(B2048="","",_xlfn.XLOOKUP(B2048,'Form responses 1'!$B$2:$B$2604,'Form responses 1'!$C$2:$C$2604,""))</f>
        <v/>
      </c>
      <c r="F2048" s="44" t="str">
        <f t="array" ref="F2048">IF(B2048="","",_xlfn.XLOOKUP(B2048,'Form responses 1'!$B$2:$B$2604,'Form responses 1'!$D$2:$D$2604,""))</f>
        <v/>
      </c>
      <c r="G2048" s="44" t="str">
        <f t="array" ref="G2048">IF(B2048="","",_xlfn.XLOOKUP(B2048,'Form responses 1'!$B$2:$B$2604,'Form responses 1'!$E$2:$E$2604,""))</f>
        <v/>
      </c>
      <c r="H2048" s="44" t="str">
        <f t="array" ref="H2048">IF(B2048="","",_xlfn.XLOOKUP(B2048,'Form responses 1'!$B$2:$B$2604,'Form responses 1'!$F$2:$F$2604,""))</f>
        <v/>
      </c>
      <c r="I2048" s="44" t="str">
        <f t="array" ref="I2048">IF(B2048="","",_xlfn.XLOOKUP(B2048,'Form responses 1'!$B$2:$B$2604,'Form responses 1'!$I$2:$I$2604,""))</f>
        <v/>
      </c>
      <c r="J2048" s="44" t="str">
        <f t="array" ref="J2048">IF(B2048="","",_xlfn.XLOOKUP(B2048,'Form responses 1'!$B$2:$B$2604,'Form responses 1'!$G$2:$G$2604,""))</f>
        <v/>
      </c>
      <c r="K2048" s="56"/>
      <c r="L2048" s="58" t="str">
        <f t="shared" si="7"/>
        <v/>
      </c>
      <c r="M2048" s="49"/>
      <c r="N2048" s="49"/>
      <c r="O2048" s="49"/>
      <c r="P2048" s="49"/>
      <c r="Q2048" s="49"/>
      <c r="R2048" s="49"/>
      <c r="S2048" s="49"/>
      <c r="T2048" s="49"/>
      <c r="U2048" s="49"/>
      <c r="V2048" s="49"/>
      <c r="W2048" s="56"/>
      <c r="X2048" s="51" t="str">
        <f t="shared" si="5"/>
        <v/>
      </c>
      <c r="Y2048" s="50" t="s">
        <v>482</v>
      </c>
      <c r="Z2048" s="49">
        <f t="shared" si="6"/>
        <v>0</v>
      </c>
    </row>
    <row r="2049" ht="22.5" customHeight="1">
      <c r="B2049" s="57"/>
      <c r="C2049" s="43" t="str">
        <f t="array" ref="C2049">IF(B2049="","",_xlfn.XLOOKUP(B2049,'Form responses 1'!$B$2:$B$2604,'Form responses 1'!$A$2:$A$2604,""))</f>
        <v/>
      </c>
      <c r="D2049" s="44" t="str">
        <f t="shared" si="3"/>
        <v/>
      </c>
      <c r="E2049" s="44" t="str">
        <f t="array" ref="E2049">IF(B2049="","",_xlfn.XLOOKUP(B2049,'Form responses 1'!$B$2:$B$2604,'Form responses 1'!$C$2:$C$2604,""))</f>
        <v/>
      </c>
      <c r="F2049" s="44" t="str">
        <f t="array" ref="F2049">IF(B2049="","",_xlfn.XLOOKUP(B2049,'Form responses 1'!$B$2:$B$2604,'Form responses 1'!$D$2:$D$2604,""))</f>
        <v/>
      </c>
      <c r="G2049" s="44" t="str">
        <f t="array" ref="G2049">IF(B2049="","",_xlfn.XLOOKUP(B2049,'Form responses 1'!$B$2:$B$2604,'Form responses 1'!$E$2:$E$2604,""))</f>
        <v/>
      </c>
      <c r="H2049" s="44" t="str">
        <f t="array" ref="H2049">IF(B2049="","",_xlfn.XLOOKUP(B2049,'Form responses 1'!$B$2:$B$2604,'Form responses 1'!$F$2:$F$2604,""))</f>
        <v/>
      </c>
      <c r="I2049" s="44" t="str">
        <f t="array" ref="I2049">IF(B2049="","",_xlfn.XLOOKUP(B2049,'Form responses 1'!$B$2:$B$2604,'Form responses 1'!$I$2:$I$2604,""))</f>
        <v/>
      </c>
      <c r="J2049" s="44" t="str">
        <f t="array" ref="J2049">IF(B2049="","",_xlfn.XLOOKUP(B2049,'Form responses 1'!$B$2:$B$2604,'Form responses 1'!$G$2:$G$2604,""))</f>
        <v/>
      </c>
      <c r="K2049" s="56"/>
      <c r="L2049" s="58" t="str">
        <f t="shared" si="7"/>
        <v/>
      </c>
      <c r="M2049" s="49"/>
      <c r="N2049" s="49"/>
      <c r="O2049" s="49"/>
      <c r="P2049" s="49"/>
      <c r="Q2049" s="49"/>
      <c r="R2049" s="49"/>
      <c r="S2049" s="49"/>
      <c r="T2049" s="49"/>
      <c r="U2049" s="49"/>
      <c r="V2049" s="49"/>
      <c r="W2049" s="56"/>
      <c r="X2049" s="51" t="str">
        <f t="shared" si="5"/>
        <v/>
      </c>
      <c r="Y2049" s="50" t="s">
        <v>482</v>
      </c>
      <c r="Z2049" s="49">
        <f t="shared" si="6"/>
        <v>0</v>
      </c>
    </row>
    <row r="2050" ht="22.5" customHeight="1">
      <c r="B2050" s="57"/>
      <c r="C2050" s="43" t="str">
        <f t="array" ref="C2050">IF(B2050="","",_xlfn.XLOOKUP(B2050,'Form responses 1'!$B$2:$B$2604,'Form responses 1'!$A$2:$A$2604,""))</f>
        <v/>
      </c>
      <c r="D2050" s="44" t="str">
        <f t="shared" si="3"/>
        <v/>
      </c>
      <c r="E2050" s="44" t="str">
        <f t="array" ref="E2050">IF(B2050="","",_xlfn.XLOOKUP(B2050,'Form responses 1'!$B$2:$B$2604,'Form responses 1'!$C$2:$C$2604,""))</f>
        <v/>
      </c>
      <c r="F2050" s="44" t="str">
        <f t="array" ref="F2050">IF(B2050="","",_xlfn.XLOOKUP(B2050,'Form responses 1'!$B$2:$B$2604,'Form responses 1'!$D$2:$D$2604,""))</f>
        <v/>
      </c>
      <c r="G2050" s="44" t="str">
        <f t="array" ref="G2050">IF(B2050="","",_xlfn.XLOOKUP(B2050,'Form responses 1'!$B$2:$B$2604,'Form responses 1'!$E$2:$E$2604,""))</f>
        <v/>
      </c>
      <c r="H2050" s="44" t="str">
        <f t="array" ref="H2050">IF(B2050="","",_xlfn.XLOOKUP(B2050,'Form responses 1'!$B$2:$B$2604,'Form responses 1'!$F$2:$F$2604,""))</f>
        <v/>
      </c>
      <c r="I2050" s="44" t="str">
        <f t="array" ref="I2050">IF(B2050="","",_xlfn.XLOOKUP(B2050,'Form responses 1'!$B$2:$B$2604,'Form responses 1'!$I$2:$I$2604,""))</f>
        <v/>
      </c>
      <c r="J2050" s="44" t="str">
        <f t="array" ref="J2050">IF(B2050="","",_xlfn.XLOOKUP(B2050,'Form responses 1'!$B$2:$B$2604,'Form responses 1'!$G$2:$G$2604,""))</f>
        <v/>
      </c>
      <c r="K2050" s="56"/>
      <c r="L2050" s="58" t="str">
        <f t="shared" si="7"/>
        <v/>
      </c>
      <c r="M2050" s="49"/>
      <c r="N2050" s="49"/>
      <c r="O2050" s="49"/>
      <c r="P2050" s="49"/>
      <c r="Q2050" s="49"/>
      <c r="R2050" s="49"/>
      <c r="S2050" s="49"/>
      <c r="T2050" s="49"/>
      <c r="U2050" s="49"/>
      <c r="V2050" s="49"/>
      <c r="W2050" s="56"/>
      <c r="X2050" s="51" t="str">
        <f t="shared" si="5"/>
        <v/>
      </c>
      <c r="Y2050" s="50" t="s">
        <v>482</v>
      </c>
      <c r="Z2050" s="49">
        <f t="shared" si="6"/>
        <v>0</v>
      </c>
    </row>
    <row r="2051" ht="22.5" customHeight="1">
      <c r="B2051" s="57"/>
      <c r="C2051" s="43" t="str">
        <f t="array" ref="C2051">IF(B2051="","",_xlfn.XLOOKUP(B2051,'Form responses 1'!$B$2:$B$2604,'Form responses 1'!$A$2:$A$2604,""))</f>
        <v/>
      </c>
      <c r="D2051" s="44" t="str">
        <f t="shared" si="3"/>
        <v/>
      </c>
      <c r="E2051" s="44" t="str">
        <f t="array" ref="E2051">IF(B2051="","",_xlfn.XLOOKUP(B2051,'Form responses 1'!$B$2:$B$2604,'Form responses 1'!$C$2:$C$2604,""))</f>
        <v/>
      </c>
      <c r="F2051" s="44" t="str">
        <f t="array" ref="F2051">IF(B2051="","",_xlfn.XLOOKUP(B2051,'Form responses 1'!$B$2:$B$2604,'Form responses 1'!$D$2:$D$2604,""))</f>
        <v/>
      </c>
      <c r="G2051" s="44" t="str">
        <f t="array" ref="G2051">IF(B2051="","",_xlfn.XLOOKUP(B2051,'Form responses 1'!$B$2:$B$2604,'Form responses 1'!$E$2:$E$2604,""))</f>
        <v/>
      </c>
      <c r="H2051" s="44" t="str">
        <f t="array" ref="H2051">IF(B2051="","",_xlfn.XLOOKUP(B2051,'Form responses 1'!$B$2:$B$2604,'Form responses 1'!$F$2:$F$2604,""))</f>
        <v/>
      </c>
      <c r="I2051" s="44" t="str">
        <f t="array" ref="I2051">IF(B2051="","",_xlfn.XLOOKUP(B2051,'Form responses 1'!$B$2:$B$2604,'Form responses 1'!$I$2:$I$2604,""))</f>
        <v/>
      </c>
      <c r="J2051" s="44" t="str">
        <f t="array" ref="J2051">IF(B2051="","",_xlfn.XLOOKUP(B2051,'Form responses 1'!$B$2:$B$2604,'Form responses 1'!$G$2:$G$2604,""))</f>
        <v/>
      </c>
      <c r="K2051" s="56"/>
      <c r="L2051" s="58" t="str">
        <f t="shared" si="7"/>
        <v/>
      </c>
      <c r="M2051" s="49"/>
      <c r="N2051" s="49"/>
      <c r="O2051" s="49"/>
      <c r="P2051" s="49"/>
      <c r="Q2051" s="49"/>
      <c r="R2051" s="49"/>
      <c r="S2051" s="49"/>
      <c r="T2051" s="49"/>
      <c r="U2051" s="49"/>
      <c r="V2051" s="49"/>
      <c r="W2051" s="56"/>
      <c r="X2051" s="51" t="str">
        <f t="shared" si="5"/>
        <v/>
      </c>
      <c r="Y2051" s="50" t="s">
        <v>482</v>
      </c>
      <c r="Z2051" s="49">
        <f t="shared" si="6"/>
        <v>0</v>
      </c>
    </row>
    <row r="2052" ht="22.5" customHeight="1">
      <c r="B2052" s="57"/>
      <c r="C2052" s="43" t="str">
        <f t="array" ref="C2052">IF(B2052="","",_xlfn.XLOOKUP(B2052,'Form responses 1'!$B$2:$B$2604,'Form responses 1'!$A$2:$A$2604,""))</f>
        <v/>
      </c>
      <c r="D2052" s="44" t="str">
        <f t="shared" si="3"/>
        <v/>
      </c>
      <c r="E2052" s="44" t="str">
        <f t="array" ref="E2052">IF(B2052="","",_xlfn.XLOOKUP(B2052,'Form responses 1'!$B$2:$B$2604,'Form responses 1'!$C$2:$C$2604,""))</f>
        <v/>
      </c>
      <c r="F2052" s="44" t="str">
        <f t="array" ref="F2052">IF(B2052="","",_xlfn.XLOOKUP(B2052,'Form responses 1'!$B$2:$B$2604,'Form responses 1'!$D$2:$D$2604,""))</f>
        <v/>
      </c>
      <c r="G2052" s="44" t="str">
        <f t="array" ref="G2052">IF(B2052="","",_xlfn.XLOOKUP(B2052,'Form responses 1'!$B$2:$B$2604,'Form responses 1'!$E$2:$E$2604,""))</f>
        <v/>
      </c>
      <c r="H2052" s="44" t="str">
        <f t="array" ref="H2052">IF(B2052="","",_xlfn.XLOOKUP(B2052,'Form responses 1'!$B$2:$B$2604,'Form responses 1'!$F$2:$F$2604,""))</f>
        <v/>
      </c>
      <c r="I2052" s="44" t="str">
        <f t="array" ref="I2052">IF(B2052="","",_xlfn.XLOOKUP(B2052,'Form responses 1'!$B$2:$B$2604,'Form responses 1'!$I$2:$I$2604,""))</f>
        <v/>
      </c>
      <c r="J2052" s="44" t="str">
        <f t="array" ref="J2052">IF(B2052="","",_xlfn.XLOOKUP(B2052,'Form responses 1'!$B$2:$B$2604,'Form responses 1'!$G$2:$G$2604,""))</f>
        <v/>
      </c>
      <c r="K2052" s="56"/>
      <c r="L2052" s="58" t="str">
        <f t="shared" si="7"/>
        <v/>
      </c>
      <c r="M2052" s="49"/>
      <c r="N2052" s="49"/>
      <c r="O2052" s="49"/>
      <c r="P2052" s="49"/>
      <c r="Q2052" s="49"/>
      <c r="R2052" s="49"/>
      <c r="S2052" s="49"/>
      <c r="T2052" s="49"/>
      <c r="U2052" s="49"/>
      <c r="V2052" s="49"/>
      <c r="W2052" s="56"/>
      <c r="X2052" s="51" t="str">
        <f t="shared" si="5"/>
        <v/>
      </c>
      <c r="Y2052" s="50" t="s">
        <v>482</v>
      </c>
      <c r="Z2052" s="49">
        <f t="shared" si="6"/>
        <v>0</v>
      </c>
    </row>
    <row r="2053" ht="22.5" customHeight="1">
      <c r="B2053" s="57"/>
      <c r="C2053" s="43" t="str">
        <f t="array" ref="C2053">IF(B2053="","",_xlfn.XLOOKUP(B2053,'Form responses 1'!$B$2:$B$2604,'Form responses 1'!$A$2:$A$2604,""))</f>
        <v/>
      </c>
      <c r="D2053" s="44" t="str">
        <f t="shared" si="3"/>
        <v/>
      </c>
      <c r="E2053" s="44" t="str">
        <f t="array" ref="E2053">IF(B2053="","",_xlfn.XLOOKUP(B2053,'Form responses 1'!$B$2:$B$2604,'Form responses 1'!$C$2:$C$2604,""))</f>
        <v/>
      </c>
      <c r="F2053" s="44" t="str">
        <f t="array" ref="F2053">IF(B2053="","",_xlfn.XLOOKUP(B2053,'Form responses 1'!$B$2:$B$2604,'Form responses 1'!$D$2:$D$2604,""))</f>
        <v/>
      </c>
      <c r="G2053" s="44" t="str">
        <f t="array" ref="G2053">IF(B2053="","",_xlfn.XLOOKUP(B2053,'Form responses 1'!$B$2:$B$2604,'Form responses 1'!$E$2:$E$2604,""))</f>
        <v/>
      </c>
      <c r="H2053" s="44" t="str">
        <f t="array" ref="H2053">IF(B2053="","",_xlfn.XLOOKUP(B2053,'Form responses 1'!$B$2:$B$2604,'Form responses 1'!$F$2:$F$2604,""))</f>
        <v/>
      </c>
      <c r="I2053" s="44" t="str">
        <f t="array" ref="I2053">IF(B2053="","",_xlfn.XLOOKUP(B2053,'Form responses 1'!$B$2:$B$2604,'Form responses 1'!$I$2:$I$2604,""))</f>
        <v/>
      </c>
      <c r="J2053" s="44" t="str">
        <f t="array" ref="J2053">IF(B2053="","",_xlfn.XLOOKUP(B2053,'Form responses 1'!$B$2:$B$2604,'Form responses 1'!$G$2:$G$2604,""))</f>
        <v/>
      </c>
      <c r="K2053" s="56"/>
      <c r="L2053" s="58" t="str">
        <f t="shared" si="7"/>
        <v/>
      </c>
      <c r="M2053" s="49"/>
      <c r="N2053" s="49"/>
      <c r="O2053" s="49"/>
      <c r="P2053" s="49"/>
      <c r="Q2053" s="49"/>
      <c r="R2053" s="49"/>
      <c r="S2053" s="49"/>
      <c r="T2053" s="49"/>
      <c r="U2053" s="49"/>
      <c r="V2053" s="49"/>
      <c r="W2053" s="56"/>
      <c r="X2053" s="51" t="str">
        <f t="shared" si="5"/>
        <v/>
      </c>
      <c r="Y2053" s="50" t="s">
        <v>482</v>
      </c>
      <c r="Z2053" s="49">
        <f t="shared" si="6"/>
        <v>0</v>
      </c>
    </row>
    <row r="2054" ht="22.5" customHeight="1">
      <c r="B2054" s="57"/>
      <c r="C2054" s="43" t="str">
        <f t="array" ref="C2054">IF(B2054="","",_xlfn.XLOOKUP(B2054,'Form responses 1'!$B$2:$B$2604,'Form responses 1'!$A$2:$A$2604,""))</f>
        <v/>
      </c>
      <c r="D2054" s="44" t="str">
        <f t="shared" si="3"/>
        <v/>
      </c>
      <c r="E2054" s="44" t="str">
        <f t="array" ref="E2054">IF(B2054="","",_xlfn.XLOOKUP(B2054,'Form responses 1'!$B$2:$B$2604,'Form responses 1'!$C$2:$C$2604,""))</f>
        <v/>
      </c>
      <c r="F2054" s="44" t="str">
        <f t="array" ref="F2054">IF(B2054="","",_xlfn.XLOOKUP(B2054,'Form responses 1'!$B$2:$B$2604,'Form responses 1'!$D$2:$D$2604,""))</f>
        <v/>
      </c>
      <c r="G2054" s="44" t="str">
        <f t="array" ref="G2054">IF(B2054="","",_xlfn.XLOOKUP(B2054,'Form responses 1'!$B$2:$B$2604,'Form responses 1'!$E$2:$E$2604,""))</f>
        <v/>
      </c>
      <c r="H2054" s="44" t="str">
        <f t="array" ref="H2054">IF(B2054="","",_xlfn.XLOOKUP(B2054,'Form responses 1'!$B$2:$B$2604,'Form responses 1'!$F$2:$F$2604,""))</f>
        <v/>
      </c>
      <c r="I2054" s="44" t="str">
        <f t="array" ref="I2054">IF(B2054="","",_xlfn.XLOOKUP(B2054,'Form responses 1'!$B$2:$B$2604,'Form responses 1'!$I$2:$I$2604,""))</f>
        <v/>
      </c>
      <c r="J2054" s="44" t="str">
        <f t="array" ref="J2054">IF(B2054="","",_xlfn.XLOOKUP(B2054,'Form responses 1'!$B$2:$B$2604,'Form responses 1'!$G$2:$G$2604,""))</f>
        <v/>
      </c>
      <c r="K2054" s="56"/>
      <c r="L2054" s="58" t="str">
        <f t="shared" si="7"/>
        <v/>
      </c>
      <c r="M2054" s="49"/>
      <c r="N2054" s="49"/>
      <c r="O2054" s="49"/>
      <c r="P2054" s="49"/>
      <c r="Q2054" s="49"/>
      <c r="R2054" s="49"/>
      <c r="S2054" s="49"/>
      <c r="T2054" s="49"/>
      <c r="U2054" s="49"/>
      <c r="V2054" s="49"/>
      <c r="W2054" s="56"/>
      <c r="X2054" s="51" t="str">
        <f t="shared" si="5"/>
        <v/>
      </c>
      <c r="Y2054" s="50" t="s">
        <v>482</v>
      </c>
      <c r="Z2054" s="49">
        <f t="shared" si="6"/>
        <v>0</v>
      </c>
    </row>
    <row r="2055" ht="22.5" customHeight="1">
      <c r="B2055" s="57"/>
      <c r="C2055" s="43" t="str">
        <f t="array" ref="C2055">IF(B2055="","",_xlfn.XLOOKUP(B2055,'Form responses 1'!$B$2:$B$2604,'Form responses 1'!$A$2:$A$2604,""))</f>
        <v/>
      </c>
      <c r="D2055" s="44" t="str">
        <f t="shared" si="3"/>
        <v/>
      </c>
      <c r="E2055" s="44" t="str">
        <f t="array" ref="E2055">IF(B2055="","",_xlfn.XLOOKUP(B2055,'Form responses 1'!$B$2:$B$2604,'Form responses 1'!$C$2:$C$2604,""))</f>
        <v/>
      </c>
      <c r="F2055" s="44" t="str">
        <f t="array" ref="F2055">IF(B2055="","",_xlfn.XLOOKUP(B2055,'Form responses 1'!$B$2:$B$2604,'Form responses 1'!$D$2:$D$2604,""))</f>
        <v/>
      </c>
      <c r="G2055" s="44" t="str">
        <f t="array" ref="G2055">IF(B2055="","",_xlfn.XLOOKUP(B2055,'Form responses 1'!$B$2:$B$2604,'Form responses 1'!$E$2:$E$2604,""))</f>
        <v/>
      </c>
      <c r="H2055" s="44" t="str">
        <f t="array" ref="H2055">IF(B2055="","",_xlfn.XLOOKUP(B2055,'Form responses 1'!$B$2:$B$2604,'Form responses 1'!$F$2:$F$2604,""))</f>
        <v/>
      </c>
      <c r="I2055" s="44" t="str">
        <f t="array" ref="I2055">IF(B2055="","",_xlfn.XLOOKUP(B2055,'Form responses 1'!$B$2:$B$2604,'Form responses 1'!$I$2:$I$2604,""))</f>
        <v/>
      </c>
      <c r="J2055" s="44" t="str">
        <f t="array" ref="J2055">IF(B2055="","",_xlfn.XLOOKUP(B2055,'Form responses 1'!$B$2:$B$2604,'Form responses 1'!$G$2:$G$2604,""))</f>
        <v/>
      </c>
      <c r="K2055" s="56"/>
      <c r="L2055" s="58" t="str">
        <f t="shared" si="7"/>
        <v/>
      </c>
      <c r="M2055" s="49"/>
      <c r="N2055" s="49"/>
      <c r="O2055" s="49"/>
      <c r="P2055" s="49"/>
      <c r="Q2055" s="49"/>
      <c r="R2055" s="49"/>
      <c r="S2055" s="49"/>
      <c r="T2055" s="49"/>
      <c r="U2055" s="49"/>
      <c r="V2055" s="49"/>
      <c r="W2055" s="56"/>
      <c r="X2055" s="51" t="str">
        <f t="shared" si="5"/>
        <v/>
      </c>
      <c r="Y2055" s="50" t="s">
        <v>482</v>
      </c>
      <c r="Z2055" s="49">
        <f t="shared" si="6"/>
        <v>0</v>
      </c>
    </row>
    <row r="2056" ht="22.5" customHeight="1">
      <c r="B2056" s="57"/>
      <c r="C2056" s="43" t="str">
        <f t="array" ref="C2056">IF(B2056="","",_xlfn.XLOOKUP(B2056,'Form responses 1'!$B$2:$B$2604,'Form responses 1'!$A$2:$A$2604,""))</f>
        <v/>
      </c>
      <c r="D2056" s="44" t="str">
        <f t="shared" si="3"/>
        <v/>
      </c>
      <c r="E2056" s="44" t="str">
        <f t="array" ref="E2056">IF(B2056="","",_xlfn.XLOOKUP(B2056,'Form responses 1'!$B$2:$B$2604,'Form responses 1'!$C$2:$C$2604,""))</f>
        <v/>
      </c>
      <c r="F2056" s="44" t="str">
        <f t="array" ref="F2056">IF(B2056="","",_xlfn.XLOOKUP(B2056,'Form responses 1'!$B$2:$B$2604,'Form responses 1'!$D$2:$D$2604,""))</f>
        <v/>
      </c>
      <c r="G2056" s="44" t="str">
        <f t="array" ref="G2056">IF(B2056="","",_xlfn.XLOOKUP(B2056,'Form responses 1'!$B$2:$B$2604,'Form responses 1'!$E$2:$E$2604,""))</f>
        <v/>
      </c>
      <c r="H2056" s="44" t="str">
        <f t="array" ref="H2056">IF(B2056="","",_xlfn.XLOOKUP(B2056,'Form responses 1'!$B$2:$B$2604,'Form responses 1'!$F$2:$F$2604,""))</f>
        <v/>
      </c>
      <c r="I2056" s="44" t="str">
        <f t="array" ref="I2056">IF(B2056="","",_xlfn.XLOOKUP(B2056,'Form responses 1'!$B$2:$B$2604,'Form responses 1'!$I$2:$I$2604,""))</f>
        <v/>
      </c>
      <c r="J2056" s="44" t="str">
        <f t="array" ref="J2056">IF(B2056="","",_xlfn.XLOOKUP(B2056,'Form responses 1'!$B$2:$B$2604,'Form responses 1'!$G$2:$G$2604,""))</f>
        <v/>
      </c>
      <c r="K2056" s="56"/>
      <c r="L2056" s="58" t="str">
        <f t="shared" si="7"/>
        <v/>
      </c>
      <c r="M2056" s="49"/>
      <c r="N2056" s="49"/>
      <c r="O2056" s="49"/>
      <c r="P2056" s="49"/>
      <c r="Q2056" s="49"/>
      <c r="R2056" s="49"/>
      <c r="S2056" s="49"/>
      <c r="T2056" s="49"/>
      <c r="U2056" s="49"/>
      <c r="V2056" s="49"/>
      <c r="W2056" s="56"/>
      <c r="X2056" s="51" t="str">
        <f t="shared" si="5"/>
        <v/>
      </c>
      <c r="Y2056" s="50" t="s">
        <v>482</v>
      </c>
      <c r="Z2056" s="49">
        <f t="shared" si="6"/>
        <v>0</v>
      </c>
    </row>
    <row r="2057" ht="22.5" customHeight="1">
      <c r="B2057" s="57"/>
      <c r="C2057" s="43" t="str">
        <f t="array" ref="C2057">IF(B2057="","",_xlfn.XLOOKUP(B2057,'Form responses 1'!$B$2:$B$2604,'Form responses 1'!$A$2:$A$2604,""))</f>
        <v/>
      </c>
      <c r="D2057" s="44" t="str">
        <f t="shared" si="3"/>
        <v/>
      </c>
      <c r="E2057" s="44" t="str">
        <f t="array" ref="E2057">IF(B2057="","",_xlfn.XLOOKUP(B2057,'Form responses 1'!$B$2:$B$2604,'Form responses 1'!$C$2:$C$2604,""))</f>
        <v/>
      </c>
      <c r="F2057" s="44" t="str">
        <f t="array" ref="F2057">IF(B2057="","",_xlfn.XLOOKUP(B2057,'Form responses 1'!$B$2:$B$2604,'Form responses 1'!$D$2:$D$2604,""))</f>
        <v/>
      </c>
      <c r="G2057" s="44" t="str">
        <f t="array" ref="G2057">IF(B2057="","",_xlfn.XLOOKUP(B2057,'Form responses 1'!$B$2:$B$2604,'Form responses 1'!$E$2:$E$2604,""))</f>
        <v/>
      </c>
      <c r="H2057" s="44" t="str">
        <f t="array" ref="H2057">IF(B2057="","",_xlfn.XLOOKUP(B2057,'Form responses 1'!$B$2:$B$2604,'Form responses 1'!$F$2:$F$2604,""))</f>
        <v/>
      </c>
      <c r="I2057" s="44" t="str">
        <f t="array" ref="I2057">IF(B2057="","",_xlfn.XLOOKUP(B2057,'Form responses 1'!$B$2:$B$2604,'Form responses 1'!$I$2:$I$2604,""))</f>
        <v/>
      </c>
      <c r="J2057" s="44" t="str">
        <f t="array" ref="J2057">IF(B2057="","",_xlfn.XLOOKUP(B2057,'Form responses 1'!$B$2:$B$2604,'Form responses 1'!$G$2:$G$2604,""))</f>
        <v/>
      </c>
      <c r="K2057" s="56"/>
      <c r="L2057" s="58" t="str">
        <f t="shared" si="7"/>
        <v/>
      </c>
      <c r="M2057" s="49"/>
      <c r="N2057" s="49"/>
      <c r="O2057" s="49"/>
      <c r="P2057" s="49"/>
      <c r="Q2057" s="49"/>
      <c r="R2057" s="49"/>
      <c r="S2057" s="49"/>
      <c r="T2057" s="49"/>
      <c r="U2057" s="49"/>
      <c r="V2057" s="49"/>
      <c r="W2057" s="56"/>
      <c r="X2057" s="51" t="str">
        <f t="shared" si="5"/>
        <v/>
      </c>
      <c r="Y2057" s="50" t="s">
        <v>482</v>
      </c>
      <c r="Z2057" s="49">
        <f t="shared" si="6"/>
        <v>0</v>
      </c>
    </row>
    <row r="2058" ht="22.5" customHeight="1">
      <c r="B2058" s="57"/>
      <c r="C2058" s="43" t="str">
        <f t="array" ref="C2058">IF(B2058="","",_xlfn.XLOOKUP(B2058,'Form responses 1'!$B$2:$B$2604,'Form responses 1'!$A$2:$A$2604,""))</f>
        <v/>
      </c>
      <c r="D2058" s="44" t="str">
        <f t="shared" si="3"/>
        <v/>
      </c>
      <c r="E2058" s="44" t="str">
        <f t="array" ref="E2058">IF(B2058="","",_xlfn.XLOOKUP(B2058,'Form responses 1'!$B$2:$B$2604,'Form responses 1'!$C$2:$C$2604,""))</f>
        <v/>
      </c>
      <c r="F2058" s="44" t="str">
        <f t="array" ref="F2058">IF(B2058="","",_xlfn.XLOOKUP(B2058,'Form responses 1'!$B$2:$B$2604,'Form responses 1'!$D$2:$D$2604,""))</f>
        <v/>
      </c>
      <c r="G2058" s="44" t="str">
        <f t="array" ref="G2058">IF(B2058="","",_xlfn.XLOOKUP(B2058,'Form responses 1'!$B$2:$B$2604,'Form responses 1'!$E$2:$E$2604,""))</f>
        <v/>
      </c>
      <c r="H2058" s="44" t="str">
        <f t="array" ref="H2058">IF(B2058="","",_xlfn.XLOOKUP(B2058,'Form responses 1'!$B$2:$B$2604,'Form responses 1'!$F$2:$F$2604,""))</f>
        <v/>
      </c>
      <c r="I2058" s="44" t="str">
        <f t="array" ref="I2058">IF(B2058="","",_xlfn.XLOOKUP(B2058,'Form responses 1'!$B$2:$B$2604,'Form responses 1'!$I$2:$I$2604,""))</f>
        <v/>
      </c>
      <c r="J2058" s="44" t="str">
        <f t="array" ref="J2058">IF(B2058="","",_xlfn.XLOOKUP(B2058,'Form responses 1'!$B$2:$B$2604,'Form responses 1'!$G$2:$G$2604,""))</f>
        <v/>
      </c>
      <c r="K2058" s="56"/>
      <c r="L2058" s="58" t="str">
        <f t="shared" si="7"/>
        <v/>
      </c>
      <c r="M2058" s="49"/>
      <c r="N2058" s="49"/>
      <c r="O2058" s="49"/>
      <c r="P2058" s="49"/>
      <c r="Q2058" s="49"/>
      <c r="R2058" s="49"/>
      <c r="S2058" s="49"/>
      <c r="T2058" s="49"/>
      <c r="U2058" s="49"/>
      <c r="V2058" s="49"/>
      <c r="W2058" s="56"/>
      <c r="X2058" s="51" t="str">
        <f t="shared" si="5"/>
        <v/>
      </c>
      <c r="Y2058" s="50" t="s">
        <v>482</v>
      </c>
      <c r="Z2058" s="49">
        <f t="shared" si="6"/>
        <v>0</v>
      </c>
    </row>
    <row r="2059" ht="22.5" customHeight="1">
      <c r="B2059" s="57"/>
      <c r="C2059" s="43" t="str">
        <f t="array" ref="C2059">IF(B2059="","",_xlfn.XLOOKUP(B2059,'Form responses 1'!$B$2:$B$2604,'Form responses 1'!$A$2:$A$2604,""))</f>
        <v/>
      </c>
      <c r="D2059" s="44" t="str">
        <f t="shared" si="3"/>
        <v/>
      </c>
      <c r="E2059" s="44" t="str">
        <f t="array" ref="E2059">IF(B2059="","",_xlfn.XLOOKUP(B2059,'Form responses 1'!$B$2:$B$2604,'Form responses 1'!$C$2:$C$2604,""))</f>
        <v/>
      </c>
      <c r="F2059" s="44" t="str">
        <f t="array" ref="F2059">IF(B2059="","",_xlfn.XLOOKUP(B2059,'Form responses 1'!$B$2:$B$2604,'Form responses 1'!$D$2:$D$2604,""))</f>
        <v/>
      </c>
      <c r="G2059" s="44" t="str">
        <f t="array" ref="G2059">IF(B2059="","",_xlfn.XLOOKUP(B2059,'Form responses 1'!$B$2:$B$2604,'Form responses 1'!$E$2:$E$2604,""))</f>
        <v/>
      </c>
      <c r="H2059" s="44" t="str">
        <f t="array" ref="H2059">IF(B2059="","",_xlfn.XLOOKUP(B2059,'Form responses 1'!$B$2:$B$2604,'Form responses 1'!$F$2:$F$2604,""))</f>
        <v/>
      </c>
      <c r="I2059" s="44" t="str">
        <f t="array" ref="I2059">IF(B2059="","",_xlfn.XLOOKUP(B2059,'Form responses 1'!$B$2:$B$2604,'Form responses 1'!$I$2:$I$2604,""))</f>
        <v/>
      </c>
      <c r="J2059" s="44" t="str">
        <f t="array" ref="J2059">IF(B2059="","",_xlfn.XLOOKUP(B2059,'Form responses 1'!$B$2:$B$2604,'Form responses 1'!$G$2:$G$2604,""))</f>
        <v/>
      </c>
      <c r="K2059" s="56"/>
      <c r="L2059" s="58" t="str">
        <f t="shared" si="7"/>
        <v/>
      </c>
      <c r="M2059" s="49"/>
      <c r="N2059" s="49"/>
      <c r="O2059" s="49"/>
      <c r="P2059" s="49"/>
      <c r="Q2059" s="49"/>
      <c r="R2059" s="49"/>
      <c r="S2059" s="49"/>
      <c r="T2059" s="49"/>
      <c r="U2059" s="49"/>
      <c r="V2059" s="49"/>
      <c r="W2059" s="56"/>
      <c r="X2059" s="51" t="str">
        <f t="shared" si="5"/>
        <v/>
      </c>
      <c r="Y2059" s="50" t="s">
        <v>482</v>
      </c>
      <c r="Z2059" s="49">
        <f t="shared" si="6"/>
        <v>0</v>
      </c>
    </row>
    <row r="2060" ht="22.5" customHeight="1">
      <c r="B2060" s="57"/>
      <c r="C2060" s="43" t="str">
        <f t="array" ref="C2060">IF(B2060="","",_xlfn.XLOOKUP(B2060,'Form responses 1'!$B$2:$B$2604,'Form responses 1'!$A$2:$A$2604,""))</f>
        <v/>
      </c>
      <c r="D2060" s="44" t="str">
        <f t="shared" si="3"/>
        <v/>
      </c>
      <c r="E2060" s="44" t="str">
        <f t="array" ref="E2060">IF(B2060="","",_xlfn.XLOOKUP(B2060,'Form responses 1'!$B$2:$B$2604,'Form responses 1'!$C$2:$C$2604,""))</f>
        <v/>
      </c>
      <c r="F2060" s="44" t="str">
        <f t="array" ref="F2060">IF(B2060="","",_xlfn.XLOOKUP(B2060,'Form responses 1'!$B$2:$B$2604,'Form responses 1'!$D$2:$D$2604,""))</f>
        <v/>
      </c>
      <c r="G2060" s="44" t="str">
        <f t="array" ref="G2060">IF(B2060="","",_xlfn.XLOOKUP(B2060,'Form responses 1'!$B$2:$B$2604,'Form responses 1'!$E$2:$E$2604,""))</f>
        <v/>
      </c>
      <c r="H2060" s="44" t="str">
        <f t="array" ref="H2060">IF(B2060="","",_xlfn.XLOOKUP(B2060,'Form responses 1'!$B$2:$B$2604,'Form responses 1'!$F$2:$F$2604,""))</f>
        <v/>
      </c>
      <c r="I2060" s="44" t="str">
        <f t="array" ref="I2060">IF(B2060="","",_xlfn.XLOOKUP(B2060,'Form responses 1'!$B$2:$B$2604,'Form responses 1'!$I$2:$I$2604,""))</f>
        <v/>
      </c>
      <c r="J2060" s="44" t="str">
        <f t="array" ref="J2060">IF(B2060="","",_xlfn.XLOOKUP(B2060,'Form responses 1'!$B$2:$B$2604,'Form responses 1'!$G$2:$G$2604,""))</f>
        <v/>
      </c>
      <c r="K2060" s="56"/>
      <c r="L2060" s="58" t="str">
        <f t="shared" si="7"/>
        <v/>
      </c>
      <c r="M2060" s="49"/>
      <c r="N2060" s="49"/>
      <c r="O2060" s="49"/>
      <c r="P2060" s="49"/>
      <c r="Q2060" s="49"/>
      <c r="R2060" s="49"/>
      <c r="S2060" s="49"/>
      <c r="T2060" s="49"/>
      <c r="U2060" s="49"/>
      <c r="V2060" s="49"/>
      <c r="W2060" s="56"/>
      <c r="X2060" s="51" t="str">
        <f t="shared" si="5"/>
        <v/>
      </c>
      <c r="Y2060" s="50" t="s">
        <v>482</v>
      </c>
      <c r="Z2060" s="49">
        <f t="shared" si="6"/>
        <v>0</v>
      </c>
    </row>
    <row r="2061" ht="22.5" customHeight="1">
      <c r="B2061" s="57"/>
      <c r="C2061" s="43" t="str">
        <f t="array" ref="C2061">IF(B2061="","",_xlfn.XLOOKUP(B2061,'Form responses 1'!$B$2:$B$2604,'Form responses 1'!$A$2:$A$2604,""))</f>
        <v/>
      </c>
      <c r="D2061" s="44" t="str">
        <f t="shared" si="3"/>
        <v/>
      </c>
      <c r="E2061" s="44" t="str">
        <f t="array" ref="E2061">IF(B2061="","",_xlfn.XLOOKUP(B2061,'Form responses 1'!$B$2:$B$2604,'Form responses 1'!$C$2:$C$2604,""))</f>
        <v/>
      </c>
      <c r="F2061" s="44" t="str">
        <f t="array" ref="F2061">IF(B2061="","",_xlfn.XLOOKUP(B2061,'Form responses 1'!$B$2:$B$2604,'Form responses 1'!$D$2:$D$2604,""))</f>
        <v/>
      </c>
      <c r="G2061" s="44" t="str">
        <f t="array" ref="G2061">IF(B2061="","",_xlfn.XLOOKUP(B2061,'Form responses 1'!$B$2:$B$2604,'Form responses 1'!$E$2:$E$2604,""))</f>
        <v/>
      </c>
      <c r="H2061" s="44" t="str">
        <f t="array" ref="H2061">IF(B2061="","",_xlfn.XLOOKUP(B2061,'Form responses 1'!$B$2:$B$2604,'Form responses 1'!$F$2:$F$2604,""))</f>
        <v/>
      </c>
      <c r="I2061" s="44" t="str">
        <f t="array" ref="I2061">IF(B2061="","",_xlfn.XLOOKUP(B2061,'Form responses 1'!$B$2:$B$2604,'Form responses 1'!$I$2:$I$2604,""))</f>
        <v/>
      </c>
      <c r="J2061" s="44" t="str">
        <f t="array" ref="J2061">IF(B2061="","",_xlfn.XLOOKUP(B2061,'Form responses 1'!$B$2:$B$2604,'Form responses 1'!$G$2:$G$2604,""))</f>
        <v/>
      </c>
      <c r="K2061" s="56"/>
      <c r="L2061" s="58" t="str">
        <f t="shared" si="7"/>
        <v/>
      </c>
      <c r="M2061" s="49"/>
      <c r="N2061" s="49"/>
      <c r="O2061" s="49"/>
      <c r="P2061" s="49"/>
      <c r="Q2061" s="49"/>
      <c r="R2061" s="49"/>
      <c r="S2061" s="49"/>
      <c r="T2061" s="49"/>
      <c r="U2061" s="49"/>
      <c r="V2061" s="49"/>
      <c r="W2061" s="56"/>
      <c r="X2061" s="51" t="str">
        <f t="shared" si="5"/>
        <v/>
      </c>
      <c r="Y2061" s="50" t="s">
        <v>482</v>
      </c>
      <c r="Z2061" s="49">
        <f t="shared" si="6"/>
        <v>0</v>
      </c>
    </row>
    <row r="2062" ht="22.5" customHeight="1">
      <c r="B2062" s="57"/>
      <c r="C2062" s="43" t="str">
        <f t="array" ref="C2062">IF(B2062="","",_xlfn.XLOOKUP(B2062,'Form responses 1'!$B$2:$B$2604,'Form responses 1'!$A$2:$A$2604,""))</f>
        <v/>
      </c>
      <c r="D2062" s="44" t="str">
        <f t="shared" si="3"/>
        <v/>
      </c>
      <c r="E2062" s="44" t="str">
        <f t="array" ref="E2062">IF(B2062="","",_xlfn.XLOOKUP(B2062,'Form responses 1'!$B$2:$B$2604,'Form responses 1'!$C$2:$C$2604,""))</f>
        <v/>
      </c>
      <c r="F2062" s="44" t="str">
        <f t="array" ref="F2062">IF(B2062="","",_xlfn.XLOOKUP(B2062,'Form responses 1'!$B$2:$B$2604,'Form responses 1'!$D$2:$D$2604,""))</f>
        <v/>
      </c>
      <c r="G2062" s="44" t="str">
        <f t="array" ref="G2062">IF(B2062="","",_xlfn.XLOOKUP(B2062,'Form responses 1'!$B$2:$B$2604,'Form responses 1'!$E$2:$E$2604,""))</f>
        <v/>
      </c>
      <c r="H2062" s="44" t="str">
        <f t="array" ref="H2062">IF(B2062="","",_xlfn.XLOOKUP(B2062,'Form responses 1'!$B$2:$B$2604,'Form responses 1'!$F$2:$F$2604,""))</f>
        <v/>
      </c>
      <c r="I2062" s="44" t="str">
        <f t="array" ref="I2062">IF(B2062="","",_xlfn.XLOOKUP(B2062,'Form responses 1'!$B$2:$B$2604,'Form responses 1'!$I$2:$I$2604,""))</f>
        <v/>
      </c>
      <c r="J2062" s="44" t="str">
        <f t="array" ref="J2062">IF(B2062="","",_xlfn.XLOOKUP(B2062,'Form responses 1'!$B$2:$B$2604,'Form responses 1'!$G$2:$G$2604,""))</f>
        <v/>
      </c>
      <c r="K2062" s="56"/>
      <c r="L2062" s="58" t="str">
        <f t="shared" si="7"/>
        <v/>
      </c>
      <c r="M2062" s="49"/>
      <c r="N2062" s="49"/>
      <c r="O2062" s="49"/>
      <c r="P2062" s="49"/>
      <c r="Q2062" s="49"/>
      <c r="R2062" s="49"/>
      <c r="S2062" s="49"/>
      <c r="T2062" s="49"/>
      <c r="U2062" s="49"/>
      <c r="V2062" s="49"/>
      <c r="W2062" s="56"/>
      <c r="X2062" s="51" t="str">
        <f t="shared" si="5"/>
        <v/>
      </c>
      <c r="Y2062" s="50" t="s">
        <v>482</v>
      </c>
      <c r="Z2062" s="49">
        <f t="shared" si="6"/>
        <v>0</v>
      </c>
    </row>
    <row r="2063" ht="22.5" customHeight="1">
      <c r="B2063" s="57"/>
      <c r="C2063" s="43" t="str">
        <f t="array" ref="C2063">IF(B2063="","",_xlfn.XLOOKUP(B2063,'Form responses 1'!$B$2:$B$2604,'Form responses 1'!$A$2:$A$2604,""))</f>
        <v/>
      </c>
      <c r="D2063" s="44" t="str">
        <f t="shared" si="3"/>
        <v/>
      </c>
      <c r="E2063" s="44" t="str">
        <f t="array" ref="E2063">IF(B2063="","",_xlfn.XLOOKUP(B2063,'Form responses 1'!$B$2:$B$2604,'Form responses 1'!$C$2:$C$2604,""))</f>
        <v/>
      </c>
      <c r="F2063" s="44" t="str">
        <f t="array" ref="F2063">IF(B2063="","",_xlfn.XLOOKUP(B2063,'Form responses 1'!$B$2:$B$2604,'Form responses 1'!$D$2:$D$2604,""))</f>
        <v/>
      </c>
      <c r="G2063" s="44" t="str">
        <f t="array" ref="G2063">IF(B2063="","",_xlfn.XLOOKUP(B2063,'Form responses 1'!$B$2:$B$2604,'Form responses 1'!$E$2:$E$2604,""))</f>
        <v/>
      </c>
      <c r="H2063" s="44" t="str">
        <f t="array" ref="H2063">IF(B2063="","",_xlfn.XLOOKUP(B2063,'Form responses 1'!$B$2:$B$2604,'Form responses 1'!$F$2:$F$2604,""))</f>
        <v/>
      </c>
      <c r="I2063" s="44" t="str">
        <f t="array" ref="I2063">IF(B2063="","",_xlfn.XLOOKUP(B2063,'Form responses 1'!$B$2:$B$2604,'Form responses 1'!$I$2:$I$2604,""))</f>
        <v/>
      </c>
      <c r="J2063" s="44" t="str">
        <f t="array" ref="J2063">IF(B2063="","",_xlfn.XLOOKUP(B2063,'Form responses 1'!$B$2:$B$2604,'Form responses 1'!$G$2:$G$2604,""))</f>
        <v/>
      </c>
      <c r="K2063" s="56"/>
      <c r="L2063" s="58" t="str">
        <f t="shared" si="7"/>
        <v/>
      </c>
      <c r="M2063" s="49"/>
      <c r="N2063" s="49"/>
      <c r="O2063" s="49"/>
      <c r="P2063" s="49"/>
      <c r="Q2063" s="49"/>
      <c r="R2063" s="49"/>
      <c r="S2063" s="49"/>
      <c r="T2063" s="49"/>
      <c r="U2063" s="49"/>
      <c r="V2063" s="49"/>
      <c r="W2063" s="56"/>
      <c r="X2063" s="51" t="str">
        <f t="shared" si="5"/>
        <v/>
      </c>
      <c r="Y2063" s="50" t="s">
        <v>482</v>
      </c>
      <c r="Z2063" s="49">
        <f t="shared" si="6"/>
        <v>0</v>
      </c>
    </row>
    <row r="2064" ht="22.5" customHeight="1">
      <c r="B2064" s="57"/>
      <c r="C2064" s="43" t="str">
        <f t="array" ref="C2064">IF(B2064="","",_xlfn.XLOOKUP(B2064,'Form responses 1'!$B$2:$B$2604,'Form responses 1'!$A$2:$A$2604,""))</f>
        <v/>
      </c>
      <c r="D2064" s="44" t="str">
        <f t="shared" si="3"/>
        <v/>
      </c>
      <c r="E2064" s="44" t="str">
        <f t="array" ref="E2064">IF(B2064="","",_xlfn.XLOOKUP(B2064,'Form responses 1'!$B$2:$B$2604,'Form responses 1'!$C$2:$C$2604,""))</f>
        <v/>
      </c>
      <c r="F2064" s="44" t="str">
        <f t="array" ref="F2064">IF(B2064="","",_xlfn.XLOOKUP(B2064,'Form responses 1'!$B$2:$B$2604,'Form responses 1'!$D$2:$D$2604,""))</f>
        <v/>
      </c>
      <c r="G2064" s="44" t="str">
        <f t="array" ref="G2064">IF(B2064="","",_xlfn.XLOOKUP(B2064,'Form responses 1'!$B$2:$B$2604,'Form responses 1'!$E$2:$E$2604,""))</f>
        <v/>
      </c>
      <c r="H2064" s="44" t="str">
        <f t="array" ref="H2064">IF(B2064="","",_xlfn.XLOOKUP(B2064,'Form responses 1'!$B$2:$B$2604,'Form responses 1'!$F$2:$F$2604,""))</f>
        <v/>
      </c>
      <c r="I2064" s="44" t="str">
        <f t="array" ref="I2064">IF(B2064="","",_xlfn.XLOOKUP(B2064,'Form responses 1'!$B$2:$B$2604,'Form responses 1'!$I$2:$I$2604,""))</f>
        <v/>
      </c>
      <c r="J2064" s="44" t="str">
        <f t="array" ref="J2064">IF(B2064="","",_xlfn.XLOOKUP(B2064,'Form responses 1'!$B$2:$B$2604,'Form responses 1'!$G$2:$G$2604,""))</f>
        <v/>
      </c>
      <c r="K2064" s="56"/>
      <c r="L2064" s="58" t="str">
        <f t="shared" si="7"/>
        <v/>
      </c>
      <c r="M2064" s="49"/>
      <c r="N2064" s="49"/>
      <c r="O2064" s="49"/>
      <c r="P2064" s="49"/>
      <c r="Q2064" s="49"/>
      <c r="R2064" s="49"/>
      <c r="S2064" s="49"/>
      <c r="T2064" s="49"/>
      <c r="U2064" s="49"/>
      <c r="V2064" s="49"/>
      <c r="W2064" s="56"/>
      <c r="X2064" s="51" t="str">
        <f t="shared" si="5"/>
        <v/>
      </c>
      <c r="Y2064" s="50" t="s">
        <v>482</v>
      </c>
      <c r="Z2064" s="49">
        <f t="shared" si="6"/>
        <v>0</v>
      </c>
    </row>
    <row r="2065" ht="22.5" customHeight="1">
      <c r="B2065" s="57"/>
      <c r="C2065" s="43" t="str">
        <f t="array" ref="C2065">IF(B2065="","",_xlfn.XLOOKUP(B2065,'Form responses 1'!$B$2:$B$2604,'Form responses 1'!$A$2:$A$2604,""))</f>
        <v/>
      </c>
      <c r="D2065" s="44" t="str">
        <f t="shared" si="3"/>
        <v/>
      </c>
      <c r="E2065" s="44" t="str">
        <f t="array" ref="E2065">IF(B2065="","",_xlfn.XLOOKUP(B2065,'Form responses 1'!$B$2:$B$2604,'Form responses 1'!$C$2:$C$2604,""))</f>
        <v/>
      </c>
      <c r="F2065" s="44" t="str">
        <f t="array" ref="F2065">IF(B2065="","",_xlfn.XLOOKUP(B2065,'Form responses 1'!$B$2:$B$2604,'Form responses 1'!$D$2:$D$2604,""))</f>
        <v/>
      </c>
      <c r="G2065" s="44" t="str">
        <f t="array" ref="G2065">IF(B2065="","",_xlfn.XLOOKUP(B2065,'Form responses 1'!$B$2:$B$2604,'Form responses 1'!$E$2:$E$2604,""))</f>
        <v/>
      </c>
      <c r="H2065" s="44" t="str">
        <f t="array" ref="H2065">IF(B2065="","",_xlfn.XLOOKUP(B2065,'Form responses 1'!$B$2:$B$2604,'Form responses 1'!$F$2:$F$2604,""))</f>
        <v/>
      </c>
      <c r="I2065" s="44" t="str">
        <f t="array" ref="I2065">IF(B2065="","",_xlfn.XLOOKUP(B2065,'Form responses 1'!$B$2:$B$2604,'Form responses 1'!$I$2:$I$2604,""))</f>
        <v/>
      </c>
      <c r="J2065" s="44" t="str">
        <f t="array" ref="J2065">IF(B2065="","",_xlfn.XLOOKUP(B2065,'Form responses 1'!$B$2:$B$2604,'Form responses 1'!$G$2:$G$2604,""))</f>
        <v/>
      </c>
      <c r="K2065" s="56"/>
      <c r="L2065" s="58" t="str">
        <f t="shared" si="7"/>
        <v/>
      </c>
      <c r="M2065" s="49"/>
      <c r="N2065" s="49"/>
      <c r="O2065" s="49"/>
      <c r="P2065" s="49"/>
      <c r="Q2065" s="49"/>
      <c r="R2065" s="49"/>
      <c r="S2065" s="49"/>
      <c r="T2065" s="49"/>
      <c r="U2065" s="49"/>
      <c r="V2065" s="49"/>
      <c r="W2065" s="56"/>
      <c r="X2065" s="51" t="str">
        <f t="shared" si="5"/>
        <v/>
      </c>
      <c r="Y2065" s="50" t="s">
        <v>482</v>
      </c>
      <c r="Z2065" s="49">
        <f t="shared" si="6"/>
        <v>0</v>
      </c>
    </row>
    <row r="2066" ht="22.5" customHeight="1">
      <c r="B2066" s="57"/>
      <c r="C2066" s="43" t="str">
        <f t="array" ref="C2066">IF(B2066="","",_xlfn.XLOOKUP(B2066,'Form responses 1'!$B$2:$B$2604,'Form responses 1'!$A$2:$A$2604,""))</f>
        <v/>
      </c>
      <c r="D2066" s="44" t="str">
        <f t="shared" si="3"/>
        <v/>
      </c>
      <c r="E2066" s="44" t="str">
        <f t="array" ref="E2066">IF(B2066="","",_xlfn.XLOOKUP(B2066,'Form responses 1'!$B$2:$B$2604,'Form responses 1'!$C$2:$C$2604,""))</f>
        <v/>
      </c>
      <c r="F2066" s="44" t="str">
        <f t="array" ref="F2066">IF(B2066="","",_xlfn.XLOOKUP(B2066,'Form responses 1'!$B$2:$B$2604,'Form responses 1'!$D$2:$D$2604,""))</f>
        <v/>
      </c>
      <c r="G2066" s="44" t="str">
        <f t="array" ref="G2066">IF(B2066="","",_xlfn.XLOOKUP(B2066,'Form responses 1'!$B$2:$B$2604,'Form responses 1'!$E$2:$E$2604,""))</f>
        <v/>
      </c>
      <c r="H2066" s="44" t="str">
        <f t="array" ref="H2066">IF(B2066="","",_xlfn.XLOOKUP(B2066,'Form responses 1'!$B$2:$B$2604,'Form responses 1'!$F$2:$F$2604,""))</f>
        <v/>
      </c>
      <c r="I2066" s="44" t="str">
        <f t="array" ref="I2066">IF(B2066="","",_xlfn.XLOOKUP(B2066,'Form responses 1'!$B$2:$B$2604,'Form responses 1'!$I$2:$I$2604,""))</f>
        <v/>
      </c>
      <c r="J2066" s="44" t="str">
        <f t="array" ref="J2066">IF(B2066="","",_xlfn.XLOOKUP(B2066,'Form responses 1'!$B$2:$B$2604,'Form responses 1'!$G$2:$G$2604,""))</f>
        <v/>
      </c>
      <c r="K2066" s="56"/>
      <c r="L2066" s="58" t="str">
        <f t="shared" si="7"/>
        <v/>
      </c>
      <c r="M2066" s="49"/>
      <c r="N2066" s="49"/>
      <c r="O2066" s="49"/>
      <c r="P2066" s="49"/>
      <c r="Q2066" s="49"/>
      <c r="R2066" s="49"/>
      <c r="S2066" s="49"/>
      <c r="T2066" s="49"/>
      <c r="U2066" s="49"/>
      <c r="V2066" s="49"/>
      <c r="W2066" s="56"/>
      <c r="X2066" s="51" t="str">
        <f t="shared" si="5"/>
        <v/>
      </c>
      <c r="Y2066" s="50" t="s">
        <v>482</v>
      </c>
      <c r="Z2066" s="49">
        <f t="shared" si="6"/>
        <v>0</v>
      </c>
    </row>
    <row r="2067" ht="22.5" customHeight="1">
      <c r="B2067" s="57"/>
      <c r="C2067" s="43" t="str">
        <f t="array" ref="C2067">IF(B2067="","",_xlfn.XLOOKUP(B2067,'Form responses 1'!$B$2:$B$2604,'Form responses 1'!$A$2:$A$2604,""))</f>
        <v/>
      </c>
      <c r="D2067" s="44" t="str">
        <f t="shared" si="3"/>
        <v/>
      </c>
      <c r="E2067" s="44" t="str">
        <f t="array" ref="E2067">IF(B2067="","",_xlfn.XLOOKUP(B2067,'Form responses 1'!$B$2:$B$2604,'Form responses 1'!$C$2:$C$2604,""))</f>
        <v/>
      </c>
      <c r="F2067" s="44" t="str">
        <f t="array" ref="F2067">IF(B2067="","",_xlfn.XLOOKUP(B2067,'Form responses 1'!$B$2:$B$2604,'Form responses 1'!$D$2:$D$2604,""))</f>
        <v/>
      </c>
      <c r="G2067" s="44" t="str">
        <f t="array" ref="G2067">IF(B2067="","",_xlfn.XLOOKUP(B2067,'Form responses 1'!$B$2:$B$2604,'Form responses 1'!$E$2:$E$2604,""))</f>
        <v/>
      </c>
      <c r="H2067" s="44" t="str">
        <f t="array" ref="H2067">IF(B2067="","",_xlfn.XLOOKUP(B2067,'Form responses 1'!$B$2:$B$2604,'Form responses 1'!$F$2:$F$2604,""))</f>
        <v/>
      </c>
      <c r="I2067" s="44" t="str">
        <f t="array" ref="I2067">IF(B2067="","",_xlfn.XLOOKUP(B2067,'Form responses 1'!$B$2:$B$2604,'Form responses 1'!$I$2:$I$2604,""))</f>
        <v/>
      </c>
      <c r="J2067" s="44" t="str">
        <f t="array" ref="J2067">IF(B2067="","",_xlfn.XLOOKUP(B2067,'Form responses 1'!$B$2:$B$2604,'Form responses 1'!$G$2:$G$2604,""))</f>
        <v/>
      </c>
      <c r="K2067" s="56"/>
      <c r="L2067" s="58" t="str">
        <f t="shared" si="7"/>
        <v/>
      </c>
      <c r="M2067" s="49"/>
      <c r="N2067" s="49"/>
      <c r="O2067" s="49"/>
      <c r="P2067" s="49"/>
      <c r="Q2067" s="49"/>
      <c r="R2067" s="49"/>
      <c r="S2067" s="49"/>
      <c r="T2067" s="49"/>
      <c r="U2067" s="49"/>
      <c r="V2067" s="49"/>
      <c r="W2067" s="56"/>
      <c r="X2067" s="51" t="str">
        <f t="shared" si="5"/>
        <v/>
      </c>
      <c r="Y2067" s="50" t="s">
        <v>482</v>
      </c>
      <c r="Z2067" s="49">
        <f t="shared" si="6"/>
        <v>0</v>
      </c>
    </row>
    <row r="2068" ht="22.5" customHeight="1">
      <c r="B2068" s="57"/>
      <c r="C2068" s="43" t="str">
        <f t="array" ref="C2068">IF(B2068="","",_xlfn.XLOOKUP(B2068,'Form responses 1'!$B$2:$B$2604,'Form responses 1'!$A$2:$A$2604,""))</f>
        <v/>
      </c>
      <c r="D2068" s="44" t="str">
        <f t="shared" si="3"/>
        <v/>
      </c>
      <c r="E2068" s="44" t="str">
        <f t="array" ref="E2068">IF(B2068="","",_xlfn.XLOOKUP(B2068,'Form responses 1'!$B$2:$B$2604,'Form responses 1'!$C$2:$C$2604,""))</f>
        <v/>
      </c>
      <c r="F2068" s="44" t="str">
        <f t="array" ref="F2068">IF(B2068="","",_xlfn.XLOOKUP(B2068,'Form responses 1'!$B$2:$B$2604,'Form responses 1'!$D$2:$D$2604,""))</f>
        <v/>
      </c>
      <c r="G2068" s="44" t="str">
        <f t="array" ref="G2068">IF(B2068="","",_xlfn.XLOOKUP(B2068,'Form responses 1'!$B$2:$B$2604,'Form responses 1'!$E$2:$E$2604,""))</f>
        <v/>
      </c>
      <c r="H2068" s="44" t="str">
        <f t="array" ref="H2068">IF(B2068="","",_xlfn.XLOOKUP(B2068,'Form responses 1'!$B$2:$B$2604,'Form responses 1'!$F$2:$F$2604,""))</f>
        <v/>
      </c>
      <c r="I2068" s="44" t="str">
        <f t="array" ref="I2068">IF(B2068="","",_xlfn.XLOOKUP(B2068,'Form responses 1'!$B$2:$B$2604,'Form responses 1'!$I$2:$I$2604,""))</f>
        <v/>
      </c>
      <c r="J2068" s="44" t="str">
        <f t="array" ref="J2068">IF(B2068="","",_xlfn.XLOOKUP(B2068,'Form responses 1'!$B$2:$B$2604,'Form responses 1'!$G$2:$G$2604,""))</f>
        <v/>
      </c>
      <c r="K2068" s="56"/>
      <c r="L2068" s="58" t="str">
        <f t="shared" si="7"/>
        <v/>
      </c>
      <c r="M2068" s="49"/>
      <c r="N2068" s="49"/>
      <c r="O2068" s="49"/>
      <c r="P2068" s="49"/>
      <c r="Q2068" s="49"/>
      <c r="R2068" s="49"/>
      <c r="S2068" s="49"/>
      <c r="T2068" s="49"/>
      <c r="U2068" s="49"/>
      <c r="V2068" s="49"/>
      <c r="W2068" s="56"/>
      <c r="X2068" s="51" t="str">
        <f t="shared" si="5"/>
        <v/>
      </c>
      <c r="Y2068" s="50" t="s">
        <v>482</v>
      </c>
      <c r="Z2068" s="49">
        <f t="shared" si="6"/>
        <v>0</v>
      </c>
    </row>
    <row r="2069" ht="22.5" customHeight="1">
      <c r="B2069" s="57"/>
      <c r="C2069" s="43" t="str">
        <f t="array" ref="C2069">IF(B2069="","",_xlfn.XLOOKUP(B2069,'Form responses 1'!$B$2:$B$2604,'Form responses 1'!$A$2:$A$2604,""))</f>
        <v/>
      </c>
      <c r="D2069" s="44" t="str">
        <f t="shared" si="3"/>
        <v/>
      </c>
      <c r="E2069" s="44" t="str">
        <f t="array" ref="E2069">IF(B2069="","",_xlfn.XLOOKUP(B2069,'Form responses 1'!$B$2:$B$2604,'Form responses 1'!$C$2:$C$2604,""))</f>
        <v/>
      </c>
      <c r="F2069" s="44" t="str">
        <f t="array" ref="F2069">IF(B2069="","",_xlfn.XLOOKUP(B2069,'Form responses 1'!$B$2:$B$2604,'Form responses 1'!$D$2:$D$2604,""))</f>
        <v/>
      </c>
      <c r="G2069" s="44" t="str">
        <f t="array" ref="G2069">IF(B2069="","",_xlfn.XLOOKUP(B2069,'Form responses 1'!$B$2:$B$2604,'Form responses 1'!$E$2:$E$2604,""))</f>
        <v/>
      </c>
      <c r="H2069" s="44" t="str">
        <f t="array" ref="H2069">IF(B2069="","",_xlfn.XLOOKUP(B2069,'Form responses 1'!$B$2:$B$2604,'Form responses 1'!$F$2:$F$2604,""))</f>
        <v/>
      </c>
      <c r="I2069" s="44" t="str">
        <f t="array" ref="I2069">IF(B2069="","",_xlfn.XLOOKUP(B2069,'Form responses 1'!$B$2:$B$2604,'Form responses 1'!$I$2:$I$2604,""))</f>
        <v/>
      </c>
      <c r="J2069" s="44" t="str">
        <f t="array" ref="J2069">IF(B2069="","",_xlfn.XLOOKUP(B2069,'Form responses 1'!$B$2:$B$2604,'Form responses 1'!$G$2:$G$2604,""))</f>
        <v/>
      </c>
      <c r="K2069" s="56"/>
      <c r="L2069" s="58" t="str">
        <f t="shared" si="7"/>
        <v/>
      </c>
      <c r="M2069" s="49"/>
      <c r="N2069" s="49"/>
      <c r="O2069" s="49"/>
      <c r="P2069" s="49"/>
      <c r="Q2069" s="49"/>
      <c r="R2069" s="49"/>
      <c r="S2069" s="49"/>
      <c r="T2069" s="49"/>
      <c r="U2069" s="49"/>
      <c r="V2069" s="49"/>
      <c r="W2069" s="56"/>
      <c r="X2069" s="51" t="str">
        <f t="shared" si="5"/>
        <v/>
      </c>
      <c r="Y2069" s="50" t="s">
        <v>482</v>
      </c>
      <c r="Z2069" s="49">
        <f t="shared" si="6"/>
        <v>0</v>
      </c>
    </row>
    <row r="2070" ht="22.5" customHeight="1">
      <c r="B2070" s="57"/>
      <c r="C2070" s="43" t="str">
        <f t="array" ref="C2070">IF(B2070="","",_xlfn.XLOOKUP(B2070,'Form responses 1'!$B$2:$B$2604,'Form responses 1'!$A$2:$A$2604,""))</f>
        <v/>
      </c>
      <c r="D2070" s="44" t="str">
        <f t="shared" si="3"/>
        <v/>
      </c>
      <c r="E2070" s="44" t="str">
        <f t="array" ref="E2070">IF(B2070="","",_xlfn.XLOOKUP(B2070,'Form responses 1'!$B$2:$B$2604,'Form responses 1'!$C$2:$C$2604,""))</f>
        <v/>
      </c>
      <c r="F2070" s="44" t="str">
        <f t="array" ref="F2070">IF(B2070="","",_xlfn.XLOOKUP(B2070,'Form responses 1'!$B$2:$B$2604,'Form responses 1'!$D$2:$D$2604,""))</f>
        <v/>
      </c>
      <c r="G2070" s="44" t="str">
        <f t="array" ref="G2070">IF(B2070="","",_xlfn.XLOOKUP(B2070,'Form responses 1'!$B$2:$B$2604,'Form responses 1'!$E$2:$E$2604,""))</f>
        <v/>
      </c>
      <c r="H2070" s="44" t="str">
        <f t="array" ref="H2070">IF(B2070="","",_xlfn.XLOOKUP(B2070,'Form responses 1'!$B$2:$B$2604,'Form responses 1'!$F$2:$F$2604,""))</f>
        <v/>
      </c>
      <c r="I2070" s="44" t="str">
        <f t="array" ref="I2070">IF(B2070="","",_xlfn.XLOOKUP(B2070,'Form responses 1'!$B$2:$B$2604,'Form responses 1'!$I$2:$I$2604,""))</f>
        <v/>
      </c>
      <c r="J2070" s="44" t="str">
        <f t="array" ref="J2070">IF(B2070="","",_xlfn.XLOOKUP(B2070,'Form responses 1'!$B$2:$B$2604,'Form responses 1'!$G$2:$G$2604,""))</f>
        <v/>
      </c>
      <c r="K2070" s="56"/>
      <c r="L2070" s="58" t="str">
        <f t="shared" si="7"/>
        <v/>
      </c>
      <c r="M2070" s="49"/>
      <c r="N2070" s="49"/>
      <c r="O2070" s="49"/>
      <c r="P2070" s="49"/>
      <c r="Q2070" s="49"/>
      <c r="R2070" s="49"/>
      <c r="S2070" s="49"/>
      <c r="T2070" s="49"/>
      <c r="U2070" s="49"/>
      <c r="V2070" s="49"/>
      <c r="W2070" s="56"/>
      <c r="X2070" s="51" t="str">
        <f t="shared" si="5"/>
        <v/>
      </c>
      <c r="Y2070" s="50" t="s">
        <v>482</v>
      </c>
      <c r="Z2070" s="49">
        <f t="shared" si="6"/>
        <v>0</v>
      </c>
    </row>
    <row r="2071" ht="22.5" customHeight="1">
      <c r="B2071" s="57"/>
      <c r="C2071" s="43" t="str">
        <f t="array" ref="C2071">IF(B2071="","",_xlfn.XLOOKUP(B2071,'Form responses 1'!$B$2:$B$2604,'Form responses 1'!$A$2:$A$2604,""))</f>
        <v/>
      </c>
      <c r="D2071" s="44" t="str">
        <f t="shared" si="3"/>
        <v/>
      </c>
      <c r="E2071" s="44" t="str">
        <f t="array" ref="E2071">IF(B2071="","",_xlfn.XLOOKUP(B2071,'Form responses 1'!$B$2:$B$2604,'Form responses 1'!$C$2:$C$2604,""))</f>
        <v/>
      </c>
      <c r="F2071" s="44" t="str">
        <f t="array" ref="F2071">IF(B2071="","",_xlfn.XLOOKUP(B2071,'Form responses 1'!$B$2:$B$2604,'Form responses 1'!$D$2:$D$2604,""))</f>
        <v/>
      </c>
      <c r="G2071" s="44" t="str">
        <f t="array" ref="G2071">IF(B2071="","",_xlfn.XLOOKUP(B2071,'Form responses 1'!$B$2:$B$2604,'Form responses 1'!$E$2:$E$2604,""))</f>
        <v/>
      </c>
      <c r="H2071" s="44" t="str">
        <f t="array" ref="H2071">IF(B2071="","",_xlfn.XLOOKUP(B2071,'Form responses 1'!$B$2:$B$2604,'Form responses 1'!$F$2:$F$2604,""))</f>
        <v/>
      </c>
      <c r="I2071" s="44" t="str">
        <f t="array" ref="I2071">IF(B2071="","",_xlfn.XLOOKUP(B2071,'Form responses 1'!$B$2:$B$2604,'Form responses 1'!$I$2:$I$2604,""))</f>
        <v/>
      </c>
      <c r="J2071" s="44" t="str">
        <f t="array" ref="J2071">IF(B2071="","",_xlfn.XLOOKUP(B2071,'Form responses 1'!$B$2:$B$2604,'Form responses 1'!$G$2:$G$2604,""))</f>
        <v/>
      </c>
      <c r="K2071" s="56"/>
      <c r="L2071" s="58" t="str">
        <f t="shared" si="7"/>
        <v/>
      </c>
      <c r="M2071" s="49"/>
      <c r="N2071" s="49"/>
      <c r="O2071" s="49"/>
      <c r="P2071" s="49"/>
      <c r="Q2071" s="49"/>
      <c r="R2071" s="49"/>
      <c r="S2071" s="49"/>
      <c r="T2071" s="49"/>
      <c r="U2071" s="49"/>
      <c r="V2071" s="49"/>
      <c r="W2071" s="56"/>
      <c r="X2071" s="51" t="str">
        <f t="shared" si="5"/>
        <v/>
      </c>
      <c r="Y2071" s="50" t="s">
        <v>482</v>
      </c>
      <c r="Z2071" s="49">
        <f t="shared" si="6"/>
        <v>0</v>
      </c>
    </row>
    <row r="2072" ht="22.5" customHeight="1">
      <c r="B2072" s="57"/>
      <c r="C2072" s="43" t="str">
        <f t="array" ref="C2072">IF(B2072="","",_xlfn.XLOOKUP(B2072,'Form responses 1'!$B$2:$B$2604,'Form responses 1'!$A$2:$A$2604,""))</f>
        <v/>
      </c>
      <c r="D2072" s="44" t="str">
        <f t="shared" si="3"/>
        <v/>
      </c>
      <c r="E2072" s="44" t="str">
        <f t="array" ref="E2072">IF(B2072="","",_xlfn.XLOOKUP(B2072,'Form responses 1'!$B$2:$B$2604,'Form responses 1'!$C$2:$C$2604,""))</f>
        <v/>
      </c>
      <c r="F2072" s="44" t="str">
        <f t="array" ref="F2072">IF(B2072="","",_xlfn.XLOOKUP(B2072,'Form responses 1'!$B$2:$B$2604,'Form responses 1'!$D$2:$D$2604,""))</f>
        <v/>
      </c>
      <c r="G2072" s="44" t="str">
        <f t="array" ref="G2072">IF(B2072="","",_xlfn.XLOOKUP(B2072,'Form responses 1'!$B$2:$B$2604,'Form responses 1'!$E$2:$E$2604,""))</f>
        <v/>
      </c>
      <c r="H2072" s="44" t="str">
        <f t="array" ref="H2072">IF(B2072="","",_xlfn.XLOOKUP(B2072,'Form responses 1'!$B$2:$B$2604,'Form responses 1'!$F$2:$F$2604,""))</f>
        <v/>
      </c>
      <c r="I2072" s="44" t="str">
        <f t="array" ref="I2072">IF(B2072="","",_xlfn.XLOOKUP(B2072,'Form responses 1'!$B$2:$B$2604,'Form responses 1'!$I$2:$I$2604,""))</f>
        <v/>
      </c>
      <c r="J2072" s="44" t="str">
        <f t="array" ref="J2072">IF(B2072="","",_xlfn.XLOOKUP(B2072,'Form responses 1'!$B$2:$B$2604,'Form responses 1'!$G$2:$G$2604,""))</f>
        <v/>
      </c>
      <c r="K2072" s="56"/>
      <c r="L2072" s="58" t="str">
        <f t="shared" si="7"/>
        <v/>
      </c>
      <c r="M2072" s="49"/>
      <c r="N2072" s="49"/>
      <c r="O2072" s="49"/>
      <c r="P2072" s="49"/>
      <c r="Q2072" s="49"/>
      <c r="R2072" s="49"/>
      <c r="S2072" s="49"/>
      <c r="T2072" s="49"/>
      <c r="U2072" s="49"/>
      <c r="V2072" s="49"/>
      <c r="W2072" s="56"/>
      <c r="X2072" s="51" t="str">
        <f t="shared" si="5"/>
        <v/>
      </c>
      <c r="Y2072" s="50" t="s">
        <v>482</v>
      </c>
      <c r="Z2072" s="49">
        <f t="shared" si="6"/>
        <v>0</v>
      </c>
    </row>
    <row r="2073" ht="22.5" customHeight="1">
      <c r="B2073" s="57"/>
      <c r="C2073" s="43" t="str">
        <f t="array" ref="C2073">IF(B2073="","",_xlfn.XLOOKUP(B2073,'Form responses 1'!$B$2:$B$2604,'Form responses 1'!$A$2:$A$2604,""))</f>
        <v/>
      </c>
      <c r="D2073" s="44" t="str">
        <f t="shared" si="3"/>
        <v/>
      </c>
      <c r="E2073" s="44" t="str">
        <f t="array" ref="E2073">IF(B2073="","",_xlfn.XLOOKUP(B2073,'Form responses 1'!$B$2:$B$2604,'Form responses 1'!$C$2:$C$2604,""))</f>
        <v/>
      </c>
      <c r="F2073" s="44" t="str">
        <f t="array" ref="F2073">IF(B2073="","",_xlfn.XLOOKUP(B2073,'Form responses 1'!$B$2:$B$2604,'Form responses 1'!$D$2:$D$2604,""))</f>
        <v/>
      </c>
      <c r="G2073" s="44" t="str">
        <f t="array" ref="G2073">IF(B2073="","",_xlfn.XLOOKUP(B2073,'Form responses 1'!$B$2:$B$2604,'Form responses 1'!$E$2:$E$2604,""))</f>
        <v/>
      </c>
      <c r="H2073" s="44" t="str">
        <f t="array" ref="H2073">IF(B2073="","",_xlfn.XLOOKUP(B2073,'Form responses 1'!$B$2:$B$2604,'Form responses 1'!$F$2:$F$2604,""))</f>
        <v/>
      </c>
      <c r="I2073" s="44" t="str">
        <f t="array" ref="I2073">IF(B2073="","",_xlfn.XLOOKUP(B2073,'Form responses 1'!$B$2:$B$2604,'Form responses 1'!$I$2:$I$2604,""))</f>
        <v/>
      </c>
      <c r="J2073" s="44" t="str">
        <f t="array" ref="J2073">IF(B2073="","",_xlfn.XLOOKUP(B2073,'Form responses 1'!$B$2:$B$2604,'Form responses 1'!$G$2:$G$2604,""))</f>
        <v/>
      </c>
      <c r="K2073" s="56"/>
      <c r="L2073" s="58" t="str">
        <f t="shared" si="7"/>
        <v/>
      </c>
      <c r="M2073" s="49"/>
      <c r="N2073" s="49"/>
      <c r="O2073" s="49"/>
      <c r="P2073" s="49"/>
      <c r="Q2073" s="49"/>
      <c r="R2073" s="49"/>
      <c r="S2073" s="49"/>
      <c r="T2073" s="49"/>
      <c r="U2073" s="49"/>
      <c r="V2073" s="49"/>
      <c r="W2073" s="56"/>
      <c r="X2073" s="51" t="str">
        <f t="shared" si="5"/>
        <v/>
      </c>
      <c r="Y2073" s="50" t="s">
        <v>482</v>
      </c>
      <c r="Z2073" s="49">
        <f t="shared" si="6"/>
        <v>0</v>
      </c>
    </row>
    <row r="2074" ht="22.5" customHeight="1">
      <c r="B2074" s="57"/>
      <c r="C2074" s="43" t="str">
        <f t="array" ref="C2074">IF(B2074="","",_xlfn.XLOOKUP(B2074,'Form responses 1'!$B$2:$B$2604,'Form responses 1'!$A$2:$A$2604,""))</f>
        <v/>
      </c>
      <c r="D2074" s="44" t="str">
        <f t="shared" si="3"/>
        <v/>
      </c>
      <c r="E2074" s="44" t="str">
        <f t="array" ref="E2074">IF(B2074="","",_xlfn.XLOOKUP(B2074,'Form responses 1'!$B$2:$B$2604,'Form responses 1'!$C$2:$C$2604,""))</f>
        <v/>
      </c>
      <c r="F2074" s="44" t="str">
        <f t="array" ref="F2074">IF(B2074="","",_xlfn.XLOOKUP(B2074,'Form responses 1'!$B$2:$B$2604,'Form responses 1'!$D$2:$D$2604,""))</f>
        <v/>
      </c>
      <c r="G2074" s="44" t="str">
        <f t="array" ref="G2074">IF(B2074="","",_xlfn.XLOOKUP(B2074,'Form responses 1'!$B$2:$B$2604,'Form responses 1'!$E$2:$E$2604,""))</f>
        <v/>
      </c>
      <c r="H2074" s="44" t="str">
        <f t="array" ref="H2074">IF(B2074="","",_xlfn.XLOOKUP(B2074,'Form responses 1'!$B$2:$B$2604,'Form responses 1'!$F$2:$F$2604,""))</f>
        <v/>
      </c>
      <c r="I2074" s="44" t="str">
        <f t="array" ref="I2074">IF(B2074="","",_xlfn.XLOOKUP(B2074,'Form responses 1'!$B$2:$B$2604,'Form responses 1'!$I$2:$I$2604,""))</f>
        <v/>
      </c>
      <c r="J2074" s="44" t="str">
        <f t="array" ref="J2074">IF(B2074="","",_xlfn.XLOOKUP(B2074,'Form responses 1'!$B$2:$B$2604,'Form responses 1'!$G$2:$G$2604,""))</f>
        <v/>
      </c>
      <c r="K2074" s="56"/>
      <c r="L2074" s="58" t="str">
        <f t="shared" si="7"/>
        <v/>
      </c>
      <c r="M2074" s="49"/>
      <c r="N2074" s="49"/>
      <c r="O2074" s="49"/>
      <c r="P2074" s="49"/>
      <c r="Q2074" s="49"/>
      <c r="R2074" s="49"/>
      <c r="S2074" s="49"/>
      <c r="T2074" s="49"/>
      <c r="U2074" s="49"/>
      <c r="V2074" s="49"/>
      <c r="W2074" s="56"/>
      <c r="X2074" s="51" t="str">
        <f t="shared" si="5"/>
        <v/>
      </c>
      <c r="Y2074" s="50" t="s">
        <v>482</v>
      </c>
      <c r="Z2074" s="49">
        <f t="shared" si="6"/>
        <v>0</v>
      </c>
    </row>
    <row r="2075" ht="22.5" customHeight="1">
      <c r="B2075" s="57"/>
      <c r="C2075" s="43" t="str">
        <f t="array" ref="C2075">IF(B2075="","",_xlfn.XLOOKUP(B2075,'Form responses 1'!$B$2:$B$2604,'Form responses 1'!$A$2:$A$2604,""))</f>
        <v/>
      </c>
      <c r="D2075" s="44" t="str">
        <f t="shared" si="3"/>
        <v/>
      </c>
      <c r="E2075" s="44" t="str">
        <f t="array" ref="E2075">IF(B2075="","",_xlfn.XLOOKUP(B2075,'Form responses 1'!$B$2:$B$2604,'Form responses 1'!$C$2:$C$2604,""))</f>
        <v/>
      </c>
      <c r="F2075" s="44" t="str">
        <f t="array" ref="F2075">IF(B2075="","",_xlfn.XLOOKUP(B2075,'Form responses 1'!$B$2:$B$2604,'Form responses 1'!$D$2:$D$2604,""))</f>
        <v/>
      </c>
      <c r="G2075" s="44" t="str">
        <f t="array" ref="G2075">IF(B2075="","",_xlfn.XLOOKUP(B2075,'Form responses 1'!$B$2:$B$2604,'Form responses 1'!$E$2:$E$2604,""))</f>
        <v/>
      </c>
      <c r="H2075" s="44" t="str">
        <f t="array" ref="H2075">IF(B2075="","",_xlfn.XLOOKUP(B2075,'Form responses 1'!$B$2:$B$2604,'Form responses 1'!$F$2:$F$2604,""))</f>
        <v/>
      </c>
      <c r="I2075" s="44" t="str">
        <f t="array" ref="I2075">IF(B2075="","",_xlfn.XLOOKUP(B2075,'Form responses 1'!$B$2:$B$2604,'Form responses 1'!$I$2:$I$2604,""))</f>
        <v/>
      </c>
      <c r="J2075" s="44" t="str">
        <f t="array" ref="J2075">IF(B2075="","",_xlfn.XLOOKUP(B2075,'Form responses 1'!$B$2:$B$2604,'Form responses 1'!$G$2:$G$2604,""))</f>
        <v/>
      </c>
      <c r="K2075" s="56"/>
      <c r="L2075" s="58" t="str">
        <f t="shared" si="7"/>
        <v/>
      </c>
      <c r="M2075" s="49"/>
      <c r="N2075" s="49"/>
      <c r="O2075" s="49"/>
      <c r="P2075" s="49"/>
      <c r="Q2075" s="49"/>
      <c r="R2075" s="49"/>
      <c r="S2075" s="49"/>
      <c r="T2075" s="49"/>
      <c r="U2075" s="49"/>
      <c r="V2075" s="49"/>
      <c r="W2075" s="56"/>
      <c r="X2075" s="51" t="str">
        <f t="shared" si="5"/>
        <v/>
      </c>
      <c r="Y2075" s="50" t="s">
        <v>482</v>
      </c>
      <c r="Z2075" s="49">
        <f t="shared" si="6"/>
        <v>0</v>
      </c>
    </row>
    <row r="2076" ht="22.5" customHeight="1">
      <c r="B2076" s="57"/>
      <c r="C2076" s="43" t="str">
        <f t="array" ref="C2076">IF(B2076="","",_xlfn.XLOOKUP(B2076,'Form responses 1'!$B$2:$B$2604,'Form responses 1'!$A$2:$A$2604,""))</f>
        <v/>
      </c>
      <c r="D2076" s="44" t="str">
        <f t="shared" si="3"/>
        <v/>
      </c>
      <c r="E2076" s="44" t="str">
        <f t="array" ref="E2076">IF(B2076="","",_xlfn.XLOOKUP(B2076,'Form responses 1'!$B$2:$B$2604,'Form responses 1'!$C$2:$C$2604,""))</f>
        <v/>
      </c>
      <c r="F2076" s="44" t="str">
        <f t="array" ref="F2076">IF(B2076="","",_xlfn.XLOOKUP(B2076,'Form responses 1'!$B$2:$B$2604,'Form responses 1'!$D$2:$D$2604,""))</f>
        <v/>
      </c>
      <c r="G2076" s="44" t="str">
        <f t="array" ref="G2076">IF(B2076="","",_xlfn.XLOOKUP(B2076,'Form responses 1'!$B$2:$B$2604,'Form responses 1'!$E$2:$E$2604,""))</f>
        <v/>
      </c>
      <c r="H2076" s="44" t="str">
        <f t="array" ref="H2076">IF(B2076="","",_xlfn.XLOOKUP(B2076,'Form responses 1'!$B$2:$B$2604,'Form responses 1'!$F$2:$F$2604,""))</f>
        <v/>
      </c>
      <c r="I2076" s="44" t="str">
        <f t="array" ref="I2076">IF(B2076="","",_xlfn.XLOOKUP(B2076,'Form responses 1'!$B$2:$B$2604,'Form responses 1'!$I$2:$I$2604,""))</f>
        <v/>
      </c>
      <c r="J2076" s="44" t="str">
        <f t="array" ref="J2076">IF(B2076="","",_xlfn.XLOOKUP(B2076,'Form responses 1'!$B$2:$B$2604,'Form responses 1'!$G$2:$G$2604,""))</f>
        <v/>
      </c>
      <c r="K2076" s="56"/>
      <c r="L2076" s="58" t="str">
        <f t="shared" si="7"/>
        <v/>
      </c>
      <c r="M2076" s="49"/>
      <c r="N2076" s="49"/>
      <c r="O2076" s="49"/>
      <c r="P2076" s="49"/>
      <c r="Q2076" s="49"/>
      <c r="R2076" s="49"/>
      <c r="S2076" s="49"/>
      <c r="T2076" s="49"/>
      <c r="U2076" s="49"/>
      <c r="V2076" s="49"/>
      <c r="W2076" s="56"/>
      <c r="X2076" s="51" t="str">
        <f t="shared" si="5"/>
        <v/>
      </c>
      <c r="Y2076" s="50" t="s">
        <v>482</v>
      </c>
      <c r="Z2076" s="49">
        <f t="shared" si="6"/>
        <v>0</v>
      </c>
    </row>
    <row r="2077" ht="22.5" customHeight="1">
      <c r="B2077" s="57"/>
      <c r="C2077" s="43" t="str">
        <f t="array" ref="C2077">IF(B2077="","",_xlfn.XLOOKUP(B2077,'Form responses 1'!$B$2:$B$2604,'Form responses 1'!$A$2:$A$2604,""))</f>
        <v/>
      </c>
      <c r="D2077" s="44" t="str">
        <f t="shared" si="3"/>
        <v/>
      </c>
      <c r="E2077" s="44" t="str">
        <f t="array" ref="E2077">IF(B2077="","",_xlfn.XLOOKUP(B2077,'Form responses 1'!$B$2:$B$2604,'Form responses 1'!$C$2:$C$2604,""))</f>
        <v/>
      </c>
      <c r="F2077" s="44" t="str">
        <f t="array" ref="F2077">IF(B2077="","",_xlfn.XLOOKUP(B2077,'Form responses 1'!$B$2:$B$2604,'Form responses 1'!$D$2:$D$2604,""))</f>
        <v/>
      </c>
      <c r="G2077" s="44" t="str">
        <f t="array" ref="G2077">IF(B2077="","",_xlfn.XLOOKUP(B2077,'Form responses 1'!$B$2:$B$2604,'Form responses 1'!$E$2:$E$2604,""))</f>
        <v/>
      </c>
      <c r="H2077" s="44" t="str">
        <f t="array" ref="H2077">IF(B2077="","",_xlfn.XLOOKUP(B2077,'Form responses 1'!$B$2:$B$2604,'Form responses 1'!$F$2:$F$2604,""))</f>
        <v/>
      </c>
      <c r="I2077" s="44" t="str">
        <f t="array" ref="I2077">IF(B2077="","",_xlfn.XLOOKUP(B2077,'Form responses 1'!$B$2:$B$2604,'Form responses 1'!$I$2:$I$2604,""))</f>
        <v/>
      </c>
      <c r="J2077" s="44" t="str">
        <f t="array" ref="J2077">IF(B2077="","",_xlfn.XLOOKUP(B2077,'Form responses 1'!$B$2:$B$2604,'Form responses 1'!$G$2:$G$2604,""))</f>
        <v/>
      </c>
      <c r="K2077" s="56"/>
      <c r="L2077" s="58" t="str">
        <f t="shared" si="7"/>
        <v/>
      </c>
      <c r="M2077" s="49"/>
      <c r="N2077" s="49"/>
      <c r="O2077" s="49"/>
      <c r="P2077" s="49"/>
      <c r="Q2077" s="49"/>
      <c r="R2077" s="49"/>
      <c r="S2077" s="49"/>
      <c r="T2077" s="49"/>
      <c r="U2077" s="49"/>
      <c r="V2077" s="49"/>
      <c r="W2077" s="56"/>
      <c r="X2077" s="51" t="str">
        <f t="shared" si="5"/>
        <v/>
      </c>
      <c r="Y2077" s="50" t="s">
        <v>482</v>
      </c>
      <c r="Z2077" s="49">
        <f t="shared" si="6"/>
        <v>0</v>
      </c>
    </row>
    <row r="2078" ht="22.5" customHeight="1">
      <c r="B2078" s="57"/>
      <c r="C2078" s="43" t="str">
        <f t="array" ref="C2078">IF(B2078="","",_xlfn.XLOOKUP(B2078,'Form responses 1'!$B$2:$B$2604,'Form responses 1'!$A$2:$A$2604,""))</f>
        <v/>
      </c>
      <c r="D2078" s="44" t="str">
        <f t="shared" si="3"/>
        <v/>
      </c>
      <c r="E2078" s="44" t="str">
        <f t="array" ref="E2078">IF(B2078="","",_xlfn.XLOOKUP(B2078,'Form responses 1'!$B$2:$B$2604,'Form responses 1'!$C$2:$C$2604,""))</f>
        <v/>
      </c>
      <c r="F2078" s="44" t="str">
        <f t="array" ref="F2078">IF(B2078="","",_xlfn.XLOOKUP(B2078,'Form responses 1'!$B$2:$B$2604,'Form responses 1'!$D$2:$D$2604,""))</f>
        <v/>
      </c>
      <c r="G2078" s="44" t="str">
        <f t="array" ref="G2078">IF(B2078="","",_xlfn.XLOOKUP(B2078,'Form responses 1'!$B$2:$B$2604,'Form responses 1'!$E$2:$E$2604,""))</f>
        <v/>
      </c>
      <c r="H2078" s="44" t="str">
        <f t="array" ref="H2078">IF(B2078="","",_xlfn.XLOOKUP(B2078,'Form responses 1'!$B$2:$B$2604,'Form responses 1'!$F$2:$F$2604,""))</f>
        <v/>
      </c>
      <c r="I2078" s="44" t="str">
        <f t="array" ref="I2078">IF(B2078="","",_xlfn.XLOOKUP(B2078,'Form responses 1'!$B$2:$B$2604,'Form responses 1'!$I$2:$I$2604,""))</f>
        <v/>
      </c>
      <c r="J2078" s="44" t="str">
        <f t="array" ref="J2078">IF(B2078="","",_xlfn.XLOOKUP(B2078,'Form responses 1'!$B$2:$B$2604,'Form responses 1'!$G$2:$G$2604,""))</f>
        <v/>
      </c>
      <c r="K2078" s="56"/>
      <c r="L2078" s="58" t="str">
        <f t="shared" si="7"/>
        <v/>
      </c>
      <c r="M2078" s="49"/>
      <c r="N2078" s="49"/>
      <c r="O2078" s="49"/>
      <c r="P2078" s="49"/>
      <c r="Q2078" s="49"/>
      <c r="R2078" s="49"/>
      <c r="S2078" s="49"/>
      <c r="T2078" s="49"/>
      <c r="U2078" s="49"/>
      <c r="V2078" s="49"/>
      <c r="W2078" s="56"/>
      <c r="X2078" s="51" t="str">
        <f t="shared" si="5"/>
        <v/>
      </c>
      <c r="Y2078" s="50" t="s">
        <v>482</v>
      </c>
      <c r="Z2078" s="49">
        <f t="shared" si="6"/>
        <v>0</v>
      </c>
    </row>
    <row r="2079" ht="22.5" customHeight="1">
      <c r="B2079" s="57"/>
      <c r="C2079" s="43" t="str">
        <f t="array" ref="C2079">IF(B2079="","",_xlfn.XLOOKUP(B2079,'Form responses 1'!$B$2:$B$2604,'Form responses 1'!$A$2:$A$2604,""))</f>
        <v/>
      </c>
      <c r="D2079" s="44" t="str">
        <f t="shared" si="3"/>
        <v/>
      </c>
      <c r="E2079" s="44" t="str">
        <f t="array" ref="E2079">IF(B2079="","",_xlfn.XLOOKUP(B2079,'Form responses 1'!$B$2:$B$2604,'Form responses 1'!$C$2:$C$2604,""))</f>
        <v/>
      </c>
      <c r="F2079" s="44" t="str">
        <f t="array" ref="F2079">IF(B2079="","",_xlfn.XLOOKUP(B2079,'Form responses 1'!$B$2:$B$2604,'Form responses 1'!$D$2:$D$2604,""))</f>
        <v/>
      </c>
      <c r="G2079" s="44" t="str">
        <f t="array" ref="G2079">IF(B2079="","",_xlfn.XLOOKUP(B2079,'Form responses 1'!$B$2:$B$2604,'Form responses 1'!$E$2:$E$2604,""))</f>
        <v/>
      </c>
      <c r="H2079" s="44" t="str">
        <f t="array" ref="H2079">IF(B2079="","",_xlfn.XLOOKUP(B2079,'Form responses 1'!$B$2:$B$2604,'Form responses 1'!$F$2:$F$2604,""))</f>
        <v/>
      </c>
      <c r="I2079" s="44" t="str">
        <f t="array" ref="I2079">IF(B2079="","",_xlfn.XLOOKUP(B2079,'Form responses 1'!$B$2:$B$2604,'Form responses 1'!$I$2:$I$2604,""))</f>
        <v/>
      </c>
      <c r="J2079" s="44" t="str">
        <f t="array" ref="J2079">IF(B2079="","",_xlfn.XLOOKUP(B2079,'Form responses 1'!$B$2:$B$2604,'Form responses 1'!$G$2:$G$2604,""))</f>
        <v/>
      </c>
      <c r="K2079" s="56"/>
      <c r="L2079" s="58" t="str">
        <f t="shared" si="7"/>
        <v/>
      </c>
      <c r="M2079" s="49"/>
      <c r="N2079" s="49"/>
      <c r="O2079" s="49"/>
      <c r="P2079" s="49"/>
      <c r="Q2079" s="49"/>
      <c r="R2079" s="49"/>
      <c r="S2079" s="49"/>
      <c r="T2079" s="49"/>
      <c r="U2079" s="49"/>
      <c r="V2079" s="49"/>
      <c r="W2079" s="56"/>
      <c r="X2079" s="51" t="str">
        <f t="shared" si="5"/>
        <v/>
      </c>
      <c r="Y2079" s="50" t="s">
        <v>482</v>
      </c>
      <c r="Z2079" s="49">
        <f t="shared" si="6"/>
        <v>0</v>
      </c>
    </row>
    <row r="2080" ht="22.5" customHeight="1">
      <c r="B2080" s="57"/>
      <c r="C2080" s="43" t="str">
        <f t="array" ref="C2080">IF(B2080="","",_xlfn.XLOOKUP(B2080,'Form responses 1'!$B$2:$B$2604,'Form responses 1'!$A$2:$A$2604,""))</f>
        <v/>
      </c>
      <c r="D2080" s="44" t="str">
        <f t="shared" si="3"/>
        <v/>
      </c>
      <c r="E2080" s="44" t="str">
        <f t="array" ref="E2080">IF(B2080="","",_xlfn.XLOOKUP(B2080,'Form responses 1'!$B$2:$B$2604,'Form responses 1'!$C$2:$C$2604,""))</f>
        <v/>
      </c>
      <c r="F2080" s="44" t="str">
        <f t="array" ref="F2080">IF(B2080="","",_xlfn.XLOOKUP(B2080,'Form responses 1'!$B$2:$B$2604,'Form responses 1'!$D$2:$D$2604,""))</f>
        <v/>
      </c>
      <c r="G2080" s="44" t="str">
        <f t="array" ref="G2080">IF(B2080="","",_xlfn.XLOOKUP(B2080,'Form responses 1'!$B$2:$B$2604,'Form responses 1'!$E$2:$E$2604,""))</f>
        <v/>
      </c>
      <c r="H2080" s="44" t="str">
        <f t="array" ref="H2080">IF(B2080="","",_xlfn.XLOOKUP(B2080,'Form responses 1'!$B$2:$B$2604,'Form responses 1'!$F$2:$F$2604,""))</f>
        <v/>
      </c>
      <c r="I2080" s="44" t="str">
        <f t="array" ref="I2080">IF(B2080="","",_xlfn.XLOOKUP(B2080,'Form responses 1'!$B$2:$B$2604,'Form responses 1'!$I$2:$I$2604,""))</f>
        <v/>
      </c>
      <c r="J2080" s="44" t="str">
        <f t="array" ref="J2080">IF(B2080="","",_xlfn.XLOOKUP(B2080,'Form responses 1'!$B$2:$B$2604,'Form responses 1'!$G$2:$G$2604,""))</f>
        <v/>
      </c>
      <c r="K2080" s="56"/>
      <c r="L2080" s="58" t="str">
        <f t="shared" si="7"/>
        <v/>
      </c>
      <c r="M2080" s="49"/>
      <c r="N2080" s="49"/>
      <c r="O2080" s="49"/>
      <c r="P2080" s="49"/>
      <c r="Q2080" s="49"/>
      <c r="R2080" s="49"/>
      <c r="S2080" s="49"/>
      <c r="T2080" s="49"/>
      <c r="U2080" s="49"/>
      <c r="V2080" s="49"/>
      <c r="W2080" s="56"/>
      <c r="X2080" s="51" t="str">
        <f t="shared" si="5"/>
        <v/>
      </c>
      <c r="Y2080" s="50" t="s">
        <v>482</v>
      </c>
      <c r="Z2080" s="49">
        <f t="shared" si="6"/>
        <v>0</v>
      </c>
    </row>
    <row r="2081" ht="22.5" customHeight="1">
      <c r="B2081" s="57"/>
      <c r="C2081" s="43" t="str">
        <f t="array" ref="C2081">IF(B2081="","",_xlfn.XLOOKUP(B2081,'Form responses 1'!$B$2:$B$2604,'Form responses 1'!$A$2:$A$2604,""))</f>
        <v/>
      </c>
      <c r="D2081" s="44" t="str">
        <f t="shared" si="3"/>
        <v/>
      </c>
      <c r="E2081" s="44" t="str">
        <f t="array" ref="E2081">IF(B2081="","",_xlfn.XLOOKUP(B2081,'Form responses 1'!$B$2:$B$2604,'Form responses 1'!$C$2:$C$2604,""))</f>
        <v/>
      </c>
      <c r="F2081" s="44" t="str">
        <f t="array" ref="F2081">IF(B2081="","",_xlfn.XLOOKUP(B2081,'Form responses 1'!$B$2:$B$2604,'Form responses 1'!$D$2:$D$2604,""))</f>
        <v/>
      </c>
      <c r="G2081" s="44" t="str">
        <f t="array" ref="G2081">IF(B2081="","",_xlfn.XLOOKUP(B2081,'Form responses 1'!$B$2:$B$2604,'Form responses 1'!$E$2:$E$2604,""))</f>
        <v/>
      </c>
      <c r="H2081" s="44" t="str">
        <f t="array" ref="H2081">IF(B2081="","",_xlfn.XLOOKUP(B2081,'Form responses 1'!$B$2:$B$2604,'Form responses 1'!$F$2:$F$2604,""))</f>
        <v/>
      </c>
      <c r="I2081" s="44" t="str">
        <f t="array" ref="I2081">IF(B2081="","",_xlfn.XLOOKUP(B2081,'Form responses 1'!$B$2:$B$2604,'Form responses 1'!$I$2:$I$2604,""))</f>
        <v/>
      </c>
      <c r="J2081" s="44" t="str">
        <f t="array" ref="J2081">IF(B2081="","",_xlfn.XLOOKUP(B2081,'Form responses 1'!$B$2:$B$2604,'Form responses 1'!$G$2:$G$2604,""))</f>
        <v/>
      </c>
      <c r="K2081" s="56"/>
      <c r="L2081" s="58" t="str">
        <f t="shared" si="7"/>
        <v/>
      </c>
      <c r="M2081" s="49"/>
      <c r="N2081" s="49"/>
      <c r="O2081" s="49"/>
      <c r="P2081" s="49"/>
      <c r="Q2081" s="49"/>
      <c r="R2081" s="49"/>
      <c r="S2081" s="49"/>
      <c r="T2081" s="49"/>
      <c r="U2081" s="49"/>
      <c r="V2081" s="49"/>
      <c r="W2081" s="56"/>
      <c r="X2081" s="51" t="str">
        <f t="shared" si="5"/>
        <v/>
      </c>
      <c r="Y2081" s="50" t="s">
        <v>482</v>
      </c>
      <c r="Z2081" s="49">
        <f t="shared" si="6"/>
        <v>0</v>
      </c>
    </row>
    <row r="2082" ht="22.5" customHeight="1">
      <c r="B2082" s="57"/>
      <c r="C2082" s="43" t="str">
        <f t="array" ref="C2082">IF(B2082="","",_xlfn.XLOOKUP(B2082,'Form responses 1'!$B$2:$B$2604,'Form responses 1'!$A$2:$A$2604,""))</f>
        <v/>
      </c>
      <c r="D2082" s="44" t="str">
        <f t="shared" si="3"/>
        <v/>
      </c>
      <c r="E2082" s="44" t="str">
        <f t="array" ref="E2082">IF(B2082="","",_xlfn.XLOOKUP(B2082,'Form responses 1'!$B$2:$B$2604,'Form responses 1'!$C$2:$C$2604,""))</f>
        <v/>
      </c>
      <c r="F2082" s="44" t="str">
        <f t="array" ref="F2082">IF(B2082="","",_xlfn.XLOOKUP(B2082,'Form responses 1'!$B$2:$B$2604,'Form responses 1'!$D$2:$D$2604,""))</f>
        <v/>
      </c>
      <c r="G2082" s="44" t="str">
        <f t="array" ref="G2082">IF(B2082="","",_xlfn.XLOOKUP(B2082,'Form responses 1'!$B$2:$B$2604,'Form responses 1'!$E$2:$E$2604,""))</f>
        <v/>
      </c>
      <c r="H2082" s="44" t="str">
        <f t="array" ref="H2082">IF(B2082="","",_xlfn.XLOOKUP(B2082,'Form responses 1'!$B$2:$B$2604,'Form responses 1'!$F$2:$F$2604,""))</f>
        <v/>
      </c>
      <c r="I2082" s="44" t="str">
        <f t="array" ref="I2082">IF(B2082="","",_xlfn.XLOOKUP(B2082,'Form responses 1'!$B$2:$B$2604,'Form responses 1'!$I$2:$I$2604,""))</f>
        <v/>
      </c>
      <c r="J2082" s="44" t="str">
        <f t="array" ref="J2082">IF(B2082="","",_xlfn.XLOOKUP(B2082,'Form responses 1'!$B$2:$B$2604,'Form responses 1'!$G$2:$G$2604,""))</f>
        <v/>
      </c>
      <c r="K2082" s="56"/>
      <c r="L2082" s="58" t="str">
        <f t="shared" si="7"/>
        <v/>
      </c>
      <c r="M2082" s="49"/>
      <c r="N2082" s="49"/>
      <c r="O2082" s="49"/>
      <c r="P2082" s="49"/>
      <c r="Q2082" s="49"/>
      <c r="R2082" s="49"/>
      <c r="S2082" s="49"/>
      <c r="T2082" s="49"/>
      <c r="U2082" s="49"/>
      <c r="V2082" s="49"/>
      <c r="W2082" s="56"/>
      <c r="X2082" s="51" t="str">
        <f t="shared" si="5"/>
        <v/>
      </c>
      <c r="Y2082" s="50" t="s">
        <v>482</v>
      </c>
      <c r="Z2082" s="49">
        <f t="shared" si="6"/>
        <v>0</v>
      </c>
    </row>
    <row r="2083" ht="22.5" customHeight="1">
      <c r="B2083" s="57"/>
      <c r="C2083" s="43" t="str">
        <f t="array" ref="C2083">IF(B2083="","",_xlfn.XLOOKUP(B2083,'Form responses 1'!$B$2:$B$2604,'Form responses 1'!$A$2:$A$2604,""))</f>
        <v/>
      </c>
      <c r="D2083" s="44" t="str">
        <f t="shared" si="3"/>
        <v/>
      </c>
      <c r="E2083" s="44" t="str">
        <f t="array" ref="E2083">IF(B2083="","",_xlfn.XLOOKUP(B2083,'Form responses 1'!$B$2:$B$2604,'Form responses 1'!$C$2:$C$2604,""))</f>
        <v/>
      </c>
      <c r="F2083" s="44" t="str">
        <f t="array" ref="F2083">IF(B2083="","",_xlfn.XLOOKUP(B2083,'Form responses 1'!$B$2:$B$2604,'Form responses 1'!$D$2:$D$2604,""))</f>
        <v/>
      </c>
      <c r="G2083" s="44" t="str">
        <f t="array" ref="G2083">IF(B2083="","",_xlfn.XLOOKUP(B2083,'Form responses 1'!$B$2:$B$2604,'Form responses 1'!$E$2:$E$2604,""))</f>
        <v/>
      </c>
      <c r="H2083" s="44" t="str">
        <f t="array" ref="H2083">IF(B2083="","",_xlfn.XLOOKUP(B2083,'Form responses 1'!$B$2:$B$2604,'Form responses 1'!$F$2:$F$2604,""))</f>
        <v/>
      </c>
      <c r="I2083" s="44" t="str">
        <f t="array" ref="I2083">IF(B2083="","",_xlfn.XLOOKUP(B2083,'Form responses 1'!$B$2:$B$2604,'Form responses 1'!$I$2:$I$2604,""))</f>
        <v/>
      </c>
      <c r="J2083" s="44" t="str">
        <f t="array" ref="J2083">IF(B2083="","",_xlfn.XLOOKUP(B2083,'Form responses 1'!$B$2:$B$2604,'Form responses 1'!$G$2:$G$2604,""))</f>
        <v/>
      </c>
      <c r="K2083" s="56"/>
      <c r="L2083" s="58" t="str">
        <f t="shared" si="7"/>
        <v/>
      </c>
      <c r="M2083" s="49"/>
      <c r="N2083" s="49"/>
      <c r="O2083" s="49"/>
      <c r="P2083" s="49"/>
      <c r="Q2083" s="49"/>
      <c r="R2083" s="49"/>
      <c r="S2083" s="49"/>
      <c r="T2083" s="49"/>
      <c r="U2083" s="49"/>
      <c r="V2083" s="49"/>
      <c r="W2083" s="56"/>
      <c r="X2083" s="51" t="str">
        <f t="shared" si="5"/>
        <v/>
      </c>
      <c r="Y2083" s="50" t="s">
        <v>482</v>
      </c>
      <c r="Z2083" s="49">
        <f t="shared" si="6"/>
        <v>0</v>
      </c>
    </row>
    <row r="2084" ht="22.5" customHeight="1">
      <c r="B2084" s="57"/>
      <c r="C2084" s="43" t="str">
        <f t="array" ref="C2084">IF(B2084="","",_xlfn.XLOOKUP(B2084,'Form responses 1'!$B$2:$B$2604,'Form responses 1'!$A$2:$A$2604,""))</f>
        <v/>
      </c>
      <c r="D2084" s="44" t="str">
        <f t="shared" si="3"/>
        <v/>
      </c>
      <c r="E2084" s="44" t="str">
        <f t="array" ref="E2084">IF(B2084="","",_xlfn.XLOOKUP(B2084,'Form responses 1'!$B$2:$B$2604,'Form responses 1'!$C$2:$C$2604,""))</f>
        <v/>
      </c>
      <c r="F2084" s="44" t="str">
        <f t="array" ref="F2084">IF(B2084="","",_xlfn.XLOOKUP(B2084,'Form responses 1'!$B$2:$B$2604,'Form responses 1'!$D$2:$D$2604,""))</f>
        <v/>
      </c>
      <c r="G2084" s="44" t="str">
        <f t="array" ref="G2084">IF(B2084="","",_xlfn.XLOOKUP(B2084,'Form responses 1'!$B$2:$B$2604,'Form responses 1'!$E$2:$E$2604,""))</f>
        <v/>
      </c>
      <c r="H2084" s="44" t="str">
        <f t="array" ref="H2084">IF(B2084="","",_xlfn.XLOOKUP(B2084,'Form responses 1'!$B$2:$B$2604,'Form responses 1'!$F$2:$F$2604,""))</f>
        <v/>
      </c>
      <c r="I2084" s="44" t="str">
        <f t="array" ref="I2084">IF(B2084="","",_xlfn.XLOOKUP(B2084,'Form responses 1'!$B$2:$B$2604,'Form responses 1'!$I$2:$I$2604,""))</f>
        <v/>
      </c>
      <c r="J2084" s="44" t="str">
        <f t="array" ref="J2084">IF(B2084="","",_xlfn.XLOOKUP(B2084,'Form responses 1'!$B$2:$B$2604,'Form responses 1'!$G$2:$G$2604,""))</f>
        <v/>
      </c>
      <c r="K2084" s="56"/>
      <c r="L2084" s="58" t="str">
        <f t="shared" si="7"/>
        <v/>
      </c>
      <c r="M2084" s="49"/>
      <c r="N2084" s="49"/>
      <c r="O2084" s="49"/>
      <c r="P2084" s="49"/>
      <c r="Q2084" s="49"/>
      <c r="R2084" s="49"/>
      <c r="S2084" s="49"/>
      <c r="T2084" s="49"/>
      <c r="U2084" s="49"/>
      <c r="V2084" s="49"/>
      <c r="W2084" s="56"/>
      <c r="X2084" s="51" t="str">
        <f t="shared" si="5"/>
        <v/>
      </c>
      <c r="Y2084" s="50" t="s">
        <v>482</v>
      </c>
      <c r="Z2084" s="49">
        <f t="shared" si="6"/>
        <v>0</v>
      </c>
    </row>
    <row r="2085" ht="22.5" customHeight="1">
      <c r="B2085" s="57"/>
      <c r="C2085" s="43" t="str">
        <f t="array" ref="C2085">IF(B2085="","",_xlfn.XLOOKUP(B2085,'Form responses 1'!$B$2:$B$2604,'Form responses 1'!$A$2:$A$2604,""))</f>
        <v/>
      </c>
      <c r="D2085" s="44" t="str">
        <f t="shared" si="3"/>
        <v/>
      </c>
      <c r="E2085" s="44" t="str">
        <f t="array" ref="E2085">IF(B2085="","",_xlfn.XLOOKUP(B2085,'Form responses 1'!$B$2:$B$2604,'Form responses 1'!$C$2:$C$2604,""))</f>
        <v/>
      </c>
      <c r="F2085" s="44" t="str">
        <f t="array" ref="F2085">IF(B2085="","",_xlfn.XLOOKUP(B2085,'Form responses 1'!$B$2:$B$2604,'Form responses 1'!$D$2:$D$2604,""))</f>
        <v/>
      </c>
      <c r="G2085" s="44" t="str">
        <f t="array" ref="G2085">IF(B2085="","",_xlfn.XLOOKUP(B2085,'Form responses 1'!$B$2:$B$2604,'Form responses 1'!$E$2:$E$2604,""))</f>
        <v/>
      </c>
      <c r="H2085" s="44" t="str">
        <f t="array" ref="H2085">IF(B2085="","",_xlfn.XLOOKUP(B2085,'Form responses 1'!$B$2:$B$2604,'Form responses 1'!$F$2:$F$2604,""))</f>
        <v/>
      </c>
      <c r="I2085" s="44" t="str">
        <f t="array" ref="I2085">IF(B2085="","",_xlfn.XLOOKUP(B2085,'Form responses 1'!$B$2:$B$2604,'Form responses 1'!$I$2:$I$2604,""))</f>
        <v/>
      </c>
      <c r="J2085" s="44" t="str">
        <f t="array" ref="J2085">IF(B2085="","",_xlfn.XLOOKUP(B2085,'Form responses 1'!$B$2:$B$2604,'Form responses 1'!$G$2:$G$2604,""))</f>
        <v/>
      </c>
      <c r="K2085" s="56"/>
      <c r="L2085" s="58" t="str">
        <f t="shared" si="7"/>
        <v/>
      </c>
      <c r="M2085" s="49"/>
      <c r="N2085" s="49"/>
      <c r="O2085" s="49"/>
      <c r="P2085" s="49"/>
      <c r="Q2085" s="49"/>
      <c r="R2085" s="49"/>
      <c r="S2085" s="49"/>
      <c r="T2085" s="49"/>
      <c r="U2085" s="49"/>
      <c r="V2085" s="49"/>
      <c r="W2085" s="56"/>
      <c r="X2085" s="51" t="str">
        <f t="shared" si="5"/>
        <v/>
      </c>
      <c r="Y2085" s="50" t="s">
        <v>482</v>
      </c>
      <c r="Z2085" s="49">
        <f t="shared" si="6"/>
        <v>0</v>
      </c>
    </row>
    <row r="2086" ht="22.5" customHeight="1">
      <c r="B2086" s="57"/>
      <c r="C2086" s="43" t="str">
        <f t="array" ref="C2086">IF(B2086="","",_xlfn.XLOOKUP(B2086,'Form responses 1'!$B$2:$B$2604,'Form responses 1'!$A$2:$A$2604,""))</f>
        <v/>
      </c>
      <c r="D2086" s="44" t="str">
        <f t="shared" si="3"/>
        <v/>
      </c>
      <c r="E2086" s="44" t="str">
        <f t="array" ref="E2086">IF(B2086="","",_xlfn.XLOOKUP(B2086,'Form responses 1'!$B$2:$B$2604,'Form responses 1'!$C$2:$C$2604,""))</f>
        <v/>
      </c>
      <c r="F2086" s="44" t="str">
        <f t="array" ref="F2086">IF(B2086="","",_xlfn.XLOOKUP(B2086,'Form responses 1'!$B$2:$B$2604,'Form responses 1'!$D$2:$D$2604,""))</f>
        <v/>
      </c>
      <c r="G2086" s="44" t="str">
        <f t="array" ref="G2086">IF(B2086="","",_xlfn.XLOOKUP(B2086,'Form responses 1'!$B$2:$B$2604,'Form responses 1'!$E$2:$E$2604,""))</f>
        <v/>
      </c>
      <c r="H2086" s="44" t="str">
        <f t="array" ref="H2086">IF(B2086="","",_xlfn.XLOOKUP(B2086,'Form responses 1'!$B$2:$B$2604,'Form responses 1'!$F$2:$F$2604,""))</f>
        <v/>
      </c>
      <c r="I2086" s="44" t="str">
        <f t="array" ref="I2086">IF(B2086="","",_xlfn.XLOOKUP(B2086,'Form responses 1'!$B$2:$B$2604,'Form responses 1'!$I$2:$I$2604,""))</f>
        <v/>
      </c>
      <c r="J2086" s="44" t="str">
        <f t="array" ref="J2086">IF(B2086="","",_xlfn.XLOOKUP(B2086,'Form responses 1'!$B$2:$B$2604,'Form responses 1'!$G$2:$G$2604,""))</f>
        <v/>
      </c>
      <c r="K2086" s="56"/>
      <c r="L2086" s="58" t="str">
        <f t="shared" si="7"/>
        <v/>
      </c>
      <c r="M2086" s="49"/>
      <c r="N2086" s="49"/>
      <c r="O2086" s="49"/>
      <c r="P2086" s="49"/>
      <c r="Q2086" s="49"/>
      <c r="R2086" s="49"/>
      <c r="S2086" s="49"/>
      <c r="T2086" s="49"/>
      <c r="U2086" s="49"/>
      <c r="V2086" s="49"/>
      <c r="W2086" s="56"/>
      <c r="X2086" s="51" t="str">
        <f t="shared" si="5"/>
        <v/>
      </c>
      <c r="Y2086" s="50" t="s">
        <v>482</v>
      </c>
      <c r="Z2086" s="49">
        <f t="shared" si="6"/>
        <v>0</v>
      </c>
    </row>
    <row r="2087" ht="22.5" customHeight="1">
      <c r="B2087" s="57"/>
      <c r="C2087" s="43" t="str">
        <f t="array" ref="C2087">IF(B2087="","",_xlfn.XLOOKUP(B2087,'Form responses 1'!$B$2:$B$2604,'Form responses 1'!$A$2:$A$2604,""))</f>
        <v/>
      </c>
      <c r="D2087" s="44" t="str">
        <f t="shared" si="3"/>
        <v/>
      </c>
      <c r="E2087" s="44" t="str">
        <f t="array" ref="E2087">IF(B2087="","",_xlfn.XLOOKUP(B2087,'Form responses 1'!$B$2:$B$2604,'Form responses 1'!$C$2:$C$2604,""))</f>
        <v/>
      </c>
      <c r="F2087" s="44" t="str">
        <f t="array" ref="F2087">IF(B2087="","",_xlfn.XLOOKUP(B2087,'Form responses 1'!$B$2:$B$2604,'Form responses 1'!$D$2:$D$2604,""))</f>
        <v/>
      </c>
      <c r="G2087" s="44" t="str">
        <f t="array" ref="G2087">IF(B2087="","",_xlfn.XLOOKUP(B2087,'Form responses 1'!$B$2:$B$2604,'Form responses 1'!$E$2:$E$2604,""))</f>
        <v/>
      </c>
      <c r="H2087" s="44" t="str">
        <f t="array" ref="H2087">IF(B2087="","",_xlfn.XLOOKUP(B2087,'Form responses 1'!$B$2:$B$2604,'Form responses 1'!$F$2:$F$2604,""))</f>
        <v/>
      </c>
      <c r="I2087" s="44" t="str">
        <f t="array" ref="I2087">IF(B2087="","",_xlfn.XLOOKUP(B2087,'Form responses 1'!$B$2:$B$2604,'Form responses 1'!$I$2:$I$2604,""))</f>
        <v/>
      </c>
      <c r="J2087" s="44" t="str">
        <f t="array" ref="J2087">IF(B2087="","",_xlfn.XLOOKUP(B2087,'Form responses 1'!$B$2:$B$2604,'Form responses 1'!$G$2:$G$2604,""))</f>
        <v/>
      </c>
      <c r="K2087" s="56"/>
      <c r="L2087" s="58" t="str">
        <f t="shared" si="7"/>
        <v/>
      </c>
      <c r="M2087" s="49"/>
      <c r="N2087" s="49"/>
      <c r="O2087" s="49"/>
      <c r="P2087" s="49"/>
      <c r="Q2087" s="49"/>
      <c r="R2087" s="49"/>
      <c r="S2087" s="49"/>
      <c r="T2087" s="49"/>
      <c r="U2087" s="49"/>
      <c r="V2087" s="49"/>
      <c r="W2087" s="56"/>
      <c r="X2087" s="51" t="str">
        <f t="shared" si="5"/>
        <v/>
      </c>
      <c r="Y2087" s="50" t="s">
        <v>482</v>
      </c>
      <c r="Z2087" s="49">
        <f t="shared" si="6"/>
        <v>0</v>
      </c>
    </row>
    <row r="2088" ht="22.5" customHeight="1">
      <c r="B2088" s="57"/>
      <c r="C2088" s="43" t="str">
        <f t="array" ref="C2088">IF(B2088="","",_xlfn.XLOOKUP(B2088,'Form responses 1'!$B$2:$B$2604,'Form responses 1'!$A$2:$A$2604,""))</f>
        <v/>
      </c>
      <c r="D2088" s="44" t="str">
        <f t="shared" si="3"/>
        <v/>
      </c>
      <c r="E2088" s="44" t="str">
        <f t="array" ref="E2088">IF(B2088="","",_xlfn.XLOOKUP(B2088,'Form responses 1'!$B$2:$B$2604,'Form responses 1'!$C$2:$C$2604,""))</f>
        <v/>
      </c>
      <c r="F2088" s="44" t="str">
        <f t="array" ref="F2088">IF(B2088="","",_xlfn.XLOOKUP(B2088,'Form responses 1'!$B$2:$B$2604,'Form responses 1'!$D$2:$D$2604,""))</f>
        <v/>
      </c>
      <c r="G2088" s="44" t="str">
        <f t="array" ref="G2088">IF(B2088="","",_xlfn.XLOOKUP(B2088,'Form responses 1'!$B$2:$B$2604,'Form responses 1'!$E$2:$E$2604,""))</f>
        <v/>
      </c>
      <c r="H2088" s="44" t="str">
        <f t="array" ref="H2088">IF(B2088="","",_xlfn.XLOOKUP(B2088,'Form responses 1'!$B$2:$B$2604,'Form responses 1'!$F$2:$F$2604,""))</f>
        <v/>
      </c>
      <c r="I2088" s="44" t="str">
        <f t="array" ref="I2088">IF(B2088="","",_xlfn.XLOOKUP(B2088,'Form responses 1'!$B$2:$B$2604,'Form responses 1'!$I$2:$I$2604,""))</f>
        <v/>
      </c>
      <c r="J2088" s="44" t="str">
        <f t="array" ref="J2088">IF(B2088="","",_xlfn.XLOOKUP(B2088,'Form responses 1'!$B$2:$B$2604,'Form responses 1'!$G$2:$G$2604,""))</f>
        <v/>
      </c>
      <c r="K2088" s="56"/>
      <c r="L2088" s="58" t="str">
        <f t="shared" si="7"/>
        <v/>
      </c>
      <c r="M2088" s="49"/>
      <c r="N2088" s="49"/>
      <c r="O2088" s="49"/>
      <c r="P2088" s="49"/>
      <c r="Q2088" s="49"/>
      <c r="R2088" s="49"/>
      <c r="S2088" s="49"/>
      <c r="T2088" s="49"/>
      <c r="U2088" s="49"/>
      <c r="V2088" s="49"/>
      <c r="W2088" s="56"/>
      <c r="X2088" s="51" t="str">
        <f t="shared" si="5"/>
        <v/>
      </c>
      <c r="Y2088" s="50" t="s">
        <v>482</v>
      </c>
      <c r="Z2088" s="49">
        <f t="shared" si="6"/>
        <v>0</v>
      </c>
    </row>
    <row r="2089" ht="22.5" customHeight="1">
      <c r="B2089" s="57"/>
      <c r="C2089" s="43" t="str">
        <f t="array" ref="C2089">IF(B2089="","",_xlfn.XLOOKUP(B2089,'Form responses 1'!$B$2:$B$2604,'Form responses 1'!$A$2:$A$2604,""))</f>
        <v/>
      </c>
      <c r="D2089" s="44" t="str">
        <f t="shared" si="3"/>
        <v/>
      </c>
      <c r="E2089" s="44" t="str">
        <f t="array" ref="E2089">IF(B2089="","",_xlfn.XLOOKUP(B2089,'Form responses 1'!$B$2:$B$2604,'Form responses 1'!$C$2:$C$2604,""))</f>
        <v/>
      </c>
      <c r="F2089" s="44" t="str">
        <f t="array" ref="F2089">IF(B2089="","",_xlfn.XLOOKUP(B2089,'Form responses 1'!$B$2:$B$2604,'Form responses 1'!$D$2:$D$2604,""))</f>
        <v/>
      </c>
      <c r="G2089" s="44" t="str">
        <f t="array" ref="G2089">IF(B2089="","",_xlfn.XLOOKUP(B2089,'Form responses 1'!$B$2:$B$2604,'Form responses 1'!$E$2:$E$2604,""))</f>
        <v/>
      </c>
      <c r="H2089" s="44" t="str">
        <f t="array" ref="H2089">IF(B2089="","",_xlfn.XLOOKUP(B2089,'Form responses 1'!$B$2:$B$2604,'Form responses 1'!$F$2:$F$2604,""))</f>
        <v/>
      </c>
      <c r="I2089" s="44" t="str">
        <f t="array" ref="I2089">IF(B2089="","",_xlfn.XLOOKUP(B2089,'Form responses 1'!$B$2:$B$2604,'Form responses 1'!$I$2:$I$2604,""))</f>
        <v/>
      </c>
      <c r="J2089" s="44" t="str">
        <f t="array" ref="J2089">IF(B2089="","",_xlfn.XLOOKUP(B2089,'Form responses 1'!$B$2:$B$2604,'Form responses 1'!$G$2:$G$2604,""))</f>
        <v/>
      </c>
      <c r="K2089" s="56"/>
      <c r="L2089" s="58" t="str">
        <f t="shared" si="7"/>
        <v/>
      </c>
      <c r="M2089" s="49"/>
      <c r="N2089" s="49"/>
      <c r="O2089" s="49"/>
      <c r="P2089" s="49"/>
      <c r="Q2089" s="49"/>
      <c r="R2089" s="49"/>
      <c r="S2089" s="49"/>
      <c r="T2089" s="49"/>
      <c r="U2089" s="49"/>
      <c r="V2089" s="49"/>
      <c r="W2089" s="56"/>
      <c r="X2089" s="51" t="str">
        <f t="shared" si="5"/>
        <v/>
      </c>
      <c r="Y2089" s="50" t="s">
        <v>482</v>
      </c>
      <c r="Z2089" s="49">
        <f t="shared" si="6"/>
        <v>0</v>
      </c>
    </row>
    <row r="2090" ht="22.5" customHeight="1">
      <c r="B2090" s="57"/>
      <c r="C2090" s="43" t="str">
        <f t="array" ref="C2090">IF(B2090="","",_xlfn.XLOOKUP(B2090,'Form responses 1'!$B$2:$B$2604,'Form responses 1'!$A$2:$A$2604,""))</f>
        <v/>
      </c>
      <c r="D2090" s="44" t="str">
        <f t="shared" si="3"/>
        <v/>
      </c>
      <c r="E2090" s="44" t="str">
        <f t="array" ref="E2090">IF(B2090="","",_xlfn.XLOOKUP(B2090,'Form responses 1'!$B$2:$B$2604,'Form responses 1'!$C$2:$C$2604,""))</f>
        <v/>
      </c>
      <c r="F2090" s="44" t="str">
        <f t="array" ref="F2090">IF(B2090="","",_xlfn.XLOOKUP(B2090,'Form responses 1'!$B$2:$B$2604,'Form responses 1'!$D$2:$D$2604,""))</f>
        <v/>
      </c>
      <c r="G2090" s="44" t="str">
        <f t="array" ref="G2090">IF(B2090="","",_xlfn.XLOOKUP(B2090,'Form responses 1'!$B$2:$B$2604,'Form responses 1'!$E$2:$E$2604,""))</f>
        <v/>
      </c>
      <c r="H2090" s="44" t="str">
        <f t="array" ref="H2090">IF(B2090="","",_xlfn.XLOOKUP(B2090,'Form responses 1'!$B$2:$B$2604,'Form responses 1'!$F$2:$F$2604,""))</f>
        <v/>
      </c>
      <c r="I2090" s="44" t="str">
        <f t="array" ref="I2090">IF(B2090="","",_xlfn.XLOOKUP(B2090,'Form responses 1'!$B$2:$B$2604,'Form responses 1'!$I$2:$I$2604,""))</f>
        <v/>
      </c>
      <c r="J2090" s="44" t="str">
        <f t="array" ref="J2090">IF(B2090="","",_xlfn.XLOOKUP(B2090,'Form responses 1'!$B$2:$B$2604,'Form responses 1'!$G$2:$G$2604,""))</f>
        <v/>
      </c>
      <c r="K2090" s="56"/>
      <c r="L2090" s="58" t="str">
        <f t="shared" si="7"/>
        <v/>
      </c>
      <c r="M2090" s="49"/>
      <c r="N2090" s="49"/>
      <c r="O2090" s="49"/>
      <c r="P2090" s="49"/>
      <c r="Q2090" s="49"/>
      <c r="R2090" s="49"/>
      <c r="S2090" s="49"/>
      <c r="T2090" s="49"/>
      <c r="U2090" s="49"/>
      <c r="V2090" s="49"/>
      <c r="W2090" s="56"/>
      <c r="X2090" s="51" t="str">
        <f t="shared" si="5"/>
        <v/>
      </c>
      <c r="Y2090" s="50" t="s">
        <v>482</v>
      </c>
      <c r="Z2090" s="49">
        <f t="shared" si="6"/>
        <v>0</v>
      </c>
    </row>
    <row r="2091" ht="22.5" customHeight="1">
      <c r="B2091" s="57"/>
      <c r="C2091" s="43" t="str">
        <f t="array" ref="C2091">IF(B2091="","",_xlfn.XLOOKUP(B2091,'Form responses 1'!$B$2:$B$2604,'Form responses 1'!$A$2:$A$2604,""))</f>
        <v/>
      </c>
      <c r="D2091" s="44" t="str">
        <f t="shared" si="3"/>
        <v/>
      </c>
      <c r="E2091" s="44" t="str">
        <f t="array" ref="E2091">IF(B2091="","",_xlfn.XLOOKUP(B2091,'Form responses 1'!$B$2:$B$2604,'Form responses 1'!$C$2:$C$2604,""))</f>
        <v/>
      </c>
      <c r="F2091" s="44" t="str">
        <f t="array" ref="F2091">IF(B2091="","",_xlfn.XLOOKUP(B2091,'Form responses 1'!$B$2:$B$2604,'Form responses 1'!$D$2:$D$2604,""))</f>
        <v/>
      </c>
      <c r="G2091" s="44" t="str">
        <f t="array" ref="G2091">IF(B2091="","",_xlfn.XLOOKUP(B2091,'Form responses 1'!$B$2:$B$2604,'Form responses 1'!$E$2:$E$2604,""))</f>
        <v/>
      </c>
      <c r="H2091" s="44" t="str">
        <f t="array" ref="H2091">IF(B2091="","",_xlfn.XLOOKUP(B2091,'Form responses 1'!$B$2:$B$2604,'Form responses 1'!$F$2:$F$2604,""))</f>
        <v/>
      </c>
      <c r="I2091" s="44" t="str">
        <f t="array" ref="I2091">IF(B2091="","",_xlfn.XLOOKUP(B2091,'Form responses 1'!$B$2:$B$2604,'Form responses 1'!$I$2:$I$2604,""))</f>
        <v/>
      </c>
      <c r="J2091" s="44" t="str">
        <f t="array" ref="J2091">IF(B2091="","",_xlfn.XLOOKUP(B2091,'Form responses 1'!$B$2:$B$2604,'Form responses 1'!$G$2:$G$2604,""))</f>
        <v/>
      </c>
      <c r="K2091" s="56"/>
      <c r="L2091" s="58" t="str">
        <f t="shared" si="7"/>
        <v/>
      </c>
      <c r="M2091" s="49"/>
      <c r="N2091" s="49"/>
      <c r="O2091" s="49"/>
      <c r="P2091" s="49"/>
      <c r="Q2091" s="49"/>
      <c r="R2091" s="49"/>
      <c r="S2091" s="49"/>
      <c r="T2091" s="49"/>
      <c r="U2091" s="49"/>
      <c r="V2091" s="49"/>
      <c r="W2091" s="56"/>
      <c r="X2091" s="51" t="str">
        <f t="shared" si="5"/>
        <v/>
      </c>
      <c r="Y2091" s="50" t="s">
        <v>482</v>
      </c>
      <c r="Z2091" s="49">
        <f t="shared" si="6"/>
        <v>0</v>
      </c>
    </row>
    <row r="2092" ht="22.5" customHeight="1">
      <c r="B2092" s="57"/>
      <c r="C2092" s="43" t="str">
        <f t="array" ref="C2092">IF(B2092="","",_xlfn.XLOOKUP(B2092,'Form responses 1'!$B$2:$B$2604,'Form responses 1'!$A$2:$A$2604,""))</f>
        <v/>
      </c>
      <c r="D2092" s="44" t="str">
        <f t="shared" si="3"/>
        <v/>
      </c>
      <c r="E2092" s="44" t="str">
        <f t="array" ref="E2092">IF(B2092="","",_xlfn.XLOOKUP(B2092,'Form responses 1'!$B$2:$B$2604,'Form responses 1'!$C$2:$C$2604,""))</f>
        <v/>
      </c>
      <c r="F2092" s="44" t="str">
        <f t="array" ref="F2092">IF(B2092="","",_xlfn.XLOOKUP(B2092,'Form responses 1'!$B$2:$B$2604,'Form responses 1'!$D$2:$D$2604,""))</f>
        <v/>
      </c>
      <c r="G2092" s="44" t="str">
        <f t="array" ref="G2092">IF(B2092="","",_xlfn.XLOOKUP(B2092,'Form responses 1'!$B$2:$B$2604,'Form responses 1'!$E$2:$E$2604,""))</f>
        <v/>
      </c>
      <c r="H2092" s="44" t="str">
        <f t="array" ref="H2092">IF(B2092="","",_xlfn.XLOOKUP(B2092,'Form responses 1'!$B$2:$B$2604,'Form responses 1'!$F$2:$F$2604,""))</f>
        <v/>
      </c>
      <c r="I2092" s="44" t="str">
        <f t="array" ref="I2092">IF(B2092="","",_xlfn.XLOOKUP(B2092,'Form responses 1'!$B$2:$B$2604,'Form responses 1'!$I$2:$I$2604,""))</f>
        <v/>
      </c>
      <c r="J2092" s="44" t="str">
        <f t="array" ref="J2092">IF(B2092="","",_xlfn.XLOOKUP(B2092,'Form responses 1'!$B$2:$B$2604,'Form responses 1'!$G$2:$G$2604,""))</f>
        <v/>
      </c>
      <c r="K2092" s="56"/>
      <c r="L2092" s="58" t="str">
        <f t="shared" si="7"/>
        <v/>
      </c>
      <c r="M2092" s="49"/>
      <c r="N2092" s="49"/>
      <c r="O2092" s="49"/>
      <c r="P2092" s="49"/>
      <c r="Q2092" s="49"/>
      <c r="R2092" s="49"/>
      <c r="S2092" s="49"/>
      <c r="T2092" s="49"/>
      <c r="U2092" s="49"/>
      <c r="V2092" s="49"/>
      <c r="W2092" s="56"/>
      <c r="X2092" s="51" t="str">
        <f t="shared" si="5"/>
        <v/>
      </c>
      <c r="Y2092" s="50" t="s">
        <v>482</v>
      </c>
      <c r="Z2092" s="49">
        <f t="shared" si="6"/>
        <v>0</v>
      </c>
    </row>
    <row r="2093" ht="22.5" customHeight="1">
      <c r="B2093" s="57"/>
      <c r="C2093" s="43" t="str">
        <f t="array" ref="C2093">IF(B2093="","",_xlfn.XLOOKUP(B2093,'Form responses 1'!$B$2:$B$2604,'Form responses 1'!$A$2:$A$2604,""))</f>
        <v/>
      </c>
      <c r="D2093" s="44" t="str">
        <f t="shared" si="3"/>
        <v/>
      </c>
      <c r="E2093" s="44" t="str">
        <f t="array" ref="E2093">IF(B2093="","",_xlfn.XLOOKUP(B2093,'Form responses 1'!$B$2:$B$2604,'Form responses 1'!$C$2:$C$2604,""))</f>
        <v/>
      </c>
      <c r="F2093" s="44" t="str">
        <f t="array" ref="F2093">IF(B2093="","",_xlfn.XLOOKUP(B2093,'Form responses 1'!$B$2:$B$2604,'Form responses 1'!$D$2:$D$2604,""))</f>
        <v/>
      </c>
      <c r="G2093" s="44" t="str">
        <f t="array" ref="G2093">IF(B2093="","",_xlfn.XLOOKUP(B2093,'Form responses 1'!$B$2:$B$2604,'Form responses 1'!$E$2:$E$2604,""))</f>
        <v/>
      </c>
      <c r="H2093" s="44" t="str">
        <f t="array" ref="H2093">IF(B2093="","",_xlfn.XLOOKUP(B2093,'Form responses 1'!$B$2:$B$2604,'Form responses 1'!$F$2:$F$2604,""))</f>
        <v/>
      </c>
      <c r="I2093" s="44" t="str">
        <f t="array" ref="I2093">IF(B2093="","",_xlfn.XLOOKUP(B2093,'Form responses 1'!$B$2:$B$2604,'Form responses 1'!$I$2:$I$2604,""))</f>
        <v/>
      </c>
      <c r="J2093" s="44" t="str">
        <f t="array" ref="J2093">IF(B2093="","",_xlfn.XLOOKUP(B2093,'Form responses 1'!$B$2:$B$2604,'Form responses 1'!$G$2:$G$2604,""))</f>
        <v/>
      </c>
      <c r="K2093" s="56"/>
      <c r="L2093" s="58" t="str">
        <f t="shared" si="7"/>
        <v/>
      </c>
      <c r="M2093" s="49"/>
      <c r="N2093" s="49"/>
      <c r="O2093" s="49"/>
      <c r="P2093" s="49"/>
      <c r="Q2093" s="49"/>
      <c r="R2093" s="49"/>
      <c r="S2093" s="49"/>
      <c r="T2093" s="49"/>
      <c r="U2093" s="49"/>
      <c r="V2093" s="49"/>
      <c r="W2093" s="56"/>
      <c r="X2093" s="51" t="str">
        <f t="shared" si="5"/>
        <v/>
      </c>
      <c r="Y2093" s="50" t="s">
        <v>482</v>
      </c>
      <c r="Z2093" s="49">
        <f t="shared" si="6"/>
        <v>0</v>
      </c>
    </row>
    <row r="2094" ht="22.5" customHeight="1">
      <c r="B2094" s="57"/>
      <c r="C2094" s="43" t="str">
        <f t="array" ref="C2094">IF(B2094="","",_xlfn.XLOOKUP(B2094,'Form responses 1'!$B$2:$B$2604,'Form responses 1'!$A$2:$A$2604,""))</f>
        <v/>
      </c>
      <c r="D2094" s="44" t="str">
        <f t="shared" si="3"/>
        <v/>
      </c>
      <c r="E2094" s="44" t="str">
        <f t="array" ref="E2094">IF(B2094="","",_xlfn.XLOOKUP(B2094,'Form responses 1'!$B$2:$B$2604,'Form responses 1'!$C$2:$C$2604,""))</f>
        <v/>
      </c>
      <c r="F2094" s="44" t="str">
        <f t="array" ref="F2094">IF(B2094="","",_xlfn.XLOOKUP(B2094,'Form responses 1'!$B$2:$B$2604,'Form responses 1'!$D$2:$D$2604,""))</f>
        <v/>
      </c>
      <c r="G2094" s="44" t="str">
        <f t="array" ref="G2094">IF(B2094="","",_xlfn.XLOOKUP(B2094,'Form responses 1'!$B$2:$B$2604,'Form responses 1'!$E$2:$E$2604,""))</f>
        <v/>
      </c>
      <c r="H2094" s="44" t="str">
        <f t="array" ref="H2094">IF(B2094="","",_xlfn.XLOOKUP(B2094,'Form responses 1'!$B$2:$B$2604,'Form responses 1'!$F$2:$F$2604,""))</f>
        <v/>
      </c>
      <c r="I2094" s="44" t="str">
        <f t="array" ref="I2094">IF(B2094="","",_xlfn.XLOOKUP(B2094,'Form responses 1'!$B$2:$B$2604,'Form responses 1'!$I$2:$I$2604,""))</f>
        <v/>
      </c>
      <c r="J2094" s="44" t="str">
        <f t="array" ref="J2094">IF(B2094="","",_xlfn.XLOOKUP(B2094,'Form responses 1'!$B$2:$B$2604,'Form responses 1'!$G$2:$G$2604,""))</f>
        <v/>
      </c>
      <c r="K2094" s="56"/>
      <c r="L2094" s="58" t="str">
        <f t="shared" si="7"/>
        <v/>
      </c>
      <c r="M2094" s="49"/>
      <c r="N2094" s="49"/>
      <c r="O2094" s="49"/>
      <c r="P2094" s="49"/>
      <c r="Q2094" s="49"/>
      <c r="R2094" s="49"/>
      <c r="S2094" s="49"/>
      <c r="T2094" s="49"/>
      <c r="U2094" s="49"/>
      <c r="V2094" s="49"/>
      <c r="W2094" s="56"/>
      <c r="X2094" s="51" t="str">
        <f t="shared" si="5"/>
        <v/>
      </c>
      <c r="Y2094" s="50" t="s">
        <v>482</v>
      </c>
      <c r="Z2094" s="49">
        <f t="shared" si="6"/>
        <v>0</v>
      </c>
    </row>
    <row r="2095" ht="22.5" customHeight="1">
      <c r="B2095" s="57"/>
      <c r="C2095" s="43" t="str">
        <f t="array" ref="C2095">IF(B2095="","",_xlfn.XLOOKUP(B2095,'Form responses 1'!$B$2:$B$2604,'Form responses 1'!$A$2:$A$2604,""))</f>
        <v/>
      </c>
      <c r="D2095" s="44" t="str">
        <f t="shared" si="3"/>
        <v/>
      </c>
      <c r="E2095" s="44" t="str">
        <f t="array" ref="E2095">IF(B2095="","",_xlfn.XLOOKUP(B2095,'Form responses 1'!$B$2:$B$2604,'Form responses 1'!$C$2:$C$2604,""))</f>
        <v/>
      </c>
      <c r="F2095" s="44" t="str">
        <f t="array" ref="F2095">IF(B2095="","",_xlfn.XLOOKUP(B2095,'Form responses 1'!$B$2:$B$2604,'Form responses 1'!$D$2:$D$2604,""))</f>
        <v/>
      </c>
      <c r="G2095" s="44" t="str">
        <f t="array" ref="G2095">IF(B2095="","",_xlfn.XLOOKUP(B2095,'Form responses 1'!$B$2:$B$2604,'Form responses 1'!$E$2:$E$2604,""))</f>
        <v/>
      </c>
      <c r="H2095" s="44" t="str">
        <f t="array" ref="H2095">IF(B2095="","",_xlfn.XLOOKUP(B2095,'Form responses 1'!$B$2:$B$2604,'Form responses 1'!$F$2:$F$2604,""))</f>
        <v/>
      </c>
      <c r="I2095" s="44" t="str">
        <f t="array" ref="I2095">IF(B2095="","",_xlfn.XLOOKUP(B2095,'Form responses 1'!$B$2:$B$2604,'Form responses 1'!$I$2:$I$2604,""))</f>
        <v/>
      </c>
      <c r="J2095" s="44" t="str">
        <f t="array" ref="J2095">IF(B2095="","",_xlfn.XLOOKUP(B2095,'Form responses 1'!$B$2:$B$2604,'Form responses 1'!$G$2:$G$2604,""))</f>
        <v/>
      </c>
      <c r="K2095" s="56"/>
      <c r="L2095" s="58" t="str">
        <f t="shared" si="7"/>
        <v/>
      </c>
      <c r="M2095" s="49"/>
      <c r="N2095" s="49"/>
      <c r="O2095" s="49"/>
      <c r="P2095" s="49"/>
      <c r="Q2095" s="49"/>
      <c r="R2095" s="49"/>
      <c r="S2095" s="49"/>
      <c r="T2095" s="49"/>
      <c r="U2095" s="49"/>
      <c r="V2095" s="49"/>
      <c r="W2095" s="56"/>
      <c r="X2095" s="51" t="str">
        <f t="shared" si="5"/>
        <v/>
      </c>
      <c r="Y2095" s="50" t="s">
        <v>482</v>
      </c>
      <c r="Z2095" s="49">
        <f t="shared" si="6"/>
        <v>0</v>
      </c>
    </row>
    <row r="2096" ht="22.5" customHeight="1">
      <c r="B2096" s="57"/>
      <c r="C2096" s="43" t="str">
        <f t="array" ref="C2096">IF(B2096="","",_xlfn.XLOOKUP(B2096,'Form responses 1'!$B$2:$B$2604,'Form responses 1'!$A$2:$A$2604,""))</f>
        <v/>
      </c>
      <c r="D2096" s="44" t="str">
        <f t="shared" si="3"/>
        <v/>
      </c>
      <c r="E2096" s="44" t="str">
        <f t="array" ref="E2096">IF(B2096="","",_xlfn.XLOOKUP(B2096,'Form responses 1'!$B$2:$B$2604,'Form responses 1'!$C$2:$C$2604,""))</f>
        <v/>
      </c>
      <c r="F2096" s="44" t="str">
        <f t="array" ref="F2096">IF(B2096="","",_xlfn.XLOOKUP(B2096,'Form responses 1'!$B$2:$B$2604,'Form responses 1'!$D$2:$D$2604,""))</f>
        <v/>
      </c>
      <c r="G2096" s="44" t="str">
        <f t="array" ref="G2096">IF(B2096="","",_xlfn.XLOOKUP(B2096,'Form responses 1'!$B$2:$B$2604,'Form responses 1'!$E$2:$E$2604,""))</f>
        <v/>
      </c>
      <c r="H2096" s="44" t="str">
        <f t="array" ref="H2096">IF(B2096="","",_xlfn.XLOOKUP(B2096,'Form responses 1'!$B$2:$B$2604,'Form responses 1'!$F$2:$F$2604,""))</f>
        <v/>
      </c>
      <c r="I2096" s="44" t="str">
        <f t="array" ref="I2096">IF(B2096="","",_xlfn.XLOOKUP(B2096,'Form responses 1'!$B$2:$B$2604,'Form responses 1'!$I$2:$I$2604,""))</f>
        <v/>
      </c>
      <c r="J2096" s="44" t="str">
        <f t="array" ref="J2096">IF(B2096="","",_xlfn.XLOOKUP(B2096,'Form responses 1'!$B$2:$B$2604,'Form responses 1'!$G$2:$G$2604,""))</f>
        <v/>
      </c>
      <c r="K2096" s="56"/>
      <c r="L2096" s="58" t="str">
        <f t="shared" si="7"/>
        <v/>
      </c>
      <c r="M2096" s="49"/>
      <c r="N2096" s="49"/>
      <c r="O2096" s="49"/>
      <c r="P2096" s="49"/>
      <c r="Q2096" s="49"/>
      <c r="R2096" s="49"/>
      <c r="S2096" s="49"/>
      <c r="T2096" s="49"/>
      <c r="U2096" s="49"/>
      <c r="V2096" s="49"/>
      <c r="W2096" s="56"/>
      <c r="X2096" s="51" t="str">
        <f t="shared" si="5"/>
        <v/>
      </c>
      <c r="Y2096" s="50" t="s">
        <v>482</v>
      </c>
      <c r="Z2096" s="49">
        <f t="shared" si="6"/>
        <v>0</v>
      </c>
    </row>
    <row r="2097" ht="22.5" customHeight="1">
      <c r="B2097" s="57"/>
      <c r="C2097" s="43" t="str">
        <f t="array" ref="C2097">IF(B2097="","",_xlfn.XLOOKUP(B2097,'Form responses 1'!$B$2:$B$2604,'Form responses 1'!$A$2:$A$2604,""))</f>
        <v/>
      </c>
      <c r="D2097" s="44" t="str">
        <f t="shared" si="3"/>
        <v/>
      </c>
      <c r="E2097" s="44" t="str">
        <f t="array" ref="E2097">IF(B2097="","",_xlfn.XLOOKUP(B2097,'Form responses 1'!$B$2:$B$2604,'Form responses 1'!$C$2:$C$2604,""))</f>
        <v/>
      </c>
      <c r="F2097" s="44" t="str">
        <f t="array" ref="F2097">IF(B2097="","",_xlfn.XLOOKUP(B2097,'Form responses 1'!$B$2:$B$2604,'Form responses 1'!$D$2:$D$2604,""))</f>
        <v/>
      </c>
      <c r="G2097" s="44" t="str">
        <f t="array" ref="G2097">IF(B2097="","",_xlfn.XLOOKUP(B2097,'Form responses 1'!$B$2:$B$2604,'Form responses 1'!$E$2:$E$2604,""))</f>
        <v/>
      </c>
      <c r="H2097" s="44" t="str">
        <f t="array" ref="H2097">IF(B2097="","",_xlfn.XLOOKUP(B2097,'Form responses 1'!$B$2:$B$2604,'Form responses 1'!$F$2:$F$2604,""))</f>
        <v/>
      </c>
      <c r="I2097" s="44" t="str">
        <f t="array" ref="I2097">IF(B2097="","",_xlfn.XLOOKUP(B2097,'Form responses 1'!$B$2:$B$2604,'Form responses 1'!$I$2:$I$2604,""))</f>
        <v/>
      </c>
      <c r="J2097" s="44" t="str">
        <f t="array" ref="J2097">IF(B2097="","",_xlfn.XLOOKUP(B2097,'Form responses 1'!$B$2:$B$2604,'Form responses 1'!$G$2:$G$2604,""))</f>
        <v/>
      </c>
      <c r="K2097" s="56"/>
      <c r="L2097" s="58" t="str">
        <f t="shared" si="7"/>
        <v/>
      </c>
      <c r="M2097" s="49"/>
      <c r="N2097" s="49"/>
      <c r="O2097" s="49"/>
      <c r="P2097" s="49"/>
      <c r="Q2097" s="49"/>
      <c r="R2097" s="49"/>
      <c r="S2097" s="49"/>
      <c r="T2097" s="49"/>
      <c r="U2097" s="49"/>
      <c r="V2097" s="49"/>
      <c r="W2097" s="56"/>
      <c r="X2097" s="51" t="str">
        <f t="shared" si="5"/>
        <v/>
      </c>
      <c r="Y2097" s="50" t="s">
        <v>482</v>
      </c>
      <c r="Z2097" s="49">
        <f t="shared" si="6"/>
        <v>0</v>
      </c>
    </row>
    <row r="2098" ht="22.5" customHeight="1">
      <c r="B2098" s="57"/>
      <c r="C2098" s="43" t="str">
        <f t="array" ref="C2098">IF(B2098="","",_xlfn.XLOOKUP(B2098,'Form responses 1'!$B$2:$B$2604,'Form responses 1'!$A$2:$A$2604,""))</f>
        <v/>
      </c>
      <c r="D2098" s="44" t="str">
        <f t="shared" si="3"/>
        <v/>
      </c>
      <c r="E2098" s="44" t="str">
        <f t="array" ref="E2098">IF(B2098="","",_xlfn.XLOOKUP(B2098,'Form responses 1'!$B$2:$B$2604,'Form responses 1'!$C$2:$C$2604,""))</f>
        <v/>
      </c>
      <c r="F2098" s="44" t="str">
        <f t="array" ref="F2098">IF(B2098="","",_xlfn.XLOOKUP(B2098,'Form responses 1'!$B$2:$B$2604,'Form responses 1'!$D$2:$D$2604,""))</f>
        <v/>
      </c>
      <c r="G2098" s="44" t="str">
        <f t="array" ref="G2098">IF(B2098="","",_xlfn.XLOOKUP(B2098,'Form responses 1'!$B$2:$B$2604,'Form responses 1'!$E$2:$E$2604,""))</f>
        <v/>
      </c>
      <c r="H2098" s="44" t="str">
        <f t="array" ref="H2098">IF(B2098="","",_xlfn.XLOOKUP(B2098,'Form responses 1'!$B$2:$B$2604,'Form responses 1'!$F$2:$F$2604,""))</f>
        <v/>
      </c>
      <c r="I2098" s="44" t="str">
        <f t="array" ref="I2098">IF(B2098="","",_xlfn.XLOOKUP(B2098,'Form responses 1'!$B$2:$B$2604,'Form responses 1'!$I$2:$I$2604,""))</f>
        <v/>
      </c>
      <c r="J2098" s="44" t="str">
        <f t="array" ref="J2098">IF(B2098="","",_xlfn.XLOOKUP(B2098,'Form responses 1'!$B$2:$B$2604,'Form responses 1'!$G$2:$G$2604,""))</f>
        <v/>
      </c>
      <c r="K2098" s="56"/>
      <c r="L2098" s="58" t="str">
        <f t="shared" si="7"/>
        <v/>
      </c>
      <c r="M2098" s="49"/>
      <c r="N2098" s="49"/>
      <c r="O2098" s="49"/>
      <c r="P2098" s="49"/>
      <c r="Q2098" s="49"/>
      <c r="R2098" s="49"/>
      <c r="S2098" s="49"/>
      <c r="T2098" s="49"/>
      <c r="U2098" s="49"/>
      <c r="V2098" s="49"/>
      <c r="W2098" s="56"/>
      <c r="X2098" s="51" t="str">
        <f t="shared" si="5"/>
        <v/>
      </c>
      <c r="Y2098" s="50" t="s">
        <v>482</v>
      </c>
      <c r="Z2098" s="49">
        <f t="shared" si="6"/>
        <v>0</v>
      </c>
    </row>
    <row r="2099" ht="22.5" customHeight="1">
      <c r="B2099" s="57"/>
      <c r="C2099" s="43" t="str">
        <f t="array" ref="C2099">IF(B2099="","",_xlfn.XLOOKUP(B2099,'Form responses 1'!$B$2:$B$2604,'Form responses 1'!$A$2:$A$2604,""))</f>
        <v/>
      </c>
      <c r="D2099" s="44" t="str">
        <f t="shared" si="3"/>
        <v/>
      </c>
      <c r="E2099" s="44" t="str">
        <f t="array" ref="E2099">IF(B2099="","",_xlfn.XLOOKUP(B2099,'Form responses 1'!$B$2:$B$2604,'Form responses 1'!$C$2:$C$2604,""))</f>
        <v/>
      </c>
      <c r="F2099" s="44" t="str">
        <f t="array" ref="F2099">IF(B2099="","",_xlfn.XLOOKUP(B2099,'Form responses 1'!$B$2:$B$2604,'Form responses 1'!$D$2:$D$2604,""))</f>
        <v/>
      </c>
      <c r="G2099" s="44" t="str">
        <f t="array" ref="G2099">IF(B2099="","",_xlfn.XLOOKUP(B2099,'Form responses 1'!$B$2:$B$2604,'Form responses 1'!$E$2:$E$2604,""))</f>
        <v/>
      </c>
      <c r="H2099" s="44" t="str">
        <f t="array" ref="H2099">IF(B2099="","",_xlfn.XLOOKUP(B2099,'Form responses 1'!$B$2:$B$2604,'Form responses 1'!$F$2:$F$2604,""))</f>
        <v/>
      </c>
      <c r="I2099" s="44" t="str">
        <f t="array" ref="I2099">IF(B2099="","",_xlfn.XLOOKUP(B2099,'Form responses 1'!$B$2:$B$2604,'Form responses 1'!$I$2:$I$2604,""))</f>
        <v/>
      </c>
      <c r="J2099" s="44" t="str">
        <f t="array" ref="J2099">IF(B2099="","",_xlfn.XLOOKUP(B2099,'Form responses 1'!$B$2:$B$2604,'Form responses 1'!$G$2:$G$2604,""))</f>
        <v/>
      </c>
      <c r="K2099" s="56"/>
      <c r="L2099" s="58" t="str">
        <f t="shared" si="7"/>
        <v/>
      </c>
      <c r="M2099" s="49"/>
      <c r="N2099" s="49"/>
      <c r="O2099" s="49"/>
      <c r="P2099" s="49"/>
      <c r="Q2099" s="49"/>
      <c r="R2099" s="49"/>
      <c r="S2099" s="49"/>
      <c r="T2099" s="49"/>
      <c r="U2099" s="49"/>
      <c r="V2099" s="49"/>
      <c r="W2099" s="56"/>
      <c r="X2099" s="51" t="str">
        <f t="shared" si="5"/>
        <v/>
      </c>
      <c r="Y2099" s="50" t="s">
        <v>482</v>
      </c>
      <c r="Z2099" s="49">
        <f t="shared" si="6"/>
        <v>0</v>
      </c>
    </row>
    <row r="2100" ht="22.5" customHeight="1">
      <c r="B2100" s="57"/>
      <c r="C2100" s="43" t="str">
        <f t="array" ref="C2100">IF(B2100="","",_xlfn.XLOOKUP(B2100,'Form responses 1'!$B$2:$B$2604,'Form responses 1'!$A$2:$A$2604,""))</f>
        <v/>
      </c>
      <c r="D2100" s="44" t="str">
        <f t="shared" si="3"/>
        <v/>
      </c>
      <c r="E2100" s="44" t="str">
        <f t="array" ref="E2100">IF(B2100="","",_xlfn.XLOOKUP(B2100,'Form responses 1'!$B$2:$B$2604,'Form responses 1'!$C$2:$C$2604,""))</f>
        <v/>
      </c>
      <c r="F2100" s="44" t="str">
        <f t="array" ref="F2100">IF(B2100="","",_xlfn.XLOOKUP(B2100,'Form responses 1'!$B$2:$B$2604,'Form responses 1'!$D$2:$D$2604,""))</f>
        <v/>
      </c>
      <c r="G2100" s="44" t="str">
        <f t="array" ref="G2100">IF(B2100="","",_xlfn.XLOOKUP(B2100,'Form responses 1'!$B$2:$B$2604,'Form responses 1'!$E$2:$E$2604,""))</f>
        <v/>
      </c>
      <c r="H2100" s="44" t="str">
        <f t="array" ref="H2100">IF(B2100="","",_xlfn.XLOOKUP(B2100,'Form responses 1'!$B$2:$B$2604,'Form responses 1'!$F$2:$F$2604,""))</f>
        <v/>
      </c>
      <c r="I2100" s="44" t="str">
        <f t="array" ref="I2100">IF(B2100="","",_xlfn.XLOOKUP(B2100,'Form responses 1'!$B$2:$B$2604,'Form responses 1'!$I$2:$I$2604,""))</f>
        <v/>
      </c>
      <c r="J2100" s="44" t="str">
        <f t="array" ref="J2100">IF(B2100="","",_xlfn.XLOOKUP(B2100,'Form responses 1'!$B$2:$B$2604,'Form responses 1'!$G$2:$G$2604,""))</f>
        <v/>
      </c>
      <c r="K2100" s="56"/>
      <c r="L2100" s="58" t="str">
        <f t="shared" si="7"/>
        <v/>
      </c>
      <c r="M2100" s="49"/>
      <c r="N2100" s="49"/>
      <c r="O2100" s="49"/>
      <c r="P2100" s="49"/>
      <c r="Q2100" s="49"/>
      <c r="R2100" s="49"/>
      <c r="S2100" s="49"/>
      <c r="T2100" s="49"/>
      <c r="U2100" s="49"/>
      <c r="V2100" s="49"/>
      <c r="W2100" s="56"/>
      <c r="X2100" s="51" t="str">
        <f t="shared" si="5"/>
        <v/>
      </c>
      <c r="Y2100" s="50" t="s">
        <v>482</v>
      </c>
      <c r="Z2100" s="49">
        <f t="shared" si="6"/>
        <v>0</v>
      </c>
    </row>
    <row r="2101" ht="22.5" customHeight="1">
      <c r="B2101" s="57"/>
      <c r="C2101" s="43" t="str">
        <f t="array" ref="C2101">IF(B2101="","",_xlfn.XLOOKUP(B2101,'Form responses 1'!$B$2:$B$2604,'Form responses 1'!$A$2:$A$2604,""))</f>
        <v/>
      </c>
      <c r="D2101" s="44" t="str">
        <f t="shared" si="3"/>
        <v/>
      </c>
      <c r="E2101" s="44" t="str">
        <f t="array" ref="E2101">IF(B2101="","",_xlfn.XLOOKUP(B2101,'Form responses 1'!$B$2:$B$2604,'Form responses 1'!$C$2:$C$2604,""))</f>
        <v/>
      </c>
      <c r="F2101" s="44" t="str">
        <f t="array" ref="F2101">IF(B2101="","",_xlfn.XLOOKUP(B2101,'Form responses 1'!$B$2:$B$2604,'Form responses 1'!$D$2:$D$2604,""))</f>
        <v/>
      </c>
      <c r="G2101" s="44" t="str">
        <f t="array" ref="G2101">IF(B2101="","",_xlfn.XLOOKUP(B2101,'Form responses 1'!$B$2:$B$2604,'Form responses 1'!$E$2:$E$2604,""))</f>
        <v/>
      </c>
      <c r="H2101" s="44" t="str">
        <f t="array" ref="H2101">IF(B2101="","",_xlfn.XLOOKUP(B2101,'Form responses 1'!$B$2:$B$2604,'Form responses 1'!$F$2:$F$2604,""))</f>
        <v/>
      </c>
      <c r="I2101" s="44" t="str">
        <f t="array" ref="I2101">IF(B2101="","",_xlfn.XLOOKUP(B2101,'Form responses 1'!$B$2:$B$2604,'Form responses 1'!$I$2:$I$2604,""))</f>
        <v/>
      </c>
      <c r="J2101" s="44" t="str">
        <f t="array" ref="J2101">IF(B2101="","",_xlfn.XLOOKUP(B2101,'Form responses 1'!$B$2:$B$2604,'Form responses 1'!$G$2:$G$2604,""))</f>
        <v/>
      </c>
      <c r="K2101" s="56"/>
      <c r="L2101" s="58" t="str">
        <f t="shared" si="7"/>
        <v/>
      </c>
      <c r="M2101" s="49"/>
      <c r="N2101" s="49"/>
      <c r="O2101" s="49"/>
      <c r="P2101" s="49"/>
      <c r="Q2101" s="49"/>
      <c r="R2101" s="49"/>
      <c r="S2101" s="49"/>
      <c r="T2101" s="49"/>
      <c r="U2101" s="49"/>
      <c r="V2101" s="49"/>
      <c r="W2101" s="56"/>
      <c r="X2101" s="51" t="str">
        <f t="shared" si="5"/>
        <v/>
      </c>
      <c r="Y2101" s="50" t="s">
        <v>482</v>
      </c>
      <c r="Z2101" s="49">
        <f t="shared" si="6"/>
        <v>0</v>
      </c>
    </row>
    <row r="2102" ht="22.5" customHeight="1">
      <c r="B2102" s="57"/>
      <c r="C2102" s="43" t="str">
        <f t="array" ref="C2102">IF(B2102="","",_xlfn.XLOOKUP(B2102,'Form responses 1'!$B$2:$B$2604,'Form responses 1'!$A$2:$A$2604,""))</f>
        <v/>
      </c>
      <c r="D2102" s="44" t="str">
        <f t="shared" si="3"/>
        <v/>
      </c>
      <c r="E2102" s="44" t="str">
        <f t="array" ref="E2102">IF(B2102="","",_xlfn.XLOOKUP(B2102,'Form responses 1'!$B$2:$B$2604,'Form responses 1'!$C$2:$C$2604,""))</f>
        <v/>
      </c>
      <c r="F2102" s="44" t="str">
        <f t="array" ref="F2102">IF(B2102="","",_xlfn.XLOOKUP(B2102,'Form responses 1'!$B$2:$B$2604,'Form responses 1'!$D$2:$D$2604,""))</f>
        <v/>
      </c>
      <c r="G2102" s="44" t="str">
        <f t="array" ref="G2102">IF(B2102="","",_xlfn.XLOOKUP(B2102,'Form responses 1'!$B$2:$B$2604,'Form responses 1'!$E$2:$E$2604,""))</f>
        <v/>
      </c>
      <c r="H2102" s="44" t="str">
        <f t="array" ref="H2102">IF(B2102="","",_xlfn.XLOOKUP(B2102,'Form responses 1'!$B$2:$B$2604,'Form responses 1'!$F$2:$F$2604,""))</f>
        <v/>
      </c>
      <c r="I2102" s="44" t="str">
        <f t="array" ref="I2102">IF(B2102="","",_xlfn.XLOOKUP(B2102,'Form responses 1'!$B$2:$B$2604,'Form responses 1'!$I$2:$I$2604,""))</f>
        <v/>
      </c>
      <c r="J2102" s="44" t="str">
        <f t="array" ref="J2102">IF(B2102="","",_xlfn.XLOOKUP(B2102,'Form responses 1'!$B$2:$B$2604,'Form responses 1'!$G$2:$G$2604,""))</f>
        <v/>
      </c>
      <c r="K2102" s="56"/>
      <c r="L2102" s="58" t="str">
        <f t="shared" si="7"/>
        <v/>
      </c>
      <c r="M2102" s="49"/>
      <c r="N2102" s="49"/>
      <c r="O2102" s="49"/>
      <c r="P2102" s="49"/>
      <c r="Q2102" s="49"/>
      <c r="R2102" s="49"/>
      <c r="S2102" s="49"/>
      <c r="T2102" s="49"/>
      <c r="U2102" s="49"/>
      <c r="V2102" s="49"/>
      <c r="W2102" s="56"/>
      <c r="X2102" s="51" t="str">
        <f t="shared" si="5"/>
        <v/>
      </c>
      <c r="Y2102" s="50" t="s">
        <v>482</v>
      </c>
      <c r="Z2102" s="49">
        <f t="shared" si="6"/>
        <v>0</v>
      </c>
    </row>
    <row r="2103" ht="22.5" customHeight="1">
      <c r="B2103" s="57"/>
      <c r="C2103" s="43" t="str">
        <f t="array" ref="C2103">IF(B2103="","",_xlfn.XLOOKUP(B2103,'Form responses 1'!$B$2:$B$2604,'Form responses 1'!$A$2:$A$2604,""))</f>
        <v/>
      </c>
      <c r="D2103" s="44" t="str">
        <f t="shared" si="3"/>
        <v/>
      </c>
      <c r="E2103" s="44" t="str">
        <f t="array" ref="E2103">IF(B2103="","",_xlfn.XLOOKUP(B2103,'Form responses 1'!$B$2:$B$2604,'Form responses 1'!$C$2:$C$2604,""))</f>
        <v/>
      </c>
      <c r="F2103" s="44" t="str">
        <f t="array" ref="F2103">IF(B2103="","",_xlfn.XLOOKUP(B2103,'Form responses 1'!$B$2:$B$2604,'Form responses 1'!$D$2:$D$2604,""))</f>
        <v/>
      </c>
      <c r="G2103" s="44" t="str">
        <f t="array" ref="G2103">IF(B2103="","",_xlfn.XLOOKUP(B2103,'Form responses 1'!$B$2:$B$2604,'Form responses 1'!$E$2:$E$2604,""))</f>
        <v/>
      </c>
      <c r="H2103" s="44" t="str">
        <f t="array" ref="H2103">IF(B2103="","",_xlfn.XLOOKUP(B2103,'Form responses 1'!$B$2:$B$2604,'Form responses 1'!$F$2:$F$2604,""))</f>
        <v/>
      </c>
      <c r="I2103" s="44" t="str">
        <f t="array" ref="I2103">IF(B2103="","",_xlfn.XLOOKUP(B2103,'Form responses 1'!$B$2:$B$2604,'Form responses 1'!$I$2:$I$2604,""))</f>
        <v/>
      </c>
      <c r="J2103" s="44" t="str">
        <f t="array" ref="J2103">IF(B2103="","",_xlfn.XLOOKUP(B2103,'Form responses 1'!$B$2:$B$2604,'Form responses 1'!$G$2:$G$2604,""))</f>
        <v/>
      </c>
      <c r="K2103" s="56"/>
      <c r="L2103" s="58" t="str">
        <f t="shared" si="7"/>
        <v/>
      </c>
      <c r="M2103" s="49"/>
      <c r="N2103" s="49"/>
      <c r="O2103" s="49"/>
      <c r="P2103" s="49"/>
      <c r="Q2103" s="49"/>
      <c r="R2103" s="49"/>
      <c r="S2103" s="49"/>
      <c r="T2103" s="49"/>
      <c r="U2103" s="49"/>
      <c r="V2103" s="49"/>
      <c r="W2103" s="56"/>
      <c r="X2103" s="51" t="str">
        <f t="shared" si="5"/>
        <v/>
      </c>
      <c r="Y2103" s="50" t="s">
        <v>482</v>
      </c>
      <c r="Z2103" s="49">
        <f t="shared" si="6"/>
        <v>0</v>
      </c>
    </row>
    <row r="2104" ht="22.5" customHeight="1">
      <c r="B2104" s="57"/>
      <c r="C2104" s="43" t="str">
        <f t="array" ref="C2104">IF(B2104="","",_xlfn.XLOOKUP(B2104,'Form responses 1'!$B$2:$B$2604,'Form responses 1'!$A$2:$A$2604,""))</f>
        <v/>
      </c>
      <c r="D2104" s="44" t="str">
        <f t="shared" si="3"/>
        <v/>
      </c>
      <c r="E2104" s="44" t="str">
        <f t="array" ref="E2104">IF(B2104="","",_xlfn.XLOOKUP(B2104,'Form responses 1'!$B$2:$B$2604,'Form responses 1'!$C$2:$C$2604,""))</f>
        <v/>
      </c>
      <c r="F2104" s="44" t="str">
        <f t="array" ref="F2104">IF(B2104="","",_xlfn.XLOOKUP(B2104,'Form responses 1'!$B$2:$B$2604,'Form responses 1'!$D$2:$D$2604,""))</f>
        <v/>
      </c>
      <c r="G2104" s="44" t="str">
        <f t="array" ref="G2104">IF(B2104="","",_xlfn.XLOOKUP(B2104,'Form responses 1'!$B$2:$B$2604,'Form responses 1'!$E$2:$E$2604,""))</f>
        <v/>
      </c>
      <c r="H2104" s="44" t="str">
        <f t="array" ref="H2104">IF(B2104="","",_xlfn.XLOOKUP(B2104,'Form responses 1'!$B$2:$B$2604,'Form responses 1'!$F$2:$F$2604,""))</f>
        <v/>
      </c>
      <c r="I2104" s="44" t="str">
        <f t="array" ref="I2104">IF(B2104="","",_xlfn.XLOOKUP(B2104,'Form responses 1'!$B$2:$B$2604,'Form responses 1'!$I$2:$I$2604,""))</f>
        <v/>
      </c>
      <c r="J2104" s="44" t="str">
        <f t="array" ref="J2104">IF(B2104="","",_xlfn.XLOOKUP(B2104,'Form responses 1'!$B$2:$B$2604,'Form responses 1'!$G$2:$G$2604,""))</f>
        <v/>
      </c>
      <c r="K2104" s="56"/>
      <c r="L2104" s="58" t="str">
        <f t="shared" si="7"/>
        <v/>
      </c>
      <c r="M2104" s="49"/>
      <c r="N2104" s="49"/>
      <c r="O2104" s="49"/>
      <c r="P2104" s="49"/>
      <c r="Q2104" s="49"/>
      <c r="R2104" s="49"/>
      <c r="S2104" s="49"/>
      <c r="T2104" s="49"/>
      <c r="U2104" s="49"/>
      <c r="V2104" s="49"/>
      <c r="W2104" s="56"/>
      <c r="X2104" s="51" t="str">
        <f t="shared" si="5"/>
        <v/>
      </c>
      <c r="Y2104" s="50" t="s">
        <v>482</v>
      </c>
      <c r="Z2104" s="49">
        <f t="shared" si="6"/>
        <v>0</v>
      </c>
    </row>
    <row r="2105" ht="22.5" customHeight="1">
      <c r="B2105" s="57"/>
      <c r="C2105" s="43" t="str">
        <f t="array" ref="C2105">IF(B2105="","",_xlfn.XLOOKUP(B2105,'Form responses 1'!$B$2:$B$2604,'Form responses 1'!$A$2:$A$2604,""))</f>
        <v/>
      </c>
      <c r="D2105" s="44" t="str">
        <f t="shared" si="3"/>
        <v/>
      </c>
      <c r="E2105" s="44" t="str">
        <f t="array" ref="E2105">IF(B2105="","",_xlfn.XLOOKUP(B2105,'Form responses 1'!$B$2:$B$2604,'Form responses 1'!$C$2:$C$2604,""))</f>
        <v/>
      </c>
      <c r="F2105" s="44" t="str">
        <f t="array" ref="F2105">IF(B2105="","",_xlfn.XLOOKUP(B2105,'Form responses 1'!$B$2:$B$2604,'Form responses 1'!$D$2:$D$2604,""))</f>
        <v/>
      </c>
      <c r="G2105" s="44" t="str">
        <f t="array" ref="G2105">IF(B2105="","",_xlfn.XLOOKUP(B2105,'Form responses 1'!$B$2:$B$2604,'Form responses 1'!$E$2:$E$2604,""))</f>
        <v/>
      </c>
      <c r="H2105" s="44" t="str">
        <f t="array" ref="H2105">IF(B2105="","",_xlfn.XLOOKUP(B2105,'Form responses 1'!$B$2:$B$2604,'Form responses 1'!$F$2:$F$2604,""))</f>
        <v/>
      </c>
      <c r="I2105" s="44" t="str">
        <f t="array" ref="I2105">IF(B2105="","",_xlfn.XLOOKUP(B2105,'Form responses 1'!$B$2:$B$2604,'Form responses 1'!$I$2:$I$2604,""))</f>
        <v/>
      </c>
      <c r="J2105" s="44" t="str">
        <f t="array" ref="J2105">IF(B2105="","",_xlfn.XLOOKUP(B2105,'Form responses 1'!$B$2:$B$2604,'Form responses 1'!$G$2:$G$2604,""))</f>
        <v/>
      </c>
      <c r="K2105" s="56"/>
      <c r="L2105" s="58" t="str">
        <f t="shared" si="7"/>
        <v/>
      </c>
      <c r="M2105" s="49"/>
      <c r="N2105" s="49"/>
      <c r="O2105" s="49"/>
      <c r="P2105" s="49"/>
      <c r="Q2105" s="49"/>
      <c r="R2105" s="49"/>
      <c r="S2105" s="49"/>
      <c r="T2105" s="49"/>
      <c r="U2105" s="49"/>
      <c r="V2105" s="49"/>
      <c r="W2105" s="56"/>
      <c r="X2105" s="51" t="str">
        <f t="shared" si="5"/>
        <v/>
      </c>
      <c r="Y2105" s="50" t="s">
        <v>482</v>
      </c>
      <c r="Z2105" s="49">
        <f t="shared" si="6"/>
        <v>0</v>
      </c>
    </row>
    <row r="2106" ht="22.5" customHeight="1">
      <c r="B2106" s="57"/>
      <c r="C2106" s="43" t="str">
        <f t="array" ref="C2106">IF(B2106="","",_xlfn.XLOOKUP(B2106,'Form responses 1'!$B$2:$B$2604,'Form responses 1'!$A$2:$A$2604,""))</f>
        <v/>
      </c>
      <c r="D2106" s="44" t="str">
        <f t="shared" si="3"/>
        <v/>
      </c>
      <c r="E2106" s="44" t="str">
        <f t="array" ref="E2106">IF(B2106="","",_xlfn.XLOOKUP(B2106,'Form responses 1'!$B$2:$B$2604,'Form responses 1'!$C$2:$C$2604,""))</f>
        <v/>
      </c>
      <c r="F2106" s="44" t="str">
        <f t="array" ref="F2106">IF(B2106="","",_xlfn.XLOOKUP(B2106,'Form responses 1'!$B$2:$B$2604,'Form responses 1'!$D$2:$D$2604,""))</f>
        <v/>
      </c>
      <c r="G2106" s="44" t="str">
        <f t="array" ref="G2106">IF(B2106="","",_xlfn.XLOOKUP(B2106,'Form responses 1'!$B$2:$B$2604,'Form responses 1'!$E$2:$E$2604,""))</f>
        <v/>
      </c>
      <c r="H2106" s="44" t="str">
        <f t="array" ref="H2106">IF(B2106="","",_xlfn.XLOOKUP(B2106,'Form responses 1'!$B$2:$B$2604,'Form responses 1'!$F$2:$F$2604,""))</f>
        <v/>
      </c>
      <c r="I2106" s="44" t="str">
        <f t="array" ref="I2106">IF(B2106="","",_xlfn.XLOOKUP(B2106,'Form responses 1'!$B$2:$B$2604,'Form responses 1'!$I$2:$I$2604,""))</f>
        <v/>
      </c>
      <c r="J2106" s="44" t="str">
        <f t="array" ref="J2106">IF(B2106="","",_xlfn.XLOOKUP(B2106,'Form responses 1'!$B$2:$B$2604,'Form responses 1'!$G$2:$G$2604,""))</f>
        <v/>
      </c>
      <c r="K2106" s="56"/>
      <c r="L2106" s="58" t="str">
        <f t="shared" si="7"/>
        <v/>
      </c>
      <c r="M2106" s="49"/>
      <c r="N2106" s="49"/>
      <c r="O2106" s="49"/>
      <c r="P2106" s="49"/>
      <c r="Q2106" s="49"/>
      <c r="R2106" s="49"/>
      <c r="S2106" s="49"/>
      <c r="T2106" s="49"/>
      <c r="U2106" s="49"/>
      <c r="V2106" s="49"/>
      <c r="W2106" s="56"/>
      <c r="X2106" s="51" t="str">
        <f t="shared" si="5"/>
        <v/>
      </c>
      <c r="Y2106" s="50" t="s">
        <v>482</v>
      </c>
      <c r="Z2106" s="49">
        <f t="shared" si="6"/>
        <v>0</v>
      </c>
    </row>
    <row r="2107" ht="22.5" customHeight="1">
      <c r="B2107" s="57"/>
      <c r="C2107" s="43" t="str">
        <f t="array" ref="C2107">IF(B2107="","",_xlfn.XLOOKUP(B2107,'Form responses 1'!$B$2:$B$2604,'Form responses 1'!$A$2:$A$2604,""))</f>
        <v/>
      </c>
      <c r="D2107" s="44" t="str">
        <f t="shared" si="3"/>
        <v/>
      </c>
      <c r="E2107" s="44" t="str">
        <f t="array" ref="E2107">IF(B2107="","",_xlfn.XLOOKUP(B2107,'Form responses 1'!$B$2:$B$2604,'Form responses 1'!$C$2:$C$2604,""))</f>
        <v/>
      </c>
      <c r="F2107" s="44" t="str">
        <f t="array" ref="F2107">IF(B2107="","",_xlfn.XLOOKUP(B2107,'Form responses 1'!$B$2:$B$2604,'Form responses 1'!$D$2:$D$2604,""))</f>
        <v/>
      </c>
      <c r="G2107" s="44" t="str">
        <f t="array" ref="G2107">IF(B2107="","",_xlfn.XLOOKUP(B2107,'Form responses 1'!$B$2:$B$2604,'Form responses 1'!$E$2:$E$2604,""))</f>
        <v/>
      </c>
      <c r="H2107" s="44" t="str">
        <f t="array" ref="H2107">IF(B2107="","",_xlfn.XLOOKUP(B2107,'Form responses 1'!$B$2:$B$2604,'Form responses 1'!$F$2:$F$2604,""))</f>
        <v/>
      </c>
      <c r="I2107" s="44" t="str">
        <f t="array" ref="I2107">IF(B2107="","",_xlfn.XLOOKUP(B2107,'Form responses 1'!$B$2:$B$2604,'Form responses 1'!$I$2:$I$2604,""))</f>
        <v/>
      </c>
      <c r="J2107" s="44" t="str">
        <f t="array" ref="J2107">IF(B2107="","",_xlfn.XLOOKUP(B2107,'Form responses 1'!$B$2:$B$2604,'Form responses 1'!$G$2:$G$2604,""))</f>
        <v/>
      </c>
      <c r="K2107" s="56"/>
      <c r="L2107" s="58" t="str">
        <f t="shared" si="7"/>
        <v/>
      </c>
      <c r="M2107" s="49"/>
      <c r="N2107" s="49"/>
      <c r="O2107" s="49"/>
      <c r="P2107" s="49"/>
      <c r="Q2107" s="49"/>
      <c r="R2107" s="49"/>
      <c r="S2107" s="49"/>
      <c r="T2107" s="49"/>
      <c r="U2107" s="49"/>
      <c r="V2107" s="49"/>
      <c r="W2107" s="56"/>
      <c r="X2107" s="51" t="str">
        <f t="shared" si="5"/>
        <v/>
      </c>
      <c r="Y2107" s="50" t="s">
        <v>482</v>
      </c>
      <c r="Z2107" s="49">
        <f t="shared" si="6"/>
        <v>0</v>
      </c>
    </row>
    <row r="2108" ht="22.5" customHeight="1">
      <c r="B2108" s="57"/>
      <c r="C2108" s="43" t="str">
        <f t="array" ref="C2108">IF(B2108="","",_xlfn.XLOOKUP(B2108,'Form responses 1'!$B$2:$B$2604,'Form responses 1'!$A$2:$A$2604,""))</f>
        <v/>
      </c>
      <c r="D2108" s="44" t="str">
        <f t="shared" si="3"/>
        <v/>
      </c>
      <c r="E2108" s="44" t="str">
        <f t="array" ref="E2108">IF(B2108="","",_xlfn.XLOOKUP(B2108,'Form responses 1'!$B$2:$B$2604,'Form responses 1'!$C$2:$C$2604,""))</f>
        <v/>
      </c>
      <c r="F2108" s="44" t="str">
        <f t="array" ref="F2108">IF(B2108="","",_xlfn.XLOOKUP(B2108,'Form responses 1'!$B$2:$B$2604,'Form responses 1'!$D$2:$D$2604,""))</f>
        <v/>
      </c>
      <c r="G2108" s="44" t="str">
        <f t="array" ref="G2108">IF(B2108="","",_xlfn.XLOOKUP(B2108,'Form responses 1'!$B$2:$B$2604,'Form responses 1'!$E$2:$E$2604,""))</f>
        <v/>
      </c>
      <c r="H2108" s="44" t="str">
        <f t="array" ref="H2108">IF(B2108="","",_xlfn.XLOOKUP(B2108,'Form responses 1'!$B$2:$B$2604,'Form responses 1'!$F$2:$F$2604,""))</f>
        <v/>
      </c>
      <c r="I2108" s="44" t="str">
        <f t="array" ref="I2108">IF(B2108="","",_xlfn.XLOOKUP(B2108,'Form responses 1'!$B$2:$B$2604,'Form responses 1'!$I$2:$I$2604,""))</f>
        <v/>
      </c>
      <c r="J2108" s="44" t="str">
        <f t="array" ref="J2108">IF(B2108="","",_xlfn.XLOOKUP(B2108,'Form responses 1'!$B$2:$B$2604,'Form responses 1'!$G$2:$G$2604,""))</f>
        <v/>
      </c>
      <c r="K2108" s="56"/>
      <c r="L2108" s="58" t="str">
        <f t="shared" si="7"/>
        <v/>
      </c>
      <c r="M2108" s="49"/>
      <c r="N2108" s="49"/>
      <c r="O2108" s="49"/>
      <c r="P2108" s="49"/>
      <c r="Q2108" s="49"/>
      <c r="R2108" s="49"/>
      <c r="S2108" s="49"/>
      <c r="T2108" s="49"/>
      <c r="U2108" s="49"/>
      <c r="V2108" s="49"/>
      <c r="W2108" s="56"/>
      <c r="X2108" s="51" t="str">
        <f t="shared" si="5"/>
        <v/>
      </c>
      <c r="Y2108" s="50" t="s">
        <v>482</v>
      </c>
      <c r="Z2108" s="49">
        <f t="shared" si="6"/>
        <v>0</v>
      </c>
    </row>
    <row r="2109" ht="22.5" customHeight="1">
      <c r="B2109" s="57"/>
      <c r="C2109" s="43" t="str">
        <f t="array" ref="C2109">IF(B2109="","",_xlfn.XLOOKUP(B2109,'Form responses 1'!$B$2:$B$2604,'Form responses 1'!$A$2:$A$2604,""))</f>
        <v/>
      </c>
      <c r="D2109" s="44" t="str">
        <f t="shared" si="3"/>
        <v/>
      </c>
      <c r="E2109" s="44" t="str">
        <f t="array" ref="E2109">IF(B2109="","",_xlfn.XLOOKUP(B2109,'Form responses 1'!$B$2:$B$2604,'Form responses 1'!$C$2:$C$2604,""))</f>
        <v/>
      </c>
      <c r="F2109" s="44" t="str">
        <f t="array" ref="F2109">IF(B2109="","",_xlfn.XLOOKUP(B2109,'Form responses 1'!$B$2:$B$2604,'Form responses 1'!$D$2:$D$2604,""))</f>
        <v/>
      </c>
      <c r="G2109" s="44" t="str">
        <f t="array" ref="G2109">IF(B2109="","",_xlfn.XLOOKUP(B2109,'Form responses 1'!$B$2:$B$2604,'Form responses 1'!$E$2:$E$2604,""))</f>
        <v/>
      </c>
      <c r="H2109" s="44" t="str">
        <f t="array" ref="H2109">IF(B2109="","",_xlfn.XLOOKUP(B2109,'Form responses 1'!$B$2:$B$2604,'Form responses 1'!$F$2:$F$2604,""))</f>
        <v/>
      </c>
      <c r="I2109" s="44" t="str">
        <f t="array" ref="I2109">IF(B2109="","",_xlfn.XLOOKUP(B2109,'Form responses 1'!$B$2:$B$2604,'Form responses 1'!$I$2:$I$2604,""))</f>
        <v/>
      </c>
      <c r="J2109" s="44" t="str">
        <f t="array" ref="J2109">IF(B2109="","",_xlfn.XLOOKUP(B2109,'Form responses 1'!$B$2:$B$2604,'Form responses 1'!$G$2:$G$2604,""))</f>
        <v/>
      </c>
      <c r="K2109" s="56"/>
      <c r="L2109" s="58" t="str">
        <f t="shared" si="7"/>
        <v/>
      </c>
      <c r="M2109" s="49"/>
      <c r="N2109" s="49"/>
      <c r="O2109" s="49"/>
      <c r="P2109" s="49"/>
      <c r="Q2109" s="49"/>
      <c r="R2109" s="49"/>
      <c r="S2109" s="49"/>
      <c r="T2109" s="49"/>
      <c r="U2109" s="49"/>
      <c r="V2109" s="49"/>
      <c r="W2109" s="56"/>
      <c r="X2109" s="51" t="str">
        <f t="shared" si="5"/>
        <v/>
      </c>
      <c r="Y2109" s="50" t="s">
        <v>482</v>
      </c>
      <c r="Z2109" s="49">
        <f t="shared" si="6"/>
        <v>0</v>
      </c>
    </row>
    <row r="2110" ht="22.5" customHeight="1">
      <c r="B2110" s="57"/>
      <c r="C2110" s="43" t="str">
        <f t="array" ref="C2110">IF(B2110="","",_xlfn.XLOOKUP(B2110,'Form responses 1'!$B$2:$B$2604,'Form responses 1'!$A$2:$A$2604,""))</f>
        <v/>
      </c>
      <c r="D2110" s="44" t="str">
        <f t="shared" si="3"/>
        <v/>
      </c>
      <c r="E2110" s="44" t="str">
        <f t="array" ref="E2110">IF(B2110="","",_xlfn.XLOOKUP(B2110,'Form responses 1'!$B$2:$B$2604,'Form responses 1'!$C$2:$C$2604,""))</f>
        <v/>
      </c>
      <c r="F2110" s="44" t="str">
        <f t="array" ref="F2110">IF(B2110="","",_xlfn.XLOOKUP(B2110,'Form responses 1'!$B$2:$B$2604,'Form responses 1'!$D$2:$D$2604,""))</f>
        <v/>
      </c>
      <c r="G2110" s="44" t="str">
        <f t="array" ref="G2110">IF(B2110="","",_xlfn.XLOOKUP(B2110,'Form responses 1'!$B$2:$B$2604,'Form responses 1'!$E$2:$E$2604,""))</f>
        <v/>
      </c>
      <c r="H2110" s="44" t="str">
        <f t="array" ref="H2110">IF(B2110="","",_xlfn.XLOOKUP(B2110,'Form responses 1'!$B$2:$B$2604,'Form responses 1'!$F$2:$F$2604,""))</f>
        <v/>
      </c>
      <c r="I2110" s="44" t="str">
        <f t="array" ref="I2110">IF(B2110="","",_xlfn.XLOOKUP(B2110,'Form responses 1'!$B$2:$B$2604,'Form responses 1'!$I$2:$I$2604,""))</f>
        <v/>
      </c>
      <c r="J2110" s="44" t="str">
        <f t="array" ref="J2110">IF(B2110="","",_xlfn.XLOOKUP(B2110,'Form responses 1'!$B$2:$B$2604,'Form responses 1'!$G$2:$G$2604,""))</f>
        <v/>
      </c>
      <c r="K2110" s="56"/>
      <c r="L2110" s="58" t="str">
        <f t="shared" si="7"/>
        <v/>
      </c>
      <c r="M2110" s="49"/>
      <c r="N2110" s="49"/>
      <c r="O2110" s="49"/>
      <c r="P2110" s="49"/>
      <c r="Q2110" s="49"/>
      <c r="R2110" s="49"/>
      <c r="S2110" s="49"/>
      <c r="T2110" s="49"/>
      <c r="U2110" s="49"/>
      <c r="V2110" s="49"/>
      <c r="W2110" s="56"/>
      <c r="X2110" s="51" t="str">
        <f t="shared" si="5"/>
        <v/>
      </c>
      <c r="Y2110" s="50" t="s">
        <v>482</v>
      </c>
      <c r="Z2110" s="49">
        <f t="shared" si="6"/>
        <v>0</v>
      </c>
    </row>
    <row r="2111" ht="22.5" customHeight="1">
      <c r="B2111" s="57"/>
      <c r="C2111" s="43" t="str">
        <f t="array" ref="C2111">IF(B2111="","",_xlfn.XLOOKUP(B2111,'Form responses 1'!$B$2:$B$2604,'Form responses 1'!$A$2:$A$2604,""))</f>
        <v/>
      </c>
      <c r="D2111" s="44" t="str">
        <f t="shared" si="3"/>
        <v/>
      </c>
      <c r="E2111" s="44" t="str">
        <f t="array" ref="E2111">IF(B2111="","",_xlfn.XLOOKUP(B2111,'Form responses 1'!$B$2:$B$2604,'Form responses 1'!$C$2:$C$2604,""))</f>
        <v/>
      </c>
      <c r="F2111" s="44" t="str">
        <f t="array" ref="F2111">IF(B2111="","",_xlfn.XLOOKUP(B2111,'Form responses 1'!$B$2:$B$2604,'Form responses 1'!$D$2:$D$2604,""))</f>
        <v/>
      </c>
      <c r="G2111" s="44" t="str">
        <f t="array" ref="G2111">IF(B2111="","",_xlfn.XLOOKUP(B2111,'Form responses 1'!$B$2:$B$2604,'Form responses 1'!$E$2:$E$2604,""))</f>
        <v/>
      </c>
      <c r="H2111" s="44" t="str">
        <f t="array" ref="H2111">IF(B2111="","",_xlfn.XLOOKUP(B2111,'Form responses 1'!$B$2:$B$2604,'Form responses 1'!$F$2:$F$2604,""))</f>
        <v/>
      </c>
      <c r="I2111" s="44" t="str">
        <f t="array" ref="I2111">IF(B2111="","",_xlfn.XLOOKUP(B2111,'Form responses 1'!$B$2:$B$2604,'Form responses 1'!$I$2:$I$2604,""))</f>
        <v/>
      </c>
      <c r="J2111" s="44" t="str">
        <f t="array" ref="J2111">IF(B2111="","",_xlfn.XLOOKUP(B2111,'Form responses 1'!$B$2:$B$2604,'Form responses 1'!$G$2:$G$2604,""))</f>
        <v/>
      </c>
      <c r="K2111" s="56"/>
      <c r="L2111" s="58" t="str">
        <f t="shared" si="7"/>
        <v/>
      </c>
      <c r="M2111" s="49"/>
      <c r="N2111" s="49"/>
      <c r="O2111" s="49"/>
      <c r="P2111" s="49"/>
      <c r="Q2111" s="49"/>
      <c r="R2111" s="49"/>
      <c r="S2111" s="49"/>
      <c r="T2111" s="49"/>
      <c r="U2111" s="49"/>
      <c r="V2111" s="49"/>
      <c r="W2111" s="56"/>
      <c r="X2111" s="51" t="str">
        <f t="shared" si="5"/>
        <v/>
      </c>
      <c r="Y2111" s="50" t="s">
        <v>482</v>
      </c>
      <c r="Z2111" s="49">
        <f t="shared" si="6"/>
        <v>0</v>
      </c>
    </row>
    <row r="2112" ht="22.5" customHeight="1">
      <c r="B2112" s="57"/>
      <c r="C2112" s="43" t="str">
        <f t="array" ref="C2112">IF(B2112="","",_xlfn.XLOOKUP(B2112,'Form responses 1'!$B$2:$B$2604,'Form responses 1'!$A$2:$A$2604,""))</f>
        <v/>
      </c>
      <c r="D2112" s="44" t="str">
        <f t="shared" si="3"/>
        <v/>
      </c>
      <c r="E2112" s="44" t="str">
        <f t="array" ref="E2112">IF(B2112="","",_xlfn.XLOOKUP(B2112,'Form responses 1'!$B$2:$B$2604,'Form responses 1'!$C$2:$C$2604,""))</f>
        <v/>
      </c>
      <c r="F2112" s="44" t="str">
        <f t="array" ref="F2112">IF(B2112="","",_xlfn.XLOOKUP(B2112,'Form responses 1'!$B$2:$B$2604,'Form responses 1'!$D$2:$D$2604,""))</f>
        <v/>
      </c>
      <c r="G2112" s="44" t="str">
        <f t="array" ref="G2112">IF(B2112="","",_xlfn.XLOOKUP(B2112,'Form responses 1'!$B$2:$B$2604,'Form responses 1'!$E$2:$E$2604,""))</f>
        <v/>
      </c>
      <c r="H2112" s="44" t="str">
        <f t="array" ref="H2112">IF(B2112="","",_xlfn.XLOOKUP(B2112,'Form responses 1'!$B$2:$B$2604,'Form responses 1'!$F$2:$F$2604,""))</f>
        <v/>
      </c>
      <c r="I2112" s="44" t="str">
        <f t="array" ref="I2112">IF(B2112="","",_xlfn.XLOOKUP(B2112,'Form responses 1'!$B$2:$B$2604,'Form responses 1'!$I$2:$I$2604,""))</f>
        <v/>
      </c>
      <c r="J2112" s="44" t="str">
        <f t="array" ref="J2112">IF(B2112="","",_xlfn.XLOOKUP(B2112,'Form responses 1'!$B$2:$B$2604,'Form responses 1'!$G$2:$G$2604,""))</f>
        <v/>
      </c>
      <c r="K2112" s="56"/>
      <c r="L2112" s="58" t="str">
        <f t="shared" si="7"/>
        <v/>
      </c>
      <c r="M2112" s="49"/>
      <c r="N2112" s="49"/>
      <c r="O2112" s="49"/>
      <c r="P2112" s="49"/>
      <c r="Q2112" s="49"/>
      <c r="R2112" s="49"/>
      <c r="S2112" s="49"/>
      <c r="T2112" s="49"/>
      <c r="U2112" s="49"/>
      <c r="V2112" s="49"/>
      <c r="W2112" s="56"/>
      <c r="X2112" s="51" t="str">
        <f t="shared" si="5"/>
        <v/>
      </c>
      <c r="Y2112" s="50" t="s">
        <v>482</v>
      </c>
      <c r="Z2112" s="49">
        <f t="shared" si="6"/>
        <v>0</v>
      </c>
    </row>
    <row r="2113" ht="22.5" customHeight="1">
      <c r="B2113" s="57"/>
      <c r="C2113" s="43" t="str">
        <f t="array" ref="C2113">IF(B2113="","",_xlfn.XLOOKUP(B2113,'Form responses 1'!$B$2:$B$2604,'Form responses 1'!$A$2:$A$2604,""))</f>
        <v/>
      </c>
      <c r="D2113" s="44" t="str">
        <f t="shared" si="3"/>
        <v/>
      </c>
      <c r="E2113" s="44" t="str">
        <f t="array" ref="E2113">IF(B2113="","",_xlfn.XLOOKUP(B2113,'Form responses 1'!$B$2:$B$2604,'Form responses 1'!$C$2:$C$2604,""))</f>
        <v/>
      </c>
      <c r="F2113" s="44" t="str">
        <f t="array" ref="F2113">IF(B2113="","",_xlfn.XLOOKUP(B2113,'Form responses 1'!$B$2:$B$2604,'Form responses 1'!$D$2:$D$2604,""))</f>
        <v/>
      </c>
      <c r="G2113" s="44" t="str">
        <f t="array" ref="G2113">IF(B2113="","",_xlfn.XLOOKUP(B2113,'Form responses 1'!$B$2:$B$2604,'Form responses 1'!$E$2:$E$2604,""))</f>
        <v/>
      </c>
      <c r="H2113" s="44" t="str">
        <f t="array" ref="H2113">IF(B2113="","",_xlfn.XLOOKUP(B2113,'Form responses 1'!$B$2:$B$2604,'Form responses 1'!$F$2:$F$2604,""))</f>
        <v/>
      </c>
      <c r="I2113" s="44" t="str">
        <f t="array" ref="I2113">IF(B2113="","",_xlfn.XLOOKUP(B2113,'Form responses 1'!$B$2:$B$2604,'Form responses 1'!$I$2:$I$2604,""))</f>
        <v/>
      </c>
      <c r="J2113" s="44" t="str">
        <f t="array" ref="J2113">IF(B2113="","",_xlfn.XLOOKUP(B2113,'Form responses 1'!$B$2:$B$2604,'Form responses 1'!$G$2:$G$2604,""))</f>
        <v/>
      </c>
      <c r="K2113" s="56"/>
      <c r="L2113" s="58" t="str">
        <f t="shared" si="7"/>
        <v/>
      </c>
      <c r="M2113" s="49"/>
      <c r="N2113" s="49"/>
      <c r="O2113" s="49"/>
      <c r="P2113" s="49"/>
      <c r="Q2113" s="49"/>
      <c r="R2113" s="49"/>
      <c r="S2113" s="49"/>
      <c r="T2113" s="49"/>
      <c r="U2113" s="49"/>
      <c r="V2113" s="49"/>
      <c r="W2113" s="56"/>
      <c r="X2113" s="51" t="str">
        <f t="shared" si="5"/>
        <v/>
      </c>
      <c r="Y2113" s="50" t="s">
        <v>482</v>
      </c>
      <c r="Z2113" s="49">
        <f t="shared" si="6"/>
        <v>0</v>
      </c>
    </row>
    <row r="2114" ht="22.5" customHeight="1">
      <c r="B2114" s="57"/>
      <c r="C2114" s="43" t="str">
        <f t="array" ref="C2114">IF(B2114="","",_xlfn.XLOOKUP(B2114,'Form responses 1'!$B$2:$B$2604,'Form responses 1'!$A$2:$A$2604,""))</f>
        <v/>
      </c>
      <c r="D2114" s="44" t="str">
        <f t="shared" si="3"/>
        <v/>
      </c>
      <c r="E2114" s="44" t="str">
        <f t="array" ref="E2114">IF(B2114="","",_xlfn.XLOOKUP(B2114,'Form responses 1'!$B$2:$B$2604,'Form responses 1'!$C$2:$C$2604,""))</f>
        <v/>
      </c>
      <c r="F2114" s="44" t="str">
        <f t="array" ref="F2114">IF(B2114="","",_xlfn.XLOOKUP(B2114,'Form responses 1'!$B$2:$B$2604,'Form responses 1'!$D$2:$D$2604,""))</f>
        <v/>
      </c>
      <c r="G2114" s="44" t="str">
        <f t="array" ref="G2114">IF(B2114="","",_xlfn.XLOOKUP(B2114,'Form responses 1'!$B$2:$B$2604,'Form responses 1'!$E$2:$E$2604,""))</f>
        <v/>
      </c>
      <c r="H2114" s="44" t="str">
        <f t="array" ref="H2114">IF(B2114="","",_xlfn.XLOOKUP(B2114,'Form responses 1'!$B$2:$B$2604,'Form responses 1'!$F$2:$F$2604,""))</f>
        <v/>
      </c>
      <c r="I2114" s="44" t="str">
        <f t="array" ref="I2114">IF(B2114="","",_xlfn.XLOOKUP(B2114,'Form responses 1'!$B$2:$B$2604,'Form responses 1'!$I$2:$I$2604,""))</f>
        <v/>
      </c>
      <c r="J2114" s="44" t="str">
        <f t="array" ref="J2114">IF(B2114="","",_xlfn.XLOOKUP(B2114,'Form responses 1'!$B$2:$B$2604,'Form responses 1'!$G$2:$G$2604,""))</f>
        <v/>
      </c>
      <c r="K2114" s="56"/>
      <c r="L2114" s="58" t="str">
        <f t="shared" si="7"/>
        <v/>
      </c>
      <c r="M2114" s="49"/>
      <c r="N2114" s="49"/>
      <c r="O2114" s="49"/>
      <c r="P2114" s="49"/>
      <c r="Q2114" s="49"/>
      <c r="R2114" s="49"/>
      <c r="S2114" s="49"/>
      <c r="T2114" s="49"/>
      <c r="U2114" s="49"/>
      <c r="V2114" s="49"/>
      <c r="W2114" s="56"/>
      <c r="X2114" s="51" t="str">
        <f t="shared" si="5"/>
        <v/>
      </c>
      <c r="Y2114" s="50" t="s">
        <v>482</v>
      </c>
      <c r="Z2114" s="49">
        <f t="shared" si="6"/>
        <v>0</v>
      </c>
    </row>
    <row r="2115" ht="22.5" customHeight="1">
      <c r="B2115" s="57"/>
      <c r="C2115" s="43" t="str">
        <f t="array" ref="C2115">IF(B2115="","",_xlfn.XLOOKUP(B2115,'Form responses 1'!$B$2:$B$2604,'Form responses 1'!$A$2:$A$2604,""))</f>
        <v/>
      </c>
      <c r="D2115" s="44" t="str">
        <f t="shared" si="3"/>
        <v/>
      </c>
      <c r="E2115" s="44" t="str">
        <f t="array" ref="E2115">IF(B2115="","",_xlfn.XLOOKUP(B2115,'Form responses 1'!$B$2:$B$2604,'Form responses 1'!$C$2:$C$2604,""))</f>
        <v/>
      </c>
      <c r="F2115" s="44" t="str">
        <f t="array" ref="F2115">IF(B2115="","",_xlfn.XLOOKUP(B2115,'Form responses 1'!$B$2:$B$2604,'Form responses 1'!$D$2:$D$2604,""))</f>
        <v/>
      </c>
      <c r="G2115" s="44" t="str">
        <f t="array" ref="G2115">IF(B2115="","",_xlfn.XLOOKUP(B2115,'Form responses 1'!$B$2:$B$2604,'Form responses 1'!$E$2:$E$2604,""))</f>
        <v/>
      </c>
      <c r="H2115" s="44" t="str">
        <f t="array" ref="H2115">IF(B2115="","",_xlfn.XLOOKUP(B2115,'Form responses 1'!$B$2:$B$2604,'Form responses 1'!$F$2:$F$2604,""))</f>
        <v/>
      </c>
      <c r="I2115" s="44" t="str">
        <f t="array" ref="I2115">IF(B2115="","",_xlfn.XLOOKUP(B2115,'Form responses 1'!$B$2:$B$2604,'Form responses 1'!$I$2:$I$2604,""))</f>
        <v/>
      </c>
      <c r="J2115" s="44" t="str">
        <f t="array" ref="J2115">IF(B2115="","",_xlfn.XLOOKUP(B2115,'Form responses 1'!$B$2:$B$2604,'Form responses 1'!$G$2:$G$2604,""))</f>
        <v/>
      </c>
      <c r="K2115" s="56"/>
      <c r="L2115" s="58" t="str">
        <f t="shared" si="7"/>
        <v/>
      </c>
      <c r="M2115" s="49"/>
      <c r="N2115" s="49"/>
      <c r="O2115" s="49"/>
      <c r="P2115" s="49"/>
      <c r="Q2115" s="49"/>
      <c r="R2115" s="49"/>
      <c r="S2115" s="49"/>
      <c r="T2115" s="49"/>
      <c r="U2115" s="49"/>
      <c r="V2115" s="49"/>
      <c r="W2115" s="56"/>
      <c r="X2115" s="51" t="str">
        <f t="shared" si="5"/>
        <v/>
      </c>
      <c r="Y2115" s="50" t="s">
        <v>482</v>
      </c>
      <c r="Z2115" s="49">
        <f t="shared" si="6"/>
        <v>0</v>
      </c>
    </row>
    <row r="2116" ht="22.5" customHeight="1">
      <c r="B2116" s="57"/>
      <c r="C2116" s="43" t="str">
        <f t="array" ref="C2116">IF(B2116="","",_xlfn.XLOOKUP(B2116,'Form responses 1'!$B$2:$B$2604,'Form responses 1'!$A$2:$A$2604,""))</f>
        <v/>
      </c>
      <c r="D2116" s="44" t="str">
        <f t="shared" si="3"/>
        <v/>
      </c>
      <c r="E2116" s="44" t="str">
        <f t="array" ref="E2116">IF(B2116="","",_xlfn.XLOOKUP(B2116,'Form responses 1'!$B$2:$B$2604,'Form responses 1'!$C$2:$C$2604,""))</f>
        <v/>
      </c>
      <c r="F2116" s="44" t="str">
        <f t="array" ref="F2116">IF(B2116="","",_xlfn.XLOOKUP(B2116,'Form responses 1'!$B$2:$B$2604,'Form responses 1'!$D$2:$D$2604,""))</f>
        <v/>
      </c>
      <c r="G2116" s="44" t="str">
        <f t="array" ref="G2116">IF(B2116="","",_xlfn.XLOOKUP(B2116,'Form responses 1'!$B$2:$B$2604,'Form responses 1'!$E$2:$E$2604,""))</f>
        <v/>
      </c>
      <c r="H2116" s="44" t="str">
        <f t="array" ref="H2116">IF(B2116="","",_xlfn.XLOOKUP(B2116,'Form responses 1'!$B$2:$B$2604,'Form responses 1'!$F$2:$F$2604,""))</f>
        <v/>
      </c>
      <c r="I2116" s="44" t="str">
        <f t="array" ref="I2116">IF(B2116="","",_xlfn.XLOOKUP(B2116,'Form responses 1'!$B$2:$B$2604,'Form responses 1'!$I$2:$I$2604,""))</f>
        <v/>
      </c>
      <c r="J2116" s="44" t="str">
        <f t="array" ref="J2116">IF(B2116="","",_xlfn.XLOOKUP(B2116,'Form responses 1'!$B$2:$B$2604,'Form responses 1'!$G$2:$G$2604,""))</f>
        <v/>
      </c>
      <c r="K2116" s="56"/>
      <c r="L2116" s="58" t="str">
        <f t="shared" si="7"/>
        <v/>
      </c>
      <c r="M2116" s="49"/>
      <c r="N2116" s="49"/>
      <c r="O2116" s="49"/>
      <c r="P2116" s="49"/>
      <c r="Q2116" s="49"/>
      <c r="R2116" s="49"/>
      <c r="S2116" s="49"/>
      <c r="T2116" s="49"/>
      <c r="U2116" s="49"/>
      <c r="V2116" s="49"/>
      <c r="W2116" s="56"/>
      <c r="X2116" s="51" t="str">
        <f t="shared" si="5"/>
        <v/>
      </c>
      <c r="Y2116" s="50" t="s">
        <v>482</v>
      </c>
      <c r="Z2116" s="49">
        <f t="shared" si="6"/>
        <v>0</v>
      </c>
    </row>
    <row r="2117" ht="22.5" customHeight="1">
      <c r="B2117" s="57"/>
      <c r="C2117" s="43" t="str">
        <f t="array" ref="C2117">IF(B2117="","",_xlfn.XLOOKUP(B2117,'Form responses 1'!$B$2:$B$2604,'Form responses 1'!$A$2:$A$2604,""))</f>
        <v/>
      </c>
      <c r="D2117" s="44" t="str">
        <f t="shared" si="3"/>
        <v/>
      </c>
      <c r="E2117" s="44" t="str">
        <f t="array" ref="E2117">IF(B2117="","",_xlfn.XLOOKUP(B2117,'Form responses 1'!$B$2:$B$2604,'Form responses 1'!$C$2:$C$2604,""))</f>
        <v/>
      </c>
      <c r="F2117" s="44" t="str">
        <f t="array" ref="F2117">IF(B2117="","",_xlfn.XLOOKUP(B2117,'Form responses 1'!$B$2:$B$2604,'Form responses 1'!$D$2:$D$2604,""))</f>
        <v/>
      </c>
      <c r="G2117" s="44" t="str">
        <f t="array" ref="G2117">IF(B2117="","",_xlfn.XLOOKUP(B2117,'Form responses 1'!$B$2:$B$2604,'Form responses 1'!$E$2:$E$2604,""))</f>
        <v/>
      </c>
      <c r="H2117" s="44" t="str">
        <f t="array" ref="H2117">IF(B2117="","",_xlfn.XLOOKUP(B2117,'Form responses 1'!$B$2:$B$2604,'Form responses 1'!$F$2:$F$2604,""))</f>
        <v/>
      </c>
      <c r="I2117" s="44" t="str">
        <f t="array" ref="I2117">IF(B2117="","",_xlfn.XLOOKUP(B2117,'Form responses 1'!$B$2:$B$2604,'Form responses 1'!$I$2:$I$2604,""))</f>
        <v/>
      </c>
      <c r="J2117" s="44" t="str">
        <f t="array" ref="J2117">IF(B2117="","",_xlfn.XLOOKUP(B2117,'Form responses 1'!$B$2:$B$2604,'Form responses 1'!$G$2:$G$2604,""))</f>
        <v/>
      </c>
      <c r="K2117" s="56"/>
      <c r="L2117" s="58" t="str">
        <f t="shared" si="7"/>
        <v/>
      </c>
      <c r="M2117" s="49"/>
      <c r="N2117" s="49"/>
      <c r="O2117" s="49"/>
      <c r="P2117" s="49"/>
      <c r="Q2117" s="49"/>
      <c r="R2117" s="49"/>
      <c r="S2117" s="49"/>
      <c r="T2117" s="49"/>
      <c r="U2117" s="49"/>
      <c r="V2117" s="49"/>
      <c r="W2117" s="56"/>
      <c r="X2117" s="51" t="str">
        <f t="shared" si="5"/>
        <v/>
      </c>
      <c r="Y2117" s="50" t="s">
        <v>482</v>
      </c>
      <c r="Z2117" s="49">
        <f t="shared" si="6"/>
        <v>0</v>
      </c>
    </row>
    <row r="2118" ht="22.5" customHeight="1">
      <c r="B2118" s="57"/>
      <c r="C2118" s="43" t="str">
        <f t="array" ref="C2118">IF(B2118="","",_xlfn.XLOOKUP(B2118,'Form responses 1'!$B$2:$B$2604,'Form responses 1'!$A$2:$A$2604,""))</f>
        <v/>
      </c>
      <c r="D2118" s="44" t="str">
        <f t="shared" si="3"/>
        <v/>
      </c>
      <c r="E2118" s="44" t="str">
        <f t="array" ref="E2118">IF(B2118="","",_xlfn.XLOOKUP(B2118,'Form responses 1'!$B$2:$B$2604,'Form responses 1'!$C$2:$C$2604,""))</f>
        <v/>
      </c>
      <c r="F2118" s="44" t="str">
        <f t="array" ref="F2118">IF(B2118="","",_xlfn.XLOOKUP(B2118,'Form responses 1'!$B$2:$B$2604,'Form responses 1'!$D$2:$D$2604,""))</f>
        <v/>
      </c>
      <c r="G2118" s="44" t="str">
        <f t="array" ref="G2118">IF(B2118="","",_xlfn.XLOOKUP(B2118,'Form responses 1'!$B$2:$B$2604,'Form responses 1'!$E$2:$E$2604,""))</f>
        <v/>
      </c>
      <c r="H2118" s="44" t="str">
        <f t="array" ref="H2118">IF(B2118="","",_xlfn.XLOOKUP(B2118,'Form responses 1'!$B$2:$B$2604,'Form responses 1'!$F$2:$F$2604,""))</f>
        <v/>
      </c>
      <c r="I2118" s="44" t="str">
        <f t="array" ref="I2118">IF(B2118="","",_xlfn.XLOOKUP(B2118,'Form responses 1'!$B$2:$B$2604,'Form responses 1'!$I$2:$I$2604,""))</f>
        <v/>
      </c>
      <c r="J2118" s="44" t="str">
        <f t="array" ref="J2118">IF(B2118="","",_xlfn.XLOOKUP(B2118,'Form responses 1'!$B$2:$B$2604,'Form responses 1'!$G$2:$G$2604,""))</f>
        <v/>
      </c>
      <c r="K2118" s="56"/>
      <c r="L2118" s="58" t="str">
        <f t="shared" si="7"/>
        <v/>
      </c>
      <c r="M2118" s="49"/>
      <c r="N2118" s="49"/>
      <c r="O2118" s="49"/>
      <c r="P2118" s="49"/>
      <c r="Q2118" s="49"/>
      <c r="R2118" s="49"/>
      <c r="S2118" s="49"/>
      <c r="T2118" s="49"/>
      <c r="U2118" s="49"/>
      <c r="V2118" s="49"/>
      <c r="W2118" s="56"/>
      <c r="X2118" s="51" t="str">
        <f t="shared" si="5"/>
        <v/>
      </c>
      <c r="Y2118" s="50" t="s">
        <v>482</v>
      </c>
      <c r="Z2118" s="49">
        <f t="shared" si="6"/>
        <v>0</v>
      </c>
    </row>
    <row r="2119" ht="22.5" customHeight="1">
      <c r="B2119" s="57"/>
      <c r="C2119" s="43" t="str">
        <f t="array" ref="C2119">IF(B2119="","",_xlfn.XLOOKUP(B2119,'Form responses 1'!$B$2:$B$2604,'Form responses 1'!$A$2:$A$2604,""))</f>
        <v/>
      </c>
      <c r="D2119" s="44" t="str">
        <f t="shared" si="3"/>
        <v/>
      </c>
      <c r="E2119" s="44" t="str">
        <f t="array" ref="E2119">IF(B2119="","",_xlfn.XLOOKUP(B2119,'Form responses 1'!$B$2:$B$2604,'Form responses 1'!$C$2:$C$2604,""))</f>
        <v/>
      </c>
      <c r="F2119" s="44" t="str">
        <f t="array" ref="F2119">IF(B2119="","",_xlfn.XLOOKUP(B2119,'Form responses 1'!$B$2:$B$2604,'Form responses 1'!$D$2:$D$2604,""))</f>
        <v/>
      </c>
      <c r="G2119" s="44" t="str">
        <f t="array" ref="G2119">IF(B2119="","",_xlfn.XLOOKUP(B2119,'Form responses 1'!$B$2:$B$2604,'Form responses 1'!$E$2:$E$2604,""))</f>
        <v/>
      </c>
      <c r="H2119" s="44" t="str">
        <f t="array" ref="H2119">IF(B2119="","",_xlfn.XLOOKUP(B2119,'Form responses 1'!$B$2:$B$2604,'Form responses 1'!$F$2:$F$2604,""))</f>
        <v/>
      </c>
      <c r="I2119" s="44" t="str">
        <f t="array" ref="I2119">IF(B2119="","",_xlfn.XLOOKUP(B2119,'Form responses 1'!$B$2:$B$2604,'Form responses 1'!$I$2:$I$2604,""))</f>
        <v/>
      </c>
      <c r="J2119" s="44" t="str">
        <f t="array" ref="J2119">IF(B2119="","",_xlfn.XLOOKUP(B2119,'Form responses 1'!$B$2:$B$2604,'Form responses 1'!$G$2:$G$2604,""))</f>
        <v/>
      </c>
      <c r="K2119" s="56"/>
      <c r="L2119" s="58" t="str">
        <f t="shared" si="7"/>
        <v/>
      </c>
      <c r="M2119" s="49"/>
      <c r="N2119" s="49"/>
      <c r="O2119" s="49"/>
      <c r="P2119" s="49"/>
      <c r="Q2119" s="49"/>
      <c r="R2119" s="49"/>
      <c r="S2119" s="49"/>
      <c r="T2119" s="49"/>
      <c r="U2119" s="49"/>
      <c r="V2119" s="49"/>
      <c r="W2119" s="56"/>
      <c r="X2119" s="51" t="str">
        <f t="shared" si="5"/>
        <v/>
      </c>
      <c r="Y2119" s="50" t="s">
        <v>482</v>
      </c>
      <c r="Z2119" s="49">
        <f t="shared" si="6"/>
        <v>0</v>
      </c>
    </row>
    <row r="2120" ht="22.5" customHeight="1">
      <c r="B2120" s="57"/>
      <c r="C2120" s="43" t="str">
        <f t="array" ref="C2120">IF(B2120="","",_xlfn.XLOOKUP(B2120,'Form responses 1'!$B$2:$B$2604,'Form responses 1'!$A$2:$A$2604,""))</f>
        <v/>
      </c>
      <c r="D2120" s="44" t="str">
        <f t="shared" si="3"/>
        <v/>
      </c>
      <c r="E2120" s="44" t="str">
        <f t="array" ref="E2120">IF(B2120="","",_xlfn.XLOOKUP(B2120,'Form responses 1'!$B$2:$B$2604,'Form responses 1'!$C$2:$C$2604,""))</f>
        <v/>
      </c>
      <c r="F2120" s="44" t="str">
        <f t="array" ref="F2120">IF(B2120="","",_xlfn.XLOOKUP(B2120,'Form responses 1'!$B$2:$B$2604,'Form responses 1'!$D$2:$D$2604,""))</f>
        <v/>
      </c>
      <c r="G2120" s="44" t="str">
        <f t="array" ref="G2120">IF(B2120="","",_xlfn.XLOOKUP(B2120,'Form responses 1'!$B$2:$B$2604,'Form responses 1'!$E$2:$E$2604,""))</f>
        <v/>
      </c>
      <c r="H2120" s="44" t="str">
        <f t="array" ref="H2120">IF(B2120="","",_xlfn.XLOOKUP(B2120,'Form responses 1'!$B$2:$B$2604,'Form responses 1'!$F$2:$F$2604,""))</f>
        <v/>
      </c>
      <c r="I2120" s="44" t="str">
        <f t="array" ref="I2120">IF(B2120="","",_xlfn.XLOOKUP(B2120,'Form responses 1'!$B$2:$B$2604,'Form responses 1'!$I$2:$I$2604,""))</f>
        <v/>
      </c>
      <c r="J2120" s="44" t="str">
        <f t="array" ref="J2120">IF(B2120="","",_xlfn.XLOOKUP(B2120,'Form responses 1'!$B$2:$B$2604,'Form responses 1'!$G$2:$G$2604,""))</f>
        <v/>
      </c>
      <c r="K2120" s="56"/>
      <c r="L2120" s="58" t="str">
        <f t="shared" si="7"/>
        <v/>
      </c>
      <c r="M2120" s="49"/>
      <c r="N2120" s="49"/>
      <c r="O2120" s="49"/>
      <c r="P2120" s="49"/>
      <c r="Q2120" s="49"/>
      <c r="R2120" s="49"/>
      <c r="S2120" s="49"/>
      <c r="T2120" s="49"/>
      <c r="U2120" s="49"/>
      <c r="V2120" s="49"/>
      <c r="W2120" s="56"/>
      <c r="X2120" s="51" t="str">
        <f t="shared" si="5"/>
        <v/>
      </c>
      <c r="Y2120" s="50" t="s">
        <v>482</v>
      </c>
      <c r="Z2120" s="49">
        <f t="shared" si="6"/>
        <v>0</v>
      </c>
    </row>
    <row r="2121" ht="22.5" customHeight="1">
      <c r="B2121" s="57"/>
      <c r="C2121" s="43" t="str">
        <f t="array" ref="C2121">IF(B2121="","",_xlfn.XLOOKUP(B2121,'Form responses 1'!$B$2:$B$2604,'Form responses 1'!$A$2:$A$2604,""))</f>
        <v/>
      </c>
      <c r="D2121" s="44" t="str">
        <f t="shared" si="3"/>
        <v/>
      </c>
      <c r="E2121" s="44" t="str">
        <f t="array" ref="E2121">IF(B2121="","",_xlfn.XLOOKUP(B2121,'Form responses 1'!$B$2:$B$2604,'Form responses 1'!$C$2:$C$2604,""))</f>
        <v/>
      </c>
      <c r="F2121" s="44" t="str">
        <f t="array" ref="F2121">IF(B2121="","",_xlfn.XLOOKUP(B2121,'Form responses 1'!$B$2:$B$2604,'Form responses 1'!$D$2:$D$2604,""))</f>
        <v/>
      </c>
      <c r="G2121" s="44" t="str">
        <f t="array" ref="G2121">IF(B2121="","",_xlfn.XLOOKUP(B2121,'Form responses 1'!$B$2:$B$2604,'Form responses 1'!$E$2:$E$2604,""))</f>
        <v/>
      </c>
      <c r="H2121" s="44" t="str">
        <f t="array" ref="H2121">IF(B2121="","",_xlfn.XLOOKUP(B2121,'Form responses 1'!$B$2:$B$2604,'Form responses 1'!$F$2:$F$2604,""))</f>
        <v/>
      </c>
      <c r="I2121" s="44" t="str">
        <f t="array" ref="I2121">IF(B2121="","",_xlfn.XLOOKUP(B2121,'Form responses 1'!$B$2:$B$2604,'Form responses 1'!$I$2:$I$2604,""))</f>
        <v/>
      </c>
      <c r="J2121" s="44" t="str">
        <f t="array" ref="J2121">IF(B2121="","",_xlfn.XLOOKUP(B2121,'Form responses 1'!$B$2:$B$2604,'Form responses 1'!$G$2:$G$2604,""))</f>
        <v/>
      </c>
      <c r="K2121" s="56"/>
      <c r="L2121" s="58" t="str">
        <f t="shared" si="7"/>
        <v/>
      </c>
      <c r="M2121" s="49"/>
      <c r="N2121" s="49"/>
      <c r="O2121" s="49"/>
      <c r="P2121" s="49"/>
      <c r="Q2121" s="49"/>
      <c r="R2121" s="49"/>
      <c r="S2121" s="49"/>
      <c r="T2121" s="49"/>
      <c r="U2121" s="49"/>
      <c r="V2121" s="49"/>
      <c r="W2121" s="56"/>
      <c r="X2121" s="51" t="str">
        <f t="shared" si="5"/>
        <v/>
      </c>
      <c r="Y2121" s="50" t="s">
        <v>482</v>
      </c>
      <c r="Z2121" s="49">
        <f t="shared" si="6"/>
        <v>0</v>
      </c>
    </row>
    <row r="2122" ht="22.5" customHeight="1">
      <c r="B2122" s="57"/>
      <c r="C2122" s="43" t="str">
        <f t="array" ref="C2122">IF(B2122="","",_xlfn.XLOOKUP(B2122,'Form responses 1'!$B$2:$B$2604,'Form responses 1'!$A$2:$A$2604,""))</f>
        <v/>
      </c>
      <c r="D2122" s="44" t="str">
        <f t="shared" si="3"/>
        <v/>
      </c>
      <c r="E2122" s="44" t="str">
        <f t="array" ref="E2122">IF(B2122="","",_xlfn.XLOOKUP(B2122,'Form responses 1'!$B$2:$B$2604,'Form responses 1'!$C$2:$C$2604,""))</f>
        <v/>
      </c>
      <c r="F2122" s="44" t="str">
        <f t="array" ref="F2122">IF(B2122="","",_xlfn.XLOOKUP(B2122,'Form responses 1'!$B$2:$B$2604,'Form responses 1'!$D$2:$D$2604,""))</f>
        <v/>
      </c>
      <c r="G2122" s="44" t="str">
        <f t="array" ref="G2122">IF(B2122="","",_xlfn.XLOOKUP(B2122,'Form responses 1'!$B$2:$B$2604,'Form responses 1'!$E$2:$E$2604,""))</f>
        <v/>
      </c>
      <c r="H2122" s="44" t="str">
        <f t="array" ref="H2122">IF(B2122="","",_xlfn.XLOOKUP(B2122,'Form responses 1'!$B$2:$B$2604,'Form responses 1'!$F$2:$F$2604,""))</f>
        <v/>
      </c>
      <c r="I2122" s="44" t="str">
        <f t="array" ref="I2122">IF(B2122="","",_xlfn.XLOOKUP(B2122,'Form responses 1'!$B$2:$B$2604,'Form responses 1'!$I$2:$I$2604,""))</f>
        <v/>
      </c>
      <c r="J2122" s="44" t="str">
        <f t="array" ref="J2122">IF(B2122="","",_xlfn.XLOOKUP(B2122,'Form responses 1'!$B$2:$B$2604,'Form responses 1'!$G$2:$G$2604,""))</f>
        <v/>
      </c>
      <c r="K2122" s="56"/>
      <c r="L2122" s="58" t="str">
        <f t="shared" si="7"/>
        <v/>
      </c>
      <c r="M2122" s="49"/>
      <c r="N2122" s="49"/>
      <c r="O2122" s="49"/>
      <c r="P2122" s="49"/>
      <c r="Q2122" s="49"/>
      <c r="R2122" s="49"/>
      <c r="S2122" s="49"/>
      <c r="T2122" s="49"/>
      <c r="U2122" s="49"/>
      <c r="V2122" s="49"/>
      <c r="W2122" s="56"/>
      <c r="X2122" s="51" t="str">
        <f t="shared" si="5"/>
        <v/>
      </c>
      <c r="Y2122" s="50" t="s">
        <v>482</v>
      </c>
      <c r="Z2122" s="49">
        <f t="shared" si="6"/>
        <v>0</v>
      </c>
    </row>
    <row r="2123" ht="22.5" customHeight="1">
      <c r="B2123" s="57"/>
      <c r="C2123" s="43" t="str">
        <f t="array" ref="C2123">IF(B2123="","",_xlfn.XLOOKUP(B2123,'Form responses 1'!$B$2:$B$2604,'Form responses 1'!$A$2:$A$2604,""))</f>
        <v/>
      </c>
      <c r="D2123" s="44" t="str">
        <f t="shared" si="3"/>
        <v/>
      </c>
      <c r="E2123" s="44" t="str">
        <f t="array" ref="E2123">IF(B2123="","",_xlfn.XLOOKUP(B2123,'Form responses 1'!$B$2:$B$2604,'Form responses 1'!$C$2:$C$2604,""))</f>
        <v/>
      </c>
      <c r="F2123" s="44" t="str">
        <f t="array" ref="F2123">IF(B2123="","",_xlfn.XLOOKUP(B2123,'Form responses 1'!$B$2:$B$2604,'Form responses 1'!$D$2:$D$2604,""))</f>
        <v/>
      </c>
      <c r="G2123" s="44" t="str">
        <f t="array" ref="G2123">IF(B2123="","",_xlfn.XLOOKUP(B2123,'Form responses 1'!$B$2:$B$2604,'Form responses 1'!$E$2:$E$2604,""))</f>
        <v/>
      </c>
      <c r="H2123" s="44" t="str">
        <f t="array" ref="H2123">IF(B2123="","",_xlfn.XLOOKUP(B2123,'Form responses 1'!$B$2:$B$2604,'Form responses 1'!$F$2:$F$2604,""))</f>
        <v/>
      </c>
      <c r="I2123" s="44" t="str">
        <f t="array" ref="I2123">IF(B2123="","",_xlfn.XLOOKUP(B2123,'Form responses 1'!$B$2:$B$2604,'Form responses 1'!$I$2:$I$2604,""))</f>
        <v/>
      </c>
      <c r="J2123" s="44" t="str">
        <f t="array" ref="J2123">IF(B2123="","",_xlfn.XLOOKUP(B2123,'Form responses 1'!$B$2:$B$2604,'Form responses 1'!$G$2:$G$2604,""))</f>
        <v/>
      </c>
      <c r="K2123" s="56"/>
      <c r="L2123" s="58" t="str">
        <f t="shared" si="7"/>
        <v/>
      </c>
      <c r="M2123" s="49"/>
      <c r="N2123" s="49"/>
      <c r="O2123" s="49"/>
      <c r="P2123" s="49"/>
      <c r="Q2123" s="49"/>
      <c r="R2123" s="49"/>
      <c r="S2123" s="49"/>
      <c r="T2123" s="49"/>
      <c r="U2123" s="49"/>
      <c r="V2123" s="49"/>
      <c r="W2123" s="56"/>
      <c r="X2123" s="51" t="str">
        <f t="shared" si="5"/>
        <v/>
      </c>
      <c r="Y2123" s="50" t="s">
        <v>482</v>
      </c>
      <c r="Z2123" s="49">
        <f t="shared" si="6"/>
        <v>0</v>
      </c>
    </row>
    <row r="2124" ht="22.5" customHeight="1">
      <c r="B2124" s="57"/>
      <c r="C2124" s="43" t="str">
        <f t="array" ref="C2124">IF(B2124="","",_xlfn.XLOOKUP(B2124,'Form responses 1'!$B$2:$B$2604,'Form responses 1'!$A$2:$A$2604,""))</f>
        <v/>
      </c>
      <c r="D2124" s="44" t="str">
        <f t="shared" si="3"/>
        <v/>
      </c>
      <c r="E2124" s="44" t="str">
        <f t="array" ref="E2124">IF(B2124="","",_xlfn.XLOOKUP(B2124,'Form responses 1'!$B$2:$B$2604,'Form responses 1'!$C$2:$C$2604,""))</f>
        <v/>
      </c>
      <c r="F2124" s="44" t="str">
        <f t="array" ref="F2124">IF(B2124="","",_xlfn.XLOOKUP(B2124,'Form responses 1'!$B$2:$B$2604,'Form responses 1'!$D$2:$D$2604,""))</f>
        <v/>
      </c>
      <c r="G2124" s="44" t="str">
        <f t="array" ref="G2124">IF(B2124="","",_xlfn.XLOOKUP(B2124,'Form responses 1'!$B$2:$B$2604,'Form responses 1'!$E$2:$E$2604,""))</f>
        <v/>
      </c>
      <c r="H2124" s="44" t="str">
        <f t="array" ref="H2124">IF(B2124="","",_xlfn.XLOOKUP(B2124,'Form responses 1'!$B$2:$B$2604,'Form responses 1'!$F$2:$F$2604,""))</f>
        <v/>
      </c>
      <c r="I2124" s="44" t="str">
        <f t="array" ref="I2124">IF(B2124="","",_xlfn.XLOOKUP(B2124,'Form responses 1'!$B$2:$B$2604,'Form responses 1'!$I$2:$I$2604,""))</f>
        <v/>
      </c>
      <c r="J2124" s="44" t="str">
        <f t="array" ref="J2124">IF(B2124="","",_xlfn.XLOOKUP(B2124,'Form responses 1'!$B$2:$B$2604,'Form responses 1'!$G$2:$G$2604,""))</f>
        <v/>
      </c>
      <c r="K2124" s="56"/>
      <c r="L2124" s="58" t="str">
        <f t="shared" si="7"/>
        <v/>
      </c>
      <c r="M2124" s="49"/>
      <c r="N2124" s="49"/>
      <c r="O2124" s="49"/>
      <c r="P2124" s="49"/>
      <c r="Q2124" s="49"/>
      <c r="R2124" s="49"/>
      <c r="S2124" s="49"/>
      <c r="T2124" s="49"/>
      <c r="U2124" s="49"/>
      <c r="V2124" s="49"/>
      <c r="W2124" s="56"/>
      <c r="X2124" s="51" t="str">
        <f t="shared" si="5"/>
        <v/>
      </c>
      <c r="Y2124" s="50" t="s">
        <v>482</v>
      </c>
      <c r="Z2124" s="49">
        <f t="shared" si="6"/>
        <v>0</v>
      </c>
    </row>
    <row r="2125" ht="22.5" customHeight="1">
      <c r="B2125" s="57"/>
      <c r="C2125" s="43" t="str">
        <f t="array" ref="C2125">IF(B2125="","",_xlfn.XLOOKUP(B2125,'Form responses 1'!$B$2:$B$2604,'Form responses 1'!$A$2:$A$2604,""))</f>
        <v/>
      </c>
      <c r="D2125" s="44" t="str">
        <f t="shared" si="3"/>
        <v/>
      </c>
      <c r="E2125" s="44" t="str">
        <f t="array" ref="E2125">IF(B2125="","",_xlfn.XLOOKUP(B2125,'Form responses 1'!$B$2:$B$2604,'Form responses 1'!$C$2:$C$2604,""))</f>
        <v/>
      </c>
      <c r="F2125" s="44" t="str">
        <f t="array" ref="F2125">IF(B2125="","",_xlfn.XLOOKUP(B2125,'Form responses 1'!$B$2:$B$2604,'Form responses 1'!$D$2:$D$2604,""))</f>
        <v/>
      </c>
      <c r="G2125" s="44" t="str">
        <f t="array" ref="G2125">IF(B2125="","",_xlfn.XLOOKUP(B2125,'Form responses 1'!$B$2:$B$2604,'Form responses 1'!$E$2:$E$2604,""))</f>
        <v/>
      </c>
      <c r="H2125" s="44" t="str">
        <f t="array" ref="H2125">IF(B2125="","",_xlfn.XLOOKUP(B2125,'Form responses 1'!$B$2:$B$2604,'Form responses 1'!$F$2:$F$2604,""))</f>
        <v/>
      </c>
      <c r="I2125" s="44" t="str">
        <f t="array" ref="I2125">IF(B2125="","",_xlfn.XLOOKUP(B2125,'Form responses 1'!$B$2:$B$2604,'Form responses 1'!$I$2:$I$2604,""))</f>
        <v/>
      </c>
      <c r="J2125" s="44" t="str">
        <f t="array" ref="J2125">IF(B2125="","",_xlfn.XLOOKUP(B2125,'Form responses 1'!$B$2:$B$2604,'Form responses 1'!$G$2:$G$2604,""))</f>
        <v/>
      </c>
      <c r="K2125" s="56"/>
      <c r="L2125" s="58" t="str">
        <f t="shared" si="7"/>
        <v/>
      </c>
      <c r="M2125" s="49"/>
      <c r="N2125" s="49"/>
      <c r="O2125" s="49"/>
      <c r="P2125" s="49"/>
      <c r="Q2125" s="49"/>
      <c r="R2125" s="49"/>
      <c r="S2125" s="49"/>
      <c r="T2125" s="49"/>
      <c r="U2125" s="49"/>
      <c r="V2125" s="49"/>
      <c r="W2125" s="56"/>
      <c r="X2125" s="51" t="str">
        <f t="shared" si="5"/>
        <v/>
      </c>
      <c r="Y2125" s="50" t="s">
        <v>482</v>
      </c>
      <c r="Z2125" s="49">
        <f t="shared" si="6"/>
        <v>0</v>
      </c>
    </row>
    <row r="2126" ht="22.5" customHeight="1">
      <c r="B2126" s="57"/>
      <c r="C2126" s="43" t="str">
        <f t="array" ref="C2126">IF(B2126="","",_xlfn.XLOOKUP(B2126,'Form responses 1'!$B$2:$B$2604,'Form responses 1'!$A$2:$A$2604,""))</f>
        <v/>
      </c>
      <c r="D2126" s="44" t="str">
        <f t="shared" si="3"/>
        <v/>
      </c>
      <c r="E2126" s="44" t="str">
        <f t="array" ref="E2126">IF(B2126="","",_xlfn.XLOOKUP(B2126,'Form responses 1'!$B$2:$B$2604,'Form responses 1'!$C$2:$C$2604,""))</f>
        <v/>
      </c>
      <c r="F2126" s="44" t="str">
        <f t="array" ref="F2126">IF(B2126="","",_xlfn.XLOOKUP(B2126,'Form responses 1'!$B$2:$B$2604,'Form responses 1'!$D$2:$D$2604,""))</f>
        <v/>
      </c>
      <c r="G2126" s="44" t="str">
        <f t="array" ref="G2126">IF(B2126="","",_xlfn.XLOOKUP(B2126,'Form responses 1'!$B$2:$B$2604,'Form responses 1'!$E$2:$E$2604,""))</f>
        <v/>
      </c>
      <c r="H2126" s="44" t="str">
        <f t="array" ref="H2126">IF(B2126="","",_xlfn.XLOOKUP(B2126,'Form responses 1'!$B$2:$B$2604,'Form responses 1'!$F$2:$F$2604,""))</f>
        <v/>
      </c>
      <c r="I2126" s="44" t="str">
        <f t="array" ref="I2126">IF(B2126="","",_xlfn.XLOOKUP(B2126,'Form responses 1'!$B$2:$B$2604,'Form responses 1'!$I$2:$I$2604,""))</f>
        <v/>
      </c>
      <c r="J2126" s="44" t="str">
        <f t="array" ref="J2126">IF(B2126="","",_xlfn.XLOOKUP(B2126,'Form responses 1'!$B$2:$B$2604,'Form responses 1'!$G$2:$G$2604,""))</f>
        <v/>
      </c>
      <c r="K2126" s="56"/>
      <c r="L2126" s="58" t="str">
        <f t="shared" si="7"/>
        <v/>
      </c>
      <c r="M2126" s="49"/>
      <c r="N2126" s="49"/>
      <c r="O2126" s="49"/>
      <c r="P2126" s="49"/>
      <c r="Q2126" s="49"/>
      <c r="R2126" s="49"/>
      <c r="S2126" s="49"/>
      <c r="T2126" s="49"/>
      <c r="U2126" s="49"/>
      <c r="V2126" s="49"/>
      <c r="W2126" s="56"/>
      <c r="X2126" s="51" t="str">
        <f t="shared" si="5"/>
        <v/>
      </c>
      <c r="Y2126" s="50" t="s">
        <v>482</v>
      </c>
      <c r="Z2126" s="49">
        <f t="shared" si="6"/>
        <v>0</v>
      </c>
    </row>
    <row r="2127" ht="22.5" customHeight="1">
      <c r="B2127" s="57"/>
      <c r="C2127" s="43" t="str">
        <f t="array" ref="C2127">IF(B2127="","",_xlfn.XLOOKUP(B2127,'Form responses 1'!$B$2:$B$2604,'Form responses 1'!$A$2:$A$2604,""))</f>
        <v/>
      </c>
      <c r="D2127" s="44" t="str">
        <f t="shared" si="3"/>
        <v/>
      </c>
      <c r="E2127" s="44" t="str">
        <f t="array" ref="E2127">IF(B2127="","",_xlfn.XLOOKUP(B2127,'Form responses 1'!$B$2:$B$2604,'Form responses 1'!$C$2:$C$2604,""))</f>
        <v/>
      </c>
      <c r="F2127" s="44" t="str">
        <f t="array" ref="F2127">IF(B2127="","",_xlfn.XLOOKUP(B2127,'Form responses 1'!$B$2:$B$2604,'Form responses 1'!$D$2:$D$2604,""))</f>
        <v/>
      </c>
      <c r="G2127" s="44" t="str">
        <f t="array" ref="G2127">IF(B2127="","",_xlfn.XLOOKUP(B2127,'Form responses 1'!$B$2:$B$2604,'Form responses 1'!$E$2:$E$2604,""))</f>
        <v/>
      </c>
      <c r="H2127" s="44" t="str">
        <f t="array" ref="H2127">IF(B2127="","",_xlfn.XLOOKUP(B2127,'Form responses 1'!$B$2:$B$2604,'Form responses 1'!$F$2:$F$2604,""))</f>
        <v/>
      </c>
      <c r="I2127" s="44" t="str">
        <f t="array" ref="I2127">IF(B2127="","",_xlfn.XLOOKUP(B2127,'Form responses 1'!$B$2:$B$2604,'Form responses 1'!$I$2:$I$2604,""))</f>
        <v/>
      </c>
      <c r="J2127" s="44" t="str">
        <f t="array" ref="J2127">IF(B2127="","",_xlfn.XLOOKUP(B2127,'Form responses 1'!$B$2:$B$2604,'Form responses 1'!$G$2:$G$2604,""))</f>
        <v/>
      </c>
      <c r="K2127" s="56"/>
      <c r="L2127" s="58" t="str">
        <f t="shared" si="7"/>
        <v/>
      </c>
      <c r="M2127" s="49"/>
      <c r="N2127" s="49"/>
      <c r="O2127" s="49"/>
      <c r="P2127" s="49"/>
      <c r="Q2127" s="49"/>
      <c r="R2127" s="49"/>
      <c r="S2127" s="49"/>
      <c r="T2127" s="49"/>
      <c r="U2127" s="49"/>
      <c r="V2127" s="49"/>
      <c r="W2127" s="56"/>
      <c r="X2127" s="51" t="str">
        <f t="shared" si="5"/>
        <v/>
      </c>
      <c r="Y2127" s="50" t="s">
        <v>482</v>
      </c>
      <c r="Z2127" s="49">
        <f t="shared" si="6"/>
        <v>0</v>
      </c>
    </row>
    <row r="2128" ht="22.5" customHeight="1">
      <c r="B2128" s="57"/>
      <c r="C2128" s="43" t="str">
        <f t="array" ref="C2128">IF(B2128="","",_xlfn.XLOOKUP(B2128,'Form responses 1'!$B$2:$B$2604,'Form responses 1'!$A$2:$A$2604,""))</f>
        <v/>
      </c>
      <c r="D2128" s="44" t="str">
        <f t="shared" si="3"/>
        <v/>
      </c>
      <c r="E2128" s="44" t="str">
        <f t="array" ref="E2128">IF(B2128="","",_xlfn.XLOOKUP(B2128,'Form responses 1'!$B$2:$B$2604,'Form responses 1'!$C$2:$C$2604,""))</f>
        <v/>
      </c>
      <c r="F2128" s="44" t="str">
        <f t="array" ref="F2128">IF(B2128="","",_xlfn.XLOOKUP(B2128,'Form responses 1'!$B$2:$B$2604,'Form responses 1'!$D$2:$D$2604,""))</f>
        <v/>
      </c>
      <c r="G2128" s="44" t="str">
        <f t="array" ref="G2128">IF(B2128="","",_xlfn.XLOOKUP(B2128,'Form responses 1'!$B$2:$B$2604,'Form responses 1'!$E$2:$E$2604,""))</f>
        <v/>
      </c>
      <c r="H2128" s="44" t="str">
        <f t="array" ref="H2128">IF(B2128="","",_xlfn.XLOOKUP(B2128,'Form responses 1'!$B$2:$B$2604,'Form responses 1'!$F$2:$F$2604,""))</f>
        <v/>
      </c>
      <c r="I2128" s="44" t="str">
        <f t="array" ref="I2128">IF(B2128="","",_xlfn.XLOOKUP(B2128,'Form responses 1'!$B$2:$B$2604,'Form responses 1'!$I$2:$I$2604,""))</f>
        <v/>
      </c>
      <c r="J2128" s="44" t="str">
        <f t="array" ref="J2128">IF(B2128="","",_xlfn.XLOOKUP(B2128,'Form responses 1'!$B$2:$B$2604,'Form responses 1'!$G$2:$G$2604,""))</f>
        <v/>
      </c>
      <c r="K2128" s="56"/>
      <c r="L2128" s="58" t="str">
        <f t="shared" si="7"/>
        <v/>
      </c>
      <c r="M2128" s="49"/>
      <c r="N2128" s="49"/>
      <c r="O2128" s="49"/>
      <c r="P2128" s="49"/>
      <c r="Q2128" s="49"/>
      <c r="R2128" s="49"/>
      <c r="S2128" s="49"/>
      <c r="T2128" s="49"/>
      <c r="U2128" s="49"/>
      <c r="V2128" s="49"/>
      <c r="W2128" s="56"/>
      <c r="X2128" s="51" t="str">
        <f t="shared" si="5"/>
        <v/>
      </c>
      <c r="Y2128" s="50" t="s">
        <v>482</v>
      </c>
      <c r="Z2128" s="49">
        <f t="shared" si="6"/>
        <v>0</v>
      </c>
    </row>
    <row r="2129" ht="22.5" customHeight="1">
      <c r="B2129" s="57"/>
      <c r="C2129" s="43" t="str">
        <f t="array" ref="C2129">IF(B2129="","",_xlfn.XLOOKUP(B2129,'Form responses 1'!$B$2:$B$2604,'Form responses 1'!$A$2:$A$2604,""))</f>
        <v/>
      </c>
      <c r="D2129" s="44" t="str">
        <f t="shared" si="3"/>
        <v/>
      </c>
      <c r="E2129" s="44" t="str">
        <f t="array" ref="E2129">IF(B2129="","",_xlfn.XLOOKUP(B2129,'Form responses 1'!$B$2:$B$2604,'Form responses 1'!$C$2:$C$2604,""))</f>
        <v/>
      </c>
      <c r="F2129" s="44" t="str">
        <f t="array" ref="F2129">IF(B2129="","",_xlfn.XLOOKUP(B2129,'Form responses 1'!$B$2:$B$2604,'Form responses 1'!$D$2:$D$2604,""))</f>
        <v/>
      </c>
      <c r="G2129" s="44" t="str">
        <f t="array" ref="G2129">IF(B2129="","",_xlfn.XLOOKUP(B2129,'Form responses 1'!$B$2:$B$2604,'Form responses 1'!$E$2:$E$2604,""))</f>
        <v/>
      </c>
      <c r="H2129" s="44" t="str">
        <f t="array" ref="H2129">IF(B2129="","",_xlfn.XLOOKUP(B2129,'Form responses 1'!$B$2:$B$2604,'Form responses 1'!$F$2:$F$2604,""))</f>
        <v/>
      </c>
      <c r="I2129" s="44" t="str">
        <f t="array" ref="I2129">IF(B2129="","",_xlfn.XLOOKUP(B2129,'Form responses 1'!$B$2:$B$2604,'Form responses 1'!$I$2:$I$2604,""))</f>
        <v/>
      </c>
      <c r="J2129" s="44" t="str">
        <f t="array" ref="J2129">IF(B2129="","",_xlfn.XLOOKUP(B2129,'Form responses 1'!$B$2:$B$2604,'Form responses 1'!$G$2:$G$2604,""))</f>
        <v/>
      </c>
      <c r="K2129" s="56"/>
      <c r="L2129" s="58" t="str">
        <f t="shared" si="7"/>
        <v/>
      </c>
      <c r="M2129" s="49"/>
      <c r="N2129" s="49"/>
      <c r="O2129" s="49"/>
      <c r="P2129" s="49"/>
      <c r="Q2129" s="49"/>
      <c r="R2129" s="49"/>
      <c r="S2129" s="49"/>
      <c r="T2129" s="49"/>
      <c r="U2129" s="49"/>
      <c r="V2129" s="49"/>
      <c r="W2129" s="56"/>
      <c r="X2129" s="51" t="str">
        <f t="shared" si="5"/>
        <v/>
      </c>
      <c r="Y2129" s="50" t="s">
        <v>482</v>
      </c>
      <c r="Z2129" s="49">
        <f t="shared" si="6"/>
        <v>0</v>
      </c>
    </row>
    <row r="2130" ht="22.5" customHeight="1">
      <c r="B2130" s="57"/>
      <c r="C2130" s="43" t="str">
        <f t="array" ref="C2130">IF(B2130="","",_xlfn.XLOOKUP(B2130,'Form responses 1'!$B$2:$B$2604,'Form responses 1'!$A$2:$A$2604,""))</f>
        <v/>
      </c>
      <c r="D2130" s="44" t="str">
        <f t="shared" si="3"/>
        <v/>
      </c>
      <c r="E2130" s="44" t="str">
        <f t="array" ref="E2130">IF(B2130="","",_xlfn.XLOOKUP(B2130,'Form responses 1'!$B$2:$B$2604,'Form responses 1'!$C$2:$C$2604,""))</f>
        <v/>
      </c>
      <c r="F2130" s="44" t="str">
        <f t="array" ref="F2130">IF(B2130="","",_xlfn.XLOOKUP(B2130,'Form responses 1'!$B$2:$B$2604,'Form responses 1'!$D$2:$D$2604,""))</f>
        <v/>
      </c>
      <c r="G2130" s="44" t="str">
        <f t="array" ref="G2130">IF(B2130="","",_xlfn.XLOOKUP(B2130,'Form responses 1'!$B$2:$B$2604,'Form responses 1'!$E$2:$E$2604,""))</f>
        <v/>
      </c>
      <c r="H2130" s="44" t="str">
        <f t="array" ref="H2130">IF(B2130="","",_xlfn.XLOOKUP(B2130,'Form responses 1'!$B$2:$B$2604,'Form responses 1'!$F$2:$F$2604,""))</f>
        <v/>
      </c>
      <c r="I2130" s="44" t="str">
        <f t="array" ref="I2130">IF(B2130="","",_xlfn.XLOOKUP(B2130,'Form responses 1'!$B$2:$B$2604,'Form responses 1'!$I$2:$I$2604,""))</f>
        <v/>
      </c>
      <c r="J2130" s="44" t="str">
        <f t="array" ref="J2130">IF(B2130="","",_xlfn.XLOOKUP(B2130,'Form responses 1'!$B$2:$B$2604,'Form responses 1'!$G$2:$G$2604,""))</f>
        <v/>
      </c>
      <c r="K2130" s="56"/>
      <c r="L2130" s="58" t="str">
        <f t="shared" si="7"/>
        <v/>
      </c>
      <c r="M2130" s="49"/>
      <c r="N2130" s="49"/>
      <c r="O2130" s="49"/>
      <c r="P2130" s="49"/>
      <c r="Q2130" s="49"/>
      <c r="R2130" s="49"/>
      <c r="S2130" s="49"/>
      <c r="T2130" s="49"/>
      <c r="U2130" s="49"/>
      <c r="V2130" s="49"/>
      <c r="W2130" s="56"/>
      <c r="X2130" s="51" t="str">
        <f t="shared" si="5"/>
        <v/>
      </c>
      <c r="Y2130" s="50" t="s">
        <v>482</v>
      </c>
      <c r="Z2130" s="49">
        <f t="shared" si="6"/>
        <v>0</v>
      </c>
    </row>
    <row r="2131" ht="22.5" customHeight="1">
      <c r="B2131" s="57"/>
      <c r="C2131" s="43" t="str">
        <f t="array" ref="C2131">IF(B2131="","",_xlfn.XLOOKUP(B2131,'Form responses 1'!$B$2:$B$2604,'Form responses 1'!$A$2:$A$2604,""))</f>
        <v/>
      </c>
      <c r="D2131" s="44" t="str">
        <f t="shared" si="3"/>
        <v/>
      </c>
      <c r="E2131" s="44" t="str">
        <f t="array" ref="E2131">IF(B2131="","",_xlfn.XLOOKUP(B2131,'Form responses 1'!$B$2:$B$2604,'Form responses 1'!$C$2:$C$2604,""))</f>
        <v/>
      </c>
      <c r="F2131" s="44" t="str">
        <f t="array" ref="F2131">IF(B2131="","",_xlfn.XLOOKUP(B2131,'Form responses 1'!$B$2:$B$2604,'Form responses 1'!$D$2:$D$2604,""))</f>
        <v/>
      </c>
      <c r="G2131" s="44" t="str">
        <f t="array" ref="G2131">IF(B2131="","",_xlfn.XLOOKUP(B2131,'Form responses 1'!$B$2:$B$2604,'Form responses 1'!$E$2:$E$2604,""))</f>
        <v/>
      </c>
      <c r="H2131" s="44" t="str">
        <f t="array" ref="H2131">IF(B2131="","",_xlfn.XLOOKUP(B2131,'Form responses 1'!$B$2:$B$2604,'Form responses 1'!$F$2:$F$2604,""))</f>
        <v/>
      </c>
      <c r="I2131" s="44" t="str">
        <f t="array" ref="I2131">IF(B2131="","",_xlfn.XLOOKUP(B2131,'Form responses 1'!$B$2:$B$2604,'Form responses 1'!$I$2:$I$2604,""))</f>
        <v/>
      </c>
      <c r="J2131" s="44" t="str">
        <f t="array" ref="J2131">IF(B2131="","",_xlfn.XLOOKUP(B2131,'Form responses 1'!$B$2:$B$2604,'Form responses 1'!$G$2:$G$2604,""))</f>
        <v/>
      </c>
      <c r="K2131" s="56"/>
      <c r="L2131" s="58" t="str">
        <f t="shared" si="7"/>
        <v/>
      </c>
      <c r="M2131" s="49"/>
      <c r="N2131" s="49"/>
      <c r="O2131" s="49"/>
      <c r="P2131" s="49"/>
      <c r="Q2131" s="49"/>
      <c r="R2131" s="49"/>
      <c r="S2131" s="49"/>
      <c r="T2131" s="49"/>
      <c r="U2131" s="49"/>
      <c r="V2131" s="49"/>
      <c r="W2131" s="56"/>
      <c r="X2131" s="51" t="str">
        <f t="shared" si="5"/>
        <v/>
      </c>
      <c r="Y2131" s="50" t="s">
        <v>482</v>
      </c>
      <c r="Z2131" s="49">
        <f t="shared" si="6"/>
        <v>0</v>
      </c>
    </row>
    <row r="2132" ht="22.5" customHeight="1">
      <c r="B2132" s="57"/>
      <c r="C2132" s="43" t="str">
        <f t="array" ref="C2132">IF(B2132="","",_xlfn.XLOOKUP(B2132,'Form responses 1'!$B$2:$B$2604,'Form responses 1'!$A$2:$A$2604,""))</f>
        <v/>
      </c>
      <c r="D2132" s="44" t="str">
        <f t="shared" si="3"/>
        <v/>
      </c>
      <c r="E2132" s="44" t="str">
        <f t="array" ref="E2132">IF(B2132="","",_xlfn.XLOOKUP(B2132,'Form responses 1'!$B$2:$B$2604,'Form responses 1'!$C$2:$C$2604,""))</f>
        <v/>
      </c>
      <c r="F2132" s="44" t="str">
        <f t="array" ref="F2132">IF(B2132="","",_xlfn.XLOOKUP(B2132,'Form responses 1'!$B$2:$B$2604,'Form responses 1'!$D$2:$D$2604,""))</f>
        <v/>
      </c>
      <c r="G2132" s="44" t="str">
        <f t="array" ref="G2132">IF(B2132="","",_xlfn.XLOOKUP(B2132,'Form responses 1'!$B$2:$B$2604,'Form responses 1'!$E$2:$E$2604,""))</f>
        <v/>
      </c>
      <c r="H2132" s="44" t="str">
        <f t="array" ref="H2132">IF(B2132="","",_xlfn.XLOOKUP(B2132,'Form responses 1'!$B$2:$B$2604,'Form responses 1'!$F$2:$F$2604,""))</f>
        <v/>
      </c>
      <c r="I2132" s="44" t="str">
        <f t="array" ref="I2132">IF(B2132="","",_xlfn.XLOOKUP(B2132,'Form responses 1'!$B$2:$B$2604,'Form responses 1'!$I$2:$I$2604,""))</f>
        <v/>
      </c>
      <c r="J2132" s="44" t="str">
        <f t="array" ref="J2132">IF(B2132="","",_xlfn.XLOOKUP(B2132,'Form responses 1'!$B$2:$B$2604,'Form responses 1'!$G$2:$G$2604,""))</f>
        <v/>
      </c>
      <c r="K2132" s="56"/>
      <c r="L2132" s="58" t="str">
        <f t="shared" si="7"/>
        <v/>
      </c>
      <c r="M2132" s="49"/>
      <c r="N2132" s="49"/>
      <c r="O2132" s="49"/>
      <c r="P2132" s="49"/>
      <c r="Q2132" s="49"/>
      <c r="R2132" s="49"/>
      <c r="S2132" s="49"/>
      <c r="T2132" s="49"/>
      <c r="U2132" s="49"/>
      <c r="V2132" s="49"/>
      <c r="W2132" s="56"/>
      <c r="X2132" s="51" t="str">
        <f t="shared" si="5"/>
        <v/>
      </c>
      <c r="Y2132" s="50" t="s">
        <v>482</v>
      </c>
      <c r="Z2132" s="49">
        <f t="shared" si="6"/>
        <v>0</v>
      </c>
    </row>
    <row r="2133" ht="22.5" customHeight="1">
      <c r="B2133" s="57"/>
      <c r="C2133" s="43" t="str">
        <f t="array" ref="C2133">IF(B2133="","",_xlfn.XLOOKUP(B2133,'Form responses 1'!$B$2:$B$2604,'Form responses 1'!$A$2:$A$2604,""))</f>
        <v/>
      </c>
      <c r="D2133" s="44" t="str">
        <f t="shared" si="3"/>
        <v/>
      </c>
      <c r="E2133" s="44" t="str">
        <f t="array" ref="E2133">IF(B2133="","",_xlfn.XLOOKUP(B2133,'Form responses 1'!$B$2:$B$2604,'Form responses 1'!$C$2:$C$2604,""))</f>
        <v/>
      </c>
      <c r="F2133" s="44" t="str">
        <f t="array" ref="F2133">IF(B2133="","",_xlfn.XLOOKUP(B2133,'Form responses 1'!$B$2:$B$2604,'Form responses 1'!$D$2:$D$2604,""))</f>
        <v/>
      </c>
      <c r="G2133" s="44" t="str">
        <f t="array" ref="G2133">IF(B2133="","",_xlfn.XLOOKUP(B2133,'Form responses 1'!$B$2:$B$2604,'Form responses 1'!$E$2:$E$2604,""))</f>
        <v/>
      </c>
      <c r="H2133" s="44" t="str">
        <f t="array" ref="H2133">IF(B2133="","",_xlfn.XLOOKUP(B2133,'Form responses 1'!$B$2:$B$2604,'Form responses 1'!$F$2:$F$2604,""))</f>
        <v/>
      </c>
      <c r="I2133" s="44" t="str">
        <f t="array" ref="I2133">IF(B2133="","",_xlfn.XLOOKUP(B2133,'Form responses 1'!$B$2:$B$2604,'Form responses 1'!$I$2:$I$2604,""))</f>
        <v/>
      </c>
      <c r="J2133" s="44" t="str">
        <f t="array" ref="J2133">IF(B2133="","",_xlfn.XLOOKUP(B2133,'Form responses 1'!$B$2:$B$2604,'Form responses 1'!$G$2:$G$2604,""))</f>
        <v/>
      </c>
      <c r="K2133" s="56"/>
      <c r="L2133" s="58" t="str">
        <f t="shared" si="7"/>
        <v/>
      </c>
      <c r="M2133" s="49"/>
      <c r="N2133" s="49"/>
      <c r="O2133" s="49"/>
      <c r="P2133" s="49"/>
      <c r="Q2133" s="49"/>
      <c r="R2133" s="49"/>
      <c r="S2133" s="49"/>
      <c r="T2133" s="49"/>
      <c r="U2133" s="49"/>
      <c r="V2133" s="49"/>
      <c r="W2133" s="56"/>
      <c r="X2133" s="51" t="str">
        <f t="shared" si="5"/>
        <v/>
      </c>
      <c r="Y2133" s="50" t="s">
        <v>482</v>
      </c>
      <c r="Z2133" s="49">
        <f t="shared" si="6"/>
        <v>0</v>
      </c>
    </row>
    <row r="2134" ht="22.5" customHeight="1">
      <c r="B2134" s="57"/>
      <c r="C2134" s="43" t="str">
        <f t="array" ref="C2134">IF(B2134="","",_xlfn.XLOOKUP(B2134,'Form responses 1'!$B$2:$B$2604,'Form responses 1'!$A$2:$A$2604,""))</f>
        <v/>
      </c>
      <c r="D2134" s="44" t="str">
        <f t="shared" si="3"/>
        <v/>
      </c>
      <c r="E2134" s="44" t="str">
        <f t="array" ref="E2134">IF(B2134="","",_xlfn.XLOOKUP(B2134,'Form responses 1'!$B$2:$B$2604,'Form responses 1'!$C$2:$C$2604,""))</f>
        <v/>
      </c>
      <c r="F2134" s="44" t="str">
        <f t="array" ref="F2134">IF(B2134="","",_xlfn.XLOOKUP(B2134,'Form responses 1'!$B$2:$B$2604,'Form responses 1'!$D$2:$D$2604,""))</f>
        <v/>
      </c>
      <c r="G2134" s="44" t="str">
        <f t="array" ref="G2134">IF(B2134="","",_xlfn.XLOOKUP(B2134,'Form responses 1'!$B$2:$B$2604,'Form responses 1'!$E$2:$E$2604,""))</f>
        <v/>
      </c>
      <c r="H2134" s="44" t="str">
        <f t="array" ref="H2134">IF(B2134="","",_xlfn.XLOOKUP(B2134,'Form responses 1'!$B$2:$B$2604,'Form responses 1'!$F$2:$F$2604,""))</f>
        <v/>
      </c>
      <c r="I2134" s="44" t="str">
        <f t="array" ref="I2134">IF(B2134="","",_xlfn.XLOOKUP(B2134,'Form responses 1'!$B$2:$B$2604,'Form responses 1'!$I$2:$I$2604,""))</f>
        <v/>
      </c>
      <c r="J2134" s="44" t="str">
        <f t="array" ref="J2134">IF(B2134="","",_xlfn.XLOOKUP(B2134,'Form responses 1'!$B$2:$B$2604,'Form responses 1'!$G$2:$G$2604,""))</f>
        <v/>
      </c>
      <c r="K2134" s="56"/>
      <c r="L2134" s="58" t="str">
        <f t="shared" si="7"/>
        <v/>
      </c>
      <c r="M2134" s="49"/>
      <c r="N2134" s="49"/>
      <c r="O2134" s="49"/>
      <c r="P2134" s="49"/>
      <c r="Q2134" s="49"/>
      <c r="R2134" s="49"/>
      <c r="S2134" s="49"/>
      <c r="T2134" s="49"/>
      <c r="U2134" s="49"/>
      <c r="V2134" s="49"/>
      <c r="W2134" s="56"/>
      <c r="X2134" s="51" t="str">
        <f t="shared" si="5"/>
        <v/>
      </c>
      <c r="Y2134" s="50" t="s">
        <v>482</v>
      </c>
      <c r="Z2134" s="49">
        <f t="shared" si="6"/>
        <v>0</v>
      </c>
    </row>
    <row r="2135" ht="22.5" customHeight="1">
      <c r="B2135" s="57"/>
      <c r="C2135" s="43" t="str">
        <f t="array" ref="C2135">IF(B2135="","",_xlfn.XLOOKUP(B2135,'Form responses 1'!$B$2:$B$2604,'Form responses 1'!$A$2:$A$2604,""))</f>
        <v/>
      </c>
      <c r="D2135" s="44" t="str">
        <f t="shared" si="3"/>
        <v/>
      </c>
      <c r="E2135" s="44" t="str">
        <f t="array" ref="E2135">IF(B2135="","",_xlfn.XLOOKUP(B2135,'Form responses 1'!$B$2:$B$2604,'Form responses 1'!$C$2:$C$2604,""))</f>
        <v/>
      </c>
      <c r="F2135" s="44" t="str">
        <f t="array" ref="F2135">IF(B2135="","",_xlfn.XLOOKUP(B2135,'Form responses 1'!$B$2:$B$2604,'Form responses 1'!$D$2:$D$2604,""))</f>
        <v/>
      </c>
      <c r="G2135" s="44" t="str">
        <f t="array" ref="G2135">IF(B2135="","",_xlfn.XLOOKUP(B2135,'Form responses 1'!$B$2:$B$2604,'Form responses 1'!$E$2:$E$2604,""))</f>
        <v/>
      </c>
      <c r="H2135" s="44" t="str">
        <f t="array" ref="H2135">IF(B2135="","",_xlfn.XLOOKUP(B2135,'Form responses 1'!$B$2:$B$2604,'Form responses 1'!$F$2:$F$2604,""))</f>
        <v/>
      </c>
      <c r="I2135" s="44" t="str">
        <f t="array" ref="I2135">IF(B2135="","",_xlfn.XLOOKUP(B2135,'Form responses 1'!$B$2:$B$2604,'Form responses 1'!$I$2:$I$2604,""))</f>
        <v/>
      </c>
      <c r="J2135" s="44" t="str">
        <f t="array" ref="J2135">IF(B2135="","",_xlfn.XLOOKUP(B2135,'Form responses 1'!$B$2:$B$2604,'Form responses 1'!$G$2:$G$2604,""))</f>
        <v/>
      </c>
      <c r="K2135" s="56"/>
      <c r="L2135" s="58" t="str">
        <f t="shared" si="7"/>
        <v/>
      </c>
      <c r="M2135" s="49"/>
      <c r="N2135" s="49"/>
      <c r="O2135" s="49"/>
      <c r="P2135" s="49"/>
      <c r="Q2135" s="49"/>
      <c r="R2135" s="49"/>
      <c r="S2135" s="49"/>
      <c r="T2135" s="49"/>
      <c r="U2135" s="49"/>
      <c r="V2135" s="49"/>
      <c r="W2135" s="56"/>
      <c r="X2135" s="51" t="str">
        <f t="shared" si="5"/>
        <v/>
      </c>
      <c r="Y2135" s="50" t="s">
        <v>482</v>
      </c>
      <c r="Z2135" s="49">
        <f t="shared" si="6"/>
        <v>0</v>
      </c>
    </row>
    <row r="2136" ht="22.5" customHeight="1">
      <c r="B2136" s="57"/>
      <c r="C2136" s="43" t="str">
        <f t="array" ref="C2136">IF(B2136="","",_xlfn.XLOOKUP(B2136,'Form responses 1'!$B$2:$B$2604,'Form responses 1'!$A$2:$A$2604,""))</f>
        <v/>
      </c>
      <c r="D2136" s="44" t="str">
        <f t="shared" si="3"/>
        <v/>
      </c>
      <c r="E2136" s="44" t="str">
        <f t="array" ref="E2136">IF(B2136="","",_xlfn.XLOOKUP(B2136,'Form responses 1'!$B$2:$B$2604,'Form responses 1'!$C$2:$C$2604,""))</f>
        <v/>
      </c>
      <c r="F2136" s="44" t="str">
        <f t="array" ref="F2136">IF(B2136="","",_xlfn.XLOOKUP(B2136,'Form responses 1'!$B$2:$B$2604,'Form responses 1'!$D$2:$D$2604,""))</f>
        <v/>
      </c>
      <c r="G2136" s="44" t="str">
        <f t="array" ref="G2136">IF(B2136="","",_xlfn.XLOOKUP(B2136,'Form responses 1'!$B$2:$B$2604,'Form responses 1'!$E$2:$E$2604,""))</f>
        <v/>
      </c>
      <c r="H2136" s="44" t="str">
        <f t="array" ref="H2136">IF(B2136="","",_xlfn.XLOOKUP(B2136,'Form responses 1'!$B$2:$B$2604,'Form responses 1'!$F$2:$F$2604,""))</f>
        <v/>
      </c>
      <c r="I2136" s="44" t="str">
        <f t="array" ref="I2136">IF(B2136="","",_xlfn.XLOOKUP(B2136,'Form responses 1'!$B$2:$B$2604,'Form responses 1'!$I$2:$I$2604,""))</f>
        <v/>
      </c>
      <c r="J2136" s="44" t="str">
        <f t="array" ref="J2136">IF(B2136="","",_xlfn.XLOOKUP(B2136,'Form responses 1'!$B$2:$B$2604,'Form responses 1'!$G$2:$G$2604,""))</f>
        <v/>
      </c>
      <c r="K2136" s="56"/>
      <c r="L2136" s="58" t="str">
        <f t="shared" si="7"/>
        <v/>
      </c>
      <c r="M2136" s="49"/>
      <c r="N2136" s="49"/>
      <c r="O2136" s="49"/>
      <c r="P2136" s="49"/>
      <c r="Q2136" s="49"/>
      <c r="R2136" s="49"/>
      <c r="S2136" s="49"/>
      <c r="T2136" s="49"/>
      <c r="U2136" s="49"/>
      <c r="V2136" s="49"/>
      <c r="W2136" s="56"/>
      <c r="X2136" s="51" t="str">
        <f t="shared" si="5"/>
        <v/>
      </c>
      <c r="Y2136" s="50" t="s">
        <v>482</v>
      </c>
      <c r="Z2136" s="49">
        <f t="shared" si="6"/>
        <v>0</v>
      </c>
    </row>
    <row r="2137" ht="22.5" customHeight="1">
      <c r="B2137" s="57"/>
      <c r="C2137" s="43" t="str">
        <f t="array" ref="C2137">IF(B2137="","",_xlfn.XLOOKUP(B2137,'Form responses 1'!$B$2:$B$2604,'Form responses 1'!$A$2:$A$2604,""))</f>
        <v/>
      </c>
      <c r="D2137" s="44" t="str">
        <f t="shared" si="3"/>
        <v/>
      </c>
      <c r="E2137" s="44" t="str">
        <f t="array" ref="E2137">IF(B2137="","",_xlfn.XLOOKUP(B2137,'Form responses 1'!$B$2:$B$2604,'Form responses 1'!$C$2:$C$2604,""))</f>
        <v/>
      </c>
      <c r="F2137" s="44" t="str">
        <f t="array" ref="F2137">IF(B2137="","",_xlfn.XLOOKUP(B2137,'Form responses 1'!$B$2:$B$2604,'Form responses 1'!$D$2:$D$2604,""))</f>
        <v/>
      </c>
      <c r="G2137" s="44" t="str">
        <f t="array" ref="G2137">IF(B2137="","",_xlfn.XLOOKUP(B2137,'Form responses 1'!$B$2:$B$2604,'Form responses 1'!$E$2:$E$2604,""))</f>
        <v/>
      </c>
      <c r="H2137" s="44" t="str">
        <f t="array" ref="H2137">IF(B2137="","",_xlfn.XLOOKUP(B2137,'Form responses 1'!$B$2:$B$2604,'Form responses 1'!$F$2:$F$2604,""))</f>
        <v/>
      </c>
      <c r="I2137" s="44" t="str">
        <f t="array" ref="I2137">IF(B2137="","",_xlfn.XLOOKUP(B2137,'Form responses 1'!$B$2:$B$2604,'Form responses 1'!$I$2:$I$2604,""))</f>
        <v/>
      </c>
      <c r="J2137" s="44" t="str">
        <f t="array" ref="J2137">IF(B2137="","",_xlfn.XLOOKUP(B2137,'Form responses 1'!$B$2:$B$2604,'Form responses 1'!$G$2:$G$2604,""))</f>
        <v/>
      </c>
      <c r="K2137" s="56"/>
      <c r="L2137" s="58" t="str">
        <f t="shared" si="7"/>
        <v/>
      </c>
      <c r="M2137" s="49"/>
      <c r="N2137" s="49"/>
      <c r="O2137" s="49"/>
      <c r="P2137" s="49"/>
      <c r="Q2137" s="49"/>
      <c r="R2137" s="49"/>
      <c r="S2137" s="49"/>
      <c r="T2137" s="49"/>
      <c r="U2137" s="49"/>
      <c r="V2137" s="49"/>
      <c r="W2137" s="56"/>
      <c r="X2137" s="51" t="str">
        <f t="shared" si="5"/>
        <v/>
      </c>
      <c r="Y2137" s="50" t="s">
        <v>482</v>
      </c>
      <c r="Z2137" s="49">
        <f t="shared" si="6"/>
        <v>0</v>
      </c>
    </row>
    <row r="2138" ht="22.5" customHeight="1">
      <c r="B2138" s="57"/>
      <c r="C2138" s="43" t="str">
        <f t="array" ref="C2138">IF(B2138="","",_xlfn.XLOOKUP(B2138,'Form responses 1'!$B$2:$B$2604,'Form responses 1'!$A$2:$A$2604,""))</f>
        <v/>
      </c>
      <c r="D2138" s="44" t="str">
        <f t="shared" si="3"/>
        <v/>
      </c>
      <c r="E2138" s="44" t="str">
        <f t="array" ref="E2138">IF(B2138="","",_xlfn.XLOOKUP(B2138,'Form responses 1'!$B$2:$B$2604,'Form responses 1'!$C$2:$C$2604,""))</f>
        <v/>
      </c>
      <c r="F2138" s="44" t="str">
        <f t="array" ref="F2138">IF(B2138="","",_xlfn.XLOOKUP(B2138,'Form responses 1'!$B$2:$B$2604,'Form responses 1'!$D$2:$D$2604,""))</f>
        <v/>
      </c>
      <c r="G2138" s="44" t="str">
        <f t="array" ref="G2138">IF(B2138="","",_xlfn.XLOOKUP(B2138,'Form responses 1'!$B$2:$B$2604,'Form responses 1'!$E$2:$E$2604,""))</f>
        <v/>
      </c>
      <c r="H2138" s="44" t="str">
        <f t="array" ref="H2138">IF(B2138="","",_xlfn.XLOOKUP(B2138,'Form responses 1'!$B$2:$B$2604,'Form responses 1'!$F$2:$F$2604,""))</f>
        <v/>
      </c>
      <c r="I2138" s="44" t="str">
        <f t="array" ref="I2138">IF(B2138="","",_xlfn.XLOOKUP(B2138,'Form responses 1'!$B$2:$B$2604,'Form responses 1'!$I$2:$I$2604,""))</f>
        <v/>
      </c>
      <c r="J2138" s="44" t="str">
        <f t="array" ref="J2138">IF(B2138="","",_xlfn.XLOOKUP(B2138,'Form responses 1'!$B$2:$B$2604,'Form responses 1'!$G$2:$G$2604,""))</f>
        <v/>
      </c>
      <c r="K2138" s="56"/>
      <c r="L2138" s="58" t="str">
        <f t="shared" si="7"/>
        <v/>
      </c>
      <c r="M2138" s="49"/>
      <c r="N2138" s="49"/>
      <c r="O2138" s="49"/>
      <c r="P2138" s="49"/>
      <c r="Q2138" s="49"/>
      <c r="R2138" s="49"/>
      <c r="S2138" s="49"/>
      <c r="T2138" s="49"/>
      <c r="U2138" s="49"/>
      <c r="V2138" s="49"/>
      <c r="W2138" s="56"/>
      <c r="X2138" s="51" t="str">
        <f t="shared" si="5"/>
        <v/>
      </c>
      <c r="Y2138" s="50" t="s">
        <v>482</v>
      </c>
      <c r="Z2138" s="49">
        <f t="shared" si="6"/>
        <v>0</v>
      </c>
    </row>
    <row r="2139" ht="22.5" customHeight="1">
      <c r="B2139" s="57"/>
      <c r="C2139" s="43" t="str">
        <f t="array" ref="C2139">IF(B2139="","",_xlfn.XLOOKUP(B2139,'Form responses 1'!$B$2:$B$2604,'Form responses 1'!$A$2:$A$2604,""))</f>
        <v/>
      </c>
      <c r="D2139" s="44" t="str">
        <f t="shared" si="3"/>
        <v/>
      </c>
      <c r="E2139" s="44" t="str">
        <f t="array" ref="E2139">IF(B2139="","",_xlfn.XLOOKUP(B2139,'Form responses 1'!$B$2:$B$2604,'Form responses 1'!$C$2:$C$2604,""))</f>
        <v/>
      </c>
      <c r="F2139" s="44" t="str">
        <f t="array" ref="F2139">IF(B2139="","",_xlfn.XLOOKUP(B2139,'Form responses 1'!$B$2:$B$2604,'Form responses 1'!$D$2:$D$2604,""))</f>
        <v/>
      </c>
      <c r="G2139" s="44" t="str">
        <f t="array" ref="G2139">IF(B2139="","",_xlfn.XLOOKUP(B2139,'Form responses 1'!$B$2:$B$2604,'Form responses 1'!$E$2:$E$2604,""))</f>
        <v/>
      </c>
      <c r="H2139" s="44" t="str">
        <f t="array" ref="H2139">IF(B2139="","",_xlfn.XLOOKUP(B2139,'Form responses 1'!$B$2:$B$2604,'Form responses 1'!$F$2:$F$2604,""))</f>
        <v/>
      </c>
      <c r="I2139" s="44" t="str">
        <f t="array" ref="I2139">IF(B2139="","",_xlfn.XLOOKUP(B2139,'Form responses 1'!$B$2:$B$2604,'Form responses 1'!$I$2:$I$2604,""))</f>
        <v/>
      </c>
      <c r="J2139" s="44" t="str">
        <f t="array" ref="J2139">IF(B2139="","",_xlfn.XLOOKUP(B2139,'Form responses 1'!$B$2:$B$2604,'Form responses 1'!$G$2:$G$2604,""))</f>
        <v/>
      </c>
      <c r="K2139" s="56"/>
      <c r="L2139" s="58" t="str">
        <f t="shared" si="7"/>
        <v/>
      </c>
      <c r="M2139" s="49"/>
      <c r="N2139" s="49"/>
      <c r="O2139" s="49"/>
      <c r="P2139" s="49"/>
      <c r="Q2139" s="49"/>
      <c r="R2139" s="49"/>
      <c r="S2139" s="49"/>
      <c r="T2139" s="49"/>
      <c r="U2139" s="49"/>
      <c r="V2139" s="49"/>
      <c r="W2139" s="56"/>
      <c r="X2139" s="51" t="str">
        <f t="shared" si="5"/>
        <v/>
      </c>
      <c r="Y2139" s="50" t="s">
        <v>482</v>
      </c>
      <c r="Z2139" s="49">
        <f t="shared" si="6"/>
        <v>0</v>
      </c>
    </row>
    <row r="2140" ht="22.5" customHeight="1">
      <c r="B2140" s="57"/>
      <c r="C2140" s="43" t="str">
        <f t="array" ref="C2140">IF(B2140="","",_xlfn.XLOOKUP(B2140,'Form responses 1'!$B$2:$B$2604,'Form responses 1'!$A$2:$A$2604,""))</f>
        <v/>
      </c>
      <c r="D2140" s="44" t="str">
        <f t="shared" si="3"/>
        <v/>
      </c>
      <c r="E2140" s="44" t="str">
        <f t="array" ref="E2140">IF(B2140="","",_xlfn.XLOOKUP(B2140,'Form responses 1'!$B$2:$B$2604,'Form responses 1'!$C$2:$C$2604,""))</f>
        <v/>
      </c>
      <c r="F2140" s="44" t="str">
        <f t="array" ref="F2140">IF(B2140="","",_xlfn.XLOOKUP(B2140,'Form responses 1'!$B$2:$B$2604,'Form responses 1'!$D$2:$D$2604,""))</f>
        <v/>
      </c>
      <c r="G2140" s="44" t="str">
        <f t="array" ref="G2140">IF(B2140="","",_xlfn.XLOOKUP(B2140,'Form responses 1'!$B$2:$B$2604,'Form responses 1'!$E$2:$E$2604,""))</f>
        <v/>
      </c>
      <c r="H2140" s="44" t="str">
        <f t="array" ref="H2140">IF(B2140="","",_xlfn.XLOOKUP(B2140,'Form responses 1'!$B$2:$B$2604,'Form responses 1'!$F$2:$F$2604,""))</f>
        <v/>
      </c>
      <c r="I2140" s="44" t="str">
        <f t="array" ref="I2140">IF(B2140="","",_xlfn.XLOOKUP(B2140,'Form responses 1'!$B$2:$B$2604,'Form responses 1'!$I$2:$I$2604,""))</f>
        <v/>
      </c>
      <c r="J2140" s="44" t="str">
        <f t="array" ref="J2140">IF(B2140="","",_xlfn.XLOOKUP(B2140,'Form responses 1'!$B$2:$B$2604,'Form responses 1'!$G$2:$G$2604,""))</f>
        <v/>
      </c>
      <c r="K2140" s="56"/>
      <c r="L2140" s="58" t="str">
        <f t="shared" si="7"/>
        <v/>
      </c>
      <c r="M2140" s="49"/>
      <c r="N2140" s="49"/>
      <c r="O2140" s="49"/>
      <c r="P2140" s="49"/>
      <c r="Q2140" s="49"/>
      <c r="R2140" s="49"/>
      <c r="S2140" s="49"/>
      <c r="T2140" s="49"/>
      <c r="U2140" s="49"/>
      <c r="V2140" s="49"/>
      <c r="W2140" s="56"/>
      <c r="X2140" s="51" t="str">
        <f t="shared" si="5"/>
        <v/>
      </c>
      <c r="Y2140" s="50" t="s">
        <v>482</v>
      </c>
      <c r="Z2140" s="49">
        <f t="shared" si="6"/>
        <v>0</v>
      </c>
    </row>
    <row r="2141" ht="22.5" customHeight="1">
      <c r="B2141" s="57"/>
      <c r="C2141" s="43" t="str">
        <f t="array" ref="C2141">IF(B2141="","",_xlfn.XLOOKUP(B2141,'Form responses 1'!$B$2:$B$2604,'Form responses 1'!$A$2:$A$2604,""))</f>
        <v/>
      </c>
      <c r="D2141" s="44" t="str">
        <f t="shared" si="3"/>
        <v/>
      </c>
      <c r="E2141" s="44" t="str">
        <f t="array" ref="E2141">IF(B2141="","",_xlfn.XLOOKUP(B2141,'Form responses 1'!$B$2:$B$2604,'Form responses 1'!$C$2:$C$2604,""))</f>
        <v/>
      </c>
      <c r="F2141" s="44" t="str">
        <f t="array" ref="F2141">IF(B2141="","",_xlfn.XLOOKUP(B2141,'Form responses 1'!$B$2:$B$2604,'Form responses 1'!$D$2:$D$2604,""))</f>
        <v/>
      </c>
      <c r="G2141" s="44" t="str">
        <f t="array" ref="G2141">IF(B2141="","",_xlfn.XLOOKUP(B2141,'Form responses 1'!$B$2:$B$2604,'Form responses 1'!$E$2:$E$2604,""))</f>
        <v/>
      </c>
      <c r="H2141" s="44" t="str">
        <f t="array" ref="H2141">IF(B2141="","",_xlfn.XLOOKUP(B2141,'Form responses 1'!$B$2:$B$2604,'Form responses 1'!$F$2:$F$2604,""))</f>
        <v/>
      </c>
      <c r="I2141" s="44" t="str">
        <f t="array" ref="I2141">IF(B2141="","",_xlfn.XLOOKUP(B2141,'Form responses 1'!$B$2:$B$2604,'Form responses 1'!$I$2:$I$2604,""))</f>
        <v/>
      </c>
      <c r="J2141" s="44" t="str">
        <f t="array" ref="J2141">IF(B2141="","",_xlfn.XLOOKUP(B2141,'Form responses 1'!$B$2:$B$2604,'Form responses 1'!$G$2:$G$2604,""))</f>
        <v/>
      </c>
      <c r="K2141" s="56"/>
      <c r="L2141" s="58" t="str">
        <f t="shared" si="7"/>
        <v/>
      </c>
      <c r="M2141" s="49"/>
      <c r="N2141" s="49"/>
      <c r="O2141" s="49"/>
      <c r="P2141" s="49"/>
      <c r="Q2141" s="49"/>
      <c r="R2141" s="49"/>
      <c r="S2141" s="49"/>
      <c r="T2141" s="49"/>
      <c r="U2141" s="49"/>
      <c r="V2141" s="49"/>
      <c r="W2141" s="56"/>
      <c r="X2141" s="51" t="str">
        <f t="shared" si="5"/>
        <v/>
      </c>
      <c r="Y2141" s="50" t="s">
        <v>482</v>
      </c>
      <c r="Z2141" s="49">
        <f t="shared" si="6"/>
        <v>0</v>
      </c>
    </row>
    <row r="2142" ht="22.5" customHeight="1">
      <c r="B2142" s="57"/>
      <c r="C2142" s="43" t="str">
        <f t="array" ref="C2142">IF(B2142="","",_xlfn.XLOOKUP(B2142,'Form responses 1'!$B$2:$B$2604,'Form responses 1'!$A$2:$A$2604,""))</f>
        <v/>
      </c>
      <c r="D2142" s="44" t="str">
        <f t="shared" si="3"/>
        <v/>
      </c>
      <c r="E2142" s="44" t="str">
        <f t="array" ref="E2142">IF(B2142="","",_xlfn.XLOOKUP(B2142,'Form responses 1'!$B$2:$B$2604,'Form responses 1'!$C$2:$C$2604,""))</f>
        <v/>
      </c>
      <c r="F2142" s="44" t="str">
        <f t="array" ref="F2142">IF(B2142="","",_xlfn.XLOOKUP(B2142,'Form responses 1'!$B$2:$B$2604,'Form responses 1'!$D$2:$D$2604,""))</f>
        <v/>
      </c>
      <c r="G2142" s="44" t="str">
        <f t="array" ref="G2142">IF(B2142="","",_xlfn.XLOOKUP(B2142,'Form responses 1'!$B$2:$B$2604,'Form responses 1'!$E$2:$E$2604,""))</f>
        <v/>
      </c>
      <c r="H2142" s="44" t="str">
        <f t="array" ref="H2142">IF(B2142="","",_xlfn.XLOOKUP(B2142,'Form responses 1'!$B$2:$B$2604,'Form responses 1'!$F$2:$F$2604,""))</f>
        <v/>
      </c>
      <c r="I2142" s="44" t="str">
        <f t="array" ref="I2142">IF(B2142="","",_xlfn.XLOOKUP(B2142,'Form responses 1'!$B$2:$B$2604,'Form responses 1'!$I$2:$I$2604,""))</f>
        <v/>
      </c>
      <c r="J2142" s="44" t="str">
        <f t="array" ref="J2142">IF(B2142="","",_xlfn.XLOOKUP(B2142,'Form responses 1'!$B$2:$B$2604,'Form responses 1'!$G$2:$G$2604,""))</f>
        <v/>
      </c>
      <c r="K2142" s="56"/>
      <c r="L2142" s="58" t="str">
        <f t="shared" si="7"/>
        <v/>
      </c>
      <c r="M2142" s="49"/>
      <c r="N2142" s="49"/>
      <c r="O2142" s="49"/>
      <c r="P2142" s="49"/>
      <c r="Q2142" s="49"/>
      <c r="R2142" s="49"/>
      <c r="S2142" s="49"/>
      <c r="T2142" s="49"/>
      <c r="U2142" s="49"/>
      <c r="V2142" s="49"/>
      <c r="W2142" s="56"/>
      <c r="X2142" s="51" t="str">
        <f t="shared" si="5"/>
        <v/>
      </c>
      <c r="Y2142" s="50" t="s">
        <v>482</v>
      </c>
      <c r="Z2142" s="49">
        <f t="shared" si="6"/>
        <v>0</v>
      </c>
    </row>
    <row r="2143" ht="22.5" customHeight="1">
      <c r="B2143" s="57"/>
      <c r="C2143" s="43" t="str">
        <f t="array" ref="C2143">IF(B2143="","",_xlfn.XLOOKUP(B2143,'Form responses 1'!$B$2:$B$2604,'Form responses 1'!$A$2:$A$2604,""))</f>
        <v/>
      </c>
      <c r="D2143" s="44" t="str">
        <f t="shared" si="3"/>
        <v/>
      </c>
      <c r="E2143" s="44" t="str">
        <f t="array" ref="E2143">IF(B2143="","",_xlfn.XLOOKUP(B2143,'Form responses 1'!$B$2:$B$2604,'Form responses 1'!$C$2:$C$2604,""))</f>
        <v/>
      </c>
      <c r="F2143" s="44" t="str">
        <f t="array" ref="F2143">IF(B2143="","",_xlfn.XLOOKUP(B2143,'Form responses 1'!$B$2:$B$2604,'Form responses 1'!$D$2:$D$2604,""))</f>
        <v/>
      </c>
      <c r="G2143" s="44" t="str">
        <f t="array" ref="G2143">IF(B2143="","",_xlfn.XLOOKUP(B2143,'Form responses 1'!$B$2:$B$2604,'Form responses 1'!$E$2:$E$2604,""))</f>
        <v/>
      </c>
      <c r="H2143" s="44" t="str">
        <f t="array" ref="H2143">IF(B2143="","",_xlfn.XLOOKUP(B2143,'Form responses 1'!$B$2:$B$2604,'Form responses 1'!$F$2:$F$2604,""))</f>
        <v/>
      </c>
      <c r="I2143" s="44" t="str">
        <f t="array" ref="I2143">IF(B2143="","",_xlfn.XLOOKUP(B2143,'Form responses 1'!$B$2:$B$2604,'Form responses 1'!$I$2:$I$2604,""))</f>
        <v/>
      </c>
      <c r="J2143" s="44" t="str">
        <f t="array" ref="J2143">IF(B2143="","",_xlfn.XLOOKUP(B2143,'Form responses 1'!$B$2:$B$2604,'Form responses 1'!$G$2:$G$2604,""))</f>
        <v/>
      </c>
      <c r="K2143" s="56"/>
      <c r="L2143" s="58" t="str">
        <f t="shared" si="7"/>
        <v/>
      </c>
      <c r="M2143" s="49"/>
      <c r="N2143" s="49"/>
      <c r="O2143" s="49"/>
      <c r="P2143" s="49"/>
      <c r="Q2143" s="49"/>
      <c r="R2143" s="49"/>
      <c r="S2143" s="49"/>
      <c r="T2143" s="49"/>
      <c r="U2143" s="49"/>
      <c r="V2143" s="49"/>
      <c r="W2143" s="56"/>
      <c r="X2143" s="51" t="str">
        <f t="shared" si="5"/>
        <v/>
      </c>
      <c r="Y2143" s="50" t="s">
        <v>482</v>
      </c>
      <c r="Z2143" s="49">
        <f t="shared" si="6"/>
        <v>0</v>
      </c>
    </row>
    <row r="2144" ht="22.5" customHeight="1">
      <c r="B2144" s="57"/>
      <c r="C2144" s="43" t="str">
        <f t="array" ref="C2144">IF(B2144="","",_xlfn.XLOOKUP(B2144,'Form responses 1'!$B$2:$B$2604,'Form responses 1'!$A$2:$A$2604,""))</f>
        <v/>
      </c>
      <c r="D2144" s="44" t="str">
        <f t="shared" si="3"/>
        <v/>
      </c>
      <c r="E2144" s="44" t="str">
        <f t="array" ref="E2144">IF(B2144="","",_xlfn.XLOOKUP(B2144,'Form responses 1'!$B$2:$B$2604,'Form responses 1'!$C$2:$C$2604,""))</f>
        <v/>
      </c>
      <c r="F2144" s="44" t="str">
        <f t="array" ref="F2144">IF(B2144="","",_xlfn.XLOOKUP(B2144,'Form responses 1'!$B$2:$B$2604,'Form responses 1'!$D$2:$D$2604,""))</f>
        <v/>
      </c>
      <c r="G2144" s="44" t="str">
        <f t="array" ref="G2144">IF(B2144="","",_xlfn.XLOOKUP(B2144,'Form responses 1'!$B$2:$B$2604,'Form responses 1'!$E$2:$E$2604,""))</f>
        <v/>
      </c>
      <c r="H2144" s="44" t="str">
        <f t="array" ref="H2144">IF(B2144="","",_xlfn.XLOOKUP(B2144,'Form responses 1'!$B$2:$B$2604,'Form responses 1'!$F$2:$F$2604,""))</f>
        <v/>
      </c>
      <c r="I2144" s="44" t="str">
        <f t="array" ref="I2144">IF(B2144="","",_xlfn.XLOOKUP(B2144,'Form responses 1'!$B$2:$B$2604,'Form responses 1'!$I$2:$I$2604,""))</f>
        <v/>
      </c>
      <c r="J2144" s="44" t="str">
        <f t="array" ref="J2144">IF(B2144="","",_xlfn.XLOOKUP(B2144,'Form responses 1'!$B$2:$B$2604,'Form responses 1'!$G$2:$G$2604,""))</f>
        <v/>
      </c>
      <c r="K2144" s="56"/>
      <c r="L2144" s="58" t="str">
        <f t="shared" si="7"/>
        <v/>
      </c>
      <c r="M2144" s="49"/>
      <c r="N2144" s="49"/>
      <c r="O2144" s="49"/>
      <c r="P2144" s="49"/>
      <c r="Q2144" s="49"/>
      <c r="R2144" s="49"/>
      <c r="S2144" s="49"/>
      <c r="T2144" s="49"/>
      <c r="U2144" s="49"/>
      <c r="V2144" s="49"/>
      <c r="W2144" s="56"/>
      <c r="X2144" s="51" t="str">
        <f t="shared" si="5"/>
        <v/>
      </c>
      <c r="Y2144" s="50" t="s">
        <v>482</v>
      </c>
      <c r="Z2144" s="49">
        <f t="shared" si="6"/>
        <v>0</v>
      </c>
    </row>
    <row r="2145" ht="22.5" customHeight="1">
      <c r="B2145" s="57"/>
      <c r="C2145" s="43" t="str">
        <f t="array" ref="C2145">IF(B2145="","",_xlfn.XLOOKUP(B2145,'Form responses 1'!$B$2:$B$2604,'Form responses 1'!$A$2:$A$2604,""))</f>
        <v/>
      </c>
      <c r="D2145" s="44" t="str">
        <f t="shared" si="3"/>
        <v/>
      </c>
      <c r="E2145" s="44" t="str">
        <f t="array" ref="E2145">IF(B2145="","",_xlfn.XLOOKUP(B2145,'Form responses 1'!$B$2:$B$2604,'Form responses 1'!$C$2:$C$2604,""))</f>
        <v/>
      </c>
      <c r="F2145" s="44" t="str">
        <f t="array" ref="F2145">IF(B2145="","",_xlfn.XLOOKUP(B2145,'Form responses 1'!$B$2:$B$2604,'Form responses 1'!$D$2:$D$2604,""))</f>
        <v/>
      </c>
      <c r="G2145" s="44" t="str">
        <f t="array" ref="G2145">IF(B2145="","",_xlfn.XLOOKUP(B2145,'Form responses 1'!$B$2:$B$2604,'Form responses 1'!$E$2:$E$2604,""))</f>
        <v/>
      </c>
      <c r="H2145" s="44" t="str">
        <f t="array" ref="H2145">IF(B2145="","",_xlfn.XLOOKUP(B2145,'Form responses 1'!$B$2:$B$2604,'Form responses 1'!$F$2:$F$2604,""))</f>
        <v/>
      </c>
      <c r="I2145" s="44" t="str">
        <f t="array" ref="I2145">IF(B2145="","",_xlfn.XLOOKUP(B2145,'Form responses 1'!$B$2:$B$2604,'Form responses 1'!$I$2:$I$2604,""))</f>
        <v/>
      </c>
      <c r="J2145" s="44" t="str">
        <f t="array" ref="J2145">IF(B2145="","",_xlfn.XLOOKUP(B2145,'Form responses 1'!$B$2:$B$2604,'Form responses 1'!$G$2:$G$2604,""))</f>
        <v/>
      </c>
      <c r="K2145" s="56"/>
      <c r="L2145" s="58" t="str">
        <f t="shared" si="7"/>
        <v/>
      </c>
      <c r="M2145" s="49"/>
      <c r="N2145" s="49"/>
      <c r="O2145" s="49"/>
      <c r="P2145" s="49"/>
      <c r="Q2145" s="49"/>
      <c r="R2145" s="49"/>
      <c r="S2145" s="49"/>
      <c r="T2145" s="49"/>
      <c r="U2145" s="49"/>
      <c r="V2145" s="49"/>
      <c r="W2145" s="56"/>
      <c r="X2145" s="51" t="str">
        <f t="shared" si="5"/>
        <v/>
      </c>
      <c r="Y2145" s="50" t="s">
        <v>482</v>
      </c>
      <c r="Z2145" s="49">
        <f t="shared" si="6"/>
        <v>0</v>
      </c>
    </row>
    <row r="2146" ht="22.5" customHeight="1">
      <c r="B2146" s="57"/>
      <c r="C2146" s="43" t="str">
        <f t="array" ref="C2146">IF(B2146="","",_xlfn.XLOOKUP(B2146,'Form responses 1'!$B$2:$B$2604,'Form responses 1'!$A$2:$A$2604,""))</f>
        <v/>
      </c>
      <c r="D2146" s="44" t="str">
        <f t="shared" si="3"/>
        <v/>
      </c>
      <c r="E2146" s="44" t="str">
        <f t="array" ref="E2146">IF(B2146="","",_xlfn.XLOOKUP(B2146,'Form responses 1'!$B$2:$B$2604,'Form responses 1'!$C$2:$C$2604,""))</f>
        <v/>
      </c>
      <c r="F2146" s="44" t="str">
        <f t="array" ref="F2146">IF(B2146="","",_xlfn.XLOOKUP(B2146,'Form responses 1'!$B$2:$B$2604,'Form responses 1'!$D$2:$D$2604,""))</f>
        <v/>
      </c>
      <c r="G2146" s="44" t="str">
        <f t="array" ref="G2146">IF(B2146="","",_xlfn.XLOOKUP(B2146,'Form responses 1'!$B$2:$B$2604,'Form responses 1'!$E$2:$E$2604,""))</f>
        <v/>
      </c>
      <c r="H2146" s="44" t="str">
        <f t="array" ref="H2146">IF(B2146="","",_xlfn.XLOOKUP(B2146,'Form responses 1'!$B$2:$B$2604,'Form responses 1'!$F$2:$F$2604,""))</f>
        <v/>
      </c>
      <c r="I2146" s="44" t="str">
        <f t="array" ref="I2146">IF(B2146="","",_xlfn.XLOOKUP(B2146,'Form responses 1'!$B$2:$B$2604,'Form responses 1'!$I$2:$I$2604,""))</f>
        <v/>
      </c>
      <c r="J2146" s="44" t="str">
        <f t="array" ref="J2146">IF(B2146="","",_xlfn.XLOOKUP(B2146,'Form responses 1'!$B$2:$B$2604,'Form responses 1'!$G$2:$G$2604,""))</f>
        <v/>
      </c>
      <c r="K2146" s="56"/>
      <c r="L2146" s="58" t="str">
        <f t="shared" si="7"/>
        <v/>
      </c>
      <c r="M2146" s="49"/>
      <c r="N2146" s="49"/>
      <c r="O2146" s="49"/>
      <c r="P2146" s="49"/>
      <c r="Q2146" s="49"/>
      <c r="R2146" s="49"/>
      <c r="S2146" s="49"/>
      <c r="T2146" s="49"/>
      <c r="U2146" s="49"/>
      <c r="V2146" s="49"/>
      <c r="W2146" s="56"/>
      <c r="X2146" s="51" t="str">
        <f t="shared" si="5"/>
        <v/>
      </c>
      <c r="Y2146" s="50" t="s">
        <v>482</v>
      </c>
      <c r="Z2146" s="49">
        <f t="shared" si="6"/>
        <v>0</v>
      </c>
    </row>
    <row r="2147" ht="22.5" customHeight="1">
      <c r="B2147" s="57"/>
      <c r="C2147" s="43" t="str">
        <f t="array" ref="C2147">IF(B2147="","",_xlfn.XLOOKUP(B2147,'Form responses 1'!$B$2:$B$2604,'Form responses 1'!$A$2:$A$2604,""))</f>
        <v/>
      </c>
      <c r="D2147" s="44" t="str">
        <f t="shared" si="3"/>
        <v/>
      </c>
      <c r="E2147" s="44" t="str">
        <f t="array" ref="E2147">IF(B2147="","",_xlfn.XLOOKUP(B2147,'Form responses 1'!$B$2:$B$2604,'Form responses 1'!$C$2:$C$2604,""))</f>
        <v/>
      </c>
      <c r="F2147" s="44" t="str">
        <f t="array" ref="F2147">IF(B2147="","",_xlfn.XLOOKUP(B2147,'Form responses 1'!$B$2:$B$2604,'Form responses 1'!$D$2:$D$2604,""))</f>
        <v/>
      </c>
      <c r="G2147" s="44" t="str">
        <f t="array" ref="G2147">IF(B2147="","",_xlfn.XLOOKUP(B2147,'Form responses 1'!$B$2:$B$2604,'Form responses 1'!$E$2:$E$2604,""))</f>
        <v/>
      </c>
      <c r="H2147" s="44" t="str">
        <f t="array" ref="H2147">IF(B2147="","",_xlfn.XLOOKUP(B2147,'Form responses 1'!$B$2:$B$2604,'Form responses 1'!$F$2:$F$2604,""))</f>
        <v/>
      </c>
      <c r="I2147" s="44" t="str">
        <f t="array" ref="I2147">IF(B2147="","",_xlfn.XLOOKUP(B2147,'Form responses 1'!$B$2:$B$2604,'Form responses 1'!$I$2:$I$2604,""))</f>
        <v/>
      </c>
      <c r="J2147" s="44" t="str">
        <f t="array" ref="J2147">IF(B2147="","",_xlfn.XLOOKUP(B2147,'Form responses 1'!$B$2:$B$2604,'Form responses 1'!$G$2:$G$2604,""))</f>
        <v/>
      </c>
      <c r="K2147" s="56"/>
      <c r="L2147" s="58" t="str">
        <f t="shared" si="7"/>
        <v/>
      </c>
      <c r="M2147" s="49"/>
      <c r="N2147" s="49"/>
      <c r="O2147" s="49"/>
      <c r="P2147" s="49"/>
      <c r="Q2147" s="49"/>
      <c r="R2147" s="49"/>
      <c r="S2147" s="49"/>
      <c r="T2147" s="49"/>
      <c r="U2147" s="49"/>
      <c r="V2147" s="49"/>
      <c r="W2147" s="56"/>
      <c r="X2147" s="51" t="str">
        <f t="shared" si="5"/>
        <v/>
      </c>
      <c r="Y2147" s="50" t="s">
        <v>482</v>
      </c>
      <c r="Z2147" s="49">
        <f t="shared" si="6"/>
        <v>0</v>
      </c>
    </row>
    <row r="2148" ht="22.5" customHeight="1">
      <c r="B2148" s="57"/>
      <c r="C2148" s="43" t="str">
        <f t="array" ref="C2148">IF(B2148="","",_xlfn.XLOOKUP(B2148,'Form responses 1'!$B$2:$B$2604,'Form responses 1'!$A$2:$A$2604,""))</f>
        <v/>
      </c>
      <c r="D2148" s="44" t="str">
        <f t="shared" si="3"/>
        <v/>
      </c>
      <c r="E2148" s="44" t="str">
        <f t="array" ref="E2148">IF(B2148="","",_xlfn.XLOOKUP(B2148,'Form responses 1'!$B$2:$B$2604,'Form responses 1'!$C$2:$C$2604,""))</f>
        <v/>
      </c>
      <c r="F2148" s="44" t="str">
        <f t="array" ref="F2148">IF(B2148="","",_xlfn.XLOOKUP(B2148,'Form responses 1'!$B$2:$B$2604,'Form responses 1'!$D$2:$D$2604,""))</f>
        <v/>
      </c>
      <c r="G2148" s="44" t="str">
        <f t="array" ref="G2148">IF(B2148="","",_xlfn.XLOOKUP(B2148,'Form responses 1'!$B$2:$B$2604,'Form responses 1'!$E$2:$E$2604,""))</f>
        <v/>
      </c>
      <c r="H2148" s="44" t="str">
        <f t="array" ref="H2148">IF(B2148="","",_xlfn.XLOOKUP(B2148,'Form responses 1'!$B$2:$B$2604,'Form responses 1'!$F$2:$F$2604,""))</f>
        <v/>
      </c>
      <c r="I2148" s="44" t="str">
        <f t="array" ref="I2148">IF(B2148="","",_xlfn.XLOOKUP(B2148,'Form responses 1'!$B$2:$B$2604,'Form responses 1'!$I$2:$I$2604,""))</f>
        <v/>
      </c>
      <c r="J2148" s="44" t="str">
        <f t="array" ref="J2148">IF(B2148="","",_xlfn.XLOOKUP(B2148,'Form responses 1'!$B$2:$B$2604,'Form responses 1'!$G$2:$G$2604,""))</f>
        <v/>
      </c>
      <c r="K2148" s="56"/>
      <c r="L2148" s="58" t="str">
        <f t="shared" si="7"/>
        <v/>
      </c>
      <c r="M2148" s="49"/>
      <c r="N2148" s="49"/>
      <c r="O2148" s="49"/>
      <c r="P2148" s="49"/>
      <c r="Q2148" s="49"/>
      <c r="R2148" s="49"/>
      <c r="S2148" s="49"/>
      <c r="T2148" s="49"/>
      <c r="U2148" s="49"/>
      <c r="V2148" s="49"/>
      <c r="W2148" s="56"/>
      <c r="X2148" s="51" t="str">
        <f t="shared" si="5"/>
        <v/>
      </c>
      <c r="Y2148" s="50" t="s">
        <v>482</v>
      </c>
      <c r="Z2148" s="49">
        <f t="shared" si="6"/>
        <v>0</v>
      </c>
    </row>
    <row r="2149" ht="22.5" customHeight="1">
      <c r="B2149" s="57"/>
      <c r="C2149" s="43" t="str">
        <f t="array" ref="C2149">IF(B2149="","",_xlfn.XLOOKUP(B2149,'Form responses 1'!$B$2:$B$2604,'Form responses 1'!$A$2:$A$2604,""))</f>
        <v/>
      </c>
      <c r="D2149" s="44" t="str">
        <f t="shared" si="3"/>
        <v/>
      </c>
      <c r="E2149" s="44" t="str">
        <f t="array" ref="E2149">IF(B2149="","",_xlfn.XLOOKUP(B2149,'Form responses 1'!$B$2:$B$2604,'Form responses 1'!$C$2:$C$2604,""))</f>
        <v/>
      </c>
      <c r="F2149" s="44" t="str">
        <f t="array" ref="F2149">IF(B2149="","",_xlfn.XLOOKUP(B2149,'Form responses 1'!$B$2:$B$2604,'Form responses 1'!$D$2:$D$2604,""))</f>
        <v/>
      </c>
      <c r="G2149" s="44" t="str">
        <f t="array" ref="G2149">IF(B2149="","",_xlfn.XLOOKUP(B2149,'Form responses 1'!$B$2:$B$2604,'Form responses 1'!$E$2:$E$2604,""))</f>
        <v/>
      </c>
      <c r="H2149" s="44" t="str">
        <f t="array" ref="H2149">IF(B2149="","",_xlfn.XLOOKUP(B2149,'Form responses 1'!$B$2:$B$2604,'Form responses 1'!$F$2:$F$2604,""))</f>
        <v/>
      </c>
      <c r="I2149" s="44" t="str">
        <f t="array" ref="I2149">IF(B2149="","",_xlfn.XLOOKUP(B2149,'Form responses 1'!$B$2:$B$2604,'Form responses 1'!$I$2:$I$2604,""))</f>
        <v/>
      </c>
      <c r="J2149" s="44" t="str">
        <f t="array" ref="J2149">IF(B2149="","",_xlfn.XLOOKUP(B2149,'Form responses 1'!$B$2:$B$2604,'Form responses 1'!$G$2:$G$2604,""))</f>
        <v/>
      </c>
      <c r="K2149" s="56"/>
      <c r="L2149" s="58" t="str">
        <f t="shared" si="7"/>
        <v/>
      </c>
      <c r="M2149" s="49"/>
      <c r="N2149" s="49"/>
      <c r="O2149" s="49"/>
      <c r="P2149" s="49"/>
      <c r="Q2149" s="49"/>
      <c r="R2149" s="49"/>
      <c r="S2149" s="49"/>
      <c r="T2149" s="49"/>
      <c r="U2149" s="49"/>
      <c r="V2149" s="49"/>
      <c r="W2149" s="56"/>
      <c r="X2149" s="51" t="str">
        <f t="shared" si="5"/>
        <v/>
      </c>
      <c r="Y2149" s="50" t="s">
        <v>482</v>
      </c>
      <c r="Z2149" s="49">
        <f t="shared" si="6"/>
        <v>0</v>
      </c>
    </row>
    <row r="2150" ht="22.5" customHeight="1">
      <c r="B2150" s="57"/>
      <c r="C2150" s="43" t="str">
        <f t="array" ref="C2150">IF(B2150="","",_xlfn.XLOOKUP(B2150,'Form responses 1'!$B$2:$B$2604,'Form responses 1'!$A$2:$A$2604,""))</f>
        <v/>
      </c>
      <c r="D2150" s="44" t="str">
        <f t="shared" si="3"/>
        <v/>
      </c>
      <c r="E2150" s="44" t="str">
        <f t="array" ref="E2150">IF(B2150="","",_xlfn.XLOOKUP(B2150,'Form responses 1'!$B$2:$B$2604,'Form responses 1'!$C$2:$C$2604,""))</f>
        <v/>
      </c>
      <c r="F2150" s="44" t="str">
        <f t="array" ref="F2150">IF(B2150="","",_xlfn.XLOOKUP(B2150,'Form responses 1'!$B$2:$B$2604,'Form responses 1'!$D$2:$D$2604,""))</f>
        <v/>
      </c>
      <c r="G2150" s="44" t="str">
        <f t="array" ref="G2150">IF(B2150="","",_xlfn.XLOOKUP(B2150,'Form responses 1'!$B$2:$B$2604,'Form responses 1'!$E$2:$E$2604,""))</f>
        <v/>
      </c>
      <c r="H2150" s="44" t="str">
        <f t="array" ref="H2150">IF(B2150="","",_xlfn.XLOOKUP(B2150,'Form responses 1'!$B$2:$B$2604,'Form responses 1'!$F$2:$F$2604,""))</f>
        <v/>
      </c>
      <c r="I2150" s="44" t="str">
        <f t="array" ref="I2150">IF(B2150="","",_xlfn.XLOOKUP(B2150,'Form responses 1'!$B$2:$B$2604,'Form responses 1'!$I$2:$I$2604,""))</f>
        <v/>
      </c>
      <c r="J2150" s="44" t="str">
        <f t="array" ref="J2150">IF(B2150="","",_xlfn.XLOOKUP(B2150,'Form responses 1'!$B$2:$B$2604,'Form responses 1'!$G$2:$G$2604,""))</f>
        <v/>
      </c>
      <c r="K2150" s="56"/>
      <c r="L2150" s="58" t="str">
        <f t="shared" si="7"/>
        <v/>
      </c>
      <c r="M2150" s="49"/>
      <c r="N2150" s="49"/>
      <c r="O2150" s="49"/>
      <c r="P2150" s="49"/>
      <c r="Q2150" s="49"/>
      <c r="R2150" s="49"/>
      <c r="S2150" s="49"/>
      <c r="T2150" s="49"/>
      <c r="U2150" s="49"/>
      <c r="V2150" s="49"/>
      <c r="W2150" s="56"/>
      <c r="X2150" s="51" t="str">
        <f t="shared" si="5"/>
        <v/>
      </c>
      <c r="Y2150" s="50" t="s">
        <v>482</v>
      </c>
      <c r="Z2150" s="49">
        <f t="shared" si="6"/>
        <v>0</v>
      </c>
    </row>
    <row r="2151" ht="22.5" customHeight="1">
      <c r="B2151" s="57"/>
      <c r="C2151" s="43" t="str">
        <f t="array" ref="C2151">IF(B2151="","",_xlfn.XLOOKUP(B2151,'Form responses 1'!$B$2:$B$2604,'Form responses 1'!$A$2:$A$2604,""))</f>
        <v/>
      </c>
      <c r="D2151" s="44" t="str">
        <f t="shared" si="3"/>
        <v/>
      </c>
      <c r="E2151" s="44" t="str">
        <f t="array" ref="E2151">IF(B2151="","",_xlfn.XLOOKUP(B2151,'Form responses 1'!$B$2:$B$2604,'Form responses 1'!$C$2:$C$2604,""))</f>
        <v/>
      </c>
      <c r="F2151" s="44" t="str">
        <f t="array" ref="F2151">IF(B2151="","",_xlfn.XLOOKUP(B2151,'Form responses 1'!$B$2:$B$2604,'Form responses 1'!$D$2:$D$2604,""))</f>
        <v/>
      </c>
      <c r="G2151" s="44" t="str">
        <f t="array" ref="G2151">IF(B2151="","",_xlfn.XLOOKUP(B2151,'Form responses 1'!$B$2:$B$2604,'Form responses 1'!$E$2:$E$2604,""))</f>
        <v/>
      </c>
      <c r="H2151" s="44" t="str">
        <f t="array" ref="H2151">IF(B2151="","",_xlfn.XLOOKUP(B2151,'Form responses 1'!$B$2:$B$2604,'Form responses 1'!$F$2:$F$2604,""))</f>
        <v/>
      </c>
      <c r="I2151" s="44" t="str">
        <f t="array" ref="I2151">IF(B2151="","",_xlfn.XLOOKUP(B2151,'Form responses 1'!$B$2:$B$2604,'Form responses 1'!$I$2:$I$2604,""))</f>
        <v/>
      </c>
      <c r="J2151" s="44" t="str">
        <f t="array" ref="J2151">IF(B2151="","",_xlfn.XLOOKUP(B2151,'Form responses 1'!$B$2:$B$2604,'Form responses 1'!$G$2:$G$2604,""))</f>
        <v/>
      </c>
      <c r="K2151" s="56"/>
      <c r="L2151" s="58" t="str">
        <f t="shared" si="7"/>
        <v/>
      </c>
      <c r="M2151" s="49"/>
      <c r="N2151" s="49"/>
      <c r="O2151" s="49"/>
      <c r="P2151" s="49"/>
      <c r="Q2151" s="49"/>
      <c r="R2151" s="49"/>
      <c r="S2151" s="49"/>
      <c r="T2151" s="49"/>
      <c r="U2151" s="49"/>
      <c r="V2151" s="49"/>
      <c r="W2151" s="56"/>
      <c r="X2151" s="51" t="str">
        <f t="shared" si="5"/>
        <v/>
      </c>
      <c r="Y2151" s="50" t="s">
        <v>482</v>
      </c>
      <c r="Z2151" s="49">
        <f t="shared" si="6"/>
        <v>0</v>
      </c>
    </row>
    <row r="2152" ht="22.5" customHeight="1">
      <c r="B2152" s="57"/>
      <c r="C2152" s="43" t="str">
        <f t="array" ref="C2152">IF(B2152="","",_xlfn.XLOOKUP(B2152,'Form responses 1'!$B$2:$B$2604,'Form responses 1'!$A$2:$A$2604,""))</f>
        <v/>
      </c>
      <c r="D2152" s="44" t="str">
        <f t="shared" si="3"/>
        <v/>
      </c>
      <c r="E2152" s="44" t="str">
        <f t="array" ref="E2152">IF(B2152="","",_xlfn.XLOOKUP(B2152,'Form responses 1'!$B$2:$B$2604,'Form responses 1'!$C$2:$C$2604,""))</f>
        <v/>
      </c>
      <c r="F2152" s="44" t="str">
        <f t="array" ref="F2152">IF(B2152="","",_xlfn.XLOOKUP(B2152,'Form responses 1'!$B$2:$B$2604,'Form responses 1'!$D$2:$D$2604,""))</f>
        <v/>
      </c>
      <c r="G2152" s="44" t="str">
        <f t="array" ref="G2152">IF(B2152="","",_xlfn.XLOOKUP(B2152,'Form responses 1'!$B$2:$B$2604,'Form responses 1'!$E$2:$E$2604,""))</f>
        <v/>
      </c>
      <c r="H2152" s="44" t="str">
        <f t="array" ref="H2152">IF(B2152="","",_xlfn.XLOOKUP(B2152,'Form responses 1'!$B$2:$B$2604,'Form responses 1'!$F$2:$F$2604,""))</f>
        <v/>
      </c>
      <c r="I2152" s="44" t="str">
        <f t="array" ref="I2152">IF(B2152="","",_xlfn.XLOOKUP(B2152,'Form responses 1'!$B$2:$B$2604,'Form responses 1'!$I$2:$I$2604,""))</f>
        <v/>
      </c>
      <c r="J2152" s="44" t="str">
        <f t="array" ref="J2152">IF(B2152="","",_xlfn.XLOOKUP(B2152,'Form responses 1'!$B$2:$B$2604,'Form responses 1'!$G$2:$G$2604,""))</f>
        <v/>
      </c>
      <c r="K2152" s="56"/>
      <c r="L2152" s="58" t="str">
        <f t="shared" si="7"/>
        <v/>
      </c>
      <c r="M2152" s="49"/>
      <c r="N2152" s="49"/>
      <c r="O2152" s="49"/>
      <c r="P2152" s="49"/>
      <c r="Q2152" s="49"/>
      <c r="R2152" s="49"/>
      <c r="S2152" s="49"/>
      <c r="T2152" s="49"/>
      <c r="U2152" s="49"/>
      <c r="V2152" s="49"/>
      <c r="W2152" s="56"/>
      <c r="X2152" s="51" t="str">
        <f t="shared" si="5"/>
        <v/>
      </c>
      <c r="Y2152" s="50" t="s">
        <v>482</v>
      </c>
      <c r="Z2152" s="49">
        <f t="shared" si="6"/>
        <v>0</v>
      </c>
    </row>
    <row r="2153" ht="22.5" customHeight="1">
      <c r="B2153" s="57"/>
      <c r="C2153" s="43" t="str">
        <f t="array" ref="C2153">IF(B2153="","",_xlfn.XLOOKUP(B2153,'Form responses 1'!$B$2:$B$2604,'Form responses 1'!$A$2:$A$2604,""))</f>
        <v/>
      </c>
      <c r="D2153" s="44" t="str">
        <f t="shared" si="3"/>
        <v/>
      </c>
      <c r="E2153" s="44" t="str">
        <f t="array" ref="E2153">IF(B2153="","",_xlfn.XLOOKUP(B2153,'Form responses 1'!$B$2:$B$2604,'Form responses 1'!$C$2:$C$2604,""))</f>
        <v/>
      </c>
      <c r="F2153" s="44" t="str">
        <f t="array" ref="F2153">IF(B2153="","",_xlfn.XLOOKUP(B2153,'Form responses 1'!$B$2:$B$2604,'Form responses 1'!$D$2:$D$2604,""))</f>
        <v/>
      </c>
      <c r="G2153" s="44" t="str">
        <f t="array" ref="G2153">IF(B2153="","",_xlfn.XLOOKUP(B2153,'Form responses 1'!$B$2:$B$2604,'Form responses 1'!$E$2:$E$2604,""))</f>
        <v/>
      </c>
      <c r="H2153" s="44" t="str">
        <f t="array" ref="H2153">IF(B2153="","",_xlfn.XLOOKUP(B2153,'Form responses 1'!$B$2:$B$2604,'Form responses 1'!$F$2:$F$2604,""))</f>
        <v/>
      </c>
      <c r="I2153" s="44" t="str">
        <f t="array" ref="I2153">IF(B2153="","",_xlfn.XLOOKUP(B2153,'Form responses 1'!$B$2:$B$2604,'Form responses 1'!$I$2:$I$2604,""))</f>
        <v/>
      </c>
      <c r="J2153" s="44" t="str">
        <f t="array" ref="J2153">IF(B2153="","",_xlfn.XLOOKUP(B2153,'Form responses 1'!$B$2:$B$2604,'Form responses 1'!$G$2:$G$2604,""))</f>
        <v/>
      </c>
      <c r="K2153" s="56"/>
      <c r="L2153" s="58" t="str">
        <f t="shared" si="7"/>
        <v/>
      </c>
      <c r="M2153" s="49"/>
      <c r="N2153" s="49"/>
      <c r="O2153" s="49"/>
      <c r="P2153" s="49"/>
      <c r="Q2153" s="49"/>
      <c r="R2153" s="49"/>
      <c r="S2153" s="49"/>
      <c r="T2153" s="49"/>
      <c r="U2153" s="49"/>
      <c r="V2153" s="49"/>
      <c r="W2153" s="56"/>
      <c r="X2153" s="51" t="str">
        <f t="shared" si="5"/>
        <v/>
      </c>
      <c r="Y2153" s="50" t="s">
        <v>482</v>
      </c>
      <c r="Z2153" s="49">
        <f t="shared" si="6"/>
        <v>0</v>
      </c>
    </row>
    <row r="2154" ht="22.5" customHeight="1">
      <c r="B2154" s="57"/>
      <c r="C2154" s="43" t="str">
        <f t="array" ref="C2154">IF(B2154="","",_xlfn.XLOOKUP(B2154,'Form responses 1'!$B$2:$B$2604,'Form responses 1'!$A$2:$A$2604,""))</f>
        <v/>
      </c>
      <c r="D2154" s="44" t="str">
        <f t="shared" si="3"/>
        <v/>
      </c>
      <c r="E2154" s="44" t="str">
        <f t="array" ref="E2154">IF(B2154="","",_xlfn.XLOOKUP(B2154,'Form responses 1'!$B$2:$B$2604,'Form responses 1'!$C$2:$C$2604,""))</f>
        <v/>
      </c>
      <c r="F2154" s="44" t="str">
        <f t="array" ref="F2154">IF(B2154="","",_xlfn.XLOOKUP(B2154,'Form responses 1'!$B$2:$B$2604,'Form responses 1'!$D$2:$D$2604,""))</f>
        <v/>
      </c>
      <c r="G2154" s="44" t="str">
        <f t="array" ref="G2154">IF(B2154="","",_xlfn.XLOOKUP(B2154,'Form responses 1'!$B$2:$B$2604,'Form responses 1'!$E$2:$E$2604,""))</f>
        <v/>
      </c>
      <c r="H2154" s="44" t="str">
        <f t="array" ref="H2154">IF(B2154="","",_xlfn.XLOOKUP(B2154,'Form responses 1'!$B$2:$B$2604,'Form responses 1'!$F$2:$F$2604,""))</f>
        <v/>
      </c>
      <c r="I2154" s="44" t="str">
        <f t="array" ref="I2154">IF(B2154="","",_xlfn.XLOOKUP(B2154,'Form responses 1'!$B$2:$B$2604,'Form responses 1'!$I$2:$I$2604,""))</f>
        <v/>
      </c>
      <c r="J2154" s="44" t="str">
        <f t="array" ref="J2154">IF(B2154="","",_xlfn.XLOOKUP(B2154,'Form responses 1'!$B$2:$B$2604,'Form responses 1'!$G$2:$G$2604,""))</f>
        <v/>
      </c>
      <c r="K2154" s="56"/>
      <c r="L2154" s="58" t="str">
        <f t="shared" si="7"/>
        <v/>
      </c>
      <c r="M2154" s="49"/>
      <c r="N2154" s="49"/>
      <c r="O2154" s="49"/>
      <c r="P2154" s="49"/>
      <c r="Q2154" s="49"/>
      <c r="R2154" s="49"/>
      <c r="S2154" s="49"/>
      <c r="T2154" s="49"/>
      <c r="U2154" s="49"/>
      <c r="V2154" s="49"/>
      <c r="W2154" s="56"/>
      <c r="X2154" s="51" t="str">
        <f t="shared" si="5"/>
        <v/>
      </c>
      <c r="Y2154" s="50" t="s">
        <v>482</v>
      </c>
      <c r="Z2154" s="49">
        <f t="shared" si="6"/>
        <v>0</v>
      </c>
    </row>
    <row r="2155" ht="22.5" customHeight="1">
      <c r="B2155" s="57"/>
      <c r="C2155" s="43" t="str">
        <f t="array" ref="C2155">IF(B2155="","",_xlfn.XLOOKUP(B2155,'Form responses 1'!$B$2:$B$2604,'Form responses 1'!$A$2:$A$2604,""))</f>
        <v/>
      </c>
      <c r="D2155" s="44" t="str">
        <f t="shared" si="3"/>
        <v/>
      </c>
      <c r="E2155" s="44" t="str">
        <f t="array" ref="E2155">IF(B2155="","",_xlfn.XLOOKUP(B2155,'Form responses 1'!$B$2:$B$2604,'Form responses 1'!$C$2:$C$2604,""))</f>
        <v/>
      </c>
      <c r="F2155" s="44" t="str">
        <f t="array" ref="F2155">IF(B2155="","",_xlfn.XLOOKUP(B2155,'Form responses 1'!$B$2:$B$2604,'Form responses 1'!$D$2:$D$2604,""))</f>
        <v/>
      </c>
      <c r="G2155" s="44" t="str">
        <f t="array" ref="G2155">IF(B2155="","",_xlfn.XLOOKUP(B2155,'Form responses 1'!$B$2:$B$2604,'Form responses 1'!$E$2:$E$2604,""))</f>
        <v/>
      </c>
      <c r="H2155" s="44" t="str">
        <f t="array" ref="H2155">IF(B2155="","",_xlfn.XLOOKUP(B2155,'Form responses 1'!$B$2:$B$2604,'Form responses 1'!$F$2:$F$2604,""))</f>
        <v/>
      </c>
      <c r="I2155" s="44" t="str">
        <f t="array" ref="I2155">IF(B2155="","",_xlfn.XLOOKUP(B2155,'Form responses 1'!$B$2:$B$2604,'Form responses 1'!$I$2:$I$2604,""))</f>
        <v/>
      </c>
      <c r="J2155" s="44" t="str">
        <f t="array" ref="J2155">IF(B2155="","",_xlfn.XLOOKUP(B2155,'Form responses 1'!$B$2:$B$2604,'Form responses 1'!$G$2:$G$2604,""))</f>
        <v/>
      </c>
      <c r="K2155" s="56"/>
      <c r="L2155" s="58" t="str">
        <f t="shared" si="7"/>
        <v/>
      </c>
      <c r="M2155" s="49"/>
      <c r="N2155" s="49"/>
      <c r="O2155" s="49"/>
      <c r="P2155" s="49"/>
      <c r="Q2155" s="49"/>
      <c r="R2155" s="49"/>
      <c r="S2155" s="49"/>
      <c r="T2155" s="49"/>
      <c r="U2155" s="49"/>
      <c r="V2155" s="49"/>
      <c r="W2155" s="56"/>
      <c r="X2155" s="51" t="str">
        <f t="shared" si="5"/>
        <v/>
      </c>
      <c r="Y2155" s="50" t="s">
        <v>482</v>
      </c>
      <c r="Z2155" s="49">
        <f t="shared" si="6"/>
        <v>0</v>
      </c>
    </row>
    <row r="2156" ht="22.5" customHeight="1">
      <c r="B2156" s="57"/>
      <c r="C2156" s="43" t="str">
        <f t="array" ref="C2156">IF(B2156="","",_xlfn.XLOOKUP(B2156,'Form responses 1'!$B$2:$B$2604,'Form responses 1'!$A$2:$A$2604,""))</f>
        <v/>
      </c>
      <c r="D2156" s="44" t="str">
        <f t="shared" si="3"/>
        <v/>
      </c>
      <c r="E2156" s="44" t="str">
        <f t="array" ref="E2156">IF(B2156="","",_xlfn.XLOOKUP(B2156,'Form responses 1'!$B$2:$B$2604,'Form responses 1'!$C$2:$C$2604,""))</f>
        <v/>
      </c>
      <c r="F2156" s="44" t="str">
        <f t="array" ref="F2156">IF(B2156="","",_xlfn.XLOOKUP(B2156,'Form responses 1'!$B$2:$B$2604,'Form responses 1'!$D$2:$D$2604,""))</f>
        <v/>
      </c>
      <c r="G2156" s="44" t="str">
        <f t="array" ref="G2156">IF(B2156="","",_xlfn.XLOOKUP(B2156,'Form responses 1'!$B$2:$B$2604,'Form responses 1'!$E$2:$E$2604,""))</f>
        <v/>
      </c>
      <c r="H2156" s="44" t="str">
        <f t="array" ref="H2156">IF(B2156="","",_xlfn.XLOOKUP(B2156,'Form responses 1'!$B$2:$B$2604,'Form responses 1'!$F$2:$F$2604,""))</f>
        <v/>
      </c>
      <c r="I2156" s="44" t="str">
        <f t="array" ref="I2156">IF(B2156="","",_xlfn.XLOOKUP(B2156,'Form responses 1'!$B$2:$B$2604,'Form responses 1'!$I$2:$I$2604,""))</f>
        <v/>
      </c>
      <c r="J2156" s="44" t="str">
        <f t="array" ref="J2156">IF(B2156="","",_xlfn.XLOOKUP(B2156,'Form responses 1'!$B$2:$B$2604,'Form responses 1'!$G$2:$G$2604,""))</f>
        <v/>
      </c>
      <c r="K2156" s="56"/>
      <c r="L2156" s="58" t="str">
        <f t="shared" si="7"/>
        <v/>
      </c>
      <c r="M2156" s="49"/>
      <c r="N2156" s="49"/>
      <c r="O2156" s="49"/>
      <c r="P2156" s="49"/>
      <c r="Q2156" s="49"/>
      <c r="R2156" s="49"/>
      <c r="S2156" s="49"/>
      <c r="T2156" s="49"/>
      <c r="U2156" s="49"/>
      <c r="V2156" s="49"/>
      <c r="W2156" s="56"/>
      <c r="X2156" s="51" t="str">
        <f t="shared" si="5"/>
        <v/>
      </c>
      <c r="Y2156" s="50" t="s">
        <v>482</v>
      </c>
      <c r="Z2156" s="49">
        <f t="shared" si="6"/>
        <v>0</v>
      </c>
    </row>
    <row r="2157" ht="22.5" customHeight="1">
      <c r="B2157" s="57"/>
      <c r="C2157" s="43" t="str">
        <f t="array" ref="C2157">IF(B2157="","",_xlfn.XLOOKUP(B2157,'Form responses 1'!$B$2:$B$2604,'Form responses 1'!$A$2:$A$2604,""))</f>
        <v/>
      </c>
      <c r="D2157" s="44" t="str">
        <f t="shared" si="3"/>
        <v/>
      </c>
      <c r="E2157" s="44" t="str">
        <f t="array" ref="E2157">IF(B2157="","",_xlfn.XLOOKUP(B2157,'Form responses 1'!$B$2:$B$2604,'Form responses 1'!$C$2:$C$2604,""))</f>
        <v/>
      </c>
      <c r="F2157" s="44" t="str">
        <f t="array" ref="F2157">IF(B2157="","",_xlfn.XLOOKUP(B2157,'Form responses 1'!$B$2:$B$2604,'Form responses 1'!$D$2:$D$2604,""))</f>
        <v/>
      </c>
      <c r="G2157" s="44" t="str">
        <f t="array" ref="G2157">IF(B2157="","",_xlfn.XLOOKUP(B2157,'Form responses 1'!$B$2:$B$2604,'Form responses 1'!$E$2:$E$2604,""))</f>
        <v/>
      </c>
      <c r="H2157" s="44" t="str">
        <f t="array" ref="H2157">IF(B2157="","",_xlfn.XLOOKUP(B2157,'Form responses 1'!$B$2:$B$2604,'Form responses 1'!$F$2:$F$2604,""))</f>
        <v/>
      </c>
      <c r="I2157" s="44" t="str">
        <f t="array" ref="I2157">IF(B2157="","",_xlfn.XLOOKUP(B2157,'Form responses 1'!$B$2:$B$2604,'Form responses 1'!$I$2:$I$2604,""))</f>
        <v/>
      </c>
      <c r="J2157" s="44" t="str">
        <f t="array" ref="J2157">IF(B2157="","",_xlfn.XLOOKUP(B2157,'Form responses 1'!$B$2:$B$2604,'Form responses 1'!$G$2:$G$2604,""))</f>
        <v/>
      </c>
      <c r="K2157" s="56"/>
      <c r="L2157" s="58" t="str">
        <f t="shared" si="7"/>
        <v/>
      </c>
      <c r="M2157" s="49"/>
      <c r="N2157" s="49"/>
      <c r="O2157" s="49"/>
      <c r="P2157" s="49"/>
      <c r="Q2157" s="49"/>
      <c r="R2157" s="49"/>
      <c r="S2157" s="49"/>
      <c r="T2157" s="49"/>
      <c r="U2157" s="49"/>
      <c r="V2157" s="49"/>
      <c r="W2157" s="56"/>
      <c r="X2157" s="51" t="str">
        <f t="shared" si="5"/>
        <v/>
      </c>
      <c r="Y2157" s="50" t="s">
        <v>482</v>
      </c>
      <c r="Z2157" s="49">
        <f t="shared" si="6"/>
        <v>0</v>
      </c>
    </row>
    <row r="2158" ht="22.5" customHeight="1">
      <c r="B2158" s="57"/>
      <c r="C2158" s="43" t="str">
        <f t="array" ref="C2158">IF(B2158="","",_xlfn.XLOOKUP(B2158,'Form responses 1'!$B$2:$B$2604,'Form responses 1'!$A$2:$A$2604,""))</f>
        <v/>
      </c>
      <c r="D2158" s="44" t="str">
        <f t="shared" si="3"/>
        <v/>
      </c>
      <c r="E2158" s="44" t="str">
        <f t="array" ref="E2158">IF(B2158="","",_xlfn.XLOOKUP(B2158,'Form responses 1'!$B$2:$B$2604,'Form responses 1'!$C$2:$C$2604,""))</f>
        <v/>
      </c>
      <c r="F2158" s="44" t="str">
        <f t="array" ref="F2158">IF(B2158="","",_xlfn.XLOOKUP(B2158,'Form responses 1'!$B$2:$B$2604,'Form responses 1'!$D$2:$D$2604,""))</f>
        <v/>
      </c>
      <c r="G2158" s="44" t="str">
        <f t="array" ref="G2158">IF(B2158="","",_xlfn.XLOOKUP(B2158,'Form responses 1'!$B$2:$B$2604,'Form responses 1'!$E$2:$E$2604,""))</f>
        <v/>
      </c>
      <c r="H2158" s="44" t="str">
        <f t="array" ref="H2158">IF(B2158="","",_xlfn.XLOOKUP(B2158,'Form responses 1'!$B$2:$B$2604,'Form responses 1'!$F$2:$F$2604,""))</f>
        <v/>
      </c>
      <c r="I2158" s="44" t="str">
        <f t="array" ref="I2158">IF(B2158="","",_xlfn.XLOOKUP(B2158,'Form responses 1'!$B$2:$B$2604,'Form responses 1'!$I$2:$I$2604,""))</f>
        <v/>
      </c>
      <c r="J2158" s="44" t="str">
        <f t="array" ref="J2158">IF(B2158="","",_xlfn.XLOOKUP(B2158,'Form responses 1'!$B$2:$B$2604,'Form responses 1'!$G$2:$G$2604,""))</f>
        <v/>
      </c>
      <c r="K2158" s="56"/>
      <c r="L2158" s="58" t="str">
        <f t="shared" si="7"/>
        <v/>
      </c>
      <c r="M2158" s="49"/>
      <c r="N2158" s="49"/>
      <c r="O2158" s="49"/>
      <c r="P2158" s="49"/>
      <c r="Q2158" s="49"/>
      <c r="R2158" s="49"/>
      <c r="S2158" s="49"/>
      <c r="T2158" s="49"/>
      <c r="U2158" s="49"/>
      <c r="V2158" s="49"/>
      <c r="W2158" s="56"/>
      <c r="X2158" s="51" t="str">
        <f t="shared" si="5"/>
        <v/>
      </c>
      <c r="Y2158" s="50" t="s">
        <v>482</v>
      </c>
      <c r="Z2158" s="49">
        <f t="shared" si="6"/>
        <v>0</v>
      </c>
    </row>
    <row r="2159" ht="22.5" customHeight="1">
      <c r="B2159" s="57"/>
      <c r="C2159" s="43" t="str">
        <f t="array" ref="C2159">IF(B2159="","",_xlfn.XLOOKUP(B2159,'Form responses 1'!$B$2:$B$2604,'Form responses 1'!$A$2:$A$2604,""))</f>
        <v/>
      </c>
      <c r="D2159" s="44" t="str">
        <f t="shared" si="3"/>
        <v/>
      </c>
      <c r="E2159" s="44" t="str">
        <f t="array" ref="E2159">IF(B2159="","",_xlfn.XLOOKUP(B2159,'Form responses 1'!$B$2:$B$2604,'Form responses 1'!$C$2:$C$2604,""))</f>
        <v/>
      </c>
      <c r="F2159" s="44" t="str">
        <f t="array" ref="F2159">IF(B2159="","",_xlfn.XLOOKUP(B2159,'Form responses 1'!$B$2:$B$2604,'Form responses 1'!$D$2:$D$2604,""))</f>
        <v/>
      </c>
      <c r="G2159" s="44" t="str">
        <f t="array" ref="G2159">IF(B2159="","",_xlfn.XLOOKUP(B2159,'Form responses 1'!$B$2:$B$2604,'Form responses 1'!$E$2:$E$2604,""))</f>
        <v/>
      </c>
      <c r="H2159" s="44" t="str">
        <f t="array" ref="H2159">IF(B2159="","",_xlfn.XLOOKUP(B2159,'Form responses 1'!$B$2:$B$2604,'Form responses 1'!$F$2:$F$2604,""))</f>
        <v/>
      </c>
      <c r="I2159" s="44" t="str">
        <f t="array" ref="I2159">IF(B2159="","",_xlfn.XLOOKUP(B2159,'Form responses 1'!$B$2:$B$2604,'Form responses 1'!$I$2:$I$2604,""))</f>
        <v/>
      </c>
      <c r="J2159" s="44" t="str">
        <f t="array" ref="J2159">IF(B2159="","",_xlfn.XLOOKUP(B2159,'Form responses 1'!$B$2:$B$2604,'Form responses 1'!$G$2:$G$2604,""))</f>
        <v/>
      </c>
      <c r="K2159" s="56"/>
      <c r="L2159" s="58" t="str">
        <f t="shared" si="7"/>
        <v/>
      </c>
      <c r="M2159" s="49"/>
      <c r="N2159" s="49"/>
      <c r="O2159" s="49"/>
      <c r="P2159" s="49"/>
      <c r="Q2159" s="49"/>
      <c r="R2159" s="49"/>
      <c r="S2159" s="49"/>
      <c r="T2159" s="49"/>
      <c r="U2159" s="49"/>
      <c r="V2159" s="49"/>
      <c r="W2159" s="56"/>
      <c r="X2159" s="51" t="str">
        <f t="shared" si="5"/>
        <v/>
      </c>
      <c r="Y2159" s="50" t="s">
        <v>482</v>
      </c>
      <c r="Z2159" s="49">
        <f t="shared" si="6"/>
        <v>0</v>
      </c>
    </row>
    <row r="2160" ht="22.5" customHeight="1">
      <c r="B2160" s="57"/>
      <c r="C2160" s="43" t="str">
        <f t="array" ref="C2160">IF(B2160="","",_xlfn.XLOOKUP(B2160,'Form responses 1'!$B$2:$B$2604,'Form responses 1'!$A$2:$A$2604,""))</f>
        <v/>
      </c>
      <c r="D2160" s="44" t="str">
        <f t="shared" si="3"/>
        <v/>
      </c>
      <c r="E2160" s="44" t="str">
        <f t="array" ref="E2160">IF(B2160="","",_xlfn.XLOOKUP(B2160,'Form responses 1'!$B$2:$B$2604,'Form responses 1'!$C$2:$C$2604,""))</f>
        <v/>
      </c>
      <c r="F2160" s="44" t="str">
        <f t="array" ref="F2160">IF(B2160="","",_xlfn.XLOOKUP(B2160,'Form responses 1'!$B$2:$B$2604,'Form responses 1'!$D$2:$D$2604,""))</f>
        <v/>
      </c>
      <c r="G2160" s="44" t="str">
        <f t="array" ref="G2160">IF(B2160="","",_xlfn.XLOOKUP(B2160,'Form responses 1'!$B$2:$B$2604,'Form responses 1'!$E$2:$E$2604,""))</f>
        <v/>
      </c>
      <c r="H2160" s="44" t="str">
        <f t="array" ref="H2160">IF(B2160="","",_xlfn.XLOOKUP(B2160,'Form responses 1'!$B$2:$B$2604,'Form responses 1'!$F$2:$F$2604,""))</f>
        <v/>
      </c>
      <c r="I2160" s="44" t="str">
        <f t="array" ref="I2160">IF(B2160="","",_xlfn.XLOOKUP(B2160,'Form responses 1'!$B$2:$B$2604,'Form responses 1'!$I$2:$I$2604,""))</f>
        <v/>
      </c>
      <c r="J2160" s="44" t="str">
        <f t="array" ref="J2160">IF(B2160="","",_xlfn.XLOOKUP(B2160,'Form responses 1'!$B$2:$B$2604,'Form responses 1'!$G$2:$G$2604,""))</f>
        <v/>
      </c>
      <c r="K2160" s="56"/>
      <c r="L2160" s="58" t="str">
        <f t="shared" si="7"/>
        <v/>
      </c>
      <c r="M2160" s="49"/>
      <c r="N2160" s="49"/>
      <c r="O2160" s="49"/>
      <c r="P2160" s="49"/>
      <c r="Q2160" s="49"/>
      <c r="R2160" s="49"/>
      <c r="S2160" s="49"/>
      <c r="T2160" s="49"/>
      <c r="U2160" s="49"/>
      <c r="V2160" s="49"/>
      <c r="W2160" s="56"/>
      <c r="X2160" s="51" t="str">
        <f t="shared" si="5"/>
        <v/>
      </c>
      <c r="Y2160" s="50" t="s">
        <v>482</v>
      </c>
      <c r="Z2160" s="49">
        <f t="shared" si="6"/>
        <v>0</v>
      </c>
    </row>
    <row r="2161" ht="22.5" customHeight="1">
      <c r="B2161" s="57"/>
      <c r="C2161" s="43" t="str">
        <f t="array" ref="C2161">IF(B2161="","",_xlfn.XLOOKUP(B2161,'Form responses 1'!$B$2:$B$2604,'Form responses 1'!$A$2:$A$2604,""))</f>
        <v/>
      </c>
      <c r="D2161" s="44" t="str">
        <f t="shared" si="3"/>
        <v/>
      </c>
      <c r="E2161" s="44" t="str">
        <f t="array" ref="E2161">IF(B2161="","",_xlfn.XLOOKUP(B2161,'Form responses 1'!$B$2:$B$2604,'Form responses 1'!$C$2:$C$2604,""))</f>
        <v/>
      </c>
      <c r="F2161" s="44" t="str">
        <f t="array" ref="F2161">IF(B2161="","",_xlfn.XLOOKUP(B2161,'Form responses 1'!$B$2:$B$2604,'Form responses 1'!$D$2:$D$2604,""))</f>
        <v/>
      </c>
      <c r="G2161" s="44" t="str">
        <f t="array" ref="G2161">IF(B2161="","",_xlfn.XLOOKUP(B2161,'Form responses 1'!$B$2:$B$2604,'Form responses 1'!$E$2:$E$2604,""))</f>
        <v/>
      </c>
      <c r="H2161" s="44" t="str">
        <f t="array" ref="H2161">IF(B2161="","",_xlfn.XLOOKUP(B2161,'Form responses 1'!$B$2:$B$2604,'Form responses 1'!$F$2:$F$2604,""))</f>
        <v/>
      </c>
      <c r="I2161" s="44" t="str">
        <f t="array" ref="I2161">IF(B2161="","",_xlfn.XLOOKUP(B2161,'Form responses 1'!$B$2:$B$2604,'Form responses 1'!$I$2:$I$2604,""))</f>
        <v/>
      </c>
      <c r="J2161" s="44" t="str">
        <f t="array" ref="J2161">IF(B2161="","",_xlfn.XLOOKUP(B2161,'Form responses 1'!$B$2:$B$2604,'Form responses 1'!$G$2:$G$2604,""))</f>
        <v/>
      </c>
      <c r="K2161" s="56"/>
      <c r="L2161" s="58" t="str">
        <f t="shared" si="7"/>
        <v/>
      </c>
      <c r="M2161" s="49"/>
      <c r="N2161" s="49"/>
      <c r="O2161" s="49"/>
      <c r="P2161" s="49"/>
      <c r="Q2161" s="49"/>
      <c r="R2161" s="49"/>
      <c r="S2161" s="49"/>
      <c r="T2161" s="49"/>
      <c r="U2161" s="49"/>
      <c r="V2161" s="49"/>
      <c r="W2161" s="56"/>
      <c r="X2161" s="51" t="str">
        <f t="shared" si="5"/>
        <v/>
      </c>
      <c r="Y2161" s="50" t="s">
        <v>482</v>
      </c>
      <c r="Z2161" s="49">
        <f t="shared" si="6"/>
        <v>0</v>
      </c>
    </row>
    <row r="2162" ht="22.5" customHeight="1">
      <c r="B2162" s="57"/>
      <c r="C2162" s="43" t="str">
        <f t="array" ref="C2162">IF(B2162="","",_xlfn.XLOOKUP(B2162,'Form responses 1'!$B$2:$B$2604,'Form responses 1'!$A$2:$A$2604,""))</f>
        <v/>
      </c>
      <c r="D2162" s="44" t="str">
        <f t="shared" si="3"/>
        <v/>
      </c>
      <c r="E2162" s="44" t="str">
        <f t="array" ref="E2162">IF(B2162="","",_xlfn.XLOOKUP(B2162,'Form responses 1'!$B$2:$B$2604,'Form responses 1'!$C$2:$C$2604,""))</f>
        <v/>
      </c>
      <c r="F2162" s="44" t="str">
        <f t="array" ref="F2162">IF(B2162="","",_xlfn.XLOOKUP(B2162,'Form responses 1'!$B$2:$B$2604,'Form responses 1'!$D$2:$D$2604,""))</f>
        <v/>
      </c>
      <c r="G2162" s="44" t="str">
        <f t="array" ref="G2162">IF(B2162="","",_xlfn.XLOOKUP(B2162,'Form responses 1'!$B$2:$B$2604,'Form responses 1'!$E$2:$E$2604,""))</f>
        <v/>
      </c>
      <c r="H2162" s="44" t="str">
        <f t="array" ref="H2162">IF(B2162="","",_xlfn.XLOOKUP(B2162,'Form responses 1'!$B$2:$B$2604,'Form responses 1'!$F$2:$F$2604,""))</f>
        <v/>
      </c>
      <c r="I2162" s="44" t="str">
        <f t="array" ref="I2162">IF(B2162="","",_xlfn.XLOOKUP(B2162,'Form responses 1'!$B$2:$B$2604,'Form responses 1'!$I$2:$I$2604,""))</f>
        <v/>
      </c>
      <c r="J2162" s="44" t="str">
        <f t="array" ref="J2162">IF(B2162="","",_xlfn.XLOOKUP(B2162,'Form responses 1'!$B$2:$B$2604,'Form responses 1'!$G$2:$G$2604,""))</f>
        <v/>
      </c>
      <c r="K2162" s="56"/>
      <c r="L2162" s="58" t="str">
        <f t="shared" si="7"/>
        <v/>
      </c>
      <c r="M2162" s="49"/>
      <c r="N2162" s="49"/>
      <c r="O2162" s="49"/>
      <c r="P2162" s="49"/>
      <c r="Q2162" s="49"/>
      <c r="R2162" s="49"/>
      <c r="S2162" s="49"/>
      <c r="T2162" s="49"/>
      <c r="U2162" s="49"/>
      <c r="V2162" s="49"/>
      <c r="W2162" s="56"/>
      <c r="X2162" s="51" t="str">
        <f t="shared" si="5"/>
        <v/>
      </c>
      <c r="Y2162" s="50" t="s">
        <v>482</v>
      </c>
      <c r="Z2162" s="49">
        <f t="shared" si="6"/>
        <v>0</v>
      </c>
    </row>
    <row r="2163" ht="22.5" customHeight="1">
      <c r="B2163" s="57"/>
      <c r="C2163" s="43" t="str">
        <f t="array" ref="C2163">IF(B2163="","",_xlfn.XLOOKUP(B2163,'Form responses 1'!$B$2:$B$2604,'Form responses 1'!$A$2:$A$2604,""))</f>
        <v/>
      </c>
      <c r="D2163" s="44" t="str">
        <f t="shared" si="3"/>
        <v/>
      </c>
      <c r="E2163" s="44" t="str">
        <f t="array" ref="E2163">IF(B2163="","",_xlfn.XLOOKUP(B2163,'Form responses 1'!$B$2:$B$2604,'Form responses 1'!$C$2:$C$2604,""))</f>
        <v/>
      </c>
      <c r="F2163" s="44" t="str">
        <f t="array" ref="F2163">IF(B2163="","",_xlfn.XLOOKUP(B2163,'Form responses 1'!$B$2:$B$2604,'Form responses 1'!$D$2:$D$2604,""))</f>
        <v/>
      </c>
      <c r="G2163" s="44" t="str">
        <f t="array" ref="G2163">IF(B2163="","",_xlfn.XLOOKUP(B2163,'Form responses 1'!$B$2:$B$2604,'Form responses 1'!$E$2:$E$2604,""))</f>
        <v/>
      </c>
      <c r="H2163" s="44" t="str">
        <f t="array" ref="H2163">IF(B2163="","",_xlfn.XLOOKUP(B2163,'Form responses 1'!$B$2:$B$2604,'Form responses 1'!$F$2:$F$2604,""))</f>
        <v/>
      </c>
      <c r="I2163" s="44" t="str">
        <f t="array" ref="I2163">IF(B2163="","",_xlfn.XLOOKUP(B2163,'Form responses 1'!$B$2:$B$2604,'Form responses 1'!$I$2:$I$2604,""))</f>
        <v/>
      </c>
      <c r="J2163" s="44" t="str">
        <f t="array" ref="J2163">IF(B2163="","",_xlfn.XLOOKUP(B2163,'Form responses 1'!$B$2:$B$2604,'Form responses 1'!$G$2:$G$2604,""))</f>
        <v/>
      </c>
      <c r="K2163" s="56"/>
      <c r="L2163" s="58" t="str">
        <f t="shared" si="7"/>
        <v/>
      </c>
      <c r="M2163" s="49"/>
      <c r="N2163" s="49"/>
      <c r="O2163" s="49"/>
      <c r="P2163" s="49"/>
      <c r="Q2163" s="49"/>
      <c r="R2163" s="49"/>
      <c r="S2163" s="49"/>
      <c r="T2163" s="49"/>
      <c r="U2163" s="49"/>
      <c r="V2163" s="49"/>
      <c r="W2163" s="56"/>
      <c r="X2163" s="51" t="str">
        <f t="shared" si="5"/>
        <v/>
      </c>
      <c r="Y2163" s="50" t="s">
        <v>482</v>
      </c>
      <c r="Z2163" s="49">
        <f t="shared" si="6"/>
        <v>0</v>
      </c>
    </row>
    <row r="2164" ht="22.5" customHeight="1">
      <c r="B2164" s="57"/>
      <c r="C2164" s="43" t="str">
        <f t="array" ref="C2164">IF(B2164="","",_xlfn.XLOOKUP(B2164,'Form responses 1'!$B$2:$B$2604,'Form responses 1'!$A$2:$A$2604,""))</f>
        <v/>
      </c>
      <c r="D2164" s="44" t="str">
        <f t="shared" si="3"/>
        <v/>
      </c>
      <c r="E2164" s="44" t="str">
        <f t="array" ref="E2164">IF(B2164="","",_xlfn.XLOOKUP(B2164,'Form responses 1'!$B$2:$B$2604,'Form responses 1'!$C$2:$C$2604,""))</f>
        <v/>
      </c>
      <c r="F2164" s="44" t="str">
        <f t="array" ref="F2164">IF(B2164="","",_xlfn.XLOOKUP(B2164,'Form responses 1'!$B$2:$B$2604,'Form responses 1'!$D$2:$D$2604,""))</f>
        <v/>
      </c>
      <c r="G2164" s="44" t="str">
        <f t="array" ref="G2164">IF(B2164="","",_xlfn.XLOOKUP(B2164,'Form responses 1'!$B$2:$B$2604,'Form responses 1'!$E$2:$E$2604,""))</f>
        <v/>
      </c>
      <c r="H2164" s="44" t="str">
        <f t="array" ref="H2164">IF(B2164="","",_xlfn.XLOOKUP(B2164,'Form responses 1'!$B$2:$B$2604,'Form responses 1'!$F$2:$F$2604,""))</f>
        <v/>
      </c>
      <c r="I2164" s="44" t="str">
        <f t="array" ref="I2164">IF(B2164="","",_xlfn.XLOOKUP(B2164,'Form responses 1'!$B$2:$B$2604,'Form responses 1'!$I$2:$I$2604,""))</f>
        <v/>
      </c>
      <c r="J2164" s="44" t="str">
        <f t="array" ref="J2164">IF(B2164="","",_xlfn.XLOOKUP(B2164,'Form responses 1'!$B$2:$B$2604,'Form responses 1'!$G$2:$G$2604,""))</f>
        <v/>
      </c>
      <c r="K2164" s="56"/>
      <c r="L2164" s="58" t="str">
        <f t="shared" si="7"/>
        <v/>
      </c>
      <c r="M2164" s="49"/>
      <c r="N2164" s="49"/>
      <c r="O2164" s="49"/>
      <c r="P2164" s="49"/>
      <c r="Q2164" s="49"/>
      <c r="R2164" s="49"/>
      <c r="S2164" s="49"/>
      <c r="T2164" s="49"/>
      <c r="U2164" s="49"/>
      <c r="V2164" s="49"/>
      <c r="W2164" s="56"/>
      <c r="X2164" s="51" t="str">
        <f t="shared" si="5"/>
        <v/>
      </c>
      <c r="Y2164" s="50" t="s">
        <v>482</v>
      </c>
      <c r="Z2164" s="49">
        <f t="shared" si="6"/>
        <v>0</v>
      </c>
    </row>
    <row r="2165" ht="22.5" customHeight="1">
      <c r="B2165" s="57"/>
      <c r="C2165" s="43" t="str">
        <f t="array" ref="C2165">IF(B2165="","",_xlfn.XLOOKUP(B2165,'Form responses 1'!$B$2:$B$2604,'Form responses 1'!$A$2:$A$2604,""))</f>
        <v/>
      </c>
      <c r="D2165" s="44" t="str">
        <f t="shared" si="3"/>
        <v/>
      </c>
      <c r="E2165" s="44" t="str">
        <f t="array" ref="E2165">IF(B2165="","",_xlfn.XLOOKUP(B2165,'Form responses 1'!$B$2:$B$2604,'Form responses 1'!$C$2:$C$2604,""))</f>
        <v/>
      </c>
      <c r="F2165" s="44" t="str">
        <f t="array" ref="F2165">IF(B2165="","",_xlfn.XLOOKUP(B2165,'Form responses 1'!$B$2:$B$2604,'Form responses 1'!$D$2:$D$2604,""))</f>
        <v/>
      </c>
      <c r="G2165" s="44" t="str">
        <f t="array" ref="G2165">IF(B2165="","",_xlfn.XLOOKUP(B2165,'Form responses 1'!$B$2:$B$2604,'Form responses 1'!$E$2:$E$2604,""))</f>
        <v/>
      </c>
      <c r="H2165" s="44" t="str">
        <f t="array" ref="H2165">IF(B2165="","",_xlfn.XLOOKUP(B2165,'Form responses 1'!$B$2:$B$2604,'Form responses 1'!$F$2:$F$2604,""))</f>
        <v/>
      </c>
      <c r="I2165" s="44" t="str">
        <f t="array" ref="I2165">IF(B2165="","",_xlfn.XLOOKUP(B2165,'Form responses 1'!$B$2:$B$2604,'Form responses 1'!$I$2:$I$2604,""))</f>
        <v/>
      </c>
      <c r="J2165" s="44" t="str">
        <f t="array" ref="J2165">IF(B2165="","",_xlfn.XLOOKUP(B2165,'Form responses 1'!$B$2:$B$2604,'Form responses 1'!$G$2:$G$2604,""))</f>
        <v/>
      </c>
      <c r="K2165" s="56"/>
      <c r="L2165" s="58" t="str">
        <f t="shared" si="7"/>
        <v/>
      </c>
      <c r="M2165" s="49"/>
      <c r="N2165" s="49"/>
      <c r="O2165" s="49"/>
      <c r="P2165" s="49"/>
      <c r="Q2165" s="49"/>
      <c r="R2165" s="49"/>
      <c r="S2165" s="49"/>
      <c r="T2165" s="49"/>
      <c r="U2165" s="49"/>
      <c r="V2165" s="49"/>
      <c r="W2165" s="56"/>
      <c r="X2165" s="51" t="str">
        <f t="shared" si="5"/>
        <v/>
      </c>
      <c r="Y2165" s="50" t="s">
        <v>482</v>
      </c>
      <c r="Z2165" s="49">
        <f t="shared" si="6"/>
        <v>0</v>
      </c>
    </row>
    <row r="2166" ht="22.5" customHeight="1">
      <c r="B2166" s="57"/>
      <c r="C2166" s="43" t="str">
        <f t="array" ref="C2166">IF(B2166="","",_xlfn.XLOOKUP(B2166,'Form responses 1'!$B$2:$B$2604,'Form responses 1'!$A$2:$A$2604,""))</f>
        <v/>
      </c>
      <c r="D2166" s="44" t="str">
        <f t="shared" si="3"/>
        <v/>
      </c>
      <c r="E2166" s="44" t="str">
        <f t="array" ref="E2166">IF(B2166="","",_xlfn.XLOOKUP(B2166,'Form responses 1'!$B$2:$B$2604,'Form responses 1'!$C$2:$C$2604,""))</f>
        <v/>
      </c>
      <c r="F2166" s="44" t="str">
        <f t="array" ref="F2166">IF(B2166="","",_xlfn.XLOOKUP(B2166,'Form responses 1'!$B$2:$B$2604,'Form responses 1'!$D$2:$D$2604,""))</f>
        <v/>
      </c>
      <c r="G2166" s="44" t="str">
        <f t="array" ref="G2166">IF(B2166="","",_xlfn.XLOOKUP(B2166,'Form responses 1'!$B$2:$B$2604,'Form responses 1'!$E$2:$E$2604,""))</f>
        <v/>
      </c>
      <c r="H2166" s="44" t="str">
        <f t="array" ref="H2166">IF(B2166="","",_xlfn.XLOOKUP(B2166,'Form responses 1'!$B$2:$B$2604,'Form responses 1'!$F$2:$F$2604,""))</f>
        <v/>
      </c>
      <c r="I2166" s="44" t="str">
        <f t="array" ref="I2166">IF(B2166="","",_xlfn.XLOOKUP(B2166,'Form responses 1'!$B$2:$B$2604,'Form responses 1'!$I$2:$I$2604,""))</f>
        <v/>
      </c>
      <c r="J2166" s="44" t="str">
        <f t="array" ref="J2166">IF(B2166="","",_xlfn.XLOOKUP(B2166,'Form responses 1'!$B$2:$B$2604,'Form responses 1'!$G$2:$G$2604,""))</f>
        <v/>
      </c>
      <c r="K2166" s="56"/>
      <c r="L2166" s="58" t="str">
        <f t="shared" si="7"/>
        <v/>
      </c>
      <c r="M2166" s="49"/>
      <c r="N2166" s="49"/>
      <c r="O2166" s="49"/>
      <c r="P2166" s="49"/>
      <c r="Q2166" s="49"/>
      <c r="R2166" s="49"/>
      <c r="S2166" s="49"/>
      <c r="T2166" s="49"/>
      <c r="U2166" s="49"/>
      <c r="V2166" s="49"/>
      <c r="W2166" s="56"/>
      <c r="X2166" s="51" t="str">
        <f t="shared" si="5"/>
        <v/>
      </c>
      <c r="Y2166" s="50" t="s">
        <v>482</v>
      </c>
      <c r="Z2166" s="49">
        <f t="shared" si="6"/>
        <v>0</v>
      </c>
    </row>
    <row r="2167" ht="22.5" customHeight="1">
      <c r="B2167" s="57"/>
      <c r="C2167" s="43" t="str">
        <f t="array" ref="C2167">IF(B2167="","",_xlfn.XLOOKUP(B2167,'Form responses 1'!$B$2:$B$2604,'Form responses 1'!$A$2:$A$2604,""))</f>
        <v/>
      </c>
      <c r="D2167" s="44" t="str">
        <f t="shared" si="3"/>
        <v/>
      </c>
      <c r="E2167" s="44" t="str">
        <f t="array" ref="E2167">IF(B2167="","",_xlfn.XLOOKUP(B2167,'Form responses 1'!$B$2:$B$2604,'Form responses 1'!$C$2:$C$2604,""))</f>
        <v/>
      </c>
      <c r="F2167" s="44" t="str">
        <f t="array" ref="F2167">IF(B2167="","",_xlfn.XLOOKUP(B2167,'Form responses 1'!$B$2:$B$2604,'Form responses 1'!$D$2:$D$2604,""))</f>
        <v/>
      </c>
      <c r="G2167" s="44" t="str">
        <f t="array" ref="G2167">IF(B2167="","",_xlfn.XLOOKUP(B2167,'Form responses 1'!$B$2:$B$2604,'Form responses 1'!$E$2:$E$2604,""))</f>
        <v/>
      </c>
      <c r="H2167" s="44" t="str">
        <f t="array" ref="H2167">IF(B2167="","",_xlfn.XLOOKUP(B2167,'Form responses 1'!$B$2:$B$2604,'Form responses 1'!$F$2:$F$2604,""))</f>
        <v/>
      </c>
      <c r="I2167" s="44" t="str">
        <f t="array" ref="I2167">IF(B2167="","",_xlfn.XLOOKUP(B2167,'Form responses 1'!$B$2:$B$2604,'Form responses 1'!$I$2:$I$2604,""))</f>
        <v/>
      </c>
      <c r="J2167" s="44" t="str">
        <f t="array" ref="J2167">IF(B2167="","",_xlfn.XLOOKUP(B2167,'Form responses 1'!$B$2:$B$2604,'Form responses 1'!$G$2:$G$2604,""))</f>
        <v/>
      </c>
      <c r="K2167" s="56"/>
      <c r="L2167" s="58" t="str">
        <f t="shared" si="7"/>
        <v/>
      </c>
      <c r="M2167" s="49"/>
      <c r="N2167" s="49"/>
      <c r="O2167" s="49"/>
      <c r="P2167" s="49"/>
      <c r="Q2167" s="49"/>
      <c r="R2167" s="49"/>
      <c r="S2167" s="49"/>
      <c r="T2167" s="49"/>
      <c r="U2167" s="49"/>
      <c r="V2167" s="49"/>
      <c r="W2167" s="56"/>
      <c r="X2167" s="51" t="str">
        <f t="shared" si="5"/>
        <v/>
      </c>
      <c r="Y2167" s="50" t="s">
        <v>482</v>
      </c>
      <c r="Z2167" s="49">
        <f t="shared" si="6"/>
        <v>0</v>
      </c>
    </row>
    <row r="2168" ht="22.5" customHeight="1">
      <c r="B2168" s="57"/>
      <c r="C2168" s="43" t="str">
        <f t="array" ref="C2168">IF(B2168="","",_xlfn.XLOOKUP(B2168,'Form responses 1'!$B$2:$B$2604,'Form responses 1'!$A$2:$A$2604,""))</f>
        <v/>
      </c>
      <c r="D2168" s="44" t="str">
        <f t="shared" si="3"/>
        <v/>
      </c>
      <c r="E2168" s="44" t="str">
        <f t="array" ref="E2168">IF(B2168="","",_xlfn.XLOOKUP(B2168,'Form responses 1'!$B$2:$B$2604,'Form responses 1'!$C$2:$C$2604,""))</f>
        <v/>
      </c>
      <c r="F2168" s="44" t="str">
        <f t="array" ref="F2168">IF(B2168="","",_xlfn.XLOOKUP(B2168,'Form responses 1'!$B$2:$B$2604,'Form responses 1'!$D$2:$D$2604,""))</f>
        <v/>
      </c>
      <c r="G2168" s="44" t="str">
        <f t="array" ref="G2168">IF(B2168="","",_xlfn.XLOOKUP(B2168,'Form responses 1'!$B$2:$B$2604,'Form responses 1'!$E$2:$E$2604,""))</f>
        <v/>
      </c>
      <c r="H2168" s="44" t="str">
        <f t="array" ref="H2168">IF(B2168="","",_xlfn.XLOOKUP(B2168,'Form responses 1'!$B$2:$B$2604,'Form responses 1'!$F$2:$F$2604,""))</f>
        <v/>
      </c>
      <c r="I2168" s="44" t="str">
        <f t="array" ref="I2168">IF(B2168="","",_xlfn.XLOOKUP(B2168,'Form responses 1'!$B$2:$B$2604,'Form responses 1'!$I$2:$I$2604,""))</f>
        <v/>
      </c>
      <c r="J2168" s="44" t="str">
        <f t="array" ref="J2168">IF(B2168="","",_xlfn.XLOOKUP(B2168,'Form responses 1'!$B$2:$B$2604,'Form responses 1'!$G$2:$G$2604,""))</f>
        <v/>
      </c>
      <c r="K2168" s="56"/>
      <c r="L2168" s="58" t="str">
        <f t="shared" si="7"/>
        <v/>
      </c>
      <c r="M2168" s="49"/>
      <c r="N2168" s="49"/>
      <c r="O2168" s="49"/>
      <c r="P2168" s="49"/>
      <c r="Q2168" s="49"/>
      <c r="R2168" s="49"/>
      <c r="S2168" s="49"/>
      <c r="T2168" s="49"/>
      <c r="U2168" s="49"/>
      <c r="V2168" s="49"/>
      <c r="W2168" s="56"/>
      <c r="X2168" s="51" t="str">
        <f t="shared" si="5"/>
        <v/>
      </c>
      <c r="Y2168" s="50" t="s">
        <v>482</v>
      </c>
      <c r="Z2168" s="49">
        <f t="shared" si="6"/>
        <v>0</v>
      </c>
    </row>
    <row r="2169" ht="22.5" customHeight="1">
      <c r="B2169" s="57"/>
      <c r="C2169" s="43" t="str">
        <f t="array" ref="C2169">IF(B2169="","",_xlfn.XLOOKUP(B2169,'Form responses 1'!$B$2:$B$2604,'Form responses 1'!$A$2:$A$2604,""))</f>
        <v/>
      </c>
      <c r="D2169" s="44" t="str">
        <f t="shared" si="3"/>
        <v/>
      </c>
      <c r="E2169" s="44" t="str">
        <f t="array" ref="E2169">IF(B2169="","",_xlfn.XLOOKUP(B2169,'Form responses 1'!$B$2:$B$2604,'Form responses 1'!$C$2:$C$2604,""))</f>
        <v/>
      </c>
      <c r="F2169" s="44" t="str">
        <f t="array" ref="F2169">IF(B2169="","",_xlfn.XLOOKUP(B2169,'Form responses 1'!$B$2:$B$2604,'Form responses 1'!$D$2:$D$2604,""))</f>
        <v/>
      </c>
      <c r="G2169" s="44" t="str">
        <f t="array" ref="G2169">IF(B2169="","",_xlfn.XLOOKUP(B2169,'Form responses 1'!$B$2:$B$2604,'Form responses 1'!$E$2:$E$2604,""))</f>
        <v/>
      </c>
      <c r="H2169" s="44" t="str">
        <f t="array" ref="H2169">IF(B2169="","",_xlfn.XLOOKUP(B2169,'Form responses 1'!$B$2:$B$2604,'Form responses 1'!$F$2:$F$2604,""))</f>
        <v/>
      </c>
      <c r="I2169" s="44" t="str">
        <f t="array" ref="I2169">IF(B2169="","",_xlfn.XLOOKUP(B2169,'Form responses 1'!$B$2:$B$2604,'Form responses 1'!$I$2:$I$2604,""))</f>
        <v/>
      </c>
      <c r="J2169" s="44" t="str">
        <f t="array" ref="J2169">IF(B2169="","",_xlfn.XLOOKUP(B2169,'Form responses 1'!$B$2:$B$2604,'Form responses 1'!$G$2:$G$2604,""))</f>
        <v/>
      </c>
      <c r="K2169" s="56"/>
      <c r="L2169" s="58" t="str">
        <f t="shared" si="7"/>
        <v/>
      </c>
      <c r="M2169" s="49"/>
      <c r="N2169" s="49"/>
      <c r="O2169" s="49"/>
      <c r="P2169" s="49"/>
      <c r="Q2169" s="49"/>
      <c r="R2169" s="49"/>
      <c r="S2169" s="49"/>
      <c r="T2169" s="49"/>
      <c r="U2169" s="49"/>
      <c r="V2169" s="49"/>
      <c r="W2169" s="56"/>
      <c r="X2169" s="51" t="str">
        <f t="shared" si="5"/>
        <v/>
      </c>
      <c r="Y2169" s="50" t="s">
        <v>482</v>
      </c>
      <c r="Z2169" s="49">
        <f t="shared" si="6"/>
        <v>0</v>
      </c>
    </row>
    <row r="2170" ht="22.5" customHeight="1">
      <c r="B2170" s="57"/>
      <c r="C2170" s="43" t="str">
        <f t="array" ref="C2170">IF(B2170="","",_xlfn.XLOOKUP(B2170,'Form responses 1'!$B$2:$B$2604,'Form responses 1'!$A$2:$A$2604,""))</f>
        <v/>
      </c>
      <c r="D2170" s="44" t="str">
        <f t="shared" si="3"/>
        <v/>
      </c>
      <c r="E2170" s="44" t="str">
        <f t="array" ref="E2170">IF(B2170="","",_xlfn.XLOOKUP(B2170,'Form responses 1'!$B$2:$B$2604,'Form responses 1'!$C$2:$C$2604,""))</f>
        <v/>
      </c>
      <c r="F2170" s="44" t="str">
        <f t="array" ref="F2170">IF(B2170="","",_xlfn.XLOOKUP(B2170,'Form responses 1'!$B$2:$B$2604,'Form responses 1'!$D$2:$D$2604,""))</f>
        <v/>
      </c>
      <c r="G2170" s="44" t="str">
        <f t="array" ref="G2170">IF(B2170="","",_xlfn.XLOOKUP(B2170,'Form responses 1'!$B$2:$B$2604,'Form responses 1'!$E$2:$E$2604,""))</f>
        <v/>
      </c>
      <c r="H2170" s="44" t="str">
        <f t="array" ref="H2170">IF(B2170="","",_xlfn.XLOOKUP(B2170,'Form responses 1'!$B$2:$B$2604,'Form responses 1'!$F$2:$F$2604,""))</f>
        <v/>
      </c>
      <c r="I2170" s="44" t="str">
        <f t="array" ref="I2170">IF(B2170="","",_xlfn.XLOOKUP(B2170,'Form responses 1'!$B$2:$B$2604,'Form responses 1'!$I$2:$I$2604,""))</f>
        <v/>
      </c>
      <c r="J2170" s="44" t="str">
        <f t="array" ref="J2170">IF(B2170="","",_xlfn.XLOOKUP(B2170,'Form responses 1'!$B$2:$B$2604,'Form responses 1'!$G$2:$G$2604,""))</f>
        <v/>
      </c>
      <c r="K2170" s="56"/>
      <c r="L2170" s="58" t="str">
        <f t="shared" si="7"/>
        <v/>
      </c>
      <c r="M2170" s="49"/>
      <c r="N2170" s="49"/>
      <c r="O2170" s="49"/>
      <c r="P2170" s="49"/>
      <c r="Q2170" s="49"/>
      <c r="R2170" s="49"/>
      <c r="S2170" s="49"/>
      <c r="T2170" s="49"/>
      <c r="U2170" s="49"/>
      <c r="V2170" s="49"/>
      <c r="W2170" s="56"/>
      <c r="X2170" s="51" t="str">
        <f t="shared" si="5"/>
        <v/>
      </c>
      <c r="Y2170" s="50" t="s">
        <v>482</v>
      </c>
      <c r="Z2170" s="49">
        <f t="shared" si="6"/>
        <v>0</v>
      </c>
    </row>
    <row r="2171" ht="22.5" customHeight="1">
      <c r="B2171" s="57"/>
      <c r="C2171" s="43" t="str">
        <f t="array" ref="C2171">IF(B2171="","",_xlfn.XLOOKUP(B2171,'Form responses 1'!$B$2:$B$2604,'Form responses 1'!$A$2:$A$2604,""))</f>
        <v/>
      </c>
      <c r="D2171" s="44" t="str">
        <f t="shared" si="3"/>
        <v/>
      </c>
      <c r="E2171" s="44" t="str">
        <f t="array" ref="E2171">IF(B2171="","",_xlfn.XLOOKUP(B2171,'Form responses 1'!$B$2:$B$2604,'Form responses 1'!$C$2:$C$2604,""))</f>
        <v/>
      </c>
      <c r="F2171" s="44" t="str">
        <f t="array" ref="F2171">IF(B2171="","",_xlfn.XLOOKUP(B2171,'Form responses 1'!$B$2:$B$2604,'Form responses 1'!$D$2:$D$2604,""))</f>
        <v/>
      </c>
      <c r="G2171" s="44" t="str">
        <f t="array" ref="G2171">IF(B2171="","",_xlfn.XLOOKUP(B2171,'Form responses 1'!$B$2:$B$2604,'Form responses 1'!$E$2:$E$2604,""))</f>
        <v/>
      </c>
      <c r="H2171" s="44" t="str">
        <f t="array" ref="H2171">IF(B2171="","",_xlfn.XLOOKUP(B2171,'Form responses 1'!$B$2:$B$2604,'Form responses 1'!$F$2:$F$2604,""))</f>
        <v/>
      </c>
      <c r="I2171" s="44" t="str">
        <f t="array" ref="I2171">IF(B2171="","",_xlfn.XLOOKUP(B2171,'Form responses 1'!$B$2:$B$2604,'Form responses 1'!$I$2:$I$2604,""))</f>
        <v/>
      </c>
      <c r="J2171" s="44" t="str">
        <f t="array" ref="J2171">IF(B2171="","",_xlfn.XLOOKUP(B2171,'Form responses 1'!$B$2:$B$2604,'Form responses 1'!$G$2:$G$2604,""))</f>
        <v/>
      </c>
      <c r="K2171" s="56"/>
      <c r="L2171" s="58" t="str">
        <f t="shared" si="7"/>
        <v/>
      </c>
      <c r="M2171" s="49"/>
      <c r="N2171" s="49"/>
      <c r="O2171" s="49"/>
      <c r="P2171" s="49"/>
      <c r="Q2171" s="49"/>
      <c r="R2171" s="49"/>
      <c r="S2171" s="49"/>
      <c r="T2171" s="49"/>
      <c r="U2171" s="49"/>
      <c r="V2171" s="49"/>
      <c r="W2171" s="56"/>
      <c r="X2171" s="51" t="str">
        <f t="shared" si="5"/>
        <v/>
      </c>
      <c r="Y2171" s="50" t="s">
        <v>482</v>
      </c>
      <c r="Z2171" s="49">
        <f t="shared" si="6"/>
        <v>0</v>
      </c>
    </row>
    <row r="2172" ht="22.5" customHeight="1">
      <c r="B2172" s="57"/>
      <c r="C2172" s="43" t="str">
        <f t="array" ref="C2172">IF(B2172="","",_xlfn.XLOOKUP(B2172,'Form responses 1'!$B$2:$B$2604,'Form responses 1'!$A$2:$A$2604,""))</f>
        <v/>
      </c>
      <c r="D2172" s="44" t="str">
        <f t="shared" si="3"/>
        <v/>
      </c>
      <c r="E2172" s="44" t="str">
        <f t="array" ref="E2172">IF(B2172="","",_xlfn.XLOOKUP(B2172,'Form responses 1'!$B$2:$B$2604,'Form responses 1'!$C$2:$C$2604,""))</f>
        <v/>
      </c>
      <c r="F2172" s="44" t="str">
        <f t="array" ref="F2172">IF(B2172="","",_xlfn.XLOOKUP(B2172,'Form responses 1'!$B$2:$B$2604,'Form responses 1'!$D$2:$D$2604,""))</f>
        <v/>
      </c>
      <c r="G2172" s="44" t="str">
        <f t="array" ref="G2172">IF(B2172="","",_xlfn.XLOOKUP(B2172,'Form responses 1'!$B$2:$B$2604,'Form responses 1'!$E$2:$E$2604,""))</f>
        <v/>
      </c>
      <c r="H2172" s="44" t="str">
        <f t="array" ref="H2172">IF(B2172="","",_xlfn.XLOOKUP(B2172,'Form responses 1'!$B$2:$B$2604,'Form responses 1'!$F$2:$F$2604,""))</f>
        <v/>
      </c>
      <c r="I2172" s="44" t="str">
        <f t="array" ref="I2172">IF(B2172="","",_xlfn.XLOOKUP(B2172,'Form responses 1'!$B$2:$B$2604,'Form responses 1'!$I$2:$I$2604,""))</f>
        <v/>
      </c>
      <c r="J2172" s="44" t="str">
        <f t="array" ref="J2172">IF(B2172="","",_xlfn.XLOOKUP(B2172,'Form responses 1'!$B$2:$B$2604,'Form responses 1'!$G$2:$G$2604,""))</f>
        <v/>
      </c>
      <c r="K2172" s="56"/>
      <c r="L2172" s="58" t="str">
        <f t="shared" si="7"/>
        <v/>
      </c>
      <c r="M2172" s="49"/>
      <c r="N2172" s="49"/>
      <c r="O2172" s="49"/>
      <c r="P2172" s="49"/>
      <c r="Q2172" s="49"/>
      <c r="R2172" s="49"/>
      <c r="S2172" s="49"/>
      <c r="T2172" s="49"/>
      <c r="U2172" s="49"/>
      <c r="V2172" s="49"/>
      <c r="W2172" s="56"/>
      <c r="X2172" s="51" t="str">
        <f t="shared" si="5"/>
        <v/>
      </c>
      <c r="Y2172" s="50" t="s">
        <v>482</v>
      </c>
      <c r="Z2172" s="49">
        <f t="shared" si="6"/>
        <v>0</v>
      </c>
    </row>
    <row r="2173" ht="22.5" customHeight="1">
      <c r="B2173" s="57"/>
      <c r="C2173" s="43" t="str">
        <f t="array" ref="C2173">IF(B2173="","",_xlfn.XLOOKUP(B2173,'Form responses 1'!$B$2:$B$2604,'Form responses 1'!$A$2:$A$2604,""))</f>
        <v/>
      </c>
      <c r="D2173" s="44" t="str">
        <f t="shared" si="3"/>
        <v/>
      </c>
      <c r="E2173" s="44" t="str">
        <f t="array" ref="E2173">IF(B2173="","",_xlfn.XLOOKUP(B2173,'Form responses 1'!$B$2:$B$2604,'Form responses 1'!$C$2:$C$2604,""))</f>
        <v/>
      </c>
      <c r="F2173" s="44" t="str">
        <f t="array" ref="F2173">IF(B2173="","",_xlfn.XLOOKUP(B2173,'Form responses 1'!$B$2:$B$2604,'Form responses 1'!$D$2:$D$2604,""))</f>
        <v/>
      </c>
      <c r="G2173" s="44" t="str">
        <f t="array" ref="G2173">IF(B2173="","",_xlfn.XLOOKUP(B2173,'Form responses 1'!$B$2:$B$2604,'Form responses 1'!$E$2:$E$2604,""))</f>
        <v/>
      </c>
      <c r="H2173" s="44" t="str">
        <f t="array" ref="H2173">IF(B2173="","",_xlfn.XLOOKUP(B2173,'Form responses 1'!$B$2:$B$2604,'Form responses 1'!$F$2:$F$2604,""))</f>
        <v/>
      </c>
      <c r="I2173" s="44" t="str">
        <f t="array" ref="I2173">IF(B2173="","",_xlfn.XLOOKUP(B2173,'Form responses 1'!$B$2:$B$2604,'Form responses 1'!$I$2:$I$2604,""))</f>
        <v/>
      </c>
      <c r="J2173" s="44" t="str">
        <f t="array" ref="J2173">IF(B2173="","",_xlfn.XLOOKUP(B2173,'Form responses 1'!$B$2:$B$2604,'Form responses 1'!$G$2:$G$2604,""))</f>
        <v/>
      </c>
      <c r="K2173" s="56"/>
      <c r="L2173" s="58" t="str">
        <f t="shared" si="7"/>
        <v/>
      </c>
      <c r="M2173" s="49"/>
      <c r="N2173" s="49"/>
      <c r="O2173" s="49"/>
      <c r="P2173" s="49"/>
      <c r="Q2173" s="49"/>
      <c r="R2173" s="49"/>
      <c r="S2173" s="49"/>
      <c r="T2173" s="49"/>
      <c r="U2173" s="49"/>
      <c r="V2173" s="49"/>
      <c r="W2173" s="56"/>
      <c r="X2173" s="51" t="str">
        <f t="shared" si="5"/>
        <v/>
      </c>
      <c r="Y2173" s="50" t="s">
        <v>482</v>
      </c>
      <c r="Z2173" s="49">
        <f t="shared" si="6"/>
        <v>0</v>
      </c>
    </row>
    <row r="2174" ht="22.5" customHeight="1">
      <c r="B2174" s="57"/>
      <c r="C2174" s="43" t="str">
        <f t="array" ref="C2174">IF(B2174="","",_xlfn.XLOOKUP(B2174,'Form responses 1'!$B$2:$B$2604,'Form responses 1'!$A$2:$A$2604,""))</f>
        <v/>
      </c>
      <c r="D2174" s="44" t="str">
        <f t="shared" si="3"/>
        <v/>
      </c>
      <c r="E2174" s="44" t="str">
        <f t="array" ref="E2174">IF(B2174="","",_xlfn.XLOOKUP(B2174,'Form responses 1'!$B$2:$B$2604,'Form responses 1'!$C$2:$C$2604,""))</f>
        <v/>
      </c>
      <c r="F2174" s="44" t="str">
        <f t="array" ref="F2174">IF(B2174="","",_xlfn.XLOOKUP(B2174,'Form responses 1'!$B$2:$B$2604,'Form responses 1'!$D$2:$D$2604,""))</f>
        <v/>
      </c>
      <c r="G2174" s="44" t="str">
        <f t="array" ref="G2174">IF(B2174="","",_xlfn.XLOOKUP(B2174,'Form responses 1'!$B$2:$B$2604,'Form responses 1'!$E$2:$E$2604,""))</f>
        <v/>
      </c>
      <c r="H2174" s="44" t="str">
        <f t="array" ref="H2174">IF(B2174="","",_xlfn.XLOOKUP(B2174,'Form responses 1'!$B$2:$B$2604,'Form responses 1'!$F$2:$F$2604,""))</f>
        <v/>
      </c>
      <c r="I2174" s="44" t="str">
        <f t="array" ref="I2174">IF(B2174="","",_xlfn.XLOOKUP(B2174,'Form responses 1'!$B$2:$B$2604,'Form responses 1'!$I$2:$I$2604,""))</f>
        <v/>
      </c>
      <c r="J2174" s="44" t="str">
        <f t="array" ref="J2174">IF(B2174="","",_xlfn.XLOOKUP(B2174,'Form responses 1'!$B$2:$B$2604,'Form responses 1'!$G$2:$G$2604,""))</f>
        <v/>
      </c>
      <c r="K2174" s="56"/>
      <c r="L2174" s="58" t="str">
        <f t="shared" si="7"/>
        <v/>
      </c>
      <c r="M2174" s="49"/>
      <c r="N2174" s="49"/>
      <c r="O2174" s="49"/>
      <c r="P2174" s="49"/>
      <c r="Q2174" s="49"/>
      <c r="R2174" s="49"/>
      <c r="S2174" s="49"/>
      <c r="T2174" s="49"/>
      <c r="U2174" s="49"/>
      <c r="V2174" s="49"/>
      <c r="W2174" s="56"/>
      <c r="X2174" s="51" t="str">
        <f t="shared" si="5"/>
        <v/>
      </c>
      <c r="Y2174" s="50" t="s">
        <v>482</v>
      </c>
      <c r="Z2174" s="49">
        <f t="shared" si="6"/>
        <v>0</v>
      </c>
    </row>
    <row r="2175" ht="22.5" customHeight="1">
      <c r="B2175" s="57"/>
      <c r="C2175" s="43" t="str">
        <f t="array" ref="C2175">IF(B2175="","",_xlfn.XLOOKUP(B2175,'Form responses 1'!$B$2:$B$2604,'Form responses 1'!$A$2:$A$2604,""))</f>
        <v/>
      </c>
      <c r="D2175" s="44" t="str">
        <f t="shared" si="3"/>
        <v/>
      </c>
      <c r="E2175" s="44" t="str">
        <f t="array" ref="E2175">IF(B2175="","",_xlfn.XLOOKUP(B2175,'Form responses 1'!$B$2:$B$2604,'Form responses 1'!$C$2:$C$2604,""))</f>
        <v/>
      </c>
      <c r="F2175" s="44" t="str">
        <f t="array" ref="F2175">IF(B2175="","",_xlfn.XLOOKUP(B2175,'Form responses 1'!$B$2:$B$2604,'Form responses 1'!$D$2:$D$2604,""))</f>
        <v/>
      </c>
      <c r="G2175" s="44" t="str">
        <f t="array" ref="G2175">IF(B2175="","",_xlfn.XLOOKUP(B2175,'Form responses 1'!$B$2:$B$2604,'Form responses 1'!$E$2:$E$2604,""))</f>
        <v/>
      </c>
      <c r="H2175" s="44" t="str">
        <f t="array" ref="H2175">IF(B2175="","",_xlfn.XLOOKUP(B2175,'Form responses 1'!$B$2:$B$2604,'Form responses 1'!$F$2:$F$2604,""))</f>
        <v/>
      </c>
      <c r="I2175" s="44" t="str">
        <f t="array" ref="I2175">IF(B2175="","",_xlfn.XLOOKUP(B2175,'Form responses 1'!$B$2:$B$2604,'Form responses 1'!$I$2:$I$2604,""))</f>
        <v/>
      </c>
      <c r="J2175" s="44" t="str">
        <f t="array" ref="J2175">IF(B2175="","",_xlfn.XLOOKUP(B2175,'Form responses 1'!$B$2:$B$2604,'Form responses 1'!$G$2:$G$2604,""))</f>
        <v/>
      </c>
      <c r="K2175" s="56"/>
      <c r="L2175" s="58" t="str">
        <f t="shared" si="7"/>
        <v/>
      </c>
      <c r="M2175" s="49"/>
      <c r="N2175" s="49"/>
      <c r="O2175" s="49"/>
      <c r="P2175" s="49"/>
      <c r="Q2175" s="49"/>
      <c r="R2175" s="49"/>
      <c r="S2175" s="49"/>
      <c r="T2175" s="49"/>
      <c r="U2175" s="49"/>
      <c r="V2175" s="49"/>
      <c r="W2175" s="56"/>
      <c r="X2175" s="51" t="str">
        <f t="shared" si="5"/>
        <v/>
      </c>
      <c r="Y2175" s="50" t="s">
        <v>482</v>
      </c>
      <c r="Z2175" s="49">
        <f t="shared" si="6"/>
        <v>0</v>
      </c>
    </row>
    <row r="2176" ht="22.5" customHeight="1">
      <c r="B2176" s="57"/>
      <c r="C2176" s="43" t="str">
        <f t="array" ref="C2176">IF(B2176="","",_xlfn.XLOOKUP(B2176,'Form responses 1'!$B$2:$B$2604,'Form responses 1'!$A$2:$A$2604,""))</f>
        <v/>
      </c>
      <c r="D2176" s="44" t="str">
        <f t="shared" si="3"/>
        <v/>
      </c>
      <c r="E2176" s="44" t="str">
        <f t="array" ref="E2176">IF(B2176="","",_xlfn.XLOOKUP(B2176,'Form responses 1'!$B$2:$B$2604,'Form responses 1'!$C$2:$C$2604,""))</f>
        <v/>
      </c>
      <c r="F2176" s="44" t="str">
        <f t="array" ref="F2176">IF(B2176="","",_xlfn.XLOOKUP(B2176,'Form responses 1'!$B$2:$B$2604,'Form responses 1'!$D$2:$D$2604,""))</f>
        <v/>
      </c>
      <c r="G2176" s="44" t="str">
        <f t="array" ref="G2176">IF(B2176="","",_xlfn.XLOOKUP(B2176,'Form responses 1'!$B$2:$B$2604,'Form responses 1'!$E$2:$E$2604,""))</f>
        <v/>
      </c>
      <c r="H2176" s="44" t="str">
        <f t="array" ref="H2176">IF(B2176="","",_xlfn.XLOOKUP(B2176,'Form responses 1'!$B$2:$B$2604,'Form responses 1'!$F$2:$F$2604,""))</f>
        <v/>
      </c>
      <c r="I2176" s="44" t="str">
        <f t="array" ref="I2176">IF(B2176="","",_xlfn.XLOOKUP(B2176,'Form responses 1'!$B$2:$B$2604,'Form responses 1'!$I$2:$I$2604,""))</f>
        <v/>
      </c>
      <c r="J2176" s="44" t="str">
        <f t="array" ref="J2176">IF(B2176="","",_xlfn.XLOOKUP(B2176,'Form responses 1'!$B$2:$B$2604,'Form responses 1'!$G$2:$G$2604,""))</f>
        <v/>
      </c>
      <c r="K2176" s="56"/>
      <c r="L2176" s="58" t="str">
        <f t="shared" si="7"/>
        <v/>
      </c>
      <c r="M2176" s="49"/>
      <c r="N2176" s="49"/>
      <c r="O2176" s="49"/>
      <c r="P2176" s="49"/>
      <c r="Q2176" s="49"/>
      <c r="R2176" s="49"/>
      <c r="S2176" s="49"/>
      <c r="T2176" s="49"/>
      <c r="U2176" s="49"/>
      <c r="V2176" s="49"/>
      <c r="W2176" s="56"/>
      <c r="X2176" s="51" t="str">
        <f t="shared" si="5"/>
        <v/>
      </c>
      <c r="Y2176" s="50" t="s">
        <v>482</v>
      </c>
      <c r="Z2176" s="49">
        <f t="shared" si="6"/>
        <v>0</v>
      </c>
    </row>
    <row r="2177" ht="22.5" customHeight="1">
      <c r="B2177" s="57"/>
      <c r="C2177" s="43" t="str">
        <f t="array" ref="C2177">IF(B2177="","",_xlfn.XLOOKUP(B2177,'Form responses 1'!$B$2:$B$2604,'Form responses 1'!$A$2:$A$2604,""))</f>
        <v/>
      </c>
      <c r="D2177" s="44" t="str">
        <f t="shared" si="3"/>
        <v/>
      </c>
      <c r="E2177" s="44" t="str">
        <f t="array" ref="E2177">IF(B2177="","",_xlfn.XLOOKUP(B2177,'Form responses 1'!$B$2:$B$2604,'Form responses 1'!$C$2:$C$2604,""))</f>
        <v/>
      </c>
      <c r="F2177" s="44" t="str">
        <f t="array" ref="F2177">IF(B2177="","",_xlfn.XLOOKUP(B2177,'Form responses 1'!$B$2:$B$2604,'Form responses 1'!$D$2:$D$2604,""))</f>
        <v/>
      </c>
      <c r="G2177" s="44" t="str">
        <f t="array" ref="G2177">IF(B2177="","",_xlfn.XLOOKUP(B2177,'Form responses 1'!$B$2:$B$2604,'Form responses 1'!$E$2:$E$2604,""))</f>
        <v/>
      </c>
      <c r="H2177" s="44" t="str">
        <f t="array" ref="H2177">IF(B2177="","",_xlfn.XLOOKUP(B2177,'Form responses 1'!$B$2:$B$2604,'Form responses 1'!$F$2:$F$2604,""))</f>
        <v/>
      </c>
      <c r="I2177" s="44" t="str">
        <f t="array" ref="I2177">IF(B2177="","",_xlfn.XLOOKUP(B2177,'Form responses 1'!$B$2:$B$2604,'Form responses 1'!$I$2:$I$2604,""))</f>
        <v/>
      </c>
      <c r="J2177" s="44" t="str">
        <f t="array" ref="J2177">IF(B2177="","",_xlfn.XLOOKUP(B2177,'Form responses 1'!$B$2:$B$2604,'Form responses 1'!$G$2:$G$2604,""))</f>
        <v/>
      </c>
      <c r="K2177" s="56"/>
      <c r="L2177" s="58" t="str">
        <f t="shared" si="7"/>
        <v/>
      </c>
      <c r="M2177" s="49"/>
      <c r="N2177" s="49"/>
      <c r="O2177" s="49"/>
      <c r="P2177" s="49"/>
      <c r="Q2177" s="49"/>
      <c r="R2177" s="49"/>
      <c r="S2177" s="49"/>
      <c r="T2177" s="49"/>
      <c r="U2177" s="49"/>
      <c r="V2177" s="49"/>
      <c r="W2177" s="56"/>
      <c r="X2177" s="51" t="str">
        <f t="shared" si="5"/>
        <v/>
      </c>
      <c r="Y2177" s="50" t="s">
        <v>482</v>
      </c>
      <c r="Z2177" s="49">
        <f t="shared" si="6"/>
        <v>0</v>
      </c>
    </row>
    <row r="2178" ht="22.5" customHeight="1">
      <c r="B2178" s="57"/>
      <c r="C2178" s="43" t="str">
        <f t="array" ref="C2178">IF(B2178="","",_xlfn.XLOOKUP(B2178,'Form responses 1'!$B$2:$B$2604,'Form responses 1'!$A$2:$A$2604,""))</f>
        <v/>
      </c>
      <c r="D2178" s="44" t="str">
        <f t="shared" si="3"/>
        <v/>
      </c>
      <c r="E2178" s="44" t="str">
        <f t="array" ref="E2178">IF(B2178="","",_xlfn.XLOOKUP(B2178,'Form responses 1'!$B$2:$B$2604,'Form responses 1'!$C$2:$C$2604,""))</f>
        <v/>
      </c>
      <c r="F2178" s="44" t="str">
        <f t="array" ref="F2178">IF(B2178="","",_xlfn.XLOOKUP(B2178,'Form responses 1'!$B$2:$B$2604,'Form responses 1'!$D$2:$D$2604,""))</f>
        <v/>
      </c>
      <c r="G2178" s="44" t="str">
        <f t="array" ref="G2178">IF(B2178="","",_xlfn.XLOOKUP(B2178,'Form responses 1'!$B$2:$B$2604,'Form responses 1'!$E$2:$E$2604,""))</f>
        <v/>
      </c>
      <c r="H2178" s="44" t="str">
        <f t="array" ref="H2178">IF(B2178="","",_xlfn.XLOOKUP(B2178,'Form responses 1'!$B$2:$B$2604,'Form responses 1'!$F$2:$F$2604,""))</f>
        <v/>
      </c>
      <c r="I2178" s="44" t="str">
        <f t="array" ref="I2178">IF(B2178="","",_xlfn.XLOOKUP(B2178,'Form responses 1'!$B$2:$B$2604,'Form responses 1'!$I$2:$I$2604,""))</f>
        <v/>
      </c>
      <c r="J2178" s="44" t="str">
        <f t="array" ref="J2178">IF(B2178="","",_xlfn.XLOOKUP(B2178,'Form responses 1'!$B$2:$B$2604,'Form responses 1'!$G$2:$G$2604,""))</f>
        <v/>
      </c>
      <c r="K2178" s="56"/>
      <c r="L2178" s="58" t="str">
        <f t="shared" si="7"/>
        <v/>
      </c>
      <c r="M2178" s="49"/>
      <c r="N2178" s="49"/>
      <c r="O2178" s="49"/>
      <c r="P2178" s="49"/>
      <c r="Q2178" s="49"/>
      <c r="R2178" s="49"/>
      <c r="S2178" s="49"/>
      <c r="T2178" s="49"/>
      <c r="U2178" s="49"/>
      <c r="V2178" s="49"/>
      <c r="W2178" s="56"/>
      <c r="X2178" s="51" t="str">
        <f t="shared" si="5"/>
        <v/>
      </c>
      <c r="Y2178" s="50" t="s">
        <v>482</v>
      </c>
      <c r="Z2178" s="49">
        <f t="shared" si="6"/>
        <v>0</v>
      </c>
    </row>
    <row r="2179" ht="22.5" customHeight="1">
      <c r="B2179" s="57"/>
      <c r="C2179" s="43" t="str">
        <f t="array" ref="C2179">IF(B2179="","",_xlfn.XLOOKUP(B2179,'Form responses 1'!$B$2:$B$2604,'Form responses 1'!$A$2:$A$2604,""))</f>
        <v/>
      </c>
      <c r="D2179" s="44" t="str">
        <f t="shared" si="3"/>
        <v/>
      </c>
      <c r="E2179" s="44" t="str">
        <f t="array" ref="E2179">IF(B2179="","",_xlfn.XLOOKUP(B2179,'Form responses 1'!$B$2:$B$2604,'Form responses 1'!$C$2:$C$2604,""))</f>
        <v/>
      </c>
      <c r="F2179" s="44" t="str">
        <f t="array" ref="F2179">IF(B2179="","",_xlfn.XLOOKUP(B2179,'Form responses 1'!$B$2:$B$2604,'Form responses 1'!$D$2:$D$2604,""))</f>
        <v/>
      </c>
      <c r="G2179" s="44" t="str">
        <f t="array" ref="G2179">IF(B2179="","",_xlfn.XLOOKUP(B2179,'Form responses 1'!$B$2:$B$2604,'Form responses 1'!$E$2:$E$2604,""))</f>
        <v/>
      </c>
      <c r="H2179" s="44" t="str">
        <f t="array" ref="H2179">IF(B2179="","",_xlfn.XLOOKUP(B2179,'Form responses 1'!$B$2:$B$2604,'Form responses 1'!$F$2:$F$2604,""))</f>
        <v/>
      </c>
      <c r="I2179" s="44" t="str">
        <f t="array" ref="I2179">IF(B2179="","",_xlfn.XLOOKUP(B2179,'Form responses 1'!$B$2:$B$2604,'Form responses 1'!$I$2:$I$2604,""))</f>
        <v/>
      </c>
      <c r="J2179" s="44" t="str">
        <f t="array" ref="J2179">IF(B2179="","",_xlfn.XLOOKUP(B2179,'Form responses 1'!$B$2:$B$2604,'Form responses 1'!$G$2:$G$2604,""))</f>
        <v/>
      </c>
      <c r="K2179" s="56"/>
      <c r="L2179" s="58" t="str">
        <f t="shared" si="7"/>
        <v/>
      </c>
      <c r="M2179" s="49"/>
      <c r="N2179" s="49"/>
      <c r="O2179" s="49"/>
      <c r="P2179" s="49"/>
      <c r="Q2179" s="49"/>
      <c r="R2179" s="49"/>
      <c r="S2179" s="49"/>
      <c r="T2179" s="49"/>
      <c r="U2179" s="49"/>
      <c r="V2179" s="49"/>
      <c r="W2179" s="56"/>
      <c r="X2179" s="51" t="str">
        <f t="shared" si="5"/>
        <v/>
      </c>
      <c r="Y2179" s="50" t="s">
        <v>482</v>
      </c>
      <c r="Z2179" s="49">
        <f t="shared" si="6"/>
        <v>0</v>
      </c>
    </row>
    <row r="2180" ht="22.5" customHeight="1">
      <c r="B2180" s="57"/>
      <c r="C2180" s="43" t="str">
        <f t="array" ref="C2180">IF(B2180="","",_xlfn.XLOOKUP(B2180,'Form responses 1'!$B$2:$B$2604,'Form responses 1'!$A$2:$A$2604,""))</f>
        <v/>
      </c>
      <c r="D2180" s="44" t="str">
        <f t="shared" si="3"/>
        <v/>
      </c>
      <c r="E2180" s="44" t="str">
        <f t="array" ref="E2180">IF(B2180="","",_xlfn.XLOOKUP(B2180,'Form responses 1'!$B$2:$B$2604,'Form responses 1'!$C$2:$C$2604,""))</f>
        <v/>
      </c>
      <c r="F2180" s="44" t="str">
        <f t="array" ref="F2180">IF(B2180="","",_xlfn.XLOOKUP(B2180,'Form responses 1'!$B$2:$B$2604,'Form responses 1'!$D$2:$D$2604,""))</f>
        <v/>
      </c>
      <c r="G2180" s="44" t="str">
        <f t="array" ref="G2180">IF(B2180="","",_xlfn.XLOOKUP(B2180,'Form responses 1'!$B$2:$B$2604,'Form responses 1'!$E$2:$E$2604,""))</f>
        <v/>
      </c>
      <c r="H2180" s="44" t="str">
        <f t="array" ref="H2180">IF(B2180="","",_xlfn.XLOOKUP(B2180,'Form responses 1'!$B$2:$B$2604,'Form responses 1'!$F$2:$F$2604,""))</f>
        <v/>
      </c>
      <c r="I2180" s="44" t="str">
        <f t="array" ref="I2180">IF(B2180="","",_xlfn.XLOOKUP(B2180,'Form responses 1'!$B$2:$B$2604,'Form responses 1'!$I$2:$I$2604,""))</f>
        <v/>
      </c>
      <c r="J2180" s="44" t="str">
        <f t="array" ref="J2180">IF(B2180="","",_xlfn.XLOOKUP(B2180,'Form responses 1'!$B$2:$B$2604,'Form responses 1'!$G$2:$G$2604,""))</f>
        <v/>
      </c>
      <c r="K2180" s="56"/>
      <c r="L2180" s="58" t="str">
        <f t="shared" si="7"/>
        <v/>
      </c>
      <c r="M2180" s="49"/>
      <c r="N2180" s="49"/>
      <c r="O2180" s="49"/>
      <c r="P2180" s="49"/>
      <c r="Q2180" s="49"/>
      <c r="R2180" s="49"/>
      <c r="S2180" s="49"/>
      <c r="T2180" s="49"/>
      <c r="U2180" s="49"/>
      <c r="V2180" s="49"/>
      <c r="W2180" s="56"/>
      <c r="X2180" s="51" t="str">
        <f t="shared" si="5"/>
        <v/>
      </c>
      <c r="Y2180" s="50" t="s">
        <v>482</v>
      </c>
      <c r="Z2180" s="49">
        <f t="shared" si="6"/>
        <v>0</v>
      </c>
    </row>
    <row r="2181" ht="22.5" customHeight="1">
      <c r="B2181" s="57"/>
      <c r="C2181" s="43" t="str">
        <f t="array" ref="C2181">IF(B2181="","",_xlfn.XLOOKUP(B2181,'Form responses 1'!$B$2:$B$2604,'Form responses 1'!$A$2:$A$2604,""))</f>
        <v/>
      </c>
      <c r="D2181" s="44" t="str">
        <f t="shared" si="3"/>
        <v/>
      </c>
      <c r="E2181" s="44" t="str">
        <f t="array" ref="E2181">IF(B2181="","",_xlfn.XLOOKUP(B2181,'Form responses 1'!$B$2:$B$2604,'Form responses 1'!$C$2:$C$2604,""))</f>
        <v/>
      </c>
      <c r="F2181" s="44" t="str">
        <f t="array" ref="F2181">IF(B2181="","",_xlfn.XLOOKUP(B2181,'Form responses 1'!$B$2:$B$2604,'Form responses 1'!$D$2:$D$2604,""))</f>
        <v/>
      </c>
      <c r="G2181" s="44" t="str">
        <f t="array" ref="G2181">IF(B2181="","",_xlfn.XLOOKUP(B2181,'Form responses 1'!$B$2:$B$2604,'Form responses 1'!$E$2:$E$2604,""))</f>
        <v/>
      </c>
      <c r="H2181" s="44" t="str">
        <f t="array" ref="H2181">IF(B2181="","",_xlfn.XLOOKUP(B2181,'Form responses 1'!$B$2:$B$2604,'Form responses 1'!$F$2:$F$2604,""))</f>
        <v/>
      </c>
      <c r="I2181" s="44" t="str">
        <f t="array" ref="I2181">IF(B2181="","",_xlfn.XLOOKUP(B2181,'Form responses 1'!$B$2:$B$2604,'Form responses 1'!$I$2:$I$2604,""))</f>
        <v/>
      </c>
      <c r="J2181" s="44" t="str">
        <f t="array" ref="J2181">IF(B2181="","",_xlfn.XLOOKUP(B2181,'Form responses 1'!$B$2:$B$2604,'Form responses 1'!$G$2:$G$2604,""))</f>
        <v/>
      </c>
      <c r="K2181" s="56"/>
      <c r="L2181" s="58" t="str">
        <f t="shared" si="7"/>
        <v/>
      </c>
      <c r="M2181" s="49"/>
      <c r="N2181" s="49"/>
      <c r="O2181" s="49"/>
      <c r="P2181" s="49"/>
      <c r="Q2181" s="49"/>
      <c r="R2181" s="49"/>
      <c r="S2181" s="49"/>
      <c r="T2181" s="49"/>
      <c r="U2181" s="49"/>
      <c r="V2181" s="49"/>
      <c r="W2181" s="56"/>
      <c r="X2181" s="51" t="str">
        <f t="shared" si="5"/>
        <v/>
      </c>
      <c r="Y2181" s="50" t="s">
        <v>482</v>
      </c>
      <c r="Z2181" s="49">
        <f t="shared" si="6"/>
        <v>0</v>
      </c>
    </row>
    <row r="2182" ht="22.5" customHeight="1">
      <c r="B2182" s="57"/>
      <c r="C2182" s="43" t="str">
        <f t="array" ref="C2182">IF(B2182="","",_xlfn.XLOOKUP(B2182,'Form responses 1'!$B$2:$B$2604,'Form responses 1'!$A$2:$A$2604,""))</f>
        <v/>
      </c>
      <c r="D2182" s="44" t="str">
        <f t="shared" si="3"/>
        <v/>
      </c>
      <c r="E2182" s="44" t="str">
        <f t="array" ref="E2182">IF(B2182="","",_xlfn.XLOOKUP(B2182,'Form responses 1'!$B$2:$B$2604,'Form responses 1'!$C$2:$C$2604,""))</f>
        <v/>
      </c>
      <c r="F2182" s="44" t="str">
        <f t="array" ref="F2182">IF(B2182="","",_xlfn.XLOOKUP(B2182,'Form responses 1'!$B$2:$B$2604,'Form responses 1'!$D$2:$D$2604,""))</f>
        <v/>
      </c>
      <c r="G2182" s="44" t="str">
        <f t="array" ref="G2182">IF(B2182="","",_xlfn.XLOOKUP(B2182,'Form responses 1'!$B$2:$B$2604,'Form responses 1'!$E$2:$E$2604,""))</f>
        <v/>
      </c>
      <c r="H2182" s="44" t="str">
        <f t="array" ref="H2182">IF(B2182="","",_xlfn.XLOOKUP(B2182,'Form responses 1'!$B$2:$B$2604,'Form responses 1'!$F$2:$F$2604,""))</f>
        <v/>
      </c>
      <c r="I2182" s="44" t="str">
        <f t="array" ref="I2182">IF(B2182="","",_xlfn.XLOOKUP(B2182,'Form responses 1'!$B$2:$B$2604,'Form responses 1'!$I$2:$I$2604,""))</f>
        <v/>
      </c>
      <c r="J2182" s="44" t="str">
        <f t="array" ref="J2182">IF(B2182="","",_xlfn.XLOOKUP(B2182,'Form responses 1'!$B$2:$B$2604,'Form responses 1'!$G$2:$G$2604,""))</f>
        <v/>
      </c>
      <c r="K2182" s="56"/>
      <c r="L2182" s="58" t="str">
        <f t="shared" si="7"/>
        <v/>
      </c>
      <c r="M2182" s="49"/>
      <c r="N2182" s="49"/>
      <c r="O2182" s="49"/>
      <c r="P2182" s="49"/>
      <c r="Q2182" s="49"/>
      <c r="R2182" s="49"/>
      <c r="S2182" s="49"/>
      <c r="T2182" s="49"/>
      <c r="U2182" s="49"/>
      <c r="V2182" s="49"/>
      <c r="W2182" s="56"/>
      <c r="X2182" s="51" t="str">
        <f t="shared" si="5"/>
        <v/>
      </c>
      <c r="Y2182" s="50" t="s">
        <v>482</v>
      </c>
      <c r="Z2182" s="49">
        <f t="shared" si="6"/>
        <v>0</v>
      </c>
    </row>
    <row r="2183" ht="22.5" customHeight="1">
      <c r="B2183" s="57"/>
      <c r="C2183" s="43" t="str">
        <f t="array" ref="C2183">IF(B2183="","",_xlfn.XLOOKUP(B2183,'Form responses 1'!$B$2:$B$2604,'Form responses 1'!$A$2:$A$2604,""))</f>
        <v/>
      </c>
      <c r="D2183" s="44" t="str">
        <f t="shared" si="3"/>
        <v/>
      </c>
      <c r="E2183" s="44" t="str">
        <f t="array" ref="E2183">IF(B2183="","",_xlfn.XLOOKUP(B2183,'Form responses 1'!$B$2:$B$2604,'Form responses 1'!$C$2:$C$2604,""))</f>
        <v/>
      </c>
      <c r="F2183" s="44" t="str">
        <f t="array" ref="F2183">IF(B2183="","",_xlfn.XLOOKUP(B2183,'Form responses 1'!$B$2:$B$2604,'Form responses 1'!$D$2:$D$2604,""))</f>
        <v/>
      </c>
      <c r="G2183" s="44" t="str">
        <f t="array" ref="G2183">IF(B2183="","",_xlfn.XLOOKUP(B2183,'Form responses 1'!$B$2:$B$2604,'Form responses 1'!$E$2:$E$2604,""))</f>
        <v/>
      </c>
      <c r="H2183" s="44" t="str">
        <f t="array" ref="H2183">IF(B2183="","",_xlfn.XLOOKUP(B2183,'Form responses 1'!$B$2:$B$2604,'Form responses 1'!$F$2:$F$2604,""))</f>
        <v/>
      </c>
      <c r="I2183" s="44" t="str">
        <f t="array" ref="I2183">IF(B2183="","",_xlfn.XLOOKUP(B2183,'Form responses 1'!$B$2:$B$2604,'Form responses 1'!$I$2:$I$2604,""))</f>
        <v/>
      </c>
      <c r="J2183" s="44" t="str">
        <f t="array" ref="J2183">IF(B2183="","",_xlfn.XLOOKUP(B2183,'Form responses 1'!$B$2:$B$2604,'Form responses 1'!$G$2:$G$2604,""))</f>
        <v/>
      </c>
      <c r="K2183" s="56"/>
      <c r="L2183" s="58" t="str">
        <f t="shared" si="7"/>
        <v/>
      </c>
      <c r="M2183" s="49"/>
      <c r="N2183" s="49"/>
      <c r="O2183" s="49"/>
      <c r="P2183" s="49"/>
      <c r="Q2183" s="49"/>
      <c r="R2183" s="49"/>
      <c r="S2183" s="49"/>
      <c r="T2183" s="49"/>
      <c r="U2183" s="49"/>
      <c r="V2183" s="49"/>
      <c r="W2183" s="56"/>
      <c r="X2183" s="51" t="str">
        <f t="shared" si="5"/>
        <v/>
      </c>
      <c r="Y2183" s="50" t="s">
        <v>482</v>
      </c>
      <c r="Z2183" s="49">
        <f t="shared" si="6"/>
        <v>0</v>
      </c>
    </row>
    <row r="2184" ht="22.5" customHeight="1">
      <c r="B2184" s="57"/>
      <c r="C2184" s="43" t="str">
        <f t="array" ref="C2184">IF(B2184="","",_xlfn.XLOOKUP(B2184,'Form responses 1'!$B$2:$B$2604,'Form responses 1'!$A$2:$A$2604,""))</f>
        <v/>
      </c>
      <c r="D2184" s="44" t="str">
        <f t="shared" si="3"/>
        <v/>
      </c>
      <c r="E2184" s="44" t="str">
        <f t="array" ref="E2184">IF(B2184="","",_xlfn.XLOOKUP(B2184,'Form responses 1'!$B$2:$B$2604,'Form responses 1'!$C$2:$C$2604,""))</f>
        <v/>
      </c>
      <c r="F2184" s="44" t="str">
        <f t="array" ref="F2184">IF(B2184="","",_xlfn.XLOOKUP(B2184,'Form responses 1'!$B$2:$B$2604,'Form responses 1'!$D$2:$D$2604,""))</f>
        <v/>
      </c>
      <c r="G2184" s="44" t="str">
        <f t="array" ref="G2184">IF(B2184="","",_xlfn.XLOOKUP(B2184,'Form responses 1'!$B$2:$B$2604,'Form responses 1'!$E$2:$E$2604,""))</f>
        <v/>
      </c>
      <c r="H2184" s="44" t="str">
        <f t="array" ref="H2184">IF(B2184="","",_xlfn.XLOOKUP(B2184,'Form responses 1'!$B$2:$B$2604,'Form responses 1'!$F$2:$F$2604,""))</f>
        <v/>
      </c>
      <c r="I2184" s="44" t="str">
        <f t="array" ref="I2184">IF(B2184="","",_xlfn.XLOOKUP(B2184,'Form responses 1'!$B$2:$B$2604,'Form responses 1'!$I$2:$I$2604,""))</f>
        <v/>
      </c>
      <c r="J2184" s="44" t="str">
        <f t="array" ref="J2184">IF(B2184="","",_xlfn.XLOOKUP(B2184,'Form responses 1'!$B$2:$B$2604,'Form responses 1'!$G$2:$G$2604,""))</f>
        <v/>
      </c>
      <c r="K2184" s="56"/>
      <c r="L2184" s="58" t="str">
        <f t="shared" si="7"/>
        <v/>
      </c>
      <c r="M2184" s="49"/>
      <c r="N2184" s="49"/>
      <c r="O2184" s="49"/>
      <c r="P2184" s="49"/>
      <c r="Q2184" s="49"/>
      <c r="R2184" s="49"/>
      <c r="S2184" s="49"/>
      <c r="T2184" s="49"/>
      <c r="U2184" s="49"/>
      <c r="V2184" s="49"/>
      <c r="W2184" s="56"/>
      <c r="X2184" s="51" t="str">
        <f t="shared" si="5"/>
        <v/>
      </c>
      <c r="Y2184" s="50" t="s">
        <v>482</v>
      </c>
      <c r="Z2184" s="49">
        <f t="shared" si="6"/>
        <v>0</v>
      </c>
    </row>
    <row r="2185" ht="22.5" customHeight="1">
      <c r="B2185" s="57"/>
      <c r="C2185" s="43" t="str">
        <f t="array" ref="C2185">IF(B2185="","",_xlfn.XLOOKUP(B2185,'Form responses 1'!$B$2:$B$2604,'Form responses 1'!$A$2:$A$2604,""))</f>
        <v/>
      </c>
      <c r="D2185" s="44" t="str">
        <f t="shared" si="3"/>
        <v/>
      </c>
      <c r="E2185" s="44" t="str">
        <f t="array" ref="E2185">IF(B2185="","",_xlfn.XLOOKUP(B2185,'Form responses 1'!$B$2:$B$2604,'Form responses 1'!$C$2:$C$2604,""))</f>
        <v/>
      </c>
      <c r="F2185" s="44" t="str">
        <f t="array" ref="F2185">IF(B2185="","",_xlfn.XLOOKUP(B2185,'Form responses 1'!$B$2:$B$2604,'Form responses 1'!$D$2:$D$2604,""))</f>
        <v/>
      </c>
      <c r="G2185" s="44" t="str">
        <f t="array" ref="G2185">IF(B2185="","",_xlfn.XLOOKUP(B2185,'Form responses 1'!$B$2:$B$2604,'Form responses 1'!$E$2:$E$2604,""))</f>
        <v/>
      </c>
      <c r="H2185" s="44" t="str">
        <f t="array" ref="H2185">IF(B2185="","",_xlfn.XLOOKUP(B2185,'Form responses 1'!$B$2:$B$2604,'Form responses 1'!$F$2:$F$2604,""))</f>
        <v/>
      </c>
      <c r="I2185" s="44" t="str">
        <f t="array" ref="I2185">IF(B2185="","",_xlfn.XLOOKUP(B2185,'Form responses 1'!$B$2:$B$2604,'Form responses 1'!$I$2:$I$2604,""))</f>
        <v/>
      </c>
      <c r="J2185" s="44" t="str">
        <f t="array" ref="J2185">IF(B2185="","",_xlfn.XLOOKUP(B2185,'Form responses 1'!$B$2:$B$2604,'Form responses 1'!$G$2:$G$2604,""))</f>
        <v/>
      </c>
      <c r="K2185" s="56"/>
      <c r="L2185" s="58" t="str">
        <f t="shared" si="7"/>
        <v/>
      </c>
      <c r="M2185" s="49"/>
      <c r="N2185" s="49"/>
      <c r="O2185" s="49"/>
      <c r="P2185" s="49"/>
      <c r="Q2185" s="49"/>
      <c r="R2185" s="49"/>
      <c r="S2185" s="49"/>
      <c r="T2185" s="49"/>
      <c r="U2185" s="49"/>
      <c r="V2185" s="49"/>
      <c r="W2185" s="56"/>
      <c r="X2185" s="51" t="str">
        <f t="shared" si="5"/>
        <v/>
      </c>
      <c r="Y2185" s="50" t="s">
        <v>482</v>
      </c>
      <c r="Z2185" s="49">
        <f t="shared" si="6"/>
        <v>0</v>
      </c>
    </row>
    <row r="2186" ht="22.5" customHeight="1">
      <c r="B2186" s="57"/>
      <c r="C2186" s="43" t="str">
        <f t="array" ref="C2186">IF(B2186="","",_xlfn.XLOOKUP(B2186,'Form responses 1'!$B$2:$B$2604,'Form responses 1'!$A$2:$A$2604,""))</f>
        <v/>
      </c>
      <c r="D2186" s="44" t="str">
        <f t="shared" si="3"/>
        <v/>
      </c>
      <c r="E2186" s="44" t="str">
        <f t="array" ref="E2186">IF(B2186="","",_xlfn.XLOOKUP(B2186,'Form responses 1'!$B$2:$B$2604,'Form responses 1'!$C$2:$C$2604,""))</f>
        <v/>
      </c>
      <c r="F2186" s="44" t="str">
        <f t="array" ref="F2186">IF(B2186="","",_xlfn.XLOOKUP(B2186,'Form responses 1'!$B$2:$B$2604,'Form responses 1'!$D$2:$D$2604,""))</f>
        <v/>
      </c>
      <c r="G2186" s="44" t="str">
        <f t="array" ref="G2186">IF(B2186="","",_xlfn.XLOOKUP(B2186,'Form responses 1'!$B$2:$B$2604,'Form responses 1'!$E$2:$E$2604,""))</f>
        <v/>
      </c>
      <c r="H2186" s="44" t="str">
        <f t="array" ref="H2186">IF(B2186="","",_xlfn.XLOOKUP(B2186,'Form responses 1'!$B$2:$B$2604,'Form responses 1'!$F$2:$F$2604,""))</f>
        <v/>
      </c>
      <c r="I2186" s="44" t="str">
        <f t="array" ref="I2186">IF(B2186="","",_xlfn.XLOOKUP(B2186,'Form responses 1'!$B$2:$B$2604,'Form responses 1'!$I$2:$I$2604,""))</f>
        <v/>
      </c>
      <c r="J2186" s="44" t="str">
        <f t="array" ref="J2186">IF(B2186="","",_xlfn.XLOOKUP(B2186,'Form responses 1'!$B$2:$B$2604,'Form responses 1'!$G$2:$G$2604,""))</f>
        <v/>
      </c>
      <c r="K2186" s="56"/>
      <c r="L2186" s="58" t="str">
        <f t="shared" si="7"/>
        <v/>
      </c>
      <c r="M2186" s="49"/>
      <c r="N2186" s="49"/>
      <c r="O2186" s="49"/>
      <c r="P2186" s="49"/>
      <c r="Q2186" s="49"/>
      <c r="R2186" s="49"/>
      <c r="S2186" s="49"/>
      <c r="T2186" s="49"/>
      <c r="U2186" s="49"/>
      <c r="V2186" s="49"/>
      <c r="W2186" s="56"/>
      <c r="X2186" s="51" t="str">
        <f t="shared" si="5"/>
        <v/>
      </c>
      <c r="Y2186" s="50" t="s">
        <v>482</v>
      </c>
      <c r="Z2186" s="49">
        <f t="shared" si="6"/>
        <v>0</v>
      </c>
    </row>
    <row r="2187" ht="22.5" customHeight="1">
      <c r="B2187" s="57"/>
      <c r="C2187" s="43" t="str">
        <f t="array" ref="C2187">IF(B2187="","",_xlfn.XLOOKUP(B2187,'Form responses 1'!$B$2:$B$2604,'Form responses 1'!$A$2:$A$2604,""))</f>
        <v/>
      </c>
      <c r="D2187" s="44" t="str">
        <f t="shared" si="3"/>
        <v/>
      </c>
      <c r="E2187" s="44" t="str">
        <f t="array" ref="E2187">IF(B2187="","",_xlfn.XLOOKUP(B2187,'Form responses 1'!$B$2:$B$2604,'Form responses 1'!$C$2:$C$2604,""))</f>
        <v/>
      </c>
      <c r="F2187" s="44" t="str">
        <f t="array" ref="F2187">IF(B2187="","",_xlfn.XLOOKUP(B2187,'Form responses 1'!$B$2:$B$2604,'Form responses 1'!$D$2:$D$2604,""))</f>
        <v/>
      </c>
      <c r="G2187" s="44" t="str">
        <f t="array" ref="G2187">IF(B2187="","",_xlfn.XLOOKUP(B2187,'Form responses 1'!$B$2:$B$2604,'Form responses 1'!$E$2:$E$2604,""))</f>
        <v/>
      </c>
      <c r="H2187" s="44" t="str">
        <f t="array" ref="H2187">IF(B2187="","",_xlfn.XLOOKUP(B2187,'Form responses 1'!$B$2:$B$2604,'Form responses 1'!$F$2:$F$2604,""))</f>
        <v/>
      </c>
      <c r="I2187" s="44" t="str">
        <f t="array" ref="I2187">IF(B2187="","",_xlfn.XLOOKUP(B2187,'Form responses 1'!$B$2:$B$2604,'Form responses 1'!$I$2:$I$2604,""))</f>
        <v/>
      </c>
      <c r="J2187" s="44" t="str">
        <f t="array" ref="J2187">IF(B2187="","",_xlfn.XLOOKUP(B2187,'Form responses 1'!$B$2:$B$2604,'Form responses 1'!$G$2:$G$2604,""))</f>
        <v/>
      </c>
      <c r="K2187" s="56"/>
      <c r="L2187" s="58" t="str">
        <f t="shared" si="7"/>
        <v/>
      </c>
      <c r="M2187" s="49"/>
      <c r="N2187" s="49"/>
      <c r="O2187" s="49"/>
      <c r="P2187" s="49"/>
      <c r="Q2187" s="49"/>
      <c r="R2187" s="49"/>
      <c r="S2187" s="49"/>
      <c r="T2187" s="49"/>
      <c r="U2187" s="49"/>
      <c r="V2187" s="49"/>
      <c r="W2187" s="56"/>
      <c r="X2187" s="51" t="str">
        <f t="shared" si="5"/>
        <v/>
      </c>
      <c r="Y2187" s="50" t="s">
        <v>482</v>
      </c>
      <c r="Z2187" s="49">
        <f t="shared" si="6"/>
        <v>0</v>
      </c>
    </row>
    <row r="2188" ht="22.5" customHeight="1">
      <c r="B2188" s="57"/>
      <c r="C2188" s="43" t="str">
        <f t="array" ref="C2188">IF(B2188="","",_xlfn.XLOOKUP(B2188,'Form responses 1'!$B$2:$B$2604,'Form responses 1'!$A$2:$A$2604,""))</f>
        <v/>
      </c>
      <c r="D2188" s="44" t="str">
        <f t="shared" si="3"/>
        <v/>
      </c>
      <c r="E2188" s="44" t="str">
        <f t="array" ref="E2188">IF(B2188="","",_xlfn.XLOOKUP(B2188,'Form responses 1'!$B$2:$B$2604,'Form responses 1'!$C$2:$C$2604,""))</f>
        <v/>
      </c>
      <c r="F2188" s="44" t="str">
        <f t="array" ref="F2188">IF(B2188="","",_xlfn.XLOOKUP(B2188,'Form responses 1'!$B$2:$B$2604,'Form responses 1'!$D$2:$D$2604,""))</f>
        <v/>
      </c>
      <c r="G2188" s="44" t="str">
        <f t="array" ref="G2188">IF(B2188="","",_xlfn.XLOOKUP(B2188,'Form responses 1'!$B$2:$B$2604,'Form responses 1'!$E$2:$E$2604,""))</f>
        <v/>
      </c>
      <c r="H2188" s="44" t="str">
        <f t="array" ref="H2188">IF(B2188="","",_xlfn.XLOOKUP(B2188,'Form responses 1'!$B$2:$B$2604,'Form responses 1'!$F$2:$F$2604,""))</f>
        <v/>
      </c>
      <c r="I2188" s="44" t="str">
        <f t="array" ref="I2188">IF(B2188="","",_xlfn.XLOOKUP(B2188,'Form responses 1'!$B$2:$B$2604,'Form responses 1'!$I$2:$I$2604,""))</f>
        <v/>
      </c>
      <c r="J2188" s="44" t="str">
        <f t="array" ref="J2188">IF(B2188="","",_xlfn.XLOOKUP(B2188,'Form responses 1'!$B$2:$B$2604,'Form responses 1'!$G$2:$G$2604,""))</f>
        <v/>
      </c>
      <c r="K2188" s="56"/>
      <c r="L2188" s="58" t="str">
        <f t="shared" si="7"/>
        <v/>
      </c>
      <c r="M2188" s="49"/>
      <c r="N2188" s="49"/>
      <c r="O2188" s="49"/>
      <c r="P2188" s="49"/>
      <c r="Q2188" s="49"/>
      <c r="R2188" s="49"/>
      <c r="S2188" s="49"/>
      <c r="T2188" s="49"/>
      <c r="U2188" s="49"/>
      <c r="V2188" s="49"/>
      <c r="W2188" s="56"/>
      <c r="X2188" s="51" t="str">
        <f t="shared" si="5"/>
        <v/>
      </c>
      <c r="Y2188" s="50" t="s">
        <v>482</v>
      </c>
      <c r="Z2188" s="49">
        <f t="shared" si="6"/>
        <v>0</v>
      </c>
    </row>
    <row r="2189" ht="22.5" customHeight="1">
      <c r="B2189" s="57"/>
      <c r="C2189" s="43" t="str">
        <f t="array" ref="C2189">IF(B2189="","",_xlfn.XLOOKUP(B2189,'Form responses 1'!$B$2:$B$2604,'Form responses 1'!$A$2:$A$2604,""))</f>
        <v/>
      </c>
      <c r="D2189" s="44" t="str">
        <f t="shared" si="3"/>
        <v/>
      </c>
      <c r="E2189" s="44" t="str">
        <f t="array" ref="E2189">IF(B2189="","",_xlfn.XLOOKUP(B2189,'Form responses 1'!$B$2:$B$2604,'Form responses 1'!$C$2:$C$2604,""))</f>
        <v/>
      </c>
      <c r="F2189" s="44" t="str">
        <f t="array" ref="F2189">IF(B2189="","",_xlfn.XLOOKUP(B2189,'Form responses 1'!$B$2:$B$2604,'Form responses 1'!$D$2:$D$2604,""))</f>
        <v/>
      </c>
      <c r="G2189" s="44" t="str">
        <f t="array" ref="G2189">IF(B2189="","",_xlfn.XLOOKUP(B2189,'Form responses 1'!$B$2:$B$2604,'Form responses 1'!$E$2:$E$2604,""))</f>
        <v/>
      </c>
      <c r="H2189" s="44" t="str">
        <f t="array" ref="H2189">IF(B2189="","",_xlfn.XLOOKUP(B2189,'Form responses 1'!$B$2:$B$2604,'Form responses 1'!$F$2:$F$2604,""))</f>
        <v/>
      </c>
      <c r="I2189" s="44" t="str">
        <f t="array" ref="I2189">IF(B2189="","",_xlfn.XLOOKUP(B2189,'Form responses 1'!$B$2:$B$2604,'Form responses 1'!$I$2:$I$2604,""))</f>
        <v/>
      </c>
      <c r="J2189" s="44" t="str">
        <f t="array" ref="J2189">IF(B2189="","",_xlfn.XLOOKUP(B2189,'Form responses 1'!$B$2:$B$2604,'Form responses 1'!$G$2:$G$2604,""))</f>
        <v/>
      </c>
      <c r="K2189" s="56"/>
      <c r="L2189" s="58" t="str">
        <f t="shared" si="7"/>
        <v/>
      </c>
      <c r="M2189" s="49"/>
      <c r="N2189" s="49"/>
      <c r="O2189" s="49"/>
      <c r="P2189" s="49"/>
      <c r="Q2189" s="49"/>
      <c r="R2189" s="49"/>
      <c r="S2189" s="49"/>
      <c r="T2189" s="49"/>
      <c r="U2189" s="49"/>
      <c r="V2189" s="49"/>
      <c r="W2189" s="56"/>
      <c r="X2189" s="51" t="str">
        <f t="shared" si="5"/>
        <v/>
      </c>
      <c r="Y2189" s="50" t="s">
        <v>482</v>
      </c>
      <c r="Z2189" s="49">
        <f t="shared" si="6"/>
        <v>0</v>
      </c>
    </row>
    <row r="2190" ht="22.5" customHeight="1">
      <c r="B2190" s="57"/>
      <c r="C2190" s="43" t="str">
        <f t="array" ref="C2190">IF(B2190="","",_xlfn.XLOOKUP(B2190,'Form responses 1'!$B$2:$B$2604,'Form responses 1'!$A$2:$A$2604,""))</f>
        <v/>
      </c>
      <c r="D2190" s="44" t="str">
        <f t="shared" si="3"/>
        <v/>
      </c>
      <c r="E2190" s="44" t="str">
        <f t="array" ref="E2190">IF(B2190="","",_xlfn.XLOOKUP(B2190,'Form responses 1'!$B$2:$B$2604,'Form responses 1'!$C$2:$C$2604,""))</f>
        <v/>
      </c>
      <c r="F2190" s="44" t="str">
        <f t="array" ref="F2190">IF(B2190="","",_xlfn.XLOOKUP(B2190,'Form responses 1'!$B$2:$B$2604,'Form responses 1'!$D$2:$D$2604,""))</f>
        <v/>
      </c>
      <c r="G2190" s="44" t="str">
        <f t="array" ref="G2190">IF(B2190="","",_xlfn.XLOOKUP(B2190,'Form responses 1'!$B$2:$B$2604,'Form responses 1'!$E$2:$E$2604,""))</f>
        <v/>
      </c>
      <c r="H2190" s="44" t="str">
        <f t="array" ref="H2190">IF(B2190="","",_xlfn.XLOOKUP(B2190,'Form responses 1'!$B$2:$B$2604,'Form responses 1'!$F$2:$F$2604,""))</f>
        <v/>
      </c>
      <c r="I2190" s="44" t="str">
        <f t="array" ref="I2190">IF(B2190="","",_xlfn.XLOOKUP(B2190,'Form responses 1'!$B$2:$B$2604,'Form responses 1'!$I$2:$I$2604,""))</f>
        <v/>
      </c>
      <c r="J2190" s="44" t="str">
        <f t="array" ref="J2190">IF(B2190="","",_xlfn.XLOOKUP(B2190,'Form responses 1'!$B$2:$B$2604,'Form responses 1'!$G$2:$G$2604,""))</f>
        <v/>
      </c>
      <c r="K2190" s="56"/>
      <c r="L2190" s="58" t="str">
        <f t="shared" si="7"/>
        <v/>
      </c>
      <c r="M2190" s="49"/>
      <c r="N2190" s="49"/>
      <c r="O2190" s="49"/>
      <c r="P2190" s="49"/>
      <c r="Q2190" s="49"/>
      <c r="R2190" s="49"/>
      <c r="S2190" s="49"/>
      <c r="T2190" s="49"/>
      <c r="U2190" s="49"/>
      <c r="V2190" s="49"/>
      <c r="W2190" s="56"/>
      <c r="X2190" s="51" t="str">
        <f t="shared" si="5"/>
        <v/>
      </c>
      <c r="Y2190" s="50" t="s">
        <v>482</v>
      </c>
      <c r="Z2190" s="49">
        <f t="shared" si="6"/>
        <v>0</v>
      </c>
    </row>
    <row r="2191" ht="22.5" customHeight="1">
      <c r="B2191" s="57"/>
      <c r="C2191" s="43" t="str">
        <f t="array" ref="C2191">IF(B2191="","",_xlfn.XLOOKUP(B2191,'Form responses 1'!$B$2:$B$2604,'Form responses 1'!$A$2:$A$2604,""))</f>
        <v/>
      </c>
      <c r="D2191" s="44" t="str">
        <f t="shared" si="3"/>
        <v/>
      </c>
      <c r="E2191" s="44" t="str">
        <f t="array" ref="E2191">IF(B2191="","",_xlfn.XLOOKUP(B2191,'Form responses 1'!$B$2:$B$2604,'Form responses 1'!$C$2:$C$2604,""))</f>
        <v/>
      </c>
      <c r="F2191" s="44" t="str">
        <f t="array" ref="F2191">IF(B2191="","",_xlfn.XLOOKUP(B2191,'Form responses 1'!$B$2:$B$2604,'Form responses 1'!$D$2:$D$2604,""))</f>
        <v/>
      </c>
      <c r="G2191" s="44" t="str">
        <f t="array" ref="G2191">IF(B2191="","",_xlfn.XLOOKUP(B2191,'Form responses 1'!$B$2:$B$2604,'Form responses 1'!$E$2:$E$2604,""))</f>
        <v/>
      </c>
      <c r="H2191" s="44" t="str">
        <f t="array" ref="H2191">IF(B2191="","",_xlfn.XLOOKUP(B2191,'Form responses 1'!$B$2:$B$2604,'Form responses 1'!$F$2:$F$2604,""))</f>
        <v/>
      </c>
      <c r="I2191" s="44" t="str">
        <f t="array" ref="I2191">IF(B2191="","",_xlfn.XLOOKUP(B2191,'Form responses 1'!$B$2:$B$2604,'Form responses 1'!$I$2:$I$2604,""))</f>
        <v/>
      </c>
      <c r="J2191" s="44" t="str">
        <f t="array" ref="J2191">IF(B2191="","",_xlfn.XLOOKUP(B2191,'Form responses 1'!$B$2:$B$2604,'Form responses 1'!$G$2:$G$2604,""))</f>
        <v/>
      </c>
      <c r="K2191" s="56"/>
      <c r="L2191" s="58" t="str">
        <f t="shared" si="7"/>
        <v/>
      </c>
      <c r="M2191" s="49"/>
      <c r="N2191" s="49"/>
      <c r="O2191" s="49"/>
      <c r="P2191" s="49"/>
      <c r="Q2191" s="49"/>
      <c r="R2191" s="49"/>
      <c r="S2191" s="49"/>
      <c r="T2191" s="49"/>
      <c r="U2191" s="49"/>
      <c r="V2191" s="49"/>
      <c r="W2191" s="56"/>
      <c r="X2191" s="51" t="str">
        <f t="shared" si="5"/>
        <v/>
      </c>
      <c r="Y2191" s="50" t="s">
        <v>482</v>
      </c>
      <c r="Z2191" s="49">
        <f t="shared" si="6"/>
        <v>0</v>
      </c>
    </row>
    <row r="2192" ht="22.5" customHeight="1">
      <c r="B2192" s="57"/>
      <c r="C2192" s="43" t="str">
        <f t="array" ref="C2192">IF(B2192="","",_xlfn.XLOOKUP(B2192,'Form responses 1'!$B$2:$B$2604,'Form responses 1'!$A$2:$A$2604,""))</f>
        <v/>
      </c>
      <c r="D2192" s="44" t="str">
        <f t="shared" si="3"/>
        <v/>
      </c>
      <c r="E2192" s="44" t="str">
        <f t="array" ref="E2192">IF(B2192="","",_xlfn.XLOOKUP(B2192,'Form responses 1'!$B$2:$B$2604,'Form responses 1'!$C$2:$C$2604,""))</f>
        <v/>
      </c>
      <c r="F2192" s="44" t="str">
        <f t="array" ref="F2192">IF(B2192="","",_xlfn.XLOOKUP(B2192,'Form responses 1'!$B$2:$B$2604,'Form responses 1'!$D$2:$D$2604,""))</f>
        <v/>
      </c>
      <c r="G2192" s="44" t="str">
        <f t="array" ref="G2192">IF(B2192="","",_xlfn.XLOOKUP(B2192,'Form responses 1'!$B$2:$B$2604,'Form responses 1'!$E$2:$E$2604,""))</f>
        <v/>
      </c>
      <c r="H2192" s="44" t="str">
        <f t="array" ref="H2192">IF(B2192="","",_xlfn.XLOOKUP(B2192,'Form responses 1'!$B$2:$B$2604,'Form responses 1'!$F$2:$F$2604,""))</f>
        <v/>
      </c>
      <c r="I2192" s="44" t="str">
        <f t="array" ref="I2192">IF(B2192="","",_xlfn.XLOOKUP(B2192,'Form responses 1'!$B$2:$B$2604,'Form responses 1'!$I$2:$I$2604,""))</f>
        <v/>
      </c>
      <c r="J2192" s="44" t="str">
        <f t="array" ref="J2192">IF(B2192="","",_xlfn.XLOOKUP(B2192,'Form responses 1'!$B$2:$B$2604,'Form responses 1'!$G$2:$G$2604,""))</f>
        <v/>
      </c>
      <c r="K2192" s="56"/>
      <c r="L2192" s="58" t="str">
        <f t="shared" si="7"/>
        <v/>
      </c>
      <c r="M2192" s="49"/>
      <c r="N2192" s="49"/>
      <c r="O2192" s="49"/>
      <c r="P2192" s="49"/>
      <c r="Q2192" s="49"/>
      <c r="R2192" s="49"/>
      <c r="S2192" s="49"/>
      <c r="T2192" s="49"/>
      <c r="U2192" s="49"/>
      <c r="V2192" s="49"/>
      <c r="W2192" s="56"/>
      <c r="X2192" s="51" t="str">
        <f t="shared" si="5"/>
        <v/>
      </c>
      <c r="Y2192" s="50" t="s">
        <v>482</v>
      </c>
      <c r="Z2192" s="49">
        <f t="shared" si="6"/>
        <v>0</v>
      </c>
    </row>
    <row r="2193" ht="22.5" customHeight="1">
      <c r="B2193" s="57"/>
      <c r="C2193" s="43" t="str">
        <f t="array" ref="C2193">IF(B2193="","",_xlfn.XLOOKUP(B2193,'Form responses 1'!$B$2:$B$2604,'Form responses 1'!$A$2:$A$2604,""))</f>
        <v/>
      </c>
      <c r="D2193" s="44" t="str">
        <f t="shared" si="3"/>
        <v/>
      </c>
      <c r="E2193" s="44" t="str">
        <f t="array" ref="E2193">IF(B2193="","",_xlfn.XLOOKUP(B2193,'Form responses 1'!$B$2:$B$2604,'Form responses 1'!$C$2:$C$2604,""))</f>
        <v/>
      </c>
      <c r="F2193" s="44" t="str">
        <f t="array" ref="F2193">IF(B2193="","",_xlfn.XLOOKUP(B2193,'Form responses 1'!$B$2:$B$2604,'Form responses 1'!$D$2:$D$2604,""))</f>
        <v/>
      </c>
      <c r="G2193" s="44" t="str">
        <f t="array" ref="G2193">IF(B2193="","",_xlfn.XLOOKUP(B2193,'Form responses 1'!$B$2:$B$2604,'Form responses 1'!$E$2:$E$2604,""))</f>
        <v/>
      </c>
      <c r="H2193" s="44" t="str">
        <f t="array" ref="H2193">IF(B2193="","",_xlfn.XLOOKUP(B2193,'Form responses 1'!$B$2:$B$2604,'Form responses 1'!$F$2:$F$2604,""))</f>
        <v/>
      </c>
      <c r="I2193" s="44" t="str">
        <f t="array" ref="I2193">IF(B2193="","",_xlfn.XLOOKUP(B2193,'Form responses 1'!$B$2:$B$2604,'Form responses 1'!$I$2:$I$2604,""))</f>
        <v/>
      </c>
      <c r="J2193" s="44" t="str">
        <f t="array" ref="J2193">IF(B2193="","",_xlfn.XLOOKUP(B2193,'Form responses 1'!$B$2:$B$2604,'Form responses 1'!$G$2:$G$2604,""))</f>
        <v/>
      </c>
      <c r="K2193" s="56"/>
      <c r="L2193" s="58" t="str">
        <f t="shared" si="7"/>
        <v/>
      </c>
      <c r="M2193" s="49"/>
      <c r="N2193" s="49"/>
      <c r="O2193" s="49"/>
      <c r="P2193" s="49"/>
      <c r="Q2193" s="49"/>
      <c r="R2193" s="49"/>
      <c r="S2193" s="49"/>
      <c r="T2193" s="49"/>
      <c r="U2193" s="49"/>
      <c r="V2193" s="49"/>
      <c r="W2193" s="56"/>
      <c r="X2193" s="51" t="str">
        <f t="shared" si="5"/>
        <v/>
      </c>
      <c r="Y2193" s="50" t="s">
        <v>482</v>
      </c>
      <c r="Z2193" s="49">
        <f t="shared" si="6"/>
        <v>0</v>
      </c>
    </row>
    <row r="2194" ht="22.5" customHeight="1">
      <c r="B2194" s="57"/>
      <c r="C2194" s="43" t="str">
        <f t="array" ref="C2194">IF(B2194="","",_xlfn.XLOOKUP(B2194,'Form responses 1'!$B$2:$B$2604,'Form responses 1'!$A$2:$A$2604,""))</f>
        <v/>
      </c>
      <c r="D2194" s="44" t="str">
        <f t="shared" si="3"/>
        <v/>
      </c>
      <c r="E2194" s="44" t="str">
        <f t="array" ref="E2194">IF(B2194="","",_xlfn.XLOOKUP(B2194,'Form responses 1'!$B$2:$B$2604,'Form responses 1'!$C$2:$C$2604,""))</f>
        <v/>
      </c>
      <c r="F2194" s="44" t="str">
        <f t="array" ref="F2194">IF(B2194="","",_xlfn.XLOOKUP(B2194,'Form responses 1'!$B$2:$B$2604,'Form responses 1'!$D$2:$D$2604,""))</f>
        <v/>
      </c>
      <c r="G2194" s="44" t="str">
        <f t="array" ref="G2194">IF(B2194="","",_xlfn.XLOOKUP(B2194,'Form responses 1'!$B$2:$B$2604,'Form responses 1'!$E$2:$E$2604,""))</f>
        <v/>
      </c>
      <c r="H2194" s="44" t="str">
        <f t="array" ref="H2194">IF(B2194="","",_xlfn.XLOOKUP(B2194,'Form responses 1'!$B$2:$B$2604,'Form responses 1'!$F$2:$F$2604,""))</f>
        <v/>
      </c>
      <c r="I2194" s="44" t="str">
        <f t="array" ref="I2194">IF(B2194="","",_xlfn.XLOOKUP(B2194,'Form responses 1'!$B$2:$B$2604,'Form responses 1'!$I$2:$I$2604,""))</f>
        <v/>
      </c>
      <c r="J2194" s="44" t="str">
        <f t="array" ref="J2194">IF(B2194="","",_xlfn.XLOOKUP(B2194,'Form responses 1'!$B$2:$B$2604,'Form responses 1'!$G$2:$G$2604,""))</f>
        <v/>
      </c>
      <c r="K2194" s="56"/>
      <c r="L2194" s="58" t="str">
        <f t="shared" si="7"/>
        <v/>
      </c>
      <c r="M2194" s="49"/>
      <c r="N2194" s="49"/>
      <c r="O2194" s="49"/>
      <c r="P2194" s="49"/>
      <c r="Q2194" s="49"/>
      <c r="R2194" s="49"/>
      <c r="S2194" s="49"/>
      <c r="T2194" s="49"/>
      <c r="U2194" s="49"/>
      <c r="V2194" s="49"/>
      <c r="W2194" s="56"/>
      <c r="X2194" s="51" t="str">
        <f t="shared" si="5"/>
        <v/>
      </c>
      <c r="Y2194" s="50" t="s">
        <v>482</v>
      </c>
      <c r="Z2194" s="49">
        <f t="shared" si="6"/>
        <v>0</v>
      </c>
    </row>
    <row r="2195" ht="22.5" customHeight="1">
      <c r="B2195" s="57"/>
      <c r="C2195" s="43" t="str">
        <f t="array" ref="C2195">IF(B2195="","",_xlfn.XLOOKUP(B2195,'Form responses 1'!$B$2:$B$2604,'Form responses 1'!$A$2:$A$2604,""))</f>
        <v/>
      </c>
      <c r="D2195" s="44" t="str">
        <f t="shared" si="3"/>
        <v/>
      </c>
      <c r="E2195" s="44" t="str">
        <f t="array" ref="E2195">IF(B2195="","",_xlfn.XLOOKUP(B2195,'Form responses 1'!$B$2:$B$2604,'Form responses 1'!$C$2:$C$2604,""))</f>
        <v/>
      </c>
      <c r="F2195" s="44" t="str">
        <f t="array" ref="F2195">IF(B2195="","",_xlfn.XLOOKUP(B2195,'Form responses 1'!$B$2:$B$2604,'Form responses 1'!$D$2:$D$2604,""))</f>
        <v/>
      </c>
      <c r="G2195" s="44" t="str">
        <f t="array" ref="G2195">IF(B2195="","",_xlfn.XLOOKUP(B2195,'Form responses 1'!$B$2:$B$2604,'Form responses 1'!$E$2:$E$2604,""))</f>
        <v/>
      </c>
      <c r="H2195" s="44" t="str">
        <f t="array" ref="H2195">IF(B2195="","",_xlfn.XLOOKUP(B2195,'Form responses 1'!$B$2:$B$2604,'Form responses 1'!$F$2:$F$2604,""))</f>
        <v/>
      </c>
      <c r="I2195" s="44" t="str">
        <f t="array" ref="I2195">IF(B2195="","",_xlfn.XLOOKUP(B2195,'Form responses 1'!$B$2:$B$2604,'Form responses 1'!$I$2:$I$2604,""))</f>
        <v/>
      </c>
      <c r="J2195" s="44" t="str">
        <f t="array" ref="J2195">IF(B2195="","",_xlfn.XLOOKUP(B2195,'Form responses 1'!$B$2:$B$2604,'Form responses 1'!$G$2:$G$2604,""))</f>
        <v/>
      </c>
      <c r="K2195" s="56"/>
      <c r="L2195" s="58" t="str">
        <f t="shared" si="7"/>
        <v/>
      </c>
      <c r="M2195" s="49"/>
      <c r="N2195" s="49"/>
      <c r="O2195" s="49"/>
      <c r="P2195" s="49"/>
      <c r="Q2195" s="49"/>
      <c r="R2195" s="49"/>
      <c r="S2195" s="49"/>
      <c r="T2195" s="49"/>
      <c r="U2195" s="49"/>
      <c r="V2195" s="49"/>
      <c r="W2195" s="56"/>
      <c r="X2195" s="51" t="str">
        <f t="shared" si="5"/>
        <v/>
      </c>
      <c r="Y2195" s="50" t="s">
        <v>482</v>
      </c>
      <c r="Z2195" s="49">
        <f t="shared" si="6"/>
        <v>0</v>
      </c>
    </row>
    <row r="2196" ht="22.5" customHeight="1">
      <c r="B2196" s="57"/>
      <c r="C2196" s="43" t="str">
        <f t="array" ref="C2196">IF(B2196="","",_xlfn.XLOOKUP(B2196,'Form responses 1'!$B$2:$B$2604,'Form responses 1'!$A$2:$A$2604,""))</f>
        <v/>
      </c>
      <c r="D2196" s="44" t="str">
        <f t="shared" si="3"/>
        <v/>
      </c>
      <c r="E2196" s="44" t="str">
        <f t="array" ref="E2196">IF(B2196="","",_xlfn.XLOOKUP(B2196,'Form responses 1'!$B$2:$B$2604,'Form responses 1'!$C$2:$C$2604,""))</f>
        <v/>
      </c>
      <c r="F2196" s="44" t="str">
        <f t="array" ref="F2196">IF(B2196="","",_xlfn.XLOOKUP(B2196,'Form responses 1'!$B$2:$B$2604,'Form responses 1'!$D$2:$D$2604,""))</f>
        <v/>
      </c>
      <c r="G2196" s="44" t="str">
        <f t="array" ref="G2196">IF(B2196="","",_xlfn.XLOOKUP(B2196,'Form responses 1'!$B$2:$B$2604,'Form responses 1'!$E$2:$E$2604,""))</f>
        <v/>
      </c>
      <c r="H2196" s="44" t="str">
        <f t="array" ref="H2196">IF(B2196="","",_xlfn.XLOOKUP(B2196,'Form responses 1'!$B$2:$B$2604,'Form responses 1'!$F$2:$F$2604,""))</f>
        <v/>
      </c>
      <c r="I2196" s="44" t="str">
        <f t="array" ref="I2196">IF(B2196="","",_xlfn.XLOOKUP(B2196,'Form responses 1'!$B$2:$B$2604,'Form responses 1'!$I$2:$I$2604,""))</f>
        <v/>
      </c>
      <c r="J2196" s="44" t="str">
        <f t="array" ref="J2196">IF(B2196="","",_xlfn.XLOOKUP(B2196,'Form responses 1'!$B$2:$B$2604,'Form responses 1'!$G$2:$G$2604,""))</f>
        <v/>
      </c>
      <c r="K2196" s="56"/>
      <c r="L2196" s="58" t="str">
        <f t="shared" si="7"/>
        <v/>
      </c>
      <c r="M2196" s="49"/>
      <c r="N2196" s="49"/>
      <c r="O2196" s="49"/>
      <c r="P2196" s="49"/>
      <c r="Q2196" s="49"/>
      <c r="R2196" s="49"/>
      <c r="S2196" s="49"/>
      <c r="T2196" s="49"/>
      <c r="U2196" s="49"/>
      <c r="V2196" s="49"/>
      <c r="W2196" s="56"/>
      <c r="X2196" s="51" t="str">
        <f t="shared" si="5"/>
        <v/>
      </c>
      <c r="Y2196" s="50" t="s">
        <v>482</v>
      </c>
      <c r="Z2196" s="49">
        <f t="shared" si="6"/>
        <v>0</v>
      </c>
    </row>
    <row r="2197" ht="22.5" customHeight="1">
      <c r="B2197" s="57"/>
      <c r="C2197" s="43" t="str">
        <f t="array" ref="C2197">IF(B2197="","",_xlfn.XLOOKUP(B2197,'Form responses 1'!$B$2:$B$2604,'Form responses 1'!$A$2:$A$2604,""))</f>
        <v/>
      </c>
      <c r="D2197" s="44" t="str">
        <f t="shared" si="3"/>
        <v/>
      </c>
      <c r="E2197" s="44" t="str">
        <f t="array" ref="E2197">IF(B2197="","",_xlfn.XLOOKUP(B2197,'Form responses 1'!$B$2:$B$2604,'Form responses 1'!$C$2:$C$2604,""))</f>
        <v/>
      </c>
      <c r="F2197" s="44" t="str">
        <f t="array" ref="F2197">IF(B2197="","",_xlfn.XLOOKUP(B2197,'Form responses 1'!$B$2:$B$2604,'Form responses 1'!$D$2:$D$2604,""))</f>
        <v/>
      </c>
      <c r="G2197" s="44" t="str">
        <f t="array" ref="G2197">IF(B2197="","",_xlfn.XLOOKUP(B2197,'Form responses 1'!$B$2:$B$2604,'Form responses 1'!$E$2:$E$2604,""))</f>
        <v/>
      </c>
      <c r="H2197" s="44" t="str">
        <f t="array" ref="H2197">IF(B2197="","",_xlfn.XLOOKUP(B2197,'Form responses 1'!$B$2:$B$2604,'Form responses 1'!$F$2:$F$2604,""))</f>
        <v/>
      </c>
      <c r="I2197" s="44" t="str">
        <f t="array" ref="I2197">IF(B2197="","",_xlfn.XLOOKUP(B2197,'Form responses 1'!$B$2:$B$2604,'Form responses 1'!$I$2:$I$2604,""))</f>
        <v/>
      </c>
      <c r="J2197" s="44" t="str">
        <f t="array" ref="J2197">IF(B2197="","",_xlfn.XLOOKUP(B2197,'Form responses 1'!$B$2:$B$2604,'Form responses 1'!$G$2:$G$2604,""))</f>
        <v/>
      </c>
      <c r="K2197" s="56"/>
      <c r="L2197" s="58" t="str">
        <f t="shared" si="7"/>
        <v/>
      </c>
      <c r="M2197" s="49"/>
      <c r="N2197" s="49"/>
      <c r="O2197" s="49"/>
      <c r="P2197" s="49"/>
      <c r="Q2197" s="49"/>
      <c r="R2197" s="49"/>
      <c r="S2197" s="49"/>
      <c r="T2197" s="49"/>
      <c r="U2197" s="49"/>
      <c r="V2197" s="49"/>
      <c r="W2197" s="56"/>
      <c r="X2197" s="51" t="str">
        <f t="shared" si="5"/>
        <v/>
      </c>
      <c r="Y2197" s="50" t="s">
        <v>482</v>
      </c>
      <c r="Z2197" s="49">
        <f t="shared" si="6"/>
        <v>0</v>
      </c>
    </row>
    <row r="2198" ht="22.5" customHeight="1">
      <c r="B2198" s="57"/>
      <c r="C2198" s="43" t="str">
        <f t="array" ref="C2198">IF(B2198="","",_xlfn.XLOOKUP(B2198,'Form responses 1'!$B$2:$B$2604,'Form responses 1'!$A$2:$A$2604,""))</f>
        <v/>
      </c>
      <c r="D2198" s="44" t="str">
        <f t="shared" si="3"/>
        <v/>
      </c>
      <c r="E2198" s="44" t="str">
        <f t="array" ref="E2198">IF(B2198="","",_xlfn.XLOOKUP(B2198,'Form responses 1'!$B$2:$B$2604,'Form responses 1'!$C$2:$C$2604,""))</f>
        <v/>
      </c>
      <c r="F2198" s="44" t="str">
        <f t="array" ref="F2198">IF(B2198="","",_xlfn.XLOOKUP(B2198,'Form responses 1'!$B$2:$B$2604,'Form responses 1'!$D$2:$D$2604,""))</f>
        <v/>
      </c>
      <c r="G2198" s="44" t="str">
        <f t="array" ref="G2198">IF(B2198="","",_xlfn.XLOOKUP(B2198,'Form responses 1'!$B$2:$B$2604,'Form responses 1'!$E$2:$E$2604,""))</f>
        <v/>
      </c>
      <c r="H2198" s="44" t="str">
        <f t="array" ref="H2198">IF(B2198="","",_xlfn.XLOOKUP(B2198,'Form responses 1'!$B$2:$B$2604,'Form responses 1'!$F$2:$F$2604,""))</f>
        <v/>
      </c>
      <c r="I2198" s="44" t="str">
        <f t="array" ref="I2198">IF(B2198="","",_xlfn.XLOOKUP(B2198,'Form responses 1'!$B$2:$B$2604,'Form responses 1'!$I$2:$I$2604,""))</f>
        <v/>
      </c>
      <c r="J2198" s="44" t="str">
        <f t="array" ref="J2198">IF(B2198="","",_xlfn.XLOOKUP(B2198,'Form responses 1'!$B$2:$B$2604,'Form responses 1'!$G$2:$G$2604,""))</f>
        <v/>
      </c>
      <c r="K2198" s="56"/>
      <c r="L2198" s="58" t="str">
        <f t="shared" si="7"/>
        <v/>
      </c>
      <c r="M2198" s="49"/>
      <c r="N2198" s="49"/>
      <c r="O2198" s="49"/>
      <c r="P2198" s="49"/>
      <c r="Q2198" s="49"/>
      <c r="R2198" s="49"/>
      <c r="S2198" s="49"/>
      <c r="T2198" s="49"/>
      <c r="U2198" s="49"/>
      <c r="V2198" s="49"/>
      <c r="W2198" s="56"/>
      <c r="X2198" s="51" t="str">
        <f t="shared" si="5"/>
        <v/>
      </c>
      <c r="Y2198" s="50" t="s">
        <v>482</v>
      </c>
      <c r="Z2198" s="49">
        <f t="shared" si="6"/>
        <v>0</v>
      </c>
    </row>
    <row r="2199" ht="22.5" customHeight="1">
      <c r="B2199" s="57"/>
      <c r="C2199" s="43" t="str">
        <f t="array" ref="C2199">IF(B2199="","",_xlfn.XLOOKUP(B2199,'Form responses 1'!$B$2:$B$2604,'Form responses 1'!$A$2:$A$2604,""))</f>
        <v/>
      </c>
      <c r="D2199" s="44" t="str">
        <f t="shared" si="3"/>
        <v/>
      </c>
      <c r="E2199" s="44" t="str">
        <f t="array" ref="E2199">IF(B2199="","",_xlfn.XLOOKUP(B2199,'Form responses 1'!$B$2:$B$2604,'Form responses 1'!$C$2:$C$2604,""))</f>
        <v/>
      </c>
      <c r="F2199" s="44" t="str">
        <f t="array" ref="F2199">IF(B2199="","",_xlfn.XLOOKUP(B2199,'Form responses 1'!$B$2:$B$2604,'Form responses 1'!$D$2:$D$2604,""))</f>
        <v/>
      </c>
      <c r="G2199" s="44" t="str">
        <f t="array" ref="G2199">IF(B2199="","",_xlfn.XLOOKUP(B2199,'Form responses 1'!$B$2:$B$2604,'Form responses 1'!$E$2:$E$2604,""))</f>
        <v/>
      </c>
      <c r="H2199" s="44" t="str">
        <f t="array" ref="H2199">IF(B2199="","",_xlfn.XLOOKUP(B2199,'Form responses 1'!$B$2:$B$2604,'Form responses 1'!$F$2:$F$2604,""))</f>
        <v/>
      </c>
      <c r="I2199" s="44" t="str">
        <f t="array" ref="I2199">IF(B2199="","",_xlfn.XLOOKUP(B2199,'Form responses 1'!$B$2:$B$2604,'Form responses 1'!$I$2:$I$2604,""))</f>
        <v/>
      </c>
      <c r="J2199" s="44" t="str">
        <f t="array" ref="J2199">IF(B2199="","",_xlfn.XLOOKUP(B2199,'Form responses 1'!$B$2:$B$2604,'Form responses 1'!$G$2:$G$2604,""))</f>
        <v/>
      </c>
      <c r="K2199" s="56"/>
      <c r="L2199" s="58" t="str">
        <f t="shared" si="7"/>
        <v/>
      </c>
      <c r="M2199" s="49"/>
      <c r="N2199" s="49"/>
      <c r="O2199" s="49"/>
      <c r="P2199" s="49"/>
      <c r="Q2199" s="49"/>
      <c r="R2199" s="49"/>
      <c r="S2199" s="49"/>
      <c r="T2199" s="49"/>
      <c r="U2199" s="49"/>
      <c r="V2199" s="49"/>
      <c r="W2199" s="56"/>
      <c r="X2199" s="51" t="str">
        <f t="shared" si="5"/>
        <v/>
      </c>
      <c r="Y2199" s="50" t="s">
        <v>482</v>
      </c>
      <c r="Z2199" s="49">
        <f t="shared" si="6"/>
        <v>0</v>
      </c>
    </row>
    <row r="2200" ht="22.5" customHeight="1">
      <c r="B2200" s="57"/>
      <c r="C2200" s="43" t="str">
        <f t="array" ref="C2200">IF(B2200="","",_xlfn.XLOOKUP(B2200,'Form responses 1'!$B$2:$B$2604,'Form responses 1'!$A$2:$A$2604,""))</f>
        <v/>
      </c>
      <c r="D2200" s="44" t="str">
        <f t="shared" si="3"/>
        <v/>
      </c>
      <c r="E2200" s="44" t="str">
        <f t="array" ref="E2200">IF(B2200="","",_xlfn.XLOOKUP(B2200,'Form responses 1'!$B$2:$B$2604,'Form responses 1'!$C$2:$C$2604,""))</f>
        <v/>
      </c>
      <c r="F2200" s="44" t="str">
        <f t="array" ref="F2200">IF(B2200="","",_xlfn.XLOOKUP(B2200,'Form responses 1'!$B$2:$B$2604,'Form responses 1'!$D$2:$D$2604,""))</f>
        <v/>
      </c>
      <c r="G2200" s="44" t="str">
        <f t="array" ref="G2200">IF(B2200="","",_xlfn.XLOOKUP(B2200,'Form responses 1'!$B$2:$B$2604,'Form responses 1'!$E$2:$E$2604,""))</f>
        <v/>
      </c>
      <c r="H2200" s="44" t="str">
        <f t="array" ref="H2200">IF(B2200="","",_xlfn.XLOOKUP(B2200,'Form responses 1'!$B$2:$B$2604,'Form responses 1'!$F$2:$F$2604,""))</f>
        <v/>
      </c>
      <c r="I2200" s="44" t="str">
        <f t="array" ref="I2200">IF(B2200="","",_xlfn.XLOOKUP(B2200,'Form responses 1'!$B$2:$B$2604,'Form responses 1'!$I$2:$I$2604,""))</f>
        <v/>
      </c>
      <c r="J2200" s="44" t="str">
        <f t="array" ref="J2200">IF(B2200="","",_xlfn.XLOOKUP(B2200,'Form responses 1'!$B$2:$B$2604,'Form responses 1'!$G$2:$G$2604,""))</f>
        <v/>
      </c>
      <c r="K2200" s="56"/>
      <c r="L2200" s="58" t="str">
        <f t="shared" si="7"/>
        <v/>
      </c>
      <c r="M2200" s="49"/>
      <c r="N2200" s="49"/>
      <c r="O2200" s="49"/>
      <c r="P2200" s="49"/>
      <c r="Q2200" s="49"/>
      <c r="R2200" s="49"/>
      <c r="S2200" s="49"/>
      <c r="T2200" s="49"/>
      <c r="U2200" s="49"/>
      <c r="V2200" s="49"/>
      <c r="W2200" s="56"/>
      <c r="X2200" s="51" t="str">
        <f t="shared" si="5"/>
        <v/>
      </c>
      <c r="Y2200" s="50" t="s">
        <v>482</v>
      </c>
      <c r="Z2200" s="49">
        <f t="shared" si="6"/>
        <v>0</v>
      </c>
    </row>
    <row r="2201" ht="22.5" customHeight="1">
      <c r="B2201" s="57"/>
      <c r="C2201" s="43" t="str">
        <f t="array" ref="C2201">IF(B2201="","",_xlfn.XLOOKUP(B2201,'Form responses 1'!$B$2:$B$2604,'Form responses 1'!$A$2:$A$2604,""))</f>
        <v/>
      </c>
      <c r="D2201" s="44" t="str">
        <f t="shared" si="3"/>
        <v/>
      </c>
      <c r="E2201" s="44" t="str">
        <f t="array" ref="E2201">IF(B2201="","",_xlfn.XLOOKUP(B2201,'Form responses 1'!$B$2:$B$2604,'Form responses 1'!$C$2:$C$2604,""))</f>
        <v/>
      </c>
      <c r="F2201" s="44" t="str">
        <f t="array" ref="F2201">IF(B2201="","",_xlfn.XLOOKUP(B2201,'Form responses 1'!$B$2:$B$2604,'Form responses 1'!$D$2:$D$2604,""))</f>
        <v/>
      </c>
      <c r="G2201" s="44" t="str">
        <f t="array" ref="G2201">IF(B2201="","",_xlfn.XLOOKUP(B2201,'Form responses 1'!$B$2:$B$2604,'Form responses 1'!$E$2:$E$2604,""))</f>
        <v/>
      </c>
      <c r="H2201" s="44" t="str">
        <f t="array" ref="H2201">IF(B2201="","",_xlfn.XLOOKUP(B2201,'Form responses 1'!$B$2:$B$2604,'Form responses 1'!$F$2:$F$2604,""))</f>
        <v/>
      </c>
      <c r="I2201" s="44" t="str">
        <f t="array" ref="I2201">IF(B2201="","",_xlfn.XLOOKUP(B2201,'Form responses 1'!$B$2:$B$2604,'Form responses 1'!$I$2:$I$2604,""))</f>
        <v/>
      </c>
      <c r="J2201" s="44" t="str">
        <f t="array" ref="J2201">IF(B2201="","",_xlfn.XLOOKUP(B2201,'Form responses 1'!$B$2:$B$2604,'Form responses 1'!$G$2:$G$2604,""))</f>
        <v/>
      </c>
      <c r="K2201" s="56"/>
      <c r="L2201" s="58" t="str">
        <f t="shared" si="7"/>
        <v/>
      </c>
      <c r="M2201" s="49"/>
      <c r="N2201" s="49"/>
      <c r="O2201" s="49"/>
      <c r="P2201" s="49"/>
      <c r="Q2201" s="49"/>
      <c r="R2201" s="49"/>
      <c r="S2201" s="49"/>
      <c r="T2201" s="49"/>
      <c r="U2201" s="49"/>
      <c r="V2201" s="49"/>
      <c r="W2201" s="56"/>
      <c r="X2201" s="51" t="str">
        <f t="shared" si="5"/>
        <v/>
      </c>
      <c r="Y2201" s="50" t="s">
        <v>482</v>
      </c>
      <c r="Z2201" s="49">
        <f t="shared" si="6"/>
        <v>0</v>
      </c>
    </row>
    <row r="2202" ht="22.5" customHeight="1">
      <c r="B2202" s="57"/>
      <c r="C2202" s="43" t="str">
        <f t="array" ref="C2202">IF(B2202="","",_xlfn.XLOOKUP(B2202,'Form responses 1'!$B$2:$B$2604,'Form responses 1'!$A$2:$A$2604,""))</f>
        <v/>
      </c>
      <c r="D2202" s="44" t="str">
        <f t="shared" si="3"/>
        <v/>
      </c>
      <c r="E2202" s="44" t="str">
        <f t="array" ref="E2202">IF(B2202="","",_xlfn.XLOOKUP(B2202,'Form responses 1'!$B$2:$B$2604,'Form responses 1'!$C$2:$C$2604,""))</f>
        <v/>
      </c>
      <c r="F2202" s="44" t="str">
        <f t="array" ref="F2202">IF(B2202="","",_xlfn.XLOOKUP(B2202,'Form responses 1'!$B$2:$B$2604,'Form responses 1'!$D$2:$D$2604,""))</f>
        <v/>
      </c>
      <c r="G2202" s="44" t="str">
        <f t="array" ref="G2202">IF(B2202="","",_xlfn.XLOOKUP(B2202,'Form responses 1'!$B$2:$B$2604,'Form responses 1'!$E$2:$E$2604,""))</f>
        <v/>
      </c>
      <c r="H2202" s="44" t="str">
        <f t="array" ref="H2202">IF(B2202="","",_xlfn.XLOOKUP(B2202,'Form responses 1'!$B$2:$B$2604,'Form responses 1'!$F$2:$F$2604,""))</f>
        <v/>
      </c>
      <c r="I2202" s="44" t="str">
        <f t="array" ref="I2202">IF(B2202="","",_xlfn.XLOOKUP(B2202,'Form responses 1'!$B$2:$B$2604,'Form responses 1'!$I$2:$I$2604,""))</f>
        <v/>
      </c>
      <c r="J2202" s="44" t="str">
        <f t="array" ref="J2202">IF(B2202="","",_xlfn.XLOOKUP(B2202,'Form responses 1'!$B$2:$B$2604,'Form responses 1'!$G$2:$G$2604,""))</f>
        <v/>
      </c>
      <c r="K2202" s="56"/>
      <c r="L2202" s="58" t="str">
        <f t="shared" si="7"/>
        <v/>
      </c>
      <c r="M2202" s="49"/>
      <c r="N2202" s="49"/>
      <c r="O2202" s="49"/>
      <c r="P2202" s="49"/>
      <c r="Q2202" s="49"/>
      <c r="R2202" s="49"/>
      <c r="S2202" s="49"/>
      <c r="T2202" s="49"/>
      <c r="U2202" s="49"/>
      <c r="V2202" s="49"/>
      <c r="W2202" s="56"/>
      <c r="X2202" s="51" t="str">
        <f t="shared" si="5"/>
        <v/>
      </c>
      <c r="Y2202" s="50" t="s">
        <v>482</v>
      </c>
      <c r="Z2202" s="49">
        <f t="shared" si="6"/>
        <v>0</v>
      </c>
    </row>
    <row r="2203" ht="22.5" customHeight="1">
      <c r="B2203" s="57"/>
      <c r="C2203" s="43" t="str">
        <f t="array" ref="C2203">IF(B2203="","",_xlfn.XLOOKUP(B2203,'Form responses 1'!$B$2:$B$2604,'Form responses 1'!$A$2:$A$2604,""))</f>
        <v/>
      </c>
      <c r="D2203" s="44" t="str">
        <f t="shared" si="3"/>
        <v/>
      </c>
      <c r="E2203" s="44" t="str">
        <f t="array" ref="E2203">IF(B2203="","",_xlfn.XLOOKUP(B2203,'Form responses 1'!$B$2:$B$2604,'Form responses 1'!$C$2:$C$2604,""))</f>
        <v/>
      </c>
      <c r="F2203" s="44" t="str">
        <f t="array" ref="F2203">IF(B2203="","",_xlfn.XLOOKUP(B2203,'Form responses 1'!$B$2:$B$2604,'Form responses 1'!$D$2:$D$2604,""))</f>
        <v/>
      </c>
      <c r="G2203" s="44" t="str">
        <f t="array" ref="G2203">IF(B2203="","",_xlfn.XLOOKUP(B2203,'Form responses 1'!$B$2:$B$2604,'Form responses 1'!$E$2:$E$2604,""))</f>
        <v/>
      </c>
      <c r="H2203" s="44" t="str">
        <f t="array" ref="H2203">IF(B2203="","",_xlfn.XLOOKUP(B2203,'Form responses 1'!$B$2:$B$2604,'Form responses 1'!$F$2:$F$2604,""))</f>
        <v/>
      </c>
      <c r="I2203" s="44" t="str">
        <f t="array" ref="I2203">IF(B2203="","",_xlfn.XLOOKUP(B2203,'Form responses 1'!$B$2:$B$2604,'Form responses 1'!$I$2:$I$2604,""))</f>
        <v/>
      </c>
      <c r="J2203" s="44" t="str">
        <f t="array" ref="J2203">IF(B2203="","",_xlfn.XLOOKUP(B2203,'Form responses 1'!$B$2:$B$2604,'Form responses 1'!$G$2:$G$2604,""))</f>
        <v/>
      </c>
      <c r="K2203" s="56"/>
      <c r="L2203" s="58" t="str">
        <f t="shared" si="7"/>
        <v/>
      </c>
      <c r="M2203" s="49"/>
      <c r="N2203" s="49"/>
      <c r="O2203" s="49"/>
      <c r="P2203" s="49"/>
      <c r="Q2203" s="49"/>
      <c r="R2203" s="49"/>
      <c r="S2203" s="49"/>
      <c r="T2203" s="49"/>
      <c r="U2203" s="49"/>
      <c r="V2203" s="49"/>
      <c r="W2203" s="56"/>
      <c r="X2203" s="51" t="str">
        <f t="shared" si="5"/>
        <v/>
      </c>
      <c r="Y2203" s="50" t="s">
        <v>482</v>
      </c>
      <c r="Z2203" s="49">
        <f t="shared" si="6"/>
        <v>0</v>
      </c>
    </row>
    <row r="2204" ht="22.5" customHeight="1">
      <c r="B2204" s="57"/>
      <c r="C2204" s="43" t="str">
        <f t="array" ref="C2204">IF(B2204="","",_xlfn.XLOOKUP(B2204,'Form responses 1'!$B$2:$B$2604,'Form responses 1'!$A$2:$A$2604,""))</f>
        <v/>
      </c>
      <c r="D2204" s="44" t="str">
        <f t="shared" si="3"/>
        <v/>
      </c>
      <c r="E2204" s="44" t="str">
        <f t="array" ref="E2204">IF(B2204="","",_xlfn.XLOOKUP(B2204,'Form responses 1'!$B$2:$B$2604,'Form responses 1'!$C$2:$C$2604,""))</f>
        <v/>
      </c>
      <c r="F2204" s="44" t="str">
        <f t="array" ref="F2204">IF(B2204="","",_xlfn.XLOOKUP(B2204,'Form responses 1'!$B$2:$B$2604,'Form responses 1'!$D$2:$D$2604,""))</f>
        <v/>
      </c>
      <c r="G2204" s="44" t="str">
        <f t="array" ref="G2204">IF(B2204="","",_xlfn.XLOOKUP(B2204,'Form responses 1'!$B$2:$B$2604,'Form responses 1'!$E$2:$E$2604,""))</f>
        <v/>
      </c>
      <c r="H2204" s="44" t="str">
        <f t="array" ref="H2204">IF(B2204="","",_xlfn.XLOOKUP(B2204,'Form responses 1'!$B$2:$B$2604,'Form responses 1'!$F$2:$F$2604,""))</f>
        <v/>
      </c>
      <c r="I2204" s="44" t="str">
        <f t="array" ref="I2204">IF(B2204="","",_xlfn.XLOOKUP(B2204,'Form responses 1'!$B$2:$B$2604,'Form responses 1'!$I$2:$I$2604,""))</f>
        <v/>
      </c>
      <c r="J2204" s="44" t="str">
        <f t="array" ref="J2204">IF(B2204="","",_xlfn.XLOOKUP(B2204,'Form responses 1'!$B$2:$B$2604,'Form responses 1'!$G$2:$G$2604,""))</f>
        <v/>
      </c>
      <c r="K2204" s="56"/>
      <c r="L2204" s="58" t="str">
        <f t="shared" si="7"/>
        <v/>
      </c>
      <c r="M2204" s="49"/>
      <c r="N2204" s="49"/>
      <c r="O2204" s="49"/>
      <c r="P2204" s="49"/>
      <c r="Q2204" s="49"/>
      <c r="R2204" s="49"/>
      <c r="S2204" s="49"/>
      <c r="T2204" s="49"/>
      <c r="U2204" s="49"/>
      <c r="V2204" s="49"/>
      <c r="W2204" s="56"/>
      <c r="X2204" s="51" t="str">
        <f t="shared" si="5"/>
        <v/>
      </c>
      <c r="Y2204" s="50" t="s">
        <v>482</v>
      </c>
      <c r="Z2204" s="49">
        <f t="shared" si="6"/>
        <v>0</v>
      </c>
    </row>
    <row r="2205" ht="22.5" customHeight="1">
      <c r="B2205" s="57"/>
      <c r="C2205" s="43" t="str">
        <f t="array" ref="C2205">IF(B2205="","",_xlfn.XLOOKUP(B2205,'Form responses 1'!$B$2:$B$2604,'Form responses 1'!$A$2:$A$2604,""))</f>
        <v/>
      </c>
      <c r="D2205" s="44" t="str">
        <f t="shared" si="3"/>
        <v/>
      </c>
      <c r="E2205" s="44" t="str">
        <f t="array" ref="E2205">IF(B2205="","",_xlfn.XLOOKUP(B2205,'Form responses 1'!$B$2:$B$2604,'Form responses 1'!$C$2:$C$2604,""))</f>
        <v/>
      </c>
      <c r="F2205" s="44" t="str">
        <f t="array" ref="F2205">IF(B2205="","",_xlfn.XLOOKUP(B2205,'Form responses 1'!$B$2:$B$2604,'Form responses 1'!$D$2:$D$2604,""))</f>
        <v/>
      </c>
      <c r="G2205" s="44" t="str">
        <f t="array" ref="G2205">IF(B2205="","",_xlfn.XLOOKUP(B2205,'Form responses 1'!$B$2:$B$2604,'Form responses 1'!$E$2:$E$2604,""))</f>
        <v/>
      </c>
      <c r="H2205" s="44" t="str">
        <f t="array" ref="H2205">IF(B2205="","",_xlfn.XLOOKUP(B2205,'Form responses 1'!$B$2:$B$2604,'Form responses 1'!$F$2:$F$2604,""))</f>
        <v/>
      </c>
      <c r="I2205" s="44" t="str">
        <f t="array" ref="I2205">IF(B2205="","",_xlfn.XLOOKUP(B2205,'Form responses 1'!$B$2:$B$2604,'Form responses 1'!$I$2:$I$2604,""))</f>
        <v/>
      </c>
      <c r="J2205" s="44" t="str">
        <f t="array" ref="J2205">IF(B2205="","",_xlfn.XLOOKUP(B2205,'Form responses 1'!$B$2:$B$2604,'Form responses 1'!$G$2:$G$2604,""))</f>
        <v/>
      </c>
      <c r="K2205" s="56"/>
      <c r="L2205" s="58" t="str">
        <f t="shared" si="7"/>
        <v/>
      </c>
      <c r="M2205" s="49"/>
      <c r="N2205" s="49"/>
      <c r="O2205" s="49"/>
      <c r="P2205" s="49"/>
      <c r="Q2205" s="49"/>
      <c r="R2205" s="49"/>
      <c r="S2205" s="49"/>
      <c r="T2205" s="49"/>
      <c r="U2205" s="49"/>
      <c r="V2205" s="49"/>
      <c r="W2205" s="56"/>
      <c r="X2205" s="51" t="str">
        <f t="shared" si="5"/>
        <v/>
      </c>
      <c r="Y2205" s="50" t="s">
        <v>482</v>
      </c>
      <c r="Z2205" s="49">
        <f t="shared" si="6"/>
        <v>0</v>
      </c>
    </row>
    <row r="2206" ht="22.5" customHeight="1">
      <c r="B2206" s="57"/>
      <c r="C2206" s="43" t="str">
        <f t="array" ref="C2206">IF(B2206="","",_xlfn.XLOOKUP(B2206,'Form responses 1'!$B$2:$B$2604,'Form responses 1'!$A$2:$A$2604,""))</f>
        <v/>
      </c>
      <c r="D2206" s="44" t="str">
        <f t="shared" si="3"/>
        <v/>
      </c>
      <c r="E2206" s="44" t="str">
        <f t="array" ref="E2206">IF(B2206="","",_xlfn.XLOOKUP(B2206,'Form responses 1'!$B$2:$B$2604,'Form responses 1'!$C$2:$C$2604,""))</f>
        <v/>
      </c>
      <c r="F2206" s="44" t="str">
        <f t="array" ref="F2206">IF(B2206="","",_xlfn.XLOOKUP(B2206,'Form responses 1'!$B$2:$B$2604,'Form responses 1'!$D$2:$D$2604,""))</f>
        <v/>
      </c>
      <c r="G2206" s="44" t="str">
        <f t="array" ref="G2206">IF(B2206="","",_xlfn.XLOOKUP(B2206,'Form responses 1'!$B$2:$B$2604,'Form responses 1'!$E$2:$E$2604,""))</f>
        <v/>
      </c>
      <c r="H2206" s="44" t="str">
        <f t="array" ref="H2206">IF(B2206="","",_xlfn.XLOOKUP(B2206,'Form responses 1'!$B$2:$B$2604,'Form responses 1'!$F$2:$F$2604,""))</f>
        <v/>
      </c>
      <c r="I2206" s="44" t="str">
        <f t="array" ref="I2206">IF(B2206="","",_xlfn.XLOOKUP(B2206,'Form responses 1'!$B$2:$B$2604,'Form responses 1'!$I$2:$I$2604,""))</f>
        <v/>
      </c>
      <c r="J2206" s="44" t="str">
        <f t="array" ref="J2206">IF(B2206="","",_xlfn.XLOOKUP(B2206,'Form responses 1'!$B$2:$B$2604,'Form responses 1'!$G$2:$G$2604,""))</f>
        <v/>
      </c>
      <c r="K2206" s="56"/>
      <c r="L2206" s="58" t="str">
        <f t="shared" si="7"/>
        <v/>
      </c>
      <c r="M2206" s="49"/>
      <c r="N2206" s="49"/>
      <c r="O2206" s="49"/>
      <c r="P2206" s="49"/>
      <c r="Q2206" s="49"/>
      <c r="R2206" s="49"/>
      <c r="S2206" s="49"/>
      <c r="T2206" s="49"/>
      <c r="U2206" s="49"/>
      <c r="V2206" s="49"/>
      <c r="W2206" s="56"/>
      <c r="X2206" s="51" t="str">
        <f t="shared" si="5"/>
        <v/>
      </c>
      <c r="Y2206" s="50" t="s">
        <v>482</v>
      </c>
      <c r="Z2206" s="49">
        <f t="shared" si="6"/>
        <v>0</v>
      </c>
    </row>
    <row r="2207" ht="22.5" customHeight="1">
      <c r="B2207" s="57"/>
      <c r="C2207" s="43" t="str">
        <f t="array" ref="C2207">IF(B2207="","",_xlfn.XLOOKUP(B2207,'Form responses 1'!$B$2:$B$2604,'Form responses 1'!$A$2:$A$2604,""))</f>
        <v/>
      </c>
      <c r="D2207" s="44" t="str">
        <f t="shared" si="3"/>
        <v/>
      </c>
      <c r="E2207" s="44" t="str">
        <f t="array" ref="E2207">IF(B2207="","",_xlfn.XLOOKUP(B2207,'Form responses 1'!$B$2:$B$2604,'Form responses 1'!$C$2:$C$2604,""))</f>
        <v/>
      </c>
      <c r="F2207" s="44" t="str">
        <f t="array" ref="F2207">IF(B2207="","",_xlfn.XLOOKUP(B2207,'Form responses 1'!$B$2:$B$2604,'Form responses 1'!$D$2:$D$2604,""))</f>
        <v/>
      </c>
      <c r="G2207" s="44" t="str">
        <f t="array" ref="G2207">IF(B2207="","",_xlfn.XLOOKUP(B2207,'Form responses 1'!$B$2:$B$2604,'Form responses 1'!$E$2:$E$2604,""))</f>
        <v/>
      </c>
      <c r="H2207" s="44" t="str">
        <f t="array" ref="H2207">IF(B2207="","",_xlfn.XLOOKUP(B2207,'Form responses 1'!$B$2:$B$2604,'Form responses 1'!$F$2:$F$2604,""))</f>
        <v/>
      </c>
      <c r="I2207" s="44" t="str">
        <f t="array" ref="I2207">IF(B2207="","",_xlfn.XLOOKUP(B2207,'Form responses 1'!$B$2:$B$2604,'Form responses 1'!$I$2:$I$2604,""))</f>
        <v/>
      </c>
      <c r="J2207" s="44" t="str">
        <f t="array" ref="J2207">IF(B2207="","",_xlfn.XLOOKUP(B2207,'Form responses 1'!$B$2:$B$2604,'Form responses 1'!$G$2:$G$2604,""))</f>
        <v/>
      </c>
      <c r="K2207" s="56"/>
      <c r="L2207" s="58" t="str">
        <f t="shared" si="7"/>
        <v/>
      </c>
      <c r="M2207" s="49"/>
      <c r="N2207" s="49"/>
      <c r="O2207" s="49"/>
      <c r="P2207" s="49"/>
      <c r="Q2207" s="49"/>
      <c r="R2207" s="49"/>
      <c r="S2207" s="49"/>
      <c r="T2207" s="49"/>
      <c r="U2207" s="49"/>
      <c r="V2207" s="49"/>
      <c r="W2207" s="56"/>
      <c r="X2207" s="51" t="str">
        <f t="shared" si="5"/>
        <v/>
      </c>
      <c r="Y2207" s="50" t="s">
        <v>482</v>
      </c>
      <c r="Z2207" s="49">
        <f t="shared" si="6"/>
        <v>0</v>
      </c>
    </row>
    <row r="2208" ht="22.5" customHeight="1">
      <c r="B2208" s="57"/>
      <c r="C2208" s="43" t="str">
        <f t="array" ref="C2208">IF(B2208="","",_xlfn.XLOOKUP(B2208,'Form responses 1'!$B$2:$B$2604,'Form responses 1'!$A$2:$A$2604,""))</f>
        <v/>
      </c>
      <c r="D2208" s="44" t="str">
        <f t="shared" si="3"/>
        <v/>
      </c>
      <c r="E2208" s="44" t="str">
        <f t="array" ref="E2208">IF(B2208="","",_xlfn.XLOOKUP(B2208,'Form responses 1'!$B$2:$B$2604,'Form responses 1'!$C$2:$C$2604,""))</f>
        <v/>
      </c>
      <c r="F2208" s="44" t="str">
        <f t="array" ref="F2208">IF(B2208="","",_xlfn.XLOOKUP(B2208,'Form responses 1'!$B$2:$B$2604,'Form responses 1'!$D$2:$D$2604,""))</f>
        <v/>
      </c>
      <c r="G2208" s="44" t="str">
        <f t="array" ref="G2208">IF(B2208="","",_xlfn.XLOOKUP(B2208,'Form responses 1'!$B$2:$B$2604,'Form responses 1'!$E$2:$E$2604,""))</f>
        <v/>
      </c>
      <c r="H2208" s="44" t="str">
        <f t="array" ref="H2208">IF(B2208="","",_xlfn.XLOOKUP(B2208,'Form responses 1'!$B$2:$B$2604,'Form responses 1'!$F$2:$F$2604,""))</f>
        <v/>
      </c>
      <c r="I2208" s="44" t="str">
        <f t="array" ref="I2208">IF(B2208="","",_xlfn.XLOOKUP(B2208,'Form responses 1'!$B$2:$B$2604,'Form responses 1'!$I$2:$I$2604,""))</f>
        <v/>
      </c>
      <c r="J2208" s="44" t="str">
        <f t="array" ref="J2208">IF(B2208="","",_xlfn.XLOOKUP(B2208,'Form responses 1'!$B$2:$B$2604,'Form responses 1'!$G$2:$G$2604,""))</f>
        <v/>
      </c>
      <c r="K2208" s="56"/>
      <c r="L2208" s="58" t="str">
        <f t="shared" si="7"/>
        <v/>
      </c>
      <c r="M2208" s="49"/>
      <c r="N2208" s="49"/>
      <c r="O2208" s="49"/>
      <c r="P2208" s="49"/>
      <c r="Q2208" s="49"/>
      <c r="R2208" s="49"/>
      <c r="S2208" s="49"/>
      <c r="T2208" s="49"/>
      <c r="U2208" s="49"/>
      <c r="V2208" s="49"/>
      <c r="W2208" s="56"/>
      <c r="X2208" s="51" t="str">
        <f t="shared" si="5"/>
        <v/>
      </c>
      <c r="Y2208" s="50" t="s">
        <v>482</v>
      </c>
      <c r="Z2208" s="49">
        <f t="shared" si="6"/>
        <v>0</v>
      </c>
    </row>
    <row r="2209" ht="22.5" customHeight="1">
      <c r="B2209" s="57"/>
      <c r="C2209" s="43" t="str">
        <f t="array" ref="C2209">IF(B2209="","",_xlfn.XLOOKUP(B2209,'Form responses 1'!$B$2:$B$2604,'Form responses 1'!$A$2:$A$2604,""))</f>
        <v/>
      </c>
      <c r="D2209" s="44" t="str">
        <f t="shared" si="3"/>
        <v/>
      </c>
      <c r="E2209" s="44" t="str">
        <f t="array" ref="E2209">IF(B2209="","",_xlfn.XLOOKUP(B2209,'Form responses 1'!$B$2:$B$2604,'Form responses 1'!$C$2:$C$2604,""))</f>
        <v/>
      </c>
      <c r="F2209" s="44" t="str">
        <f t="array" ref="F2209">IF(B2209="","",_xlfn.XLOOKUP(B2209,'Form responses 1'!$B$2:$B$2604,'Form responses 1'!$D$2:$D$2604,""))</f>
        <v/>
      </c>
      <c r="G2209" s="44" t="str">
        <f t="array" ref="G2209">IF(B2209="","",_xlfn.XLOOKUP(B2209,'Form responses 1'!$B$2:$B$2604,'Form responses 1'!$E$2:$E$2604,""))</f>
        <v/>
      </c>
      <c r="H2209" s="44" t="str">
        <f t="array" ref="H2209">IF(B2209="","",_xlfn.XLOOKUP(B2209,'Form responses 1'!$B$2:$B$2604,'Form responses 1'!$F$2:$F$2604,""))</f>
        <v/>
      </c>
      <c r="I2209" s="44" t="str">
        <f t="array" ref="I2209">IF(B2209="","",_xlfn.XLOOKUP(B2209,'Form responses 1'!$B$2:$B$2604,'Form responses 1'!$I$2:$I$2604,""))</f>
        <v/>
      </c>
      <c r="J2209" s="44" t="str">
        <f t="array" ref="J2209">IF(B2209="","",_xlfn.XLOOKUP(B2209,'Form responses 1'!$B$2:$B$2604,'Form responses 1'!$G$2:$G$2604,""))</f>
        <v/>
      </c>
      <c r="K2209" s="56"/>
      <c r="L2209" s="58" t="str">
        <f t="shared" si="7"/>
        <v/>
      </c>
      <c r="M2209" s="49"/>
      <c r="N2209" s="49"/>
      <c r="O2209" s="49"/>
      <c r="P2209" s="49"/>
      <c r="Q2209" s="49"/>
      <c r="R2209" s="49"/>
      <c r="S2209" s="49"/>
      <c r="T2209" s="49"/>
      <c r="U2209" s="49"/>
      <c r="V2209" s="49"/>
      <c r="W2209" s="56"/>
      <c r="X2209" s="51" t="str">
        <f t="shared" si="5"/>
        <v/>
      </c>
      <c r="Y2209" s="50" t="s">
        <v>482</v>
      </c>
      <c r="Z2209" s="49">
        <f t="shared" si="6"/>
        <v>0</v>
      </c>
    </row>
    <row r="2210" ht="22.5" customHeight="1">
      <c r="B2210" s="57"/>
      <c r="C2210" s="43" t="str">
        <f t="array" ref="C2210">IF(B2210="","",_xlfn.XLOOKUP(B2210,'Form responses 1'!$B$2:$B$2604,'Form responses 1'!$A$2:$A$2604,""))</f>
        <v/>
      </c>
      <c r="D2210" s="44" t="str">
        <f t="shared" si="3"/>
        <v/>
      </c>
      <c r="E2210" s="44" t="str">
        <f t="array" ref="E2210">IF(B2210="","",_xlfn.XLOOKUP(B2210,'Form responses 1'!$B$2:$B$2604,'Form responses 1'!$C$2:$C$2604,""))</f>
        <v/>
      </c>
      <c r="F2210" s="44" t="str">
        <f t="array" ref="F2210">IF(B2210="","",_xlfn.XLOOKUP(B2210,'Form responses 1'!$B$2:$B$2604,'Form responses 1'!$D$2:$D$2604,""))</f>
        <v/>
      </c>
      <c r="G2210" s="44" t="str">
        <f t="array" ref="G2210">IF(B2210="","",_xlfn.XLOOKUP(B2210,'Form responses 1'!$B$2:$B$2604,'Form responses 1'!$E$2:$E$2604,""))</f>
        <v/>
      </c>
      <c r="H2210" s="44" t="str">
        <f t="array" ref="H2210">IF(B2210="","",_xlfn.XLOOKUP(B2210,'Form responses 1'!$B$2:$B$2604,'Form responses 1'!$F$2:$F$2604,""))</f>
        <v/>
      </c>
      <c r="I2210" s="44" t="str">
        <f t="array" ref="I2210">IF(B2210="","",_xlfn.XLOOKUP(B2210,'Form responses 1'!$B$2:$B$2604,'Form responses 1'!$I$2:$I$2604,""))</f>
        <v/>
      </c>
      <c r="J2210" s="44" t="str">
        <f t="array" ref="J2210">IF(B2210="","",_xlfn.XLOOKUP(B2210,'Form responses 1'!$B$2:$B$2604,'Form responses 1'!$G$2:$G$2604,""))</f>
        <v/>
      </c>
      <c r="K2210" s="56"/>
      <c r="L2210" s="58" t="str">
        <f t="shared" si="7"/>
        <v/>
      </c>
      <c r="M2210" s="49"/>
      <c r="N2210" s="49"/>
      <c r="O2210" s="49"/>
      <c r="P2210" s="49"/>
      <c r="Q2210" s="49"/>
      <c r="R2210" s="49"/>
      <c r="S2210" s="49"/>
      <c r="T2210" s="49"/>
      <c r="U2210" s="49"/>
      <c r="V2210" s="49"/>
      <c r="W2210" s="56"/>
      <c r="X2210" s="51" t="str">
        <f t="shared" si="5"/>
        <v/>
      </c>
      <c r="Y2210" s="50" t="s">
        <v>482</v>
      </c>
      <c r="Z2210" s="49">
        <f t="shared" si="6"/>
        <v>0</v>
      </c>
    </row>
    <row r="2211" ht="22.5" customHeight="1">
      <c r="B2211" s="57"/>
      <c r="C2211" s="43" t="str">
        <f t="array" ref="C2211">IF(B2211="","",_xlfn.XLOOKUP(B2211,'Form responses 1'!$B$2:$B$2604,'Form responses 1'!$A$2:$A$2604,""))</f>
        <v/>
      </c>
      <c r="D2211" s="44" t="str">
        <f t="shared" si="3"/>
        <v/>
      </c>
      <c r="E2211" s="44" t="str">
        <f t="array" ref="E2211">IF(B2211="","",_xlfn.XLOOKUP(B2211,'Form responses 1'!$B$2:$B$2604,'Form responses 1'!$C$2:$C$2604,""))</f>
        <v/>
      </c>
      <c r="F2211" s="44" t="str">
        <f t="array" ref="F2211">IF(B2211="","",_xlfn.XLOOKUP(B2211,'Form responses 1'!$B$2:$B$2604,'Form responses 1'!$D$2:$D$2604,""))</f>
        <v/>
      </c>
      <c r="G2211" s="44" t="str">
        <f t="array" ref="G2211">IF(B2211="","",_xlfn.XLOOKUP(B2211,'Form responses 1'!$B$2:$B$2604,'Form responses 1'!$E$2:$E$2604,""))</f>
        <v/>
      </c>
      <c r="H2211" s="44" t="str">
        <f t="array" ref="H2211">IF(B2211="","",_xlfn.XLOOKUP(B2211,'Form responses 1'!$B$2:$B$2604,'Form responses 1'!$F$2:$F$2604,""))</f>
        <v/>
      </c>
      <c r="I2211" s="44" t="str">
        <f t="array" ref="I2211">IF(B2211="","",_xlfn.XLOOKUP(B2211,'Form responses 1'!$B$2:$B$2604,'Form responses 1'!$I$2:$I$2604,""))</f>
        <v/>
      </c>
      <c r="J2211" s="44" t="str">
        <f t="array" ref="J2211">IF(B2211="","",_xlfn.XLOOKUP(B2211,'Form responses 1'!$B$2:$B$2604,'Form responses 1'!$G$2:$G$2604,""))</f>
        <v/>
      </c>
      <c r="K2211" s="56"/>
      <c r="L2211" s="58" t="str">
        <f t="shared" si="7"/>
        <v/>
      </c>
      <c r="M2211" s="49"/>
      <c r="N2211" s="49"/>
      <c r="O2211" s="49"/>
      <c r="P2211" s="49"/>
      <c r="Q2211" s="49"/>
      <c r="R2211" s="49"/>
      <c r="S2211" s="49"/>
      <c r="T2211" s="49"/>
      <c r="U2211" s="49"/>
      <c r="V2211" s="49"/>
      <c r="W2211" s="56"/>
      <c r="X2211" s="51" t="str">
        <f t="shared" si="5"/>
        <v/>
      </c>
      <c r="Y2211" s="50" t="s">
        <v>482</v>
      </c>
      <c r="Z2211" s="49">
        <f t="shared" si="6"/>
        <v>0</v>
      </c>
    </row>
    <row r="2212" ht="22.5" customHeight="1">
      <c r="B2212" s="57"/>
      <c r="C2212" s="43" t="str">
        <f t="array" ref="C2212">IF(B2212="","",_xlfn.XLOOKUP(B2212,'Form responses 1'!$B$2:$B$2604,'Form responses 1'!$A$2:$A$2604,""))</f>
        <v/>
      </c>
      <c r="D2212" s="44" t="str">
        <f t="shared" si="3"/>
        <v/>
      </c>
      <c r="E2212" s="44" t="str">
        <f t="array" ref="E2212">IF(B2212="","",_xlfn.XLOOKUP(B2212,'Form responses 1'!$B$2:$B$2604,'Form responses 1'!$C$2:$C$2604,""))</f>
        <v/>
      </c>
      <c r="F2212" s="44" t="str">
        <f t="array" ref="F2212">IF(B2212="","",_xlfn.XLOOKUP(B2212,'Form responses 1'!$B$2:$B$2604,'Form responses 1'!$D$2:$D$2604,""))</f>
        <v/>
      </c>
      <c r="G2212" s="44" t="str">
        <f t="array" ref="G2212">IF(B2212="","",_xlfn.XLOOKUP(B2212,'Form responses 1'!$B$2:$B$2604,'Form responses 1'!$E$2:$E$2604,""))</f>
        <v/>
      </c>
      <c r="H2212" s="44" t="str">
        <f t="array" ref="H2212">IF(B2212="","",_xlfn.XLOOKUP(B2212,'Form responses 1'!$B$2:$B$2604,'Form responses 1'!$F$2:$F$2604,""))</f>
        <v/>
      </c>
      <c r="I2212" s="44" t="str">
        <f t="array" ref="I2212">IF(B2212="","",_xlfn.XLOOKUP(B2212,'Form responses 1'!$B$2:$B$2604,'Form responses 1'!$I$2:$I$2604,""))</f>
        <v/>
      </c>
      <c r="J2212" s="44" t="str">
        <f t="array" ref="J2212">IF(B2212="","",_xlfn.XLOOKUP(B2212,'Form responses 1'!$B$2:$B$2604,'Form responses 1'!$G$2:$G$2604,""))</f>
        <v/>
      </c>
      <c r="K2212" s="56"/>
      <c r="L2212" s="58" t="str">
        <f t="shared" si="7"/>
        <v/>
      </c>
      <c r="M2212" s="49"/>
      <c r="N2212" s="49"/>
      <c r="O2212" s="49"/>
      <c r="P2212" s="49"/>
      <c r="Q2212" s="49"/>
      <c r="R2212" s="49"/>
      <c r="S2212" s="49"/>
      <c r="T2212" s="49"/>
      <c r="U2212" s="49"/>
      <c r="V2212" s="49"/>
      <c r="W2212" s="56"/>
      <c r="X2212" s="51" t="str">
        <f t="shared" si="5"/>
        <v/>
      </c>
      <c r="Y2212" s="50" t="s">
        <v>482</v>
      </c>
      <c r="Z2212" s="49">
        <f t="shared" si="6"/>
        <v>0</v>
      </c>
    </row>
    <row r="2213" ht="22.5" customHeight="1">
      <c r="B2213" s="57"/>
      <c r="C2213" s="43" t="str">
        <f t="array" ref="C2213">IF(B2213="","",_xlfn.XLOOKUP(B2213,'Form responses 1'!$B$2:$B$2604,'Form responses 1'!$A$2:$A$2604,""))</f>
        <v/>
      </c>
      <c r="D2213" s="44" t="str">
        <f t="shared" si="3"/>
        <v/>
      </c>
      <c r="E2213" s="44" t="str">
        <f t="array" ref="E2213">IF(B2213="","",_xlfn.XLOOKUP(B2213,'Form responses 1'!$B$2:$B$2604,'Form responses 1'!$C$2:$C$2604,""))</f>
        <v/>
      </c>
      <c r="F2213" s="44" t="str">
        <f t="array" ref="F2213">IF(B2213="","",_xlfn.XLOOKUP(B2213,'Form responses 1'!$B$2:$B$2604,'Form responses 1'!$D$2:$D$2604,""))</f>
        <v/>
      </c>
      <c r="G2213" s="44" t="str">
        <f t="array" ref="G2213">IF(B2213="","",_xlfn.XLOOKUP(B2213,'Form responses 1'!$B$2:$B$2604,'Form responses 1'!$E$2:$E$2604,""))</f>
        <v/>
      </c>
      <c r="H2213" s="44" t="str">
        <f t="array" ref="H2213">IF(B2213="","",_xlfn.XLOOKUP(B2213,'Form responses 1'!$B$2:$B$2604,'Form responses 1'!$F$2:$F$2604,""))</f>
        <v/>
      </c>
      <c r="I2213" s="44" t="str">
        <f t="array" ref="I2213">IF(B2213="","",_xlfn.XLOOKUP(B2213,'Form responses 1'!$B$2:$B$2604,'Form responses 1'!$I$2:$I$2604,""))</f>
        <v/>
      </c>
      <c r="J2213" s="44" t="str">
        <f t="array" ref="J2213">IF(B2213="","",_xlfn.XLOOKUP(B2213,'Form responses 1'!$B$2:$B$2604,'Form responses 1'!$G$2:$G$2604,""))</f>
        <v/>
      </c>
      <c r="K2213" s="56"/>
      <c r="L2213" s="58" t="str">
        <f t="shared" si="7"/>
        <v/>
      </c>
      <c r="M2213" s="49"/>
      <c r="N2213" s="49"/>
      <c r="O2213" s="49"/>
      <c r="P2213" s="49"/>
      <c r="Q2213" s="49"/>
      <c r="R2213" s="49"/>
      <c r="S2213" s="49"/>
      <c r="T2213" s="49"/>
      <c r="U2213" s="49"/>
      <c r="V2213" s="49"/>
      <c r="W2213" s="56"/>
      <c r="X2213" s="51" t="str">
        <f t="shared" si="5"/>
        <v/>
      </c>
      <c r="Y2213" s="50" t="s">
        <v>482</v>
      </c>
      <c r="Z2213" s="49">
        <f t="shared" si="6"/>
        <v>0</v>
      </c>
    </row>
    <row r="2214" ht="22.5" customHeight="1">
      <c r="B2214" s="57"/>
      <c r="C2214" s="43" t="str">
        <f t="array" ref="C2214">IF(B2214="","",_xlfn.XLOOKUP(B2214,'Form responses 1'!$B$2:$B$2604,'Form responses 1'!$A$2:$A$2604,""))</f>
        <v/>
      </c>
      <c r="D2214" s="44" t="str">
        <f t="shared" si="3"/>
        <v/>
      </c>
      <c r="E2214" s="44" t="str">
        <f t="array" ref="E2214">IF(B2214="","",_xlfn.XLOOKUP(B2214,'Form responses 1'!$B$2:$B$2604,'Form responses 1'!$C$2:$C$2604,""))</f>
        <v/>
      </c>
      <c r="F2214" s="44" t="str">
        <f t="array" ref="F2214">IF(B2214="","",_xlfn.XLOOKUP(B2214,'Form responses 1'!$B$2:$B$2604,'Form responses 1'!$D$2:$D$2604,""))</f>
        <v/>
      </c>
      <c r="G2214" s="44" t="str">
        <f t="array" ref="G2214">IF(B2214="","",_xlfn.XLOOKUP(B2214,'Form responses 1'!$B$2:$B$2604,'Form responses 1'!$E$2:$E$2604,""))</f>
        <v/>
      </c>
      <c r="H2214" s="44" t="str">
        <f t="array" ref="H2214">IF(B2214="","",_xlfn.XLOOKUP(B2214,'Form responses 1'!$B$2:$B$2604,'Form responses 1'!$F$2:$F$2604,""))</f>
        <v/>
      </c>
      <c r="I2214" s="44" t="str">
        <f t="array" ref="I2214">IF(B2214="","",_xlfn.XLOOKUP(B2214,'Form responses 1'!$B$2:$B$2604,'Form responses 1'!$I$2:$I$2604,""))</f>
        <v/>
      </c>
      <c r="J2214" s="44" t="str">
        <f t="array" ref="J2214">IF(B2214="","",_xlfn.XLOOKUP(B2214,'Form responses 1'!$B$2:$B$2604,'Form responses 1'!$G$2:$G$2604,""))</f>
        <v/>
      </c>
      <c r="K2214" s="56"/>
      <c r="L2214" s="58" t="str">
        <f t="shared" si="7"/>
        <v/>
      </c>
      <c r="M2214" s="49"/>
      <c r="N2214" s="49"/>
      <c r="O2214" s="49"/>
      <c r="P2214" s="49"/>
      <c r="Q2214" s="49"/>
      <c r="R2214" s="49"/>
      <c r="S2214" s="49"/>
      <c r="T2214" s="49"/>
      <c r="U2214" s="49"/>
      <c r="V2214" s="49"/>
      <c r="W2214" s="56"/>
      <c r="X2214" s="51" t="str">
        <f t="shared" si="5"/>
        <v/>
      </c>
      <c r="Y2214" s="50" t="s">
        <v>482</v>
      </c>
      <c r="Z2214" s="49">
        <f t="shared" si="6"/>
        <v>0</v>
      </c>
    </row>
    <row r="2215" ht="22.5" customHeight="1">
      <c r="B2215" s="57"/>
      <c r="C2215" s="43" t="str">
        <f t="array" ref="C2215">IF(B2215="","",_xlfn.XLOOKUP(B2215,'Form responses 1'!$B$2:$B$2604,'Form responses 1'!$A$2:$A$2604,""))</f>
        <v/>
      </c>
      <c r="D2215" s="44" t="str">
        <f t="shared" si="3"/>
        <v/>
      </c>
      <c r="E2215" s="44" t="str">
        <f t="array" ref="E2215">IF(B2215="","",_xlfn.XLOOKUP(B2215,'Form responses 1'!$B$2:$B$2604,'Form responses 1'!$C$2:$C$2604,""))</f>
        <v/>
      </c>
      <c r="F2215" s="44" t="str">
        <f t="array" ref="F2215">IF(B2215="","",_xlfn.XLOOKUP(B2215,'Form responses 1'!$B$2:$B$2604,'Form responses 1'!$D$2:$D$2604,""))</f>
        <v/>
      </c>
      <c r="G2215" s="44" t="str">
        <f t="array" ref="G2215">IF(B2215="","",_xlfn.XLOOKUP(B2215,'Form responses 1'!$B$2:$B$2604,'Form responses 1'!$E$2:$E$2604,""))</f>
        <v/>
      </c>
      <c r="H2215" s="44" t="str">
        <f t="array" ref="H2215">IF(B2215="","",_xlfn.XLOOKUP(B2215,'Form responses 1'!$B$2:$B$2604,'Form responses 1'!$F$2:$F$2604,""))</f>
        <v/>
      </c>
      <c r="I2215" s="44" t="str">
        <f t="array" ref="I2215">IF(B2215="","",_xlfn.XLOOKUP(B2215,'Form responses 1'!$B$2:$B$2604,'Form responses 1'!$I$2:$I$2604,""))</f>
        <v/>
      </c>
      <c r="J2215" s="44" t="str">
        <f t="array" ref="J2215">IF(B2215="","",_xlfn.XLOOKUP(B2215,'Form responses 1'!$B$2:$B$2604,'Form responses 1'!$G$2:$G$2604,""))</f>
        <v/>
      </c>
      <c r="K2215" s="56"/>
      <c r="L2215" s="58" t="str">
        <f t="shared" si="7"/>
        <v/>
      </c>
      <c r="M2215" s="49"/>
      <c r="N2215" s="49"/>
      <c r="O2215" s="49"/>
      <c r="P2215" s="49"/>
      <c r="Q2215" s="49"/>
      <c r="R2215" s="49"/>
      <c r="S2215" s="49"/>
      <c r="T2215" s="49"/>
      <c r="U2215" s="49"/>
      <c r="V2215" s="49"/>
      <c r="W2215" s="56"/>
      <c r="X2215" s="51" t="str">
        <f t="shared" si="5"/>
        <v/>
      </c>
      <c r="Y2215" s="50" t="s">
        <v>482</v>
      </c>
      <c r="Z2215" s="49">
        <f t="shared" si="6"/>
        <v>0</v>
      </c>
    </row>
    <row r="2216" ht="22.5" customHeight="1">
      <c r="B2216" s="57"/>
      <c r="C2216" s="43" t="str">
        <f t="array" ref="C2216">IF(B2216="","",_xlfn.XLOOKUP(B2216,'Form responses 1'!$B$2:$B$2604,'Form responses 1'!$A$2:$A$2604,""))</f>
        <v/>
      </c>
      <c r="D2216" s="44" t="str">
        <f t="shared" si="3"/>
        <v/>
      </c>
      <c r="E2216" s="44" t="str">
        <f t="array" ref="E2216">IF(B2216="","",_xlfn.XLOOKUP(B2216,'Form responses 1'!$B$2:$B$2604,'Form responses 1'!$C$2:$C$2604,""))</f>
        <v/>
      </c>
      <c r="F2216" s="44" t="str">
        <f t="array" ref="F2216">IF(B2216="","",_xlfn.XLOOKUP(B2216,'Form responses 1'!$B$2:$B$2604,'Form responses 1'!$D$2:$D$2604,""))</f>
        <v/>
      </c>
      <c r="G2216" s="44" t="str">
        <f t="array" ref="G2216">IF(B2216="","",_xlfn.XLOOKUP(B2216,'Form responses 1'!$B$2:$B$2604,'Form responses 1'!$E$2:$E$2604,""))</f>
        <v/>
      </c>
      <c r="H2216" s="44" t="str">
        <f t="array" ref="H2216">IF(B2216="","",_xlfn.XLOOKUP(B2216,'Form responses 1'!$B$2:$B$2604,'Form responses 1'!$F$2:$F$2604,""))</f>
        <v/>
      </c>
      <c r="I2216" s="44" t="str">
        <f t="array" ref="I2216">IF(B2216="","",_xlfn.XLOOKUP(B2216,'Form responses 1'!$B$2:$B$2604,'Form responses 1'!$I$2:$I$2604,""))</f>
        <v/>
      </c>
      <c r="J2216" s="44" t="str">
        <f t="array" ref="J2216">IF(B2216="","",_xlfn.XLOOKUP(B2216,'Form responses 1'!$B$2:$B$2604,'Form responses 1'!$G$2:$G$2604,""))</f>
        <v/>
      </c>
      <c r="K2216" s="56"/>
      <c r="L2216" s="58" t="str">
        <f t="shared" si="7"/>
        <v/>
      </c>
      <c r="M2216" s="49"/>
      <c r="N2216" s="49"/>
      <c r="O2216" s="49"/>
      <c r="P2216" s="49"/>
      <c r="Q2216" s="49"/>
      <c r="R2216" s="49"/>
      <c r="S2216" s="49"/>
      <c r="T2216" s="49"/>
      <c r="U2216" s="49"/>
      <c r="V2216" s="49"/>
      <c r="W2216" s="56"/>
      <c r="X2216" s="51" t="str">
        <f t="shared" si="5"/>
        <v/>
      </c>
      <c r="Y2216" s="50" t="s">
        <v>482</v>
      </c>
      <c r="Z2216" s="49">
        <f t="shared" si="6"/>
        <v>0</v>
      </c>
    </row>
    <row r="2217" ht="22.5" customHeight="1">
      <c r="B2217" s="57"/>
      <c r="C2217" s="43" t="str">
        <f t="array" ref="C2217">IF(B2217="","",_xlfn.XLOOKUP(B2217,'Form responses 1'!$B$2:$B$2604,'Form responses 1'!$A$2:$A$2604,""))</f>
        <v/>
      </c>
      <c r="D2217" s="44" t="str">
        <f t="shared" si="3"/>
        <v/>
      </c>
      <c r="E2217" s="44" t="str">
        <f t="array" ref="E2217">IF(B2217="","",_xlfn.XLOOKUP(B2217,'Form responses 1'!$B$2:$B$2604,'Form responses 1'!$C$2:$C$2604,""))</f>
        <v/>
      </c>
      <c r="F2217" s="44" t="str">
        <f t="array" ref="F2217">IF(B2217="","",_xlfn.XLOOKUP(B2217,'Form responses 1'!$B$2:$B$2604,'Form responses 1'!$D$2:$D$2604,""))</f>
        <v/>
      </c>
      <c r="G2217" s="44" t="str">
        <f t="array" ref="G2217">IF(B2217="","",_xlfn.XLOOKUP(B2217,'Form responses 1'!$B$2:$B$2604,'Form responses 1'!$E$2:$E$2604,""))</f>
        <v/>
      </c>
      <c r="H2217" s="44" t="str">
        <f t="array" ref="H2217">IF(B2217="","",_xlfn.XLOOKUP(B2217,'Form responses 1'!$B$2:$B$2604,'Form responses 1'!$F$2:$F$2604,""))</f>
        <v/>
      </c>
      <c r="I2217" s="44" t="str">
        <f t="array" ref="I2217">IF(B2217="","",_xlfn.XLOOKUP(B2217,'Form responses 1'!$B$2:$B$2604,'Form responses 1'!$I$2:$I$2604,""))</f>
        <v/>
      </c>
      <c r="J2217" s="44" t="str">
        <f t="array" ref="J2217">IF(B2217="","",_xlfn.XLOOKUP(B2217,'Form responses 1'!$B$2:$B$2604,'Form responses 1'!$G$2:$G$2604,""))</f>
        <v/>
      </c>
      <c r="K2217" s="56"/>
      <c r="L2217" s="58" t="str">
        <f t="shared" si="7"/>
        <v/>
      </c>
      <c r="M2217" s="49"/>
      <c r="N2217" s="49"/>
      <c r="O2217" s="49"/>
      <c r="P2217" s="49"/>
      <c r="Q2217" s="49"/>
      <c r="R2217" s="49"/>
      <c r="S2217" s="49"/>
      <c r="T2217" s="49"/>
      <c r="U2217" s="49"/>
      <c r="V2217" s="49"/>
      <c r="W2217" s="56"/>
      <c r="X2217" s="51" t="str">
        <f t="shared" si="5"/>
        <v/>
      </c>
      <c r="Y2217" s="50" t="s">
        <v>482</v>
      </c>
      <c r="Z2217" s="49">
        <f t="shared" si="6"/>
        <v>0</v>
      </c>
    </row>
    <row r="2218" ht="22.5" customHeight="1">
      <c r="B2218" s="57"/>
      <c r="C2218" s="43" t="str">
        <f t="array" ref="C2218">IF(B2218="","",_xlfn.XLOOKUP(B2218,'Form responses 1'!$B$2:$B$2604,'Form responses 1'!$A$2:$A$2604,""))</f>
        <v/>
      </c>
      <c r="D2218" s="44" t="str">
        <f t="shared" si="3"/>
        <v/>
      </c>
      <c r="E2218" s="44" t="str">
        <f t="array" ref="E2218">IF(B2218="","",_xlfn.XLOOKUP(B2218,'Form responses 1'!$B$2:$B$2604,'Form responses 1'!$C$2:$C$2604,""))</f>
        <v/>
      </c>
      <c r="F2218" s="44" t="str">
        <f t="array" ref="F2218">IF(B2218="","",_xlfn.XLOOKUP(B2218,'Form responses 1'!$B$2:$B$2604,'Form responses 1'!$D$2:$D$2604,""))</f>
        <v/>
      </c>
      <c r="G2218" s="44" t="str">
        <f t="array" ref="G2218">IF(B2218="","",_xlfn.XLOOKUP(B2218,'Form responses 1'!$B$2:$B$2604,'Form responses 1'!$E$2:$E$2604,""))</f>
        <v/>
      </c>
      <c r="H2218" s="44" t="str">
        <f t="array" ref="H2218">IF(B2218="","",_xlfn.XLOOKUP(B2218,'Form responses 1'!$B$2:$B$2604,'Form responses 1'!$F$2:$F$2604,""))</f>
        <v/>
      </c>
      <c r="I2218" s="44" t="str">
        <f t="array" ref="I2218">IF(B2218="","",_xlfn.XLOOKUP(B2218,'Form responses 1'!$B$2:$B$2604,'Form responses 1'!$I$2:$I$2604,""))</f>
        <v/>
      </c>
      <c r="J2218" s="44" t="str">
        <f t="array" ref="J2218">IF(B2218="","",_xlfn.XLOOKUP(B2218,'Form responses 1'!$B$2:$B$2604,'Form responses 1'!$G$2:$G$2604,""))</f>
        <v/>
      </c>
      <c r="K2218" s="56"/>
      <c r="L2218" s="58" t="str">
        <f t="shared" si="7"/>
        <v/>
      </c>
      <c r="M2218" s="49"/>
      <c r="N2218" s="49"/>
      <c r="O2218" s="49"/>
      <c r="P2218" s="49"/>
      <c r="Q2218" s="49"/>
      <c r="R2218" s="49"/>
      <c r="S2218" s="49"/>
      <c r="T2218" s="49"/>
      <c r="U2218" s="49"/>
      <c r="V2218" s="49"/>
      <c r="W2218" s="56"/>
      <c r="X2218" s="51" t="str">
        <f t="shared" si="5"/>
        <v/>
      </c>
      <c r="Y2218" s="50" t="s">
        <v>482</v>
      </c>
      <c r="Z2218" s="49">
        <f t="shared" si="6"/>
        <v>0</v>
      </c>
    </row>
    <row r="2219" ht="22.5" customHeight="1">
      <c r="B2219" s="57"/>
      <c r="C2219" s="43" t="str">
        <f t="array" ref="C2219">IF(B2219="","",_xlfn.XLOOKUP(B2219,'Form responses 1'!$B$2:$B$2604,'Form responses 1'!$A$2:$A$2604,""))</f>
        <v/>
      </c>
      <c r="D2219" s="44" t="str">
        <f t="shared" si="3"/>
        <v/>
      </c>
      <c r="E2219" s="44" t="str">
        <f t="array" ref="E2219">IF(B2219="","",_xlfn.XLOOKUP(B2219,'Form responses 1'!$B$2:$B$2604,'Form responses 1'!$C$2:$C$2604,""))</f>
        <v/>
      </c>
      <c r="F2219" s="44" t="str">
        <f t="array" ref="F2219">IF(B2219="","",_xlfn.XLOOKUP(B2219,'Form responses 1'!$B$2:$B$2604,'Form responses 1'!$D$2:$D$2604,""))</f>
        <v/>
      </c>
      <c r="G2219" s="44" t="str">
        <f t="array" ref="G2219">IF(B2219="","",_xlfn.XLOOKUP(B2219,'Form responses 1'!$B$2:$B$2604,'Form responses 1'!$E$2:$E$2604,""))</f>
        <v/>
      </c>
      <c r="H2219" s="44" t="str">
        <f t="array" ref="H2219">IF(B2219="","",_xlfn.XLOOKUP(B2219,'Form responses 1'!$B$2:$B$2604,'Form responses 1'!$F$2:$F$2604,""))</f>
        <v/>
      </c>
      <c r="I2219" s="44" t="str">
        <f t="array" ref="I2219">IF(B2219="","",_xlfn.XLOOKUP(B2219,'Form responses 1'!$B$2:$B$2604,'Form responses 1'!$I$2:$I$2604,""))</f>
        <v/>
      </c>
      <c r="J2219" s="44" t="str">
        <f t="array" ref="J2219">IF(B2219="","",_xlfn.XLOOKUP(B2219,'Form responses 1'!$B$2:$B$2604,'Form responses 1'!$G$2:$G$2604,""))</f>
        <v/>
      </c>
      <c r="K2219" s="56"/>
      <c r="L2219" s="58" t="str">
        <f t="shared" si="7"/>
        <v/>
      </c>
      <c r="M2219" s="49"/>
      <c r="N2219" s="49"/>
      <c r="O2219" s="49"/>
      <c r="P2219" s="49"/>
      <c r="Q2219" s="49"/>
      <c r="R2219" s="49"/>
      <c r="S2219" s="49"/>
      <c r="T2219" s="49"/>
      <c r="U2219" s="49"/>
      <c r="V2219" s="49"/>
      <c r="W2219" s="56"/>
      <c r="X2219" s="51" t="str">
        <f t="shared" si="5"/>
        <v/>
      </c>
      <c r="Y2219" s="50" t="s">
        <v>482</v>
      </c>
      <c r="Z2219" s="49">
        <f t="shared" si="6"/>
        <v>0</v>
      </c>
    </row>
    <row r="2220" ht="22.5" customHeight="1">
      <c r="B2220" s="57"/>
      <c r="C2220" s="43" t="str">
        <f t="array" ref="C2220">IF(B2220="","",_xlfn.XLOOKUP(B2220,'Form responses 1'!$B$2:$B$2604,'Form responses 1'!$A$2:$A$2604,""))</f>
        <v/>
      </c>
      <c r="D2220" s="44" t="str">
        <f t="shared" si="3"/>
        <v/>
      </c>
      <c r="E2220" s="44" t="str">
        <f t="array" ref="E2220">IF(B2220="","",_xlfn.XLOOKUP(B2220,'Form responses 1'!$B$2:$B$2604,'Form responses 1'!$C$2:$C$2604,""))</f>
        <v/>
      </c>
      <c r="F2220" s="44" t="str">
        <f t="array" ref="F2220">IF(B2220="","",_xlfn.XLOOKUP(B2220,'Form responses 1'!$B$2:$B$2604,'Form responses 1'!$D$2:$D$2604,""))</f>
        <v/>
      </c>
      <c r="G2220" s="44" t="str">
        <f t="array" ref="G2220">IF(B2220="","",_xlfn.XLOOKUP(B2220,'Form responses 1'!$B$2:$B$2604,'Form responses 1'!$E$2:$E$2604,""))</f>
        <v/>
      </c>
      <c r="H2220" s="44" t="str">
        <f t="array" ref="H2220">IF(B2220="","",_xlfn.XLOOKUP(B2220,'Form responses 1'!$B$2:$B$2604,'Form responses 1'!$F$2:$F$2604,""))</f>
        <v/>
      </c>
      <c r="I2220" s="44" t="str">
        <f t="array" ref="I2220">IF(B2220="","",_xlfn.XLOOKUP(B2220,'Form responses 1'!$B$2:$B$2604,'Form responses 1'!$I$2:$I$2604,""))</f>
        <v/>
      </c>
      <c r="J2220" s="44" t="str">
        <f t="array" ref="J2220">IF(B2220="","",_xlfn.XLOOKUP(B2220,'Form responses 1'!$B$2:$B$2604,'Form responses 1'!$G$2:$G$2604,""))</f>
        <v/>
      </c>
      <c r="K2220" s="56"/>
      <c r="L2220" s="58" t="str">
        <f t="shared" si="7"/>
        <v/>
      </c>
      <c r="M2220" s="49"/>
      <c r="N2220" s="49"/>
      <c r="O2220" s="49"/>
      <c r="P2220" s="49"/>
      <c r="Q2220" s="49"/>
      <c r="R2220" s="49"/>
      <c r="S2220" s="49"/>
      <c r="T2220" s="49"/>
      <c r="U2220" s="49"/>
      <c r="V2220" s="49"/>
      <c r="W2220" s="56"/>
      <c r="X2220" s="51" t="str">
        <f t="shared" si="5"/>
        <v/>
      </c>
      <c r="Y2220" s="50" t="s">
        <v>482</v>
      </c>
      <c r="Z2220" s="49">
        <f t="shared" si="6"/>
        <v>0</v>
      </c>
    </row>
    <row r="2221" ht="22.5" customHeight="1">
      <c r="B2221" s="57"/>
      <c r="C2221" s="43" t="str">
        <f t="array" ref="C2221">IF(B2221="","",_xlfn.XLOOKUP(B2221,'Form responses 1'!$B$2:$B$2604,'Form responses 1'!$A$2:$A$2604,""))</f>
        <v/>
      </c>
      <c r="D2221" s="44" t="str">
        <f t="shared" si="3"/>
        <v/>
      </c>
      <c r="E2221" s="44" t="str">
        <f t="array" ref="E2221">IF(B2221="","",_xlfn.XLOOKUP(B2221,'Form responses 1'!$B$2:$B$2604,'Form responses 1'!$C$2:$C$2604,""))</f>
        <v/>
      </c>
      <c r="F2221" s="44" t="str">
        <f t="array" ref="F2221">IF(B2221="","",_xlfn.XLOOKUP(B2221,'Form responses 1'!$B$2:$B$2604,'Form responses 1'!$D$2:$D$2604,""))</f>
        <v/>
      </c>
      <c r="G2221" s="44" t="str">
        <f t="array" ref="G2221">IF(B2221="","",_xlfn.XLOOKUP(B2221,'Form responses 1'!$B$2:$B$2604,'Form responses 1'!$E$2:$E$2604,""))</f>
        <v/>
      </c>
      <c r="H2221" s="44" t="str">
        <f t="array" ref="H2221">IF(B2221="","",_xlfn.XLOOKUP(B2221,'Form responses 1'!$B$2:$B$2604,'Form responses 1'!$F$2:$F$2604,""))</f>
        <v/>
      </c>
      <c r="I2221" s="44" t="str">
        <f t="array" ref="I2221">IF(B2221="","",_xlfn.XLOOKUP(B2221,'Form responses 1'!$B$2:$B$2604,'Form responses 1'!$I$2:$I$2604,""))</f>
        <v/>
      </c>
      <c r="J2221" s="44" t="str">
        <f t="array" ref="J2221">IF(B2221="","",_xlfn.XLOOKUP(B2221,'Form responses 1'!$B$2:$B$2604,'Form responses 1'!$G$2:$G$2604,""))</f>
        <v/>
      </c>
      <c r="K2221" s="56"/>
      <c r="L2221" s="58" t="str">
        <f t="shared" si="7"/>
        <v/>
      </c>
      <c r="M2221" s="49"/>
      <c r="N2221" s="49"/>
      <c r="O2221" s="49"/>
      <c r="P2221" s="49"/>
      <c r="Q2221" s="49"/>
      <c r="R2221" s="49"/>
      <c r="S2221" s="49"/>
      <c r="T2221" s="49"/>
      <c r="U2221" s="49"/>
      <c r="V2221" s="49"/>
      <c r="W2221" s="56"/>
      <c r="X2221" s="51" t="str">
        <f t="shared" si="5"/>
        <v/>
      </c>
      <c r="Y2221" s="50" t="s">
        <v>482</v>
      </c>
      <c r="Z2221" s="49">
        <f t="shared" si="6"/>
        <v>0</v>
      </c>
    </row>
    <row r="2222" ht="22.5" customHeight="1">
      <c r="B2222" s="57"/>
      <c r="C2222" s="43" t="str">
        <f t="array" ref="C2222">IF(B2222="","",_xlfn.XLOOKUP(B2222,'Form responses 1'!$B$2:$B$2604,'Form responses 1'!$A$2:$A$2604,""))</f>
        <v/>
      </c>
      <c r="D2222" s="44" t="str">
        <f t="shared" si="3"/>
        <v/>
      </c>
      <c r="E2222" s="44" t="str">
        <f t="array" ref="E2222">IF(B2222="","",_xlfn.XLOOKUP(B2222,'Form responses 1'!$B$2:$B$2604,'Form responses 1'!$C$2:$C$2604,""))</f>
        <v/>
      </c>
      <c r="F2222" s="44" t="str">
        <f t="array" ref="F2222">IF(B2222="","",_xlfn.XLOOKUP(B2222,'Form responses 1'!$B$2:$B$2604,'Form responses 1'!$D$2:$D$2604,""))</f>
        <v/>
      </c>
      <c r="G2222" s="44" t="str">
        <f t="array" ref="G2222">IF(B2222="","",_xlfn.XLOOKUP(B2222,'Form responses 1'!$B$2:$B$2604,'Form responses 1'!$E$2:$E$2604,""))</f>
        <v/>
      </c>
      <c r="H2222" s="44" t="str">
        <f t="array" ref="H2222">IF(B2222="","",_xlfn.XLOOKUP(B2222,'Form responses 1'!$B$2:$B$2604,'Form responses 1'!$F$2:$F$2604,""))</f>
        <v/>
      </c>
      <c r="I2222" s="44" t="str">
        <f t="array" ref="I2222">IF(B2222="","",_xlfn.XLOOKUP(B2222,'Form responses 1'!$B$2:$B$2604,'Form responses 1'!$I$2:$I$2604,""))</f>
        <v/>
      </c>
      <c r="J2222" s="44" t="str">
        <f t="array" ref="J2222">IF(B2222="","",_xlfn.XLOOKUP(B2222,'Form responses 1'!$B$2:$B$2604,'Form responses 1'!$G$2:$G$2604,""))</f>
        <v/>
      </c>
      <c r="K2222" s="56"/>
      <c r="L2222" s="58" t="str">
        <f t="shared" si="7"/>
        <v/>
      </c>
      <c r="M2222" s="49"/>
      <c r="N2222" s="49"/>
      <c r="O2222" s="49"/>
      <c r="P2222" s="49"/>
      <c r="Q2222" s="49"/>
      <c r="R2222" s="49"/>
      <c r="S2222" s="49"/>
      <c r="T2222" s="49"/>
      <c r="U2222" s="49"/>
      <c r="V2222" s="49"/>
      <c r="W2222" s="56"/>
      <c r="X2222" s="51" t="str">
        <f t="shared" si="5"/>
        <v/>
      </c>
      <c r="Y2222" s="50" t="s">
        <v>482</v>
      </c>
      <c r="Z2222" s="49">
        <f t="shared" si="6"/>
        <v>0</v>
      </c>
    </row>
    <row r="2223" ht="22.5" customHeight="1">
      <c r="B2223" s="57"/>
      <c r="C2223" s="43" t="str">
        <f t="array" ref="C2223">IF(B2223="","",_xlfn.XLOOKUP(B2223,'Form responses 1'!$B$2:$B$2604,'Form responses 1'!$A$2:$A$2604,""))</f>
        <v/>
      </c>
      <c r="D2223" s="44" t="str">
        <f t="shared" si="3"/>
        <v/>
      </c>
      <c r="E2223" s="44" t="str">
        <f t="array" ref="E2223">IF(B2223="","",_xlfn.XLOOKUP(B2223,'Form responses 1'!$B$2:$B$2604,'Form responses 1'!$C$2:$C$2604,""))</f>
        <v/>
      </c>
      <c r="F2223" s="44" t="str">
        <f t="array" ref="F2223">IF(B2223="","",_xlfn.XLOOKUP(B2223,'Form responses 1'!$B$2:$B$2604,'Form responses 1'!$D$2:$D$2604,""))</f>
        <v/>
      </c>
      <c r="G2223" s="44" t="str">
        <f t="array" ref="G2223">IF(B2223="","",_xlfn.XLOOKUP(B2223,'Form responses 1'!$B$2:$B$2604,'Form responses 1'!$E$2:$E$2604,""))</f>
        <v/>
      </c>
      <c r="H2223" s="44" t="str">
        <f t="array" ref="H2223">IF(B2223="","",_xlfn.XLOOKUP(B2223,'Form responses 1'!$B$2:$B$2604,'Form responses 1'!$F$2:$F$2604,""))</f>
        <v/>
      </c>
      <c r="I2223" s="44" t="str">
        <f t="array" ref="I2223">IF(B2223="","",_xlfn.XLOOKUP(B2223,'Form responses 1'!$B$2:$B$2604,'Form responses 1'!$I$2:$I$2604,""))</f>
        <v/>
      </c>
      <c r="J2223" s="44" t="str">
        <f t="array" ref="J2223">IF(B2223="","",_xlfn.XLOOKUP(B2223,'Form responses 1'!$B$2:$B$2604,'Form responses 1'!$G$2:$G$2604,""))</f>
        <v/>
      </c>
      <c r="K2223" s="56"/>
      <c r="L2223" s="58" t="str">
        <f t="shared" si="7"/>
        <v/>
      </c>
      <c r="M2223" s="49"/>
      <c r="N2223" s="49"/>
      <c r="O2223" s="49"/>
      <c r="P2223" s="49"/>
      <c r="Q2223" s="49"/>
      <c r="R2223" s="49"/>
      <c r="S2223" s="49"/>
      <c r="T2223" s="49"/>
      <c r="U2223" s="49"/>
      <c r="V2223" s="49"/>
      <c r="W2223" s="56"/>
      <c r="X2223" s="51" t="str">
        <f t="shared" si="5"/>
        <v/>
      </c>
      <c r="Y2223" s="50" t="s">
        <v>482</v>
      </c>
      <c r="Z2223" s="49">
        <f t="shared" si="6"/>
        <v>0</v>
      </c>
    </row>
    <row r="2224" ht="22.5" customHeight="1">
      <c r="B2224" s="57"/>
      <c r="C2224" s="43" t="str">
        <f t="array" ref="C2224">IF(B2224="","",_xlfn.XLOOKUP(B2224,'Form responses 1'!$B$2:$B$2604,'Form responses 1'!$A$2:$A$2604,""))</f>
        <v/>
      </c>
      <c r="D2224" s="44" t="str">
        <f t="shared" si="3"/>
        <v/>
      </c>
      <c r="E2224" s="44" t="str">
        <f t="array" ref="E2224">IF(B2224="","",_xlfn.XLOOKUP(B2224,'Form responses 1'!$B$2:$B$2604,'Form responses 1'!$C$2:$C$2604,""))</f>
        <v/>
      </c>
      <c r="F2224" s="44" t="str">
        <f t="array" ref="F2224">IF(B2224="","",_xlfn.XLOOKUP(B2224,'Form responses 1'!$B$2:$B$2604,'Form responses 1'!$D$2:$D$2604,""))</f>
        <v/>
      </c>
      <c r="G2224" s="44" t="str">
        <f t="array" ref="G2224">IF(B2224="","",_xlfn.XLOOKUP(B2224,'Form responses 1'!$B$2:$B$2604,'Form responses 1'!$E$2:$E$2604,""))</f>
        <v/>
      </c>
      <c r="H2224" s="44" t="str">
        <f t="array" ref="H2224">IF(B2224="","",_xlfn.XLOOKUP(B2224,'Form responses 1'!$B$2:$B$2604,'Form responses 1'!$F$2:$F$2604,""))</f>
        <v/>
      </c>
      <c r="I2224" s="44" t="str">
        <f t="array" ref="I2224">IF(B2224="","",_xlfn.XLOOKUP(B2224,'Form responses 1'!$B$2:$B$2604,'Form responses 1'!$I$2:$I$2604,""))</f>
        <v/>
      </c>
      <c r="J2224" s="44" t="str">
        <f t="array" ref="J2224">IF(B2224="","",_xlfn.XLOOKUP(B2224,'Form responses 1'!$B$2:$B$2604,'Form responses 1'!$G$2:$G$2604,""))</f>
        <v/>
      </c>
      <c r="K2224" s="56"/>
      <c r="L2224" s="58" t="str">
        <f t="shared" si="7"/>
        <v/>
      </c>
      <c r="M2224" s="49"/>
      <c r="N2224" s="49"/>
      <c r="O2224" s="49"/>
      <c r="P2224" s="49"/>
      <c r="Q2224" s="49"/>
      <c r="R2224" s="49"/>
      <c r="S2224" s="49"/>
      <c r="T2224" s="49"/>
      <c r="U2224" s="49"/>
      <c r="V2224" s="49"/>
      <c r="W2224" s="56"/>
      <c r="X2224" s="51" t="str">
        <f t="shared" si="5"/>
        <v/>
      </c>
      <c r="Y2224" s="50" t="s">
        <v>482</v>
      </c>
      <c r="Z2224" s="49">
        <f t="shared" si="6"/>
        <v>0</v>
      </c>
    </row>
    <row r="2225" ht="22.5" customHeight="1">
      <c r="B2225" s="57"/>
      <c r="C2225" s="43" t="str">
        <f t="array" ref="C2225">IF(B2225="","",_xlfn.XLOOKUP(B2225,'Form responses 1'!$B$2:$B$2604,'Form responses 1'!$A$2:$A$2604,""))</f>
        <v/>
      </c>
      <c r="D2225" s="44" t="str">
        <f t="shared" si="3"/>
        <v/>
      </c>
      <c r="E2225" s="44" t="str">
        <f t="array" ref="E2225">IF(B2225="","",_xlfn.XLOOKUP(B2225,'Form responses 1'!$B$2:$B$2604,'Form responses 1'!$C$2:$C$2604,""))</f>
        <v/>
      </c>
      <c r="F2225" s="44" t="str">
        <f t="array" ref="F2225">IF(B2225="","",_xlfn.XLOOKUP(B2225,'Form responses 1'!$B$2:$B$2604,'Form responses 1'!$D$2:$D$2604,""))</f>
        <v/>
      </c>
      <c r="G2225" s="44" t="str">
        <f t="array" ref="G2225">IF(B2225="","",_xlfn.XLOOKUP(B2225,'Form responses 1'!$B$2:$B$2604,'Form responses 1'!$E$2:$E$2604,""))</f>
        <v/>
      </c>
      <c r="H2225" s="44" t="str">
        <f t="array" ref="H2225">IF(B2225="","",_xlfn.XLOOKUP(B2225,'Form responses 1'!$B$2:$B$2604,'Form responses 1'!$F$2:$F$2604,""))</f>
        <v/>
      </c>
      <c r="I2225" s="44" t="str">
        <f t="array" ref="I2225">IF(B2225="","",_xlfn.XLOOKUP(B2225,'Form responses 1'!$B$2:$B$2604,'Form responses 1'!$I$2:$I$2604,""))</f>
        <v/>
      </c>
      <c r="J2225" s="44" t="str">
        <f t="array" ref="J2225">IF(B2225="","",_xlfn.XLOOKUP(B2225,'Form responses 1'!$B$2:$B$2604,'Form responses 1'!$G$2:$G$2604,""))</f>
        <v/>
      </c>
      <c r="K2225" s="56"/>
      <c r="L2225" s="58" t="str">
        <f t="shared" si="7"/>
        <v/>
      </c>
      <c r="M2225" s="49"/>
      <c r="N2225" s="49"/>
      <c r="O2225" s="49"/>
      <c r="P2225" s="49"/>
      <c r="Q2225" s="49"/>
      <c r="R2225" s="49"/>
      <c r="S2225" s="49"/>
      <c r="T2225" s="49"/>
      <c r="U2225" s="49"/>
      <c r="V2225" s="49"/>
      <c r="W2225" s="56"/>
      <c r="X2225" s="51" t="str">
        <f t="shared" si="5"/>
        <v/>
      </c>
      <c r="Y2225" s="50" t="s">
        <v>482</v>
      </c>
      <c r="Z2225" s="49">
        <f t="shared" si="6"/>
        <v>0</v>
      </c>
    </row>
    <row r="2226" ht="22.5" customHeight="1">
      <c r="B2226" s="57"/>
      <c r="C2226" s="43" t="str">
        <f t="array" ref="C2226">IF(B2226="","",_xlfn.XLOOKUP(B2226,'Form responses 1'!$B$2:$B$2604,'Form responses 1'!$A$2:$A$2604,""))</f>
        <v/>
      </c>
      <c r="D2226" s="44" t="str">
        <f t="shared" si="3"/>
        <v/>
      </c>
      <c r="E2226" s="44" t="str">
        <f t="array" ref="E2226">IF(B2226="","",_xlfn.XLOOKUP(B2226,'Form responses 1'!$B$2:$B$2604,'Form responses 1'!$C$2:$C$2604,""))</f>
        <v/>
      </c>
      <c r="F2226" s="44" t="str">
        <f t="array" ref="F2226">IF(B2226="","",_xlfn.XLOOKUP(B2226,'Form responses 1'!$B$2:$B$2604,'Form responses 1'!$D$2:$D$2604,""))</f>
        <v/>
      </c>
      <c r="G2226" s="44" t="str">
        <f t="array" ref="G2226">IF(B2226="","",_xlfn.XLOOKUP(B2226,'Form responses 1'!$B$2:$B$2604,'Form responses 1'!$E$2:$E$2604,""))</f>
        <v/>
      </c>
      <c r="H2226" s="44" t="str">
        <f t="array" ref="H2226">IF(B2226="","",_xlfn.XLOOKUP(B2226,'Form responses 1'!$B$2:$B$2604,'Form responses 1'!$F$2:$F$2604,""))</f>
        <v/>
      </c>
      <c r="I2226" s="44" t="str">
        <f t="array" ref="I2226">IF(B2226="","",_xlfn.XLOOKUP(B2226,'Form responses 1'!$B$2:$B$2604,'Form responses 1'!$I$2:$I$2604,""))</f>
        <v/>
      </c>
      <c r="J2226" s="44" t="str">
        <f t="array" ref="J2226">IF(B2226="","",_xlfn.XLOOKUP(B2226,'Form responses 1'!$B$2:$B$2604,'Form responses 1'!$G$2:$G$2604,""))</f>
        <v/>
      </c>
      <c r="K2226" s="56"/>
      <c r="L2226" s="58" t="str">
        <f t="shared" si="7"/>
        <v/>
      </c>
      <c r="M2226" s="49"/>
      <c r="N2226" s="49"/>
      <c r="O2226" s="49"/>
      <c r="P2226" s="49"/>
      <c r="Q2226" s="49"/>
      <c r="R2226" s="49"/>
      <c r="S2226" s="49"/>
      <c r="T2226" s="49"/>
      <c r="U2226" s="49"/>
      <c r="V2226" s="49"/>
      <c r="W2226" s="56"/>
      <c r="X2226" s="51" t="str">
        <f t="shared" si="5"/>
        <v/>
      </c>
      <c r="Y2226" s="50" t="s">
        <v>482</v>
      </c>
      <c r="Z2226" s="49">
        <f t="shared" si="6"/>
        <v>0</v>
      </c>
    </row>
    <row r="2227" ht="22.5" customHeight="1">
      <c r="B2227" s="57"/>
      <c r="C2227" s="43" t="str">
        <f t="array" ref="C2227">IF(B2227="","",_xlfn.XLOOKUP(B2227,'Form responses 1'!$B$2:$B$2604,'Form responses 1'!$A$2:$A$2604,""))</f>
        <v/>
      </c>
      <c r="D2227" s="44" t="str">
        <f t="shared" si="3"/>
        <v/>
      </c>
      <c r="E2227" s="44" t="str">
        <f t="array" ref="E2227">IF(B2227="","",_xlfn.XLOOKUP(B2227,'Form responses 1'!$B$2:$B$2604,'Form responses 1'!$C$2:$C$2604,""))</f>
        <v/>
      </c>
      <c r="F2227" s="44" t="str">
        <f t="array" ref="F2227">IF(B2227="","",_xlfn.XLOOKUP(B2227,'Form responses 1'!$B$2:$B$2604,'Form responses 1'!$D$2:$D$2604,""))</f>
        <v/>
      </c>
      <c r="G2227" s="44" t="str">
        <f t="array" ref="G2227">IF(B2227="","",_xlfn.XLOOKUP(B2227,'Form responses 1'!$B$2:$B$2604,'Form responses 1'!$E$2:$E$2604,""))</f>
        <v/>
      </c>
      <c r="H2227" s="44" t="str">
        <f t="array" ref="H2227">IF(B2227="","",_xlfn.XLOOKUP(B2227,'Form responses 1'!$B$2:$B$2604,'Form responses 1'!$F$2:$F$2604,""))</f>
        <v/>
      </c>
      <c r="I2227" s="44" t="str">
        <f t="array" ref="I2227">IF(B2227="","",_xlfn.XLOOKUP(B2227,'Form responses 1'!$B$2:$B$2604,'Form responses 1'!$I$2:$I$2604,""))</f>
        <v/>
      </c>
      <c r="J2227" s="44" t="str">
        <f t="array" ref="J2227">IF(B2227="","",_xlfn.XLOOKUP(B2227,'Form responses 1'!$B$2:$B$2604,'Form responses 1'!$G$2:$G$2604,""))</f>
        <v/>
      </c>
      <c r="K2227" s="56"/>
      <c r="L2227" s="58" t="str">
        <f t="shared" si="7"/>
        <v/>
      </c>
      <c r="M2227" s="49"/>
      <c r="N2227" s="49"/>
      <c r="O2227" s="49"/>
      <c r="P2227" s="49"/>
      <c r="Q2227" s="49"/>
      <c r="R2227" s="49"/>
      <c r="S2227" s="49"/>
      <c r="T2227" s="49"/>
      <c r="U2227" s="49"/>
      <c r="V2227" s="49"/>
      <c r="W2227" s="56"/>
      <c r="X2227" s="51" t="str">
        <f t="shared" si="5"/>
        <v/>
      </c>
      <c r="Y2227" s="50" t="s">
        <v>482</v>
      </c>
      <c r="Z2227" s="49">
        <f t="shared" si="6"/>
        <v>0</v>
      </c>
    </row>
    <row r="2228" ht="22.5" customHeight="1">
      <c r="B2228" s="57"/>
      <c r="C2228" s="43" t="str">
        <f t="array" ref="C2228">IF(B2228="","",_xlfn.XLOOKUP(B2228,'Form responses 1'!$B$2:$B$2604,'Form responses 1'!$A$2:$A$2604,""))</f>
        <v/>
      </c>
      <c r="D2228" s="44" t="str">
        <f t="shared" si="3"/>
        <v/>
      </c>
      <c r="E2228" s="44" t="str">
        <f t="array" ref="E2228">IF(B2228="","",_xlfn.XLOOKUP(B2228,'Form responses 1'!$B$2:$B$2604,'Form responses 1'!$C$2:$C$2604,""))</f>
        <v/>
      </c>
      <c r="F2228" s="44" t="str">
        <f t="array" ref="F2228">IF(B2228="","",_xlfn.XLOOKUP(B2228,'Form responses 1'!$B$2:$B$2604,'Form responses 1'!$D$2:$D$2604,""))</f>
        <v/>
      </c>
      <c r="G2228" s="44" t="str">
        <f t="array" ref="G2228">IF(B2228="","",_xlfn.XLOOKUP(B2228,'Form responses 1'!$B$2:$B$2604,'Form responses 1'!$E$2:$E$2604,""))</f>
        <v/>
      </c>
      <c r="H2228" s="44" t="str">
        <f t="array" ref="H2228">IF(B2228="","",_xlfn.XLOOKUP(B2228,'Form responses 1'!$B$2:$B$2604,'Form responses 1'!$F$2:$F$2604,""))</f>
        <v/>
      </c>
      <c r="I2228" s="44" t="str">
        <f t="array" ref="I2228">IF(B2228="","",_xlfn.XLOOKUP(B2228,'Form responses 1'!$B$2:$B$2604,'Form responses 1'!$I$2:$I$2604,""))</f>
        <v/>
      </c>
      <c r="J2228" s="44" t="str">
        <f t="array" ref="J2228">IF(B2228="","",_xlfn.XLOOKUP(B2228,'Form responses 1'!$B$2:$B$2604,'Form responses 1'!$G$2:$G$2604,""))</f>
        <v/>
      </c>
      <c r="K2228" s="56"/>
      <c r="L2228" s="58" t="str">
        <f t="shared" si="7"/>
        <v/>
      </c>
      <c r="M2228" s="49"/>
      <c r="N2228" s="49"/>
      <c r="O2228" s="49"/>
      <c r="P2228" s="49"/>
      <c r="Q2228" s="49"/>
      <c r="R2228" s="49"/>
      <c r="S2228" s="49"/>
      <c r="T2228" s="49"/>
      <c r="U2228" s="49"/>
      <c r="V2228" s="49"/>
      <c r="W2228" s="56"/>
      <c r="X2228" s="51" t="str">
        <f t="shared" si="5"/>
        <v/>
      </c>
      <c r="Y2228" s="50" t="s">
        <v>482</v>
      </c>
      <c r="Z2228" s="49">
        <f t="shared" si="6"/>
        <v>0</v>
      </c>
    </row>
    <row r="2229" ht="22.5" customHeight="1">
      <c r="B2229" s="57"/>
      <c r="C2229" s="43" t="str">
        <f t="array" ref="C2229">IF(B2229="","",_xlfn.XLOOKUP(B2229,'Form responses 1'!$B$2:$B$2604,'Form responses 1'!$A$2:$A$2604,""))</f>
        <v/>
      </c>
      <c r="D2229" s="44" t="str">
        <f t="shared" si="3"/>
        <v/>
      </c>
      <c r="E2229" s="44" t="str">
        <f t="array" ref="E2229">IF(B2229="","",_xlfn.XLOOKUP(B2229,'Form responses 1'!$B$2:$B$2604,'Form responses 1'!$C$2:$C$2604,""))</f>
        <v/>
      </c>
      <c r="F2229" s="44" t="str">
        <f t="array" ref="F2229">IF(B2229="","",_xlfn.XLOOKUP(B2229,'Form responses 1'!$B$2:$B$2604,'Form responses 1'!$D$2:$D$2604,""))</f>
        <v/>
      </c>
      <c r="G2229" s="44" t="str">
        <f t="array" ref="G2229">IF(B2229="","",_xlfn.XLOOKUP(B2229,'Form responses 1'!$B$2:$B$2604,'Form responses 1'!$E$2:$E$2604,""))</f>
        <v/>
      </c>
      <c r="H2229" s="44" t="str">
        <f t="array" ref="H2229">IF(B2229="","",_xlfn.XLOOKUP(B2229,'Form responses 1'!$B$2:$B$2604,'Form responses 1'!$F$2:$F$2604,""))</f>
        <v/>
      </c>
      <c r="I2229" s="44" t="str">
        <f t="array" ref="I2229">IF(B2229="","",_xlfn.XLOOKUP(B2229,'Form responses 1'!$B$2:$B$2604,'Form responses 1'!$I$2:$I$2604,""))</f>
        <v/>
      </c>
      <c r="J2229" s="44" t="str">
        <f t="array" ref="J2229">IF(B2229="","",_xlfn.XLOOKUP(B2229,'Form responses 1'!$B$2:$B$2604,'Form responses 1'!$G$2:$G$2604,""))</f>
        <v/>
      </c>
      <c r="K2229" s="56"/>
      <c r="L2229" s="58" t="str">
        <f t="shared" si="7"/>
        <v/>
      </c>
      <c r="M2229" s="49"/>
      <c r="N2229" s="49"/>
      <c r="O2229" s="49"/>
      <c r="P2229" s="49"/>
      <c r="Q2229" s="49"/>
      <c r="R2229" s="49"/>
      <c r="S2229" s="49"/>
      <c r="T2229" s="49"/>
      <c r="U2229" s="49"/>
      <c r="V2229" s="49"/>
      <c r="W2229" s="56"/>
      <c r="X2229" s="51" t="str">
        <f t="shared" si="5"/>
        <v/>
      </c>
      <c r="Y2229" s="50" t="s">
        <v>482</v>
      </c>
      <c r="Z2229" s="49">
        <f t="shared" si="6"/>
        <v>0</v>
      </c>
    </row>
    <row r="2230" ht="22.5" customHeight="1">
      <c r="B2230" s="57"/>
      <c r="C2230" s="43" t="str">
        <f t="array" ref="C2230">IF(B2230="","",_xlfn.XLOOKUP(B2230,'Form responses 1'!$B$2:$B$2604,'Form responses 1'!$A$2:$A$2604,""))</f>
        <v/>
      </c>
      <c r="D2230" s="44" t="str">
        <f t="shared" si="3"/>
        <v/>
      </c>
      <c r="E2230" s="44" t="str">
        <f t="array" ref="E2230">IF(B2230="","",_xlfn.XLOOKUP(B2230,'Form responses 1'!$B$2:$B$2604,'Form responses 1'!$C$2:$C$2604,""))</f>
        <v/>
      </c>
      <c r="F2230" s="44" t="str">
        <f t="array" ref="F2230">IF(B2230="","",_xlfn.XLOOKUP(B2230,'Form responses 1'!$B$2:$B$2604,'Form responses 1'!$D$2:$D$2604,""))</f>
        <v/>
      </c>
      <c r="G2230" s="44" t="str">
        <f t="array" ref="G2230">IF(B2230="","",_xlfn.XLOOKUP(B2230,'Form responses 1'!$B$2:$B$2604,'Form responses 1'!$E$2:$E$2604,""))</f>
        <v/>
      </c>
      <c r="H2230" s="44" t="str">
        <f t="array" ref="H2230">IF(B2230="","",_xlfn.XLOOKUP(B2230,'Form responses 1'!$B$2:$B$2604,'Form responses 1'!$F$2:$F$2604,""))</f>
        <v/>
      </c>
      <c r="I2230" s="44" t="str">
        <f t="array" ref="I2230">IF(B2230="","",_xlfn.XLOOKUP(B2230,'Form responses 1'!$B$2:$B$2604,'Form responses 1'!$I$2:$I$2604,""))</f>
        <v/>
      </c>
      <c r="J2230" s="44" t="str">
        <f t="array" ref="J2230">IF(B2230="","",_xlfn.XLOOKUP(B2230,'Form responses 1'!$B$2:$B$2604,'Form responses 1'!$G$2:$G$2604,""))</f>
        <v/>
      </c>
      <c r="K2230" s="56"/>
      <c r="L2230" s="58" t="str">
        <f t="shared" si="7"/>
        <v/>
      </c>
      <c r="M2230" s="49"/>
      <c r="N2230" s="49"/>
      <c r="O2230" s="49"/>
      <c r="P2230" s="49"/>
      <c r="Q2230" s="49"/>
      <c r="R2230" s="49"/>
      <c r="S2230" s="49"/>
      <c r="T2230" s="49"/>
      <c r="U2230" s="49"/>
      <c r="V2230" s="49"/>
      <c r="W2230" s="56"/>
      <c r="X2230" s="51" t="str">
        <f t="shared" si="5"/>
        <v/>
      </c>
      <c r="Y2230" s="50" t="s">
        <v>482</v>
      </c>
      <c r="Z2230" s="49">
        <f t="shared" si="6"/>
        <v>0</v>
      </c>
    </row>
    <row r="2231" ht="22.5" customHeight="1">
      <c r="B2231" s="57"/>
      <c r="C2231" s="43" t="str">
        <f t="array" ref="C2231">IF(B2231="","",_xlfn.XLOOKUP(B2231,'Form responses 1'!$B$2:$B$2604,'Form responses 1'!$A$2:$A$2604,""))</f>
        <v/>
      </c>
      <c r="D2231" s="44" t="str">
        <f t="shared" si="3"/>
        <v/>
      </c>
      <c r="E2231" s="44" t="str">
        <f t="array" ref="E2231">IF(B2231="","",_xlfn.XLOOKUP(B2231,'Form responses 1'!$B$2:$B$2604,'Form responses 1'!$C$2:$C$2604,""))</f>
        <v/>
      </c>
      <c r="F2231" s="44" t="str">
        <f t="array" ref="F2231">IF(B2231="","",_xlfn.XLOOKUP(B2231,'Form responses 1'!$B$2:$B$2604,'Form responses 1'!$D$2:$D$2604,""))</f>
        <v/>
      </c>
      <c r="G2231" s="44" t="str">
        <f t="array" ref="G2231">IF(B2231="","",_xlfn.XLOOKUP(B2231,'Form responses 1'!$B$2:$B$2604,'Form responses 1'!$E$2:$E$2604,""))</f>
        <v/>
      </c>
      <c r="H2231" s="44" t="str">
        <f t="array" ref="H2231">IF(B2231="","",_xlfn.XLOOKUP(B2231,'Form responses 1'!$B$2:$B$2604,'Form responses 1'!$F$2:$F$2604,""))</f>
        <v/>
      </c>
      <c r="I2231" s="44" t="str">
        <f t="array" ref="I2231">IF(B2231="","",_xlfn.XLOOKUP(B2231,'Form responses 1'!$B$2:$B$2604,'Form responses 1'!$I$2:$I$2604,""))</f>
        <v/>
      </c>
      <c r="J2231" s="44" t="str">
        <f t="array" ref="J2231">IF(B2231="","",_xlfn.XLOOKUP(B2231,'Form responses 1'!$B$2:$B$2604,'Form responses 1'!$G$2:$G$2604,""))</f>
        <v/>
      </c>
      <c r="K2231" s="56"/>
      <c r="L2231" s="58" t="str">
        <f t="shared" si="7"/>
        <v/>
      </c>
      <c r="M2231" s="49"/>
      <c r="N2231" s="49"/>
      <c r="O2231" s="49"/>
      <c r="P2231" s="49"/>
      <c r="Q2231" s="49"/>
      <c r="R2231" s="49"/>
      <c r="S2231" s="49"/>
      <c r="T2231" s="49"/>
      <c r="U2231" s="49"/>
      <c r="V2231" s="49"/>
      <c r="W2231" s="56"/>
      <c r="X2231" s="51" t="str">
        <f t="shared" si="5"/>
        <v/>
      </c>
      <c r="Y2231" s="50" t="s">
        <v>482</v>
      </c>
      <c r="Z2231" s="49">
        <f t="shared" si="6"/>
        <v>0</v>
      </c>
    </row>
    <row r="2232" ht="22.5" customHeight="1">
      <c r="B2232" s="57"/>
      <c r="C2232" s="43" t="str">
        <f t="array" ref="C2232">IF(B2232="","",_xlfn.XLOOKUP(B2232,'Form responses 1'!$B$2:$B$2604,'Form responses 1'!$A$2:$A$2604,""))</f>
        <v/>
      </c>
      <c r="D2232" s="44" t="str">
        <f t="shared" si="3"/>
        <v/>
      </c>
      <c r="E2232" s="44" t="str">
        <f t="array" ref="E2232">IF(B2232="","",_xlfn.XLOOKUP(B2232,'Form responses 1'!$B$2:$B$2604,'Form responses 1'!$C$2:$C$2604,""))</f>
        <v/>
      </c>
      <c r="F2232" s="44" t="str">
        <f t="array" ref="F2232">IF(B2232="","",_xlfn.XLOOKUP(B2232,'Form responses 1'!$B$2:$B$2604,'Form responses 1'!$D$2:$D$2604,""))</f>
        <v/>
      </c>
      <c r="G2232" s="44" t="str">
        <f t="array" ref="G2232">IF(B2232="","",_xlfn.XLOOKUP(B2232,'Form responses 1'!$B$2:$B$2604,'Form responses 1'!$E$2:$E$2604,""))</f>
        <v/>
      </c>
      <c r="H2232" s="44" t="str">
        <f t="array" ref="H2232">IF(B2232="","",_xlfn.XLOOKUP(B2232,'Form responses 1'!$B$2:$B$2604,'Form responses 1'!$F$2:$F$2604,""))</f>
        <v/>
      </c>
      <c r="I2232" s="44" t="str">
        <f t="array" ref="I2232">IF(B2232="","",_xlfn.XLOOKUP(B2232,'Form responses 1'!$B$2:$B$2604,'Form responses 1'!$I$2:$I$2604,""))</f>
        <v/>
      </c>
      <c r="J2232" s="44" t="str">
        <f t="array" ref="J2232">IF(B2232="","",_xlfn.XLOOKUP(B2232,'Form responses 1'!$B$2:$B$2604,'Form responses 1'!$G$2:$G$2604,""))</f>
        <v/>
      </c>
      <c r="K2232" s="56"/>
      <c r="L2232" s="58" t="str">
        <f t="shared" si="7"/>
        <v/>
      </c>
      <c r="M2232" s="49"/>
      <c r="N2232" s="49"/>
      <c r="O2232" s="49"/>
      <c r="P2232" s="49"/>
      <c r="Q2232" s="49"/>
      <c r="R2232" s="49"/>
      <c r="S2232" s="49"/>
      <c r="T2232" s="49"/>
      <c r="U2232" s="49"/>
      <c r="V2232" s="49"/>
      <c r="W2232" s="56"/>
      <c r="X2232" s="51" t="str">
        <f t="shared" si="5"/>
        <v/>
      </c>
      <c r="Y2232" s="50" t="s">
        <v>482</v>
      </c>
      <c r="Z2232" s="49">
        <f t="shared" si="6"/>
        <v>0</v>
      </c>
    </row>
    <row r="2233" ht="22.5" customHeight="1">
      <c r="B2233" s="57"/>
      <c r="C2233" s="43" t="str">
        <f t="array" ref="C2233">IF(B2233="","",_xlfn.XLOOKUP(B2233,'Form responses 1'!$B$2:$B$2604,'Form responses 1'!$A$2:$A$2604,""))</f>
        <v/>
      </c>
      <c r="D2233" s="44" t="str">
        <f t="shared" si="3"/>
        <v/>
      </c>
      <c r="E2233" s="44" t="str">
        <f t="array" ref="E2233">IF(B2233="","",_xlfn.XLOOKUP(B2233,'Form responses 1'!$B$2:$B$2604,'Form responses 1'!$C$2:$C$2604,""))</f>
        <v/>
      </c>
      <c r="F2233" s="44" t="str">
        <f t="array" ref="F2233">IF(B2233="","",_xlfn.XLOOKUP(B2233,'Form responses 1'!$B$2:$B$2604,'Form responses 1'!$D$2:$D$2604,""))</f>
        <v/>
      </c>
      <c r="G2233" s="44" t="str">
        <f t="array" ref="G2233">IF(B2233="","",_xlfn.XLOOKUP(B2233,'Form responses 1'!$B$2:$B$2604,'Form responses 1'!$E$2:$E$2604,""))</f>
        <v/>
      </c>
      <c r="H2233" s="44" t="str">
        <f t="array" ref="H2233">IF(B2233="","",_xlfn.XLOOKUP(B2233,'Form responses 1'!$B$2:$B$2604,'Form responses 1'!$F$2:$F$2604,""))</f>
        <v/>
      </c>
      <c r="I2233" s="44" t="str">
        <f t="array" ref="I2233">IF(B2233="","",_xlfn.XLOOKUP(B2233,'Form responses 1'!$B$2:$B$2604,'Form responses 1'!$I$2:$I$2604,""))</f>
        <v/>
      </c>
      <c r="J2233" s="44" t="str">
        <f t="array" ref="J2233">IF(B2233="","",_xlfn.XLOOKUP(B2233,'Form responses 1'!$B$2:$B$2604,'Form responses 1'!$G$2:$G$2604,""))</f>
        <v/>
      </c>
      <c r="K2233" s="56"/>
      <c r="L2233" s="58" t="str">
        <f t="shared" si="7"/>
        <v/>
      </c>
      <c r="M2233" s="49"/>
      <c r="N2233" s="49"/>
      <c r="O2233" s="49"/>
      <c r="P2233" s="49"/>
      <c r="Q2233" s="49"/>
      <c r="R2233" s="49"/>
      <c r="S2233" s="49"/>
      <c r="T2233" s="49"/>
      <c r="U2233" s="49"/>
      <c r="V2233" s="49"/>
      <c r="W2233" s="56"/>
      <c r="X2233" s="51" t="str">
        <f t="shared" si="5"/>
        <v/>
      </c>
      <c r="Y2233" s="50" t="s">
        <v>482</v>
      </c>
      <c r="Z2233" s="49">
        <f t="shared" si="6"/>
        <v>0</v>
      </c>
    </row>
    <row r="2234" ht="22.5" customHeight="1">
      <c r="B2234" s="57"/>
      <c r="C2234" s="43" t="str">
        <f t="array" ref="C2234">IF(B2234="","",_xlfn.XLOOKUP(B2234,'Form responses 1'!$B$2:$B$2604,'Form responses 1'!$A$2:$A$2604,""))</f>
        <v/>
      </c>
      <c r="D2234" s="44" t="str">
        <f t="shared" si="3"/>
        <v/>
      </c>
      <c r="E2234" s="44" t="str">
        <f t="array" ref="E2234">IF(B2234="","",_xlfn.XLOOKUP(B2234,'Form responses 1'!$B$2:$B$2604,'Form responses 1'!$C$2:$C$2604,""))</f>
        <v/>
      </c>
      <c r="F2234" s="44" t="str">
        <f t="array" ref="F2234">IF(B2234="","",_xlfn.XLOOKUP(B2234,'Form responses 1'!$B$2:$B$2604,'Form responses 1'!$D$2:$D$2604,""))</f>
        <v/>
      </c>
      <c r="G2234" s="44" t="str">
        <f t="array" ref="G2234">IF(B2234="","",_xlfn.XLOOKUP(B2234,'Form responses 1'!$B$2:$B$2604,'Form responses 1'!$E$2:$E$2604,""))</f>
        <v/>
      </c>
      <c r="H2234" s="44" t="str">
        <f t="array" ref="H2234">IF(B2234="","",_xlfn.XLOOKUP(B2234,'Form responses 1'!$B$2:$B$2604,'Form responses 1'!$F$2:$F$2604,""))</f>
        <v/>
      </c>
      <c r="I2234" s="44" t="str">
        <f t="array" ref="I2234">IF(B2234="","",_xlfn.XLOOKUP(B2234,'Form responses 1'!$B$2:$B$2604,'Form responses 1'!$I$2:$I$2604,""))</f>
        <v/>
      </c>
      <c r="J2234" s="44" t="str">
        <f t="array" ref="J2234">IF(B2234="","",_xlfn.XLOOKUP(B2234,'Form responses 1'!$B$2:$B$2604,'Form responses 1'!$G$2:$G$2604,""))</f>
        <v/>
      </c>
      <c r="K2234" s="56"/>
      <c r="L2234" s="58" t="str">
        <f t="shared" si="7"/>
        <v/>
      </c>
      <c r="M2234" s="49"/>
      <c r="N2234" s="49"/>
      <c r="O2234" s="49"/>
      <c r="P2234" s="49"/>
      <c r="Q2234" s="49"/>
      <c r="R2234" s="49"/>
      <c r="S2234" s="49"/>
      <c r="T2234" s="49"/>
      <c r="U2234" s="49"/>
      <c r="V2234" s="49"/>
      <c r="W2234" s="56"/>
      <c r="X2234" s="51" t="str">
        <f t="shared" si="5"/>
        <v/>
      </c>
      <c r="Y2234" s="50" t="s">
        <v>482</v>
      </c>
      <c r="Z2234" s="49">
        <f t="shared" si="6"/>
        <v>0</v>
      </c>
    </row>
    <row r="2235" ht="22.5" customHeight="1">
      <c r="B2235" s="57"/>
      <c r="C2235" s="43" t="str">
        <f t="array" ref="C2235">IF(B2235="","",_xlfn.XLOOKUP(B2235,'Form responses 1'!$B$2:$B$2604,'Form responses 1'!$A$2:$A$2604,""))</f>
        <v/>
      </c>
      <c r="D2235" s="44" t="str">
        <f t="shared" si="3"/>
        <v/>
      </c>
      <c r="E2235" s="44" t="str">
        <f t="array" ref="E2235">IF(B2235="","",_xlfn.XLOOKUP(B2235,'Form responses 1'!$B$2:$B$2604,'Form responses 1'!$C$2:$C$2604,""))</f>
        <v/>
      </c>
      <c r="F2235" s="44" t="str">
        <f t="array" ref="F2235">IF(B2235="","",_xlfn.XLOOKUP(B2235,'Form responses 1'!$B$2:$B$2604,'Form responses 1'!$D$2:$D$2604,""))</f>
        <v/>
      </c>
      <c r="G2235" s="44" t="str">
        <f t="array" ref="G2235">IF(B2235="","",_xlfn.XLOOKUP(B2235,'Form responses 1'!$B$2:$B$2604,'Form responses 1'!$E$2:$E$2604,""))</f>
        <v/>
      </c>
      <c r="H2235" s="44" t="str">
        <f t="array" ref="H2235">IF(B2235="","",_xlfn.XLOOKUP(B2235,'Form responses 1'!$B$2:$B$2604,'Form responses 1'!$F$2:$F$2604,""))</f>
        <v/>
      </c>
      <c r="I2235" s="44" t="str">
        <f t="array" ref="I2235">IF(B2235="","",_xlfn.XLOOKUP(B2235,'Form responses 1'!$B$2:$B$2604,'Form responses 1'!$I$2:$I$2604,""))</f>
        <v/>
      </c>
      <c r="J2235" s="44" t="str">
        <f t="array" ref="J2235">IF(B2235="","",_xlfn.XLOOKUP(B2235,'Form responses 1'!$B$2:$B$2604,'Form responses 1'!$G$2:$G$2604,""))</f>
        <v/>
      </c>
      <c r="K2235" s="56"/>
      <c r="L2235" s="58" t="str">
        <f t="shared" si="7"/>
        <v/>
      </c>
      <c r="M2235" s="49"/>
      <c r="N2235" s="49"/>
      <c r="O2235" s="49"/>
      <c r="P2235" s="49"/>
      <c r="Q2235" s="49"/>
      <c r="R2235" s="49"/>
      <c r="S2235" s="49"/>
      <c r="T2235" s="49"/>
      <c r="U2235" s="49"/>
      <c r="V2235" s="49"/>
      <c r="W2235" s="56"/>
      <c r="X2235" s="51" t="str">
        <f t="shared" si="5"/>
        <v/>
      </c>
      <c r="Y2235" s="50" t="s">
        <v>482</v>
      </c>
      <c r="Z2235" s="49">
        <f t="shared" si="6"/>
        <v>0</v>
      </c>
    </row>
    <row r="2236" ht="22.5" customHeight="1">
      <c r="B2236" s="57"/>
      <c r="C2236" s="43" t="str">
        <f t="array" ref="C2236">IF(B2236="","",_xlfn.XLOOKUP(B2236,'Form responses 1'!$B$2:$B$2604,'Form responses 1'!$A$2:$A$2604,""))</f>
        <v/>
      </c>
      <c r="D2236" s="44" t="str">
        <f t="shared" si="3"/>
        <v/>
      </c>
      <c r="E2236" s="44" t="str">
        <f t="array" ref="E2236">IF(B2236="","",_xlfn.XLOOKUP(B2236,'Form responses 1'!$B$2:$B$2604,'Form responses 1'!$C$2:$C$2604,""))</f>
        <v/>
      </c>
      <c r="F2236" s="44" t="str">
        <f t="array" ref="F2236">IF(B2236="","",_xlfn.XLOOKUP(B2236,'Form responses 1'!$B$2:$B$2604,'Form responses 1'!$D$2:$D$2604,""))</f>
        <v/>
      </c>
      <c r="G2236" s="44" t="str">
        <f t="array" ref="G2236">IF(B2236="","",_xlfn.XLOOKUP(B2236,'Form responses 1'!$B$2:$B$2604,'Form responses 1'!$E$2:$E$2604,""))</f>
        <v/>
      </c>
      <c r="H2236" s="44" t="str">
        <f t="array" ref="H2236">IF(B2236="","",_xlfn.XLOOKUP(B2236,'Form responses 1'!$B$2:$B$2604,'Form responses 1'!$F$2:$F$2604,""))</f>
        <v/>
      </c>
      <c r="I2236" s="44" t="str">
        <f t="array" ref="I2236">IF(B2236="","",_xlfn.XLOOKUP(B2236,'Form responses 1'!$B$2:$B$2604,'Form responses 1'!$I$2:$I$2604,""))</f>
        <v/>
      </c>
      <c r="J2236" s="44" t="str">
        <f t="array" ref="J2236">IF(B2236="","",_xlfn.XLOOKUP(B2236,'Form responses 1'!$B$2:$B$2604,'Form responses 1'!$G$2:$G$2604,""))</f>
        <v/>
      </c>
      <c r="K2236" s="56"/>
      <c r="L2236" s="58" t="str">
        <f t="shared" si="7"/>
        <v/>
      </c>
      <c r="M2236" s="49"/>
      <c r="N2236" s="49"/>
      <c r="O2236" s="49"/>
      <c r="P2236" s="49"/>
      <c r="Q2236" s="49"/>
      <c r="R2236" s="49"/>
      <c r="S2236" s="49"/>
      <c r="T2236" s="49"/>
      <c r="U2236" s="49"/>
      <c r="V2236" s="49"/>
      <c r="W2236" s="56"/>
      <c r="X2236" s="51" t="str">
        <f t="shared" si="5"/>
        <v/>
      </c>
      <c r="Y2236" s="50" t="s">
        <v>482</v>
      </c>
      <c r="Z2236" s="49">
        <f t="shared" si="6"/>
        <v>0</v>
      </c>
    </row>
    <row r="2237" ht="22.5" customHeight="1">
      <c r="B2237" s="57"/>
      <c r="C2237" s="43" t="str">
        <f t="array" ref="C2237">IF(B2237="","",_xlfn.XLOOKUP(B2237,'Form responses 1'!$B$2:$B$2604,'Form responses 1'!$A$2:$A$2604,""))</f>
        <v/>
      </c>
      <c r="D2237" s="44" t="str">
        <f t="shared" si="3"/>
        <v/>
      </c>
      <c r="E2237" s="44" t="str">
        <f t="array" ref="E2237">IF(B2237="","",_xlfn.XLOOKUP(B2237,'Form responses 1'!$B$2:$B$2604,'Form responses 1'!$C$2:$C$2604,""))</f>
        <v/>
      </c>
      <c r="F2237" s="44" t="str">
        <f t="array" ref="F2237">IF(B2237="","",_xlfn.XLOOKUP(B2237,'Form responses 1'!$B$2:$B$2604,'Form responses 1'!$D$2:$D$2604,""))</f>
        <v/>
      </c>
      <c r="G2237" s="44" t="str">
        <f t="array" ref="G2237">IF(B2237="","",_xlfn.XLOOKUP(B2237,'Form responses 1'!$B$2:$B$2604,'Form responses 1'!$E$2:$E$2604,""))</f>
        <v/>
      </c>
      <c r="H2237" s="44" t="str">
        <f t="array" ref="H2237">IF(B2237="","",_xlfn.XLOOKUP(B2237,'Form responses 1'!$B$2:$B$2604,'Form responses 1'!$F$2:$F$2604,""))</f>
        <v/>
      </c>
      <c r="I2237" s="44" t="str">
        <f t="array" ref="I2237">IF(B2237="","",_xlfn.XLOOKUP(B2237,'Form responses 1'!$B$2:$B$2604,'Form responses 1'!$I$2:$I$2604,""))</f>
        <v/>
      </c>
      <c r="J2237" s="44" t="str">
        <f t="array" ref="J2237">IF(B2237="","",_xlfn.XLOOKUP(B2237,'Form responses 1'!$B$2:$B$2604,'Form responses 1'!$G$2:$G$2604,""))</f>
        <v/>
      </c>
      <c r="K2237" s="56"/>
      <c r="L2237" s="58" t="str">
        <f t="shared" si="7"/>
        <v/>
      </c>
      <c r="M2237" s="49"/>
      <c r="N2237" s="49"/>
      <c r="O2237" s="49"/>
      <c r="P2237" s="49"/>
      <c r="Q2237" s="49"/>
      <c r="R2237" s="49"/>
      <c r="S2237" s="49"/>
      <c r="T2237" s="49"/>
      <c r="U2237" s="49"/>
      <c r="V2237" s="49"/>
      <c r="W2237" s="56"/>
      <c r="X2237" s="51" t="str">
        <f t="shared" si="5"/>
        <v/>
      </c>
      <c r="Y2237" s="50" t="s">
        <v>482</v>
      </c>
      <c r="Z2237" s="49">
        <f t="shared" si="6"/>
        <v>0</v>
      </c>
    </row>
    <row r="2238" ht="22.5" customHeight="1">
      <c r="B2238" s="57"/>
      <c r="C2238" s="43" t="str">
        <f t="array" ref="C2238">IF(B2238="","",_xlfn.XLOOKUP(B2238,'Form responses 1'!$B$2:$B$2604,'Form responses 1'!$A$2:$A$2604,""))</f>
        <v/>
      </c>
      <c r="D2238" s="44" t="str">
        <f t="shared" si="3"/>
        <v/>
      </c>
      <c r="E2238" s="44" t="str">
        <f t="array" ref="E2238">IF(B2238="","",_xlfn.XLOOKUP(B2238,'Form responses 1'!$B$2:$B$2604,'Form responses 1'!$C$2:$C$2604,""))</f>
        <v/>
      </c>
      <c r="F2238" s="44" t="str">
        <f t="array" ref="F2238">IF(B2238="","",_xlfn.XLOOKUP(B2238,'Form responses 1'!$B$2:$B$2604,'Form responses 1'!$D$2:$D$2604,""))</f>
        <v/>
      </c>
      <c r="G2238" s="44" t="str">
        <f t="array" ref="G2238">IF(B2238="","",_xlfn.XLOOKUP(B2238,'Form responses 1'!$B$2:$B$2604,'Form responses 1'!$E$2:$E$2604,""))</f>
        <v/>
      </c>
      <c r="H2238" s="44" t="str">
        <f t="array" ref="H2238">IF(B2238="","",_xlfn.XLOOKUP(B2238,'Form responses 1'!$B$2:$B$2604,'Form responses 1'!$F$2:$F$2604,""))</f>
        <v/>
      </c>
      <c r="I2238" s="44" t="str">
        <f t="array" ref="I2238">IF(B2238="","",_xlfn.XLOOKUP(B2238,'Form responses 1'!$B$2:$B$2604,'Form responses 1'!$I$2:$I$2604,""))</f>
        <v/>
      </c>
      <c r="J2238" s="44" t="str">
        <f t="array" ref="J2238">IF(B2238="","",_xlfn.XLOOKUP(B2238,'Form responses 1'!$B$2:$B$2604,'Form responses 1'!$G$2:$G$2604,""))</f>
        <v/>
      </c>
      <c r="K2238" s="56"/>
      <c r="L2238" s="58" t="str">
        <f t="shared" si="7"/>
        <v/>
      </c>
      <c r="M2238" s="49"/>
      <c r="N2238" s="49"/>
      <c r="O2238" s="49"/>
      <c r="P2238" s="49"/>
      <c r="Q2238" s="49"/>
      <c r="R2238" s="49"/>
      <c r="S2238" s="49"/>
      <c r="T2238" s="49"/>
      <c r="U2238" s="49"/>
      <c r="V2238" s="49"/>
      <c r="W2238" s="56"/>
      <c r="X2238" s="51" t="str">
        <f t="shared" si="5"/>
        <v/>
      </c>
      <c r="Y2238" s="50" t="s">
        <v>482</v>
      </c>
      <c r="Z2238" s="49">
        <f t="shared" si="6"/>
        <v>0</v>
      </c>
    </row>
    <row r="2239" ht="22.5" customHeight="1">
      <c r="B2239" s="57"/>
      <c r="C2239" s="43" t="str">
        <f t="array" ref="C2239">IF(B2239="","",_xlfn.XLOOKUP(B2239,'Form responses 1'!$B$2:$B$2604,'Form responses 1'!$A$2:$A$2604,""))</f>
        <v/>
      </c>
      <c r="D2239" s="44" t="str">
        <f t="shared" si="3"/>
        <v/>
      </c>
      <c r="E2239" s="44" t="str">
        <f t="array" ref="E2239">IF(B2239="","",_xlfn.XLOOKUP(B2239,'Form responses 1'!$B$2:$B$2604,'Form responses 1'!$C$2:$C$2604,""))</f>
        <v/>
      </c>
      <c r="F2239" s="44" t="str">
        <f t="array" ref="F2239">IF(B2239="","",_xlfn.XLOOKUP(B2239,'Form responses 1'!$B$2:$B$2604,'Form responses 1'!$D$2:$D$2604,""))</f>
        <v/>
      </c>
      <c r="G2239" s="44" t="str">
        <f t="array" ref="G2239">IF(B2239="","",_xlfn.XLOOKUP(B2239,'Form responses 1'!$B$2:$B$2604,'Form responses 1'!$E$2:$E$2604,""))</f>
        <v/>
      </c>
      <c r="H2239" s="44" t="str">
        <f t="array" ref="H2239">IF(B2239="","",_xlfn.XLOOKUP(B2239,'Form responses 1'!$B$2:$B$2604,'Form responses 1'!$F$2:$F$2604,""))</f>
        <v/>
      </c>
      <c r="I2239" s="44" t="str">
        <f t="array" ref="I2239">IF(B2239="","",_xlfn.XLOOKUP(B2239,'Form responses 1'!$B$2:$B$2604,'Form responses 1'!$I$2:$I$2604,""))</f>
        <v/>
      </c>
      <c r="J2239" s="44" t="str">
        <f t="array" ref="J2239">IF(B2239="","",_xlfn.XLOOKUP(B2239,'Form responses 1'!$B$2:$B$2604,'Form responses 1'!$G$2:$G$2604,""))</f>
        <v/>
      </c>
      <c r="K2239" s="56"/>
      <c r="L2239" s="58" t="str">
        <f t="shared" si="7"/>
        <v/>
      </c>
      <c r="M2239" s="49"/>
      <c r="N2239" s="49"/>
      <c r="O2239" s="49"/>
      <c r="P2239" s="49"/>
      <c r="Q2239" s="49"/>
      <c r="R2239" s="49"/>
      <c r="S2239" s="49"/>
      <c r="T2239" s="49"/>
      <c r="U2239" s="49"/>
      <c r="V2239" s="49"/>
      <c r="W2239" s="56"/>
      <c r="X2239" s="51" t="str">
        <f t="shared" si="5"/>
        <v/>
      </c>
      <c r="Y2239" s="50" t="s">
        <v>482</v>
      </c>
      <c r="Z2239" s="49">
        <f t="shared" si="6"/>
        <v>0</v>
      </c>
    </row>
    <row r="2240" ht="22.5" customHeight="1">
      <c r="B2240" s="57"/>
      <c r="C2240" s="43" t="str">
        <f t="array" ref="C2240">IF(B2240="","",_xlfn.XLOOKUP(B2240,'Form responses 1'!$B$2:$B$2604,'Form responses 1'!$A$2:$A$2604,""))</f>
        <v/>
      </c>
      <c r="D2240" s="44" t="str">
        <f t="shared" si="3"/>
        <v/>
      </c>
      <c r="E2240" s="44" t="str">
        <f t="array" ref="E2240">IF(B2240="","",_xlfn.XLOOKUP(B2240,'Form responses 1'!$B$2:$B$2604,'Form responses 1'!$C$2:$C$2604,""))</f>
        <v/>
      </c>
      <c r="F2240" s="44" t="str">
        <f t="array" ref="F2240">IF(B2240="","",_xlfn.XLOOKUP(B2240,'Form responses 1'!$B$2:$B$2604,'Form responses 1'!$D$2:$D$2604,""))</f>
        <v/>
      </c>
      <c r="G2240" s="44" t="str">
        <f t="array" ref="G2240">IF(B2240="","",_xlfn.XLOOKUP(B2240,'Form responses 1'!$B$2:$B$2604,'Form responses 1'!$E$2:$E$2604,""))</f>
        <v/>
      </c>
      <c r="H2240" s="44" t="str">
        <f t="array" ref="H2240">IF(B2240="","",_xlfn.XLOOKUP(B2240,'Form responses 1'!$B$2:$B$2604,'Form responses 1'!$F$2:$F$2604,""))</f>
        <v/>
      </c>
      <c r="I2240" s="44" t="str">
        <f t="array" ref="I2240">IF(B2240="","",_xlfn.XLOOKUP(B2240,'Form responses 1'!$B$2:$B$2604,'Form responses 1'!$I$2:$I$2604,""))</f>
        <v/>
      </c>
      <c r="J2240" s="44" t="str">
        <f t="array" ref="J2240">IF(B2240="","",_xlfn.XLOOKUP(B2240,'Form responses 1'!$B$2:$B$2604,'Form responses 1'!$G$2:$G$2604,""))</f>
        <v/>
      </c>
      <c r="K2240" s="56"/>
      <c r="L2240" s="58" t="str">
        <f t="shared" si="7"/>
        <v/>
      </c>
      <c r="M2240" s="49"/>
      <c r="N2240" s="49"/>
      <c r="O2240" s="49"/>
      <c r="P2240" s="49"/>
      <c r="Q2240" s="49"/>
      <c r="R2240" s="49"/>
      <c r="S2240" s="49"/>
      <c r="T2240" s="49"/>
      <c r="U2240" s="49"/>
      <c r="V2240" s="49"/>
      <c r="W2240" s="56"/>
      <c r="X2240" s="51" t="str">
        <f t="shared" si="5"/>
        <v/>
      </c>
      <c r="Y2240" s="50" t="s">
        <v>482</v>
      </c>
      <c r="Z2240" s="49">
        <f t="shared" si="6"/>
        <v>0</v>
      </c>
    </row>
    <row r="2241" ht="22.5" customHeight="1">
      <c r="B2241" s="57"/>
      <c r="C2241" s="43" t="str">
        <f t="array" ref="C2241">IF(B2241="","",_xlfn.XLOOKUP(B2241,'Form responses 1'!$B$2:$B$2604,'Form responses 1'!$A$2:$A$2604,""))</f>
        <v/>
      </c>
      <c r="D2241" s="44" t="str">
        <f t="shared" si="3"/>
        <v/>
      </c>
      <c r="E2241" s="44" t="str">
        <f t="array" ref="E2241">IF(B2241="","",_xlfn.XLOOKUP(B2241,'Form responses 1'!$B$2:$B$2604,'Form responses 1'!$C$2:$C$2604,""))</f>
        <v/>
      </c>
      <c r="F2241" s="44" t="str">
        <f t="array" ref="F2241">IF(B2241="","",_xlfn.XLOOKUP(B2241,'Form responses 1'!$B$2:$B$2604,'Form responses 1'!$D$2:$D$2604,""))</f>
        <v/>
      </c>
      <c r="G2241" s="44" t="str">
        <f t="array" ref="G2241">IF(B2241="","",_xlfn.XLOOKUP(B2241,'Form responses 1'!$B$2:$B$2604,'Form responses 1'!$E$2:$E$2604,""))</f>
        <v/>
      </c>
      <c r="H2241" s="44" t="str">
        <f t="array" ref="H2241">IF(B2241="","",_xlfn.XLOOKUP(B2241,'Form responses 1'!$B$2:$B$2604,'Form responses 1'!$F$2:$F$2604,""))</f>
        <v/>
      </c>
      <c r="I2241" s="44" t="str">
        <f t="array" ref="I2241">IF(B2241="","",_xlfn.XLOOKUP(B2241,'Form responses 1'!$B$2:$B$2604,'Form responses 1'!$I$2:$I$2604,""))</f>
        <v/>
      </c>
      <c r="J2241" s="44" t="str">
        <f t="array" ref="J2241">IF(B2241="","",_xlfn.XLOOKUP(B2241,'Form responses 1'!$B$2:$B$2604,'Form responses 1'!$G$2:$G$2604,""))</f>
        <v/>
      </c>
      <c r="K2241" s="56"/>
      <c r="L2241" s="58" t="str">
        <f t="shared" si="7"/>
        <v/>
      </c>
      <c r="M2241" s="49"/>
      <c r="N2241" s="49"/>
      <c r="O2241" s="49"/>
      <c r="P2241" s="49"/>
      <c r="Q2241" s="49"/>
      <c r="R2241" s="49"/>
      <c r="S2241" s="49"/>
      <c r="T2241" s="49"/>
      <c r="U2241" s="49"/>
      <c r="V2241" s="49"/>
      <c r="W2241" s="56"/>
      <c r="X2241" s="51" t="str">
        <f t="shared" si="5"/>
        <v/>
      </c>
      <c r="Y2241" s="50" t="s">
        <v>482</v>
      </c>
      <c r="Z2241" s="49">
        <f t="shared" si="6"/>
        <v>0</v>
      </c>
    </row>
    <row r="2242" ht="22.5" customHeight="1">
      <c r="B2242" s="57"/>
      <c r="C2242" s="43" t="str">
        <f t="array" ref="C2242">IF(B2242="","",_xlfn.XLOOKUP(B2242,'Form responses 1'!$B$2:$B$2604,'Form responses 1'!$A$2:$A$2604,""))</f>
        <v/>
      </c>
      <c r="D2242" s="44" t="str">
        <f t="shared" si="3"/>
        <v/>
      </c>
      <c r="E2242" s="44" t="str">
        <f t="array" ref="E2242">IF(B2242="","",_xlfn.XLOOKUP(B2242,'Form responses 1'!$B$2:$B$2604,'Form responses 1'!$C$2:$C$2604,""))</f>
        <v/>
      </c>
      <c r="F2242" s="44" t="str">
        <f t="array" ref="F2242">IF(B2242="","",_xlfn.XLOOKUP(B2242,'Form responses 1'!$B$2:$B$2604,'Form responses 1'!$D$2:$D$2604,""))</f>
        <v/>
      </c>
      <c r="G2242" s="44" t="str">
        <f t="array" ref="G2242">IF(B2242="","",_xlfn.XLOOKUP(B2242,'Form responses 1'!$B$2:$B$2604,'Form responses 1'!$E$2:$E$2604,""))</f>
        <v/>
      </c>
      <c r="H2242" s="44" t="str">
        <f t="array" ref="H2242">IF(B2242="","",_xlfn.XLOOKUP(B2242,'Form responses 1'!$B$2:$B$2604,'Form responses 1'!$F$2:$F$2604,""))</f>
        <v/>
      </c>
      <c r="I2242" s="44" t="str">
        <f t="array" ref="I2242">IF(B2242="","",_xlfn.XLOOKUP(B2242,'Form responses 1'!$B$2:$B$2604,'Form responses 1'!$I$2:$I$2604,""))</f>
        <v/>
      </c>
      <c r="J2242" s="44" t="str">
        <f t="array" ref="J2242">IF(B2242="","",_xlfn.XLOOKUP(B2242,'Form responses 1'!$B$2:$B$2604,'Form responses 1'!$G$2:$G$2604,""))</f>
        <v/>
      </c>
      <c r="K2242" s="56"/>
      <c r="L2242" s="58" t="str">
        <f t="shared" si="7"/>
        <v/>
      </c>
      <c r="M2242" s="49"/>
      <c r="N2242" s="49"/>
      <c r="O2242" s="49"/>
      <c r="P2242" s="49"/>
      <c r="Q2242" s="49"/>
      <c r="R2242" s="49"/>
      <c r="S2242" s="49"/>
      <c r="T2242" s="49"/>
      <c r="U2242" s="49"/>
      <c r="V2242" s="49"/>
      <c r="W2242" s="56"/>
      <c r="X2242" s="51" t="str">
        <f t="shared" si="5"/>
        <v/>
      </c>
      <c r="Y2242" s="50" t="s">
        <v>482</v>
      </c>
      <c r="Z2242" s="49">
        <f t="shared" si="6"/>
        <v>0</v>
      </c>
    </row>
    <row r="2243" ht="22.5" customHeight="1">
      <c r="B2243" s="57"/>
      <c r="C2243" s="43" t="str">
        <f t="array" ref="C2243">IF(B2243="","",_xlfn.XLOOKUP(B2243,'Form responses 1'!$B$2:$B$2604,'Form responses 1'!$A$2:$A$2604,""))</f>
        <v/>
      </c>
      <c r="D2243" s="44" t="str">
        <f t="shared" si="3"/>
        <v/>
      </c>
      <c r="E2243" s="44" t="str">
        <f t="array" ref="E2243">IF(B2243="","",_xlfn.XLOOKUP(B2243,'Form responses 1'!$B$2:$B$2604,'Form responses 1'!$C$2:$C$2604,""))</f>
        <v/>
      </c>
      <c r="F2243" s="44" t="str">
        <f t="array" ref="F2243">IF(B2243="","",_xlfn.XLOOKUP(B2243,'Form responses 1'!$B$2:$B$2604,'Form responses 1'!$D$2:$D$2604,""))</f>
        <v/>
      </c>
      <c r="G2243" s="44" t="str">
        <f t="array" ref="G2243">IF(B2243="","",_xlfn.XLOOKUP(B2243,'Form responses 1'!$B$2:$B$2604,'Form responses 1'!$E$2:$E$2604,""))</f>
        <v/>
      </c>
      <c r="H2243" s="44" t="str">
        <f t="array" ref="H2243">IF(B2243="","",_xlfn.XLOOKUP(B2243,'Form responses 1'!$B$2:$B$2604,'Form responses 1'!$F$2:$F$2604,""))</f>
        <v/>
      </c>
      <c r="I2243" s="44" t="str">
        <f t="array" ref="I2243">IF(B2243="","",_xlfn.XLOOKUP(B2243,'Form responses 1'!$B$2:$B$2604,'Form responses 1'!$I$2:$I$2604,""))</f>
        <v/>
      </c>
      <c r="J2243" s="44" t="str">
        <f t="array" ref="J2243">IF(B2243="","",_xlfn.XLOOKUP(B2243,'Form responses 1'!$B$2:$B$2604,'Form responses 1'!$G$2:$G$2604,""))</f>
        <v/>
      </c>
      <c r="K2243" s="56"/>
      <c r="L2243" s="58" t="str">
        <f t="shared" si="7"/>
        <v/>
      </c>
      <c r="M2243" s="49"/>
      <c r="N2243" s="49"/>
      <c r="O2243" s="49"/>
      <c r="P2243" s="49"/>
      <c r="Q2243" s="49"/>
      <c r="R2243" s="49"/>
      <c r="S2243" s="49"/>
      <c r="T2243" s="49"/>
      <c r="U2243" s="49"/>
      <c r="V2243" s="49"/>
      <c r="W2243" s="56"/>
      <c r="X2243" s="51" t="str">
        <f t="shared" si="5"/>
        <v/>
      </c>
      <c r="Y2243" s="50" t="s">
        <v>482</v>
      </c>
      <c r="Z2243" s="49">
        <f t="shared" si="6"/>
        <v>0</v>
      </c>
    </row>
    <row r="2244" ht="22.5" customHeight="1">
      <c r="B2244" s="57"/>
      <c r="C2244" s="43" t="str">
        <f t="array" ref="C2244">IF(B2244="","",_xlfn.XLOOKUP(B2244,'Form responses 1'!$B$2:$B$2604,'Form responses 1'!$A$2:$A$2604,""))</f>
        <v/>
      </c>
      <c r="D2244" s="44" t="str">
        <f t="shared" si="3"/>
        <v/>
      </c>
      <c r="E2244" s="44" t="str">
        <f t="array" ref="E2244">IF(B2244="","",_xlfn.XLOOKUP(B2244,'Form responses 1'!$B$2:$B$2604,'Form responses 1'!$C$2:$C$2604,""))</f>
        <v/>
      </c>
      <c r="F2244" s="44" t="str">
        <f t="array" ref="F2244">IF(B2244="","",_xlfn.XLOOKUP(B2244,'Form responses 1'!$B$2:$B$2604,'Form responses 1'!$D$2:$D$2604,""))</f>
        <v/>
      </c>
      <c r="G2244" s="44" t="str">
        <f t="array" ref="G2244">IF(B2244="","",_xlfn.XLOOKUP(B2244,'Form responses 1'!$B$2:$B$2604,'Form responses 1'!$E$2:$E$2604,""))</f>
        <v/>
      </c>
      <c r="H2244" s="44" t="str">
        <f t="array" ref="H2244">IF(B2244="","",_xlfn.XLOOKUP(B2244,'Form responses 1'!$B$2:$B$2604,'Form responses 1'!$F$2:$F$2604,""))</f>
        <v/>
      </c>
      <c r="I2244" s="44" t="str">
        <f t="array" ref="I2244">IF(B2244="","",_xlfn.XLOOKUP(B2244,'Form responses 1'!$B$2:$B$2604,'Form responses 1'!$I$2:$I$2604,""))</f>
        <v/>
      </c>
      <c r="J2244" s="44" t="str">
        <f t="array" ref="J2244">IF(B2244="","",_xlfn.XLOOKUP(B2244,'Form responses 1'!$B$2:$B$2604,'Form responses 1'!$G$2:$G$2604,""))</f>
        <v/>
      </c>
      <c r="K2244" s="56"/>
      <c r="L2244" s="58" t="str">
        <f t="shared" si="7"/>
        <v/>
      </c>
      <c r="M2244" s="49"/>
      <c r="N2244" s="49"/>
      <c r="O2244" s="49"/>
      <c r="P2244" s="49"/>
      <c r="Q2244" s="49"/>
      <c r="R2244" s="49"/>
      <c r="S2244" s="49"/>
      <c r="T2244" s="49"/>
      <c r="U2244" s="49"/>
      <c r="V2244" s="49"/>
      <c r="W2244" s="56"/>
      <c r="X2244" s="51" t="str">
        <f t="shared" si="5"/>
        <v/>
      </c>
      <c r="Y2244" s="50" t="s">
        <v>482</v>
      </c>
      <c r="Z2244" s="49">
        <f t="shared" si="6"/>
        <v>0</v>
      </c>
    </row>
    <row r="2245" ht="22.5" customHeight="1">
      <c r="B2245" s="57"/>
      <c r="C2245" s="43" t="str">
        <f t="array" ref="C2245">IF(B2245="","",_xlfn.XLOOKUP(B2245,'Form responses 1'!$B$2:$B$2604,'Form responses 1'!$A$2:$A$2604,""))</f>
        <v/>
      </c>
      <c r="D2245" s="44" t="str">
        <f t="shared" si="3"/>
        <v/>
      </c>
      <c r="E2245" s="44" t="str">
        <f t="array" ref="E2245">IF(B2245="","",_xlfn.XLOOKUP(B2245,'Form responses 1'!$B$2:$B$2604,'Form responses 1'!$C$2:$C$2604,""))</f>
        <v/>
      </c>
      <c r="F2245" s="44" t="str">
        <f t="array" ref="F2245">IF(B2245="","",_xlfn.XLOOKUP(B2245,'Form responses 1'!$B$2:$B$2604,'Form responses 1'!$D$2:$D$2604,""))</f>
        <v/>
      </c>
      <c r="G2245" s="44" t="str">
        <f t="array" ref="G2245">IF(B2245="","",_xlfn.XLOOKUP(B2245,'Form responses 1'!$B$2:$B$2604,'Form responses 1'!$E$2:$E$2604,""))</f>
        <v/>
      </c>
      <c r="H2245" s="44" t="str">
        <f t="array" ref="H2245">IF(B2245="","",_xlfn.XLOOKUP(B2245,'Form responses 1'!$B$2:$B$2604,'Form responses 1'!$F$2:$F$2604,""))</f>
        <v/>
      </c>
      <c r="I2245" s="44" t="str">
        <f t="array" ref="I2245">IF(B2245="","",_xlfn.XLOOKUP(B2245,'Form responses 1'!$B$2:$B$2604,'Form responses 1'!$I$2:$I$2604,""))</f>
        <v/>
      </c>
      <c r="J2245" s="44" t="str">
        <f t="array" ref="J2245">IF(B2245="","",_xlfn.XLOOKUP(B2245,'Form responses 1'!$B$2:$B$2604,'Form responses 1'!$G$2:$G$2604,""))</f>
        <v/>
      </c>
      <c r="K2245" s="56"/>
      <c r="L2245" s="58" t="str">
        <f t="shared" si="7"/>
        <v/>
      </c>
      <c r="M2245" s="49"/>
      <c r="N2245" s="49"/>
      <c r="O2245" s="49"/>
      <c r="P2245" s="49"/>
      <c r="Q2245" s="49"/>
      <c r="R2245" s="49"/>
      <c r="S2245" s="49"/>
      <c r="T2245" s="49"/>
      <c r="U2245" s="49"/>
      <c r="V2245" s="49"/>
      <c r="W2245" s="56"/>
      <c r="X2245" s="51" t="str">
        <f t="shared" si="5"/>
        <v/>
      </c>
      <c r="Y2245" s="50" t="s">
        <v>482</v>
      </c>
      <c r="Z2245" s="49">
        <f t="shared" si="6"/>
        <v>0</v>
      </c>
    </row>
    <row r="2246" ht="22.5" customHeight="1">
      <c r="B2246" s="57"/>
      <c r="C2246" s="43" t="str">
        <f t="array" ref="C2246">IF(B2246="","",_xlfn.XLOOKUP(B2246,'Form responses 1'!$B$2:$B$2604,'Form responses 1'!$A$2:$A$2604,""))</f>
        <v/>
      </c>
      <c r="D2246" s="44" t="str">
        <f t="shared" si="3"/>
        <v/>
      </c>
      <c r="E2246" s="44" t="str">
        <f t="array" ref="E2246">IF(B2246="","",_xlfn.XLOOKUP(B2246,'Form responses 1'!$B$2:$B$2604,'Form responses 1'!$C$2:$C$2604,""))</f>
        <v/>
      </c>
      <c r="F2246" s="44" t="str">
        <f t="array" ref="F2246">IF(B2246="","",_xlfn.XLOOKUP(B2246,'Form responses 1'!$B$2:$B$2604,'Form responses 1'!$D$2:$D$2604,""))</f>
        <v/>
      </c>
      <c r="G2246" s="44" t="str">
        <f t="array" ref="G2246">IF(B2246="","",_xlfn.XLOOKUP(B2246,'Form responses 1'!$B$2:$B$2604,'Form responses 1'!$E$2:$E$2604,""))</f>
        <v/>
      </c>
      <c r="H2246" s="44" t="str">
        <f t="array" ref="H2246">IF(B2246="","",_xlfn.XLOOKUP(B2246,'Form responses 1'!$B$2:$B$2604,'Form responses 1'!$F$2:$F$2604,""))</f>
        <v/>
      </c>
      <c r="I2246" s="44" t="str">
        <f t="array" ref="I2246">IF(B2246="","",_xlfn.XLOOKUP(B2246,'Form responses 1'!$B$2:$B$2604,'Form responses 1'!$I$2:$I$2604,""))</f>
        <v/>
      </c>
      <c r="J2246" s="44" t="str">
        <f t="array" ref="J2246">IF(B2246="","",_xlfn.XLOOKUP(B2246,'Form responses 1'!$B$2:$B$2604,'Form responses 1'!$G$2:$G$2604,""))</f>
        <v/>
      </c>
      <c r="K2246" s="56"/>
      <c r="L2246" s="58" t="str">
        <f t="shared" si="7"/>
        <v/>
      </c>
      <c r="M2246" s="49"/>
      <c r="N2246" s="49"/>
      <c r="O2246" s="49"/>
      <c r="P2246" s="49"/>
      <c r="Q2246" s="49"/>
      <c r="R2246" s="49"/>
      <c r="S2246" s="49"/>
      <c r="T2246" s="49"/>
      <c r="U2246" s="49"/>
      <c r="V2246" s="49"/>
      <c r="W2246" s="56"/>
      <c r="X2246" s="51" t="str">
        <f t="shared" si="5"/>
        <v/>
      </c>
      <c r="Y2246" s="50" t="s">
        <v>482</v>
      </c>
      <c r="Z2246" s="49">
        <f t="shared" si="6"/>
        <v>0</v>
      </c>
    </row>
    <row r="2247" ht="22.5" customHeight="1">
      <c r="B2247" s="57"/>
      <c r="C2247" s="43" t="str">
        <f t="array" ref="C2247">IF(B2247="","",_xlfn.XLOOKUP(B2247,'Form responses 1'!$B$2:$B$2604,'Form responses 1'!$A$2:$A$2604,""))</f>
        <v/>
      </c>
      <c r="D2247" s="44" t="str">
        <f t="shared" si="3"/>
        <v/>
      </c>
      <c r="E2247" s="44" t="str">
        <f t="array" ref="E2247">IF(B2247="","",_xlfn.XLOOKUP(B2247,'Form responses 1'!$B$2:$B$2604,'Form responses 1'!$C$2:$C$2604,""))</f>
        <v/>
      </c>
      <c r="F2247" s="44" t="str">
        <f t="array" ref="F2247">IF(B2247="","",_xlfn.XLOOKUP(B2247,'Form responses 1'!$B$2:$B$2604,'Form responses 1'!$D$2:$D$2604,""))</f>
        <v/>
      </c>
      <c r="G2247" s="44" t="str">
        <f t="array" ref="G2247">IF(B2247="","",_xlfn.XLOOKUP(B2247,'Form responses 1'!$B$2:$B$2604,'Form responses 1'!$E$2:$E$2604,""))</f>
        <v/>
      </c>
      <c r="H2247" s="44" t="str">
        <f t="array" ref="H2247">IF(B2247="","",_xlfn.XLOOKUP(B2247,'Form responses 1'!$B$2:$B$2604,'Form responses 1'!$F$2:$F$2604,""))</f>
        <v/>
      </c>
      <c r="I2247" s="44" t="str">
        <f t="array" ref="I2247">IF(B2247="","",_xlfn.XLOOKUP(B2247,'Form responses 1'!$B$2:$B$2604,'Form responses 1'!$I$2:$I$2604,""))</f>
        <v/>
      </c>
      <c r="J2247" s="44" t="str">
        <f t="array" ref="J2247">IF(B2247="","",_xlfn.XLOOKUP(B2247,'Form responses 1'!$B$2:$B$2604,'Form responses 1'!$G$2:$G$2604,""))</f>
        <v/>
      </c>
      <c r="K2247" s="56"/>
      <c r="L2247" s="58" t="str">
        <f t="shared" si="7"/>
        <v/>
      </c>
      <c r="M2247" s="49"/>
      <c r="N2247" s="49"/>
      <c r="O2247" s="49"/>
      <c r="P2247" s="49"/>
      <c r="Q2247" s="49"/>
      <c r="R2247" s="49"/>
      <c r="S2247" s="49"/>
      <c r="T2247" s="49"/>
      <c r="U2247" s="49"/>
      <c r="V2247" s="49"/>
      <c r="W2247" s="56"/>
      <c r="X2247" s="51" t="str">
        <f t="shared" si="5"/>
        <v/>
      </c>
      <c r="Y2247" s="50" t="s">
        <v>482</v>
      </c>
      <c r="Z2247" s="49">
        <f t="shared" si="6"/>
        <v>0</v>
      </c>
    </row>
    <row r="2248" ht="22.5" customHeight="1">
      <c r="B2248" s="57"/>
      <c r="C2248" s="43" t="str">
        <f t="array" ref="C2248">IF(B2248="","",_xlfn.XLOOKUP(B2248,'Form responses 1'!$B$2:$B$2604,'Form responses 1'!$A$2:$A$2604,""))</f>
        <v/>
      </c>
      <c r="D2248" s="44" t="str">
        <f t="shared" si="3"/>
        <v/>
      </c>
      <c r="E2248" s="44" t="str">
        <f t="array" ref="E2248">IF(B2248="","",_xlfn.XLOOKUP(B2248,'Form responses 1'!$B$2:$B$2604,'Form responses 1'!$C$2:$C$2604,""))</f>
        <v/>
      </c>
      <c r="F2248" s="44" t="str">
        <f t="array" ref="F2248">IF(B2248="","",_xlfn.XLOOKUP(B2248,'Form responses 1'!$B$2:$B$2604,'Form responses 1'!$D$2:$D$2604,""))</f>
        <v/>
      </c>
      <c r="G2248" s="44" t="str">
        <f t="array" ref="G2248">IF(B2248="","",_xlfn.XLOOKUP(B2248,'Form responses 1'!$B$2:$B$2604,'Form responses 1'!$E$2:$E$2604,""))</f>
        <v/>
      </c>
      <c r="H2248" s="44" t="str">
        <f t="array" ref="H2248">IF(B2248="","",_xlfn.XLOOKUP(B2248,'Form responses 1'!$B$2:$B$2604,'Form responses 1'!$F$2:$F$2604,""))</f>
        <v/>
      </c>
      <c r="I2248" s="44" t="str">
        <f t="array" ref="I2248">IF(B2248="","",_xlfn.XLOOKUP(B2248,'Form responses 1'!$B$2:$B$2604,'Form responses 1'!$I$2:$I$2604,""))</f>
        <v/>
      </c>
      <c r="J2248" s="44" t="str">
        <f t="array" ref="J2248">IF(B2248="","",_xlfn.XLOOKUP(B2248,'Form responses 1'!$B$2:$B$2604,'Form responses 1'!$G$2:$G$2604,""))</f>
        <v/>
      </c>
      <c r="K2248" s="56"/>
      <c r="L2248" s="58" t="str">
        <f t="shared" si="7"/>
        <v/>
      </c>
      <c r="M2248" s="49"/>
      <c r="N2248" s="49"/>
      <c r="O2248" s="49"/>
      <c r="P2248" s="49"/>
      <c r="Q2248" s="49"/>
      <c r="R2248" s="49"/>
      <c r="S2248" s="49"/>
      <c r="T2248" s="49"/>
      <c r="U2248" s="49"/>
      <c r="V2248" s="49"/>
      <c r="W2248" s="56"/>
      <c r="X2248" s="51" t="str">
        <f t="shared" si="5"/>
        <v/>
      </c>
      <c r="Y2248" s="50" t="s">
        <v>482</v>
      </c>
      <c r="Z2248" s="49">
        <f t="shared" si="6"/>
        <v>0</v>
      </c>
    </row>
    <row r="2249" ht="22.5" customHeight="1">
      <c r="B2249" s="57"/>
      <c r="C2249" s="43" t="str">
        <f t="array" ref="C2249">IF(B2249="","",_xlfn.XLOOKUP(B2249,'Form responses 1'!$B$2:$B$2604,'Form responses 1'!$A$2:$A$2604,""))</f>
        <v/>
      </c>
      <c r="D2249" s="44" t="str">
        <f t="shared" si="3"/>
        <v/>
      </c>
      <c r="E2249" s="44" t="str">
        <f t="array" ref="E2249">IF(B2249="","",_xlfn.XLOOKUP(B2249,'Form responses 1'!$B$2:$B$2604,'Form responses 1'!$C$2:$C$2604,""))</f>
        <v/>
      </c>
      <c r="F2249" s="44" t="str">
        <f t="array" ref="F2249">IF(B2249="","",_xlfn.XLOOKUP(B2249,'Form responses 1'!$B$2:$B$2604,'Form responses 1'!$D$2:$D$2604,""))</f>
        <v/>
      </c>
      <c r="G2249" s="44" t="str">
        <f t="array" ref="G2249">IF(B2249="","",_xlfn.XLOOKUP(B2249,'Form responses 1'!$B$2:$B$2604,'Form responses 1'!$E$2:$E$2604,""))</f>
        <v/>
      </c>
      <c r="H2249" s="44" t="str">
        <f t="array" ref="H2249">IF(B2249="","",_xlfn.XLOOKUP(B2249,'Form responses 1'!$B$2:$B$2604,'Form responses 1'!$F$2:$F$2604,""))</f>
        <v/>
      </c>
      <c r="I2249" s="44" t="str">
        <f t="array" ref="I2249">IF(B2249="","",_xlfn.XLOOKUP(B2249,'Form responses 1'!$B$2:$B$2604,'Form responses 1'!$I$2:$I$2604,""))</f>
        <v/>
      </c>
      <c r="J2249" s="44" t="str">
        <f t="array" ref="J2249">IF(B2249="","",_xlfn.XLOOKUP(B2249,'Form responses 1'!$B$2:$B$2604,'Form responses 1'!$G$2:$G$2604,""))</f>
        <v/>
      </c>
      <c r="K2249" s="56"/>
      <c r="L2249" s="58" t="str">
        <f t="shared" si="7"/>
        <v/>
      </c>
      <c r="M2249" s="49"/>
      <c r="N2249" s="49"/>
      <c r="O2249" s="49"/>
      <c r="P2249" s="49"/>
      <c r="Q2249" s="49"/>
      <c r="R2249" s="49"/>
      <c r="S2249" s="49"/>
      <c r="T2249" s="49"/>
      <c r="U2249" s="49"/>
      <c r="V2249" s="49"/>
      <c r="W2249" s="56"/>
      <c r="X2249" s="51" t="str">
        <f t="shared" si="5"/>
        <v/>
      </c>
      <c r="Y2249" s="50" t="s">
        <v>482</v>
      </c>
      <c r="Z2249" s="49">
        <f t="shared" si="6"/>
        <v>0</v>
      </c>
    </row>
    <row r="2250" ht="22.5" customHeight="1">
      <c r="B2250" s="57"/>
      <c r="C2250" s="43" t="str">
        <f t="array" ref="C2250">IF(B2250="","",_xlfn.XLOOKUP(B2250,'Form responses 1'!$B$2:$B$2604,'Form responses 1'!$A$2:$A$2604,""))</f>
        <v/>
      </c>
      <c r="D2250" s="44" t="str">
        <f t="shared" si="3"/>
        <v/>
      </c>
      <c r="E2250" s="44" t="str">
        <f t="array" ref="E2250">IF(B2250="","",_xlfn.XLOOKUP(B2250,'Form responses 1'!$B$2:$B$2604,'Form responses 1'!$C$2:$C$2604,""))</f>
        <v/>
      </c>
      <c r="F2250" s="44" t="str">
        <f t="array" ref="F2250">IF(B2250="","",_xlfn.XLOOKUP(B2250,'Form responses 1'!$B$2:$B$2604,'Form responses 1'!$D$2:$D$2604,""))</f>
        <v/>
      </c>
      <c r="G2250" s="44" t="str">
        <f t="array" ref="G2250">IF(B2250="","",_xlfn.XLOOKUP(B2250,'Form responses 1'!$B$2:$B$2604,'Form responses 1'!$E$2:$E$2604,""))</f>
        <v/>
      </c>
      <c r="H2250" s="44" t="str">
        <f t="array" ref="H2250">IF(B2250="","",_xlfn.XLOOKUP(B2250,'Form responses 1'!$B$2:$B$2604,'Form responses 1'!$F$2:$F$2604,""))</f>
        <v/>
      </c>
      <c r="I2250" s="44" t="str">
        <f t="array" ref="I2250">IF(B2250="","",_xlfn.XLOOKUP(B2250,'Form responses 1'!$B$2:$B$2604,'Form responses 1'!$I$2:$I$2604,""))</f>
        <v/>
      </c>
      <c r="J2250" s="44" t="str">
        <f t="array" ref="J2250">IF(B2250="","",_xlfn.XLOOKUP(B2250,'Form responses 1'!$B$2:$B$2604,'Form responses 1'!$G$2:$G$2604,""))</f>
        <v/>
      </c>
      <c r="K2250" s="56"/>
      <c r="L2250" s="58" t="str">
        <f t="shared" si="7"/>
        <v/>
      </c>
      <c r="M2250" s="49"/>
      <c r="N2250" s="49"/>
      <c r="O2250" s="49"/>
      <c r="P2250" s="49"/>
      <c r="Q2250" s="49"/>
      <c r="R2250" s="49"/>
      <c r="S2250" s="49"/>
      <c r="T2250" s="49"/>
      <c r="U2250" s="49"/>
      <c r="V2250" s="49"/>
      <c r="W2250" s="56"/>
      <c r="X2250" s="51" t="str">
        <f t="shared" si="5"/>
        <v/>
      </c>
      <c r="Y2250" s="50" t="s">
        <v>482</v>
      </c>
      <c r="Z2250" s="49">
        <f t="shared" si="6"/>
        <v>0</v>
      </c>
    </row>
    <row r="2251" ht="22.5" customHeight="1">
      <c r="B2251" s="57"/>
      <c r="C2251" s="43" t="str">
        <f t="array" ref="C2251">IF(B2251="","",_xlfn.XLOOKUP(B2251,'Form responses 1'!$B$2:$B$2604,'Form responses 1'!$A$2:$A$2604,""))</f>
        <v/>
      </c>
      <c r="D2251" s="44" t="str">
        <f t="shared" si="3"/>
        <v/>
      </c>
      <c r="E2251" s="44" t="str">
        <f t="array" ref="E2251">IF(B2251="","",_xlfn.XLOOKUP(B2251,'Form responses 1'!$B$2:$B$2604,'Form responses 1'!$C$2:$C$2604,""))</f>
        <v/>
      </c>
      <c r="F2251" s="44" t="str">
        <f t="array" ref="F2251">IF(B2251="","",_xlfn.XLOOKUP(B2251,'Form responses 1'!$B$2:$B$2604,'Form responses 1'!$D$2:$D$2604,""))</f>
        <v/>
      </c>
      <c r="G2251" s="44" t="str">
        <f t="array" ref="G2251">IF(B2251="","",_xlfn.XLOOKUP(B2251,'Form responses 1'!$B$2:$B$2604,'Form responses 1'!$E$2:$E$2604,""))</f>
        <v/>
      </c>
      <c r="H2251" s="44" t="str">
        <f t="array" ref="H2251">IF(B2251="","",_xlfn.XLOOKUP(B2251,'Form responses 1'!$B$2:$B$2604,'Form responses 1'!$F$2:$F$2604,""))</f>
        <v/>
      </c>
      <c r="I2251" s="44" t="str">
        <f t="array" ref="I2251">IF(B2251="","",_xlfn.XLOOKUP(B2251,'Form responses 1'!$B$2:$B$2604,'Form responses 1'!$I$2:$I$2604,""))</f>
        <v/>
      </c>
      <c r="J2251" s="44" t="str">
        <f t="array" ref="J2251">IF(B2251="","",_xlfn.XLOOKUP(B2251,'Form responses 1'!$B$2:$B$2604,'Form responses 1'!$G$2:$G$2604,""))</f>
        <v/>
      </c>
      <c r="K2251" s="56"/>
      <c r="L2251" s="58" t="str">
        <f t="shared" si="7"/>
        <v/>
      </c>
      <c r="M2251" s="49"/>
      <c r="N2251" s="49"/>
      <c r="O2251" s="49"/>
      <c r="P2251" s="49"/>
      <c r="Q2251" s="49"/>
      <c r="R2251" s="49"/>
      <c r="S2251" s="49"/>
      <c r="T2251" s="49"/>
      <c r="U2251" s="49"/>
      <c r="V2251" s="49"/>
      <c r="W2251" s="56"/>
      <c r="X2251" s="51" t="str">
        <f t="shared" si="5"/>
        <v/>
      </c>
      <c r="Y2251" s="50" t="s">
        <v>482</v>
      </c>
      <c r="Z2251" s="49">
        <f t="shared" si="6"/>
        <v>0</v>
      </c>
    </row>
    <row r="2252" ht="22.5" customHeight="1">
      <c r="B2252" s="57"/>
      <c r="C2252" s="43" t="str">
        <f t="array" ref="C2252">IF(B2252="","",_xlfn.XLOOKUP(B2252,'Form responses 1'!$B$2:$B$2604,'Form responses 1'!$A$2:$A$2604,""))</f>
        <v/>
      </c>
      <c r="D2252" s="44" t="str">
        <f t="shared" si="3"/>
        <v/>
      </c>
      <c r="E2252" s="44" t="str">
        <f t="array" ref="E2252">IF(B2252="","",_xlfn.XLOOKUP(B2252,'Form responses 1'!$B$2:$B$2604,'Form responses 1'!$C$2:$C$2604,""))</f>
        <v/>
      </c>
      <c r="F2252" s="44" t="str">
        <f t="array" ref="F2252">IF(B2252="","",_xlfn.XLOOKUP(B2252,'Form responses 1'!$B$2:$B$2604,'Form responses 1'!$D$2:$D$2604,""))</f>
        <v/>
      </c>
      <c r="G2252" s="44" t="str">
        <f t="array" ref="G2252">IF(B2252="","",_xlfn.XLOOKUP(B2252,'Form responses 1'!$B$2:$B$2604,'Form responses 1'!$E$2:$E$2604,""))</f>
        <v/>
      </c>
      <c r="H2252" s="44" t="str">
        <f t="array" ref="H2252">IF(B2252="","",_xlfn.XLOOKUP(B2252,'Form responses 1'!$B$2:$B$2604,'Form responses 1'!$F$2:$F$2604,""))</f>
        <v/>
      </c>
      <c r="I2252" s="44" t="str">
        <f t="array" ref="I2252">IF(B2252="","",_xlfn.XLOOKUP(B2252,'Form responses 1'!$B$2:$B$2604,'Form responses 1'!$I$2:$I$2604,""))</f>
        <v/>
      </c>
      <c r="J2252" s="44" t="str">
        <f t="array" ref="J2252">IF(B2252="","",_xlfn.XLOOKUP(B2252,'Form responses 1'!$B$2:$B$2604,'Form responses 1'!$G$2:$G$2604,""))</f>
        <v/>
      </c>
      <c r="K2252" s="56"/>
      <c r="L2252" s="58" t="str">
        <f t="shared" si="7"/>
        <v/>
      </c>
      <c r="M2252" s="49"/>
      <c r="N2252" s="49"/>
      <c r="O2252" s="49"/>
      <c r="P2252" s="49"/>
      <c r="Q2252" s="49"/>
      <c r="R2252" s="49"/>
      <c r="S2252" s="49"/>
      <c r="T2252" s="49"/>
      <c r="U2252" s="49"/>
      <c r="V2252" s="49"/>
      <c r="W2252" s="56"/>
      <c r="X2252" s="51" t="str">
        <f t="shared" si="5"/>
        <v/>
      </c>
      <c r="Y2252" s="50" t="s">
        <v>482</v>
      </c>
      <c r="Z2252" s="49">
        <f t="shared" si="6"/>
        <v>0</v>
      </c>
    </row>
    <row r="2253" ht="22.5" customHeight="1">
      <c r="B2253" s="57"/>
      <c r="C2253" s="43" t="str">
        <f t="array" ref="C2253">IF(B2253="","",_xlfn.XLOOKUP(B2253,'Form responses 1'!$B$2:$B$2604,'Form responses 1'!$A$2:$A$2604,""))</f>
        <v/>
      </c>
      <c r="D2253" s="44" t="str">
        <f t="shared" si="3"/>
        <v/>
      </c>
      <c r="E2253" s="44" t="str">
        <f t="array" ref="E2253">IF(B2253="","",_xlfn.XLOOKUP(B2253,'Form responses 1'!$B$2:$B$2604,'Form responses 1'!$C$2:$C$2604,""))</f>
        <v/>
      </c>
      <c r="F2253" s="44" t="str">
        <f t="array" ref="F2253">IF(B2253="","",_xlfn.XLOOKUP(B2253,'Form responses 1'!$B$2:$B$2604,'Form responses 1'!$D$2:$D$2604,""))</f>
        <v/>
      </c>
      <c r="G2253" s="44" t="str">
        <f t="array" ref="G2253">IF(B2253="","",_xlfn.XLOOKUP(B2253,'Form responses 1'!$B$2:$B$2604,'Form responses 1'!$E$2:$E$2604,""))</f>
        <v/>
      </c>
      <c r="H2253" s="44" t="str">
        <f t="array" ref="H2253">IF(B2253="","",_xlfn.XLOOKUP(B2253,'Form responses 1'!$B$2:$B$2604,'Form responses 1'!$F$2:$F$2604,""))</f>
        <v/>
      </c>
      <c r="I2253" s="44" t="str">
        <f t="array" ref="I2253">IF(B2253="","",_xlfn.XLOOKUP(B2253,'Form responses 1'!$B$2:$B$2604,'Form responses 1'!$I$2:$I$2604,""))</f>
        <v/>
      </c>
      <c r="J2253" s="44" t="str">
        <f t="array" ref="J2253">IF(B2253="","",_xlfn.XLOOKUP(B2253,'Form responses 1'!$B$2:$B$2604,'Form responses 1'!$G$2:$G$2604,""))</f>
        <v/>
      </c>
      <c r="K2253" s="56"/>
      <c r="L2253" s="58" t="str">
        <f t="shared" si="7"/>
        <v/>
      </c>
      <c r="M2253" s="49"/>
      <c r="N2253" s="49"/>
      <c r="O2253" s="49"/>
      <c r="P2253" s="49"/>
      <c r="Q2253" s="49"/>
      <c r="R2253" s="49"/>
      <c r="S2253" s="49"/>
      <c r="T2253" s="49"/>
      <c r="U2253" s="49"/>
      <c r="V2253" s="49"/>
      <c r="W2253" s="56"/>
      <c r="X2253" s="51" t="str">
        <f t="shared" si="5"/>
        <v/>
      </c>
      <c r="Y2253" s="50" t="s">
        <v>482</v>
      </c>
      <c r="Z2253" s="49">
        <f t="shared" si="6"/>
        <v>0</v>
      </c>
    </row>
    <row r="2254" ht="22.5" customHeight="1">
      <c r="B2254" s="57"/>
      <c r="C2254" s="43" t="str">
        <f t="array" ref="C2254">IF(B2254="","",_xlfn.XLOOKUP(B2254,'Form responses 1'!$B$2:$B$2604,'Form responses 1'!$A$2:$A$2604,""))</f>
        <v/>
      </c>
      <c r="D2254" s="44" t="str">
        <f t="shared" si="3"/>
        <v/>
      </c>
      <c r="E2254" s="44" t="str">
        <f t="array" ref="E2254">IF(B2254="","",_xlfn.XLOOKUP(B2254,'Form responses 1'!$B$2:$B$2604,'Form responses 1'!$C$2:$C$2604,""))</f>
        <v/>
      </c>
      <c r="F2254" s="44" t="str">
        <f t="array" ref="F2254">IF(B2254="","",_xlfn.XLOOKUP(B2254,'Form responses 1'!$B$2:$B$2604,'Form responses 1'!$D$2:$D$2604,""))</f>
        <v/>
      </c>
      <c r="G2254" s="44" t="str">
        <f t="array" ref="G2254">IF(B2254="","",_xlfn.XLOOKUP(B2254,'Form responses 1'!$B$2:$B$2604,'Form responses 1'!$E$2:$E$2604,""))</f>
        <v/>
      </c>
      <c r="H2254" s="44" t="str">
        <f t="array" ref="H2254">IF(B2254="","",_xlfn.XLOOKUP(B2254,'Form responses 1'!$B$2:$B$2604,'Form responses 1'!$F$2:$F$2604,""))</f>
        <v/>
      </c>
      <c r="I2254" s="44" t="str">
        <f t="array" ref="I2254">IF(B2254="","",_xlfn.XLOOKUP(B2254,'Form responses 1'!$B$2:$B$2604,'Form responses 1'!$I$2:$I$2604,""))</f>
        <v/>
      </c>
      <c r="J2254" s="44" t="str">
        <f t="array" ref="J2254">IF(B2254="","",_xlfn.XLOOKUP(B2254,'Form responses 1'!$B$2:$B$2604,'Form responses 1'!$G$2:$G$2604,""))</f>
        <v/>
      </c>
      <c r="K2254" s="56"/>
      <c r="L2254" s="58" t="str">
        <f t="shared" si="7"/>
        <v/>
      </c>
      <c r="M2254" s="49"/>
      <c r="N2254" s="49"/>
      <c r="O2254" s="49"/>
      <c r="P2254" s="49"/>
      <c r="Q2254" s="49"/>
      <c r="R2254" s="49"/>
      <c r="S2254" s="49"/>
      <c r="T2254" s="49"/>
      <c r="U2254" s="49"/>
      <c r="V2254" s="49"/>
      <c r="W2254" s="56"/>
      <c r="X2254" s="51" t="str">
        <f t="shared" si="5"/>
        <v/>
      </c>
      <c r="Y2254" s="50" t="s">
        <v>482</v>
      </c>
      <c r="Z2254" s="49">
        <f t="shared" si="6"/>
        <v>0</v>
      </c>
    </row>
    <row r="2255" ht="22.5" customHeight="1">
      <c r="B2255" s="57"/>
      <c r="C2255" s="43" t="str">
        <f t="array" ref="C2255">IF(B2255="","",_xlfn.XLOOKUP(B2255,'Form responses 1'!$B$2:$B$2604,'Form responses 1'!$A$2:$A$2604,""))</f>
        <v/>
      </c>
      <c r="D2255" s="44" t="str">
        <f t="shared" si="3"/>
        <v/>
      </c>
      <c r="E2255" s="44" t="str">
        <f t="array" ref="E2255">IF(B2255="","",_xlfn.XLOOKUP(B2255,'Form responses 1'!$B$2:$B$2604,'Form responses 1'!$C$2:$C$2604,""))</f>
        <v/>
      </c>
      <c r="F2255" s="44" t="str">
        <f t="array" ref="F2255">IF(B2255="","",_xlfn.XLOOKUP(B2255,'Form responses 1'!$B$2:$B$2604,'Form responses 1'!$D$2:$D$2604,""))</f>
        <v/>
      </c>
      <c r="G2255" s="44" t="str">
        <f t="array" ref="G2255">IF(B2255="","",_xlfn.XLOOKUP(B2255,'Form responses 1'!$B$2:$B$2604,'Form responses 1'!$E$2:$E$2604,""))</f>
        <v/>
      </c>
      <c r="H2255" s="44" t="str">
        <f t="array" ref="H2255">IF(B2255="","",_xlfn.XLOOKUP(B2255,'Form responses 1'!$B$2:$B$2604,'Form responses 1'!$F$2:$F$2604,""))</f>
        <v/>
      </c>
      <c r="I2255" s="44" t="str">
        <f t="array" ref="I2255">IF(B2255="","",_xlfn.XLOOKUP(B2255,'Form responses 1'!$B$2:$B$2604,'Form responses 1'!$I$2:$I$2604,""))</f>
        <v/>
      </c>
      <c r="J2255" s="44" t="str">
        <f t="array" ref="J2255">IF(B2255="","",_xlfn.XLOOKUP(B2255,'Form responses 1'!$B$2:$B$2604,'Form responses 1'!$G$2:$G$2604,""))</f>
        <v/>
      </c>
      <c r="K2255" s="56"/>
      <c r="L2255" s="58" t="str">
        <f t="shared" si="7"/>
        <v/>
      </c>
      <c r="M2255" s="49"/>
      <c r="N2255" s="49"/>
      <c r="O2255" s="49"/>
      <c r="P2255" s="49"/>
      <c r="Q2255" s="49"/>
      <c r="R2255" s="49"/>
      <c r="S2255" s="49"/>
      <c r="T2255" s="49"/>
      <c r="U2255" s="49"/>
      <c r="V2255" s="49"/>
      <c r="W2255" s="56"/>
      <c r="X2255" s="51" t="str">
        <f t="shared" si="5"/>
        <v/>
      </c>
      <c r="Y2255" s="50" t="s">
        <v>482</v>
      </c>
      <c r="Z2255" s="49">
        <f t="shared" si="6"/>
        <v>0</v>
      </c>
    </row>
    <row r="2256" ht="22.5" customHeight="1">
      <c r="B2256" s="57"/>
      <c r="C2256" s="43" t="str">
        <f t="array" ref="C2256">IF(B2256="","",_xlfn.XLOOKUP(B2256,'Form responses 1'!$B$2:$B$2604,'Form responses 1'!$A$2:$A$2604,""))</f>
        <v/>
      </c>
      <c r="D2256" s="44" t="str">
        <f t="shared" si="3"/>
        <v/>
      </c>
      <c r="E2256" s="44" t="str">
        <f t="array" ref="E2256">IF(B2256="","",_xlfn.XLOOKUP(B2256,'Form responses 1'!$B$2:$B$2604,'Form responses 1'!$C$2:$C$2604,""))</f>
        <v/>
      </c>
      <c r="F2256" s="44" t="str">
        <f t="array" ref="F2256">IF(B2256="","",_xlfn.XLOOKUP(B2256,'Form responses 1'!$B$2:$B$2604,'Form responses 1'!$D$2:$D$2604,""))</f>
        <v/>
      </c>
      <c r="G2256" s="44" t="str">
        <f t="array" ref="G2256">IF(B2256="","",_xlfn.XLOOKUP(B2256,'Form responses 1'!$B$2:$B$2604,'Form responses 1'!$E$2:$E$2604,""))</f>
        <v/>
      </c>
      <c r="H2256" s="44" t="str">
        <f t="array" ref="H2256">IF(B2256="","",_xlfn.XLOOKUP(B2256,'Form responses 1'!$B$2:$B$2604,'Form responses 1'!$F$2:$F$2604,""))</f>
        <v/>
      </c>
      <c r="I2256" s="44" t="str">
        <f t="array" ref="I2256">IF(B2256="","",_xlfn.XLOOKUP(B2256,'Form responses 1'!$B$2:$B$2604,'Form responses 1'!$I$2:$I$2604,""))</f>
        <v/>
      </c>
      <c r="J2256" s="44" t="str">
        <f t="array" ref="J2256">IF(B2256="","",_xlfn.XLOOKUP(B2256,'Form responses 1'!$B$2:$B$2604,'Form responses 1'!$G$2:$G$2604,""))</f>
        <v/>
      </c>
      <c r="K2256" s="56"/>
      <c r="L2256" s="58" t="str">
        <f t="shared" si="7"/>
        <v/>
      </c>
      <c r="M2256" s="49"/>
      <c r="N2256" s="49"/>
      <c r="O2256" s="49"/>
      <c r="P2256" s="49"/>
      <c r="Q2256" s="49"/>
      <c r="R2256" s="49"/>
      <c r="S2256" s="49"/>
      <c r="T2256" s="49"/>
      <c r="U2256" s="49"/>
      <c r="V2256" s="49"/>
      <c r="W2256" s="56"/>
      <c r="X2256" s="51" t="str">
        <f t="shared" si="5"/>
        <v/>
      </c>
      <c r="Y2256" s="50" t="s">
        <v>482</v>
      </c>
      <c r="Z2256" s="49">
        <f t="shared" si="6"/>
        <v>0</v>
      </c>
    </row>
    <row r="2257" ht="22.5" customHeight="1">
      <c r="B2257" s="57"/>
      <c r="C2257" s="43" t="str">
        <f t="array" ref="C2257">IF(B2257="","",_xlfn.XLOOKUP(B2257,'Form responses 1'!$B$2:$B$2604,'Form responses 1'!$A$2:$A$2604,""))</f>
        <v/>
      </c>
      <c r="D2257" s="44" t="str">
        <f t="shared" si="3"/>
        <v/>
      </c>
      <c r="E2257" s="44" t="str">
        <f t="array" ref="E2257">IF(B2257="","",_xlfn.XLOOKUP(B2257,'Form responses 1'!$B$2:$B$2604,'Form responses 1'!$C$2:$C$2604,""))</f>
        <v/>
      </c>
      <c r="F2257" s="44" t="str">
        <f t="array" ref="F2257">IF(B2257="","",_xlfn.XLOOKUP(B2257,'Form responses 1'!$B$2:$B$2604,'Form responses 1'!$D$2:$D$2604,""))</f>
        <v/>
      </c>
      <c r="G2257" s="44" t="str">
        <f t="array" ref="G2257">IF(B2257="","",_xlfn.XLOOKUP(B2257,'Form responses 1'!$B$2:$B$2604,'Form responses 1'!$E$2:$E$2604,""))</f>
        <v/>
      </c>
      <c r="H2257" s="44" t="str">
        <f t="array" ref="H2257">IF(B2257="","",_xlfn.XLOOKUP(B2257,'Form responses 1'!$B$2:$B$2604,'Form responses 1'!$F$2:$F$2604,""))</f>
        <v/>
      </c>
      <c r="I2257" s="44" t="str">
        <f t="array" ref="I2257">IF(B2257="","",_xlfn.XLOOKUP(B2257,'Form responses 1'!$B$2:$B$2604,'Form responses 1'!$I$2:$I$2604,""))</f>
        <v/>
      </c>
      <c r="J2257" s="44" t="str">
        <f t="array" ref="J2257">IF(B2257="","",_xlfn.XLOOKUP(B2257,'Form responses 1'!$B$2:$B$2604,'Form responses 1'!$G$2:$G$2604,""))</f>
        <v/>
      </c>
      <c r="K2257" s="56"/>
      <c r="L2257" s="58" t="str">
        <f t="shared" si="7"/>
        <v/>
      </c>
      <c r="M2257" s="49"/>
      <c r="N2257" s="49"/>
      <c r="O2257" s="49"/>
      <c r="P2257" s="49"/>
      <c r="Q2257" s="49"/>
      <c r="R2257" s="49"/>
      <c r="S2257" s="49"/>
      <c r="T2257" s="49"/>
      <c r="U2257" s="49"/>
      <c r="V2257" s="49"/>
      <c r="W2257" s="56"/>
      <c r="X2257" s="51" t="str">
        <f t="shared" si="5"/>
        <v/>
      </c>
      <c r="Y2257" s="50" t="s">
        <v>482</v>
      </c>
      <c r="Z2257" s="49">
        <f t="shared" si="6"/>
        <v>0</v>
      </c>
    </row>
    <row r="2258" ht="22.5" customHeight="1">
      <c r="B2258" s="57"/>
      <c r="C2258" s="43" t="str">
        <f t="array" ref="C2258">IF(B2258="","",_xlfn.XLOOKUP(B2258,'Form responses 1'!$B$2:$B$2604,'Form responses 1'!$A$2:$A$2604,""))</f>
        <v/>
      </c>
      <c r="D2258" s="44" t="str">
        <f t="shared" si="3"/>
        <v/>
      </c>
      <c r="E2258" s="44" t="str">
        <f t="array" ref="E2258">IF(B2258="","",_xlfn.XLOOKUP(B2258,'Form responses 1'!$B$2:$B$2604,'Form responses 1'!$C$2:$C$2604,""))</f>
        <v/>
      </c>
      <c r="F2258" s="44" t="str">
        <f t="array" ref="F2258">IF(B2258="","",_xlfn.XLOOKUP(B2258,'Form responses 1'!$B$2:$B$2604,'Form responses 1'!$D$2:$D$2604,""))</f>
        <v/>
      </c>
      <c r="G2258" s="44" t="str">
        <f t="array" ref="G2258">IF(B2258="","",_xlfn.XLOOKUP(B2258,'Form responses 1'!$B$2:$B$2604,'Form responses 1'!$E$2:$E$2604,""))</f>
        <v/>
      </c>
      <c r="H2258" s="44" t="str">
        <f t="array" ref="H2258">IF(B2258="","",_xlfn.XLOOKUP(B2258,'Form responses 1'!$B$2:$B$2604,'Form responses 1'!$F$2:$F$2604,""))</f>
        <v/>
      </c>
      <c r="I2258" s="44" t="str">
        <f t="array" ref="I2258">IF(B2258="","",_xlfn.XLOOKUP(B2258,'Form responses 1'!$B$2:$B$2604,'Form responses 1'!$I$2:$I$2604,""))</f>
        <v/>
      </c>
      <c r="J2258" s="44" t="str">
        <f t="array" ref="J2258">IF(B2258="","",_xlfn.XLOOKUP(B2258,'Form responses 1'!$B$2:$B$2604,'Form responses 1'!$G$2:$G$2604,""))</f>
        <v/>
      </c>
      <c r="K2258" s="56"/>
      <c r="L2258" s="58" t="str">
        <f t="shared" si="7"/>
        <v/>
      </c>
      <c r="M2258" s="49"/>
      <c r="N2258" s="49"/>
      <c r="O2258" s="49"/>
      <c r="P2258" s="49"/>
      <c r="Q2258" s="49"/>
      <c r="R2258" s="49"/>
      <c r="S2258" s="49"/>
      <c r="T2258" s="49"/>
      <c r="U2258" s="49"/>
      <c r="V2258" s="49"/>
      <c r="W2258" s="56"/>
      <c r="X2258" s="51" t="str">
        <f t="shared" si="5"/>
        <v/>
      </c>
      <c r="Y2258" s="50" t="s">
        <v>482</v>
      </c>
      <c r="Z2258" s="49">
        <f t="shared" si="6"/>
        <v>0</v>
      </c>
    </row>
    <row r="2259" ht="22.5" customHeight="1">
      <c r="B2259" s="57"/>
      <c r="C2259" s="43" t="str">
        <f t="array" ref="C2259">IF(B2259="","",_xlfn.XLOOKUP(B2259,'Form responses 1'!$B$2:$B$2604,'Form responses 1'!$A$2:$A$2604,""))</f>
        <v/>
      </c>
      <c r="D2259" s="44" t="str">
        <f t="shared" si="3"/>
        <v/>
      </c>
      <c r="E2259" s="44" t="str">
        <f t="array" ref="E2259">IF(B2259="","",_xlfn.XLOOKUP(B2259,'Form responses 1'!$B$2:$B$2604,'Form responses 1'!$C$2:$C$2604,""))</f>
        <v/>
      </c>
      <c r="F2259" s="44" t="str">
        <f t="array" ref="F2259">IF(B2259="","",_xlfn.XLOOKUP(B2259,'Form responses 1'!$B$2:$B$2604,'Form responses 1'!$D$2:$D$2604,""))</f>
        <v/>
      </c>
      <c r="G2259" s="44" t="str">
        <f t="array" ref="G2259">IF(B2259="","",_xlfn.XLOOKUP(B2259,'Form responses 1'!$B$2:$B$2604,'Form responses 1'!$E$2:$E$2604,""))</f>
        <v/>
      </c>
      <c r="H2259" s="44" t="str">
        <f t="array" ref="H2259">IF(B2259="","",_xlfn.XLOOKUP(B2259,'Form responses 1'!$B$2:$B$2604,'Form responses 1'!$F$2:$F$2604,""))</f>
        <v/>
      </c>
      <c r="I2259" s="44" t="str">
        <f t="array" ref="I2259">IF(B2259="","",_xlfn.XLOOKUP(B2259,'Form responses 1'!$B$2:$B$2604,'Form responses 1'!$I$2:$I$2604,""))</f>
        <v/>
      </c>
      <c r="J2259" s="44" t="str">
        <f t="array" ref="J2259">IF(B2259="","",_xlfn.XLOOKUP(B2259,'Form responses 1'!$B$2:$B$2604,'Form responses 1'!$G$2:$G$2604,""))</f>
        <v/>
      </c>
      <c r="K2259" s="56"/>
      <c r="L2259" s="58" t="str">
        <f t="shared" si="7"/>
        <v/>
      </c>
      <c r="M2259" s="49"/>
      <c r="N2259" s="49"/>
      <c r="O2259" s="49"/>
      <c r="P2259" s="49"/>
      <c r="Q2259" s="49"/>
      <c r="R2259" s="49"/>
      <c r="S2259" s="49"/>
      <c r="T2259" s="49"/>
      <c r="U2259" s="49"/>
      <c r="V2259" s="49"/>
      <c r="W2259" s="56"/>
      <c r="X2259" s="51" t="str">
        <f t="shared" si="5"/>
        <v/>
      </c>
      <c r="Y2259" s="50" t="s">
        <v>482</v>
      </c>
      <c r="Z2259" s="49">
        <f t="shared" si="6"/>
        <v>0</v>
      </c>
    </row>
    <row r="2260" ht="22.5" customHeight="1">
      <c r="B2260" s="57"/>
      <c r="C2260" s="43" t="str">
        <f t="array" ref="C2260">IF(B2260="","",_xlfn.XLOOKUP(B2260,'Form responses 1'!$B$2:$B$2604,'Form responses 1'!$A$2:$A$2604,""))</f>
        <v/>
      </c>
      <c r="D2260" s="44" t="str">
        <f t="shared" si="3"/>
        <v/>
      </c>
      <c r="E2260" s="44" t="str">
        <f t="array" ref="E2260">IF(B2260="","",_xlfn.XLOOKUP(B2260,'Form responses 1'!$B$2:$B$2604,'Form responses 1'!$C$2:$C$2604,""))</f>
        <v/>
      </c>
      <c r="F2260" s="44" t="str">
        <f t="array" ref="F2260">IF(B2260="","",_xlfn.XLOOKUP(B2260,'Form responses 1'!$B$2:$B$2604,'Form responses 1'!$D$2:$D$2604,""))</f>
        <v/>
      </c>
      <c r="G2260" s="44" t="str">
        <f t="array" ref="G2260">IF(B2260="","",_xlfn.XLOOKUP(B2260,'Form responses 1'!$B$2:$B$2604,'Form responses 1'!$E$2:$E$2604,""))</f>
        <v/>
      </c>
      <c r="H2260" s="44" t="str">
        <f t="array" ref="H2260">IF(B2260="","",_xlfn.XLOOKUP(B2260,'Form responses 1'!$B$2:$B$2604,'Form responses 1'!$F$2:$F$2604,""))</f>
        <v/>
      </c>
      <c r="I2260" s="44" t="str">
        <f t="array" ref="I2260">IF(B2260="","",_xlfn.XLOOKUP(B2260,'Form responses 1'!$B$2:$B$2604,'Form responses 1'!$I$2:$I$2604,""))</f>
        <v/>
      </c>
      <c r="J2260" s="44" t="str">
        <f t="array" ref="J2260">IF(B2260="","",_xlfn.XLOOKUP(B2260,'Form responses 1'!$B$2:$B$2604,'Form responses 1'!$G$2:$G$2604,""))</f>
        <v/>
      </c>
      <c r="K2260" s="56"/>
      <c r="L2260" s="58" t="str">
        <f t="shared" si="7"/>
        <v/>
      </c>
      <c r="M2260" s="49"/>
      <c r="N2260" s="49"/>
      <c r="O2260" s="49"/>
      <c r="P2260" s="49"/>
      <c r="Q2260" s="49"/>
      <c r="R2260" s="49"/>
      <c r="S2260" s="49"/>
      <c r="T2260" s="49"/>
      <c r="U2260" s="49"/>
      <c r="V2260" s="49"/>
      <c r="W2260" s="56"/>
      <c r="X2260" s="51" t="str">
        <f t="shared" si="5"/>
        <v/>
      </c>
      <c r="Y2260" s="50" t="s">
        <v>482</v>
      </c>
      <c r="Z2260" s="49">
        <f t="shared" si="6"/>
        <v>0</v>
      </c>
    </row>
    <row r="2261" ht="22.5" customHeight="1">
      <c r="B2261" s="57"/>
      <c r="C2261" s="43" t="str">
        <f t="array" ref="C2261">IF(B2261="","",_xlfn.XLOOKUP(B2261,'Form responses 1'!$B$2:$B$2604,'Form responses 1'!$A$2:$A$2604,""))</f>
        <v/>
      </c>
      <c r="D2261" s="44" t="str">
        <f t="shared" si="3"/>
        <v/>
      </c>
      <c r="E2261" s="44" t="str">
        <f t="array" ref="E2261">IF(B2261="","",_xlfn.XLOOKUP(B2261,'Form responses 1'!$B$2:$B$2604,'Form responses 1'!$C$2:$C$2604,""))</f>
        <v/>
      </c>
      <c r="F2261" s="44" t="str">
        <f t="array" ref="F2261">IF(B2261="","",_xlfn.XLOOKUP(B2261,'Form responses 1'!$B$2:$B$2604,'Form responses 1'!$D$2:$D$2604,""))</f>
        <v/>
      </c>
      <c r="G2261" s="44" t="str">
        <f t="array" ref="G2261">IF(B2261="","",_xlfn.XLOOKUP(B2261,'Form responses 1'!$B$2:$B$2604,'Form responses 1'!$E$2:$E$2604,""))</f>
        <v/>
      </c>
      <c r="H2261" s="44" t="str">
        <f t="array" ref="H2261">IF(B2261="","",_xlfn.XLOOKUP(B2261,'Form responses 1'!$B$2:$B$2604,'Form responses 1'!$F$2:$F$2604,""))</f>
        <v/>
      </c>
      <c r="I2261" s="44" t="str">
        <f t="array" ref="I2261">IF(B2261="","",_xlfn.XLOOKUP(B2261,'Form responses 1'!$B$2:$B$2604,'Form responses 1'!$I$2:$I$2604,""))</f>
        <v/>
      </c>
      <c r="J2261" s="44" t="str">
        <f t="array" ref="J2261">IF(B2261="","",_xlfn.XLOOKUP(B2261,'Form responses 1'!$B$2:$B$2604,'Form responses 1'!$G$2:$G$2604,""))</f>
        <v/>
      </c>
      <c r="K2261" s="56"/>
      <c r="L2261" s="58" t="str">
        <f t="shared" si="7"/>
        <v/>
      </c>
      <c r="M2261" s="49"/>
      <c r="N2261" s="49"/>
      <c r="O2261" s="49"/>
      <c r="P2261" s="49"/>
      <c r="Q2261" s="49"/>
      <c r="R2261" s="49"/>
      <c r="S2261" s="49"/>
      <c r="T2261" s="49"/>
      <c r="U2261" s="49"/>
      <c r="V2261" s="49"/>
      <c r="W2261" s="56"/>
      <c r="X2261" s="51" t="str">
        <f t="shared" si="5"/>
        <v/>
      </c>
      <c r="Y2261" s="50" t="s">
        <v>482</v>
      </c>
      <c r="Z2261" s="49">
        <f t="shared" si="6"/>
        <v>0</v>
      </c>
    </row>
    <row r="2262" ht="22.5" customHeight="1">
      <c r="B2262" s="57"/>
      <c r="C2262" s="43" t="str">
        <f t="array" ref="C2262">IF(B2262="","",_xlfn.XLOOKUP(B2262,'Form responses 1'!$B$2:$B$2604,'Form responses 1'!$A$2:$A$2604,""))</f>
        <v/>
      </c>
      <c r="D2262" s="44" t="str">
        <f t="shared" si="3"/>
        <v/>
      </c>
      <c r="E2262" s="44" t="str">
        <f t="array" ref="E2262">IF(B2262="","",_xlfn.XLOOKUP(B2262,'Form responses 1'!$B$2:$B$2604,'Form responses 1'!$C$2:$C$2604,""))</f>
        <v/>
      </c>
      <c r="F2262" s="44" t="str">
        <f t="array" ref="F2262">IF(B2262="","",_xlfn.XLOOKUP(B2262,'Form responses 1'!$B$2:$B$2604,'Form responses 1'!$D$2:$D$2604,""))</f>
        <v/>
      </c>
      <c r="G2262" s="44" t="str">
        <f t="array" ref="G2262">IF(B2262="","",_xlfn.XLOOKUP(B2262,'Form responses 1'!$B$2:$B$2604,'Form responses 1'!$E$2:$E$2604,""))</f>
        <v/>
      </c>
      <c r="H2262" s="44" t="str">
        <f t="array" ref="H2262">IF(B2262="","",_xlfn.XLOOKUP(B2262,'Form responses 1'!$B$2:$B$2604,'Form responses 1'!$F$2:$F$2604,""))</f>
        <v/>
      </c>
      <c r="I2262" s="44" t="str">
        <f t="array" ref="I2262">IF(B2262="","",_xlfn.XLOOKUP(B2262,'Form responses 1'!$B$2:$B$2604,'Form responses 1'!$I$2:$I$2604,""))</f>
        <v/>
      </c>
      <c r="J2262" s="44" t="str">
        <f t="array" ref="J2262">IF(B2262="","",_xlfn.XLOOKUP(B2262,'Form responses 1'!$B$2:$B$2604,'Form responses 1'!$G$2:$G$2604,""))</f>
        <v/>
      </c>
      <c r="K2262" s="56"/>
      <c r="L2262" s="58" t="str">
        <f t="shared" si="7"/>
        <v/>
      </c>
      <c r="M2262" s="49"/>
      <c r="N2262" s="49"/>
      <c r="O2262" s="49"/>
      <c r="P2262" s="49"/>
      <c r="Q2262" s="49"/>
      <c r="R2262" s="49"/>
      <c r="S2262" s="49"/>
      <c r="T2262" s="49"/>
      <c r="U2262" s="49"/>
      <c r="V2262" s="49"/>
      <c r="W2262" s="56"/>
      <c r="X2262" s="51" t="str">
        <f t="shared" si="5"/>
        <v/>
      </c>
      <c r="Y2262" s="50" t="s">
        <v>482</v>
      </c>
      <c r="Z2262" s="49">
        <f t="shared" si="6"/>
        <v>0</v>
      </c>
    </row>
    <row r="2263" ht="22.5" customHeight="1">
      <c r="B2263" s="57"/>
      <c r="C2263" s="43" t="str">
        <f t="array" ref="C2263">IF(B2263="","",_xlfn.XLOOKUP(B2263,'Form responses 1'!$B$2:$B$2604,'Form responses 1'!$A$2:$A$2604,""))</f>
        <v/>
      </c>
      <c r="D2263" s="44" t="str">
        <f t="shared" si="3"/>
        <v/>
      </c>
      <c r="E2263" s="44" t="str">
        <f t="array" ref="E2263">IF(B2263="","",_xlfn.XLOOKUP(B2263,'Form responses 1'!$B$2:$B$2604,'Form responses 1'!$C$2:$C$2604,""))</f>
        <v/>
      </c>
      <c r="F2263" s="44" t="str">
        <f t="array" ref="F2263">IF(B2263="","",_xlfn.XLOOKUP(B2263,'Form responses 1'!$B$2:$B$2604,'Form responses 1'!$D$2:$D$2604,""))</f>
        <v/>
      </c>
      <c r="G2263" s="44" t="str">
        <f t="array" ref="G2263">IF(B2263="","",_xlfn.XLOOKUP(B2263,'Form responses 1'!$B$2:$B$2604,'Form responses 1'!$E$2:$E$2604,""))</f>
        <v/>
      </c>
      <c r="H2263" s="44" t="str">
        <f t="array" ref="H2263">IF(B2263="","",_xlfn.XLOOKUP(B2263,'Form responses 1'!$B$2:$B$2604,'Form responses 1'!$F$2:$F$2604,""))</f>
        <v/>
      </c>
      <c r="I2263" s="44" t="str">
        <f t="array" ref="I2263">IF(B2263="","",_xlfn.XLOOKUP(B2263,'Form responses 1'!$B$2:$B$2604,'Form responses 1'!$I$2:$I$2604,""))</f>
        <v/>
      </c>
      <c r="J2263" s="44" t="str">
        <f t="array" ref="J2263">IF(B2263="","",_xlfn.XLOOKUP(B2263,'Form responses 1'!$B$2:$B$2604,'Form responses 1'!$G$2:$G$2604,""))</f>
        <v/>
      </c>
      <c r="K2263" s="56"/>
      <c r="L2263" s="58" t="str">
        <f t="shared" si="7"/>
        <v/>
      </c>
      <c r="M2263" s="49"/>
      <c r="N2263" s="49"/>
      <c r="O2263" s="49"/>
      <c r="P2263" s="49"/>
      <c r="Q2263" s="49"/>
      <c r="R2263" s="49"/>
      <c r="S2263" s="49"/>
      <c r="T2263" s="49"/>
      <c r="U2263" s="49"/>
      <c r="V2263" s="49"/>
      <c r="W2263" s="56"/>
      <c r="X2263" s="51" t="str">
        <f t="shared" si="5"/>
        <v/>
      </c>
      <c r="Y2263" s="50" t="s">
        <v>482</v>
      </c>
      <c r="Z2263" s="49">
        <f t="shared" si="6"/>
        <v>0</v>
      </c>
    </row>
    <row r="2264" ht="22.5" customHeight="1">
      <c r="B2264" s="57"/>
      <c r="C2264" s="43" t="str">
        <f t="array" ref="C2264">IF(B2264="","",_xlfn.XLOOKUP(B2264,'Form responses 1'!$B$2:$B$2604,'Form responses 1'!$A$2:$A$2604,""))</f>
        <v/>
      </c>
      <c r="D2264" s="44" t="str">
        <f t="shared" si="3"/>
        <v/>
      </c>
      <c r="E2264" s="44" t="str">
        <f t="array" ref="E2264">IF(B2264="","",_xlfn.XLOOKUP(B2264,'Form responses 1'!$B$2:$B$2604,'Form responses 1'!$C$2:$C$2604,""))</f>
        <v/>
      </c>
      <c r="F2264" s="44" t="str">
        <f t="array" ref="F2264">IF(B2264="","",_xlfn.XLOOKUP(B2264,'Form responses 1'!$B$2:$B$2604,'Form responses 1'!$D$2:$D$2604,""))</f>
        <v/>
      </c>
      <c r="G2264" s="44" t="str">
        <f t="array" ref="G2264">IF(B2264="","",_xlfn.XLOOKUP(B2264,'Form responses 1'!$B$2:$B$2604,'Form responses 1'!$E$2:$E$2604,""))</f>
        <v/>
      </c>
      <c r="H2264" s="44" t="str">
        <f t="array" ref="H2264">IF(B2264="","",_xlfn.XLOOKUP(B2264,'Form responses 1'!$B$2:$B$2604,'Form responses 1'!$F$2:$F$2604,""))</f>
        <v/>
      </c>
      <c r="I2264" s="44" t="str">
        <f t="array" ref="I2264">IF(B2264="","",_xlfn.XLOOKUP(B2264,'Form responses 1'!$B$2:$B$2604,'Form responses 1'!$I$2:$I$2604,""))</f>
        <v/>
      </c>
      <c r="J2264" s="44" t="str">
        <f t="array" ref="J2264">IF(B2264="","",_xlfn.XLOOKUP(B2264,'Form responses 1'!$B$2:$B$2604,'Form responses 1'!$G$2:$G$2604,""))</f>
        <v/>
      </c>
      <c r="K2264" s="56"/>
      <c r="L2264" s="58" t="str">
        <f t="shared" si="7"/>
        <v/>
      </c>
      <c r="M2264" s="49"/>
      <c r="N2264" s="49"/>
      <c r="O2264" s="49"/>
      <c r="P2264" s="49"/>
      <c r="Q2264" s="49"/>
      <c r="R2264" s="49"/>
      <c r="S2264" s="49"/>
      <c r="T2264" s="49"/>
      <c r="U2264" s="49"/>
      <c r="V2264" s="49"/>
      <c r="W2264" s="56"/>
      <c r="X2264" s="51" t="str">
        <f t="shared" si="5"/>
        <v/>
      </c>
      <c r="Y2264" s="50" t="s">
        <v>482</v>
      </c>
      <c r="Z2264" s="49">
        <f t="shared" si="6"/>
        <v>0</v>
      </c>
    </row>
    <row r="2265" ht="22.5" customHeight="1">
      <c r="B2265" s="57"/>
      <c r="C2265" s="43" t="str">
        <f t="array" ref="C2265">IF(B2265="","",_xlfn.XLOOKUP(B2265,'Form responses 1'!$B$2:$B$2604,'Form responses 1'!$A$2:$A$2604,""))</f>
        <v/>
      </c>
      <c r="D2265" s="44" t="str">
        <f t="shared" si="3"/>
        <v/>
      </c>
      <c r="E2265" s="44" t="str">
        <f t="array" ref="E2265">IF(B2265="","",_xlfn.XLOOKUP(B2265,'Form responses 1'!$B$2:$B$2604,'Form responses 1'!$C$2:$C$2604,""))</f>
        <v/>
      </c>
      <c r="F2265" s="44" t="str">
        <f t="array" ref="F2265">IF(B2265="","",_xlfn.XLOOKUP(B2265,'Form responses 1'!$B$2:$B$2604,'Form responses 1'!$D$2:$D$2604,""))</f>
        <v/>
      </c>
      <c r="G2265" s="44" t="str">
        <f t="array" ref="G2265">IF(B2265="","",_xlfn.XLOOKUP(B2265,'Form responses 1'!$B$2:$B$2604,'Form responses 1'!$E$2:$E$2604,""))</f>
        <v/>
      </c>
      <c r="H2265" s="44" t="str">
        <f t="array" ref="H2265">IF(B2265="","",_xlfn.XLOOKUP(B2265,'Form responses 1'!$B$2:$B$2604,'Form responses 1'!$F$2:$F$2604,""))</f>
        <v/>
      </c>
      <c r="I2265" s="44" t="str">
        <f t="array" ref="I2265">IF(B2265="","",_xlfn.XLOOKUP(B2265,'Form responses 1'!$B$2:$B$2604,'Form responses 1'!$I$2:$I$2604,""))</f>
        <v/>
      </c>
      <c r="J2265" s="44" t="str">
        <f t="array" ref="J2265">IF(B2265="","",_xlfn.XLOOKUP(B2265,'Form responses 1'!$B$2:$B$2604,'Form responses 1'!$G$2:$G$2604,""))</f>
        <v/>
      </c>
      <c r="K2265" s="56"/>
      <c r="L2265" s="58" t="str">
        <f t="shared" si="7"/>
        <v/>
      </c>
      <c r="M2265" s="49"/>
      <c r="N2265" s="49"/>
      <c r="O2265" s="49"/>
      <c r="P2265" s="49"/>
      <c r="Q2265" s="49"/>
      <c r="R2265" s="49"/>
      <c r="S2265" s="49"/>
      <c r="T2265" s="49"/>
      <c r="U2265" s="49"/>
      <c r="V2265" s="49"/>
      <c r="W2265" s="56"/>
      <c r="X2265" s="51" t="str">
        <f t="shared" si="5"/>
        <v/>
      </c>
      <c r="Y2265" s="50" t="s">
        <v>482</v>
      </c>
      <c r="Z2265" s="49">
        <f t="shared" si="6"/>
        <v>0</v>
      </c>
    </row>
    <row r="2266" ht="22.5" customHeight="1">
      <c r="B2266" s="57"/>
      <c r="C2266" s="43" t="str">
        <f t="array" ref="C2266">IF(B2266="","",_xlfn.XLOOKUP(B2266,'Form responses 1'!$B$2:$B$2604,'Form responses 1'!$A$2:$A$2604,""))</f>
        <v/>
      </c>
      <c r="D2266" s="44" t="str">
        <f t="shared" si="3"/>
        <v/>
      </c>
      <c r="E2266" s="44" t="str">
        <f t="array" ref="E2266">IF(B2266="","",_xlfn.XLOOKUP(B2266,'Form responses 1'!$B$2:$B$2604,'Form responses 1'!$C$2:$C$2604,""))</f>
        <v/>
      </c>
      <c r="F2266" s="44" t="str">
        <f t="array" ref="F2266">IF(B2266="","",_xlfn.XLOOKUP(B2266,'Form responses 1'!$B$2:$B$2604,'Form responses 1'!$D$2:$D$2604,""))</f>
        <v/>
      </c>
      <c r="G2266" s="44" t="str">
        <f t="array" ref="G2266">IF(B2266="","",_xlfn.XLOOKUP(B2266,'Form responses 1'!$B$2:$B$2604,'Form responses 1'!$E$2:$E$2604,""))</f>
        <v/>
      </c>
      <c r="H2266" s="44" t="str">
        <f t="array" ref="H2266">IF(B2266="","",_xlfn.XLOOKUP(B2266,'Form responses 1'!$B$2:$B$2604,'Form responses 1'!$F$2:$F$2604,""))</f>
        <v/>
      </c>
      <c r="I2266" s="44" t="str">
        <f t="array" ref="I2266">IF(B2266="","",_xlfn.XLOOKUP(B2266,'Form responses 1'!$B$2:$B$2604,'Form responses 1'!$I$2:$I$2604,""))</f>
        <v/>
      </c>
      <c r="J2266" s="44" t="str">
        <f t="array" ref="J2266">IF(B2266="","",_xlfn.XLOOKUP(B2266,'Form responses 1'!$B$2:$B$2604,'Form responses 1'!$G$2:$G$2604,""))</f>
        <v/>
      </c>
      <c r="K2266" s="56"/>
      <c r="L2266" s="58" t="str">
        <f t="shared" si="7"/>
        <v/>
      </c>
      <c r="M2266" s="49"/>
      <c r="N2266" s="49"/>
      <c r="O2266" s="49"/>
      <c r="P2266" s="49"/>
      <c r="Q2266" s="49"/>
      <c r="R2266" s="49"/>
      <c r="S2266" s="49"/>
      <c r="T2266" s="49"/>
      <c r="U2266" s="49"/>
      <c r="V2266" s="49"/>
      <c r="W2266" s="56"/>
      <c r="X2266" s="51" t="str">
        <f t="shared" si="5"/>
        <v/>
      </c>
      <c r="Y2266" s="50" t="s">
        <v>482</v>
      </c>
      <c r="Z2266" s="49">
        <f t="shared" si="6"/>
        <v>0</v>
      </c>
    </row>
    <row r="2267" ht="22.5" customHeight="1">
      <c r="B2267" s="57"/>
      <c r="C2267" s="43" t="str">
        <f t="array" ref="C2267">IF(B2267="","",_xlfn.XLOOKUP(B2267,'Form responses 1'!$B$2:$B$2604,'Form responses 1'!$A$2:$A$2604,""))</f>
        <v/>
      </c>
      <c r="D2267" s="44" t="str">
        <f t="shared" si="3"/>
        <v/>
      </c>
      <c r="E2267" s="44" t="str">
        <f t="array" ref="E2267">IF(B2267="","",_xlfn.XLOOKUP(B2267,'Form responses 1'!$B$2:$B$2604,'Form responses 1'!$C$2:$C$2604,""))</f>
        <v/>
      </c>
      <c r="F2267" s="44" t="str">
        <f t="array" ref="F2267">IF(B2267="","",_xlfn.XLOOKUP(B2267,'Form responses 1'!$B$2:$B$2604,'Form responses 1'!$D$2:$D$2604,""))</f>
        <v/>
      </c>
      <c r="G2267" s="44" t="str">
        <f t="array" ref="G2267">IF(B2267="","",_xlfn.XLOOKUP(B2267,'Form responses 1'!$B$2:$B$2604,'Form responses 1'!$E$2:$E$2604,""))</f>
        <v/>
      </c>
      <c r="H2267" s="44" t="str">
        <f t="array" ref="H2267">IF(B2267="","",_xlfn.XLOOKUP(B2267,'Form responses 1'!$B$2:$B$2604,'Form responses 1'!$F$2:$F$2604,""))</f>
        <v/>
      </c>
      <c r="I2267" s="44" t="str">
        <f t="array" ref="I2267">IF(B2267="","",_xlfn.XLOOKUP(B2267,'Form responses 1'!$B$2:$B$2604,'Form responses 1'!$I$2:$I$2604,""))</f>
        <v/>
      </c>
      <c r="J2267" s="44" t="str">
        <f t="array" ref="J2267">IF(B2267="","",_xlfn.XLOOKUP(B2267,'Form responses 1'!$B$2:$B$2604,'Form responses 1'!$G$2:$G$2604,""))</f>
        <v/>
      </c>
      <c r="K2267" s="56"/>
      <c r="L2267" s="58" t="str">
        <f t="shared" si="7"/>
        <v/>
      </c>
      <c r="M2267" s="49"/>
      <c r="N2267" s="49"/>
      <c r="O2267" s="49"/>
      <c r="P2267" s="49"/>
      <c r="Q2267" s="49"/>
      <c r="R2267" s="49"/>
      <c r="S2267" s="49"/>
      <c r="T2267" s="49"/>
      <c r="U2267" s="49"/>
      <c r="V2267" s="49"/>
      <c r="W2267" s="56"/>
      <c r="X2267" s="51" t="str">
        <f t="shared" si="5"/>
        <v/>
      </c>
      <c r="Y2267" s="50" t="s">
        <v>482</v>
      </c>
      <c r="Z2267" s="49">
        <f t="shared" si="6"/>
        <v>0</v>
      </c>
    </row>
    <row r="2268" ht="22.5" customHeight="1">
      <c r="B2268" s="57"/>
      <c r="C2268" s="43" t="str">
        <f t="array" ref="C2268">IF(B2268="","",_xlfn.XLOOKUP(B2268,'Form responses 1'!$B$2:$B$2604,'Form responses 1'!$A$2:$A$2604,""))</f>
        <v/>
      </c>
      <c r="D2268" s="44" t="str">
        <f t="shared" si="3"/>
        <v/>
      </c>
      <c r="E2268" s="44" t="str">
        <f t="array" ref="E2268">IF(B2268="","",_xlfn.XLOOKUP(B2268,'Form responses 1'!$B$2:$B$2604,'Form responses 1'!$C$2:$C$2604,""))</f>
        <v/>
      </c>
      <c r="F2268" s="44" t="str">
        <f t="array" ref="F2268">IF(B2268="","",_xlfn.XLOOKUP(B2268,'Form responses 1'!$B$2:$B$2604,'Form responses 1'!$D$2:$D$2604,""))</f>
        <v/>
      </c>
      <c r="G2268" s="44" t="str">
        <f t="array" ref="G2268">IF(B2268="","",_xlfn.XLOOKUP(B2268,'Form responses 1'!$B$2:$B$2604,'Form responses 1'!$E$2:$E$2604,""))</f>
        <v/>
      </c>
      <c r="H2268" s="44" t="str">
        <f t="array" ref="H2268">IF(B2268="","",_xlfn.XLOOKUP(B2268,'Form responses 1'!$B$2:$B$2604,'Form responses 1'!$F$2:$F$2604,""))</f>
        <v/>
      </c>
      <c r="I2268" s="44" t="str">
        <f t="array" ref="I2268">IF(B2268="","",_xlfn.XLOOKUP(B2268,'Form responses 1'!$B$2:$B$2604,'Form responses 1'!$I$2:$I$2604,""))</f>
        <v/>
      </c>
      <c r="J2268" s="44" t="str">
        <f t="array" ref="J2268">IF(B2268="","",_xlfn.XLOOKUP(B2268,'Form responses 1'!$B$2:$B$2604,'Form responses 1'!$G$2:$G$2604,""))</f>
        <v/>
      </c>
      <c r="K2268" s="56"/>
      <c r="L2268" s="58" t="str">
        <f t="shared" si="7"/>
        <v/>
      </c>
      <c r="M2268" s="49"/>
      <c r="N2268" s="49"/>
      <c r="O2268" s="49"/>
      <c r="P2268" s="49"/>
      <c r="Q2268" s="49"/>
      <c r="R2268" s="49"/>
      <c r="S2268" s="49"/>
      <c r="T2268" s="49"/>
      <c r="U2268" s="49"/>
      <c r="V2268" s="49"/>
      <c r="W2268" s="56"/>
      <c r="X2268" s="51" t="str">
        <f t="shared" si="5"/>
        <v/>
      </c>
      <c r="Y2268" s="50" t="s">
        <v>482</v>
      </c>
      <c r="Z2268" s="49">
        <f t="shared" si="6"/>
        <v>0</v>
      </c>
    </row>
    <row r="2269" ht="22.5" customHeight="1">
      <c r="B2269" s="57"/>
      <c r="C2269" s="43" t="str">
        <f t="array" ref="C2269">IF(B2269="","",_xlfn.XLOOKUP(B2269,'Form responses 1'!$B$2:$B$2604,'Form responses 1'!$A$2:$A$2604,""))</f>
        <v/>
      </c>
      <c r="D2269" s="44" t="str">
        <f t="shared" si="3"/>
        <v/>
      </c>
      <c r="E2269" s="44" t="str">
        <f t="array" ref="E2269">IF(B2269="","",_xlfn.XLOOKUP(B2269,'Form responses 1'!$B$2:$B$2604,'Form responses 1'!$C$2:$C$2604,""))</f>
        <v/>
      </c>
      <c r="F2269" s="44" t="str">
        <f t="array" ref="F2269">IF(B2269="","",_xlfn.XLOOKUP(B2269,'Form responses 1'!$B$2:$B$2604,'Form responses 1'!$D$2:$D$2604,""))</f>
        <v/>
      </c>
      <c r="G2269" s="44" t="str">
        <f t="array" ref="G2269">IF(B2269="","",_xlfn.XLOOKUP(B2269,'Form responses 1'!$B$2:$B$2604,'Form responses 1'!$E$2:$E$2604,""))</f>
        <v/>
      </c>
      <c r="H2269" s="44" t="str">
        <f t="array" ref="H2269">IF(B2269="","",_xlfn.XLOOKUP(B2269,'Form responses 1'!$B$2:$B$2604,'Form responses 1'!$F$2:$F$2604,""))</f>
        <v/>
      </c>
      <c r="I2269" s="44" t="str">
        <f t="array" ref="I2269">IF(B2269="","",_xlfn.XLOOKUP(B2269,'Form responses 1'!$B$2:$B$2604,'Form responses 1'!$I$2:$I$2604,""))</f>
        <v/>
      </c>
      <c r="J2269" s="44" t="str">
        <f t="array" ref="J2269">IF(B2269="","",_xlfn.XLOOKUP(B2269,'Form responses 1'!$B$2:$B$2604,'Form responses 1'!$G$2:$G$2604,""))</f>
        <v/>
      </c>
      <c r="K2269" s="56"/>
      <c r="L2269" s="58" t="str">
        <f t="shared" si="7"/>
        <v/>
      </c>
      <c r="M2269" s="49"/>
      <c r="N2269" s="49"/>
      <c r="O2269" s="49"/>
      <c r="P2269" s="49"/>
      <c r="Q2269" s="49"/>
      <c r="R2269" s="49"/>
      <c r="S2269" s="49"/>
      <c r="T2269" s="49"/>
      <c r="U2269" s="49"/>
      <c r="V2269" s="49"/>
      <c r="W2269" s="56"/>
      <c r="X2269" s="51" t="str">
        <f t="shared" si="5"/>
        <v/>
      </c>
      <c r="Y2269" s="50" t="s">
        <v>482</v>
      </c>
      <c r="Z2269" s="49">
        <f t="shared" si="6"/>
        <v>0</v>
      </c>
    </row>
    <row r="2270" ht="22.5" customHeight="1">
      <c r="B2270" s="57"/>
      <c r="C2270" s="43" t="str">
        <f t="array" ref="C2270">IF(B2270="","",_xlfn.XLOOKUP(B2270,'Form responses 1'!$B$2:$B$2604,'Form responses 1'!$A$2:$A$2604,""))</f>
        <v/>
      </c>
      <c r="D2270" s="44" t="str">
        <f t="shared" si="3"/>
        <v/>
      </c>
      <c r="E2270" s="44" t="str">
        <f t="array" ref="E2270">IF(B2270="","",_xlfn.XLOOKUP(B2270,'Form responses 1'!$B$2:$B$2604,'Form responses 1'!$C$2:$C$2604,""))</f>
        <v/>
      </c>
      <c r="F2270" s="44" t="str">
        <f t="array" ref="F2270">IF(B2270="","",_xlfn.XLOOKUP(B2270,'Form responses 1'!$B$2:$B$2604,'Form responses 1'!$D$2:$D$2604,""))</f>
        <v/>
      </c>
      <c r="G2270" s="44" t="str">
        <f t="array" ref="G2270">IF(B2270="","",_xlfn.XLOOKUP(B2270,'Form responses 1'!$B$2:$B$2604,'Form responses 1'!$E$2:$E$2604,""))</f>
        <v/>
      </c>
      <c r="H2270" s="44" t="str">
        <f t="array" ref="H2270">IF(B2270="","",_xlfn.XLOOKUP(B2270,'Form responses 1'!$B$2:$B$2604,'Form responses 1'!$F$2:$F$2604,""))</f>
        <v/>
      </c>
      <c r="I2270" s="44" t="str">
        <f t="array" ref="I2270">IF(B2270="","",_xlfn.XLOOKUP(B2270,'Form responses 1'!$B$2:$B$2604,'Form responses 1'!$I$2:$I$2604,""))</f>
        <v/>
      </c>
      <c r="J2270" s="44" t="str">
        <f t="array" ref="J2270">IF(B2270="","",_xlfn.XLOOKUP(B2270,'Form responses 1'!$B$2:$B$2604,'Form responses 1'!$G$2:$G$2604,""))</f>
        <v/>
      </c>
      <c r="K2270" s="56"/>
      <c r="L2270" s="58" t="str">
        <f t="shared" si="7"/>
        <v/>
      </c>
      <c r="M2270" s="49"/>
      <c r="N2270" s="49"/>
      <c r="O2270" s="49"/>
      <c r="P2270" s="49"/>
      <c r="Q2270" s="49"/>
      <c r="R2270" s="49"/>
      <c r="S2270" s="49"/>
      <c r="T2270" s="49"/>
      <c r="U2270" s="49"/>
      <c r="V2270" s="49"/>
      <c r="W2270" s="56"/>
      <c r="X2270" s="51" t="str">
        <f t="shared" si="5"/>
        <v/>
      </c>
      <c r="Y2270" s="50" t="s">
        <v>482</v>
      </c>
      <c r="Z2270" s="49">
        <f t="shared" si="6"/>
        <v>0</v>
      </c>
    </row>
    <row r="2271" ht="22.5" customHeight="1">
      <c r="B2271" s="57"/>
      <c r="C2271" s="43" t="str">
        <f t="array" ref="C2271">IF(B2271="","",_xlfn.XLOOKUP(B2271,'Form responses 1'!$B$2:$B$2604,'Form responses 1'!$A$2:$A$2604,""))</f>
        <v/>
      </c>
      <c r="D2271" s="44" t="str">
        <f t="shared" si="3"/>
        <v/>
      </c>
      <c r="E2271" s="44" t="str">
        <f t="array" ref="E2271">IF(B2271="","",_xlfn.XLOOKUP(B2271,'Form responses 1'!$B$2:$B$2604,'Form responses 1'!$C$2:$C$2604,""))</f>
        <v/>
      </c>
      <c r="F2271" s="44" t="str">
        <f t="array" ref="F2271">IF(B2271="","",_xlfn.XLOOKUP(B2271,'Form responses 1'!$B$2:$B$2604,'Form responses 1'!$D$2:$D$2604,""))</f>
        <v/>
      </c>
      <c r="G2271" s="44" t="str">
        <f t="array" ref="G2271">IF(B2271="","",_xlfn.XLOOKUP(B2271,'Form responses 1'!$B$2:$B$2604,'Form responses 1'!$E$2:$E$2604,""))</f>
        <v/>
      </c>
      <c r="H2271" s="44" t="str">
        <f t="array" ref="H2271">IF(B2271="","",_xlfn.XLOOKUP(B2271,'Form responses 1'!$B$2:$B$2604,'Form responses 1'!$F$2:$F$2604,""))</f>
        <v/>
      </c>
      <c r="I2271" s="44" t="str">
        <f t="array" ref="I2271">IF(B2271="","",_xlfn.XLOOKUP(B2271,'Form responses 1'!$B$2:$B$2604,'Form responses 1'!$I$2:$I$2604,""))</f>
        <v/>
      </c>
      <c r="J2271" s="44" t="str">
        <f t="array" ref="J2271">IF(B2271="","",_xlfn.XLOOKUP(B2271,'Form responses 1'!$B$2:$B$2604,'Form responses 1'!$G$2:$G$2604,""))</f>
        <v/>
      </c>
      <c r="K2271" s="56"/>
      <c r="L2271" s="58" t="str">
        <f t="shared" si="7"/>
        <v/>
      </c>
      <c r="M2271" s="49"/>
      <c r="N2271" s="49"/>
      <c r="O2271" s="49"/>
      <c r="P2271" s="49"/>
      <c r="Q2271" s="49"/>
      <c r="R2271" s="49"/>
      <c r="S2271" s="49"/>
      <c r="T2271" s="49"/>
      <c r="U2271" s="49"/>
      <c r="V2271" s="49"/>
      <c r="W2271" s="56"/>
      <c r="X2271" s="51" t="str">
        <f t="shared" si="5"/>
        <v/>
      </c>
      <c r="Y2271" s="50" t="s">
        <v>482</v>
      </c>
      <c r="Z2271" s="49">
        <f t="shared" si="6"/>
        <v>0</v>
      </c>
    </row>
    <row r="2272" ht="22.5" customHeight="1">
      <c r="B2272" s="57"/>
      <c r="C2272" s="43" t="str">
        <f t="array" ref="C2272">IF(B2272="","",_xlfn.XLOOKUP(B2272,'Form responses 1'!$B$2:$B$2604,'Form responses 1'!$A$2:$A$2604,""))</f>
        <v/>
      </c>
      <c r="D2272" s="44" t="str">
        <f t="shared" si="3"/>
        <v/>
      </c>
      <c r="E2272" s="44" t="str">
        <f t="array" ref="E2272">IF(B2272="","",_xlfn.XLOOKUP(B2272,'Form responses 1'!$B$2:$B$2604,'Form responses 1'!$C$2:$C$2604,""))</f>
        <v/>
      </c>
      <c r="F2272" s="44" t="str">
        <f t="array" ref="F2272">IF(B2272="","",_xlfn.XLOOKUP(B2272,'Form responses 1'!$B$2:$B$2604,'Form responses 1'!$D$2:$D$2604,""))</f>
        <v/>
      </c>
      <c r="G2272" s="44" t="str">
        <f t="array" ref="G2272">IF(B2272="","",_xlfn.XLOOKUP(B2272,'Form responses 1'!$B$2:$B$2604,'Form responses 1'!$E$2:$E$2604,""))</f>
        <v/>
      </c>
      <c r="H2272" s="44" t="str">
        <f t="array" ref="H2272">IF(B2272="","",_xlfn.XLOOKUP(B2272,'Form responses 1'!$B$2:$B$2604,'Form responses 1'!$F$2:$F$2604,""))</f>
        <v/>
      </c>
      <c r="I2272" s="44" t="str">
        <f t="array" ref="I2272">IF(B2272="","",_xlfn.XLOOKUP(B2272,'Form responses 1'!$B$2:$B$2604,'Form responses 1'!$I$2:$I$2604,""))</f>
        <v/>
      </c>
      <c r="J2272" s="44" t="str">
        <f t="array" ref="J2272">IF(B2272="","",_xlfn.XLOOKUP(B2272,'Form responses 1'!$B$2:$B$2604,'Form responses 1'!$G$2:$G$2604,""))</f>
        <v/>
      </c>
      <c r="K2272" s="56"/>
      <c r="L2272" s="58" t="str">
        <f t="shared" si="7"/>
        <v/>
      </c>
      <c r="M2272" s="49"/>
      <c r="N2272" s="49"/>
      <c r="O2272" s="49"/>
      <c r="P2272" s="49"/>
      <c r="Q2272" s="49"/>
      <c r="R2272" s="49"/>
      <c r="S2272" s="49"/>
      <c r="T2272" s="49"/>
      <c r="U2272" s="49"/>
      <c r="V2272" s="49"/>
      <c r="W2272" s="56"/>
      <c r="X2272" s="51" t="str">
        <f t="shared" si="5"/>
        <v/>
      </c>
      <c r="Y2272" s="50" t="s">
        <v>482</v>
      </c>
      <c r="Z2272" s="49">
        <f t="shared" si="6"/>
        <v>0</v>
      </c>
    </row>
    <row r="2273" ht="22.5" customHeight="1">
      <c r="B2273" s="57"/>
      <c r="C2273" s="43" t="str">
        <f t="array" ref="C2273">IF(B2273="","",_xlfn.XLOOKUP(B2273,'Form responses 1'!$B$2:$B$2604,'Form responses 1'!$A$2:$A$2604,""))</f>
        <v/>
      </c>
      <c r="D2273" s="44" t="str">
        <f t="shared" si="3"/>
        <v/>
      </c>
      <c r="E2273" s="44" t="str">
        <f t="array" ref="E2273">IF(B2273="","",_xlfn.XLOOKUP(B2273,'Form responses 1'!$B$2:$B$2604,'Form responses 1'!$C$2:$C$2604,""))</f>
        <v/>
      </c>
      <c r="F2273" s="44" t="str">
        <f t="array" ref="F2273">IF(B2273="","",_xlfn.XLOOKUP(B2273,'Form responses 1'!$B$2:$B$2604,'Form responses 1'!$D$2:$D$2604,""))</f>
        <v/>
      </c>
      <c r="G2273" s="44" t="str">
        <f t="array" ref="G2273">IF(B2273="","",_xlfn.XLOOKUP(B2273,'Form responses 1'!$B$2:$B$2604,'Form responses 1'!$E$2:$E$2604,""))</f>
        <v/>
      </c>
      <c r="H2273" s="44" t="str">
        <f t="array" ref="H2273">IF(B2273="","",_xlfn.XLOOKUP(B2273,'Form responses 1'!$B$2:$B$2604,'Form responses 1'!$F$2:$F$2604,""))</f>
        <v/>
      </c>
      <c r="I2273" s="44" t="str">
        <f t="array" ref="I2273">IF(B2273="","",_xlfn.XLOOKUP(B2273,'Form responses 1'!$B$2:$B$2604,'Form responses 1'!$I$2:$I$2604,""))</f>
        <v/>
      </c>
      <c r="J2273" s="44" t="str">
        <f t="array" ref="J2273">IF(B2273="","",_xlfn.XLOOKUP(B2273,'Form responses 1'!$B$2:$B$2604,'Form responses 1'!$G$2:$G$2604,""))</f>
        <v/>
      </c>
      <c r="K2273" s="56"/>
      <c r="L2273" s="58" t="str">
        <f t="shared" si="7"/>
        <v/>
      </c>
      <c r="M2273" s="49"/>
      <c r="N2273" s="49"/>
      <c r="O2273" s="49"/>
      <c r="P2273" s="49"/>
      <c r="Q2273" s="49"/>
      <c r="R2273" s="49"/>
      <c r="S2273" s="49"/>
      <c r="T2273" s="49"/>
      <c r="U2273" s="49"/>
      <c r="V2273" s="49"/>
      <c r="W2273" s="56"/>
      <c r="X2273" s="51" t="str">
        <f t="shared" si="5"/>
        <v/>
      </c>
      <c r="Y2273" s="50" t="s">
        <v>482</v>
      </c>
      <c r="Z2273" s="49">
        <f t="shared" si="6"/>
        <v>0</v>
      </c>
    </row>
    <row r="2274" ht="22.5" customHeight="1">
      <c r="B2274" s="57"/>
      <c r="C2274" s="43" t="str">
        <f t="array" ref="C2274">IF(B2274="","",_xlfn.XLOOKUP(B2274,'Form responses 1'!$B$2:$B$2604,'Form responses 1'!$A$2:$A$2604,""))</f>
        <v/>
      </c>
      <c r="D2274" s="44" t="str">
        <f t="shared" si="3"/>
        <v/>
      </c>
      <c r="E2274" s="44" t="str">
        <f t="array" ref="E2274">IF(B2274="","",_xlfn.XLOOKUP(B2274,'Form responses 1'!$B$2:$B$2604,'Form responses 1'!$C$2:$C$2604,""))</f>
        <v/>
      </c>
      <c r="F2274" s="44" t="str">
        <f t="array" ref="F2274">IF(B2274="","",_xlfn.XLOOKUP(B2274,'Form responses 1'!$B$2:$B$2604,'Form responses 1'!$D$2:$D$2604,""))</f>
        <v/>
      </c>
      <c r="G2274" s="44" t="str">
        <f t="array" ref="G2274">IF(B2274="","",_xlfn.XLOOKUP(B2274,'Form responses 1'!$B$2:$B$2604,'Form responses 1'!$E$2:$E$2604,""))</f>
        <v/>
      </c>
      <c r="H2274" s="44" t="str">
        <f t="array" ref="H2274">IF(B2274="","",_xlfn.XLOOKUP(B2274,'Form responses 1'!$B$2:$B$2604,'Form responses 1'!$F$2:$F$2604,""))</f>
        <v/>
      </c>
      <c r="I2274" s="44" t="str">
        <f t="array" ref="I2274">IF(B2274="","",_xlfn.XLOOKUP(B2274,'Form responses 1'!$B$2:$B$2604,'Form responses 1'!$I$2:$I$2604,""))</f>
        <v/>
      </c>
      <c r="J2274" s="44" t="str">
        <f t="array" ref="J2274">IF(B2274="","",_xlfn.XLOOKUP(B2274,'Form responses 1'!$B$2:$B$2604,'Form responses 1'!$G$2:$G$2604,""))</f>
        <v/>
      </c>
      <c r="K2274" s="56"/>
      <c r="L2274" s="58" t="str">
        <f t="shared" si="7"/>
        <v/>
      </c>
      <c r="M2274" s="49"/>
      <c r="N2274" s="49"/>
      <c r="O2274" s="49"/>
      <c r="P2274" s="49"/>
      <c r="Q2274" s="49"/>
      <c r="R2274" s="49"/>
      <c r="S2274" s="49"/>
      <c r="T2274" s="49"/>
      <c r="U2274" s="49"/>
      <c r="V2274" s="49"/>
      <c r="W2274" s="56"/>
      <c r="X2274" s="51" t="str">
        <f t="shared" si="5"/>
        <v/>
      </c>
      <c r="Y2274" s="50" t="s">
        <v>482</v>
      </c>
      <c r="Z2274" s="49">
        <f t="shared" si="6"/>
        <v>0</v>
      </c>
    </row>
    <row r="2275" ht="22.5" customHeight="1">
      <c r="B2275" s="57"/>
      <c r="C2275" s="43" t="str">
        <f t="array" ref="C2275">IF(B2275="","",_xlfn.XLOOKUP(B2275,'Form responses 1'!$B$2:$B$2604,'Form responses 1'!$A$2:$A$2604,""))</f>
        <v/>
      </c>
      <c r="D2275" s="44" t="str">
        <f t="shared" si="3"/>
        <v/>
      </c>
      <c r="E2275" s="44" t="str">
        <f t="array" ref="E2275">IF(B2275="","",_xlfn.XLOOKUP(B2275,'Form responses 1'!$B$2:$B$2604,'Form responses 1'!$C$2:$C$2604,""))</f>
        <v/>
      </c>
      <c r="F2275" s="44" t="str">
        <f t="array" ref="F2275">IF(B2275="","",_xlfn.XLOOKUP(B2275,'Form responses 1'!$B$2:$B$2604,'Form responses 1'!$D$2:$D$2604,""))</f>
        <v/>
      </c>
      <c r="G2275" s="44" t="str">
        <f t="array" ref="G2275">IF(B2275="","",_xlfn.XLOOKUP(B2275,'Form responses 1'!$B$2:$B$2604,'Form responses 1'!$E$2:$E$2604,""))</f>
        <v/>
      </c>
      <c r="H2275" s="44" t="str">
        <f t="array" ref="H2275">IF(B2275="","",_xlfn.XLOOKUP(B2275,'Form responses 1'!$B$2:$B$2604,'Form responses 1'!$F$2:$F$2604,""))</f>
        <v/>
      </c>
      <c r="I2275" s="44" t="str">
        <f t="array" ref="I2275">IF(B2275="","",_xlfn.XLOOKUP(B2275,'Form responses 1'!$B$2:$B$2604,'Form responses 1'!$I$2:$I$2604,""))</f>
        <v/>
      </c>
      <c r="J2275" s="44" t="str">
        <f t="array" ref="J2275">IF(B2275="","",_xlfn.XLOOKUP(B2275,'Form responses 1'!$B$2:$B$2604,'Form responses 1'!$G$2:$G$2604,""))</f>
        <v/>
      </c>
      <c r="K2275" s="56"/>
      <c r="L2275" s="58" t="str">
        <f t="shared" si="7"/>
        <v/>
      </c>
      <c r="M2275" s="49"/>
      <c r="N2275" s="49"/>
      <c r="O2275" s="49"/>
      <c r="P2275" s="49"/>
      <c r="Q2275" s="49"/>
      <c r="R2275" s="49"/>
      <c r="S2275" s="49"/>
      <c r="T2275" s="49"/>
      <c r="U2275" s="49"/>
      <c r="V2275" s="49"/>
      <c r="W2275" s="56"/>
      <c r="X2275" s="51" t="str">
        <f t="shared" si="5"/>
        <v/>
      </c>
      <c r="Y2275" s="50" t="s">
        <v>482</v>
      </c>
      <c r="Z2275" s="49">
        <f t="shared" si="6"/>
        <v>0</v>
      </c>
    </row>
    <row r="2276" ht="22.5" customHeight="1">
      <c r="B2276" s="57"/>
      <c r="C2276" s="43" t="str">
        <f t="array" ref="C2276">IF(B2276="","",_xlfn.XLOOKUP(B2276,'Form responses 1'!$B$2:$B$2604,'Form responses 1'!$A$2:$A$2604,""))</f>
        <v/>
      </c>
      <c r="D2276" s="44" t="str">
        <f t="shared" si="3"/>
        <v/>
      </c>
      <c r="E2276" s="44" t="str">
        <f t="array" ref="E2276">IF(B2276="","",_xlfn.XLOOKUP(B2276,'Form responses 1'!$B$2:$B$2604,'Form responses 1'!$C$2:$C$2604,""))</f>
        <v/>
      </c>
      <c r="F2276" s="44" t="str">
        <f t="array" ref="F2276">IF(B2276="","",_xlfn.XLOOKUP(B2276,'Form responses 1'!$B$2:$B$2604,'Form responses 1'!$D$2:$D$2604,""))</f>
        <v/>
      </c>
      <c r="G2276" s="44" t="str">
        <f t="array" ref="G2276">IF(B2276="","",_xlfn.XLOOKUP(B2276,'Form responses 1'!$B$2:$B$2604,'Form responses 1'!$E$2:$E$2604,""))</f>
        <v/>
      </c>
      <c r="H2276" s="44" t="str">
        <f t="array" ref="H2276">IF(B2276="","",_xlfn.XLOOKUP(B2276,'Form responses 1'!$B$2:$B$2604,'Form responses 1'!$F$2:$F$2604,""))</f>
        <v/>
      </c>
      <c r="I2276" s="44" t="str">
        <f t="array" ref="I2276">IF(B2276="","",_xlfn.XLOOKUP(B2276,'Form responses 1'!$B$2:$B$2604,'Form responses 1'!$I$2:$I$2604,""))</f>
        <v/>
      </c>
      <c r="J2276" s="44" t="str">
        <f t="array" ref="J2276">IF(B2276="","",_xlfn.XLOOKUP(B2276,'Form responses 1'!$B$2:$B$2604,'Form responses 1'!$G$2:$G$2604,""))</f>
        <v/>
      </c>
      <c r="K2276" s="56"/>
      <c r="L2276" s="58" t="str">
        <f t="shared" si="7"/>
        <v/>
      </c>
      <c r="M2276" s="49"/>
      <c r="N2276" s="49"/>
      <c r="O2276" s="49"/>
      <c r="P2276" s="49"/>
      <c r="Q2276" s="49"/>
      <c r="R2276" s="49"/>
      <c r="S2276" s="49"/>
      <c r="T2276" s="49"/>
      <c r="U2276" s="49"/>
      <c r="V2276" s="49"/>
      <c r="W2276" s="56"/>
      <c r="X2276" s="51" t="str">
        <f t="shared" si="5"/>
        <v/>
      </c>
      <c r="Y2276" s="50" t="s">
        <v>482</v>
      </c>
      <c r="Z2276" s="49">
        <f t="shared" si="6"/>
        <v>0</v>
      </c>
    </row>
    <row r="2277" ht="22.5" customHeight="1">
      <c r="B2277" s="57"/>
      <c r="C2277" s="43" t="str">
        <f t="array" ref="C2277">IF(B2277="","",_xlfn.XLOOKUP(B2277,'Form responses 1'!$B$2:$B$2604,'Form responses 1'!$A$2:$A$2604,""))</f>
        <v/>
      </c>
      <c r="D2277" s="44" t="str">
        <f t="shared" si="3"/>
        <v/>
      </c>
      <c r="E2277" s="44" t="str">
        <f t="array" ref="E2277">IF(B2277="","",_xlfn.XLOOKUP(B2277,'Form responses 1'!$B$2:$B$2604,'Form responses 1'!$C$2:$C$2604,""))</f>
        <v/>
      </c>
      <c r="F2277" s="44" t="str">
        <f t="array" ref="F2277">IF(B2277="","",_xlfn.XLOOKUP(B2277,'Form responses 1'!$B$2:$B$2604,'Form responses 1'!$D$2:$D$2604,""))</f>
        <v/>
      </c>
      <c r="G2277" s="44" t="str">
        <f t="array" ref="G2277">IF(B2277="","",_xlfn.XLOOKUP(B2277,'Form responses 1'!$B$2:$B$2604,'Form responses 1'!$E$2:$E$2604,""))</f>
        <v/>
      </c>
      <c r="H2277" s="44" t="str">
        <f t="array" ref="H2277">IF(B2277="","",_xlfn.XLOOKUP(B2277,'Form responses 1'!$B$2:$B$2604,'Form responses 1'!$F$2:$F$2604,""))</f>
        <v/>
      </c>
      <c r="I2277" s="44" t="str">
        <f t="array" ref="I2277">IF(B2277="","",_xlfn.XLOOKUP(B2277,'Form responses 1'!$B$2:$B$2604,'Form responses 1'!$I$2:$I$2604,""))</f>
        <v/>
      </c>
      <c r="J2277" s="44" t="str">
        <f t="array" ref="J2277">IF(B2277="","",_xlfn.XLOOKUP(B2277,'Form responses 1'!$B$2:$B$2604,'Form responses 1'!$G$2:$G$2604,""))</f>
        <v/>
      </c>
      <c r="K2277" s="56"/>
      <c r="L2277" s="58" t="str">
        <f t="shared" si="7"/>
        <v/>
      </c>
      <c r="M2277" s="49"/>
      <c r="N2277" s="49"/>
      <c r="O2277" s="49"/>
      <c r="P2277" s="49"/>
      <c r="Q2277" s="49"/>
      <c r="R2277" s="49"/>
      <c r="S2277" s="49"/>
      <c r="T2277" s="49"/>
      <c r="U2277" s="49"/>
      <c r="V2277" s="49"/>
      <c r="W2277" s="56"/>
      <c r="X2277" s="51" t="str">
        <f t="shared" si="5"/>
        <v/>
      </c>
      <c r="Y2277" s="50" t="s">
        <v>482</v>
      </c>
      <c r="Z2277" s="49">
        <f t="shared" si="6"/>
        <v>0</v>
      </c>
    </row>
    <row r="2278" ht="22.5" customHeight="1">
      <c r="B2278" s="57"/>
      <c r="C2278" s="43" t="str">
        <f t="array" ref="C2278">IF(B2278="","",_xlfn.XLOOKUP(B2278,'Form responses 1'!$B$2:$B$2604,'Form responses 1'!$A$2:$A$2604,""))</f>
        <v/>
      </c>
      <c r="D2278" s="44" t="str">
        <f t="shared" si="3"/>
        <v/>
      </c>
      <c r="E2278" s="44" t="str">
        <f t="array" ref="E2278">IF(B2278="","",_xlfn.XLOOKUP(B2278,'Form responses 1'!$B$2:$B$2604,'Form responses 1'!$C$2:$C$2604,""))</f>
        <v/>
      </c>
      <c r="F2278" s="44" t="str">
        <f t="array" ref="F2278">IF(B2278="","",_xlfn.XLOOKUP(B2278,'Form responses 1'!$B$2:$B$2604,'Form responses 1'!$D$2:$D$2604,""))</f>
        <v/>
      </c>
      <c r="G2278" s="44" t="str">
        <f t="array" ref="G2278">IF(B2278="","",_xlfn.XLOOKUP(B2278,'Form responses 1'!$B$2:$B$2604,'Form responses 1'!$E$2:$E$2604,""))</f>
        <v/>
      </c>
      <c r="H2278" s="44" t="str">
        <f t="array" ref="H2278">IF(B2278="","",_xlfn.XLOOKUP(B2278,'Form responses 1'!$B$2:$B$2604,'Form responses 1'!$F$2:$F$2604,""))</f>
        <v/>
      </c>
      <c r="I2278" s="44" t="str">
        <f t="array" ref="I2278">IF(B2278="","",_xlfn.XLOOKUP(B2278,'Form responses 1'!$B$2:$B$2604,'Form responses 1'!$I$2:$I$2604,""))</f>
        <v/>
      </c>
      <c r="J2278" s="44" t="str">
        <f t="array" ref="J2278">IF(B2278="","",_xlfn.XLOOKUP(B2278,'Form responses 1'!$B$2:$B$2604,'Form responses 1'!$G$2:$G$2604,""))</f>
        <v/>
      </c>
      <c r="K2278" s="56"/>
      <c r="L2278" s="58" t="str">
        <f t="shared" si="7"/>
        <v/>
      </c>
      <c r="M2278" s="49"/>
      <c r="N2278" s="49"/>
      <c r="O2278" s="49"/>
      <c r="P2278" s="49"/>
      <c r="Q2278" s="49"/>
      <c r="R2278" s="49"/>
      <c r="S2278" s="49"/>
      <c r="T2278" s="49"/>
      <c r="U2278" s="49"/>
      <c r="V2278" s="49"/>
      <c r="W2278" s="56"/>
      <c r="X2278" s="51" t="str">
        <f t="shared" si="5"/>
        <v/>
      </c>
      <c r="Y2278" s="50" t="s">
        <v>482</v>
      </c>
      <c r="Z2278" s="49">
        <f t="shared" si="6"/>
        <v>0</v>
      </c>
    </row>
    <row r="2279" ht="22.5" customHeight="1">
      <c r="B2279" s="57"/>
      <c r="C2279" s="43" t="str">
        <f t="array" ref="C2279">IF(B2279="","",_xlfn.XLOOKUP(B2279,'Form responses 1'!$B$2:$B$2604,'Form responses 1'!$A$2:$A$2604,""))</f>
        <v/>
      </c>
      <c r="D2279" s="44" t="str">
        <f t="shared" si="3"/>
        <v/>
      </c>
      <c r="E2279" s="44" t="str">
        <f t="array" ref="E2279">IF(B2279="","",_xlfn.XLOOKUP(B2279,'Form responses 1'!$B$2:$B$2604,'Form responses 1'!$C$2:$C$2604,""))</f>
        <v/>
      </c>
      <c r="F2279" s="44" t="str">
        <f t="array" ref="F2279">IF(B2279="","",_xlfn.XLOOKUP(B2279,'Form responses 1'!$B$2:$B$2604,'Form responses 1'!$D$2:$D$2604,""))</f>
        <v/>
      </c>
      <c r="G2279" s="44" t="str">
        <f t="array" ref="G2279">IF(B2279="","",_xlfn.XLOOKUP(B2279,'Form responses 1'!$B$2:$B$2604,'Form responses 1'!$E$2:$E$2604,""))</f>
        <v/>
      </c>
      <c r="H2279" s="44" t="str">
        <f t="array" ref="H2279">IF(B2279="","",_xlfn.XLOOKUP(B2279,'Form responses 1'!$B$2:$B$2604,'Form responses 1'!$F$2:$F$2604,""))</f>
        <v/>
      </c>
      <c r="I2279" s="44" t="str">
        <f t="array" ref="I2279">IF(B2279="","",_xlfn.XLOOKUP(B2279,'Form responses 1'!$B$2:$B$2604,'Form responses 1'!$I$2:$I$2604,""))</f>
        <v/>
      </c>
      <c r="J2279" s="44" t="str">
        <f t="array" ref="J2279">IF(B2279="","",_xlfn.XLOOKUP(B2279,'Form responses 1'!$B$2:$B$2604,'Form responses 1'!$G$2:$G$2604,""))</f>
        <v/>
      </c>
      <c r="K2279" s="56"/>
      <c r="L2279" s="58" t="str">
        <f t="shared" si="7"/>
        <v/>
      </c>
      <c r="M2279" s="49"/>
      <c r="N2279" s="49"/>
      <c r="O2279" s="49"/>
      <c r="P2279" s="49"/>
      <c r="Q2279" s="49"/>
      <c r="R2279" s="49"/>
      <c r="S2279" s="49"/>
      <c r="T2279" s="49"/>
      <c r="U2279" s="49"/>
      <c r="V2279" s="49"/>
      <c r="W2279" s="56"/>
      <c r="X2279" s="51" t="str">
        <f t="shared" si="5"/>
        <v/>
      </c>
      <c r="Y2279" s="50" t="s">
        <v>482</v>
      </c>
      <c r="Z2279" s="49">
        <f t="shared" si="6"/>
        <v>0</v>
      </c>
    </row>
    <row r="2280" ht="22.5" customHeight="1">
      <c r="B2280" s="57"/>
      <c r="C2280" s="43" t="str">
        <f t="array" ref="C2280">IF(B2280="","",_xlfn.XLOOKUP(B2280,'Form responses 1'!$B$2:$B$2604,'Form responses 1'!$A$2:$A$2604,""))</f>
        <v/>
      </c>
      <c r="D2280" s="44" t="str">
        <f t="shared" si="3"/>
        <v/>
      </c>
      <c r="E2280" s="44" t="str">
        <f t="array" ref="E2280">IF(B2280="","",_xlfn.XLOOKUP(B2280,'Form responses 1'!$B$2:$B$2604,'Form responses 1'!$C$2:$C$2604,""))</f>
        <v/>
      </c>
      <c r="F2280" s="44" t="str">
        <f t="array" ref="F2280">IF(B2280="","",_xlfn.XLOOKUP(B2280,'Form responses 1'!$B$2:$B$2604,'Form responses 1'!$D$2:$D$2604,""))</f>
        <v/>
      </c>
      <c r="G2280" s="44" t="str">
        <f t="array" ref="G2280">IF(B2280="","",_xlfn.XLOOKUP(B2280,'Form responses 1'!$B$2:$B$2604,'Form responses 1'!$E$2:$E$2604,""))</f>
        <v/>
      </c>
      <c r="H2280" s="44" t="str">
        <f t="array" ref="H2280">IF(B2280="","",_xlfn.XLOOKUP(B2280,'Form responses 1'!$B$2:$B$2604,'Form responses 1'!$F$2:$F$2604,""))</f>
        <v/>
      </c>
      <c r="I2280" s="44" t="str">
        <f t="array" ref="I2280">IF(B2280="","",_xlfn.XLOOKUP(B2280,'Form responses 1'!$B$2:$B$2604,'Form responses 1'!$I$2:$I$2604,""))</f>
        <v/>
      </c>
      <c r="J2280" s="44" t="str">
        <f t="array" ref="J2280">IF(B2280="","",_xlfn.XLOOKUP(B2280,'Form responses 1'!$B$2:$B$2604,'Form responses 1'!$G$2:$G$2604,""))</f>
        <v/>
      </c>
      <c r="K2280" s="56"/>
      <c r="L2280" s="58" t="str">
        <f t="shared" si="7"/>
        <v/>
      </c>
      <c r="M2280" s="49"/>
      <c r="N2280" s="49"/>
      <c r="O2280" s="49"/>
      <c r="P2280" s="49"/>
      <c r="Q2280" s="49"/>
      <c r="R2280" s="49"/>
      <c r="S2280" s="49"/>
      <c r="T2280" s="49"/>
      <c r="U2280" s="49"/>
      <c r="V2280" s="49"/>
      <c r="W2280" s="56"/>
      <c r="X2280" s="51" t="str">
        <f t="shared" si="5"/>
        <v/>
      </c>
      <c r="Y2280" s="50" t="s">
        <v>482</v>
      </c>
      <c r="Z2280" s="49">
        <f t="shared" si="6"/>
        <v>0</v>
      </c>
    </row>
    <row r="2281" ht="22.5" customHeight="1">
      <c r="B2281" s="57"/>
      <c r="C2281" s="43" t="str">
        <f t="array" ref="C2281">IF(B2281="","",_xlfn.XLOOKUP(B2281,'Form responses 1'!$B$2:$B$2604,'Form responses 1'!$A$2:$A$2604,""))</f>
        <v/>
      </c>
      <c r="D2281" s="44" t="str">
        <f t="shared" si="3"/>
        <v/>
      </c>
      <c r="E2281" s="44" t="str">
        <f t="array" ref="E2281">IF(B2281="","",_xlfn.XLOOKUP(B2281,'Form responses 1'!$B$2:$B$2604,'Form responses 1'!$C$2:$C$2604,""))</f>
        <v/>
      </c>
      <c r="F2281" s="44" t="str">
        <f t="array" ref="F2281">IF(B2281="","",_xlfn.XLOOKUP(B2281,'Form responses 1'!$B$2:$B$2604,'Form responses 1'!$D$2:$D$2604,""))</f>
        <v/>
      </c>
      <c r="G2281" s="44" t="str">
        <f t="array" ref="G2281">IF(B2281="","",_xlfn.XLOOKUP(B2281,'Form responses 1'!$B$2:$B$2604,'Form responses 1'!$E$2:$E$2604,""))</f>
        <v/>
      </c>
      <c r="H2281" s="44" t="str">
        <f t="array" ref="H2281">IF(B2281="","",_xlfn.XLOOKUP(B2281,'Form responses 1'!$B$2:$B$2604,'Form responses 1'!$F$2:$F$2604,""))</f>
        <v/>
      </c>
      <c r="I2281" s="44" t="str">
        <f t="array" ref="I2281">IF(B2281="","",_xlfn.XLOOKUP(B2281,'Form responses 1'!$B$2:$B$2604,'Form responses 1'!$I$2:$I$2604,""))</f>
        <v/>
      </c>
      <c r="J2281" s="44" t="str">
        <f t="array" ref="J2281">IF(B2281="","",_xlfn.XLOOKUP(B2281,'Form responses 1'!$B$2:$B$2604,'Form responses 1'!$G$2:$G$2604,""))</f>
        <v/>
      </c>
      <c r="K2281" s="56"/>
      <c r="L2281" s="58" t="str">
        <f t="shared" si="7"/>
        <v/>
      </c>
      <c r="M2281" s="49"/>
      <c r="N2281" s="49"/>
      <c r="O2281" s="49"/>
      <c r="P2281" s="49"/>
      <c r="Q2281" s="49"/>
      <c r="R2281" s="49"/>
      <c r="S2281" s="49"/>
      <c r="T2281" s="49"/>
      <c r="U2281" s="49"/>
      <c r="V2281" s="49"/>
      <c r="W2281" s="56"/>
      <c r="X2281" s="51" t="str">
        <f t="shared" si="5"/>
        <v/>
      </c>
      <c r="Y2281" s="50" t="s">
        <v>482</v>
      </c>
      <c r="Z2281" s="49">
        <f t="shared" si="6"/>
        <v>0</v>
      </c>
    </row>
    <row r="2282" ht="22.5" customHeight="1">
      <c r="B2282" s="57"/>
      <c r="C2282" s="43" t="str">
        <f t="array" ref="C2282">IF(B2282="","",_xlfn.XLOOKUP(B2282,'Form responses 1'!$B$2:$B$2604,'Form responses 1'!$A$2:$A$2604,""))</f>
        <v/>
      </c>
      <c r="D2282" s="44" t="str">
        <f t="shared" si="3"/>
        <v/>
      </c>
      <c r="E2282" s="44" t="str">
        <f t="array" ref="E2282">IF(B2282="","",_xlfn.XLOOKUP(B2282,'Form responses 1'!$B$2:$B$2604,'Form responses 1'!$C$2:$C$2604,""))</f>
        <v/>
      </c>
      <c r="F2282" s="44" t="str">
        <f t="array" ref="F2282">IF(B2282="","",_xlfn.XLOOKUP(B2282,'Form responses 1'!$B$2:$B$2604,'Form responses 1'!$D$2:$D$2604,""))</f>
        <v/>
      </c>
      <c r="G2282" s="44" t="str">
        <f t="array" ref="G2282">IF(B2282="","",_xlfn.XLOOKUP(B2282,'Form responses 1'!$B$2:$B$2604,'Form responses 1'!$E$2:$E$2604,""))</f>
        <v/>
      </c>
      <c r="H2282" s="44" t="str">
        <f t="array" ref="H2282">IF(B2282="","",_xlfn.XLOOKUP(B2282,'Form responses 1'!$B$2:$B$2604,'Form responses 1'!$F$2:$F$2604,""))</f>
        <v/>
      </c>
      <c r="I2282" s="44" t="str">
        <f t="array" ref="I2282">IF(B2282="","",_xlfn.XLOOKUP(B2282,'Form responses 1'!$B$2:$B$2604,'Form responses 1'!$I$2:$I$2604,""))</f>
        <v/>
      </c>
      <c r="J2282" s="44" t="str">
        <f t="array" ref="J2282">IF(B2282="","",_xlfn.XLOOKUP(B2282,'Form responses 1'!$B$2:$B$2604,'Form responses 1'!$G$2:$G$2604,""))</f>
        <v/>
      </c>
      <c r="K2282" s="56"/>
      <c r="L2282" s="58" t="str">
        <f t="shared" si="7"/>
        <v/>
      </c>
      <c r="M2282" s="49"/>
      <c r="N2282" s="49"/>
      <c r="O2282" s="49"/>
      <c r="P2282" s="49"/>
      <c r="Q2282" s="49"/>
      <c r="R2282" s="49"/>
      <c r="S2282" s="49"/>
      <c r="T2282" s="49"/>
      <c r="U2282" s="49"/>
      <c r="V2282" s="49"/>
      <c r="W2282" s="56"/>
      <c r="X2282" s="51" t="str">
        <f t="shared" si="5"/>
        <v/>
      </c>
      <c r="Y2282" s="50" t="s">
        <v>482</v>
      </c>
      <c r="Z2282" s="49">
        <f t="shared" si="6"/>
        <v>0</v>
      </c>
    </row>
    <row r="2283" ht="22.5" customHeight="1">
      <c r="B2283" s="57"/>
      <c r="C2283" s="43" t="str">
        <f t="array" ref="C2283">IF(B2283="","",_xlfn.XLOOKUP(B2283,'Form responses 1'!$B$2:$B$2604,'Form responses 1'!$A$2:$A$2604,""))</f>
        <v/>
      </c>
      <c r="D2283" s="44" t="str">
        <f t="shared" si="3"/>
        <v/>
      </c>
      <c r="E2283" s="44" t="str">
        <f t="array" ref="E2283">IF(B2283="","",_xlfn.XLOOKUP(B2283,'Form responses 1'!$B$2:$B$2604,'Form responses 1'!$C$2:$C$2604,""))</f>
        <v/>
      </c>
      <c r="F2283" s="44" t="str">
        <f t="array" ref="F2283">IF(B2283="","",_xlfn.XLOOKUP(B2283,'Form responses 1'!$B$2:$B$2604,'Form responses 1'!$D$2:$D$2604,""))</f>
        <v/>
      </c>
      <c r="G2283" s="44" t="str">
        <f t="array" ref="G2283">IF(B2283="","",_xlfn.XLOOKUP(B2283,'Form responses 1'!$B$2:$B$2604,'Form responses 1'!$E$2:$E$2604,""))</f>
        <v/>
      </c>
      <c r="H2283" s="44" t="str">
        <f t="array" ref="H2283">IF(B2283="","",_xlfn.XLOOKUP(B2283,'Form responses 1'!$B$2:$B$2604,'Form responses 1'!$F$2:$F$2604,""))</f>
        <v/>
      </c>
      <c r="I2283" s="44" t="str">
        <f t="array" ref="I2283">IF(B2283="","",_xlfn.XLOOKUP(B2283,'Form responses 1'!$B$2:$B$2604,'Form responses 1'!$I$2:$I$2604,""))</f>
        <v/>
      </c>
      <c r="J2283" s="44" t="str">
        <f t="array" ref="J2283">IF(B2283="","",_xlfn.XLOOKUP(B2283,'Form responses 1'!$B$2:$B$2604,'Form responses 1'!$G$2:$G$2604,""))</f>
        <v/>
      </c>
      <c r="K2283" s="56"/>
      <c r="L2283" s="58" t="str">
        <f t="shared" si="7"/>
        <v/>
      </c>
      <c r="M2283" s="49"/>
      <c r="N2283" s="49"/>
      <c r="O2283" s="49"/>
      <c r="P2283" s="49"/>
      <c r="Q2283" s="49"/>
      <c r="R2283" s="49"/>
      <c r="S2283" s="49"/>
      <c r="T2283" s="49"/>
      <c r="U2283" s="49"/>
      <c r="V2283" s="49"/>
      <c r="W2283" s="56"/>
      <c r="X2283" s="51" t="str">
        <f t="shared" si="5"/>
        <v/>
      </c>
      <c r="Y2283" s="50" t="s">
        <v>482</v>
      </c>
      <c r="Z2283" s="49">
        <f t="shared" si="6"/>
        <v>0</v>
      </c>
    </row>
    <row r="2284" ht="22.5" customHeight="1">
      <c r="B2284" s="57"/>
      <c r="C2284" s="43" t="str">
        <f t="array" ref="C2284">IF(B2284="","",_xlfn.XLOOKUP(B2284,'Form responses 1'!$B$2:$B$2604,'Form responses 1'!$A$2:$A$2604,""))</f>
        <v/>
      </c>
      <c r="D2284" s="44" t="str">
        <f t="shared" si="3"/>
        <v/>
      </c>
      <c r="E2284" s="44" t="str">
        <f t="array" ref="E2284">IF(B2284="","",_xlfn.XLOOKUP(B2284,'Form responses 1'!$B$2:$B$2604,'Form responses 1'!$C$2:$C$2604,""))</f>
        <v/>
      </c>
      <c r="F2284" s="44" t="str">
        <f t="array" ref="F2284">IF(B2284="","",_xlfn.XLOOKUP(B2284,'Form responses 1'!$B$2:$B$2604,'Form responses 1'!$D$2:$D$2604,""))</f>
        <v/>
      </c>
      <c r="G2284" s="44" t="str">
        <f t="array" ref="G2284">IF(B2284="","",_xlfn.XLOOKUP(B2284,'Form responses 1'!$B$2:$B$2604,'Form responses 1'!$E$2:$E$2604,""))</f>
        <v/>
      </c>
      <c r="H2284" s="44" t="str">
        <f t="array" ref="H2284">IF(B2284="","",_xlfn.XLOOKUP(B2284,'Form responses 1'!$B$2:$B$2604,'Form responses 1'!$F$2:$F$2604,""))</f>
        <v/>
      </c>
      <c r="I2284" s="44" t="str">
        <f t="array" ref="I2284">IF(B2284="","",_xlfn.XLOOKUP(B2284,'Form responses 1'!$B$2:$B$2604,'Form responses 1'!$I$2:$I$2604,""))</f>
        <v/>
      </c>
      <c r="J2284" s="44" t="str">
        <f t="array" ref="J2284">IF(B2284="","",_xlfn.XLOOKUP(B2284,'Form responses 1'!$B$2:$B$2604,'Form responses 1'!$G$2:$G$2604,""))</f>
        <v/>
      </c>
      <c r="K2284" s="56"/>
      <c r="L2284" s="58" t="str">
        <f t="shared" si="7"/>
        <v/>
      </c>
      <c r="M2284" s="49"/>
      <c r="N2284" s="49"/>
      <c r="O2284" s="49"/>
      <c r="P2284" s="49"/>
      <c r="Q2284" s="49"/>
      <c r="R2284" s="49"/>
      <c r="S2284" s="49"/>
      <c r="T2284" s="49"/>
      <c r="U2284" s="49"/>
      <c r="V2284" s="49"/>
      <c r="W2284" s="56"/>
      <c r="X2284" s="51" t="str">
        <f t="shared" si="5"/>
        <v/>
      </c>
      <c r="Y2284" s="50" t="s">
        <v>482</v>
      </c>
      <c r="Z2284" s="49">
        <f t="shared" si="6"/>
        <v>0</v>
      </c>
    </row>
    <row r="2285" ht="22.5" customHeight="1">
      <c r="B2285" s="57"/>
      <c r="C2285" s="43" t="str">
        <f t="array" ref="C2285">IF(B2285="","",_xlfn.XLOOKUP(B2285,'Form responses 1'!$B$2:$B$2604,'Form responses 1'!$A$2:$A$2604,""))</f>
        <v/>
      </c>
      <c r="D2285" s="44" t="str">
        <f t="shared" si="3"/>
        <v/>
      </c>
      <c r="E2285" s="44" t="str">
        <f t="array" ref="E2285">IF(B2285="","",_xlfn.XLOOKUP(B2285,'Form responses 1'!$B$2:$B$2604,'Form responses 1'!$C$2:$C$2604,""))</f>
        <v/>
      </c>
      <c r="F2285" s="44" t="str">
        <f t="array" ref="F2285">IF(B2285="","",_xlfn.XLOOKUP(B2285,'Form responses 1'!$B$2:$B$2604,'Form responses 1'!$D$2:$D$2604,""))</f>
        <v/>
      </c>
      <c r="G2285" s="44" t="str">
        <f t="array" ref="G2285">IF(B2285="","",_xlfn.XLOOKUP(B2285,'Form responses 1'!$B$2:$B$2604,'Form responses 1'!$E$2:$E$2604,""))</f>
        <v/>
      </c>
      <c r="H2285" s="44" t="str">
        <f t="array" ref="H2285">IF(B2285="","",_xlfn.XLOOKUP(B2285,'Form responses 1'!$B$2:$B$2604,'Form responses 1'!$F$2:$F$2604,""))</f>
        <v/>
      </c>
      <c r="I2285" s="44" t="str">
        <f t="array" ref="I2285">IF(B2285="","",_xlfn.XLOOKUP(B2285,'Form responses 1'!$B$2:$B$2604,'Form responses 1'!$I$2:$I$2604,""))</f>
        <v/>
      </c>
      <c r="J2285" s="44" t="str">
        <f t="array" ref="J2285">IF(B2285="","",_xlfn.XLOOKUP(B2285,'Form responses 1'!$B$2:$B$2604,'Form responses 1'!$G$2:$G$2604,""))</f>
        <v/>
      </c>
      <c r="K2285" s="56"/>
      <c r="L2285" s="58" t="str">
        <f t="shared" si="7"/>
        <v/>
      </c>
      <c r="M2285" s="49"/>
      <c r="N2285" s="49"/>
      <c r="O2285" s="49"/>
      <c r="P2285" s="49"/>
      <c r="Q2285" s="49"/>
      <c r="R2285" s="49"/>
      <c r="S2285" s="49"/>
      <c r="T2285" s="49"/>
      <c r="U2285" s="49"/>
      <c r="V2285" s="49"/>
      <c r="W2285" s="56"/>
      <c r="X2285" s="51" t="str">
        <f t="shared" si="5"/>
        <v/>
      </c>
      <c r="Y2285" s="50" t="s">
        <v>482</v>
      </c>
      <c r="Z2285" s="49">
        <f t="shared" si="6"/>
        <v>0</v>
      </c>
    </row>
    <row r="2286" ht="22.5" customHeight="1">
      <c r="B2286" s="57"/>
      <c r="C2286" s="43" t="str">
        <f t="array" ref="C2286">IF(B2286="","",_xlfn.XLOOKUP(B2286,'Form responses 1'!$B$2:$B$2604,'Form responses 1'!$A$2:$A$2604,""))</f>
        <v/>
      </c>
      <c r="D2286" s="44" t="str">
        <f t="shared" si="3"/>
        <v/>
      </c>
      <c r="E2286" s="44" t="str">
        <f t="array" ref="E2286">IF(B2286="","",_xlfn.XLOOKUP(B2286,'Form responses 1'!$B$2:$B$2604,'Form responses 1'!$C$2:$C$2604,""))</f>
        <v/>
      </c>
      <c r="F2286" s="44" t="str">
        <f t="array" ref="F2286">IF(B2286="","",_xlfn.XLOOKUP(B2286,'Form responses 1'!$B$2:$B$2604,'Form responses 1'!$D$2:$D$2604,""))</f>
        <v/>
      </c>
      <c r="G2286" s="44" t="str">
        <f t="array" ref="G2286">IF(B2286="","",_xlfn.XLOOKUP(B2286,'Form responses 1'!$B$2:$B$2604,'Form responses 1'!$E$2:$E$2604,""))</f>
        <v/>
      </c>
      <c r="H2286" s="44" t="str">
        <f t="array" ref="H2286">IF(B2286="","",_xlfn.XLOOKUP(B2286,'Form responses 1'!$B$2:$B$2604,'Form responses 1'!$F$2:$F$2604,""))</f>
        <v/>
      </c>
      <c r="I2286" s="44" t="str">
        <f t="array" ref="I2286">IF(B2286="","",_xlfn.XLOOKUP(B2286,'Form responses 1'!$B$2:$B$2604,'Form responses 1'!$I$2:$I$2604,""))</f>
        <v/>
      </c>
      <c r="J2286" s="44" t="str">
        <f t="array" ref="J2286">IF(B2286="","",_xlfn.XLOOKUP(B2286,'Form responses 1'!$B$2:$B$2604,'Form responses 1'!$G$2:$G$2604,""))</f>
        <v/>
      </c>
      <c r="K2286" s="56"/>
      <c r="L2286" s="58" t="str">
        <f t="shared" si="7"/>
        <v/>
      </c>
      <c r="M2286" s="49"/>
      <c r="N2286" s="49"/>
      <c r="O2286" s="49"/>
      <c r="P2286" s="49"/>
      <c r="Q2286" s="49"/>
      <c r="R2286" s="49"/>
      <c r="S2286" s="49"/>
      <c r="T2286" s="49"/>
      <c r="U2286" s="49"/>
      <c r="V2286" s="49"/>
      <c r="W2286" s="56"/>
      <c r="X2286" s="51" t="str">
        <f t="shared" si="5"/>
        <v/>
      </c>
      <c r="Y2286" s="50" t="s">
        <v>482</v>
      </c>
      <c r="Z2286" s="49">
        <f t="shared" si="6"/>
        <v>0</v>
      </c>
    </row>
    <row r="2287" ht="22.5" customHeight="1">
      <c r="B2287" s="57"/>
      <c r="C2287" s="43" t="str">
        <f t="array" ref="C2287">IF(B2287="","",_xlfn.XLOOKUP(B2287,'Form responses 1'!$B$2:$B$2604,'Form responses 1'!$A$2:$A$2604,""))</f>
        <v/>
      </c>
      <c r="D2287" s="44" t="str">
        <f t="shared" si="3"/>
        <v/>
      </c>
      <c r="E2287" s="44" t="str">
        <f t="array" ref="E2287">IF(B2287="","",_xlfn.XLOOKUP(B2287,'Form responses 1'!$B$2:$B$2604,'Form responses 1'!$C$2:$C$2604,""))</f>
        <v/>
      </c>
      <c r="F2287" s="44" t="str">
        <f t="array" ref="F2287">IF(B2287="","",_xlfn.XLOOKUP(B2287,'Form responses 1'!$B$2:$B$2604,'Form responses 1'!$D$2:$D$2604,""))</f>
        <v/>
      </c>
      <c r="G2287" s="44" t="str">
        <f t="array" ref="G2287">IF(B2287="","",_xlfn.XLOOKUP(B2287,'Form responses 1'!$B$2:$B$2604,'Form responses 1'!$E$2:$E$2604,""))</f>
        <v/>
      </c>
      <c r="H2287" s="44" t="str">
        <f t="array" ref="H2287">IF(B2287="","",_xlfn.XLOOKUP(B2287,'Form responses 1'!$B$2:$B$2604,'Form responses 1'!$F$2:$F$2604,""))</f>
        <v/>
      </c>
      <c r="I2287" s="44" t="str">
        <f t="array" ref="I2287">IF(B2287="","",_xlfn.XLOOKUP(B2287,'Form responses 1'!$B$2:$B$2604,'Form responses 1'!$I$2:$I$2604,""))</f>
        <v/>
      </c>
      <c r="J2287" s="44" t="str">
        <f t="array" ref="J2287">IF(B2287="","",_xlfn.XLOOKUP(B2287,'Form responses 1'!$B$2:$B$2604,'Form responses 1'!$G$2:$G$2604,""))</f>
        <v/>
      </c>
      <c r="K2287" s="56"/>
      <c r="L2287" s="58" t="str">
        <f t="shared" si="7"/>
        <v/>
      </c>
      <c r="M2287" s="49"/>
      <c r="N2287" s="49"/>
      <c r="O2287" s="49"/>
      <c r="P2287" s="49"/>
      <c r="Q2287" s="49"/>
      <c r="R2287" s="49"/>
      <c r="S2287" s="49"/>
      <c r="T2287" s="49"/>
      <c r="U2287" s="49"/>
      <c r="V2287" s="49"/>
      <c r="W2287" s="56"/>
      <c r="X2287" s="51" t="str">
        <f t="shared" si="5"/>
        <v/>
      </c>
      <c r="Y2287" s="50" t="s">
        <v>482</v>
      </c>
      <c r="Z2287" s="49">
        <f t="shared" si="6"/>
        <v>0</v>
      </c>
    </row>
    <row r="2288" ht="22.5" customHeight="1">
      <c r="B2288" s="57"/>
      <c r="C2288" s="43" t="str">
        <f t="array" ref="C2288">IF(B2288="","",_xlfn.XLOOKUP(B2288,'Form responses 1'!$B$2:$B$2604,'Form responses 1'!$A$2:$A$2604,""))</f>
        <v/>
      </c>
      <c r="D2288" s="44" t="str">
        <f t="shared" si="3"/>
        <v/>
      </c>
      <c r="E2288" s="44" t="str">
        <f t="array" ref="E2288">IF(B2288="","",_xlfn.XLOOKUP(B2288,'Form responses 1'!$B$2:$B$2604,'Form responses 1'!$C$2:$C$2604,""))</f>
        <v/>
      </c>
      <c r="F2288" s="44" t="str">
        <f t="array" ref="F2288">IF(B2288="","",_xlfn.XLOOKUP(B2288,'Form responses 1'!$B$2:$B$2604,'Form responses 1'!$D$2:$D$2604,""))</f>
        <v/>
      </c>
      <c r="G2288" s="44" t="str">
        <f t="array" ref="G2288">IF(B2288="","",_xlfn.XLOOKUP(B2288,'Form responses 1'!$B$2:$B$2604,'Form responses 1'!$E$2:$E$2604,""))</f>
        <v/>
      </c>
      <c r="H2288" s="44" t="str">
        <f t="array" ref="H2288">IF(B2288="","",_xlfn.XLOOKUP(B2288,'Form responses 1'!$B$2:$B$2604,'Form responses 1'!$F$2:$F$2604,""))</f>
        <v/>
      </c>
      <c r="I2288" s="44" t="str">
        <f t="array" ref="I2288">IF(B2288="","",_xlfn.XLOOKUP(B2288,'Form responses 1'!$B$2:$B$2604,'Form responses 1'!$I$2:$I$2604,""))</f>
        <v/>
      </c>
      <c r="J2288" s="44" t="str">
        <f t="array" ref="J2288">IF(B2288="","",_xlfn.XLOOKUP(B2288,'Form responses 1'!$B$2:$B$2604,'Form responses 1'!$G$2:$G$2604,""))</f>
        <v/>
      </c>
      <c r="K2288" s="56"/>
      <c r="L2288" s="58" t="str">
        <f t="shared" si="7"/>
        <v/>
      </c>
      <c r="M2288" s="49"/>
      <c r="N2288" s="49"/>
      <c r="O2288" s="49"/>
      <c r="P2288" s="49"/>
      <c r="Q2288" s="49"/>
      <c r="R2288" s="49"/>
      <c r="S2288" s="49"/>
      <c r="T2288" s="49"/>
      <c r="U2288" s="49"/>
      <c r="V2288" s="49"/>
      <c r="W2288" s="56"/>
      <c r="X2288" s="51" t="str">
        <f t="shared" si="5"/>
        <v/>
      </c>
      <c r="Y2288" s="50" t="s">
        <v>482</v>
      </c>
      <c r="Z2288" s="49">
        <f t="shared" si="6"/>
        <v>0</v>
      </c>
    </row>
    <row r="2289" ht="22.5" customHeight="1">
      <c r="B2289" s="57"/>
      <c r="C2289" s="43" t="str">
        <f t="array" ref="C2289">IF(B2289="","",_xlfn.XLOOKUP(B2289,'Form responses 1'!$B$2:$B$2604,'Form responses 1'!$A$2:$A$2604,""))</f>
        <v/>
      </c>
      <c r="D2289" s="44" t="str">
        <f t="shared" si="3"/>
        <v/>
      </c>
      <c r="E2289" s="44" t="str">
        <f t="array" ref="E2289">IF(B2289="","",_xlfn.XLOOKUP(B2289,'Form responses 1'!$B$2:$B$2604,'Form responses 1'!$C$2:$C$2604,""))</f>
        <v/>
      </c>
      <c r="F2289" s="44" t="str">
        <f t="array" ref="F2289">IF(B2289="","",_xlfn.XLOOKUP(B2289,'Form responses 1'!$B$2:$B$2604,'Form responses 1'!$D$2:$D$2604,""))</f>
        <v/>
      </c>
      <c r="G2289" s="44" t="str">
        <f t="array" ref="G2289">IF(B2289="","",_xlfn.XLOOKUP(B2289,'Form responses 1'!$B$2:$B$2604,'Form responses 1'!$E$2:$E$2604,""))</f>
        <v/>
      </c>
      <c r="H2289" s="44" t="str">
        <f t="array" ref="H2289">IF(B2289="","",_xlfn.XLOOKUP(B2289,'Form responses 1'!$B$2:$B$2604,'Form responses 1'!$F$2:$F$2604,""))</f>
        <v/>
      </c>
      <c r="I2289" s="44" t="str">
        <f t="array" ref="I2289">IF(B2289="","",_xlfn.XLOOKUP(B2289,'Form responses 1'!$B$2:$B$2604,'Form responses 1'!$I$2:$I$2604,""))</f>
        <v/>
      </c>
      <c r="J2289" s="44" t="str">
        <f t="array" ref="J2289">IF(B2289="","",_xlfn.XLOOKUP(B2289,'Form responses 1'!$B$2:$B$2604,'Form responses 1'!$G$2:$G$2604,""))</f>
        <v/>
      </c>
      <c r="K2289" s="56"/>
      <c r="L2289" s="58" t="str">
        <f t="shared" si="7"/>
        <v/>
      </c>
      <c r="M2289" s="49"/>
      <c r="N2289" s="49"/>
      <c r="O2289" s="49"/>
      <c r="P2289" s="49"/>
      <c r="Q2289" s="49"/>
      <c r="R2289" s="49"/>
      <c r="S2289" s="49"/>
      <c r="T2289" s="49"/>
      <c r="U2289" s="49"/>
      <c r="V2289" s="49"/>
      <c r="W2289" s="56"/>
      <c r="X2289" s="51" t="str">
        <f t="shared" si="5"/>
        <v/>
      </c>
      <c r="Y2289" s="50" t="s">
        <v>482</v>
      </c>
      <c r="Z2289" s="49">
        <f t="shared" si="6"/>
        <v>0</v>
      </c>
    </row>
    <row r="2290" ht="22.5" customHeight="1">
      <c r="B2290" s="57"/>
      <c r="C2290" s="43" t="str">
        <f t="array" ref="C2290">IF(B2290="","",_xlfn.XLOOKUP(B2290,'Form responses 1'!$B$2:$B$2604,'Form responses 1'!$A$2:$A$2604,""))</f>
        <v/>
      </c>
      <c r="D2290" s="44" t="str">
        <f t="shared" si="3"/>
        <v/>
      </c>
      <c r="E2290" s="44" t="str">
        <f t="array" ref="E2290">IF(B2290="","",_xlfn.XLOOKUP(B2290,'Form responses 1'!$B$2:$B$2604,'Form responses 1'!$C$2:$C$2604,""))</f>
        <v/>
      </c>
      <c r="F2290" s="44" t="str">
        <f t="array" ref="F2290">IF(B2290="","",_xlfn.XLOOKUP(B2290,'Form responses 1'!$B$2:$B$2604,'Form responses 1'!$D$2:$D$2604,""))</f>
        <v/>
      </c>
      <c r="G2290" s="44" t="str">
        <f t="array" ref="G2290">IF(B2290="","",_xlfn.XLOOKUP(B2290,'Form responses 1'!$B$2:$B$2604,'Form responses 1'!$E$2:$E$2604,""))</f>
        <v/>
      </c>
      <c r="H2290" s="44" t="str">
        <f t="array" ref="H2290">IF(B2290="","",_xlfn.XLOOKUP(B2290,'Form responses 1'!$B$2:$B$2604,'Form responses 1'!$F$2:$F$2604,""))</f>
        <v/>
      </c>
      <c r="I2290" s="44" t="str">
        <f t="array" ref="I2290">IF(B2290="","",_xlfn.XLOOKUP(B2290,'Form responses 1'!$B$2:$B$2604,'Form responses 1'!$I$2:$I$2604,""))</f>
        <v/>
      </c>
      <c r="J2290" s="44" t="str">
        <f t="array" ref="J2290">IF(B2290="","",_xlfn.XLOOKUP(B2290,'Form responses 1'!$B$2:$B$2604,'Form responses 1'!$G$2:$G$2604,""))</f>
        <v/>
      </c>
      <c r="K2290" s="56"/>
      <c r="L2290" s="58" t="str">
        <f t="shared" si="7"/>
        <v/>
      </c>
      <c r="M2290" s="49"/>
      <c r="N2290" s="49"/>
      <c r="O2290" s="49"/>
      <c r="P2290" s="49"/>
      <c r="Q2290" s="49"/>
      <c r="R2290" s="49"/>
      <c r="S2290" s="49"/>
      <c r="T2290" s="49"/>
      <c r="U2290" s="49"/>
      <c r="V2290" s="49"/>
      <c r="W2290" s="56"/>
      <c r="X2290" s="51" t="str">
        <f t="shared" si="5"/>
        <v/>
      </c>
      <c r="Y2290" s="50" t="s">
        <v>482</v>
      </c>
      <c r="Z2290" s="49">
        <f t="shared" si="6"/>
        <v>0</v>
      </c>
    </row>
    <row r="2291" ht="22.5" customHeight="1">
      <c r="B2291" s="57"/>
      <c r="C2291" s="43" t="str">
        <f t="array" ref="C2291">IF(B2291="","",_xlfn.XLOOKUP(B2291,'Form responses 1'!$B$2:$B$2604,'Form responses 1'!$A$2:$A$2604,""))</f>
        <v/>
      </c>
      <c r="D2291" s="44" t="str">
        <f t="shared" si="3"/>
        <v/>
      </c>
      <c r="E2291" s="44" t="str">
        <f t="array" ref="E2291">IF(B2291="","",_xlfn.XLOOKUP(B2291,'Form responses 1'!$B$2:$B$2604,'Form responses 1'!$C$2:$C$2604,""))</f>
        <v/>
      </c>
      <c r="F2291" s="44" t="str">
        <f t="array" ref="F2291">IF(B2291="","",_xlfn.XLOOKUP(B2291,'Form responses 1'!$B$2:$B$2604,'Form responses 1'!$D$2:$D$2604,""))</f>
        <v/>
      </c>
      <c r="G2291" s="44" t="str">
        <f t="array" ref="G2291">IF(B2291="","",_xlfn.XLOOKUP(B2291,'Form responses 1'!$B$2:$B$2604,'Form responses 1'!$E$2:$E$2604,""))</f>
        <v/>
      </c>
      <c r="H2291" s="44" t="str">
        <f t="array" ref="H2291">IF(B2291="","",_xlfn.XLOOKUP(B2291,'Form responses 1'!$B$2:$B$2604,'Form responses 1'!$F$2:$F$2604,""))</f>
        <v/>
      </c>
      <c r="I2291" s="44" t="str">
        <f t="array" ref="I2291">IF(B2291="","",_xlfn.XLOOKUP(B2291,'Form responses 1'!$B$2:$B$2604,'Form responses 1'!$I$2:$I$2604,""))</f>
        <v/>
      </c>
      <c r="J2291" s="44" t="str">
        <f t="array" ref="J2291">IF(B2291="","",_xlfn.XLOOKUP(B2291,'Form responses 1'!$B$2:$B$2604,'Form responses 1'!$G$2:$G$2604,""))</f>
        <v/>
      </c>
      <c r="K2291" s="56"/>
      <c r="L2291" s="58" t="str">
        <f t="shared" si="7"/>
        <v/>
      </c>
      <c r="M2291" s="49"/>
      <c r="N2291" s="49"/>
      <c r="O2291" s="49"/>
      <c r="P2291" s="49"/>
      <c r="Q2291" s="49"/>
      <c r="R2291" s="49"/>
      <c r="S2291" s="49"/>
      <c r="T2291" s="49"/>
      <c r="U2291" s="49"/>
      <c r="V2291" s="49"/>
      <c r="W2291" s="56"/>
      <c r="X2291" s="51" t="str">
        <f t="shared" si="5"/>
        <v/>
      </c>
      <c r="Y2291" s="50" t="s">
        <v>482</v>
      </c>
      <c r="Z2291" s="49">
        <f t="shared" si="6"/>
        <v>0</v>
      </c>
    </row>
    <row r="2292" ht="22.5" customHeight="1">
      <c r="B2292" s="57"/>
      <c r="C2292" s="43" t="str">
        <f t="array" ref="C2292">IF(B2292="","",_xlfn.XLOOKUP(B2292,'Form responses 1'!$B$2:$B$2604,'Form responses 1'!$A$2:$A$2604,""))</f>
        <v/>
      </c>
      <c r="D2292" s="44" t="str">
        <f t="shared" si="3"/>
        <v/>
      </c>
      <c r="E2292" s="44" t="str">
        <f t="array" ref="E2292">IF(B2292="","",_xlfn.XLOOKUP(B2292,'Form responses 1'!$B$2:$B$2604,'Form responses 1'!$C$2:$C$2604,""))</f>
        <v/>
      </c>
      <c r="F2292" s="44" t="str">
        <f t="array" ref="F2292">IF(B2292="","",_xlfn.XLOOKUP(B2292,'Form responses 1'!$B$2:$B$2604,'Form responses 1'!$D$2:$D$2604,""))</f>
        <v/>
      </c>
      <c r="G2292" s="44" t="str">
        <f t="array" ref="G2292">IF(B2292="","",_xlfn.XLOOKUP(B2292,'Form responses 1'!$B$2:$B$2604,'Form responses 1'!$E$2:$E$2604,""))</f>
        <v/>
      </c>
      <c r="H2292" s="44" t="str">
        <f t="array" ref="H2292">IF(B2292="","",_xlfn.XLOOKUP(B2292,'Form responses 1'!$B$2:$B$2604,'Form responses 1'!$F$2:$F$2604,""))</f>
        <v/>
      </c>
      <c r="I2292" s="44" t="str">
        <f t="array" ref="I2292">IF(B2292="","",_xlfn.XLOOKUP(B2292,'Form responses 1'!$B$2:$B$2604,'Form responses 1'!$I$2:$I$2604,""))</f>
        <v/>
      </c>
      <c r="J2292" s="44" t="str">
        <f t="array" ref="J2292">IF(B2292="","",_xlfn.XLOOKUP(B2292,'Form responses 1'!$B$2:$B$2604,'Form responses 1'!$G$2:$G$2604,""))</f>
        <v/>
      </c>
      <c r="K2292" s="56"/>
      <c r="L2292" s="58" t="str">
        <f t="shared" si="7"/>
        <v/>
      </c>
      <c r="M2292" s="49"/>
      <c r="N2292" s="49"/>
      <c r="O2292" s="49"/>
      <c r="P2292" s="49"/>
      <c r="Q2292" s="49"/>
      <c r="R2292" s="49"/>
      <c r="S2292" s="49"/>
      <c r="T2292" s="49"/>
      <c r="U2292" s="49"/>
      <c r="V2292" s="49"/>
      <c r="W2292" s="56"/>
      <c r="X2292" s="51" t="str">
        <f t="shared" si="5"/>
        <v/>
      </c>
      <c r="Y2292" s="50" t="s">
        <v>482</v>
      </c>
      <c r="Z2292" s="49">
        <f t="shared" si="6"/>
        <v>0</v>
      </c>
    </row>
    <row r="2293" ht="22.5" customHeight="1">
      <c r="B2293" s="57"/>
      <c r="C2293" s="43" t="str">
        <f t="array" ref="C2293">IF(B2293="","",_xlfn.XLOOKUP(B2293,'Form responses 1'!$B$2:$B$2604,'Form responses 1'!$A$2:$A$2604,""))</f>
        <v/>
      </c>
      <c r="D2293" s="44" t="str">
        <f t="shared" si="3"/>
        <v/>
      </c>
      <c r="E2293" s="44" t="str">
        <f t="array" ref="E2293">IF(B2293="","",_xlfn.XLOOKUP(B2293,'Form responses 1'!$B$2:$B$2604,'Form responses 1'!$C$2:$C$2604,""))</f>
        <v/>
      </c>
      <c r="F2293" s="44" t="str">
        <f t="array" ref="F2293">IF(B2293="","",_xlfn.XLOOKUP(B2293,'Form responses 1'!$B$2:$B$2604,'Form responses 1'!$D$2:$D$2604,""))</f>
        <v/>
      </c>
      <c r="G2293" s="44" t="str">
        <f t="array" ref="G2293">IF(B2293="","",_xlfn.XLOOKUP(B2293,'Form responses 1'!$B$2:$B$2604,'Form responses 1'!$E$2:$E$2604,""))</f>
        <v/>
      </c>
      <c r="H2293" s="44" t="str">
        <f t="array" ref="H2293">IF(B2293="","",_xlfn.XLOOKUP(B2293,'Form responses 1'!$B$2:$B$2604,'Form responses 1'!$F$2:$F$2604,""))</f>
        <v/>
      </c>
      <c r="I2293" s="44" t="str">
        <f t="array" ref="I2293">IF(B2293="","",_xlfn.XLOOKUP(B2293,'Form responses 1'!$B$2:$B$2604,'Form responses 1'!$I$2:$I$2604,""))</f>
        <v/>
      </c>
      <c r="J2293" s="44" t="str">
        <f t="array" ref="J2293">IF(B2293="","",_xlfn.XLOOKUP(B2293,'Form responses 1'!$B$2:$B$2604,'Form responses 1'!$G$2:$G$2604,""))</f>
        <v/>
      </c>
      <c r="K2293" s="56"/>
      <c r="L2293" s="58" t="str">
        <f t="shared" si="7"/>
        <v/>
      </c>
      <c r="M2293" s="49"/>
      <c r="N2293" s="49"/>
      <c r="O2293" s="49"/>
      <c r="P2293" s="49"/>
      <c r="Q2293" s="49"/>
      <c r="R2293" s="49"/>
      <c r="S2293" s="49"/>
      <c r="T2293" s="49"/>
      <c r="U2293" s="49"/>
      <c r="V2293" s="49"/>
      <c r="W2293" s="56"/>
      <c r="X2293" s="51" t="str">
        <f t="shared" si="5"/>
        <v/>
      </c>
      <c r="Y2293" s="50" t="s">
        <v>482</v>
      </c>
      <c r="Z2293" s="49">
        <f t="shared" si="6"/>
        <v>0</v>
      </c>
    </row>
    <row r="2294" ht="22.5" customHeight="1">
      <c r="B2294" s="57"/>
      <c r="C2294" s="43" t="str">
        <f t="array" ref="C2294">IF(B2294="","",_xlfn.XLOOKUP(B2294,'Form responses 1'!$B$2:$B$2604,'Form responses 1'!$A$2:$A$2604,""))</f>
        <v/>
      </c>
      <c r="D2294" s="44" t="str">
        <f t="shared" si="3"/>
        <v/>
      </c>
      <c r="E2294" s="44" t="str">
        <f t="array" ref="E2294">IF(B2294="","",_xlfn.XLOOKUP(B2294,'Form responses 1'!$B$2:$B$2604,'Form responses 1'!$C$2:$C$2604,""))</f>
        <v/>
      </c>
      <c r="F2294" s="44" t="str">
        <f t="array" ref="F2294">IF(B2294="","",_xlfn.XLOOKUP(B2294,'Form responses 1'!$B$2:$B$2604,'Form responses 1'!$D$2:$D$2604,""))</f>
        <v/>
      </c>
      <c r="G2294" s="44" t="str">
        <f t="array" ref="G2294">IF(B2294="","",_xlfn.XLOOKUP(B2294,'Form responses 1'!$B$2:$B$2604,'Form responses 1'!$E$2:$E$2604,""))</f>
        <v/>
      </c>
      <c r="H2294" s="44" t="str">
        <f t="array" ref="H2294">IF(B2294="","",_xlfn.XLOOKUP(B2294,'Form responses 1'!$B$2:$B$2604,'Form responses 1'!$F$2:$F$2604,""))</f>
        <v/>
      </c>
      <c r="I2294" s="44" t="str">
        <f t="array" ref="I2294">IF(B2294="","",_xlfn.XLOOKUP(B2294,'Form responses 1'!$B$2:$B$2604,'Form responses 1'!$I$2:$I$2604,""))</f>
        <v/>
      </c>
      <c r="J2294" s="44" t="str">
        <f t="array" ref="J2294">IF(B2294="","",_xlfn.XLOOKUP(B2294,'Form responses 1'!$B$2:$B$2604,'Form responses 1'!$G$2:$G$2604,""))</f>
        <v/>
      </c>
      <c r="K2294" s="56"/>
      <c r="L2294" s="58" t="str">
        <f t="shared" si="7"/>
        <v/>
      </c>
      <c r="M2294" s="49"/>
      <c r="N2294" s="49"/>
      <c r="O2294" s="49"/>
      <c r="P2294" s="49"/>
      <c r="Q2294" s="49"/>
      <c r="R2294" s="49"/>
      <c r="S2294" s="49"/>
      <c r="T2294" s="49"/>
      <c r="U2294" s="49"/>
      <c r="V2294" s="49"/>
      <c r="W2294" s="56"/>
      <c r="X2294" s="51" t="str">
        <f t="shared" si="5"/>
        <v/>
      </c>
      <c r="Y2294" s="50" t="s">
        <v>482</v>
      </c>
      <c r="Z2294" s="49">
        <f t="shared" si="6"/>
        <v>0</v>
      </c>
    </row>
    <row r="2295" ht="22.5" customHeight="1">
      <c r="B2295" s="57"/>
      <c r="C2295" s="43" t="str">
        <f t="array" ref="C2295">IF(B2295="","",_xlfn.XLOOKUP(B2295,'Form responses 1'!$B$2:$B$2604,'Form responses 1'!$A$2:$A$2604,""))</f>
        <v/>
      </c>
      <c r="D2295" s="44" t="str">
        <f t="shared" si="3"/>
        <v/>
      </c>
      <c r="E2295" s="44" t="str">
        <f t="array" ref="E2295">IF(B2295="","",_xlfn.XLOOKUP(B2295,'Form responses 1'!$B$2:$B$2604,'Form responses 1'!$C$2:$C$2604,""))</f>
        <v/>
      </c>
      <c r="F2295" s="44" t="str">
        <f t="array" ref="F2295">IF(B2295="","",_xlfn.XLOOKUP(B2295,'Form responses 1'!$B$2:$B$2604,'Form responses 1'!$D$2:$D$2604,""))</f>
        <v/>
      </c>
      <c r="G2295" s="44" t="str">
        <f t="array" ref="G2295">IF(B2295="","",_xlfn.XLOOKUP(B2295,'Form responses 1'!$B$2:$B$2604,'Form responses 1'!$E$2:$E$2604,""))</f>
        <v/>
      </c>
      <c r="H2295" s="44" t="str">
        <f t="array" ref="H2295">IF(B2295="","",_xlfn.XLOOKUP(B2295,'Form responses 1'!$B$2:$B$2604,'Form responses 1'!$F$2:$F$2604,""))</f>
        <v/>
      </c>
      <c r="I2295" s="44" t="str">
        <f t="array" ref="I2295">IF(B2295="","",_xlfn.XLOOKUP(B2295,'Form responses 1'!$B$2:$B$2604,'Form responses 1'!$I$2:$I$2604,""))</f>
        <v/>
      </c>
      <c r="J2295" s="44" t="str">
        <f t="array" ref="J2295">IF(B2295="","",_xlfn.XLOOKUP(B2295,'Form responses 1'!$B$2:$B$2604,'Form responses 1'!$G$2:$G$2604,""))</f>
        <v/>
      </c>
      <c r="K2295" s="56"/>
      <c r="L2295" s="58" t="str">
        <f t="shared" si="7"/>
        <v/>
      </c>
      <c r="M2295" s="49"/>
      <c r="N2295" s="49"/>
      <c r="O2295" s="49"/>
      <c r="P2295" s="49"/>
      <c r="Q2295" s="49"/>
      <c r="R2295" s="49"/>
      <c r="S2295" s="49"/>
      <c r="T2295" s="49"/>
      <c r="U2295" s="49"/>
      <c r="V2295" s="49"/>
      <c r="W2295" s="56"/>
      <c r="X2295" s="51" t="str">
        <f t="shared" si="5"/>
        <v/>
      </c>
      <c r="Y2295" s="50" t="s">
        <v>482</v>
      </c>
      <c r="Z2295" s="49">
        <f t="shared" si="6"/>
        <v>0</v>
      </c>
    </row>
    <row r="2296" ht="22.5" customHeight="1">
      <c r="B2296" s="57"/>
      <c r="C2296" s="43" t="str">
        <f t="array" ref="C2296">IF(B2296="","",_xlfn.XLOOKUP(B2296,'Form responses 1'!$B$2:$B$2604,'Form responses 1'!$A$2:$A$2604,""))</f>
        <v/>
      </c>
      <c r="D2296" s="44" t="str">
        <f t="shared" si="3"/>
        <v/>
      </c>
      <c r="E2296" s="44" t="str">
        <f t="array" ref="E2296">IF(B2296="","",_xlfn.XLOOKUP(B2296,'Form responses 1'!$B$2:$B$2604,'Form responses 1'!$C$2:$C$2604,""))</f>
        <v/>
      </c>
      <c r="F2296" s="44" t="str">
        <f t="array" ref="F2296">IF(B2296="","",_xlfn.XLOOKUP(B2296,'Form responses 1'!$B$2:$B$2604,'Form responses 1'!$D$2:$D$2604,""))</f>
        <v/>
      </c>
      <c r="G2296" s="44" t="str">
        <f t="array" ref="G2296">IF(B2296="","",_xlfn.XLOOKUP(B2296,'Form responses 1'!$B$2:$B$2604,'Form responses 1'!$E$2:$E$2604,""))</f>
        <v/>
      </c>
      <c r="H2296" s="44" t="str">
        <f t="array" ref="H2296">IF(B2296="","",_xlfn.XLOOKUP(B2296,'Form responses 1'!$B$2:$B$2604,'Form responses 1'!$F$2:$F$2604,""))</f>
        <v/>
      </c>
      <c r="I2296" s="44" t="str">
        <f t="array" ref="I2296">IF(B2296="","",_xlfn.XLOOKUP(B2296,'Form responses 1'!$B$2:$B$2604,'Form responses 1'!$I$2:$I$2604,""))</f>
        <v/>
      </c>
      <c r="J2296" s="44" t="str">
        <f t="array" ref="J2296">IF(B2296="","",_xlfn.XLOOKUP(B2296,'Form responses 1'!$B$2:$B$2604,'Form responses 1'!$G$2:$G$2604,""))</f>
        <v/>
      </c>
      <c r="K2296" s="56"/>
      <c r="L2296" s="58" t="str">
        <f t="shared" si="7"/>
        <v/>
      </c>
      <c r="M2296" s="49"/>
      <c r="N2296" s="49"/>
      <c r="O2296" s="49"/>
      <c r="P2296" s="49"/>
      <c r="Q2296" s="49"/>
      <c r="R2296" s="49"/>
      <c r="S2296" s="49"/>
      <c r="T2296" s="49"/>
      <c r="U2296" s="49"/>
      <c r="V2296" s="49"/>
      <c r="W2296" s="56"/>
      <c r="X2296" s="51" t="str">
        <f t="shared" si="5"/>
        <v/>
      </c>
      <c r="Y2296" s="50" t="s">
        <v>482</v>
      </c>
      <c r="Z2296" s="49">
        <f t="shared" si="6"/>
        <v>0</v>
      </c>
    </row>
    <row r="2297" ht="22.5" customHeight="1">
      <c r="B2297" s="57"/>
      <c r="C2297" s="43" t="str">
        <f t="array" ref="C2297">IF(B2297="","",_xlfn.XLOOKUP(B2297,'Form responses 1'!$B$2:$B$2604,'Form responses 1'!$A$2:$A$2604,""))</f>
        <v/>
      </c>
      <c r="D2297" s="44" t="str">
        <f t="shared" si="3"/>
        <v/>
      </c>
      <c r="E2297" s="44" t="str">
        <f t="array" ref="E2297">IF(B2297="","",_xlfn.XLOOKUP(B2297,'Form responses 1'!$B$2:$B$2604,'Form responses 1'!$C$2:$C$2604,""))</f>
        <v/>
      </c>
      <c r="F2297" s="44" t="str">
        <f t="array" ref="F2297">IF(B2297="","",_xlfn.XLOOKUP(B2297,'Form responses 1'!$B$2:$B$2604,'Form responses 1'!$D$2:$D$2604,""))</f>
        <v/>
      </c>
      <c r="G2297" s="44" t="str">
        <f t="array" ref="G2297">IF(B2297="","",_xlfn.XLOOKUP(B2297,'Form responses 1'!$B$2:$B$2604,'Form responses 1'!$E$2:$E$2604,""))</f>
        <v/>
      </c>
      <c r="H2297" s="44" t="str">
        <f t="array" ref="H2297">IF(B2297="","",_xlfn.XLOOKUP(B2297,'Form responses 1'!$B$2:$B$2604,'Form responses 1'!$F$2:$F$2604,""))</f>
        <v/>
      </c>
      <c r="I2297" s="44" t="str">
        <f t="array" ref="I2297">IF(B2297="","",_xlfn.XLOOKUP(B2297,'Form responses 1'!$B$2:$B$2604,'Form responses 1'!$I$2:$I$2604,""))</f>
        <v/>
      </c>
      <c r="J2297" s="44" t="str">
        <f t="array" ref="J2297">IF(B2297="","",_xlfn.XLOOKUP(B2297,'Form responses 1'!$B$2:$B$2604,'Form responses 1'!$G$2:$G$2604,""))</f>
        <v/>
      </c>
      <c r="K2297" s="56"/>
      <c r="L2297" s="58" t="str">
        <f t="shared" si="7"/>
        <v/>
      </c>
      <c r="M2297" s="49"/>
      <c r="N2297" s="49"/>
      <c r="O2297" s="49"/>
      <c r="P2297" s="49"/>
      <c r="Q2297" s="49"/>
      <c r="R2297" s="49"/>
      <c r="S2297" s="49"/>
      <c r="T2297" s="49"/>
      <c r="U2297" s="49"/>
      <c r="V2297" s="49"/>
      <c r="W2297" s="56"/>
      <c r="X2297" s="51" t="str">
        <f t="shared" si="5"/>
        <v/>
      </c>
      <c r="Y2297" s="50" t="s">
        <v>482</v>
      </c>
      <c r="Z2297" s="49">
        <f t="shared" si="6"/>
        <v>0</v>
      </c>
    </row>
    <row r="2298" ht="22.5" customHeight="1">
      <c r="B2298" s="57"/>
      <c r="C2298" s="43" t="str">
        <f t="array" ref="C2298">IF(B2298="","",_xlfn.XLOOKUP(B2298,'Form responses 1'!$B$2:$B$2604,'Form responses 1'!$A$2:$A$2604,""))</f>
        <v/>
      </c>
      <c r="D2298" s="44" t="str">
        <f t="shared" si="3"/>
        <v/>
      </c>
      <c r="E2298" s="44" t="str">
        <f t="array" ref="E2298">IF(B2298="","",_xlfn.XLOOKUP(B2298,'Form responses 1'!$B$2:$B$2604,'Form responses 1'!$C$2:$C$2604,""))</f>
        <v/>
      </c>
      <c r="F2298" s="44" t="str">
        <f t="array" ref="F2298">IF(B2298="","",_xlfn.XLOOKUP(B2298,'Form responses 1'!$B$2:$B$2604,'Form responses 1'!$D$2:$D$2604,""))</f>
        <v/>
      </c>
      <c r="G2298" s="44" t="str">
        <f t="array" ref="G2298">IF(B2298="","",_xlfn.XLOOKUP(B2298,'Form responses 1'!$B$2:$B$2604,'Form responses 1'!$E$2:$E$2604,""))</f>
        <v/>
      </c>
      <c r="H2298" s="44" t="str">
        <f t="array" ref="H2298">IF(B2298="","",_xlfn.XLOOKUP(B2298,'Form responses 1'!$B$2:$B$2604,'Form responses 1'!$F$2:$F$2604,""))</f>
        <v/>
      </c>
      <c r="I2298" s="44" t="str">
        <f t="array" ref="I2298">IF(B2298="","",_xlfn.XLOOKUP(B2298,'Form responses 1'!$B$2:$B$2604,'Form responses 1'!$I$2:$I$2604,""))</f>
        <v/>
      </c>
      <c r="J2298" s="44" t="str">
        <f t="array" ref="J2298">IF(B2298="","",_xlfn.XLOOKUP(B2298,'Form responses 1'!$B$2:$B$2604,'Form responses 1'!$G$2:$G$2604,""))</f>
        <v/>
      </c>
      <c r="K2298" s="56"/>
      <c r="L2298" s="58" t="str">
        <f t="shared" si="7"/>
        <v/>
      </c>
      <c r="M2298" s="49"/>
      <c r="N2298" s="49"/>
      <c r="O2298" s="49"/>
      <c r="P2298" s="49"/>
      <c r="Q2298" s="49"/>
      <c r="R2298" s="49"/>
      <c r="S2298" s="49"/>
      <c r="T2298" s="49"/>
      <c r="U2298" s="49"/>
      <c r="V2298" s="49"/>
      <c r="W2298" s="56"/>
      <c r="X2298" s="51" t="str">
        <f t="shared" si="5"/>
        <v/>
      </c>
      <c r="Y2298" s="50" t="s">
        <v>482</v>
      </c>
      <c r="Z2298" s="49">
        <f t="shared" si="6"/>
        <v>0</v>
      </c>
    </row>
    <row r="2299" ht="22.5" customHeight="1">
      <c r="B2299" s="57"/>
      <c r="C2299" s="43" t="str">
        <f t="array" ref="C2299">IF(B2299="","",_xlfn.XLOOKUP(B2299,'Form responses 1'!$B$2:$B$2604,'Form responses 1'!$A$2:$A$2604,""))</f>
        <v/>
      </c>
      <c r="D2299" s="44" t="str">
        <f t="shared" si="3"/>
        <v/>
      </c>
      <c r="E2299" s="44" t="str">
        <f t="array" ref="E2299">IF(B2299="","",_xlfn.XLOOKUP(B2299,'Form responses 1'!$B$2:$B$2604,'Form responses 1'!$C$2:$C$2604,""))</f>
        <v/>
      </c>
      <c r="F2299" s="44" t="str">
        <f t="array" ref="F2299">IF(B2299="","",_xlfn.XLOOKUP(B2299,'Form responses 1'!$B$2:$B$2604,'Form responses 1'!$D$2:$D$2604,""))</f>
        <v/>
      </c>
      <c r="G2299" s="44" t="str">
        <f t="array" ref="G2299">IF(B2299="","",_xlfn.XLOOKUP(B2299,'Form responses 1'!$B$2:$B$2604,'Form responses 1'!$E$2:$E$2604,""))</f>
        <v/>
      </c>
      <c r="H2299" s="44" t="str">
        <f t="array" ref="H2299">IF(B2299="","",_xlfn.XLOOKUP(B2299,'Form responses 1'!$B$2:$B$2604,'Form responses 1'!$F$2:$F$2604,""))</f>
        <v/>
      </c>
      <c r="I2299" s="44" t="str">
        <f t="array" ref="I2299">IF(B2299="","",_xlfn.XLOOKUP(B2299,'Form responses 1'!$B$2:$B$2604,'Form responses 1'!$I$2:$I$2604,""))</f>
        <v/>
      </c>
      <c r="J2299" s="44" t="str">
        <f t="array" ref="J2299">IF(B2299="","",_xlfn.XLOOKUP(B2299,'Form responses 1'!$B$2:$B$2604,'Form responses 1'!$G$2:$G$2604,""))</f>
        <v/>
      </c>
      <c r="K2299" s="56"/>
      <c r="L2299" s="58" t="str">
        <f t="shared" si="7"/>
        <v/>
      </c>
      <c r="M2299" s="49"/>
      <c r="N2299" s="49"/>
      <c r="O2299" s="49"/>
      <c r="P2299" s="49"/>
      <c r="Q2299" s="49"/>
      <c r="R2299" s="49"/>
      <c r="S2299" s="49"/>
      <c r="T2299" s="49"/>
      <c r="U2299" s="49"/>
      <c r="V2299" s="49"/>
      <c r="W2299" s="56"/>
      <c r="X2299" s="51" t="str">
        <f t="shared" si="5"/>
        <v/>
      </c>
      <c r="Y2299" s="50" t="s">
        <v>482</v>
      </c>
      <c r="Z2299" s="49">
        <f t="shared" si="6"/>
        <v>0</v>
      </c>
    </row>
    <row r="2300" ht="22.5" customHeight="1">
      <c r="B2300" s="57"/>
      <c r="C2300" s="43" t="str">
        <f t="array" ref="C2300">IF(B2300="","",_xlfn.XLOOKUP(B2300,'Form responses 1'!$B$2:$B$2604,'Form responses 1'!$A$2:$A$2604,""))</f>
        <v/>
      </c>
      <c r="D2300" s="44" t="str">
        <f t="shared" si="3"/>
        <v/>
      </c>
      <c r="E2300" s="44" t="str">
        <f t="array" ref="E2300">IF(B2300="","",_xlfn.XLOOKUP(B2300,'Form responses 1'!$B$2:$B$2604,'Form responses 1'!$C$2:$C$2604,""))</f>
        <v/>
      </c>
      <c r="F2300" s="44" t="str">
        <f t="array" ref="F2300">IF(B2300="","",_xlfn.XLOOKUP(B2300,'Form responses 1'!$B$2:$B$2604,'Form responses 1'!$D$2:$D$2604,""))</f>
        <v/>
      </c>
      <c r="G2300" s="44" t="str">
        <f t="array" ref="G2300">IF(B2300="","",_xlfn.XLOOKUP(B2300,'Form responses 1'!$B$2:$B$2604,'Form responses 1'!$E$2:$E$2604,""))</f>
        <v/>
      </c>
      <c r="H2300" s="44" t="str">
        <f t="array" ref="H2300">IF(B2300="","",_xlfn.XLOOKUP(B2300,'Form responses 1'!$B$2:$B$2604,'Form responses 1'!$F$2:$F$2604,""))</f>
        <v/>
      </c>
      <c r="I2300" s="44" t="str">
        <f t="array" ref="I2300">IF(B2300="","",_xlfn.XLOOKUP(B2300,'Form responses 1'!$B$2:$B$2604,'Form responses 1'!$I$2:$I$2604,""))</f>
        <v/>
      </c>
      <c r="J2300" s="44" t="str">
        <f t="array" ref="J2300">IF(B2300="","",_xlfn.XLOOKUP(B2300,'Form responses 1'!$B$2:$B$2604,'Form responses 1'!$G$2:$G$2604,""))</f>
        <v/>
      </c>
      <c r="K2300" s="56"/>
      <c r="L2300" s="58" t="str">
        <f t="shared" si="7"/>
        <v/>
      </c>
      <c r="M2300" s="49"/>
      <c r="N2300" s="49"/>
      <c r="O2300" s="49"/>
      <c r="P2300" s="49"/>
      <c r="Q2300" s="49"/>
      <c r="R2300" s="49"/>
      <c r="S2300" s="49"/>
      <c r="T2300" s="49"/>
      <c r="U2300" s="49"/>
      <c r="V2300" s="49"/>
      <c r="W2300" s="56"/>
      <c r="X2300" s="51" t="str">
        <f t="shared" si="5"/>
        <v/>
      </c>
      <c r="Y2300" s="50" t="s">
        <v>482</v>
      </c>
      <c r="Z2300" s="49">
        <f t="shared" si="6"/>
        <v>0</v>
      </c>
    </row>
    <row r="2301" ht="22.5" customHeight="1">
      <c r="B2301" s="57"/>
      <c r="C2301" s="43" t="str">
        <f t="array" ref="C2301">IF(B2301="","",_xlfn.XLOOKUP(B2301,'Form responses 1'!$B$2:$B$2604,'Form responses 1'!$A$2:$A$2604,""))</f>
        <v/>
      </c>
      <c r="D2301" s="44" t="str">
        <f t="shared" si="3"/>
        <v/>
      </c>
      <c r="E2301" s="44" t="str">
        <f t="array" ref="E2301">IF(B2301="","",_xlfn.XLOOKUP(B2301,'Form responses 1'!$B$2:$B$2604,'Form responses 1'!$C$2:$C$2604,""))</f>
        <v/>
      </c>
      <c r="F2301" s="44" t="str">
        <f t="array" ref="F2301">IF(B2301="","",_xlfn.XLOOKUP(B2301,'Form responses 1'!$B$2:$B$2604,'Form responses 1'!$D$2:$D$2604,""))</f>
        <v/>
      </c>
      <c r="G2301" s="44" t="str">
        <f t="array" ref="G2301">IF(B2301="","",_xlfn.XLOOKUP(B2301,'Form responses 1'!$B$2:$B$2604,'Form responses 1'!$E$2:$E$2604,""))</f>
        <v/>
      </c>
      <c r="H2301" s="44" t="str">
        <f t="array" ref="H2301">IF(B2301="","",_xlfn.XLOOKUP(B2301,'Form responses 1'!$B$2:$B$2604,'Form responses 1'!$F$2:$F$2604,""))</f>
        <v/>
      </c>
      <c r="I2301" s="44" t="str">
        <f t="array" ref="I2301">IF(B2301="","",_xlfn.XLOOKUP(B2301,'Form responses 1'!$B$2:$B$2604,'Form responses 1'!$I$2:$I$2604,""))</f>
        <v/>
      </c>
      <c r="J2301" s="44" t="str">
        <f t="array" ref="J2301">IF(B2301="","",_xlfn.XLOOKUP(B2301,'Form responses 1'!$B$2:$B$2604,'Form responses 1'!$G$2:$G$2604,""))</f>
        <v/>
      </c>
      <c r="K2301" s="56"/>
      <c r="L2301" s="58" t="str">
        <f t="shared" si="7"/>
        <v/>
      </c>
      <c r="M2301" s="49"/>
      <c r="N2301" s="49"/>
      <c r="O2301" s="49"/>
      <c r="P2301" s="49"/>
      <c r="Q2301" s="49"/>
      <c r="R2301" s="49"/>
      <c r="S2301" s="49"/>
      <c r="T2301" s="49"/>
      <c r="U2301" s="49"/>
      <c r="V2301" s="49"/>
      <c r="W2301" s="56"/>
      <c r="X2301" s="51" t="str">
        <f t="shared" si="5"/>
        <v/>
      </c>
      <c r="Y2301" s="50" t="s">
        <v>482</v>
      </c>
      <c r="Z2301" s="49">
        <f t="shared" si="6"/>
        <v>0</v>
      </c>
    </row>
    <row r="2302" ht="22.5" customHeight="1">
      <c r="B2302" s="57"/>
      <c r="C2302" s="43" t="str">
        <f t="array" ref="C2302">IF(B2302="","",_xlfn.XLOOKUP(B2302,'Form responses 1'!$B$2:$B$2604,'Form responses 1'!$A$2:$A$2604,""))</f>
        <v/>
      </c>
      <c r="D2302" s="44" t="str">
        <f t="shared" si="3"/>
        <v/>
      </c>
      <c r="E2302" s="44" t="str">
        <f t="array" ref="E2302">IF(B2302="","",_xlfn.XLOOKUP(B2302,'Form responses 1'!$B$2:$B$2604,'Form responses 1'!$C$2:$C$2604,""))</f>
        <v/>
      </c>
      <c r="F2302" s="44" t="str">
        <f t="array" ref="F2302">IF(B2302="","",_xlfn.XLOOKUP(B2302,'Form responses 1'!$B$2:$B$2604,'Form responses 1'!$D$2:$D$2604,""))</f>
        <v/>
      </c>
      <c r="G2302" s="44" t="str">
        <f t="array" ref="G2302">IF(B2302="","",_xlfn.XLOOKUP(B2302,'Form responses 1'!$B$2:$B$2604,'Form responses 1'!$E$2:$E$2604,""))</f>
        <v/>
      </c>
      <c r="H2302" s="44" t="str">
        <f t="array" ref="H2302">IF(B2302="","",_xlfn.XLOOKUP(B2302,'Form responses 1'!$B$2:$B$2604,'Form responses 1'!$F$2:$F$2604,""))</f>
        <v/>
      </c>
      <c r="I2302" s="44" t="str">
        <f t="array" ref="I2302">IF(B2302="","",_xlfn.XLOOKUP(B2302,'Form responses 1'!$B$2:$B$2604,'Form responses 1'!$I$2:$I$2604,""))</f>
        <v/>
      </c>
      <c r="J2302" s="44" t="str">
        <f t="array" ref="J2302">IF(B2302="","",_xlfn.XLOOKUP(B2302,'Form responses 1'!$B$2:$B$2604,'Form responses 1'!$G$2:$G$2604,""))</f>
        <v/>
      </c>
      <c r="K2302" s="56"/>
      <c r="L2302" s="58" t="str">
        <f t="shared" si="7"/>
        <v/>
      </c>
      <c r="M2302" s="49"/>
      <c r="N2302" s="49"/>
      <c r="O2302" s="49"/>
      <c r="P2302" s="49"/>
      <c r="Q2302" s="49"/>
      <c r="R2302" s="49"/>
      <c r="S2302" s="49"/>
      <c r="T2302" s="49"/>
      <c r="U2302" s="49"/>
      <c r="V2302" s="49"/>
      <c r="W2302" s="56"/>
      <c r="X2302" s="51" t="str">
        <f t="shared" si="5"/>
        <v/>
      </c>
      <c r="Y2302" s="50" t="s">
        <v>482</v>
      </c>
      <c r="Z2302" s="49">
        <f t="shared" si="6"/>
        <v>0</v>
      </c>
    </row>
    <row r="2303" ht="22.5" customHeight="1">
      <c r="B2303" s="57"/>
      <c r="C2303" s="43" t="str">
        <f t="array" ref="C2303">IF(B2303="","",_xlfn.XLOOKUP(B2303,'Form responses 1'!$B$2:$B$2604,'Form responses 1'!$A$2:$A$2604,""))</f>
        <v/>
      </c>
      <c r="D2303" s="44" t="str">
        <f t="shared" si="3"/>
        <v/>
      </c>
      <c r="E2303" s="44" t="str">
        <f t="array" ref="E2303">IF(B2303="","",_xlfn.XLOOKUP(B2303,'Form responses 1'!$B$2:$B$2604,'Form responses 1'!$C$2:$C$2604,""))</f>
        <v/>
      </c>
      <c r="F2303" s="44" t="str">
        <f t="array" ref="F2303">IF(B2303="","",_xlfn.XLOOKUP(B2303,'Form responses 1'!$B$2:$B$2604,'Form responses 1'!$D$2:$D$2604,""))</f>
        <v/>
      </c>
      <c r="G2303" s="44" t="str">
        <f t="array" ref="G2303">IF(B2303="","",_xlfn.XLOOKUP(B2303,'Form responses 1'!$B$2:$B$2604,'Form responses 1'!$E$2:$E$2604,""))</f>
        <v/>
      </c>
      <c r="H2303" s="44" t="str">
        <f t="array" ref="H2303">IF(B2303="","",_xlfn.XLOOKUP(B2303,'Form responses 1'!$B$2:$B$2604,'Form responses 1'!$F$2:$F$2604,""))</f>
        <v/>
      </c>
      <c r="I2303" s="44" t="str">
        <f t="array" ref="I2303">IF(B2303="","",_xlfn.XLOOKUP(B2303,'Form responses 1'!$B$2:$B$2604,'Form responses 1'!$I$2:$I$2604,""))</f>
        <v/>
      </c>
      <c r="J2303" s="44" t="str">
        <f t="array" ref="J2303">IF(B2303="","",_xlfn.XLOOKUP(B2303,'Form responses 1'!$B$2:$B$2604,'Form responses 1'!$G$2:$G$2604,""))</f>
        <v/>
      </c>
      <c r="K2303" s="56"/>
      <c r="L2303" s="58" t="str">
        <f t="shared" si="7"/>
        <v/>
      </c>
      <c r="M2303" s="49"/>
      <c r="N2303" s="49"/>
      <c r="O2303" s="49"/>
      <c r="P2303" s="49"/>
      <c r="Q2303" s="49"/>
      <c r="R2303" s="49"/>
      <c r="S2303" s="49"/>
      <c r="T2303" s="49"/>
      <c r="U2303" s="49"/>
      <c r="V2303" s="49"/>
      <c r="W2303" s="56"/>
      <c r="X2303" s="51" t="str">
        <f t="shared" si="5"/>
        <v/>
      </c>
      <c r="Y2303" s="50" t="s">
        <v>482</v>
      </c>
      <c r="Z2303" s="49">
        <f t="shared" si="6"/>
        <v>0</v>
      </c>
    </row>
    <row r="2304" ht="22.5" customHeight="1">
      <c r="B2304" s="57"/>
      <c r="C2304" s="43" t="str">
        <f t="array" ref="C2304">IF(B2304="","",_xlfn.XLOOKUP(B2304,'Form responses 1'!$B$2:$B$2604,'Form responses 1'!$A$2:$A$2604,""))</f>
        <v/>
      </c>
      <c r="D2304" s="44" t="str">
        <f t="shared" si="3"/>
        <v/>
      </c>
      <c r="E2304" s="44" t="str">
        <f t="array" ref="E2304">IF(B2304="","",_xlfn.XLOOKUP(B2304,'Form responses 1'!$B$2:$B$2604,'Form responses 1'!$C$2:$C$2604,""))</f>
        <v/>
      </c>
      <c r="F2304" s="44" t="str">
        <f t="array" ref="F2304">IF(B2304="","",_xlfn.XLOOKUP(B2304,'Form responses 1'!$B$2:$B$2604,'Form responses 1'!$D$2:$D$2604,""))</f>
        <v/>
      </c>
      <c r="G2304" s="44" t="str">
        <f t="array" ref="G2304">IF(B2304="","",_xlfn.XLOOKUP(B2304,'Form responses 1'!$B$2:$B$2604,'Form responses 1'!$E$2:$E$2604,""))</f>
        <v/>
      </c>
      <c r="H2304" s="44" t="str">
        <f t="array" ref="H2304">IF(B2304="","",_xlfn.XLOOKUP(B2304,'Form responses 1'!$B$2:$B$2604,'Form responses 1'!$F$2:$F$2604,""))</f>
        <v/>
      </c>
      <c r="I2304" s="44" t="str">
        <f t="array" ref="I2304">IF(B2304="","",_xlfn.XLOOKUP(B2304,'Form responses 1'!$B$2:$B$2604,'Form responses 1'!$I$2:$I$2604,""))</f>
        <v/>
      </c>
      <c r="J2304" s="44" t="str">
        <f t="array" ref="J2304">IF(B2304="","",_xlfn.XLOOKUP(B2304,'Form responses 1'!$B$2:$B$2604,'Form responses 1'!$G$2:$G$2604,""))</f>
        <v/>
      </c>
      <c r="K2304" s="56"/>
      <c r="L2304" s="58" t="str">
        <f t="shared" si="7"/>
        <v/>
      </c>
      <c r="M2304" s="49"/>
      <c r="N2304" s="49"/>
      <c r="O2304" s="49"/>
      <c r="P2304" s="49"/>
      <c r="Q2304" s="49"/>
      <c r="R2304" s="49"/>
      <c r="S2304" s="49"/>
      <c r="T2304" s="49"/>
      <c r="U2304" s="49"/>
      <c r="V2304" s="49"/>
      <c r="W2304" s="56"/>
      <c r="X2304" s="51" t="str">
        <f t="shared" si="5"/>
        <v/>
      </c>
      <c r="Y2304" s="50" t="s">
        <v>482</v>
      </c>
      <c r="Z2304" s="49">
        <f t="shared" si="6"/>
        <v>0</v>
      </c>
    </row>
    <row r="2305" ht="22.5" customHeight="1">
      <c r="B2305" s="57"/>
      <c r="C2305" s="43" t="str">
        <f t="array" ref="C2305">IF(B2305="","",_xlfn.XLOOKUP(B2305,'Form responses 1'!$B$2:$B$2604,'Form responses 1'!$A$2:$A$2604,""))</f>
        <v/>
      </c>
      <c r="D2305" s="44" t="str">
        <f t="shared" si="3"/>
        <v/>
      </c>
      <c r="E2305" s="44" t="str">
        <f t="array" ref="E2305">IF(B2305="","",_xlfn.XLOOKUP(B2305,'Form responses 1'!$B$2:$B$2604,'Form responses 1'!$C$2:$C$2604,""))</f>
        <v/>
      </c>
      <c r="F2305" s="44" t="str">
        <f t="array" ref="F2305">IF(B2305="","",_xlfn.XLOOKUP(B2305,'Form responses 1'!$B$2:$B$2604,'Form responses 1'!$D$2:$D$2604,""))</f>
        <v/>
      </c>
      <c r="G2305" s="44" t="str">
        <f t="array" ref="G2305">IF(B2305="","",_xlfn.XLOOKUP(B2305,'Form responses 1'!$B$2:$B$2604,'Form responses 1'!$E$2:$E$2604,""))</f>
        <v/>
      </c>
      <c r="H2305" s="44" t="str">
        <f t="array" ref="H2305">IF(B2305="","",_xlfn.XLOOKUP(B2305,'Form responses 1'!$B$2:$B$2604,'Form responses 1'!$F$2:$F$2604,""))</f>
        <v/>
      </c>
      <c r="I2305" s="44" t="str">
        <f t="array" ref="I2305">IF(B2305="","",_xlfn.XLOOKUP(B2305,'Form responses 1'!$B$2:$B$2604,'Form responses 1'!$I$2:$I$2604,""))</f>
        <v/>
      </c>
      <c r="J2305" s="44" t="str">
        <f t="array" ref="J2305">IF(B2305="","",_xlfn.XLOOKUP(B2305,'Form responses 1'!$B$2:$B$2604,'Form responses 1'!$G$2:$G$2604,""))</f>
        <v/>
      </c>
      <c r="K2305" s="56"/>
      <c r="L2305" s="58" t="str">
        <f t="shared" si="7"/>
        <v/>
      </c>
      <c r="M2305" s="49"/>
      <c r="N2305" s="49"/>
      <c r="O2305" s="49"/>
      <c r="P2305" s="49"/>
      <c r="Q2305" s="49"/>
      <c r="R2305" s="49"/>
      <c r="S2305" s="49"/>
      <c r="T2305" s="49"/>
      <c r="U2305" s="49"/>
      <c r="V2305" s="49"/>
      <c r="W2305" s="56"/>
      <c r="X2305" s="51" t="str">
        <f t="shared" si="5"/>
        <v/>
      </c>
      <c r="Y2305" s="50" t="s">
        <v>482</v>
      </c>
      <c r="Z2305" s="49">
        <f t="shared" si="6"/>
        <v>0</v>
      </c>
    </row>
    <row r="2306" ht="22.5" customHeight="1">
      <c r="B2306" s="57"/>
      <c r="C2306" s="43" t="str">
        <f t="array" ref="C2306">IF(B2306="","",_xlfn.XLOOKUP(B2306,'Form responses 1'!$B$2:$B$2604,'Form responses 1'!$A$2:$A$2604,""))</f>
        <v/>
      </c>
      <c r="D2306" s="44" t="str">
        <f t="shared" si="3"/>
        <v/>
      </c>
      <c r="E2306" s="44" t="str">
        <f t="array" ref="E2306">IF(B2306="","",_xlfn.XLOOKUP(B2306,'Form responses 1'!$B$2:$B$2604,'Form responses 1'!$C$2:$C$2604,""))</f>
        <v/>
      </c>
      <c r="F2306" s="44" t="str">
        <f t="array" ref="F2306">IF(B2306="","",_xlfn.XLOOKUP(B2306,'Form responses 1'!$B$2:$B$2604,'Form responses 1'!$D$2:$D$2604,""))</f>
        <v/>
      </c>
      <c r="G2306" s="44" t="str">
        <f t="array" ref="G2306">IF(B2306="","",_xlfn.XLOOKUP(B2306,'Form responses 1'!$B$2:$B$2604,'Form responses 1'!$E$2:$E$2604,""))</f>
        <v/>
      </c>
      <c r="H2306" s="44" t="str">
        <f t="array" ref="H2306">IF(B2306="","",_xlfn.XLOOKUP(B2306,'Form responses 1'!$B$2:$B$2604,'Form responses 1'!$F$2:$F$2604,""))</f>
        <v/>
      </c>
      <c r="I2306" s="44" t="str">
        <f t="array" ref="I2306">IF(B2306="","",_xlfn.XLOOKUP(B2306,'Form responses 1'!$B$2:$B$2604,'Form responses 1'!$I$2:$I$2604,""))</f>
        <v/>
      </c>
      <c r="J2306" s="44" t="str">
        <f t="array" ref="J2306">IF(B2306="","",_xlfn.XLOOKUP(B2306,'Form responses 1'!$B$2:$B$2604,'Form responses 1'!$G$2:$G$2604,""))</f>
        <v/>
      </c>
      <c r="K2306" s="56"/>
      <c r="L2306" s="58" t="str">
        <f t="shared" si="7"/>
        <v/>
      </c>
      <c r="M2306" s="49"/>
      <c r="N2306" s="49"/>
      <c r="O2306" s="49"/>
      <c r="P2306" s="49"/>
      <c r="Q2306" s="49"/>
      <c r="R2306" s="49"/>
      <c r="S2306" s="49"/>
      <c r="T2306" s="49"/>
      <c r="U2306" s="49"/>
      <c r="V2306" s="49"/>
      <c r="W2306" s="56"/>
      <c r="X2306" s="51" t="str">
        <f t="shared" si="5"/>
        <v/>
      </c>
      <c r="Y2306" s="50" t="s">
        <v>482</v>
      </c>
      <c r="Z2306" s="49">
        <f t="shared" si="6"/>
        <v>0</v>
      </c>
    </row>
    <row r="2307" ht="22.5" customHeight="1">
      <c r="B2307" s="57"/>
      <c r="C2307" s="43" t="str">
        <f t="array" ref="C2307">IF(B2307="","",_xlfn.XLOOKUP(B2307,'Form responses 1'!$B$2:$B$2604,'Form responses 1'!$A$2:$A$2604,""))</f>
        <v/>
      </c>
      <c r="D2307" s="44" t="str">
        <f t="shared" si="3"/>
        <v/>
      </c>
      <c r="E2307" s="44" t="str">
        <f t="array" ref="E2307">IF(B2307="","",_xlfn.XLOOKUP(B2307,'Form responses 1'!$B$2:$B$2604,'Form responses 1'!$C$2:$C$2604,""))</f>
        <v/>
      </c>
      <c r="F2307" s="44" t="str">
        <f t="array" ref="F2307">IF(B2307="","",_xlfn.XLOOKUP(B2307,'Form responses 1'!$B$2:$B$2604,'Form responses 1'!$D$2:$D$2604,""))</f>
        <v/>
      </c>
      <c r="G2307" s="44" t="str">
        <f t="array" ref="G2307">IF(B2307="","",_xlfn.XLOOKUP(B2307,'Form responses 1'!$B$2:$B$2604,'Form responses 1'!$E$2:$E$2604,""))</f>
        <v/>
      </c>
      <c r="H2307" s="44" t="str">
        <f t="array" ref="H2307">IF(B2307="","",_xlfn.XLOOKUP(B2307,'Form responses 1'!$B$2:$B$2604,'Form responses 1'!$F$2:$F$2604,""))</f>
        <v/>
      </c>
      <c r="I2307" s="44" t="str">
        <f t="array" ref="I2307">IF(B2307="","",_xlfn.XLOOKUP(B2307,'Form responses 1'!$B$2:$B$2604,'Form responses 1'!$I$2:$I$2604,""))</f>
        <v/>
      </c>
      <c r="J2307" s="44" t="str">
        <f t="array" ref="J2307">IF(B2307="","",_xlfn.XLOOKUP(B2307,'Form responses 1'!$B$2:$B$2604,'Form responses 1'!$G$2:$G$2604,""))</f>
        <v/>
      </c>
      <c r="K2307" s="56"/>
      <c r="L2307" s="58" t="str">
        <f t="shared" si="7"/>
        <v/>
      </c>
      <c r="M2307" s="49"/>
      <c r="N2307" s="49"/>
      <c r="O2307" s="49"/>
      <c r="P2307" s="49"/>
      <c r="Q2307" s="49"/>
      <c r="R2307" s="49"/>
      <c r="S2307" s="49"/>
      <c r="T2307" s="49"/>
      <c r="U2307" s="49"/>
      <c r="V2307" s="49"/>
      <c r="W2307" s="56"/>
      <c r="X2307" s="51" t="str">
        <f t="shared" si="5"/>
        <v/>
      </c>
      <c r="Y2307" s="50" t="s">
        <v>482</v>
      </c>
      <c r="Z2307" s="49">
        <f t="shared" si="6"/>
        <v>0</v>
      </c>
    </row>
    <row r="2308" ht="22.5" customHeight="1">
      <c r="B2308" s="57"/>
      <c r="C2308" s="43" t="str">
        <f t="array" ref="C2308">IF(B2308="","",_xlfn.XLOOKUP(B2308,'Form responses 1'!$B$2:$B$2604,'Form responses 1'!$A$2:$A$2604,""))</f>
        <v/>
      </c>
      <c r="D2308" s="44" t="str">
        <f t="shared" si="3"/>
        <v/>
      </c>
      <c r="E2308" s="44" t="str">
        <f t="array" ref="E2308">IF(B2308="","",_xlfn.XLOOKUP(B2308,'Form responses 1'!$B$2:$B$2604,'Form responses 1'!$C$2:$C$2604,""))</f>
        <v/>
      </c>
      <c r="F2308" s="44" t="str">
        <f t="array" ref="F2308">IF(B2308="","",_xlfn.XLOOKUP(B2308,'Form responses 1'!$B$2:$B$2604,'Form responses 1'!$D$2:$D$2604,""))</f>
        <v/>
      </c>
      <c r="G2308" s="44" t="str">
        <f t="array" ref="G2308">IF(B2308="","",_xlfn.XLOOKUP(B2308,'Form responses 1'!$B$2:$B$2604,'Form responses 1'!$E$2:$E$2604,""))</f>
        <v/>
      </c>
      <c r="H2308" s="44" t="str">
        <f t="array" ref="H2308">IF(B2308="","",_xlfn.XLOOKUP(B2308,'Form responses 1'!$B$2:$B$2604,'Form responses 1'!$F$2:$F$2604,""))</f>
        <v/>
      </c>
      <c r="I2308" s="44" t="str">
        <f t="array" ref="I2308">IF(B2308="","",_xlfn.XLOOKUP(B2308,'Form responses 1'!$B$2:$B$2604,'Form responses 1'!$I$2:$I$2604,""))</f>
        <v/>
      </c>
      <c r="J2308" s="44" t="str">
        <f t="array" ref="J2308">IF(B2308="","",_xlfn.XLOOKUP(B2308,'Form responses 1'!$B$2:$B$2604,'Form responses 1'!$G$2:$G$2604,""))</f>
        <v/>
      </c>
      <c r="K2308" s="56"/>
      <c r="L2308" s="58" t="str">
        <f t="shared" si="7"/>
        <v/>
      </c>
      <c r="M2308" s="49"/>
      <c r="N2308" s="49"/>
      <c r="O2308" s="49"/>
      <c r="P2308" s="49"/>
      <c r="Q2308" s="49"/>
      <c r="R2308" s="49"/>
      <c r="S2308" s="49"/>
      <c r="T2308" s="49"/>
      <c r="U2308" s="49"/>
      <c r="V2308" s="49"/>
      <c r="W2308" s="56"/>
      <c r="X2308" s="51" t="str">
        <f t="shared" si="5"/>
        <v/>
      </c>
      <c r="Y2308" s="50" t="s">
        <v>482</v>
      </c>
      <c r="Z2308" s="49">
        <f t="shared" si="6"/>
        <v>0</v>
      </c>
    </row>
    <row r="2309" ht="22.5" customHeight="1">
      <c r="B2309" s="57"/>
      <c r="C2309" s="43" t="str">
        <f t="array" ref="C2309">IF(B2309="","",_xlfn.XLOOKUP(B2309,'Form responses 1'!$B$2:$B$2604,'Form responses 1'!$A$2:$A$2604,""))</f>
        <v/>
      </c>
      <c r="D2309" s="44" t="str">
        <f t="shared" si="3"/>
        <v/>
      </c>
      <c r="E2309" s="44" t="str">
        <f t="array" ref="E2309">IF(B2309="","",_xlfn.XLOOKUP(B2309,'Form responses 1'!$B$2:$B$2604,'Form responses 1'!$C$2:$C$2604,""))</f>
        <v/>
      </c>
      <c r="F2309" s="44" t="str">
        <f t="array" ref="F2309">IF(B2309="","",_xlfn.XLOOKUP(B2309,'Form responses 1'!$B$2:$B$2604,'Form responses 1'!$D$2:$D$2604,""))</f>
        <v/>
      </c>
      <c r="G2309" s="44" t="str">
        <f t="array" ref="G2309">IF(B2309="","",_xlfn.XLOOKUP(B2309,'Form responses 1'!$B$2:$B$2604,'Form responses 1'!$E$2:$E$2604,""))</f>
        <v/>
      </c>
      <c r="H2309" s="44" t="str">
        <f t="array" ref="H2309">IF(B2309="","",_xlfn.XLOOKUP(B2309,'Form responses 1'!$B$2:$B$2604,'Form responses 1'!$F$2:$F$2604,""))</f>
        <v/>
      </c>
      <c r="I2309" s="44" t="str">
        <f t="array" ref="I2309">IF(B2309="","",_xlfn.XLOOKUP(B2309,'Form responses 1'!$B$2:$B$2604,'Form responses 1'!$I$2:$I$2604,""))</f>
        <v/>
      </c>
      <c r="J2309" s="44" t="str">
        <f t="array" ref="J2309">IF(B2309="","",_xlfn.XLOOKUP(B2309,'Form responses 1'!$B$2:$B$2604,'Form responses 1'!$G$2:$G$2604,""))</f>
        <v/>
      </c>
      <c r="K2309" s="56"/>
      <c r="L2309" s="58" t="str">
        <f t="shared" si="7"/>
        <v/>
      </c>
      <c r="M2309" s="49"/>
      <c r="N2309" s="49"/>
      <c r="O2309" s="49"/>
      <c r="P2309" s="49"/>
      <c r="Q2309" s="49"/>
      <c r="R2309" s="49"/>
      <c r="S2309" s="49"/>
      <c r="T2309" s="49"/>
      <c r="U2309" s="49"/>
      <c r="V2309" s="49"/>
      <c r="W2309" s="56"/>
      <c r="X2309" s="51" t="str">
        <f t="shared" si="5"/>
        <v/>
      </c>
      <c r="Y2309" s="50" t="s">
        <v>482</v>
      </c>
      <c r="Z2309" s="49">
        <f t="shared" si="6"/>
        <v>0</v>
      </c>
    </row>
    <row r="2310" ht="22.5" customHeight="1">
      <c r="B2310" s="57"/>
      <c r="C2310" s="43" t="str">
        <f t="array" ref="C2310">IF(B2310="","",_xlfn.XLOOKUP(B2310,'Form responses 1'!$B$2:$B$2604,'Form responses 1'!$A$2:$A$2604,""))</f>
        <v/>
      </c>
      <c r="D2310" s="44" t="str">
        <f t="shared" si="3"/>
        <v/>
      </c>
      <c r="E2310" s="44" t="str">
        <f t="array" ref="E2310">IF(B2310="","",_xlfn.XLOOKUP(B2310,'Form responses 1'!$B$2:$B$2604,'Form responses 1'!$C$2:$C$2604,""))</f>
        <v/>
      </c>
      <c r="F2310" s="44" t="str">
        <f t="array" ref="F2310">IF(B2310="","",_xlfn.XLOOKUP(B2310,'Form responses 1'!$B$2:$B$2604,'Form responses 1'!$D$2:$D$2604,""))</f>
        <v/>
      </c>
      <c r="G2310" s="44" t="str">
        <f t="array" ref="G2310">IF(B2310="","",_xlfn.XLOOKUP(B2310,'Form responses 1'!$B$2:$B$2604,'Form responses 1'!$E$2:$E$2604,""))</f>
        <v/>
      </c>
      <c r="H2310" s="44" t="str">
        <f t="array" ref="H2310">IF(B2310="","",_xlfn.XLOOKUP(B2310,'Form responses 1'!$B$2:$B$2604,'Form responses 1'!$F$2:$F$2604,""))</f>
        <v/>
      </c>
      <c r="I2310" s="44" t="str">
        <f t="array" ref="I2310">IF(B2310="","",_xlfn.XLOOKUP(B2310,'Form responses 1'!$B$2:$B$2604,'Form responses 1'!$I$2:$I$2604,""))</f>
        <v/>
      </c>
      <c r="J2310" s="44" t="str">
        <f t="array" ref="J2310">IF(B2310="","",_xlfn.XLOOKUP(B2310,'Form responses 1'!$B$2:$B$2604,'Form responses 1'!$G$2:$G$2604,""))</f>
        <v/>
      </c>
      <c r="K2310" s="56"/>
      <c r="L2310" s="58" t="str">
        <f t="shared" si="7"/>
        <v/>
      </c>
      <c r="M2310" s="49"/>
      <c r="N2310" s="49"/>
      <c r="O2310" s="49"/>
      <c r="P2310" s="49"/>
      <c r="Q2310" s="49"/>
      <c r="R2310" s="49"/>
      <c r="S2310" s="49"/>
      <c r="T2310" s="49"/>
      <c r="U2310" s="49"/>
      <c r="V2310" s="49"/>
      <c r="W2310" s="56"/>
      <c r="X2310" s="51" t="str">
        <f t="shared" si="5"/>
        <v/>
      </c>
      <c r="Y2310" s="50" t="s">
        <v>482</v>
      </c>
      <c r="Z2310" s="49">
        <f t="shared" si="6"/>
        <v>0</v>
      </c>
    </row>
    <row r="2311" ht="22.5" customHeight="1">
      <c r="B2311" s="57"/>
      <c r="C2311" s="43" t="str">
        <f t="array" ref="C2311">IF(B2311="","",_xlfn.XLOOKUP(B2311,'Form responses 1'!$B$2:$B$2604,'Form responses 1'!$A$2:$A$2604,""))</f>
        <v/>
      </c>
      <c r="D2311" s="44" t="str">
        <f t="shared" si="3"/>
        <v/>
      </c>
      <c r="E2311" s="44" t="str">
        <f t="array" ref="E2311">IF(B2311="","",_xlfn.XLOOKUP(B2311,'Form responses 1'!$B$2:$B$2604,'Form responses 1'!$C$2:$C$2604,""))</f>
        <v/>
      </c>
      <c r="F2311" s="44" t="str">
        <f t="array" ref="F2311">IF(B2311="","",_xlfn.XLOOKUP(B2311,'Form responses 1'!$B$2:$B$2604,'Form responses 1'!$D$2:$D$2604,""))</f>
        <v/>
      </c>
      <c r="G2311" s="44" t="str">
        <f t="array" ref="G2311">IF(B2311="","",_xlfn.XLOOKUP(B2311,'Form responses 1'!$B$2:$B$2604,'Form responses 1'!$E$2:$E$2604,""))</f>
        <v/>
      </c>
      <c r="H2311" s="44" t="str">
        <f t="array" ref="H2311">IF(B2311="","",_xlfn.XLOOKUP(B2311,'Form responses 1'!$B$2:$B$2604,'Form responses 1'!$F$2:$F$2604,""))</f>
        <v/>
      </c>
      <c r="I2311" s="44" t="str">
        <f t="array" ref="I2311">IF(B2311="","",_xlfn.XLOOKUP(B2311,'Form responses 1'!$B$2:$B$2604,'Form responses 1'!$I$2:$I$2604,""))</f>
        <v/>
      </c>
      <c r="J2311" s="44" t="str">
        <f t="array" ref="J2311">IF(B2311="","",_xlfn.XLOOKUP(B2311,'Form responses 1'!$B$2:$B$2604,'Form responses 1'!$G$2:$G$2604,""))</f>
        <v/>
      </c>
      <c r="K2311" s="56"/>
      <c r="L2311" s="58" t="str">
        <f t="shared" si="7"/>
        <v/>
      </c>
      <c r="M2311" s="49"/>
      <c r="N2311" s="49"/>
      <c r="O2311" s="49"/>
      <c r="P2311" s="49"/>
      <c r="Q2311" s="49"/>
      <c r="R2311" s="49"/>
      <c r="S2311" s="49"/>
      <c r="T2311" s="49"/>
      <c r="U2311" s="49"/>
      <c r="V2311" s="49"/>
      <c r="W2311" s="56"/>
      <c r="X2311" s="51" t="str">
        <f t="shared" si="5"/>
        <v/>
      </c>
      <c r="Y2311" s="50" t="s">
        <v>482</v>
      </c>
      <c r="Z2311" s="49">
        <f t="shared" si="6"/>
        <v>0</v>
      </c>
    </row>
    <row r="2312" ht="22.5" customHeight="1">
      <c r="B2312" s="57"/>
      <c r="C2312" s="43" t="str">
        <f t="array" ref="C2312">IF(B2312="","",_xlfn.XLOOKUP(B2312,'Form responses 1'!$B$2:$B$2604,'Form responses 1'!$A$2:$A$2604,""))</f>
        <v/>
      </c>
      <c r="D2312" s="44" t="str">
        <f t="shared" si="3"/>
        <v/>
      </c>
      <c r="E2312" s="44" t="str">
        <f t="array" ref="E2312">IF(B2312="","",_xlfn.XLOOKUP(B2312,'Form responses 1'!$B$2:$B$2604,'Form responses 1'!$C$2:$C$2604,""))</f>
        <v/>
      </c>
      <c r="F2312" s="44" t="str">
        <f t="array" ref="F2312">IF(B2312="","",_xlfn.XLOOKUP(B2312,'Form responses 1'!$B$2:$B$2604,'Form responses 1'!$D$2:$D$2604,""))</f>
        <v/>
      </c>
      <c r="G2312" s="44" t="str">
        <f t="array" ref="G2312">IF(B2312="","",_xlfn.XLOOKUP(B2312,'Form responses 1'!$B$2:$B$2604,'Form responses 1'!$E$2:$E$2604,""))</f>
        <v/>
      </c>
      <c r="H2312" s="44" t="str">
        <f t="array" ref="H2312">IF(B2312="","",_xlfn.XLOOKUP(B2312,'Form responses 1'!$B$2:$B$2604,'Form responses 1'!$F$2:$F$2604,""))</f>
        <v/>
      </c>
      <c r="I2312" s="44" t="str">
        <f t="array" ref="I2312">IF(B2312="","",_xlfn.XLOOKUP(B2312,'Form responses 1'!$B$2:$B$2604,'Form responses 1'!$I$2:$I$2604,""))</f>
        <v/>
      </c>
      <c r="J2312" s="44" t="str">
        <f t="array" ref="J2312">IF(B2312="","",_xlfn.XLOOKUP(B2312,'Form responses 1'!$B$2:$B$2604,'Form responses 1'!$G$2:$G$2604,""))</f>
        <v/>
      </c>
      <c r="K2312" s="56"/>
      <c r="L2312" s="58" t="str">
        <f t="shared" si="7"/>
        <v/>
      </c>
      <c r="M2312" s="49"/>
      <c r="N2312" s="49"/>
      <c r="O2312" s="49"/>
      <c r="P2312" s="49"/>
      <c r="Q2312" s="49"/>
      <c r="R2312" s="49"/>
      <c r="S2312" s="49"/>
      <c r="T2312" s="49"/>
      <c r="U2312" s="49"/>
      <c r="V2312" s="49"/>
      <c r="W2312" s="56"/>
      <c r="X2312" s="51" t="str">
        <f t="shared" si="5"/>
        <v/>
      </c>
      <c r="Y2312" s="50" t="s">
        <v>482</v>
      </c>
      <c r="Z2312" s="49">
        <f t="shared" si="6"/>
        <v>0</v>
      </c>
    </row>
    <row r="2313" ht="22.5" customHeight="1">
      <c r="B2313" s="57"/>
      <c r="C2313" s="43" t="str">
        <f t="array" ref="C2313">IF(B2313="","",_xlfn.XLOOKUP(B2313,'Form responses 1'!$B$2:$B$2604,'Form responses 1'!$A$2:$A$2604,""))</f>
        <v/>
      </c>
      <c r="D2313" s="44" t="str">
        <f t="shared" si="3"/>
        <v/>
      </c>
      <c r="E2313" s="44" t="str">
        <f t="array" ref="E2313">IF(B2313="","",_xlfn.XLOOKUP(B2313,'Form responses 1'!$B$2:$B$2604,'Form responses 1'!$C$2:$C$2604,""))</f>
        <v/>
      </c>
      <c r="F2313" s="44" t="str">
        <f t="array" ref="F2313">IF(B2313="","",_xlfn.XLOOKUP(B2313,'Form responses 1'!$B$2:$B$2604,'Form responses 1'!$D$2:$D$2604,""))</f>
        <v/>
      </c>
      <c r="G2313" s="44" t="str">
        <f t="array" ref="G2313">IF(B2313="","",_xlfn.XLOOKUP(B2313,'Form responses 1'!$B$2:$B$2604,'Form responses 1'!$E$2:$E$2604,""))</f>
        <v/>
      </c>
      <c r="H2313" s="44" t="str">
        <f t="array" ref="H2313">IF(B2313="","",_xlfn.XLOOKUP(B2313,'Form responses 1'!$B$2:$B$2604,'Form responses 1'!$F$2:$F$2604,""))</f>
        <v/>
      </c>
      <c r="I2313" s="44" t="str">
        <f t="array" ref="I2313">IF(B2313="","",_xlfn.XLOOKUP(B2313,'Form responses 1'!$B$2:$B$2604,'Form responses 1'!$I$2:$I$2604,""))</f>
        <v/>
      </c>
      <c r="J2313" s="44" t="str">
        <f t="array" ref="J2313">IF(B2313="","",_xlfn.XLOOKUP(B2313,'Form responses 1'!$B$2:$B$2604,'Form responses 1'!$G$2:$G$2604,""))</f>
        <v/>
      </c>
      <c r="K2313" s="56"/>
      <c r="L2313" s="58" t="str">
        <f t="shared" si="7"/>
        <v/>
      </c>
      <c r="M2313" s="49"/>
      <c r="N2313" s="49"/>
      <c r="O2313" s="49"/>
      <c r="P2313" s="49"/>
      <c r="Q2313" s="49"/>
      <c r="R2313" s="49"/>
      <c r="S2313" s="49"/>
      <c r="T2313" s="49"/>
      <c r="U2313" s="49"/>
      <c r="V2313" s="49"/>
      <c r="W2313" s="56"/>
      <c r="X2313" s="51" t="str">
        <f t="shared" si="5"/>
        <v/>
      </c>
      <c r="Y2313" s="50" t="s">
        <v>482</v>
      </c>
      <c r="Z2313" s="49">
        <f t="shared" si="6"/>
        <v>0</v>
      </c>
    </row>
    <row r="2314" ht="22.5" customHeight="1">
      <c r="B2314" s="57"/>
      <c r="C2314" s="43" t="str">
        <f t="array" ref="C2314">IF(B2314="","",_xlfn.XLOOKUP(B2314,'Form responses 1'!$B$2:$B$2604,'Form responses 1'!$A$2:$A$2604,""))</f>
        <v/>
      </c>
      <c r="D2314" s="44" t="str">
        <f t="shared" si="3"/>
        <v/>
      </c>
      <c r="E2314" s="44" t="str">
        <f t="array" ref="E2314">IF(B2314="","",_xlfn.XLOOKUP(B2314,'Form responses 1'!$B$2:$B$2604,'Form responses 1'!$C$2:$C$2604,""))</f>
        <v/>
      </c>
      <c r="F2314" s="44" t="str">
        <f t="array" ref="F2314">IF(B2314="","",_xlfn.XLOOKUP(B2314,'Form responses 1'!$B$2:$B$2604,'Form responses 1'!$D$2:$D$2604,""))</f>
        <v/>
      </c>
      <c r="G2314" s="44" t="str">
        <f t="array" ref="G2314">IF(B2314="","",_xlfn.XLOOKUP(B2314,'Form responses 1'!$B$2:$B$2604,'Form responses 1'!$E$2:$E$2604,""))</f>
        <v/>
      </c>
      <c r="H2314" s="44" t="str">
        <f t="array" ref="H2314">IF(B2314="","",_xlfn.XLOOKUP(B2314,'Form responses 1'!$B$2:$B$2604,'Form responses 1'!$F$2:$F$2604,""))</f>
        <v/>
      </c>
      <c r="I2314" s="44" t="str">
        <f t="array" ref="I2314">IF(B2314="","",_xlfn.XLOOKUP(B2314,'Form responses 1'!$B$2:$B$2604,'Form responses 1'!$I$2:$I$2604,""))</f>
        <v/>
      </c>
      <c r="J2314" s="44" t="str">
        <f t="array" ref="J2314">IF(B2314="","",_xlfn.XLOOKUP(B2314,'Form responses 1'!$B$2:$B$2604,'Form responses 1'!$G$2:$G$2604,""))</f>
        <v/>
      </c>
      <c r="K2314" s="56"/>
      <c r="L2314" s="58" t="str">
        <f t="shared" si="7"/>
        <v/>
      </c>
      <c r="M2314" s="49"/>
      <c r="N2314" s="49"/>
      <c r="O2314" s="49"/>
      <c r="P2314" s="49"/>
      <c r="Q2314" s="49"/>
      <c r="R2314" s="49"/>
      <c r="S2314" s="49"/>
      <c r="T2314" s="49"/>
      <c r="U2314" s="49"/>
      <c r="V2314" s="49"/>
      <c r="W2314" s="56"/>
      <c r="X2314" s="51" t="str">
        <f t="shared" si="5"/>
        <v/>
      </c>
      <c r="Y2314" s="50" t="s">
        <v>482</v>
      </c>
      <c r="Z2314" s="49">
        <f t="shared" si="6"/>
        <v>0</v>
      </c>
    </row>
    <row r="2315" ht="22.5" customHeight="1">
      <c r="B2315" s="57"/>
      <c r="C2315" s="43" t="str">
        <f t="array" ref="C2315">IF(B2315="","",_xlfn.XLOOKUP(B2315,'Form responses 1'!$B$2:$B$2604,'Form responses 1'!$A$2:$A$2604,""))</f>
        <v/>
      </c>
      <c r="D2315" s="44" t="str">
        <f t="shared" si="3"/>
        <v/>
      </c>
      <c r="E2315" s="44" t="str">
        <f t="array" ref="E2315">IF(B2315="","",_xlfn.XLOOKUP(B2315,'Form responses 1'!$B$2:$B$2604,'Form responses 1'!$C$2:$C$2604,""))</f>
        <v/>
      </c>
      <c r="F2315" s="44" t="str">
        <f t="array" ref="F2315">IF(B2315="","",_xlfn.XLOOKUP(B2315,'Form responses 1'!$B$2:$B$2604,'Form responses 1'!$D$2:$D$2604,""))</f>
        <v/>
      </c>
      <c r="G2315" s="44" t="str">
        <f t="array" ref="G2315">IF(B2315="","",_xlfn.XLOOKUP(B2315,'Form responses 1'!$B$2:$B$2604,'Form responses 1'!$E$2:$E$2604,""))</f>
        <v/>
      </c>
      <c r="H2315" s="44" t="str">
        <f t="array" ref="H2315">IF(B2315="","",_xlfn.XLOOKUP(B2315,'Form responses 1'!$B$2:$B$2604,'Form responses 1'!$F$2:$F$2604,""))</f>
        <v/>
      </c>
      <c r="I2315" s="44" t="str">
        <f t="array" ref="I2315">IF(B2315="","",_xlfn.XLOOKUP(B2315,'Form responses 1'!$B$2:$B$2604,'Form responses 1'!$I$2:$I$2604,""))</f>
        <v/>
      </c>
      <c r="J2315" s="44" t="str">
        <f t="array" ref="J2315">IF(B2315="","",_xlfn.XLOOKUP(B2315,'Form responses 1'!$B$2:$B$2604,'Form responses 1'!$G$2:$G$2604,""))</f>
        <v/>
      </c>
      <c r="K2315" s="56"/>
      <c r="L2315" s="58" t="str">
        <f t="shared" si="7"/>
        <v/>
      </c>
      <c r="M2315" s="49"/>
      <c r="N2315" s="49"/>
      <c r="O2315" s="49"/>
      <c r="P2315" s="49"/>
      <c r="Q2315" s="49"/>
      <c r="R2315" s="49"/>
      <c r="S2315" s="49"/>
      <c r="T2315" s="49"/>
      <c r="U2315" s="49"/>
      <c r="V2315" s="49"/>
      <c r="W2315" s="56"/>
      <c r="X2315" s="51" t="str">
        <f t="shared" si="5"/>
        <v/>
      </c>
      <c r="Y2315" s="50" t="s">
        <v>482</v>
      </c>
      <c r="Z2315" s="49">
        <f t="shared" si="6"/>
        <v>0</v>
      </c>
    </row>
    <row r="2316" ht="22.5" customHeight="1">
      <c r="B2316" s="57"/>
      <c r="C2316" s="43" t="str">
        <f t="array" ref="C2316">IF(B2316="","",_xlfn.XLOOKUP(B2316,'Form responses 1'!$B$2:$B$2604,'Form responses 1'!$A$2:$A$2604,""))</f>
        <v/>
      </c>
      <c r="D2316" s="44" t="str">
        <f t="shared" si="3"/>
        <v/>
      </c>
      <c r="E2316" s="44" t="str">
        <f t="array" ref="E2316">IF(B2316="","",_xlfn.XLOOKUP(B2316,'Form responses 1'!$B$2:$B$2604,'Form responses 1'!$C$2:$C$2604,""))</f>
        <v/>
      </c>
      <c r="F2316" s="44" t="str">
        <f t="array" ref="F2316">IF(B2316="","",_xlfn.XLOOKUP(B2316,'Form responses 1'!$B$2:$B$2604,'Form responses 1'!$D$2:$D$2604,""))</f>
        <v/>
      </c>
      <c r="G2316" s="44" t="str">
        <f t="array" ref="G2316">IF(B2316="","",_xlfn.XLOOKUP(B2316,'Form responses 1'!$B$2:$B$2604,'Form responses 1'!$E$2:$E$2604,""))</f>
        <v/>
      </c>
      <c r="H2316" s="44" t="str">
        <f t="array" ref="H2316">IF(B2316="","",_xlfn.XLOOKUP(B2316,'Form responses 1'!$B$2:$B$2604,'Form responses 1'!$F$2:$F$2604,""))</f>
        <v/>
      </c>
      <c r="I2316" s="44" t="str">
        <f t="array" ref="I2316">IF(B2316="","",_xlfn.XLOOKUP(B2316,'Form responses 1'!$B$2:$B$2604,'Form responses 1'!$I$2:$I$2604,""))</f>
        <v/>
      </c>
      <c r="J2316" s="44" t="str">
        <f t="array" ref="J2316">IF(B2316="","",_xlfn.XLOOKUP(B2316,'Form responses 1'!$B$2:$B$2604,'Form responses 1'!$G$2:$G$2604,""))</f>
        <v/>
      </c>
      <c r="K2316" s="56"/>
      <c r="L2316" s="58" t="str">
        <f t="shared" si="7"/>
        <v/>
      </c>
      <c r="M2316" s="49"/>
      <c r="N2316" s="49"/>
      <c r="O2316" s="49"/>
      <c r="P2316" s="49"/>
      <c r="Q2316" s="49"/>
      <c r="R2316" s="49"/>
      <c r="S2316" s="49"/>
      <c r="T2316" s="49"/>
      <c r="U2316" s="49"/>
      <c r="V2316" s="49"/>
      <c r="W2316" s="56"/>
      <c r="X2316" s="51" t="str">
        <f t="shared" si="5"/>
        <v/>
      </c>
      <c r="Y2316" s="50" t="s">
        <v>482</v>
      </c>
      <c r="Z2316" s="49">
        <f t="shared" si="6"/>
        <v>0</v>
      </c>
    </row>
    <row r="2317" ht="22.5" customHeight="1">
      <c r="B2317" s="57"/>
      <c r="C2317" s="43" t="str">
        <f t="array" ref="C2317">IF(B2317="","",_xlfn.XLOOKUP(B2317,'Form responses 1'!$B$2:$B$2604,'Form responses 1'!$A$2:$A$2604,""))</f>
        <v/>
      </c>
      <c r="D2317" s="44" t="str">
        <f t="shared" si="3"/>
        <v/>
      </c>
      <c r="E2317" s="44" t="str">
        <f t="array" ref="E2317">IF(B2317="","",_xlfn.XLOOKUP(B2317,'Form responses 1'!$B$2:$B$2604,'Form responses 1'!$C$2:$C$2604,""))</f>
        <v/>
      </c>
      <c r="F2317" s="44" t="str">
        <f t="array" ref="F2317">IF(B2317="","",_xlfn.XLOOKUP(B2317,'Form responses 1'!$B$2:$B$2604,'Form responses 1'!$D$2:$D$2604,""))</f>
        <v/>
      </c>
      <c r="G2317" s="44" t="str">
        <f t="array" ref="G2317">IF(B2317="","",_xlfn.XLOOKUP(B2317,'Form responses 1'!$B$2:$B$2604,'Form responses 1'!$E$2:$E$2604,""))</f>
        <v/>
      </c>
      <c r="H2317" s="44" t="str">
        <f t="array" ref="H2317">IF(B2317="","",_xlfn.XLOOKUP(B2317,'Form responses 1'!$B$2:$B$2604,'Form responses 1'!$F$2:$F$2604,""))</f>
        <v/>
      </c>
      <c r="I2317" s="44" t="str">
        <f t="array" ref="I2317">IF(B2317="","",_xlfn.XLOOKUP(B2317,'Form responses 1'!$B$2:$B$2604,'Form responses 1'!$I$2:$I$2604,""))</f>
        <v/>
      </c>
      <c r="J2317" s="44" t="str">
        <f t="array" ref="J2317">IF(B2317="","",_xlfn.XLOOKUP(B2317,'Form responses 1'!$B$2:$B$2604,'Form responses 1'!$G$2:$G$2604,""))</f>
        <v/>
      </c>
      <c r="K2317" s="56"/>
      <c r="L2317" s="58" t="str">
        <f t="shared" si="7"/>
        <v/>
      </c>
      <c r="M2317" s="49"/>
      <c r="N2317" s="49"/>
      <c r="O2317" s="49"/>
      <c r="P2317" s="49"/>
      <c r="Q2317" s="49"/>
      <c r="R2317" s="49"/>
      <c r="S2317" s="49"/>
      <c r="T2317" s="49"/>
      <c r="U2317" s="49"/>
      <c r="V2317" s="49"/>
      <c r="W2317" s="56"/>
      <c r="X2317" s="51" t="str">
        <f t="shared" si="5"/>
        <v/>
      </c>
      <c r="Y2317" s="50" t="s">
        <v>482</v>
      </c>
      <c r="Z2317" s="49">
        <f t="shared" si="6"/>
        <v>0</v>
      </c>
    </row>
    <row r="2318" ht="22.5" customHeight="1">
      <c r="B2318" s="57"/>
      <c r="C2318" s="43" t="str">
        <f t="array" ref="C2318">IF(B2318="","",_xlfn.XLOOKUP(B2318,'Form responses 1'!$B$2:$B$2604,'Form responses 1'!$A$2:$A$2604,""))</f>
        <v/>
      </c>
      <c r="D2318" s="44" t="str">
        <f t="shared" si="3"/>
        <v/>
      </c>
      <c r="E2318" s="44" t="str">
        <f t="array" ref="E2318">IF(B2318="","",_xlfn.XLOOKUP(B2318,'Form responses 1'!$B$2:$B$2604,'Form responses 1'!$C$2:$C$2604,""))</f>
        <v/>
      </c>
      <c r="F2318" s="44" t="str">
        <f t="array" ref="F2318">IF(B2318="","",_xlfn.XLOOKUP(B2318,'Form responses 1'!$B$2:$B$2604,'Form responses 1'!$D$2:$D$2604,""))</f>
        <v/>
      </c>
      <c r="G2318" s="44" t="str">
        <f t="array" ref="G2318">IF(B2318="","",_xlfn.XLOOKUP(B2318,'Form responses 1'!$B$2:$B$2604,'Form responses 1'!$E$2:$E$2604,""))</f>
        <v/>
      </c>
      <c r="H2318" s="44" t="str">
        <f t="array" ref="H2318">IF(B2318="","",_xlfn.XLOOKUP(B2318,'Form responses 1'!$B$2:$B$2604,'Form responses 1'!$F$2:$F$2604,""))</f>
        <v/>
      </c>
      <c r="I2318" s="44" t="str">
        <f t="array" ref="I2318">IF(B2318="","",_xlfn.XLOOKUP(B2318,'Form responses 1'!$B$2:$B$2604,'Form responses 1'!$I$2:$I$2604,""))</f>
        <v/>
      </c>
      <c r="J2318" s="44" t="str">
        <f t="array" ref="J2318">IF(B2318="","",_xlfn.XLOOKUP(B2318,'Form responses 1'!$B$2:$B$2604,'Form responses 1'!$G$2:$G$2604,""))</f>
        <v/>
      </c>
      <c r="K2318" s="56"/>
      <c r="L2318" s="58" t="str">
        <f t="shared" si="7"/>
        <v/>
      </c>
      <c r="M2318" s="49"/>
      <c r="N2318" s="49"/>
      <c r="O2318" s="49"/>
      <c r="P2318" s="49"/>
      <c r="Q2318" s="49"/>
      <c r="R2318" s="49"/>
      <c r="S2318" s="49"/>
      <c r="T2318" s="49"/>
      <c r="U2318" s="49"/>
      <c r="V2318" s="49"/>
      <c r="W2318" s="56"/>
      <c r="X2318" s="51" t="str">
        <f t="shared" si="5"/>
        <v/>
      </c>
      <c r="Y2318" s="50" t="s">
        <v>482</v>
      </c>
      <c r="Z2318" s="49">
        <f t="shared" si="6"/>
        <v>0</v>
      </c>
    </row>
    <row r="2319" ht="22.5" customHeight="1">
      <c r="B2319" s="57"/>
      <c r="C2319" s="43" t="str">
        <f t="array" ref="C2319">IF(B2319="","",_xlfn.XLOOKUP(B2319,'Form responses 1'!$B$2:$B$2604,'Form responses 1'!$A$2:$A$2604,""))</f>
        <v/>
      </c>
      <c r="D2319" s="44" t="str">
        <f t="shared" si="3"/>
        <v/>
      </c>
      <c r="E2319" s="44" t="str">
        <f t="array" ref="E2319">IF(B2319="","",_xlfn.XLOOKUP(B2319,'Form responses 1'!$B$2:$B$2604,'Form responses 1'!$C$2:$C$2604,""))</f>
        <v/>
      </c>
      <c r="F2319" s="44" t="str">
        <f t="array" ref="F2319">IF(B2319="","",_xlfn.XLOOKUP(B2319,'Form responses 1'!$B$2:$B$2604,'Form responses 1'!$D$2:$D$2604,""))</f>
        <v/>
      </c>
      <c r="G2319" s="44" t="str">
        <f t="array" ref="G2319">IF(B2319="","",_xlfn.XLOOKUP(B2319,'Form responses 1'!$B$2:$B$2604,'Form responses 1'!$E$2:$E$2604,""))</f>
        <v/>
      </c>
      <c r="H2319" s="44" t="str">
        <f t="array" ref="H2319">IF(B2319="","",_xlfn.XLOOKUP(B2319,'Form responses 1'!$B$2:$B$2604,'Form responses 1'!$F$2:$F$2604,""))</f>
        <v/>
      </c>
      <c r="I2319" s="44" t="str">
        <f t="array" ref="I2319">IF(B2319="","",_xlfn.XLOOKUP(B2319,'Form responses 1'!$B$2:$B$2604,'Form responses 1'!$I$2:$I$2604,""))</f>
        <v/>
      </c>
      <c r="J2319" s="44" t="str">
        <f t="array" ref="J2319">IF(B2319="","",_xlfn.XLOOKUP(B2319,'Form responses 1'!$B$2:$B$2604,'Form responses 1'!$G$2:$G$2604,""))</f>
        <v/>
      </c>
      <c r="K2319" s="56"/>
      <c r="L2319" s="58" t="str">
        <f t="shared" si="7"/>
        <v/>
      </c>
      <c r="M2319" s="49"/>
      <c r="N2319" s="49"/>
      <c r="O2319" s="49"/>
      <c r="P2319" s="49"/>
      <c r="Q2319" s="49"/>
      <c r="R2319" s="49"/>
      <c r="S2319" s="49"/>
      <c r="T2319" s="49"/>
      <c r="U2319" s="49"/>
      <c r="V2319" s="49"/>
      <c r="W2319" s="56"/>
      <c r="X2319" s="51" t="str">
        <f t="shared" si="5"/>
        <v/>
      </c>
      <c r="Y2319" s="50" t="s">
        <v>482</v>
      </c>
      <c r="Z2319" s="49">
        <f t="shared" si="6"/>
        <v>0</v>
      </c>
    </row>
    <row r="2320" ht="22.5" customHeight="1">
      <c r="B2320" s="57"/>
      <c r="C2320" s="43" t="str">
        <f t="array" ref="C2320">IF(B2320="","",_xlfn.XLOOKUP(B2320,'Form responses 1'!$B$2:$B$2604,'Form responses 1'!$A$2:$A$2604,""))</f>
        <v/>
      </c>
      <c r="D2320" s="44" t="str">
        <f t="shared" si="3"/>
        <v/>
      </c>
      <c r="E2320" s="44" t="str">
        <f t="array" ref="E2320">IF(B2320="","",_xlfn.XLOOKUP(B2320,'Form responses 1'!$B$2:$B$2604,'Form responses 1'!$C$2:$C$2604,""))</f>
        <v/>
      </c>
      <c r="F2320" s="44" t="str">
        <f t="array" ref="F2320">IF(B2320="","",_xlfn.XLOOKUP(B2320,'Form responses 1'!$B$2:$B$2604,'Form responses 1'!$D$2:$D$2604,""))</f>
        <v/>
      </c>
      <c r="G2320" s="44" t="str">
        <f t="array" ref="G2320">IF(B2320="","",_xlfn.XLOOKUP(B2320,'Form responses 1'!$B$2:$B$2604,'Form responses 1'!$E$2:$E$2604,""))</f>
        <v/>
      </c>
      <c r="H2320" s="44" t="str">
        <f t="array" ref="H2320">IF(B2320="","",_xlfn.XLOOKUP(B2320,'Form responses 1'!$B$2:$B$2604,'Form responses 1'!$F$2:$F$2604,""))</f>
        <v/>
      </c>
      <c r="I2320" s="44" t="str">
        <f t="array" ref="I2320">IF(B2320="","",_xlfn.XLOOKUP(B2320,'Form responses 1'!$B$2:$B$2604,'Form responses 1'!$I$2:$I$2604,""))</f>
        <v/>
      </c>
      <c r="J2320" s="44" t="str">
        <f t="array" ref="J2320">IF(B2320="","",_xlfn.XLOOKUP(B2320,'Form responses 1'!$B$2:$B$2604,'Form responses 1'!$G$2:$G$2604,""))</f>
        <v/>
      </c>
      <c r="K2320" s="56"/>
      <c r="L2320" s="58" t="str">
        <f t="shared" si="7"/>
        <v/>
      </c>
      <c r="M2320" s="49"/>
      <c r="N2320" s="49"/>
      <c r="O2320" s="49"/>
      <c r="P2320" s="49"/>
      <c r="Q2320" s="49"/>
      <c r="R2320" s="49"/>
      <c r="S2320" s="49"/>
      <c r="T2320" s="49"/>
      <c r="U2320" s="49"/>
      <c r="V2320" s="49"/>
      <c r="W2320" s="56"/>
      <c r="X2320" s="51" t="str">
        <f t="shared" si="5"/>
        <v/>
      </c>
      <c r="Y2320" s="50" t="s">
        <v>482</v>
      </c>
      <c r="Z2320" s="49">
        <f t="shared" si="6"/>
        <v>0</v>
      </c>
    </row>
    <row r="2321" ht="22.5" customHeight="1">
      <c r="B2321" s="57"/>
      <c r="C2321" s="43" t="str">
        <f t="array" ref="C2321">IF(B2321="","",_xlfn.XLOOKUP(B2321,'Form responses 1'!$B$2:$B$2604,'Form responses 1'!$A$2:$A$2604,""))</f>
        <v/>
      </c>
      <c r="D2321" s="44" t="str">
        <f t="shared" si="3"/>
        <v/>
      </c>
      <c r="E2321" s="44" t="str">
        <f t="array" ref="E2321">IF(B2321="","",_xlfn.XLOOKUP(B2321,'Form responses 1'!$B$2:$B$2604,'Form responses 1'!$C$2:$C$2604,""))</f>
        <v/>
      </c>
      <c r="F2321" s="44" t="str">
        <f t="array" ref="F2321">IF(B2321="","",_xlfn.XLOOKUP(B2321,'Form responses 1'!$B$2:$B$2604,'Form responses 1'!$D$2:$D$2604,""))</f>
        <v/>
      </c>
      <c r="G2321" s="44" t="str">
        <f t="array" ref="G2321">IF(B2321="","",_xlfn.XLOOKUP(B2321,'Form responses 1'!$B$2:$B$2604,'Form responses 1'!$E$2:$E$2604,""))</f>
        <v/>
      </c>
      <c r="H2321" s="44" t="str">
        <f t="array" ref="H2321">IF(B2321="","",_xlfn.XLOOKUP(B2321,'Form responses 1'!$B$2:$B$2604,'Form responses 1'!$F$2:$F$2604,""))</f>
        <v/>
      </c>
      <c r="I2321" s="44" t="str">
        <f t="array" ref="I2321">IF(B2321="","",_xlfn.XLOOKUP(B2321,'Form responses 1'!$B$2:$B$2604,'Form responses 1'!$I$2:$I$2604,""))</f>
        <v/>
      </c>
      <c r="J2321" s="44" t="str">
        <f t="array" ref="J2321">IF(B2321="","",_xlfn.XLOOKUP(B2321,'Form responses 1'!$B$2:$B$2604,'Form responses 1'!$G$2:$G$2604,""))</f>
        <v/>
      </c>
      <c r="K2321" s="56"/>
      <c r="L2321" s="58" t="str">
        <f t="shared" si="7"/>
        <v/>
      </c>
      <c r="M2321" s="49"/>
      <c r="N2321" s="49"/>
      <c r="O2321" s="49"/>
      <c r="P2321" s="49"/>
      <c r="Q2321" s="49"/>
      <c r="R2321" s="49"/>
      <c r="S2321" s="49"/>
      <c r="T2321" s="49"/>
      <c r="U2321" s="49"/>
      <c r="V2321" s="49"/>
      <c r="W2321" s="56"/>
      <c r="X2321" s="51" t="str">
        <f t="shared" si="5"/>
        <v/>
      </c>
      <c r="Y2321" s="50" t="s">
        <v>482</v>
      </c>
      <c r="Z2321" s="49">
        <f t="shared" si="6"/>
        <v>0</v>
      </c>
    </row>
    <row r="2322" ht="22.5" customHeight="1">
      <c r="B2322" s="57"/>
      <c r="C2322" s="43" t="str">
        <f t="array" ref="C2322">IF(B2322="","",_xlfn.XLOOKUP(B2322,'Form responses 1'!$B$2:$B$2604,'Form responses 1'!$A$2:$A$2604,""))</f>
        <v/>
      </c>
      <c r="D2322" s="44" t="str">
        <f t="shared" si="3"/>
        <v/>
      </c>
      <c r="E2322" s="44" t="str">
        <f t="array" ref="E2322">IF(B2322="","",_xlfn.XLOOKUP(B2322,'Form responses 1'!$B$2:$B$2604,'Form responses 1'!$C$2:$C$2604,""))</f>
        <v/>
      </c>
      <c r="F2322" s="44" t="str">
        <f t="array" ref="F2322">IF(B2322="","",_xlfn.XLOOKUP(B2322,'Form responses 1'!$B$2:$B$2604,'Form responses 1'!$D$2:$D$2604,""))</f>
        <v/>
      </c>
      <c r="G2322" s="44" t="str">
        <f t="array" ref="G2322">IF(B2322="","",_xlfn.XLOOKUP(B2322,'Form responses 1'!$B$2:$B$2604,'Form responses 1'!$E$2:$E$2604,""))</f>
        <v/>
      </c>
      <c r="H2322" s="44" t="str">
        <f t="array" ref="H2322">IF(B2322="","",_xlfn.XLOOKUP(B2322,'Form responses 1'!$B$2:$B$2604,'Form responses 1'!$F$2:$F$2604,""))</f>
        <v/>
      </c>
      <c r="I2322" s="44" t="str">
        <f t="array" ref="I2322">IF(B2322="","",_xlfn.XLOOKUP(B2322,'Form responses 1'!$B$2:$B$2604,'Form responses 1'!$I$2:$I$2604,""))</f>
        <v/>
      </c>
      <c r="J2322" s="44" t="str">
        <f t="array" ref="J2322">IF(B2322="","",_xlfn.XLOOKUP(B2322,'Form responses 1'!$B$2:$B$2604,'Form responses 1'!$G$2:$G$2604,""))</f>
        <v/>
      </c>
      <c r="K2322" s="56"/>
      <c r="L2322" s="58" t="str">
        <f t="shared" si="7"/>
        <v/>
      </c>
      <c r="M2322" s="49"/>
      <c r="N2322" s="49"/>
      <c r="O2322" s="49"/>
      <c r="P2322" s="49"/>
      <c r="Q2322" s="49"/>
      <c r="R2322" s="49"/>
      <c r="S2322" s="49"/>
      <c r="T2322" s="49"/>
      <c r="U2322" s="49"/>
      <c r="V2322" s="49"/>
      <c r="W2322" s="56"/>
      <c r="X2322" s="51" t="str">
        <f t="shared" si="5"/>
        <v/>
      </c>
      <c r="Y2322" s="50" t="s">
        <v>482</v>
      </c>
      <c r="Z2322" s="49">
        <f t="shared" si="6"/>
        <v>0</v>
      </c>
    </row>
    <row r="2323" ht="22.5" customHeight="1">
      <c r="B2323" s="57"/>
      <c r="C2323" s="43" t="str">
        <f t="array" ref="C2323">IF(B2323="","",_xlfn.XLOOKUP(B2323,'Form responses 1'!$B$2:$B$2604,'Form responses 1'!$A$2:$A$2604,""))</f>
        <v/>
      </c>
      <c r="D2323" s="44" t="str">
        <f t="shared" si="3"/>
        <v/>
      </c>
      <c r="E2323" s="44" t="str">
        <f t="array" ref="E2323">IF(B2323="","",_xlfn.XLOOKUP(B2323,'Form responses 1'!$B$2:$B$2604,'Form responses 1'!$C$2:$C$2604,""))</f>
        <v/>
      </c>
      <c r="F2323" s="44" t="str">
        <f t="array" ref="F2323">IF(B2323="","",_xlfn.XLOOKUP(B2323,'Form responses 1'!$B$2:$B$2604,'Form responses 1'!$D$2:$D$2604,""))</f>
        <v/>
      </c>
      <c r="G2323" s="44" t="str">
        <f t="array" ref="G2323">IF(B2323="","",_xlfn.XLOOKUP(B2323,'Form responses 1'!$B$2:$B$2604,'Form responses 1'!$E$2:$E$2604,""))</f>
        <v/>
      </c>
      <c r="H2323" s="44" t="str">
        <f t="array" ref="H2323">IF(B2323="","",_xlfn.XLOOKUP(B2323,'Form responses 1'!$B$2:$B$2604,'Form responses 1'!$F$2:$F$2604,""))</f>
        <v/>
      </c>
      <c r="I2323" s="44" t="str">
        <f t="array" ref="I2323">IF(B2323="","",_xlfn.XLOOKUP(B2323,'Form responses 1'!$B$2:$B$2604,'Form responses 1'!$I$2:$I$2604,""))</f>
        <v/>
      </c>
      <c r="J2323" s="44" t="str">
        <f t="array" ref="J2323">IF(B2323="","",_xlfn.XLOOKUP(B2323,'Form responses 1'!$B$2:$B$2604,'Form responses 1'!$G$2:$G$2604,""))</f>
        <v/>
      </c>
      <c r="K2323" s="56"/>
      <c r="L2323" s="58" t="str">
        <f t="shared" si="7"/>
        <v/>
      </c>
      <c r="M2323" s="49"/>
      <c r="N2323" s="49"/>
      <c r="O2323" s="49"/>
      <c r="P2323" s="49"/>
      <c r="Q2323" s="49"/>
      <c r="R2323" s="49"/>
      <c r="S2323" s="49"/>
      <c r="T2323" s="49"/>
      <c r="U2323" s="49"/>
      <c r="V2323" s="49"/>
      <c r="W2323" s="56"/>
      <c r="X2323" s="51" t="str">
        <f t="shared" si="5"/>
        <v/>
      </c>
      <c r="Y2323" s="50" t="s">
        <v>482</v>
      </c>
      <c r="Z2323" s="49">
        <f t="shared" si="6"/>
        <v>0</v>
      </c>
    </row>
    <row r="2324" ht="22.5" customHeight="1">
      <c r="B2324" s="57"/>
      <c r="C2324" s="43" t="str">
        <f t="array" ref="C2324">IF(B2324="","",_xlfn.XLOOKUP(B2324,'Form responses 1'!$B$2:$B$2604,'Form responses 1'!$A$2:$A$2604,""))</f>
        <v/>
      </c>
      <c r="D2324" s="44" t="str">
        <f t="shared" si="3"/>
        <v/>
      </c>
      <c r="E2324" s="44" t="str">
        <f t="array" ref="E2324">IF(B2324="","",_xlfn.XLOOKUP(B2324,'Form responses 1'!$B$2:$B$2604,'Form responses 1'!$C$2:$C$2604,""))</f>
        <v/>
      </c>
      <c r="F2324" s="44" t="str">
        <f t="array" ref="F2324">IF(B2324="","",_xlfn.XLOOKUP(B2324,'Form responses 1'!$B$2:$B$2604,'Form responses 1'!$D$2:$D$2604,""))</f>
        <v/>
      </c>
      <c r="G2324" s="44" t="str">
        <f t="array" ref="G2324">IF(B2324="","",_xlfn.XLOOKUP(B2324,'Form responses 1'!$B$2:$B$2604,'Form responses 1'!$E$2:$E$2604,""))</f>
        <v/>
      </c>
      <c r="H2324" s="44" t="str">
        <f t="array" ref="H2324">IF(B2324="","",_xlfn.XLOOKUP(B2324,'Form responses 1'!$B$2:$B$2604,'Form responses 1'!$F$2:$F$2604,""))</f>
        <v/>
      </c>
      <c r="I2324" s="44" t="str">
        <f t="array" ref="I2324">IF(B2324="","",_xlfn.XLOOKUP(B2324,'Form responses 1'!$B$2:$B$2604,'Form responses 1'!$I$2:$I$2604,""))</f>
        <v/>
      </c>
      <c r="J2324" s="44" t="str">
        <f t="array" ref="J2324">IF(B2324="","",_xlfn.XLOOKUP(B2324,'Form responses 1'!$B$2:$B$2604,'Form responses 1'!$G$2:$G$2604,""))</f>
        <v/>
      </c>
      <c r="K2324" s="56"/>
      <c r="L2324" s="58" t="str">
        <f t="shared" si="7"/>
        <v/>
      </c>
      <c r="M2324" s="49"/>
      <c r="N2324" s="49"/>
      <c r="O2324" s="49"/>
      <c r="P2324" s="49"/>
      <c r="Q2324" s="49"/>
      <c r="R2324" s="49"/>
      <c r="S2324" s="49"/>
      <c r="T2324" s="49"/>
      <c r="U2324" s="49"/>
      <c r="V2324" s="49"/>
      <c r="W2324" s="56"/>
      <c r="X2324" s="51" t="str">
        <f t="shared" si="5"/>
        <v/>
      </c>
      <c r="Y2324" s="50" t="s">
        <v>482</v>
      </c>
      <c r="Z2324" s="49">
        <f t="shared" si="6"/>
        <v>0</v>
      </c>
    </row>
    <row r="2325" ht="22.5" customHeight="1">
      <c r="B2325" s="57"/>
      <c r="C2325" s="43" t="str">
        <f t="array" ref="C2325">IF(B2325="","",_xlfn.XLOOKUP(B2325,'Form responses 1'!$B$2:$B$2604,'Form responses 1'!$A$2:$A$2604,""))</f>
        <v/>
      </c>
      <c r="D2325" s="44" t="str">
        <f t="shared" si="3"/>
        <v/>
      </c>
      <c r="E2325" s="44" t="str">
        <f t="array" ref="E2325">IF(B2325="","",_xlfn.XLOOKUP(B2325,'Form responses 1'!$B$2:$B$2604,'Form responses 1'!$C$2:$C$2604,""))</f>
        <v/>
      </c>
      <c r="F2325" s="44" t="str">
        <f t="array" ref="F2325">IF(B2325="","",_xlfn.XLOOKUP(B2325,'Form responses 1'!$B$2:$B$2604,'Form responses 1'!$D$2:$D$2604,""))</f>
        <v/>
      </c>
      <c r="G2325" s="44" t="str">
        <f t="array" ref="G2325">IF(B2325="","",_xlfn.XLOOKUP(B2325,'Form responses 1'!$B$2:$B$2604,'Form responses 1'!$E$2:$E$2604,""))</f>
        <v/>
      </c>
      <c r="H2325" s="44" t="str">
        <f t="array" ref="H2325">IF(B2325="","",_xlfn.XLOOKUP(B2325,'Form responses 1'!$B$2:$B$2604,'Form responses 1'!$F$2:$F$2604,""))</f>
        <v/>
      </c>
      <c r="I2325" s="44" t="str">
        <f t="array" ref="I2325">IF(B2325="","",_xlfn.XLOOKUP(B2325,'Form responses 1'!$B$2:$B$2604,'Form responses 1'!$I$2:$I$2604,""))</f>
        <v/>
      </c>
      <c r="J2325" s="44" t="str">
        <f t="array" ref="J2325">IF(B2325="","",_xlfn.XLOOKUP(B2325,'Form responses 1'!$B$2:$B$2604,'Form responses 1'!$G$2:$G$2604,""))</f>
        <v/>
      </c>
      <c r="K2325" s="56"/>
      <c r="L2325" s="58" t="str">
        <f t="shared" si="7"/>
        <v/>
      </c>
      <c r="M2325" s="49"/>
      <c r="N2325" s="49"/>
      <c r="O2325" s="49"/>
      <c r="P2325" s="49"/>
      <c r="Q2325" s="49"/>
      <c r="R2325" s="49"/>
      <c r="S2325" s="49"/>
      <c r="T2325" s="49"/>
      <c r="U2325" s="49"/>
      <c r="V2325" s="49"/>
      <c r="W2325" s="56"/>
      <c r="X2325" s="51" t="str">
        <f t="shared" si="5"/>
        <v/>
      </c>
      <c r="Y2325" s="50" t="s">
        <v>482</v>
      </c>
      <c r="Z2325" s="49">
        <f t="shared" si="6"/>
        <v>0</v>
      </c>
    </row>
    <row r="2326" ht="22.5" customHeight="1">
      <c r="B2326" s="57"/>
      <c r="C2326" s="43" t="str">
        <f t="array" ref="C2326">IF(B2326="","",_xlfn.XLOOKUP(B2326,'Form responses 1'!$B$2:$B$2604,'Form responses 1'!$A$2:$A$2604,""))</f>
        <v/>
      </c>
      <c r="D2326" s="44" t="str">
        <f t="shared" si="3"/>
        <v/>
      </c>
      <c r="E2326" s="44" t="str">
        <f t="array" ref="E2326">IF(B2326="","",_xlfn.XLOOKUP(B2326,'Form responses 1'!$B$2:$B$2604,'Form responses 1'!$C$2:$C$2604,""))</f>
        <v/>
      </c>
      <c r="F2326" s="44" t="str">
        <f t="array" ref="F2326">IF(B2326="","",_xlfn.XLOOKUP(B2326,'Form responses 1'!$B$2:$B$2604,'Form responses 1'!$D$2:$D$2604,""))</f>
        <v/>
      </c>
      <c r="G2326" s="44" t="str">
        <f t="array" ref="G2326">IF(B2326="","",_xlfn.XLOOKUP(B2326,'Form responses 1'!$B$2:$B$2604,'Form responses 1'!$E$2:$E$2604,""))</f>
        <v/>
      </c>
      <c r="H2326" s="44" t="str">
        <f t="array" ref="H2326">IF(B2326="","",_xlfn.XLOOKUP(B2326,'Form responses 1'!$B$2:$B$2604,'Form responses 1'!$F$2:$F$2604,""))</f>
        <v/>
      </c>
      <c r="I2326" s="44" t="str">
        <f t="array" ref="I2326">IF(B2326="","",_xlfn.XLOOKUP(B2326,'Form responses 1'!$B$2:$B$2604,'Form responses 1'!$I$2:$I$2604,""))</f>
        <v/>
      </c>
      <c r="J2326" s="44" t="str">
        <f t="array" ref="J2326">IF(B2326="","",_xlfn.XLOOKUP(B2326,'Form responses 1'!$B$2:$B$2604,'Form responses 1'!$G$2:$G$2604,""))</f>
        <v/>
      </c>
      <c r="K2326" s="56"/>
      <c r="L2326" s="58" t="str">
        <f t="shared" si="7"/>
        <v/>
      </c>
      <c r="M2326" s="49"/>
      <c r="N2326" s="49"/>
      <c r="O2326" s="49"/>
      <c r="P2326" s="49"/>
      <c r="Q2326" s="49"/>
      <c r="R2326" s="49"/>
      <c r="S2326" s="49"/>
      <c r="T2326" s="49"/>
      <c r="U2326" s="49"/>
      <c r="V2326" s="49"/>
      <c r="W2326" s="56"/>
      <c r="X2326" s="51" t="str">
        <f t="shared" si="5"/>
        <v/>
      </c>
      <c r="Y2326" s="50" t="s">
        <v>482</v>
      </c>
      <c r="Z2326" s="49">
        <f t="shared" si="6"/>
        <v>0</v>
      </c>
    </row>
    <row r="2327" ht="22.5" customHeight="1">
      <c r="B2327" s="57"/>
      <c r="C2327" s="43" t="str">
        <f t="array" ref="C2327">IF(B2327="","",_xlfn.XLOOKUP(B2327,'Form responses 1'!$B$2:$B$2604,'Form responses 1'!$A$2:$A$2604,""))</f>
        <v/>
      </c>
      <c r="D2327" s="44" t="str">
        <f t="shared" si="3"/>
        <v/>
      </c>
      <c r="E2327" s="44" t="str">
        <f t="array" ref="E2327">IF(B2327="","",_xlfn.XLOOKUP(B2327,'Form responses 1'!$B$2:$B$2604,'Form responses 1'!$C$2:$C$2604,""))</f>
        <v/>
      </c>
      <c r="F2327" s="44" t="str">
        <f t="array" ref="F2327">IF(B2327="","",_xlfn.XLOOKUP(B2327,'Form responses 1'!$B$2:$B$2604,'Form responses 1'!$D$2:$D$2604,""))</f>
        <v/>
      </c>
      <c r="G2327" s="44" t="str">
        <f t="array" ref="G2327">IF(B2327="","",_xlfn.XLOOKUP(B2327,'Form responses 1'!$B$2:$B$2604,'Form responses 1'!$E$2:$E$2604,""))</f>
        <v/>
      </c>
      <c r="H2327" s="44" t="str">
        <f t="array" ref="H2327">IF(B2327="","",_xlfn.XLOOKUP(B2327,'Form responses 1'!$B$2:$B$2604,'Form responses 1'!$F$2:$F$2604,""))</f>
        <v/>
      </c>
      <c r="I2327" s="44" t="str">
        <f t="array" ref="I2327">IF(B2327="","",_xlfn.XLOOKUP(B2327,'Form responses 1'!$B$2:$B$2604,'Form responses 1'!$I$2:$I$2604,""))</f>
        <v/>
      </c>
      <c r="J2327" s="44" t="str">
        <f t="array" ref="J2327">IF(B2327="","",_xlfn.XLOOKUP(B2327,'Form responses 1'!$B$2:$B$2604,'Form responses 1'!$G$2:$G$2604,""))</f>
        <v/>
      </c>
      <c r="K2327" s="56"/>
      <c r="L2327" s="58" t="str">
        <f t="shared" si="7"/>
        <v/>
      </c>
      <c r="M2327" s="49"/>
      <c r="N2327" s="49"/>
      <c r="O2327" s="49"/>
      <c r="P2327" s="49"/>
      <c r="Q2327" s="49"/>
      <c r="R2327" s="49"/>
      <c r="S2327" s="49"/>
      <c r="T2327" s="49"/>
      <c r="U2327" s="49"/>
      <c r="V2327" s="49"/>
      <c r="W2327" s="56"/>
      <c r="X2327" s="51" t="str">
        <f t="shared" si="5"/>
        <v/>
      </c>
      <c r="Y2327" s="50" t="s">
        <v>482</v>
      </c>
      <c r="Z2327" s="49">
        <f t="shared" si="6"/>
        <v>0</v>
      </c>
    </row>
    <row r="2328" ht="22.5" customHeight="1">
      <c r="B2328" s="57"/>
      <c r="C2328" s="43" t="str">
        <f t="array" ref="C2328">IF(B2328="","",_xlfn.XLOOKUP(B2328,'Form responses 1'!$B$2:$B$2604,'Form responses 1'!$A$2:$A$2604,""))</f>
        <v/>
      </c>
      <c r="D2328" s="44" t="str">
        <f t="shared" si="3"/>
        <v/>
      </c>
      <c r="E2328" s="44" t="str">
        <f t="array" ref="E2328">IF(B2328="","",_xlfn.XLOOKUP(B2328,'Form responses 1'!$B$2:$B$2604,'Form responses 1'!$C$2:$C$2604,""))</f>
        <v/>
      </c>
      <c r="F2328" s="44" t="str">
        <f t="array" ref="F2328">IF(B2328="","",_xlfn.XLOOKUP(B2328,'Form responses 1'!$B$2:$B$2604,'Form responses 1'!$D$2:$D$2604,""))</f>
        <v/>
      </c>
      <c r="G2328" s="44" t="str">
        <f t="array" ref="G2328">IF(B2328="","",_xlfn.XLOOKUP(B2328,'Form responses 1'!$B$2:$B$2604,'Form responses 1'!$E$2:$E$2604,""))</f>
        <v/>
      </c>
      <c r="H2328" s="44" t="str">
        <f t="array" ref="H2328">IF(B2328="","",_xlfn.XLOOKUP(B2328,'Form responses 1'!$B$2:$B$2604,'Form responses 1'!$F$2:$F$2604,""))</f>
        <v/>
      </c>
      <c r="I2328" s="44" t="str">
        <f t="array" ref="I2328">IF(B2328="","",_xlfn.XLOOKUP(B2328,'Form responses 1'!$B$2:$B$2604,'Form responses 1'!$I$2:$I$2604,""))</f>
        <v/>
      </c>
      <c r="J2328" s="44" t="str">
        <f t="array" ref="J2328">IF(B2328="","",_xlfn.XLOOKUP(B2328,'Form responses 1'!$B$2:$B$2604,'Form responses 1'!$G$2:$G$2604,""))</f>
        <v/>
      </c>
      <c r="K2328" s="56"/>
      <c r="L2328" s="58" t="str">
        <f t="shared" si="7"/>
        <v/>
      </c>
      <c r="M2328" s="49"/>
      <c r="N2328" s="49"/>
      <c r="O2328" s="49"/>
      <c r="P2328" s="49"/>
      <c r="Q2328" s="49"/>
      <c r="R2328" s="49"/>
      <c r="S2328" s="49"/>
      <c r="T2328" s="49"/>
      <c r="U2328" s="49"/>
      <c r="V2328" s="49"/>
      <c r="W2328" s="56"/>
      <c r="X2328" s="51" t="str">
        <f t="shared" si="5"/>
        <v/>
      </c>
      <c r="Y2328" s="50" t="s">
        <v>482</v>
      </c>
      <c r="Z2328" s="49">
        <f t="shared" si="6"/>
        <v>0</v>
      </c>
    </row>
    <row r="2329" ht="22.5" customHeight="1">
      <c r="B2329" s="57"/>
      <c r="C2329" s="43" t="str">
        <f t="array" ref="C2329">IF(B2329="","",_xlfn.XLOOKUP(B2329,'Form responses 1'!$B$2:$B$2604,'Form responses 1'!$A$2:$A$2604,""))</f>
        <v/>
      </c>
      <c r="D2329" s="44" t="str">
        <f t="shared" si="3"/>
        <v/>
      </c>
      <c r="E2329" s="44" t="str">
        <f t="array" ref="E2329">IF(B2329="","",_xlfn.XLOOKUP(B2329,'Form responses 1'!$B$2:$B$2604,'Form responses 1'!$C$2:$C$2604,""))</f>
        <v/>
      </c>
      <c r="F2329" s="44" t="str">
        <f t="array" ref="F2329">IF(B2329="","",_xlfn.XLOOKUP(B2329,'Form responses 1'!$B$2:$B$2604,'Form responses 1'!$D$2:$D$2604,""))</f>
        <v/>
      </c>
      <c r="G2329" s="44" t="str">
        <f t="array" ref="G2329">IF(B2329="","",_xlfn.XLOOKUP(B2329,'Form responses 1'!$B$2:$B$2604,'Form responses 1'!$E$2:$E$2604,""))</f>
        <v/>
      </c>
      <c r="H2329" s="44" t="str">
        <f t="array" ref="H2329">IF(B2329="","",_xlfn.XLOOKUP(B2329,'Form responses 1'!$B$2:$B$2604,'Form responses 1'!$F$2:$F$2604,""))</f>
        <v/>
      </c>
      <c r="I2329" s="44" t="str">
        <f t="array" ref="I2329">IF(B2329="","",_xlfn.XLOOKUP(B2329,'Form responses 1'!$B$2:$B$2604,'Form responses 1'!$I$2:$I$2604,""))</f>
        <v/>
      </c>
      <c r="J2329" s="44" t="str">
        <f t="array" ref="J2329">IF(B2329="","",_xlfn.XLOOKUP(B2329,'Form responses 1'!$B$2:$B$2604,'Form responses 1'!$G$2:$G$2604,""))</f>
        <v/>
      </c>
      <c r="K2329" s="56"/>
      <c r="L2329" s="58" t="str">
        <f t="shared" si="7"/>
        <v/>
      </c>
      <c r="M2329" s="49"/>
      <c r="N2329" s="49"/>
      <c r="O2329" s="49"/>
      <c r="P2329" s="49"/>
      <c r="Q2329" s="49"/>
      <c r="R2329" s="49"/>
      <c r="S2329" s="49"/>
      <c r="T2329" s="49"/>
      <c r="U2329" s="49"/>
      <c r="V2329" s="49"/>
      <c r="W2329" s="56"/>
      <c r="X2329" s="51" t="str">
        <f t="shared" si="5"/>
        <v/>
      </c>
      <c r="Y2329" s="50" t="s">
        <v>482</v>
      </c>
      <c r="Z2329" s="49">
        <f t="shared" si="6"/>
        <v>0</v>
      </c>
    </row>
    <row r="2330" ht="22.5" customHeight="1">
      <c r="B2330" s="57"/>
      <c r="C2330" s="43" t="str">
        <f t="array" ref="C2330">IF(B2330="","",_xlfn.XLOOKUP(B2330,'Form responses 1'!$B$2:$B$2604,'Form responses 1'!$A$2:$A$2604,""))</f>
        <v/>
      </c>
      <c r="D2330" s="44" t="str">
        <f t="shared" si="3"/>
        <v/>
      </c>
      <c r="E2330" s="44" t="str">
        <f t="array" ref="E2330">IF(B2330="","",_xlfn.XLOOKUP(B2330,'Form responses 1'!$B$2:$B$2604,'Form responses 1'!$C$2:$C$2604,""))</f>
        <v/>
      </c>
      <c r="F2330" s="44" t="str">
        <f t="array" ref="F2330">IF(B2330="","",_xlfn.XLOOKUP(B2330,'Form responses 1'!$B$2:$B$2604,'Form responses 1'!$D$2:$D$2604,""))</f>
        <v/>
      </c>
      <c r="G2330" s="44" t="str">
        <f t="array" ref="G2330">IF(B2330="","",_xlfn.XLOOKUP(B2330,'Form responses 1'!$B$2:$B$2604,'Form responses 1'!$E$2:$E$2604,""))</f>
        <v/>
      </c>
      <c r="H2330" s="44" t="str">
        <f t="array" ref="H2330">IF(B2330="","",_xlfn.XLOOKUP(B2330,'Form responses 1'!$B$2:$B$2604,'Form responses 1'!$F$2:$F$2604,""))</f>
        <v/>
      </c>
      <c r="I2330" s="44" t="str">
        <f t="array" ref="I2330">IF(B2330="","",_xlfn.XLOOKUP(B2330,'Form responses 1'!$B$2:$B$2604,'Form responses 1'!$I$2:$I$2604,""))</f>
        <v/>
      </c>
      <c r="J2330" s="44" t="str">
        <f t="array" ref="J2330">IF(B2330="","",_xlfn.XLOOKUP(B2330,'Form responses 1'!$B$2:$B$2604,'Form responses 1'!$G$2:$G$2604,""))</f>
        <v/>
      </c>
      <c r="K2330" s="56"/>
      <c r="L2330" s="58" t="str">
        <f t="shared" si="7"/>
        <v/>
      </c>
      <c r="M2330" s="49"/>
      <c r="N2330" s="49"/>
      <c r="O2330" s="49"/>
      <c r="P2330" s="49"/>
      <c r="Q2330" s="49"/>
      <c r="R2330" s="49"/>
      <c r="S2330" s="49"/>
      <c r="T2330" s="49"/>
      <c r="U2330" s="49"/>
      <c r="V2330" s="49"/>
      <c r="W2330" s="56"/>
      <c r="X2330" s="51" t="str">
        <f t="shared" si="5"/>
        <v/>
      </c>
      <c r="Y2330" s="50" t="s">
        <v>482</v>
      </c>
      <c r="Z2330" s="49">
        <f t="shared" si="6"/>
        <v>0</v>
      </c>
    </row>
    <row r="2331" ht="22.5" customHeight="1">
      <c r="B2331" s="57"/>
      <c r="C2331" s="43" t="str">
        <f t="array" ref="C2331">IF(B2331="","",_xlfn.XLOOKUP(B2331,'Form responses 1'!$B$2:$B$2604,'Form responses 1'!$A$2:$A$2604,""))</f>
        <v/>
      </c>
      <c r="D2331" s="44" t="str">
        <f t="shared" si="3"/>
        <v/>
      </c>
      <c r="E2331" s="44" t="str">
        <f t="array" ref="E2331">IF(B2331="","",_xlfn.XLOOKUP(B2331,'Form responses 1'!$B$2:$B$2604,'Form responses 1'!$C$2:$C$2604,""))</f>
        <v/>
      </c>
      <c r="F2331" s="44" t="str">
        <f t="array" ref="F2331">IF(B2331="","",_xlfn.XLOOKUP(B2331,'Form responses 1'!$B$2:$B$2604,'Form responses 1'!$D$2:$D$2604,""))</f>
        <v/>
      </c>
      <c r="G2331" s="44" t="str">
        <f t="array" ref="G2331">IF(B2331="","",_xlfn.XLOOKUP(B2331,'Form responses 1'!$B$2:$B$2604,'Form responses 1'!$E$2:$E$2604,""))</f>
        <v/>
      </c>
      <c r="H2331" s="44" t="str">
        <f t="array" ref="H2331">IF(B2331="","",_xlfn.XLOOKUP(B2331,'Form responses 1'!$B$2:$B$2604,'Form responses 1'!$F$2:$F$2604,""))</f>
        <v/>
      </c>
      <c r="I2331" s="44" t="str">
        <f t="array" ref="I2331">IF(B2331="","",_xlfn.XLOOKUP(B2331,'Form responses 1'!$B$2:$B$2604,'Form responses 1'!$I$2:$I$2604,""))</f>
        <v/>
      </c>
      <c r="J2331" s="44" t="str">
        <f t="array" ref="J2331">IF(B2331="","",_xlfn.XLOOKUP(B2331,'Form responses 1'!$B$2:$B$2604,'Form responses 1'!$G$2:$G$2604,""))</f>
        <v/>
      </c>
      <c r="K2331" s="56"/>
      <c r="L2331" s="58" t="str">
        <f t="shared" si="7"/>
        <v/>
      </c>
      <c r="M2331" s="49"/>
      <c r="N2331" s="49"/>
      <c r="O2331" s="49"/>
      <c r="P2331" s="49"/>
      <c r="Q2331" s="49"/>
      <c r="R2331" s="49"/>
      <c r="S2331" s="49"/>
      <c r="T2331" s="49"/>
      <c r="U2331" s="49"/>
      <c r="V2331" s="49"/>
      <c r="W2331" s="56"/>
      <c r="X2331" s="51" t="str">
        <f t="shared" si="5"/>
        <v/>
      </c>
      <c r="Y2331" s="50" t="s">
        <v>482</v>
      </c>
      <c r="Z2331" s="49">
        <f t="shared" si="6"/>
        <v>0</v>
      </c>
    </row>
    <row r="2332" ht="22.5" customHeight="1">
      <c r="B2332" s="57"/>
      <c r="C2332" s="43" t="str">
        <f t="array" ref="C2332">IF(B2332="","",_xlfn.XLOOKUP(B2332,'Form responses 1'!$B$2:$B$2604,'Form responses 1'!$A$2:$A$2604,""))</f>
        <v/>
      </c>
      <c r="D2332" s="44" t="str">
        <f t="shared" si="3"/>
        <v/>
      </c>
      <c r="E2332" s="44" t="str">
        <f t="array" ref="E2332">IF(B2332="","",_xlfn.XLOOKUP(B2332,'Form responses 1'!$B$2:$B$2604,'Form responses 1'!$C$2:$C$2604,""))</f>
        <v/>
      </c>
      <c r="F2332" s="44" t="str">
        <f t="array" ref="F2332">IF(B2332="","",_xlfn.XLOOKUP(B2332,'Form responses 1'!$B$2:$B$2604,'Form responses 1'!$D$2:$D$2604,""))</f>
        <v/>
      </c>
      <c r="G2332" s="44" t="str">
        <f t="array" ref="G2332">IF(B2332="","",_xlfn.XLOOKUP(B2332,'Form responses 1'!$B$2:$B$2604,'Form responses 1'!$E$2:$E$2604,""))</f>
        <v/>
      </c>
      <c r="H2332" s="44" t="str">
        <f t="array" ref="H2332">IF(B2332="","",_xlfn.XLOOKUP(B2332,'Form responses 1'!$B$2:$B$2604,'Form responses 1'!$F$2:$F$2604,""))</f>
        <v/>
      </c>
      <c r="I2332" s="44" t="str">
        <f t="array" ref="I2332">IF(B2332="","",_xlfn.XLOOKUP(B2332,'Form responses 1'!$B$2:$B$2604,'Form responses 1'!$I$2:$I$2604,""))</f>
        <v/>
      </c>
      <c r="J2332" s="44" t="str">
        <f t="array" ref="J2332">IF(B2332="","",_xlfn.XLOOKUP(B2332,'Form responses 1'!$B$2:$B$2604,'Form responses 1'!$G$2:$G$2604,""))</f>
        <v/>
      </c>
      <c r="K2332" s="56"/>
      <c r="L2332" s="58" t="str">
        <f t="shared" si="7"/>
        <v/>
      </c>
      <c r="M2332" s="49"/>
      <c r="N2332" s="49"/>
      <c r="O2332" s="49"/>
      <c r="P2332" s="49"/>
      <c r="Q2332" s="49"/>
      <c r="R2332" s="49"/>
      <c r="S2332" s="49"/>
      <c r="T2332" s="49"/>
      <c r="U2332" s="49"/>
      <c r="V2332" s="49"/>
      <c r="W2332" s="56"/>
      <c r="X2332" s="51" t="str">
        <f t="shared" si="5"/>
        <v/>
      </c>
      <c r="Y2332" s="50" t="s">
        <v>482</v>
      </c>
      <c r="Z2332" s="49">
        <f t="shared" si="6"/>
        <v>0</v>
      </c>
    </row>
    <row r="2333" ht="22.5" customHeight="1">
      <c r="B2333" s="57"/>
      <c r="C2333" s="43" t="str">
        <f t="array" ref="C2333">IF(B2333="","",_xlfn.XLOOKUP(B2333,'Form responses 1'!$B$2:$B$2604,'Form responses 1'!$A$2:$A$2604,""))</f>
        <v/>
      </c>
      <c r="D2333" s="44" t="str">
        <f t="shared" si="3"/>
        <v/>
      </c>
      <c r="E2333" s="44" t="str">
        <f t="array" ref="E2333">IF(B2333="","",_xlfn.XLOOKUP(B2333,'Form responses 1'!$B$2:$B$2604,'Form responses 1'!$C$2:$C$2604,""))</f>
        <v/>
      </c>
      <c r="F2333" s="44" t="str">
        <f t="array" ref="F2333">IF(B2333="","",_xlfn.XLOOKUP(B2333,'Form responses 1'!$B$2:$B$2604,'Form responses 1'!$D$2:$D$2604,""))</f>
        <v/>
      </c>
      <c r="G2333" s="44" t="str">
        <f t="array" ref="G2333">IF(B2333="","",_xlfn.XLOOKUP(B2333,'Form responses 1'!$B$2:$B$2604,'Form responses 1'!$E$2:$E$2604,""))</f>
        <v/>
      </c>
      <c r="H2333" s="44" t="str">
        <f t="array" ref="H2333">IF(B2333="","",_xlfn.XLOOKUP(B2333,'Form responses 1'!$B$2:$B$2604,'Form responses 1'!$F$2:$F$2604,""))</f>
        <v/>
      </c>
      <c r="I2333" s="44" t="str">
        <f t="array" ref="I2333">IF(B2333="","",_xlfn.XLOOKUP(B2333,'Form responses 1'!$B$2:$B$2604,'Form responses 1'!$I$2:$I$2604,""))</f>
        <v/>
      </c>
      <c r="J2333" s="44" t="str">
        <f t="array" ref="J2333">IF(B2333="","",_xlfn.XLOOKUP(B2333,'Form responses 1'!$B$2:$B$2604,'Form responses 1'!$G$2:$G$2604,""))</f>
        <v/>
      </c>
      <c r="K2333" s="56"/>
      <c r="L2333" s="58" t="str">
        <f t="shared" si="7"/>
        <v/>
      </c>
      <c r="M2333" s="49"/>
      <c r="N2333" s="49"/>
      <c r="O2333" s="49"/>
      <c r="P2333" s="49"/>
      <c r="Q2333" s="49"/>
      <c r="R2333" s="49"/>
      <c r="S2333" s="49"/>
      <c r="T2333" s="49"/>
      <c r="U2333" s="49"/>
      <c r="V2333" s="49"/>
      <c r="W2333" s="56"/>
      <c r="X2333" s="51" t="str">
        <f t="shared" si="5"/>
        <v/>
      </c>
      <c r="Y2333" s="50" t="s">
        <v>482</v>
      </c>
      <c r="Z2333" s="49">
        <f t="shared" si="6"/>
        <v>0</v>
      </c>
    </row>
    <row r="2334" ht="22.5" customHeight="1">
      <c r="B2334" s="57"/>
      <c r="C2334" s="43" t="str">
        <f t="array" ref="C2334">IF(B2334="","",_xlfn.XLOOKUP(B2334,'Form responses 1'!$B$2:$B$2604,'Form responses 1'!$A$2:$A$2604,""))</f>
        <v/>
      </c>
      <c r="D2334" s="44" t="str">
        <f t="shared" si="3"/>
        <v/>
      </c>
      <c r="E2334" s="44" t="str">
        <f t="array" ref="E2334">IF(B2334="","",_xlfn.XLOOKUP(B2334,'Form responses 1'!$B$2:$B$2604,'Form responses 1'!$C$2:$C$2604,""))</f>
        <v/>
      </c>
      <c r="F2334" s="44" t="str">
        <f t="array" ref="F2334">IF(B2334="","",_xlfn.XLOOKUP(B2334,'Form responses 1'!$B$2:$B$2604,'Form responses 1'!$D$2:$D$2604,""))</f>
        <v/>
      </c>
      <c r="G2334" s="44" t="str">
        <f t="array" ref="G2334">IF(B2334="","",_xlfn.XLOOKUP(B2334,'Form responses 1'!$B$2:$B$2604,'Form responses 1'!$E$2:$E$2604,""))</f>
        <v/>
      </c>
      <c r="H2334" s="44" t="str">
        <f t="array" ref="H2334">IF(B2334="","",_xlfn.XLOOKUP(B2334,'Form responses 1'!$B$2:$B$2604,'Form responses 1'!$F$2:$F$2604,""))</f>
        <v/>
      </c>
      <c r="I2334" s="44" t="str">
        <f t="array" ref="I2334">IF(B2334="","",_xlfn.XLOOKUP(B2334,'Form responses 1'!$B$2:$B$2604,'Form responses 1'!$I$2:$I$2604,""))</f>
        <v/>
      </c>
      <c r="J2334" s="44" t="str">
        <f t="array" ref="J2334">IF(B2334="","",_xlfn.XLOOKUP(B2334,'Form responses 1'!$B$2:$B$2604,'Form responses 1'!$G$2:$G$2604,""))</f>
        <v/>
      </c>
      <c r="K2334" s="56"/>
      <c r="L2334" s="58" t="str">
        <f t="shared" si="7"/>
        <v/>
      </c>
      <c r="M2334" s="49"/>
      <c r="N2334" s="49"/>
      <c r="O2334" s="49"/>
      <c r="P2334" s="49"/>
      <c r="Q2334" s="49"/>
      <c r="R2334" s="49"/>
      <c r="S2334" s="49"/>
      <c r="T2334" s="49"/>
      <c r="U2334" s="49"/>
      <c r="V2334" s="49"/>
      <c r="W2334" s="56"/>
      <c r="X2334" s="51" t="str">
        <f t="shared" si="5"/>
        <v/>
      </c>
      <c r="Y2334" s="50" t="s">
        <v>482</v>
      </c>
      <c r="Z2334" s="49">
        <f t="shared" si="6"/>
        <v>0</v>
      </c>
    </row>
    <row r="2335" ht="22.5" customHeight="1">
      <c r="B2335" s="57"/>
      <c r="C2335" s="43" t="str">
        <f t="array" ref="C2335">IF(B2335="","",_xlfn.XLOOKUP(B2335,'Form responses 1'!$B$2:$B$2604,'Form responses 1'!$A$2:$A$2604,""))</f>
        <v/>
      </c>
      <c r="D2335" s="44" t="str">
        <f t="shared" si="3"/>
        <v/>
      </c>
      <c r="E2335" s="44" t="str">
        <f t="array" ref="E2335">IF(B2335="","",_xlfn.XLOOKUP(B2335,'Form responses 1'!$B$2:$B$2604,'Form responses 1'!$C$2:$C$2604,""))</f>
        <v/>
      </c>
      <c r="F2335" s="44" t="str">
        <f t="array" ref="F2335">IF(B2335="","",_xlfn.XLOOKUP(B2335,'Form responses 1'!$B$2:$B$2604,'Form responses 1'!$D$2:$D$2604,""))</f>
        <v/>
      </c>
      <c r="G2335" s="44" t="str">
        <f t="array" ref="G2335">IF(B2335="","",_xlfn.XLOOKUP(B2335,'Form responses 1'!$B$2:$B$2604,'Form responses 1'!$E$2:$E$2604,""))</f>
        <v/>
      </c>
      <c r="H2335" s="44" t="str">
        <f t="array" ref="H2335">IF(B2335="","",_xlfn.XLOOKUP(B2335,'Form responses 1'!$B$2:$B$2604,'Form responses 1'!$F$2:$F$2604,""))</f>
        <v/>
      </c>
      <c r="I2335" s="44" t="str">
        <f t="array" ref="I2335">IF(B2335="","",_xlfn.XLOOKUP(B2335,'Form responses 1'!$B$2:$B$2604,'Form responses 1'!$I$2:$I$2604,""))</f>
        <v/>
      </c>
      <c r="J2335" s="44" t="str">
        <f t="array" ref="J2335">IF(B2335="","",_xlfn.XLOOKUP(B2335,'Form responses 1'!$B$2:$B$2604,'Form responses 1'!$G$2:$G$2604,""))</f>
        <v/>
      </c>
      <c r="K2335" s="56"/>
      <c r="L2335" s="58" t="str">
        <f t="shared" si="7"/>
        <v/>
      </c>
      <c r="M2335" s="49"/>
      <c r="N2335" s="49"/>
      <c r="O2335" s="49"/>
      <c r="P2335" s="49"/>
      <c r="Q2335" s="49"/>
      <c r="R2335" s="49"/>
      <c r="S2335" s="49"/>
      <c r="T2335" s="49"/>
      <c r="U2335" s="49"/>
      <c r="V2335" s="49"/>
      <c r="W2335" s="56"/>
      <c r="X2335" s="51" t="str">
        <f t="shared" si="5"/>
        <v/>
      </c>
      <c r="Y2335" s="50" t="s">
        <v>482</v>
      </c>
      <c r="Z2335" s="49">
        <f t="shared" si="6"/>
        <v>0</v>
      </c>
    </row>
    <row r="2336" ht="22.5" customHeight="1">
      <c r="B2336" s="57"/>
      <c r="C2336" s="43" t="str">
        <f t="array" ref="C2336">IF(B2336="","",_xlfn.XLOOKUP(B2336,'Form responses 1'!$B$2:$B$2604,'Form responses 1'!$A$2:$A$2604,""))</f>
        <v/>
      </c>
      <c r="D2336" s="44" t="str">
        <f t="shared" si="3"/>
        <v/>
      </c>
      <c r="E2336" s="44" t="str">
        <f t="array" ref="E2336">IF(B2336="","",_xlfn.XLOOKUP(B2336,'Form responses 1'!$B$2:$B$2604,'Form responses 1'!$C$2:$C$2604,""))</f>
        <v/>
      </c>
      <c r="F2336" s="44" t="str">
        <f t="array" ref="F2336">IF(B2336="","",_xlfn.XLOOKUP(B2336,'Form responses 1'!$B$2:$B$2604,'Form responses 1'!$D$2:$D$2604,""))</f>
        <v/>
      </c>
      <c r="G2336" s="44" t="str">
        <f t="array" ref="G2336">IF(B2336="","",_xlfn.XLOOKUP(B2336,'Form responses 1'!$B$2:$B$2604,'Form responses 1'!$E$2:$E$2604,""))</f>
        <v/>
      </c>
      <c r="H2336" s="44" t="str">
        <f t="array" ref="H2336">IF(B2336="","",_xlfn.XLOOKUP(B2336,'Form responses 1'!$B$2:$B$2604,'Form responses 1'!$F$2:$F$2604,""))</f>
        <v/>
      </c>
      <c r="I2336" s="44" t="str">
        <f t="array" ref="I2336">IF(B2336="","",_xlfn.XLOOKUP(B2336,'Form responses 1'!$B$2:$B$2604,'Form responses 1'!$I$2:$I$2604,""))</f>
        <v/>
      </c>
      <c r="J2336" s="44" t="str">
        <f t="array" ref="J2336">IF(B2336="","",_xlfn.XLOOKUP(B2336,'Form responses 1'!$B$2:$B$2604,'Form responses 1'!$G$2:$G$2604,""))</f>
        <v/>
      </c>
      <c r="K2336" s="56"/>
      <c r="L2336" s="58" t="str">
        <f t="shared" si="7"/>
        <v/>
      </c>
      <c r="M2336" s="49"/>
      <c r="N2336" s="49"/>
      <c r="O2336" s="49"/>
      <c r="P2336" s="49"/>
      <c r="Q2336" s="49"/>
      <c r="R2336" s="49"/>
      <c r="S2336" s="49"/>
      <c r="T2336" s="49"/>
      <c r="U2336" s="49"/>
      <c r="V2336" s="49"/>
      <c r="W2336" s="56"/>
      <c r="X2336" s="51" t="str">
        <f t="shared" si="5"/>
        <v/>
      </c>
      <c r="Y2336" s="50" t="s">
        <v>482</v>
      </c>
      <c r="Z2336" s="49">
        <f t="shared" si="6"/>
        <v>0</v>
      </c>
    </row>
    <row r="2337" ht="22.5" customHeight="1">
      <c r="B2337" s="57"/>
      <c r="C2337" s="43" t="str">
        <f t="array" ref="C2337">IF(B2337="","",_xlfn.XLOOKUP(B2337,'Form responses 1'!$B$2:$B$2604,'Form responses 1'!$A$2:$A$2604,""))</f>
        <v/>
      </c>
      <c r="D2337" s="44" t="str">
        <f t="shared" si="3"/>
        <v/>
      </c>
      <c r="E2337" s="44" t="str">
        <f t="array" ref="E2337">IF(B2337="","",_xlfn.XLOOKUP(B2337,'Form responses 1'!$B$2:$B$2604,'Form responses 1'!$C$2:$C$2604,""))</f>
        <v/>
      </c>
      <c r="F2337" s="44" t="str">
        <f t="array" ref="F2337">IF(B2337="","",_xlfn.XLOOKUP(B2337,'Form responses 1'!$B$2:$B$2604,'Form responses 1'!$D$2:$D$2604,""))</f>
        <v/>
      </c>
      <c r="G2337" s="44" t="str">
        <f t="array" ref="G2337">IF(B2337="","",_xlfn.XLOOKUP(B2337,'Form responses 1'!$B$2:$B$2604,'Form responses 1'!$E$2:$E$2604,""))</f>
        <v/>
      </c>
      <c r="H2337" s="44" t="str">
        <f t="array" ref="H2337">IF(B2337="","",_xlfn.XLOOKUP(B2337,'Form responses 1'!$B$2:$B$2604,'Form responses 1'!$F$2:$F$2604,""))</f>
        <v/>
      </c>
      <c r="I2337" s="44" t="str">
        <f t="array" ref="I2337">IF(B2337="","",_xlfn.XLOOKUP(B2337,'Form responses 1'!$B$2:$B$2604,'Form responses 1'!$I$2:$I$2604,""))</f>
        <v/>
      </c>
      <c r="J2337" s="44" t="str">
        <f t="array" ref="J2337">IF(B2337="","",_xlfn.XLOOKUP(B2337,'Form responses 1'!$B$2:$B$2604,'Form responses 1'!$G$2:$G$2604,""))</f>
        <v/>
      </c>
      <c r="K2337" s="56"/>
      <c r="L2337" s="58" t="str">
        <f t="shared" si="7"/>
        <v/>
      </c>
      <c r="M2337" s="49"/>
      <c r="N2337" s="49"/>
      <c r="O2337" s="49"/>
      <c r="P2337" s="49"/>
      <c r="Q2337" s="49"/>
      <c r="R2337" s="49"/>
      <c r="S2337" s="49"/>
      <c r="T2337" s="49"/>
      <c r="U2337" s="49"/>
      <c r="V2337" s="49"/>
      <c r="W2337" s="56"/>
      <c r="X2337" s="51" t="str">
        <f t="shared" si="5"/>
        <v/>
      </c>
      <c r="Y2337" s="50" t="s">
        <v>482</v>
      </c>
      <c r="Z2337" s="49">
        <f t="shared" si="6"/>
        <v>0</v>
      </c>
    </row>
    <row r="2338" ht="22.5" customHeight="1">
      <c r="B2338" s="57"/>
      <c r="C2338" s="43" t="str">
        <f t="array" ref="C2338">IF(B2338="","",_xlfn.XLOOKUP(B2338,'Form responses 1'!$B$2:$B$2604,'Form responses 1'!$A$2:$A$2604,""))</f>
        <v/>
      </c>
      <c r="D2338" s="44" t="str">
        <f t="shared" si="3"/>
        <v/>
      </c>
      <c r="E2338" s="44" t="str">
        <f t="array" ref="E2338">IF(B2338="","",_xlfn.XLOOKUP(B2338,'Form responses 1'!$B$2:$B$2604,'Form responses 1'!$C$2:$C$2604,""))</f>
        <v/>
      </c>
      <c r="F2338" s="44" t="str">
        <f t="array" ref="F2338">IF(B2338="","",_xlfn.XLOOKUP(B2338,'Form responses 1'!$B$2:$B$2604,'Form responses 1'!$D$2:$D$2604,""))</f>
        <v/>
      </c>
      <c r="G2338" s="44" t="str">
        <f t="array" ref="G2338">IF(B2338="","",_xlfn.XLOOKUP(B2338,'Form responses 1'!$B$2:$B$2604,'Form responses 1'!$E$2:$E$2604,""))</f>
        <v/>
      </c>
      <c r="H2338" s="44" t="str">
        <f t="array" ref="H2338">IF(B2338="","",_xlfn.XLOOKUP(B2338,'Form responses 1'!$B$2:$B$2604,'Form responses 1'!$F$2:$F$2604,""))</f>
        <v/>
      </c>
      <c r="I2338" s="44" t="str">
        <f t="array" ref="I2338">IF(B2338="","",_xlfn.XLOOKUP(B2338,'Form responses 1'!$B$2:$B$2604,'Form responses 1'!$I$2:$I$2604,""))</f>
        <v/>
      </c>
      <c r="J2338" s="44" t="str">
        <f t="array" ref="J2338">IF(B2338="","",_xlfn.XLOOKUP(B2338,'Form responses 1'!$B$2:$B$2604,'Form responses 1'!$G$2:$G$2604,""))</f>
        <v/>
      </c>
      <c r="K2338" s="56"/>
      <c r="L2338" s="58" t="str">
        <f t="shared" si="7"/>
        <v/>
      </c>
      <c r="M2338" s="49"/>
      <c r="N2338" s="49"/>
      <c r="O2338" s="49"/>
      <c r="P2338" s="49"/>
      <c r="Q2338" s="49"/>
      <c r="R2338" s="49"/>
      <c r="S2338" s="49"/>
      <c r="T2338" s="49"/>
      <c r="U2338" s="49"/>
      <c r="V2338" s="49"/>
      <c r="W2338" s="56"/>
      <c r="X2338" s="51" t="str">
        <f t="shared" si="5"/>
        <v/>
      </c>
      <c r="Y2338" s="50" t="s">
        <v>482</v>
      </c>
      <c r="Z2338" s="49">
        <f t="shared" si="6"/>
        <v>0</v>
      </c>
    </row>
    <row r="2339" ht="22.5" customHeight="1">
      <c r="B2339" s="57"/>
      <c r="C2339" s="43" t="str">
        <f t="array" ref="C2339">IF(B2339="","",_xlfn.XLOOKUP(B2339,'Form responses 1'!$B$2:$B$2604,'Form responses 1'!$A$2:$A$2604,""))</f>
        <v/>
      </c>
      <c r="D2339" s="44" t="str">
        <f t="shared" si="3"/>
        <v/>
      </c>
      <c r="E2339" s="44" t="str">
        <f t="array" ref="E2339">IF(B2339="","",_xlfn.XLOOKUP(B2339,'Form responses 1'!$B$2:$B$2604,'Form responses 1'!$C$2:$C$2604,""))</f>
        <v/>
      </c>
      <c r="F2339" s="44" t="str">
        <f t="array" ref="F2339">IF(B2339="","",_xlfn.XLOOKUP(B2339,'Form responses 1'!$B$2:$B$2604,'Form responses 1'!$D$2:$D$2604,""))</f>
        <v/>
      </c>
      <c r="G2339" s="44" t="str">
        <f t="array" ref="G2339">IF(B2339="","",_xlfn.XLOOKUP(B2339,'Form responses 1'!$B$2:$B$2604,'Form responses 1'!$E$2:$E$2604,""))</f>
        <v/>
      </c>
      <c r="H2339" s="44" t="str">
        <f t="array" ref="H2339">IF(B2339="","",_xlfn.XLOOKUP(B2339,'Form responses 1'!$B$2:$B$2604,'Form responses 1'!$F$2:$F$2604,""))</f>
        <v/>
      </c>
      <c r="I2339" s="44" t="str">
        <f t="array" ref="I2339">IF(B2339="","",_xlfn.XLOOKUP(B2339,'Form responses 1'!$B$2:$B$2604,'Form responses 1'!$I$2:$I$2604,""))</f>
        <v/>
      </c>
      <c r="J2339" s="44" t="str">
        <f t="array" ref="J2339">IF(B2339="","",_xlfn.XLOOKUP(B2339,'Form responses 1'!$B$2:$B$2604,'Form responses 1'!$G$2:$G$2604,""))</f>
        <v/>
      </c>
      <c r="K2339" s="56"/>
      <c r="L2339" s="58" t="str">
        <f t="shared" si="7"/>
        <v/>
      </c>
      <c r="M2339" s="49"/>
      <c r="N2339" s="49"/>
      <c r="O2339" s="49"/>
      <c r="P2339" s="49"/>
      <c r="Q2339" s="49"/>
      <c r="R2339" s="49"/>
      <c r="S2339" s="49"/>
      <c r="T2339" s="49"/>
      <c r="U2339" s="49"/>
      <c r="V2339" s="49"/>
      <c r="W2339" s="56"/>
      <c r="X2339" s="51" t="str">
        <f t="shared" si="5"/>
        <v/>
      </c>
      <c r="Y2339" s="50" t="s">
        <v>482</v>
      </c>
      <c r="Z2339" s="49">
        <f t="shared" si="6"/>
        <v>0</v>
      </c>
    </row>
    <row r="2340" ht="22.5" customHeight="1">
      <c r="B2340" s="57"/>
      <c r="C2340" s="43" t="str">
        <f t="array" ref="C2340">IF(B2340="","",_xlfn.XLOOKUP(B2340,'Form responses 1'!$B$2:$B$2604,'Form responses 1'!$A$2:$A$2604,""))</f>
        <v/>
      </c>
      <c r="D2340" s="44" t="str">
        <f t="shared" si="3"/>
        <v/>
      </c>
      <c r="E2340" s="44" t="str">
        <f t="array" ref="E2340">IF(B2340="","",_xlfn.XLOOKUP(B2340,'Form responses 1'!$B$2:$B$2604,'Form responses 1'!$C$2:$C$2604,""))</f>
        <v/>
      </c>
      <c r="F2340" s="44" t="str">
        <f t="array" ref="F2340">IF(B2340="","",_xlfn.XLOOKUP(B2340,'Form responses 1'!$B$2:$B$2604,'Form responses 1'!$D$2:$D$2604,""))</f>
        <v/>
      </c>
      <c r="G2340" s="44" t="str">
        <f t="array" ref="G2340">IF(B2340="","",_xlfn.XLOOKUP(B2340,'Form responses 1'!$B$2:$B$2604,'Form responses 1'!$E$2:$E$2604,""))</f>
        <v/>
      </c>
      <c r="H2340" s="44" t="str">
        <f t="array" ref="H2340">IF(B2340="","",_xlfn.XLOOKUP(B2340,'Form responses 1'!$B$2:$B$2604,'Form responses 1'!$F$2:$F$2604,""))</f>
        <v/>
      </c>
      <c r="I2340" s="44" t="str">
        <f t="array" ref="I2340">IF(B2340="","",_xlfn.XLOOKUP(B2340,'Form responses 1'!$B$2:$B$2604,'Form responses 1'!$I$2:$I$2604,""))</f>
        <v/>
      </c>
      <c r="J2340" s="44" t="str">
        <f t="array" ref="J2340">IF(B2340="","",_xlfn.XLOOKUP(B2340,'Form responses 1'!$B$2:$B$2604,'Form responses 1'!$G$2:$G$2604,""))</f>
        <v/>
      </c>
      <c r="K2340" s="56"/>
      <c r="L2340" s="58" t="str">
        <f t="shared" si="7"/>
        <v/>
      </c>
      <c r="M2340" s="49"/>
      <c r="N2340" s="49"/>
      <c r="O2340" s="49"/>
      <c r="P2340" s="49"/>
      <c r="Q2340" s="49"/>
      <c r="R2340" s="49"/>
      <c r="S2340" s="49"/>
      <c r="T2340" s="49"/>
      <c r="U2340" s="49"/>
      <c r="V2340" s="49"/>
      <c r="W2340" s="56"/>
      <c r="X2340" s="51" t="str">
        <f t="shared" si="5"/>
        <v/>
      </c>
      <c r="Y2340" s="50" t="s">
        <v>482</v>
      </c>
      <c r="Z2340" s="49">
        <f t="shared" si="6"/>
        <v>0</v>
      </c>
    </row>
    <row r="2341" ht="22.5" customHeight="1">
      <c r="B2341" s="57"/>
      <c r="C2341" s="43" t="str">
        <f t="array" ref="C2341">IF(B2341="","",_xlfn.XLOOKUP(B2341,'Form responses 1'!$B$2:$B$2604,'Form responses 1'!$A$2:$A$2604,""))</f>
        <v/>
      </c>
      <c r="D2341" s="44" t="str">
        <f t="shared" si="3"/>
        <v/>
      </c>
      <c r="E2341" s="44" t="str">
        <f t="array" ref="E2341">IF(B2341="","",_xlfn.XLOOKUP(B2341,'Form responses 1'!$B$2:$B$2604,'Form responses 1'!$C$2:$C$2604,""))</f>
        <v/>
      </c>
      <c r="F2341" s="44" t="str">
        <f t="array" ref="F2341">IF(B2341="","",_xlfn.XLOOKUP(B2341,'Form responses 1'!$B$2:$B$2604,'Form responses 1'!$D$2:$D$2604,""))</f>
        <v/>
      </c>
      <c r="G2341" s="44" t="str">
        <f t="array" ref="G2341">IF(B2341="","",_xlfn.XLOOKUP(B2341,'Form responses 1'!$B$2:$B$2604,'Form responses 1'!$E$2:$E$2604,""))</f>
        <v/>
      </c>
      <c r="H2341" s="44" t="str">
        <f t="array" ref="H2341">IF(B2341="","",_xlfn.XLOOKUP(B2341,'Form responses 1'!$B$2:$B$2604,'Form responses 1'!$F$2:$F$2604,""))</f>
        <v/>
      </c>
      <c r="I2341" s="44" t="str">
        <f t="array" ref="I2341">IF(B2341="","",_xlfn.XLOOKUP(B2341,'Form responses 1'!$B$2:$B$2604,'Form responses 1'!$I$2:$I$2604,""))</f>
        <v/>
      </c>
      <c r="J2341" s="44" t="str">
        <f t="array" ref="J2341">IF(B2341="","",_xlfn.XLOOKUP(B2341,'Form responses 1'!$B$2:$B$2604,'Form responses 1'!$G$2:$G$2604,""))</f>
        <v/>
      </c>
      <c r="K2341" s="56"/>
      <c r="L2341" s="58" t="str">
        <f t="shared" si="7"/>
        <v/>
      </c>
      <c r="M2341" s="49"/>
      <c r="N2341" s="49"/>
      <c r="O2341" s="49"/>
      <c r="P2341" s="49"/>
      <c r="Q2341" s="49"/>
      <c r="R2341" s="49"/>
      <c r="S2341" s="49"/>
      <c r="T2341" s="49"/>
      <c r="U2341" s="49"/>
      <c r="V2341" s="49"/>
      <c r="W2341" s="56"/>
      <c r="X2341" s="51" t="str">
        <f t="shared" si="5"/>
        <v/>
      </c>
      <c r="Y2341" s="50" t="s">
        <v>482</v>
      </c>
      <c r="Z2341" s="49">
        <f t="shared" si="6"/>
        <v>0</v>
      </c>
    </row>
    <row r="2342" ht="22.5" customHeight="1">
      <c r="B2342" s="57"/>
      <c r="C2342" s="43" t="str">
        <f t="array" ref="C2342">IF(B2342="","",_xlfn.XLOOKUP(B2342,'Form responses 1'!$B$2:$B$2604,'Form responses 1'!$A$2:$A$2604,""))</f>
        <v/>
      </c>
      <c r="D2342" s="44" t="str">
        <f t="shared" si="3"/>
        <v/>
      </c>
      <c r="E2342" s="44" t="str">
        <f t="array" ref="E2342">IF(B2342="","",_xlfn.XLOOKUP(B2342,'Form responses 1'!$B$2:$B$2604,'Form responses 1'!$C$2:$C$2604,""))</f>
        <v/>
      </c>
      <c r="F2342" s="44" t="str">
        <f t="array" ref="F2342">IF(B2342="","",_xlfn.XLOOKUP(B2342,'Form responses 1'!$B$2:$B$2604,'Form responses 1'!$D$2:$D$2604,""))</f>
        <v/>
      </c>
      <c r="G2342" s="44" t="str">
        <f t="array" ref="G2342">IF(B2342="","",_xlfn.XLOOKUP(B2342,'Form responses 1'!$B$2:$B$2604,'Form responses 1'!$E$2:$E$2604,""))</f>
        <v/>
      </c>
      <c r="H2342" s="44" t="str">
        <f t="array" ref="H2342">IF(B2342="","",_xlfn.XLOOKUP(B2342,'Form responses 1'!$B$2:$B$2604,'Form responses 1'!$F$2:$F$2604,""))</f>
        <v/>
      </c>
      <c r="I2342" s="44" t="str">
        <f t="array" ref="I2342">IF(B2342="","",_xlfn.XLOOKUP(B2342,'Form responses 1'!$B$2:$B$2604,'Form responses 1'!$I$2:$I$2604,""))</f>
        <v/>
      </c>
      <c r="J2342" s="44" t="str">
        <f t="array" ref="J2342">IF(B2342="","",_xlfn.XLOOKUP(B2342,'Form responses 1'!$B$2:$B$2604,'Form responses 1'!$G$2:$G$2604,""))</f>
        <v/>
      </c>
      <c r="K2342" s="56"/>
      <c r="L2342" s="58" t="str">
        <f t="shared" si="7"/>
        <v/>
      </c>
      <c r="M2342" s="49"/>
      <c r="N2342" s="49"/>
      <c r="O2342" s="49"/>
      <c r="P2342" s="49"/>
      <c r="Q2342" s="49"/>
      <c r="R2342" s="49"/>
      <c r="S2342" s="49"/>
      <c r="T2342" s="49"/>
      <c r="U2342" s="49"/>
      <c r="V2342" s="49"/>
      <c r="W2342" s="56"/>
      <c r="X2342" s="51" t="str">
        <f t="shared" si="5"/>
        <v/>
      </c>
      <c r="Y2342" s="50" t="s">
        <v>482</v>
      </c>
      <c r="Z2342" s="49">
        <f t="shared" si="6"/>
        <v>0</v>
      </c>
    </row>
    <row r="2343" ht="22.5" customHeight="1">
      <c r="B2343" s="57"/>
      <c r="C2343" s="43" t="str">
        <f t="array" ref="C2343">IF(B2343="","",_xlfn.XLOOKUP(B2343,'Form responses 1'!$B$2:$B$2604,'Form responses 1'!$A$2:$A$2604,""))</f>
        <v/>
      </c>
      <c r="D2343" s="44" t="str">
        <f t="shared" si="3"/>
        <v/>
      </c>
      <c r="E2343" s="44" t="str">
        <f t="array" ref="E2343">IF(B2343="","",_xlfn.XLOOKUP(B2343,'Form responses 1'!$B$2:$B$2604,'Form responses 1'!$C$2:$C$2604,""))</f>
        <v/>
      </c>
      <c r="F2343" s="44" t="str">
        <f t="array" ref="F2343">IF(B2343="","",_xlfn.XLOOKUP(B2343,'Form responses 1'!$B$2:$B$2604,'Form responses 1'!$D$2:$D$2604,""))</f>
        <v/>
      </c>
      <c r="G2343" s="44" t="str">
        <f t="array" ref="G2343">IF(B2343="","",_xlfn.XLOOKUP(B2343,'Form responses 1'!$B$2:$B$2604,'Form responses 1'!$E$2:$E$2604,""))</f>
        <v/>
      </c>
      <c r="H2343" s="44" t="str">
        <f t="array" ref="H2343">IF(B2343="","",_xlfn.XLOOKUP(B2343,'Form responses 1'!$B$2:$B$2604,'Form responses 1'!$F$2:$F$2604,""))</f>
        <v/>
      </c>
      <c r="I2343" s="44" t="str">
        <f t="array" ref="I2343">IF(B2343="","",_xlfn.XLOOKUP(B2343,'Form responses 1'!$B$2:$B$2604,'Form responses 1'!$I$2:$I$2604,""))</f>
        <v/>
      </c>
      <c r="J2343" s="44" t="str">
        <f t="array" ref="J2343">IF(B2343="","",_xlfn.XLOOKUP(B2343,'Form responses 1'!$B$2:$B$2604,'Form responses 1'!$G$2:$G$2604,""))</f>
        <v/>
      </c>
      <c r="K2343" s="56"/>
      <c r="L2343" s="58" t="str">
        <f t="shared" si="7"/>
        <v/>
      </c>
      <c r="M2343" s="49"/>
      <c r="N2343" s="49"/>
      <c r="O2343" s="49"/>
      <c r="P2343" s="49"/>
      <c r="Q2343" s="49"/>
      <c r="R2343" s="49"/>
      <c r="S2343" s="49"/>
      <c r="T2343" s="49"/>
      <c r="U2343" s="49"/>
      <c r="V2343" s="49"/>
      <c r="W2343" s="56"/>
      <c r="X2343" s="51" t="str">
        <f t="shared" si="5"/>
        <v/>
      </c>
      <c r="Y2343" s="50" t="s">
        <v>482</v>
      </c>
      <c r="Z2343" s="49">
        <f t="shared" si="6"/>
        <v>0</v>
      </c>
    </row>
    <row r="2344" ht="22.5" customHeight="1">
      <c r="B2344" s="57"/>
      <c r="C2344" s="43" t="str">
        <f t="array" ref="C2344">IF(B2344="","",_xlfn.XLOOKUP(B2344,'Form responses 1'!$B$2:$B$2604,'Form responses 1'!$A$2:$A$2604,""))</f>
        <v/>
      </c>
      <c r="D2344" s="44" t="str">
        <f t="shared" si="3"/>
        <v/>
      </c>
      <c r="E2344" s="44" t="str">
        <f t="array" ref="E2344">IF(B2344="","",_xlfn.XLOOKUP(B2344,'Form responses 1'!$B$2:$B$2604,'Form responses 1'!$C$2:$C$2604,""))</f>
        <v/>
      </c>
      <c r="F2344" s="44" t="str">
        <f t="array" ref="F2344">IF(B2344="","",_xlfn.XLOOKUP(B2344,'Form responses 1'!$B$2:$B$2604,'Form responses 1'!$D$2:$D$2604,""))</f>
        <v/>
      </c>
      <c r="G2344" s="44" t="str">
        <f t="array" ref="G2344">IF(B2344="","",_xlfn.XLOOKUP(B2344,'Form responses 1'!$B$2:$B$2604,'Form responses 1'!$E$2:$E$2604,""))</f>
        <v/>
      </c>
      <c r="H2344" s="44" t="str">
        <f t="array" ref="H2344">IF(B2344="","",_xlfn.XLOOKUP(B2344,'Form responses 1'!$B$2:$B$2604,'Form responses 1'!$F$2:$F$2604,""))</f>
        <v/>
      </c>
      <c r="I2344" s="44" t="str">
        <f t="array" ref="I2344">IF(B2344="","",_xlfn.XLOOKUP(B2344,'Form responses 1'!$B$2:$B$2604,'Form responses 1'!$I$2:$I$2604,""))</f>
        <v/>
      </c>
      <c r="J2344" s="44" t="str">
        <f t="array" ref="J2344">IF(B2344="","",_xlfn.XLOOKUP(B2344,'Form responses 1'!$B$2:$B$2604,'Form responses 1'!$G$2:$G$2604,""))</f>
        <v/>
      </c>
      <c r="K2344" s="56"/>
      <c r="L2344" s="58" t="str">
        <f t="shared" si="7"/>
        <v/>
      </c>
      <c r="M2344" s="49"/>
      <c r="N2344" s="49"/>
      <c r="O2344" s="49"/>
      <c r="P2344" s="49"/>
      <c r="Q2344" s="49"/>
      <c r="R2344" s="49"/>
      <c r="S2344" s="49"/>
      <c r="T2344" s="49"/>
      <c r="U2344" s="49"/>
      <c r="V2344" s="49"/>
      <c r="W2344" s="56"/>
      <c r="X2344" s="51" t="str">
        <f t="shared" si="5"/>
        <v/>
      </c>
      <c r="Y2344" s="50" t="s">
        <v>482</v>
      </c>
      <c r="Z2344" s="49">
        <f t="shared" si="6"/>
        <v>0</v>
      </c>
    </row>
    <row r="2345" ht="22.5" customHeight="1">
      <c r="B2345" s="57"/>
      <c r="C2345" s="43" t="str">
        <f t="array" ref="C2345">IF(B2345="","",_xlfn.XLOOKUP(B2345,'Form responses 1'!$B$2:$B$2604,'Form responses 1'!$A$2:$A$2604,""))</f>
        <v/>
      </c>
      <c r="D2345" s="44" t="str">
        <f t="shared" si="3"/>
        <v/>
      </c>
      <c r="E2345" s="44" t="str">
        <f t="array" ref="E2345">IF(B2345="","",_xlfn.XLOOKUP(B2345,'Form responses 1'!$B$2:$B$2604,'Form responses 1'!$C$2:$C$2604,""))</f>
        <v/>
      </c>
      <c r="F2345" s="44" t="str">
        <f t="array" ref="F2345">IF(B2345="","",_xlfn.XLOOKUP(B2345,'Form responses 1'!$B$2:$B$2604,'Form responses 1'!$D$2:$D$2604,""))</f>
        <v/>
      </c>
      <c r="G2345" s="44" t="str">
        <f t="array" ref="G2345">IF(B2345="","",_xlfn.XLOOKUP(B2345,'Form responses 1'!$B$2:$B$2604,'Form responses 1'!$E$2:$E$2604,""))</f>
        <v/>
      </c>
      <c r="H2345" s="44" t="str">
        <f t="array" ref="H2345">IF(B2345="","",_xlfn.XLOOKUP(B2345,'Form responses 1'!$B$2:$B$2604,'Form responses 1'!$F$2:$F$2604,""))</f>
        <v/>
      </c>
      <c r="I2345" s="44" t="str">
        <f t="array" ref="I2345">IF(B2345="","",_xlfn.XLOOKUP(B2345,'Form responses 1'!$B$2:$B$2604,'Form responses 1'!$I$2:$I$2604,""))</f>
        <v/>
      </c>
      <c r="J2345" s="44" t="str">
        <f t="array" ref="J2345">IF(B2345="","",_xlfn.XLOOKUP(B2345,'Form responses 1'!$B$2:$B$2604,'Form responses 1'!$G$2:$G$2604,""))</f>
        <v/>
      </c>
      <c r="K2345" s="56"/>
      <c r="L2345" s="58" t="str">
        <f t="shared" si="7"/>
        <v/>
      </c>
      <c r="M2345" s="49"/>
      <c r="N2345" s="49"/>
      <c r="O2345" s="49"/>
      <c r="P2345" s="49"/>
      <c r="Q2345" s="49"/>
      <c r="R2345" s="49"/>
      <c r="S2345" s="49"/>
      <c r="T2345" s="49"/>
      <c r="U2345" s="49"/>
      <c r="V2345" s="49"/>
      <c r="W2345" s="56"/>
      <c r="X2345" s="51" t="str">
        <f t="shared" si="5"/>
        <v/>
      </c>
      <c r="Y2345" s="50" t="s">
        <v>482</v>
      </c>
      <c r="Z2345" s="49">
        <f t="shared" si="6"/>
        <v>0</v>
      </c>
    </row>
    <row r="2346" ht="22.5" customHeight="1">
      <c r="B2346" s="57"/>
      <c r="C2346" s="43" t="str">
        <f t="array" ref="C2346">IF(B2346="","",_xlfn.XLOOKUP(B2346,'Form responses 1'!$B$2:$B$2604,'Form responses 1'!$A$2:$A$2604,""))</f>
        <v/>
      </c>
      <c r="D2346" s="44" t="str">
        <f t="shared" si="3"/>
        <v/>
      </c>
      <c r="E2346" s="44" t="str">
        <f t="array" ref="E2346">IF(B2346="","",_xlfn.XLOOKUP(B2346,'Form responses 1'!$B$2:$B$2604,'Form responses 1'!$C$2:$C$2604,""))</f>
        <v/>
      </c>
      <c r="F2346" s="44" t="str">
        <f t="array" ref="F2346">IF(B2346="","",_xlfn.XLOOKUP(B2346,'Form responses 1'!$B$2:$B$2604,'Form responses 1'!$D$2:$D$2604,""))</f>
        <v/>
      </c>
      <c r="G2346" s="44" t="str">
        <f t="array" ref="G2346">IF(B2346="","",_xlfn.XLOOKUP(B2346,'Form responses 1'!$B$2:$B$2604,'Form responses 1'!$E$2:$E$2604,""))</f>
        <v/>
      </c>
      <c r="H2346" s="44" t="str">
        <f t="array" ref="H2346">IF(B2346="","",_xlfn.XLOOKUP(B2346,'Form responses 1'!$B$2:$B$2604,'Form responses 1'!$F$2:$F$2604,""))</f>
        <v/>
      </c>
      <c r="I2346" s="44" t="str">
        <f t="array" ref="I2346">IF(B2346="","",_xlfn.XLOOKUP(B2346,'Form responses 1'!$B$2:$B$2604,'Form responses 1'!$I$2:$I$2604,""))</f>
        <v/>
      </c>
      <c r="J2346" s="44" t="str">
        <f t="array" ref="J2346">IF(B2346="","",_xlfn.XLOOKUP(B2346,'Form responses 1'!$B$2:$B$2604,'Form responses 1'!$G$2:$G$2604,""))</f>
        <v/>
      </c>
      <c r="K2346" s="56"/>
      <c r="L2346" s="58" t="str">
        <f t="shared" si="7"/>
        <v/>
      </c>
      <c r="M2346" s="49"/>
      <c r="N2346" s="49"/>
      <c r="O2346" s="49"/>
      <c r="P2346" s="49"/>
      <c r="Q2346" s="49"/>
      <c r="R2346" s="49"/>
      <c r="S2346" s="49"/>
      <c r="T2346" s="49"/>
      <c r="U2346" s="49"/>
      <c r="V2346" s="49"/>
      <c r="W2346" s="56"/>
      <c r="X2346" s="51" t="str">
        <f t="shared" si="5"/>
        <v/>
      </c>
      <c r="Y2346" s="50" t="s">
        <v>482</v>
      </c>
      <c r="Z2346" s="49">
        <f t="shared" si="6"/>
        <v>0</v>
      </c>
    </row>
    <row r="2347" ht="22.5" customHeight="1">
      <c r="B2347" s="57"/>
      <c r="C2347" s="43" t="str">
        <f t="array" ref="C2347">IF(B2347="","",_xlfn.XLOOKUP(B2347,'Form responses 1'!$B$2:$B$2604,'Form responses 1'!$A$2:$A$2604,""))</f>
        <v/>
      </c>
      <c r="D2347" s="44" t="str">
        <f t="shared" si="3"/>
        <v/>
      </c>
      <c r="E2347" s="44" t="str">
        <f t="array" ref="E2347">IF(B2347="","",_xlfn.XLOOKUP(B2347,'Form responses 1'!$B$2:$B$2604,'Form responses 1'!$C$2:$C$2604,""))</f>
        <v/>
      </c>
      <c r="F2347" s="44" t="str">
        <f t="array" ref="F2347">IF(B2347="","",_xlfn.XLOOKUP(B2347,'Form responses 1'!$B$2:$B$2604,'Form responses 1'!$D$2:$D$2604,""))</f>
        <v/>
      </c>
      <c r="G2347" s="44" t="str">
        <f t="array" ref="G2347">IF(B2347="","",_xlfn.XLOOKUP(B2347,'Form responses 1'!$B$2:$B$2604,'Form responses 1'!$E$2:$E$2604,""))</f>
        <v/>
      </c>
      <c r="H2347" s="44" t="str">
        <f t="array" ref="H2347">IF(B2347="","",_xlfn.XLOOKUP(B2347,'Form responses 1'!$B$2:$B$2604,'Form responses 1'!$F$2:$F$2604,""))</f>
        <v/>
      </c>
      <c r="I2347" s="44" t="str">
        <f t="array" ref="I2347">IF(B2347="","",_xlfn.XLOOKUP(B2347,'Form responses 1'!$B$2:$B$2604,'Form responses 1'!$I$2:$I$2604,""))</f>
        <v/>
      </c>
      <c r="J2347" s="44" t="str">
        <f t="array" ref="J2347">IF(B2347="","",_xlfn.XLOOKUP(B2347,'Form responses 1'!$B$2:$B$2604,'Form responses 1'!$G$2:$G$2604,""))</f>
        <v/>
      </c>
      <c r="K2347" s="56"/>
      <c r="L2347" s="58" t="str">
        <f t="shared" si="7"/>
        <v/>
      </c>
      <c r="M2347" s="49"/>
      <c r="N2347" s="49"/>
      <c r="O2347" s="49"/>
      <c r="P2347" s="49"/>
      <c r="Q2347" s="49"/>
      <c r="R2347" s="49"/>
      <c r="S2347" s="49"/>
      <c r="T2347" s="49"/>
      <c r="U2347" s="49"/>
      <c r="V2347" s="49"/>
      <c r="W2347" s="56"/>
      <c r="X2347" s="51" t="str">
        <f t="shared" si="5"/>
        <v/>
      </c>
      <c r="Y2347" s="50" t="s">
        <v>482</v>
      </c>
      <c r="Z2347" s="49">
        <f t="shared" si="6"/>
        <v>0</v>
      </c>
    </row>
    <row r="2348" ht="22.5" customHeight="1">
      <c r="B2348" s="57"/>
      <c r="C2348" s="43" t="str">
        <f t="array" ref="C2348">IF(B2348="","",_xlfn.XLOOKUP(B2348,'Form responses 1'!$B$2:$B$2604,'Form responses 1'!$A$2:$A$2604,""))</f>
        <v/>
      </c>
      <c r="D2348" s="44" t="str">
        <f t="shared" si="3"/>
        <v/>
      </c>
      <c r="E2348" s="44" t="str">
        <f t="array" ref="E2348">IF(B2348="","",_xlfn.XLOOKUP(B2348,'Form responses 1'!$B$2:$B$2604,'Form responses 1'!$C$2:$C$2604,""))</f>
        <v/>
      </c>
      <c r="F2348" s="44" t="str">
        <f t="array" ref="F2348">IF(B2348="","",_xlfn.XLOOKUP(B2348,'Form responses 1'!$B$2:$B$2604,'Form responses 1'!$D$2:$D$2604,""))</f>
        <v/>
      </c>
      <c r="G2348" s="44" t="str">
        <f t="array" ref="G2348">IF(B2348="","",_xlfn.XLOOKUP(B2348,'Form responses 1'!$B$2:$B$2604,'Form responses 1'!$E$2:$E$2604,""))</f>
        <v/>
      </c>
      <c r="H2348" s="44" t="str">
        <f t="array" ref="H2348">IF(B2348="","",_xlfn.XLOOKUP(B2348,'Form responses 1'!$B$2:$B$2604,'Form responses 1'!$F$2:$F$2604,""))</f>
        <v/>
      </c>
      <c r="I2348" s="44" t="str">
        <f t="array" ref="I2348">IF(B2348="","",_xlfn.XLOOKUP(B2348,'Form responses 1'!$B$2:$B$2604,'Form responses 1'!$I$2:$I$2604,""))</f>
        <v/>
      </c>
      <c r="J2348" s="44" t="str">
        <f t="array" ref="J2348">IF(B2348="","",_xlfn.XLOOKUP(B2348,'Form responses 1'!$B$2:$B$2604,'Form responses 1'!$G$2:$G$2604,""))</f>
        <v/>
      </c>
      <c r="K2348" s="56"/>
      <c r="L2348" s="58" t="str">
        <f t="shared" si="7"/>
        <v/>
      </c>
      <c r="M2348" s="49"/>
      <c r="N2348" s="49"/>
      <c r="O2348" s="49"/>
      <c r="P2348" s="49"/>
      <c r="Q2348" s="49"/>
      <c r="R2348" s="49"/>
      <c r="S2348" s="49"/>
      <c r="T2348" s="49"/>
      <c r="U2348" s="49"/>
      <c r="V2348" s="49"/>
      <c r="W2348" s="56"/>
      <c r="X2348" s="51" t="str">
        <f t="shared" si="5"/>
        <v/>
      </c>
      <c r="Y2348" s="50" t="s">
        <v>482</v>
      </c>
      <c r="Z2348" s="49">
        <f t="shared" si="6"/>
        <v>0</v>
      </c>
    </row>
    <row r="2349" ht="22.5" customHeight="1">
      <c r="B2349" s="57"/>
      <c r="C2349" s="43" t="str">
        <f t="array" ref="C2349">IF(B2349="","",_xlfn.XLOOKUP(B2349,'Form responses 1'!$B$2:$B$2604,'Form responses 1'!$A$2:$A$2604,""))</f>
        <v/>
      </c>
      <c r="D2349" s="44" t="str">
        <f t="shared" si="3"/>
        <v/>
      </c>
      <c r="E2349" s="44" t="str">
        <f t="array" ref="E2349">IF(B2349="","",_xlfn.XLOOKUP(B2349,'Form responses 1'!$B$2:$B$2604,'Form responses 1'!$C$2:$C$2604,""))</f>
        <v/>
      </c>
      <c r="F2349" s="44" t="str">
        <f t="array" ref="F2349">IF(B2349="","",_xlfn.XLOOKUP(B2349,'Form responses 1'!$B$2:$B$2604,'Form responses 1'!$D$2:$D$2604,""))</f>
        <v/>
      </c>
      <c r="G2349" s="44" t="str">
        <f t="array" ref="G2349">IF(B2349="","",_xlfn.XLOOKUP(B2349,'Form responses 1'!$B$2:$B$2604,'Form responses 1'!$E$2:$E$2604,""))</f>
        <v/>
      </c>
      <c r="H2349" s="44" t="str">
        <f t="array" ref="H2349">IF(B2349="","",_xlfn.XLOOKUP(B2349,'Form responses 1'!$B$2:$B$2604,'Form responses 1'!$F$2:$F$2604,""))</f>
        <v/>
      </c>
      <c r="I2349" s="44" t="str">
        <f t="array" ref="I2349">IF(B2349="","",_xlfn.XLOOKUP(B2349,'Form responses 1'!$B$2:$B$2604,'Form responses 1'!$I$2:$I$2604,""))</f>
        <v/>
      </c>
      <c r="J2349" s="44" t="str">
        <f t="array" ref="J2349">IF(B2349="","",_xlfn.XLOOKUP(B2349,'Form responses 1'!$B$2:$B$2604,'Form responses 1'!$G$2:$G$2604,""))</f>
        <v/>
      </c>
      <c r="K2349" s="56"/>
      <c r="L2349" s="58" t="str">
        <f t="shared" si="7"/>
        <v/>
      </c>
      <c r="M2349" s="49"/>
      <c r="N2349" s="49"/>
      <c r="O2349" s="49"/>
      <c r="P2349" s="49"/>
      <c r="Q2349" s="49"/>
      <c r="R2349" s="49"/>
      <c r="S2349" s="49"/>
      <c r="T2349" s="49"/>
      <c r="U2349" s="49"/>
      <c r="V2349" s="49"/>
      <c r="W2349" s="56"/>
      <c r="X2349" s="51" t="str">
        <f t="shared" si="5"/>
        <v/>
      </c>
      <c r="Y2349" s="50" t="s">
        <v>482</v>
      </c>
      <c r="Z2349" s="49">
        <f t="shared" si="6"/>
        <v>0</v>
      </c>
    </row>
    <row r="2350" ht="22.5" customHeight="1">
      <c r="B2350" s="57"/>
      <c r="C2350" s="43" t="str">
        <f t="array" ref="C2350">IF(B2350="","",_xlfn.XLOOKUP(B2350,'Form responses 1'!$B$2:$B$2604,'Form responses 1'!$A$2:$A$2604,""))</f>
        <v/>
      </c>
      <c r="D2350" s="44" t="str">
        <f t="shared" si="3"/>
        <v/>
      </c>
      <c r="E2350" s="44" t="str">
        <f t="array" ref="E2350">IF(B2350="","",_xlfn.XLOOKUP(B2350,'Form responses 1'!$B$2:$B$2604,'Form responses 1'!$C$2:$C$2604,""))</f>
        <v/>
      </c>
      <c r="F2350" s="44" t="str">
        <f t="array" ref="F2350">IF(B2350="","",_xlfn.XLOOKUP(B2350,'Form responses 1'!$B$2:$B$2604,'Form responses 1'!$D$2:$D$2604,""))</f>
        <v/>
      </c>
      <c r="G2350" s="44" t="str">
        <f t="array" ref="G2350">IF(B2350="","",_xlfn.XLOOKUP(B2350,'Form responses 1'!$B$2:$B$2604,'Form responses 1'!$E$2:$E$2604,""))</f>
        <v/>
      </c>
      <c r="H2350" s="44" t="str">
        <f t="array" ref="H2350">IF(B2350="","",_xlfn.XLOOKUP(B2350,'Form responses 1'!$B$2:$B$2604,'Form responses 1'!$F$2:$F$2604,""))</f>
        <v/>
      </c>
      <c r="I2350" s="44" t="str">
        <f t="array" ref="I2350">IF(B2350="","",_xlfn.XLOOKUP(B2350,'Form responses 1'!$B$2:$B$2604,'Form responses 1'!$I$2:$I$2604,""))</f>
        <v/>
      </c>
      <c r="J2350" s="44" t="str">
        <f t="array" ref="J2350">IF(B2350="","",_xlfn.XLOOKUP(B2350,'Form responses 1'!$B$2:$B$2604,'Form responses 1'!$G$2:$G$2604,""))</f>
        <v/>
      </c>
      <c r="K2350" s="56"/>
      <c r="L2350" s="58" t="str">
        <f t="shared" si="7"/>
        <v/>
      </c>
      <c r="M2350" s="49"/>
      <c r="N2350" s="49"/>
      <c r="O2350" s="49"/>
      <c r="P2350" s="49"/>
      <c r="Q2350" s="49"/>
      <c r="R2350" s="49"/>
      <c r="S2350" s="49"/>
      <c r="T2350" s="49"/>
      <c r="U2350" s="49"/>
      <c r="V2350" s="49"/>
      <c r="W2350" s="56"/>
      <c r="X2350" s="51" t="str">
        <f t="shared" si="5"/>
        <v/>
      </c>
      <c r="Y2350" s="50" t="s">
        <v>482</v>
      </c>
      <c r="Z2350" s="49">
        <f t="shared" si="6"/>
        <v>0</v>
      </c>
    </row>
    <row r="2351" ht="22.5" customHeight="1">
      <c r="B2351" s="57"/>
      <c r="C2351" s="43" t="str">
        <f t="array" ref="C2351">IF(B2351="","",_xlfn.XLOOKUP(B2351,'Form responses 1'!$B$2:$B$2604,'Form responses 1'!$A$2:$A$2604,""))</f>
        <v/>
      </c>
      <c r="D2351" s="44" t="str">
        <f t="shared" si="3"/>
        <v/>
      </c>
      <c r="E2351" s="44" t="str">
        <f t="array" ref="E2351">IF(B2351="","",_xlfn.XLOOKUP(B2351,'Form responses 1'!$B$2:$B$2604,'Form responses 1'!$C$2:$C$2604,""))</f>
        <v/>
      </c>
      <c r="F2351" s="44" t="str">
        <f t="array" ref="F2351">IF(B2351="","",_xlfn.XLOOKUP(B2351,'Form responses 1'!$B$2:$B$2604,'Form responses 1'!$D$2:$D$2604,""))</f>
        <v/>
      </c>
      <c r="G2351" s="44" t="str">
        <f t="array" ref="G2351">IF(B2351="","",_xlfn.XLOOKUP(B2351,'Form responses 1'!$B$2:$B$2604,'Form responses 1'!$E$2:$E$2604,""))</f>
        <v/>
      </c>
      <c r="H2351" s="44" t="str">
        <f t="array" ref="H2351">IF(B2351="","",_xlfn.XLOOKUP(B2351,'Form responses 1'!$B$2:$B$2604,'Form responses 1'!$F$2:$F$2604,""))</f>
        <v/>
      </c>
      <c r="I2351" s="44" t="str">
        <f t="array" ref="I2351">IF(B2351="","",_xlfn.XLOOKUP(B2351,'Form responses 1'!$B$2:$B$2604,'Form responses 1'!$I$2:$I$2604,""))</f>
        <v/>
      </c>
      <c r="J2351" s="44" t="str">
        <f t="array" ref="J2351">IF(B2351="","",_xlfn.XLOOKUP(B2351,'Form responses 1'!$B$2:$B$2604,'Form responses 1'!$G$2:$G$2604,""))</f>
        <v/>
      </c>
      <c r="K2351" s="56"/>
      <c r="L2351" s="58" t="str">
        <f t="shared" si="7"/>
        <v/>
      </c>
      <c r="M2351" s="49"/>
      <c r="N2351" s="49"/>
      <c r="O2351" s="49"/>
      <c r="P2351" s="49"/>
      <c r="Q2351" s="49"/>
      <c r="R2351" s="49"/>
      <c r="S2351" s="49"/>
      <c r="T2351" s="49"/>
      <c r="U2351" s="49"/>
      <c r="V2351" s="49"/>
      <c r="W2351" s="56"/>
      <c r="X2351" s="51" t="str">
        <f t="shared" si="5"/>
        <v/>
      </c>
      <c r="Y2351" s="50" t="s">
        <v>482</v>
      </c>
      <c r="Z2351" s="49">
        <f t="shared" si="6"/>
        <v>0</v>
      </c>
    </row>
    <row r="2352" ht="22.5" customHeight="1">
      <c r="B2352" s="57"/>
      <c r="C2352" s="43" t="str">
        <f t="array" ref="C2352">IF(B2352="","",_xlfn.XLOOKUP(B2352,'Form responses 1'!$B$2:$B$2604,'Form responses 1'!$A$2:$A$2604,""))</f>
        <v/>
      </c>
      <c r="D2352" s="44" t="str">
        <f t="shared" si="3"/>
        <v/>
      </c>
      <c r="E2352" s="44" t="str">
        <f t="array" ref="E2352">IF(B2352="","",_xlfn.XLOOKUP(B2352,'Form responses 1'!$B$2:$B$2604,'Form responses 1'!$C$2:$C$2604,""))</f>
        <v/>
      </c>
      <c r="F2352" s="44" t="str">
        <f t="array" ref="F2352">IF(B2352="","",_xlfn.XLOOKUP(B2352,'Form responses 1'!$B$2:$B$2604,'Form responses 1'!$D$2:$D$2604,""))</f>
        <v/>
      </c>
      <c r="G2352" s="44" t="str">
        <f t="array" ref="G2352">IF(B2352="","",_xlfn.XLOOKUP(B2352,'Form responses 1'!$B$2:$B$2604,'Form responses 1'!$E$2:$E$2604,""))</f>
        <v/>
      </c>
      <c r="H2352" s="44" t="str">
        <f t="array" ref="H2352">IF(B2352="","",_xlfn.XLOOKUP(B2352,'Form responses 1'!$B$2:$B$2604,'Form responses 1'!$F$2:$F$2604,""))</f>
        <v/>
      </c>
      <c r="I2352" s="44" t="str">
        <f t="array" ref="I2352">IF(B2352="","",_xlfn.XLOOKUP(B2352,'Form responses 1'!$B$2:$B$2604,'Form responses 1'!$I$2:$I$2604,""))</f>
        <v/>
      </c>
      <c r="J2352" s="44" t="str">
        <f t="array" ref="J2352">IF(B2352="","",_xlfn.XLOOKUP(B2352,'Form responses 1'!$B$2:$B$2604,'Form responses 1'!$G$2:$G$2604,""))</f>
        <v/>
      </c>
      <c r="K2352" s="56"/>
      <c r="L2352" s="58" t="str">
        <f t="shared" si="7"/>
        <v/>
      </c>
      <c r="M2352" s="49"/>
      <c r="N2352" s="49"/>
      <c r="O2352" s="49"/>
      <c r="P2352" s="49"/>
      <c r="Q2352" s="49"/>
      <c r="R2352" s="49"/>
      <c r="S2352" s="49"/>
      <c r="T2352" s="49"/>
      <c r="U2352" s="49"/>
      <c r="V2352" s="49"/>
      <c r="W2352" s="56"/>
      <c r="X2352" s="51" t="str">
        <f t="shared" si="5"/>
        <v/>
      </c>
      <c r="Y2352" s="50" t="s">
        <v>482</v>
      </c>
      <c r="Z2352" s="49">
        <f t="shared" si="6"/>
        <v>0</v>
      </c>
    </row>
    <row r="2353" ht="22.5" customHeight="1">
      <c r="B2353" s="57"/>
      <c r="C2353" s="43" t="str">
        <f t="array" ref="C2353">IF(B2353="","",_xlfn.XLOOKUP(B2353,'Form responses 1'!$B$2:$B$2604,'Form responses 1'!$A$2:$A$2604,""))</f>
        <v/>
      </c>
      <c r="D2353" s="44" t="str">
        <f t="shared" si="3"/>
        <v/>
      </c>
      <c r="E2353" s="44" t="str">
        <f t="array" ref="E2353">IF(B2353="","",_xlfn.XLOOKUP(B2353,'Form responses 1'!$B$2:$B$2604,'Form responses 1'!$C$2:$C$2604,""))</f>
        <v/>
      </c>
      <c r="F2353" s="44" t="str">
        <f t="array" ref="F2353">IF(B2353="","",_xlfn.XLOOKUP(B2353,'Form responses 1'!$B$2:$B$2604,'Form responses 1'!$D$2:$D$2604,""))</f>
        <v/>
      </c>
      <c r="G2353" s="44" t="str">
        <f t="array" ref="G2353">IF(B2353="","",_xlfn.XLOOKUP(B2353,'Form responses 1'!$B$2:$B$2604,'Form responses 1'!$E$2:$E$2604,""))</f>
        <v/>
      </c>
      <c r="H2353" s="44" t="str">
        <f t="array" ref="H2353">IF(B2353="","",_xlfn.XLOOKUP(B2353,'Form responses 1'!$B$2:$B$2604,'Form responses 1'!$F$2:$F$2604,""))</f>
        <v/>
      </c>
      <c r="I2353" s="44" t="str">
        <f t="array" ref="I2353">IF(B2353="","",_xlfn.XLOOKUP(B2353,'Form responses 1'!$B$2:$B$2604,'Form responses 1'!$I$2:$I$2604,""))</f>
        <v/>
      </c>
      <c r="J2353" s="44" t="str">
        <f t="array" ref="J2353">IF(B2353="","",_xlfn.XLOOKUP(B2353,'Form responses 1'!$B$2:$B$2604,'Form responses 1'!$G$2:$G$2604,""))</f>
        <v/>
      </c>
      <c r="K2353" s="56"/>
      <c r="L2353" s="58" t="str">
        <f t="shared" si="7"/>
        <v/>
      </c>
      <c r="M2353" s="49"/>
      <c r="N2353" s="49"/>
      <c r="O2353" s="49"/>
      <c r="P2353" s="49"/>
      <c r="Q2353" s="49"/>
      <c r="R2353" s="49"/>
      <c r="S2353" s="49"/>
      <c r="T2353" s="49"/>
      <c r="U2353" s="49"/>
      <c r="V2353" s="49"/>
      <c r="W2353" s="56"/>
      <c r="X2353" s="51" t="str">
        <f t="shared" si="5"/>
        <v/>
      </c>
      <c r="Y2353" s="50" t="s">
        <v>482</v>
      </c>
      <c r="Z2353" s="49">
        <f t="shared" si="6"/>
        <v>0</v>
      </c>
    </row>
    <row r="2354" ht="22.5" customHeight="1">
      <c r="B2354" s="57"/>
      <c r="C2354" s="43" t="str">
        <f t="array" ref="C2354">IF(B2354="","",_xlfn.XLOOKUP(B2354,'Form responses 1'!$B$2:$B$2604,'Form responses 1'!$A$2:$A$2604,""))</f>
        <v/>
      </c>
      <c r="D2354" s="44" t="str">
        <f t="shared" si="3"/>
        <v/>
      </c>
      <c r="E2354" s="44" t="str">
        <f t="array" ref="E2354">IF(B2354="","",_xlfn.XLOOKUP(B2354,'Form responses 1'!$B$2:$B$2604,'Form responses 1'!$C$2:$C$2604,""))</f>
        <v/>
      </c>
      <c r="F2354" s="44" t="str">
        <f t="array" ref="F2354">IF(B2354="","",_xlfn.XLOOKUP(B2354,'Form responses 1'!$B$2:$B$2604,'Form responses 1'!$D$2:$D$2604,""))</f>
        <v/>
      </c>
      <c r="G2354" s="44" t="str">
        <f t="array" ref="G2354">IF(B2354="","",_xlfn.XLOOKUP(B2354,'Form responses 1'!$B$2:$B$2604,'Form responses 1'!$E$2:$E$2604,""))</f>
        <v/>
      </c>
      <c r="H2354" s="44" t="str">
        <f t="array" ref="H2354">IF(B2354="","",_xlfn.XLOOKUP(B2354,'Form responses 1'!$B$2:$B$2604,'Form responses 1'!$F$2:$F$2604,""))</f>
        <v/>
      </c>
      <c r="I2354" s="44" t="str">
        <f t="array" ref="I2354">IF(B2354="","",_xlfn.XLOOKUP(B2354,'Form responses 1'!$B$2:$B$2604,'Form responses 1'!$I$2:$I$2604,""))</f>
        <v/>
      </c>
      <c r="J2354" s="44" t="str">
        <f t="array" ref="J2354">IF(B2354="","",_xlfn.XLOOKUP(B2354,'Form responses 1'!$B$2:$B$2604,'Form responses 1'!$G$2:$G$2604,""))</f>
        <v/>
      </c>
      <c r="K2354" s="56"/>
      <c r="L2354" s="58" t="str">
        <f t="shared" si="7"/>
        <v/>
      </c>
      <c r="M2354" s="49"/>
      <c r="N2354" s="49"/>
      <c r="O2354" s="49"/>
      <c r="P2354" s="49"/>
      <c r="Q2354" s="49"/>
      <c r="R2354" s="49"/>
      <c r="S2354" s="49"/>
      <c r="T2354" s="49"/>
      <c r="U2354" s="49"/>
      <c r="V2354" s="49"/>
      <c r="W2354" s="56"/>
      <c r="X2354" s="51" t="str">
        <f t="shared" si="5"/>
        <v/>
      </c>
      <c r="Y2354" s="50" t="s">
        <v>482</v>
      </c>
      <c r="Z2354" s="49">
        <f t="shared" si="6"/>
        <v>0</v>
      </c>
    </row>
    <row r="2355" ht="22.5" customHeight="1">
      <c r="B2355" s="57"/>
      <c r="C2355" s="43" t="str">
        <f t="array" ref="C2355">IF(B2355="","",_xlfn.XLOOKUP(B2355,'Form responses 1'!$B$2:$B$2604,'Form responses 1'!$A$2:$A$2604,""))</f>
        <v/>
      </c>
      <c r="D2355" s="44" t="str">
        <f t="shared" si="3"/>
        <v/>
      </c>
      <c r="E2355" s="44" t="str">
        <f t="array" ref="E2355">IF(B2355="","",_xlfn.XLOOKUP(B2355,'Form responses 1'!$B$2:$B$2604,'Form responses 1'!$C$2:$C$2604,""))</f>
        <v/>
      </c>
      <c r="F2355" s="44" t="str">
        <f t="array" ref="F2355">IF(B2355="","",_xlfn.XLOOKUP(B2355,'Form responses 1'!$B$2:$B$2604,'Form responses 1'!$D$2:$D$2604,""))</f>
        <v/>
      </c>
      <c r="G2355" s="44" t="str">
        <f t="array" ref="G2355">IF(B2355="","",_xlfn.XLOOKUP(B2355,'Form responses 1'!$B$2:$B$2604,'Form responses 1'!$E$2:$E$2604,""))</f>
        <v/>
      </c>
      <c r="H2355" s="44" t="str">
        <f t="array" ref="H2355">IF(B2355="","",_xlfn.XLOOKUP(B2355,'Form responses 1'!$B$2:$B$2604,'Form responses 1'!$F$2:$F$2604,""))</f>
        <v/>
      </c>
      <c r="I2355" s="44" t="str">
        <f t="array" ref="I2355">IF(B2355="","",_xlfn.XLOOKUP(B2355,'Form responses 1'!$B$2:$B$2604,'Form responses 1'!$I$2:$I$2604,""))</f>
        <v/>
      </c>
      <c r="J2355" s="44" t="str">
        <f t="array" ref="J2355">IF(B2355="","",_xlfn.XLOOKUP(B2355,'Form responses 1'!$B$2:$B$2604,'Form responses 1'!$G$2:$G$2604,""))</f>
        <v/>
      </c>
      <c r="K2355" s="56"/>
      <c r="L2355" s="58" t="str">
        <f t="shared" si="7"/>
        <v/>
      </c>
      <c r="M2355" s="49"/>
      <c r="N2355" s="49"/>
      <c r="O2355" s="49"/>
      <c r="P2355" s="49"/>
      <c r="Q2355" s="49"/>
      <c r="R2355" s="49"/>
      <c r="S2355" s="49"/>
      <c r="T2355" s="49"/>
      <c r="U2355" s="49"/>
      <c r="V2355" s="49"/>
      <c r="W2355" s="56"/>
      <c r="X2355" s="51" t="str">
        <f t="shared" si="5"/>
        <v/>
      </c>
      <c r="Y2355" s="50" t="s">
        <v>482</v>
      </c>
      <c r="Z2355" s="49">
        <f t="shared" si="6"/>
        <v>0</v>
      </c>
    </row>
    <row r="2356" ht="22.5" customHeight="1">
      <c r="B2356" s="57"/>
      <c r="C2356" s="43" t="str">
        <f t="array" ref="C2356">IF(B2356="","",_xlfn.XLOOKUP(B2356,'Form responses 1'!$B$2:$B$2604,'Form responses 1'!$A$2:$A$2604,""))</f>
        <v/>
      </c>
      <c r="D2356" s="44" t="str">
        <f t="shared" si="3"/>
        <v/>
      </c>
      <c r="E2356" s="44" t="str">
        <f t="array" ref="E2356">IF(B2356="","",_xlfn.XLOOKUP(B2356,'Form responses 1'!$B$2:$B$2604,'Form responses 1'!$C$2:$C$2604,""))</f>
        <v/>
      </c>
      <c r="F2356" s="44" t="str">
        <f t="array" ref="F2356">IF(B2356="","",_xlfn.XLOOKUP(B2356,'Form responses 1'!$B$2:$B$2604,'Form responses 1'!$D$2:$D$2604,""))</f>
        <v/>
      </c>
      <c r="G2356" s="44" t="str">
        <f t="array" ref="G2356">IF(B2356="","",_xlfn.XLOOKUP(B2356,'Form responses 1'!$B$2:$B$2604,'Form responses 1'!$E$2:$E$2604,""))</f>
        <v/>
      </c>
      <c r="H2356" s="44" t="str">
        <f t="array" ref="H2356">IF(B2356="","",_xlfn.XLOOKUP(B2356,'Form responses 1'!$B$2:$B$2604,'Form responses 1'!$F$2:$F$2604,""))</f>
        <v/>
      </c>
      <c r="I2356" s="44" t="str">
        <f t="array" ref="I2356">IF(B2356="","",_xlfn.XLOOKUP(B2356,'Form responses 1'!$B$2:$B$2604,'Form responses 1'!$I$2:$I$2604,""))</f>
        <v/>
      </c>
      <c r="J2356" s="44" t="str">
        <f t="array" ref="J2356">IF(B2356="","",_xlfn.XLOOKUP(B2356,'Form responses 1'!$B$2:$B$2604,'Form responses 1'!$G$2:$G$2604,""))</f>
        <v/>
      </c>
      <c r="K2356" s="56"/>
      <c r="L2356" s="58" t="str">
        <f t="shared" si="7"/>
        <v/>
      </c>
      <c r="M2356" s="49"/>
      <c r="N2356" s="49"/>
      <c r="O2356" s="49"/>
      <c r="P2356" s="49"/>
      <c r="Q2356" s="49"/>
      <c r="R2356" s="49"/>
      <c r="S2356" s="49"/>
      <c r="T2356" s="49"/>
      <c r="U2356" s="49"/>
      <c r="V2356" s="49"/>
      <c r="W2356" s="56"/>
      <c r="X2356" s="51" t="str">
        <f t="shared" si="5"/>
        <v/>
      </c>
      <c r="Y2356" s="50" t="s">
        <v>482</v>
      </c>
      <c r="Z2356" s="49">
        <f t="shared" si="6"/>
        <v>0</v>
      </c>
    </row>
    <row r="2357" ht="22.5" customHeight="1">
      <c r="B2357" s="57"/>
      <c r="C2357" s="43" t="str">
        <f t="array" ref="C2357">IF(B2357="","",_xlfn.XLOOKUP(B2357,'Form responses 1'!$B$2:$B$2604,'Form responses 1'!$A$2:$A$2604,""))</f>
        <v/>
      </c>
      <c r="D2357" s="44" t="str">
        <f t="shared" si="3"/>
        <v/>
      </c>
      <c r="E2357" s="44" t="str">
        <f t="array" ref="E2357">IF(B2357="","",_xlfn.XLOOKUP(B2357,'Form responses 1'!$B$2:$B$2604,'Form responses 1'!$C$2:$C$2604,""))</f>
        <v/>
      </c>
      <c r="F2357" s="44" t="str">
        <f t="array" ref="F2357">IF(B2357="","",_xlfn.XLOOKUP(B2357,'Form responses 1'!$B$2:$B$2604,'Form responses 1'!$D$2:$D$2604,""))</f>
        <v/>
      </c>
      <c r="G2357" s="44" t="str">
        <f t="array" ref="G2357">IF(B2357="","",_xlfn.XLOOKUP(B2357,'Form responses 1'!$B$2:$B$2604,'Form responses 1'!$E$2:$E$2604,""))</f>
        <v/>
      </c>
      <c r="H2357" s="44" t="str">
        <f t="array" ref="H2357">IF(B2357="","",_xlfn.XLOOKUP(B2357,'Form responses 1'!$B$2:$B$2604,'Form responses 1'!$F$2:$F$2604,""))</f>
        <v/>
      </c>
      <c r="I2357" s="44" t="str">
        <f t="array" ref="I2357">IF(B2357="","",_xlfn.XLOOKUP(B2357,'Form responses 1'!$B$2:$B$2604,'Form responses 1'!$I$2:$I$2604,""))</f>
        <v/>
      </c>
      <c r="J2357" s="44" t="str">
        <f t="array" ref="J2357">IF(B2357="","",_xlfn.XLOOKUP(B2357,'Form responses 1'!$B$2:$B$2604,'Form responses 1'!$G$2:$G$2604,""))</f>
        <v/>
      </c>
      <c r="K2357" s="56"/>
      <c r="L2357" s="58" t="str">
        <f t="shared" si="7"/>
        <v/>
      </c>
      <c r="M2357" s="49"/>
      <c r="N2357" s="49"/>
      <c r="O2357" s="49"/>
      <c r="P2357" s="49"/>
      <c r="Q2357" s="49"/>
      <c r="R2357" s="49"/>
      <c r="S2357" s="49"/>
      <c r="T2357" s="49"/>
      <c r="U2357" s="49"/>
      <c r="V2357" s="49"/>
      <c r="W2357" s="56"/>
      <c r="X2357" s="51" t="str">
        <f t="shared" si="5"/>
        <v/>
      </c>
      <c r="Y2357" s="50" t="s">
        <v>482</v>
      </c>
      <c r="Z2357" s="49">
        <f t="shared" si="6"/>
        <v>0</v>
      </c>
    </row>
    <row r="2358" ht="22.5" customHeight="1">
      <c r="B2358" s="57"/>
      <c r="C2358" s="43" t="str">
        <f t="array" ref="C2358">IF(B2358="","",_xlfn.XLOOKUP(B2358,'Form responses 1'!$B$2:$B$2604,'Form responses 1'!$A$2:$A$2604,""))</f>
        <v/>
      </c>
      <c r="D2358" s="44" t="str">
        <f t="shared" si="3"/>
        <v/>
      </c>
      <c r="E2358" s="44" t="str">
        <f t="array" ref="E2358">IF(B2358="","",_xlfn.XLOOKUP(B2358,'Form responses 1'!$B$2:$B$2604,'Form responses 1'!$C$2:$C$2604,""))</f>
        <v/>
      </c>
      <c r="F2358" s="44" t="str">
        <f t="array" ref="F2358">IF(B2358="","",_xlfn.XLOOKUP(B2358,'Form responses 1'!$B$2:$B$2604,'Form responses 1'!$D$2:$D$2604,""))</f>
        <v/>
      </c>
      <c r="G2358" s="44" t="str">
        <f t="array" ref="G2358">IF(B2358="","",_xlfn.XLOOKUP(B2358,'Form responses 1'!$B$2:$B$2604,'Form responses 1'!$E$2:$E$2604,""))</f>
        <v/>
      </c>
      <c r="H2358" s="44" t="str">
        <f t="array" ref="H2358">IF(B2358="","",_xlfn.XLOOKUP(B2358,'Form responses 1'!$B$2:$B$2604,'Form responses 1'!$F$2:$F$2604,""))</f>
        <v/>
      </c>
      <c r="I2358" s="44" t="str">
        <f t="array" ref="I2358">IF(B2358="","",_xlfn.XLOOKUP(B2358,'Form responses 1'!$B$2:$B$2604,'Form responses 1'!$I$2:$I$2604,""))</f>
        <v/>
      </c>
      <c r="J2358" s="44" t="str">
        <f t="array" ref="J2358">IF(B2358="","",_xlfn.XLOOKUP(B2358,'Form responses 1'!$B$2:$B$2604,'Form responses 1'!$G$2:$G$2604,""))</f>
        <v/>
      </c>
      <c r="K2358" s="56"/>
      <c r="L2358" s="58" t="str">
        <f t="shared" si="7"/>
        <v/>
      </c>
      <c r="M2358" s="49"/>
      <c r="N2358" s="49"/>
      <c r="O2358" s="49"/>
      <c r="P2358" s="49"/>
      <c r="Q2358" s="49"/>
      <c r="R2358" s="49"/>
      <c r="S2358" s="49"/>
      <c r="T2358" s="49"/>
      <c r="U2358" s="49"/>
      <c r="V2358" s="49"/>
      <c r="W2358" s="56"/>
      <c r="X2358" s="51" t="str">
        <f t="shared" si="5"/>
        <v/>
      </c>
      <c r="Y2358" s="50" t="s">
        <v>482</v>
      </c>
      <c r="Z2358" s="49">
        <f t="shared" si="6"/>
        <v>0</v>
      </c>
    </row>
    <row r="2359" ht="22.5" customHeight="1">
      <c r="B2359" s="57"/>
      <c r="C2359" s="43" t="str">
        <f t="array" ref="C2359">IF(B2359="","",_xlfn.XLOOKUP(B2359,'Form responses 1'!$B$2:$B$2604,'Form responses 1'!$A$2:$A$2604,""))</f>
        <v/>
      </c>
      <c r="D2359" s="44" t="str">
        <f t="shared" si="3"/>
        <v/>
      </c>
      <c r="E2359" s="44" t="str">
        <f t="array" ref="E2359">IF(B2359="","",_xlfn.XLOOKUP(B2359,'Form responses 1'!$B$2:$B$2604,'Form responses 1'!$C$2:$C$2604,""))</f>
        <v/>
      </c>
      <c r="F2359" s="44" t="str">
        <f t="array" ref="F2359">IF(B2359="","",_xlfn.XLOOKUP(B2359,'Form responses 1'!$B$2:$B$2604,'Form responses 1'!$D$2:$D$2604,""))</f>
        <v/>
      </c>
      <c r="G2359" s="44" t="str">
        <f t="array" ref="G2359">IF(B2359="","",_xlfn.XLOOKUP(B2359,'Form responses 1'!$B$2:$B$2604,'Form responses 1'!$E$2:$E$2604,""))</f>
        <v/>
      </c>
      <c r="H2359" s="44" t="str">
        <f t="array" ref="H2359">IF(B2359="","",_xlfn.XLOOKUP(B2359,'Form responses 1'!$B$2:$B$2604,'Form responses 1'!$F$2:$F$2604,""))</f>
        <v/>
      </c>
      <c r="I2359" s="44" t="str">
        <f t="array" ref="I2359">IF(B2359="","",_xlfn.XLOOKUP(B2359,'Form responses 1'!$B$2:$B$2604,'Form responses 1'!$I$2:$I$2604,""))</f>
        <v/>
      </c>
      <c r="J2359" s="44" t="str">
        <f t="array" ref="J2359">IF(B2359="","",_xlfn.XLOOKUP(B2359,'Form responses 1'!$B$2:$B$2604,'Form responses 1'!$G$2:$G$2604,""))</f>
        <v/>
      </c>
      <c r="K2359" s="56"/>
      <c r="L2359" s="58" t="str">
        <f t="shared" si="7"/>
        <v/>
      </c>
      <c r="M2359" s="49"/>
      <c r="N2359" s="49"/>
      <c r="O2359" s="49"/>
      <c r="P2359" s="49"/>
      <c r="Q2359" s="49"/>
      <c r="R2359" s="49"/>
      <c r="S2359" s="49"/>
      <c r="T2359" s="49"/>
      <c r="U2359" s="49"/>
      <c r="V2359" s="49"/>
      <c r="W2359" s="56"/>
      <c r="X2359" s="51" t="str">
        <f t="shared" si="5"/>
        <v/>
      </c>
      <c r="Y2359" s="50" t="s">
        <v>482</v>
      </c>
      <c r="Z2359" s="49">
        <f t="shared" si="6"/>
        <v>0</v>
      </c>
    </row>
    <row r="2360" ht="22.5" customHeight="1">
      <c r="B2360" s="57"/>
      <c r="C2360" s="43" t="str">
        <f t="array" ref="C2360">IF(B2360="","",_xlfn.XLOOKUP(B2360,'Form responses 1'!$B$2:$B$2604,'Form responses 1'!$A$2:$A$2604,""))</f>
        <v/>
      </c>
      <c r="D2360" s="44" t="str">
        <f t="shared" si="3"/>
        <v/>
      </c>
      <c r="E2360" s="44" t="str">
        <f t="array" ref="E2360">IF(B2360="","",_xlfn.XLOOKUP(B2360,'Form responses 1'!$B$2:$B$2604,'Form responses 1'!$C$2:$C$2604,""))</f>
        <v/>
      </c>
      <c r="F2360" s="44" t="str">
        <f t="array" ref="F2360">IF(B2360="","",_xlfn.XLOOKUP(B2360,'Form responses 1'!$B$2:$B$2604,'Form responses 1'!$D$2:$D$2604,""))</f>
        <v/>
      </c>
      <c r="G2360" s="44" t="str">
        <f t="array" ref="G2360">IF(B2360="","",_xlfn.XLOOKUP(B2360,'Form responses 1'!$B$2:$B$2604,'Form responses 1'!$E$2:$E$2604,""))</f>
        <v/>
      </c>
      <c r="H2360" s="44" t="str">
        <f t="array" ref="H2360">IF(B2360="","",_xlfn.XLOOKUP(B2360,'Form responses 1'!$B$2:$B$2604,'Form responses 1'!$F$2:$F$2604,""))</f>
        <v/>
      </c>
      <c r="I2360" s="44" t="str">
        <f t="array" ref="I2360">IF(B2360="","",_xlfn.XLOOKUP(B2360,'Form responses 1'!$B$2:$B$2604,'Form responses 1'!$I$2:$I$2604,""))</f>
        <v/>
      </c>
      <c r="J2360" s="44" t="str">
        <f t="array" ref="J2360">IF(B2360="","",_xlfn.XLOOKUP(B2360,'Form responses 1'!$B$2:$B$2604,'Form responses 1'!$G$2:$G$2604,""))</f>
        <v/>
      </c>
      <c r="K2360" s="56"/>
      <c r="L2360" s="58" t="str">
        <f t="shared" si="7"/>
        <v/>
      </c>
      <c r="M2360" s="49"/>
      <c r="N2360" s="49"/>
      <c r="O2360" s="49"/>
      <c r="P2360" s="49"/>
      <c r="Q2360" s="49"/>
      <c r="R2360" s="49"/>
      <c r="S2360" s="49"/>
      <c r="T2360" s="49"/>
      <c r="U2360" s="49"/>
      <c r="V2360" s="49"/>
      <c r="W2360" s="56"/>
      <c r="X2360" s="51" t="str">
        <f t="shared" si="5"/>
        <v/>
      </c>
      <c r="Y2360" s="50" t="s">
        <v>482</v>
      </c>
      <c r="Z2360" s="49">
        <f t="shared" si="6"/>
        <v>0</v>
      </c>
    </row>
    <row r="2361" ht="22.5" customHeight="1">
      <c r="B2361" s="57"/>
      <c r="C2361" s="43" t="str">
        <f t="array" ref="C2361">IF(B2361="","",_xlfn.XLOOKUP(B2361,'Form responses 1'!$B$2:$B$2604,'Form responses 1'!$A$2:$A$2604,""))</f>
        <v/>
      </c>
      <c r="D2361" s="44" t="str">
        <f t="shared" si="3"/>
        <v/>
      </c>
      <c r="E2361" s="44" t="str">
        <f t="array" ref="E2361">IF(B2361="","",_xlfn.XLOOKUP(B2361,'Form responses 1'!$B$2:$B$2604,'Form responses 1'!$C$2:$C$2604,""))</f>
        <v/>
      </c>
      <c r="F2361" s="44" t="str">
        <f t="array" ref="F2361">IF(B2361="","",_xlfn.XLOOKUP(B2361,'Form responses 1'!$B$2:$B$2604,'Form responses 1'!$D$2:$D$2604,""))</f>
        <v/>
      </c>
      <c r="G2361" s="44" t="str">
        <f t="array" ref="G2361">IF(B2361="","",_xlfn.XLOOKUP(B2361,'Form responses 1'!$B$2:$B$2604,'Form responses 1'!$E$2:$E$2604,""))</f>
        <v/>
      </c>
      <c r="H2361" s="44" t="str">
        <f t="array" ref="H2361">IF(B2361="","",_xlfn.XLOOKUP(B2361,'Form responses 1'!$B$2:$B$2604,'Form responses 1'!$F$2:$F$2604,""))</f>
        <v/>
      </c>
      <c r="I2361" s="44" t="str">
        <f t="array" ref="I2361">IF(B2361="","",_xlfn.XLOOKUP(B2361,'Form responses 1'!$B$2:$B$2604,'Form responses 1'!$I$2:$I$2604,""))</f>
        <v/>
      </c>
      <c r="J2361" s="44" t="str">
        <f t="array" ref="J2361">IF(B2361="","",_xlfn.XLOOKUP(B2361,'Form responses 1'!$B$2:$B$2604,'Form responses 1'!$G$2:$G$2604,""))</f>
        <v/>
      </c>
      <c r="K2361" s="56"/>
      <c r="L2361" s="58" t="str">
        <f t="shared" si="7"/>
        <v/>
      </c>
      <c r="M2361" s="49"/>
      <c r="N2361" s="49"/>
      <c r="O2361" s="49"/>
      <c r="P2361" s="49"/>
      <c r="Q2361" s="49"/>
      <c r="R2361" s="49"/>
      <c r="S2361" s="49"/>
      <c r="T2361" s="49"/>
      <c r="U2361" s="49"/>
      <c r="V2361" s="49"/>
      <c r="W2361" s="56"/>
      <c r="X2361" s="51" t="str">
        <f t="shared" si="5"/>
        <v/>
      </c>
      <c r="Y2361" s="50" t="s">
        <v>482</v>
      </c>
      <c r="Z2361" s="49">
        <f t="shared" si="6"/>
        <v>0</v>
      </c>
    </row>
    <row r="2362" ht="22.5" customHeight="1">
      <c r="B2362" s="57"/>
      <c r="C2362" s="43" t="str">
        <f t="array" ref="C2362">IF(B2362="","",_xlfn.XLOOKUP(B2362,'Form responses 1'!$B$2:$B$2604,'Form responses 1'!$A$2:$A$2604,""))</f>
        <v/>
      </c>
      <c r="D2362" s="44" t="str">
        <f t="shared" si="3"/>
        <v/>
      </c>
      <c r="E2362" s="44" t="str">
        <f t="array" ref="E2362">IF(B2362="","",_xlfn.XLOOKUP(B2362,'Form responses 1'!$B$2:$B$2604,'Form responses 1'!$C$2:$C$2604,""))</f>
        <v/>
      </c>
      <c r="F2362" s="44" t="str">
        <f t="array" ref="F2362">IF(B2362="","",_xlfn.XLOOKUP(B2362,'Form responses 1'!$B$2:$B$2604,'Form responses 1'!$D$2:$D$2604,""))</f>
        <v/>
      </c>
      <c r="G2362" s="44" t="str">
        <f t="array" ref="G2362">IF(B2362="","",_xlfn.XLOOKUP(B2362,'Form responses 1'!$B$2:$B$2604,'Form responses 1'!$E$2:$E$2604,""))</f>
        <v/>
      </c>
      <c r="H2362" s="44" t="str">
        <f t="array" ref="H2362">IF(B2362="","",_xlfn.XLOOKUP(B2362,'Form responses 1'!$B$2:$B$2604,'Form responses 1'!$F$2:$F$2604,""))</f>
        <v/>
      </c>
      <c r="I2362" s="44" t="str">
        <f t="array" ref="I2362">IF(B2362="","",_xlfn.XLOOKUP(B2362,'Form responses 1'!$B$2:$B$2604,'Form responses 1'!$I$2:$I$2604,""))</f>
        <v/>
      </c>
      <c r="J2362" s="44" t="str">
        <f t="array" ref="J2362">IF(B2362="","",_xlfn.XLOOKUP(B2362,'Form responses 1'!$B$2:$B$2604,'Form responses 1'!$G$2:$G$2604,""))</f>
        <v/>
      </c>
      <c r="K2362" s="56"/>
      <c r="L2362" s="58" t="str">
        <f t="shared" si="7"/>
        <v/>
      </c>
      <c r="M2362" s="49"/>
      <c r="N2362" s="49"/>
      <c r="O2362" s="49"/>
      <c r="P2362" s="49"/>
      <c r="Q2362" s="49"/>
      <c r="R2362" s="49"/>
      <c r="S2362" s="49"/>
      <c r="T2362" s="49"/>
      <c r="U2362" s="49"/>
      <c r="V2362" s="49"/>
      <c r="W2362" s="56"/>
      <c r="X2362" s="51" t="str">
        <f t="shared" si="5"/>
        <v/>
      </c>
      <c r="Y2362" s="50" t="s">
        <v>482</v>
      </c>
      <c r="Z2362" s="49">
        <f t="shared" si="6"/>
        <v>0</v>
      </c>
    </row>
    <row r="2363" ht="22.5" customHeight="1">
      <c r="B2363" s="57"/>
      <c r="C2363" s="43" t="str">
        <f t="array" ref="C2363">IF(B2363="","",_xlfn.XLOOKUP(B2363,'Form responses 1'!$B$2:$B$2604,'Form responses 1'!$A$2:$A$2604,""))</f>
        <v/>
      </c>
      <c r="D2363" s="44" t="str">
        <f t="shared" si="3"/>
        <v/>
      </c>
      <c r="E2363" s="44" t="str">
        <f t="array" ref="E2363">IF(B2363="","",_xlfn.XLOOKUP(B2363,'Form responses 1'!$B$2:$B$2604,'Form responses 1'!$C$2:$C$2604,""))</f>
        <v/>
      </c>
      <c r="F2363" s="44" t="str">
        <f t="array" ref="F2363">IF(B2363="","",_xlfn.XLOOKUP(B2363,'Form responses 1'!$B$2:$B$2604,'Form responses 1'!$D$2:$D$2604,""))</f>
        <v/>
      </c>
      <c r="G2363" s="44" t="str">
        <f t="array" ref="G2363">IF(B2363="","",_xlfn.XLOOKUP(B2363,'Form responses 1'!$B$2:$B$2604,'Form responses 1'!$E$2:$E$2604,""))</f>
        <v/>
      </c>
      <c r="H2363" s="44" t="str">
        <f t="array" ref="H2363">IF(B2363="","",_xlfn.XLOOKUP(B2363,'Form responses 1'!$B$2:$B$2604,'Form responses 1'!$F$2:$F$2604,""))</f>
        <v/>
      </c>
      <c r="I2363" s="44" t="str">
        <f t="array" ref="I2363">IF(B2363="","",_xlfn.XLOOKUP(B2363,'Form responses 1'!$B$2:$B$2604,'Form responses 1'!$I$2:$I$2604,""))</f>
        <v/>
      </c>
      <c r="J2363" s="44" t="str">
        <f t="array" ref="J2363">IF(B2363="","",_xlfn.XLOOKUP(B2363,'Form responses 1'!$B$2:$B$2604,'Form responses 1'!$G$2:$G$2604,""))</f>
        <v/>
      </c>
      <c r="K2363" s="56"/>
      <c r="L2363" s="58" t="str">
        <f t="shared" si="7"/>
        <v/>
      </c>
      <c r="M2363" s="49"/>
      <c r="N2363" s="49"/>
      <c r="O2363" s="49"/>
      <c r="P2363" s="49"/>
      <c r="Q2363" s="49"/>
      <c r="R2363" s="49"/>
      <c r="S2363" s="49"/>
      <c r="T2363" s="49"/>
      <c r="U2363" s="49"/>
      <c r="V2363" s="49"/>
      <c r="W2363" s="56"/>
      <c r="X2363" s="51" t="str">
        <f t="shared" si="5"/>
        <v/>
      </c>
      <c r="Y2363" s="50" t="s">
        <v>482</v>
      </c>
      <c r="Z2363" s="49">
        <f t="shared" si="6"/>
        <v>0</v>
      </c>
    </row>
    <row r="2364" ht="22.5" customHeight="1">
      <c r="B2364" s="57"/>
      <c r="C2364" s="43" t="str">
        <f t="array" ref="C2364">IF(B2364="","",_xlfn.XLOOKUP(B2364,'Form responses 1'!$B$2:$B$2604,'Form responses 1'!$A$2:$A$2604,""))</f>
        <v/>
      </c>
      <c r="D2364" s="44" t="str">
        <f t="shared" si="3"/>
        <v/>
      </c>
      <c r="E2364" s="44" t="str">
        <f t="array" ref="E2364">IF(B2364="","",_xlfn.XLOOKUP(B2364,'Form responses 1'!$B$2:$B$2604,'Form responses 1'!$C$2:$C$2604,""))</f>
        <v/>
      </c>
      <c r="F2364" s="44" t="str">
        <f t="array" ref="F2364">IF(B2364="","",_xlfn.XLOOKUP(B2364,'Form responses 1'!$B$2:$B$2604,'Form responses 1'!$D$2:$D$2604,""))</f>
        <v/>
      </c>
      <c r="G2364" s="44" t="str">
        <f t="array" ref="G2364">IF(B2364="","",_xlfn.XLOOKUP(B2364,'Form responses 1'!$B$2:$B$2604,'Form responses 1'!$E$2:$E$2604,""))</f>
        <v/>
      </c>
      <c r="H2364" s="44" t="str">
        <f t="array" ref="H2364">IF(B2364="","",_xlfn.XLOOKUP(B2364,'Form responses 1'!$B$2:$B$2604,'Form responses 1'!$F$2:$F$2604,""))</f>
        <v/>
      </c>
      <c r="I2364" s="44" t="str">
        <f t="array" ref="I2364">IF(B2364="","",_xlfn.XLOOKUP(B2364,'Form responses 1'!$B$2:$B$2604,'Form responses 1'!$I$2:$I$2604,""))</f>
        <v/>
      </c>
      <c r="J2364" s="44" t="str">
        <f t="array" ref="J2364">IF(B2364="","",_xlfn.XLOOKUP(B2364,'Form responses 1'!$B$2:$B$2604,'Form responses 1'!$G$2:$G$2604,""))</f>
        <v/>
      </c>
      <c r="K2364" s="56"/>
      <c r="L2364" s="58" t="str">
        <f t="shared" si="7"/>
        <v/>
      </c>
      <c r="M2364" s="49"/>
      <c r="N2364" s="49"/>
      <c r="O2364" s="49"/>
      <c r="P2364" s="49"/>
      <c r="Q2364" s="49"/>
      <c r="R2364" s="49"/>
      <c r="S2364" s="49"/>
      <c r="T2364" s="49"/>
      <c r="U2364" s="49"/>
      <c r="V2364" s="49"/>
      <c r="W2364" s="56"/>
      <c r="X2364" s="51" t="str">
        <f t="shared" si="5"/>
        <v/>
      </c>
      <c r="Y2364" s="50" t="s">
        <v>482</v>
      </c>
      <c r="Z2364" s="49">
        <f t="shared" si="6"/>
        <v>0</v>
      </c>
    </row>
    <row r="2365" ht="22.5" customHeight="1">
      <c r="B2365" s="57"/>
      <c r="C2365" s="43" t="str">
        <f t="array" ref="C2365">IF(B2365="","",_xlfn.XLOOKUP(B2365,'Form responses 1'!$B$2:$B$2604,'Form responses 1'!$A$2:$A$2604,""))</f>
        <v/>
      </c>
      <c r="D2365" s="44" t="str">
        <f t="shared" si="3"/>
        <v/>
      </c>
      <c r="E2365" s="44" t="str">
        <f t="array" ref="E2365">IF(B2365="","",_xlfn.XLOOKUP(B2365,'Form responses 1'!$B$2:$B$2604,'Form responses 1'!$C$2:$C$2604,""))</f>
        <v/>
      </c>
      <c r="F2365" s="44" t="str">
        <f t="array" ref="F2365">IF(B2365="","",_xlfn.XLOOKUP(B2365,'Form responses 1'!$B$2:$B$2604,'Form responses 1'!$D$2:$D$2604,""))</f>
        <v/>
      </c>
      <c r="G2365" s="44" t="str">
        <f t="array" ref="G2365">IF(B2365="","",_xlfn.XLOOKUP(B2365,'Form responses 1'!$B$2:$B$2604,'Form responses 1'!$E$2:$E$2604,""))</f>
        <v/>
      </c>
      <c r="H2365" s="44" t="str">
        <f t="array" ref="H2365">IF(B2365="","",_xlfn.XLOOKUP(B2365,'Form responses 1'!$B$2:$B$2604,'Form responses 1'!$F$2:$F$2604,""))</f>
        <v/>
      </c>
      <c r="I2365" s="44" t="str">
        <f t="array" ref="I2365">IF(B2365="","",_xlfn.XLOOKUP(B2365,'Form responses 1'!$B$2:$B$2604,'Form responses 1'!$I$2:$I$2604,""))</f>
        <v/>
      </c>
      <c r="J2365" s="44" t="str">
        <f t="array" ref="J2365">IF(B2365="","",_xlfn.XLOOKUP(B2365,'Form responses 1'!$B$2:$B$2604,'Form responses 1'!$G$2:$G$2604,""))</f>
        <v/>
      </c>
      <c r="K2365" s="56"/>
      <c r="L2365" s="58" t="str">
        <f t="shared" si="7"/>
        <v/>
      </c>
      <c r="M2365" s="49"/>
      <c r="N2365" s="49"/>
      <c r="O2365" s="49"/>
      <c r="P2365" s="49"/>
      <c r="Q2365" s="49"/>
      <c r="R2365" s="49"/>
      <c r="S2365" s="49"/>
      <c r="T2365" s="49"/>
      <c r="U2365" s="49"/>
      <c r="V2365" s="49"/>
      <c r="W2365" s="56"/>
      <c r="X2365" s="51" t="str">
        <f t="shared" si="5"/>
        <v/>
      </c>
      <c r="Y2365" s="50" t="s">
        <v>482</v>
      </c>
      <c r="Z2365" s="49">
        <f t="shared" si="6"/>
        <v>0</v>
      </c>
    </row>
    <row r="2366" ht="22.5" customHeight="1">
      <c r="B2366" s="57"/>
      <c r="C2366" s="43" t="str">
        <f t="array" ref="C2366">IF(B2366="","",_xlfn.XLOOKUP(B2366,'Form responses 1'!$B$2:$B$2604,'Form responses 1'!$A$2:$A$2604,""))</f>
        <v/>
      </c>
      <c r="D2366" s="44" t="str">
        <f t="shared" si="3"/>
        <v/>
      </c>
      <c r="E2366" s="44" t="str">
        <f t="array" ref="E2366">IF(B2366="","",_xlfn.XLOOKUP(B2366,'Form responses 1'!$B$2:$B$2604,'Form responses 1'!$C$2:$C$2604,""))</f>
        <v/>
      </c>
      <c r="F2366" s="44" t="str">
        <f t="array" ref="F2366">IF(B2366="","",_xlfn.XLOOKUP(B2366,'Form responses 1'!$B$2:$B$2604,'Form responses 1'!$D$2:$D$2604,""))</f>
        <v/>
      </c>
      <c r="G2366" s="44" t="str">
        <f t="array" ref="G2366">IF(B2366="","",_xlfn.XLOOKUP(B2366,'Form responses 1'!$B$2:$B$2604,'Form responses 1'!$E$2:$E$2604,""))</f>
        <v/>
      </c>
      <c r="H2366" s="44" t="str">
        <f t="array" ref="H2366">IF(B2366="","",_xlfn.XLOOKUP(B2366,'Form responses 1'!$B$2:$B$2604,'Form responses 1'!$F$2:$F$2604,""))</f>
        <v/>
      </c>
      <c r="I2366" s="44" t="str">
        <f t="array" ref="I2366">IF(B2366="","",_xlfn.XLOOKUP(B2366,'Form responses 1'!$B$2:$B$2604,'Form responses 1'!$I$2:$I$2604,""))</f>
        <v/>
      </c>
      <c r="J2366" s="44" t="str">
        <f t="array" ref="J2366">IF(B2366="","",_xlfn.XLOOKUP(B2366,'Form responses 1'!$B$2:$B$2604,'Form responses 1'!$G$2:$G$2604,""))</f>
        <v/>
      </c>
      <c r="K2366" s="56"/>
      <c r="L2366" s="58" t="str">
        <f t="shared" si="7"/>
        <v/>
      </c>
      <c r="M2366" s="49"/>
      <c r="N2366" s="49"/>
      <c r="O2366" s="49"/>
      <c r="P2366" s="49"/>
      <c r="Q2366" s="49"/>
      <c r="R2366" s="49"/>
      <c r="S2366" s="49"/>
      <c r="T2366" s="49"/>
      <c r="U2366" s="49"/>
      <c r="V2366" s="49"/>
      <c r="W2366" s="56"/>
      <c r="X2366" s="51" t="str">
        <f t="shared" si="5"/>
        <v/>
      </c>
      <c r="Y2366" s="50" t="s">
        <v>482</v>
      </c>
      <c r="Z2366" s="49">
        <f t="shared" si="6"/>
        <v>0</v>
      </c>
    </row>
    <row r="2367" ht="22.5" customHeight="1">
      <c r="B2367" s="57"/>
      <c r="C2367" s="43" t="str">
        <f t="array" ref="C2367">IF(B2367="","",_xlfn.XLOOKUP(B2367,'Form responses 1'!$B$2:$B$2604,'Form responses 1'!$A$2:$A$2604,""))</f>
        <v/>
      </c>
      <c r="D2367" s="44" t="str">
        <f t="shared" si="3"/>
        <v/>
      </c>
      <c r="E2367" s="44" t="str">
        <f t="array" ref="E2367">IF(B2367="","",_xlfn.XLOOKUP(B2367,'Form responses 1'!$B$2:$B$2604,'Form responses 1'!$C$2:$C$2604,""))</f>
        <v/>
      </c>
      <c r="F2367" s="44" t="str">
        <f t="array" ref="F2367">IF(B2367="","",_xlfn.XLOOKUP(B2367,'Form responses 1'!$B$2:$B$2604,'Form responses 1'!$D$2:$D$2604,""))</f>
        <v/>
      </c>
      <c r="G2367" s="44" t="str">
        <f t="array" ref="G2367">IF(B2367="","",_xlfn.XLOOKUP(B2367,'Form responses 1'!$B$2:$B$2604,'Form responses 1'!$E$2:$E$2604,""))</f>
        <v/>
      </c>
      <c r="H2367" s="44" t="str">
        <f t="array" ref="H2367">IF(B2367="","",_xlfn.XLOOKUP(B2367,'Form responses 1'!$B$2:$B$2604,'Form responses 1'!$F$2:$F$2604,""))</f>
        <v/>
      </c>
      <c r="I2367" s="44" t="str">
        <f t="array" ref="I2367">IF(B2367="","",_xlfn.XLOOKUP(B2367,'Form responses 1'!$B$2:$B$2604,'Form responses 1'!$I$2:$I$2604,""))</f>
        <v/>
      </c>
      <c r="J2367" s="44" t="str">
        <f t="array" ref="J2367">IF(B2367="","",_xlfn.XLOOKUP(B2367,'Form responses 1'!$B$2:$B$2604,'Form responses 1'!$G$2:$G$2604,""))</f>
        <v/>
      </c>
      <c r="K2367" s="56"/>
      <c r="L2367" s="58" t="str">
        <f t="shared" si="7"/>
        <v/>
      </c>
      <c r="M2367" s="49"/>
      <c r="N2367" s="49"/>
      <c r="O2367" s="49"/>
      <c r="P2367" s="49"/>
      <c r="Q2367" s="49"/>
      <c r="R2367" s="49"/>
      <c r="S2367" s="49"/>
      <c r="T2367" s="49"/>
      <c r="U2367" s="49"/>
      <c r="V2367" s="49"/>
      <c r="W2367" s="56"/>
      <c r="X2367" s="51" t="str">
        <f t="shared" si="5"/>
        <v/>
      </c>
      <c r="Y2367" s="50" t="s">
        <v>482</v>
      </c>
      <c r="Z2367" s="49">
        <f t="shared" si="6"/>
        <v>0</v>
      </c>
    </row>
    <row r="2368" ht="22.5" customHeight="1">
      <c r="B2368" s="57"/>
      <c r="C2368" s="43" t="str">
        <f t="array" ref="C2368">IF(B2368="","",_xlfn.XLOOKUP(B2368,'Form responses 1'!$B$2:$B$2604,'Form responses 1'!$A$2:$A$2604,""))</f>
        <v/>
      </c>
      <c r="D2368" s="44" t="str">
        <f t="shared" si="3"/>
        <v/>
      </c>
      <c r="E2368" s="44" t="str">
        <f t="array" ref="E2368">IF(B2368="","",_xlfn.XLOOKUP(B2368,'Form responses 1'!$B$2:$B$2604,'Form responses 1'!$C$2:$C$2604,""))</f>
        <v/>
      </c>
      <c r="F2368" s="44" t="str">
        <f t="array" ref="F2368">IF(B2368="","",_xlfn.XLOOKUP(B2368,'Form responses 1'!$B$2:$B$2604,'Form responses 1'!$D$2:$D$2604,""))</f>
        <v/>
      </c>
      <c r="G2368" s="44" t="str">
        <f t="array" ref="G2368">IF(B2368="","",_xlfn.XLOOKUP(B2368,'Form responses 1'!$B$2:$B$2604,'Form responses 1'!$E$2:$E$2604,""))</f>
        <v/>
      </c>
      <c r="H2368" s="44" t="str">
        <f t="array" ref="H2368">IF(B2368="","",_xlfn.XLOOKUP(B2368,'Form responses 1'!$B$2:$B$2604,'Form responses 1'!$F$2:$F$2604,""))</f>
        <v/>
      </c>
      <c r="I2368" s="44" t="str">
        <f t="array" ref="I2368">IF(B2368="","",_xlfn.XLOOKUP(B2368,'Form responses 1'!$B$2:$B$2604,'Form responses 1'!$I$2:$I$2604,""))</f>
        <v/>
      </c>
      <c r="J2368" s="44" t="str">
        <f t="array" ref="J2368">IF(B2368="","",_xlfn.XLOOKUP(B2368,'Form responses 1'!$B$2:$B$2604,'Form responses 1'!$G$2:$G$2604,""))</f>
        <v/>
      </c>
      <c r="K2368" s="56"/>
      <c r="L2368" s="58" t="str">
        <f t="shared" si="7"/>
        <v/>
      </c>
      <c r="M2368" s="49"/>
      <c r="N2368" s="49"/>
      <c r="O2368" s="49"/>
      <c r="P2368" s="49"/>
      <c r="Q2368" s="49"/>
      <c r="R2368" s="49"/>
      <c r="S2368" s="49"/>
      <c r="T2368" s="49"/>
      <c r="U2368" s="49"/>
      <c r="V2368" s="49"/>
      <c r="W2368" s="56"/>
      <c r="X2368" s="51" t="str">
        <f t="shared" si="5"/>
        <v/>
      </c>
      <c r="Y2368" s="50" t="s">
        <v>482</v>
      </c>
      <c r="Z2368" s="49">
        <f t="shared" si="6"/>
        <v>0</v>
      </c>
    </row>
    <row r="2369" ht="22.5" customHeight="1">
      <c r="B2369" s="57"/>
      <c r="C2369" s="43" t="str">
        <f t="array" ref="C2369">IF(B2369="","",_xlfn.XLOOKUP(B2369,'Form responses 1'!$B$2:$B$2604,'Form responses 1'!$A$2:$A$2604,""))</f>
        <v/>
      </c>
      <c r="D2369" s="44" t="str">
        <f t="shared" si="3"/>
        <v/>
      </c>
      <c r="E2369" s="44" t="str">
        <f t="array" ref="E2369">IF(B2369="","",_xlfn.XLOOKUP(B2369,'Form responses 1'!$B$2:$B$2604,'Form responses 1'!$C$2:$C$2604,""))</f>
        <v/>
      </c>
      <c r="F2369" s="44" t="str">
        <f t="array" ref="F2369">IF(B2369="","",_xlfn.XLOOKUP(B2369,'Form responses 1'!$B$2:$B$2604,'Form responses 1'!$D$2:$D$2604,""))</f>
        <v/>
      </c>
      <c r="G2369" s="44" t="str">
        <f t="array" ref="G2369">IF(B2369="","",_xlfn.XLOOKUP(B2369,'Form responses 1'!$B$2:$B$2604,'Form responses 1'!$E$2:$E$2604,""))</f>
        <v/>
      </c>
      <c r="H2369" s="44" t="str">
        <f t="array" ref="H2369">IF(B2369="","",_xlfn.XLOOKUP(B2369,'Form responses 1'!$B$2:$B$2604,'Form responses 1'!$F$2:$F$2604,""))</f>
        <v/>
      </c>
      <c r="I2369" s="44" t="str">
        <f t="array" ref="I2369">IF(B2369="","",_xlfn.XLOOKUP(B2369,'Form responses 1'!$B$2:$B$2604,'Form responses 1'!$I$2:$I$2604,""))</f>
        <v/>
      </c>
      <c r="J2369" s="44" t="str">
        <f t="array" ref="J2369">IF(B2369="","",_xlfn.XLOOKUP(B2369,'Form responses 1'!$B$2:$B$2604,'Form responses 1'!$G$2:$G$2604,""))</f>
        <v/>
      </c>
      <c r="K2369" s="56"/>
      <c r="L2369" s="58" t="str">
        <f t="shared" si="7"/>
        <v/>
      </c>
      <c r="M2369" s="49"/>
      <c r="N2369" s="49"/>
      <c r="O2369" s="49"/>
      <c r="P2369" s="49"/>
      <c r="Q2369" s="49"/>
      <c r="R2369" s="49"/>
      <c r="S2369" s="49"/>
      <c r="T2369" s="49"/>
      <c r="U2369" s="49"/>
      <c r="V2369" s="49"/>
      <c r="W2369" s="56"/>
      <c r="X2369" s="51" t="str">
        <f t="shared" si="5"/>
        <v/>
      </c>
      <c r="Y2369" s="50" t="s">
        <v>482</v>
      </c>
      <c r="Z2369" s="49">
        <f t="shared" si="6"/>
        <v>0</v>
      </c>
    </row>
    <row r="2370" ht="22.5" customHeight="1">
      <c r="B2370" s="57"/>
      <c r="C2370" s="43" t="str">
        <f t="array" ref="C2370">IF(B2370="","",_xlfn.XLOOKUP(B2370,'Form responses 1'!$B$2:$B$2604,'Form responses 1'!$A$2:$A$2604,""))</f>
        <v/>
      </c>
      <c r="D2370" s="44" t="str">
        <f t="shared" si="3"/>
        <v/>
      </c>
      <c r="E2370" s="44" t="str">
        <f t="array" ref="E2370">IF(B2370="","",_xlfn.XLOOKUP(B2370,'Form responses 1'!$B$2:$B$2604,'Form responses 1'!$C$2:$C$2604,""))</f>
        <v/>
      </c>
      <c r="F2370" s="44" t="str">
        <f t="array" ref="F2370">IF(B2370="","",_xlfn.XLOOKUP(B2370,'Form responses 1'!$B$2:$B$2604,'Form responses 1'!$D$2:$D$2604,""))</f>
        <v/>
      </c>
      <c r="G2370" s="44" t="str">
        <f t="array" ref="G2370">IF(B2370="","",_xlfn.XLOOKUP(B2370,'Form responses 1'!$B$2:$B$2604,'Form responses 1'!$E$2:$E$2604,""))</f>
        <v/>
      </c>
      <c r="H2370" s="44" t="str">
        <f t="array" ref="H2370">IF(B2370="","",_xlfn.XLOOKUP(B2370,'Form responses 1'!$B$2:$B$2604,'Form responses 1'!$F$2:$F$2604,""))</f>
        <v/>
      </c>
      <c r="I2370" s="44" t="str">
        <f t="array" ref="I2370">IF(B2370="","",_xlfn.XLOOKUP(B2370,'Form responses 1'!$B$2:$B$2604,'Form responses 1'!$I$2:$I$2604,""))</f>
        <v/>
      </c>
      <c r="J2370" s="44" t="str">
        <f t="array" ref="J2370">IF(B2370="","",_xlfn.XLOOKUP(B2370,'Form responses 1'!$B$2:$B$2604,'Form responses 1'!$G$2:$G$2604,""))</f>
        <v/>
      </c>
      <c r="K2370" s="56"/>
      <c r="L2370" s="58" t="str">
        <f t="shared" si="7"/>
        <v/>
      </c>
      <c r="M2370" s="49"/>
      <c r="N2370" s="49"/>
      <c r="O2370" s="49"/>
      <c r="P2370" s="49"/>
      <c r="Q2370" s="49"/>
      <c r="R2370" s="49"/>
      <c r="S2370" s="49"/>
      <c r="T2370" s="49"/>
      <c r="U2370" s="49"/>
      <c r="V2370" s="49"/>
      <c r="W2370" s="56"/>
      <c r="X2370" s="51" t="str">
        <f t="shared" si="5"/>
        <v/>
      </c>
      <c r="Y2370" s="50" t="s">
        <v>482</v>
      </c>
      <c r="Z2370" s="49">
        <f t="shared" si="6"/>
        <v>0</v>
      </c>
    </row>
    <row r="2371" ht="22.5" customHeight="1">
      <c r="B2371" s="57"/>
      <c r="C2371" s="43" t="str">
        <f t="array" ref="C2371">IF(B2371="","",_xlfn.XLOOKUP(B2371,'Form responses 1'!$B$2:$B$2604,'Form responses 1'!$A$2:$A$2604,""))</f>
        <v/>
      </c>
      <c r="D2371" s="44" t="str">
        <f t="shared" si="3"/>
        <v/>
      </c>
      <c r="E2371" s="44" t="str">
        <f t="array" ref="E2371">IF(B2371="","",_xlfn.XLOOKUP(B2371,'Form responses 1'!$B$2:$B$2604,'Form responses 1'!$C$2:$C$2604,""))</f>
        <v/>
      </c>
      <c r="F2371" s="44" t="str">
        <f t="array" ref="F2371">IF(B2371="","",_xlfn.XLOOKUP(B2371,'Form responses 1'!$B$2:$B$2604,'Form responses 1'!$D$2:$D$2604,""))</f>
        <v/>
      </c>
      <c r="G2371" s="44" t="str">
        <f t="array" ref="G2371">IF(B2371="","",_xlfn.XLOOKUP(B2371,'Form responses 1'!$B$2:$B$2604,'Form responses 1'!$E$2:$E$2604,""))</f>
        <v/>
      </c>
      <c r="H2371" s="44" t="str">
        <f t="array" ref="H2371">IF(B2371="","",_xlfn.XLOOKUP(B2371,'Form responses 1'!$B$2:$B$2604,'Form responses 1'!$F$2:$F$2604,""))</f>
        <v/>
      </c>
      <c r="I2371" s="44" t="str">
        <f t="array" ref="I2371">IF(B2371="","",_xlfn.XLOOKUP(B2371,'Form responses 1'!$B$2:$B$2604,'Form responses 1'!$I$2:$I$2604,""))</f>
        <v/>
      </c>
      <c r="J2371" s="44" t="str">
        <f t="array" ref="J2371">IF(B2371="","",_xlfn.XLOOKUP(B2371,'Form responses 1'!$B$2:$B$2604,'Form responses 1'!$G$2:$G$2604,""))</f>
        <v/>
      </c>
      <c r="K2371" s="56"/>
      <c r="L2371" s="58" t="str">
        <f t="shared" si="7"/>
        <v/>
      </c>
      <c r="M2371" s="49"/>
      <c r="N2371" s="49"/>
      <c r="O2371" s="49"/>
      <c r="P2371" s="49"/>
      <c r="Q2371" s="49"/>
      <c r="R2371" s="49"/>
      <c r="S2371" s="49"/>
      <c r="T2371" s="49"/>
      <c r="U2371" s="49"/>
      <c r="V2371" s="49"/>
      <c r="W2371" s="56"/>
      <c r="X2371" s="51" t="str">
        <f t="shared" si="5"/>
        <v/>
      </c>
      <c r="Y2371" s="50" t="s">
        <v>482</v>
      </c>
      <c r="Z2371" s="49">
        <f t="shared" si="6"/>
        <v>0</v>
      </c>
    </row>
    <row r="2372" ht="22.5" customHeight="1">
      <c r="B2372" s="57"/>
      <c r="C2372" s="43" t="str">
        <f t="array" ref="C2372">IF(B2372="","",_xlfn.XLOOKUP(B2372,'Form responses 1'!$B$2:$B$2604,'Form responses 1'!$A$2:$A$2604,""))</f>
        <v/>
      </c>
      <c r="D2372" s="44" t="str">
        <f t="shared" si="3"/>
        <v/>
      </c>
      <c r="E2372" s="44" t="str">
        <f t="array" ref="E2372">IF(B2372="","",_xlfn.XLOOKUP(B2372,'Form responses 1'!$B$2:$B$2604,'Form responses 1'!$C$2:$C$2604,""))</f>
        <v/>
      </c>
      <c r="F2372" s="44" t="str">
        <f t="array" ref="F2372">IF(B2372="","",_xlfn.XLOOKUP(B2372,'Form responses 1'!$B$2:$B$2604,'Form responses 1'!$D$2:$D$2604,""))</f>
        <v/>
      </c>
      <c r="G2372" s="44" t="str">
        <f t="array" ref="G2372">IF(B2372="","",_xlfn.XLOOKUP(B2372,'Form responses 1'!$B$2:$B$2604,'Form responses 1'!$E$2:$E$2604,""))</f>
        <v/>
      </c>
      <c r="H2372" s="44" t="str">
        <f t="array" ref="H2372">IF(B2372="","",_xlfn.XLOOKUP(B2372,'Form responses 1'!$B$2:$B$2604,'Form responses 1'!$F$2:$F$2604,""))</f>
        <v/>
      </c>
      <c r="I2372" s="44" t="str">
        <f t="array" ref="I2372">IF(B2372="","",_xlfn.XLOOKUP(B2372,'Form responses 1'!$B$2:$B$2604,'Form responses 1'!$I$2:$I$2604,""))</f>
        <v/>
      </c>
      <c r="J2372" s="44" t="str">
        <f t="array" ref="J2372">IF(B2372="","",_xlfn.XLOOKUP(B2372,'Form responses 1'!$B$2:$B$2604,'Form responses 1'!$G$2:$G$2604,""))</f>
        <v/>
      </c>
      <c r="K2372" s="56"/>
      <c r="L2372" s="58" t="str">
        <f t="shared" si="7"/>
        <v/>
      </c>
      <c r="M2372" s="49"/>
      <c r="N2372" s="49"/>
      <c r="O2372" s="49"/>
      <c r="P2372" s="49"/>
      <c r="Q2372" s="49"/>
      <c r="R2372" s="49"/>
      <c r="S2372" s="49"/>
      <c r="T2372" s="49"/>
      <c r="U2372" s="49"/>
      <c r="V2372" s="49"/>
      <c r="W2372" s="56"/>
      <c r="X2372" s="51" t="str">
        <f t="shared" si="5"/>
        <v/>
      </c>
      <c r="Y2372" s="50" t="s">
        <v>482</v>
      </c>
      <c r="Z2372" s="49">
        <f t="shared" si="6"/>
        <v>0</v>
      </c>
    </row>
    <row r="2373" ht="22.5" customHeight="1">
      <c r="B2373" s="57"/>
      <c r="C2373" s="43" t="str">
        <f t="array" ref="C2373">IF(B2373="","",_xlfn.XLOOKUP(B2373,'Form responses 1'!$B$2:$B$2604,'Form responses 1'!$A$2:$A$2604,""))</f>
        <v/>
      </c>
      <c r="D2373" s="44" t="str">
        <f t="shared" si="3"/>
        <v/>
      </c>
      <c r="E2373" s="44" t="str">
        <f t="array" ref="E2373">IF(B2373="","",_xlfn.XLOOKUP(B2373,'Form responses 1'!$B$2:$B$2604,'Form responses 1'!$C$2:$C$2604,""))</f>
        <v/>
      </c>
      <c r="F2373" s="44" t="str">
        <f t="array" ref="F2373">IF(B2373="","",_xlfn.XLOOKUP(B2373,'Form responses 1'!$B$2:$B$2604,'Form responses 1'!$D$2:$D$2604,""))</f>
        <v/>
      </c>
      <c r="G2373" s="44" t="str">
        <f t="array" ref="G2373">IF(B2373="","",_xlfn.XLOOKUP(B2373,'Form responses 1'!$B$2:$B$2604,'Form responses 1'!$E$2:$E$2604,""))</f>
        <v/>
      </c>
      <c r="H2373" s="44" t="str">
        <f t="array" ref="H2373">IF(B2373="","",_xlfn.XLOOKUP(B2373,'Form responses 1'!$B$2:$B$2604,'Form responses 1'!$F$2:$F$2604,""))</f>
        <v/>
      </c>
      <c r="I2373" s="44" t="str">
        <f t="array" ref="I2373">IF(B2373="","",_xlfn.XLOOKUP(B2373,'Form responses 1'!$B$2:$B$2604,'Form responses 1'!$I$2:$I$2604,""))</f>
        <v/>
      </c>
      <c r="J2373" s="44" t="str">
        <f t="array" ref="J2373">IF(B2373="","",_xlfn.XLOOKUP(B2373,'Form responses 1'!$B$2:$B$2604,'Form responses 1'!$G$2:$G$2604,""))</f>
        <v/>
      </c>
      <c r="K2373" s="56"/>
      <c r="L2373" s="58" t="str">
        <f t="shared" si="7"/>
        <v/>
      </c>
      <c r="M2373" s="49"/>
      <c r="N2373" s="49"/>
      <c r="O2373" s="49"/>
      <c r="P2373" s="49"/>
      <c r="Q2373" s="49"/>
      <c r="R2373" s="49"/>
      <c r="S2373" s="49"/>
      <c r="T2373" s="49"/>
      <c r="U2373" s="49"/>
      <c r="V2373" s="49"/>
      <c r="W2373" s="56"/>
      <c r="X2373" s="51" t="str">
        <f t="shared" si="5"/>
        <v/>
      </c>
      <c r="Y2373" s="50" t="s">
        <v>482</v>
      </c>
      <c r="Z2373" s="49">
        <f t="shared" si="6"/>
        <v>0</v>
      </c>
    </row>
    <row r="2374" ht="22.5" customHeight="1">
      <c r="B2374" s="57"/>
      <c r="C2374" s="43" t="str">
        <f t="array" ref="C2374">IF(B2374="","",_xlfn.XLOOKUP(B2374,'Form responses 1'!$B$2:$B$2604,'Form responses 1'!$A$2:$A$2604,""))</f>
        <v/>
      </c>
      <c r="D2374" s="44" t="str">
        <f t="shared" si="3"/>
        <v/>
      </c>
      <c r="E2374" s="44" t="str">
        <f t="array" ref="E2374">IF(B2374="","",_xlfn.XLOOKUP(B2374,'Form responses 1'!$B$2:$B$2604,'Form responses 1'!$C$2:$C$2604,""))</f>
        <v/>
      </c>
      <c r="F2374" s="44" t="str">
        <f t="array" ref="F2374">IF(B2374="","",_xlfn.XLOOKUP(B2374,'Form responses 1'!$B$2:$B$2604,'Form responses 1'!$D$2:$D$2604,""))</f>
        <v/>
      </c>
      <c r="G2374" s="44" t="str">
        <f t="array" ref="G2374">IF(B2374="","",_xlfn.XLOOKUP(B2374,'Form responses 1'!$B$2:$B$2604,'Form responses 1'!$E$2:$E$2604,""))</f>
        <v/>
      </c>
      <c r="H2374" s="44" t="str">
        <f t="array" ref="H2374">IF(B2374="","",_xlfn.XLOOKUP(B2374,'Form responses 1'!$B$2:$B$2604,'Form responses 1'!$F$2:$F$2604,""))</f>
        <v/>
      </c>
      <c r="I2374" s="44" t="str">
        <f t="array" ref="I2374">IF(B2374="","",_xlfn.XLOOKUP(B2374,'Form responses 1'!$B$2:$B$2604,'Form responses 1'!$I$2:$I$2604,""))</f>
        <v/>
      </c>
      <c r="J2374" s="44" t="str">
        <f t="array" ref="J2374">IF(B2374="","",_xlfn.XLOOKUP(B2374,'Form responses 1'!$B$2:$B$2604,'Form responses 1'!$G$2:$G$2604,""))</f>
        <v/>
      </c>
      <c r="K2374" s="56"/>
      <c r="L2374" s="58" t="str">
        <f t="shared" si="7"/>
        <v/>
      </c>
      <c r="M2374" s="49"/>
      <c r="N2374" s="49"/>
      <c r="O2374" s="49"/>
      <c r="P2374" s="49"/>
      <c r="Q2374" s="49"/>
      <c r="R2374" s="49"/>
      <c r="S2374" s="49"/>
      <c r="T2374" s="49"/>
      <c r="U2374" s="49"/>
      <c r="V2374" s="49"/>
      <c r="W2374" s="56"/>
      <c r="X2374" s="51" t="str">
        <f t="shared" si="5"/>
        <v/>
      </c>
      <c r="Y2374" s="50" t="s">
        <v>482</v>
      </c>
      <c r="Z2374" s="49">
        <f t="shared" si="6"/>
        <v>0</v>
      </c>
    </row>
    <row r="2375" ht="22.5" customHeight="1">
      <c r="B2375" s="57"/>
      <c r="C2375" s="43" t="str">
        <f t="array" ref="C2375">IF(B2375="","",_xlfn.XLOOKUP(B2375,'Form responses 1'!$B$2:$B$2604,'Form responses 1'!$A$2:$A$2604,""))</f>
        <v/>
      </c>
      <c r="D2375" s="44" t="str">
        <f t="shared" si="3"/>
        <v/>
      </c>
      <c r="E2375" s="44" t="str">
        <f t="array" ref="E2375">IF(B2375="","",_xlfn.XLOOKUP(B2375,'Form responses 1'!$B$2:$B$2604,'Form responses 1'!$C$2:$C$2604,""))</f>
        <v/>
      </c>
      <c r="F2375" s="44" t="str">
        <f t="array" ref="F2375">IF(B2375="","",_xlfn.XLOOKUP(B2375,'Form responses 1'!$B$2:$B$2604,'Form responses 1'!$D$2:$D$2604,""))</f>
        <v/>
      </c>
      <c r="G2375" s="44" t="str">
        <f t="array" ref="G2375">IF(B2375="","",_xlfn.XLOOKUP(B2375,'Form responses 1'!$B$2:$B$2604,'Form responses 1'!$E$2:$E$2604,""))</f>
        <v/>
      </c>
      <c r="H2375" s="44" t="str">
        <f t="array" ref="H2375">IF(B2375="","",_xlfn.XLOOKUP(B2375,'Form responses 1'!$B$2:$B$2604,'Form responses 1'!$F$2:$F$2604,""))</f>
        <v/>
      </c>
      <c r="I2375" s="44" t="str">
        <f t="array" ref="I2375">IF(B2375="","",_xlfn.XLOOKUP(B2375,'Form responses 1'!$B$2:$B$2604,'Form responses 1'!$I$2:$I$2604,""))</f>
        <v/>
      </c>
      <c r="J2375" s="44" t="str">
        <f t="array" ref="J2375">IF(B2375="","",_xlfn.XLOOKUP(B2375,'Form responses 1'!$B$2:$B$2604,'Form responses 1'!$G$2:$G$2604,""))</f>
        <v/>
      </c>
      <c r="K2375" s="56"/>
      <c r="L2375" s="58" t="str">
        <f t="shared" si="7"/>
        <v/>
      </c>
      <c r="M2375" s="49"/>
      <c r="N2375" s="49"/>
      <c r="O2375" s="49"/>
      <c r="P2375" s="49"/>
      <c r="Q2375" s="49"/>
      <c r="R2375" s="49"/>
      <c r="S2375" s="49"/>
      <c r="T2375" s="49"/>
      <c r="U2375" s="49"/>
      <c r="V2375" s="49"/>
      <c r="W2375" s="56"/>
      <c r="X2375" s="51" t="str">
        <f t="shared" si="5"/>
        <v/>
      </c>
      <c r="Y2375" s="50" t="s">
        <v>482</v>
      </c>
      <c r="Z2375" s="49">
        <f t="shared" si="6"/>
        <v>0</v>
      </c>
    </row>
    <row r="2376" ht="22.5" customHeight="1">
      <c r="B2376" s="57"/>
      <c r="C2376" s="43" t="str">
        <f t="array" ref="C2376">IF(B2376="","",_xlfn.XLOOKUP(B2376,'Form responses 1'!$B$2:$B$2604,'Form responses 1'!$A$2:$A$2604,""))</f>
        <v/>
      </c>
      <c r="D2376" s="44" t="str">
        <f t="shared" si="3"/>
        <v/>
      </c>
      <c r="E2376" s="44" t="str">
        <f t="array" ref="E2376">IF(B2376="","",_xlfn.XLOOKUP(B2376,'Form responses 1'!$B$2:$B$2604,'Form responses 1'!$C$2:$C$2604,""))</f>
        <v/>
      </c>
      <c r="F2376" s="44" t="str">
        <f t="array" ref="F2376">IF(B2376="","",_xlfn.XLOOKUP(B2376,'Form responses 1'!$B$2:$B$2604,'Form responses 1'!$D$2:$D$2604,""))</f>
        <v/>
      </c>
      <c r="G2376" s="44" t="str">
        <f t="array" ref="G2376">IF(B2376="","",_xlfn.XLOOKUP(B2376,'Form responses 1'!$B$2:$B$2604,'Form responses 1'!$E$2:$E$2604,""))</f>
        <v/>
      </c>
      <c r="H2376" s="44" t="str">
        <f t="array" ref="H2376">IF(B2376="","",_xlfn.XLOOKUP(B2376,'Form responses 1'!$B$2:$B$2604,'Form responses 1'!$F$2:$F$2604,""))</f>
        <v/>
      </c>
      <c r="I2376" s="44" t="str">
        <f t="array" ref="I2376">IF(B2376="","",_xlfn.XLOOKUP(B2376,'Form responses 1'!$B$2:$B$2604,'Form responses 1'!$I$2:$I$2604,""))</f>
        <v/>
      </c>
      <c r="J2376" s="44" t="str">
        <f t="array" ref="J2376">IF(B2376="","",_xlfn.XLOOKUP(B2376,'Form responses 1'!$B$2:$B$2604,'Form responses 1'!$G$2:$G$2604,""))</f>
        <v/>
      </c>
      <c r="K2376" s="56"/>
      <c r="L2376" s="58" t="str">
        <f t="shared" si="7"/>
        <v/>
      </c>
      <c r="M2376" s="49"/>
      <c r="N2376" s="49"/>
      <c r="O2376" s="49"/>
      <c r="P2376" s="49"/>
      <c r="Q2376" s="49"/>
      <c r="R2376" s="49"/>
      <c r="S2376" s="49"/>
      <c r="T2376" s="49"/>
      <c r="U2376" s="49"/>
      <c r="V2376" s="49"/>
      <c r="W2376" s="56"/>
      <c r="X2376" s="51" t="str">
        <f t="shared" si="5"/>
        <v/>
      </c>
      <c r="Y2376" s="50" t="s">
        <v>482</v>
      </c>
      <c r="Z2376" s="49">
        <f t="shared" si="6"/>
        <v>0</v>
      </c>
    </row>
    <row r="2377" ht="22.5" customHeight="1">
      <c r="B2377" s="57"/>
      <c r="C2377" s="43" t="str">
        <f t="array" ref="C2377">IF(B2377="","",_xlfn.XLOOKUP(B2377,'Form responses 1'!$B$2:$B$2604,'Form responses 1'!$A$2:$A$2604,""))</f>
        <v/>
      </c>
      <c r="D2377" s="44" t="str">
        <f t="shared" si="3"/>
        <v/>
      </c>
      <c r="E2377" s="44" t="str">
        <f t="array" ref="E2377">IF(B2377="","",_xlfn.XLOOKUP(B2377,'Form responses 1'!$B$2:$B$2604,'Form responses 1'!$C$2:$C$2604,""))</f>
        <v/>
      </c>
      <c r="F2377" s="44" t="str">
        <f t="array" ref="F2377">IF(B2377="","",_xlfn.XLOOKUP(B2377,'Form responses 1'!$B$2:$B$2604,'Form responses 1'!$D$2:$D$2604,""))</f>
        <v/>
      </c>
      <c r="G2377" s="44" t="str">
        <f t="array" ref="G2377">IF(B2377="","",_xlfn.XLOOKUP(B2377,'Form responses 1'!$B$2:$B$2604,'Form responses 1'!$E$2:$E$2604,""))</f>
        <v/>
      </c>
      <c r="H2377" s="44" t="str">
        <f t="array" ref="H2377">IF(B2377="","",_xlfn.XLOOKUP(B2377,'Form responses 1'!$B$2:$B$2604,'Form responses 1'!$F$2:$F$2604,""))</f>
        <v/>
      </c>
      <c r="I2377" s="44" t="str">
        <f t="array" ref="I2377">IF(B2377="","",_xlfn.XLOOKUP(B2377,'Form responses 1'!$B$2:$B$2604,'Form responses 1'!$I$2:$I$2604,""))</f>
        <v/>
      </c>
      <c r="J2377" s="44" t="str">
        <f t="array" ref="J2377">IF(B2377="","",_xlfn.XLOOKUP(B2377,'Form responses 1'!$B$2:$B$2604,'Form responses 1'!$G$2:$G$2604,""))</f>
        <v/>
      </c>
      <c r="K2377" s="56"/>
      <c r="L2377" s="58" t="str">
        <f t="shared" si="7"/>
        <v/>
      </c>
      <c r="M2377" s="49"/>
      <c r="N2377" s="49"/>
      <c r="O2377" s="49"/>
      <c r="P2377" s="49"/>
      <c r="Q2377" s="49"/>
      <c r="R2377" s="49"/>
      <c r="S2377" s="49"/>
      <c r="T2377" s="49"/>
      <c r="U2377" s="49"/>
      <c r="V2377" s="49"/>
      <c r="W2377" s="56"/>
      <c r="X2377" s="51" t="str">
        <f t="shared" si="5"/>
        <v/>
      </c>
      <c r="Y2377" s="50" t="s">
        <v>482</v>
      </c>
      <c r="Z2377" s="49">
        <f t="shared" si="6"/>
        <v>0</v>
      </c>
    </row>
    <row r="2378" ht="22.5" customHeight="1">
      <c r="B2378" s="57"/>
      <c r="C2378" s="43" t="str">
        <f t="array" ref="C2378">IF(B2378="","",_xlfn.XLOOKUP(B2378,'Form responses 1'!$B$2:$B$2604,'Form responses 1'!$A$2:$A$2604,""))</f>
        <v/>
      </c>
      <c r="D2378" s="44" t="str">
        <f t="shared" si="3"/>
        <v/>
      </c>
      <c r="E2378" s="44" t="str">
        <f t="array" ref="E2378">IF(B2378="","",_xlfn.XLOOKUP(B2378,'Form responses 1'!$B$2:$B$2604,'Form responses 1'!$C$2:$C$2604,""))</f>
        <v/>
      </c>
      <c r="F2378" s="44" t="str">
        <f t="array" ref="F2378">IF(B2378="","",_xlfn.XLOOKUP(B2378,'Form responses 1'!$B$2:$B$2604,'Form responses 1'!$D$2:$D$2604,""))</f>
        <v/>
      </c>
      <c r="G2378" s="44" t="str">
        <f t="array" ref="G2378">IF(B2378="","",_xlfn.XLOOKUP(B2378,'Form responses 1'!$B$2:$B$2604,'Form responses 1'!$E$2:$E$2604,""))</f>
        <v/>
      </c>
      <c r="H2378" s="44" t="str">
        <f t="array" ref="H2378">IF(B2378="","",_xlfn.XLOOKUP(B2378,'Form responses 1'!$B$2:$B$2604,'Form responses 1'!$F$2:$F$2604,""))</f>
        <v/>
      </c>
      <c r="I2378" s="44" t="str">
        <f t="array" ref="I2378">IF(B2378="","",_xlfn.XLOOKUP(B2378,'Form responses 1'!$B$2:$B$2604,'Form responses 1'!$I$2:$I$2604,""))</f>
        <v/>
      </c>
      <c r="J2378" s="44" t="str">
        <f t="array" ref="J2378">IF(B2378="","",_xlfn.XLOOKUP(B2378,'Form responses 1'!$B$2:$B$2604,'Form responses 1'!$G$2:$G$2604,""))</f>
        <v/>
      </c>
      <c r="K2378" s="56"/>
      <c r="L2378" s="58" t="str">
        <f t="shared" si="7"/>
        <v/>
      </c>
      <c r="M2378" s="49"/>
      <c r="N2378" s="49"/>
      <c r="O2378" s="49"/>
      <c r="P2378" s="49"/>
      <c r="Q2378" s="49"/>
      <c r="R2378" s="49"/>
      <c r="S2378" s="49"/>
      <c r="T2378" s="49"/>
      <c r="U2378" s="49"/>
      <c r="V2378" s="49"/>
      <c r="W2378" s="56"/>
      <c r="X2378" s="51" t="str">
        <f t="shared" si="5"/>
        <v/>
      </c>
      <c r="Y2378" s="50" t="s">
        <v>482</v>
      </c>
      <c r="Z2378" s="49">
        <f t="shared" si="6"/>
        <v>0</v>
      </c>
    </row>
    <row r="2379" ht="22.5" customHeight="1">
      <c r="B2379" s="57"/>
      <c r="C2379" s="43" t="str">
        <f t="array" ref="C2379">IF(B2379="","",_xlfn.XLOOKUP(B2379,'Form responses 1'!$B$2:$B$2604,'Form responses 1'!$A$2:$A$2604,""))</f>
        <v/>
      </c>
      <c r="D2379" s="44" t="str">
        <f t="shared" si="3"/>
        <v/>
      </c>
      <c r="E2379" s="44" t="str">
        <f t="array" ref="E2379">IF(B2379="","",_xlfn.XLOOKUP(B2379,'Form responses 1'!$B$2:$B$2604,'Form responses 1'!$C$2:$C$2604,""))</f>
        <v/>
      </c>
      <c r="F2379" s="44" t="str">
        <f t="array" ref="F2379">IF(B2379="","",_xlfn.XLOOKUP(B2379,'Form responses 1'!$B$2:$B$2604,'Form responses 1'!$D$2:$D$2604,""))</f>
        <v/>
      </c>
      <c r="G2379" s="44" t="str">
        <f t="array" ref="G2379">IF(B2379="","",_xlfn.XLOOKUP(B2379,'Form responses 1'!$B$2:$B$2604,'Form responses 1'!$E$2:$E$2604,""))</f>
        <v/>
      </c>
      <c r="H2379" s="44" t="str">
        <f t="array" ref="H2379">IF(B2379="","",_xlfn.XLOOKUP(B2379,'Form responses 1'!$B$2:$B$2604,'Form responses 1'!$F$2:$F$2604,""))</f>
        <v/>
      </c>
      <c r="I2379" s="44" t="str">
        <f t="array" ref="I2379">IF(B2379="","",_xlfn.XLOOKUP(B2379,'Form responses 1'!$B$2:$B$2604,'Form responses 1'!$I$2:$I$2604,""))</f>
        <v/>
      </c>
      <c r="J2379" s="44" t="str">
        <f t="array" ref="J2379">IF(B2379="","",_xlfn.XLOOKUP(B2379,'Form responses 1'!$B$2:$B$2604,'Form responses 1'!$G$2:$G$2604,""))</f>
        <v/>
      </c>
      <c r="K2379" s="56"/>
      <c r="L2379" s="58" t="str">
        <f t="shared" si="7"/>
        <v/>
      </c>
      <c r="M2379" s="49"/>
      <c r="N2379" s="49"/>
      <c r="O2379" s="49"/>
      <c r="P2379" s="49"/>
      <c r="Q2379" s="49"/>
      <c r="R2379" s="49"/>
      <c r="S2379" s="49"/>
      <c r="T2379" s="49"/>
      <c r="U2379" s="49"/>
      <c r="V2379" s="49"/>
      <c r="W2379" s="56"/>
      <c r="X2379" s="51" t="str">
        <f t="shared" si="5"/>
        <v/>
      </c>
      <c r="Y2379" s="50" t="s">
        <v>482</v>
      </c>
      <c r="Z2379" s="49">
        <f t="shared" si="6"/>
        <v>0</v>
      </c>
    </row>
    <row r="2380" ht="22.5" customHeight="1">
      <c r="B2380" s="57"/>
      <c r="C2380" s="43" t="str">
        <f t="array" ref="C2380">IF(B2380="","",_xlfn.XLOOKUP(B2380,'Form responses 1'!$B$2:$B$2604,'Form responses 1'!$A$2:$A$2604,""))</f>
        <v/>
      </c>
      <c r="D2380" s="44" t="str">
        <f t="shared" si="3"/>
        <v/>
      </c>
      <c r="E2380" s="44" t="str">
        <f t="array" ref="E2380">IF(B2380="","",_xlfn.XLOOKUP(B2380,'Form responses 1'!$B$2:$B$2604,'Form responses 1'!$C$2:$C$2604,""))</f>
        <v/>
      </c>
      <c r="F2380" s="44" t="str">
        <f t="array" ref="F2380">IF(B2380="","",_xlfn.XLOOKUP(B2380,'Form responses 1'!$B$2:$B$2604,'Form responses 1'!$D$2:$D$2604,""))</f>
        <v/>
      </c>
      <c r="G2380" s="44" t="str">
        <f t="array" ref="G2380">IF(B2380="","",_xlfn.XLOOKUP(B2380,'Form responses 1'!$B$2:$B$2604,'Form responses 1'!$E$2:$E$2604,""))</f>
        <v/>
      </c>
      <c r="H2380" s="44" t="str">
        <f t="array" ref="H2380">IF(B2380="","",_xlfn.XLOOKUP(B2380,'Form responses 1'!$B$2:$B$2604,'Form responses 1'!$F$2:$F$2604,""))</f>
        <v/>
      </c>
      <c r="I2380" s="44" t="str">
        <f t="array" ref="I2380">IF(B2380="","",_xlfn.XLOOKUP(B2380,'Form responses 1'!$B$2:$B$2604,'Form responses 1'!$I$2:$I$2604,""))</f>
        <v/>
      </c>
      <c r="J2380" s="44" t="str">
        <f t="array" ref="J2380">IF(B2380="","",_xlfn.XLOOKUP(B2380,'Form responses 1'!$B$2:$B$2604,'Form responses 1'!$G$2:$G$2604,""))</f>
        <v/>
      </c>
      <c r="K2380" s="56"/>
      <c r="L2380" s="58" t="str">
        <f t="shared" si="7"/>
        <v/>
      </c>
      <c r="M2380" s="49"/>
      <c r="N2380" s="49"/>
      <c r="O2380" s="49"/>
      <c r="P2380" s="49"/>
      <c r="Q2380" s="49"/>
      <c r="R2380" s="49"/>
      <c r="S2380" s="49"/>
      <c r="T2380" s="49"/>
      <c r="U2380" s="49"/>
      <c r="V2380" s="49"/>
      <c r="W2380" s="56"/>
      <c r="X2380" s="51" t="str">
        <f t="shared" si="5"/>
        <v/>
      </c>
      <c r="Y2380" s="50" t="s">
        <v>482</v>
      </c>
      <c r="Z2380" s="49">
        <f t="shared" si="6"/>
        <v>0</v>
      </c>
    </row>
    <row r="2381" ht="22.5" customHeight="1">
      <c r="B2381" s="57"/>
      <c r="C2381" s="43" t="str">
        <f t="array" ref="C2381">IF(B2381="","",_xlfn.XLOOKUP(B2381,'Form responses 1'!$B$2:$B$2604,'Form responses 1'!$A$2:$A$2604,""))</f>
        <v/>
      </c>
      <c r="D2381" s="44" t="str">
        <f t="shared" si="3"/>
        <v/>
      </c>
      <c r="E2381" s="44" t="str">
        <f t="array" ref="E2381">IF(B2381="","",_xlfn.XLOOKUP(B2381,'Form responses 1'!$B$2:$B$2604,'Form responses 1'!$C$2:$C$2604,""))</f>
        <v/>
      </c>
      <c r="F2381" s="44" t="str">
        <f t="array" ref="F2381">IF(B2381="","",_xlfn.XLOOKUP(B2381,'Form responses 1'!$B$2:$B$2604,'Form responses 1'!$D$2:$D$2604,""))</f>
        <v/>
      </c>
      <c r="G2381" s="44" t="str">
        <f t="array" ref="G2381">IF(B2381="","",_xlfn.XLOOKUP(B2381,'Form responses 1'!$B$2:$B$2604,'Form responses 1'!$E$2:$E$2604,""))</f>
        <v/>
      </c>
      <c r="H2381" s="44" t="str">
        <f t="array" ref="H2381">IF(B2381="","",_xlfn.XLOOKUP(B2381,'Form responses 1'!$B$2:$B$2604,'Form responses 1'!$F$2:$F$2604,""))</f>
        <v/>
      </c>
      <c r="I2381" s="44" t="str">
        <f t="array" ref="I2381">IF(B2381="","",_xlfn.XLOOKUP(B2381,'Form responses 1'!$B$2:$B$2604,'Form responses 1'!$I$2:$I$2604,""))</f>
        <v/>
      </c>
      <c r="J2381" s="44" t="str">
        <f t="array" ref="J2381">IF(B2381="","",_xlfn.XLOOKUP(B2381,'Form responses 1'!$B$2:$B$2604,'Form responses 1'!$G$2:$G$2604,""))</f>
        <v/>
      </c>
      <c r="K2381" s="56"/>
      <c r="L2381" s="58" t="str">
        <f t="shared" si="7"/>
        <v/>
      </c>
      <c r="M2381" s="49"/>
      <c r="N2381" s="49"/>
      <c r="O2381" s="49"/>
      <c r="P2381" s="49"/>
      <c r="Q2381" s="49"/>
      <c r="R2381" s="49"/>
      <c r="S2381" s="49"/>
      <c r="T2381" s="49"/>
      <c r="U2381" s="49"/>
      <c r="V2381" s="49"/>
      <c r="W2381" s="56"/>
      <c r="X2381" s="51" t="str">
        <f t="shared" si="5"/>
        <v/>
      </c>
      <c r="Y2381" s="50" t="s">
        <v>482</v>
      </c>
      <c r="Z2381" s="49">
        <f t="shared" si="6"/>
        <v>0</v>
      </c>
    </row>
    <row r="2382" ht="22.5" customHeight="1">
      <c r="B2382" s="57"/>
      <c r="C2382" s="43" t="str">
        <f t="array" ref="C2382">IF(B2382="","",_xlfn.XLOOKUP(B2382,'Form responses 1'!$B$2:$B$2604,'Form responses 1'!$A$2:$A$2604,""))</f>
        <v/>
      </c>
      <c r="D2382" s="44" t="str">
        <f t="shared" si="3"/>
        <v/>
      </c>
      <c r="E2382" s="44" t="str">
        <f t="array" ref="E2382">IF(B2382="","",_xlfn.XLOOKUP(B2382,'Form responses 1'!$B$2:$B$2604,'Form responses 1'!$C$2:$C$2604,""))</f>
        <v/>
      </c>
      <c r="F2382" s="44" t="str">
        <f t="array" ref="F2382">IF(B2382="","",_xlfn.XLOOKUP(B2382,'Form responses 1'!$B$2:$B$2604,'Form responses 1'!$D$2:$D$2604,""))</f>
        <v/>
      </c>
      <c r="G2382" s="44" t="str">
        <f t="array" ref="G2382">IF(B2382="","",_xlfn.XLOOKUP(B2382,'Form responses 1'!$B$2:$B$2604,'Form responses 1'!$E$2:$E$2604,""))</f>
        <v/>
      </c>
      <c r="H2382" s="44" t="str">
        <f t="array" ref="H2382">IF(B2382="","",_xlfn.XLOOKUP(B2382,'Form responses 1'!$B$2:$B$2604,'Form responses 1'!$F$2:$F$2604,""))</f>
        <v/>
      </c>
      <c r="I2382" s="44" t="str">
        <f t="array" ref="I2382">IF(B2382="","",_xlfn.XLOOKUP(B2382,'Form responses 1'!$B$2:$B$2604,'Form responses 1'!$I$2:$I$2604,""))</f>
        <v/>
      </c>
      <c r="J2382" s="44" t="str">
        <f t="array" ref="J2382">IF(B2382="","",_xlfn.XLOOKUP(B2382,'Form responses 1'!$B$2:$B$2604,'Form responses 1'!$G$2:$G$2604,""))</f>
        <v/>
      </c>
      <c r="K2382" s="56"/>
      <c r="L2382" s="58" t="str">
        <f t="shared" si="7"/>
        <v/>
      </c>
      <c r="M2382" s="49"/>
      <c r="N2382" s="49"/>
      <c r="O2382" s="49"/>
      <c r="P2382" s="49"/>
      <c r="Q2382" s="49"/>
      <c r="R2382" s="49"/>
      <c r="S2382" s="49"/>
      <c r="T2382" s="49"/>
      <c r="U2382" s="49"/>
      <c r="V2382" s="49"/>
      <c r="W2382" s="56"/>
      <c r="X2382" s="51" t="str">
        <f t="shared" si="5"/>
        <v/>
      </c>
      <c r="Y2382" s="50" t="s">
        <v>482</v>
      </c>
      <c r="Z2382" s="49">
        <f t="shared" si="6"/>
        <v>0</v>
      </c>
    </row>
    <row r="2383" ht="22.5" customHeight="1">
      <c r="B2383" s="57"/>
      <c r="C2383" s="43" t="str">
        <f t="array" ref="C2383">IF(B2383="","",_xlfn.XLOOKUP(B2383,'Form responses 1'!$B$2:$B$2604,'Form responses 1'!$A$2:$A$2604,""))</f>
        <v/>
      </c>
      <c r="D2383" s="44" t="str">
        <f t="shared" si="3"/>
        <v/>
      </c>
      <c r="E2383" s="44" t="str">
        <f t="array" ref="E2383">IF(B2383="","",_xlfn.XLOOKUP(B2383,'Form responses 1'!$B$2:$B$2604,'Form responses 1'!$C$2:$C$2604,""))</f>
        <v/>
      </c>
      <c r="F2383" s="44" t="str">
        <f t="array" ref="F2383">IF(B2383="","",_xlfn.XLOOKUP(B2383,'Form responses 1'!$B$2:$B$2604,'Form responses 1'!$D$2:$D$2604,""))</f>
        <v/>
      </c>
      <c r="G2383" s="44" t="str">
        <f t="array" ref="G2383">IF(B2383="","",_xlfn.XLOOKUP(B2383,'Form responses 1'!$B$2:$B$2604,'Form responses 1'!$E$2:$E$2604,""))</f>
        <v/>
      </c>
      <c r="H2383" s="44" t="str">
        <f t="array" ref="H2383">IF(B2383="","",_xlfn.XLOOKUP(B2383,'Form responses 1'!$B$2:$B$2604,'Form responses 1'!$F$2:$F$2604,""))</f>
        <v/>
      </c>
      <c r="I2383" s="44" t="str">
        <f t="array" ref="I2383">IF(B2383="","",_xlfn.XLOOKUP(B2383,'Form responses 1'!$B$2:$B$2604,'Form responses 1'!$I$2:$I$2604,""))</f>
        <v/>
      </c>
      <c r="J2383" s="44" t="str">
        <f t="array" ref="J2383">IF(B2383="","",_xlfn.XLOOKUP(B2383,'Form responses 1'!$B$2:$B$2604,'Form responses 1'!$G$2:$G$2604,""))</f>
        <v/>
      </c>
      <c r="K2383" s="56"/>
      <c r="L2383" s="58" t="str">
        <f t="shared" si="7"/>
        <v/>
      </c>
      <c r="M2383" s="49"/>
      <c r="N2383" s="49"/>
      <c r="O2383" s="49"/>
      <c r="P2383" s="49"/>
      <c r="Q2383" s="49"/>
      <c r="R2383" s="49"/>
      <c r="S2383" s="49"/>
      <c r="T2383" s="49"/>
      <c r="U2383" s="49"/>
      <c r="V2383" s="49"/>
      <c r="W2383" s="56"/>
      <c r="X2383" s="51" t="str">
        <f t="shared" si="5"/>
        <v/>
      </c>
      <c r="Y2383" s="50" t="s">
        <v>482</v>
      </c>
      <c r="Z2383" s="49">
        <f t="shared" si="6"/>
        <v>0</v>
      </c>
    </row>
    <row r="2384" ht="22.5" customHeight="1">
      <c r="B2384" s="57"/>
      <c r="C2384" s="43" t="str">
        <f t="array" ref="C2384">IF(B2384="","",_xlfn.XLOOKUP(B2384,'Form responses 1'!$B$2:$B$2604,'Form responses 1'!$A$2:$A$2604,""))</f>
        <v/>
      </c>
      <c r="D2384" s="44" t="str">
        <f t="shared" si="3"/>
        <v/>
      </c>
      <c r="E2384" s="44" t="str">
        <f t="array" ref="E2384">IF(B2384="","",_xlfn.XLOOKUP(B2384,'Form responses 1'!$B$2:$B$2604,'Form responses 1'!$C$2:$C$2604,""))</f>
        <v/>
      </c>
      <c r="F2384" s="44" t="str">
        <f t="array" ref="F2384">IF(B2384="","",_xlfn.XLOOKUP(B2384,'Form responses 1'!$B$2:$B$2604,'Form responses 1'!$D$2:$D$2604,""))</f>
        <v/>
      </c>
      <c r="G2384" s="44" t="str">
        <f t="array" ref="G2384">IF(B2384="","",_xlfn.XLOOKUP(B2384,'Form responses 1'!$B$2:$B$2604,'Form responses 1'!$E$2:$E$2604,""))</f>
        <v/>
      </c>
      <c r="H2384" s="44" t="str">
        <f t="array" ref="H2384">IF(B2384="","",_xlfn.XLOOKUP(B2384,'Form responses 1'!$B$2:$B$2604,'Form responses 1'!$F$2:$F$2604,""))</f>
        <v/>
      </c>
      <c r="I2384" s="44" t="str">
        <f t="array" ref="I2384">IF(B2384="","",_xlfn.XLOOKUP(B2384,'Form responses 1'!$B$2:$B$2604,'Form responses 1'!$I$2:$I$2604,""))</f>
        <v/>
      </c>
      <c r="J2384" s="44" t="str">
        <f t="array" ref="J2384">IF(B2384="","",_xlfn.XLOOKUP(B2384,'Form responses 1'!$B$2:$B$2604,'Form responses 1'!$G$2:$G$2604,""))</f>
        <v/>
      </c>
      <c r="K2384" s="56"/>
      <c r="L2384" s="58" t="str">
        <f t="shared" si="7"/>
        <v/>
      </c>
      <c r="M2384" s="49"/>
      <c r="N2384" s="49"/>
      <c r="O2384" s="49"/>
      <c r="P2384" s="49"/>
      <c r="Q2384" s="49"/>
      <c r="R2384" s="49"/>
      <c r="S2384" s="49"/>
      <c r="T2384" s="49"/>
      <c r="U2384" s="49"/>
      <c r="V2384" s="49"/>
      <c r="W2384" s="56"/>
      <c r="X2384" s="51" t="str">
        <f t="shared" si="5"/>
        <v/>
      </c>
      <c r="Y2384" s="50" t="s">
        <v>482</v>
      </c>
      <c r="Z2384" s="49">
        <f t="shared" si="6"/>
        <v>0</v>
      </c>
    </row>
    <row r="2385" ht="22.5" customHeight="1">
      <c r="B2385" s="57"/>
      <c r="C2385" s="43" t="str">
        <f t="array" ref="C2385">IF(B2385="","",_xlfn.XLOOKUP(B2385,'Form responses 1'!$B$2:$B$2604,'Form responses 1'!$A$2:$A$2604,""))</f>
        <v/>
      </c>
      <c r="D2385" s="44" t="str">
        <f t="shared" si="3"/>
        <v/>
      </c>
      <c r="E2385" s="44" t="str">
        <f t="array" ref="E2385">IF(B2385="","",_xlfn.XLOOKUP(B2385,'Form responses 1'!$B$2:$B$2604,'Form responses 1'!$C$2:$C$2604,""))</f>
        <v/>
      </c>
      <c r="F2385" s="44" t="str">
        <f t="array" ref="F2385">IF(B2385="","",_xlfn.XLOOKUP(B2385,'Form responses 1'!$B$2:$B$2604,'Form responses 1'!$D$2:$D$2604,""))</f>
        <v/>
      </c>
      <c r="G2385" s="44" t="str">
        <f t="array" ref="G2385">IF(B2385="","",_xlfn.XLOOKUP(B2385,'Form responses 1'!$B$2:$B$2604,'Form responses 1'!$E$2:$E$2604,""))</f>
        <v/>
      </c>
      <c r="H2385" s="44" t="str">
        <f t="array" ref="H2385">IF(B2385="","",_xlfn.XLOOKUP(B2385,'Form responses 1'!$B$2:$B$2604,'Form responses 1'!$F$2:$F$2604,""))</f>
        <v/>
      </c>
      <c r="I2385" s="44" t="str">
        <f t="array" ref="I2385">IF(B2385="","",_xlfn.XLOOKUP(B2385,'Form responses 1'!$B$2:$B$2604,'Form responses 1'!$I$2:$I$2604,""))</f>
        <v/>
      </c>
      <c r="J2385" s="44" t="str">
        <f t="array" ref="J2385">IF(B2385="","",_xlfn.XLOOKUP(B2385,'Form responses 1'!$B$2:$B$2604,'Form responses 1'!$G$2:$G$2604,""))</f>
        <v/>
      </c>
      <c r="K2385" s="56"/>
      <c r="L2385" s="58" t="str">
        <f t="shared" si="7"/>
        <v/>
      </c>
      <c r="M2385" s="49"/>
      <c r="N2385" s="49"/>
      <c r="O2385" s="49"/>
      <c r="P2385" s="49"/>
      <c r="Q2385" s="49"/>
      <c r="R2385" s="49"/>
      <c r="S2385" s="49"/>
      <c r="T2385" s="49"/>
      <c r="U2385" s="49"/>
      <c r="V2385" s="49"/>
      <c r="W2385" s="56"/>
      <c r="X2385" s="51" t="str">
        <f t="shared" si="5"/>
        <v/>
      </c>
      <c r="Y2385" s="50" t="s">
        <v>482</v>
      </c>
      <c r="Z2385" s="49">
        <f t="shared" si="6"/>
        <v>0</v>
      </c>
    </row>
    <row r="2386" ht="22.5" customHeight="1">
      <c r="B2386" s="57"/>
      <c r="C2386" s="43" t="str">
        <f t="array" ref="C2386">IF(B2386="","",_xlfn.XLOOKUP(B2386,'Form responses 1'!$B$2:$B$2604,'Form responses 1'!$A$2:$A$2604,""))</f>
        <v/>
      </c>
      <c r="D2386" s="44" t="str">
        <f t="shared" si="3"/>
        <v/>
      </c>
      <c r="E2386" s="44" t="str">
        <f t="array" ref="E2386">IF(B2386="","",_xlfn.XLOOKUP(B2386,'Form responses 1'!$B$2:$B$2604,'Form responses 1'!$C$2:$C$2604,""))</f>
        <v/>
      </c>
      <c r="F2386" s="44" t="str">
        <f t="array" ref="F2386">IF(B2386="","",_xlfn.XLOOKUP(B2386,'Form responses 1'!$B$2:$B$2604,'Form responses 1'!$D$2:$D$2604,""))</f>
        <v/>
      </c>
      <c r="G2386" s="44" t="str">
        <f t="array" ref="G2386">IF(B2386="","",_xlfn.XLOOKUP(B2386,'Form responses 1'!$B$2:$B$2604,'Form responses 1'!$E$2:$E$2604,""))</f>
        <v/>
      </c>
      <c r="H2386" s="44" t="str">
        <f t="array" ref="H2386">IF(B2386="","",_xlfn.XLOOKUP(B2386,'Form responses 1'!$B$2:$B$2604,'Form responses 1'!$F$2:$F$2604,""))</f>
        <v/>
      </c>
      <c r="I2386" s="44" t="str">
        <f t="array" ref="I2386">IF(B2386="","",_xlfn.XLOOKUP(B2386,'Form responses 1'!$B$2:$B$2604,'Form responses 1'!$I$2:$I$2604,""))</f>
        <v/>
      </c>
      <c r="J2386" s="44" t="str">
        <f t="array" ref="J2386">IF(B2386="","",_xlfn.XLOOKUP(B2386,'Form responses 1'!$B$2:$B$2604,'Form responses 1'!$G$2:$G$2604,""))</f>
        <v/>
      </c>
      <c r="K2386" s="56"/>
      <c r="L2386" s="58" t="str">
        <f t="shared" si="7"/>
        <v/>
      </c>
      <c r="M2386" s="49"/>
      <c r="N2386" s="49"/>
      <c r="O2386" s="49"/>
      <c r="P2386" s="49"/>
      <c r="Q2386" s="49"/>
      <c r="R2386" s="49"/>
      <c r="S2386" s="49"/>
      <c r="T2386" s="49"/>
      <c r="U2386" s="49"/>
      <c r="V2386" s="49"/>
      <c r="W2386" s="56"/>
      <c r="X2386" s="51" t="str">
        <f t="shared" si="5"/>
        <v/>
      </c>
      <c r="Y2386" s="50" t="s">
        <v>482</v>
      </c>
      <c r="Z2386" s="49">
        <f t="shared" si="6"/>
        <v>0</v>
      </c>
    </row>
    <row r="2387" ht="22.5" customHeight="1">
      <c r="B2387" s="57"/>
      <c r="C2387" s="43" t="str">
        <f t="array" ref="C2387">IF(B2387="","",_xlfn.XLOOKUP(B2387,'Form responses 1'!$B$2:$B$2604,'Form responses 1'!$A$2:$A$2604,""))</f>
        <v/>
      </c>
      <c r="D2387" s="44" t="str">
        <f t="shared" si="3"/>
        <v/>
      </c>
      <c r="E2387" s="44" t="str">
        <f t="array" ref="E2387">IF(B2387="","",_xlfn.XLOOKUP(B2387,'Form responses 1'!$B$2:$B$2604,'Form responses 1'!$C$2:$C$2604,""))</f>
        <v/>
      </c>
      <c r="F2387" s="44" t="str">
        <f t="array" ref="F2387">IF(B2387="","",_xlfn.XLOOKUP(B2387,'Form responses 1'!$B$2:$B$2604,'Form responses 1'!$D$2:$D$2604,""))</f>
        <v/>
      </c>
      <c r="G2387" s="44" t="str">
        <f t="array" ref="G2387">IF(B2387="","",_xlfn.XLOOKUP(B2387,'Form responses 1'!$B$2:$B$2604,'Form responses 1'!$E$2:$E$2604,""))</f>
        <v/>
      </c>
      <c r="H2387" s="44" t="str">
        <f t="array" ref="H2387">IF(B2387="","",_xlfn.XLOOKUP(B2387,'Form responses 1'!$B$2:$B$2604,'Form responses 1'!$F$2:$F$2604,""))</f>
        <v/>
      </c>
      <c r="I2387" s="44" t="str">
        <f t="array" ref="I2387">IF(B2387="","",_xlfn.XLOOKUP(B2387,'Form responses 1'!$B$2:$B$2604,'Form responses 1'!$I$2:$I$2604,""))</f>
        <v/>
      </c>
      <c r="J2387" s="44" t="str">
        <f t="array" ref="J2387">IF(B2387="","",_xlfn.XLOOKUP(B2387,'Form responses 1'!$B$2:$B$2604,'Form responses 1'!$G$2:$G$2604,""))</f>
        <v/>
      </c>
      <c r="K2387" s="56"/>
      <c r="L2387" s="58" t="str">
        <f t="shared" si="7"/>
        <v/>
      </c>
      <c r="M2387" s="49"/>
      <c r="N2387" s="49"/>
      <c r="O2387" s="49"/>
      <c r="P2387" s="49"/>
      <c r="Q2387" s="49"/>
      <c r="R2387" s="49"/>
      <c r="S2387" s="49"/>
      <c r="T2387" s="49"/>
      <c r="U2387" s="49"/>
      <c r="V2387" s="49"/>
      <c r="W2387" s="56"/>
      <c r="X2387" s="51" t="str">
        <f t="shared" si="5"/>
        <v/>
      </c>
      <c r="Y2387" s="50" t="s">
        <v>482</v>
      </c>
      <c r="Z2387" s="49">
        <f t="shared" si="6"/>
        <v>0</v>
      </c>
    </row>
    <row r="2388" ht="22.5" customHeight="1">
      <c r="B2388" s="57"/>
      <c r="C2388" s="43" t="str">
        <f t="array" ref="C2388">IF(B2388="","",_xlfn.XLOOKUP(B2388,'Form responses 1'!$B$2:$B$2604,'Form responses 1'!$A$2:$A$2604,""))</f>
        <v/>
      </c>
      <c r="D2388" s="44" t="str">
        <f t="shared" si="3"/>
        <v/>
      </c>
      <c r="E2388" s="44" t="str">
        <f t="array" ref="E2388">IF(B2388="","",_xlfn.XLOOKUP(B2388,'Form responses 1'!$B$2:$B$2604,'Form responses 1'!$C$2:$C$2604,""))</f>
        <v/>
      </c>
      <c r="F2388" s="44" t="str">
        <f t="array" ref="F2388">IF(B2388="","",_xlfn.XLOOKUP(B2388,'Form responses 1'!$B$2:$B$2604,'Form responses 1'!$D$2:$D$2604,""))</f>
        <v/>
      </c>
      <c r="G2388" s="44" t="str">
        <f t="array" ref="G2388">IF(B2388="","",_xlfn.XLOOKUP(B2388,'Form responses 1'!$B$2:$B$2604,'Form responses 1'!$E$2:$E$2604,""))</f>
        <v/>
      </c>
      <c r="H2388" s="44" t="str">
        <f t="array" ref="H2388">IF(B2388="","",_xlfn.XLOOKUP(B2388,'Form responses 1'!$B$2:$B$2604,'Form responses 1'!$F$2:$F$2604,""))</f>
        <v/>
      </c>
      <c r="I2388" s="44" t="str">
        <f t="array" ref="I2388">IF(B2388="","",_xlfn.XLOOKUP(B2388,'Form responses 1'!$B$2:$B$2604,'Form responses 1'!$I$2:$I$2604,""))</f>
        <v/>
      </c>
      <c r="J2388" s="44" t="str">
        <f t="array" ref="J2388">IF(B2388="","",_xlfn.XLOOKUP(B2388,'Form responses 1'!$B$2:$B$2604,'Form responses 1'!$G$2:$G$2604,""))</f>
        <v/>
      </c>
      <c r="K2388" s="56"/>
      <c r="L2388" s="58" t="str">
        <f t="shared" si="7"/>
        <v/>
      </c>
      <c r="M2388" s="49"/>
      <c r="N2388" s="49"/>
      <c r="O2388" s="49"/>
      <c r="P2388" s="49"/>
      <c r="Q2388" s="49"/>
      <c r="R2388" s="49"/>
      <c r="S2388" s="49"/>
      <c r="T2388" s="49"/>
      <c r="U2388" s="49"/>
      <c r="V2388" s="49"/>
      <c r="W2388" s="56"/>
      <c r="X2388" s="51" t="str">
        <f t="shared" si="5"/>
        <v/>
      </c>
      <c r="Y2388" s="50" t="s">
        <v>482</v>
      </c>
      <c r="Z2388" s="49">
        <f t="shared" si="6"/>
        <v>0</v>
      </c>
    </row>
    <row r="2389" ht="22.5" customHeight="1">
      <c r="B2389" s="57"/>
      <c r="C2389" s="43" t="str">
        <f t="array" ref="C2389">IF(B2389="","",_xlfn.XLOOKUP(B2389,'Form responses 1'!$B$2:$B$2604,'Form responses 1'!$A$2:$A$2604,""))</f>
        <v/>
      </c>
      <c r="D2389" s="44" t="str">
        <f t="shared" si="3"/>
        <v/>
      </c>
      <c r="E2389" s="44" t="str">
        <f t="array" ref="E2389">IF(B2389="","",_xlfn.XLOOKUP(B2389,'Form responses 1'!$B$2:$B$2604,'Form responses 1'!$C$2:$C$2604,""))</f>
        <v/>
      </c>
      <c r="F2389" s="44" t="str">
        <f t="array" ref="F2389">IF(B2389="","",_xlfn.XLOOKUP(B2389,'Form responses 1'!$B$2:$B$2604,'Form responses 1'!$D$2:$D$2604,""))</f>
        <v/>
      </c>
      <c r="G2389" s="44" t="str">
        <f t="array" ref="G2389">IF(B2389="","",_xlfn.XLOOKUP(B2389,'Form responses 1'!$B$2:$B$2604,'Form responses 1'!$E$2:$E$2604,""))</f>
        <v/>
      </c>
      <c r="H2389" s="44" t="str">
        <f t="array" ref="H2389">IF(B2389="","",_xlfn.XLOOKUP(B2389,'Form responses 1'!$B$2:$B$2604,'Form responses 1'!$F$2:$F$2604,""))</f>
        <v/>
      </c>
      <c r="I2389" s="44" t="str">
        <f t="array" ref="I2389">IF(B2389="","",_xlfn.XLOOKUP(B2389,'Form responses 1'!$B$2:$B$2604,'Form responses 1'!$I$2:$I$2604,""))</f>
        <v/>
      </c>
      <c r="J2389" s="44" t="str">
        <f t="array" ref="J2389">IF(B2389="","",_xlfn.XLOOKUP(B2389,'Form responses 1'!$B$2:$B$2604,'Form responses 1'!$G$2:$G$2604,""))</f>
        <v/>
      </c>
      <c r="K2389" s="56"/>
      <c r="L2389" s="58" t="str">
        <f t="shared" si="7"/>
        <v/>
      </c>
      <c r="M2389" s="49"/>
      <c r="N2389" s="49"/>
      <c r="O2389" s="49"/>
      <c r="P2389" s="49"/>
      <c r="Q2389" s="49"/>
      <c r="R2389" s="49"/>
      <c r="S2389" s="49"/>
      <c r="T2389" s="49"/>
      <c r="U2389" s="49"/>
      <c r="V2389" s="49"/>
      <c r="W2389" s="56"/>
      <c r="X2389" s="51" t="str">
        <f t="shared" si="5"/>
        <v/>
      </c>
      <c r="Y2389" s="50" t="s">
        <v>482</v>
      </c>
      <c r="Z2389" s="49">
        <f t="shared" si="6"/>
        <v>0</v>
      </c>
    </row>
    <row r="2390" ht="22.5" customHeight="1">
      <c r="B2390" s="57"/>
      <c r="C2390" s="43" t="str">
        <f t="array" ref="C2390">IF(B2390="","",_xlfn.XLOOKUP(B2390,'Form responses 1'!$B$2:$B$2604,'Form responses 1'!$A$2:$A$2604,""))</f>
        <v/>
      </c>
      <c r="D2390" s="44" t="str">
        <f t="shared" si="3"/>
        <v/>
      </c>
      <c r="E2390" s="44" t="str">
        <f t="array" ref="E2390">IF(B2390="","",_xlfn.XLOOKUP(B2390,'Form responses 1'!$B$2:$B$2604,'Form responses 1'!$C$2:$C$2604,""))</f>
        <v/>
      </c>
      <c r="F2390" s="44" t="str">
        <f t="array" ref="F2390">IF(B2390="","",_xlfn.XLOOKUP(B2390,'Form responses 1'!$B$2:$B$2604,'Form responses 1'!$D$2:$D$2604,""))</f>
        <v/>
      </c>
      <c r="G2390" s="44" t="str">
        <f t="array" ref="G2390">IF(B2390="","",_xlfn.XLOOKUP(B2390,'Form responses 1'!$B$2:$B$2604,'Form responses 1'!$E$2:$E$2604,""))</f>
        <v/>
      </c>
      <c r="H2390" s="44" t="str">
        <f t="array" ref="H2390">IF(B2390="","",_xlfn.XLOOKUP(B2390,'Form responses 1'!$B$2:$B$2604,'Form responses 1'!$F$2:$F$2604,""))</f>
        <v/>
      </c>
      <c r="I2390" s="44" t="str">
        <f t="array" ref="I2390">IF(B2390="","",_xlfn.XLOOKUP(B2390,'Form responses 1'!$B$2:$B$2604,'Form responses 1'!$I$2:$I$2604,""))</f>
        <v/>
      </c>
      <c r="J2390" s="44" t="str">
        <f t="array" ref="J2390">IF(B2390="","",_xlfn.XLOOKUP(B2390,'Form responses 1'!$B$2:$B$2604,'Form responses 1'!$G$2:$G$2604,""))</f>
        <v/>
      </c>
      <c r="K2390" s="56"/>
      <c r="L2390" s="58" t="str">
        <f t="shared" si="7"/>
        <v/>
      </c>
      <c r="M2390" s="49"/>
      <c r="N2390" s="49"/>
      <c r="O2390" s="49"/>
      <c r="P2390" s="49"/>
      <c r="Q2390" s="49"/>
      <c r="R2390" s="49"/>
      <c r="S2390" s="49"/>
      <c r="T2390" s="49"/>
      <c r="U2390" s="49"/>
      <c r="V2390" s="49"/>
      <c r="W2390" s="56"/>
      <c r="X2390" s="51" t="str">
        <f t="shared" si="5"/>
        <v/>
      </c>
      <c r="Y2390" s="50" t="s">
        <v>482</v>
      </c>
      <c r="Z2390" s="49">
        <f t="shared" si="6"/>
        <v>0</v>
      </c>
    </row>
    <row r="2391" ht="22.5" customHeight="1">
      <c r="B2391" s="57"/>
      <c r="C2391" s="43" t="str">
        <f t="array" ref="C2391">IF(B2391="","",_xlfn.XLOOKUP(B2391,'Form responses 1'!$B$2:$B$2604,'Form responses 1'!$A$2:$A$2604,""))</f>
        <v/>
      </c>
      <c r="D2391" s="44" t="str">
        <f t="shared" si="3"/>
        <v/>
      </c>
      <c r="E2391" s="44" t="str">
        <f t="array" ref="E2391">IF(B2391="","",_xlfn.XLOOKUP(B2391,'Form responses 1'!$B$2:$B$2604,'Form responses 1'!$C$2:$C$2604,""))</f>
        <v/>
      </c>
      <c r="F2391" s="44" t="str">
        <f t="array" ref="F2391">IF(B2391="","",_xlfn.XLOOKUP(B2391,'Form responses 1'!$B$2:$B$2604,'Form responses 1'!$D$2:$D$2604,""))</f>
        <v/>
      </c>
      <c r="G2391" s="44" t="str">
        <f t="array" ref="G2391">IF(B2391="","",_xlfn.XLOOKUP(B2391,'Form responses 1'!$B$2:$B$2604,'Form responses 1'!$E$2:$E$2604,""))</f>
        <v/>
      </c>
      <c r="H2391" s="44" t="str">
        <f t="array" ref="H2391">IF(B2391="","",_xlfn.XLOOKUP(B2391,'Form responses 1'!$B$2:$B$2604,'Form responses 1'!$F$2:$F$2604,""))</f>
        <v/>
      </c>
      <c r="I2391" s="44" t="str">
        <f t="array" ref="I2391">IF(B2391="","",_xlfn.XLOOKUP(B2391,'Form responses 1'!$B$2:$B$2604,'Form responses 1'!$I$2:$I$2604,""))</f>
        <v/>
      </c>
      <c r="J2391" s="44" t="str">
        <f t="array" ref="J2391">IF(B2391="","",_xlfn.XLOOKUP(B2391,'Form responses 1'!$B$2:$B$2604,'Form responses 1'!$G$2:$G$2604,""))</f>
        <v/>
      </c>
      <c r="K2391" s="56"/>
      <c r="L2391" s="58" t="str">
        <f t="shared" si="7"/>
        <v/>
      </c>
      <c r="M2391" s="49"/>
      <c r="N2391" s="49"/>
      <c r="O2391" s="49"/>
      <c r="P2391" s="49"/>
      <c r="Q2391" s="49"/>
      <c r="R2391" s="49"/>
      <c r="S2391" s="49"/>
      <c r="T2391" s="49"/>
      <c r="U2391" s="49"/>
      <c r="V2391" s="49"/>
      <c r="W2391" s="56"/>
      <c r="X2391" s="51" t="str">
        <f t="shared" si="5"/>
        <v/>
      </c>
      <c r="Y2391" s="50" t="s">
        <v>482</v>
      </c>
      <c r="Z2391" s="49">
        <f t="shared" si="6"/>
        <v>0</v>
      </c>
    </row>
    <row r="2392" ht="22.5" customHeight="1">
      <c r="B2392" s="57"/>
      <c r="C2392" s="43" t="str">
        <f t="array" ref="C2392">IF(B2392="","",_xlfn.XLOOKUP(B2392,'Form responses 1'!$B$2:$B$2604,'Form responses 1'!$A$2:$A$2604,""))</f>
        <v/>
      </c>
      <c r="D2392" s="44" t="str">
        <f t="shared" si="3"/>
        <v/>
      </c>
      <c r="E2392" s="44" t="str">
        <f t="array" ref="E2392">IF(B2392="","",_xlfn.XLOOKUP(B2392,'Form responses 1'!$B$2:$B$2604,'Form responses 1'!$C$2:$C$2604,""))</f>
        <v/>
      </c>
      <c r="F2392" s="44" t="str">
        <f t="array" ref="F2392">IF(B2392="","",_xlfn.XLOOKUP(B2392,'Form responses 1'!$B$2:$B$2604,'Form responses 1'!$D$2:$D$2604,""))</f>
        <v/>
      </c>
      <c r="G2392" s="44" t="str">
        <f t="array" ref="G2392">IF(B2392="","",_xlfn.XLOOKUP(B2392,'Form responses 1'!$B$2:$B$2604,'Form responses 1'!$E$2:$E$2604,""))</f>
        <v/>
      </c>
      <c r="H2392" s="44" t="str">
        <f t="array" ref="H2392">IF(B2392="","",_xlfn.XLOOKUP(B2392,'Form responses 1'!$B$2:$B$2604,'Form responses 1'!$F$2:$F$2604,""))</f>
        <v/>
      </c>
      <c r="I2392" s="44" t="str">
        <f t="array" ref="I2392">IF(B2392="","",_xlfn.XLOOKUP(B2392,'Form responses 1'!$B$2:$B$2604,'Form responses 1'!$I$2:$I$2604,""))</f>
        <v/>
      </c>
      <c r="J2392" s="44" t="str">
        <f t="array" ref="J2392">IF(B2392="","",_xlfn.XLOOKUP(B2392,'Form responses 1'!$B$2:$B$2604,'Form responses 1'!$G$2:$G$2604,""))</f>
        <v/>
      </c>
      <c r="K2392" s="56"/>
      <c r="L2392" s="58" t="str">
        <f t="shared" si="7"/>
        <v/>
      </c>
      <c r="M2392" s="49"/>
      <c r="N2392" s="49"/>
      <c r="O2392" s="49"/>
      <c r="P2392" s="49"/>
      <c r="Q2392" s="49"/>
      <c r="R2392" s="49"/>
      <c r="S2392" s="49"/>
      <c r="T2392" s="49"/>
      <c r="U2392" s="49"/>
      <c r="V2392" s="49"/>
      <c r="W2392" s="56"/>
      <c r="X2392" s="51" t="str">
        <f t="shared" si="5"/>
        <v/>
      </c>
      <c r="Y2392" s="50" t="s">
        <v>482</v>
      </c>
      <c r="Z2392" s="49">
        <f t="shared" si="6"/>
        <v>0</v>
      </c>
    </row>
    <row r="2393" ht="22.5" customHeight="1">
      <c r="B2393" s="57"/>
      <c r="C2393" s="43" t="str">
        <f t="array" ref="C2393">IF(B2393="","",_xlfn.XLOOKUP(B2393,'Form responses 1'!$B$2:$B$2604,'Form responses 1'!$A$2:$A$2604,""))</f>
        <v/>
      </c>
      <c r="D2393" s="44" t="str">
        <f t="shared" si="3"/>
        <v/>
      </c>
      <c r="E2393" s="44" t="str">
        <f t="array" ref="E2393">IF(B2393="","",_xlfn.XLOOKUP(B2393,'Form responses 1'!$B$2:$B$2604,'Form responses 1'!$C$2:$C$2604,""))</f>
        <v/>
      </c>
      <c r="F2393" s="44" t="str">
        <f t="array" ref="F2393">IF(B2393="","",_xlfn.XLOOKUP(B2393,'Form responses 1'!$B$2:$B$2604,'Form responses 1'!$D$2:$D$2604,""))</f>
        <v/>
      </c>
      <c r="G2393" s="44" t="str">
        <f t="array" ref="G2393">IF(B2393="","",_xlfn.XLOOKUP(B2393,'Form responses 1'!$B$2:$B$2604,'Form responses 1'!$E$2:$E$2604,""))</f>
        <v/>
      </c>
      <c r="H2393" s="44" t="str">
        <f t="array" ref="H2393">IF(B2393="","",_xlfn.XLOOKUP(B2393,'Form responses 1'!$B$2:$B$2604,'Form responses 1'!$F$2:$F$2604,""))</f>
        <v/>
      </c>
      <c r="I2393" s="44" t="str">
        <f t="array" ref="I2393">IF(B2393="","",_xlfn.XLOOKUP(B2393,'Form responses 1'!$B$2:$B$2604,'Form responses 1'!$I$2:$I$2604,""))</f>
        <v/>
      </c>
      <c r="J2393" s="44" t="str">
        <f t="array" ref="J2393">IF(B2393="","",_xlfn.XLOOKUP(B2393,'Form responses 1'!$B$2:$B$2604,'Form responses 1'!$G$2:$G$2604,""))</f>
        <v/>
      </c>
      <c r="K2393" s="56"/>
      <c r="L2393" s="58" t="str">
        <f t="shared" si="7"/>
        <v/>
      </c>
      <c r="M2393" s="49"/>
      <c r="N2393" s="49"/>
      <c r="O2393" s="49"/>
      <c r="P2393" s="49"/>
      <c r="Q2393" s="49"/>
      <c r="R2393" s="49"/>
      <c r="S2393" s="49"/>
      <c r="T2393" s="49"/>
      <c r="U2393" s="49"/>
      <c r="V2393" s="49"/>
      <c r="W2393" s="56"/>
      <c r="X2393" s="51" t="str">
        <f t="shared" si="5"/>
        <v/>
      </c>
      <c r="Y2393" s="50" t="s">
        <v>482</v>
      </c>
      <c r="Z2393" s="49">
        <f t="shared" si="6"/>
        <v>0</v>
      </c>
    </row>
    <row r="2394" ht="22.5" customHeight="1">
      <c r="B2394" s="57"/>
      <c r="C2394" s="43" t="str">
        <f t="array" ref="C2394">IF(B2394="","",_xlfn.XLOOKUP(B2394,'Form responses 1'!$B$2:$B$2604,'Form responses 1'!$A$2:$A$2604,""))</f>
        <v/>
      </c>
      <c r="D2394" s="44" t="str">
        <f t="shared" si="3"/>
        <v/>
      </c>
      <c r="E2394" s="44" t="str">
        <f t="array" ref="E2394">IF(B2394="","",_xlfn.XLOOKUP(B2394,'Form responses 1'!$B$2:$B$2604,'Form responses 1'!$C$2:$C$2604,""))</f>
        <v/>
      </c>
      <c r="F2394" s="44" t="str">
        <f t="array" ref="F2394">IF(B2394="","",_xlfn.XLOOKUP(B2394,'Form responses 1'!$B$2:$B$2604,'Form responses 1'!$D$2:$D$2604,""))</f>
        <v/>
      </c>
      <c r="G2394" s="44" t="str">
        <f t="array" ref="G2394">IF(B2394="","",_xlfn.XLOOKUP(B2394,'Form responses 1'!$B$2:$B$2604,'Form responses 1'!$E$2:$E$2604,""))</f>
        <v/>
      </c>
      <c r="H2394" s="44" t="str">
        <f t="array" ref="H2394">IF(B2394="","",_xlfn.XLOOKUP(B2394,'Form responses 1'!$B$2:$B$2604,'Form responses 1'!$F$2:$F$2604,""))</f>
        <v/>
      </c>
      <c r="I2394" s="44" t="str">
        <f t="array" ref="I2394">IF(B2394="","",_xlfn.XLOOKUP(B2394,'Form responses 1'!$B$2:$B$2604,'Form responses 1'!$I$2:$I$2604,""))</f>
        <v/>
      </c>
      <c r="J2394" s="44" t="str">
        <f t="array" ref="J2394">IF(B2394="","",_xlfn.XLOOKUP(B2394,'Form responses 1'!$B$2:$B$2604,'Form responses 1'!$G$2:$G$2604,""))</f>
        <v/>
      </c>
      <c r="K2394" s="56"/>
      <c r="L2394" s="58" t="str">
        <f t="shared" si="7"/>
        <v/>
      </c>
      <c r="M2394" s="49"/>
      <c r="N2394" s="49"/>
      <c r="O2394" s="49"/>
      <c r="P2394" s="49"/>
      <c r="Q2394" s="49"/>
      <c r="R2394" s="49"/>
      <c r="S2394" s="49"/>
      <c r="T2394" s="49"/>
      <c r="U2394" s="49"/>
      <c r="V2394" s="49"/>
      <c r="W2394" s="56"/>
      <c r="X2394" s="51" t="str">
        <f t="shared" si="5"/>
        <v/>
      </c>
      <c r="Y2394" s="50" t="s">
        <v>482</v>
      </c>
      <c r="Z2394" s="49">
        <f t="shared" si="6"/>
        <v>0</v>
      </c>
    </row>
    <row r="2395" ht="22.5" customHeight="1">
      <c r="B2395" s="57"/>
      <c r="C2395" s="43" t="str">
        <f t="array" ref="C2395">IF(B2395="","",_xlfn.XLOOKUP(B2395,'Form responses 1'!$B$2:$B$2604,'Form responses 1'!$A$2:$A$2604,""))</f>
        <v/>
      </c>
      <c r="D2395" s="44" t="str">
        <f t="shared" si="3"/>
        <v/>
      </c>
      <c r="E2395" s="44" t="str">
        <f t="array" ref="E2395">IF(B2395="","",_xlfn.XLOOKUP(B2395,'Form responses 1'!$B$2:$B$2604,'Form responses 1'!$C$2:$C$2604,""))</f>
        <v/>
      </c>
      <c r="F2395" s="44" t="str">
        <f t="array" ref="F2395">IF(B2395="","",_xlfn.XLOOKUP(B2395,'Form responses 1'!$B$2:$B$2604,'Form responses 1'!$D$2:$D$2604,""))</f>
        <v/>
      </c>
      <c r="G2395" s="44" t="str">
        <f t="array" ref="G2395">IF(B2395="","",_xlfn.XLOOKUP(B2395,'Form responses 1'!$B$2:$B$2604,'Form responses 1'!$E$2:$E$2604,""))</f>
        <v/>
      </c>
      <c r="H2395" s="44" t="str">
        <f t="array" ref="H2395">IF(B2395="","",_xlfn.XLOOKUP(B2395,'Form responses 1'!$B$2:$B$2604,'Form responses 1'!$F$2:$F$2604,""))</f>
        <v/>
      </c>
      <c r="I2395" s="44" t="str">
        <f t="array" ref="I2395">IF(B2395="","",_xlfn.XLOOKUP(B2395,'Form responses 1'!$B$2:$B$2604,'Form responses 1'!$I$2:$I$2604,""))</f>
        <v/>
      </c>
      <c r="J2395" s="44" t="str">
        <f t="array" ref="J2395">IF(B2395="","",_xlfn.XLOOKUP(B2395,'Form responses 1'!$B$2:$B$2604,'Form responses 1'!$G$2:$G$2604,""))</f>
        <v/>
      </c>
      <c r="K2395" s="56"/>
      <c r="L2395" s="58" t="str">
        <f t="shared" si="7"/>
        <v/>
      </c>
      <c r="M2395" s="49"/>
      <c r="N2395" s="49"/>
      <c r="O2395" s="49"/>
      <c r="P2395" s="49"/>
      <c r="Q2395" s="49"/>
      <c r="R2395" s="49"/>
      <c r="S2395" s="49"/>
      <c r="T2395" s="49"/>
      <c r="U2395" s="49"/>
      <c r="V2395" s="49"/>
      <c r="W2395" s="56"/>
      <c r="X2395" s="51" t="str">
        <f t="shared" si="5"/>
        <v/>
      </c>
      <c r="Y2395" s="50" t="s">
        <v>482</v>
      </c>
      <c r="Z2395" s="49">
        <f t="shared" si="6"/>
        <v>0</v>
      </c>
    </row>
    <row r="2396" ht="22.5" customHeight="1">
      <c r="B2396" s="57"/>
      <c r="C2396" s="43" t="str">
        <f t="array" ref="C2396">IF(B2396="","",_xlfn.XLOOKUP(B2396,'Form responses 1'!$B$2:$B$2604,'Form responses 1'!$A$2:$A$2604,""))</f>
        <v/>
      </c>
      <c r="D2396" s="44" t="str">
        <f t="shared" si="3"/>
        <v/>
      </c>
      <c r="E2396" s="44" t="str">
        <f t="array" ref="E2396">IF(B2396="","",_xlfn.XLOOKUP(B2396,'Form responses 1'!$B$2:$B$2604,'Form responses 1'!$C$2:$C$2604,""))</f>
        <v/>
      </c>
      <c r="F2396" s="44" t="str">
        <f t="array" ref="F2396">IF(B2396="","",_xlfn.XLOOKUP(B2396,'Form responses 1'!$B$2:$B$2604,'Form responses 1'!$D$2:$D$2604,""))</f>
        <v/>
      </c>
      <c r="G2396" s="44" t="str">
        <f t="array" ref="G2396">IF(B2396="","",_xlfn.XLOOKUP(B2396,'Form responses 1'!$B$2:$B$2604,'Form responses 1'!$E$2:$E$2604,""))</f>
        <v/>
      </c>
      <c r="H2396" s="44" t="str">
        <f t="array" ref="H2396">IF(B2396="","",_xlfn.XLOOKUP(B2396,'Form responses 1'!$B$2:$B$2604,'Form responses 1'!$F$2:$F$2604,""))</f>
        <v/>
      </c>
      <c r="I2396" s="44" t="str">
        <f t="array" ref="I2396">IF(B2396="","",_xlfn.XLOOKUP(B2396,'Form responses 1'!$B$2:$B$2604,'Form responses 1'!$I$2:$I$2604,""))</f>
        <v/>
      </c>
      <c r="J2396" s="44" t="str">
        <f t="array" ref="J2396">IF(B2396="","",_xlfn.XLOOKUP(B2396,'Form responses 1'!$B$2:$B$2604,'Form responses 1'!$G$2:$G$2604,""))</f>
        <v/>
      </c>
      <c r="K2396" s="56"/>
      <c r="L2396" s="58" t="str">
        <f t="shared" si="7"/>
        <v/>
      </c>
      <c r="M2396" s="49"/>
      <c r="N2396" s="49"/>
      <c r="O2396" s="49"/>
      <c r="P2396" s="49"/>
      <c r="Q2396" s="49"/>
      <c r="R2396" s="49"/>
      <c r="S2396" s="49"/>
      <c r="T2396" s="49"/>
      <c r="U2396" s="49"/>
      <c r="V2396" s="49"/>
      <c r="W2396" s="56"/>
      <c r="X2396" s="51" t="str">
        <f t="shared" si="5"/>
        <v/>
      </c>
      <c r="Y2396" s="50" t="s">
        <v>482</v>
      </c>
      <c r="Z2396" s="49">
        <f t="shared" si="6"/>
        <v>0</v>
      </c>
    </row>
    <row r="2397" ht="22.5" customHeight="1">
      <c r="B2397" s="57"/>
      <c r="C2397" s="43" t="str">
        <f t="array" ref="C2397">IF(B2397="","",_xlfn.XLOOKUP(B2397,'Form responses 1'!$B$2:$B$2604,'Form responses 1'!$A$2:$A$2604,""))</f>
        <v/>
      </c>
      <c r="D2397" s="44" t="str">
        <f t="shared" si="3"/>
        <v/>
      </c>
      <c r="E2397" s="44" t="str">
        <f t="array" ref="E2397">IF(B2397="","",_xlfn.XLOOKUP(B2397,'Form responses 1'!$B$2:$B$2604,'Form responses 1'!$C$2:$C$2604,""))</f>
        <v/>
      </c>
      <c r="F2397" s="44" t="str">
        <f t="array" ref="F2397">IF(B2397="","",_xlfn.XLOOKUP(B2397,'Form responses 1'!$B$2:$B$2604,'Form responses 1'!$D$2:$D$2604,""))</f>
        <v/>
      </c>
      <c r="G2397" s="44" t="str">
        <f t="array" ref="G2397">IF(B2397="","",_xlfn.XLOOKUP(B2397,'Form responses 1'!$B$2:$B$2604,'Form responses 1'!$E$2:$E$2604,""))</f>
        <v/>
      </c>
      <c r="H2397" s="44" t="str">
        <f t="array" ref="H2397">IF(B2397="","",_xlfn.XLOOKUP(B2397,'Form responses 1'!$B$2:$B$2604,'Form responses 1'!$F$2:$F$2604,""))</f>
        <v/>
      </c>
      <c r="I2397" s="44" t="str">
        <f t="array" ref="I2397">IF(B2397="","",_xlfn.XLOOKUP(B2397,'Form responses 1'!$B$2:$B$2604,'Form responses 1'!$I$2:$I$2604,""))</f>
        <v/>
      </c>
      <c r="J2397" s="44" t="str">
        <f t="array" ref="J2397">IF(B2397="","",_xlfn.XLOOKUP(B2397,'Form responses 1'!$B$2:$B$2604,'Form responses 1'!$G$2:$G$2604,""))</f>
        <v/>
      </c>
      <c r="K2397" s="56"/>
      <c r="L2397" s="58" t="str">
        <f t="shared" si="7"/>
        <v/>
      </c>
      <c r="M2397" s="49"/>
      <c r="N2397" s="49"/>
      <c r="O2397" s="49"/>
      <c r="P2397" s="49"/>
      <c r="Q2397" s="49"/>
      <c r="R2397" s="49"/>
      <c r="S2397" s="49"/>
      <c r="T2397" s="49"/>
      <c r="U2397" s="49"/>
      <c r="V2397" s="49"/>
      <c r="W2397" s="56"/>
      <c r="X2397" s="51" t="str">
        <f t="shared" si="5"/>
        <v/>
      </c>
      <c r="Y2397" s="50" t="s">
        <v>482</v>
      </c>
      <c r="Z2397" s="49">
        <f t="shared" si="6"/>
        <v>0</v>
      </c>
    </row>
    <row r="2398" ht="22.5" customHeight="1">
      <c r="B2398" s="57"/>
      <c r="C2398" s="43" t="str">
        <f t="array" ref="C2398">IF(B2398="","",_xlfn.XLOOKUP(B2398,'Form responses 1'!$B$2:$B$2604,'Form responses 1'!$A$2:$A$2604,""))</f>
        <v/>
      </c>
      <c r="D2398" s="44" t="str">
        <f t="shared" si="3"/>
        <v/>
      </c>
      <c r="E2398" s="44" t="str">
        <f t="array" ref="E2398">IF(B2398="","",_xlfn.XLOOKUP(B2398,'Form responses 1'!$B$2:$B$2604,'Form responses 1'!$C$2:$C$2604,""))</f>
        <v/>
      </c>
      <c r="F2398" s="44" t="str">
        <f t="array" ref="F2398">IF(B2398="","",_xlfn.XLOOKUP(B2398,'Form responses 1'!$B$2:$B$2604,'Form responses 1'!$D$2:$D$2604,""))</f>
        <v/>
      </c>
      <c r="G2398" s="44" t="str">
        <f t="array" ref="G2398">IF(B2398="","",_xlfn.XLOOKUP(B2398,'Form responses 1'!$B$2:$B$2604,'Form responses 1'!$E$2:$E$2604,""))</f>
        <v/>
      </c>
      <c r="H2398" s="44" t="str">
        <f t="array" ref="H2398">IF(B2398="","",_xlfn.XLOOKUP(B2398,'Form responses 1'!$B$2:$B$2604,'Form responses 1'!$F$2:$F$2604,""))</f>
        <v/>
      </c>
      <c r="I2398" s="44" t="str">
        <f t="array" ref="I2398">IF(B2398="","",_xlfn.XLOOKUP(B2398,'Form responses 1'!$B$2:$B$2604,'Form responses 1'!$I$2:$I$2604,""))</f>
        <v/>
      </c>
      <c r="J2398" s="44" t="str">
        <f t="array" ref="J2398">IF(B2398="","",_xlfn.XLOOKUP(B2398,'Form responses 1'!$B$2:$B$2604,'Form responses 1'!$G$2:$G$2604,""))</f>
        <v/>
      </c>
      <c r="K2398" s="56"/>
      <c r="L2398" s="58" t="str">
        <f t="shared" si="7"/>
        <v/>
      </c>
      <c r="M2398" s="49"/>
      <c r="N2398" s="49"/>
      <c r="O2398" s="49"/>
      <c r="P2398" s="49"/>
      <c r="Q2398" s="49"/>
      <c r="R2398" s="49"/>
      <c r="S2398" s="49"/>
      <c r="T2398" s="49"/>
      <c r="U2398" s="49"/>
      <c r="V2398" s="49"/>
      <c r="W2398" s="56"/>
      <c r="X2398" s="51" t="str">
        <f t="shared" si="5"/>
        <v/>
      </c>
      <c r="Y2398" s="50" t="s">
        <v>482</v>
      </c>
      <c r="Z2398" s="49">
        <f t="shared" si="6"/>
        <v>0</v>
      </c>
    </row>
    <row r="2399" ht="22.5" customHeight="1">
      <c r="B2399" s="57"/>
      <c r="C2399" s="43" t="str">
        <f t="array" ref="C2399">IF(B2399="","",_xlfn.XLOOKUP(B2399,'Form responses 1'!$B$2:$B$2604,'Form responses 1'!$A$2:$A$2604,""))</f>
        <v/>
      </c>
      <c r="D2399" s="44" t="str">
        <f t="shared" si="3"/>
        <v/>
      </c>
      <c r="E2399" s="44" t="str">
        <f t="array" ref="E2399">IF(B2399="","",_xlfn.XLOOKUP(B2399,'Form responses 1'!$B$2:$B$2604,'Form responses 1'!$C$2:$C$2604,""))</f>
        <v/>
      </c>
      <c r="F2399" s="44" t="str">
        <f t="array" ref="F2399">IF(B2399="","",_xlfn.XLOOKUP(B2399,'Form responses 1'!$B$2:$B$2604,'Form responses 1'!$D$2:$D$2604,""))</f>
        <v/>
      </c>
      <c r="G2399" s="44" t="str">
        <f t="array" ref="G2399">IF(B2399="","",_xlfn.XLOOKUP(B2399,'Form responses 1'!$B$2:$B$2604,'Form responses 1'!$E$2:$E$2604,""))</f>
        <v/>
      </c>
      <c r="H2399" s="44" t="str">
        <f t="array" ref="H2399">IF(B2399="","",_xlfn.XLOOKUP(B2399,'Form responses 1'!$B$2:$B$2604,'Form responses 1'!$F$2:$F$2604,""))</f>
        <v/>
      </c>
      <c r="I2399" s="44" t="str">
        <f t="array" ref="I2399">IF(B2399="","",_xlfn.XLOOKUP(B2399,'Form responses 1'!$B$2:$B$2604,'Form responses 1'!$I$2:$I$2604,""))</f>
        <v/>
      </c>
      <c r="J2399" s="44" t="str">
        <f t="array" ref="J2399">IF(B2399="","",_xlfn.XLOOKUP(B2399,'Form responses 1'!$B$2:$B$2604,'Form responses 1'!$G$2:$G$2604,""))</f>
        <v/>
      </c>
      <c r="K2399" s="56"/>
      <c r="L2399" s="58" t="str">
        <f t="shared" si="7"/>
        <v/>
      </c>
      <c r="M2399" s="49"/>
      <c r="N2399" s="49"/>
      <c r="O2399" s="49"/>
      <c r="P2399" s="49"/>
      <c r="Q2399" s="49"/>
      <c r="R2399" s="49"/>
      <c r="S2399" s="49"/>
      <c r="T2399" s="49"/>
      <c r="U2399" s="49"/>
      <c r="V2399" s="49"/>
      <c r="W2399" s="56"/>
      <c r="X2399" s="51" t="str">
        <f t="shared" si="5"/>
        <v/>
      </c>
      <c r="Y2399" s="50" t="s">
        <v>482</v>
      </c>
      <c r="Z2399" s="49">
        <f t="shared" si="6"/>
        <v>0</v>
      </c>
    </row>
    <row r="2400" ht="22.5" customHeight="1">
      <c r="B2400" s="57"/>
      <c r="C2400" s="43" t="str">
        <f t="array" ref="C2400">IF(B2400="","",_xlfn.XLOOKUP(B2400,'Form responses 1'!$B$2:$B$2604,'Form responses 1'!$A$2:$A$2604,""))</f>
        <v/>
      </c>
      <c r="D2400" s="44" t="str">
        <f t="shared" si="3"/>
        <v/>
      </c>
      <c r="E2400" s="44" t="str">
        <f t="array" ref="E2400">IF(B2400="","",_xlfn.XLOOKUP(B2400,'Form responses 1'!$B$2:$B$2604,'Form responses 1'!$C$2:$C$2604,""))</f>
        <v/>
      </c>
      <c r="F2400" s="44" t="str">
        <f t="array" ref="F2400">IF(B2400="","",_xlfn.XLOOKUP(B2400,'Form responses 1'!$B$2:$B$2604,'Form responses 1'!$D$2:$D$2604,""))</f>
        <v/>
      </c>
      <c r="G2400" s="44" t="str">
        <f t="array" ref="G2400">IF(B2400="","",_xlfn.XLOOKUP(B2400,'Form responses 1'!$B$2:$B$2604,'Form responses 1'!$E$2:$E$2604,""))</f>
        <v/>
      </c>
      <c r="H2400" s="44" t="str">
        <f t="array" ref="H2400">IF(B2400="","",_xlfn.XLOOKUP(B2400,'Form responses 1'!$B$2:$B$2604,'Form responses 1'!$F$2:$F$2604,""))</f>
        <v/>
      </c>
      <c r="I2400" s="44" t="str">
        <f t="array" ref="I2400">IF(B2400="","",_xlfn.XLOOKUP(B2400,'Form responses 1'!$B$2:$B$2604,'Form responses 1'!$I$2:$I$2604,""))</f>
        <v/>
      </c>
      <c r="J2400" s="44" t="str">
        <f t="array" ref="J2400">IF(B2400="","",_xlfn.XLOOKUP(B2400,'Form responses 1'!$B$2:$B$2604,'Form responses 1'!$G$2:$G$2604,""))</f>
        <v/>
      </c>
      <c r="K2400" s="56"/>
      <c r="L2400" s="58" t="str">
        <f t="shared" si="7"/>
        <v/>
      </c>
      <c r="M2400" s="49"/>
      <c r="N2400" s="49"/>
      <c r="O2400" s="49"/>
      <c r="P2400" s="49"/>
      <c r="Q2400" s="49"/>
      <c r="R2400" s="49"/>
      <c r="S2400" s="49"/>
      <c r="T2400" s="49"/>
      <c r="U2400" s="49"/>
      <c r="V2400" s="49"/>
      <c r="W2400" s="56"/>
      <c r="X2400" s="51" t="str">
        <f t="shared" si="5"/>
        <v/>
      </c>
      <c r="Y2400" s="50" t="s">
        <v>482</v>
      </c>
      <c r="Z2400" s="49">
        <f t="shared" si="6"/>
        <v>0</v>
      </c>
    </row>
    <row r="2401" ht="22.5" customHeight="1">
      <c r="B2401" s="57"/>
      <c r="C2401" s="43" t="str">
        <f t="array" ref="C2401">IF(B2401="","",_xlfn.XLOOKUP(B2401,'Form responses 1'!$B$2:$B$2604,'Form responses 1'!$A$2:$A$2604,""))</f>
        <v/>
      </c>
      <c r="D2401" s="44" t="str">
        <f t="shared" si="3"/>
        <v/>
      </c>
      <c r="E2401" s="44" t="str">
        <f t="array" ref="E2401">IF(B2401="","",_xlfn.XLOOKUP(B2401,'Form responses 1'!$B$2:$B$2604,'Form responses 1'!$C$2:$C$2604,""))</f>
        <v/>
      </c>
      <c r="F2401" s="44" t="str">
        <f t="array" ref="F2401">IF(B2401="","",_xlfn.XLOOKUP(B2401,'Form responses 1'!$B$2:$B$2604,'Form responses 1'!$D$2:$D$2604,""))</f>
        <v/>
      </c>
      <c r="G2401" s="44" t="str">
        <f t="array" ref="G2401">IF(B2401="","",_xlfn.XLOOKUP(B2401,'Form responses 1'!$B$2:$B$2604,'Form responses 1'!$E$2:$E$2604,""))</f>
        <v/>
      </c>
      <c r="H2401" s="44" t="str">
        <f t="array" ref="H2401">IF(B2401="","",_xlfn.XLOOKUP(B2401,'Form responses 1'!$B$2:$B$2604,'Form responses 1'!$F$2:$F$2604,""))</f>
        <v/>
      </c>
      <c r="I2401" s="44" t="str">
        <f t="array" ref="I2401">IF(B2401="","",_xlfn.XLOOKUP(B2401,'Form responses 1'!$B$2:$B$2604,'Form responses 1'!$I$2:$I$2604,""))</f>
        <v/>
      </c>
      <c r="J2401" s="44" t="str">
        <f t="array" ref="J2401">IF(B2401="","",_xlfn.XLOOKUP(B2401,'Form responses 1'!$B$2:$B$2604,'Form responses 1'!$G$2:$G$2604,""))</f>
        <v/>
      </c>
      <c r="K2401" s="56"/>
      <c r="L2401" s="58" t="str">
        <f t="shared" si="7"/>
        <v/>
      </c>
      <c r="M2401" s="49"/>
      <c r="N2401" s="49"/>
      <c r="O2401" s="49"/>
      <c r="P2401" s="49"/>
      <c r="Q2401" s="49"/>
      <c r="R2401" s="49"/>
      <c r="S2401" s="49"/>
      <c r="T2401" s="49"/>
      <c r="U2401" s="49"/>
      <c r="V2401" s="49"/>
      <c r="W2401" s="56"/>
      <c r="X2401" s="51" t="str">
        <f t="shared" si="5"/>
        <v/>
      </c>
      <c r="Y2401" s="50" t="s">
        <v>482</v>
      </c>
      <c r="Z2401" s="49">
        <f t="shared" si="6"/>
        <v>0</v>
      </c>
    </row>
    <row r="2402" ht="22.5" customHeight="1">
      <c r="B2402" s="57"/>
      <c r="C2402" s="43" t="str">
        <f t="array" ref="C2402">IF(B2402="","",_xlfn.XLOOKUP(B2402,'Form responses 1'!$B$2:$B$2604,'Form responses 1'!$A$2:$A$2604,""))</f>
        <v/>
      </c>
      <c r="D2402" s="44" t="str">
        <f t="shared" si="3"/>
        <v/>
      </c>
      <c r="E2402" s="44" t="str">
        <f t="array" ref="E2402">IF(B2402="","",_xlfn.XLOOKUP(B2402,'Form responses 1'!$B$2:$B$2604,'Form responses 1'!$C$2:$C$2604,""))</f>
        <v/>
      </c>
      <c r="F2402" s="44" t="str">
        <f t="array" ref="F2402">IF(B2402="","",_xlfn.XLOOKUP(B2402,'Form responses 1'!$B$2:$B$2604,'Form responses 1'!$D$2:$D$2604,""))</f>
        <v/>
      </c>
      <c r="G2402" s="44" t="str">
        <f t="array" ref="G2402">IF(B2402="","",_xlfn.XLOOKUP(B2402,'Form responses 1'!$B$2:$B$2604,'Form responses 1'!$E$2:$E$2604,""))</f>
        <v/>
      </c>
      <c r="H2402" s="44" t="str">
        <f t="array" ref="H2402">IF(B2402="","",_xlfn.XLOOKUP(B2402,'Form responses 1'!$B$2:$B$2604,'Form responses 1'!$F$2:$F$2604,""))</f>
        <v/>
      </c>
      <c r="I2402" s="44" t="str">
        <f t="array" ref="I2402">IF(B2402="","",_xlfn.XLOOKUP(B2402,'Form responses 1'!$B$2:$B$2604,'Form responses 1'!$I$2:$I$2604,""))</f>
        <v/>
      </c>
      <c r="J2402" s="44" t="str">
        <f t="array" ref="J2402">IF(B2402="","",_xlfn.XLOOKUP(B2402,'Form responses 1'!$B$2:$B$2604,'Form responses 1'!$G$2:$G$2604,""))</f>
        <v/>
      </c>
      <c r="K2402" s="56"/>
      <c r="L2402" s="58" t="str">
        <f t="shared" si="7"/>
        <v/>
      </c>
      <c r="M2402" s="49"/>
      <c r="N2402" s="49"/>
      <c r="O2402" s="49"/>
      <c r="P2402" s="49"/>
      <c r="Q2402" s="49"/>
      <c r="R2402" s="49"/>
      <c r="S2402" s="49"/>
      <c r="T2402" s="49"/>
      <c r="U2402" s="49"/>
      <c r="V2402" s="49"/>
      <c r="W2402" s="56"/>
      <c r="X2402" s="51" t="str">
        <f t="shared" si="5"/>
        <v/>
      </c>
      <c r="Y2402" s="50" t="s">
        <v>482</v>
      </c>
      <c r="Z2402" s="49">
        <f t="shared" si="6"/>
        <v>0</v>
      </c>
    </row>
    <row r="2403" ht="22.5" customHeight="1">
      <c r="B2403" s="57"/>
      <c r="C2403" s="43" t="str">
        <f t="array" ref="C2403">IF(B2403="","",_xlfn.XLOOKUP(B2403,'Form responses 1'!$B$2:$B$2604,'Form responses 1'!$A$2:$A$2604,""))</f>
        <v/>
      </c>
      <c r="D2403" s="44" t="str">
        <f t="shared" si="3"/>
        <v/>
      </c>
      <c r="E2403" s="44" t="str">
        <f t="array" ref="E2403">IF(B2403="","",_xlfn.XLOOKUP(B2403,'Form responses 1'!$B$2:$B$2604,'Form responses 1'!$C$2:$C$2604,""))</f>
        <v/>
      </c>
      <c r="F2403" s="44" t="str">
        <f t="array" ref="F2403">IF(B2403="","",_xlfn.XLOOKUP(B2403,'Form responses 1'!$B$2:$B$2604,'Form responses 1'!$D$2:$D$2604,""))</f>
        <v/>
      </c>
      <c r="G2403" s="44" t="str">
        <f t="array" ref="G2403">IF(B2403="","",_xlfn.XLOOKUP(B2403,'Form responses 1'!$B$2:$B$2604,'Form responses 1'!$E$2:$E$2604,""))</f>
        <v/>
      </c>
      <c r="H2403" s="44" t="str">
        <f t="array" ref="H2403">IF(B2403="","",_xlfn.XLOOKUP(B2403,'Form responses 1'!$B$2:$B$2604,'Form responses 1'!$F$2:$F$2604,""))</f>
        <v/>
      </c>
      <c r="I2403" s="44" t="str">
        <f t="array" ref="I2403">IF(B2403="","",_xlfn.XLOOKUP(B2403,'Form responses 1'!$B$2:$B$2604,'Form responses 1'!$I$2:$I$2604,""))</f>
        <v/>
      </c>
      <c r="J2403" s="44" t="str">
        <f t="array" ref="J2403">IF(B2403="","",_xlfn.XLOOKUP(B2403,'Form responses 1'!$B$2:$B$2604,'Form responses 1'!$G$2:$G$2604,""))</f>
        <v/>
      </c>
      <c r="K2403" s="56"/>
      <c r="L2403" s="58" t="str">
        <f t="shared" si="7"/>
        <v/>
      </c>
      <c r="M2403" s="49"/>
      <c r="N2403" s="49"/>
      <c r="O2403" s="49"/>
      <c r="P2403" s="49"/>
      <c r="Q2403" s="49"/>
      <c r="R2403" s="49"/>
      <c r="S2403" s="49"/>
      <c r="T2403" s="49"/>
      <c r="U2403" s="49"/>
      <c r="V2403" s="49"/>
      <c r="W2403" s="56"/>
      <c r="X2403" s="51" t="str">
        <f t="shared" si="5"/>
        <v/>
      </c>
      <c r="Y2403" s="50" t="s">
        <v>482</v>
      </c>
      <c r="Z2403" s="49">
        <f t="shared" si="6"/>
        <v>0</v>
      </c>
    </row>
    <row r="2404" ht="22.5" customHeight="1">
      <c r="B2404" s="57"/>
      <c r="C2404" s="43" t="str">
        <f t="array" ref="C2404">IF(B2404="","",_xlfn.XLOOKUP(B2404,'Form responses 1'!$B$2:$B$2604,'Form responses 1'!$A$2:$A$2604,""))</f>
        <v/>
      </c>
      <c r="D2404" s="44" t="str">
        <f t="shared" si="3"/>
        <v/>
      </c>
      <c r="E2404" s="44" t="str">
        <f t="array" ref="E2404">IF(B2404="","",_xlfn.XLOOKUP(B2404,'Form responses 1'!$B$2:$B$2604,'Form responses 1'!$C$2:$C$2604,""))</f>
        <v/>
      </c>
      <c r="F2404" s="44" t="str">
        <f t="array" ref="F2404">IF(B2404="","",_xlfn.XLOOKUP(B2404,'Form responses 1'!$B$2:$B$2604,'Form responses 1'!$D$2:$D$2604,""))</f>
        <v/>
      </c>
      <c r="G2404" s="44" t="str">
        <f t="array" ref="G2404">IF(B2404="","",_xlfn.XLOOKUP(B2404,'Form responses 1'!$B$2:$B$2604,'Form responses 1'!$E$2:$E$2604,""))</f>
        <v/>
      </c>
      <c r="H2404" s="44" t="str">
        <f t="array" ref="H2404">IF(B2404="","",_xlfn.XLOOKUP(B2404,'Form responses 1'!$B$2:$B$2604,'Form responses 1'!$F$2:$F$2604,""))</f>
        <v/>
      </c>
      <c r="I2404" s="44" t="str">
        <f t="array" ref="I2404">IF(B2404="","",_xlfn.XLOOKUP(B2404,'Form responses 1'!$B$2:$B$2604,'Form responses 1'!$I$2:$I$2604,""))</f>
        <v/>
      </c>
      <c r="J2404" s="44" t="str">
        <f t="array" ref="J2404">IF(B2404="","",_xlfn.XLOOKUP(B2404,'Form responses 1'!$B$2:$B$2604,'Form responses 1'!$G$2:$G$2604,""))</f>
        <v/>
      </c>
      <c r="K2404" s="56"/>
      <c r="L2404" s="58" t="str">
        <f t="shared" si="7"/>
        <v/>
      </c>
      <c r="M2404" s="49"/>
      <c r="N2404" s="49"/>
      <c r="O2404" s="49"/>
      <c r="P2404" s="49"/>
      <c r="Q2404" s="49"/>
      <c r="R2404" s="49"/>
      <c r="S2404" s="49"/>
      <c r="T2404" s="49"/>
      <c r="U2404" s="49"/>
      <c r="V2404" s="49"/>
      <c r="W2404" s="56"/>
      <c r="X2404" s="51" t="str">
        <f t="shared" si="5"/>
        <v/>
      </c>
      <c r="Y2404" s="50" t="s">
        <v>482</v>
      </c>
      <c r="Z2404" s="49">
        <f t="shared" si="6"/>
        <v>0</v>
      </c>
    </row>
    <row r="2405" ht="22.5" customHeight="1">
      <c r="B2405" s="57"/>
      <c r="C2405" s="43" t="str">
        <f t="array" ref="C2405">IF(B2405="","",_xlfn.XLOOKUP(B2405,'Form responses 1'!$B$2:$B$2604,'Form responses 1'!$A$2:$A$2604,""))</f>
        <v/>
      </c>
      <c r="D2405" s="44" t="str">
        <f t="shared" si="3"/>
        <v/>
      </c>
      <c r="E2405" s="44" t="str">
        <f t="array" ref="E2405">IF(B2405="","",_xlfn.XLOOKUP(B2405,'Form responses 1'!$B$2:$B$2604,'Form responses 1'!$C$2:$C$2604,""))</f>
        <v/>
      </c>
      <c r="F2405" s="44" t="str">
        <f t="array" ref="F2405">IF(B2405="","",_xlfn.XLOOKUP(B2405,'Form responses 1'!$B$2:$B$2604,'Form responses 1'!$D$2:$D$2604,""))</f>
        <v/>
      </c>
      <c r="G2405" s="44" t="str">
        <f t="array" ref="G2405">IF(B2405="","",_xlfn.XLOOKUP(B2405,'Form responses 1'!$B$2:$B$2604,'Form responses 1'!$E$2:$E$2604,""))</f>
        <v/>
      </c>
      <c r="H2405" s="44" t="str">
        <f t="array" ref="H2405">IF(B2405="","",_xlfn.XLOOKUP(B2405,'Form responses 1'!$B$2:$B$2604,'Form responses 1'!$F$2:$F$2604,""))</f>
        <v/>
      </c>
      <c r="I2405" s="44" t="str">
        <f t="array" ref="I2405">IF(B2405="","",_xlfn.XLOOKUP(B2405,'Form responses 1'!$B$2:$B$2604,'Form responses 1'!$I$2:$I$2604,""))</f>
        <v/>
      </c>
      <c r="J2405" s="44" t="str">
        <f t="array" ref="J2405">IF(B2405="","",_xlfn.XLOOKUP(B2405,'Form responses 1'!$B$2:$B$2604,'Form responses 1'!$G$2:$G$2604,""))</f>
        <v/>
      </c>
      <c r="K2405" s="56"/>
      <c r="L2405" s="58" t="str">
        <f t="shared" si="7"/>
        <v/>
      </c>
      <c r="M2405" s="49"/>
      <c r="N2405" s="49"/>
      <c r="O2405" s="49"/>
      <c r="P2405" s="49"/>
      <c r="Q2405" s="49"/>
      <c r="R2405" s="49"/>
      <c r="S2405" s="49"/>
      <c r="T2405" s="49"/>
      <c r="U2405" s="49"/>
      <c r="V2405" s="49"/>
      <c r="W2405" s="56"/>
      <c r="X2405" s="51" t="str">
        <f t="shared" si="5"/>
        <v/>
      </c>
      <c r="Y2405" s="50" t="s">
        <v>482</v>
      </c>
      <c r="Z2405" s="49">
        <f t="shared" si="6"/>
        <v>0</v>
      </c>
    </row>
    <row r="2406" ht="22.5" customHeight="1">
      <c r="B2406" s="57"/>
      <c r="C2406" s="43" t="str">
        <f t="array" ref="C2406">IF(B2406="","",_xlfn.XLOOKUP(B2406,'Form responses 1'!$B$2:$B$2604,'Form responses 1'!$A$2:$A$2604,""))</f>
        <v/>
      </c>
      <c r="D2406" s="44" t="str">
        <f t="shared" si="3"/>
        <v/>
      </c>
      <c r="E2406" s="44" t="str">
        <f t="array" ref="E2406">IF(B2406="","",_xlfn.XLOOKUP(B2406,'Form responses 1'!$B$2:$B$2604,'Form responses 1'!$C$2:$C$2604,""))</f>
        <v/>
      </c>
      <c r="F2406" s="44" t="str">
        <f t="array" ref="F2406">IF(B2406="","",_xlfn.XLOOKUP(B2406,'Form responses 1'!$B$2:$B$2604,'Form responses 1'!$D$2:$D$2604,""))</f>
        <v/>
      </c>
      <c r="G2406" s="44" t="str">
        <f t="array" ref="G2406">IF(B2406="","",_xlfn.XLOOKUP(B2406,'Form responses 1'!$B$2:$B$2604,'Form responses 1'!$E$2:$E$2604,""))</f>
        <v/>
      </c>
      <c r="H2406" s="44" t="str">
        <f t="array" ref="H2406">IF(B2406="","",_xlfn.XLOOKUP(B2406,'Form responses 1'!$B$2:$B$2604,'Form responses 1'!$F$2:$F$2604,""))</f>
        <v/>
      </c>
      <c r="I2406" s="44" t="str">
        <f t="array" ref="I2406">IF(B2406="","",_xlfn.XLOOKUP(B2406,'Form responses 1'!$B$2:$B$2604,'Form responses 1'!$I$2:$I$2604,""))</f>
        <v/>
      </c>
      <c r="J2406" s="44" t="str">
        <f t="array" ref="J2406">IF(B2406="","",_xlfn.XLOOKUP(B2406,'Form responses 1'!$B$2:$B$2604,'Form responses 1'!$G$2:$G$2604,""))</f>
        <v/>
      </c>
      <c r="K2406" s="56"/>
      <c r="L2406" s="58" t="str">
        <f t="shared" si="7"/>
        <v/>
      </c>
      <c r="M2406" s="49"/>
      <c r="N2406" s="49"/>
      <c r="O2406" s="49"/>
      <c r="P2406" s="49"/>
      <c r="Q2406" s="49"/>
      <c r="R2406" s="49"/>
      <c r="S2406" s="49"/>
      <c r="T2406" s="49"/>
      <c r="U2406" s="49"/>
      <c r="V2406" s="49"/>
      <c r="W2406" s="56"/>
      <c r="X2406" s="51" t="str">
        <f t="shared" si="5"/>
        <v/>
      </c>
      <c r="Y2406" s="50" t="s">
        <v>482</v>
      </c>
      <c r="Z2406" s="49">
        <f t="shared" si="6"/>
        <v>0</v>
      </c>
    </row>
    <row r="2407" ht="22.5" customHeight="1">
      <c r="B2407" s="57"/>
      <c r="C2407" s="43" t="str">
        <f t="array" ref="C2407">IF(B2407="","",_xlfn.XLOOKUP(B2407,'Form responses 1'!$B$2:$B$2604,'Form responses 1'!$A$2:$A$2604,""))</f>
        <v/>
      </c>
      <c r="D2407" s="44" t="str">
        <f t="shared" si="3"/>
        <v/>
      </c>
      <c r="E2407" s="44" t="str">
        <f t="array" ref="E2407">IF(B2407="","",_xlfn.XLOOKUP(B2407,'Form responses 1'!$B$2:$B$2604,'Form responses 1'!$C$2:$C$2604,""))</f>
        <v/>
      </c>
      <c r="F2407" s="44" t="str">
        <f t="array" ref="F2407">IF(B2407="","",_xlfn.XLOOKUP(B2407,'Form responses 1'!$B$2:$B$2604,'Form responses 1'!$D$2:$D$2604,""))</f>
        <v/>
      </c>
      <c r="G2407" s="44" t="str">
        <f t="array" ref="G2407">IF(B2407="","",_xlfn.XLOOKUP(B2407,'Form responses 1'!$B$2:$B$2604,'Form responses 1'!$E$2:$E$2604,""))</f>
        <v/>
      </c>
      <c r="H2407" s="44" t="str">
        <f t="array" ref="H2407">IF(B2407="","",_xlfn.XLOOKUP(B2407,'Form responses 1'!$B$2:$B$2604,'Form responses 1'!$F$2:$F$2604,""))</f>
        <v/>
      </c>
      <c r="I2407" s="44" t="str">
        <f t="array" ref="I2407">IF(B2407="","",_xlfn.XLOOKUP(B2407,'Form responses 1'!$B$2:$B$2604,'Form responses 1'!$I$2:$I$2604,""))</f>
        <v/>
      </c>
      <c r="J2407" s="44" t="str">
        <f t="array" ref="J2407">IF(B2407="","",_xlfn.XLOOKUP(B2407,'Form responses 1'!$B$2:$B$2604,'Form responses 1'!$G$2:$G$2604,""))</f>
        <v/>
      </c>
      <c r="K2407" s="56"/>
      <c r="L2407" s="58" t="str">
        <f t="shared" si="7"/>
        <v/>
      </c>
      <c r="M2407" s="49"/>
      <c r="N2407" s="49"/>
      <c r="O2407" s="49"/>
      <c r="P2407" s="49"/>
      <c r="Q2407" s="49"/>
      <c r="R2407" s="49"/>
      <c r="S2407" s="49"/>
      <c r="T2407" s="49"/>
      <c r="U2407" s="49"/>
      <c r="V2407" s="49"/>
      <c r="W2407" s="56"/>
      <c r="X2407" s="51" t="str">
        <f t="shared" si="5"/>
        <v/>
      </c>
      <c r="Y2407" s="50" t="s">
        <v>482</v>
      </c>
      <c r="Z2407" s="49">
        <f t="shared" si="6"/>
        <v>0</v>
      </c>
    </row>
    <row r="2408" ht="22.5" customHeight="1">
      <c r="B2408" s="57"/>
      <c r="C2408" s="43" t="str">
        <f t="array" ref="C2408">IF(B2408="","",_xlfn.XLOOKUP(B2408,'Form responses 1'!$B$2:$B$2604,'Form responses 1'!$A$2:$A$2604,""))</f>
        <v/>
      </c>
      <c r="D2408" s="44" t="str">
        <f t="shared" si="3"/>
        <v/>
      </c>
      <c r="E2408" s="44" t="str">
        <f t="array" ref="E2408">IF(B2408="","",_xlfn.XLOOKUP(B2408,'Form responses 1'!$B$2:$B$2604,'Form responses 1'!$C$2:$C$2604,""))</f>
        <v/>
      </c>
      <c r="F2408" s="44" t="str">
        <f t="array" ref="F2408">IF(B2408="","",_xlfn.XLOOKUP(B2408,'Form responses 1'!$B$2:$B$2604,'Form responses 1'!$D$2:$D$2604,""))</f>
        <v/>
      </c>
      <c r="G2408" s="44" t="str">
        <f t="array" ref="G2408">IF(B2408="","",_xlfn.XLOOKUP(B2408,'Form responses 1'!$B$2:$B$2604,'Form responses 1'!$E$2:$E$2604,""))</f>
        <v/>
      </c>
      <c r="H2408" s="44" t="str">
        <f t="array" ref="H2408">IF(B2408="","",_xlfn.XLOOKUP(B2408,'Form responses 1'!$B$2:$B$2604,'Form responses 1'!$F$2:$F$2604,""))</f>
        <v/>
      </c>
      <c r="I2408" s="44" t="str">
        <f t="array" ref="I2408">IF(B2408="","",_xlfn.XLOOKUP(B2408,'Form responses 1'!$B$2:$B$2604,'Form responses 1'!$I$2:$I$2604,""))</f>
        <v/>
      </c>
      <c r="J2408" s="44" t="str">
        <f t="array" ref="J2408">IF(B2408="","",_xlfn.XLOOKUP(B2408,'Form responses 1'!$B$2:$B$2604,'Form responses 1'!$G$2:$G$2604,""))</f>
        <v/>
      </c>
      <c r="K2408" s="56"/>
      <c r="L2408" s="58" t="str">
        <f t="shared" si="7"/>
        <v/>
      </c>
      <c r="M2408" s="49"/>
      <c r="N2408" s="49"/>
      <c r="O2408" s="49"/>
      <c r="P2408" s="49"/>
      <c r="Q2408" s="49"/>
      <c r="R2408" s="49"/>
      <c r="S2408" s="49"/>
      <c r="T2408" s="49"/>
      <c r="U2408" s="49"/>
      <c r="V2408" s="49"/>
      <c r="W2408" s="56"/>
      <c r="X2408" s="51" t="str">
        <f t="shared" si="5"/>
        <v/>
      </c>
      <c r="Y2408" s="50" t="s">
        <v>482</v>
      </c>
      <c r="Z2408" s="49">
        <f t="shared" si="6"/>
        <v>0</v>
      </c>
    </row>
    <row r="2409" ht="22.5" customHeight="1">
      <c r="B2409" s="57"/>
      <c r="C2409" s="43" t="str">
        <f t="array" ref="C2409">IF(B2409="","",_xlfn.XLOOKUP(B2409,'Form responses 1'!$B$2:$B$2604,'Form responses 1'!$A$2:$A$2604,""))</f>
        <v/>
      </c>
      <c r="D2409" s="44" t="str">
        <f t="shared" si="3"/>
        <v/>
      </c>
      <c r="E2409" s="44" t="str">
        <f t="array" ref="E2409">IF(B2409="","",_xlfn.XLOOKUP(B2409,'Form responses 1'!$B$2:$B$2604,'Form responses 1'!$C$2:$C$2604,""))</f>
        <v/>
      </c>
      <c r="F2409" s="44" t="str">
        <f t="array" ref="F2409">IF(B2409="","",_xlfn.XLOOKUP(B2409,'Form responses 1'!$B$2:$B$2604,'Form responses 1'!$D$2:$D$2604,""))</f>
        <v/>
      </c>
      <c r="G2409" s="44" t="str">
        <f t="array" ref="G2409">IF(B2409="","",_xlfn.XLOOKUP(B2409,'Form responses 1'!$B$2:$B$2604,'Form responses 1'!$E$2:$E$2604,""))</f>
        <v/>
      </c>
      <c r="H2409" s="44" t="str">
        <f t="array" ref="H2409">IF(B2409="","",_xlfn.XLOOKUP(B2409,'Form responses 1'!$B$2:$B$2604,'Form responses 1'!$F$2:$F$2604,""))</f>
        <v/>
      </c>
      <c r="I2409" s="44" t="str">
        <f t="array" ref="I2409">IF(B2409="","",_xlfn.XLOOKUP(B2409,'Form responses 1'!$B$2:$B$2604,'Form responses 1'!$I$2:$I$2604,""))</f>
        <v/>
      </c>
      <c r="J2409" s="44" t="str">
        <f t="array" ref="J2409">IF(B2409="","",_xlfn.XLOOKUP(B2409,'Form responses 1'!$B$2:$B$2604,'Form responses 1'!$G$2:$G$2604,""))</f>
        <v/>
      </c>
      <c r="K2409" s="56"/>
      <c r="L2409" s="58" t="str">
        <f t="shared" si="7"/>
        <v/>
      </c>
      <c r="M2409" s="49"/>
      <c r="N2409" s="49"/>
      <c r="O2409" s="49"/>
      <c r="P2409" s="49"/>
      <c r="Q2409" s="49"/>
      <c r="R2409" s="49"/>
      <c r="S2409" s="49"/>
      <c r="T2409" s="49"/>
      <c r="U2409" s="49"/>
      <c r="V2409" s="49"/>
      <c r="W2409" s="56"/>
      <c r="X2409" s="51" t="str">
        <f t="shared" si="5"/>
        <v/>
      </c>
      <c r="Y2409" s="50" t="s">
        <v>482</v>
      </c>
      <c r="Z2409" s="49">
        <f t="shared" si="6"/>
        <v>0</v>
      </c>
    </row>
    <row r="2410" ht="22.5" customHeight="1">
      <c r="B2410" s="57"/>
      <c r="C2410" s="43" t="str">
        <f t="array" ref="C2410">IF(B2410="","",_xlfn.XLOOKUP(B2410,'Form responses 1'!$B$2:$B$2604,'Form responses 1'!$A$2:$A$2604,""))</f>
        <v/>
      </c>
      <c r="D2410" s="44" t="str">
        <f t="shared" si="3"/>
        <v/>
      </c>
      <c r="E2410" s="44" t="str">
        <f t="array" ref="E2410">IF(B2410="","",_xlfn.XLOOKUP(B2410,'Form responses 1'!$B$2:$B$2604,'Form responses 1'!$C$2:$C$2604,""))</f>
        <v/>
      </c>
      <c r="F2410" s="44" t="str">
        <f t="array" ref="F2410">IF(B2410="","",_xlfn.XLOOKUP(B2410,'Form responses 1'!$B$2:$B$2604,'Form responses 1'!$D$2:$D$2604,""))</f>
        <v/>
      </c>
      <c r="G2410" s="44" t="str">
        <f t="array" ref="G2410">IF(B2410="","",_xlfn.XLOOKUP(B2410,'Form responses 1'!$B$2:$B$2604,'Form responses 1'!$E$2:$E$2604,""))</f>
        <v/>
      </c>
      <c r="H2410" s="44" t="str">
        <f t="array" ref="H2410">IF(B2410="","",_xlfn.XLOOKUP(B2410,'Form responses 1'!$B$2:$B$2604,'Form responses 1'!$F$2:$F$2604,""))</f>
        <v/>
      </c>
      <c r="I2410" s="44" t="str">
        <f t="array" ref="I2410">IF(B2410="","",_xlfn.XLOOKUP(B2410,'Form responses 1'!$B$2:$B$2604,'Form responses 1'!$I$2:$I$2604,""))</f>
        <v/>
      </c>
      <c r="J2410" s="44" t="str">
        <f t="array" ref="J2410">IF(B2410="","",_xlfn.XLOOKUP(B2410,'Form responses 1'!$B$2:$B$2604,'Form responses 1'!$G$2:$G$2604,""))</f>
        <v/>
      </c>
      <c r="K2410" s="56"/>
      <c r="L2410" s="58" t="str">
        <f t="shared" si="7"/>
        <v/>
      </c>
      <c r="M2410" s="49"/>
      <c r="N2410" s="49"/>
      <c r="O2410" s="49"/>
      <c r="P2410" s="49"/>
      <c r="Q2410" s="49"/>
      <c r="R2410" s="49"/>
      <c r="S2410" s="49"/>
      <c r="T2410" s="49"/>
      <c r="U2410" s="49"/>
      <c r="V2410" s="49"/>
      <c r="W2410" s="56"/>
      <c r="X2410" s="51" t="str">
        <f t="shared" si="5"/>
        <v/>
      </c>
      <c r="Y2410" s="50" t="s">
        <v>482</v>
      </c>
      <c r="Z2410" s="49">
        <f t="shared" si="6"/>
        <v>0</v>
      </c>
    </row>
    <row r="2411" ht="22.5" customHeight="1">
      <c r="B2411" s="57"/>
      <c r="C2411" s="43" t="str">
        <f t="array" ref="C2411">IF(B2411="","",_xlfn.XLOOKUP(B2411,'Form responses 1'!$B$2:$B$2604,'Form responses 1'!$A$2:$A$2604,""))</f>
        <v/>
      </c>
      <c r="D2411" s="44" t="str">
        <f t="shared" si="3"/>
        <v/>
      </c>
      <c r="E2411" s="44" t="str">
        <f t="array" ref="E2411">IF(B2411="","",_xlfn.XLOOKUP(B2411,'Form responses 1'!$B$2:$B$2604,'Form responses 1'!$C$2:$C$2604,""))</f>
        <v/>
      </c>
      <c r="F2411" s="44" t="str">
        <f t="array" ref="F2411">IF(B2411="","",_xlfn.XLOOKUP(B2411,'Form responses 1'!$B$2:$B$2604,'Form responses 1'!$D$2:$D$2604,""))</f>
        <v/>
      </c>
      <c r="G2411" s="44" t="str">
        <f t="array" ref="G2411">IF(B2411="","",_xlfn.XLOOKUP(B2411,'Form responses 1'!$B$2:$B$2604,'Form responses 1'!$E$2:$E$2604,""))</f>
        <v/>
      </c>
      <c r="H2411" s="44" t="str">
        <f t="array" ref="H2411">IF(B2411="","",_xlfn.XLOOKUP(B2411,'Form responses 1'!$B$2:$B$2604,'Form responses 1'!$F$2:$F$2604,""))</f>
        <v/>
      </c>
      <c r="I2411" s="44" t="str">
        <f t="array" ref="I2411">IF(B2411="","",_xlfn.XLOOKUP(B2411,'Form responses 1'!$B$2:$B$2604,'Form responses 1'!$I$2:$I$2604,""))</f>
        <v/>
      </c>
      <c r="J2411" s="44" t="str">
        <f t="array" ref="J2411">IF(B2411="","",_xlfn.XLOOKUP(B2411,'Form responses 1'!$B$2:$B$2604,'Form responses 1'!$G$2:$G$2604,""))</f>
        <v/>
      </c>
      <c r="K2411" s="56"/>
      <c r="L2411" s="58" t="str">
        <f t="shared" si="7"/>
        <v/>
      </c>
      <c r="M2411" s="49"/>
      <c r="N2411" s="49"/>
      <c r="O2411" s="49"/>
      <c r="P2411" s="49"/>
      <c r="Q2411" s="49"/>
      <c r="R2411" s="49"/>
      <c r="S2411" s="49"/>
      <c r="T2411" s="49"/>
      <c r="U2411" s="49"/>
      <c r="V2411" s="49"/>
      <c r="W2411" s="56"/>
      <c r="X2411" s="51" t="str">
        <f t="shared" si="5"/>
        <v/>
      </c>
      <c r="Y2411" s="50" t="s">
        <v>482</v>
      </c>
      <c r="Z2411" s="49">
        <f t="shared" si="6"/>
        <v>0</v>
      </c>
    </row>
    <row r="2412" ht="22.5" customHeight="1">
      <c r="B2412" s="57"/>
      <c r="C2412" s="43" t="str">
        <f t="array" ref="C2412">IF(B2412="","",_xlfn.XLOOKUP(B2412,'Form responses 1'!$B$2:$B$2604,'Form responses 1'!$A$2:$A$2604,""))</f>
        <v/>
      </c>
      <c r="D2412" s="44" t="str">
        <f t="shared" si="3"/>
        <v/>
      </c>
      <c r="E2412" s="44" t="str">
        <f t="array" ref="E2412">IF(B2412="","",_xlfn.XLOOKUP(B2412,'Form responses 1'!$B$2:$B$2604,'Form responses 1'!$C$2:$C$2604,""))</f>
        <v/>
      </c>
      <c r="F2412" s="44" t="str">
        <f t="array" ref="F2412">IF(B2412="","",_xlfn.XLOOKUP(B2412,'Form responses 1'!$B$2:$B$2604,'Form responses 1'!$D$2:$D$2604,""))</f>
        <v/>
      </c>
      <c r="G2412" s="44" t="str">
        <f t="array" ref="G2412">IF(B2412="","",_xlfn.XLOOKUP(B2412,'Form responses 1'!$B$2:$B$2604,'Form responses 1'!$E$2:$E$2604,""))</f>
        <v/>
      </c>
      <c r="H2412" s="44" t="str">
        <f t="array" ref="H2412">IF(B2412="","",_xlfn.XLOOKUP(B2412,'Form responses 1'!$B$2:$B$2604,'Form responses 1'!$F$2:$F$2604,""))</f>
        <v/>
      </c>
      <c r="I2412" s="44" t="str">
        <f t="array" ref="I2412">IF(B2412="","",_xlfn.XLOOKUP(B2412,'Form responses 1'!$B$2:$B$2604,'Form responses 1'!$I$2:$I$2604,""))</f>
        <v/>
      </c>
      <c r="J2412" s="44" t="str">
        <f t="array" ref="J2412">IF(B2412="","",_xlfn.XLOOKUP(B2412,'Form responses 1'!$B$2:$B$2604,'Form responses 1'!$G$2:$G$2604,""))</f>
        <v/>
      </c>
      <c r="K2412" s="56"/>
      <c r="L2412" s="58" t="str">
        <f t="shared" si="7"/>
        <v/>
      </c>
      <c r="M2412" s="49"/>
      <c r="N2412" s="49"/>
      <c r="O2412" s="49"/>
      <c r="P2412" s="49"/>
      <c r="Q2412" s="49"/>
      <c r="R2412" s="49"/>
      <c r="S2412" s="49"/>
      <c r="T2412" s="49"/>
      <c r="U2412" s="49"/>
      <c r="V2412" s="49"/>
      <c r="W2412" s="56"/>
      <c r="X2412" s="51" t="str">
        <f t="shared" si="5"/>
        <v/>
      </c>
      <c r="Y2412" s="50" t="s">
        <v>482</v>
      </c>
      <c r="Z2412" s="49">
        <f t="shared" si="6"/>
        <v>0</v>
      </c>
    </row>
    <row r="2413" ht="22.5" customHeight="1">
      <c r="B2413" s="57"/>
      <c r="C2413" s="43" t="str">
        <f t="array" ref="C2413">IF(B2413="","",_xlfn.XLOOKUP(B2413,'Form responses 1'!$B$2:$B$2604,'Form responses 1'!$A$2:$A$2604,""))</f>
        <v/>
      </c>
      <c r="D2413" s="44" t="str">
        <f t="shared" si="3"/>
        <v/>
      </c>
      <c r="E2413" s="44" t="str">
        <f t="array" ref="E2413">IF(B2413="","",_xlfn.XLOOKUP(B2413,'Form responses 1'!$B$2:$B$2604,'Form responses 1'!$C$2:$C$2604,""))</f>
        <v/>
      </c>
      <c r="F2413" s="44" t="str">
        <f t="array" ref="F2413">IF(B2413="","",_xlfn.XLOOKUP(B2413,'Form responses 1'!$B$2:$B$2604,'Form responses 1'!$D$2:$D$2604,""))</f>
        <v/>
      </c>
      <c r="G2413" s="44" t="str">
        <f t="array" ref="G2413">IF(B2413="","",_xlfn.XLOOKUP(B2413,'Form responses 1'!$B$2:$B$2604,'Form responses 1'!$E$2:$E$2604,""))</f>
        <v/>
      </c>
      <c r="H2413" s="44" t="str">
        <f t="array" ref="H2413">IF(B2413="","",_xlfn.XLOOKUP(B2413,'Form responses 1'!$B$2:$B$2604,'Form responses 1'!$F$2:$F$2604,""))</f>
        <v/>
      </c>
      <c r="I2413" s="44" t="str">
        <f t="array" ref="I2413">IF(B2413="","",_xlfn.XLOOKUP(B2413,'Form responses 1'!$B$2:$B$2604,'Form responses 1'!$I$2:$I$2604,""))</f>
        <v/>
      </c>
      <c r="J2413" s="44" t="str">
        <f t="array" ref="J2413">IF(B2413="","",_xlfn.XLOOKUP(B2413,'Form responses 1'!$B$2:$B$2604,'Form responses 1'!$G$2:$G$2604,""))</f>
        <v/>
      </c>
      <c r="K2413" s="56"/>
      <c r="L2413" s="58" t="str">
        <f t="shared" si="7"/>
        <v/>
      </c>
      <c r="M2413" s="49"/>
      <c r="N2413" s="49"/>
      <c r="O2413" s="49"/>
      <c r="P2413" s="49"/>
      <c r="Q2413" s="49"/>
      <c r="R2413" s="49"/>
      <c r="S2413" s="49"/>
      <c r="T2413" s="49"/>
      <c r="U2413" s="49"/>
      <c r="V2413" s="49"/>
      <c r="W2413" s="56"/>
      <c r="X2413" s="51" t="str">
        <f t="shared" si="5"/>
        <v/>
      </c>
      <c r="Y2413" s="50" t="s">
        <v>482</v>
      </c>
      <c r="Z2413" s="49">
        <f t="shared" si="6"/>
        <v>0</v>
      </c>
    </row>
    <row r="2414" ht="22.5" customHeight="1">
      <c r="B2414" s="57"/>
      <c r="C2414" s="43" t="str">
        <f t="array" ref="C2414">IF(B2414="","",_xlfn.XLOOKUP(B2414,'Form responses 1'!$B$2:$B$2604,'Form responses 1'!$A$2:$A$2604,""))</f>
        <v/>
      </c>
      <c r="D2414" s="44" t="str">
        <f t="shared" si="3"/>
        <v/>
      </c>
      <c r="E2414" s="44" t="str">
        <f t="array" ref="E2414">IF(B2414="","",_xlfn.XLOOKUP(B2414,'Form responses 1'!$B$2:$B$2604,'Form responses 1'!$C$2:$C$2604,""))</f>
        <v/>
      </c>
      <c r="F2414" s="44" t="str">
        <f t="array" ref="F2414">IF(B2414="","",_xlfn.XLOOKUP(B2414,'Form responses 1'!$B$2:$B$2604,'Form responses 1'!$D$2:$D$2604,""))</f>
        <v/>
      </c>
      <c r="G2414" s="44" t="str">
        <f t="array" ref="G2414">IF(B2414="","",_xlfn.XLOOKUP(B2414,'Form responses 1'!$B$2:$B$2604,'Form responses 1'!$E$2:$E$2604,""))</f>
        <v/>
      </c>
      <c r="H2414" s="44" t="str">
        <f t="array" ref="H2414">IF(B2414="","",_xlfn.XLOOKUP(B2414,'Form responses 1'!$B$2:$B$2604,'Form responses 1'!$F$2:$F$2604,""))</f>
        <v/>
      </c>
      <c r="I2414" s="44" t="str">
        <f t="array" ref="I2414">IF(B2414="","",_xlfn.XLOOKUP(B2414,'Form responses 1'!$B$2:$B$2604,'Form responses 1'!$I$2:$I$2604,""))</f>
        <v/>
      </c>
      <c r="J2414" s="44" t="str">
        <f t="array" ref="J2414">IF(B2414="","",_xlfn.XLOOKUP(B2414,'Form responses 1'!$B$2:$B$2604,'Form responses 1'!$G$2:$G$2604,""))</f>
        <v/>
      </c>
      <c r="K2414" s="56"/>
      <c r="L2414" s="58" t="str">
        <f t="shared" si="7"/>
        <v/>
      </c>
      <c r="M2414" s="49"/>
      <c r="N2414" s="49"/>
      <c r="O2414" s="49"/>
      <c r="P2414" s="49"/>
      <c r="Q2414" s="49"/>
      <c r="R2414" s="49"/>
      <c r="S2414" s="49"/>
      <c r="T2414" s="49"/>
      <c r="U2414" s="49"/>
      <c r="V2414" s="49"/>
      <c r="W2414" s="56"/>
      <c r="X2414" s="51" t="str">
        <f t="shared" si="5"/>
        <v/>
      </c>
      <c r="Y2414" s="50" t="s">
        <v>482</v>
      </c>
      <c r="Z2414" s="49">
        <f t="shared" si="6"/>
        <v>0</v>
      </c>
    </row>
    <row r="2415" ht="22.5" customHeight="1">
      <c r="B2415" s="57"/>
      <c r="C2415" s="43" t="str">
        <f t="array" ref="C2415">IF(B2415="","",_xlfn.XLOOKUP(B2415,'Form responses 1'!$B$2:$B$2604,'Form responses 1'!$A$2:$A$2604,""))</f>
        <v/>
      </c>
      <c r="D2415" s="44" t="str">
        <f t="shared" si="3"/>
        <v/>
      </c>
      <c r="E2415" s="44" t="str">
        <f t="array" ref="E2415">IF(B2415="","",_xlfn.XLOOKUP(B2415,'Form responses 1'!$B$2:$B$2604,'Form responses 1'!$C$2:$C$2604,""))</f>
        <v/>
      </c>
      <c r="F2415" s="44" t="str">
        <f t="array" ref="F2415">IF(B2415="","",_xlfn.XLOOKUP(B2415,'Form responses 1'!$B$2:$B$2604,'Form responses 1'!$D$2:$D$2604,""))</f>
        <v/>
      </c>
      <c r="G2415" s="44" t="str">
        <f t="array" ref="G2415">IF(B2415="","",_xlfn.XLOOKUP(B2415,'Form responses 1'!$B$2:$B$2604,'Form responses 1'!$E$2:$E$2604,""))</f>
        <v/>
      </c>
      <c r="H2415" s="44" t="str">
        <f t="array" ref="H2415">IF(B2415="","",_xlfn.XLOOKUP(B2415,'Form responses 1'!$B$2:$B$2604,'Form responses 1'!$F$2:$F$2604,""))</f>
        <v/>
      </c>
      <c r="I2415" s="44" t="str">
        <f t="array" ref="I2415">IF(B2415="","",_xlfn.XLOOKUP(B2415,'Form responses 1'!$B$2:$B$2604,'Form responses 1'!$I$2:$I$2604,""))</f>
        <v/>
      </c>
      <c r="J2415" s="44" t="str">
        <f t="array" ref="J2415">IF(B2415="","",_xlfn.XLOOKUP(B2415,'Form responses 1'!$B$2:$B$2604,'Form responses 1'!$G$2:$G$2604,""))</f>
        <v/>
      </c>
      <c r="K2415" s="56"/>
      <c r="L2415" s="58" t="str">
        <f t="shared" si="7"/>
        <v/>
      </c>
      <c r="M2415" s="49"/>
      <c r="N2415" s="49"/>
      <c r="O2415" s="49"/>
      <c r="P2415" s="49"/>
      <c r="Q2415" s="49"/>
      <c r="R2415" s="49"/>
      <c r="S2415" s="49"/>
      <c r="T2415" s="49"/>
      <c r="U2415" s="49"/>
      <c r="V2415" s="49"/>
      <c r="W2415" s="56"/>
      <c r="X2415" s="51" t="str">
        <f t="shared" si="5"/>
        <v/>
      </c>
      <c r="Y2415" s="50" t="s">
        <v>482</v>
      </c>
      <c r="Z2415" s="49">
        <f t="shared" si="6"/>
        <v>0</v>
      </c>
    </row>
    <row r="2416" ht="22.5" customHeight="1">
      <c r="B2416" s="57"/>
      <c r="C2416" s="43" t="str">
        <f t="array" ref="C2416">IF(B2416="","",_xlfn.XLOOKUP(B2416,'Form responses 1'!$B$2:$B$2604,'Form responses 1'!$A$2:$A$2604,""))</f>
        <v/>
      </c>
      <c r="D2416" s="44" t="str">
        <f t="shared" si="3"/>
        <v/>
      </c>
      <c r="E2416" s="44" t="str">
        <f t="array" ref="E2416">IF(B2416="","",_xlfn.XLOOKUP(B2416,'Form responses 1'!$B$2:$B$2604,'Form responses 1'!$C$2:$C$2604,""))</f>
        <v/>
      </c>
      <c r="F2416" s="44" t="str">
        <f t="array" ref="F2416">IF(B2416="","",_xlfn.XLOOKUP(B2416,'Form responses 1'!$B$2:$B$2604,'Form responses 1'!$D$2:$D$2604,""))</f>
        <v/>
      </c>
      <c r="G2416" s="44" t="str">
        <f t="array" ref="G2416">IF(B2416="","",_xlfn.XLOOKUP(B2416,'Form responses 1'!$B$2:$B$2604,'Form responses 1'!$E$2:$E$2604,""))</f>
        <v/>
      </c>
      <c r="H2416" s="44" t="str">
        <f t="array" ref="H2416">IF(B2416="","",_xlfn.XLOOKUP(B2416,'Form responses 1'!$B$2:$B$2604,'Form responses 1'!$F$2:$F$2604,""))</f>
        <v/>
      </c>
      <c r="I2416" s="44" t="str">
        <f t="array" ref="I2416">IF(B2416="","",_xlfn.XLOOKUP(B2416,'Form responses 1'!$B$2:$B$2604,'Form responses 1'!$I$2:$I$2604,""))</f>
        <v/>
      </c>
      <c r="J2416" s="44" t="str">
        <f t="array" ref="J2416">IF(B2416="","",_xlfn.XLOOKUP(B2416,'Form responses 1'!$B$2:$B$2604,'Form responses 1'!$G$2:$G$2604,""))</f>
        <v/>
      </c>
      <c r="K2416" s="56"/>
      <c r="L2416" s="58" t="str">
        <f t="shared" si="7"/>
        <v/>
      </c>
      <c r="M2416" s="49"/>
      <c r="N2416" s="49"/>
      <c r="O2416" s="49"/>
      <c r="P2416" s="49"/>
      <c r="Q2416" s="49"/>
      <c r="R2416" s="49"/>
      <c r="S2416" s="49"/>
      <c r="T2416" s="49"/>
      <c r="U2416" s="49"/>
      <c r="V2416" s="49"/>
      <c r="W2416" s="56"/>
      <c r="X2416" s="51" t="str">
        <f t="shared" si="5"/>
        <v/>
      </c>
      <c r="Y2416" s="50" t="s">
        <v>482</v>
      </c>
      <c r="Z2416" s="49">
        <f t="shared" si="6"/>
        <v>0</v>
      </c>
    </row>
    <row r="2417" ht="22.5" customHeight="1">
      <c r="B2417" s="57"/>
      <c r="C2417" s="43" t="str">
        <f t="array" ref="C2417">IF(B2417="","",_xlfn.XLOOKUP(B2417,'Form responses 1'!$B$2:$B$2604,'Form responses 1'!$A$2:$A$2604,""))</f>
        <v/>
      </c>
      <c r="D2417" s="44" t="str">
        <f t="shared" si="3"/>
        <v/>
      </c>
      <c r="E2417" s="44" t="str">
        <f t="array" ref="E2417">IF(B2417="","",_xlfn.XLOOKUP(B2417,'Form responses 1'!$B$2:$B$2604,'Form responses 1'!$C$2:$C$2604,""))</f>
        <v/>
      </c>
      <c r="F2417" s="44" t="str">
        <f t="array" ref="F2417">IF(B2417="","",_xlfn.XLOOKUP(B2417,'Form responses 1'!$B$2:$B$2604,'Form responses 1'!$D$2:$D$2604,""))</f>
        <v/>
      </c>
      <c r="G2417" s="44" t="str">
        <f t="array" ref="G2417">IF(B2417="","",_xlfn.XLOOKUP(B2417,'Form responses 1'!$B$2:$B$2604,'Form responses 1'!$E$2:$E$2604,""))</f>
        <v/>
      </c>
      <c r="H2417" s="44" t="str">
        <f t="array" ref="H2417">IF(B2417="","",_xlfn.XLOOKUP(B2417,'Form responses 1'!$B$2:$B$2604,'Form responses 1'!$F$2:$F$2604,""))</f>
        <v/>
      </c>
      <c r="I2417" s="44" t="str">
        <f t="array" ref="I2417">IF(B2417="","",_xlfn.XLOOKUP(B2417,'Form responses 1'!$B$2:$B$2604,'Form responses 1'!$I$2:$I$2604,""))</f>
        <v/>
      </c>
      <c r="J2417" s="44" t="str">
        <f t="array" ref="J2417">IF(B2417="","",_xlfn.XLOOKUP(B2417,'Form responses 1'!$B$2:$B$2604,'Form responses 1'!$G$2:$G$2604,""))</f>
        <v/>
      </c>
      <c r="K2417" s="56"/>
      <c r="L2417" s="58" t="str">
        <f t="shared" si="7"/>
        <v/>
      </c>
      <c r="M2417" s="49"/>
      <c r="N2417" s="49"/>
      <c r="O2417" s="49"/>
      <c r="P2417" s="49"/>
      <c r="Q2417" s="49"/>
      <c r="R2417" s="49"/>
      <c r="S2417" s="49"/>
      <c r="T2417" s="49"/>
      <c r="U2417" s="49"/>
      <c r="V2417" s="49"/>
      <c r="W2417" s="56"/>
      <c r="X2417" s="51" t="str">
        <f t="shared" si="5"/>
        <v/>
      </c>
      <c r="Y2417" s="50" t="s">
        <v>482</v>
      </c>
      <c r="Z2417" s="49">
        <f t="shared" si="6"/>
        <v>0</v>
      </c>
    </row>
    <row r="2418" ht="22.5" customHeight="1">
      <c r="B2418" s="57"/>
      <c r="C2418" s="43" t="str">
        <f t="array" ref="C2418">IF(B2418="","",_xlfn.XLOOKUP(B2418,'Form responses 1'!$B$2:$B$2604,'Form responses 1'!$A$2:$A$2604,""))</f>
        <v/>
      </c>
      <c r="D2418" s="44" t="str">
        <f t="shared" si="3"/>
        <v/>
      </c>
      <c r="E2418" s="44" t="str">
        <f t="array" ref="E2418">IF(B2418="","",_xlfn.XLOOKUP(B2418,'Form responses 1'!$B$2:$B$2604,'Form responses 1'!$C$2:$C$2604,""))</f>
        <v/>
      </c>
      <c r="F2418" s="44" t="str">
        <f t="array" ref="F2418">IF(B2418="","",_xlfn.XLOOKUP(B2418,'Form responses 1'!$B$2:$B$2604,'Form responses 1'!$D$2:$D$2604,""))</f>
        <v/>
      </c>
      <c r="G2418" s="44" t="str">
        <f t="array" ref="G2418">IF(B2418="","",_xlfn.XLOOKUP(B2418,'Form responses 1'!$B$2:$B$2604,'Form responses 1'!$E$2:$E$2604,""))</f>
        <v/>
      </c>
      <c r="H2418" s="44" t="str">
        <f t="array" ref="H2418">IF(B2418="","",_xlfn.XLOOKUP(B2418,'Form responses 1'!$B$2:$B$2604,'Form responses 1'!$F$2:$F$2604,""))</f>
        <v/>
      </c>
      <c r="I2418" s="44" t="str">
        <f t="array" ref="I2418">IF(B2418="","",_xlfn.XLOOKUP(B2418,'Form responses 1'!$B$2:$B$2604,'Form responses 1'!$I$2:$I$2604,""))</f>
        <v/>
      </c>
      <c r="J2418" s="44" t="str">
        <f t="array" ref="J2418">IF(B2418="","",_xlfn.XLOOKUP(B2418,'Form responses 1'!$B$2:$B$2604,'Form responses 1'!$G$2:$G$2604,""))</f>
        <v/>
      </c>
      <c r="K2418" s="56"/>
      <c r="L2418" s="58" t="str">
        <f t="shared" si="7"/>
        <v/>
      </c>
      <c r="M2418" s="49"/>
      <c r="N2418" s="49"/>
      <c r="O2418" s="49"/>
      <c r="P2418" s="49"/>
      <c r="Q2418" s="49"/>
      <c r="R2418" s="49"/>
      <c r="S2418" s="49"/>
      <c r="T2418" s="49"/>
      <c r="U2418" s="49"/>
      <c r="V2418" s="49"/>
      <c r="W2418" s="56"/>
      <c r="X2418" s="51" t="str">
        <f t="shared" si="5"/>
        <v/>
      </c>
      <c r="Y2418" s="50" t="s">
        <v>482</v>
      </c>
      <c r="Z2418" s="49">
        <f t="shared" si="6"/>
        <v>0</v>
      </c>
    </row>
    <row r="2419" ht="22.5" customHeight="1">
      <c r="B2419" s="57"/>
      <c r="C2419" s="43" t="str">
        <f t="array" ref="C2419">IF(B2419="","",_xlfn.XLOOKUP(B2419,'Form responses 1'!$B$2:$B$2604,'Form responses 1'!$A$2:$A$2604,""))</f>
        <v/>
      </c>
      <c r="D2419" s="44" t="str">
        <f t="shared" si="3"/>
        <v/>
      </c>
      <c r="E2419" s="44" t="str">
        <f t="array" ref="E2419">IF(B2419="","",_xlfn.XLOOKUP(B2419,'Form responses 1'!$B$2:$B$2604,'Form responses 1'!$C$2:$C$2604,""))</f>
        <v/>
      </c>
      <c r="F2419" s="44" t="str">
        <f t="array" ref="F2419">IF(B2419="","",_xlfn.XLOOKUP(B2419,'Form responses 1'!$B$2:$B$2604,'Form responses 1'!$D$2:$D$2604,""))</f>
        <v/>
      </c>
      <c r="G2419" s="44" t="str">
        <f t="array" ref="G2419">IF(B2419="","",_xlfn.XLOOKUP(B2419,'Form responses 1'!$B$2:$B$2604,'Form responses 1'!$E$2:$E$2604,""))</f>
        <v/>
      </c>
      <c r="H2419" s="44" t="str">
        <f t="array" ref="H2419">IF(B2419="","",_xlfn.XLOOKUP(B2419,'Form responses 1'!$B$2:$B$2604,'Form responses 1'!$F$2:$F$2604,""))</f>
        <v/>
      </c>
      <c r="I2419" s="44" t="str">
        <f t="array" ref="I2419">IF(B2419="","",_xlfn.XLOOKUP(B2419,'Form responses 1'!$B$2:$B$2604,'Form responses 1'!$I$2:$I$2604,""))</f>
        <v/>
      </c>
      <c r="J2419" s="44" t="str">
        <f t="array" ref="J2419">IF(B2419="","",_xlfn.XLOOKUP(B2419,'Form responses 1'!$B$2:$B$2604,'Form responses 1'!$G$2:$G$2604,""))</f>
        <v/>
      </c>
      <c r="K2419" s="56"/>
      <c r="L2419" s="58" t="str">
        <f t="shared" si="7"/>
        <v/>
      </c>
      <c r="M2419" s="49"/>
      <c r="N2419" s="49"/>
      <c r="O2419" s="49"/>
      <c r="P2419" s="49"/>
      <c r="Q2419" s="49"/>
      <c r="R2419" s="49"/>
      <c r="S2419" s="49"/>
      <c r="T2419" s="49"/>
      <c r="U2419" s="49"/>
      <c r="V2419" s="49"/>
      <c r="W2419" s="56"/>
      <c r="X2419" s="51" t="str">
        <f t="shared" si="5"/>
        <v/>
      </c>
      <c r="Y2419" s="50" t="s">
        <v>482</v>
      </c>
      <c r="Z2419" s="49">
        <f t="shared" si="6"/>
        <v>0</v>
      </c>
    </row>
    <row r="2420" ht="22.5" customHeight="1">
      <c r="B2420" s="57"/>
      <c r="C2420" s="43" t="str">
        <f t="array" ref="C2420">IF(B2420="","",_xlfn.XLOOKUP(B2420,'Form responses 1'!$B$2:$B$2604,'Form responses 1'!$A$2:$A$2604,""))</f>
        <v/>
      </c>
      <c r="D2420" s="44" t="str">
        <f t="shared" si="3"/>
        <v/>
      </c>
      <c r="E2420" s="44" t="str">
        <f t="array" ref="E2420">IF(B2420="","",_xlfn.XLOOKUP(B2420,'Form responses 1'!$B$2:$B$2604,'Form responses 1'!$C$2:$C$2604,""))</f>
        <v/>
      </c>
      <c r="F2420" s="44" t="str">
        <f t="array" ref="F2420">IF(B2420="","",_xlfn.XLOOKUP(B2420,'Form responses 1'!$B$2:$B$2604,'Form responses 1'!$D$2:$D$2604,""))</f>
        <v/>
      </c>
      <c r="G2420" s="44" t="str">
        <f t="array" ref="G2420">IF(B2420="","",_xlfn.XLOOKUP(B2420,'Form responses 1'!$B$2:$B$2604,'Form responses 1'!$E$2:$E$2604,""))</f>
        <v/>
      </c>
      <c r="H2420" s="44" t="str">
        <f t="array" ref="H2420">IF(B2420="","",_xlfn.XLOOKUP(B2420,'Form responses 1'!$B$2:$B$2604,'Form responses 1'!$F$2:$F$2604,""))</f>
        <v/>
      </c>
      <c r="I2420" s="44" t="str">
        <f t="array" ref="I2420">IF(B2420="","",_xlfn.XLOOKUP(B2420,'Form responses 1'!$B$2:$B$2604,'Form responses 1'!$I$2:$I$2604,""))</f>
        <v/>
      </c>
      <c r="J2420" s="44" t="str">
        <f t="array" ref="J2420">IF(B2420="","",_xlfn.XLOOKUP(B2420,'Form responses 1'!$B$2:$B$2604,'Form responses 1'!$G$2:$G$2604,""))</f>
        <v/>
      </c>
      <c r="K2420" s="56"/>
      <c r="L2420" s="58" t="str">
        <f t="shared" si="7"/>
        <v/>
      </c>
      <c r="M2420" s="49"/>
      <c r="N2420" s="49"/>
      <c r="O2420" s="49"/>
      <c r="P2420" s="49"/>
      <c r="Q2420" s="49"/>
      <c r="R2420" s="49"/>
      <c r="S2420" s="49"/>
      <c r="T2420" s="49"/>
      <c r="U2420" s="49"/>
      <c r="V2420" s="49"/>
      <c r="W2420" s="56"/>
      <c r="X2420" s="51" t="str">
        <f t="shared" si="5"/>
        <v/>
      </c>
      <c r="Y2420" s="50" t="s">
        <v>482</v>
      </c>
      <c r="Z2420" s="49">
        <f t="shared" si="6"/>
        <v>0</v>
      </c>
    </row>
    <row r="2421" ht="22.5" customHeight="1">
      <c r="B2421" s="57"/>
      <c r="C2421" s="43" t="str">
        <f t="array" ref="C2421">IF(B2421="","",_xlfn.XLOOKUP(B2421,'Form responses 1'!$B$2:$B$2604,'Form responses 1'!$A$2:$A$2604,""))</f>
        <v/>
      </c>
      <c r="D2421" s="44" t="str">
        <f t="shared" si="3"/>
        <v/>
      </c>
      <c r="E2421" s="44" t="str">
        <f t="array" ref="E2421">IF(B2421="","",_xlfn.XLOOKUP(B2421,'Form responses 1'!$B$2:$B$2604,'Form responses 1'!$C$2:$C$2604,""))</f>
        <v/>
      </c>
      <c r="F2421" s="44" t="str">
        <f t="array" ref="F2421">IF(B2421="","",_xlfn.XLOOKUP(B2421,'Form responses 1'!$B$2:$B$2604,'Form responses 1'!$D$2:$D$2604,""))</f>
        <v/>
      </c>
      <c r="G2421" s="44" t="str">
        <f t="array" ref="G2421">IF(B2421="","",_xlfn.XLOOKUP(B2421,'Form responses 1'!$B$2:$B$2604,'Form responses 1'!$E$2:$E$2604,""))</f>
        <v/>
      </c>
      <c r="H2421" s="44" t="str">
        <f t="array" ref="H2421">IF(B2421="","",_xlfn.XLOOKUP(B2421,'Form responses 1'!$B$2:$B$2604,'Form responses 1'!$F$2:$F$2604,""))</f>
        <v/>
      </c>
      <c r="I2421" s="44" t="str">
        <f t="array" ref="I2421">IF(B2421="","",_xlfn.XLOOKUP(B2421,'Form responses 1'!$B$2:$B$2604,'Form responses 1'!$I$2:$I$2604,""))</f>
        <v/>
      </c>
      <c r="J2421" s="44" t="str">
        <f t="array" ref="J2421">IF(B2421="","",_xlfn.XLOOKUP(B2421,'Form responses 1'!$B$2:$B$2604,'Form responses 1'!$G$2:$G$2604,""))</f>
        <v/>
      </c>
      <c r="K2421" s="56"/>
      <c r="L2421" s="58" t="str">
        <f t="shared" si="7"/>
        <v/>
      </c>
      <c r="M2421" s="49"/>
      <c r="N2421" s="49"/>
      <c r="O2421" s="49"/>
      <c r="P2421" s="49"/>
      <c r="Q2421" s="49"/>
      <c r="R2421" s="49"/>
      <c r="S2421" s="49"/>
      <c r="T2421" s="49"/>
      <c r="U2421" s="49"/>
      <c r="V2421" s="49"/>
      <c r="W2421" s="56"/>
      <c r="X2421" s="51" t="str">
        <f t="shared" si="5"/>
        <v/>
      </c>
      <c r="Y2421" s="50" t="s">
        <v>482</v>
      </c>
      <c r="Z2421" s="49">
        <f t="shared" si="6"/>
        <v>0</v>
      </c>
    </row>
    <row r="2422" ht="22.5" customHeight="1">
      <c r="B2422" s="57"/>
      <c r="C2422" s="43" t="str">
        <f t="array" ref="C2422">IF(B2422="","",_xlfn.XLOOKUP(B2422,'Form responses 1'!$B$2:$B$2604,'Form responses 1'!$A$2:$A$2604,""))</f>
        <v/>
      </c>
      <c r="D2422" s="44" t="str">
        <f t="shared" si="3"/>
        <v/>
      </c>
      <c r="E2422" s="44" t="str">
        <f t="array" ref="E2422">IF(B2422="","",_xlfn.XLOOKUP(B2422,'Form responses 1'!$B$2:$B$2604,'Form responses 1'!$C$2:$C$2604,""))</f>
        <v/>
      </c>
      <c r="F2422" s="44" t="str">
        <f t="array" ref="F2422">IF(B2422="","",_xlfn.XLOOKUP(B2422,'Form responses 1'!$B$2:$B$2604,'Form responses 1'!$D$2:$D$2604,""))</f>
        <v/>
      </c>
      <c r="G2422" s="44" t="str">
        <f t="array" ref="G2422">IF(B2422="","",_xlfn.XLOOKUP(B2422,'Form responses 1'!$B$2:$B$2604,'Form responses 1'!$E$2:$E$2604,""))</f>
        <v/>
      </c>
      <c r="H2422" s="44" t="str">
        <f t="array" ref="H2422">IF(B2422="","",_xlfn.XLOOKUP(B2422,'Form responses 1'!$B$2:$B$2604,'Form responses 1'!$F$2:$F$2604,""))</f>
        <v/>
      </c>
      <c r="I2422" s="44" t="str">
        <f t="array" ref="I2422">IF(B2422="","",_xlfn.XLOOKUP(B2422,'Form responses 1'!$B$2:$B$2604,'Form responses 1'!$I$2:$I$2604,""))</f>
        <v/>
      </c>
      <c r="J2422" s="44" t="str">
        <f t="array" ref="J2422">IF(B2422="","",_xlfn.XLOOKUP(B2422,'Form responses 1'!$B$2:$B$2604,'Form responses 1'!$G$2:$G$2604,""))</f>
        <v/>
      </c>
      <c r="K2422" s="56"/>
      <c r="L2422" s="58" t="str">
        <f t="shared" si="7"/>
        <v/>
      </c>
      <c r="M2422" s="49"/>
      <c r="N2422" s="49"/>
      <c r="O2422" s="49"/>
      <c r="P2422" s="49"/>
      <c r="Q2422" s="49"/>
      <c r="R2422" s="49"/>
      <c r="S2422" s="49"/>
      <c r="T2422" s="49"/>
      <c r="U2422" s="49"/>
      <c r="V2422" s="49"/>
      <c r="W2422" s="56"/>
      <c r="X2422" s="51" t="str">
        <f t="shared" si="5"/>
        <v/>
      </c>
      <c r="Y2422" s="50" t="s">
        <v>482</v>
      </c>
      <c r="Z2422" s="49">
        <f t="shared" si="6"/>
        <v>0</v>
      </c>
    </row>
    <row r="2423" ht="22.5" customHeight="1">
      <c r="B2423" s="57"/>
      <c r="C2423" s="43" t="str">
        <f t="array" ref="C2423">IF(B2423="","",_xlfn.XLOOKUP(B2423,'Form responses 1'!$B$2:$B$2604,'Form responses 1'!$A$2:$A$2604,""))</f>
        <v/>
      </c>
      <c r="D2423" s="44" t="str">
        <f t="shared" si="3"/>
        <v/>
      </c>
      <c r="E2423" s="44" t="str">
        <f t="array" ref="E2423">IF(B2423="","",_xlfn.XLOOKUP(B2423,'Form responses 1'!$B$2:$B$2604,'Form responses 1'!$C$2:$C$2604,""))</f>
        <v/>
      </c>
      <c r="F2423" s="44" t="str">
        <f t="array" ref="F2423">IF(B2423="","",_xlfn.XLOOKUP(B2423,'Form responses 1'!$B$2:$B$2604,'Form responses 1'!$D$2:$D$2604,""))</f>
        <v/>
      </c>
      <c r="G2423" s="44" t="str">
        <f t="array" ref="G2423">IF(B2423="","",_xlfn.XLOOKUP(B2423,'Form responses 1'!$B$2:$B$2604,'Form responses 1'!$E$2:$E$2604,""))</f>
        <v/>
      </c>
      <c r="H2423" s="44" t="str">
        <f t="array" ref="H2423">IF(B2423="","",_xlfn.XLOOKUP(B2423,'Form responses 1'!$B$2:$B$2604,'Form responses 1'!$F$2:$F$2604,""))</f>
        <v/>
      </c>
      <c r="I2423" s="44" t="str">
        <f t="array" ref="I2423">IF(B2423="","",_xlfn.XLOOKUP(B2423,'Form responses 1'!$B$2:$B$2604,'Form responses 1'!$I$2:$I$2604,""))</f>
        <v/>
      </c>
      <c r="J2423" s="44" t="str">
        <f t="array" ref="J2423">IF(B2423="","",_xlfn.XLOOKUP(B2423,'Form responses 1'!$B$2:$B$2604,'Form responses 1'!$G$2:$G$2604,""))</f>
        <v/>
      </c>
      <c r="K2423" s="56"/>
      <c r="L2423" s="58" t="str">
        <f t="shared" si="7"/>
        <v/>
      </c>
      <c r="M2423" s="49"/>
      <c r="N2423" s="49"/>
      <c r="O2423" s="49"/>
      <c r="P2423" s="49"/>
      <c r="Q2423" s="49"/>
      <c r="R2423" s="49"/>
      <c r="S2423" s="49"/>
      <c r="T2423" s="49"/>
      <c r="U2423" s="49"/>
      <c r="V2423" s="49"/>
      <c r="W2423" s="56"/>
      <c r="X2423" s="51" t="str">
        <f t="shared" si="5"/>
        <v/>
      </c>
      <c r="Y2423" s="50" t="s">
        <v>482</v>
      </c>
      <c r="Z2423" s="49">
        <f t="shared" si="6"/>
        <v>0</v>
      </c>
    </row>
    <row r="2424" ht="22.5" customHeight="1">
      <c r="B2424" s="57"/>
      <c r="C2424" s="43" t="str">
        <f t="array" ref="C2424">IF(B2424="","",_xlfn.XLOOKUP(B2424,'Form responses 1'!$B$2:$B$2604,'Form responses 1'!$A$2:$A$2604,""))</f>
        <v/>
      </c>
      <c r="D2424" s="44" t="str">
        <f t="shared" si="3"/>
        <v/>
      </c>
      <c r="E2424" s="44" t="str">
        <f t="array" ref="E2424">IF(B2424="","",_xlfn.XLOOKUP(B2424,'Form responses 1'!$B$2:$B$2604,'Form responses 1'!$C$2:$C$2604,""))</f>
        <v/>
      </c>
      <c r="F2424" s="44" t="str">
        <f t="array" ref="F2424">IF(B2424="","",_xlfn.XLOOKUP(B2424,'Form responses 1'!$B$2:$B$2604,'Form responses 1'!$D$2:$D$2604,""))</f>
        <v/>
      </c>
      <c r="G2424" s="44" t="str">
        <f t="array" ref="G2424">IF(B2424="","",_xlfn.XLOOKUP(B2424,'Form responses 1'!$B$2:$B$2604,'Form responses 1'!$E$2:$E$2604,""))</f>
        <v/>
      </c>
      <c r="H2424" s="44" t="str">
        <f t="array" ref="H2424">IF(B2424="","",_xlfn.XLOOKUP(B2424,'Form responses 1'!$B$2:$B$2604,'Form responses 1'!$F$2:$F$2604,""))</f>
        <v/>
      </c>
      <c r="I2424" s="44" t="str">
        <f t="array" ref="I2424">IF(B2424="","",_xlfn.XLOOKUP(B2424,'Form responses 1'!$B$2:$B$2604,'Form responses 1'!$I$2:$I$2604,""))</f>
        <v/>
      </c>
      <c r="J2424" s="44" t="str">
        <f t="array" ref="J2424">IF(B2424="","",_xlfn.XLOOKUP(B2424,'Form responses 1'!$B$2:$B$2604,'Form responses 1'!$G$2:$G$2604,""))</f>
        <v/>
      </c>
      <c r="K2424" s="56"/>
      <c r="L2424" s="58" t="str">
        <f t="shared" si="7"/>
        <v/>
      </c>
      <c r="M2424" s="49"/>
      <c r="N2424" s="49"/>
      <c r="O2424" s="49"/>
      <c r="P2424" s="49"/>
      <c r="Q2424" s="49"/>
      <c r="R2424" s="49"/>
      <c r="S2424" s="49"/>
      <c r="T2424" s="49"/>
      <c r="U2424" s="49"/>
      <c r="V2424" s="49"/>
      <c r="W2424" s="56"/>
      <c r="X2424" s="51" t="str">
        <f t="shared" si="5"/>
        <v/>
      </c>
      <c r="Y2424" s="50" t="s">
        <v>482</v>
      </c>
      <c r="Z2424" s="49">
        <f t="shared" si="6"/>
        <v>0</v>
      </c>
    </row>
    <row r="2425" ht="22.5" customHeight="1">
      <c r="B2425" s="57"/>
      <c r="C2425" s="43" t="str">
        <f t="array" ref="C2425">IF(B2425="","",_xlfn.XLOOKUP(B2425,'Form responses 1'!$B$2:$B$2604,'Form responses 1'!$A$2:$A$2604,""))</f>
        <v/>
      </c>
      <c r="D2425" s="44" t="str">
        <f t="shared" si="3"/>
        <v/>
      </c>
      <c r="E2425" s="44" t="str">
        <f t="array" ref="E2425">IF(B2425="","",_xlfn.XLOOKUP(B2425,'Form responses 1'!$B$2:$B$2604,'Form responses 1'!$C$2:$C$2604,""))</f>
        <v/>
      </c>
      <c r="F2425" s="44" t="str">
        <f t="array" ref="F2425">IF(B2425="","",_xlfn.XLOOKUP(B2425,'Form responses 1'!$B$2:$B$2604,'Form responses 1'!$D$2:$D$2604,""))</f>
        <v/>
      </c>
      <c r="G2425" s="44" t="str">
        <f t="array" ref="G2425">IF(B2425="","",_xlfn.XLOOKUP(B2425,'Form responses 1'!$B$2:$B$2604,'Form responses 1'!$E$2:$E$2604,""))</f>
        <v/>
      </c>
      <c r="H2425" s="44" t="str">
        <f t="array" ref="H2425">IF(B2425="","",_xlfn.XLOOKUP(B2425,'Form responses 1'!$B$2:$B$2604,'Form responses 1'!$F$2:$F$2604,""))</f>
        <v/>
      </c>
      <c r="I2425" s="44" t="str">
        <f t="array" ref="I2425">IF(B2425="","",_xlfn.XLOOKUP(B2425,'Form responses 1'!$B$2:$B$2604,'Form responses 1'!$I$2:$I$2604,""))</f>
        <v/>
      </c>
      <c r="J2425" s="44" t="str">
        <f t="array" ref="J2425">IF(B2425="","",_xlfn.XLOOKUP(B2425,'Form responses 1'!$B$2:$B$2604,'Form responses 1'!$G$2:$G$2604,""))</f>
        <v/>
      </c>
      <c r="K2425" s="56"/>
      <c r="L2425" s="58" t="str">
        <f t="shared" si="7"/>
        <v/>
      </c>
      <c r="M2425" s="49"/>
      <c r="N2425" s="49"/>
      <c r="O2425" s="49"/>
      <c r="P2425" s="49"/>
      <c r="Q2425" s="49"/>
      <c r="R2425" s="49"/>
      <c r="S2425" s="49"/>
      <c r="T2425" s="49"/>
      <c r="U2425" s="49"/>
      <c r="V2425" s="49"/>
      <c r="W2425" s="56"/>
      <c r="X2425" s="51" t="str">
        <f t="shared" si="5"/>
        <v/>
      </c>
      <c r="Y2425" s="50" t="s">
        <v>482</v>
      </c>
      <c r="Z2425" s="49">
        <f t="shared" si="6"/>
        <v>0</v>
      </c>
    </row>
    <row r="2426" ht="22.5" customHeight="1">
      <c r="B2426" s="57"/>
      <c r="C2426" s="43" t="str">
        <f t="array" ref="C2426">IF(B2426="","",_xlfn.XLOOKUP(B2426,'Form responses 1'!$B$2:$B$2604,'Form responses 1'!$A$2:$A$2604,""))</f>
        <v/>
      </c>
      <c r="D2426" s="44" t="str">
        <f t="shared" si="3"/>
        <v/>
      </c>
      <c r="E2426" s="44" t="str">
        <f t="array" ref="E2426">IF(B2426="","",_xlfn.XLOOKUP(B2426,'Form responses 1'!$B$2:$B$2604,'Form responses 1'!$C$2:$C$2604,""))</f>
        <v/>
      </c>
      <c r="F2426" s="44" t="str">
        <f t="array" ref="F2426">IF(B2426="","",_xlfn.XLOOKUP(B2426,'Form responses 1'!$B$2:$B$2604,'Form responses 1'!$D$2:$D$2604,""))</f>
        <v/>
      </c>
      <c r="G2426" s="44" t="str">
        <f t="array" ref="G2426">IF(B2426="","",_xlfn.XLOOKUP(B2426,'Form responses 1'!$B$2:$B$2604,'Form responses 1'!$E$2:$E$2604,""))</f>
        <v/>
      </c>
      <c r="H2426" s="44" t="str">
        <f t="array" ref="H2426">IF(B2426="","",_xlfn.XLOOKUP(B2426,'Form responses 1'!$B$2:$B$2604,'Form responses 1'!$F$2:$F$2604,""))</f>
        <v/>
      </c>
      <c r="I2426" s="44" t="str">
        <f t="array" ref="I2426">IF(B2426="","",_xlfn.XLOOKUP(B2426,'Form responses 1'!$B$2:$B$2604,'Form responses 1'!$I$2:$I$2604,""))</f>
        <v/>
      </c>
      <c r="J2426" s="44" t="str">
        <f t="array" ref="J2426">IF(B2426="","",_xlfn.XLOOKUP(B2426,'Form responses 1'!$B$2:$B$2604,'Form responses 1'!$G$2:$G$2604,""))</f>
        <v/>
      </c>
      <c r="K2426" s="56"/>
      <c r="L2426" s="58" t="str">
        <f t="shared" si="7"/>
        <v/>
      </c>
      <c r="M2426" s="49"/>
      <c r="N2426" s="49"/>
      <c r="O2426" s="49"/>
      <c r="P2426" s="49"/>
      <c r="Q2426" s="49"/>
      <c r="R2426" s="49"/>
      <c r="S2426" s="49"/>
      <c r="T2426" s="49"/>
      <c r="U2426" s="49"/>
      <c r="V2426" s="49"/>
      <c r="W2426" s="56"/>
      <c r="X2426" s="51" t="str">
        <f t="shared" si="5"/>
        <v/>
      </c>
      <c r="Y2426" s="50" t="s">
        <v>482</v>
      </c>
      <c r="Z2426" s="49">
        <f t="shared" si="6"/>
        <v>0</v>
      </c>
    </row>
    <row r="2427" ht="22.5" customHeight="1">
      <c r="B2427" s="57"/>
      <c r="C2427" s="43" t="str">
        <f t="array" ref="C2427">IF(B2427="","",_xlfn.XLOOKUP(B2427,'Form responses 1'!$B$2:$B$2604,'Form responses 1'!$A$2:$A$2604,""))</f>
        <v/>
      </c>
      <c r="D2427" s="44" t="str">
        <f t="shared" si="3"/>
        <v/>
      </c>
      <c r="E2427" s="44" t="str">
        <f t="array" ref="E2427">IF(B2427="","",_xlfn.XLOOKUP(B2427,'Form responses 1'!$B$2:$B$2604,'Form responses 1'!$C$2:$C$2604,""))</f>
        <v/>
      </c>
      <c r="F2427" s="44" t="str">
        <f t="array" ref="F2427">IF(B2427="","",_xlfn.XLOOKUP(B2427,'Form responses 1'!$B$2:$B$2604,'Form responses 1'!$D$2:$D$2604,""))</f>
        <v/>
      </c>
      <c r="G2427" s="44" t="str">
        <f t="array" ref="G2427">IF(B2427="","",_xlfn.XLOOKUP(B2427,'Form responses 1'!$B$2:$B$2604,'Form responses 1'!$E$2:$E$2604,""))</f>
        <v/>
      </c>
      <c r="H2427" s="44" t="str">
        <f t="array" ref="H2427">IF(B2427="","",_xlfn.XLOOKUP(B2427,'Form responses 1'!$B$2:$B$2604,'Form responses 1'!$F$2:$F$2604,""))</f>
        <v/>
      </c>
      <c r="I2427" s="44" t="str">
        <f t="array" ref="I2427">IF(B2427="","",_xlfn.XLOOKUP(B2427,'Form responses 1'!$B$2:$B$2604,'Form responses 1'!$I$2:$I$2604,""))</f>
        <v/>
      </c>
      <c r="J2427" s="44" t="str">
        <f t="array" ref="J2427">IF(B2427="","",_xlfn.XLOOKUP(B2427,'Form responses 1'!$B$2:$B$2604,'Form responses 1'!$G$2:$G$2604,""))</f>
        <v/>
      </c>
      <c r="K2427" s="56"/>
      <c r="L2427" s="58" t="str">
        <f t="shared" si="7"/>
        <v/>
      </c>
      <c r="M2427" s="49"/>
      <c r="N2427" s="49"/>
      <c r="O2427" s="49"/>
      <c r="P2427" s="49"/>
      <c r="Q2427" s="49"/>
      <c r="R2427" s="49"/>
      <c r="S2427" s="49"/>
      <c r="T2427" s="49"/>
      <c r="U2427" s="49"/>
      <c r="V2427" s="49"/>
      <c r="W2427" s="56"/>
      <c r="X2427" s="51" t="str">
        <f t="shared" si="5"/>
        <v/>
      </c>
      <c r="Y2427" s="50" t="s">
        <v>482</v>
      </c>
      <c r="Z2427" s="49">
        <f t="shared" si="6"/>
        <v>0</v>
      </c>
    </row>
    <row r="2428" ht="22.5" customHeight="1">
      <c r="B2428" s="57"/>
      <c r="C2428" s="43" t="str">
        <f t="array" ref="C2428">IF(B2428="","",_xlfn.XLOOKUP(B2428,'Form responses 1'!$B$2:$B$2604,'Form responses 1'!$A$2:$A$2604,""))</f>
        <v/>
      </c>
      <c r="D2428" s="44" t="str">
        <f t="shared" si="3"/>
        <v/>
      </c>
      <c r="E2428" s="44" t="str">
        <f t="array" ref="E2428">IF(B2428="","",_xlfn.XLOOKUP(B2428,'Form responses 1'!$B$2:$B$2604,'Form responses 1'!$C$2:$C$2604,""))</f>
        <v/>
      </c>
      <c r="F2428" s="44" t="str">
        <f t="array" ref="F2428">IF(B2428="","",_xlfn.XLOOKUP(B2428,'Form responses 1'!$B$2:$B$2604,'Form responses 1'!$D$2:$D$2604,""))</f>
        <v/>
      </c>
      <c r="G2428" s="44" t="str">
        <f t="array" ref="G2428">IF(B2428="","",_xlfn.XLOOKUP(B2428,'Form responses 1'!$B$2:$B$2604,'Form responses 1'!$E$2:$E$2604,""))</f>
        <v/>
      </c>
      <c r="H2428" s="44" t="str">
        <f t="array" ref="H2428">IF(B2428="","",_xlfn.XLOOKUP(B2428,'Form responses 1'!$B$2:$B$2604,'Form responses 1'!$F$2:$F$2604,""))</f>
        <v/>
      </c>
      <c r="I2428" s="44" t="str">
        <f t="array" ref="I2428">IF(B2428="","",_xlfn.XLOOKUP(B2428,'Form responses 1'!$B$2:$B$2604,'Form responses 1'!$I$2:$I$2604,""))</f>
        <v/>
      </c>
      <c r="J2428" s="44" t="str">
        <f t="array" ref="J2428">IF(B2428="","",_xlfn.XLOOKUP(B2428,'Form responses 1'!$B$2:$B$2604,'Form responses 1'!$G$2:$G$2604,""))</f>
        <v/>
      </c>
      <c r="K2428" s="56"/>
      <c r="L2428" s="58" t="str">
        <f t="shared" si="7"/>
        <v/>
      </c>
      <c r="M2428" s="49"/>
      <c r="N2428" s="49"/>
      <c r="O2428" s="49"/>
      <c r="P2428" s="49"/>
      <c r="Q2428" s="49"/>
      <c r="R2428" s="49"/>
      <c r="S2428" s="49"/>
      <c r="T2428" s="49"/>
      <c r="U2428" s="49"/>
      <c r="V2428" s="49"/>
      <c r="W2428" s="56"/>
      <c r="X2428" s="51" t="str">
        <f t="shared" si="5"/>
        <v/>
      </c>
      <c r="Y2428" s="50" t="s">
        <v>482</v>
      </c>
      <c r="Z2428" s="49">
        <f t="shared" si="6"/>
        <v>0</v>
      </c>
    </row>
    <row r="2429" ht="22.5" customHeight="1">
      <c r="B2429" s="57"/>
      <c r="C2429" s="43" t="str">
        <f t="array" ref="C2429">IF(B2429="","",_xlfn.XLOOKUP(B2429,'Form responses 1'!$B$2:$B$2604,'Form responses 1'!$A$2:$A$2604,""))</f>
        <v/>
      </c>
      <c r="D2429" s="44" t="str">
        <f t="shared" si="3"/>
        <v/>
      </c>
      <c r="E2429" s="44" t="str">
        <f t="array" ref="E2429">IF(B2429="","",_xlfn.XLOOKUP(B2429,'Form responses 1'!$B$2:$B$2604,'Form responses 1'!$C$2:$C$2604,""))</f>
        <v/>
      </c>
      <c r="F2429" s="44" t="str">
        <f t="array" ref="F2429">IF(B2429="","",_xlfn.XLOOKUP(B2429,'Form responses 1'!$B$2:$B$2604,'Form responses 1'!$D$2:$D$2604,""))</f>
        <v/>
      </c>
      <c r="G2429" s="44" t="str">
        <f t="array" ref="G2429">IF(B2429="","",_xlfn.XLOOKUP(B2429,'Form responses 1'!$B$2:$B$2604,'Form responses 1'!$E$2:$E$2604,""))</f>
        <v/>
      </c>
      <c r="H2429" s="44" t="str">
        <f t="array" ref="H2429">IF(B2429="","",_xlfn.XLOOKUP(B2429,'Form responses 1'!$B$2:$B$2604,'Form responses 1'!$F$2:$F$2604,""))</f>
        <v/>
      </c>
      <c r="I2429" s="44" t="str">
        <f t="array" ref="I2429">IF(B2429="","",_xlfn.XLOOKUP(B2429,'Form responses 1'!$B$2:$B$2604,'Form responses 1'!$I$2:$I$2604,""))</f>
        <v/>
      </c>
      <c r="J2429" s="44" t="str">
        <f t="array" ref="J2429">IF(B2429="","",_xlfn.XLOOKUP(B2429,'Form responses 1'!$B$2:$B$2604,'Form responses 1'!$G$2:$G$2604,""))</f>
        <v/>
      </c>
      <c r="K2429" s="56"/>
      <c r="L2429" s="58" t="str">
        <f t="shared" si="7"/>
        <v/>
      </c>
      <c r="M2429" s="49"/>
      <c r="N2429" s="49"/>
      <c r="O2429" s="49"/>
      <c r="P2429" s="49"/>
      <c r="Q2429" s="49"/>
      <c r="R2429" s="49"/>
      <c r="S2429" s="49"/>
      <c r="T2429" s="49"/>
      <c r="U2429" s="49"/>
      <c r="V2429" s="49"/>
      <c r="W2429" s="56"/>
      <c r="X2429" s="51" t="str">
        <f t="shared" si="5"/>
        <v/>
      </c>
      <c r="Y2429" s="50" t="s">
        <v>482</v>
      </c>
      <c r="Z2429" s="49">
        <f t="shared" si="6"/>
        <v>0</v>
      </c>
    </row>
    <row r="2430" ht="22.5" customHeight="1">
      <c r="B2430" s="57"/>
      <c r="C2430" s="43" t="str">
        <f t="array" ref="C2430">IF(B2430="","",_xlfn.XLOOKUP(B2430,'Form responses 1'!$B$2:$B$2604,'Form responses 1'!$A$2:$A$2604,""))</f>
        <v/>
      </c>
      <c r="D2430" s="44" t="str">
        <f t="shared" si="3"/>
        <v/>
      </c>
      <c r="E2430" s="44" t="str">
        <f t="array" ref="E2430">IF(B2430="","",_xlfn.XLOOKUP(B2430,'Form responses 1'!$B$2:$B$2604,'Form responses 1'!$C$2:$C$2604,""))</f>
        <v/>
      </c>
      <c r="F2430" s="44" t="str">
        <f t="array" ref="F2430">IF(B2430="","",_xlfn.XLOOKUP(B2430,'Form responses 1'!$B$2:$B$2604,'Form responses 1'!$D$2:$D$2604,""))</f>
        <v/>
      </c>
      <c r="G2430" s="44" t="str">
        <f t="array" ref="G2430">IF(B2430="","",_xlfn.XLOOKUP(B2430,'Form responses 1'!$B$2:$B$2604,'Form responses 1'!$E$2:$E$2604,""))</f>
        <v/>
      </c>
      <c r="H2430" s="44" t="str">
        <f t="array" ref="H2430">IF(B2430="","",_xlfn.XLOOKUP(B2430,'Form responses 1'!$B$2:$B$2604,'Form responses 1'!$F$2:$F$2604,""))</f>
        <v/>
      </c>
      <c r="I2430" s="44" t="str">
        <f t="array" ref="I2430">IF(B2430="","",_xlfn.XLOOKUP(B2430,'Form responses 1'!$B$2:$B$2604,'Form responses 1'!$I$2:$I$2604,""))</f>
        <v/>
      </c>
      <c r="J2430" s="44" t="str">
        <f t="array" ref="J2430">IF(B2430="","",_xlfn.XLOOKUP(B2430,'Form responses 1'!$B$2:$B$2604,'Form responses 1'!$G$2:$G$2604,""))</f>
        <v/>
      </c>
      <c r="K2430" s="56"/>
      <c r="L2430" s="58" t="str">
        <f t="shared" si="7"/>
        <v/>
      </c>
      <c r="M2430" s="49"/>
      <c r="N2430" s="49"/>
      <c r="O2430" s="49"/>
      <c r="P2430" s="49"/>
      <c r="Q2430" s="49"/>
      <c r="R2430" s="49"/>
      <c r="S2430" s="49"/>
      <c r="T2430" s="49"/>
      <c r="U2430" s="49"/>
      <c r="V2430" s="49"/>
      <c r="W2430" s="56"/>
      <c r="X2430" s="51" t="str">
        <f t="shared" si="5"/>
        <v/>
      </c>
      <c r="Y2430" s="50" t="s">
        <v>482</v>
      </c>
      <c r="Z2430" s="49">
        <f t="shared" si="6"/>
        <v>0</v>
      </c>
    </row>
    <row r="2431" ht="22.5" customHeight="1">
      <c r="B2431" s="57"/>
      <c r="C2431" s="43" t="str">
        <f t="array" ref="C2431">IF(B2431="","",_xlfn.XLOOKUP(B2431,'Form responses 1'!$B$2:$B$2604,'Form responses 1'!$A$2:$A$2604,""))</f>
        <v/>
      </c>
      <c r="D2431" s="44" t="str">
        <f t="shared" si="3"/>
        <v/>
      </c>
      <c r="E2431" s="44" t="str">
        <f t="array" ref="E2431">IF(B2431="","",_xlfn.XLOOKUP(B2431,'Form responses 1'!$B$2:$B$2604,'Form responses 1'!$C$2:$C$2604,""))</f>
        <v/>
      </c>
      <c r="F2431" s="44" t="str">
        <f t="array" ref="F2431">IF(B2431="","",_xlfn.XLOOKUP(B2431,'Form responses 1'!$B$2:$B$2604,'Form responses 1'!$D$2:$D$2604,""))</f>
        <v/>
      </c>
      <c r="G2431" s="44" t="str">
        <f t="array" ref="G2431">IF(B2431="","",_xlfn.XLOOKUP(B2431,'Form responses 1'!$B$2:$B$2604,'Form responses 1'!$E$2:$E$2604,""))</f>
        <v/>
      </c>
      <c r="H2431" s="44" t="str">
        <f t="array" ref="H2431">IF(B2431="","",_xlfn.XLOOKUP(B2431,'Form responses 1'!$B$2:$B$2604,'Form responses 1'!$F$2:$F$2604,""))</f>
        <v/>
      </c>
      <c r="I2431" s="44" t="str">
        <f t="array" ref="I2431">IF(B2431="","",_xlfn.XLOOKUP(B2431,'Form responses 1'!$B$2:$B$2604,'Form responses 1'!$I$2:$I$2604,""))</f>
        <v/>
      </c>
      <c r="J2431" s="44" t="str">
        <f t="array" ref="J2431">IF(B2431="","",_xlfn.XLOOKUP(B2431,'Form responses 1'!$B$2:$B$2604,'Form responses 1'!$G$2:$G$2604,""))</f>
        <v/>
      </c>
      <c r="K2431" s="56"/>
      <c r="L2431" s="58" t="str">
        <f t="shared" si="7"/>
        <v/>
      </c>
      <c r="M2431" s="49"/>
      <c r="N2431" s="49"/>
      <c r="O2431" s="49"/>
      <c r="P2431" s="49"/>
      <c r="Q2431" s="49"/>
      <c r="R2431" s="49"/>
      <c r="S2431" s="49"/>
      <c r="T2431" s="49"/>
      <c r="U2431" s="49"/>
      <c r="V2431" s="49"/>
      <c r="W2431" s="56"/>
      <c r="X2431" s="51" t="str">
        <f t="shared" si="5"/>
        <v/>
      </c>
      <c r="Y2431" s="50" t="s">
        <v>482</v>
      </c>
      <c r="Z2431" s="49">
        <f t="shared" si="6"/>
        <v>0</v>
      </c>
    </row>
    <row r="2432" ht="22.5" customHeight="1">
      <c r="B2432" s="57"/>
      <c r="C2432" s="43" t="str">
        <f t="array" ref="C2432">IF(B2432="","",_xlfn.XLOOKUP(B2432,'Form responses 1'!$B$2:$B$2604,'Form responses 1'!$A$2:$A$2604,""))</f>
        <v/>
      </c>
      <c r="D2432" s="44" t="str">
        <f t="shared" si="3"/>
        <v/>
      </c>
      <c r="E2432" s="44" t="str">
        <f t="array" ref="E2432">IF(B2432="","",_xlfn.XLOOKUP(B2432,'Form responses 1'!$B$2:$B$2604,'Form responses 1'!$C$2:$C$2604,""))</f>
        <v/>
      </c>
      <c r="F2432" s="44" t="str">
        <f t="array" ref="F2432">IF(B2432="","",_xlfn.XLOOKUP(B2432,'Form responses 1'!$B$2:$B$2604,'Form responses 1'!$D$2:$D$2604,""))</f>
        <v/>
      </c>
      <c r="G2432" s="44" t="str">
        <f t="array" ref="G2432">IF(B2432="","",_xlfn.XLOOKUP(B2432,'Form responses 1'!$B$2:$B$2604,'Form responses 1'!$E$2:$E$2604,""))</f>
        <v/>
      </c>
      <c r="H2432" s="44" t="str">
        <f t="array" ref="H2432">IF(B2432="","",_xlfn.XLOOKUP(B2432,'Form responses 1'!$B$2:$B$2604,'Form responses 1'!$F$2:$F$2604,""))</f>
        <v/>
      </c>
      <c r="I2432" s="44" t="str">
        <f t="array" ref="I2432">IF(B2432="","",_xlfn.XLOOKUP(B2432,'Form responses 1'!$B$2:$B$2604,'Form responses 1'!$I$2:$I$2604,""))</f>
        <v/>
      </c>
      <c r="J2432" s="44" t="str">
        <f t="array" ref="J2432">IF(B2432="","",_xlfn.XLOOKUP(B2432,'Form responses 1'!$B$2:$B$2604,'Form responses 1'!$G$2:$G$2604,""))</f>
        <v/>
      </c>
      <c r="K2432" s="56"/>
      <c r="L2432" s="58" t="str">
        <f t="shared" si="7"/>
        <v/>
      </c>
      <c r="M2432" s="49"/>
      <c r="N2432" s="49"/>
      <c r="O2432" s="49"/>
      <c r="P2432" s="49"/>
      <c r="Q2432" s="49"/>
      <c r="R2432" s="49"/>
      <c r="S2432" s="49"/>
      <c r="T2432" s="49"/>
      <c r="U2432" s="49"/>
      <c r="V2432" s="49"/>
      <c r="W2432" s="56"/>
      <c r="X2432" s="51" t="str">
        <f t="shared" si="5"/>
        <v/>
      </c>
      <c r="Y2432" s="50" t="s">
        <v>482</v>
      </c>
      <c r="Z2432" s="49">
        <f t="shared" si="6"/>
        <v>0</v>
      </c>
    </row>
    <row r="2433" ht="22.5" customHeight="1">
      <c r="B2433" s="57"/>
      <c r="C2433" s="43" t="str">
        <f t="array" ref="C2433">IF(B2433="","",_xlfn.XLOOKUP(B2433,'Form responses 1'!$B$2:$B$2604,'Form responses 1'!$A$2:$A$2604,""))</f>
        <v/>
      </c>
      <c r="D2433" s="44" t="str">
        <f t="shared" si="3"/>
        <v/>
      </c>
      <c r="E2433" s="44" t="str">
        <f t="array" ref="E2433">IF(B2433="","",_xlfn.XLOOKUP(B2433,'Form responses 1'!$B$2:$B$2604,'Form responses 1'!$C$2:$C$2604,""))</f>
        <v/>
      </c>
      <c r="F2433" s="44" t="str">
        <f t="array" ref="F2433">IF(B2433="","",_xlfn.XLOOKUP(B2433,'Form responses 1'!$B$2:$B$2604,'Form responses 1'!$D$2:$D$2604,""))</f>
        <v/>
      </c>
      <c r="G2433" s="44" t="str">
        <f t="array" ref="G2433">IF(B2433="","",_xlfn.XLOOKUP(B2433,'Form responses 1'!$B$2:$B$2604,'Form responses 1'!$E$2:$E$2604,""))</f>
        <v/>
      </c>
      <c r="H2433" s="44" t="str">
        <f t="array" ref="H2433">IF(B2433="","",_xlfn.XLOOKUP(B2433,'Form responses 1'!$B$2:$B$2604,'Form responses 1'!$F$2:$F$2604,""))</f>
        <v/>
      </c>
      <c r="I2433" s="44" t="str">
        <f t="array" ref="I2433">IF(B2433="","",_xlfn.XLOOKUP(B2433,'Form responses 1'!$B$2:$B$2604,'Form responses 1'!$I$2:$I$2604,""))</f>
        <v/>
      </c>
      <c r="J2433" s="44" t="str">
        <f t="array" ref="J2433">IF(B2433="","",_xlfn.XLOOKUP(B2433,'Form responses 1'!$B$2:$B$2604,'Form responses 1'!$G$2:$G$2604,""))</f>
        <v/>
      </c>
      <c r="K2433" s="56"/>
      <c r="L2433" s="58" t="str">
        <f t="shared" si="7"/>
        <v/>
      </c>
      <c r="M2433" s="49"/>
      <c r="N2433" s="49"/>
      <c r="O2433" s="49"/>
      <c r="P2433" s="49"/>
      <c r="Q2433" s="49"/>
      <c r="R2433" s="49"/>
      <c r="S2433" s="49"/>
      <c r="T2433" s="49"/>
      <c r="U2433" s="49"/>
      <c r="V2433" s="49"/>
      <c r="W2433" s="56"/>
      <c r="X2433" s="51" t="str">
        <f t="shared" si="5"/>
        <v/>
      </c>
      <c r="Y2433" s="50" t="s">
        <v>482</v>
      </c>
      <c r="Z2433" s="49">
        <f t="shared" si="6"/>
        <v>0</v>
      </c>
    </row>
    <row r="2434" ht="22.5" customHeight="1">
      <c r="B2434" s="57"/>
      <c r="C2434" s="43" t="str">
        <f t="array" ref="C2434">IF(B2434="","",_xlfn.XLOOKUP(B2434,'Form responses 1'!$B$2:$B$2604,'Form responses 1'!$A$2:$A$2604,""))</f>
        <v/>
      </c>
      <c r="D2434" s="44" t="str">
        <f t="shared" si="3"/>
        <v/>
      </c>
      <c r="E2434" s="44" t="str">
        <f t="array" ref="E2434">IF(B2434="","",_xlfn.XLOOKUP(B2434,'Form responses 1'!$B$2:$B$2604,'Form responses 1'!$C$2:$C$2604,""))</f>
        <v/>
      </c>
      <c r="F2434" s="44" t="str">
        <f t="array" ref="F2434">IF(B2434="","",_xlfn.XLOOKUP(B2434,'Form responses 1'!$B$2:$B$2604,'Form responses 1'!$D$2:$D$2604,""))</f>
        <v/>
      </c>
      <c r="G2434" s="44" t="str">
        <f t="array" ref="G2434">IF(B2434="","",_xlfn.XLOOKUP(B2434,'Form responses 1'!$B$2:$B$2604,'Form responses 1'!$E$2:$E$2604,""))</f>
        <v/>
      </c>
      <c r="H2434" s="44" t="str">
        <f t="array" ref="H2434">IF(B2434="","",_xlfn.XLOOKUP(B2434,'Form responses 1'!$B$2:$B$2604,'Form responses 1'!$F$2:$F$2604,""))</f>
        <v/>
      </c>
      <c r="I2434" s="44" t="str">
        <f t="array" ref="I2434">IF(B2434="","",_xlfn.XLOOKUP(B2434,'Form responses 1'!$B$2:$B$2604,'Form responses 1'!$I$2:$I$2604,""))</f>
        <v/>
      </c>
      <c r="J2434" s="44" t="str">
        <f t="array" ref="J2434">IF(B2434="","",_xlfn.XLOOKUP(B2434,'Form responses 1'!$B$2:$B$2604,'Form responses 1'!$G$2:$G$2604,""))</f>
        <v/>
      </c>
      <c r="K2434" s="56"/>
      <c r="L2434" s="58" t="str">
        <f t="shared" si="7"/>
        <v/>
      </c>
      <c r="M2434" s="49"/>
      <c r="N2434" s="49"/>
      <c r="O2434" s="49"/>
      <c r="P2434" s="49"/>
      <c r="Q2434" s="49"/>
      <c r="R2434" s="49"/>
      <c r="S2434" s="49"/>
      <c r="T2434" s="49"/>
      <c r="U2434" s="49"/>
      <c r="V2434" s="49"/>
      <c r="W2434" s="56"/>
      <c r="X2434" s="51" t="str">
        <f t="shared" si="5"/>
        <v/>
      </c>
      <c r="Y2434" s="50" t="s">
        <v>482</v>
      </c>
      <c r="Z2434" s="49">
        <f t="shared" si="6"/>
        <v>0</v>
      </c>
    </row>
    <row r="2435" ht="22.5" customHeight="1">
      <c r="B2435" s="57"/>
      <c r="C2435" s="43" t="str">
        <f t="array" ref="C2435">IF(B2435="","",_xlfn.XLOOKUP(B2435,'Form responses 1'!$B$2:$B$2604,'Form responses 1'!$A$2:$A$2604,""))</f>
        <v/>
      </c>
      <c r="D2435" s="44" t="str">
        <f t="shared" si="3"/>
        <v/>
      </c>
      <c r="E2435" s="44" t="str">
        <f t="array" ref="E2435">IF(B2435="","",_xlfn.XLOOKUP(B2435,'Form responses 1'!$B$2:$B$2604,'Form responses 1'!$C$2:$C$2604,""))</f>
        <v/>
      </c>
      <c r="F2435" s="44" t="str">
        <f t="array" ref="F2435">IF(B2435="","",_xlfn.XLOOKUP(B2435,'Form responses 1'!$B$2:$B$2604,'Form responses 1'!$D$2:$D$2604,""))</f>
        <v/>
      </c>
      <c r="G2435" s="44" t="str">
        <f t="array" ref="G2435">IF(B2435="","",_xlfn.XLOOKUP(B2435,'Form responses 1'!$B$2:$B$2604,'Form responses 1'!$E$2:$E$2604,""))</f>
        <v/>
      </c>
      <c r="H2435" s="44" t="str">
        <f t="array" ref="H2435">IF(B2435="","",_xlfn.XLOOKUP(B2435,'Form responses 1'!$B$2:$B$2604,'Form responses 1'!$F$2:$F$2604,""))</f>
        <v/>
      </c>
      <c r="I2435" s="44" t="str">
        <f t="array" ref="I2435">IF(B2435="","",_xlfn.XLOOKUP(B2435,'Form responses 1'!$B$2:$B$2604,'Form responses 1'!$I$2:$I$2604,""))</f>
        <v/>
      </c>
      <c r="J2435" s="44" t="str">
        <f t="array" ref="J2435">IF(B2435="","",_xlfn.XLOOKUP(B2435,'Form responses 1'!$B$2:$B$2604,'Form responses 1'!$G$2:$G$2604,""))</f>
        <v/>
      </c>
      <c r="K2435" s="56"/>
      <c r="L2435" s="58" t="str">
        <f t="shared" si="7"/>
        <v/>
      </c>
      <c r="M2435" s="49"/>
      <c r="N2435" s="49"/>
      <c r="O2435" s="49"/>
      <c r="P2435" s="49"/>
      <c r="Q2435" s="49"/>
      <c r="R2435" s="49"/>
      <c r="S2435" s="49"/>
      <c r="T2435" s="49"/>
      <c r="U2435" s="49"/>
      <c r="V2435" s="49"/>
      <c r="W2435" s="56"/>
      <c r="X2435" s="51" t="str">
        <f t="shared" si="5"/>
        <v/>
      </c>
      <c r="Y2435" s="50" t="s">
        <v>482</v>
      </c>
      <c r="Z2435" s="49">
        <f t="shared" si="6"/>
        <v>0</v>
      </c>
    </row>
    <row r="2436" ht="22.5" customHeight="1">
      <c r="B2436" s="57"/>
      <c r="C2436" s="43" t="str">
        <f t="array" ref="C2436">IF(B2436="","",_xlfn.XLOOKUP(B2436,'Form responses 1'!$B$2:$B$2604,'Form responses 1'!$A$2:$A$2604,""))</f>
        <v/>
      </c>
      <c r="D2436" s="44" t="str">
        <f t="shared" si="3"/>
        <v/>
      </c>
      <c r="E2436" s="44" t="str">
        <f t="array" ref="E2436">IF(B2436="","",_xlfn.XLOOKUP(B2436,'Form responses 1'!$B$2:$B$2604,'Form responses 1'!$C$2:$C$2604,""))</f>
        <v/>
      </c>
      <c r="F2436" s="44" t="str">
        <f t="array" ref="F2436">IF(B2436="","",_xlfn.XLOOKUP(B2436,'Form responses 1'!$B$2:$B$2604,'Form responses 1'!$D$2:$D$2604,""))</f>
        <v/>
      </c>
      <c r="G2436" s="44" t="str">
        <f t="array" ref="G2436">IF(B2436="","",_xlfn.XLOOKUP(B2436,'Form responses 1'!$B$2:$B$2604,'Form responses 1'!$E$2:$E$2604,""))</f>
        <v/>
      </c>
      <c r="H2436" s="44" t="str">
        <f t="array" ref="H2436">IF(B2436="","",_xlfn.XLOOKUP(B2436,'Form responses 1'!$B$2:$B$2604,'Form responses 1'!$F$2:$F$2604,""))</f>
        <v/>
      </c>
      <c r="I2436" s="44" t="str">
        <f t="array" ref="I2436">IF(B2436="","",_xlfn.XLOOKUP(B2436,'Form responses 1'!$B$2:$B$2604,'Form responses 1'!$I$2:$I$2604,""))</f>
        <v/>
      </c>
      <c r="J2436" s="44" t="str">
        <f t="array" ref="J2436">IF(B2436="","",_xlfn.XLOOKUP(B2436,'Form responses 1'!$B$2:$B$2604,'Form responses 1'!$G$2:$G$2604,""))</f>
        <v/>
      </c>
      <c r="K2436" s="56"/>
      <c r="L2436" s="58" t="str">
        <f t="shared" si="7"/>
        <v/>
      </c>
      <c r="M2436" s="49"/>
      <c r="N2436" s="49"/>
      <c r="O2436" s="49"/>
      <c r="P2436" s="49"/>
      <c r="Q2436" s="49"/>
      <c r="R2436" s="49"/>
      <c r="S2436" s="49"/>
      <c r="T2436" s="49"/>
      <c r="U2436" s="49"/>
      <c r="V2436" s="49"/>
      <c r="W2436" s="56"/>
      <c r="X2436" s="51" t="str">
        <f t="shared" si="5"/>
        <v/>
      </c>
      <c r="Y2436" s="50" t="s">
        <v>482</v>
      </c>
      <c r="Z2436" s="49">
        <f t="shared" si="6"/>
        <v>0</v>
      </c>
    </row>
    <row r="2437" ht="22.5" customHeight="1">
      <c r="B2437" s="57"/>
      <c r="C2437" s="43" t="str">
        <f t="array" ref="C2437">IF(B2437="","",_xlfn.XLOOKUP(B2437,'Form responses 1'!$B$2:$B$2604,'Form responses 1'!$A$2:$A$2604,""))</f>
        <v/>
      </c>
      <c r="D2437" s="44" t="str">
        <f t="shared" si="3"/>
        <v/>
      </c>
      <c r="E2437" s="44" t="str">
        <f t="array" ref="E2437">IF(B2437="","",_xlfn.XLOOKUP(B2437,'Form responses 1'!$B$2:$B$2604,'Form responses 1'!$C$2:$C$2604,""))</f>
        <v/>
      </c>
      <c r="F2437" s="44" t="str">
        <f t="array" ref="F2437">IF(B2437="","",_xlfn.XLOOKUP(B2437,'Form responses 1'!$B$2:$B$2604,'Form responses 1'!$D$2:$D$2604,""))</f>
        <v/>
      </c>
      <c r="G2437" s="44" t="str">
        <f t="array" ref="G2437">IF(B2437="","",_xlfn.XLOOKUP(B2437,'Form responses 1'!$B$2:$B$2604,'Form responses 1'!$E$2:$E$2604,""))</f>
        <v/>
      </c>
      <c r="H2437" s="44" t="str">
        <f t="array" ref="H2437">IF(B2437="","",_xlfn.XLOOKUP(B2437,'Form responses 1'!$B$2:$B$2604,'Form responses 1'!$F$2:$F$2604,""))</f>
        <v/>
      </c>
      <c r="I2437" s="44" t="str">
        <f t="array" ref="I2437">IF(B2437="","",_xlfn.XLOOKUP(B2437,'Form responses 1'!$B$2:$B$2604,'Form responses 1'!$I$2:$I$2604,""))</f>
        <v/>
      </c>
      <c r="J2437" s="44" t="str">
        <f t="array" ref="J2437">IF(B2437="","",_xlfn.XLOOKUP(B2437,'Form responses 1'!$B$2:$B$2604,'Form responses 1'!$G$2:$G$2604,""))</f>
        <v/>
      </c>
      <c r="K2437" s="56"/>
      <c r="L2437" s="58" t="str">
        <f t="shared" si="7"/>
        <v/>
      </c>
      <c r="M2437" s="49"/>
      <c r="N2437" s="49"/>
      <c r="O2437" s="49"/>
      <c r="P2437" s="49"/>
      <c r="Q2437" s="49"/>
      <c r="R2437" s="49"/>
      <c r="S2437" s="49"/>
      <c r="T2437" s="49"/>
      <c r="U2437" s="49"/>
      <c r="V2437" s="49"/>
      <c r="W2437" s="56"/>
      <c r="X2437" s="51" t="str">
        <f t="shared" si="5"/>
        <v/>
      </c>
      <c r="Y2437" s="50" t="s">
        <v>482</v>
      </c>
      <c r="Z2437" s="49">
        <f t="shared" si="6"/>
        <v>0</v>
      </c>
    </row>
    <row r="2438" ht="22.5" customHeight="1">
      <c r="B2438" s="57"/>
      <c r="C2438" s="43" t="str">
        <f t="array" ref="C2438">IF(B2438="","",_xlfn.XLOOKUP(B2438,'Form responses 1'!$B$2:$B$2604,'Form responses 1'!$A$2:$A$2604,""))</f>
        <v/>
      </c>
      <c r="D2438" s="44" t="str">
        <f t="shared" si="3"/>
        <v/>
      </c>
      <c r="E2438" s="44" t="str">
        <f t="array" ref="E2438">IF(B2438="","",_xlfn.XLOOKUP(B2438,'Form responses 1'!$B$2:$B$2604,'Form responses 1'!$C$2:$C$2604,""))</f>
        <v/>
      </c>
      <c r="F2438" s="44" t="str">
        <f t="array" ref="F2438">IF(B2438="","",_xlfn.XLOOKUP(B2438,'Form responses 1'!$B$2:$B$2604,'Form responses 1'!$D$2:$D$2604,""))</f>
        <v/>
      </c>
      <c r="G2438" s="44" t="str">
        <f t="array" ref="G2438">IF(B2438="","",_xlfn.XLOOKUP(B2438,'Form responses 1'!$B$2:$B$2604,'Form responses 1'!$E$2:$E$2604,""))</f>
        <v/>
      </c>
      <c r="H2438" s="44" t="str">
        <f t="array" ref="H2438">IF(B2438="","",_xlfn.XLOOKUP(B2438,'Form responses 1'!$B$2:$B$2604,'Form responses 1'!$F$2:$F$2604,""))</f>
        <v/>
      </c>
      <c r="I2438" s="44" t="str">
        <f t="array" ref="I2438">IF(B2438="","",_xlfn.XLOOKUP(B2438,'Form responses 1'!$B$2:$B$2604,'Form responses 1'!$I$2:$I$2604,""))</f>
        <v/>
      </c>
      <c r="J2438" s="44" t="str">
        <f t="array" ref="J2438">IF(B2438="","",_xlfn.XLOOKUP(B2438,'Form responses 1'!$B$2:$B$2604,'Form responses 1'!$G$2:$G$2604,""))</f>
        <v/>
      </c>
      <c r="K2438" s="56"/>
      <c r="L2438" s="58" t="str">
        <f t="shared" si="7"/>
        <v/>
      </c>
      <c r="M2438" s="49"/>
      <c r="N2438" s="49"/>
      <c r="O2438" s="49"/>
      <c r="P2438" s="49"/>
      <c r="Q2438" s="49"/>
      <c r="R2438" s="49"/>
      <c r="S2438" s="49"/>
      <c r="T2438" s="49"/>
      <c r="U2438" s="49"/>
      <c r="V2438" s="49"/>
      <c r="W2438" s="56"/>
      <c r="X2438" s="51" t="str">
        <f t="shared" si="5"/>
        <v/>
      </c>
      <c r="Y2438" s="50" t="s">
        <v>482</v>
      </c>
      <c r="Z2438" s="49">
        <f t="shared" si="6"/>
        <v>0</v>
      </c>
    </row>
    <row r="2439" ht="22.5" customHeight="1">
      <c r="B2439" s="57"/>
      <c r="C2439" s="43" t="str">
        <f t="array" ref="C2439">IF(B2439="","",_xlfn.XLOOKUP(B2439,'Form responses 1'!$B$2:$B$2604,'Form responses 1'!$A$2:$A$2604,""))</f>
        <v/>
      </c>
      <c r="D2439" s="44" t="str">
        <f t="shared" si="3"/>
        <v/>
      </c>
      <c r="E2439" s="44" t="str">
        <f t="array" ref="E2439">IF(B2439="","",_xlfn.XLOOKUP(B2439,'Form responses 1'!$B$2:$B$2604,'Form responses 1'!$C$2:$C$2604,""))</f>
        <v/>
      </c>
      <c r="F2439" s="44" t="str">
        <f t="array" ref="F2439">IF(B2439="","",_xlfn.XLOOKUP(B2439,'Form responses 1'!$B$2:$B$2604,'Form responses 1'!$D$2:$D$2604,""))</f>
        <v/>
      </c>
      <c r="G2439" s="44" t="str">
        <f t="array" ref="G2439">IF(B2439="","",_xlfn.XLOOKUP(B2439,'Form responses 1'!$B$2:$B$2604,'Form responses 1'!$E$2:$E$2604,""))</f>
        <v/>
      </c>
      <c r="H2439" s="44" t="str">
        <f t="array" ref="H2439">IF(B2439="","",_xlfn.XLOOKUP(B2439,'Form responses 1'!$B$2:$B$2604,'Form responses 1'!$F$2:$F$2604,""))</f>
        <v/>
      </c>
      <c r="I2439" s="44" t="str">
        <f t="array" ref="I2439">IF(B2439="","",_xlfn.XLOOKUP(B2439,'Form responses 1'!$B$2:$B$2604,'Form responses 1'!$I$2:$I$2604,""))</f>
        <v/>
      </c>
      <c r="J2439" s="44" t="str">
        <f t="array" ref="J2439">IF(B2439="","",_xlfn.XLOOKUP(B2439,'Form responses 1'!$B$2:$B$2604,'Form responses 1'!$G$2:$G$2604,""))</f>
        <v/>
      </c>
      <c r="K2439" s="56"/>
      <c r="L2439" s="58" t="str">
        <f t="shared" si="7"/>
        <v/>
      </c>
      <c r="M2439" s="49"/>
      <c r="N2439" s="49"/>
      <c r="O2439" s="49"/>
      <c r="P2439" s="49"/>
      <c r="Q2439" s="49"/>
      <c r="R2439" s="49"/>
      <c r="S2439" s="49"/>
      <c r="T2439" s="49"/>
      <c r="U2439" s="49"/>
      <c r="V2439" s="49"/>
      <c r="W2439" s="56"/>
      <c r="X2439" s="51" t="str">
        <f t="shared" si="5"/>
        <v/>
      </c>
      <c r="Y2439" s="50" t="s">
        <v>482</v>
      </c>
      <c r="Z2439" s="49">
        <f t="shared" si="6"/>
        <v>0</v>
      </c>
    </row>
    <row r="2440" ht="22.5" customHeight="1">
      <c r="B2440" s="57"/>
      <c r="C2440" s="43" t="str">
        <f t="array" ref="C2440">IF(B2440="","",_xlfn.XLOOKUP(B2440,'Form responses 1'!$B$2:$B$2604,'Form responses 1'!$A$2:$A$2604,""))</f>
        <v/>
      </c>
      <c r="D2440" s="44" t="str">
        <f t="shared" si="3"/>
        <v/>
      </c>
      <c r="E2440" s="44" t="str">
        <f t="array" ref="E2440">IF(B2440="","",_xlfn.XLOOKUP(B2440,'Form responses 1'!$B$2:$B$2604,'Form responses 1'!$C$2:$C$2604,""))</f>
        <v/>
      </c>
      <c r="F2440" s="44" t="str">
        <f t="array" ref="F2440">IF(B2440="","",_xlfn.XLOOKUP(B2440,'Form responses 1'!$B$2:$B$2604,'Form responses 1'!$D$2:$D$2604,""))</f>
        <v/>
      </c>
      <c r="G2440" s="44" t="str">
        <f t="array" ref="G2440">IF(B2440="","",_xlfn.XLOOKUP(B2440,'Form responses 1'!$B$2:$B$2604,'Form responses 1'!$E$2:$E$2604,""))</f>
        <v/>
      </c>
      <c r="H2440" s="44" t="str">
        <f t="array" ref="H2440">IF(B2440="","",_xlfn.XLOOKUP(B2440,'Form responses 1'!$B$2:$B$2604,'Form responses 1'!$F$2:$F$2604,""))</f>
        <v/>
      </c>
      <c r="I2440" s="44" t="str">
        <f t="array" ref="I2440">IF(B2440="","",_xlfn.XLOOKUP(B2440,'Form responses 1'!$B$2:$B$2604,'Form responses 1'!$I$2:$I$2604,""))</f>
        <v/>
      </c>
      <c r="J2440" s="44" t="str">
        <f t="array" ref="J2440">IF(B2440="","",_xlfn.XLOOKUP(B2440,'Form responses 1'!$B$2:$B$2604,'Form responses 1'!$G$2:$G$2604,""))</f>
        <v/>
      </c>
      <c r="K2440" s="56"/>
      <c r="L2440" s="58" t="str">
        <f t="shared" si="7"/>
        <v/>
      </c>
      <c r="M2440" s="49"/>
      <c r="N2440" s="49"/>
      <c r="O2440" s="49"/>
      <c r="P2440" s="49"/>
      <c r="Q2440" s="49"/>
      <c r="R2440" s="49"/>
      <c r="S2440" s="49"/>
      <c r="T2440" s="49"/>
      <c r="U2440" s="49"/>
      <c r="V2440" s="49"/>
      <c r="W2440" s="56"/>
      <c r="X2440" s="51" t="str">
        <f t="shared" si="5"/>
        <v/>
      </c>
      <c r="Y2440" s="50" t="s">
        <v>482</v>
      </c>
      <c r="Z2440" s="49">
        <f t="shared" si="6"/>
        <v>0</v>
      </c>
    </row>
    <row r="2441" ht="22.5" customHeight="1">
      <c r="B2441" s="57"/>
      <c r="C2441" s="43" t="str">
        <f t="array" ref="C2441">IF(B2441="","",_xlfn.XLOOKUP(B2441,'Form responses 1'!$B$2:$B$2604,'Form responses 1'!$A$2:$A$2604,""))</f>
        <v/>
      </c>
      <c r="D2441" s="44" t="str">
        <f t="shared" si="3"/>
        <v/>
      </c>
      <c r="E2441" s="44" t="str">
        <f t="array" ref="E2441">IF(B2441="","",_xlfn.XLOOKUP(B2441,'Form responses 1'!$B$2:$B$2604,'Form responses 1'!$C$2:$C$2604,""))</f>
        <v/>
      </c>
      <c r="F2441" s="44" t="str">
        <f t="array" ref="F2441">IF(B2441="","",_xlfn.XLOOKUP(B2441,'Form responses 1'!$B$2:$B$2604,'Form responses 1'!$D$2:$D$2604,""))</f>
        <v/>
      </c>
      <c r="G2441" s="44" t="str">
        <f t="array" ref="G2441">IF(B2441="","",_xlfn.XLOOKUP(B2441,'Form responses 1'!$B$2:$B$2604,'Form responses 1'!$E$2:$E$2604,""))</f>
        <v/>
      </c>
      <c r="H2441" s="44" t="str">
        <f t="array" ref="H2441">IF(B2441="","",_xlfn.XLOOKUP(B2441,'Form responses 1'!$B$2:$B$2604,'Form responses 1'!$F$2:$F$2604,""))</f>
        <v/>
      </c>
      <c r="I2441" s="44" t="str">
        <f t="array" ref="I2441">IF(B2441="","",_xlfn.XLOOKUP(B2441,'Form responses 1'!$B$2:$B$2604,'Form responses 1'!$I$2:$I$2604,""))</f>
        <v/>
      </c>
      <c r="J2441" s="44" t="str">
        <f t="array" ref="J2441">IF(B2441="","",_xlfn.XLOOKUP(B2441,'Form responses 1'!$B$2:$B$2604,'Form responses 1'!$G$2:$G$2604,""))</f>
        <v/>
      </c>
      <c r="K2441" s="56"/>
      <c r="L2441" s="58" t="str">
        <f t="shared" si="7"/>
        <v/>
      </c>
      <c r="M2441" s="49"/>
      <c r="N2441" s="49"/>
      <c r="O2441" s="49"/>
      <c r="P2441" s="49"/>
      <c r="Q2441" s="49"/>
      <c r="R2441" s="49"/>
      <c r="S2441" s="49"/>
      <c r="T2441" s="49"/>
      <c r="U2441" s="49"/>
      <c r="V2441" s="49"/>
      <c r="W2441" s="56"/>
      <c r="X2441" s="51" t="str">
        <f t="shared" si="5"/>
        <v/>
      </c>
      <c r="Y2441" s="50" t="s">
        <v>482</v>
      </c>
      <c r="Z2441" s="49">
        <f t="shared" si="6"/>
        <v>0</v>
      </c>
    </row>
    <row r="2442" ht="22.5" customHeight="1">
      <c r="B2442" s="57"/>
      <c r="C2442" s="43" t="str">
        <f t="array" ref="C2442">IF(B2442="","",_xlfn.XLOOKUP(B2442,'Form responses 1'!$B$2:$B$2604,'Form responses 1'!$A$2:$A$2604,""))</f>
        <v/>
      </c>
      <c r="D2442" s="44" t="str">
        <f t="shared" si="3"/>
        <v/>
      </c>
      <c r="E2442" s="44" t="str">
        <f t="array" ref="E2442">IF(B2442="","",_xlfn.XLOOKUP(B2442,'Form responses 1'!$B$2:$B$2604,'Form responses 1'!$C$2:$C$2604,""))</f>
        <v/>
      </c>
      <c r="F2442" s="44" t="str">
        <f t="array" ref="F2442">IF(B2442="","",_xlfn.XLOOKUP(B2442,'Form responses 1'!$B$2:$B$2604,'Form responses 1'!$D$2:$D$2604,""))</f>
        <v/>
      </c>
      <c r="G2442" s="44" t="str">
        <f t="array" ref="G2442">IF(B2442="","",_xlfn.XLOOKUP(B2442,'Form responses 1'!$B$2:$B$2604,'Form responses 1'!$E$2:$E$2604,""))</f>
        <v/>
      </c>
      <c r="H2442" s="44" t="str">
        <f t="array" ref="H2442">IF(B2442="","",_xlfn.XLOOKUP(B2442,'Form responses 1'!$B$2:$B$2604,'Form responses 1'!$F$2:$F$2604,""))</f>
        <v/>
      </c>
      <c r="I2442" s="44" t="str">
        <f t="array" ref="I2442">IF(B2442="","",_xlfn.XLOOKUP(B2442,'Form responses 1'!$B$2:$B$2604,'Form responses 1'!$I$2:$I$2604,""))</f>
        <v/>
      </c>
      <c r="J2442" s="44" t="str">
        <f t="array" ref="J2442">IF(B2442="","",_xlfn.XLOOKUP(B2442,'Form responses 1'!$B$2:$B$2604,'Form responses 1'!$G$2:$G$2604,""))</f>
        <v/>
      </c>
      <c r="K2442" s="56"/>
      <c r="L2442" s="58" t="str">
        <f t="shared" si="7"/>
        <v/>
      </c>
      <c r="M2442" s="49"/>
      <c r="N2442" s="49"/>
      <c r="O2442" s="49"/>
      <c r="P2442" s="49"/>
      <c r="Q2442" s="49"/>
      <c r="R2442" s="49"/>
      <c r="S2442" s="49"/>
      <c r="T2442" s="49"/>
      <c r="U2442" s="49"/>
      <c r="V2442" s="49"/>
      <c r="W2442" s="56"/>
      <c r="X2442" s="51" t="str">
        <f t="shared" si="5"/>
        <v/>
      </c>
      <c r="Y2442" s="50" t="s">
        <v>482</v>
      </c>
      <c r="Z2442" s="49">
        <f t="shared" si="6"/>
        <v>0</v>
      </c>
    </row>
    <row r="2443" ht="22.5" customHeight="1">
      <c r="B2443" s="57"/>
      <c r="C2443" s="43" t="str">
        <f t="array" ref="C2443">IF(B2443="","",_xlfn.XLOOKUP(B2443,'Form responses 1'!$B$2:$B$2604,'Form responses 1'!$A$2:$A$2604,""))</f>
        <v/>
      </c>
      <c r="D2443" s="44" t="str">
        <f t="shared" si="3"/>
        <v/>
      </c>
      <c r="E2443" s="44" t="str">
        <f t="array" ref="E2443">IF(B2443="","",_xlfn.XLOOKUP(B2443,'Form responses 1'!$B$2:$B$2604,'Form responses 1'!$C$2:$C$2604,""))</f>
        <v/>
      </c>
      <c r="F2443" s="44" t="str">
        <f t="array" ref="F2443">IF(B2443="","",_xlfn.XLOOKUP(B2443,'Form responses 1'!$B$2:$B$2604,'Form responses 1'!$D$2:$D$2604,""))</f>
        <v/>
      </c>
      <c r="G2443" s="44" t="str">
        <f t="array" ref="G2443">IF(B2443="","",_xlfn.XLOOKUP(B2443,'Form responses 1'!$B$2:$B$2604,'Form responses 1'!$E$2:$E$2604,""))</f>
        <v/>
      </c>
      <c r="H2443" s="44" t="str">
        <f t="array" ref="H2443">IF(B2443="","",_xlfn.XLOOKUP(B2443,'Form responses 1'!$B$2:$B$2604,'Form responses 1'!$F$2:$F$2604,""))</f>
        <v/>
      </c>
      <c r="I2443" s="44" t="str">
        <f t="array" ref="I2443">IF(B2443="","",_xlfn.XLOOKUP(B2443,'Form responses 1'!$B$2:$B$2604,'Form responses 1'!$I$2:$I$2604,""))</f>
        <v/>
      </c>
      <c r="J2443" s="44" t="str">
        <f t="array" ref="J2443">IF(B2443="","",_xlfn.XLOOKUP(B2443,'Form responses 1'!$B$2:$B$2604,'Form responses 1'!$G$2:$G$2604,""))</f>
        <v/>
      </c>
      <c r="K2443" s="56"/>
      <c r="L2443" s="58" t="str">
        <f t="shared" si="7"/>
        <v/>
      </c>
      <c r="M2443" s="49"/>
      <c r="N2443" s="49"/>
      <c r="O2443" s="49"/>
      <c r="P2443" s="49"/>
      <c r="Q2443" s="49"/>
      <c r="R2443" s="49"/>
      <c r="S2443" s="49"/>
      <c r="T2443" s="49"/>
      <c r="U2443" s="49"/>
      <c r="V2443" s="49"/>
      <c r="W2443" s="56"/>
      <c r="X2443" s="51" t="str">
        <f t="shared" si="5"/>
        <v/>
      </c>
      <c r="Y2443" s="50" t="s">
        <v>482</v>
      </c>
      <c r="Z2443" s="49">
        <f t="shared" si="6"/>
        <v>0</v>
      </c>
    </row>
    <row r="2444" ht="22.5" customHeight="1">
      <c r="B2444" s="57"/>
      <c r="C2444" s="43" t="str">
        <f t="array" ref="C2444">IF(B2444="","",_xlfn.XLOOKUP(B2444,'Form responses 1'!$B$2:$B$2604,'Form responses 1'!$A$2:$A$2604,""))</f>
        <v/>
      </c>
      <c r="D2444" s="44" t="str">
        <f t="shared" si="3"/>
        <v/>
      </c>
      <c r="E2444" s="44" t="str">
        <f t="array" ref="E2444">IF(B2444="","",_xlfn.XLOOKUP(B2444,'Form responses 1'!$B$2:$B$2604,'Form responses 1'!$C$2:$C$2604,""))</f>
        <v/>
      </c>
      <c r="F2444" s="44" t="str">
        <f t="array" ref="F2444">IF(B2444="","",_xlfn.XLOOKUP(B2444,'Form responses 1'!$B$2:$B$2604,'Form responses 1'!$D$2:$D$2604,""))</f>
        <v/>
      </c>
      <c r="G2444" s="44" t="str">
        <f t="array" ref="G2444">IF(B2444="","",_xlfn.XLOOKUP(B2444,'Form responses 1'!$B$2:$B$2604,'Form responses 1'!$E$2:$E$2604,""))</f>
        <v/>
      </c>
      <c r="H2444" s="44" t="str">
        <f t="array" ref="H2444">IF(B2444="","",_xlfn.XLOOKUP(B2444,'Form responses 1'!$B$2:$B$2604,'Form responses 1'!$F$2:$F$2604,""))</f>
        <v/>
      </c>
      <c r="I2444" s="44" t="str">
        <f t="array" ref="I2444">IF(B2444="","",_xlfn.XLOOKUP(B2444,'Form responses 1'!$B$2:$B$2604,'Form responses 1'!$I$2:$I$2604,""))</f>
        <v/>
      </c>
      <c r="J2444" s="44" t="str">
        <f t="array" ref="J2444">IF(B2444="","",_xlfn.XLOOKUP(B2444,'Form responses 1'!$B$2:$B$2604,'Form responses 1'!$G$2:$G$2604,""))</f>
        <v/>
      </c>
      <c r="K2444" s="56"/>
      <c r="L2444" s="58" t="str">
        <f t="shared" si="7"/>
        <v/>
      </c>
      <c r="M2444" s="49"/>
      <c r="N2444" s="49"/>
      <c r="O2444" s="49"/>
      <c r="P2444" s="49"/>
      <c r="Q2444" s="49"/>
      <c r="R2444" s="49"/>
      <c r="S2444" s="49"/>
      <c r="T2444" s="49"/>
      <c r="U2444" s="49"/>
      <c r="V2444" s="49"/>
      <c r="W2444" s="56"/>
      <c r="X2444" s="51" t="str">
        <f t="shared" si="5"/>
        <v/>
      </c>
      <c r="Y2444" s="50" t="s">
        <v>482</v>
      </c>
      <c r="Z2444" s="49">
        <f t="shared" si="6"/>
        <v>0</v>
      </c>
    </row>
    <row r="2445" ht="22.5" customHeight="1">
      <c r="B2445" s="57"/>
      <c r="C2445" s="43" t="str">
        <f t="array" ref="C2445">IF(B2445="","",_xlfn.XLOOKUP(B2445,'Form responses 1'!$B$2:$B$2604,'Form responses 1'!$A$2:$A$2604,""))</f>
        <v/>
      </c>
      <c r="D2445" s="44" t="str">
        <f t="shared" si="3"/>
        <v/>
      </c>
      <c r="E2445" s="44" t="str">
        <f t="array" ref="E2445">IF(B2445="","",_xlfn.XLOOKUP(B2445,'Form responses 1'!$B$2:$B$2604,'Form responses 1'!$C$2:$C$2604,""))</f>
        <v/>
      </c>
      <c r="F2445" s="44" t="str">
        <f t="array" ref="F2445">IF(B2445="","",_xlfn.XLOOKUP(B2445,'Form responses 1'!$B$2:$B$2604,'Form responses 1'!$D$2:$D$2604,""))</f>
        <v/>
      </c>
      <c r="G2445" s="44" t="str">
        <f t="array" ref="G2445">IF(B2445="","",_xlfn.XLOOKUP(B2445,'Form responses 1'!$B$2:$B$2604,'Form responses 1'!$E$2:$E$2604,""))</f>
        <v/>
      </c>
      <c r="H2445" s="44" t="str">
        <f t="array" ref="H2445">IF(B2445="","",_xlfn.XLOOKUP(B2445,'Form responses 1'!$B$2:$B$2604,'Form responses 1'!$F$2:$F$2604,""))</f>
        <v/>
      </c>
      <c r="I2445" s="44" t="str">
        <f t="array" ref="I2445">IF(B2445="","",_xlfn.XLOOKUP(B2445,'Form responses 1'!$B$2:$B$2604,'Form responses 1'!$I$2:$I$2604,""))</f>
        <v/>
      </c>
      <c r="J2445" s="44" t="str">
        <f t="array" ref="J2445">IF(B2445="","",_xlfn.XLOOKUP(B2445,'Form responses 1'!$B$2:$B$2604,'Form responses 1'!$G$2:$G$2604,""))</f>
        <v/>
      </c>
      <c r="K2445" s="56"/>
      <c r="L2445" s="58" t="str">
        <f t="shared" si="7"/>
        <v/>
      </c>
      <c r="M2445" s="49"/>
      <c r="N2445" s="49"/>
      <c r="O2445" s="49"/>
      <c r="P2445" s="49"/>
      <c r="Q2445" s="49"/>
      <c r="R2445" s="49"/>
      <c r="S2445" s="49"/>
      <c r="T2445" s="49"/>
      <c r="U2445" s="49"/>
      <c r="V2445" s="49"/>
      <c r="W2445" s="56"/>
      <c r="X2445" s="51" t="str">
        <f t="shared" si="5"/>
        <v/>
      </c>
      <c r="Y2445" s="50" t="s">
        <v>482</v>
      </c>
      <c r="Z2445" s="49">
        <f t="shared" si="6"/>
        <v>0</v>
      </c>
    </row>
    <row r="2446" ht="22.5" customHeight="1">
      <c r="B2446" s="57"/>
      <c r="C2446" s="43" t="str">
        <f t="array" ref="C2446">IF(B2446="","",_xlfn.XLOOKUP(B2446,'Form responses 1'!$B$2:$B$2604,'Form responses 1'!$A$2:$A$2604,""))</f>
        <v/>
      </c>
      <c r="D2446" s="44" t="str">
        <f t="shared" si="3"/>
        <v/>
      </c>
      <c r="E2446" s="44" t="str">
        <f t="array" ref="E2446">IF(B2446="","",_xlfn.XLOOKUP(B2446,'Form responses 1'!$B$2:$B$2604,'Form responses 1'!$C$2:$C$2604,""))</f>
        <v/>
      </c>
      <c r="F2446" s="44" t="str">
        <f t="array" ref="F2446">IF(B2446="","",_xlfn.XLOOKUP(B2446,'Form responses 1'!$B$2:$B$2604,'Form responses 1'!$D$2:$D$2604,""))</f>
        <v/>
      </c>
      <c r="G2446" s="44" t="str">
        <f t="array" ref="G2446">IF(B2446="","",_xlfn.XLOOKUP(B2446,'Form responses 1'!$B$2:$B$2604,'Form responses 1'!$E$2:$E$2604,""))</f>
        <v/>
      </c>
      <c r="H2446" s="44" t="str">
        <f t="array" ref="H2446">IF(B2446="","",_xlfn.XLOOKUP(B2446,'Form responses 1'!$B$2:$B$2604,'Form responses 1'!$F$2:$F$2604,""))</f>
        <v/>
      </c>
      <c r="I2446" s="44" t="str">
        <f t="array" ref="I2446">IF(B2446="","",_xlfn.XLOOKUP(B2446,'Form responses 1'!$B$2:$B$2604,'Form responses 1'!$I$2:$I$2604,""))</f>
        <v/>
      </c>
      <c r="J2446" s="44" t="str">
        <f t="array" ref="J2446">IF(B2446="","",_xlfn.XLOOKUP(B2446,'Form responses 1'!$B$2:$B$2604,'Form responses 1'!$G$2:$G$2604,""))</f>
        <v/>
      </c>
      <c r="K2446" s="56"/>
      <c r="L2446" s="58" t="str">
        <f t="shared" si="7"/>
        <v/>
      </c>
      <c r="M2446" s="49"/>
      <c r="N2446" s="49"/>
      <c r="O2446" s="49"/>
      <c r="P2446" s="49"/>
      <c r="Q2446" s="49"/>
      <c r="R2446" s="49"/>
      <c r="S2446" s="49"/>
      <c r="T2446" s="49"/>
      <c r="U2446" s="49"/>
      <c r="V2446" s="49"/>
      <c r="W2446" s="56"/>
      <c r="X2446" s="51" t="str">
        <f t="shared" si="5"/>
        <v/>
      </c>
      <c r="Y2446" s="50" t="s">
        <v>482</v>
      </c>
      <c r="Z2446" s="49">
        <f t="shared" si="6"/>
        <v>0</v>
      </c>
    </row>
    <row r="2447" ht="22.5" customHeight="1">
      <c r="B2447" s="57"/>
      <c r="C2447" s="43" t="str">
        <f t="array" ref="C2447">IF(B2447="","",_xlfn.XLOOKUP(B2447,'Form responses 1'!$B$2:$B$2604,'Form responses 1'!$A$2:$A$2604,""))</f>
        <v/>
      </c>
      <c r="D2447" s="44" t="str">
        <f t="shared" si="3"/>
        <v/>
      </c>
      <c r="E2447" s="44" t="str">
        <f t="array" ref="E2447">IF(B2447="","",_xlfn.XLOOKUP(B2447,'Form responses 1'!$B$2:$B$2604,'Form responses 1'!$C$2:$C$2604,""))</f>
        <v/>
      </c>
      <c r="F2447" s="44" t="str">
        <f t="array" ref="F2447">IF(B2447="","",_xlfn.XLOOKUP(B2447,'Form responses 1'!$B$2:$B$2604,'Form responses 1'!$D$2:$D$2604,""))</f>
        <v/>
      </c>
      <c r="G2447" s="44" t="str">
        <f t="array" ref="G2447">IF(B2447="","",_xlfn.XLOOKUP(B2447,'Form responses 1'!$B$2:$B$2604,'Form responses 1'!$E$2:$E$2604,""))</f>
        <v/>
      </c>
      <c r="H2447" s="44" t="str">
        <f t="array" ref="H2447">IF(B2447="","",_xlfn.XLOOKUP(B2447,'Form responses 1'!$B$2:$B$2604,'Form responses 1'!$F$2:$F$2604,""))</f>
        <v/>
      </c>
      <c r="I2447" s="44" t="str">
        <f t="array" ref="I2447">IF(B2447="","",_xlfn.XLOOKUP(B2447,'Form responses 1'!$B$2:$B$2604,'Form responses 1'!$I$2:$I$2604,""))</f>
        <v/>
      </c>
      <c r="J2447" s="44" t="str">
        <f t="array" ref="J2447">IF(B2447="","",_xlfn.XLOOKUP(B2447,'Form responses 1'!$B$2:$B$2604,'Form responses 1'!$G$2:$G$2604,""))</f>
        <v/>
      </c>
      <c r="K2447" s="56"/>
      <c r="L2447" s="58" t="str">
        <f t="shared" si="7"/>
        <v/>
      </c>
      <c r="M2447" s="49"/>
      <c r="N2447" s="49"/>
      <c r="O2447" s="49"/>
      <c r="P2447" s="49"/>
      <c r="Q2447" s="49"/>
      <c r="R2447" s="49"/>
      <c r="S2447" s="49"/>
      <c r="T2447" s="49"/>
      <c r="U2447" s="49"/>
      <c r="V2447" s="49"/>
      <c r="W2447" s="56"/>
      <c r="X2447" s="51" t="str">
        <f t="shared" si="5"/>
        <v/>
      </c>
      <c r="Y2447" s="50" t="s">
        <v>482</v>
      </c>
      <c r="Z2447" s="49">
        <f t="shared" si="6"/>
        <v>0</v>
      </c>
    </row>
    <row r="2448" ht="22.5" customHeight="1">
      <c r="B2448" s="57"/>
      <c r="C2448" s="43" t="str">
        <f t="array" ref="C2448">IF(B2448="","",_xlfn.XLOOKUP(B2448,'Form responses 1'!$B$2:$B$2604,'Form responses 1'!$A$2:$A$2604,""))</f>
        <v/>
      </c>
      <c r="D2448" s="44" t="str">
        <f t="shared" si="3"/>
        <v/>
      </c>
      <c r="E2448" s="44" t="str">
        <f t="array" ref="E2448">IF(B2448="","",_xlfn.XLOOKUP(B2448,'Form responses 1'!$B$2:$B$2604,'Form responses 1'!$C$2:$C$2604,""))</f>
        <v/>
      </c>
      <c r="F2448" s="44" t="str">
        <f t="array" ref="F2448">IF(B2448="","",_xlfn.XLOOKUP(B2448,'Form responses 1'!$B$2:$B$2604,'Form responses 1'!$D$2:$D$2604,""))</f>
        <v/>
      </c>
      <c r="G2448" s="44" t="str">
        <f t="array" ref="G2448">IF(B2448="","",_xlfn.XLOOKUP(B2448,'Form responses 1'!$B$2:$B$2604,'Form responses 1'!$E$2:$E$2604,""))</f>
        <v/>
      </c>
      <c r="H2448" s="44" t="str">
        <f t="array" ref="H2448">IF(B2448="","",_xlfn.XLOOKUP(B2448,'Form responses 1'!$B$2:$B$2604,'Form responses 1'!$F$2:$F$2604,""))</f>
        <v/>
      </c>
      <c r="I2448" s="44" t="str">
        <f t="array" ref="I2448">IF(B2448="","",_xlfn.XLOOKUP(B2448,'Form responses 1'!$B$2:$B$2604,'Form responses 1'!$I$2:$I$2604,""))</f>
        <v/>
      </c>
      <c r="J2448" s="44" t="str">
        <f t="array" ref="J2448">IF(B2448="","",_xlfn.XLOOKUP(B2448,'Form responses 1'!$B$2:$B$2604,'Form responses 1'!$G$2:$G$2604,""))</f>
        <v/>
      </c>
      <c r="K2448" s="56"/>
      <c r="L2448" s="58" t="str">
        <f t="shared" si="7"/>
        <v/>
      </c>
      <c r="M2448" s="49"/>
      <c r="N2448" s="49"/>
      <c r="O2448" s="49"/>
      <c r="P2448" s="49"/>
      <c r="Q2448" s="49"/>
      <c r="R2448" s="49"/>
      <c r="S2448" s="49"/>
      <c r="T2448" s="49"/>
      <c r="U2448" s="49"/>
      <c r="V2448" s="49"/>
      <c r="W2448" s="56"/>
      <c r="X2448" s="51" t="str">
        <f t="shared" si="5"/>
        <v/>
      </c>
      <c r="Y2448" s="50" t="s">
        <v>482</v>
      </c>
      <c r="Z2448" s="49">
        <f t="shared" si="6"/>
        <v>0</v>
      </c>
    </row>
    <row r="2449" ht="22.5" customHeight="1">
      <c r="B2449" s="57"/>
      <c r="C2449" s="43" t="str">
        <f t="array" ref="C2449">IF(B2449="","",_xlfn.XLOOKUP(B2449,'Form responses 1'!$B$2:$B$2604,'Form responses 1'!$A$2:$A$2604,""))</f>
        <v/>
      </c>
      <c r="D2449" s="44" t="str">
        <f t="shared" si="3"/>
        <v/>
      </c>
      <c r="E2449" s="44" t="str">
        <f t="array" ref="E2449">IF(B2449="","",_xlfn.XLOOKUP(B2449,'Form responses 1'!$B$2:$B$2604,'Form responses 1'!$C$2:$C$2604,""))</f>
        <v/>
      </c>
      <c r="F2449" s="44" t="str">
        <f t="array" ref="F2449">IF(B2449="","",_xlfn.XLOOKUP(B2449,'Form responses 1'!$B$2:$B$2604,'Form responses 1'!$D$2:$D$2604,""))</f>
        <v/>
      </c>
      <c r="G2449" s="44" t="str">
        <f t="array" ref="G2449">IF(B2449="","",_xlfn.XLOOKUP(B2449,'Form responses 1'!$B$2:$B$2604,'Form responses 1'!$E$2:$E$2604,""))</f>
        <v/>
      </c>
      <c r="H2449" s="44" t="str">
        <f t="array" ref="H2449">IF(B2449="","",_xlfn.XLOOKUP(B2449,'Form responses 1'!$B$2:$B$2604,'Form responses 1'!$F$2:$F$2604,""))</f>
        <v/>
      </c>
      <c r="I2449" s="44" t="str">
        <f t="array" ref="I2449">IF(B2449="","",_xlfn.XLOOKUP(B2449,'Form responses 1'!$B$2:$B$2604,'Form responses 1'!$I$2:$I$2604,""))</f>
        <v/>
      </c>
      <c r="J2449" s="44" t="str">
        <f t="array" ref="J2449">IF(B2449="","",_xlfn.XLOOKUP(B2449,'Form responses 1'!$B$2:$B$2604,'Form responses 1'!$G$2:$G$2604,""))</f>
        <v/>
      </c>
      <c r="K2449" s="56"/>
      <c r="L2449" s="58" t="str">
        <f t="shared" si="7"/>
        <v/>
      </c>
      <c r="M2449" s="49"/>
      <c r="N2449" s="49"/>
      <c r="O2449" s="49"/>
      <c r="P2449" s="49"/>
      <c r="Q2449" s="49"/>
      <c r="R2449" s="49"/>
      <c r="S2449" s="49"/>
      <c r="T2449" s="49"/>
      <c r="U2449" s="49"/>
      <c r="V2449" s="49"/>
      <c r="W2449" s="56"/>
      <c r="X2449" s="51" t="str">
        <f t="shared" si="5"/>
        <v/>
      </c>
      <c r="Y2449" s="50" t="s">
        <v>482</v>
      </c>
      <c r="Z2449" s="49">
        <f t="shared" si="6"/>
        <v>0</v>
      </c>
    </row>
    <row r="2450" ht="22.5" customHeight="1">
      <c r="B2450" s="57"/>
      <c r="C2450" s="43" t="str">
        <f t="array" ref="C2450">IF(B2450="","",_xlfn.XLOOKUP(B2450,'Form responses 1'!$B$2:$B$2604,'Form responses 1'!$A$2:$A$2604,""))</f>
        <v/>
      </c>
      <c r="D2450" s="44" t="str">
        <f t="shared" si="3"/>
        <v/>
      </c>
      <c r="E2450" s="44" t="str">
        <f t="array" ref="E2450">IF(B2450="","",_xlfn.XLOOKUP(B2450,'Form responses 1'!$B$2:$B$2604,'Form responses 1'!$C$2:$C$2604,""))</f>
        <v/>
      </c>
      <c r="F2450" s="44" t="str">
        <f t="array" ref="F2450">IF(B2450="","",_xlfn.XLOOKUP(B2450,'Form responses 1'!$B$2:$B$2604,'Form responses 1'!$D$2:$D$2604,""))</f>
        <v/>
      </c>
      <c r="G2450" s="44" t="str">
        <f t="array" ref="G2450">IF(B2450="","",_xlfn.XLOOKUP(B2450,'Form responses 1'!$B$2:$B$2604,'Form responses 1'!$E$2:$E$2604,""))</f>
        <v/>
      </c>
      <c r="H2450" s="44" t="str">
        <f t="array" ref="H2450">IF(B2450="","",_xlfn.XLOOKUP(B2450,'Form responses 1'!$B$2:$B$2604,'Form responses 1'!$F$2:$F$2604,""))</f>
        <v/>
      </c>
      <c r="I2450" s="44" t="str">
        <f t="array" ref="I2450">IF(B2450="","",_xlfn.XLOOKUP(B2450,'Form responses 1'!$B$2:$B$2604,'Form responses 1'!$I$2:$I$2604,""))</f>
        <v/>
      </c>
      <c r="J2450" s="44" t="str">
        <f t="array" ref="J2450">IF(B2450="","",_xlfn.XLOOKUP(B2450,'Form responses 1'!$B$2:$B$2604,'Form responses 1'!$G$2:$G$2604,""))</f>
        <v/>
      </c>
      <c r="K2450" s="56"/>
      <c r="L2450" s="58" t="str">
        <f t="shared" si="7"/>
        <v/>
      </c>
      <c r="M2450" s="49"/>
      <c r="N2450" s="49"/>
      <c r="O2450" s="49"/>
      <c r="P2450" s="49"/>
      <c r="Q2450" s="49"/>
      <c r="R2450" s="49"/>
      <c r="S2450" s="49"/>
      <c r="T2450" s="49"/>
      <c r="U2450" s="49"/>
      <c r="V2450" s="49"/>
      <c r="W2450" s="56"/>
      <c r="X2450" s="51" t="str">
        <f t="shared" si="5"/>
        <v/>
      </c>
      <c r="Y2450" s="50" t="s">
        <v>482</v>
      </c>
      <c r="Z2450" s="49">
        <f t="shared" si="6"/>
        <v>0</v>
      </c>
    </row>
    <row r="2451" ht="22.5" customHeight="1">
      <c r="B2451" s="57"/>
      <c r="C2451" s="43" t="str">
        <f t="array" ref="C2451">IF(B2451="","",_xlfn.XLOOKUP(B2451,'Form responses 1'!$B$2:$B$2604,'Form responses 1'!$A$2:$A$2604,""))</f>
        <v/>
      </c>
      <c r="D2451" s="44" t="str">
        <f t="shared" si="3"/>
        <v/>
      </c>
      <c r="E2451" s="44" t="str">
        <f t="array" ref="E2451">IF(B2451="","",_xlfn.XLOOKUP(B2451,'Form responses 1'!$B$2:$B$2604,'Form responses 1'!$C$2:$C$2604,""))</f>
        <v/>
      </c>
      <c r="F2451" s="44" t="str">
        <f t="array" ref="F2451">IF(B2451="","",_xlfn.XLOOKUP(B2451,'Form responses 1'!$B$2:$B$2604,'Form responses 1'!$D$2:$D$2604,""))</f>
        <v/>
      </c>
      <c r="G2451" s="44" t="str">
        <f t="array" ref="G2451">IF(B2451="","",_xlfn.XLOOKUP(B2451,'Form responses 1'!$B$2:$B$2604,'Form responses 1'!$E$2:$E$2604,""))</f>
        <v/>
      </c>
      <c r="H2451" s="44" t="str">
        <f t="array" ref="H2451">IF(B2451="","",_xlfn.XLOOKUP(B2451,'Form responses 1'!$B$2:$B$2604,'Form responses 1'!$F$2:$F$2604,""))</f>
        <v/>
      </c>
      <c r="I2451" s="44" t="str">
        <f t="array" ref="I2451">IF(B2451="","",_xlfn.XLOOKUP(B2451,'Form responses 1'!$B$2:$B$2604,'Form responses 1'!$I$2:$I$2604,""))</f>
        <v/>
      </c>
      <c r="J2451" s="44" t="str">
        <f t="array" ref="J2451">IF(B2451="","",_xlfn.XLOOKUP(B2451,'Form responses 1'!$B$2:$B$2604,'Form responses 1'!$G$2:$G$2604,""))</f>
        <v/>
      </c>
      <c r="K2451" s="56"/>
      <c r="L2451" s="58" t="str">
        <f t="shared" si="7"/>
        <v/>
      </c>
      <c r="M2451" s="49"/>
      <c r="N2451" s="49"/>
      <c r="O2451" s="49"/>
      <c r="P2451" s="49"/>
      <c r="Q2451" s="49"/>
      <c r="R2451" s="49"/>
      <c r="S2451" s="49"/>
      <c r="T2451" s="49"/>
      <c r="U2451" s="49"/>
      <c r="V2451" s="49"/>
      <c r="W2451" s="56"/>
      <c r="X2451" s="51" t="str">
        <f t="shared" si="5"/>
        <v/>
      </c>
      <c r="Y2451" s="50" t="s">
        <v>482</v>
      </c>
      <c r="Z2451" s="49">
        <f t="shared" si="6"/>
        <v>0</v>
      </c>
    </row>
    <row r="2452" ht="22.5" customHeight="1">
      <c r="B2452" s="57"/>
      <c r="C2452" s="43" t="str">
        <f t="array" ref="C2452">IF(B2452="","",_xlfn.XLOOKUP(B2452,'Form responses 1'!$B$2:$B$2604,'Form responses 1'!$A$2:$A$2604,""))</f>
        <v/>
      </c>
      <c r="D2452" s="44" t="str">
        <f t="shared" si="3"/>
        <v/>
      </c>
      <c r="E2452" s="44" t="str">
        <f t="array" ref="E2452">IF(B2452="","",_xlfn.XLOOKUP(B2452,'Form responses 1'!$B$2:$B$2604,'Form responses 1'!$C$2:$C$2604,""))</f>
        <v/>
      </c>
      <c r="F2452" s="44" t="str">
        <f t="array" ref="F2452">IF(B2452="","",_xlfn.XLOOKUP(B2452,'Form responses 1'!$B$2:$B$2604,'Form responses 1'!$D$2:$D$2604,""))</f>
        <v/>
      </c>
      <c r="G2452" s="44" t="str">
        <f t="array" ref="G2452">IF(B2452="","",_xlfn.XLOOKUP(B2452,'Form responses 1'!$B$2:$B$2604,'Form responses 1'!$E$2:$E$2604,""))</f>
        <v/>
      </c>
      <c r="H2452" s="44" t="str">
        <f t="array" ref="H2452">IF(B2452="","",_xlfn.XLOOKUP(B2452,'Form responses 1'!$B$2:$B$2604,'Form responses 1'!$F$2:$F$2604,""))</f>
        <v/>
      </c>
      <c r="I2452" s="44" t="str">
        <f t="array" ref="I2452">IF(B2452="","",_xlfn.XLOOKUP(B2452,'Form responses 1'!$B$2:$B$2604,'Form responses 1'!$I$2:$I$2604,""))</f>
        <v/>
      </c>
      <c r="J2452" s="44" t="str">
        <f t="array" ref="J2452">IF(B2452="","",_xlfn.XLOOKUP(B2452,'Form responses 1'!$B$2:$B$2604,'Form responses 1'!$G$2:$G$2604,""))</f>
        <v/>
      </c>
      <c r="K2452" s="56"/>
      <c r="L2452" s="58" t="str">
        <f t="shared" si="7"/>
        <v/>
      </c>
      <c r="M2452" s="49"/>
      <c r="N2452" s="49"/>
      <c r="O2452" s="49"/>
      <c r="P2452" s="49"/>
      <c r="Q2452" s="49"/>
      <c r="R2452" s="49"/>
      <c r="S2452" s="49"/>
      <c r="T2452" s="49"/>
      <c r="U2452" s="49"/>
      <c r="V2452" s="49"/>
      <c r="W2452" s="56"/>
      <c r="X2452" s="51" t="str">
        <f t="shared" si="5"/>
        <v/>
      </c>
      <c r="Y2452" s="50" t="s">
        <v>482</v>
      </c>
      <c r="Z2452" s="49">
        <f t="shared" si="6"/>
        <v>0</v>
      </c>
    </row>
    <row r="2453" ht="22.5" customHeight="1">
      <c r="B2453" s="57"/>
      <c r="C2453" s="43" t="str">
        <f t="array" ref="C2453">IF(B2453="","",_xlfn.XLOOKUP(B2453,'Form responses 1'!$B$2:$B$2604,'Form responses 1'!$A$2:$A$2604,""))</f>
        <v/>
      </c>
      <c r="D2453" s="44" t="str">
        <f t="shared" si="3"/>
        <v/>
      </c>
      <c r="E2453" s="44" t="str">
        <f t="array" ref="E2453">IF(B2453="","",_xlfn.XLOOKUP(B2453,'Form responses 1'!$B$2:$B$2604,'Form responses 1'!$C$2:$C$2604,""))</f>
        <v/>
      </c>
      <c r="F2453" s="44" t="str">
        <f t="array" ref="F2453">IF(B2453="","",_xlfn.XLOOKUP(B2453,'Form responses 1'!$B$2:$B$2604,'Form responses 1'!$D$2:$D$2604,""))</f>
        <v/>
      </c>
      <c r="G2453" s="44" t="str">
        <f t="array" ref="G2453">IF(B2453="","",_xlfn.XLOOKUP(B2453,'Form responses 1'!$B$2:$B$2604,'Form responses 1'!$E$2:$E$2604,""))</f>
        <v/>
      </c>
      <c r="H2453" s="44" t="str">
        <f t="array" ref="H2453">IF(B2453="","",_xlfn.XLOOKUP(B2453,'Form responses 1'!$B$2:$B$2604,'Form responses 1'!$F$2:$F$2604,""))</f>
        <v/>
      </c>
      <c r="I2453" s="44" t="str">
        <f t="array" ref="I2453">IF(B2453="","",_xlfn.XLOOKUP(B2453,'Form responses 1'!$B$2:$B$2604,'Form responses 1'!$I$2:$I$2604,""))</f>
        <v/>
      </c>
      <c r="J2453" s="44" t="str">
        <f t="array" ref="J2453">IF(B2453="","",_xlfn.XLOOKUP(B2453,'Form responses 1'!$B$2:$B$2604,'Form responses 1'!$G$2:$G$2604,""))</f>
        <v/>
      </c>
      <c r="K2453" s="56"/>
      <c r="L2453" s="58" t="str">
        <f t="shared" si="7"/>
        <v/>
      </c>
      <c r="M2453" s="49"/>
      <c r="N2453" s="49"/>
      <c r="O2453" s="49"/>
      <c r="P2453" s="49"/>
      <c r="Q2453" s="49"/>
      <c r="R2453" s="49"/>
      <c r="S2453" s="49"/>
      <c r="T2453" s="49"/>
      <c r="U2453" s="49"/>
      <c r="V2453" s="49"/>
      <c r="W2453" s="56"/>
      <c r="X2453" s="51" t="str">
        <f t="shared" si="5"/>
        <v/>
      </c>
      <c r="Y2453" s="50" t="s">
        <v>482</v>
      </c>
      <c r="Z2453" s="49">
        <f t="shared" si="6"/>
        <v>0</v>
      </c>
    </row>
    <row r="2454" ht="22.5" customHeight="1">
      <c r="B2454" s="57"/>
      <c r="C2454" s="43" t="str">
        <f t="array" ref="C2454">IF(B2454="","",_xlfn.XLOOKUP(B2454,'Form responses 1'!$B$2:$B$2604,'Form responses 1'!$A$2:$A$2604,""))</f>
        <v/>
      </c>
      <c r="D2454" s="44" t="str">
        <f t="shared" si="3"/>
        <v/>
      </c>
      <c r="E2454" s="44" t="str">
        <f t="array" ref="E2454">IF(B2454="","",_xlfn.XLOOKUP(B2454,'Form responses 1'!$B$2:$B$2604,'Form responses 1'!$C$2:$C$2604,""))</f>
        <v/>
      </c>
      <c r="F2454" s="44" t="str">
        <f t="array" ref="F2454">IF(B2454="","",_xlfn.XLOOKUP(B2454,'Form responses 1'!$B$2:$B$2604,'Form responses 1'!$D$2:$D$2604,""))</f>
        <v/>
      </c>
      <c r="G2454" s="44" t="str">
        <f t="array" ref="G2454">IF(B2454="","",_xlfn.XLOOKUP(B2454,'Form responses 1'!$B$2:$B$2604,'Form responses 1'!$E$2:$E$2604,""))</f>
        <v/>
      </c>
      <c r="H2454" s="44" t="str">
        <f t="array" ref="H2454">IF(B2454="","",_xlfn.XLOOKUP(B2454,'Form responses 1'!$B$2:$B$2604,'Form responses 1'!$F$2:$F$2604,""))</f>
        <v/>
      </c>
      <c r="I2454" s="44" t="str">
        <f t="array" ref="I2454">IF(B2454="","",_xlfn.XLOOKUP(B2454,'Form responses 1'!$B$2:$B$2604,'Form responses 1'!$I$2:$I$2604,""))</f>
        <v/>
      </c>
      <c r="J2454" s="44" t="str">
        <f t="array" ref="J2454">IF(B2454="","",_xlfn.XLOOKUP(B2454,'Form responses 1'!$B$2:$B$2604,'Form responses 1'!$G$2:$G$2604,""))</f>
        <v/>
      </c>
      <c r="K2454" s="56"/>
      <c r="L2454" s="58" t="str">
        <f t="shared" si="7"/>
        <v/>
      </c>
      <c r="M2454" s="49"/>
      <c r="N2454" s="49"/>
      <c r="O2454" s="49"/>
      <c r="P2454" s="49"/>
      <c r="Q2454" s="49"/>
      <c r="R2454" s="49"/>
      <c r="S2454" s="49"/>
      <c r="T2454" s="49"/>
      <c r="U2454" s="49"/>
      <c r="V2454" s="49"/>
      <c r="W2454" s="56"/>
      <c r="X2454" s="51" t="str">
        <f t="shared" si="5"/>
        <v/>
      </c>
      <c r="Y2454" s="50" t="s">
        <v>482</v>
      </c>
      <c r="Z2454" s="49">
        <f t="shared" si="6"/>
        <v>0</v>
      </c>
    </row>
    <row r="2455" ht="22.5" customHeight="1">
      <c r="B2455" s="57"/>
      <c r="C2455" s="43" t="str">
        <f t="array" ref="C2455">IF(B2455="","",_xlfn.XLOOKUP(B2455,'Form responses 1'!$B$2:$B$2604,'Form responses 1'!$A$2:$A$2604,""))</f>
        <v/>
      </c>
      <c r="D2455" s="44" t="str">
        <f t="shared" si="3"/>
        <v/>
      </c>
      <c r="E2455" s="44" t="str">
        <f t="array" ref="E2455">IF(B2455="","",_xlfn.XLOOKUP(B2455,'Form responses 1'!$B$2:$B$2604,'Form responses 1'!$C$2:$C$2604,""))</f>
        <v/>
      </c>
      <c r="F2455" s="44" t="str">
        <f t="array" ref="F2455">IF(B2455="","",_xlfn.XLOOKUP(B2455,'Form responses 1'!$B$2:$B$2604,'Form responses 1'!$D$2:$D$2604,""))</f>
        <v/>
      </c>
      <c r="G2455" s="44" t="str">
        <f t="array" ref="G2455">IF(B2455="","",_xlfn.XLOOKUP(B2455,'Form responses 1'!$B$2:$B$2604,'Form responses 1'!$E$2:$E$2604,""))</f>
        <v/>
      </c>
      <c r="H2455" s="44" t="str">
        <f t="array" ref="H2455">IF(B2455="","",_xlfn.XLOOKUP(B2455,'Form responses 1'!$B$2:$B$2604,'Form responses 1'!$F$2:$F$2604,""))</f>
        <v/>
      </c>
      <c r="I2455" s="44" t="str">
        <f t="array" ref="I2455">IF(B2455="","",_xlfn.XLOOKUP(B2455,'Form responses 1'!$B$2:$B$2604,'Form responses 1'!$I$2:$I$2604,""))</f>
        <v/>
      </c>
      <c r="J2455" s="44" t="str">
        <f t="array" ref="J2455">IF(B2455="","",_xlfn.XLOOKUP(B2455,'Form responses 1'!$B$2:$B$2604,'Form responses 1'!$G$2:$G$2604,""))</f>
        <v/>
      </c>
      <c r="K2455" s="56"/>
      <c r="L2455" s="58" t="str">
        <f t="shared" si="7"/>
        <v/>
      </c>
      <c r="M2455" s="49"/>
      <c r="N2455" s="49"/>
      <c r="O2455" s="49"/>
      <c r="P2455" s="49"/>
      <c r="Q2455" s="49"/>
      <c r="R2455" s="49"/>
      <c r="S2455" s="49"/>
      <c r="T2455" s="49"/>
      <c r="U2455" s="49"/>
      <c r="V2455" s="49"/>
      <c r="W2455" s="56"/>
      <c r="X2455" s="51" t="str">
        <f t="shared" si="5"/>
        <v/>
      </c>
      <c r="Y2455" s="50" t="s">
        <v>482</v>
      </c>
      <c r="Z2455" s="49">
        <f t="shared" si="6"/>
        <v>0</v>
      </c>
    </row>
    <row r="2456" ht="22.5" customHeight="1">
      <c r="B2456" s="57"/>
      <c r="C2456" s="43" t="str">
        <f t="array" ref="C2456">IF(B2456="","",_xlfn.XLOOKUP(B2456,'Form responses 1'!$B$2:$B$2604,'Form responses 1'!$A$2:$A$2604,""))</f>
        <v/>
      </c>
      <c r="D2456" s="44" t="str">
        <f t="shared" si="3"/>
        <v/>
      </c>
      <c r="E2456" s="44" t="str">
        <f t="array" ref="E2456">IF(B2456="","",_xlfn.XLOOKUP(B2456,'Form responses 1'!$B$2:$B$2604,'Form responses 1'!$C$2:$C$2604,""))</f>
        <v/>
      </c>
      <c r="F2456" s="44" t="str">
        <f t="array" ref="F2456">IF(B2456="","",_xlfn.XLOOKUP(B2456,'Form responses 1'!$B$2:$B$2604,'Form responses 1'!$D$2:$D$2604,""))</f>
        <v/>
      </c>
      <c r="G2456" s="44" t="str">
        <f t="array" ref="G2456">IF(B2456="","",_xlfn.XLOOKUP(B2456,'Form responses 1'!$B$2:$B$2604,'Form responses 1'!$E$2:$E$2604,""))</f>
        <v/>
      </c>
      <c r="H2456" s="44" t="str">
        <f t="array" ref="H2456">IF(B2456="","",_xlfn.XLOOKUP(B2456,'Form responses 1'!$B$2:$B$2604,'Form responses 1'!$F$2:$F$2604,""))</f>
        <v/>
      </c>
      <c r="I2456" s="44" t="str">
        <f t="array" ref="I2456">IF(B2456="","",_xlfn.XLOOKUP(B2456,'Form responses 1'!$B$2:$B$2604,'Form responses 1'!$I$2:$I$2604,""))</f>
        <v/>
      </c>
      <c r="J2456" s="44" t="str">
        <f t="array" ref="J2456">IF(B2456="","",_xlfn.XLOOKUP(B2456,'Form responses 1'!$B$2:$B$2604,'Form responses 1'!$G$2:$G$2604,""))</f>
        <v/>
      </c>
      <c r="K2456" s="56"/>
      <c r="L2456" s="58" t="str">
        <f t="shared" si="7"/>
        <v/>
      </c>
      <c r="M2456" s="49"/>
      <c r="N2456" s="49"/>
      <c r="O2456" s="49"/>
      <c r="P2456" s="49"/>
      <c r="Q2456" s="49"/>
      <c r="R2456" s="49"/>
      <c r="S2456" s="49"/>
      <c r="T2456" s="49"/>
      <c r="U2456" s="49"/>
      <c r="V2456" s="49"/>
      <c r="W2456" s="56"/>
      <c r="X2456" s="51" t="str">
        <f t="shared" si="5"/>
        <v/>
      </c>
      <c r="Y2456" s="50" t="s">
        <v>482</v>
      </c>
      <c r="Z2456" s="49">
        <f t="shared" si="6"/>
        <v>0</v>
      </c>
    </row>
    <row r="2457" ht="22.5" customHeight="1">
      <c r="B2457" s="57"/>
      <c r="C2457" s="43" t="str">
        <f t="array" ref="C2457">IF(B2457="","",_xlfn.XLOOKUP(B2457,'Form responses 1'!$B$2:$B$2604,'Form responses 1'!$A$2:$A$2604,""))</f>
        <v/>
      </c>
      <c r="D2457" s="44" t="str">
        <f t="shared" si="3"/>
        <v/>
      </c>
      <c r="E2457" s="44" t="str">
        <f t="array" ref="E2457">IF(B2457="","",_xlfn.XLOOKUP(B2457,'Form responses 1'!$B$2:$B$2604,'Form responses 1'!$C$2:$C$2604,""))</f>
        <v/>
      </c>
      <c r="F2457" s="44" t="str">
        <f t="array" ref="F2457">IF(B2457="","",_xlfn.XLOOKUP(B2457,'Form responses 1'!$B$2:$B$2604,'Form responses 1'!$D$2:$D$2604,""))</f>
        <v/>
      </c>
      <c r="G2457" s="44" t="str">
        <f t="array" ref="G2457">IF(B2457="","",_xlfn.XLOOKUP(B2457,'Form responses 1'!$B$2:$B$2604,'Form responses 1'!$E$2:$E$2604,""))</f>
        <v/>
      </c>
      <c r="H2457" s="44" t="str">
        <f t="array" ref="H2457">IF(B2457="","",_xlfn.XLOOKUP(B2457,'Form responses 1'!$B$2:$B$2604,'Form responses 1'!$F$2:$F$2604,""))</f>
        <v/>
      </c>
      <c r="I2457" s="44" t="str">
        <f t="array" ref="I2457">IF(B2457="","",_xlfn.XLOOKUP(B2457,'Form responses 1'!$B$2:$B$2604,'Form responses 1'!$I$2:$I$2604,""))</f>
        <v/>
      </c>
      <c r="J2457" s="44" t="str">
        <f t="array" ref="J2457">IF(B2457="","",_xlfn.XLOOKUP(B2457,'Form responses 1'!$B$2:$B$2604,'Form responses 1'!$G$2:$G$2604,""))</f>
        <v/>
      </c>
      <c r="K2457" s="56"/>
      <c r="L2457" s="58" t="str">
        <f t="shared" si="7"/>
        <v/>
      </c>
      <c r="M2457" s="49"/>
      <c r="N2457" s="49"/>
      <c r="O2457" s="49"/>
      <c r="P2457" s="49"/>
      <c r="Q2457" s="49"/>
      <c r="R2457" s="49"/>
      <c r="S2457" s="49"/>
      <c r="T2457" s="49"/>
      <c r="U2457" s="49"/>
      <c r="V2457" s="49"/>
      <c r="W2457" s="56"/>
      <c r="X2457" s="51" t="str">
        <f t="shared" si="5"/>
        <v/>
      </c>
      <c r="Y2457" s="50" t="s">
        <v>482</v>
      </c>
      <c r="Z2457" s="49">
        <f t="shared" si="6"/>
        <v>0</v>
      </c>
    </row>
    <row r="2458" ht="22.5" customHeight="1">
      <c r="B2458" s="57"/>
      <c r="C2458" s="43" t="str">
        <f t="array" ref="C2458">IF(B2458="","",_xlfn.XLOOKUP(B2458,'Form responses 1'!$B$2:$B$2604,'Form responses 1'!$A$2:$A$2604,""))</f>
        <v/>
      </c>
      <c r="D2458" s="44" t="str">
        <f t="shared" si="3"/>
        <v/>
      </c>
      <c r="E2458" s="44" t="str">
        <f t="array" ref="E2458">IF(B2458="","",_xlfn.XLOOKUP(B2458,'Form responses 1'!$B$2:$B$2604,'Form responses 1'!$C$2:$C$2604,""))</f>
        <v/>
      </c>
      <c r="F2458" s="44" t="str">
        <f t="array" ref="F2458">IF(B2458="","",_xlfn.XLOOKUP(B2458,'Form responses 1'!$B$2:$B$2604,'Form responses 1'!$D$2:$D$2604,""))</f>
        <v/>
      </c>
      <c r="G2458" s="44" t="str">
        <f t="array" ref="G2458">IF(B2458="","",_xlfn.XLOOKUP(B2458,'Form responses 1'!$B$2:$B$2604,'Form responses 1'!$E$2:$E$2604,""))</f>
        <v/>
      </c>
      <c r="H2458" s="44" t="str">
        <f t="array" ref="H2458">IF(B2458="","",_xlfn.XLOOKUP(B2458,'Form responses 1'!$B$2:$B$2604,'Form responses 1'!$F$2:$F$2604,""))</f>
        <v/>
      </c>
      <c r="I2458" s="44" t="str">
        <f t="array" ref="I2458">IF(B2458="","",_xlfn.XLOOKUP(B2458,'Form responses 1'!$B$2:$B$2604,'Form responses 1'!$I$2:$I$2604,""))</f>
        <v/>
      </c>
      <c r="J2458" s="44" t="str">
        <f t="array" ref="J2458">IF(B2458="","",_xlfn.XLOOKUP(B2458,'Form responses 1'!$B$2:$B$2604,'Form responses 1'!$G$2:$G$2604,""))</f>
        <v/>
      </c>
      <c r="K2458" s="56"/>
      <c r="L2458" s="58" t="str">
        <f t="shared" si="7"/>
        <v/>
      </c>
      <c r="M2458" s="49"/>
      <c r="N2458" s="49"/>
      <c r="O2458" s="49"/>
      <c r="P2458" s="49"/>
      <c r="Q2458" s="49"/>
      <c r="R2458" s="49"/>
      <c r="S2458" s="49"/>
      <c r="T2458" s="49"/>
      <c r="U2458" s="49"/>
      <c r="V2458" s="49"/>
      <c r="W2458" s="56"/>
      <c r="X2458" s="51" t="str">
        <f t="shared" si="5"/>
        <v/>
      </c>
      <c r="Y2458" s="50" t="s">
        <v>482</v>
      </c>
      <c r="Z2458" s="49">
        <f t="shared" si="6"/>
        <v>0</v>
      </c>
    </row>
    <row r="2459" ht="22.5" customHeight="1">
      <c r="B2459" s="57"/>
      <c r="C2459" s="43" t="str">
        <f t="array" ref="C2459">IF(B2459="","",_xlfn.XLOOKUP(B2459,'Form responses 1'!$B$2:$B$2604,'Form responses 1'!$A$2:$A$2604,""))</f>
        <v/>
      </c>
      <c r="D2459" s="44" t="str">
        <f t="shared" si="3"/>
        <v/>
      </c>
      <c r="E2459" s="44" t="str">
        <f t="array" ref="E2459">IF(B2459="","",_xlfn.XLOOKUP(B2459,'Form responses 1'!$B$2:$B$2604,'Form responses 1'!$C$2:$C$2604,""))</f>
        <v/>
      </c>
      <c r="F2459" s="44" t="str">
        <f t="array" ref="F2459">IF(B2459="","",_xlfn.XLOOKUP(B2459,'Form responses 1'!$B$2:$B$2604,'Form responses 1'!$D$2:$D$2604,""))</f>
        <v/>
      </c>
      <c r="G2459" s="44" t="str">
        <f t="array" ref="G2459">IF(B2459="","",_xlfn.XLOOKUP(B2459,'Form responses 1'!$B$2:$B$2604,'Form responses 1'!$E$2:$E$2604,""))</f>
        <v/>
      </c>
      <c r="H2459" s="44" t="str">
        <f t="array" ref="H2459">IF(B2459="","",_xlfn.XLOOKUP(B2459,'Form responses 1'!$B$2:$B$2604,'Form responses 1'!$F$2:$F$2604,""))</f>
        <v/>
      </c>
      <c r="I2459" s="44" t="str">
        <f t="array" ref="I2459">IF(B2459="","",_xlfn.XLOOKUP(B2459,'Form responses 1'!$B$2:$B$2604,'Form responses 1'!$I$2:$I$2604,""))</f>
        <v/>
      </c>
      <c r="J2459" s="44" t="str">
        <f t="array" ref="J2459">IF(B2459="","",_xlfn.XLOOKUP(B2459,'Form responses 1'!$B$2:$B$2604,'Form responses 1'!$G$2:$G$2604,""))</f>
        <v/>
      </c>
      <c r="K2459" s="56"/>
      <c r="L2459" s="58" t="str">
        <f t="shared" si="7"/>
        <v/>
      </c>
      <c r="M2459" s="49"/>
      <c r="N2459" s="49"/>
      <c r="O2459" s="49"/>
      <c r="P2459" s="49"/>
      <c r="Q2459" s="49"/>
      <c r="R2459" s="49"/>
      <c r="S2459" s="49"/>
      <c r="T2459" s="49"/>
      <c r="U2459" s="49"/>
      <c r="V2459" s="49"/>
      <c r="W2459" s="56"/>
      <c r="X2459" s="51" t="str">
        <f t="shared" si="5"/>
        <v/>
      </c>
      <c r="Y2459" s="50" t="s">
        <v>482</v>
      </c>
      <c r="Z2459" s="49">
        <f t="shared" si="6"/>
        <v>0</v>
      </c>
    </row>
    <row r="2460" ht="22.5" customHeight="1">
      <c r="B2460" s="57"/>
      <c r="C2460" s="43" t="str">
        <f t="array" ref="C2460">IF(B2460="","",_xlfn.XLOOKUP(B2460,'Form responses 1'!$B$2:$B$2604,'Form responses 1'!$A$2:$A$2604,""))</f>
        <v/>
      </c>
      <c r="D2460" s="44" t="str">
        <f t="shared" si="3"/>
        <v/>
      </c>
      <c r="E2460" s="44" t="str">
        <f t="array" ref="E2460">IF(B2460="","",_xlfn.XLOOKUP(B2460,'Form responses 1'!$B$2:$B$2604,'Form responses 1'!$C$2:$C$2604,""))</f>
        <v/>
      </c>
      <c r="F2460" s="44" t="str">
        <f t="array" ref="F2460">IF(B2460="","",_xlfn.XLOOKUP(B2460,'Form responses 1'!$B$2:$B$2604,'Form responses 1'!$D$2:$D$2604,""))</f>
        <v/>
      </c>
      <c r="G2460" s="44" t="str">
        <f t="array" ref="G2460">IF(B2460="","",_xlfn.XLOOKUP(B2460,'Form responses 1'!$B$2:$B$2604,'Form responses 1'!$E$2:$E$2604,""))</f>
        <v/>
      </c>
      <c r="H2460" s="44" t="str">
        <f t="array" ref="H2460">IF(B2460="","",_xlfn.XLOOKUP(B2460,'Form responses 1'!$B$2:$B$2604,'Form responses 1'!$F$2:$F$2604,""))</f>
        <v/>
      </c>
      <c r="I2460" s="44" t="str">
        <f t="array" ref="I2460">IF(B2460="","",_xlfn.XLOOKUP(B2460,'Form responses 1'!$B$2:$B$2604,'Form responses 1'!$I$2:$I$2604,""))</f>
        <v/>
      </c>
      <c r="J2460" s="44" t="str">
        <f t="array" ref="J2460">IF(B2460="","",_xlfn.XLOOKUP(B2460,'Form responses 1'!$B$2:$B$2604,'Form responses 1'!$G$2:$G$2604,""))</f>
        <v/>
      </c>
      <c r="K2460" s="56"/>
      <c r="L2460" s="58" t="str">
        <f t="shared" si="7"/>
        <v/>
      </c>
      <c r="M2460" s="49"/>
      <c r="N2460" s="49"/>
      <c r="O2460" s="49"/>
      <c r="P2460" s="49"/>
      <c r="Q2460" s="49"/>
      <c r="R2460" s="49"/>
      <c r="S2460" s="49"/>
      <c r="T2460" s="49"/>
      <c r="U2460" s="49"/>
      <c r="V2460" s="49"/>
      <c r="W2460" s="56"/>
      <c r="X2460" s="51" t="str">
        <f t="shared" si="5"/>
        <v/>
      </c>
      <c r="Y2460" s="50" t="s">
        <v>482</v>
      </c>
      <c r="Z2460" s="49">
        <f t="shared" si="6"/>
        <v>0</v>
      </c>
    </row>
    <row r="2461" ht="22.5" customHeight="1">
      <c r="B2461" s="57"/>
      <c r="C2461" s="43" t="str">
        <f t="array" ref="C2461">IF(B2461="","",_xlfn.XLOOKUP(B2461,'Form responses 1'!$B$2:$B$2604,'Form responses 1'!$A$2:$A$2604,""))</f>
        <v/>
      </c>
      <c r="D2461" s="44" t="str">
        <f t="shared" si="3"/>
        <v/>
      </c>
      <c r="E2461" s="44" t="str">
        <f t="array" ref="E2461">IF(B2461="","",_xlfn.XLOOKUP(B2461,'Form responses 1'!$B$2:$B$2604,'Form responses 1'!$C$2:$C$2604,""))</f>
        <v/>
      </c>
      <c r="F2461" s="44" t="str">
        <f t="array" ref="F2461">IF(B2461="","",_xlfn.XLOOKUP(B2461,'Form responses 1'!$B$2:$B$2604,'Form responses 1'!$D$2:$D$2604,""))</f>
        <v/>
      </c>
      <c r="G2461" s="44" t="str">
        <f t="array" ref="G2461">IF(B2461="","",_xlfn.XLOOKUP(B2461,'Form responses 1'!$B$2:$B$2604,'Form responses 1'!$E$2:$E$2604,""))</f>
        <v/>
      </c>
      <c r="H2461" s="44" t="str">
        <f t="array" ref="H2461">IF(B2461="","",_xlfn.XLOOKUP(B2461,'Form responses 1'!$B$2:$B$2604,'Form responses 1'!$F$2:$F$2604,""))</f>
        <v/>
      </c>
      <c r="I2461" s="44" t="str">
        <f t="array" ref="I2461">IF(B2461="","",_xlfn.XLOOKUP(B2461,'Form responses 1'!$B$2:$B$2604,'Form responses 1'!$I$2:$I$2604,""))</f>
        <v/>
      </c>
      <c r="J2461" s="44" t="str">
        <f t="array" ref="J2461">IF(B2461="","",_xlfn.XLOOKUP(B2461,'Form responses 1'!$B$2:$B$2604,'Form responses 1'!$G$2:$G$2604,""))</f>
        <v/>
      </c>
      <c r="K2461" s="56"/>
      <c r="L2461" s="58" t="str">
        <f t="shared" si="7"/>
        <v/>
      </c>
      <c r="M2461" s="49"/>
      <c r="N2461" s="49"/>
      <c r="O2461" s="49"/>
      <c r="P2461" s="49"/>
      <c r="Q2461" s="49"/>
      <c r="R2461" s="49"/>
      <c r="S2461" s="49"/>
      <c r="T2461" s="49"/>
      <c r="U2461" s="49"/>
      <c r="V2461" s="49"/>
      <c r="W2461" s="56"/>
      <c r="X2461" s="51" t="str">
        <f t="shared" si="5"/>
        <v/>
      </c>
      <c r="Y2461" s="50" t="s">
        <v>482</v>
      </c>
      <c r="Z2461" s="49">
        <f t="shared" si="6"/>
        <v>0</v>
      </c>
    </row>
    <row r="2462" ht="22.5" customHeight="1">
      <c r="B2462" s="57"/>
      <c r="C2462" s="43" t="str">
        <f t="array" ref="C2462">IF(B2462="","",_xlfn.XLOOKUP(B2462,'Form responses 1'!$B$2:$B$2604,'Form responses 1'!$A$2:$A$2604,""))</f>
        <v/>
      </c>
      <c r="D2462" s="44" t="str">
        <f t="shared" si="3"/>
        <v/>
      </c>
      <c r="E2462" s="44" t="str">
        <f t="array" ref="E2462">IF(B2462="","",_xlfn.XLOOKUP(B2462,'Form responses 1'!$B$2:$B$2604,'Form responses 1'!$C$2:$C$2604,""))</f>
        <v/>
      </c>
      <c r="F2462" s="44" t="str">
        <f t="array" ref="F2462">IF(B2462="","",_xlfn.XLOOKUP(B2462,'Form responses 1'!$B$2:$B$2604,'Form responses 1'!$D$2:$D$2604,""))</f>
        <v/>
      </c>
      <c r="G2462" s="44" t="str">
        <f t="array" ref="G2462">IF(B2462="","",_xlfn.XLOOKUP(B2462,'Form responses 1'!$B$2:$B$2604,'Form responses 1'!$E$2:$E$2604,""))</f>
        <v/>
      </c>
      <c r="H2462" s="44" t="str">
        <f t="array" ref="H2462">IF(B2462="","",_xlfn.XLOOKUP(B2462,'Form responses 1'!$B$2:$B$2604,'Form responses 1'!$F$2:$F$2604,""))</f>
        <v/>
      </c>
      <c r="I2462" s="44" t="str">
        <f t="array" ref="I2462">IF(B2462="","",_xlfn.XLOOKUP(B2462,'Form responses 1'!$B$2:$B$2604,'Form responses 1'!$I$2:$I$2604,""))</f>
        <v/>
      </c>
      <c r="J2462" s="44" t="str">
        <f t="array" ref="J2462">IF(B2462="","",_xlfn.XLOOKUP(B2462,'Form responses 1'!$B$2:$B$2604,'Form responses 1'!$G$2:$G$2604,""))</f>
        <v/>
      </c>
      <c r="K2462" s="56"/>
      <c r="L2462" s="58" t="str">
        <f t="shared" si="7"/>
        <v/>
      </c>
      <c r="M2462" s="49"/>
      <c r="N2462" s="49"/>
      <c r="O2462" s="49"/>
      <c r="P2462" s="49"/>
      <c r="Q2462" s="49"/>
      <c r="R2462" s="49"/>
      <c r="S2462" s="49"/>
      <c r="T2462" s="49"/>
      <c r="U2462" s="49"/>
      <c r="V2462" s="49"/>
      <c r="W2462" s="56"/>
      <c r="X2462" s="51" t="str">
        <f t="shared" si="5"/>
        <v/>
      </c>
      <c r="Y2462" s="50" t="s">
        <v>482</v>
      </c>
      <c r="Z2462" s="49">
        <f t="shared" si="6"/>
        <v>0</v>
      </c>
    </row>
    <row r="2463" ht="22.5" customHeight="1">
      <c r="B2463" s="57"/>
      <c r="C2463" s="43" t="str">
        <f t="array" ref="C2463">IF(B2463="","",_xlfn.XLOOKUP(B2463,'Form responses 1'!$B$2:$B$2604,'Form responses 1'!$A$2:$A$2604,""))</f>
        <v/>
      </c>
      <c r="D2463" s="44" t="str">
        <f t="shared" si="3"/>
        <v/>
      </c>
      <c r="E2463" s="44" t="str">
        <f t="array" ref="E2463">IF(B2463="","",_xlfn.XLOOKUP(B2463,'Form responses 1'!$B$2:$B$2604,'Form responses 1'!$C$2:$C$2604,""))</f>
        <v/>
      </c>
      <c r="F2463" s="44" t="str">
        <f t="array" ref="F2463">IF(B2463="","",_xlfn.XLOOKUP(B2463,'Form responses 1'!$B$2:$B$2604,'Form responses 1'!$D$2:$D$2604,""))</f>
        <v/>
      </c>
      <c r="G2463" s="44" t="str">
        <f t="array" ref="G2463">IF(B2463="","",_xlfn.XLOOKUP(B2463,'Form responses 1'!$B$2:$B$2604,'Form responses 1'!$E$2:$E$2604,""))</f>
        <v/>
      </c>
      <c r="H2463" s="44" t="str">
        <f t="array" ref="H2463">IF(B2463="","",_xlfn.XLOOKUP(B2463,'Form responses 1'!$B$2:$B$2604,'Form responses 1'!$F$2:$F$2604,""))</f>
        <v/>
      </c>
      <c r="I2463" s="44" t="str">
        <f t="array" ref="I2463">IF(B2463="","",_xlfn.XLOOKUP(B2463,'Form responses 1'!$B$2:$B$2604,'Form responses 1'!$I$2:$I$2604,""))</f>
        <v/>
      </c>
      <c r="J2463" s="44" t="str">
        <f t="array" ref="J2463">IF(B2463="","",_xlfn.XLOOKUP(B2463,'Form responses 1'!$B$2:$B$2604,'Form responses 1'!$G$2:$G$2604,""))</f>
        <v/>
      </c>
      <c r="K2463" s="56"/>
      <c r="L2463" s="58" t="str">
        <f t="shared" si="7"/>
        <v/>
      </c>
      <c r="M2463" s="49"/>
      <c r="N2463" s="49"/>
      <c r="O2463" s="49"/>
      <c r="P2463" s="49"/>
      <c r="Q2463" s="49"/>
      <c r="R2463" s="49"/>
      <c r="S2463" s="49"/>
      <c r="T2463" s="49"/>
      <c r="U2463" s="49"/>
      <c r="V2463" s="49"/>
      <c r="W2463" s="56"/>
      <c r="X2463" s="51" t="str">
        <f t="shared" si="5"/>
        <v/>
      </c>
      <c r="Y2463" s="50" t="s">
        <v>482</v>
      </c>
      <c r="Z2463" s="49">
        <f t="shared" si="6"/>
        <v>0</v>
      </c>
    </row>
    <row r="2464" ht="22.5" customHeight="1">
      <c r="B2464" s="57"/>
      <c r="C2464" s="43" t="str">
        <f t="array" ref="C2464">IF(B2464="","",_xlfn.XLOOKUP(B2464,'Form responses 1'!$B$2:$B$2604,'Form responses 1'!$A$2:$A$2604,""))</f>
        <v/>
      </c>
      <c r="D2464" s="44" t="str">
        <f t="shared" si="3"/>
        <v/>
      </c>
      <c r="E2464" s="44" t="str">
        <f t="array" ref="E2464">IF(B2464="","",_xlfn.XLOOKUP(B2464,'Form responses 1'!$B$2:$B$2604,'Form responses 1'!$C$2:$C$2604,""))</f>
        <v/>
      </c>
      <c r="F2464" s="44" t="str">
        <f t="array" ref="F2464">IF(B2464="","",_xlfn.XLOOKUP(B2464,'Form responses 1'!$B$2:$B$2604,'Form responses 1'!$D$2:$D$2604,""))</f>
        <v/>
      </c>
      <c r="G2464" s="44" t="str">
        <f t="array" ref="G2464">IF(B2464="","",_xlfn.XLOOKUP(B2464,'Form responses 1'!$B$2:$B$2604,'Form responses 1'!$E$2:$E$2604,""))</f>
        <v/>
      </c>
      <c r="H2464" s="44" t="str">
        <f t="array" ref="H2464">IF(B2464="","",_xlfn.XLOOKUP(B2464,'Form responses 1'!$B$2:$B$2604,'Form responses 1'!$F$2:$F$2604,""))</f>
        <v/>
      </c>
      <c r="I2464" s="44" t="str">
        <f t="array" ref="I2464">IF(B2464="","",_xlfn.XLOOKUP(B2464,'Form responses 1'!$B$2:$B$2604,'Form responses 1'!$I$2:$I$2604,""))</f>
        <v/>
      </c>
      <c r="J2464" s="44" t="str">
        <f t="array" ref="J2464">IF(B2464="","",_xlfn.XLOOKUP(B2464,'Form responses 1'!$B$2:$B$2604,'Form responses 1'!$G$2:$G$2604,""))</f>
        <v/>
      </c>
      <c r="K2464" s="56"/>
      <c r="L2464" s="58" t="str">
        <f t="shared" si="7"/>
        <v/>
      </c>
      <c r="M2464" s="49"/>
      <c r="N2464" s="49"/>
      <c r="O2464" s="49"/>
      <c r="P2464" s="49"/>
      <c r="Q2464" s="49"/>
      <c r="R2464" s="49"/>
      <c r="S2464" s="49"/>
      <c r="T2464" s="49"/>
      <c r="U2464" s="49"/>
      <c r="V2464" s="49"/>
      <c r="W2464" s="56"/>
      <c r="X2464" s="51" t="str">
        <f t="shared" si="5"/>
        <v/>
      </c>
      <c r="Y2464" s="50" t="s">
        <v>482</v>
      </c>
      <c r="Z2464" s="49">
        <f t="shared" si="6"/>
        <v>0</v>
      </c>
    </row>
    <row r="2465" ht="22.5" customHeight="1">
      <c r="B2465" s="57"/>
      <c r="C2465" s="43" t="str">
        <f t="array" ref="C2465">IF(B2465="","",_xlfn.XLOOKUP(B2465,'Form responses 1'!$B$2:$B$2604,'Form responses 1'!$A$2:$A$2604,""))</f>
        <v/>
      </c>
      <c r="D2465" s="44" t="str">
        <f t="shared" si="3"/>
        <v/>
      </c>
      <c r="E2465" s="44" t="str">
        <f t="array" ref="E2465">IF(B2465="","",_xlfn.XLOOKUP(B2465,'Form responses 1'!$B$2:$B$2604,'Form responses 1'!$C$2:$C$2604,""))</f>
        <v/>
      </c>
      <c r="F2465" s="44" t="str">
        <f t="array" ref="F2465">IF(B2465="","",_xlfn.XLOOKUP(B2465,'Form responses 1'!$B$2:$B$2604,'Form responses 1'!$D$2:$D$2604,""))</f>
        <v/>
      </c>
      <c r="G2465" s="44" t="str">
        <f t="array" ref="G2465">IF(B2465="","",_xlfn.XLOOKUP(B2465,'Form responses 1'!$B$2:$B$2604,'Form responses 1'!$E$2:$E$2604,""))</f>
        <v/>
      </c>
      <c r="H2465" s="44" t="str">
        <f t="array" ref="H2465">IF(B2465="","",_xlfn.XLOOKUP(B2465,'Form responses 1'!$B$2:$B$2604,'Form responses 1'!$F$2:$F$2604,""))</f>
        <v/>
      </c>
      <c r="I2465" s="44" t="str">
        <f t="array" ref="I2465">IF(B2465="","",_xlfn.XLOOKUP(B2465,'Form responses 1'!$B$2:$B$2604,'Form responses 1'!$I$2:$I$2604,""))</f>
        <v/>
      </c>
      <c r="J2465" s="44" t="str">
        <f t="array" ref="J2465">IF(B2465="","",_xlfn.XLOOKUP(B2465,'Form responses 1'!$B$2:$B$2604,'Form responses 1'!$G$2:$G$2604,""))</f>
        <v/>
      </c>
      <c r="K2465" s="56"/>
      <c r="L2465" s="58" t="str">
        <f t="shared" si="7"/>
        <v/>
      </c>
      <c r="M2465" s="49"/>
      <c r="N2465" s="49"/>
      <c r="O2465" s="49"/>
      <c r="P2465" s="49"/>
      <c r="Q2465" s="49"/>
      <c r="R2465" s="49"/>
      <c r="S2465" s="49"/>
      <c r="T2465" s="49"/>
      <c r="U2465" s="49"/>
      <c r="V2465" s="49"/>
      <c r="W2465" s="56"/>
      <c r="X2465" s="51" t="str">
        <f t="shared" si="5"/>
        <v/>
      </c>
      <c r="Y2465" s="50" t="s">
        <v>482</v>
      </c>
      <c r="Z2465" s="49">
        <f t="shared" si="6"/>
        <v>0</v>
      </c>
    </row>
    <row r="2466" ht="22.5" customHeight="1">
      <c r="B2466" s="57"/>
      <c r="C2466" s="43" t="str">
        <f t="array" ref="C2466">IF(B2466="","",_xlfn.XLOOKUP(B2466,'Form responses 1'!$B$2:$B$2604,'Form responses 1'!$A$2:$A$2604,""))</f>
        <v/>
      </c>
      <c r="D2466" s="44" t="str">
        <f t="shared" si="3"/>
        <v/>
      </c>
      <c r="E2466" s="44" t="str">
        <f t="array" ref="E2466">IF(B2466="","",_xlfn.XLOOKUP(B2466,'Form responses 1'!$B$2:$B$2604,'Form responses 1'!$C$2:$C$2604,""))</f>
        <v/>
      </c>
      <c r="F2466" s="44" t="str">
        <f t="array" ref="F2466">IF(B2466="","",_xlfn.XLOOKUP(B2466,'Form responses 1'!$B$2:$B$2604,'Form responses 1'!$D$2:$D$2604,""))</f>
        <v/>
      </c>
      <c r="G2466" s="44" t="str">
        <f t="array" ref="G2466">IF(B2466="","",_xlfn.XLOOKUP(B2466,'Form responses 1'!$B$2:$B$2604,'Form responses 1'!$E$2:$E$2604,""))</f>
        <v/>
      </c>
      <c r="H2466" s="44" t="str">
        <f t="array" ref="H2466">IF(B2466="","",_xlfn.XLOOKUP(B2466,'Form responses 1'!$B$2:$B$2604,'Form responses 1'!$F$2:$F$2604,""))</f>
        <v/>
      </c>
      <c r="I2466" s="44" t="str">
        <f t="array" ref="I2466">IF(B2466="","",_xlfn.XLOOKUP(B2466,'Form responses 1'!$B$2:$B$2604,'Form responses 1'!$I$2:$I$2604,""))</f>
        <v/>
      </c>
      <c r="J2466" s="44" t="str">
        <f t="array" ref="J2466">IF(B2466="","",_xlfn.XLOOKUP(B2466,'Form responses 1'!$B$2:$B$2604,'Form responses 1'!$G$2:$G$2604,""))</f>
        <v/>
      </c>
      <c r="K2466" s="56"/>
      <c r="L2466" s="58" t="str">
        <f t="shared" si="7"/>
        <v/>
      </c>
      <c r="M2466" s="49"/>
      <c r="N2466" s="49"/>
      <c r="O2466" s="49"/>
      <c r="P2466" s="49"/>
      <c r="Q2466" s="49"/>
      <c r="R2466" s="49"/>
      <c r="S2466" s="49"/>
      <c r="T2466" s="49"/>
      <c r="U2466" s="49"/>
      <c r="V2466" s="49"/>
      <c r="W2466" s="56"/>
      <c r="X2466" s="51" t="str">
        <f t="shared" si="5"/>
        <v/>
      </c>
      <c r="Y2466" s="50" t="s">
        <v>482</v>
      </c>
      <c r="Z2466" s="49">
        <f t="shared" si="6"/>
        <v>0</v>
      </c>
    </row>
    <row r="2467" ht="22.5" customHeight="1">
      <c r="B2467" s="57"/>
      <c r="C2467" s="43" t="str">
        <f t="array" ref="C2467">IF(B2467="","",_xlfn.XLOOKUP(B2467,'Form responses 1'!$B$2:$B$2604,'Form responses 1'!$A$2:$A$2604,""))</f>
        <v/>
      </c>
      <c r="D2467" s="44" t="str">
        <f t="shared" si="3"/>
        <v/>
      </c>
      <c r="E2467" s="44" t="str">
        <f t="array" ref="E2467">IF(B2467="","",_xlfn.XLOOKUP(B2467,'Form responses 1'!$B$2:$B$2604,'Form responses 1'!$C$2:$C$2604,""))</f>
        <v/>
      </c>
      <c r="F2467" s="44" t="str">
        <f t="array" ref="F2467">IF(B2467="","",_xlfn.XLOOKUP(B2467,'Form responses 1'!$B$2:$B$2604,'Form responses 1'!$D$2:$D$2604,""))</f>
        <v/>
      </c>
      <c r="G2467" s="44" t="str">
        <f t="array" ref="G2467">IF(B2467="","",_xlfn.XLOOKUP(B2467,'Form responses 1'!$B$2:$B$2604,'Form responses 1'!$E$2:$E$2604,""))</f>
        <v/>
      </c>
      <c r="H2467" s="44" t="str">
        <f t="array" ref="H2467">IF(B2467="","",_xlfn.XLOOKUP(B2467,'Form responses 1'!$B$2:$B$2604,'Form responses 1'!$F$2:$F$2604,""))</f>
        <v/>
      </c>
      <c r="I2467" s="44" t="str">
        <f t="array" ref="I2467">IF(B2467="","",_xlfn.XLOOKUP(B2467,'Form responses 1'!$B$2:$B$2604,'Form responses 1'!$I$2:$I$2604,""))</f>
        <v/>
      </c>
      <c r="J2467" s="44" t="str">
        <f t="array" ref="J2467">IF(B2467="","",_xlfn.XLOOKUP(B2467,'Form responses 1'!$B$2:$B$2604,'Form responses 1'!$G$2:$G$2604,""))</f>
        <v/>
      </c>
      <c r="K2467" s="56"/>
      <c r="L2467" s="58" t="str">
        <f t="shared" si="7"/>
        <v/>
      </c>
      <c r="M2467" s="49"/>
      <c r="N2467" s="49"/>
      <c r="O2467" s="49"/>
      <c r="P2467" s="49"/>
      <c r="Q2467" s="49"/>
      <c r="R2467" s="49"/>
      <c r="S2467" s="49"/>
      <c r="T2467" s="49"/>
      <c r="U2467" s="49"/>
      <c r="V2467" s="49"/>
      <c r="W2467" s="56"/>
      <c r="X2467" s="51" t="str">
        <f t="shared" si="5"/>
        <v/>
      </c>
      <c r="Y2467" s="50" t="s">
        <v>482</v>
      </c>
      <c r="Z2467" s="49">
        <f t="shared" si="6"/>
        <v>0</v>
      </c>
    </row>
    <row r="2468" ht="22.5" customHeight="1">
      <c r="B2468" s="57"/>
      <c r="C2468" s="43" t="str">
        <f t="array" ref="C2468">IF(B2468="","",_xlfn.XLOOKUP(B2468,'Form responses 1'!$B$2:$B$2604,'Form responses 1'!$A$2:$A$2604,""))</f>
        <v/>
      </c>
      <c r="D2468" s="44" t="str">
        <f t="shared" si="3"/>
        <v/>
      </c>
      <c r="E2468" s="44" t="str">
        <f t="array" ref="E2468">IF(B2468="","",_xlfn.XLOOKUP(B2468,'Form responses 1'!$B$2:$B$2604,'Form responses 1'!$C$2:$C$2604,""))</f>
        <v/>
      </c>
      <c r="F2468" s="44" t="str">
        <f t="array" ref="F2468">IF(B2468="","",_xlfn.XLOOKUP(B2468,'Form responses 1'!$B$2:$B$2604,'Form responses 1'!$D$2:$D$2604,""))</f>
        <v/>
      </c>
      <c r="G2468" s="44" t="str">
        <f t="array" ref="G2468">IF(B2468="","",_xlfn.XLOOKUP(B2468,'Form responses 1'!$B$2:$B$2604,'Form responses 1'!$E$2:$E$2604,""))</f>
        <v/>
      </c>
      <c r="H2468" s="44" t="str">
        <f t="array" ref="H2468">IF(B2468="","",_xlfn.XLOOKUP(B2468,'Form responses 1'!$B$2:$B$2604,'Form responses 1'!$F$2:$F$2604,""))</f>
        <v/>
      </c>
      <c r="I2468" s="44" t="str">
        <f t="array" ref="I2468">IF(B2468="","",_xlfn.XLOOKUP(B2468,'Form responses 1'!$B$2:$B$2604,'Form responses 1'!$I$2:$I$2604,""))</f>
        <v/>
      </c>
      <c r="J2468" s="44" t="str">
        <f t="array" ref="J2468">IF(B2468="","",_xlfn.XLOOKUP(B2468,'Form responses 1'!$B$2:$B$2604,'Form responses 1'!$G$2:$G$2604,""))</f>
        <v/>
      </c>
      <c r="K2468" s="56"/>
      <c r="L2468" s="58" t="str">
        <f t="shared" si="7"/>
        <v/>
      </c>
      <c r="M2468" s="49"/>
      <c r="N2468" s="49"/>
      <c r="O2468" s="49"/>
      <c r="P2468" s="49"/>
      <c r="Q2468" s="49"/>
      <c r="R2468" s="49"/>
      <c r="S2468" s="49"/>
      <c r="T2468" s="49"/>
      <c r="U2468" s="49"/>
      <c r="V2468" s="49"/>
      <c r="W2468" s="56"/>
      <c r="X2468" s="51" t="str">
        <f t="shared" si="5"/>
        <v/>
      </c>
      <c r="Y2468" s="50" t="s">
        <v>482</v>
      </c>
      <c r="Z2468" s="49">
        <f t="shared" si="6"/>
        <v>0</v>
      </c>
    </row>
    <row r="2469" ht="22.5" customHeight="1">
      <c r="B2469" s="57"/>
      <c r="C2469" s="43" t="str">
        <f t="array" ref="C2469">IF(B2469="","",_xlfn.XLOOKUP(B2469,'Form responses 1'!$B$2:$B$2604,'Form responses 1'!$A$2:$A$2604,""))</f>
        <v/>
      </c>
      <c r="D2469" s="44" t="str">
        <f t="shared" si="3"/>
        <v/>
      </c>
      <c r="E2469" s="44" t="str">
        <f t="array" ref="E2469">IF(B2469="","",_xlfn.XLOOKUP(B2469,'Form responses 1'!$B$2:$B$2604,'Form responses 1'!$C$2:$C$2604,""))</f>
        <v/>
      </c>
      <c r="F2469" s="44" t="str">
        <f t="array" ref="F2469">IF(B2469="","",_xlfn.XLOOKUP(B2469,'Form responses 1'!$B$2:$B$2604,'Form responses 1'!$D$2:$D$2604,""))</f>
        <v/>
      </c>
      <c r="G2469" s="44" t="str">
        <f t="array" ref="G2469">IF(B2469="","",_xlfn.XLOOKUP(B2469,'Form responses 1'!$B$2:$B$2604,'Form responses 1'!$E$2:$E$2604,""))</f>
        <v/>
      </c>
      <c r="H2469" s="44" t="str">
        <f t="array" ref="H2469">IF(B2469="","",_xlfn.XLOOKUP(B2469,'Form responses 1'!$B$2:$B$2604,'Form responses 1'!$F$2:$F$2604,""))</f>
        <v/>
      </c>
      <c r="I2469" s="44" t="str">
        <f t="array" ref="I2469">IF(B2469="","",_xlfn.XLOOKUP(B2469,'Form responses 1'!$B$2:$B$2604,'Form responses 1'!$I$2:$I$2604,""))</f>
        <v/>
      </c>
      <c r="J2469" s="44" t="str">
        <f t="array" ref="J2469">IF(B2469="","",_xlfn.XLOOKUP(B2469,'Form responses 1'!$B$2:$B$2604,'Form responses 1'!$G$2:$G$2604,""))</f>
        <v/>
      </c>
      <c r="K2469" s="56"/>
      <c r="L2469" s="58" t="str">
        <f t="shared" si="7"/>
        <v/>
      </c>
      <c r="M2469" s="49"/>
      <c r="N2469" s="49"/>
      <c r="O2469" s="49"/>
      <c r="P2469" s="49"/>
      <c r="Q2469" s="49"/>
      <c r="R2469" s="49"/>
      <c r="S2469" s="49"/>
      <c r="T2469" s="49"/>
      <c r="U2469" s="49"/>
      <c r="V2469" s="49"/>
      <c r="W2469" s="56"/>
      <c r="X2469" s="51" t="str">
        <f t="shared" si="5"/>
        <v/>
      </c>
      <c r="Y2469" s="50" t="s">
        <v>482</v>
      </c>
      <c r="Z2469" s="49">
        <f t="shared" si="6"/>
        <v>0</v>
      </c>
    </row>
    <row r="2470" ht="22.5" customHeight="1">
      <c r="B2470" s="57"/>
      <c r="C2470" s="43" t="str">
        <f t="array" ref="C2470">IF(B2470="","",_xlfn.XLOOKUP(B2470,'Form responses 1'!$B$2:$B$2604,'Form responses 1'!$A$2:$A$2604,""))</f>
        <v/>
      </c>
      <c r="D2470" s="44" t="str">
        <f t="shared" si="3"/>
        <v/>
      </c>
      <c r="E2470" s="44" t="str">
        <f t="array" ref="E2470">IF(B2470="","",_xlfn.XLOOKUP(B2470,'Form responses 1'!$B$2:$B$2604,'Form responses 1'!$C$2:$C$2604,""))</f>
        <v/>
      </c>
      <c r="F2470" s="44" t="str">
        <f t="array" ref="F2470">IF(B2470="","",_xlfn.XLOOKUP(B2470,'Form responses 1'!$B$2:$B$2604,'Form responses 1'!$D$2:$D$2604,""))</f>
        <v/>
      </c>
      <c r="G2470" s="44" t="str">
        <f t="array" ref="G2470">IF(B2470="","",_xlfn.XLOOKUP(B2470,'Form responses 1'!$B$2:$B$2604,'Form responses 1'!$E$2:$E$2604,""))</f>
        <v/>
      </c>
      <c r="H2470" s="44" t="str">
        <f t="array" ref="H2470">IF(B2470="","",_xlfn.XLOOKUP(B2470,'Form responses 1'!$B$2:$B$2604,'Form responses 1'!$F$2:$F$2604,""))</f>
        <v/>
      </c>
      <c r="I2470" s="44" t="str">
        <f t="array" ref="I2470">IF(B2470="","",_xlfn.XLOOKUP(B2470,'Form responses 1'!$B$2:$B$2604,'Form responses 1'!$I$2:$I$2604,""))</f>
        <v/>
      </c>
      <c r="J2470" s="44" t="str">
        <f t="array" ref="J2470">IF(B2470="","",_xlfn.XLOOKUP(B2470,'Form responses 1'!$B$2:$B$2604,'Form responses 1'!$G$2:$G$2604,""))</f>
        <v/>
      </c>
      <c r="K2470" s="56"/>
      <c r="L2470" s="58" t="str">
        <f t="shared" si="7"/>
        <v/>
      </c>
      <c r="M2470" s="49"/>
      <c r="N2470" s="49"/>
      <c r="O2470" s="49"/>
      <c r="P2470" s="49"/>
      <c r="Q2470" s="49"/>
      <c r="R2470" s="49"/>
      <c r="S2470" s="49"/>
      <c r="T2470" s="49"/>
      <c r="U2470" s="49"/>
      <c r="V2470" s="49"/>
      <c r="W2470" s="56"/>
      <c r="X2470" s="51" t="str">
        <f t="shared" si="5"/>
        <v/>
      </c>
      <c r="Y2470" s="50" t="s">
        <v>482</v>
      </c>
      <c r="Z2470" s="49">
        <f t="shared" si="6"/>
        <v>0</v>
      </c>
    </row>
    <row r="2471" ht="22.5" customHeight="1">
      <c r="B2471" s="57"/>
      <c r="C2471" s="43" t="str">
        <f t="array" ref="C2471">IF(B2471="","",_xlfn.XLOOKUP(B2471,'Form responses 1'!$B$2:$B$2604,'Form responses 1'!$A$2:$A$2604,""))</f>
        <v/>
      </c>
      <c r="D2471" s="44" t="str">
        <f t="shared" si="3"/>
        <v/>
      </c>
      <c r="E2471" s="44" t="str">
        <f t="array" ref="E2471">IF(B2471="","",_xlfn.XLOOKUP(B2471,'Form responses 1'!$B$2:$B$2604,'Form responses 1'!$C$2:$C$2604,""))</f>
        <v/>
      </c>
      <c r="F2471" s="44" t="str">
        <f t="array" ref="F2471">IF(B2471="","",_xlfn.XLOOKUP(B2471,'Form responses 1'!$B$2:$B$2604,'Form responses 1'!$D$2:$D$2604,""))</f>
        <v/>
      </c>
      <c r="G2471" s="44" t="str">
        <f t="array" ref="G2471">IF(B2471="","",_xlfn.XLOOKUP(B2471,'Form responses 1'!$B$2:$B$2604,'Form responses 1'!$E$2:$E$2604,""))</f>
        <v/>
      </c>
      <c r="H2471" s="44" t="str">
        <f t="array" ref="H2471">IF(B2471="","",_xlfn.XLOOKUP(B2471,'Form responses 1'!$B$2:$B$2604,'Form responses 1'!$F$2:$F$2604,""))</f>
        <v/>
      </c>
      <c r="I2471" s="44" t="str">
        <f t="array" ref="I2471">IF(B2471="","",_xlfn.XLOOKUP(B2471,'Form responses 1'!$B$2:$B$2604,'Form responses 1'!$I$2:$I$2604,""))</f>
        <v/>
      </c>
      <c r="J2471" s="44" t="str">
        <f t="array" ref="J2471">IF(B2471="","",_xlfn.XLOOKUP(B2471,'Form responses 1'!$B$2:$B$2604,'Form responses 1'!$G$2:$G$2604,""))</f>
        <v/>
      </c>
      <c r="K2471" s="56"/>
      <c r="L2471" s="58" t="str">
        <f t="shared" si="7"/>
        <v/>
      </c>
      <c r="M2471" s="49"/>
      <c r="N2471" s="49"/>
      <c r="O2471" s="49"/>
      <c r="P2471" s="49"/>
      <c r="Q2471" s="49"/>
      <c r="R2471" s="49"/>
      <c r="S2471" s="49"/>
      <c r="T2471" s="49"/>
      <c r="U2471" s="49"/>
      <c r="V2471" s="49"/>
      <c r="W2471" s="56"/>
      <c r="X2471" s="51" t="str">
        <f t="shared" si="5"/>
        <v/>
      </c>
      <c r="Y2471" s="50" t="s">
        <v>482</v>
      </c>
      <c r="Z2471" s="49">
        <f t="shared" si="6"/>
        <v>0</v>
      </c>
    </row>
    <row r="2472" ht="22.5" customHeight="1">
      <c r="B2472" s="57"/>
      <c r="C2472" s="43" t="str">
        <f t="array" ref="C2472">IF(B2472="","",_xlfn.XLOOKUP(B2472,'Form responses 1'!$B$2:$B$2604,'Form responses 1'!$A$2:$A$2604,""))</f>
        <v/>
      </c>
      <c r="D2472" s="44" t="str">
        <f t="shared" si="3"/>
        <v/>
      </c>
      <c r="E2472" s="44" t="str">
        <f t="array" ref="E2472">IF(B2472="","",_xlfn.XLOOKUP(B2472,'Form responses 1'!$B$2:$B$2604,'Form responses 1'!$C$2:$C$2604,""))</f>
        <v/>
      </c>
      <c r="F2472" s="44" t="str">
        <f t="array" ref="F2472">IF(B2472="","",_xlfn.XLOOKUP(B2472,'Form responses 1'!$B$2:$B$2604,'Form responses 1'!$D$2:$D$2604,""))</f>
        <v/>
      </c>
      <c r="G2472" s="44" t="str">
        <f t="array" ref="G2472">IF(B2472="","",_xlfn.XLOOKUP(B2472,'Form responses 1'!$B$2:$B$2604,'Form responses 1'!$E$2:$E$2604,""))</f>
        <v/>
      </c>
      <c r="H2472" s="44" t="str">
        <f t="array" ref="H2472">IF(B2472="","",_xlfn.XLOOKUP(B2472,'Form responses 1'!$B$2:$B$2604,'Form responses 1'!$F$2:$F$2604,""))</f>
        <v/>
      </c>
      <c r="I2472" s="44" t="str">
        <f t="array" ref="I2472">IF(B2472="","",_xlfn.XLOOKUP(B2472,'Form responses 1'!$B$2:$B$2604,'Form responses 1'!$I$2:$I$2604,""))</f>
        <v/>
      </c>
      <c r="J2472" s="44" t="str">
        <f t="array" ref="J2472">IF(B2472="","",_xlfn.XLOOKUP(B2472,'Form responses 1'!$B$2:$B$2604,'Form responses 1'!$G$2:$G$2604,""))</f>
        <v/>
      </c>
      <c r="K2472" s="56"/>
      <c r="L2472" s="58" t="str">
        <f t="shared" si="7"/>
        <v/>
      </c>
      <c r="M2472" s="49"/>
      <c r="N2472" s="49"/>
      <c r="O2472" s="49"/>
      <c r="P2472" s="49"/>
      <c r="Q2472" s="49"/>
      <c r="R2472" s="49"/>
      <c r="S2472" s="49"/>
      <c r="T2472" s="49"/>
      <c r="U2472" s="49"/>
      <c r="V2472" s="49"/>
      <c r="W2472" s="56"/>
      <c r="X2472" s="51" t="str">
        <f t="shared" si="5"/>
        <v/>
      </c>
      <c r="Y2472" s="50" t="s">
        <v>482</v>
      </c>
      <c r="Z2472" s="49">
        <f t="shared" si="6"/>
        <v>0</v>
      </c>
    </row>
    <row r="2473" ht="22.5" customHeight="1">
      <c r="B2473" s="57"/>
      <c r="C2473" s="43" t="str">
        <f t="array" ref="C2473">IF(B2473="","",_xlfn.XLOOKUP(B2473,'Form responses 1'!$B$2:$B$2604,'Form responses 1'!$A$2:$A$2604,""))</f>
        <v/>
      </c>
      <c r="D2473" s="44" t="str">
        <f t="shared" si="3"/>
        <v/>
      </c>
      <c r="E2473" s="44" t="str">
        <f t="array" ref="E2473">IF(B2473="","",_xlfn.XLOOKUP(B2473,'Form responses 1'!$B$2:$B$2604,'Form responses 1'!$C$2:$C$2604,""))</f>
        <v/>
      </c>
      <c r="F2473" s="44" t="str">
        <f t="array" ref="F2473">IF(B2473="","",_xlfn.XLOOKUP(B2473,'Form responses 1'!$B$2:$B$2604,'Form responses 1'!$D$2:$D$2604,""))</f>
        <v/>
      </c>
      <c r="G2473" s="44" t="str">
        <f t="array" ref="G2473">IF(B2473="","",_xlfn.XLOOKUP(B2473,'Form responses 1'!$B$2:$B$2604,'Form responses 1'!$E$2:$E$2604,""))</f>
        <v/>
      </c>
      <c r="H2473" s="44" t="str">
        <f t="array" ref="H2473">IF(B2473="","",_xlfn.XLOOKUP(B2473,'Form responses 1'!$B$2:$B$2604,'Form responses 1'!$F$2:$F$2604,""))</f>
        <v/>
      </c>
      <c r="I2473" s="44" t="str">
        <f t="array" ref="I2473">IF(B2473="","",_xlfn.XLOOKUP(B2473,'Form responses 1'!$B$2:$B$2604,'Form responses 1'!$I$2:$I$2604,""))</f>
        <v/>
      </c>
      <c r="J2473" s="44" t="str">
        <f t="array" ref="J2473">IF(B2473="","",_xlfn.XLOOKUP(B2473,'Form responses 1'!$B$2:$B$2604,'Form responses 1'!$G$2:$G$2604,""))</f>
        <v/>
      </c>
      <c r="K2473" s="56"/>
      <c r="L2473" s="58" t="str">
        <f t="shared" si="7"/>
        <v/>
      </c>
      <c r="M2473" s="49"/>
      <c r="N2473" s="49"/>
      <c r="O2473" s="49"/>
      <c r="P2473" s="49"/>
      <c r="Q2473" s="49"/>
      <c r="R2473" s="49"/>
      <c r="S2473" s="49"/>
      <c r="T2473" s="49"/>
      <c r="U2473" s="49"/>
      <c r="V2473" s="49"/>
      <c r="W2473" s="56"/>
      <c r="X2473" s="51" t="str">
        <f t="shared" si="5"/>
        <v/>
      </c>
      <c r="Y2473" s="50" t="s">
        <v>482</v>
      </c>
      <c r="Z2473" s="49">
        <f t="shared" si="6"/>
        <v>0</v>
      </c>
    </row>
    <row r="2474" ht="22.5" customHeight="1">
      <c r="B2474" s="57"/>
      <c r="C2474" s="43" t="str">
        <f t="array" ref="C2474">IF(B2474="","",_xlfn.XLOOKUP(B2474,'Form responses 1'!$B$2:$B$2604,'Form responses 1'!$A$2:$A$2604,""))</f>
        <v/>
      </c>
      <c r="D2474" s="44" t="str">
        <f t="shared" si="3"/>
        <v/>
      </c>
      <c r="E2474" s="44" t="str">
        <f t="array" ref="E2474">IF(B2474="","",_xlfn.XLOOKUP(B2474,'Form responses 1'!$B$2:$B$2604,'Form responses 1'!$C$2:$C$2604,""))</f>
        <v/>
      </c>
      <c r="F2474" s="44" t="str">
        <f t="array" ref="F2474">IF(B2474="","",_xlfn.XLOOKUP(B2474,'Form responses 1'!$B$2:$B$2604,'Form responses 1'!$D$2:$D$2604,""))</f>
        <v/>
      </c>
      <c r="G2474" s="44" t="str">
        <f t="array" ref="G2474">IF(B2474="","",_xlfn.XLOOKUP(B2474,'Form responses 1'!$B$2:$B$2604,'Form responses 1'!$E$2:$E$2604,""))</f>
        <v/>
      </c>
      <c r="H2474" s="44" t="str">
        <f t="array" ref="H2474">IF(B2474="","",_xlfn.XLOOKUP(B2474,'Form responses 1'!$B$2:$B$2604,'Form responses 1'!$F$2:$F$2604,""))</f>
        <v/>
      </c>
      <c r="I2474" s="44" t="str">
        <f t="array" ref="I2474">IF(B2474="","",_xlfn.XLOOKUP(B2474,'Form responses 1'!$B$2:$B$2604,'Form responses 1'!$I$2:$I$2604,""))</f>
        <v/>
      </c>
      <c r="J2474" s="44" t="str">
        <f t="array" ref="J2474">IF(B2474="","",_xlfn.XLOOKUP(B2474,'Form responses 1'!$B$2:$B$2604,'Form responses 1'!$G$2:$G$2604,""))</f>
        <v/>
      </c>
      <c r="K2474" s="56"/>
      <c r="L2474" s="58" t="str">
        <f t="shared" si="7"/>
        <v/>
      </c>
      <c r="M2474" s="49"/>
      <c r="N2474" s="49"/>
      <c r="O2474" s="49"/>
      <c r="P2474" s="49"/>
      <c r="Q2474" s="49"/>
      <c r="R2474" s="49"/>
      <c r="S2474" s="49"/>
      <c r="T2474" s="49"/>
      <c r="U2474" s="49"/>
      <c r="V2474" s="49"/>
      <c r="W2474" s="56"/>
      <c r="X2474" s="51" t="str">
        <f t="shared" si="5"/>
        <v/>
      </c>
      <c r="Y2474" s="50" t="s">
        <v>482</v>
      </c>
      <c r="Z2474" s="49">
        <f t="shared" si="6"/>
        <v>0</v>
      </c>
    </row>
    <row r="2475" ht="22.5" customHeight="1">
      <c r="B2475" s="57"/>
      <c r="C2475" s="43" t="str">
        <f t="array" ref="C2475">IF(B2475="","",_xlfn.XLOOKUP(B2475,'Form responses 1'!$B$2:$B$2604,'Form responses 1'!$A$2:$A$2604,""))</f>
        <v/>
      </c>
      <c r="D2475" s="44" t="str">
        <f t="shared" si="3"/>
        <v/>
      </c>
      <c r="E2475" s="44" t="str">
        <f t="array" ref="E2475">IF(B2475="","",_xlfn.XLOOKUP(B2475,'Form responses 1'!$B$2:$B$2604,'Form responses 1'!$C$2:$C$2604,""))</f>
        <v/>
      </c>
      <c r="F2475" s="44" t="str">
        <f t="array" ref="F2475">IF(B2475="","",_xlfn.XLOOKUP(B2475,'Form responses 1'!$B$2:$B$2604,'Form responses 1'!$D$2:$D$2604,""))</f>
        <v/>
      </c>
      <c r="G2475" s="44" t="str">
        <f t="array" ref="G2475">IF(B2475="","",_xlfn.XLOOKUP(B2475,'Form responses 1'!$B$2:$B$2604,'Form responses 1'!$E$2:$E$2604,""))</f>
        <v/>
      </c>
      <c r="H2475" s="44" t="str">
        <f t="array" ref="H2475">IF(B2475="","",_xlfn.XLOOKUP(B2475,'Form responses 1'!$B$2:$B$2604,'Form responses 1'!$F$2:$F$2604,""))</f>
        <v/>
      </c>
      <c r="I2475" s="44" t="str">
        <f t="array" ref="I2475">IF(B2475="","",_xlfn.XLOOKUP(B2475,'Form responses 1'!$B$2:$B$2604,'Form responses 1'!$I$2:$I$2604,""))</f>
        <v/>
      </c>
      <c r="J2475" s="44" t="str">
        <f t="array" ref="J2475">IF(B2475="","",_xlfn.XLOOKUP(B2475,'Form responses 1'!$B$2:$B$2604,'Form responses 1'!$G$2:$G$2604,""))</f>
        <v/>
      </c>
      <c r="K2475" s="56"/>
      <c r="L2475" s="58" t="str">
        <f t="shared" si="7"/>
        <v/>
      </c>
      <c r="M2475" s="49"/>
      <c r="N2475" s="49"/>
      <c r="O2475" s="49"/>
      <c r="P2475" s="49"/>
      <c r="Q2475" s="49"/>
      <c r="R2475" s="49"/>
      <c r="S2475" s="49"/>
      <c r="T2475" s="49"/>
      <c r="U2475" s="49"/>
      <c r="V2475" s="49"/>
      <c r="W2475" s="56"/>
      <c r="X2475" s="51" t="str">
        <f t="shared" si="5"/>
        <v/>
      </c>
      <c r="Y2475" s="50" t="s">
        <v>482</v>
      </c>
      <c r="Z2475" s="49">
        <f t="shared" si="6"/>
        <v>0</v>
      </c>
    </row>
    <row r="2476" ht="22.5" customHeight="1">
      <c r="B2476" s="57"/>
      <c r="C2476" s="43" t="str">
        <f t="array" ref="C2476">IF(B2476="","",_xlfn.XLOOKUP(B2476,'Form responses 1'!$B$2:$B$2604,'Form responses 1'!$A$2:$A$2604,""))</f>
        <v/>
      </c>
      <c r="D2476" s="44" t="str">
        <f t="shared" si="3"/>
        <v/>
      </c>
      <c r="E2476" s="44" t="str">
        <f t="array" ref="E2476">IF(B2476="","",_xlfn.XLOOKUP(B2476,'Form responses 1'!$B$2:$B$2604,'Form responses 1'!$C$2:$C$2604,""))</f>
        <v/>
      </c>
      <c r="F2476" s="44" t="str">
        <f t="array" ref="F2476">IF(B2476="","",_xlfn.XLOOKUP(B2476,'Form responses 1'!$B$2:$B$2604,'Form responses 1'!$D$2:$D$2604,""))</f>
        <v/>
      </c>
      <c r="G2476" s="44" t="str">
        <f t="array" ref="G2476">IF(B2476="","",_xlfn.XLOOKUP(B2476,'Form responses 1'!$B$2:$B$2604,'Form responses 1'!$E$2:$E$2604,""))</f>
        <v/>
      </c>
      <c r="H2476" s="44" t="str">
        <f t="array" ref="H2476">IF(B2476="","",_xlfn.XLOOKUP(B2476,'Form responses 1'!$B$2:$B$2604,'Form responses 1'!$F$2:$F$2604,""))</f>
        <v/>
      </c>
      <c r="I2476" s="44" t="str">
        <f t="array" ref="I2476">IF(B2476="","",_xlfn.XLOOKUP(B2476,'Form responses 1'!$B$2:$B$2604,'Form responses 1'!$I$2:$I$2604,""))</f>
        <v/>
      </c>
      <c r="J2476" s="44" t="str">
        <f t="array" ref="J2476">IF(B2476="","",_xlfn.XLOOKUP(B2476,'Form responses 1'!$B$2:$B$2604,'Form responses 1'!$G$2:$G$2604,""))</f>
        <v/>
      </c>
      <c r="K2476" s="56"/>
      <c r="L2476" s="58" t="str">
        <f t="shared" si="7"/>
        <v/>
      </c>
      <c r="M2476" s="49"/>
      <c r="N2476" s="49"/>
      <c r="O2476" s="49"/>
      <c r="P2476" s="49"/>
      <c r="Q2476" s="49"/>
      <c r="R2476" s="49"/>
      <c r="S2476" s="49"/>
      <c r="T2476" s="49"/>
      <c r="U2476" s="49"/>
      <c r="V2476" s="49"/>
      <c r="W2476" s="56"/>
      <c r="X2476" s="51" t="str">
        <f t="shared" si="5"/>
        <v/>
      </c>
      <c r="Y2476" s="50" t="s">
        <v>482</v>
      </c>
      <c r="Z2476" s="49">
        <f t="shared" si="6"/>
        <v>0</v>
      </c>
    </row>
    <row r="2477" ht="22.5" customHeight="1">
      <c r="B2477" s="57"/>
      <c r="C2477" s="43" t="str">
        <f t="array" ref="C2477">IF(B2477="","",_xlfn.XLOOKUP(B2477,'Form responses 1'!$B$2:$B$2604,'Form responses 1'!$A$2:$A$2604,""))</f>
        <v/>
      </c>
      <c r="D2477" s="44" t="str">
        <f t="shared" si="3"/>
        <v/>
      </c>
      <c r="E2477" s="44" t="str">
        <f t="array" ref="E2477">IF(B2477="","",_xlfn.XLOOKUP(B2477,'Form responses 1'!$B$2:$B$2604,'Form responses 1'!$C$2:$C$2604,""))</f>
        <v/>
      </c>
      <c r="F2477" s="44" t="str">
        <f t="array" ref="F2477">IF(B2477="","",_xlfn.XLOOKUP(B2477,'Form responses 1'!$B$2:$B$2604,'Form responses 1'!$D$2:$D$2604,""))</f>
        <v/>
      </c>
      <c r="G2477" s="44" t="str">
        <f t="array" ref="G2477">IF(B2477="","",_xlfn.XLOOKUP(B2477,'Form responses 1'!$B$2:$B$2604,'Form responses 1'!$E$2:$E$2604,""))</f>
        <v/>
      </c>
      <c r="H2477" s="44" t="str">
        <f t="array" ref="H2477">IF(B2477="","",_xlfn.XLOOKUP(B2477,'Form responses 1'!$B$2:$B$2604,'Form responses 1'!$F$2:$F$2604,""))</f>
        <v/>
      </c>
      <c r="I2477" s="44" t="str">
        <f t="array" ref="I2477">IF(B2477="","",_xlfn.XLOOKUP(B2477,'Form responses 1'!$B$2:$B$2604,'Form responses 1'!$I$2:$I$2604,""))</f>
        <v/>
      </c>
      <c r="J2477" s="44" t="str">
        <f t="array" ref="J2477">IF(B2477="","",_xlfn.XLOOKUP(B2477,'Form responses 1'!$B$2:$B$2604,'Form responses 1'!$G$2:$G$2604,""))</f>
        <v/>
      </c>
      <c r="K2477" s="56"/>
      <c r="L2477" s="58" t="str">
        <f t="shared" si="7"/>
        <v/>
      </c>
      <c r="M2477" s="49"/>
      <c r="N2477" s="49"/>
      <c r="O2477" s="49"/>
      <c r="P2477" s="49"/>
      <c r="Q2477" s="49"/>
      <c r="R2477" s="49"/>
      <c r="S2477" s="49"/>
      <c r="T2477" s="49"/>
      <c r="U2477" s="49"/>
      <c r="V2477" s="49"/>
      <c r="W2477" s="56"/>
      <c r="X2477" s="51" t="str">
        <f t="shared" si="5"/>
        <v/>
      </c>
      <c r="Y2477" s="50" t="s">
        <v>482</v>
      </c>
      <c r="Z2477" s="49">
        <f t="shared" si="6"/>
        <v>0</v>
      </c>
    </row>
    <row r="2478" ht="22.5" customHeight="1">
      <c r="B2478" s="57"/>
      <c r="C2478" s="43" t="str">
        <f t="array" ref="C2478">IF(B2478="","",_xlfn.XLOOKUP(B2478,'Form responses 1'!$B$2:$B$2604,'Form responses 1'!$A$2:$A$2604,""))</f>
        <v/>
      </c>
      <c r="D2478" s="44" t="str">
        <f t="shared" si="3"/>
        <v/>
      </c>
      <c r="E2478" s="44" t="str">
        <f t="array" ref="E2478">IF(B2478="","",_xlfn.XLOOKUP(B2478,'Form responses 1'!$B$2:$B$2604,'Form responses 1'!$C$2:$C$2604,""))</f>
        <v/>
      </c>
      <c r="F2478" s="44" t="str">
        <f t="array" ref="F2478">IF(B2478="","",_xlfn.XLOOKUP(B2478,'Form responses 1'!$B$2:$B$2604,'Form responses 1'!$D$2:$D$2604,""))</f>
        <v/>
      </c>
      <c r="G2478" s="44" t="str">
        <f t="array" ref="G2478">IF(B2478="","",_xlfn.XLOOKUP(B2478,'Form responses 1'!$B$2:$B$2604,'Form responses 1'!$E$2:$E$2604,""))</f>
        <v/>
      </c>
      <c r="H2478" s="44" t="str">
        <f t="array" ref="H2478">IF(B2478="","",_xlfn.XLOOKUP(B2478,'Form responses 1'!$B$2:$B$2604,'Form responses 1'!$F$2:$F$2604,""))</f>
        <v/>
      </c>
      <c r="I2478" s="44" t="str">
        <f t="array" ref="I2478">IF(B2478="","",_xlfn.XLOOKUP(B2478,'Form responses 1'!$B$2:$B$2604,'Form responses 1'!$I$2:$I$2604,""))</f>
        <v/>
      </c>
      <c r="J2478" s="44" t="str">
        <f t="array" ref="J2478">IF(B2478="","",_xlfn.XLOOKUP(B2478,'Form responses 1'!$B$2:$B$2604,'Form responses 1'!$G$2:$G$2604,""))</f>
        <v/>
      </c>
      <c r="K2478" s="56"/>
      <c r="L2478" s="58" t="str">
        <f t="shared" si="7"/>
        <v/>
      </c>
      <c r="M2478" s="49"/>
      <c r="N2478" s="49"/>
      <c r="O2478" s="49"/>
      <c r="P2478" s="49"/>
      <c r="Q2478" s="49"/>
      <c r="R2478" s="49"/>
      <c r="S2478" s="49"/>
      <c r="T2478" s="49"/>
      <c r="U2478" s="49"/>
      <c r="V2478" s="49"/>
      <c r="W2478" s="56"/>
      <c r="X2478" s="51" t="str">
        <f t="shared" si="5"/>
        <v/>
      </c>
      <c r="Y2478" s="50" t="s">
        <v>482</v>
      </c>
      <c r="Z2478" s="49">
        <f t="shared" si="6"/>
        <v>0</v>
      </c>
    </row>
    <row r="2479" ht="22.5" customHeight="1">
      <c r="B2479" s="57"/>
      <c r="C2479" s="43" t="str">
        <f t="array" ref="C2479">IF(B2479="","",_xlfn.XLOOKUP(B2479,'Form responses 1'!$B$2:$B$2604,'Form responses 1'!$A$2:$A$2604,""))</f>
        <v/>
      </c>
      <c r="D2479" s="44" t="str">
        <f t="shared" si="3"/>
        <v/>
      </c>
      <c r="E2479" s="44" t="str">
        <f t="array" ref="E2479">IF(B2479="","",_xlfn.XLOOKUP(B2479,'Form responses 1'!$B$2:$B$2604,'Form responses 1'!$C$2:$C$2604,""))</f>
        <v/>
      </c>
      <c r="F2479" s="44" t="str">
        <f t="array" ref="F2479">IF(B2479="","",_xlfn.XLOOKUP(B2479,'Form responses 1'!$B$2:$B$2604,'Form responses 1'!$D$2:$D$2604,""))</f>
        <v/>
      </c>
      <c r="G2479" s="44" t="str">
        <f t="array" ref="G2479">IF(B2479="","",_xlfn.XLOOKUP(B2479,'Form responses 1'!$B$2:$B$2604,'Form responses 1'!$E$2:$E$2604,""))</f>
        <v/>
      </c>
      <c r="H2479" s="44" t="str">
        <f t="array" ref="H2479">IF(B2479="","",_xlfn.XLOOKUP(B2479,'Form responses 1'!$B$2:$B$2604,'Form responses 1'!$F$2:$F$2604,""))</f>
        <v/>
      </c>
      <c r="I2479" s="44" t="str">
        <f t="array" ref="I2479">IF(B2479="","",_xlfn.XLOOKUP(B2479,'Form responses 1'!$B$2:$B$2604,'Form responses 1'!$I$2:$I$2604,""))</f>
        <v/>
      </c>
      <c r="J2479" s="44" t="str">
        <f t="array" ref="J2479">IF(B2479="","",_xlfn.XLOOKUP(B2479,'Form responses 1'!$B$2:$B$2604,'Form responses 1'!$G$2:$G$2604,""))</f>
        <v/>
      </c>
      <c r="K2479" s="56"/>
      <c r="L2479" s="58" t="str">
        <f t="shared" si="7"/>
        <v/>
      </c>
      <c r="M2479" s="49"/>
      <c r="N2479" s="49"/>
      <c r="O2479" s="49"/>
      <c r="P2479" s="49"/>
      <c r="Q2479" s="49"/>
      <c r="R2479" s="49"/>
      <c r="S2479" s="49"/>
      <c r="T2479" s="49"/>
      <c r="U2479" s="49"/>
      <c r="V2479" s="49"/>
      <c r="W2479" s="56"/>
      <c r="X2479" s="51" t="str">
        <f t="shared" si="5"/>
        <v/>
      </c>
      <c r="Y2479" s="50" t="s">
        <v>482</v>
      </c>
      <c r="Z2479" s="49">
        <f t="shared" si="6"/>
        <v>0</v>
      </c>
    </row>
    <row r="2480" ht="22.5" customHeight="1">
      <c r="B2480" s="57"/>
      <c r="C2480" s="43" t="str">
        <f t="array" ref="C2480">IF(B2480="","",_xlfn.XLOOKUP(B2480,'Form responses 1'!$B$2:$B$2604,'Form responses 1'!$A$2:$A$2604,""))</f>
        <v/>
      </c>
      <c r="D2480" s="44" t="str">
        <f t="shared" si="3"/>
        <v/>
      </c>
      <c r="E2480" s="44" t="str">
        <f t="array" ref="E2480">IF(B2480="","",_xlfn.XLOOKUP(B2480,'Form responses 1'!$B$2:$B$2604,'Form responses 1'!$C$2:$C$2604,""))</f>
        <v/>
      </c>
      <c r="F2480" s="44" t="str">
        <f t="array" ref="F2480">IF(B2480="","",_xlfn.XLOOKUP(B2480,'Form responses 1'!$B$2:$B$2604,'Form responses 1'!$D$2:$D$2604,""))</f>
        <v/>
      </c>
      <c r="G2480" s="44" t="str">
        <f t="array" ref="G2480">IF(B2480="","",_xlfn.XLOOKUP(B2480,'Form responses 1'!$B$2:$B$2604,'Form responses 1'!$E$2:$E$2604,""))</f>
        <v/>
      </c>
      <c r="H2480" s="44" t="str">
        <f t="array" ref="H2480">IF(B2480="","",_xlfn.XLOOKUP(B2480,'Form responses 1'!$B$2:$B$2604,'Form responses 1'!$F$2:$F$2604,""))</f>
        <v/>
      </c>
      <c r="I2480" s="44" t="str">
        <f t="array" ref="I2480">IF(B2480="","",_xlfn.XLOOKUP(B2480,'Form responses 1'!$B$2:$B$2604,'Form responses 1'!$I$2:$I$2604,""))</f>
        <v/>
      </c>
      <c r="J2480" s="44" t="str">
        <f t="array" ref="J2480">IF(B2480="","",_xlfn.XLOOKUP(B2480,'Form responses 1'!$B$2:$B$2604,'Form responses 1'!$G$2:$G$2604,""))</f>
        <v/>
      </c>
      <c r="K2480" s="56"/>
      <c r="L2480" s="58" t="str">
        <f t="shared" si="7"/>
        <v/>
      </c>
      <c r="M2480" s="49"/>
      <c r="N2480" s="49"/>
      <c r="O2480" s="49"/>
      <c r="P2480" s="49"/>
      <c r="Q2480" s="49"/>
      <c r="R2480" s="49"/>
      <c r="S2480" s="49"/>
      <c r="T2480" s="49"/>
      <c r="U2480" s="49"/>
      <c r="V2480" s="49"/>
      <c r="W2480" s="56"/>
      <c r="X2480" s="51" t="str">
        <f t="shared" si="5"/>
        <v/>
      </c>
      <c r="Y2480" s="50" t="s">
        <v>482</v>
      </c>
      <c r="Z2480" s="49">
        <f t="shared" si="6"/>
        <v>0</v>
      </c>
    </row>
    <row r="2481" ht="22.5" customHeight="1">
      <c r="B2481" s="57"/>
      <c r="C2481" s="43" t="str">
        <f t="array" ref="C2481">IF(B2481="","",_xlfn.XLOOKUP(B2481,'Form responses 1'!$B$2:$B$2604,'Form responses 1'!$A$2:$A$2604,""))</f>
        <v/>
      </c>
      <c r="D2481" s="44" t="str">
        <f t="shared" si="3"/>
        <v/>
      </c>
      <c r="E2481" s="44" t="str">
        <f t="array" ref="E2481">IF(B2481="","",_xlfn.XLOOKUP(B2481,'Form responses 1'!$B$2:$B$2604,'Form responses 1'!$C$2:$C$2604,""))</f>
        <v/>
      </c>
      <c r="F2481" s="44" t="str">
        <f t="array" ref="F2481">IF(B2481="","",_xlfn.XLOOKUP(B2481,'Form responses 1'!$B$2:$B$2604,'Form responses 1'!$D$2:$D$2604,""))</f>
        <v/>
      </c>
      <c r="G2481" s="44" t="str">
        <f t="array" ref="G2481">IF(B2481="","",_xlfn.XLOOKUP(B2481,'Form responses 1'!$B$2:$B$2604,'Form responses 1'!$E$2:$E$2604,""))</f>
        <v/>
      </c>
      <c r="H2481" s="44" t="str">
        <f t="array" ref="H2481">IF(B2481="","",_xlfn.XLOOKUP(B2481,'Form responses 1'!$B$2:$B$2604,'Form responses 1'!$F$2:$F$2604,""))</f>
        <v/>
      </c>
      <c r="I2481" s="44" t="str">
        <f t="array" ref="I2481">IF(B2481="","",_xlfn.XLOOKUP(B2481,'Form responses 1'!$B$2:$B$2604,'Form responses 1'!$I$2:$I$2604,""))</f>
        <v/>
      </c>
      <c r="J2481" s="44" t="str">
        <f t="array" ref="J2481">IF(B2481="","",_xlfn.XLOOKUP(B2481,'Form responses 1'!$B$2:$B$2604,'Form responses 1'!$G$2:$G$2604,""))</f>
        <v/>
      </c>
      <c r="K2481" s="56"/>
      <c r="L2481" s="58" t="str">
        <f t="shared" si="7"/>
        <v/>
      </c>
      <c r="M2481" s="49"/>
      <c r="N2481" s="49"/>
      <c r="O2481" s="49"/>
      <c r="P2481" s="49"/>
      <c r="Q2481" s="49"/>
      <c r="R2481" s="49"/>
      <c r="S2481" s="49"/>
      <c r="T2481" s="49"/>
      <c r="U2481" s="49"/>
      <c r="V2481" s="49"/>
      <c r="W2481" s="56"/>
      <c r="X2481" s="51" t="str">
        <f t="shared" si="5"/>
        <v/>
      </c>
      <c r="Y2481" s="50" t="s">
        <v>482</v>
      </c>
      <c r="Z2481" s="49">
        <f t="shared" si="6"/>
        <v>0</v>
      </c>
    </row>
    <row r="2482" ht="22.5" customHeight="1">
      <c r="B2482" s="57"/>
      <c r="C2482" s="43" t="str">
        <f t="array" ref="C2482">IF(B2482="","",_xlfn.XLOOKUP(B2482,'Form responses 1'!$B$2:$B$2604,'Form responses 1'!$A$2:$A$2604,""))</f>
        <v/>
      </c>
      <c r="D2482" s="44" t="str">
        <f t="shared" si="3"/>
        <v/>
      </c>
      <c r="E2482" s="44" t="str">
        <f t="array" ref="E2482">IF(B2482="","",_xlfn.XLOOKUP(B2482,'Form responses 1'!$B$2:$B$2604,'Form responses 1'!$C$2:$C$2604,""))</f>
        <v/>
      </c>
      <c r="F2482" s="44" t="str">
        <f t="array" ref="F2482">IF(B2482="","",_xlfn.XLOOKUP(B2482,'Form responses 1'!$B$2:$B$2604,'Form responses 1'!$D$2:$D$2604,""))</f>
        <v/>
      </c>
      <c r="G2482" s="44" t="str">
        <f t="array" ref="G2482">IF(B2482="","",_xlfn.XLOOKUP(B2482,'Form responses 1'!$B$2:$B$2604,'Form responses 1'!$E$2:$E$2604,""))</f>
        <v/>
      </c>
      <c r="H2482" s="44" t="str">
        <f t="array" ref="H2482">IF(B2482="","",_xlfn.XLOOKUP(B2482,'Form responses 1'!$B$2:$B$2604,'Form responses 1'!$F$2:$F$2604,""))</f>
        <v/>
      </c>
      <c r="I2482" s="44" t="str">
        <f t="array" ref="I2482">IF(B2482="","",_xlfn.XLOOKUP(B2482,'Form responses 1'!$B$2:$B$2604,'Form responses 1'!$I$2:$I$2604,""))</f>
        <v/>
      </c>
      <c r="J2482" s="44" t="str">
        <f t="array" ref="J2482">IF(B2482="","",_xlfn.XLOOKUP(B2482,'Form responses 1'!$B$2:$B$2604,'Form responses 1'!$G$2:$G$2604,""))</f>
        <v/>
      </c>
      <c r="K2482" s="56"/>
      <c r="L2482" s="58" t="str">
        <f t="shared" si="7"/>
        <v/>
      </c>
      <c r="M2482" s="49"/>
      <c r="N2482" s="49"/>
      <c r="O2482" s="49"/>
      <c r="P2482" s="49"/>
      <c r="Q2482" s="49"/>
      <c r="R2482" s="49"/>
      <c r="S2482" s="49"/>
      <c r="T2482" s="49"/>
      <c r="U2482" s="49"/>
      <c r="V2482" s="49"/>
      <c r="W2482" s="56"/>
      <c r="X2482" s="51" t="str">
        <f t="shared" si="5"/>
        <v/>
      </c>
      <c r="Y2482" s="50" t="s">
        <v>482</v>
      </c>
      <c r="Z2482" s="49">
        <f t="shared" si="6"/>
        <v>0</v>
      </c>
    </row>
    <row r="2483" ht="22.5" customHeight="1">
      <c r="B2483" s="57"/>
      <c r="C2483" s="43" t="str">
        <f t="array" ref="C2483">IF(B2483="","",_xlfn.XLOOKUP(B2483,'Form responses 1'!$B$2:$B$2604,'Form responses 1'!$A$2:$A$2604,""))</f>
        <v/>
      </c>
      <c r="D2483" s="44" t="str">
        <f t="shared" si="3"/>
        <v/>
      </c>
      <c r="E2483" s="44" t="str">
        <f t="array" ref="E2483">IF(B2483="","",_xlfn.XLOOKUP(B2483,'Form responses 1'!$B$2:$B$2604,'Form responses 1'!$C$2:$C$2604,""))</f>
        <v/>
      </c>
      <c r="F2483" s="44" t="str">
        <f t="array" ref="F2483">IF(B2483="","",_xlfn.XLOOKUP(B2483,'Form responses 1'!$B$2:$B$2604,'Form responses 1'!$D$2:$D$2604,""))</f>
        <v/>
      </c>
      <c r="G2483" s="44" t="str">
        <f t="array" ref="G2483">IF(B2483="","",_xlfn.XLOOKUP(B2483,'Form responses 1'!$B$2:$B$2604,'Form responses 1'!$E$2:$E$2604,""))</f>
        <v/>
      </c>
      <c r="H2483" s="44" t="str">
        <f t="array" ref="H2483">IF(B2483="","",_xlfn.XLOOKUP(B2483,'Form responses 1'!$B$2:$B$2604,'Form responses 1'!$F$2:$F$2604,""))</f>
        <v/>
      </c>
      <c r="I2483" s="44" t="str">
        <f t="array" ref="I2483">IF(B2483="","",_xlfn.XLOOKUP(B2483,'Form responses 1'!$B$2:$B$2604,'Form responses 1'!$I$2:$I$2604,""))</f>
        <v/>
      </c>
      <c r="J2483" s="44" t="str">
        <f t="array" ref="J2483">IF(B2483="","",_xlfn.XLOOKUP(B2483,'Form responses 1'!$B$2:$B$2604,'Form responses 1'!$G$2:$G$2604,""))</f>
        <v/>
      </c>
      <c r="K2483" s="56"/>
      <c r="L2483" s="58" t="str">
        <f t="shared" si="7"/>
        <v/>
      </c>
      <c r="M2483" s="49"/>
      <c r="N2483" s="49"/>
      <c r="O2483" s="49"/>
      <c r="P2483" s="49"/>
      <c r="Q2483" s="49"/>
      <c r="R2483" s="49"/>
      <c r="S2483" s="49"/>
      <c r="T2483" s="49"/>
      <c r="U2483" s="49"/>
      <c r="V2483" s="49"/>
      <c r="W2483" s="56"/>
      <c r="X2483" s="51" t="str">
        <f t="shared" si="5"/>
        <v/>
      </c>
      <c r="Y2483" s="50" t="s">
        <v>482</v>
      </c>
      <c r="Z2483" s="49">
        <f t="shared" si="6"/>
        <v>0</v>
      </c>
    </row>
    <row r="2484" ht="22.5" customHeight="1">
      <c r="B2484" s="57"/>
      <c r="C2484" s="43" t="str">
        <f t="array" ref="C2484">IF(B2484="","",_xlfn.XLOOKUP(B2484,'Form responses 1'!$B$2:$B$2604,'Form responses 1'!$A$2:$A$2604,""))</f>
        <v/>
      </c>
      <c r="D2484" s="44" t="str">
        <f t="shared" si="3"/>
        <v/>
      </c>
      <c r="E2484" s="44" t="str">
        <f t="array" ref="E2484">IF(B2484="","",_xlfn.XLOOKUP(B2484,'Form responses 1'!$B$2:$B$2604,'Form responses 1'!$C$2:$C$2604,""))</f>
        <v/>
      </c>
      <c r="F2484" s="44" t="str">
        <f t="array" ref="F2484">IF(B2484="","",_xlfn.XLOOKUP(B2484,'Form responses 1'!$B$2:$B$2604,'Form responses 1'!$D$2:$D$2604,""))</f>
        <v/>
      </c>
      <c r="G2484" s="44" t="str">
        <f t="array" ref="G2484">IF(B2484="","",_xlfn.XLOOKUP(B2484,'Form responses 1'!$B$2:$B$2604,'Form responses 1'!$E$2:$E$2604,""))</f>
        <v/>
      </c>
      <c r="H2484" s="44" t="str">
        <f t="array" ref="H2484">IF(B2484="","",_xlfn.XLOOKUP(B2484,'Form responses 1'!$B$2:$B$2604,'Form responses 1'!$F$2:$F$2604,""))</f>
        <v/>
      </c>
      <c r="I2484" s="44" t="str">
        <f t="array" ref="I2484">IF(B2484="","",_xlfn.XLOOKUP(B2484,'Form responses 1'!$B$2:$B$2604,'Form responses 1'!$I$2:$I$2604,""))</f>
        <v/>
      </c>
      <c r="J2484" s="44" t="str">
        <f t="array" ref="J2484">IF(B2484="","",_xlfn.XLOOKUP(B2484,'Form responses 1'!$B$2:$B$2604,'Form responses 1'!$G$2:$G$2604,""))</f>
        <v/>
      </c>
      <c r="K2484" s="56"/>
      <c r="L2484" s="58" t="str">
        <f t="shared" si="7"/>
        <v/>
      </c>
      <c r="M2484" s="49"/>
      <c r="N2484" s="49"/>
      <c r="O2484" s="49"/>
      <c r="P2484" s="49"/>
      <c r="Q2484" s="49"/>
      <c r="R2484" s="49"/>
      <c r="S2484" s="49"/>
      <c r="T2484" s="49"/>
      <c r="U2484" s="49"/>
      <c r="V2484" s="49"/>
      <c r="W2484" s="56"/>
      <c r="X2484" s="51" t="str">
        <f t="shared" si="5"/>
        <v/>
      </c>
      <c r="Y2484" s="50" t="s">
        <v>482</v>
      </c>
      <c r="Z2484" s="49">
        <f t="shared" si="6"/>
        <v>0</v>
      </c>
    </row>
    <row r="2485" ht="22.5" customHeight="1">
      <c r="B2485" s="57"/>
      <c r="C2485" s="43" t="str">
        <f t="array" ref="C2485">IF(B2485="","",_xlfn.XLOOKUP(B2485,'Form responses 1'!$B$2:$B$2604,'Form responses 1'!$A$2:$A$2604,""))</f>
        <v/>
      </c>
      <c r="D2485" s="44" t="str">
        <f t="shared" si="3"/>
        <v/>
      </c>
      <c r="E2485" s="44" t="str">
        <f t="array" ref="E2485">IF(B2485="","",_xlfn.XLOOKUP(B2485,'Form responses 1'!$B$2:$B$2604,'Form responses 1'!$C$2:$C$2604,""))</f>
        <v/>
      </c>
      <c r="F2485" s="44" t="str">
        <f t="array" ref="F2485">IF(B2485="","",_xlfn.XLOOKUP(B2485,'Form responses 1'!$B$2:$B$2604,'Form responses 1'!$D$2:$D$2604,""))</f>
        <v/>
      </c>
      <c r="G2485" s="44" t="str">
        <f t="array" ref="G2485">IF(B2485="","",_xlfn.XLOOKUP(B2485,'Form responses 1'!$B$2:$B$2604,'Form responses 1'!$E$2:$E$2604,""))</f>
        <v/>
      </c>
      <c r="H2485" s="44" t="str">
        <f t="array" ref="H2485">IF(B2485="","",_xlfn.XLOOKUP(B2485,'Form responses 1'!$B$2:$B$2604,'Form responses 1'!$F$2:$F$2604,""))</f>
        <v/>
      </c>
      <c r="I2485" s="44" t="str">
        <f t="array" ref="I2485">IF(B2485="","",_xlfn.XLOOKUP(B2485,'Form responses 1'!$B$2:$B$2604,'Form responses 1'!$I$2:$I$2604,""))</f>
        <v/>
      </c>
      <c r="J2485" s="44" t="str">
        <f t="array" ref="J2485">IF(B2485="","",_xlfn.XLOOKUP(B2485,'Form responses 1'!$B$2:$B$2604,'Form responses 1'!$G$2:$G$2604,""))</f>
        <v/>
      </c>
      <c r="K2485" s="56"/>
      <c r="L2485" s="58" t="str">
        <f t="shared" si="7"/>
        <v/>
      </c>
      <c r="M2485" s="49"/>
      <c r="N2485" s="49"/>
      <c r="O2485" s="49"/>
      <c r="P2485" s="49"/>
      <c r="Q2485" s="49"/>
      <c r="R2485" s="49"/>
      <c r="S2485" s="49"/>
      <c r="T2485" s="49"/>
      <c r="U2485" s="49"/>
      <c r="V2485" s="49"/>
      <c r="W2485" s="56"/>
      <c r="X2485" s="51" t="str">
        <f t="shared" si="5"/>
        <v/>
      </c>
      <c r="Y2485" s="50" t="s">
        <v>482</v>
      </c>
      <c r="Z2485" s="49">
        <f t="shared" si="6"/>
        <v>0</v>
      </c>
    </row>
    <row r="2486" ht="22.5" customHeight="1">
      <c r="B2486" s="57"/>
      <c r="C2486" s="43" t="str">
        <f t="array" ref="C2486">IF(B2486="","",_xlfn.XLOOKUP(B2486,'Form responses 1'!$B$2:$B$2604,'Form responses 1'!$A$2:$A$2604,""))</f>
        <v/>
      </c>
      <c r="D2486" s="44" t="str">
        <f t="shared" si="3"/>
        <v/>
      </c>
      <c r="E2486" s="44" t="str">
        <f t="array" ref="E2486">IF(B2486="","",_xlfn.XLOOKUP(B2486,'Form responses 1'!$B$2:$B$2604,'Form responses 1'!$C$2:$C$2604,""))</f>
        <v/>
      </c>
      <c r="F2486" s="44" t="str">
        <f t="array" ref="F2486">IF(B2486="","",_xlfn.XLOOKUP(B2486,'Form responses 1'!$B$2:$B$2604,'Form responses 1'!$D$2:$D$2604,""))</f>
        <v/>
      </c>
      <c r="G2486" s="44" t="str">
        <f t="array" ref="G2486">IF(B2486="","",_xlfn.XLOOKUP(B2486,'Form responses 1'!$B$2:$B$2604,'Form responses 1'!$E$2:$E$2604,""))</f>
        <v/>
      </c>
      <c r="H2486" s="44" t="str">
        <f t="array" ref="H2486">IF(B2486="","",_xlfn.XLOOKUP(B2486,'Form responses 1'!$B$2:$B$2604,'Form responses 1'!$F$2:$F$2604,""))</f>
        <v/>
      </c>
      <c r="I2486" s="44" t="str">
        <f t="array" ref="I2486">IF(B2486="","",_xlfn.XLOOKUP(B2486,'Form responses 1'!$B$2:$B$2604,'Form responses 1'!$I$2:$I$2604,""))</f>
        <v/>
      </c>
      <c r="J2486" s="44" t="str">
        <f t="array" ref="J2486">IF(B2486="","",_xlfn.XLOOKUP(B2486,'Form responses 1'!$B$2:$B$2604,'Form responses 1'!$G$2:$G$2604,""))</f>
        <v/>
      </c>
      <c r="K2486" s="56"/>
      <c r="L2486" s="58" t="str">
        <f t="shared" si="7"/>
        <v/>
      </c>
      <c r="M2486" s="49"/>
      <c r="N2486" s="49"/>
      <c r="O2486" s="49"/>
      <c r="P2486" s="49"/>
      <c r="Q2486" s="49"/>
      <c r="R2486" s="49"/>
      <c r="S2486" s="49"/>
      <c r="T2486" s="49"/>
      <c r="U2486" s="49"/>
      <c r="V2486" s="49"/>
      <c r="W2486" s="56"/>
      <c r="X2486" s="51" t="str">
        <f t="shared" si="5"/>
        <v/>
      </c>
      <c r="Y2486" s="50" t="s">
        <v>482</v>
      </c>
      <c r="Z2486" s="49">
        <f t="shared" si="6"/>
        <v>0</v>
      </c>
    </row>
    <row r="2487" ht="22.5" customHeight="1">
      <c r="B2487" s="57"/>
      <c r="C2487" s="43" t="str">
        <f t="array" ref="C2487">IF(B2487="","",_xlfn.XLOOKUP(B2487,'Form responses 1'!$B$2:$B$2604,'Form responses 1'!$A$2:$A$2604,""))</f>
        <v/>
      </c>
      <c r="D2487" s="44" t="str">
        <f t="shared" si="3"/>
        <v/>
      </c>
      <c r="E2487" s="44" t="str">
        <f t="array" ref="E2487">IF(B2487="","",_xlfn.XLOOKUP(B2487,'Form responses 1'!$B$2:$B$2604,'Form responses 1'!$C$2:$C$2604,""))</f>
        <v/>
      </c>
      <c r="F2487" s="44" t="str">
        <f t="array" ref="F2487">IF(B2487="","",_xlfn.XLOOKUP(B2487,'Form responses 1'!$B$2:$B$2604,'Form responses 1'!$D$2:$D$2604,""))</f>
        <v/>
      </c>
      <c r="G2487" s="44" t="str">
        <f t="array" ref="G2487">IF(B2487="","",_xlfn.XLOOKUP(B2487,'Form responses 1'!$B$2:$B$2604,'Form responses 1'!$E$2:$E$2604,""))</f>
        <v/>
      </c>
      <c r="H2487" s="44" t="str">
        <f t="array" ref="H2487">IF(B2487="","",_xlfn.XLOOKUP(B2487,'Form responses 1'!$B$2:$B$2604,'Form responses 1'!$F$2:$F$2604,""))</f>
        <v/>
      </c>
      <c r="I2487" s="44" t="str">
        <f t="array" ref="I2487">IF(B2487="","",_xlfn.XLOOKUP(B2487,'Form responses 1'!$B$2:$B$2604,'Form responses 1'!$I$2:$I$2604,""))</f>
        <v/>
      </c>
      <c r="J2487" s="44" t="str">
        <f t="array" ref="J2487">IF(B2487="","",_xlfn.XLOOKUP(B2487,'Form responses 1'!$B$2:$B$2604,'Form responses 1'!$G$2:$G$2604,""))</f>
        <v/>
      </c>
      <c r="K2487" s="56"/>
      <c r="L2487" s="58" t="str">
        <f t="shared" si="7"/>
        <v/>
      </c>
      <c r="M2487" s="49"/>
      <c r="N2487" s="49"/>
      <c r="O2487" s="49"/>
      <c r="P2487" s="49"/>
      <c r="Q2487" s="49"/>
      <c r="R2487" s="49"/>
      <c r="S2487" s="49"/>
      <c r="T2487" s="49"/>
      <c r="U2487" s="49"/>
      <c r="V2487" s="49"/>
      <c r="W2487" s="56"/>
      <c r="X2487" s="51" t="str">
        <f t="shared" si="5"/>
        <v/>
      </c>
      <c r="Y2487" s="50" t="s">
        <v>482</v>
      </c>
      <c r="Z2487" s="49">
        <f t="shared" si="6"/>
        <v>0</v>
      </c>
    </row>
    <row r="2488" ht="22.5" customHeight="1">
      <c r="B2488" s="57"/>
      <c r="C2488" s="43" t="str">
        <f t="array" ref="C2488">IF(B2488="","",_xlfn.XLOOKUP(B2488,'Form responses 1'!$B$2:$B$2604,'Form responses 1'!$A$2:$A$2604,""))</f>
        <v/>
      </c>
      <c r="D2488" s="44" t="str">
        <f t="shared" si="3"/>
        <v/>
      </c>
      <c r="E2488" s="44" t="str">
        <f t="array" ref="E2488">IF(B2488="","",_xlfn.XLOOKUP(B2488,'Form responses 1'!$B$2:$B$2604,'Form responses 1'!$C$2:$C$2604,""))</f>
        <v/>
      </c>
      <c r="F2488" s="44" t="str">
        <f t="array" ref="F2488">IF(B2488="","",_xlfn.XLOOKUP(B2488,'Form responses 1'!$B$2:$B$2604,'Form responses 1'!$D$2:$D$2604,""))</f>
        <v/>
      </c>
      <c r="G2488" s="44" t="str">
        <f t="array" ref="G2488">IF(B2488="","",_xlfn.XLOOKUP(B2488,'Form responses 1'!$B$2:$B$2604,'Form responses 1'!$E$2:$E$2604,""))</f>
        <v/>
      </c>
      <c r="H2488" s="44" t="str">
        <f t="array" ref="H2488">IF(B2488="","",_xlfn.XLOOKUP(B2488,'Form responses 1'!$B$2:$B$2604,'Form responses 1'!$F$2:$F$2604,""))</f>
        <v/>
      </c>
      <c r="I2488" s="44" t="str">
        <f t="array" ref="I2488">IF(B2488="","",_xlfn.XLOOKUP(B2488,'Form responses 1'!$B$2:$B$2604,'Form responses 1'!$I$2:$I$2604,""))</f>
        <v/>
      </c>
      <c r="J2488" s="44" t="str">
        <f t="array" ref="J2488">IF(B2488="","",_xlfn.XLOOKUP(B2488,'Form responses 1'!$B$2:$B$2604,'Form responses 1'!$G$2:$G$2604,""))</f>
        <v/>
      </c>
      <c r="K2488" s="56"/>
      <c r="L2488" s="58" t="str">
        <f t="shared" si="7"/>
        <v/>
      </c>
      <c r="M2488" s="49"/>
      <c r="N2488" s="49"/>
      <c r="O2488" s="49"/>
      <c r="P2488" s="49"/>
      <c r="Q2488" s="49"/>
      <c r="R2488" s="49"/>
      <c r="S2488" s="49"/>
      <c r="T2488" s="49"/>
      <c r="U2488" s="49"/>
      <c r="V2488" s="49"/>
      <c r="W2488" s="56"/>
      <c r="X2488" s="51" t="str">
        <f t="shared" si="5"/>
        <v/>
      </c>
      <c r="Y2488" s="50" t="s">
        <v>482</v>
      </c>
      <c r="Z2488" s="49">
        <f t="shared" si="6"/>
        <v>0</v>
      </c>
    </row>
    <row r="2489" ht="22.5" customHeight="1">
      <c r="B2489" s="57"/>
      <c r="C2489" s="43" t="str">
        <f t="array" ref="C2489">IF(B2489="","",_xlfn.XLOOKUP(B2489,'Form responses 1'!$B$2:$B$2604,'Form responses 1'!$A$2:$A$2604,""))</f>
        <v/>
      </c>
      <c r="D2489" s="44" t="str">
        <f t="shared" si="3"/>
        <v/>
      </c>
      <c r="E2489" s="44" t="str">
        <f t="array" ref="E2489">IF(B2489="","",_xlfn.XLOOKUP(B2489,'Form responses 1'!$B$2:$B$2604,'Form responses 1'!$C$2:$C$2604,""))</f>
        <v/>
      </c>
      <c r="F2489" s="44" t="str">
        <f t="array" ref="F2489">IF(B2489="","",_xlfn.XLOOKUP(B2489,'Form responses 1'!$B$2:$B$2604,'Form responses 1'!$D$2:$D$2604,""))</f>
        <v/>
      </c>
      <c r="G2489" s="44" t="str">
        <f t="array" ref="G2489">IF(B2489="","",_xlfn.XLOOKUP(B2489,'Form responses 1'!$B$2:$B$2604,'Form responses 1'!$E$2:$E$2604,""))</f>
        <v/>
      </c>
      <c r="H2489" s="44" t="str">
        <f t="array" ref="H2489">IF(B2489="","",_xlfn.XLOOKUP(B2489,'Form responses 1'!$B$2:$B$2604,'Form responses 1'!$F$2:$F$2604,""))</f>
        <v/>
      </c>
      <c r="I2489" s="44" t="str">
        <f t="array" ref="I2489">IF(B2489="","",_xlfn.XLOOKUP(B2489,'Form responses 1'!$B$2:$B$2604,'Form responses 1'!$I$2:$I$2604,""))</f>
        <v/>
      </c>
      <c r="J2489" s="44" t="str">
        <f t="array" ref="J2489">IF(B2489="","",_xlfn.XLOOKUP(B2489,'Form responses 1'!$B$2:$B$2604,'Form responses 1'!$G$2:$G$2604,""))</f>
        <v/>
      </c>
      <c r="K2489" s="56"/>
      <c r="L2489" s="58" t="str">
        <f t="shared" si="7"/>
        <v/>
      </c>
      <c r="M2489" s="49"/>
      <c r="N2489" s="49"/>
      <c r="O2489" s="49"/>
      <c r="P2489" s="49"/>
      <c r="Q2489" s="49"/>
      <c r="R2489" s="49"/>
      <c r="S2489" s="49"/>
      <c r="T2489" s="49"/>
      <c r="U2489" s="49"/>
      <c r="V2489" s="49"/>
      <c r="W2489" s="56"/>
      <c r="X2489" s="51" t="str">
        <f t="shared" si="5"/>
        <v/>
      </c>
      <c r="Y2489" s="50" t="s">
        <v>482</v>
      </c>
      <c r="Z2489" s="49">
        <f t="shared" si="6"/>
        <v>0</v>
      </c>
    </row>
    <row r="2490" ht="22.5" customHeight="1">
      <c r="B2490" s="57"/>
      <c r="C2490" s="43" t="str">
        <f t="array" ref="C2490">IF(B2490="","",_xlfn.XLOOKUP(B2490,'Form responses 1'!$B$2:$B$2604,'Form responses 1'!$A$2:$A$2604,""))</f>
        <v/>
      </c>
      <c r="D2490" s="44" t="str">
        <f t="shared" si="3"/>
        <v/>
      </c>
      <c r="E2490" s="44" t="str">
        <f t="array" ref="E2490">IF(B2490="","",_xlfn.XLOOKUP(B2490,'Form responses 1'!$B$2:$B$2604,'Form responses 1'!$C$2:$C$2604,""))</f>
        <v/>
      </c>
      <c r="F2490" s="44" t="str">
        <f t="array" ref="F2490">IF(B2490="","",_xlfn.XLOOKUP(B2490,'Form responses 1'!$B$2:$B$2604,'Form responses 1'!$D$2:$D$2604,""))</f>
        <v/>
      </c>
      <c r="G2490" s="44" t="str">
        <f t="array" ref="G2490">IF(B2490="","",_xlfn.XLOOKUP(B2490,'Form responses 1'!$B$2:$B$2604,'Form responses 1'!$E$2:$E$2604,""))</f>
        <v/>
      </c>
      <c r="H2490" s="44" t="str">
        <f t="array" ref="H2490">IF(B2490="","",_xlfn.XLOOKUP(B2490,'Form responses 1'!$B$2:$B$2604,'Form responses 1'!$F$2:$F$2604,""))</f>
        <v/>
      </c>
      <c r="I2490" s="44" t="str">
        <f t="array" ref="I2490">IF(B2490="","",_xlfn.XLOOKUP(B2490,'Form responses 1'!$B$2:$B$2604,'Form responses 1'!$I$2:$I$2604,""))</f>
        <v/>
      </c>
      <c r="J2490" s="44" t="str">
        <f t="array" ref="J2490">IF(B2490="","",_xlfn.XLOOKUP(B2490,'Form responses 1'!$B$2:$B$2604,'Form responses 1'!$G$2:$G$2604,""))</f>
        <v/>
      </c>
      <c r="K2490" s="56"/>
      <c r="L2490" s="58" t="str">
        <f t="shared" si="7"/>
        <v/>
      </c>
      <c r="M2490" s="49"/>
      <c r="N2490" s="49"/>
      <c r="O2490" s="49"/>
      <c r="P2490" s="49"/>
      <c r="Q2490" s="49"/>
      <c r="R2490" s="49"/>
      <c r="S2490" s="49"/>
      <c r="T2490" s="49"/>
      <c r="U2490" s="49"/>
      <c r="V2490" s="49"/>
      <c r="W2490" s="56"/>
      <c r="X2490" s="51" t="str">
        <f t="shared" si="5"/>
        <v/>
      </c>
      <c r="Y2490" s="50" t="s">
        <v>482</v>
      </c>
      <c r="Z2490" s="49">
        <f t="shared" si="6"/>
        <v>0</v>
      </c>
    </row>
    <row r="2491" ht="22.5" customHeight="1">
      <c r="B2491" s="57"/>
      <c r="C2491" s="43" t="str">
        <f t="array" ref="C2491">IF(B2491="","",_xlfn.XLOOKUP(B2491,'Form responses 1'!$B$2:$B$2604,'Form responses 1'!$A$2:$A$2604,""))</f>
        <v/>
      </c>
      <c r="D2491" s="44" t="str">
        <f t="shared" si="3"/>
        <v/>
      </c>
      <c r="E2491" s="44" t="str">
        <f t="array" ref="E2491">IF(B2491="","",_xlfn.XLOOKUP(B2491,'Form responses 1'!$B$2:$B$2604,'Form responses 1'!$C$2:$C$2604,""))</f>
        <v/>
      </c>
      <c r="F2491" s="44" t="str">
        <f t="array" ref="F2491">IF(B2491="","",_xlfn.XLOOKUP(B2491,'Form responses 1'!$B$2:$B$2604,'Form responses 1'!$D$2:$D$2604,""))</f>
        <v/>
      </c>
      <c r="G2491" s="44" t="str">
        <f t="array" ref="G2491">IF(B2491="","",_xlfn.XLOOKUP(B2491,'Form responses 1'!$B$2:$B$2604,'Form responses 1'!$E$2:$E$2604,""))</f>
        <v/>
      </c>
      <c r="H2491" s="44" t="str">
        <f t="array" ref="H2491">IF(B2491="","",_xlfn.XLOOKUP(B2491,'Form responses 1'!$B$2:$B$2604,'Form responses 1'!$F$2:$F$2604,""))</f>
        <v/>
      </c>
      <c r="I2491" s="44" t="str">
        <f t="array" ref="I2491">IF(B2491="","",_xlfn.XLOOKUP(B2491,'Form responses 1'!$B$2:$B$2604,'Form responses 1'!$I$2:$I$2604,""))</f>
        <v/>
      </c>
      <c r="J2491" s="44" t="str">
        <f t="array" ref="J2491">IF(B2491="","",_xlfn.XLOOKUP(B2491,'Form responses 1'!$B$2:$B$2604,'Form responses 1'!$G$2:$G$2604,""))</f>
        <v/>
      </c>
      <c r="K2491" s="56"/>
      <c r="L2491" s="58" t="str">
        <f t="shared" si="7"/>
        <v/>
      </c>
      <c r="M2491" s="49"/>
      <c r="N2491" s="49"/>
      <c r="O2491" s="49"/>
      <c r="P2491" s="49"/>
      <c r="Q2491" s="49"/>
      <c r="R2491" s="49"/>
      <c r="S2491" s="49"/>
      <c r="T2491" s="49"/>
      <c r="U2491" s="49"/>
      <c r="V2491" s="49"/>
      <c r="W2491" s="56"/>
      <c r="X2491" s="51" t="str">
        <f t="shared" si="5"/>
        <v/>
      </c>
      <c r="Y2491" s="50" t="s">
        <v>482</v>
      </c>
      <c r="Z2491" s="49">
        <f t="shared" si="6"/>
        <v>0</v>
      </c>
    </row>
    <row r="2492" ht="22.5" customHeight="1">
      <c r="B2492" s="57"/>
      <c r="C2492" s="43" t="str">
        <f t="array" ref="C2492">IF(B2492="","",_xlfn.XLOOKUP(B2492,'Form responses 1'!$B$2:$B$2604,'Form responses 1'!$A$2:$A$2604,""))</f>
        <v/>
      </c>
      <c r="D2492" s="44" t="str">
        <f t="shared" si="3"/>
        <v/>
      </c>
      <c r="E2492" s="44" t="str">
        <f t="array" ref="E2492">IF(B2492="","",_xlfn.XLOOKUP(B2492,'Form responses 1'!$B$2:$B$2604,'Form responses 1'!$C$2:$C$2604,""))</f>
        <v/>
      </c>
      <c r="F2492" s="44" t="str">
        <f t="array" ref="F2492">IF(B2492="","",_xlfn.XLOOKUP(B2492,'Form responses 1'!$B$2:$B$2604,'Form responses 1'!$D$2:$D$2604,""))</f>
        <v/>
      </c>
      <c r="G2492" s="44" t="str">
        <f t="array" ref="G2492">IF(B2492="","",_xlfn.XLOOKUP(B2492,'Form responses 1'!$B$2:$B$2604,'Form responses 1'!$E$2:$E$2604,""))</f>
        <v/>
      </c>
      <c r="H2492" s="44" t="str">
        <f t="array" ref="H2492">IF(B2492="","",_xlfn.XLOOKUP(B2492,'Form responses 1'!$B$2:$B$2604,'Form responses 1'!$F$2:$F$2604,""))</f>
        <v/>
      </c>
      <c r="I2492" s="44" t="str">
        <f t="array" ref="I2492">IF(B2492="","",_xlfn.XLOOKUP(B2492,'Form responses 1'!$B$2:$B$2604,'Form responses 1'!$I$2:$I$2604,""))</f>
        <v/>
      </c>
      <c r="J2492" s="44" t="str">
        <f t="array" ref="J2492">IF(B2492="","",_xlfn.XLOOKUP(B2492,'Form responses 1'!$B$2:$B$2604,'Form responses 1'!$G$2:$G$2604,""))</f>
        <v/>
      </c>
      <c r="K2492" s="56"/>
      <c r="L2492" s="58" t="str">
        <f t="shared" si="7"/>
        <v/>
      </c>
      <c r="M2492" s="49"/>
      <c r="N2492" s="49"/>
      <c r="O2492" s="49"/>
      <c r="P2492" s="49"/>
      <c r="Q2492" s="49"/>
      <c r="R2492" s="49"/>
      <c r="S2492" s="49"/>
      <c r="T2492" s="49"/>
      <c r="U2492" s="49"/>
      <c r="V2492" s="49"/>
      <c r="W2492" s="56"/>
      <c r="X2492" s="51" t="str">
        <f t="shared" si="5"/>
        <v/>
      </c>
      <c r="Y2492" s="50" t="s">
        <v>482</v>
      </c>
      <c r="Z2492" s="49">
        <f t="shared" si="6"/>
        <v>0</v>
      </c>
    </row>
    <row r="2493" ht="22.5" customHeight="1">
      <c r="B2493" s="57"/>
      <c r="C2493" s="43" t="str">
        <f t="array" ref="C2493">IF(B2493="","",_xlfn.XLOOKUP(B2493,'Form responses 1'!$B$2:$B$2604,'Form responses 1'!$A$2:$A$2604,""))</f>
        <v/>
      </c>
      <c r="D2493" s="44" t="str">
        <f t="shared" si="3"/>
        <v/>
      </c>
      <c r="E2493" s="44" t="str">
        <f t="array" ref="E2493">IF(B2493="","",_xlfn.XLOOKUP(B2493,'Form responses 1'!$B$2:$B$2604,'Form responses 1'!$C$2:$C$2604,""))</f>
        <v/>
      </c>
      <c r="F2493" s="44" t="str">
        <f t="array" ref="F2493">IF(B2493="","",_xlfn.XLOOKUP(B2493,'Form responses 1'!$B$2:$B$2604,'Form responses 1'!$D$2:$D$2604,""))</f>
        <v/>
      </c>
      <c r="G2493" s="44" t="str">
        <f t="array" ref="G2493">IF(B2493="","",_xlfn.XLOOKUP(B2493,'Form responses 1'!$B$2:$B$2604,'Form responses 1'!$E$2:$E$2604,""))</f>
        <v/>
      </c>
      <c r="H2493" s="44" t="str">
        <f t="array" ref="H2493">IF(B2493="","",_xlfn.XLOOKUP(B2493,'Form responses 1'!$B$2:$B$2604,'Form responses 1'!$F$2:$F$2604,""))</f>
        <v/>
      </c>
      <c r="I2493" s="44" t="str">
        <f t="array" ref="I2493">IF(B2493="","",_xlfn.XLOOKUP(B2493,'Form responses 1'!$B$2:$B$2604,'Form responses 1'!$I$2:$I$2604,""))</f>
        <v/>
      </c>
      <c r="J2493" s="44" t="str">
        <f t="array" ref="J2493">IF(B2493="","",_xlfn.XLOOKUP(B2493,'Form responses 1'!$B$2:$B$2604,'Form responses 1'!$G$2:$G$2604,""))</f>
        <v/>
      </c>
      <c r="K2493" s="56"/>
      <c r="L2493" s="58" t="str">
        <f t="shared" si="7"/>
        <v/>
      </c>
      <c r="M2493" s="49"/>
      <c r="N2493" s="49"/>
      <c r="O2493" s="49"/>
      <c r="P2493" s="49"/>
      <c r="Q2493" s="49"/>
      <c r="R2493" s="49"/>
      <c r="S2493" s="49"/>
      <c r="T2493" s="49"/>
      <c r="U2493" s="49"/>
      <c r="V2493" s="49"/>
      <c r="W2493" s="56"/>
      <c r="X2493" s="51" t="str">
        <f t="shared" si="5"/>
        <v/>
      </c>
      <c r="Y2493" s="50" t="s">
        <v>482</v>
      </c>
      <c r="Z2493" s="49">
        <f t="shared" si="6"/>
        <v>0</v>
      </c>
    </row>
    <row r="2494" ht="22.5" customHeight="1">
      <c r="B2494" s="57"/>
      <c r="C2494" s="43" t="str">
        <f t="array" ref="C2494">IF(B2494="","",_xlfn.XLOOKUP(B2494,'Form responses 1'!$B$2:$B$2604,'Form responses 1'!$A$2:$A$2604,""))</f>
        <v/>
      </c>
      <c r="D2494" s="44" t="str">
        <f t="shared" si="3"/>
        <v/>
      </c>
      <c r="E2494" s="44" t="str">
        <f t="array" ref="E2494">IF(B2494="","",_xlfn.XLOOKUP(B2494,'Form responses 1'!$B$2:$B$2604,'Form responses 1'!$C$2:$C$2604,""))</f>
        <v/>
      </c>
      <c r="F2494" s="44" t="str">
        <f t="array" ref="F2494">IF(B2494="","",_xlfn.XLOOKUP(B2494,'Form responses 1'!$B$2:$B$2604,'Form responses 1'!$D$2:$D$2604,""))</f>
        <v/>
      </c>
      <c r="G2494" s="44" t="str">
        <f t="array" ref="G2494">IF(B2494="","",_xlfn.XLOOKUP(B2494,'Form responses 1'!$B$2:$B$2604,'Form responses 1'!$E$2:$E$2604,""))</f>
        <v/>
      </c>
      <c r="H2494" s="44" t="str">
        <f t="array" ref="H2494">IF(B2494="","",_xlfn.XLOOKUP(B2494,'Form responses 1'!$B$2:$B$2604,'Form responses 1'!$F$2:$F$2604,""))</f>
        <v/>
      </c>
      <c r="I2494" s="44" t="str">
        <f t="array" ref="I2494">IF(B2494="","",_xlfn.XLOOKUP(B2494,'Form responses 1'!$B$2:$B$2604,'Form responses 1'!$I$2:$I$2604,""))</f>
        <v/>
      </c>
      <c r="J2494" s="44" t="str">
        <f t="array" ref="J2494">IF(B2494="","",_xlfn.XLOOKUP(B2494,'Form responses 1'!$B$2:$B$2604,'Form responses 1'!$G$2:$G$2604,""))</f>
        <v/>
      </c>
      <c r="K2494" s="56"/>
      <c r="L2494" s="58" t="str">
        <f t="shared" si="7"/>
        <v/>
      </c>
      <c r="M2494" s="49"/>
      <c r="N2494" s="49"/>
      <c r="O2494" s="49"/>
      <c r="P2494" s="49"/>
      <c r="Q2494" s="49"/>
      <c r="R2494" s="49"/>
      <c r="S2494" s="49"/>
      <c r="T2494" s="49"/>
      <c r="U2494" s="49"/>
      <c r="V2494" s="49"/>
      <c r="W2494" s="56"/>
      <c r="X2494" s="51" t="str">
        <f t="shared" si="5"/>
        <v/>
      </c>
      <c r="Y2494" s="50" t="s">
        <v>482</v>
      </c>
      <c r="Z2494" s="49">
        <f t="shared" si="6"/>
        <v>0</v>
      </c>
    </row>
    <row r="2495" ht="22.5" customHeight="1">
      <c r="B2495" s="57"/>
      <c r="C2495" s="43" t="str">
        <f t="array" ref="C2495">IF(B2495="","",_xlfn.XLOOKUP(B2495,'Form responses 1'!$B$2:$B$2604,'Form responses 1'!$A$2:$A$2604,""))</f>
        <v/>
      </c>
      <c r="D2495" s="44" t="str">
        <f t="shared" si="3"/>
        <v/>
      </c>
      <c r="E2495" s="44" t="str">
        <f t="array" ref="E2495">IF(B2495="","",_xlfn.XLOOKUP(B2495,'Form responses 1'!$B$2:$B$2604,'Form responses 1'!$C$2:$C$2604,""))</f>
        <v/>
      </c>
      <c r="F2495" s="44" t="str">
        <f t="array" ref="F2495">IF(B2495="","",_xlfn.XLOOKUP(B2495,'Form responses 1'!$B$2:$B$2604,'Form responses 1'!$D$2:$D$2604,""))</f>
        <v/>
      </c>
      <c r="G2495" s="44" t="str">
        <f t="array" ref="G2495">IF(B2495="","",_xlfn.XLOOKUP(B2495,'Form responses 1'!$B$2:$B$2604,'Form responses 1'!$E$2:$E$2604,""))</f>
        <v/>
      </c>
      <c r="H2495" s="44" t="str">
        <f t="array" ref="H2495">IF(B2495="","",_xlfn.XLOOKUP(B2495,'Form responses 1'!$B$2:$B$2604,'Form responses 1'!$F$2:$F$2604,""))</f>
        <v/>
      </c>
      <c r="I2495" s="44" t="str">
        <f t="array" ref="I2495">IF(B2495="","",_xlfn.XLOOKUP(B2495,'Form responses 1'!$B$2:$B$2604,'Form responses 1'!$I$2:$I$2604,""))</f>
        <v/>
      </c>
      <c r="J2495" s="44" t="str">
        <f t="array" ref="J2495">IF(B2495="","",_xlfn.XLOOKUP(B2495,'Form responses 1'!$B$2:$B$2604,'Form responses 1'!$G$2:$G$2604,""))</f>
        <v/>
      </c>
      <c r="K2495" s="56"/>
      <c r="L2495" s="58" t="str">
        <f t="shared" si="7"/>
        <v/>
      </c>
      <c r="M2495" s="49"/>
      <c r="N2495" s="49"/>
      <c r="O2495" s="49"/>
      <c r="P2495" s="49"/>
      <c r="Q2495" s="49"/>
      <c r="R2495" s="49"/>
      <c r="S2495" s="49"/>
      <c r="T2495" s="49"/>
      <c r="U2495" s="49"/>
      <c r="V2495" s="49"/>
      <c r="W2495" s="56"/>
      <c r="X2495" s="51" t="str">
        <f t="shared" si="5"/>
        <v/>
      </c>
      <c r="Y2495" s="50" t="s">
        <v>482</v>
      </c>
      <c r="Z2495" s="49">
        <f t="shared" si="6"/>
        <v>0</v>
      </c>
    </row>
    <row r="2496" ht="22.5" customHeight="1">
      <c r="B2496" s="57"/>
      <c r="C2496" s="43" t="str">
        <f t="array" ref="C2496">IF(B2496="","",_xlfn.XLOOKUP(B2496,'Form responses 1'!$B$2:$B$2604,'Form responses 1'!$A$2:$A$2604,""))</f>
        <v/>
      </c>
      <c r="D2496" s="44" t="str">
        <f t="shared" si="3"/>
        <v/>
      </c>
      <c r="E2496" s="44" t="str">
        <f t="array" ref="E2496">IF(B2496="","",_xlfn.XLOOKUP(B2496,'Form responses 1'!$B$2:$B$2604,'Form responses 1'!$C$2:$C$2604,""))</f>
        <v/>
      </c>
      <c r="F2496" s="44" t="str">
        <f t="array" ref="F2496">IF(B2496="","",_xlfn.XLOOKUP(B2496,'Form responses 1'!$B$2:$B$2604,'Form responses 1'!$D$2:$D$2604,""))</f>
        <v/>
      </c>
      <c r="G2496" s="44" t="str">
        <f t="array" ref="G2496">IF(B2496="","",_xlfn.XLOOKUP(B2496,'Form responses 1'!$B$2:$B$2604,'Form responses 1'!$E$2:$E$2604,""))</f>
        <v/>
      </c>
      <c r="H2496" s="44" t="str">
        <f t="array" ref="H2496">IF(B2496="","",_xlfn.XLOOKUP(B2496,'Form responses 1'!$B$2:$B$2604,'Form responses 1'!$F$2:$F$2604,""))</f>
        <v/>
      </c>
      <c r="I2496" s="44" t="str">
        <f t="array" ref="I2496">IF(B2496="","",_xlfn.XLOOKUP(B2496,'Form responses 1'!$B$2:$B$2604,'Form responses 1'!$I$2:$I$2604,""))</f>
        <v/>
      </c>
      <c r="J2496" s="44" t="str">
        <f t="array" ref="J2496">IF(B2496="","",_xlfn.XLOOKUP(B2496,'Form responses 1'!$B$2:$B$2604,'Form responses 1'!$G$2:$G$2604,""))</f>
        <v/>
      </c>
      <c r="K2496" s="56"/>
      <c r="L2496" s="58" t="str">
        <f t="shared" si="7"/>
        <v/>
      </c>
      <c r="M2496" s="49"/>
      <c r="N2496" s="49"/>
      <c r="O2496" s="49"/>
      <c r="P2496" s="49"/>
      <c r="Q2496" s="49"/>
      <c r="R2496" s="49"/>
      <c r="S2496" s="49"/>
      <c r="T2496" s="49"/>
      <c r="U2496" s="49"/>
      <c r="V2496" s="49"/>
      <c r="W2496" s="56"/>
      <c r="X2496" s="51" t="str">
        <f t="shared" si="5"/>
        <v/>
      </c>
      <c r="Y2496" s="50" t="s">
        <v>482</v>
      </c>
      <c r="Z2496" s="49">
        <f t="shared" si="6"/>
        <v>0</v>
      </c>
    </row>
    <row r="2497" ht="22.5" customHeight="1">
      <c r="B2497" s="57"/>
      <c r="C2497" s="43" t="str">
        <f t="array" ref="C2497">IF(B2497="","",_xlfn.XLOOKUP(B2497,'Form responses 1'!$B$2:$B$2604,'Form responses 1'!$A$2:$A$2604,""))</f>
        <v/>
      </c>
      <c r="D2497" s="44" t="str">
        <f t="shared" si="3"/>
        <v/>
      </c>
      <c r="E2497" s="44" t="str">
        <f t="array" ref="E2497">IF(B2497="","",_xlfn.XLOOKUP(B2497,'Form responses 1'!$B$2:$B$2604,'Form responses 1'!$C$2:$C$2604,""))</f>
        <v/>
      </c>
      <c r="F2497" s="44" t="str">
        <f t="array" ref="F2497">IF(B2497="","",_xlfn.XLOOKUP(B2497,'Form responses 1'!$B$2:$B$2604,'Form responses 1'!$D$2:$D$2604,""))</f>
        <v/>
      </c>
      <c r="G2497" s="44" t="str">
        <f t="array" ref="G2497">IF(B2497="","",_xlfn.XLOOKUP(B2497,'Form responses 1'!$B$2:$B$2604,'Form responses 1'!$E$2:$E$2604,""))</f>
        <v/>
      </c>
      <c r="H2497" s="44" t="str">
        <f t="array" ref="H2497">IF(B2497="","",_xlfn.XLOOKUP(B2497,'Form responses 1'!$B$2:$B$2604,'Form responses 1'!$F$2:$F$2604,""))</f>
        <v/>
      </c>
      <c r="I2497" s="44" t="str">
        <f t="array" ref="I2497">IF(B2497="","",_xlfn.XLOOKUP(B2497,'Form responses 1'!$B$2:$B$2604,'Form responses 1'!$I$2:$I$2604,""))</f>
        <v/>
      </c>
      <c r="J2497" s="44" t="str">
        <f t="array" ref="J2497">IF(B2497="","",_xlfn.XLOOKUP(B2497,'Form responses 1'!$B$2:$B$2604,'Form responses 1'!$G$2:$G$2604,""))</f>
        <v/>
      </c>
      <c r="K2497" s="56"/>
      <c r="L2497" s="58" t="str">
        <f t="shared" si="7"/>
        <v/>
      </c>
      <c r="M2497" s="49"/>
      <c r="N2497" s="49"/>
      <c r="O2497" s="49"/>
      <c r="P2497" s="49"/>
      <c r="Q2497" s="49"/>
      <c r="R2497" s="49"/>
      <c r="S2497" s="49"/>
      <c r="T2497" s="49"/>
      <c r="U2497" s="49"/>
      <c r="V2497" s="49"/>
      <c r="W2497" s="56"/>
      <c r="X2497" s="51" t="str">
        <f t="shared" si="5"/>
        <v/>
      </c>
      <c r="Y2497" s="50" t="s">
        <v>482</v>
      </c>
      <c r="Z2497" s="49">
        <f t="shared" si="6"/>
        <v>0</v>
      </c>
    </row>
    <row r="2498" ht="22.5" customHeight="1">
      <c r="B2498" s="57"/>
      <c r="C2498" s="43" t="str">
        <f t="array" ref="C2498">IF(B2498="","",_xlfn.XLOOKUP(B2498,'Form responses 1'!$B$2:$B$2604,'Form responses 1'!$A$2:$A$2604,""))</f>
        <v/>
      </c>
      <c r="D2498" s="44" t="str">
        <f t="shared" si="3"/>
        <v/>
      </c>
      <c r="E2498" s="44" t="str">
        <f t="array" ref="E2498">IF(B2498="","",_xlfn.XLOOKUP(B2498,'Form responses 1'!$B$2:$B$2604,'Form responses 1'!$C$2:$C$2604,""))</f>
        <v/>
      </c>
      <c r="F2498" s="44" t="str">
        <f t="array" ref="F2498">IF(B2498="","",_xlfn.XLOOKUP(B2498,'Form responses 1'!$B$2:$B$2604,'Form responses 1'!$D$2:$D$2604,""))</f>
        <v/>
      </c>
      <c r="G2498" s="44" t="str">
        <f t="array" ref="G2498">IF(B2498="","",_xlfn.XLOOKUP(B2498,'Form responses 1'!$B$2:$B$2604,'Form responses 1'!$E$2:$E$2604,""))</f>
        <v/>
      </c>
      <c r="H2498" s="44" t="str">
        <f t="array" ref="H2498">IF(B2498="","",_xlfn.XLOOKUP(B2498,'Form responses 1'!$B$2:$B$2604,'Form responses 1'!$F$2:$F$2604,""))</f>
        <v/>
      </c>
      <c r="I2498" s="44" t="str">
        <f t="array" ref="I2498">IF(B2498="","",_xlfn.XLOOKUP(B2498,'Form responses 1'!$B$2:$B$2604,'Form responses 1'!$I$2:$I$2604,""))</f>
        <v/>
      </c>
      <c r="J2498" s="44" t="str">
        <f t="array" ref="J2498">IF(B2498="","",_xlfn.XLOOKUP(B2498,'Form responses 1'!$B$2:$B$2604,'Form responses 1'!$G$2:$G$2604,""))</f>
        <v/>
      </c>
      <c r="K2498" s="56"/>
      <c r="L2498" s="58" t="str">
        <f t="shared" si="7"/>
        <v/>
      </c>
      <c r="M2498" s="49"/>
      <c r="N2498" s="49"/>
      <c r="O2498" s="49"/>
      <c r="P2498" s="49"/>
      <c r="Q2498" s="49"/>
      <c r="R2498" s="49"/>
      <c r="S2498" s="49"/>
      <c r="T2498" s="49"/>
      <c r="U2498" s="49"/>
      <c r="V2498" s="49"/>
      <c r="W2498" s="56"/>
      <c r="X2498" s="51" t="str">
        <f t="shared" si="5"/>
        <v/>
      </c>
      <c r="Y2498" s="50" t="s">
        <v>482</v>
      </c>
      <c r="Z2498" s="49">
        <f t="shared" si="6"/>
        <v>0</v>
      </c>
    </row>
    <row r="2499" ht="22.5" customHeight="1">
      <c r="B2499" s="57"/>
      <c r="C2499" s="43" t="str">
        <f t="array" ref="C2499">IF(B2499="","",_xlfn.XLOOKUP(B2499,'Form responses 1'!$B$2:$B$2604,'Form responses 1'!$A$2:$A$2604,""))</f>
        <v/>
      </c>
      <c r="D2499" s="44" t="str">
        <f t="shared" si="3"/>
        <v/>
      </c>
      <c r="E2499" s="44" t="str">
        <f t="array" ref="E2499">IF(B2499="","",_xlfn.XLOOKUP(B2499,'Form responses 1'!$B$2:$B$2604,'Form responses 1'!$C$2:$C$2604,""))</f>
        <v/>
      </c>
      <c r="F2499" s="44" t="str">
        <f t="array" ref="F2499">IF(B2499="","",_xlfn.XLOOKUP(B2499,'Form responses 1'!$B$2:$B$2604,'Form responses 1'!$D$2:$D$2604,""))</f>
        <v/>
      </c>
      <c r="G2499" s="44" t="str">
        <f t="array" ref="G2499">IF(B2499="","",_xlfn.XLOOKUP(B2499,'Form responses 1'!$B$2:$B$2604,'Form responses 1'!$E$2:$E$2604,""))</f>
        <v/>
      </c>
      <c r="H2499" s="44" t="str">
        <f t="array" ref="H2499">IF(B2499="","",_xlfn.XLOOKUP(B2499,'Form responses 1'!$B$2:$B$2604,'Form responses 1'!$F$2:$F$2604,""))</f>
        <v/>
      </c>
      <c r="I2499" s="44" t="str">
        <f t="array" ref="I2499">IF(B2499="","",_xlfn.XLOOKUP(B2499,'Form responses 1'!$B$2:$B$2604,'Form responses 1'!$I$2:$I$2604,""))</f>
        <v/>
      </c>
      <c r="J2499" s="44" t="str">
        <f t="array" ref="J2499">IF(B2499="","",_xlfn.XLOOKUP(B2499,'Form responses 1'!$B$2:$B$2604,'Form responses 1'!$G$2:$G$2604,""))</f>
        <v/>
      </c>
      <c r="K2499" s="56"/>
      <c r="L2499" s="58" t="str">
        <f t="shared" si="7"/>
        <v/>
      </c>
      <c r="M2499" s="49"/>
      <c r="N2499" s="49"/>
      <c r="O2499" s="49"/>
      <c r="P2499" s="49"/>
      <c r="Q2499" s="49"/>
      <c r="R2499" s="49"/>
      <c r="S2499" s="49"/>
      <c r="T2499" s="49"/>
      <c r="U2499" s="49"/>
      <c r="V2499" s="49"/>
      <c r="W2499" s="56"/>
      <c r="X2499" s="51" t="str">
        <f t="shared" si="5"/>
        <v/>
      </c>
      <c r="Y2499" s="50" t="s">
        <v>482</v>
      </c>
      <c r="Z2499" s="49">
        <f t="shared" si="6"/>
        <v>0</v>
      </c>
    </row>
    <row r="2500" ht="22.5" customHeight="1">
      <c r="B2500" s="57"/>
      <c r="C2500" s="43" t="str">
        <f t="array" ref="C2500">IF(B2500="","",_xlfn.XLOOKUP(B2500,'Form responses 1'!$B$2:$B$2604,'Form responses 1'!$A$2:$A$2604,""))</f>
        <v/>
      </c>
      <c r="D2500" s="44" t="str">
        <f t="shared" si="3"/>
        <v/>
      </c>
      <c r="E2500" s="44" t="str">
        <f t="array" ref="E2500">IF(B2500="","",_xlfn.XLOOKUP(B2500,'Form responses 1'!$B$2:$B$2604,'Form responses 1'!$C$2:$C$2604,""))</f>
        <v/>
      </c>
      <c r="F2500" s="44" t="str">
        <f t="array" ref="F2500">IF(B2500="","",_xlfn.XLOOKUP(B2500,'Form responses 1'!$B$2:$B$2604,'Form responses 1'!$D$2:$D$2604,""))</f>
        <v/>
      </c>
      <c r="G2500" s="44" t="str">
        <f t="array" ref="G2500">IF(B2500="","",_xlfn.XLOOKUP(B2500,'Form responses 1'!$B$2:$B$2604,'Form responses 1'!$E$2:$E$2604,""))</f>
        <v/>
      </c>
      <c r="H2500" s="44" t="str">
        <f t="array" ref="H2500">IF(B2500="","",_xlfn.XLOOKUP(B2500,'Form responses 1'!$B$2:$B$2604,'Form responses 1'!$F$2:$F$2604,""))</f>
        <v/>
      </c>
      <c r="I2500" s="44" t="str">
        <f t="array" ref="I2500">IF(B2500="","",_xlfn.XLOOKUP(B2500,'Form responses 1'!$B$2:$B$2604,'Form responses 1'!$I$2:$I$2604,""))</f>
        <v/>
      </c>
      <c r="J2500" s="44" t="str">
        <f t="array" ref="J2500">IF(B2500="","",_xlfn.XLOOKUP(B2500,'Form responses 1'!$B$2:$B$2604,'Form responses 1'!$G$2:$G$2604,""))</f>
        <v/>
      </c>
      <c r="K2500" s="56"/>
      <c r="L2500" s="58" t="str">
        <f t="shared" si="7"/>
        <v/>
      </c>
      <c r="M2500" s="49"/>
      <c r="N2500" s="49"/>
      <c r="O2500" s="49"/>
      <c r="P2500" s="49"/>
      <c r="Q2500" s="49"/>
      <c r="R2500" s="49"/>
      <c r="S2500" s="49"/>
      <c r="T2500" s="49"/>
      <c r="U2500" s="49"/>
      <c r="V2500" s="49"/>
      <c r="W2500" s="56"/>
      <c r="X2500" s="51" t="str">
        <f t="shared" si="5"/>
        <v/>
      </c>
      <c r="Y2500" s="50" t="s">
        <v>482</v>
      </c>
      <c r="Z2500" s="49">
        <f t="shared" si="6"/>
        <v>0</v>
      </c>
    </row>
    <row r="2501" ht="22.5" customHeight="1">
      <c r="B2501" s="57"/>
      <c r="C2501" s="43" t="str">
        <f t="array" ref="C2501">IF(B2501="","",_xlfn.XLOOKUP(B2501,'Form responses 1'!$B$2:$B$2604,'Form responses 1'!$A$2:$A$2604,""))</f>
        <v/>
      </c>
      <c r="D2501" s="44" t="str">
        <f t="shared" si="3"/>
        <v/>
      </c>
      <c r="E2501" s="44" t="str">
        <f t="array" ref="E2501">IF(B2501="","",_xlfn.XLOOKUP(B2501,'Form responses 1'!$B$2:$B$2604,'Form responses 1'!$C$2:$C$2604,""))</f>
        <v/>
      </c>
      <c r="F2501" s="44" t="str">
        <f t="array" ref="F2501">IF(B2501="","",_xlfn.XLOOKUP(B2501,'Form responses 1'!$B$2:$B$2604,'Form responses 1'!$D$2:$D$2604,""))</f>
        <v/>
      </c>
      <c r="G2501" s="44" t="str">
        <f t="array" ref="G2501">IF(B2501="","",_xlfn.XLOOKUP(B2501,'Form responses 1'!$B$2:$B$2604,'Form responses 1'!$E$2:$E$2604,""))</f>
        <v/>
      </c>
      <c r="H2501" s="44" t="str">
        <f t="array" ref="H2501">IF(B2501="","",_xlfn.XLOOKUP(B2501,'Form responses 1'!$B$2:$B$2604,'Form responses 1'!$F$2:$F$2604,""))</f>
        <v/>
      </c>
      <c r="I2501" s="44" t="str">
        <f t="array" ref="I2501">IF(B2501="","",_xlfn.XLOOKUP(B2501,'Form responses 1'!$B$2:$B$2604,'Form responses 1'!$I$2:$I$2604,""))</f>
        <v/>
      </c>
      <c r="J2501" s="44" t="str">
        <f t="array" ref="J2501">IF(B2501="","",_xlfn.XLOOKUP(B2501,'Form responses 1'!$B$2:$B$2604,'Form responses 1'!$G$2:$G$2604,""))</f>
        <v/>
      </c>
      <c r="K2501" s="56"/>
      <c r="L2501" s="58" t="str">
        <f t="shared" si="7"/>
        <v/>
      </c>
      <c r="M2501" s="49"/>
      <c r="N2501" s="49"/>
      <c r="O2501" s="49"/>
      <c r="P2501" s="49"/>
      <c r="Q2501" s="49"/>
      <c r="R2501" s="49"/>
      <c r="S2501" s="49"/>
      <c r="T2501" s="49"/>
      <c r="U2501" s="49"/>
      <c r="V2501" s="49"/>
      <c r="W2501" s="56"/>
      <c r="X2501" s="51" t="str">
        <f t="shared" si="5"/>
        <v/>
      </c>
      <c r="Y2501" s="50" t="s">
        <v>482</v>
      </c>
      <c r="Z2501" s="49">
        <f t="shared" si="6"/>
        <v>0</v>
      </c>
    </row>
    <row r="2502" ht="22.5" customHeight="1">
      <c r="B2502" s="57"/>
      <c r="C2502" s="43" t="str">
        <f t="array" ref="C2502">IF(B2502="","",_xlfn.XLOOKUP(B2502,'Form responses 1'!$B$2:$B$2604,'Form responses 1'!$A$2:$A$2604,""))</f>
        <v/>
      </c>
      <c r="D2502" s="44" t="str">
        <f t="shared" si="3"/>
        <v/>
      </c>
      <c r="E2502" s="44" t="str">
        <f t="array" ref="E2502">IF(B2502="","",_xlfn.XLOOKUP(B2502,'Form responses 1'!$B$2:$B$2604,'Form responses 1'!$C$2:$C$2604,""))</f>
        <v/>
      </c>
      <c r="F2502" s="44" t="str">
        <f t="array" ref="F2502">IF(B2502="","",_xlfn.XLOOKUP(B2502,'Form responses 1'!$B$2:$B$2604,'Form responses 1'!$D$2:$D$2604,""))</f>
        <v/>
      </c>
      <c r="G2502" s="44" t="str">
        <f t="array" ref="G2502">IF(B2502="","",_xlfn.XLOOKUP(B2502,'Form responses 1'!$B$2:$B$2604,'Form responses 1'!$E$2:$E$2604,""))</f>
        <v/>
      </c>
      <c r="H2502" s="44" t="str">
        <f t="array" ref="H2502">IF(B2502="","",_xlfn.XLOOKUP(B2502,'Form responses 1'!$B$2:$B$2604,'Form responses 1'!$F$2:$F$2604,""))</f>
        <v/>
      </c>
      <c r="I2502" s="44" t="str">
        <f t="array" ref="I2502">IF(B2502="","",_xlfn.XLOOKUP(B2502,'Form responses 1'!$B$2:$B$2604,'Form responses 1'!$I$2:$I$2604,""))</f>
        <v/>
      </c>
      <c r="J2502" s="44" t="str">
        <f t="array" ref="J2502">IF(B2502="","",_xlfn.XLOOKUP(B2502,'Form responses 1'!$B$2:$B$2604,'Form responses 1'!$G$2:$G$2604,""))</f>
        <v/>
      </c>
      <c r="K2502" s="56"/>
      <c r="L2502" s="58" t="str">
        <f t="shared" si="7"/>
        <v/>
      </c>
      <c r="M2502" s="49"/>
      <c r="N2502" s="49"/>
      <c r="O2502" s="49"/>
      <c r="P2502" s="49"/>
      <c r="Q2502" s="49"/>
      <c r="R2502" s="49"/>
      <c r="S2502" s="49"/>
      <c r="T2502" s="49"/>
      <c r="U2502" s="49"/>
      <c r="V2502" s="49"/>
      <c r="W2502" s="56"/>
      <c r="X2502" s="51" t="str">
        <f t="shared" si="5"/>
        <v/>
      </c>
      <c r="Y2502" s="50" t="s">
        <v>482</v>
      </c>
      <c r="Z2502" s="49">
        <f t="shared" si="6"/>
        <v>0</v>
      </c>
    </row>
    <row r="2503" ht="22.5" customHeight="1">
      <c r="B2503" s="57"/>
      <c r="C2503" s="43" t="str">
        <f t="array" ref="C2503">IF(B2503="","",_xlfn.XLOOKUP(B2503,'Form responses 1'!$B$2:$B$2604,'Form responses 1'!$A$2:$A$2604,""))</f>
        <v/>
      </c>
      <c r="D2503" s="44" t="str">
        <f t="shared" si="3"/>
        <v/>
      </c>
      <c r="E2503" s="44" t="str">
        <f t="array" ref="E2503">IF(B2503="","",_xlfn.XLOOKUP(B2503,'Form responses 1'!$B$2:$B$2604,'Form responses 1'!$C$2:$C$2604,""))</f>
        <v/>
      </c>
      <c r="F2503" s="44" t="str">
        <f t="array" ref="F2503">IF(B2503="","",_xlfn.XLOOKUP(B2503,'Form responses 1'!$B$2:$B$2604,'Form responses 1'!$D$2:$D$2604,""))</f>
        <v/>
      </c>
      <c r="G2503" s="44" t="str">
        <f t="array" ref="G2503">IF(B2503="","",_xlfn.XLOOKUP(B2503,'Form responses 1'!$B$2:$B$2604,'Form responses 1'!$E$2:$E$2604,""))</f>
        <v/>
      </c>
      <c r="H2503" s="44" t="str">
        <f t="array" ref="H2503">IF(B2503="","",_xlfn.XLOOKUP(B2503,'Form responses 1'!$B$2:$B$2604,'Form responses 1'!$F$2:$F$2604,""))</f>
        <v/>
      </c>
      <c r="I2503" s="44" t="str">
        <f t="array" ref="I2503">IF(B2503="","",_xlfn.XLOOKUP(B2503,'Form responses 1'!$B$2:$B$2604,'Form responses 1'!$I$2:$I$2604,""))</f>
        <v/>
      </c>
      <c r="J2503" s="44" t="str">
        <f t="array" ref="J2503">IF(B2503="","",_xlfn.XLOOKUP(B2503,'Form responses 1'!$B$2:$B$2604,'Form responses 1'!$G$2:$G$2604,""))</f>
        <v/>
      </c>
      <c r="K2503" s="56"/>
      <c r="L2503" s="58" t="str">
        <f t="shared" si="7"/>
        <v/>
      </c>
      <c r="M2503" s="49"/>
      <c r="N2503" s="49"/>
      <c r="O2503" s="49"/>
      <c r="P2503" s="49"/>
      <c r="Q2503" s="49"/>
      <c r="R2503" s="49"/>
      <c r="S2503" s="49"/>
      <c r="T2503" s="49"/>
      <c r="U2503" s="49"/>
      <c r="V2503" s="49"/>
      <c r="W2503" s="56"/>
      <c r="X2503" s="51" t="str">
        <f t="shared" si="5"/>
        <v/>
      </c>
      <c r="Y2503" s="50" t="s">
        <v>482</v>
      </c>
      <c r="Z2503" s="49">
        <f t="shared" si="6"/>
        <v>0</v>
      </c>
    </row>
    <row r="2504" ht="22.5" customHeight="1">
      <c r="B2504" s="57"/>
      <c r="C2504" s="43" t="str">
        <f t="array" ref="C2504">IF(B2504="","",_xlfn.XLOOKUP(B2504,'Form responses 1'!$B$2:$B$2604,'Form responses 1'!$A$2:$A$2604,""))</f>
        <v/>
      </c>
      <c r="D2504" s="44" t="str">
        <f t="shared" si="3"/>
        <v/>
      </c>
      <c r="E2504" s="44" t="str">
        <f t="array" ref="E2504">IF(B2504="","",_xlfn.XLOOKUP(B2504,'Form responses 1'!$B$2:$B$2604,'Form responses 1'!$C$2:$C$2604,""))</f>
        <v/>
      </c>
      <c r="F2504" s="44" t="str">
        <f t="array" ref="F2504">IF(B2504="","",_xlfn.XLOOKUP(B2504,'Form responses 1'!$B$2:$B$2604,'Form responses 1'!$D$2:$D$2604,""))</f>
        <v/>
      </c>
      <c r="G2504" s="44" t="str">
        <f t="array" ref="G2504">IF(B2504="","",_xlfn.XLOOKUP(B2504,'Form responses 1'!$B$2:$B$2604,'Form responses 1'!$E$2:$E$2604,""))</f>
        <v/>
      </c>
      <c r="H2504" s="44" t="str">
        <f t="array" ref="H2504">IF(B2504="","",_xlfn.XLOOKUP(B2504,'Form responses 1'!$B$2:$B$2604,'Form responses 1'!$F$2:$F$2604,""))</f>
        <v/>
      </c>
      <c r="I2504" s="44" t="str">
        <f t="array" ref="I2504">IF(B2504="","",_xlfn.XLOOKUP(B2504,'Form responses 1'!$B$2:$B$2604,'Form responses 1'!$I$2:$I$2604,""))</f>
        <v/>
      </c>
      <c r="J2504" s="44" t="str">
        <f t="array" ref="J2504">IF(B2504="","",_xlfn.XLOOKUP(B2504,'Form responses 1'!$B$2:$B$2604,'Form responses 1'!$G$2:$G$2604,""))</f>
        <v/>
      </c>
      <c r="K2504" s="56"/>
      <c r="L2504" s="58" t="str">
        <f t="shared" si="7"/>
        <v/>
      </c>
      <c r="M2504" s="49"/>
      <c r="N2504" s="49"/>
      <c r="O2504" s="49"/>
      <c r="P2504" s="49"/>
      <c r="Q2504" s="49"/>
      <c r="R2504" s="49"/>
      <c r="S2504" s="49"/>
      <c r="T2504" s="49"/>
      <c r="U2504" s="49"/>
      <c r="V2504" s="49"/>
      <c r="W2504" s="56"/>
      <c r="X2504" s="51" t="str">
        <f t="shared" si="5"/>
        <v/>
      </c>
      <c r="Y2504" s="50" t="s">
        <v>482</v>
      </c>
      <c r="Z2504" s="49">
        <f t="shared" si="6"/>
        <v>0</v>
      </c>
    </row>
    <row r="2505" ht="22.5" customHeight="1">
      <c r="B2505" s="57"/>
      <c r="C2505" s="43" t="str">
        <f t="array" ref="C2505">IF(B2505="","",_xlfn.XLOOKUP(B2505,'Form responses 1'!$B$2:$B$2604,'Form responses 1'!$A$2:$A$2604,""))</f>
        <v/>
      </c>
      <c r="D2505" s="44" t="str">
        <f t="shared" si="3"/>
        <v/>
      </c>
      <c r="E2505" s="44" t="str">
        <f t="array" ref="E2505">IF(B2505="","",_xlfn.XLOOKUP(B2505,'Form responses 1'!$B$2:$B$2604,'Form responses 1'!$C$2:$C$2604,""))</f>
        <v/>
      </c>
      <c r="F2505" s="44" t="str">
        <f t="array" ref="F2505">IF(B2505="","",_xlfn.XLOOKUP(B2505,'Form responses 1'!$B$2:$B$2604,'Form responses 1'!$D$2:$D$2604,""))</f>
        <v/>
      </c>
      <c r="G2505" s="44" t="str">
        <f t="array" ref="G2505">IF(B2505="","",_xlfn.XLOOKUP(B2505,'Form responses 1'!$B$2:$B$2604,'Form responses 1'!$E$2:$E$2604,""))</f>
        <v/>
      </c>
      <c r="H2505" s="44" t="str">
        <f t="array" ref="H2505">IF(B2505="","",_xlfn.XLOOKUP(B2505,'Form responses 1'!$B$2:$B$2604,'Form responses 1'!$F$2:$F$2604,""))</f>
        <v/>
      </c>
      <c r="I2505" s="44" t="str">
        <f t="array" ref="I2505">IF(B2505="","",_xlfn.XLOOKUP(B2505,'Form responses 1'!$B$2:$B$2604,'Form responses 1'!$I$2:$I$2604,""))</f>
        <v/>
      </c>
      <c r="J2505" s="44" t="str">
        <f t="array" ref="J2505">IF(B2505="","",_xlfn.XLOOKUP(B2505,'Form responses 1'!$B$2:$B$2604,'Form responses 1'!$G$2:$G$2604,""))</f>
        <v/>
      </c>
      <c r="K2505" s="56"/>
      <c r="L2505" s="58" t="str">
        <f t="shared" si="7"/>
        <v/>
      </c>
      <c r="M2505" s="49"/>
      <c r="N2505" s="49"/>
      <c r="O2505" s="49"/>
      <c r="P2505" s="49"/>
      <c r="Q2505" s="49"/>
      <c r="R2505" s="49"/>
      <c r="S2505" s="49"/>
      <c r="T2505" s="49"/>
      <c r="U2505" s="49"/>
      <c r="V2505" s="49"/>
      <c r="W2505" s="56"/>
      <c r="X2505" s="51" t="str">
        <f t="shared" si="5"/>
        <v/>
      </c>
      <c r="Y2505" s="50" t="s">
        <v>482</v>
      </c>
      <c r="Z2505" s="49">
        <f t="shared" si="6"/>
        <v>0</v>
      </c>
    </row>
    <row r="2506" ht="22.5" customHeight="1">
      <c r="B2506" s="57"/>
      <c r="C2506" s="43" t="str">
        <f t="array" ref="C2506">IF(B2506="","",_xlfn.XLOOKUP(B2506,'Form responses 1'!$B$2:$B$2604,'Form responses 1'!$A$2:$A$2604,""))</f>
        <v/>
      </c>
      <c r="D2506" s="44" t="str">
        <f t="shared" si="3"/>
        <v/>
      </c>
      <c r="E2506" s="44" t="str">
        <f t="array" ref="E2506">IF(B2506="","",_xlfn.XLOOKUP(B2506,'Form responses 1'!$B$2:$B$2604,'Form responses 1'!$C$2:$C$2604,""))</f>
        <v/>
      </c>
      <c r="F2506" s="44" t="str">
        <f t="array" ref="F2506">IF(B2506="","",_xlfn.XLOOKUP(B2506,'Form responses 1'!$B$2:$B$2604,'Form responses 1'!$D$2:$D$2604,""))</f>
        <v/>
      </c>
      <c r="G2506" s="44" t="str">
        <f t="array" ref="G2506">IF(B2506="","",_xlfn.XLOOKUP(B2506,'Form responses 1'!$B$2:$B$2604,'Form responses 1'!$E$2:$E$2604,""))</f>
        <v/>
      </c>
      <c r="H2506" s="44" t="str">
        <f t="array" ref="H2506">IF(B2506="","",_xlfn.XLOOKUP(B2506,'Form responses 1'!$B$2:$B$2604,'Form responses 1'!$F$2:$F$2604,""))</f>
        <v/>
      </c>
      <c r="I2506" s="44" t="str">
        <f t="array" ref="I2506">IF(B2506="","",_xlfn.XLOOKUP(B2506,'Form responses 1'!$B$2:$B$2604,'Form responses 1'!$I$2:$I$2604,""))</f>
        <v/>
      </c>
      <c r="J2506" s="44" t="str">
        <f t="array" ref="J2506">IF(B2506="","",_xlfn.XLOOKUP(B2506,'Form responses 1'!$B$2:$B$2604,'Form responses 1'!$G$2:$G$2604,""))</f>
        <v/>
      </c>
      <c r="K2506" s="56"/>
      <c r="L2506" s="58" t="str">
        <f t="shared" si="7"/>
        <v/>
      </c>
      <c r="M2506" s="49"/>
      <c r="N2506" s="49"/>
      <c r="O2506" s="49"/>
      <c r="P2506" s="49"/>
      <c r="Q2506" s="49"/>
      <c r="R2506" s="49"/>
      <c r="S2506" s="49"/>
      <c r="T2506" s="49"/>
      <c r="U2506" s="49"/>
      <c r="V2506" s="49"/>
      <c r="W2506" s="56"/>
      <c r="X2506" s="51" t="str">
        <f t="shared" si="5"/>
        <v/>
      </c>
      <c r="Y2506" s="50" t="s">
        <v>482</v>
      </c>
      <c r="Z2506" s="49">
        <f t="shared" si="6"/>
        <v>0</v>
      </c>
    </row>
    <row r="2507" ht="22.5" customHeight="1">
      <c r="B2507" s="57"/>
      <c r="C2507" s="43" t="str">
        <f t="array" ref="C2507">IF(B2507="","",_xlfn.XLOOKUP(B2507,'Form responses 1'!$B$2:$B$2604,'Form responses 1'!$A$2:$A$2604,""))</f>
        <v/>
      </c>
      <c r="D2507" s="44" t="str">
        <f t="shared" si="3"/>
        <v/>
      </c>
      <c r="E2507" s="44" t="str">
        <f t="array" ref="E2507">IF(B2507="","",_xlfn.XLOOKUP(B2507,'Form responses 1'!$B$2:$B$2604,'Form responses 1'!$C$2:$C$2604,""))</f>
        <v/>
      </c>
      <c r="F2507" s="44" t="str">
        <f t="array" ref="F2507">IF(B2507="","",_xlfn.XLOOKUP(B2507,'Form responses 1'!$B$2:$B$2604,'Form responses 1'!$D$2:$D$2604,""))</f>
        <v/>
      </c>
      <c r="G2507" s="44" t="str">
        <f t="array" ref="G2507">IF(B2507="","",_xlfn.XLOOKUP(B2507,'Form responses 1'!$B$2:$B$2604,'Form responses 1'!$E$2:$E$2604,""))</f>
        <v/>
      </c>
      <c r="H2507" s="44" t="str">
        <f t="array" ref="H2507">IF(B2507="","",_xlfn.XLOOKUP(B2507,'Form responses 1'!$B$2:$B$2604,'Form responses 1'!$F$2:$F$2604,""))</f>
        <v/>
      </c>
      <c r="I2507" s="44" t="str">
        <f t="array" ref="I2507">IF(B2507="","",_xlfn.XLOOKUP(B2507,'Form responses 1'!$B$2:$B$2604,'Form responses 1'!$I$2:$I$2604,""))</f>
        <v/>
      </c>
      <c r="J2507" s="44" t="str">
        <f t="array" ref="J2507">IF(B2507="","",_xlfn.XLOOKUP(B2507,'Form responses 1'!$B$2:$B$2604,'Form responses 1'!$G$2:$G$2604,""))</f>
        <v/>
      </c>
      <c r="K2507" s="56"/>
      <c r="L2507" s="58" t="str">
        <f t="shared" si="7"/>
        <v/>
      </c>
      <c r="M2507" s="49"/>
      <c r="N2507" s="49"/>
      <c r="O2507" s="49"/>
      <c r="P2507" s="49"/>
      <c r="Q2507" s="49"/>
      <c r="R2507" s="49"/>
      <c r="S2507" s="49"/>
      <c r="T2507" s="49"/>
      <c r="U2507" s="49"/>
      <c r="V2507" s="49"/>
      <c r="W2507" s="56"/>
      <c r="X2507" s="51" t="str">
        <f t="shared" si="5"/>
        <v/>
      </c>
      <c r="Y2507" s="50" t="s">
        <v>482</v>
      </c>
      <c r="Z2507" s="49">
        <f t="shared" si="6"/>
        <v>0</v>
      </c>
    </row>
    <row r="2508" ht="22.5" customHeight="1">
      <c r="B2508" s="57"/>
      <c r="C2508" s="43" t="str">
        <f t="array" ref="C2508">IF(B2508="","",_xlfn.XLOOKUP(B2508,'Form responses 1'!$B$2:$B$2604,'Form responses 1'!$A$2:$A$2604,""))</f>
        <v/>
      </c>
      <c r="D2508" s="44" t="str">
        <f t="shared" si="3"/>
        <v/>
      </c>
      <c r="E2508" s="44" t="str">
        <f t="array" ref="E2508">IF(B2508="","",_xlfn.XLOOKUP(B2508,'Form responses 1'!$B$2:$B$2604,'Form responses 1'!$C$2:$C$2604,""))</f>
        <v/>
      </c>
      <c r="F2508" s="44" t="str">
        <f t="array" ref="F2508">IF(B2508="","",_xlfn.XLOOKUP(B2508,'Form responses 1'!$B$2:$B$2604,'Form responses 1'!$D$2:$D$2604,""))</f>
        <v/>
      </c>
      <c r="G2508" s="44" t="str">
        <f t="array" ref="G2508">IF(B2508="","",_xlfn.XLOOKUP(B2508,'Form responses 1'!$B$2:$B$2604,'Form responses 1'!$E$2:$E$2604,""))</f>
        <v/>
      </c>
      <c r="H2508" s="44" t="str">
        <f t="array" ref="H2508">IF(B2508="","",_xlfn.XLOOKUP(B2508,'Form responses 1'!$B$2:$B$2604,'Form responses 1'!$F$2:$F$2604,""))</f>
        <v/>
      </c>
      <c r="I2508" s="44" t="str">
        <f t="array" ref="I2508">IF(B2508="","",_xlfn.XLOOKUP(B2508,'Form responses 1'!$B$2:$B$2604,'Form responses 1'!$I$2:$I$2604,""))</f>
        <v/>
      </c>
      <c r="J2508" s="44" t="str">
        <f t="array" ref="J2508">IF(B2508="","",_xlfn.XLOOKUP(B2508,'Form responses 1'!$B$2:$B$2604,'Form responses 1'!$G$2:$G$2604,""))</f>
        <v/>
      </c>
      <c r="K2508" s="56"/>
      <c r="L2508" s="58" t="str">
        <f t="shared" si="7"/>
        <v/>
      </c>
      <c r="M2508" s="49"/>
      <c r="N2508" s="49"/>
      <c r="O2508" s="49"/>
      <c r="P2508" s="49"/>
      <c r="Q2508" s="49"/>
      <c r="R2508" s="49"/>
      <c r="S2508" s="49"/>
      <c r="T2508" s="49"/>
      <c r="U2508" s="49"/>
      <c r="V2508" s="49"/>
      <c r="W2508" s="56"/>
      <c r="X2508" s="51" t="str">
        <f t="shared" si="5"/>
        <v/>
      </c>
      <c r="Y2508" s="50" t="s">
        <v>482</v>
      </c>
      <c r="Z2508" s="49">
        <f t="shared" si="6"/>
        <v>0</v>
      </c>
    </row>
    <row r="2509" ht="22.5" customHeight="1">
      <c r="B2509" s="57"/>
      <c r="C2509" s="43" t="str">
        <f t="array" ref="C2509">IF(B2509="","",_xlfn.XLOOKUP(B2509,'Form responses 1'!$B$2:$B$2604,'Form responses 1'!$A$2:$A$2604,""))</f>
        <v/>
      </c>
      <c r="D2509" s="44" t="str">
        <f t="shared" si="3"/>
        <v/>
      </c>
      <c r="E2509" s="44" t="str">
        <f t="array" ref="E2509">IF(B2509="","",_xlfn.XLOOKUP(B2509,'Form responses 1'!$B$2:$B$2604,'Form responses 1'!$C$2:$C$2604,""))</f>
        <v/>
      </c>
      <c r="F2509" s="44" t="str">
        <f t="array" ref="F2509">IF(B2509="","",_xlfn.XLOOKUP(B2509,'Form responses 1'!$B$2:$B$2604,'Form responses 1'!$D$2:$D$2604,""))</f>
        <v/>
      </c>
      <c r="G2509" s="44" t="str">
        <f t="array" ref="G2509">IF(B2509="","",_xlfn.XLOOKUP(B2509,'Form responses 1'!$B$2:$B$2604,'Form responses 1'!$E$2:$E$2604,""))</f>
        <v/>
      </c>
      <c r="H2509" s="44" t="str">
        <f t="array" ref="H2509">IF(B2509="","",_xlfn.XLOOKUP(B2509,'Form responses 1'!$B$2:$B$2604,'Form responses 1'!$F$2:$F$2604,""))</f>
        <v/>
      </c>
      <c r="I2509" s="44" t="str">
        <f t="array" ref="I2509">IF(B2509="","",_xlfn.XLOOKUP(B2509,'Form responses 1'!$B$2:$B$2604,'Form responses 1'!$I$2:$I$2604,""))</f>
        <v/>
      </c>
      <c r="J2509" s="44" t="str">
        <f t="array" ref="J2509">IF(B2509="","",_xlfn.XLOOKUP(B2509,'Form responses 1'!$B$2:$B$2604,'Form responses 1'!$G$2:$G$2604,""))</f>
        <v/>
      </c>
      <c r="K2509" s="56"/>
      <c r="L2509" s="58" t="str">
        <f t="shared" si="7"/>
        <v/>
      </c>
      <c r="M2509" s="49"/>
      <c r="N2509" s="49"/>
      <c r="O2509" s="49"/>
      <c r="P2509" s="49"/>
      <c r="Q2509" s="49"/>
      <c r="R2509" s="49"/>
      <c r="S2509" s="49"/>
      <c r="T2509" s="49"/>
      <c r="U2509" s="49"/>
      <c r="V2509" s="49"/>
      <c r="W2509" s="56"/>
      <c r="X2509" s="51" t="str">
        <f t="shared" si="5"/>
        <v/>
      </c>
      <c r="Y2509" s="50" t="s">
        <v>482</v>
      </c>
      <c r="Z2509" s="49">
        <f t="shared" si="6"/>
        <v>0</v>
      </c>
    </row>
    <row r="2510" ht="22.5" customHeight="1">
      <c r="B2510" s="57"/>
      <c r="C2510" s="43" t="str">
        <f t="array" ref="C2510">IF(B2510="","",_xlfn.XLOOKUP(B2510,'Form responses 1'!$B$2:$B$2604,'Form responses 1'!$A$2:$A$2604,""))</f>
        <v/>
      </c>
      <c r="D2510" s="44" t="str">
        <f t="shared" si="3"/>
        <v/>
      </c>
      <c r="E2510" s="44" t="str">
        <f t="array" ref="E2510">IF(B2510="","",_xlfn.XLOOKUP(B2510,'Form responses 1'!$B$2:$B$2604,'Form responses 1'!$C$2:$C$2604,""))</f>
        <v/>
      </c>
      <c r="F2510" s="44" t="str">
        <f t="array" ref="F2510">IF(B2510="","",_xlfn.XLOOKUP(B2510,'Form responses 1'!$B$2:$B$2604,'Form responses 1'!$D$2:$D$2604,""))</f>
        <v/>
      </c>
      <c r="G2510" s="44" t="str">
        <f t="array" ref="G2510">IF(B2510="","",_xlfn.XLOOKUP(B2510,'Form responses 1'!$B$2:$B$2604,'Form responses 1'!$E$2:$E$2604,""))</f>
        <v/>
      </c>
      <c r="H2510" s="44" t="str">
        <f t="array" ref="H2510">IF(B2510="","",_xlfn.XLOOKUP(B2510,'Form responses 1'!$B$2:$B$2604,'Form responses 1'!$F$2:$F$2604,""))</f>
        <v/>
      </c>
      <c r="I2510" s="44" t="str">
        <f t="array" ref="I2510">IF(B2510="","",_xlfn.XLOOKUP(B2510,'Form responses 1'!$B$2:$B$2604,'Form responses 1'!$I$2:$I$2604,""))</f>
        <v/>
      </c>
      <c r="J2510" s="44" t="str">
        <f t="array" ref="J2510">IF(B2510="","",_xlfn.XLOOKUP(B2510,'Form responses 1'!$B$2:$B$2604,'Form responses 1'!$G$2:$G$2604,""))</f>
        <v/>
      </c>
      <c r="K2510" s="56"/>
      <c r="L2510" s="58" t="str">
        <f t="shared" si="7"/>
        <v/>
      </c>
      <c r="M2510" s="49"/>
      <c r="N2510" s="49"/>
      <c r="O2510" s="49"/>
      <c r="P2510" s="49"/>
      <c r="Q2510" s="49"/>
      <c r="R2510" s="49"/>
      <c r="S2510" s="49"/>
      <c r="T2510" s="49"/>
      <c r="U2510" s="49"/>
      <c r="V2510" s="49"/>
      <c r="W2510" s="56"/>
      <c r="X2510" s="51" t="str">
        <f t="shared" si="5"/>
        <v/>
      </c>
      <c r="Y2510" s="50" t="s">
        <v>482</v>
      </c>
      <c r="Z2510" s="49">
        <f t="shared" si="6"/>
        <v>0</v>
      </c>
    </row>
    <row r="2511" ht="22.5" customHeight="1">
      <c r="B2511" s="57"/>
      <c r="C2511" s="43" t="str">
        <f t="array" ref="C2511">IF(B2511="","",_xlfn.XLOOKUP(B2511,'Form responses 1'!$B$2:$B$2604,'Form responses 1'!$A$2:$A$2604,""))</f>
        <v/>
      </c>
      <c r="D2511" s="44" t="str">
        <f t="shared" si="3"/>
        <v/>
      </c>
      <c r="E2511" s="44" t="str">
        <f t="array" ref="E2511">IF(B2511="","",_xlfn.XLOOKUP(B2511,'Form responses 1'!$B$2:$B$2604,'Form responses 1'!$C$2:$C$2604,""))</f>
        <v/>
      </c>
      <c r="F2511" s="44" t="str">
        <f t="array" ref="F2511">IF(B2511="","",_xlfn.XLOOKUP(B2511,'Form responses 1'!$B$2:$B$2604,'Form responses 1'!$D$2:$D$2604,""))</f>
        <v/>
      </c>
      <c r="G2511" s="44" t="str">
        <f t="array" ref="G2511">IF(B2511="","",_xlfn.XLOOKUP(B2511,'Form responses 1'!$B$2:$B$2604,'Form responses 1'!$E$2:$E$2604,""))</f>
        <v/>
      </c>
      <c r="H2511" s="44" t="str">
        <f t="array" ref="H2511">IF(B2511="","",_xlfn.XLOOKUP(B2511,'Form responses 1'!$B$2:$B$2604,'Form responses 1'!$F$2:$F$2604,""))</f>
        <v/>
      </c>
      <c r="I2511" s="44" t="str">
        <f t="array" ref="I2511">IF(B2511="","",_xlfn.XLOOKUP(B2511,'Form responses 1'!$B$2:$B$2604,'Form responses 1'!$I$2:$I$2604,""))</f>
        <v/>
      </c>
      <c r="J2511" s="44" t="str">
        <f t="array" ref="J2511">IF(B2511="","",_xlfn.XLOOKUP(B2511,'Form responses 1'!$B$2:$B$2604,'Form responses 1'!$G$2:$G$2604,""))</f>
        <v/>
      </c>
      <c r="K2511" s="56"/>
      <c r="L2511" s="58" t="str">
        <f t="shared" si="7"/>
        <v/>
      </c>
      <c r="M2511" s="49"/>
      <c r="N2511" s="49"/>
      <c r="O2511" s="49"/>
      <c r="P2511" s="49"/>
      <c r="Q2511" s="49"/>
      <c r="R2511" s="49"/>
      <c r="S2511" s="49"/>
      <c r="T2511" s="49"/>
      <c r="U2511" s="49"/>
      <c r="V2511" s="49"/>
      <c r="W2511" s="56"/>
      <c r="X2511" s="51" t="str">
        <f t="shared" si="5"/>
        <v/>
      </c>
      <c r="Y2511" s="50" t="s">
        <v>482</v>
      </c>
      <c r="Z2511" s="49">
        <f t="shared" si="6"/>
        <v>0</v>
      </c>
    </row>
    <row r="2512" ht="22.5" customHeight="1">
      <c r="B2512" s="57"/>
      <c r="C2512" s="43" t="str">
        <f t="array" ref="C2512">IF(B2512="","",_xlfn.XLOOKUP(B2512,'Form responses 1'!$B$2:$B$2604,'Form responses 1'!$A$2:$A$2604,""))</f>
        <v/>
      </c>
      <c r="D2512" s="44" t="str">
        <f t="shared" si="3"/>
        <v/>
      </c>
      <c r="E2512" s="44" t="str">
        <f t="array" ref="E2512">IF(B2512="","",_xlfn.XLOOKUP(B2512,'Form responses 1'!$B$2:$B$2604,'Form responses 1'!$C$2:$C$2604,""))</f>
        <v/>
      </c>
      <c r="F2512" s="44" t="str">
        <f t="array" ref="F2512">IF(B2512="","",_xlfn.XLOOKUP(B2512,'Form responses 1'!$B$2:$B$2604,'Form responses 1'!$D$2:$D$2604,""))</f>
        <v/>
      </c>
      <c r="G2512" s="44" t="str">
        <f t="array" ref="G2512">IF(B2512="","",_xlfn.XLOOKUP(B2512,'Form responses 1'!$B$2:$B$2604,'Form responses 1'!$E$2:$E$2604,""))</f>
        <v/>
      </c>
      <c r="H2512" s="44" t="str">
        <f t="array" ref="H2512">IF(B2512="","",_xlfn.XLOOKUP(B2512,'Form responses 1'!$B$2:$B$2604,'Form responses 1'!$F$2:$F$2604,""))</f>
        <v/>
      </c>
      <c r="I2512" s="44" t="str">
        <f t="array" ref="I2512">IF(B2512="","",_xlfn.XLOOKUP(B2512,'Form responses 1'!$B$2:$B$2604,'Form responses 1'!$I$2:$I$2604,""))</f>
        <v/>
      </c>
      <c r="J2512" s="44" t="str">
        <f t="array" ref="J2512">IF(B2512="","",_xlfn.XLOOKUP(B2512,'Form responses 1'!$B$2:$B$2604,'Form responses 1'!$G$2:$G$2604,""))</f>
        <v/>
      </c>
      <c r="K2512" s="56"/>
      <c r="L2512" s="58" t="str">
        <f t="shared" si="7"/>
        <v/>
      </c>
      <c r="M2512" s="49"/>
      <c r="N2512" s="49"/>
      <c r="O2512" s="49"/>
      <c r="P2512" s="49"/>
      <c r="Q2512" s="49"/>
      <c r="R2512" s="49"/>
      <c r="S2512" s="49"/>
      <c r="T2512" s="49"/>
      <c r="U2512" s="49"/>
      <c r="V2512" s="49"/>
      <c r="W2512" s="56"/>
      <c r="X2512" s="51" t="str">
        <f t="shared" si="5"/>
        <v/>
      </c>
      <c r="Y2512" s="50" t="s">
        <v>482</v>
      </c>
      <c r="Z2512" s="49">
        <f t="shared" si="6"/>
        <v>0</v>
      </c>
    </row>
    <row r="2513" ht="22.5" customHeight="1">
      <c r="B2513" s="57"/>
      <c r="C2513" s="43" t="str">
        <f t="array" ref="C2513">IF(B2513="","",_xlfn.XLOOKUP(B2513,'Form responses 1'!$B$2:$B$2604,'Form responses 1'!$A$2:$A$2604,""))</f>
        <v/>
      </c>
      <c r="D2513" s="44" t="str">
        <f t="shared" si="3"/>
        <v/>
      </c>
      <c r="E2513" s="44" t="str">
        <f t="array" ref="E2513">IF(B2513="","",_xlfn.XLOOKUP(B2513,'Form responses 1'!$B$2:$B$2604,'Form responses 1'!$C$2:$C$2604,""))</f>
        <v/>
      </c>
      <c r="F2513" s="44" t="str">
        <f t="array" ref="F2513">IF(B2513="","",_xlfn.XLOOKUP(B2513,'Form responses 1'!$B$2:$B$2604,'Form responses 1'!$D$2:$D$2604,""))</f>
        <v/>
      </c>
      <c r="G2513" s="44" t="str">
        <f t="array" ref="G2513">IF(B2513="","",_xlfn.XLOOKUP(B2513,'Form responses 1'!$B$2:$B$2604,'Form responses 1'!$E$2:$E$2604,""))</f>
        <v/>
      </c>
      <c r="H2513" s="44" t="str">
        <f t="array" ref="H2513">IF(B2513="","",_xlfn.XLOOKUP(B2513,'Form responses 1'!$B$2:$B$2604,'Form responses 1'!$F$2:$F$2604,""))</f>
        <v/>
      </c>
      <c r="I2513" s="44" t="str">
        <f t="array" ref="I2513">IF(B2513="","",_xlfn.XLOOKUP(B2513,'Form responses 1'!$B$2:$B$2604,'Form responses 1'!$I$2:$I$2604,""))</f>
        <v/>
      </c>
      <c r="J2513" s="44" t="str">
        <f t="array" ref="J2513">IF(B2513="","",_xlfn.XLOOKUP(B2513,'Form responses 1'!$B$2:$B$2604,'Form responses 1'!$G$2:$G$2604,""))</f>
        <v/>
      </c>
      <c r="K2513" s="56"/>
      <c r="L2513" s="58" t="str">
        <f t="shared" si="7"/>
        <v/>
      </c>
      <c r="M2513" s="49"/>
      <c r="N2513" s="49"/>
      <c r="O2513" s="49"/>
      <c r="P2513" s="49"/>
      <c r="Q2513" s="49"/>
      <c r="R2513" s="49"/>
      <c r="S2513" s="49"/>
      <c r="T2513" s="49"/>
      <c r="U2513" s="49"/>
      <c r="V2513" s="49"/>
      <c r="W2513" s="56"/>
      <c r="X2513" s="51" t="str">
        <f t="shared" si="5"/>
        <v/>
      </c>
      <c r="Y2513" s="50" t="s">
        <v>482</v>
      </c>
      <c r="Z2513" s="49">
        <f t="shared" si="6"/>
        <v>0</v>
      </c>
    </row>
    <row r="2514" ht="22.5" customHeight="1">
      <c r="B2514" s="57"/>
      <c r="C2514" s="43" t="str">
        <f t="array" ref="C2514">IF(B2514="","",_xlfn.XLOOKUP(B2514,'Form responses 1'!$B$2:$B$2604,'Form responses 1'!$A$2:$A$2604,""))</f>
        <v/>
      </c>
      <c r="D2514" s="44" t="str">
        <f t="shared" si="3"/>
        <v/>
      </c>
      <c r="E2514" s="44" t="str">
        <f t="array" ref="E2514">IF(B2514="","",_xlfn.XLOOKUP(B2514,'Form responses 1'!$B$2:$B$2604,'Form responses 1'!$C$2:$C$2604,""))</f>
        <v/>
      </c>
      <c r="F2514" s="44" t="str">
        <f t="array" ref="F2514">IF(B2514="","",_xlfn.XLOOKUP(B2514,'Form responses 1'!$B$2:$B$2604,'Form responses 1'!$D$2:$D$2604,""))</f>
        <v/>
      </c>
      <c r="G2514" s="44" t="str">
        <f t="array" ref="G2514">IF(B2514="","",_xlfn.XLOOKUP(B2514,'Form responses 1'!$B$2:$B$2604,'Form responses 1'!$E$2:$E$2604,""))</f>
        <v/>
      </c>
      <c r="H2514" s="44" t="str">
        <f t="array" ref="H2514">IF(B2514="","",_xlfn.XLOOKUP(B2514,'Form responses 1'!$B$2:$B$2604,'Form responses 1'!$F$2:$F$2604,""))</f>
        <v/>
      </c>
      <c r="I2514" s="44" t="str">
        <f t="array" ref="I2514">IF(B2514="","",_xlfn.XLOOKUP(B2514,'Form responses 1'!$B$2:$B$2604,'Form responses 1'!$I$2:$I$2604,""))</f>
        <v/>
      </c>
      <c r="J2514" s="44" t="str">
        <f t="array" ref="J2514">IF(B2514="","",_xlfn.XLOOKUP(B2514,'Form responses 1'!$B$2:$B$2604,'Form responses 1'!$G$2:$G$2604,""))</f>
        <v/>
      </c>
      <c r="K2514" s="56"/>
      <c r="L2514" s="58" t="str">
        <f t="shared" si="7"/>
        <v/>
      </c>
      <c r="M2514" s="49"/>
      <c r="N2514" s="49"/>
      <c r="O2514" s="49"/>
      <c r="P2514" s="49"/>
      <c r="Q2514" s="49"/>
      <c r="R2514" s="49"/>
      <c r="S2514" s="49"/>
      <c r="T2514" s="49"/>
      <c r="U2514" s="49"/>
      <c r="V2514" s="49"/>
      <c r="W2514" s="56"/>
      <c r="X2514" s="51" t="str">
        <f t="shared" si="5"/>
        <v/>
      </c>
      <c r="Y2514" s="50" t="s">
        <v>482</v>
      </c>
      <c r="Z2514" s="49">
        <f t="shared" si="6"/>
        <v>0</v>
      </c>
    </row>
    <row r="2515" ht="22.5" customHeight="1">
      <c r="B2515" s="57"/>
      <c r="C2515" s="43" t="str">
        <f t="array" ref="C2515">IF(B2515="","",_xlfn.XLOOKUP(B2515,'Form responses 1'!$B$2:$B$2604,'Form responses 1'!$A$2:$A$2604,""))</f>
        <v/>
      </c>
      <c r="D2515" s="44" t="str">
        <f t="shared" si="3"/>
        <v/>
      </c>
      <c r="E2515" s="44" t="str">
        <f t="array" ref="E2515">IF(B2515="","",_xlfn.XLOOKUP(B2515,'Form responses 1'!$B$2:$B$2604,'Form responses 1'!$C$2:$C$2604,""))</f>
        <v/>
      </c>
      <c r="F2515" s="44" t="str">
        <f t="array" ref="F2515">IF(B2515="","",_xlfn.XLOOKUP(B2515,'Form responses 1'!$B$2:$B$2604,'Form responses 1'!$D$2:$D$2604,""))</f>
        <v/>
      </c>
      <c r="G2515" s="44" t="str">
        <f t="array" ref="G2515">IF(B2515="","",_xlfn.XLOOKUP(B2515,'Form responses 1'!$B$2:$B$2604,'Form responses 1'!$E$2:$E$2604,""))</f>
        <v/>
      </c>
      <c r="H2515" s="44" t="str">
        <f t="array" ref="H2515">IF(B2515="","",_xlfn.XLOOKUP(B2515,'Form responses 1'!$B$2:$B$2604,'Form responses 1'!$F$2:$F$2604,""))</f>
        <v/>
      </c>
      <c r="I2515" s="44" t="str">
        <f t="array" ref="I2515">IF(B2515="","",_xlfn.XLOOKUP(B2515,'Form responses 1'!$B$2:$B$2604,'Form responses 1'!$I$2:$I$2604,""))</f>
        <v/>
      </c>
      <c r="J2515" s="44" t="str">
        <f t="array" ref="J2515">IF(B2515="","",_xlfn.XLOOKUP(B2515,'Form responses 1'!$B$2:$B$2604,'Form responses 1'!$G$2:$G$2604,""))</f>
        <v/>
      </c>
      <c r="K2515" s="56"/>
      <c r="L2515" s="58" t="str">
        <f t="shared" si="7"/>
        <v/>
      </c>
      <c r="M2515" s="49"/>
      <c r="N2515" s="49"/>
      <c r="O2515" s="49"/>
      <c r="P2515" s="49"/>
      <c r="Q2515" s="49"/>
      <c r="R2515" s="49"/>
      <c r="S2515" s="49"/>
      <c r="T2515" s="49"/>
      <c r="U2515" s="49"/>
      <c r="V2515" s="49"/>
      <c r="W2515" s="56"/>
      <c r="X2515" s="51" t="str">
        <f t="shared" si="5"/>
        <v/>
      </c>
      <c r="Y2515" s="50" t="s">
        <v>482</v>
      </c>
      <c r="Z2515" s="49">
        <f t="shared" si="6"/>
        <v>0</v>
      </c>
    </row>
    <row r="2516" ht="22.5" customHeight="1">
      <c r="B2516" s="57"/>
      <c r="C2516" s="43" t="str">
        <f t="array" ref="C2516">IF(B2516="","",_xlfn.XLOOKUP(B2516,'Form responses 1'!$B$2:$B$2604,'Form responses 1'!$A$2:$A$2604,""))</f>
        <v/>
      </c>
      <c r="D2516" s="44" t="str">
        <f t="shared" si="3"/>
        <v/>
      </c>
      <c r="E2516" s="44" t="str">
        <f t="array" ref="E2516">IF(B2516="","",_xlfn.XLOOKUP(B2516,'Form responses 1'!$B$2:$B$2604,'Form responses 1'!$C$2:$C$2604,""))</f>
        <v/>
      </c>
      <c r="F2516" s="44" t="str">
        <f t="array" ref="F2516">IF(B2516="","",_xlfn.XLOOKUP(B2516,'Form responses 1'!$B$2:$B$2604,'Form responses 1'!$D$2:$D$2604,""))</f>
        <v/>
      </c>
      <c r="G2516" s="44" t="str">
        <f t="array" ref="G2516">IF(B2516="","",_xlfn.XLOOKUP(B2516,'Form responses 1'!$B$2:$B$2604,'Form responses 1'!$E$2:$E$2604,""))</f>
        <v/>
      </c>
      <c r="H2516" s="44" t="str">
        <f t="array" ref="H2516">IF(B2516="","",_xlfn.XLOOKUP(B2516,'Form responses 1'!$B$2:$B$2604,'Form responses 1'!$F$2:$F$2604,""))</f>
        <v/>
      </c>
      <c r="I2516" s="44" t="str">
        <f t="array" ref="I2516">IF(B2516="","",_xlfn.XLOOKUP(B2516,'Form responses 1'!$B$2:$B$2604,'Form responses 1'!$I$2:$I$2604,""))</f>
        <v/>
      </c>
      <c r="J2516" s="44" t="str">
        <f t="array" ref="J2516">IF(B2516="","",_xlfn.XLOOKUP(B2516,'Form responses 1'!$B$2:$B$2604,'Form responses 1'!$G$2:$G$2604,""))</f>
        <v/>
      </c>
      <c r="K2516" s="56"/>
      <c r="L2516" s="58" t="str">
        <f t="shared" si="7"/>
        <v/>
      </c>
      <c r="M2516" s="49"/>
      <c r="N2516" s="49"/>
      <c r="O2516" s="49"/>
      <c r="P2516" s="49"/>
      <c r="Q2516" s="49"/>
      <c r="R2516" s="49"/>
      <c r="S2516" s="49"/>
      <c r="T2516" s="49"/>
      <c r="U2516" s="49"/>
      <c r="V2516" s="49"/>
      <c r="W2516" s="56"/>
      <c r="X2516" s="51" t="str">
        <f t="shared" si="5"/>
        <v/>
      </c>
      <c r="Y2516" s="50" t="s">
        <v>482</v>
      </c>
      <c r="Z2516" s="49">
        <f t="shared" si="6"/>
        <v>0</v>
      </c>
    </row>
    <row r="2517" ht="22.5" customHeight="1">
      <c r="B2517" s="57"/>
      <c r="C2517" s="43" t="str">
        <f t="array" ref="C2517">IF(B2517="","",_xlfn.XLOOKUP(B2517,'Form responses 1'!$B$2:$B$2604,'Form responses 1'!$A$2:$A$2604,""))</f>
        <v/>
      </c>
      <c r="D2517" s="44" t="str">
        <f t="shared" si="3"/>
        <v/>
      </c>
      <c r="E2517" s="44" t="str">
        <f t="array" ref="E2517">IF(B2517="","",_xlfn.XLOOKUP(B2517,'Form responses 1'!$B$2:$B$2604,'Form responses 1'!$C$2:$C$2604,""))</f>
        <v/>
      </c>
      <c r="F2517" s="44" t="str">
        <f t="array" ref="F2517">IF(B2517="","",_xlfn.XLOOKUP(B2517,'Form responses 1'!$B$2:$B$2604,'Form responses 1'!$D$2:$D$2604,""))</f>
        <v/>
      </c>
      <c r="G2517" s="44" t="str">
        <f t="array" ref="G2517">IF(B2517="","",_xlfn.XLOOKUP(B2517,'Form responses 1'!$B$2:$B$2604,'Form responses 1'!$E$2:$E$2604,""))</f>
        <v/>
      </c>
      <c r="H2517" s="44" t="str">
        <f t="array" ref="H2517">IF(B2517="","",_xlfn.XLOOKUP(B2517,'Form responses 1'!$B$2:$B$2604,'Form responses 1'!$F$2:$F$2604,""))</f>
        <v/>
      </c>
      <c r="I2517" s="44" t="str">
        <f t="array" ref="I2517">IF(B2517="","",_xlfn.XLOOKUP(B2517,'Form responses 1'!$B$2:$B$2604,'Form responses 1'!$I$2:$I$2604,""))</f>
        <v/>
      </c>
      <c r="J2517" s="44" t="str">
        <f t="array" ref="J2517">IF(B2517="","",_xlfn.XLOOKUP(B2517,'Form responses 1'!$B$2:$B$2604,'Form responses 1'!$G$2:$G$2604,""))</f>
        <v/>
      </c>
      <c r="K2517" s="56"/>
      <c r="L2517" s="58" t="str">
        <f t="shared" si="7"/>
        <v/>
      </c>
      <c r="M2517" s="49"/>
      <c r="N2517" s="49"/>
      <c r="O2517" s="49"/>
      <c r="P2517" s="49"/>
      <c r="Q2517" s="49"/>
      <c r="R2517" s="49"/>
      <c r="S2517" s="49"/>
      <c r="T2517" s="49"/>
      <c r="U2517" s="49"/>
      <c r="V2517" s="49"/>
      <c r="W2517" s="56"/>
      <c r="X2517" s="51" t="str">
        <f t="shared" si="5"/>
        <v/>
      </c>
      <c r="Y2517" s="50" t="s">
        <v>482</v>
      </c>
      <c r="Z2517" s="49">
        <f t="shared" si="6"/>
        <v>0</v>
      </c>
    </row>
    <row r="2518" ht="22.5" customHeight="1">
      <c r="B2518" s="57"/>
      <c r="C2518" s="43" t="str">
        <f t="array" ref="C2518">IF(B2518="","",_xlfn.XLOOKUP(B2518,'Form responses 1'!$B$2:$B$2604,'Form responses 1'!$A$2:$A$2604,""))</f>
        <v/>
      </c>
      <c r="D2518" s="44" t="str">
        <f t="shared" si="3"/>
        <v/>
      </c>
      <c r="E2518" s="44" t="str">
        <f t="array" ref="E2518">IF(B2518="","",_xlfn.XLOOKUP(B2518,'Form responses 1'!$B$2:$B$2604,'Form responses 1'!$C$2:$C$2604,""))</f>
        <v/>
      </c>
      <c r="F2518" s="44" t="str">
        <f t="array" ref="F2518">IF(B2518="","",_xlfn.XLOOKUP(B2518,'Form responses 1'!$B$2:$B$2604,'Form responses 1'!$D$2:$D$2604,""))</f>
        <v/>
      </c>
      <c r="G2518" s="44" t="str">
        <f t="array" ref="G2518">IF(B2518="","",_xlfn.XLOOKUP(B2518,'Form responses 1'!$B$2:$B$2604,'Form responses 1'!$E$2:$E$2604,""))</f>
        <v/>
      </c>
      <c r="H2518" s="44" t="str">
        <f t="array" ref="H2518">IF(B2518="","",_xlfn.XLOOKUP(B2518,'Form responses 1'!$B$2:$B$2604,'Form responses 1'!$F$2:$F$2604,""))</f>
        <v/>
      </c>
      <c r="I2518" s="44" t="str">
        <f t="array" ref="I2518">IF(B2518="","",_xlfn.XLOOKUP(B2518,'Form responses 1'!$B$2:$B$2604,'Form responses 1'!$I$2:$I$2604,""))</f>
        <v/>
      </c>
      <c r="J2518" s="44" t="str">
        <f t="array" ref="J2518">IF(B2518="","",_xlfn.XLOOKUP(B2518,'Form responses 1'!$B$2:$B$2604,'Form responses 1'!$G$2:$G$2604,""))</f>
        <v/>
      </c>
      <c r="K2518" s="56"/>
      <c r="L2518" s="58" t="str">
        <f t="shared" si="7"/>
        <v/>
      </c>
      <c r="M2518" s="49"/>
      <c r="N2518" s="49"/>
      <c r="O2518" s="49"/>
      <c r="P2518" s="49"/>
      <c r="Q2518" s="49"/>
      <c r="R2518" s="49"/>
      <c r="S2518" s="49"/>
      <c r="T2518" s="49"/>
      <c r="U2518" s="49"/>
      <c r="V2518" s="49"/>
      <c r="W2518" s="56"/>
      <c r="X2518" s="51" t="str">
        <f t="shared" si="5"/>
        <v/>
      </c>
      <c r="Y2518" s="50" t="s">
        <v>482</v>
      </c>
      <c r="Z2518" s="49">
        <f t="shared" si="6"/>
        <v>0</v>
      </c>
    </row>
    <row r="2519" ht="22.5" customHeight="1">
      <c r="B2519" s="57"/>
      <c r="C2519" s="43" t="str">
        <f t="array" ref="C2519">IF(B2519="","",_xlfn.XLOOKUP(B2519,'Form responses 1'!$B$2:$B$2604,'Form responses 1'!$A$2:$A$2604,""))</f>
        <v/>
      </c>
      <c r="D2519" s="44" t="str">
        <f t="shared" si="3"/>
        <v/>
      </c>
      <c r="E2519" s="44" t="str">
        <f t="array" ref="E2519">IF(B2519="","",_xlfn.XLOOKUP(B2519,'Form responses 1'!$B$2:$B$2604,'Form responses 1'!$C$2:$C$2604,""))</f>
        <v/>
      </c>
      <c r="F2519" s="44" t="str">
        <f t="array" ref="F2519">IF(B2519="","",_xlfn.XLOOKUP(B2519,'Form responses 1'!$B$2:$B$2604,'Form responses 1'!$D$2:$D$2604,""))</f>
        <v/>
      </c>
      <c r="G2519" s="44" t="str">
        <f t="array" ref="G2519">IF(B2519="","",_xlfn.XLOOKUP(B2519,'Form responses 1'!$B$2:$B$2604,'Form responses 1'!$E$2:$E$2604,""))</f>
        <v/>
      </c>
      <c r="H2519" s="44" t="str">
        <f t="array" ref="H2519">IF(B2519="","",_xlfn.XLOOKUP(B2519,'Form responses 1'!$B$2:$B$2604,'Form responses 1'!$F$2:$F$2604,""))</f>
        <v/>
      </c>
      <c r="I2519" s="44" t="str">
        <f t="array" ref="I2519">IF(B2519="","",_xlfn.XLOOKUP(B2519,'Form responses 1'!$B$2:$B$2604,'Form responses 1'!$I$2:$I$2604,""))</f>
        <v/>
      </c>
      <c r="J2519" s="44" t="str">
        <f t="array" ref="J2519">IF(B2519="","",_xlfn.XLOOKUP(B2519,'Form responses 1'!$B$2:$B$2604,'Form responses 1'!$G$2:$G$2604,""))</f>
        <v/>
      </c>
      <c r="K2519" s="56"/>
      <c r="L2519" s="58" t="str">
        <f t="shared" si="7"/>
        <v/>
      </c>
      <c r="M2519" s="49"/>
      <c r="N2519" s="49"/>
      <c r="O2519" s="49"/>
      <c r="P2519" s="49"/>
      <c r="Q2519" s="49"/>
      <c r="R2519" s="49"/>
      <c r="S2519" s="49"/>
      <c r="T2519" s="49"/>
      <c r="U2519" s="49"/>
      <c r="V2519" s="49"/>
      <c r="W2519" s="56"/>
      <c r="X2519" s="51" t="str">
        <f t="shared" si="5"/>
        <v/>
      </c>
      <c r="Y2519" s="50" t="s">
        <v>482</v>
      </c>
      <c r="Z2519" s="49">
        <f t="shared" si="6"/>
        <v>0</v>
      </c>
    </row>
    <row r="2520" ht="22.5" customHeight="1">
      <c r="B2520" s="57"/>
      <c r="C2520" s="43" t="str">
        <f t="array" ref="C2520">IF(B2520="","",_xlfn.XLOOKUP(B2520,'Form responses 1'!$B$2:$B$2604,'Form responses 1'!$A$2:$A$2604,""))</f>
        <v/>
      </c>
      <c r="D2520" s="44" t="str">
        <f t="shared" si="3"/>
        <v/>
      </c>
      <c r="E2520" s="44" t="str">
        <f t="array" ref="E2520">IF(B2520="","",_xlfn.XLOOKUP(B2520,'Form responses 1'!$B$2:$B$2604,'Form responses 1'!$C$2:$C$2604,""))</f>
        <v/>
      </c>
      <c r="F2520" s="44" t="str">
        <f t="array" ref="F2520">IF(B2520="","",_xlfn.XLOOKUP(B2520,'Form responses 1'!$B$2:$B$2604,'Form responses 1'!$D$2:$D$2604,""))</f>
        <v/>
      </c>
      <c r="G2520" s="44" t="str">
        <f t="array" ref="G2520">IF(B2520="","",_xlfn.XLOOKUP(B2520,'Form responses 1'!$B$2:$B$2604,'Form responses 1'!$E$2:$E$2604,""))</f>
        <v/>
      </c>
      <c r="H2520" s="44" t="str">
        <f t="array" ref="H2520">IF(B2520="","",_xlfn.XLOOKUP(B2520,'Form responses 1'!$B$2:$B$2604,'Form responses 1'!$F$2:$F$2604,""))</f>
        <v/>
      </c>
      <c r="I2520" s="44" t="str">
        <f t="array" ref="I2520">IF(B2520="","",_xlfn.XLOOKUP(B2520,'Form responses 1'!$B$2:$B$2604,'Form responses 1'!$I$2:$I$2604,""))</f>
        <v/>
      </c>
      <c r="J2520" s="44" t="str">
        <f t="array" ref="J2520">IF(B2520="","",_xlfn.XLOOKUP(B2520,'Form responses 1'!$B$2:$B$2604,'Form responses 1'!$G$2:$G$2604,""))</f>
        <v/>
      </c>
      <c r="K2520" s="56"/>
      <c r="L2520" s="58" t="str">
        <f t="shared" si="7"/>
        <v/>
      </c>
      <c r="M2520" s="49"/>
      <c r="N2520" s="49"/>
      <c r="O2520" s="49"/>
      <c r="P2520" s="49"/>
      <c r="Q2520" s="49"/>
      <c r="R2520" s="49"/>
      <c r="S2520" s="49"/>
      <c r="T2520" s="49"/>
      <c r="U2520" s="49"/>
      <c r="V2520" s="49"/>
      <c r="W2520" s="56"/>
      <c r="X2520" s="51" t="str">
        <f t="shared" si="5"/>
        <v/>
      </c>
      <c r="Y2520" s="50" t="s">
        <v>482</v>
      </c>
      <c r="Z2520" s="49">
        <f t="shared" si="6"/>
        <v>0</v>
      </c>
    </row>
    <row r="2521" ht="22.5" customHeight="1">
      <c r="B2521" s="57"/>
      <c r="C2521" s="43" t="str">
        <f t="array" ref="C2521">IF(B2521="","",_xlfn.XLOOKUP(B2521,'Form responses 1'!$B$2:$B$2604,'Form responses 1'!$A$2:$A$2604,""))</f>
        <v/>
      </c>
      <c r="D2521" s="44" t="str">
        <f t="shared" si="3"/>
        <v/>
      </c>
      <c r="E2521" s="44" t="str">
        <f t="array" ref="E2521">IF(B2521="","",_xlfn.XLOOKUP(B2521,'Form responses 1'!$B$2:$B$2604,'Form responses 1'!$C$2:$C$2604,""))</f>
        <v/>
      </c>
      <c r="F2521" s="44" t="str">
        <f t="array" ref="F2521">IF(B2521="","",_xlfn.XLOOKUP(B2521,'Form responses 1'!$B$2:$B$2604,'Form responses 1'!$D$2:$D$2604,""))</f>
        <v/>
      </c>
      <c r="G2521" s="44" t="str">
        <f t="array" ref="G2521">IF(B2521="","",_xlfn.XLOOKUP(B2521,'Form responses 1'!$B$2:$B$2604,'Form responses 1'!$E$2:$E$2604,""))</f>
        <v/>
      </c>
      <c r="H2521" s="44" t="str">
        <f t="array" ref="H2521">IF(B2521="","",_xlfn.XLOOKUP(B2521,'Form responses 1'!$B$2:$B$2604,'Form responses 1'!$F$2:$F$2604,""))</f>
        <v/>
      </c>
      <c r="I2521" s="44" t="str">
        <f t="array" ref="I2521">IF(B2521="","",_xlfn.XLOOKUP(B2521,'Form responses 1'!$B$2:$B$2604,'Form responses 1'!$I$2:$I$2604,""))</f>
        <v/>
      </c>
      <c r="J2521" s="44" t="str">
        <f t="array" ref="J2521">IF(B2521="","",_xlfn.XLOOKUP(B2521,'Form responses 1'!$B$2:$B$2604,'Form responses 1'!$G$2:$G$2604,""))</f>
        <v/>
      </c>
      <c r="K2521" s="56"/>
      <c r="L2521" s="58" t="str">
        <f t="shared" si="7"/>
        <v/>
      </c>
      <c r="M2521" s="49"/>
      <c r="N2521" s="49"/>
      <c r="O2521" s="49"/>
      <c r="P2521" s="49"/>
      <c r="Q2521" s="49"/>
      <c r="R2521" s="49"/>
      <c r="S2521" s="49"/>
      <c r="T2521" s="49"/>
      <c r="U2521" s="49"/>
      <c r="V2521" s="49"/>
      <c r="W2521" s="56"/>
      <c r="X2521" s="51" t="str">
        <f t="shared" si="5"/>
        <v/>
      </c>
      <c r="Y2521" s="50" t="s">
        <v>482</v>
      </c>
      <c r="Z2521" s="49">
        <f t="shared" si="6"/>
        <v>0</v>
      </c>
    </row>
    <row r="2522" ht="22.5" customHeight="1">
      <c r="B2522" s="57"/>
      <c r="C2522" s="43" t="str">
        <f t="array" ref="C2522">IF(B2522="","",_xlfn.XLOOKUP(B2522,'Form responses 1'!$B$2:$B$2604,'Form responses 1'!$A$2:$A$2604,""))</f>
        <v/>
      </c>
      <c r="D2522" s="44" t="str">
        <f t="shared" si="3"/>
        <v/>
      </c>
      <c r="E2522" s="44" t="str">
        <f t="array" ref="E2522">IF(B2522="","",_xlfn.XLOOKUP(B2522,'Form responses 1'!$B$2:$B$2604,'Form responses 1'!$C$2:$C$2604,""))</f>
        <v/>
      </c>
      <c r="F2522" s="44" t="str">
        <f t="array" ref="F2522">IF(B2522="","",_xlfn.XLOOKUP(B2522,'Form responses 1'!$B$2:$B$2604,'Form responses 1'!$D$2:$D$2604,""))</f>
        <v/>
      </c>
      <c r="G2522" s="44" t="str">
        <f t="array" ref="G2522">IF(B2522="","",_xlfn.XLOOKUP(B2522,'Form responses 1'!$B$2:$B$2604,'Form responses 1'!$E$2:$E$2604,""))</f>
        <v/>
      </c>
      <c r="H2522" s="44" t="str">
        <f t="array" ref="H2522">IF(B2522="","",_xlfn.XLOOKUP(B2522,'Form responses 1'!$B$2:$B$2604,'Form responses 1'!$F$2:$F$2604,""))</f>
        <v/>
      </c>
      <c r="I2522" s="44" t="str">
        <f t="array" ref="I2522">IF(B2522="","",_xlfn.XLOOKUP(B2522,'Form responses 1'!$B$2:$B$2604,'Form responses 1'!$I$2:$I$2604,""))</f>
        <v/>
      </c>
      <c r="J2522" s="44" t="str">
        <f t="array" ref="J2522">IF(B2522="","",_xlfn.XLOOKUP(B2522,'Form responses 1'!$B$2:$B$2604,'Form responses 1'!$G$2:$G$2604,""))</f>
        <v/>
      </c>
      <c r="K2522" s="56"/>
      <c r="L2522" s="58" t="str">
        <f t="shared" si="7"/>
        <v/>
      </c>
      <c r="M2522" s="49"/>
      <c r="N2522" s="49"/>
      <c r="O2522" s="49"/>
      <c r="P2522" s="49"/>
      <c r="Q2522" s="49"/>
      <c r="R2522" s="49"/>
      <c r="S2522" s="49"/>
      <c r="T2522" s="49"/>
      <c r="U2522" s="49"/>
      <c r="V2522" s="49"/>
      <c r="W2522" s="56"/>
      <c r="X2522" s="51" t="str">
        <f t="shared" si="5"/>
        <v/>
      </c>
      <c r="Y2522" s="50" t="s">
        <v>482</v>
      </c>
      <c r="Z2522" s="49">
        <f t="shared" si="6"/>
        <v>0</v>
      </c>
    </row>
    <row r="2523" ht="22.5" customHeight="1">
      <c r="B2523" s="57"/>
      <c r="C2523" s="43" t="str">
        <f t="array" ref="C2523">IF(B2523="","",_xlfn.XLOOKUP(B2523,'Form responses 1'!$B$2:$B$2604,'Form responses 1'!$A$2:$A$2604,""))</f>
        <v/>
      </c>
      <c r="D2523" s="44" t="str">
        <f t="shared" si="3"/>
        <v/>
      </c>
      <c r="E2523" s="44" t="str">
        <f t="array" ref="E2523">IF(B2523="","",_xlfn.XLOOKUP(B2523,'Form responses 1'!$B$2:$B$2604,'Form responses 1'!$C$2:$C$2604,""))</f>
        <v/>
      </c>
      <c r="F2523" s="44" t="str">
        <f t="array" ref="F2523">IF(B2523="","",_xlfn.XLOOKUP(B2523,'Form responses 1'!$B$2:$B$2604,'Form responses 1'!$D$2:$D$2604,""))</f>
        <v/>
      </c>
      <c r="G2523" s="44" t="str">
        <f t="array" ref="G2523">IF(B2523="","",_xlfn.XLOOKUP(B2523,'Form responses 1'!$B$2:$B$2604,'Form responses 1'!$E$2:$E$2604,""))</f>
        <v/>
      </c>
      <c r="H2523" s="44" t="str">
        <f t="array" ref="H2523">IF(B2523="","",_xlfn.XLOOKUP(B2523,'Form responses 1'!$B$2:$B$2604,'Form responses 1'!$F$2:$F$2604,""))</f>
        <v/>
      </c>
      <c r="I2523" s="44" t="str">
        <f t="array" ref="I2523">IF(B2523="","",_xlfn.XLOOKUP(B2523,'Form responses 1'!$B$2:$B$2604,'Form responses 1'!$I$2:$I$2604,""))</f>
        <v/>
      </c>
      <c r="J2523" s="44" t="str">
        <f t="array" ref="J2523">IF(B2523="","",_xlfn.XLOOKUP(B2523,'Form responses 1'!$B$2:$B$2604,'Form responses 1'!$G$2:$G$2604,""))</f>
        <v/>
      </c>
      <c r="K2523" s="56"/>
      <c r="L2523" s="58" t="str">
        <f t="shared" si="7"/>
        <v/>
      </c>
      <c r="M2523" s="49"/>
      <c r="N2523" s="49"/>
      <c r="O2523" s="49"/>
      <c r="P2523" s="49"/>
      <c r="Q2523" s="49"/>
      <c r="R2523" s="49"/>
      <c r="S2523" s="49"/>
      <c r="T2523" s="49"/>
      <c r="U2523" s="49"/>
      <c r="V2523" s="49"/>
      <c r="W2523" s="56"/>
      <c r="X2523" s="51" t="str">
        <f t="shared" si="5"/>
        <v/>
      </c>
      <c r="Y2523" s="50" t="s">
        <v>482</v>
      </c>
      <c r="Z2523" s="49">
        <f t="shared" si="6"/>
        <v>0</v>
      </c>
    </row>
    <row r="2524" ht="22.5" customHeight="1">
      <c r="B2524" s="57"/>
      <c r="C2524" s="43" t="str">
        <f t="array" ref="C2524">IF(B2524="","",_xlfn.XLOOKUP(B2524,'Form responses 1'!$B$2:$B$2604,'Form responses 1'!$A$2:$A$2604,""))</f>
        <v/>
      </c>
      <c r="D2524" s="44" t="str">
        <f t="shared" si="3"/>
        <v/>
      </c>
      <c r="E2524" s="44" t="str">
        <f t="array" ref="E2524">IF(B2524="","",_xlfn.XLOOKUP(B2524,'Form responses 1'!$B$2:$B$2604,'Form responses 1'!$C$2:$C$2604,""))</f>
        <v/>
      </c>
      <c r="F2524" s="44" t="str">
        <f t="array" ref="F2524">IF(B2524="","",_xlfn.XLOOKUP(B2524,'Form responses 1'!$B$2:$B$2604,'Form responses 1'!$D$2:$D$2604,""))</f>
        <v/>
      </c>
      <c r="G2524" s="44" t="str">
        <f t="array" ref="G2524">IF(B2524="","",_xlfn.XLOOKUP(B2524,'Form responses 1'!$B$2:$B$2604,'Form responses 1'!$E$2:$E$2604,""))</f>
        <v/>
      </c>
      <c r="H2524" s="44" t="str">
        <f t="array" ref="H2524">IF(B2524="","",_xlfn.XLOOKUP(B2524,'Form responses 1'!$B$2:$B$2604,'Form responses 1'!$F$2:$F$2604,""))</f>
        <v/>
      </c>
      <c r="I2524" s="44" t="str">
        <f t="array" ref="I2524">IF(B2524="","",_xlfn.XLOOKUP(B2524,'Form responses 1'!$B$2:$B$2604,'Form responses 1'!$I$2:$I$2604,""))</f>
        <v/>
      </c>
      <c r="J2524" s="44" t="str">
        <f t="array" ref="J2524">IF(B2524="","",_xlfn.XLOOKUP(B2524,'Form responses 1'!$B$2:$B$2604,'Form responses 1'!$G$2:$G$2604,""))</f>
        <v/>
      </c>
      <c r="K2524" s="56"/>
      <c r="L2524" s="58" t="str">
        <f t="shared" si="7"/>
        <v/>
      </c>
      <c r="M2524" s="49"/>
      <c r="N2524" s="49"/>
      <c r="O2524" s="49"/>
      <c r="P2524" s="49"/>
      <c r="Q2524" s="49"/>
      <c r="R2524" s="49"/>
      <c r="S2524" s="49"/>
      <c r="T2524" s="49"/>
      <c r="U2524" s="49"/>
      <c r="V2524" s="49"/>
      <c r="W2524" s="56"/>
      <c r="X2524" s="51" t="str">
        <f t="shared" si="5"/>
        <v/>
      </c>
      <c r="Y2524" s="50" t="s">
        <v>482</v>
      </c>
      <c r="Z2524" s="49">
        <f t="shared" si="6"/>
        <v>0</v>
      </c>
    </row>
    <row r="2525" ht="22.5" customHeight="1">
      <c r="B2525" s="57"/>
      <c r="C2525" s="43" t="str">
        <f t="array" ref="C2525">IF(B2525="","",_xlfn.XLOOKUP(B2525,'Form responses 1'!$B$2:$B$2604,'Form responses 1'!$A$2:$A$2604,""))</f>
        <v/>
      </c>
      <c r="D2525" s="44" t="str">
        <f t="shared" si="3"/>
        <v/>
      </c>
      <c r="E2525" s="44" t="str">
        <f t="array" ref="E2525">IF(B2525="","",_xlfn.XLOOKUP(B2525,'Form responses 1'!$B$2:$B$2604,'Form responses 1'!$C$2:$C$2604,""))</f>
        <v/>
      </c>
      <c r="F2525" s="44" t="str">
        <f t="array" ref="F2525">IF(B2525="","",_xlfn.XLOOKUP(B2525,'Form responses 1'!$B$2:$B$2604,'Form responses 1'!$D$2:$D$2604,""))</f>
        <v/>
      </c>
      <c r="G2525" s="44" t="str">
        <f t="array" ref="G2525">IF(B2525="","",_xlfn.XLOOKUP(B2525,'Form responses 1'!$B$2:$B$2604,'Form responses 1'!$E$2:$E$2604,""))</f>
        <v/>
      </c>
      <c r="H2525" s="44" t="str">
        <f t="array" ref="H2525">IF(B2525="","",_xlfn.XLOOKUP(B2525,'Form responses 1'!$B$2:$B$2604,'Form responses 1'!$F$2:$F$2604,""))</f>
        <v/>
      </c>
      <c r="I2525" s="44" t="str">
        <f t="array" ref="I2525">IF(B2525="","",_xlfn.XLOOKUP(B2525,'Form responses 1'!$B$2:$B$2604,'Form responses 1'!$I$2:$I$2604,""))</f>
        <v/>
      </c>
      <c r="J2525" s="44" t="str">
        <f t="array" ref="J2525">IF(B2525="","",_xlfn.XLOOKUP(B2525,'Form responses 1'!$B$2:$B$2604,'Form responses 1'!$G$2:$G$2604,""))</f>
        <v/>
      </c>
      <c r="K2525" s="56"/>
      <c r="L2525" s="58" t="str">
        <f t="shared" si="7"/>
        <v/>
      </c>
      <c r="M2525" s="49"/>
      <c r="N2525" s="49"/>
      <c r="O2525" s="49"/>
      <c r="P2525" s="49"/>
      <c r="Q2525" s="49"/>
      <c r="R2525" s="49"/>
      <c r="S2525" s="49"/>
      <c r="T2525" s="49"/>
      <c r="U2525" s="49"/>
      <c r="V2525" s="49"/>
      <c r="W2525" s="56"/>
      <c r="X2525" s="51" t="str">
        <f t="shared" si="5"/>
        <v/>
      </c>
      <c r="Y2525" s="50" t="s">
        <v>482</v>
      </c>
      <c r="Z2525" s="49">
        <f t="shared" si="6"/>
        <v>0</v>
      </c>
    </row>
    <row r="2526" ht="22.5" customHeight="1">
      <c r="B2526" s="57"/>
      <c r="C2526" s="43" t="str">
        <f t="array" ref="C2526">IF(B2526="","",_xlfn.XLOOKUP(B2526,'Form responses 1'!$B$2:$B$2604,'Form responses 1'!$A$2:$A$2604,""))</f>
        <v/>
      </c>
      <c r="D2526" s="44" t="str">
        <f t="shared" si="3"/>
        <v/>
      </c>
      <c r="E2526" s="44" t="str">
        <f t="array" ref="E2526">IF(B2526="","",_xlfn.XLOOKUP(B2526,'Form responses 1'!$B$2:$B$2604,'Form responses 1'!$C$2:$C$2604,""))</f>
        <v/>
      </c>
      <c r="F2526" s="44" t="str">
        <f t="array" ref="F2526">IF(B2526="","",_xlfn.XLOOKUP(B2526,'Form responses 1'!$B$2:$B$2604,'Form responses 1'!$D$2:$D$2604,""))</f>
        <v/>
      </c>
      <c r="G2526" s="44" t="str">
        <f t="array" ref="G2526">IF(B2526="","",_xlfn.XLOOKUP(B2526,'Form responses 1'!$B$2:$B$2604,'Form responses 1'!$E$2:$E$2604,""))</f>
        <v/>
      </c>
      <c r="H2526" s="44" t="str">
        <f t="array" ref="H2526">IF(B2526="","",_xlfn.XLOOKUP(B2526,'Form responses 1'!$B$2:$B$2604,'Form responses 1'!$F$2:$F$2604,""))</f>
        <v/>
      </c>
      <c r="I2526" s="44" t="str">
        <f t="array" ref="I2526">IF(B2526="","",_xlfn.XLOOKUP(B2526,'Form responses 1'!$B$2:$B$2604,'Form responses 1'!$I$2:$I$2604,""))</f>
        <v/>
      </c>
      <c r="J2526" s="44" t="str">
        <f t="array" ref="J2526">IF(B2526="","",_xlfn.XLOOKUP(B2526,'Form responses 1'!$B$2:$B$2604,'Form responses 1'!$G$2:$G$2604,""))</f>
        <v/>
      </c>
      <c r="K2526" s="56"/>
      <c r="L2526" s="58" t="str">
        <f t="shared" si="7"/>
        <v/>
      </c>
      <c r="M2526" s="49"/>
      <c r="N2526" s="49"/>
      <c r="O2526" s="49"/>
      <c r="P2526" s="49"/>
      <c r="Q2526" s="49"/>
      <c r="R2526" s="49"/>
      <c r="S2526" s="49"/>
      <c r="T2526" s="49"/>
      <c r="U2526" s="49"/>
      <c r="V2526" s="49"/>
      <c r="W2526" s="56"/>
      <c r="X2526" s="51" t="str">
        <f t="shared" si="5"/>
        <v/>
      </c>
      <c r="Y2526" s="50" t="s">
        <v>482</v>
      </c>
      <c r="Z2526" s="49">
        <f t="shared" si="6"/>
        <v>0</v>
      </c>
    </row>
    <row r="2527" ht="22.5" customHeight="1">
      <c r="B2527" s="57"/>
      <c r="C2527" s="43" t="str">
        <f t="array" ref="C2527">IF(B2527="","",_xlfn.XLOOKUP(B2527,'Form responses 1'!$B$2:$B$2604,'Form responses 1'!$A$2:$A$2604,""))</f>
        <v/>
      </c>
      <c r="D2527" s="44" t="str">
        <f t="shared" si="3"/>
        <v/>
      </c>
      <c r="E2527" s="44" t="str">
        <f t="array" ref="E2527">IF(B2527="","",_xlfn.XLOOKUP(B2527,'Form responses 1'!$B$2:$B$2604,'Form responses 1'!$C$2:$C$2604,""))</f>
        <v/>
      </c>
      <c r="F2527" s="44" t="str">
        <f t="array" ref="F2527">IF(B2527="","",_xlfn.XLOOKUP(B2527,'Form responses 1'!$B$2:$B$2604,'Form responses 1'!$D$2:$D$2604,""))</f>
        <v/>
      </c>
      <c r="G2527" s="44" t="str">
        <f t="array" ref="G2527">IF(B2527="","",_xlfn.XLOOKUP(B2527,'Form responses 1'!$B$2:$B$2604,'Form responses 1'!$E$2:$E$2604,""))</f>
        <v/>
      </c>
      <c r="H2527" s="44" t="str">
        <f t="array" ref="H2527">IF(B2527="","",_xlfn.XLOOKUP(B2527,'Form responses 1'!$B$2:$B$2604,'Form responses 1'!$F$2:$F$2604,""))</f>
        <v/>
      </c>
      <c r="I2527" s="44" t="str">
        <f t="array" ref="I2527">IF(B2527="","",_xlfn.XLOOKUP(B2527,'Form responses 1'!$B$2:$B$2604,'Form responses 1'!$I$2:$I$2604,""))</f>
        <v/>
      </c>
      <c r="J2527" s="44" t="str">
        <f t="array" ref="J2527">IF(B2527="","",_xlfn.XLOOKUP(B2527,'Form responses 1'!$B$2:$B$2604,'Form responses 1'!$G$2:$G$2604,""))</f>
        <v/>
      </c>
      <c r="K2527" s="56"/>
      <c r="L2527" s="58" t="str">
        <f t="shared" si="7"/>
        <v/>
      </c>
      <c r="M2527" s="49"/>
      <c r="N2527" s="49"/>
      <c r="O2527" s="49"/>
      <c r="P2527" s="49"/>
      <c r="Q2527" s="49"/>
      <c r="R2527" s="49"/>
      <c r="S2527" s="49"/>
      <c r="T2527" s="49"/>
      <c r="U2527" s="49"/>
      <c r="V2527" s="49"/>
      <c r="W2527" s="56"/>
      <c r="X2527" s="51" t="str">
        <f t="shared" si="5"/>
        <v/>
      </c>
      <c r="Y2527" s="50" t="s">
        <v>482</v>
      </c>
      <c r="Z2527" s="49">
        <f t="shared" si="6"/>
        <v>0</v>
      </c>
    </row>
    <row r="2528" ht="22.5" customHeight="1">
      <c r="B2528" s="57"/>
      <c r="C2528" s="43" t="str">
        <f t="array" ref="C2528">IF(B2528="","",_xlfn.XLOOKUP(B2528,'Form responses 1'!$B$2:$B$2604,'Form responses 1'!$A$2:$A$2604,""))</f>
        <v/>
      </c>
      <c r="D2528" s="44" t="str">
        <f t="shared" si="3"/>
        <v/>
      </c>
      <c r="E2528" s="44" t="str">
        <f t="array" ref="E2528">IF(B2528="","",_xlfn.XLOOKUP(B2528,'Form responses 1'!$B$2:$B$2604,'Form responses 1'!$C$2:$C$2604,""))</f>
        <v/>
      </c>
      <c r="F2528" s="44" t="str">
        <f t="array" ref="F2528">IF(B2528="","",_xlfn.XLOOKUP(B2528,'Form responses 1'!$B$2:$B$2604,'Form responses 1'!$D$2:$D$2604,""))</f>
        <v/>
      </c>
      <c r="G2528" s="44" t="str">
        <f t="array" ref="G2528">IF(B2528="","",_xlfn.XLOOKUP(B2528,'Form responses 1'!$B$2:$B$2604,'Form responses 1'!$E$2:$E$2604,""))</f>
        <v/>
      </c>
      <c r="H2528" s="44" t="str">
        <f t="array" ref="H2528">IF(B2528="","",_xlfn.XLOOKUP(B2528,'Form responses 1'!$B$2:$B$2604,'Form responses 1'!$F$2:$F$2604,""))</f>
        <v/>
      </c>
      <c r="I2528" s="44" t="str">
        <f t="array" ref="I2528">IF(B2528="","",_xlfn.XLOOKUP(B2528,'Form responses 1'!$B$2:$B$2604,'Form responses 1'!$I$2:$I$2604,""))</f>
        <v/>
      </c>
      <c r="J2528" s="44" t="str">
        <f t="array" ref="J2528">IF(B2528="","",_xlfn.XLOOKUP(B2528,'Form responses 1'!$B$2:$B$2604,'Form responses 1'!$G$2:$G$2604,""))</f>
        <v/>
      </c>
      <c r="K2528" s="56"/>
      <c r="L2528" s="58" t="str">
        <f t="shared" si="7"/>
        <v/>
      </c>
      <c r="M2528" s="49"/>
      <c r="N2528" s="49"/>
      <c r="O2528" s="49"/>
      <c r="P2528" s="49"/>
      <c r="Q2528" s="49"/>
      <c r="R2528" s="49"/>
      <c r="S2528" s="49"/>
      <c r="T2528" s="49"/>
      <c r="U2528" s="49"/>
      <c r="V2528" s="49"/>
      <c r="W2528" s="56"/>
      <c r="X2528" s="51" t="str">
        <f t="shared" si="5"/>
        <v/>
      </c>
      <c r="Y2528" s="50" t="s">
        <v>482</v>
      </c>
      <c r="Z2528" s="49">
        <f t="shared" si="6"/>
        <v>0</v>
      </c>
    </row>
    <row r="2529" ht="22.5" customHeight="1">
      <c r="B2529" s="57"/>
      <c r="C2529" s="43" t="str">
        <f t="array" ref="C2529">IF(B2529="","",_xlfn.XLOOKUP(B2529,'Form responses 1'!$B$2:$B$2604,'Form responses 1'!$A$2:$A$2604,""))</f>
        <v/>
      </c>
      <c r="D2529" s="44" t="str">
        <f t="shared" si="3"/>
        <v/>
      </c>
      <c r="E2529" s="44" t="str">
        <f t="array" ref="E2529">IF(B2529="","",_xlfn.XLOOKUP(B2529,'Form responses 1'!$B$2:$B$2604,'Form responses 1'!$C$2:$C$2604,""))</f>
        <v/>
      </c>
      <c r="F2529" s="44" t="str">
        <f t="array" ref="F2529">IF(B2529="","",_xlfn.XLOOKUP(B2529,'Form responses 1'!$B$2:$B$2604,'Form responses 1'!$D$2:$D$2604,""))</f>
        <v/>
      </c>
      <c r="G2529" s="44" t="str">
        <f t="array" ref="G2529">IF(B2529="","",_xlfn.XLOOKUP(B2529,'Form responses 1'!$B$2:$B$2604,'Form responses 1'!$E$2:$E$2604,""))</f>
        <v/>
      </c>
      <c r="H2529" s="44" t="str">
        <f t="array" ref="H2529">IF(B2529="","",_xlfn.XLOOKUP(B2529,'Form responses 1'!$B$2:$B$2604,'Form responses 1'!$F$2:$F$2604,""))</f>
        <v/>
      </c>
      <c r="I2529" s="44" t="str">
        <f t="array" ref="I2529">IF(B2529="","",_xlfn.XLOOKUP(B2529,'Form responses 1'!$B$2:$B$2604,'Form responses 1'!$I$2:$I$2604,""))</f>
        <v/>
      </c>
      <c r="J2529" s="44" t="str">
        <f t="array" ref="J2529">IF(B2529="","",_xlfn.XLOOKUP(B2529,'Form responses 1'!$B$2:$B$2604,'Form responses 1'!$G$2:$G$2604,""))</f>
        <v/>
      </c>
      <c r="K2529" s="56"/>
      <c r="L2529" s="58" t="str">
        <f t="shared" si="7"/>
        <v/>
      </c>
      <c r="M2529" s="49"/>
      <c r="N2529" s="49"/>
      <c r="O2529" s="49"/>
      <c r="P2529" s="49"/>
      <c r="Q2529" s="49"/>
      <c r="R2529" s="49"/>
      <c r="S2529" s="49"/>
      <c r="T2529" s="49"/>
      <c r="U2529" s="49"/>
      <c r="V2529" s="49"/>
      <c r="W2529" s="56"/>
      <c r="X2529" s="51" t="str">
        <f t="shared" si="5"/>
        <v/>
      </c>
      <c r="Y2529" s="50" t="s">
        <v>482</v>
      </c>
      <c r="Z2529" s="49">
        <f t="shared" si="6"/>
        <v>0</v>
      </c>
    </row>
    <row r="2530" ht="22.5" customHeight="1">
      <c r="B2530" s="57"/>
      <c r="C2530" s="43" t="str">
        <f t="array" ref="C2530">IF(B2530="","",_xlfn.XLOOKUP(B2530,'Form responses 1'!$B$2:$B$2604,'Form responses 1'!$A$2:$A$2604,""))</f>
        <v/>
      </c>
      <c r="D2530" s="44" t="str">
        <f t="shared" si="3"/>
        <v/>
      </c>
      <c r="E2530" s="44" t="str">
        <f t="array" ref="E2530">IF(B2530="","",_xlfn.XLOOKUP(B2530,'Form responses 1'!$B$2:$B$2604,'Form responses 1'!$C$2:$C$2604,""))</f>
        <v/>
      </c>
      <c r="F2530" s="44" t="str">
        <f t="array" ref="F2530">IF(B2530="","",_xlfn.XLOOKUP(B2530,'Form responses 1'!$B$2:$B$2604,'Form responses 1'!$D$2:$D$2604,""))</f>
        <v/>
      </c>
      <c r="G2530" s="44" t="str">
        <f t="array" ref="G2530">IF(B2530="","",_xlfn.XLOOKUP(B2530,'Form responses 1'!$B$2:$B$2604,'Form responses 1'!$E$2:$E$2604,""))</f>
        <v/>
      </c>
      <c r="H2530" s="44" t="str">
        <f t="array" ref="H2530">IF(B2530="","",_xlfn.XLOOKUP(B2530,'Form responses 1'!$B$2:$B$2604,'Form responses 1'!$F$2:$F$2604,""))</f>
        <v/>
      </c>
      <c r="I2530" s="44" t="str">
        <f t="array" ref="I2530">IF(B2530="","",_xlfn.XLOOKUP(B2530,'Form responses 1'!$B$2:$B$2604,'Form responses 1'!$I$2:$I$2604,""))</f>
        <v/>
      </c>
      <c r="J2530" s="44" t="str">
        <f t="array" ref="J2530">IF(B2530="","",_xlfn.XLOOKUP(B2530,'Form responses 1'!$B$2:$B$2604,'Form responses 1'!$G$2:$G$2604,""))</f>
        <v/>
      </c>
      <c r="K2530" s="56"/>
      <c r="L2530" s="58" t="str">
        <f t="shared" si="7"/>
        <v/>
      </c>
      <c r="M2530" s="49"/>
      <c r="N2530" s="49"/>
      <c r="O2530" s="49"/>
      <c r="P2530" s="49"/>
      <c r="Q2530" s="49"/>
      <c r="R2530" s="49"/>
      <c r="S2530" s="49"/>
      <c r="T2530" s="49"/>
      <c r="U2530" s="49"/>
      <c r="V2530" s="49"/>
      <c r="W2530" s="56"/>
      <c r="X2530" s="51" t="str">
        <f t="shared" si="5"/>
        <v/>
      </c>
      <c r="Y2530" s="50" t="s">
        <v>482</v>
      </c>
      <c r="Z2530" s="49">
        <f t="shared" si="6"/>
        <v>0</v>
      </c>
    </row>
    <row r="2531" ht="22.5" customHeight="1">
      <c r="B2531" s="57"/>
      <c r="C2531" s="43" t="str">
        <f t="array" ref="C2531">IF(B2531="","",_xlfn.XLOOKUP(B2531,'Form responses 1'!$B$2:$B$2604,'Form responses 1'!$A$2:$A$2604,""))</f>
        <v/>
      </c>
      <c r="D2531" s="44" t="str">
        <f t="shared" si="3"/>
        <v/>
      </c>
      <c r="E2531" s="44" t="str">
        <f t="array" ref="E2531">IF(B2531="","",_xlfn.XLOOKUP(B2531,'Form responses 1'!$B$2:$B$2604,'Form responses 1'!$C$2:$C$2604,""))</f>
        <v/>
      </c>
      <c r="F2531" s="44" t="str">
        <f t="array" ref="F2531">IF(B2531="","",_xlfn.XLOOKUP(B2531,'Form responses 1'!$B$2:$B$2604,'Form responses 1'!$D$2:$D$2604,""))</f>
        <v/>
      </c>
      <c r="G2531" s="44" t="str">
        <f t="array" ref="G2531">IF(B2531="","",_xlfn.XLOOKUP(B2531,'Form responses 1'!$B$2:$B$2604,'Form responses 1'!$E$2:$E$2604,""))</f>
        <v/>
      </c>
      <c r="H2531" s="44" t="str">
        <f t="array" ref="H2531">IF(B2531="","",_xlfn.XLOOKUP(B2531,'Form responses 1'!$B$2:$B$2604,'Form responses 1'!$F$2:$F$2604,""))</f>
        <v/>
      </c>
      <c r="I2531" s="44" t="str">
        <f t="array" ref="I2531">IF(B2531="","",_xlfn.XLOOKUP(B2531,'Form responses 1'!$B$2:$B$2604,'Form responses 1'!$I$2:$I$2604,""))</f>
        <v/>
      </c>
      <c r="J2531" s="44" t="str">
        <f t="array" ref="J2531">IF(B2531="","",_xlfn.XLOOKUP(B2531,'Form responses 1'!$B$2:$B$2604,'Form responses 1'!$G$2:$G$2604,""))</f>
        <v/>
      </c>
      <c r="K2531" s="56"/>
      <c r="L2531" s="58" t="str">
        <f t="shared" si="7"/>
        <v/>
      </c>
      <c r="M2531" s="49"/>
      <c r="N2531" s="49"/>
      <c r="O2531" s="49"/>
      <c r="P2531" s="49"/>
      <c r="Q2531" s="49"/>
      <c r="R2531" s="49"/>
      <c r="S2531" s="49"/>
      <c r="T2531" s="49"/>
      <c r="U2531" s="49"/>
      <c r="V2531" s="49"/>
      <c r="W2531" s="56"/>
      <c r="X2531" s="51" t="str">
        <f t="shared" si="5"/>
        <v/>
      </c>
      <c r="Y2531" s="50" t="s">
        <v>482</v>
      </c>
      <c r="Z2531" s="49">
        <f t="shared" si="6"/>
        <v>0</v>
      </c>
    </row>
    <row r="2532" ht="22.5" customHeight="1">
      <c r="B2532" s="57"/>
      <c r="C2532" s="43" t="str">
        <f t="array" ref="C2532">IF(B2532="","",_xlfn.XLOOKUP(B2532,'Form responses 1'!$B$2:$B$2604,'Form responses 1'!$A$2:$A$2604,""))</f>
        <v/>
      </c>
      <c r="D2532" s="44" t="str">
        <f t="shared" si="3"/>
        <v/>
      </c>
      <c r="E2532" s="44" t="str">
        <f t="array" ref="E2532">IF(B2532="","",_xlfn.XLOOKUP(B2532,'Form responses 1'!$B$2:$B$2604,'Form responses 1'!$C$2:$C$2604,""))</f>
        <v/>
      </c>
      <c r="F2532" s="44" t="str">
        <f t="array" ref="F2532">IF(B2532="","",_xlfn.XLOOKUP(B2532,'Form responses 1'!$B$2:$B$2604,'Form responses 1'!$D$2:$D$2604,""))</f>
        <v/>
      </c>
      <c r="G2532" s="44" t="str">
        <f t="array" ref="G2532">IF(B2532="","",_xlfn.XLOOKUP(B2532,'Form responses 1'!$B$2:$B$2604,'Form responses 1'!$E$2:$E$2604,""))</f>
        <v/>
      </c>
      <c r="H2532" s="44" t="str">
        <f t="array" ref="H2532">IF(B2532="","",_xlfn.XLOOKUP(B2532,'Form responses 1'!$B$2:$B$2604,'Form responses 1'!$F$2:$F$2604,""))</f>
        <v/>
      </c>
      <c r="I2532" s="44" t="str">
        <f t="array" ref="I2532">IF(B2532="","",_xlfn.XLOOKUP(B2532,'Form responses 1'!$B$2:$B$2604,'Form responses 1'!$I$2:$I$2604,""))</f>
        <v/>
      </c>
      <c r="J2532" s="44" t="str">
        <f t="array" ref="J2532">IF(B2532="","",_xlfn.XLOOKUP(B2532,'Form responses 1'!$B$2:$B$2604,'Form responses 1'!$G$2:$G$2604,""))</f>
        <v/>
      </c>
      <c r="K2532" s="56"/>
      <c r="L2532" s="58" t="str">
        <f t="shared" si="7"/>
        <v/>
      </c>
      <c r="M2532" s="49"/>
      <c r="N2532" s="49"/>
      <c r="O2532" s="49"/>
      <c r="P2532" s="49"/>
      <c r="Q2532" s="49"/>
      <c r="R2532" s="49"/>
      <c r="S2532" s="49"/>
      <c r="T2532" s="49"/>
      <c r="U2532" s="49"/>
      <c r="V2532" s="49"/>
      <c r="W2532" s="56"/>
      <c r="X2532" s="51" t="str">
        <f t="shared" si="5"/>
        <v/>
      </c>
      <c r="Y2532" s="50" t="s">
        <v>482</v>
      </c>
      <c r="Z2532" s="49">
        <f t="shared" si="6"/>
        <v>0</v>
      </c>
    </row>
    <row r="2533" ht="22.5" customHeight="1">
      <c r="B2533" s="57"/>
      <c r="C2533" s="43" t="str">
        <f t="array" ref="C2533">IF(B2533="","",_xlfn.XLOOKUP(B2533,'Form responses 1'!$B$2:$B$2604,'Form responses 1'!$A$2:$A$2604,""))</f>
        <v/>
      </c>
      <c r="D2533" s="44" t="str">
        <f t="shared" si="3"/>
        <v/>
      </c>
      <c r="E2533" s="44" t="str">
        <f t="array" ref="E2533">IF(B2533="","",_xlfn.XLOOKUP(B2533,'Form responses 1'!$B$2:$B$2604,'Form responses 1'!$C$2:$C$2604,""))</f>
        <v/>
      </c>
      <c r="F2533" s="44" t="str">
        <f t="array" ref="F2533">IF(B2533="","",_xlfn.XLOOKUP(B2533,'Form responses 1'!$B$2:$B$2604,'Form responses 1'!$D$2:$D$2604,""))</f>
        <v/>
      </c>
      <c r="G2533" s="44" t="str">
        <f t="array" ref="G2533">IF(B2533="","",_xlfn.XLOOKUP(B2533,'Form responses 1'!$B$2:$B$2604,'Form responses 1'!$E$2:$E$2604,""))</f>
        <v/>
      </c>
      <c r="H2533" s="44" t="str">
        <f t="array" ref="H2533">IF(B2533="","",_xlfn.XLOOKUP(B2533,'Form responses 1'!$B$2:$B$2604,'Form responses 1'!$F$2:$F$2604,""))</f>
        <v/>
      </c>
      <c r="I2533" s="44" t="str">
        <f t="array" ref="I2533">IF(B2533="","",_xlfn.XLOOKUP(B2533,'Form responses 1'!$B$2:$B$2604,'Form responses 1'!$I$2:$I$2604,""))</f>
        <v/>
      </c>
      <c r="J2533" s="44" t="str">
        <f t="array" ref="J2533">IF(B2533="","",_xlfn.XLOOKUP(B2533,'Form responses 1'!$B$2:$B$2604,'Form responses 1'!$G$2:$G$2604,""))</f>
        <v/>
      </c>
      <c r="K2533" s="56"/>
      <c r="L2533" s="58" t="str">
        <f t="shared" si="7"/>
        <v/>
      </c>
      <c r="M2533" s="49"/>
      <c r="N2533" s="49"/>
      <c r="O2533" s="49"/>
      <c r="P2533" s="49"/>
      <c r="Q2533" s="49"/>
      <c r="R2533" s="49"/>
      <c r="S2533" s="49"/>
      <c r="T2533" s="49"/>
      <c r="U2533" s="49"/>
      <c r="V2533" s="49"/>
      <c r="W2533" s="56"/>
      <c r="X2533" s="51" t="str">
        <f t="shared" si="5"/>
        <v/>
      </c>
      <c r="Y2533" s="50" t="s">
        <v>482</v>
      </c>
      <c r="Z2533" s="49">
        <f t="shared" si="6"/>
        <v>0</v>
      </c>
    </row>
    <row r="2534" ht="22.5" customHeight="1">
      <c r="B2534" s="57"/>
      <c r="C2534" s="43" t="str">
        <f t="array" ref="C2534">IF(B2534="","",_xlfn.XLOOKUP(B2534,'Form responses 1'!$B$2:$B$2604,'Form responses 1'!$A$2:$A$2604,""))</f>
        <v/>
      </c>
      <c r="D2534" s="44" t="str">
        <f t="shared" si="3"/>
        <v/>
      </c>
      <c r="E2534" s="44" t="str">
        <f t="array" ref="E2534">IF(B2534="","",_xlfn.XLOOKUP(B2534,'Form responses 1'!$B$2:$B$2604,'Form responses 1'!$C$2:$C$2604,""))</f>
        <v/>
      </c>
      <c r="F2534" s="44" t="str">
        <f t="array" ref="F2534">IF(B2534="","",_xlfn.XLOOKUP(B2534,'Form responses 1'!$B$2:$B$2604,'Form responses 1'!$D$2:$D$2604,""))</f>
        <v/>
      </c>
      <c r="G2534" s="44" t="str">
        <f t="array" ref="G2534">IF(B2534="","",_xlfn.XLOOKUP(B2534,'Form responses 1'!$B$2:$B$2604,'Form responses 1'!$E$2:$E$2604,""))</f>
        <v/>
      </c>
      <c r="H2534" s="44" t="str">
        <f t="array" ref="H2534">IF(B2534="","",_xlfn.XLOOKUP(B2534,'Form responses 1'!$B$2:$B$2604,'Form responses 1'!$F$2:$F$2604,""))</f>
        <v/>
      </c>
      <c r="I2534" s="44" t="str">
        <f t="array" ref="I2534">IF(B2534="","",_xlfn.XLOOKUP(B2534,'Form responses 1'!$B$2:$B$2604,'Form responses 1'!$I$2:$I$2604,""))</f>
        <v/>
      </c>
      <c r="J2534" s="44" t="str">
        <f t="array" ref="J2534">IF(B2534="","",_xlfn.XLOOKUP(B2534,'Form responses 1'!$B$2:$B$2604,'Form responses 1'!$G$2:$G$2604,""))</f>
        <v/>
      </c>
      <c r="K2534" s="56"/>
      <c r="L2534" s="58" t="str">
        <f t="shared" si="7"/>
        <v/>
      </c>
      <c r="M2534" s="49"/>
      <c r="N2534" s="49"/>
      <c r="O2534" s="49"/>
      <c r="P2534" s="49"/>
      <c r="Q2534" s="49"/>
      <c r="R2534" s="49"/>
      <c r="S2534" s="49"/>
      <c r="T2534" s="49"/>
      <c r="U2534" s="49"/>
      <c r="V2534" s="49"/>
      <c r="W2534" s="56"/>
      <c r="X2534" s="51" t="str">
        <f t="shared" si="5"/>
        <v/>
      </c>
      <c r="Y2534" s="50" t="s">
        <v>482</v>
      </c>
      <c r="Z2534" s="49">
        <f t="shared" si="6"/>
        <v>0</v>
      </c>
    </row>
    <row r="2535" ht="22.5" customHeight="1">
      <c r="B2535" s="57"/>
      <c r="C2535" s="43" t="str">
        <f t="array" ref="C2535">IF(B2535="","",_xlfn.XLOOKUP(B2535,'Form responses 1'!$B$2:$B$2604,'Form responses 1'!$A$2:$A$2604,""))</f>
        <v/>
      </c>
      <c r="D2535" s="44" t="str">
        <f t="shared" si="3"/>
        <v/>
      </c>
      <c r="E2535" s="44" t="str">
        <f t="array" ref="E2535">IF(B2535="","",_xlfn.XLOOKUP(B2535,'Form responses 1'!$B$2:$B$2604,'Form responses 1'!$C$2:$C$2604,""))</f>
        <v/>
      </c>
      <c r="F2535" s="44" t="str">
        <f t="array" ref="F2535">IF(B2535="","",_xlfn.XLOOKUP(B2535,'Form responses 1'!$B$2:$B$2604,'Form responses 1'!$D$2:$D$2604,""))</f>
        <v/>
      </c>
      <c r="G2535" s="44" t="str">
        <f t="array" ref="G2535">IF(B2535="","",_xlfn.XLOOKUP(B2535,'Form responses 1'!$B$2:$B$2604,'Form responses 1'!$E$2:$E$2604,""))</f>
        <v/>
      </c>
      <c r="H2535" s="44" t="str">
        <f t="array" ref="H2535">IF(B2535="","",_xlfn.XLOOKUP(B2535,'Form responses 1'!$B$2:$B$2604,'Form responses 1'!$F$2:$F$2604,""))</f>
        <v/>
      </c>
      <c r="I2535" s="44" t="str">
        <f t="array" ref="I2535">IF(B2535="","",_xlfn.XLOOKUP(B2535,'Form responses 1'!$B$2:$B$2604,'Form responses 1'!$I$2:$I$2604,""))</f>
        <v/>
      </c>
      <c r="J2535" s="44" t="str">
        <f t="array" ref="J2535">IF(B2535="","",_xlfn.XLOOKUP(B2535,'Form responses 1'!$B$2:$B$2604,'Form responses 1'!$G$2:$G$2604,""))</f>
        <v/>
      </c>
      <c r="K2535" s="56"/>
      <c r="L2535" s="58" t="str">
        <f t="shared" si="7"/>
        <v/>
      </c>
      <c r="M2535" s="49"/>
      <c r="N2535" s="49"/>
      <c r="O2535" s="49"/>
      <c r="P2535" s="49"/>
      <c r="Q2535" s="49"/>
      <c r="R2535" s="49"/>
      <c r="S2535" s="49"/>
      <c r="T2535" s="49"/>
      <c r="U2535" s="49"/>
      <c r="V2535" s="49"/>
      <c r="W2535" s="56"/>
      <c r="X2535" s="51" t="str">
        <f t="shared" si="5"/>
        <v/>
      </c>
      <c r="Y2535" s="50" t="s">
        <v>482</v>
      </c>
      <c r="Z2535" s="49">
        <f t="shared" si="6"/>
        <v>0</v>
      </c>
    </row>
    <row r="2536" ht="22.5" customHeight="1">
      <c r="B2536" s="57"/>
      <c r="C2536" s="43" t="str">
        <f t="array" ref="C2536">IF(B2536="","",_xlfn.XLOOKUP(B2536,'Form responses 1'!$B$2:$B$2604,'Form responses 1'!$A$2:$A$2604,""))</f>
        <v/>
      </c>
      <c r="D2536" s="44" t="str">
        <f t="shared" si="3"/>
        <v/>
      </c>
      <c r="E2536" s="44" t="str">
        <f t="array" ref="E2536">IF(B2536="","",_xlfn.XLOOKUP(B2536,'Form responses 1'!$B$2:$B$2604,'Form responses 1'!$C$2:$C$2604,""))</f>
        <v/>
      </c>
      <c r="F2536" s="44" t="str">
        <f t="array" ref="F2536">IF(B2536="","",_xlfn.XLOOKUP(B2536,'Form responses 1'!$B$2:$B$2604,'Form responses 1'!$D$2:$D$2604,""))</f>
        <v/>
      </c>
      <c r="G2536" s="44" t="str">
        <f t="array" ref="G2536">IF(B2536="","",_xlfn.XLOOKUP(B2536,'Form responses 1'!$B$2:$B$2604,'Form responses 1'!$E$2:$E$2604,""))</f>
        <v/>
      </c>
      <c r="H2536" s="44" t="str">
        <f t="array" ref="H2536">IF(B2536="","",_xlfn.XLOOKUP(B2536,'Form responses 1'!$B$2:$B$2604,'Form responses 1'!$F$2:$F$2604,""))</f>
        <v/>
      </c>
      <c r="I2536" s="44" t="str">
        <f t="array" ref="I2536">IF(B2536="","",_xlfn.XLOOKUP(B2536,'Form responses 1'!$B$2:$B$2604,'Form responses 1'!$I$2:$I$2604,""))</f>
        <v/>
      </c>
      <c r="J2536" s="44" t="str">
        <f t="array" ref="J2536">IF(B2536="","",_xlfn.XLOOKUP(B2536,'Form responses 1'!$B$2:$B$2604,'Form responses 1'!$G$2:$G$2604,""))</f>
        <v/>
      </c>
      <c r="K2536" s="56"/>
      <c r="L2536" s="58" t="str">
        <f t="shared" si="7"/>
        <v/>
      </c>
      <c r="M2536" s="49"/>
      <c r="N2536" s="49"/>
      <c r="O2536" s="49"/>
      <c r="P2536" s="49"/>
      <c r="Q2536" s="49"/>
      <c r="R2536" s="49"/>
      <c r="S2536" s="49"/>
      <c r="T2536" s="49"/>
      <c r="U2536" s="49"/>
      <c r="V2536" s="49"/>
      <c r="W2536" s="56"/>
      <c r="X2536" s="51" t="str">
        <f t="shared" si="5"/>
        <v/>
      </c>
      <c r="Y2536" s="50" t="s">
        <v>482</v>
      </c>
      <c r="Z2536" s="49">
        <f t="shared" si="6"/>
        <v>0</v>
      </c>
    </row>
    <row r="2537" ht="22.5" customHeight="1">
      <c r="B2537" s="57"/>
      <c r="C2537" s="43" t="str">
        <f t="array" ref="C2537">IF(B2537="","",_xlfn.XLOOKUP(B2537,'Form responses 1'!$B$2:$B$2604,'Form responses 1'!$A$2:$A$2604,""))</f>
        <v/>
      </c>
      <c r="D2537" s="44" t="str">
        <f t="shared" si="3"/>
        <v/>
      </c>
      <c r="E2537" s="44" t="str">
        <f t="array" ref="E2537">IF(B2537="","",_xlfn.XLOOKUP(B2537,'Form responses 1'!$B$2:$B$2604,'Form responses 1'!$C$2:$C$2604,""))</f>
        <v/>
      </c>
      <c r="F2537" s="44" t="str">
        <f t="array" ref="F2537">IF(B2537="","",_xlfn.XLOOKUP(B2537,'Form responses 1'!$B$2:$B$2604,'Form responses 1'!$D$2:$D$2604,""))</f>
        <v/>
      </c>
      <c r="G2537" s="44" t="str">
        <f t="array" ref="G2537">IF(B2537="","",_xlfn.XLOOKUP(B2537,'Form responses 1'!$B$2:$B$2604,'Form responses 1'!$E$2:$E$2604,""))</f>
        <v/>
      </c>
      <c r="H2537" s="44" t="str">
        <f t="array" ref="H2537">IF(B2537="","",_xlfn.XLOOKUP(B2537,'Form responses 1'!$B$2:$B$2604,'Form responses 1'!$F$2:$F$2604,""))</f>
        <v/>
      </c>
      <c r="I2537" s="44" t="str">
        <f t="array" ref="I2537">IF(B2537="","",_xlfn.XLOOKUP(B2537,'Form responses 1'!$B$2:$B$2604,'Form responses 1'!$I$2:$I$2604,""))</f>
        <v/>
      </c>
      <c r="J2537" s="44" t="str">
        <f t="array" ref="J2537">IF(B2537="","",_xlfn.XLOOKUP(B2537,'Form responses 1'!$B$2:$B$2604,'Form responses 1'!$G$2:$G$2604,""))</f>
        <v/>
      </c>
      <c r="K2537" s="56"/>
      <c r="L2537" s="58" t="str">
        <f t="shared" si="7"/>
        <v/>
      </c>
      <c r="M2537" s="49"/>
      <c r="N2537" s="49"/>
      <c r="O2537" s="49"/>
      <c r="P2537" s="49"/>
      <c r="Q2537" s="49"/>
      <c r="R2537" s="49"/>
      <c r="S2537" s="49"/>
      <c r="T2537" s="49"/>
      <c r="U2537" s="49"/>
      <c r="V2537" s="49"/>
      <c r="W2537" s="56"/>
      <c r="X2537" s="51" t="str">
        <f t="shared" si="5"/>
        <v/>
      </c>
      <c r="Y2537" s="50" t="s">
        <v>482</v>
      </c>
      <c r="Z2537" s="49">
        <f t="shared" si="6"/>
        <v>0</v>
      </c>
    </row>
    <row r="2538" ht="22.5" customHeight="1">
      <c r="B2538" s="57"/>
      <c r="C2538" s="43" t="str">
        <f t="array" ref="C2538">IF(B2538="","",_xlfn.XLOOKUP(B2538,'Form responses 1'!$B$2:$B$2604,'Form responses 1'!$A$2:$A$2604,""))</f>
        <v/>
      </c>
      <c r="D2538" s="44" t="str">
        <f t="shared" si="3"/>
        <v/>
      </c>
      <c r="E2538" s="44" t="str">
        <f t="array" ref="E2538">IF(B2538="","",_xlfn.XLOOKUP(B2538,'Form responses 1'!$B$2:$B$2604,'Form responses 1'!$C$2:$C$2604,""))</f>
        <v/>
      </c>
      <c r="F2538" s="44" t="str">
        <f t="array" ref="F2538">IF(B2538="","",_xlfn.XLOOKUP(B2538,'Form responses 1'!$B$2:$B$2604,'Form responses 1'!$D$2:$D$2604,""))</f>
        <v/>
      </c>
      <c r="G2538" s="44" t="str">
        <f t="array" ref="G2538">IF(B2538="","",_xlfn.XLOOKUP(B2538,'Form responses 1'!$B$2:$B$2604,'Form responses 1'!$E$2:$E$2604,""))</f>
        <v/>
      </c>
      <c r="H2538" s="44" t="str">
        <f t="array" ref="H2538">IF(B2538="","",_xlfn.XLOOKUP(B2538,'Form responses 1'!$B$2:$B$2604,'Form responses 1'!$F$2:$F$2604,""))</f>
        <v/>
      </c>
      <c r="I2538" s="44" t="str">
        <f t="array" ref="I2538">IF(B2538="","",_xlfn.XLOOKUP(B2538,'Form responses 1'!$B$2:$B$2604,'Form responses 1'!$I$2:$I$2604,""))</f>
        <v/>
      </c>
      <c r="J2538" s="44" t="str">
        <f t="array" ref="J2538">IF(B2538="","",_xlfn.XLOOKUP(B2538,'Form responses 1'!$B$2:$B$2604,'Form responses 1'!$G$2:$G$2604,""))</f>
        <v/>
      </c>
      <c r="K2538" s="56"/>
      <c r="L2538" s="58" t="str">
        <f t="shared" si="7"/>
        <v/>
      </c>
      <c r="M2538" s="49"/>
      <c r="N2538" s="49"/>
      <c r="O2538" s="49"/>
      <c r="P2538" s="49"/>
      <c r="Q2538" s="49"/>
      <c r="R2538" s="49"/>
      <c r="S2538" s="49"/>
      <c r="T2538" s="49"/>
      <c r="U2538" s="49"/>
      <c r="V2538" s="49"/>
      <c r="W2538" s="56"/>
      <c r="X2538" s="51" t="str">
        <f t="shared" si="5"/>
        <v/>
      </c>
      <c r="Y2538" s="50" t="s">
        <v>482</v>
      </c>
      <c r="Z2538" s="49">
        <f t="shared" si="6"/>
        <v>0</v>
      </c>
    </row>
    <row r="2539" ht="22.5" customHeight="1">
      <c r="B2539" s="57"/>
      <c r="C2539" s="43" t="str">
        <f t="array" ref="C2539">IF(B2539="","",_xlfn.XLOOKUP(B2539,'Form responses 1'!$B$2:$B$2604,'Form responses 1'!$A$2:$A$2604,""))</f>
        <v/>
      </c>
      <c r="D2539" s="44" t="str">
        <f t="shared" si="3"/>
        <v/>
      </c>
      <c r="E2539" s="44" t="str">
        <f t="array" ref="E2539">IF(B2539="","",_xlfn.XLOOKUP(B2539,'Form responses 1'!$B$2:$B$2604,'Form responses 1'!$C$2:$C$2604,""))</f>
        <v/>
      </c>
      <c r="F2539" s="44" t="str">
        <f t="array" ref="F2539">IF(B2539="","",_xlfn.XLOOKUP(B2539,'Form responses 1'!$B$2:$B$2604,'Form responses 1'!$D$2:$D$2604,""))</f>
        <v/>
      </c>
      <c r="G2539" s="44" t="str">
        <f t="array" ref="G2539">IF(B2539="","",_xlfn.XLOOKUP(B2539,'Form responses 1'!$B$2:$B$2604,'Form responses 1'!$E$2:$E$2604,""))</f>
        <v/>
      </c>
      <c r="H2539" s="44" t="str">
        <f t="array" ref="H2539">IF(B2539="","",_xlfn.XLOOKUP(B2539,'Form responses 1'!$B$2:$B$2604,'Form responses 1'!$F$2:$F$2604,""))</f>
        <v/>
      </c>
      <c r="I2539" s="44" t="str">
        <f t="array" ref="I2539">IF(B2539="","",_xlfn.XLOOKUP(B2539,'Form responses 1'!$B$2:$B$2604,'Form responses 1'!$I$2:$I$2604,""))</f>
        <v/>
      </c>
      <c r="J2539" s="44" t="str">
        <f t="array" ref="J2539">IF(B2539="","",_xlfn.XLOOKUP(B2539,'Form responses 1'!$B$2:$B$2604,'Form responses 1'!$G$2:$G$2604,""))</f>
        <v/>
      </c>
      <c r="K2539" s="56"/>
      <c r="L2539" s="58" t="str">
        <f t="shared" si="7"/>
        <v/>
      </c>
      <c r="M2539" s="49"/>
      <c r="N2539" s="49"/>
      <c r="O2539" s="49"/>
      <c r="P2539" s="49"/>
      <c r="Q2539" s="49"/>
      <c r="R2539" s="49"/>
      <c r="S2539" s="49"/>
      <c r="T2539" s="49"/>
      <c r="U2539" s="49"/>
      <c r="V2539" s="49"/>
      <c r="W2539" s="56"/>
      <c r="X2539" s="51" t="str">
        <f t="shared" si="5"/>
        <v/>
      </c>
      <c r="Y2539" s="50" t="s">
        <v>482</v>
      </c>
      <c r="Z2539" s="49">
        <f t="shared" si="6"/>
        <v>0</v>
      </c>
    </row>
    <row r="2540" ht="22.5" customHeight="1">
      <c r="B2540" s="57"/>
      <c r="C2540" s="43" t="str">
        <f t="array" ref="C2540">IF(B2540="","",_xlfn.XLOOKUP(B2540,'Form responses 1'!$B$2:$B$2604,'Form responses 1'!$A$2:$A$2604,""))</f>
        <v/>
      </c>
      <c r="D2540" s="44" t="str">
        <f t="shared" si="3"/>
        <v/>
      </c>
      <c r="E2540" s="44" t="str">
        <f t="array" ref="E2540">IF(B2540="","",_xlfn.XLOOKUP(B2540,'Form responses 1'!$B$2:$B$2604,'Form responses 1'!$C$2:$C$2604,""))</f>
        <v/>
      </c>
      <c r="F2540" s="44" t="str">
        <f t="array" ref="F2540">IF(B2540="","",_xlfn.XLOOKUP(B2540,'Form responses 1'!$B$2:$B$2604,'Form responses 1'!$D$2:$D$2604,""))</f>
        <v/>
      </c>
      <c r="G2540" s="44" t="str">
        <f t="array" ref="G2540">IF(B2540="","",_xlfn.XLOOKUP(B2540,'Form responses 1'!$B$2:$B$2604,'Form responses 1'!$E$2:$E$2604,""))</f>
        <v/>
      </c>
      <c r="H2540" s="44" t="str">
        <f t="array" ref="H2540">IF(B2540="","",_xlfn.XLOOKUP(B2540,'Form responses 1'!$B$2:$B$2604,'Form responses 1'!$F$2:$F$2604,""))</f>
        <v/>
      </c>
      <c r="I2540" s="44" t="str">
        <f t="array" ref="I2540">IF(B2540="","",_xlfn.XLOOKUP(B2540,'Form responses 1'!$B$2:$B$2604,'Form responses 1'!$I$2:$I$2604,""))</f>
        <v/>
      </c>
      <c r="J2540" s="44" t="str">
        <f t="array" ref="J2540">IF(B2540="","",_xlfn.XLOOKUP(B2540,'Form responses 1'!$B$2:$B$2604,'Form responses 1'!$G$2:$G$2604,""))</f>
        <v/>
      </c>
      <c r="K2540" s="56"/>
      <c r="L2540" s="58" t="str">
        <f t="shared" si="7"/>
        <v/>
      </c>
      <c r="M2540" s="49"/>
      <c r="N2540" s="49"/>
      <c r="O2540" s="49"/>
      <c r="P2540" s="49"/>
      <c r="Q2540" s="49"/>
      <c r="R2540" s="49"/>
      <c r="S2540" s="49"/>
      <c r="T2540" s="49"/>
      <c r="U2540" s="49"/>
      <c r="V2540" s="49"/>
      <c r="W2540" s="56"/>
      <c r="X2540" s="51" t="str">
        <f t="shared" si="5"/>
        <v/>
      </c>
      <c r="Y2540" s="50" t="s">
        <v>482</v>
      </c>
      <c r="Z2540" s="49">
        <f t="shared" si="6"/>
        <v>0</v>
      </c>
    </row>
    <row r="2541" ht="22.5" customHeight="1">
      <c r="B2541" s="57"/>
      <c r="C2541" s="43" t="str">
        <f t="array" ref="C2541">IF(B2541="","",_xlfn.XLOOKUP(B2541,'Form responses 1'!$B$2:$B$2604,'Form responses 1'!$A$2:$A$2604,""))</f>
        <v/>
      </c>
      <c r="D2541" s="44" t="str">
        <f t="shared" si="3"/>
        <v/>
      </c>
      <c r="E2541" s="44" t="str">
        <f t="array" ref="E2541">IF(B2541="","",_xlfn.XLOOKUP(B2541,'Form responses 1'!$B$2:$B$2604,'Form responses 1'!$C$2:$C$2604,""))</f>
        <v/>
      </c>
      <c r="F2541" s="44" t="str">
        <f t="array" ref="F2541">IF(B2541="","",_xlfn.XLOOKUP(B2541,'Form responses 1'!$B$2:$B$2604,'Form responses 1'!$D$2:$D$2604,""))</f>
        <v/>
      </c>
      <c r="G2541" s="44" t="str">
        <f t="array" ref="G2541">IF(B2541="","",_xlfn.XLOOKUP(B2541,'Form responses 1'!$B$2:$B$2604,'Form responses 1'!$E$2:$E$2604,""))</f>
        <v/>
      </c>
      <c r="H2541" s="44" t="str">
        <f t="array" ref="H2541">IF(B2541="","",_xlfn.XLOOKUP(B2541,'Form responses 1'!$B$2:$B$2604,'Form responses 1'!$F$2:$F$2604,""))</f>
        <v/>
      </c>
      <c r="I2541" s="44" t="str">
        <f t="array" ref="I2541">IF(B2541="","",_xlfn.XLOOKUP(B2541,'Form responses 1'!$B$2:$B$2604,'Form responses 1'!$I$2:$I$2604,""))</f>
        <v/>
      </c>
      <c r="J2541" s="44" t="str">
        <f t="array" ref="J2541">IF(B2541="","",_xlfn.XLOOKUP(B2541,'Form responses 1'!$B$2:$B$2604,'Form responses 1'!$G$2:$G$2604,""))</f>
        <v/>
      </c>
      <c r="K2541" s="56"/>
      <c r="L2541" s="58" t="str">
        <f t="shared" si="7"/>
        <v/>
      </c>
      <c r="M2541" s="49"/>
      <c r="N2541" s="49"/>
      <c r="O2541" s="49"/>
      <c r="P2541" s="49"/>
      <c r="Q2541" s="49"/>
      <c r="R2541" s="49"/>
      <c r="S2541" s="49"/>
      <c r="T2541" s="49"/>
      <c r="U2541" s="49"/>
      <c r="V2541" s="49"/>
      <c r="W2541" s="56"/>
      <c r="X2541" s="51" t="str">
        <f t="shared" si="5"/>
        <v/>
      </c>
      <c r="Y2541" s="50" t="s">
        <v>482</v>
      </c>
      <c r="Z2541" s="49">
        <f t="shared" si="6"/>
        <v>0</v>
      </c>
    </row>
    <row r="2542" ht="22.5" customHeight="1">
      <c r="B2542" s="57"/>
      <c r="C2542" s="43" t="str">
        <f t="array" ref="C2542">IF(B2542="","",_xlfn.XLOOKUP(B2542,'Form responses 1'!$B$2:$B$2604,'Form responses 1'!$A$2:$A$2604,""))</f>
        <v/>
      </c>
      <c r="D2542" s="44" t="str">
        <f t="shared" si="3"/>
        <v/>
      </c>
      <c r="E2542" s="44" t="str">
        <f t="array" ref="E2542">IF(B2542="","",_xlfn.XLOOKUP(B2542,'Form responses 1'!$B$2:$B$2604,'Form responses 1'!$C$2:$C$2604,""))</f>
        <v/>
      </c>
      <c r="F2542" s="44" t="str">
        <f t="array" ref="F2542">IF(B2542="","",_xlfn.XLOOKUP(B2542,'Form responses 1'!$B$2:$B$2604,'Form responses 1'!$D$2:$D$2604,""))</f>
        <v/>
      </c>
      <c r="G2542" s="44" t="str">
        <f t="array" ref="G2542">IF(B2542="","",_xlfn.XLOOKUP(B2542,'Form responses 1'!$B$2:$B$2604,'Form responses 1'!$E$2:$E$2604,""))</f>
        <v/>
      </c>
      <c r="H2542" s="44" t="str">
        <f t="array" ref="H2542">IF(B2542="","",_xlfn.XLOOKUP(B2542,'Form responses 1'!$B$2:$B$2604,'Form responses 1'!$F$2:$F$2604,""))</f>
        <v/>
      </c>
      <c r="I2542" s="44" t="str">
        <f t="array" ref="I2542">IF(B2542="","",_xlfn.XLOOKUP(B2542,'Form responses 1'!$B$2:$B$2604,'Form responses 1'!$I$2:$I$2604,""))</f>
        <v/>
      </c>
      <c r="J2542" s="44" t="str">
        <f t="array" ref="J2542">IF(B2542="","",_xlfn.XLOOKUP(B2542,'Form responses 1'!$B$2:$B$2604,'Form responses 1'!$G$2:$G$2604,""))</f>
        <v/>
      </c>
      <c r="K2542" s="56"/>
      <c r="L2542" s="58" t="str">
        <f t="shared" si="7"/>
        <v/>
      </c>
      <c r="M2542" s="49"/>
      <c r="N2542" s="49"/>
      <c r="O2542" s="49"/>
      <c r="P2542" s="49"/>
      <c r="Q2542" s="49"/>
      <c r="R2542" s="49"/>
      <c r="S2542" s="49"/>
      <c r="T2542" s="49"/>
      <c r="U2542" s="49"/>
      <c r="V2542" s="49"/>
      <c r="W2542" s="56"/>
      <c r="X2542" s="51" t="str">
        <f t="shared" si="5"/>
        <v/>
      </c>
      <c r="Y2542" s="50" t="s">
        <v>482</v>
      </c>
      <c r="Z2542" s="49">
        <f t="shared" si="6"/>
        <v>0</v>
      </c>
    </row>
    <row r="2543" ht="22.5" customHeight="1">
      <c r="B2543" s="57"/>
      <c r="C2543" s="43" t="str">
        <f t="array" ref="C2543">IF(B2543="","",_xlfn.XLOOKUP(B2543,'Form responses 1'!$B$2:$B$2604,'Form responses 1'!$A$2:$A$2604,""))</f>
        <v/>
      </c>
      <c r="D2543" s="44" t="str">
        <f t="shared" si="3"/>
        <v/>
      </c>
      <c r="E2543" s="44" t="str">
        <f t="array" ref="E2543">IF(B2543="","",_xlfn.XLOOKUP(B2543,'Form responses 1'!$B$2:$B$2604,'Form responses 1'!$C$2:$C$2604,""))</f>
        <v/>
      </c>
      <c r="F2543" s="44" t="str">
        <f t="array" ref="F2543">IF(B2543="","",_xlfn.XLOOKUP(B2543,'Form responses 1'!$B$2:$B$2604,'Form responses 1'!$D$2:$D$2604,""))</f>
        <v/>
      </c>
      <c r="G2543" s="44" t="str">
        <f t="array" ref="G2543">IF(B2543="","",_xlfn.XLOOKUP(B2543,'Form responses 1'!$B$2:$B$2604,'Form responses 1'!$E$2:$E$2604,""))</f>
        <v/>
      </c>
      <c r="H2543" s="44" t="str">
        <f t="array" ref="H2543">IF(B2543="","",_xlfn.XLOOKUP(B2543,'Form responses 1'!$B$2:$B$2604,'Form responses 1'!$F$2:$F$2604,""))</f>
        <v/>
      </c>
      <c r="I2543" s="44" t="str">
        <f t="array" ref="I2543">IF(B2543="","",_xlfn.XLOOKUP(B2543,'Form responses 1'!$B$2:$B$2604,'Form responses 1'!$I$2:$I$2604,""))</f>
        <v/>
      </c>
      <c r="J2543" s="44" t="str">
        <f t="array" ref="J2543">IF(B2543="","",_xlfn.XLOOKUP(B2543,'Form responses 1'!$B$2:$B$2604,'Form responses 1'!$G$2:$G$2604,""))</f>
        <v/>
      </c>
      <c r="K2543" s="56"/>
      <c r="L2543" s="58" t="str">
        <f t="shared" si="7"/>
        <v/>
      </c>
      <c r="M2543" s="49"/>
      <c r="N2543" s="49"/>
      <c r="O2543" s="49"/>
      <c r="P2543" s="49"/>
      <c r="Q2543" s="49"/>
      <c r="R2543" s="49"/>
      <c r="S2543" s="49"/>
      <c r="T2543" s="49"/>
      <c r="U2543" s="49"/>
      <c r="V2543" s="49"/>
      <c r="W2543" s="56"/>
      <c r="X2543" s="51" t="str">
        <f t="shared" si="5"/>
        <v/>
      </c>
      <c r="Y2543" s="50" t="s">
        <v>482</v>
      </c>
      <c r="Z2543" s="49">
        <f t="shared" si="6"/>
        <v>0</v>
      </c>
    </row>
    <row r="2544" ht="22.5" customHeight="1">
      <c r="B2544" s="57"/>
      <c r="C2544" s="43" t="str">
        <f t="array" ref="C2544">IF(B2544="","",_xlfn.XLOOKUP(B2544,'Form responses 1'!$B$2:$B$2604,'Form responses 1'!$A$2:$A$2604,""))</f>
        <v/>
      </c>
      <c r="D2544" s="44" t="str">
        <f t="shared" si="3"/>
        <v/>
      </c>
      <c r="E2544" s="44" t="str">
        <f t="array" ref="E2544">IF(B2544="","",_xlfn.XLOOKUP(B2544,'Form responses 1'!$B$2:$B$2604,'Form responses 1'!$C$2:$C$2604,""))</f>
        <v/>
      </c>
      <c r="F2544" s="44" t="str">
        <f t="array" ref="F2544">IF(B2544="","",_xlfn.XLOOKUP(B2544,'Form responses 1'!$B$2:$B$2604,'Form responses 1'!$D$2:$D$2604,""))</f>
        <v/>
      </c>
      <c r="G2544" s="44" t="str">
        <f t="array" ref="G2544">IF(B2544="","",_xlfn.XLOOKUP(B2544,'Form responses 1'!$B$2:$B$2604,'Form responses 1'!$E$2:$E$2604,""))</f>
        <v/>
      </c>
      <c r="H2544" s="44" t="str">
        <f t="array" ref="H2544">IF(B2544="","",_xlfn.XLOOKUP(B2544,'Form responses 1'!$B$2:$B$2604,'Form responses 1'!$F$2:$F$2604,""))</f>
        <v/>
      </c>
      <c r="I2544" s="44" t="str">
        <f t="array" ref="I2544">IF(B2544="","",_xlfn.XLOOKUP(B2544,'Form responses 1'!$B$2:$B$2604,'Form responses 1'!$I$2:$I$2604,""))</f>
        <v/>
      </c>
      <c r="J2544" s="44" t="str">
        <f t="array" ref="J2544">IF(B2544="","",_xlfn.XLOOKUP(B2544,'Form responses 1'!$B$2:$B$2604,'Form responses 1'!$G$2:$G$2604,""))</f>
        <v/>
      </c>
      <c r="K2544" s="56"/>
      <c r="L2544" s="58" t="str">
        <f t="shared" si="7"/>
        <v/>
      </c>
      <c r="M2544" s="49"/>
      <c r="N2544" s="49"/>
      <c r="O2544" s="49"/>
      <c r="P2544" s="49"/>
      <c r="Q2544" s="49"/>
      <c r="R2544" s="49"/>
      <c r="S2544" s="49"/>
      <c r="T2544" s="49"/>
      <c r="U2544" s="49"/>
      <c r="V2544" s="49"/>
      <c r="W2544" s="56"/>
      <c r="X2544" s="51" t="str">
        <f t="shared" si="5"/>
        <v/>
      </c>
      <c r="Y2544" s="50" t="s">
        <v>482</v>
      </c>
      <c r="Z2544" s="49">
        <f t="shared" si="6"/>
        <v>0</v>
      </c>
    </row>
    <row r="2545" ht="22.5" customHeight="1">
      <c r="B2545" s="57"/>
      <c r="C2545" s="43" t="str">
        <f t="array" ref="C2545">IF(B2545="","",_xlfn.XLOOKUP(B2545,'Form responses 1'!$B$2:$B$2604,'Form responses 1'!$A$2:$A$2604,""))</f>
        <v/>
      </c>
      <c r="D2545" s="44" t="str">
        <f t="shared" si="3"/>
        <v/>
      </c>
      <c r="E2545" s="44" t="str">
        <f t="array" ref="E2545">IF(B2545="","",_xlfn.XLOOKUP(B2545,'Form responses 1'!$B$2:$B$2604,'Form responses 1'!$C$2:$C$2604,""))</f>
        <v/>
      </c>
      <c r="F2545" s="44" t="str">
        <f t="array" ref="F2545">IF(B2545="","",_xlfn.XLOOKUP(B2545,'Form responses 1'!$B$2:$B$2604,'Form responses 1'!$D$2:$D$2604,""))</f>
        <v/>
      </c>
      <c r="G2545" s="44" t="str">
        <f t="array" ref="G2545">IF(B2545="","",_xlfn.XLOOKUP(B2545,'Form responses 1'!$B$2:$B$2604,'Form responses 1'!$E$2:$E$2604,""))</f>
        <v/>
      </c>
      <c r="H2545" s="44" t="str">
        <f t="array" ref="H2545">IF(B2545="","",_xlfn.XLOOKUP(B2545,'Form responses 1'!$B$2:$B$2604,'Form responses 1'!$F$2:$F$2604,""))</f>
        <v/>
      </c>
      <c r="I2545" s="44" t="str">
        <f t="array" ref="I2545">IF(B2545="","",_xlfn.XLOOKUP(B2545,'Form responses 1'!$B$2:$B$2604,'Form responses 1'!$I$2:$I$2604,""))</f>
        <v/>
      </c>
      <c r="J2545" s="44" t="str">
        <f t="array" ref="J2545">IF(B2545="","",_xlfn.XLOOKUP(B2545,'Form responses 1'!$B$2:$B$2604,'Form responses 1'!$G$2:$G$2604,""))</f>
        <v/>
      </c>
      <c r="K2545" s="56"/>
      <c r="L2545" s="58" t="str">
        <f t="shared" si="7"/>
        <v/>
      </c>
      <c r="M2545" s="49"/>
      <c r="N2545" s="49"/>
      <c r="O2545" s="49"/>
      <c r="P2545" s="49"/>
      <c r="Q2545" s="49"/>
      <c r="R2545" s="49"/>
      <c r="S2545" s="49"/>
      <c r="T2545" s="49"/>
      <c r="U2545" s="49"/>
      <c r="V2545" s="49"/>
      <c r="W2545" s="56"/>
      <c r="X2545" s="51" t="str">
        <f t="shared" si="5"/>
        <v/>
      </c>
      <c r="Y2545" s="50" t="s">
        <v>482</v>
      </c>
      <c r="Z2545" s="49">
        <f t="shared" si="6"/>
        <v>0</v>
      </c>
    </row>
    <row r="2546" ht="22.5" customHeight="1">
      <c r="B2546" s="57"/>
      <c r="C2546" s="43" t="str">
        <f t="array" ref="C2546">IF(B2546="","",_xlfn.XLOOKUP(B2546,'Form responses 1'!$B$2:$B$2604,'Form responses 1'!$A$2:$A$2604,""))</f>
        <v/>
      </c>
      <c r="D2546" s="44" t="str">
        <f t="shared" si="3"/>
        <v/>
      </c>
      <c r="E2546" s="44" t="str">
        <f t="array" ref="E2546">IF(B2546="","",_xlfn.XLOOKUP(B2546,'Form responses 1'!$B$2:$B$2604,'Form responses 1'!$C$2:$C$2604,""))</f>
        <v/>
      </c>
      <c r="F2546" s="44" t="str">
        <f t="array" ref="F2546">IF(B2546="","",_xlfn.XLOOKUP(B2546,'Form responses 1'!$B$2:$B$2604,'Form responses 1'!$D$2:$D$2604,""))</f>
        <v/>
      </c>
      <c r="G2546" s="44" t="str">
        <f t="array" ref="G2546">IF(B2546="","",_xlfn.XLOOKUP(B2546,'Form responses 1'!$B$2:$B$2604,'Form responses 1'!$E$2:$E$2604,""))</f>
        <v/>
      </c>
      <c r="H2546" s="44" t="str">
        <f t="array" ref="H2546">IF(B2546="","",_xlfn.XLOOKUP(B2546,'Form responses 1'!$B$2:$B$2604,'Form responses 1'!$F$2:$F$2604,""))</f>
        <v/>
      </c>
      <c r="I2546" s="44" t="str">
        <f t="array" ref="I2546">IF(B2546="","",_xlfn.XLOOKUP(B2546,'Form responses 1'!$B$2:$B$2604,'Form responses 1'!$I$2:$I$2604,""))</f>
        <v/>
      </c>
      <c r="J2546" s="44" t="str">
        <f t="array" ref="J2546">IF(B2546="","",_xlfn.XLOOKUP(B2546,'Form responses 1'!$B$2:$B$2604,'Form responses 1'!$G$2:$G$2604,""))</f>
        <v/>
      </c>
      <c r="K2546" s="56"/>
      <c r="L2546" s="58" t="str">
        <f t="shared" si="7"/>
        <v/>
      </c>
      <c r="M2546" s="49"/>
      <c r="N2546" s="49"/>
      <c r="O2546" s="49"/>
      <c r="P2546" s="49"/>
      <c r="Q2546" s="49"/>
      <c r="R2546" s="49"/>
      <c r="S2546" s="49"/>
      <c r="T2546" s="49"/>
      <c r="U2546" s="49"/>
      <c r="V2546" s="49"/>
      <c r="W2546" s="56"/>
      <c r="X2546" s="51" t="str">
        <f t="shared" si="5"/>
        <v/>
      </c>
      <c r="Y2546" s="50" t="s">
        <v>482</v>
      </c>
      <c r="Z2546" s="49">
        <f t="shared" si="6"/>
        <v>0</v>
      </c>
    </row>
    <row r="2547" ht="22.5" customHeight="1">
      <c r="B2547" s="57"/>
      <c r="C2547" s="43" t="str">
        <f t="array" ref="C2547">IF(B2547="","",_xlfn.XLOOKUP(B2547,'Form responses 1'!$B$2:$B$2604,'Form responses 1'!$A$2:$A$2604,""))</f>
        <v/>
      </c>
      <c r="D2547" s="44" t="str">
        <f t="shared" si="3"/>
        <v/>
      </c>
      <c r="E2547" s="44" t="str">
        <f t="array" ref="E2547">IF(B2547="","",_xlfn.XLOOKUP(B2547,'Form responses 1'!$B$2:$B$2604,'Form responses 1'!$C$2:$C$2604,""))</f>
        <v/>
      </c>
      <c r="F2547" s="44" t="str">
        <f t="array" ref="F2547">IF(B2547="","",_xlfn.XLOOKUP(B2547,'Form responses 1'!$B$2:$B$2604,'Form responses 1'!$D$2:$D$2604,""))</f>
        <v/>
      </c>
      <c r="G2547" s="44" t="str">
        <f t="array" ref="G2547">IF(B2547="","",_xlfn.XLOOKUP(B2547,'Form responses 1'!$B$2:$B$2604,'Form responses 1'!$E$2:$E$2604,""))</f>
        <v/>
      </c>
      <c r="H2547" s="44" t="str">
        <f t="array" ref="H2547">IF(B2547="","",_xlfn.XLOOKUP(B2547,'Form responses 1'!$B$2:$B$2604,'Form responses 1'!$F$2:$F$2604,""))</f>
        <v/>
      </c>
      <c r="I2547" s="44" t="str">
        <f t="array" ref="I2547">IF(B2547="","",_xlfn.XLOOKUP(B2547,'Form responses 1'!$B$2:$B$2604,'Form responses 1'!$I$2:$I$2604,""))</f>
        <v/>
      </c>
      <c r="J2547" s="44" t="str">
        <f t="array" ref="J2547">IF(B2547="","",_xlfn.XLOOKUP(B2547,'Form responses 1'!$B$2:$B$2604,'Form responses 1'!$G$2:$G$2604,""))</f>
        <v/>
      </c>
      <c r="K2547" s="56"/>
      <c r="L2547" s="58" t="str">
        <f t="shared" si="7"/>
        <v/>
      </c>
      <c r="M2547" s="49"/>
      <c r="N2547" s="49"/>
      <c r="O2547" s="49"/>
      <c r="P2547" s="49"/>
      <c r="Q2547" s="49"/>
      <c r="R2547" s="49"/>
      <c r="S2547" s="49"/>
      <c r="T2547" s="49"/>
      <c r="U2547" s="49"/>
      <c r="V2547" s="49"/>
      <c r="W2547" s="56"/>
      <c r="X2547" s="51" t="str">
        <f t="shared" si="5"/>
        <v/>
      </c>
      <c r="Y2547" s="50" t="s">
        <v>482</v>
      </c>
      <c r="Z2547" s="49">
        <f t="shared" si="6"/>
        <v>0</v>
      </c>
    </row>
    <row r="2548" ht="22.5" customHeight="1">
      <c r="B2548" s="57"/>
      <c r="C2548" s="43" t="str">
        <f t="array" ref="C2548">IF(B2548="","",_xlfn.XLOOKUP(B2548,'Form responses 1'!$B$2:$B$2604,'Form responses 1'!$A$2:$A$2604,""))</f>
        <v/>
      </c>
      <c r="D2548" s="44" t="str">
        <f t="shared" si="3"/>
        <v/>
      </c>
      <c r="E2548" s="44" t="str">
        <f t="array" ref="E2548">IF(B2548="","",_xlfn.XLOOKUP(B2548,'Form responses 1'!$B$2:$B$2604,'Form responses 1'!$C$2:$C$2604,""))</f>
        <v/>
      </c>
      <c r="F2548" s="44" t="str">
        <f t="array" ref="F2548">IF(B2548="","",_xlfn.XLOOKUP(B2548,'Form responses 1'!$B$2:$B$2604,'Form responses 1'!$D$2:$D$2604,""))</f>
        <v/>
      </c>
      <c r="G2548" s="44" t="str">
        <f t="array" ref="G2548">IF(B2548="","",_xlfn.XLOOKUP(B2548,'Form responses 1'!$B$2:$B$2604,'Form responses 1'!$E$2:$E$2604,""))</f>
        <v/>
      </c>
      <c r="H2548" s="44" t="str">
        <f t="array" ref="H2548">IF(B2548="","",_xlfn.XLOOKUP(B2548,'Form responses 1'!$B$2:$B$2604,'Form responses 1'!$F$2:$F$2604,""))</f>
        <v/>
      </c>
      <c r="I2548" s="44" t="str">
        <f t="array" ref="I2548">IF(B2548="","",_xlfn.XLOOKUP(B2548,'Form responses 1'!$B$2:$B$2604,'Form responses 1'!$I$2:$I$2604,""))</f>
        <v/>
      </c>
      <c r="J2548" s="44" t="str">
        <f t="array" ref="J2548">IF(B2548="","",_xlfn.XLOOKUP(B2548,'Form responses 1'!$B$2:$B$2604,'Form responses 1'!$G$2:$G$2604,""))</f>
        <v/>
      </c>
      <c r="K2548" s="56"/>
      <c r="L2548" s="58" t="str">
        <f t="shared" si="7"/>
        <v/>
      </c>
      <c r="M2548" s="49"/>
      <c r="N2548" s="49"/>
      <c r="O2548" s="49"/>
      <c r="P2548" s="49"/>
      <c r="Q2548" s="49"/>
      <c r="R2548" s="49"/>
      <c r="S2548" s="49"/>
      <c r="T2548" s="49"/>
      <c r="U2548" s="49"/>
      <c r="V2548" s="49"/>
      <c r="W2548" s="56"/>
      <c r="X2548" s="51" t="str">
        <f t="shared" si="5"/>
        <v/>
      </c>
      <c r="Y2548" s="50" t="s">
        <v>482</v>
      </c>
      <c r="Z2548" s="49">
        <f t="shared" si="6"/>
        <v>0</v>
      </c>
    </row>
    <row r="2549" ht="22.5" customHeight="1">
      <c r="B2549" s="57"/>
      <c r="C2549" s="43" t="str">
        <f t="array" ref="C2549">IF(B2549="","",_xlfn.XLOOKUP(B2549,'Form responses 1'!$B$2:$B$2604,'Form responses 1'!$A$2:$A$2604,""))</f>
        <v/>
      </c>
      <c r="D2549" s="44" t="str">
        <f t="shared" si="3"/>
        <v/>
      </c>
      <c r="E2549" s="44" t="str">
        <f t="array" ref="E2549">IF(B2549="","",_xlfn.XLOOKUP(B2549,'Form responses 1'!$B$2:$B$2604,'Form responses 1'!$C$2:$C$2604,""))</f>
        <v/>
      </c>
      <c r="F2549" s="44" t="str">
        <f t="array" ref="F2549">IF(B2549="","",_xlfn.XLOOKUP(B2549,'Form responses 1'!$B$2:$B$2604,'Form responses 1'!$D$2:$D$2604,""))</f>
        <v/>
      </c>
      <c r="G2549" s="44" t="str">
        <f t="array" ref="G2549">IF(B2549="","",_xlfn.XLOOKUP(B2549,'Form responses 1'!$B$2:$B$2604,'Form responses 1'!$E$2:$E$2604,""))</f>
        <v/>
      </c>
      <c r="H2549" s="44" t="str">
        <f t="array" ref="H2549">IF(B2549="","",_xlfn.XLOOKUP(B2549,'Form responses 1'!$B$2:$B$2604,'Form responses 1'!$F$2:$F$2604,""))</f>
        <v/>
      </c>
      <c r="I2549" s="44" t="str">
        <f t="array" ref="I2549">IF(B2549="","",_xlfn.XLOOKUP(B2549,'Form responses 1'!$B$2:$B$2604,'Form responses 1'!$I$2:$I$2604,""))</f>
        <v/>
      </c>
      <c r="J2549" s="44" t="str">
        <f t="array" ref="J2549">IF(B2549="","",_xlfn.XLOOKUP(B2549,'Form responses 1'!$B$2:$B$2604,'Form responses 1'!$G$2:$G$2604,""))</f>
        <v/>
      </c>
      <c r="K2549" s="56"/>
      <c r="L2549" s="58" t="str">
        <f t="shared" si="7"/>
        <v/>
      </c>
      <c r="M2549" s="49"/>
      <c r="N2549" s="49"/>
      <c r="O2549" s="49"/>
      <c r="P2549" s="49"/>
      <c r="Q2549" s="49"/>
      <c r="R2549" s="49"/>
      <c r="S2549" s="49"/>
      <c r="T2549" s="49"/>
      <c r="U2549" s="49"/>
      <c r="V2549" s="49"/>
      <c r="W2549" s="56"/>
      <c r="X2549" s="51" t="str">
        <f t="shared" si="5"/>
        <v/>
      </c>
      <c r="Y2549" s="50" t="s">
        <v>482</v>
      </c>
      <c r="Z2549" s="49">
        <f t="shared" si="6"/>
        <v>0</v>
      </c>
    </row>
    <row r="2550" ht="22.5" customHeight="1">
      <c r="B2550" s="57"/>
      <c r="C2550" s="43" t="str">
        <f t="array" ref="C2550">IF(B2550="","",_xlfn.XLOOKUP(B2550,'Form responses 1'!$B$2:$B$2604,'Form responses 1'!$A$2:$A$2604,""))</f>
        <v/>
      </c>
      <c r="D2550" s="44" t="str">
        <f t="shared" si="3"/>
        <v/>
      </c>
      <c r="E2550" s="44" t="str">
        <f t="array" ref="E2550">IF(B2550="","",_xlfn.XLOOKUP(B2550,'Form responses 1'!$B$2:$B$2604,'Form responses 1'!$C$2:$C$2604,""))</f>
        <v/>
      </c>
      <c r="F2550" s="44" t="str">
        <f t="array" ref="F2550">IF(B2550="","",_xlfn.XLOOKUP(B2550,'Form responses 1'!$B$2:$B$2604,'Form responses 1'!$D$2:$D$2604,""))</f>
        <v/>
      </c>
      <c r="G2550" s="44" t="str">
        <f t="array" ref="G2550">IF(B2550="","",_xlfn.XLOOKUP(B2550,'Form responses 1'!$B$2:$B$2604,'Form responses 1'!$E$2:$E$2604,""))</f>
        <v/>
      </c>
      <c r="H2550" s="44" t="str">
        <f t="array" ref="H2550">IF(B2550="","",_xlfn.XLOOKUP(B2550,'Form responses 1'!$B$2:$B$2604,'Form responses 1'!$F$2:$F$2604,""))</f>
        <v/>
      </c>
      <c r="I2550" s="44" t="str">
        <f t="array" ref="I2550">IF(B2550="","",_xlfn.XLOOKUP(B2550,'Form responses 1'!$B$2:$B$2604,'Form responses 1'!$I$2:$I$2604,""))</f>
        <v/>
      </c>
      <c r="J2550" s="44" t="str">
        <f t="array" ref="J2550">IF(B2550="","",_xlfn.XLOOKUP(B2550,'Form responses 1'!$B$2:$B$2604,'Form responses 1'!$G$2:$G$2604,""))</f>
        <v/>
      </c>
      <c r="K2550" s="56"/>
      <c r="L2550" s="58" t="str">
        <f t="shared" si="7"/>
        <v/>
      </c>
      <c r="M2550" s="49"/>
      <c r="N2550" s="49"/>
      <c r="O2550" s="49"/>
      <c r="P2550" s="49"/>
      <c r="Q2550" s="49"/>
      <c r="R2550" s="49"/>
      <c r="S2550" s="49"/>
      <c r="T2550" s="49"/>
      <c r="U2550" s="49"/>
      <c r="V2550" s="49"/>
      <c r="W2550" s="56"/>
      <c r="X2550" s="51" t="str">
        <f t="shared" si="5"/>
        <v/>
      </c>
      <c r="Y2550" s="50" t="s">
        <v>482</v>
      </c>
      <c r="Z2550" s="49">
        <f t="shared" si="6"/>
        <v>0</v>
      </c>
    </row>
    <row r="2551" ht="22.5" customHeight="1">
      <c r="B2551" s="57"/>
      <c r="C2551" s="43" t="str">
        <f t="array" ref="C2551">IF(B2551="","",_xlfn.XLOOKUP(B2551,'Form responses 1'!$B$2:$B$2604,'Form responses 1'!$A$2:$A$2604,""))</f>
        <v/>
      </c>
      <c r="D2551" s="44" t="str">
        <f t="shared" si="3"/>
        <v/>
      </c>
      <c r="E2551" s="44" t="str">
        <f t="array" ref="E2551">IF(B2551="","",_xlfn.XLOOKUP(B2551,'Form responses 1'!$B$2:$B$2604,'Form responses 1'!$C$2:$C$2604,""))</f>
        <v/>
      </c>
      <c r="F2551" s="44" t="str">
        <f t="array" ref="F2551">IF(B2551="","",_xlfn.XLOOKUP(B2551,'Form responses 1'!$B$2:$B$2604,'Form responses 1'!$D$2:$D$2604,""))</f>
        <v/>
      </c>
      <c r="G2551" s="44" t="str">
        <f t="array" ref="G2551">IF(B2551="","",_xlfn.XLOOKUP(B2551,'Form responses 1'!$B$2:$B$2604,'Form responses 1'!$E$2:$E$2604,""))</f>
        <v/>
      </c>
      <c r="H2551" s="44" t="str">
        <f t="array" ref="H2551">IF(B2551="","",_xlfn.XLOOKUP(B2551,'Form responses 1'!$B$2:$B$2604,'Form responses 1'!$F$2:$F$2604,""))</f>
        <v/>
      </c>
      <c r="I2551" s="44" t="str">
        <f t="array" ref="I2551">IF(B2551="","",_xlfn.XLOOKUP(B2551,'Form responses 1'!$B$2:$B$2604,'Form responses 1'!$I$2:$I$2604,""))</f>
        <v/>
      </c>
      <c r="J2551" s="44" t="str">
        <f t="array" ref="J2551">IF(B2551="","",_xlfn.XLOOKUP(B2551,'Form responses 1'!$B$2:$B$2604,'Form responses 1'!$G$2:$G$2604,""))</f>
        <v/>
      </c>
      <c r="K2551" s="56"/>
      <c r="L2551" s="58" t="str">
        <f t="shared" si="7"/>
        <v/>
      </c>
      <c r="M2551" s="49"/>
      <c r="N2551" s="49"/>
      <c r="O2551" s="49"/>
      <c r="P2551" s="49"/>
      <c r="Q2551" s="49"/>
      <c r="R2551" s="49"/>
      <c r="S2551" s="49"/>
      <c r="T2551" s="49"/>
      <c r="U2551" s="49"/>
      <c r="V2551" s="49"/>
      <c r="W2551" s="56"/>
      <c r="X2551" s="51" t="str">
        <f t="shared" si="5"/>
        <v/>
      </c>
      <c r="Y2551" s="50" t="s">
        <v>482</v>
      </c>
      <c r="Z2551" s="49">
        <f t="shared" si="6"/>
        <v>0</v>
      </c>
    </row>
    <row r="2552" ht="22.5" customHeight="1">
      <c r="B2552" s="57"/>
      <c r="C2552" s="43" t="str">
        <f t="array" ref="C2552">IF(B2552="","",_xlfn.XLOOKUP(B2552,'Form responses 1'!$B$2:$B$2604,'Form responses 1'!$A$2:$A$2604,""))</f>
        <v/>
      </c>
      <c r="D2552" s="44" t="str">
        <f t="shared" si="3"/>
        <v/>
      </c>
      <c r="E2552" s="44" t="str">
        <f t="array" ref="E2552">IF(B2552="","",_xlfn.XLOOKUP(B2552,'Form responses 1'!$B$2:$B$2604,'Form responses 1'!$C$2:$C$2604,""))</f>
        <v/>
      </c>
      <c r="F2552" s="44" t="str">
        <f t="array" ref="F2552">IF(B2552="","",_xlfn.XLOOKUP(B2552,'Form responses 1'!$B$2:$B$2604,'Form responses 1'!$D$2:$D$2604,""))</f>
        <v/>
      </c>
      <c r="G2552" s="44" t="str">
        <f t="array" ref="G2552">IF(B2552="","",_xlfn.XLOOKUP(B2552,'Form responses 1'!$B$2:$B$2604,'Form responses 1'!$E$2:$E$2604,""))</f>
        <v/>
      </c>
      <c r="H2552" s="44" t="str">
        <f t="array" ref="H2552">IF(B2552="","",_xlfn.XLOOKUP(B2552,'Form responses 1'!$B$2:$B$2604,'Form responses 1'!$F$2:$F$2604,""))</f>
        <v/>
      </c>
      <c r="I2552" s="44" t="str">
        <f t="array" ref="I2552">IF(B2552="","",_xlfn.XLOOKUP(B2552,'Form responses 1'!$B$2:$B$2604,'Form responses 1'!$I$2:$I$2604,""))</f>
        <v/>
      </c>
      <c r="J2552" s="44" t="str">
        <f t="array" ref="J2552">IF(B2552="","",_xlfn.XLOOKUP(B2552,'Form responses 1'!$B$2:$B$2604,'Form responses 1'!$G$2:$G$2604,""))</f>
        <v/>
      </c>
      <c r="K2552" s="56"/>
      <c r="L2552" s="58" t="str">
        <f t="shared" si="7"/>
        <v/>
      </c>
      <c r="M2552" s="49"/>
      <c r="N2552" s="49"/>
      <c r="O2552" s="49"/>
      <c r="P2552" s="49"/>
      <c r="Q2552" s="49"/>
      <c r="R2552" s="49"/>
      <c r="S2552" s="49"/>
      <c r="T2552" s="49"/>
      <c r="U2552" s="49"/>
      <c r="V2552" s="49"/>
      <c r="W2552" s="56"/>
      <c r="X2552" s="51" t="str">
        <f t="shared" si="5"/>
        <v/>
      </c>
      <c r="Y2552" s="50" t="s">
        <v>482</v>
      </c>
      <c r="Z2552" s="49">
        <f t="shared" si="6"/>
        <v>0</v>
      </c>
    </row>
    <row r="2553" ht="22.5" customHeight="1">
      <c r="B2553" s="57"/>
      <c r="C2553" s="43" t="str">
        <f t="array" ref="C2553">IF(B2553="","",_xlfn.XLOOKUP(B2553,'Form responses 1'!$B$2:$B$2604,'Form responses 1'!$A$2:$A$2604,""))</f>
        <v/>
      </c>
      <c r="D2553" s="44" t="str">
        <f t="shared" si="3"/>
        <v/>
      </c>
      <c r="E2553" s="44" t="str">
        <f t="array" ref="E2553">IF(B2553="","",_xlfn.XLOOKUP(B2553,'Form responses 1'!$B$2:$B$2604,'Form responses 1'!$C$2:$C$2604,""))</f>
        <v/>
      </c>
      <c r="F2553" s="44" t="str">
        <f t="array" ref="F2553">IF(B2553="","",_xlfn.XLOOKUP(B2553,'Form responses 1'!$B$2:$B$2604,'Form responses 1'!$D$2:$D$2604,""))</f>
        <v/>
      </c>
      <c r="G2553" s="44" t="str">
        <f t="array" ref="G2553">IF(B2553="","",_xlfn.XLOOKUP(B2553,'Form responses 1'!$B$2:$B$2604,'Form responses 1'!$E$2:$E$2604,""))</f>
        <v/>
      </c>
      <c r="H2553" s="44" t="str">
        <f t="array" ref="H2553">IF(B2553="","",_xlfn.XLOOKUP(B2553,'Form responses 1'!$B$2:$B$2604,'Form responses 1'!$F$2:$F$2604,""))</f>
        <v/>
      </c>
      <c r="I2553" s="44" t="str">
        <f t="array" ref="I2553">IF(B2553="","",_xlfn.XLOOKUP(B2553,'Form responses 1'!$B$2:$B$2604,'Form responses 1'!$I$2:$I$2604,""))</f>
        <v/>
      </c>
      <c r="J2553" s="44" t="str">
        <f t="array" ref="J2553">IF(B2553="","",_xlfn.XLOOKUP(B2553,'Form responses 1'!$B$2:$B$2604,'Form responses 1'!$G$2:$G$2604,""))</f>
        <v/>
      </c>
      <c r="K2553" s="56"/>
      <c r="L2553" s="58" t="str">
        <f t="shared" si="7"/>
        <v/>
      </c>
      <c r="M2553" s="49"/>
      <c r="N2553" s="49"/>
      <c r="O2553" s="49"/>
      <c r="P2553" s="49"/>
      <c r="Q2553" s="49"/>
      <c r="R2553" s="49"/>
      <c r="S2553" s="49"/>
      <c r="T2553" s="49"/>
      <c r="U2553" s="49"/>
      <c r="V2553" s="49"/>
      <c r="W2553" s="56"/>
      <c r="X2553" s="51" t="str">
        <f t="shared" si="5"/>
        <v/>
      </c>
      <c r="Y2553" s="50" t="s">
        <v>482</v>
      </c>
      <c r="Z2553" s="49">
        <f t="shared" si="6"/>
        <v>0</v>
      </c>
    </row>
    <row r="2554" ht="22.5" customHeight="1">
      <c r="B2554" s="57"/>
      <c r="C2554" s="43" t="str">
        <f t="array" ref="C2554">IF(B2554="","",_xlfn.XLOOKUP(B2554,'Form responses 1'!$B$2:$B$2604,'Form responses 1'!$A$2:$A$2604,""))</f>
        <v/>
      </c>
      <c r="D2554" s="44" t="str">
        <f t="shared" si="3"/>
        <v/>
      </c>
      <c r="E2554" s="44" t="str">
        <f t="array" ref="E2554">IF(B2554="","",_xlfn.XLOOKUP(B2554,'Form responses 1'!$B$2:$B$2604,'Form responses 1'!$C$2:$C$2604,""))</f>
        <v/>
      </c>
      <c r="F2554" s="44" t="str">
        <f t="array" ref="F2554">IF(B2554="","",_xlfn.XLOOKUP(B2554,'Form responses 1'!$B$2:$B$2604,'Form responses 1'!$D$2:$D$2604,""))</f>
        <v/>
      </c>
      <c r="G2554" s="44" t="str">
        <f t="array" ref="G2554">IF(B2554="","",_xlfn.XLOOKUP(B2554,'Form responses 1'!$B$2:$B$2604,'Form responses 1'!$E$2:$E$2604,""))</f>
        <v/>
      </c>
      <c r="H2554" s="44" t="str">
        <f t="array" ref="H2554">IF(B2554="","",_xlfn.XLOOKUP(B2554,'Form responses 1'!$B$2:$B$2604,'Form responses 1'!$F$2:$F$2604,""))</f>
        <v/>
      </c>
      <c r="I2554" s="44" t="str">
        <f t="array" ref="I2554">IF(B2554="","",_xlfn.XLOOKUP(B2554,'Form responses 1'!$B$2:$B$2604,'Form responses 1'!$I$2:$I$2604,""))</f>
        <v/>
      </c>
      <c r="J2554" s="44" t="str">
        <f t="array" ref="J2554">IF(B2554="","",_xlfn.XLOOKUP(B2554,'Form responses 1'!$B$2:$B$2604,'Form responses 1'!$G$2:$G$2604,""))</f>
        <v/>
      </c>
      <c r="K2554" s="56"/>
      <c r="L2554" s="58" t="str">
        <f t="shared" si="7"/>
        <v/>
      </c>
      <c r="M2554" s="49"/>
      <c r="N2554" s="49"/>
      <c r="O2554" s="49"/>
      <c r="P2554" s="49"/>
      <c r="Q2554" s="49"/>
      <c r="R2554" s="49"/>
      <c r="S2554" s="49"/>
      <c r="T2554" s="49"/>
      <c r="U2554" s="49"/>
      <c r="V2554" s="49"/>
      <c r="W2554" s="56"/>
      <c r="X2554" s="51" t="str">
        <f t="shared" si="5"/>
        <v/>
      </c>
      <c r="Y2554" s="50" t="s">
        <v>482</v>
      </c>
      <c r="Z2554" s="49">
        <f t="shared" si="6"/>
        <v>0</v>
      </c>
    </row>
    <row r="2555" ht="22.5" customHeight="1">
      <c r="B2555" s="57"/>
      <c r="C2555" s="43" t="str">
        <f t="array" ref="C2555">IF(B2555="","",_xlfn.XLOOKUP(B2555,'Form responses 1'!$B$2:$B$2604,'Form responses 1'!$A$2:$A$2604,""))</f>
        <v/>
      </c>
      <c r="D2555" s="44" t="str">
        <f t="shared" si="3"/>
        <v/>
      </c>
      <c r="E2555" s="44" t="str">
        <f t="array" ref="E2555">IF(B2555="","",_xlfn.XLOOKUP(B2555,'Form responses 1'!$B$2:$B$2604,'Form responses 1'!$C$2:$C$2604,""))</f>
        <v/>
      </c>
      <c r="F2555" s="44" t="str">
        <f t="array" ref="F2555">IF(B2555="","",_xlfn.XLOOKUP(B2555,'Form responses 1'!$B$2:$B$2604,'Form responses 1'!$D$2:$D$2604,""))</f>
        <v/>
      </c>
      <c r="G2555" s="44" t="str">
        <f t="array" ref="G2555">IF(B2555="","",_xlfn.XLOOKUP(B2555,'Form responses 1'!$B$2:$B$2604,'Form responses 1'!$E$2:$E$2604,""))</f>
        <v/>
      </c>
      <c r="H2555" s="44" t="str">
        <f t="array" ref="H2555">IF(B2555="","",_xlfn.XLOOKUP(B2555,'Form responses 1'!$B$2:$B$2604,'Form responses 1'!$F$2:$F$2604,""))</f>
        <v/>
      </c>
      <c r="I2555" s="44" t="str">
        <f t="array" ref="I2555">IF(B2555="","",_xlfn.XLOOKUP(B2555,'Form responses 1'!$B$2:$B$2604,'Form responses 1'!$I$2:$I$2604,""))</f>
        <v/>
      </c>
      <c r="J2555" s="44" t="str">
        <f t="array" ref="J2555">IF(B2555="","",_xlfn.XLOOKUP(B2555,'Form responses 1'!$B$2:$B$2604,'Form responses 1'!$G$2:$G$2604,""))</f>
        <v/>
      </c>
      <c r="K2555" s="56"/>
      <c r="L2555" s="58" t="str">
        <f t="shared" si="7"/>
        <v/>
      </c>
      <c r="M2555" s="49"/>
      <c r="N2555" s="49"/>
      <c r="O2555" s="49"/>
      <c r="P2555" s="49"/>
      <c r="Q2555" s="49"/>
      <c r="R2555" s="49"/>
      <c r="S2555" s="49"/>
      <c r="T2555" s="49"/>
      <c r="U2555" s="49"/>
      <c r="V2555" s="49"/>
      <c r="W2555" s="56"/>
      <c r="X2555" s="51" t="str">
        <f t="shared" si="5"/>
        <v/>
      </c>
      <c r="Y2555" s="50" t="s">
        <v>482</v>
      </c>
      <c r="Z2555" s="49">
        <f t="shared" si="6"/>
        <v>0</v>
      </c>
    </row>
    <row r="2556" ht="22.5" customHeight="1">
      <c r="B2556" s="57"/>
      <c r="C2556" s="43" t="str">
        <f t="array" ref="C2556">IF(B2556="","",_xlfn.XLOOKUP(B2556,'Form responses 1'!$B$2:$B$2604,'Form responses 1'!$A$2:$A$2604,""))</f>
        <v/>
      </c>
      <c r="D2556" s="44" t="str">
        <f t="shared" si="3"/>
        <v/>
      </c>
      <c r="E2556" s="44" t="str">
        <f t="array" ref="E2556">IF(B2556="","",_xlfn.XLOOKUP(B2556,'Form responses 1'!$B$2:$B$2604,'Form responses 1'!$C$2:$C$2604,""))</f>
        <v/>
      </c>
      <c r="F2556" s="44" t="str">
        <f t="array" ref="F2556">IF(B2556="","",_xlfn.XLOOKUP(B2556,'Form responses 1'!$B$2:$B$2604,'Form responses 1'!$D$2:$D$2604,""))</f>
        <v/>
      </c>
      <c r="G2556" s="44" t="str">
        <f t="array" ref="G2556">IF(B2556="","",_xlfn.XLOOKUP(B2556,'Form responses 1'!$B$2:$B$2604,'Form responses 1'!$E$2:$E$2604,""))</f>
        <v/>
      </c>
      <c r="H2556" s="44" t="str">
        <f t="array" ref="H2556">IF(B2556="","",_xlfn.XLOOKUP(B2556,'Form responses 1'!$B$2:$B$2604,'Form responses 1'!$F$2:$F$2604,""))</f>
        <v/>
      </c>
      <c r="I2556" s="44" t="str">
        <f t="array" ref="I2556">IF(B2556="","",_xlfn.XLOOKUP(B2556,'Form responses 1'!$B$2:$B$2604,'Form responses 1'!$I$2:$I$2604,""))</f>
        <v/>
      </c>
      <c r="J2556" s="44" t="str">
        <f t="array" ref="J2556">IF(B2556="","",_xlfn.XLOOKUP(B2556,'Form responses 1'!$B$2:$B$2604,'Form responses 1'!$G$2:$G$2604,""))</f>
        <v/>
      </c>
      <c r="K2556" s="56"/>
      <c r="L2556" s="58" t="str">
        <f t="shared" si="7"/>
        <v/>
      </c>
      <c r="M2556" s="49"/>
      <c r="N2556" s="49"/>
      <c r="O2556" s="49"/>
      <c r="P2556" s="49"/>
      <c r="Q2556" s="49"/>
      <c r="R2556" s="49"/>
      <c r="S2556" s="49"/>
      <c r="T2556" s="49"/>
      <c r="U2556" s="49"/>
      <c r="V2556" s="49"/>
      <c r="W2556" s="56"/>
      <c r="X2556" s="51" t="str">
        <f t="shared" si="5"/>
        <v/>
      </c>
      <c r="Y2556" s="50" t="s">
        <v>482</v>
      </c>
      <c r="Z2556" s="49">
        <f t="shared" si="6"/>
        <v>0</v>
      </c>
    </row>
    <row r="2557" ht="22.5" customHeight="1">
      <c r="B2557" s="57"/>
      <c r="C2557" s="43" t="str">
        <f t="array" ref="C2557">IF(B2557="","",_xlfn.XLOOKUP(B2557,'Form responses 1'!$B$2:$B$2604,'Form responses 1'!$A$2:$A$2604,""))</f>
        <v/>
      </c>
      <c r="D2557" s="44" t="str">
        <f t="shared" si="3"/>
        <v/>
      </c>
      <c r="E2557" s="44" t="str">
        <f t="array" ref="E2557">IF(B2557="","",_xlfn.XLOOKUP(B2557,'Form responses 1'!$B$2:$B$2604,'Form responses 1'!$C$2:$C$2604,""))</f>
        <v/>
      </c>
      <c r="F2557" s="44" t="str">
        <f t="array" ref="F2557">IF(B2557="","",_xlfn.XLOOKUP(B2557,'Form responses 1'!$B$2:$B$2604,'Form responses 1'!$D$2:$D$2604,""))</f>
        <v/>
      </c>
      <c r="G2557" s="44" t="str">
        <f t="array" ref="G2557">IF(B2557="","",_xlfn.XLOOKUP(B2557,'Form responses 1'!$B$2:$B$2604,'Form responses 1'!$E$2:$E$2604,""))</f>
        <v/>
      </c>
      <c r="H2557" s="44" t="str">
        <f t="array" ref="H2557">IF(B2557="","",_xlfn.XLOOKUP(B2557,'Form responses 1'!$B$2:$B$2604,'Form responses 1'!$F$2:$F$2604,""))</f>
        <v/>
      </c>
      <c r="I2557" s="44" t="str">
        <f t="array" ref="I2557">IF(B2557="","",_xlfn.XLOOKUP(B2557,'Form responses 1'!$B$2:$B$2604,'Form responses 1'!$I$2:$I$2604,""))</f>
        <v/>
      </c>
      <c r="J2557" s="44" t="str">
        <f t="array" ref="J2557">IF(B2557="","",_xlfn.XLOOKUP(B2557,'Form responses 1'!$B$2:$B$2604,'Form responses 1'!$G$2:$G$2604,""))</f>
        <v/>
      </c>
      <c r="K2557" s="56"/>
      <c r="L2557" s="58" t="str">
        <f t="shared" si="7"/>
        <v/>
      </c>
      <c r="M2557" s="49"/>
      <c r="N2557" s="49"/>
      <c r="O2557" s="49"/>
      <c r="P2557" s="49"/>
      <c r="Q2557" s="49"/>
      <c r="R2557" s="49"/>
      <c r="S2557" s="49"/>
      <c r="T2557" s="49"/>
      <c r="U2557" s="49"/>
      <c r="V2557" s="49"/>
      <c r="W2557" s="56"/>
      <c r="X2557" s="51" t="str">
        <f t="shared" si="5"/>
        <v/>
      </c>
      <c r="Y2557" s="50" t="s">
        <v>482</v>
      </c>
      <c r="Z2557" s="49">
        <f t="shared" si="6"/>
        <v>0</v>
      </c>
    </row>
    <row r="2558" ht="22.5" customHeight="1">
      <c r="B2558" s="57"/>
      <c r="C2558" s="43" t="str">
        <f t="array" ref="C2558">IF(B2558="","",_xlfn.XLOOKUP(B2558,'Form responses 1'!$B$2:$B$2604,'Form responses 1'!$A$2:$A$2604,""))</f>
        <v/>
      </c>
      <c r="D2558" s="44" t="str">
        <f t="shared" si="3"/>
        <v/>
      </c>
      <c r="E2558" s="44" t="str">
        <f t="array" ref="E2558">IF(B2558="","",_xlfn.XLOOKUP(B2558,'Form responses 1'!$B$2:$B$2604,'Form responses 1'!$C$2:$C$2604,""))</f>
        <v/>
      </c>
      <c r="F2558" s="44" t="str">
        <f t="array" ref="F2558">IF(B2558="","",_xlfn.XLOOKUP(B2558,'Form responses 1'!$B$2:$B$2604,'Form responses 1'!$D$2:$D$2604,""))</f>
        <v/>
      </c>
      <c r="G2558" s="44" t="str">
        <f t="array" ref="G2558">IF(B2558="","",_xlfn.XLOOKUP(B2558,'Form responses 1'!$B$2:$B$2604,'Form responses 1'!$E$2:$E$2604,""))</f>
        <v/>
      </c>
      <c r="H2558" s="44" t="str">
        <f t="array" ref="H2558">IF(B2558="","",_xlfn.XLOOKUP(B2558,'Form responses 1'!$B$2:$B$2604,'Form responses 1'!$F$2:$F$2604,""))</f>
        <v/>
      </c>
      <c r="I2558" s="44" t="str">
        <f t="array" ref="I2558">IF(B2558="","",_xlfn.XLOOKUP(B2558,'Form responses 1'!$B$2:$B$2604,'Form responses 1'!$I$2:$I$2604,""))</f>
        <v/>
      </c>
      <c r="J2558" s="44" t="str">
        <f t="array" ref="J2558">IF(B2558="","",_xlfn.XLOOKUP(B2558,'Form responses 1'!$B$2:$B$2604,'Form responses 1'!$G$2:$G$2604,""))</f>
        <v/>
      </c>
      <c r="K2558" s="56"/>
      <c r="L2558" s="58" t="str">
        <f t="shared" si="7"/>
        <v/>
      </c>
      <c r="M2558" s="49"/>
      <c r="N2558" s="49"/>
      <c r="O2558" s="49"/>
      <c r="P2558" s="49"/>
      <c r="Q2558" s="49"/>
      <c r="R2558" s="49"/>
      <c r="S2558" s="49"/>
      <c r="T2558" s="49"/>
      <c r="U2558" s="49"/>
      <c r="V2558" s="49"/>
      <c r="W2558" s="56"/>
      <c r="X2558" s="51" t="str">
        <f t="shared" si="5"/>
        <v/>
      </c>
      <c r="Y2558" s="50" t="s">
        <v>482</v>
      </c>
      <c r="Z2558" s="49">
        <f t="shared" si="6"/>
        <v>0</v>
      </c>
    </row>
    <row r="2559" ht="22.5" customHeight="1">
      <c r="B2559" s="57"/>
      <c r="C2559" s="43" t="str">
        <f t="array" ref="C2559">IF(B2559="","",_xlfn.XLOOKUP(B2559,'Form responses 1'!$B$2:$B$2604,'Form responses 1'!$A$2:$A$2604,""))</f>
        <v/>
      </c>
      <c r="D2559" s="44" t="str">
        <f t="shared" si="3"/>
        <v/>
      </c>
      <c r="E2559" s="44" t="str">
        <f t="array" ref="E2559">IF(B2559="","",_xlfn.XLOOKUP(B2559,'Form responses 1'!$B$2:$B$2604,'Form responses 1'!$C$2:$C$2604,""))</f>
        <v/>
      </c>
      <c r="F2559" s="44" t="str">
        <f t="array" ref="F2559">IF(B2559="","",_xlfn.XLOOKUP(B2559,'Form responses 1'!$B$2:$B$2604,'Form responses 1'!$D$2:$D$2604,""))</f>
        <v/>
      </c>
      <c r="G2559" s="44" t="str">
        <f t="array" ref="G2559">IF(B2559="","",_xlfn.XLOOKUP(B2559,'Form responses 1'!$B$2:$B$2604,'Form responses 1'!$E$2:$E$2604,""))</f>
        <v/>
      </c>
      <c r="H2559" s="44" t="str">
        <f t="array" ref="H2559">IF(B2559="","",_xlfn.XLOOKUP(B2559,'Form responses 1'!$B$2:$B$2604,'Form responses 1'!$F$2:$F$2604,""))</f>
        <v/>
      </c>
      <c r="I2559" s="44" t="str">
        <f t="array" ref="I2559">IF(B2559="","",_xlfn.XLOOKUP(B2559,'Form responses 1'!$B$2:$B$2604,'Form responses 1'!$I$2:$I$2604,""))</f>
        <v/>
      </c>
      <c r="J2559" s="44" t="str">
        <f t="array" ref="J2559">IF(B2559="","",_xlfn.XLOOKUP(B2559,'Form responses 1'!$B$2:$B$2604,'Form responses 1'!$G$2:$G$2604,""))</f>
        <v/>
      </c>
      <c r="K2559" s="56"/>
      <c r="L2559" s="58" t="str">
        <f t="shared" si="7"/>
        <v/>
      </c>
      <c r="M2559" s="49"/>
      <c r="N2559" s="49"/>
      <c r="O2559" s="49"/>
      <c r="P2559" s="49"/>
      <c r="Q2559" s="49"/>
      <c r="R2559" s="49"/>
      <c r="S2559" s="49"/>
      <c r="T2559" s="49"/>
      <c r="U2559" s="49"/>
      <c r="V2559" s="49"/>
      <c r="W2559" s="56"/>
      <c r="X2559" s="51" t="str">
        <f t="shared" si="5"/>
        <v/>
      </c>
      <c r="Y2559" s="50" t="s">
        <v>482</v>
      </c>
      <c r="Z2559" s="49">
        <f t="shared" si="6"/>
        <v>0</v>
      </c>
    </row>
    <row r="2560" ht="22.5" customHeight="1">
      <c r="B2560" s="57"/>
      <c r="C2560" s="43" t="str">
        <f t="array" ref="C2560">IF(B2560="","",_xlfn.XLOOKUP(B2560,'Form responses 1'!$B$2:$B$2604,'Form responses 1'!$A$2:$A$2604,""))</f>
        <v/>
      </c>
      <c r="D2560" s="44" t="str">
        <f t="shared" si="3"/>
        <v/>
      </c>
      <c r="E2560" s="44" t="str">
        <f t="array" ref="E2560">IF(B2560="","",_xlfn.XLOOKUP(B2560,'Form responses 1'!$B$2:$B$2604,'Form responses 1'!$C$2:$C$2604,""))</f>
        <v/>
      </c>
      <c r="F2560" s="44" t="str">
        <f t="array" ref="F2560">IF(B2560="","",_xlfn.XLOOKUP(B2560,'Form responses 1'!$B$2:$B$2604,'Form responses 1'!$D$2:$D$2604,""))</f>
        <v/>
      </c>
      <c r="G2560" s="44" t="str">
        <f t="array" ref="G2560">IF(B2560="","",_xlfn.XLOOKUP(B2560,'Form responses 1'!$B$2:$B$2604,'Form responses 1'!$E$2:$E$2604,""))</f>
        <v/>
      </c>
      <c r="H2560" s="44" t="str">
        <f t="array" ref="H2560">IF(B2560="","",_xlfn.XLOOKUP(B2560,'Form responses 1'!$B$2:$B$2604,'Form responses 1'!$F$2:$F$2604,""))</f>
        <v/>
      </c>
      <c r="I2560" s="44" t="str">
        <f t="array" ref="I2560">IF(B2560="","",_xlfn.XLOOKUP(B2560,'Form responses 1'!$B$2:$B$2604,'Form responses 1'!$I$2:$I$2604,""))</f>
        <v/>
      </c>
      <c r="J2560" s="44" t="str">
        <f t="array" ref="J2560">IF(B2560="","",_xlfn.XLOOKUP(B2560,'Form responses 1'!$B$2:$B$2604,'Form responses 1'!$G$2:$G$2604,""))</f>
        <v/>
      </c>
      <c r="K2560" s="56"/>
      <c r="L2560" s="58" t="str">
        <f t="shared" si="7"/>
        <v/>
      </c>
      <c r="M2560" s="49"/>
      <c r="N2560" s="49"/>
      <c r="O2560" s="49"/>
      <c r="P2560" s="49"/>
      <c r="Q2560" s="49"/>
      <c r="R2560" s="49"/>
      <c r="S2560" s="49"/>
      <c r="T2560" s="49"/>
      <c r="U2560" s="49"/>
      <c r="V2560" s="49"/>
      <c r="W2560" s="56"/>
      <c r="X2560" s="51" t="str">
        <f t="shared" si="5"/>
        <v/>
      </c>
      <c r="Y2560" s="50" t="s">
        <v>482</v>
      </c>
      <c r="Z2560" s="49">
        <f t="shared" si="6"/>
        <v>0</v>
      </c>
    </row>
    <row r="2561" ht="22.5" customHeight="1">
      <c r="B2561" s="57"/>
      <c r="C2561" s="43" t="str">
        <f t="array" ref="C2561">IF(B2561="","",_xlfn.XLOOKUP(B2561,'Form responses 1'!$B$2:$B$2604,'Form responses 1'!$A$2:$A$2604,""))</f>
        <v/>
      </c>
      <c r="D2561" s="44" t="str">
        <f t="shared" si="3"/>
        <v/>
      </c>
      <c r="E2561" s="44" t="str">
        <f t="array" ref="E2561">IF(B2561="","",_xlfn.XLOOKUP(B2561,'Form responses 1'!$B$2:$B$2604,'Form responses 1'!$C$2:$C$2604,""))</f>
        <v/>
      </c>
      <c r="F2561" s="44" t="str">
        <f t="array" ref="F2561">IF(B2561="","",_xlfn.XLOOKUP(B2561,'Form responses 1'!$B$2:$B$2604,'Form responses 1'!$D$2:$D$2604,""))</f>
        <v/>
      </c>
      <c r="G2561" s="44" t="str">
        <f t="array" ref="G2561">IF(B2561="","",_xlfn.XLOOKUP(B2561,'Form responses 1'!$B$2:$B$2604,'Form responses 1'!$E$2:$E$2604,""))</f>
        <v/>
      </c>
      <c r="H2561" s="44" t="str">
        <f t="array" ref="H2561">IF(B2561="","",_xlfn.XLOOKUP(B2561,'Form responses 1'!$B$2:$B$2604,'Form responses 1'!$F$2:$F$2604,""))</f>
        <v/>
      </c>
      <c r="I2561" s="44" t="str">
        <f t="array" ref="I2561">IF(B2561="","",_xlfn.XLOOKUP(B2561,'Form responses 1'!$B$2:$B$2604,'Form responses 1'!$I$2:$I$2604,""))</f>
        <v/>
      </c>
      <c r="J2561" s="44" t="str">
        <f t="array" ref="J2561">IF(B2561="","",_xlfn.XLOOKUP(B2561,'Form responses 1'!$B$2:$B$2604,'Form responses 1'!$G$2:$G$2604,""))</f>
        <v/>
      </c>
      <c r="K2561" s="56"/>
      <c r="L2561" s="58" t="str">
        <f t="shared" si="7"/>
        <v/>
      </c>
      <c r="M2561" s="49"/>
      <c r="N2561" s="49"/>
      <c r="O2561" s="49"/>
      <c r="P2561" s="49"/>
      <c r="Q2561" s="49"/>
      <c r="R2561" s="49"/>
      <c r="S2561" s="49"/>
      <c r="T2561" s="49"/>
      <c r="U2561" s="49"/>
      <c r="V2561" s="49"/>
      <c r="W2561" s="56"/>
      <c r="X2561" s="51" t="str">
        <f t="shared" si="5"/>
        <v/>
      </c>
      <c r="Y2561" s="50" t="s">
        <v>482</v>
      </c>
      <c r="Z2561" s="49">
        <f t="shared" si="6"/>
        <v>0</v>
      </c>
    </row>
    <row r="2562" ht="22.5" customHeight="1">
      <c r="B2562" s="57"/>
      <c r="C2562" s="43" t="str">
        <f t="array" ref="C2562">IF(B2562="","",_xlfn.XLOOKUP(B2562,'Form responses 1'!$B$2:$B$2604,'Form responses 1'!$A$2:$A$2604,""))</f>
        <v/>
      </c>
      <c r="D2562" s="44" t="str">
        <f t="shared" si="3"/>
        <v/>
      </c>
      <c r="E2562" s="44" t="str">
        <f t="array" ref="E2562">IF(B2562="","",_xlfn.XLOOKUP(B2562,'Form responses 1'!$B$2:$B$2604,'Form responses 1'!$C$2:$C$2604,""))</f>
        <v/>
      </c>
      <c r="F2562" s="44" t="str">
        <f t="array" ref="F2562">IF(B2562="","",_xlfn.XLOOKUP(B2562,'Form responses 1'!$B$2:$B$2604,'Form responses 1'!$D$2:$D$2604,""))</f>
        <v/>
      </c>
      <c r="G2562" s="44" t="str">
        <f t="array" ref="G2562">IF(B2562="","",_xlfn.XLOOKUP(B2562,'Form responses 1'!$B$2:$B$2604,'Form responses 1'!$E$2:$E$2604,""))</f>
        <v/>
      </c>
      <c r="H2562" s="44" t="str">
        <f t="array" ref="H2562">IF(B2562="","",_xlfn.XLOOKUP(B2562,'Form responses 1'!$B$2:$B$2604,'Form responses 1'!$F$2:$F$2604,""))</f>
        <v/>
      </c>
      <c r="I2562" s="44" t="str">
        <f t="array" ref="I2562">IF(B2562="","",_xlfn.XLOOKUP(B2562,'Form responses 1'!$B$2:$B$2604,'Form responses 1'!$I$2:$I$2604,""))</f>
        <v/>
      </c>
      <c r="J2562" s="44" t="str">
        <f t="array" ref="J2562">IF(B2562="","",_xlfn.XLOOKUP(B2562,'Form responses 1'!$B$2:$B$2604,'Form responses 1'!$G$2:$G$2604,""))</f>
        <v/>
      </c>
      <c r="K2562" s="56"/>
      <c r="L2562" s="58" t="str">
        <f t="shared" si="7"/>
        <v/>
      </c>
      <c r="M2562" s="49"/>
      <c r="N2562" s="49"/>
      <c r="O2562" s="49"/>
      <c r="P2562" s="49"/>
      <c r="Q2562" s="49"/>
      <c r="R2562" s="49"/>
      <c r="S2562" s="49"/>
      <c r="T2562" s="49"/>
      <c r="U2562" s="49"/>
      <c r="V2562" s="49"/>
      <c r="W2562" s="56"/>
      <c r="X2562" s="51" t="str">
        <f t="shared" si="5"/>
        <v/>
      </c>
      <c r="Y2562" s="50" t="s">
        <v>482</v>
      </c>
      <c r="Z2562" s="49">
        <f t="shared" si="6"/>
        <v>0</v>
      </c>
    </row>
    <row r="2563" ht="22.5" customHeight="1">
      <c r="B2563" s="57"/>
      <c r="C2563" s="43" t="str">
        <f t="array" ref="C2563">IF(B2563="","",_xlfn.XLOOKUP(B2563,'Form responses 1'!$B$2:$B$2604,'Form responses 1'!$A$2:$A$2604,""))</f>
        <v/>
      </c>
      <c r="D2563" s="44" t="str">
        <f t="shared" si="3"/>
        <v/>
      </c>
      <c r="E2563" s="44" t="str">
        <f t="array" ref="E2563">IF(B2563="","",_xlfn.XLOOKUP(B2563,'Form responses 1'!$B$2:$B$2604,'Form responses 1'!$C$2:$C$2604,""))</f>
        <v/>
      </c>
      <c r="F2563" s="44" t="str">
        <f t="array" ref="F2563">IF(B2563="","",_xlfn.XLOOKUP(B2563,'Form responses 1'!$B$2:$B$2604,'Form responses 1'!$D$2:$D$2604,""))</f>
        <v/>
      </c>
      <c r="G2563" s="44" t="str">
        <f t="array" ref="G2563">IF(B2563="","",_xlfn.XLOOKUP(B2563,'Form responses 1'!$B$2:$B$2604,'Form responses 1'!$E$2:$E$2604,""))</f>
        <v/>
      </c>
      <c r="H2563" s="44" t="str">
        <f t="array" ref="H2563">IF(B2563="","",_xlfn.XLOOKUP(B2563,'Form responses 1'!$B$2:$B$2604,'Form responses 1'!$F$2:$F$2604,""))</f>
        <v/>
      </c>
      <c r="I2563" s="44" t="str">
        <f t="array" ref="I2563">IF(B2563="","",_xlfn.XLOOKUP(B2563,'Form responses 1'!$B$2:$B$2604,'Form responses 1'!$I$2:$I$2604,""))</f>
        <v/>
      </c>
      <c r="J2563" s="44" t="str">
        <f t="array" ref="J2563">IF(B2563="","",_xlfn.XLOOKUP(B2563,'Form responses 1'!$B$2:$B$2604,'Form responses 1'!$G$2:$G$2604,""))</f>
        <v/>
      </c>
      <c r="K2563" s="56"/>
      <c r="L2563" s="58" t="str">
        <f t="shared" si="7"/>
        <v/>
      </c>
      <c r="M2563" s="49"/>
      <c r="N2563" s="49"/>
      <c r="O2563" s="49"/>
      <c r="P2563" s="49"/>
      <c r="Q2563" s="49"/>
      <c r="R2563" s="49"/>
      <c r="S2563" s="49"/>
      <c r="T2563" s="49"/>
      <c r="U2563" s="49"/>
      <c r="V2563" s="49"/>
      <c r="W2563" s="56"/>
      <c r="X2563" s="51" t="str">
        <f t="shared" si="5"/>
        <v/>
      </c>
      <c r="Y2563" s="50" t="s">
        <v>482</v>
      </c>
      <c r="Z2563" s="49">
        <f t="shared" si="6"/>
        <v>0</v>
      </c>
    </row>
    <row r="2564" ht="22.5" customHeight="1">
      <c r="B2564" s="57"/>
      <c r="C2564" s="43" t="str">
        <f t="array" ref="C2564">IF(B2564="","",_xlfn.XLOOKUP(B2564,'Form responses 1'!$B$2:$B$2604,'Form responses 1'!$A$2:$A$2604,""))</f>
        <v/>
      </c>
      <c r="D2564" s="44" t="str">
        <f t="shared" si="3"/>
        <v/>
      </c>
      <c r="E2564" s="44" t="str">
        <f t="array" ref="E2564">IF(B2564="","",_xlfn.XLOOKUP(B2564,'Form responses 1'!$B$2:$B$2604,'Form responses 1'!$C$2:$C$2604,""))</f>
        <v/>
      </c>
      <c r="F2564" s="44" t="str">
        <f t="array" ref="F2564">IF(B2564="","",_xlfn.XLOOKUP(B2564,'Form responses 1'!$B$2:$B$2604,'Form responses 1'!$D$2:$D$2604,""))</f>
        <v/>
      </c>
      <c r="G2564" s="44" t="str">
        <f t="array" ref="G2564">IF(B2564="","",_xlfn.XLOOKUP(B2564,'Form responses 1'!$B$2:$B$2604,'Form responses 1'!$E$2:$E$2604,""))</f>
        <v/>
      </c>
      <c r="H2564" s="44" t="str">
        <f t="array" ref="H2564">IF(B2564="","",_xlfn.XLOOKUP(B2564,'Form responses 1'!$B$2:$B$2604,'Form responses 1'!$F$2:$F$2604,""))</f>
        <v/>
      </c>
      <c r="I2564" s="44" t="str">
        <f t="array" ref="I2564">IF(B2564="","",_xlfn.XLOOKUP(B2564,'Form responses 1'!$B$2:$B$2604,'Form responses 1'!$I$2:$I$2604,""))</f>
        <v/>
      </c>
      <c r="J2564" s="44" t="str">
        <f t="array" ref="J2564">IF(B2564="","",_xlfn.XLOOKUP(B2564,'Form responses 1'!$B$2:$B$2604,'Form responses 1'!$G$2:$G$2604,""))</f>
        <v/>
      </c>
      <c r="K2564" s="56"/>
      <c r="L2564" s="58" t="str">
        <f t="shared" si="7"/>
        <v/>
      </c>
      <c r="M2564" s="49"/>
      <c r="N2564" s="49"/>
      <c r="O2564" s="49"/>
      <c r="P2564" s="49"/>
      <c r="Q2564" s="49"/>
      <c r="R2564" s="49"/>
      <c r="S2564" s="49"/>
      <c r="T2564" s="49"/>
      <c r="U2564" s="49"/>
      <c r="V2564" s="49"/>
      <c r="W2564" s="56"/>
      <c r="X2564" s="51" t="str">
        <f t="shared" si="5"/>
        <v/>
      </c>
      <c r="Y2564" s="50" t="s">
        <v>482</v>
      </c>
      <c r="Z2564" s="49">
        <f t="shared" si="6"/>
        <v>0</v>
      </c>
    </row>
    <row r="2565" ht="22.5" customHeight="1">
      <c r="B2565" s="57"/>
      <c r="C2565" s="43" t="str">
        <f t="array" ref="C2565">IF(B2565="","",_xlfn.XLOOKUP(B2565,'Form responses 1'!$B$2:$B$2604,'Form responses 1'!$A$2:$A$2604,""))</f>
        <v/>
      </c>
      <c r="D2565" s="44" t="str">
        <f t="shared" si="3"/>
        <v/>
      </c>
      <c r="E2565" s="44" t="str">
        <f t="array" ref="E2565">IF(B2565="","",_xlfn.XLOOKUP(B2565,'Form responses 1'!$B$2:$B$2604,'Form responses 1'!$C$2:$C$2604,""))</f>
        <v/>
      </c>
      <c r="F2565" s="44" t="str">
        <f t="array" ref="F2565">IF(B2565="","",_xlfn.XLOOKUP(B2565,'Form responses 1'!$B$2:$B$2604,'Form responses 1'!$D$2:$D$2604,""))</f>
        <v/>
      </c>
      <c r="G2565" s="44" t="str">
        <f t="array" ref="G2565">IF(B2565="","",_xlfn.XLOOKUP(B2565,'Form responses 1'!$B$2:$B$2604,'Form responses 1'!$E$2:$E$2604,""))</f>
        <v/>
      </c>
      <c r="H2565" s="44" t="str">
        <f t="array" ref="H2565">IF(B2565="","",_xlfn.XLOOKUP(B2565,'Form responses 1'!$B$2:$B$2604,'Form responses 1'!$F$2:$F$2604,""))</f>
        <v/>
      </c>
      <c r="I2565" s="44" t="str">
        <f t="array" ref="I2565">IF(B2565="","",_xlfn.XLOOKUP(B2565,'Form responses 1'!$B$2:$B$2604,'Form responses 1'!$I$2:$I$2604,""))</f>
        <v/>
      </c>
      <c r="J2565" s="44" t="str">
        <f t="array" ref="J2565">IF(B2565="","",_xlfn.XLOOKUP(B2565,'Form responses 1'!$B$2:$B$2604,'Form responses 1'!$G$2:$G$2604,""))</f>
        <v/>
      </c>
      <c r="K2565" s="56"/>
      <c r="L2565" s="58" t="str">
        <f t="shared" si="7"/>
        <v/>
      </c>
      <c r="M2565" s="49"/>
      <c r="N2565" s="49"/>
      <c r="O2565" s="49"/>
      <c r="P2565" s="49"/>
      <c r="Q2565" s="49"/>
      <c r="R2565" s="49"/>
      <c r="S2565" s="49"/>
      <c r="T2565" s="49"/>
      <c r="U2565" s="49"/>
      <c r="V2565" s="49"/>
      <c r="W2565" s="56"/>
      <c r="X2565" s="51" t="str">
        <f t="shared" si="5"/>
        <v/>
      </c>
      <c r="Y2565" s="50" t="s">
        <v>482</v>
      </c>
      <c r="Z2565" s="49">
        <f t="shared" si="6"/>
        <v>0</v>
      </c>
    </row>
    <row r="2566" ht="22.5" customHeight="1">
      <c r="B2566" s="57"/>
      <c r="C2566" s="43" t="str">
        <f t="array" ref="C2566">IF(B2566="","",_xlfn.XLOOKUP(B2566,'Form responses 1'!$B$2:$B$2604,'Form responses 1'!$A$2:$A$2604,""))</f>
        <v/>
      </c>
      <c r="D2566" s="44" t="str">
        <f t="shared" si="3"/>
        <v/>
      </c>
      <c r="E2566" s="44" t="str">
        <f t="array" ref="E2566">IF(B2566="","",_xlfn.XLOOKUP(B2566,'Form responses 1'!$B$2:$B$2604,'Form responses 1'!$C$2:$C$2604,""))</f>
        <v/>
      </c>
      <c r="F2566" s="44" t="str">
        <f t="array" ref="F2566">IF(B2566="","",_xlfn.XLOOKUP(B2566,'Form responses 1'!$B$2:$B$2604,'Form responses 1'!$D$2:$D$2604,""))</f>
        <v/>
      </c>
      <c r="G2566" s="44" t="str">
        <f t="array" ref="G2566">IF(B2566="","",_xlfn.XLOOKUP(B2566,'Form responses 1'!$B$2:$B$2604,'Form responses 1'!$E$2:$E$2604,""))</f>
        <v/>
      </c>
      <c r="H2566" s="44" t="str">
        <f t="array" ref="H2566">IF(B2566="","",_xlfn.XLOOKUP(B2566,'Form responses 1'!$B$2:$B$2604,'Form responses 1'!$F$2:$F$2604,""))</f>
        <v/>
      </c>
      <c r="I2566" s="44" t="str">
        <f t="array" ref="I2566">IF(B2566="","",_xlfn.XLOOKUP(B2566,'Form responses 1'!$B$2:$B$2604,'Form responses 1'!$I$2:$I$2604,""))</f>
        <v/>
      </c>
      <c r="J2566" s="44" t="str">
        <f t="array" ref="J2566">IF(B2566="","",_xlfn.XLOOKUP(B2566,'Form responses 1'!$B$2:$B$2604,'Form responses 1'!$G$2:$G$2604,""))</f>
        <v/>
      </c>
      <c r="K2566" s="56"/>
      <c r="L2566" s="58" t="str">
        <f t="shared" si="7"/>
        <v/>
      </c>
      <c r="M2566" s="49"/>
      <c r="N2566" s="49"/>
      <c r="O2566" s="49"/>
      <c r="P2566" s="49"/>
      <c r="Q2566" s="49"/>
      <c r="R2566" s="49"/>
      <c r="S2566" s="49"/>
      <c r="T2566" s="49"/>
      <c r="U2566" s="49"/>
      <c r="V2566" s="49"/>
      <c r="W2566" s="56"/>
      <c r="X2566" s="51" t="str">
        <f t="shared" si="5"/>
        <v/>
      </c>
      <c r="Y2566" s="50" t="s">
        <v>482</v>
      </c>
      <c r="Z2566" s="49">
        <f t="shared" si="6"/>
        <v>0</v>
      </c>
    </row>
    <row r="2567" ht="22.5" customHeight="1">
      <c r="B2567" s="57"/>
      <c r="C2567" s="43" t="str">
        <f t="array" ref="C2567">IF(B2567="","",_xlfn.XLOOKUP(B2567,'Form responses 1'!$B$2:$B$2604,'Form responses 1'!$A$2:$A$2604,""))</f>
        <v/>
      </c>
      <c r="D2567" s="44" t="str">
        <f t="shared" si="3"/>
        <v/>
      </c>
      <c r="E2567" s="44" t="str">
        <f t="array" ref="E2567">IF(B2567="","",_xlfn.XLOOKUP(B2567,'Form responses 1'!$B$2:$B$2604,'Form responses 1'!$C$2:$C$2604,""))</f>
        <v/>
      </c>
      <c r="F2567" s="44" t="str">
        <f t="array" ref="F2567">IF(B2567="","",_xlfn.XLOOKUP(B2567,'Form responses 1'!$B$2:$B$2604,'Form responses 1'!$D$2:$D$2604,""))</f>
        <v/>
      </c>
      <c r="G2567" s="44" t="str">
        <f t="array" ref="G2567">IF(B2567="","",_xlfn.XLOOKUP(B2567,'Form responses 1'!$B$2:$B$2604,'Form responses 1'!$E$2:$E$2604,""))</f>
        <v/>
      </c>
      <c r="H2567" s="44" t="str">
        <f t="array" ref="H2567">IF(B2567="","",_xlfn.XLOOKUP(B2567,'Form responses 1'!$B$2:$B$2604,'Form responses 1'!$F$2:$F$2604,""))</f>
        <v/>
      </c>
      <c r="I2567" s="44" t="str">
        <f t="array" ref="I2567">IF(B2567="","",_xlfn.XLOOKUP(B2567,'Form responses 1'!$B$2:$B$2604,'Form responses 1'!$I$2:$I$2604,""))</f>
        <v/>
      </c>
      <c r="J2567" s="44" t="str">
        <f t="array" ref="J2567">IF(B2567="","",_xlfn.XLOOKUP(B2567,'Form responses 1'!$B$2:$B$2604,'Form responses 1'!$G$2:$G$2604,""))</f>
        <v/>
      </c>
      <c r="K2567" s="56"/>
      <c r="L2567" s="58" t="str">
        <f t="shared" si="7"/>
        <v/>
      </c>
      <c r="M2567" s="49"/>
      <c r="N2567" s="49"/>
      <c r="O2567" s="49"/>
      <c r="P2567" s="49"/>
      <c r="Q2567" s="49"/>
      <c r="R2567" s="49"/>
      <c r="S2567" s="49"/>
      <c r="T2567" s="49"/>
      <c r="U2567" s="49"/>
      <c r="V2567" s="49"/>
      <c r="W2567" s="56"/>
      <c r="X2567" s="51" t="str">
        <f t="shared" si="5"/>
        <v/>
      </c>
      <c r="Y2567" s="50" t="s">
        <v>482</v>
      </c>
      <c r="Z2567" s="49">
        <f t="shared" si="6"/>
        <v>0</v>
      </c>
    </row>
    <row r="2568" ht="22.5" customHeight="1">
      <c r="B2568" s="57"/>
      <c r="C2568" s="43" t="str">
        <f t="array" ref="C2568">IF(B2568="","",_xlfn.XLOOKUP(B2568,'Form responses 1'!$B$2:$B$2604,'Form responses 1'!$A$2:$A$2604,""))</f>
        <v/>
      </c>
      <c r="D2568" s="44" t="str">
        <f t="shared" si="3"/>
        <v/>
      </c>
      <c r="E2568" s="44" t="str">
        <f t="array" ref="E2568">IF(B2568="","",_xlfn.XLOOKUP(B2568,'Form responses 1'!$B$2:$B$2604,'Form responses 1'!$C$2:$C$2604,""))</f>
        <v/>
      </c>
      <c r="F2568" s="44" t="str">
        <f t="array" ref="F2568">IF(B2568="","",_xlfn.XLOOKUP(B2568,'Form responses 1'!$B$2:$B$2604,'Form responses 1'!$D$2:$D$2604,""))</f>
        <v/>
      </c>
      <c r="G2568" s="44" t="str">
        <f t="array" ref="G2568">IF(B2568="","",_xlfn.XLOOKUP(B2568,'Form responses 1'!$B$2:$B$2604,'Form responses 1'!$E$2:$E$2604,""))</f>
        <v/>
      </c>
      <c r="H2568" s="44" t="str">
        <f t="array" ref="H2568">IF(B2568="","",_xlfn.XLOOKUP(B2568,'Form responses 1'!$B$2:$B$2604,'Form responses 1'!$F$2:$F$2604,""))</f>
        <v/>
      </c>
      <c r="I2568" s="44" t="str">
        <f t="array" ref="I2568">IF(B2568="","",_xlfn.XLOOKUP(B2568,'Form responses 1'!$B$2:$B$2604,'Form responses 1'!$I$2:$I$2604,""))</f>
        <v/>
      </c>
      <c r="J2568" s="44" t="str">
        <f t="array" ref="J2568">IF(B2568="","",_xlfn.XLOOKUP(B2568,'Form responses 1'!$B$2:$B$2604,'Form responses 1'!$G$2:$G$2604,""))</f>
        <v/>
      </c>
      <c r="K2568" s="56"/>
      <c r="L2568" s="58" t="str">
        <f t="shared" si="7"/>
        <v/>
      </c>
      <c r="M2568" s="49"/>
      <c r="N2568" s="49"/>
      <c r="O2568" s="49"/>
      <c r="P2568" s="49"/>
      <c r="Q2568" s="49"/>
      <c r="R2568" s="49"/>
      <c r="S2568" s="49"/>
      <c r="T2568" s="49"/>
      <c r="U2568" s="49"/>
      <c r="V2568" s="49"/>
      <c r="W2568" s="56"/>
      <c r="X2568" s="51" t="str">
        <f t="shared" si="5"/>
        <v/>
      </c>
      <c r="Y2568" s="50" t="s">
        <v>482</v>
      </c>
      <c r="Z2568" s="49">
        <f t="shared" si="6"/>
        <v>0</v>
      </c>
    </row>
    <row r="2569" ht="22.5" customHeight="1">
      <c r="B2569" s="57"/>
      <c r="C2569" s="43" t="str">
        <f t="array" ref="C2569">IF(B2569="","",_xlfn.XLOOKUP(B2569,'Form responses 1'!$B$2:$B$2604,'Form responses 1'!$A$2:$A$2604,""))</f>
        <v/>
      </c>
      <c r="D2569" s="44" t="str">
        <f t="shared" si="3"/>
        <v/>
      </c>
      <c r="E2569" s="44" t="str">
        <f t="array" ref="E2569">IF(B2569="","",_xlfn.XLOOKUP(B2569,'Form responses 1'!$B$2:$B$2604,'Form responses 1'!$C$2:$C$2604,""))</f>
        <v/>
      </c>
      <c r="F2569" s="44" t="str">
        <f t="array" ref="F2569">IF(B2569="","",_xlfn.XLOOKUP(B2569,'Form responses 1'!$B$2:$B$2604,'Form responses 1'!$D$2:$D$2604,""))</f>
        <v/>
      </c>
      <c r="G2569" s="44" t="str">
        <f t="array" ref="G2569">IF(B2569="","",_xlfn.XLOOKUP(B2569,'Form responses 1'!$B$2:$B$2604,'Form responses 1'!$E$2:$E$2604,""))</f>
        <v/>
      </c>
      <c r="H2569" s="44" t="str">
        <f t="array" ref="H2569">IF(B2569="","",_xlfn.XLOOKUP(B2569,'Form responses 1'!$B$2:$B$2604,'Form responses 1'!$F$2:$F$2604,""))</f>
        <v/>
      </c>
      <c r="I2569" s="44" t="str">
        <f t="array" ref="I2569">IF(B2569="","",_xlfn.XLOOKUP(B2569,'Form responses 1'!$B$2:$B$2604,'Form responses 1'!$I$2:$I$2604,""))</f>
        <v/>
      </c>
      <c r="J2569" s="44" t="str">
        <f t="array" ref="J2569">IF(B2569="","",_xlfn.XLOOKUP(B2569,'Form responses 1'!$B$2:$B$2604,'Form responses 1'!$G$2:$G$2604,""))</f>
        <v/>
      </c>
      <c r="K2569" s="56"/>
      <c r="L2569" s="58" t="str">
        <f t="shared" si="7"/>
        <v/>
      </c>
      <c r="M2569" s="49"/>
      <c r="N2569" s="49"/>
      <c r="O2569" s="49"/>
      <c r="P2569" s="49"/>
      <c r="Q2569" s="49"/>
      <c r="R2569" s="49"/>
      <c r="S2569" s="49"/>
      <c r="T2569" s="49"/>
      <c r="U2569" s="49"/>
      <c r="V2569" s="49"/>
      <c r="W2569" s="56"/>
      <c r="X2569" s="51" t="str">
        <f t="shared" si="5"/>
        <v/>
      </c>
      <c r="Y2569" s="50" t="s">
        <v>482</v>
      </c>
      <c r="Z2569" s="49">
        <f t="shared" si="6"/>
        <v>0</v>
      </c>
    </row>
    <row r="2570" ht="22.5" customHeight="1">
      <c r="B2570" s="57"/>
      <c r="C2570" s="43" t="str">
        <f t="array" ref="C2570">IF(B2570="","",_xlfn.XLOOKUP(B2570,'Form responses 1'!$B$2:$B$2604,'Form responses 1'!$A$2:$A$2604,""))</f>
        <v/>
      </c>
      <c r="D2570" s="44" t="str">
        <f t="shared" si="3"/>
        <v/>
      </c>
      <c r="E2570" s="44" t="str">
        <f t="array" ref="E2570">IF(B2570="","",_xlfn.XLOOKUP(B2570,'Form responses 1'!$B$2:$B$2604,'Form responses 1'!$C$2:$C$2604,""))</f>
        <v/>
      </c>
      <c r="F2570" s="44" t="str">
        <f t="array" ref="F2570">IF(B2570="","",_xlfn.XLOOKUP(B2570,'Form responses 1'!$B$2:$B$2604,'Form responses 1'!$D$2:$D$2604,""))</f>
        <v/>
      </c>
      <c r="G2570" s="44" t="str">
        <f t="array" ref="G2570">IF(B2570="","",_xlfn.XLOOKUP(B2570,'Form responses 1'!$B$2:$B$2604,'Form responses 1'!$E$2:$E$2604,""))</f>
        <v/>
      </c>
      <c r="H2570" s="44" t="str">
        <f t="array" ref="H2570">IF(B2570="","",_xlfn.XLOOKUP(B2570,'Form responses 1'!$B$2:$B$2604,'Form responses 1'!$F$2:$F$2604,""))</f>
        <v/>
      </c>
      <c r="I2570" s="44" t="str">
        <f t="array" ref="I2570">IF(B2570="","",_xlfn.XLOOKUP(B2570,'Form responses 1'!$B$2:$B$2604,'Form responses 1'!$I$2:$I$2604,""))</f>
        <v/>
      </c>
      <c r="J2570" s="44" t="str">
        <f t="array" ref="J2570">IF(B2570="","",_xlfn.XLOOKUP(B2570,'Form responses 1'!$B$2:$B$2604,'Form responses 1'!$G$2:$G$2604,""))</f>
        <v/>
      </c>
      <c r="K2570" s="56"/>
      <c r="L2570" s="58" t="str">
        <f t="shared" si="7"/>
        <v/>
      </c>
      <c r="M2570" s="49"/>
      <c r="N2570" s="49"/>
      <c r="O2570" s="49"/>
      <c r="P2570" s="49"/>
      <c r="Q2570" s="49"/>
      <c r="R2570" s="49"/>
      <c r="S2570" s="49"/>
      <c r="T2570" s="49"/>
      <c r="U2570" s="49"/>
      <c r="V2570" s="49"/>
      <c r="W2570" s="56"/>
      <c r="X2570" s="51" t="str">
        <f t="shared" si="5"/>
        <v/>
      </c>
      <c r="Y2570" s="50" t="s">
        <v>482</v>
      </c>
      <c r="Z2570" s="49">
        <f t="shared" si="6"/>
        <v>0</v>
      </c>
    </row>
    <row r="2571" ht="22.5" customHeight="1">
      <c r="B2571" s="57"/>
      <c r="C2571" s="43" t="str">
        <f t="array" ref="C2571">IF(B2571="","",_xlfn.XLOOKUP(B2571,'Form responses 1'!$B$2:$B$2604,'Form responses 1'!$A$2:$A$2604,""))</f>
        <v/>
      </c>
      <c r="D2571" s="44" t="str">
        <f t="shared" si="3"/>
        <v/>
      </c>
      <c r="E2571" s="44" t="str">
        <f t="array" ref="E2571">IF(B2571="","",_xlfn.XLOOKUP(B2571,'Form responses 1'!$B$2:$B$2604,'Form responses 1'!$C$2:$C$2604,""))</f>
        <v/>
      </c>
      <c r="F2571" s="44" t="str">
        <f t="array" ref="F2571">IF(B2571="","",_xlfn.XLOOKUP(B2571,'Form responses 1'!$B$2:$B$2604,'Form responses 1'!$D$2:$D$2604,""))</f>
        <v/>
      </c>
      <c r="G2571" s="44" t="str">
        <f t="array" ref="G2571">IF(B2571="","",_xlfn.XLOOKUP(B2571,'Form responses 1'!$B$2:$B$2604,'Form responses 1'!$E$2:$E$2604,""))</f>
        <v/>
      </c>
      <c r="H2571" s="44" t="str">
        <f t="array" ref="H2571">IF(B2571="","",_xlfn.XLOOKUP(B2571,'Form responses 1'!$B$2:$B$2604,'Form responses 1'!$F$2:$F$2604,""))</f>
        <v/>
      </c>
      <c r="I2571" s="44" t="str">
        <f t="array" ref="I2571">IF(B2571="","",_xlfn.XLOOKUP(B2571,'Form responses 1'!$B$2:$B$2604,'Form responses 1'!$I$2:$I$2604,""))</f>
        <v/>
      </c>
      <c r="J2571" s="44" t="str">
        <f t="array" ref="J2571">IF(B2571="","",_xlfn.XLOOKUP(B2571,'Form responses 1'!$B$2:$B$2604,'Form responses 1'!$G$2:$G$2604,""))</f>
        <v/>
      </c>
      <c r="K2571" s="56"/>
      <c r="L2571" s="58" t="str">
        <f t="shared" si="7"/>
        <v/>
      </c>
      <c r="M2571" s="49"/>
      <c r="N2571" s="49"/>
      <c r="O2571" s="49"/>
      <c r="P2571" s="49"/>
      <c r="Q2571" s="49"/>
      <c r="R2571" s="49"/>
      <c r="S2571" s="49"/>
      <c r="T2571" s="49"/>
      <c r="U2571" s="49"/>
      <c r="V2571" s="49"/>
      <c r="W2571" s="56"/>
      <c r="X2571" s="51" t="str">
        <f t="shared" si="5"/>
        <v/>
      </c>
      <c r="Y2571" s="50" t="s">
        <v>482</v>
      </c>
      <c r="Z2571" s="49">
        <f t="shared" si="6"/>
        <v>0</v>
      </c>
    </row>
    <row r="2572" ht="22.5" customHeight="1">
      <c r="B2572" s="57"/>
      <c r="C2572" s="43" t="str">
        <f t="array" ref="C2572">IF(B2572="","",_xlfn.XLOOKUP(B2572,'Form responses 1'!$B$2:$B$2604,'Form responses 1'!$A$2:$A$2604,""))</f>
        <v/>
      </c>
      <c r="D2572" s="44" t="str">
        <f t="shared" si="3"/>
        <v/>
      </c>
      <c r="E2572" s="44" t="str">
        <f t="array" ref="E2572">IF(B2572="","",_xlfn.XLOOKUP(B2572,'Form responses 1'!$B$2:$B$2604,'Form responses 1'!$C$2:$C$2604,""))</f>
        <v/>
      </c>
      <c r="F2572" s="44" t="str">
        <f t="array" ref="F2572">IF(B2572="","",_xlfn.XLOOKUP(B2572,'Form responses 1'!$B$2:$B$2604,'Form responses 1'!$D$2:$D$2604,""))</f>
        <v/>
      </c>
      <c r="G2572" s="44" t="str">
        <f t="array" ref="G2572">IF(B2572="","",_xlfn.XLOOKUP(B2572,'Form responses 1'!$B$2:$B$2604,'Form responses 1'!$E$2:$E$2604,""))</f>
        <v/>
      </c>
      <c r="H2572" s="44" t="str">
        <f t="array" ref="H2572">IF(B2572="","",_xlfn.XLOOKUP(B2572,'Form responses 1'!$B$2:$B$2604,'Form responses 1'!$F$2:$F$2604,""))</f>
        <v/>
      </c>
      <c r="I2572" s="44" t="str">
        <f t="array" ref="I2572">IF(B2572="","",_xlfn.XLOOKUP(B2572,'Form responses 1'!$B$2:$B$2604,'Form responses 1'!$I$2:$I$2604,""))</f>
        <v/>
      </c>
      <c r="J2572" s="44" t="str">
        <f t="array" ref="J2572">IF(B2572="","",_xlfn.XLOOKUP(B2572,'Form responses 1'!$B$2:$B$2604,'Form responses 1'!$G$2:$G$2604,""))</f>
        <v/>
      </c>
      <c r="K2572" s="56"/>
      <c r="L2572" s="58" t="str">
        <f t="shared" si="7"/>
        <v/>
      </c>
      <c r="M2572" s="49"/>
      <c r="N2572" s="49"/>
      <c r="O2572" s="49"/>
      <c r="P2572" s="49"/>
      <c r="Q2572" s="49"/>
      <c r="R2572" s="49"/>
      <c r="S2572" s="49"/>
      <c r="T2572" s="49"/>
      <c r="U2572" s="49"/>
      <c r="V2572" s="49"/>
      <c r="W2572" s="56"/>
      <c r="X2572" s="51" t="str">
        <f t="shared" si="5"/>
        <v/>
      </c>
      <c r="Y2572" s="50" t="s">
        <v>482</v>
      </c>
      <c r="Z2572" s="49">
        <f t="shared" si="6"/>
        <v>0</v>
      </c>
    </row>
    <row r="2573" ht="22.5" customHeight="1">
      <c r="B2573" s="57"/>
      <c r="C2573" s="43" t="str">
        <f t="array" ref="C2573">IF(B2573="","",_xlfn.XLOOKUP(B2573,'Form responses 1'!$B$2:$B$2604,'Form responses 1'!$A$2:$A$2604,""))</f>
        <v/>
      </c>
      <c r="D2573" s="44" t="str">
        <f t="shared" si="3"/>
        <v/>
      </c>
      <c r="E2573" s="44" t="str">
        <f t="array" ref="E2573">IF(B2573="","",_xlfn.XLOOKUP(B2573,'Form responses 1'!$B$2:$B$2604,'Form responses 1'!$C$2:$C$2604,""))</f>
        <v/>
      </c>
      <c r="F2573" s="44" t="str">
        <f t="array" ref="F2573">IF(B2573="","",_xlfn.XLOOKUP(B2573,'Form responses 1'!$B$2:$B$2604,'Form responses 1'!$D$2:$D$2604,""))</f>
        <v/>
      </c>
      <c r="G2573" s="44" t="str">
        <f t="array" ref="G2573">IF(B2573="","",_xlfn.XLOOKUP(B2573,'Form responses 1'!$B$2:$B$2604,'Form responses 1'!$E$2:$E$2604,""))</f>
        <v/>
      </c>
      <c r="H2573" s="44" t="str">
        <f t="array" ref="H2573">IF(B2573="","",_xlfn.XLOOKUP(B2573,'Form responses 1'!$B$2:$B$2604,'Form responses 1'!$F$2:$F$2604,""))</f>
        <v/>
      </c>
      <c r="I2573" s="44" t="str">
        <f t="array" ref="I2573">IF(B2573="","",_xlfn.XLOOKUP(B2573,'Form responses 1'!$B$2:$B$2604,'Form responses 1'!$I$2:$I$2604,""))</f>
        <v/>
      </c>
      <c r="J2573" s="44" t="str">
        <f t="array" ref="J2573">IF(B2573="","",_xlfn.XLOOKUP(B2573,'Form responses 1'!$B$2:$B$2604,'Form responses 1'!$G$2:$G$2604,""))</f>
        <v/>
      </c>
      <c r="K2573" s="56"/>
      <c r="L2573" s="58" t="str">
        <f t="shared" si="7"/>
        <v/>
      </c>
      <c r="M2573" s="49"/>
      <c r="N2573" s="49"/>
      <c r="O2573" s="49"/>
      <c r="P2573" s="49"/>
      <c r="Q2573" s="49"/>
      <c r="R2573" s="49"/>
      <c r="S2573" s="49"/>
      <c r="T2573" s="49"/>
      <c r="U2573" s="49"/>
      <c r="V2573" s="49"/>
      <c r="W2573" s="56"/>
      <c r="X2573" s="51" t="str">
        <f t="shared" si="5"/>
        <v/>
      </c>
      <c r="Y2573" s="50" t="s">
        <v>482</v>
      </c>
      <c r="Z2573" s="49">
        <f t="shared" si="6"/>
        <v>0</v>
      </c>
    </row>
    <row r="2574" ht="22.5" customHeight="1">
      <c r="B2574" s="57"/>
      <c r="C2574" s="43" t="str">
        <f t="array" ref="C2574">IF(B2574="","",_xlfn.XLOOKUP(B2574,'Form responses 1'!$B$2:$B$2604,'Form responses 1'!$A$2:$A$2604,""))</f>
        <v/>
      </c>
      <c r="D2574" s="44" t="str">
        <f t="shared" si="3"/>
        <v/>
      </c>
      <c r="E2574" s="44" t="str">
        <f t="array" ref="E2574">IF(B2574="","",_xlfn.XLOOKUP(B2574,'Form responses 1'!$B$2:$B$2604,'Form responses 1'!$C$2:$C$2604,""))</f>
        <v/>
      </c>
      <c r="F2574" s="44" t="str">
        <f t="array" ref="F2574">IF(B2574="","",_xlfn.XLOOKUP(B2574,'Form responses 1'!$B$2:$B$2604,'Form responses 1'!$D$2:$D$2604,""))</f>
        <v/>
      </c>
      <c r="G2574" s="44" t="str">
        <f t="array" ref="G2574">IF(B2574="","",_xlfn.XLOOKUP(B2574,'Form responses 1'!$B$2:$B$2604,'Form responses 1'!$E$2:$E$2604,""))</f>
        <v/>
      </c>
      <c r="H2574" s="44" t="str">
        <f t="array" ref="H2574">IF(B2574="","",_xlfn.XLOOKUP(B2574,'Form responses 1'!$B$2:$B$2604,'Form responses 1'!$F$2:$F$2604,""))</f>
        <v/>
      </c>
      <c r="I2574" s="44" t="str">
        <f t="array" ref="I2574">IF(B2574="","",_xlfn.XLOOKUP(B2574,'Form responses 1'!$B$2:$B$2604,'Form responses 1'!$I$2:$I$2604,""))</f>
        <v/>
      </c>
      <c r="J2574" s="44" t="str">
        <f t="array" ref="J2574">IF(B2574="","",_xlfn.XLOOKUP(B2574,'Form responses 1'!$B$2:$B$2604,'Form responses 1'!$G$2:$G$2604,""))</f>
        <v/>
      </c>
      <c r="K2574" s="56"/>
      <c r="L2574" s="58" t="str">
        <f t="shared" si="7"/>
        <v/>
      </c>
      <c r="M2574" s="49"/>
      <c r="N2574" s="49"/>
      <c r="O2574" s="49"/>
      <c r="P2574" s="49"/>
      <c r="Q2574" s="49"/>
      <c r="R2574" s="49"/>
      <c r="S2574" s="49"/>
      <c r="T2574" s="49"/>
      <c r="U2574" s="49"/>
      <c r="V2574" s="49"/>
      <c r="W2574" s="56"/>
      <c r="X2574" s="51" t="str">
        <f t="shared" si="5"/>
        <v/>
      </c>
      <c r="Y2574" s="50" t="s">
        <v>482</v>
      </c>
      <c r="Z2574" s="49">
        <f t="shared" si="6"/>
        <v>0</v>
      </c>
    </row>
    <row r="2575" ht="22.5" customHeight="1">
      <c r="B2575" s="57"/>
      <c r="C2575" s="43" t="str">
        <f t="array" ref="C2575">IF(B2575="","",_xlfn.XLOOKUP(B2575,'Form responses 1'!$B$2:$B$2604,'Form responses 1'!$A$2:$A$2604,""))</f>
        <v/>
      </c>
      <c r="D2575" s="44" t="str">
        <f t="shared" si="3"/>
        <v/>
      </c>
      <c r="E2575" s="44" t="str">
        <f t="array" ref="E2575">IF(B2575="","",_xlfn.XLOOKUP(B2575,'Form responses 1'!$B$2:$B$2604,'Form responses 1'!$C$2:$C$2604,""))</f>
        <v/>
      </c>
      <c r="F2575" s="44" t="str">
        <f t="array" ref="F2575">IF(B2575="","",_xlfn.XLOOKUP(B2575,'Form responses 1'!$B$2:$B$2604,'Form responses 1'!$D$2:$D$2604,""))</f>
        <v/>
      </c>
      <c r="G2575" s="44" t="str">
        <f t="array" ref="G2575">IF(B2575="","",_xlfn.XLOOKUP(B2575,'Form responses 1'!$B$2:$B$2604,'Form responses 1'!$E$2:$E$2604,""))</f>
        <v/>
      </c>
      <c r="H2575" s="44" t="str">
        <f t="array" ref="H2575">IF(B2575="","",_xlfn.XLOOKUP(B2575,'Form responses 1'!$B$2:$B$2604,'Form responses 1'!$F$2:$F$2604,""))</f>
        <v/>
      </c>
      <c r="I2575" s="44" t="str">
        <f t="array" ref="I2575">IF(B2575="","",_xlfn.XLOOKUP(B2575,'Form responses 1'!$B$2:$B$2604,'Form responses 1'!$I$2:$I$2604,""))</f>
        <v/>
      </c>
      <c r="J2575" s="44" t="str">
        <f t="array" ref="J2575">IF(B2575="","",_xlfn.XLOOKUP(B2575,'Form responses 1'!$B$2:$B$2604,'Form responses 1'!$G$2:$G$2604,""))</f>
        <v/>
      </c>
      <c r="K2575" s="56"/>
      <c r="L2575" s="58" t="str">
        <f t="shared" si="7"/>
        <v/>
      </c>
      <c r="M2575" s="49"/>
      <c r="N2575" s="49"/>
      <c r="O2575" s="49"/>
      <c r="P2575" s="49"/>
      <c r="Q2575" s="49"/>
      <c r="R2575" s="49"/>
      <c r="S2575" s="49"/>
      <c r="T2575" s="49"/>
      <c r="U2575" s="49"/>
      <c r="V2575" s="49"/>
      <c r="W2575" s="56"/>
      <c r="X2575" s="51" t="str">
        <f t="shared" si="5"/>
        <v/>
      </c>
      <c r="Y2575" s="50" t="s">
        <v>482</v>
      </c>
      <c r="Z2575" s="49">
        <f t="shared" si="6"/>
        <v>0</v>
      </c>
    </row>
    <row r="2576" ht="22.5" customHeight="1">
      <c r="B2576" s="57"/>
      <c r="C2576" s="43" t="str">
        <f t="array" ref="C2576">IF(B2576="","",_xlfn.XLOOKUP(B2576,'Form responses 1'!$B$2:$B$2604,'Form responses 1'!$A$2:$A$2604,""))</f>
        <v/>
      </c>
      <c r="D2576" s="44" t="str">
        <f t="shared" si="3"/>
        <v/>
      </c>
      <c r="E2576" s="44" t="str">
        <f t="array" ref="E2576">IF(B2576="","",_xlfn.XLOOKUP(B2576,'Form responses 1'!$B$2:$B$2604,'Form responses 1'!$C$2:$C$2604,""))</f>
        <v/>
      </c>
      <c r="F2576" s="44" t="str">
        <f t="array" ref="F2576">IF(B2576="","",_xlfn.XLOOKUP(B2576,'Form responses 1'!$B$2:$B$2604,'Form responses 1'!$D$2:$D$2604,""))</f>
        <v/>
      </c>
      <c r="G2576" s="44" t="str">
        <f t="array" ref="G2576">IF(B2576="","",_xlfn.XLOOKUP(B2576,'Form responses 1'!$B$2:$B$2604,'Form responses 1'!$E$2:$E$2604,""))</f>
        <v/>
      </c>
      <c r="H2576" s="44" t="str">
        <f t="array" ref="H2576">IF(B2576="","",_xlfn.XLOOKUP(B2576,'Form responses 1'!$B$2:$B$2604,'Form responses 1'!$F$2:$F$2604,""))</f>
        <v/>
      </c>
      <c r="I2576" s="44" t="str">
        <f t="array" ref="I2576">IF(B2576="","",_xlfn.XLOOKUP(B2576,'Form responses 1'!$B$2:$B$2604,'Form responses 1'!$I$2:$I$2604,""))</f>
        <v/>
      </c>
      <c r="J2576" s="44" t="str">
        <f t="array" ref="J2576">IF(B2576="","",_xlfn.XLOOKUP(B2576,'Form responses 1'!$B$2:$B$2604,'Form responses 1'!$G$2:$G$2604,""))</f>
        <v/>
      </c>
      <c r="K2576" s="56"/>
      <c r="L2576" s="58" t="str">
        <f t="shared" si="7"/>
        <v/>
      </c>
      <c r="M2576" s="49"/>
      <c r="N2576" s="49"/>
      <c r="O2576" s="49"/>
      <c r="P2576" s="49"/>
      <c r="Q2576" s="49"/>
      <c r="R2576" s="49"/>
      <c r="S2576" s="49"/>
      <c r="T2576" s="49"/>
      <c r="U2576" s="49"/>
      <c r="V2576" s="49"/>
      <c r="W2576" s="56"/>
      <c r="X2576" s="51" t="str">
        <f t="shared" si="5"/>
        <v/>
      </c>
      <c r="Y2576" s="50" t="s">
        <v>482</v>
      </c>
      <c r="Z2576" s="49">
        <f t="shared" si="6"/>
        <v>0</v>
      </c>
    </row>
    <row r="2577" ht="22.5" customHeight="1">
      <c r="B2577" s="57"/>
      <c r="C2577" s="43" t="str">
        <f t="array" ref="C2577">IF(B2577="","",_xlfn.XLOOKUP(B2577,'Form responses 1'!$B$2:$B$2604,'Form responses 1'!$A$2:$A$2604,""))</f>
        <v/>
      </c>
      <c r="D2577" s="44" t="str">
        <f t="shared" si="3"/>
        <v/>
      </c>
      <c r="E2577" s="44" t="str">
        <f t="array" ref="E2577">IF(B2577="","",_xlfn.XLOOKUP(B2577,'Form responses 1'!$B$2:$B$2604,'Form responses 1'!$C$2:$C$2604,""))</f>
        <v/>
      </c>
      <c r="F2577" s="44" t="str">
        <f t="array" ref="F2577">IF(B2577="","",_xlfn.XLOOKUP(B2577,'Form responses 1'!$B$2:$B$2604,'Form responses 1'!$D$2:$D$2604,""))</f>
        <v/>
      </c>
      <c r="G2577" s="44" t="str">
        <f t="array" ref="G2577">IF(B2577="","",_xlfn.XLOOKUP(B2577,'Form responses 1'!$B$2:$B$2604,'Form responses 1'!$E$2:$E$2604,""))</f>
        <v/>
      </c>
      <c r="H2577" s="44" t="str">
        <f t="array" ref="H2577">IF(B2577="","",_xlfn.XLOOKUP(B2577,'Form responses 1'!$B$2:$B$2604,'Form responses 1'!$F$2:$F$2604,""))</f>
        <v/>
      </c>
      <c r="I2577" s="44" t="str">
        <f t="array" ref="I2577">IF(B2577="","",_xlfn.XLOOKUP(B2577,'Form responses 1'!$B$2:$B$2604,'Form responses 1'!$I$2:$I$2604,""))</f>
        <v/>
      </c>
      <c r="J2577" s="44" t="str">
        <f t="array" ref="J2577">IF(B2577="","",_xlfn.XLOOKUP(B2577,'Form responses 1'!$B$2:$B$2604,'Form responses 1'!$G$2:$G$2604,""))</f>
        <v/>
      </c>
      <c r="K2577" s="56"/>
      <c r="L2577" s="58" t="str">
        <f t="shared" si="7"/>
        <v/>
      </c>
      <c r="M2577" s="49"/>
      <c r="N2577" s="49"/>
      <c r="O2577" s="49"/>
      <c r="P2577" s="49"/>
      <c r="Q2577" s="49"/>
      <c r="R2577" s="49"/>
      <c r="S2577" s="49"/>
      <c r="T2577" s="49"/>
      <c r="U2577" s="49"/>
      <c r="V2577" s="49"/>
      <c r="W2577" s="56"/>
      <c r="X2577" s="51" t="str">
        <f t="shared" si="5"/>
        <v/>
      </c>
      <c r="Y2577" s="50" t="s">
        <v>482</v>
      </c>
      <c r="Z2577" s="49">
        <f t="shared" si="6"/>
        <v>0</v>
      </c>
    </row>
    <row r="2578" ht="22.5" customHeight="1">
      <c r="B2578" s="57"/>
      <c r="C2578" s="43" t="str">
        <f t="array" ref="C2578">IF(B2578="","",_xlfn.XLOOKUP(B2578,'Form responses 1'!$B$2:$B$2604,'Form responses 1'!$A$2:$A$2604,""))</f>
        <v/>
      </c>
      <c r="D2578" s="44" t="str">
        <f t="shared" si="3"/>
        <v/>
      </c>
      <c r="E2578" s="44" t="str">
        <f t="array" ref="E2578">IF(B2578="","",_xlfn.XLOOKUP(B2578,'Form responses 1'!$B$2:$B$2604,'Form responses 1'!$C$2:$C$2604,""))</f>
        <v/>
      </c>
      <c r="F2578" s="44" t="str">
        <f t="array" ref="F2578">IF(B2578="","",_xlfn.XLOOKUP(B2578,'Form responses 1'!$B$2:$B$2604,'Form responses 1'!$D$2:$D$2604,""))</f>
        <v/>
      </c>
      <c r="G2578" s="44" t="str">
        <f t="array" ref="G2578">IF(B2578="","",_xlfn.XLOOKUP(B2578,'Form responses 1'!$B$2:$B$2604,'Form responses 1'!$E$2:$E$2604,""))</f>
        <v/>
      </c>
      <c r="H2578" s="44" t="str">
        <f t="array" ref="H2578">IF(B2578="","",_xlfn.XLOOKUP(B2578,'Form responses 1'!$B$2:$B$2604,'Form responses 1'!$F$2:$F$2604,""))</f>
        <v/>
      </c>
      <c r="I2578" s="44" t="str">
        <f t="array" ref="I2578">IF(B2578="","",_xlfn.XLOOKUP(B2578,'Form responses 1'!$B$2:$B$2604,'Form responses 1'!$I$2:$I$2604,""))</f>
        <v/>
      </c>
      <c r="J2578" s="44" t="str">
        <f t="array" ref="J2578">IF(B2578="","",_xlfn.XLOOKUP(B2578,'Form responses 1'!$B$2:$B$2604,'Form responses 1'!$G$2:$G$2604,""))</f>
        <v/>
      </c>
      <c r="K2578" s="56"/>
      <c r="L2578" s="58" t="str">
        <f t="shared" si="7"/>
        <v/>
      </c>
      <c r="M2578" s="49"/>
      <c r="N2578" s="49"/>
      <c r="O2578" s="49"/>
      <c r="P2578" s="49"/>
      <c r="Q2578" s="49"/>
      <c r="R2578" s="49"/>
      <c r="S2578" s="49"/>
      <c r="T2578" s="49"/>
      <c r="U2578" s="49"/>
      <c r="V2578" s="49"/>
      <c r="W2578" s="56"/>
      <c r="X2578" s="51" t="str">
        <f t="shared" si="5"/>
        <v/>
      </c>
      <c r="Y2578" s="50" t="s">
        <v>482</v>
      </c>
      <c r="Z2578" s="49">
        <f t="shared" si="6"/>
        <v>0</v>
      </c>
    </row>
    <row r="2579" ht="22.5" customHeight="1">
      <c r="B2579" s="57"/>
      <c r="C2579" s="43" t="str">
        <f t="array" ref="C2579">IF(B2579="","",_xlfn.XLOOKUP(B2579,'Form responses 1'!$B$2:$B$2604,'Form responses 1'!$A$2:$A$2604,""))</f>
        <v/>
      </c>
      <c r="D2579" s="44" t="str">
        <f t="shared" si="3"/>
        <v/>
      </c>
      <c r="E2579" s="44" t="str">
        <f t="array" ref="E2579">IF(B2579="","",_xlfn.XLOOKUP(B2579,'Form responses 1'!$B$2:$B$2604,'Form responses 1'!$C$2:$C$2604,""))</f>
        <v/>
      </c>
      <c r="F2579" s="44" t="str">
        <f t="array" ref="F2579">IF(B2579="","",_xlfn.XLOOKUP(B2579,'Form responses 1'!$B$2:$B$2604,'Form responses 1'!$D$2:$D$2604,""))</f>
        <v/>
      </c>
      <c r="G2579" s="44" t="str">
        <f t="array" ref="G2579">IF(B2579="","",_xlfn.XLOOKUP(B2579,'Form responses 1'!$B$2:$B$2604,'Form responses 1'!$E$2:$E$2604,""))</f>
        <v/>
      </c>
      <c r="H2579" s="44" t="str">
        <f t="array" ref="H2579">IF(B2579="","",_xlfn.XLOOKUP(B2579,'Form responses 1'!$B$2:$B$2604,'Form responses 1'!$F$2:$F$2604,""))</f>
        <v/>
      </c>
      <c r="I2579" s="44" t="str">
        <f t="array" ref="I2579">IF(B2579="","",_xlfn.XLOOKUP(B2579,'Form responses 1'!$B$2:$B$2604,'Form responses 1'!$I$2:$I$2604,""))</f>
        <v/>
      </c>
      <c r="J2579" s="44" t="str">
        <f t="array" ref="J2579">IF(B2579="","",_xlfn.XLOOKUP(B2579,'Form responses 1'!$B$2:$B$2604,'Form responses 1'!$G$2:$G$2604,""))</f>
        <v/>
      </c>
      <c r="K2579" s="56"/>
      <c r="L2579" s="58" t="str">
        <f t="shared" si="7"/>
        <v/>
      </c>
      <c r="M2579" s="49"/>
      <c r="N2579" s="49"/>
      <c r="O2579" s="49"/>
      <c r="P2579" s="49"/>
      <c r="Q2579" s="49"/>
      <c r="R2579" s="49"/>
      <c r="S2579" s="49"/>
      <c r="T2579" s="49"/>
      <c r="U2579" s="49"/>
      <c r="V2579" s="49"/>
      <c r="W2579" s="56"/>
      <c r="X2579" s="51" t="str">
        <f t="shared" si="5"/>
        <v/>
      </c>
      <c r="Y2579" s="50" t="s">
        <v>482</v>
      </c>
      <c r="Z2579" s="49">
        <f t="shared" si="6"/>
        <v>0</v>
      </c>
    </row>
    <row r="2580" ht="22.5" customHeight="1">
      <c r="B2580" s="57"/>
      <c r="C2580" s="43" t="str">
        <f t="array" ref="C2580">IF(B2580="","",_xlfn.XLOOKUP(B2580,'Form responses 1'!$B$2:$B$2604,'Form responses 1'!$A$2:$A$2604,""))</f>
        <v/>
      </c>
      <c r="D2580" s="44" t="str">
        <f t="shared" si="3"/>
        <v/>
      </c>
      <c r="E2580" s="44" t="str">
        <f t="array" ref="E2580">IF(B2580="","",_xlfn.XLOOKUP(B2580,'Form responses 1'!$B$2:$B$2604,'Form responses 1'!$C$2:$C$2604,""))</f>
        <v/>
      </c>
      <c r="F2580" s="44" t="str">
        <f t="array" ref="F2580">IF(B2580="","",_xlfn.XLOOKUP(B2580,'Form responses 1'!$B$2:$B$2604,'Form responses 1'!$D$2:$D$2604,""))</f>
        <v/>
      </c>
      <c r="G2580" s="44" t="str">
        <f t="array" ref="G2580">IF(B2580="","",_xlfn.XLOOKUP(B2580,'Form responses 1'!$B$2:$B$2604,'Form responses 1'!$E$2:$E$2604,""))</f>
        <v/>
      </c>
      <c r="H2580" s="44" t="str">
        <f t="array" ref="H2580">IF(B2580="","",_xlfn.XLOOKUP(B2580,'Form responses 1'!$B$2:$B$2604,'Form responses 1'!$F$2:$F$2604,""))</f>
        <v/>
      </c>
      <c r="I2580" s="44" t="str">
        <f t="array" ref="I2580">IF(B2580="","",_xlfn.XLOOKUP(B2580,'Form responses 1'!$B$2:$B$2604,'Form responses 1'!$I$2:$I$2604,""))</f>
        <v/>
      </c>
      <c r="J2580" s="44" t="str">
        <f t="array" ref="J2580">IF(B2580="","",_xlfn.XLOOKUP(B2580,'Form responses 1'!$B$2:$B$2604,'Form responses 1'!$G$2:$G$2604,""))</f>
        <v/>
      </c>
      <c r="K2580" s="56"/>
      <c r="L2580" s="58" t="str">
        <f t="shared" si="7"/>
        <v/>
      </c>
      <c r="M2580" s="49"/>
      <c r="N2580" s="49"/>
      <c r="O2580" s="49"/>
      <c r="P2580" s="49"/>
      <c r="Q2580" s="49"/>
      <c r="R2580" s="49"/>
      <c r="S2580" s="49"/>
      <c r="T2580" s="49"/>
      <c r="U2580" s="49"/>
      <c r="V2580" s="49"/>
      <c r="W2580" s="56"/>
      <c r="X2580" s="51" t="str">
        <f t="shared" si="5"/>
        <v/>
      </c>
      <c r="Y2580" s="50" t="s">
        <v>482</v>
      </c>
      <c r="Z2580" s="49">
        <f t="shared" si="6"/>
        <v>0</v>
      </c>
    </row>
    <row r="2581" ht="22.5" customHeight="1">
      <c r="B2581" s="57"/>
      <c r="C2581" s="43" t="str">
        <f t="array" ref="C2581">IF(B2581="","",_xlfn.XLOOKUP(B2581,'Form responses 1'!$B$2:$B$2604,'Form responses 1'!$A$2:$A$2604,""))</f>
        <v/>
      </c>
      <c r="D2581" s="44" t="str">
        <f t="shared" si="3"/>
        <v/>
      </c>
      <c r="E2581" s="44" t="str">
        <f t="array" ref="E2581">IF(B2581="","",_xlfn.XLOOKUP(B2581,'Form responses 1'!$B$2:$B$2604,'Form responses 1'!$C$2:$C$2604,""))</f>
        <v/>
      </c>
      <c r="F2581" s="44" t="str">
        <f t="array" ref="F2581">IF(B2581="","",_xlfn.XLOOKUP(B2581,'Form responses 1'!$B$2:$B$2604,'Form responses 1'!$D$2:$D$2604,""))</f>
        <v/>
      </c>
      <c r="G2581" s="44" t="str">
        <f t="array" ref="G2581">IF(B2581="","",_xlfn.XLOOKUP(B2581,'Form responses 1'!$B$2:$B$2604,'Form responses 1'!$E$2:$E$2604,""))</f>
        <v/>
      </c>
      <c r="H2581" s="44" t="str">
        <f t="array" ref="H2581">IF(B2581="","",_xlfn.XLOOKUP(B2581,'Form responses 1'!$B$2:$B$2604,'Form responses 1'!$F$2:$F$2604,""))</f>
        <v/>
      </c>
      <c r="I2581" s="44" t="str">
        <f t="array" ref="I2581">IF(B2581="","",_xlfn.XLOOKUP(B2581,'Form responses 1'!$B$2:$B$2604,'Form responses 1'!$I$2:$I$2604,""))</f>
        <v/>
      </c>
      <c r="J2581" s="44" t="str">
        <f t="array" ref="J2581">IF(B2581="","",_xlfn.XLOOKUP(B2581,'Form responses 1'!$B$2:$B$2604,'Form responses 1'!$G$2:$G$2604,""))</f>
        <v/>
      </c>
      <c r="K2581" s="56"/>
      <c r="L2581" s="58" t="str">
        <f t="shared" si="7"/>
        <v/>
      </c>
      <c r="M2581" s="49"/>
      <c r="N2581" s="49"/>
      <c r="O2581" s="49"/>
      <c r="P2581" s="49"/>
      <c r="Q2581" s="49"/>
      <c r="R2581" s="49"/>
      <c r="S2581" s="49"/>
      <c r="T2581" s="49"/>
      <c r="U2581" s="49"/>
      <c r="V2581" s="49"/>
      <c r="W2581" s="56"/>
      <c r="X2581" s="51" t="str">
        <f t="shared" si="5"/>
        <v/>
      </c>
      <c r="Y2581" s="50" t="s">
        <v>482</v>
      </c>
      <c r="Z2581" s="49">
        <f t="shared" si="6"/>
        <v>0</v>
      </c>
    </row>
    <row r="2582" ht="22.5" customHeight="1">
      <c r="B2582" s="57"/>
      <c r="C2582" s="43" t="str">
        <f t="array" ref="C2582">IF(B2582="","",_xlfn.XLOOKUP(B2582,'Form responses 1'!$B$2:$B$2604,'Form responses 1'!$A$2:$A$2604,""))</f>
        <v/>
      </c>
      <c r="D2582" s="44" t="str">
        <f t="shared" si="3"/>
        <v/>
      </c>
      <c r="E2582" s="44" t="str">
        <f t="array" ref="E2582">IF(B2582="","",_xlfn.XLOOKUP(B2582,'Form responses 1'!$B$2:$B$2604,'Form responses 1'!$C$2:$C$2604,""))</f>
        <v/>
      </c>
      <c r="F2582" s="44" t="str">
        <f t="array" ref="F2582">IF(B2582="","",_xlfn.XLOOKUP(B2582,'Form responses 1'!$B$2:$B$2604,'Form responses 1'!$D$2:$D$2604,""))</f>
        <v/>
      </c>
      <c r="G2582" s="44" t="str">
        <f t="array" ref="G2582">IF(B2582="","",_xlfn.XLOOKUP(B2582,'Form responses 1'!$B$2:$B$2604,'Form responses 1'!$E$2:$E$2604,""))</f>
        <v/>
      </c>
      <c r="H2582" s="44" t="str">
        <f t="array" ref="H2582">IF(B2582="","",_xlfn.XLOOKUP(B2582,'Form responses 1'!$B$2:$B$2604,'Form responses 1'!$F$2:$F$2604,""))</f>
        <v/>
      </c>
      <c r="I2582" s="44" t="str">
        <f t="array" ref="I2582">IF(B2582="","",_xlfn.XLOOKUP(B2582,'Form responses 1'!$B$2:$B$2604,'Form responses 1'!$I$2:$I$2604,""))</f>
        <v/>
      </c>
      <c r="J2582" s="44" t="str">
        <f t="array" ref="J2582">IF(B2582="","",_xlfn.XLOOKUP(B2582,'Form responses 1'!$B$2:$B$2604,'Form responses 1'!$G$2:$G$2604,""))</f>
        <v/>
      </c>
      <c r="K2582" s="56"/>
      <c r="L2582" s="58" t="str">
        <f t="shared" si="7"/>
        <v/>
      </c>
      <c r="M2582" s="49"/>
      <c r="N2582" s="49"/>
      <c r="O2582" s="49"/>
      <c r="P2582" s="49"/>
      <c r="Q2582" s="49"/>
      <c r="R2582" s="49"/>
      <c r="S2582" s="49"/>
      <c r="T2582" s="49"/>
      <c r="U2582" s="49"/>
      <c r="V2582" s="49"/>
      <c r="W2582" s="56"/>
      <c r="X2582" s="51" t="str">
        <f t="shared" si="5"/>
        <v/>
      </c>
      <c r="Y2582" s="50" t="s">
        <v>482</v>
      </c>
      <c r="Z2582" s="49">
        <f t="shared" si="6"/>
        <v>0</v>
      </c>
    </row>
    <row r="2583" ht="22.5" customHeight="1">
      <c r="B2583" s="57"/>
      <c r="C2583" s="43" t="str">
        <f t="array" ref="C2583">IF(B2583="","",_xlfn.XLOOKUP(B2583,'Form responses 1'!$B$2:$B$2604,'Form responses 1'!$A$2:$A$2604,""))</f>
        <v/>
      </c>
      <c r="D2583" s="44" t="str">
        <f t="shared" si="3"/>
        <v/>
      </c>
      <c r="E2583" s="44" t="str">
        <f t="array" ref="E2583">IF(B2583="","",_xlfn.XLOOKUP(B2583,'Form responses 1'!$B$2:$B$2604,'Form responses 1'!$C$2:$C$2604,""))</f>
        <v/>
      </c>
      <c r="F2583" s="44" t="str">
        <f t="array" ref="F2583">IF(B2583="","",_xlfn.XLOOKUP(B2583,'Form responses 1'!$B$2:$B$2604,'Form responses 1'!$D$2:$D$2604,""))</f>
        <v/>
      </c>
      <c r="G2583" s="44" t="str">
        <f t="array" ref="G2583">IF(B2583="","",_xlfn.XLOOKUP(B2583,'Form responses 1'!$B$2:$B$2604,'Form responses 1'!$E$2:$E$2604,""))</f>
        <v/>
      </c>
      <c r="H2583" s="44" t="str">
        <f t="array" ref="H2583">IF(B2583="","",_xlfn.XLOOKUP(B2583,'Form responses 1'!$B$2:$B$2604,'Form responses 1'!$F$2:$F$2604,""))</f>
        <v/>
      </c>
      <c r="I2583" s="44" t="str">
        <f t="array" ref="I2583">IF(B2583="","",_xlfn.XLOOKUP(B2583,'Form responses 1'!$B$2:$B$2604,'Form responses 1'!$I$2:$I$2604,""))</f>
        <v/>
      </c>
      <c r="J2583" s="44" t="str">
        <f t="array" ref="J2583">IF(B2583="","",_xlfn.XLOOKUP(B2583,'Form responses 1'!$B$2:$B$2604,'Form responses 1'!$G$2:$G$2604,""))</f>
        <v/>
      </c>
      <c r="K2583" s="56"/>
      <c r="L2583" s="58" t="str">
        <f t="shared" si="7"/>
        <v/>
      </c>
      <c r="M2583" s="49"/>
      <c r="N2583" s="49"/>
      <c r="O2583" s="49"/>
      <c r="P2583" s="49"/>
      <c r="Q2583" s="49"/>
      <c r="R2583" s="49"/>
      <c r="S2583" s="49"/>
      <c r="T2583" s="49"/>
      <c r="U2583" s="49"/>
      <c r="V2583" s="49"/>
      <c r="W2583" s="56"/>
      <c r="X2583" s="51" t="str">
        <f t="shared" si="5"/>
        <v/>
      </c>
      <c r="Y2583" s="50" t="s">
        <v>482</v>
      </c>
      <c r="Z2583" s="49">
        <f t="shared" si="6"/>
        <v>0</v>
      </c>
    </row>
    <row r="2584" ht="22.5" customHeight="1">
      <c r="B2584" s="57"/>
      <c r="C2584" s="43" t="str">
        <f t="array" ref="C2584">IF(B2584="","",_xlfn.XLOOKUP(B2584,'Form responses 1'!$B$2:$B$2604,'Form responses 1'!$A$2:$A$2604,""))</f>
        <v/>
      </c>
      <c r="D2584" s="44" t="str">
        <f t="shared" si="3"/>
        <v/>
      </c>
      <c r="E2584" s="44" t="str">
        <f t="array" ref="E2584">IF(B2584="","",_xlfn.XLOOKUP(B2584,'Form responses 1'!$B$2:$B$2604,'Form responses 1'!$C$2:$C$2604,""))</f>
        <v/>
      </c>
      <c r="F2584" s="44" t="str">
        <f t="array" ref="F2584">IF(B2584="","",_xlfn.XLOOKUP(B2584,'Form responses 1'!$B$2:$B$2604,'Form responses 1'!$D$2:$D$2604,""))</f>
        <v/>
      </c>
      <c r="G2584" s="44" t="str">
        <f t="array" ref="G2584">IF(B2584="","",_xlfn.XLOOKUP(B2584,'Form responses 1'!$B$2:$B$2604,'Form responses 1'!$E$2:$E$2604,""))</f>
        <v/>
      </c>
      <c r="H2584" s="44" t="str">
        <f t="array" ref="H2584">IF(B2584="","",_xlfn.XLOOKUP(B2584,'Form responses 1'!$B$2:$B$2604,'Form responses 1'!$F$2:$F$2604,""))</f>
        <v/>
      </c>
      <c r="I2584" s="44" t="str">
        <f t="array" ref="I2584">IF(B2584="","",_xlfn.XLOOKUP(B2584,'Form responses 1'!$B$2:$B$2604,'Form responses 1'!$I$2:$I$2604,""))</f>
        <v/>
      </c>
      <c r="J2584" s="44" t="str">
        <f t="array" ref="J2584">IF(B2584="","",_xlfn.XLOOKUP(B2584,'Form responses 1'!$B$2:$B$2604,'Form responses 1'!$G$2:$G$2604,""))</f>
        <v/>
      </c>
      <c r="K2584" s="56"/>
      <c r="L2584" s="58" t="str">
        <f t="shared" si="7"/>
        <v/>
      </c>
      <c r="M2584" s="49"/>
      <c r="N2584" s="49"/>
      <c r="O2584" s="49"/>
      <c r="P2584" s="49"/>
      <c r="Q2584" s="49"/>
      <c r="R2584" s="49"/>
      <c r="S2584" s="49"/>
      <c r="T2584" s="49"/>
      <c r="U2584" s="49"/>
      <c r="V2584" s="49"/>
      <c r="W2584" s="56"/>
      <c r="X2584" s="51" t="str">
        <f t="shared" si="5"/>
        <v/>
      </c>
      <c r="Y2584" s="50" t="s">
        <v>482</v>
      </c>
      <c r="Z2584" s="49">
        <f t="shared" si="6"/>
        <v>0</v>
      </c>
    </row>
    <row r="2585" ht="22.5" customHeight="1">
      <c r="B2585" s="57"/>
      <c r="C2585" s="43" t="str">
        <f t="array" ref="C2585">IF(B2585="","",_xlfn.XLOOKUP(B2585,'Form responses 1'!$B$2:$B$2604,'Form responses 1'!$A$2:$A$2604,""))</f>
        <v/>
      </c>
      <c r="D2585" s="44" t="str">
        <f t="shared" si="3"/>
        <v/>
      </c>
      <c r="E2585" s="44" t="str">
        <f t="array" ref="E2585">IF(B2585="","",_xlfn.XLOOKUP(B2585,'Form responses 1'!$B$2:$B$2604,'Form responses 1'!$C$2:$C$2604,""))</f>
        <v/>
      </c>
      <c r="F2585" s="44" t="str">
        <f t="array" ref="F2585">IF(B2585="","",_xlfn.XLOOKUP(B2585,'Form responses 1'!$B$2:$B$2604,'Form responses 1'!$D$2:$D$2604,""))</f>
        <v/>
      </c>
      <c r="G2585" s="44" t="str">
        <f t="array" ref="G2585">IF(B2585="","",_xlfn.XLOOKUP(B2585,'Form responses 1'!$B$2:$B$2604,'Form responses 1'!$E$2:$E$2604,""))</f>
        <v/>
      </c>
      <c r="H2585" s="44" t="str">
        <f t="array" ref="H2585">IF(B2585="","",_xlfn.XLOOKUP(B2585,'Form responses 1'!$B$2:$B$2604,'Form responses 1'!$F$2:$F$2604,""))</f>
        <v/>
      </c>
      <c r="I2585" s="44" t="str">
        <f t="array" ref="I2585">IF(B2585="","",_xlfn.XLOOKUP(B2585,'Form responses 1'!$B$2:$B$2604,'Form responses 1'!$I$2:$I$2604,""))</f>
        <v/>
      </c>
      <c r="J2585" s="44" t="str">
        <f t="array" ref="J2585">IF(B2585="","",_xlfn.XLOOKUP(B2585,'Form responses 1'!$B$2:$B$2604,'Form responses 1'!$G$2:$G$2604,""))</f>
        <v/>
      </c>
      <c r="K2585" s="56"/>
      <c r="L2585" s="58" t="str">
        <f t="shared" si="7"/>
        <v/>
      </c>
      <c r="M2585" s="49"/>
      <c r="N2585" s="49"/>
      <c r="O2585" s="49"/>
      <c r="P2585" s="49"/>
      <c r="Q2585" s="49"/>
      <c r="R2585" s="49"/>
      <c r="S2585" s="49"/>
      <c r="T2585" s="49"/>
      <c r="U2585" s="49"/>
      <c r="V2585" s="49"/>
      <c r="W2585" s="56"/>
      <c r="X2585" s="51" t="str">
        <f t="shared" si="5"/>
        <v/>
      </c>
      <c r="Y2585" s="50" t="s">
        <v>482</v>
      </c>
      <c r="Z2585" s="49">
        <f t="shared" si="6"/>
        <v>0</v>
      </c>
    </row>
    <row r="2586" ht="22.5" customHeight="1">
      <c r="B2586" s="57"/>
      <c r="C2586" s="43" t="str">
        <f t="array" ref="C2586">IF(B2586="","",_xlfn.XLOOKUP(B2586,'Form responses 1'!$B$2:$B$2604,'Form responses 1'!$A$2:$A$2604,""))</f>
        <v/>
      </c>
      <c r="D2586" s="44" t="str">
        <f t="shared" si="3"/>
        <v/>
      </c>
      <c r="E2586" s="44" t="str">
        <f t="array" ref="E2586">IF(B2586="","",_xlfn.XLOOKUP(B2586,'Form responses 1'!$B$2:$B$2604,'Form responses 1'!$C$2:$C$2604,""))</f>
        <v/>
      </c>
      <c r="F2586" s="44" t="str">
        <f t="array" ref="F2586">IF(B2586="","",_xlfn.XLOOKUP(B2586,'Form responses 1'!$B$2:$B$2604,'Form responses 1'!$D$2:$D$2604,""))</f>
        <v/>
      </c>
      <c r="G2586" s="44" t="str">
        <f t="array" ref="G2586">IF(B2586="","",_xlfn.XLOOKUP(B2586,'Form responses 1'!$B$2:$B$2604,'Form responses 1'!$E$2:$E$2604,""))</f>
        <v/>
      </c>
      <c r="H2586" s="44" t="str">
        <f t="array" ref="H2586">IF(B2586="","",_xlfn.XLOOKUP(B2586,'Form responses 1'!$B$2:$B$2604,'Form responses 1'!$F$2:$F$2604,""))</f>
        <v/>
      </c>
      <c r="I2586" s="44" t="str">
        <f t="array" ref="I2586">IF(B2586="","",_xlfn.XLOOKUP(B2586,'Form responses 1'!$B$2:$B$2604,'Form responses 1'!$I$2:$I$2604,""))</f>
        <v/>
      </c>
      <c r="J2586" s="44" t="str">
        <f t="array" ref="J2586">IF(B2586="","",_xlfn.XLOOKUP(B2586,'Form responses 1'!$B$2:$B$2604,'Form responses 1'!$G$2:$G$2604,""))</f>
        <v/>
      </c>
      <c r="K2586" s="56"/>
      <c r="L2586" s="58" t="str">
        <f t="shared" si="7"/>
        <v/>
      </c>
      <c r="M2586" s="49"/>
      <c r="N2586" s="49"/>
      <c r="O2586" s="49"/>
      <c r="P2586" s="49"/>
      <c r="Q2586" s="49"/>
      <c r="R2586" s="49"/>
      <c r="S2586" s="49"/>
      <c r="T2586" s="49"/>
      <c r="U2586" s="49"/>
      <c r="V2586" s="49"/>
      <c r="W2586" s="56"/>
      <c r="X2586" s="51" t="str">
        <f t="shared" si="5"/>
        <v/>
      </c>
      <c r="Y2586" s="50" t="s">
        <v>482</v>
      </c>
      <c r="Z2586" s="49">
        <f t="shared" si="6"/>
        <v>0</v>
      </c>
    </row>
    <row r="2587" ht="22.5" customHeight="1">
      <c r="B2587" s="57"/>
      <c r="C2587" s="43" t="str">
        <f t="array" ref="C2587">IF(B2587="","",_xlfn.XLOOKUP(B2587,'Form responses 1'!$B$2:$B$2604,'Form responses 1'!$A$2:$A$2604,""))</f>
        <v/>
      </c>
      <c r="D2587" s="44" t="str">
        <f t="shared" si="3"/>
        <v/>
      </c>
      <c r="E2587" s="44" t="str">
        <f t="array" ref="E2587">IF(B2587="","",_xlfn.XLOOKUP(B2587,'Form responses 1'!$B$2:$B$2604,'Form responses 1'!$C$2:$C$2604,""))</f>
        <v/>
      </c>
      <c r="F2587" s="44" t="str">
        <f t="array" ref="F2587">IF(B2587="","",_xlfn.XLOOKUP(B2587,'Form responses 1'!$B$2:$B$2604,'Form responses 1'!$D$2:$D$2604,""))</f>
        <v/>
      </c>
      <c r="G2587" s="44" t="str">
        <f t="array" ref="G2587">IF(B2587="","",_xlfn.XLOOKUP(B2587,'Form responses 1'!$B$2:$B$2604,'Form responses 1'!$E$2:$E$2604,""))</f>
        <v/>
      </c>
      <c r="H2587" s="44" t="str">
        <f t="array" ref="H2587">IF(B2587="","",_xlfn.XLOOKUP(B2587,'Form responses 1'!$B$2:$B$2604,'Form responses 1'!$F$2:$F$2604,""))</f>
        <v/>
      </c>
      <c r="I2587" s="44" t="str">
        <f t="array" ref="I2587">IF(B2587="","",_xlfn.XLOOKUP(B2587,'Form responses 1'!$B$2:$B$2604,'Form responses 1'!$I$2:$I$2604,""))</f>
        <v/>
      </c>
      <c r="J2587" s="44" t="str">
        <f t="array" ref="J2587">IF(B2587="","",_xlfn.XLOOKUP(B2587,'Form responses 1'!$B$2:$B$2604,'Form responses 1'!$G$2:$G$2604,""))</f>
        <v/>
      </c>
      <c r="K2587" s="56"/>
      <c r="L2587" s="58" t="str">
        <f t="shared" si="7"/>
        <v/>
      </c>
      <c r="M2587" s="49"/>
      <c r="N2587" s="49"/>
      <c r="O2587" s="49"/>
      <c r="P2587" s="49"/>
      <c r="Q2587" s="49"/>
      <c r="R2587" s="49"/>
      <c r="S2587" s="49"/>
      <c r="T2587" s="49"/>
      <c r="U2587" s="49"/>
      <c r="V2587" s="49"/>
      <c r="W2587" s="56"/>
      <c r="X2587" s="51" t="str">
        <f t="shared" si="5"/>
        <v/>
      </c>
      <c r="Y2587" s="50" t="s">
        <v>482</v>
      </c>
      <c r="Z2587" s="49">
        <f t="shared" si="6"/>
        <v>0</v>
      </c>
    </row>
    <row r="2588" ht="22.5" customHeight="1">
      <c r="B2588" s="57"/>
      <c r="C2588" s="43" t="str">
        <f t="array" ref="C2588">IF(B2588="","",_xlfn.XLOOKUP(B2588,'Form responses 1'!$B$2:$B$2604,'Form responses 1'!$A$2:$A$2604,""))</f>
        <v/>
      </c>
      <c r="D2588" s="44" t="str">
        <f t="shared" si="3"/>
        <v/>
      </c>
      <c r="E2588" s="44" t="str">
        <f t="array" ref="E2588">IF(B2588="","",_xlfn.XLOOKUP(B2588,'Form responses 1'!$B$2:$B$2604,'Form responses 1'!$C$2:$C$2604,""))</f>
        <v/>
      </c>
      <c r="F2588" s="44" t="str">
        <f t="array" ref="F2588">IF(B2588="","",_xlfn.XLOOKUP(B2588,'Form responses 1'!$B$2:$B$2604,'Form responses 1'!$D$2:$D$2604,""))</f>
        <v/>
      </c>
      <c r="G2588" s="44" t="str">
        <f t="array" ref="G2588">IF(B2588="","",_xlfn.XLOOKUP(B2588,'Form responses 1'!$B$2:$B$2604,'Form responses 1'!$E$2:$E$2604,""))</f>
        <v/>
      </c>
      <c r="H2588" s="44" t="str">
        <f t="array" ref="H2588">IF(B2588="","",_xlfn.XLOOKUP(B2588,'Form responses 1'!$B$2:$B$2604,'Form responses 1'!$F$2:$F$2604,""))</f>
        <v/>
      </c>
      <c r="I2588" s="44" t="str">
        <f t="array" ref="I2588">IF(B2588="","",_xlfn.XLOOKUP(B2588,'Form responses 1'!$B$2:$B$2604,'Form responses 1'!$I$2:$I$2604,""))</f>
        <v/>
      </c>
      <c r="J2588" s="44" t="str">
        <f t="array" ref="J2588">IF(B2588="","",_xlfn.XLOOKUP(B2588,'Form responses 1'!$B$2:$B$2604,'Form responses 1'!$G$2:$G$2604,""))</f>
        <v/>
      </c>
      <c r="K2588" s="56"/>
      <c r="L2588" s="58" t="str">
        <f t="shared" si="7"/>
        <v/>
      </c>
      <c r="M2588" s="49"/>
      <c r="N2588" s="49"/>
      <c r="O2588" s="49"/>
      <c r="P2588" s="49"/>
      <c r="Q2588" s="49"/>
      <c r="R2588" s="49"/>
      <c r="S2588" s="49"/>
      <c r="T2588" s="49"/>
      <c r="U2588" s="49"/>
      <c r="V2588" s="49"/>
      <c r="W2588" s="56"/>
      <c r="X2588" s="51" t="str">
        <f t="shared" si="5"/>
        <v/>
      </c>
      <c r="Y2588" s="50" t="s">
        <v>482</v>
      </c>
      <c r="Z2588" s="49">
        <f t="shared" si="6"/>
        <v>0</v>
      </c>
    </row>
    <row r="2589" ht="22.5" customHeight="1">
      <c r="B2589" s="57"/>
      <c r="C2589" s="43" t="str">
        <f t="array" ref="C2589">IF(B2589="","",_xlfn.XLOOKUP(B2589,'Form responses 1'!$B$2:$B$2604,'Form responses 1'!$A$2:$A$2604,""))</f>
        <v/>
      </c>
      <c r="D2589" s="44" t="str">
        <f t="shared" si="3"/>
        <v/>
      </c>
      <c r="E2589" s="44" t="str">
        <f t="array" ref="E2589">IF(B2589="","",_xlfn.XLOOKUP(B2589,'Form responses 1'!$B$2:$B$2604,'Form responses 1'!$C$2:$C$2604,""))</f>
        <v/>
      </c>
      <c r="F2589" s="44" t="str">
        <f t="array" ref="F2589">IF(B2589="","",_xlfn.XLOOKUP(B2589,'Form responses 1'!$B$2:$B$2604,'Form responses 1'!$D$2:$D$2604,""))</f>
        <v/>
      </c>
      <c r="G2589" s="44" t="str">
        <f t="array" ref="G2589">IF(B2589="","",_xlfn.XLOOKUP(B2589,'Form responses 1'!$B$2:$B$2604,'Form responses 1'!$E$2:$E$2604,""))</f>
        <v/>
      </c>
      <c r="H2589" s="44" t="str">
        <f t="array" ref="H2589">IF(B2589="","",_xlfn.XLOOKUP(B2589,'Form responses 1'!$B$2:$B$2604,'Form responses 1'!$F$2:$F$2604,""))</f>
        <v/>
      </c>
      <c r="I2589" s="44" t="str">
        <f t="array" ref="I2589">IF(B2589="","",_xlfn.XLOOKUP(B2589,'Form responses 1'!$B$2:$B$2604,'Form responses 1'!$I$2:$I$2604,""))</f>
        <v/>
      </c>
      <c r="J2589" s="44" t="str">
        <f t="array" ref="J2589">IF(B2589="","",_xlfn.XLOOKUP(B2589,'Form responses 1'!$B$2:$B$2604,'Form responses 1'!$G$2:$G$2604,""))</f>
        <v/>
      </c>
      <c r="K2589" s="56"/>
      <c r="L2589" s="58" t="str">
        <f t="shared" si="7"/>
        <v/>
      </c>
      <c r="M2589" s="49"/>
      <c r="N2589" s="49"/>
      <c r="O2589" s="49"/>
      <c r="P2589" s="49"/>
      <c r="Q2589" s="49"/>
      <c r="R2589" s="49"/>
      <c r="S2589" s="49"/>
      <c r="T2589" s="49"/>
      <c r="U2589" s="49"/>
      <c r="V2589" s="49"/>
      <c r="W2589" s="56"/>
      <c r="X2589" s="51" t="str">
        <f t="shared" si="5"/>
        <v/>
      </c>
      <c r="Y2589" s="50" t="s">
        <v>482</v>
      </c>
      <c r="Z2589" s="49">
        <f t="shared" si="6"/>
        <v>0</v>
      </c>
    </row>
    <row r="2590" ht="22.5" customHeight="1">
      <c r="B2590" s="57"/>
      <c r="C2590" s="43" t="str">
        <f t="array" ref="C2590">IF(B2590="","",_xlfn.XLOOKUP(B2590,'Form responses 1'!$B$2:$B$2604,'Form responses 1'!$A$2:$A$2604,""))</f>
        <v/>
      </c>
      <c r="D2590" s="44" t="str">
        <f t="shared" si="3"/>
        <v/>
      </c>
      <c r="E2590" s="44" t="str">
        <f t="array" ref="E2590">IF(B2590="","",_xlfn.XLOOKUP(B2590,'Form responses 1'!$B$2:$B$2604,'Form responses 1'!$C$2:$C$2604,""))</f>
        <v/>
      </c>
      <c r="F2590" s="44" t="str">
        <f t="array" ref="F2590">IF(B2590="","",_xlfn.XLOOKUP(B2590,'Form responses 1'!$B$2:$B$2604,'Form responses 1'!$D$2:$D$2604,""))</f>
        <v/>
      </c>
      <c r="G2590" s="44" t="str">
        <f t="array" ref="G2590">IF(B2590="","",_xlfn.XLOOKUP(B2590,'Form responses 1'!$B$2:$B$2604,'Form responses 1'!$E$2:$E$2604,""))</f>
        <v/>
      </c>
      <c r="H2590" s="44" t="str">
        <f t="array" ref="H2590">IF(B2590="","",_xlfn.XLOOKUP(B2590,'Form responses 1'!$B$2:$B$2604,'Form responses 1'!$F$2:$F$2604,""))</f>
        <v/>
      </c>
      <c r="I2590" s="44" t="str">
        <f t="array" ref="I2590">IF(B2590="","",_xlfn.XLOOKUP(B2590,'Form responses 1'!$B$2:$B$2604,'Form responses 1'!$I$2:$I$2604,""))</f>
        <v/>
      </c>
      <c r="J2590" s="44" t="str">
        <f t="array" ref="J2590">IF(B2590="","",_xlfn.XLOOKUP(B2590,'Form responses 1'!$B$2:$B$2604,'Form responses 1'!$G$2:$G$2604,""))</f>
        <v/>
      </c>
      <c r="K2590" s="56"/>
      <c r="L2590" s="58" t="str">
        <f t="shared" si="7"/>
        <v/>
      </c>
      <c r="M2590" s="49"/>
      <c r="N2590" s="49"/>
      <c r="O2590" s="49"/>
      <c r="P2590" s="49"/>
      <c r="Q2590" s="49"/>
      <c r="R2590" s="49"/>
      <c r="S2590" s="49"/>
      <c r="T2590" s="49"/>
      <c r="U2590" s="49"/>
      <c r="V2590" s="49"/>
      <c r="W2590" s="56"/>
      <c r="X2590" s="51" t="str">
        <f t="shared" si="5"/>
        <v/>
      </c>
      <c r="Y2590" s="50" t="s">
        <v>482</v>
      </c>
      <c r="Z2590" s="49">
        <f t="shared" si="6"/>
        <v>0</v>
      </c>
    </row>
    <row r="2591" ht="22.5" customHeight="1">
      <c r="B2591" s="57"/>
      <c r="C2591" s="43" t="str">
        <f t="array" ref="C2591">IF(B2591="","",_xlfn.XLOOKUP(B2591,'Form responses 1'!$B$2:$B$2604,'Form responses 1'!$A$2:$A$2604,""))</f>
        <v/>
      </c>
      <c r="D2591" s="44" t="str">
        <f t="shared" si="3"/>
        <v/>
      </c>
      <c r="E2591" s="44" t="str">
        <f t="array" ref="E2591">IF(B2591="","",_xlfn.XLOOKUP(B2591,'Form responses 1'!$B$2:$B$2604,'Form responses 1'!$C$2:$C$2604,""))</f>
        <v/>
      </c>
      <c r="F2591" s="44" t="str">
        <f t="array" ref="F2591">IF(B2591="","",_xlfn.XLOOKUP(B2591,'Form responses 1'!$B$2:$B$2604,'Form responses 1'!$D$2:$D$2604,""))</f>
        <v/>
      </c>
      <c r="G2591" s="44" t="str">
        <f t="array" ref="G2591">IF(B2591="","",_xlfn.XLOOKUP(B2591,'Form responses 1'!$B$2:$B$2604,'Form responses 1'!$E$2:$E$2604,""))</f>
        <v/>
      </c>
      <c r="H2591" s="44" t="str">
        <f t="array" ref="H2591">IF(B2591="","",_xlfn.XLOOKUP(B2591,'Form responses 1'!$B$2:$B$2604,'Form responses 1'!$F$2:$F$2604,""))</f>
        <v/>
      </c>
      <c r="I2591" s="44" t="str">
        <f t="array" ref="I2591">IF(B2591="","",_xlfn.XLOOKUP(B2591,'Form responses 1'!$B$2:$B$2604,'Form responses 1'!$I$2:$I$2604,""))</f>
        <v/>
      </c>
      <c r="J2591" s="44" t="str">
        <f t="array" ref="J2591">IF(B2591="","",_xlfn.XLOOKUP(B2591,'Form responses 1'!$B$2:$B$2604,'Form responses 1'!$G$2:$G$2604,""))</f>
        <v/>
      </c>
      <c r="K2591" s="56"/>
      <c r="L2591" s="58" t="str">
        <f t="shared" si="7"/>
        <v/>
      </c>
      <c r="M2591" s="49"/>
      <c r="N2591" s="49"/>
      <c r="O2591" s="49"/>
      <c r="P2591" s="49"/>
      <c r="Q2591" s="49"/>
      <c r="R2591" s="49"/>
      <c r="S2591" s="49"/>
      <c r="T2591" s="49"/>
      <c r="U2591" s="49"/>
      <c r="V2591" s="49"/>
      <c r="W2591" s="56"/>
      <c r="X2591" s="51" t="str">
        <f t="shared" si="5"/>
        <v/>
      </c>
      <c r="Y2591" s="50" t="s">
        <v>482</v>
      </c>
      <c r="Z2591" s="49">
        <f t="shared" si="6"/>
        <v>0</v>
      </c>
    </row>
    <row r="2592" ht="22.5" customHeight="1">
      <c r="B2592" s="57"/>
      <c r="C2592" s="43" t="str">
        <f t="array" ref="C2592">IF(B2592="","",_xlfn.XLOOKUP(B2592,'Form responses 1'!$B$2:$B$2604,'Form responses 1'!$A$2:$A$2604,""))</f>
        <v/>
      </c>
      <c r="D2592" s="44" t="str">
        <f t="shared" si="3"/>
        <v/>
      </c>
      <c r="E2592" s="44" t="str">
        <f t="array" ref="E2592">IF(B2592="","",_xlfn.XLOOKUP(B2592,'Form responses 1'!$B$2:$B$2604,'Form responses 1'!$C$2:$C$2604,""))</f>
        <v/>
      </c>
      <c r="F2592" s="44" t="str">
        <f t="array" ref="F2592">IF(B2592="","",_xlfn.XLOOKUP(B2592,'Form responses 1'!$B$2:$B$2604,'Form responses 1'!$D$2:$D$2604,""))</f>
        <v/>
      </c>
      <c r="G2592" s="44" t="str">
        <f t="array" ref="G2592">IF(B2592="","",_xlfn.XLOOKUP(B2592,'Form responses 1'!$B$2:$B$2604,'Form responses 1'!$E$2:$E$2604,""))</f>
        <v/>
      </c>
      <c r="H2592" s="44" t="str">
        <f t="array" ref="H2592">IF(B2592="","",_xlfn.XLOOKUP(B2592,'Form responses 1'!$B$2:$B$2604,'Form responses 1'!$F$2:$F$2604,""))</f>
        <v/>
      </c>
      <c r="I2592" s="44" t="str">
        <f t="array" ref="I2592">IF(B2592="","",_xlfn.XLOOKUP(B2592,'Form responses 1'!$B$2:$B$2604,'Form responses 1'!$I$2:$I$2604,""))</f>
        <v/>
      </c>
      <c r="J2592" s="44" t="str">
        <f t="array" ref="J2592">IF(B2592="","",_xlfn.XLOOKUP(B2592,'Form responses 1'!$B$2:$B$2604,'Form responses 1'!$G$2:$G$2604,""))</f>
        <v/>
      </c>
      <c r="K2592" s="56"/>
      <c r="L2592" s="58" t="str">
        <f t="shared" si="7"/>
        <v/>
      </c>
      <c r="M2592" s="49"/>
      <c r="N2592" s="49"/>
      <c r="O2592" s="49"/>
      <c r="P2592" s="49"/>
      <c r="Q2592" s="49"/>
      <c r="R2592" s="49"/>
      <c r="S2592" s="49"/>
      <c r="T2592" s="49"/>
      <c r="U2592" s="49"/>
      <c r="V2592" s="49"/>
      <c r="W2592" s="56"/>
      <c r="X2592" s="51" t="str">
        <f t="shared" si="5"/>
        <v/>
      </c>
      <c r="Y2592" s="50" t="s">
        <v>482</v>
      </c>
      <c r="Z2592" s="49">
        <f t="shared" si="6"/>
        <v>0</v>
      </c>
    </row>
    <row r="2593" ht="22.5" customHeight="1">
      <c r="B2593" s="57"/>
      <c r="C2593" s="43" t="str">
        <f t="array" ref="C2593">IF(B2593="","",_xlfn.XLOOKUP(B2593,'Form responses 1'!$B$2:$B$2604,'Form responses 1'!$A$2:$A$2604,""))</f>
        <v/>
      </c>
      <c r="D2593" s="44" t="str">
        <f t="shared" si="3"/>
        <v/>
      </c>
      <c r="E2593" s="44" t="str">
        <f t="array" ref="E2593">IF(B2593="","",_xlfn.XLOOKUP(B2593,'Form responses 1'!$B$2:$B$2604,'Form responses 1'!$C$2:$C$2604,""))</f>
        <v/>
      </c>
      <c r="F2593" s="44" t="str">
        <f t="array" ref="F2593">IF(B2593="","",_xlfn.XLOOKUP(B2593,'Form responses 1'!$B$2:$B$2604,'Form responses 1'!$D$2:$D$2604,""))</f>
        <v/>
      </c>
      <c r="G2593" s="44" t="str">
        <f t="array" ref="G2593">IF(B2593="","",_xlfn.XLOOKUP(B2593,'Form responses 1'!$B$2:$B$2604,'Form responses 1'!$E$2:$E$2604,""))</f>
        <v/>
      </c>
      <c r="H2593" s="44" t="str">
        <f t="array" ref="H2593">IF(B2593="","",_xlfn.XLOOKUP(B2593,'Form responses 1'!$B$2:$B$2604,'Form responses 1'!$F$2:$F$2604,""))</f>
        <v/>
      </c>
      <c r="I2593" s="44" t="str">
        <f t="array" ref="I2593">IF(B2593="","",_xlfn.XLOOKUP(B2593,'Form responses 1'!$B$2:$B$2604,'Form responses 1'!$I$2:$I$2604,""))</f>
        <v/>
      </c>
      <c r="J2593" s="44" t="str">
        <f t="array" ref="J2593">IF(B2593="","",_xlfn.XLOOKUP(B2593,'Form responses 1'!$B$2:$B$2604,'Form responses 1'!$G$2:$G$2604,""))</f>
        <v/>
      </c>
      <c r="K2593" s="56"/>
      <c r="L2593" s="58" t="str">
        <f t="shared" si="7"/>
        <v/>
      </c>
      <c r="M2593" s="49"/>
      <c r="N2593" s="49"/>
      <c r="O2593" s="49"/>
      <c r="P2593" s="49"/>
      <c r="Q2593" s="49"/>
      <c r="R2593" s="49"/>
      <c r="S2593" s="49"/>
      <c r="T2593" s="49"/>
      <c r="U2593" s="49"/>
      <c r="V2593" s="49"/>
      <c r="W2593" s="56"/>
      <c r="X2593" s="51" t="str">
        <f t="shared" si="5"/>
        <v/>
      </c>
      <c r="Y2593" s="50" t="s">
        <v>482</v>
      </c>
      <c r="Z2593" s="49">
        <f t="shared" si="6"/>
        <v>0</v>
      </c>
    </row>
    <row r="2594" ht="22.5" customHeight="1">
      <c r="B2594" s="57"/>
      <c r="C2594" s="43" t="str">
        <f t="array" ref="C2594">IF(B2594="","",_xlfn.XLOOKUP(B2594,'Form responses 1'!$B$2:$B$2604,'Form responses 1'!$A$2:$A$2604,""))</f>
        <v/>
      </c>
      <c r="D2594" s="44" t="str">
        <f t="shared" si="3"/>
        <v/>
      </c>
      <c r="E2594" s="44" t="str">
        <f t="array" ref="E2594">IF(B2594="","",_xlfn.XLOOKUP(B2594,'Form responses 1'!$B$2:$B$2604,'Form responses 1'!$C$2:$C$2604,""))</f>
        <v/>
      </c>
      <c r="F2594" s="44" t="str">
        <f t="array" ref="F2594">IF(B2594="","",_xlfn.XLOOKUP(B2594,'Form responses 1'!$B$2:$B$2604,'Form responses 1'!$D$2:$D$2604,""))</f>
        <v/>
      </c>
      <c r="G2594" s="44" t="str">
        <f t="array" ref="G2594">IF(B2594="","",_xlfn.XLOOKUP(B2594,'Form responses 1'!$B$2:$B$2604,'Form responses 1'!$E$2:$E$2604,""))</f>
        <v/>
      </c>
      <c r="H2594" s="44" t="str">
        <f t="array" ref="H2594">IF(B2594="","",_xlfn.XLOOKUP(B2594,'Form responses 1'!$B$2:$B$2604,'Form responses 1'!$F$2:$F$2604,""))</f>
        <v/>
      </c>
      <c r="I2594" s="44" t="str">
        <f t="array" ref="I2594">IF(B2594="","",_xlfn.XLOOKUP(B2594,'Form responses 1'!$B$2:$B$2604,'Form responses 1'!$I$2:$I$2604,""))</f>
        <v/>
      </c>
      <c r="J2594" s="44" t="str">
        <f t="array" ref="J2594">IF(B2594="","",_xlfn.XLOOKUP(B2594,'Form responses 1'!$B$2:$B$2604,'Form responses 1'!$G$2:$G$2604,""))</f>
        <v/>
      </c>
      <c r="K2594" s="56"/>
      <c r="L2594" s="58" t="str">
        <f t="shared" si="7"/>
        <v/>
      </c>
      <c r="M2594" s="49"/>
      <c r="N2594" s="49"/>
      <c r="O2594" s="49"/>
      <c r="P2594" s="49"/>
      <c r="Q2594" s="49"/>
      <c r="R2594" s="49"/>
      <c r="S2594" s="49"/>
      <c r="T2594" s="49"/>
      <c r="U2594" s="49"/>
      <c r="V2594" s="49"/>
      <c r="W2594" s="56"/>
      <c r="X2594" s="51" t="str">
        <f t="shared" si="5"/>
        <v/>
      </c>
      <c r="Y2594" s="50" t="s">
        <v>482</v>
      </c>
      <c r="Z2594" s="49">
        <f t="shared" si="6"/>
        <v>0</v>
      </c>
    </row>
    <row r="2595" ht="22.5" customHeight="1">
      <c r="B2595" s="57"/>
      <c r="C2595" s="43" t="str">
        <f t="array" ref="C2595">IF(B2595="","",_xlfn.XLOOKUP(B2595,'Form responses 1'!$B$2:$B$2604,'Form responses 1'!$A$2:$A$2604,""))</f>
        <v/>
      </c>
      <c r="D2595" s="44" t="str">
        <f t="shared" si="3"/>
        <v/>
      </c>
      <c r="E2595" s="44" t="str">
        <f t="array" ref="E2595">IF(B2595="","",_xlfn.XLOOKUP(B2595,'Form responses 1'!$B$2:$B$2604,'Form responses 1'!$C$2:$C$2604,""))</f>
        <v/>
      </c>
      <c r="F2595" s="44" t="str">
        <f t="array" ref="F2595">IF(B2595="","",_xlfn.XLOOKUP(B2595,'Form responses 1'!$B$2:$B$2604,'Form responses 1'!$D$2:$D$2604,""))</f>
        <v/>
      </c>
      <c r="G2595" s="44" t="str">
        <f t="array" ref="G2595">IF(B2595="","",_xlfn.XLOOKUP(B2595,'Form responses 1'!$B$2:$B$2604,'Form responses 1'!$E$2:$E$2604,""))</f>
        <v/>
      </c>
      <c r="H2595" s="44" t="str">
        <f t="array" ref="H2595">IF(B2595="","",_xlfn.XLOOKUP(B2595,'Form responses 1'!$B$2:$B$2604,'Form responses 1'!$F$2:$F$2604,""))</f>
        <v/>
      </c>
      <c r="I2595" s="44" t="str">
        <f t="array" ref="I2595">IF(B2595="","",_xlfn.XLOOKUP(B2595,'Form responses 1'!$B$2:$B$2604,'Form responses 1'!$I$2:$I$2604,""))</f>
        <v/>
      </c>
      <c r="J2595" s="44" t="str">
        <f t="array" ref="J2595">IF(B2595="","",_xlfn.XLOOKUP(B2595,'Form responses 1'!$B$2:$B$2604,'Form responses 1'!$G$2:$G$2604,""))</f>
        <v/>
      </c>
      <c r="K2595" s="56"/>
      <c r="L2595" s="58" t="str">
        <f t="shared" si="7"/>
        <v/>
      </c>
      <c r="M2595" s="49"/>
      <c r="N2595" s="49"/>
      <c r="O2595" s="49"/>
      <c r="P2595" s="49"/>
      <c r="Q2595" s="49"/>
      <c r="R2595" s="49"/>
      <c r="S2595" s="49"/>
      <c r="T2595" s="49"/>
      <c r="U2595" s="49"/>
      <c r="V2595" s="49"/>
      <c r="W2595" s="56"/>
      <c r="X2595" s="51" t="str">
        <f t="shared" si="5"/>
        <v/>
      </c>
      <c r="Y2595" s="50" t="s">
        <v>482</v>
      </c>
      <c r="Z2595" s="49">
        <f t="shared" si="6"/>
        <v>0</v>
      </c>
    </row>
    <row r="2596" ht="22.5" customHeight="1">
      <c r="B2596" s="57"/>
      <c r="C2596" s="43" t="str">
        <f t="array" ref="C2596">IF(B2596="","",_xlfn.XLOOKUP(B2596,'Form responses 1'!$B$2:$B$2604,'Form responses 1'!$A$2:$A$2604,""))</f>
        <v/>
      </c>
      <c r="D2596" s="44" t="str">
        <f t="shared" si="3"/>
        <v/>
      </c>
      <c r="E2596" s="44" t="str">
        <f t="array" ref="E2596">IF(B2596="","",_xlfn.XLOOKUP(B2596,'Form responses 1'!$B$2:$B$2604,'Form responses 1'!$C$2:$C$2604,""))</f>
        <v/>
      </c>
      <c r="F2596" s="44" t="str">
        <f t="array" ref="F2596">IF(B2596="","",_xlfn.XLOOKUP(B2596,'Form responses 1'!$B$2:$B$2604,'Form responses 1'!$D$2:$D$2604,""))</f>
        <v/>
      </c>
      <c r="G2596" s="44" t="str">
        <f t="array" ref="G2596">IF(B2596="","",_xlfn.XLOOKUP(B2596,'Form responses 1'!$B$2:$B$2604,'Form responses 1'!$E$2:$E$2604,""))</f>
        <v/>
      </c>
      <c r="H2596" s="44" t="str">
        <f t="array" ref="H2596">IF(B2596="","",_xlfn.XLOOKUP(B2596,'Form responses 1'!$B$2:$B$2604,'Form responses 1'!$F$2:$F$2604,""))</f>
        <v/>
      </c>
      <c r="I2596" s="44" t="str">
        <f t="array" ref="I2596">IF(B2596="","",_xlfn.XLOOKUP(B2596,'Form responses 1'!$B$2:$B$2604,'Form responses 1'!$I$2:$I$2604,""))</f>
        <v/>
      </c>
      <c r="J2596" s="44" t="str">
        <f t="array" ref="J2596">IF(B2596="","",_xlfn.XLOOKUP(B2596,'Form responses 1'!$B$2:$B$2604,'Form responses 1'!$G$2:$G$2604,""))</f>
        <v/>
      </c>
      <c r="K2596" s="56"/>
      <c r="L2596" s="58" t="str">
        <f t="shared" si="7"/>
        <v/>
      </c>
      <c r="M2596" s="49"/>
      <c r="N2596" s="49"/>
      <c r="O2596" s="49"/>
      <c r="P2596" s="49"/>
      <c r="Q2596" s="49"/>
      <c r="R2596" s="49"/>
      <c r="S2596" s="49"/>
      <c r="T2596" s="49"/>
      <c r="U2596" s="49"/>
      <c r="V2596" s="49"/>
      <c r="W2596" s="56"/>
      <c r="X2596" s="51" t="str">
        <f t="shared" si="5"/>
        <v/>
      </c>
      <c r="Y2596" s="50" t="s">
        <v>482</v>
      </c>
      <c r="Z2596" s="49">
        <f t="shared" si="6"/>
        <v>0</v>
      </c>
    </row>
    <row r="2597" ht="22.5" customHeight="1">
      <c r="B2597" s="57"/>
      <c r="C2597" s="43" t="str">
        <f t="array" ref="C2597">IF(B2597="","",_xlfn.XLOOKUP(B2597,'Form responses 1'!$B$2:$B$2604,'Form responses 1'!$A$2:$A$2604,""))</f>
        <v/>
      </c>
      <c r="D2597" s="44" t="str">
        <f t="shared" si="3"/>
        <v/>
      </c>
      <c r="E2597" s="44" t="str">
        <f t="array" ref="E2597">IF(B2597="","",_xlfn.XLOOKUP(B2597,'Form responses 1'!$B$2:$B$2604,'Form responses 1'!$C$2:$C$2604,""))</f>
        <v/>
      </c>
      <c r="F2597" s="44" t="str">
        <f t="array" ref="F2597">IF(B2597="","",_xlfn.XLOOKUP(B2597,'Form responses 1'!$B$2:$B$2604,'Form responses 1'!$D$2:$D$2604,""))</f>
        <v/>
      </c>
      <c r="G2597" s="44" t="str">
        <f t="array" ref="G2597">IF(B2597="","",_xlfn.XLOOKUP(B2597,'Form responses 1'!$B$2:$B$2604,'Form responses 1'!$E$2:$E$2604,""))</f>
        <v/>
      </c>
      <c r="H2597" s="44" t="str">
        <f t="array" ref="H2597">IF(B2597="","",_xlfn.XLOOKUP(B2597,'Form responses 1'!$B$2:$B$2604,'Form responses 1'!$F$2:$F$2604,""))</f>
        <v/>
      </c>
      <c r="I2597" s="44" t="str">
        <f t="array" ref="I2597">IF(B2597="","",_xlfn.XLOOKUP(B2597,'Form responses 1'!$B$2:$B$2604,'Form responses 1'!$I$2:$I$2604,""))</f>
        <v/>
      </c>
      <c r="J2597" s="44" t="str">
        <f t="array" ref="J2597">IF(B2597="","",_xlfn.XLOOKUP(B2597,'Form responses 1'!$B$2:$B$2604,'Form responses 1'!$G$2:$G$2604,""))</f>
        <v/>
      </c>
      <c r="K2597" s="56"/>
      <c r="L2597" s="58" t="str">
        <f t="shared" si="7"/>
        <v/>
      </c>
      <c r="M2597" s="49"/>
      <c r="N2597" s="49"/>
      <c r="O2597" s="49"/>
      <c r="P2597" s="49"/>
      <c r="Q2597" s="49"/>
      <c r="R2597" s="49"/>
      <c r="S2597" s="49"/>
      <c r="T2597" s="49"/>
      <c r="U2597" s="49"/>
      <c r="V2597" s="49"/>
      <c r="W2597" s="56"/>
      <c r="X2597" s="51" t="str">
        <f t="shared" si="5"/>
        <v/>
      </c>
      <c r="Y2597" s="50" t="s">
        <v>482</v>
      </c>
      <c r="Z2597" s="49">
        <f t="shared" si="6"/>
        <v>0</v>
      </c>
    </row>
    <row r="2598" ht="22.5" customHeight="1">
      <c r="B2598" s="57"/>
      <c r="C2598" s="43" t="str">
        <f t="array" ref="C2598">IF(B2598="","",_xlfn.XLOOKUP(B2598,'Form responses 1'!$B$2:$B$2604,'Form responses 1'!$A$2:$A$2604,""))</f>
        <v/>
      </c>
      <c r="D2598" s="44" t="str">
        <f t="shared" si="3"/>
        <v/>
      </c>
      <c r="E2598" s="44" t="str">
        <f t="array" ref="E2598">IF(B2598="","",_xlfn.XLOOKUP(B2598,'Form responses 1'!$B$2:$B$2604,'Form responses 1'!$C$2:$C$2604,""))</f>
        <v/>
      </c>
      <c r="F2598" s="44" t="str">
        <f t="array" ref="F2598">IF(B2598="","",_xlfn.XLOOKUP(B2598,'Form responses 1'!$B$2:$B$2604,'Form responses 1'!$D$2:$D$2604,""))</f>
        <v/>
      </c>
      <c r="G2598" s="44" t="str">
        <f t="array" ref="G2598">IF(B2598="","",_xlfn.XLOOKUP(B2598,'Form responses 1'!$B$2:$B$2604,'Form responses 1'!$E$2:$E$2604,""))</f>
        <v/>
      </c>
      <c r="H2598" s="44" t="str">
        <f t="array" ref="H2598">IF(B2598="","",_xlfn.XLOOKUP(B2598,'Form responses 1'!$B$2:$B$2604,'Form responses 1'!$F$2:$F$2604,""))</f>
        <v/>
      </c>
      <c r="I2598" s="44" t="str">
        <f t="array" ref="I2598">IF(B2598="","",_xlfn.XLOOKUP(B2598,'Form responses 1'!$B$2:$B$2604,'Form responses 1'!$I$2:$I$2604,""))</f>
        <v/>
      </c>
      <c r="J2598" s="44" t="str">
        <f t="array" ref="J2598">IF(B2598="","",_xlfn.XLOOKUP(B2598,'Form responses 1'!$B$2:$B$2604,'Form responses 1'!$G$2:$G$2604,""))</f>
        <v/>
      </c>
      <c r="K2598" s="56"/>
      <c r="L2598" s="58" t="str">
        <f t="shared" si="7"/>
        <v/>
      </c>
      <c r="M2598" s="49"/>
      <c r="N2598" s="49"/>
      <c r="O2598" s="49"/>
      <c r="P2598" s="49"/>
      <c r="Q2598" s="49"/>
      <c r="R2598" s="49"/>
      <c r="S2598" s="49"/>
      <c r="T2598" s="49"/>
      <c r="U2598" s="49"/>
      <c r="V2598" s="49"/>
      <c r="W2598" s="56"/>
      <c r="X2598" s="51" t="str">
        <f t="shared" si="5"/>
        <v/>
      </c>
      <c r="Y2598" s="50" t="s">
        <v>482</v>
      </c>
      <c r="Z2598" s="49">
        <f t="shared" si="6"/>
        <v>0</v>
      </c>
    </row>
    <row r="2599" ht="22.5" customHeight="1">
      <c r="B2599" s="57"/>
      <c r="C2599" s="43" t="str">
        <f t="array" ref="C2599">IF(B2599="","",_xlfn.XLOOKUP(B2599,'Form responses 1'!$B$2:$B$2604,'Form responses 1'!$A$2:$A$2604,""))</f>
        <v/>
      </c>
      <c r="D2599" s="44" t="str">
        <f t="shared" si="3"/>
        <v/>
      </c>
      <c r="E2599" s="44" t="str">
        <f t="array" ref="E2599">IF(B2599="","",_xlfn.XLOOKUP(B2599,'Form responses 1'!$B$2:$B$2604,'Form responses 1'!$C$2:$C$2604,""))</f>
        <v/>
      </c>
      <c r="F2599" s="44" t="str">
        <f t="array" ref="F2599">IF(B2599="","",_xlfn.XLOOKUP(B2599,'Form responses 1'!$B$2:$B$2604,'Form responses 1'!$D$2:$D$2604,""))</f>
        <v/>
      </c>
      <c r="G2599" s="44" t="str">
        <f t="array" ref="G2599">IF(B2599="","",_xlfn.XLOOKUP(B2599,'Form responses 1'!$B$2:$B$2604,'Form responses 1'!$E$2:$E$2604,""))</f>
        <v/>
      </c>
      <c r="H2599" s="44" t="str">
        <f t="array" ref="H2599">IF(B2599="","",_xlfn.XLOOKUP(B2599,'Form responses 1'!$B$2:$B$2604,'Form responses 1'!$F$2:$F$2604,""))</f>
        <v/>
      </c>
      <c r="I2599" s="44" t="str">
        <f t="array" ref="I2599">IF(B2599="","",_xlfn.XLOOKUP(B2599,'Form responses 1'!$B$2:$B$2604,'Form responses 1'!$I$2:$I$2604,""))</f>
        <v/>
      </c>
      <c r="J2599" s="44" t="str">
        <f t="array" ref="J2599">IF(B2599="","",_xlfn.XLOOKUP(B2599,'Form responses 1'!$B$2:$B$2604,'Form responses 1'!$G$2:$G$2604,""))</f>
        <v/>
      </c>
      <c r="K2599" s="56"/>
      <c r="L2599" s="58" t="str">
        <f t="shared" si="7"/>
        <v/>
      </c>
      <c r="M2599" s="49"/>
      <c r="N2599" s="49"/>
      <c r="O2599" s="49"/>
      <c r="P2599" s="49"/>
      <c r="Q2599" s="49"/>
      <c r="R2599" s="49"/>
      <c r="S2599" s="49"/>
      <c r="T2599" s="49"/>
      <c r="U2599" s="49"/>
      <c r="V2599" s="49"/>
      <c r="W2599" s="56"/>
      <c r="X2599" s="51" t="str">
        <f t="shared" si="5"/>
        <v/>
      </c>
      <c r="Y2599" s="50" t="s">
        <v>482</v>
      </c>
      <c r="Z2599" s="49">
        <f t="shared" si="6"/>
        <v>0</v>
      </c>
    </row>
    <row r="2600" ht="22.5" customHeight="1">
      <c r="B2600" s="57"/>
      <c r="C2600" s="43" t="str">
        <f t="array" ref="C2600">IF(B2600="","",_xlfn.XLOOKUP(B2600,'Form responses 1'!$B$2:$B$2604,'Form responses 1'!$A$2:$A$2604,""))</f>
        <v/>
      </c>
      <c r="D2600" s="44" t="str">
        <f t="shared" si="3"/>
        <v/>
      </c>
      <c r="E2600" s="44" t="str">
        <f t="array" ref="E2600">IF(B2600="","",_xlfn.XLOOKUP(B2600,'Form responses 1'!$B$2:$B$2604,'Form responses 1'!$C$2:$C$2604,""))</f>
        <v/>
      </c>
      <c r="F2600" s="44" t="str">
        <f t="array" ref="F2600">IF(B2600="","",_xlfn.XLOOKUP(B2600,'Form responses 1'!$B$2:$B$2604,'Form responses 1'!$D$2:$D$2604,""))</f>
        <v/>
      </c>
      <c r="G2600" s="44" t="str">
        <f t="array" ref="G2600">IF(B2600="","",_xlfn.XLOOKUP(B2600,'Form responses 1'!$B$2:$B$2604,'Form responses 1'!$E$2:$E$2604,""))</f>
        <v/>
      </c>
      <c r="H2600" s="44" t="str">
        <f t="array" ref="H2600">IF(B2600="","",_xlfn.XLOOKUP(B2600,'Form responses 1'!$B$2:$B$2604,'Form responses 1'!$F$2:$F$2604,""))</f>
        <v/>
      </c>
      <c r="I2600" s="44" t="str">
        <f t="array" ref="I2600">IF(B2600="","",_xlfn.XLOOKUP(B2600,'Form responses 1'!$B$2:$B$2604,'Form responses 1'!$I$2:$I$2604,""))</f>
        <v/>
      </c>
      <c r="J2600" s="44" t="str">
        <f t="array" ref="J2600">IF(B2600="","",_xlfn.XLOOKUP(B2600,'Form responses 1'!$B$2:$B$2604,'Form responses 1'!$G$2:$G$2604,""))</f>
        <v/>
      </c>
      <c r="K2600" s="56"/>
      <c r="L2600" s="58" t="str">
        <f t="shared" si="7"/>
        <v/>
      </c>
      <c r="M2600" s="49"/>
      <c r="N2600" s="49"/>
      <c r="O2600" s="49"/>
      <c r="P2600" s="49"/>
      <c r="Q2600" s="49"/>
      <c r="R2600" s="49"/>
      <c r="S2600" s="49"/>
      <c r="T2600" s="49"/>
      <c r="U2600" s="49"/>
      <c r="V2600" s="49"/>
      <c r="W2600" s="56"/>
      <c r="X2600" s="51" t="str">
        <f t="shared" si="5"/>
        <v/>
      </c>
      <c r="Y2600" s="50" t="s">
        <v>482</v>
      </c>
      <c r="Z2600" s="49">
        <f t="shared" si="6"/>
        <v>0</v>
      </c>
    </row>
    <row r="2601" ht="22.5" customHeight="1">
      <c r="B2601" s="57"/>
      <c r="C2601" s="43" t="str">
        <f t="array" ref="C2601">IF(B2601="","",_xlfn.XLOOKUP(B2601,'Form responses 1'!$B$2:$B$2604,'Form responses 1'!$A$2:$A$2604,""))</f>
        <v/>
      </c>
      <c r="D2601" s="44" t="str">
        <f t="shared" si="3"/>
        <v/>
      </c>
      <c r="E2601" s="44" t="str">
        <f t="array" ref="E2601">IF(B2601="","",_xlfn.XLOOKUP(B2601,'Form responses 1'!$B$2:$B$2604,'Form responses 1'!$C$2:$C$2604,""))</f>
        <v/>
      </c>
      <c r="F2601" s="44" t="str">
        <f t="array" ref="F2601">IF(B2601="","",_xlfn.XLOOKUP(B2601,'Form responses 1'!$B$2:$B$2604,'Form responses 1'!$D$2:$D$2604,""))</f>
        <v/>
      </c>
      <c r="G2601" s="44" t="str">
        <f t="array" ref="G2601">IF(B2601="","",_xlfn.XLOOKUP(B2601,'Form responses 1'!$B$2:$B$2604,'Form responses 1'!$E$2:$E$2604,""))</f>
        <v/>
      </c>
      <c r="H2601" s="44" t="str">
        <f t="array" ref="H2601">IF(B2601="","",_xlfn.XLOOKUP(B2601,'Form responses 1'!$B$2:$B$2604,'Form responses 1'!$F$2:$F$2604,""))</f>
        <v/>
      </c>
      <c r="I2601" s="44" t="str">
        <f t="array" ref="I2601">IF(B2601="","",_xlfn.XLOOKUP(B2601,'Form responses 1'!$B$2:$B$2604,'Form responses 1'!$I$2:$I$2604,""))</f>
        <v/>
      </c>
      <c r="J2601" s="44" t="str">
        <f t="array" ref="J2601">IF(B2601="","",_xlfn.XLOOKUP(B2601,'Form responses 1'!$B$2:$B$2604,'Form responses 1'!$G$2:$G$2604,""))</f>
        <v/>
      </c>
      <c r="K2601" s="56"/>
      <c r="L2601" s="58" t="str">
        <f t="shared" si="7"/>
        <v/>
      </c>
      <c r="M2601" s="49"/>
      <c r="N2601" s="49"/>
      <c r="O2601" s="49"/>
      <c r="P2601" s="49"/>
      <c r="Q2601" s="49"/>
      <c r="R2601" s="49"/>
      <c r="S2601" s="49"/>
      <c r="T2601" s="49"/>
      <c r="U2601" s="49"/>
      <c r="V2601" s="49"/>
      <c r="W2601" s="56"/>
      <c r="X2601" s="51" t="str">
        <f t="shared" si="5"/>
        <v/>
      </c>
      <c r="Y2601" s="50" t="s">
        <v>482</v>
      </c>
      <c r="Z2601" s="49">
        <f t="shared" si="6"/>
        <v>0</v>
      </c>
    </row>
    <row r="2602" ht="22.5" customHeight="1">
      <c r="B2602" s="57"/>
      <c r="C2602" s="43" t="str">
        <f t="array" ref="C2602">IF(B2602="","",_xlfn.XLOOKUP(B2602,'Form responses 1'!$B$2:$B$2604,'Form responses 1'!$A$2:$A$2604,""))</f>
        <v/>
      </c>
      <c r="D2602" s="44" t="str">
        <f t="shared" si="3"/>
        <v/>
      </c>
      <c r="E2602" s="44" t="str">
        <f t="array" ref="E2602">IF(B2602="","",_xlfn.XLOOKUP(B2602,'Form responses 1'!$B$2:$B$2604,'Form responses 1'!$C$2:$C$2604,""))</f>
        <v/>
      </c>
      <c r="F2602" s="44" t="str">
        <f t="array" ref="F2602">IF(B2602="","",_xlfn.XLOOKUP(B2602,'Form responses 1'!$B$2:$B$2604,'Form responses 1'!$D$2:$D$2604,""))</f>
        <v/>
      </c>
      <c r="G2602" s="44" t="str">
        <f t="array" ref="G2602">IF(B2602="","",_xlfn.XLOOKUP(B2602,'Form responses 1'!$B$2:$B$2604,'Form responses 1'!$E$2:$E$2604,""))</f>
        <v/>
      </c>
      <c r="H2602" s="44" t="str">
        <f t="array" ref="H2602">IF(B2602="","",_xlfn.XLOOKUP(B2602,'Form responses 1'!$B$2:$B$2604,'Form responses 1'!$F$2:$F$2604,""))</f>
        <v/>
      </c>
      <c r="I2602" s="44" t="str">
        <f t="array" ref="I2602">IF(B2602="","",_xlfn.XLOOKUP(B2602,'Form responses 1'!$B$2:$B$2604,'Form responses 1'!$I$2:$I$2604,""))</f>
        <v/>
      </c>
      <c r="J2602" s="44" t="str">
        <f t="array" ref="J2602">IF(B2602="","",_xlfn.XLOOKUP(B2602,'Form responses 1'!$B$2:$B$2604,'Form responses 1'!$G$2:$G$2604,""))</f>
        <v/>
      </c>
      <c r="K2602" s="56"/>
      <c r="L2602" s="58" t="str">
        <f t="shared" si="7"/>
        <v/>
      </c>
      <c r="M2602" s="49"/>
      <c r="N2602" s="49"/>
      <c r="O2602" s="49"/>
      <c r="P2602" s="49"/>
      <c r="Q2602" s="49"/>
      <c r="R2602" s="49"/>
      <c r="S2602" s="49"/>
      <c r="T2602" s="49"/>
      <c r="U2602" s="49"/>
      <c r="V2602" s="49"/>
      <c r="W2602" s="56"/>
      <c r="X2602" s="51" t="str">
        <f t="shared" si="5"/>
        <v/>
      </c>
      <c r="Y2602" s="50" t="s">
        <v>482</v>
      </c>
      <c r="Z2602" s="49">
        <f t="shared" si="6"/>
        <v>0</v>
      </c>
    </row>
    <row r="2603" ht="22.5" customHeight="1">
      <c r="B2603" s="57"/>
      <c r="C2603" s="43" t="str">
        <f t="array" ref="C2603">IF(B2603="","",_xlfn.XLOOKUP(B2603,'Form responses 1'!$B$2:$B$2604,'Form responses 1'!$A$2:$A$2604,""))</f>
        <v/>
      </c>
      <c r="D2603" s="44" t="str">
        <f t="shared" si="3"/>
        <v/>
      </c>
      <c r="E2603" s="44" t="str">
        <f t="array" ref="E2603">IF(B2603="","",_xlfn.XLOOKUP(B2603,'Form responses 1'!$B$2:$B$2604,'Form responses 1'!$C$2:$C$2604,""))</f>
        <v/>
      </c>
      <c r="F2603" s="44" t="str">
        <f t="array" ref="F2603">IF(B2603="","",_xlfn.XLOOKUP(B2603,'Form responses 1'!$B$2:$B$2604,'Form responses 1'!$D$2:$D$2604,""))</f>
        <v/>
      </c>
      <c r="G2603" s="44" t="str">
        <f t="array" ref="G2603">IF(B2603="","",_xlfn.XLOOKUP(B2603,'Form responses 1'!$B$2:$B$2604,'Form responses 1'!$E$2:$E$2604,""))</f>
        <v/>
      </c>
      <c r="H2603" s="44" t="str">
        <f t="array" ref="H2603">IF(B2603="","",_xlfn.XLOOKUP(B2603,'Form responses 1'!$B$2:$B$2604,'Form responses 1'!$F$2:$F$2604,""))</f>
        <v/>
      </c>
      <c r="I2603" s="44" t="str">
        <f t="array" ref="I2603">IF(B2603="","",_xlfn.XLOOKUP(B2603,'Form responses 1'!$B$2:$B$2604,'Form responses 1'!$I$2:$I$2604,""))</f>
        <v/>
      </c>
      <c r="J2603" s="44" t="str">
        <f t="array" ref="J2603">IF(B2603="","",_xlfn.XLOOKUP(B2603,'Form responses 1'!$B$2:$B$2604,'Form responses 1'!$G$2:$G$2604,""))</f>
        <v/>
      </c>
      <c r="K2603" s="56"/>
      <c r="L2603" s="58" t="str">
        <f t="shared" si="7"/>
        <v/>
      </c>
      <c r="M2603" s="49"/>
      <c r="N2603" s="49"/>
      <c r="O2603" s="49"/>
      <c r="P2603" s="49"/>
      <c r="Q2603" s="49"/>
      <c r="R2603" s="49"/>
      <c r="S2603" s="49"/>
      <c r="T2603" s="49"/>
      <c r="U2603" s="49"/>
      <c r="V2603" s="49"/>
      <c r="W2603" s="56"/>
      <c r="X2603" s="51" t="str">
        <f t="shared" si="5"/>
        <v/>
      </c>
      <c r="Y2603" s="50" t="s">
        <v>482</v>
      </c>
      <c r="Z2603" s="49">
        <f t="shared" si="6"/>
        <v>0</v>
      </c>
    </row>
    <row r="2604" ht="22.5" customHeight="1">
      <c r="B2604" s="57"/>
      <c r="C2604" s="43" t="str">
        <f t="array" ref="C2604">IF(B2604="","",_xlfn.XLOOKUP(B2604,'Form responses 1'!$B$2:$B$2604,'Form responses 1'!$A$2:$A$2604,""))</f>
        <v/>
      </c>
      <c r="D2604" s="44" t="str">
        <f t="shared" si="3"/>
        <v/>
      </c>
      <c r="E2604" s="44" t="str">
        <f t="array" ref="E2604">IF(B2604="","",_xlfn.XLOOKUP(B2604,'Form responses 1'!$B$2:$B$2604,'Form responses 1'!$C$2:$C$2604,""))</f>
        <v/>
      </c>
      <c r="F2604" s="44" t="str">
        <f t="array" ref="F2604">IF(B2604="","",_xlfn.XLOOKUP(B2604,'Form responses 1'!$B$2:$B$2604,'Form responses 1'!$D$2:$D$2604,""))</f>
        <v/>
      </c>
      <c r="G2604" s="44" t="str">
        <f t="array" ref="G2604">IF(B2604="","",_xlfn.XLOOKUP(B2604,'Form responses 1'!$B$2:$B$2604,'Form responses 1'!$E$2:$E$2604,""))</f>
        <v/>
      </c>
      <c r="H2604" s="44" t="str">
        <f t="array" ref="H2604">IF(B2604="","",_xlfn.XLOOKUP(B2604,'Form responses 1'!$B$2:$B$2604,'Form responses 1'!$F$2:$F$2604,""))</f>
        <v/>
      </c>
      <c r="I2604" s="44" t="str">
        <f t="array" ref="I2604">IF(B2604="","",_xlfn.XLOOKUP(B2604,'Form responses 1'!$B$2:$B$2604,'Form responses 1'!$I$2:$I$2604,""))</f>
        <v/>
      </c>
      <c r="J2604" s="44" t="str">
        <f t="array" ref="J2604">IF(B2604="","",_xlfn.XLOOKUP(B2604,'Form responses 1'!$B$2:$B$2604,'Form responses 1'!$G$2:$G$2604,""))</f>
        <v/>
      </c>
      <c r="K2604" s="56"/>
      <c r="L2604" s="58" t="str">
        <f t="shared" si="7"/>
        <v/>
      </c>
      <c r="M2604" s="49"/>
      <c r="N2604" s="49"/>
      <c r="O2604" s="49"/>
      <c r="P2604" s="49"/>
      <c r="Q2604" s="49"/>
      <c r="R2604" s="49"/>
      <c r="S2604" s="49"/>
      <c r="T2604" s="49"/>
      <c r="U2604" s="49"/>
      <c r="V2604" s="49"/>
      <c r="W2604" s="56"/>
      <c r="X2604" s="51" t="str">
        <f t="shared" si="5"/>
        <v/>
      </c>
      <c r="Y2604" s="50" t="s">
        <v>482</v>
      </c>
      <c r="Z2604" s="49">
        <f t="shared" si="6"/>
        <v>0</v>
      </c>
    </row>
    <row r="2605" ht="22.5" customHeight="1">
      <c r="B2605" s="57"/>
      <c r="C2605" s="43" t="str">
        <f t="array" ref="C2605">IF(B2605="","",_xlfn.XLOOKUP(B2605,'Form responses 1'!$B$2:$B$2604,'Form responses 1'!$A$2:$A$2604,""))</f>
        <v/>
      </c>
      <c r="D2605" s="44" t="str">
        <f t="shared" si="3"/>
        <v/>
      </c>
      <c r="E2605" s="44" t="str">
        <f t="array" ref="E2605">IF(B2605="","",_xlfn.XLOOKUP(B2605,'Form responses 1'!$B$2:$B$2604,'Form responses 1'!$C$2:$C$2604,""))</f>
        <v/>
      </c>
      <c r="F2605" s="44" t="str">
        <f t="array" ref="F2605">IF(B2605="","",_xlfn.XLOOKUP(B2605,'Form responses 1'!$B$2:$B$2604,'Form responses 1'!$D$2:$D$2604,""))</f>
        <v/>
      </c>
      <c r="G2605" s="44" t="str">
        <f t="array" ref="G2605">IF(B2605="","",_xlfn.XLOOKUP(B2605,'Form responses 1'!$B$2:$B$2604,'Form responses 1'!$E$2:$E$2604,""))</f>
        <v/>
      </c>
      <c r="H2605" s="44" t="str">
        <f t="array" ref="H2605">IF(B2605="","",_xlfn.XLOOKUP(B2605,'Form responses 1'!$B$2:$B$2604,'Form responses 1'!$F$2:$F$2604,""))</f>
        <v/>
      </c>
      <c r="I2605" s="44" t="str">
        <f t="array" ref="I2605">IF(B2605="","",_xlfn.XLOOKUP(B2605,'Form responses 1'!$B$2:$B$2604,'Form responses 1'!$I$2:$I$2604,""))</f>
        <v/>
      </c>
      <c r="J2605" s="44" t="str">
        <f t="array" ref="J2605">IF(B2605="","",_xlfn.XLOOKUP(B2605,'Form responses 1'!$B$2:$B$2604,'Form responses 1'!$G$2:$G$2604,""))</f>
        <v/>
      </c>
      <c r="K2605" s="56"/>
      <c r="L2605" s="58" t="str">
        <f t="shared" si="7"/>
        <v/>
      </c>
      <c r="M2605" s="49"/>
      <c r="N2605" s="49"/>
      <c r="O2605" s="49"/>
      <c r="P2605" s="49"/>
      <c r="Q2605" s="49"/>
      <c r="R2605" s="49"/>
      <c r="S2605" s="49"/>
      <c r="T2605" s="49"/>
      <c r="U2605" s="49"/>
      <c r="V2605" s="49"/>
      <c r="W2605" s="56"/>
      <c r="X2605" s="51" t="str">
        <f t="shared" si="5"/>
        <v/>
      </c>
      <c r="Y2605" s="50" t="s">
        <v>482</v>
      </c>
      <c r="Z2605" s="49">
        <f t="shared" si="6"/>
        <v>0</v>
      </c>
    </row>
    <row r="2606" ht="22.5" customHeight="1">
      <c r="B2606" s="57"/>
      <c r="C2606" s="43" t="str">
        <f t="array" ref="C2606">IF(B2606="","",_xlfn.XLOOKUP(B2606,'Form responses 1'!$B$2:$B$2604,'Form responses 1'!$A$2:$A$2604,""))</f>
        <v/>
      </c>
      <c r="D2606" s="44" t="str">
        <f t="shared" si="3"/>
        <v/>
      </c>
      <c r="E2606" s="44" t="str">
        <f t="array" ref="E2606">IF(B2606="","",_xlfn.XLOOKUP(B2606,'Form responses 1'!$B$2:$B$2604,'Form responses 1'!$C$2:$C$2604,""))</f>
        <v/>
      </c>
      <c r="F2606" s="44" t="str">
        <f t="array" ref="F2606">IF(B2606="","",_xlfn.XLOOKUP(B2606,'Form responses 1'!$B$2:$B$2604,'Form responses 1'!$D$2:$D$2604,""))</f>
        <v/>
      </c>
      <c r="G2606" s="44" t="str">
        <f t="array" ref="G2606">IF(B2606="","",_xlfn.XLOOKUP(B2606,'Form responses 1'!$B$2:$B$2604,'Form responses 1'!$E$2:$E$2604,""))</f>
        <v/>
      </c>
      <c r="H2606" s="44" t="str">
        <f t="array" ref="H2606">IF(B2606="","",_xlfn.XLOOKUP(B2606,'Form responses 1'!$B$2:$B$2604,'Form responses 1'!$F$2:$F$2604,""))</f>
        <v/>
      </c>
      <c r="I2606" s="44" t="str">
        <f t="array" ref="I2606">IF(B2606="","",_xlfn.XLOOKUP(B2606,'Form responses 1'!$B$2:$B$2604,'Form responses 1'!$I$2:$I$2604,""))</f>
        <v/>
      </c>
      <c r="J2606" s="44" t="str">
        <f t="array" ref="J2606">IF(B2606="","",_xlfn.XLOOKUP(B2606,'Form responses 1'!$B$2:$B$2604,'Form responses 1'!$G$2:$G$2604,""))</f>
        <v/>
      </c>
      <c r="K2606" s="56"/>
      <c r="L2606" s="58" t="str">
        <f t="shared" si="7"/>
        <v/>
      </c>
      <c r="M2606" s="49"/>
      <c r="N2606" s="49"/>
      <c r="O2606" s="49"/>
      <c r="P2606" s="49"/>
      <c r="Q2606" s="49"/>
      <c r="R2606" s="49"/>
      <c r="S2606" s="49"/>
      <c r="T2606" s="49"/>
      <c r="U2606" s="49"/>
      <c r="V2606" s="49"/>
      <c r="W2606" s="56"/>
      <c r="X2606" s="51" t="str">
        <f t="shared" si="5"/>
        <v/>
      </c>
      <c r="Y2606" s="50" t="s">
        <v>482</v>
      </c>
      <c r="Z2606" s="49">
        <f t="shared" si="6"/>
        <v>0</v>
      </c>
    </row>
    <row r="2607" ht="22.5" customHeight="1">
      <c r="B2607" s="57"/>
      <c r="C2607" s="43" t="str">
        <f t="array" ref="C2607">IF(B2607="","",_xlfn.XLOOKUP(B2607,'Form responses 1'!$B$2:$B$2604,'Form responses 1'!$A$2:$A$2604,""))</f>
        <v/>
      </c>
      <c r="D2607" s="44" t="str">
        <f t="shared" si="3"/>
        <v/>
      </c>
      <c r="E2607" s="44" t="str">
        <f t="array" ref="E2607">IF(B2607="","",_xlfn.XLOOKUP(B2607,'Form responses 1'!$B$2:$B$2604,'Form responses 1'!$C$2:$C$2604,""))</f>
        <v/>
      </c>
      <c r="F2607" s="44" t="str">
        <f t="array" ref="F2607">IF(B2607="","",_xlfn.XLOOKUP(B2607,'Form responses 1'!$B$2:$B$2604,'Form responses 1'!$D$2:$D$2604,""))</f>
        <v/>
      </c>
      <c r="G2607" s="44" t="str">
        <f t="array" ref="G2607">IF(B2607="","",_xlfn.XLOOKUP(B2607,'Form responses 1'!$B$2:$B$2604,'Form responses 1'!$E$2:$E$2604,""))</f>
        <v/>
      </c>
      <c r="H2607" s="44" t="str">
        <f t="array" ref="H2607">IF(B2607="","",_xlfn.XLOOKUP(B2607,'Form responses 1'!$B$2:$B$2604,'Form responses 1'!$F$2:$F$2604,""))</f>
        <v/>
      </c>
      <c r="I2607" s="44" t="str">
        <f t="array" ref="I2607">IF(B2607="","",_xlfn.XLOOKUP(B2607,'Form responses 1'!$B$2:$B$2604,'Form responses 1'!$I$2:$I$2604,""))</f>
        <v/>
      </c>
      <c r="J2607" s="44" t="str">
        <f t="array" ref="J2607">IF(B2607="","",_xlfn.XLOOKUP(B2607,'Form responses 1'!$B$2:$B$2604,'Form responses 1'!$G$2:$G$2604,""))</f>
        <v/>
      </c>
      <c r="K2607" s="56"/>
      <c r="L2607" s="58" t="str">
        <f t="shared" si="7"/>
        <v/>
      </c>
      <c r="M2607" s="49"/>
      <c r="N2607" s="49"/>
      <c r="O2607" s="49"/>
      <c r="P2607" s="49"/>
      <c r="Q2607" s="49"/>
      <c r="R2607" s="49"/>
      <c r="S2607" s="49"/>
      <c r="T2607" s="49"/>
      <c r="U2607" s="49"/>
      <c r="V2607" s="49"/>
      <c r="W2607" s="56"/>
      <c r="X2607" s="51" t="str">
        <f t="shared" si="5"/>
        <v/>
      </c>
      <c r="Y2607" s="50" t="s">
        <v>482</v>
      </c>
      <c r="Z2607" s="49">
        <f t="shared" si="6"/>
        <v>0</v>
      </c>
    </row>
    <row r="2608" ht="22.5" customHeight="1">
      <c r="B2608" s="57"/>
      <c r="C2608" s="43" t="str">
        <f t="array" ref="C2608">IF(B2608="","",_xlfn.XLOOKUP(B2608,'Form responses 1'!$B$2:$B$2604,'Form responses 1'!$A$2:$A$2604,""))</f>
        <v/>
      </c>
      <c r="D2608" s="44" t="str">
        <f t="shared" si="3"/>
        <v/>
      </c>
      <c r="E2608" s="44" t="str">
        <f t="array" ref="E2608">IF(B2608="","",_xlfn.XLOOKUP(B2608,'Form responses 1'!$B$2:$B$2604,'Form responses 1'!$C$2:$C$2604,""))</f>
        <v/>
      </c>
      <c r="F2608" s="44" t="str">
        <f t="array" ref="F2608">IF(B2608="","",_xlfn.XLOOKUP(B2608,'Form responses 1'!$B$2:$B$2604,'Form responses 1'!$D$2:$D$2604,""))</f>
        <v/>
      </c>
      <c r="G2608" s="44" t="str">
        <f t="array" ref="G2608">IF(B2608="","",_xlfn.XLOOKUP(B2608,'Form responses 1'!$B$2:$B$2604,'Form responses 1'!$E$2:$E$2604,""))</f>
        <v/>
      </c>
      <c r="H2608" s="44" t="str">
        <f t="array" ref="H2608">IF(B2608="","",_xlfn.XLOOKUP(B2608,'Form responses 1'!$B$2:$B$2604,'Form responses 1'!$F$2:$F$2604,""))</f>
        <v/>
      </c>
      <c r="I2608" s="44" t="str">
        <f t="array" ref="I2608">IF(B2608="","",_xlfn.XLOOKUP(B2608,'Form responses 1'!$B$2:$B$2604,'Form responses 1'!$I$2:$I$2604,""))</f>
        <v/>
      </c>
      <c r="J2608" s="44" t="str">
        <f t="array" ref="J2608">IF(B2608="","",_xlfn.XLOOKUP(B2608,'Form responses 1'!$B$2:$B$2604,'Form responses 1'!$G$2:$G$2604,""))</f>
        <v/>
      </c>
      <c r="K2608" s="56"/>
      <c r="L2608" s="58" t="str">
        <f t="shared" si="7"/>
        <v/>
      </c>
      <c r="M2608" s="49"/>
      <c r="N2608" s="49"/>
      <c r="O2608" s="49"/>
      <c r="P2608" s="49"/>
      <c r="Q2608" s="49"/>
      <c r="R2608" s="49"/>
      <c r="S2608" s="49"/>
      <c r="T2608" s="49"/>
      <c r="U2608" s="49"/>
      <c r="V2608" s="49"/>
      <c r="W2608" s="56"/>
      <c r="X2608" s="51" t="str">
        <f t="shared" si="5"/>
        <v/>
      </c>
      <c r="Y2608" s="50" t="s">
        <v>482</v>
      </c>
      <c r="Z2608" s="49">
        <f t="shared" si="6"/>
        <v>0</v>
      </c>
    </row>
    <row r="2609" ht="22.5" customHeight="1">
      <c r="B2609" s="57"/>
      <c r="C2609" s="43" t="str">
        <f t="array" ref="C2609">IF(B2609="","",_xlfn.XLOOKUP(B2609,'Form responses 1'!$B$2:$B$2604,'Form responses 1'!$A$2:$A$2604,""))</f>
        <v/>
      </c>
      <c r="D2609" s="44" t="str">
        <f t="shared" si="3"/>
        <v/>
      </c>
      <c r="E2609" s="44" t="str">
        <f t="array" ref="E2609">IF(B2609="","",_xlfn.XLOOKUP(B2609,'Form responses 1'!$B$2:$B$2604,'Form responses 1'!$C$2:$C$2604,""))</f>
        <v/>
      </c>
      <c r="F2609" s="44" t="str">
        <f t="array" ref="F2609">IF(B2609="","",_xlfn.XLOOKUP(B2609,'Form responses 1'!$B$2:$B$2604,'Form responses 1'!$D$2:$D$2604,""))</f>
        <v/>
      </c>
      <c r="G2609" s="44" t="str">
        <f t="array" ref="G2609">IF(B2609="","",_xlfn.XLOOKUP(B2609,'Form responses 1'!$B$2:$B$2604,'Form responses 1'!$E$2:$E$2604,""))</f>
        <v/>
      </c>
      <c r="H2609" s="44" t="str">
        <f t="array" ref="H2609">IF(B2609="","",_xlfn.XLOOKUP(B2609,'Form responses 1'!$B$2:$B$2604,'Form responses 1'!$F$2:$F$2604,""))</f>
        <v/>
      </c>
      <c r="I2609" s="44" t="str">
        <f t="array" ref="I2609">IF(B2609="","",_xlfn.XLOOKUP(B2609,'Form responses 1'!$B$2:$B$2604,'Form responses 1'!$I$2:$I$2604,""))</f>
        <v/>
      </c>
      <c r="J2609" s="44" t="str">
        <f t="array" ref="J2609">IF(B2609="","",_xlfn.XLOOKUP(B2609,'Form responses 1'!$B$2:$B$2604,'Form responses 1'!$G$2:$G$2604,""))</f>
        <v/>
      </c>
      <c r="K2609" s="56"/>
      <c r="L2609" s="58" t="str">
        <f t="shared" si="7"/>
        <v/>
      </c>
      <c r="M2609" s="49"/>
      <c r="N2609" s="49"/>
      <c r="O2609" s="49"/>
      <c r="P2609" s="49"/>
      <c r="Q2609" s="49"/>
      <c r="R2609" s="49"/>
      <c r="S2609" s="49"/>
      <c r="T2609" s="49"/>
      <c r="U2609" s="49"/>
      <c r="V2609" s="49"/>
      <c r="W2609" s="56"/>
      <c r="X2609" s="51" t="str">
        <f t="shared" si="5"/>
        <v/>
      </c>
      <c r="Y2609" s="50" t="s">
        <v>482</v>
      </c>
      <c r="Z2609" s="49">
        <f t="shared" si="6"/>
        <v>0</v>
      </c>
    </row>
    <row r="2610" ht="22.5" customHeight="1">
      <c r="B2610" s="57"/>
      <c r="C2610" s="43" t="str">
        <f t="array" ref="C2610">IF(B2610="","",_xlfn.XLOOKUP(B2610,'Form responses 1'!$B$2:$B$2604,'Form responses 1'!$A$2:$A$2604,""))</f>
        <v/>
      </c>
      <c r="D2610" s="44" t="str">
        <f t="shared" si="3"/>
        <v/>
      </c>
      <c r="E2610" s="44" t="str">
        <f t="array" ref="E2610">IF(B2610="","",_xlfn.XLOOKUP(B2610,'Form responses 1'!$B$2:$B$2604,'Form responses 1'!$C$2:$C$2604,""))</f>
        <v/>
      </c>
      <c r="F2610" s="44" t="str">
        <f t="array" ref="F2610">IF(B2610="","",_xlfn.XLOOKUP(B2610,'Form responses 1'!$B$2:$B$2604,'Form responses 1'!$D$2:$D$2604,""))</f>
        <v/>
      </c>
      <c r="G2610" s="44" t="str">
        <f t="array" ref="G2610">IF(B2610="","",_xlfn.XLOOKUP(B2610,'Form responses 1'!$B$2:$B$2604,'Form responses 1'!$E$2:$E$2604,""))</f>
        <v/>
      </c>
      <c r="H2610" s="44" t="str">
        <f t="array" ref="H2610">IF(B2610="","",_xlfn.XLOOKUP(B2610,'Form responses 1'!$B$2:$B$2604,'Form responses 1'!$F$2:$F$2604,""))</f>
        <v/>
      </c>
      <c r="I2610" s="44" t="str">
        <f t="array" ref="I2610">IF(B2610="","",_xlfn.XLOOKUP(B2610,'Form responses 1'!$B$2:$B$2604,'Form responses 1'!$I$2:$I$2604,""))</f>
        <v/>
      </c>
      <c r="J2610" s="44" t="str">
        <f t="array" ref="J2610">IF(B2610="","",_xlfn.XLOOKUP(B2610,'Form responses 1'!$B$2:$B$2604,'Form responses 1'!$G$2:$G$2604,""))</f>
        <v/>
      </c>
      <c r="K2610" s="56"/>
      <c r="L2610" s="58" t="str">
        <f t="shared" si="7"/>
        <v/>
      </c>
      <c r="M2610" s="49"/>
      <c r="N2610" s="49"/>
      <c r="O2610" s="49"/>
      <c r="P2610" s="49"/>
      <c r="Q2610" s="49"/>
      <c r="R2610" s="49"/>
      <c r="S2610" s="49"/>
      <c r="T2610" s="49"/>
      <c r="U2610" s="49"/>
      <c r="V2610" s="49"/>
      <c r="W2610" s="56"/>
      <c r="X2610" s="51" t="str">
        <f t="shared" si="5"/>
        <v/>
      </c>
      <c r="Y2610" s="50" t="s">
        <v>482</v>
      </c>
      <c r="Z2610" s="49">
        <f t="shared" si="6"/>
        <v>0</v>
      </c>
    </row>
    <row r="2611" ht="22.5" customHeight="1">
      <c r="B2611" s="57"/>
      <c r="C2611" s="43" t="str">
        <f t="array" ref="C2611">IF(B2611="","",_xlfn.XLOOKUP(B2611,'Form responses 1'!$B$2:$B$2604,'Form responses 1'!$A$2:$A$2604,""))</f>
        <v/>
      </c>
      <c r="D2611" s="44" t="str">
        <f t="shared" si="3"/>
        <v/>
      </c>
      <c r="E2611" s="44" t="str">
        <f t="array" ref="E2611">IF(B2611="","",_xlfn.XLOOKUP(B2611,'Form responses 1'!$B$2:$B$2604,'Form responses 1'!$C$2:$C$2604,""))</f>
        <v/>
      </c>
      <c r="F2611" s="44" t="str">
        <f t="array" ref="F2611">IF(B2611="","",_xlfn.XLOOKUP(B2611,'Form responses 1'!$B$2:$B$2604,'Form responses 1'!$D$2:$D$2604,""))</f>
        <v/>
      </c>
      <c r="G2611" s="44" t="str">
        <f t="array" ref="G2611">IF(B2611="","",_xlfn.XLOOKUP(B2611,'Form responses 1'!$B$2:$B$2604,'Form responses 1'!$E$2:$E$2604,""))</f>
        <v/>
      </c>
      <c r="H2611" s="44" t="str">
        <f t="array" ref="H2611">IF(B2611="","",_xlfn.XLOOKUP(B2611,'Form responses 1'!$B$2:$B$2604,'Form responses 1'!$F$2:$F$2604,""))</f>
        <v/>
      </c>
      <c r="I2611" s="44" t="str">
        <f t="array" ref="I2611">IF(B2611="","",_xlfn.XLOOKUP(B2611,'Form responses 1'!$B$2:$B$2604,'Form responses 1'!$I$2:$I$2604,""))</f>
        <v/>
      </c>
      <c r="J2611" s="44" t="str">
        <f t="array" ref="J2611">IF(B2611="","",_xlfn.XLOOKUP(B2611,'Form responses 1'!$B$2:$B$2604,'Form responses 1'!$G$2:$G$2604,""))</f>
        <v/>
      </c>
      <c r="K2611" s="56"/>
      <c r="L2611" s="58" t="str">
        <f t="shared" si="7"/>
        <v/>
      </c>
      <c r="M2611" s="49"/>
      <c r="N2611" s="49"/>
      <c r="O2611" s="49"/>
      <c r="P2611" s="49"/>
      <c r="Q2611" s="49"/>
      <c r="R2611" s="49"/>
      <c r="S2611" s="49"/>
      <c r="T2611" s="49"/>
      <c r="U2611" s="49"/>
      <c r="V2611" s="49"/>
      <c r="W2611" s="56"/>
      <c r="X2611" s="51" t="str">
        <f t="shared" si="5"/>
        <v/>
      </c>
      <c r="Y2611" s="50" t="s">
        <v>482</v>
      </c>
      <c r="Z2611" s="49">
        <f t="shared" si="6"/>
        <v>0</v>
      </c>
    </row>
    <row r="2612" ht="22.5" customHeight="1">
      <c r="B2612" s="57"/>
      <c r="C2612" s="43" t="str">
        <f t="array" ref="C2612">IF(B2612="","",_xlfn.XLOOKUP(B2612,'Form responses 1'!$B$2:$B$2604,'Form responses 1'!$A$2:$A$2604,""))</f>
        <v/>
      </c>
      <c r="D2612" s="44" t="str">
        <f t="shared" si="3"/>
        <v/>
      </c>
      <c r="E2612" s="44" t="str">
        <f t="array" ref="E2612">IF(B2612="","",_xlfn.XLOOKUP(B2612,'Form responses 1'!$B$2:$B$2604,'Form responses 1'!$C$2:$C$2604,""))</f>
        <v/>
      </c>
      <c r="F2612" s="44" t="str">
        <f t="array" ref="F2612">IF(B2612="","",_xlfn.XLOOKUP(B2612,'Form responses 1'!$B$2:$B$2604,'Form responses 1'!$D$2:$D$2604,""))</f>
        <v/>
      </c>
      <c r="G2612" s="44" t="str">
        <f t="array" ref="G2612">IF(B2612="","",_xlfn.XLOOKUP(B2612,'Form responses 1'!$B$2:$B$2604,'Form responses 1'!$E$2:$E$2604,""))</f>
        <v/>
      </c>
      <c r="H2612" s="44" t="str">
        <f t="array" ref="H2612">IF(B2612="","",_xlfn.XLOOKUP(B2612,'Form responses 1'!$B$2:$B$2604,'Form responses 1'!$F$2:$F$2604,""))</f>
        <v/>
      </c>
      <c r="I2612" s="44" t="str">
        <f t="array" ref="I2612">IF(B2612="","",_xlfn.XLOOKUP(B2612,'Form responses 1'!$B$2:$B$2604,'Form responses 1'!$I$2:$I$2604,""))</f>
        <v/>
      </c>
      <c r="J2612" s="44" t="str">
        <f t="array" ref="J2612">IF(B2612="","",_xlfn.XLOOKUP(B2612,'Form responses 1'!$B$2:$B$2604,'Form responses 1'!$G$2:$G$2604,""))</f>
        <v/>
      </c>
      <c r="K2612" s="56"/>
      <c r="L2612" s="58" t="str">
        <f t="shared" si="7"/>
        <v/>
      </c>
      <c r="M2612" s="49"/>
      <c r="N2612" s="49"/>
      <c r="O2612" s="49"/>
      <c r="P2612" s="49"/>
      <c r="Q2612" s="49"/>
      <c r="R2612" s="49"/>
      <c r="S2612" s="49"/>
      <c r="T2612" s="49"/>
      <c r="U2612" s="49"/>
      <c r="V2612" s="49"/>
      <c r="W2612" s="56"/>
      <c r="X2612" s="51" t="str">
        <f t="shared" si="5"/>
        <v/>
      </c>
      <c r="Y2612" s="50" t="s">
        <v>482</v>
      </c>
      <c r="Z2612" s="49">
        <f t="shared" si="6"/>
        <v>0</v>
      </c>
    </row>
    <row r="2613" ht="22.5" customHeight="1">
      <c r="B2613" s="57"/>
      <c r="C2613" s="43" t="str">
        <f t="array" ref="C2613">IF(B2613="","",_xlfn.XLOOKUP(B2613,'Form responses 1'!$B$2:$B$2604,'Form responses 1'!$A$2:$A$2604,""))</f>
        <v/>
      </c>
      <c r="D2613" s="44" t="str">
        <f t="shared" si="3"/>
        <v/>
      </c>
      <c r="E2613" s="44" t="str">
        <f t="array" ref="E2613">IF(B2613="","",_xlfn.XLOOKUP(B2613,'Form responses 1'!$B$2:$B$2604,'Form responses 1'!$C$2:$C$2604,""))</f>
        <v/>
      </c>
      <c r="F2613" s="44" t="str">
        <f t="array" ref="F2613">IF(B2613="","",_xlfn.XLOOKUP(B2613,'Form responses 1'!$B$2:$B$2604,'Form responses 1'!$D$2:$D$2604,""))</f>
        <v/>
      </c>
      <c r="G2613" s="44" t="str">
        <f t="array" ref="G2613">IF(B2613="","",_xlfn.XLOOKUP(B2613,'Form responses 1'!$B$2:$B$2604,'Form responses 1'!$E$2:$E$2604,""))</f>
        <v/>
      </c>
      <c r="H2613" s="44" t="str">
        <f t="array" ref="H2613">IF(B2613="","",_xlfn.XLOOKUP(B2613,'Form responses 1'!$B$2:$B$2604,'Form responses 1'!$F$2:$F$2604,""))</f>
        <v/>
      </c>
      <c r="I2613" s="44" t="str">
        <f t="array" ref="I2613">IF(B2613="","",_xlfn.XLOOKUP(B2613,'Form responses 1'!$B$2:$B$2604,'Form responses 1'!$I$2:$I$2604,""))</f>
        <v/>
      </c>
      <c r="J2613" s="44" t="str">
        <f t="array" ref="J2613">IF(B2613="","",_xlfn.XLOOKUP(B2613,'Form responses 1'!$B$2:$B$2604,'Form responses 1'!$G$2:$G$2604,""))</f>
        <v/>
      </c>
      <c r="K2613" s="56"/>
      <c r="L2613" s="58" t="str">
        <f t="shared" si="7"/>
        <v/>
      </c>
      <c r="M2613" s="49"/>
      <c r="N2613" s="49"/>
      <c r="O2613" s="49"/>
      <c r="P2613" s="49"/>
      <c r="Q2613" s="49"/>
      <c r="R2613" s="49"/>
      <c r="S2613" s="49"/>
      <c r="T2613" s="49"/>
      <c r="U2613" s="49"/>
      <c r="V2613" s="49"/>
      <c r="W2613" s="56"/>
      <c r="X2613" s="51" t="str">
        <f t="shared" si="5"/>
        <v/>
      </c>
      <c r="Y2613" s="50" t="s">
        <v>482</v>
      </c>
      <c r="Z2613" s="49">
        <f t="shared" si="6"/>
        <v>0</v>
      </c>
    </row>
    <row r="2614" ht="22.5" customHeight="1">
      <c r="B2614" s="57"/>
      <c r="C2614" s="43" t="str">
        <f t="array" ref="C2614">IF(B2614="","",_xlfn.XLOOKUP(B2614,'Form responses 1'!$B$2:$B$2604,'Form responses 1'!$A$2:$A$2604,""))</f>
        <v/>
      </c>
      <c r="D2614" s="44" t="str">
        <f t="shared" si="3"/>
        <v/>
      </c>
      <c r="E2614" s="44" t="str">
        <f t="array" ref="E2614">IF(B2614="","",_xlfn.XLOOKUP(B2614,'Form responses 1'!$B$2:$B$2604,'Form responses 1'!$C$2:$C$2604,""))</f>
        <v/>
      </c>
      <c r="F2614" s="44" t="str">
        <f t="array" ref="F2614">IF(B2614="","",_xlfn.XLOOKUP(B2614,'Form responses 1'!$B$2:$B$2604,'Form responses 1'!$D$2:$D$2604,""))</f>
        <v/>
      </c>
      <c r="G2614" s="44" t="str">
        <f t="array" ref="G2614">IF(B2614="","",_xlfn.XLOOKUP(B2614,'Form responses 1'!$B$2:$B$2604,'Form responses 1'!$E$2:$E$2604,""))</f>
        <v/>
      </c>
      <c r="H2614" s="44" t="str">
        <f t="array" ref="H2614">IF(B2614="","",_xlfn.XLOOKUP(B2614,'Form responses 1'!$B$2:$B$2604,'Form responses 1'!$F$2:$F$2604,""))</f>
        <v/>
      </c>
      <c r="I2614" s="44" t="str">
        <f t="array" ref="I2614">IF(B2614="","",_xlfn.XLOOKUP(B2614,'Form responses 1'!$B$2:$B$2604,'Form responses 1'!$I$2:$I$2604,""))</f>
        <v/>
      </c>
      <c r="J2614" s="44" t="str">
        <f t="array" ref="J2614">IF(B2614="","",_xlfn.XLOOKUP(B2614,'Form responses 1'!$B$2:$B$2604,'Form responses 1'!$G$2:$G$2604,""))</f>
        <v/>
      </c>
      <c r="K2614" s="56"/>
      <c r="L2614" s="58" t="str">
        <f t="shared" si="7"/>
        <v/>
      </c>
      <c r="M2614" s="49"/>
      <c r="N2614" s="49"/>
      <c r="O2614" s="49"/>
      <c r="P2614" s="49"/>
      <c r="Q2614" s="49"/>
      <c r="R2614" s="49"/>
      <c r="S2614" s="49"/>
      <c r="T2614" s="49"/>
      <c r="U2614" s="49"/>
      <c r="V2614" s="49"/>
      <c r="W2614" s="56"/>
      <c r="X2614" s="51" t="str">
        <f t="shared" si="5"/>
        <v/>
      </c>
      <c r="Y2614" s="50" t="s">
        <v>482</v>
      </c>
      <c r="Z2614" s="49">
        <f t="shared" si="6"/>
        <v>0</v>
      </c>
    </row>
    <row r="2615" ht="22.5" customHeight="1">
      <c r="B2615" s="57"/>
      <c r="C2615" s="43" t="str">
        <f t="array" ref="C2615">IF(B2615="","",_xlfn.XLOOKUP(B2615,'Form responses 1'!$B$2:$B$2604,'Form responses 1'!$A$2:$A$2604,""))</f>
        <v/>
      </c>
      <c r="D2615" s="44" t="str">
        <f t="shared" si="3"/>
        <v/>
      </c>
      <c r="E2615" s="44" t="str">
        <f t="array" ref="E2615">IF(B2615="","",_xlfn.XLOOKUP(B2615,'Form responses 1'!$B$2:$B$2604,'Form responses 1'!$C$2:$C$2604,""))</f>
        <v/>
      </c>
      <c r="F2615" s="44" t="str">
        <f t="array" ref="F2615">IF(B2615="","",_xlfn.XLOOKUP(B2615,'Form responses 1'!$B$2:$B$2604,'Form responses 1'!$D$2:$D$2604,""))</f>
        <v/>
      </c>
      <c r="G2615" s="44" t="str">
        <f t="array" ref="G2615">IF(B2615="","",_xlfn.XLOOKUP(B2615,'Form responses 1'!$B$2:$B$2604,'Form responses 1'!$E$2:$E$2604,""))</f>
        <v/>
      </c>
      <c r="H2615" s="44" t="str">
        <f t="array" ref="H2615">IF(B2615="","",_xlfn.XLOOKUP(B2615,'Form responses 1'!$B$2:$B$2604,'Form responses 1'!$F$2:$F$2604,""))</f>
        <v/>
      </c>
      <c r="I2615" s="44" t="str">
        <f t="array" ref="I2615">IF(B2615="","",_xlfn.XLOOKUP(B2615,'Form responses 1'!$B$2:$B$2604,'Form responses 1'!$I$2:$I$2604,""))</f>
        <v/>
      </c>
      <c r="J2615" s="44" t="str">
        <f t="array" ref="J2615">IF(B2615="","",_xlfn.XLOOKUP(B2615,'Form responses 1'!$B$2:$B$2604,'Form responses 1'!$G$2:$G$2604,""))</f>
        <v/>
      </c>
      <c r="K2615" s="56"/>
      <c r="L2615" s="58" t="str">
        <f t="shared" si="7"/>
        <v/>
      </c>
      <c r="M2615" s="49"/>
      <c r="N2615" s="49"/>
      <c r="O2615" s="49"/>
      <c r="P2615" s="49"/>
      <c r="Q2615" s="49"/>
      <c r="R2615" s="49"/>
      <c r="S2615" s="49"/>
      <c r="T2615" s="49"/>
      <c r="U2615" s="49"/>
      <c r="V2615" s="49"/>
      <c r="W2615" s="56"/>
      <c r="X2615" s="51" t="str">
        <f t="shared" si="5"/>
        <v/>
      </c>
      <c r="Y2615" s="50" t="s">
        <v>482</v>
      </c>
      <c r="Z2615" s="49">
        <f t="shared" si="6"/>
        <v>0</v>
      </c>
    </row>
    <row r="2616" ht="22.5" customHeight="1">
      <c r="B2616" s="57"/>
      <c r="C2616" s="43" t="str">
        <f t="array" ref="C2616">IF(B2616="","",_xlfn.XLOOKUP(B2616,'Form responses 1'!$B$2:$B$2604,'Form responses 1'!$A$2:$A$2604,""))</f>
        <v/>
      </c>
      <c r="D2616" s="44" t="str">
        <f t="shared" si="3"/>
        <v/>
      </c>
      <c r="E2616" s="44" t="str">
        <f t="array" ref="E2616">IF(B2616="","",_xlfn.XLOOKUP(B2616,'Form responses 1'!$B$2:$B$2604,'Form responses 1'!$C$2:$C$2604,""))</f>
        <v/>
      </c>
      <c r="F2616" s="44" t="str">
        <f t="array" ref="F2616">IF(B2616="","",_xlfn.XLOOKUP(B2616,'Form responses 1'!$B$2:$B$2604,'Form responses 1'!$D$2:$D$2604,""))</f>
        <v/>
      </c>
      <c r="G2616" s="44" t="str">
        <f t="array" ref="G2616">IF(B2616="","",_xlfn.XLOOKUP(B2616,'Form responses 1'!$B$2:$B$2604,'Form responses 1'!$E$2:$E$2604,""))</f>
        <v/>
      </c>
      <c r="H2616" s="44" t="str">
        <f t="array" ref="H2616">IF(B2616="","",_xlfn.XLOOKUP(B2616,'Form responses 1'!$B$2:$B$2604,'Form responses 1'!$F$2:$F$2604,""))</f>
        <v/>
      </c>
      <c r="I2616" s="44" t="str">
        <f t="array" ref="I2616">IF(B2616="","",_xlfn.XLOOKUP(B2616,'Form responses 1'!$B$2:$B$2604,'Form responses 1'!$I$2:$I$2604,""))</f>
        <v/>
      </c>
      <c r="J2616" s="44" t="str">
        <f t="array" ref="J2616">IF(B2616="","",_xlfn.XLOOKUP(B2616,'Form responses 1'!$B$2:$B$2604,'Form responses 1'!$G$2:$G$2604,""))</f>
        <v/>
      </c>
      <c r="K2616" s="56"/>
      <c r="L2616" s="58" t="str">
        <f t="shared" si="7"/>
        <v/>
      </c>
      <c r="M2616" s="49"/>
      <c r="N2616" s="49"/>
      <c r="O2616" s="49"/>
      <c r="P2616" s="49"/>
      <c r="Q2616" s="49"/>
      <c r="R2616" s="49"/>
      <c r="S2616" s="49"/>
      <c r="T2616" s="49"/>
      <c r="U2616" s="49"/>
      <c r="V2616" s="49"/>
      <c r="W2616" s="56"/>
      <c r="X2616" s="51" t="str">
        <f t="shared" si="5"/>
        <v/>
      </c>
      <c r="Y2616" s="50" t="s">
        <v>482</v>
      </c>
      <c r="Z2616" s="49">
        <f t="shared" si="6"/>
        <v>0</v>
      </c>
    </row>
    <row r="2617" ht="22.5" customHeight="1">
      <c r="B2617" s="57"/>
      <c r="C2617" s="43" t="str">
        <f t="array" ref="C2617">IF(B2617="","",_xlfn.XLOOKUP(B2617,'Form responses 1'!$B$2:$B$2604,'Form responses 1'!$A$2:$A$2604,""))</f>
        <v/>
      </c>
      <c r="D2617" s="44" t="str">
        <f t="shared" si="3"/>
        <v/>
      </c>
      <c r="E2617" s="44" t="str">
        <f t="array" ref="E2617">IF(B2617="","",_xlfn.XLOOKUP(B2617,'Form responses 1'!$B$2:$B$2604,'Form responses 1'!$C$2:$C$2604,""))</f>
        <v/>
      </c>
      <c r="F2617" s="44" t="str">
        <f t="array" ref="F2617">IF(B2617="","",_xlfn.XLOOKUP(B2617,'Form responses 1'!$B$2:$B$2604,'Form responses 1'!$D$2:$D$2604,""))</f>
        <v/>
      </c>
      <c r="G2617" s="44" t="str">
        <f t="array" ref="G2617">IF(B2617="","",_xlfn.XLOOKUP(B2617,'Form responses 1'!$B$2:$B$2604,'Form responses 1'!$E$2:$E$2604,""))</f>
        <v/>
      </c>
      <c r="H2617" s="44" t="str">
        <f t="array" ref="H2617">IF(B2617="","",_xlfn.XLOOKUP(B2617,'Form responses 1'!$B$2:$B$2604,'Form responses 1'!$F$2:$F$2604,""))</f>
        <v/>
      </c>
      <c r="I2617" s="44" t="str">
        <f t="array" ref="I2617">IF(B2617="","",_xlfn.XLOOKUP(B2617,'Form responses 1'!$B$2:$B$2604,'Form responses 1'!$I$2:$I$2604,""))</f>
        <v/>
      </c>
      <c r="J2617" s="44" t="str">
        <f t="array" ref="J2617">IF(B2617="","",_xlfn.XLOOKUP(B2617,'Form responses 1'!$B$2:$B$2604,'Form responses 1'!$G$2:$G$2604,""))</f>
        <v/>
      </c>
      <c r="K2617" s="56"/>
      <c r="L2617" s="58" t="str">
        <f t="shared" si="7"/>
        <v/>
      </c>
      <c r="M2617" s="49"/>
      <c r="N2617" s="49"/>
      <c r="O2617" s="49"/>
      <c r="P2617" s="49"/>
      <c r="Q2617" s="49"/>
      <c r="R2617" s="49"/>
      <c r="S2617" s="49"/>
      <c r="T2617" s="49"/>
      <c r="U2617" s="49"/>
      <c r="V2617" s="49"/>
      <c r="W2617" s="56"/>
      <c r="X2617" s="51" t="str">
        <f t="shared" si="5"/>
        <v/>
      </c>
      <c r="Y2617" s="50" t="s">
        <v>482</v>
      </c>
      <c r="Z2617" s="49">
        <f t="shared" si="6"/>
        <v>0</v>
      </c>
    </row>
    <row r="2618" ht="22.5" customHeight="1">
      <c r="B2618" s="57"/>
      <c r="C2618" s="43" t="str">
        <f t="array" ref="C2618">IF(B2618="","",_xlfn.XLOOKUP(B2618,'Form responses 1'!$B$2:$B$2604,'Form responses 1'!$A$2:$A$2604,""))</f>
        <v/>
      </c>
      <c r="D2618" s="44" t="str">
        <f t="shared" si="3"/>
        <v/>
      </c>
      <c r="E2618" s="44" t="str">
        <f t="array" ref="E2618">IF(B2618="","",_xlfn.XLOOKUP(B2618,'Form responses 1'!$B$2:$B$2604,'Form responses 1'!$C$2:$C$2604,""))</f>
        <v/>
      </c>
      <c r="F2618" s="44" t="str">
        <f t="array" ref="F2618">IF(B2618="","",_xlfn.XLOOKUP(B2618,'Form responses 1'!$B$2:$B$2604,'Form responses 1'!$D$2:$D$2604,""))</f>
        <v/>
      </c>
      <c r="G2618" s="44" t="str">
        <f t="array" ref="G2618">IF(B2618="","",_xlfn.XLOOKUP(B2618,'Form responses 1'!$B$2:$B$2604,'Form responses 1'!$E$2:$E$2604,""))</f>
        <v/>
      </c>
      <c r="H2618" s="44" t="str">
        <f t="array" ref="H2618">IF(B2618="","",_xlfn.XLOOKUP(B2618,'Form responses 1'!$B$2:$B$2604,'Form responses 1'!$F$2:$F$2604,""))</f>
        <v/>
      </c>
      <c r="I2618" s="44" t="str">
        <f t="array" ref="I2618">IF(B2618="","",_xlfn.XLOOKUP(B2618,'Form responses 1'!$B$2:$B$2604,'Form responses 1'!$I$2:$I$2604,""))</f>
        <v/>
      </c>
      <c r="J2618" s="44" t="str">
        <f t="array" ref="J2618">IF(B2618="","",_xlfn.XLOOKUP(B2618,'Form responses 1'!$B$2:$B$2604,'Form responses 1'!$G$2:$G$2604,""))</f>
        <v/>
      </c>
      <c r="K2618" s="56"/>
      <c r="L2618" s="58" t="str">
        <f t="shared" si="7"/>
        <v/>
      </c>
      <c r="M2618" s="49"/>
      <c r="N2618" s="49"/>
      <c r="O2618" s="49"/>
      <c r="P2618" s="49"/>
      <c r="Q2618" s="49"/>
      <c r="R2618" s="49"/>
      <c r="S2618" s="49"/>
      <c r="T2618" s="49"/>
      <c r="U2618" s="49"/>
      <c r="V2618" s="49"/>
      <c r="W2618" s="56"/>
      <c r="X2618" s="51" t="str">
        <f t="shared" si="5"/>
        <v/>
      </c>
      <c r="Y2618" s="50" t="s">
        <v>482</v>
      </c>
      <c r="Z2618" s="49">
        <f t="shared" si="6"/>
        <v>0</v>
      </c>
    </row>
    <row r="2619" ht="22.5" customHeight="1">
      <c r="B2619" s="57"/>
      <c r="C2619" s="43" t="str">
        <f t="array" ref="C2619">IF(B2619="","",_xlfn.XLOOKUP(B2619,'Form responses 1'!$B$2:$B$2604,'Form responses 1'!$A$2:$A$2604,""))</f>
        <v/>
      </c>
      <c r="D2619" s="44" t="str">
        <f t="shared" si="3"/>
        <v/>
      </c>
      <c r="E2619" s="44" t="str">
        <f t="array" ref="E2619">IF(B2619="","",_xlfn.XLOOKUP(B2619,'Form responses 1'!$B$2:$B$2604,'Form responses 1'!$C$2:$C$2604,""))</f>
        <v/>
      </c>
      <c r="F2619" s="44" t="str">
        <f t="array" ref="F2619">IF(B2619="","",_xlfn.XLOOKUP(B2619,'Form responses 1'!$B$2:$B$2604,'Form responses 1'!$D$2:$D$2604,""))</f>
        <v/>
      </c>
      <c r="G2619" s="44" t="str">
        <f t="array" ref="G2619">IF(B2619="","",_xlfn.XLOOKUP(B2619,'Form responses 1'!$B$2:$B$2604,'Form responses 1'!$E$2:$E$2604,""))</f>
        <v/>
      </c>
      <c r="H2619" s="44" t="str">
        <f t="array" ref="H2619">IF(B2619="","",_xlfn.XLOOKUP(B2619,'Form responses 1'!$B$2:$B$2604,'Form responses 1'!$F$2:$F$2604,""))</f>
        <v/>
      </c>
      <c r="I2619" s="44" t="str">
        <f t="array" ref="I2619">IF(B2619="","",_xlfn.XLOOKUP(B2619,'Form responses 1'!$B$2:$B$2604,'Form responses 1'!$I$2:$I$2604,""))</f>
        <v/>
      </c>
      <c r="J2619" s="44" t="str">
        <f t="array" ref="J2619">IF(B2619="","",_xlfn.XLOOKUP(B2619,'Form responses 1'!$B$2:$B$2604,'Form responses 1'!$G$2:$G$2604,""))</f>
        <v/>
      </c>
      <c r="K2619" s="56"/>
      <c r="L2619" s="58" t="str">
        <f t="shared" si="7"/>
        <v/>
      </c>
      <c r="M2619" s="49"/>
      <c r="N2619" s="49"/>
      <c r="O2619" s="49"/>
      <c r="P2619" s="49"/>
      <c r="Q2619" s="49"/>
      <c r="R2619" s="49"/>
      <c r="S2619" s="49"/>
      <c r="T2619" s="49"/>
      <c r="U2619" s="49"/>
      <c r="V2619" s="49"/>
      <c r="W2619" s="56"/>
      <c r="X2619" s="51" t="str">
        <f t="shared" si="5"/>
        <v/>
      </c>
      <c r="Y2619" s="50" t="s">
        <v>482</v>
      </c>
      <c r="Z2619" s="49">
        <f t="shared" si="6"/>
        <v>0</v>
      </c>
    </row>
    <row r="2620" ht="22.5" customHeight="1">
      <c r="B2620" s="57"/>
      <c r="C2620" s="43" t="str">
        <f t="array" ref="C2620">IF(B2620="","",_xlfn.XLOOKUP(B2620,'Form responses 1'!$B$2:$B$2604,'Form responses 1'!$A$2:$A$2604,""))</f>
        <v/>
      </c>
      <c r="D2620" s="44" t="str">
        <f t="shared" si="3"/>
        <v/>
      </c>
      <c r="E2620" s="44" t="str">
        <f t="array" ref="E2620">IF(B2620="","",_xlfn.XLOOKUP(B2620,'Form responses 1'!$B$2:$B$2604,'Form responses 1'!$C$2:$C$2604,""))</f>
        <v/>
      </c>
      <c r="F2620" s="44" t="str">
        <f t="array" ref="F2620">IF(B2620="","",_xlfn.XLOOKUP(B2620,'Form responses 1'!$B$2:$B$2604,'Form responses 1'!$D$2:$D$2604,""))</f>
        <v/>
      </c>
      <c r="G2620" s="44" t="str">
        <f t="array" ref="G2620">IF(B2620="","",_xlfn.XLOOKUP(B2620,'Form responses 1'!$B$2:$B$2604,'Form responses 1'!$E$2:$E$2604,""))</f>
        <v/>
      </c>
      <c r="H2620" s="44" t="str">
        <f t="array" ref="H2620">IF(B2620="","",_xlfn.XLOOKUP(B2620,'Form responses 1'!$B$2:$B$2604,'Form responses 1'!$F$2:$F$2604,""))</f>
        <v/>
      </c>
      <c r="I2620" s="44" t="str">
        <f t="array" ref="I2620">IF(B2620="","",_xlfn.XLOOKUP(B2620,'Form responses 1'!$B$2:$B$2604,'Form responses 1'!$I$2:$I$2604,""))</f>
        <v/>
      </c>
      <c r="J2620" s="44" t="str">
        <f t="array" ref="J2620">IF(B2620="","",_xlfn.XLOOKUP(B2620,'Form responses 1'!$B$2:$B$2604,'Form responses 1'!$G$2:$G$2604,""))</f>
        <v/>
      </c>
      <c r="K2620" s="56"/>
      <c r="L2620" s="58" t="str">
        <f t="shared" si="7"/>
        <v/>
      </c>
      <c r="M2620" s="49"/>
      <c r="N2620" s="49"/>
      <c r="O2620" s="49"/>
      <c r="P2620" s="49"/>
      <c r="Q2620" s="49"/>
      <c r="R2620" s="49"/>
      <c r="S2620" s="49"/>
      <c r="T2620" s="49"/>
      <c r="U2620" s="49"/>
      <c r="V2620" s="49"/>
      <c r="W2620" s="56"/>
      <c r="X2620" s="51" t="str">
        <f t="shared" si="5"/>
        <v/>
      </c>
      <c r="Y2620" s="50" t="s">
        <v>482</v>
      </c>
      <c r="Z2620" s="49">
        <f t="shared" si="6"/>
        <v>0</v>
      </c>
    </row>
    <row r="2621" ht="22.5" customHeight="1">
      <c r="B2621" s="57"/>
      <c r="C2621" s="43" t="str">
        <f t="array" ref="C2621">IF(B2621="","",_xlfn.XLOOKUP(B2621,'Form responses 1'!$B$2:$B$2604,'Form responses 1'!$A$2:$A$2604,""))</f>
        <v/>
      </c>
      <c r="D2621" s="44" t="str">
        <f t="shared" si="3"/>
        <v/>
      </c>
      <c r="E2621" s="44" t="str">
        <f t="array" ref="E2621">IF(B2621="","",_xlfn.XLOOKUP(B2621,'Form responses 1'!$B$2:$B$2604,'Form responses 1'!$C$2:$C$2604,""))</f>
        <v/>
      </c>
      <c r="F2621" s="44" t="str">
        <f t="array" ref="F2621">IF(B2621="","",_xlfn.XLOOKUP(B2621,'Form responses 1'!$B$2:$B$2604,'Form responses 1'!$D$2:$D$2604,""))</f>
        <v/>
      </c>
      <c r="G2621" s="44" t="str">
        <f t="array" ref="G2621">IF(B2621="","",_xlfn.XLOOKUP(B2621,'Form responses 1'!$B$2:$B$2604,'Form responses 1'!$E$2:$E$2604,""))</f>
        <v/>
      </c>
      <c r="H2621" s="44" t="str">
        <f t="array" ref="H2621">IF(B2621="","",_xlfn.XLOOKUP(B2621,'Form responses 1'!$B$2:$B$2604,'Form responses 1'!$F$2:$F$2604,""))</f>
        <v/>
      </c>
      <c r="I2621" s="44" t="str">
        <f t="array" ref="I2621">IF(B2621="","",_xlfn.XLOOKUP(B2621,'Form responses 1'!$B$2:$B$2604,'Form responses 1'!$I$2:$I$2604,""))</f>
        <v/>
      </c>
      <c r="J2621" s="44" t="str">
        <f t="array" ref="J2621">IF(B2621="","",_xlfn.XLOOKUP(B2621,'Form responses 1'!$B$2:$B$2604,'Form responses 1'!$G$2:$G$2604,""))</f>
        <v/>
      </c>
      <c r="K2621" s="56"/>
      <c r="L2621" s="58" t="str">
        <f t="shared" si="7"/>
        <v/>
      </c>
      <c r="M2621" s="49"/>
      <c r="N2621" s="49"/>
      <c r="O2621" s="49"/>
      <c r="P2621" s="49"/>
      <c r="Q2621" s="49"/>
      <c r="R2621" s="49"/>
      <c r="S2621" s="49"/>
      <c r="T2621" s="49"/>
      <c r="U2621" s="49"/>
      <c r="V2621" s="49"/>
      <c r="W2621" s="56"/>
      <c r="X2621" s="51" t="str">
        <f t="shared" si="5"/>
        <v/>
      </c>
      <c r="Y2621" s="50" t="s">
        <v>482</v>
      </c>
      <c r="Z2621" s="49">
        <f t="shared" si="6"/>
        <v>0</v>
      </c>
    </row>
    <row r="2622" ht="22.5" customHeight="1">
      <c r="B2622" s="57"/>
      <c r="C2622" s="43" t="str">
        <f t="array" ref="C2622">IF(B2622="","",_xlfn.XLOOKUP(B2622,'Form responses 1'!$B$2:$B$2604,'Form responses 1'!$A$2:$A$2604,""))</f>
        <v/>
      </c>
      <c r="D2622" s="44" t="str">
        <f t="shared" si="3"/>
        <v/>
      </c>
      <c r="E2622" s="44" t="str">
        <f t="array" ref="E2622">IF(B2622="","",_xlfn.XLOOKUP(B2622,'Form responses 1'!$B$2:$B$2604,'Form responses 1'!$C$2:$C$2604,""))</f>
        <v/>
      </c>
      <c r="F2622" s="44" t="str">
        <f t="array" ref="F2622">IF(B2622="","",_xlfn.XLOOKUP(B2622,'Form responses 1'!$B$2:$B$2604,'Form responses 1'!$D$2:$D$2604,""))</f>
        <v/>
      </c>
      <c r="G2622" s="44" t="str">
        <f t="array" ref="G2622">IF(B2622="","",_xlfn.XLOOKUP(B2622,'Form responses 1'!$B$2:$B$2604,'Form responses 1'!$E$2:$E$2604,""))</f>
        <v/>
      </c>
      <c r="H2622" s="44" t="str">
        <f t="array" ref="H2622">IF(B2622="","",_xlfn.XLOOKUP(B2622,'Form responses 1'!$B$2:$B$2604,'Form responses 1'!$F$2:$F$2604,""))</f>
        <v/>
      </c>
      <c r="I2622" s="44" t="str">
        <f t="array" ref="I2622">IF(B2622="","",_xlfn.XLOOKUP(B2622,'Form responses 1'!$B$2:$B$2604,'Form responses 1'!$I$2:$I$2604,""))</f>
        <v/>
      </c>
      <c r="J2622" s="44" t="str">
        <f t="array" ref="J2622">IF(B2622="","",_xlfn.XLOOKUP(B2622,'Form responses 1'!$B$2:$B$2604,'Form responses 1'!$G$2:$G$2604,""))</f>
        <v/>
      </c>
      <c r="K2622" s="56"/>
      <c r="L2622" s="58" t="str">
        <f t="shared" si="7"/>
        <v/>
      </c>
      <c r="M2622" s="49"/>
      <c r="N2622" s="49"/>
      <c r="O2622" s="49"/>
      <c r="P2622" s="49"/>
      <c r="Q2622" s="49"/>
      <c r="R2622" s="49"/>
      <c r="S2622" s="49"/>
      <c r="T2622" s="49"/>
      <c r="U2622" s="49"/>
      <c r="V2622" s="49"/>
      <c r="W2622" s="56"/>
      <c r="X2622" s="51" t="str">
        <f t="shared" si="5"/>
        <v/>
      </c>
      <c r="Y2622" s="50" t="s">
        <v>482</v>
      </c>
      <c r="Z2622" s="49">
        <f t="shared" si="6"/>
        <v>0</v>
      </c>
    </row>
    <row r="2623" ht="22.5" customHeight="1">
      <c r="B2623" s="57"/>
      <c r="C2623" s="43" t="str">
        <f t="array" ref="C2623">IF(B2623="","",_xlfn.XLOOKUP(B2623,'Form responses 1'!$B$2:$B$2604,'Form responses 1'!$A$2:$A$2604,""))</f>
        <v/>
      </c>
      <c r="D2623" s="44" t="str">
        <f t="shared" si="3"/>
        <v/>
      </c>
      <c r="E2623" s="44" t="str">
        <f t="array" ref="E2623">IF(B2623="","",_xlfn.XLOOKUP(B2623,'Form responses 1'!$B$2:$B$2604,'Form responses 1'!$C$2:$C$2604,""))</f>
        <v/>
      </c>
      <c r="F2623" s="44" t="str">
        <f t="array" ref="F2623">IF(B2623="","",_xlfn.XLOOKUP(B2623,'Form responses 1'!$B$2:$B$2604,'Form responses 1'!$D$2:$D$2604,""))</f>
        <v/>
      </c>
      <c r="G2623" s="44" t="str">
        <f t="array" ref="G2623">IF(B2623="","",_xlfn.XLOOKUP(B2623,'Form responses 1'!$B$2:$B$2604,'Form responses 1'!$E$2:$E$2604,""))</f>
        <v/>
      </c>
      <c r="H2623" s="44" t="str">
        <f t="array" ref="H2623">IF(B2623="","",_xlfn.XLOOKUP(B2623,'Form responses 1'!$B$2:$B$2604,'Form responses 1'!$F$2:$F$2604,""))</f>
        <v/>
      </c>
      <c r="I2623" s="44" t="str">
        <f t="array" ref="I2623">IF(B2623="","",_xlfn.XLOOKUP(B2623,'Form responses 1'!$B$2:$B$2604,'Form responses 1'!$I$2:$I$2604,""))</f>
        <v/>
      </c>
      <c r="J2623" s="44" t="str">
        <f t="array" ref="J2623">IF(B2623="","",_xlfn.XLOOKUP(B2623,'Form responses 1'!$B$2:$B$2604,'Form responses 1'!$G$2:$G$2604,""))</f>
        <v/>
      </c>
      <c r="K2623" s="56"/>
      <c r="L2623" s="58" t="str">
        <f t="shared" si="7"/>
        <v/>
      </c>
      <c r="M2623" s="49"/>
      <c r="N2623" s="49"/>
      <c r="O2623" s="49"/>
      <c r="P2623" s="49"/>
      <c r="Q2623" s="49"/>
      <c r="R2623" s="49"/>
      <c r="S2623" s="49"/>
      <c r="T2623" s="49"/>
      <c r="U2623" s="49"/>
      <c r="V2623" s="49"/>
      <c r="W2623" s="56"/>
      <c r="X2623" s="51" t="str">
        <f t="shared" si="5"/>
        <v/>
      </c>
      <c r="Y2623" s="50" t="s">
        <v>482</v>
      </c>
      <c r="Z2623" s="49">
        <f t="shared" si="6"/>
        <v>0</v>
      </c>
    </row>
    <row r="2624" ht="22.5" customHeight="1">
      <c r="B2624" s="57"/>
      <c r="C2624" s="43" t="str">
        <f t="array" ref="C2624">IF(B2624="","",_xlfn.XLOOKUP(B2624,'Form responses 1'!$B$2:$B$2604,'Form responses 1'!$A$2:$A$2604,""))</f>
        <v/>
      </c>
      <c r="D2624" s="44" t="str">
        <f t="shared" si="3"/>
        <v/>
      </c>
      <c r="E2624" s="44" t="str">
        <f t="array" ref="E2624">IF(B2624="","",_xlfn.XLOOKUP(B2624,'Form responses 1'!$B$2:$B$2604,'Form responses 1'!$C$2:$C$2604,""))</f>
        <v/>
      </c>
      <c r="F2624" s="44" t="str">
        <f t="array" ref="F2624">IF(B2624="","",_xlfn.XLOOKUP(B2624,'Form responses 1'!$B$2:$B$2604,'Form responses 1'!$D$2:$D$2604,""))</f>
        <v/>
      </c>
      <c r="G2624" s="44" t="str">
        <f t="array" ref="G2624">IF(B2624="","",_xlfn.XLOOKUP(B2624,'Form responses 1'!$B$2:$B$2604,'Form responses 1'!$E$2:$E$2604,""))</f>
        <v/>
      </c>
      <c r="H2624" s="44" t="str">
        <f t="array" ref="H2624">IF(B2624="","",_xlfn.XLOOKUP(B2624,'Form responses 1'!$B$2:$B$2604,'Form responses 1'!$F$2:$F$2604,""))</f>
        <v/>
      </c>
      <c r="I2624" s="44" t="str">
        <f t="array" ref="I2624">IF(B2624="","",_xlfn.XLOOKUP(B2624,'Form responses 1'!$B$2:$B$2604,'Form responses 1'!$I$2:$I$2604,""))</f>
        <v/>
      </c>
      <c r="J2624" s="44" t="str">
        <f t="array" ref="J2624">IF(B2624="","",_xlfn.XLOOKUP(B2624,'Form responses 1'!$B$2:$B$2604,'Form responses 1'!$G$2:$G$2604,""))</f>
        <v/>
      </c>
      <c r="K2624" s="56"/>
      <c r="L2624" s="58" t="str">
        <f t="shared" si="7"/>
        <v/>
      </c>
      <c r="M2624" s="49"/>
      <c r="N2624" s="49"/>
      <c r="O2624" s="49"/>
      <c r="P2624" s="49"/>
      <c r="Q2624" s="49"/>
      <c r="R2624" s="49"/>
      <c r="S2624" s="49"/>
      <c r="T2624" s="49"/>
      <c r="U2624" s="49"/>
      <c r="V2624" s="49"/>
      <c r="W2624" s="56"/>
      <c r="X2624" s="51" t="str">
        <f t="shared" si="5"/>
        <v/>
      </c>
      <c r="Y2624" s="50" t="s">
        <v>482</v>
      </c>
      <c r="Z2624" s="49">
        <f t="shared" si="6"/>
        <v>0</v>
      </c>
    </row>
    <row r="2625" ht="22.5" customHeight="1">
      <c r="B2625" s="57"/>
      <c r="C2625" s="43" t="str">
        <f t="array" ref="C2625">IF(B2625="","",_xlfn.XLOOKUP(B2625,'Form responses 1'!$B$2:$B$2604,'Form responses 1'!$A$2:$A$2604,""))</f>
        <v/>
      </c>
      <c r="D2625" s="44" t="str">
        <f t="shared" si="3"/>
        <v/>
      </c>
      <c r="E2625" s="44" t="str">
        <f t="array" ref="E2625">IF(B2625="","",_xlfn.XLOOKUP(B2625,'Form responses 1'!$B$2:$B$2604,'Form responses 1'!$C$2:$C$2604,""))</f>
        <v/>
      </c>
      <c r="F2625" s="44" t="str">
        <f t="array" ref="F2625">IF(B2625="","",_xlfn.XLOOKUP(B2625,'Form responses 1'!$B$2:$B$2604,'Form responses 1'!$D$2:$D$2604,""))</f>
        <v/>
      </c>
      <c r="G2625" s="44" t="str">
        <f t="array" ref="G2625">IF(B2625="","",_xlfn.XLOOKUP(B2625,'Form responses 1'!$B$2:$B$2604,'Form responses 1'!$E$2:$E$2604,""))</f>
        <v/>
      </c>
      <c r="H2625" s="44" t="str">
        <f t="array" ref="H2625">IF(B2625="","",_xlfn.XLOOKUP(B2625,'Form responses 1'!$B$2:$B$2604,'Form responses 1'!$F$2:$F$2604,""))</f>
        <v/>
      </c>
      <c r="I2625" s="44" t="str">
        <f t="array" ref="I2625">IF(B2625="","",_xlfn.XLOOKUP(B2625,'Form responses 1'!$B$2:$B$2604,'Form responses 1'!$I$2:$I$2604,""))</f>
        <v/>
      </c>
      <c r="J2625" s="44" t="str">
        <f t="array" ref="J2625">IF(B2625="","",_xlfn.XLOOKUP(B2625,'Form responses 1'!$B$2:$B$2604,'Form responses 1'!$G$2:$G$2604,""))</f>
        <v/>
      </c>
      <c r="K2625" s="56"/>
      <c r="L2625" s="58" t="str">
        <f t="shared" si="7"/>
        <v/>
      </c>
      <c r="M2625" s="49"/>
      <c r="N2625" s="49"/>
      <c r="O2625" s="49"/>
      <c r="P2625" s="49"/>
      <c r="Q2625" s="49"/>
      <c r="R2625" s="49"/>
      <c r="S2625" s="49"/>
      <c r="T2625" s="49"/>
      <c r="U2625" s="49"/>
      <c r="V2625" s="49"/>
      <c r="W2625" s="56"/>
      <c r="X2625" s="51" t="str">
        <f t="shared" si="5"/>
        <v/>
      </c>
      <c r="Y2625" s="50" t="s">
        <v>482</v>
      </c>
      <c r="Z2625" s="49">
        <f t="shared" si="6"/>
        <v>0</v>
      </c>
    </row>
    <row r="2626" ht="22.5" customHeight="1">
      <c r="B2626" s="57"/>
      <c r="C2626" s="43" t="str">
        <f t="array" ref="C2626">IF(B2626="","",_xlfn.XLOOKUP(B2626,'Form responses 1'!$B$2:$B$2604,'Form responses 1'!$A$2:$A$2604,""))</f>
        <v/>
      </c>
      <c r="D2626" s="44" t="str">
        <f t="shared" si="3"/>
        <v/>
      </c>
      <c r="E2626" s="44" t="str">
        <f t="array" ref="E2626">IF(B2626="","",_xlfn.XLOOKUP(B2626,'Form responses 1'!$B$2:$B$2604,'Form responses 1'!$C$2:$C$2604,""))</f>
        <v/>
      </c>
      <c r="F2626" s="44" t="str">
        <f t="array" ref="F2626">IF(B2626="","",_xlfn.XLOOKUP(B2626,'Form responses 1'!$B$2:$B$2604,'Form responses 1'!$D$2:$D$2604,""))</f>
        <v/>
      </c>
      <c r="G2626" s="44" t="str">
        <f t="array" ref="G2626">IF(B2626="","",_xlfn.XLOOKUP(B2626,'Form responses 1'!$B$2:$B$2604,'Form responses 1'!$E$2:$E$2604,""))</f>
        <v/>
      </c>
      <c r="H2626" s="44" t="str">
        <f t="array" ref="H2626">IF(B2626="","",_xlfn.XLOOKUP(B2626,'Form responses 1'!$B$2:$B$2604,'Form responses 1'!$F$2:$F$2604,""))</f>
        <v/>
      </c>
      <c r="I2626" s="44" t="str">
        <f t="array" ref="I2626">IF(B2626="","",_xlfn.XLOOKUP(B2626,'Form responses 1'!$B$2:$B$2604,'Form responses 1'!$I$2:$I$2604,""))</f>
        <v/>
      </c>
      <c r="J2626" s="44" t="str">
        <f t="array" ref="J2626">IF(B2626="","",_xlfn.XLOOKUP(B2626,'Form responses 1'!$B$2:$B$2604,'Form responses 1'!$G$2:$G$2604,""))</f>
        <v/>
      </c>
      <c r="K2626" s="56"/>
      <c r="L2626" s="58" t="str">
        <f t="shared" si="7"/>
        <v/>
      </c>
      <c r="M2626" s="49"/>
      <c r="N2626" s="49"/>
      <c r="O2626" s="49"/>
      <c r="P2626" s="49"/>
      <c r="Q2626" s="49"/>
      <c r="R2626" s="49"/>
      <c r="S2626" s="49"/>
      <c r="T2626" s="49"/>
      <c r="U2626" s="49"/>
      <c r="V2626" s="49"/>
      <c r="W2626" s="56"/>
      <c r="X2626" s="51" t="str">
        <f t="shared" si="5"/>
        <v/>
      </c>
      <c r="Y2626" s="50" t="s">
        <v>482</v>
      </c>
      <c r="Z2626" s="49">
        <f t="shared" si="6"/>
        <v>0</v>
      </c>
    </row>
    <row r="2627" ht="22.5" customHeight="1">
      <c r="B2627" s="57"/>
      <c r="C2627" s="43" t="str">
        <f t="array" ref="C2627">IF(B2627="","",_xlfn.XLOOKUP(B2627,'Form responses 1'!$B$2:$B$2604,'Form responses 1'!$A$2:$A$2604,""))</f>
        <v/>
      </c>
      <c r="D2627" s="44" t="str">
        <f t="shared" si="3"/>
        <v/>
      </c>
      <c r="E2627" s="44" t="str">
        <f t="array" ref="E2627">IF(B2627="","",_xlfn.XLOOKUP(B2627,'Form responses 1'!$B$2:$B$2604,'Form responses 1'!$C$2:$C$2604,""))</f>
        <v/>
      </c>
      <c r="F2627" s="44" t="str">
        <f t="array" ref="F2627">IF(B2627="","",_xlfn.XLOOKUP(B2627,'Form responses 1'!$B$2:$B$2604,'Form responses 1'!$D$2:$D$2604,""))</f>
        <v/>
      </c>
      <c r="G2627" s="44" t="str">
        <f t="array" ref="G2627">IF(B2627="","",_xlfn.XLOOKUP(B2627,'Form responses 1'!$B$2:$B$2604,'Form responses 1'!$E$2:$E$2604,""))</f>
        <v/>
      </c>
      <c r="H2627" s="44" t="str">
        <f t="array" ref="H2627">IF(B2627="","",_xlfn.XLOOKUP(B2627,'Form responses 1'!$B$2:$B$2604,'Form responses 1'!$F$2:$F$2604,""))</f>
        <v/>
      </c>
      <c r="I2627" s="44" t="str">
        <f t="array" ref="I2627">IF(B2627="","",_xlfn.XLOOKUP(B2627,'Form responses 1'!$B$2:$B$2604,'Form responses 1'!$I$2:$I$2604,""))</f>
        <v/>
      </c>
      <c r="J2627" s="44" t="str">
        <f t="array" ref="J2627">IF(B2627="","",_xlfn.XLOOKUP(B2627,'Form responses 1'!$B$2:$B$2604,'Form responses 1'!$G$2:$G$2604,""))</f>
        <v/>
      </c>
      <c r="K2627" s="56"/>
      <c r="L2627" s="58" t="str">
        <f t="shared" si="7"/>
        <v/>
      </c>
      <c r="M2627" s="49"/>
      <c r="N2627" s="49"/>
      <c r="O2627" s="49"/>
      <c r="P2627" s="49"/>
      <c r="Q2627" s="49"/>
      <c r="R2627" s="49"/>
      <c r="S2627" s="49"/>
      <c r="T2627" s="49"/>
      <c r="U2627" s="49"/>
      <c r="V2627" s="49"/>
      <c r="W2627" s="56"/>
      <c r="X2627" s="51" t="str">
        <f t="shared" si="5"/>
        <v/>
      </c>
      <c r="Y2627" s="50" t="s">
        <v>482</v>
      </c>
      <c r="Z2627" s="49">
        <f t="shared" si="6"/>
        <v>0</v>
      </c>
    </row>
    <row r="2628" ht="22.5" customHeight="1">
      <c r="B2628" s="57"/>
      <c r="C2628" s="43" t="str">
        <f t="array" ref="C2628">IF(B2628="","",_xlfn.XLOOKUP(B2628,'Form responses 1'!$B$2:$B$2604,'Form responses 1'!$A$2:$A$2604,""))</f>
        <v/>
      </c>
      <c r="D2628" s="44" t="str">
        <f t="shared" si="3"/>
        <v/>
      </c>
      <c r="E2628" s="44" t="str">
        <f t="array" ref="E2628">IF(B2628="","",_xlfn.XLOOKUP(B2628,'Form responses 1'!$B$2:$B$2604,'Form responses 1'!$C$2:$C$2604,""))</f>
        <v/>
      </c>
      <c r="F2628" s="44" t="str">
        <f t="array" ref="F2628">IF(B2628="","",_xlfn.XLOOKUP(B2628,'Form responses 1'!$B$2:$B$2604,'Form responses 1'!$D$2:$D$2604,""))</f>
        <v/>
      </c>
      <c r="G2628" s="44" t="str">
        <f t="array" ref="G2628">IF(B2628="","",_xlfn.XLOOKUP(B2628,'Form responses 1'!$B$2:$B$2604,'Form responses 1'!$E$2:$E$2604,""))</f>
        <v/>
      </c>
      <c r="H2628" s="44" t="str">
        <f t="array" ref="H2628">IF(B2628="","",_xlfn.XLOOKUP(B2628,'Form responses 1'!$B$2:$B$2604,'Form responses 1'!$F$2:$F$2604,""))</f>
        <v/>
      </c>
      <c r="I2628" s="44" t="str">
        <f t="array" ref="I2628">IF(B2628="","",_xlfn.XLOOKUP(B2628,'Form responses 1'!$B$2:$B$2604,'Form responses 1'!$I$2:$I$2604,""))</f>
        <v/>
      </c>
      <c r="J2628" s="44" t="str">
        <f t="array" ref="J2628">IF(B2628="","",_xlfn.XLOOKUP(B2628,'Form responses 1'!$B$2:$B$2604,'Form responses 1'!$G$2:$G$2604,""))</f>
        <v/>
      </c>
      <c r="K2628" s="56"/>
      <c r="L2628" s="58" t="str">
        <f t="shared" si="7"/>
        <v/>
      </c>
      <c r="M2628" s="49"/>
      <c r="N2628" s="49"/>
      <c r="O2628" s="49"/>
      <c r="P2628" s="49"/>
      <c r="Q2628" s="49"/>
      <c r="R2628" s="49"/>
      <c r="S2628" s="49"/>
      <c r="T2628" s="49"/>
      <c r="U2628" s="49"/>
      <c r="V2628" s="49"/>
      <c r="W2628" s="56"/>
      <c r="X2628" s="51" t="str">
        <f t="shared" si="5"/>
        <v/>
      </c>
      <c r="Y2628" s="50" t="s">
        <v>482</v>
      </c>
      <c r="Z2628" s="49">
        <f t="shared" si="6"/>
        <v>0</v>
      </c>
    </row>
    <row r="2629" ht="22.5" customHeight="1">
      <c r="B2629" s="57"/>
      <c r="C2629" s="43" t="str">
        <f t="array" ref="C2629">IF(B2629="","",_xlfn.XLOOKUP(B2629,'Form responses 1'!$B$2:$B$2604,'Form responses 1'!$A$2:$A$2604,""))</f>
        <v/>
      </c>
      <c r="D2629" s="44" t="str">
        <f t="shared" si="3"/>
        <v/>
      </c>
      <c r="E2629" s="44" t="str">
        <f t="array" ref="E2629">IF(B2629="","",_xlfn.XLOOKUP(B2629,'Form responses 1'!$B$2:$B$2604,'Form responses 1'!$C$2:$C$2604,""))</f>
        <v/>
      </c>
      <c r="F2629" s="44" t="str">
        <f t="array" ref="F2629">IF(B2629="","",_xlfn.XLOOKUP(B2629,'Form responses 1'!$B$2:$B$2604,'Form responses 1'!$D$2:$D$2604,""))</f>
        <v/>
      </c>
      <c r="G2629" s="44" t="str">
        <f t="array" ref="G2629">IF(B2629="","",_xlfn.XLOOKUP(B2629,'Form responses 1'!$B$2:$B$2604,'Form responses 1'!$E$2:$E$2604,""))</f>
        <v/>
      </c>
      <c r="H2629" s="44" t="str">
        <f t="array" ref="H2629">IF(B2629="","",_xlfn.XLOOKUP(B2629,'Form responses 1'!$B$2:$B$2604,'Form responses 1'!$F$2:$F$2604,""))</f>
        <v/>
      </c>
      <c r="I2629" s="44" t="str">
        <f t="array" ref="I2629">IF(B2629="","",_xlfn.XLOOKUP(B2629,'Form responses 1'!$B$2:$B$2604,'Form responses 1'!$I$2:$I$2604,""))</f>
        <v/>
      </c>
      <c r="J2629" s="44" t="str">
        <f t="array" ref="J2629">IF(B2629="","",_xlfn.XLOOKUP(B2629,'Form responses 1'!$B$2:$B$2604,'Form responses 1'!$G$2:$G$2604,""))</f>
        <v/>
      </c>
      <c r="K2629" s="56"/>
      <c r="L2629" s="58" t="str">
        <f t="shared" si="7"/>
        <v/>
      </c>
      <c r="M2629" s="49"/>
      <c r="N2629" s="49"/>
      <c r="O2629" s="49"/>
      <c r="P2629" s="49"/>
      <c r="Q2629" s="49"/>
      <c r="R2629" s="49"/>
      <c r="S2629" s="49"/>
      <c r="T2629" s="49"/>
      <c r="U2629" s="49"/>
      <c r="V2629" s="49"/>
      <c r="W2629" s="56"/>
      <c r="X2629" s="51" t="str">
        <f t="shared" si="5"/>
        <v/>
      </c>
      <c r="Y2629" s="50" t="s">
        <v>482</v>
      </c>
      <c r="Z2629" s="49">
        <f t="shared" si="6"/>
        <v>0</v>
      </c>
    </row>
    <row r="2630" ht="22.5" customHeight="1">
      <c r="B2630" s="57"/>
      <c r="C2630" s="43" t="str">
        <f t="array" ref="C2630">IF(B2630="","",_xlfn.XLOOKUP(B2630,'Form responses 1'!$B$2:$B$2604,'Form responses 1'!$A$2:$A$2604,""))</f>
        <v/>
      </c>
      <c r="D2630" s="44" t="str">
        <f t="shared" si="3"/>
        <v/>
      </c>
      <c r="E2630" s="44" t="str">
        <f t="array" ref="E2630">IF(B2630="","",_xlfn.XLOOKUP(B2630,'Form responses 1'!$B$2:$B$2604,'Form responses 1'!$C$2:$C$2604,""))</f>
        <v/>
      </c>
      <c r="F2630" s="44" t="str">
        <f t="array" ref="F2630">IF(B2630="","",_xlfn.XLOOKUP(B2630,'Form responses 1'!$B$2:$B$2604,'Form responses 1'!$D$2:$D$2604,""))</f>
        <v/>
      </c>
      <c r="G2630" s="44" t="str">
        <f t="array" ref="G2630">IF(B2630="","",_xlfn.XLOOKUP(B2630,'Form responses 1'!$B$2:$B$2604,'Form responses 1'!$E$2:$E$2604,""))</f>
        <v/>
      </c>
      <c r="H2630" s="44" t="str">
        <f t="array" ref="H2630">IF(B2630="","",_xlfn.XLOOKUP(B2630,'Form responses 1'!$B$2:$B$2604,'Form responses 1'!$F$2:$F$2604,""))</f>
        <v/>
      </c>
      <c r="I2630" s="44" t="str">
        <f t="array" ref="I2630">IF(B2630="","",_xlfn.XLOOKUP(B2630,'Form responses 1'!$B$2:$B$2604,'Form responses 1'!$I$2:$I$2604,""))</f>
        <v/>
      </c>
      <c r="J2630" s="44" t="str">
        <f t="array" ref="J2630">IF(B2630="","",_xlfn.XLOOKUP(B2630,'Form responses 1'!$B$2:$B$2604,'Form responses 1'!$G$2:$G$2604,""))</f>
        <v/>
      </c>
      <c r="K2630" s="56"/>
      <c r="L2630" s="58" t="str">
        <f t="shared" si="7"/>
        <v/>
      </c>
      <c r="M2630" s="49"/>
      <c r="N2630" s="49"/>
      <c r="O2630" s="49"/>
      <c r="P2630" s="49"/>
      <c r="Q2630" s="49"/>
      <c r="R2630" s="49"/>
      <c r="S2630" s="49"/>
      <c r="T2630" s="49"/>
      <c r="U2630" s="49"/>
      <c r="V2630" s="49"/>
      <c r="W2630" s="56"/>
      <c r="X2630" s="51" t="str">
        <f t="shared" si="5"/>
        <v/>
      </c>
      <c r="Y2630" s="50" t="s">
        <v>482</v>
      </c>
      <c r="Z2630" s="49">
        <f t="shared" si="6"/>
        <v>0</v>
      </c>
    </row>
    <row r="2631" ht="22.5" customHeight="1">
      <c r="B2631" s="57"/>
      <c r="C2631" s="43" t="str">
        <f t="array" ref="C2631">IF(B2631="","",_xlfn.XLOOKUP(B2631,'Form responses 1'!$B$2:$B$2604,'Form responses 1'!$A$2:$A$2604,""))</f>
        <v/>
      </c>
      <c r="D2631" s="44" t="str">
        <f t="shared" si="3"/>
        <v/>
      </c>
      <c r="E2631" s="44" t="str">
        <f t="array" ref="E2631">IF(B2631="","",_xlfn.XLOOKUP(B2631,'Form responses 1'!$B$2:$B$2604,'Form responses 1'!$C$2:$C$2604,""))</f>
        <v/>
      </c>
      <c r="F2631" s="44" t="str">
        <f t="array" ref="F2631">IF(B2631="","",_xlfn.XLOOKUP(B2631,'Form responses 1'!$B$2:$B$2604,'Form responses 1'!$D$2:$D$2604,""))</f>
        <v/>
      </c>
      <c r="G2631" s="44" t="str">
        <f t="array" ref="G2631">IF(B2631="","",_xlfn.XLOOKUP(B2631,'Form responses 1'!$B$2:$B$2604,'Form responses 1'!$E$2:$E$2604,""))</f>
        <v/>
      </c>
      <c r="H2631" s="44" t="str">
        <f t="array" ref="H2631">IF(B2631="","",_xlfn.XLOOKUP(B2631,'Form responses 1'!$B$2:$B$2604,'Form responses 1'!$F$2:$F$2604,""))</f>
        <v/>
      </c>
      <c r="I2631" s="44" t="str">
        <f t="array" ref="I2631">IF(B2631="","",_xlfn.XLOOKUP(B2631,'Form responses 1'!$B$2:$B$2604,'Form responses 1'!$I$2:$I$2604,""))</f>
        <v/>
      </c>
      <c r="J2631" s="44" t="str">
        <f t="array" ref="J2631">IF(B2631="","",_xlfn.XLOOKUP(B2631,'Form responses 1'!$B$2:$B$2604,'Form responses 1'!$G$2:$G$2604,""))</f>
        <v/>
      </c>
      <c r="K2631" s="56"/>
      <c r="L2631" s="58" t="str">
        <f t="shared" si="7"/>
        <v/>
      </c>
      <c r="M2631" s="49"/>
      <c r="N2631" s="49"/>
      <c r="O2631" s="49"/>
      <c r="P2631" s="49"/>
      <c r="Q2631" s="49"/>
      <c r="R2631" s="49"/>
      <c r="S2631" s="49"/>
      <c r="T2631" s="49"/>
      <c r="U2631" s="49"/>
      <c r="V2631" s="49"/>
      <c r="W2631" s="56"/>
      <c r="X2631" s="51" t="str">
        <f t="shared" si="5"/>
        <v/>
      </c>
      <c r="Y2631" s="50" t="s">
        <v>482</v>
      </c>
      <c r="Z2631" s="49">
        <f t="shared" si="6"/>
        <v>0</v>
      </c>
    </row>
    <row r="2632" ht="22.5" customHeight="1">
      <c r="B2632" s="57"/>
      <c r="C2632" s="43" t="str">
        <f t="array" ref="C2632">IF(B2632="","",_xlfn.XLOOKUP(B2632,'Form responses 1'!$B$2:$B$2604,'Form responses 1'!$A$2:$A$2604,""))</f>
        <v/>
      </c>
      <c r="D2632" s="44" t="str">
        <f t="shared" si="3"/>
        <v/>
      </c>
      <c r="E2632" s="44" t="str">
        <f t="array" ref="E2632">IF(B2632="","",_xlfn.XLOOKUP(B2632,'Form responses 1'!$B$2:$B$2604,'Form responses 1'!$C$2:$C$2604,""))</f>
        <v/>
      </c>
      <c r="F2632" s="44" t="str">
        <f t="array" ref="F2632">IF(B2632="","",_xlfn.XLOOKUP(B2632,'Form responses 1'!$B$2:$B$2604,'Form responses 1'!$D$2:$D$2604,""))</f>
        <v/>
      </c>
      <c r="G2632" s="44" t="str">
        <f t="array" ref="G2632">IF(B2632="","",_xlfn.XLOOKUP(B2632,'Form responses 1'!$B$2:$B$2604,'Form responses 1'!$E$2:$E$2604,""))</f>
        <v/>
      </c>
      <c r="H2632" s="44" t="str">
        <f t="array" ref="H2632">IF(B2632="","",_xlfn.XLOOKUP(B2632,'Form responses 1'!$B$2:$B$2604,'Form responses 1'!$F$2:$F$2604,""))</f>
        <v/>
      </c>
      <c r="I2632" s="44" t="str">
        <f t="array" ref="I2632">IF(B2632="","",_xlfn.XLOOKUP(B2632,'Form responses 1'!$B$2:$B$2604,'Form responses 1'!$I$2:$I$2604,""))</f>
        <v/>
      </c>
      <c r="J2632" s="44" t="str">
        <f t="array" ref="J2632">IF(B2632="","",_xlfn.XLOOKUP(B2632,'Form responses 1'!$B$2:$B$2604,'Form responses 1'!$G$2:$G$2604,""))</f>
        <v/>
      </c>
      <c r="K2632" s="56"/>
      <c r="L2632" s="58" t="str">
        <f t="shared" si="7"/>
        <v/>
      </c>
      <c r="M2632" s="49"/>
      <c r="N2632" s="49"/>
      <c r="O2632" s="49"/>
      <c r="P2632" s="49"/>
      <c r="Q2632" s="49"/>
      <c r="R2632" s="49"/>
      <c r="S2632" s="49"/>
      <c r="T2632" s="49"/>
      <c r="U2632" s="49"/>
      <c r="V2632" s="49"/>
      <c r="W2632" s="56"/>
      <c r="X2632" s="51" t="str">
        <f t="shared" si="5"/>
        <v/>
      </c>
      <c r="Y2632" s="50" t="s">
        <v>482</v>
      </c>
      <c r="Z2632" s="49">
        <f t="shared" si="6"/>
        <v>0</v>
      </c>
    </row>
    <row r="2633" ht="22.5" customHeight="1">
      <c r="B2633" s="57"/>
      <c r="C2633" s="43" t="str">
        <f t="array" ref="C2633">IF(B2633="","",_xlfn.XLOOKUP(B2633,'Form responses 1'!$B$2:$B$2604,'Form responses 1'!$A$2:$A$2604,""))</f>
        <v/>
      </c>
      <c r="D2633" s="44" t="str">
        <f t="shared" si="3"/>
        <v/>
      </c>
      <c r="E2633" s="44" t="str">
        <f t="array" ref="E2633">IF(B2633="","",_xlfn.XLOOKUP(B2633,'Form responses 1'!$B$2:$B$2604,'Form responses 1'!$C$2:$C$2604,""))</f>
        <v/>
      </c>
      <c r="F2633" s="44" t="str">
        <f t="array" ref="F2633">IF(B2633="","",_xlfn.XLOOKUP(B2633,'Form responses 1'!$B$2:$B$2604,'Form responses 1'!$D$2:$D$2604,""))</f>
        <v/>
      </c>
      <c r="G2633" s="44" t="str">
        <f t="array" ref="G2633">IF(B2633="","",_xlfn.XLOOKUP(B2633,'Form responses 1'!$B$2:$B$2604,'Form responses 1'!$E$2:$E$2604,""))</f>
        <v/>
      </c>
      <c r="H2633" s="44" t="str">
        <f t="array" ref="H2633">IF(B2633="","",_xlfn.XLOOKUP(B2633,'Form responses 1'!$B$2:$B$2604,'Form responses 1'!$F$2:$F$2604,""))</f>
        <v/>
      </c>
      <c r="I2633" s="44" t="str">
        <f t="array" ref="I2633">IF(B2633="","",_xlfn.XLOOKUP(B2633,'Form responses 1'!$B$2:$B$2604,'Form responses 1'!$I$2:$I$2604,""))</f>
        <v/>
      </c>
      <c r="J2633" s="44" t="str">
        <f t="array" ref="J2633">IF(B2633="","",_xlfn.XLOOKUP(B2633,'Form responses 1'!$B$2:$B$2604,'Form responses 1'!$G$2:$G$2604,""))</f>
        <v/>
      </c>
      <c r="K2633" s="56"/>
      <c r="L2633" s="58" t="str">
        <f t="shared" si="7"/>
        <v/>
      </c>
      <c r="M2633" s="49"/>
      <c r="N2633" s="49"/>
      <c r="O2633" s="49"/>
      <c r="P2633" s="49"/>
      <c r="Q2633" s="49"/>
      <c r="R2633" s="49"/>
      <c r="S2633" s="49"/>
      <c r="T2633" s="49"/>
      <c r="U2633" s="49"/>
      <c r="V2633" s="49"/>
      <c r="W2633" s="56"/>
      <c r="X2633" s="51" t="str">
        <f t="shared" si="5"/>
        <v/>
      </c>
      <c r="Y2633" s="50" t="s">
        <v>482</v>
      </c>
      <c r="Z2633" s="49">
        <f t="shared" si="6"/>
        <v>0</v>
      </c>
    </row>
    <row r="2634" ht="22.5" customHeight="1">
      <c r="B2634" s="57"/>
      <c r="C2634" s="43" t="str">
        <f t="array" ref="C2634">IF(B2634="","",_xlfn.XLOOKUP(B2634,'Form responses 1'!$B$2:$B$2604,'Form responses 1'!$A$2:$A$2604,""))</f>
        <v/>
      </c>
      <c r="D2634" s="44" t="str">
        <f t="shared" si="3"/>
        <v/>
      </c>
      <c r="E2634" s="44" t="str">
        <f t="array" ref="E2634">IF(B2634="","",_xlfn.XLOOKUP(B2634,'Form responses 1'!$B$2:$B$2604,'Form responses 1'!$C$2:$C$2604,""))</f>
        <v/>
      </c>
      <c r="F2634" s="44" t="str">
        <f t="array" ref="F2634">IF(B2634="","",_xlfn.XLOOKUP(B2634,'Form responses 1'!$B$2:$B$2604,'Form responses 1'!$D$2:$D$2604,""))</f>
        <v/>
      </c>
      <c r="G2634" s="44" t="str">
        <f t="array" ref="G2634">IF(B2634="","",_xlfn.XLOOKUP(B2634,'Form responses 1'!$B$2:$B$2604,'Form responses 1'!$E$2:$E$2604,""))</f>
        <v/>
      </c>
      <c r="H2634" s="44" t="str">
        <f t="array" ref="H2634">IF(B2634="","",_xlfn.XLOOKUP(B2634,'Form responses 1'!$B$2:$B$2604,'Form responses 1'!$F$2:$F$2604,""))</f>
        <v/>
      </c>
      <c r="I2634" s="44" t="str">
        <f t="array" ref="I2634">IF(B2634="","",_xlfn.XLOOKUP(B2634,'Form responses 1'!$B$2:$B$2604,'Form responses 1'!$I$2:$I$2604,""))</f>
        <v/>
      </c>
      <c r="J2634" s="44" t="str">
        <f t="array" ref="J2634">IF(B2634="","",_xlfn.XLOOKUP(B2634,'Form responses 1'!$B$2:$B$2604,'Form responses 1'!$G$2:$G$2604,""))</f>
        <v/>
      </c>
      <c r="K2634" s="56"/>
      <c r="L2634" s="58" t="str">
        <f t="shared" si="7"/>
        <v/>
      </c>
      <c r="M2634" s="49"/>
      <c r="N2634" s="49"/>
      <c r="O2634" s="49"/>
      <c r="P2634" s="49"/>
      <c r="Q2634" s="49"/>
      <c r="R2634" s="49"/>
      <c r="S2634" s="49"/>
      <c r="T2634" s="49"/>
      <c r="U2634" s="49"/>
      <c r="V2634" s="49"/>
      <c r="W2634" s="56"/>
      <c r="X2634" s="51" t="str">
        <f t="shared" si="5"/>
        <v/>
      </c>
      <c r="Y2634" s="50" t="s">
        <v>482</v>
      </c>
      <c r="Z2634" s="49">
        <f t="shared" si="6"/>
        <v>0</v>
      </c>
    </row>
    <row r="2635" ht="22.5" customHeight="1">
      <c r="B2635" s="57"/>
      <c r="C2635" s="43" t="str">
        <f t="array" ref="C2635">IF(B2635="","",_xlfn.XLOOKUP(B2635,'Form responses 1'!$B$2:$B$2604,'Form responses 1'!$A$2:$A$2604,""))</f>
        <v/>
      </c>
      <c r="D2635" s="44" t="str">
        <f t="shared" si="3"/>
        <v/>
      </c>
      <c r="E2635" s="44" t="str">
        <f t="array" ref="E2635">IF(B2635="","",_xlfn.XLOOKUP(B2635,'Form responses 1'!$B$2:$B$2604,'Form responses 1'!$C$2:$C$2604,""))</f>
        <v/>
      </c>
      <c r="F2635" s="44" t="str">
        <f t="array" ref="F2635">IF(B2635="","",_xlfn.XLOOKUP(B2635,'Form responses 1'!$B$2:$B$2604,'Form responses 1'!$D$2:$D$2604,""))</f>
        <v/>
      </c>
      <c r="G2635" s="44" t="str">
        <f t="array" ref="G2635">IF(B2635="","",_xlfn.XLOOKUP(B2635,'Form responses 1'!$B$2:$B$2604,'Form responses 1'!$E$2:$E$2604,""))</f>
        <v/>
      </c>
      <c r="H2635" s="44" t="str">
        <f t="array" ref="H2635">IF(B2635="","",_xlfn.XLOOKUP(B2635,'Form responses 1'!$B$2:$B$2604,'Form responses 1'!$F$2:$F$2604,""))</f>
        <v/>
      </c>
      <c r="I2635" s="44" t="str">
        <f t="array" ref="I2635">IF(B2635="","",_xlfn.XLOOKUP(B2635,'Form responses 1'!$B$2:$B$2604,'Form responses 1'!$I$2:$I$2604,""))</f>
        <v/>
      </c>
      <c r="J2635" s="44" t="str">
        <f t="array" ref="J2635">IF(B2635="","",_xlfn.XLOOKUP(B2635,'Form responses 1'!$B$2:$B$2604,'Form responses 1'!$G$2:$G$2604,""))</f>
        <v/>
      </c>
      <c r="K2635" s="56"/>
      <c r="L2635" s="58" t="str">
        <f t="shared" si="7"/>
        <v/>
      </c>
      <c r="M2635" s="49"/>
      <c r="N2635" s="49"/>
      <c r="O2635" s="49"/>
      <c r="P2635" s="49"/>
      <c r="Q2635" s="49"/>
      <c r="R2635" s="49"/>
      <c r="S2635" s="49"/>
      <c r="T2635" s="49"/>
      <c r="U2635" s="49"/>
      <c r="V2635" s="49"/>
      <c r="W2635" s="56"/>
      <c r="X2635" s="51" t="str">
        <f t="shared" si="5"/>
        <v/>
      </c>
      <c r="Y2635" s="50" t="s">
        <v>482</v>
      </c>
      <c r="Z2635" s="49">
        <f t="shared" si="6"/>
        <v>0</v>
      </c>
    </row>
    <row r="2636" ht="22.5" customHeight="1">
      <c r="B2636" s="57"/>
      <c r="C2636" s="43" t="str">
        <f t="array" ref="C2636">IF(B2636="","",_xlfn.XLOOKUP(B2636,'Form responses 1'!$B$2:$B$2604,'Form responses 1'!$A$2:$A$2604,""))</f>
        <v/>
      </c>
      <c r="D2636" s="44" t="str">
        <f t="shared" si="3"/>
        <v/>
      </c>
      <c r="E2636" s="44" t="str">
        <f t="array" ref="E2636">IF(B2636="","",_xlfn.XLOOKUP(B2636,'Form responses 1'!$B$2:$B$2604,'Form responses 1'!$C$2:$C$2604,""))</f>
        <v/>
      </c>
      <c r="F2636" s="44" t="str">
        <f t="array" ref="F2636">IF(B2636="","",_xlfn.XLOOKUP(B2636,'Form responses 1'!$B$2:$B$2604,'Form responses 1'!$D$2:$D$2604,""))</f>
        <v/>
      </c>
      <c r="G2636" s="44" t="str">
        <f t="array" ref="G2636">IF(B2636="","",_xlfn.XLOOKUP(B2636,'Form responses 1'!$B$2:$B$2604,'Form responses 1'!$E$2:$E$2604,""))</f>
        <v/>
      </c>
      <c r="H2636" s="44" t="str">
        <f t="array" ref="H2636">IF(B2636="","",_xlfn.XLOOKUP(B2636,'Form responses 1'!$B$2:$B$2604,'Form responses 1'!$F$2:$F$2604,""))</f>
        <v/>
      </c>
      <c r="I2636" s="44" t="str">
        <f t="array" ref="I2636">IF(B2636="","",_xlfn.XLOOKUP(B2636,'Form responses 1'!$B$2:$B$2604,'Form responses 1'!$I$2:$I$2604,""))</f>
        <v/>
      </c>
      <c r="J2636" s="44" t="str">
        <f t="array" ref="J2636">IF(B2636="","",_xlfn.XLOOKUP(B2636,'Form responses 1'!$B$2:$B$2604,'Form responses 1'!$G$2:$G$2604,""))</f>
        <v/>
      </c>
      <c r="K2636" s="56"/>
      <c r="L2636" s="58" t="str">
        <f t="shared" si="7"/>
        <v/>
      </c>
      <c r="M2636" s="49"/>
      <c r="N2636" s="49"/>
      <c r="O2636" s="49"/>
      <c r="P2636" s="49"/>
      <c r="Q2636" s="49"/>
      <c r="R2636" s="49"/>
      <c r="S2636" s="49"/>
      <c r="T2636" s="49"/>
      <c r="U2636" s="49"/>
      <c r="V2636" s="49"/>
      <c r="W2636" s="56"/>
      <c r="X2636" s="51" t="str">
        <f t="shared" si="5"/>
        <v/>
      </c>
      <c r="Y2636" s="50" t="s">
        <v>482</v>
      </c>
      <c r="Z2636" s="49">
        <f t="shared" si="6"/>
        <v>0</v>
      </c>
    </row>
    <row r="2637" ht="22.5" customHeight="1">
      <c r="B2637" s="57"/>
      <c r="C2637" s="43" t="str">
        <f t="array" ref="C2637">IF(B2637="","",_xlfn.XLOOKUP(B2637,'Form responses 1'!$B$2:$B$2604,'Form responses 1'!$A$2:$A$2604,""))</f>
        <v/>
      </c>
      <c r="D2637" s="44" t="str">
        <f t="shared" si="3"/>
        <v/>
      </c>
      <c r="E2637" s="44" t="str">
        <f t="array" ref="E2637">IF(B2637="","",_xlfn.XLOOKUP(B2637,'Form responses 1'!$B$2:$B$2604,'Form responses 1'!$C$2:$C$2604,""))</f>
        <v/>
      </c>
      <c r="F2637" s="44" t="str">
        <f t="array" ref="F2637">IF(B2637="","",_xlfn.XLOOKUP(B2637,'Form responses 1'!$B$2:$B$2604,'Form responses 1'!$D$2:$D$2604,""))</f>
        <v/>
      </c>
      <c r="G2637" s="44" t="str">
        <f t="array" ref="G2637">IF(B2637="","",_xlfn.XLOOKUP(B2637,'Form responses 1'!$B$2:$B$2604,'Form responses 1'!$E$2:$E$2604,""))</f>
        <v/>
      </c>
      <c r="H2637" s="44" t="str">
        <f t="array" ref="H2637">IF(B2637="","",_xlfn.XLOOKUP(B2637,'Form responses 1'!$B$2:$B$2604,'Form responses 1'!$F$2:$F$2604,""))</f>
        <v/>
      </c>
      <c r="I2637" s="44" t="str">
        <f t="array" ref="I2637">IF(B2637="","",_xlfn.XLOOKUP(B2637,'Form responses 1'!$B$2:$B$2604,'Form responses 1'!$I$2:$I$2604,""))</f>
        <v/>
      </c>
      <c r="J2637" s="44" t="str">
        <f t="array" ref="J2637">IF(B2637="","",_xlfn.XLOOKUP(B2637,'Form responses 1'!$B$2:$B$2604,'Form responses 1'!$G$2:$G$2604,""))</f>
        <v/>
      </c>
      <c r="K2637" s="56"/>
      <c r="L2637" s="58" t="str">
        <f t="shared" si="7"/>
        <v/>
      </c>
      <c r="M2637" s="49"/>
      <c r="N2637" s="49"/>
      <c r="O2637" s="49"/>
      <c r="P2637" s="49"/>
      <c r="Q2637" s="49"/>
      <c r="R2637" s="49"/>
      <c r="S2637" s="49"/>
      <c r="T2637" s="49"/>
      <c r="U2637" s="49"/>
      <c r="V2637" s="49"/>
      <c r="W2637" s="56"/>
      <c r="X2637" s="51" t="str">
        <f t="shared" si="5"/>
        <v/>
      </c>
      <c r="Y2637" s="50" t="s">
        <v>482</v>
      </c>
      <c r="Z2637" s="49">
        <f t="shared" si="6"/>
        <v>0</v>
      </c>
    </row>
    <row r="2638" ht="22.5" customHeight="1">
      <c r="B2638" s="57"/>
      <c r="C2638" s="43" t="str">
        <f t="array" ref="C2638">IF(B2638="","",_xlfn.XLOOKUP(B2638,'Form responses 1'!$B$2:$B$2604,'Form responses 1'!$A$2:$A$2604,""))</f>
        <v/>
      </c>
      <c r="D2638" s="44" t="str">
        <f t="shared" si="3"/>
        <v/>
      </c>
      <c r="E2638" s="44" t="str">
        <f t="array" ref="E2638">IF(B2638="","",_xlfn.XLOOKUP(B2638,'Form responses 1'!$B$2:$B$2604,'Form responses 1'!$C$2:$C$2604,""))</f>
        <v/>
      </c>
      <c r="F2638" s="44" t="str">
        <f t="array" ref="F2638">IF(B2638="","",_xlfn.XLOOKUP(B2638,'Form responses 1'!$B$2:$B$2604,'Form responses 1'!$D$2:$D$2604,""))</f>
        <v/>
      </c>
      <c r="G2638" s="44" t="str">
        <f t="array" ref="G2638">IF(B2638="","",_xlfn.XLOOKUP(B2638,'Form responses 1'!$B$2:$B$2604,'Form responses 1'!$E$2:$E$2604,""))</f>
        <v/>
      </c>
      <c r="H2638" s="44" t="str">
        <f t="array" ref="H2638">IF(B2638="","",_xlfn.XLOOKUP(B2638,'Form responses 1'!$B$2:$B$2604,'Form responses 1'!$F$2:$F$2604,""))</f>
        <v/>
      </c>
      <c r="I2638" s="44" t="str">
        <f t="array" ref="I2638">IF(B2638="","",_xlfn.XLOOKUP(B2638,'Form responses 1'!$B$2:$B$2604,'Form responses 1'!$I$2:$I$2604,""))</f>
        <v/>
      </c>
      <c r="J2638" s="44" t="str">
        <f t="array" ref="J2638">IF(B2638="","",_xlfn.XLOOKUP(B2638,'Form responses 1'!$B$2:$B$2604,'Form responses 1'!$G$2:$G$2604,""))</f>
        <v/>
      </c>
      <c r="K2638" s="56"/>
      <c r="L2638" s="58" t="str">
        <f t="shared" si="7"/>
        <v/>
      </c>
      <c r="M2638" s="49"/>
      <c r="N2638" s="49"/>
      <c r="O2638" s="49"/>
      <c r="P2638" s="49"/>
      <c r="Q2638" s="49"/>
      <c r="R2638" s="49"/>
      <c r="S2638" s="49"/>
      <c r="T2638" s="49"/>
      <c r="U2638" s="49"/>
      <c r="V2638" s="49"/>
      <c r="W2638" s="56"/>
      <c r="X2638" s="51" t="str">
        <f t="shared" si="5"/>
        <v/>
      </c>
      <c r="Y2638" s="50" t="s">
        <v>482</v>
      </c>
      <c r="Z2638" s="49">
        <f t="shared" si="6"/>
        <v>0</v>
      </c>
    </row>
    <row r="2639" ht="22.5" customHeight="1">
      <c r="B2639" s="57"/>
      <c r="C2639" s="43" t="str">
        <f t="array" ref="C2639">IF(B2639="","",_xlfn.XLOOKUP(B2639,'Form responses 1'!$B$2:$B$2604,'Form responses 1'!$A$2:$A$2604,""))</f>
        <v/>
      </c>
      <c r="D2639" s="44" t="str">
        <f t="shared" si="3"/>
        <v/>
      </c>
      <c r="E2639" s="44" t="str">
        <f t="array" ref="E2639">IF(B2639="","",_xlfn.XLOOKUP(B2639,'Form responses 1'!$B$2:$B$2604,'Form responses 1'!$C$2:$C$2604,""))</f>
        <v/>
      </c>
      <c r="F2639" s="44" t="str">
        <f t="array" ref="F2639">IF(B2639="","",_xlfn.XLOOKUP(B2639,'Form responses 1'!$B$2:$B$2604,'Form responses 1'!$D$2:$D$2604,""))</f>
        <v/>
      </c>
      <c r="G2639" s="44" t="str">
        <f t="array" ref="G2639">IF(B2639="","",_xlfn.XLOOKUP(B2639,'Form responses 1'!$B$2:$B$2604,'Form responses 1'!$E$2:$E$2604,""))</f>
        <v/>
      </c>
      <c r="H2639" s="44" t="str">
        <f t="array" ref="H2639">IF(B2639="","",_xlfn.XLOOKUP(B2639,'Form responses 1'!$B$2:$B$2604,'Form responses 1'!$F$2:$F$2604,""))</f>
        <v/>
      </c>
      <c r="I2639" s="44" t="str">
        <f t="array" ref="I2639">IF(B2639="","",_xlfn.XLOOKUP(B2639,'Form responses 1'!$B$2:$B$2604,'Form responses 1'!$I$2:$I$2604,""))</f>
        <v/>
      </c>
      <c r="J2639" s="44" t="str">
        <f t="array" ref="J2639">IF(B2639="","",_xlfn.XLOOKUP(B2639,'Form responses 1'!$B$2:$B$2604,'Form responses 1'!$G$2:$G$2604,""))</f>
        <v/>
      </c>
      <c r="K2639" s="56"/>
      <c r="L2639" s="58" t="str">
        <f t="shared" si="7"/>
        <v/>
      </c>
      <c r="M2639" s="49"/>
      <c r="N2639" s="49"/>
      <c r="O2639" s="49"/>
      <c r="P2639" s="49"/>
      <c r="Q2639" s="49"/>
      <c r="R2639" s="49"/>
      <c r="S2639" s="49"/>
      <c r="T2639" s="49"/>
      <c r="U2639" s="49"/>
      <c r="V2639" s="49"/>
      <c r="W2639" s="56"/>
      <c r="X2639" s="51" t="str">
        <f t="shared" si="5"/>
        <v/>
      </c>
      <c r="Y2639" s="50" t="s">
        <v>482</v>
      </c>
      <c r="Z2639" s="49">
        <f t="shared" si="6"/>
        <v>0</v>
      </c>
    </row>
    <row r="2640" ht="22.5" customHeight="1">
      <c r="B2640" s="57"/>
      <c r="C2640" s="43" t="str">
        <f t="array" ref="C2640">IF(B2640="","",_xlfn.XLOOKUP(B2640,'Form responses 1'!$B$2:$B$2604,'Form responses 1'!$A$2:$A$2604,""))</f>
        <v/>
      </c>
      <c r="D2640" s="44" t="str">
        <f t="shared" si="3"/>
        <v/>
      </c>
      <c r="E2640" s="44" t="str">
        <f t="array" ref="E2640">IF(B2640="","",_xlfn.XLOOKUP(B2640,'Form responses 1'!$B$2:$B$2604,'Form responses 1'!$C$2:$C$2604,""))</f>
        <v/>
      </c>
      <c r="F2640" s="44" t="str">
        <f t="array" ref="F2640">IF(B2640="","",_xlfn.XLOOKUP(B2640,'Form responses 1'!$B$2:$B$2604,'Form responses 1'!$D$2:$D$2604,""))</f>
        <v/>
      </c>
      <c r="G2640" s="44" t="str">
        <f t="array" ref="G2640">IF(B2640="","",_xlfn.XLOOKUP(B2640,'Form responses 1'!$B$2:$B$2604,'Form responses 1'!$E$2:$E$2604,""))</f>
        <v/>
      </c>
      <c r="H2640" s="44" t="str">
        <f t="array" ref="H2640">IF(B2640="","",_xlfn.XLOOKUP(B2640,'Form responses 1'!$B$2:$B$2604,'Form responses 1'!$F$2:$F$2604,""))</f>
        <v/>
      </c>
      <c r="I2640" s="44" t="str">
        <f t="array" ref="I2640">IF(B2640="","",_xlfn.XLOOKUP(B2640,'Form responses 1'!$B$2:$B$2604,'Form responses 1'!$I$2:$I$2604,""))</f>
        <v/>
      </c>
      <c r="J2640" s="44" t="str">
        <f t="array" ref="J2640">IF(B2640="","",_xlfn.XLOOKUP(B2640,'Form responses 1'!$B$2:$B$2604,'Form responses 1'!$G$2:$G$2604,""))</f>
        <v/>
      </c>
      <c r="K2640" s="56"/>
      <c r="L2640" s="58" t="str">
        <f t="shared" si="7"/>
        <v/>
      </c>
      <c r="M2640" s="49"/>
      <c r="N2640" s="49"/>
      <c r="O2640" s="49"/>
      <c r="P2640" s="49"/>
      <c r="Q2640" s="49"/>
      <c r="R2640" s="49"/>
      <c r="S2640" s="49"/>
      <c r="T2640" s="49"/>
      <c r="U2640" s="49"/>
      <c r="V2640" s="49"/>
      <c r="W2640" s="56"/>
      <c r="X2640" s="51" t="str">
        <f t="shared" si="5"/>
        <v/>
      </c>
      <c r="Y2640" s="50" t="s">
        <v>482</v>
      </c>
      <c r="Z2640" s="49">
        <f t="shared" si="6"/>
        <v>0</v>
      </c>
    </row>
    <row r="2641" ht="22.5" customHeight="1">
      <c r="B2641" s="57"/>
      <c r="C2641" s="43" t="str">
        <f t="array" ref="C2641">IF(B2641="","",_xlfn.XLOOKUP(B2641,'Form responses 1'!$B$2:$B$2604,'Form responses 1'!$A$2:$A$2604,""))</f>
        <v/>
      </c>
      <c r="D2641" s="44" t="str">
        <f t="shared" si="3"/>
        <v/>
      </c>
      <c r="E2641" s="44" t="str">
        <f t="array" ref="E2641">IF(B2641="","",_xlfn.XLOOKUP(B2641,'Form responses 1'!$B$2:$B$2604,'Form responses 1'!$C$2:$C$2604,""))</f>
        <v/>
      </c>
      <c r="F2641" s="44" t="str">
        <f t="array" ref="F2641">IF(B2641="","",_xlfn.XLOOKUP(B2641,'Form responses 1'!$B$2:$B$2604,'Form responses 1'!$D$2:$D$2604,""))</f>
        <v/>
      </c>
      <c r="G2641" s="44" t="str">
        <f t="array" ref="G2641">IF(B2641="","",_xlfn.XLOOKUP(B2641,'Form responses 1'!$B$2:$B$2604,'Form responses 1'!$E$2:$E$2604,""))</f>
        <v/>
      </c>
      <c r="H2641" s="44" t="str">
        <f t="array" ref="H2641">IF(B2641="","",_xlfn.XLOOKUP(B2641,'Form responses 1'!$B$2:$B$2604,'Form responses 1'!$F$2:$F$2604,""))</f>
        <v/>
      </c>
      <c r="I2641" s="44" t="str">
        <f t="array" ref="I2641">IF(B2641="","",_xlfn.XLOOKUP(B2641,'Form responses 1'!$B$2:$B$2604,'Form responses 1'!$I$2:$I$2604,""))</f>
        <v/>
      </c>
      <c r="J2641" s="44" t="str">
        <f t="array" ref="J2641">IF(B2641="","",_xlfn.XLOOKUP(B2641,'Form responses 1'!$B$2:$B$2604,'Form responses 1'!$G$2:$G$2604,""))</f>
        <v/>
      </c>
      <c r="K2641" s="56"/>
      <c r="L2641" s="58" t="str">
        <f t="shared" si="7"/>
        <v/>
      </c>
      <c r="M2641" s="49"/>
      <c r="N2641" s="49"/>
      <c r="O2641" s="49"/>
      <c r="P2641" s="49"/>
      <c r="Q2641" s="49"/>
      <c r="R2641" s="49"/>
      <c r="S2641" s="49"/>
      <c r="T2641" s="49"/>
      <c r="U2641" s="49"/>
      <c r="V2641" s="49"/>
      <c r="W2641" s="56"/>
      <c r="X2641" s="51" t="str">
        <f t="shared" si="5"/>
        <v/>
      </c>
      <c r="Y2641" s="50" t="s">
        <v>482</v>
      </c>
      <c r="Z2641" s="49">
        <f t="shared" si="6"/>
        <v>0</v>
      </c>
    </row>
    <row r="2642" ht="22.5" customHeight="1">
      <c r="B2642" s="57"/>
      <c r="C2642" s="43" t="str">
        <f t="array" ref="C2642">IF(B2642="","",_xlfn.XLOOKUP(B2642,'Form responses 1'!$B$2:$B$2604,'Form responses 1'!$A$2:$A$2604,""))</f>
        <v/>
      </c>
      <c r="D2642" s="44" t="str">
        <f t="shared" si="3"/>
        <v/>
      </c>
      <c r="E2642" s="44" t="str">
        <f t="array" ref="E2642">IF(B2642="","",_xlfn.XLOOKUP(B2642,'Form responses 1'!$B$2:$B$2604,'Form responses 1'!$C$2:$C$2604,""))</f>
        <v/>
      </c>
      <c r="F2642" s="44" t="str">
        <f t="array" ref="F2642">IF(B2642="","",_xlfn.XLOOKUP(B2642,'Form responses 1'!$B$2:$B$2604,'Form responses 1'!$D$2:$D$2604,""))</f>
        <v/>
      </c>
      <c r="G2642" s="44" t="str">
        <f t="array" ref="G2642">IF(B2642="","",_xlfn.XLOOKUP(B2642,'Form responses 1'!$B$2:$B$2604,'Form responses 1'!$E$2:$E$2604,""))</f>
        <v/>
      </c>
      <c r="H2642" s="44" t="str">
        <f t="array" ref="H2642">IF(B2642="","",_xlfn.XLOOKUP(B2642,'Form responses 1'!$B$2:$B$2604,'Form responses 1'!$F$2:$F$2604,""))</f>
        <v/>
      </c>
      <c r="I2642" s="44" t="str">
        <f t="array" ref="I2642">IF(B2642="","",_xlfn.XLOOKUP(B2642,'Form responses 1'!$B$2:$B$2604,'Form responses 1'!$I$2:$I$2604,""))</f>
        <v/>
      </c>
      <c r="J2642" s="44" t="str">
        <f t="array" ref="J2642">IF(B2642="","",_xlfn.XLOOKUP(B2642,'Form responses 1'!$B$2:$B$2604,'Form responses 1'!$G$2:$G$2604,""))</f>
        <v/>
      </c>
      <c r="K2642" s="56"/>
      <c r="L2642" s="58" t="str">
        <f t="shared" si="7"/>
        <v/>
      </c>
      <c r="M2642" s="49"/>
      <c r="N2642" s="49"/>
      <c r="O2642" s="49"/>
      <c r="P2642" s="49"/>
      <c r="Q2642" s="49"/>
      <c r="R2642" s="49"/>
      <c r="S2642" s="49"/>
      <c r="T2642" s="49"/>
      <c r="U2642" s="49"/>
      <c r="V2642" s="49"/>
      <c r="W2642" s="56"/>
      <c r="X2642" s="51" t="str">
        <f t="shared" si="5"/>
        <v/>
      </c>
      <c r="Y2642" s="50" t="s">
        <v>482</v>
      </c>
      <c r="Z2642" s="49">
        <f t="shared" si="6"/>
        <v>0</v>
      </c>
    </row>
    <row r="2643" ht="22.5" customHeight="1">
      <c r="B2643" s="57"/>
      <c r="C2643" s="43" t="str">
        <f t="array" ref="C2643">IF(B2643="","",_xlfn.XLOOKUP(B2643,'Form responses 1'!$B$2:$B$2604,'Form responses 1'!$A$2:$A$2604,""))</f>
        <v/>
      </c>
      <c r="D2643" s="44" t="str">
        <f t="shared" si="3"/>
        <v/>
      </c>
      <c r="E2643" s="44" t="str">
        <f t="array" ref="E2643">IF(B2643="","",_xlfn.XLOOKUP(B2643,'Form responses 1'!$B$2:$B$2604,'Form responses 1'!$C$2:$C$2604,""))</f>
        <v/>
      </c>
      <c r="F2643" s="44" t="str">
        <f t="array" ref="F2643">IF(B2643="","",_xlfn.XLOOKUP(B2643,'Form responses 1'!$B$2:$B$2604,'Form responses 1'!$D$2:$D$2604,""))</f>
        <v/>
      </c>
      <c r="G2643" s="44" t="str">
        <f t="array" ref="G2643">IF(B2643="","",_xlfn.XLOOKUP(B2643,'Form responses 1'!$B$2:$B$2604,'Form responses 1'!$E$2:$E$2604,""))</f>
        <v/>
      </c>
      <c r="H2643" s="44" t="str">
        <f t="array" ref="H2643">IF(B2643="","",_xlfn.XLOOKUP(B2643,'Form responses 1'!$B$2:$B$2604,'Form responses 1'!$F$2:$F$2604,""))</f>
        <v/>
      </c>
      <c r="I2643" s="44" t="str">
        <f t="array" ref="I2643">IF(B2643="","",_xlfn.XLOOKUP(B2643,'Form responses 1'!$B$2:$B$2604,'Form responses 1'!$I$2:$I$2604,""))</f>
        <v/>
      </c>
      <c r="J2643" s="44" t="str">
        <f t="array" ref="J2643">IF(B2643="","",_xlfn.XLOOKUP(B2643,'Form responses 1'!$B$2:$B$2604,'Form responses 1'!$G$2:$G$2604,""))</f>
        <v/>
      </c>
      <c r="K2643" s="56"/>
      <c r="L2643" s="58" t="str">
        <f t="shared" si="7"/>
        <v/>
      </c>
      <c r="M2643" s="49"/>
      <c r="N2643" s="49"/>
      <c r="O2643" s="49"/>
      <c r="P2643" s="49"/>
      <c r="Q2643" s="49"/>
      <c r="R2643" s="49"/>
      <c r="S2643" s="49"/>
      <c r="T2643" s="49"/>
      <c r="U2643" s="49"/>
      <c r="V2643" s="49"/>
      <c r="W2643" s="56"/>
      <c r="X2643" s="51" t="str">
        <f t="shared" si="5"/>
        <v/>
      </c>
      <c r="Y2643" s="50" t="s">
        <v>482</v>
      </c>
      <c r="Z2643" s="49">
        <f t="shared" si="6"/>
        <v>0</v>
      </c>
    </row>
    <row r="2644" ht="22.5" customHeight="1">
      <c r="B2644" s="57"/>
      <c r="C2644" s="43" t="str">
        <f t="array" ref="C2644">IF(B2644="","",_xlfn.XLOOKUP(B2644,'Form responses 1'!$B$2:$B$2604,'Form responses 1'!$A$2:$A$2604,""))</f>
        <v/>
      </c>
      <c r="D2644" s="44" t="str">
        <f t="shared" si="3"/>
        <v/>
      </c>
      <c r="E2644" s="44" t="str">
        <f t="array" ref="E2644">IF(B2644="","",_xlfn.XLOOKUP(B2644,'Form responses 1'!$B$2:$B$2604,'Form responses 1'!$C$2:$C$2604,""))</f>
        <v/>
      </c>
      <c r="F2644" s="44" t="str">
        <f t="array" ref="F2644">IF(B2644="","",_xlfn.XLOOKUP(B2644,'Form responses 1'!$B$2:$B$2604,'Form responses 1'!$D$2:$D$2604,""))</f>
        <v/>
      </c>
      <c r="G2644" s="44" t="str">
        <f t="array" ref="G2644">IF(B2644="","",_xlfn.XLOOKUP(B2644,'Form responses 1'!$B$2:$B$2604,'Form responses 1'!$E$2:$E$2604,""))</f>
        <v/>
      </c>
      <c r="H2644" s="44" t="str">
        <f t="array" ref="H2644">IF(B2644="","",_xlfn.XLOOKUP(B2644,'Form responses 1'!$B$2:$B$2604,'Form responses 1'!$F$2:$F$2604,""))</f>
        <v/>
      </c>
      <c r="I2644" s="44" t="str">
        <f t="array" ref="I2644">IF(B2644="","",_xlfn.XLOOKUP(B2644,'Form responses 1'!$B$2:$B$2604,'Form responses 1'!$I$2:$I$2604,""))</f>
        <v/>
      </c>
      <c r="J2644" s="44" t="str">
        <f t="array" ref="J2644">IF(B2644="","",_xlfn.XLOOKUP(B2644,'Form responses 1'!$B$2:$B$2604,'Form responses 1'!$G$2:$G$2604,""))</f>
        <v/>
      </c>
      <c r="K2644" s="56"/>
      <c r="L2644" s="58" t="str">
        <f t="shared" si="7"/>
        <v/>
      </c>
      <c r="M2644" s="49"/>
      <c r="N2644" s="49"/>
      <c r="O2644" s="49"/>
      <c r="P2644" s="49"/>
      <c r="Q2644" s="49"/>
      <c r="R2644" s="49"/>
      <c r="S2644" s="49"/>
      <c r="T2644" s="49"/>
      <c r="U2644" s="49"/>
      <c r="V2644" s="49"/>
      <c r="W2644" s="56"/>
      <c r="X2644" s="51" t="str">
        <f t="shared" si="5"/>
        <v/>
      </c>
      <c r="Y2644" s="50" t="s">
        <v>482</v>
      </c>
      <c r="Z2644" s="49">
        <f t="shared" si="6"/>
        <v>0</v>
      </c>
    </row>
    <row r="2645" ht="22.5" customHeight="1">
      <c r="B2645" s="57"/>
      <c r="C2645" s="43" t="str">
        <f t="array" ref="C2645">IF(B2645="","",_xlfn.XLOOKUP(B2645,'Form responses 1'!$B$2:$B$2604,'Form responses 1'!$A$2:$A$2604,""))</f>
        <v/>
      </c>
      <c r="D2645" s="44" t="str">
        <f t="shared" si="3"/>
        <v/>
      </c>
      <c r="E2645" s="44" t="str">
        <f t="array" ref="E2645">IF(B2645="","",_xlfn.XLOOKUP(B2645,'Form responses 1'!$B$2:$B$2604,'Form responses 1'!$C$2:$C$2604,""))</f>
        <v/>
      </c>
      <c r="F2645" s="44" t="str">
        <f t="array" ref="F2645">IF(B2645="","",_xlfn.XLOOKUP(B2645,'Form responses 1'!$B$2:$B$2604,'Form responses 1'!$D$2:$D$2604,""))</f>
        <v/>
      </c>
      <c r="G2645" s="44" t="str">
        <f t="array" ref="G2645">IF(B2645="","",_xlfn.XLOOKUP(B2645,'Form responses 1'!$B$2:$B$2604,'Form responses 1'!$E$2:$E$2604,""))</f>
        <v/>
      </c>
      <c r="H2645" s="44" t="str">
        <f t="array" ref="H2645">IF(B2645="","",_xlfn.XLOOKUP(B2645,'Form responses 1'!$B$2:$B$2604,'Form responses 1'!$F$2:$F$2604,""))</f>
        <v/>
      </c>
      <c r="I2645" s="44" t="str">
        <f t="array" ref="I2645">IF(B2645="","",_xlfn.XLOOKUP(B2645,'Form responses 1'!$B$2:$B$2604,'Form responses 1'!$I$2:$I$2604,""))</f>
        <v/>
      </c>
      <c r="J2645" s="44" t="str">
        <f t="array" ref="J2645">IF(B2645="","",_xlfn.XLOOKUP(B2645,'Form responses 1'!$B$2:$B$2604,'Form responses 1'!$G$2:$G$2604,""))</f>
        <v/>
      </c>
      <c r="K2645" s="56"/>
      <c r="L2645" s="58" t="str">
        <f t="shared" si="7"/>
        <v/>
      </c>
      <c r="M2645" s="49"/>
      <c r="N2645" s="49"/>
      <c r="O2645" s="49"/>
      <c r="P2645" s="49"/>
      <c r="Q2645" s="49"/>
      <c r="R2645" s="49"/>
      <c r="S2645" s="49"/>
      <c r="T2645" s="49"/>
      <c r="U2645" s="49"/>
      <c r="V2645" s="49"/>
      <c r="W2645" s="56"/>
      <c r="X2645" s="51" t="str">
        <f t="shared" si="5"/>
        <v/>
      </c>
      <c r="Y2645" s="50" t="s">
        <v>482</v>
      </c>
      <c r="Z2645" s="49">
        <f t="shared" si="6"/>
        <v>0</v>
      </c>
    </row>
    <row r="2646" ht="22.5" customHeight="1">
      <c r="B2646" s="57"/>
      <c r="C2646" s="43" t="str">
        <f t="array" ref="C2646">IF(B2646="","",_xlfn.XLOOKUP(B2646,'Form responses 1'!$B$2:$B$2604,'Form responses 1'!$A$2:$A$2604,""))</f>
        <v/>
      </c>
      <c r="D2646" s="44" t="str">
        <f t="shared" si="3"/>
        <v/>
      </c>
      <c r="E2646" s="44" t="str">
        <f t="array" ref="E2646">IF(B2646="","",_xlfn.XLOOKUP(B2646,'Form responses 1'!$B$2:$B$2604,'Form responses 1'!$C$2:$C$2604,""))</f>
        <v/>
      </c>
      <c r="F2646" s="44" t="str">
        <f t="array" ref="F2646">IF(B2646="","",_xlfn.XLOOKUP(B2646,'Form responses 1'!$B$2:$B$2604,'Form responses 1'!$D$2:$D$2604,""))</f>
        <v/>
      </c>
      <c r="G2646" s="44" t="str">
        <f t="array" ref="G2646">IF(B2646="","",_xlfn.XLOOKUP(B2646,'Form responses 1'!$B$2:$B$2604,'Form responses 1'!$E$2:$E$2604,""))</f>
        <v/>
      </c>
      <c r="H2646" s="44" t="str">
        <f t="array" ref="H2646">IF(B2646="","",_xlfn.XLOOKUP(B2646,'Form responses 1'!$B$2:$B$2604,'Form responses 1'!$F$2:$F$2604,""))</f>
        <v/>
      </c>
      <c r="I2646" s="44" t="str">
        <f t="array" ref="I2646">IF(B2646="","",_xlfn.XLOOKUP(B2646,'Form responses 1'!$B$2:$B$2604,'Form responses 1'!$I$2:$I$2604,""))</f>
        <v/>
      </c>
      <c r="J2646" s="44" t="str">
        <f t="array" ref="J2646">IF(B2646="","",_xlfn.XLOOKUP(B2646,'Form responses 1'!$B$2:$B$2604,'Form responses 1'!$G$2:$G$2604,""))</f>
        <v/>
      </c>
      <c r="K2646" s="56"/>
      <c r="L2646" s="58" t="str">
        <f t="shared" si="7"/>
        <v/>
      </c>
      <c r="M2646" s="49"/>
      <c r="N2646" s="49"/>
      <c r="O2646" s="49"/>
      <c r="P2646" s="49"/>
      <c r="Q2646" s="49"/>
      <c r="R2646" s="49"/>
      <c r="S2646" s="49"/>
      <c r="T2646" s="49"/>
      <c r="U2646" s="49"/>
      <c r="V2646" s="49"/>
      <c r="W2646" s="56"/>
      <c r="X2646" s="51" t="str">
        <f t="shared" si="5"/>
        <v/>
      </c>
      <c r="Y2646" s="50" t="s">
        <v>482</v>
      </c>
      <c r="Z2646" s="49">
        <f t="shared" si="6"/>
        <v>0</v>
      </c>
    </row>
    <row r="2647" ht="22.5" customHeight="1">
      <c r="B2647" s="57"/>
      <c r="C2647" s="43" t="str">
        <f t="array" ref="C2647">IF(B2647="","",_xlfn.XLOOKUP(B2647,'Form responses 1'!$B$2:$B$2604,'Form responses 1'!$A$2:$A$2604,""))</f>
        <v/>
      </c>
      <c r="D2647" s="44" t="str">
        <f t="shared" si="3"/>
        <v/>
      </c>
      <c r="E2647" s="44" t="str">
        <f t="array" ref="E2647">IF(B2647="","",_xlfn.XLOOKUP(B2647,'Form responses 1'!$B$2:$B$2604,'Form responses 1'!$C$2:$C$2604,""))</f>
        <v/>
      </c>
      <c r="F2647" s="44" t="str">
        <f t="array" ref="F2647">IF(B2647="","",_xlfn.XLOOKUP(B2647,'Form responses 1'!$B$2:$B$2604,'Form responses 1'!$D$2:$D$2604,""))</f>
        <v/>
      </c>
      <c r="G2647" s="44" t="str">
        <f t="array" ref="G2647">IF(B2647="","",_xlfn.XLOOKUP(B2647,'Form responses 1'!$B$2:$B$2604,'Form responses 1'!$E$2:$E$2604,""))</f>
        <v/>
      </c>
      <c r="H2647" s="44" t="str">
        <f t="array" ref="H2647">IF(B2647="","",_xlfn.XLOOKUP(B2647,'Form responses 1'!$B$2:$B$2604,'Form responses 1'!$F$2:$F$2604,""))</f>
        <v/>
      </c>
      <c r="I2647" s="44" t="str">
        <f t="array" ref="I2647">IF(B2647="","",_xlfn.XLOOKUP(B2647,'Form responses 1'!$B$2:$B$2604,'Form responses 1'!$I$2:$I$2604,""))</f>
        <v/>
      </c>
      <c r="J2647" s="44" t="str">
        <f t="array" ref="J2647">IF(B2647="","",_xlfn.XLOOKUP(B2647,'Form responses 1'!$B$2:$B$2604,'Form responses 1'!$G$2:$G$2604,""))</f>
        <v/>
      </c>
      <c r="K2647" s="56"/>
      <c r="L2647" s="58" t="str">
        <f t="shared" si="7"/>
        <v/>
      </c>
      <c r="M2647" s="49"/>
      <c r="N2647" s="49"/>
      <c r="O2647" s="49"/>
      <c r="P2647" s="49"/>
      <c r="Q2647" s="49"/>
      <c r="R2647" s="49"/>
      <c r="S2647" s="49"/>
      <c r="T2647" s="49"/>
      <c r="U2647" s="49"/>
      <c r="V2647" s="49"/>
      <c r="W2647" s="56"/>
      <c r="X2647" s="51" t="str">
        <f t="shared" si="5"/>
        <v/>
      </c>
      <c r="Y2647" s="50" t="s">
        <v>482</v>
      </c>
      <c r="Z2647" s="49">
        <f t="shared" si="6"/>
        <v>0</v>
      </c>
    </row>
    <row r="2648" ht="22.5" customHeight="1">
      <c r="B2648" s="57"/>
      <c r="C2648" s="43" t="str">
        <f t="array" ref="C2648">IF(B2648="","",_xlfn.XLOOKUP(B2648,'Form responses 1'!$B$2:$B$2604,'Form responses 1'!$A$2:$A$2604,""))</f>
        <v/>
      </c>
      <c r="D2648" s="44" t="str">
        <f t="shared" si="3"/>
        <v/>
      </c>
      <c r="E2648" s="44" t="str">
        <f t="array" ref="E2648">IF(B2648="","",_xlfn.XLOOKUP(B2648,'Form responses 1'!$B$2:$B$2604,'Form responses 1'!$C$2:$C$2604,""))</f>
        <v/>
      </c>
      <c r="F2648" s="44" t="str">
        <f t="array" ref="F2648">IF(B2648="","",_xlfn.XLOOKUP(B2648,'Form responses 1'!$B$2:$B$2604,'Form responses 1'!$D$2:$D$2604,""))</f>
        <v/>
      </c>
      <c r="G2648" s="44" t="str">
        <f t="array" ref="G2648">IF(B2648="","",_xlfn.XLOOKUP(B2648,'Form responses 1'!$B$2:$B$2604,'Form responses 1'!$E$2:$E$2604,""))</f>
        <v/>
      </c>
      <c r="H2648" s="44" t="str">
        <f t="array" ref="H2648">IF(B2648="","",_xlfn.XLOOKUP(B2648,'Form responses 1'!$B$2:$B$2604,'Form responses 1'!$F$2:$F$2604,""))</f>
        <v/>
      </c>
      <c r="I2648" s="44" t="str">
        <f t="array" ref="I2648">IF(B2648="","",_xlfn.XLOOKUP(B2648,'Form responses 1'!$B$2:$B$2604,'Form responses 1'!$I$2:$I$2604,""))</f>
        <v/>
      </c>
      <c r="J2648" s="44" t="str">
        <f t="array" ref="J2648">IF(B2648="","",_xlfn.XLOOKUP(B2648,'Form responses 1'!$B$2:$B$2604,'Form responses 1'!$G$2:$G$2604,""))</f>
        <v/>
      </c>
      <c r="K2648" s="56"/>
      <c r="L2648" s="58" t="str">
        <f t="shared" si="7"/>
        <v/>
      </c>
      <c r="M2648" s="49"/>
      <c r="N2648" s="49"/>
      <c r="O2648" s="49"/>
      <c r="P2648" s="49"/>
      <c r="Q2648" s="49"/>
      <c r="R2648" s="49"/>
      <c r="S2648" s="49"/>
      <c r="T2648" s="49"/>
      <c r="U2648" s="49"/>
      <c r="V2648" s="49"/>
      <c r="W2648" s="56"/>
      <c r="X2648" s="51" t="str">
        <f t="shared" si="5"/>
        <v/>
      </c>
      <c r="Y2648" s="50" t="s">
        <v>482</v>
      </c>
      <c r="Z2648" s="49">
        <f t="shared" si="6"/>
        <v>0</v>
      </c>
    </row>
    <row r="2649" ht="22.5" customHeight="1">
      <c r="B2649" s="57"/>
      <c r="C2649" s="43" t="str">
        <f t="array" ref="C2649">IF(B2649="","",_xlfn.XLOOKUP(B2649,'Form responses 1'!$B$2:$B$2604,'Form responses 1'!$A$2:$A$2604,""))</f>
        <v/>
      </c>
      <c r="D2649" s="44" t="str">
        <f t="shared" si="3"/>
        <v/>
      </c>
      <c r="E2649" s="44" t="str">
        <f t="array" ref="E2649">IF(B2649="","",_xlfn.XLOOKUP(B2649,'Form responses 1'!$B$2:$B$2604,'Form responses 1'!$C$2:$C$2604,""))</f>
        <v/>
      </c>
      <c r="F2649" s="44" t="str">
        <f t="array" ref="F2649">IF(B2649="","",_xlfn.XLOOKUP(B2649,'Form responses 1'!$B$2:$B$2604,'Form responses 1'!$D$2:$D$2604,""))</f>
        <v/>
      </c>
      <c r="G2649" s="44" t="str">
        <f t="array" ref="G2649">IF(B2649="","",_xlfn.XLOOKUP(B2649,'Form responses 1'!$B$2:$B$2604,'Form responses 1'!$E$2:$E$2604,""))</f>
        <v/>
      </c>
      <c r="H2649" s="44" t="str">
        <f t="array" ref="H2649">IF(B2649="","",_xlfn.XLOOKUP(B2649,'Form responses 1'!$B$2:$B$2604,'Form responses 1'!$F$2:$F$2604,""))</f>
        <v/>
      </c>
      <c r="I2649" s="44" t="str">
        <f t="array" ref="I2649">IF(B2649="","",_xlfn.XLOOKUP(B2649,'Form responses 1'!$B$2:$B$2604,'Form responses 1'!$I$2:$I$2604,""))</f>
        <v/>
      </c>
      <c r="J2649" s="44" t="str">
        <f t="array" ref="J2649">IF(B2649="","",_xlfn.XLOOKUP(B2649,'Form responses 1'!$B$2:$B$2604,'Form responses 1'!$G$2:$G$2604,""))</f>
        <v/>
      </c>
      <c r="K2649" s="56"/>
      <c r="L2649" s="58" t="str">
        <f t="shared" si="7"/>
        <v/>
      </c>
      <c r="M2649" s="49"/>
      <c r="N2649" s="49"/>
      <c r="O2649" s="49"/>
      <c r="P2649" s="49"/>
      <c r="Q2649" s="49"/>
      <c r="R2649" s="49"/>
      <c r="S2649" s="49"/>
      <c r="T2649" s="49"/>
      <c r="U2649" s="49"/>
      <c r="V2649" s="49"/>
      <c r="W2649" s="56"/>
      <c r="X2649" s="51" t="str">
        <f t="shared" si="5"/>
        <v/>
      </c>
      <c r="Y2649" s="50" t="s">
        <v>482</v>
      </c>
      <c r="Z2649" s="49">
        <f t="shared" si="6"/>
        <v>0</v>
      </c>
    </row>
    <row r="2650" ht="22.5" customHeight="1">
      <c r="B2650" s="57"/>
      <c r="C2650" s="43" t="str">
        <f t="array" ref="C2650">IF(B2650="","",_xlfn.XLOOKUP(B2650,'Form responses 1'!$B$2:$B$2604,'Form responses 1'!$A$2:$A$2604,""))</f>
        <v/>
      </c>
      <c r="D2650" s="44" t="str">
        <f t="shared" si="3"/>
        <v/>
      </c>
      <c r="E2650" s="44" t="str">
        <f t="array" ref="E2650">IF(B2650="","",_xlfn.XLOOKUP(B2650,'Form responses 1'!$B$2:$B$2604,'Form responses 1'!$C$2:$C$2604,""))</f>
        <v/>
      </c>
      <c r="F2650" s="44" t="str">
        <f t="array" ref="F2650">IF(B2650="","",_xlfn.XLOOKUP(B2650,'Form responses 1'!$B$2:$B$2604,'Form responses 1'!$D$2:$D$2604,""))</f>
        <v/>
      </c>
      <c r="G2650" s="44" t="str">
        <f t="array" ref="G2650">IF(B2650="","",_xlfn.XLOOKUP(B2650,'Form responses 1'!$B$2:$B$2604,'Form responses 1'!$E$2:$E$2604,""))</f>
        <v/>
      </c>
      <c r="H2650" s="44" t="str">
        <f t="array" ref="H2650">IF(B2650="","",_xlfn.XLOOKUP(B2650,'Form responses 1'!$B$2:$B$2604,'Form responses 1'!$F$2:$F$2604,""))</f>
        <v/>
      </c>
      <c r="I2650" s="44" t="str">
        <f t="array" ref="I2650">IF(B2650="","",_xlfn.XLOOKUP(B2650,'Form responses 1'!$B$2:$B$2604,'Form responses 1'!$I$2:$I$2604,""))</f>
        <v/>
      </c>
      <c r="J2650" s="44" t="str">
        <f t="array" ref="J2650">IF(B2650="","",_xlfn.XLOOKUP(B2650,'Form responses 1'!$B$2:$B$2604,'Form responses 1'!$G$2:$G$2604,""))</f>
        <v/>
      </c>
      <c r="K2650" s="56"/>
      <c r="L2650" s="58" t="str">
        <f t="shared" si="7"/>
        <v/>
      </c>
      <c r="M2650" s="49"/>
      <c r="N2650" s="49"/>
      <c r="O2650" s="49"/>
      <c r="P2650" s="49"/>
      <c r="Q2650" s="49"/>
      <c r="R2650" s="49"/>
      <c r="S2650" s="49"/>
      <c r="T2650" s="49"/>
      <c r="U2650" s="49"/>
      <c r="V2650" s="49"/>
      <c r="W2650" s="56"/>
      <c r="X2650" s="51" t="str">
        <f t="shared" si="5"/>
        <v/>
      </c>
      <c r="Y2650" s="50" t="s">
        <v>482</v>
      </c>
      <c r="Z2650" s="49">
        <f t="shared" si="6"/>
        <v>0</v>
      </c>
    </row>
    <row r="2651" ht="22.5" customHeight="1">
      <c r="B2651" s="57"/>
      <c r="C2651" s="43" t="str">
        <f t="array" ref="C2651">IF(B2651="","",_xlfn.XLOOKUP(B2651,'Form responses 1'!$B$2:$B$2604,'Form responses 1'!$A$2:$A$2604,""))</f>
        <v/>
      </c>
      <c r="D2651" s="44" t="str">
        <f t="shared" si="3"/>
        <v/>
      </c>
      <c r="E2651" s="44" t="str">
        <f t="array" ref="E2651">IF(B2651="","",_xlfn.XLOOKUP(B2651,'Form responses 1'!$B$2:$B$2604,'Form responses 1'!$C$2:$C$2604,""))</f>
        <v/>
      </c>
      <c r="F2651" s="44" t="str">
        <f t="array" ref="F2651">IF(B2651="","",_xlfn.XLOOKUP(B2651,'Form responses 1'!$B$2:$B$2604,'Form responses 1'!$D$2:$D$2604,""))</f>
        <v/>
      </c>
      <c r="G2651" s="44" t="str">
        <f t="array" ref="G2651">IF(B2651="","",_xlfn.XLOOKUP(B2651,'Form responses 1'!$B$2:$B$2604,'Form responses 1'!$E$2:$E$2604,""))</f>
        <v/>
      </c>
      <c r="H2651" s="44" t="str">
        <f t="array" ref="H2651">IF(B2651="","",_xlfn.XLOOKUP(B2651,'Form responses 1'!$B$2:$B$2604,'Form responses 1'!$F$2:$F$2604,""))</f>
        <v/>
      </c>
      <c r="I2651" s="44" t="str">
        <f t="array" ref="I2651">IF(B2651="","",_xlfn.XLOOKUP(B2651,'Form responses 1'!$B$2:$B$2604,'Form responses 1'!$I$2:$I$2604,""))</f>
        <v/>
      </c>
      <c r="J2651" s="44" t="str">
        <f t="array" ref="J2651">IF(B2651="","",_xlfn.XLOOKUP(B2651,'Form responses 1'!$B$2:$B$2604,'Form responses 1'!$G$2:$G$2604,""))</f>
        <v/>
      </c>
      <c r="K2651" s="56"/>
      <c r="L2651" s="58" t="str">
        <f t="shared" si="7"/>
        <v/>
      </c>
      <c r="M2651" s="49"/>
      <c r="N2651" s="49"/>
      <c r="O2651" s="49"/>
      <c r="P2651" s="49"/>
      <c r="Q2651" s="49"/>
      <c r="R2651" s="49"/>
      <c r="S2651" s="49"/>
      <c r="T2651" s="49"/>
      <c r="U2651" s="49"/>
      <c r="V2651" s="49"/>
      <c r="W2651" s="56"/>
      <c r="X2651" s="51" t="str">
        <f t="shared" si="5"/>
        <v/>
      </c>
      <c r="Y2651" s="50" t="s">
        <v>482</v>
      </c>
      <c r="Z2651" s="49">
        <f t="shared" si="6"/>
        <v>0</v>
      </c>
    </row>
    <row r="2652" ht="22.5" customHeight="1">
      <c r="B2652" s="57"/>
      <c r="C2652" s="43" t="str">
        <f t="array" ref="C2652">IF(B2652="","",_xlfn.XLOOKUP(B2652,'Form responses 1'!$B$2:$B$2604,'Form responses 1'!$A$2:$A$2604,""))</f>
        <v/>
      </c>
      <c r="D2652" s="44" t="str">
        <f t="shared" si="3"/>
        <v/>
      </c>
      <c r="E2652" s="44" t="str">
        <f t="array" ref="E2652">IF(B2652="","",_xlfn.XLOOKUP(B2652,'Form responses 1'!$B$2:$B$2604,'Form responses 1'!$C$2:$C$2604,""))</f>
        <v/>
      </c>
      <c r="F2652" s="44" t="str">
        <f t="array" ref="F2652">IF(B2652="","",_xlfn.XLOOKUP(B2652,'Form responses 1'!$B$2:$B$2604,'Form responses 1'!$D$2:$D$2604,""))</f>
        <v/>
      </c>
      <c r="G2652" s="44" t="str">
        <f t="array" ref="G2652">IF(B2652="","",_xlfn.XLOOKUP(B2652,'Form responses 1'!$B$2:$B$2604,'Form responses 1'!$E$2:$E$2604,""))</f>
        <v/>
      </c>
      <c r="H2652" s="44" t="str">
        <f t="array" ref="H2652">IF(B2652="","",_xlfn.XLOOKUP(B2652,'Form responses 1'!$B$2:$B$2604,'Form responses 1'!$F$2:$F$2604,""))</f>
        <v/>
      </c>
      <c r="I2652" s="44" t="str">
        <f t="array" ref="I2652">IF(B2652="","",_xlfn.XLOOKUP(B2652,'Form responses 1'!$B$2:$B$2604,'Form responses 1'!$I$2:$I$2604,""))</f>
        <v/>
      </c>
      <c r="J2652" s="44" t="str">
        <f t="array" ref="J2652">IF(B2652="","",_xlfn.XLOOKUP(B2652,'Form responses 1'!$B$2:$B$2604,'Form responses 1'!$G$2:$G$2604,""))</f>
        <v/>
      </c>
      <c r="K2652" s="56"/>
      <c r="L2652" s="58" t="str">
        <f t="shared" si="7"/>
        <v/>
      </c>
      <c r="M2652" s="49"/>
      <c r="N2652" s="49"/>
      <c r="O2652" s="49"/>
      <c r="P2652" s="49"/>
      <c r="Q2652" s="49"/>
      <c r="R2652" s="49"/>
      <c r="S2652" s="49"/>
      <c r="T2652" s="49"/>
      <c r="U2652" s="49"/>
      <c r="V2652" s="49"/>
      <c r="W2652" s="56"/>
      <c r="X2652" s="51" t="str">
        <f t="shared" si="5"/>
        <v/>
      </c>
      <c r="Y2652" s="50" t="s">
        <v>482</v>
      </c>
      <c r="Z2652" s="49">
        <f t="shared" si="6"/>
        <v>0</v>
      </c>
    </row>
    <row r="2653" ht="22.5" customHeight="1">
      <c r="B2653" s="57"/>
      <c r="C2653" s="43" t="str">
        <f t="array" ref="C2653">IF(B2653="","",_xlfn.XLOOKUP(B2653,'Form responses 1'!$B$2:$B$2604,'Form responses 1'!$A$2:$A$2604,""))</f>
        <v/>
      </c>
      <c r="D2653" s="44" t="str">
        <f t="shared" si="3"/>
        <v/>
      </c>
      <c r="E2653" s="44" t="str">
        <f t="array" ref="E2653">IF(B2653="","",_xlfn.XLOOKUP(B2653,'Form responses 1'!$B$2:$B$2604,'Form responses 1'!$C$2:$C$2604,""))</f>
        <v/>
      </c>
      <c r="F2653" s="44" t="str">
        <f t="array" ref="F2653">IF(B2653="","",_xlfn.XLOOKUP(B2653,'Form responses 1'!$B$2:$B$2604,'Form responses 1'!$D$2:$D$2604,""))</f>
        <v/>
      </c>
      <c r="G2653" s="44" t="str">
        <f t="array" ref="G2653">IF(B2653="","",_xlfn.XLOOKUP(B2653,'Form responses 1'!$B$2:$B$2604,'Form responses 1'!$E$2:$E$2604,""))</f>
        <v/>
      </c>
      <c r="H2653" s="44" t="str">
        <f t="array" ref="H2653">IF(B2653="","",_xlfn.XLOOKUP(B2653,'Form responses 1'!$B$2:$B$2604,'Form responses 1'!$F$2:$F$2604,""))</f>
        <v/>
      </c>
      <c r="I2653" s="44" t="str">
        <f t="array" ref="I2653">IF(B2653="","",_xlfn.XLOOKUP(B2653,'Form responses 1'!$B$2:$B$2604,'Form responses 1'!$I$2:$I$2604,""))</f>
        <v/>
      </c>
      <c r="J2653" s="44" t="str">
        <f t="array" ref="J2653">IF(B2653="","",_xlfn.XLOOKUP(B2653,'Form responses 1'!$B$2:$B$2604,'Form responses 1'!$G$2:$G$2604,""))</f>
        <v/>
      </c>
      <c r="K2653" s="56"/>
      <c r="L2653" s="58" t="str">
        <f t="shared" si="7"/>
        <v/>
      </c>
      <c r="M2653" s="49"/>
      <c r="N2653" s="49"/>
      <c r="O2653" s="49"/>
      <c r="P2653" s="49"/>
      <c r="Q2653" s="49"/>
      <c r="R2653" s="49"/>
      <c r="S2653" s="49"/>
      <c r="T2653" s="49"/>
      <c r="U2653" s="49"/>
      <c r="V2653" s="49"/>
      <c r="W2653" s="56"/>
      <c r="X2653" s="51" t="str">
        <f t="shared" si="5"/>
        <v/>
      </c>
      <c r="Y2653" s="50" t="s">
        <v>482</v>
      </c>
      <c r="Z2653" s="49">
        <f t="shared" si="6"/>
        <v>0</v>
      </c>
    </row>
    <row r="2654" ht="22.5" customHeight="1">
      <c r="B2654" s="57"/>
      <c r="C2654" s="43" t="str">
        <f t="array" ref="C2654">IF(B2654="","",_xlfn.XLOOKUP(B2654,'Form responses 1'!$B$2:$B$2604,'Form responses 1'!$A$2:$A$2604,""))</f>
        <v/>
      </c>
      <c r="D2654" s="44" t="str">
        <f t="shared" si="3"/>
        <v/>
      </c>
      <c r="E2654" s="44" t="str">
        <f t="array" ref="E2654">IF(B2654="","",_xlfn.XLOOKUP(B2654,'Form responses 1'!$B$2:$B$2604,'Form responses 1'!$C$2:$C$2604,""))</f>
        <v/>
      </c>
      <c r="F2654" s="44" t="str">
        <f t="array" ref="F2654">IF(B2654="","",_xlfn.XLOOKUP(B2654,'Form responses 1'!$B$2:$B$2604,'Form responses 1'!$D$2:$D$2604,""))</f>
        <v/>
      </c>
      <c r="G2654" s="44" t="str">
        <f t="array" ref="G2654">IF(B2654="","",_xlfn.XLOOKUP(B2654,'Form responses 1'!$B$2:$B$2604,'Form responses 1'!$E$2:$E$2604,""))</f>
        <v/>
      </c>
      <c r="H2654" s="44" t="str">
        <f t="array" ref="H2654">IF(B2654="","",_xlfn.XLOOKUP(B2654,'Form responses 1'!$B$2:$B$2604,'Form responses 1'!$F$2:$F$2604,""))</f>
        <v/>
      </c>
      <c r="I2654" s="44" t="str">
        <f t="array" ref="I2654">IF(B2654="","",_xlfn.XLOOKUP(B2654,'Form responses 1'!$B$2:$B$2604,'Form responses 1'!$I$2:$I$2604,""))</f>
        <v/>
      </c>
      <c r="J2654" s="44" t="str">
        <f t="array" ref="J2654">IF(B2654="","",_xlfn.XLOOKUP(B2654,'Form responses 1'!$B$2:$B$2604,'Form responses 1'!$G$2:$G$2604,""))</f>
        <v/>
      </c>
      <c r="K2654" s="56"/>
      <c r="L2654" s="58" t="str">
        <f t="shared" si="7"/>
        <v/>
      </c>
      <c r="M2654" s="49"/>
      <c r="N2654" s="49"/>
      <c r="O2654" s="49"/>
      <c r="P2654" s="49"/>
      <c r="Q2654" s="49"/>
      <c r="R2654" s="49"/>
      <c r="S2654" s="49"/>
      <c r="T2654" s="49"/>
      <c r="U2654" s="49"/>
      <c r="V2654" s="49"/>
      <c r="W2654" s="56"/>
      <c r="X2654" s="51" t="str">
        <f t="shared" si="5"/>
        <v/>
      </c>
      <c r="Y2654" s="50" t="s">
        <v>482</v>
      </c>
      <c r="Z2654" s="49">
        <f t="shared" si="6"/>
        <v>0</v>
      </c>
    </row>
    <row r="2655" ht="22.5" customHeight="1">
      <c r="B2655" s="57"/>
      <c r="C2655" s="43" t="str">
        <f t="array" ref="C2655">IF(B2655="","",_xlfn.XLOOKUP(B2655,'Form responses 1'!$B$2:$B$2604,'Form responses 1'!$A$2:$A$2604,""))</f>
        <v/>
      </c>
      <c r="D2655" s="44" t="str">
        <f t="shared" si="3"/>
        <v/>
      </c>
      <c r="E2655" s="44" t="str">
        <f t="array" ref="E2655">IF(B2655="","",_xlfn.XLOOKUP(B2655,'Form responses 1'!$B$2:$B$2604,'Form responses 1'!$C$2:$C$2604,""))</f>
        <v/>
      </c>
      <c r="F2655" s="44" t="str">
        <f t="array" ref="F2655">IF(B2655="","",_xlfn.XLOOKUP(B2655,'Form responses 1'!$B$2:$B$2604,'Form responses 1'!$D$2:$D$2604,""))</f>
        <v/>
      </c>
      <c r="G2655" s="44" t="str">
        <f t="array" ref="G2655">IF(B2655="","",_xlfn.XLOOKUP(B2655,'Form responses 1'!$B$2:$B$2604,'Form responses 1'!$E$2:$E$2604,""))</f>
        <v/>
      </c>
      <c r="H2655" s="44" t="str">
        <f t="array" ref="H2655">IF(B2655="","",_xlfn.XLOOKUP(B2655,'Form responses 1'!$B$2:$B$2604,'Form responses 1'!$F$2:$F$2604,""))</f>
        <v/>
      </c>
      <c r="I2655" s="44" t="str">
        <f t="array" ref="I2655">IF(B2655="","",_xlfn.XLOOKUP(B2655,'Form responses 1'!$B$2:$B$2604,'Form responses 1'!$I$2:$I$2604,""))</f>
        <v/>
      </c>
      <c r="J2655" s="44" t="str">
        <f t="array" ref="J2655">IF(B2655="","",_xlfn.XLOOKUP(B2655,'Form responses 1'!$B$2:$B$2604,'Form responses 1'!$G$2:$G$2604,""))</f>
        <v/>
      </c>
      <c r="K2655" s="56"/>
      <c r="L2655" s="58" t="str">
        <f t="shared" si="7"/>
        <v/>
      </c>
      <c r="M2655" s="49"/>
      <c r="N2655" s="49"/>
      <c r="O2655" s="49"/>
      <c r="P2655" s="49"/>
      <c r="Q2655" s="49"/>
      <c r="R2655" s="49"/>
      <c r="S2655" s="49"/>
      <c r="T2655" s="49"/>
      <c r="U2655" s="49"/>
      <c r="V2655" s="49"/>
      <c r="W2655" s="56"/>
      <c r="X2655" s="51" t="str">
        <f t="shared" si="5"/>
        <v/>
      </c>
      <c r="Y2655" s="50" t="s">
        <v>482</v>
      </c>
      <c r="Z2655" s="49">
        <f t="shared" si="6"/>
        <v>0</v>
      </c>
    </row>
    <row r="2656" ht="22.5" customHeight="1">
      <c r="B2656" s="57"/>
      <c r="C2656" s="43" t="str">
        <f t="array" ref="C2656">IF(B2656="","",_xlfn.XLOOKUP(B2656,'Form responses 1'!$B$2:$B$2604,'Form responses 1'!$A$2:$A$2604,""))</f>
        <v/>
      </c>
      <c r="D2656" s="44" t="str">
        <f t="shared" si="3"/>
        <v/>
      </c>
      <c r="E2656" s="44" t="str">
        <f t="array" ref="E2656">IF(B2656="","",_xlfn.XLOOKUP(B2656,'Form responses 1'!$B$2:$B$2604,'Form responses 1'!$C$2:$C$2604,""))</f>
        <v/>
      </c>
      <c r="F2656" s="44" t="str">
        <f t="array" ref="F2656">IF(B2656="","",_xlfn.XLOOKUP(B2656,'Form responses 1'!$B$2:$B$2604,'Form responses 1'!$D$2:$D$2604,""))</f>
        <v/>
      </c>
      <c r="G2656" s="44" t="str">
        <f t="array" ref="G2656">IF(B2656="","",_xlfn.XLOOKUP(B2656,'Form responses 1'!$B$2:$B$2604,'Form responses 1'!$E$2:$E$2604,""))</f>
        <v/>
      </c>
      <c r="H2656" s="44" t="str">
        <f t="array" ref="H2656">IF(B2656="","",_xlfn.XLOOKUP(B2656,'Form responses 1'!$B$2:$B$2604,'Form responses 1'!$F$2:$F$2604,""))</f>
        <v/>
      </c>
      <c r="I2656" s="44" t="str">
        <f t="array" ref="I2656">IF(B2656="","",_xlfn.XLOOKUP(B2656,'Form responses 1'!$B$2:$B$2604,'Form responses 1'!$I$2:$I$2604,""))</f>
        <v/>
      </c>
      <c r="J2656" s="44" t="str">
        <f t="array" ref="J2656">IF(B2656="","",_xlfn.XLOOKUP(B2656,'Form responses 1'!$B$2:$B$2604,'Form responses 1'!$G$2:$G$2604,""))</f>
        <v/>
      </c>
      <c r="K2656" s="56"/>
      <c r="L2656" s="58" t="str">
        <f t="shared" si="7"/>
        <v/>
      </c>
      <c r="M2656" s="49"/>
      <c r="N2656" s="49"/>
      <c r="O2656" s="49"/>
      <c r="P2656" s="49"/>
      <c r="Q2656" s="49"/>
      <c r="R2656" s="49"/>
      <c r="S2656" s="49"/>
      <c r="T2656" s="49"/>
      <c r="U2656" s="49"/>
      <c r="V2656" s="49"/>
      <c r="W2656" s="56"/>
      <c r="X2656" s="51" t="str">
        <f t="shared" si="5"/>
        <v/>
      </c>
      <c r="Y2656" s="50" t="s">
        <v>482</v>
      </c>
      <c r="Z2656" s="49">
        <f t="shared" si="6"/>
        <v>0</v>
      </c>
    </row>
    <row r="2657" ht="22.5" customHeight="1">
      <c r="B2657" s="57"/>
      <c r="C2657" s="43" t="str">
        <f t="array" ref="C2657">IF(B2657="","",_xlfn.XLOOKUP(B2657,'Form responses 1'!$B$2:$B$2604,'Form responses 1'!$A$2:$A$2604,""))</f>
        <v/>
      </c>
      <c r="D2657" s="44" t="str">
        <f t="shared" si="3"/>
        <v/>
      </c>
      <c r="E2657" s="44" t="str">
        <f t="array" ref="E2657">IF(B2657="","",_xlfn.XLOOKUP(B2657,'Form responses 1'!$B$2:$B$2604,'Form responses 1'!$C$2:$C$2604,""))</f>
        <v/>
      </c>
      <c r="F2657" s="44" t="str">
        <f t="array" ref="F2657">IF(B2657="","",_xlfn.XLOOKUP(B2657,'Form responses 1'!$B$2:$B$2604,'Form responses 1'!$D$2:$D$2604,""))</f>
        <v/>
      </c>
      <c r="G2657" s="44" t="str">
        <f t="array" ref="G2657">IF(B2657="","",_xlfn.XLOOKUP(B2657,'Form responses 1'!$B$2:$B$2604,'Form responses 1'!$E$2:$E$2604,""))</f>
        <v/>
      </c>
      <c r="H2657" s="44" t="str">
        <f t="array" ref="H2657">IF(B2657="","",_xlfn.XLOOKUP(B2657,'Form responses 1'!$B$2:$B$2604,'Form responses 1'!$F$2:$F$2604,""))</f>
        <v/>
      </c>
      <c r="I2657" s="44" t="str">
        <f t="array" ref="I2657">IF(B2657="","",_xlfn.XLOOKUP(B2657,'Form responses 1'!$B$2:$B$2604,'Form responses 1'!$I$2:$I$2604,""))</f>
        <v/>
      </c>
      <c r="J2657" s="44" t="str">
        <f t="array" ref="J2657">IF(B2657="","",_xlfn.XLOOKUP(B2657,'Form responses 1'!$B$2:$B$2604,'Form responses 1'!$G$2:$G$2604,""))</f>
        <v/>
      </c>
      <c r="K2657" s="56"/>
      <c r="L2657" s="58" t="str">
        <f t="shared" si="7"/>
        <v/>
      </c>
      <c r="M2657" s="49"/>
      <c r="N2657" s="49"/>
      <c r="O2657" s="49"/>
      <c r="P2657" s="49"/>
      <c r="Q2657" s="49"/>
      <c r="R2657" s="49"/>
      <c r="S2657" s="49"/>
      <c r="T2657" s="49"/>
      <c r="U2657" s="49"/>
      <c r="V2657" s="49"/>
      <c r="W2657" s="56"/>
      <c r="X2657" s="51" t="str">
        <f t="shared" si="5"/>
        <v/>
      </c>
      <c r="Y2657" s="50" t="s">
        <v>482</v>
      </c>
      <c r="Z2657" s="49">
        <f t="shared" si="6"/>
        <v>0</v>
      </c>
    </row>
    <row r="2658" ht="22.5" customHeight="1">
      <c r="B2658" s="57"/>
      <c r="C2658" s="43" t="str">
        <f t="array" ref="C2658">IF(B2658="","",_xlfn.XLOOKUP(B2658,'Form responses 1'!$B$2:$B$2604,'Form responses 1'!$A$2:$A$2604,""))</f>
        <v/>
      </c>
      <c r="D2658" s="44" t="str">
        <f t="shared" si="3"/>
        <v/>
      </c>
      <c r="E2658" s="44" t="str">
        <f t="array" ref="E2658">IF(B2658="","",_xlfn.XLOOKUP(B2658,'Form responses 1'!$B$2:$B$2604,'Form responses 1'!$C$2:$C$2604,""))</f>
        <v/>
      </c>
      <c r="F2658" s="44" t="str">
        <f t="array" ref="F2658">IF(B2658="","",_xlfn.XLOOKUP(B2658,'Form responses 1'!$B$2:$B$2604,'Form responses 1'!$D$2:$D$2604,""))</f>
        <v/>
      </c>
      <c r="G2658" s="44" t="str">
        <f t="array" ref="G2658">IF(B2658="","",_xlfn.XLOOKUP(B2658,'Form responses 1'!$B$2:$B$2604,'Form responses 1'!$E$2:$E$2604,""))</f>
        <v/>
      </c>
      <c r="H2658" s="44" t="str">
        <f t="array" ref="H2658">IF(B2658="","",_xlfn.XLOOKUP(B2658,'Form responses 1'!$B$2:$B$2604,'Form responses 1'!$F$2:$F$2604,""))</f>
        <v/>
      </c>
      <c r="I2658" s="44" t="str">
        <f t="array" ref="I2658">IF(B2658="","",_xlfn.XLOOKUP(B2658,'Form responses 1'!$B$2:$B$2604,'Form responses 1'!$I$2:$I$2604,""))</f>
        <v/>
      </c>
      <c r="J2658" s="44" t="str">
        <f t="array" ref="J2658">IF(B2658="","",_xlfn.XLOOKUP(B2658,'Form responses 1'!$B$2:$B$2604,'Form responses 1'!$G$2:$G$2604,""))</f>
        <v/>
      </c>
      <c r="K2658" s="56"/>
      <c r="L2658" s="58" t="str">
        <f t="shared" si="7"/>
        <v/>
      </c>
      <c r="M2658" s="49"/>
      <c r="N2658" s="49"/>
      <c r="O2658" s="49"/>
      <c r="P2658" s="49"/>
      <c r="Q2658" s="49"/>
      <c r="R2658" s="49"/>
      <c r="S2658" s="49"/>
      <c r="T2658" s="49"/>
      <c r="U2658" s="49"/>
      <c r="V2658" s="49"/>
      <c r="W2658" s="56"/>
      <c r="X2658" s="51" t="str">
        <f t="shared" si="5"/>
        <v/>
      </c>
      <c r="Y2658" s="50" t="s">
        <v>482</v>
      </c>
      <c r="Z2658" s="49">
        <f t="shared" si="6"/>
        <v>0</v>
      </c>
    </row>
    <row r="2659" ht="22.5" customHeight="1">
      <c r="B2659" s="57"/>
      <c r="C2659" s="43" t="str">
        <f t="array" ref="C2659">IF(B2659="","",_xlfn.XLOOKUP(B2659,'Form responses 1'!$B$2:$B$2604,'Form responses 1'!$A$2:$A$2604,""))</f>
        <v/>
      </c>
      <c r="D2659" s="44" t="str">
        <f t="shared" si="3"/>
        <v/>
      </c>
      <c r="E2659" s="44" t="str">
        <f t="array" ref="E2659">IF(B2659="","",_xlfn.XLOOKUP(B2659,'Form responses 1'!$B$2:$B$2604,'Form responses 1'!$C$2:$C$2604,""))</f>
        <v/>
      </c>
      <c r="F2659" s="44" t="str">
        <f t="array" ref="F2659">IF(B2659="","",_xlfn.XLOOKUP(B2659,'Form responses 1'!$B$2:$B$2604,'Form responses 1'!$D$2:$D$2604,""))</f>
        <v/>
      </c>
      <c r="G2659" s="44" t="str">
        <f t="array" ref="G2659">IF(B2659="","",_xlfn.XLOOKUP(B2659,'Form responses 1'!$B$2:$B$2604,'Form responses 1'!$E$2:$E$2604,""))</f>
        <v/>
      </c>
      <c r="H2659" s="44" t="str">
        <f t="array" ref="H2659">IF(B2659="","",_xlfn.XLOOKUP(B2659,'Form responses 1'!$B$2:$B$2604,'Form responses 1'!$F$2:$F$2604,""))</f>
        <v/>
      </c>
      <c r="I2659" s="44" t="str">
        <f t="array" ref="I2659">IF(B2659="","",_xlfn.XLOOKUP(B2659,'Form responses 1'!$B$2:$B$2604,'Form responses 1'!$I$2:$I$2604,""))</f>
        <v/>
      </c>
      <c r="J2659" s="44" t="str">
        <f t="array" ref="J2659">IF(B2659="","",_xlfn.XLOOKUP(B2659,'Form responses 1'!$B$2:$B$2604,'Form responses 1'!$G$2:$G$2604,""))</f>
        <v/>
      </c>
      <c r="K2659" s="56"/>
      <c r="L2659" s="58" t="str">
        <f t="shared" si="7"/>
        <v/>
      </c>
      <c r="M2659" s="49"/>
      <c r="N2659" s="49"/>
      <c r="O2659" s="49"/>
      <c r="P2659" s="49"/>
      <c r="Q2659" s="49"/>
      <c r="R2659" s="49"/>
      <c r="S2659" s="49"/>
      <c r="T2659" s="49"/>
      <c r="U2659" s="49"/>
      <c r="V2659" s="49"/>
      <c r="W2659" s="56"/>
      <c r="X2659" s="51" t="str">
        <f t="shared" si="5"/>
        <v/>
      </c>
      <c r="Y2659" s="50" t="s">
        <v>482</v>
      </c>
      <c r="Z2659" s="49">
        <f t="shared" si="6"/>
        <v>0</v>
      </c>
    </row>
    <row r="2660" ht="22.5" customHeight="1">
      <c r="B2660" s="57"/>
      <c r="C2660" s="43" t="str">
        <f t="array" ref="C2660">IF(B2660="","",_xlfn.XLOOKUP(B2660,'Form responses 1'!$B$2:$B$2604,'Form responses 1'!$A$2:$A$2604,""))</f>
        <v/>
      </c>
      <c r="D2660" s="44" t="str">
        <f t="shared" si="3"/>
        <v/>
      </c>
      <c r="E2660" s="44" t="str">
        <f t="array" ref="E2660">IF(B2660="","",_xlfn.XLOOKUP(B2660,'Form responses 1'!$B$2:$B$2604,'Form responses 1'!$C$2:$C$2604,""))</f>
        <v/>
      </c>
      <c r="F2660" s="44" t="str">
        <f t="array" ref="F2660">IF(B2660="","",_xlfn.XLOOKUP(B2660,'Form responses 1'!$B$2:$B$2604,'Form responses 1'!$D$2:$D$2604,""))</f>
        <v/>
      </c>
      <c r="G2660" s="44" t="str">
        <f t="array" ref="G2660">IF(B2660="","",_xlfn.XLOOKUP(B2660,'Form responses 1'!$B$2:$B$2604,'Form responses 1'!$E$2:$E$2604,""))</f>
        <v/>
      </c>
      <c r="H2660" s="44" t="str">
        <f t="array" ref="H2660">IF(B2660="","",_xlfn.XLOOKUP(B2660,'Form responses 1'!$B$2:$B$2604,'Form responses 1'!$F$2:$F$2604,""))</f>
        <v/>
      </c>
      <c r="I2660" s="44" t="str">
        <f t="array" ref="I2660">IF(B2660="","",_xlfn.XLOOKUP(B2660,'Form responses 1'!$B$2:$B$2604,'Form responses 1'!$I$2:$I$2604,""))</f>
        <v/>
      </c>
      <c r="J2660" s="44" t="str">
        <f t="array" ref="J2660">IF(B2660="","",_xlfn.XLOOKUP(B2660,'Form responses 1'!$B$2:$B$2604,'Form responses 1'!$G$2:$G$2604,""))</f>
        <v/>
      </c>
      <c r="K2660" s="56"/>
      <c r="L2660" s="58" t="str">
        <f t="shared" si="7"/>
        <v/>
      </c>
      <c r="M2660" s="49"/>
      <c r="N2660" s="49"/>
      <c r="O2660" s="49"/>
      <c r="P2660" s="49"/>
      <c r="Q2660" s="49"/>
      <c r="R2660" s="49"/>
      <c r="S2660" s="49"/>
      <c r="T2660" s="49"/>
      <c r="U2660" s="49"/>
      <c r="V2660" s="49"/>
      <c r="W2660" s="56"/>
      <c r="X2660" s="51" t="str">
        <f t="shared" si="5"/>
        <v/>
      </c>
      <c r="Y2660" s="50" t="s">
        <v>482</v>
      </c>
      <c r="Z2660" s="49">
        <f t="shared" si="6"/>
        <v>0</v>
      </c>
    </row>
    <row r="2661" ht="22.5" customHeight="1">
      <c r="B2661" s="57"/>
      <c r="C2661" s="43" t="str">
        <f t="array" ref="C2661">IF(B2661="","",_xlfn.XLOOKUP(B2661,'Form responses 1'!$B$2:$B$2604,'Form responses 1'!$A$2:$A$2604,""))</f>
        <v/>
      </c>
      <c r="D2661" s="44" t="str">
        <f t="shared" si="3"/>
        <v/>
      </c>
      <c r="E2661" s="44" t="str">
        <f t="array" ref="E2661">IF(B2661="","",_xlfn.XLOOKUP(B2661,'Form responses 1'!$B$2:$B$2604,'Form responses 1'!$C$2:$C$2604,""))</f>
        <v/>
      </c>
      <c r="F2661" s="44" t="str">
        <f t="array" ref="F2661">IF(B2661="","",_xlfn.XLOOKUP(B2661,'Form responses 1'!$B$2:$B$2604,'Form responses 1'!$D$2:$D$2604,""))</f>
        <v/>
      </c>
      <c r="G2661" s="44" t="str">
        <f t="array" ref="G2661">IF(B2661="","",_xlfn.XLOOKUP(B2661,'Form responses 1'!$B$2:$B$2604,'Form responses 1'!$E$2:$E$2604,""))</f>
        <v/>
      </c>
      <c r="H2661" s="44" t="str">
        <f t="array" ref="H2661">IF(B2661="","",_xlfn.XLOOKUP(B2661,'Form responses 1'!$B$2:$B$2604,'Form responses 1'!$F$2:$F$2604,""))</f>
        <v/>
      </c>
      <c r="I2661" s="44" t="str">
        <f t="array" ref="I2661">IF(B2661="","",_xlfn.XLOOKUP(B2661,'Form responses 1'!$B$2:$B$2604,'Form responses 1'!$I$2:$I$2604,""))</f>
        <v/>
      </c>
      <c r="J2661" s="44" t="str">
        <f t="array" ref="J2661">IF(B2661="","",_xlfn.XLOOKUP(B2661,'Form responses 1'!$B$2:$B$2604,'Form responses 1'!$G$2:$G$2604,""))</f>
        <v/>
      </c>
      <c r="K2661" s="56"/>
      <c r="L2661" s="58" t="str">
        <f t="shared" si="7"/>
        <v/>
      </c>
      <c r="M2661" s="49"/>
      <c r="N2661" s="49"/>
      <c r="O2661" s="49"/>
      <c r="P2661" s="49"/>
      <c r="Q2661" s="49"/>
      <c r="R2661" s="49"/>
      <c r="S2661" s="49"/>
      <c r="T2661" s="49"/>
      <c r="U2661" s="49"/>
      <c r="V2661" s="49"/>
      <c r="W2661" s="56"/>
      <c r="X2661" s="51" t="str">
        <f t="shared" si="5"/>
        <v/>
      </c>
      <c r="Y2661" s="50" t="s">
        <v>482</v>
      </c>
      <c r="Z2661" s="49">
        <f t="shared" si="6"/>
        <v>0</v>
      </c>
    </row>
    <row r="2662" ht="22.5" customHeight="1">
      <c r="B2662" s="57"/>
      <c r="C2662" s="43" t="str">
        <f t="array" ref="C2662">IF(B2662="","",_xlfn.XLOOKUP(B2662,'Form responses 1'!$B$2:$B$2604,'Form responses 1'!$A$2:$A$2604,""))</f>
        <v/>
      </c>
      <c r="D2662" s="44" t="str">
        <f t="shared" si="3"/>
        <v/>
      </c>
      <c r="E2662" s="44" t="str">
        <f t="array" ref="E2662">IF(B2662="","",_xlfn.XLOOKUP(B2662,'Form responses 1'!$B$2:$B$2604,'Form responses 1'!$C$2:$C$2604,""))</f>
        <v/>
      </c>
      <c r="F2662" s="44" t="str">
        <f t="array" ref="F2662">IF(B2662="","",_xlfn.XLOOKUP(B2662,'Form responses 1'!$B$2:$B$2604,'Form responses 1'!$D$2:$D$2604,""))</f>
        <v/>
      </c>
      <c r="G2662" s="44" t="str">
        <f t="array" ref="G2662">IF(B2662="","",_xlfn.XLOOKUP(B2662,'Form responses 1'!$B$2:$B$2604,'Form responses 1'!$E$2:$E$2604,""))</f>
        <v/>
      </c>
      <c r="H2662" s="44" t="str">
        <f t="array" ref="H2662">IF(B2662="","",_xlfn.XLOOKUP(B2662,'Form responses 1'!$B$2:$B$2604,'Form responses 1'!$F$2:$F$2604,""))</f>
        <v/>
      </c>
      <c r="I2662" s="44" t="str">
        <f t="array" ref="I2662">IF(B2662="","",_xlfn.XLOOKUP(B2662,'Form responses 1'!$B$2:$B$2604,'Form responses 1'!$I$2:$I$2604,""))</f>
        <v/>
      </c>
      <c r="J2662" s="44" t="str">
        <f t="array" ref="J2662">IF(B2662="","",_xlfn.XLOOKUP(B2662,'Form responses 1'!$B$2:$B$2604,'Form responses 1'!$G$2:$G$2604,""))</f>
        <v/>
      </c>
      <c r="K2662" s="56"/>
      <c r="L2662" s="58" t="str">
        <f t="shared" si="7"/>
        <v/>
      </c>
      <c r="M2662" s="49"/>
      <c r="N2662" s="49"/>
      <c r="O2662" s="49"/>
      <c r="P2662" s="49"/>
      <c r="Q2662" s="49"/>
      <c r="R2662" s="49"/>
      <c r="S2662" s="49"/>
      <c r="T2662" s="49"/>
      <c r="U2662" s="49"/>
      <c r="V2662" s="49"/>
      <c r="W2662" s="56"/>
      <c r="X2662" s="51" t="str">
        <f t="shared" si="5"/>
        <v/>
      </c>
      <c r="Y2662" s="50" t="s">
        <v>482</v>
      </c>
      <c r="Z2662" s="49">
        <f t="shared" si="6"/>
        <v>0</v>
      </c>
    </row>
    <row r="2663" ht="22.5" customHeight="1">
      <c r="B2663" s="57"/>
      <c r="C2663" s="43" t="str">
        <f t="array" ref="C2663">IF(B2663="","",_xlfn.XLOOKUP(B2663,'Form responses 1'!$B$2:$B$2604,'Form responses 1'!$A$2:$A$2604,""))</f>
        <v/>
      </c>
      <c r="D2663" s="44" t="str">
        <f t="shared" si="3"/>
        <v/>
      </c>
      <c r="E2663" s="44" t="str">
        <f t="array" ref="E2663">IF(B2663="","",_xlfn.XLOOKUP(B2663,'Form responses 1'!$B$2:$B$2604,'Form responses 1'!$C$2:$C$2604,""))</f>
        <v/>
      </c>
      <c r="F2663" s="44" t="str">
        <f t="array" ref="F2663">IF(B2663="","",_xlfn.XLOOKUP(B2663,'Form responses 1'!$B$2:$B$2604,'Form responses 1'!$D$2:$D$2604,""))</f>
        <v/>
      </c>
      <c r="G2663" s="44" t="str">
        <f t="array" ref="G2663">IF(B2663="","",_xlfn.XLOOKUP(B2663,'Form responses 1'!$B$2:$B$2604,'Form responses 1'!$E$2:$E$2604,""))</f>
        <v/>
      </c>
      <c r="H2663" s="44" t="str">
        <f t="array" ref="H2663">IF(B2663="","",_xlfn.XLOOKUP(B2663,'Form responses 1'!$B$2:$B$2604,'Form responses 1'!$F$2:$F$2604,""))</f>
        <v/>
      </c>
      <c r="I2663" s="44" t="str">
        <f t="array" ref="I2663">IF(B2663="","",_xlfn.XLOOKUP(B2663,'Form responses 1'!$B$2:$B$2604,'Form responses 1'!$I$2:$I$2604,""))</f>
        <v/>
      </c>
      <c r="J2663" s="44" t="str">
        <f t="array" ref="J2663">IF(B2663="","",_xlfn.XLOOKUP(B2663,'Form responses 1'!$B$2:$B$2604,'Form responses 1'!$G$2:$G$2604,""))</f>
        <v/>
      </c>
      <c r="K2663" s="56"/>
      <c r="L2663" s="58" t="str">
        <f t="shared" si="7"/>
        <v/>
      </c>
      <c r="M2663" s="49"/>
      <c r="N2663" s="49"/>
      <c r="O2663" s="49"/>
      <c r="P2663" s="49"/>
      <c r="Q2663" s="49"/>
      <c r="R2663" s="49"/>
      <c r="S2663" s="49"/>
      <c r="T2663" s="49"/>
      <c r="U2663" s="49"/>
      <c r="V2663" s="49"/>
      <c r="W2663" s="56"/>
      <c r="X2663" s="51" t="str">
        <f t="shared" si="5"/>
        <v/>
      </c>
      <c r="Y2663" s="50" t="s">
        <v>482</v>
      </c>
      <c r="Z2663" s="49">
        <f t="shared" si="6"/>
        <v>0</v>
      </c>
    </row>
    <row r="2664" ht="22.5" customHeight="1">
      <c r="B2664" s="57"/>
      <c r="C2664" s="43" t="str">
        <f t="array" ref="C2664">IF(B2664="","",_xlfn.XLOOKUP(B2664,'Form responses 1'!$B$2:$B$2604,'Form responses 1'!$A$2:$A$2604,""))</f>
        <v/>
      </c>
      <c r="D2664" s="44" t="str">
        <f t="shared" si="3"/>
        <v/>
      </c>
      <c r="E2664" s="44" t="str">
        <f t="array" ref="E2664">IF(B2664="","",_xlfn.XLOOKUP(B2664,'Form responses 1'!$B$2:$B$2604,'Form responses 1'!$C$2:$C$2604,""))</f>
        <v/>
      </c>
      <c r="F2664" s="44" t="str">
        <f t="array" ref="F2664">IF(B2664="","",_xlfn.XLOOKUP(B2664,'Form responses 1'!$B$2:$B$2604,'Form responses 1'!$D$2:$D$2604,""))</f>
        <v/>
      </c>
      <c r="G2664" s="44" t="str">
        <f t="array" ref="G2664">IF(B2664="","",_xlfn.XLOOKUP(B2664,'Form responses 1'!$B$2:$B$2604,'Form responses 1'!$E$2:$E$2604,""))</f>
        <v/>
      </c>
      <c r="H2664" s="44" t="str">
        <f t="array" ref="H2664">IF(B2664="","",_xlfn.XLOOKUP(B2664,'Form responses 1'!$B$2:$B$2604,'Form responses 1'!$F$2:$F$2604,""))</f>
        <v/>
      </c>
      <c r="I2664" s="44" t="str">
        <f t="array" ref="I2664">IF(B2664="","",_xlfn.XLOOKUP(B2664,'Form responses 1'!$B$2:$B$2604,'Form responses 1'!$I$2:$I$2604,""))</f>
        <v/>
      </c>
      <c r="J2664" s="44" t="str">
        <f t="array" ref="J2664">IF(B2664="","",_xlfn.XLOOKUP(B2664,'Form responses 1'!$B$2:$B$2604,'Form responses 1'!$G$2:$G$2604,""))</f>
        <v/>
      </c>
      <c r="K2664" s="56"/>
      <c r="L2664" s="58" t="str">
        <f t="shared" si="7"/>
        <v/>
      </c>
      <c r="M2664" s="49"/>
      <c r="N2664" s="49"/>
      <c r="O2664" s="49"/>
      <c r="P2664" s="49"/>
      <c r="Q2664" s="49"/>
      <c r="R2664" s="49"/>
      <c r="S2664" s="49"/>
      <c r="T2664" s="49"/>
      <c r="U2664" s="49"/>
      <c r="V2664" s="49"/>
      <c r="W2664" s="56"/>
      <c r="X2664" s="51" t="str">
        <f t="shared" si="5"/>
        <v/>
      </c>
      <c r="Y2664" s="50" t="s">
        <v>482</v>
      </c>
      <c r="Z2664" s="49">
        <f t="shared" si="6"/>
        <v>0</v>
      </c>
    </row>
    <row r="2665" ht="22.5" customHeight="1">
      <c r="B2665" s="57"/>
      <c r="C2665" s="43" t="str">
        <f t="array" ref="C2665">IF(B2665="","",_xlfn.XLOOKUP(B2665,'Form responses 1'!$B$2:$B$2604,'Form responses 1'!$A$2:$A$2604,""))</f>
        <v/>
      </c>
      <c r="D2665" s="44" t="str">
        <f t="shared" si="3"/>
        <v/>
      </c>
      <c r="E2665" s="44" t="str">
        <f t="array" ref="E2665">IF(B2665="","",_xlfn.XLOOKUP(B2665,'Form responses 1'!$B$2:$B$2604,'Form responses 1'!$C$2:$C$2604,""))</f>
        <v/>
      </c>
      <c r="F2665" s="44" t="str">
        <f t="array" ref="F2665">IF(B2665="","",_xlfn.XLOOKUP(B2665,'Form responses 1'!$B$2:$B$2604,'Form responses 1'!$D$2:$D$2604,""))</f>
        <v/>
      </c>
      <c r="G2665" s="44" t="str">
        <f t="array" ref="G2665">IF(B2665="","",_xlfn.XLOOKUP(B2665,'Form responses 1'!$B$2:$B$2604,'Form responses 1'!$E$2:$E$2604,""))</f>
        <v/>
      </c>
      <c r="H2665" s="44" t="str">
        <f t="array" ref="H2665">IF(B2665="","",_xlfn.XLOOKUP(B2665,'Form responses 1'!$B$2:$B$2604,'Form responses 1'!$F$2:$F$2604,""))</f>
        <v/>
      </c>
      <c r="I2665" s="44" t="str">
        <f t="array" ref="I2665">IF(B2665="","",_xlfn.XLOOKUP(B2665,'Form responses 1'!$B$2:$B$2604,'Form responses 1'!$I$2:$I$2604,""))</f>
        <v/>
      </c>
      <c r="J2665" s="44" t="str">
        <f t="array" ref="J2665">IF(B2665="","",_xlfn.XLOOKUP(B2665,'Form responses 1'!$B$2:$B$2604,'Form responses 1'!$G$2:$G$2604,""))</f>
        <v/>
      </c>
      <c r="K2665" s="56"/>
      <c r="L2665" s="58" t="str">
        <f t="shared" si="7"/>
        <v/>
      </c>
      <c r="M2665" s="49"/>
      <c r="N2665" s="49"/>
      <c r="O2665" s="49"/>
      <c r="P2665" s="49"/>
      <c r="Q2665" s="49"/>
      <c r="R2665" s="49"/>
      <c r="S2665" s="49"/>
      <c r="T2665" s="49"/>
      <c r="U2665" s="49"/>
      <c r="V2665" s="49"/>
      <c r="W2665" s="56"/>
      <c r="X2665" s="51" t="str">
        <f t="shared" si="5"/>
        <v/>
      </c>
      <c r="Y2665" s="50" t="s">
        <v>482</v>
      </c>
      <c r="Z2665" s="49">
        <f t="shared" si="6"/>
        <v>0</v>
      </c>
    </row>
    <row r="2666" ht="22.5" customHeight="1">
      <c r="B2666" s="57"/>
      <c r="C2666" s="43" t="str">
        <f t="array" ref="C2666">IF(B2666="","",_xlfn.XLOOKUP(B2666,'Form responses 1'!$B$2:$B$2604,'Form responses 1'!$A$2:$A$2604,""))</f>
        <v/>
      </c>
      <c r="D2666" s="44" t="str">
        <f t="shared" si="3"/>
        <v/>
      </c>
      <c r="E2666" s="44" t="str">
        <f t="array" ref="E2666">IF(B2666="","",_xlfn.XLOOKUP(B2666,'Form responses 1'!$B$2:$B$2604,'Form responses 1'!$C$2:$C$2604,""))</f>
        <v/>
      </c>
      <c r="F2666" s="44" t="str">
        <f t="array" ref="F2666">IF(B2666="","",_xlfn.XLOOKUP(B2666,'Form responses 1'!$B$2:$B$2604,'Form responses 1'!$D$2:$D$2604,""))</f>
        <v/>
      </c>
      <c r="G2666" s="44" t="str">
        <f t="array" ref="G2666">IF(B2666="","",_xlfn.XLOOKUP(B2666,'Form responses 1'!$B$2:$B$2604,'Form responses 1'!$E$2:$E$2604,""))</f>
        <v/>
      </c>
      <c r="H2666" s="44" t="str">
        <f t="array" ref="H2666">IF(B2666="","",_xlfn.XLOOKUP(B2666,'Form responses 1'!$B$2:$B$2604,'Form responses 1'!$F$2:$F$2604,""))</f>
        <v/>
      </c>
      <c r="I2666" s="44" t="str">
        <f t="array" ref="I2666">IF(B2666="","",_xlfn.XLOOKUP(B2666,'Form responses 1'!$B$2:$B$2604,'Form responses 1'!$I$2:$I$2604,""))</f>
        <v/>
      </c>
      <c r="J2666" s="44" t="str">
        <f t="array" ref="J2666">IF(B2666="","",_xlfn.XLOOKUP(B2666,'Form responses 1'!$B$2:$B$2604,'Form responses 1'!$G$2:$G$2604,""))</f>
        <v/>
      </c>
      <c r="K2666" s="56"/>
      <c r="L2666" s="58" t="str">
        <f t="shared" si="7"/>
        <v/>
      </c>
      <c r="M2666" s="49"/>
      <c r="N2666" s="49"/>
      <c r="O2666" s="49"/>
      <c r="P2666" s="49"/>
      <c r="Q2666" s="49"/>
      <c r="R2666" s="49"/>
      <c r="S2666" s="49"/>
      <c r="T2666" s="49"/>
      <c r="U2666" s="49"/>
      <c r="V2666" s="49"/>
      <c r="W2666" s="56"/>
      <c r="X2666" s="51" t="str">
        <f t="shared" si="5"/>
        <v/>
      </c>
      <c r="Y2666" s="50" t="s">
        <v>482</v>
      </c>
      <c r="Z2666" s="49">
        <f t="shared" si="6"/>
        <v>0</v>
      </c>
    </row>
    <row r="2667" ht="22.5" customHeight="1">
      <c r="B2667" s="57"/>
      <c r="C2667" s="43" t="str">
        <f t="array" ref="C2667">IF(B2667="","",_xlfn.XLOOKUP(B2667,'Form responses 1'!$B$2:$B$2604,'Form responses 1'!$A$2:$A$2604,""))</f>
        <v/>
      </c>
      <c r="D2667" s="44" t="str">
        <f t="shared" si="3"/>
        <v/>
      </c>
      <c r="E2667" s="44" t="str">
        <f t="array" ref="E2667">IF(B2667="","",_xlfn.XLOOKUP(B2667,'Form responses 1'!$B$2:$B$2604,'Form responses 1'!$C$2:$C$2604,""))</f>
        <v/>
      </c>
      <c r="F2667" s="44" t="str">
        <f t="array" ref="F2667">IF(B2667="","",_xlfn.XLOOKUP(B2667,'Form responses 1'!$B$2:$B$2604,'Form responses 1'!$D$2:$D$2604,""))</f>
        <v/>
      </c>
      <c r="G2667" s="44" t="str">
        <f t="array" ref="G2667">IF(B2667="","",_xlfn.XLOOKUP(B2667,'Form responses 1'!$B$2:$B$2604,'Form responses 1'!$E$2:$E$2604,""))</f>
        <v/>
      </c>
      <c r="H2667" s="44" t="str">
        <f t="array" ref="H2667">IF(B2667="","",_xlfn.XLOOKUP(B2667,'Form responses 1'!$B$2:$B$2604,'Form responses 1'!$F$2:$F$2604,""))</f>
        <v/>
      </c>
      <c r="I2667" s="44" t="str">
        <f t="array" ref="I2667">IF(B2667="","",_xlfn.XLOOKUP(B2667,'Form responses 1'!$B$2:$B$2604,'Form responses 1'!$I$2:$I$2604,""))</f>
        <v/>
      </c>
      <c r="J2667" s="44" t="str">
        <f t="array" ref="J2667">IF(B2667="","",_xlfn.XLOOKUP(B2667,'Form responses 1'!$B$2:$B$2604,'Form responses 1'!$G$2:$G$2604,""))</f>
        <v/>
      </c>
      <c r="K2667" s="56"/>
      <c r="L2667" s="58" t="str">
        <f t="shared" si="7"/>
        <v/>
      </c>
      <c r="M2667" s="49"/>
      <c r="N2667" s="49"/>
      <c r="O2667" s="49"/>
      <c r="P2667" s="49"/>
      <c r="Q2667" s="49"/>
      <c r="R2667" s="49"/>
      <c r="S2667" s="49"/>
      <c r="T2667" s="49"/>
      <c r="U2667" s="49"/>
      <c r="V2667" s="49"/>
      <c r="W2667" s="56"/>
      <c r="X2667" s="51" t="str">
        <f t="shared" si="5"/>
        <v/>
      </c>
      <c r="Y2667" s="50" t="s">
        <v>482</v>
      </c>
      <c r="Z2667" s="49">
        <f t="shared" si="6"/>
        <v>0</v>
      </c>
    </row>
    <row r="2668" ht="22.5" customHeight="1">
      <c r="B2668" s="57"/>
      <c r="C2668" s="43" t="str">
        <f t="array" ref="C2668">IF(B2668="","",_xlfn.XLOOKUP(B2668,'Form responses 1'!$B$2:$B$2604,'Form responses 1'!$A$2:$A$2604,""))</f>
        <v/>
      </c>
      <c r="D2668" s="44" t="str">
        <f t="shared" si="3"/>
        <v/>
      </c>
      <c r="E2668" s="44" t="str">
        <f t="array" ref="E2668">IF(B2668="","",_xlfn.XLOOKUP(B2668,'Form responses 1'!$B$2:$B$2604,'Form responses 1'!$C$2:$C$2604,""))</f>
        <v/>
      </c>
      <c r="F2668" s="44" t="str">
        <f t="array" ref="F2668">IF(B2668="","",_xlfn.XLOOKUP(B2668,'Form responses 1'!$B$2:$B$2604,'Form responses 1'!$D$2:$D$2604,""))</f>
        <v/>
      </c>
      <c r="G2668" s="44" t="str">
        <f t="array" ref="G2668">IF(B2668="","",_xlfn.XLOOKUP(B2668,'Form responses 1'!$B$2:$B$2604,'Form responses 1'!$E$2:$E$2604,""))</f>
        <v/>
      </c>
      <c r="H2668" s="44" t="str">
        <f t="array" ref="H2668">IF(B2668="","",_xlfn.XLOOKUP(B2668,'Form responses 1'!$B$2:$B$2604,'Form responses 1'!$F$2:$F$2604,""))</f>
        <v/>
      </c>
      <c r="I2668" s="44" t="str">
        <f t="array" ref="I2668">IF(B2668="","",_xlfn.XLOOKUP(B2668,'Form responses 1'!$B$2:$B$2604,'Form responses 1'!$I$2:$I$2604,""))</f>
        <v/>
      </c>
      <c r="J2668" s="44" t="str">
        <f t="array" ref="J2668">IF(B2668="","",_xlfn.XLOOKUP(B2668,'Form responses 1'!$B$2:$B$2604,'Form responses 1'!$G$2:$G$2604,""))</f>
        <v/>
      </c>
      <c r="K2668" s="56"/>
      <c r="L2668" s="58" t="str">
        <f t="shared" si="7"/>
        <v/>
      </c>
      <c r="M2668" s="49"/>
      <c r="N2668" s="49"/>
      <c r="O2668" s="49"/>
      <c r="P2668" s="49"/>
      <c r="Q2668" s="49"/>
      <c r="R2668" s="49"/>
      <c r="S2668" s="49"/>
      <c r="T2668" s="49"/>
      <c r="U2668" s="49"/>
      <c r="V2668" s="49"/>
      <c r="W2668" s="56"/>
      <c r="X2668" s="51" t="str">
        <f t="shared" si="5"/>
        <v/>
      </c>
      <c r="Y2668" s="50" t="s">
        <v>482</v>
      </c>
      <c r="Z2668" s="49">
        <f t="shared" si="6"/>
        <v>0</v>
      </c>
    </row>
    <row r="2669" ht="22.5" customHeight="1">
      <c r="B2669" s="57"/>
      <c r="C2669" s="43" t="str">
        <f t="array" ref="C2669">IF(B2669="","",_xlfn.XLOOKUP(B2669,'Form responses 1'!$B$2:$B$2604,'Form responses 1'!$A$2:$A$2604,""))</f>
        <v/>
      </c>
      <c r="D2669" s="44" t="str">
        <f t="shared" si="3"/>
        <v/>
      </c>
      <c r="E2669" s="44" t="str">
        <f t="array" ref="E2669">IF(B2669="","",_xlfn.XLOOKUP(B2669,'Form responses 1'!$B$2:$B$2604,'Form responses 1'!$C$2:$C$2604,""))</f>
        <v/>
      </c>
      <c r="F2669" s="44" t="str">
        <f t="array" ref="F2669">IF(B2669="","",_xlfn.XLOOKUP(B2669,'Form responses 1'!$B$2:$B$2604,'Form responses 1'!$D$2:$D$2604,""))</f>
        <v/>
      </c>
      <c r="G2669" s="44" t="str">
        <f t="array" ref="G2669">IF(B2669="","",_xlfn.XLOOKUP(B2669,'Form responses 1'!$B$2:$B$2604,'Form responses 1'!$E$2:$E$2604,""))</f>
        <v/>
      </c>
      <c r="H2669" s="44" t="str">
        <f t="array" ref="H2669">IF(B2669="","",_xlfn.XLOOKUP(B2669,'Form responses 1'!$B$2:$B$2604,'Form responses 1'!$F$2:$F$2604,""))</f>
        <v/>
      </c>
      <c r="I2669" s="44" t="str">
        <f t="array" ref="I2669">IF(B2669="","",_xlfn.XLOOKUP(B2669,'Form responses 1'!$B$2:$B$2604,'Form responses 1'!$I$2:$I$2604,""))</f>
        <v/>
      </c>
      <c r="J2669" s="44" t="str">
        <f t="array" ref="J2669">IF(B2669="","",_xlfn.XLOOKUP(B2669,'Form responses 1'!$B$2:$B$2604,'Form responses 1'!$G$2:$G$2604,""))</f>
        <v/>
      </c>
      <c r="K2669" s="56"/>
      <c r="L2669" s="58" t="str">
        <f t="shared" si="7"/>
        <v/>
      </c>
      <c r="M2669" s="49"/>
      <c r="N2669" s="49"/>
      <c r="O2669" s="49"/>
      <c r="P2669" s="49"/>
      <c r="Q2669" s="49"/>
      <c r="R2669" s="49"/>
      <c r="S2669" s="49"/>
      <c r="T2669" s="49"/>
      <c r="U2669" s="49"/>
      <c r="V2669" s="49"/>
      <c r="W2669" s="56"/>
      <c r="X2669" s="51" t="str">
        <f t="shared" si="5"/>
        <v/>
      </c>
      <c r="Y2669" s="50" t="s">
        <v>482</v>
      </c>
      <c r="Z2669" s="49">
        <f t="shared" si="6"/>
        <v>0</v>
      </c>
    </row>
    <row r="2670" ht="22.5" customHeight="1">
      <c r="B2670" s="57"/>
      <c r="C2670" s="43" t="str">
        <f t="array" ref="C2670">IF(B2670="","",_xlfn.XLOOKUP(B2670,'Form responses 1'!$B$2:$B$2604,'Form responses 1'!$A$2:$A$2604,""))</f>
        <v/>
      </c>
      <c r="D2670" s="44" t="str">
        <f t="shared" si="3"/>
        <v/>
      </c>
      <c r="E2670" s="44" t="str">
        <f t="array" ref="E2670">IF(B2670="","",_xlfn.XLOOKUP(B2670,'Form responses 1'!$B$2:$B$2604,'Form responses 1'!$C$2:$C$2604,""))</f>
        <v/>
      </c>
      <c r="F2670" s="44" t="str">
        <f t="array" ref="F2670">IF(B2670="","",_xlfn.XLOOKUP(B2670,'Form responses 1'!$B$2:$B$2604,'Form responses 1'!$D$2:$D$2604,""))</f>
        <v/>
      </c>
      <c r="G2670" s="44" t="str">
        <f t="array" ref="G2670">IF(B2670="","",_xlfn.XLOOKUP(B2670,'Form responses 1'!$B$2:$B$2604,'Form responses 1'!$E$2:$E$2604,""))</f>
        <v/>
      </c>
      <c r="H2670" s="44" t="str">
        <f t="array" ref="H2670">IF(B2670="","",_xlfn.XLOOKUP(B2670,'Form responses 1'!$B$2:$B$2604,'Form responses 1'!$F$2:$F$2604,""))</f>
        <v/>
      </c>
      <c r="I2670" s="44" t="str">
        <f t="array" ref="I2670">IF(B2670="","",_xlfn.XLOOKUP(B2670,'Form responses 1'!$B$2:$B$2604,'Form responses 1'!$I$2:$I$2604,""))</f>
        <v/>
      </c>
      <c r="J2670" s="44" t="str">
        <f t="array" ref="J2670">IF(B2670="","",_xlfn.XLOOKUP(B2670,'Form responses 1'!$B$2:$B$2604,'Form responses 1'!$G$2:$G$2604,""))</f>
        <v/>
      </c>
      <c r="K2670" s="56"/>
      <c r="L2670" s="58" t="str">
        <f t="shared" si="7"/>
        <v/>
      </c>
      <c r="M2670" s="49"/>
      <c r="N2670" s="49"/>
      <c r="O2670" s="49"/>
      <c r="P2670" s="49"/>
      <c r="Q2670" s="49"/>
      <c r="R2670" s="49"/>
      <c r="S2670" s="49"/>
      <c r="T2670" s="49"/>
      <c r="U2670" s="49"/>
      <c r="V2670" s="49"/>
      <c r="W2670" s="56"/>
      <c r="X2670" s="51" t="str">
        <f t="shared" si="5"/>
        <v/>
      </c>
      <c r="Y2670" s="50" t="s">
        <v>482</v>
      </c>
      <c r="Z2670" s="49">
        <f t="shared" si="6"/>
        <v>0</v>
      </c>
    </row>
    <row r="2671" ht="22.5" customHeight="1">
      <c r="B2671" s="57"/>
      <c r="C2671" s="43" t="str">
        <f t="array" ref="C2671">IF(B2671="","",_xlfn.XLOOKUP(B2671,'Form responses 1'!$B$2:$B$2604,'Form responses 1'!$A$2:$A$2604,""))</f>
        <v/>
      </c>
      <c r="D2671" s="44" t="str">
        <f t="shared" si="3"/>
        <v/>
      </c>
      <c r="E2671" s="44" t="str">
        <f t="array" ref="E2671">IF(B2671="","",_xlfn.XLOOKUP(B2671,'Form responses 1'!$B$2:$B$2604,'Form responses 1'!$C$2:$C$2604,""))</f>
        <v/>
      </c>
      <c r="F2671" s="44" t="str">
        <f t="array" ref="F2671">IF(B2671="","",_xlfn.XLOOKUP(B2671,'Form responses 1'!$B$2:$B$2604,'Form responses 1'!$D$2:$D$2604,""))</f>
        <v/>
      </c>
      <c r="G2671" s="44" t="str">
        <f t="array" ref="G2671">IF(B2671="","",_xlfn.XLOOKUP(B2671,'Form responses 1'!$B$2:$B$2604,'Form responses 1'!$E$2:$E$2604,""))</f>
        <v/>
      </c>
      <c r="H2671" s="44" t="str">
        <f t="array" ref="H2671">IF(B2671="","",_xlfn.XLOOKUP(B2671,'Form responses 1'!$B$2:$B$2604,'Form responses 1'!$F$2:$F$2604,""))</f>
        <v/>
      </c>
      <c r="I2671" s="44" t="str">
        <f t="array" ref="I2671">IF(B2671="","",_xlfn.XLOOKUP(B2671,'Form responses 1'!$B$2:$B$2604,'Form responses 1'!$I$2:$I$2604,""))</f>
        <v/>
      </c>
      <c r="J2671" s="44" t="str">
        <f t="array" ref="J2671">IF(B2671="","",_xlfn.XLOOKUP(B2671,'Form responses 1'!$B$2:$B$2604,'Form responses 1'!$G$2:$G$2604,""))</f>
        <v/>
      </c>
      <c r="K2671" s="56"/>
      <c r="L2671" s="58" t="str">
        <f t="shared" si="7"/>
        <v/>
      </c>
      <c r="M2671" s="49"/>
      <c r="N2671" s="49"/>
      <c r="O2671" s="49"/>
      <c r="P2671" s="49"/>
      <c r="Q2671" s="49"/>
      <c r="R2671" s="49"/>
      <c r="S2671" s="49"/>
      <c r="T2671" s="49"/>
      <c r="U2671" s="49"/>
      <c r="V2671" s="49"/>
      <c r="W2671" s="56"/>
      <c r="X2671" s="51" t="str">
        <f t="shared" si="5"/>
        <v/>
      </c>
      <c r="Y2671" s="50" t="s">
        <v>482</v>
      </c>
      <c r="Z2671" s="49">
        <f t="shared" si="6"/>
        <v>0</v>
      </c>
    </row>
    <row r="2672" ht="22.5" customHeight="1">
      <c r="B2672" s="57"/>
      <c r="C2672" s="43" t="str">
        <f t="array" ref="C2672">IF(B2672="","",_xlfn.XLOOKUP(B2672,'Form responses 1'!$B$2:$B$2604,'Form responses 1'!$A$2:$A$2604,""))</f>
        <v/>
      </c>
      <c r="D2672" s="44" t="str">
        <f t="shared" si="3"/>
        <v/>
      </c>
      <c r="E2672" s="44" t="str">
        <f t="array" ref="E2672">IF(B2672="","",_xlfn.XLOOKUP(B2672,'Form responses 1'!$B$2:$B$2604,'Form responses 1'!$C$2:$C$2604,""))</f>
        <v/>
      </c>
      <c r="F2672" s="44" t="str">
        <f t="array" ref="F2672">IF(B2672="","",_xlfn.XLOOKUP(B2672,'Form responses 1'!$B$2:$B$2604,'Form responses 1'!$D$2:$D$2604,""))</f>
        <v/>
      </c>
      <c r="G2672" s="44" t="str">
        <f t="array" ref="G2672">IF(B2672="","",_xlfn.XLOOKUP(B2672,'Form responses 1'!$B$2:$B$2604,'Form responses 1'!$E$2:$E$2604,""))</f>
        <v/>
      </c>
      <c r="H2672" s="44" t="str">
        <f t="array" ref="H2672">IF(B2672="","",_xlfn.XLOOKUP(B2672,'Form responses 1'!$B$2:$B$2604,'Form responses 1'!$F$2:$F$2604,""))</f>
        <v/>
      </c>
      <c r="I2672" s="44" t="str">
        <f t="array" ref="I2672">IF(B2672="","",_xlfn.XLOOKUP(B2672,'Form responses 1'!$B$2:$B$2604,'Form responses 1'!$I$2:$I$2604,""))</f>
        <v/>
      </c>
      <c r="J2672" s="44" t="str">
        <f t="array" ref="J2672">IF(B2672="","",_xlfn.XLOOKUP(B2672,'Form responses 1'!$B$2:$B$2604,'Form responses 1'!$G$2:$G$2604,""))</f>
        <v/>
      </c>
      <c r="K2672" s="56"/>
      <c r="L2672" s="58" t="str">
        <f t="shared" si="7"/>
        <v/>
      </c>
      <c r="M2672" s="49"/>
      <c r="N2672" s="49"/>
      <c r="O2672" s="49"/>
      <c r="P2672" s="49"/>
      <c r="Q2672" s="49"/>
      <c r="R2672" s="49"/>
      <c r="S2672" s="49"/>
      <c r="T2672" s="49"/>
      <c r="U2672" s="49"/>
      <c r="V2672" s="49"/>
      <c r="W2672" s="56"/>
      <c r="X2672" s="51" t="str">
        <f t="shared" si="5"/>
        <v/>
      </c>
      <c r="Y2672" s="50" t="s">
        <v>482</v>
      </c>
      <c r="Z2672" s="49">
        <f t="shared" si="6"/>
        <v>0</v>
      </c>
    </row>
    <row r="2673" ht="22.5" customHeight="1">
      <c r="B2673" s="57"/>
      <c r="C2673" s="43" t="str">
        <f t="array" ref="C2673">IF(B2673="","",_xlfn.XLOOKUP(B2673,'Form responses 1'!$B$2:$B$2604,'Form responses 1'!$A$2:$A$2604,""))</f>
        <v/>
      </c>
      <c r="D2673" s="44" t="str">
        <f t="shared" si="3"/>
        <v/>
      </c>
      <c r="E2673" s="44" t="str">
        <f t="array" ref="E2673">IF(B2673="","",_xlfn.XLOOKUP(B2673,'Form responses 1'!$B$2:$B$2604,'Form responses 1'!$C$2:$C$2604,""))</f>
        <v/>
      </c>
      <c r="F2673" s="44" t="str">
        <f t="array" ref="F2673">IF(B2673="","",_xlfn.XLOOKUP(B2673,'Form responses 1'!$B$2:$B$2604,'Form responses 1'!$D$2:$D$2604,""))</f>
        <v/>
      </c>
      <c r="G2673" s="44" t="str">
        <f t="array" ref="G2673">IF(B2673="","",_xlfn.XLOOKUP(B2673,'Form responses 1'!$B$2:$B$2604,'Form responses 1'!$E$2:$E$2604,""))</f>
        <v/>
      </c>
      <c r="H2673" s="44" t="str">
        <f t="array" ref="H2673">IF(B2673="","",_xlfn.XLOOKUP(B2673,'Form responses 1'!$B$2:$B$2604,'Form responses 1'!$F$2:$F$2604,""))</f>
        <v/>
      </c>
      <c r="I2673" s="44" t="str">
        <f t="array" ref="I2673">IF(B2673="","",_xlfn.XLOOKUP(B2673,'Form responses 1'!$B$2:$B$2604,'Form responses 1'!$I$2:$I$2604,""))</f>
        <v/>
      </c>
      <c r="J2673" s="44" t="str">
        <f t="array" ref="J2673">IF(B2673="","",_xlfn.XLOOKUP(B2673,'Form responses 1'!$B$2:$B$2604,'Form responses 1'!$G$2:$G$2604,""))</f>
        <v/>
      </c>
      <c r="K2673" s="56"/>
      <c r="L2673" s="58" t="str">
        <f t="shared" si="7"/>
        <v/>
      </c>
      <c r="M2673" s="49"/>
      <c r="N2673" s="49"/>
      <c r="O2673" s="49"/>
      <c r="P2673" s="49"/>
      <c r="Q2673" s="49"/>
      <c r="R2673" s="49"/>
      <c r="S2673" s="49"/>
      <c r="T2673" s="49"/>
      <c r="U2673" s="49"/>
      <c r="V2673" s="49"/>
      <c r="W2673" s="56"/>
      <c r="X2673" s="51" t="str">
        <f t="shared" si="5"/>
        <v/>
      </c>
      <c r="Y2673" s="50" t="s">
        <v>482</v>
      </c>
      <c r="Z2673" s="49">
        <f t="shared" si="6"/>
        <v>0</v>
      </c>
    </row>
    <row r="2674" ht="22.5" customHeight="1">
      <c r="B2674" s="57"/>
      <c r="C2674" s="43" t="str">
        <f t="array" ref="C2674">IF(B2674="","",_xlfn.XLOOKUP(B2674,'Form responses 1'!$B$2:$B$2604,'Form responses 1'!$A$2:$A$2604,""))</f>
        <v/>
      </c>
      <c r="D2674" s="44" t="str">
        <f t="shared" si="3"/>
        <v/>
      </c>
      <c r="E2674" s="44" t="str">
        <f t="array" ref="E2674">IF(B2674="","",_xlfn.XLOOKUP(B2674,'Form responses 1'!$B$2:$B$2604,'Form responses 1'!$C$2:$C$2604,""))</f>
        <v/>
      </c>
      <c r="F2674" s="44" t="str">
        <f t="array" ref="F2674">IF(B2674="","",_xlfn.XLOOKUP(B2674,'Form responses 1'!$B$2:$B$2604,'Form responses 1'!$D$2:$D$2604,""))</f>
        <v/>
      </c>
      <c r="G2674" s="44" t="str">
        <f t="array" ref="G2674">IF(B2674="","",_xlfn.XLOOKUP(B2674,'Form responses 1'!$B$2:$B$2604,'Form responses 1'!$E$2:$E$2604,""))</f>
        <v/>
      </c>
      <c r="H2674" s="44" t="str">
        <f t="array" ref="H2674">IF(B2674="","",_xlfn.XLOOKUP(B2674,'Form responses 1'!$B$2:$B$2604,'Form responses 1'!$F$2:$F$2604,""))</f>
        <v/>
      </c>
      <c r="I2674" s="44" t="str">
        <f t="array" ref="I2674">IF(B2674="","",_xlfn.XLOOKUP(B2674,'Form responses 1'!$B$2:$B$2604,'Form responses 1'!$I$2:$I$2604,""))</f>
        <v/>
      </c>
      <c r="J2674" s="44" t="str">
        <f t="array" ref="J2674">IF(B2674="","",_xlfn.XLOOKUP(B2674,'Form responses 1'!$B$2:$B$2604,'Form responses 1'!$G$2:$G$2604,""))</f>
        <v/>
      </c>
      <c r="K2674" s="56"/>
      <c r="L2674" s="58" t="str">
        <f t="shared" si="7"/>
        <v/>
      </c>
      <c r="M2674" s="49"/>
      <c r="N2674" s="49"/>
      <c r="O2674" s="49"/>
      <c r="P2674" s="49"/>
      <c r="Q2674" s="49"/>
      <c r="R2674" s="49"/>
      <c r="S2674" s="49"/>
      <c r="T2674" s="49"/>
      <c r="U2674" s="49"/>
      <c r="V2674" s="49"/>
      <c r="W2674" s="56"/>
      <c r="X2674" s="51" t="str">
        <f t="shared" si="5"/>
        <v/>
      </c>
      <c r="Y2674" s="50" t="s">
        <v>482</v>
      </c>
      <c r="Z2674" s="49">
        <f t="shared" si="6"/>
        <v>0</v>
      </c>
    </row>
    <row r="2675" ht="22.5" customHeight="1">
      <c r="B2675" s="57"/>
      <c r="C2675" s="43" t="str">
        <f t="array" ref="C2675">IF(B2675="","",_xlfn.XLOOKUP(B2675,'Form responses 1'!$B$2:$B$2604,'Form responses 1'!$A$2:$A$2604,""))</f>
        <v/>
      </c>
      <c r="D2675" s="44" t="str">
        <f t="shared" si="3"/>
        <v/>
      </c>
      <c r="E2675" s="44" t="str">
        <f t="array" ref="E2675">IF(B2675="","",_xlfn.XLOOKUP(B2675,'Form responses 1'!$B$2:$B$2604,'Form responses 1'!$C$2:$C$2604,""))</f>
        <v/>
      </c>
      <c r="F2675" s="44" t="str">
        <f t="array" ref="F2675">IF(B2675="","",_xlfn.XLOOKUP(B2675,'Form responses 1'!$B$2:$B$2604,'Form responses 1'!$D$2:$D$2604,""))</f>
        <v/>
      </c>
      <c r="G2675" s="44" t="str">
        <f t="array" ref="G2675">IF(B2675="","",_xlfn.XLOOKUP(B2675,'Form responses 1'!$B$2:$B$2604,'Form responses 1'!$E$2:$E$2604,""))</f>
        <v/>
      </c>
      <c r="H2675" s="44" t="str">
        <f t="array" ref="H2675">IF(B2675="","",_xlfn.XLOOKUP(B2675,'Form responses 1'!$B$2:$B$2604,'Form responses 1'!$F$2:$F$2604,""))</f>
        <v/>
      </c>
      <c r="I2675" s="44" t="str">
        <f t="array" ref="I2675">IF(B2675="","",_xlfn.XLOOKUP(B2675,'Form responses 1'!$B$2:$B$2604,'Form responses 1'!$I$2:$I$2604,""))</f>
        <v/>
      </c>
      <c r="J2675" s="44" t="str">
        <f t="array" ref="J2675">IF(B2675="","",_xlfn.XLOOKUP(B2675,'Form responses 1'!$B$2:$B$2604,'Form responses 1'!$G$2:$G$2604,""))</f>
        <v/>
      </c>
      <c r="K2675" s="56"/>
      <c r="L2675" s="58" t="str">
        <f t="shared" si="7"/>
        <v/>
      </c>
      <c r="M2675" s="49"/>
      <c r="N2675" s="49"/>
      <c r="O2675" s="49"/>
      <c r="P2675" s="49"/>
      <c r="Q2675" s="49"/>
      <c r="R2675" s="49"/>
      <c r="S2675" s="49"/>
      <c r="T2675" s="49"/>
      <c r="U2675" s="49"/>
      <c r="V2675" s="49"/>
      <c r="W2675" s="56"/>
      <c r="X2675" s="51" t="str">
        <f t="shared" si="5"/>
        <v/>
      </c>
      <c r="Y2675" s="50" t="s">
        <v>482</v>
      </c>
      <c r="Z2675" s="49">
        <f t="shared" si="6"/>
        <v>0</v>
      </c>
    </row>
    <row r="2676" ht="22.5" customHeight="1">
      <c r="B2676" s="57"/>
      <c r="C2676" s="43" t="str">
        <f t="array" ref="C2676">IF(B2676="","",_xlfn.XLOOKUP(B2676,'Form responses 1'!$B$2:$B$2604,'Form responses 1'!$A$2:$A$2604,""))</f>
        <v/>
      </c>
      <c r="D2676" s="44" t="str">
        <f t="shared" si="3"/>
        <v/>
      </c>
      <c r="E2676" s="44" t="str">
        <f t="array" ref="E2676">IF(B2676="","",_xlfn.XLOOKUP(B2676,'Form responses 1'!$B$2:$B$2604,'Form responses 1'!$C$2:$C$2604,""))</f>
        <v/>
      </c>
      <c r="F2676" s="44" t="str">
        <f t="array" ref="F2676">IF(B2676="","",_xlfn.XLOOKUP(B2676,'Form responses 1'!$B$2:$B$2604,'Form responses 1'!$D$2:$D$2604,""))</f>
        <v/>
      </c>
      <c r="G2676" s="44" t="str">
        <f t="array" ref="G2676">IF(B2676="","",_xlfn.XLOOKUP(B2676,'Form responses 1'!$B$2:$B$2604,'Form responses 1'!$E$2:$E$2604,""))</f>
        <v/>
      </c>
      <c r="H2676" s="44" t="str">
        <f t="array" ref="H2676">IF(B2676="","",_xlfn.XLOOKUP(B2676,'Form responses 1'!$B$2:$B$2604,'Form responses 1'!$F$2:$F$2604,""))</f>
        <v/>
      </c>
      <c r="I2676" s="44" t="str">
        <f t="array" ref="I2676">IF(B2676="","",_xlfn.XLOOKUP(B2676,'Form responses 1'!$B$2:$B$2604,'Form responses 1'!$I$2:$I$2604,""))</f>
        <v/>
      </c>
      <c r="J2676" s="44" t="str">
        <f t="array" ref="J2676">IF(B2676="","",_xlfn.XLOOKUP(B2676,'Form responses 1'!$B$2:$B$2604,'Form responses 1'!$G$2:$G$2604,""))</f>
        <v/>
      </c>
      <c r="K2676" s="56"/>
      <c r="L2676" s="58" t="str">
        <f t="shared" si="7"/>
        <v/>
      </c>
      <c r="M2676" s="49"/>
      <c r="N2676" s="49"/>
      <c r="O2676" s="49"/>
      <c r="P2676" s="49"/>
      <c r="Q2676" s="49"/>
      <c r="R2676" s="49"/>
      <c r="S2676" s="49"/>
      <c r="T2676" s="49"/>
      <c r="U2676" s="49"/>
      <c r="V2676" s="49"/>
      <c r="W2676" s="56"/>
      <c r="X2676" s="51" t="str">
        <f t="shared" si="5"/>
        <v/>
      </c>
      <c r="Y2676" s="50" t="s">
        <v>482</v>
      </c>
      <c r="Z2676" s="49">
        <f t="shared" si="6"/>
        <v>0</v>
      </c>
    </row>
    <row r="2677" ht="22.5" customHeight="1">
      <c r="B2677" s="57"/>
      <c r="C2677" s="43" t="str">
        <f t="array" ref="C2677">IF(B2677="","",_xlfn.XLOOKUP(B2677,'Form responses 1'!$B$2:$B$2604,'Form responses 1'!$A$2:$A$2604,""))</f>
        <v/>
      </c>
      <c r="D2677" s="44" t="str">
        <f t="shared" si="3"/>
        <v/>
      </c>
      <c r="E2677" s="44" t="str">
        <f t="array" ref="E2677">IF(B2677="","",_xlfn.XLOOKUP(B2677,'Form responses 1'!$B$2:$B$2604,'Form responses 1'!$C$2:$C$2604,""))</f>
        <v/>
      </c>
      <c r="F2677" s="44" t="str">
        <f t="array" ref="F2677">IF(B2677="","",_xlfn.XLOOKUP(B2677,'Form responses 1'!$B$2:$B$2604,'Form responses 1'!$D$2:$D$2604,""))</f>
        <v/>
      </c>
      <c r="G2677" s="44" t="str">
        <f t="array" ref="G2677">IF(B2677="","",_xlfn.XLOOKUP(B2677,'Form responses 1'!$B$2:$B$2604,'Form responses 1'!$E$2:$E$2604,""))</f>
        <v/>
      </c>
      <c r="H2677" s="44" t="str">
        <f t="array" ref="H2677">IF(B2677="","",_xlfn.XLOOKUP(B2677,'Form responses 1'!$B$2:$B$2604,'Form responses 1'!$F$2:$F$2604,""))</f>
        <v/>
      </c>
      <c r="I2677" s="44" t="str">
        <f t="array" ref="I2677">IF(B2677="","",_xlfn.XLOOKUP(B2677,'Form responses 1'!$B$2:$B$2604,'Form responses 1'!$I$2:$I$2604,""))</f>
        <v/>
      </c>
      <c r="J2677" s="44" t="str">
        <f t="array" ref="J2677">IF(B2677="","",_xlfn.XLOOKUP(B2677,'Form responses 1'!$B$2:$B$2604,'Form responses 1'!$G$2:$G$2604,""))</f>
        <v/>
      </c>
      <c r="K2677" s="56"/>
      <c r="L2677" s="58" t="str">
        <f t="shared" si="7"/>
        <v/>
      </c>
      <c r="M2677" s="49"/>
      <c r="N2677" s="49"/>
      <c r="O2677" s="49"/>
      <c r="P2677" s="49"/>
      <c r="Q2677" s="49"/>
      <c r="R2677" s="49"/>
      <c r="S2677" s="49"/>
      <c r="T2677" s="49"/>
      <c r="U2677" s="49"/>
      <c r="V2677" s="49"/>
      <c r="W2677" s="56"/>
      <c r="X2677" s="51" t="str">
        <f t="shared" si="5"/>
        <v/>
      </c>
      <c r="Y2677" s="50" t="s">
        <v>482</v>
      </c>
      <c r="Z2677" s="49">
        <f t="shared" si="6"/>
        <v>0</v>
      </c>
    </row>
    <row r="2678" ht="22.5" customHeight="1">
      <c r="B2678" s="57"/>
      <c r="C2678" s="43" t="str">
        <f t="array" ref="C2678">IF(B2678="","",_xlfn.XLOOKUP(B2678,'Form responses 1'!$B$2:$B$2604,'Form responses 1'!$A$2:$A$2604,""))</f>
        <v/>
      </c>
      <c r="D2678" s="44" t="str">
        <f t="shared" si="3"/>
        <v/>
      </c>
      <c r="E2678" s="44" t="str">
        <f t="array" ref="E2678">IF(B2678="","",_xlfn.XLOOKUP(B2678,'Form responses 1'!$B$2:$B$2604,'Form responses 1'!$C$2:$C$2604,""))</f>
        <v/>
      </c>
      <c r="F2678" s="44" t="str">
        <f t="array" ref="F2678">IF(B2678="","",_xlfn.XLOOKUP(B2678,'Form responses 1'!$B$2:$B$2604,'Form responses 1'!$D$2:$D$2604,""))</f>
        <v/>
      </c>
      <c r="G2678" s="44" t="str">
        <f t="array" ref="G2678">IF(B2678="","",_xlfn.XLOOKUP(B2678,'Form responses 1'!$B$2:$B$2604,'Form responses 1'!$E$2:$E$2604,""))</f>
        <v/>
      </c>
      <c r="H2678" s="44" t="str">
        <f t="array" ref="H2678">IF(B2678="","",_xlfn.XLOOKUP(B2678,'Form responses 1'!$B$2:$B$2604,'Form responses 1'!$F$2:$F$2604,""))</f>
        <v/>
      </c>
      <c r="I2678" s="44" t="str">
        <f t="array" ref="I2678">IF(B2678="","",_xlfn.XLOOKUP(B2678,'Form responses 1'!$B$2:$B$2604,'Form responses 1'!$I$2:$I$2604,""))</f>
        <v/>
      </c>
      <c r="J2678" s="44" t="str">
        <f t="array" ref="J2678">IF(B2678="","",_xlfn.XLOOKUP(B2678,'Form responses 1'!$B$2:$B$2604,'Form responses 1'!$G$2:$G$2604,""))</f>
        <v/>
      </c>
      <c r="K2678" s="56"/>
      <c r="L2678" s="58" t="str">
        <f t="shared" si="7"/>
        <v/>
      </c>
      <c r="M2678" s="49"/>
      <c r="N2678" s="49"/>
      <c r="O2678" s="49"/>
      <c r="P2678" s="49"/>
      <c r="Q2678" s="49"/>
      <c r="R2678" s="49"/>
      <c r="S2678" s="49"/>
      <c r="T2678" s="49"/>
      <c r="U2678" s="49"/>
      <c r="V2678" s="49"/>
      <c r="W2678" s="56"/>
      <c r="X2678" s="51" t="str">
        <f t="shared" si="5"/>
        <v/>
      </c>
      <c r="Y2678" s="50" t="s">
        <v>482</v>
      </c>
      <c r="Z2678" s="49">
        <f t="shared" si="6"/>
        <v>0</v>
      </c>
    </row>
    <row r="2679" ht="22.5" customHeight="1">
      <c r="B2679" s="57"/>
      <c r="C2679" s="43" t="str">
        <f t="array" ref="C2679">IF(B2679="","",_xlfn.XLOOKUP(B2679,'Form responses 1'!$B$2:$B$2604,'Form responses 1'!$A$2:$A$2604,""))</f>
        <v/>
      </c>
      <c r="D2679" s="44" t="str">
        <f t="shared" si="3"/>
        <v/>
      </c>
      <c r="E2679" s="44" t="str">
        <f t="array" ref="E2679">IF(B2679="","",_xlfn.XLOOKUP(B2679,'Form responses 1'!$B$2:$B$2604,'Form responses 1'!$C$2:$C$2604,""))</f>
        <v/>
      </c>
      <c r="F2679" s="44" t="str">
        <f t="array" ref="F2679">IF(B2679="","",_xlfn.XLOOKUP(B2679,'Form responses 1'!$B$2:$B$2604,'Form responses 1'!$D$2:$D$2604,""))</f>
        <v/>
      </c>
      <c r="G2679" s="44" t="str">
        <f t="array" ref="G2679">IF(B2679="","",_xlfn.XLOOKUP(B2679,'Form responses 1'!$B$2:$B$2604,'Form responses 1'!$E$2:$E$2604,""))</f>
        <v/>
      </c>
      <c r="H2679" s="44" t="str">
        <f t="array" ref="H2679">IF(B2679="","",_xlfn.XLOOKUP(B2679,'Form responses 1'!$B$2:$B$2604,'Form responses 1'!$F$2:$F$2604,""))</f>
        <v/>
      </c>
      <c r="I2679" s="44" t="str">
        <f t="array" ref="I2679">IF(B2679="","",_xlfn.XLOOKUP(B2679,'Form responses 1'!$B$2:$B$2604,'Form responses 1'!$I$2:$I$2604,""))</f>
        <v/>
      </c>
      <c r="J2679" s="44" t="str">
        <f t="array" ref="J2679">IF(B2679="","",_xlfn.XLOOKUP(B2679,'Form responses 1'!$B$2:$B$2604,'Form responses 1'!$G$2:$G$2604,""))</f>
        <v/>
      </c>
      <c r="K2679" s="56"/>
      <c r="L2679" s="58" t="str">
        <f t="shared" si="7"/>
        <v/>
      </c>
      <c r="M2679" s="49"/>
      <c r="N2679" s="49"/>
      <c r="O2679" s="49"/>
      <c r="P2679" s="49"/>
      <c r="Q2679" s="49"/>
      <c r="R2679" s="49"/>
      <c r="S2679" s="49"/>
      <c r="T2679" s="49"/>
      <c r="U2679" s="49"/>
      <c r="V2679" s="49"/>
      <c r="W2679" s="56"/>
      <c r="X2679" s="51" t="str">
        <f t="shared" si="5"/>
        <v/>
      </c>
      <c r="Y2679" s="50" t="s">
        <v>482</v>
      </c>
      <c r="Z2679" s="49">
        <f t="shared" si="6"/>
        <v>0</v>
      </c>
    </row>
    <row r="2680" ht="22.5" customHeight="1">
      <c r="B2680" s="57"/>
      <c r="C2680" s="43" t="str">
        <f t="array" ref="C2680">IF(B2680="","",_xlfn.XLOOKUP(B2680,'Form responses 1'!$B$2:$B$2604,'Form responses 1'!$A$2:$A$2604,""))</f>
        <v/>
      </c>
      <c r="D2680" s="44" t="str">
        <f t="shared" si="3"/>
        <v/>
      </c>
      <c r="E2680" s="44" t="str">
        <f t="array" ref="E2680">IF(B2680="","",_xlfn.XLOOKUP(B2680,'Form responses 1'!$B$2:$B$2604,'Form responses 1'!$C$2:$C$2604,""))</f>
        <v/>
      </c>
      <c r="F2680" s="44" t="str">
        <f t="array" ref="F2680">IF(B2680="","",_xlfn.XLOOKUP(B2680,'Form responses 1'!$B$2:$B$2604,'Form responses 1'!$D$2:$D$2604,""))</f>
        <v/>
      </c>
      <c r="G2680" s="44" t="str">
        <f t="array" ref="G2680">IF(B2680="","",_xlfn.XLOOKUP(B2680,'Form responses 1'!$B$2:$B$2604,'Form responses 1'!$E$2:$E$2604,""))</f>
        <v/>
      </c>
      <c r="H2680" s="44" t="str">
        <f t="array" ref="H2680">IF(B2680="","",_xlfn.XLOOKUP(B2680,'Form responses 1'!$B$2:$B$2604,'Form responses 1'!$F$2:$F$2604,""))</f>
        <v/>
      </c>
      <c r="I2680" s="44" t="str">
        <f t="array" ref="I2680">IF(B2680="","",_xlfn.XLOOKUP(B2680,'Form responses 1'!$B$2:$B$2604,'Form responses 1'!$I$2:$I$2604,""))</f>
        <v/>
      </c>
      <c r="J2680" s="44" t="str">
        <f t="array" ref="J2680">IF(B2680="","",_xlfn.XLOOKUP(B2680,'Form responses 1'!$B$2:$B$2604,'Form responses 1'!$G$2:$G$2604,""))</f>
        <v/>
      </c>
      <c r="K2680" s="56"/>
      <c r="L2680" s="58" t="str">
        <f t="shared" si="7"/>
        <v/>
      </c>
      <c r="M2680" s="49"/>
      <c r="N2680" s="49"/>
      <c r="O2680" s="49"/>
      <c r="P2680" s="49"/>
      <c r="Q2680" s="49"/>
      <c r="R2680" s="49"/>
      <c r="S2680" s="49"/>
      <c r="T2680" s="49"/>
      <c r="U2680" s="49"/>
      <c r="V2680" s="49"/>
      <c r="W2680" s="56"/>
      <c r="X2680" s="51" t="str">
        <f t="shared" si="5"/>
        <v/>
      </c>
      <c r="Y2680" s="50" t="s">
        <v>482</v>
      </c>
      <c r="Z2680" s="49">
        <f t="shared" si="6"/>
        <v>0</v>
      </c>
    </row>
    <row r="2681" ht="22.5" customHeight="1">
      <c r="B2681" s="57"/>
      <c r="C2681" s="43" t="str">
        <f t="array" ref="C2681">IF(B2681="","",_xlfn.XLOOKUP(B2681,'Form responses 1'!$B$2:$B$2604,'Form responses 1'!$A$2:$A$2604,""))</f>
        <v/>
      </c>
      <c r="D2681" s="44" t="str">
        <f t="shared" si="3"/>
        <v/>
      </c>
      <c r="E2681" s="44" t="str">
        <f t="array" ref="E2681">IF(B2681="","",_xlfn.XLOOKUP(B2681,'Form responses 1'!$B$2:$B$2604,'Form responses 1'!$C$2:$C$2604,""))</f>
        <v/>
      </c>
      <c r="F2681" s="44" t="str">
        <f t="array" ref="F2681">IF(B2681="","",_xlfn.XLOOKUP(B2681,'Form responses 1'!$B$2:$B$2604,'Form responses 1'!$D$2:$D$2604,""))</f>
        <v/>
      </c>
      <c r="G2681" s="44" t="str">
        <f t="array" ref="G2681">IF(B2681="","",_xlfn.XLOOKUP(B2681,'Form responses 1'!$B$2:$B$2604,'Form responses 1'!$E$2:$E$2604,""))</f>
        <v/>
      </c>
      <c r="H2681" s="44" t="str">
        <f t="array" ref="H2681">IF(B2681="","",_xlfn.XLOOKUP(B2681,'Form responses 1'!$B$2:$B$2604,'Form responses 1'!$F$2:$F$2604,""))</f>
        <v/>
      </c>
      <c r="I2681" s="44" t="str">
        <f t="array" ref="I2681">IF(B2681="","",_xlfn.XLOOKUP(B2681,'Form responses 1'!$B$2:$B$2604,'Form responses 1'!$I$2:$I$2604,""))</f>
        <v/>
      </c>
      <c r="J2681" s="44" t="str">
        <f t="array" ref="J2681">IF(B2681="","",_xlfn.XLOOKUP(B2681,'Form responses 1'!$B$2:$B$2604,'Form responses 1'!$G$2:$G$2604,""))</f>
        <v/>
      </c>
      <c r="K2681" s="56"/>
      <c r="L2681" s="58" t="str">
        <f t="shared" si="7"/>
        <v/>
      </c>
      <c r="M2681" s="49"/>
      <c r="N2681" s="49"/>
      <c r="O2681" s="49"/>
      <c r="P2681" s="49"/>
      <c r="Q2681" s="49"/>
      <c r="R2681" s="49"/>
      <c r="S2681" s="49"/>
      <c r="T2681" s="49"/>
      <c r="U2681" s="49"/>
      <c r="V2681" s="49"/>
      <c r="W2681" s="56"/>
      <c r="X2681" s="51" t="str">
        <f t="shared" si="5"/>
        <v/>
      </c>
      <c r="Y2681" s="50" t="s">
        <v>482</v>
      </c>
      <c r="Z2681" s="49">
        <f t="shared" si="6"/>
        <v>0</v>
      </c>
    </row>
    <row r="2682" ht="22.5" customHeight="1">
      <c r="B2682" s="57"/>
      <c r="C2682" s="43" t="str">
        <f t="array" ref="C2682">IF(B2682="","",_xlfn.XLOOKUP(B2682,'Form responses 1'!$B$2:$B$2604,'Form responses 1'!$A$2:$A$2604,""))</f>
        <v/>
      </c>
      <c r="D2682" s="44" t="str">
        <f t="shared" si="3"/>
        <v/>
      </c>
      <c r="E2682" s="44" t="str">
        <f t="array" ref="E2682">IF(B2682="","",_xlfn.XLOOKUP(B2682,'Form responses 1'!$B$2:$B$2604,'Form responses 1'!$C$2:$C$2604,""))</f>
        <v/>
      </c>
      <c r="F2682" s="44" t="str">
        <f t="array" ref="F2682">IF(B2682="","",_xlfn.XLOOKUP(B2682,'Form responses 1'!$B$2:$B$2604,'Form responses 1'!$D$2:$D$2604,""))</f>
        <v/>
      </c>
      <c r="G2682" s="44" t="str">
        <f t="array" ref="G2682">IF(B2682="","",_xlfn.XLOOKUP(B2682,'Form responses 1'!$B$2:$B$2604,'Form responses 1'!$E$2:$E$2604,""))</f>
        <v/>
      </c>
      <c r="H2682" s="44" t="str">
        <f t="array" ref="H2682">IF(B2682="","",_xlfn.XLOOKUP(B2682,'Form responses 1'!$B$2:$B$2604,'Form responses 1'!$F$2:$F$2604,""))</f>
        <v/>
      </c>
      <c r="I2682" s="44" t="str">
        <f t="array" ref="I2682">IF(B2682="","",_xlfn.XLOOKUP(B2682,'Form responses 1'!$B$2:$B$2604,'Form responses 1'!$I$2:$I$2604,""))</f>
        <v/>
      </c>
      <c r="J2682" s="44" t="str">
        <f t="array" ref="J2682">IF(B2682="","",_xlfn.XLOOKUP(B2682,'Form responses 1'!$B$2:$B$2604,'Form responses 1'!$G$2:$G$2604,""))</f>
        <v/>
      </c>
      <c r="K2682" s="56"/>
      <c r="L2682" s="58" t="str">
        <f t="shared" si="7"/>
        <v/>
      </c>
      <c r="M2682" s="49"/>
      <c r="N2682" s="49"/>
      <c r="O2682" s="49"/>
      <c r="P2682" s="49"/>
      <c r="Q2682" s="49"/>
      <c r="R2682" s="49"/>
      <c r="S2682" s="49"/>
      <c r="T2682" s="49"/>
      <c r="U2682" s="49"/>
      <c r="V2682" s="49"/>
      <c r="W2682" s="56"/>
      <c r="X2682" s="51" t="str">
        <f t="shared" si="5"/>
        <v/>
      </c>
      <c r="Y2682" s="50" t="s">
        <v>482</v>
      </c>
      <c r="Z2682" s="49">
        <f t="shared" si="6"/>
        <v>0</v>
      </c>
    </row>
    <row r="2683" ht="22.5" customHeight="1">
      <c r="B2683" s="57"/>
      <c r="C2683" s="43" t="str">
        <f t="array" ref="C2683">IF(B2683="","",_xlfn.XLOOKUP(B2683,'Form responses 1'!$B$2:$B$2604,'Form responses 1'!$A$2:$A$2604,""))</f>
        <v/>
      </c>
      <c r="D2683" s="44" t="str">
        <f t="shared" si="3"/>
        <v/>
      </c>
      <c r="E2683" s="44" t="str">
        <f t="array" ref="E2683">IF(B2683="","",_xlfn.XLOOKUP(B2683,'Form responses 1'!$B$2:$B$2604,'Form responses 1'!$C$2:$C$2604,""))</f>
        <v/>
      </c>
      <c r="F2683" s="44" t="str">
        <f t="array" ref="F2683">IF(B2683="","",_xlfn.XLOOKUP(B2683,'Form responses 1'!$B$2:$B$2604,'Form responses 1'!$D$2:$D$2604,""))</f>
        <v/>
      </c>
      <c r="G2683" s="44" t="str">
        <f t="array" ref="G2683">IF(B2683="","",_xlfn.XLOOKUP(B2683,'Form responses 1'!$B$2:$B$2604,'Form responses 1'!$E$2:$E$2604,""))</f>
        <v/>
      </c>
      <c r="H2683" s="44" t="str">
        <f t="array" ref="H2683">IF(B2683="","",_xlfn.XLOOKUP(B2683,'Form responses 1'!$B$2:$B$2604,'Form responses 1'!$F$2:$F$2604,""))</f>
        <v/>
      </c>
      <c r="I2683" s="44" t="str">
        <f t="array" ref="I2683">IF(B2683="","",_xlfn.XLOOKUP(B2683,'Form responses 1'!$B$2:$B$2604,'Form responses 1'!$I$2:$I$2604,""))</f>
        <v/>
      </c>
      <c r="J2683" s="44" t="str">
        <f t="array" ref="J2683">IF(B2683="","",_xlfn.XLOOKUP(B2683,'Form responses 1'!$B$2:$B$2604,'Form responses 1'!$G$2:$G$2604,""))</f>
        <v/>
      </c>
      <c r="K2683" s="56"/>
      <c r="L2683" s="58" t="str">
        <f t="shared" si="7"/>
        <v/>
      </c>
      <c r="M2683" s="49"/>
      <c r="N2683" s="49"/>
      <c r="O2683" s="49"/>
      <c r="P2683" s="49"/>
      <c r="Q2683" s="49"/>
      <c r="R2683" s="49"/>
      <c r="S2683" s="49"/>
      <c r="T2683" s="49"/>
      <c r="U2683" s="49"/>
      <c r="V2683" s="49"/>
      <c r="W2683" s="56"/>
      <c r="X2683" s="51" t="str">
        <f t="shared" si="5"/>
        <v/>
      </c>
      <c r="Y2683" s="50" t="s">
        <v>482</v>
      </c>
      <c r="Z2683" s="49">
        <f t="shared" si="6"/>
        <v>0</v>
      </c>
    </row>
    <row r="2684" ht="22.5" customHeight="1">
      <c r="B2684" s="57"/>
      <c r="C2684" s="43" t="str">
        <f t="array" ref="C2684">IF(B2684="","",_xlfn.XLOOKUP(B2684,'Form responses 1'!$B$2:$B$2604,'Form responses 1'!$A$2:$A$2604,""))</f>
        <v/>
      </c>
      <c r="D2684" s="44" t="str">
        <f t="shared" si="3"/>
        <v/>
      </c>
      <c r="E2684" s="44" t="str">
        <f t="array" ref="E2684">IF(B2684="","",_xlfn.XLOOKUP(B2684,'Form responses 1'!$B$2:$B$2604,'Form responses 1'!$C$2:$C$2604,""))</f>
        <v/>
      </c>
      <c r="F2684" s="44" t="str">
        <f t="array" ref="F2684">IF(B2684="","",_xlfn.XLOOKUP(B2684,'Form responses 1'!$B$2:$B$2604,'Form responses 1'!$D$2:$D$2604,""))</f>
        <v/>
      </c>
      <c r="G2684" s="44" t="str">
        <f t="array" ref="G2684">IF(B2684="","",_xlfn.XLOOKUP(B2684,'Form responses 1'!$B$2:$B$2604,'Form responses 1'!$E$2:$E$2604,""))</f>
        <v/>
      </c>
      <c r="H2684" s="44" t="str">
        <f t="array" ref="H2684">IF(B2684="","",_xlfn.XLOOKUP(B2684,'Form responses 1'!$B$2:$B$2604,'Form responses 1'!$F$2:$F$2604,""))</f>
        <v/>
      </c>
      <c r="I2684" s="44" t="str">
        <f t="array" ref="I2684">IF(B2684="","",_xlfn.XLOOKUP(B2684,'Form responses 1'!$B$2:$B$2604,'Form responses 1'!$I$2:$I$2604,""))</f>
        <v/>
      </c>
      <c r="J2684" s="44" t="str">
        <f t="array" ref="J2684">IF(B2684="","",_xlfn.XLOOKUP(B2684,'Form responses 1'!$B$2:$B$2604,'Form responses 1'!$G$2:$G$2604,""))</f>
        <v/>
      </c>
      <c r="K2684" s="56"/>
      <c r="L2684" s="58" t="str">
        <f t="shared" si="7"/>
        <v/>
      </c>
      <c r="M2684" s="49"/>
      <c r="N2684" s="49"/>
      <c r="O2684" s="49"/>
      <c r="P2684" s="49"/>
      <c r="Q2684" s="49"/>
      <c r="R2684" s="49"/>
      <c r="S2684" s="49"/>
      <c r="T2684" s="49"/>
      <c r="U2684" s="49"/>
      <c r="V2684" s="49"/>
      <c r="W2684" s="56"/>
      <c r="X2684" s="51" t="str">
        <f t="shared" si="5"/>
        <v/>
      </c>
      <c r="Y2684" s="50" t="s">
        <v>482</v>
      </c>
      <c r="Z2684" s="49">
        <f t="shared" si="6"/>
        <v>0</v>
      </c>
    </row>
    <row r="2685" ht="22.5" customHeight="1">
      <c r="B2685" s="57"/>
      <c r="C2685" s="43" t="str">
        <f t="array" ref="C2685">IF(B2685="","",_xlfn.XLOOKUP(B2685,'Form responses 1'!$B$2:$B$2604,'Form responses 1'!$A$2:$A$2604,""))</f>
        <v/>
      </c>
      <c r="D2685" s="44" t="str">
        <f t="shared" si="3"/>
        <v/>
      </c>
      <c r="E2685" s="44" t="str">
        <f t="array" ref="E2685">IF(B2685="","",_xlfn.XLOOKUP(B2685,'Form responses 1'!$B$2:$B$2604,'Form responses 1'!$C$2:$C$2604,""))</f>
        <v/>
      </c>
      <c r="F2685" s="44" t="str">
        <f t="array" ref="F2685">IF(B2685="","",_xlfn.XLOOKUP(B2685,'Form responses 1'!$B$2:$B$2604,'Form responses 1'!$D$2:$D$2604,""))</f>
        <v/>
      </c>
      <c r="G2685" s="44" t="str">
        <f t="array" ref="G2685">IF(B2685="","",_xlfn.XLOOKUP(B2685,'Form responses 1'!$B$2:$B$2604,'Form responses 1'!$E$2:$E$2604,""))</f>
        <v/>
      </c>
      <c r="H2685" s="44" t="str">
        <f t="array" ref="H2685">IF(B2685="","",_xlfn.XLOOKUP(B2685,'Form responses 1'!$B$2:$B$2604,'Form responses 1'!$F$2:$F$2604,""))</f>
        <v/>
      </c>
      <c r="I2685" s="44" t="str">
        <f t="array" ref="I2685">IF(B2685="","",_xlfn.XLOOKUP(B2685,'Form responses 1'!$B$2:$B$2604,'Form responses 1'!$I$2:$I$2604,""))</f>
        <v/>
      </c>
      <c r="J2685" s="44" t="str">
        <f t="array" ref="J2685">IF(B2685="","",_xlfn.XLOOKUP(B2685,'Form responses 1'!$B$2:$B$2604,'Form responses 1'!$G$2:$G$2604,""))</f>
        <v/>
      </c>
      <c r="K2685" s="56"/>
      <c r="L2685" s="58" t="str">
        <f t="shared" si="7"/>
        <v/>
      </c>
      <c r="M2685" s="49"/>
      <c r="N2685" s="49"/>
      <c r="O2685" s="49"/>
      <c r="P2685" s="49"/>
      <c r="Q2685" s="49"/>
      <c r="R2685" s="49"/>
      <c r="S2685" s="49"/>
      <c r="T2685" s="49"/>
      <c r="U2685" s="49"/>
      <c r="V2685" s="49"/>
      <c r="W2685" s="56"/>
      <c r="X2685" s="51" t="str">
        <f t="shared" si="5"/>
        <v/>
      </c>
      <c r="Y2685" s="50" t="s">
        <v>482</v>
      </c>
      <c r="Z2685" s="49">
        <f t="shared" si="6"/>
        <v>0</v>
      </c>
    </row>
    <row r="2686" ht="22.5" customHeight="1">
      <c r="B2686" s="57"/>
      <c r="C2686" s="43" t="str">
        <f t="array" ref="C2686">IF(B2686="","",_xlfn.XLOOKUP(B2686,'Form responses 1'!$B$2:$B$2604,'Form responses 1'!$A$2:$A$2604,""))</f>
        <v/>
      </c>
      <c r="D2686" s="44" t="str">
        <f t="shared" si="3"/>
        <v/>
      </c>
      <c r="E2686" s="44" t="str">
        <f t="array" ref="E2686">IF(B2686="","",_xlfn.XLOOKUP(B2686,'Form responses 1'!$B$2:$B$2604,'Form responses 1'!$C$2:$C$2604,""))</f>
        <v/>
      </c>
      <c r="F2686" s="44" t="str">
        <f t="array" ref="F2686">IF(B2686="","",_xlfn.XLOOKUP(B2686,'Form responses 1'!$B$2:$B$2604,'Form responses 1'!$D$2:$D$2604,""))</f>
        <v/>
      </c>
      <c r="G2686" s="44" t="str">
        <f t="array" ref="G2686">IF(B2686="","",_xlfn.XLOOKUP(B2686,'Form responses 1'!$B$2:$B$2604,'Form responses 1'!$E$2:$E$2604,""))</f>
        <v/>
      </c>
      <c r="H2686" s="44" t="str">
        <f t="array" ref="H2686">IF(B2686="","",_xlfn.XLOOKUP(B2686,'Form responses 1'!$B$2:$B$2604,'Form responses 1'!$F$2:$F$2604,""))</f>
        <v/>
      </c>
      <c r="I2686" s="44" t="str">
        <f t="array" ref="I2686">IF(B2686="","",_xlfn.XLOOKUP(B2686,'Form responses 1'!$B$2:$B$2604,'Form responses 1'!$I$2:$I$2604,""))</f>
        <v/>
      </c>
      <c r="J2686" s="44" t="str">
        <f t="array" ref="J2686">IF(B2686="","",_xlfn.XLOOKUP(B2686,'Form responses 1'!$B$2:$B$2604,'Form responses 1'!$G$2:$G$2604,""))</f>
        <v/>
      </c>
      <c r="K2686" s="56"/>
      <c r="L2686" s="58" t="str">
        <f t="shared" si="7"/>
        <v/>
      </c>
      <c r="M2686" s="49"/>
      <c r="N2686" s="49"/>
      <c r="O2686" s="49"/>
      <c r="P2686" s="49"/>
      <c r="Q2686" s="49"/>
      <c r="R2686" s="49"/>
      <c r="S2686" s="49"/>
      <c r="T2686" s="49"/>
      <c r="U2686" s="49"/>
      <c r="V2686" s="49"/>
      <c r="W2686" s="56"/>
      <c r="X2686" s="51" t="str">
        <f t="shared" si="5"/>
        <v/>
      </c>
      <c r="Y2686" s="50" t="s">
        <v>482</v>
      </c>
      <c r="Z2686" s="49">
        <f t="shared" si="6"/>
        <v>0</v>
      </c>
    </row>
    <row r="2687" ht="22.5" customHeight="1">
      <c r="B2687" s="57"/>
      <c r="C2687" s="43" t="str">
        <f t="array" ref="C2687">IF(B2687="","",_xlfn.XLOOKUP(B2687,'Form responses 1'!$B$2:$B$2604,'Form responses 1'!$A$2:$A$2604,""))</f>
        <v/>
      </c>
      <c r="D2687" s="44" t="str">
        <f t="shared" si="3"/>
        <v/>
      </c>
      <c r="E2687" s="44" t="str">
        <f t="array" ref="E2687">IF(B2687="","",_xlfn.XLOOKUP(B2687,'Form responses 1'!$B$2:$B$2604,'Form responses 1'!$C$2:$C$2604,""))</f>
        <v/>
      </c>
      <c r="F2687" s="44" t="str">
        <f t="array" ref="F2687">IF(B2687="","",_xlfn.XLOOKUP(B2687,'Form responses 1'!$B$2:$B$2604,'Form responses 1'!$D$2:$D$2604,""))</f>
        <v/>
      </c>
      <c r="G2687" s="44" t="str">
        <f t="array" ref="G2687">IF(B2687="","",_xlfn.XLOOKUP(B2687,'Form responses 1'!$B$2:$B$2604,'Form responses 1'!$E$2:$E$2604,""))</f>
        <v/>
      </c>
      <c r="H2687" s="44" t="str">
        <f t="array" ref="H2687">IF(B2687="","",_xlfn.XLOOKUP(B2687,'Form responses 1'!$B$2:$B$2604,'Form responses 1'!$F$2:$F$2604,""))</f>
        <v/>
      </c>
      <c r="I2687" s="44" t="str">
        <f t="array" ref="I2687">IF(B2687="","",_xlfn.XLOOKUP(B2687,'Form responses 1'!$B$2:$B$2604,'Form responses 1'!$I$2:$I$2604,""))</f>
        <v/>
      </c>
      <c r="J2687" s="44" t="str">
        <f t="array" ref="J2687">IF(B2687="","",_xlfn.XLOOKUP(B2687,'Form responses 1'!$B$2:$B$2604,'Form responses 1'!$G$2:$G$2604,""))</f>
        <v/>
      </c>
      <c r="K2687" s="56"/>
      <c r="L2687" s="58" t="str">
        <f t="shared" si="7"/>
        <v/>
      </c>
      <c r="M2687" s="49"/>
      <c r="N2687" s="49"/>
      <c r="O2687" s="49"/>
      <c r="P2687" s="49"/>
      <c r="Q2687" s="49"/>
      <c r="R2687" s="49"/>
      <c r="S2687" s="49"/>
      <c r="T2687" s="49"/>
      <c r="U2687" s="49"/>
      <c r="V2687" s="49"/>
      <c r="W2687" s="56"/>
      <c r="X2687" s="51" t="str">
        <f t="shared" si="5"/>
        <v/>
      </c>
      <c r="Y2687" s="50" t="s">
        <v>482</v>
      </c>
      <c r="Z2687" s="49">
        <f t="shared" si="6"/>
        <v>0</v>
      </c>
    </row>
    <row r="2688" ht="22.5" customHeight="1">
      <c r="B2688" s="57"/>
      <c r="C2688" s="43" t="str">
        <f t="array" ref="C2688">IF(B2688="","",_xlfn.XLOOKUP(B2688,'Form responses 1'!$B$2:$B$2604,'Form responses 1'!$A$2:$A$2604,""))</f>
        <v/>
      </c>
      <c r="D2688" s="44" t="str">
        <f t="shared" si="3"/>
        <v/>
      </c>
      <c r="E2688" s="44" t="str">
        <f t="array" ref="E2688">IF(B2688="","",_xlfn.XLOOKUP(B2688,'Form responses 1'!$B$2:$B$2604,'Form responses 1'!$C$2:$C$2604,""))</f>
        <v/>
      </c>
      <c r="F2688" s="44" t="str">
        <f t="array" ref="F2688">IF(B2688="","",_xlfn.XLOOKUP(B2688,'Form responses 1'!$B$2:$B$2604,'Form responses 1'!$D$2:$D$2604,""))</f>
        <v/>
      </c>
      <c r="G2688" s="44" t="str">
        <f t="array" ref="G2688">IF(B2688="","",_xlfn.XLOOKUP(B2688,'Form responses 1'!$B$2:$B$2604,'Form responses 1'!$E$2:$E$2604,""))</f>
        <v/>
      </c>
      <c r="H2688" s="44" t="str">
        <f t="array" ref="H2688">IF(B2688="","",_xlfn.XLOOKUP(B2688,'Form responses 1'!$B$2:$B$2604,'Form responses 1'!$F$2:$F$2604,""))</f>
        <v/>
      </c>
      <c r="I2688" s="44" t="str">
        <f t="array" ref="I2688">IF(B2688="","",_xlfn.XLOOKUP(B2688,'Form responses 1'!$B$2:$B$2604,'Form responses 1'!$I$2:$I$2604,""))</f>
        <v/>
      </c>
      <c r="J2688" s="44" t="str">
        <f t="array" ref="J2688">IF(B2688="","",_xlfn.XLOOKUP(B2688,'Form responses 1'!$B$2:$B$2604,'Form responses 1'!$G$2:$G$2604,""))</f>
        <v/>
      </c>
      <c r="K2688" s="56"/>
      <c r="L2688" s="58" t="str">
        <f t="shared" si="7"/>
        <v/>
      </c>
      <c r="M2688" s="49"/>
      <c r="N2688" s="49"/>
      <c r="O2688" s="49"/>
      <c r="P2688" s="49"/>
      <c r="Q2688" s="49"/>
      <c r="R2688" s="49"/>
      <c r="S2688" s="49"/>
      <c r="T2688" s="49"/>
      <c r="U2688" s="49"/>
      <c r="V2688" s="49"/>
      <c r="W2688" s="56"/>
      <c r="X2688" s="51" t="str">
        <f t="shared" si="5"/>
        <v/>
      </c>
      <c r="Y2688" s="50" t="s">
        <v>482</v>
      </c>
      <c r="Z2688" s="49">
        <f t="shared" si="6"/>
        <v>0</v>
      </c>
    </row>
    <row r="2689" ht="22.5" customHeight="1">
      <c r="B2689" s="57"/>
      <c r="C2689" s="43" t="str">
        <f t="array" ref="C2689">IF(B2689="","",_xlfn.XLOOKUP(B2689,'Form responses 1'!$B$2:$B$2604,'Form responses 1'!$A$2:$A$2604,""))</f>
        <v/>
      </c>
      <c r="D2689" s="44" t="str">
        <f t="shared" si="3"/>
        <v/>
      </c>
      <c r="E2689" s="44" t="str">
        <f t="array" ref="E2689">IF(B2689="","",_xlfn.XLOOKUP(B2689,'Form responses 1'!$B$2:$B$2604,'Form responses 1'!$C$2:$C$2604,""))</f>
        <v/>
      </c>
      <c r="F2689" s="44" t="str">
        <f t="array" ref="F2689">IF(B2689="","",_xlfn.XLOOKUP(B2689,'Form responses 1'!$B$2:$B$2604,'Form responses 1'!$D$2:$D$2604,""))</f>
        <v/>
      </c>
      <c r="G2689" s="44" t="str">
        <f t="array" ref="G2689">IF(B2689="","",_xlfn.XLOOKUP(B2689,'Form responses 1'!$B$2:$B$2604,'Form responses 1'!$E$2:$E$2604,""))</f>
        <v/>
      </c>
      <c r="H2689" s="44" t="str">
        <f t="array" ref="H2689">IF(B2689="","",_xlfn.XLOOKUP(B2689,'Form responses 1'!$B$2:$B$2604,'Form responses 1'!$F$2:$F$2604,""))</f>
        <v/>
      </c>
      <c r="I2689" s="44" t="str">
        <f t="array" ref="I2689">IF(B2689="","",_xlfn.XLOOKUP(B2689,'Form responses 1'!$B$2:$B$2604,'Form responses 1'!$I$2:$I$2604,""))</f>
        <v/>
      </c>
      <c r="J2689" s="44" t="str">
        <f t="array" ref="J2689">IF(B2689="","",_xlfn.XLOOKUP(B2689,'Form responses 1'!$B$2:$B$2604,'Form responses 1'!$G$2:$G$2604,""))</f>
        <v/>
      </c>
      <c r="K2689" s="56"/>
      <c r="L2689" s="58" t="str">
        <f t="shared" si="7"/>
        <v/>
      </c>
      <c r="M2689" s="49"/>
      <c r="N2689" s="49"/>
      <c r="O2689" s="49"/>
      <c r="P2689" s="49"/>
      <c r="Q2689" s="49"/>
      <c r="R2689" s="49"/>
      <c r="S2689" s="49"/>
      <c r="T2689" s="49"/>
      <c r="U2689" s="49"/>
      <c r="V2689" s="49"/>
      <c r="W2689" s="56"/>
      <c r="X2689" s="51" t="str">
        <f t="shared" si="5"/>
        <v/>
      </c>
      <c r="Y2689" s="50" t="s">
        <v>482</v>
      </c>
      <c r="Z2689" s="49">
        <f t="shared" si="6"/>
        <v>0</v>
      </c>
    </row>
    <row r="2690" ht="22.5" customHeight="1">
      <c r="B2690" s="57"/>
      <c r="C2690" s="43" t="str">
        <f t="array" ref="C2690">IF(B2690="","",_xlfn.XLOOKUP(B2690,'Form responses 1'!$B$2:$B$2604,'Form responses 1'!$A$2:$A$2604,""))</f>
        <v/>
      </c>
      <c r="D2690" s="44" t="str">
        <f t="shared" si="3"/>
        <v/>
      </c>
      <c r="E2690" s="44" t="str">
        <f t="array" ref="E2690">IF(B2690="","",_xlfn.XLOOKUP(B2690,'Form responses 1'!$B$2:$B$2604,'Form responses 1'!$C$2:$C$2604,""))</f>
        <v/>
      </c>
      <c r="F2690" s="44" t="str">
        <f t="array" ref="F2690">IF(B2690="","",_xlfn.XLOOKUP(B2690,'Form responses 1'!$B$2:$B$2604,'Form responses 1'!$D$2:$D$2604,""))</f>
        <v/>
      </c>
      <c r="G2690" s="44" t="str">
        <f t="array" ref="G2690">IF(B2690="","",_xlfn.XLOOKUP(B2690,'Form responses 1'!$B$2:$B$2604,'Form responses 1'!$E$2:$E$2604,""))</f>
        <v/>
      </c>
      <c r="H2690" s="44" t="str">
        <f t="array" ref="H2690">IF(B2690="","",_xlfn.XLOOKUP(B2690,'Form responses 1'!$B$2:$B$2604,'Form responses 1'!$F$2:$F$2604,""))</f>
        <v/>
      </c>
      <c r="I2690" s="44" t="str">
        <f t="array" ref="I2690">IF(B2690="","",_xlfn.XLOOKUP(B2690,'Form responses 1'!$B$2:$B$2604,'Form responses 1'!$I$2:$I$2604,""))</f>
        <v/>
      </c>
      <c r="J2690" s="44" t="str">
        <f t="array" ref="J2690">IF(B2690="","",_xlfn.XLOOKUP(B2690,'Form responses 1'!$B$2:$B$2604,'Form responses 1'!$G$2:$G$2604,""))</f>
        <v/>
      </c>
      <c r="K2690" s="56"/>
      <c r="L2690" s="58" t="str">
        <f t="shared" si="7"/>
        <v/>
      </c>
      <c r="M2690" s="49"/>
      <c r="N2690" s="49"/>
      <c r="O2690" s="49"/>
      <c r="P2690" s="49"/>
      <c r="Q2690" s="49"/>
      <c r="R2690" s="49"/>
      <c r="S2690" s="49"/>
      <c r="T2690" s="49"/>
      <c r="U2690" s="49"/>
      <c r="V2690" s="49"/>
      <c r="W2690" s="56"/>
      <c r="X2690" s="51" t="str">
        <f t="shared" si="5"/>
        <v/>
      </c>
      <c r="Y2690" s="50" t="s">
        <v>482</v>
      </c>
      <c r="Z2690" s="49">
        <f t="shared" si="6"/>
        <v>0</v>
      </c>
    </row>
    <row r="2691" ht="22.5" customHeight="1">
      <c r="B2691" s="57"/>
      <c r="C2691" s="43" t="str">
        <f t="array" ref="C2691">IF(B2691="","",_xlfn.XLOOKUP(B2691,'Form responses 1'!$B$2:$B$2604,'Form responses 1'!$A$2:$A$2604,""))</f>
        <v/>
      </c>
      <c r="D2691" s="44" t="str">
        <f t="shared" si="3"/>
        <v/>
      </c>
      <c r="E2691" s="44" t="str">
        <f t="array" ref="E2691">IF(B2691="","",_xlfn.XLOOKUP(B2691,'Form responses 1'!$B$2:$B$2604,'Form responses 1'!$C$2:$C$2604,""))</f>
        <v/>
      </c>
      <c r="F2691" s="44" t="str">
        <f t="array" ref="F2691">IF(B2691="","",_xlfn.XLOOKUP(B2691,'Form responses 1'!$B$2:$B$2604,'Form responses 1'!$D$2:$D$2604,""))</f>
        <v/>
      </c>
      <c r="G2691" s="44" t="str">
        <f t="array" ref="G2691">IF(B2691="","",_xlfn.XLOOKUP(B2691,'Form responses 1'!$B$2:$B$2604,'Form responses 1'!$E$2:$E$2604,""))</f>
        <v/>
      </c>
      <c r="H2691" s="44" t="str">
        <f t="array" ref="H2691">IF(B2691="","",_xlfn.XLOOKUP(B2691,'Form responses 1'!$B$2:$B$2604,'Form responses 1'!$F$2:$F$2604,""))</f>
        <v/>
      </c>
      <c r="I2691" s="44" t="str">
        <f t="array" ref="I2691">IF(B2691="","",_xlfn.XLOOKUP(B2691,'Form responses 1'!$B$2:$B$2604,'Form responses 1'!$I$2:$I$2604,""))</f>
        <v/>
      </c>
      <c r="J2691" s="44" t="str">
        <f t="array" ref="J2691">IF(B2691="","",_xlfn.XLOOKUP(B2691,'Form responses 1'!$B$2:$B$2604,'Form responses 1'!$G$2:$G$2604,""))</f>
        <v/>
      </c>
      <c r="K2691" s="56"/>
      <c r="L2691" s="58" t="str">
        <f t="shared" si="7"/>
        <v/>
      </c>
      <c r="M2691" s="49"/>
      <c r="N2691" s="49"/>
      <c r="O2691" s="49"/>
      <c r="P2691" s="49"/>
      <c r="Q2691" s="49"/>
      <c r="R2691" s="49"/>
      <c r="S2691" s="49"/>
      <c r="T2691" s="49"/>
      <c r="U2691" s="49"/>
      <c r="V2691" s="49"/>
      <c r="W2691" s="56"/>
      <c r="X2691" s="51" t="str">
        <f t="shared" si="5"/>
        <v/>
      </c>
      <c r="Y2691" s="50" t="s">
        <v>482</v>
      </c>
      <c r="Z2691" s="49">
        <f t="shared" si="6"/>
        <v>0</v>
      </c>
    </row>
    <row r="2692" ht="22.5" customHeight="1">
      <c r="B2692" s="57"/>
      <c r="C2692" s="43" t="str">
        <f t="array" ref="C2692">IF(B2692="","",_xlfn.XLOOKUP(B2692,'Form responses 1'!$B$2:$B$2604,'Form responses 1'!$A$2:$A$2604,""))</f>
        <v/>
      </c>
      <c r="D2692" s="44" t="str">
        <f t="shared" si="3"/>
        <v/>
      </c>
      <c r="E2692" s="44" t="str">
        <f t="array" ref="E2692">IF(B2692="","",_xlfn.XLOOKUP(B2692,'Form responses 1'!$B$2:$B$2604,'Form responses 1'!$C$2:$C$2604,""))</f>
        <v/>
      </c>
      <c r="F2692" s="44" t="str">
        <f t="array" ref="F2692">IF(B2692="","",_xlfn.XLOOKUP(B2692,'Form responses 1'!$B$2:$B$2604,'Form responses 1'!$D$2:$D$2604,""))</f>
        <v/>
      </c>
      <c r="G2692" s="44" t="str">
        <f t="array" ref="G2692">IF(B2692="","",_xlfn.XLOOKUP(B2692,'Form responses 1'!$B$2:$B$2604,'Form responses 1'!$E$2:$E$2604,""))</f>
        <v/>
      </c>
      <c r="H2692" s="44" t="str">
        <f t="array" ref="H2692">IF(B2692="","",_xlfn.XLOOKUP(B2692,'Form responses 1'!$B$2:$B$2604,'Form responses 1'!$F$2:$F$2604,""))</f>
        <v/>
      </c>
      <c r="I2692" s="44" t="str">
        <f t="array" ref="I2692">IF(B2692="","",_xlfn.XLOOKUP(B2692,'Form responses 1'!$B$2:$B$2604,'Form responses 1'!$I$2:$I$2604,""))</f>
        <v/>
      </c>
      <c r="J2692" s="44" t="str">
        <f t="array" ref="J2692">IF(B2692="","",_xlfn.XLOOKUP(B2692,'Form responses 1'!$B$2:$B$2604,'Form responses 1'!$G$2:$G$2604,""))</f>
        <v/>
      </c>
      <c r="K2692" s="56"/>
      <c r="L2692" s="58" t="str">
        <f t="shared" si="7"/>
        <v/>
      </c>
      <c r="M2692" s="49"/>
      <c r="N2692" s="49"/>
      <c r="O2692" s="49"/>
      <c r="P2692" s="49"/>
      <c r="Q2692" s="49"/>
      <c r="R2692" s="49"/>
      <c r="S2692" s="49"/>
      <c r="T2692" s="49"/>
      <c r="U2692" s="49"/>
      <c r="V2692" s="49"/>
      <c r="W2692" s="56"/>
      <c r="X2692" s="51" t="str">
        <f t="shared" si="5"/>
        <v/>
      </c>
      <c r="Y2692" s="50" t="s">
        <v>482</v>
      </c>
      <c r="Z2692" s="49">
        <f t="shared" si="6"/>
        <v>0</v>
      </c>
    </row>
    <row r="2693" ht="22.5" customHeight="1">
      <c r="B2693" s="57"/>
      <c r="C2693" s="43" t="str">
        <f t="array" ref="C2693">IF(B2693="","",_xlfn.XLOOKUP(B2693,'Form responses 1'!$B$2:$B$2604,'Form responses 1'!$A$2:$A$2604,""))</f>
        <v/>
      </c>
      <c r="D2693" s="44" t="str">
        <f t="shared" si="3"/>
        <v/>
      </c>
      <c r="E2693" s="44" t="str">
        <f t="array" ref="E2693">IF(B2693="","",_xlfn.XLOOKUP(B2693,'Form responses 1'!$B$2:$B$2604,'Form responses 1'!$C$2:$C$2604,""))</f>
        <v/>
      </c>
      <c r="F2693" s="44" t="str">
        <f t="array" ref="F2693">IF(B2693="","",_xlfn.XLOOKUP(B2693,'Form responses 1'!$B$2:$B$2604,'Form responses 1'!$D$2:$D$2604,""))</f>
        <v/>
      </c>
      <c r="G2693" s="44" t="str">
        <f t="array" ref="G2693">IF(B2693="","",_xlfn.XLOOKUP(B2693,'Form responses 1'!$B$2:$B$2604,'Form responses 1'!$E$2:$E$2604,""))</f>
        <v/>
      </c>
      <c r="H2693" s="44" t="str">
        <f t="array" ref="H2693">IF(B2693="","",_xlfn.XLOOKUP(B2693,'Form responses 1'!$B$2:$B$2604,'Form responses 1'!$F$2:$F$2604,""))</f>
        <v/>
      </c>
      <c r="I2693" s="44" t="str">
        <f t="array" ref="I2693">IF(B2693="","",_xlfn.XLOOKUP(B2693,'Form responses 1'!$B$2:$B$2604,'Form responses 1'!$I$2:$I$2604,""))</f>
        <v/>
      </c>
      <c r="J2693" s="44" t="str">
        <f t="array" ref="J2693">IF(B2693="","",_xlfn.XLOOKUP(B2693,'Form responses 1'!$B$2:$B$2604,'Form responses 1'!$G$2:$G$2604,""))</f>
        <v/>
      </c>
      <c r="K2693" s="56"/>
      <c r="L2693" s="58" t="str">
        <f t="shared" si="7"/>
        <v/>
      </c>
      <c r="M2693" s="49"/>
      <c r="N2693" s="49"/>
      <c r="O2693" s="49"/>
      <c r="P2693" s="49"/>
      <c r="Q2693" s="49"/>
      <c r="R2693" s="49"/>
      <c r="S2693" s="49"/>
      <c r="T2693" s="49"/>
      <c r="U2693" s="49"/>
      <c r="V2693" s="49"/>
      <c r="W2693" s="56"/>
      <c r="X2693" s="51" t="str">
        <f t="shared" si="5"/>
        <v/>
      </c>
      <c r="Y2693" s="50" t="s">
        <v>482</v>
      </c>
      <c r="Z2693" s="49">
        <f t="shared" si="6"/>
        <v>0</v>
      </c>
    </row>
    <row r="2694" ht="22.5" customHeight="1">
      <c r="B2694" s="57"/>
      <c r="C2694" s="43" t="str">
        <f t="array" ref="C2694">IF(B2694="","",_xlfn.XLOOKUP(B2694,'Form responses 1'!$B$2:$B$2604,'Form responses 1'!$A$2:$A$2604,""))</f>
        <v/>
      </c>
      <c r="D2694" s="44" t="str">
        <f t="shared" si="3"/>
        <v/>
      </c>
      <c r="E2694" s="44" t="str">
        <f t="array" ref="E2694">IF(B2694="","",_xlfn.XLOOKUP(B2694,'Form responses 1'!$B$2:$B$2604,'Form responses 1'!$C$2:$C$2604,""))</f>
        <v/>
      </c>
      <c r="F2694" s="44" t="str">
        <f t="array" ref="F2694">IF(B2694="","",_xlfn.XLOOKUP(B2694,'Form responses 1'!$B$2:$B$2604,'Form responses 1'!$D$2:$D$2604,""))</f>
        <v/>
      </c>
      <c r="G2694" s="44" t="str">
        <f t="array" ref="G2694">IF(B2694="","",_xlfn.XLOOKUP(B2694,'Form responses 1'!$B$2:$B$2604,'Form responses 1'!$E$2:$E$2604,""))</f>
        <v/>
      </c>
      <c r="H2694" s="44" t="str">
        <f t="array" ref="H2694">IF(B2694="","",_xlfn.XLOOKUP(B2694,'Form responses 1'!$B$2:$B$2604,'Form responses 1'!$F$2:$F$2604,""))</f>
        <v/>
      </c>
      <c r="I2694" s="44" t="str">
        <f t="array" ref="I2694">IF(B2694="","",_xlfn.XLOOKUP(B2694,'Form responses 1'!$B$2:$B$2604,'Form responses 1'!$I$2:$I$2604,""))</f>
        <v/>
      </c>
      <c r="J2694" s="44" t="str">
        <f t="array" ref="J2694">IF(B2694="","",_xlfn.XLOOKUP(B2694,'Form responses 1'!$B$2:$B$2604,'Form responses 1'!$G$2:$G$2604,""))</f>
        <v/>
      </c>
      <c r="K2694" s="56"/>
      <c r="L2694" s="58" t="str">
        <f t="shared" si="7"/>
        <v/>
      </c>
      <c r="M2694" s="49"/>
      <c r="N2694" s="49"/>
      <c r="O2694" s="49"/>
      <c r="P2694" s="49"/>
      <c r="Q2694" s="49"/>
      <c r="R2694" s="49"/>
      <c r="S2694" s="49"/>
      <c r="T2694" s="49"/>
      <c r="U2694" s="49"/>
      <c r="V2694" s="49"/>
      <c r="W2694" s="56"/>
      <c r="X2694" s="51" t="str">
        <f t="shared" si="5"/>
        <v/>
      </c>
      <c r="Y2694" s="50" t="s">
        <v>482</v>
      </c>
      <c r="Z2694" s="49">
        <f t="shared" si="6"/>
        <v>0</v>
      </c>
    </row>
    <row r="2695" ht="22.5" customHeight="1">
      <c r="B2695" s="57"/>
      <c r="C2695" s="43" t="str">
        <f t="array" ref="C2695">IF(B2695="","",_xlfn.XLOOKUP(B2695,'Form responses 1'!$B$2:$B$2604,'Form responses 1'!$A$2:$A$2604,""))</f>
        <v/>
      </c>
      <c r="D2695" s="44" t="str">
        <f t="shared" si="3"/>
        <v/>
      </c>
      <c r="E2695" s="44" t="str">
        <f t="array" ref="E2695">IF(B2695="","",_xlfn.XLOOKUP(B2695,'Form responses 1'!$B$2:$B$2604,'Form responses 1'!$C$2:$C$2604,""))</f>
        <v/>
      </c>
      <c r="F2695" s="44" t="str">
        <f t="array" ref="F2695">IF(B2695="","",_xlfn.XLOOKUP(B2695,'Form responses 1'!$B$2:$B$2604,'Form responses 1'!$D$2:$D$2604,""))</f>
        <v/>
      </c>
      <c r="G2695" s="44" t="str">
        <f t="array" ref="G2695">IF(B2695="","",_xlfn.XLOOKUP(B2695,'Form responses 1'!$B$2:$B$2604,'Form responses 1'!$E$2:$E$2604,""))</f>
        <v/>
      </c>
      <c r="H2695" s="44" t="str">
        <f t="array" ref="H2695">IF(B2695="","",_xlfn.XLOOKUP(B2695,'Form responses 1'!$B$2:$B$2604,'Form responses 1'!$F$2:$F$2604,""))</f>
        <v/>
      </c>
      <c r="I2695" s="44" t="str">
        <f t="array" ref="I2695">IF(B2695="","",_xlfn.XLOOKUP(B2695,'Form responses 1'!$B$2:$B$2604,'Form responses 1'!$I$2:$I$2604,""))</f>
        <v/>
      </c>
      <c r="J2695" s="44" t="str">
        <f t="array" ref="J2695">IF(B2695="","",_xlfn.XLOOKUP(B2695,'Form responses 1'!$B$2:$B$2604,'Form responses 1'!$G$2:$G$2604,""))</f>
        <v/>
      </c>
      <c r="K2695" s="56"/>
      <c r="L2695" s="58" t="str">
        <f t="shared" si="7"/>
        <v/>
      </c>
      <c r="M2695" s="49"/>
      <c r="N2695" s="49"/>
      <c r="O2695" s="49"/>
      <c r="P2695" s="49"/>
      <c r="Q2695" s="49"/>
      <c r="R2695" s="49"/>
      <c r="S2695" s="49"/>
      <c r="T2695" s="49"/>
      <c r="U2695" s="49"/>
      <c r="V2695" s="49"/>
      <c r="W2695" s="56"/>
      <c r="X2695" s="51" t="str">
        <f t="shared" si="5"/>
        <v/>
      </c>
      <c r="Y2695" s="50" t="s">
        <v>482</v>
      </c>
      <c r="Z2695" s="49">
        <f t="shared" si="6"/>
        <v>0</v>
      </c>
    </row>
    <row r="2696" ht="22.5" customHeight="1">
      <c r="B2696" s="57"/>
      <c r="C2696" s="43" t="str">
        <f t="array" ref="C2696">IF(B2696="","",_xlfn.XLOOKUP(B2696,'Form responses 1'!$B$2:$B$2604,'Form responses 1'!$A$2:$A$2604,""))</f>
        <v/>
      </c>
      <c r="D2696" s="44" t="str">
        <f t="shared" si="3"/>
        <v/>
      </c>
      <c r="E2696" s="44" t="str">
        <f t="array" ref="E2696">IF(B2696="","",_xlfn.XLOOKUP(B2696,'Form responses 1'!$B$2:$B$2604,'Form responses 1'!$C$2:$C$2604,""))</f>
        <v/>
      </c>
      <c r="F2696" s="44" t="str">
        <f t="array" ref="F2696">IF(B2696="","",_xlfn.XLOOKUP(B2696,'Form responses 1'!$B$2:$B$2604,'Form responses 1'!$D$2:$D$2604,""))</f>
        <v/>
      </c>
      <c r="G2696" s="44" t="str">
        <f t="array" ref="G2696">IF(B2696="","",_xlfn.XLOOKUP(B2696,'Form responses 1'!$B$2:$B$2604,'Form responses 1'!$E$2:$E$2604,""))</f>
        <v/>
      </c>
      <c r="H2696" s="44" t="str">
        <f t="array" ref="H2696">IF(B2696="","",_xlfn.XLOOKUP(B2696,'Form responses 1'!$B$2:$B$2604,'Form responses 1'!$F$2:$F$2604,""))</f>
        <v/>
      </c>
      <c r="I2696" s="44" t="str">
        <f t="array" ref="I2696">IF(B2696="","",_xlfn.XLOOKUP(B2696,'Form responses 1'!$B$2:$B$2604,'Form responses 1'!$I$2:$I$2604,""))</f>
        <v/>
      </c>
      <c r="J2696" s="44" t="str">
        <f t="array" ref="J2696">IF(B2696="","",_xlfn.XLOOKUP(B2696,'Form responses 1'!$B$2:$B$2604,'Form responses 1'!$G$2:$G$2604,""))</f>
        <v/>
      </c>
      <c r="K2696" s="56"/>
      <c r="L2696" s="58" t="str">
        <f t="shared" si="7"/>
        <v/>
      </c>
      <c r="M2696" s="49"/>
      <c r="N2696" s="49"/>
      <c r="O2696" s="49"/>
      <c r="P2696" s="49"/>
      <c r="Q2696" s="49"/>
      <c r="R2696" s="49"/>
      <c r="S2696" s="49"/>
      <c r="T2696" s="49"/>
      <c r="U2696" s="49"/>
      <c r="V2696" s="49"/>
      <c r="W2696" s="56"/>
      <c r="X2696" s="51" t="str">
        <f t="shared" si="5"/>
        <v/>
      </c>
      <c r="Y2696" s="50" t="s">
        <v>482</v>
      </c>
      <c r="Z2696" s="49">
        <f t="shared" si="6"/>
        <v>0</v>
      </c>
    </row>
    <row r="2697" ht="22.5" customHeight="1">
      <c r="B2697" s="57"/>
      <c r="C2697" s="43" t="str">
        <f t="array" ref="C2697">IF(B2697="","",_xlfn.XLOOKUP(B2697,'Form responses 1'!$B$2:$B$2604,'Form responses 1'!$A$2:$A$2604,""))</f>
        <v/>
      </c>
      <c r="D2697" s="44" t="str">
        <f t="shared" si="3"/>
        <v/>
      </c>
      <c r="E2697" s="44" t="str">
        <f t="array" ref="E2697">IF(B2697="","",_xlfn.XLOOKUP(B2697,'Form responses 1'!$B$2:$B$2604,'Form responses 1'!$C$2:$C$2604,""))</f>
        <v/>
      </c>
      <c r="F2697" s="44" t="str">
        <f t="array" ref="F2697">IF(B2697="","",_xlfn.XLOOKUP(B2697,'Form responses 1'!$B$2:$B$2604,'Form responses 1'!$D$2:$D$2604,""))</f>
        <v/>
      </c>
      <c r="G2697" s="44" t="str">
        <f t="array" ref="G2697">IF(B2697="","",_xlfn.XLOOKUP(B2697,'Form responses 1'!$B$2:$B$2604,'Form responses 1'!$E$2:$E$2604,""))</f>
        <v/>
      </c>
      <c r="H2697" s="44" t="str">
        <f t="array" ref="H2697">IF(B2697="","",_xlfn.XLOOKUP(B2697,'Form responses 1'!$B$2:$B$2604,'Form responses 1'!$F$2:$F$2604,""))</f>
        <v/>
      </c>
      <c r="I2697" s="44" t="str">
        <f t="array" ref="I2697">IF(B2697="","",_xlfn.XLOOKUP(B2697,'Form responses 1'!$B$2:$B$2604,'Form responses 1'!$I$2:$I$2604,""))</f>
        <v/>
      </c>
      <c r="J2697" s="44" t="str">
        <f t="array" ref="J2697">IF(B2697="","",_xlfn.XLOOKUP(B2697,'Form responses 1'!$B$2:$B$2604,'Form responses 1'!$G$2:$G$2604,""))</f>
        <v/>
      </c>
      <c r="K2697" s="56"/>
      <c r="L2697" s="58" t="str">
        <f t="shared" si="7"/>
        <v/>
      </c>
      <c r="M2697" s="49"/>
      <c r="N2697" s="49"/>
      <c r="O2697" s="49"/>
      <c r="P2697" s="49"/>
      <c r="Q2697" s="49"/>
      <c r="R2697" s="49"/>
      <c r="S2697" s="49"/>
      <c r="T2697" s="49"/>
      <c r="U2697" s="49"/>
      <c r="V2697" s="49"/>
      <c r="W2697" s="56"/>
      <c r="X2697" s="51" t="str">
        <f t="shared" si="5"/>
        <v/>
      </c>
      <c r="Y2697" s="50" t="s">
        <v>482</v>
      </c>
      <c r="Z2697" s="49">
        <f t="shared" si="6"/>
        <v>0</v>
      </c>
    </row>
    <row r="2698" ht="22.5" customHeight="1">
      <c r="B2698" s="57"/>
      <c r="C2698" s="43" t="str">
        <f t="array" ref="C2698">IF(B2698="","",_xlfn.XLOOKUP(B2698,'Form responses 1'!$B$2:$B$2604,'Form responses 1'!$A$2:$A$2604,""))</f>
        <v/>
      </c>
      <c r="D2698" s="44" t="str">
        <f t="shared" si="3"/>
        <v/>
      </c>
      <c r="E2698" s="44" t="str">
        <f t="array" ref="E2698">IF(B2698="","",_xlfn.XLOOKUP(B2698,'Form responses 1'!$B$2:$B$2604,'Form responses 1'!$C$2:$C$2604,""))</f>
        <v/>
      </c>
      <c r="F2698" s="44" t="str">
        <f t="array" ref="F2698">IF(B2698="","",_xlfn.XLOOKUP(B2698,'Form responses 1'!$B$2:$B$2604,'Form responses 1'!$D$2:$D$2604,""))</f>
        <v/>
      </c>
      <c r="G2698" s="44" t="str">
        <f t="array" ref="G2698">IF(B2698="","",_xlfn.XLOOKUP(B2698,'Form responses 1'!$B$2:$B$2604,'Form responses 1'!$E$2:$E$2604,""))</f>
        <v/>
      </c>
      <c r="H2698" s="44" t="str">
        <f t="array" ref="H2698">IF(B2698="","",_xlfn.XLOOKUP(B2698,'Form responses 1'!$B$2:$B$2604,'Form responses 1'!$F$2:$F$2604,""))</f>
        <v/>
      </c>
      <c r="I2698" s="44" t="str">
        <f t="array" ref="I2698">IF(B2698="","",_xlfn.XLOOKUP(B2698,'Form responses 1'!$B$2:$B$2604,'Form responses 1'!$I$2:$I$2604,""))</f>
        <v/>
      </c>
      <c r="J2698" s="44" t="str">
        <f t="array" ref="J2698">IF(B2698="","",_xlfn.XLOOKUP(B2698,'Form responses 1'!$B$2:$B$2604,'Form responses 1'!$G$2:$G$2604,""))</f>
        <v/>
      </c>
      <c r="K2698" s="56"/>
      <c r="L2698" s="58" t="str">
        <f t="shared" si="7"/>
        <v/>
      </c>
      <c r="M2698" s="49"/>
      <c r="N2698" s="49"/>
      <c r="O2698" s="49"/>
      <c r="P2698" s="49"/>
      <c r="Q2698" s="49"/>
      <c r="R2698" s="49"/>
      <c r="S2698" s="49"/>
      <c r="T2698" s="49"/>
      <c r="U2698" s="49"/>
      <c r="V2698" s="49"/>
      <c r="W2698" s="56"/>
      <c r="X2698" s="51" t="str">
        <f t="shared" si="5"/>
        <v/>
      </c>
      <c r="Y2698" s="50" t="s">
        <v>482</v>
      </c>
      <c r="Z2698" s="49">
        <f t="shared" si="6"/>
        <v>0</v>
      </c>
    </row>
    <row r="2699" ht="22.5" customHeight="1">
      <c r="B2699" s="57"/>
      <c r="C2699" s="43" t="str">
        <f t="array" ref="C2699">IF(B2699="","",_xlfn.XLOOKUP(B2699,'Form responses 1'!$B$2:$B$2604,'Form responses 1'!$A$2:$A$2604,""))</f>
        <v/>
      </c>
      <c r="D2699" s="44" t="str">
        <f t="shared" si="3"/>
        <v/>
      </c>
      <c r="E2699" s="44" t="str">
        <f t="array" ref="E2699">IF(B2699="","",_xlfn.XLOOKUP(B2699,'Form responses 1'!$B$2:$B$2604,'Form responses 1'!$C$2:$C$2604,""))</f>
        <v/>
      </c>
      <c r="F2699" s="44" t="str">
        <f t="array" ref="F2699">IF(B2699="","",_xlfn.XLOOKUP(B2699,'Form responses 1'!$B$2:$B$2604,'Form responses 1'!$D$2:$D$2604,""))</f>
        <v/>
      </c>
      <c r="G2699" s="44" t="str">
        <f t="array" ref="G2699">IF(B2699="","",_xlfn.XLOOKUP(B2699,'Form responses 1'!$B$2:$B$2604,'Form responses 1'!$E$2:$E$2604,""))</f>
        <v/>
      </c>
      <c r="H2699" s="44" t="str">
        <f t="array" ref="H2699">IF(B2699="","",_xlfn.XLOOKUP(B2699,'Form responses 1'!$B$2:$B$2604,'Form responses 1'!$F$2:$F$2604,""))</f>
        <v/>
      </c>
      <c r="I2699" s="44" t="str">
        <f t="array" ref="I2699">IF(B2699="","",_xlfn.XLOOKUP(B2699,'Form responses 1'!$B$2:$B$2604,'Form responses 1'!$I$2:$I$2604,""))</f>
        <v/>
      </c>
      <c r="J2699" s="44" t="str">
        <f t="array" ref="J2699">IF(B2699="","",_xlfn.XLOOKUP(B2699,'Form responses 1'!$B$2:$B$2604,'Form responses 1'!$G$2:$G$2604,""))</f>
        <v/>
      </c>
      <c r="K2699" s="56"/>
      <c r="L2699" s="58" t="str">
        <f t="shared" si="7"/>
        <v/>
      </c>
      <c r="M2699" s="49"/>
      <c r="N2699" s="49"/>
      <c r="O2699" s="49"/>
      <c r="P2699" s="49"/>
      <c r="Q2699" s="49"/>
      <c r="R2699" s="49"/>
      <c r="S2699" s="49"/>
      <c r="T2699" s="49"/>
      <c r="U2699" s="49"/>
      <c r="V2699" s="49"/>
      <c r="W2699" s="56"/>
      <c r="X2699" s="51" t="str">
        <f t="shared" si="5"/>
        <v/>
      </c>
      <c r="Y2699" s="50" t="s">
        <v>482</v>
      </c>
      <c r="Z2699" s="49">
        <f t="shared" si="6"/>
        <v>0</v>
      </c>
    </row>
    <row r="2700" ht="22.5" customHeight="1">
      <c r="B2700" s="57"/>
      <c r="C2700" s="43" t="str">
        <f t="array" ref="C2700">IF(B2700="","",_xlfn.XLOOKUP(B2700,'Form responses 1'!$B$2:$B$2604,'Form responses 1'!$A$2:$A$2604,""))</f>
        <v/>
      </c>
      <c r="D2700" s="44" t="str">
        <f t="shared" si="3"/>
        <v/>
      </c>
      <c r="E2700" s="44" t="str">
        <f t="array" ref="E2700">IF(B2700="","",_xlfn.XLOOKUP(B2700,'Form responses 1'!$B$2:$B$2604,'Form responses 1'!$C$2:$C$2604,""))</f>
        <v/>
      </c>
      <c r="F2700" s="44" t="str">
        <f t="array" ref="F2700">IF(B2700="","",_xlfn.XLOOKUP(B2700,'Form responses 1'!$B$2:$B$2604,'Form responses 1'!$D$2:$D$2604,""))</f>
        <v/>
      </c>
      <c r="G2700" s="44" t="str">
        <f t="array" ref="G2700">IF(B2700="","",_xlfn.XLOOKUP(B2700,'Form responses 1'!$B$2:$B$2604,'Form responses 1'!$E$2:$E$2604,""))</f>
        <v/>
      </c>
      <c r="H2700" s="44" t="str">
        <f t="array" ref="H2700">IF(B2700="","",_xlfn.XLOOKUP(B2700,'Form responses 1'!$B$2:$B$2604,'Form responses 1'!$F$2:$F$2604,""))</f>
        <v/>
      </c>
      <c r="I2700" s="44" t="str">
        <f t="array" ref="I2700">IF(B2700="","",_xlfn.XLOOKUP(B2700,'Form responses 1'!$B$2:$B$2604,'Form responses 1'!$I$2:$I$2604,""))</f>
        <v/>
      </c>
      <c r="J2700" s="44" t="str">
        <f t="array" ref="J2700">IF(B2700="","",_xlfn.XLOOKUP(B2700,'Form responses 1'!$B$2:$B$2604,'Form responses 1'!$G$2:$G$2604,""))</f>
        <v/>
      </c>
      <c r="K2700" s="56"/>
      <c r="L2700" s="58" t="str">
        <f t="shared" si="7"/>
        <v/>
      </c>
      <c r="M2700" s="49"/>
      <c r="N2700" s="49"/>
      <c r="O2700" s="49"/>
      <c r="P2700" s="49"/>
      <c r="Q2700" s="49"/>
      <c r="R2700" s="49"/>
      <c r="S2700" s="49"/>
      <c r="T2700" s="49"/>
      <c r="U2700" s="49"/>
      <c r="V2700" s="49"/>
      <c r="W2700" s="56"/>
      <c r="X2700" s="51" t="str">
        <f t="shared" si="5"/>
        <v/>
      </c>
      <c r="Y2700" s="50" t="s">
        <v>482</v>
      </c>
      <c r="Z2700" s="49">
        <f t="shared" si="6"/>
        <v>0</v>
      </c>
    </row>
    <row r="2701" ht="22.5" customHeight="1">
      <c r="B2701" s="57"/>
      <c r="C2701" s="43" t="str">
        <f t="array" ref="C2701">IF(B2701="","",_xlfn.XLOOKUP(B2701,'Form responses 1'!$B$2:$B$2604,'Form responses 1'!$A$2:$A$2604,""))</f>
        <v/>
      </c>
      <c r="D2701" s="44" t="str">
        <f t="shared" si="3"/>
        <v/>
      </c>
      <c r="E2701" s="44" t="str">
        <f t="array" ref="E2701">IF(B2701="","",_xlfn.XLOOKUP(B2701,'Form responses 1'!$B$2:$B$2604,'Form responses 1'!$C$2:$C$2604,""))</f>
        <v/>
      </c>
      <c r="F2701" s="44" t="str">
        <f t="array" ref="F2701">IF(B2701="","",_xlfn.XLOOKUP(B2701,'Form responses 1'!$B$2:$B$2604,'Form responses 1'!$D$2:$D$2604,""))</f>
        <v/>
      </c>
      <c r="G2701" s="44" t="str">
        <f t="array" ref="G2701">IF(B2701="","",_xlfn.XLOOKUP(B2701,'Form responses 1'!$B$2:$B$2604,'Form responses 1'!$E$2:$E$2604,""))</f>
        <v/>
      </c>
      <c r="H2701" s="44" t="str">
        <f t="array" ref="H2701">IF(B2701="","",_xlfn.XLOOKUP(B2701,'Form responses 1'!$B$2:$B$2604,'Form responses 1'!$F$2:$F$2604,""))</f>
        <v/>
      </c>
      <c r="I2701" s="44" t="str">
        <f t="array" ref="I2701">IF(B2701="","",_xlfn.XLOOKUP(B2701,'Form responses 1'!$B$2:$B$2604,'Form responses 1'!$I$2:$I$2604,""))</f>
        <v/>
      </c>
      <c r="J2701" s="44" t="str">
        <f t="array" ref="J2701">IF(B2701="","",_xlfn.XLOOKUP(B2701,'Form responses 1'!$B$2:$B$2604,'Form responses 1'!$G$2:$G$2604,""))</f>
        <v/>
      </c>
      <c r="K2701" s="56"/>
      <c r="L2701" s="58" t="str">
        <f t="shared" si="7"/>
        <v/>
      </c>
      <c r="M2701" s="49"/>
      <c r="N2701" s="49"/>
      <c r="O2701" s="49"/>
      <c r="P2701" s="49"/>
      <c r="Q2701" s="49"/>
      <c r="R2701" s="49"/>
      <c r="S2701" s="49"/>
      <c r="T2701" s="49"/>
      <c r="U2701" s="49"/>
      <c r="V2701" s="49"/>
      <c r="W2701" s="56"/>
      <c r="X2701" s="51" t="str">
        <f t="shared" si="5"/>
        <v/>
      </c>
      <c r="Y2701" s="50" t="s">
        <v>482</v>
      </c>
      <c r="Z2701" s="49">
        <f t="shared" si="6"/>
        <v>0</v>
      </c>
    </row>
    <row r="2702" ht="22.5" customHeight="1">
      <c r="B2702" s="57"/>
      <c r="C2702" s="43" t="str">
        <f t="array" ref="C2702">IF(B2702="","",_xlfn.XLOOKUP(B2702,'Form responses 1'!$B$2:$B$2604,'Form responses 1'!$A$2:$A$2604,""))</f>
        <v/>
      </c>
      <c r="D2702" s="44" t="str">
        <f t="shared" si="3"/>
        <v/>
      </c>
      <c r="E2702" s="44" t="str">
        <f t="array" ref="E2702">IF(B2702="","",_xlfn.XLOOKUP(B2702,'Form responses 1'!$B$2:$B$2604,'Form responses 1'!$C$2:$C$2604,""))</f>
        <v/>
      </c>
      <c r="F2702" s="44" t="str">
        <f t="array" ref="F2702">IF(B2702="","",_xlfn.XLOOKUP(B2702,'Form responses 1'!$B$2:$B$2604,'Form responses 1'!$D$2:$D$2604,""))</f>
        <v/>
      </c>
      <c r="G2702" s="44" t="str">
        <f t="array" ref="G2702">IF(B2702="","",_xlfn.XLOOKUP(B2702,'Form responses 1'!$B$2:$B$2604,'Form responses 1'!$E$2:$E$2604,""))</f>
        <v/>
      </c>
      <c r="H2702" s="44" t="str">
        <f t="array" ref="H2702">IF(B2702="","",_xlfn.XLOOKUP(B2702,'Form responses 1'!$B$2:$B$2604,'Form responses 1'!$F$2:$F$2604,""))</f>
        <v/>
      </c>
      <c r="I2702" s="44" t="str">
        <f t="array" ref="I2702">IF(B2702="","",_xlfn.XLOOKUP(B2702,'Form responses 1'!$B$2:$B$2604,'Form responses 1'!$I$2:$I$2604,""))</f>
        <v/>
      </c>
      <c r="J2702" s="44" t="str">
        <f t="array" ref="J2702">IF(B2702="","",_xlfn.XLOOKUP(B2702,'Form responses 1'!$B$2:$B$2604,'Form responses 1'!$G$2:$G$2604,""))</f>
        <v/>
      </c>
      <c r="K2702" s="56"/>
      <c r="L2702" s="58" t="str">
        <f t="shared" si="7"/>
        <v/>
      </c>
      <c r="M2702" s="49"/>
      <c r="N2702" s="49"/>
      <c r="O2702" s="49"/>
      <c r="P2702" s="49"/>
      <c r="Q2702" s="49"/>
      <c r="R2702" s="49"/>
      <c r="S2702" s="49"/>
      <c r="T2702" s="49"/>
      <c r="U2702" s="49"/>
      <c r="V2702" s="49"/>
      <c r="W2702" s="56"/>
      <c r="X2702" s="51" t="str">
        <f t="shared" si="5"/>
        <v/>
      </c>
      <c r="Y2702" s="50" t="s">
        <v>482</v>
      </c>
      <c r="Z2702" s="49">
        <f t="shared" si="6"/>
        <v>0</v>
      </c>
    </row>
    <row r="2703" ht="22.5" customHeight="1">
      <c r="B2703" s="57"/>
      <c r="C2703" s="43" t="str">
        <f t="array" ref="C2703">IF(B2703="","",_xlfn.XLOOKUP(B2703,'Form responses 1'!$B$2:$B$2604,'Form responses 1'!$A$2:$A$2604,""))</f>
        <v/>
      </c>
      <c r="D2703" s="44" t="str">
        <f t="shared" si="3"/>
        <v/>
      </c>
      <c r="E2703" s="44" t="str">
        <f t="array" ref="E2703">IF(B2703="","",_xlfn.XLOOKUP(B2703,'Form responses 1'!$B$2:$B$2604,'Form responses 1'!$C$2:$C$2604,""))</f>
        <v/>
      </c>
      <c r="F2703" s="44" t="str">
        <f t="array" ref="F2703">IF(B2703="","",_xlfn.XLOOKUP(B2703,'Form responses 1'!$B$2:$B$2604,'Form responses 1'!$D$2:$D$2604,""))</f>
        <v/>
      </c>
      <c r="G2703" s="44" t="str">
        <f t="array" ref="G2703">IF(B2703="","",_xlfn.XLOOKUP(B2703,'Form responses 1'!$B$2:$B$2604,'Form responses 1'!$E$2:$E$2604,""))</f>
        <v/>
      </c>
      <c r="H2703" s="44" t="str">
        <f t="array" ref="H2703">IF(B2703="","",_xlfn.XLOOKUP(B2703,'Form responses 1'!$B$2:$B$2604,'Form responses 1'!$F$2:$F$2604,""))</f>
        <v/>
      </c>
      <c r="I2703" s="44" t="str">
        <f t="array" ref="I2703">IF(B2703="","",_xlfn.XLOOKUP(B2703,'Form responses 1'!$B$2:$B$2604,'Form responses 1'!$I$2:$I$2604,""))</f>
        <v/>
      </c>
      <c r="J2703" s="44" t="str">
        <f t="array" ref="J2703">IF(B2703="","",_xlfn.XLOOKUP(B2703,'Form responses 1'!$B$2:$B$2604,'Form responses 1'!$G$2:$G$2604,""))</f>
        <v/>
      </c>
      <c r="K2703" s="56"/>
      <c r="L2703" s="58" t="str">
        <f t="shared" si="7"/>
        <v/>
      </c>
      <c r="M2703" s="49"/>
      <c r="N2703" s="49"/>
      <c r="O2703" s="49"/>
      <c r="P2703" s="49"/>
      <c r="Q2703" s="49"/>
      <c r="R2703" s="49"/>
      <c r="S2703" s="49"/>
      <c r="T2703" s="49"/>
      <c r="U2703" s="49"/>
      <c r="V2703" s="49"/>
      <c r="W2703" s="56"/>
      <c r="X2703" s="51" t="str">
        <f t="shared" si="5"/>
        <v/>
      </c>
      <c r="Y2703" s="50" t="s">
        <v>482</v>
      </c>
      <c r="Z2703" s="49">
        <f t="shared" si="6"/>
        <v>0</v>
      </c>
    </row>
    <row r="2704" ht="22.5" customHeight="1">
      <c r="B2704" s="57"/>
      <c r="C2704" s="43" t="str">
        <f t="array" ref="C2704">IF(B2704="","",_xlfn.XLOOKUP(B2704,'Form responses 1'!$B$2:$B$2604,'Form responses 1'!$A$2:$A$2604,""))</f>
        <v/>
      </c>
      <c r="D2704" s="44" t="str">
        <f t="shared" si="3"/>
        <v/>
      </c>
      <c r="E2704" s="44" t="str">
        <f t="array" ref="E2704">IF(B2704="","",_xlfn.XLOOKUP(B2704,'Form responses 1'!$B$2:$B$2604,'Form responses 1'!$C$2:$C$2604,""))</f>
        <v/>
      </c>
      <c r="F2704" s="44" t="str">
        <f t="array" ref="F2704">IF(B2704="","",_xlfn.XLOOKUP(B2704,'Form responses 1'!$B$2:$B$2604,'Form responses 1'!$D$2:$D$2604,""))</f>
        <v/>
      </c>
      <c r="G2704" s="44" t="str">
        <f t="array" ref="G2704">IF(B2704="","",_xlfn.XLOOKUP(B2704,'Form responses 1'!$B$2:$B$2604,'Form responses 1'!$E$2:$E$2604,""))</f>
        <v/>
      </c>
      <c r="H2704" s="44" t="str">
        <f t="array" ref="H2704">IF(B2704="","",_xlfn.XLOOKUP(B2704,'Form responses 1'!$B$2:$B$2604,'Form responses 1'!$F$2:$F$2604,""))</f>
        <v/>
      </c>
      <c r="I2704" s="44" t="str">
        <f t="array" ref="I2704">IF(B2704="","",_xlfn.XLOOKUP(B2704,'Form responses 1'!$B$2:$B$2604,'Form responses 1'!$I$2:$I$2604,""))</f>
        <v/>
      </c>
      <c r="J2704" s="44" t="str">
        <f t="array" ref="J2704">IF(B2704="","",_xlfn.XLOOKUP(B2704,'Form responses 1'!$B$2:$B$2604,'Form responses 1'!$G$2:$G$2604,""))</f>
        <v/>
      </c>
      <c r="K2704" s="56"/>
      <c r="L2704" s="58" t="str">
        <f t="shared" si="7"/>
        <v/>
      </c>
      <c r="M2704" s="49"/>
      <c r="N2704" s="49"/>
      <c r="O2704" s="49"/>
      <c r="P2704" s="49"/>
      <c r="Q2704" s="49"/>
      <c r="R2704" s="49"/>
      <c r="S2704" s="49"/>
      <c r="T2704" s="49"/>
      <c r="U2704" s="49"/>
      <c r="V2704" s="49"/>
      <c r="W2704" s="56"/>
      <c r="X2704" s="51" t="str">
        <f t="shared" si="5"/>
        <v/>
      </c>
      <c r="Y2704" s="50" t="s">
        <v>482</v>
      </c>
      <c r="Z2704" s="49">
        <f t="shared" si="6"/>
        <v>0</v>
      </c>
    </row>
    <row r="2705" ht="22.5" customHeight="1">
      <c r="B2705" s="57"/>
      <c r="C2705" s="43" t="str">
        <f t="array" ref="C2705">IF(B2705="","",_xlfn.XLOOKUP(B2705,'Form responses 1'!$B$2:$B$2604,'Form responses 1'!$A$2:$A$2604,""))</f>
        <v/>
      </c>
      <c r="D2705" s="44" t="str">
        <f t="shared" si="3"/>
        <v/>
      </c>
      <c r="E2705" s="44" t="str">
        <f t="array" ref="E2705">IF(B2705="","",_xlfn.XLOOKUP(B2705,'Form responses 1'!$B$2:$B$2604,'Form responses 1'!$C$2:$C$2604,""))</f>
        <v/>
      </c>
      <c r="F2705" s="44" t="str">
        <f t="array" ref="F2705">IF(B2705="","",_xlfn.XLOOKUP(B2705,'Form responses 1'!$B$2:$B$2604,'Form responses 1'!$D$2:$D$2604,""))</f>
        <v/>
      </c>
      <c r="G2705" s="44" t="str">
        <f t="array" ref="G2705">IF(B2705="","",_xlfn.XLOOKUP(B2705,'Form responses 1'!$B$2:$B$2604,'Form responses 1'!$E$2:$E$2604,""))</f>
        <v/>
      </c>
      <c r="H2705" s="44" t="str">
        <f t="array" ref="H2705">IF(B2705="","",_xlfn.XLOOKUP(B2705,'Form responses 1'!$B$2:$B$2604,'Form responses 1'!$F$2:$F$2604,""))</f>
        <v/>
      </c>
      <c r="I2705" s="44" t="str">
        <f t="array" ref="I2705">IF(B2705="","",_xlfn.XLOOKUP(B2705,'Form responses 1'!$B$2:$B$2604,'Form responses 1'!$I$2:$I$2604,""))</f>
        <v/>
      </c>
      <c r="J2705" s="44" t="str">
        <f t="array" ref="J2705">IF(B2705="","",_xlfn.XLOOKUP(B2705,'Form responses 1'!$B$2:$B$2604,'Form responses 1'!$G$2:$G$2604,""))</f>
        <v/>
      </c>
      <c r="K2705" s="56"/>
      <c r="L2705" s="58" t="str">
        <f t="shared" si="7"/>
        <v/>
      </c>
      <c r="M2705" s="49"/>
      <c r="N2705" s="49"/>
      <c r="O2705" s="49"/>
      <c r="P2705" s="49"/>
      <c r="Q2705" s="49"/>
      <c r="R2705" s="49"/>
      <c r="S2705" s="49"/>
      <c r="T2705" s="49"/>
      <c r="U2705" s="49"/>
      <c r="V2705" s="49"/>
      <c r="W2705" s="56"/>
      <c r="X2705" s="51" t="str">
        <f t="shared" si="5"/>
        <v/>
      </c>
      <c r="Y2705" s="50" t="s">
        <v>482</v>
      </c>
      <c r="Z2705" s="49">
        <f t="shared" si="6"/>
        <v>0</v>
      </c>
    </row>
    <row r="2706" ht="22.5" customHeight="1">
      <c r="B2706" s="57"/>
      <c r="C2706" s="43" t="str">
        <f t="array" ref="C2706">IF(B2706="","",_xlfn.XLOOKUP(B2706,'Form responses 1'!$B$2:$B$2604,'Form responses 1'!$A$2:$A$2604,""))</f>
        <v/>
      </c>
      <c r="D2706" s="44" t="str">
        <f t="shared" si="3"/>
        <v/>
      </c>
      <c r="E2706" s="44" t="str">
        <f t="array" ref="E2706">IF(B2706="","",_xlfn.XLOOKUP(B2706,'Form responses 1'!$B$2:$B$2604,'Form responses 1'!$C$2:$C$2604,""))</f>
        <v/>
      </c>
      <c r="F2706" s="44" t="str">
        <f t="array" ref="F2706">IF(B2706="","",_xlfn.XLOOKUP(B2706,'Form responses 1'!$B$2:$B$2604,'Form responses 1'!$D$2:$D$2604,""))</f>
        <v/>
      </c>
      <c r="G2706" s="44" t="str">
        <f t="array" ref="G2706">IF(B2706="","",_xlfn.XLOOKUP(B2706,'Form responses 1'!$B$2:$B$2604,'Form responses 1'!$E$2:$E$2604,""))</f>
        <v/>
      </c>
      <c r="H2706" s="44" t="str">
        <f t="array" ref="H2706">IF(B2706="","",_xlfn.XLOOKUP(B2706,'Form responses 1'!$B$2:$B$2604,'Form responses 1'!$F$2:$F$2604,""))</f>
        <v/>
      </c>
      <c r="I2706" s="44" t="str">
        <f t="array" ref="I2706">IF(B2706="","",_xlfn.XLOOKUP(B2706,'Form responses 1'!$B$2:$B$2604,'Form responses 1'!$I$2:$I$2604,""))</f>
        <v/>
      </c>
      <c r="J2706" s="44" t="str">
        <f t="array" ref="J2706">IF(B2706="","",_xlfn.XLOOKUP(B2706,'Form responses 1'!$B$2:$B$2604,'Form responses 1'!$G$2:$G$2604,""))</f>
        <v/>
      </c>
      <c r="K2706" s="56"/>
      <c r="L2706" s="58" t="str">
        <f t="shared" si="7"/>
        <v/>
      </c>
      <c r="M2706" s="49"/>
      <c r="N2706" s="49"/>
      <c r="O2706" s="49"/>
      <c r="P2706" s="49"/>
      <c r="Q2706" s="49"/>
      <c r="R2706" s="49"/>
      <c r="S2706" s="49"/>
      <c r="T2706" s="49"/>
      <c r="U2706" s="49"/>
      <c r="V2706" s="49"/>
      <c r="W2706" s="56"/>
      <c r="X2706" s="51" t="str">
        <f t="shared" si="5"/>
        <v/>
      </c>
      <c r="Y2706" s="50" t="s">
        <v>482</v>
      </c>
      <c r="Z2706" s="49">
        <f t="shared" si="6"/>
        <v>0</v>
      </c>
    </row>
    <row r="2707" ht="22.5" customHeight="1">
      <c r="B2707" s="57"/>
      <c r="C2707" s="43" t="str">
        <f t="array" ref="C2707">IF(B2707="","",_xlfn.XLOOKUP(B2707,'Form responses 1'!$B$2:$B$2604,'Form responses 1'!$A$2:$A$2604,""))</f>
        <v/>
      </c>
      <c r="D2707" s="44" t="str">
        <f t="shared" si="3"/>
        <v/>
      </c>
      <c r="E2707" s="44" t="str">
        <f t="array" ref="E2707">IF(B2707="","",_xlfn.XLOOKUP(B2707,'Form responses 1'!$B$2:$B$2604,'Form responses 1'!$C$2:$C$2604,""))</f>
        <v/>
      </c>
      <c r="F2707" s="44" t="str">
        <f t="array" ref="F2707">IF(B2707="","",_xlfn.XLOOKUP(B2707,'Form responses 1'!$B$2:$B$2604,'Form responses 1'!$D$2:$D$2604,""))</f>
        <v/>
      </c>
      <c r="G2707" s="44" t="str">
        <f t="array" ref="G2707">IF(B2707="","",_xlfn.XLOOKUP(B2707,'Form responses 1'!$B$2:$B$2604,'Form responses 1'!$E$2:$E$2604,""))</f>
        <v/>
      </c>
      <c r="H2707" s="44" t="str">
        <f t="array" ref="H2707">IF(B2707="","",_xlfn.XLOOKUP(B2707,'Form responses 1'!$B$2:$B$2604,'Form responses 1'!$F$2:$F$2604,""))</f>
        <v/>
      </c>
      <c r="I2707" s="44" t="str">
        <f t="array" ref="I2707">IF(B2707="","",_xlfn.XLOOKUP(B2707,'Form responses 1'!$B$2:$B$2604,'Form responses 1'!$I$2:$I$2604,""))</f>
        <v/>
      </c>
      <c r="J2707" s="44" t="str">
        <f t="array" ref="J2707">IF(B2707="","",_xlfn.XLOOKUP(B2707,'Form responses 1'!$B$2:$B$2604,'Form responses 1'!$G$2:$G$2604,""))</f>
        <v/>
      </c>
      <c r="K2707" s="56"/>
      <c r="L2707" s="58" t="str">
        <f t="shared" si="7"/>
        <v/>
      </c>
      <c r="M2707" s="49"/>
      <c r="N2707" s="49"/>
      <c r="O2707" s="49"/>
      <c r="P2707" s="49"/>
      <c r="Q2707" s="49"/>
      <c r="R2707" s="49"/>
      <c r="S2707" s="49"/>
      <c r="T2707" s="49"/>
      <c r="U2707" s="49"/>
      <c r="V2707" s="49"/>
      <c r="W2707" s="56"/>
      <c r="X2707" s="51" t="str">
        <f t="shared" si="5"/>
        <v/>
      </c>
      <c r="Y2707" s="50" t="s">
        <v>482</v>
      </c>
      <c r="Z2707" s="49">
        <f t="shared" si="6"/>
        <v>0</v>
      </c>
    </row>
    <row r="2708" ht="22.5" customHeight="1">
      <c r="B2708" s="57"/>
      <c r="C2708" s="43" t="str">
        <f t="array" ref="C2708">IF(B2708="","",_xlfn.XLOOKUP(B2708,'Form responses 1'!$B$2:$B$2604,'Form responses 1'!$A$2:$A$2604,""))</f>
        <v/>
      </c>
      <c r="D2708" s="44" t="str">
        <f t="shared" si="3"/>
        <v/>
      </c>
      <c r="E2708" s="44" t="str">
        <f t="array" ref="E2708">IF(B2708="","",_xlfn.XLOOKUP(B2708,'Form responses 1'!$B$2:$B$2604,'Form responses 1'!$C$2:$C$2604,""))</f>
        <v/>
      </c>
      <c r="F2708" s="44" t="str">
        <f t="array" ref="F2708">IF(B2708="","",_xlfn.XLOOKUP(B2708,'Form responses 1'!$B$2:$B$2604,'Form responses 1'!$D$2:$D$2604,""))</f>
        <v/>
      </c>
      <c r="G2708" s="44" t="str">
        <f t="array" ref="G2708">IF(B2708="","",_xlfn.XLOOKUP(B2708,'Form responses 1'!$B$2:$B$2604,'Form responses 1'!$E$2:$E$2604,""))</f>
        <v/>
      </c>
      <c r="H2708" s="44" t="str">
        <f t="array" ref="H2708">IF(B2708="","",_xlfn.XLOOKUP(B2708,'Form responses 1'!$B$2:$B$2604,'Form responses 1'!$F$2:$F$2604,""))</f>
        <v/>
      </c>
      <c r="I2708" s="44" t="str">
        <f t="array" ref="I2708">IF(B2708="","",_xlfn.XLOOKUP(B2708,'Form responses 1'!$B$2:$B$2604,'Form responses 1'!$I$2:$I$2604,""))</f>
        <v/>
      </c>
      <c r="J2708" s="44" t="str">
        <f t="array" ref="J2708">IF(B2708="","",_xlfn.XLOOKUP(B2708,'Form responses 1'!$B$2:$B$2604,'Form responses 1'!$G$2:$G$2604,""))</f>
        <v/>
      </c>
      <c r="K2708" s="56"/>
      <c r="L2708" s="58" t="str">
        <f t="shared" si="7"/>
        <v/>
      </c>
      <c r="M2708" s="49"/>
      <c r="N2708" s="49"/>
      <c r="O2708" s="49"/>
      <c r="P2708" s="49"/>
      <c r="Q2708" s="49"/>
      <c r="R2708" s="49"/>
      <c r="S2708" s="49"/>
      <c r="T2708" s="49"/>
      <c r="U2708" s="49"/>
      <c r="V2708" s="49"/>
      <c r="W2708" s="56"/>
      <c r="X2708" s="51" t="str">
        <f t="shared" si="5"/>
        <v/>
      </c>
      <c r="Y2708" s="50" t="s">
        <v>482</v>
      </c>
      <c r="Z2708" s="49">
        <f t="shared" si="6"/>
        <v>0</v>
      </c>
    </row>
    <row r="2709" ht="22.5" customHeight="1">
      <c r="B2709" s="57"/>
      <c r="C2709" s="43" t="str">
        <f t="array" ref="C2709">IF(B2709="","",_xlfn.XLOOKUP(B2709,'Form responses 1'!$B$2:$B$2604,'Form responses 1'!$A$2:$A$2604,""))</f>
        <v/>
      </c>
      <c r="D2709" s="44" t="str">
        <f t="shared" si="3"/>
        <v/>
      </c>
      <c r="E2709" s="44" t="str">
        <f t="array" ref="E2709">IF(B2709="","",_xlfn.XLOOKUP(B2709,'Form responses 1'!$B$2:$B$2604,'Form responses 1'!$C$2:$C$2604,""))</f>
        <v/>
      </c>
      <c r="F2709" s="44" t="str">
        <f t="array" ref="F2709">IF(B2709="","",_xlfn.XLOOKUP(B2709,'Form responses 1'!$B$2:$B$2604,'Form responses 1'!$D$2:$D$2604,""))</f>
        <v/>
      </c>
      <c r="G2709" s="44" t="str">
        <f t="array" ref="G2709">IF(B2709="","",_xlfn.XLOOKUP(B2709,'Form responses 1'!$B$2:$B$2604,'Form responses 1'!$E$2:$E$2604,""))</f>
        <v/>
      </c>
      <c r="H2709" s="44" t="str">
        <f t="array" ref="H2709">IF(B2709="","",_xlfn.XLOOKUP(B2709,'Form responses 1'!$B$2:$B$2604,'Form responses 1'!$F$2:$F$2604,""))</f>
        <v/>
      </c>
      <c r="I2709" s="44" t="str">
        <f t="array" ref="I2709">IF(B2709="","",_xlfn.XLOOKUP(B2709,'Form responses 1'!$B$2:$B$2604,'Form responses 1'!$I$2:$I$2604,""))</f>
        <v/>
      </c>
      <c r="J2709" s="44" t="str">
        <f t="array" ref="J2709">IF(B2709="","",_xlfn.XLOOKUP(B2709,'Form responses 1'!$B$2:$B$2604,'Form responses 1'!$G$2:$G$2604,""))</f>
        <v/>
      </c>
      <c r="K2709" s="56"/>
      <c r="L2709" s="58" t="str">
        <f t="shared" si="7"/>
        <v/>
      </c>
      <c r="M2709" s="49"/>
      <c r="N2709" s="49"/>
      <c r="O2709" s="49"/>
      <c r="P2709" s="49"/>
      <c r="Q2709" s="49"/>
      <c r="R2709" s="49"/>
      <c r="S2709" s="49"/>
      <c r="T2709" s="49"/>
      <c r="U2709" s="49"/>
      <c r="V2709" s="49"/>
      <c r="W2709" s="56"/>
      <c r="X2709" s="51" t="str">
        <f t="shared" si="5"/>
        <v/>
      </c>
      <c r="Y2709" s="50" t="s">
        <v>482</v>
      </c>
      <c r="Z2709" s="49">
        <f t="shared" si="6"/>
        <v>0</v>
      </c>
    </row>
    <row r="2710" ht="22.5" customHeight="1">
      <c r="B2710" s="57"/>
      <c r="C2710" s="43" t="str">
        <f t="array" ref="C2710">IF(B2710="","",_xlfn.XLOOKUP(B2710,'Form responses 1'!$B$2:$B$2604,'Form responses 1'!$A$2:$A$2604,""))</f>
        <v/>
      </c>
      <c r="D2710" s="44" t="str">
        <f t="shared" si="3"/>
        <v/>
      </c>
      <c r="E2710" s="44" t="str">
        <f t="array" ref="E2710">IF(B2710="","",_xlfn.XLOOKUP(B2710,'Form responses 1'!$B$2:$B$2604,'Form responses 1'!$C$2:$C$2604,""))</f>
        <v/>
      </c>
      <c r="F2710" s="44" t="str">
        <f t="array" ref="F2710">IF(B2710="","",_xlfn.XLOOKUP(B2710,'Form responses 1'!$B$2:$B$2604,'Form responses 1'!$D$2:$D$2604,""))</f>
        <v/>
      </c>
      <c r="G2710" s="44" t="str">
        <f t="array" ref="G2710">IF(B2710="","",_xlfn.XLOOKUP(B2710,'Form responses 1'!$B$2:$B$2604,'Form responses 1'!$E$2:$E$2604,""))</f>
        <v/>
      </c>
      <c r="H2710" s="44" t="str">
        <f t="array" ref="H2710">IF(B2710="","",_xlfn.XLOOKUP(B2710,'Form responses 1'!$B$2:$B$2604,'Form responses 1'!$F$2:$F$2604,""))</f>
        <v/>
      </c>
      <c r="I2710" s="44" t="str">
        <f t="array" ref="I2710">IF(B2710="","",_xlfn.XLOOKUP(B2710,'Form responses 1'!$B$2:$B$2604,'Form responses 1'!$I$2:$I$2604,""))</f>
        <v/>
      </c>
      <c r="J2710" s="44" t="str">
        <f t="array" ref="J2710">IF(B2710="","",_xlfn.XLOOKUP(B2710,'Form responses 1'!$B$2:$B$2604,'Form responses 1'!$G$2:$G$2604,""))</f>
        <v/>
      </c>
      <c r="K2710" s="56"/>
      <c r="L2710" s="58" t="str">
        <f t="shared" si="7"/>
        <v/>
      </c>
      <c r="M2710" s="49"/>
      <c r="N2710" s="49"/>
      <c r="O2710" s="49"/>
      <c r="P2710" s="49"/>
      <c r="Q2710" s="49"/>
      <c r="R2710" s="49"/>
      <c r="S2710" s="49"/>
      <c r="T2710" s="49"/>
      <c r="U2710" s="49"/>
      <c r="V2710" s="49"/>
      <c r="W2710" s="56"/>
      <c r="X2710" s="51" t="str">
        <f t="shared" si="5"/>
        <v/>
      </c>
      <c r="Y2710" s="50" t="s">
        <v>482</v>
      </c>
      <c r="Z2710" s="49">
        <f t="shared" si="6"/>
        <v>0</v>
      </c>
    </row>
    <row r="2711" ht="22.5" customHeight="1">
      <c r="B2711" s="57"/>
      <c r="C2711" s="43" t="str">
        <f t="array" ref="C2711">IF(B2711="","",_xlfn.XLOOKUP(B2711,'Form responses 1'!$B$2:$B$2604,'Form responses 1'!$A$2:$A$2604,""))</f>
        <v/>
      </c>
      <c r="D2711" s="44" t="str">
        <f t="shared" si="3"/>
        <v/>
      </c>
      <c r="E2711" s="44" t="str">
        <f t="array" ref="E2711">IF(B2711="","",_xlfn.XLOOKUP(B2711,'Form responses 1'!$B$2:$B$2604,'Form responses 1'!$C$2:$C$2604,""))</f>
        <v/>
      </c>
      <c r="F2711" s="44" t="str">
        <f t="array" ref="F2711">IF(B2711="","",_xlfn.XLOOKUP(B2711,'Form responses 1'!$B$2:$B$2604,'Form responses 1'!$D$2:$D$2604,""))</f>
        <v/>
      </c>
      <c r="G2711" s="44" t="str">
        <f t="array" ref="G2711">IF(B2711="","",_xlfn.XLOOKUP(B2711,'Form responses 1'!$B$2:$B$2604,'Form responses 1'!$E$2:$E$2604,""))</f>
        <v/>
      </c>
      <c r="H2711" s="44" t="str">
        <f t="array" ref="H2711">IF(B2711="","",_xlfn.XLOOKUP(B2711,'Form responses 1'!$B$2:$B$2604,'Form responses 1'!$F$2:$F$2604,""))</f>
        <v/>
      </c>
      <c r="I2711" s="44" t="str">
        <f t="array" ref="I2711">IF(B2711="","",_xlfn.XLOOKUP(B2711,'Form responses 1'!$B$2:$B$2604,'Form responses 1'!$I$2:$I$2604,""))</f>
        <v/>
      </c>
      <c r="J2711" s="44" t="str">
        <f t="array" ref="J2711">IF(B2711="","",_xlfn.XLOOKUP(B2711,'Form responses 1'!$B$2:$B$2604,'Form responses 1'!$G$2:$G$2604,""))</f>
        <v/>
      </c>
      <c r="K2711" s="56"/>
      <c r="L2711" s="58" t="str">
        <f t="shared" si="7"/>
        <v/>
      </c>
      <c r="M2711" s="49"/>
      <c r="N2711" s="49"/>
      <c r="O2711" s="49"/>
      <c r="P2711" s="49"/>
      <c r="Q2711" s="49"/>
      <c r="R2711" s="49"/>
      <c r="S2711" s="49"/>
      <c r="T2711" s="49"/>
      <c r="U2711" s="49"/>
      <c r="V2711" s="49"/>
      <c r="W2711" s="56"/>
      <c r="X2711" s="51" t="str">
        <f t="shared" si="5"/>
        <v/>
      </c>
      <c r="Y2711" s="50" t="s">
        <v>482</v>
      </c>
      <c r="Z2711" s="49">
        <f t="shared" si="6"/>
        <v>0</v>
      </c>
    </row>
    <row r="2712" ht="22.5" customHeight="1">
      <c r="B2712" s="57"/>
      <c r="C2712" s="43" t="str">
        <f t="array" ref="C2712">IF(B2712="","",_xlfn.XLOOKUP(B2712,'Form responses 1'!$B$2:$B$2604,'Form responses 1'!$A$2:$A$2604,""))</f>
        <v/>
      </c>
      <c r="D2712" s="44" t="str">
        <f t="shared" si="3"/>
        <v/>
      </c>
      <c r="E2712" s="44" t="str">
        <f t="array" ref="E2712">IF(B2712="","",_xlfn.XLOOKUP(B2712,'Form responses 1'!$B$2:$B$2604,'Form responses 1'!$C$2:$C$2604,""))</f>
        <v/>
      </c>
      <c r="F2712" s="44" t="str">
        <f t="array" ref="F2712">IF(B2712="","",_xlfn.XLOOKUP(B2712,'Form responses 1'!$B$2:$B$2604,'Form responses 1'!$D$2:$D$2604,""))</f>
        <v/>
      </c>
      <c r="G2712" s="44" t="str">
        <f t="array" ref="G2712">IF(B2712="","",_xlfn.XLOOKUP(B2712,'Form responses 1'!$B$2:$B$2604,'Form responses 1'!$E$2:$E$2604,""))</f>
        <v/>
      </c>
      <c r="H2712" s="44" t="str">
        <f t="array" ref="H2712">IF(B2712="","",_xlfn.XLOOKUP(B2712,'Form responses 1'!$B$2:$B$2604,'Form responses 1'!$F$2:$F$2604,""))</f>
        <v/>
      </c>
      <c r="I2712" s="44" t="str">
        <f t="array" ref="I2712">IF(B2712="","",_xlfn.XLOOKUP(B2712,'Form responses 1'!$B$2:$B$2604,'Form responses 1'!$I$2:$I$2604,""))</f>
        <v/>
      </c>
      <c r="J2712" s="44" t="str">
        <f t="array" ref="J2712">IF(B2712="","",_xlfn.XLOOKUP(B2712,'Form responses 1'!$B$2:$B$2604,'Form responses 1'!$G$2:$G$2604,""))</f>
        <v/>
      </c>
      <c r="K2712" s="56"/>
      <c r="L2712" s="58" t="str">
        <f t="shared" si="7"/>
        <v/>
      </c>
      <c r="M2712" s="49"/>
      <c r="N2712" s="49"/>
      <c r="O2712" s="49"/>
      <c r="P2712" s="49"/>
      <c r="Q2712" s="49"/>
      <c r="R2712" s="49"/>
      <c r="S2712" s="49"/>
      <c r="T2712" s="49"/>
      <c r="U2712" s="49"/>
      <c r="V2712" s="49"/>
      <c r="W2712" s="56"/>
      <c r="X2712" s="51" t="str">
        <f t="shared" si="5"/>
        <v/>
      </c>
      <c r="Y2712" s="50" t="s">
        <v>482</v>
      </c>
      <c r="Z2712" s="49">
        <f t="shared" si="6"/>
        <v>0</v>
      </c>
    </row>
    <row r="2713" ht="22.5" customHeight="1">
      <c r="B2713" s="57"/>
      <c r="C2713" s="43" t="str">
        <f t="array" ref="C2713">IF(B2713="","",_xlfn.XLOOKUP(B2713,'Form responses 1'!$B$2:$B$2604,'Form responses 1'!$A$2:$A$2604,""))</f>
        <v/>
      </c>
      <c r="D2713" s="44" t="str">
        <f t="shared" si="3"/>
        <v/>
      </c>
      <c r="E2713" s="44" t="str">
        <f t="array" ref="E2713">IF(B2713="","",_xlfn.XLOOKUP(B2713,'Form responses 1'!$B$2:$B$2604,'Form responses 1'!$C$2:$C$2604,""))</f>
        <v/>
      </c>
      <c r="F2713" s="44" t="str">
        <f t="array" ref="F2713">IF(B2713="","",_xlfn.XLOOKUP(B2713,'Form responses 1'!$B$2:$B$2604,'Form responses 1'!$D$2:$D$2604,""))</f>
        <v/>
      </c>
      <c r="G2713" s="44" t="str">
        <f t="array" ref="G2713">IF(B2713="","",_xlfn.XLOOKUP(B2713,'Form responses 1'!$B$2:$B$2604,'Form responses 1'!$E$2:$E$2604,""))</f>
        <v/>
      </c>
      <c r="H2713" s="44" t="str">
        <f t="array" ref="H2713">IF(B2713="","",_xlfn.XLOOKUP(B2713,'Form responses 1'!$B$2:$B$2604,'Form responses 1'!$F$2:$F$2604,""))</f>
        <v/>
      </c>
      <c r="I2713" s="44" t="str">
        <f t="array" ref="I2713">IF(B2713="","",_xlfn.XLOOKUP(B2713,'Form responses 1'!$B$2:$B$2604,'Form responses 1'!$I$2:$I$2604,""))</f>
        <v/>
      </c>
      <c r="J2713" s="44" t="str">
        <f t="array" ref="J2713">IF(B2713="","",_xlfn.XLOOKUP(B2713,'Form responses 1'!$B$2:$B$2604,'Form responses 1'!$G$2:$G$2604,""))</f>
        <v/>
      </c>
      <c r="K2713" s="56"/>
      <c r="L2713" s="58" t="str">
        <f t="shared" si="7"/>
        <v/>
      </c>
      <c r="M2713" s="49"/>
      <c r="N2713" s="49"/>
      <c r="O2713" s="49"/>
      <c r="P2713" s="49"/>
      <c r="Q2713" s="49"/>
      <c r="R2713" s="49"/>
      <c r="S2713" s="49"/>
      <c r="T2713" s="49"/>
      <c r="U2713" s="49"/>
      <c r="V2713" s="49"/>
      <c r="W2713" s="56"/>
      <c r="X2713" s="51" t="str">
        <f t="shared" si="5"/>
        <v/>
      </c>
      <c r="Y2713" s="50" t="s">
        <v>482</v>
      </c>
      <c r="Z2713" s="49">
        <f t="shared" si="6"/>
        <v>0</v>
      </c>
    </row>
    <row r="2714" ht="22.5" customHeight="1">
      <c r="B2714" s="57"/>
      <c r="C2714" s="43" t="str">
        <f t="array" ref="C2714">IF(B2714="","",_xlfn.XLOOKUP(B2714,'Form responses 1'!$B$2:$B$2604,'Form responses 1'!$A$2:$A$2604,""))</f>
        <v/>
      </c>
      <c r="D2714" s="44" t="str">
        <f t="shared" si="3"/>
        <v/>
      </c>
      <c r="E2714" s="44" t="str">
        <f t="array" ref="E2714">IF(B2714="","",_xlfn.XLOOKUP(B2714,'Form responses 1'!$B$2:$B$2604,'Form responses 1'!$C$2:$C$2604,""))</f>
        <v/>
      </c>
      <c r="F2714" s="44" t="str">
        <f t="array" ref="F2714">IF(B2714="","",_xlfn.XLOOKUP(B2714,'Form responses 1'!$B$2:$B$2604,'Form responses 1'!$D$2:$D$2604,""))</f>
        <v/>
      </c>
      <c r="G2714" s="44" t="str">
        <f t="array" ref="G2714">IF(B2714="","",_xlfn.XLOOKUP(B2714,'Form responses 1'!$B$2:$B$2604,'Form responses 1'!$E$2:$E$2604,""))</f>
        <v/>
      </c>
      <c r="H2714" s="44" t="str">
        <f t="array" ref="H2714">IF(B2714="","",_xlfn.XLOOKUP(B2714,'Form responses 1'!$B$2:$B$2604,'Form responses 1'!$F$2:$F$2604,""))</f>
        <v/>
      </c>
      <c r="I2714" s="44" t="str">
        <f t="array" ref="I2714">IF(B2714="","",_xlfn.XLOOKUP(B2714,'Form responses 1'!$B$2:$B$2604,'Form responses 1'!$I$2:$I$2604,""))</f>
        <v/>
      </c>
      <c r="J2714" s="44" t="str">
        <f t="array" ref="J2714">IF(B2714="","",_xlfn.XLOOKUP(B2714,'Form responses 1'!$B$2:$B$2604,'Form responses 1'!$G$2:$G$2604,""))</f>
        <v/>
      </c>
      <c r="K2714" s="56"/>
      <c r="L2714" s="58" t="str">
        <f t="shared" si="7"/>
        <v/>
      </c>
      <c r="M2714" s="49"/>
      <c r="N2714" s="49"/>
      <c r="O2714" s="49"/>
      <c r="P2714" s="49"/>
      <c r="Q2714" s="49"/>
      <c r="R2714" s="49"/>
      <c r="S2714" s="49"/>
      <c r="T2714" s="49"/>
      <c r="U2714" s="49"/>
      <c r="V2714" s="49"/>
      <c r="W2714" s="56"/>
      <c r="X2714" s="51" t="str">
        <f t="shared" si="5"/>
        <v/>
      </c>
      <c r="Y2714" s="50" t="s">
        <v>482</v>
      </c>
      <c r="Z2714" s="49">
        <f t="shared" si="6"/>
        <v>0</v>
      </c>
    </row>
    <row r="2715" ht="22.5" customHeight="1">
      <c r="B2715" s="57"/>
      <c r="C2715" s="43" t="str">
        <f t="array" ref="C2715">IF(B2715="","",_xlfn.XLOOKUP(B2715,'Form responses 1'!$B$2:$B$2604,'Form responses 1'!$A$2:$A$2604,""))</f>
        <v/>
      </c>
      <c r="D2715" s="44" t="str">
        <f t="shared" si="3"/>
        <v/>
      </c>
      <c r="E2715" s="44" t="str">
        <f t="array" ref="E2715">IF(B2715="","",_xlfn.XLOOKUP(B2715,'Form responses 1'!$B$2:$B$2604,'Form responses 1'!$C$2:$C$2604,""))</f>
        <v/>
      </c>
      <c r="F2715" s="44" t="str">
        <f t="array" ref="F2715">IF(B2715="","",_xlfn.XLOOKUP(B2715,'Form responses 1'!$B$2:$B$2604,'Form responses 1'!$D$2:$D$2604,""))</f>
        <v/>
      </c>
      <c r="G2715" s="44" t="str">
        <f t="array" ref="G2715">IF(B2715="","",_xlfn.XLOOKUP(B2715,'Form responses 1'!$B$2:$B$2604,'Form responses 1'!$E$2:$E$2604,""))</f>
        <v/>
      </c>
      <c r="H2715" s="44" t="str">
        <f t="array" ref="H2715">IF(B2715="","",_xlfn.XLOOKUP(B2715,'Form responses 1'!$B$2:$B$2604,'Form responses 1'!$F$2:$F$2604,""))</f>
        <v/>
      </c>
      <c r="I2715" s="44" t="str">
        <f t="array" ref="I2715">IF(B2715="","",_xlfn.XLOOKUP(B2715,'Form responses 1'!$B$2:$B$2604,'Form responses 1'!$I$2:$I$2604,""))</f>
        <v/>
      </c>
      <c r="J2715" s="44" t="str">
        <f t="array" ref="J2715">IF(B2715="","",_xlfn.XLOOKUP(B2715,'Form responses 1'!$B$2:$B$2604,'Form responses 1'!$G$2:$G$2604,""))</f>
        <v/>
      </c>
      <c r="K2715" s="56"/>
      <c r="L2715" s="58" t="str">
        <f t="shared" si="7"/>
        <v/>
      </c>
      <c r="M2715" s="49"/>
      <c r="N2715" s="49"/>
      <c r="O2715" s="49"/>
      <c r="P2715" s="49"/>
      <c r="Q2715" s="49"/>
      <c r="R2715" s="49"/>
      <c r="S2715" s="49"/>
      <c r="T2715" s="49"/>
      <c r="U2715" s="49"/>
      <c r="V2715" s="49"/>
      <c r="W2715" s="56"/>
      <c r="X2715" s="51" t="str">
        <f t="shared" si="5"/>
        <v/>
      </c>
      <c r="Y2715" s="50" t="s">
        <v>482</v>
      </c>
      <c r="Z2715" s="49">
        <f t="shared" si="6"/>
        <v>0</v>
      </c>
    </row>
    <row r="2716" ht="22.5" customHeight="1">
      <c r="B2716" s="57"/>
      <c r="C2716" s="43" t="str">
        <f t="array" ref="C2716">IF(B2716="","",_xlfn.XLOOKUP(B2716,'Form responses 1'!$B$2:$B$2604,'Form responses 1'!$A$2:$A$2604,""))</f>
        <v/>
      </c>
      <c r="D2716" s="44" t="str">
        <f t="shared" si="3"/>
        <v/>
      </c>
      <c r="E2716" s="44" t="str">
        <f t="array" ref="E2716">IF(B2716="","",_xlfn.XLOOKUP(B2716,'Form responses 1'!$B$2:$B$2604,'Form responses 1'!$C$2:$C$2604,""))</f>
        <v/>
      </c>
      <c r="F2716" s="44" t="str">
        <f t="array" ref="F2716">IF(B2716="","",_xlfn.XLOOKUP(B2716,'Form responses 1'!$B$2:$B$2604,'Form responses 1'!$D$2:$D$2604,""))</f>
        <v/>
      </c>
      <c r="G2716" s="44" t="str">
        <f t="array" ref="G2716">IF(B2716="","",_xlfn.XLOOKUP(B2716,'Form responses 1'!$B$2:$B$2604,'Form responses 1'!$E$2:$E$2604,""))</f>
        <v/>
      </c>
      <c r="H2716" s="44" t="str">
        <f t="array" ref="H2716">IF(B2716="","",_xlfn.XLOOKUP(B2716,'Form responses 1'!$B$2:$B$2604,'Form responses 1'!$F$2:$F$2604,""))</f>
        <v/>
      </c>
      <c r="I2716" s="44" t="str">
        <f t="array" ref="I2716">IF(B2716="","",_xlfn.XLOOKUP(B2716,'Form responses 1'!$B$2:$B$2604,'Form responses 1'!$I$2:$I$2604,""))</f>
        <v/>
      </c>
      <c r="J2716" s="44" t="str">
        <f t="array" ref="J2716">IF(B2716="","",_xlfn.XLOOKUP(B2716,'Form responses 1'!$B$2:$B$2604,'Form responses 1'!$G$2:$G$2604,""))</f>
        <v/>
      </c>
      <c r="K2716" s="56"/>
      <c r="L2716" s="58" t="str">
        <f t="shared" si="7"/>
        <v/>
      </c>
      <c r="M2716" s="49"/>
      <c r="N2716" s="49"/>
      <c r="O2716" s="49"/>
      <c r="P2716" s="49"/>
      <c r="Q2716" s="49"/>
      <c r="R2716" s="49"/>
      <c r="S2716" s="49"/>
      <c r="T2716" s="49"/>
      <c r="U2716" s="49"/>
      <c r="V2716" s="49"/>
      <c r="W2716" s="56"/>
      <c r="X2716" s="51" t="str">
        <f t="shared" si="5"/>
        <v/>
      </c>
      <c r="Y2716" s="50" t="s">
        <v>482</v>
      </c>
      <c r="Z2716" s="49">
        <f t="shared" si="6"/>
        <v>0</v>
      </c>
    </row>
    <row r="2717" ht="22.5" customHeight="1">
      <c r="B2717" s="57"/>
      <c r="C2717" s="43" t="str">
        <f t="array" ref="C2717">IF(B2717="","",_xlfn.XLOOKUP(B2717,'Form responses 1'!$B$2:$B$2604,'Form responses 1'!$A$2:$A$2604,""))</f>
        <v/>
      </c>
      <c r="D2717" s="44" t="str">
        <f t="shared" si="3"/>
        <v/>
      </c>
      <c r="E2717" s="44" t="str">
        <f t="array" ref="E2717">IF(B2717="","",_xlfn.XLOOKUP(B2717,'Form responses 1'!$B$2:$B$2604,'Form responses 1'!$C$2:$C$2604,""))</f>
        <v/>
      </c>
      <c r="F2717" s="44" t="str">
        <f t="array" ref="F2717">IF(B2717="","",_xlfn.XLOOKUP(B2717,'Form responses 1'!$B$2:$B$2604,'Form responses 1'!$D$2:$D$2604,""))</f>
        <v/>
      </c>
      <c r="G2717" s="44" t="str">
        <f t="array" ref="G2717">IF(B2717="","",_xlfn.XLOOKUP(B2717,'Form responses 1'!$B$2:$B$2604,'Form responses 1'!$E$2:$E$2604,""))</f>
        <v/>
      </c>
      <c r="H2717" s="44" t="str">
        <f t="array" ref="H2717">IF(B2717="","",_xlfn.XLOOKUP(B2717,'Form responses 1'!$B$2:$B$2604,'Form responses 1'!$F$2:$F$2604,""))</f>
        <v/>
      </c>
      <c r="I2717" s="44" t="str">
        <f t="array" ref="I2717">IF(B2717="","",_xlfn.XLOOKUP(B2717,'Form responses 1'!$B$2:$B$2604,'Form responses 1'!$I$2:$I$2604,""))</f>
        <v/>
      </c>
      <c r="J2717" s="44" t="str">
        <f t="array" ref="J2717">IF(B2717="","",_xlfn.XLOOKUP(B2717,'Form responses 1'!$B$2:$B$2604,'Form responses 1'!$G$2:$G$2604,""))</f>
        <v/>
      </c>
      <c r="K2717" s="56"/>
      <c r="L2717" s="58" t="str">
        <f t="shared" si="7"/>
        <v/>
      </c>
      <c r="M2717" s="49"/>
      <c r="N2717" s="49"/>
      <c r="O2717" s="49"/>
      <c r="P2717" s="49"/>
      <c r="Q2717" s="49"/>
      <c r="R2717" s="49"/>
      <c r="S2717" s="49"/>
      <c r="T2717" s="49"/>
      <c r="U2717" s="49"/>
      <c r="V2717" s="49"/>
      <c r="W2717" s="56"/>
      <c r="X2717" s="51" t="str">
        <f t="shared" si="5"/>
        <v/>
      </c>
      <c r="Y2717" s="50" t="s">
        <v>482</v>
      </c>
      <c r="Z2717" s="49">
        <f t="shared" si="6"/>
        <v>0</v>
      </c>
    </row>
    <row r="2718" ht="22.5" customHeight="1">
      <c r="B2718" s="57"/>
      <c r="C2718" s="43" t="str">
        <f t="array" ref="C2718">IF(B2718="","",_xlfn.XLOOKUP(B2718,'Form responses 1'!$B$2:$B$2604,'Form responses 1'!$A$2:$A$2604,""))</f>
        <v/>
      </c>
      <c r="D2718" s="44" t="str">
        <f t="shared" si="3"/>
        <v/>
      </c>
      <c r="E2718" s="44" t="str">
        <f t="array" ref="E2718">IF(B2718="","",_xlfn.XLOOKUP(B2718,'Form responses 1'!$B$2:$B$2604,'Form responses 1'!$C$2:$C$2604,""))</f>
        <v/>
      </c>
      <c r="F2718" s="44" t="str">
        <f t="array" ref="F2718">IF(B2718="","",_xlfn.XLOOKUP(B2718,'Form responses 1'!$B$2:$B$2604,'Form responses 1'!$D$2:$D$2604,""))</f>
        <v/>
      </c>
      <c r="G2718" s="44" t="str">
        <f t="array" ref="G2718">IF(B2718="","",_xlfn.XLOOKUP(B2718,'Form responses 1'!$B$2:$B$2604,'Form responses 1'!$E$2:$E$2604,""))</f>
        <v/>
      </c>
      <c r="H2718" s="44" t="str">
        <f t="array" ref="H2718">IF(B2718="","",_xlfn.XLOOKUP(B2718,'Form responses 1'!$B$2:$B$2604,'Form responses 1'!$F$2:$F$2604,""))</f>
        <v/>
      </c>
      <c r="I2718" s="44" t="str">
        <f t="array" ref="I2718">IF(B2718="","",_xlfn.XLOOKUP(B2718,'Form responses 1'!$B$2:$B$2604,'Form responses 1'!$I$2:$I$2604,""))</f>
        <v/>
      </c>
      <c r="J2718" s="44" t="str">
        <f t="array" ref="J2718">IF(B2718="","",_xlfn.XLOOKUP(B2718,'Form responses 1'!$B$2:$B$2604,'Form responses 1'!$G$2:$G$2604,""))</f>
        <v/>
      </c>
      <c r="K2718" s="56"/>
      <c r="L2718" s="58" t="str">
        <f t="shared" si="7"/>
        <v/>
      </c>
      <c r="M2718" s="49"/>
      <c r="N2718" s="49"/>
      <c r="O2718" s="49"/>
      <c r="P2718" s="49"/>
      <c r="Q2718" s="49"/>
      <c r="R2718" s="49"/>
      <c r="S2718" s="49"/>
      <c r="T2718" s="49"/>
      <c r="U2718" s="49"/>
      <c r="V2718" s="49"/>
      <c r="W2718" s="56"/>
      <c r="X2718" s="51" t="str">
        <f t="shared" si="5"/>
        <v/>
      </c>
      <c r="Y2718" s="50" t="s">
        <v>482</v>
      </c>
      <c r="Z2718" s="49">
        <f t="shared" si="6"/>
        <v>0</v>
      </c>
    </row>
    <row r="2719" ht="22.5" customHeight="1">
      <c r="B2719" s="57"/>
      <c r="C2719" s="43" t="str">
        <f t="array" ref="C2719">IF(B2719="","",_xlfn.XLOOKUP(B2719,'Form responses 1'!$B$2:$B$2604,'Form responses 1'!$A$2:$A$2604,""))</f>
        <v/>
      </c>
      <c r="D2719" s="44" t="str">
        <f t="shared" si="3"/>
        <v/>
      </c>
      <c r="E2719" s="44" t="str">
        <f t="array" ref="E2719">IF(B2719="","",_xlfn.XLOOKUP(B2719,'Form responses 1'!$B$2:$B$2604,'Form responses 1'!$C$2:$C$2604,""))</f>
        <v/>
      </c>
      <c r="F2719" s="44" t="str">
        <f t="array" ref="F2719">IF(B2719="","",_xlfn.XLOOKUP(B2719,'Form responses 1'!$B$2:$B$2604,'Form responses 1'!$D$2:$D$2604,""))</f>
        <v/>
      </c>
      <c r="G2719" s="44" t="str">
        <f t="array" ref="G2719">IF(B2719="","",_xlfn.XLOOKUP(B2719,'Form responses 1'!$B$2:$B$2604,'Form responses 1'!$E$2:$E$2604,""))</f>
        <v/>
      </c>
      <c r="H2719" s="44" t="str">
        <f t="array" ref="H2719">IF(B2719="","",_xlfn.XLOOKUP(B2719,'Form responses 1'!$B$2:$B$2604,'Form responses 1'!$F$2:$F$2604,""))</f>
        <v/>
      </c>
      <c r="I2719" s="44" t="str">
        <f t="array" ref="I2719">IF(B2719="","",_xlfn.XLOOKUP(B2719,'Form responses 1'!$B$2:$B$2604,'Form responses 1'!$I$2:$I$2604,""))</f>
        <v/>
      </c>
      <c r="J2719" s="44" t="str">
        <f t="array" ref="J2719">IF(B2719="","",_xlfn.XLOOKUP(B2719,'Form responses 1'!$B$2:$B$2604,'Form responses 1'!$G$2:$G$2604,""))</f>
        <v/>
      </c>
      <c r="K2719" s="56"/>
      <c r="L2719" s="58" t="str">
        <f t="shared" si="7"/>
        <v/>
      </c>
      <c r="M2719" s="49"/>
      <c r="N2719" s="49"/>
      <c r="O2719" s="49"/>
      <c r="P2719" s="49"/>
      <c r="Q2719" s="49"/>
      <c r="R2719" s="49"/>
      <c r="S2719" s="49"/>
      <c r="T2719" s="49"/>
      <c r="U2719" s="49"/>
      <c r="V2719" s="49"/>
      <c r="W2719" s="56"/>
      <c r="X2719" s="51" t="str">
        <f t="shared" si="5"/>
        <v/>
      </c>
      <c r="Y2719" s="50" t="s">
        <v>482</v>
      </c>
      <c r="Z2719" s="49">
        <f t="shared" si="6"/>
        <v>0</v>
      </c>
    </row>
    <row r="2720" ht="22.5" customHeight="1">
      <c r="B2720" s="57"/>
      <c r="C2720" s="43" t="str">
        <f t="array" ref="C2720">IF(B2720="","",_xlfn.XLOOKUP(B2720,'Form responses 1'!$B$2:$B$2604,'Form responses 1'!$A$2:$A$2604,""))</f>
        <v/>
      </c>
      <c r="D2720" s="44" t="str">
        <f t="shared" si="3"/>
        <v/>
      </c>
      <c r="E2720" s="44" t="str">
        <f t="array" ref="E2720">IF(B2720="","",_xlfn.XLOOKUP(B2720,'Form responses 1'!$B$2:$B$2604,'Form responses 1'!$C$2:$C$2604,""))</f>
        <v/>
      </c>
      <c r="F2720" s="44" t="str">
        <f t="array" ref="F2720">IF(B2720="","",_xlfn.XLOOKUP(B2720,'Form responses 1'!$B$2:$B$2604,'Form responses 1'!$D$2:$D$2604,""))</f>
        <v/>
      </c>
      <c r="G2720" s="44" t="str">
        <f t="array" ref="G2720">IF(B2720="","",_xlfn.XLOOKUP(B2720,'Form responses 1'!$B$2:$B$2604,'Form responses 1'!$E$2:$E$2604,""))</f>
        <v/>
      </c>
      <c r="H2720" s="44" t="str">
        <f t="array" ref="H2720">IF(B2720="","",_xlfn.XLOOKUP(B2720,'Form responses 1'!$B$2:$B$2604,'Form responses 1'!$F$2:$F$2604,""))</f>
        <v/>
      </c>
      <c r="I2720" s="44" t="str">
        <f t="array" ref="I2720">IF(B2720="","",_xlfn.XLOOKUP(B2720,'Form responses 1'!$B$2:$B$2604,'Form responses 1'!$I$2:$I$2604,""))</f>
        <v/>
      </c>
      <c r="J2720" s="44" t="str">
        <f t="array" ref="J2720">IF(B2720="","",_xlfn.XLOOKUP(B2720,'Form responses 1'!$B$2:$B$2604,'Form responses 1'!$G$2:$G$2604,""))</f>
        <v/>
      </c>
      <c r="K2720" s="56"/>
      <c r="L2720" s="58" t="str">
        <f t="shared" si="7"/>
        <v/>
      </c>
      <c r="M2720" s="49"/>
      <c r="N2720" s="49"/>
      <c r="O2720" s="49"/>
      <c r="P2720" s="49"/>
      <c r="Q2720" s="49"/>
      <c r="R2720" s="49"/>
      <c r="S2720" s="49"/>
      <c r="T2720" s="49"/>
      <c r="U2720" s="49"/>
      <c r="V2720" s="49"/>
      <c r="W2720" s="56"/>
      <c r="X2720" s="51" t="str">
        <f t="shared" si="5"/>
        <v/>
      </c>
      <c r="Y2720" s="50" t="s">
        <v>482</v>
      </c>
      <c r="Z2720" s="49">
        <f t="shared" si="6"/>
        <v>0</v>
      </c>
    </row>
    <row r="2721" ht="22.5" customHeight="1">
      <c r="B2721" s="57"/>
      <c r="C2721" s="43" t="str">
        <f t="array" ref="C2721">IF(B2721="","",_xlfn.XLOOKUP(B2721,'Form responses 1'!$B$2:$B$2604,'Form responses 1'!$A$2:$A$2604,""))</f>
        <v/>
      </c>
      <c r="D2721" s="44" t="str">
        <f t="shared" si="3"/>
        <v/>
      </c>
      <c r="E2721" s="44" t="str">
        <f t="array" ref="E2721">IF(B2721="","",_xlfn.XLOOKUP(B2721,'Form responses 1'!$B$2:$B$2604,'Form responses 1'!$C$2:$C$2604,""))</f>
        <v/>
      </c>
      <c r="F2721" s="44" t="str">
        <f t="array" ref="F2721">IF(B2721="","",_xlfn.XLOOKUP(B2721,'Form responses 1'!$B$2:$B$2604,'Form responses 1'!$D$2:$D$2604,""))</f>
        <v/>
      </c>
      <c r="G2721" s="44" t="str">
        <f t="array" ref="G2721">IF(B2721="","",_xlfn.XLOOKUP(B2721,'Form responses 1'!$B$2:$B$2604,'Form responses 1'!$E$2:$E$2604,""))</f>
        <v/>
      </c>
      <c r="H2721" s="44" t="str">
        <f t="array" ref="H2721">IF(B2721="","",_xlfn.XLOOKUP(B2721,'Form responses 1'!$B$2:$B$2604,'Form responses 1'!$F$2:$F$2604,""))</f>
        <v/>
      </c>
      <c r="I2721" s="44" t="str">
        <f t="array" ref="I2721">IF(B2721="","",_xlfn.XLOOKUP(B2721,'Form responses 1'!$B$2:$B$2604,'Form responses 1'!$I$2:$I$2604,""))</f>
        <v/>
      </c>
      <c r="J2721" s="44" t="str">
        <f t="array" ref="J2721">IF(B2721="","",_xlfn.XLOOKUP(B2721,'Form responses 1'!$B$2:$B$2604,'Form responses 1'!$G$2:$G$2604,""))</f>
        <v/>
      </c>
      <c r="K2721" s="56"/>
      <c r="L2721" s="58" t="str">
        <f t="shared" si="7"/>
        <v/>
      </c>
      <c r="M2721" s="49"/>
      <c r="N2721" s="49"/>
      <c r="O2721" s="49"/>
      <c r="P2721" s="49"/>
      <c r="Q2721" s="49"/>
      <c r="R2721" s="49"/>
      <c r="S2721" s="49"/>
      <c r="T2721" s="49"/>
      <c r="U2721" s="49"/>
      <c r="V2721" s="49"/>
      <c r="W2721" s="56"/>
      <c r="X2721" s="51" t="str">
        <f t="shared" si="5"/>
        <v/>
      </c>
      <c r="Y2721" s="50" t="s">
        <v>482</v>
      </c>
      <c r="Z2721" s="49">
        <f t="shared" si="6"/>
        <v>0</v>
      </c>
    </row>
    <row r="2722" ht="22.5" customHeight="1">
      <c r="B2722" s="57"/>
      <c r="C2722" s="43" t="str">
        <f t="array" ref="C2722">IF(B2722="","",_xlfn.XLOOKUP(B2722,'Form responses 1'!$B$2:$B$2604,'Form responses 1'!$A$2:$A$2604,""))</f>
        <v/>
      </c>
      <c r="D2722" s="44" t="str">
        <f t="shared" si="3"/>
        <v/>
      </c>
      <c r="E2722" s="44" t="str">
        <f t="array" ref="E2722">IF(B2722="","",_xlfn.XLOOKUP(B2722,'Form responses 1'!$B$2:$B$2604,'Form responses 1'!$C$2:$C$2604,""))</f>
        <v/>
      </c>
      <c r="F2722" s="44" t="str">
        <f t="array" ref="F2722">IF(B2722="","",_xlfn.XLOOKUP(B2722,'Form responses 1'!$B$2:$B$2604,'Form responses 1'!$D$2:$D$2604,""))</f>
        <v/>
      </c>
      <c r="G2722" s="44" t="str">
        <f t="array" ref="G2722">IF(B2722="","",_xlfn.XLOOKUP(B2722,'Form responses 1'!$B$2:$B$2604,'Form responses 1'!$E$2:$E$2604,""))</f>
        <v/>
      </c>
      <c r="H2722" s="44" t="str">
        <f t="array" ref="H2722">IF(B2722="","",_xlfn.XLOOKUP(B2722,'Form responses 1'!$B$2:$B$2604,'Form responses 1'!$F$2:$F$2604,""))</f>
        <v/>
      </c>
      <c r="I2722" s="44" t="str">
        <f t="array" ref="I2722">IF(B2722="","",_xlfn.XLOOKUP(B2722,'Form responses 1'!$B$2:$B$2604,'Form responses 1'!$I$2:$I$2604,""))</f>
        <v/>
      </c>
      <c r="J2722" s="44" t="str">
        <f t="array" ref="J2722">IF(B2722="","",_xlfn.XLOOKUP(B2722,'Form responses 1'!$B$2:$B$2604,'Form responses 1'!$G$2:$G$2604,""))</f>
        <v/>
      </c>
      <c r="K2722" s="56"/>
      <c r="L2722" s="58" t="str">
        <f t="shared" si="7"/>
        <v/>
      </c>
      <c r="M2722" s="49"/>
      <c r="N2722" s="49"/>
      <c r="O2722" s="49"/>
      <c r="P2722" s="49"/>
      <c r="Q2722" s="49"/>
      <c r="R2722" s="49"/>
      <c r="S2722" s="49"/>
      <c r="T2722" s="49"/>
      <c r="U2722" s="49"/>
      <c r="V2722" s="49"/>
      <c r="W2722" s="56"/>
      <c r="X2722" s="51" t="str">
        <f t="shared" si="5"/>
        <v/>
      </c>
      <c r="Y2722" s="50" t="s">
        <v>482</v>
      </c>
      <c r="Z2722" s="49">
        <f t="shared" si="6"/>
        <v>0</v>
      </c>
    </row>
    <row r="2723" ht="22.5" customHeight="1">
      <c r="B2723" s="57"/>
      <c r="C2723" s="43" t="str">
        <f t="array" ref="C2723">IF(B2723="","",_xlfn.XLOOKUP(B2723,'Form responses 1'!$B$2:$B$2604,'Form responses 1'!$A$2:$A$2604,""))</f>
        <v/>
      </c>
      <c r="D2723" s="44" t="str">
        <f t="shared" si="3"/>
        <v/>
      </c>
      <c r="E2723" s="44" t="str">
        <f t="array" ref="E2723">IF(B2723="","",_xlfn.XLOOKUP(B2723,'Form responses 1'!$B$2:$B$2604,'Form responses 1'!$C$2:$C$2604,""))</f>
        <v/>
      </c>
      <c r="F2723" s="44" t="str">
        <f t="array" ref="F2723">IF(B2723="","",_xlfn.XLOOKUP(B2723,'Form responses 1'!$B$2:$B$2604,'Form responses 1'!$D$2:$D$2604,""))</f>
        <v/>
      </c>
      <c r="G2723" s="44" t="str">
        <f t="array" ref="G2723">IF(B2723="","",_xlfn.XLOOKUP(B2723,'Form responses 1'!$B$2:$B$2604,'Form responses 1'!$E$2:$E$2604,""))</f>
        <v/>
      </c>
      <c r="H2723" s="44" t="str">
        <f t="array" ref="H2723">IF(B2723="","",_xlfn.XLOOKUP(B2723,'Form responses 1'!$B$2:$B$2604,'Form responses 1'!$F$2:$F$2604,""))</f>
        <v/>
      </c>
      <c r="I2723" s="44" t="str">
        <f t="array" ref="I2723">IF(B2723="","",_xlfn.XLOOKUP(B2723,'Form responses 1'!$B$2:$B$2604,'Form responses 1'!$I$2:$I$2604,""))</f>
        <v/>
      </c>
      <c r="J2723" s="44" t="str">
        <f t="array" ref="J2723">IF(B2723="","",_xlfn.XLOOKUP(B2723,'Form responses 1'!$B$2:$B$2604,'Form responses 1'!$G$2:$G$2604,""))</f>
        <v/>
      </c>
      <c r="K2723" s="56"/>
      <c r="L2723" s="58" t="str">
        <f t="shared" si="7"/>
        <v/>
      </c>
      <c r="M2723" s="49"/>
      <c r="N2723" s="49"/>
      <c r="O2723" s="49"/>
      <c r="P2723" s="49"/>
      <c r="Q2723" s="49"/>
      <c r="R2723" s="49"/>
      <c r="S2723" s="49"/>
      <c r="T2723" s="49"/>
      <c r="U2723" s="49"/>
      <c r="V2723" s="49"/>
      <c r="W2723" s="56"/>
      <c r="X2723" s="51" t="str">
        <f t="shared" si="5"/>
        <v/>
      </c>
      <c r="Y2723" s="50" t="s">
        <v>482</v>
      </c>
      <c r="Z2723" s="49">
        <f t="shared" si="6"/>
        <v>0</v>
      </c>
    </row>
    <row r="2724" ht="22.5" customHeight="1">
      <c r="B2724" s="57"/>
      <c r="C2724" s="43" t="str">
        <f t="array" ref="C2724">IF(B2724="","",_xlfn.XLOOKUP(B2724,'Form responses 1'!$B$2:$B$2604,'Form responses 1'!$A$2:$A$2604,""))</f>
        <v/>
      </c>
      <c r="D2724" s="44" t="str">
        <f t="shared" si="3"/>
        <v/>
      </c>
      <c r="E2724" s="44" t="str">
        <f t="array" ref="E2724">IF(B2724="","",_xlfn.XLOOKUP(B2724,'Form responses 1'!$B$2:$B$2604,'Form responses 1'!$C$2:$C$2604,""))</f>
        <v/>
      </c>
      <c r="F2724" s="44" t="str">
        <f t="array" ref="F2724">IF(B2724="","",_xlfn.XLOOKUP(B2724,'Form responses 1'!$B$2:$B$2604,'Form responses 1'!$D$2:$D$2604,""))</f>
        <v/>
      </c>
      <c r="G2724" s="44" t="str">
        <f t="array" ref="G2724">IF(B2724="","",_xlfn.XLOOKUP(B2724,'Form responses 1'!$B$2:$B$2604,'Form responses 1'!$E$2:$E$2604,""))</f>
        <v/>
      </c>
      <c r="H2724" s="44" t="str">
        <f t="array" ref="H2724">IF(B2724="","",_xlfn.XLOOKUP(B2724,'Form responses 1'!$B$2:$B$2604,'Form responses 1'!$F$2:$F$2604,""))</f>
        <v/>
      </c>
      <c r="I2724" s="44" t="str">
        <f t="array" ref="I2724">IF(B2724="","",_xlfn.XLOOKUP(B2724,'Form responses 1'!$B$2:$B$2604,'Form responses 1'!$I$2:$I$2604,""))</f>
        <v/>
      </c>
      <c r="J2724" s="44" t="str">
        <f t="array" ref="J2724">IF(B2724="","",_xlfn.XLOOKUP(B2724,'Form responses 1'!$B$2:$B$2604,'Form responses 1'!$G$2:$G$2604,""))</f>
        <v/>
      </c>
      <c r="K2724" s="56"/>
      <c r="L2724" s="58" t="str">
        <f t="shared" si="7"/>
        <v/>
      </c>
      <c r="M2724" s="49"/>
      <c r="N2724" s="49"/>
      <c r="O2724" s="49"/>
      <c r="P2724" s="49"/>
      <c r="Q2724" s="49"/>
      <c r="R2724" s="49"/>
      <c r="S2724" s="49"/>
      <c r="T2724" s="49"/>
      <c r="U2724" s="49"/>
      <c r="V2724" s="49"/>
      <c r="W2724" s="56"/>
      <c r="X2724" s="51" t="str">
        <f t="shared" si="5"/>
        <v/>
      </c>
      <c r="Y2724" s="50" t="s">
        <v>482</v>
      </c>
      <c r="Z2724" s="49">
        <f t="shared" si="6"/>
        <v>0</v>
      </c>
    </row>
    <row r="2725" ht="22.5" customHeight="1">
      <c r="B2725" s="57"/>
      <c r="C2725" s="43" t="str">
        <f t="array" ref="C2725">IF(B2725="","",_xlfn.XLOOKUP(B2725,'Form responses 1'!$B$2:$B$2604,'Form responses 1'!$A$2:$A$2604,""))</f>
        <v/>
      </c>
      <c r="D2725" s="44" t="str">
        <f t="shared" si="3"/>
        <v/>
      </c>
      <c r="E2725" s="44" t="str">
        <f t="array" ref="E2725">IF(B2725="","",_xlfn.XLOOKUP(B2725,'Form responses 1'!$B$2:$B$2604,'Form responses 1'!$C$2:$C$2604,""))</f>
        <v/>
      </c>
      <c r="F2725" s="44" t="str">
        <f t="array" ref="F2725">IF(B2725="","",_xlfn.XLOOKUP(B2725,'Form responses 1'!$B$2:$B$2604,'Form responses 1'!$D$2:$D$2604,""))</f>
        <v/>
      </c>
      <c r="G2725" s="44" t="str">
        <f t="array" ref="G2725">IF(B2725="","",_xlfn.XLOOKUP(B2725,'Form responses 1'!$B$2:$B$2604,'Form responses 1'!$E$2:$E$2604,""))</f>
        <v/>
      </c>
      <c r="H2725" s="44" t="str">
        <f t="array" ref="H2725">IF(B2725="","",_xlfn.XLOOKUP(B2725,'Form responses 1'!$B$2:$B$2604,'Form responses 1'!$F$2:$F$2604,""))</f>
        <v/>
      </c>
      <c r="I2725" s="44" t="str">
        <f t="array" ref="I2725">IF(B2725="","",_xlfn.XLOOKUP(B2725,'Form responses 1'!$B$2:$B$2604,'Form responses 1'!$I$2:$I$2604,""))</f>
        <v/>
      </c>
      <c r="J2725" s="44" t="str">
        <f t="array" ref="J2725">IF(B2725="","",_xlfn.XLOOKUP(B2725,'Form responses 1'!$B$2:$B$2604,'Form responses 1'!$G$2:$G$2604,""))</f>
        <v/>
      </c>
      <c r="K2725" s="56"/>
      <c r="L2725" s="58" t="str">
        <f t="shared" si="7"/>
        <v/>
      </c>
      <c r="M2725" s="49"/>
      <c r="N2725" s="49"/>
      <c r="O2725" s="49"/>
      <c r="P2725" s="49"/>
      <c r="Q2725" s="49"/>
      <c r="R2725" s="49"/>
      <c r="S2725" s="49"/>
      <c r="T2725" s="49"/>
      <c r="U2725" s="49"/>
      <c r="V2725" s="49"/>
      <c r="W2725" s="56"/>
      <c r="X2725" s="51" t="str">
        <f t="shared" si="5"/>
        <v/>
      </c>
      <c r="Y2725" s="50" t="s">
        <v>482</v>
      </c>
      <c r="Z2725" s="49">
        <f t="shared" si="6"/>
        <v>0</v>
      </c>
    </row>
    <row r="2726" ht="22.5" customHeight="1">
      <c r="B2726" s="57"/>
      <c r="C2726" s="43" t="str">
        <f t="array" ref="C2726">IF(B2726="","",_xlfn.XLOOKUP(B2726,'Form responses 1'!$B$2:$B$2604,'Form responses 1'!$A$2:$A$2604,""))</f>
        <v/>
      </c>
      <c r="D2726" s="44" t="str">
        <f t="shared" si="3"/>
        <v/>
      </c>
      <c r="E2726" s="44" t="str">
        <f t="array" ref="E2726">IF(B2726="","",_xlfn.XLOOKUP(B2726,'Form responses 1'!$B$2:$B$2604,'Form responses 1'!$C$2:$C$2604,""))</f>
        <v/>
      </c>
      <c r="F2726" s="44" t="str">
        <f t="array" ref="F2726">IF(B2726="","",_xlfn.XLOOKUP(B2726,'Form responses 1'!$B$2:$B$2604,'Form responses 1'!$D$2:$D$2604,""))</f>
        <v/>
      </c>
      <c r="G2726" s="44" t="str">
        <f t="array" ref="G2726">IF(B2726="","",_xlfn.XLOOKUP(B2726,'Form responses 1'!$B$2:$B$2604,'Form responses 1'!$E$2:$E$2604,""))</f>
        <v/>
      </c>
      <c r="H2726" s="44" t="str">
        <f t="array" ref="H2726">IF(B2726="","",_xlfn.XLOOKUP(B2726,'Form responses 1'!$B$2:$B$2604,'Form responses 1'!$F$2:$F$2604,""))</f>
        <v/>
      </c>
      <c r="I2726" s="44" t="str">
        <f t="array" ref="I2726">IF(B2726="","",_xlfn.XLOOKUP(B2726,'Form responses 1'!$B$2:$B$2604,'Form responses 1'!$I$2:$I$2604,""))</f>
        <v/>
      </c>
      <c r="J2726" s="44" t="str">
        <f t="array" ref="J2726">IF(B2726="","",_xlfn.XLOOKUP(B2726,'Form responses 1'!$B$2:$B$2604,'Form responses 1'!$G$2:$G$2604,""))</f>
        <v/>
      </c>
      <c r="K2726" s="56"/>
      <c r="L2726" s="58" t="str">
        <f t="shared" si="7"/>
        <v/>
      </c>
      <c r="M2726" s="49"/>
      <c r="N2726" s="49"/>
      <c r="O2726" s="49"/>
      <c r="P2726" s="49"/>
      <c r="Q2726" s="49"/>
      <c r="R2726" s="49"/>
      <c r="S2726" s="49"/>
      <c r="T2726" s="49"/>
      <c r="U2726" s="49"/>
      <c r="V2726" s="49"/>
      <c r="W2726" s="56"/>
      <c r="X2726" s="51" t="str">
        <f t="shared" si="5"/>
        <v/>
      </c>
      <c r="Y2726" s="50" t="s">
        <v>482</v>
      </c>
      <c r="Z2726" s="49">
        <f t="shared" si="6"/>
        <v>0</v>
      </c>
    </row>
    <row r="2727" ht="22.5" customHeight="1">
      <c r="B2727" s="57"/>
      <c r="C2727" s="43" t="str">
        <f t="array" ref="C2727">IF(B2727="","",_xlfn.XLOOKUP(B2727,'Form responses 1'!$B$2:$B$2604,'Form responses 1'!$A$2:$A$2604,""))</f>
        <v/>
      </c>
      <c r="D2727" s="44" t="str">
        <f t="shared" si="3"/>
        <v/>
      </c>
      <c r="E2727" s="44" t="str">
        <f t="array" ref="E2727">IF(B2727="","",_xlfn.XLOOKUP(B2727,'Form responses 1'!$B$2:$B$2604,'Form responses 1'!$C$2:$C$2604,""))</f>
        <v/>
      </c>
      <c r="F2727" s="44" t="str">
        <f t="array" ref="F2727">IF(B2727="","",_xlfn.XLOOKUP(B2727,'Form responses 1'!$B$2:$B$2604,'Form responses 1'!$D$2:$D$2604,""))</f>
        <v/>
      </c>
      <c r="G2727" s="44" t="str">
        <f t="array" ref="G2727">IF(B2727="","",_xlfn.XLOOKUP(B2727,'Form responses 1'!$B$2:$B$2604,'Form responses 1'!$E$2:$E$2604,""))</f>
        <v/>
      </c>
      <c r="H2727" s="44" t="str">
        <f t="array" ref="H2727">IF(B2727="","",_xlfn.XLOOKUP(B2727,'Form responses 1'!$B$2:$B$2604,'Form responses 1'!$F$2:$F$2604,""))</f>
        <v/>
      </c>
      <c r="I2727" s="44" t="str">
        <f t="array" ref="I2727">IF(B2727="","",_xlfn.XLOOKUP(B2727,'Form responses 1'!$B$2:$B$2604,'Form responses 1'!$I$2:$I$2604,""))</f>
        <v/>
      </c>
      <c r="J2727" s="44" t="str">
        <f t="array" ref="J2727">IF(B2727="","",_xlfn.XLOOKUP(B2727,'Form responses 1'!$B$2:$B$2604,'Form responses 1'!$G$2:$G$2604,""))</f>
        <v/>
      </c>
      <c r="K2727" s="56"/>
      <c r="L2727" s="58" t="str">
        <f t="shared" si="7"/>
        <v/>
      </c>
      <c r="M2727" s="49"/>
      <c r="N2727" s="49"/>
      <c r="O2727" s="49"/>
      <c r="P2727" s="49"/>
      <c r="Q2727" s="49"/>
      <c r="R2727" s="49"/>
      <c r="S2727" s="49"/>
      <c r="T2727" s="49"/>
      <c r="U2727" s="49"/>
      <c r="V2727" s="49"/>
      <c r="W2727" s="56"/>
      <c r="X2727" s="51" t="str">
        <f t="shared" si="5"/>
        <v/>
      </c>
      <c r="Y2727" s="50" t="s">
        <v>482</v>
      </c>
      <c r="Z2727" s="49">
        <f t="shared" si="6"/>
        <v>0</v>
      </c>
    </row>
    <row r="2728" ht="22.5" customHeight="1">
      <c r="B2728" s="57"/>
      <c r="C2728" s="43" t="str">
        <f t="array" ref="C2728">IF(B2728="","",_xlfn.XLOOKUP(B2728,'Form responses 1'!$B$2:$B$2604,'Form responses 1'!$A$2:$A$2604,""))</f>
        <v/>
      </c>
      <c r="D2728" s="44" t="str">
        <f t="shared" si="3"/>
        <v/>
      </c>
      <c r="E2728" s="44" t="str">
        <f t="array" ref="E2728">IF(B2728="","",_xlfn.XLOOKUP(B2728,'Form responses 1'!$B$2:$B$2604,'Form responses 1'!$C$2:$C$2604,""))</f>
        <v/>
      </c>
      <c r="F2728" s="44" t="str">
        <f t="array" ref="F2728">IF(B2728="","",_xlfn.XLOOKUP(B2728,'Form responses 1'!$B$2:$B$2604,'Form responses 1'!$D$2:$D$2604,""))</f>
        <v/>
      </c>
      <c r="G2728" s="44" t="str">
        <f t="array" ref="G2728">IF(B2728="","",_xlfn.XLOOKUP(B2728,'Form responses 1'!$B$2:$B$2604,'Form responses 1'!$E$2:$E$2604,""))</f>
        <v/>
      </c>
      <c r="H2728" s="44" t="str">
        <f t="array" ref="H2728">IF(B2728="","",_xlfn.XLOOKUP(B2728,'Form responses 1'!$B$2:$B$2604,'Form responses 1'!$F$2:$F$2604,""))</f>
        <v/>
      </c>
      <c r="I2728" s="44" t="str">
        <f t="array" ref="I2728">IF(B2728="","",_xlfn.XLOOKUP(B2728,'Form responses 1'!$B$2:$B$2604,'Form responses 1'!$I$2:$I$2604,""))</f>
        <v/>
      </c>
      <c r="J2728" s="44" t="str">
        <f t="array" ref="J2728">IF(B2728="","",_xlfn.XLOOKUP(B2728,'Form responses 1'!$B$2:$B$2604,'Form responses 1'!$G$2:$G$2604,""))</f>
        <v/>
      </c>
      <c r="K2728" s="56"/>
      <c r="L2728" s="58" t="str">
        <f t="shared" si="7"/>
        <v/>
      </c>
      <c r="M2728" s="49"/>
      <c r="N2728" s="49"/>
      <c r="O2728" s="49"/>
      <c r="P2728" s="49"/>
      <c r="Q2728" s="49"/>
      <c r="R2728" s="49"/>
      <c r="S2728" s="49"/>
      <c r="T2728" s="49"/>
      <c r="U2728" s="49"/>
      <c r="V2728" s="49"/>
      <c r="W2728" s="56"/>
      <c r="X2728" s="51" t="str">
        <f t="shared" si="5"/>
        <v/>
      </c>
      <c r="Y2728" s="50" t="s">
        <v>482</v>
      </c>
      <c r="Z2728" s="49">
        <f t="shared" si="6"/>
        <v>0</v>
      </c>
    </row>
    <row r="2729" ht="22.5" customHeight="1">
      <c r="B2729" s="57"/>
      <c r="C2729" s="43" t="str">
        <f t="array" ref="C2729">IF(B2729="","",_xlfn.XLOOKUP(B2729,'Form responses 1'!$B$2:$B$2604,'Form responses 1'!$A$2:$A$2604,""))</f>
        <v/>
      </c>
      <c r="D2729" s="44" t="str">
        <f t="shared" si="3"/>
        <v/>
      </c>
      <c r="E2729" s="44" t="str">
        <f t="array" ref="E2729">IF(B2729="","",_xlfn.XLOOKUP(B2729,'Form responses 1'!$B$2:$B$2604,'Form responses 1'!$C$2:$C$2604,""))</f>
        <v/>
      </c>
      <c r="F2729" s="44" t="str">
        <f t="array" ref="F2729">IF(B2729="","",_xlfn.XLOOKUP(B2729,'Form responses 1'!$B$2:$B$2604,'Form responses 1'!$D$2:$D$2604,""))</f>
        <v/>
      </c>
      <c r="G2729" s="44" t="str">
        <f t="array" ref="G2729">IF(B2729="","",_xlfn.XLOOKUP(B2729,'Form responses 1'!$B$2:$B$2604,'Form responses 1'!$E$2:$E$2604,""))</f>
        <v/>
      </c>
      <c r="H2729" s="44" t="str">
        <f t="array" ref="H2729">IF(B2729="","",_xlfn.XLOOKUP(B2729,'Form responses 1'!$B$2:$B$2604,'Form responses 1'!$F$2:$F$2604,""))</f>
        <v/>
      </c>
      <c r="I2729" s="44" t="str">
        <f t="array" ref="I2729">IF(B2729="","",_xlfn.XLOOKUP(B2729,'Form responses 1'!$B$2:$B$2604,'Form responses 1'!$I$2:$I$2604,""))</f>
        <v/>
      </c>
      <c r="J2729" s="44" t="str">
        <f t="array" ref="J2729">IF(B2729="","",_xlfn.XLOOKUP(B2729,'Form responses 1'!$B$2:$B$2604,'Form responses 1'!$G$2:$G$2604,""))</f>
        <v/>
      </c>
      <c r="K2729" s="56"/>
      <c r="L2729" s="58" t="str">
        <f t="shared" si="7"/>
        <v/>
      </c>
      <c r="M2729" s="49"/>
      <c r="N2729" s="49"/>
      <c r="O2729" s="49"/>
      <c r="P2729" s="49"/>
      <c r="Q2729" s="49"/>
      <c r="R2729" s="49"/>
      <c r="S2729" s="49"/>
      <c r="T2729" s="49"/>
      <c r="U2729" s="49"/>
      <c r="V2729" s="49"/>
      <c r="W2729" s="56"/>
      <c r="X2729" s="51" t="str">
        <f t="shared" si="5"/>
        <v/>
      </c>
      <c r="Y2729" s="50" t="s">
        <v>482</v>
      </c>
      <c r="Z2729" s="49">
        <f t="shared" si="6"/>
        <v>0</v>
      </c>
    </row>
    <row r="2730" ht="22.5" customHeight="1">
      <c r="B2730" s="57"/>
      <c r="C2730" s="43" t="str">
        <f t="array" ref="C2730">IF(B2730="","",_xlfn.XLOOKUP(B2730,'Form responses 1'!$B$2:$B$2604,'Form responses 1'!$A$2:$A$2604,""))</f>
        <v/>
      </c>
      <c r="D2730" s="44" t="str">
        <f t="shared" si="3"/>
        <v/>
      </c>
      <c r="E2730" s="44" t="str">
        <f t="array" ref="E2730">IF(B2730="","",_xlfn.XLOOKUP(B2730,'Form responses 1'!$B$2:$B$2604,'Form responses 1'!$C$2:$C$2604,""))</f>
        <v/>
      </c>
      <c r="F2730" s="44" t="str">
        <f t="array" ref="F2730">IF(B2730="","",_xlfn.XLOOKUP(B2730,'Form responses 1'!$B$2:$B$2604,'Form responses 1'!$D$2:$D$2604,""))</f>
        <v/>
      </c>
      <c r="G2730" s="44" t="str">
        <f t="array" ref="G2730">IF(B2730="","",_xlfn.XLOOKUP(B2730,'Form responses 1'!$B$2:$B$2604,'Form responses 1'!$E$2:$E$2604,""))</f>
        <v/>
      </c>
      <c r="H2730" s="44" t="str">
        <f t="array" ref="H2730">IF(B2730="","",_xlfn.XLOOKUP(B2730,'Form responses 1'!$B$2:$B$2604,'Form responses 1'!$F$2:$F$2604,""))</f>
        <v/>
      </c>
      <c r="I2730" s="44" t="str">
        <f t="array" ref="I2730">IF(B2730="","",_xlfn.XLOOKUP(B2730,'Form responses 1'!$B$2:$B$2604,'Form responses 1'!$I$2:$I$2604,""))</f>
        <v/>
      </c>
      <c r="J2730" s="44" t="str">
        <f t="array" ref="J2730">IF(B2730="","",_xlfn.XLOOKUP(B2730,'Form responses 1'!$B$2:$B$2604,'Form responses 1'!$G$2:$G$2604,""))</f>
        <v/>
      </c>
      <c r="K2730" s="56"/>
      <c r="L2730" s="58" t="str">
        <f t="shared" si="7"/>
        <v/>
      </c>
      <c r="M2730" s="49"/>
      <c r="N2730" s="49"/>
      <c r="O2730" s="49"/>
      <c r="P2730" s="49"/>
      <c r="Q2730" s="49"/>
      <c r="R2730" s="49"/>
      <c r="S2730" s="49"/>
      <c r="T2730" s="49"/>
      <c r="U2730" s="49"/>
      <c r="V2730" s="49"/>
      <c r="W2730" s="56"/>
      <c r="X2730" s="51" t="str">
        <f t="shared" si="5"/>
        <v/>
      </c>
      <c r="Y2730" s="50" t="s">
        <v>482</v>
      </c>
      <c r="Z2730" s="49">
        <f t="shared" si="6"/>
        <v>0</v>
      </c>
    </row>
    <row r="2731" ht="22.5" customHeight="1">
      <c r="B2731" s="57"/>
      <c r="C2731" s="43" t="str">
        <f t="array" ref="C2731">IF(B2731="","",_xlfn.XLOOKUP(B2731,'Form responses 1'!$B$2:$B$2604,'Form responses 1'!$A$2:$A$2604,""))</f>
        <v/>
      </c>
      <c r="D2731" s="44" t="str">
        <f t="shared" si="3"/>
        <v/>
      </c>
      <c r="E2731" s="44" t="str">
        <f t="array" ref="E2731">IF(B2731="","",_xlfn.XLOOKUP(B2731,'Form responses 1'!$B$2:$B$2604,'Form responses 1'!$C$2:$C$2604,""))</f>
        <v/>
      </c>
      <c r="F2731" s="44" t="str">
        <f t="array" ref="F2731">IF(B2731="","",_xlfn.XLOOKUP(B2731,'Form responses 1'!$B$2:$B$2604,'Form responses 1'!$D$2:$D$2604,""))</f>
        <v/>
      </c>
      <c r="G2731" s="44" t="str">
        <f t="array" ref="G2731">IF(B2731="","",_xlfn.XLOOKUP(B2731,'Form responses 1'!$B$2:$B$2604,'Form responses 1'!$E$2:$E$2604,""))</f>
        <v/>
      </c>
      <c r="H2731" s="44" t="str">
        <f t="array" ref="H2731">IF(B2731="","",_xlfn.XLOOKUP(B2731,'Form responses 1'!$B$2:$B$2604,'Form responses 1'!$F$2:$F$2604,""))</f>
        <v/>
      </c>
      <c r="I2731" s="44" t="str">
        <f t="array" ref="I2731">IF(B2731="","",_xlfn.XLOOKUP(B2731,'Form responses 1'!$B$2:$B$2604,'Form responses 1'!$I$2:$I$2604,""))</f>
        <v/>
      </c>
      <c r="J2731" s="44" t="str">
        <f t="array" ref="J2731">IF(B2731="","",_xlfn.XLOOKUP(B2731,'Form responses 1'!$B$2:$B$2604,'Form responses 1'!$G$2:$G$2604,""))</f>
        <v/>
      </c>
      <c r="K2731" s="56"/>
      <c r="L2731" s="58" t="str">
        <f t="shared" si="7"/>
        <v/>
      </c>
      <c r="M2731" s="49"/>
      <c r="N2731" s="49"/>
      <c r="O2731" s="49"/>
      <c r="P2731" s="49"/>
      <c r="Q2731" s="49"/>
      <c r="R2731" s="49"/>
      <c r="S2731" s="49"/>
      <c r="T2731" s="49"/>
      <c r="U2731" s="49"/>
      <c r="V2731" s="49"/>
      <c r="W2731" s="56"/>
      <c r="X2731" s="51" t="str">
        <f t="shared" si="5"/>
        <v/>
      </c>
      <c r="Y2731" s="50" t="s">
        <v>482</v>
      </c>
      <c r="Z2731" s="49">
        <f t="shared" si="6"/>
        <v>0</v>
      </c>
    </row>
    <row r="2732" ht="22.5" customHeight="1">
      <c r="B2732" s="57"/>
      <c r="C2732" s="43" t="str">
        <f t="array" ref="C2732">IF(B2732="","",_xlfn.XLOOKUP(B2732,'Form responses 1'!$B$2:$B$2604,'Form responses 1'!$A$2:$A$2604,""))</f>
        <v/>
      </c>
      <c r="D2732" s="44" t="str">
        <f t="shared" si="3"/>
        <v/>
      </c>
      <c r="E2732" s="44" t="str">
        <f t="array" ref="E2732">IF(B2732="","",_xlfn.XLOOKUP(B2732,'Form responses 1'!$B$2:$B$2604,'Form responses 1'!$C$2:$C$2604,""))</f>
        <v/>
      </c>
      <c r="F2732" s="44" t="str">
        <f t="array" ref="F2732">IF(B2732="","",_xlfn.XLOOKUP(B2732,'Form responses 1'!$B$2:$B$2604,'Form responses 1'!$D$2:$D$2604,""))</f>
        <v/>
      </c>
      <c r="G2732" s="44" t="str">
        <f t="array" ref="G2732">IF(B2732="","",_xlfn.XLOOKUP(B2732,'Form responses 1'!$B$2:$B$2604,'Form responses 1'!$E$2:$E$2604,""))</f>
        <v/>
      </c>
      <c r="H2732" s="44" t="str">
        <f t="array" ref="H2732">IF(B2732="","",_xlfn.XLOOKUP(B2732,'Form responses 1'!$B$2:$B$2604,'Form responses 1'!$F$2:$F$2604,""))</f>
        <v/>
      </c>
      <c r="I2732" s="44" t="str">
        <f t="array" ref="I2732">IF(B2732="","",_xlfn.XLOOKUP(B2732,'Form responses 1'!$B$2:$B$2604,'Form responses 1'!$I$2:$I$2604,""))</f>
        <v/>
      </c>
      <c r="J2732" s="44" t="str">
        <f t="array" ref="J2732">IF(B2732="","",_xlfn.XLOOKUP(B2732,'Form responses 1'!$B$2:$B$2604,'Form responses 1'!$G$2:$G$2604,""))</f>
        <v/>
      </c>
      <c r="K2732" s="56"/>
      <c r="L2732" s="58" t="str">
        <f t="shared" si="7"/>
        <v/>
      </c>
      <c r="M2732" s="49"/>
      <c r="N2732" s="49"/>
      <c r="O2732" s="49"/>
      <c r="P2732" s="49"/>
      <c r="Q2732" s="49"/>
      <c r="R2732" s="49"/>
      <c r="S2732" s="49"/>
      <c r="T2732" s="49"/>
      <c r="U2732" s="49"/>
      <c r="V2732" s="49"/>
      <c r="W2732" s="56"/>
      <c r="X2732" s="51" t="str">
        <f t="shared" si="5"/>
        <v/>
      </c>
      <c r="Y2732" s="50" t="s">
        <v>482</v>
      </c>
      <c r="Z2732" s="49">
        <f t="shared" si="6"/>
        <v>0</v>
      </c>
    </row>
    <row r="2733" ht="22.5" customHeight="1">
      <c r="B2733" s="57"/>
      <c r="C2733" s="43" t="str">
        <f t="array" ref="C2733">IF(B2733="","",_xlfn.XLOOKUP(B2733,'Form responses 1'!$B$2:$B$2604,'Form responses 1'!$A$2:$A$2604,""))</f>
        <v/>
      </c>
      <c r="D2733" s="44" t="str">
        <f t="shared" si="3"/>
        <v/>
      </c>
      <c r="E2733" s="44" t="str">
        <f t="array" ref="E2733">IF(B2733="","",_xlfn.XLOOKUP(B2733,'Form responses 1'!$B$2:$B$2604,'Form responses 1'!$C$2:$C$2604,""))</f>
        <v/>
      </c>
      <c r="F2733" s="44" t="str">
        <f t="array" ref="F2733">IF(B2733="","",_xlfn.XLOOKUP(B2733,'Form responses 1'!$B$2:$B$2604,'Form responses 1'!$D$2:$D$2604,""))</f>
        <v/>
      </c>
      <c r="G2733" s="44" t="str">
        <f t="array" ref="G2733">IF(B2733="","",_xlfn.XLOOKUP(B2733,'Form responses 1'!$B$2:$B$2604,'Form responses 1'!$E$2:$E$2604,""))</f>
        <v/>
      </c>
      <c r="H2733" s="44" t="str">
        <f t="array" ref="H2733">IF(B2733="","",_xlfn.XLOOKUP(B2733,'Form responses 1'!$B$2:$B$2604,'Form responses 1'!$F$2:$F$2604,""))</f>
        <v/>
      </c>
      <c r="I2733" s="44" t="str">
        <f t="array" ref="I2733">IF(B2733="","",_xlfn.XLOOKUP(B2733,'Form responses 1'!$B$2:$B$2604,'Form responses 1'!$I$2:$I$2604,""))</f>
        <v/>
      </c>
      <c r="J2733" s="44" t="str">
        <f t="array" ref="J2733">IF(B2733="","",_xlfn.XLOOKUP(B2733,'Form responses 1'!$B$2:$B$2604,'Form responses 1'!$G$2:$G$2604,""))</f>
        <v/>
      </c>
      <c r="K2733" s="56"/>
      <c r="L2733" s="58" t="str">
        <f t="shared" si="7"/>
        <v/>
      </c>
      <c r="M2733" s="49"/>
      <c r="N2733" s="49"/>
      <c r="O2733" s="49"/>
      <c r="P2733" s="49"/>
      <c r="Q2733" s="49"/>
      <c r="R2733" s="49"/>
      <c r="S2733" s="49"/>
      <c r="T2733" s="49"/>
      <c r="U2733" s="49"/>
      <c r="V2733" s="49"/>
      <c r="W2733" s="56"/>
      <c r="X2733" s="51" t="str">
        <f t="shared" si="5"/>
        <v/>
      </c>
      <c r="Y2733" s="50" t="s">
        <v>482</v>
      </c>
      <c r="Z2733" s="49">
        <f t="shared" si="6"/>
        <v>0</v>
      </c>
    </row>
    <row r="2734" ht="22.5" customHeight="1">
      <c r="B2734" s="57"/>
      <c r="C2734" s="43" t="str">
        <f t="array" ref="C2734">IF(B2734="","",_xlfn.XLOOKUP(B2734,'Form responses 1'!$B$2:$B$2604,'Form responses 1'!$A$2:$A$2604,""))</f>
        <v/>
      </c>
      <c r="D2734" s="44" t="str">
        <f t="shared" si="3"/>
        <v/>
      </c>
      <c r="E2734" s="44" t="str">
        <f t="array" ref="E2734">IF(B2734="","",_xlfn.XLOOKUP(B2734,'Form responses 1'!$B$2:$B$2604,'Form responses 1'!$C$2:$C$2604,""))</f>
        <v/>
      </c>
      <c r="F2734" s="44" t="str">
        <f t="array" ref="F2734">IF(B2734="","",_xlfn.XLOOKUP(B2734,'Form responses 1'!$B$2:$B$2604,'Form responses 1'!$D$2:$D$2604,""))</f>
        <v/>
      </c>
      <c r="G2734" s="44" t="str">
        <f t="array" ref="G2734">IF(B2734="","",_xlfn.XLOOKUP(B2734,'Form responses 1'!$B$2:$B$2604,'Form responses 1'!$E$2:$E$2604,""))</f>
        <v/>
      </c>
      <c r="H2734" s="44" t="str">
        <f t="array" ref="H2734">IF(B2734="","",_xlfn.XLOOKUP(B2734,'Form responses 1'!$B$2:$B$2604,'Form responses 1'!$F$2:$F$2604,""))</f>
        <v/>
      </c>
      <c r="I2734" s="44" t="str">
        <f t="array" ref="I2734">IF(B2734="","",_xlfn.XLOOKUP(B2734,'Form responses 1'!$B$2:$B$2604,'Form responses 1'!$I$2:$I$2604,""))</f>
        <v/>
      </c>
      <c r="J2734" s="44" t="str">
        <f t="array" ref="J2734">IF(B2734="","",_xlfn.XLOOKUP(B2734,'Form responses 1'!$B$2:$B$2604,'Form responses 1'!$G$2:$G$2604,""))</f>
        <v/>
      </c>
      <c r="K2734" s="56"/>
      <c r="L2734" s="58" t="str">
        <f t="shared" si="7"/>
        <v/>
      </c>
      <c r="M2734" s="49"/>
      <c r="N2734" s="49"/>
      <c r="O2734" s="49"/>
      <c r="P2734" s="49"/>
      <c r="Q2734" s="49"/>
      <c r="R2734" s="49"/>
      <c r="S2734" s="49"/>
      <c r="T2734" s="49"/>
      <c r="U2734" s="49"/>
      <c r="V2734" s="49"/>
      <c r="W2734" s="56"/>
      <c r="X2734" s="51" t="str">
        <f t="shared" si="5"/>
        <v/>
      </c>
      <c r="Y2734" s="50" t="s">
        <v>482</v>
      </c>
      <c r="Z2734" s="49">
        <f t="shared" si="6"/>
        <v>0</v>
      </c>
    </row>
    <row r="2735" ht="22.5" customHeight="1">
      <c r="B2735" s="57"/>
      <c r="C2735" s="43" t="str">
        <f t="array" ref="C2735">IF(B2735="","",_xlfn.XLOOKUP(B2735,'Form responses 1'!$B$2:$B$2604,'Form responses 1'!$A$2:$A$2604,""))</f>
        <v/>
      </c>
      <c r="D2735" s="44" t="str">
        <f t="shared" si="3"/>
        <v/>
      </c>
      <c r="E2735" s="44" t="str">
        <f t="array" ref="E2735">IF(B2735="","",_xlfn.XLOOKUP(B2735,'Form responses 1'!$B$2:$B$2604,'Form responses 1'!$C$2:$C$2604,""))</f>
        <v/>
      </c>
      <c r="F2735" s="44" t="str">
        <f t="array" ref="F2735">IF(B2735="","",_xlfn.XLOOKUP(B2735,'Form responses 1'!$B$2:$B$2604,'Form responses 1'!$D$2:$D$2604,""))</f>
        <v/>
      </c>
      <c r="G2735" s="44" t="str">
        <f t="array" ref="G2735">IF(B2735="","",_xlfn.XLOOKUP(B2735,'Form responses 1'!$B$2:$B$2604,'Form responses 1'!$E$2:$E$2604,""))</f>
        <v/>
      </c>
      <c r="H2735" s="44" t="str">
        <f t="array" ref="H2735">IF(B2735="","",_xlfn.XLOOKUP(B2735,'Form responses 1'!$B$2:$B$2604,'Form responses 1'!$F$2:$F$2604,""))</f>
        <v/>
      </c>
      <c r="I2735" s="44" t="str">
        <f t="array" ref="I2735">IF(B2735="","",_xlfn.XLOOKUP(B2735,'Form responses 1'!$B$2:$B$2604,'Form responses 1'!$I$2:$I$2604,""))</f>
        <v/>
      </c>
      <c r="J2735" s="44" t="str">
        <f t="array" ref="J2735">IF(B2735="","",_xlfn.XLOOKUP(B2735,'Form responses 1'!$B$2:$B$2604,'Form responses 1'!$G$2:$G$2604,""))</f>
        <v/>
      </c>
      <c r="K2735" s="56"/>
      <c r="L2735" s="58" t="str">
        <f t="shared" si="7"/>
        <v/>
      </c>
      <c r="M2735" s="49"/>
      <c r="N2735" s="49"/>
      <c r="O2735" s="49"/>
      <c r="P2735" s="49"/>
      <c r="Q2735" s="49"/>
      <c r="R2735" s="49"/>
      <c r="S2735" s="49"/>
      <c r="T2735" s="49"/>
      <c r="U2735" s="49"/>
      <c r="V2735" s="49"/>
      <c r="W2735" s="56"/>
      <c r="X2735" s="51" t="str">
        <f t="shared" si="5"/>
        <v/>
      </c>
      <c r="Y2735" s="50" t="s">
        <v>482</v>
      </c>
      <c r="Z2735" s="49">
        <f t="shared" si="6"/>
        <v>0</v>
      </c>
    </row>
    <row r="2736" ht="22.5" customHeight="1">
      <c r="B2736" s="57"/>
      <c r="C2736" s="43" t="str">
        <f t="array" ref="C2736">IF(B2736="","",_xlfn.XLOOKUP(B2736,'Form responses 1'!$B$2:$B$2604,'Form responses 1'!$A$2:$A$2604,""))</f>
        <v/>
      </c>
      <c r="D2736" s="44" t="str">
        <f t="shared" si="3"/>
        <v/>
      </c>
      <c r="E2736" s="44" t="str">
        <f t="array" ref="E2736">IF(B2736="","",_xlfn.XLOOKUP(B2736,'Form responses 1'!$B$2:$B$2604,'Form responses 1'!$C$2:$C$2604,""))</f>
        <v/>
      </c>
      <c r="F2736" s="44" t="str">
        <f t="array" ref="F2736">IF(B2736="","",_xlfn.XLOOKUP(B2736,'Form responses 1'!$B$2:$B$2604,'Form responses 1'!$D$2:$D$2604,""))</f>
        <v/>
      </c>
      <c r="G2736" s="44" t="str">
        <f t="array" ref="G2736">IF(B2736="","",_xlfn.XLOOKUP(B2736,'Form responses 1'!$B$2:$B$2604,'Form responses 1'!$E$2:$E$2604,""))</f>
        <v/>
      </c>
      <c r="H2736" s="44" t="str">
        <f t="array" ref="H2736">IF(B2736="","",_xlfn.XLOOKUP(B2736,'Form responses 1'!$B$2:$B$2604,'Form responses 1'!$F$2:$F$2604,""))</f>
        <v/>
      </c>
      <c r="I2736" s="44" t="str">
        <f t="array" ref="I2736">IF(B2736="","",_xlfn.XLOOKUP(B2736,'Form responses 1'!$B$2:$B$2604,'Form responses 1'!$I$2:$I$2604,""))</f>
        <v/>
      </c>
      <c r="J2736" s="44" t="str">
        <f t="array" ref="J2736">IF(B2736="","",_xlfn.XLOOKUP(B2736,'Form responses 1'!$B$2:$B$2604,'Form responses 1'!$G$2:$G$2604,""))</f>
        <v/>
      </c>
      <c r="K2736" s="56"/>
      <c r="L2736" s="58" t="str">
        <f t="shared" si="7"/>
        <v/>
      </c>
      <c r="M2736" s="49"/>
      <c r="N2736" s="49"/>
      <c r="O2736" s="49"/>
      <c r="P2736" s="49"/>
      <c r="Q2736" s="49"/>
      <c r="R2736" s="49"/>
      <c r="S2736" s="49"/>
      <c r="T2736" s="49"/>
      <c r="U2736" s="49"/>
      <c r="V2736" s="49"/>
      <c r="W2736" s="56"/>
      <c r="X2736" s="51" t="str">
        <f t="shared" si="5"/>
        <v/>
      </c>
      <c r="Y2736" s="50" t="s">
        <v>482</v>
      </c>
      <c r="Z2736" s="49">
        <f t="shared" si="6"/>
        <v>0</v>
      </c>
    </row>
    <row r="2737" ht="22.5" customHeight="1">
      <c r="B2737" s="57"/>
      <c r="C2737" s="43" t="str">
        <f t="array" ref="C2737">IF(B2737="","",_xlfn.XLOOKUP(B2737,'Form responses 1'!$B$2:$B$2604,'Form responses 1'!$A$2:$A$2604,""))</f>
        <v/>
      </c>
      <c r="D2737" s="44" t="str">
        <f t="shared" si="3"/>
        <v/>
      </c>
      <c r="E2737" s="44" t="str">
        <f t="array" ref="E2737">IF(B2737="","",_xlfn.XLOOKUP(B2737,'Form responses 1'!$B$2:$B$2604,'Form responses 1'!$C$2:$C$2604,""))</f>
        <v/>
      </c>
      <c r="F2737" s="44" t="str">
        <f t="array" ref="F2737">IF(B2737="","",_xlfn.XLOOKUP(B2737,'Form responses 1'!$B$2:$B$2604,'Form responses 1'!$D$2:$D$2604,""))</f>
        <v/>
      </c>
      <c r="G2737" s="44" t="str">
        <f t="array" ref="G2737">IF(B2737="","",_xlfn.XLOOKUP(B2737,'Form responses 1'!$B$2:$B$2604,'Form responses 1'!$E$2:$E$2604,""))</f>
        <v/>
      </c>
      <c r="H2737" s="44" t="str">
        <f t="array" ref="H2737">IF(B2737="","",_xlfn.XLOOKUP(B2737,'Form responses 1'!$B$2:$B$2604,'Form responses 1'!$F$2:$F$2604,""))</f>
        <v/>
      </c>
      <c r="I2737" s="44" t="str">
        <f t="array" ref="I2737">IF(B2737="","",_xlfn.XLOOKUP(B2737,'Form responses 1'!$B$2:$B$2604,'Form responses 1'!$I$2:$I$2604,""))</f>
        <v/>
      </c>
      <c r="J2737" s="44" t="str">
        <f t="array" ref="J2737">IF(B2737="","",_xlfn.XLOOKUP(B2737,'Form responses 1'!$B$2:$B$2604,'Form responses 1'!$G$2:$G$2604,""))</f>
        <v/>
      </c>
      <c r="K2737" s="56"/>
      <c r="L2737" s="58" t="str">
        <f t="shared" si="7"/>
        <v/>
      </c>
      <c r="M2737" s="49"/>
      <c r="N2737" s="49"/>
      <c r="O2737" s="49"/>
      <c r="P2737" s="49"/>
      <c r="Q2737" s="49"/>
      <c r="R2737" s="49"/>
      <c r="S2737" s="49"/>
      <c r="T2737" s="49"/>
      <c r="U2737" s="49"/>
      <c r="V2737" s="49"/>
      <c r="W2737" s="56"/>
      <c r="X2737" s="51" t="str">
        <f t="shared" si="5"/>
        <v/>
      </c>
      <c r="Y2737" s="50" t="s">
        <v>482</v>
      </c>
      <c r="Z2737" s="49">
        <f t="shared" si="6"/>
        <v>0</v>
      </c>
    </row>
    <row r="2738" ht="22.5" customHeight="1">
      <c r="B2738" s="57"/>
      <c r="C2738" s="43" t="str">
        <f t="array" ref="C2738">IF(B2738="","",_xlfn.XLOOKUP(B2738,'Form responses 1'!$B$2:$B$2604,'Form responses 1'!$A$2:$A$2604,""))</f>
        <v/>
      </c>
      <c r="D2738" s="44" t="str">
        <f t="shared" si="3"/>
        <v/>
      </c>
      <c r="E2738" s="44" t="str">
        <f t="array" ref="E2738">IF(B2738="","",_xlfn.XLOOKUP(B2738,'Form responses 1'!$B$2:$B$2604,'Form responses 1'!$C$2:$C$2604,""))</f>
        <v/>
      </c>
      <c r="F2738" s="44" t="str">
        <f t="array" ref="F2738">IF(B2738="","",_xlfn.XLOOKUP(B2738,'Form responses 1'!$B$2:$B$2604,'Form responses 1'!$D$2:$D$2604,""))</f>
        <v/>
      </c>
      <c r="G2738" s="44" t="str">
        <f t="array" ref="G2738">IF(B2738="","",_xlfn.XLOOKUP(B2738,'Form responses 1'!$B$2:$B$2604,'Form responses 1'!$E$2:$E$2604,""))</f>
        <v/>
      </c>
      <c r="H2738" s="44" t="str">
        <f t="array" ref="H2738">IF(B2738="","",_xlfn.XLOOKUP(B2738,'Form responses 1'!$B$2:$B$2604,'Form responses 1'!$F$2:$F$2604,""))</f>
        <v/>
      </c>
      <c r="I2738" s="44" t="str">
        <f t="array" ref="I2738">IF(B2738="","",_xlfn.XLOOKUP(B2738,'Form responses 1'!$B$2:$B$2604,'Form responses 1'!$I$2:$I$2604,""))</f>
        <v/>
      </c>
      <c r="J2738" s="44" t="str">
        <f t="array" ref="J2738">IF(B2738="","",_xlfn.XLOOKUP(B2738,'Form responses 1'!$B$2:$B$2604,'Form responses 1'!$G$2:$G$2604,""))</f>
        <v/>
      </c>
      <c r="K2738" s="56"/>
      <c r="L2738" s="58" t="str">
        <f t="shared" si="7"/>
        <v/>
      </c>
      <c r="M2738" s="49"/>
      <c r="N2738" s="49"/>
      <c r="O2738" s="49"/>
      <c r="P2738" s="49"/>
      <c r="Q2738" s="49"/>
      <c r="R2738" s="49"/>
      <c r="S2738" s="49"/>
      <c r="T2738" s="49"/>
      <c r="U2738" s="49"/>
      <c r="V2738" s="49"/>
      <c r="W2738" s="56"/>
      <c r="X2738" s="51" t="str">
        <f t="shared" si="5"/>
        <v/>
      </c>
      <c r="Y2738" s="50" t="s">
        <v>482</v>
      </c>
      <c r="Z2738" s="49">
        <f t="shared" si="6"/>
        <v>0</v>
      </c>
    </row>
    <row r="2739" ht="22.5" customHeight="1">
      <c r="B2739" s="57"/>
      <c r="C2739" s="43" t="str">
        <f t="array" ref="C2739">IF(B2739="","",_xlfn.XLOOKUP(B2739,'Form responses 1'!$B$2:$B$2604,'Form responses 1'!$A$2:$A$2604,""))</f>
        <v/>
      </c>
      <c r="D2739" s="44" t="str">
        <f t="shared" si="3"/>
        <v/>
      </c>
      <c r="E2739" s="44" t="str">
        <f t="array" ref="E2739">IF(B2739="","",_xlfn.XLOOKUP(B2739,'Form responses 1'!$B$2:$B$2604,'Form responses 1'!$C$2:$C$2604,""))</f>
        <v/>
      </c>
      <c r="F2739" s="44" t="str">
        <f t="array" ref="F2739">IF(B2739="","",_xlfn.XLOOKUP(B2739,'Form responses 1'!$B$2:$B$2604,'Form responses 1'!$D$2:$D$2604,""))</f>
        <v/>
      </c>
      <c r="G2739" s="44" t="str">
        <f t="array" ref="G2739">IF(B2739="","",_xlfn.XLOOKUP(B2739,'Form responses 1'!$B$2:$B$2604,'Form responses 1'!$E$2:$E$2604,""))</f>
        <v/>
      </c>
      <c r="H2739" s="44" t="str">
        <f t="array" ref="H2739">IF(B2739="","",_xlfn.XLOOKUP(B2739,'Form responses 1'!$B$2:$B$2604,'Form responses 1'!$F$2:$F$2604,""))</f>
        <v/>
      </c>
      <c r="I2739" s="44" t="str">
        <f t="array" ref="I2739">IF(B2739="","",_xlfn.XLOOKUP(B2739,'Form responses 1'!$B$2:$B$2604,'Form responses 1'!$I$2:$I$2604,""))</f>
        <v/>
      </c>
      <c r="J2739" s="44" t="str">
        <f t="array" ref="J2739">IF(B2739="","",_xlfn.XLOOKUP(B2739,'Form responses 1'!$B$2:$B$2604,'Form responses 1'!$G$2:$G$2604,""))</f>
        <v/>
      </c>
      <c r="K2739" s="56"/>
      <c r="L2739" s="58" t="str">
        <f t="shared" si="7"/>
        <v/>
      </c>
      <c r="M2739" s="49"/>
      <c r="N2739" s="49"/>
      <c r="O2739" s="49"/>
      <c r="P2739" s="49"/>
      <c r="Q2739" s="49"/>
      <c r="R2739" s="49"/>
      <c r="S2739" s="49"/>
      <c r="T2739" s="49"/>
      <c r="U2739" s="49"/>
      <c r="V2739" s="49"/>
      <c r="W2739" s="56"/>
      <c r="X2739" s="51" t="str">
        <f t="shared" si="5"/>
        <v/>
      </c>
      <c r="Y2739" s="50" t="s">
        <v>482</v>
      </c>
      <c r="Z2739" s="49">
        <f t="shared" si="6"/>
        <v>0</v>
      </c>
    </row>
    <row r="2740" ht="22.5" customHeight="1">
      <c r="B2740" s="57"/>
      <c r="C2740" s="43" t="str">
        <f t="array" ref="C2740">IF(B2740="","",_xlfn.XLOOKUP(B2740,'Form responses 1'!$B$2:$B$2604,'Form responses 1'!$A$2:$A$2604,""))</f>
        <v/>
      </c>
      <c r="D2740" s="44" t="str">
        <f t="shared" si="3"/>
        <v/>
      </c>
      <c r="E2740" s="44" t="str">
        <f t="array" ref="E2740">IF(B2740="","",_xlfn.XLOOKUP(B2740,'Form responses 1'!$B$2:$B$2604,'Form responses 1'!$C$2:$C$2604,""))</f>
        <v/>
      </c>
      <c r="F2740" s="44" t="str">
        <f t="array" ref="F2740">IF(B2740="","",_xlfn.XLOOKUP(B2740,'Form responses 1'!$B$2:$B$2604,'Form responses 1'!$D$2:$D$2604,""))</f>
        <v/>
      </c>
      <c r="G2740" s="44" t="str">
        <f t="array" ref="G2740">IF(B2740="","",_xlfn.XLOOKUP(B2740,'Form responses 1'!$B$2:$B$2604,'Form responses 1'!$E$2:$E$2604,""))</f>
        <v/>
      </c>
      <c r="H2740" s="44" t="str">
        <f t="array" ref="H2740">IF(B2740="","",_xlfn.XLOOKUP(B2740,'Form responses 1'!$B$2:$B$2604,'Form responses 1'!$F$2:$F$2604,""))</f>
        <v/>
      </c>
      <c r="I2740" s="44" t="str">
        <f t="array" ref="I2740">IF(B2740="","",_xlfn.XLOOKUP(B2740,'Form responses 1'!$B$2:$B$2604,'Form responses 1'!$I$2:$I$2604,""))</f>
        <v/>
      </c>
      <c r="J2740" s="44" t="str">
        <f t="array" ref="J2740">IF(B2740="","",_xlfn.XLOOKUP(B2740,'Form responses 1'!$B$2:$B$2604,'Form responses 1'!$G$2:$G$2604,""))</f>
        <v/>
      </c>
      <c r="K2740" s="56"/>
      <c r="L2740" s="58" t="str">
        <f t="shared" si="7"/>
        <v/>
      </c>
      <c r="M2740" s="49"/>
      <c r="N2740" s="49"/>
      <c r="O2740" s="49"/>
      <c r="P2740" s="49"/>
      <c r="Q2740" s="49"/>
      <c r="R2740" s="49"/>
      <c r="S2740" s="49"/>
      <c r="T2740" s="49"/>
      <c r="U2740" s="49"/>
      <c r="V2740" s="49"/>
      <c r="W2740" s="56"/>
      <c r="X2740" s="51" t="str">
        <f t="shared" si="5"/>
        <v/>
      </c>
      <c r="Y2740" s="50" t="s">
        <v>482</v>
      </c>
      <c r="Z2740" s="49">
        <f t="shared" si="6"/>
        <v>0</v>
      </c>
    </row>
    <row r="2741" ht="22.5" customHeight="1">
      <c r="B2741" s="57"/>
      <c r="C2741" s="43" t="str">
        <f t="array" ref="C2741">IF(B2741="","",_xlfn.XLOOKUP(B2741,'Form responses 1'!$B$2:$B$2604,'Form responses 1'!$A$2:$A$2604,""))</f>
        <v/>
      </c>
      <c r="D2741" s="44" t="str">
        <f t="shared" si="3"/>
        <v/>
      </c>
      <c r="E2741" s="44" t="str">
        <f t="array" ref="E2741">IF(B2741="","",_xlfn.XLOOKUP(B2741,'Form responses 1'!$B$2:$B$2604,'Form responses 1'!$C$2:$C$2604,""))</f>
        <v/>
      </c>
      <c r="F2741" s="44" t="str">
        <f t="array" ref="F2741">IF(B2741="","",_xlfn.XLOOKUP(B2741,'Form responses 1'!$B$2:$B$2604,'Form responses 1'!$D$2:$D$2604,""))</f>
        <v/>
      </c>
      <c r="G2741" s="44" t="str">
        <f t="array" ref="G2741">IF(B2741="","",_xlfn.XLOOKUP(B2741,'Form responses 1'!$B$2:$B$2604,'Form responses 1'!$E$2:$E$2604,""))</f>
        <v/>
      </c>
      <c r="H2741" s="44" t="str">
        <f t="array" ref="H2741">IF(B2741="","",_xlfn.XLOOKUP(B2741,'Form responses 1'!$B$2:$B$2604,'Form responses 1'!$F$2:$F$2604,""))</f>
        <v/>
      </c>
      <c r="I2741" s="44" t="str">
        <f t="array" ref="I2741">IF(B2741="","",_xlfn.XLOOKUP(B2741,'Form responses 1'!$B$2:$B$2604,'Form responses 1'!$I$2:$I$2604,""))</f>
        <v/>
      </c>
      <c r="J2741" s="44" t="str">
        <f t="array" ref="J2741">IF(B2741="","",_xlfn.XLOOKUP(B2741,'Form responses 1'!$B$2:$B$2604,'Form responses 1'!$G$2:$G$2604,""))</f>
        <v/>
      </c>
      <c r="K2741" s="56"/>
      <c r="L2741" s="58" t="str">
        <f t="shared" si="7"/>
        <v/>
      </c>
      <c r="M2741" s="49"/>
      <c r="N2741" s="49"/>
      <c r="O2741" s="49"/>
      <c r="P2741" s="49"/>
      <c r="Q2741" s="49"/>
      <c r="R2741" s="49"/>
      <c r="S2741" s="49"/>
      <c r="T2741" s="49"/>
      <c r="U2741" s="49"/>
      <c r="V2741" s="49"/>
      <c r="W2741" s="56"/>
      <c r="X2741" s="51" t="str">
        <f t="shared" si="5"/>
        <v/>
      </c>
      <c r="Y2741" s="50" t="s">
        <v>482</v>
      </c>
      <c r="Z2741" s="49">
        <f t="shared" si="6"/>
        <v>0</v>
      </c>
    </row>
    <row r="2742" ht="22.5" customHeight="1">
      <c r="B2742" s="57"/>
      <c r="C2742" s="43" t="str">
        <f t="array" ref="C2742">IF(B2742="","",_xlfn.XLOOKUP(B2742,'Form responses 1'!$B$2:$B$2604,'Form responses 1'!$A$2:$A$2604,""))</f>
        <v/>
      </c>
      <c r="D2742" s="44" t="str">
        <f t="shared" si="3"/>
        <v/>
      </c>
      <c r="E2742" s="44" t="str">
        <f t="array" ref="E2742">IF(B2742="","",_xlfn.XLOOKUP(B2742,'Form responses 1'!$B$2:$B$2604,'Form responses 1'!$C$2:$C$2604,""))</f>
        <v/>
      </c>
      <c r="F2742" s="44" t="str">
        <f t="array" ref="F2742">IF(B2742="","",_xlfn.XLOOKUP(B2742,'Form responses 1'!$B$2:$B$2604,'Form responses 1'!$D$2:$D$2604,""))</f>
        <v/>
      </c>
      <c r="G2742" s="44" t="str">
        <f t="array" ref="G2742">IF(B2742="","",_xlfn.XLOOKUP(B2742,'Form responses 1'!$B$2:$B$2604,'Form responses 1'!$E$2:$E$2604,""))</f>
        <v/>
      </c>
      <c r="H2742" s="44" t="str">
        <f t="array" ref="H2742">IF(B2742="","",_xlfn.XLOOKUP(B2742,'Form responses 1'!$B$2:$B$2604,'Form responses 1'!$F$2:$F$2604,""))</f>
        <v/>
      </c>
      <c r="I2742" s="44" t="str">
        <f t="array" ref="I2742">IF(B2742="","",_xlfn.XLOOKUP(B2742,'Form responses 1'!$B$2:$B$2604,'Form responses 1'!$I$2:$I$2604,""))</f>
        <v/>
      </c>
      <c r="J2742" s="44" t="str">
        <f t="array" ref="J2742">IF(B2742="","",_xlfn.XLOOKUP(B2742,'Form responses 1'!$B$2:$B$2604,'Form responses 1'!$G$2:$G$2604,""))</f>
        <v/>
      </c>
      <c r="K2742" s="56"/>
      <c r="L2742" s="58" t="str">
        <f t="shared" si="7"/>
        <v/>
      </c>
      <c r="M2742" s="49"/>
      <c r="N2742" s="49"/>
      <c r="O2742" s="49"/>
      <c r="P2742" s="49"/>
      <c r="Q2742" s="49"/>
      <c r="R2742" s="49"/>
      <c r="S2742" s="49"/>
      <c r="T2742" s="49"/>
      <c r="U2742" s="49"/>
      <c r="V2742" s="49"/>
      <c r="W2742" s="56"/>
      <c r="X2742" s="51" t="str">
        <f t="shared" si="5"/>
        <v/>
      </c>
      <c r="Y2742" s="50" t="s">
        <v>482</v>
      </c>
      <c r="Z2742" s="49">
        <f t="shared" si="6"/>
        <v>0</v>
      </c>
    </row>
    <row r="2743" ht="22.5" customHeight="1">
      <c r="B2743" s="57"/>
      <c r="C2743" s="43" t="str">
        <f t="array" ref="C2743">IF(B2743="","",_xlfn.XLOOKUP(B2743,'Form responses 1'!$B$2:$B$2604,'Form responses 1'!$A$2:$A$2604,""))</f>
        <v/>
      </c>
      <c r="D2743" s="44" t="str">
        <f t="shared" si="3"/>
        <v/>
      </c>
      <c r="E2743" s="44" t="str">
        <f t="array" ref="E2743">IF(B2743="","",_xlfn.XLOOKUP(B2743,'Form responses 1'!$B$2:$B$2604,'Form responses 1'!$C$2:$C$2604,""))</f>
        <v/>
      </c>
      <c r="F2743" s="44" t="str">
        <f t="array" ref="F2743">IF(B2743="","",_xlfn.XLOOKUP(B2743,'Form responses 1'!$B$2:$B$2604,'Form responses 1'!$D$2:$D$2604,""))</f>
        <v/>
      </c>
      <c r="G2743" s="44" t="str">
        <f t="array" ref="G2743">IF(B2743="","",_xlfn.XLOOKUP(B2743,'Form responses 1'!$B$2:$B$2604,'Form responses 1'!$E$2:$E$2604,""))</f>
        <v/>
      </c>
      <c r="H2743" s="44" t="str">
        <f t="array" ref="H2743">IF(B2743="","",_xlfn.XLOOKUP(B2743,'Form responses 1'!$B$2:$B$2604,'Form responses 1'!$F$2:$F$2604,""))</f>
        <v/>
      </c>
      <c r="I2743" s="44" t="str">
        <f t="array" ref="I2743">IF(B2743="","",_xlfn.XLOOKUP(B2743,'Form responses 1'!$B$2:$B$2604,'Form responses 1'!$I$2:$I$2604,""))</f>
        <v/>
      </c>
      <c r="J2743" s="44" t="str">
        <f t="array" ref="J2743">IF(B2743="","",_xlfn.XLOOKUP(B2743,'Form responses 1'!$B$2:$B$2604,'Form responses 1'!$G$2:$G$2604,""))</f>
        <v/>
      </c>
      <c r="K2743" s="56"/>
      <c r="L2743" s="58" t="str">
        <f t="shared" si="7"/>
        <v/>
      </c>
      <c r="M2743" s="49"/>
      <c r="N2743" s="49"/>
      <c r="O2743" s="49"/>
      <c r="P2743" s="49"/>
      <c r="Q2743" s="49"/>
      <c r="R2743" s="49"/>
      <c r="S2743" s="49"/>
      <c r="T2743" s="49"/>
      <c r="U2743" s="49"/>
      <c r="V2743" s="49"/>
      <c r="W2743" s="56"/>
      <c r="X2743" s="51" t="str">
        <f t="shared" si="5"/>
        <v/>
      </c>
      <c r="Y2743" s="50" t="s">
        <v>482</v>
      </c>
      <c r="Z2743" s="49">
        <f t="shared" si="6"/>
        <v>0</v>
      </c>
    </row>
    <row r="2744" ht="22.5" customHeight="1">
      <c r="B2744" s="57"/>
      <c r="C2744" s="43" t="str">
        <f t="array" ref="C2744">IF(B2744="","",_xlfn.XLOOKUP(B2744,'Form responses 1'!$B$2:$B$2604,'Form responses 1'!$A$2:$A$2604,""))</f>
        <v/>
      </c>
      <c r="D2744" s="44" t="str">
        <f t="shared" si="3"/>
        <v/>
      </c>
      <c r="E2744" s="44" t="str">
        <f t="array" ref="E2744">IF(B2744="","",_xlfn.XLOOKUP(B2744,'Form responses 1'!$B$2:$B$2604,'Form responses 1'!$C$2:$C$2604,""))</f>
        <v/>
      </c>
      <c r="F2744" s="44" t="str">
        <f t="array" ref="F2744">IF(B2744="","",_xlfn.XLOOKUP(B2744,'Form responses 1'!$B$2:$B$2604,'Form responses 1'!$D$2:$D$2604,""))</f>
        <v/>
      </c>
      <c r="G2744" s="44" t="str">
        <f t="array" ref="G2744">IF(B2744="","",_xlfn.XLOOKUP(B2744,'Form responses 1'!$B$2:$B$2604,'Form responses 1'!$E$2:$E$2604,""))</f>
        <v/>
      </c>
      <c r="H2744" s="44" t="str">
        <f t="array" ref="H2744">IF(B2744="","",_xlfn.XLOOKUP(B2744,'Form responses 1'!$B$2:$B$2604,'Form responses 1'!$F$2:$F$2604,""))</f>
        <v/>
      </c>
      <c r="I2744" s="44" t="str">
        <f t="array" ref="I2744">IF(B2744="","",_xlfn.XLOOKUP(B2744,'Form responses 1'!$B$2:$B$2604,'Form responses 1'!$I$2:$I$2604,""))</f>
        <v/>
      </c>
      <c r="J2744" s="44" t="str">
        <f t="array" ref="J2744">IF(B2744="","",_xlfn.XLOOKUP(B2744,'Form responses 1'!$B$2:$B$2604,'Form responses 1'!$G$2:$G$2604,""))</f>
        <v/>
      </c>
      <c r="K2744" s="56"/>
      <c r="L2744" s="58" t="str">
        <f t="shared" si="7"/>
        <v/>
      </c>
      <c r="M2744" s="49"/>
      <c r="N2744" s="49"/>
      <c r="O2744" s="49"/>
      <c r="P2744" s="49"/>
      <c r="Q2744" s="49"/>
      <c r="R2744" s="49"/>
      <c r="S2744" s="49"/>
      <c r="T2744" s="49"/>
      <c r="U2744" s="49"/>
      <c r="V2744" s="49"/>
      <c r="W2744" s="56"/>
      <c r="X2744" s="51" t="str">
        <f t="shared" si="5"/>
        <v/>
      </c>
      <c r="Y2744" s="50" t="s">
        <v>482</v>
      </c>
      <c r="Z2744" s="49">
        <f t="shared" si="6"/>
        <v>0</v>
      </c>
    </row>
    <row r="2745" ht="22.5" customHeight="1">
      <c r="B2745" s="57"/>
      <c r="C2745" s="43" t="str">
        <f t="array" ref="C2745">IF(B2745="","",_xlfn.XLOOKUP(B2745,'Form responses 1'!$B$2:$B$2604,'Form responses 1'!$A$2:$A$2604,""))</f>
        <v/>
      </c>
      <c r="D2745" s="44" t="str">
        <f t="shared" si="3"/>
        <v/>
      </c>
      <c r="E2745" s="44" t="str">
        <f t="array" ref="E2745">IF(B2745="","",_xlfn.XLOOKUP(B2745,'Form responses 1'!$B$2:$B$2604,'Form responses 1'!$C$2:$C$2604,""))</f>
        <v/>
      </c>
      <c r="F2745" s="44" t="str">
        <f t="array" ref="F2745">IF(B2745="","",_xlfn.XLOOKUP(B2745,'Form responses 1'!$B$2:$B$2604,'Form responses 1'!$D$2:$D$2604,""))</f>
        <v/>
      </c>
      <c r="G2745" s="44" t="str">
        <f t="array" ref="G2745">IF(B2745="","",_xlfn.XLOOKUP(B2745,'Form responses 1'!$B$2:$B$2604,'Form responses 1'!$E$2:$E$2604,""))</f>
        <v/>
      </c>
      <c r="H2745" s="44" t="str">
        <f t="array" ref="H2745">IF(B2745="","",_xlfn.XLOOKUP(B2745,'Form responses 1'!$B$2:$B$2604,'Form responses 1'!$F$2:$F$2604,""))</f>
        <v/>
      </c>
      <c r="I2745" s="44" t="str">
        <f t="array" ref="I2745">IF(B2745="","",_xlfn.XLOOKUP(B2745,'Form responses 1'!$B$2:$B$2604,'Form responses 1'!$I$2:$I$2604,""))</f>
        <v/>
      </c>
      <c r="J2745" s="44" t="str">
        <f t="array" ref="J2745">IF(B2745="","",_xlfn.XLOOKUP(B2745,'Form responses 1'!$B$2:$B$2604,'Form responses 1'!$G$2:$G$2604,""))</f>
        <v/>
      </c>
      <c r="K2745" s="56"/>
      <c r="L2745" s="58" t="str">
        <f t="shared" si="7"/>
        <v/>
      </c>
      <c r="M2745" s="49"/>
      <c r="N2745" s="49"/>
      <c r="O2745" s="49"/>
      <c r="P2745" s="49"/>
      <c r="Q2745" s="49"/>
      <c r="R2745" s="49"/>
      <c r="S2745" s="49"/>
      <c r="T2745" s="49"/>
      <c r="U2745" s="49"/>
      <c r="V2745" s="49"/>
      <c r="W2745" s="56"/>
      <c r="X2745" s="51" t="str">
        <f t="shared" si="5"/>
        <v/>
      </c>
      <c r="Y2745" s="50" t="s">
        <v>482</v>
      </c>
      <c r="Z2745" s="49">
        <f t="shared" si="6"/>
        <v>0</v>
      </c>
    </row>
    <row r="2746" ht="22.5" customHeight="1">
      <c r="B2746" s="57"/>
      <c r="C2746" s="43" t="str">
        <f t="array" ref="C2746">IF(B2746="","",_xlfn.XLOOKUP(B2746,'Form responses 1'!$B$2:$B$2604,'Form responses 1'!$A$2:$A$2604,""))</f>
        <v/>
      </c>
      <c r="D2746" s="44" t="str">
        <f t="shared" si="3"/>
        <v/>
      </c>
      <c r="E2746" s="44" t="str">
        <f t="array" ref="E2746">IF(B2746="","",_xlfn.XLOOKUP(B2746,'Form responses 1'!$B$2:$B$2604,'Form responses 1'!$C$2:$C$2604,""))</f>
        <v/>
      </c>
      <c r="F2746" s="44" t="str">
        <f t="array" ref="F2746">IF(B2746="","",_xlfn.XLOOKUP(B2746,'Form responses 1'!$B$2:$B$2604,'Form responses 1'!$D$2:$D$2604,""))</f>
        <v/>
      </c>
      <c r="G2746" s="44" t="str">
        <f t="array" ref="G2746">IF(B2746="","",_xlfn.XLOOKUP(B2746,'Form responses 1'!$B$2:$B$2604,'Form responses 1'!$E$2:$E$2604,""))</f>
        <v/>
      </c>
      <c r="H2746" s="44" t="str">
        <f t="array" ref="H2746">IF(B2746="","",_xlfn.XLOOKUP(B2746,'Form responses 1'!$B$2:$B$2604,'Form responses 1'!$F$2:$F$2604,""))</f>
        <v/>
      </c>
      <c r="I2746" s="44" t="str">
        <f t="array" ref="I2746">IF(B2746="","",_xlfn.XLOOKUP(B2746,'Form responses 1'!$B$2:$B$2604,'Form responses 1'!$I$2:$I$2604,""))</f>
        <v/>
      </c>
      <c r="J2746" s="44" t="str">
        <f t="array" ref="J2746">IF(B2746="","",_xlfn.XLOOKUP(B2746,'Form responses 1'!$B$2:$B$2604,'Form responses 1'!$G$2:$G$2604,""))</f>
        <v/>
      </c>
      <c r="K2746" s="56"/>
      <c r="L2746" s="58" t="str">
        <f t="shared" si="7"/>
        <v/>
      </c>
      <c r="M2746" s="49"/>
      <c r="N2746" s="49"/>
      <c r="O2746" s="49"/>
      <c r="P2746" s="49"/>
      <c r="Q2746" s="49"/>
      <c r="R2746" s="49"/>
      <c r="S2746" s="49"/>
      <c r="T2746" s="49"/>
      <c r="U2746" s="49"/>
      <c r="V2746" s="49"/>
      <c r="W2746" s="56"/>
      <c r="X2746" s="51" t="str">
        <f t="shared" si="5"/>
        <v/>
      </c>
      <c r="Y2746" s="50" t="s">
        <v>482</v>
      </c>
      <c r="Z2746" s="49">
        <f t="shared" si="6"/>
        <v>0</v>
      </c>
    </row>
    <row r="2747" ht="22.5" customHeight="1">
      <c r="B2747" s="57"/>
      <c r="C2747" s="43" t="str">
        <f t="array" ref="C2747">IF(B2747="","",_xlfn.XLOOKUP(B2747,'Form responses 1'!$B$2:$B$2604,'Form responses 1'!$A$2:$A$2604,""))</f>
        <v/>
      </c>
      <c r="D2747" s="44" t="str">
        <f t="shared" si="3"/>
        <v/>
      </c>
      <c r="E2747" s="44" t="str">
        <f t="array" ref="E2747">IF(B2747="","",_xlfn.XLOOKUP(B2747,'Form responses 1'!$B$2:$B$2604,'Form responses 1'!$C$2:$C$2604,""))</f>
        <v/>
      </c>
      <c r="F2747" s="44" t="str">
        <f t="array" ref="F2747">IF(B2747="","",_xlfn.XLOOKUP(B2747,'Form responses 1'!$B$2:$B$2604,'Form responses 1'!$D$2:$D$2604,""))</f>
        <v/>
      </c>
      <c r="G2747" s="44" t="str">
        <f t="array" ref="G2747">IF(B2747="","",_xlfn.XLOOKUP(B2747,'Form responses 1'!$B$2:$B$2604,'Form responses 1'!$E$2:$E$2604,""))</f>
        <v/>
      </c>
      <c r="H2747" s="44" t="str">
        <f t="array" ref="H2747">IF(B2747="","",_xlfn.XLOOKUP(B2747,'Form responses 1'!$B$2:$B$2604,'Form responses 1'!$F$2:$F$2604,""))</f>
        <v/>
      </c>
      <c r="I2747" s="44" t="str">
        <f t="array" ref="I2747">IF(B2747="","",_xlfn.XLOOKUP(B2747,'Form responses 1'!$B$2:$B$2604,'Form responses 1'!$I$2:$I$2604,""))</f>
        <v/>
      </c>
      <c r="J2747" s="44" t="str">
        <f t="array" ref="J2747">IF(B2747="","",_xlfn.XLOOKUP(B2747,'Form responses 1'!$B$2:$B$2604,'Form responses 1'!$G$2:$G$2604,""))</f>
        <v/>
      </c>
      <c r="K2747" s="56"/>
      <c r="L2747" s="58" t="str">
        <f t="shared" si="7"/>
        <v/>
      </c>
      <c r="M2747" s="49"/>
      <c r="N2747" s="49"/>
      <c r="O2747" s="49"/>
      <c r="P2747" s="49"/>
      <c r="Q2747" s="49"/>
      <c r="R2747" s="49"/>
      <c r="S2747" s="49"/>
      <c r="T2747" s="49"/>
      <c r="U2747" s="49"/>
      <c r="V2747" s="49"/>
      <c r="W2747" s="56"/>
      <c r="X2747" s="51" t="str">
        <f t="shared" si="5"/>
        <v/>
      </c>
      <c r="Y2747" s="50" t="s">
        <v>482</v>
      </c>
      <c r="Z2747" s="49">
        <f t="shared" si="6"/>
        <v>0</v>
      </c>
    </row>
    <row r="2748" ht="22.5" customHeight="1">
      <c r="B2748" s="57"/>
      <c r="C2748" s="43" t="str">
        <f t="array" ref="C2748">IF(B2748="","",_xlfn.XLOOKUP(B2748,'Form responses 1'!$B$2:$B$2604,'Form responses 1'!$A$2:$A$2604,""))</f>
        <v/>
      </c>
      <c r="D2748" s="44" t="str">
        <f t="shared" si="3"/>
        <v/>
      </c>
      <c r="E2748" s="44" t="str">
        <f t="array" ref="E2748">IF(B2748="","",_xlfn.XLOOKUP(B2748,'Form responses 1'!$B$2:$B$2604,'Form responses 1'!$C$2:$C$2604,""))</f>
        <v/>
      </c>
      <c r="F2748" s="44" t="str">
        <f t="array" ref="F2748">IF(B2748="","",_xlfn.XLOOKUP(B2748,'Form responses 1'!$B$2:$B$2604,'Form responses 1'!$D$2:$D$2604,""))</f>
        <v/>
      </c>
      <c r="G2748" s="44" t="str">
        <f t="array" ref="G2748">IF(B2748="","",_xlfn.XLOOKUP(B2748,'Form responses 1'!$B$2:$B$2604,'Form responses 1'!$E$2:$E$2604,""))</f>
        <v/>
      </c>
      <c r="H2748" s="44" t="str">
        <f t="array" ref="H2748">IF(B2748="","",_xlfn.XLOOKUP(B2748,'Form responses 1'!$B$2:$B$2604,'Form responses 1'!$F$2:$F$2604,""))</f>
        <v/>
      </c>
      <c r="I2748" s="44" t="str">
        <f t="array" ref="I2748">IF(B2748="","",_xlfn.XLOOKUP(B2748,'Form responses 1'!$B$2:$B$2604,'Form responses 1'!$I$2:$I$2604,""))</f>
        <v/>
      </c>
      <c r="J2748" s="44" t="str">
        <f t="array" ref="J2748">IF(B2748="","",_xlfn.XLOOKUP(B2748,'Form responses 1'!$B$2:$B$2604,'Form responses 1'!$G$2:$G$2604,""))</f>
        <v/>
      </c>
      <c r="K2748" s="56"/>
      <c r="L2748" s="58" t="str">
        <f t="shared" si="7"/>
        <v/>
      </c>
      <c r="M2748" s="49"/>
      <c r="N2748" s="49"/>
      <c r="O2748" s="49"/>
      <c r="P2748" s="49"/>
      <c r="Q2748" s="49"/>
      <c r="R2748" s="49"/>
      <c r="S2748" s="49"/>
      <c r="T2748" s="49"/>
      <c r="U2748" s="49"/>
      <c r="V2748" s="49"/>
      <c r="W2748" s="56"/>
      <c r="X2748" s="51" t="str">
        <f t="shared" si="5"/>
        <v/>
      </c>
      <c r="Y2748" s="50" t="s">
        <v>482</v>
      </c>
      <c r="Z2748" s="49">
        <f t="shared" si="6"/>
        <v>0</v>
      </c>
    </row>
    <row r="2749" ht="22.5" customHeight="1">
      <c r="B2749" s="57"/>
      <c r="C2749" s="43" t="str">
        <f t="array" ref="C2749">IF(B2749="","",_xlfn.XLOOKUP(B2749,'Form responses 1'!$B$2:$B$2604,'Form responses 1'!$A$2:$A$2604,""))</f>
        <v/>
      </c>
      <c r="D2749" s="44" t="str">
        <f t="shared" si="3"/>
        <v/>
      </c>
      <c r="E2749" s="44" t="str">
        <f t="array" ref="E2749">IF(B2749="","",_xlfn.XLOOKUP(B2749,'Form responses 1'!$B$2:$B$2604,'Form responses 1'!$C$2:$C$2604,""))</f>
        <v/>
      </c>
      <c r="F2749" s="44" t="str">
        <f t="array" ref="F2749">IF(B2749="","",_xlfn.XLOOKUP(B2749,'Form responses 1'!$B$2:$B$2604,'Form responses 1'!$D$2:$D$2604,""))</f>
        <v/>
      </c>
      <c r="G2749" s="44" t="str">
        <f t="array" ref="G2749">IF(B2749="","",_xlfn.XLOOKUP(B2749,'Form responses 1'!$B$2:$B$2604,'Form responses 1'!$E$2:$E$2604,""))</f>
        <v/>
      </c>
      <c r="H2749" s="44" t="str">
        <f t="array" ref="H2749">IF(B2749="","",_xlfn.XLOOKUP(B2749,'Form responses 1'!$B$2:$B$2604,'Form responses 1'!$F$2:$F$2604,""))</f>
        <v/>
      </c>
      <c r="I2749" s="44" t="str">
        <f t="array" ref="I2749">IF(B2749="","",_xlfn.XLOOKUP(B2749,'Form responses 1'!$B$2:$B$2604,'Form responses 1'!$I$2:$I$2604,""))</f>
        <v/>
      </c>
      <c r="J2749" s="44" t="str">
        <f t="array" ref="J2749">IF(B2749="","",_xlfn.XLOOKUP(B2749,'Form responses 1'!$B$2:$B$2604,'Form responses 1'!$G$2:$G$2604,""))</f>
        <v/>
      </c>
      <c r="K2749" s="56"/>
      <c r="L2749" s="58" t="str">
        <f t="shared" si="7"/>
        <v/>
      </c>
      <c r="M2749" s="49"/>
      <c r="N2749" s="49"/>
      <c r="O2749" s="49"/>
      <c r="P2749" s="49"/>
      <c r="Q2749" s="49"/>
      <c r="R2749" s="49"/>
      <c r="S2749" s="49"/>
      <c r="T2749" s="49"/>
      <c r="U2749" s="49"/>
      <c r="V2749" s="49"/>
      <c r="W2749" s="56"/>
      <c r="X2749" s="51" t="str">
        <f t="shared" si="5"/>
        <v/>
      </c>
      <c r="Y2749" s="50" t="s">
        <v>482</v>
      </c>
      <c r="Z2749" s="49">
        <f t="shared" si="6"/>
        <v>0</v>
      </c>
    </row>
    <row r="2750" ht="22.5" customHeight="1">
      <c r="B2750" s="57"/>
      <c r="C2750" s="43" t="str">
        <f t="array" ref="C2750">IF(B2750="","",_xlfn.XLOOKUP(B2750,'Form responses 1'!$B$2:$B$2604,'Form responses 1'!$A$2:$A$2604,""))</f>
        <v/>
      </c>
      <c r="D2750" s="44" t="str">
        <f t="shared" si="3"/>
        <v/>
      </c>
      <c r="E2750" s="44" t="str">
        <f t="array" ref="E2750">IF(B2750="","",_xlfn.XLOOKUP(B2750,'Form responses 1'!$B$2:$B$2604,'Form responses 1'!$C$2:$C$2604,""))</f>
        <v/>
      </c>
      <c r="F2750" s="44" t="str">
        <f t="array" ref="F2750">IF(B2750="","",_xlfn.XLOOKUP(B2750,'Form responses 1'!$B$2:$B$2604,'Form responses 1'!$D$2:$D$2604,""))</f>
        <v/>
      </c>
      <c r="G2750" s="44" t="str">
        <f t="array" ref="G2750">IF(B2750="","",_xlfn.XLOOKUP(B2750,'Form responses 1'!$B$2:$B$2604,'Form responses 1'!$E$2:$E$2604,""))</f>
        <v/>
      </c>
      <c r="H2750" s="44" t="str">
        <f t="array" ref="H2750">IF(B2750="","",_xlfn.XLOOKUP(B2750,'Form responses 1'!$B$2:$B$2604,'Form responses 1'!$F$2:$F$2604,""))</f>
        <v/>
      </c>
      <c r="I2750" s="44" t="str">
        <f t="array" ref="I2750">IF(B2750="","",_xlfn.XLOOKUP(B2750,'Form responses 1'!$B$2:$B$2604,'Form responses 1'!$I$2:$I$2604,""))</f>
        <v/>
      </c>
      <c r="J2750" s="44" t="str">
        <f t="array" ref="J2750">IF(B2750="","",_xlfn.XLOOKUP(B2750,'Form responses 1'!$B$2:$B$2604,'Form responses 1'!$G$2:$G$2604,""))</f>
        <v/>
      </c>
      <c r="K2750" s="56"/>
      <c r="L2750" s="58" t="str">
        <f t="shared" si="7"/>
        <v/>
      </c>
      <c r="M2750" s="49"/>
      <c r="N2750" s="49"/>
      <c r="O2750" s="49"/>
      <c r="P2750" s="49"/>
      <c r="Q2750" s="49"/>
      <c r="R2750" s="49"/>
      <c r="S2750" s="49"/>
      <c r="T2750" s="49"/>
      <c r="U2750" s="49"/>
      <c r="V2750" s="49"/>
      <c r="W2750" s="56"/>
      <c r="X2750" s="51" t="str">
        <f t="shared" si="5"/>
        <v/>
      </c>
      <c r="Y2750" s="50" t="s">
        <v>482</v>
      </c>
      <c r="Z2750" s="49">
        <f t="shared" si="6"/>
        <v>0</v>
      </c>
    </row>
    <row r="2751" ht="22.5" customHeight="1">
      <c r="B2751" s="57"/>
      <c r="C2751" s="43" t="str">
        <f t="array" ref="C2751">IF(B2751="","",_xlfn.XLOOKUP(B2751,'Form responses 1'!$B$2:$B$2604,'Form responses 1'!$A$2:$A$2604,""))</f>
        <v/>
      </c>
      <c r="D2751" s="44" t="str">
        <f t="shared" si="3"/>
        <v/>
      </c>
      <c r="E2751" s="44" t="str">
        <f t="array" ref="E2751">IF(B2751="","",_xlfn.XLOOKUP(B2751,'Form responses 1'!$B$2:$B$2604,'Form responses 1'!$C$2:$C$2604,""))</f>
        <v/>
      </c>
      <c r="F2751" s="44" t="str">
        <f t="array" ref="F2751">IF(B2751="","",_xlfn.XLOOKUP(B2751,'Form responses 1'!$B$2:$B$2604,'Form responses 1'!$D$2:$D$2604,""))</f>
        <v/>
      </c>
      <c r="G2751" s="44" t="str">
        <f t="array" ref="G2751">IF(B2751="","",_xlfn.XLOOKUP(B2751,'Form responses 1'!$B$2:$B$2604,'Form responses 1'!$E$2:$E$2604,""))</f>
        <v/>
      </c>
      <c r="H2751" s="44" t="str">
        <f t="array" ref="H2751">IF(B2751="","",_xlfn.XLOOKUP(B2751,'Form responses 1'!$B$2:$B$2604,'Form responses 1'!$F$2:$F$2604,""))</f>
        <v/>
      </c>
      <c r="I2751" s="44" t="str">
        <f t="array" ref="I2751">IF(B2751="","",_xlfn.XLOOKUP(B2751,'Form responses 1'!$B$2:$B$2604,'Form responses 1'!$I$2:$I$2604,""))</f>
        <v/>
      </c>
      <c r="J2751" s="44" t="str">
        <f t="array" ref="J2751">IF(B2751="","",_xlfn.XLOOKUP(B2751,'Form responses 1'!$B$2:$B$2604,'Form responses 1'!$G$2:$G$2604,""))</f>
        <v/>
      </c>
      <c r="K2751" s="56"/>
      <c r="L2751" s="58" t="str">
        <f t="shared" si="7"/>
        <v/>
      </c>
      <c r="M2751" s="49"/>
      <c r="N2751" s="49"/>
      <c r="O2751" s="49"/>
      <c r="P2751" s="49"/>
      <c r="Q2751" s="49"/>
      <c r="R2751" s="49"/>
      <c r="S2751" s="49"/>
      <c r="T2751" s="49"/>
      <c r="U2751" s="49"/>
      <c r="V2751" s="49"/>
      <c r="W2751" s="56"/>
      <c r="X2751" s="51" t="str">
        <f t="shared" si="5"/>
        <v/>
      </c>
      <c r="Y2751" s="50" t="s">
        <v>482</v>
      </c>
      <c r="Z2751" s="49">
        <f t="shared" si="6"/>
        <v>0</v>
      </c>
    </row>
    <row r="2752" ht="22.5" customHeight="1">
      <c r="B2752" s="57"/>
      <c r="C2752" s="43" t="str">
        <f t="array" ref="C2752">IF(B2752="","",_xlfn.XLOOKUP(B2752,'Form responses 1'!$B$2:$B$2604,'Form responses 1'!$A$2:$A$2604,""))</f>
        <v/>
      </c>
      <c r="D2752" s="44" t="str">
        <f t="shared" si="3"/>
        <v/>
      </c>
      <c r="E2752" s="44" t="str">
        <f t="array" ref="E2752">IF(B2752="","",_xlfn.XLOOKUP(B2752,'Form responses 1'!$B$2:$B$2604,'Form responses 1'!$C$2:$C$2604,""))</f>
        <v/>
      </c>
      <c r="F2752" s="44" t="str">
        <f t="array" ref="F2752">IF(B2752="","",_xlfn.XLOOKUP(B2752,'Form responses 1'!$B$2:$B$2604,'Form responses 1'!$D$2:$D$2604,""))</f>
        <v/>
      </c>
      <c r="G2752" s="44" t="str">
        <f t="array" ref="G2752">IF(B2752="","",_xlfn.XLOOKUP(B2752,'Form responses 1'!$B$2:$B$2604,'Form responses 1'!$E$2:$E$2604,""))</f>
        <v/>
      </c>
      <c r="H2752" s="44" t="str">
        <f t="array" ref="H2752">IF(B2752="","",_xlfn.XLOOKUP(B2752,'Form responses 1'!$B$2:$B$2604,'Form responses 1'!$F$2:$F$2604,""))</f>
        <v/>
      </c>
      <c r="I2752" s="44" t="str">
        <f t="array" ref="I2752">IF(B2752="","",_xlfn.XLOOKUP(B2752,'Form responses 1'!$B$2:$B$2604,'Form responses 1'!$I$2:$I$2604,""))</f>
        <v/>
      </c>
      <c r="J2752" s="44" t="str">
        <f t="array" ref="J2752">IF(B2752="","",_xlfn.XLOOKUP(B2752,'Form responses 1'!$B$2:$B$2604,'Form responses 1'!$G$2:$G$2604,""))</f>
        <v/>
      </c>
      <c r="K2752" s="56"/>
      <c r="L2752" s="58" t="str">
        <f t="shared" si="7"/>
        <v/>
      </c>
      <c r="M2752" s="49"/>
      <c r="N2752" s="49"/>
      <c r="O2752" s="49"/>
      <c r="P2752" s="49"/>
      <c r="Q2752" s="49"/>
      <c r="R2752" s="49"/>
      <c r="S2752" s="49"/>
      <c r="T2752" s="49"/>
      <c r="U2752" s="49"/>
      <c r="V2752" s="49"/>
      <c r="W2752" s="56"/>
      <c r="X2752" s="51" t="str">
        <f t="shared" si="5"/>
        <v/>
      </c>
      <c r="Y2752" s="50" t="s">
        <v>482</v>
      </c>
      <c r="Z2752" s="49">
        <f t="shared" si="6"/>
        <v>0</v>
      </c>
    </row>
    <row r="2753" ht="22.5" customHeight="1">
      <c r="B2753" s="57"/>
      <c r="C2753" s="43" t="str">
        <f t="array" ref="C2753">IF(B2753="","",_xlfn.XLOOKUP(B2753,'Form responses 1'!$B$2:$B$2604,'Form responses 1'!$A$2:$A$2604,""))</f>
        <v/>
      </c>
      <c r="D2753" s="44" t="str">
        <f t="shared" si="3"/>
        <v/>
      </c>
      <c r="E2753" s="44" t="str">
        <f t="array" ref="E2753">IF(B2753="","",_xlfn.XLOOKUP(B2753,'Form responses 1'!$B$2:$B$2604,'Form responses 1'!$C$2:$C$2604,""))</f>
        <v/>
      </c>
      <c r="F2753" s="44" t="str">
        <f t="array" ref="F2753">IF(B2753="","",_xlfn.XLOOKUP(B2753,'Form responses 1'!$B$2:$B$2604,'Form responses 1'!$D$2:$D$2604,""))</f>
        <v/>
      </c>
      <c r="G2753" s="44" t="str">
        <f t="array" ref="G2753">IF(B2753="","",_xlfn.XLOOKUP(B2753,'Form responses 1'!$B$2:$B$2604,'Form responses 1'!$E$2:$E$2604,""))</f>
        <v/>
      </c>
      <c r="H2753" s="44" t="str">
        <f t="array" ref="H2753">IF(B2753="","",_xlfn.XLOOKUP(B2753,'Form responses 1'!$B$2:$B$2604,'Form responses 1'!$F$2:$F$2604,""))</f>
        <v/>
      </c>
      <c r="I2753" s="44" t="str">
        <f t="array" ref="I2753">IF(B2753="","",_xlfn.XLOOKUP(B2753,'Form responses 1'!$B$2:$B$2604,'Form responses 1'!$I$2:$I$2604,""))</f>
        <v/>
      </c>
      <c r="J2753" s="44" t="str">
        <f t="array" ref="J2753">IF(B2753="","",_xlfn.XLOOKUP(B2753,'Form responses 1'!$B$2:$B$2604,'Form responses 1'!$G$2:$G$2604,""))</f>
        <v/>
      </c>
      <c r="K2753" s="56"/>
      <c r="L2753" s="58" t="str">
        <f t="shared" si="7"/>
        <v/>
      </c>
      <c r="M2753" s="49"/>
      <c r="N2753" s="49"/>
      <c r="O2753" s="49"/>
      <c r="P2753" s="49"/>
      <c r="Q2753" s="49"/>
      <c r="R2753" s="49"/>
      <c r="S2753" s="49"/>
      <c r="T2753" s="49"/>
      <c r="U2753" s="49"/>
      <c r="V2753" s="49"/>
      <c r="W2753" s="56"/>
      <c r="X2753" s="51" t="str">
        <f t="shared" si="5"/>
        <v/>
      </c>
      <c r="Y2753" s="50" t="s">
        <v>482</v>
      </c>
      <c r="Z2753" s="49">
        <f t="shared" si="6"/>
        <v>0</v>
      </c>
    </row>
    <row r="2754" ht="22.5" customHeight="1">
      <c r="B2754" s="57"/>
      <c r="C2754" s="43" t="str">
        <f t="array" ref="C2754">IF(B2754="","",_xlfn.XLOOKUP(B2754,'Form responses 1'!$B$2:$B$2604,'Form responses 1'!$A$2:$A$2604,""))</f>
        <v/>
      </c>
      <c r="D2754" s="44" t="str">
        <f t="shared" si="3"/>
        <v/>
      </c>
      <c r="E2754" s="44" t="str">
        <f t="array" ref="E2754">IF(B2754="","",_xlfn.XLOOKUP(B2754,'Form responses 1'!$B$2:$B$2604,'Form responses 1'!$C$2:$C$2604,""))</f>
        <v/>
      </c>
      <c r="F2754" s="44" t="str">
        <f t="array" ref="F2754">IF(B2754="","",_xlfn.XLOOKUP(B2754,'Form responses 1'!$B$2:$B$2604,'Form responses 1'!$D$2:$D$2604,""))</f>
        <v/>
      </c>
      <c r="G2754" s="44" t="str">
        <f t="array" ref="G2754">IF(B2754="","",_xlfn.XLOOKUP(B2754,'Form responses 1'!$B$2:$B$2604,'Form responses 1'!$E$2:$E$2604,""))</f>
        <v/>
      </c>
      <c r="H2754" s="44" t="str">
        <f t="array" ref="H2754">IF(B2754="","",_xlfn.XLOOKUP(B2754,'Form responses 1'!$B$2:$B$2604,'Form responses 1'!$F$2:$F$2604,""))</f>
        <v/>
      </c>
      <c r="I2754" s="44" t="str">
        <f t="array" ref="I2754">IF(B2754="","",_xlfn.XLOOKUP(B2754,'Form responses 1'!$B$2:$B$2604,'Form responses 1'!$I$2:$I$2604,""))</f>
        <v/>
      </c>
      <c r="J2754" s="44" t="str">
        <f t="array" ref="J2754">IF(B2754="","",_xlfn.XLOOKUP(B2754,'Form responses 1'!$B$2:$B$2604,'Form responses 1'!$G$2:$G$2604,""))</f>
        <v/>
      </c>
      <c r="K2754" s="56"/>
      <c r="L2754" s="58" t="str">
        <f t="shared" si="7"/>
        <v/>
      </c>
      <c r="M2754" s="49"/>
      <c r="N2754" s="49"/>
      <c r="O2754" s="49"/>
      <c r="P2754" s="49"/>
      <c r="Q2754" s="49"/>
      <c r="R2754" s="49"/>
      <c r="S2754" s="49"/>
      <c r="T2754" s="49"/>
      <c r="U2754" s="49"/>
      <c r="V2754" s="49"/>
      <c r="W2754" s="56"/>
      <c r="X2754" s="51" t="str">
        <f t="shared" si="5"/>
        <v/>
      </c>
      <c r="Y2754" s="50" t="s">
        <v>482</v>
      </c>
      <c r="Z2754" s="49">
        <f t="shared" si="6"/>
        <v>0</v>
      </c>
    </row>
    <row r="2755" ht="22.5" customHeight="1">
      <c r="B2755" s="57"/>
      <c r="C2755" s="43" t="str">
        <f t="array" ref="C2755">IF(B2755="","",_xlfn.XLOOKUP(B2755,'Form responses 1'!$B$2:$B$2604,'Form responses 1'!$A$2:$A$2604,""))</f>
        <v/>
      </c>
      <c r="D2755" s="44" t="str">
        <f t="shared" si="3"/>
        <v/>
      </c>
      <c r="E2755" s="44" t="str">
        <f t="array" ref="E2755">IF(B2755="","",_xlfn.XLOOKUP(B2755,'Form responses 1'!$B$2:$B$2604,'Form responses 1'!$C$2:$C$2604,""))</f>
        <v/>
      </c>
      <c r="F2755" s="44" t="str">
        <f t="array" ref="F2755">IF(B2755="","",_xlfn.XLOOKUP(B2755,'Form responses 1'!$B$2:$B$2604,'Form responses 1'!$D$2:$D$2604,""))</f>
        <v/>
      </c>
      <c r="G2755" s="44" t="str">
        <f t="array" ref="G2755">IF(B2755="","",_xlfn.XLOOKUP(B2755,'Form responses 1'!$B$2:$B$2604,'Form responses 1'!$E$2:$E$2604,""))</f>
        <v/>
      </c>
      <c r="H2755" s="44" t="str">
        <f t="array" ref="H2755">IF(B2755="","",_xlfn.XLOOKUP(B2755,'Form responses 1'!$B$2:$B$2604,'Form responses 1'!$F$2:$F$2604,""))</f>
        <v/>
      </c>
      <c r="I2755" s="44" t="str">
        <f t="array" ref="I2755">IF(B2755="","",_xlfn.XLOOKUP(B2755,'Form responses 1'!$B$2:$B$2604,'Form responses 1'!$I$2:$I$2604,""))</f>
        <v/>
      </c>
      <c r="J2755" s="44" t="str">
        <f t="array" ref="J2755">IF(B2755="","",_xlfn.XLOOKUP(B2755,'Form responses 1'!$B$2:$B$2604,'Form responses 1'!$G$2:$G$2604,""))</f>
        <v/>
      </c>
      <c r="K2755" s="56"/>
      <c r="L2755" s="58" t="str">
        <f t="shared" si="7"/>
        <v/>
      </c>
      <c r="M2755" s="49"/>
      <c r="N2755" s="49"/>
      <c r="O2755" s="49"/>
      <c r="P2755" s="49"/>
      <c r="Q2755" s="49"/>
      <c r="R2755" s="49"/>
      <c r="S2755" s="49"/>
      <c r="T2755" s="49"/>
      <c r="U2755" s="49"/>
      <c r="V2755" s="49"/>
      <c r="W2755" s="56"/>
      <c r="X2755" s="51" t="str">
        <f t="shared" si="5"/>
        <v/>
      </c>
      <c r="Y2755" s="50" t="s">
        <v>482</v>
      </c>
      <c r="Z2755" s="49">
        <f t="shared" si="6"/>
        <v>0</v>
      </c>
    </row>
    <row r="2756" ht="22.5" customHeight="1">
      <c r="B2756" s="57"/>
      <c r="C2756" s="43" t="str">
        <f t="array" ref="C2756">IF(B2756="","",_xlfn.XLOOKUP(B2756,'Form responses 1'!$B$2:$B$2604,'Form responses 1'!$A$2:$A$2604,""))</f>
        <v/>
      </c>
      <c r="D2756" s="44" t="str">
        <f t="shared" si="3"/>
        <v/>
      </c>
      <c r="E2756" s="44" t="str">
        <f t="array" ref="E2756">IF(B2756="","",_xlfn.XLOOKUP(B2756,'Form responses 1'!$B$2:$B$2604,'Form responses 1'!$C$2:$C$2604,""))</f>
        <v/>
      </c>
      <c r="F2756" s="44" t="str">
        <f t="array" ref="F2756">IF(B2756="","",_xlfn.XLOOKUP(B2756,'Form responses 1'!$B$2:$B$2604,'Form responses 1'!$D$2:$D$2604,""))</f>
        <v/>
      </c>
      <c r="G2756" s="44" t="str">
        <f t="array" ref="G2756">IF(B2756="","",_xlfn.XLOOKUP(B2756,'Form responses 1'!$B$2:$B$2604,'Form responses 1'!$E$2:$E$2604,""))</f>
        <v/>
      </c>
      <c r="H2756" s="44" t="str">
        <f t="array" ref="H2756">IF(B2756="","",_xlfn.XLOOKUP(B2756,'Form responses 1'!$B$2:$B$2604,'Form responses 1'!$F$2:$F$2604,""))</f>
        <v/>
      </c>
      <c r="I2756" s="44" t="str">
        <f t="array" ref="I2756">IF(B2756="","",_xlfn.XLOOKUP(B2756,'Form responses 1'!$B$2:$B$2604,'Form responses 1'!$I$2:$I$2604,""))</f>
        <v/>
      </c>
      <c r="J2756" s="44" t="str">
        <f t="array" ref="J2756">IF(B2756="","",_xlfn.XLOOKUP(B2756,'Form responses 1'!$B$2:$B$2604,'Form responses 1'!$G$2:$G$2604,""))</f>
        <v/>
      </c>
      <c r="K2756" s="56"/>
      <c r="L2756" s="58" t="str">
        <f t="shared" si="7"/>
        <v/>
      </c>
      <c r="M2756" s="49"/>
      <c r="N2756" s="49"/>
      <c r="O2756" s="49"/>
      <c r="P2756" s="49"/>
      <c r="Q2756" s="49"/>
      <c r="R2756" s="49"/>
      <c r="S2756" s="49"/>
      <c r="T2756" s="49"/>
      <c r="U2756" s="49"/>
      <c r="V2756" s="49"/>
      <c r="W2756" s="56"/>
      <c r="X2756" s="51" t="str">
        <f t="shared" si="5"/>
        <v/>
      </c>
      <c r="Y2756" s="50" t="s">
        <v>482</v>
      </c>
      <c r="Z2756" s="49">
        <f t="shared" si="6"/>
        <v>0</v>
      </c>
    </row>
    <row r="2757" ht="22.5" customHeight="1">
      <c r="B2757" s="57"/>
      <c r="C2757" s="43" t="str">
        <f t="array" ref="C2757">IF(B2757="","",_xlfn.XLOOKUP(B2757,'Form responses 1'!$B$2:$B$2604,'Form responses 1'!$A$2:$A$2604,""))</f>
        <v/>
      </c>
      <c r="D2757" s="44" t="str">
        <f t="shared" si="3"/>
        <v/>
      </c>
      <c r="E2757" s="44" t="str">
        <f t="array" ref="E2757">IF(B2757="","",_xlfn.XLOOKUP(B2757,'Form responses 1'!$B$2:$B$2604,'Form responses 1'!$C$2:$C$2604,""))</f>
        <v/>
      </c>
      <c r="F2757" s="44" t="str">
        <f t="array" ref="F2757">IF(B2757="","",_xlfn.XLOOKUP(B2757,'Form responses 1'!$B$2:$B$2604,'Form responses 1'!$D$2:$D$2604,""))</f>
        <v/>
      </c>
      <c r="G2757" s="44" t="str">
        <f t="array" ref="G2757">IF(B2757="","",_xlfn.XLOOKUP(B2757,'Form responses 1'!$B$2:$B$2604,'Form responses 1'!$E$2:$E$2604,""))</f>
        <v/>
      </c>
      <c r="H2757" s="44" t="str">
        <f t="array" ref="H2757">IF(B2757="","",_xlfn.XLOOKUP(B2757,'Form responses 1'!$B$2:$B$2604,'Form responses 1'!$F$2:$F$2604,""))</f>
        <v/>
      </c>
      <c r="I2757" s="44" t="str">
        <f t="array" ref="I2757">IF(B2757="","",_xlfn.XLOOKUP(B2757,'Form responses 1'!$B$2:$B$2604,'Form responses 1'!$I$2:$I$2604,""))</f>
        <v/>
      </c>
      <c r="J2757" s="44" t="str">
        <f t="array" ref="J2757">IF(B2757="","",_xlfn.XLOOKUP(B2757,'Form responses 1'!$B$2:$B$2604,'Form responses 1'!$G$2:$G$2604,""))</f>
        <v/>
      </c>
      <c r="K2757" s="56"/>
      <c r="L2757" s="58" t="str">
        <f t="shared" si="7"/>
        <v/>
      </c>
      <c r="M2757" s="49"/>
      <c r="N2757" s="49"/>
      <c r="O2757" s="49"/>
      <c r="P2757" s="49"/>
      <c r="Q2757" s="49"/>
      <c r="R2757" s="49"/>
      <c r="S2757" s="49"/>
      <c r="T2757" s="49"/>
      <c r="U2757" s="49"/>
      <c r="V2757" s="49"/>
      <c r="W2757" s="56"/>
      <c r="X2757" s="51" t="str">
        <f t="shared" si="5"/>
        <v/>
      </c>
      <c r="Y2757" s="50" t="s">
        <v>482</v>
      </c>
      <c r="Z2757" s="49">
        <f t="shared" si="6"/>
        <v>0</v>
      </c>
    </row>
    <row r="2758" ht="22.5" customHeight="1">
      <c r="B2758" s="57"/>
      <c r="C2758" s="43" t="str">
        <f t="array" ref="C2758">IF(B2758="","",_xlfn.XLOOKUP(B2758,'Form responses 1'!$B$2:$B$2604,'Form responses 1'!$A$2:$A$2604,""))</f>
        <v/>
      </c>
      <c r="D2758" s="44" t="str">
        <f t="shared" si="3"/>
        <v/>
      </c>
      <c r="E2758" s="44" t="str">
        <f t="array" ref="E2758">IF(B2758="","",_xlfn.XLOOKUP(B2758,'Form responses 1'!$B$2:$B$2604,'Form responses 1'!$C$2:$C$2604,""))</f>
        <v/>
      </c>
      <c r="F2758" s="44" t="str">
        <f t="array" ref="F2758">IF(B2758="","",_xlfn.XLOOKUP(B2758,'Form responses 1'!$B$2:$B$2604,'Form responses 1'!$D$2:$D$2604,""))</f>
        <v/>
      </c>
      <c r="G2758" s="44" t="str">
        <f t="array" ref="G2758">IF(B2758="","",_xlfn.XLOOKUP(B2758,'Form responses 1'!$B$2:$B$2604,'Form responses 1'!$E$2:$E$2604,""))</f>
        <v/>
      </c>
      <c r="H2758" s="44" t="str">
        <f t="array" ref="H2758">IF(B2758="","",_xlfn.XLOOKUP(B2758,'Form responses 1'!$B$2:$B$2604,'Form responses 1'!$F$2:$F$2604,""))</f>
        <v/>
      </c>
      <c r="I2758" s="44" t="str">
        <f t="array" ref="I2758">IF(B2758="","",_xlfn.XLOOKUP(B2758,'Form responses 1'!$B$2:$B$2604,'Form responses 1'!$I$2:$I$2604,""))</f>
        <v/>
      </c>
      <c r="J2758" s="44" t="str">
        <f t="array" ref="J2758">IF(B2758="","",_xlfn.XLOOKUP(B2758,'Form responses 1'!$B$2:$B$2604,'Form responses 1'!$G$2:$G$2604,""))</f>
        <v/>
      </c>
      <c r="K2758" s="56"/>
      <c r="L2758" s="58" t="str">
        <f t="shared" si="7"/>
        <v/>
      </c>
      <c r="M2758" s="49"/>
      <c r="N2758" s="49"/>
      <c r="O2758" s="49"/>
      <c r="P2758" s="49"/>
      <c r="Q2758" s="49"/>
      <c r="R2758" s="49"/>
      <c r="S2758" s="49"/>
      <c r="T2758" s="49"/>
      <c r="U2758" s="49"/>
      <c r="V2758" s="49"/>
      <c r="W2758" s="56"/>
      <c r="X2758" s="51" t="str">
        <f t="shared" si="5"/>
        <v/>
      </c>
      <c r="Y2758" s="50" t="s">
        <v>482</v>
      </c>
      <c r="Z2758" s="49">
        <f t="shared" si="6"/>
        <v>0</v>
      </c>
    </row>
    <row r="2759" ht="22.5" customHeight="1">
      <c r="B2759" s="57"/>
      <c r="C2759" s="43" t="str">
        <f t="array" ref="C2759">IF(B2759="","",_xlfn.XLOOKUP(B2759,'Form responses 1'!$B$2:$B$2604,'Form responses 1'!$A$2:$A$2604,""))</f>
        <v/>
      </c>
      <c r="D2759" s="44" t="str">
        <f t="shared" si="3"/>
        <v/>
      </c>
      <c r="E2759" s="44" t="str">
        <f t="array" ref="E2759">IF(B2759="","",_xlfn.XLOOKUP(B2759,'Form responses 1'!$B$2:$B$2604,'Form responses 1'!$C$2:$C$2604,""))</f>
        <v/>
      </c>
      <c r="F2759" s="44" t="str">
        <f t="array" ref="F2759">IF(B2759="","",_xlfn.XLOOKUP(B2759,'Form responses 1'!$B$2:$B$2604,'Form responses 1'!$D$2:$D$2604,""))</f>
        <v/>
      </c>
      <c r="G2759" s="44" t="str">
        <f t="array" ref="G2759">IF(B2759="","",_xlfn.XLOOKUP(B2759,'Form responses 1'!$B$2:$B$2604,'Form responses 1'!$E$2:$E$2604,""))</f>
        <v/>
      </c>
      <c r="H2759" s="44" t="str">
        <f t="array" ref="H2759">IF(B2759="","",_xlfn.XLOOKUP(B2759,'Form responses 1'!$B$2:$B$2604,'Form responses 1'!$F$2:$F$2604,""))</f>
        <v/>
      </c>
      <c r="I2759" s="44" t="str">
        <f t="array" ref="I2759">IF(B2759="","",_xlfn.XLOOKUP(B2759,'Form responses 1'!$B$2:$B$2604,'Form responses 1'!$I$2:$I$2604,""))</f>
        <v/>
      </c>
      <c r="J2759" s="44" t="str">
        <f t="array" ref="J2759">IF(B2759="","",_xlfn.XLOOKUP(B2759,'Form responses 1'!$B$2:$B$2604,'Form responses 1'!$G$2:$G$2604,""))</f>
        <v/>
      </c>
      <c r="K2759" s="56"/>
      <c r="L2759" s="58" t="str">
        <f t="shared" si="7"/>
        <v/>
      </c>
      <c r="M2759" s="49"/>
      <c r="N2759" s="49"/>
      <c r="O2759" s="49"/>
      <c r="P2759" s="49"/>
      <c r="Q2759" s="49"/>
      <c r="R2759" s="49"/>
      <c r="S2759" s="49"/>
      <c r="T2759" s="49"/>
      <c r="U2759" s="49"/>
      <c r="V2759" s="49"/>
      <c r="W2759" s="56"/>
      <c r="X2759" s="51" t="str">
        <f t="shared" si="5"/>
        <v/>
      </c>
      <c r="Y2759" s="50" t="s">
        <v>482</v>
      </c>
      <c r="Z2759" s="49">
        <f t="shared" si="6"/>
        <v>0</v>
      </c>
    </row>
    <row r="2760" ht="22.5" customHeight="1">
      <c r="B2760" s="57"/>
      <c r="C2760" s="43" t="str">
        <f t="array" ref="C2760">IF(B2760="","",_xlfn.XLOOKUP(B2760,'Form responses 1'!$B$2:$B$2604,'Form responses 1'!$A$2:$A$2604,""))</f>
        <v/>
      </c>
      <c r="D2760" s="44" t="str">
        <f t="shared" si="3"/>
        <v/>
      </c>
      <c r="E2760" s="44" t="str">
        <f t="array" ref="E2760">IF(B2760="","",_xlfn.XLOOKUP(B2760,'Form responses 1'!$B$2:$B$2604,'Form responses 1'!$C$2:$C$2604,""))</f>
        <v/>
      </c>
      <c r="F2760" s="44" t="str">
        <f t="array" ref="F2760">IF(B2760="","",_xlfn.XLOOKUP(B2760,'Form responses 1'!$B$2:$B$2604,'Form responses 1'!$D$2:$D$2604,""))</f>
        <v/>
      </c>
      <c r="G2760" s="44" t="str">
        <f t="array" ref="G2760">IF(B2760="","",_xlfn.XLOOKUP(B2760,'Form responses 1'!$B$2:$B$2604,'Form responses 1'!$E$2:$E$2604,""))</f>
        <v/>
      </c>
      <c r="H2760" s="44" t="str">
        <f t="array" ref="H2760">IF(B2760="","",_xlfn.XLOOKUP(B2760,'Form responses 1'!$B$2:$B$2604,'Form responses 1'!$F$2:$F$2604,""))</f>
        <v/>
      </c>
      <c r="I2760" s="44" t="str">
        <f t="array" ref="I2760">IF(B2760="","",_xlfn.XLOOKUP(B2760,'Form responses 1'!$B$2:$B$2604,'Form responses 1'!$I$2:$I$2604,""))</f>
        <v/>
      </c>
      <c r="J2760" s="44" t="str">
        <f t="array" ref="J2760">IF(B2760="","",_xlfn.XLOOKUP(B2760,'Form responses 1'!$B$2:$B$2604,'Form responses 1'!$G$2:$G$2604,""))</f>
        <v/>
      </c>
      <c r="K2760" s="56"/>
      <c r="L2760" s="58" t="str">
        <f t="shared" si="7"/>
        <v/>
      </c>
      <c r="M2760" s="49"/>
      <c r="N2760" s="49"/>
      <c r="O2760" s="49"/>
      <c r="P2760" s="49"/>
      <c r="Q2760" s="49"/>
      <c r="R2760" s="49"/>
      <c r="S2760" s="49"/>
      <c r="T2760" s="49"/>
      <c r="U2760" s="49"/>
      <c r="V2760" s="49"/>
      <c r="W2760" s="56"/>
      <c r="X2760" s="51" t="str">
        <f t="shared" si="5"/>
        <v/>
      </c>
      <c r="Y2760" s="50" t="s">
        <v>482</v>
      </c>
      <c r="Z2760" s="49">
        <f t="shared" si="6"/>
        <v>0</v>
      </c>
    </row>
    <row r="2761" ht="22.5" customHeight="1">
      <c r="B2761" s="57"/>
      <c r="C2761" s="43" t="str">
        <f t="array" ref="C2761">IF(B2761="","",_xlfn.XLOOKUP(B2761,'Form responses 1'!$B$2:$B$2604,'Form responses 1'!$A$2:$A$2604,""))</f>
        <v/>
      </c>
      <c r="D2761" s="44" t="str">
        <f t="shared" si="3"/>
        <v/>
      </c>
      <c r="E2761" s="44" t="str">
        <f t="array" ref="E2761">IF(B2761="","",_xlfn.XLOOKUP(B2761,'Form responses 1'!$B$2:$B$2604,'Form responses 1'!$C$2:$C$2604,""))</f>
        <v/>
      </c>
      <c r="F2761" s="44" t="str">
        <f t="array" ref="F2761">IF(B2761="","",_xlfn.XLOOKUP(B2761,'Form responses 1'!$B$2:$B$2604,'Form responses 1'!$D$2:$D$2604,""))</f>
        <v/>
      </c>
      <c r="G2761" s="44" t="str">
        <f t="array" ref="G2761">IF(B2761="","",_xlfn.XLOOKUP(B2761,'Form responses 1'!$B$2:$B$2604,'Form responses 1'!$E$2:$E$2604,""))</f>
        <v/>
      </c>
      <c r="H2761" s="44" t="str">
        <f t="array" ref="H2761">IF(B2761="","",_xlfn.XLOOKUP(B2761,'Form responses 1'!$B$2:$B$2604,'Form responses 1'!$F$2:$F$2604,""))</f>
        <v/>
      </c>
      <c r="I2761" s="44" t="str">
        <f t="array" ref="I2761">IF(B2761="","",_xlfn.XLOOKUP(B2761,'Form responses 1'!$B$2:$B$2604,'Form responses 1'!$I$2:$I$2604,""))</f>
        <v/>
      </c>
      <c r="J2761" s="44" t="str">
        <f t="array" ref="J2761">IF(B2761="","",_xlfn.XLOOKUP(B2761,'Form responses 1'!$B$2:$B$2604,'Form responses 1'!$G$2:$G$2604,""))</f>
        <v/>
      </c>
      <c r="K2761" s="56"/>
      <c r="L2761" s="58" t="str">
        <f t="shared" si="7"/>
        <v/>
      </c>
      <c r="M2761" s="49"/>
      <c r="N2761" s="49"/>
      <c r="O2761" s="49"/>
      <c r="P2761" s="49"/>
      <c r="Q2761" s="49"/>
      <c r="R2761" s="49"/>
      <c r="S2761" s="49"/>
      <c r="T2761" s="49"/>
      <c r="U2761" s="49"/>
      <c r="V2761" s="49"/>
      <c r="W2761" s="56"/>
      <c r="X2761" s="51" t="str">
        <f t="shared" si="5"/>
        <v/>
      </c>
      <c r="Y2761" s="50" t="s">
        <v>482</v>
      </c>
      <c r="Z2761" s="49">
        <f t="shared" si="6"/>
        <v>0</v>
      </c>
    </row>
    <row r="2762" ht="22.5" customHeight="1">
      <c r="B2762" s="57"/>
      <c r="C2762" s="43" t="str">
        <f t="array" ref="C2762">IF(B2762="","",_xlfn.XLOOKUP(B2762,'Form responses 1'!$B$2:$B$2604,'Form responses 1'!$A$2:$A$2604,""))</f>
        <v/>
      </c>
      <c r="D2762" s="44" t="str">
        <f t="shared" si="3"/>
        <v/>
      </c>
      <c r="E2762" s="44" t="str">
        <f t="array" ref="E2762">IF(B2762="","",_xlfn.XLOOKUP(B2762,'Form responses 1'!$B$2:$B$2604,'Form responses 1'!$C$2:$C$2604,""))</f>
        <v/>
      </c>
      <c r="F2762" s="44" t="str">
        <f t="array" ref="F2762">IF(B2762="","",_xlfn.XLOOKUP(B2762,'Form responses 1'!$B$2:$B$2604,'Form responses 1'!$D$2:$D$2604,""))</f>
        <v/>
      </c>
      <c r="G2762" s="44" t="str">
        <f t="array" ref="G2762">IF(B2762="","",_xlfn.XLOOKUP(B2762,'Form responses 1'!$B$2:$B$2604,'Form responses 1'!$E$2:$E$2604,""))</f>
        <v/>
      </c>
      <c r="H2762" s="44" t="str">
        <f t="array" ref="H2762">IF(B2762="","",_xlfn.XLOOKUP(B2762,'Form responses 1'!$B$2:$B$2604,'Form responses 1'!$F$2:$F$2604,""))</f>
        <v/>
      </c>
      <c r="I2762" s="44" t="str">
        <f t="array" ref="I2762">IF(B2762="","",_xlfn.XLOOKUP(B2762,'Form responses 1'!$B$2:$B$2604,'Form responses 1'!$I$2:$I$2604,""))</f>
        <v/>
      </c>
      <c r="J2762" s="44" t="str">
        <f t="array" ref="J2762">IF(B2762="","",_xlfn.XLOOKUP(B2762,'Form responses 1'!$B$2:$B$2604,'Form responses 1'!$G$2:$G$2604,""))</f>
        <v/>
      </c>
      <c r="K2762" s="56"/>
      <c r="L2762" s="58" t="str">
        <f t="shared" si="7"/>
        <v/>
      </c>
      <c r="M2762" s="49"/>
      <c r="N2762" s="49"/>
      <c r="O2762" s="49"/>
      <c r="P2762" s="49"/>
      <c r="Q2762" s="49"/>
      <c r="R2762" s="49"/>
      <c r="S2762" s="49"/>
      <c r="T2762" s="49"/>
      <c r="U2762" s="49"/>
      <c r="V2762" s="49"/>
      <c r="W2762" s="56"/>
      <c r="X2762" s="51" t="str">
        <f t="shared" si="5"/>
        <v/>
      </c>
      <c r="Y2762" s="50" t="s">
        <v>482</v>
      </c>
      <c r="Z2762" s="49">
        <f t="shared" si="6"/>
        <v>0</v>
      </c>
    </row>
    <row r="2763" ht="22.5" customHeight="1">
      <c r="B2763" s="57"/>
      <c r="C2763" s="43" t="str">
        <f t="array" ref="C2763">IF(B2763="","",_xlfn.XLOOKUP(B2763,'Form responses 1'!$B$2:$B$2604,'Form responses 1'!$A$2:$A$2604,""))</f>
        <v/>
      </c>
      <c r="D2763" s="44" t="str">
        <f t="shared" si="3"/>
        <v/>
      </c>
      <c r="E2763" s="44" t="str">
        <f t="array" ref="E2763">IF(B2763="","",_xlfn.XLOOKUP(B2763,'Form responses 1'!$B$2:$B$2604,'Form responses 1'!$C$2:$C$2604,""))</f>
        <v/>
      </c>
      <c r="F2763" s="44" t="str">
        <f t="array" ref="F2763">IF(B2763="","",_xlfn.XLOOKUP(B2763,'Form responses 1'!$B$2:$B$2604,'Form responses 1'!$D$2:$D$2604,""))</f>
        <v/>
      </c>
      <c r="G2763" s="44" t="str">
        <f t="array" ref="G2763">IF(B2763="","",_xlfn.XLOOKUP(B2763,'Form responses 1'!$B$2:$B$2604,'Form responses 1'!$E$2:$E$2604,""))</f>
        <v/>
      </c>
      <c r="H2763" s="44" t="str">
        <f t="array" ref="H2763">IF(B2763="","",_xlfn.XLOOKUP(B2763,'Form responses 1'!$B$2:$B$2604,'Form responses 1'!$F$2:$F$2604,""))</f>
        <v/>
      </c>
      <c r="I2763" s="44" t="str">
        <f t="array" ref="I2763">IF(B2763="","",_xlfn.XLOOKUP(B2763,'Form responses 1'!$B$2:$B$2604,'Form responses 1'!$I$2:$I$2604,""))</f>
        <v/>
      </c>
      <c r="J2763" s="44" t="str">
        <f t="array" ref="J2763">IF(B2763="","",_xlfn.XLOOKUP(B2763,'Form responses 1'!$B$2:$B$2604,'Form responses 1'!$G$2:$G$2604,""))</f>
        <v/>
      </c>
      <c r="K2763" s="56"/>
      <c r="L2763" s="58" t="str">
        <f t="shared" si="7"/>
        <v/>
      </c>
      <c r="M2763" s="49"/>
      <c r="N2763" s="49"/>
      <c r="O2763" s="49"/>
      <c r="P2763" s="49"/>
      <c r="Q2763" s="49"/>
      <c r="R2763" s="49"/>
      <c r="S2763" s="49"/>
      <c r="T2763" s="49"/>
      <c r="U2763" s="49"/>
      <c r="V2763" s="49"/>
      <c r="W2763" s="56"/>
      <c r="X2763" s="51" t="str">
        <f t="shared" si="5"/>
        <v/>
      </c>
      <c r="Y2763" s="50" t="s">
        <v>482</v>
      </c>
      <c r="Z2763" s="49">
        <f t="shared" si="6"/>
        <v>0</v>
      </c>
    </row>
    <row r="2764" ht="22.5" customHeight="1">
      <c r="B2764" s="57"/>
      <c r="C2764" s="43" t="str">
        <f t="array" ref="C2764">IF(B2764="","",_xlfn.XLOOKUP(B2764,'Form responses 1'!$B$2:$B$2604,'Form responses 1'!$A$2:$A$2604,""))</f>
        <v/>
      </c>
      <c r="D2764" s="44" t="str">
        <f t="shared" si="3"/>
        <v/>
      </c>
      <c r="E2764" s="44" t="str">
        <f t="array" ref="E2764">IF(B2764="","",_xlfn.XLOOKUP(B2764,'Form responses 1'!$B$2:$B$2604,'Form responses 1'!$C$2:$C$2604,""))</f>
        <v/>
      </c>
      <c r="F2764" s="44" t="str">
        <f t="array" ref="F2764">IF(B2764="","",_xlfn.XLOOKUP(B2764,'Form responses 1'!$B$2:$B$2604,'Form responses 1'!$D$2:$D$2604,""))</f>
        <v/>
      </c>
      <c r="G2764" s="44" t="str">
        <f t="array" ref="G2764">IF(B2764="","",_xlfn.XLOOKUP(B2764,'Form responses 1'!$B$2:$B$2604,'Form responses 1'!$E$2:$E$2604,""))</f>
        <v/>
      </c>
      <c r="H2764" s="44" t="str">
        <f t="array" ref="H2764">IF(B2764="","",_xlfn.XLOOKUP(B2764,'Form responses 1'!$B$2:$B$2604,'Form responses 1'!$F$2:$F$2604,""))</f>
        <v/>
      </c>
      <c r="I2764" s="44" t="str">
        <f t="array" ref="I2764">IF(B2764="","",_xlfn.XLOOKUP(B2764,'Form responses 1'!$B$2:$B$2604,'Form responses 1'!$I$2:$I$2604,""))</f>
        <v/>
      </c>
      <c r="J2764" s="44" t="str">
        <f t="array" ref="J2764">IF(B2764="","",_xlfn.XLOOKUP(B2764,'Form responses 1'!$B$2:$B$2604,'Form responses 1'!$G$2:$G$2604,""))</f>
        <v/>
      </c>
      <c r="K2764" s="56"/>
      <c r="L2764" s="58" t="str">
        <f t="shared" si="7"/>
        <v/>
      </c>
      <c r="M2764" s="49"/>
      <c r="N2764" s="49"/>
      <c r="O2764" s="49"/>
      <c r="P2764" s="49"/>
      <c r="Q2764" s="49"/>
      <c r="R2764" s="49"/>
      <c r="S2764" s="49"/>
      <c r="T2764" s="49"/>
      <c r="U2764" s="49"/>
      <c r="V2764" s="49"/>
      <c r="W2764" s="56"/>
      <c r="X2764" s="51" t="str">
        <f t="shared" si="5"/>
        <v/>
      </c>
      <c r="Y2764" s="50" t="s">
        <v>482</v>
      </c>
      <c r="Z2764" s="49">
        <f t="shared" si="6"/>
        <v>0</v>
      </c>
    </row>
    <row r="2765" ht="22.5" customHeight="1">
      <c r="B2765" s="57"/>
      <c r="C2765" s="43" t="str">
        <f t="array" ref="C2765">IF(B2765="","",_xlfn.XLOOKUP(B2765,'Form responses 1'!$B$2:$B$2604,'Form responses 1'!$A$2:$A$2604,""))</f>
        <v/>
      </c>
      <c r="D2765" s="44" t="str">
        <f t="shared" si="3"/>
        <v/>
      </c>
      <c r="E2765" s="44" t="str">
        <f t="array" ref="E2765">IF(B2765="","",_xlfn.XLOOKUP(B2765,'Form responses 1'!$B$2:$B$2604,'Form responses 1'!$C$2:$C$2604,""))</f>
        <v/>
      </c>
      <c r="F2765" s="44" t="str">
        <f t="array" ref="F2765">IF(B2765="","",_xlfn.XLOOKUP(B2765,'Form responses 1'!$B$2:$B$2604,'Form responses 1'!$D$2:$D$2604,""))</f>
        <v/>
      </c>
      <c r="G2765" s="44" t="str">
        <f t="array" ref="G2765">IF(B2765="","",_xlfn.XLOOKUP(B2765,'Form responses 1'!$B$2:$B$2604,'Form responses 1'!$E$2:$E$2604,""))</f>
        <v/>
      </c>
      <c r="H2765" s="44" t="str">
        <f t="array" ref="H2765">IF(B2765="","",_xlfn.XLOOKUP(B2765,'Form responses 1'!$B$2:$B$2604,'Form responses 1'!$F$2:$F$2604,""))</f>
        <v/>
      </c>
      <c r="I2765" s="44" t="str">
        <f t="array" ref="I2765">IF(B2765="","",_xlfn.XLOOKUP(B2765,'Form responses 1'!$B$2:$B$2604,'Form responses 1'!$I$2:$I$2604,""))</f>
        <v/>
      </c>
      <c r="J2765" s="44" t="str">
        <f t="array" ref="J2765">IF(B2765="","",_xlfn.XLOOKUP(B2765,'Form responses 1'!$B$2:$B$2604,'Form responses 1'!$G$2:$G$2604,""))</f>
        <v/>
      </c>
      <c r="K2765" s="56"/>
      <c r="L2765" s="58" t="str">
        <f t="shared" si="7"/>
        <v/>
      </c>
      <c r="M2765" s="49"/>
      <c r="N2765" s="49"/>
      <c r="O2765" s="49"/>
      <c r="P2765" s="49"/>
      <c r="Q2765" s="49"/>
      <c r="R2765" s="49"/>
      <c r="S2765" s="49"/>
      <c r="T2765" s="49"/>
      <c r="U2765" s="49"/>
      <c r="V2765" s="49"/>
      <c r="W2765" s="56"/>
      <c r="X2765" s="51" t="str">
        <f t="shared" si="5"/>
        <v/>
      </c>
      <c r="Y2765" s="50" t="s">
        <v>482</v>
      </c>
      <c r="Z2765" s="49">
        <f t="shared" si="6"/>
        <v>0</v>
      </c>
    </row>
    <row r="2766" ht="22.5" customHeight="1">
      <c r="B2766" s="57"/>
      <c r="C2766" s="43" t="str">
        <f t="array" ref="C2766">IF(B2766="","",_xlfn.XLOOKUP(B2766,'Form responses 1'!$B$2:$B$2604,'Form responses 1'!$A$2:$A$2604,""))</f>
        <v/>
      </c>
      <c r="D2766" s="44" t="str">
        <f t="shared" si="3"/>
        <v/>
      </c>
      <c r="E2766" s="44" t="str">
        <f t="array" ref="E2766">IF(B2766="","",_xlfn.XLOOKUP(B2766,'Form responses 1'!$B$2:$B$2604,'Form responses 1'!$C$2:$C$2604,""))</f>
        <v/>
      </c>
      <c r="F2766" s="44" t="str">
        <f t="array" ref="F2766">IF(B2766="","",_xlfn.XLOOKUP(B2766,'Form responses 1'!$B$2:$B$2604,'Form responses 1'!$D$2:$D$2604,""))</f>
        <v/>
      </c>
      <c r="G2766" s="44" t="str">
        <f t="array" ref="G2766">IF(B2766="","",_xlfn.XLOOKUP(B2766,'Form responses 1'!$B$2:$B$2604,'Form responses 1'!$E$2:$E$2604,""))</f>
        <v/>
      </c>
      <c r="H2766" s="44" t="str">
        <f t="array" ref="H2766">IF(B2766="","",_xlfn.XLOOKUP(B2766,'Form responses 1'!$B$2:$B$2604,'Form responses 1'!$F$2:$F$2604,""))</f>
        <v/>
      </c>
      <c r="I2766" s="44" t="str">
        <f t="array" ref="I2766">IF(B2766="","",_xlfn.XLOOKUP(B2766,'Form responses 1'!$B$2:$B$2604,'Form responses 1'!$I$2:$I$2604,""))</f>
        <v/>
      </c>
      <c r="J2766" s="44" t="str">
        <f t="array" ref="J2766">IF(B2766="","",_xlfn.XLOOKUP(B2766,'Form responses 1'!$B$2:$B$2604,'Form responses 1'!$G$2:$G$2604,""))</f>
        <v/>
      </c>
      <c r="K2766" s="56"/>
      <c r="L2766" s="58" t="str">
        <f t="shared" si="7"/>
        <v/>
      </c>
      <c r="M2766" s="49"/>
      <c r="N2766" s="49"/>
      <c r="O2766" s="49"/>
      <c r="P2766" s="49"/>
      <c r="Q2766" s="49"/>
      <c r="R2766" s="49"/>
      <c r="S2766" s="49"/>
      <c r="T2766" s="49"/>
      <c r="U2766" s="49"/>
      <c r="V2766" s="49"/>
      <c r="W2766" s="56"/>
      <c r="X2766" s="51" t="str">
        <f t="shared" si="5"/>
        <v/>
      </c>
      <c r="Y2766" s="50" t="s">
        <v>482</v>
      </c>
      <c r="Z2766" s="49">
        <f t="shared" si="6"/>
        <v>0</v>
      </c>
    </row>
    <row r="2767" ht="22.5" customHeight="1">
      <c r="B2767" s="57"/>
      <c r="C2767" s="43" t="str">
        <f t="array" ref="C2767">IF(B2767="","",_xlfn.XLOOKUP(B2767,'Form responses 1'!$B$2:$B$2604,'Form responses 1'!$A$2:$A$2604,""))</f>
        <v/>
      </c>
      <c r="D2767" s="44" t="str">
        <f t="shared" si="3"/>
        <v/>
      </c>
      <c r="E2767" s="44" t="str">
        <f t="array" ref="E2767">IF(B2767="","",_xlfn.XLOOKUP(B2767,'Form responses 1'!$B$2:$B$2604,'Form responses 1'!$C$2:$C$2604,""))</f>
        <v/>
      </c>
      <c r="F2767" s="44" t="str">
        <f t="array" ref="F2767">IF(B2767="","",_xlfn.XLOOKUP(B2767,'Form responses 1'!$B$2:$B$2604,'Form responses 1'!$D$2:$D$2604,""))</f>
        <v/>
      </c>
      <c r="G2767" s="44" t="str">
        <f t="array" ref="G2767">IF(B2767="","",_xlfn.XLOOKUP(B2767,'Form responses 1'!$B$2:$B$2604,'Form responses 1'!$E$2:$E$2604,""))</f>
        <v/>
      </c>
      <c r="H2767" s="44" t="str">
        <f t="array" ref="H2767">IF(B2767="","",_xlfn.XLOOKUP(B2767,'Form responses 1'!$B$2:$B$2604,'Form responses 1'!$F$2:$F$2604,""))</f>
        <v/>
      </c>
      <c r="I2767" s="44" t="str">
        <f t="array" ref="I2767">IF(B2767="","",_xlfn.XLOOKUP(B2767,'Form responses 1'!$B$2:$B$2604,'Form responses 1'!$I$2:$I$2604,""))</f>
        <v/>
      </c>
      <c r="J2767" s="44" t="str">
        <f t="array" ref="J2767">IF(B2767="","",_xlfn.XLOOKUP(B2767,'Form responses 1'!$B$2:$B$2604,'Form responses 1'!$G$2:$G$2604,""))</f>
        <v/>
      </c>
      <c r="K2767" s="56"/>
      <c r="L2767" s="58" t="str">
        <f t="shared" si="7"/>
        <v/>
      </c>
      <c r="M2767" s="49"/>
      <c r="N2767" s="49"/>
      <c r="O2767" s="49"/>
      <c r="P2767" s="49"/>
      <c r="Q2767" s="49"/>
      <c r="R2767" s="49"/>
      <c r="S2767" s="49"/>
      <c r="T2767" s="49"/>
      <c r="U2767" s="49"/>
      <c r="V2767" s="49"/>
      <c r="W2767" s="56"/>
      <c r="X2767" s="51" t="str">
        <f t="shared" si="5"/>
        <v/>
      </c>
      <c r="Y2767" s="50" t="s">
        <v>482</v>
      </c>
      <c r="Z2767" s="49">
        <f t="shared" si="6"/>
        <v>0</v>
      </c>
    </row>
    <row r="2768" ht="22.5" customHeight="1">
      <c r="B2768" s="57"/>
      <c r="C2768" s="43" t="str">
        <f t="array" ref="C2768">IF(B2768="","",_xlfn.XLOOKUP(B2768,'Form responses 1'!$B$2:$B$2604,'Form responses 1'!$A$2:$A$2604,""))</f>
        <v/>
      </c>
      <c r="D2768" s="44" t="str">
        <f t="shared" si="3"/>
        <v/>
      </c>
      <c r="E2768" s="44" t="str">
        <f t="array" ref="E2768">IF(B2768="","",_xlfn.XLOOKUP(B2768,'Form responses 1'!$B$2:$B$2604,'Form responses 1'!$C$2:$C$2604,""))</f>
        <v/>
      </c>
      <c r="F2768" s="44" t="str">
        <f t="array" ref="F2768">IF(B2768="","",_xlfn.XLOOKUP(B2768,'Form responses 1'!$B$2:$B$2604,'Form responses 1'!$D$2:$D$2604,""))</f>
        <v/>
      </c>
      <c r="G2768" s="44" t="str">
        <f t="array" ref="G2768">IF(B2768="","",_xlfn.XLOOKUP(B2768,'Form responses 1'!$B$2:$B$2604,'Form responses 1'!$E$2:$E$2604,""))</f>
        <v/>
      </c>
      <c r="H2768" s="44" t="str">
        <f t="array" ref="H2768">IF(B2768="","",_xlfn.XLOOKUP(B2768,'Form responses 1'!$B$2:$B$2604,'Form responses 1'!$F$2:$F$2604,""))</f>
        <v/>
      </c>
      <c r="I2768" s="44" t="str">
        <f t="array" ref="I2768">IF(B2768="","",_xlfn.XLOOKUP(B2768,'Form responses 1'!$B$2:$B$2604,'Form responses 1'!$I$2:$I$2604,""))</f>
        <v/>
      </c>
      <c r="J2768" s="44" t="str">
        <f t="array" ref="J2768">IF(B2768="","",_xlfn.XLOOKUP(B2768,'Form responses 1'!$B$2:$B$2604,'Form responses 1'!$G$2:$G$2604,""))</f>
        <v/>
      </c>
      <c r="K2768" s="56"/>
      <c r="L2768" s="58" t="str">
        <f t="shared" si="7"/>
        <v/>
      </c>
      <c r="M2768" s="49"/>
      <c r="N2768" s="49"/>
      <c r="O2768" s="49"/>
      <c r="P2768" s="49"/>
      <c r="Q2768" s="49"/>
      <c r="R2768" s="49"/>
      <c r="S2768" s="49"/>
      <c r="T2768" s="49"/>
      <c r="U2768" s="49"/>
      <c r="V2768" s="49"/>
      <c r="W2768" s="56"/>
      <c r="X2768" s="51" t="str">
        <f t="shared" si="5"/>
        <v/>
      </c>
      <c r="Y2768" s="50" t="s">
        <v>482</v>
      </c>
      <c r="Z2768" s="49">
        <f t="shared" si="6"/>
        <v>0</v>
      </c>
    </row>
    <row r="2769" ht="22.5" customHeight="1">
      <c r="B2769" s="57"/>
      <c r="C2769" s="43" t="str">
        <f t="array" ref="C2769">IF(B2769="","",_xlfn.XLOOKUP(B2769,'Form responses 1'!$B$2:$B$2604,'Form responses 1'!$A$2:$A$2604,""))</f>
        <v/>
      </c>
      <c r="D2769" s="44" t="str">
        <f t="shared" si="3"/>
        <v/>
      </c>
      <c r="E2769" s="44" t="str">
        <f t="array" ref="E2769">IF(B2769="","",_xlfn.XLOOKUP(B2769,'Form responses 1'!$B$2:$B$2604,'Form responses 1'!$C$2:$C$2604,""))</f>
        <v/>
      </c>
      <c r="F2769" s="44" t="str">
        <f t="array" ref="F2769">IF(B2769="","",_xlfn.XLOOKUP(B2769,'Form responses 1'!$B$2:$B$2604,'Form responses 1'!$D$2:$D$2604,""))</f>
        <v/>
      </c>
      <c r="G2769" s="44" t="str">
        <f t="array" ref="G2769">IF(B2769="","",_xlfn.XLOOKUP(B2769,'Form responses 1'!$B$2:$B$2604,'Form responses 1'!$E$2:$E$2604,""))</f>
        <v/>
      </c>
      <c r="H2769" s="44" t="str">
        <f t="array" ref="H2769">IF(B2769="","",_xlfn.XLOOKUP(B2769,'Form responses 1'!$B$2:$B$2604,'Form responses 1'!$F$2:$F$2604,""))</f>
        <v/>
      </c>
      <c r="I2769" s="44" t="str">
        <f t="array" ref="I2769">IF(B2769="","",_xlfn.XLOOKUP(B2769,'Form responses 1'!$B$2:$B$2604,'Form responses 1'!$I$2:$I$2604,""))</f>
        <v/>
      </c>
      <c r="J2769" s="44" t="str">
        <f t="array" ref="J2769">IF(B2769="","",_xlfn.XLOOKUP(B2769,'Form responses 1'!$B$2:$B$2604,'Form responses 1'!$G$2:$G$2604,""))</f>
        <v/>
      </c>
      <c r="K2769" s="56"/>
      <c r="L2769" s="58" t="str">
        <f t="shared" si="7"/>
        <v/>
      </c>
      <c r="M2769" s="49"/>
      <c r="N2769" s="49"/>
      <c r="O2769" s="49"/>
      <c r="P2769" s="49"/>
      <c r="Q2769" s="49"/>
      <c r="R2769" s="49"/>
      <c r="S2769" s="49"/>
      <c r="T2769" s="49"/>
      <c r="U2769" s="49"/>
      <c r="V2769" s="49"/>
      <c r="W2769" s="56"/>
      <c r="X2769" s="51" t="str">
        <f t="shared" si="5"/>
        <v/>
      </c>
      <c r="Y2769" s="50" t="s">
        <v>482</v>
      </c>
      <c r="Z2769" s="49">
        <f t="shared" si="6"/>
        <v>0</v>
      </c>
    </row>
    <row r="2770" ht="22.5" customHeight="1">
      <c r="B2770" s="57"/>
      <c r="C2770" s="43" t="str">
        <f t="array" ref="C2770">IF(B2770="","",_xlfn.XLOOKUP(B2770,'Form responses 1'!$B$2:$B$2604,'Form responses 1'!$A$2:$A$2604,""))</f>
        <v/>
      </c>
      <c r="D2770" s="44" t="str">
        <f t="shared" si="3"/>
        <v/>
      </c>
      <c r="E2770" s="44" t="str">
        <f t="array" ref="E2770">IF(B2770="","",_xlfn.XLOOKUP(B2770,'Form responses 1'!$B$2:$B$2604,'Form responses 1'!$C$2:$C$2604,""))</f>
        <v/>
      </c>
      <c r="F2770" s="44" t="str">
        <f t="array" ref="F2770">IF(B2770="","",_xlfn.XLOOKUP(B2770,'Form responses 1'!$B$2:$B$2604,'Form responses 1'!$D$2:$D$2604,""))</f>
        <v/>
      </c>
      <c r="G2770" s="44" t="str">
        <f t="array" ref="G2770">IF(B2770="","",_xlfn.XLOOKUP(B2770,'Form responses 1'!$B$2:$B$2604,'Form responses 1'!$E$2:$E$2604,""))</f>
        <v/>
      </c>
      <c r="H2770" s="44" t="str">
        <f t="array" ref="H2770">IF(B2770="","",_xlfn.XLOOKUP(B2770,'Form responses 1'!$B$2:$B$2604,'Form responses 1'!$F$2:$F$2604,""))</f>
        <v/>
      </c>
      <c r="I2770" s="44" t="str">
        <f t="array" ref="I2770">IF(B2770="","",_xlfn.XLOOKUP(B2770,'Form responses 1'!$B$2:$B$2604,'Form responses 1'!$I$2:$I$2604,""))</f>
        <v/>
      </c>
      <c r="J2770" s="44" t="str">
        <f t="array" ref="J2770">IF(B2770="","",_xlfn.XLOOKUP(B2770,'Form responses 1'!$B$2:$B$2604,'Form responses 1'!$G$2:$G$2604,""))</f>
        <v/>
      </c>
      <c r="K2770" s="56"/>
      <c r="L2770" s="58" t="str">
        <f t="shared" si="7"/>
        <v/>
      </c>
      <c r="M2770" s="49"/>
      <c r="N2770" s="49"/>
      <c r="O2770" s="49"/>
      <c r="P2770" s="49"/>
      <c r="Q2770" s="49"/>
      <c r="R2770" s="49"/>
      <c r="S2770" s="49"/>
      <c r="T2770" s="49"/>
      <c r="U2770" s="49"/>
      <c r="V2770" s="49"/>
      <c r="W2770" s="56"/>
      <c r="X2770" s="51" t="str">
        <f t="shared" si="5"/>
        <v/>
      </c>
      <c r="Y2770" s="50" t="s">
        <v>482</v>
      </c>
      <c r="Z2770" s="49">
        <f t="shared" si="6"/>
        <v>0</v>
      </c>
    </row>
    <row r="2771" ht="22.5" customHeight="1">
      <c r="B2771" s="57"/>
      <c r="C2771" s="43" t="str">
        <f t="array" ref="C2771">IF(B2771="","",_xlfn.XLOOKUP(B2771,'Form responses 1'!$B$2:$B$2604,'Form responses 1'!$A$2:$A$2604,""))</f>
        <v/>
      </c>
      <c r="D2771" s="44" t="str">
        <f t="shared" si="3"/>
        <v/>
      </c>
      <c r="E2771" s="44" t="str">
        <f t="array" ref="E2771">IF(B2771="","",_xlfn.XLOOKUP(B2771,'Form responses 1'!$B$2:$B$2604,'Form responses 1'!$C$2:$C$2604,""))</f>
        <v/>
      </c>
      <c r="F2771" s="44" t="str">
        <f t="array" ref="F2771">IF(B2771="","",_xlfn.XLOOKUP(B2771,'Form responses 1'!$B$2:$B$2604,'Form responses 1'!$D$2:$D$2604,""))</f>
        <v/>
      </c>
      <c r="G2771" s="44" t="str">
        <f t="array" ref="G2771">IF(B2771="","",_xlfn.XLOOKUP(B2771,'Form responses 1'!$B$2:$B$2604,'Form responses 1'!$E$2:$E$2604,""))</f>
        <v/>
      </c>
      <c r="H2771" s="44" t="str">
        <f t="array" ref="H2771">IF(B2771="","",_xlfn.XLOOKUP(B2771,'Form responses 1'!$B$2:$B$2604,'Form responses 1'!$F$2:$F$2604,""))</f>
        <v/>
      </c>
      <c r="I2771" s="44" t="str">
        <f t="array" ref="I2771">IF(B2771="","",_xlfn.XLOOKUP(B2771,'Form responses 1'!$B$2:$B$2604,'Form responses 1'!$I$2:$I$2604,""))</f>
        <v/>
      </c>
      <c r="J2771" s="44" t="str">
        <f t="array" ref="J2771">IF(B2771="","",_xlfn.XLOOKUP(B2771,'Form responses 1'!$B$2:$B$2604,'Form responses 1'!$G$2:$G$2604,""))</f>
        <v/>
      </c>
      <c r="K2771" s="56"/>
      <c r="L2771" s="58" t="str">
        <f t="shared" si="7"/>
        <v/>
      </c>
      <c r="M2771" s="49"/>
      <c r="N2771" s="49"/>
      <c r="O2771" s="49"/>
      <c r="P2771" s="49"/>
      <c r="Q2771" s="49"/>
      <c r="R2771" s="49"/>
      <c r="S2771" s="49"/>
      <c r="T2771" s="49"/>
      <c r="U2771" s="49"/>
      <c r="V2771" s="49"/>
      <c r="W2771" s="56"/>
      <c r="X2771" s="51" t="str">
        <f t="shared" si="5"/>
        <v/>
      </c>
      <c r="Y2771" s="50" t="s">
        <v>482</v>
      </c>
      <c r="Z2771" s="49">
        <f t="shared" si="6"/>
        <v>0</v>
      </c>
    </row>
    <row r="2772" ht="22.5" customHeight="1">
      <c r="B2772" s="57"/>
      <c r="C2772" s="43" t="str">
        <f t="array" ref="C2772">IF(B2772="","",_xlfn.XLOOKUP(B2772,'Form responses 1'!$B$2:$B$2604,'Form responses 1'!$A$2:$A$2604,""))</f>
        <v/>
      </c>
      <c r="D2772" s="44" t="str">
        <f t="shared" si="3"/>
        <v/>
      </c>
      <c r="E2772" s="44" t="str">
        <f t="array" ref="E2772">IF(B2772="","",_xlfn.XLOOKUP(B2772,'Form responses 1'!$B$2:$B$2604,'Form responses 1'!$C$2:$C$2604,""))</f>
        <v/>
      </c>
      <c r="F2772" s="44" t="str">
        <f t="array" ref="F2772">IF(B2772="","",_xlfn.XLOOKUP(B2772,'Form responses 1'!$B$2:$B$2604,'Form responses 1'!$D$2:$D$2604,""))</f>
        <v/>
      </c>
      <c r="G2772" s="44" t="str">
        <f t="array" ref="G2772">IF(B2772="","",_xlfn.XLOOKUP(B2772,'Form responses 1'!$B$2:$B$2604,'Form responses 1'!$E$2:$E$2604,""))</f>
        <v/>
      </c>
      <c r="H2772" s="44" t="str">
        <f t="array" ref="H2772">IF(B2772="","",_xlfn.XLOOKUP(B2772,'Form responses 1'!$B$2:$B$2604,'Form responses 1'!$F$2:$F$2604,""))</f>
        <v/>
      </c>
      <c r="I2772" s="44" t="str">
        <f t="array" ref="I2772">IF(B2772="","",_xlfn.XLOOKUP(B2772,'Form responses 1'!$B$2:$B$2604,'Form responses 1'!$I$2:$I$2604,""))</f>
        <v/>
      </c>
      <c r="J2772" s="44" t="str">
        <f t="array" ref="J2772">IF(B2772="","",_xlfn.XLOOKUP(B2772,'Form responses 1'!$B$2:$B$2604,'Form responses 1'!$G$2:$G$2604,""))</f>
        <v/>
      </c>
      <c r="K2772" s="56"/>
      <c r="L2772" s="58" t="str">
        <f t="shared" si="7"/>
        <v/>
      </c>
      <c r="M2772" s="49"/>
      <c r="N2772" s="49"/>
      <c r="O2772" s="49"/>
      <c r="P2772" s="49"/>
      <c r="Q2772" s="49"/>
      <c r="R2772" s="49"/>
      <c r="S2772" s="49"/>
      <c r="T2772" s="49"/>
      <c r="U2772" s="49"/>
      <c r="V2772" s="49"/>
      <c r="W2772" s="56"/>
      <c r="X2772" s="51" t="str">
        <f t="shared" si="5"/>
        <v/>
      </c>
      <c r="Y2772" s="50" t="s">
        <v>482</v>
      </c>
      <c r="Z2772" s="49">
        <f t="shared" si="6"/>
        <v>0</v>
      </c>
    </row>
    <row r="2773" ht="22.5" customHeight="1">
      <c r="B2773" s="57"/>
      <c r="C2773" s="43" t="str">
        <f t="array" ref="C2773">IF(B2773="","",_xlfn.XLOOKUP(B2773,'Form responses 1'!$B$2:$B$2604,'Form responses 1'!$A$2:$A$2604,""))</f>
        <v/>
      </c>
      <c r="D2773" s="44" t="str">
        <f t="shared" si="3"/>
        <v/>
      </c>
      <c r="E2773" s="44" t="str">
        <f t="array" ref="E2773">IF(B2773="","",_xlfn.XLOOKUP(B2773,'Form responses 1'!$B$2:$B$2604,'Form responses 1'!$C$2:$C$2604,""))</f>
        <v/>
      </c>
      <c r="F2773" s="44" t="str">
        <f t="array" ref="F2773">IF(B2773="","",_xlfn.XLOOKUP(B2773,'Form responses 1'!$B$2:$B$2604,'Form responses 1'!$D$2:$D$2604,""))</f>
        <v/>
      </c>
      <c r="G2773" s="44" t="str">
        <f t="array" ref="G2773">IF(B2773="","",_xlfn.XLOOKUP(B2773,'Form responses 1'!$B$2:$B$2604,'Form responses 1'!$E$2:$E$2604,""))</f>
        <v/>
      </c>
      <c r="H2773" s="44" t="str">
        <f t="array" ref="H2773">IF(B2773="","",_xlfn.XLOOKUP(B2773,'Form responses 1'!$B$2:$B$2604,'Form responses 1'!$F$2:$F$2604,""))</f>
        <v/>
      </c>
      <c r="I2773" s="44" t="str">
        <f t="array" ref="I2773">IF(B2773="","",_xlfn.XLOOKUP(B2773,'Form responses 1'!$B$2:$B$2604,'Form responses 1'!$I$2:$I$2604,""))</f>
        <v/>
      </c>
      <c r="J2773" s="44" t="str">
        <f t="array" ref="J2773">IF(B2773="","",_xlfn.XLOOKUP(B2773,'Form responses 1'!$B$2:$B$2604,'Form responses 1'!$G$2:$G$2604,""))</f>
        <v/>
      </c>
      <c r="K2773" s="56"/>
      <c r="L2773" s="58" t="str">
        <f t="shared" si="7"/>
        <v/>
      </c>
      <c r="M2773" s="49"/>
      <c r="N2773" s="49"/>
      <c r="O2773" s="49"/>
      <c r="P2773" s="49"/>
      <c r="Q2773" s="49"/>
      <c r="R2773" s="49"/>
      <c r="S2773" s="49"/>
      <c r="T2773" s="49"/>
      <c r="U2773" s="49"/>
      <c r="V2773" s="49"/>
      <c r="W2773" s="56"/>
      <c r="X2773" s="51" t="str">
        <f t="shared" si="5"/>
        <v/>
      </c>
      <c r="Y2773" s="50" t="s">
        <v>482</v>
      </c>
      <c r="Z2773" s="49">
        <f t="shared" si="6"/>
        <v>0</v>
      </c>
    </row>
    <row r="2774" ht="22.5" customHeight="1">
      <c r="B2774" s="57"/>
      <c r="C2774" s="43" t="str">
        <f t="array" ref="C2774">IF(B2774="","",_xlfn.XLOOKUP(B2774,'Form responses 1'!$B$2:$B$2604,'Form responses 1'!$A$2:$A$2604,""))</f>
        <v/>
      </c>
      <c r="D2774" s="44" t="str">
        <f t="shared" si="3"/>
        <v/>
      </c>
      <c r="E2774" s="44" t="str">
        <f t="array" ref="E2774">IF(B2774="","",_xlfn.XLOOKUP(B2774,'Form responses 1'!$B$2:$B$2604,'Form responses 1'!$C$2:$C$2604,""))</f>
        <v/>
      </c>
      <c r="F2774" s="44" t="str">
        <f t="array" ref="F2774">IF(B2774="","",_xlfn.XLOOKUP(B2774,'Form responses 1'!$B$2:$B$2604,'Form responses 1'!$D$2:$D$2604,""))</f>
        <v/>
      </c>
      <c r="G2774" s="44" t="str">
        <f t="array" ref="G2774">IF(B2774="","",_xlfn.XLOOKUP(B2774,'Form responses 1'!$B$2:$B$2604,'Form responses 1'!$E$2:$E$2604,""))</f>
        <v/>
      </c>
      <c r="H2774" s="44" t="str">
        <f t="array" ref="H2774">IF(B2774="","",_xlfn.XLOOKUP(B2774,'Form responses 1'!$B$2:$B$2604,'Form responses 1'!$F$2:$F$2604,""))</f>
        <v/>
      </c>
      <c r="I2774" s="44" t="str">
        <f t="array" ref="I2774">IF(B2774="","",_xlfn.XLOOKUP(B2774,'Form responses 1'!$B$2:$B$2604,'Form responses 1'!$I$2:$I$2604,""))</f>
        <v/>
      </c>
      <c r="J2774" s="44" t="str">
        <f t="array" ref="J2774">IF(B2774="","",_xlfn.XLOOKUP(B2774,'Form responses 1'!$B$2:$B$2604,'Form responses 1'!$G$2:$G$2604,""))</f>
        <v/>
      </c>
      <c r="K2774" s="56"/>
      <c r="L2774" s="58" t="str">
        <f t="shared" si="7"/>
        <v/>
      </c>
      <c r="M2774" s="49"/>
      <c r="N2774" s="49"/>
      <c r="O2774" s="49"/>
      <c r="P2774" s="49"/>
      <c r="Q2774" s="49"/>
      <c r="R2774" s="49"/>
      <c r="S2774" s="49"/>
      <c r="T2774" s="49"/>
      <c r="U2774" s="49"/>
      <c r="V2774" s="49"/>
      <c r="W2774" s="56"/>
      <c r="X2774" s="51" t="str">
        <f t="shared" si="5"/>
        <v/>
      </c>
      <c r="Y2774" s="50" t="s">
        <v>482</v>
      </c>
      <c r="Z2774" s="49">
        <f t="shared" si="6"/>
        <v>0</v>
      </c>
    </row>
    <row r="2775" ht="22.5" customHeight="1">
      <c r="B2775" s="57"/>
      <c r="C2775" s="43" t="str">
        <f t="array" ref="C2775">IF(B2775="","",_xlfn.XLOOKUP(B2775,'Form responses 1'!$B$2:$B$2604,'Form responses 1'!$A$2:$A$2604,""))</f>
        <v/>
      </c>
      <c r="D2775" s="44" t="str">
        <f t="shared" si="3"/>
        <v/>
      </c>
      <c r="E2775" s="44" t="str">
        <f t="array" ref="E2775">IF(B2775="","",_xlfn.XLOOKUP(B2775,'Form responses 1'!$B$2:$B$2604,'Form responses 1'!$C$2:$C$2604,""))</f>
        <v/>
      </c>
      <c r="F2775" s="44" t="str">
        <f t="array" ref="F2775">IF(B2775="","",_xlfn.XLOOKUP(B2775,'Form responses 1'!$B$2:$B$2604,'Form responses 1'!$D$2:$D$2604,""))</f>
        <v/>
      </c>
      <c r="G2775" s="44" t="str">
        <f t="array" ref="G2775">IF(B2775="","",_xlfn.XLOOKUP(B2775,'Form responses 1'!$B$2:$B$2604,'Form responses 1'!$E$2:$E$2604,""))</f>
        <v/>
      </c>
      <c r="H2775" s="44" t="str">
        <f t="array" ref="H2775">IF(B2775="","",_xlfn.XLOOKUP(B2775,'Form responses 1'!$B$2:$B$2604,'Form responses 1'!$F$2:$F$2604,""))</f>
        <v/>
      </c>
      <c r="I2775" s="44" t="str">
        <f t="array" ref="I2775">IF(B2775="","",_xlfn.XLOOKUP(B2775,'Form responses 1'!$B$2:$B$2604,'Form responses 1'!$I$2:$I$2604,""))</f>
        <v/>
      </c>
      <c r="J2775" s="44" t="str">
        <f t="array" ref="J2775">IF(B2775="","",_xlfn.XLOOKUP(B2775,'Form responses 1'!$B$2:$B$2604,'Form responses 1'!$G$2:$G$2604,""))</f>
        <v/>
      </c>
      <c r="K2775" s="56"/>
      <c r="L2775" s="58" t="str">
        <f t="shared" si="7"/>
        <v/>
      </c>
      <c r="M2775" s="49"/>
      <c r="N2775" s="49"/>
      <c r="O2775" s="49"/>
      <c r="P2775" s="49"/>
      <c r="Q2775" s="49"/>
      <c r="R2775" s="49"/>
      <c r="S2775" s="49"/>
      <c r="T2775" s="49"/>
      <c r="U2775" s="49"/>
      <c r="V2775" s="49"/>
      <c r="W2775" s="56"/>
      <c r="X2775" s="51" t="str">
        <f t="shared" si="5"/>
        <v/>
      </c>
      <c r="Y2775" s="50" t="s">
        <v>482</v>
      </c>
      <c r="Z2775" s="49">
        <f t="shared" si="6"/>
        <v>0</v>
      </c>
    </row>
    <row r="2776" ht="22.5" customHeight="1">
      <c r="B2776" s="57"/>
      <c r="C2776" s="43" t="str">
        <f t="array" ref="C2776">IF(B2776="","",_xlfn.XLOOKUP(B2776,'Form responses 1'!$B$2:$B$2604,'Form responses 1'!$A$2:$A$2604,""))</f>
        <v/>
      </c>
      <c r="D2776" s="44" t="str">
        <f t="shared" si="3"/>
        <v/>
      </c>
      <c r="E2776" s="44" t="str">
        <f t="array" ref="E2776">IF(B2776="","",_xlfn.XLOOKUP(B2776,'Form responses 1'!$B$2:$B$2604,'Form responses 1'!$C$2:$C$2604,""))</f>
        <v/>
      </c>
      <c r="F2776" s="44" t="str">
        <f t="array" ref="F2776">IF(B2776="","",_xlfn.XLOOKUP(B2776,'Form responses 1'!$B$2:$B$2604,'Form responses 1'!$D$2:$D$2604,""))</f>
        <v/>
      </c>
      <c r="G2776" s="44" t="str">
        <f t="array" ref="G2776">IF(B2776="","",_xlfn.XLOOKUP(B2776,'Form responses 1'!$B$2:$B$2604,'Form responses 1'!$E$2:$E$2604,""))</f>
        <v/>
      </c>
      <c r="H2776" s="44" t="str">
        <f t="array" ref="H2776">IF(B2776="","",_xlfn.XLOOKUP(B2776,'Form responses 1'!$B$2:$B$2604,'Form responses 1'!$F$2:$F$2604,""))</f>
        <v/>
      </c>
      <c r="I2776" s="44" t="str">
        <f t="array" ref="I2776">IF(B2776="","",_xlfn.XLOOKUP(B2776,'Form responses 1'!$B$2:$B$2604,'Form responses 1'!$I$2:$I$2604,""))</f>
        <v/>
      </c>
      <c r="J2776" s="44" t="str">
        <f t="array" ref="J2776">IF(B2776="","",_xlfn.XLOOKUP(B2776,'Form responses 1'!$B$2:$B$2604,'Form responses 1'!$G$2:$G$2604,""))</f>
        <v/>
      </c>
      <c r="K2776" s="56"/>
      <c r="L2776" s="58" t="str">
        <f t="shared" si="7"/>
        <v/>
      </c>
      <c r="M2776" s="49"/>
      <c r="N2776" s="49"/>
      <c r="O2776" s="49"/>
      <c r="P2776" s="49"/>
      <c r="Q2776" s="49"/>
      <c r="R2776" s="49"/>
      <c r="S2776" s="49"/>
      <c r="T2776" s="49"/>
      <c r="U2776" s="49"/>
      <c r="V2776" s="49"/>
      <c r="W2776" s="56"/>
      <c r="X2776" s="51" t="str">
        <f t="shared" si="5"/>
        <v/>
      </c>
      <c r="Y2776" s="50" t="s">
        <v>482</v>
      </c>
      <c r="Z2776" s="49">
        <f t="shared" si="6"/>
        <v>0</v>
      </c>
    </row>
    <row r="2777" ht="22.5" customHeight="1">
      <c r="B2777" s="57"/>
      <c r="C2777" s="43" t="str">
        <f t="array" ref="C2777">IF(B2777="","",_xlfn.XLOOKUP(B2777,'Form responses 1'!$B$2:$B$2604,'Form responses 1'!$A$2:$A$2604,""))</f>
        <v/>
      </c>
      <c r="D2777" s="44" t="str">
        <f t="shared" si="3"/>
        <v/>
      </c>
      <c r="E2777" s="44" t="str">
        <f t="array" ref="E2777">IF(B2777="","",_xlfn.XLOOKUP(B2777,'Form responses 1'!$B$2:$B$2604,'Form responses 1'!$C$2:$C$2604,""))</f>
        <v/>
      </c>
      <c r="F2777" s="44" t="str">
        <f t="array" ref="F2777">IF(B2777="","",_xlfn.XLOOKUP(B2777,'Form responses 1'!$B$2:$B$2604,'Form responses 1'!$D$2:$D$2604,""))</f>
        <v/>
      </c>
      <c r="G2777" s="44" t="str">
        <f t="array" ref="G2777">IF(B2777="","",_xlfn.XLOOKUP(B2777,'Form responses 1'!$B$2:$B$2604,'Form responses 1'!$E$2:$E$2604,""))</f>
        <v/>
      </c>
      <c r="H2777" s="44" t="str">
        <f t="array" ref="H2777">IF(B2777="","",_xlfn.XLOOKUP(B2777,'Form responses 1'!$B$2:$B$2604,'Form responses 1'!$F$2:$F$2604,""))</f>
        <v/>
      </c>
      <c r="I2777" s="44" t="str">
        <f t="array" ref="I2777">IF(B2777="","",_xlfn.XLOOKUP(B2777,'Form responses 1'!$B$2:$B$2604,'Form responses 1'!$I$2:$I$2604,""))</f>
        <v/>
      </c>
      <c r="J2777" s="44" t="str">
        <f t="array" ref="J2777">IF(B2777="","",_xlfn.XLOOKUP(B2777,'Form responses 1'!$B$2:$B$2604,'Form responses 1'!$G$2:$G$2604,""))</f>
        <v/>
      </c>
      <c r="K2777" s="56"/>
      <c r="L2777" s="58" t="str">
        <f t="shared" si="7"/>
        <v/>
      </c>
      <c r="M2777" s="49"/>
      <c r="N2777" s="49"/>
      <c r="O2777" s="49"/>
      <c r="P2777" s="49"/>
      <c r="Q2777" s="49"/>
      <c r="R2777" s="49"/>
      <c r="S2777" s="49"/>
      <c r="T2777" s="49"/>
      <c r="U2777" s="49"/>
      <c r="V2777" s="49"/>
      <c r="W2777" s="56"/>
      <c r="X2777" s="51" t="str">
        <f t="shared" si="5"/>
        <v/>
      </c>
      <c r="Y2777" s="50" t="s">
        <v>482</v>
      </c>
      <c r="Z2777" s="49">
        <f t="shared" si="6"/>
        <v>0</v>
      </c>
    </row>
    <row r="2778" ht="22.5" customHeight="1">
      <c r="B2778" s="57"/>
      <c r="C2778" s="43" t="str">
        <f t="array" ref="C2778">IF(B2778="","",_xlfn.XLOOKUP(B2778,'Form responses 1'!$B$2:$B$2604,'Form responses 1'!$A$2:$A$2604,""))</f>
        <v/>
      </c>
      <c r="D2778" s="44" t="str">
        <f t="shared" si="3"/>
        <v/>
      </c>
      <c r="E2778" s="44" t="str">
        <f t="array" ref="E2778">IF(B2778="","",_xlfn.XLOOKUP(B2778,'Form responses 1'!$B$2:$B$2604,'Form responses 1'!$C$2:$C$2604,""))</f>
        <v/>
      </c>
      <c r="F2778" s="44" t="str">
        <f t="array" ref="F2778">IF(B2778="","",_xlfn.XLOOKUP(B2778,'Form responses 1'!$B$2:$B$2604,'Form responses 1'!$D$2:$D$2604,""))</f>
        <v/>
      </c>
      <c r="G2778" s="44" t="str">
        <f t="array" ref="G2778">IF(B2778="","",_xlfn.XLOOKUP(B2778,'Form responses 1'!$B$2:$B$2604,'Form responses 1'!$E$2:$E$2604,""))</f>
        <v/>
      </c>
      <c r="H2778" s="44" t="str">
        <f t="array" ref="H2778">IF(B2778="","",_xlfn.XLOOKUP(B2778,'Form responses 1'!$B$2:$B$2604,'Form responses 1'!$F$2:$F$2604,""))</f>
        <v/>
      </c>
      <c r="I2778" s="44" t="str">
        <f t="array" ref="I2778">IF(B2778="","",_xlfn.XLOOKUP(B2778,'Form responses 1'!$B$2:$B$2604,'Form responses 1'!$I$2:$I$2604,""))</f>
        <v/>
      </c>
      <c r="J2778" s="44" t="str">
        <f t="array" ref="J2778">IF(B2778="","",_xlfn.XLOOKUP(B2778,'Form responses 1'!$B$2:$B$2604,'Form responses 1'!$G$2:$G$2604,""))</f>
        <v/>
      </c>
      <c r="K2778" s="56"/>
      <c r="L2778" s="58" t="str">
        <f t="shared" si="7"/>
        <v/>
      </c>
      <c r="M2778" s="49"/>
      <c r="N2778" s="49"/>
      <c r="O2778" s="49"/>
      <c r="P2778" s="49"/>
      <c r="Q2778" s="49"/>
      <c r="R2778" s="49"/>
      <c r="S2778" s="49"/>
      <c r="T2778" s="49"/>
      <c r="U2778" s="49"/>
      <c r="V2778" s="49"/>
      <c r="W2778" s="56"/>
      <c r="X2778" s="51" t="str">
        <f t="shared" si="5"/>
        <v/>
      </c>
      <c r="Y2778" s="50" t="s">
        <v>482</v>
      </c>
      <c r="Z2778" s="49">
        <f t="shared" si="6"/>
        <v>0</v>
      </c>
    </row>
    <row r="2779" ht="22.5" customHeight="1">
      <c r="B2779" s="57"/>
      <c r="C2779" s="43" t="str">
        <f t="array" ref="C2779">IF(B2779="","",_xlfn.XLOOKUP(B2779,'Form responses 1'!$B$2:$B$2604,'Form responses 1'!$A$2:$A$2604,""))</f>
        <v/>
      </c>
      <c r="D2779" s="44" t="str">
        <f t="shared" si="3"/>
        <v/>
      </c>
      <c r="E2779" s="44" t="str">
        <f t="array" ref="E2779">IF(B2779="","",_xlfn.XLOOKUP(B2779,'Form responses 1'!$B$2:$B$2604,'Form responses 1'!$C$2:$C$2604,""))</f>
        <v/>
      </c>
      <c r="F2779" s="44" t="str">
        <f t="array" ref="F2779">IF(B2779="","",_xlfn.XLOOKUP(B2779,'Form responses 1'!$B$2:$B$2604,'Form responses 1'!$D$2:$D$2604,""))</f>
        <v/>
      </c>
      <c r="G2779" s="44" t="str">
        <f t="array" ref="G2779">IF(B2779="","",_xlfn.XLOOKUP(B2779,'Form responses 1'!$B$2:$B$2604,'Form responses 1'!$E$2:$E$2604,""))</f>
        <v/>
      </c>
      <c r="H2779" s="44" t="str">
        <f t="array" ref="H2779">IF(B2779="","",_xlfn.XLOOKUP(B2779,'Form responses 1'!$B$2:$B$2604,'Form responses 1'!$F$2:$F$2604,""))</f>
        <v/>
      </c>
      <c r="I2779" s="44" t="str">
        <f t="array" ref="I2779">IF(B2779="","",_xlfn.XLOOKUP(B2779,'Form responses 1'!$B$2:$B$2604,'Form responses 1'!$I$2:$I$2604,""))</f>
        <v/>
      </c>
      <c r="J2779" s="44" t="str">
        <f t="array" ref="J2779">IF(B2779="","",_xlfn.XLOOKUP(B2779,'Form responses 1'!$B$2:$B$2604,'Form responses 1'!$G$2:$G$2604,""))</f>
        <v/>
      </c>
      <c r="K2779" s="56"/>
      <c r="L2779" s="58" t="str">
        <f t="shared" si="7"/>
        <v/>
      </c>
      <c r="M2779" s="49"/>
      <c r="N2779" s="49"/>
      <c r="O2779" s="49"/>
      <c r="P2779" s="49"/>
      <c r="Q2779" s="49"/>
      <c r="R2779" s="49"/>
      <c r="S2779" s="49"/>
      <c r="T2779" s="49"/>
      <c r="U2779" s="49"/>
      <c r="V2779" s="49"/>
      <c r="W2779" s="56"/>
      <c r="X2779" s="51" t="str">
        <f t="shared" si="5"/>
        <v/>
      </c>
      <c r="Y2779" s="50" t="s">
        <v>482</v>
      </c>
      <c r="Z2779" s="49">
        <f t="shared" si="6"/>
        <v>0</v>
      </c>
    </row>
    <row r="2780" ht="22.5" customHeight="1">
      <c r="B2780" s="57"/>
      <c r="C2780" s="43" t="str">
        <f t="array" ref="C2780">IF(B2780="","",_xlfn.XLOOKUP(B2780,'Form responses 1'!$B$2:$B$2604,'Form responses 1'!$A$2:$A$2604,""))</f>
        <v/>
      </c>
      <c r="D2780" s="44" t="str">
        <f t="shared" si="3"/>
        <v/>
      </c>
      <c r="E2780" s="44" t="str">
        <f t="array" ref="E2780">IF(B2780="","",_xlfn.XLOOKUP(B2780,'Form responses 1'!$B$2:$B$2604,'Form responses 1'!$C$2:$C$2604,""))</f>
        <v/>
      </c>
      <c r="F2780" s="44" t="str">
        <f t="array" ref="F2780">IF(B2780="","",_xlfn.XLOOKUP(B2780,'Form responses 1'!$B$2:$B$2604,'Form responses 1'!$D$2:$D$2604,""))</f>
        <v/>
      </c>
      <c r="G2780" s="44" t="str">
        <f t="array" ref="G2780">IF(B2780="","",_xlfn.XLOOKUP(B2780,'Form responses 1'!$B$2:$B$2604,'Form responses 1'!$E$2:$E$2604,""))</f>
        <v/>
      </c>
      <c r="H2780" s="44" t="str">
        <f t="array" ref="H2780">IF(B2780="","",_xlfn.XLOOKUP(B2780,'Form responses 1'!$B$2:$B$2604,'Form responses 1'!$F$2:$F$2604,""))</f>
        <v/>
      </c>
      <c r="I2780" s="44" t="str">
        <f t="array" ref="I2780">IF(B2780="","",_xlfn.XLOOKUP(B2780,'Form responses 1'!$B$2:$B$2604,'Form responses 1'!$I$2:$I$2604,""))</f>
        <v/>
      </c>
      <c r="J2780" s="44" t="str">
        <f t="array" ref="J2780">IF(B2780="","",_xlfn.XLOOKUP(B2780,'Form responses 1'!$B$2:$B$2604,'Form responses 1'!$G$2:$G$2604,""))</f>
        <v/>
      </c>
      <c r="K2780" s="56"/>
      <c r="L2780" s="58" t="str">
        <f t="shared" si="7"/>
        <v/>
      </c>
      <c r="M2780" s="49"/>
      <c r="N2780" s="49"/>
      <c r="O2780" s="49"/>
      <c r="P2780" s="49"/>
      <c r="Q2780" s="49"/>
      <c r="R2780" s="49"/>
      <c r="S2780" s="49"/>
      <c r="T2780" s="49"/>
      <c r="U2780" s="49"/>
      <c r="V2780" s="49"/>
      <c r="W2780" s="56"/>
      <c r="X2780" s="51" t="str">
        <f t="shared" si="5"/>
        <v/>
      </c>
      <c r="Y2780" s="50" t="s">
        <v>482</v>
      </c>
      <c r="Z2780" s="49">
        <f t="shared" si="6"/>
        <v>0</v>
      </c>
    </row>
    <row r="2781" ht="22.5" customHeight="1">
      <c r="B2781" s="57"/>
      <c r="C2781" s="43" t="str">
        <f t="array" ref="C2781">IF(B2781="","",_xlfn.XLOOKUP(B2781,'Form responses 1'!$B$2:$B$2604,'Form responses 1'!$A$2:$A$2604,""))</f>
        <v/>
      </c>
      <c r="D2781" s="44" t="str">
        <f t="shared" si="3"/>
        <v/>
      </c>
      <c r="E2781" s="44" t="str">
        <f t="array" ref="E2781">IF(B2781="","",_xlfn.XLOOKUP(B2781,'Form responses 1'!$B$2:$B$2604,'Form responses 1'!$C$2:$C$2604,""))</f>
        <v/>
      </c>
      <c r="F2781" s="44" t="str">
        <f t="array" ref="F2781">IF(B2781="","",_xlfn.XLOOKUP(B2781,'Form responses 1'!$B$2:$B$2604,'Form responses 1'!$D$2:$D$2604,""))</f>
        <v/>
      </c>
      <c r="G2781" s="44" t="str">
        <f t="array" ref="G2781">IF(B2781="","",_xlfn.XLOOKUP(B2781,'Form responses 1'!$B$2:$B$2604,'Form responses 1'!$E$2:$E$2604,""))</f>
        <v/>
      </c>
      <c r="H2781" s="44" t="str">
        <f t="array" ref="H2781">IF(B2781="","",_xlfn.XLOOKUP(B2781,'Form responses 1'!$B$2:$B$2604,'Form responses 1'!$F$2:$F$2604,""))</f>
        <v/>
      </c>
      <c r="I2781" s="44" t="str">
        <f t="array" ref="I2781">IF(B2781="","",_xlfn.XLOOKUP(B2781,'Form responses 1'!$B$2:$B$2604,'Form responses 1'!$I$2:$I$2604,""))</f>
        <v/>
      </c>
      <c r="J2781" s="44" t="str">
        <f t="array" ref="J2781">IF(B2781="","",_xlfn.XLOOKUP(B2781,'Form responses 1'!$B$2:$B$2604,'Form responses 1'!$G$2:$G$2604,""))</f>
        <v/>
      </c>
      <c r="K2781" s="56"/>
      <c r="L2781" s="58" t="str">
        <f t="shared" si="7"/>
        <v/>
      </c>
      <c r="M2781" s="49"/>
      <c r="N2781" s="49"/>
      <c r="O2781" s="49"/>
      <c r="P2781" s="49"/>
      <c r="Q2781" s="49"/>
      <c r="R2781" s="49"/>
      <c r="S2781" s="49"/>
      <c r="T2781" s="49"/>
      <c r="U2781" s="49"/>
      <c r="V2781" s="49"/>
      <c r="W2781" s="56"/>
      <c r="X2781" s="51" t="str">
        <f t="shared" si="5"/>
        <v/>
      </c>
      <c r="Y2781" s="50" t="s">
        <v>482</v>
      </c>
      <c r="Z2781" s="49">
        <f t="shared" si="6"/>
        <v>0</v>
      </c>
    </row>
    <row r="2782" ht="22.5" customHeight="1">
      <c r="B2782" s="57"/>
      <c r="C2782" s="43" t="str">
        <f t="array" ref="C2782">IF(B2782="","",_xlfn.XLOOKUP(B2782,'Form responses 1'!$B$2:$B$2604,'Form responses 1'!$A$2:$A$2604,""))</f>
        <v/>
      </c>
      <c r="D2782" s="44" t="str">
        <f t="shared" si="3"/>
        <v/>
      </c>
      <c r="E2782" s="44" t="str">
        <f t="array" ref="E2782">IF(B2782="","",_xlfn.XLOOKUP(B2782,'Form responses 1'!$B$2:$B$2604,'Form responses 1'!$C$2:$C$2604,""))</f>
        <v/>
      </c>
      <c r="F2782" s="44" t="str">
        <f t="array" ref="F2782">IF(B2782="","",_xlfn.XLOOKUP(B2782,'Form responses 1'!$B$2:$B$2604,'Form responses 1'!$D$2:$D$2604,""))</f>
        <v/>
      </c>
      <c r="G2782" s="44" t="str">
        <f t="array" ref="G2782">IF(B2782="","",_xlfn.XLOOKUP(B2782,'Form responses 1'!$B$2:$B$2604,'Form responses 1'!$E$2:$E$2604,""))</f>
        <v/>
      </c>
      <c r="H2782" s="44" t="str">
        <f t="array" ref="H2782">IF(B2782="","",_xlfn.XLOOKUP(B2782,'Form responses 1'!$B$2:$B$2604,'Form responses 1'!$F$2:$F$2604,""))</f>
        <v/>
      </c>
      <c r="I2782" s="44" t="str">
        <f t="array" ref="I2782">IF(B2782="","",_xlfn.XLOOKUP(B2782,'Form responses 1'!$B$2:$B$2604,'Form responses 1'!$I$2:$I$2604,""))</f>
        <v/>
      </c>
      <c r="J2782" s="44" t="str">
        <f t="array" ref="J2782">IF(B2782="","",_xlfn.XLOOKUP(B2782,'Form responses 1'!$B$2:$B$2604,'Form responses 1'!$G$2:$G$2604,""))</f>
        <v/>
      </c>
      <c r="K2782" s="56"/>
      <c r="L2782" s="58" t="str">
        <f t="shared" si="7"/>
        <v/>
      </c>
      <c r="M2782" s="49"/>
      <c r="N2782" s="49"/>
      <c r="O2782" s="49"/>
      <c r="P2782" s="49"/>
      <c r="Q2782" s="49"/>
      <c r="R2782" s="49"/>
      <c r="S2782" s="49"/>
      <c r="T2782" s="49"/>
      <c r="U2782" s="49"/>
      <c r="V2782" s="49"/>
      <c r="W2782" s="56"/>
      <c r="X2782" s="51" t="str">
        <f t="shared" si="5"/>
        <v/>
      </c>
      <c r="Y2782" s="50" t="s">
        <v>482</v>
      </c>
      <c r="Z2782" s="49">
        <f t="shared" si="6"/>
        <v>0</v>
      </c>
    </row>
    <row r="2783" ht="22.5" customHeight="1">
      <c r="B2783" s="57"/>
      <c r="C2783" s="43" t="str">
        <f t="array" ref="C2783">IF(B2783="","",_xlfn.XLOOKUP(B2783,'Form responses 1'!$B$2:$B$2604,'Form responses 1'!$A$2:$A$2604,""))</f>
        <v/>
      </c>
      <c r="D2783" s="44" t="str">
        <f t="shared" si="3"/>
        <v/>
      </c>
      <c r="E2783" s="44" t="str">
        <f t="array" ref="E2783">IF(B2783="","",_xlfn.XLOOKUP(B2783,'Form responses 1'!$B$2:$B$2604,'Form responses 1'!$C$2:$C$2604,""))</f>
        <v/>
      </c>
      <c r="F2783" s="44" t="str">
        <f t="array" ref="F2783">IF(B2783="","",_xlfn.XLOOKUP(B2783,'Form responses 1'!$B$2:$B$2604,'Form responses 1'!$D$2:$D$2604,""))</f>
        <v/>
      </c>
      <c r="G2783" s="44" t="str">
        <f t="array" ref="G2783">IF(B2783="","",_xlfn.XLOOKUP(B2783,'Form responses 1'!$B$2:$B$2604,'Form responses 1'!$E$2:$E$2604,""))</f>
        <v/>
      </c>
      <c r="H2783" s="44" t="str">
        <f t="array" ref="H2783">IF(B2783="","",_xlfn.XLOOKUP(B2783,'Form responses 1'!$B$2:$B$2604,'Form responses 1'!$F$2:$F$2604,""))</f>
        <v/>
      </c>
      <c r="I2783" s="44" t="str">
        <f t="array" ref="I2783">IF(B2783="","",_xlfn.XLOOKUP(B2783,'Form responses 1'!$B$2:$B$2604,'Form responses 1'!$I$2:$I$2604,""))</f>
        <v/>
      </c>
      <c r="J2783" s="44" t="str">
        <f t="array" ref="J2783">IF(B2783="","",_xlfn.XLOOKUP(B2783,'Form responses 1'!$B$2:$B$2604,'Form responses 1'!$G$2:$G$2604,""))</f>
        <v/>
      </c>
      <c r="K2783" s="56"/>
      <c r="L2783" s="58" t="str">
        <f t="shared" si="7"/>
        <v/>
      </c>
      <c r="M2783" s="49"/>
      <c r="N2783" s="49"/>
      <c r="O2783" s="49"/>
      <c r="P2783" s="49"/>
      <c r="Q2783" s="49"/>
      <c r="R2783" s="49"/>
      <c r="S2783" s="49"/>
      <c r="T2783" s="49"/>
      <c r="U2783" s="49"/>
      <c r="V2783" s="49"/>
      <c r="W2783" s="56"/>
      <c r="X2783" s="51" t="str">
        <f t="shared" si="5"/>
        <v/>
      </c>
      <c r="Y2783" s="50" t="s">
        <v>482</v>
      </c>
      <c r="Z2783" s="49">
        <f t="shared" si="6"/>
        <v>0</v>
      </c>
    </row>
    <row r="2784" ht="22.5" customHeight="1">
      <c r="B2784" s="57"/>
      <c r="C2784" s="43" t="str">
        <f t="array" ref="C2784">IF(B2784="","",_xlfn.XLOOKUP(B2784,'Form responses 1'!$B$2:$B$2604,'Form responses 1'!$A$2:$A$2604,""))</f>
        <v/>
      </c>
      <c r="D2784" s="44" t="str">
        <f t="shared" si="3"/>
        <v/>
      </c>
      <c r="E2784" s="44" t="str">
        <f t="array" ref="E2784">IF(B2784="","",_xlfn.XLOOKUP(B2784,'Form responses 1'!$B$2:$B$2604,'Form responses 1'!$C$2:$C$2604,""))</f>
        <v/>
      </c>
      <c r="F2784" s="44" t="str">
        <f t="array" ref="F2784">IF(B2784="","",_xlfn.XLOOKUP(B2784,'Form responses 1'!$B$2:$B$2604,'Form responses 1'!$D$2:$D$2604,""))</f>
        <v/>
      </c>
      <c r="G2784" s="44" t="str">
        <f t="array" ref="G2784">IF(B2784="","",_xlfn.XLOOKUP(B2784,'Form responses 1'!$B$2:$B$2604,'Form responses 1'!$E$2:$E$2604,""))</f>
        <v/>
      </c>
      <c r="H2784" s="44" t="str">
        <f t="array" ref="H2784">IF(B2784="","",_xlfn.XLOOKUP(B2784,'Form responses 1'!$B$2:$B$2604,'Form responses 1'!$F$2:$F$2604,""))</f>
        <v/>
      </c>
      <c r="I2784" s="44" t="str">
        <f t="array" ref="I2784">IF(B2784="","",_xlfn.XLOOKUP(B2784,'Form responses 1'!$B$2:$B$2604,'Form responses 1'!$I$2:$I$2604,""))</f>
        <v/>
      </c>
      <c r="J2784" s="44" t="str">
        <f t="array" ref="J2784">IF(B2784="","",_xlfn.XLOOKUP(B2784,'Form responses 1'!$B$2:$B$2604,'Form responses 1'!$G$2:$G$2604,""))</f>
        <v/>
      </c>
      <c r="K2784" s="56"/>
      <c r="L2784" s="58" t="str">
        <f t="shared" si="7"/>
        <v/>
      </c>
      <c r="M2784" s="49"/>
      <c r="N2784" s="49"/>
      <c r="O2784" s="49"/>
      <c r="P2784" s="49"/>
      <c r="Q2784" s="49"/>
      <c r="R2784" s="49"/>
      <c r="S2784" s="49"/>
      <c r="T2784" s="49"/>
      <c r="U2784" s="49"/>
      <c r="V2784" s="49"/>
      <c r="W2784" s="56"/>
      <c r="X2784" s="51" t="str">
        <f t="shared" si="5"/>
        <v/>
      </c>
      <c r="Y2784" s="50" t="s">
        <v>482</v>
      </c>
      <c r="Z2784" s="49">
        <f t="shared" si="6"/>
        <v>0</v>
      </c>
    </row>
    <row r="2785" ht="22.5" customHeight="1">
      <c r="B2785" s="57"/>
      <c r="C2785" s="43" t="str">
        <f t="array" ref="C2785">IF(B2785="","",_xlfn.XLOOKUP(B2785,'Form responses 1'!$B$2:$B$2604,'Form responses 1'!$A$2:$A$2604,""))</f>
        <v/>
      </c>
      <c r="D2785" s="44" t="str">
        <f t="shared" si="3"/>
        <v/>
      </c>
      <c r="E2785" s="44" t="str">
        <f t="array" ref="E2785">IF(B2785="","",_xlfn.XLOOKUP(B2785,'Form responses 1'!$B$2:$B$2604,'Form responses 1'!$C$2:$C$2604,""))</f>
        <v/>
      </c>
      <c r="F2785" s="44" t="str">
        <f t="array" ref="F2785">IF(B2785="","",_xlfn.XLOOKUP(B2785,'Form responses 1'!$B$2:$B$2604,'Form responses 1'!$D$2:$D$2604,""))</f>
        <v/>
      </c>
      <c r="G2785" s="44" t="str">
        <f t="array" ref="G2785">IF(B2785="","",_xlfn.XLOOKUP(B2785,'Form responses 1'!$B$2:$B$2604,'Form responses 1'!$E$2:$E$2604,""))</f>
        <v/>
      </c>
      <c r="H2785" s="44" t="str">
        <f t="array" ref="H2785">IF(B2785="","",_xlfn.XLOOKUP(B2785,'Form responses 1'!$B$2:$B$2604,'Form responses 1'!$F$2:$F$2604,""))</f>
        <v/>
      </c>
      <c r="I2785" s="44" t="str">
        <f t="array" ref="I2785">IF(B2785="","",_xlfn.XLOOKUP(B2785,'Form responses 1'!$B$2:$B$2604,'Form responses 1'!$I$2:$I$2604,""))</f>
        <v/>
      </c>
      <c r="J2785" s="44" t="str">
        <f t="array" ref="J2785">IF(B2785="","",_xlfn.XLOOKUP(B2785,'Form responses 1'!$B$2:$B$2604,'Form responses 1'!$G$2:$G$2604,""))</f>
        <v/>
      </c>
      <c r="K2785" s="56"/>
      <c r="L2785" s="58" t="str">
        <f t="shared" si="7"/>
        <v/>
      </c>
      <c r="M2785" s="49"/>
      <c r="N2785" s="49"/>
      <c r="O2785" s="49"/>
      <c r="P2785" s="49"/>
      <c r="Q2785" s="49"/>
      <c r="R2785" s="49"/>
      <c r="S2785" s="49"/>
      <c r="T2785" s="49"/>
      <c r="U2785" s="49"/>
      <c r="V2785" s="49"/>
      <c r="W2785" s="56"/>
      <c r="X2785" s="51" t="str">
        <f t="shared" si="5"/>
        <v/>
      </c>
      <c r="Y2785" s="50" t="s">
        <v>482</v>
      </c>
      <c r="Z2785" s="49">
        <f t="shared" si="6"/>
        <v>0</v>
      </c>
    </row>
    <row r="2786" ht="22.5" customHeight="1">
      <c r="B2786" s="57"/>
      <c r="C2786" s="43" t="str">
        <f t="array" ref="C2786">IF(B2786="","",_xlfn.XLOOKUP(B2786,'Form responses 1'!$B$2:$B$2604,'Form responses 1'!$A$2:$A$2604,""))</f>
        <v/>
      </c>
      <c r="D2786" s="44" t="str">
        <f t="shared" si="3"/>
        <v/>
      </c>
      <c r="E2786" s="44" t="str">
        <f t="array" ref="E2786">IF(B2786="","",_xlfn.XLOOKUP(B2786,'Form responses 1'!$B$2:$B$2604,'Form responses 1'!$C$2:$C$2604,""))</f>
        <v/>
      </c>
      <c r="F2786" s="44" t="str">
        <f t="array" ref="F2786">IF(B2786="","",_xlfn.XLOOKUP(B2786,'Form responses 1'!$B$2:$B$2604,'Form responses 1'!$D$2:$D$2604,""))</f>
        <v/>
      </c>
      <c r="G2786" s="44" t="str">
        <f t="array" ref="G2786">IF(B2786="","",_xlfn.XLOOKUP(B2786,'Form responses 1'!$B$2:$B$2604,'Form responses 1'!$E$2:$E$2604,""))</f>
        <v/>
      </c>
      <c r="H2786" s="44" t="str">
        <f t="array" ref="H2786">IF(B2786="","",_xlfn.XLOOKUP(B2786,'Form responses 1'!$B$2:$B$2604,'Form responses 1'!$F$2:$F$2604,""))</f>
        <v/>
      </c>
      <c r="I2786" s="44" t="str">
        <f t="array" ref="I2786">IF(B2786="","",_xlfn.XLOOKUP(B2786,'Form responses 1'!$B$2:$B$2604,'Form responses 1'!$I$2:$I$2604,""))</f>
        <v/>
      </c>
      <c r="J2786" s="44" t="str">
        <f t="array" ref="J2786">IF(B2786="","",_xlfn.XLOOKUP(B2786,'Form responses 1'!$B$2:$B$2604,'Form responses 1'!$G$2:$G$2604,""))</f>
        <v/>
      </c>
      <c r="K2786" s="56"/>
      <c r="L2786" s="58" t="str">
        <f t="shared" si="7"/>
        <v/>
      </c>
      <c r="M2786" s="49"/>
      <c r="N2786" s="49"/>
      <c r="O2786" s="49"/>
      <c r="P2786" s="49"/>
      <c r="Q2786" s="49"/>
      <c r="R2786" s="49"/>
      <c r="S2786" s="49"/>
      <c r="T2786" s="49"/>
      <c r="U2786" s="49"/>
      <c r="V2786" s="49"/>
      <c r="W2786" s="56"/>
      <c r="X2786" s="51" t="str">
        <f t="shared" si="5"/>
        <v/>
      </c>
      <c r="Y2786" s="50" t="s">
        <v>482</v>
      </c>
      <c r="Z2786" s="49">
        <f t="shared" si="6"/>
        <v>0</v>
      </c>
    </row>
    <row r="2787" ht="22.5" customHeight="1">
      <c r="B2787" s="57"/>
      <c r="C2787" s="43" t="str">
        <f t="array" ref="C2787">IF(B2787="","",_xlfn.XLOOKUP(B2787,'Form responses 1'!$B$2:$B$2604,'Form responses 1'!$A$2:$A$2604,""))</f>
        <v/>
      </c>
      <c r="D2787" s="44" t="str">
        <f t="shared" si="3"/>
        <v/>
      </c>
      <c r="E2787" s="44" t="str">
        <f t="array" ref="E2787">IF(B2787="","",_xlfn.XLOOKUP(B2787,'Form responses 1'!$B$2:$B$2604,'Form responses 1'!$C$2:$C$2604,""))</f>
        <v/>
      </c>
      <c r="F2787" s="44" t="str">
        <f t="array" ref="F2787">IF(B2787="","",_xlfn.XLOOKUP(B2787,'Form responses 1'!$B$2:$B$2604,'Form responses 1'!$D$2:$D$2604,""))</f>
        <v/>
      </c>
      <c r="G2787" s="44" t="str">
        <f t="array" ref="G2787">IF(B2787="","",_xlfn.XLOOKUP(B2787,'Form responses 1'!$B$2:$B$2604,'Form responses 1'!$E$2:$E$2604,""))</f>
        <v/>
      </c>
      <c r="H2787" s="44" t="str">
        <f t="array" ref="H2787">IF(B2787="","",_xlfn.XLOOKUP(B2787,'Form responses 1'!$B$2:$B$2604,'Form responses 1'!$F$2:$F$2604,""))</f>
        <v/>
      </c>
      <c r="I2787" s="44" t="str">
        <f t="array" ref="I2787">IF(B2787="","",_xlfn.XLOOKUP(B2787,'Form responses 1'!$B$2:$B$2604,'Form responses 1'!$I$2:$I$2604,""))</f>
        <v/>
      </c>
      <c r="J2787" s="44" t="str">
        <f t="array" ref="J2787">IF(B2787="","",_xlfn.XLOOKUP(B2787,'Form responses 1'!$B$2:$B$2604,'Form responses 1'!$G$2:$G$2604,""))</f>
        <v/>
      </c>
      <c r="K2787" s="56"/>
      <c r="L2787" s="58" t="str">
        <f t="shared" si="7"/>
        <v/>
      </c>
      <c r="M2787" s="49"/>
      <c r="N2787" s="49"/>
      <c r="O2787" s="49"/>
      <c r="P2787" s="49"/>
      <c r="Q2787" s="49"/>
      <c r="R2787" s="49"/>
      <c r="S2787" s="49"/>
      <c r="T2787" s="49"/>
      <c r="U2787" s="49"/>
      <c r="V2787" s="49"/>
      <c r="W2787" s="56"/>
      <c r="X2787" s="51" t="str">
        <f t="shared" si="5"/>
        <v/>
      </c>
      <c r="Y2787" s="50" t="s">
        <v>482</v>
      </c>
      <c r="Z2787" s="49">
        <f t="shared" si="6"/>
        <v>0</v>
      </c>
    </row>
    <row r="2788" ht="22.5" customHeight="1">
      <c r="B2788" s="57"/>
      <c r="C2788" s="43" t="str">
        <f t="array" ref="C2788">IF(B2788="","",_xlfn.XLOOKUP(B2788,'Form responses 1'!$B$2:$B$2604,'Form responses 1'!$A$2:$A$2604,""))</f>
        <v/>
      </c>
      <c r="D2788" s="44" t="str">
        <f t="shared" si="3"/>
        <v/>
      </c>
      <c r="E2788" s="44" t="str">
        <f t="array" ref="E2788">IF(B2788="","",_xlfn.XLOOKUP(B2788,'Form responses 1'!$B$2:$B$2604,'Form responses 1'!$C$2:$C$2604,""))</f>
        <v/>
      </c>
      <c r="F2788" s="44" t="str">
        <f t="array" ref="F2788">IF(B2788="","",_xlfn.XLOOKUP(B2788,'Form responses 1'!$B$2:$B$2604,'Form responses 1'!$D$2:$D$2604,""))</f>
        <v/>
      </c>
      <c r="G2788" s="44" t="str">
        <f t="array" ref="G2788">IF(B2788="","",_xlfn.XLOOKUP(B2788,'Form responses 1'!$B$2:$B$2604,'Form responses 1'!$E$2:$E$2604,""))</f>
        <v/>
      </c>
      <c r="H2788" s="44" t="str">
        <f t="array" ref="H2788">IF(B2788="","",_xlfn.XLOOKUP(B2788,'Form responses 1'!$B$2:$B$2604,'Form responses 1'!$F$2:$F$2604,""))</f>
        <v/>
      </c>
      <c r="I2788" s="44" t="str">
        <f t="array" ref="I2788">IF(B2788="","",_xlfn.XLOOKUP(B2788,'Form responses 1'!$B$2:$B$2604,'Form responses 1'!$I$2:$I$2604,""))</f>
        <v/>
      </c>
      <c r="J2788" s="44" t="str">
        <f t="array" ref="J2788">IF(B2788="","",_xlfn.XLOOKUP(B2788,'Form responses 1'!$B$2:$B$2604,'Form responses 1'!$G$2:$G$2604,""))</f>
        <v/>
      </c>
      <c r="K2788" s="56"/>
      <c r="L2788" s="58" t="str">
        <f t="shared" si="7"/>
        <v/>
      </c>
      <c r="M2788" s="49"/>
      <c r="N2788" s="49"/>
      <c r="O2788" s="49"/>
      <c r="P2788" s="49"/>
      <c r="Q2788" s="49"/>
      <c r="R2788" s="49"/>
      <c r="S2788" s="49"/>
      <c r="T2788" s="49"/>
      <c r="U2788" s="49"/>
      <c r="V2788" s="49"/>
      <c r="W2788" s="56"/>
      <c r="X2788" s="51" t="str">
        <f t="shared" si="5"/>
        <v/>
      </c>
      <c r="Y2788" s="50" t="s">
        <v>482</v>
      </c>
      <c r="Z2788" s="49">
        <f t="shared" si="6"/>
        <v>0</v>
      </c>
    </row>
    <row r="2789" ht="22.5" customHeight="1">
      <c r="B2789" s="57"/>
      <c r="C2789" s="43" t="str">
        <f t="array" ref="C2789">IF(B2789="","",_xlfn.XLOOKUP(B2789,'Form responses 1'!$B$2:$B$2604,'Form responses 1'!$A$2:$A$2604,""))</f>
        <v/>
      </c>
      <c r="D2789" s="44" t="str">
        <f t="shared" si="3"/>
        <v/>
      </c>
      <c r="E2789" s="44" t="str">
        <f t="array" ref="E2789">IF(B2789="","",_xlfn.XLOOKUP(B2789,'Form responses 1'!$B$2:$B$2604,'Form responses 1'!$C$2:$C$2604,""))</f>
        <v/>
      </c>
      <c r="F2789" s="44" t="str">
        <f t="array" ref="F2789">IF(B2789="","",_xlfn.XLOOKUP(B2789,'Form responses 1'!$B$2:$B$2604,'Form responses 1'!$D$2:$D$2604,""))</f>
        <v/>
      </c>
      <c r="G2789" s="44" t="str">
        <f t="array" ref="G2789">IF(B2789="","",_xlfn.XLOOKUP(B2789,'Form responses 1'!$B$2:$B$2604,'Form responses 1'!$E$2:$E$2604,""))</f>
        <v/>
      </c>
      <c r="H2789" s="44" t="str">
        <f t="array" ref="H2789">IF(B2789="","",_xlfn.XLOOKUP(B2789,'Form responses 1'!$B$2:$B$2604,'Form responses 1'!$F$2:$F$2604,""))</f>
        <v/>
      </c>
      <c r="I2789" s="44" t="str">
        <f t="array" ref="I2789">IF(B2789="","",_xlfn.XLOOKUP(B2789,'Form responses 1'!$B$2:$B$2604,'Form responses 1'!$I$2:$I$2604,""))</f>
        <v/>
      </c>
      <c r="J2789" s="44" t="str">
        <f t="array" ref="J2789">IF(B2789="","",_xlfn.XLOOKUP(B2789,'Form responses 1'!$B$2:$B$2604,'Form responses 1'!$G$2:$G$2604,""))</f>
        <v/>
      </c>
      <c r="K2789" s="56"/>
      <c r="L2789" s="58" t="str">
        <f t="shared" si="7"/>
        <v/>
      </c>
      <c r="M2789" s="49"/>
      <c r="N2789" s="49"/>
      <c r="O2789" s="49"/>
      <c r="P2789" s="49"/>
      <c r="Q2789" s="49"/>
      <c r="R2789" s="49"/>
      <c r="S2789" s="49"/>
      <c r="T2789" s="49"/>
      <c r="U2789" s="49"/>
      <c r="V2789" s="49"/>
      <c r="W2789" s="56"/>
      <c r="X2789" s="51" t="str">
        <f t="shared" si="5"/>
        <v/>
      </c>
      <c r="Y2789" s="50" t="s">
        <v>482</v>
      </c>
      <c r="Z2789" s="49">
        <f t="shared" si="6"/>
        <v>0</v>
      </c>
    </row>
    <row r="2790" ht="22.5" customHeight="1">
      <c r="B2790" s="57"/>
      <c r="C2790" s="43" t="str">
        <f t="array" ref="C2790">IF(B2790="","",_xlfn.XLOOKUP(B2790,'Form responses 1'!$B$2:$B$2604,'Form responses 1'!$A$2:$A$2604,""))</f>
        <v/>
      </c>
      <c r="D2790" s="44" t="str">
        <f t="shared" si="3"/>
        <v/>
      </c>
      <c r="E2790" s="44" t="str">
        <f t="array" ref="E2790">IF(B2790="","",_xlfn.XLOOKUP(B2790,'Form responses 1'!$B$2:$B$2604,'Form responses 1'!$C$2:$C$2604,""))</f>
        <v/>
      </c>
      <c r="F2790" s="44" t="str">
        <f t="array" ref="F2790">IF(B2790="","",_xlfn.XLOOKUP(B2790,'Form responses 1'!$B$2:$B$2604,'Form responses 1'!$D$2:$D$2604,""))</f>
        <v/>
      </c>
      <c r="G2790" s="44" t="str">
        <f t="array" ref="G2790">IF(B2790="","",_xlfn.XLOOKUP(B2790,'Form responses 1'!$B$2:$B$2604,'Form responses 1'!$E$2:$E$2604,""))</f>
        <v/>
      </c>
      <c r="H2790" s="44" t="str">
        <f t="array" ref="H2790">IF(B2790="","",_xlfn.XLOOKUP(B2790,'Form responses 1'!$B$2:$B$2604,'Form responses 1'!$F$2:$F$2604,""))</f>
        <v/>
      </c>
      <c r="I2790" s="44" t="str">
        <f t="array" ref="I2790">IF(B2790="","",_xlfn.XLOOKUP(B2790,'Form responses 1'!$B$2:$B$2604,'Form responses 1'!$I$2:$I$2604,""))</f>
        <v/>
      </c>
      <c r="J2790" s="44" t="str">
        <f t="array" ref="J2790">IF(B2790="","",_xlfn.XLOOKUP(B2790,'Form responses 1'!$B$2:$B$2604,'Form responses 1'!$G$2:$G$2604,""))</f>
        <v/>
      </c>
      <c r="K2790" s="56"/>
      <c r="L2790" s="58" t="str">
        <f t="shared" si="7"/>
        <v/>
      </c>
      <c r="M2790" s="49"/>
      <c r="N2790" s="49"/>
      <c r="O2790" s="49"/>
      <c r="P2790" s="49"/>
      <c r="Q2790" s="49"/>
      <c r="R2790" s="49"/>
      <c r="S2790" s="49"/>
      <c r="T2790" s="49"/>
      <c r="U2790" s="49"/>
      <c r="V2790" s="49"/>
      <c r="W2790" s="56"/>
      <c r="X2790" s="51" t="str">
        <f t="shared" si="5"/>
        <v/>
      </c>
      <c r="Y2790" s="50" t="s">
        <v>482</v>
      </c>
      <c r="Z2790" s="49">
        <f t="shared" si="6"/>
        <v>0</v>
      </c>
    </row>
    <row r="2791" ht="22.5" customHeight="1">
      <c r="B2791" s="57"/>
      <c r="C2791" s="43" t="str">
        <f t="array" ref="C2791">IF(B2791="","",_xlfn.XLOOKUP(B2791,'Form responses 1'!$B$2:$B$2604,'Form responses 1'!$A$2:$A$2604,""))</f>
        <v/>
      </c>
      <c r="D2791" s="44" t="str">
        <f t="shared" si="3"/>
        <v/>
      </c>
      <c r="E2791" s="44" t="str">
        <f t="array" ref="E2791">IF(B2791="","",_xlfn.XLOOKUP(B2791,'Form responses 1'!$B$2:$B$2604,'Form responses 1'!$C$2:$C$2604,""))</f>
        <v/>
      </c>
      <c r="F2791" s="44" t="str">
        <f t="array" ref="F2791">IF(B2791="","",_xlfn.XLOOKUP(B2791,'Form responses 1'!$B$2:$B$2604,'Form responses 1'!$D$2:$D$2604,""))</f>
        <v/>
      </c>
      <c r="G2791" s="44" t="str">
        <f t="array" ref="G2791">IF(B2791="","",_xlfn.XLOOKUP(B2791,'Form responses 1'!$B$2:$B$2604,'Form responses 1'!$E$2:$E$2604,""))</f>
        <v/>
      </c>
      <c r="H2791" s="44" t="str">
        <f t="array" ref="H2791">IF(B2791="","",_xlfn.XLOOKUP(B2791,'Form responses 1'!$B$2:$B$2604,'Form responses 1'!$F$2:$F$2604,""))</f>
        <v/>
      </c>
      <c r="I2791" s="44" t="str">
        <f t="array" ref="I2791">IF(B2791="","",_xlfn.XLOOKUP(B2791,'Form responses 1'!$B$2:$B$2604,'Form responses 1'!$I$2:$I$2604,""))</f>
        <v/>
      </c>
      <c r="J2791" s="44" t="str">
        <f t="array" ref="J2791">IF(B2791="","",_xlfn.XLOOKUP(B2791,'Form responses 1'!$B$2:$B$2604,'Form responses 1'!$G$2:$G$2604,""))</f>
        <v/>
      </c>
      <c r="K2791" s="56"/>
      <c r="L2791" s="58" t="str">
        <f t="shared" si="7"/>
        <v/>
      </c>
      <c r="M2791" s="49"/>
      <c r="N2791" s="49"/>
      <c r="O2791" s="49"/>
      <c r="P2791" s="49"/>
      <c r="Q2791" s="49"/>
      <c r="R2791" s="49"/>
      <c r="S2791" s="49"/>
      <c r="T2791" s="49"/>
      <c r="U2791" s="49"/>
      <c r="V2791" s="49"/>
      <c r="W2791" s="56"/>
      <c r="X2791" s="51" t="str">
        <f t="shared" si="5"/>
        <v/>
      </c>
      <c r="Y2791" s="50" t="s">
        <v>482</v>
      </c>
      <c r="Z2791" s="49">
        <f t="shared" si="6"/>
        <v>0</v>
      </c>
    </row>
    <row r="2792" ht="22.5" customHeight="1">
      <c r="B2792" s="57"/>
      <c r="C2792" s="43" t="str">
        <f t="array" ref="C2792">IF(B2792="","",_xlfn.XLOOKUP(B2792,'Form responses 1'!$B$2:$B$2604,'Form responses 1'!$A$2:$A$2604,""))</f>
        <v/>
      </c>
      <c r="D2792" s="44" t="str">
        <f t="shared" si="3"/>
        <v/>
      </c>
      <c r="E2792" s="44" t="str">
        <f t="array" ref="E2792">IF(B2792="","",_xlfn.XLOOKUP(B2792,'Form responses 1'!$B$2:$B$2604,'Form responses 1'!$C$2:$C$2604,""))</f>
        <v/>
      </c>
      <c r="F2792" s="44" t="str">
        <f t="array" ref="F2792">IF(B2792="","",_xlfn.XLOOKUP(B2792,'Form responses 1'!$B$2:$B$2604,'Form responses 1'!$D$2:$D$2604,""))</f>
        <v/>
      </c>
      <c r="G2792" s="44" t="str">
        <f t="array" ref="G2792">IF(B2792="","",_xlfn.XLOOKUP(B2792,'Form responses 1'!$B$2:$B$2604,'Form responses 1'!$E$2:$E$2604,""))</f>
        <v/>
      </c>
      <c r="H2792" s="44" t="str">
        <f t="array" ref="H2792">IF(B2792="","",_xlfn.XLOOKUP(B2792,'Form responses 1'!$B$2:$B$2604,'Form responses 1'!$F$2:$F$2604,""))</f>
        <v/>
      </c>
      <c r="I2792" s="44" t="str">
        <f t="array" ref="I2792">IF(B2792="","",_xlfn.XLOOKUP(B2792,'Form responses 1'!$B$2:$B$2604,'Form responses 1'!$I$2:$I$2604,""))</f>
        <v/>
      </c>
      <c r="J2792" s="44" t="str">
        <f t="array" ref="J2792">IF(B2792="","",_xlfn.XLOOKUP(B2792,'Form responses 1'!$B$2:$B$2604,'Form responses 1'!$G$2:$G$2604,""))</f>
        <v/>
      </c>
      <c r="K2792" s="56"/>
      <c r="L2792" s="58" t="str">
        <f t="shared" si="7"/>
        <v/>
      </c>
      <c r="M2792" s="49"/>
      <c r="N2792" s="49"/>
      <c r="O2792" s="49"/>
      <c r="P2792" s="49"/>
      <c r="Q2792" s="49"/>
      <c r="R2792" s="49"/>
      <c r="S2792" s="49"/>
      <c r="T2792" s="49"/>
      <c r="U2792" s="49"/>
      <c r="V2792" s="49"/>
      <c r="W2792" s="56"/>
      <c r="X2792" s="51" t="str">
        <f t="shared" si="5"/>
        <v/>
      </c>
      <c r="Y2792" s="50" t="s">
        <v>482</v>
      </c>
      <c r="Z2792" s="49">
        <f t="shared" si="6"/>
        <v>0</v>
      </c>
    </row>
    <row r="2793" ht="22.5" customHeight="1">
      <c r="B2793" s="57"/>
      <c r="C2793" s="43" t="str">
        <f t="array" ref="C2793">IF(B2793="","",_xlfn.XLOOKUP(B2793,'Form responses 1'!$B$2:$B$2604,'Form responses 1'!$A$2:$A$2604,""))</f>
        <v/>
      </c>
      <c r="D2793" s="44" t="str">
        <f t="shared" si="3"/>
        <v/>
      </c>
      <c r="E2793" s="44" t="str">
        <f t="array" ref="E2793">IF(B2793="","",_xlfn.XLOOKUP(B2793,'Form responses 1'!$B$2:$B$2604,'Form responses 1'!$C$2:$C$2604,""))</f>
        <v/>
      </c>
      <c r="F2793" s="44" t="str">
        <f t="array" ref="F2793">IF(B2793="","",_xlfn.XLOOKUP(B2793,'Form responses 1'!$B$2:$B$2604,'Form responses 1'!$D$2:$D$2604,""))</f>
        <v/>
      </c>
      <c r="G2793" s="44" t="str">
        <f t="array" ref="G2793">IF(B2793="","",_xlfn.XLOOKUP(B2793,'Form responses 1'!$B$2:$B$2604,'Form responses 1'!$E$2:$E$2604,""))</f>
        <v/>
      </c>
      <c r="H2793" s="44" t="str">
        <f t="array" ref="H2793">IF(B2793="","",_xlfn.XLOOKUP(B2793,'Form responses 1'!$B$2:$B$2604,'Form responses 1'!$F$2:$F$2604,""))</f>
        <v/>
      </c>
      <c r="I2793" s="44" t="str">
        <f t="array" ref="I2793">IF(B2793="","",_xlfn.XLOOKUP(B2793,'Form responses 1'!$B$2:$B$2604,'Form responses 1'!$I$2:$I$2604,""))</f>
        <v/>
      </c>
      <c r="J2793" s="44" t="str">
        <f t="array" ref="J2793">IF(B2793="","",_xlfn.XLOOKUP(B2793,'Form responses 1'!$B$2:$B$2604,'Form responses 1'!$G$2:$G$2604,""))</f>
        <v/>
      </c>
      <c r="K2793" s="56"/>
      <c r="L2793" s="58" t="str">
        <f t="shared" si="7"/>
        <v/>
      </c>
      <c r="M2793" s="49"/>
      <c r="N2793" s="49"/>
      <c r="O2793" s="49"/>
      <c r="P2793" s="49"/>
      <c r="Q2793" s="49"/>
      <c r="R2793" s="49"/>
      <c r="S2793" s="49"/>
      <c r="T2793" s="49"/>
      <c r="U2793" s="49"/>
      <c r="V2793" s="49"/>
      <c r="W2793" s="56"/>
      <c r="X2793" s="51" t="str">
        <f t="shared" si="5"/>
        <v/>
      </c>
      <c r="Y2793" s="50" t="s">
        <v>482</v>
      </c>
      <c r="Z2793" s="49">
        <f t="shared" si="6"/>
        <v>0</v>
      </c>
    </row>
    <row r="2794" ht="22.5" customHeight="1">
      <c r="B2794" s="57"/>
      <c r="C2794" s="43" t="str">
        <f t="array" ref="C2794">IF(B2794="","",_xlfn.XLOOKUP(B2794,'Form responses 1'!$B$2:$B$2604,'Form responses 1'!$A$2:$A$2604,""))</f>
        <v/>
      </c>
      <c r="D2794" s="44" t="str">
        <f t="shared" si="3"/>
        <v/>
      </c>
      <c r="E2794" s="44" t="str">
        <f t="array" ref="E2794">IF(B2794="","",_xlfn.XLOOKUP(B2794,'Form responses 1'!$B$2:$B$2604,'Form responses 1'!$C$2:$C$2604,""))</f>
        <v/>
      </c>
      <c r="F2794" s="44" t="str">
        <f t="array" ref="F2794">IF(B2794="","",_xlfn.XLOOKUP(B2794,'Form responses 1'!$B$2:$B$2604,'Form responses 1'!$D$2:$D$2604,""))</f>
        <v/>
      </c>
      <c r="G2794" s="44" t="str">
        <f t="array" ref="G2794">IF(B2794="","",_xlfn.XLOOKUP(B2794,'Form responses 1'!$B$2:$B$2604,'Form responses 1'!$E$2:$E$2604,""))</f>
        <v/>
      </c>
      <c r="H2794" s="44" t="str">
        <f t="array" ref="H2794">IF(B2794="","",_xlfn.XLOOKUP(B2794,'Form responses 1'!$B$2:$B$2604,'Form responses 1'!$F$2:$F$2604,""))</f>
        <v/>
      </c>
      <c r="I2794" s="44" t="str">
        <f t="array" ref="I2794">IF(B2794="","",_xlfn.XLOOKUP(B2794,'Form responses 1'!$B$2:$B$2604,'Form responses 1'!$I$2:$I$2604,""))</f>
        <v/>
      </c>
      <c r="J2794" s="44" t="str">
        <f t="array" ref="J2794">IF(B2794="","",_xlfn.XLOOKUP(B2794,'Form responses 1'!$B$2:$B$2604,'Form responses 1'!$G$2:$G$2604,""))</f>
        <v/>
      </c>
      <c r="K2794" s="56"/>
      <c r="L2794" s="58" t="str">
        <f t="shared" si="7"/>
        <v/>
      </c>
      <c r="M2794" s="49"/>
      <c r="N2794" s="49"/>
      <c r="O2794" s="49"/>
      <c r="P2794" s="49"/>
      <c r="Q2794" s="49"/>
      <c r="R2794" s="49"/>
      <c r="S2794" s="49"/>
      <c r="T2794" s="49"/>
      <c r="U2794" s="49"/>
      <c r="V2794" s="49"/>
      <c r="W2794" s="56"/>
      <c r="X2794" s="51" t="str">
        <f t="shared" si="5"/>
        <v/>
      </c>
      <c r="Y2794" s="50" t="s">
        <v>482</v>
      </c>
      <c r="Z2794" s="49">
        <f t="shared" si="6"/>
        <v>0</v>
      </c>
    </row>
    <row r="2795" ht="22.5" customHeight="1">
      <c r="B2795" s="57"/>
      <c r="C2795" s="43" t="str">
        <f t="array" ref="C2795">IF(B2795="","",_xlfn.XLOOKUP(B2795,'Form responses 1'!$B$2:$B$2604,'Form responses 1'!$A$2:$A$2604,""))</f>
        <v/>
      </c>
      <c r="D2795" s="44" t="str">
        <f t="shared" si="3"/>
        <v/>
      </c>
      <c r="E2795" s="44" t="str">
        <f t="array" ref="E2795">IF(B2795="","",_xlfn.XLOOKUP(B2795,'Form responses 1'!$B$2:$B$2604,'Form responses 1'!$C$2:$C$2604,""))</f>
        <v/>
      </c>
      <c r="F2795" s="44" t="str">
        <f t="array" ref="F2795">IF(B2795="","",_xlfn.XLOOKUP(B2795,'Form responses 1'!$B$2:$B$2604,'Form responses 1'!$D$2:$D$2604,""))</f>
        <v/>
      </c>
      <c r="G2795" s="44" t="str">
        <f t="array" ref="G2795">IF(B2795="","",_xlfn.XLOOKUP(B2795,'Form responses 1'!$B$2:$B$2604,'Form responses 1'!$E$2:$E$2604,""))</f>
        <v/>
      </c>
      <c r="H2795" s="44" t="str">
        <f t="array" ref="H2795">IF(B2795="","",_xlfn.XLOOKUP(B2795,'Form responses 1'!$B$2:$B$2604,'Form responses 1'!$F$2:$F$2604,""))</f>
        <v/>
      </c>
      <c r="I2795" s="44" t="str">
        <f t="array" ref="I2795">IF(B2795="","",_xlfn.XLOOKUP(B2795,'Form responses 1'!$B$2:$B$2604,'Form responses 1'!$I$2:$I$2604,""))</f>
        <v/>
      </c>
      <c r="J2795" s="44" t="str">
        <f t="array" ref="J2795">IF(B2795="","",_xlfn.XLOOKUP(B2795,'Form responses 1'!$B$2:$B$2604,'Form responses 1'!$G$2:$G$2604,""))</f>
        <v/>
      </c>
      <c r="K2795" s="56"/>
      <c r="L2795" s="58" t="str">
        <f t="shared" si="7"/>
        <v/>
      </c>
      <c r="M2795" s="49"/>
      <c r="N2795" s="49"/>
      <c r="O2795" s="49"/>
      <c r="P2795" s="49"/>
      <c r="Q2795" s="49"/>
      <c r="R2795" s="49"/>
      <c r="S2795" s="49"/>
      <c r="T2795" s="49"/>
      <c r="U2795" s="49"/>
      <c r="V2795" s="49"/>
      <c r="W2795" s="56"/>
      <c r="X2795" s="51" t="str">
        <f t="shared" si="5"/>
        <v/>
      </c>
      <c r="Y2795" s="50" t="s">
        <v>482</v>
      </c>
      <c r="Z2795" s="49">
        <f t="shared" si="6"/>
        <v>0</v>
      </c>
    </row>
    <row r="2796" ht="22.5" customHeight="1">
      <c r="B2796" s="57"/>
      <c r="C2796" s="43" t="str">
        <f t="array" ref="C2796">IF(B2796="","",_xlfn.XLOOKUP(B2796,'Form responses 1'!$B$2:$B$2604,'Form responses 1'!$A$2:$A$2604,""))</f>
        <v/>
      </c>
      <c r="D2796" s="44" t="str">
        <f t="shared" si="3"/>
        <v/>
      </c>
      <c r="E2796" s="44" t="str">
        <f t="array" ref="E2796">IF(B2796="","",_xlfn.XLOOKUP(B2796,'Form responses 1'!$B$2:$B$2604,'Form responses 1'!$C$2:$C$2604,""))</f>
        <v/>
      </c>
      <c r="F2796" s="44" t="str">
        <f t="array" ref="F2796">IF(B2796="","",_xlfn.XLOOKUP(B2796,'Form responses 1'!$B$2:$B$2604,'Form responses 1'!$D$2:$D$2604,""))</f>
        <v/>
      </c>
      <c r="G2796" s="44" t="str">
        <f t="array" ref="G2796">IF(B2796="","",_xlfn.XLOOKUP(B2796,'Form responses 1'!$B$2:$B$2604,'Form responses 1'!$E$2:$E$2604,""))</f>
        <v/>
      </c>
      <c r="H2796" s="44" t="str">
        <f t="array" ref="H2796">IF(B2796="","",_xlfn.XLOOKUP(B2796,'Form responses 1'!$B$2:$B$2604,'Form responses 1'!$F$2:$F$2604,""))</f>
        <v/>
      </c>
      <c r="I2796" s="44" t="str">
        <f t="array" ref="I2796">IF(B2796="","",_xlfn.XLOOKUP(B2796,'Form responses 1'!$B$2:$B$2604,'Form responses 1'!$I$2:$I$2604,""))</f>
        <v/>
      </c>
      <c r="J2796" s="44" t="str">
        <f t="array" ref="J2796">IF(B2796="","",_xlfn.XLOOKUP(B2796,'Form responses 1'!$B$2:$B$2604,'Form responses 1'!$G$2:$G$2604,""))</f>
        <v/>
      </c>
      <c r="K2796" s="56"/>
      <c r="L2796" s="58" t="str">
        <f t="shared" si="7"/>
        <v/>
      </c>
      <c r="M2796" s="49"/>
      <c r="N2796" s="49"/>
      <c r="O2796" s="49"/>
      <c r="P2796" s="49"/>
      <c r="Q2796" s="49"/>
      <c r="R2796" s="49"/>
      <c r="S2796" s="49"/>
      <c r="T2796" s="49"/>
      <c r="U2796" s="49"/>
      <c r="V2796" s="49"/>
      <c r="W2796" s="56"/>
      <c r="X2796" s="51" t="str">
        <f t="shared" si="5"/>
        <v/>
      </c>
      <c r="Y2796" s="50" t="s">
        <v>482</v>
      </c>
      <c r="Z2796" s="49">
        <f t="shared" si="6"/>
        <v>0</v>
      </c>
    </row>
    <row r="2797" ht="22.5" customHeight="1">
      <c r="B2797" s="57"/>
      <c r="C2797" s="43" t="str">
        <f t="array" ref="C2797">IF(B2797="","",_xlfn.XLOOKUP(B2797,'Form responses 1'!$B$2:$B$2604,'Form responses 1'!$A$2:$A$2604,""))</f>
        <v/>
      </c>
      <c r="D2797" s="44" t="str">
        <f t="shared" si="3"/>
        <v/>
      </c>
      <c r="E2797" s="44" t="str">
        <f t="array" ref="E2797">IF(B2797="","",_xlfn.XLOOKUP(B2797,'Form responses 1'!$B$2:$B$2604,'Form responses 1'!$C$2:$C$2604,""))</f>
        <v/>
      </c>
      <c r="F2797" s="44" t="str">
        <f t="array" ref="F2797">IF(B2797="","",_xlfn.XLOOKUP(B2797,'Form responses 1'!$B$2:$B$2604,'Form responses 1'!$D$2:$D$2604,""))</f>
        <v/>
      </c>
      <c r="G2797" s="44" t="str">
        <f t="array" ref="G2797">IF(B2797="","",_xlfn.XLOOKUP(B2797,'Form responses 1'!$B$2:$B$2604,'Form responses 1'!$E$2:$E$2604,""))</f>
        <v/>
      </c>
      <c r="H2797" s="44" t="str">
        <f t="array" ref="H2797">IF(B2797="","",_xlfn.XLOOKUP(B2797,'Form responses 1'!$B$2:$B$2604,'Form responses 1'!$F$2:$F$2604,""))</f>
        <v/>
      </c>
      <c r="I2797" s="44" t="str">
        <f t="array" ref="I2797">IF(B2797="","",_xlfn.XLOOKUP(B2797,'Form responses 1'!$B$2:$B$2604,'Form responses 1'!$I$2:$I$2604,""))</f>
        <v/>
      </c>
      <c r="J2797" s="44" t="str">
        <f t="array" ref="J2797">IF(B2797="","",_xlfn.XLOOKUP(B2797,'Form responses 1'!$B$2:$B$2604,'Form responses 1'!$G$2:$G$2604,""))</f>
        <v/>
      </c>
      <c r="K2797" s="56"/>
      <c r="L2797" s="58" t="str">
        <f t="shared" si="7"/>
        <v/>
      </c>
      <c r="M2797" s="49"/>
      <c r="N2797" s="49"/>
      <c r="O2797" s="49"/>
      <c r="P2797" s="49"/>
      <c r="Q2797" s="49"/>
      <c r="R2797" s="49"/>
      <c r="S2797" s="49"/>
      <c r="T2797" s="49"/>
      <c r="U2797" s="49"/>
      <c r="V2797" s="49"/>
      <c r="W2797" s="56"/>
      <c r="X2797" s="51" t="str">
        <f t="shared" si="5"/>
        <v/>
      </c>
      <c r="Y2797" s="50" t="s">
        <v>482</v>
      </c>
      <c r="Z2797" s="49">
        <f t="shared" si="6"/>
        <v>0</v>
      </c>
    </row>
    <row r="2798" ht="22.5" customHeight="1">
      <c r="B2798" s="57"/>
      <c r="C2798" s="43" t="str">
        <f t="array" ref="C2798">IF(B2798="","",_xlfn.XLOOKUP(B2798,'Form responses 1'!$B$2:$B$2604,'Form responses 1'!$A$2:$A$2604,""))</f>
        <v/>
      </c>
      <c r="D2798" s="44" t="str">
        <f t="shared" si="3"/>
        <v/>
      </c>
      <c r="E2798" s="44" t="str">
        <f t="array" ref="E2798">IF(B2798="","",_xlfn.XLOOKUP(B2798,'Form responses 1'!$B$2:$B$2604,'Form responses 1'!$C$2:$C$2604,""))</f>
        <v/>
      </c>
      <c r="F2798" s="44" t="str">
        <f t="array" ref="F2798">IF(B2798="","",_xlfn.XLOOKUP(B2798,'Form responses 1'!$B$2:$B$2604,'Form responses 1'!$D$2:$D$2604,""))</f>
        <v/>
      </c>
      <c r="G2798" s="44" t="str">
        <f t="array" ref="G2798">IF(B2798="","",_xlfn.XLOOKUP(B2798,'Form responses 1'!$B$2:$B$2604,'Form responses 1'!$E$2:$E$2604,""))</f>
        <v/>
      </c>
      <c r="H2798" s="44" t="str">
        <f t="array" ref="H2798">IF(B2798="","",_xlfn.XLOOKUP(B2798,'Form responses 1'!$B$2:$B$2604,'Form responses 1'!$F$2:$F$2604,""))</f>
        <v/>
      </c>
      <c r="I2798" s="44" t="str">
        <f t="array" ref="I2798">IF(B2798="","",_xlfn.XLOOKUP(B2798,'Form responses 1'!$B$2:$B$2604,'Form responses 1'!$I$2:$I$2604,""))</f>
        <v/>
      </c>
      <c r="J2798" s="44" t="str">
        <f t="array" ref="J2798">IF(B2798="","",_xlfn.XLOOKUP(B2798,'Form responses 1'!$B$2:$B$2604,'Form responses 1'!$G$2:$G$2604,""))</f>
        <v/>
      </c>
      <c r="K2798" s="56"/>
      <c r="L2798" s="58" t="str">
        <f t="shared" si="7"/>
        <v/>
      </c>
      <c r="M2798" s="49"/>
      <c r="N2798" s="49"/>
      <c r="O2798" s="49"/>
      <c r="P2798" s="49"/>
      <c r="Q2798" s="49"/>
      <c r="R2798" s="49"/>
      <c r="S2798" s="49"/>
      <c r="T2798" s="49"/>
      <c r="U2798" s="49"/>
      <c r="V2798" s="49"/>
      <c r="W2798" s="56"/>
      <c r="X2798" s="51" t="str">
        <f t="shared" si="5"/>
        <v/>
      </c>
      <c r="Y2798" s="50" t="s">
        <v>482</v>
      </c>
      <c r="Z2798" s="49">
        <f t="shared" si="6"/>
        <v>0</v>
      </c>
    </row>
    <row r="2799" ht="22.5" customHeight="1">
      <c r="B2799" s="57"/>
      <c r="C2799" s="43" t="str">
        <f t="array" ref="C2799">IF(B2799="","",_xlfn.XLOOKUP(B2799,'Form responses 1'!$B$2:$B$2604,'Form responses 1'!$A$2:$A$2604,""))</f>
        <v/>
      </c>
      <c r="D2799" s="44" t="str">
        <f t="shared" si="3"/>
        <v/>
      </c>
      <c r="E2799" s="44" t="str">
        <f t="array" ref="E2799">IF(B2799="","",_xlfn.XLOOKUP(B2799,'Form responses 1'!$B$2:$B$2604,'Form responses 1'!$C$2:$C$2604,""))</f>
        <v/>
      </c>
      <c r="F2799" s="44" t="str">
        <f t="array" ref="F2799">IF(B2799="","",_xlfn.XLOOKUP(B2799,'Form responses 1'!$B$2:$B$2604,'Form responses 1'!$D$2:$D$2604,""))</f>
        <v/>
      </c>
      <c r="G2799" s="44" t="str">
        <f t="array" ref="G2799">IF(B2799="","",_xlfn.XLOOKUP(B2799,'Form responses 1'!$B$2:$B$2604,'Form responses 1'!$E$2:$E$2604,""))</f>
        <v/>
      </c>
      <c r="H2799" s="44" t="str">
        <f t="array" ref="H2799">IF(B2799="","",_xlfn.XLOOKUP(B2799,'Form responses 1'!$B$2:$B$2604,'Form responses 1'!$F$2:$F$2604,""))</f>
        <v/>
      </c>
      <c r="I2799" s="44" t="str">
        <f t="array" ref="I2799">IF(B2799="","",_xlfn.XLOOKUP(B2799,'Form responses 1'!$B$2:$B$2604,'Form responses 1'!$I$2:$I$2604,""))</f>
        <v/>
      </c>
      <c r="J2799" s="44" t="str">
        <f t="array" ref="J2799">IF(B2799="","",_xlfn.XLOOKUP(B2799,'Form responses 1'!$B$2:$B$2604,'Form responses 1'!$G$2:$G$2604,""))</f>
        <v/>
      </c>
      <c r="K2799" s="56"/>
      <c r="L2799" s="58" t="str">
        <f t="shared" si="7"/>
        <v/>
      </c>
      <c r="M2799" s="49"/>
      <c r="N2799" s="49"/>
      <c r="O2799" s="49"/>
      <c r="P2799" s="49"/>
      <c r="Q2799" s="49"/>
      <c r="R2799" s="49"/>
      <c r="S2799" s="49"/>
      <c r="T2799" s="49"/>
      <c r="U2799" s="49"/>
      <c r="V2799" s="49"/>
      <c r="W2799" s="56"/>
      <c r="X2799" s="51" t="str">
        <f t="shared" si="5"/>
        <v/>
      </c>
      <c r="Y2799" s="50" t="s">
        <v>482</v>
      </c>
      <c r="Z2799" s="49">
        <f t="shared" si="6"/>
        <v>0</v>
      </c>
    </row>
    <row r="2800" ht="22.5" customHeight="1">
      <c r="B2800" s="57"/>
      <c r="C2800" s="43" t="str">
        <f t="array" ref="C2800">IF(B2800="","",_xlfn.XLOOKUP(B2800,'Form responses 1'!$B$2:$B$2604,'Form responses 1'!$A$2:$A$2604,""))</f>
        <v/>
      </c>
      <c r="D2800" s="44" t="str">
        <f t="shared" si="3"/>
        <v/>
      </c>
      <c r="E2800" s="44" t="str">
        <f t="array" ref="E2800">IF(B2800="","",_xlfn.XLOOKUP(B2800,'Form responses 1'!$B$2:$B$2604,'Form responses 1'!$C$2:$C$2604,""))</f>
        <v/>
      </c>
      <c r="F2800" s="44" t="str">
        <f t="array" ref="F2800">IF(B2800="","",_xlfn.XLOOKUP(B2800,'Form responses 1'!$B$2:$B$2604,'Form responses 1'!$D$2:$D$2604,""))</f>
        <v/>
      </c>
      <c r="G2800" s="44" t="str">
        <f t="array" ref="G2800">IF(B2800="","",_xlfn.XLOOKUP(B2800,'Form responses 1'!$B$2:$B$2604,'Form responses 1'!$E$2:$E$2604,""))</f>
        <v/>
      </c>
      <c r="H2800" s="44" t="str">
        <f t="array" ref="H2800">IF(B2800="","",_xlfn.XLOOKUP(B2800,'Form responses 1'!$B$2:$B$2604,'Form responses 1'!$F$2:$F$2604,""))</f>
        <v/>
      </c>
      <c r="I2800" s="44" t="str">
        <f t="array" ref="I2800">IF(B2800="","",_xlfn.XLOOKUP(B2800,'Form responses 1'!$B$2:$B$2604,'Form responses 1'!$I$2:$I$2604,""))</f>
        <v/>
      </c>
      <c r="J2800" s="44" t="str">
        <f t="array" ref="J2800">IF(B2800="","",_xlfn.XLOOKUP(B2800,'Form responses 1'!$B$2:$B$2604,'Form responses 1'!$G$2:$G$2604,""))</f>
        <v/>
      </c>
      <c r="K2800" s="56"/>
      <c r="L2800" s="58" t="str">
        <f t="shared" si="7"/>
        <v/>
      </c>
      <c r="M2800" s="49"/>
      <c r="N2800" s="49"/>
      <c r="O2800" s="49"/>
      <c r="P2800" s="49"/>
      <c r="Q2800" s="49"/>
      <c r="R2800" s="49"/>
      <c r="S2800" s="49"/>
      <c r="T2800" s="49"/>
      <c r="U2800" s="49"/>
      <c r="V2800" s="49"/>
      <c r="W2800" s="56"/>
      <c r="X2800" s="51" t="str">
        <f t="shared" si="5"/>
        <v/>
      </c>
      <c r="Y2800" s="50" t="s">
        <v>482</v>
      </c>
      <c r="Z2800" s="49">
        <f t="shared" si="6"/>
        <v>0</v>
      </c>
    </row>
    <row r="2801" ht="22.5" customHeight="1">
      <c r="B2801" s="57"/>
      <c r="C2801" s="43" t="str">
        <f t="array" ref="C2801">IF(B2801="","",_xlfn.XLOOKUP(B2801,'Form responses 1'!$B$2:$B$2604,'Form responses 1'!$A$2:$A$2604,""))</f>
        <v/>
      </c>
      <c r="D2801" s="44" t="str">
        <f t="shared" si="3"/>
        <v/>
      </c>
      <c r="E2801" s="44" t="str">
        <f t="array" ref="E2801">IF(B2801="","",_xlfn.XLOOKUP(B2801,'Form responses 1'!$B$2:$B$2604,'Form responses 1'!$C$2:$C$2604,""))</f>
        <v/>
      </c>
      <c r="F2801" s="44" t="str">
        <f t="array" ref="F2801">IF(B2801="","",_xlfn.XLOOKUP(B2801,'Form responses 1'!$B$2:$B$2604,'Form responses 1'!$D$2:$D$2604,""))</f>
        <v/>
      </c>
      <c r="G2801" s="44" t="str">
        <f t="array" ref="G2801">IF(B2801="","",_xlfn.XLOOKUP(B2801,'Form responses 1'!$B$2:$B$2604,'Form responses 1'!$E$2:$E$2604,""))</f>
        <v/>
      </c>
      <c r="H2801" s="44" t="str">
        <f t="array" ref="H2801">IF(B2801="","",_xlfn.XLOOKUP(B2801,'Form responses 1'!$B$2:$B$2604,'Form responses 1'!$F$2:$F$2604,""))</f>
        <v/>
      </c>
      <c r="I2801" s="44" t="str">
        <f t="array" ref="I2801">IF(B2801="","",_xlfn.XLOOKUP(B2801,'Form responses 1'!$B$2:$B$2604,'Form responses 1'!$I$2:$I$2604,""))</f>
        <v/>
      </c>
      <c r="J2801" s="44" t="str">
        <f t="array" ref="J2801">IF(B2801="","",_xlfn.XLOOKUP(B2801,'Form responses 1'!$B$2:$B$2604,'Form responses 1'!$G$2:$G$2604,""))</f>
        <v/>
      </c>
      <c r="K2801" s="56"/>
      <c r="L2801" s="58" t="str">
        <f t="shared" si="7"/>
        <v/>
      </c>
      <c r="M2801" s="49"/>
      <c r="N2801" s="49"/>
      <c r="O2801" s="49"/>
      <c r="P2801" s="49"/>
      <c r="Q2801" s="49"/>
      <c r="R2801" s="49"/>
      <c r="S2801" s="49"/>
      <c r="T2801" s="49"/>
      <c r="U2801" s="49"/>
      <c r="V2801" s="49"/>
      <c r="W2801" s="56"/>
      <c r="X2801" s="51" t="str">
        <f t="shared" si="5"/>
        <v/>
      </c>
      <c r="Y2801" s="50" t="s">
        <v>482</v>
      </c>
      <c r="Z2801" s="49">
        <f t="shared" si="6"/>
        <v>0</v>
      </c>
    </row>
    <row r="2802" ht="22.5" customHeight="1">
      <c r="B2802" s="57"/>
      <c r="C2802" s="43" t="str">
        <f t="array" ref="C2802">IF(B2802="","",_xlfn.XLOOKUP(B2802,'Form responses 1'!$B$2:$B$2604,'Form responses 1'!$A$2:$A$2604,""))</f>
        <v/>
      </c>
      <c r="D2802" s="44" t="str">
        <f t="shared" si="3"/>
        <v/>
      </c>
      <c r="E2802" s="44" t="str">
        <f t="array" ref="E2802">IF(B2802="","",_xlfn.XLOOKUP(B2802,'Form responses 1'!$B$2:$B$2604,'Form responses 1'!$C$2:$C$2604,""))</f>
        <v/>
      </c>
      <c r="F2802" s="44" t="str">
        <f t="array" ref="F2802">IF(B2802="","",_xlfn.XLOOKUP(B2802,'Form responses 1'!$B$2:$B$2604,'Form responses 1'!$D$2:$D$2604,""))</f>
        <v/>
      </c>
      <c r="G2802" s="44" t="str">
        <f t="array" ref="G2802">IF(B2802="","",_xlfn.XLOOKUP(B2802,'Form responses 1'!$B$2:$B$2604,'Form responses 1'!$E$2:$E$2604,""))</f>
        <v/>
      </c>
      <c r="H2802" s="44" t="str">
        <f t="array" ref="H2802">IF(B2802="","",_xlfn.XLOOKUP(B2802,'Form responses 1'!$B$2:$B$2604,'Form responses 1'!$F$2:$F$2604,""))</f>
        <v/>
      </c>
      <c r="I2802" s="44" t="str">
        <f t="array" ref="I2802">IF(B2802="","",_xlfn.XLOOKUP(B2802,'Form responses 1'!$B$2:$B$2604,'Form responses 1'!$I$2:$I$2604,""))</f>
        <v/>
      </c>
      <c r="J2802" s="44" t="str">
        <f t="array" ref="J2802">IF(B2802="","",_xlfn.XLOOKUP(B2802,'Form responses 1'!$B$2:$B$2604,'Form responses 1'!$G$2:$G$2604,""))</f>
        <v/>
      </c>
      <c r="K2802" s="56"/>
      <c r="L2802" s="58" t="str">
        <f t="shared" si="7"/>
        <v/>
      </c>
      <c r="M2802" s="49"/>
      <c r="N2802" s="49"/>
      <c r="O2802" s="49"/>
      <c r="P2802" s="49"/>
      <c r="Q2802" s="49"/>
      <c r="R2802" s="49"/>
      <c r="S2802" s="49"/>
      <c r="T2802" s="49"/>
      <c r="U2802" s="49"/>
      <c r="V2802" s="49"/>
      <c r="W2802" s="56"/>
      <c r="X2802" s="51" t="str">
        <f t="shared" si="5"/>
        <v/>
      </c>
      <c r="Y2802" s="50" t="s">
        <v>482</v>
      </c>
      <c r="Z2802" s="49">
        <f t="shared" si="6"/>
        <v>0</v>
      </c>
    </row>
    <row r="2803" ht="22.5" customHeight="1">
      <c r="B2803" s="57"/>
      <c r="C2803" s="43" t="str">
        <f t="array" ref="C2803">IF(B2803="","",_xlfn.XLOOKUP(B2803,'Form responses 1'!$B$2:$B$2604,'Form responses 1'!$A$2:$A$2604,""))</f>
        <v/>
      </c>
      <c r="D2803" s="44" t="str">
        <f t="shared" si="3"/>
        <v/>
      </c>
      <c r="E2803" s="44" t="str">
        <f t="array" ref="E2803">IF(B2803="","",_xlfn.XLOOKUP(B2803,'Form responses 1'!$B$2:$B$2604,'Form responses 1'!$C$2:$C$2604,""))</f>
        <v/>
      </c>
      <c r="F2803" s="44" t="str">
        <f t="array" ref="F2803">IF(B2803="","",_xlfn.XLOOKUP(B2803,'Form responses 1'!$B$2:$B$2604,'Form responses 1'!$D$2:$D$2604,""))</f>
        <v/>
      </c>
      <c r="G2803" s="44" t="str">
        <f t="array" ref="G2803">IF(B2803="","",_xlfn.XLOOKUP(B2803,'Form responses 1'!$B$2:$B$2604,'Form responses 1'!$E$2:$E$2604,""))</f>
        <v/>
      </c>
      <c r="H2803" s="44" t="str">
        <f t="array" ref="H2803">IF(B2803="","",_xlfn.XLOOKUP(B2803,'Form responses 1'!$B$2:$B$2604,'Form responses 1'!$F$2:$F$2604,""))</f>
        <v/>
      </c>
      <c r="I2803" s="44" t="str">
        <f t="array" ref="I2803">IF(B2803="","",_xlfn.XLOOKUP(B2803,'Form responses 1'!$B$2:$B$2604,'Form responses 1'!$I$2:$I$2604,""))</f>
        <v/>
      </c>
      <c r="J2803" s="44" t="str">
        <f t="array" ref="J2803">IF(B2803="","",_xlfn.XLOOKUP(B2803,'Form responses 1'!$B$2:$B$2604,'Form responses 1'!$G$2:$G$2604,""))</f>
        <v/>
      </c>
      <c r="K2803" s="56"/>
      <c r="L2803" s="58" t="str">
        <f t="shared" si="7"/>
        <v/>
      </c>
      <c r="M2803" s="49"/>
      <c r="N2803" s="49"/>
      <c r="O2803" s="49"/>
      <c r="P2803" s="49"/>
      <c r="Q2803" s="49"/>
      <c r="R2803" s="49"/>
      <c r="S2803" s="49"/>
      <c r="T2803" s="49"/>
      <c r="U2803" s="49"/>
      <c r="V2803" s="49"/>
      <c r="W2803" s="56"/>
      <c r="X2803" s="51" t="str">
        <f t="shared" si="5"/>
        <v/>
      </c>
      <c r="Y2803" s="50" t="s">
        <v>482</v>
      </c>
      <c r="Z2803" s="49">
        <f t="shared" si="6"/>
        <v>0</v>
      </c>
    </row>
    <row r="2804" ht="22.5" customHeight="1">
      <c r="B2804" s="57"/>
      <c r="C2804" s="43" t="str">
        <f t="array" ref="C2804">IF(B2804="","",_xlfn.XLOOKUP(B2804,'Form responses 1'!$B$2:$B$2604,'Form responses 1'!$A$2:$A$2604,""))</f>
        <v/>
      </c>
      <c r="D2804" s="44" t="str">
        <f t="shared" si="3"/>
        <v/>
      </c>
      <c r="E2804" s="44" t="str">
        <f t="array" ref="E2804">IF(B2804="","",_xlfn.XLOOKUP(B2804,'Form responses 1'!$B$2:$B$2604,'Form responses 1'!$C$2:$C$2604,""))</f>
        <v/>
      </c>
      <c r="F2804" s="44" t="str">
        <f t="array" ref="F2804">IF(B2804="","",_xlfn.XLOOKUP(B2804,'Form responses 1'!$B$2:$B$2604,'Form responses 1'!$D$2:$D$2604,""))</f>
        <v/>
      </c>
      <c r="G2804" s="44" t="str">
        <f t="array" ref="G2804">IF(B2804="","",_xlfn.XLOOKUP(B2804,'Form responses 1'!$B$2:$B$2604,'Form responses 1'!$E$2:$E$2604,""))</f>
        <v/>
      </c>
      <c r="H2804" s="44" t="str">
        <f t="array" ref="H2804">IF(B2804="","",_xlfn.XLOOKUP(B2804,'Form responses 1'!$B$2:$B$2604,'Form responses 1'!$F$2:$F$2604,""))</f>
        <v/>
      </c>
      <c r="I2804" s="44" t="str">
        <f t="array" ref="I2804">IF(B2804="","",_xlfn.XLOOKUP(B2804,'Form responses 1'!$B$2:$B$2604,'Form responses 1'!$I$2:$I$2604,""))</f>
        <v/>
      </c>
      <c r="J2804" s="44" t="str">
        <f t="array" ref="J2804">IF(B2804="","",_xlfn.XLOOKUP(B2804,'Form responses 1'!$B$2:$B$2604,'Form responses 1'!$G$2:$G$2604,""))</f>
        <v/>
      </c>
      <c r="K2804" s="56"/>
      <c r="L2804" s="58" t="str">
        <f t="shared" si="7"/>
        <v/>
      </c>
      <c r="M2804" s="49"/>
      <c r="N2804" s="49"/>
      <c r="O2804" s="49"/>
      <c r="P2804" s="49"/>
      <c r="Q2804" s="49"/>
      <c r="R2804" s="49"/>
      <c r="S2804" s="49"/>
      <c r="T2804" s="49"/>
      <c r="U2804" s="49"/>
      <c r="V2804" s="49"/>
      <c r="W2804" s="56"/>
      <c r="X2804" s="51" t="str">
        <f t="shared" si="5"/>
        <v/>
      </c>
      <c r="Y2804" s="50" t="s">
        <v>482</v>
      </c>
      <c r="Z2804" s="49">
        <f t="shared" si="6"/>
        <v>0</v>
      </c>
    </row>
    <row r="2805" ht="22.5" customHeight="1">
      <c r="B2805" s="57"/>
      <c r="C2805" s="43" t="str">
        <f t="array" ref="C2805">IF(B2805="","",_xlfn.XLOOKUP(B2805,'Form responses 1'!$B$2:$B$2604,'Form responses 1'!$A$2:$A$2604,""))</f>
        <v/>
      </c>
      <c r="D2805" s="44" t="str">
        <f t="shared" si="3"/>
        <v/>
      </c>
      <c r="E2805" s="44" t="str">
        <f t="array" ref="E2805">IF(B2805="","",_xlfn.XLOOKUP(B2805,'Form responses 1'!$B$2:$B$2604,'Form responses 1'!$C$2:$C$2604,""))</f>
        <v/>
      </c>
      <c r="F2805" s="44" t="str">
        <f t="array" ref="F2805">IF(B2805="","",_xlfn.XLOOKUP(B2805,'Form responses 1'!$B$2:$B$2604,'Form responses 1'!$D$2:$D$2604,""))</f>
        <v/>
      </c>
      <c r="G2805" s="44" t="str">
        <f t="array" ref="G2805">IF(B2805="","",_xlfn.XLOOKUP(B2805,'Form responses 1'!$B$2:$B$2604,'Form responses 1'!$E$2:$E$2604,""))</f>
        <v/>
      </c>
      <c r="H2805" s="44" t="str">
        <f t="array" ref="H2805">IF(B2805="","",_xlfn.XLOOKUP(B2805,'Form responses 1'!$B$2:$B$2604,'Form responses 1'!$F$2:$F$2604,""))</f>
        <v/>
      </c>
      <c r="I2805" s="44" t="str">
        <f t="array" ref="I2805">IF(B2805="","",_xlfn.XLOOKUP(B2805,'Form responses 1'!$B$2:$B$2604,'Form responses 1'!$I$2:$I$2604,""))</f>
        <v/>
      </c>
      <c r="J2805" s="44" t="str">
        <f t="array" ref="J2805">IF(B2805="","",_xlfn.XLOOKUP(B2805,'Form responses 1'!$B$2:$B$2604,'Form responses 1'!$G$2:$G$2604,""))</f>
        <v/>
      </c>
      <c r="K2805" s="56"/>
      <c r="L2805" s="58" t="str">
        <f t="shared" si="7"/>
        <v/>
      </c>
      <c r="M2805" s="49"/>
      <c r="N2805" s="49"/>
      <c r="O2805" s="49"/>
      <c r="P2805" s="49"/>
      <c r="Q2805" s="49"/>
      <c r="R2805" s="49"/>
      <c r="S2805" s="49"/>
      <c r="T2805" s="49"/>
      <c r="U2805" s="49"/>
      <c r="V2805" s="49"/>
      <c r="W2805" s="56"/>
      <c r="X2805" s="51" t="str">
        <f t="shared" si="5"/>
        <v/>
      </c>
      <c r="Y2805" s="50" t="s">
        <v>482</v>
      </c>
      <c r="Z2805" s="49">
        <f t="shared" si="6"/>
        <v>0</v>
      </c>
    </row>
    <row r="2806" ht="22.5" customHeight="1">
      <c r="B2806" s="57"/>
      <c r="C2806" s="43" t="str">
        <f t="array" ref="C2806">IF(B2806="","",_xlfn.XLOOKUP(B2806,'Form responses 1'!$B$2:$B$2604,'Form responses 1'!$A$2:$A$2604,""))</f>
        <v/>
      </c>
      <c r="D2806" s="44" t="str">
        <f t="shared" si="3"/>
        <v/>
      </c>
      <c r="E2806" s="44" t="str">
        <f t="array" ref="E2806">IF(B2806="","",_xlfn.XLOOKUP(B2806,'Form responses 1'!$B$2:$B$2604,'Form responses 1'!$C$2:$C$2604,""))</f>
        <v/>
      </c>
      <c r="F2806" s="44" t="str">
        <f t="array" ref="F2806">IF(B2806="","",_xlfn.XLOOKUP(B2806,'Form responses 1'!$B$2:$B$2604,'Form responses 1'!$D$2:$D$2604,""))</f>
        <v/>
      </c>
      <c r="G2806" s="44" t="str">
        <f t="array" ref="G2806">IF(B2806="","",_xlfn.XLOOKUP(B2806,'Form responses 1'!$B$2:$B$2604,'Form responses 1'!$E$2:$E$2604,""))</f>
        <v/>
      </c>
      <c r="H2806" s="44" t="str">
        <f t="array" ref="H2806">IF(B2806="","",_xlfn.XLOOKUP(B2806,'Form responses 1'!$B$2:$B$2604,'Form responses 1'!$F$2:$F$2604,""))</f>
        <v/>
      </c>
      <c r="I2806" s="44" t="str">
        <f t="array" ref="I2806">IF(B2806="","",_xlfn.XLOOKUP(B2806,'Form responses 1'!$B$2:$B$2604,'Form responses 1'!$I$2:$I$2604,""))</f>
        <v/>
      </c>
      <c r="J2806" s="44" t="str">
        <f t="array" ref="J2806">IF(B2806="","",_xlfn.XLOOKUP(B2806,'Form responses 1'!$B$2:$B$2604,'Form responses 1'!$G$2:$G$2604,""))</f>
        <v/>
      </c>
      <c r="K2806" s="56"/>
      <c r="L2806" s="58" t="str">
        <f t="shared" si="7"/>
        <v/>
      </c>
      <c r="M2806" s="49"/>
      <c r="N2806" s="49"/>
      <c r="O2806" s="49"/>
      <c r="P2806" s="49"/>
      <c r="Q2806" s="49"/>
      <c r="R2806" s="49"/>
      <c r="S2806" s="49"/>
      <c r="T2806" s="49"/>
      <c r="U2806" s="49"/>
      <c r="V2806" s="49"/>
      <c r="W2806" s="56"/>
      <c r="X2806" s="51" t="str">
        <f t="shared" si="5"/>
        <v/>
      </c>
      <c r="Y2806" s="50" t="s">
        <v>482</v>
      </c>
      <c r="Z2806" s="49">
        <f t="shared" si="6"/>
        <v>0</v>
      </c>
    </row>
    <row r="2807" ht="22.5" customHeight="1">
      <c r="B2807" s="57"/>
      <c r="C2807" s="43" t="str">
        <f t="array" ref="C2807">IF(B2807="","",_xlfn.XLOOKUP(B2807,'Form responses 1'!$B$2:$B$2604,'Form responses 1'!$A$2:$A$2604,""))</f>
        <v/>
      </c>
      <c r="D2807" s="44" t="str">
        <f t="shared" si="3"/>
        <v/>
      </c>
      <c r="E2807" s="44" t="str">
        <f t="array" ref="E2807">IF(B2807="","",_xlfn.XLOOKUP(B2807,'Form responses 1'!$B$2:$B$2604,'Form responses 1'!$C$2:$C$2604,""))</f>
        <v/>
      </c>
      <c r="F2807" s="44" t="str">
        <f t="array" ref="F2807">IF(B2807="","",_xlfn.XLOOKUP(B2807,'Form responses 1'!$B$2:$B$2604,'Form responses 1'!$D$2:$D$2604,""))</f>
        <v/>
      </c>
      <c r="G2807" s="44" t="str">
        <f t="array" ref="G2807">IF(B2807="","",_xlfn.XLOOKUP(B2807,'Form responses 1'!$B$2:$B$2604,'Form responses 1'!$E$2:$E$2604,""))</f>
        <v/>
      </c>
      <c r="H2807" s="44" t="str">
        <f t="array" ref="H2807">IF(B2807="","",_xlfn.XLOOKUP(B2807,'Form responses 1'!$B$2:$B$2604,'Form responses 1'!$F$2:$F$2604,""))</f>
        <v/>
      </c>
      <c r="I2807" s="44" t="str">
        <f t="array" ref="I2807">IF(B2807="","",_xlfn.XLOOKUP(B2807,'Form responses 1'!$B$2:$B$2604,'Form responses 1'!$I$2:$I$2604,""))</f>
        <v/>
      </c>
      <c r="J2807" s="44" t="str">
        <f t="array" ref="J2807">IF(B2807="","",_xlfn.XLOOKUP(B2807,'Form responses 1'!$B$2:$B$2604,'Form responses 1'!$G$2:$G$2604,""))</f>
        <v/>
      </c>
      <c r="K2807" s="56"/>
      <c r="L2807" s="58" t="str">
        <f t="shared" si="7"/>
        <v/>
      </c>
      <c r="M2807" s="49"/>
      <c r="N2807" s="49"/>
      <c r="O2807" s="49"/>
      <c r="P2807" s="49"/>
      <c r="Q2807" s="49"/>
      <c r="R2807" s="49"/>
      <c r="S2807" s="49"/>
      <c r="T2807" s="49"/>
      <c r="U2807" s="49"/>
      <c r="V2807" s="49"/>
      <c r="W2807" s="56"/>
      <c r="X2807" s="51" t="str">
        <f t="shared" si="5"/>
        <v/>
      </c>
      <c r="Y2807" s="50" t="s">
        <v>482</v>
      </c>
      <c r="Z2807" s="49">
        <f t="shared" si="6"/>
        <v>0</v>
      </c>
    </row>
    <row r="2808" ht="22.5" customHeight="1">
      <c r="B2808" s="57"/>
      <c r="C2808" s="43" t="str">
        <f t="array" ref="C2808">IF(B2808="","",_xlfn.XLOOKUP(B2808,'Form responses 1'!$B$2:$B$2604,'Form responses 1'!$A$2:$A$2604,""))</f>
        <v/>
      </c>
      <c r="D2808" s="44" t="str">
        <f t="shared" si="3"/>
        <v/>
      </c>
      <c r="E2808" s="44" t="str">
        <f t="array" ref="E2808">IF(B2808="","",_xlfn.XLOOKUP(B2808,'Form responses 1'!$B$2:$B$2604,'Form responses 1'!$C$2:$C$2604,""))</f>
        <v/>
      </c>
      <c r="F2808" s="44" t="str">
        <f t="array" ref="F2808">IF(B2808="","",_xlfn.XLOOKUP(B2808,'Form responses 1'!$B$2:$B$2604,'Form responses 1'!$D$2:$D$2604,""))</f>
        <v/>
      </c>
      <c r="G2808" s="44" t="str">
        <f t="array" ref="G2808">IF(B2808="","",_xlfn.XLOOKUP(B2808,'Form responses 1'!$B$2:$B$2604,'Form responses 1'!$E$2:$E$2604,""))</f>
        <v/>
      </c>
      <c r="H2808" s="44" t="str">
        <f t="array" ref="H2808">IF(B2808="","",_xlfn.XLOOKUP(B2808,'Form responses 1'!$B$2:$B$2604,'Form responses 1'!$F$2:$F$2604,""))</f>
        <v/>
      </c>
      <c r="I2808" s="44" t="str">
        <f t="array" ref="I2808">IF(B2808="","",_xlfn.XLOOKUP(B2808,'Form responses 1'!$B$2:$B$2604,'Form responses 1'!$I$2:$I$2604,""))</f>
        <v/>
      </c>
      <c r="J2808" s="44" t="str">
        <f t="array" ref="J2808">IF(B2808="","",_xlfn.XLOOKUP(B2808,'Form responses 1'!$B$2:$B$2604,'Form responses 1'!$G$2:$G$2604,""))</f>
        <v/>
      </c>
      <c r="K2808" s="56"/>
      <c r="L2808" s="58" t="str">
        <f t="shared" si="7"/>
        <v/>
      </c>
      <c r="M2808" s="49"/>
      <c r="N2808" s="49"/>
      <c r="O2808" s="49"/>
      <c r="P2808" s="49"/>
      <c r="Q2808" s="49"/>
      <c r="R2808" s="49"/>
      <c r="S2808" s="49"/>
      <c r="T2808" s="49"/>
      <c r="U2808" s="49"/>
      <c r="V2808" s="49"/>
      <c r="W2808" s="56"/>
      <c r="X2808" s="51" t="str">
        <f t="shared" si="5"/>
        <v/>
      </c>
      <c r="Y2808" s="50" t="s">
        <v>482</v>
      </c>
      <c r="Z2808" s="49">
        <f t="shared" si="6"/>
        <v>0</v>
      </c>
    </row>
    <row r="2809" ht="22.5" customHeight="1">
      <c r="B2809" s="57"/>
      <c r="C2809" s="43" t="str">
        <f t="array" ref="C2809">IF(B2809="","",_xlfn.XLOOKUP(B2809,'Form responses 1'!$B$2:$B$2604,'Form responses 1'!$A$2:$A$2604,""))</f>
        <v/>
      </c>
      <c r="D2809" s="44" t="str">
        <f t="shared" si="3"/>
        <v/>
      </c>
      <c r="E2809" s="44" t="str">
        <f t="array" ref="E2809">IF(B2809="","",_xlfn.XLOOKUP(B2809,'Form responses 1'!$B$2:$B$2604,'Form responses 1'!$C$2:$C$2604,""))</f>
        <v/>
      </c>
      <c r="F2809" s="44" t="str">
        <f t="array" ref="F2809">IF(B2809="","",_xlfn.XLOOKUP(B2809,'Form responses 1'!$B$2:$B$2604,'Form responses 1'!$D$2:$D$2604,""))</f>
        <v/>
      </c>
      <c r="G2809" s="44" t="str">
        <f t="array" ref="G2809">IF(B2809="","",_xlfn.XLOOKUP(B2809,'Form responses 1'!$B$2:$B$2604,'Form responses 1'!$E$2:$E$2604,""))</f>
        <v/>
      </c>
      <c r="H2809" s="44" t="str">
        <f t="array" ref="H2809">IF(B2809="","",_xlfn.XLOOKUP(B2809,'Form responses 1'!$B$2:$B$2604,'Form responses 1'!$F$2:$F$2604,""))</f>
        <v/>
      </c>
      <c r="I2809" s="44" t="str">
        <f t="array" ref="I2809">IF(B2809="","",_xlfn.XLOOKUP(B2809,'Form responses 1'!$B$2:$B$2604,'Form responses 1'!$I$2:$I$2604,""))</f>
        <v/>
      </c>
      <c r="J2809" s="44" t="str">
        <f t="array" ref="J2809">IF(B2809="","",_xlfn.XLOOKUP(B2809,'Form responses 1'!$B$2:$B$2604,'Form responses 1'!$G$2:$G$2604,""))</f>
        <v/>
      </c>
      <c r="K2809" s="56"/>
      <c r="L2809" s="58" t="str">
        <f t="shared" si="7"/>
        <v/>
      </c>
      <c r="M2809" s="49"/>
      <c r="N2809" s="49"/>
      <c r="O2809" s="49"/>
      <c r="P2809" s="49"/>
      <c r="Q2809" s="49"/>
      <c r="R2809" s="49"/>
      <c r="S2809" s="49"/>
      <c r="T2809" s="49"/>
      <c r="U2809" s="49"/>
      <c r="V2809" s="49"/>
      <c r="W2809" s="56"/>
      <c r="X2809" s="51" t="str">
        <f t="shared" si="5"/>
        <v/>
      </c>
      <c r="Y2809" s="50" t="s">
        <v>482</v>
      </c>
      <c r="Z2809" s="49">
        <f t="shared" si="6"/>
        <v>0</v>
      </c>
    </row>
    <row r="2810" ht="22.5" customHeight="1">
      <c r="B2810" s="57"/>
      <c r="C2810" s="43" t="str">
        <f t="array" ref="C2810">IF(B2810="","",_xlfn.XLOOKUP(B2810,'Form responses 1'!$B$2:$B$2604,'Form responses 1'!$A$2:$A$2604,""))</f>
        <v/>
      </c>
      <c r="D2810" s="44" t="str">
        <f t="shared" si="3"/>
        <v/>
      </c>
      <c r="E2810" s="44" t="str">
        <f t="array" ref="E2810">IF(B2810="","",_xlfn.XLOOKUP(B2810,'Form responses 1'!$B$2:$B$2604,'Form responses 1'!$C$2:$C$2604,""))</f>
        <v/>
      </c>
      <c r="F2810" s="44" t="str">
        <f t="array" ref="F2810">IF(B2810="","",_xlfn.XLOOKUP(B2810,'Form responses 1'!$B$2:$B$2604,'Form responses 1'!$D$2:$D$2604,""))</f>
        <v/>
      </c>
      <c r="G2810" s="44" t="str">
        <f t="array" ref="G2810">IF(B2810="","",_xlfn.XLOOKUP(B2810,'Form responses 1'!$B$2:$B$2604,'Form responses 1'!$E$2:$E$2604,""))</f>
        <v/>
      </c>
      <c r="H2810" s="44" t="str">
        <f t="array" ref="H2810">IF(B2810="","",_xlfn.XLOOKUP(B2810,'Form responses 1'!$B$2:$B$2604,'Form responses 1'!$F$2:$F$2604,""))</f>
        <v/>
      </c>
      <c r="I2810" s="44" t="str">
        <f t="array" ref="I2810">IF(B2810="","",_xlfn.XLOOKUP(B2810,'Form responses 1'!$B$2:$B$2604,'Form responses 1'!$I$2:$I$2604,""))</f>
        <v/>
      </c>
      <c r="J2810" s="44" t="str">
        <f t="array" ref="J2810">IF(B2810="","",_xlfn.XLOOKUP(B2810,'Form responses 1'!$B$2:$B$2604,'Form responses 1'!$G$2:$G$2604,""))</f>
        <v/>
      </c>
      <c r="K2810" s="56"/>
      <c r="L2810" s="58" t="str">
        <f t="shared" si="7"/>
        <v/>
      </c>
      <c r="M2810" s="49"/>
      <c r="N2810" s="49"/>
      <c r="O2810" s="49"/>
      <c r="P2810" s="49"/>
      <c r="Q2810" s="49"/>
      <c r="R2810" s="49"/>
      <c r="S2810" s="49"/>
      <c r="T2810" s="49"/>
      <c r="U2810" s="49"/>
      <c r="V2810" s="49"/>
      <c r="W2810" s="56"/>
      <c r="X2810" s="51" t="str">
        <f t="shared" si="5"/>
        <v/>
      </c>
      <c r="Y2810" s="50" t="s">
        <v>482</v>
      </c>
      <c r="Z2810" s="49">
        <f t="shared" si="6"/>
        <v>0</v>
      </c>
    </row>
    <row r="2811" ht="22.5" customHeight="1">
      <c r="B2811" s="57"/>
      <c r="C2811" s="43" t="str">
        <f t="array" ref="C2811">IF(B2811="","",_xlfn.XLOOKUP(B2811,'Form responses 1'!$B$2:$B$2604,'Form responses 1'!$A$2:$A$2604,""))</f>
        <v/>
      </c>
      <c r="D2811" s="44" t="str">
        <f t="shared" si="3"/>
        <v/>
      </c>
      <c r="E2811" s="44" t="str">
        <f t="array" ref="E2811">IF(B2811="","",_xlfn.XLOOKUP(B2811,'Form responses 1'!$B$2:$B$2604,'Form responses 1'!$C$2:$C$2604,""))</f>
        <v/>
      </c>
      <c r="F2811" s="44" t="str">
        <f t="array" ref="F2811">IF(B2811="","",_xlfn.XLOOKUP(B2811,'Form responses 1'!$B$2:$B$2604,'Form responses 1'!$D$2:$D$2604,""))</f>
        <v/>
      </c>
      <c r="G2811" s="44" t="str">
        <f t="array" ref="G2811">IF(B2811="","",_xlfn.XLOOKUP(B2811,'Form responses 1'!$B$2:$B$2604,'Form responses 1'!$E$2:$E$2604,""))</f>
        <v/>
      </c>
      <c r="H2811" s="44" t="str">
        <f t="array" ref="H2811">IF(B2811="","",_xlfn.XLOOKUP(B2811,'Form responses 1'!$B$2:$B$2604,'Form responses 1'!$F$2:$F$2604,""))</f>
        <v/>
      </c>
      <c r="I2811" s="44" t="str">
        <f t="array" ref="I2811">IF(B2811="","",_xlfn.XLOOKUP(B2811,'Form responses 1'!$B$2:$B$2604,'Form responses 1'!$I$2:$I$2604,""))</f>
        <v/>
      </c>
      <c r="J2811" s="44" t="str">
        <f t="array" ref="J2811">IF(B2811="","",_xlfn.XLOOKUP(B2811,'Form responses 1'!$B$2:$B$2604,'Form responses 1'!$G$2:$G$2604,""))</f>
        <v/>
      </c>
      <c r="K2811" s="56"/>
      <c r="L2811" s="58" t="str">
        <f t="shared" si="7"/>
        <v/>
      </c>
      <c r="M2811" s="49"/>
      <c r="N2811" s="49"/>
      <c r="O2811" s="49"/>
      <c r="P2811" s="49"/>
      <c r="Q2811" s="49"/>
      <c r="R2811" s="49"/>
      <c r="S2811" s="49"/>
      <c r="T2811" s="49"/>
      <c r="U2811" s="49"/>
      <c r="V2811" s="49"/>
      <c r="W2811" s="56"/>
      <c r="X2811" s="51" t="str">
        <f t="shared" si="5"/>
        <v/>
      </c>
      <c r="Y2811" s="50" t="s">
        <v>482</v>
      </c>
      <c r="Z2811" s="49">
        <f t="shared" si="6"/>
        <v>0</v>
      </c>
    </row>
    <row r="2812" ht="22.5" customHeight="1">
      <c r="B2812" s="57"/>
      <c r="C2812" s="43" t="str">
        <f t="array" ref="C2812">IF(B2812="","",_xlfn.XLOOKUP(B2812,'Form responses 1'!$B$2:$B$2604,'Form responses 1'!$A$2:$A$2604,""))</f>
        <v/>
      </c>
      <c r="D2812" s="44" t="str">
        <f t="shared" si="3"/>
        <v/>
      </c>
      <c r="E2812" s="44" t="str">
        <f t="array" ref="E2812">IF(B2812="","",_xlfn.XLOOKUP(B2812,'Form responses 1'!$B$2:$B$2604,'Form responses 1'!$C$2:$C$2604,""))</f>
        <v/>
      </c>
      <c r="F2812" s="44" t="str">
        <f t="array" ref="F2812">IF(B2812="","",_xlfn.XLOOKUP(B2812,'Form responses 1'!$B$2:$B$2604,'Form responses 1'!$D$2:$D$2604,""))</f>
        <v/>
      </c>
      <c r="G2812" s="44" t="str">
        <f t="array" ref="G2812">IF(B2812="","",_xlfn.XLOOKUP(B2812,'Form responses 1'!$B$2:$B$2604,'Form responses 1'!$E$2:$E$2604,""))</f>
        <v/>
      </c>
      <c r="H2812" s="44" t="str">
        <f t="array" ref="H2812">IF(B2812="","",_xlfn.XLOOKUP(B2812,'Form responses 1'!$B$2:$B$2604,'Form responses 1'!$F$2:$F$2604,""))</f>
        <v/>
      </c>
      <c r="I2812" s="44" t="str">
        <f t="array" ref="I2812">IF(B2812="","",_xlfn.XLOOKUP(B2812,'Form responses 1'!$B$2:$B$2604,'Form responses 1'!$I$2:$I$2604,""))</f>
        <v/>
      </c>
      <c r="J2812" s="44" t="str">
        <f t="array" ref="J2812">IF(B2812="","",_xlfn.XLOOKUP(B2812,'Form responses 1'!$B$2:$B$2604,'Form responses 1'!$G$2:$G$2604,""))</f>
        <v/>
      </c>
      <c r="K2812" s="56"/>
      <c r="L2812" s="58" t="str">
        <f t="shared" si="7"/>
        <v/>
      </c>
      <c r="M2812" s="49"/>
      <c r="N2812" s="49"/>
      <c r="O2812" s="49"/>
      <c r="P2812" s="49"/>
      <c r="Q2812" s="49"/>
      <c r="R2812" s="49"/>
      <c r="S2812" s="49"/>
      <c r="T2812" s="49"/>
      <c r="U2812" s="49"/>
      <c r="V2812" s="49"/>
      <c r="W2812" s="56"/>
      <c r="X2812" s="51" t="str">
        <f t="shared" si="5"/>
        <v/>
      </c>
      <c r="Y2812" s="50" t="s">
        <v>482</v>
      </c>
      <c r="Z2812" s="49">
        <f t="shared" si="6"/>
        <v>0</v>
      </c>
    </row>
    <row r="2813" ht="22.5" customHeight="1">
      <c r="B2813" s="57"/>
      <c r="C2813" s="43" t="str">
        <f t="array" ref="C2813">IF(B2813="","",_xlfn.XLOOKUP(B2813,'Form responses 1'!$B$2:$B$2604,'Form responses 1'!$A$2:$A$2604,""))</f>
        <v/>
      </c>
      <c r="D2813" s="44" t="str">
        <f t="shared" si="3"/>
        <v/>
      </c>
      <c r="E2813" s="44" t="str">
        <f t="array" ref="E2813">IF(B2813="","",_xlfn.XLOOKUP(B2813,'Form responses 1'!$B$2:$B$2604,'Form responses 1'!$C$2:$C$2604,""))</f>
        <v/>
      </c>
      <c r="F2813" s="44" t="str">
        <f t="array" ref="F2813">IF(B2813="","",_xlfn.XLOOKUP(B2813,'Form responses 1'!$B$2:$B$2604,'Form responses 1'!$D$2:$D$2604,""))</f>
        <v/>
      </c>
      <c r="G2813" s="44" t="str">
        <f t="array" ref="G2813">IF(B2813="","",_xlfn.XLOOKUP(B2813,'Form responses 1'!$B$2:$B$2604,'Form responses 1'!$E$2:$E$2604,""))</f>
        <v/>
      </c>
      <c r="H2813" s="44" t="str">
        <f t="array" ref="H2813">IF(B2813="","",_xlfn.XLOOKUP(B2813,'Form responses 1'!$B$2:$B$2604,'Form responses 1'!$F$2:$F$2604,""))</f>
        <v/>
      </c>
      <c r="I2813" s="44" t="str">
        <f t="array" ref="I2813">IF(B2813="","",_xlfn.XLOOKUP(B2813,'Form responses 1'!$B$2:$B$2604,'Form responses 1'!$I$2:$I$2604,""))</f>
        <v/>
      </c>
      <c r="J2813" s="44" t="str">
        <f t="array" ref="J2813">IF(B2813="","",_xlfn.XLOOKUP(B2813,'Form responses 1'!$B$2:$B$2604,'Form responses 1'!$G$2:$G$2604,""))</f>
        <v/>
      </c>
      <c r="K2813" s="56"/>
      <c r="L2813" s="58" t="str">
        <f t="shared" si="7"/>
        <v/>
      </c>
      <c r="M2813" s="49"/>
      <c r="N2813" s="49"/>
      <c r="O2813" s="49"/>
      <c r="P2813" s="49"/>
      <c r="Q2813" s="49"/>
      <c r="R2813" s="49"/>
      <c r="S2813" s="49"/>
      <c r="T2813" s="49"/>
      <c r="U2813" s="49"/>
      <c r="V2813" s="49"/>
      <c r="W2813" s="56"/>
      <c r="X2813" s="51" t="str">
        <f t="shared" si="5"/>
        <v/>
      </c>
      <c r="Y2813" s="50" t="s">
        <v>482</v>
      </c>
      <c r="Z2813" s="49">
        <f t="shared" si="6"/>
        <v>0</v>
      </c>
    </row>
    <row r="2814" ht="22.5" customHeight="1">
      <c r="B2814" s="57"/>
      <c r="C2814" s="43" t="str">
        <f t="array" ref="C2814">IF(B2814="","",_xlfn.XLOOKUP(B2814,'Form responses 1'!$B$2:$B$2604,'Form responses 1'!$A$2:$A$2604,""))</f>
        <v/>
      </c>
      <c r="D2814" s="44" t="str">
        <f t="shared" si="3"/>
        <v/>
      </c>
      <c r="E2814" s="44" t="str">
        <f t="array" ref="E2814">IF(B2814="","",_xlfn.XLOOKUP(B2814,'Form responses 1'!$B$2:$B$2604,'Form responses 1'!$C$2:$C$2604,""))</f>
        <v/>
      </c>
      <c r="F2814" s="44" t="str">
        <f t="array" ref="F2814">IF(B2814="","",_xlfn.XLOOKUP(B2814,'Form responses 1'!$B$2:$B$2604,'Form responses 1'!$D$2:$D$2604,""))</f>
        <v/>
      </c>
      <c r="G2814" s="44" t="str">
        <f t="array" ref="G2814">IF(B2814="","",_xlfn.XLOOKUP(B2814,'Form responses 1'!$B$2:$B$2604,'Form responses 1'!$E$2:$E$2604,""))</f>
        <v/>
      </c>
      <c r="H2814" s="44" t="str">
        <f t="array" ref="H2814">IF(B2814="","",_xlfn.XLOOKUP(B2814,'Form responses 1'!$B$2:$B$2604,'Form responses 1'!$F$2:$F$2604,""))</f>
        <v/>
      </c>
      <c r="I2814" s="44" t="str">
        <f t="array" ref="I2814">IF(B2814="","",_xlfn.XLOOKUP(B2814,'Form responses 1'!$B$2:$B$2604,'Form responses 1'!$I$2:$I$2604,""))</f>
        <v/>
      </c>
      <c r="J2814" s="44" t="str">
        <f t="array" ref="J2814">IF(B2814="","",_xlfn.XLOOKUP(B2814,'Form responses 1'!$B$2:$B$2604,'Form responses 1'!$G$2:$G$2604,""))</f>
        <v/>
      </c>
      <c r="K2814" s="56"/>
      <c r="L2814" s="58" t="str">
        <f t="shared" si="7"/>
        <v/>
      </c>
      <c r="M2814" s="49"/>
      <c r="N2814" s="49"/>
      <c r="O2814" s="49"/>
      <c r="P2814" s="49"/>
      <c r="Q2814" s="49"/>
      <c r="R2814" s="49"/>
      <c r="S2814" s="49"/>
      <c r="T2814" s="49"/>
      <c r="U2814" s="49"/>
      <c r="V2814" s="49"/>
      <c r="W2814" s="56"/>
      <c r="X2814" s="51" t="str">
        <f t="shared" si="5"/>
        <v/>
      </c>
      <c r="Y2814" s="50" t="s">
        <v>482</v>
      </c>
      <c r="Z2814" s="49">
        <f t="shared" si="6"/>
        <v>0</v>
      </c>
    </row>
    <row r="2815" ht="22.5" customHeight="1">
      <c r="B2815" s="57"/>
      <c r="C2815" s="43" t="str">
        <f t="array" ref="C2815">IF(B2815="","",_xlfn.XLOOKUP(B2815,'Form responses 1'!$B$2:$B$2604,'Form responses 1'!$A$2:$A$2604,""))</f>
        <v/>
      </c>
      <c r="D2815" s="44" t="str">
        <f t="shared" si="3"/>
        <v/>
      </c>
      <c r="E2815" s="44" t="str">
        <f t="array" ref="E2815">IF(B2815="","",_xlfn.XLOOKUP(B2815,'Form responses 1'!$B$2:$B$2604,'Form responses 1'!$C$2:$C$2604,""))</f>
        <v/>
      </c>
      <c r="F2815" s="44" t="str">
        <f t="array" ref="F2815">IF(B2815="","",_xlfn.XLOOKUP(B2815,'Form responses 1'!$B$2:$B$2604,'Form responses 1'!$D$2:$D$2604,""))</f>
        <v/>
      </c>
      <c r="G2815" s="44" t="str">
        <f t="array" ref="G2815">IF(B2815="","",_xlfn.XLOOKUP(B2815,'Form responses 1'!$B$2:$B$2604,'Form responses 1'!$E$2:$E$2604,""))</f>
        <v/>
      </c>
      <c r="H2815" s="44" t="str">
        <f t="array" ref="H2815">IF(B2815="","",_xlfn.XLOOKUP(B2815,'Form responses 1'!$B$2:$B$2604,'Form responses 1'!$F$2:$F$2604,""))</f>
        <v/>
      </c>
      <c r="I2815" s="44" t="str">
        <f t="array" ref="I2815">IF(B2815="","",_xlfn.XLOOKUP(B2815,'Form responses 1'!$B$2:$B$2604,'Form responses 1'!$I$2:$I$2604,""))</f>
        <v/>
      </c>
      <c r="J2815" s="44" t="str">
        <f t="array" ref="J2815">IF(B2815="","",_xlfn.XLOOKUP(B2815,'Form responses 1'!$B$2:$B$2604,'Form responses 1'!$G$2:$G$2604,""))</f>
        <v/>
      </c>
      <c r="K2815" s="56"/>
      <c r="L2815" s="58" t="str">
        <f t="shared" si="7"/>
        <v/>
      </c>
      <c r="M2815" s="49"/>
      <c r="N2815" s="49"/>
      <c r="O2815" s="49"/>
      <c r="P2815" s="49"/>
      <c r="Q2815" s="49"/>
      <c r="R2815" s="49"/>
      <c r="S2815" s="49"/>
      <c r="T2815" s="49"/>
      <c r="U2815" s="49"/>
      <c r="V2815" s="49"/>
      <c r="W2815" s="56"/>
      <c r="X2815" s="51" t="str">
        <f t="shared" si="5"/>
        <v/>
      </c>
      <c r="Y2815" s="50" t="s">
        <v>482</v>
      </c>
      <c r="Z2815" s="49">
        <f t="shared" si="6"/>
        <v>0</v>
      </c>
    </row>
    <row r="2816" ht="22.5" customHeight="1">
      <c r="B2816" s="57"/>
      <c r="C2816" s="43" t="str">
        <f t="array" ref="C2816">IF(B2816="","",_xlfn.XLOOKUP(B2816,'Form responses 1'!$B$2:$B$2604,'Form responses 1'!$A$2:$A$2604,""))</f>
        <v/>
      </c>
      <c r="D2816" s="44" t="str">
        <f t="shared" si="3"/>
        <v/>
      </c>
      <c r="E2816" s="44" t="str">
        <f t="array" ref="E2816">IF(B2816="","",_xlfn.XLOOKUP(B2816,'Form responses 1'!$B$2:$B$2604,'Form responses 1'!$C$2:$C$2604,""))</f>
        <v/>
      </c>
      <c r="F2816" s="44" t="str">
        <f t="array" ref="F2816">IF(B2816="","",_xlfn.XLOOKUP(B2816,'Form responses 1'!$B$2:$B$2604,'Form responses 1'!$D$2:$D$2604,""))</f>
        <v/>
      </c>
      <c r="G2816" s="44" t="str">
        <f t="array" ref="G2816">IF(B2816="","",_xlfn.XLOOKUP(B2816,'Form responses 1'!$B$2:$B$2604,'Form responses 1'!$E$2:$E$2604,""))</f>
        <v/>
      </c>
      <c r="H2816" s="44" t="str">
        <f t="array" ref="H2816">IF(B2816="","",_xlfn.XLOOKUP(B2816,'Form responses 1'!$B$2:$B$2604,'Form responses 1'!$F$2:$F$2604,""))</f>
        <v/>
      </c>
      <c r="I2816" s="44" t="str">
        <f t="array" ref="I2816">IF(B2816="","",_xlfn.XLOOKUP(B2816,'Form responses 1'!$B$2:$B$2604,'Form responses 1'!$I$2:$I$2604,""))</f>
        <v/>
      </c>
      <c r="J2816" s="44" t="str">
        <f t="array" ref="J2816">IF(B2816="","",_xlfn.XLOOKUP(B2816,'Form responses 1'!$B$2:$B$2604,'Form responses 1'!$G$2:$G$2604,""))</f>
        <v/>
      </c>
      <c r="K2816" s="56"/>
      <c r="L2816" s="58" t="str">
        <f t="shared" si="7"/>
        <v/>
      </c>
      <c r="M2816" s="49"/>
      <c r="N2816" s="49"/>
      <c r="O2816" s="49"/>
      <c r="P2816" s="49"/>
      <c r="Q2816" s="49"/>
      <c r="R2816" s="49"/>
      <c r="S2816" s="49"/>
      <c r="T2816" s="49"/>
      <c r="U2816" s="49"/>
      <c r="V2816" s="49"/>
      <c r="W2816" s="56"/>
      <c r="X2816" s="51" t="str">
        <f t="shared" si="5"/>
        <v/>
      </c>
      <c r="Y2816" s="50" t="s">
        <v>482</v>
      </c>
      <c r="Z2816" s="49">
        <f t="shared" si="6"/>
        <v>0</v>
      </c>
    </row>
    <row r="2817" ht="22.5" customHeight="1">
      <c r="B2817" s="57"/>
      <c r="C2817" s="43" t="str">
        <f t="array" ref="C2817">IF(B2817="","",_xlfn.XLOOKUP(B2817,'Form responses 1'!$B$2:$B$2604,'Form responses 1'!$A$2:$A$2604,""))</f>
        <v/>
      </c>
      <c r="D2817" s="44" t="str">
        <f t="shared" si="3"/>
        <v/>
      </c>
      <c r="E2817" s="44" t="str">
        <f t="array" ref="E2817">IF(B2817="","",_xlfn.XLOOKUP(B2817,'Form responses 1'!$B$2:$B$2604,'Form responses 1'!$C$2:$C$2604,""))</f>
        <v/>
      </c>
      <c r="F2817" s="44" t="str">
        <f t="array" ref="F2817">IF(B2817="","",_xlfn.XLOOKUP(B2817,'Form responses 1'!$B$2:$B$2604,'Form responses 1'!$D$2:$D$2604,""))</f>
        <v/>
      </c>
      <c r="G2817" s="44" t="str">
        <f t="array" ref="G2817">IF(B2817="","",_xlfn.XLOOKUP(B2817,'Form responses 1'!$B$2:$B$2604,'Form responses 1'!$E$2:$E$2604,""))</f>
        <v/>
      </c>
      <c r="H2817" s="44" t="str">
        <f t="array" ref="H2817">IF(B2817="","",_xlfn.XLOOKUP(B2817,'Form responses 1'!$B$2:$B$2604,'Form responses 1'!$F$2:$F$2604,""))</f>
        <v/>
      </c>
      <c r="I2817" s="44" t="str">
        <f t="array" ref="I2817">IF(B2817="","",_xlfn.XLOOKUP(B2817,'Form responses 1'!$B$2:$B$2604,'Form responses 1'!$I$2:$I$2604,""))</f>
        <v/>
      </c>
      <c r="J2817" s="44" t="str">
        <f t="array" ref="J2817">IF(B2817="","",_xlfn.XLOOKUP(B2817,'Form responses 1'!$B$2:$B$2604,'Form responses 1'!$G$2:$G$2604,""))</f>
        <v/>
      </c>
      <c r="K2817" s="56"/>
      <c r="L2817" s="58" t="str">
        <f t="shared" si="7"/>
        <v/>
      </c>
      <c r="M2817" s="49"/>
      <c r="N2817" s="49"/>
      <c r="O2817" s="49"/>
      <c r="P2817" s="49"/>
      <c r="Q2817" s="49"/>
      <c r="R2817" s="49"/>
      <c r="S2817" s="49"/>
      <c r="T2817" s="49"/>
      <c r="U2817" s="49"/>
      <c r="V2817" s="49"/>
      <c r="W2817" s="56"/>
      <c r="X2817" s="51" t="str">
        <f t="shared" si="5"/>
        <v/>
      </c>
      <c r="Y2817" s="50" t="s">
        <v>482</v>
      </c>
      <c r="Z2817" s="49">
        <f t="shared" si="6"/>
        <v>0</v>
      </c>
    </row>
    <row r="2818" ht="22.5" customHeight="1">
      <c r="B2818" s="57"/>
      <c r="C2818" s="43" t="str">
        <f t="array" ref="C2818">IF(B2818="","",_xlfn.XLOOKUP(B2818,'Form responses 1'!$B$2:$B$2604,'Form responses 1'!$A$2:$A$2604,""))</f>
        <v/>
      </c>
      <c r="D2818" s="44" t="str">
        <f t="shared" si="3"/>
        <v/>
      </c>
      <c r="E2818" s="44" t="str">
        <f t="array" ref="E2818">IF(B2818="","",_xlfn.XLOOKUP(B2818,'Form responses 1'!$B$2:$B$2604,'Form responses 1'!$C$2:$C$2604,""))</f>
        <v/>
      </c>
      <c r="F2818" s="44" t="str">
        <f t="array" ref="F2818">IF(B2818="","",_xlfn.XLOOKUP(B2818,'Form responses 1'!$B$2:$B$2604,'Form responses 1'!$D$2:$D$2604,""))</f>
        <v/>
      </c>
      <c r="G2818" s="44" t="str">
        <f t="array" ref="G2818">IF(B2818="","",_xlfn.XLOOKUP(B2818,'Form responses 1'!$B$2:$B$2604,'Form responses 1'!$E$2:$E$2604,""))</f>
        <v/>
      </c>
      <c r="H2818" s="44" t="str">
        <f t="array" ref="H2818">IF(B2818="","",_xlfn.XLOOKUP(B2818,'Form responses 1'!$B$2:$B$2604,'Form responses 1'!$F$2:$F$2604,""))</f>
        <v/>
      </c>
      <c r="I2818" s="44" t="str">
        <f t="array" ref="I2818">IF(B2818="","",_xlfn.XLOOKUP(B2818,'Form responses 1'!$B$2:$B$2604,'Form responses 1'!$I$2:$I$2604,""))</f>
        <v/>
      </c>
      <c r="J2818" s="44" t="str">
        <f t="array" ref="J2818">IF(B2818="","",_xlfn.XLOOKUP(B2818,'Form responses 1'!$B$2:$B$2604,'Form responses 1'!$G$2:$G$2604,""))</f>
        <v/>
      </c>
      <c r="K2818" s="56"/>
      <c r="L2818" s="58" t="str">
        <f t="shared" si="7"/>
        <v/>
      </c>
      <c r="M2818" s="49"/>
      <c r="N2818" s="49"/>
      <c r="O2818" s="49"/>
      <c r="P2818" s="49"/>
      <c r="Q2818" s="49"/>
      <c r="R2818" s="49"/>
      <c r="S2818" s="49"/>
      <c r="T2818" s="49"/>
      <c r="U2818" s="49"/>
      <c r="V2818" s="49"/>
      <c r="W2818" s="56"/>
      <c r="X2818" s="51" t="str">
        <f t="shared" si="5"/>
        <v/>
      </c>
      <c r="Y2818" s="50" t="s">
        <v>482</v>
      </c>
      <c r="Z2818" s="49">
        <f t="shared" si="6"/>
        <v>0</v>
      </c>
    </row>
    <row r="2819" ht="22.5" customHeight="1">
      <c r="B2819" s="57"/>
      <c r="C2819" s="43" t="str">
        <f t="array" ref="C2819">IF(B2819="","",_xlfn.XLOOKUP(B2819,'Form responses 1'!$B$2:$B$2604,'Form responses 1'!$A$2:$A$2604,""))</f>
        <v/>
      </c>
      <c r="D2819" s="44" t="str">
        <f t="shared" si="3"/>
        <v/>
      </c>
      <c r="E2819" s="44" t="str">
        <f t="array" ref="E2819">IF(B2819="","",_xlfn.XLOOKUP(B2819,'Form responses 1'!$B$2:$B$2604,'Form responses 1'!$C$2:$C$2604,""))</f>
        <v/>
      </c>
      <c r="F2819" s="44" t="str">
        <f t="array" ref="F2819">IF(B2819="","",_xlfn.XLOOKUP(B2819,'Form responses 1'!$B$2:$B$2604,'Form responses 1'!$D$2:$D$2604,""))</f>
        <v/>
      </c>
      <c r="G2819" s="44" t="str">
        <f t="array" ref="G2819">IF(B2819="","",_xlfn.XLOOKUP(B2819,'Form responses 1'!$B$2:$B$2604,'Form responses 1'!$E$2:$E$2604,""))</f>
        <v/>
      </c>
      <c r="H2819" s="44" t="str">
        <f t="array" ref="H2819">IF(B2819="","",_xlfn.XLOOKUP(B2819,'Form responses 1'!$B$2:$B$2604,'Form responses 1'!$F$2:$F$2604,""))</f>
        <v/>
      </c>
      <c r="I2819" s="44" t="str">
        <f t="array" ref="I2819">IF(B2819="","",_xlfn.XLOOKUP(B2819,'Form responses 1'!$B$2:$B$2604,'Form responses 1'!$I$2:$I$2604,""))</f>
        <v/>
      </c>
      <c r="J2819" s="44" t="str">
        <f t="array" ref="J2819">IF(B2819="","",_xlfn.XLOOKUP(B2819,'Form responses 1'!$B$2:$B$2604,'Form responses 1'!$G$2:$G$2604,""))</f>
        <v/>
      </c>
      <c r="K2819" s="56"/>
      <c r="L2819" s="58" t="str">
        <f t="shared" si="7"/>
        <v/>
      </c>
      <c r="M2819" s="49"/>
      <c r="N2819" s="49"/>
      <c r="O2819" s="49"/>
      <c r="P2819" s="49"/>
      <c r="Q2819" s="49"/>
      <c r="R2819" s="49"/>
      <c r="S2819" s="49"/>
      <c r="T2819" s="49"/>
      <c r="U2819" s="49"/>
      <c r="V2819" s="49"/>
      <c r="W2819" s="56"/>
      <c r="X2819" s="51" t="str">
        <f t="shared" si="5"/>
        <v/>
      </c>
      <c r="Y2819" s="50" t="s">
        <v>482</v>
      </c>
      <c r="Z2819" s="49">
        <f t="shared" si="6"/>
        <v>0</v>
      </c>
    </row>
    <row r="2820" ht="22.5" customHeight="1">
      <c r="B2820" s="57"/>
      <c r="C2820" s="43" t="str">
        <f t="array" ref="C2820">IF(B2820="","",_xlfn.XLOOKUP(B2820,'Form responses 1'!$B$2:$B$2604,'Form responses 1'!$A$2:$A$2604,""))</f>
        <v/>
      </c>
      <c r="D2820" s="44" t="str">
        <f t="shared" si="3"/>
        <v/>
      </c>
      <c r="E2820" s="44" t="str">
        <f t="array" ref="E2820">IF(B2820="","",_xlfn.XLOOKUP(B2820,'Form responses 1'!$B$2:$B$2604,'Form responses 1'!$C$2:$C$2604,""))</f>
        <v/>
      </c>
      <c r="F2820" s="44" t="str">
        <f t="array" ref="F2820">IF(B2820="","",_xlfn.XLOOKUP(B2820,'Form responses 1'!$B$2:$B$2604,'Form responses 1'!$D$2:$D$2604,""))</f>
        <v/>
      </c>
      <c r="G2820" s="44" t="str">
        <f t="array" ref="G2820">IF(B2820="","",_xlfn.XLOOKUP(B2820,'Form responses 1'!$B$2:$B$2604,'Form responses 1'!$E$2:$E$2604,""))</f>
        <v/>
      </c>
      <c r="H2820" s="44" t="str">
        <f t="array" ref="H2820">IF(B2820="","",_xlfn.XLOOKUP(B2820,'Form responses 1'!$B$2:$B$2604,'Form responses 1'!$F$2:$F$2604,""))</f>
        <v/>
      </c>
      <c r="I2820" s="44" t="str">
        <f t="array" ref="I2820">IF(B2820="","",_xlfn.XLOOKUP(B2820,'Form responses 1'!$B$2:$B$2604,'Form responses 1'!$I$2:$I$2604,""))</f>
        <v/>
      </c>
      <c r="J2820" s="44" t="str">
        <f t="array" ref="J2820">IF(B2820="","",_xlfn.XLOOKUP(B2820,'Form responses 1'!$B$2:$B$2604,'Form responses 1'!$G$2:$G$2604,""))</f>
        <v/>
      </c>
      <c r="K2820" s="56"/>
      <c r="L2820" s="58" t="str">
        <f t="shared" si="7"/>
        <v/>
      </c>
      <c r="M2820" s="49"/>
      <c r="N2820" s="49"/>
      <c r="O2820" s="49"/>
      <c r="P2820" s="49"/>
      <c r="Q2820" s="49"/>
      <c r="R2820" s="49"/>
      <c r="S2820" s="49"/>
      <c r="T2820" s="49"/>
      <c r="U2820" s="49"/>
      <c r="V2820" s="49"/>
      <c r="W2820" s="56"/>
      <c r="X2820" s="51" t="str">
        <f t="shared" si="5"/>
        <v/>
      </c>
      <c r="Y2820" s="50" t="s">
        <v>482</v>
      </c>
      <c r="Z2820" s="49">
        <f t="shared" si="6"/>
        <v>0</v>
      </c>
    </row>
    <row r="2821" ht="22.5" customHeight="1">
      <c r="B2821" s="57"/>
      <c r="C2821" s="43" t="str">
        <f t="array" ref="C2821">IF(B2821="","",_xlfn.XLOOKUP(B2821,'Form responses 1'!$B$2:$B$2604,'Form responses 1'!$A$2:$A$2604,""))</f>
        <v/>
      </c>
      <c r="D2821" s="44" t="str">
        <f t="shared" si="3"/>
        <v/>
      </c>
      <c r="E2821" s="44" t="str">
        <f t="array" ref="E2821">IF(B2821="","",_xlfn.XLOOKUP(B2821,'Form responses 1'!$B$2:$B$2604,'Form responses 1'!$C$2:$C$2604,""))</f>
        <v/>
      </c>
      <c r="F2821" s="44" t="str">
        <f t="array" ref="F2821">IF(B2821="","",_xlfn.XLOOKUP(B2821,'Form responses 1'!$B$2:$B$2604,'Form responses 1'!$D$2:$D$2604,""))</f>
        <v/>
      </c>
      <c r="G2821" s="44" t="str">
        <f t="array" ref="G2821">IF(B2821="","",_xlfn.XLOOKUP(B2821,'Form responses 1'!$B$2:$B$2604,'Form responses 1'!$E$2:$E$2604,""))</f>
        <v/>
      </c>
      <c r="H2821" s="44" t="str">
        <f t="array" ref="H2821">IF(B2821="","",_xlfn.XLOOKUP(B2821,'Form responses 1'!$B$2:$B$2604,'Form responses 1'!$F$2:$F$2604,""))</f>
        <v/>
      </c>
      <c r="I2821" s="44" t="str">
        <f t="array" ref="I2821">IF(B2821="","",_xlfn.XLOOKUP(B2821,'Form responses 1'!$B$2:$B$2604,'Form responses 1'!$I$2:$I$2604,""))</f>
        <v/>
      </c>
      <c r="J2821" s="44" t="str">
        <f t="array" ref="J2821">IF(B2821="","",_xlfn.XLOOKUP(B2821,'Form responses 1'!$B$2:$B$2604,'Form responses 1'!$G$2:$G$2604,""))</f>
        <v/>
      </c>
      <c r="K2821" s="56"/>
      <c r="L2821" s="58" t="str">
        <f t="shared" si="7"/>
        <v/>
      </c>
      <c r="M2821" s="49"/>
      <c r="N2821" s="49"/>
      <c r="O2821" s="49"/>
      <c r="P2821" s="49"/>
      <c r="Q2821" s="49"/>
      <c r="R2821" s="49"/>
      <c r="S2821" s="49"/>
      <c r="T2821" s="49"/>
      <c r="U2821" s="49"/>
      <c r="V2821" s="49"/>
      <c r="W2821" s="56"/>
      <c r="X2821" s="51" t="str">
        <f t="shared" si="5"/>
        <v/>
      </c>
      <c r="Y2821" s="50" t="s">
        <v>482</v>
      </c>
      <c r="Z2821" s="49">
        <f t="shared" si="6"/>
        <v>0</v>
      </c>
    </row>
    <row r="2822" ht="22.5" customHeight="1">
      <c r="B2822" s="57"/>
      <c r="C2822" s="43" t="str">
        <f t="array" ref="C2822">IF(B2822="","",_xlfn.XLOOKUP(B2822,'Form responses 1'!$B$2:$B$2604,'Form responses 1'!$A$2:$A$2604,""))</f>
        <v/>
      </c>
      <c r="D2822" s="44" t="str">
        <f t="shared" si="3"/>
        <v/>
      </c>
      <c r="E2822" s="44" t="str">
        <f t="array" ref="E2822">IF(B2822="","",_xlfn.XLOOKUP(B2822,'Form responses 1'!$B$2:$B$2604,'Form responses 1'!$C$2:$C$2604,""))</f>
        <v/>
      </c>
      <c r="F2822" s="44" t="str">
        <f t="array" ref="F2822">IF(B2822="","",_xlfn.XLOOKUP(B2822,'Form responses 1'!$B$2:$B$2604,'Form responses 1'!$D$2:$D$2604,""))</f>
        <v/>
      </c>
      <c r="G2822" s="44" t="str">
        <f t="array" ref="G2822">IF(B2822="","",_xlfn.XLOOKUP(B2822,'Form responses 1'!$B$2:$B$2604,'Form responses 1'!$E$2:$E$2604,""))</f>
        <v/>
      </c>
      <c r="H2822" s="44" t="str">
        <f t="array" ref="H2822">IF(B2822="","",_xlfn.XLOOKUP(B2822,'Form responses 1'!$B$2:$B$2604,'Form responses 1'!$F$2:$F$2604,""))</f>
        <v/>
      </c>
      <c r="I2822" s="44" t="str">
        <f t="array" ref="I2822">IF(B2822="","",_xlfn.XLOOKUP(B2822,'Form responses 1'!$B$2:$B$2604,'Form responses 1'!$I$2:$I$2604,""))</f>
        <v/>
      </c>
      <c r="J2822" s="44" t="str">
        <f t="array" ref="J2822">IF(B2822="","",_xlfn.XLOOKUP(B2822,'Form responses 1'!$B$2:$B$2604,'Form responses 1'!$G$2:$G$2604,""))</f>
        <v/>
      </c>
      <c r="K2822" s="56"/>
      <c r="L2822" s="58" t="str">
        <f t="shared" si="7"/>
        <v/>
      </c>
      <c r="M2822" s="49"/>
      <c r="N2822" s="49"/>
      <c r="O2822" s="49"/>
      <c r="P2822" s="49"/>
      <c r="Q2822" s="49"/>
      <c r="R2822" s="49"/>
      <c r="S2822" s="49"/>
      <c r="T2822" s="49"/>
      <c r="U2822" s="49"/>
      <c r="V2822" s="49"/>
      <c r="W2822" s="56"/>
      <c r="X2822" s="51" t="str">
        <f t="shared" si="5"/>
        <v/>
      </c>
      <c r="Y2822" s="50" t="s">
        <v>482</v>
      </c>
      <c r="Z2822" s="49">
        <f t="shared" si="6"/>
        <v>0</v>
      </c>
    </row>
    <row r="2823" ht="22.5" customHeight="1">
      <c r="B2823" s="57"/>
      <c r="C2823" s="43" t="str">
        <f t="array" ref="C2823">IF(B2823="","",_xlfn.XLOOKUP(B2823,'Form responses 1'!$B$2:$B$2604,'Form responses 1'!$A$2:$A$2604,""))</f>
        <v/>
      </c>
      <c r="D2823" s="44" t="str">
        <f t="shared" si="3"/>
        <v/>
      </c>
      <c r="E2823" s="44" t="str">
        <f t="array" ref="E2823">IF(B2823="","",_xlfn.XLOOKUP(B2823,'Form responses 1'!$B$2:$B$2604,'Form responses 1'!$C$2:$C$2604,""))</f>
        <v/>
      </c>
      <c r="F2823" s="44" t="str">
        <f t="array" ref="F2823">IF(B2823="","",_xlfn.XLOOKUP(B2823,'Form responses 1'!$B$2:$B$2604,'Form responses 1'!$D$2:$D$2604,""))</f>
        <v/>
      </c>
      <c r="G2823" s="44" t="str">
        <f t="array" ref="G2823">IF(B2823="","",_xlfn.XLOOKUP(B2823,'Form responses 1'!$B$2:$B$2604,'Form responses 1'!$E$2:$E$2604,""))</f>
        <v/>
      </c>
      <c r="H2823" s="44" t="str">
        <f t="array" ref="H2823">IF(B2823="","",_xlfn.XLOOKUP(B2823,'Form responses 1'!$B$2:$B$2604,'Form responses 1'!$F$2:$F$2604,""))</f>
        <v/>
      </c>
      <c r="I2823" s="44" t="str">
        <f t="array" ref="I2823">IF(B2823="","",_xlfn.XLOOKUP(B2823,'Form responses 1'!$B$2:$B$2604,'Form responses 1'!$I$2:$I$2604,""))</f>
        <v/>
      </c>
      <c r="J2823" s="44" t="str">
        <f t="array" ref="J2823">IF(B2823="","",_xlfn.XLOOKUP(B2823,'Form responses 1'!$B$2:$B$2604,'Form responses 1'!$G$2:$G$2604,""))</f>
        <v/>
      </c>
      <c r="K2823" s="56"/>
      <c r="L2823" s="58" t="str">
        <f t="shared" si="7"/>
        <v/>
      </c>
      <c r="M2823" s="49"/>
      <c r="N2823" s="49"/>
      <c r="O2823" s="49"/>
      <c r="P2823" s="49"/>
      <c r="Q2823" s="49"/>
      <c r="R2823" s="49"/>
      <c r="S2823" s="49"/>
      <c r="T2823" s="49"/>
      <c r="U2823" s="49"/>
      <c r="V2823" s="49"/>
      <c r="W2823" s="56"/>
      <c r="X2823" s="51" t="str">
        <f t="shared" si="5"/>
        <v/>
      </c>
      <c r="Y2823" s="50" t="s">
        <v>482</v>
      </c>
      <c r="Z2823" s="49">
        <f t="shared" si="6"/>
        <v>0</v>
      </c>
    </row>
    <row r="2824" ht="22.5" customHeight="1">
      <c r="B2824" s="57"/>
      <c r="C2824" s="43" t="str">
        <f t="array" ref="C2824">IF(B2824="","",_xlfn.XLOOKUP(B2824,'Form responses 1'!$B$2:$B$2604,'Form responses 1'!$A$2:$A$2604,""))</f>
        <v/>
      </c>
      <c r="D2824" s="44" t="str">
        <f t="shared" si="3"/>
        <v/>
      </c>
      <c r="E2824" s="44" t="str">
        <f t="array" ref="E2824">IF(B2824="","",_xlfn.XLOOKUP(B2824,'Form responses 1'!$B$2:$B$2604,'Form responses 1'!$C$2:$C$2604,""))</f>
        <v/>
      </c>
      <c r="F2824" s="44" t="str">
        <f t="array" ref="F2824">IF(B2824="","",_xlfn.XLOOKUP(B2824,'Form responses 1'!$B$2:$B$2604,'Form responses 1'!$D$2:$D$2604,""))</f>
        <v/>
      </c>
      <c r="G2824" s="44" t="str">
        <f t="array" ref="G2824">IF(B2824="","",_xlfn.XLOOKUP(B2824,'Form responses 1'!$B$2:$B$2604,'Form responses 1'!$E$2:$E$2604,""))</f>
        <v/>
      </c>
      <c r="H2824" s="44" t="str">
        <f t="array" ref="H2824">IF(B2824="","",_xlfn.XLOOKUP(B2824,'Form responses 1'!$B$2:$B$2604,'Form responses 1'!$F$2:$F$2604,""))</f>
        <v/>
      </c>
      <c r="I2824" s="44" t="str">
        <f t="array" ref="I2824">IF(B2824="","",_xlfn.XLOOKUP(B2824,'Form responses 1'!$B$2:$B$2604,'Form responses 1'!$I$2:$I$2604,""))</f>
        <v/>
      </c>
      <c r="J2824" s="44" t="str">
        <f t="array" ref="J2824">IF(B2824="","",_xlfn.XLOOKUP(B2824,'Form responses 1'!$B$2:$B$2604,'Form responses 1'!$G$2:$G$2604,""))</f>
        <v/>
      </c>
      <c r="K2824" s="56"/>
      <c r="L2824" s="58" t="str">
        <f t="shared" si="7"/>
        <v/>
      </c>
      <c r="M2824" s="49"/>
      <c r="N2824" s="49"/>
      <c r="O2824" s="49"/>
      <c r="P2824" s="49"/>
      <c r="Q2824" s="49"/>
      <c r="R2824" s="49"/>
      <c r="S2824" s="49"/>
      <c r="T2824" s="49"/>
      <c r="U2824" s="49"/>
      <c r="V2824" s="49"/>
      <c r="W2824" s="56"/>
      <c r="X2824" s="51" t="str">
        <f t="shared" si="5"/>
        <v/>
      </c>
      <c r="Y2824" s="50" t="s">
        <v>482</v>
      </c>
      <c r="Z2824" s="49">
        <f t="shared" si="6"/>
        <v>0</v>
      </c>
    </row>
    <row r="2825" ht="22.5" customHeight="1">
      <c r="B2825" s="57"/>
      <c r="C2825" s="43" t="str">
        <f t="array" ref="C2825">IF(B2825="","",_xlfn.XLOOKUP(B2825,'Form responses 1'!$B$2:$B$2604,'Form responses 1'!$A$2:$A$2604,""))</f>
        <v/>
      </c>
      <c r="D2825" s="44" t="str">
        <f t="shared" si="3"/>
        <v/>
      </c>
      <c r="E2825" s="44" t="str">
        <f t="array" ref="E2825">IF(B2825="","",_xlfn.XLOOKUP(B2825,'Form responses 1'!$B$2:$B$2604,'Form responses 1'!$C$2:$C$2604,""))</f>
        <v/>
      </c>
      <c r="F2825" s="44" t="str">
        <f t="array" ref="F2825">IF(B2825="","",_xlfn.XLOOKUP(B2825,'Form responses 1'!$B$2:$B$2604,'Form responses 1'!$D$2:$D$2604,""))</f>
        <v/>
      </c>
      <c r="G2825" s="44" t="str">
        <f t="array" ref="G2825">IF(B2825="","",_xlfn.XLOOKUP(B2825,'Form responses 1'!$B$2:$B$2604,'Form responses 1'!$E$2:$E$2604,""))</f>
        <v/>
      </c>
      <c r="H2825" s="44" t="str">
        <f t="array" ref="H2825">IF(B2825="","",_xlfn.XLOOKUP(B2825,'Form responses 1'!$B$2:$B$2604,'Form responses 1'!$F$2:$F$2604,""))</f>
        <v/>
      </c>
      <c r="I2825" s="44" t="str">
        <f t="array" ref="I2825">IF(B2825="","",_xlfn.XLOOKUP(B2825,'Form responses 1'!$B$2:$B$2604,'Form responses 1'!$I$2:$I$2604,""))</f>
        <v/>
      </c>
      <c r="J2825" s="44" t="str">
        <f t="array" ref="J2825">IF(B2825="","",_xlfn.XLOOKUP(B2825,'Form responses 1'!$B$2:$B$2604,'Form responses 1'!$G$2:$G$2604,""))</f>
        <v/>
      </c>
      <c r="K2825" s="56"/>
      <c r="L2825" s="58" t="str">
        <f t="shared" si="7"/>
        <v/>
      </c>
      <c r="M2825" s="49"/>
      <c r="N2825" s="49"/>
      <c r="O2825" s="49"/>
      <c r="P2825" s="49"/>
      <c r="Q2825" s="49"/>
      <c r="R2825" s="49"/>
      <c r="S2825" s="49"/>
      <c r="T2825" s="49"/>
      <c r="U2825" s="49"/>
      <c r="V2825" s="49"/>
      <c r="W2825" s="56"/>
      <c r="X2825" s="51" t="str">
        <f t="shared" si="5"/>
        <v/>
      </c>
      <c r="Y2825" s="50" t="s">
        <v>482</v>
      </c>
      <c r="Z2825" s="49">
        <f t="shared" si="6"/>
        <v>0</v>
      </c>
    </row>
    <row r="2826" ht="22.5" customHeight="1">
      <c r="B2826" s="57"/>
      <c r="C2826" s="43" t="str">
        <f t="array" ref="C2826">IF(B2826="","",_xlfn.XLOOKUP(B2826,'Form responses 1'!$B$2:$B$2604,'Form responses 1'!$A$2:$A$2604,""))</f>
        <v/>
      </c>
      <c r="D2826" s="44" t="str">
        <f t="shared" si="3"/>
        <v/>
      </c>
      <c r="E2826" s="44" t="str">
        <f t="array" ref="E2826">IF(B2826="","",_xlfn.XLOOKUP(B2826,'Form responses 1'!$B$2:$B$2604,'Form responses 1'!$C$2:$C$2604,""))</f>
        <v/>
      </c>
      <c r="F2826" s="44" t="str">
        <f t="array" ref="F2826">IF(B2826="","",_xlfn.XLOOKUP(B2826,'Form responses 1'!$B$2:$B$2604,'Form responses 1'!$D$2:$D$2604,""))</f>
        <v/>
      </c>
      <c r="G2826" s="44" t="str">
        <f t="array" ref="G2826">IF(B2826="","",_xlfn.XLOOKUP(B2826,'Form responses 1'!$B$2:$B$2604,'Form responses 1'!$E$2:$E$2604,""))</f>
        <v/>
      </c>
      <c r="H2826" s="44" t="str">
        <f t="array" ref="H2826">IF(B2826="","",_xlfn.XLOOKUP(B2826,'Form responses 1'!$B$2:$B$2604,'Form responses 1'!$F$2:$F$2604,""))</f>
        <v/>
      </c>
      <c r="I2826" s="44" t="str">
        <f t="array" ref="I2826">IF(B2826="","",_xlfn.XLOOKUP(B2826,'Form responses 1'!$B$2:$B$2604,'Form responses 1'!$I$2:$I$2604,""))</f>
        <v/>
      </c>
      <c r="J2826" s="44" t="str">
        <f t="array" ref="J2826">IF(B2826="","",_xlfn.XLOOKUP(B2826,'Form responses 1'!$B$2:$B$2604,'Form responses 1'!$G$2:$G$2604,""))</f>
        <v/>
      </c>
      <c r="K2826" s="56"/>
      <c r="L2826" s="58" t="str">
        <f t="shared" si="7"/>
        <v/>
      </c>
      <c r="M2826" s="49"/>
      <c r="N2826" s="49"/>
      <c r="O2826" s="49"/>
      <c r="P2826" s="49"/>
      <c r="Q2826" s="49"/>
      <c r="R2826" s="49"/>
      <c r="S2826" s="49"/>
      <c r="T2826" s="49"/>
      <c r="U2826" s="49"/>
      <c r="V2826" s="49"/>
      <c r="W2826" s="56"/>
      <c r="X2826" s="51" t="str">
        <f t="shared" si="5"/>
        <v/>
      </c>
      <c r="Y2826" s="50" t="s">
        <v>482</v>
      </c>
      <c r="Z2826" s="49">
        <f t="shared" si="6"/>
        <v>0</v>
      </c>
    </row>
    <row r="2827" ht="22.5" customHeight="1">
      <c r="B2827" s="57"/>
      <c r="C2827" s="43" t="str">
        <f t="array" ref="C2827">IF(B2827="","",_xlfn.XLOOKUP(B2827,'Form responses 1'!$B$2:$B$2604,'Form responses 1'!$A$2:$A$2604,""))</f>
        <v/>
      </c>
      <c r="D2827" s="44" t="str">
        <f t="shared" si="3"/>
        <v/>
      </c>
      <c r="E2827" s="44" t="str">
        <f t="array" ref="E2827">IF(B2827="","",_xlfn.XLOOKUP(B2827,'Form responses 1'!$B$2:$B$2604,'Form responses 1'!$C$2:$C$2604,""))</f>
        <v/>
      </c>
      <c r="F2827" s="44" t="str">
        <f t="array" ref="F2827">IF(B2827="","",_xlfn.XLOOKUP(B2827,'Form responses 1'!$B$2:$B$2604,'Form responses 1'!$D$2:$D$2604,""))</f>
        <v/>
      </c>
      <c r="G2827" s="44" t="str">
        <f t="array" ref="G2827">IF(B2827="","",_xlfn.XLOOKUP(B2827,'Form responses 1'!$B$2:$B$2604,'Form responses 1'!$E$2:$E$2604,""))</f>
        <v/>
      </c>
      <c r="H2827" s="44" t="str">
        <f t="array" ref="H2827">IF(B2827="","",_xlfn.XLOOKUP(B2827,'Form responses 1'!$B$2:$B$2604,'Form responses 1'!$F$2:$F$2604,""))</f>
        <v/>
      </c>
      <c r="I2827" s="44" t="str">
        <f t="array" ref="I2827">IF(B2827="","",_xlfn.XLOOKUP(B2827,'Form responses 1'!$B$2:$B$2604,'Form responses 1'!$I$2:$I$2604,""))</f>
        <v/>
      </c>
      <c r="J2827" s="44" t="str">
        <f t="array" ref="J2827">IF(B2827="","",_xlfn.XLOOKUP(B2827,'Form responses 1'!$B$2:$B$2604,'Form responses 1'!$G$2:$G$2604,""))</f>
        <v/>
      </c>
      <c r="K2827" s="56"/>
      <c r="L2827" s="58" t="str">
        <f t="shared" si="7"/>
        <v/>
      </c>
      <c r="M2827" s="49"/>
      <c r="N2827" s="49"/>
      <c r="O2827" s="49"/>
      <c r="P2827" s="49"/>
      <c r="Q2827" s="49"/>
      <c r="R2827" s="49"/>
      <c r="S2827" s="49"/>
      <c r="T2827" s="49"/>
      <c r="U2827" s="49"/>
      <c r="V2827" s="49"/>
      <c r="W2827" s="56"/>
      <c r="X2827" s="51" t="str">
        <f t="shared" si="5"/>
        <v/>
      </c>
      <c r="Y2827" s="50" t="s">
        <v>482</v>
      </c>
      <c r="Z2827" s="49">
        <f t="shared" si="6"/>
        <v>0</v>
      </c>
    </row>
    <row r="2828" ht="22.5" customHeight="1">
      <c r="B2828" s="57"/>
      <c r="C2828" s="43" t="str">
        <f t="array" ref="C2828">IF(B2828="","",_xlfn.XLOOKUP(B2828,'Form responses 1'!$B$2:$B$2604,'Form responses 1'!$A$2:$A$2604,""))</f>
        <v/>
      </c>
      <c r="D2828" s="44" t="str">
        <f t="shared" si="3"/>
        <v/>
      </c>
      <c r="E2828" s="44" t="str">
        <f t="array" ref="E2828">IF(B2828="","",_xlfn.XLOOKUP(B2828,'Form responses 1'!$B$2:$B$2604,'Form responses 1'!$C$2:$C$2604,""))</f>
        <v/>
      </c>
      <c r="F2828" s="44" t="str">
        <f t="array" ref="F2828">IF(B2828="","",_xlfn.XLOOKUP(B2828,'Form responses 1'!$B$2:$B$2604,'Form responses 1'!$D$2:$D$2604,""))</f>
        <v/>
      </c>
      <c r="G2828" s="44" t="str">
        <f t="array" ref="G2828">IF(B2828="","",_xlfn.XLOOKUP(B2828,'Form responses 1'!$B$2:$B$2604,'Form responses 1'!$E$2:$E$2604,""))</f>
        <v/>
      </c>
      <c r="H2828" s="44" t="str">
        <f t="array" ref="H2828">IF(B2828="","",_xlfn.XLOOKUP(B2828,'Form responses 1'!$B$2:$B$2604,'Form responses 1'!$F$2:$F$2604,""))</f>
        <v/>
      </c>
      <c r="I2828" s="44" t="str">
        <f t="array" ref="I2828">IF(B2828="","",_xlfn.XLOOKUP(B2828,'Form responses 1'!$B$2:$B$2604,'Form responses 1'!$I$2:$I$2604,""))</f>
        <v/>
      </c>
      <c r="J2828" s="44" t="str">
        <f t="array" ref="J2828">IF(B2828="","",_xlfn.XLOOKUP(B2828,'Form responses 1'!$B$2:$B$2604,'Form responses 1'!$G$2:$G$2604,""))</f>
        <v/>
      </c>
      <c r="K2828" s="56"/>
      <c r="L2828" s="58" t="str">
        <f t="shared" si="7"/>
        <v/>
      </c>
      <c r="M2828" s="49"/>
      <c r="N2828" s="49"/>
      <c r="O2828" s="49"/>
      <c r="P2828" s="49"/>
      <c r="Q2828" s="49"/>
      <c r="R2828" s="49"/>
      <c r="S2828" s="49"/>
      <c r="T2828" s="49"/>
      <c r="U2828" s="49"/>
      <c r="V2828" s="49"/>
      <c r="W2828" s="56"/>
      <c r="X2828" s="51" t="str">
        <f t="shared" si="5"/>
        <v/>
      </c>
      <c r="Y2828" s="50" t="s">
        <v>482</v>
      </c>
      <c r="Z2828" s="49">
        <f t="shared" si="6"/>
        <v>0</v>
      </c>
    </row>
    <row r="2829" ht="22.5" customHeight="1">
      <c r="B2829" s="57"/>
      <c r="C2829" s="43" t="str">
        <f t="array" ref="C2829">IF(B2829="","",_xlfn.XLOOKUP(B2829,'Form responses 1'!$B$2:$B$2604,'Form responses 1'!$A$2:$A$2604,""))</f>
        <v/>
      </c>
      <c r="D2829" s="44" t="str">
        <f t="shared" si="3"/>
        <v/>
      </c>
      <c r="E2829" s="44" t="str">
        <f t="array" ref="E2829">IF(B2829="","",_xlfn.XLOOKUP(B2829,'Form responses 1'!$B$2:$B$2604,'Form responses 1'!$C$2:$C$2604,""))</f>
        <v/>
      </c>
      <c r="F2829" s="44" t="str">
        <f t="array" ref="F2829">IF(B2829="","",_xlfn.XLOOKUP(B2829,'Form responses 1'!$B$2:$B$2604,'Form responses 1'!$D$2:$D$2604,""))</f>
        <v/>
      </c>
      <c r="G2829" s="44" t="str">
        <f t="array" ref="G2829">IF(B2829="","",_xlfn.XLOOKUP(B2829,'Form responses 1'!$B$2:$B$2604,'Form responses 1'!$E$2:$E$2604,""))</f>
        <v/>
      </c>
      <c r="H2829" s="44" t="str">
        <f t="array" ref="H2829">IF(B2829="","",_xlfn.XLOOKUP(B2829,'Form responses 1'!$B$2:$B$2604,'Form responses 1'!$F$2:$F$2604,""))</f>
        <v/>
      </c>
      <c r="I2829" s="44" t="str">
        <f t="array" ref="I2829">IF(B2829="","",_xlfn.XLOOKUP(B2829,'Form responses 1'!$B$2:$B$2604,'Form responses 1'!$I$2:$I$2604,""))</f>
        <v/>
      </c>
      <c r="J2829" s="44" t="str">
        <f t="array" ref="J2829">IF(B2829="","",_xlfn.XLOOKUP(B2829,'Form responses 1'!$B$2:$B$2604,'Form responses 1'!$G$2:$G$2604,""))</f>
        <v/>
      </c>
      <c r="K2829" s="56"/>
      <c r="L2829" s="58" t="str">
        <f t="shared" si="7"/>
        <v/>
      </c>
      <c r="M2829" s="49"/>
      <c r="N2829" s="49"/>
      <c r="O2829" s="49"/>
      <c r="P2829" s="49"/>
      <c r="Q2829" s="49"/>
      <c r="R2829" s="49"/>
      <c r="S2829" s="49"/>
      <c r="T2829" s="49"/>
      <c r="U2829" s="49"/>
      <c r="V2829" s="49"/>
      <c r="W2829" s="56"/>
      <c r="X2829" s="51" t="str">
        <f t="shared" si="5"/>
        <v/>
      </c>
      <c r="Y2829" s="50" t="s">
        <v>482</v>
      </c>
      <c r="Z2829" s="49">
        <f t="shared" si="6"/>
        <v>0</v>
      </c>
    </row>
    <row r="2830" ht="22.5" customHeight="1">
      <c r="B2830" s="57"/>
      <c r="C2830" s="43" t="str">
        <f t="array" ref="C2830">IF(B2830="","",_xlfn.XLOOKUP(B2830,'Form responses 1'!$B$2:$B$2604,'Form responses 1'!$A$2:$A$2604,""))</f>
        <v/>
      </c>
      <c r="D2830" s="44" t="str">
        <f t="shared" si="3"/>
        <v/>
      </c>
      <c r="E2830" s="44" t="str">
        <f t="array" ref="E2830">IF(B2830="","",_xlfn.XLOOKUP(B2830,'Form responses 1'!$B$2:$B$2604,'Form responses 1'!$C$2:$C$2604,""))</f>
        <v/>
      </c>
      <c r="F2830" s="44" t="str">
        <f t="array" ref="F2830">IF(B2830="","",_xlfn.XLOOKUP(B2830,'Form responses 1'!$B$2:$B$2604,'Form responses 1'!$D$2:$D$2604,""))</f>
        <v/>
      </c>
      <c r="G2830" s="44" t="str">
        <f t="array" ref="G2830">IF(B2830="","",_xlfn.XLOOKUP(B2830,'Form responses 1'!$B$2:$B$2604,'Form responses 1'!$E$2:$E$2604,""))</f>
        <v/>
      </c>
      <c r="H2830" s="44" t="str">
        <f t="array" ref="H2830">IF(B2830="","",_xlfn.XLOOKUP(B2830,'Form responses 1'!$B$2:$B$2604,'Form responses 1'!$F$2:$F$2604,""))</f>
        <v/>
      </c>
      <c r="I2830" s="44" t="str">
        <f t="array" ref="I2830">IF(B2830="","",_xlfn.XLOOKUP(B2830,'Form responses 1'!$B$2:$B$2604,'Form responses 1'!$I$2:$I$2604,""))</f>
        <v/>
      </c>
      <c r="J2830" s="44" t="str">
        <f t="array" ref="J2830">IF(B2830="","",_xlfn.XLOOKUP(B2830,'Form responses 1'!$B$2:$B$2604,'Form responses 1'!$G$2:$G$2604,""))</f>
        <v/>
      </c>
      <c r="K2830" s="56"/>
      <c r="L2830" s="58" t="str">
        <f t="shared" si="7"/>
        <v/>
      </c>
      <c r="M2830" s="49"/>
      <c r="N2830" s="49"/>
      <c r="O2830" s="49"/>
      <c r="P2830" s="49"/>
      <c r="Q2830" s="49"/>
      <c r="R2830" s="49"/>
      <c r="S2830" s="49"/>
      <c r="T2830" s="49"/>
      <c r="U2830" s="49"/>
      <c r="V2830" s="49"/>
      <c r="W2830" s="56"/>
      <c r="X2830" s="51" t="str">
        <f t="shared" si="5"/>
        <v/>
      </c>
      <c r="Y2830" s="50" t="s">
        <v>482</v>
      </c>
      <c r="Z2830" s="49">
        <f t="shared" si="6"/>
        <v>0</v>
      </c>
    </row>
    <row r="2831" ht="22.5" customHeight="1">
      <c r="B2831" s="57"/>
      <c r="C2831" s="43" t="str">
        <f t="array" ref="C2831">IF(B2831="","",_xlfn.XLOOKUP(B2831,'Form responses 1'!$B$2:$B$2604,'Form responses 1'!$A$2:$A$2604,""))</f>
        <v/>
      </c>
      <c r="D2831" s="44" t="str">
        <f t="shared" si="3"/>
        <v/>
      </c>
      <c r="E2831" s="44" t="str">
        <f t="array" ref="E2831">IF(B2831="","",_xlfn.XLOOKUP(B2831,'Form responses 1'!$B$2:$B$2604,'Form responses 1'!$C$2:$C$2604,""))</f>
        <v/>
      </c>
      <c r="F2831" s="44" t="str">
        <f t="array" ref="F2831">IF(B2831="","",_xlfn.XLOOKUP(B2831,'Form responses 1'!$B$2:$B$2604,'Form responses 1'!$D$2:$D$2604,""))</f>
        <v/>
      </c>
      <c r="G2831" s="44" t="str">
        <f t="array" ref="G2831">IF(B2831="","",_xlfn.XLOOKUP(B2831,'Form responses 1'!$B$2:$B$2604,'Form responses 1'!$E$2:$E$2604,""))</f>
        <v/>
      </c>
      <c r="H2831" s="44" t="str">
        <f t="array" ref="H2831">IF(B2831="","",_xlfn.XLOOKUP(B2831,'Form responses 1'!$B$2:$B$2604,'Form responses 1'!$F$2:$F$2604,""))</f>
        <v/>
      </c>
      <c r="I2831" s="44" t="str">
        <f t="array" ref="I2831">IF(B2831="","",_xlfn.XLOOKUP(B2831,'Form responses 1'!$B$2:$B$2604,'Form responses 1'!$I$2:$I$2604,""))</f>
        <v/>
      </c>
      <c r="J2831" s="44" t="str">
        <f t="array" ref="J2831">IF(B2831="","",_xlfn.XLOOKUP(B2831,'Form responses 1'!$B$2:$B$2604,'Form responses 1'!$G$2:$G$2604,""))</f>
        <v/>
      </c>
      <c r="K2831" s="56"/>
      <c r="L2831" s="58" t="str">
        <f t="shared" si="7"/>
        <v/>
      </c>
      <c r="M2831" s="49"/>
      <c r="N2831" s="49"/>
      <c r="O2831" s="49"/>
      <c r="P2831" s="49"/>
      <c r="Q2831" s="49"/>
      <c r="R2831" s="49"/>
      <c r="S2831" s="49"/>
      <c r="T2831" s="49"/>
      <c r="U2831" s="49"/>
      <c r="V2831" s="49"/>
      <c r="W2831" s="56"/>
      <c r="X2831" s="51" t="str">
        <f t="shared" si="5"/>
        <v/>
      </c>
      <c r="Y2831" s="50" t="s">
        <v>482</v>
      </c>
      <c r="Z2831" s="49">
        <f t="shared" si="6"/>
        <v>0</v>
      </c>
    </row>
    <row r="2832" ht="22.5" customHeight="1">
      <c r="B2832" s="57"/>
      <c r="C2832" s="43" t="str">
        <f t="array" ref="C2832">IF(B2832="","",_xlfn.XLOOKUP(B2832,'Form responses 1'!$B$2:$B$2604,'Form responses 1'!$A$2:$A$2604,""))</f>
        <v/>
      </c>
      <c r="D2832" s="44" t="str">
        <f t="shared" si="3"/>
        <v/>
      </c>
      <c r="E2832" s="44" t="str">
        <f t="array" ref="E2832">IF(B2832="","",_xlfn.XLOOKUP(B2832,'Form responses 1'!$B$2:$B$2604,'Form responses 1'!$C$2:$C$2604,""))</f>
        <v/>
      </c>
      <c r="F2832" s="44" t="str">
        <f t="array" ref="F2832">IF(B2832="","",_xlfn.XLOOKUP(B2832,'Form responses 1'!$B$2:$B$2604,'Form responses 1'!$D$2:$D$2604,""))</f>
        <v/>
      </c>
      <c r="G2832" s="44" t="str">
        <f t="array" ref="G2832">IF(B2832="","",_xlfn.XLOOKUP(B2832,'Form responses 1'!$B$2:$B$2604,'Form responses 1'!$E$2:$E$2604,""))</f>
        <v/>
      </c>
      <c r="H2832" s="44" t="str">
        <f t="array" ref="H2832">IF(B2832="","",_xlfn.XLOOKUP(B2832,'Form responses 1'!$B$2:$B$2604,'Form responses 1'!$F$2:$F$2604,""))</f>
        <v/>
      </c>
      <c r="I2832" s="44" t="str">
        <f t="array" ref="I2832">IF(B2832="","",_xlfn.XLOOKUP(B2832,'Form responses 1'!$B$2:$B$2604,'Form responses 1'!$I$2:$I$2604,""))</f>
        <v/>
      </c>
      <c r="J2832" s="44" t="str">
        <f t="array" ref="J2832">IF(B2832="","",_xlfn.XLOOKUP(B2832,'Form responses 1'!$B$2:$B$2604,'Form responses 1'!$G$2:$G$2604,""))</f>
        <v/>
      </c>
      <c r="K2832" s="56"/>
      <c r="L2832" s="58" t="str">
        <f t="shared" si="7"/>
        <v/>
      </c>
      <c r="M2832" s="49"/>
      <c r="N2832" s="49"/>
      <c r="O2832" s="49"/>
      <c r="P2832" s="49"/>
      <c r="Q2832" s="49"/>
      <c r="R2832" s="49"/>
      <c r="S2832" s="49"/>
      <c r="T2832" s="49"/>
      <c r="U2832" s="49"/>
      <c r="V2832" s="49"/>
      <c r="W2832" s="56"/>
      <c r="X2832" s="51" t="str">
        <f t="shared" si="5"/>
        <v/>
      </c>
      <c r="Y2832" s="50" t="s">
        <v>482</v>
      </c>
      <c r="Z2832" s="49">
        <f t="shared" si="6"/>
        <v>0</v>
      </c>
    </row>
    <row r="2833" ht="22.5" customHeight="1">
      <c r="B2833" s="57"/>
      <c r="C2833" s="43" t="str">
        <f t="array" ref="C2833">IF(B2833="","",_xlfn.XLOOKUP(B2833,'Form responses 1'!$B$2:$B$2604,'Form responses 1'!$A$2:$A$2604,""))</f>
        <v/>
      </c>
      <c r="D2833" s="44" t="str">
        <f t="shared" si="3"/>
        <v/>
      </c>
      <c r="E2833" s="44" t="str">
        <f t="array" ref="E2833">IF(B2833="","",_xlfn.XLOOKUP(B2833,'Form responses 1'!$B$2:$B$2604,'Form responses 1'!$C$2:$C$2604,""))</f>
        <v/>
      </c>
      <c r="F2833" s="44" t="str">
        <f t="array" ref="F2833">IF(B2833="","",_xlfn.XLOOKUP(B2833,'Form responses 1'!$B$2:$B$2604,'Form responses 1'!$D$2:$D$2604,""))</f>
        <v/>
      </c>
      <c r="G2833" s="44" t="str">
        <f t="array" ref="G2833">IF(B2833="","",_xlfn.XLOOKUP(B2833,'Form responses 1'!$B$2:$B$2604,'Form responses 1'!$E$2:$E$2604,""))</f>
        <v/>
      </c>
      <c r="H2833" s="44" t="str">
        <f t="array" ref="H2833">IF(B2833="","",_xlfn.XLOOKUP(B2833,'Form responses 1'!$B$2:$B$2604,'Form responses 1'!$F$2:$F$2604,""))</f>
        <v/>
      </c>
      <c r="I2833" s="44" t="str">
        <f t="array" ref="I2833">IF(B2833="","",_xlfn.XLOOKUP(B2833,'Form responses 1'!$B$2:$B$2604,'Form responses 1'!$I$2:$I$2604,""))</f>
        <v/>
      </c>
      <c r="J2833" s="44" t="str">
        <f t="array" ref="J2833">IF(B2833="","",_xlfn.XLOOKUP(B2833,'Form responses 1'!$B$2:$B$2604,'Form responses 1'!$G$2:$G$2604,""))</f>
        <v/>
      </c>
      <c r="K2833" s="56"/>
      <c r="L2833" s="58" t="str">
        <f t="shared" si="7"/>
        <v/>
      </c>
      <c r="M2833" s="49"/>
      <c r="N2833" s="49"/>
      <c r="O2833" s="49"/>
      <c r="P2833" s="49"/>
      <c r="Q2833" s="49"/>
      <c r="R2833" s="49"/>
      <c r="S2833" s="49"/>
      <c r="T2833" s="49"/>
      <c r="U2833" s="49"/>
      <c r="V2833" s="49"/>
      <c r="W2833" s="56"/>
      <c r="X2833" s="51" t="str">
        <f t="shared" si="5"/>
        <v/>
      </c>
      <c r="Y2833" s="50" t="s">
        <v>482</v>
      </c>
      <c r="Z2833" s="49">
        <f t="shared" si="6"/>
        <v>0</v>
      </c>
    </row>
    <row r="2834" ht="22.5" customHeight="1">
      <c r="B2834" s="57"/>
      <c r="C2834" s="43" t="str">
        <f t="array" ref="C2834">IF(B2834="","",_xlfn.XLOOKUP(B2834,'Form responses 1'!$B$2:$B$2604,'Form responses 1'!$A$2:$A$2604,""))</f>
        <v/>
      </c>
      <c r="D2834" s="44" t="str">
        <f t="shared" si="3"/>
        <v/>
      </c>
      <c r="E2834" s="44" t="str">
        <f t="array" ref="E2834">IF(B2834="","",_xlfn.XLOOKUP(B2834,'Form responses 1'!$B$2:$B$2604,'Form responses 1'!$C$2:$C$2604,""))</f>
        <v/>
      </c>
      <c r="F2834" s="44" t="str">
        <f t="array" ref="F2834">IF(B2834="","",_xlfn.XLOOKUP(B2834,'Form responses 1'!$B$2:$B$2604,'Form responses 1'!$D$2:$D$2604,""))</f>
        <v/>
      </c>
      <c r="G2834" s="44" t="str">
        <f t="array" ref="G2834">IF(B2834="","",_xlfn.XLOOKUP(B2834,'Form responses 1'!$B$2:$B$2604,'Form responses 1'!$E$2:$E$2604,""))</f>
        <v/>
      </c>
      <c r="H2834" s="44" t="str">
        <f t="array" ref="H2834">IF(B2834="","",_xlfn.XLOOKUP(B2834,'Form responses 1'!$B$2:$B$2604,'Form responses 1'!$F$2:$F$2604,""))</f>
        <v/>
      </c>
      <c r="I2834" s="44" t="str">
        <f t="array" ref="I2834">IF(B2834="","",_xlfn.XLOOKUP(B2834,'Form responses 1'!$B$2:$B$2604,'Form responses 1'!$I$2:$I$2604,""))</f>
        <v/>
      </c>
      <c r="J2834" s="44" t="str">
        <f t="array" ref="J2834">IF(B2834="","",_xlfn.XLOOKUP(B2834,'Form responses 1'!$B$2:$B$2604,'Form responses 1'!$G$2:$G$2604,""))</f>
        <v/>
      </c>
      <c r="K2834" s="56"/>
      <c r="L2834" s="58" t="str">
        <f t="shared" si="7"/>
        <v/>
      </c>
      <c r="M2834" s="49"/>
      <c r="N2834" s="49"/>
      <c r="O2834" s="49"/>
      <c r="P2834" s="49"/>
      <c r="Q2834" s="49"/>
      <c r="R2834" s="49"/>
      <c r="S2834" s="49"/>
      <c r="T2834" s="49"/>
      <c r="U2834" s="49"/>
      <c r="V2834" s="49"/>
      <c r="W2834" s="56"/>
      <c r="X2834" s="51" t="str">
        <f t="shared" si="5"/>
        <v/>
      </c>
      <c r="Y2834" s="50" t="s">
        <v>482</v>
      </c>
      <c r="Z2834" s="49">
        <f t="shared" si="6"/>
        <v>0</v>
      </c>
    </row>
    <row r="2835" ht="22.5" customHeight="1">
      <c r="B2835" s="57"/>
      <c r="C2835" s="43" t="str">
        <f t="array" ref="C2835">IF(B2835="","",_xlfn.XLOOKUP(B2835,'Form responses 1'!$B$2:$B$2604,'Form responses 1'!$A$2:$A$2604,""))</f>
        <v/>
      </c>
      <c r="D2835" s="44" t="str">
        <f t="shared" si="3"/>
        <v/>
      </c>
      <c r="E2835" s="44" t="str">
        <f t="array" ref="E2835">IF(B2835="","",_xlfn.XLOOKUP(B2835,'Form responses 1'!$B$2:$B$2604,'Form responses 1'!$C$2:$C$2604,""))</f>
        <v/>
      </c>
      <c r="F2835" s="44" t="str">
        <f t="array" ref="F2835">IF(B2835="","",_xlfn.XLOOKUP(B2835,'Form responses 1'!$B$2:$B$2604,'Form responses 1'!$D$2:$D$2604,""))</f>
        <v/>
      </c>
      <c r="G2835" s="44" t="str">
        <f t="array" ref="G2835">IF(B2835="","",_xlfn.XLOOKUP(B2835,'Form responses 1'!$B$2:$B$2604,'Form responses 1'!$E$2:$E$2604,""))</f>
        <v/>
      </c>
      <c r="H2835" s="44" t="str">
        <f t="array" ref="H2835">IF(B2835="","",_xlfn.XLOOKUP(B2835,'Form responses 1'!$B$2:$B$2604,'Form responses 1'!$F$2:$F$2604,""))</f>
        <v/>
      </c>
      <c r="I2835" s="44" t="str">
        <f t="array" ref="I2835">IF(B2835="","",_xlfn.XLOOKUP(B2835,'Form responses 1'!$B$2:$B$2604,'Form responses 1'!$I$2:$I$2604,""))</f>
        <v/>
      </c>
      <c r="J2835" s="44" t="str">
        <f t="array" ref="J2835">IF(B2835="","",_xlfn.XLOOKUP(B2835,'Form responses 1'!$B$2:$B$2604,'Form responses 1'!$G$2:$G$2604,""))</f>
        <v/>
      </c>
      <c r="K2835" s="56"/>
      <c r="L2835" s="58" t="str">
        <f t="shared" si="7"/>
        <v/>
      </c>
      <c r="M2835" s="49"/>
      <c r="N2835" s="49"/>
      <c r="O2835" s="49"/>
      <c r="P2835" s="49"/>
      <c r="Q2835" s="49"/>
      <c r="R2835" s="49"/>
      <c r="S2835" s="49"/>
      <c r="T2835" s="49"/>
      <c r="U2835" s="49"/>
      <c r="V2835" s="49"/>
      <c r="W2835" s="56"/>
      <c r="X2835" s="51" t="str">
        <f t="shared" si="5"/>
        <v/>
      </c>
      <c r="Y2835" s="50" t="s">
        <v>482</v>
      </c>
      <c r="Z2835" s="49">
        <f t="shared" si="6"/>
        <v>0</v>
      </c>
    </row>
    <row r="2836" ht="22.5" customHeight="1">
      <c r="B2836" s="57"/>
      <c r="C2836" s="43" t="str">
        <f t="array" ref="C2836">IF(B2836="","",_xlfn.XLOOKUP(B2836,'Form responses 1'!$B$2:$B$2604,'Form responses 1'!$A$2:$A$2604,""))</f>
        <v/>
      </c>
      <c r="D2836" s="44" t="str">
        <f t="shared" si="3"/>
        <v/>
      </c>
      <c r="E2836" s="44" t="str">
        <f t="array" ref="E2836">IF(B2836="","",_xlfn.XLOOKUP(B2836,'Form responses 1'!$B$2:$B$2604,'Form responses 1'!$C$2:$C$2604,""))</f>
        <v/>
      </c>
      <c r="F2836" s="44" t="str">
        <f t="array" ref="F2836">IF(B2836="","",_xlfn.XLOOKUP(B2836,'Form responses 1'!$B$2:$B$2604,'Form responses 1'!$D$2:$D$2604,""))</f>
        <v/>
      </c>
      <c r="G2836" s="44" t="str">
        <f t="array" ref="G2836">IF(B2836="","",_xlfn.XLOOKUP(B2836,'Form responses 1'!$B$2:$B$2604,'Form responses 1'!$E$2:$E$2604,""))</f>
        <v/>
      </c>
      <c r="H2836" s="44" t="str">
        <f t="array" ref="H2836">IF(B2836="","",_xlfn.XLOOKUP(B2836,'Form responses 1'!$B$2:$B$2604,'Form responses 1'!$F$2:$F$2604,""))</f>
        <v/>
      </c>
      <c r="I2836" s="44" t="str">
        <f t="array" ref="I2836">IF(B2836="","",_xlfn.XLOOKUP(B2836,'Form responses 1'!$B$2:$B$2604,'Form responses 1'!$I$2:$I$2604,""))</f>
        <v/>
      </c>
      <c r="J2836" s="44" t="str">
        <f t="array" ref="J2836">IF(B2836="","",_xlfn.XLOOKUP(B2836,'Form responses 1'!$B$2:$B$2604,'Form responses 1'!$G$2:$G$2604,""))</f>
        <v/>
      </c>
      <c r="K2836" s="56"/>
      <c r="L2836" s="58" t="str">
        <f t="shared" si="7"/>
        <v/>
      </c>
      <c r="M2836" s="49"/>
      <c r="N2836" s="49"/>
      <c r="O2836" s="49"/>
      <c r="P2836" s="49"/>
      <c r="Q2836" s="49"/>
      <c r="R2836" s="49"/>
      <c r="S2836" s="49"/>
      <c r="T2836" s="49"/>
      <c r="U2836" s="49"/>
      <c r="V2836" s="49"/>
      <c r="W2836" s="56"/>
      <c r="X2836" s="51" t="str">
        <f t="shared" si="5"/>
        <v/>
      </c>
      <c r="Y2836" s="50" t="s">
        <v>482</v>
      </c>
      <c r="Z2836" s="49">
        <f t="shared" si="6"/>
        <v>0</v>
      </c>
    </row>
    <row r="2837" ht="22.5" customHeight="1">
      <c r="B2837" s="57"/>
      <c r="C2837" s="43" t="str">
        <f t="array" ref="C2837">IF(B2837="","",_xlfn.XLOOKUP(B2837,'Form responses 1'!$B$2:$B$2604,'Form responses 1'!$A$2:$A$2604,""))</f>
        <v/>
      </c>
      <c r="D2837" s="44" t="str">
        <f t="shared" si="3"/>
        <v/>
      </c>
      <c r="E2837" s="44" t="str">
        <f t="array" ref="E2837">IF(B2837="","",_xlfn.XLOOKUP(B2837,'Form responses 1'!$B$2:$B$2604,'Form responses 1'!$C$2:$C$2604,""))</f>
        <v/>
      </c>
      <c r="F2837" s="44" t="str">
        <f t="array" ref="F2837">IF(B2837="","",_xlfn.XLOOKUP(B2837,'Form responses 1'!$B$2:$B$2604,'Form responses 1'!$D$2:$D$2604,""))</f>
        <v/>
      </c>
      <c r="G2837" s="44" t="str">
        <f t="array" ref="G2837">IF(B2837="","",_xlfn.XLOOKUP(B2837,'Form responses 1'!$B$2:$B$2604,'Form responses 1'!$E$2:$E$2604,""))</f>
        <v/>
      </c>
      <c r="H2837" s="44" t="str">
        <f t="array" ref="H2837">IF(B2837="","",_xlfn.XLOOKUP(B2837,'Form responses 1'!$B$2:$B$2604,'Form responses 1'!$F$2:$F$2604,""))</f>
        <v/>
      </c>
      <c r="I2837" s="44" t="str">
        <f t="array" ref="I2837">IF(B2837="","",_xlfn.XLOOKUP(B2837,'Form responses 1'!$B$2:$B$2604,'Form responses 1'!$I$2:$I$2604,""))</f>
        <v/>
      </c>
      <c r="J2837" s="44" t="str">
        <f t="array" ref="J2837">IF(B2837="","",_xlfn.XLOOKUP(B2837,'Form responses 1'!$B$2:$B$2604,'Form responses 1'!$G$2:$G$2604,""))</f>
        <v/>
      </c>
      <c r="K2837" s="56"/>
      <c r="L2837" s="58" t="str">
        <f t="shared" si="7"/>
        <v/>
      </c>
      <c r="M2837" s="49"/>
      <c r="N2837" s="49"/>
      <c r="O2837" s="49"/>
      <c r="P2837" s="49"/>
      <c r="Q2837" s="49"/>
      <c r="R2837" s="49"/>
      <c r="S2837" s="49"/>
      <c r="T2837" s="49"/>
      <c r="U2837" s="49"/>
      <c r="V2837" s="49"/>
      <c r="W2837" s="56"/>
      <c r="X2837" s="51" t="str">
        <f t="shared" si="5"/>
        <v/>
      </c>
      <c r="Y2837" s="50" t="s">
        <v>482</v>
      </c>
      <c r="Z2837" s="49">
        <f t="shared" si="6"/>
        <v>0</v>
      </c>
    </row>
    <row r="2838" ht="22.5" customHeight="1">
      <c r="B2838" s="57"/>
      <c r="C2838" s="43" t="str">
        <f t="array" ref="C2838">IF(B2838="","",_xlfn.XLOOKUP(B2838,'Form responses 1'!$B$2:$B$2604,'Form responses 1'!$A$2:$A$2604,""))</f>
        <v/>
      </c>
      <c r="D2838" s="44" t="str">
        <f t="shared" si="3"/>
        <v/>
      </c>
      <c r="E2838" s="44" t="str">
        <f t="array" ref="E2838">IF(B2838="","",_xlfn.XLOOKUP(B2838,'Form responses 1'!$B$2:$B$2604,'Form responses 1'!$C$2:$C$2604,""))</f>
        <v/>
      </c>
      <c r="F2838" s="44" t="str">
        <f t="array" ref="F2838">IF(B2838="","",_xlfn.XLOOKUP(B2838,'Form responses 1'!$B$2:$B$2604,'Form responses 1'!$D$2:$D$2604,""))</f>
        <v/>
      </c>
      <c r="G2838" s="44" t="str">
        <f t="array" ref="G2838">IF(B2838="","",_xlfn.XLOOKUP(B2838,'Form responses 1'!$B$2:$B$2604,'Form responses 1'!$E$2:$E$2604,""))</f>
        <v/>
      </c>
      <c r="H2838" s="44" t="str">
        <f t="array" ref="H2838">IF(B2838="","",_xlfn.XLOOKUP(B2838,'Form responses 1'!$B$2:$B$2604,'Form responses 1'!$F$2:$F$2604,""))</f>
        <v/>
      </c>
      <c r="I2838" s="44" t="str">
        <f t="array" ref="I2838">IF(B2838="","",_xlfn.XLOOKUP(B2838,'Form responses 1'!$B$2:$B$2604,'Form responses 1'!$I$2:$I$2604,""))</f>
        <v/>
      </c>
      <c r="J2838" s="44" t="str">
        <f t="array" ref="J2838">IF(B2838="","",_xlfn.XLOOKUP(B2838,'Form responses 1'!$B$2:$B$2604,'Form responses 1'!$G$2:$G$2604,""))</f>
        <v/>
      </c>
      <c r="K2838" s="56"/>
      <c r="L2838" s="58" t="str">
        <f t="shared" si="7"/>
        <v/>
      </c>
      <c r="M2838" s="49"/>
      <c r="N2838" s="49"/>
      <c r="O2838" s="49"/>
      <c r="P2838" s="49"/>
      <c r="Q2838" s="49"/>
      <c r="R2838" s="49"/>
      <c r="S2838" s="49"/>
      <c r="T2838" s="49"/>
      <c r="U2838" s="49"/>
      <c r="V2838" s="49"/>
      <c r="W2838" s="56"/>
      <c r="X2838" s="51" t="str">
        <f t="shared" si="5"/>
        <v/>
      </c>
      <c r="Y2838" s="50" t="s">
        <v>482</v>
      </c>
      <c r="Z2838" s="49">
        <f t="shared" si="6"/>
        <v>0</v>
      </c>
    </row>
    <row r="2839" ht="22.5" customHeight="1">
      <c r="B2839" s="57"/>
      <c r="C2839" s="43" t="str">
        <f t="array" ref="C2839">IF(B2839="","",_xlfn.XLOOKUP(B2839,'Form responses 1'!$B$2:$B$2604,'Form responses 1'!$A$2:$A$2604,""))</f>
        <v/>
      </c>
      <c r="D2839" s="44" t="str">
        <f t="shared" si="3"/>
        <v/>
      </c>
      <c r="E2839" s="44" t="str">
        <f t="array" ref="E2839">IF(B2839="","",_xlfn.XLOOKUP(B2839,'Form responses 1'!$B$2:$B$2604,'Form responses 1'!$C$2:$C$2604,""))</f>
        <v/>
      </c>
      <c r="F2839" s="44" t="str">
        <f t="array" ref="F2839">IF(B2839="","",_xlfn.XLOOKUP(B2839,'Form responses 1'!$B$2:$B$2604,'Form responses 1'!$D$2:$D$2604,""))</f>
        <v/>
      </c>
      <c r="G2839" s="44" t="str">
        <f t="array" ref="G2839">IF(B2839="","",_xlfn.XLOOKUP(B2839,'Form responses 1'!$B$2:$B$2604,'Form responses 1'!$E$2:$E$2604,""))</f>
        <v/>
      </c>
      <c r="H2839" s="44" t="str">
        <f t="array" ref="H2839">IF(B2839="","",_xlfn.XLOOKUP(B2839,'Form responses 1'!$B$2:$B$2604,'Form responses 1'!$F$2:$F$2604,""))</f>
        <v/>
      </c>
      <c r="I2839" s="44" t="str">
        <f t="array" ref="I2839">IF(B2839="","",_xlfn.XLOOKUP(B2839,'Form responses 1'!$B$2:$B$2604,'Form responses 1'!$I$2:$I$2604,""))</f>
        <v/>
      </c>
      <c r="J2839" s="44" t="str">
        <f t="array" ref="J2839">IF(B2839="","",_xlfn.XLOOKUP(B2839,'Form responses 1'!$B$2:$B$2604,'Form responses 1'!$G$2:$G$2604,""))</f>
        <v/>
      </c>
      <c r="K2839" s="56"/>
      <c r="L2839" s="58" t="str">
        <f t="shared" si="7"/>
        <v/>
      </c>
      <c r="M2839" s="49"/>
      <c r="N2839" s="49"/>
      <c r="O2839" s="49"/>
      <c r="P2839" s="49"/>
      <c r="Q2839" s="49"/>
      <c r="R2839" s="49"/>
      <c r="S2839" s="49"/>
      <c r="T2839" s="49"/>
      <c r="U2839" s="49"/>
      <c r="V2839" s="49"/>
      <c r="W2839" s="56"/>
      <c r="X2839" s="51" t="str">
        <f t="shared" si="5"/>
        <v/>
      </c>
      <c r="Y2839" s="50" t="s">
        <v>482</v>
      </c>
      <c r="Z2839" s="49">
        <f t="shared" si="6"/>
        <v>0</v>
      </c>
    </row>
    <row r="2840" ht="22.5" customHeight="1">
      <c r="B2840" s="57"/>
      <c r="C2840" s="43" t="str">
        <f t="array" ref="C2840">IF(B2840="","",_xlfn.XLOOKUP(B2840,'Form responses 1'!$B$2:$B$2604,'Form responses 1'!$A$2:$A$2604,""))</f>
        <v/>
      </c>
      <c r="D2840" s="44" t="str">
        <f t="shared" si="3"/>
        <v/>
      </c>
      <c r="E2840" s="44" t="str">
        <f t="array" ref="E2840">IF(B2840="","",_xlfn.XLOOKUP(B2840,'Form responses 1'!$B$2:$B$2604,'Form responses 1'!$C$2:$C$2604,""))</f>
        <v/>
      </c>
      <c r="F2840" s="44" t="str">
        <f t="array" ref="F2840">IF(B2840="","",_xlfn.XLOOKUP(B2840,'Form responses 1'!$B$2:$B$2604,'Form responses 1'!$D$2:$D$2604,""))</f>
        <v/>
      </c>
      <c r="G2840" s="44" t="str">
        <f t="array" ref="G2840">IF(B2840="","",_xlfn.XLOOKUP(B2840,'Form responses 1'!$B$2:$B$2604,'Form responses 1'!$E$2:$E$2604,""))</f>
        <v/>
      </c>
      <c r="H2840" s="44" t="str">
        <f t="array" ref="H2840">IF(B2840="","",_xlfn.XLOOKUP(B2840,'Form responses 1'!$B$2:$B$2604,'Form responses 1'!$F$2:$F$2604,""))</f>
        <v/>
      </c>
      <c r="I2840" s="44" t="str">
        <f t="array" ref="I2840">IF(B2840="","",_xlfn.XLOOKUP(B2840,'Form responses 1'!$B$2:$B$2604,'Form responses 1'!$I$2:$I$2604,""))</f>
        <v/>
      </c>
      <c r="J2840" s="44" t="str">
        <f t="array" ref="J2840">IF(B2840="","",_xlfn.XLOOKUP(B2840,'Form responses 1'!$B$2:$B$2604,'Form responses 1'!$G$2:$G$2604,""))</f>
        <v/>
      </c>
      <c r="K2840" s="56"/>
      <c r="L2840" s="58" t="str">
        <f t="shared" si="7"/>
        <v/>
      </c>
      <c r="M2840" s="49"/>
      <c r="N2840" s="49"/>
      <c r="O2840" s="49"/>
      <c r="P2840" s="49"/>
      <c r="Q2840" s="49"/>
      <c r="R2840" s="49"/>
      <c r="S2840" s="49"/>
      <c r="T2840" s="49"/>
      <c r="U2840" s="49"/>
      <c r="V2840" s="49"/>
      <c r="W2840" s="56"/>
      <c r="X2840" s="51" t="str">
        <f t="shared" si="5"/>
        <v/>
      </c>
      <c r="Y2840" s="50" t="s">
        <v>482</v>
      </c>
      <c r="Z2840" s="49">
        <f t="shared" si="6"/>
        <v>0</v>
      </c>
    </row>
    <row r="2841" ht="22.5" customHeight="1">
      <c r="B2841" s="57"/>
      <c r="C2841" s="43" t="str">
        <f t="array" ref="C2841">IF(B2841="","",_xlfn.XLOOKUP(B2841,'Form responses 1'!$B$2:$B$2604,'Form responses 1'!$A$2:$A$2604,""))</f>
        <v/>
      </c>
      <c r="D2841" s="44" t="str">
        <f t="shared" si="3"/>
        <v/>
      </c>
      <c r="E2841" s="44" t="str">
        <f t="array" ref="E2841">IF(B2841="","",_xlfn.XLOOKUP(B2841,'Form responses 1'!$B$2:$B$2604,'Form responses 1'!$C$2:$C$2604,""))</f>
        <v/>
      </c>
      <c r="F2841" s="44" t="str">
        <f t="array" ref="F2841">IF(B2841="","",_xlfn.XLOOKUP(B2841,'Form responses 1'!$B$2:$B$2604,'Form responses 1'!$D$2:$D$2604,""))</f>
        <v/>
      </c>
      <c r="G2841" s="44" t="str">
        <f t="array" ref="G2841">IF(B2841="","",_xlfn.XLOOKUP(B2841,'Form responses 1'!$B$2:$B$2604,'Form responses 1'!$E$2:$E$2604,""))</f>
        <v/>
      </c>
      <c r="H2841" s="44" t="str">
        <f t="array" ref="H2841">IF(B2841="","",_xlfn.XLOOKUP(B2841,'Form responses 1'!$B$2:$B$2604,'Form responses 1'!$F$2:$F$2604,""))</f>
        <v/>
      </c>
      <c r="I2841" s="44" t="str">
        <f t="array" ref="I2841">IF(B2841="","",_xlfn.XLOOKUP(B2841,'Form responses 1'!$B$2:$B$2604,'Form responses 1'!$I$2:$I$2604,""))</f>
        <v/>
      </c>
      <c r="J2841" s="44" t="str">
        <f t="array" ref="J2841">IF(B2841="","",_xlfn.XLOOKUP(B2841,'Form responses 1'!$B$2:$B$2604,'Form responses 1'!$G$2:$G$2604,""))</f>
        <v/>
      </c>
      <c r="K2841" s="56"/>
      <c r="L2841" s="58" t="str">
        <f t="shared" si="7"/>
        <v/>
      </c>
      <c r="M2841" s="49"/>
      <c r="N2841" s="49"/>
      <c r="O2841" s="49"/>
      <c r="P2841" s="49"/>
      <c r="Q2841" s="49"/>
      <c r="R2841" s="49"/>
      <c r="S2841" s="49"/>
      <c r="T2841" s="49"/>
      <c r="U2841" s="49"/>
      <c r="V2841" s="49"/>
      <c r="W2841" s="56"/>
      <c r="X2841" s="51" t="str">
        <f t="shared" si="5"/>
        <v/>
      </c>
      <c r="Y2841" s="50" t="s">
        <v>482</v>
      </c>
      <c r="Z2841" s="49">
        <f t="shared" si="6"/>
        <v>0</v>
      </c>
    </row>
    <row r="2842" ht="22.5" customHeight="1">
      <c r="B2842" s="57"/>
      <c r="C2842" s="43" t="str">
        <f t="array" ref="C2842">IF(B2842="","",_xlfn.XLOOKUP(B2842,'Form responses 1'!$B$2:$B$2604,'Form responses 1'!$A$2:$A$2604,""))</f>
        <v/>
      </c>
      <c r="D2842" s="44" t="str">
        <f t="shared" si="3"/>
        <v/>
      </c>
      <c r="E2842" s="44" t="str">
        <f t="array" ref="E2842">IF(B2842="","",_xlfn.XLOOKUP(B2842,'Form responses 1'!$B$2:$B$2604,'Form responses 1'!$C$2:$C$2604,""))</f>
        <v/>
      </c>
      <c r="F2842" s="44" t="str">
        <f t="array" ref="F2842">IF(B2842="","",_xlfn.XLOOKUP(B2842,'Form responses 1'!$B$2:$B$2604,'Form responses 1'!$D$2:$D$2604,""))</f>
        <v/>
      </c>
      <c r="G2842" s="44" t="str">
        <f t="array" ref="G2842">IF(B2842="","",_xlfn.XLOOKUP(B2842,'Form responses 1'!$B$2:$B$2604,'Form responses 1'!$E$2:$E$2604,""))</f>
        <v/>
      </c>
      <c r="H2842" s="44" t="str">
        <f t="array" ref="H2842">IF(B2842="","",_xlfn.XLOOKUP(B2842,'Form responses 1'!$B$2:$B$2604,'Form responses 1'!$F$2:$F$2604,""))</f>
        <v/>
      </c>
      <c r="I2842" s="44" t="str">
        <f t="array" ref="I2842">IF(B2842="","",_xlfn.XLOOKUP(B2842,'Form responses 1'!$B$2:$B$2604,'Form responses 1'!$I$2:$I$2604,""))</f>
        <v/>
      </c>
      <c r="J2842" s="44" t="str">
        <f t="array" ref="J2842">IF(B2842="","",_xlfn.XLOOKUP(B2842,'Form responses 1'!$B$2:$B$2604,'Form responses 1'!$G$2:$G$2604,""))</f>
        <v/>
      </c>
      <c r="K2842" s="56"/>
      <c r="L2842" s="58" t="str">
        <f t="shared" si="7"/>
        <v/>
      </c>
      <c r="M2842" s="49"/>
      <c r="N2842" s="49"/>
      <c r="O2842" s="49"/>
      <c r="P2842" s="49"/>
      <c r="Q2842" s="49"/>
      <c r="R2842" s="49"/>
      <c r="S2842" s="49"/>
      <c r="T2842" s="49"/>
      <c r="U2842" s="49"/>
      <c r="V2842" s="49"/>
      <c r="W2842" s="56"/>
      <c r="X2842" s="51" t="str">
        <f t="shared" si="5"/>
        <v/>
      </c>
      <c r="Y2842" s="50" t="s">
        <v>482</v>
      </c>
      <c r="Z2842" s="49">
        <f t="shared" si="6"/>
        <v>0</v>
      </c>
    </row>
    <row r="2843" ht="22.5" customHeight="1">
      <c r="B2843" s="57"/>
      <c r="C2843" s="43" t="str">
        <f t="array" ref="C2843">IF(B2843="","",_xlfn.XLOOKUP(B2843,'Form responses 1'!$B$2:$B$2604,'Form responses 1'!$A$2:$A$2604,""))</f>
        <v/>
      </c>
      <c r="D2843" s="44" t="str">
        <f t="shared" si="3"/>
        <v/>
      </c>
      <c r="E2843" s="44" t="str">
        <f t="array" ref="E2843">IF(B2843="","",_xlfn.XLOOKUP(B2843,'Form responses 1'!$B$2:$B$2604,'Form responses 1'!$C$2:$C$2604,""))</f>
        <v/>
      </c>
      <c r="F2843" s="44" t="str">
        <f t="array" ref="F2843">IF(B2843="","",_xlfn.XLOOKUP(B2843,'Form responses 1'!$B$2:$B$2604,'Form responses 1'!$D$2:$D$2604,""))</f>
        <v/>
      </c>
      <c r="G2843" s="44" t="str">
        <f t="array" ref="G2843">IF(B2843="","",_xlfn.XLOOKUP(B2843,'Form responses 1'!$B$2:$B$2604,'Form responses 1'!$E$2:$E$2604,""))</f>
        <v/>
      </c>
      <c r="H2843" s="44" t="str">
        <f t="array" ref="H2843">IF(B2843="","",_xlfn.XLOOKUP(B2843,'Form responses 1'!$B$2:$B$2604,'Form responses 1'!$F$2:$F$2604,""))</f>
        <v/>
      </c>
      <c r="I2843" s="44" t="str">
        <f t="array" ref="I2843">IF(B2843="","",_xlfn.XLOOKUP(B2843,'Form responses 1'!$B$2:$B$2604,'Form responses 1'!$I$2:$I$2604,""))</f>
        <v/>
      </c>
      <c r="J2843" s="44" t="str">
        <f t="array" ref="J2843">IF(B2843="","",_xlfn.XLOOKUP(B2843,'Form responses 1'!$B$2:$B$2604,'Form responses 1'!$G$2:$G$2604,""))</f>
        <v/>
      </c>
      <c r="K2843" s="56"/>
      <c r="L2843" s="58" t="str">
        <f t="shared" si="7"/>
        <v/>
      </c>
      <c r="M2843" s="49"/>
      <c r="N2843" s="49"/>
      <c r="O2843" s="49"/>
      <c r="P2843" s="49"/>
      <c r="Q2843" s="49"/>
      <c r="R2843" s="49"/>
      <c r="S2843" s="49"/>
      <c r="T2843" s="49"/>
      <c r="U2843" s="49"/>
      <c r="V2843" s="49"/>
      <c r="W2843" s="56"/>
      <c r="X2843" s="51" t="str">
        <f t="shared" si="5"/>
        <v/>
      </c>
      <c r="Y2843" s="50" t="s">
        <v>482</v>
      </c>
      <c r="Z2843" s="49">
        <f t="shared" si="6"/>
        <v>0</v>
      </c>
    </row>
    <row r="2844" ht="22.5" customHeight="1">
      <c r="B2844" s="57"/>
      <c r="C2844" s="43" t="str">
        <f t="array" ref="C2844">IF(B2844="","",_xlfn.XLOOKUP(B2844,'Form responses 1'!$B$2:$B$2604,'Form responses 1'!$A$2:$A$2604,""))</f>
        <v/>
      </c>
      <c r="D2844" s="44" t="str">
        <f t="shared" si="3"/>
        <v/>
      </c>
      <c r="E2844" s="44" t="str">
        <f t="array" ref="E2844">IF(B2844="","",_xlfn.XLOOKUP(B2844,'Form responses 1'!$B$2:$B$2604,'Form responses 1'!$C$2:$C$2604,""))</f>
        <v/>
      </c>
      <c r="F2844" s="44" t="str">
        <f t="array" ref="F2844">IF(B2844="","",_xlfn.XLOOKUP(B2844,'Form responses 1'!$B$2:$B$2604,'Form responses 1'!$D$2:$D$2604,""))</f>
        <v/>
      </c>
      <c r="G2844" s="44" t="str">
        <f t="array" ref="G2844">IF(B2844="","",_xlfn.XLOOKUP(B2844,'Form responses 1'!$B$2:$B$2604,'Form responses 1'!$E$2:$E$2604,""))</f>
        <v/>
      </c>
      <c r="H2844" s="44" t="str">
        <f t="array" ref="H2844">IF(B2844="","",_xlfn.XLOOKUP(B2844,'Form responses 1'!$B$2:$B$2604,'Form responses 1'!$F$2:$F$2604,""))</f>
        <v/>
      </c>
      <c r="I2844" s="44" t="str">
        <f t="array" ref="I2844">IF(B2844="","",_xlfn.XLOOKUP(B2844,'Form responses 1'!$B$2:$B$2604,'Form responses 1'!$I$2:$I$2604,""))</f>
        <v/>
      </c>
      <c r="J2844" s="44" t="str">
        <f t="array" ref="J2844">IF(B2844="","",_xlfn.XLOOKUP(B2844,'Form responses 1'!$B$2:$B$2604,'Form responses 1'!$G$2:$G$2604,""))</f>
        <v/>
      </c>
      <c r="K2844" s="56"/>
      <c r="L2844" s="58" t="str">
        <f t="shared" si="7"/>
        <v/>
      </c>
      <c r="M2844" s="49"/>
      <c r="N2844" s="49"/>
      <c r="O2844" s="49"/>
      <c r="P2844" s="49"/>
      <c r="Q2844" s="49"/>
      <c r="R2844" s="49"/>
      <c r="S2844" s="49"/>
      <c r="T2844" s="49"/>
      <c r="U2844" s="49"/>
      <c r="V2844" s="49"/>
      <c r="W2844" s="56"/>
      <c r="X2844" s="51" t="str">
        <f t="shared" si="5"/>
        <v/>
      </c>
      <c r="Y2844" s="50" t="s">
        <v>482</v>
      </c>
      <c r="Z2844" s="49">
        <f t="shared" si="6"/>
        <v>0</v>
      </c>
    </row>
    <row r="2845" ht="22.5" customHeight="1">
      <c r="B2845" s="57"/>
      <c r="C2845" s="43" t="str">
        <f t="array" ref="C2845">IF(B2845="","",_xlfn.XLOOKUP(B2845,'Form responses 1'!$B$2:$B$2604,'Form responses 1'!$A$2:$A$2604,""))</f>
        <v/>
      </c>
      <c r="D2845" s="44" t="str">
        <f t="shared" si="3"/>
        <v/>
      </c>
      <c r="E2845" s="44" t="str">
        <f t="array" ref="E2845">IF(B2845="","",_xlfn.XLOOKUP(B2845,'Form responses 1'!$B$2:$B$2604,'Form responses 1'!$C$2:$C$2604,""))</f>
        <v/>
      </c>
      <c r="F2845" s="44" t="str">
        <f t="array" ref="F2845">IF(B2845="","",_xlfn.XLOOKUP(B2845,'Form responses 1'!$B$2:$B$2604,'Form responses 1'!$D$2:$D$2604,""))</f>
        <v/>
      </c>
      <c r="G2845" s="44" t="str">
        <f t="array" ref="G2845">IF(B2845="","",_xlfn.XLOOKUP(B2845,'Form responses 1'!$B$2:$B$2604,'Form responses 1'!$E$2:$E$2604,""))</f>
        <v/>
      </c>
      <c r="H2845" s="44" t="str">
        <f t="array" ref="H2845">IF(B2845="","",_xlfn.XLOOKUP(B2845,'Form responses 1'!$B$2:$B$2604,'Form responses 1'!$F$2:$F$2604,""))</f>
        <v/>
      </c>
      <c r="I2845" s="44" t="str">
        <f t="array" ref="I2845">IF(B2845="","",_xlfn.XLOOKUP(B2845,'Form responses 1'!$B$2:$B$2604,'Form responses 1'!$I$2:$I$2604,""))</f>
        <v/>
      </c>
      <c r="J2845" s="44" t="str">
        <f t="array" ref="J2845">IF(B2845="","",_xlfn.XLOOKUP(B2845,'Form responses 1'!$B$2:$B$2604,'Form responses 1'!$G$2:$G$2604,""))</f>
        <v/>
      </c>
      <c r="K2845" s="56"/>
      <c r="L2845" s="58" t="str">
        <f t="shared" si="7"/>
        <v/>
      </c>
      <c r="M2845" s="49"/>
      <c r="N2845" s="49"/>
      <c r="O2845" s="49"/>
      <c r="P2845" s="49"/>
      <c r="Q2845" s="49"/>
      <c r="R2845" s="49"/>
      <c r="S2845" s="49"/>
      <c r="T2845" s="49"/>
      <c r="U2845" s="49"/>
      <c r="V2845" s="49"/>
      <c r="W2845" s="56"/>
      <c r="X2845" s="51" t="str">
        <f t="shared" si="5"/>
        <v/>
      </c>
      <c r="Y2845" s="50" t="s">
        <v>482</v>
      </c>
      <c r="Z2845" s="49">
        <f t="shared" si="6"/>
        <v>0</v>
      </c>
    </row>
    <row r="2846" ht="22.5" customHeight="1">
      <c r="B2846" s="57"/>
      <c r="C2846" s="43" t="str">
        <f t="array" ref="C2846">IF(B2846="","",_xlfn.XLOOKUP(B2846,'Form responses 1'!$B$2:$B$2604,'Form responses 1'!$A$2:$A$2604,""))</f>
        <v/>
      </c>
      <c r="D2846" s="44" t="str">
        <f t="shared" si="3"/>
        <v/>
      </c>
      <c r="E2846" s="44" t="str">
        <f t="array" ref="E2846">IF(B2846="","",_xlfn.XLOOKUP(B2846,'Form responses 1'!$B$2:$B$2604,'Form responses 1'!$C$2:$C$2604,""))</f>
        <v/>
      </c>
      <c r="F2846" s="44" t="str">
        <f t="array" ref="F2846">IF(B2846="","",_xlfn.XLOOKUP(B2846,'Form responses 1'!$B$2:$B$2604,'Form responses 1'!$D$2:$D$2604,""))</f>
        <v/>
      </c>
      <c r="G2846" s="44" t="str">
        <f t="array" ref="G2846">IF(B2846="","",_xlfn.XLOOKUP(B2846,'Form responses 1'!$B$2:$B$2604,'Form responses 1'!$E$2:$E$2604,""))</f>
        <v/>
      </c>
      <c r="H2846" s="44" t="str">
        <f t="array" ref="H2846">IF(B2846="","",_xlfn.XLOOKUP(B2846,'Form responses 1'!$B$2:$B$2604,'Form responses 1'!$F$2:$F$2604,""))</f>
        <v/>
      </c>
      <c r="I2846" s="44" t="str">
        <f t="array" ref="I2846">IF(B2846="","",_xlfn.XLOOKUP(B2846,'Form responses 1'!$B$2:$B$2604,'Form responses 1'!$I$2:$I$2604,""))</f>
        <v/>
      </c>
      <c r="J2846" s="44" t="str">
        <f t="array" ref="J2846">IF(B2846="","",_xlfn.XLOOKUP(B2846,'Form responses 1'!$B$2:$B$2604,'Form responses 1'!$G$2:$G$2604,""))</f>
        <v/>
      </c>
      <c r="K2846" s="56"/>
      <c r="L2846" s="58" t="str">
        <f t="shared" si="7"/>
        <v/>
      </c>
      <c r="M2846" s="49"/>
      <c r="N2846" s="49"/>
      <c r="O2846" s="49"/>
      <c r="P2846" s="49"/>
      <c r="Q2846" s="49"/>
      <c r="R2846" s="49"/>
      <c r="S2846" s="49"/>
      <c r="T2846" s="49"/>
      <c r="U2846" s="49"/>
      <c r="V2846" s="49"/>
      <c r="W2846" s="56"/>
      <c r="X2846" s="51" t="str">
        <f t="shared" si="5"/>
        <v/>
      </c>
      <c r="Y2846" s="50" t="s">
        <v>482</v>
      </c>
      <c r="Z2846" s="49">
        <f t="shared" si="6"/>
        <v>0</v>
      </c>
    </row>
    <row r="2847" ht="22.5" customHeight="1">
      <c r="B2847" s="57"/>
      <c r="C2847" s="43" t="str">
        <f t="array" ref="C2847">IF(B2847="","",_xlfn.XLOOKUP(B2847,'Form responses 1'!$B$2:$B$2604,'Form responses 1'!$A$2:$A$2604,""))</f>
        <v/>
      </c>
      <c r="D2847" s="44" t="str">
        <f t="shared" si="3"/>
        <v/>
      </c>
      <c r="E2847" s="44" t="str">
        <f t="array" ref="E2847">IF(B2847="","",_xlfn.XLOOKUP(B2847,'Form responses 1'!$B$2:$B$2604,'Form responses 1'!$C$2:$C$2604,""))</f>
        <v/>
      </c>
      <c r="F2847" s="44" t="str">
        <f t="array" ref="F2847">IF(B2847="","",_xlfn.XLOOKUP(B2847,'Form responses 1'!$B$2:$B$2604,'Form responses 1'!$D$2:$D$2604,""))</f>
        <v/>
      </c>
      <c r="G2847" s="44" t="str">
        <f t="array" ref="G2847">IF(B2847="","",_xlfn.XLOOKUP(B2847,'Form responses 1'!$B$2:$B$2604,'Form responses 1'!$E$2:$E$2604,""))</f>
        <v/>
      </c>
      <c r="H2847" s="44" t="str">
        <f t="array" ref="H2847">IF(B2847="","",_xlfn.XLOOKUP(B2847,'Form responses 1'!$B$2:$B$2604,'Form responses 1'!$F$2:$F$2604,""))</f>
        <v/>
      </c>
      <c r="I2847" s="44" t="str">
        <f t="array" ref="I2847">IF(B2847="","",_xlfn.XLOOKUP(B2847,'Form responses 1'!$B$2:$B$2604,'Form responses 1'!$I$2:$I$2604,""))</f>
        <v/>
      </c>
      <c r="J2847" s="44" t="str">
        <f t="array" ref="J2847">IF(B2847="","",_xlfn.XLOOKUP(B2847,'Form responses 1'!$B$2:$B$2604,'Form responses 1'!$G$2:$G$2604,""))</f>
        <v/>
      </c>
      <c r="K2847" s="56"/>
      <c r="L2847" s="58" t="str">
        <f t="shared" si="7"/>
        <v/>
      </c>
      <c r="M2847" s="49"/>
      <c r="N2847" s="49"/>
      <c r="O2847" s="49"/>
      <c r="P2847" s="49"/>
      <c r="Q2847" s="49"/>
      <c r="R2847" s="49"/>
      <c r="S2847" s="49"/>
      <c r="T2847" s="49"/>
      <c r="U2847" s="49"/>
      <c r="V2847" s="49"/>
      <c r="W2847" s="56"/>
      <c r="X2847" s="51" t="str">
        <f t="shared" si="5"/>
        <v/>
      </c>
      <c r="Y2847" s="50" t="s">
        <v>482</v>
      </c>
      <c r="Z2847" s="49">
        <f t="shared" si="6"/>
        <v>0</v>
      </c>
    </row>
    <row r="2848" ht="22.5" customHeight="1">
      <c r="B2848" s="57"/>
      <c r="C2848" s="43" t="str">
        <f t="array" ref="C2848">IF(B2848="","",_xlfn.XLOOKUP(B2848,'Form responses 1'!$B$2:$B$2604,'Form responses 1'!$A$2:$A$2604,""))</f>
        <v/>
      </c>
      <c r="D2848" s="44" t="str">
        <f t="shared" si="3"/>
        <v/>
      </c>
      <c r="E2848" s="44" t="str">
        <f t="array" ref="E2848">IF(B2848="","",_xlfn.XLOOKUP(B2848,'Form responses 1'!$B$2:$B$2604,'Form responses 1'!$C$2:$C$2604,""))</f>
        <v/>
      </c>
      <c r="F2848" s="44" t="str">
        <f t="array" ref="F2848">IF(B2848="","",_xlfn.XLOOKUP(B2848,'Form responses 1'!$B$2:$B$2604,'Form responses 1'!$D$2:$D$2604,""))</f>
        <v/>
      </c>
      <c r="G2848" s="44" t="str">
        <f t="array" ref="G2848">IF(B2848="","",_xlfn.XLOOKUP(B2848,'Form responses 1'!$B$2:$B$2604,'Form responses 1'!$E$2:$E$2604,""))</f>
        <v/>
      </c>
      <c r="H2848" s="44" t="str">
        <f t="array" ref="H2848">IF(B2848="","",_xlfn.XLOOKUP(B2848,'Form responses 1'!$B$2:$B$2604,'Form responses 1'!$F$2:$F$2604,""))</f>
        <v/>
      </c>
      <c r="I2848" s="44" t="str">
        <f t="array" ref="I2848">IF(B2848="","",_xlfn.XLOOKUP(B2848,'Form responses 1'!$B$2:$B$2604,'Form responses 1'!$I$2:$I$2604,""))</f>
        <v/>
      </c>
      <c r="J2848" s="44" t="str">
        <f t="array" ref="J2848">IF(B2848="","",_xlfn.XLOOKUP(B2848,'Form responses 1'!$B$2:$B$2604,'Form responses 1'!$G$2:$G$2604,""))</f>
        <v/>
      </c>
      <c r="K2848" s="56"/>
      <c r="L2848" s="58" t="str">
        <f t="shared" si="7"/>
        <v/>
      </c>
      <c r="M2848" s="49"/>
      <c r="N2848" s="49"/>
      <c r="O2848" s="49"/>
      <c r="P2848" s="49"/>
      <c r="Q2848" s="49"/>
      <c r="R2848" s="49"/>
      <c r="S2848" s="49"/>
      <c r="T2848" s="49"/>
      <c r="U2848" s="49"/>
      <c r="V2848" s="49"/>
      <c r="W2848" s="56"/>
      <c r="X2848" s="51" t="str">
        <f t="shared" si="5"/>
        <v/>
      </c>
      <c r="Y2848" s="50" t="s">
        <v>482</v>
      </c>
      <c r="Z2848" s="49">
        <f t="shared" si="6"/>
        <v>0</v>
      </c>
    </row>
    <row r="2849" ht="22.5" customHeight="1">
      <c r="B2849" s="57"/>
      <c r="C2849" s="43" t="str">
        <f t="array" ref="C2849">IF(B2849="","",_xlfn.XLOOKUP(B2849,'Form responses 1'!$B$2:$B$2604,'Form responses 1'!$A$2:$A$2604,""))</f>
        <v/>
      </c>
      <c r="D2849" s="44" t="str">
        <f t="shared" si="3"/>
        <v/>
      </c>
      <c r="E2849" s="44" t="str">
        <f t="array" ref="E2849">IF(B2849="","",_xlfn.XLOOKUP(B2849,'Form responses 1'!$B$2:$B$2604,'Form responses 1'!$C$2:$C$2604,""))</f>
        <v/>
      </c>
      <c r="F2849" s="44" t="str">
        <f t="array" ref="F2849">IF(B2849="","",_xlfn.XLOOKUP(B2849,'Form responses 1'!$B$2:$B$2604,'Form responses 1'!$D$2:$D$2604,""))</f>
        <v/>
      </c>
      <c r="G2849" s="44" t="str">
        <f t="array" ref="G2849">IF(B2849="","",_xlfn.XLOOKUP(B2849,'Form responses 1'!$B$2:$B$2604,'Form responses 1'!$E$2:$E$2604,""))</f>
        <v/>
      </c>
      <c r="H2849" s="44" t="str">
        <f t="array" ref="H2849">IF(B2849="","",_xlfn.XLOOKUP(B2849,'Form responses 1'!$B$2:$B$2604,'Form responses 1'!$F$2:$F$2604,""))</f>
        <v/>
      </c>
      <c r="I2849" s="44" t="str">
        <f t="array" ref="I2849">IF(B2849="","",_xlfn.XLOOKUP(B2849,'Form responses 1'!$B$2:$B$2604,'Form responses 1'!$I$2:$I$2604,""))</f>
        <v/>
      </c>
      <c r="J2849" s="44" t="str">
        <f t="array" ref="J2849">IF(B2849="","",_xlfn.XLOOKUP(B2849,'Form responses 1'!$B$2:$B$2604,'Form responses 1'!$G$2:$G$2604,""))</f>
        <v/>
      </c>
      <c r="K2849" s="56"/>
      <c r="L2849" s="58" t="str">
        <f t="shared" si="7"/>
        <v/>
      </c>
      <c r="M2849" s="49"/>
      <c r="N2849" s="49"/>
      <c r="O2849" s="49"/>
      <c r="P2849" s="49"/>
      <c r="Q2849" s="49"/>
      <c r="R2849" s="49"/>
      <c r="S2849" s="49"/>
      <c r="T2849" s="49"/>
      <c r="U2849" s="49"/>
      <c r="V2849" s="49"/>
      <c r="W2849" s="56"/>
      <c r="X2849" s="51" t="str">
        <f t="shared" si="5"/>
        <v/>
      </c>
      <c r="Y2849" s="50" t="s">
        <v>482</v>
      </c>
      <c r="Z2849" s="49">
        <f t="shared" si="6"/>
        <v>0</v>
      </c>
    </row>
    <row r="2850" ht="22.5" customHeight="1">
      <c r="B2850" s="57"/>
      <c r="C2850" s="43" t="str">
        <f t="array" ref="C2850">IF(B2850="","",_xlfn.XLOOKUP(B2850,'Form responses 1'!$B$2:$B$2604,'Form responses 1'!$A$2:$A$2604,""))</f>
        <v/>
      </c>
      <c r="D2850" s="44" t="str">
        <f t="shared" si="3"/>
        <v/>
      </c>
      <c r="E2850" s="44" t="str">
        <f t="array" ref="E2850">IF(B2850="","",_xlfn.XLOOKUP(B2850,'Form responses 1'!$B$2:$B$2604,'Form responses 1'!$C$2:$C$2604,""))</f>
        <v/>
      </c>
      <c r="F2850" s="44" t="str">
        <f t="array" ref="F2850">IF(B2850="","",_xlfn.XLOOKUP(B2850,'Form responses 1'!$B$2:$B$2604,'Form responses 1'!$D$2:$D$2604,""))</f>
        <v/>
      </c>
      <c r="G2850" s="44" t="str">
        <f t="array" ref="G2850">IF(B2850="","",_xlfn.XLOOKUP(B2850,'Form responses 1'!$B$2:$B$2604,'Form responses 1'!$E$2:$E$2604,""))</f>
        <v/>
      </c>
      <c r="H2850" s="44" t="str">
        <f t="array" ref="H2850">IF(B2850="","",_xlfn.XLOOKUP(B2850,'Form responses 1'!$B$2:$B$2604,'Form responses 1'!$F$2:$F$2604,""))</f>
        <v/>
      </c>
      <c r="I2850" s="44" t="str">
        <f t="array" ref="I2850">IF(B2850="","",_xlfn.XLOOKUP(B2850,'Form responses 1'!$B$2:$B$2604,'Form responses 1'!$I$2:$I$2604,""))</f>
        <v/>
      </c>
      <c r="J2850" s="44" t="str">
        <f t="array" ref="J2850">IF(B2850="","",_xlfn.XLOOKUP(B2850,'Form responses 1'!$B$2:$B$2604,'Form responses 1'!$G$2:$G$2604,""))</f>
        <v/>
      </c>
      <c r="K2850" s="56"/>
      <c r="L2850" s="58" t="str">
        <f t="shared" si="7"/>
        <v/>
      </c>
      <c r="M2850" s="49"/>
      <c r="N2850" s="49"/>
      <c r="O2850" s="49"/>
      <c r="P2850" s="49"/>
      <c r="Q2850" s="49"/>
      <c r="R2850" s="49"/>
      <c r="S2850" s="49"/>
      <c r="T2850" s="49"/>
      <c r="U2850" s="49"/>
      <c r="V2850" s="49"/>
      <c r="W2850" s="56"/>
      <c r="X2850" s="51" t="str">
        <f t="shared" si="5"/>
        <v/>
      </c>
      <c r="Y2850" s="50" t="s">
        <v>482</v>
      </c>
      <c r="Z2850" s="49">
        <f t="shared" si="6"/>
        <v>0</v>
      </c>
    </row>
    <row r="2851" ht="22.5" customHeight="1">
      <c r="B2851" s="57"/>
      <c r="C2851" s="43" t="str">
        <f t="array" ref="C2851">IF(B2851="","",_xlfn.XLOOKUP(B2851,'Form responses 1'!$B$2:$B$2604,'Form responses 1'!$A$2:$A$2604,""))</f>
        <v/>
      </c>
      <c r="D2851" s="44" t="str">
        <f t="shared" si="3"/>
        <v/>
      </c>
      <c r="E2851" s="44" t="str">
        <f t="array" ref="E2851">IF(B2851="","",_xlfn.XLOOKUP(B2851,'Form responses 1'!$B$2:$B$2604,'Form responses 1'!$C$2:$C$2604,""))</f>
        <v/>
      </c>
      <c r="F2851" s="44" t="str">
        <f t="array" ref="F2851">IF(B2851="","",_xlfn.XLOOKUP(B2851,'Form responses 1'!$B$2:$B$2604,'Form responses 1'!$D$2:$D$2604,""))</f>
        <v/>
      </c>
      <c r="G2851" s="44" t="str">
        <f t="array" ref="G2851">IF(B2851="","",_xlfn.XLOOKUP(B2851,'Form responses 1'!$B$2:$B$2604,'Form responses 1'!$E$2:$E$2604,""))</f>
        <v/>
      </c>
      <c r="H2851" s="44" t="str">
        <f t="array" ref="H2851">IF(B2851="","",_xlfn.XLOOKUP(B2851,'Form responses 1'!$B$2:$B$2604,'Form responses 1'!$F$2:$F$2604,""))</f>
        <v/>
      </c>
      <c r="I2851" s="44" t="str">
        <f t="array" ref="I2851">IF(B2851="","",_xlfn.XLOOKUP(B2851,'Form responses 1'!$B$2:$B$2604,'Form responses 1'!$I$2:$I$2604,""))</f>
        <v/>
      </c>
      <c r="J2851" s="44" t="str">
        <f t="array" ref="J2851">IF(B2851="","",_xlfn.XLOOKUP(B2851,'Form responses 1'!$B$2:$B$2604,'Form responses 1'!$G$2:$G$2604,""))</f>
        <v/>
      </c>
      <c r="K2851" s="56"/>
      <c r="L2851" s="58" t="str">
        <f t="shared" si="7"/>
        <v/>
      </c>
      <c r="M2851" s="49"/>
      <c r="N2851" s="49"/>
      <c r="O2851" s="49"/>
      <c r="P2851" s="49"/>
      <c r="Q2851" s="49"/>
      <c r="R2851" s="49"/>
      <c r="S2851" s="49"/>
      <c r="T2851" s="49"/>
      <c r="U2851" s="49"/>
      <c r="V2851" s="49"/>
      <c r="W2851" s="56"/>
      <c r="X2851" s="51" t="str">
        <f t="shared" si="5"/>
        <v/>
      </c>
      <c r="Y2851" s="50" t="s">
        <v>482</v>
      </c>
      <c r="Z2851" s="49">
        <f t="shared" si="6"/>
        <v>0</v>
      </c>
    </row>
    <row r="2852" ht="22.5" customHeight="1">
      <c r="B2852" s="57"/>
      <c r="C2852" s="43" t="str">
        <f t="array" ref="C2852">IF(B2852="","",_xlfn.XLOOKUP(B2852,'Form responses 1'!$B$2:$B$2604,'Form responses 1'!$A$2:$A$2604,""))</f>
        <v/>
      </c>
      <c r="D2852" s="44" t="str">
        <f t="shared" si="3"/>
        <v/>
      </c>
      <c r="E2852" s="44" t="str">
        <f t="array" ref="E2852">IF(B2852="","",_xlfn.XLOOKUP(B2852,'Form responses 1'!$B$2:$B$2604,'Form responses 1'!$C$2:$C$2604,""))</f>
        <v/>
      </c>
      <c r="F2852" s="44" t="str">
        <f t="array" ref="F2852">IF(B2852="","",_xlfn.XLOOKUP(B2852,'Form responses 1'!$B$2:$B$2604,'Form responses 1'!$D$2:$D$2604,""))</f>
        <v/>
      </c>
      <c r="G2852" s="44" t="str">
        <f t="array" ref="G2852">IF(B2852="","",_xlfn.XLOOKUP(B2852,'Form responses 1'!$B$2:$B$2604,'Form responses 1'!$E$2:$E$2604,""))</f>
        <v/>
      </c>
      <c r="H2852" s="44" t="str">
        <f t="array" ref="H2852">IF(B2852="","",_xlfn.XLOOKUP(B2852,'Form responses 1'!$B$2:$B$2604,'Form responses 1'!$F$2:$F$2604,""))</f>
        <v/>
      </c>
      <c r="I2852" s="44" t="str">
        <f t="array" ref="I2852">IF(B2852="","",_xlfn.XLOOKUP(B2852,'Form responses 1'!$B$2:$B$2604,'Form responses 1'!$I$2:$I$2604,""))</f>
        <v/>
      </c>
      <c r="J2852" s="44" t="str">
        <f t="array" ref="J2852">IF(B2852="","",_xlfn.XLOOKUP(B2852,'Form responses 1'!$B$2:$B$2604,'Form responses 1'!$G$2:$G$2604,""))</f>
        <v/>
      </c>
      <c r="K2852" s="56"/>
      <c r="L2852" s="58" t="str">
        <f t="shared" si="7"/>
        <v/>
      </c>
      <c r="M2852" s="49"/>
      <c r="N2852" s="49"/>
      <c r="O2852" s="49"/>
      <c r="P2852" s="49"/>
      <c r="Q2852" s="49"/>
      <c r="R2852" s="49"/>
      <c r="S2852" s="49"/>
      <c r="T2852" s="49"/>
      <c r="U2852" s="49"/>
      <c r="V2852" s="49"/>
      <c r="W2852" s="56"/>
      <c r="X2852" s="51" t="str">
        <f t="shared" si="5"/>
        <v/>
      </c>
      <c r="Y2852" s="50" t="s">
        <v>482</v>
      </c>
      <c r="Z2852" s="49">
        <f t="shared" si="6"/>
        <v>0</v>
      </c>
    </row>
    <row r="2853" ht="22.5" customHeight="1">
      <c r="B2853" s="57"/>
      <c r="C2853" s="43" t="str">
        <f t="array" ref="C2853">IF(B2853="","",_xlfn.XLOOKUP(B2853,'Form responses 1'!$B$2:$B$2604,'Form responses 1'!$A$2:$A$2604,""))</f>
        <v/>
      </c>
      <c r="D2853" s="44" t="str">
        <f t="shared" si="3"/>
        <v/>
      </c>
      <c r="E2853" s="44" t="str">
        <f t="array" ref="E2853">IF(B2853="","",_xlfn.XLOOKUP(B2853,'Form responses 1'!$B$2:$B$2604,'Form responses 1'!$C$2:$C$2604,""))</f>
        <v/>
      </c>
      <c r="F2853" s="44" t="str">
        <f t="array" ref="F2853">IF(B2853="","",_xlfn.XLOOKUP(B2853,'Form responses 1'!$B$2:$B$2604,'Form responses 1'!$D$2:$D$2604,""))</f>
        <v/>
      </c>
      <c r="G2853" s="44" t="str">
        <f t="array" ref="G2853">IF(B2853="","",_xlfn.XLOOKUP(B2853,'Form responses 1'!$B$2:$B$2604,'Form responses 1'!$E$2:$E$2604,""))</f>
        <v/>
      </c>
      <c r="H2853" s="44" t="str">
        <f t="array" ref="H2853">IF(B2853="","",_xlfn.XLOOKUP(B2853,'Form responses 1'!$B$2:$B$2604,'Form responses 1'!$F$2:$F$2604,""))</f>
        <v/>
      </c>
      <c r="I2853" s="44" t="str">
        <f t="array" ref="I2853">IF(B2853="","",_xlfn.XLOOKUP(B2853,'Form responses 1'!$B$2:$B$2604,'Form responses 1'!$I$2:$I$2604,""))</f>
        <v/>
      </c>
      <c r="J2853" s="44" t="str">
        <f t="array" ref="J2853">IF(B2853="","",_xlfn.XLOOKUP(B2853,'Form responses 1'!$B$2:$B$2604,'Form responses 1'!$G$2:$G$2604,""))</f>
        <v/>
      </c>
      <c r="K2853" s="56"/>
      <c r="L2853" s="58" t="str">
        <f t="shared" si="7"/>
        <v/>
      </c>
      <c r="M2853" s="49"/>
      <c r="N2853" s="49"/>
      <c r="O2853" s="49"/>
      <c r="P2853" s="49"/>
      <c r="Q2853" s="49"/>
      <c r="R2853" s="49"/>
      <c r="S2853" s="49"/>
      <c r="T2853" s="49"/>
      <c r="U2853" s="49"/>
      <c r="V2853" s="49"/>
      <c r="W2853" s="56"/>
      <c r="X2853" s="51" t="str">
        <f t="shared" si="5"/>
        <v/>
      </c>
      <c r="Y2853" s="50" t="s">
        <v>482</v>
      </c>
      <c r="Z2853" s="49">
        <f t="shared" si="6"/>
        <v>0</v>
      </c>
    </row>
    <row r="2854" ht="22.5" customHeight="1">
      <c r="B2854" s="57"/>
      <c r="C2854" s="43" t="str">
        <f t="array" ref="C2854">IF(B2854="","",_xlfn.XLOOKUP(B2854,'Form responses 1'!$B$2:$B$2604,'Form responses 1'!$A$2:$A$2604,""))</f>
        <v/>
      </c>
      <c r="D2854" s="44" t="str">
        <f t="shared" si="3"/>
        <v/>
      </c>
      <c r="E2854" s="44" t="str">
        <f t="array" ref="E2854">IF(B2854="","",_xlfn.XLOOKUP(B2854,'Form responses 1'!$B$2:$B$2604,'Form responses 1'!$C$2:$C$2604,""))</f>
        <v/>
      </c>
      <c r="F2854" s="44" t="str">
        <f t="array" ref="F2854">IF(B2854="","",_xlfn.XLOOKUP(B2854,'Form responses 1'!$B$2:$B$2604,'Form responses 1'!$D$2:$D$2604,""))</f>
        <v/>
      </c>
      <c r="G2854" s="44" t="str">
        <f t="array" ref="G2854">IF(B2854="","",_xlfn.XLOOKUP(B2854,'Form responses 1'!$B$2:$B$2604,'Form responses 1'!$E$2:$E$2604,""))</f>
        <v/>
      </c>
      <c r="H2854" s="44" t="str">
        <f t="array" ref="H2854">IF(B2854="","",_xlfn.XLOOKUP(B2854,'Form responses 1'!$B$2:$B$2604,'Form responses 1'!$F$2:$F$2604,""))</f>
        <v/>
      </c>
      <c r="I2854" s="44" t="str">
        <f t="array" ref="I2854">IF(B2854="","",_xlfn.XLOOKUP(B2854,'Form responses 1'!$B$2:$B$2604,'Form responses 1'!$I$2:$I$2604,""))</f>
        <v/>
      </c>
      <c r="J2854" s="44" t="str">
        <f t="array" ref="J2854">IF(B2854="","",_xlfn.XLOOKUP(B2854,'Form responses 1'!$B$2:$B$2604,'Form responses 1'!$G$2:$G$2604,""))</f>
        <v/>
      </c>
      <c r="K2854" s="56"/>
      <c r="L2854" s="58" t="str">
        <f t="shared" si="7"/>
        <v/>
      </c>
      <c r="M2854" s="49"/>
      <c r="N2854" s="49"/>
      <c r="O2854" s="49"/>
      <c r="P2854" s="49"/>
      <c r="Q2854" s="49"/>
      <c r="R2854" s="49"/>
      <c r="S2854" s="49"/>
      <c r="T2854" s="49"/>
      <c r="U2854" s="49"/>
      <c r="V2854" s="49"/>
      <c r="W2854" s="56"/>
      <c r="X2854" s="51" t="str">
        <f t="shared" si="5"/>
        <v/>
      </c>
      <c r="Y2854" s="50" t="s">
        <v>482</v>
      </c>
      <c r="Z2854" s="49">
        <f t="shared" si="6"/>
        <v>0</v>
      </c>
    </row>
    <row r="2855" ht="22.5" customHeight="1">
      <c r="B2855" s="57"/>
      <c r="C2855" s="43" t="str">
        <f t="array" ref="C2855">IF(B2855="","",_xlfn.XLOOKUP(B2855,'Form responses 1'!$B$2:$B$2604,'Form responses 1'!$A$2:$A$2604,""))</f>
        <v/>
      </c>
      <c r="D2855" s="44" t="str">
        <f t="shared" si="3"/>
        <v/>
      </c>
      <c r="E2855" s="44" t="str">
        <f t="array" ref="E2855">IF(B2855="","",_xlfn.XLOOKUP(B2855,'Form responses 1'!$B$2:$B$2604,'Form responses 1'!$C$2:$C$2604,""))</f>
        <v/>
      </c>
      <c r="F2855" s="44" t="str">
        <f t="array" ref="F2855">IF(B2855="","",_xlfn.XLOOKUP(B2855,'Form responses 1'!$B$2:$B$2604,'Form responses 1'!$D$2:$D$2604,""))</f>
        <v/>
      </c>
      <c r="G2855" s="44" t="str">
        <f t="array" ref="G2855">IF(B2855="","",_xlfn.XLOOKUP(B2855,'Form responses 1'!$B$2:$B$2604,'Form responses 1'!$E$2:$E$2604,""))</f>
        <v/>
      </c>
      <c r="H2855" s="44" t="str">
        <f t="array" ref="H2855">IF(B2855="","",_xlfn.XLOOKUP(B2855,'Form responses 1'!$B$2:$B$2604,'Form responses 1'!$F$2:$F$2604,""))</f>
        <v/>
      </c>
      <c r="I2855" s="44" t="str">
        <f t="array" ref="I2855">IF(B2855="","",_xlfn.XLOOKUP(B2855,'Form responses 1'!$B$2:$B$2604,'Form responses 1'!$I$2:$I$2604,""))</f>
        <v/>
      </c>
      <c r="J2855" s="44" t="str">
        <f t="array" ref="J2855">IF(B2855="","",_xlfn.XLOOKUP(B2855,'Form responses 1'!$B$2:$B$2604,'Form responses 1'!$G$2:$G$2604,""))</f>
        <v/>
      </c>
      <c r="K2855" s="56"/>
      <c r="L2855" s="58" t="str">
        <f t="shared" si="7"/>
        <v/>
      </c>
      <c r="M2855" s="49"/>
      <c r="N2855" s="49"/>
      <c r="O2855" s="49"/>
      <c r="P2855" s="49"/>
      <c r="Q2855" s="49"/>
      <c r="R2855" s="49"/>
      <c r="S2855" s="49"/>
      <c r="T2855" s="49"/>
      <c r="U2855" s="49"/>
      <c r="V2855" s="49"/>
      <c r="W2855" s="56"/>
      <c r="X2855" s="51" t="str">
        <f t="shared" si="5"/>
        <v/>
      </c>
      <c r="Y2855" s="50" t="s">
        <v>482</v>
      </c>
      <c r="Z2855" s="49">
        <f t="shared" si="6"/>
        <v>0</v>
      </c>
    </row>
    <row r="2856" ht="22.5" customHeight="1">
      <c r="B2856" s="57"/>
      <c r="C2856" s="43" t="str">
        <f t="array" ref="C2856">IF(B2856="","",_xlfn.XLOOKUP(B2856,'Form responses 1'!$B$2:$B$2604,'Form responses 1'!$A$2:$A$2604,""))</f>
        <v/>
      </c>
      <c r="D2856" s="44" t="str">
        <f t="shared" si="3"/>
        <v/>
      </c>
      <c r="E2856" s="44" t="str">
        <f t="array" ref="E2856">IF(B2856="","",_xlfn.XLOOKUP(B2856,'Form responses 1'!$B$2:$B$2604,'Form responses 1'!$C$2:$C$2604,""))</f>
        <v/>
      </c>
      <c r="F2856" s="44" t="str">
        <f t="array" ref="F2856">IF(B2856="","",_xlfn.XLOOKUP(B2856,'Form responses 1'!$B$2:$B$2604,'Form responses 1'!$D$2:$D$2604,""))</f>
        <v/>
      </c>
      <c r="G2856" s="44" t="str">
        <f t="array" ref="G2856">IF(B2856="","",_xlfn.XLOOKUP(B2856,'Form responses 1'!$B$2:$B$2604,'Form responses 1'!$E$2:$E$2604,""))</f>
        <v/>
      </c>
      <c r="H2856" s="44" t="str">
        <f t="array" ref="H2856">IF(B2856="","",_xlfn.XLOOKUP(B2856,'Form responses 1'!$B$2:$B$2604,'Form responses 1'!$F$2:$F$2604,""))</f>
        <v/>
      </c>
      <c r="I2856" s="44" t="str">
        <f t="array" ref="I2856">IF(B2856="","",_xlfn.XLOOKUP(B2856,'Form responses 1'!$B$2:$B$2604,'Form responses 1'!$I$2:$I$2604,""))</f>
        <v/>
      </c>
      <c r="J2856" s="44" t="str">
        <f t="array" ref="J2856">IF(B2856="","",_xlfn.XLOOKUP(B2856,'Form responses 1'!$B$2:$B$2604,'Form responses 1'!$G$2:$G$2604,""))</f>
        <v/>
      </c>
      <c r="K2856" s="56"/>
      <c r="L2856" s="58" t="str">
        <f t="shared" si="7"/>
        <v/>
      </c>
      <c r="M2856" s="49"/>
      <c r="N2856" s="49"/>
      <c r="O2856" s="49"/>
      <c r="P2856" s="49"/>
      <c r="Q2856" s="49"/>
      <c r="R2856" s="49"/>
      <c r="S2856" s="49"/>
      <c r="T2856" s="49"/>
      <c r="U2856" s="49"/>
      <c r="V2856" s="49"/>
      <c r="W2856" s="56"/>
      <c r="X2856" s="51" t="str">
        <f t="shared" si="5"/>
        <v/>
      </c>
      <c r="Y2856" s="50" t="s">
        <v>482</v>
      </c>
      <c r="Z2856" s="49">
        <f t="shared" si="6"/>
        <v>0</v>
      </c>
    </row>
    <row r="2857" ht="22.5" customHeight="1">
      <c r="B2857" s="57"/>
      <c r="C2857" s="43" t="str">
        <f t="array" ref="C2857">IF(B2857="","",_xlfn.XLOOKUP(B2857,'Form responses 1'!$B$2:$B$2604,'Form responses 1'!$A$2:$A$2604,""))</f>
        <v/>
      </c>
      <c r="D2857" s="44" t="str">
        <f t="shared" si="3"/>
        <v/>
      </c>
      <c r="E2857" s="44" t="str">
        <f t="array" ref="E2857">IF(B2857="","",_xlfn.XLOOKUP(B2857,'Form responses 1'!$B$2:$B$2604,'Form responses 1'!$C$2:$C$2604,""))</f>
        <v/>
      </c>
      <c r="F2857" s="44" t="str">
        <f t="array" ref="F2857">IF(B2857="","",_xlfn.XLOOKUP(B2857,'Form responses 1'!$B$2:$B$2604,'Form responses 1'!$D$2:$D$2604,""))</f>
        <v/>
      </c>
      <c r="G2857" s="44" t="str">
        <f t="array" ref="G2857">IF(B2857="","",_xlfn.XLOOKUP(B2857,'Form responses 1'!$B$2:$B$2604,'Form responses 1'!$E$2:$E$2604,""))</f>
        <v/>
      </c>
      <c r="H2857" s="44" t="str">
        <f t="array" ref="H2857">IF(B2857="","",_xlfn.XLOOKUP(B2857,'Form responses 1'!$B$2:$B$2604,'Form responses 1'!$F$2:$F$2604,""))</f>
        <v/>
      </c>
      <c r="I2857" s="44" t="str">
        <f t="array" ref="I2857">IF(B2857="","",_xlfn.XLOOKUP(B2857,'Form responses 1'!$B$2:$B$2604,'Form responses 1'!$I$2:$I$2604,""))</f>
        <v/>
      </c>
      <c r="J2857" s="44" t="str">
        <f t="array" ref="J2857">IF(B2857="","",_xlfn.XLOOKUP(B2857,'Form responses 1'!$B$2:$B$2604,'Form responses 1'!$G$2:$G$2604,""))</f>
        <v/>
      </c>
      <c r="K2857" s="56"/>
      <c r="L2857" s="58" t="str">
        <f t="shared" si="7"/>
        <v/>
      </c>
      <c r="M2857" s="49"/>
      <c r="N2857" s="49"/>
      <c r="O2857" s="49"/>
      <c r="P2857" s="49"/>
      <c r="Q2857" s="49"/>
      <c r="R2857" s="49"/>
      <c r="S2857" s="49"/>
      <c r="T2857" s="49"/>
      <c r="U2857" s="49"/>
      <c r="V2857" s="49"/>
      <c r="W2857" s="56"/>
      <c r="X2857" s="51" t="str">
        <f t="shared" si="5"/>
        <v/>
      </c>
      <c r="Y2857" s="50" t="s">
        <v>482</v>
      </c>
      <c r="Z2857" s="49">
        <f t="shared" si="6"/>
        <v>0</v>
      </c>
    </row>
    <row r="2858" ht="22.5" customHeight="1">
      <c r="B2858" s="57"/>
      <c r="C2858" s="43" t="str">
        <f t="array" ref="C2858">IF(B2858="","",_xlfn.XLOOKUP(B2858,'Form responses 1'!$B$2:$B$2604,'Form responses 1'!$A$2:$A$2604,""))</f>
        <v/>
      </c>
      <c r="D2858" s="44" t="str">
        <f t="shared" si="3"/>
        <v/>
      </c>
      <c r="E2858" s="44" t="str">
        <f t="array" ref="E2858">IF(B2858="","",_xlfn.XLOOKUP(B2858,'Form responses 1'!$B$2:$B$2604,'Form responses 1'!$C$2:$C$2604,""))</f>
        <v/>
      </c>
      <c r="F2858" s="44" t="str">
        <f t="array" ref="F2858">IF(B2858="","",_xlfn.XLOOKUP(B2858,'Form responses 1'!$B$2:$B$2604,'Form responses 1'!$D$2:$D$2604,""))</f>
        <v/>
      </c>
      <c r="G2858" s="44" t="str">
        <f t="array" ref="G2858">IF(B2858="","",_xlfn.XLOOKUP(B2858,'Form responses 1'!$B$2:$B$2604,'Form responses 1'!$E$2:$E$2604,""))</f>
        <v/>
      </c>
      <c r="H2858" s="44" t="str">
        <f t="array" ref="H2858">IF(B2858="","",_xlfn.XLOOKUP(B2858,'Form responses 1'!$B$2:$B$2604,'Form responses 1'!$F$2:$F$2604,""))</f>
        <v/>
      </c>
      <c r="I2858" s="44" t="str">
        <f t="array" ref="I2858">IF(B2858="","",_xlfn.XLOOKUP(B2858,'Form responses 1'!$B$2:$B$2604,'Form responses 1'!$I$2:$I$2604,""))</f>
        <v/>
      </c>
      <c r="J2858" s="44" t="str">
        <f t="array" ref="J2858">IF(B2858="","",_xlfn.XLOOKUP(B2858,'Form responses 1'!$B$2:$B$2604,'Form responses 1'!$G$2:$G$2604,""))</f>
        <v/>
      </c>
      <c r="K2858" s="56"/>
      <c r="L2858" s="58" t="str">
        <f t="shared" si="7"/>
        <v/>
      </c>
      <c r="M2858" s="49"/>
      <c r="N2858" s="49"/>
      <c r="O2858" s="49"/>
      <c r="P2858" s="49"/>
      <c r="Q2858" s="49"/>
      <c r="R2858" s="49"/>
      <c r="S2858" s="49"/>
      <c r="T2858" s="49"/>
      <c r="U2858" s="49"/>
      <c r="V2858" s="49"/>
      <c r="W2858" s="56"/>
      <c r="X2858" s="51" t="str">
        <f t="shared" si="5"/>
        <v/>
      </c>
      <c r="Y2858" s="50" t="s">
        <v>482</v>
      </c>
      <c r="Z2858" s="49">
        <f t="shared" si="6"/>
        <v>0</v>
      </c>
    </row>
    <row r="2859" ht="22.5" customHeight="1">
      <c r="B2859" s="57"/>
      <c r="C2859" s="43" t="str">
        <f t="array" ref="C2859">IF(B2859="","",_xlfn.XLOOKUP(B2859,'Form responses 1'!$B$2:$B$2604,'Form responses 1'!$A$2:$A$2604,""))</f>
        <v/>
      </c>
      <c r="D2859" s="44" t="str">
        <f t="shared" si="3"/>
        <v/>
      </c>
      <c r="E2859" s="44" t="str">
        <f t="array" ref="E2859">IF(B2859="","",_xlfn.XLOOKUP(B2859,'Form responses 1'!$B$2:$B$2604,'Form responses 1'!$C$2:$C$2604,""))</f>
        <v/>
      </c>
      <c r="F2859" s="44" t="str">
        <f t="array" ref="F2859">IF(B2859="","",_xlfn.XLOOKUP(B2859,'Form responses 1'!$B$2:$B$2604,'Form responses 1'!$D$2:$D$2604,""))</f>
        <v/>
      </c>
      <c r="G2859" s="44" t="str">
        <f t="array" ref="G2859">IF(B2859="","",_xlfn.XLOOKUP(B2859,'Form responses 1'!$B$2:$B$2604,'Form responses 1'!$E$2:$E$2604,""))</f>
        <v/>
      </c>
      <c r="H2859" s="44" t="str">
        <f t="array" ref="H2859">IF(B2859="","",_xlfn.XLOOKUP(B2859,'Form responses 1'!$B$2:$B$2604,'Form responses 1'!$F$2:$F$2604,""))</f>
        <v/>
      </c>
      <c r="I2859" s="44" t="str">
        <f t="array" ref="I2859">IF(B2859="","",_xlfn.XLOOKUP(B2859,'Form responses 1'!$B$2:$B$2604,'Form responses 1'!$I$2:$I$2604,""))</f>
        <v/>
      </c>
      <c r="J2859" s="44" t="str">
        <f t="array" ref="J2859">IF(B2859="","",_xlfn.XLOOKUP(B2859,'Form responses 1'!$B$2:$B$2604,'Form responses 1'!$G$2:$G$2604,""))</f>
        <v/>
      </c>
      <c r="K2859" s="56"/>
      <c r="L2859" s="58" t="str">
        <f t="shared" si="7"/>
        <v/>
      </c>
      <c r="M2859" s="49"/>
      <c r="N2859" s="49"/>
      <c r="O2859" s="49"/>
      <c r="P2859" s="49"/>
      <c r="Q2859" s="49"/>
      <c r="R2859" s="49"/>
      <c r="S2859" s="49"/>
      <c r="T2859" s="49"/>
      <c r="U2859" s="49"/>
      <c r="V2859" s="49"/>
      <c r="W2859" s="56"/>
      <c r="X2859" s="51" t="str">
        <f t="shared" si="5"/>
        <v/>
      </c>
      <c r="Y2859" s="50" t="s">
        <v>482</v>
      </c>
      <c r="Z2859" s="49">
        <f t="shared" si="6"/>
        <v>0</v>
      </c>
    </row>
    <row r="2860" ht="22.5" customHeight="1">
      <c r="B2860" s="57"/>
      <c r="C2860" s="43" t="str">
        <f t="array" ref="C2860">IF(B2860="","",_xlfn.XLOOKUP(B2860,'Form responses 1'!$B$2:$B$2604,'Form responses 1'!$A$2:$A$2604,""))</f>
        <v/>
      </c>
      <c r="D2860" s="44" t="str">
        <f t="shared" si="3"/>
        <v/>
      </c>
      <c r="E2860" s="44" t="str">
        <f t="array" ref="E2860">IF(B2860="","",_xlfn.XLOOKUP(B2860,'Form responses 1'!$B$2:$B$2604,'Form responses 1'!$C$2:$C$2604,""))</f>
        <v/>
      </c>
      <c r="F2860" s="44" t="str">
        <f t="array" ref="F2860">IF(B2860="","",_xlfn.XLOOKUP(B2860,'Form responses 1'!$B$2:$B$2604,'Form responses 1'!$D$2:$D$2604,""))</f>
        <v/>
      </c>
      <c r="G2860" s="44" t="str">
        <f t="array" ref="G2860">IF(B2860="","",_xlfn.XLOOKUP(B2860,'Form responses 1'!$B$2:$B$2604,'Form responses 1'!$E$2:$E$2604,""))</f>
        <v/>
      </c>
      <c r="H2860" s="44" t="str">
        <f t="array" ref="H2860">IF(B2860="","",_xlfn.XLOOKUP(B2860,'Form responses 1'!$B$2:$B$2604,'Form responses 1'!$F$2:$F$2604,""))</f>
        <v/>
      </c>
      <c r="I2860" s="44" t="str">
        <f t="array" ref="I2860">IF(B2860="","",_xlfn.XLOOKUP(B2860,'Form responses 1'!$B$2:$B$2604,'Form responses 1'!$I$2:$I$2604,""))</f>
        <v/>
      </c>
      <c r="J2860" s="44" t="str">
        <f t="array" ref="J2860">IF(B2860="","",_xlfn.XLOOKUP(B2860,'Form responses 1'!$B$2:$B$2604,'Form responses 1'!$G$2:$G$2604,""))</f>
        <v/>
      </c>
      <c r="K2860" s="56"/>
      <c r="L2860" s="58" t="str">
        <f t="shared" si="7"/>
        <v/>
      </c>
      <c r="M2860" s="49"/>
      <c r="N2860" s="49"/>
      <c r="O2860" s="49"/>
      <c r="P2860" s="49"/>
      <c r="Q2860" s="49"/>
      <c r="R2860" s="49"/>
      <c r="S2860" s="49"/>
      <c r="T2860" s="49"/>
      <c r="U2860" s="49"/>
      <c r="V2860" s="49"/>
      <c r="W2860" s="56"/>
      <c r="X2860" s="51" t="str">
        <f t="shared" si="5"/>
        <v/>
      </c>
      <c r="Y2860" s="50" t="s">
        <v>482</v>
      </c>
      <c r="Z2860" s="49">
        <f t="shared" si="6"/>
        <v>0</v>
      </c>
    </row>
    <row r="2861" ht="22.5" customHeight="1">
      <c r="B2861" s="57"/>
      <c r="C2861" s="43" t="str">
        <f t="array" ref="C2861">IF(B2861="","",_xlfn.XLOOKUP(B2861,'Form responses 1'!$B$2:$B$2604,'Form responses 1'!$A$2:$A$2604,""))</f>
        <v/>
      </c>
      <c r="D2861" s="44" t="str">
        <f t="shared" si="3"/>
        <v/>
      </c>
      <c r="E2861" s="44" t="str">
        <f t="array" ref="E2861">IF(B2861="","",_xlfn.XLOOKUP(B2861,'Form responses 1'!$B$2:$B$2604,'Form responses 1'!$C$2:$C$2604,""))</f>
        <v/>
      </c>
      <c r="F2861" s="44" t="str">
        <f t="array" ref="F2861">IF(B2861="","",_xlfn.XLOOKUP(B2861,'Form responses 1'!$B$2:$B$2604,'Form responses 1'!$D$2:$D$2604,""))</f>
        <v/>
      </c>
      <c r="G2861" s="44" t="str">
        <f t="array" ref="G2861">IF(B2861="","",_xlfn.XLOOKUP(B2861,'Form responses 1'!$B$2:$B$2604,'Form responses 1'!$E$2:$E$2604,""))</f>
        <v/>
      </c>
      <c r="H2861" s="44" t="str">
        <f t="array" ref="H2861">IF(B2861="","",_xlfn.XLOOKUP(B2861,'Form responses 1'!$B$2:$B$2604,'Form responses 1'!$F$2:$F$2604,""))</f>
        <v/>
      </c>
      <c r="I2861" s="44" t="str">
        <f t="array" ref="I2861">IF(B2861="","",_xlfn.XLOOKUP(B2861,'Form responses 1'!$B$2:$B$2604,'Form responses 1'!$I$2:$I$2604,""))</f>
        <v/>
      </c>
      <c r="J2861" s="44" t="str">
        <f t="array" ref="J2861">IF(B2861="","",_xlfn.XLOOKUP(B2861,'Form responses 1'!$B$2:$B$2604,'Form responses 1'!$G$2:$G$2604,""))</f>
        <v/>
      </c>
      <c r="K2861" s="56"/>
      <c r="L2861" s="58" t="str">
        <f t="shared" si="7"/>
        <v/>
      </c>
      <c r="M2861" s="49"/>
      <c r="N2861" s="49"/>
      <c r="O2861" s="49"/>
      <c r="P2861" s="49"/>
      <c r="Q2861" s="49"/>
      <c r="R2861" s="49"/>
      <c r="S2861" s="49"/>
      <c r="T2861" s="49"/>
      <c r="U2861" s="49"/>
      <c r="V2861" s="49"/>
      <c r="W2861" s="56"/>
      <c r="X2861" s="51" t="str">
        <f t="shared" si="5"/>
        <v/>
      </c>
      <c r="Y2861" s="50" t="s">
        <v>482</v>
      </c>
      <c r="Z2861" s="49">
        <f t="shared" si="6"/>
        <v>0</v>
      </c>
    </row>
    <row r="2862" ht="22.5" customHeight="1">
      <c r="B2862" s="57"/>
      <c r="C2862" s="43" t="str">
        <f t="array" ref="C2862">IF(B2862="","",_xlfn.XLOOKUP(B2862,'Form responses 1'!$B$2:$B$2604,'Form responses 1'!$A$2:$A$2604,""))</f>
        <v/>
      </c>
      <c r="D2862" s="44" t="str">
        <f t="shared" si="3"/>
        <v/>
      </c>
      <c r="E2862" s="44" t="str">
        <f t="array" ref="E2862">IF(B2862="","",_xlfn.XLOOKUP(B2862,'Form responses 1'!$B$2:$B$2604,'Form responses 1'!$C$2:$C$2604,""))</f>
        <v/>
      </c>
      <c r="F2862" s="44" t="str">
        <f t="array" ref="F2862">IF(B2862="","",_xlfn.XLOOKUP(B2862,'Form responses 1'!$B$2:$B$2604,'Form responses 1'!$D$2:$D$2604,""))</f>
        <v/>
      </c>
      <c r="G2862" s="44" t="str">
        <f t="array" ref="G2862">IF(B2862="","",_xlfn.XLOOKUP(B2862,'Form responses 1'!$B$2:$B$2604,'Form responses 1'!$E$2:$E$2604,""))</f>
        <v/>
      </c>
      <c r="H2862" s="44" t="str">
        <f t="array" ref="H2862">IF(B2862="","",_xlfn.XLOOKUP(B2862,'Form responses 1'!$B$2:$B$2604,'Form responses 1'!$F$2:$F$2604,""))</f>
        <v/>
      </c>
      <c r="I2862" s="44" t="str">
        <f t="array" ref="I2862">IF(B2862="","",_xlfn.XLOOKUP(B2862,'Form responses 1'!$B$2:$B$2604,'Form responses 1'!$I$2:$I$2604,""))</f>
        <v/>
      </c>
      <c r="J2862" s="44" t="str">
        <f t="array" ref="J2862">IF(B2862="","",_xlfn.XLOOKUP(B2862,'Form responses 1'!$B$2:$B$2604,'Form responses 1'!$G$2:$G$2604,""))</f>
        <v/>
      </c>
      <c r="K2862" s="56"/>
      <c r="L2862" s="58" t="str">
        <f t="shared" si="7"/>
        <v/>
      </c>
      <c r="M2862" s="49"/>
      <c r="N2862" s="49"/>
      <c r="O2862" s="49"/>
      <c r="P2862" s="49"/>
      <c r="Q2862" s="49"/>
      <c r="R2862" s="49"/>
      <c r="S2862" s="49"/>
      <c r="T2862" s="49"/>
      <c r="U2862" s="49"/>
      <c r="V2862" s="49"/>
      <c r="W2862" s="56"/>
      <c r="X2862" s="51" t="str">
        <f t="shared" si="5"/>
        <v/>
      </c>
      <c r="Y2862" s="50" t="s">
        <v>482</v>
      </c>
      <c r="Z2862" s="49">
        <f t="shared" si="6"/>
        <v>0</v>
      </c>
    </row>
    <row r="2863" ht="22.5" customHeight="1">
      <c r="B2863" s="57"/>
      <c r="C2863" s="43" t="str">
        <f t="array" ref="C2863">IF(B2863="","",_xlfn.XLOOKUP(B2863,'Form responses 1'!$B$2:$B$2604,'Form responses 1'!$A$2:$A$2604,""))</f>
        <v/>
      </c>
      <c r="D2863" s="44" t="str">
        <f t="shared" si="3"/>
        <v/>
      </c>
      <c r="E2863" s="44" t="str">
        <f t="array" ref="E2863">IF(B2863="","",_xlfn.XLOOKUP(B2863,'Form responses 1'!$B$2:$B$2604,'Form responses 1'!$C$2:$C$2604,""))</f>
        <v/>
      </c>
      <c r="F2863" s="44" t="str">
        <f t="array" ref="F2863">IF(B2863="","",_xlfn.XLOOKUP(B2863,'Form responses 1'!$B$2:$B$2604,'Form responses 1'!$D$2:$D$2604,""))</f>
        <v/>
      </c>
      <c r="G2863" s="44" t="str">
        <f t="array" ref="G2863">IF(B2863="","",_xlfn.XLOOKUP(B2863,'Form responses 1'!$B$2:$B$2604,'Form responses 1'!$E$2:$E$2604,""))</f>
        <v/>
      </c>
      <c r="H2863" s="44" t="str">
        <f t="array" ref="H2863">IF(B2863="","",_xlfn.XLOOKUP(B2863,'Form responses 1'!$B$2:$B$2604,'Form responses 1'!$F$2:$F$2604,""))</f>
        <v/>
      </c>
      <c r="I2863" s="44" t="str">
        <f t="array" ref="I2863">IF(B2863="","",_xlfn.XLOOKUP(B2863,'Form responses 1'!$B$2:$B$2604,'Form responses 1'!$I$2:$I$2604,""))</f>
        <v/>
      </c>
      <c r="J2863" s="44" t="str">
        <f t="array" ref="J2863">IF(B2863="","",_xlfn.XLOOKUP(B2863,'Form responses 1'!$B$2:$B$2604,'Form responses 1'!$G$2:$G$2604,""))</f>
        <v/>
      </c>
      <c r="K2863" s="56"/>
      <c r="L2863" s="58" t="str">
        <f t="shared" si="7"/>
        <v/>
      </c>
      <c r="M2863" s="49"/>
      <c r="N2863" s="49"/>
      <c r="O2863" s="49"/>
      <c r="P2863" s="49"/>
      <c r="Q2863" s="49"/>
      <c r="R2863" s="49"/>
      <c r="S2863" s="49"/>
      <c r="T2863" s="49"/>
      <c r="U2863" s="49"/>
      <c r="V2863" s="49"/>
      <c r="W2863" s="56"/>
      <c r="X2863" s="51" t="str">
        <f t="shared" si="5"/>
        <v/>
      </c>
      <c r="Y2863" s="50" t="s">
        <v>482</v>
      </c>
      <c r="Z2863" s="49">
        <f t="shared" si="6"/>
        <v>0</v>
      </c>
    </row>
    <row r="2864" ht="22.5" customHeight="1">
      <c r="B2864" s="57"/>
      <c r="C2864" s="43" t="str">
        <f t="array" ref="C2864">IF(B2864="","",_xlfn.XLOOKUP(B2864,'Form responses 1'!$B$2:$B$2604,'Form responses 1'!$A$2:$A$2604,""))</f>
        <v/>
      </c>
      <c r="D2864" s="44" t="str">
        <f t="shared" si="3"/>
        <v/>
      </c>
      <c r="E2864" s="44" t="str">
        <f t="array" ref="E2864">IF(B2864="","",_xlfn.XLOOKUP(B2864,'Form responses 1'!$B$2:$B$2604,'Form responses 1'!$C$2:$C$2604,""))</f>
        <v/>
      </c>
      <c r="F2864" s="44" t="str">
        <f t="array" ref="F2864">IF(B2864="","",_xlfn.XLOOKUP(B2864,'Form responses 1'!$B$2:$B$2604,'Form responses 1'!$D$2:$D$2604,""))</f>
        <v/>
      </c>
      <c r="G2864" s="44" t="str">
        <f t="array" ref="G2864">IF(B2864="","",_xlfn.XLOOKUP(B2864,'Form responses 1'!$B$2:$B$2604,'Form responses 1'!$E$2:$E$2604,""))</f>
        <v/>
      </c>
      <c r="H2864" s="44" t="str">
        <f t="array" ref="H2864">IF(B2864="","",_xlfn.XLOOKUP(B2864,'Form responses 1'!$B$2:$B$2604,'Form responses 1'!$F$2:$F$2604,""))</f>
        <v/>
      </c>
      <c r="I2864" s="44" t="str">
        <f t="array" ref="I2864">IF(B2864="","",_xlfn.XLOOKUP(B2864,'Form responses 1'!$B$2:$B$2604,'Form responses 1'!$I$2:$I$2604,""))</f>
        <v/>
      </c>
      <c r="J2864" s="44" t="str">
        <f t="array" ref="J2864">IF(B2864="","",_xlfn.XLOOKUP(B2864,'Form responses 1'!$B$2:$B$2604,'Form responses 1'!$G$2:$G$2604,""))</f>
        <v/>
      </c>
      <c r="K2864" s="56"/>
      <c r="L2864" s="58" t="str">
        <f t="shared" si="7"/>
        <v/>
      </c>
      <c r="M2864" s="49"/>
      <c r="N2864" s="49"/>
      <c r="O2864" s="49"/>
      <c r="P2864" s="49"/>
      <c r="Q2864" s="49"/>
      <c r="R2864" s="49"/>
      <c r="S2864" s="49"/>
      <c r="T2864" s="49"/>
      <c r="U2864" s="49"/>
      <c r="V2864" s="49"/>
      <c r="W2864" s="56"/>
      <c r="X2864" s="51" t="str">
        <f t="shared" si="5"/>
        <v/>
      </c>
      <c r="Y2864" s="50" t="s">
        <v>482</v>
      </c>
      <c r="Z2864" s="49">
        <f t="shared" si="6"/>
        <v>0</v>
      </c>
    </row>
    <row r="2865" ht="22.5" customHeight="1">
      <c r="B2865" s="57"/>
      <c r="C2865" s="43" t="str">
        <f t="array" ref="C2865">IF(B2865="","",_xlfn.XLOOKUP(B2865,'Form responses 1'!$B$2:$B$2604,'Form responses 1'!$A$2:$A$2604,""))</f>
        <v/>
      </c>
      <c r="D2865" s="44" t="str">
        <f t="shared" si="3"/>
        <v/>
      </c>
      <c r="E2865" s="44" t="str">
        <f t="array" ref="E2865">IF(B2865="","",_xlfn.XLOOKUP(B2865,'Form responses 1'!$B$2:$B$2604,'Form responses 1'!$C$2:$C$2604,""))</f>
        <v/>
      </c>
      <c r="F2865" s="44" t="str">
        <f t="array" ref="F2865">IF(B2865="","",_xlfn.XLOOKUP(B2865,'Form responses 1'!$B$2:$B$2604,'Form responses 1'!$D$2:$D$2604,""))</f>
        <v/>
      </c>
      <c r="G2865" s="44" t="str">
        <f t="array" ref="G2865">IF(B2865="","",_xlfn.XLOOKUP(B2865,'Form responses 1'!$B$2:$B$2604,'Form responses 1'!$E$2:$E$2604,""))</f>
        <v/>
      </c>
      <c r="H2865" s="44" t="str">
        <f t="array" ref="H2865">IF(B2865="","",_xlfn.XLOOKUP(B2865,'Form responses 1'!$B$2:$B$2604,'Form responses 1'!$F$2:$F$2604,""))</f>
        <v/>
      </c>
      <c r="I2865" s="44" t="str">
        <f t="array" ref="I2865">IF(B2865="","",_xlfn.XLOOKUP(B2865,'Form responses 1'!$B$2:$B$2604,'Form responses 1'!$I$2:$I$2604,""))</f>
        <v/>
      </c>
      <c r="J2865" s="44" t="str">
        <f t="array" ref="J2865">IF(B2865="","",_xlfn.XLOOKUP(B2865,'Form responses 1'!$B$2:$B$2604,'Form responses 1'!$G$2:$G$2604,""))</f>
        <v/>
      </c>
      <c r="K2865" s="56"/>
      <c r="L2865" s="58" t="str">
        <f t="shared" si="7"/>
        <v/>
      </c>
      <c r="M2865" s="49"/>
      <c r="N2865" s="49"/>
      <c r="O2865" s="49"/>
      <c r="P2865" s="49"/>
      <c r="Q2865" s="49"/>
      <c r="R2865" s="49"/>
      <c r="S2865" s="49"/>
      <c r="T2865" s="49"/>
      <c r="U2865" s="49"/>
      <c r="V2865" s="49"/>
      <c r="W2865" s="56"/>
      <c r="X2865" s="51" t="str">
        <f t="shared" si="5"/>
        <v/>
      </c>
      <c r="Y2865" s="50" t="s">
        <v>482</v>
      </c>
      <c r="Z2865" s="49">
        <f t="shared" si="6"/>
        <v>0</v>
      </c>
    </row>
    <row r="2866" ht="22.5" customHeight="1">
      <c r="B2866" s="57"/>
      <c r="C2866" s="43" t="str">
        <f t="array" ref="C2866">IF(B2866="","",_xlfn.XLOOKUP(B2866,'Form responses 1'!$B$2:$B$2604,'Form responses 1'!$A$2:$A$2604,""))</f>
        <v/>
      </c>
      <c r="D2866" s="44" t="str">
        <f t="shared" si="3"/>
        <v/>
      </c>
      <c r="E2866" s="44" t="str">
        <f t="array" ref="E2866">IF(B2866="","",_xlfn.XLOOKUP(B2866,'Form responses 1'!$B$2:$B$2604,'Form responses 1'!$C$2:$C$2604,""))</f>
        <v/>
      </c>
      <c r="F2866" s="44" t="str">
        <f t="array" ref="F2866">IF(B2866="","",_xlfn.XLOOKUP(B2866,'Form responses 1'!$B$2:$B$2604,'Form responses 1'!$D$2:$D$2604,""))</f>
        <v/>
      </c>
      <c r="G2866" s="44" t="str">
        <f t="array" ref="G2866">IF(B2866="","",_xlfn.XLOOKUP(B2866,'Form responses 1'!$B$2:$B$2604,'Form responses 1'!$E$2:$E$2604,""))</f>
        <v/>
      </c>
      <c r="H2866" s="44" t="str">
        <f t="array" ref="H2866">IF(B2866="","",_xlfn.XLOOKUP(B2866,'Form responses 1'!$B$2:$B$2604,'Form responses 1'!$F$2:$F$2604,""))</f>
        <v/>
      </c>
      <c r="I2866" s="44" t="str">
        <f t="array" ref="I2866">IF(B2866="","",_xlfn.XLOOKUP(B2866,'Form responses 1'!$B$2:$B$2604,'Form responses 1'!$I$2:$I$2604,""))</f>
        <v/>
      </c>
      <c r="J2866" s="44" t="str">
        <f t="array" ref="J2866">IF(B2866="","",_xlfn.XLOOKUP(B2866,'Form responses 1'!$B$2:$B$2604,'Form responses 1'!$G$2:$G$2604,""))</f>
        <v/>
      </c>
      <c r="K2866" s="56"/>
      <c r="L2866" s="58" t="str">
        <f t="shared" si="7"/>
        <v/>
      </c>
      <c r="M2866" s="49"/>
      <c r="N2866" s="49"/>
      <c r="O2866" s="49"/>
      <c r="P2866" s="49"/>
      <c r="Q2866" s="49"/>
      <c r="R2866" s="49"/>
      <c r="S2866" s="49"/>
      <c r="T2866" s="49"/>
      <c r="U2866" s="49"/>
      <c r="V2866" s="49"/>
      <c r="W2866" s="56"/>
      <c r="X2866" s="51" t="str">
        <f t="shared" si="5"/>
        <v/>
      </c>
      <c r="Y2866" s="50" t="s">
        <v>482</v>
      </c>
      <c r="Z2866" s="49">
        <f t="shared" si="6"/>
        <v>0</v>
      </c>
    </row>
    <row r="2867" ht="22.5" customHeight="1">
      <c r="B2867" s="57"/>
      <c r="C2867" s="43" t="str">
        <f t="array" ref="C2867">IF(B2867="","",_xlfn.XLOOKUP(B2867,'Form responses 1'!$B$2:$B$2604,'Form responses 1'!$A$2:$A$2604,""))</f>
        <v/>
      </c>
      <c r="D2867" s="44" t="str">
        <f t="shared" si="3"/>
        <v/>
      </c>
      <c r="E2867" s="44" t="str">
        <f t="array" ref="E2867">IF(B2867="","",_xlfn.XLOOKUP(B2867,'Form responses 1'!$B$2:$B$2604,'Form responses 1'!$C$2:$C$2604,""))</f>
        <v/>
      </c>
      <c r="F2867" s="44" t="str">
        <f t="array" ref="F2867">IF(B2867="","",_xlfn.XLOOKUP(B2867,'Form responses 1'!$B$2:$B$2604,'Form responses 1'!$D$2:$D$2604,""))</f>
        <v/>
      </c>
      <c r="G2867" s="44" t="str">
        <f t="array" ref="G2867">IF(B2867="","",_xlfn.XLOOKUP(B2867,'Form responses 1'!$B$2:$B$2604,'Form responses 1'!$E$2:$E$2604,""))</f>
        <v/>
      </c>
      <c r="H2867" s="44" t="str">
        <f t="array" ref="H2867">IF(B2867="","",_xlfn.XLOOKUP(B2867,'Form responses 1'!$B$2:$B$2604,'Form responses 1'!$F$2:$F$2604,""))</f>
        <v/>
      </c>
      <c r="I2867" s="44" t="str">
        <f t="array" ref="I2867">IF(B2867="","",_xlfn.XLOOKUP(B2867,'Form responses 1'!$B$2:$B$2604,'Form responses 1'!$I$2:$I$2604,""))</f>
        <v/>
      </c>
      <c r="J2867" s="44" t="str">
        <f t="array" ref="J2867">IF(B2867="","",_xlfn.XLOOKUP(B2867,'Form responses 1'!$B$2:$B$2604,'Form responses 1'!$G$2:$G$2604,""))</f>
        <v/>
      </c>
      <c r="K2867" s="56"/>
      <c r="L2867" s="58" t="str">
        <f t="shared" si="7"/>
        <v/>
      </c>
      <c r="M2867" s="49"/>
      <c r="N2867" s="49"/>
      <c r="O2867" s="49"/>
      <c r="P2867" s="49"/>
      <c r="Q2867" s="49"/>
      <c r="R2867" s="49"/>
      <c r="S2867" s="49"/>
      <c r="T2867" s="49"/>
      <c r="U2867" s="49"/>
      <c r="V2867" s="49"/>
      <c r="W2867" s="56"/>
      <c r="X2867" s="51" t="str">
        <f t="shared" si="5"/>
        <v/>
      </c>
      <c r="Y2867" s="50" t="s">
        <v>482</v>
      </c>
      <c r="Z2867" s="49">
        <f t="shared" si="6"/>
        <v>0</v>
      </c>
    </row>
    <row r="2868" ht="22.5" customHeight="1">
      <c r="B2868" s="57"/>
      <c r="C2868" s="43" t="str">
        <f t="array" ref="C2868">IF(B2868="","",_xlfn.XLOOKUP(B2868,'Form responses 1'!$B$2:$B$2604,'Form responses 1'!$A$2:$A$2604,""))</f>
        <v/>
      </c>
      <c r="D2868" s="44" t="str">
        <f t="shared" si="3"/>
        <v/>
      </c>
      <c r="E2868" s="44" t="str">
        <f t="array" ref="E2868">IF(B2868="","",_xlfn.XLOOKUP(B2868,'Form responses 1'!$B$2:$B$2604,'Form responses 1'!$C$2:$C$2604,""))</f>
        <v/>
      </c>
      <c r="F2868" s="44" t="str">
        <f t="array" ref="F2868">IF(B2868="","",_xlfn.XLOOKUP(B2868,'Form responses 1'!$B$2:$B$2604,'Form responses 1'!$D$2:$D$2604,""))</f>
        <v/>
      </c>
      <c r="G2868" s="44" t="str">
        <f t="array" ref="G2868">IF(B2868="","",_xlfn.XLOOKUP(B2868,'Form responses 1'!$B$2:$B$2604,'Form responses 1'!$E$2:$E$2604,""))</f>
        <v/>
      </c>
      <c r="H2868" s="44" t="str">
        <f t="array" ref="H2868">IF(B2868="","",_xlfn.XLOOKUP(B2868,'Form responses 1'!$B$2:$B$2604,'Form responses 1'!$F$2:$F$2604,""))</f>
        <v/>
      </c>
      <c r="I2868" s="44" t="str">
        <f t="array" ref="I2868">IF(B2868="","",_xlfn.XLOOKUP(B2868,'Form responses 1'!$B$2:$B$2604,'Form responses 1'!$I$2:$I$2604,""))</f>
        <v/>
      </c>
      <c r="J2868" s="44" t="str">
        <f t="array" ref="J2868">IF(B2868="","",_xlfn.XLOOKUP(B2868,'Form responses 1'!$B$2:$B$2604,'Form responses 1'!$G$2:$G$2604,""))</f>
        <v/>
      </c>
      <c r="K2868" s="56"/>
      <c r="L2868" s="58" t="str">
        <f t="shared" si="7"/>
        <v/>
      </c>
      <c r="M2868" s="49"/>
      <c r="N2868" s="49"/>
      <c r="O2868" s="49"/>
      <c r="P2868" s="49"/>
      <c r="Q2868" s="49"/>
      <c r="R2868" s="49"/>
      <c r="S2868" s="49"/>
      <c r="T2868" s="49"/>
      <c r="U2868" s="49"/>
      <c r="V2868" s="49"/>
      <c r="W2868" s="56"/>
      <c r="X2868" s="51" t="str">
        <f t="shared" si="5"/>
        <v/>
      </c>
      <c r="Y2868" s="50" t="s">
        <v>482</v>
      </c>
      <c r="Z2868" s="49">
        <f t="shared" si="6"/>
        <v>0</v>
      </c>
    </row>
    <row r="2869" ht="22.5" customHeight="1">
      <c r="B2869" s="57"/>
      <c r="C2869" s="43" t="str">
        <f t="array" ref="C2869">IF(B2869="","",_xlfn.XLOOKUP(B2869,'Form responses 1'!$B$2:$B$2604,'Form responses 1'!$A$2:$A$2604,""))</f>
        <v/>
      </c>
      <c r="D2869" s="44" t="str">
        <f t="shared" si="3"/>
        <v/>
      </c>
      <c r="E2869" s="44" t="str">
        <f t="array" ref="E2869">IF(B2869="","",_xlfn.XLOOKUP(B2869,'Form responses 1'!$B$2:$B$2604,'Form responses 1'!$C$2:$C$2604,""))</f>
        <v/>
      </c>
      <c r="F2869" s="44" t="str">
        <f t="array" ref="F2869">IF(B2869="","",_xlfn.XLOOKUP(B2869,'Form responses 1'!$B$2:$B$2604,'Form responses 1'!$D$2:$D$2604,""))</f>
        <v/>
      </c>
      <c r="G2869" s="44" t="str">
        <f t="array" ref="G2869">IF(B2869="","",_xlfn.XLOOKUP(B2869,'Form responses 1'!$B$2:$B$2604,'Form responses 1'!$E$2:$E$2604,""))</f>
        <v/>
      </c>
      <c r="H2869" s="44" t="str">
        <f t="array" ref="H2869">IF(B2869="","",_xlfn.XLOOKUP(B2869,'Form responses 1'!$B$2:$B$2604,'Form responses 1'!$F$2:$F$2604,""))</f>
        <v/>
      </c>
      <c r="I2869" s="44" t="str">
        <f t="array" ref="I2869">IF(B2869="","",_xlfn.XLOOKUP(B2869,'Form responses 1'!$B$2:$B$2604,'Form responses 1'!$I$2:$I$2604,""))</f>
        <v/>
      </c>
      <c r="J2869" s="44" t="str">
        <f t="array" ref="J2869">IF(B2869="","",_xlfn.XLOOKUP(B2869,'Form responses 1'!$B$2:$B$2604,'Form responses 1'!$G$2:$G$2604,""))</f>
        <v/>
      </c>
      <c r="K2869" s="56"/>
      <c r="L2869" s="58" t="str">
        <f t="shared" si="7"/>
        <v/>
      </c>
      <c r="M2869" s="49"/>
      <c r="N2869" s="49"/>
      <c r="O2869" s="49"/>
      <c r="P2869" s="49"/>
      <c r="Q2869" s="49"/>
      <c r="R2869" s="49"/>
      <c r="S2869" s="49"/>
      <c r="T2869" s="49"/>
      <c r="U2869" s="49"/>
      <c r="V2869" s="49"/>
      <c r="W2869" s="56"/>
      <c r="X2869" s="51" t="str">
        <f t="shared" si="5"/>
        <v/>
      </c>
      <c r="Y2869" s="50" t="s">
        <v>482</v>
      </c>
      <c r="Z2869" s="49">
        <f t="shared" si="6"/>
        <v>0</v>
      </c>
    </row>
    <row r="2870" ht="22.5" customHeight="1">
      <c r="B2870" s="57"/>
      <c r="C2870" s="43" t="str">
        <f t="array" ref="C2870">IF(B2870="","",_xlfn.XLOOKUP(B2870,'Form responses 1'!$B$2:$B$2604,'Form responses 1'!$A$2:$A$2604,""))</f>
        <v/>
      </c>
      <c r="D2870" s="44" t="str">
        <f t="shared" si="3"/>
        <v/>
      </c>
      <c r="E2870" s="44" t="str">
        <f t="array" ref="E2870">IF(B2870="","",_xlfn.XLOOKUP(B2870,'Form responses 1'!$B$2:$B$2604,'Form responses 1'!$C$2:$C$2604,""))</f>
        <v/>
      </c>
      <c r="F2870" s="44" t="str">
        <f t="array" ref="F2870">IF(B2870="","",_xlfn.XLOOKUP(B2870,'Form responses 1'!$B$2:$B$2604,'Form responses 1'!$D$2:$D$2604,""))</f>
        <v/>
      </c>
      <c r="G2870" s="44" t="str">
        <f t="array" ref="G2870">IF(B2870="","",_xlfn.XLOOKUP(B2870,'Form responses 1'!$B$2:$B$2604,'Form responses 1'!$E$2:$E$2604,""))</f>
        <v/>
      </c>
      <c r="H2870" s="44" t="str">
        <f t="array" ref="H2870">IF(B2870="","",_xlfn.XLOOKUP(B2870,'Form responses 1'!$B$2:$B$2604,'Form responses 1'!$F$2:$F$2604,""))</f>
        <v/>
      </c>
      <c r="I2870" s="44" t="str">
        <f t="array" ref="I2870">IF(B2870="","",_xlfn.XLOOKUP(B2870,'Form responses 1'!$B$2:$B$2604,'Form responses 1'!$I$2:$I$2604,""))</f>
        <v/>
      </c>
      <c r="J2870" s="44" t="str">
        <f t="array" ref="J2870">IF(B2870="","",_xlfn.XLOOKUP(B2870,'Form responses 1'!$B$2:$B$2604,'Form responses 1'!$G$2:$G$2604,""))</f>
        <v/>
      </c>
      <c r="K2870" s="56"/>
      <c r="L2870" s="58" t="str">
        <f t="shared" si="7"/>
        <v/>
      </c>
      <c r="M2870" s="49"/>
      <c r="N2870" s="49"/>
      <c r="O2870" s="49"/>
      <c r="P2870" s="49"/>
      <c r="Q2870" s="49"/>
      <c r="R2870" s="49"/>
      <c r="S2870" s="49"/>
      <c r="T2870" s="49"/>
      <c r="U2870" s="49"/>
      <c r="V2870" s="49"/>
      <c r="W2870" s="56"/>
      <c r="X2870" s="51" t="str">
        <f t="shared" si="5"/>
        <v/>
      </c>
      <c r="Y2870" s="50" t="s">
        <v>482</v>
      </c>
      <c r="Z2870" s="49">
        <f t="shared" si="6"/>
        <v>0</v>
      </c>
    </row>
    <row r="2871" ht="22.5" customHeight="1">
      <c r="B2871" s="57"/>
      <c r="C2871" s="43" t="str">
        <f t="array" ref="C2871">IF(B2871="","",_xlfn.XLOOKUP(B2871,'Form responses 1'!$B$2:$B$2604,'Form responses 1'!$A$2:$A$2604,""))</f>
        <v/>
      </c>
      <c r="D2871" s="44" t="str">
        <f t="shared" si="3"/>
        <v/>
      </c>
      <c r="E2871" s="44" t="str">
        <f t="array" ref="E2871">IF(B2871="","",_xlfn.XLOOKUP(B2871,'Form responses 1'!$B$2:$B$2604,'Form responses 1'!$C$2:$C$2604,""))</f>
        <v/>
      </c>
      <c r="F2871" s="44" t="str">
        <f t="array" ref="F2871">IF(B2871="","",_xlfn.XLOOKUP(B2871,'Form responses 1'!$B$2:$B$2604,'Form responses 1'!$D$2:$D$2604,""))</f>
        <v/>
      </c>
      <c r="G2871" s="44" t="str">
        <f t="array" ref="G2871">IF(B2871="","",_xlfn.XLOOKUP(B2871,'Form responses 1'!$B$2:$B$2604,'Form responses 1'!$E$2:$E$2604,""))</f>
        <v/>
      </c>
      <c r="H2871" s="44" t="str">
        <f t="array" ref="H2871">IF(B2871="","",_xlfn.XLOOKUP(B2871,'Form responses 1'!$B$2:$B$2604,'Form responses 1'!$F$2:$F$2604,""))</f>
        <v/>
      </c>
      <c r="I2871" s="44" t="str">
        <f t="array" ref="I2871">IF(B2871="","",_xlfn.XLOOKUP(B2871,'Form responses 1'!$B$2:$B$2604,'Form responses 1'!$I$2:$I$2604,""))</f>
        <v/>
      </c>
      <c r="J2871" s="44" t="str">
        <f t="array" ref="J2871">IF(B2871="","",_xlfn.XLOOKUP(B2871,'Form responses 1'!$B$2:$B$2604,'Form responses 1'!$G$2:$G$2604,""))</f>
        <v/>
      </c>
      <c r="K2871" s="56"/>
      <c r="L2871" s="58" t="str">
        <f t="shared" si="7"/>
        <v/>
      </c>
      <c r="M2871" s="49"/>
      <c r="N2871" s="49"/>
      <c r="O2871" s="49"/>
      <c r="P2871" s="49"/>
      <c r="Q2871" s="49"/>
      <c r="R2871" s="49"/>
      <c r="S2871" s="49"/>
      <c r="T2871" s="49"/>
      <c r="U2871" s="49"/>
      <c r="V2871" s="49"/>
      <c r="W2871" s="56"/>
      <c r="X2871" s="51" t="str">
        <f t="shared" si="5"/>
        <v/>
      </c>
      <c r="Y2871" s="50" t="s">
        <v>482</v>
      </c>
      <c r="Z2871" s="49">
        <f t="shared" si="6"/>
        <v>0</v>
      </c>
    </row>
    <row r="2872" ht="22.5" customHeight="1">
      <c r="B2872" s="57"/>
      <c r="C2872" s="43" t="str">
        <f t="array" ref="C2872">IF(B2872="","",_xlfn.XLOOKUP(B2872,'Form responses 1'!$B$2:$B$2604,'Form responses 1'!$A$2:$A$2604,""))</f>
        <v/>
      </c>
      <c r="D2872" s="44" t="str">
        <f t="shared" si="3"/>
        <v/>
      </c>
      <c r="E2872" s="44" t="str">
        <f t="array" ref="E2872">IF(B2872="","",_xlfn.XLOOKUP(B2872,'Form responses 1'!$B$2:$B$2604,'Form responses 1'!$C$2:$C$2604,""))</f>
        <v/>
      </c>
      <c r="F2872" s="44" t="str">
        <f t="array" ref="F2872">IF(B2872="","",_xlfn.XLOOKUP(B2872,'Form responses 1'!$B$2:$B$2604,'Form responses 1'!$D$2:$D$2604,""))</f>
        <v/>
      </c>
      <c r="G2872" s="44" t="str">
        <f t="array" ref="G2872">IF(B2872="","",_xlfn.XLOOKUP(B2872,'Form responses 1'!$B$2:$B$2604,'Form responses 1'!$E$2:$E$2604,""))</f>
        <v/>
      </c>
      <c r="H2872" s="44" t="str">
        <f t="array" ref="H2872">IF(B2872="","",_xlfn.XLOOKUP(B2872,'Form responses 1'!$B$2:$B$2604,'Form responses 1'!$F$2:$F$2604,""))</f>
        <v/>
      </c>
      <c r="I2872" s="44" t="str">
        <f t="array" ref="I2872">IF(B2872="","",_xlfn.XLOOKUP(B2872,'Form responses 1'!$B$2:$B$2604,'Form responses 1'!$I$2:$I$2604,""))</f>
        <v/>
      </c>
      <c r="J2872" s="44" t="str">
        <f t="array" ref="J2872">IF(B2872="","",_xlfn.XLOOKUP(B2872,'Form responses 1'!$B$2:$B$2604,'Form responses 1'!$G$2:$G$2604,""))</f>
        <v/>
      </c>
      <c r="K2872" s="56"/>
      <c r="L2872" s="58" t="str">
        <f t="shared" si="7"/>
        <v/>
      </c>
      <c r="M2872" s="49"/>
      <c r="N2872" s="49"/>
      <c r="O2872" s="49"/>
      <c r="P2872" s="49"/>
      <c r="Q2872" s="49"/>
      <c r="R2872" s="49"/>
      <c r="S2872" s="49"/>
      <c r="T2872" s="49"/>
      <c r="U2872" s="49"/>
      <c r="V2872" s="49"/>
      <c r="W2872" s="56"/>
      <c r="X2872" s="51" t="str">
        <f t="shared" si="5"/>
        <v/>
      </c>
      <c r="Y2872" s="50" t="s">
        <v>482</v>
      </c>
      <c r="Z2872" s="49">
        <f t="shared" si="6"/>
        <v>0</v>
      </c>
    </row>
    <row r="2873" ht="22.5" customHeight="1">
      <c r="B2873" s="57"/>
      <c r="C2873" s="43" t="str">
        <f t="array" ref="C2873">IF(B2873="","",_xlfn.XLOOKUP(B2873,'Form responses 1'!$B$2:$B$2604,'Form responses 1'!$A$2:$A$2604,""))</f>
        <v/>
      </c>
      <c r="D2873" s="44" t="str">
        <f t="shared" si="3"/>
        <v/>
      </c>
      <c r="E2873" s="44" t="str">
        <f t="array" ref="E2873">IF(B2873="","",_xlfn.XLOOKUP(B2873,'Form responses 1'!$B$2:$B$2604,'Form responses 1'!$C$2:$C$2604,""))</f>
        <v/>
      </c>
      <c r="F2873" s="44" t="str">
        <f t="array" ref="F2873">IF(B2873="","",_xlfn.XLOOKUP(B2873,'Form responses 1'!$B$2:$B$2604,'Form responses 1'!$D$2:$D$2604,""))</f>
        <v/>
      </c>
      <c r="G2873" s="44" t="str">
        <f t="array" ref="G2873">IF(B2873="","",_xlfn.XLOOKUP(B2873,'Form responses 1'!$B$2:$B$2604,'Form responses 1'!$E$2:$E$2604,""))</f>
        <v/>
      </c>
      <c r="H2873" s="44" t="str">
        <f t="array" ref="H2873">IF(B2873="","",_xlfn.XLOOKUP(B2873,'Form responses 1'!$B$2:$B$2604,'Form responses 1'!$F$2:$F$2604,""))</f>
        <v/>
      </c>
      <c r="I2873" s="44" t="str">
        <f t="array" ref="I2873">IF(B2873="","",_xlfn.XLOOKUP(B2873,'Form responses 1'!$B$2:$B$2604,'Form responses 1'!$I$2:$I$2604,""))</f>
        <v/>
      </c>
      <c r="J2873" s="44" t="str">
        <f t="array" ref="J2873">IF(B2873="","",_xlfn.XLOOKUP(B2873,'Form responses 1'!$B$2:$B$2604,'Form responses 1'!$G$2:$G$2604,""))</f>
        <v/>
      </c>
      <c r="K2873" s="56"/>
      <c r="L2873" s="58" t="str">
        <f t="shared" si="7"/>
        <v/>
      </c>
      <c r="M2873" s="49"/>
      <c r="N2873" s="49"/>
      <c r="O2873" s="49"/>
      <c r="P2873" s="49"/>
      <c r="Q2873" s="49"/>
      <c r="R2873" s="49"/>
      <c r="S2873" s="49"/>
      <c r="T2873" s="49"/>
      <c r="U2873" s="49"/>
      <c r="V2873" s="49"/>
      <c r="W2873" s="56"/>
      <c r="X2873" s="51" t="str">
        <f t="shared" si="5"/>
        <v/>
      </c>
      <c r="Y2873" s="50" t="s">
        <v>482</v>
      </c>
      <c r="Z2873" s="49">
        <f t="shared" si="6"/>
        <v>0</v>
      </c>
    </row>
    <row r="2874" ht="22.5" customHeight="1">
      <c r="B2874" s="57"/>
      <c r="C2874" s="43" t="str">
        <f t="array" ref="C2874">IF(B2874="","",_xlfn.XLOOKUP(B2874,'Form responses 1'!$B$2:$B$2604,'Form responses 1'!$A$2:$A$2604,""))</f>
        <v/>
      </c>
      <c r="D2874" s="44" t="str">
        <f t="shared" si="3"/>
        <v/>
      </c>
      <c r="E2874" s="44" t="str">
        <f t="array" ref="E2874">IF(B2874="","",_xlfn.XLOOKUP(B2874,'Form responses 1'!$B$2:$B$2604,'Form responses 1'!$C$2:$C$2604,""))</f>
        <v/>
      </c>
      <c r="F2874" s="44" t="str">
        <f t="array" ref="F2874">IF(B2874="","",_xlfn.XLOOKUP(B2874,'Form responses 1'!$B$2:$B$2604,'Form responses 1'!$D$2:$D$2604,""))</f>
        <v/>
      </c>
      <c r="G2874" s="44" t="str">
        <f t="array" ref="G2874">IF(B2874="","",_xlfn.XLOOKUP(B2874,'Form responses 1'!$B$2:$B$2604,'Form responses 1'!$E$2:$E$2604,""))</f>
        <v/>
      </c>
      <c r="H2874" s="44" t="str">
        <f t="array" ref="H2874">IF(B2874="","",_xlfn.XLOOKUP(B2874,'Form responses 1'!$B$2:$B$2604,'Form responses 1'!$F$2:$F$2604,""))</f>
        <v/>
      </c>
      <c r="I2874" s="44" t="str">
        <f t="array" ref="I2874">IF(B2874="","",_xlfn.XLOOKUP(B2874,'Form responses 1'!$B$2:$B$2604,'Form responses 1'!$I$2:$I$2604,""))</f>
        <v/>
      </c>
      <c r="J2874" s="44" t="str">
        <f t="array" ref="J2874">IF(B2874="","",_xlfn.XLOOKUP(B2874,'Form responses 1'!$B$2:$B$2604,'Form responses 1'!$G$2:$G$2604,""))</f>
        <v/>
      </c>
      <c r="K2874" s="56"/>
      <c r="L2874" s="58" t="str">
        <f t="shared" si="7"/>
        <v/>
      </c>
      <c r="M2874" s="49"/>
      <c r="N2874" s="49"/>
      <c r="O2874" s="49"/>
      <c r="P2874" s="49"/>
      <c r="Q2874" s="49"/>
      <c r="R2874" s="49"/>
      <c r="S2874" s="49"/>
      <c r="T2874" s="49"/>
      <c r="U2874" s="49"/>
      <c r="V2874" s="49"/>
      <c r="W2874" s="56"/>
      <c r="X2874" s="51" t="str">
        <f t="shared" si="5"/>
        <v/>
      </c>
      <c r="Y2874" s="50" t="s">
        <v>482</v>
      </c>
      <c r="Z2874" s="49">
        <f t="shared" si="6"/>
        <v>0</v>
      </c>
    </row>
    <row r="2875" ht="22.5" customHeight="1">
      <c r="B2875" s="57"/>
      <c r="C2875" s="43" t="str">
        <f t="array" ref="C2875">IF(B2875="","",_xlfn.XLOOKUP(B2875,'Form responses 1'!$B$2:$B$2604,'Form responses 1'!$A$2:$A$2604,""))</f>
        <v/>
      </c>
      <c r="D2875" s="44" t="str">
        <f t="shared" si="3"/>
        <v/>
      </c>
      <c r="E2875" s="44" t="str">
        <f t="array" ref="E2875">IF(B2875="","",_xlfn.XLOOKUP(B2875,'Form responses 1'!$B$2:$B$2604,'Form responses 1'!$C$2:$C$2604,""))</f>
        <v/>
      </c>
      <c r="F2875" s="44" t="str">
        <f t="array" ref="F2875">IF(B2875="","",_xlfn.XLOOKUP(B2875,'Form responses 1'!$B$2:$B$2604,'Form responses 1'!$D$2:$D$2604,""))</f>
        <v/>
      </c>
      <c r="G2875" s="44" t="str">
        <f t="array" ref="G2875">IF(B2875="","",_xlfn.XLOOKUP(B2875,'Form responses 1'!$B$2:$B$2604,'Form responses 1'!$E$2:$E$2604,""))</f>
        <v/>
      </c>
      <c r="H2875" s="44" t="str">
        <f t="array" ref="H2875">IF(B2875="","",_xlfn.XLOOKUP(B2875,'Form responses 1'!$B$2:$B$2604,'Form responses 1'!$F$2:$F$2604,""))</f>
        <v/>
      </c>
      <c r="I2875" s="44" t="str">
        <f t="array" ref="I2875">IF(B2875="","",_xlfn.XLOOKUP(B2875,'Form responses 1'!$B$2:$B$2604,'Form responses 1'!$I$2:$I$2604,""))</f>
        <v/>
      </c>
      <c r="J2875" s="44" t="str">
        <f t="array" ref="J2875">IF(B2875="","",_xlfn.XLOOKUP(B2875,'Form responses 1'!$B$2:$B$2604,'Form responses 1'!$G$2:$G$2604,""))</f>
        <v/>
      </c>
      <c r="K2875" s="56"/>
      <c r="L2875" s="58" t="str">
        <f t="shared" si="7"/>
        <v/>
      </c>
      <c r="M2875" s="49"/>
      <c r="N2875" s="49"/>
      <c r="O2875" s="49"/>
      <c r="P2875" s="49"/>
      <c r="Q2875" s="49"/>
      <c r="R2875" s="49"/>
      <c r="S2875" s="49"/>
      <c r="T2875" s="49"/>
      <c r="U2875" s="49"/>
      <c r="V2875" s="49"/>
      <c r="W2875" s="56"/>
      <c r="X2875" s="51" t="str">
        <f t="shared" si="5"/>
        <v/>
      </c>
      <c r="Y2875" s="50" t="s">
        <v>482</v>
      </c>
      <c r="Z2875" s="49">
        <f t="shared" si="6"/>
        <v>0</v>
      </c>
    </row>
    <row r="2876" ht="22.5" customHeight="1">
      <c r="B2876" s="57"/>
      <c r="C2876" s="43" t="str">
        <f t="array" ref="C2876">IF(B2876="","",_xlfn.XLOOKUP(B2876,'Form responses 1'!$B$2:$B$2604,'Form responses 1'!$A$2:$A$2604,""))</f>
        <v/>
      </c>
      <c r="D2876" s="44" t="str">
        <f t="shared" si="3"/>
        <v/>
      </c>
      <c r="E2876" s="44" t="str">
        <f t="array" ref="E2876">IF(B2876="","",_xlfn.XLOOKUP(B2876,'Form responses 1'!$B$2:$B$2604,'Form responses 1'!$C$2:$C$2604,""))</f>
        <v/>
      </c>
      <c r="F2876" s="44" t="str">
        <f t="array" ref="F2876">IF(B2876="","",_xlfn.XLOOKUP(B2876,'Form responses 1'!$B$2:$B$2604,'Form responses 1'!$D$2:$D$2604,""))</f>
        <v/>
      </c>
      <c r="G2876" s="44" t="str">
        <f t="array" ref="G2876">IF(B2876="","",_xlfn.XLOOKUP(B2876,'Form responses 1'!$B$2:$B$2604,'Form responses 1'!$E$2:$E$2604,""))</f>
        <v/>
      </c>
      <c r="H2876" s="44" t="str">
        <f t="array" ref="H2876">IF(B2876="","",_xlfn.XLOOKUP(B2876,'Form responses 1'!$B$2:$B$2604,'Form responses 1'!$F$2:$F$2604,""))</f>
        <v/>
      </c>
      <c r="I2876" s="44" t="str">
        <f t="array" ref="I2876">IF(B2876="","",_xlfn.XLOOKUP(B2876,'Form responses 1'!$B$2:$B$2604,'Form responses 1'!$I$2:$I$2604,""))</f>
        <v/>
      </c>
      <c r="J2876" s="44" t="str">
        <f t="array" ref="J2876">IF(B2876="","",_xlfn.XLOOKUP(B2876,'Form responses 1'!$B$2:$B$2604,'Form responses 1'!$G$2:$G$2604,""))</f>
        <v/>
      </c>
      <c r="K2876" s="56"/>
      <c r="L2876" s="58" t="str">
        <f t="shared" si="7"/>
        <v/>
      </c>
      <c r="M2876" s="49"/>
      <c r="N2876" s="49"/>
      <c r="O2876" s="49"/>
      <c r="P2876" s="49"/>
      <c r="Q2876" s="49"/>
      <c r="R2876" s="49"/>
      <c r="S2876" s="49"/>
      <c r="T2876" s="49"/>
      <c r="U2876" s="49"/>
      <c r="V2876" s="49"/>
      <c r="W2876" s="56"/>
      <c r="X2876" s="51" t="str">
        <f t="shared" si="5"/>
        <v/>
      </c>
      <c r="Y2876" s="50" t="s">
        <v>482</v>
      </c>
      <c r="Z2876" s="49">
        <f t="shared" si="6"/>
        <v>0</v>
      </c>
    </row>
    <row r="2877" ht="22.5" customHeight="1">
      <c r="B2877" s="57"/>
      <c r="C2877" s="43" t="str">
        <f t="array" ref="C2877">IF(B2877="","",_xlfn.XLOOKUP(B2877,'Form responses 1'!$B$2:$B$2604,'Form responses 1'!$A$2:$A$2604,""))</f>
        <v/>
      </c>
      <c r="D2877" s="44" t="str">
        <f t="shared" si="3"/>
        <v/>
      </c>
      <c r="E2877" s="44" t="str">
        <f t="array" ref="E2877">IF(B2877="","",_xlfn.XLOOKUP(B2877,'Form responses 1'!$B$2:$B$2604,'Form responses 1'!$C$2:$C$2604,""))</f>
        <v/>
      </c>
      <c r="F2877" s="44" t="str">
        <f t="array" ref="F2877">IF(B2877="","",_xlfn.XLOOKUP(B2877,'Form responses 1'!$B$2:$B$2604,'Form responses 1'!$D$2:$D$2604,""))</f>
        <v/>
      </c>
      <c r="G2877" s="44" t="str">
        <f t="array" ref="G2877">IF(B2877="","",_xlfn.XLOOKUP(B2877,'Form responses 1'!$B$2:$B$2604,'Form responses 1'!$E$2:$E$2604,""))</f>
        <v/>
      </c>
      <c r="H2877" s="44" t="str">
        <f t="array" ref="H2877">IF(B2877="","",_xlfn.XLOOKUP(B2877,'Form responses 1'!$B$2:$B$2604,'Form responses 1'!$F$2:$F$2604,""))</f>
        <v/>
      </c>
      <c r="I2877" s="44" t="str">
        <f t="array" ref="I2877">IF(B2877="","",_xlfn.XLOOKUP(B2877,'Form responses 1'!$B$2:$B$2604,'Form responses 1'!$I$2:$I$2604,""))</f>
        <v/>
      </c>
      <c r="J2877" s="44" t="str">
        <f t="array" ref="J2877">IF(B2877="","",_xlfn.XLOOKUP(B2877,'Form responses 1'!$B$2:$B$2604,'Form responses 1'!$G$2:$G$2604,""))</f>
        <v/>
      </c>
      <c r="K2877" s="56"/>
      <c r="L2877" s="58" t="str">
        <f t="shared" si="7"/>
        <v/>
      </c>
      <c r="M2877" s="49"/>
      <c r="N2877" s="49"/>
      <c r="O2877" s="49"/>
      <c r="P2877" s="49"/>
      <c r="Q2877" s="49"/>
      <c r="R2877" s="49"/>
      <c r="S2877" s="49"/>
      <c r="T2877" s="49"/>
      <c r="U2877" s="49"/>
      <c r="V2877" s="49"/>
      <c r="W2877" s="56"/>
      <c r="X2877" s="51" t="str">
        <f t="shared" si="5"/>
        <v/>
      </c>
      <c r="Y2877" s="50" t="s">
        <v>482</v>
      </c>
      <c r="Z2877" s="49">
        <f t="shared" si="6"/>
        <v>0</v>
      </c>
    </row>
    <row r="2878" ht="22.5" customHeight="1">
      <c r="B2878" s="57"/>
      <c r="C2878" s="43" t="str">
        <f t="array" ref="C2878">IF(B2878="","",_xlfn.XLOOKUP(B2878,'Form responses 1'!$B$2:$B$2604,'Form responses 1'!$A$2:$A$2604,""))</f>
        <v/>
      </c>
      <c r="D2878" s="44" t="str">
        <f t="shared" si="3"/>
        <v/>
      </c>
      <c r="E2878" s="44" t="str">
        <f t="array" ref="E2878">IF(B2878="","",_xlfn.XLOOKUP(B2878,'Form responses 1'!$B$2:$B$2604,'Form responses 1'!$C$2:$C$2604,""))</f>
        <v/>
      </c>
      <c r="F2878" s="44" t="str">
        <f t="array" ref="F2878">IF(B2878="","",_xlfn.XLOOKUP(B2878,'Form responses 1'!$B$2:$B$2604,'Form responses 1'!$D$2:$D$2604,""))</f>
        <v/>
      </c>
      <c r="G2878" s="44" t="str">
        <f t="array" ref="G2878">IF(B2878="","",_xlfn.XLOOKUP(B2878,'Form responses 1'!$B$2:$B$2604,'Form responses 1'!$E$2:$E$2604,""))</f>
        <v/>
      </c>
      <c r="H2878" s="44" t="str">
        <f t="array" ref="H2878">IF(B2878="","",_xlfn.XLOOKUP(B2878,'Form responses 1'!$B$2:$B$2604,'Form responses 1'!$F$2:$F$2604,""))</f>
        <v/>
      </c>
      <c r="I2878" s="44" t="str">
        <f t="array" ref="I2878">IF(B2878="","",_xlfn.XLOOKUP(B2878,'Form responses 1'!$B$2:$B$2604,'Form responses 1'!$I$2:$I$2604,""))</f>
        <v/>
      </c>
      <c r="J2878" s="44" t="str">
        <f t="array" ref="J2878">IF(B2878="","",_xlfn.XLOOKUP(B2878,'Form responses 1'!$B$2:$B$2604,'Form responses 1'!$G$2:$G$2604,""))</f>
        <v/>
      </c>
      <c r="K2878" s="56"/>
      <c r="L2878" s="58" t="str">
        <f t="shared" si="7"/>
        <v/>
      </c>
      <c r="M2878" s="49"/>
      <c r="N2878" s="49"/>
      <c r="O2878" s="49"/>
      <c r="P2878" s="49"/>
      <c r="Q2878" s="49"/>
      <c r="R2878" s="49"/>
      <c r="S2878" s="49"/>
      <c r="T2878" s="49"/>
      <c r="U2878" s="49"/>
      <c r="V2878" s="49"/>
      <c r="W2878" s="56"/>
      <c r="X2878" s="51" t="str">
        <f t="shared" si="5"/>
        <v/>
      </c>
      <c r="Y2878" s="50" t="s">
        <v>482</v>
      </c>
      <c r="Z2878" s="49">
        <f t="shared" si="6"/>
        <v>0</v>
      </c>
    </row>
    <row r="2879" ht="22.5" customHeight="1">
      <c r="B2879" s="57"/>
      <c r="C2879" s="43" t="str">
        <f t="array" ref="C2879">IF(B2879="","",_xlfn.XLOOKUP(B2879,'Form responses 1'!$B$2:$B$2604,'Form responses 1'!$A$2:$A$2604,""))</f>
        <v/>
      </c>
      <c r="D2879" s="44" t="str">
        <f t="shared" si="3"/>
        <v/>
      </c>
      <c r="E2879" s="44" t="str">
        <f t="array" ref="E2879">IF(B2879="","",_xlfn.XLOOKUP(B2879,'Form responses 1'!$B$2:$B$2604,'Form responses 1'!$C$2:$C$2604,""))</f>
        <v/>
      </c>
      <c r="F2879" s="44" t="str">
        <f t="array" ref="F2879">IF(B2879="","",_xlfn.XLOOKUP(B2879,'Form responses 1'!$B$2:$B$2604,'Form responses 1'!$D$2:$D$2604,""))</f>
        <v/>
      </c>
      <c r="G2879" s="44" t="str">
        <f t="array" ref="G2879">IF(B2879="","",_xlfn.XLOOKUP(B2879,'Form responses 1'!$B$2:$B$2604,'Form responses 1'!$E$2:$E$2604,""))</f>
        <v/>
      </c>
      <c r="H2879" s="44" t="str">
        <f t="array" ref="H2879">IF(B2879="","",_xlfn.XLOOKUP(B2879,'Form responses 1'!$B$2:$B$2604,'Form responses 1'!$F$2:$F$2604,""))</f>
        <v/>
      </c>
      <c r="I2879" s="44" t="str">
        <f t="array" ref="I2879">IF(B2879="","",_xlfn.XLOOKUP(B2879,'Form responses 1'!$B$2:$B$2604,'Form responses 1'!$I$2:$I$2604,""))</f>
        <v/>
      </c>
      <c r="J2879" s="44" t="str">
        <f t="array" ref="J2879">IF(B2879="","",_xlfn.XLOOKUP(B2879,'Form responses 1'!$B$2:$B$2604,'Form responses 1'!$G$2:$G$2604,""))</f>
        <v/>
      </c>
      <c r="K2879" s="56"/>
      <c r="L2879" s="58" t="str">
        <f t="shared" si="7"/>
        <v/>
      </c>
      <c r="M2879" s="49"/>
      <c r="N2879" s="49"/>
      <c r="O2879" s="49"/>
      <c r="P2879" s="49"/>
      <c r="Q2879" s="49"/>
      <c r="R2879" s="49"/>
      <c r="S2879" s="49"/>
      <c r="T2879" s="49"/>
      <c r="U2879" s="49"/>
      <c r="V2879" s="49"/>
      <c r="W2879" s="56"/>
      <c r="X2879" s="51" t="str">
        <f t="shared" si="5"/>
        <v/>
      </c>
      <c r="Y2879" s="50" t="s">
        <v>482</v>
      </c>
      <c r="Z2879" s="49">
        <f t="shared" si="6"/>
        <v>0</v>
      </c>
    </row>
    <row r="2880" ht="22.5" customHeight="1">
      <c r="B2880" s="57"/>
      <c r="C2880" s="43" t="str">
        <f t="array" ref="C2880">IF(B2880="","",_xlfn.XLOOKUP(B2880,'Form responses 1'!$B$2:$B$2604,'Form responses 1'!$A$2:$A$2604,""))</f>
        <v/>
      </c>
      <c r="D2880" s="44" t="str">
        <f t="shared" si="3"/>
        <v/>
      </c>
      <c r="E2880" s="44" t="str">
        <f t="array" ref="E2880">IF(B2880="","",_xlfn.XLOOKUP(B2880,'Form responses 1'!$B$2:$B$2604,'Form responses 1'!$C$2:$C$2604,""))</f>
        <v/>
      </c>
      <c r="F2880" s="44" t="str">
        <f t="array" ref="F2880">IF(B2880="","",_xlfn.XLOOKUP(B2880,'Form responses 1'!$B$2:$B$2604,'Form responses 1'!$D$2:$D$2604,""))</f>
        <v/>
      </c>
      <c r="G2880" s="44" t="str">
        <f t="array" ref="G2880">IF(B2880="","",_xlfn.XLOOKUP(B2880,'Form responses 1'!$B$2:$B$2604,'Form responses 1'!$E$2:$E$2604,""))</f>
        <v/>
      </c>
      <c r="H2880" s="44" t="str">
        <f t="array" ref="H2880">IF(B2880="","",_xlfn.XLOOKUP(B2880,'Form responses 1'!$B$2:$B$2604,'Form responses 1'!$F$2:$F$2604,""))</f>
        <v/>
      </c>
      <c r="I2880" s="44" t="str">
        <f t="array" ref="I2880">IF(B2880="","",_xlfn.XLOOKUP(B2880,'Form responses 1'!$B$2:$B$2604,'Form responses 1'!$I$2:$I$2604,""))</f>
        <v/>
      </c>
      <c r="J2880" s="44" t="str">
        <f t="array" ref="J2880">IF(B2880="","",_xlfn.XLOOKUP(B2880,'Form responses 1'!$B$2:$B$2604,'Form responses 1'!$G$2:$G$2604,""))</f>
        <v/>
      </c>
      <c r="K2880" s="56"/>
      <c r="L2880" s="58" t="str">
        <f t="shared" si="7"/>
        <v/>
      </c>
      <c r="M2880" s="49"/>
      <c r="N2880" s="49"/>
      <c r="O2880" s="49"/>
      <c r="P2880" s="49"/>
      <c r="Q2880" s="49"/>
      <c r="R2880" s="49"/>
      <c r="S2880" s="49"/>
      <c r="T2880" s="49"/>
      <c r="U2880" s="49"/>
      <c r="V2880" s="49"/>
      <c r="W2880" s="56"/>
      <c r="X2880" s="51" t="str">
        <f t="shared" si="5"/>
        <v/>
      </c>
      <c r="Y2880" s="50" t="s">
        <v>482</v>
      </c>
      <c r="Z2880" s="49">
        <f t="shared" si="6"/>
        <v>0</v>
      </c>
    </row>
    <row r="2881" ht="22.5" customHeight="1">
      <c r="B2881" s="57"/>
      <c r="C2881" s="43" t="str">
        <f t="array" ref="C2881">IF(B2881="","",_xlfn.XLOOKUP(B2881,'Form responses 1'!$B$2:$B$2604,'Form responses 1'!$A$2:$A$2604,""))</f>
        <v/>
      </c>
      <c r="D2881" s="44" t="str">
        <f t="shared" si="3"/>
        <v/>
      </c>
      <c r="E2881" s="44" t="str">
        <f t="array" ref="E2881">IF(B2881="","",_xlfn.XLOOKUP(B2881,'Form responses 1'!$B$2:$B$2604,'Form responses 1'!$C$2:$C$2604,""))</f>
        <v/>
      </c>
      <c r="F2881" s="44" t="str">
        <f t="array" ref="F2881">IF(B2881="","",_xlfn.XLOOKUP(B2881,'Form responses 1'!$B$2:$B$2604,'Form responses 1'!$D$2:$D$2604,""))</f>
        <v/>
      </c>
      <c r="G2881" s="44" t="str">
        <f t="array" ref="G2881">IF(B2881="","",_xlfn.XLOOKUP(B2881,'Form responses 1'!$B$2:$B$2604,'Form responses 1'!$E$2:$E$2604,""))</f>
        <v/>
      </c>
      <c r="H2881" s="44" t="str">
        <f t="array" ref="H2881">IF(B2881="","",_xlfn.XLOOKUP(B2881,'Form responses 1'!$B$2:$B$2604,'Form responses 1'!$F$2:$F$2604,""))</f>
        <v/>
      </c>
      <c r="I2881" s="44" t="str">
        <f t="array" ref="I2881">IF(B2881="","",_xlfn.XLOOKUP(B2881,'Form responses 1'!$B$2:$B$2604,'Form responses 1'!$I$2:$I$2604,""))</f>
        <v/>
      </c>
      <c r="J2881" s="44" t="str">
        <f t="array" ref="J2881">IF(B2881="","",_xlfn.XLOOKUP(B2881,'Form responses 1'!$B$2:$B$2604,'Form responses 1'!$G$2:$G$2604,""))</f>
        <v/>
      </c>
      <c r="K2881" s="56"/>
      <c r="L2881" s="58" t="str">
        <f t="shared" si="7"/>
        <v/>
      </c>
      <c r="M2881" s="49"/>
      <c r="N2881" s="49"/>
      <c r="O2881" s="49"/>
      <c r="P2881" s="49"/>
      <c r="Q2881" s="49"/>
      <c r="R2881" s="49"/>
      <c r="S2881" s="49"/>
      <c r="T2881" s="49"/>
      <c r="U2881" s="49"/>
      <c r="V2881" s="49"/>
      <c r="W2881" s="56"/>
      <c r="X2881" s="51" t="str">
        <f t="shared" si="5"/>
        <v/>
      </c>
      <c r="Y2881" s="50" t="s">
        <v>482</v>
      </c>
      <c r="Z2881" s="49">
        <f t="shared" si="6"/>
        <v>0</v>
      </c>
    </row>
    <row r="2882" ht="22.5" customHeight="1">
      <c r="B2882" s="57"/>
      <c r="C2882" s="43" t="str">
        <f t="array" ref="C2882">IF(B2882="","",_xlfn.XLOOKUP(B2882,'Form responses 1'!$B$2:$B$2604,'Form responses 1'!$A$2:$A$2604,""))</f>
        <v/>
      </c>
      <c r="D2882" s="44" t="str">
        <f t="shared" si="3"/>
        <v/>
      </c>
      <c r="E2882" s="44" t="str">
        <f t="array" ref="E2882">IF(B2882="","",_xlfn.XLOOKUP(B2882,'Form responses 1'!$B$2:$B$2604,'Form responses 1'!$C$2:$C$2604,""))</f>
        <v/>
      </c>
      <c r="F2882" s="44" t="str">
        <f t="array" ref="F2882">IF(B2882="","",_xlfn.XLOOKUP(B2882,'Form responses 1'!$B$2:$B$2604,'Form responses 1'!$D$2:$D$2604,""))</f>
        <v/>
      </c>
      <c r="G2882" s="44" t="str">
        <f t="array" ref="G2882">IF(B2882="","",_xlfn.XLOOKUP(B2882,'Form responses 1'!$B$2:$B$2604,'Form responses 1'!$E$2:$E$2604,""))</f>
        <v/>
      </c>
      <c r="H2882" s="44" t="str">
        <f t="array" ref="H2882">IF(B2882="","",_xlfn.XLOOKUP(B2882,'Form responses 1'!$B$2:$B$2604,'Form responses 1'!$F$2:$F$2604,""))</f>
        <v/>
      </c>
      <c r="I2882" s="44" t="str">
        <f t="array" ref="I2882">IF(B2882="","",_xlfn.XLOOKUP(B2882,'Form responses 1'!$B$2:$B$2604,'Form responses 1'!$I$2:$I$2604,""))</f>
        <v/>
      </c>
      <c r="J2882" s="44" t="str">
        <f t="array" ref="J2882">IF(B2882="","",_xlfn.XLOOKUP(B2882,'Form responses 1'!$B$2:$B$2604,'Form responses 1'!$G$2:$G$2604,""))</f>
        <v/>
      </c>
      <c r="K2882" s="56"/>
      <c r="L2882" s="58" t="str">
        <f t="shared" si="7"/>
        <v/>
      </c>
      <c r="M2882" s="49"/>
      <c r="N2882" s="49"/>
      <c r="O2882" s="49"/>
      <c r="P2882" s="49"/>
      <c r="Q2882" s="49"/>
      <c r="R2882" s="49"/>
      <c r="S2882" s="49"/>
      <c r="T2882" s="49"/>
      <c r="U2882" s="49"/>
      <c r="V2882" s="49"/>
      <c r="W2882" s="56"/>
      <c r="X2882" s="51" t="str">
        <f t="shared" si="5"/>
        <v/>
      </c>
      <c r="Y2882" s="50" t="s">
        <v>482</v>
      </c>
      <c r="Z2882" s="49">
        <f t="shared" si="6"/>
        <v>0</v>
      </c>
    </row>
    <row r="2883" ht="22.5" customHeight="1">
      <c r="B2883" s="57"/>
      <c r="C2883" s="43" t="str">
        <f t="array" ref="C2883">IF(B2883="","",_xlfn.XLOOKUP(B2883,'Form responses 1'!$B$2:$B$2604,'Form responses 1'!$A$2:$A$2604,""))</f>
        <v/>
      </c>
      <c r="D2883" s="44" t="str">
        <f t="shared" si="3"/>
        <v/>
      </c>
      <c r="E2883" s="44" t="str">
        <f t="array" ref="E2883">IF(B2883="","",_xlfn.XLOOKUP(B2883,'Form responses 1'!$B$2:$B$2604,'Form responses 1'!$C$2:$C$2604,""))</f>
        <v/>
      </c>
      <c r="F2883" s="44" t="str">
        <f t="array" ref="F2883">IF(B2883="","",_xlfn.XLOOKUP(B2883,'Form responses 1'!$B$2:$B$2604,'Form responses 1'!$D$2:$D$2604,""))</f>
        <v/>
      </c>
      <c r="G2883" s="44" t="str">
        <f t="array" ref="G2883">IF(B2883="","",_xlfn.XLOOKUP(B2883,'Form responses 1'!$B$2:$B$2604,'Form responses 1'!$E$2:$E$2604,""))</f>
        <v/>
      </c>
      <c r="H2883" s="44" t="str">
        <f t="array" ref="H2883">IF(B2883="","",_xlfn.XLOOKUP(B2883,'Form responses 1'!$B$2:$B$2604,'Form responses 1'!$F$2:$F$2604,""))</f>
        <v/>
      </c>
      <c r="I2883" s="44" t="str">
        <f t="array" ref="I2883">IF(B2883="","",_xlfn.XLOOKUP(B2883,'Form responses 1'!$B$2:$B$2604,'Form responses 1'!$I$2:$I$2604,""))</f>
        <v/>
      </c>
      <c r="J2883" s="44" t="str">
        <f t="array" ref="J2883">IF(B2883="","",_xlfn.XLOOKUP(B2883,'Form responses 1'!$B$2:$B$2604,'Form responses 1'!$G$2:$G$2604,""))</f>
        <v/>
      </c>
      <c r="K2883" s="56"/>
      <c r="L2883" s="58" t="str">
        <f t="shared" si="7"/>
        <v/>
      </c>
      <c r="M2883" s="49"/>
      <c r="N2883" s="49"/>
      <c r="O2883" s="49"/>
      <c r="P2883" s="49"/>
      <c r="Q2883" s="49"/>
      <c r="R2883" s="49"/>
      <c r="S2883" s="49"/>
      <c r="T2883" s="49"/>
      <c r="U2883" s="49"/>
      <c r="V2883" s="49"/>
      <c r="W2883" s="56"/>
      <c r="X2883" s="51" t="str">
        <f t="shared" si="5"/>
        <v/>
      </c>
      <c r="Y2883" s="50" t="s">
        <v>482</v>
      </c>
      <c r="Z2883" s="49">
        <f t="shared" si="6"/>
        <v>0</v>
      </c>
    </row>
    <row r="2884" ht="22.5" customHeight="1">
      <c r="B2884" s="57"/>
      <c r="C2884" s="43" t="str">
        <f t="array" ref="C2884">IF(B2884="","",_xlfn.XLOOKUP(B2884,'Form responses 1'!$B$2:$B$2604,'Form responses 1'!$A$2:$A$2604,""))</f>
        <v/>
      </c>
      <c r="D2884" s="44" t="str">
        <f t="shared" si="3"/>
        <v/>
      </c>
      <c r="E2884" s="44" t="str">
        <f t="array" ref="E2884">IF(B2884="","",_xlfn.XLOOKUP(B2884,'Form responses 1'!$B$2:$B$2604,'Form responses 1'!$C$2:$C$2604,""))</f>
        <v/>
      </c>
      <c r="F2884" s="44" t="str">
        <f t="array" ref="F2884">IF(B2884="","",_xlfn.XLOOKUP(B2884,'Form responses 1'!$B$2:$B$2604,'Form responses 1'!$D$2:$D$2604,""))</f>
        <v/>
      </c>
      <c r="G2884" s="44" t="str">
        <f t="array" ref="G2884">IF(B2884="","",_xlfn.XLOOKUP(B2884,'Form responses 1'!$B$2:$B$2604,'Form responses 1'!$E$2:$E$2604,""))</f>
        <v/>
      </c>
      <c r="H2884" s="44" t="str">
        <f t="array" ref="H2884">IF(B2884="","",_xlfn.XLOOKUP(B2884,'Form responses 1'!$B$2:$B$2604,'Form responses 1'!$F$2:$F$2604,""))</f>
        <v/>
      </c>
      <c r="I2884" s="44" t="str">
        <f t="array" ref="I2884">IF(B2884="","",_xlfn.XLOOKUP(B2884,'Form responses 1'!$B$2:$B$2604,'Form responses 1'!$I$2:$I$2604,""))</f>
        <v/>
      </c>
      <c r="J2884" s="44" t="str">
        <f t="array" ref="J2884">IF(B2884="","",_xlfn.XLOOKUP(B2884,'Form responses 1'!$B$2:$B$2604,'Form responses 1'!$G$2:$G$2604,""))</f>
        <v/>
      </c>
      <c r="K2884" s="56"/>
      <c r="L2884" s="58" t="str">
        <f t="shared" si="7"/>
        <v/>
      </c>
      <c r="M2884" s="49"/>
      <c r="N2884" s="49"/>
      <c r="O2884" s="49"/>
      <c r="P2884" s="49"/>
      <c r="Q2884" s="49"/>
      <c r="R2884" s="49"/>
      <c r="S2884" s="49"/>
      <c r="T2884" s="49"/>
      <c r="U2884" s="49"/>
      <c r="V2884" s="49"/>
      <c r="W2884" s="56"/>
      <c r="X2884" s="51" t="str">
        <f t="shared" si="5"/>
        <v/>
      </c>
      <c r="Y2884" s="50" t="s">
        <v>482</v>
      </c>
      <c r="Z2884" s="49">
        <f t="shared" si="6"/>
        <v>0</v>
      </c>
    </row>
    <row r="2885" ht="22.5" customHeight="1">
      <c r="B2885" s="57"/>
      <c r="C2885" s="43" t="str">
        <f t="array" ref="C2885">IF(B2885="","",_xlfn.XLOOKUP(B2885,'Form responses 1'!$B$2:$B$2604,'Form responses 1'!$A$2:$A$2604,""))</f>
        <v/>
      </c>
      <c r="D2885" s="44" t="str">
        <f t="shared" si="3"/>
        <v/>
      </c>
      <c r="E2885" s="44" t="str">
        <f t="array" ref="E2885">IF(B2885="","",_xlfn.XLOOKUP(B2885,'Form responses 1'!$B$2:$B$2604,'Form responses 1'!$C$2:$C$2604,""))</f>
        <v/>
      </c>
      <c r="F2885" s="44" t="str">
        <f t="array" ref="F2885">IF(B2885="","",_xlfn.XLOOKUP(B2885,'Form responses 1'!$B$2:$B$2604,'Form responses 1'!$D$2:$D$2604,""))</f>
        <v/>
      </c>
      <c r="G2885" s="44" t="str">
        <f t="array" ref="G2885">IF(B2885="","",_xlfn.XLOOKUP(B2885,'Form responses 1'!$B$2:$B$2604,'Form responses 1'!$E$2:$E$2604,""))</f>
        <v/>
      </c>
      <c r="H2885" s="44" t="str">
        <f t="array" ref="H2885">IF(B2885="","",_xlfn.XLOOKUP(B2885,'Form responses 1'!$B$2:$B$2604,'Form responses 1'!$F$2:$F$2604,""))</f>
        <v/>
      </c>
      <c r="I2885" s="44" t="str">
        <f t="array" ref="I2885">IF(B2885="","",_xlfn.XLOOKUP(B2885,'Form responses 1'!$B$2:$B$2604,'Form responses 1'!$I$2:$I$2604,""))</f>
        <v/>
      </c>
      <c r="J2885" s="44" t="str">
        <f t="array" ref="J2885">IF(B2885="","",_xlfn.XLOOKUP(B2885,'Form responses 1'!$B$2:$B$2604,'Form responses 1'!$G$2:$G$2604,""))</f>
        <v/>
      </c>
      <c r="K2885" s="56"/>
      <c r="L2885" s="58" t="str">
        <f t="shared" si="7"/>
        <v/>
      </c>
      <c r="M2885" s="49"/>
      <c r="N2885" s="49"/>
      <c r="O2885" s="49"/>
      <c r="P2885" s="49"/>
      <c r="Q2885" s="49"/>
      <c r="R2885" s="49"/>
      <c r="S2885" s="49"/>
      <c r="T2885" s="49"/>
      <c r="U2885" s="49"/>
      <c r="V2885" s="49"/>
      <c r="W2885" s="56"/>
      <c r="X2885" s="51" t="str">
        <f t="shared" si="5"/>
        <v/>
      </c>
      <c r="Y2885" s="50" t="s">
        <v>482</v>
      </c>
      <c r="Z2885" s="49">
        <f t="shared" si="6"/>
        <v>0</v>
      </c>
    </row>
    <row r="2886" ht="22.5" customHeight="1">
      <c r="B2886" s="57"/>
      <c r="C2886" s="43" t="str">
        <f t="array" ref="C2886">IF(B2886="","",_xlfn.XLOOKUP(B2886,'Form responses 1'!$B$2:$B$2604,'Form responses 1'!$A$2:$A$2604,""))</f>
        <v/>
      </c>
      <c r="D2886" s="44" t="str">
        <f t="shared" si="3"/>
        <v/>
      </c>
      <c r="E2886" s="44" t="str">
        <f t="array" ref="E2886">IF(B2886="","",_xlfn.XLOOKUP(B2886,'Form responses 1'!$B$2:$B$2604,'Form responses 1'!$C$2:$C$2604,""))</f>
        <v/>
      </c>
      <c r="F2886" s="44" t="str">
        <f t="array" ref="F2886">IF(B2886="","",_xlfn.XLOOKUP(B2886,'Form responses 1'!$B$2:$B$2604,'Form responses 1'!$D$2:$D$2604,""))</f>
        <v/>
      </c>
      <c r="G2886" s="44" t="str">
        <f t="array" ref="G2886">IF(B2886="","",_xlfn.XLOOKUP(B2886,'Form responses 1'!$B$2:$B$2604,'Form responses 1'!$E$2:$E$2604,""))</f>
        <v/>
      </c>
      <c r="H2886" s="44" t="str">
        <f t="array" ref="H2886">IF(B2886="","",_xlfn.XLOOKUP(B2886,'Form responses 1'!$B$2:$B$2604,'Form responses 1'!$F$2:$F$2604,""))</f>
        <v/>
      </c>
      <c r="I2886" s="44" t="str">
        <f t="array" ref="I2886">IF(B2886="","",_xlfn.XLOOKUP(B2886,'Form responses 1'!$B$2:$B$2604,'Form responses 1'!$I$2:$I$2604,""))</f>
        <v/>
      </c>
      <c r="J2886" s="44" t="str">
        <f t="array" ref="J2886">IF(B2886="","",_xlfn.XLOOKUP(B2886,'Form responses 1'!$B$2:$B$2604,'Form responses 1'!$G$2:$G$2604,""))</f>
        <v/>
      </c>
      <c r="K2886" s="56"/>
      <c r="L2886" s="58" t="str">
        <f t="shared" si="7"/>
        <v/>
      </c>
      <c r="M2886" s="49"/>
      <c r="N2886" s="49"/>
      <c r="O2886" s="49"/>
      <c r="P2886" s="49"/>
      <c r="Q2886" s="49"/>
      <c r="R2886" s="49"/>
      <c r="S2886" s="49"/>
      <c r="T2886" s="49"/>
      <c r="U2886" s="49"/>
      <c r="V2886" s="49"/>
      <c r="W2886" s="56"/>
      <c r="X2886" s="51" t="str">
        <f t="shared" si="5"/>
        <v/>
      </c>
      <c r="Y2886" s="50" t="s">
        <v>482</v>
      </c>
      <c r="Z2886" s="49">
        <f t="shared" si="6"/>
        <v>0</v>
      </c>
    </row>
    <row r="2887" ht="22.5" customHeight="1">
      <c r="B2887" s="57"/>
      <c r="C2887" s="43" t="str">
        <f t="array" ref="C2887">IF(B2887="","",_xlfn.XLOOKUP(B2887,'Form responses 1'!$B$2:$B$2604,'Form responses 1'!$A$2:$A$2604,""))</f>
        <v/>
      </c>
      <c r="D2887" s="44" t="str">
        <f t="shared" si="3"/>
        <v/>
      </c>
      <c r="E2887" s="44" t="str">
        <f t="array" ref="E2887">IF(B2887="","",_xlfn.XLOOKUP(B2887,'Form responses 1'!$B$2:$B$2604,'Form responses 1'!$C$2:$C$2604,""))</f>
        <v/>
      </c>
      <c r="F2887" s="44" t="str">
        <f t="array" ref="F2887">IF(B2887="","",_xlfn.XLOOKUP(B2887,'Form responses 1'!$B$2:$B$2604,'Form responses 1'!$D$2:$D$2604,""))</f>
        <v/>
      </c>
      <c r="G2887" s="44" t="str">
        <f t="array" ref="G2887">IF(B2887="","",_xlfn.XLOOKUP(B2887,'Form responses 1'!$B$2:$B$2604,'Form responses 1'!$E$2:$E$2604,""))</f>
        <v/>
      </c>
      <c r="H2887" s="44" t="str">
        <f t="array" ref="H2887">IF(B2887="","",_xlfn.XLOOKUP(B2887,'Form responses 1'!$B$2:$B$2604,'Form responses 1'!$F$2:$F$2604,""))</f>
        <v/>
      </c>
      <c r="I2887" s="44" t="str">
        <f t="array" ref="I2887">IF(B2887="","",_xlfn.XLOOKUP(B2887,'Form responses 1'!$B$2:$B$2604,'Form responses 1'!$I$2:$I$2604,""))</f>
        <v/>
      </c>
      <c r="J2887" s="44" t="str">
        <f t="array" ref="J2887">IF(B2887="","",_xlfn.XLOOKUP(B2887,'Form responses 1'!$B$2:$B$2604,'Form responses 1'!$G$2:$G$2604,""))</f>
        <v/>
      </c>
      <c r="K2887" s="56"/>
      <c r="L2887" s="58" t="str">
        <f t="shared" si="7"/>
        <v/>
      </c>
      <c r="M2887" s="49"/>
      <c r="N2887" s="49"/>
      <c r="O2887" s="49"/>
      <c r="P2887" s="49"/>
      <c r="Q2887" s="49"/>
      <c r="R2887" s="49"/>
      <c r="S2887" s="49"/>
      <c r="T2887" s="49"/>
      <c r="U2887" s="49"/>
      <c r="V2887" s="49"/>
      <c r="W2887" s="56"/>
      <c r="X2887" s="51" t="str">
        <f t="shared" si="5"/>
        <v/>
      </c>
      <c r="Y2887" s="50" t="s">
        <v>482</v>
      </c>
      <c r="Z2887" s="49">
        <f t="shared" si="6"/>
        <v>0</v>
      </c>
    </row>
    <row r="2888" ht="22.5" customHeight="1">
      <c r="B2888" s="57"/>
      <c r="C2888" s="43" t="str">
        <f t="array" ref="C2888">IF(B2888="","",_xlfn.XLOOKUP(B2888,'Form responses 1'!$B$2:$B$2604,'Form responses 1'!$A$2:$A$2604,""))</f>
        <v/>
      </c>
      <c r="D2888" s="44" t="str">
        <f t="shared" si="3"/>
        <v/>
      </c>
      <c r="E2888" s="44" t="str">
        <f t="array" ref="E2888">IF(B2888="","",_xlfn.XLOOKUP(B2888,'Form responses 1'!$B$2:$B$2604,'Form responses 1'!$C$2:$C$2604,""))</f>
        <v/>
      </c>
      <c r="F2888" s="44" t="str">
        <f t="array" ref="F2888">IF(B2888="","",_xlfn.XLOOKUP(B2888,'Form responses 1'!$B$2:$B$2604,'Form responses 1'!$D$2:$D$2604,""))</f>
        <v/>
      </c>
      <c r="G2888" s="44" t="str">
        <f t="array" ref="G2888">IF(B2888="","",_xlfn.XLOOKUP(B2888,'Form responses 1'!$B$2:$B$2604,'Form responses 1'!$E$2:$E$2604,""))</f>
        <v/>
      </c>
      <c r="H2888" s="44" t="str">
        <f t="array" ref="H2888">IF(B2888="","",_xlfn.XLOOKUP(B2888,'Form responses 1'!$B$2:$B$2604,'Form responses 1'!$F$2:$F$2604,""))</f>
        <v/>
      </c>
      <c r="I2888" s="44" t="str">
        <f t="array" ref="I2888">IF(B2888="","",_xlfn.XLOOKUP(B2888,'Form responses 1'!$B$2:$B$2604,'Form responses 1'!$I$2:$I$2604,""))</f>
        <v/>
      </c>
      <c r="J2888" s="44" t="str">
        <f t="array" ref="J2888">IF(B2888="","",_xlfn.XLOOKUP(B2888,'Form responses 1'!$B$2:$B$2604,'Form responses 1'!$G$2:$G$2604,""))</f>
        <v/>
      </c>
      <c r="K2888" s="56"/>
      <c r="L2888" s="58" t="str">
        <f t="shared" si="7"/>
        <v/>
      </c>
      <c r="M2888" s="49"/>
      <c r="N2888" s="49"/>
      <c r="O2888" s="49"/>
      <c r="P2888" s="49"/>
      <c r="Q2888" s="49"/>
      <c r="R2888" s="49"/>
      <c r="S2888" s="49"/>
      <c r="T2888" s="49"/>
      <c r="U2888" s="49"/>
      <c r="V2888" s="49"/>
      <c r="W2888" s="56"/>
      <c r="X2888" s="51" t="str">
        <f t="shared" si="5"/>
        <v/>
      </c>
      <c r="Y2888" s="50" t="s">
        <v>482</v>
      </c>
      <c r="Z2888" s="49">
        <f t="shared" si="6"/>
        <v>0</v>
      </c>
    </row>
    <row r="2889" ht="22.5" customHeight="1">
      <c r="B2889" s="57"/>
      <c r="C2889" s="43" t="str">
        <f t="array" ref="C2889">IF(B2889="","",_xlfn.XLOOKUP(B2889,'Form responses 1'!$B$2:$B$2604,'Form responses 1'!$A$2:$A$2604,""))</f>
        <v/>
      </c>
      <c r="D2889" s="44" t="str">
        <f t="shared" si="3"/>
        <v/>
      </c>
      <c r="E2889" s="44" t="str">
        <f t="array" ref="E2889">IF(B2889="","",_xlfn.XLOOKUP(B2889,'Form responses 1'!$B$2:$B$2604,'Form responses 1'!$C$2:$C$2604,""))</f>
        <v/>
      </c>
      <c r="F2889" s="44" t="str">
        <f t="array" ref="F2889">IF(B2889="","",_xlfn.XLOOKUP(B2889,'Form responses 1'!$B$2:$B$2604,'Form responses 1'!$D$2:$D$2604,""))</f>
        <v/>
      </c>
      <c r="G2889" s="44" t="str">
        <f t="array" ref="G2889">IF(B2889="","",_xlfn.XLOOKUP(B2889,'Form responses 1'!$B$2:$B$2604,'Form responses 1'!$E$2:$E$2604,""))</f>
        <v/>
      </c>
      <c r="H2889" s="44" t="str">
        <f t="array" ref="H2889">IF(B2889="","",_xlfn.XLOOKUP(B2889,'Form responses 1'!$B$2:$B$2604,'Form responses 1'!$F$2:$F$2604,""))</f>
        <v/>
      </c>
      <c r="I2889" s="44" t="str">
        <f t="array" ref="I2889">IF(B2889="","",_xlfn.XLOOKUP(B2889,'Form responses 1'!$B$2:$B$2604,'Form responses 1'!$I$2:$I$2604,""))</f>
        <v/>
      </c>
      <c r="J2889" s="44" t="str">
        <f t="array" ref="J2889">IF(B2889="","",_xlfn.XLOOKUP(B2889,'Form responses 1'!$B$2:$B$2604,'Form responses 1'!$G$2:$G$2604,""))</f>
        <v/>
      </c>
      <c r="K2889" s="56"/>
      <c r="L2889" s="58" t="str">
        <f t="shared" si="7"/>
        <v/>
      </c>
      <c r="M2889" s="49"/>
      <c r="N2889" s="49"/>
      <c r="O2889" s="49"/>
      <c r="P2889" s="49"/>
      <c r="Q2889" s="49"/>
      <c r="R2889" s="49"/>
      <c r="S2889" s="49"/>
      <c r="T2889" s="49"/>
      <c r="U2889" s="49"/>
      <c r="V2889" s="49"/>
      <c r="W2889" s="56"/>
      <c r="X2889" s="51" t="str">
        <f t="shared" si="5"/>
        <v/>
      </c>
      <c r="Y2889" s="50" t="s">
        <v>482</v>
      </c>
      <c r="Z2889" s="49">
        <f t="shared" si="6"/>
        <v>0</v>
      </c>
    </row>
    <row r="2890" ht="22.5" customHeight="1">
      <c r="B2890" s="57"/>
      <c r="C2890" s="43" t="str">
        <f t="array" ref="C2890">IF(B2890="","",_xlfn.XLOOKUP(B2890,'Form responses 1'!$B$2:$B$2604,'Form responses 1'!$A$2:$A$2604,""))</f>
        <v/>
      </c>
      <c r="D2890" s="44" t="str">
        <f t="shared" si="3"/>
        <v/>
      </c>
      <c r="E2890" s="44" t="str">
        <f t="array" ref="E2890">IF(B2890="","",_xlfn.XLOOKUP(B2890,'Form responses 1'!$B$2:$B$2604,'Form responses 1'!$C$2:$C$2604,""))</f>
        <v/>
      </c>
      <c r="F2890" s="44" t="str">
        <f t="array" ref="F2890">IF(B2890="","",_xlfn.XLOOKUP(B2890,'Form responses 1'!$B$2:$B$2604,'Form responses 1'!$D$2:$D$2604,""))</f>
        <v/>
      </c>
      <c r="G2890" s="44" t="str">
        <f t="array" ref="G2890">IF(B2890="","",_xlfn.XLOOKUP(B2890,'Form responses 1'!$B$2:$B$2604,'Form responses 1'!$E$2:$E$2604,""))</f>
        <v/>
      </c>
      <c r="H2890" s="44" t="str">
        <f t="array" ref="H2890">IF(B2890="","",_xlfn.XLOOKUP(B2890,'Form responses 1'!$B$2:$B$2604,'Form responses 1'!$F$2:$F$2604,""))</f>
        <v/>
      </c>
      <c r="I2890" s="44" t="str">
        <f t="array" ref="I2890">IF(B2890="","",_xlfn.XLOOKUP(B2890,'Form responses 1'!$B$2:$B$2604,'Form responses 1'!$I$2:$I$2604,""))</f>
        <v/>
      </c>
      <c r="J2890" s="44" t="str">
        <f t="array" ref="J2890">IF(B2890="","",_xlfn.XLOOKUP(B2890,'Form responses 1'!$B$2:$B$2604,'Form responses 1'!$G$2:$G$2604,""))</f>
        <v/>
      </c>
      <c r="K2890" s="56"/>
      <c r="L2890" s="58" t="str">
        <f t="shared" si="7"/>
        <v/>
      </c>
      <c r="M2890" s="49"/>
      <c r="N2890" s="49"/>
      <c r="O2890" s="49"/>
      <c r="P2890" s="49"/>
      <c r="Q2890" s="49"/>
      <c r="R2890" s="49"/>
      <c r="S2890" s="49"/>
      <c r="T2890" s="49"/>
      <c r="U2890" s="49"/>
      <c r="V2890" s="49"/>
      <c r="W2890" s="56"/>
      <c r="X2890" s="51" t="str">
        <f t="shared" si="5"/>
        <v/>
      </c>
      <c r="Y2890" s="50" t="s">
        <v>482</v>
      </c>
      <c r="Z2890" s="49">
        <f t="shared" si="6"/>
        <v>0</v>
      </c>
    </row>
    <row r="2891" ht="22.5" customHeight="1">
      <c r="B2891" s="57"/>
      <c r="C2891" s="43" t="str">
        <f t="array" ref="C2891">IF(B2891="","",_xlfn.XLOOKUP(B2891,'Form responses 1'!$B$2:$B$2604,'Form responses 1'!$A$2:$A$2604,""))</f>
        <v/>
      </c>
      <c r="D2891" s="44" t="str">
        <f t="shared" si="3"/>
        <v/>
      </c>
      <c r="E2891" s="44" t="str">
        <f t="array" ref="E2891">IF(B2891="","",_xlfn.XLOOKUP(B2891,'Form responses 1'!$B$2:$B$2604,'Form responses 1'!$C$2:$C$2604,""))</f>
        <v/>
      </c>
      <c r="F2891" s="44" t="str">
        <f t="array" ref="F2891">IF(B2891="","",_xlfn.XLOOKUP(B2891,'Form responses 1'!$B$2:$B$2604,'Form responses 1'!$D$2:$D$2604,""))</f>
        <v/>
      </c>
      <c r="G2891" s="44" t="str">
        <f t="array" ref="G2891">IF(B2891="","",_xlfn.XLOOKUP(B2891,'Form responses 1'!$B$2:$B$2604,'Form responses 1'!$E$2:$E$2604,""))</f>
        <v/>
      </c>
      <c r="H2891" s="44" t="str">
        <f t="array" ref="H2891">IF(B2891="","",_xlfn.XLOOKUP(B2891,'Form responses 1'!$B$2:$B$2604,'Form responses 1'!$F$2:$F$2604,""))</f>
        <v/>
      </c>
      <c r="I2891" s="44" t="str">
        <f t="array" ref="I2891">IF(B2891="","",_xlfn.XLOOKUP(B2891,'Form responses 1'!$B$2:$B$2604,'Form responses 1'!$I$2:$I$2604,""))</f>
        <v/>
      </c>
      <c r="J2891" s="44" t="str">
        <f t="array" ref="J2891">IF(B2891="","",_xlfn.XLOOKUP(B2891,'Form responses 1'!$B$2:$B$2604,'Form responses 1'!$G$2:$G$2604,""))</f>
        <v/>
      </c>
      <c r="K2891" s="56"/>
      <c r="L2891" s="58" t="str">
        <f t="shared" si="7"/>
        <v/>
      </c>
      <c r="M2891" s="49"/>
      <c r="N2891" s="49"/>
      <c r="O2891" s="49"/>
      <c r="P2891" s="49"/>
      <c r="Q2891" s="49"/>
      <c r="R2891" s="49"/>
      <c r="S2891" s="49"/>
      <c r="T2891" s="49"/>
      <c r="U2891" s="49"/>
      <c r="V2891" s="49"/>
      <c r="W2891" s="56"/>
      <c r="X2891" s="51" t="str">
        <f t="shared" si="5"/>
        <v/>
      </c>
      <c r="Y2891" s="50" t="s">
        <v>482</v>
      </c>
      <c r="Z2891" s="49">
        <f t="shared" si="6"/>
        <v>0</v>
      </c>
    </row>
    <row r="2892" ht="22.5" customHeight="1">
      <c r="B2892" s="57"/>
      <c r="C2892" s="43" t="str">
        <f t="array" ref="C2892">IF(B2892="","",_xlfn.XLOOKUP(B2892,'Form responses 1'!$B$2:$B$2604,'Form responses 1'!$A$2:$A$2604,""))</f>
        <v/>
      </c>
      <c r="D2892" s="44" t="str">
        <f t="shared" si="3"/>
        <v/>
      </c>
      <c r="E2892" s="44" t="str">
        <f t="array" ref="E2892">IF(B2892="","",_xlfn.XLOOKUP(B2892,'Form responses 1'!$B$2:$B$2604,'Form responses 1'!$C$2:$C$2604,""))</f>
        <v/>
      </c>
      <c r="F2892" s="44" t="str">
        <f t="array" ref="F2892">IF(B2892="","",_xlfn.XLOOKUP(B2892,'Form responses 1'!$B$2:$B$2604,'Form responses 1'!$D$2:$D$2604,""))</f>
        <v/>
      </c>
      <c r="G2892" s="44" t="str">
        <f t="array" ref="G2892">IF(B2892="","",_xlfn.XLOOKUP(B2892,'Form responses 1'!$B$2:$B$2604,'Form responses 1'!$E$2:$E$2604,""))</f>
        <v/>
      </c>
      <c r="H2892" s="44" t="str">
        <f t="array" ref="H2892">IF(B2892="","",_xlfn.XLOOKUP(B2892,'Form responses 1'!$B$2:$B$2604,'Form responses 1'!$F$2:$F$2604,""))</f>
        <v/>
      </c>
      <c r="I2892" s="44" t="str">
        <f t="array" ref="I2892">IF(B2892="","",_xlfn.XLOOKUP(B2892,'Form responses 1'!$B$2:$B$2604,'Form responses 1'!$I$2:$I$2604,""))</f>
        <v/>
      </c>
      <c r="J2892" s="44" t="str">
        <f t="array" ref="J2892">IF(B2892="","",_xlfn.XLOOKUP(B2892,'Form responses 1'!$B$2:$B$2604,'Form responses 1'!$G$2:$G$2604,""))</f>
        <v/>
      </c>
      <c r="K2892" s="56"/>
      <c r="L2892" s="58" t="str">
        <f t="shared" si="7"/>
        <v/>
      </c>
      <c r="M2892" s="49"/>
      <c r="N2892" s="49"/>
      <c r="O2892" s="49"/>
      <c r="P2892" s="49"/>
      <c r="Q2892" s="49"/>
      <c r="R2892" s="49"/>
      <c r="S2892" s="49"/>
      <c r="T2892" s="49"/>
      <c r="U2892" s="49"/>
      <c r="V2892" s="49"/>
      <c r="W2892" s="56"/>
      <c r="X2892" s="51" t="str">
        <f t="shared" si="5"/>
        <v/>
      </c>
      <c r="Y2892" s="50" t="s">
        <v>482</v>
      </c>
      <c r="Z2892" s="49">
        <f t="shared" si="6"/>
        <v>0</v>
      </c>
    </row>
    <row r="2893" ht="22.5" customHeight="1">
      <c r="B2893" s="57"/>
      <c r="C2893" s="43" t="str">
        <f t="array" ref="C2893">IF(B2893="","",_xlfn.XLOOKUP(B2893,'Form responses 1'!$B$2:$B$2604,'Form responses 1'!$A$2:$A$2604,""))</f>
        <v/>
      </c>
      <c r="D2893" s="44" t="str">
        <f t="shared" si="3"/>
        <v/>
      </c>
      <c r="E2893" s="44" t="str">
        <f t="array" ref="E2893">IF(B2893="","",_xlfn.XLOOKUP(B2893,'Form responses 1'!$B$2:$B$2604,'Form responses 1'!$C$2:$C$2604,""))</f>
        <v/>
      </c>
      <c r="F2893" s="44" t="str">
        <f t="array" ref="F2893">IF(B2893="","",_xlfn.XLOOKUP(B2893,'Form responses 1'!$B$2:$B$2604,'Form responses 1'!$D$2:$D$2604,""))</f>
        <v/>
      </c>
      <c r="G2893" s="44" t="str">
        <f t="array" ref="G2893">IF(B2893="","",_xlfn.XLOOKUP(B2893,'Form responses 1'!$B$2:$B$2604,'Form responses 1'!$E$2:$E$2604,""))</f>
        <v/>
      </c>
      <c r="H2893" s="44" t="str">
        <f t="array" ref="H2893">IF(B2893="","",_xlfn.XLOOKUP(B2893,'Form responses 1'!$B$2:$B$2604,'Form responses 1'!$F$2:$F$2604,""))</f>
        <v/>
      </c>
      <c r="I2893" s="44" t="str">
        <f t="array" ref="I2893">IF(B2893="","",_xlfn.XLOOKUP(B2893,'Form responses 1'!$B$2:$B$2604,'Form responses 1'!$I$2:$I$2604,""))</f>
        <v/>
      </c>
      <c r="J2893" s="44" t="str">
        <f t="array" ref="J2893">IF(B2893="","",_xlfn.XLOOKUP(B2893,'Form responses 1'!$B$2:$B$2604,'Form responses 1'!$G$2:$G$2604,""))</f>
        <v/>
      </c>
      <c r="K2893" s="56"/>
      <c r="L2893" s="58" t="str">
        <f t="shared" si="7"/>
        <v/>
      </c>
      <c r="M2893" s="49"/>
      <c r="N2893" s="49"/>
      <c r="O2893" s="49"/>
      <c r="P2893" s="49"/>
      <c r="Q2893" s="49"/>
      <c r="R2893" s="49"/>
      <c r="S2893" s="49"/>
      <c r="T2893" s="49"/>
      <c r="U2893" s="49"/>
      <c r="V2893" s="49"/>
      <c r="W2893" s="56"/>
      <c r="X2893" s="51" t="str">
        <f t="shared" si="5"/>
        <v/>
      </c>
      <c r="Y2893" s="50" t="s">
        <v>482</v>
      </c>
      <c r="Z2893" s="49">
        <f t="shared" si="6"/>
        <v>0</v>
      </c>
    </row>
    <row r="2894" ht="22.5" customHeight="1">
      <c r="B2894" s="57"/>
      <c r="C2894" s="43" t="str">
        <f t="array" ref="C2894">IF(B2894="","",_xlfn.XLOOKUP(B2894,'Form responses 1'!$B$2:$B$2604,'Form responses 1'!$A$2:$A$2604,""))</f>
        <v/>
      </c>
      <c r="D2894" s="44" t="str">
        <f t="shared" si="3"/>
        <v/>
      </c>
      <c r="E2894" s="44" t="str">
        <f t="array" ref="E2894">IF(B2894="","",_xlfn.XLOOKUP(B2894,'Form responses 1'!$B$2:$B$2604,'Form responses 1'!$C$2:$C$2604,""))</f>
        <v/>
      </c>
      <c r="F2894" s="44" t="str">
        <f t="array" ref="F2894">IF(B2894="","",_xlfn.XLOOKUP(B2894,'Form responses 1'!$B$2:$B$2604,'Form responses 1'!$D$2:$D$2604,""))</f>
        <v/>
      </c>
      <c r="G2894" s="44" t="str">
        <f t="array" ref="G2894">IF(B2894="","",_xlfn.XLOOKUP(B2894,'Form responses 1'!$B$2:$B$2604,'Form responses 1'!$E$2:$E$2604,""))</f>
        <v/>
      </c>
      <c r="H2894" s="44" t="str">
        <f t="array" ref="H2894">IF(B2894="","",_xlfn.XLOOKUP(B2894,'Form responses 1'!$B$2:$B$2604,'Form responses 1'!$F$2:$F$2604,""))</f>
        <v/>
      </c>
      <c r="I2894" s="44" t="str">
        <f t="array" ref="I2894">IF(B2894="","",_xlfn.XLOOKUP(B2894,'Form responses 1'!$B$2:$B$2604,'Form responses 1'!$I$2:$I$2604,""))</f>
        <v/>
      </c>
      <c r="J2894" s="44" t="str">
        <f t="array" ref="J2894">IF(B2894="","",_xlfn.XLOOKUP(B2894,'Form responses 1'!$B$2:$B$2604,'Form responses 1'!$G$2:$G$2604,""))</f>
        <v/>
      </c>
      <c r="K2894" s="56"/>
      <c r="L2894" s="58" t="str">
        <f t="shared" si="7"/>
        <v/>
      </c>
      <c r="M2894" s="49"/>
      <c r="N2894" s="49"/>
      <c r="O2894" s="49"/>
      <c r="P2894" s="49"/>
      <c r="Q2894" s="49"/>
      <c r="R2894" s="49"/>
      <c r="S2894" s="49"/>
      <c r="T2894" s="49"/>
      <c r="U2894" s="49"/>
      <c r="V2894" s="49"/>
      <c r="W2894" s="56"/>
      <c r="X2894" s="51" t="str">
        <f t="shared" si="5"/>
        <v/>
      </c>
      <c r="Y2894" s="50" t="s">
        <v>482</v>
      </c>
      <c r="Z2894" s="49">
        <f t="shared" si="6"/>
        <v>0</v>
      </c>
    </row>
    <row r="2895" ht="22.5" customHeight="1">
      <c r="B2895" s="57"/>
      <c r="C2895" s="43" t="str">
        <f t="array" ref="C2895">IF(B2895="","",_xlfn.XLOOKUP(B2895,'Form responses 1'!$B$2:$B$2604,'Form responses 1'!$A$2:$A$2604,""))</f>
        <v/>
      </c>
      <c r="D2895" s="44" t="str">
        <f t="shared" si="3"/>
        <v/>
      </c>
      <c r="E2895" s="44" t="str">
        <f t="array" ref="E2895">IF(B2895="","",_xlfn.XLOOKUP(B2895,'Form responses 1'!$B$2:$B$2604,'Form responses 1'!$C$2:$C$2604,""))</f>
        <v/>
      </c>
      <c r="F2895" s="44" t="str">
        <f t="array" ref="F2895">IF(B2895="","",_xlfn.XLOOKUP(B2895,'Form responses 1'!$B$2:$B$2604,'Form responses 1'!$D$2:$D$2604,""))</f>
        <v/>
      </c>
      <c r="G2895" s="44" t="str">
        <f t="array" ref="G2895">IF(B2895="","",_xlfn.XLOOKUP(B2895,'Form responses 1'!$B$2:$B$2604,'Form responses 1'!$E$2:$E$2604,""))</f>
        <v/>
      </c>
      <c r="H2895" s="44" t="str">
        <f t="array" ref="H2895">IF(B2895="","",_xlfn.XLOOKUP(B2895,'Form responses 1'!$B$2:$B$2604,'Form responses 1'!$F$2:$F$2604,""))</f>
        <v/>
      </c>
      <c r="I2895" s="44" t="str">
        <f t="array" ref="I2895">IF(B2895="","",_xlfn.XLOOKUP(B2895,'Form responses 1'!$B$2:$B$2604,'Form responses 1'!$I$2:$I$2604,""))</f>
        <v/>
      </c>
      <c r="J2895" s="44" t="str">
        <f t="array" ref="J2895">IF(B2895="","",_xlfn.XLOOKUP(B2895,'Form responses 1'!$B$2:$B$2604,'Form responses 1'!$G$2:$G$2604,""))</f>
        <v/>
      </c>
      <c r="K2895" s="56"/>
      <c r="L2895" s="58" t="str">
        <f t="shared" si="7"/>
        <v/>
      </c>
      <c r="M2895" s="49"/>
      <c r="N2895" s="49"/>
      <c r="O2895" s="49"/>
      <c r="P2895" s="49"/>
      <c r="Q2895" s="49"/>
      <c r="R2895" s="49"/>
      <c r="S2895" s="49"/>
      <c r="T2895" s="49"/>
      <c r="U2895" s="49"/>
      <c r="V2895" s="49"/>
      <c r="W2895" s="56"/>
      <c r="X2895" s="51" t="str">
        <f t="shared" si="5"/>
        <v/>
      </c>
      <c r="Y2895" s="50" t="s">
        <v>482</v>
      </c>
      <c r="Z2895" s="49">
        <f t="shared" si="6"/>
        <v>0</v>
      </c>
    </row>
    <row r="2896" ht="22.5" customHeight="1">
      <c r="B2896" s="57"/>
      <c r="C2896" s="43" t="str">
        <f t="array" ref="C2896">IF(B2896="","",_xlfn.XLOOKUP(B2896,'Form responses 1'!$B$2:$B$2604,'Form responses 1'!$A$2:$A$2604,""))</f>
        <v/>
      </c>
      <c r="D2896" s="44" t="str">
        <f t="shared" si="3"/>
        <v/>
      </c>
      <c r="E2896" s="44" t="str">
        <f t="array" ref="E2896">IF(B2896="","",_xlfn.XLOOKUP(B2896,'Form responses 1'!$B$2:$B$2604,'Form responses 1'!$C$2:$C$2604,""))</f>
        <v/>
      </c>
      <c r="F2896" s="44" t="str">
        <f t="array" ref="F2896">IF(B2896="","",_xlfn.XLOOKUP(B2896,'Form responses 1'!$B$2:$B$2604,'Form responses 1'!$D$2:$D$2604,""))</f>
        <v/>
      </c>
      <c r="G2896" s="44" t="str">
        <f t="array" ref="G2896">IF(B2896="","",_xlfn.XLOOKUP(B2896,'Form responses 1'!$B$2:$B$2604,'Form responses 1'!$E$2:$E$2604,""))</f>
        <v/>
      </c>
      <c r="H2896" s="44" t="str">
        <f t="array" ref="H2896">IF(B2896="","",_xlfn.XLOOKUP(B2896,'Form responses 1'!$B$2:$B$2604,'Form responses 1'!$F$2:$F$2604,""))</f>
        <v/>
      </c>
      <c r="I2896" s="44" t="str">
        <f t="array" ref="I2896">IF(B2896="","",_xlfn.XLOOKUP(B2896,'Form responses 1'!$B$2:$B$2604,'Form responses 1'!$I$2:$I$2604,""))</f>
        <v/>
      </c>
      <c r="J2896" s="44" t="str">
        <f t="array" ref="J2896">IF(B2896="","",_xlfn.XLOOKUP(B2896,'Form responses 1'!$B$2:$B$2604,'Form responses 1'!$G$2:$G$2604,""))</f>
        <v/>
      </c>
      <c r="K2896" s="56"/>
      <c r="L2896" s="58" t="str">
        <f t="shared" si="7"/>
        <v/>
      </c>
      <c r="M2896" s="49"/>
      <c r="N2896" s="49"/>
      <c r="O2896" s="49"/>
      <c r="P2896" s="49"/>
      <c r="Q2896" s="49"/>
      <c r="R2896" s="49"/>
      <c r="S2896" s="49"/>
      <c r="T2896" s="49"/>
      <c r="U2896" s="49"/>
      <c r="V2896" s="49"/>
      <c r="W2896" s="56"/>
      <c r="X2896" s="51" t="str">
        <f t="shared" si="5"/>
        <v/>
      </c>
      <c r="Y2896" s="50" t="s">
        <v>482</v>
      </c>
      <c r="Z2896" s="49">
        <f t="shared" si="6"/>
        <v>0</v>
      </c>
    </row>
    <row r="2897" ht="22.5" customHeight="1">
      <c r="B2897" s="57"/>
      <c r="C2897" s="43" t="str">
        <f t="array" ref="C2897">IF(B2897="","",_xlfn.XLOOKUP(B2897,'Form responses 1'!$B$2:$B$2604,'Form responses 1'!$A$2:$A$2604,""))</f>
        <v/>
      </c>
      <c r="D2897" s="44" t="str">
        <f t="shared" si="3"/>
        <v/>
      </c>
      <c r="E2897" s="44" t="str">
        <f t="array" ref="E2897">IF(B2897="","",_xlfn.XLOOKUP(B2897,'Form responses 1'!$B$2:$B$2604,'Form responses 1'!$C$2:$C$2604,""))</f>
        <v/>
      </c>
      <c r="F2897" s="44" t="str">
        <f t="array" ref="F2897">IF(B2897="","",_xlfn.XLOOKUP(B2897,'Form responses 1'!$B$2:$B$2604,'Form responses 1'!$D$2:$D$2604,""))</f>
        <v/>
      </c>
      <c r="G2897" s="44" t="str">
        <f t="array" ref="G2897">IF(B2897="","",_xlfn.XLOOKUP(B2897,'Form responses 1'!$B$2:$B$2604,'Form responses 1'!$E$2:$E$2604,""))</f>
        <v/>
      </c>
      <c r="H2897" s="44" t="str">
        <f t="array" ref="H2897">IF(B2897="","",_xlfn.XLOOKUP(B2897,'Form responses 1'!$B$2:$B$2604,'Form responses 1'!$F$2:$F$2604,""))</f>
        <v/>
      </c>
      <c r="I2897" s="44" t="str">
        <f t="array" ref="I2897">IF(B2897="","",_xlfn.XLOOKUP(B2897,'Form responses 1'!$B$2:$B$2604,'Form responses 1'!$I$2:$I$2604,""))</f>
        <v/>
      </c>
      <c r="J2897" s="44" t="str">
        <f t="array" ref="J2897">IF(B2897="","",_xlfn.XLOOKUP(B2897,'Form responses 1'!$B$2:$B$2604,'Form responses 1'!$G$2:$G$2604,""))</f>
        <v/>
      </c>
      <c r="K2897" s="56"/>
      <c r="L2897" s="58" t="str">
        <f t="shared" si="7"/>
        <v/>
      </c>
      <c r="M2897" s="49"/>
      <c r="N2897" s="49"/>
      <c r="O2897" s="49"/>
      <c r="P2897" s="49"/>
      <c r="Q2897" s="49"/>
      <c r="R2897" s="49"/>
      <c r="S2897" s="49"/>
      <c r="T2897" s="49"/>
      <c r="U2897" s="49"/>
      <c r="V2897" s="49"/>
      <c r="W2897" s="56"/>
      <c r="X2897" s="51" t="str">
        <f t="shared" si="5"/>
        <v/>
      </c>
      <c r="Y2897" s="50" t="s">
        <v>482</v>
      </c>
      <c r="Z2897" s="49">
        <f t="shared" si="6"/>
        <v>0</v>
      </c>
    </row>
    <row r="2898" ht="22.5" customHeight="1">
      <c r="B2898" s="57"/>
      <c r="C2898" s="43" t="str">
        <f t="array" ref="C2898">IF(B2898="","",_xlfn.XLOOKUP(B2898,'Form responses 1'!$B$2:$B$2604,'Form responses 1'!$A$2:$A$2604,""))</f>
        <v/>
      </c>
      <c r="D2898" s="44" t="str">
        <f t="shared" si="3"/>
        <v/>
      </c>
      <c r="E2898" s="44" t="str">
        <f t="array" ref="E2898">IF(B2898="","",_xlfn.XLOOKUP(B2898,'Form responses 1'!$B$2:$B$2604,'Form responses 1'!$C$2:$C$2604,""))</f>
        <v/>
      </c>
      <c r="F2898" s="44" t="str">
        <f t="array" ref="F2898">IF(B2898="","",_xlfn.XLOOKUP(B2898,'Form responses 1'!$B$2:$B$2604,'Form responses 1'!$D$2:$D$2604,""))</f>
        <v/>
      </c>
      <c r="G2898" s="44" t="str">
        <f t="array" ref="G2898">IF(B2898="","",_xlfn.XLOOKUP(B2898,'Form responses 1'!$B$2:$B$2604,'Form responses 1'!$E$2:$E$2604,""))</f>
        <v/>
      </c>
      <c r="H2898" s="44" t="str">
        <f t="array" ref="H2898">IF(B2898="","",_xlfn.XLOOKUP(B2898,'Form responses 1'!$B$2:$B$2604,'Form responses 1'!$F$2:$F$2604,""))</f>
        <v/>
      </c>
      <c r="I2898" s="44" t="str">
        <f t="array" ref="I2898">IF(B2898="","",_xlfn.XLOOKUP(B2898,'Form responses 1'!$B$2:$B$2604,'Form responses 1'!$I$2:$I$2604,""))</f>
        <v/>
      </c>
      <c r="J2898" s="44" t="str">
        <f t="array" ref="J2898">IF(B2898="","",_xlfn.XLOOKUP(B2898,'Form responses 1'!$B$2:$B$2604,'Form responses 1'!$G$2:$G$2604,""))</f>
        <v/>
      </c>
      <c r="K2898" s="56"/>
      <c r="L2898" s="58" t="str">
        <f t="shared" si="7"/>
        <v/>
      </c>
      <c r="M2898" s="49"/>
      <c r="N2898" s="49"/>
      <c r="O2898" s="49"/>
      <c r="P2898" s="49"/>
      <c r="Q2898" s="49"/>
      <c r="R2898" s="49"/>
      <c r="S2898" s="49"/>
      <c r="T2898" s="49"/>
      <c r="U2898" s="49"/>
      <c r="V2898" s="49"/>
      <c r="W2898" s="56"/>
      <c r="X2898" s="51" t="str">
        <f t="shared" si="5"/>
        <v/>
      </c>
      <c r="Y2898" s="50" t="s">
        <v>482</v>
      </c>
      <c r="Z2898" s="49">
        <f t="shared" si="6"/>
        <v>0</v>
      </c>
    </row>
    <row r="2899" ht="22.5" customHeight="1">
      <c r="B2899" s="57"/>
      <c r="C2899" s="43" t="str">
        <f t="array" ref="C2899">IF(B2899="","",_xlfn.XLOOKUP(B2899,'Form responses 1'!$B$2:$B$2604,'Form responses 1'!$A$2:$A$2604,""))</f>
        <v/>
      </c>
      <c r="D2899" s="44" t="str">
        <f t="shared" si="3"/>
        <v/>
      </c>
      <c r="E2899" s="44" t="str">
        <f t="array" ref="E2899">IF(B2899="","",_xlfn.XLOOKUP(B2899,'Form responses 1'!$B$2:$B$2604,'Form responses 1'!$C$2:$C$2604,""))</f>
        <v/>
      </c>
      <c r="F2899" s="44" t="str">
        <f t="array" ref="F2899">IF(B2899="","",_xlfn.XLOOKUP(B2899,'Form responses 1'!$B$2:$B$2604,'Form responses 1'!$D$2:$D$2604,""))</f>
        <v/>
      </c>
      <c r="G2899" s="44" t="str">
        <f t="array" ref="G2899">IF(B2899="","",_xlfn.XLOOKUP(B2899,'Form responses 1'!$B$2:$B$2604,'Form responses 1'!$E$2:$E$2604,""))</f>
        <v/>
      </c>
      <c r="H2899" s="44" t="str">
        <f t="array" ref="H2899">IF(B2899="","",_xlfn.XLOOKUP(B2899,'Form responses 1'!$B$2:$B$2604,'Form responses 1'!$F$2:$F$2604,""))</f>
        <v/>
      </c>
      <c r="I2899" s="44" t="str">
        <f t="array" ref="I2899">IF(B2899="","",_xlfn.XLOOKUP(B2899,'Form responses 1'!$B$2:$B$2604,'Form responses 1'!$I$2:$I$2604,""))</f>
        <v/>
      </c>
      <c r="J2899" s="44" t="str">
        <f t="array" ref="J2899">IF(B2899="","",_xlfn.XLOOKUP(B2899,'Form responses 1'!$B$2:$B$2604,'Form responses 1'!$G$2:$G$2604,""))</f>
        <v/>
      </c>
      <c r="K2899" s="56"/>
      <c r="L2899" s="58" t="str">
        <f t="shared" si="7"/>
        <v/>
      </c>
      <c r="M2899" s="49"/>
      <c r="N2899" s="49"/>
      <c r="O2899" s="49"/>
      <c r="P2899" s="49"/>
      <c r="Q2899" s="49"/>
      <c r="R2899" s="49"/>
      <c r="S2899" s="49"/>
      <c r="T2899" s="49"/>
      <c r="U2899" s="49"/>
      <c r="V2899" s="49"/>
      <c r="W2899" s="56"/>
      <c r="X2899" s="51" t="str">
        <f t="shared" si="5"/>
        <v/>
      </c>
      <c r="Y2899" s="50" t="s">
        <v>482</v>
      </c>
      <c r="Z2899" s="49">
        <f t="shared" si="6"/>
        <v>0</v>
      </c>
    </row>
    <row r="2900" ht="22.5" customHeight="1">
      <c r="B2900" s="57"/>
      <c r="C2900" s="43" t="str">
        <f t="array" ref="C2900">IF(B2900="","",_xlfn.XLOOKUP(B2900,'Form responses 1'!$B$2:$B$2604,'Form responses 1'!$A$2:$A$2604,""))</f>
        <v/>
      </c>
      <c r="D2900" s="44" t="str">
        <f t="shared" si="3"/>
        <v/>
      </c>
      <c r="E2900" s="44" t="str">
        <f t="array" ref="E2900">IF(B2900="","",_xlfn.XLOOKUP(B2900,'Form responses 1'!$B$2:$B$2604,'Form responses 1'!$C$2:$C$2604,""))</f>
        <v/>
      </c>
      <c r="F2900" s="44" t="str">
        <f t="array" ref="F2900">IF(B2900="","",_xlfn.XLOOKUP(B2900,'Form responses 1'!$B$2:$B$2604,'Form responses 1'!$D$2:$D$2604,""))</f>
        <v/>
      </c>
      <c r="G2900" s="44" t="str">
        <f t="array" ref="G2900">IF(B2900="","",_xlfn.XLOOKUP(B2900,'Form responses 1'!$B$2:$B$2604,'Form responses 1'!$E$2:$E$2604,""))</f>
        <v/>
      </c>
      <c r="H2900" s="44" t="str">
        <f t="array" ref="H2900">IF(B2900="","",_xlfn.XLOOKUP(B2900,'Form responses 1'!$B$2:$B$2604,'Form responses 1'!$F$2:$F$2604,""))</f>
        <v/>
      </c>
      <c r="I2900" s="44" t="str">
        <f t="array" ref="I2900">IF(B2900="","",_xlfn.XLOOKUP(B2900,'Form responses 1'!$B$2:$B$2604,'Form responses 1'!$I$2:$I$2604,""))</f>
        <v/>
      </c>
      <c r="J2900" s="44" t="str">
        <f t="array" ref="J2900">IF(B2900="","",_xlfn.XLOOKUP(B2900,'Form responses 1'!$B$2:$B$2604,'Form responses 1'!$G$2:$G$2604,""))</f>
        <v/>
      </c>
      <c r="K2900" s="56"/>
      <c r="L2900" s="58" t="str">
        <f t="shared" si="7"/>
        <v/>
      </c>
      <c r="M2900" s="49"/>
      <c r="N2900" s="49"/>
      <c r="O2900" s="49"/>
      <c r="P2900" s="49"/>
      <c r="Q2900" s="49"/>
      <c r="R2900" s="49"/>
      <c r="S2900" s="49"/>
      <c r="T2900" s="49"/>
      <c r="U2900" s="49"/>
      <c r="V2900" s="49"/>
      <c r="W2900" s="56"/>
      <c r="X2900" s="51" t="str">
        <f t="shared" si="5"/>
        <v/>
      </c>
      <c r="Y2900" s="50" t="s">
        <v>482</v>
      </c>
      <c r="Z2900" s="49">
        <f t="shared" si="6"/>
        <v>0</v>
      </c>
    </row>
    <row r="2901" ht="22.5" customHeight="1">
      <c r="B2901" s="57"/>
      <c r="C2901" s="43" t="str">
        <f t="array" ref="C2901">IF(B2901="","",_xlfn.XLOOKUP(B2901,'Form responses 1'!$B$2:$B$2604,'Form responses 1'!$A$2:$A$2604,""))</f>
        <v/>
      </c>
      <c r="D2901" s="44" t="str">
        <f t="shared" si="3"/>
        <v/>
      </c>
      <c r="E2901" s="44" t="str">
        <f t="array" ref="E2901">IF(B2901="","",_xlfn.XLOOKUP(B2901,'Form responses 1'!$B$2:$B$2604,'Form responses 1'!$C$2:$C$2604,""))</f>
        <v/>
      </c>
      <c r="F2901" s="44" t="str">
        <f t="array" ref="F2901">IF(B2901="","",_xlfn.XLOOKUP(B2901,'Form responses 1'!$B$2:$B$2604,'Form responses 1'!$D$2:$D$2604,""))</f>
        <v/>
      </c>
      <c r="G2901" s="44" t="str">
        <f t="array" ref="G2901">IF(B2901="","",_xlfn.XLOOKUP(B2901,'Form responses 1'!$B$2:$B$2604,'Form responses 1'!$E$2:$E$2604,""))</f>
        <v/>
      </c>
      <c r="H2901" s="44" t="str">
        <f t="array" ref="H2901">IF(B2901="","",_xlfn.XLOOKUP(B2901,'Form responses 1'!$B$2:$B$2604,'Form responses 1'!$F$2:$F$2604,""))</f>
        <v/>
      </c>
      <c r="I2901" s="44" t="str">
        <f t="array" ref="I2901">IF(B2901="","",_xlfn.XLOOKUP(B2901,'Form responses 1'!$B$2:$B$2604,'Form responses 1'!$I$2:$I$2604,""))</f>
        <v/>
      </c>
      <c r="J2901" s="44" t="str">
        <f t="array" ref="J2901">IF(B2901="","",_xlfn.XLOOKUP(B2901,'Form responses 1'!$B$2:$B$2604,'Form responses 1'!$G$2:$G$2604,""))</f>
        <v/>
      </c>
      <c r="K2901" s="56"/>
      <c r="L2901" s="58" t="str">
        <f t="shared" si="7"/>
        <v/>
      </c>
      <c r="M2901" s="49"/>
      <c r="N2901" s="49"/>
      <c r="O2901" s="49"/>
      <c r="P2901" s="49"/>
      <c r="Q2901" s="49"/>
      <c r="R2901" s="49"/>
      <c r="S2901" s="49"/>
      <c r="T2901" s="49"/>
      <c r="U2901" s="49"/>
      <c r="V2901" s="49"/>
      <c r="W2901" s="56"/>
      <c r="X2901" s="51" t="str">
        <f t="shared" si="5"/>
        <v/>
      </c>
      <c r="Y2901" s="50" t="s">
        <v>482</v>
      </c>
      <c r="Z2901" s="49">
        <f t="shared" si="6"/>
        <v>0</v>
      </c>
    </row>
    <row r="2902" ht="22.5" customHeight="1">
      <c r="B2902" s="57"/>
      <c r="C2902" s="43" t="str">
        <f t="array" ref="C2902">IF(B2902="","",_xlfn.XLOOKUP(B2902,'Form responses 1'!$B$2:$B$2604,'Form responses 1'!$A$2:$A$2604,""))</f>
        <v/>
      </c>
      <c r="D2902" s="44" t="str">
        <f t="shared" si="3"/>
        <v/>
      </c>
      <c r="E2902" s="44" t="str">
        <f t="array" ref="E2902">IF(B2902="","",_xlfn.XLOOKUP(B2902,'Form responses 1'!$B$2:$B$2604,'Form responses 1'!$C$2:$C$2604,""))</f>
        <v/>
      </c>
      <c r="F2902" s="44" t="str">
        <f t="array" ref="F2902">IF(B2902="","",_xlfn.XLOOKUP(B2902,'Form responses 1'!$B$2:$B$2604,'Form responses 1'!$D$2:$D$2604,""))</f>
        <v/>
      </c>
      <c r="G2902" s="44" t="str">
        <f t="array" ref="G2902">IF(B2902="","",_xlfn.XLOOKUP(B2902,'Form responses 1'!$B$2:$B$2604,'Form responses 1'!$E$2:$E$2604,""))</f>
        <v/>
      </c>
      <c r="H2902" s="44" t="str">
        <f t="array" ref="H2902">IF(B2902="","",_xlfn.XLOOKUP(B2902,'Form responses 1'!$B$2:$B$2604,'Form responses 1'!$F$2:$F$2604,""))</f>
        <v/>
      </c>
      <c r="I2902" s="44" t="str">
        <f t="array" ref="I2902">IF(B2902="","",_xlfn.XLOOKUP(B2902,'Form responses 1'!$B$2:$B$2604,'Form responses 1'!$I$2:$I$2604,""))</f>
        <v/>
      </c>
      <c r="J2902" s="44" t="str">
        <f t="array" ref="J2902">IF(B2902="","",_xlfn.XLOOKUP(B2902,'Form responses 1'!$B$2:$B$2604,'Form responses 1'!$G$2:$G$2604,""))</f>
        <v/>
      </c>
      <c r="K2902" s="56"/>
      <c r="L2902" s="58" t="str">
        <f t="shared" si="7"/>
        <v/>
      </c>
      <c r="M2902" s="49"/>
      <c r="N2902" s="49"/>
      <c r="O2902" s="49"/>
      <c r="P2902" s="49"/>
      <c r="Q2902" s="49"/>
      <c r="R2902" s="49"/>
      <c r="S2902" s="49"/>
      <c r="T2902" s="49"/>
      <c r="U2902" s="49"/>
      <c r="V2902" s="49"/>
      <c r="W2902" s="56"/>
      <c r="X2902" s="51" t="str">
        <f t="shared" si="5"/>
        <v/>
      </c>
      <c r="Y2902" s="50" t="s">
        <v>482</v>
      </c>
      <c r="Z2902" s="49">
        <f t="shared" si="6"/>
        <v>0</v>
      </c>
    </row>
    <row r="2903" ht="22.5" customHeight="1">
      <c r="B2903" s="57"/>
      <c r="C2903" s="43" t="str">
        <f t="array" ref="C2903">IF(B2903="","",_xlfn.XLOOKUP(B2903,'Form responses 1'!$B$2:$B$2604,'Form responses 1'!$A$2:$A$2604,""))</f>
        <v/>
      </c>
      <c r="D2903" s="44" t="str">
        <f t="shared" si="3"/>
        <v/>
      </c>
      <c r="E2903" s="44" t="str">
        <f t="array" ref="E2903">IF(B2903="","",_xlfn.XLOOKUP(B2903,'Form responses 1'!$B$2:$B$2604,'Form responses 1'!$C$2:$C$2604,""))</f>
        <v/>
      </c>
      <c r="F2903" s="44" t="str">
        <f t="array" ref="F2903">IF(B2903="","",_xlfn.XLOOKUP(B2903,'Form responses 1'!$B$2:$B$2604,'Form responses 1'!$D$2:$D$2604,""))</f>
        <v/>
      </c>
      <c r="G2903" s="44" t="str">
        <f t="array" ref="G2903">IF(B2903="","",_xlfn.XLOOKUP(B2903,'Form responses 1'!$B$2:$B$2604,'Form responses 1'!$E$2:$E$2604,""))</f>
        <v/>
      </c>
      <c r="H2903" s="44" t="str">
        <f t="array" ref="H2903">IF(B2903="","",_xlfn.XLOOKUP(B2903,'Form responses 1'!$B$2:$B$2604,'Form responses 1'!$F$2:$F$2604,""))</f>
        <v/>
      </c>
      <c r="I2903" s="44" t="str">
        <f t="array" ref="I2903">IF(B2903="","",_xlfn.XLOOKUP(B2903,'Form responses 1'!$B$2:$B$2604,'Form responses 1'!$I$2:$I$2604,""))</f>
        <v/>
      </c>
      <c r="J2903" s="44" t="str">
        <f t="array" ref="J2903">IF(B2903="","",_xlfn.XLOOKUP(B2903,'Form responses 1'!$B$2:$B$2604,'Form responses 1'!$G$2:$G$2604,""))</f>
        <v/>
      </c>
      <c r="K2903" s="56"/>
      <c r="L2903" s="58" t="str">
        <f t="shared" si="7"/>
        <v/>
      </c>
      <c r="M2903" s="49"/>
      <c r="N2903" s="49"/>
      <c r="O2903" s="49"/>
      <c r="P2903" s="49"/>
      <c r="Q2903" s="49"/>
      <c r="R2903" s="49"/>
      <c r="S2903" s="49"/>
      <c r="T2903" s="49"/>
      <c r="U2903" s="49"/>
      <c r="V2903" s="49"/>
      <c r="W2903" s="56"/>
      <c r="X2903" s="51" t="str">
        <f t="shared" si="5"/>
        <v/>
      </c>
      <c r="Y2903" s="50" t="s">
        <v>482</v>
      </c>
      <c r="Z2903" s="49">
        <f t="shared" si="6"/>
        <v>0</v>
      </c>
    </row>
    <row r="2904" ht="22.5" customHeight="1">
      <c r="B2904" s="57"/>
      <c r="C2904" s="43" t="str">
        <f t="array" ref="C2904">IF(B2904="","",_xlfn.XLOOKUP(B2904,'Form responses 1'!$B$2:$B$2604,'Form responses 1'!$A$2:$A$2604,""))</f>
        <v/>
      </c>
      <c r="D2904" s="44" t="str">
        <f t="shared" si="3"/>
        <v/>
      </c>
      <c r="E2904" s="44" t="str">
        <f t="array" ref="E2904">IF(B2904="","",_xlfn.XLOOKUP(B2904,'Form responses 1'!$B$2:$B$2604,'Form responses 1'!$C$2:$C$2604,""))</f>
        <v/>
      </c>
      <c r="F2904" s="44" t="str">
        <f t="array" ref="F2904">IF(B2904="","",_xlfn.XLOOKUP(B2904,'Form responses 1'!$B$2:$B$2604,'Form responses 1'!$D$2:$D$2604,""))</f>
        <v/>
      </c>
      <c r="G2904" s="44" t="str">
        <f t="array" ref="G2904">IF(B2904="","",_xlfn.XLOOKUP(B2904,'Form responses 1'!$B$2:$B$2604,'Form responses 1'!$E$2:$E$2604,""))</f>
        <v/>
      </c>
      <c r="H2904" s="44" t="str">
        <f t="array" ref="H2904">IF(B2904="","",_xlfn.XLOOKUP(B2904,'Form responses 1'!$B$2:$B$2604,'Form responses 1'!$F$2:$F$2604,""))</f>
        <v/>
      </c>
      <c r="I2904" s="44" t="str">
        <f t="array" ref="I2904">IF(B2904="","",_xlfn.XLOOKUP(B2904,'Form responses 1'!$B$2:$B$2604,'Form responses 1'!$I$2:$I$2604,""))</f>
        <v/>
      </c>
      <c r="J2904" s="44" t="str">
        <f t="array" ref="J2904">IF(B2904="","",_xlfn.XLOOKUP(B2904,'Form responses 1'!$B$2:$B$2604,'Form responses 1'!$G$2:$G$2604,""))</f>
        <v/>
      </c>
      <c r="K2904" s="56"/>
      <c r="L2904" s="58" t="str">
        <f t="shared" si="7"/>
        <v/>
      </c>
      <c r="M2904" s="49"/>
      <c r="N2904" s="49"/>
      <c r="O2904" s="49"/>
      <c r="P2904" s="49"/>
      <c r="Q2904" s="49"/>
      <c r="R2904" s="49"/>
      <c r="S2904" s="49"/>
      <c r="T2904" s="49"/>
      <c r="U2904" s="49"/>
      <c r="V2904" s="49"/>
      <c r="W2904" s="56"/>
      <c r="X2904" s="51" t="str">
        <f t="shared" si="5"/>
        <v/>
      </c>
      <c r="Y2904" s="50" t="s">
        <v>482</v>
      </c>
      <c r="Z2904" s="49">
        <f t="shared" si="6"/>
        <v>0</v>
      </c>
    </row>
    <row r="2905" ht="22.5" customHeight="1">
      <c r="B2905" s="57"/>
      <c r="C2905" s="43" t="str">
        <f t="array" ref="C2905">IF(B2905="","",_xlfn.XLOOKUP(B2905,'Form responses 1'!$B$2:$B$2604,'Form responses 1'!$A$2:$A$2604,""))</f>
        <v/>
      </c>
      <c r="D2905" s="44" t="str">
        <f t="shared" si="3"/>
        <v/>
      </c>
      <c r="E2905" s="44" t="str">
        <f t="array" ref="E2905">IF(B2905="","",_xlfn.XLOOKUP(B2905,'Form responses 1'!$B$2:$B$2604,'Form responses 1'!$C$2:$C$2604,""))</f>
        <v/>
      </c>
      <c r="F2905" s="44" t="str">
        <f t="array" ref="F2905">IF(B2905="","",_xlfn.XLOOKUP(B2905,'Form responses 1'!$B$2:$B$2604,'Form responses 1'!$D$2:$D$2604,""))</f>
        <v/>
      </c>
      <c r="G2905" s="44" t="str">
        <f t="array" ref="G2905">IF(B2905="","",_xlfn.XLOOKUP(B2905,'Form responses 1'!$B$2:$B$2604,'Form responses 1'!$E$2:$E$2604,""))</f>
        <v/>
      </c>
      <c r="H2905" s="44" t="str">
        <f t="array" ref="H2905">IF(B2905="","",_xlfn.XLOOKUP(B2905,'Form responses 1'!$B$2:$B$2604,'Form responses 1'!$F$2:$F$2604,""))</f>
        <v/>
      </c>
      <c r="I2905" s="44" t="str">
        <f t="array" ref="I2905">IF(B2905="","",_xlfn.XLOOKUP(B2905,'Form responses 1'!$B$2:$B$2604,'Form responses 1'!$I$2:$I$2604,""))</f>
        <v/>
      </c>
      <c r="J2905" s="44" t="str">
        <f t="array" ref="J2905">IF(B2905="","",_xlfn.XLOOKUP(B2905,'Form responses 1'!$B$2:$B$2604,'Form responses 1'!$G$2:$G$2604,""))</f>
        <v/>
      </c>
      <c r="K2905" s="56"/>
      <c r="L2905" s="58" t="str">
        <f t="shared" si="7"/>
        <v/>
      </c>
      <c r="M2905" s="49"/>
      <c r="N2905" s="49"/>
      <c r="O2905" s="49"/>
      <c r="P2905" s="49"/>
      <c r="Q2905" s="49"/>
      <c r="R2905" s="49"/>
      <c r="S2905" s="49"/>
      <c r="T2905" s="49"/>
      <c r="U2905" s="49"/>
      <c r="V2905" s="49"/>
      <c r="W2905" s="56"/>
      <c r="X2905" s="51" t="str">
        <f t="shared" si="5"/>
        <v/>
      </c>
      <c r="Y2905" s="50" t="s">
        <v>482</v>
      </c>
      <c r="Z2905" s="49">
        <f t="shared" si="6"/>
        <v>0</v>
      </c>
    </row>
    <row r="2906" ht="22.5" customHeight="1">
      <c r="B2906" s="57"/>
      <c r="C2906" s="43" t="str">
        <f t="array" ref="C2906">IF(B2906="","",_xlfn.XLOOKUP(B2906,'Form responses 1'!$B$2:$B$2604,'Form responses 1'!$A$2:$A$2604,""))</f>
        <v/>
      </c>
      <c r="D2906" s="44" t="str">
        <f t="shared" si="3"/>
        <v/>
      </c>
      <c r="E2906" s="44" t="str">
        <f t="array" ref="E2906">IF(B2906="","",_xlfn.XLOOKUP(B2906,'Form responses 1'!$B$2:$B$2604,'Form responses 1'!$C$2:$C$2604,""))</f>
        <v/>
      </c>
      <c r="F2906" s="44" t="str">
        <f t="array" ref="F2906">IF(B2906="","",_xlfn.XLOOKUP(B2906,'Form responses 1'!$B$2:$B$2604,'Form responses 1'!$D$2:$D$2604,""))</f>
        <v/>
      </c>
      <c r="G2906" s="44" t="str">
        <f t="array" ref="G2906">IF(B2906="","",_xlfn.XLOOKUP(B2906,'Form responses 1'!$B$2:$B$2604,'Form responses 1'!$E$2:$E$2604,""))</f>
        <v/>
      </c>
      <c r="H2906" s="44" t="str">
        <f t="array" ref="H2906">IF(B2906="","",_xlfn.XLOOKUP(B2906,'Form responses 1'!$B$2:$B$2604,'Form responses 1'!$F$2:$F$2604,""))</f>
        <v/>
      </c>
      <c r="I2906" s="44" t="str">
        <f t="array" ref="I2906">IF(B2906="","",_xlfn.XLOOKUP(B2906,'Form responses 1'!$B$2:$B$2604,'Form responses 1'!$I$2:$I$2604,""))</f>
        <v/>
      </c>
      <c r="J2906" s="44" t="str">
        <f t="array" ref="J2906">IF(B2906="","",_xlfn.XLOOKUP(B2906,'Form responses 1'!$B$2:$B$2604,'Form responses 1'!$G$2:$G$2604,""))</f>
        <v/>
      </c>
      <c r="K2906" s="56"/>
      <c r="L2906" s="58" t="str">
        <f t="shared" si="7"/>
        <v/>
      </c>
      <c r="M2906" s="49"/>
      <c r="N2906" s="49"/>
      <c r="O2906" s="49"/>
      <c r="P2906" s="49"/>
      <c r="Q2906" s="49"/>
      <c r="R2906" s="49"/>
      <c r="S2906" s="49"/>
      <c r="T2906" s="49"/>
      <c r="U2906" s="49"/>
      <c r="V2906" s="49"/>
      <c r="W2906" s="56"/>
      <c r="X2906" s="51" t="str">
        <f t="shared" si="5"/>
        <v/>
      </c>
      <c r="Y2906" s="50" t="s">
        <v>482</v>
      </c>
      <c r="Z2906" s="49">
        <f t="shared" si="6"/>
        <v>0</v>
      </c>
    </row>
    <row r="2907" ht="22.5" customHeight="1">
      <c r="B2907" s="57"/>
      <c r="C2907" s="43" t="str">
        <f t="array" ref="C2907">IF(B2907="","",_xlfn.XLOOKUP(B2907,'Form responses 1'!$B$2:$B$2604,'Form responses 1'!$A$2:$A$2604,""))</f>
        <v/>
      </c>
      <c r="D2907" s="44" t="str">
        <f t="shared" si="3"/>
        <v/>
      </c>
      <c r="E2907" s="44" t="str">
        <f t="array" ref="E2907">IF(B2907="","",_xlfn.XLOOKUP(B2907,'Form responses 1'!$B$2:$B$2604,'Form responses 1'!$C$2:$C$2604,""))</f>
        <v/>
      </c>
      <c r="F2907" s="44" t="str">
        <f t="array" ref="F2907">IF(B2907="","",_xlfn.XLOOKUP(B2907,'Form responses 1'!$B$2:$B$2604,'Form responses 1'!$D$2:$D$2604,""))</f>
        <v/>
      </c>
      <c r="G2907" s="44" t="str">
        <f t="array" ref="G2907">IF(B2907="","",_xlfn.XLOOKUP(B2907,'Form responses 1'!$B$2:$B$2604,'Form responses 1'!$E$2:$E$2604,""))</f>
        <v/>
      </c>
      <c r="H2907" s="44" t="str">
        <f t="array" ref="H2907">IF(B2907="","",_xlfn.XLOOKUP(B2907,'Form responses 1'!$B$2:$B$2604,'Form responses 1'!$F$2:$F$2604,""))</f>
        <v/>
      </c>
      <c r="I2907" s="44" t="str">
        <f t="array" ref="I2907">IF(B2907="","",_xlfn.XLOOKUP(B2907,'Form responses 1'!$B$2:$B$2604,'Form responses 1'!$I$2:$I$2604,""))</f>
        <v/>
      </c>
      <c r="J2907" s="44" t="str">
        <f t="array" ref="J2907">IF(B2907="","",_xlfn.XLOOKUP(B2907,'Form responses 1'!$B$2:$B$2604,'Form responses 1'!$G$2:$G$2604,""))</f>
        <v/>
      </c>
      <c r="K2907" s="56"/>
      <c r="L2907" s="58" t="str">
        <f t="shared" si="7"/>
        <v/>
      </c>
      <c r="M2907" s="49"/>
      <c r="N2907" s="49"/>
      <c r="O2907" s="49"/>
      <c r="P2907" s="49"/>
      <c r="Q2907" s="49"/>
      <c r="R2907" s="49"/>
      <c r="S2907" s="49"/>
      <c r="T2907" s="49"/>
      <c r="U2907" s="49"/>
      <c r="V2907" s="49"/>
      <c r="W2907" s="56"/>
      <c r="X2907" s="51" t="str">
        <f t="shared" si="5"/>
        <v/>
      </c>
      <c r="Y2907" s="50" t="s">
        <v>482</v>
      </c>
      <c r="Z2907" s="49">
        <f t="shared" si="6"/>
        <v>0</v>
      </c>
    </row>
    <row r="2908" ht="22.5" customHeight="1">
      <c r="B2908" s="57"/>
      <c r="C2908" s="43" t="str">
        <f t="array" ref="C2908">IF(B2908="","",_xlfn.XLOOKUP(B2908,'Form responses 1'!$B$2:$B$2604,'Form responses 1'!$A$2:$A$2604,""))</f>
        <v/>
      </c>
      <c r="D2908" s="44" t="str">
        <f t="shared" si="3"/>
        <v/>
      </c>
      <c r="E2908" s="44" t="str">
        <f t="array" ref="E2908">IF(B2908="","",_xlfn.XLOOKUP(B2908,'Form responses 1'!$B$2:$B$2604,'Form responses 1'!$C$2:$C$2604,""))</f>
        <v/>
      </c>
      <c r="F2908" s="44" t="str">
        <f t="array" ref="F2908">IF(B2908="","",_xlfn.XLOOKUP(B2908,'Form responses 1'!$B$2:$B$2604,'Form responses 1'!$D$2:$D$2604,""))</f>
        <v/>
      </c>
      <c r="G2908" s="44" t="str">
        <f t="array" ref="G2908">IF(B2908="","",_xlfn.XLOOKUP(B2908,'Form responses 1'!$B$2:$B$2604,'Form responses 1'!$E$2:$E$2604,""))</f>
        <v/>
      </c>
      <c r="H2908" s="44" t="str">
        <f t="array" ref="H2908">IF(B2908="","",_xlfn.XLOOKUP(B2908,'Form responses 1'!$B$2:$B$2604,'Form responses 1'!$F$2:$F$2604,""))</f>
        <v/>
      </c>
      <c r="I2908" s="44" t="str">
        <f t="array" ref="I2908">IF(B2908="","",_xlfn.XLOOKUP(B2908,'Form responses 1'!$B$2:$B$2604,'Form responses 1'!$I$2:$I$2604,""))</f>
        <v/>
      </c>
      <c r="J2908" s="44" t="str">
        <f t="array" ref="J2908">IF(B2908="","",_xlfn.XLOOKUP(B2908,'Form responses 1'!$B$2:$B$2604,'Form responses 1'!$G$2:$G$2604,""))</f>
        <v/>
      </c>
      <c r="K2908" s="56"/>
      <c r="L2908" s="58" t="str">
        <f t="shared" si="7"/>
        <v/>
      </c>
      <c r="M2908" s="49"/>
      <c r="N2908" s="49"/>
      <c r="O2908" s="49"/>
      <c r="P2908" s="49"/>
      <c r="Q2908" s="49"/>
      <c r="R2908" s="49"/>
      <c r="S2908" s="49"/>
      <c r="T2908" s="49"/>
      <c r="U2908" s="49"/>
      <c r="V2908" s="49"/>
      <c r="W2908" s="56"/>
      <c r="X2908" s="51" t="str">
        <f t="shared" si="5"/>
        <v/>
      </c>
      <c r="Y2908" s="50" t="s">
        <v>482</v>
      </c>
      <c r="Z2908" s="49">
        <f t="shared" si="6"/>
        <v>0</v>
      </c>
    </row>
    <row r="2909" ht="22.5" customHeight="1">
      <c r="B2909" s="57"/>
      <c r="C2909" s="43" t="str">
        <f t="array" ref="C2909">IF(B2909="","",_xlfn.XLOOKUP(B2909,'Form responses 1'!$B$2:$B$2604,'Form responses 1'!$A$2:$A$2604,""))</f>
        <v/>
      </c>
      <c r="D2909" s="44" t="str">
        <f t="shared" si="3"/>
        <v/>
      </c>
      <c r="E2909" s="44" t="str">
        <f t="array" ref="E2909">IF(B2909="","",_xlfn.XLOOKUP(B2909,'Form responses 1'!$B$2:$B$2604,'Form responses 1'!$C$2:$C$2604,""))</f>
        <v/>
      </c>
      <c r="F2909" s="44" t="str">
        <f t="array" ref="F2909">IF(B2909="","",_xlfn.XLOOKUP(B2909,'Form responses 1'!$B$2:$B$2604,'Form responses 1'!$D$2:$D$2604,""))</f>
        <v/>
      </c>
      <c r="G2909" s="44" t="str">
        <f t="array" ref="G2909">IF(B2909="","",_xlfn.XLOOKUP(B2909,'Form responses 1'!$B$2:$B$2604,'Form responses 1'!$E$2:$E$2604,""))</f>
        <v/>
      </c>
      <c r="H2909" s="44" t="str">
        <f t="array" ref="H2909">IF(B2909="","",_xlfn.XLOOKUP(B2909,'Form responses 1'!$B$2:$B$2604,'Form responses 1'!$F$2:$F$2604,""))</f>
        <v/>
      </c>
      <c r="I2909" s="44" t="str">
        <f t="array" ref="I2909">IF(B2909="","",_xlfn.XLOOKUP(B2909,'Form responses 1'!$B$2:$B$2604,'Form responses 1'!$I$2:$I$2604,""))</f>
        <v/>
      </c>
      <c r="J2909" s="44" t="str">
        <f t="array" ref="J2909">IF(B2909="","",_xlfn.XLOOKUP(B2909,'Form responses 1'!$B$2:$B$2604,'Form responses 1'!$G$2:$G$2604,""))</f>
        <v/>
      </c>
      <c r="K2909" s="56"/>
      <c r="L2909" s="58" t="str">
        <f t="shared" si="7"/>
        <v/>
      </c>
      <c r="M2909" s="49"/>
      <c r="N2909" s="49"/>
      <c r="O2909" s="49"/>
      <c r="P2909" s="49"/>
      <c r="Q2909" s="49"/>
      <c r="R2909" s="49"/>
      <c r="S2909" s="49"/>
      <c r="T2909" s="49"/>
      <c r="U2909" s="49"/>
      <c r="V2909" s="49"/>
      <c r="W2909" s="56"/>
      <c r="X2909" s="51" t="str">
        <f t="shared" si="5"/>
        <v/>
      </c>
      <c r="Y2909" s="50" t="s">
        <v>482</v>
      </c>
      <c r="Z2909" s="49">
        <f t="shared" si="6"/>
        <v>0</v>
      </c>
    </row>
    <row r="2910" ht="22.5" customHeight="1">
      <c r="B2910" s="57"/>
      <c r="C2910" s="43" t="str">
        <f t="array" ref="C2910">IF(B2910="","",_xlfn.XLOOKUP(B2910,'Form responses 1'!$B$2:$B$2604,'Form responses 1'!$A$2:$A$2604,""))</f>
        <v/>
      </c>
      <c r="D2910" s="44" t="str">
        <f t="shared" si="3"/>
        <v/>
      </c>
      <c r="E2910" s="44" t="str">
        <f t="array" ref="E2910">IF(B2910="","",_xlfn.XLOOKUP(B2910,'Form responses 1'!$B$2:$B$2604,'Form responses 1'!$C$2:$C$2604,""))</f>
        <v/>
      </c>
      <c r="F2910" s="44" t="str">
        <f t="array" ref="F2910">IF(B2910="","",_xlfn.XLOOKUP(B2910,'Form responses 1'!$B$2:$B$2604,'Form responses 1'!$D$2:$D$2604,""))</f>
        <v/>
      </c>
      <c r="G2910" s="44" t="str">
        <f t="array" ref="G2910">IF(B2910="","",_xlfn.XLOOKUP(B2910,'Form responses 1'!$B$2:$B$2604,'Form responses 1'!$E$2:$E$2604,""))</f>
        <v/>
      </c>
      <c r="H2910" s="44" t="str">
        <f t="array" ref="H2910">IF(B2910="","",_xlfn.XLOOKUP(B2910,'Form responses 1'!$B$2:$B$2604,'Form responses 1'!$F$2:$F$2604,""))</f>
        <v/>
      </c>
      <c r="I2910" s="44" t="str">
        <f t="array" ref="I2910">IF(B2910="","",_xlfn.XLOOKUP(B2910,'Form responses 1'!$B$2:$B$2604,'Form responses 1'!$I$2:$I$2604,""))</f>
        <v/>
      </c>
      <c r="J2910" s="44" t="str">
        <f t="array" ref="J2910">IF(B2910="","",_xlfn.XLOOKUP(B2910,'Form responses 1'!$B$2:$B$2604,'Form responses 1'!$G$2:$G$2604,""))</f>
        <v/>
      </c>
      <c r="K2910" s="56"/>
      <c r="L2910" s="58" t="str">
        <f t="shared" si="7"/>
        <v/>
      </c>
      <c r="M2910" s="49"/>
      <c r="N2910" s="49"/>
      <c r="O2910" s="49"/>
      <c r="P2910" s="49"/>
      <c r="Q2910" s="49"/>
      <c r="R2910" s="49"/>
      <c r="S2910" s="49"/>
      <c r="T2910" s="49"/>
      <c r="U2910" s="49"/>
      <c r="V2910" s="49"/>
      <c r="W2910" s="56"/>
      <c r="X2910" s="51" t="str">
        <f t="shared" si="5"/>
        <v/>
      </c>
      <c r="Y2910" s="50" t="s">
        <v>482</v>
      </c>
      <c r="Z2910" s="49">
        <f t="shared" si="6"/>
        <v>0</v>
      </c>
    </row>
    <row r="2911" ht="22.5" customHeight="1">
      <c r="B2911" s="57"/>
      <c r="C2911" s="43" t="str">
        <f t="array" ref="C2911">IF(B2911="","",_xlfn.XLOOKUP(B2911,'Form responses 1'!$B$2:$B$2604,'Form responses 1'!$A$2:$A$2604,""))</f>
        <v/>
      </c>
      <c r="D2911" s="44" t="str">
        <f t="shared" si="3"/>
        <v/>
      </c>
      <c r="E2911" s="44" t="str">
        <f t="array" ref="E2911">IF(B2911="","",_xlfn.XLOOKUP(B2911,'Form responses 1'!$B$2:$B$2604,'Form responses 1'!$C$2:$C$2604,""))</f>
        <v/>
      </c>
      <c r="F2911" s="44" t="str">
        <f t="array" ref="F2911">IF(B2911="","",_xlfn.XLOOKUP(B2911,'Form responses 1'!$B$2:$B$2604,'Form responses 1'!$D$2:$D$2604,""))</f>
        <v/>
      </c>
      <c r="G2911" s="44" t="str">
        <f t="array" ref="G2911">IF(B2911="","",_xlfn.XLOOKUP(B2911,'Form responses 1'!$B$2:$B$2604,'Form responses 1'!$E$2:$E$2604,""))</f>
        <v/>
      </c>
      <c r="H2911" s="44" t="str">
        <f t="array" ref="H2911">IF(B2911="","",_xlfn.XLOOKUP(B2911,'Form responses 1'!$B$2:$B$2604,'Form responses 1'!$F$2:$F$2604,""))</f>
        <v/>
      </c>
      <c r="I2911" s="44" t="str">
        <f t="array" ref="I2911">IF(B2911="","",_xlfn.XLOOKUP(B2911,'Form responses 1'!$B$2:$B$2604,'Form responses 1'!$I$2:$I$2604,""))</f>
        <v/>
      </c>
      <c r="J2911" s="44" t="str">
        <f t="array" ref="J2911">IF(B2911="","",_xlfn.XLOOKUP(B2911,'Form responses 1'!$B$2:$B$2604,'Form responses 1'!$G$2:$G$2604,""))</f>
        <v/>
      </c>
      <c r="K2911" s="56"/>
      <c r="L2911" s="58" t="str">
        <f t="shared" si="7"/>
        <v/>
      </c>
      <c r="M2911" s="49"/>
      <c r="N2911" s="49"/>
      <c r="O2911" s="49"/>
      <c r="P2911" s="49"/>
      <c r="Q2911" s="49"/>
      <c r="R2911" s="49"/>
      <c r="S2911" s="49"/>
      <c r="T2911" s="49"/>
      <c r="U2911" s="49"/>
      <c r="V2911" s="49"/>
      <c r="W2911" s="56"/>
      <c r="X2911" s="51" t="str">
        <f t="shared" si="5"/>
        <v/>
      </c>
      <c r="Y2911" s="50" t="s">
        <v>482</v>
      </c>
      <c r="Z2911" s="49">
        <f t="shared" si="6"/>
        <v>0</v>
      </c>
    </row>
    <row r="2912" ht="22.5" customHeight="1">
      <c r="B2912" s="57"/>
      <c r="C2912" s="43" t="str">
        <f t="array" ref="C2912">IF(B2912="","",_xlfn.XLOOKUP(B2912,'Form responses 1'!$B$2:$B$2604,'Form responses 1'!$A$2:$A$2604,""))</f>
        <v/>
      </c>
      <c r="D2912" s="44" t="str">
        <f t="shared" si="3"/>
        <v/>
      </c>
      <c r="E2912" s="44" t="str">
        <f t="array" ref="E2912">IF(B2912="","",_xlfn.XLOOKUP(B2912,'Form responses 1'!$B$2:$B$2604,'Form responses 1'!$C$2:$C$2604,""))</f>
        <v/>
      </c>
      <c r="F2912" s="44" t="str">
        <f t="array" ref="F2912">IF(B2912="","",_xlfn.XLOOKUP(B2912,'Form responses 1'!$B$2:$B$2604,'Form responses 1'!$D$2:$D$2604,""))</f>
        <v/>
      </c>
      <c r="G2912" s="44" t="str">
        <f t="array" ref="G2912">IF(B2912="","",_xlfn.XLOOKUP(B2912,'Form responses 1'!$B$2:$B$2604,'Form responses 1'!$E$2:$E$2604,""))</f>
        <v/>
      </c>
      <c r="H2912" s="44" t="str">
        <f t="array" ref="H2912">IF(B2912="","",_xlfn.XLOOKUP(B2912,'Form responses 1'!$B$2:$B$2604,'Form responses 1'!$F$2:$F$2604,""))</f>
        <v/>
      </c>
      <c r="I2912" s="44" t="str">
        <f t="array" ref="I2912">IF(B2912="","",_xlfn.XLOOKUP(B2912,'Form responses 1'!$B$2:$B$2604,'Form responses 1'!$I$2:$I$2604,""))</f>
        <v/>
      </c>
      <c r="J2912" s="44" t="str">
        <f t="array" ref="J2912">IF(B2912="","",_xlfn.XLOOKUP(B2912,'Form responses 1'!$B$2:$B$2604,'Form responses 1'!$G$2:$G$2604,""))</f>
        <v/>
      </c>
      <c r="K2912" s="56"/>
      <c r="L2912" s="58" t="str">
        <f t="shared" si="7"/>
        <v/>
      </c>
      <c r="M2912" s="49"/>
      <c r="N2912" s="49"/>
      <c r="O2912" s="49"/>
      <c r="P2912" s="49"/>
      <c r="Q2912" s="49"/>
      <c r="R2912" s="49"/>
      <c r="S2912" s="49"/>
      <c r="T2912" s="49"/>
      <c r="U2912" s="49"/>
      <c r="V2912" s="49"/>
      <c r="W2912" s="56"/>
      <c r="X2912" s="51" t="str">
        <f t="shared" si="5"/>
        <v/>
      </c>
      <c r="Y2912" s="50" t="s">
        <v>482</v>
      </c>
      <c r="Z2912" s="49">
        <f t="shared" si="6"/>
        <v>0</v>
      </c>
    </row>
    <row r="2913" ht="22.5" customHeight="1">
      <c r="B2913" s="57"/>
      <c r="C2913" s="43" t="str">
        <f t="array" ref="C2913">IF(B2913="","",_xlfn.XLOOKUP(B2913,'Form responses 1'!$B$2:$B$2604,'Form responses 1'!$A$2:$A$2604,""))</f>
        <v/>
      </c>
      <c r="D2913" s="44" t="str">
        <f t="shared" si="3"/>
        <v/>
      </c>
      <c r="E2913" s="44" t="str">
        <f t="array" ref="E2913">IF(B2913="","",_xlfn.XLOOKUP(B2913,'Form responses 1'!$B$2:$B$2604,'Form responses 1'!$C$2:$C$2604,""))</f>
        <v/>
      </c>
      <c r="F2913" s="44" t="str">
        <f t="array" ref="F2913">IF(B2913="","",_xlfn.XLOOKUP(B2913,'Form responses 1'!$B$2:$B$2604,'Form responses 1'!$D$2:$D$2604,""))</f>
        <v/>
      </c>
      <c r="G2913" s="44" t="str">
        <f t="array" ref="G2913">IF(B2913="","",_xlfn.XLOOKUP(B2913,'Form responses 1'!$B$2:$B$2604,'Form responses 1'!$E$2:$E$2604,""))</f>
        <v/>
      </c>
      <c r="H2913" s="44" t="str">
        <f t="array" ref="H2913">IF(B2913="","",_xlfn.XLOOKUP(B2913,'Form responses 1'!$B$2:$B$2604,'Form responses 1'!$F$2:$F$2604,""))</f>
        <v/>
      </c>
      <c r="I2913" s="44" t="str">
        <f t="array" ref="I2913">IF(B2913="","",_xlfn.XLOOKUP(B2913,'Form responses 1'!$B$2:$B$2604,'Form responses 1'!$I$2:$I$2604,""))</f>
        <v/>
      </c>
      <c r="J2913" s="44" t="str">
        <f t="array" ref="J2913">IF(B2913="","",_xlfn.XLOOKUP(B2913,'Form responses 1'!$B$2:$B$2604,'Form responses 1'!$G$2:$G$2604,""))</f>
        <v/>
      </c>
      <c r="K2913" s="56"/>
      <c r="L2913" s="58" t="str">
        <f t="shared" si="7"/>
        <v/>
      </c>
      <c r="M2913" s="49"/>
      <c r="N2913" s="49"/>
      <c r="O2913" s="49"/>
      <c r="P2913" s="49"/>
      <c r="Q2913" s="49"/>
      <c r="R2913" s="49"/>
      <c r="S2913" s="49"/>
      <c r="T2913" s="49"/>
      <c r="U2913" s="49"/>
      <c r="V2913" s="49"/>
      <c r="W2913" s="56"/>
      <c r="X2913" s="51" t="str">
        <f t="shared" si="5"/>
        <v/>
      </c>
      <c r="Y2913" s="50" t="s">
        <v>482</v>
      </c>
      <c r="Z2913" s="49">
        <f t="shared" si="6"/>
        <v>0</v>
      </c>
    </row>
    <row r="2914" ht="22.5" customHeight="1">
      <c r="B2914" s="57"/>
      <c r="C2914" s="43" t="str">
        <f t="array" ref="C2914">IF(B2914="","",_xlfn.XLOOKUP(B2914,'Form responses 1'!$B$2:$B$2604,'Form responses 1'!$A$2:$A$2604,""))</f>
        <v/>
      </c>
      <c r="D2914" s="44" t="str">
        <f t="shared" si="3"/>
        <v/>
      </c>
      <c r="E2914" s="44" t="str">
        <f t="array" ref="E2914">IF(B2914="","",_xlfn.XLOOKUP(B2914,'Form responses 1'!$B$2:$B$2604,'Form responses 1'!$C$2:$C$2604,""))</f>
        <v/>
      </c>
      <c r="F2914" s="44" t="str">
        <f t="array" ref="F2914">IF(B2914="","",_xlfn.XLOOKUP(B2914,'Form responses 1'!$B$2:$B$2604,'Form responses 1'!$D$2:$D$2604,""))</f>
        <v/>
      </c>
      <c r="G2914" s="44" t="str">
        <f t="array" ref="G2914">IF(B2914="","",_xlfn.XLOOKUP(B2914,'Form responses 1'!$B$2:$B$2604,'Form responses 1'!$E$2:$E$2604,""))</f>
        <v/>
      </c>
      <c r="H2914" s="44" t="str">
        <f t="array" ref="H2914">IF(B2914="","",_xlfn.XLOOKUP(B2914,'Form responses 1'!$B$2:$B$2604,'Form responses 1'!$F$2:$F$2604,""))</f>
        <v/>
      </c>
      <c r="I2914" s="44" t="str">
        <f t="array" ref="I2914">IF(B2914="","",_xlfn.XLOOKUP(B2914,'Form responses 1'!$B$2:$B$2604,'Form responses 1'!$I$2:$I$2604,""))</f>
        <v/>
      </c>
      <c r="J2914" s="44" t="str">
        <f t="array" ref="J2914">IF(B2914="","",_xlfn.XLOOKUP(B2914,'Form responses 1'!$B$2:$B$2604,'Form responses 1'!$G$2:$G$2604,""))</f>
        <v/>
      </c>
      <c r="K2914" s="56"/>
      <c r="L2914" s="58" t="str">
        <f t="shared" si="7"/>
        <v/>
      </c>
      <c r="M2914" s="49"/>
      <c r="N2914" s="49"/>
      <c r="O2914" s="49"/>
      <c r="P2914" s="49"/>
      <c r="Q2914" s="49"/>
      <c r="R2914" s="49"/>
      <c r="S2914" s="49"/>
      <c r="T2914" s="49"/>
      <c r="U2914" s="49"/>
      <c r="V2914" s="49"/>
      <c r="W2914" s="56"/>
      <c r="X2914" s="51" t="str">
        <f t="shared" si="5"/>
        <v/>
      </c>
      <c r="Y2914" s="50" t="s">
        <v>482</v>
      </c>
      <c r="Z2914" s="49">
        <f t="shared" si="6"/>
        <v>0</v>
      </c>
    </row>
    <row r="2915" ht="22.5" customHeight="1">
      <c r="B2915" s="57"/>
      <c r="C2915" s="43" t="str">
        <f t="array" ref="C2915">IF(B2915="","",_xlfn.XLOOKUP(B2915,'Form responses 1'!$B$2:$B$2604,'Form responses 1'!$A$2:$A$2604,""))</f>
        <v/>
      </c>
      <c r="D2915" s="44" t="str">
        <f t="shared" si="3"/>
        <v/>
      </c>
      <c r="E2915" s="44" t="str">
        <f t="array" ref="E2915">IF(B2915="","",_xlfn.XLOOKUP(B2915,'Form responses 1'!$B$2:$B$2604,'Form responses 1'!$C$2:$C$2604,""))</f>
        <v/>
      </c>
      <c r="F2915" s="44" t="str">
        <f t="array" ref="F2915">IF(B2915="","",_xlfn.XLOOKUP(B2915,'Form responses 1'!$B$2:$B$2604,'Form responses 1'!$D$2:$D$2604,""))</f>
        <v/>
      </c>
      <c r="G2915" s="44" t="str">
        <f t="array" ref="G2915">IF(B2915="","",_xlfn.XLOOKUP(B2915,'Form responses 1'!$B$2:$B$2604,'Form responses 1'!$E$2:$E$2604,""))</f>
        <v/>
      </c>
      <c r="H2915" s="44" t="str">
        <f t="array" ref="H2915">IF(B2915="","",_xlfn.XLOOKUP(B2915,'Form responses 1'!$B$2:$B$2604,'Form responses 1'!$F$2:$F$2604,""))</f>
        <v/>
      </c>
      <c r="I2915" s="44" t="str">
        <f t="array" ref="I2915">IF(B2915="","",_xlfn.XLOOKUP(B2915,'Form responses 1'!$B$2:$B$2604,'Form responses 1'!$I$2:$I$2604,""))</f>
        <v/>
      </c>
      <c r="J2915" s="44" t="str">
        <f t="array" ref="J2915">IF(B2915="","",_xlfn.XLOOKUP(B2915,'Form responses 1'!$B$2:$B$2604,'Form responses 1'!$G$2:$G$2604,""))</f>
        <v/>
      </c>
      <c r="K2915" s="56"/>
      <c r="L2915" s="58" t="str">
        <f t="shared" si="7"/>
        <v/>
      </c>
      <c r="M2915" s="49"/>
      <c r="N2915" s="49"/>
      <c r="O2915" s="49"/>
      <c r="P2915" s="49"/>
      <c r="Q2915" s="49"/>
      <c r="R2915" s="49"/>
      <c r="S2915" s="49"/>
      <c r="T2915" s="49"/>
      <c r="U2915" s="49"/>
      <c r="V2915" s="49"/>
      <c r="W2915" s="56"/>
      <c r="X2915" s="51" t="str">
        <f t="shared" si="5"/>
        <v/>
      </c>
      <c r="Y2915" s="50" t="s">
        <v>482</v>
      </c>
      <c r="Z2915" s="49">
        <f t="shared" si="6"/>
        <v>0</v>
      </c>
    </row>
    <row r="2916" ht="22.5" customHeight="1">
      <c r="B2916" s="57"/>
      <c r="C2916" s="43" t="str">
        <f t="array" ref="C2916">IF(B2916="","",_xlfn.XLOOKUP(B2916,'Form responses 1'!$B$2:$B$2604,'Form responses 1'!$A$2:$A$2604,""))</f>
        <v/>
      </c>
      <c r="D2916" s="44" t="str">
        <f t="shared" si="3"/>
        <v/>
      </c>
      <c r="E2916" s="44" t="str">
        <f t="array" ref="E2916">IF(B2916="","",_xlfn.XLOOKUP(B2916,'Form responses 1'!$B$2:$B$2604,'Form responses 1'!$C$2:$C$2604,""))</f>
        <v/>
      </c>
      <c r="F2916" s="44" t="str">
        <f t="array" ref="F2916">IF(B2916="","",_xlfn.XLOOKUP(B2916,'Form responses 1'!$B$2:$B$2604,'Form responses 1'!$D$2:$D$2604,""))</f>
        <v/>
      </c>
      <c r="G2916" s="44" t="str">
        <f t="array" ref="G2916">IF(B2916="","",_xlfn.XLOOKUP(B2916,'Form responses 1'!$B$2:$B$2604,'Form responses 1'!$E$2:$E$2604,""))</f>
        <v/>
      </c>
      <c r="H2916" s="44" t="str">
        <f t="array" ref="H2916">IF(B2916="","",_xlfn.XLOOKUP(B2916,'Form responses 1'!$B$2:$B$2604,'Form responses 1'!$F$2:$F$2604,""))</f>
        <v/>
      </c>
      <c r="I2916" s="44" t="str">
        <f t="array" ref="I2916">IF(B2916="","",_xlfn.XLOOKUP(B2916,'Form responses 1'!$B$2:$B$2604,'Form responses 1'!$I$2:$I$2604,""))</f>
        <v/>
      </c>
      <c r="J2916" s="44" t="str">
        <f t="array" ref="J2916">IF(B2916="","",_xlfn.XLOOKUP(B2916,'Form responses 1'!$B$2:$B$2604,'Form responses 1'!$G$2:$G$2604,""))</f>
        <v/>
      </c>
      <c r="K2916" s="56"/>
      <c r="L2916" s="58" t="str">
        <f t="shared" si="7"/>
        <v/>
      </c>
      <c r="M2916" s="49"/>
      <c r="N2916" s="49"/>
      <c r="O2916" s="49"/>
      <c r="P2916" s="49"/>
      <c r="Q2916" s="49"/>
      <c r="R2916" s="49"/>
      <c r="S2916" s="49"/>
      <c r="T2916" s="49"/>
      <c r="U2916" s="49"/>
      <c r="V2916" s="49"/>
      <c r="W2916" s="56"/>
      <c r="X2916" s="51" t="str">
        <f t="shared" si="5"/>
        <v/>
      </c>
      <c r="Y2916" s="50" t="s">
        <v>482</v>
      </c>
      <c r="Z2916" s="49">
        <f t="shared" si="6"/>
        <v>0</v>
      </c>
    </row>
    <row r="2917" ht="22.5" customHeight="1">
      <c r="B2917" s="57"/>
      <c r="C2917" s="43" t="str">
        <f t="array" ref="C2917">IF(B2917="","",_xlfn.XLOOKUP(B2917,'Form responses 1'!$B$2:$B$2604,'Form responses 1'!$A$2:$A$2604,""))</f>
        <v/>
      </c>
      <c r="D2917" s="44" t="str">
        <f t="shared" si="3"/>
        <v/>
      </c>
      <c r="E2917" s="44" t="str">
        <f t="array" ref="E2917">IF(B2917="","",_xlfn.XLOOKUP(B2917,'Form responses 1'!$B$2:$B$2604,'Form responses 1'!$C$2:$C$2604,""))</f>
        <v/>
      </c>
      <c r="F2917" s="44" t="str">
        <f t="array" ref="F2917">IF(B2917="","",_xlfn.XLOOKUP(B2917,'Form responses 1'!$B$2:$B$2604,'Form responses 1'!$D$2:$D$2604,""))</f>
        <v/>
      </c>
      <c r="G2917" s="44" t="str">
        <f t="array" ref="G2917">IF(B2917="","",_xlfn.XLOOKUP(B2917,'Form responses 1'!$B$2:$B$2604,'Form responses 1'!$E$2:$E$2604,""))</f>
        <v/>
      </c>
      <c r="H2917" s="44" t="str">
        <f t="array" ref="H2917">IF(B2917="","",_xlfn.XLOOKUP(B2917,'Form responses 1'!$B$2:$B$2604,'Form responses 1'!$F$2:$F$2604,""))</f>
        <v/>
      </c>
      <c r="I2917" s="44" t="str">
        <f t="array" ref="I2917">IF(B2917="","",_xlfn.XLOOKUP(B2917,'Form responses 1'!$B$2:$B$2604,'Form responses 1'!$I$2:$I$2604,""))</f>
        <v/>
      </c>
      <c r="J2917" s="44" t="str">
        <f t="array" ref="J2917">IF(B2917="","",_xlfn.XLOOKUP(B2917,'Form responses 1'!$B$2:$B$2604,'Form responses 1'!$G$2:$G$2604,""))</f>
        <v/>
      </c>
      <c r="K2917" s="56"/>
      <c r="L2917" s="58" t="str">
        <f t="shared" si="7"/>
        <v/>
      </c>
      <c r="M2917" s="49"/>
      <c r="N2917" s="49"/>
      <c r="O2917" s="49"/>
      <c r="P2917" s="49"/>
      <c r="Q2917" s="49"/>
      <c r="R2917" s="49"/>
      <c r="S2917" s="49"/>
      <c r="T2917" s="49"/>
      <c r="U2917" s="49"/>
      <c r="V2917" s="49"/>
      <c r="W2917" s="56"/>
      <c r="X2917" s="51" t="str">
        <f t="shared" si="5"/>
        <v/>
      </c>
      <c r="Y2917" s="50" t="s">
        <v>482</v>
      </c>
      <c r="Z2917" s="49">
        <f t="shared" si="6"/>
        <v>0</v>
      </c>
    </row>
    <row r="2918" ht="22.5" customHeight="1">
      <c r="B2918" s="57"/>
      <c r="C2918" s="43" t="str">
        <f t="array" ref="C2918">IF(B2918="","",_xlfn.XLOOKUP(B2918,'Form responses 1'!$B$2:$B$2604,'Form responses 1'!$A$2:$A$2604,""))</f>
        <v/>
      </c>
      <c r="D2918" s="44" t="str">
        <f t="shared" si="3"/>
        <v/>
      </c>
      <c r="E2918" s="44" t="str">
        <f t="array" ref="E2918">IF(B2918="","",_xlfn.XLOOKUP(B2918,'Form responses 1'!$B$2:$B$2604,'Form responses 1'!$C$2:$C$2604,""))</f>
        <v/>
      </c>
      <c r="F2918" s="44" t="str">
        <f t="array" ref="F2918">IF(B2918="","",_xlfn.XLOOKUP(B2918,'Form responses 1'!$B$2:$B$2604,'Form responses 1'!$D$2:$D$2604,""))</f>
        <v/>
      </c>
      <c r="G2918" s="44" t="str">
        <f t="array" ref="G2918">IF(B2918="","",_xlfn.XLOOKUP(B2918,'Form responses 1'!$B$2:$B$2604,'Form responses 1'!$E$2:$E$2604,""))</f>
        <v/>
      </c>
      <c r="H2918" s="44" t="str">
        <f t="array" ref="H2918">IF(B2918="","",_xlfn.XLOOKUP(B2918,'Form responses 1'!$B$2:$B$2604,'Form responses 1'!$F$2:$F$2604,""))</f>
        <v/>
      </c>
      <c r="I2918" s="44" t="str">
        <f t="array" ref="I2918">IF(B2918="","",_xlfn.XLOOKUP(B2918,'Form responses 1'!$B$2:$B$2604,'Form responses 1'!$I$2:$I$2604,""))</f>
        <v/>
      </c>
      <c r="J2918" s="44" t="str">
        <f t="array" ref="J2918">IF(B2918="","",_xlfn.XLOOKUP(B2918,'Form responses 1'!$B$2:$B$2604,'Form responses 1'!$G$2:$G$2604,""))</f>
        <v/>
      </c>
      <c r="K2918" s="56"/>
      <c r="L2918" s="58" t="str">
        <f t="shared" si="7"/>
        <v/>
      </c>
      <c r="M2918" s="49"/>
      <c r="N2918" s="49"/>
      <c r="O2918" s="49"/>
      <c r="P2918" s="49"/>
      <c r="Q2918" s="49"/>
      <c r="R2918" s="49"/>
      <c r="S2918" s="49"/>
      <c r="T2918" s="49"/>
      <c r="U2918" s="49"/>
      <c r="V2918" s="49"/>
      <c r="W2918" s="56"/>
      <c r="X2918" s="51" t="str">
        <f t="shared" si="5"/>
        <v/>
      </c>
      <c r="Y2918" s="50" t="s">
        <v>482</v>
      </c>
      <c r="Z2918" s="49">
        <f t="shared" si="6"/>
        <v>0</v>
      </c>
    </row>
    <row r="2919" ht="22.5" customHeight="1">
      <c r="B2919" s="57"/>
      <c r="C2919" s="43" t="str">
        <f t="array" ref="C2919">IF(B2919="","",_xlfn.XLOOKUP(B2919,'Form responses 1'!$B$2:$B$2604,'Form responses 1'!$A$2:$A$2604,""))</f>
        <v/>
      </c>
      <c r="D2919" s="44" t="str">
        <f t="shared" si="3"/>
        <v/>
      </c>
      <c r="E2919" s="44" t="str">
        <f t="array" ref="E2919">IF(B2919="","",_xlfn.XLOOKUP(B2919,'Form responses 1'!$B$2:$B$2604,'Form responses 1'!$C$2:$C$2604,""))</f>
        <v/>
      </c>
      <c r="F2919" s="44" t="str">
        <f t="array" ref="F2919">IF(B2919="","",_xlfn.XLOOKUP(B2919,'Form responses 1'!$B$2:$B$2604,'Form responses 1'!$D$2:$D$2604,""))</f>
        <v/>
      </c>
      <c r="G2919" s="44" t="str">
        <f t="array" ref="G2919">IF(B2919="","",_xlfn.XLOOKUP(B2919,'Form responses 1'!$B$2:$B$2604,'Form responses 1'!$E$2:$E$2604,""))</f>
        <v/>
      </c>
      <c r="H2919" s="44" t="str">
        <f t="array" ref="H2919">IF(B2919="","",_xlfn.XLOOKUP(B2919,'Form responses 1'!$B$2:$B$2604,'Form responses 1'!$F$2:$F$2604,""))</f>
        <v/>
      </c>
      <c r="I2919" s="44" t="str">
        <f t="array" ref="I2919">IF(B2919="","",_xlfn.XLOOKUP(B2919,'Form responses 1'!$B$2:$B$2604,'Form responses 1'!$I$2:$I$2604,""))</f>
        <v/>
      </c>
      <c r="J2919" s="44" t="str">
        <f t="array" ref="J2919">IF(B2919="","",_xlfn.XLOOKUP(B2919,'Form responses 1'!$B$2:$B$2604,'Form responses 1'!$G$2:$G$2604,""))</f>
        <v/>
      </c>
      <c r="K2919" s="56"/>
      <c r="L2919" s="58" t="str">
        <f t="shared" si="7"/>
        <v/>
      </c>
      <c r="M2919" s="49"/>
      <c r="N2919" s="49"/>
      <c r="O2919" s="49"/>
      <c r="P2919" s="49"/>
      <c r="Q2919" s="49"/>
      <c r="R2919" s="49"/>
      <c r="S2919" s="49"/>
      <c r="T2919" s="49"/>
      <c r="U2919" s="49"/>
      <c r="V2919" s="49"/>
      <c r="W2919" s="56"/>
      <c r="X2919" s="51" t="str">
        <f t="shared" si="5"/>
        <v/>
      </c>
      <c r="Y2919" s="50" t="s">
        <v>482</v>
      </c>
      <c r="Z2919" s="49">
        <f t="shared" si="6"/>
        <v>0</v>
      </c>
    </row>
    <row r="2920" ht="22.5" customHeight="1">
      <c r="B2920" s="57"/>
      <c r="C2920" s="43" t="str">
        <f t="array" ref="C2920">IF(B2920="","",_xlfn.XLOOKUP(B2920,'Form responses 1'!$B$2:$B$2604,'Form responses 1'!$A$2:$A$2604,""))</f>
        <v/>
      </c>
      <c r="D2920" s="44" t="str">
        <f t="shared" si="3"/>
        <v/>
      </c>
      <c r="E2920" s="44" t="str">
        <f t="array" ref="E2920">IF(B2920="","",_xlfn.XLOOKUP(B2920,'Form responses 1'!$B$2:$B$2604,'Form responses 1'!$C$2:$C$2604,""))</f>
        <v/>
      </c>
      <c r="F2920" s="44" t="str">
        <f t="array" ref="F2920">IF(B2920="","",_xlfn.XLOOKUP(B2920,'Form responses 1'!$B$2:$B$2604,'Form responses 1'!$D$2:$D$2604,""))</f>
        <v/>
      </c>
      <c r="G2920" s="44" t="str">
        <f t="array" ref="G2920">IF(B2920="","",_xlfn.XLOOKUP(B2920,'Form responses 1'!$B$2:$B$2604,'Form responses 1'!$E$2:$E$2604,""))</f>
        <v/>
      </c>
      <c r="H2920" s="44" t="str">
        <f t="array" ref="H2920">IF(B2920="","",_xlfn.XLOOKUP(B2920,'Form responses 1'!$B$2:$B$2604,'Form responses 1'!$F$2:$F$2604,""))</f>
        <v/>
      </c>
      <c r="I2920" s="44" t="str">
        <f t="array" ref="I2920">IF(B2920="","",_xlfn.XLOOKUP(B2920,'Form responses 1'!$B$2:$B$2604,'Form responses 1'!$I$2:$I$2604,""))</f>
        <v/>
      </c>
      <c r="J2920" s="44" t="str">
        <f t="array" ref="J2920">IF(B2920="","",_xlfn.XLOOKUP(B2920,'Form responses 1'!$B$2:$B$2604,'Form responses 1'!$G$2:$G$2604,""))</f>
        <v/>
      </c>
      <c r="K2920" s="56"/>
      <c r="L2920" s="58" t="str">
        <f t="shared" si="7"/>
        <v/>
      </c>
      <c r="M2920" s="49"/>
      <c r="N2920" s="49"/>
      <c r="O2920" s="49"/>
      <c r="P2920" s="49"/>
      <c r="Q2920" s="49"/>
      <c r="R2920" s="49"/>
      <c r="S2920" s="49"/>
      <c r="T2920" s="49"/>
      <c r="U2920" s="49"/>
      <c r="V2920" s="49"/>
      <c r="W2920" s="56"/>
      <c r="X2920" s="51" t="str">
        <f t="shared" si="5"/>
        <v/>
      </c>
      <c r="Y2920" s="50" t="s">
        <v>482</v>
      </c>
      <c r="Z2920" s="49">
        <f t="shared" si="6"/>
        <v>0</v>
      </c>
    </row>
    <row r="2921" ht="22.5" customHeight="1">
      <c r="B2921" s="57"/>
      <c r="C2921" s="43" t="str">
        <f t="array" ref="C2921">IF(B2921="","",_xlfn.XLOOKUP(B2921,'Form responses 1'!$B$2:$B$2604,'Form responses 1'!$A$2:$A$2604,""))</f>
        <v/>
      </c>
      <c r="D2921" s="44" t="str">
        <f t="shared" si="3"/>
        <v/>
      </c>
      <c r="E2921" s="44" t="str">
        <f t="array" ref="E2921">IF(B2921="","",_xlfn.XLOOKUP(B2921,'Form responses 1'!$B$2:$B$2604,'Form responses 1'!$C$2:$C$2604,""))</f>
        <v/>
      </c>
      <c r="F2921" s="44" t="str">
        <f t="array" ref="F2921">IF(B2921="","",_xlfn.XLOOKUP(B2921,'Form responses 1'!$B$2:$B$2604,'Form responses 1'!$D$2:$D$2604,""))</f>
        <v/>
      </c>
      <c r="G2921" s="44" t="str">
        <f t="array" ref="G2921">IF(B2921="","",_xlfn.XLOOKUP(B2921,'Form responses 1'!$B$2:$B$2604,'Form responses 1'!$E$2:$E$2604,""))</f>
        <v/>
      </c>
      <c r="H2921" s="44" t="str">
        <f t="array" ref="H2921">IF(B2921="","",_xlfn.XLOOKUP(B2921,'Form responses 1'!$B$2:$B$2604,'Form responses 1'!$F$2:$F$2604,""))</f>
        <v/>
      </c>
      <c r="I2921" s="44" t="str">
        <f t="array" ref="I2921">IF(B2921="","",_xlfn.XLOOKUP(B2921,'Form responses 1'!$B$2:$B$2604,'Form responses 1'!$I$2:$I$2604,""))</f>
        <v/>
      </c>
      <c r="J2921" s="44" t="str">
        <f t="array" ref="J2921">IF(B2921="","",_xlfn.XLOOKUP(B2921,'Form responses 1'!$B$2:$B$2604,'Form responses 1'!$G$2:$G$2604,""))</f>
        <v/>
      </c>
      <c r="K2921" s="56"/>
      <c r="L2921" s="58" t="str">
        <f t="shared" si="7"/>
        <v/>
      </c>
      <c r="M2921" s="49"/>
      <c r="N2921" s="49"/>
      <c r="O2921" s="49"/>
      <c r="P2921" s="49"/>
      <c r="Q2921" s="49"/>
      <c r="R2921" s="49"/>
      <c r="S2921" s="49"/>
      <c r="T2921" s="49"/>
      <c r="U2921" s="49"/>
      <c r="V2921" s="49"/>
      <c r="W2921" s="56"/>
      <c r="X2921" s="51" t="str">
        <f t="shared" si="5"/>
        <v/>
      </c>
      <c r="Y2921" s="50" t="s">
        <v>482</v>
      </c>
      <c r="Z2921" s="49">
        <f t="shared" si="6"/>
        <v>0</v>
      </c>
    </row>
    <row r="2922" ht="22.5" customHeight="1">
      <c r="B2922" s="57"/>
      <c r="C2922" s="43" t="str">
        <f t="array" ref="C2922">IF(B2922="","",_xlfn.XLOOKUP(B2922,'Form responses 1'!$B$2:$B$2604,'Form responses 1'!$A$2:$A$2604,""))</f>
        <v/>
      </c>
      <c r="D2922" s="44" t="str">
        <f t="shared" si="3"/>
        <v/>
      </c>
      <c r="E2922" s="44" t="str">
        <f t="array" ref="E2922">IF(B2922="","",_xlfn.XLOOKUP(B2922,'Form responses 1'!$B$2:$B$2604,'Form responses 1'!$C$2:$C$2604,""))</f>
        <v/>
      </c>
      <c r="F2922" s="44" t="str">
        <f t="array" ref="F2922">IF(B2922="","",_xlfn.XLOOKUP(B2922,'Form responses 1'!$B$2:$B$2604,'Form responses 1'!$D$2:$D$2604,""))</f>
        <v/>
      </c>
      <c r="G2922" s="44" t="str">
        <f t="array" ref="G2922">IF(B2922="","",_xlfn.XLOOKUP(B2922,'Form responses 1'!$B$2:$B$2604,'Form responses 1'!$E$2:$E$2604,""))</f>
        <v/>
      </c>
      <c r="H2922" s="44" t="str">
        <f t="array" ref="H2922">IF(B2922="","",_xlfn.XLOOKUP(B2922,'Form responses 1'!$B$2:$B$2604,'Form responses 1'!$F$2:$F$2604,""))</f>
        <v/>
      </c>
      <c r="I2922" s="44" t="str">
        <f t="array" ref="I2922">IF(B2922="","",_xlfn.XLOOKUP(B2922,'Form responses 1'!$B$2:$B$2604,'Form responses 1'!$I$2:$I$2604,""))</f>
        <v/>
      </c>
      <c r="J2922" s="44" t="str">
        <f t="array" ref="J2922">IF(B2922="","",_xlfn.XLOOKUP(B2922,'Form responses 1'!$B$2:$B$2604,'Form responses 1'!$G$2:$G$2604,""))</f>
        <v/>
      </c>
      <c r="K2922" s="56"/>
      <c r="L2922" s="58" t="str">
        <f t="shared" si="7"/>
        <v/>
      </c>
      <c r="M2922" s="49"/>
      <c r="N2922" s="49"/>
      <c r="O2922" s="49"/>
      <c r="P2922" s="49"/>
      <c r="Q2922" s="49"/>
      <c r="R2922" s="49"/>
      <c r="S2922" s="49"/>
      <c r="T2922" s="49"/>
      <c r="U2922" s="49"/>
      <c r="V2922" s="49"/>
      <c r="W2922" s="56"/>
      <c r="X2922" s="51" t="str">
        <f t="shared" si="5"/>
        <v/>
      </c>
      <c r="Y2922" s="50" t="s">
        <v>482</v>
      </c>
      <c r="Z2922" s="49">
        <f t="shared" si="6"/>
        <v>0</v>
      </c>
    </row>
    <row r="2923" ht="22.5" customHeight="1">
      <c r="B2923" s="57"/>
      <c r="C2923" s="43" t="str">
        <f t="array" ref="C2923">IF(B2923="","",_xlfn.XLOOKUP(B2923,'Form responses 1'!$B$2:$B$2604,'Form responses 1'!$A$2:$A$2604,""))</f>
        <v/>
      </c>
      <c r="D2923" s="44" t="str">
        <f t="shared" si="3"/>
        <v/>
      </c>
      <c r="E2923" s="44" t="str">
        <f t="array" ref="E2923">IF(B2923="","",_xlfn.XLOOKUP(B2923,'Form responses 1'!$B$2:$B$2604,'Form responses 1'!$C$2:$C$2604,""))</f>
        <v/>
      </c>
      <c r="F2923" s="44" t="str">
        <f t="array" ref="F2923">IF(B2923="","",_xlfn.XLOOKUP(B2923,'Form responses 1'!$B$2:$B$2604,'Form responses 1'!$D$2:$D$2604,""))</f>
        <v/>
      </c>
      <c r="G2923" s="44" t="str">
        <f t="array" ref="G2923">IF(B2923="","",_xlfn.XLOOKUP(B2923,'Form responses 1'!$B$2:$B$2604,'Form responses 1'!$E$2:$E$2604,""))</f>
        <v/>
      </c>
      <c r="H2923" s="44" t="str">
        <f t="array" ref="H2923">IF(B2923="","",_xlfn.XLOOKUP(B2923,'Form responses 1'!$B$2:$B$2604,'Form responses 1'!$F$2:$F$2604,""))</f>
        <v/>
      </c>
      <c r="I2923" s="44" t="str">
        <f t="array" ref="I2923">IF(B2923="","",_xlfn.XLOOKUP(B2923,'Form responses 1'!$B$2:$B$2604,'Form responses 1'!$I$2:$I$2604,""))</f>
        <v/>
      </c>
      <c r="J2923" s="44" t="str">
        <f t="array" ref="J2923">IF(B2923="","",_xlfn.XLOOKUP(B2923,'Form responses 1'!$B$2:$B$2604,'Form responses 1'!$G$2:$G$2604,""))</f>
        <v/>
      </c>
      <c r="K2923" s="56"/>
      <c r="L2923" s="58" t="str">
        <f t="shared" si="7"/>
        <v/>
      </c>
      <c r="M2923" s="49"/>
      <c r="N2923" s="49"/>
      <c r="O2923" s="49"/>
      <c r="P2923" s="49"/>
      <c r="Q2923" s="49"/>
      <c r="R2923" s="49"/>
      <c r="S2923" s="49"/>
      <c r="T2923" s="49"/>
      <c r="U2923" s="49"/>
      <c r="V2923" s="49"/>
      <c r="W2923" s="56"/>
      <c r="X2923" s="51" t="str">
        <f t="shared" si="5"/>
        <v/>
      </c>
      <c r="Y2923" s="50" t="s">
        <v>482</v>
      </c>
      <c r="Z2923" s="49">
        <f t="shared" si="6"/>
        <v>0</v>
      </c>
    </row>
    <row r="2924" ht="22.5" customHeight="1">
      <c r="B2924" s="57"/>
      <c r="C2924" s="43" t="str">
        <f t="array" ref="C2924">IF(B2924="","",_xlfn.XLOOKUP(B2924,'Form responses 1'!$B$2:$B$2604,'Form responses 1'!$A$2:$A$2604,""))</f>
        <v/>
      </c>
      <c r="D2924" s="44" t="str">
        <f t="shared" si="3"/>
        <v/>
      </c>
      <c r="E2924" s="44" t="str">
        <f t="array" ref="E2924">IF(B2924="","",_xlfn.XLOOKUP(B2924,'Form responses 1'!$B$2:$B$2604,'Form responses 1'!$C$2:$C$2604,""))</f>
        <v/>
      </c>
      <c r="F2924" s="44" t="str">
        <f t="array" ref="F2924">IF(B2924="","",_xlfn.XLOOKUP(B2924,'Form responses 1'!$B$2:$B$2604,'Form responses 1'!$D$2:$D$2604,""))</f>
        <v/>
      </c>
      <c r="G2924" s="44" t="str">
        <f t="array" ref="G2924">IF(B2924="","",_xlfn.XLOOKUP(B2924,'Form responses 1'!$B$2:$B$2604,'Form responses 1'!$E$2:$E$2604,""))</f>
        <v/>
      </c>
      <c r="H2924" s="44" t="str">
        <f t="array" ref="H2924">IF(B2924="","",_xlfn.XLOOKUP(B2924,'Form responses 1'!$B$2:$B$2604,'Form responses 1'!$F$2:$F$2604,""))</f>
        <v/>
      </c>
      <c r="I2924" s="44" t="str">
        <f t="array" ref="I2924">IF(B2924="","",_xlfn.XLOOKUP(B2924,'Form responses 1'!$B$2:$B$2604,'Form responses 1'!$I$2:$I$2604,""))</f>
        <v/>
      </c>
      <c r="J2924" s="44" t="str">
        <f t="array" ref="J2924">IF(B2924="","",_xlfn.XLOOKUP(B2924,'Form responses 1'!$B$2:$B$2604,'Form responses 1'!$G$2:$G$2604,""))</f>
        <v/>
      </c>
      <c r="K2924" s="56"/>
      <c r="L2924" s="58" t="str">
        <f t="shared" si="7"/>
        <v/>
      </c>
      <c r="M2924" s="49"/>
      <c r="N2924" s="49"/>
      <c r="O2924" s="49"/>
      <c r="P2924" s="49"/>
      <c r="Q2924" s="49"/>
      <c r="R2924" s="49"/>
      <c r="S2924" s="49"/>
      <c r="T2924" s="49"/>
      <c r="U2924" s="49"/>
      <c r="V2924" s="49"/>
      <c r="W2924" s="56"/>
      <c r="X2924" s="51" t="str">
        <f t="shared" si="5"/>
        <v/>
      </c>
      <c r="Y2924" s="50" t="s">
        <v>482</v>
      </c>
      <c r="Z2924" s="49">
        <f t="shared" si="6"/>
        <v>0</v>
      </c>
    </row>
    <row r="2925" ht="22.5" customHeight="1">
      <c r="B2925" s="57"/>
      <c r="C2925" s="43" t="str">
        <f t="array" ref="C2925">IF(B2925="","",_xlfn.XLOOKUP(B2925,'Form responses 1'!$B$2:$B$2604,'Form responses 1'!$A$2:$A$2604,""))</f>
        <v/>
      </c>
      <c r="D2925" s="44" t="str">
        <f t="shared" si="3"/>
        <v/>
      </c>
      <c r="E2925" s="44" t="str">
        <f t="array" ref="E2925">IF(B2925="","",_xlfn.XLOOKUP(B2925,'Form responses 1'!$B$2:$B$2604,'Form responses 1'!$C$2:$C$2604,""))</f>
        <v/>
      </c>
      <c r="F2925" s="44" t="str">
        <f t="array" ref="F2925">IF(B2925="","",_xlfn.XLOOKUP(B2925,'Form responses 1'!$B$2:$B$2604,'Form responses 1'!$D$2:$D$2604,""))</f>
        <v/>
      </c>
      <c r="G2925" s="44" t="str">
        <f t="array" ref="G2925">IF(B2925="","",_xlfn.XLOOKUP(B2925,'Form responses 1'!$B$2:$B$2604,'Form responses 1'!$E$2:$E$2604,""))</f>
        <v/>
      </c>
      <c r="H2925" s="44" t="str">
        <f t="array" ref="H2925">IF(B2925="","",_xlfn.XLOOKUP(B2925,'Form responses 1'!$B$2:$B$2604,'Form responses 1'!$F$2:$F$2604,""))</f>
        <v/>
      </c>
      <c r="I2925" s="44" t="str">
        <f t="array" ref="I2925">IF(B2925="","",_xlfn.XLOOKUP(B2925,'Form responses 1'!$B$2:$B$2604,'Form responses 1'!$I$2:$I$2604,""))</f>
        <v/>
      </c>
      <c r="J2925" s="44" t="str">
        <f t="array" ref="J2925">IF(B2925="","",_xlfn.XLOOKUP(B2925,'Form responses 1'!$B$2:$B$2604,'Form responses 1'!$G$2:$G$2604,""))</f>
        <v/>
      </c>
      <c r="K2925" s="56"/>
      <c r="L2925" s="58" t="str">
        <f t="shared" si="7"/>
        <v/>
      </c>
      <c r="M2925" s="49"/>
      <c r="N2925" s="49"/>
      <c r="O2925" s="49"/>
      <c r="P2925" s="49"/>
      <c r="Q2925" s="49"/>
      <c r="R2925" s="49"/>
      <c r="S2925" s="49"/>
      <c r="T2925" s="49"/>
      <c r="U2925" s="49"/>
      <c r="V2925" s="49"/>
      <c r="W2925" s="56"/>
      <c r="X2925" s="51" t="str">
        <f t="shared" si="5"/>
        <v/>
      </c>
      <c r="Y2925" s="50" t="s">
        <v>482</v>
      </c>
      <c r="Z2925" s="49">
        <f t="shared" si="6"/>
        <v>0</v>
      </c>
    </row>
    <row r="2926" ht="22.5" customHeight="1">
      <c r="B2926" s="57"/>
      <c r="C2926" s="43" t="str">
        <f t="array" ref="C2926">IF(B2926="","",_xlfn.XLOOKUP(B2926,'Form responses 1'!$B$2:$B$2604,'Form responses 1'!$A$2:$A$2604,""))</f>
        <v/>
      </c>
      <c r="D2926" s="44" t="str">
        <f t="shared" si="3"/>
        <v/>
      </c>
      <c r="E2926" s="44" t="str">
        <f t="array" ref="E2926">IF(B2926="","",_xlfn.XLOOKUP(B2926,'Form responses 1'!$B$2:$B$2604,'Form responses 1'!$C$2:$C$2604,""))</f>
        <v/>
      </c>
      <c r="F2926" s="44" t="str">
        <f t="array" ref="F2926">IF(B2926="","",_xlfn.XLOOKUP(B2926,'Form responses 1'!$B$2:$B$2604,'Form responses 1'!$D$2:$D$2604,""))</f>
        <v/>
      </c>
      <c r="G2926" s="44" t="str">
        <f t="array" ref="G2926">IF(B2926="","",_xlfn.XLOOKUP(B2926,'Form responses 1'!$B$2:$B$2604,'Form responses 1'!$E$2:$E$2604,""))</f>
        <v/>
      </c>
      <c r="H2926" s="44" t="str">
        <f t="array" ref="H2926">IF(B2926="","",_xlfn.XLOOKUP(B2926,'Form responses 1'!$B$2:$B$2604,'Form responses 1'!$F$2:$F$2604,""))</f>
        <v/>
      </c>
      <c r="I2926" s="44" t="str">
        <f t="array" ref="I2926">IF(B2926="","",_xlfn.XLOOKUP(B2926,'Form responses 1'!$B$2:$B$2604,'Form responses 1'!$I$2:$I$2604,""))</f>
        <v/>
      </c>
      <c r="J2926" s="44" t="str">
        <f t="array" ref="J2926">IF(B2926="","",_xlfn.XLOOKUP(B2926,'Form responses 1'!$B$2:$B$2604,'Form responses 1'!$G$2:$G$2604,""))</f>
        <v/>
      </c>
      <c r="K2926" s="56"/>
      <c r="L2926" s="58" t="str">
        <f t="shared" si="7"/>
        <v/>
      </c>
      <c r="M2926" s="49"/>
      <c r="N2926" s="49"/>
      <c r="O2926" s="49"/>
      <c r="P2926" s="49"/>
      <c r="Q2926" s="49"/>
      <c r="R2926" s="49"/>
      <c r="S2926" s="49"/>
      <c r="T2926" s="49"/>
      <c r="U2926" s="49"/>
      <c r="V2926" s="49"/>
      <c r="W2926" s="56"/>
      <c r="X2926" s="51" t="str">
        <f t="shared" si="5"/>
        <v/>
      </c>
      <c r="Y2926" s="50" t="s">
        <v>482</v>
      </c>
      <c r="Z2926" s="49">
        <f t="shared" si="6"/>
        <v>0</v>
      </c>
    </row>
    <row r="2927" ht="22.5" customHeight="1">
      <c r="B2927" s="57"/>
      <c r="C2927" s="43" t="str">
        <f t="array" ref="C2927">IF(B2927="","",_xlfn.XLOOKUP(B2927,'Form responses 1'!$B$2:$B$2604,'Form responses 1'!$A$2:$A$2604,""))</f>
        <v/>
      </c>
      <c r="D2927" s="44" t="str">
        <f t="shared" si="3"/>
        <v/>
      </c>
      <c r="E2927" s="44" t="str">
        <f t="array" ref="E2927">IF(B2927="","",_xlfn.XLOOKUP(B2927,'Form responses 1'!$B$2:$B$2604,'Form responses 1'!$C$2:$C$2604,""))</f>
        <v/>
      </c>
      <c r="F2927" s="44" t="str">
        <f t="array" ref="F2927">IF(B2927="","",_xlfn.XLOOKUP(B2927,'Form responses 1'!$B$2:$B$2604,'Form responses 1'!$D$2:$D$2604,""))</f>
        <v/>
      </c>
      <c r="G2927" s="44" t="str">
        <f t="array" ref="G2927">IF(B2927="","",_xlfn.XLOOKUP(B2927,'Form responses 1'!$B$2:$B$2604,'Form responses 1'!$E$2:$E$2604,""))</f>
        <v/>
      </c>
      <c r="H2927" s="44" t="str">
        <f t="array" ref="H2927">IF(B2927="","",_xlfn.XLOOKUP(B2927,'Form responses 1'!$B$2:$B$2604,'Form responses 1'!$F$2:$F$2604,""))</f>
        <v/>
      </c>
      <c r="I2927" s="44" t="str">
        <f t="array" ref="I2927">IF(B2927="","",_xlfn.XLOOKUP(B2927,'Form responses 1'!$B$2:$B$2604,'Form responses 1'!$I$2:$I$2604,""))</f>
        <v/>
      </c>
      <c r="J2927" s="44" t="str">
        <f t="array" ref="J2927">IF(B2927="","",_xlfn.XLOOKUP(B2927,'Form responses 1'!$B$2:$B$2604,'Form responses 1'!$G$2:$G$2604,""))</f>
        <v/>
      </c>
      <c r="K2927" s="56"/>
      <c r="L2927" s="58" t="str">
        <f t="shared" si="7"/>
        <v/>
      </c>
      <c r="M2927" s="49"/>
      <c r="N2927" s="49"/>
      <c r="O2927" s="49"/>
      <c r="P2927" s="49"/>
      <c r="Q2927" s="49"/>
      <c r="R2927" s="49"/>
      <c r="S2927" s="49"/>
      <c r="T2927" s="49"/>
      <c r="U2927" s="49"/>
      <c r="V2927" s="49"/>
      <c r="W2927" s="56"/>
      <c r="X2927" s="51" t="str">
        <f t="shared" si="5"/>
        <v/>
      </c>
      <c r="Y2927" s="50" t="s">
        <v>482</v>
      </c>
      <c r="Z2927" s="49">
        <f t="shared" si="6"/>
        <v>0</v>
      </c>
    </row>
    <row r="2928" ht="22.5" customHeight="1">
      <c r="B2928" s="57"/>
      <c r="C2928" s="43" t="str">
        <f t="array" ref="C2928">IF(B2928="","",_xlfn.XLOOKUP(B2928,'Form responses 1'!$B$2:$B$2604,'Form responses 1'!$A$2:$A$2604,""))</f>
        <v/>
      </c>
      <c r="D2928" s="44" t="str">
        <f t="shared" si="3"/>
        <v/>
      </c>
      <c r="E2928" s="44" t="str">
        <f t="array" ref="E2928">IF(B2928="","",_xlfn.XLOOKUP(B2928,'Form responses 1'!$B$2:$B$2604,'Form responses 1'!$C$2:$C$2604,""))</f>
        <v/>
      </c>
      <c r="F2928" s="44" t="str">
        <f t="array" ref="F2928">IF(B2928="","",_xlfn.XLOOKUP(B2928,'Form responses 1'!$B$2:$B$2604,'Form responses 1'!$D$2:$D$2604,""))</f>
        <v/>
      </c>
      <c r="G2928" s="44" t="str">
        <f t="array" ref="G2928">IF(B2928="","",_xlfn.XLOOKUP(B2928,'Form responses 1'!$B$2:$B$2604,'Form responses 1'!$E$2:$E$2604,""))</f>
        <v/>
      </c>
      <c r="H2928" s="44" t="str">
        <f t="array" ref="H2928">IF(B2928="","",_xlfn.XLOOKUP(B2928,'Form responses 1'!$B$2:$B$2604,'Form responses 1'!$F$2:$F$2604,""))</f>
        <v/>
      </c>
      <c r="I2928" s="44" t="str">
        <f t="array" ref="I2928">IF(B2928="","",_xlfn.XLOOKUP(B2928,'Form responses 1'!$B$2:$B$2604,'Form responses 1'!$I$2:$I$2604,""))</f>
        <v/>
      </c>
      <c r="J2928" s="44" t="str">
        <f t="array" ref="J2928">IF(B2928="","",_xlfn.XLOOKUP(B2928,'Form responses 1'!$B$2:$B$2604,'Form responses 1'!$G$2:$G$2604,""))</f>
        <v/>
      </c>
      <c r="K2928" s="56"/>
      <c r="L2928" s="58" t="str">
        <f t="shared" si="7"/>
        <v/>
      </c>
      <c r="M2928" s="49"/>
      <c r="N2928" s="49"/>
      <c r="O2928" s="49"/>
      <c r="P2928" s="49"/>
      <c r="Q2928" s="49"/>
      <c r="R2928" s="49"/>
      <c r="S2928" s="49"/>
      <c r="T2928" s="49"/>
      <c r="U2928" s="49"/>
      <c r="V2928" s="49"/>
      <c r="W2928" s="56"/>
      <c r="X2928" s="51" t="str">
        <f t="shared" si="5"/>
        <v/>
      </c>
      <c r="Y2928" s="50" t="s">
        <v>482</v>
      </c>
      <c r="Z2928" s="49">
        <f t="shared" si="6"/>
        <v>0</v>
      </c>
    </row>
    <row r="2929" ht="22.5" customHeight="1">
      <c r="B2929" s="57"/>
      <c r="C2929" s="43" t="str">
        <f t="array" ref="C2929">IF(B2929="","",_xlfn.XLOOKUP(B2929,'Form responses 1'!$B$2:$B$2604,'Form responses 1'!$A$2:$A$2604,""))</f>
        <v/>
      </c>
      <c r="D2929" s="44" t="str">
        <f t="shared" si="3"/>
        <v/>
      </c>
      <c r="E2929" s="44" t="str">
        <f t="array" ref="E2929">IF(B2929="","",_xlfn.XLOOKUP(B2929,'Form responses 1'!$B$2:$B$2604,'Form responses 1'!$C$2:$C$2604,""))</f>
        <v/>
      </c>
      <c r="F2929" s="44" t="str">
        <f t="array" ref="F2929">IF(B2929="","",_xlfn.XLOOKUP(B2929,'Form responses 1'!$B$2:$B$2604,'Form responses 1'!$D$2:$D$2604,""))</f>
        <v/>
      </c>
      <c r="G2929" s="44" t="str">
        <f t="array" ref="G2929">IF(B2929="","",_xlfn.XLOOKUP(B2929,'Form responses 1'!$B$2:$B$2604,'Form responses 1'!$E$2:$E$2604,""))</f>
        <v/>
      </c>
      <c r="H2929" s="44" t="str">
        <f t="array" ref="H2929">IF(B2929="","",_xlfn.XLOOKUP(B2929,'Form responses 1'!$B$2:$B$2604,'Form responses 1'!$F$2:$F$2604,""))</f>
        <v/>
      </c>
      <c r="I2929" s="44" t="str">
        <f t="array" ref="I2929">IF(B2929="","",_xlfn.XLOOKUP(B2929,'Form responses 1'!$B$2:$B$2604,'Form responses 1'!$I$2:$I$2604,""))</f>
        <v/>
      </c>
      <c r="J2929" s="44" t="str">
        <f t="array" ref="J2929">IF(B2929="","",_xlfn.XLOOKUP(B2929,'Form responses 1'!$B$2:$B$2604,'Form responses 1'!$G$2:$G$2604,""))</f>
        <v/>
      </c>
      <c r="K2929" s="56"/>
      <c r="L2929" s="58" t="str">
        <f t="shared" si="7"/>
        <v/>
      </c>
      <c r="M2929" s="49"/>
      <c r="N2929" s="49"/>
      <c r="O2929" s="49"/>
      <c r="P2929" s="49"/>
      <c r="Q2929" s="49"/>
      <c r="R2929" s="49"/>
      <c r="S2929" s="49"/>
      <c r="T2929" s="49"/>
      <c r="U2929" s="49"/>
      <c r="V2929" s="49"/>
      <c r="W2929" s="56"/>
      <c r="X2929" s="51" t="str">
        <f t="shared" si="5"/>
        <v/>
      </c>
      <c r="Y2929" s="50" t="s">
        <v>482</v>
      </c>
      <c r="Z2929" s="49">
        <f t="shared" si="6"/>
        <v>0</v>
      </c>
    </row>
    <row r="2930" ht="22.5" customHeight="1">
      <c r="B2930" s="57"/>
      <c r="C2930" s="43" t="str">
        <f t="array" ref="C2930">IF(B2930="","",_xlfn.XLOOKUP(B2930,'Form responses 1'!$B$2:$B$2604,'Form responses 1'!$A$2:$A$2604,""))</f>
        <v/>
      </c>
      <c r="D2930" s="44" t="str">
        <f t="shared" si="3"/>
        <v/>
      </c>
      <c r="E2930" s="44" t="str">
        <f t="array" ref="E2930">IF(B2930="","",_xlfn.XLOOKUP(B2930,'Form responses 1'!$B$2:$B$2604,'Form responses 1'!$C$2:$C$2604,""))</f>
        <v/>
      </c>
      <c r="F2930" s="44" t="str">
        <f t="array" ref="F2930">IF(B2930="","",_xlfn.XLOOKUP(B2930,'Form responses 1'!$B$2:$B$2604,'Form responses 1'!$D$2:$D$2604,""))</f>
        <v/>
      </c>
      <c r="G2930" s="44" t="str">
        <f t="array" ref="G2930">IF(B2930="","",_xlfn.XLOOKUP(B2930,'Form responses 1'!$B$2:$B$2604,'Form responses 1'!$E$2:$E$2604,""))</f>
        <v/>
      </c>
      <c r="H2930" s="44" t="str">
        <f t="array" ref="H2930">IF(B2930="","",_xlfn.XLOOKUP(B2930,'Form responses 1'!$B$2:$B$2604,'Form responses 1'!$F$2:$F$2604,""))</f>
        <v/>
      </c>
      <c r="I2930" s="44" t="str">
        <f t="array" ref="I2930">IF(B2930="","",_xlfn.XLOOKUP(B2930,'Form responses 1'!$B$2:$B$2604,'Form responses 1'!$I$2:$I$2604,""))</f>
        <v/>
      </c>
      <c r="J2930" s="44" t="str">
        <f t="array" ref="J2930">IF(B2930="","",_xlfn.XLOOKUP(B2930,'Form responses 1'!$B$2:$B$2604,'Form responses 1'!$G$2:$G$2604,""))</f>
        <v/>
      </c>
      <c r="K2930" s="56"/>
      <c r="L2930" s="58" t="str">
        <f t="shared" si="7"/>
        <v/>
      </c>
      <c r="M2930" s="49"/>
      <c r="N2930" s="49"/>
      <c r="O2930" s="49"/>
      <c r="P2930" s="49"/>
      <c r="Q2930" s="49"/>
      <c r="R2930" s="49"/>
      <c r="S2930" s="49"/>
      <c r="T2930" s="49"/>
      <c r="U2930" s="49"/>
      <c r="V2930" s="49"/>
      <c r="W2930" s="56"/>
      <c r="X2930" s="51" t="str">
        <f t="shared" si="5"/>
        <v/>
      </c>
      <c r="Y2930" s="50" t="s">
        <v>482</v>
      </c>
      <c r="Z2930" s="49">
        <f t="shared" si="6"/>
        <v>0</v>
      </c>
    </row>
    <row r="2931" ht="22.5" customHeight="1">
      <c r="B2931" s="57"/>
      <c r="C2931" s="43" t="str">
        <f t="array" ref="C2931">IF(B2931="","",_xlfn.XLOOKUP(B2931,'Form responses 1'!$B$2:$B$2604,'Form responses 1'!$A$2:$A$2604,""))</f>
        <v/>
      </c>
      <c r="D2931" s="44" t="str">
        <f t="shared" si="3"/>
        <v/>
      </c>
      <c r="E2931" s="44" t="str">
        <f t="array" ref="E2931">IF(B2931="","",_xlfn.XLOOKUP(B2931,'Form responses 1'!$B$2:$B$2604,'Form responses 1'!$C$2:$C$2604,""))</f>
        <v/>
      </c>
      <c r="F2931" s="44" t="str">
        <f t="array" ref="F2931">IF(B2931="","",_xlfn.XLOOKUP(B2931,'Form responses 1'!$B$2:$B$2604,'Form responses 1'!$D$2:$D$2604,""))</f>
        <v/>
      </c>
      <c r="G2931" s="44" t="str">
        <f t="array" ref="G2931">IF(B2931="","",_xlfn.XLOOKUP(B2931,'Form responses 1'!$B$2:$B$2604,'Form responses 1'!$E$2:$E$2604,""))</f>
        <v/>
      </c>
      <c r="H2931" s="44" t="str">
        <f t="array" ref="H2931">IF(B2931="","",_xlfn.XLOOKUP(B2931,'Form responses 1'!$B$2:$B$2604,'Form responses 1'!$F$2:$F$2604,""))</f>
        <v/>
      </c>
      <c r="I2931" s="44" t="str">
        <f t="array" ref="I2931">IF(B2931="","",_xlfn.XLOOKUP(B2931,'Form responses 1'!$B$2:$B$2604,'Form responses 1'!$I$2:$I$2604,""))</f>
        <v/>
      </c>
      <c r="J2931" s="44" t="str">
        <f t="array" ref="J2931">IF(B2931="","",_xlfn.XLOOKUP(B2931,'Form responses 1'!$B$2:$B$2604,'Form responses 1'!$G$2:$G$2604,""))</f>
        <v/>
      </c>
      <c r="K2931" s="56"/>
      <c r="L2931" s="58" t="str">
        <f t="shared" si="7"/>
        <v/>
      </c>
      <c r="M2931" s="49"/>
      <c r="N2931" s="49"/>
      <c r="O2931" s="49"/>
      <c r="P2931" s="49"/>
      <c r="Q2931" s="49"/>
      <c r="R2931" s="49"/>
      <c r="S2931" s="49"/>
      <c r="T2931" s="49"/>
      <c r="U2931" s="49"/>
      <c r="V2931" s="49"/>
      <c r="W2931" s="56"/>
      <c r="X2931" s="51" t="str">
        <f t="shared" si="5"/>
        <v/>
      </c>
      <c r="Y2931" s="50" t="s">
        <v>482</v>
      </c>
      <c r="Z2931" s="49">
        <f t="shared" si="6"/>
        <v>0</v>
      </c>
    </row>
    <row r="2932" ht="22.5" customHeight="1">
      <c r="B2932" s="57"/>
      <c r="C2932" s="43" t="str">
        <f t="array" ref="C2932">IF(B2932="","",_xlfn.XLOOKUP(B2932,'Form responses 1'!$B$2:$B$2604,'Form responses 1'!$A$2:$A$2604,""))</f>
        <v/>
      </c>
      <c r="D2932" s="44" t="str">
        <f t="shared" si="3"/>
        <v/>
      </c>
      <c r="E2932" s="44" t="str">
        <f t="array" ref="E2932">IF(B2932="","",_xlfn.XLOOKUP(B2932,'Form responses 1'!$B$2:$B$2604,'Form responses 1'!$C$2:$C$2604,""))</f>
        <v/>
      </c>
      <c r="F2932" s="44" t="str">
        <f t="array" ref="F2932">IF(B2932="","",_xlfn.XLOOKUP(B2932,'Form responses 1'!$B$2:$B$2604,'Form responses 1'!$D$2:$D$2604,""))</f>
        <v/>
      </c>
      <c r="G2932" s="44" t="str">
        <f t="array" ref="G2932">IF(B2932="","",_xlfn.XLOOKUP(B2932,'Form responses 1'!$B$2:$B$2604,'Form responses 1'!$E$2:$E$2604,""))</f>
        <v/>
      </c>
      <c r="H2932" s="44" t="str">
        <f t="array" ref="H2932">IF(B2932="","",_xlfn.XLOOKUP(B2932,'Form responses 1'!$B$2:$B$2604,'Form responses 1'!$F$2:$F$2604,""))</f>
        <v/>
      </c>
      <c r="I2932" s="44" t="str">
        <f t="array" ref="I2932">IF(B2932="","",_xlfn.XLOOKUP(B2932,'Form responses 1'!$B$2:$B$2604,'Form responses 1'!$I$2:$I$2604,""))</f>
        <v/>
      </c>
      <c r="J2932" s="44" t="str">
        <f t="array" ref="J2932">IF(B2932="","",_xlfn.XLOOKUP(B2932,'Form responses 1'!$B$2:$B$2604,'Form responses 1'!$G$2:$G$2604,""))</f>
        <v/>
      </c>
      <c r="K2932" s="56"/>
      <c r="L2932" s="58" t="str">
        <f t="shared" si="7"/>
        <v/>
      </c>
      <c r="M2932" s="49"/>
      <c r="N2932" s="49"/>
      <c r="O2932" s="49"/>
      <c r="P2932" s="49"/>
      <c r="Q2932" s="49"/>
      <c r="R2932" s="49"/>
      <c r="S2932" s="49"/>
      <c r="T2932" s="49"/>
      <c r="U2932" s="49"/>
      <c r="V2932" s="49"/>
      <c r="W2932" s="56"/>
      <c r="X2932" s="51" t="str">
        <f t="shared" si="5"/>
        <v/>
      </c>
      <c r="Y2932" s="50" t="s">
        <v>482</v>
      </c>
      <c r="Z2932" s="49">
        <f t="shared" si="6"/>
        <v>0</v>
      </c>
    </row>
    <row r="2933" ht="22.5" customHeight="1">
      <c r="B2933" s="57"/>
      <c r="C2933" s="43" t="str">
        <f t="array" ref="C2933">IF(B2933="","",_xlfn.XLOOKUP(B2933,'Form responses 1'!$B$2:$B$2604,'Form responses 1'!$A$2:$A$2604,""))</f>
        <v/>
      </c>
      <c r="D2933" s="44" t="str">
        <f t="shared" si="3"/>
        <v/>
      </c>
      <c r="E2933" s="44" t="str">
        <f t="array" ref="E2933">IF(B2933="","",_xlfn.XLOOKUP(B2933,'Form responses 1'!$B$2:$B$2604,'Form responses 1'!$C$2:$C$2604,""))</f>
        <v/>
      </c>
      <c r="F2933" s="44" t="str">
        <f t="array" ref="F2933">IF(B2933="","",_xlfn.XLOOKUP(B2933,'Form responses 1'!$B$2:$B$2604,'Form responses 1'!$D$2:$D$2604,""))</f>
        <v/>
      </c>
      <c r="G2933" s="44" t="str">
        <f t="array" ref="G2933">IF(B2933="","",_xlfn.XLOOKUP(B2933,'Form responses 1'!$B$2:$B$2604,'Form responses 1'!$E$2:$E$2604,""))</f>
        <v/>
      </c>
      <c r="H2933" s="44" t="str">
        <f t="array" ref="H2933">IF(B2933="","",_xlfn.XLOOKUP(B2933,'Form responses 1'!$B$2:$B$2604,'Form responses 1'!$F$2:$F$2604,""))</f>
        <v/>
      </c>
      <c r="I2933" s="44" t="str">
        <f t="array" ref="I2933">IF(B2933="","",_xlfn.XLOOKUP(B2933,'Form responses 1'!$B$2:$B$2604,'Form responses 1'!$I$2:$I$2604,""))</f>
        <v/>
      </c>
      <c r="J2933" s="44" t="str">
        <f t="array" ref="J2933">IF(B2933="","",_xlfn.XLOOKUP(B2933,'Form responses 1'!$B$2:$B$2604,'Form responses 1'!$G$2:$G$2604,""))</f>
        <v/>
      </c>
      <c r="K2933" s="56"/>
      <c r="L2933" s="58" t="str">
        <f t="shared" si="7"/>
        <v/>
      </c>
      <c r="M2933" s="49"/>
      <c r="N2933" s="49"/>
      <c r="O2933" s="49"/>
      <c r="P2933" s="49"/>
      <c r="Q2933" s="49"/>
      <c r="R2933" s="49"/>
      <c r="S2933" s="49"/>
      <c r="T2933" s="49"/>
      <c r="U2933" s="49"/>
      <c r="V2933" s="49"/>
      <c r="W2933" s="56"/>
      <c r="X2933" s="51" t="str">
        <f t="shared" si="5"/>
        <v/>
      </c>
      <c r="Y2933" s="50" t="s">
        <v>482</v>
      </c>
      <c r="Z2933" s="49">
        <f t="shared" si="6"/>
        <v>0</v>
      </c>
    </row>
    <row r="2934" ht="22.5" customHeight="1">
      <c r="B2934" s="57"/>
      <c r="C2934" s="43" t="str">
        <f t="array" ref="C2934">IF(B2934="","",_xlfn.XLOOKUP(B2934,'Form responses 1'!$B$2:$B$2604,'Form responses 1'!$A$2:$A$2604,""))</f>
        <v/>
      </c>
      <c r="D2934" s="44" t="str">
        <f t="shared" si="3"/>
        <v/>
      </c>
      <c r="E2934" s="44" t="str">
        <f t="array" ref="E2934">IF(B2934="","",_xlfn.XLOOKUP(B2934,'Form responses 1'!$B$2:$B$2604,'Form responses 1'!$C$2:$C$2604,""))</f>
        <v/>
      </c>
      <c r="F2934" s="44" t="str">
        <f t="array" ref="F2934">IF(B2934="","",_xlfn.XLOOKUP(B2934,'Form responses 1'!$B$2:$B$2604,'Form responses 1'!$D$2:$D$2604,""))</f>
        <v/>
      </c>
      <c r="G2934" s="44" t="str">
        <f t="array" ref="G2934">IF(B2934="","",_xlfn.XLOOKUP(B2934,'Form responses 1'!$B$2:$B$2604,'Form responses 1'!$E$2:$E$2604,""))</f>
        <v/>
      </c>
      <c r="H2934" s="44" t="str">
        <f t="array" ref="H2934">IF(B2934="","",_xlfn.XLOOKUP(B2934,'Form responses 1'!$B$2:$B$2604,'Form responses 1'!$F$2:$F$2604,""))</f>
        <v/>
      </c>
      <c r="I2934" s="44" t="str">
        <f t="array" ref="I2934">IF(B2934="","",_xlfn.XLOOKUP(B2934,'Form responses 1'!$B$2:$B$2604,'Form responses 1'!$I$2:$I$2604,""))</f>
        <v/>
      </c>
      <c r="J2934" s="44" t="str">
        <f t="array" ref="J2934">IF(B2934="","",_xlfn.XLOOKUP(B2934,'Form responses 1'!$B$2:$B$2604,'Form responses 1'!$G$2:$G$2604,""))</f>
        <v/>
      </c>
      <c r="K2934" s="56"/>
      <c r="L2934" s="58" t="str">
        <f t="shared" si="7"/>
        <v/>
      </c>
      <c r="M2934" s="49"/>
      <c r="N2934" s="49"/>
      <c r="O2934" s="49"/>
      <c r="P2934" s="49"/>
      <c r="Q2934" s="49"/>
      <c r="R2934" s="49"/>
      <c r="S2934" s="49"/>
      <c r="T2934" s="49"/>
      <c r="U2934" s="49"/>
      <c r="V2934" s="49"/>
      <c r="W2934" s="56"/>
      <c r="X2934" s="51" t="str">
        <f t="shared" si="5"/>
        <v/>
      </c>
      <c r="Y2934" s="50" t="s">
        <v>482</v>
      </c>
      <c r="Z2934" s="49">
        <f t="shared" si="6"/>
        <v>0</v>
      </c>
    </row>
    <row r="2935" ht="22.5" customHeight="1">
      <c r="B2935" s="57"/>
      <c r="C2935" s="43" t="str">
        <f t="array" ref="C2935">IF(B2935="","",_xlfn.XLOOKUP(B2935,'Form responses 1'!$B$2:$B$2604,'Form responses 1'!$A$2:$A$2604,""))</f>
        <v/>
      </c>
      <c r="D2935" s="44" t="str">
        <f t="shared" si="3"/>
        <v/>
      </c>
      <c r="E2935" s="44" t="str">
        <f t="array" ref="E2935">IF(B2935="","",_xlfn.XLOOKUP(B2935,'Form responses 1'!$B$2:$B$2604,'Form responses 1'!$C$2:$C$2604,""))</f>
        <v/>
      </c>
      <c r="F2935" s="44" t="str">
        <f t="array" ref="F2935">IF(B2935="","",_xlfn.XLOOKUP(B2935,'Form responses 1'!$B$2:$B$2604,'Form responses 1'!$D$2:$D$2604,""))</f>
        <v/>
      </c>
      <c r="G2935" s="44" t="str">
        <f t="array" ref="G2935">IF(B2935="","",_xlfn.XLOOKUP(B2935,'Form responses 1'!$B$2:$B$2604,'Form responses 1'!$E$2:$E$2604,""))</f>
        <v/>
      </c>
      <c r="H2935" s="44" t="str">
        <f t="array" ref="H2935">IF(B2935="","",_xlfn.XLOOKUP(B2935,'Form responses 1'!$B$2:$B$2604,'Form responses 1'!$F$2:$F$2604,""))</f>
        <v/>
      </c>
      <c r="I2935" s="44" t="str">
        <f t="array" ref="I2935">IF(B2935="","",_xlfn.XLOOKUP(B2935,'Form responses 1'!$B$2:$B$2604,'Form responses 1'!$I$2:$I$2604,""))</f>
        <v/>
      </c>
      <c r="J2935" s="44" t="str">
        <f t="array" ref="J2935">IF(B2935="","",_xlfn.XLOOKUP(B2935,'Form responses 1'!$B$2:$B$2604,'Form responses 1'!$G$2:$G$2604,""))</f>
        <v/>
      </c>
      <c r="K2935" s="56"/>
      <c r="L2935" s="58" t="str">
        <f t="shared" si="7"/>
        <v/>
      </c>
      <c r="M2935" s="49"/>
      <c r="N2935" s="49"/>
      <c r="O2935" s="49"/>
      <c r="P2935" s="49"/>
      <c r="Q2935" s="49"/>
      <c r="R2935" s="49"/>
      <c r="S2935" s="49"/>
      <c r="T2935" s="49"/>
      <c r="U2935" s="49"/>
      <c r="V2935" s="49"/>
      <c r="W2935" s="56"/>
      <c r="X2935" s="51" t="str">
        <f t="shared" si="5"/>
        <v/>
      </c>
      <c r="Y2935" s="50" t="s">
        <v>482</v>
      </c>
      <c r="Z2935" s="49">
        <f t="shared" si="6"/>
        <v>0</v>
      </c>
    </row>
    <row r="2936" ht="22.5" customHeight="1">
      <c r="B2936" s="57"/>
      <c r="C2936" s="43" t="str">
        <f t="array" ref="C2936">IF(B2936="","",_xlfn.XLOOKUP(B2936,'Form responses 1'!$B$2:$B$2604,'Form responses 1'!$A$2:$A$2604,""))</f>
        <v/>
      </c>
      <c r="D2936" s="44" t="str">
        <f t="shared" si="3"/>
        <v/>
      </c>
      <c r="E2936" s="44" t="str">
        <f t="array" ref="E2936">IF(B2936="","",_xlfn.XLOOKUP(B2936,'Form responses 1'!$B$2:$B$2604,'Form responses 1'!$C$2:$C$2604,""))</f>
        <v/>
      </c>
      <c r="F2936" s="44" t="str">
        <f t="array" ref="F2936">IF(B2936="","",_xlfn.XLOOKUP(B2936,'Form responses 1'!$B$2:$B$2604,'Form responses 1'!$D$2:$D$2604,""))</f>
        <v/>
      </c>
      <c r="G2936" s="44" t="str">
        <f t="array" ref="G2936">IF(B2936="","",_xlfn.XLOOKUP(B2936,'Form responses 1'!$B$2:$B$2604,'Form responses 1'!$E$2:$E$2604,""))</f>
        <v/>
      </c>
      <c r="H2936" s="44" t="str">
        <f t="array" ref="H2936">IF(B2936="","",_xlfn.XLOOKUP(B2936,'Form responses 1'!$B$2:$B$2604,'Form responses 1'!$F$2:$F$2604,""))</f>
        <v/>
      </c>
      <c r="I2936" s="44" t="str">
        <f t="array" ref="I2936">IF(B2936="","",_xlfn.XLOOKUP(B2936,'Form responses 1'!$B$2:$B$2604,'Form responses 1'!$I$2:$I$2604,""))</f>
        <v/>
      </c>
      <c r="J2936" s="44" t="str">
        <f t="array" ref="J2936">IF(B2936="","",_xlfn.XLOOKUP(B2936,'Form responses 1'!$B$2:$B$2604,'Form responses 1'!$G$2:$G$2604,""))</f>
        <v/>
      </c>
      <c r="K2936" s="56"/>
      <c r="L2936" s="58" t="str">
        <f t="shared" si="7"/>
        <v/>
      </c>
      <c r="M2936" s="49"/>
      <c r="N2936" s="49"/>
      <c r="O2936" s="49"/>
      <c r="P2936" s="49"/>
      <c r="Q2936" s="49"/>
      <c r="R2936" s="49"/>
      <c r="S2936" s="49"/>
      <c r="T2936" s="49"/>
      <c r="U2936" s="49"/>
      <c r="V2936" s="49"/>
      <c r="W2936" s="56"/>
      <c r="X2936" s="51" t="str">
        <f t="shared" si="5"/>
        <v/>
      </c>
      <c r="Y2936" s="50" t="s">
        <v>482</v>
      </c>
      <c r="Z2936" s="49">
        <f t="shared" si="6"/>
        <v>0</v>
      </c>
    </row>
    <row r="2937" ht="22.5" customHeight="1">
      <c r="B2937" s="57"/>
      <c r="C2937" s="43" t="str">
        <f t="array" ref="C2937">IF(B2937="","",_xlfn.XLOOKUP(B2937,'Form responses 1'!$B$2:$B$2604,'Form responses 1'!$A$2:$A$2604,""))</f>
        <v/>
      </c>
      <c r="D2937" s="44" t="str">
        <f t="shared" si="3"/>
        <v/>
      </c>
      <c r="E2937" s="44" t="str">
        <f t="array" ref="E2937">IF(B2937="","",_xlfn.XLOOKUP(B2937,'Form responses 1'!$B$2:$B$2604,'Form responses 1'!$C$2:$C$2604,""))</f>
        <v/>
      </c>
      <c r="F2937" s="44" t="str">
        <f t="array" ref="F2937">IF(B2937="","",_xlfn.XLOOKUP(B2937,'Form responses 1'!$B$2:$B$2604,'Form responses 1'!$D$2:$D$2604,""))</f>
        <v/>
      </c>
      <c r="G2937" s="44" t="str">
        <f t="array" ref="G2937">IF(B2937="","",_xlfn.XLOOKUP(B2937,'Form responses 1'!$B$2:$B$2604,'Form responses 1'!$E$2:$E$2604,""))</f>
        <v/>
      </c>
      <c r="H2937" s="44" t="str">
        <f t="array" ref="H2937">IF(B2937="","",_xlfn.XLOOKUP(B2937,'Form responses 1'!$B$2:$B$2604,'Form responses 1'!$F$2:$F$2604,""))</f>
        <v/>
      </c>
      <c r="I2937" s="44" t="str">
        <f t="array" ref="I2937">IF(B2937="","",_xlfn.XLOOKUP(B2937,'Form responses 1'!$B$2:$B$2604,'Form responses 1'!$I$2:$I$2604,""))</f>
        <v/>
      </c>
      <c r="J2937" s="44" t="str">
        <f t="array" ref="J2937">IF(B2937="","",_xlfn.XLOOKUP(B2937,'Form responses 1'!$B$2:$B$2604,'Form responses 1'!$G$2:$G$2604,""))</f>
        <v/>
      </c>
      <c r="K2937" s="56"/>
      <c r="L2937" s="58" t="str">
        <f t="shared" si="7"/>
        <v/>
      </c>
      <c r="M2937" s="49"/>
      <c r="N2937" s="49"/>
      <c r="O2937" s="49"/>
      <c r="P2937" s="49"/>
      <c r="Q2937" s="49"/>
      <c r="R2937" s="49"/>
      <c r="S2937" s="49"/>
      <c r="T2937" s="49"/>
      <c r="U2937" s="49"/>
      <c r="V2937" s="49"/>
      <c r="W2937" s="56"/>
      <c r="X2937" s="51" t="str">
        <f t="shared" si="5"/>
        <v/>
      </c>
      <c r="Y2937" s="50" t="s">
        <v>482</v>
      </c>
      <c r="Z2937" s="49">
        <f t="shared" si="6"/>
        <v>0</v>
      </c>
    </row>
    <row r="2938" ht="22.5" customHeight="1">
      <c r="B2938" s="57"/>
      <c r="C2938" s="43" t="str">
        <f t="array" ref="C2938">IF(B2938="","",_xlfn.XLOOKUP(B2938,'Form responses 1'!$B$2:$B$2604,'Form responses 1'!$A$2:$A$2604,""))</f>
        <v/>
      </c>
      <c r="D2938" s="44" t="str">
        <f t="shared" si="3"/>
        <v/>
      </c>
      <c r="E2938" s="44" t="str">
        <f t="array" ref="E2938">IF(B2938="","",_xlfn.XLOOKUP(B2938,'Form responses 1'!$B$2:$B$2604,'Form responses 1'!$C$2:$C$2604,""))</f>
        <v/>
      </c>
      <c r="F2938" s="44" t="str">
        <f t="array" ref="F2938">IF(B2938="","",_xlfn.XLOOKUP(B2938,'Form responses 1'!$B$2:$B$2604,'Form responses 1'!$D$2:$D$2604,""))</f>
        <v/>
      </c>
      <c r="G2938" s="44" t="str">
        <f t="array" ref="G2938">IF(B2938="","",_xlfn.XLOOKUP(B2938,'Form responses 1'!$B$2:$B$2604,'Form responses 1'!$E$2:$E$2604,""))</f>
        <v/>
      </c>
      <c r="H2938" s="44" t="str">
        <f t="array" ref="H2938">IF(B2938="","",_xlfn.XLOOKUP(B2938,'Form responses 1'!$B$2:$B$2604,'Form responses 1'!$F$2:$F$2604,""))</f>
        <v/>
      </c>
      <c r="I2938" s="44" t="str">
        <f t="array" ref="I2938">IF(B2938="","",_xlfn.XLOOKUP(B2938,'Form responses 1'!$B$2:$B$2604,'Form responses 1'!$I$2:$I$2604,""))</f>
        <v/>
      </c>
      <c r="J2938" s="44" t="str">
        <f t="array" ref="J2938">IF(B2938="","",_xlfn.XLOOKUP(B2938,'Form responses 1'!$B$2:$B$2604,'Form responses 1'!$G$2:$G$2604,""))</f>
        <v/>
      </c>
      <c r="K2938" s="56"/>
      <c r="L2938" s="58" t="str">
        <f t="shared" si="7"/>
        <v/>
      </c>
      <c r="M2938" s="49"/>
      <c r="N2938" s="49"/>
      <c r="O2938" s="49"/>
      <c r="P2938" s="49"/>
      <c r="Q2938" s="49"/>
      <c r="R2938" s="49"/>
      <c r="S2938" s="49"/>
      <c r="T2938" s="49"/>
      <c r="U2938" s="49"/>
      <c r="V2938" s="49"/>
      <c r="W2938" s="56"/>
      <c r="X2938" s="51" t="str">
        <f t="shared" si="5"/>
        <v/>
      </c>
      <c r="Y2938" s="50" t="s">
        <v>482</v>
      </c>
      <c r="Z2938" s="49">
        <f t="shared" si="6"/>
        <v>0</v>
      </c>
    </row>
    <row r="2939" ht="22.5" customHeight="1">
      <c r="B2939" s="57"/>
      <c r="C2939" s="43" t="str">
        <f t="array" ref="C2939">IF(B2939="","",_xlfn.XLOOKUP(B2939,'Form responses 1'!$B$2:$B$2604,'Form responses 1'!$A$2:$A$2604,""))</f>
        <v/>
      </c>
      <c r="D2939" s="44" t="str">
        <f t="shared" si="3"/>
        <v/>
      </c>
      <c r="E2939" s="44" t="str">
        <f t="array" ref="E2939">IF(B2939="","",_xlfn.XLOOKUP(B2939,'Form responses 1'!$B$2:$B$2604,'Form responses 1'!$C$2:$C$2604,""))</f>
        <v/>
      </c>
      <c r="F2939" s="44" t="str">
        <f t="array" ref="F2939">IF(B2939="","",_xlfn.XLOOKUP(B2939,'Form responses 1'!$B$2:$B$2604,'Form responses 1'!$D$2:$D$2604,""))</f>
        <v/>
      </c>
      <c r="G2939" s="44" t="str">
        <f t="array" ref="G2939">IF(B2939="","",_xlfn.XLOOKUP(B2939,'Form responses 1'!$B$2:$B$2604,'Form responses 1'!$E$2:$E$2604,""))</f>
        <v/>
      </c>
      <c r="H2939" s="44" t="str">
        <f t="array" ref="H2939">IF(B2939="","",_xlfn.XLOOKUP(B2939,'Form responses 1'!$B$2:$B$2604,'Form responses 1'!$F$2:$F$2604,""))</f>
        <v/>
      </c>
      <c r="I2939" s="44" t="str">
        <f t="array" ref="I2939">IF(B2939="","",_xlfn.XLOOKUP(B2939,'Form responses 1'!$B$2:$B$2604,'Form responses 1'!$I$2:$I$2604,""))</f>
        <v/>
      </c>
      <c r="J2939" s="44" t="str">
        <f t="array" ref="J2939">IF(B2939="","",_xlfn.XLOOKUP(B2939,'Form responses 1'!$B$2:$B$2604,'Form responses 1'!$G$2:$G$2604,""))</f>
        <v/>
      </c>
      <c r="K2939" s="56"/>
      <c r="L2939" s="58" t="str">
        <f t="shared" si="7"/>
        <v/>
      </c>
      <c r="M2939" s="49"/>
      <c r="N2939" s="49"/>
      <c r="O2939" s="49"/>
      <c r="P2939" s="49"/>
      <c r="Q2939" s="49"/>
      <c r="R2939" s="49"/>
      <c r="S2939" s="49"/>
      <c r="T2939" s="49"/>
      <c r="U2939" s="49"/>
      <c r="V2939" s="49"/>
      <c r="W2939" s="56"/>
      <c r="X2939" s="51" t="str">
        <f t="shared" si="5"/>
        <v/>
      </c>
      <c r="Y2939" s="50" t="s">
        <v>482</v>
      </c>
      <c r="Z2939" s="49">
        <f t="shared" si="6"/>
        <v>0</v>
      </c>
    </row>
    <row r="2940" ht="22.5" customHeight="1">
      <c r="B2940" s="57"/>
      <c r="C2940" s="43" t="str">
        <f t="array" ref="C2940">IF(B2940="","",_xlfn.XLOOKUP(B2940,'Form responses 1'!$B$2:$B$2604,'Form responses 1'!$A$2:$A$2604,""))</f>
        <v/>
      </c>
      <c r="D2940" s="44" t="str">
        <f t="shared" si="3"/>
        <v/>
      </c>
      <c r="E2940" s="44" t="str">
        <f t="array" ref="E2940">IF(B2940="","",_xlfn.XLOOKUP(B2940,'Form responses 1'!$B$2:$B$2604,'Form responses 1'!$C$2:$C$2604,""))</f>
        <v/>
      </c>
      <c r="F2940" s="44" t="str">
        <f t="array" ref="F2940">IF(B2940="","",_xlfn.XLOOKUP(B2940,'Form responses 1'!$B$2:$B$2604,'Form responses 1'!$D$2:$D$2604,""))</f>
        <v/>
      </c>
      <c r="G2940" s="44" t="str">
        <f t="array" ref="G2940">IF(B2940="","",_xlfn.XLOOKUP(B2940,'Form responses 1'!$B$2:$B$2604,'Form responses 1'!$E$2:$E$2604,""))</f>
        <v/>
      </c>
      <c r="H2940" s="44" t="str">
        <f t="array" ref="H2940">IF(B2940="","",_xlfn.XLOOKUP(B2940,'Form responses 1'!$B$2:$B$2604,'Form responses 1'!$F$2:$F$2604,""))</f>
        <v/>
      </c>
      <c r="I2940" s="44" t="str">
        <f t="array" ref="I2940">IF(B2940="","",_xlfn.XLOOKUP(B2940,'Form responses 1'!$B$2:$B$2604,'Form responses 1'!$I$2:$I$2604,""))</f>
        <v/>
      </c>
      <c r="J2940" s="44" t="str">
        <f t="array" ref="J2940">IF(B2940="","",_xlfn.XLOOKUP(B2940,'Form responses 1'!$B$2:$B$2604,'Form responses 1'!$G$2:$G$2604,""))</f>
        <v/>
      </c>
      <c r="K2940" s="56"/>
      <c r="L2940" s="58" t="str">
        <f t="shared" si="7"/>
        <v/>
      </c>
      <c r="M2940" s="49"/>
      <c r="N2940" s="49"/>
      <c r="O2940" s="49"/>
      <c r="P2940" s="49"/>
      <c r="Q2940" s="49"/>
      <c r="R2940" s="49"/>
      <c r="S2940" s="49"/>
      <c r="T2940" s="49"/>
      <c r="U2940" s="49"/>
      <c r="V2940" s="49"/>
      <c r="W2940" s="56"/>
      <c r="X2940" s="51" t="str">
        <f t="shared" si="5"/>
        <v/>
      </c>
      <c r="Y2940" s="50" t="s">
        <v>482</v>
      </c>
      <c r="Z2940" s="49">
        <f t="shared" si="6"/>
        <v>0</v>
      </c>
    </row>
    <row r="2941" ht="22.5" customHeight="1">
      <c r="B2941" s="57"/>
      <c r="C2941" s="43" t="str">
        <f t="array" ref="C2941">IF(B2941="","",_xlfn.XLOOKUP(B2941,'Form responses 1'!$B$2:$B$2604,'Form responses 1'!$A$2:$A$2604,""))</f>
        <v/>
      </c>
      <c r="D2941" s="44" t="str">
        <f t="shared" si="3"/>
        <v/>
      </c>
      <c r="E2941" s="44" t="str">
        <f t="array" ref="E2941">IF(B2941="","",_xlfn.XLOOKUP(B2941,'Form responses 1'!$B$2:$B$2604,'Form responses 1'!$C$2:$C$2604,""))</f>
        <v/>
      </c>
      <c r="F2941" s="44" t="str">
        <f t="array" ref="F2941">IF(B2941="","",_xlfn.XLOOKUP(B2941,'Form responses 1'!$B$2:$B$2604,'Form responses 1'!$D$2:$D$2604,""))</f>
        <v/>
      </c>
      <c r="G2941" s="44" t="str">
        <f t="array" ref="G2941">IF(B2941="","",_xlfn.XLOOKUP(B2941,'Form responses 1'!$B$2:$B$2604,'Form responses 1'!$E$2:$E$2604,""))</f>
        <v/>
      </c>
      <c r="H2941" s="44" t="str">
        <f t="array" ref="H2941">IF(B2941="","",_xlfn.XLOOKUP(B2941,'Form responses 1'!$B$2:$B$2604,'Form responses 1'!$F$2:$F$2604,""))</f>
        <v/>
      </c>
      <c r="I2941" s="44" t="str">
        <f t="array" ref="I2941">IF(B2941="","",_xlfn.XLOOKUP(B2941,'Form responses 1'!$B$2:$B$2604,'Form responses 1'!$I$2:$I$2604,""))</f>
        <v/>
      </c>
      <c r="J2941" s="44" t="str">
        <f t="array" ref="J2941">IF(B2941="","",_xlfn.XLOOKUP(B2941,'Form responses 1'!$B$2:$B$2604,'Form responses 1'!$G$2:$G$2604,""))</f>
        <v/>
      </c>
      <c r="K2941" s="56"/>
      <c r="L2941" s="58" t="str">
        <f t="shared" si="7"/>
        <v/>
      </c>
      <c r="M2941" s="49"/>
      <c r="N2941" s="49"/>
      <c r="O2941" s="49"/>
      <c r="P2941" s="49"/>
      <c r="Q2941" s="49"/>
      <c r="R2941" s="49"/>
      <c r="S2941" s="49"/>
      <c r="T2941" s="49"/>
      <c r="U2941" s="49"/>
      <c r="V2941" s="49"/>
      <c r="W2941" s="56"/>
      <c r="X2941" s="51" t="str">
        <f t="shared" si="5"/>
        <v/>
      </c>
      <c r="Y2941" s="50" t="s">
        <v>482</v>
      </c>
      <c r="Z2941" s="49">
        <f t="shared" si="6"/>
        <v>0</v>
      </c>
    </row>
    <row r="2942" ht="22.5" customHeight="1">
      <c r="B2942" s="57"/>
      <c r="C2942" s="43" t="str">
        <f t="array" ref="C2942">IF(B2942="","",_xlfn.XLOOKUP(B2942,'Form responses 1'!$B$2:$B$2604,'Form responses 1'!$A$2:$A$2604,""))</f>
        <v/>
      </c>
      <c r="D2942" s="44" t="str">
        <f t="shared" si="3"/>
        <v/>
      </c>
      <c r="E2942" s="44" t="str">
        <f t="array" ref="E2942">IF(B2942="","",_xlfn.XLOOKUP(B2942,'Form responses 1'!$B$2:$B$2604,'Form responses 1'!$C$2:$C$2604,""))</f>
        <v/>
      </c>
      <c r="F2942" s="44" t="str">
        <f t="array" ref="F2942">IF(B2942="","",_xlfn.XLOOKUP(B2942,'Form responses 1'!$B$2:$B$2604,'Form responses 1'!$D$2:$D$2604,""))</f>
        <v/>
      </c>
      <c r="G2942" s="44" t="str">
        <f t="array" ref="G2942">IF(B2942="","",_xlfn.XLOOKUP(B2942,'Form responses 1'!$B$2:$B$2604,'Form responses 1'!$E$2:$E$2604,""))</f>
        <v/>
      </c>
      <c r="H2942" s="44" t="str">
        <f t="array" ref="H2942">IF(B2942="","",_xlfn.XLOOKUP(B2942,'Form responses 1'!$B$2:$B$2604,'Form responses 1'!$F$2:$F$2604,""))</f>
        <v/>
      </c>
      <c r="I2942" s="44" t="str">
        <f t="array" ref="I2942">IF(B2942="","",_xlfn.XLOOKUP(B2942,'Form responses 1'!$B$2:$B$2604,'Form responses 1'!$I$2:$I$2604,""))</f>
        <v/>
      </c>
      <c r="J2942" s="44" t="str">
        <f t="array" ref="J2942">IF(B2942="","",_xlfn.XLOOKUP(B2942,'Form responses 1'!$B$2:$B$2604,'Form responses 1'!$G$2:$G$2604,""))</f>
        <v/>
      </c>
      <c r="K2942" s="56"/>
      <c r="L2942" s="58" t="str">
        <f t="shared" si="7"/>
        <v/>
      </c>
      <c r="M2942" s="49"/>
      <c r="N2942" s="49"/>
      <c r="O2942" s="49"/>
      <c r="P2942" s="49"/>
      <c r="Q2942" s="49"/>
      <c r="R2942" s="49"/>
      <c r="S2942" s="49"/>
      <c r="T2942" s="49"/>
      <c r="U2942" s="49"/>
      <c r="V2942" s="49"/>
      <c r="W2942" s="56"/>
      <c r="X2942" s="51" t="str">
        <f t="shared" si="5"/>
        <v/>
      </c>
      <c r="Y2942" s="50" t="s">
        <v>482</v>
      </c>
      <c r="Z2942" s="49">
        <f t="shared" si="6"/>
        <v>0</v>
      </c>
    </row>
    <row r="2943" ht="22.5" customHeight="1">
      <c r="B2943" s="57"/>
      <c r="C2943" s="43" t="str">
        <f t="array" ref="C2943">IF(B2943="","",_xlfn.XLOOKUP(B2943,'Form responses 1'!$B$2:$B$2604,'Form responses 1'!$A$2:$A$2604,""))</f>
        <v/>
      </c>
      <c r="D2943" s="44" t="str">
        <f t="shared" si="3"/>
        <v/>
      </c>
      <c r="E2943" s="44" t="str">
        <f t="array" ref="E2943">IF(B2943="","",_xlfn.XLOOKUP(B2943,'Form responses 1'!$B$2:$B$2604,'Form responses 1'!$C$2:$C$2604,""))</f>
        <v/>
      </c>
      <c r="F2943" s="44" t="str">
        <f t="array" ref="F2943">IF(B2943="","",_xlfn.XLOOKUP(B2943,'Form responses 1'!$B$2:$B$2604,'Form responses 1'!$D$2:$D$2604,""))</f>
        <v/>
      </c>
      <c r="G2943" s="44" t="str">
        <f t="array" ref="G2943">IF(B2943="","",_xlfn.XLOOKUP(B2943,'Form responses 1'!$B$2:$B$2604,'Form responses 1'!$E$2:$E$2604,""))</f>
        <v/>
      </c>
      <c r="H2943" s="44" t="str">
        <f t="array" ref="H2943">IF(B2943="","",_xlfn.XLOOKUP(B2943,'Form responses 1'!$B$2:$B$2604,'Form responses 1'!$F$2:$F$2604,""))</f>
        <v/>
      </c>
      <c r="I2943" s="44" t="str">
        <f t="array" ref="I2943">IF(B2943="","",_xlfn.XLOOKUP(B2943,'Form responses 1'!$B$2:$B$2604,'Form responses 1'!$I$2:$I$2604,""))</f>
        <v/>
      </c>
      <c r="J2943" s="44" t="str">
        <f t="array" ref="J2943">IF(B2943="","",_xlfn.XLOOKUP(B2943,'Form responses 1'!$B$2:$B$2604,'Form responses 1'!$G$2:$G$2604,""))</f>
        <v/>
      </c>
      <c r="K2943" s="56"/>
      <c r="L2943" s="58" t="str">
        <f t="shared" si="7"/>
        <v/>
      </c>
      <c r="M2943" s="49"/>
      <c r="N2943" s="49"/>
      <c r="O2943" s="49"/>
      <c r="P2943" s="49"/>
      <c r="Q2943" s="49"/>
      <c r="R2943" s="49"/>
      <c r="S2943" s="49"/>
      <c r="T2943" s="49"/>
      <c r="U2943" s="49"/>
      <c r="V2943" s="49"/>
      <c r="W2943" s="56"/>
      <c r="X2943" s="51" t="str">
        <f t="shared" si="5"/>
        <v/>
      </c>
      <c r="Y2943" s="50" t="s">
        <v>482</v>
      </c>
      <c r="Z2943" s="49">
        <f t="shared" si="6"/>
        <v>0</v>
      </c>
    </row>
    <row r="2944" ht="22.5" customHeight="1">
      <c r="B2944" s="57"/>
      <c r="C2944" s="43" t="str">
        <f t="array" ref="C2944">IF(B2944="","",_xlfn.XLOOKUP(B2944,'Form responses 1'!$B$2:$B$2604,'Form responses 1'!$A$2:$A$2604,""))</f>
        <v/>
      </c>
      <c r="D2944" s="44" t="str">
        <f t="shared" si="3"/>
        <v/>
      </c>
      <c r="E2944" s="44" t="str">
        <f t="array" ref="E2944">IF(B2944="","",_xlfn.XLOOKUP(B2944,'Form responses 1'!$B$2:$B$2604,'Form responses 1'!$C$2:$C$2604,""))</f>
        <v/>
      </c>
      <c r="F2944" s="44" t="str">
        <f t="array" ref="F2944">IF(B2944="","",_xlfn.XLOOKUP(B2944,'Form responses 1'!$B$2:$B$2604,'Form responses 1'!$D$2:$D$2604,""))</f>
        <v/>
      </c>
      <c r="G2944" s="44" t="str">
        <f t="array" ref="G2944">IF(B2944="","",_xlfn.XLOOKUP(B2944,'Form responses 1'!$B$2:$B$2604,'Form responses 1'!$E$2:$E$2604,""))</f>
        <v/>
      </c>
      <c r="H2944" s="44" t="str">
        <f t="array" ref="H2944">IF(B2944="","",_xlfn.XLOOKUP(B2944,'Form responses 1'!$B$2:$B$2604,'Form responses 1'!$F$2:$F$2604,""))</f>
        <v/>
      </c>
      <c r="I2944" s="44" t="str">
        <f t="array" ref="I2944">IF(B2944="","",_xlfn.XLOOKUP(B2944,'Form responses 1'!$B$2:$B$2604,'Form responses 1'!$I$2:$I$2604,""))</f>
        <v/>
      </c>
      <c r="J2944" s="44" t="str">
        <f t="array" ref="J2944">IF(B2944="","",_xlfn.XLOOKUP(B2944,'Form responses 1'!$B$2:$B$2604,'Form responses 1'!$G$2:$G$2604,""))</f>
        <v/>
      </c>
      <c r="K2944" s="56"/>
      <c r="L2944" s="58" t="str">
        <f t="shared" si="7"/>
        <v/>
      </c>
      <c r="M2944" s="49"/>
      <c r="N2944" s="49"/>
      <c r="O2944" s="49"/>
      <c r="P2944" s="49"/>
      <c r="Q2944" s="49"/>
      <c r="R2944" s="49"/>
      <c r="S2944" s="49"/>
      <c r="T2944" s="49"/>
      <c r="U2944" s="49"/>
      <c r="V2944" s="49"/>
      <c r="W2944" s="56"/>
      <c r="X2944" s="51" t="str">
        <f t="shared" si="5"/>
        <v/>
      </c>
      <c r="Y2944" s="50" t="s">
        <v>482</v>
      </c>
      <c r="Z2944" s="49">
        <f t="shared" si="6"/>
        <v>0</v>
      </c>
    </row>
    <row r="2945" ht="22.5" customHeight="1">
      <c r="B2945" s="57"/>
      <c r="C2945" s="43" t="str">
        <f t="array" ref="C2945">IF(B2945="","",_xlfn.XLOOKUP(B2945,'Form responses 1'!$B$2:$B$2604,'Form responses 1'!$A$2:$A$2604,""))</f>
        <v/>
      </c>
      <c r="D2945" s="44" t="str">
        <f t="shared" si="3"/>
        <v/>
      </c>
      <c r="E2945" s="44" t="str">
        <f t="array" ref="E2945">IF(B2945="","",_xlfn.XLOOKUP(B2945,'Form responses 1'!$B$2:$B$2604,'Form responses 1'!$C$2:$C$2604,""))</f>
        <v/>
      </c>
      <c r="F2945" s="44" t="str">
        <f t="array" ref="F2945">IF(B2945="","",_xlfn.XLOOKUP(B2945,'Form responses 1'!$B$2:$B$2604,'Form responses 1'!$D$2:$D$2604,""))</f>
        <v/>
      </c>
      <c r="G2945" s="44" t="str">
        <f t="array" ref="G2945">IF(B2945="","",_xlfn.XLOOKUP(B2945,'Form responses 1'!$B$2:$B$2604,'Form responses 1'!$E$2:$E$2604,""))</f>
        <v/>
      </c>
      <c r="H2945" s="44" t="str">
        <f t="array" ref="H2945">IF(B2945="","",_xlfn.XLOOKUP(B2945,'Form responses 1'!$B$2:$B$2604,'Form responses 1'!$F$2:$F$2604,""))</f>
        <v/>
      </c>
      <c r="I2945" s="44" t="str">
        <f t="array" ref="I2945">IF(B2945="","",_xlfn.XLOOKUP(B2945,'Form responses 1'!$B$2:$B$2604,'Form responses 1'!$I$2:$I$2604,""))</f>
        <v/>
      </c>
      <c r="J2945" s="44" t="str">
        <f t="array" ref="J2945">IF(B2945="","",_xlfn.XLOOKUP(B2945,'Form responses 1'!$B$2:$B$2604,'Form responses 1'!$G$2:$G$2604,""))</f>
        <v/>
      </c>
      <c r="K2945" s="56"/>
      <c r="L2945" s="58" t="str">
        <f t="shared" si="7"/>
        <v/>
      </c>
      <c r="M2945" s="49"/>
      <c r="N2945" s="49"/>
      <c r="O2945" s="49"/>
      <c r="P2945" s="49"/>
      <c r="Q2945" s="49"/>
      <c r="R2945" s="49"/>
      <c r="S2945" s="49"/>
      <c r="T2945" s="49"/>
      <c r="U2945" s="49"/>
      <c r="V2945" s="49"/>
      <c r="W2945" s="56"/>
      <c r="X2945" s="51" t="str">
        <f t="shared" si="5"/>
        <v/>
      </c>
      <c r="Y2945" s="50" t="s">
        <v>482</v>
      </c>
      <c r="Z2945" s="49">
        <f t="shared" si="6"/>
        <v>0</v>
      </c>
    </row>
    <row r="2946" ht="22.5" customHeight="1">
      <c r="B2946" s="57"/>
      <c r="C2946" s="43" t="str">
        <f t="array" ref="C2946">IF(B2946="","",_xlfn.XLOOKUP(B2946,'Form responses 1'!$B$2:$B$2604,'Form responses 1'!$A$2:$A$2604,""))</f>
        <v/>
      </c>
      <c r="D2946" s="44" t="str">
        <f t="shared" si="3"/>
        <v/>
      </c>
      <c r="E2946" s="44" t="str">
        <f t="array" ref="E2946">IF(B2946="","",_xlfn.XLOOKUP(B2946,'Form responses 1'!$B$2:$B$2604,'Form responses 1'!$C$2:$C$2604,""))</f>
        <v/>
      </c>
      <c r="F2946" s="44" t="str">
        <f t="array" ref="F2946">IF(B2946="","",_xlfn.XLOOKUP(B2946,'Form responses 1'!$B$2:$B$2604,'Form responses 1'!$D$2:$D$2604,""))</f>
        <v/>
      </c>
      <c r="G2946" s="44" t="str">
        <f t="array" ref="G2946">IF(B2946="","",_xlfn.XLOOKUP(B2946,'Form responses 1'!$B$2:$B$2604,'Form responses 1'!$E$2:$E$2604,""))</f>
        <v/>
      </c>
      <c r="H2946" s="44" t="str">
        <f t="array" ref="H2946">IF(B2946="","",_xlfn.XLOOKUP(B2946,'Form responses 1'!$B$2:$B$2604,'Form responses 1'!$F$2:$F$2604,""))</f>
        <v/>
      </c>
      <c r="I2946" s="44" t="str">
        <f t="array" ref="I2946">IF(B2946="","",_xlfn.XLOOKUP(B2946,'Form responses 1'!$B$2:$B$2604,'Form responses 1'!$I$2:$I$2604,""))</f>
        <v/>
      </c>
      <c r="J2946" s="44" t="str">
        <f t="array" ref="J2946">IF(B2946="","",_xlfn.XLOOKUP(B2946,'Form responses 1'!$B$2:$B$2604,'Form responses 1'!$G$2:$G$2604,""))</f>
        <v/>
      </c>
      <c r="K2946" s="56"/>
      <c r="L2946" s="58" t="str">
        <f t="shared" si="7"/>
        <v/>
      </c>
      <c r="M2946" s="49"/>
      <c r="N2946" s="49"/>
      <c r="O2946" s="49"/>
      <c r="P2946" s="49"/>
      <c r="Q2946" s="49"/>
      <c r="R2946" s="49"/>
      <c r="S2946" s="49"/>
      <c r="T2946" s="49"/>
      <c r="U2946" s="49"/>
      <c r="V2946" s="49"/>
      <c r="W2946" s="56"/>
      <c r="X2946" s="51" t="str">
        <f t="shared" si="5"/>
        <v/>
      </c>
      <c r="Y2946" s="50" t="s">
        <v>482</v>
      </c>
      <c r="Z2946" s="49">
        <f t="shared" si="6"/>
        <v>0</v>
      </c>
    </row>
    <row r="2947" ht="22.5" customHeight="1">
      <c r="B2947" s="57"/>
      <c r="C2947" s="43" t="str">
        <f t="array" ref="C2947">IF(B2947="","",_xlfn.XLOOKUP(B2947,'Form responses 1'!$B$2:$B$2604,'Form responses 1'!$A$2:$A$2604,""))</f>
        <v/>
      </c>
      <c r="D2947" s="44" t="str">
        <f t="shared" si="3"/>
        <v/>
      </c>
      <c r="E2947" s="44" t="str">
        <f t="array" ref="E2947">IF(B2947="","",_xlfn.XLOOKUP(B2947,'Form responses 1'!$B$2:$B$2604,'Form responses 1'!$C$2:$C$2604,""))</f>
        <v/>
      </c>
      <c r="F2947" s="44" t="str">
        <f t="array" ref="F2947">IF(B2947="","",_xlfn.XLOOKUP(B2947,'Form responses 1'!$B$2:$B$2604,'Form responses 1'!$D$2:$D$2604,""))</f>
        <v/>
      </c>
      <c r="G2947" s="44" t="str">
        <f t="array" ref="G2947">IF(B2947="","",_xlfn.XLOOKUP(B2947,'Form responses 1'!$B$2:$B$2604,'Form responses 1'!$E$2:$E$2604,""))</f>
        <v/>
      </c>
      <c r="H2947" s="44" t="str">
        <f t="array" ref="H2947">IF(B2947="","",_xlfn.XLOOKUP(B2947,'Form responses 1'!$B$2:$B$2604,'Form responses 1'!$F$2:$F$2604,""))</f>
        <v/>
      </c>
      <c r="I2947" s="44" t="str">
        <f t="array" ref="I2947">IF(B2947="","",_xlfn.XLOOKUP(B2947,'Form responses 1'!$B$2:$B$2604,'Form responses 1'!$I$2:$I$2604,""))</f>
        <v/>
      </c>
      <c r="J2947" s="44" t="str">
        <f t="array" ref="J2947">IF(B2947="","",_xlfn.XLOOKUP(B2947,'Form responses 1'!$B$2:$B$2604,'Form responses 1'!$G$2:$G$2604,""))</f>
        <v/>
      </c>
      <c r="K2947" s="56"/>
      <c r="L2947" s="58" t="str">
        <f t="shared" si="7"/>
        <v/>
      </c>
      <c r="M2947" s="49"/>
      <c r="N2947" s="49"/>
      <c r="O2947" s="49"/>
      <c r="P2947" s="49"/>
      <c r="Q2947" s="49"/>
      <c r="R2947" s="49"/>
      <c r="S2947" s="49"/>
      <c r="T2947" s="49"/>
      <c r="U2947" s="49"/>
      <c r="V2947" s="49"/>
      <c r="W2947" s="56"/>
      <c r="X2947" s="51" t="str">
        <f t="shared" si="5"/>
        <v/>
      </c>
      <c r="Y2947" s="50" t="s">
        <v>482</v>
      </c>
      <c r="Z2947" s="49">
        <f t="shared" si="6"/>
        <v>0</v>
      </c>
    </row>
    <row r="2948" ht="22.5" customHeight="1">
      <c r="B2948" s="57"/>
      <c r="C2948" s="43" t="str">
        <f t="array" ref="C2948">IF(B2948="","",_xlfn.XLOOKUP(B2948,'Form responses 1'!$B$2:$B$2604,'Form responses 1'!$A$2:$A$2604,""))</f>
        <v/>
      </c>
      <c r="D2948" s="44" t="str">
        <f t="shared" si="3"/>
        <v/>
      </c>
      <c r="E2948" s="44" t="str">
        <f t="array" ref="E2948">IF(B2948="","",_xlfn.XLOOKUP(B2948,'Form responses 1'!$B$2:$B$2604,'Form responses 1'!$C$2:$C$2604,""))</f>
        <v/>
      </c>
      <c r="F2948" s="44" t="str">
        <f t="array" ref="F2948">IF(B2948="","",_xlfn.XLOOKUP(B2948,'Form responses 1'!$B$2:$B$2604,'Form responses 1'!$D$2:$D$2604,""))</f>
        <v/>
      </c>
      <c r="G2948" s="44" t="str">
        <f t="array" ref="G2948">IF(B2948="","",_xlfn.XLOOKUP(B2948,'Form responses 1'!$B$2:$B$2604,'Form responses 1'!$E$2:$E$2604,""))</f>
        <v/>
      </c>
      <c r="H2948" s="44" t="str">
        <f t="array" ref="H2948">IF(B2948="","",_xlfn.XLOOKUP(B2948,'Form responses 1'!$B$2:$B$2604,'Form responses 1'!$F$2:$F$2604,""))</f>
        <v/>
      </c>
      <c r="I2948" s="44" t="str">
        <f t="array" ref="I2948">IF(B2948="","",_xlfn.XLOOKUP(B2948,'Form responses 1'!$B$2:$B$2604,'Form responses 1'!$I$2:$I$2604,""))</f>
        <v/>
      </c>
      <c r="J2948" s="44" t="str">
        <f t="array" ref="J2948">IF(B2948="","",_xlfn.XLOOKUP(B2948,'Form responses 1'!$B$2:$B$2604,'Form responses 1'!$G$2:$G$2604,""))</f>
        <v/>
      </c>
      <c r="K2948" s="56"/>
      <c r="L2948" s="58" t="str">
        <f t="shared" si="7"/>
        <v/>
      </c>
      <c r="M2948" s="49"/>
      <c r="N2948" s="49"/>
      <c r="O2948" s="49"/>
      <c r="P2948" s="49"/>
      <c r="Q2948" s="49"/>
      <c r="R2948" s="49"/>
      <c r="S2948" s="49"/>
      <c r="T2948" s="49"/>
      <c r="U2948" s="49"/>
      <c r="V2948" s="49"/>
      <c r="W2948" s="56"/>
      <c r="X2948" s="51" t="str">
        <f t="shared" si="5"/>
        <v/>
      </c>
      <c r="Y2948" s="50" t="s">
        <v>482</v>
      </c>
      <c r="Z2948" s="49">
        <f t="shared" si="6"/>
        <v>0</v>
      </c>
    </row>
    <row r="2949" ht="22.5" customHeight="1">
      <c r="B2949" s="57"/>
      <c r="C2949" s="43" t="str">
        <f t="array" ref="C2949">IF(B2949="","",_xlfn.XLOOKUP(B2949,'Form responses 1'!$B$2:$B$2604,'Form responses 1'!$A$2:$A$2604,""))</f>
        <v/>
      </c>
      <c r="D2949" s="44" t="str">
        <f t="shared" si="3"/>
        <v/>
      </c>
      <c r="E2949" s="44" t="str">
        <f t="array" ref="E2949">IF(B2949="","",_xlfn.XLOOKUP(B2949,'Form responses 1'!$B$2:$B$2604,'Form responses 1'!$C$2:$C$2604,""))</f>
        <v/>
      </c>
      <c r="F2949" s="44" t="str">
        <f t="array" ref="F2949">IF(B2949="","",_xlfn.XLOOKUP(B2949,'Form responses 1'!$B$2:$B$2604,'Form responses 1'!$D$2:$D$2604,""))</f>
        <v/>
      </c>
      <c r="G2949" s="44" t="str">
        <f t="array" ref="G2949">IF(B2949="","",_xlfn.XLOOKUP(B2949,'Form responses 1'!$B$2:$B$2604,'Form responses 1'!$E$2:$E$2604,""))</f>
        <v/>
      </c>
      <c r="H2949" s="44" t="str">
        <f t="array" ref="H2949">IF(B2949="","",_xlfn.XLOOKUP(B2949,'Form responses 1'!$B$2:$B$2604,'Form responses 1'!$F$2:$F$2604,""))</f>
        <v/>
      </c>
      <c r="I2949" s="44" t="str">
        <f t="array" ref="I2949">IF(B2949="","",_xlfn.XLOOKUP(B2949,'Form responses 1'!$B$2:$B$2604,'Form responses 1'!$I$2:$I$2604,""))</f>
        <v/>
      </c>
      <c r="J2949" s="44" t="str">
        <f t="array" ref="J2949">IF(B2949="","",_xlfn.XLOOKUP(B2949,'Form responses 1'!$B$2:$B$2604,'Form responses 1'!$G$2:$G$2604,""))</f>
        <v/>
      </c>
      <c r="K2949" s="56"/>
      <c r="L2949" s="58" t="str">
        <f t="shared" si="7"/>
        <v/>
      </c>
      <c r="M2949" s="49"/>
      <c r="N2949" s="49"/>
      <c r="O2949" s="49"/>
      <c r="P2949" s="49"/>
      <c r="Q2949" s="49"/>
      <c r="R2949" s="49"/>
      <c r="S2949" s="49"/>
      <c r="T2949" s="49"/>
      <c r="U2949" s="49"/>
      <c r="V2949" s="49"/>
      <c r="W2949" s="56"/>
      <c r="X2949" s="51" t="str">
        <f t="shared" si="5"/>
        <v/>
      </c>
      <c r="Y2949" s="50" t="s">
        <v>482</v>
      </c>
      <c r="Z2949" s="49">
        <f t="shared" si="6"/>
        <v>0</v>
      </c>
    </row>
    <row r="2950" ht="22.5" customHeight="1">
      <c r="B2950" s="57"/>
      <c r="C2950" s="43" t="str">
        <f t="array" ref="C2950">IF(B2950="","",_xlfn.XLOOKUP(B2950,'Form responses 1'!$B$2:$B$2604,'Form responses 1'!$A$2:$A$2604,""))</f>
        <v/>
      </c>
      <c r="D2950" s="44" t="str">
        <f t="shared" si="3"/>
        <v/>
      </c>
      <c r="E2950" s="44" t="str">
        <f t="array" ref="E2950">IF(B2950="","",_xlfn.XLOOKUP(B2950,'Form responses 1'!$B$2:$B$2604,'Form responses 1'!$C$2:$C$2604,""))</f>
        <v/>
      </c>
      <c r="F2950" s="44" t="str">
        <f t="array" ref="F2950">IF(B2950="","",_xlfn.XLOOKUP(B2950,'Form responses 1'!$B$2:$B$2604,'Form responses 1'!$D$2:$D$2604,""))</f>
        <v/>
      </c>
      <c r="G2950" s="44" t="str">
        <f t="array" ref="G2950">IF(B2950="","",_xlfn.XLOOKUP(B2950,'Form responses 1'!$B$2:$B$2604,'Form responses 1'!$E$2:$E$2604,""))</f>
        <v/>
      </c>
      <c r="H2950" s="44" t="str">
        <f t="array" ref="H2950">IF(B2950="","",_xlfn.XLOOKUP(B2950,'Form responses 1'!$B$2:$B$2604,'Form responses 1'!$F$2:$F$2604,""))</f>
        <v/>
      </c>
      <c r="I2950" s="44" t="str">
        <f t="array" ref="I2950">IF(B2950="","",_xlfn.XLOOKUP(B2950,'Form responses 1'!$B$2:$B$2604,'Form responses 1'!$I$2:$I$2604,""))</f>
        <v/>
      </c>
      <c r="J2950" s="44" t="str">
        <f t="array" ref="J2950">IF(B2950="","",_xlfn.XLOOKUP(B2950,'Form responses 1'!$B$2:$B$2604,'Form responses 1'!$G$2:$G$2604,""))</f>
        <v/>
      </c>
      <c r="K2950" s="56"/>
      <c r="L2950" s="58" t="str">
        <f t="shared" si="7"/>
        <v/>
      </c>
      <c r="M2950" s="49"/>
      <c r="N2950" s="49"/>
      <c r="O2950" s="49"/>
      <c r="P2950" s="49"/>
      <c r="Q2950" s="49"/>
      <c r="R2950" s="49"/>
      <c r="S2950" s="49"/>
      <c r="T2950" s="49"/>
      <c r="U2950" s="49"/>
      <c r="V2950" s="49"/>
      <c r="W2950" s="56"/>
      <c r="X2950" s="51" t="str">
        <f t="shared" si="5"/>
        <v/>
      </c>
      <c r="Y2950" s="50" t="s">
        <v>482</v>
      </c>
      <c r="Z2950" s="49">
        <f t="shared" si="6"/>
        <v>0</v>
      </c>
    </row>
    <row r="2951" ht="22.5" customHeight="1">
      <c r="B2951" s="57"/>
      <c r="C2951" s="43" t="str">
        <f t="array" ref="C2951">IF(B2951="","",_xlfn.XLOOKUP(B2951,'Form responses 1'!$B$2:$B$2604,'Form responses 1'!$A$2:$A$2604,""))</f>
        <v/>
      </c>
      <c r="D2951" s="44" t="str">
        <f t="shared" si="3"/>
        <v/>
      </c>
      <c r="E2951" s="44" t="str">
        <f t="array" ref="E2951">IF(B2951="","",_xlfn.XLOOKUP(B2951,'Form responses 1'!$B$2:$B$2604,'Form responses 1'!$C$2:$C$2604,""))</f>
        <v/>
      </c>
      <c r="F2951" s="44" t="str">
        <f t="array" ref="F2951">IF(B2951="","",_xlfn.XLOOKUP(B2951,'Form responses 1'!$B$2:$B$2604,'Form responses 1'!$D$2:$D$2604,""))</f>
        <v/>
      </c>
      <c r="G2951" s="44" t="str">
        <f t="array" ref="G2951">IF(B2951="","",_xlfn.XLOOKUP(B2951,'Form responses 1'!$B$2:$B$2604,'Form responses 1'!$E$2:$E$2604,""))</f>
        <v/>
      </c>
      <c r="H2951" s="44" t="str">
        <f t="array" ref="H2951">IF(B2951="","",_xlfn.XLOOKUP(B2951,'Form responses 1'!$B$2:$B$2604,'Form responses 1'!$F$2:$F$2604,""))</f>
        <v/>
      </c>
      <c r="I2951" s="44" t="str">
        <f t="array" ref="I2951">IF(B2951="","",_xlfn.XLOOKUP(B2951,'Form responses 1'!$B$2:$B$2604,'Form responses 1'!$I$2:$I$2604,""))</f>
        <v/>
      </c>
      <c r="J2951" s="44" t="str">
        <f t="array" ref="J2951">IF(B2951="","",_xlfn.XLOOKUP(B2951,'Form responses 1'!$B$2:$B$2604,'Form responses 1'!$G$2:$G$2604,""))</f>
        <v/>
      </c>
      <c r="K2951" s="56"/>
      <c r="L2951" s="58" t="str">
        <f t="shared" si="7"/>
        <v/>
      </c>
      <c r="M2951" s="49"/>
      <c r="N2951" s="49"/>
      <c r="O2951" s="49"/>
      <c r="P2951" s="49"/>
      <c r="Q2951" s="49"/>
      <c r="R2951" s="49"/>
      <c r="S2951" s="49"/>
      <c r="T2951" s="49"/>
      <c r="U2951" s="49"/>
      <c r="V2951" s="49"/>
      <c r="W2951" s="56"/>
      <c r="X2951" s="51" t="str">
        <f t="shared" si="5"/>
        <v/>
      </c>
      <c r="Y2951" s="50" t="s">
        <v>482</v>
      </c>
      <c r="Z2951" s="49">
        <f t="shared" si="6"/>
        <v>0</v>
      </c>
    </row>
    <row r="2952" ht="22.5" customHeight="1">
      <c r="B2952" s="57"/>
      <c r="C2952" s="43" t="str">
        <f t="array" ref="C2952">IF(B2952="","",_xlfn.XLOOKUP(B2952,'Form responses 1'!$B$2:$B$2604,'Form responses 1'!$A$2:$A$2604,""))</f>
        <v/>
      </c>
      <c r="D2952" s="44" t="str">
        <f t="shared" si="3"/>
        <v/>
      </c>
      <c r="E2952" s="44" t="str">
        <f t="array" ref="E2952">IF(B2952="","",_xlfn.XLOOKUP(B2952,'Form responses 1'!$B$2:$B$2604,'Form responses 1'!$C$2:$C$2604,""))</f>
        <v/>
      </c>
      <c r="F2952" s="44" t="str">
        <f t="array" ref="F2952">IF(B2952="","",_xlfn.XLOOKUP(B2952,'Form responses 1'!$B$2:$B$2604,'Form responses 1'!$D$2:$D$2604,""))</f>
        <v/>
      </c>
      <c r="G2952" s="44" t="str">
        <f t="array" ref="G2952">IF(B2952="","",_xlfn.XLOOKUP(B2952,'Form responses 1'!$B$2:$B$2604,'Form responses 1'!$E$2:$E$2604,""))</f>
        <v/>
      </c>
      <c r="H2952" s="44" t="str">
        <f t="array" ref="H2952">IF(B2952="","",_xlfn.XLOOKUP(B2952,'Form responses 1'!$B$2:$B$2604,'Form responses 1'!$F$2:$F$2604,""))</f>
        <v/>
      </c>
      <c r="I2952" s="44" t="str">
        <f t="array" ref="I2952">IF(B2952="","",_xlfn.XLOOKUP(B2952,'Form responses 1'!$B$2:$B$2604,'Form responses 1'!$I$2:$I$2604,""))</f>
        <v/>
      </c>
      <c r="J2952" s="44" t="str">
        <f t="array" ref="J2952">IF(B2952="","",_xlfn.XLOOKUP(B2952,'Form responses 1'!$B$2:$B$2604,'Form responses 1'!$G$2:$G$2604,""))</f>
        <v/>
      </c>
      <c r="K2952" s="56"/>
      <c r="L2952" s="58" t="str">
        <f t="shared" si="7"/>
        <v/>
      </c>
      <c r="M2952" s="49"/>
      <c r="N2952" s="49"/>
      <c r="O2952" s="49"/>
      <c r="P2952" s="49"/>
      <c r="Q2952" s="49"/>
      <c r="R2952" s="49"/>
      <c r="S2952" s="49"/>
      <c r="T2952" s="49"/>
      <c r="U2952" s="49"/>
      <c r="V2952" s="49"/>
      <c r="W2952" s="56"/>
      <c r="X2952" s="51" t="str">
        <f t="shared" si="5"/>
        <v/>
      </c>
      <c r="Y2952" s="50" t="s">
        <v>482</v>
      </c>
      <c r="Z2952" s="49">
        <f t="shared" si="6"/>
        <v>0</v>
      </c>
    </row>
    <row r="2953" ht="22.5" customHeight="1">
      <c r="B2953" s="57"/>
      <c r="C2953" s="43" t="str">
        <f t="array" ref="C2953">IF(B2953="","",_xlfn.XLOOKUP(B2953,'Form responses 1'!$B$2:$B$2604,'Form responses 1'!$A$2:$A$2604,""))</f>
        <v/>
      </c>
      <c r="D2953" s="44" t="str">
        <f t="shared" si="3"/>
        <v/>
      </c>
      <c r="E2953" s="44" t="str">
        <f t="array" ref="E2953">IF(B2953="","",_xlfn.XLOOKUP(B2953,'Form responses 1'!$B$2:$B$2604,'Form responses 1'!$C$2:$C$2604,""))</f>
        <v/>
      </c>
      <c r="F2953" s="44" t="str">
        <f t="array" ref="F2953">IF(B2953="","",_xlfn.XLOOKUP(B2953,'Form responses 1'!$B$2:$B$2604,'Form responses 1'!$D$2:$D$2604,""))</f>
        <v/>
      </c>
      <c r="G2953" s="44" t="str">
        <f t="array" ref="G2953">IF(B2953="","",_xlfn.XLOOKUP(B2953,'Form responses 1'!$B$2:$B$2604,'Form responses 1'!$E$2:$E$2604,""))</f>
        <v/>
      </c>
      <c r="H2953" s="44" t="str">
        <f t="array" ref="H2953">IF(B2953="","",_xlfn.XLOOKUP(B2953,'Form responses 1'!$B$2:$B$2604,'Form responses 1'!$F$2:$F$2604,""))</f>
        <v/>
      </c>
      <c r="I2953" s="44" t="str">
        <f t="array" ref="I2953">IF(B2953="","",_xlfn.XLOOKUP(B2953,'Form responses 1'!$B$2:$B$2604,'Form responses 1'!$I$2:$I$2604,""))</f>
        <v/>
      </c>
      <c r="J2953" s="44" t="str">
        <f t="array" ref="J2953">IF(B2953="","",_xlfn.XLOOKUP(B2953,'Form responses 1'!$B$2:$B$2604,'Form responses 1'!$G$2:$G$2604,""))</f>
        <v/>
      </c>
      <c r="K2953" s="56"/>
      <c r="L2953" s="58" t="str">
        <f t="shared" si="7"/>
        <v/>
      </c>
      <c r="M2953" s="49"/>
      <c r="N2953" s="49"/>
      <c r="O2953" s="49"/>
      <c r="P2953" s="49"/>
      <c r="Q2953" s="49"/>
      <c r="R2953" s="49"/>
      <c r="S2953" s="49"/>
      <c r="T2953" s="49"/>
      <c r="U2953" s="49"/>
      <c r="V2953" s="49"/>
      <c r="W2953" s="56"/>
      <c r="X2953" s="51" t="str">
        <f t="shared" si="5"/>
        <v/>
      </c>
      <c r="Y2953" s="50" t="s">
        <v>482</v>
      </c>
      <c r="Z2953" s="49">
        <f t="shared" si="6"/>
        <v>0</v>
      </c>
    </row>
    <row r="2954" ht="22.5" customHeight="1">
      <c r="B2954" s="57"/>
      <c r="C2954" s="43" t="str">
        <f t="array" ref="C2954">IF(B2954="","",_xlfn.XLOOKUP(B2954,'Form responses 1'!$B$2:$B$2604,'Form responses 1'!$A$2:$A$2604,""))</f>
        <v/>
      </c>
      <c r="D2954" s="44" t="str">
        <f t="shared" si="3"/>
        <v/>
      </c>
      <c r="E2954" s="44" t="str">
        <f t="array" ref="E2954">IF(B2954="","",_xlfn.XLOOKUP(B2954,'Form responses 1'!$B$2:$B$2604,'Form responses 1'!$C$2:$C$2604,""))</f>
        <v/>
      </c>
      <c r="F2954" s="44" t="str">
        <f t="array" ref="F2954">IF(B2954="","",_xlfn.XLOOKUP(B2954,'Form responses 1'!$B$2:$B$2604,'Form responses 1'!$D$2:$D$2604,""))</f>
        <v/>
      </c>
      <c r="G2954" s="44" t="str">
        <f t="array" ref="G2954">IF(B2954="","",_xlfn.XLOOKUP(B2954,'Form responses 1'!$B$2:$B$2604,'Form responses 1'!$E$2:$E$2604,""))</f>
        <v/>
      </c>
      <c r="H2954" s="44" t="str">
        <f t="array" ref="H2954">IF(B2954="","",_xlfn.XLOOKUP(B2954,'Form responses 1'!$B$2:$B$2604,'Form responses 1'!$F$2:$F$2604,""))</f>
        <v/>
      </c>
      <c r="I2954" s="44" t="str">
        <f t="array" ref="I2954">IF(B2954="","",_xlfn.XLOOKUP(B2954,'Form responses 1'!$B$2:$B$2604,'Form responses 1'!$I$2:$I$2604,""))</f>
        <v/>
      </c>
      <c r="J2954" s="44" t="str">
        <f t="array" ref="J2954">IF(B2954="","",_xlfn.XLOOKUP(B2954,'Form responses 1'!$B$2:$B$2604,'Form responses 1'!$G$2:$G$2604,""))</f>
        <v/>
      </c>
      <c r="K2954" s="56"/>
      <c r="L2954" s="58" t="str">
        <f t="shared" si="7"/>
        <v/>
      </c>
      <c r="M2954" s="49"/>
      <c r="N2954" s="49"/>
      <c r="O2954" s="49"/>
      <c r="P2954" s="49"/>
      <c r="Q2954" s="49"/>
      <c r="R2954" s="49"/>
      <c r="S2954" s="49"/>
      <c r="T2954" s="49"/>
      <c r="U2954" s="49"/>
      <c r="V2954" s="49"/>
      <c r="W2954" s="56"/>
      <c r="X2954" s="51" t="str">
        <f t="shared" si="5"/>
        <v/>
      </c>
      <c r="Y2954" s="50" t="s">
        <v>482</v>
      </c>
      <c r="Z2954" s="49">
        <f t="shared" si="6"/>
        <v>0</v>
      </c>
    </row>
    <row r="2955" ht="22.5" customHeight="1">
      <c r="B2955" s="57"/>
      <c r="C2955" s="43" t="str">
        <f t="array" ref="C2955">IF(B2955="","",_xlfn.XLOOKUP(B2955,'Form responses 1'!$B$2:$B$2604,'Form responses 1'!$A$2:$A$2604,""))</f>
        <v/>
      </c>
      <c r="D2955" s="44" t="str">
        <f t="shared" si="3"/>
        <v/>
      </c>
      <c r="E2955" s="44" t="str">
        <f t="array" ref="E2955">IF(B2955="","",_xlfn.XLOOKUP(B2955,'Form responses 1'!$B$2:$B$2604,'Form responses 1'!$C$2:$C$2604,""))</f>
        <v/>
      </c>
      <c r="F2955" s="44" t="str">
        <f t="array" ref="F2955">IF(B2955="","",_xlfn.XLOOKUP(B2955,'Form responses 1'!$B$2:$B$2604,'Form responses 1'!$D$2:$D$2604,""))</f>
        <v/>
      </c>
      <c r="G2955" s="44" t="str">
        <f t="array" ref="G2955">IF(B2955="","",_xlfn.XLOOKUP(B2955,'Form responses 1'!$B$2:$B$2604,'Form responses 1'!$E$2:$E$2604,""))</f>
        <v/>
      </c>
      <c r="H2955" s="44" t="str">
        <f t="array" ref="H2955">IF(B2955="","",_xlfn.XLOOKUP(B2955,'Form responses 1'!$B$2:$B$2604,'Form responses 1'!$F$2:$F$2604,""))</f>
        <v/>
      </c>
      <c r="I2955" s="44" t="str">
        <f t="array" ref="I2955">IF(B2955="","",_xlfn.XLOOKUP(B2955,'Form responses 1'!$B$2:$B$2604,'Form responses 1'!$I$2:$I$2604,""))</f>
        <v/>
      </c>
      <c r="J2955" s="44" t="str">
        <f t="array" ref="J2955">IF(B2955="","",_xlfn.XLOOKUP(B2955,'Form responses 1'!$B$2:$B$2604,'Form responses 1'!$G$2:$G$2604,""))</f>
        <v/>
      </c>
      <c r="K2955" s="56"/>
      <c r="L2955" s="58" t="str">
        <f t="shared" si="7"/>
        <v/>
      </c>
      <c r="M2955" s="49"/>
      <c r="N2955" s="49"/>
      <c r="O2955" s="49"/>
      <c r="P2955" s="49"/>
      <c r="Q2955" s="49"/>
      <c r="R2955" s="49"/>
      <c r="S2955" s="49"/>
      <c r="T2955" s="49"/>
      <c r="U2955" s="49"/>
      <c r="V2955" s="49"/>
      <c r="W2955" s="56"/>
      <c r="X2955" s="51" t="str">
        <f t="shared" si="5"/>
        <v/>
      </c>
      <c r="Y2955" s="50" t="s">
        <v>482</v>
      </c>
      <c r="Z2955" s="49">
        <f t="shared" si="6"/>
        <v>0</v>
      </c>
    </row>
    <row r="2956" ht="22.5" customHeight="1">
      <c r="B2956" s="57"/>
      <c r="C2956" s="43" t="str">
        <f t="array" ref="C2956">IF(B2956="","",_xlfn.XLOOKUP(B2956,'Form responses 1'!$B$2:$B$2604,'Form responses 1'!$A$2:$A$2604,""))</f>
        <v/>
      </c>
      <c r="D2956" s="44" t="str">
        <f t="shared" si="3"/>
        <v/>
      </c>
      <c r="E2956" s="44" t="str">
        <f t="array" ref="E2956">IF(B2956="","",_xlfn.XLOOKUP(B2956,'Form responses 1'!$B$2:$B$2604,'Form responses 1'!$C$2:$C$2604,""))</f>
        <v/>
      </c>
      <c r="F2956" s="44" t="str">
        <f t="array" ref="F2956">IF(B2956="","",_xlfn.XLOOKUP(B2956,'Form responses 1'!$B$2:$B$2604,'Form responses 1'!$D$2:$D$2604,""))</f>
        <v/>
      </c>
      <c r="G2956" s="44" t="str">
        <f t="array" ref="G2956">IF(B2956="","",_xlfn.XLOOKUP(B2956,'Form responses 1'!$B$2:$B$2604,'Form responses 1'!$E$2:$E$2604,""))</f>
        <v/>
      </c>
      <c r="H2956" s="44" t="str">
        <f t="array" ref="H2956">IF(B2956="","",_xlfn.XLOOKUP(B2956,'Form responses 1'!$B$2:$B$2604,'Form responses 1'!$F$2:$F$2604,""))</f>
        <v/>
      </c>
      <c r="I2956" s="44" t="str">
        <f t="array" ref="I2956">IF(B2956="","",_xlfn.XLOOKUP(B2956,'Form responses 1'!$B$2:$B$2604,'Form responses 1'!$I$2:$I$2604,""))</f>
        <v/>
      </c>
      <c r="J2956" s="44" t="str">
        <f t="array" ref="J2956">IF(B2956="","",_xlfn.XLOOKUP(B2956,'Form responses 1'!$B$2:$B$2604,'Form responses 1'!$G$2:$G$2604,""))</f>
        <v/>
      </c>
      <c r="K2956" s="56"/>
      <c r="L2956" s="58" t="str">
        <f t="shared" si="7"/>
        <v/>
      </c>
      <c r="M2956" s="49"/>
      <c r="N2956" s="49"/>
      <c r="O2956" s="49"/>
      <c r="P2956" s="49"/>
      <c r="Q2956" s="49"/>
      <c r="R2956" s="49"/>
      <c r="S2956" s="49"/>
      <c r="T2956" s="49"/>
      <c r="U2956" s="49"/>
      <c r="V2956" s="49"/>
      <c r="W2956" s="56"/>
      <c r="X2956" s="51" t="str">
        <f t="shared" si="5"/>
        <v/>
      </c>
      <c r="Y2956" s="50" t="s">
        <v>482</v>
      </c>
      <c r="Z2956" s="49">
        <f t="shared" si="6"/>
        <v>0</v>
      </c>
    </row>
    <row r="2957" ht="22.5" customHeight="1">
      <c r="B2957" s="57"/>
      <c r="C2957" s="43" t="str">
        <f t="array" ref="C2957">IF(B2957="","",_xlfn.XLOOKUP(B2957,'Form responses 1'!$B$2:$B$2604,'Form responses 1'!$A$2:$A$2604,""))</f>
        <v/>
      </c>
      <c r="D2957" s="44" t="str">
        <f t="shared" si="3"/>
        <v/>
      </c>
      <c r="E2957" s="44" t="str">
        <f t="array" ref="E2957">IF(B2957="","",_xlfn.XLOOKUP(B2957,'Form responses 1'!$B$2:$B$2604,'Form responses 1'!$C$2:$C$2604,""))</f>
        <v/>
      </c>
      <c r="F2957" s="44" t="str">
        <f t="array" ref="F2957">IF(B2957="","",_xlfn.XLOOKUP(B2957,'Form responses 1'!$B$2:$B$2604,'Form responses 1'!$D$2:$D$2604,""))</f>
        <v/>
      </c>
      <c r="G2957" s="44" t="str">
        <f t="array" ref="G2957">IF(B2957="","",_xlfn.XLOOKUP(B2957,'Form responses 1'!$B$2:$B$2604,'Form responses 1'!$E$2:$E$2604,""))</f>
        <v/>
      </c>
      <c r="H2957" s="44" t="str">
        <f t="array" ref="H2957">IF(B2957="","",_xlfn.XLOOKUP(B2957,'Form responses 1'!$B$2:$B$2604,'Form responses 1'!$F$2:$F$2604,""))</f>
        <v/>
      </c>
      <c r="I2957" s="44" t="str">
        <f t="array" ref="I2957">IF(B2957="","",_xlfn.XLOOKUP(B2957,'Form responses 1'!$B$2:$B$2604,'Form responses 1'!$I$2:$I$2604,""))</f>
        <v/>
      </c>
      <c r="J2957" s="44" t="str">
        <f t="array" ref="J2957">IF(B2957="","",_xlfn.XLOOKUP(B2957,'Form responses 1'!$B$2:$B$2604,'Form responses 1'!$G$2:$G$2604,""))</f>
        <v/>
      </c>
      <c r="K2957" s="56"/>
      <c r="L2957" s="58" t="str">
        <f t="shared" si="7"/>
        <v/>
      </c>
      <c r="M2957" s="49"/>
      <c r="N2957" s="49"/>
      <c r="O2957" s="49"/>
      <c r="P2957" s="49"/>
      <c r="Q2957" s="49"/>
      <c r="R2957" s="49"/>
      <c r="S2957" s="49"/>
      <c r="T2957" s="49"/>
      <c r="U2957" s="49"/>
      <c r="V2957" s="49"/>
      <c r="W2957" s="56"/>
      <c r="X2957" s="51" t="str">
        <f t="shared" si="5"/>
        <v/>
      </c>
      <c r="Y2957" s="50" t="s">
        <v>482</v>
      </c>
      <c r="Z2957" s="49">
        <f t="shared" si="6"/>
        <v>0</v>
      </c>
    </row>
    <row r="2958" ht="22.5" customHeight="1">
      <c r="B2958" s="57"/>
      <c r="C2958" s="43" t="str">
        <f t="array" ref="C2958">IF(B2958="","",_xlfn.XLOOKUP(B2958,'Form responses 1'!$B$2:$B$2604,'Form responses 1'!$A$2:$A$2604,""))</f>
        <v/>
      </c>
      <c r="D2958" s="44" t="str">
        <f t="shared" si="3"/>
        <v/>
      </c>
      <c r="E2958" s="44" t="str">
        <f t="array" ref="E2958">IF(B2958="","",_xlfn.XLOOKUP(B2958,'Form responses 1'!$B$2:$B$2604,'Form responses 1'!$C$2:$C$2604,""))</f>
        <v/>
      </c>
      <c r="F2958" s="44" t="str">
        <f t="array" ref="F2958">IF(B2958="","",_xlfn.XLOOKUP(B2958,'Form responses 1'!$B$2:$B$2604,'Form responses 1'!$D$2:$D$2604,""))</f>
        <v/>
      </c>
      <c r="G2958" s="44" t="str">
        <f t="array" ref="G2958">IF(B2958="","",_xlfn.XLOOKUP(B2958,'Form responses 1'!$B$2:$B$2604,'Form responses 1'!$E$2:$E$2604,""))</f>
        <v/>
      </c>
      <c r="H2958" s="44" t="str">
        <f t="array" ref="H2958">IF(B2958="","",_xlfn.XLOOKUP(B2958,'Form responses 1'!$B$2:$B$2604,'Form responses 1'!$F$2:$F$2604,""))</f>
        <v/>
      </c>
      <c r="I2958" s="44" t="str">
        <f t="array" ref="I2958">IF(B2958="","",_xlfn.XLOOKUP(B2958,'Form responses 1'!$B$2:$B$2604,'Form responses 1'!$I$2:$I$2604,""))</f>
        <v/>
      </c>
      <c r="J2958" s="44" t="str">
        <f t="array" ref="J2958">IF(B2958="","",_xlfn.XLOOKUP(B2958,'Form responses 1'!$B$2:$B$2604,'Form responses 1'!$G$2:$G$2604,""))</f>
        <v/>
      </c>
      <c r="K2958" s="56"/>
      <c r="L2958" s="58" t="str">
        <f t="shared" si="7"/>
        <v/>
      </c>
      <c r="M2958" s="49"/>
      <c r="N2958" s="49"/>
      <c r="O2958" s="49"/>
      <c r="P2958" s="49"/>
      <c r="Q2958" s="49"/>
      <c r="R2958" s="49"/>
      <c r="S2958" s="49"/>
      <c r="T2958" s="49"/>
      <c r="U2958" s="49"/>
      <c r="V2958" s="49"/>
      <c r="W2958" s="56"/>
      <c r="X2958" s="51" t="str">
        <f t="shared" si="5"/>
        <v/>
      </c>
      <c r="Y2958" s="50" t="s">
        <v>482</v>
      </c>
      <c r="Z2958" s="49">
        <f t="shared" si="6"/>
        <v>0</v>
      </c>
    </row>
    <row r="2959" ht="22.5" customHeight="1">
      <c r="B2959" s="57"/>
      <c r="C2959" s="43" t="str">
        <f t="array" ref="C2959">IF(B2959="","",_xlfn.XLOOKUP(B2959,'Form responses 1'!$B$2:$B$2604,'Form responses 1'!$A$2:$A$2604,""))</f>
        <v/>
      </c>
      <c r="D2959" s="44" t="str">
        <f t="shared" si="3"/>
        <v/>
      </c>
      <c r="E2959" s="44" t="str">
        <f t="array" ref="E2959">IF(B2959="","",_xlfn.XLOOKUP(B2959,'Form responses 1'!$B$2:$B$2604,'Form responses 1'!$C$2:$C$2604,""))</f>
        <v/>
      </c>
      <c r="F2959" s="44" t="str">
        <f t="array" ref="F2959">IF(B2959="","",_xlfn.XLOOKUP(B2959,'Form responses 1'!$B$2:$B$2604,'Form responses 1'!$D$2:$D$2604,""))</f>
        <v/>
      </c>
      <c r="G2959" s="44" t="str">
        <f t="array" ref="G2959">IF(B2959="","",_xlfn.XLOOKUP(B2959,'Form responses 1'!$B$2:$B$2604,'Form responses 1'!$E$2:$E$2604,""))</f>
        <v/>
      </c>
      <c r="H2959" s="44" t="str">
        <f t="array" ref="H2959">IF(B2959="","",_xlfn.XLOOKUP(B2959,'Form responses 1'!$B$2:$B$2604,'Form responses 1'!$F$2:$F$2604,""))</f>
        <v/>
      </c>
      <c r="I2959" s="44" t="str">
        <f t="array" ref="I2959">IF(B2959="","",_xlfn.XLOOKUP(B2959,'Form responses 1'!$B$2:$B$2604,'Form responses 1'!$I$2:$I$2604,""))</f>
        <v/>
      </c>
      <c r="J2959" s="44" t="str">
        <f t="array" ref="J2959">IF(B2959="","",_xlfn.XLOOKUP(B2959,'Form responses 1'!$B$2:$B$2604,'Form responses 1'!$G$2:$G$2604,""))</f>
        <v/>
      </c>
      <c r="K2959" s="56"/>
      <c r="L2959" s="58" t="str">
        <f t="shared" si="7"/>
        <v/>
      </c>
      <c r="M2959" s="49"/>
      <c r="N2959" s="49"/>
      <c r="O2959" s="49"/>
      <c r="P2959" s="49"/>
      <c r="Q2959" s="49"/>
      <c r="R2959" s="49"/>
      <c r="S2959" s="49"/>
      <c r="T2959" s="49"/>
      <c r="U2959" s="49"/>
      <c r="V2959" s="49"/>
      <c r="W2959" s="56"/>
      <c r="X2959" s="51" t="str">
        <f t="shared" si="5"/>
        <v/>
      </c>
      <c r="Y2959" s="50" t="s">
        <v>482</v>
      </c>
      <c r="Z2959" s="49">
        <f t="shared" si="6"/>
        <v>0</v>
      </c>
    </row>
    <row r="2960" ht="22.5" customHeight="1">
      <c r="B2960" s="57"/>
      <c r="C2960" s="43" t="str">
        <f t="array" ref="C2960">IF(B2960="","",_xlfn.XLOOKUP(B2960,'Form responses 1'!$B$2:$B$2604,'Form responses 1'!$A$2:$A$2604,""))</f>
        <v/>
      </c>
      <c r="D2960" s="44" t="str">
        <f t="shared" si="3"/>
        <v/>
      </c>
      <c r="E2960" s="44" t="str">
        <f t="array" ref="E2960">IF(B2960="","",_xlfn.XLOOKUP(B2960,'Form responses 1'!$B$2:$B$2604,'Form responses 1'!$C$2:$C$2604,""))</f>
        <v/>
      </c>
      <c r="F2960" s="44" t="str">
        <f t="array" ref="F2960">IF(B2960="","",_xlfn.XLOOKUP(B2960,'Form responses 1'!$B$2:$B$2604,'Form responses 1'!$D$2:$D$2604,""))</f>
        <v/>
      </c>
      <c r="G2960" s="44" t="str">
        <f t="array" ref="G2960">IF(B2960="","",_xlfn.XLOOKUP(B2960,'Form responses 1'!$B$2:$B$2604,'Form responses 1'!$E$2:$E$2604,""))</f>
        <v/>
      </c>
      <c r="H2960" s="44" t="str">
        <f t="array" ref="H2960">IF(B2960="","",_xlfn.XLOOKUP(B2960,'Form responses 1'!$B$2:$B$2604,'Form responses 1'!$F$2:$F$2604,""))</f>
        <v/>
      </c>
      <c r="I2960" s="44" t="str">
        <f t="array" ref="I2960">IF(B2960="","",_xlfn.XLOOKUP(B2960,'Form responses 1'!$B$2:$B$2604,'Form responses 1'!$I$2:$I$2604,""))</f>
        <v/>
      </c>
      <c r="J2960" s="44" t="str">
        <f t="array" ref="J2960">IF(B2960="","",_xlfn.XLOOKUP(B2960,'Form responses 1'!$B$2:$B$2604,'Form responses 1'!$G$2:$G$2604,""))</f>
        <v/>
      </c>
      <c r="K2960" s="56"/>
      <c r="L2960" s="58" t="str">
        <f t="shared" si="7"/>
        <v/>
      </c>
      <c r="M2960" s="49"/>
      <c r="N2960" s="49"/>
      <c r="O2960" s="49"/>
      <c r="P2960" s="49"/>
      <c r="Q2960" s="49"/>
      <c r="R2960" s="49"/>
      <c r="S2960" s="49"/>
      <c r="T2960" s="49"/>
      <c r="U2960" s="49"/>
      <c r="V2960" s="49"/>
      <c r="W2960" s="56"/>
      <c r="X2960" s="51" t="str">
        <f t="shared" si="5"/>
        <v/>
      </c>
      <c r="Y2960" s="50" t="s">
        <v>482</v>
      </c>
      <c r="Z2960" s="49">
        <f t="shared" si="6"/>
        <v>0</v>
      </c>
    </row>
    <row r="2961" ht="22.5" customHeight="1">
      <c r="B2961" s="57"/>
      <c r="C2961" s="43" t="str">
        <f t="array" ref="C2961">IF(B2961="","",_xlfn.XLOOKUP(B2961,'Form responses 1'!$B$2:$B$2604,'Form responses 1'!$A$2:$A$2604,""))</f>
        <v/>
      </c>
      <c r="D2961" s="44" t="str">
        <f t="shared" si="3"/>
        <v/>
      </c>
      <c r="E2961" s="44" t="str">
        <f t="array" ref="E2961">IF(B2961="","",_xlfn.XLOOKUP(B2961,'Form responses 1'!$B$2:$B$2604,'Form responses 1'!$C$2:$C$2604,""))</f>
        <v/>
      </c>
      <c r="F2961" s="44" t="str">
        <f t="array" ref="F2961">IF(B2961="","",_xlfn.XLOOKUP(B2961,'Form responses 1'!$B$2:$B$2604,'Form responses 1'!$D$2:$D$2604,""))</f>
        <v/>
      </c>
      <c r="G2961" s="44" t="str">
        <f t="array" ref="G2961">IF(B2961="","",_xlfn.XLOOKUP(B2961,'Form responses 1'!$B$2:$B$2604,'Form responses 1'!$E$2:$E$2604,""))</f>
        <v/>
      </c>
      <c r="H2961" s="44" t="str">
        <f t="array" ref="H2961">IF(B2961="","",_xlfn.XLOOKUP(B2961,'Form responses 1'!$B$2:$B$2604,'Form responses 1'!$F$2:$F$2604,""))</f>
        <v/>
      </c>
      <c r="I2961" s="44" t="str">
        <f t="array" ref="I2961">IF(B2961="","",_xlfn.XLOOKUP(B2961,'Form responses 1'!$B$2:$B$2604,'Form responses 1'!$I$2:$I$2604,""))</f>
        <v/>
      </c>
      <c r="J2961" s="44" t="str">
        <f t="array" ref="J2961">IF(B2961="","",_xlfn.XLOOKUP(B2961,'Form responses 1'!$B$2:$B$2604,'Form responses 1'!$G$2:$G$2604,""))</f>
        <v/>
      </c>
      <c r="K2961" s="56"/>
      <c r="L2961" s="58" t="str">
        <f t="shared" si="7"/>
        <v/>
      </c>
      <c r="M2961" s="49"/>
      <c r="N2961" s="49"/>
      <c r="O2961" s="49"/>
      <c r="P2961" s="49"/>
      <c r="Q2961" s="49"/>
      <c r="R2961" s="49"/>
      <c r="S2961" s="49"/>
      <c r="T2961" s="49"/>
      <c r="U2961" s="49"/>
      <c r="V2961" s="49"/>
      <c r="W2961" s="56"/>
      <c r="X2961" s="51" t="str">
        <f t="shared" si="5"/>
        <v/>
      </c>
      <c r="Y2961" s="50" t="s">
        <v>482</v>
      </c>
      <c r="Z2961" s="49">
        <f t="shared" si="6"/>
        <v>0</v>
      </c>
    </row>
    <row r="2962" ht="22.5" customHeight="1">
      <c r="B2962" s="57"/>
      <c r="C2962" s="43" t="str">
        <f t="array" ref="C2962">IF(B2962="","",_xlfn.XLOOKUP(B2962,'Form responses 1'!$B$2:$B$2604,'Form responses 1'!$A$2:$A$2604,""))</f>
        <v/>
      </c>
      <c r="D2962" s="44" t="str">
        <f t="shared" si="3"/>
        <v/>
      </c>
      <c r="E2962" s="44" t="str">
        <f t="array" ref="E2962">IF(B2962="","",_xlfn.XLOOKUP(B2962,'Form responses 1'!$B$2:$B$2604,'Form responses 1'!$C$2:$C$2604,""))</f>
        <v/>
      </c>
      <c r="F2962" s="44" t="str">
        <f t="array" ref="F2962">IF(B2962="","",_xlfn.XLOOKUP(B2962,'Form responses 1'!$B$2:$B$2604,'Form responses 1'!$D$2:$D$2604,""))</f>
        <v/>
      </c>
      <c r="G2962" s="44" t="str">
        <f t="array" ref="G2962">IF(B2962="","",_xlfn.XLOOKUP(B2962,'Form responses 1'!$B$2:$B$2604,'Form responses 1'!$E$2:$E$2604,""))</f>
        <v/>
      </c>
      <c r="H2962" s="44" t="str">
        <f t="array" ref="H2962">IF(B2962="","",_xlfn.XLOOKUP(B2962,'Form responses 1'!$B$2:$B$2604,'Form responses 1'!$F$2:$F$2604,""))</f>
        <v/>
      </c>
      <c r="I2962" s="44" t="str">
        <f t="array" ref="I2962">IF(B2962="","",_xlfn.XLOOKUP(B2962,'Form responses 1'!$B$2:$B$2604,'Form responses 1'!$I$2:$I$2604,""))</f>
        <v/>
      </c>
      <c r="J2962" s="44" t="str">
        <f t="array" ref="J2962">IF(B2962="","",_xlfn.XLOOKUP(B2962,'Form responses 1'!$B$2:$B$2604,'Form responses 1'!$G$2:$G$2604,""))</f>
        <v/>
      </c>
      <c r="K2962" s="56"/>
      <c r="L2962" s="58" t="str">
        <f t="shared" si="7"/>
        <v/>
      </c>
      <c r="M2962" s="49"/>
      <c r="N2962" s="49"/>
      <c r="O2962" s="49"/>
      <c r="P2962" s="49"/>
      <c r="Q2962" s="49"/>
      <c r="R2962" s="49"/>
      <c r="S2962" s="49"/>
      <c r="T2962" s="49"/>
      <c r="U2962" s="49"/>
      <c r="V2962" s="49"/>
      <c r="W2962" s="56"/>
      <c r="X2962" s="51" t="str">
        <f t="shared" si="5"/>
        <v/>
      </c>
      <c r="Y2962" s="50" t="s">
        <v>482</v>
      </c>
      <c r="Z2962" s="49">
        <f t="shared" si="6"/>
        <v>0</v>
      </c>
    </row>
    <row r="2963" ht="22.5" customHeight="1">
      <c r="B2963" s="57"/>
      <c r="C2963" s="43" t="str">
        <f t="array" ref="C2963">IF(B2963="","",_xlfn.XLOOKUP(B2963,'Form responses 1'!$B$2:$B$2604,'Form responses 1'!$A$2:$A$2604,""))</f>
        <v/>
      </c>
      <c r="D2963" s="44" t="str">
        <f t="shared" si="3"/>
        <v/>
      </c>
      <c r="E2963" s="44" t="str">
        <f t="array" ref="E2963">IF(B2963="","",_xlfn.XLOOKUP(B2963,'Form responses 1'!$B$2:$B$2604,'Form responses 1'!$C$2:$C$2604,""))</f>
        <v/>
      </c>
      <c r="F2963" s="44" t="str">
        <f t="array" ref="F2963">IF(B2963="","",_xlfn.XLOOKUP(B2963,'Form responses 1'!$B$2:$B$2604,'Form responses 1'!$D$2:$D$2604,""))</f>
        <v/>
      </c>
      <c r="G2963" s="44" t="str">
        <f t="array" ref="G2963">IF(B2963="","",_xlfn.XLOOKUP(B2963,'Form responses 1'!$B$2:$B$2604,'Form responses 1'!$E$2:$E$2604,""))</f>
        <v/>
      </c>
      <c r="H2963" s="44" t="str">
        <f t="array" ref="H2963">IF(B2963="","",_xlfn.XLOOKUP(B2963,'Form responses 1'!$B$2:$B$2604,'Form responses 1'!$F$2:$F$2604,""))</f>
        <v/>
      </c>
      <c r="I2963" s="44" t="str">
        <f t="array" ref="I2963">IF(B2963="","",_xlfn.XLOOKUP(B2963,'Form responses 1'!$B$2:$B$2604,'Form responses 1'!$I$2:$I$2604,""))</f>
        <v/>
      </c>
      <c r="J2963" s="44" t="str">
        <f t="array" ref="J2963">IF(B2963="","",_xlfn.XLOOKUP(B2963,'Form responses 1'!$B$2:$B$2604,'Form responses 1'!$G$2:$G$2604,""))</f>
        <v/>
      </c>
      <c r="K2963" s="56"/>
      <c r="L2963" s="58" t="str">
        <f t="shared" si="7"/>
        <v/>
      </c>
      <c r="M2963" s="49"/>
      <c r="N2963" s="49"/>
      <c r="O2963" s="49"/>
      <c r="P2963" s="49"/>
      <c r="Q2963" s="49"/>
      <c r="R2963" s="49"/>
      <c r="S2963" s="49"/>
      <c r="T2963" s="49"/>
      <c r="U2963" s="49"/>
      <c r="V2963" s="49"/>
      <c r="W2963" s="56"/>
      <c r="X2963" s="51" t="str">
        <f t="shared" si="5"/>
        <v/>
      </c>
      <c r="Y2963" s="50" t="s">
        <v>482</v>
      </c>
      <c r="Z2963" s="49">
        <f t="shared" si="6"/>
        <v>0</v>
      </c>
    </row>
    <row r="2964" ht="22.5" customHeight="1">
      <c r="B2964" s="57"/>
      <c r="C2964" s="43" t="str">
        <f t="array" ref="C2964">IF(B2964="","",_xlfn.XLOOKUP(B2964,'Form responses 1'!$B$2:$B$2604,'Form responses 1'!$A$2:$A$2604,""))</f>
        <v/>
      </c>
      <c r="D2964" s="44" t="str">
        <f t="shared" si="3"/>
        <v/>
      </c>
      <c r="E2964" s="44" t="str">
        <f t="array" ref="E2964">IF(B2964="","",_xlfn.XLOOKUP(B2964,'Form responses 1'!$B$2:$B$2604,'Form responses 1'!$C$2:$C$2604,""))</f>
        <v/>
      </c>
      <c r="F2964" s="44" t="str">
        <f t="array" ref="F2964">IF(B2964="","",_xlfn.XLOOKUP(B2964,'Form responses 1'!$B$2:$B$2604,'Form responses 1'!$D$2:$D$2604,""))</f>
        <v/>
      </c>
      <c r="G2964" s="44" t="str">
        <f t="array" ref="G2964">IF(B2964="","",_xlfn.XLOOKUP(B2964,'Form responses 1'!$B$2:$B$2604,'Form responses 1'!$E$2:$E$2604,""))</f>
        <v/>
      </c>
      <c r="H2964" s="44" t="str">
        <f t="array" ref="H2964">IF(B2964="","",_xlfn.XLOOKUP(B2964,'Form responses 1'!$B$2:$B$2604,'Form responses 1'!$F$2:$F$2604,""))</f>
        <v/>
      </c>
      <c r="I2964" s="44" t="str">
        <f t="array" ref="I2964">IF(B2964="","",_xlfn.XLOOKUP(B2964,'Form responses 1'!$B$2:$B$2604,'Form responses 1'!$I$2:$I$2604,""))</f>
        <v/>
      </c>
      <c r="J2964" s="44" t="str">
        <f t="array" ref="J2964">IF(B2964="","",_xlfn.XLOOKUP(B2964,'Form responses 1'!$B$2:$B$2604,'Form responses 1'!$G$2:$G$2604,""))</f>
        <v/>
      </c>
      <c r="K2964" s="56"/>
      <c r="L2964" s="58" t="str">
        <f t="shared" si="7"/>
        <v/>
      </c>
      <c r="M2964" s="49"/>
      <c r="N2964" s="49"/>
      <c r="O2964" s="49"/>
      <c r="P2964" s="49"/>
      <c r="Q2964" s="49"/>
      <c r="R2964" s="49"/>
      <c r="S2964" s="49"/>
      <c r="T2964" s="49"/>
      <c r="U2964" s="49"/>
      <c r="V2964" s="49"/>
      <c r="W2964" s="56"/>
      <c r="X2964" s="51" t="str">
        <f t="shared" si="5"/>
        <v/>
      </c>
      <c r="Y2964" s="50" t="s">
        <v>482</v>
      </c>
      <c r="Z2964" s="49">
        <f t="shared" si="6"/>
        <v>0</v>
      </c>
    </row>
    <row r="2965" ht="22.5" customHeight="1">
      <c r="B2965" s="57"/>
      <c r="C2965" s="43" t="str">
        <f t="array" ref="C2965">IF(B2965="","",_xlfn.XLOOKUP(B2965,'Form responses 1'!$B$2:$B$2604,'Form responses 1'!$A$2:$A$2604,""))</f>
        <v/>
      </c>
      <c r="D2965" s="44" t="str">
        <f t="shared" si="3"/>
        <v/>
      </c>
      <c r="E2965" s="44" t="str">
        <f t="array" ref="E2965">IF(B2965="","",_xlfn.XLOOKUP(B2965,'Form responses 1'!$B$2:$B$2604,'Form responses 1'!$C$2:$C$2604,""))</f>
        <v/>
      </c>
      <c r="F2965" s="44" t="str">
        <f t="array" ref="F2965">IF(B2965="","",_xlfn.XLOOKUP(B2965,'Form responses 1'!$B$2:$B$2604,'Form responses 1'!$D$2:$D$2604,""))</f>
        <v/>
      </c>
      <c r="G2965" s="44" t="str">
        <f t="array" ref="G2965">IF(B2965="","",_xlfn.XLOOKUP(B2965,'Form responses 1'!$B$2:$B$2604,'Form responses 1'!$E$2:$E$2604,""))</f>
        <v/>
      </c>
      <c r="H2965" s="44" t="str">
        <f t="array" ref="H2965">IF(B2965="","",_xlfn.XLOOKUP(B2965,'Form responses 1'!$B$2:$B$2604,'Form responses 1'!$F$2:$F$2604,""))</f>
        <v/>
      </c>
      <c r="I2965" s="44" t="str">
        <f t="array" ref="I2965">IF(B2965="","",_xlfn.XLOOKUP(B2965,'Form responses 1'!$B$2:$B$2604,'Form responses 1'!$I$2:$I$2604,""))</f>
        <v/>
      </c>
      <c r="J2965" s="44" t="str">
        <f t="array" ref="J2965">IF(B2965="","",_xlfn.XLOOKUP(B2965,'Form responses 1'!$B$2:$B$2604,'Form responses 1'!$G$2:$G$2604,""))</f>
        <v/>
      </c>
      <c r="K2965" s="56"/>
      <c r="L2965" s="58" t="str">
        <f t="shared" si="7"/>
        <v/>
      </c>
      <c r="M2965" s="49"/>
      <c r="N2965" s="49"/>
      <c r="O2965" s="49"/>
      <c r="P2965" s="49"/>
      <c r="Q2965" s="49"/>
      <c r="R2965" s="49"/>
      <c r="S2965" s="49"/>
      <c r="T2965" s="49"/>
      <c r="U2965" s="49"/>
      <c r="V2965" s="49"/>
      <c r="W2965" s="56"/>
      <c r="X2965" s="51" t="str">
        <f t="shared" si="5"/>
        <v/>
      </c>
      <c r="Y2965" s="50" t="s">
        <v>482</v>
      </c>
      <c r="Z2965" s="49">
        <f t="shared" si="6"/>
        <v>0</v>
      </c>
    </row>
    <row r="2966" ht="22.5" customHeight="1">
      <c r="B2966" s="57"/>
      <c r="C2966" s="43" t="str">
        <f t="array" ref="C2966">IF(B2966="","",_xlfn.XLOOKUP(B2966,'Form responses 1'!$B$2:$B$2604,'Form responses 1'!$A$2:$A$2604,""))</f>
        <v/>
      </c>
      <c r="D2966" s="44" t="str">
        <f t="shared" si="3"/>
        <v/>
      </c>
      <c r="E2966" s="44" t="str">
        <f t="array" ref="E2966">IF(B2966="","",_xlfn.XLOOKUP(B2966,'Form responses 1'!$B$2:$B$2604,'Form responses 1'!$C$2:$C$2604,""))</f>
        <v/>
      </c>
      <c r="F2966" s="44" t="str">
        <f t="array" ref="F2966">IF(B2966="","",_xlfn.XLOOKUP(B2966,'Form responses 1'!$B$2:$B$2604,'Form responses 1'!$D$2:$D$2604,""))</f>
        <v/>
      </c>
      <c r="G2966" s="44" t="str">
        <f t="array" ref="G2966">IF(B2966="","",_xlfn.XLOOKUP(B2966,'Form responses 1'!$B$2:$B$2604,'Form responses 1'!$E$2:$E$2604,""))</f>
        <v/>
      </c>
      <c r="H2966" s="44" t="str">
        <f t="array" ref="H2966">IF(B2966="","",_xlfn.XLOOKUP(B2966,'Form responses 1'!$B$2:$B$2604,'Form responses 1'!$F$2:$F$2604,""))</f>
        <v/>
      </c>
      <c r="I2966" s="44" t="str">
        <f t="array" ref="I2966">IF(B2966="","",_xlfn.XLOOKUP(B2966,'Form responses 1'!$B$2:$B$2604,'Form responses 1'!$I$2:$I$2604,""))</f>
        <v/>
      </c>
      <c r="J2966" s="44" t="str">
        <f t="array" ref="J2966">IF(B2966="","",_xlfn.XLOOKUP(B2966,'Form responses 1'!$B$2:$B$2604,'Form responses 1'!$G$2:$G$2604,""))</f>
        <v/>
      </c>
      <c r="K2966" s="56"/>
      <c r="L2966" s="58" t="str">
        <f t="shared" si="7"/>
        <v/>
      </c>
      <c r="M2966" s="49"/>
      <c r="N2966" s="49"/>
      <c r="O2966" s="49"/>
      <c r="P2966" s="49"/>
      <c r="Q2966" s="49"/>
      <c r="R2966" s="49"/>
      <c r="S2966" s="49"/>
      <c r="T2966" s="49"/>
      <c r="U2966" s="49"/>
      <c r="V2966" s="49"/>
      <c r="W2966" s="56"/>
      <c r="X2966" s="51" t="str">
        <f t="shared" si="5"/>
        <v/>
      </c>
      <c r="Y2966" s="50" t="s">
        <v>482</v>
      </c>
      <c r="Z2966" s="49">
        <f t="shared" si="6"/>
        <v>0</v>
      </c>
    </row>
    <row r="2967" ht="22.5" customHeight="1">
      <c r="B2967" s="57"/>
      <c r="C2967" s="43" t="str">
        <f t="array" ref="C2967">IF(B2967="","",_xlfn.XLOOKUP(B2967,'Form responses 1'!$B$2:$B$2604,'Form responses 1'!$A$2:$A$2604,""))</f>
        <v/>
      </c>
      <c r="D2967" s="44" t="str">
        <f t="shared" si="3"/>
        <v/>
      </c>
      <c r="E2967" s="44" t="str">
        <f t="array" ref="E2967">IF(B2967="","",_xlfn.XLOOKUP(B2967,'Form responses 1'!$B$2:$B$2604,'Form responses 1'!$C$2:$C$2604,""))</f>
        <v/>
      </c>
      <c r="F2967" s="44" t="str">
        <f t="array" ref="F2967">IF(B2967="","",_xlfn.XLOOKUP(B2967,'Form responses 1'!$B$2:$B$2604,'Form responses 1'!$D$2:$D$2604,""))</f>
        <v/>
      </c>
      <c r="G2967" s="44" t="str">
        <f t="array" ref="G2967">IF(B2967="","",_xlfn.XLOOKUP(B2967,'Form responses 1'!$B$2:$B$2604,'Form responses 1'!$E$2:$E$2604,""))</f>
        <v/>
      </c>
      <c r="H2967" s="44" t="str">
        <f t="array" ref="H2967">IF(B2967="","",_xlfn.XLOOKUP(B2967,'Form responses 1'!$B$2:$B$2604,'Form responses 1'!$F$2:$F$2604,""))</f>
        <v/>
      </c>
      <c r="I2967" s="44" t="str">
        <f t="array" ref="I2967">IF(B2967="","",_xlfn.XLOOKUP(B2967,'Form responses 1'!$B$2:$B$2604,'Form responses 1'!$I$2:$I$2604,""))</f>
        <v/>
      </c>
      <c r="J2967" s="44" t="str">
        <f t="array" ref="J2967">IF(B2967="","",_xlfn.XLOOKUP(B2967,'Form responses 1'!$B$2:$B$2604,'Form responses 1'!$G$2:$G$2604,""))</f>
        <v/>
      </c>
      <c r="K2967" s="56"/>
      <c r="L2967" s="58" t="str">
        <f t="shared" si="7"/>
        <v/>
      </c>
      <c r="M2967" s="49"/>
      <c r="N2967" s="49"/>
      <c r="O2967" s="49"/>
      <c r="P2967" s="49"/>
      <c r="Q2967" s="49"/>
      <c r="R2967" s="49"/>
      <c r="S2967" s="49"/>
      <c r="T2967" s="49"/>
      <c r="U2967" s="49"/>
      <c r="V2967" s="49"/>
      <c r="W2967" s="56"/>
      <c r="X2967" s="51" t="str">
        <f t="shared" si="5"/>
        <v/>
      </c>
      <c r="Y2967" s="50" t="s">
        <v>482</v>
      </c>
      <c r="Z2967" s="49">
        <f t="shared" si="6"/>
        <v>0</v>
      </c>
    </row>
    <row r="2968" ht="22.5" customHeight="1">
      <c r="B2968" s="57"/>
      <c r="C2968" s="43" t="str">
        <f t="array" ref="C2968">IF(B2968="","",_xlfn.XLOOKUP(B2968,'Form responses 1'!$B$2:$B$2604,'Form responses 1'!$A$2:$A$2604,""))</f>
        <v/>
      </c>
      <c r="D2968" s="44" t="str">
        <f t="shared" si="3"/>
        <v/>
      </c>
      <c r="E2968" s="44" t="str">
        <f t="array" ref="E2968">IF(B2968="","",_xlfn.XLOOKUP(B2968,'Form responses 1'!$B$2:$B$2604,'Form responses 1'!$C$2:$C$2604,""))</f>
        <v/>
      </c>
      <c r="F2968" s="44" t="str">
        <f t="array" ref="F2968">IF(B2968="","",_xlfn.XLOOKUP(B2968,'Form responses 1'!$B$2:$B$2604,'Form responses 1'!$D$2:$D$2604,""))</f>
        <v/>
      </c>
      <c r="G2968" s="44" t="str">
        <f t="array" ref="G2968">IF(B2968="","",_xlfn.XLOOKUP(B2968,'Form responses 1'!$B$2:$B$2604,'Form responses 1'!$E$2:$E$2604,""))</f>
        <v/>
      </c>
      <c r="H2968" s="44" t="str">
        <f t="array" ref="H2968">IF(B2968="","",_xlfn.XLOOKUP(B2968,'Form responses 1'!$B$2:$B$2604,'Form responses 1'!$F$2:$F$2604,""))</f>
        <v/>
      </c>
      <c r="I2968" s="44" t="str">
        <f t="array" ref="I2968">IF(B2968="","",_xlfn.XLOOKUP(B2968,'Form responses 1'!$B$2:$B$2604,'Form responses 1'!$I$2:$I$2604,""))</f>
        <v/>
      </c>
      <c r="J2968" s="44" t="str">
        <f t="array" ref="J2968">IF(B2968="","",_xlfn.XLOOKUP(B2968,'Form responses 1'!$B$2:$B$2604,'Form responses 1'!$G$2:$G$2604,""))</f>
        <v/>
      </c>
      <c r="K2968" s="56"/>
      <c r="L2968" s="58" t="str">
        <f t="shared" si="7"/>
        <v/>
      </c>
      <c r="M2968" s="49"/>
      <c r="N2968" s="49"/>
      <c r="O2968" s="49"/>
      <c r="P2968" s="49"/>
      <c r="Q2968" s="49"/>
      <c r="R2968" s="49"/>
      <c r="S2968" s="49"/>
      <c r="T2968" s="49"/>
      <c r="U2968" s="49"/>
      <c r="V2968" s="49"/>
      <c r="W2968" s="56"/>
      <c r="X2968" s="51" t="str">
        <f t="shared" si="5"/>
        <v/>
      </c>
      <c r="Y2968" s="50" t="s">
        <v>482</v>
      </c>
      <c r="Z2968" s="49">
        <f t="shared" si="6"/>
        <v>0</v>
      </c>
    </row>
    <row r="2969" ht="22.5" customHeight="1">
      <c r="B2969" s="57"/>
      <c r="C2969" s="43" t="str">
        <f t="array" ref="C2969">IF(B2969="","",_xlfn.XLOOKUP(B2969,'Form responses 1'!$B$2:$B$2604,'Form responses 1'!$A$2:$A$2604,""))</f>
        <v/>
      </c>
      <c r="D2969" s="44" t="str">
        <f t="shared" si="3"/>
        <v/>
      </c>
      <c r="E2969" s="44" t="str">
        <f t="array" ref="E2969">IF(B2969="","",_xlfn.XLOOKUP(B2969,'Form responses 1'!$B$2:$B$2604,'Form responses 1'!$C$2:$C$2604,""))</f>
        <v/>
      </c>
      <c r="F2969" s="44" t="str">
        <f t="array" ref="F2969">IF(B2969="","",_xlfn.XLOOKUP(B2969,'Form responses 1'!$B$2:$B$2604,'Form responses 1'!$D$2:$D$2604,""))</f>
        <v/>
      </c>
      <c r="G2969" s="44" t="str">
        <f t="array" ref="G2969">IF(B2969="","",_xlfn.XLOOKUP(B2969,'Form responses 1'!$B$2:$B$2604,'Form responses 1'!$E$2:$E$2604,""))</f>
        <v/>
      </c>
      <c r="H2969" s="44" t="str">
        <f t="array" ref="H2969">IF(B2969="","",_xlfn.XLOOKUP(B2969,'Form responses 1'!$B$2:$B$2604,'Form responses 1'!$F$2:$F$2604,""))</f>
        <v/>
      </c>
      <c r="I2969" s="44" t="str">
        <f t="array" ref="I2969">IF(B2969="","",_xlfn.XLOOKUP(B2969,'Form responses 1'!$B$2:$B$2604,'Form responses 1'!$I$2:$I$2604,""))</f>
        <v/>
      </c>
      <c r="J2969" s="44" t="str">
        <f t="array" ref="J2969">IF(B2969="","",_xlfn.XLOOKUP(B2969,'Form responses 1'!$B$2:$B$2604,'Form responses 1'!$G$2:$G$2604,""))</f>
        <v/>
      </c>
      <c r="K2969" s="56"/>
      <c r="L2969" s="58" t="str">
        <f t="shared" si="7"/>
        <v/>
      </c>
      <c r="M2969" s="49"/>
      <c r="N2969" s="49"/>
      <c r="O2969" s="49"/>
      <c r="P2969" s="49"/>
      <c r="Q2969" s="49"/>
      <c r="R2969" s="49"/>
      <c r="S2969" s="49"/>
      <c r="T2969" s="49"/>
      <c r="U2969" s="49"/>
      <c r="V2969" s="49"/>
      <c r="W2969" s="56"/>
      <c r="X2969" s="51" t="str">
        <f t="shared" si="5"/>
        <v/>
      </c>
      <c r="Y2969" s="50" t="s">
        <v>482</v>
      </c>
      <c r="Z2969" s="49">
        <f t="shared" si="6"/>
        <v>0</v>
      </c>
    </row>
    <row r="2970" ht="22.5" customHeight="1">
      <c r="B2970" s="57"/>
      <c r="C2970" s="43" t="str">
        <f t="array" ref="C2970">IF(B2970="","",_xlfn.XLOOKUP(B2970,'Form responses 1'!$B$2:$B$2604,'Form responses 1'!$A$2:$A$2604,""))</f>
        <v/>
      </c>
      <c r="D2970" s="44" t="str">
        <f t="shared" si="3"/>
        <v/>
      </c>
      <c r="E2970" s="44" t="str">
        <f t="array" ref="E2970">IF(B2970="","",_xlfn.XLOOKUP(B2970,'Form responses 1'!$B$2:$B$2604,'Form responses 1'!$C$2:$C$2604,""))</f>
        <v/>
      </c>
      <c r="F2970" s="44" t="str">
        <f t="array" ref="F2970">IF(B2970="","",_xlfn.XLOOKUP(B2970,'Form responses 1'!$B$2:$B$2604,'Form responses 1'!$D$2:$D$2604,""))</f>
        <v/>
      </c>
      <c r="G2970" s="44" t="str">
        <f t="array" ref="G2970">IF(B2970="","",_xlfn.XLOOKUP(B2970,'Form responses 1'!$B$2:$B$2604,'Form responses 1'!$E$2:$E$2604,""))</f>
        <v/>
      </c>
      <c r="H2970" s="44" t="str">
        <f t="array" ref="H2970">IF(B2970="","",_xlfn.XLOOKUP(B2970,'Form responses 1'!$B$2:$B$2604,'Form responses 1'!$F$2:$F$2604,""))</f>
        <v/>
      </c>
      <c r="I2970" s="44" t="str">
        <f t="array" ref="I2970">IF(B2970="","",_xlfn.XLOOKUP(B2970,'Form responses 1'!$B$2:$B$2604,'Form responses 1'!$I$2:$I$2604,""))</f>
        <v/>
      </c>
      <c r="J2970" s="44" t="str">
        <f t="array" ref="J2970">IF(B2970="","",_xlfn.XLOOKUP(B2970,'Form responses 1'!$B$2:$B$2604,'Form responses 1'!$G$2:$G$2604,""))</f>
        <v/>
      </c>
      <c r="K2970" s="56"/>
      <c r="L2970" s="58" t="str">
        <f t="shared" si="7"/>
        <v/>
      </c>
      <c r="M2970" s="49"/>
      <c r="N2970" s="49"/>
      <c r="O2970" s="49"/>
      <c r="P2970" s="49"/>
      <c r="Q2970" s="49"/>
      <c r="R2970" s="49"/>
      <c r="S2970" s="49"/>
      <c r="T2970" s="49"/>
      <c r="U2970" s="49"/>
      <c r="V2970" s="49"/>
      <c r="W2970" s="56"/>
      <c r="X2970" s="51" t="str">
        <f t="shared" si="5"/>
        <v/>
      </c>
      <c r="Y2970" s="50" t="s">
        <v>482</v>
      </c>
      <c r="Z2970" s="49">
        <f t="shared" si="6"/>
        <v>0</v>
      </c>
    </row>
    <row r="2971" ht="22.5" customHeight="1">
      <c r="B2971" s="57"/>
      <c r="C2971" s="43" t="str">
        <f t="array" ref="C2971">IF(B2971="","",_xlfn.XLOOKUP(B2971,'Form responses 1'!$B$2:$B$2604,'Form responses 1'!$A$2:$A$2604,""))</f>
        <v/>
      </c>
      <c r="D2971" s="44" t="str">
        <f t="shared" si="3"/>
        <v/>
      </c>
      <c r="E2971" s="44" t="str">
        <f t="array" ref="E2971">IF(B2971="","",_xlfn.XLOOKUP(B2971,'Form responses 1'!$B$2:$B$2604,'Form responses 1'!$C$2:$C$2604,""))</f>
        <v/>
      </c>
      <c r="F2971" s="44" t="str">
        <f t="array" ref="F2971">IF(B2971="","",_xlfn.XLOOKUP(B2971,'Form responses 1'!$B$2:$B$2604,'Form responses 1'!$D$2:$D$2604,""))</f>
        <v/>
      </c>
      <c r="G2971" s="44" t="str">
        <f t="array" ref="G2971">IF(B2971="","",_xlfn.XLOOKUP(B2971,'Form responses 1'!$B$2:$B$2604,'Form responses 1'!$E$2:$E$2604,""))</f>
        <v/>
      </c>
      <c r="H2971" s="44" t="str">
        <f t="array" ref="H2971">IF(B2971="","",_xlfn.XLOOKUP(B2971,'Form responses 1'!$B$2:$B$2604,'Form responses 1'!$F$2:$F$2604,""))</f>
        <v/>
      </c>
      <c r="I2971" s="44" t="str">
        <f t="array" ref="I2971">IF(B2971="","",_xlfn.XLOOKUP(B2971,'Form responses 1'!$B$2:$B$2604,'Form responses 1'!$I$2:$I$2604,""))</f>
        <v/>
      </c>
      <c r="J2971" s="44" t="str">
        <f t="array" ref="J2971">IF(B2971="","",_xlfn.XLOOKUP(B2971,'Form responses 1'!$B$2:$B$2604,'Form responses 1'!$G$2:$G$2604,""))</f>
        <v/>
      </c>
      <c r="K2971" s="56"/>
      <c r="L2971" s="58" t="str">
        <f t="shared" si="7"/>
        <v/>
      </c>
      <c r="M2971" s="49"/>
      <c r="N2971" s="49"/>
      <c r="O2971" s="49"/>
      <c r="P2971" s="49"/>
      <c r="Q2971" s="49"/>
      <c r="R2971" s="49"/>
      <c r="S2971" s="49"/>
      <c r="T2971" s="49"/>
      <c r="U2971" s="49"/>
      <c r="V2971" s="49"/>
      <c r="W2971" s="56"/>
      <c r="X2971" s="51" t="str">
        <f t="shared" si="5"/>
        <v/>
      </c>
      <c r="Y2971" s="50" t="s">
        <v>482</v>
      </c>
      <c r="Z2971" s="49">
        <f t="shared" si="6"/>
        <v>0</v>
      </c>
    </row>
    <row r="2972" ht="22.5" customHeight="1">
      <c r="B2972" s="57"/>
      <c r="C2972" s="43" t="str">
        <f t="array" ref="C2972">IF(B2972="","",_xlfn.XLOOKUP(B2972,'Form responses 1'!$B$2:$B$2604,'Form responses 1'!$A$2:$A$2604,""))</f>
        <v/>
      </c>
      <c r="D2972" s="44" t="str">
        <f t="shared" si="3"/>
        <v/>
      </c>
      <c r="E2972" s="44" t="str">
        <f t="array" ref="E2972">IF(B2972="","",_xlfn.XLOOKUP(B2972,'Form responses 1'!$B$2:$B$2604,'Form responses 1'!$C$2:$C$2604,""))</f>
        <v/>
      </c>
      <c r="F2972" s="44" t="str">
        <f t="array" ref="F2972">IF(B2972="","",_xlfn.XLOOKUP(B2972,'Form responses 1'!$B$2:$B$2604,'Form responses 1'!$D$2:$D$2604,""))</f>
        <v/>
      </c>
      <c r="G2972" s="44" t="str">
        <f t="array" ref="G2972">IF(B2972="","",_xlfn.XLOOKUP(B2972,'Form responses 1'!$B$2:$B$2604,'Form responses 1'!$E$2:$E$2604,""))</f>
        <v/>
      </c>
      <c r="H2972" s="44" t="str">
        <f t="array" ref="H2972">IF(B2972="","",_xlfn.XLOOKUP(B2972,'Form responses 1'!$B$2:$B$2604,'Form responses 1'!$F$2:$F$2604,""))</f>
        <v/>
      </c>
      <c r="I2972" s="44" t="str">
        <f t="array" ref="I2972">IF(B2972="","",_xlfn.XLOOKUP(B2972,'Form responses 1'!$B$2:$B$2604,'Form responses 1'!$I$2:$I$2604,""))</f>
        <v/>
      </c>
      <c r="J2972" s="44" t="str">
        <f t="array" ref="J2972">IF(B2972="","",_xlfn.XLOOKUP(B2972,'Form responses 1'!$B$2:$B$2604,'Form responses 1'!$G$2:$G$2604,""))</f>
        <v/>
      </c>
      <c r="K2972" s="56"/>
      <c r="L2972" s="58" t="str">
        <f t="shared" si="7"/>
        <v/>
      </c>
      <c r="M2972" s="49"/>
      <c r="N2972" s="49"/>
      <c r="O2972" s="49"/>
      <c r="P2972" s="49"/>
      <c r="Q2972" s="49"/>
      <c r="R2972" s="49"/>
      <c r="S2972" s="49"/>
      <c r="T2972" s="49"/>
      <c r="U2972" s="49"/>
      <c r="V2972" s="49"/>
      <c r="W2972" s="56"/>
      <c r="X2972" s="51" t="str">
        <f t="shared" si="5"/>
        <v/>
      </c>
      <c r="Y2972" s="50" t="s">
        <v>482</v>
      </c>
      <c r="Z2972" s="49">
        <f t="shared" si="6"/>
        <v>0</v>
      </c>
    </row>
    <row r="2973" ht="22.5" customHeight="1">
      <c r="B2973" s="57"/>
      <c r="C2973" s="43" t="str">
        <f t="array" ref="C2973">IF(B2973="","",_xlfn.XLOOKUP(B2973,'Form responses 1'!$B$2:$B$2604,'Form responses 1'!$A$2:$A$2604,""))</f>
        <v/>
      </c>
      <c r="D2973" s="44" t="str">
        <f t="shared" si="3"/>
        <v/>
      </c>
      <c r="E2973" s="44" t="str">
        <f t="array" ref="E2973">IF(B2973="","",_xlfn.XLOOKUP(B2973,'Form responses 1'!$B$2:$B$2604,'Form responses 1'!$C$2:$C$2604,""))</f>
        <v/>
      </c>
      <c r="F2973" s="44" t="str">
        <f t="array" ref="F2973">IF(B2973="","",_xlfn.XLOOKUP(B2973,'Form responses 1'!$B$2:$B$2604,'Form responses 1'!$D$2:$D$2604,""))</f>
        <v/>
      </c>
      <c r="G2973" s="44" t="str">
        <f t="array" ref="G2973">IF(B2973="","",_xlfn.XLOOKUP(B2973,'Form responses 1'!$B$2:$B$2604,'Form responses 1'!$E$2:$E$2604,""))</f>
        <v/>
      </c>
      <c r="H2973" s="44" t="str">
        <f t="array" ref="H2973">IF(B2973="","",_xlfn.XLOOKUP(B2973,'Form responses 1'!$B$2:$B$2604,'Form responses 1'!$F$2:$F$2604,""))</f>
        <v/>
      </c>
      <c r="I2973" s="44" t="str">
        <f t="array" ref="I2973">IF(B2973="","",_xlfn.XLOOKUP(B2973,'Form responses 1'!$B$2:$B$2604,'Form responses 1'!$I$2:$I$2604,""))</f>
        <v/>
      </c>
      <c r="J2973" s="44" t="str">
        <f t="array" ref="J2973">IF(B2973="","",_xlfn.XLOOKUP(B2973,'Form responses 1'!$B$2:$B$2604,'Form responses 1'!$G$2:$G$2604,""))</f>
        <v/>
      </c>
      <c r="K2973" s="56"/>
      <c r="L2973" s="58" t="str">
        <f t="shared" si="7"/>
        <v/>
      </c>
      <c r="M2973" s="49"/>
      <c r="N2973" s="49"/>
      <c r="O2973" s="49"/>
      <c r="P2973" s="49"/>
      <c r="Q2973" s="49"/>
      <c r="R2973" s="49"/>
      <c r="S2973" s="49"/>
      <c r="T2973" s="49"/>
      <c r="U2973" s="49"/>
      <c r="V2973" s="49"/>
      <c r="W2973" s="56"/>
      <c r="X2973" s="51" t="str">
        <f t="shared" si="5"/>
        <v/>
      </c>
      <c r="Y2973" s="50" t="s">
        <v>482</v>
      </c>
      <c r="Z2973" s="49">
        <f t="shared" si="6"/>
        <v>0</v>
      </c>
    </row>
    <row r="2974" ht="22.5" customHeight="1">
      <c r="B2974" s="57"/>
      <c r="C2974" s="43" t="str">
        <f t="array" ref="C2974">IF(B2974="","",_xlfn.XLOOKUP(B2974,'Form responses 1'!$B$2:$B$2604,'Form responses 1'!$A$2:$A$2604,""))</f>
        <v/>
      </c>
      <c r="D2974" s="44" t="str">
        <f t="shared" si="3"/>
        <v/>
      </c>
      <c r="E2974" s="44" t="str">
        <f t="array" ref="E2974">IF(B2974="","",_xlfn.XLOOKUP(B2974,'Form responses 1'!$B$2:$B$2604,'Form responses 1'!$C$2:$C$2604,""))</f>
        <v/>
      </c>
      <c r="F2974" s="44" t="str">
        <f t="array" ref="F2974">IF(B2974="","",_xlfn.XLOOKUP(B2974,'Form responses 1'!$B$2:$B$2604,'Form responses 1'!$D$2:$D$2604,""))</f>
        <v/>
      </c>
      <c r="G2974" s="44" t="str">
        <f t="array" ref="G2974">IF(B2974="","",_xlfn.XLOOKUP(B2974,'Form responses 1'!$B$2:$B$2604,'Form responses 1'!$E$2:$E$2604,""))</f>
        <v/>
      </c>
      <c r="H2974" s="44" t="str">
        <f t="array" ref="H2974">IF(B2974="","",_xlfn.XLOOKUP(B2974,'Form responses 1'!$B$2:$B$2604,'Form responses 1'!$F$2:$F$2604,""))</f>
        <v/>
      </c>
      <c r="I2974" s="44" t="str">
        <f t="array" ref="I2974">IF(B2974="","",_xlfn.XLOOKUP(B2974,'Form responses 1'!$B$2:$B$2604,'Form responses 1'!$I$2:$I$2604,""))</f>
        <v/>
      </c>
      <c r="J2974" s="44" t="str">
        <f t="array" ref="J2974">IF(B2974="","",_xlfn.XLOOKUP(B2974,'Form responses 1'!$B$2:$B$2604,'Form responses 1'!$G$2:$G$2604,""))</f>
        <v/>
      </c>
      <c r="K2974" s="56"/>
      <c r="L2974" s="58" t="str">
        <f t="shared" si="7"/>
        <v/>
      </c>
      <c r="M2974" s="49"/>
      <c r="N2974" s="49"/>
      <c r="O2974" s="49"/>
      <c r="P2974" s="49"/>
      <c r="Q2974" s="49"/>
      <c r="R2974" s="49"/>
      <c r="S2974" s="49"/>
      <c r="T2974" s="49"/>
      <c r="U2974" s="49"/>
      <c r="V2974" s="49"/>
      <c r="W2974" s="56"/>
      <c r="X2974" s="51" t="str">
        <f t="shared" si="5"/>
        <v/>
      </c>
      <c r="Y2974" s="50" t="s">
        <v>482</v>
      </c>
      <c r="Z2974" s="49">
        <f t="shared" si="6"/>
        <v>0</v>
      </c>
    </row>
    <row r="2975" ht="22.5" customHeight="1">
      <c r="B2975" s="57"/>
      <c r="C2975" s="43" t="str">
        <f t="array" ref="C2975">IF(B2975="","",_xlfn.XLOOKUP(B2975,'Form responses 1'!$B$2:$B$2604,'Form responses 1'!$A$2:$A$2604,""))</f>
        <v/>
      </c>
      <c r="D2975" s="44" t="str">
        <f t="shared" si="3"/>
        <v/>
      </c>
      <c r="E2975" s="44" t="str">
        <f t="array" ref="E2975">IF(B2975="","",_xlfn.XLOOKUP(B2975,'Form responses 1'!$B$2:$B$2604,'Form responses 1'!$C$2:$C$2604,""))</f>
        <v/>
      </c>
      <c r="F2975" s="44" t="str">
        <f t="array" ref="F2975">IF(B2975="","",_xlfn.XLOOKUP(B2975,'Form responses 1'!$B$2:$B$2604,'Form responses 1'!$D$2:$D$2604,""))</f>
        <v/>
      </c>
      <c r="G2975" s="44" t="str">
        <f t="array" ref="G2975">IF(B2975="","",_xlfn.XLOOKUP(B2975,'Form responses 1'!$B$2:$B$2604,'Form responses 1'!$E$2:$E$2604,""))</f>
        <v/>
      </c>
      <c r="H2975" s="44" t="str">
        <f t="array" ref="H2975">IF(B2975="","",_xlfn.XLOOKUP(B2975,'Form responses 1'!$B$2:$B$2604,'Form responses 1'!$F$2:$F$2604,""))</f>
        <v/>
      </c>
      <c r="I2975" s="44" t="str">
        <f t="array" ref="I2975">IF(B2975="","",_xlfn.XLOOKUP(B2975,'Form responses 1'!$B$2:$B$2604,'Form responses 1'!$I$2:$I$2604,""))</f>
        <v/>
      </c>
      <c r="J2975" s="44" t="str">
        <f t="array" ref="J2975">IF(B2975="","",_xlfn.XLOOKUP(B2975,'Form responses 1'!$B$2:$B$2604,'Form responses 1'!$G$2:$G$2604,""))</f>
        <v/>
      </c>
      <c r="K2975" s="56"/>
      <c r="L2975" s="58" t="str">
        <f t="shared" si="7"/>
        <v/>
      </c>
      <c r="M2975" s="49"/>
      <c r="N2975" s="49"/>
      <c r="O2975" s="49"/>
      <c r="P2975" s="49"/>
      <c r="Q2975" s="49"/>
      <c r="R2975" s="49"/>
      <c r="S2975" s="49"/>
      <c r="T2975" s="49"/>
      <c r="U2975" s="49"/>
      <c r="V2975" s="49"/>
      <c r="W2975" s="56"/>
      <c r="X2975" s="51" t="str">
        <f t="shared" si="5"/>
        <v/>
      </c>
      <c r="Y2975" s="50" t="s">
        <v>482</v>
      </c>
      <c r="Z2975" s="49">
        <f t="shared" si="6"/>
        <v>0</v>
      </c>
    </row>
    <row r="2976" ht="22.5" customHeight="1">
      <c r="B2976" s="57"/>
      <c r="C2976" s="43" t="str">
        <f t="array" ref="C2976">IF(B2976="","",_xlfn.XLOOKUP(B2976,'Form responses 1'!$B$2:$B$2604,'Form responses 1'!$A$2:$A$2604,""))</f>
        <v/>
      </c>
      <c r="D2976" s="44" t="str">
        <f t="shared" si="3"/>
        <v/>
      </c>
      <c r="E2976" s="44" t="str">
        <f t="array" ref="E2976">IF(B2976="","",_xlfn.XLOOKUP(B2976,'Form responses 1'!$B$2:$B$2604,'Form responses 1'!$C$2:$C$2604,""))</f>
        <v/>
      </c>
      <c r="F2976" s="44" t="str">
        <f t="array" ref="F2976">IF(B2976="","",_xlfn.XLOOKUP(B2976,'Form responses 1'!$B$2:$B$2604,'Form responses 1'!$D$2:$D$2604,""))</f>
        <v/>
      </c>
      <c r="G2976" s="44" t="str">
        <f t="array" ref="G2976">IF(B2976="","",_xlfn.XLOOKUP(B2976,'Form responses 1'!$B$2:$B$2604,'Form responses 1'!$E$2:$E$2604,""))</f>
        <v/>
      </c>
      <c r="H2976" s="44" t="str">
        <f t="array" ref="H2976">IF(B2976="","",_xlfn.XLOOKUP(B2976,'Form responses 1'!$B$2:$B$2604,'Form responses 1'!$F$2:$F$2604,""))</f>
        <v/>
      </c>
      <c r="I2976" s="44" t="str">
        <f t="array" ref="I2976">IF(B2976="","",_xlfn.XLOOKUP(B2976,'Form responses 1'!$B$2:$B$2604,'Form responses 1'!$I$2:$I$2604,""))</f>
        <v/>
      </c>
      <c r="J2976" s="44" t="str">
        <f t="array" ref="J2976">IF(B2976="","",_xlfn.XLOOKUP(B2976,'Form responses 1'!$B$2:$B$2604,'Form responses 1'!$G$2:$G$2604,""))</f>
        <v/>
      </c>
      <c r="K2976" s="56"/>
      <c r="L2976" s="58" t="str">
        <f t="shared" si="7"/>
        <v/>
      </c>
      <c r="M2976" s="49"/>
      <c r="N2976" s="49"/>
      <c r="O2976" s="49"/>
      <c r="P2976" s="49"/>
      <c r="Q2976" s="49"/>
      <c r="R2976" s="49"/>
      <c r="S2976" s="49"/>
      <c r="T2976" s="49"/>
      <c r="U2976" s="49"/>
      <c r="V2976" s="49"/>
      <c r="W2976" s="56"/>
      <c r="X2976" s="51" t="str">
        <f t="shared" si="5"/>
        <v/>
      </c>
      <c r="Y2976" s="50" t="s">
        <v>482</v>
      </c>
      <c r="Z2976" s="49">
        <f t="shared" si="6"/>
        <v>0</v>
      </c>
    </row>
    <row r="2977" ht="22.5" customHeight="1">
      <c r="B2977" s="57"/>
      <c r="C2977" s="43" t="str">
        <f t="array" ref="C2977">IF(B2977="","",_xlfn.XLOOKUP(B2977,'Form responses 1'!$B$2:$B$2604,'Form responses 1'!$A$2:$A$2604,""))</f>
        <v/>
      </c>
      <c r="D2977" s="44" t="str">
        <f t="shared" si="3"/>
        <v/>
      </c>
      <c r="E2977" s="44" t="str">
        <f t="array" ref="E2977">IF(B2977="","",_xlfn.XLOOKUP(B2977,'Form responses 1'!$B$2:$B$2604,'Form responses 1'!$C$2:$C$2604,""))</f>
        <v/>
      </c>
      <c r="F2977" s="44" t="str">
        <f t="array" ref="F2977">IF(B2977="","",_xlfn.XLOOKUP(B2977,'Form responses 1'!$B$2:$B$2604,'Form responses 1'!$D$2:$D$2604,""))</f>
        <v/>
      </c>
      <c r="G2977" s="44" t="str">
        <f t="array" ref="G2977">IF(B2977="","",_xlfn.XLOOKUP(B2977,'Form responses 1'!$B$2:$B$2604,'Form responses 1'!$E$2:$E$2604,""))</f>
        <v/>
      </c>
      <c r="H2977" s="44" t="str">
        <f t="array" ref="H2977">IF(B2977="","",_xlfn.XLOOKUP(B2977,'Form responses 1'!$B$2:$B$2604,'Form responses 1'!$F$2:$F$2604,""))</f>
        <v/>
      </c>
      <c r="I2977" s="44" t="str">
        <f t="array" ref="I2977">IF(B2977="","",_xlfn.XLOOKUP(B2977,'Form responses 1'!$B$2:$B$2604,'Form responses 1'!$I$2:$I$2604,""))</f>
        <v/>
      </c>
      <c r="J2977" s="44" t="str">
        <f t="array" ref="J2977">IF(B2977="","",_xlfn.XLOOKUP(B2977,'Form responses 1'!$B$2:$B$2604,'Form responses 1'!$G$2:$G$2604,""))</f>
        <v/>
      </c>
      <c r="K2977" s="56"/>
      <c r="L2977" s="58" t="str">
        <f t="shared" si="7"/>
        <v/>
      </c>
      <c r="M2977" s="49"/>
      <c r="N2977" s="49"/>
      <c r="O2977" s="49"/>
      <c r="P2977" s="49"/>
      <c r="Q2977" s="49"/>
      <c r="R2977" s="49"/>
      <c r="S2977" s="49"/>
      <c r="T2977" s="49"/>
      <c r="U2977" s="49"/>
      <c r="V2977" s="49"/>
      <c r="W2977" s="56"/>
      <c r="X2977" s="51" t="str">
        <f t="shared" si="5"/>
        <v/>
      </c>
      <c r="Y2977" s="50" t="s">
        <v>482</v>
      </c>
      <c r="Z2977" s="49">
        <f t="shared" si="6"/>
        <v>0</v>
      </c>
    </row>
    <row r="2978" ht="22.5" customHeight="1">
      <c r="B2978" s="57"/>
      <c r="C2978" s="43" t="str">
        <f t="array" ref="C2978">IF(B2978="","",_xlfn.XLOOKUP(B2978,'Form responses 1'!$B$2:$B$2604,'Form responses 1'!$A$2:$A$2604,""))</f>
        <v/>
      </c>
      <c r="D2978" s="44" t="str">
        <f t="shared" si="3"/>
        <v/>
      </c>
      <c r="E2978" s="44" t="str">
        <f t="array" ref="E2978">IF(B2978="","",_xlfn.XLOOKUP(B2978,'Form responses 1'!$B$2:$B$2604,'Form responses 1'!$C$2:$C$2604,""))</f>
        <v/>
      </c>
      <c r="F2978" s="44" t="str">
        <f t="array" ref="F2978">IF(B2978="","",_xlfn.XLOOKUP(B2978,'Form responses 1'!$B$2:$B$2604,'Form responses 1'!$D$2:$D$2604,""))</f>
        <v/>
      </c>
      <c r="G2978" s="44" t="str">
        <f t="array" ref="G2978">IF(B2978="","",_xlfn.XLOOKUP(B2978,'Form responses 1'!$B$2:$B$2604,'Form responses 1'!$E$2:$E$2604,""))</f>
        <v/>
      </c>
      <c r="H2978" s="44" t="str">
        <f t="array" ref="H2978">IF(B2978="","",_xlfn.XLOOKUP(B2978,'Form responses 1'!$B$2:$B$2604,'Form responses 1'!$F$2:$F$2604,""))</f>
        <v/>
      </c>
      <c r="I2978" s="44" t="str">
        <f t="array" ref="I2978">IF(B2978="","",_xlfn.XLOOKUP(B2978,'Form responses 1'!$B$2:$B$2604,'Form responses 1'!$I$2:$I$2604,""))</f>
        <v/>
      </c>
      <c r="J2978" s="44" t="str">
        <f t="array" ref="J2978">IF(B2978="","",_xlfn.XLOOKUP(B2978,'Form responses 1'!$B$2:$B$2604,'Form responses 1'!$G$2:$G$2604,""))</f>
        <v/>
      </c>
      <c r="K2978" s="56"/>
      <c r="L2978" s="58" t="str">
        <f t="shared" si="7"/>
        <v/>
      </c>
      <c r="M2978" s="49"/>
      <c r="N2978" s="49"/>
      <c r="O2978" s="49"/>
      <c r="P2978" s="49"/>
      <c r="Q2978" s="49"/>
      <c r="R2978" s="49"/>
      <c r="S2978" s="49"/>
      <c r="T2978" s="49"/>
      <c r="U2978" s="49"/>
      <c r="V2978" s="49"/>
      <c r="W2978" s="56"/>
      <c r="X2978" s="51" t="str">
        <f t="shared" si="5"/>
        <v/>
      </c>
      <c r="Y2978" s="50" t="s">
        <v>482</v>
      </c>
      <c r="Z2978" s="49">
        <f t="shared" si="6"/>
        <v>0</v>
      </c>
    </row>
    <row r="2979" ht="22.5" customHeight="1">
      <c r="B2979" s="57"/>
      <c r="C2979" s="43" t="str">
        <f t="array" ref="C2979">IF(B2979="","",_xlfn.XLOOKUP(B2979,'Form responses 1'!$B$2:$B$2604,'Form responses 1'!$A$2:$A$2604,""))</f>
        <v/>
      </c>
      <c r="D2979" s="44" t="str">
        <f t="shared" si="3"/>
        <v/>
      </c>
      <c r="E2979" s="44" t="str">
        <f t="array" ref="E2979">IF(B2979="","",_xlfn.XLOOKUP(B2979,'Form responses 1'!$B$2:$B$2604,'Form responses 1'!$C$2:$C$2604,""))</f>
        <v/>
      </c>
      <c r="F2979" s="44" t="str">
        <f t="array" ref="F2979">IF(B2979="","",_xlfn.XLOOKUP(B2979,'Form responses 1'!$B$2:$B$2604,'Form responses 1'!$D$2:$D$2604,""))</f>
        <v/>
      </c>
      <c r="G2979" s="44" t="str">
        <f t="array" ref="G2979">IF(B2979="","",_xlfn.XLOOKUP(B2979,'Form responses 1'!$B$2:$B$2604,'Form responses 1'!$E$2:$E$2604,""))</f>
        <v/>
      </c>
      <c r="H2979" s="44" t="str">
        <f t="array" ref="H2979">IF(B2979="","",_xlfn.XLOOKUP(B2979,'Form responses 1'!$B$2:$B$2604,'Form responses 1'!$F$2:$F$2604,""))</f>
        <v/>
      </c>
      <c r="I2979" s="44" t="str">
        <f t="array" ref="I2979">IF(B2979="","",_xlfn.XLOOKUP(B2979,'Form responses 1'!$B$2:$B$2604,'Form responses 1'!$I$2:$I$2604,""))</f>
        <v/>
      </c>
      <c r="J2979" s="44" t="str">
        <f t="array" ref="J2979">IF(B2979="","",_xlfn.XLOOKUP(B2979,'Form responses 1'!$B$2:$B$2604,'Form responses 1'!$G$2:$G$2604,""))</f>
        <v/>
      </c>
      <c r="K2979" s="56"/>
      <c r="L2979" s="58" t="str">
        <f t="shared" si="7"/>
        <v/>
      </c>
      <c r="M2979" s="49"/>
      <c r="N2979" s="49"/>
      <c r="O2979" s="49"/>
      <c r="P2979" s="49"/>
      <c r="Q2979" s="49"/>
      <c r="R2979" s="49"/>
      <c r="S2979" s="49"/>
      <c r="T2979" s="49"/>
      <c r="U2979" s="49"/>
      <c r="V2979" s="49"/>
      <c r="W2979" s="56"/>
      <c r="X2979" s="51" t="str">
        <f t="shared" si="5"/>
        <v/>
      </c>
      <c r="Y2979" s="50" t="s">
        <v>482</v>
      </c>
      <c r="Z2979" s="49">
        <f t="shared" si="6"/>
        <v>0</v>
      </c>
    </row>
    <row r="2980" ht="22.5" customHeight="1">
      <c r="B2980" s="57"/>
      <c r="C2980" s="43" t="str">
        <f t="array" ref="C2980">IF(B2980="","",_xlfn.XLOOKUP(B2980,'Form responses 1'!$B$2:$B$2604,'Form responses 1'!$A$2:$A$2604,""))</f>
        <v/>
      </c>
      <c r="D2980" s="44" t="str">
        <f t="shared" si="3"/>
        <v/>
      </c>
      <c r="E2980" s="44" t="str">
        <f t="array" ref="E2980">IF(B2980="","",_xlfn.XLOOKUP(B2980,'Form responses 1'!$B$2:$B$2604,'Form responses 1'!$C$2:$C$2604,""))</f>
        <v/>
      </c>
      <c r="F2980" s="44" t="str">
        <f t="array" ref="F2980">IF(B2980="","",_xlfn.XLOOKUP(B2980,'Form responses 1'!$B$2:$B$2604,'Form responses 1'!$D$2:$D$2604,""))</f>
        <v/>
      </c>
      <c r="G2980" s="44" t="str">
        <f t="array" ref="G2980">IF(B2980="","",_xlfn.XLOOKUP(B2980,'Form responses 1'!$B$2:$B$2604,'Form responses 1'!$E$2:$E$2604,""))</f>
        <v/>
      </c>
      <c r="H2980" s="44" t="str">
        <f t="array" ref="H2980">IF(B2980="","",_xlfn.XLOOKUP(B2980,'Form responses 1'!$B$2:$B$2604,'Form responses 1'!$F$2:$F$2604,""))</f>
        <v/>
      </c>
      <c r="I2980" s="44" t="str">
        <f t="array" ref="I2980">IF(B2980="","",_xlfn.XLOOKUP(B2980,'Form responses 1'!$B$2:$B$2604,'Form responses 1'!$I$2:$I$2604,""))</f>
        <v/>
      </c>
      <c r="J2980" s="44" t="str">
        <f t="array" ref="J2980">IF(B2980="","",_xlfn.XLOOKUP(B2980,'Form responses 1'!$B$2:$B$2604,'Form responses 1'!$G$2:$G$2604,""))</f>
        <v/>
      </c>
      <c r="K2980" s="56"/>
      <c r="L2980" s="58" t="str">
        <f t="shared" si="7"/>
        <v/>
      </c>
      <c r="M2980" s="49"/>
      <c r="N2980" s="49"/>
      <c r="O2980" s="49"/>
      <c r="P2980" s="49"/>
      <c r="Q2980" s="49"/>
      <c r="R2980" s="49"/>
      <c r="S2980" s="49"/>
      <c r="T2980" s="49"/>
      <c r="U2980" s="49"/>
      <c r="V2980" s="49"/>
      <c r="W2980" s="56"/>
      <c r="X2980" s="51" t="str">
        <f t="shared" si="5"/>
        <v/>
      </c>
      <c r="Y2980" s="50" t="s">
        <v>482</v>
      </c>
      <c r="Z2980" s="49">
        <f t="shared" si="6"/>
        <v>0</v>
      </c>
    </row>
    <row r="2981" ht="22.5" customHeight="1">
      <c r="B2981" s="57"/>
      <c r="C2981" s="43" t="str">
        <f t="array" ref="C2981">IF(B2981="","",_xlfn.XLOOKUP(B2981,'Form responses 1'!$B$2:$B$2604,'Form responses 1'!$A$2:$A$2604,""))</f>
        <v/>
      </c>
      <c r="D2981" s="44" t="str">
        <f t="shared" si="3"/>
        <v/>
      </c>
      <c r="E2981" s="44" t="str">
        <f t="array" ref="E2981">IF(B2981="","",_xlfn.XLOOKUP(B2981,'Form responses 1'!$B$2:$B$2604,'Form responses 1'!$C$2:$C$2604,""))</f>
        <v/>
      </c>
      <c r="F2981" s="44" t="str">
        <f t="array" ref="F2981">IF(B2981="","",_xlfn.XLOOKUP(B2981,'Form responses 1'!$B$2:$B$2604,'Form responses 1'!$D$2:$D$2604,""))</f>
        <v/>
      </c>
      <c r="G2981" s="44" t="str">
        <f t="array" ref="G2981">IF(B2981="","",_xlfn.XLOOKUP(B2981,'Form responses 1'!$B$2:$B$2604,'Form responses 1'!$E$2:$E$2604,""))</f>
        <v/>
      </c>
      <c r="H2981" s="44" t="str">
        <f t="array" ref="H2981">IF(B2981="","",_xlfn.XLOOKUP(B2981,'Form responses 1'!$B$2:$B$2604,'Form responses 1'!$F$2:$F$2604,""))</f>
        <v/>
      </c>
      <c r="I2981" s="44" t="str">
        <f t="array" ref="I2981">IF(B2981="","",_xlfn.XLOOKUP(B2981,'Form responses 1'!$B$2:$B$2604,'Form responses 1'!$I$2:$I$2604,""))</f>
        <v/>
      </c>
      <c r="J2981" s="44" t="str">
        <f t="array" ref="J2981">IF(B2981="","",_xlfn.XLOOKUP(B2981,'Form responses 1'!$B$2:$B$2604,'Form responses 1'!$G$2:$G$2604,""))</f>
        <v/>
      </c>
      <c r="K2981" s="56"/>
      <c r="L2981" s="58" t="str">
        <f t="shared" si="7"/>
        <v/>
      </c>
      <c r="M2981" s="49"/>
      <c r="N2981" s="49"/>
      <c r="O2981" s="49"/>
      <c r="P2981" s="49"/>
      <c r="Q2981" s="49"/>
      <c r="R2981" s="49"/>
      <c r="S2981" s="49"/>
      <c r="T2981" s="49"/>
      <c r="U2981" s="49"/>
      <c r="V2981" s="49"/>
      <c r="W2981" s="56"/>
      <c r="X2981" s="51" t="str">
        <f t="shared" si="5"/>
        <v/>
      </c>
      <c r="Y2981" s="50" t="s">
        <v>482</v>
      </c>
      <c r="Z2981" s="49">
        <f t="shared" si="6"/>
        <v>0</v>
      </c>
    </row>
    <row r="2982" ht="22.5" customHeight="1">
      <c r="B2982" s="57"/>
      <c r="C2982" s="43" t="str">
        <f t="array" ref="C2982">IF(B2982="","",_xlfn.XLOOKUP(B2982,'Form responses 1'!$B$2:$B$2604,'Form responses 1'!$A$2:$A$2604,""))</f>
        <v/>
      </c>
      <c r="D2982" s="44" t="str">
        <f t="shared" si="3"/>
        <v/>
      </c>
      <c r="E2982" s="44" t="str">
        <f t="array" ref="E2982">IF(B2982="","",_xlfn.XLOOKUP(B2982,'Form responses 1'!$B$2:$B$2604,'Form responses 1'!$C$2:$C$2604,""))</f>
        <v/>
      </c>
      <c r="F2982" s="44" t="str">
        <f t="array" ref="F2982">IF(B2982="","",_xlfn.XLOOKUP(B2982,'Form responses 1'!$B$2:$B$2604,'Form responses 1'!$D$2:$D$2604,""))</f>
        <v/>
      </c>
      <c r="G2982" s="44" t="str">
        <f t="array" ref="G2982">IF(B2982="","",_xlfn.XLOOKUP(B2982,'Form responses 1'!$B$2:$B$2604,'Form responses 1'!$E$2:$E$2604,""))</f>
        <v/>
      </c>
      <c r="H2982" s="44" t="str">
        <f t="array" ref="H2982">IF(B2982="","",_xlfn.XLOOKUP(B2982,'Form responses 1'!$B$2:$B$2604,'Form responses 1'!$F$2:$F$2604,""))</f>
        <v/>
      </c>
      <c r="I2982" s="44" t="str">
        <f t="array" ref="I2982">IF(B2982="","",_xlfn.XLOOKUP(B2982,'Form responses 1'!$B$2:$B$2604,'Form responses 1'!$I$2:$I$2604,""))</f>
        <v/>
      </c>
      <c r="J2982" s="44" t="str">
        <f t="array" ref="J2982">IF(B2982="","",_xlfn.XLOOKUP(B2982,'Form responses 1'!$B$2:$B$2604,'Form responses 1'!$G$2:$G$2604,""))</f>
        <v/>
      </c>
      <c r="K2982" s="56"/>
      <c r="L2982" s="58" t="str">
        <f t="shared" si="7"/>
        <v/>
      </c>
      <c r="M2982" s="49"/>
      <c r="N2982" s="49"/>
      <c r="O2982" s="49"/>
      <c r="P2982" s="49"/>
      <c r="Q2982" s="49"/>
      <c r="R2982" s="49"/>
      <c r="S2982" s="49"/>
      <c r="T2982" s="49"/>
      <c r="U2982" s="49"/>
      <c r="V2982" s="49"/>
      <c r="W2982" s="56"/>
      <c r="X2982" s="51" t="str">
        <f t="shared" si="5"/>
        <v/>
      </c>
      <c r="Y2982" s="50" t="s">
        <v>482</v>
      </c>
      <c r="Z2982" s="49">
        <f t="shared" si="6"/>
        <v>0</v>
      </c>
    </row>
    <row r="2983" ht="22.5" customHeight="1">
      <c r="B2983" s="57"/>
      <c r="C2983" s="43" t="str">
        <f t="array" ref="C2983">IF(B2983="","",_xlfn.XLOOKUP(B2983,'Form responses 1'!$B$2:$B$2604,'Form responses 1'!$A$2:$A$2604,""))</f>
        <v/>
      </c>
      <c r="D2983" s="44" t="str">
        <f t="shared" si="3"/>
        <v/>
      </c>
      <c r="E2983" s="44" t="str">
        <f t="array" ref="E2983">IF(B2983="","",_xlfn.XLOOKUP(B2983,'Form responses 1'!$B$2:$B$2604,'Form responses 1'!$C$2:$C$2604,""))</f>
        <v/>
      </c>
      <c r="F2983" s="44" t="str">
        <f t="array" ref="F2983">IF(B2983="","",_xlfn.XLOOKUP(B2983,'Form responses 1'!$B$2:$B$2604,'Form responses 1'!$D$2:$D$2604,""))</f>
        <v/>
      </c>
      <c r="G2983" s="44" t="str">
        <f t="array" ref="G2983">IF(B2983="","",_xlfn.XLOOKUP(B2983,'Form responses 1'!$B$2:$B$2604,'Form responses 1'!$E$2:$E$2604,""))</f>
        <v/>
      </c>
      <c r="H2983" s="44" t="str">
        <f t="array" ref="H2983">IF(B2983="","",_xlfn.XLOOKUP(B2983,'Form responses 1'!$B$2:$B$2604,'Form responses 1'!$F$2:$F$2604,""))</f>
        <v/>
      </c>
      <c r="I2983" s="44" t="str">
        <f t="array" ref="I2983">IF(B2983="","",_xlfn.XLOOKUP(B2983,'Form responses 1'!$B$2:$B$2604,'Form responses 1'!$I$2:$I$2604,""))</f>
        <v/>
      </c>
      <c r="J2983" s="44" t="str">
        <f t="array" ref="J2983">IF(B2983="","",_xlfn.XLOOKUP(B2983,'Form responses 1'!$B$2:$B$2604,'Form responses 1'!$G$2:$G$2604,""))</f>
        <v/>
      </c>
      <c r="K2983" s="56"/>
      <c r="L2983" s="58" t="str">
        <f t="shared" si="7"/>
        <v/>
      </c>
      <c r="M2983" s="49"/>
      <c r="N2983" s="49"/>
      <c r="O2983" s="49"/>
      <c r="P2983" s="49"/>
      <c r="Q2983" s="49"/>
      <c r="R2983" s="49"/>
      <c r="S2983" s="49"/>
      <c r="T2983" s="49"/>
      <c r="U2983" s="49"/>
      <c r="V2983" s="49"/>
      <c r="W2983" s="56"/>
      <c r="X2983" s="51" t="str">
        <f t="shared" si="5"/>
        <v/>
      </c>
      <c r="Y2983" s="50" t="s">
        <v>482</v>
      </c>
      <c r="Z2983" s="49">
        <f t="shared" si="6"/>
        <v>0</v>
      </c>
    </row>
    <row r="2984" ht="22.5" customHeight="1">
      <c r="B2984" s="57"/>
      <c r="C2984" s="43" t="str">
        <f t="array" ref="C2984">IF(B2984="","",_xlfn.XLOOKUP(B2984,'Form responses 1'!$B$2:$B$2604,'Form responses 1'!$A$2:$A$2604,""))</f>
        <v/>
      </c>
      <c r="D2984" s="44" t="str">
        <f t="shared" si="3"/>
        <v/>
      </c>
      <c r="E2984" s="44" t="str">
        <f t="array" ref="E2984">IF(B2984="","",_xlfn.XLOOKUP(B2984,'Form responses 1'!$B$2:$B$2604,'Form responses 1'!$C$2:$C$2604,""))</f>
        <v/>
      </c>
      <c r="F2984" s="44" t="str">
        <f t="array" ref="F2984">IF(B2984="","",_xlfn.XLOOKUP(B2984,'Form responses 1'!$B$2:$B$2604,'Form responses 1'!$D$2:$D$2604,""))</f>
        <v/>
      </c>
      <c r="G2984" s="44" t="str">
        <f t="array" ref="G2984">IF(B2984="","",_xlfn.XLOOKUP(B2984,'Form responses 1'!$B$2:$B$2604,'Form responses 1'!$E$2:$E$2604,""))</f>
        <v/>
      </c>
      <c r="H2984" s="44" t="str">
        <f t="array" ref="H2984">IF(B2984="","",_xlfn.XLOOKUP(B2984,'Form responses 1'!$B$2:$B$2604,'Form responses 1'!$F$2:$F$2604,""))</f>
        <v/>
      </c>
      <c r="I2984" s="44" t="str">
        <f t="array" ref="I2984">IF(B2984="","",_xlfn.XLOOKUP(B2984,'Form responses 1'!$B$2:$B$2604,'Form responses 1'!$I$2:$I$2604,""))</f>
        <v/>
      </c>
      <c r="J2984" s="44" t="str">
        <f t="array" ref="J2984">IF(B2984="","",_xlfn.XLOOKUP(B2984,'Form responses 1'!$B$2:$B$2604,'Form responses 1'!$G$2:$G$2604,""))</f>
        <v/>
      </c>
      <c r="K2984" s="56"/>
      <c r="L2984" s="58" t="str">
        <f t="shared" si="7"/>
        <v/>
      </c>
      <c r="M2984" s="49"/>
      <c r="N2984" s="49"/>
      <c r="O2984" s="49"/>
      <c r="P2984" s="49"/>
      <c r="Q2984" s="49"/>
      <c r="R2984" s="49"/>
      <c r="S2984" s="49"/>
      <c r="T2984" s="49"/>
      <c r="U2984" s="49"/>
      <c r="V2984" s="49"/>
      <c r="W2984" s="56"/>
      <c r="X2984" s="51" t="str">
        <f t="shared" si="5"/>
        <v/>
      </c>
      <c r="Y2984" s="50" t="s">
        <v>482</v>
      </c>
      <c r="Z2984" s="49">
        <f t="shared" si="6"/>
        <v>0</v>
      </c>
    </row>
    <row r="2985" ht="22.5" customHeight="1">
      <c r="B2985" s="57"/>
      <c r="C2985" s="43" t="str">
        <f t="array" ref="C2985">IF(B2985="","",_xlfn.XLOOKUP(B2985,'Form responses 1'!$B$2:$B$2604,'Form responses 1'!$A$2:$A$2604,""))</f>
        <v/>
      </c>
      <c r="D2985" s="44" t="str">
        <f t="shared" si="3"/>
        <v/>
      </c>
      <c r="E2985" s="44" t="str">
        <f t="array" ref="E2985">IF(B2985="","",_xlfn.XLOOKUP(B2985,'Form responses 1'!$B$2:$B$2604,'Form responses 1'!$C$2:$C$2604,""))</f>
        <v/>
      </c>
      <c r="F2985" s="44" t="str">
        <f t="array" ref="F2985">IF(B2985="","",_xlfn.XLOOKUP(B2985,'Form responses 1'!$B$2:$B$2604,'Form responses 1'!$D$2:$D$2604,""))</f>
        <v/>
      </c>
      <c r="G2985" s="44" t="str">
        <f t="array" ref="G2985">IF(B2985="","",_xlfn.XLOOKUP(B2985,'Form responses 1'!$B$2:$B$2604,'Form responses 1'!$E$2:$E$2604,""))</f>
        <v/>
      </c>
      <c r="H2985" s="44" t="str">
        <f t="array" ref="H2985">IF(B2985="","",_xlfn.XLOOKUP(B2985,'Form responses 1'!$B$2:$B$2604,'Form responses 1'!$F$2:$F$2604,""))</f>
        <v/>
      </c>
      <c r="I2985" s="44" t="str">
        <f t="array" ref="I2985">IF(B2985="","",_xlfn.XLOOKUP(B2985,'Form responses 1'!$B$2:$B$2604,'Form responses 1'!$I$2:$I$2604,""))</f>
        <v/>
      </c>
      <c r="J2985" s="44" t="str">
        <f t="array" ref="J2985">IF(B2985="","",_xlfn.XLOOKUP(B2985,'Form responses 1'!$B$2:$B$2604,'Form responses 1'!$G$2:$G$2604,""))</f>
        <v/>
      </c>
      <c r="K2985" s="56"/>
      <c r="L2985" s="58" t="str">
        <f t="shared" si="7"/>
        <v/>
      </c>
      <c r="M2985" s="49"/>
      <c r="N2985" s="49"/>
      <c r="O2985" s="49"/>
      <c r="P2985" s="49"/>
      <c r="Q2985" s="49"/>
      <c r="R2985" s="49"/>
      <c r="S2985" s="49"/>
      <c r="T2985" s="49"/>
      <c r="U2985" s="49"/>
      <c r="V2985" s="49"/>
      <c r="W2985" s="56"/>
      <c r="X2985" s="51" t="str">
        <f t="shared" si="5"/>
        <v/>
      </c>
      <c r="Y2985" s="50" t="s">
        <v>482</v>
      </c>
      <c r="Z2985" s="49">
        <f t="shared" si="6"/>
        <v>0</v>
      </c>
    </row>
    <row r="2986" ht="22.5" customHeight="1">
      <c r="B2986" s="57"/>
      <c r="C2986" s="43" t="str">
        <f t="array" ref="C2986">IF(B2986="","",_xlfn.XLOOKUP(B2986,'Form responses 1'!$B$2:$B$2604,'Form responses 1'!$A$2:$A$2604,""))</f>
        <v/>
      </c>
      <c r="D2986" s="44" t="str">
        <f t="shared" si="3"/>
        <v/>
      </c>
      <c r="E2986" s="44" t="str">
        <f t="array" ref="E2986">IF(B2986="","",_xlfn.XLOOKUP(B2986,'Form responses 1'!$B$2:$B$2604,'Form responses 1'!$C$2:$C$2604,""))</f>
        <v/>
      </c>
      <c r="F2986" s="44" t="str">
        <f t="array" ref="F2986">IF(B2986="","",_xlfn.XLOOKUP(B2986,'Form responses 1'!$B$2:$B$2604,'Form responses 1'!$D$2:$D$2604,""))</f>
        <v/>
      </c>
      <c r="G2986" s="44" t="str">
        <f t="array" ref="G2986">IF(B2986="","",_xlfn.XLOOKUP(B2986,'Form responses 1'!$B$2:$B$2604,'Form responses 1'!$E$2:$E$2604,""))</f>
        <v/>
      </c>
      <c r="H2986" s="44" t="str">
        <f t="array" ref="H2986">IF(B2986="","",_xlfn.XLOOKUP(B2986,'Form responses 1'!$B$2:$B$2604,'Form responses 1'!$F$2:$F$2604,""))</f>
        <v/>
      </c>
      <c r="I2986" s="44" t="str">
        <f t="array" ref="I2986">IF(B2986="","",_xlfn.XLOOKUP(B2986,'Form responses 1'!$B$2:$B$2604,'Form responses 1'!$I$2:$I$2604,""))</f>
        <v/>
      </c>
      <c r="J2986" s="44" t="str">
        <f t="array" ref="J2986">IF(B2986="","",_xlfn.XLOOKUP(B2986,'Form responses 1'!$B$2:$B$2604,'Form responses 1'!$G$2:$G$2604,""))</f>
        <v/>
      </c>
      <c r="K2986" s="56"/>
      <c r="L2986" s="58" t="str">
        <f t="shared" si="7"/>
        <v/>
      </c>
      <c r="M2986" s="49"/>
      <c r="N2986" s="49"/>
      <c r="O2986" s="49"/>
      <c r="P2986" s="49"/>
      <c r="Q2986" s="49"/>
      <c r="R2986" s="49"/>
      <c r="S2986" s="49"/>
      <c r="T2986" s="49"/>
      <c r="U2986" s="49"/>
      <c r="V2986" s="49"/>
      <c r="W2986" s="56"/>
      <c r="X2986" s="51" t="str">
        <f t="shared" si="5"/>
        <v/>
      </c>
      <c r="Y2986" s="50" t="s">
        <v>482</v>
      </c>
      <c r="Z2986" s="49">
        <f t="shared" si="6"/>
        <v>0</v>
      </c>
    </row>
    <row r="2987" ht="22.5" customHeight="1">
      <c r="B2987" s="57"/>
      <c r="C2987" s="43" t="str">
        <f t="array" ref="C2987">IF(B2987="","",_xlfn.XLOOKUP(B2987,'Form responses 1'!$B$2:$B$2604,'Form responses 1'!$A$2:$A$2604,""))</f>
        <v/>
      </c>
      <c r="D2987" s="44" t="str">
        <f t="shared" si="3"/>
        <v/>
      </c>
      <c r="E2987" s="44" t="str">
        <f t="array" ref="E2987">IF(B2987="","",_xlfn.XLOOKUP(B2987,'Form responses 1'!$B$2:$B$2604,'Form responses 1'!$C$2:$C$2604,""))</f>
        <v/>
      </c>
      <c r="F2987" s="44" t="str">
        <f t="array" ref="F2987">IF(B2987="","",_xlfn.XLOOKUP(B2987,'Form responses 1'!$B$2:$B$2604,'Form responses 1'!$D$2:$D$2604,""))</f>
        <v/>
      </c>
      <c r="G2987" s="44" t="str">
        <f t="array" ref="G2987">IF(B2987="","",_xlfn.XLOOKUP(B2987,'Form responses 1'!$B$2:$B$2604,'Form responses 1'!$E$2:$E$2604,""))</f>
        <v/>
      </c>
      <c r="H2987" s="44" t="str">
        <f t="array" ref="H2987">IF(B2987="","",_xlfn.XLOOKUP(B2987,'Form responses 1'!$B$2:$B$2604,'Form responses 1'!$F$2:$F$2604,""))</f>
        <v/>
      </c>
      <c r="I2987" s="44" t="str">
        <f t="array" ref="I2987">IF(B2987="","",_xlfn.XLOOKUP(B2987,'Form responses 1'!$B$2:$B$2604,'Form responses 1'!$I$2:$I$2604,""))</f>
        <v/>
      </c>
      <c r="J2987" s="44" t="str">
        <f t="array" ref="J2987">IF(B2987="","",_xlfn.XLOOKUP(B2987,'Form responses 1'!$B$2:$B$2604,'Form responses 1'!$G$2:$G$2604,""))</f>
        <v/>
      </c>
      <c r="K2987" s="56"/>
      <c r="L2987" s="58" t="str">
        <f t="shared" si="7"/>
        <v/>
      </c>
      <c r="M2987" s="49"/>
      <c r="N2987" s="49"/>
      <c r="O2987" s="49"/>
      <c r="P2987" s="49"/>
      <c r="Q2987" s="49"/>
      <c r="R2987" s="49"/>
      <c r="S2987" s="49"/>
      <c r="T2987" s="49"/>
      <c r="U2987" s="49"/>
      <c r="V2987" s="49"/>
      <c r="W2987" s="56"/>
      <c r="X2987" s="51" t="str">
        <f t="shared" si="5"/>
        <v/>
      </c>
      <c r="Y2987" s="50" t="s">
        <v>482</v>
      </c>
      <c r="Z2987" s="49">
        <f t="shared" si="6"/>
        <v>0</v>
      </c>
    </row>
    <row r="2988" ht="22.5" customHeight="1">
      <c r="B2988" s="57"/>
      <c r="C2988" s="43" t="str">
        <f t="array" ref="C2988">IF(B2988="","",_xlfn.XLOOKUP(B2988,'Form responses 1'!$B$2:$B$2604,'Form responses 1'!$A$2:$A$2604,""))</f>
        <v/>
      </c>
      <c r="D2988" s="44" t="str">
        <f t="shared" si="3"/>
        <v/>
      </c>
      <c r="E2988" s="44" t="str">
        <f t="array" ref="E2988">IF(B2988="","",_xlfn.XLOOKUP(B2988,'Form responses 1'!$B$2:$B$2604,'Form responses 1'!$C$2:$C$2604,""))</f>
        <v/>
      </c>
      <c r="F2988" s="44" t="str">
        <f t="array" ref="F2988">IF(B2988="","",_xlfn.XLOOKUP(B2988,'Form responses 1'!$B$2:$B$2604,'Form responses 1'!$D$2:$D$2604,""))</f>
        <v/>
      </c>
      <c r="G2988" s="44" t="str">
        <f t="array" ref="G2988">IF(B2988="","",_xlfn.XLOOKUP(B2988,'Form responses 1'!$B$2:$B$2604,'Form responses 1'!$E$2:$E$2604,""))</f>
        <v/>
      </c>
      <c r="H2988" s="44" t="str">
        <f t="array" ref="H2988">IF(B2988="","",_xlfn.XLOOKUP(B2988,'Form responses 1'!$B$2:$B$2604,'Form responses 1'!$F$2:$F$2604,""))</f>
        <v/>
      </c>
      <c r="I2988" s="44" t="str">
        <f t="array" ref="I2988">IF(B2988="","",_xlfn.XLOOKUP(B2988,'Form responses 1'!$B$2:$B$2604,'Form responses 1'!$I$2:$I$2604,""))</f>
        <v/>
      </c>
      <c r="J2988" s="44" t="str">
        <f t="array" ref="J2988">IF(B2988="","",_xlfn.XLOOKUP(B2988,'Form responses 1'!$B$2:$B$2604,'Form responses 1'!$G$2:$G$2604,""))</f>
        <v/>
      </c>
      <c r="K2988" s="56"/>
      <c r="L2988" s="58" t="str">
        <f t="shared" si="7"/>
        <v/>
      </c>
      <c r="M2988" s="49"/>
      <c r="N2988" s="49"/>
      <c r="O2988" s="49"/>
      <c r="P2988" s="49"/>
      <c r="Q2988" s="49"/>
      <c r="R2988" s="49"/>
      <c r="S2988" s="49"/>
      <c r="T2988" s="49"/>
      <c r="U2988" s="49"/>
      <c r="V2988" s="49"/>
      <c r="W2988" s="56"/>
      <c r="X2988" s="51" t="str">
        <f t="shared" si="5"/>
        <v/>
      </c>
      <c r="Y2988" s="50" t="s">
        <v>482</v>
      </c>
      <c r="Z2988" s="49">
        <f t="shared" si="6"/>
        <v>0</v>
      </c>
    </row>
    <row r="2989" ht="22.5" customHeight="1">
      <c r="B2989" s="57"/>
      <c r="C2989" s="43" t="str">
        <f t="array" ref="C2989">IF(B2989="","",_xlfn.XLOOKUP(B2989,'Form responses 1'!$B$2:$B$2604,'Form responses 1'!$A$2:$A$2604,""))</f>
        <v/>
      </c>
      <c r="D2989" s="44" t="str">
        <f t="shared" si="3"/>
        <v/>
      </c>
      <c r="E2989" s="44" t="str">
        <f t="array" ref="E2989">IF(B2989="","",_xlfn.XLOOKUP(B2989,'Form responses 1'!$B$2:$B$2604,'Form responses 1'!$C$2:$C$2604,""))</f>
        <v/>
      </c>
      <c r="F2989" s="44" t="str">
        <f t="array" ref="F2989">IF(B2989="","",_xlfn.XLOOKUP(B2989,'Form responses 1'!$B$2:$B$2604,'Form responses 1'!$D$2:$D$2604,""))</f>
        <v/>
      </c>
      <c r="G2989" s="44" t="str">
        <f t="array" ref="G2989">IF(B2989="","",_xlfn.XLOOKUP(B2989,'Form responses 1'!$B$2:$B$2604,'Form responses 1'!$E$2:$E$2604,""))</f>
        <v/>
      </c>
      <c r="H2989" s="44" t="str">
        <f t="array" ref="H2989">IF(B2989="","",_xlfn.XLOOKUP(B2989,'Form responses 1'!$B$2:$B$2604,'Form responses 1'!$F$2:$F$2604,""))</f>
        <v/>
      </c>
      <c r="I2989" s="44" t="str">
        <f t="array" ref="I2989">IF(B2989="","",_xlfn.XLOOKUP(B2989,'Form responses 1'!$B$2:$B$2604,'Form responses 1'!$I$2:$I$2604,""))</f>
        <v/>
      </c>
      <c r="J2989" s="44" t="str">
        <f t="array" ref="J2989">IF(B2989="","",_xlfn.XLOOKUP(B2989,'Form responses 1'!$B$2:$B$2604,'Form responses 1'!$G$2:$G$2604,""))</f>
        <v/>
      </c>
      <c r="K2989" s="56"/>
      <c r="L2989" s="58" t="str">
        <f t="shared" si="7"/>
        <v/>
      </c>
      <c r="M2989" s="49"/>
      <c r="N2989" s="49"/>
      <c r="O2989" s="49"/>
      <c r="P2989" s="49"/>
      <c r="Q2989" s="49"/>
      <c r="R2989" s="49"/>
      <c r="S2989" s="49"/>
      <c r="T2989" s="49"/>
      <c r="U2989" s="49"/>
      <c r="V2989" s="49"/>
      <c r="W2989" s="56"/>
      <c r="X2989" s="51" t="str">
        <f t="shared" si="5"/>
        <v/>
      </c>
      <c r="Y2989" s="50" t="s">
        <v>482</v>
      </c>
      <c r="Z2989" s="49">
        <f t="shared" si="6"/>
        <v>0</v>
      </c>
    </row>
    <row r="2990" ht="22.5" customHeight="1">
      <c r="B2990" s="57"/>
      <c r="C2990" s="43" t="str">
        <f t="array" ref="C2990">IF(B2990="","",_xlfn.XLOOKUP(B2990,'Form responses 1'!$B$2:$B$2604,'Form responses 1'!$A$2:$A$2604,""))</f>
        <v/>
      </c>
      <c r="D2990" s="44" t="str">
        <f t="shared" si="3"/>
        <v/>
      </c>
      <c r="E2990" s="44" t="str">
        <f t="array" ref="E2990">IF(B2990="","",_xlfn.XLOOKUP(B2990,'Form responses 1'!$B$2:$B$2604,'Form responses 1'!$C$2:$C$2604,""))</f>
        <v/>
      </c>
      <c r="F2990" s="44" t="str">
        <f t="array" ref="F2990">IF(B2990="","",_xlfn.XLOOKUP(B2990,'Form responses 1'!$B$2:$B$2604,'Form responses 1'!$D$2:$D$2604,""))</f>
        <v/>
      </c>
      <c r="G2990" s="44" t="str">
        <f t="array" ref="G2990">IF(B2990="","",_xlfn.XLOOKUP(B2990,'Form responses 1'!$B$2:$B$2604,'Form responses 1'!$E$2:$E$2604,""))</f>
        <v/>
      </c>
      <c r="H2990" s="44" t="str">
        <f t="array" ref="H2990">IF(B2990="","",_xlfn.XLOOKUP(B2990,'Form responses 1'!$B$2:$B$2604,'Form responses 1'!$F$2:$F$2604,""))</f>
        <v/>
      </c>
      <c r="I2990" s="44" t="str">
        <f t="array" ref="I2990">IF(B2990="","",_xlfn.XLOOKUP(B2990,'Form responses 1'!$B$2:$B$2604,'Form responses 1'!$I$2:$I$2604,""))</f>
        <v/>
      </c>
      <c r="J2990" s="44" t="str">
        <f t="array" ref="J2990">IF(B2990="","",_xlfn.XLOOKUP(B2990,'Form responses 1'!$B$2:$B$2604,'Form responses 1'!$G$2:$G$2604,""))</f>
        <v/>
      </c>
      <c r="K2990" s="56"/>
      <c r="L2990" s="58" t="str">
        <f t="shared" si="7"/>
        <v/>
      </c>
      <c r="M2990" s="49"/>
      <c r="N2990" s="49"/>
      <c r="O2990" s="49"/>
      <c r="P2990" s="49"/>
      <c r="Q2990" s="49"/>
      <c r="R2990" s="49"/>
      <c r="S2990" s="49"/>
      <c r="T2990" s="49"/>
      <c r="U2990" s="49"/>
      <c r="V2990" s="49"/>
      <c r="W2990" s="56"/>
      <c r="X2990" s="51" t="str">
        <f t="shared" si="5"/>
        <v/>
      </c>
      <c r="Y2990" s="50" t="s">
        <v>482</v>
      </c>
      <c r="Z2990" s="49">
        <f t="shared" si="6"/>
        <v>0</v>
      </c>
    </row>
    <row r="2991" ht="22.5" customHeight="1">
      <c r="B2991" s="57"/>
      <c r="C2991" s="43" t="str">
        <f t="array" ref="C2991">IF(B2991="","",_xlfn.XLOOKUP(B2991,'Form responses 1'!$B$2:$B$2604,'Form responses 1'!$A$2:$A$2604,""))</f>
        <v/>
      </c>
      <c r="D2991" s="44" t="str">
        <f t="shared" si="3"/>
        <v/>
      </c>
      <c r="E2991" s="44" t="str">
        <f t="array" ref="E2991">IF(B2991="","",_xlfn.XLOOKUP(B2991,'Form responses 1'!$B$2:$B$2604,'Form responses 1'!$C$2:$C$2604,""))</f>
        <v/>
      </c>
      <c r="F2991" s="44" t="str">
        <f t="array" ref="F2991">IF(B2991="","",_xlfn.XLOOKUP(B2991,'Form responses 1'!$B$2:$B$2604,'Form responses 1'!$D$2:$D$2604,""))</f>
        <v/>
      </c>
      <c r="G2991" s="44" t="str">
        <f t="array" ref="G2991">IF(B2991="","",_xlfn.XLOOKUP(B2991,'Form responses 1'!$B$2:$B$2604,'Form responses 1'!$E$2:$E$2604,""))</f>
        <v/>
      </c>
      <c r="H2991" s="44" t="str">
        <f t="array" ref="H2991">IF(B2991="","",_xlfn.XLOOKUP(B2991,'Form responses 1'!$B$2:$B$2604,'Form responses 1'!$F$2:$F$2604,""))</f>
        <v/>
      </c>
      <c r="I2991" s="44" t="str">
        <f t="array" ref="I2991">IF(B2991="","",_xlfn.XLOOKUP(B2991,'Form responses 1'!$B$2:$B$2604,'Form responses 1'!$I$2:$I$2604,""))</f>
        <v/>
      </c>
      <c r="J2991" s="44" t="str">
        <f t="array" ref="J2991">IF(B2991="","",_xlfn.XLOOKUP(B2991,'Form responses 1'!$B$2:$B$2604,'Form responses 1'!$G$2:$G$2604,""))</f>
        <v/>
      </c>
      <c r="K2991" s="56"/>
      <c r="L2991" s="58" t="str">
        <f t="shared" si="7"/>
        <v/>
      </c>
      <c r="M2991" s="49"/>
      <c r="N2991" s="49"/>
      <c r="O2991" s="49"/>
      <c r="P2991" s="49"/>
      <c r="Q2991" s="49"/>
      <c r="R2991" s="49"/>
      <c r="S2991" s="49"/>
      <c r="T2991" s="49"/>
      <c r="U2991" s="49"/>
      <c r="V2991" s="49"/>
      <c r="W2991" s="56"/>
      <c r="X2991" s="51" t="str">
        <f t="shared" si="5"/>
        <v/>
      </c>
      <c r="Y2991" s="50" t="s">
        <v>482</v>
      </c>
      <c r="Z2991" s="49">
        <f t="shared" si="6"/>
        <v>0</v>
      </c>
    </row>
    <row r="2992" ht="22.5" customHeight="1">
      <c r="B2992" s="57"/>
      <c r="C2992" s="43" t="str">
        <f t="array" ref="C2992">IF(B2992="","",_xlfn.XLOOKUP(B2992,'Form responses 1'!$B$2:$B$2604,'Form responses 1'!$A$2:$A$2604,""))</f>
        <v/>
      </c>
      <c r="D2992" s="44" t="str">
        <f t="shared" si="3"/>
        <v/>
      </c>
      <c r="E2992" s="44" t="str">
        <f t="array" ref="E2992">IF(B2992="","",_xlfn.XLOOKUP(B2992,'Form responses 1'!$B$2:$B$2604,'Form responses 1'!$C$2:$C$2604,""))</f>
        <v/>
      </c>
      <c r="F2992" s="44" t="str">
        <f t="array" ref="F2992">IF(B2992="","",_xlfn.XLOOKUP(B2992,'Form responses 1'!$B$2:$B$2604,'Form responses 1'!$D$2:$D$2604,""))</f>
        <v/>
      </c>
      <c r="G2992" s="44" t="str">
        <f t="array" ref="G2992">IF(B2992="","",_xlfn.XLOOKUP(B2992,'Form responses 1'!$B$2:$B$2604,'Form responses 1'!$E$2:$E$2604,""))</f>
        <v/>
      </c>
      <c r="H2992" s="44" t="str">
        <f t="array" ref="H2992">IF(B2992="","",_xlfn.XLOOKUP(B2992,'Form responses 1'!$B$2:$B$2604,'Form responses 1'!$F$2:$F$2604,""))</f>
        <v/>
      </c>
      <c r="I2992" s="44" t="str">
        <f t="array" ref="I2992">IF(B2992="","",_xlfn.XLOOKUP(B2992,'Form responses 1'!$B$2:$B$2604,'Form responses 1'!$I$2:$I$2604,""))</f>
        <v/>
      </c>
      <c r="J2992" s="44" t="str">
        <f t="array" ref="J2992">IF(B2992="","",_xlfn.XLOOKUP(B2992,'Form responses 1'!$B$2:$B$2604,'Form responses 1'!$G$2:$G$2604,""))</f>
        <v/>
      </c>
      <c r="K2992" s="56"/>
      <c r="L2992" s="58" t="str">
        <f t="shared" si="7"/>
        <v/>
      </c>
      <c r="M2992" s="49"/>
      <c r="N2992" s="49"/>
      <c r="O2992" s="49"/>
      <c r="P2992" s="49"/>
      <c r="Q2992" s="49"/>
      <c r="R2992" s="49"/>
      <c r="S2992" s="49"/>
      <c r="T2992" s="49"/>
      <c r="U2992" s="49"/>
      <c r="V2992" s="49"/>
      <c r="W2992" s="56"/>
      <c r="X2992" s="51" t="str">
        <f t="shared" si="5"/>
        <v/>
      </c>
      <c r="Y2992" s="50" t="s">
        <v>482</v>
      </c>
      <c r="Z2992" s="49">
        <f t="shared" si="6"/>
        <v>0</v>
      </c>
    </row>
    <row r="2993" ht="22.5" customHeight="1">
      <c r="B2993" s="57"/>
      <c r="C2993" s="43" t="str">
        <f t="array" ref="C2993">IF(B2993="","",_xlfn.XLOOKUP(B2993,'Form responses 1'!$B$2:$B$2604,'Form responses 1'!$A$2:$A$2604,""))</f>
        <v/>
      </c>
      <c r="D2993" s="44" t="str">
        <f t="shared" si="3"/>
        <v/>
      </c>
      <c r="E2993" s="44" t="str">
        <f t="array" ref="E2993">IF(B2993="","",_xlfn.XLOOKUP(B2993,'Form responses 1'!$B$2:$B$2604,'Form responses 1'!$C$2:$C$2604,""))</f>
        <v/>
      </c>
      <c r="F2993" s="44" t="str">
        <f t="array" ref="F2993">IF(B2993="","",_xlfn.XLOOKUP(B2993,'Form responses 1'!$B$2:$B$2604,'Form responses 1'!$D$2:$D$2604,""))</f>
        <v/>
      </c>
      <c r="G2993" s="44" t="str">
        <f t="array" ref="G2993">IF(B2993="","",_xlfn.XLOOKUP(B2993,'Form responses 1'!$B$2:$B$2604,'Form responses 1'!$E$2:$E$2604,""))</f>
        <v/>
      </c>
      <c r="H2993" s="44" t="str">
        <f t="array" ref="H2993">IF(B2993="","",_xlfn.XLOOKUP(B2993,'Form responses 1'!$B$2:$B$2604,'Form responses 1'!$F$2:$F$2604,""))</f>
        <v/>
      </c>
      <c r="I2993" s="44" t="str">
        <f t="array" ref="I2993">IF(B2993="","",_xlfn.XLOOKUP(B2993,'Form responses 1'!$B$2:$B$2604,'Form responses 1'!$I$2:$I$2604,""))</f>
        <v/>
      </c>
      <c r="J2993" s="44" t="str">
        <f t="array" ref="J2993">IF(B2993="","",_xlfn.XLOOKUP(B2993,'Form responses 1'!$B$2:$B$2604,'Form responses 1'!$G$2:$G$2604,""))</f>
        <v/>
      </c>
      <c r="K2993" s="56"/>
      <c r="L2993" s="58" t="str">
        <f t="shared" si="7"/>
        <v/>
      </c>
      <c r="M2993" s="49"/>
      <c r="N2993" s="49"/>
      <c r="O2993" s="49"/>
      <c r="P2993" s="49"/>
      <c r="Q2993" s="49"/>
      <c r="R2993" s="49"/>
      <c r="S2993" s="49"/>
      <c r="T2993" s="49"/>
      <c r="U2993" s="49"/>
      <c r="V2993" s="49"/>
      <c r="W2993" s="56"/>
      <c r="X2993" s="51" t="str">
        <f t="shared" si="5"/>
        <v/>
      </c>
      <c r="Y2993" s="50" t="s">
        <v>482</v>
      </c>
      <c r="Z2993" s="49">
        <f t="shared" si="6"/>
        <v>0</v>
      </c>
    </row>
    <row r="2994" ht="22.5" customHeight="1">
      <c r="B2994" s="57"/>
      <c r="C2994" s="43" t="str">
        <f t="array" ref="C2994">IF(B2994="","",_xlfn.XLOOKUP(B2994,'Form responses 1'!$B$2:$B$2604,'Form responses 1'!$A$2:$A$2604,""))</f>
        <v/>
      </c>
      <c r="D2994" s="44" t="str">
        <f t="shared" si="3"/>
        <v/>
      </c>
      <c r="E2994" s="44" t="str">
        <f t="array" ref="E2994">IF(B2994="","",_xlfn.XLOOKUP(B2994,'Form responses 1'!$B$2:$B$2604,'Form responses 1'!$C$2:$C$2604,""))</f>
        <v/>
      </c>
      <c r="F2994" s="44" t="str">
        <f t="array" ref="F2994">IF(B2994="","",_xlfn.XLOOKUP(B2994,'Form responses 1'!$B$2:$B$2604,'Form responses 1'!$D$2:$D$2604,""))</f>
        <v/>
      </c>
      <c r="G2994" s="44" t="str">
        <f t="array" ref="G2994">IF(B2994="","",_xlfn.XLOOKUP(B2994,'Form responses 1'!$B$2:$B$2604,'Form responses 1'!$E$2:$E$2604,""))</f>
        <v/>
      </c>
      <c r="H2994" s="44" t="str">
        <f t="array" ref="H2994">IF(B2994="","",_xlfn.XLOOKUP(B2994,'Form responses 1'!$B$2:$B$2604,'Form responses 1'!$F$2:$F$2604,""))</f>
        <v/>
      </c>
      <c r="I2994" s="44" t="str">
        <f t="array" ref="I2994">IF(B2994="","",_xlfn.XLOOKUP(B2994,'Form responses 1'!$B$2:$B$2604,'Form responses 1'!$I$2:$I$2604,""))</f>
        <v/>
      </c>
      <c r="J2994" s="44" t="str">
        <f t="array" ref="J2994">IF(B2994="","",_xlfn.XLOOKUP(B2994,'Form responses 1'!$B$2:$B$2604,'Form responses 1'!$G$2:$G$2604,""))</f>
        <v/>
      </c>
      <c r="K2994" s="56"/>
      <c r="L2994" s="58" t="str">
        <f t="shared" si="7"/>
        <v/>
      </c>
      <c r="M2994" s="49"/>
      <c r="N2994" s="49"/>
      <c r="O2994" s="49"/>
      <c r="P2994" s="49"/>
      <c r="Q2994" s="49"/>
      <c r="R2994" s="49"/>
      <c r="S2994" s="49"/>
      <c r="T2994" s="49"/>
      <c r="U2994" s="49"/>
      <c r="V2994" s="49"/>
      <c r="W2994" s="56"/>
      <c r="X2994" s="51" t="str">
        <f t="shared" si="5"/>
        <v/>
      </c>
      <c r="Y2994" s="50" t="s">
        <v>482</v>
      </c>
      <c r="Z2994" s="49">
        <f t="shared" si="6"/>
        <v>0</v>
      </c>
    </row>
    <row r="2995" ht="22.5" customHeight="1">
      <c r="B2995" s="57"/>
      <c r="C2995" s="43" t="str">
        <f t="array" ref="C2995">IF(B2995="","",_xlfn.XLOOKUP(B2995,'Form responses 1'!$B$2:$B$2604,'Form responses 1'!$A$2:$A$2604,""))</f>
        <v/>
      </c>
      <c r="D2995" s="44" t="str">
        <f t="shared" si="3"/>
        <v/>
      </c>
      <c r="E2995" s="44" t="str">
        <f t="array" ref="E2995">IF(B2995="","",_xlfn.XLOOKUP(B2995,'Form responses 1'!$B$2:$B$2604,'Form responses 1'!$C$2:$C$2604,""))</f>
        <v/>
      </c>
      <c r="F2995" s="44" t="str">
        <f t="array" ref="F2995">IF(B2995="","",_xlfn.XLOOKUP(B2995,'Form responses 1'!$B$2:$B$2604,'Form responses 1'!$D$2:$D$2604,""))</f>
        <v/>
      </c>
      <c r="G2995" s="44" t="str">
        <f t="array" ref="G2995">IF(B2995="","",_xlfn.XLOOKUP(B2995,'Form responses 1'!$B$2:$B$2604,'Form responses 1'!$E$2:$E$2604,""))</f>
        <v/>
      </c>
      <c r="H2995" s="44" t="str">
        <f t="array" ref="H2995">IF(B2995="","",_xlfn.XLOOKUP(B2995,'Form responses 1'!$B$2:$B$2604,'Form responses 1'!$F$2:$F$2604,""))</f>
        <v/>
      </c>
      <c r="I2995" s="44" t="str">
        <f t="array" ref="I2995">IF(B2995="","",_xlfn.XLOOKUP(B2995,'Form responses 1'!$B$2:$B$2604,'Form responses 1'!$I$2:$I$2604,""))</f>
        <v/>
      </c>
      <c r="J2995" s="44" t="str">
        <f t="array" ref="J2995">IF(B2995="","",_xlfn.XLOOKUP(B2995,'Form responses 1'!$B$2:$B$2604,'Form responses 1'!$G$2:$G$2604,""))</f>
        <v/>
      </c>
      <c r="K2995" s="56"/>
      <c r="L2995" s="58" t="str">
        <f t="shared" si="7"/>
        <v/>
      </c>
      <c r="M2995" s="49"/>
      <c r="N2995" s="49"/>
      <c r="O2995" s="49"/>
      <c r="P2995" s="49"/>
      <c r="Q2995" s="49"/>
      <c r="R2995" s="49"/>
      <c r="S2995" s="49"/>
      <c r="T2995" s="49"/>
      <c r="U2995" s="49"/>
      <c r="V2995" s="49"/>
      <c r="W2995" s="56"/>
      <c r="X2995" s="51" t="str">
        <f t="shared" si="5"/>
        <v/>
      </c>
      <c r="Y2995" s="50" t="s">
        <v>482</v>
      </c>
      <c r="Z2995" s="49">
        <f t="shared" si="6"/>
        <v>0</v>
      </c>
    </row>
    <row r="2996" ht="22.5" customHeight="1">
      <c r="B2996" s="57"/>
      <c r="C2996" s="43" t="str">
        <f t="array" ref="C2996">IF(B2996="","",_xlfn.XLOOKUP(B2996,'Form responses 1'!$B$2:$B$2604,'Form responses 1'!$A$2:$A$2604,""))</f>
        <v/>
      </c>
      <c r="D2996" s="44" t="str">
        <f t="shared" si="3"/>
        <v/>
      </c>
      <c r="E2996" s="44" t="str">
        <f t="array" ref="E2996">IF(B2996="","",_xlfn.XLOOKUP(B2996,'Form responses 1'!$B$2:$B$2604,'Form responses 1'!$C$2:$C$2604,""))</f>
        <v/>
      </c>
      <c r="F2996" s="44" t="str">
        <f t="array" ref="F2996">IF(B2996="","",_xlfn.XLOOKUP(B2996,'Form responses 1'!$B$2:$B$2604,'Form responses 1'!$D$2:$D$2604,""))</f>
        <v/>
      </c>
      <c r="G2996" s="44" t="str">
        <f t="array" ref="G2996">IF(B2996="","",_xlfn.XLOOKUP(B2996,'Form responses 1'!$B$2:$B$2604,'Form responses 1'!$E$2:$E$2604,""))</f>
        <v/>
      </c>
      <c r="H2996" s="44" t="str">
        <f t="array" ref="H2996">IF(B2996="","",_xlfn.XLOOKUP(B2996,'Form responses 1'!$B$2:$B$2604,'Form responses 1'!$F$2:$F$2604,""))</f>
        <v/>
      </c>
      <c r="I2996" s="44" t="str">
        <f t="array" ref="I2996">IF(B2996="","",_xlfn.XLOOKUP(B2996,'Form responses 1'!$B$2:$B$2604,'Form responses 1'!$I$2:$I$2604,""))</f>
        <v/>
      </c>
      <c r="J2996" s="44" t="str">
        <f t="array" ref="J2996">IF(B2996="","",_xlfn.XLOOKUP(B2996,'Form responses 1'!$B$2:$B$2604,'Form responses 1'!$G$2:$G$2604,""))</f>
        <v/>
      </c>
      <c r="K2996" s="56"/>
      <c r="L2996" s="58" t="str">
        <f t="shared" si="7"/>
        <v/>
      </c>
      <c r="M2996" s="49"/>
      <c r="N2996" s="49"/>
      <c r="O2996" s="49"/>
      <c r="P2996" s="49"/>
      <c r="Q2996" s="49"/>
      <c r="R2996" s="49"/>
      <c r="S2996" s="49"/>
      <c r="T2996" s="49"/>
      <c r="U2996" s="49"/>
      <c r="V2996" s="49"/>
      <c r="W2996" s="56"/>
      <c r="X2996" s="51" t="str">
        <f t="shared" si="5"/>
        <v/>
      </c>
      <c r="Y2996" s="50" t="s">
        <v>482</v>
      </c>
      <c r="Z2996" s="49">
        <f t="shared" si="6"/>
        <v>0</v>
      </c>
    </row>
    <row r="2997" ht="22.5" customHeight="1">
      <c r="B2997" s="57"/>
      <c r="C2997" s="43" t="str">
        <f t="array" ref="C2997">IF(B2997="","",_xlfn.XLOOKUP(B2997,'Form responses 1'!$B$2:$B$2604,'Form responses 1'!$A$2:$A$2604,""))</f>
        <v/>
      </c>
      <c r="D2997" s="44" t="str">
        <f t="shared" si="3"/>
        <v/>
      </c>
      <c r="E2997" s="44" t="str">
        <f t="array" ref="E2997">IF(B2997="","",_xlfn.XLOOKUP(B2997,'Form responses 1'!$B$2:$B$2604,'Form responses 1'!$C$2:$C$2604,""))</f>
        <v/>
      </c>
      <c r="F2997" s="44" t="str">
        <f t="array" ref="F2997">IF(B2997="","",_xlfn.XLOOKUP(B2997,'Form responses 1'!$B$2:$B$2604,'Form responses 1'!$D$2:$D$2604,""))</f>
        <v/>
      </c>
      <c r="G2997" s="44" t="str">
        <f t="array" ref="G2997">IF(B2997="","",_xlfn.XLOOKUP(B2997,'Form responses 1'!$B$2:$B$2604,'Form responses 1'!$E$2:$E$2604,""))</f>
        <v/>
      </c>
      <c r="H2997" s="44" t="str">
        <f t="array" ref="H2997">IF(B2997="","",_xlfn.XLOOKUP(B2997,'Form responses 1'!$B$2:$B$2604,'Form responses 1'!$F$2:$F$2604,""))</f>
        <v/>
      </c>
      <c r="I2997" s="44" t="str">
        <f t="array" ref="I2997">IF(B2997="","",_xlfn.XLOOKUP(B2997,'Form responses 1'!$B$2:$B$2604,'Form responses 1'!$I$2:$I$2604,""))</f>
        <v/>
      </c>
      <c r="J2997" s="44" t="str">
        <f t="array" ref="J2997">IF(B2997="","",_xlfn.XLOOKUP(B2997,'Form responses 1'!$B$2:$B$2604,'Form responses 1'!$G$2:$G$2604,""))</f>
        <v/>
      </c>
      <c r="K2997" s="56"/>
      <c r="L2997" s="58" t="str">
        <f t="shared" si="7"/>
        <v/>
      </c>
      <c r="M2997" s="49"/>
      <c r="N2997" s="49"/>
      <c r="O2997" s="49"/>
      <c r="P2997" s="49"/>
      <c r="Q2997" s="49"/>
      <c r="R2997" s="49"/>
      <c r="S2997" s="49"/>
      <c r="T2997" s="49"/>
      <c r="U2997" s="49"/>
      <c r="V2997" s="49"/>
      <c r="W2997" s="56"/>
      <c r="X2997" s="51" t="str">
        <f t="shared" si="5"/>
        <v/>
      </c>
      <c r="Y2997" s="50" t="s">
        <v>482</v>
      </c>
      <c r="Z2997" s="49">
        <f t="shared" si="6"/>
        <v>0</v>
      </c>
    </row>
    <row r="2998" ht="22.5" customHeight="1">
      <c r="B2998" s="57"/>
      <c r="C2998" s="43" t="str">
        <f t="array" ref="C2998">IF(B2998="","",_xlfn.XLOOKUP(B2998,'Form responses 1'!$B$2:$B$2604,'Form responses 1'!$A$2:$A$2604,""))</f>
        <v/>
      </c>
      <c r="D2998" s="44" t="str">
        <f t="shared" si="3"/>
        <v/>
      </c>
      <c r="E2998" s="44" t="str">
        <f t="array" ref="E2998">IF(B2998="","",_xlfn.XLOOKUP(B2998,'Form responses 1'!$B$2:$B$2604,'Form responses 1'!$C$2:$C$2604,""))</f>
        <v/>
      </c>
      <c r="F2998" s="44" t="str">
        <f t="array" ref="F2998">IF(B2998="","",_xlfn.XLOOKUP(B2998,'Form responses 1'!$B$2:$B$2604,'Form responses 1'!$D$2:$D$2604,""))</f>
        <v/>
      </c>
      <c r="G2998" s="44" t="str">
        <f t="array" ref="G2998">IF(B2998="","",_xlfn.XLOOKUP(B2998,'Form responses 1'!$B$2:$B$2604,'Form responses 1'!$E$2:$E$2604,""))</f>
        <v/>
      </c>
      <c r="H2998" s="44" t="str">
        <f t="array" ref="H2998">IF(B2998="","",_xlfn.XLOOKUP(B2998,'Form responses 1'!$B$2:$B$2604,'Form responses 1'!$F$2:$F$2604,""))</f>
        <v/>
      </c>
      <c r="I2998" s="44" t="str">
        <f t="array" ref="I2998">IF(B2998="","",_xlfn.XLOOKUP(B2998,'Form responses 1'!$B$2:$B$2604,'Form responses 1'!$I$2:$I$2604,""))</f>
        <v/>
      </c>
      <c r="J2998" s="44" t="str">
        <f t="array" ref="J2998">IF(B2998="","",_xlfn.XLOOKUP(B2998,'Form responses 1'!$B$2:$B$2604,'Form responses 1'!$G$2:$G$2604,""))</f>
        <v/>
      </c>
      <c r="K2998" s="56"/>
      <c r="L2998" s="58" t="str">
        <f t="shared" si="7"/>
        <v/>
      </c>
      <c r="M2998" s="49"/>
      <c r="N2998" s="49"/>
      <c r="O2998" s="49"/>
      <c r="P2998" s="49"/>
      <c r="Q2998" s="49"/>
      <c r="R2998" s="49"/>
      <c r="S2998" s="49"/>
      <c r="T2998" s="49"/>
      <c r="U2998" s="49"/>
      <c r="V2998" s="49"/>
      <c r="W2998" s="56"/>
      <c r="X2998" s="51" t="str">
        <f t="shared" si="5"/>
        <v/>
      </c>
      <c r="Y2998" s="50" t="s">
        <v>482</v>
      </c>
      <c r="Z2998" s="49">
        <f t="shared" si="6"/>
        <v>0</v>
      </c>
    </row>
    <row r="2999" ht="22.5" customHeight="1">
      <c r="B2999" s="57"/>
      <c r="C2999" s="43" t="str">
        <f t="array" ref="C2999">IF(B2999="","",_xlfn.XLOOKUP(B2999,'Form responses 1'!$B$2:$B$2604,'Form responses 1'!$A$2:$A$2604,""))</f>
        <v/>
      </c>
      <c r="D2999" s="44" t="str">
        <f t="shared" si="3"/>
        <v/>
      </c>
      <c r="E2999" s="44" t="str">
        <f t="array" ref="E2999">IF(B2999="","",_xlfn.XLOOKUP(B2999,'Form responses 1'!$B$2:$B$2604,'Form responses 1'!$C$2:$C$2604,""))</f>
        <v/>
      </c>
      <c r="F2999" s="44" t="str">
        <f t="array" ref="F2999">IF(B2999="","",_xlfn.XLOOKUP(B2999,'Form responses 1'!$B$2:$B$2604,'Form responses 1'!$D$2:$D$2604,""))</f>
        <v/>
      </c>
      <c r="G2999" s="44" t="str">
        <f t="array" ref="G2999">IF(B2999="","",_xlfn.XLOOKUP(B2999,'Form responses 1'!$B$2:$B$2604,'Form responses 1'!$E$2:$E$2604,""))</f>
        <v/>
      </c>
      <c r="H2999" s="44" t="str">
        <f t="array" ref="H2999">IF(B2999="","",_xlfn.XLOOKUP(B2999,'Form responses 1'!$B$2:$B$2604,'Form responses 1'!$F$2:$F$2604,""))</f>
        <v/>
      </c>
      <c r="I2999" s="44" t="str">
        <f t="array" ref="I2999">IF(B2999="","",_xlfn.XLOOKUP(B2999,'Form responses 1'!$B$2:$B$2604,'Form responses 1'!$I$2:$I$2604,""))</f>
        <v/>
      </c>
      <c r="J2999" s="44" t="str">
        <f t="array" ref="J2999">IF(B2999="","",_xlfn.XLOOKUP(B2999,'Form responses 1'!$B$2:$B$2604,'Form responses 1'!$G$2:$G$2604,""))</f>
        <v/>
      </c>
      <c r="K2999" s="56"/>
      <c r="L2999" s="58" t="str">
        <f t="shared" si="7"/>
        <v/>
      </c>
      <c r="M2999" s="49"/>
      <c r="N2999" s="49"/>
      <c r="O2999" s="49"/>
      <c r="P2999" s="49"/>
      <c r="Q2999" s="49"/>
      <c r="R2999" s="49"/>
      <c r="S2999" s="49"/>
      <c r="T2999" s="49"/>
      <c r="U2999" s="49"/>
      <c r="V2999" s="49"/>
      <c r="W2999" s="56"/>
      <c r="X2999" s="51" t="str">
        <f t="shared" si="5"/>
        <v/>
      </c>
      <c r="Y2999" s="50" t="s">
        <v>482</v>
      </c>
      <c r="Z2999" s="49">
        <f t="shared" si="6"/>
        <v>0</v>
      </c>
    </row>
    <row r="3000" ht="22.5" customHeight="1">
      <c r="B3000" s="57"/>
      <c r="C3000" s="43" t="str">
        <f t="array" ref="C3000">IF(B3000="","",_xlfn.XLOOKUP(B3000,'Form responses 1'!$B$2:$B$2604,'Form responses 1'!$A$2:$A$2604,""))</f>
        <v/>
      </c>
      <c r="D3000" s="44" t="str">
        <f t="shared" si="3"/>
        <v/>
      </c>
      <c r="E3000" s="44" t="str">
        <f t="array" ref="E3000">IF(B3000="","",_xlfn.XLOOKUP(B3000,'Form responses 1'!$B$2:$B$2604,'Form responses 1'!$C$2:$C$2604,""))</f>
        <v/>
      </c>
      <c r="F3000" s="44" t="str">
        <f t="array" ref="F3000">IF(B3000="","",_xlfn.XLOOKUP(B3000,'Form responses 1'!$B$2:$B$2604,'Form responses 1'!$D$2:$D$2604,""))</f>
        <v/>
      </c>
      <c r="G3000" s="44" t="str">
        <f t="array" ref="G3000">IF(B3000="","",_xlfn.XLOOKUP(B3000,'Form responses 1'!$B$2:$B$2604,'Form responses 1'!$E$2:$E$2604,""))</f>
        <v/>
      </c>
      <c r="H3000" s="44" t="str">
        <f t="array" ref="H3000">IF(B3000="","",_xlfn.XLOOKUP(B3000,'Form responses 1'!$B$2:$B$2604,'Form responses 1'!$F$2:$F$2604,""))</f>
        <v/>
      </c>
      <c r="I3000" s="44" t="str">
        <f t="array" ref="I3000">IF(B3000="","",_xlfn.XLOOKUP(B3000,'Form responses 1'!$B$2:$B$2604,'Form responses 1'!$I$2:$I$2604,""))</f>
        <v/>
      </c>
      <c r="J3000" s="44" t="str">
        <f t="array" ref="J3000">IF(B3000="","",_xlfn.XLOOKUP(B3000,'Form responses 1'!$B$2:$B$2604,'Form responses 1'!$G$2:$G$2604,""))</f>
        <v/>
      </c>
      <c r="K3000" s="56"/>
      <c r="L3000" s="58" t="str">
        <f t="shared" si="7"/>
        <v/>
      </c>
      <c r="M3000" s="49"/>
      <c r="N3000" s="49"/>
      <c r="O3000" s="49"/>
      <c r="P3000" s="49"/>
      <c r="Q3000" s="49"/>
      <c r="R3000" s="49"/>
      <c r="S3000" s="49"/>
      <c r="T3000" s="49"/>
      <c r="U3000" s="49"/>
      <c r="V3000" s="49"/>
      <c r="W3000" s="56"/>
      <c r="X3000" s="51" t="str">
        <f t="shared" si="5"/>
        <v/>
      </c>
      <c r="Y3000" s="50" t="s">
        <v>482</v>
      </c>
      <c r="Z3000" s="49">
        <f t="shared" si="6"/>
        <v>0</v>
      </c>
    </row>
    <row r="3001" ht="22.5" customHeight="1">
      <c r="B3001" s="57"/>
      <c r="C3001" s="43" t="str">
        <f t="array" ref="C3001">IF(B3001="","",_xlfn.XLOOKUP(B3001,'Form responses 1'!$B$2:$B$2604,'Form responses 1'!$A$2:$A$2604,""))</f>
        <v/>
      </c>
      <c r="D3001" s="44" t="str">
        <f t="shared" si="3"/>
        <v/>
      </c>
      <c r="E3001" s="44" t="str">
        <f t="array" ref="E3001">IF(B3001="","",_xlfn.XLOOKUP(B3001,'Form responses 1'!$B$2:$B$2604,'Form responses 1'!$C$2:$C$2604,""))</f>
        <v/>
      </c>
      <c r="F3001" s="44" t="str">
        <f t="array" ref="F3001">IF(B3001="","",_xlfn.XLOOKUP(B3001,'Form responses 1'!$B$2:$B$2604,'Form responses 1'!$D$2:$D$2604,""))</f>
        <v/>
      </c>
      <c r="G3001" s="44" t="str">
        <f t="array" ref="G3001">IF(B3001="","",_xlfn.XLOOKUP(B3001,'Form responses 1'!$B$2:$B$2604,'Form responses 1'!$E$2:$E$2604,""))</f>
        <v/>
      </c>
      <c r="H3001" s="44" t="str">
        <f t="array" ref="H3001">IF(B3001="","",_xlfn.XLOOKUP(B3001,'Form responses 1'!$B$2:$B$2604,'Form responses 1'!$F$2:$F$2604,""))</f>
        <v/>
      </c>
      <c r="I3001" s="44" t="str">
        <f t="array" ref="I3001">IF(B3001="","",_xlfn.XLOOKUP(B3001,'Form responses 1'!$B$2:$B$2604,'Form responses 1'!$I$2:$I$2604,""))</f>
        <v/>
      </c>
      <c r="J3001" s="44" t="str">
        <f t="array" ref="J3001">IF(B3001="","",_xlfn.XLOOKUP(B3001,'Form responses 1'!$B$2:$B$2604,'Form responses 1'!$G$2:$G$2604,""))</f>
        <v/>
      </c>
      <c r="K3001" s="56"/>
      <c r="L3001" s="58" t="str">
        <f t="shared" si="7"/>
        <v/>
      </c>
      <c r="M3001" s="49"/>
      <c r="N3001" s="49"/>
      <c r="O3001" s="49"/>
      <c r="P3001" s="49"/>
      <c r="Q3001" s="49"/>
      <c r="R3001" s="49"/>
      <c r="S3001" s="49"/>
      <c r="T3001" s="49"/>
      <c r="U3001" s="49"/>
      <c r="V3001" s="49"/>
      <c r="W3001" s="56"/>
      <c r="X3001" s="51" t="str">
        <f t="shared" si="5"/>
        <v/>
      </c>
      <c r="Y3001" s="50" t="s">
        <v>482</v>
      </c>
      <c r="Z3001" s="49">
        <f t="shared" si="6"/>
        <v>0</v>
      </c>
    </row>
    <row r="3002" ht="22.5" customHeight="1">
      <c r="B3002" s="57"/>
      <c r="C3002" s="43" t="str">
        <f t="array" ref="C3002">IF(B3002="","",_xlfn.XLOOKUP(B3002,'Form responses 1'!$B$2:$B$2604,'Form responses 1'!$A$2:$A$2604,""))</f>
        <v/>
      </c>
      <c r="D3002" s="44" t="str">
        <f t="shared" si="3"/>
        <v/>
      </c>
      <c r="E3002" s="44" t="str">
        <f t="array" ref="E3002">IF(B3002="","",_xlfn.XLOOKUP(B3002,'Form responses 1'!$B$2:$B$2604,'Form responses 1'!$C$2:$C$2604,""))</f>
        <v/>
      </c>
      <c r="F3002" s="44" t="str">
        <f t="array" ref="F3002">IF(B3002="","",_xlfn.XLOOKUP(B3002,'Form responses 1'!$B$2:$B$2604,'Form responses 1'!$D$2:$D$2604,""))</f>
        <v/>
      </c>
      <c r="G3002" s="44" t="str">
        <f t="array" ref="G3002">IF(B3002="","",_xlfn.XLOOKUP(B3002,'Form responses 1'!$B$2:$B$2604,'Form responses 1'!$E$2:$E$2604,""))</f>
        <v/>
      </c>
      <c r="H3002" s="44" t="str">
        <f t="array" ref="H3002">IF(B3002="","",_xlfn.XLOOKUP(B3002,'Form responses 1'!$B$2:$B$2604,'Form responses 1'!$F$2:$F$2604,""))</f>
        <v/>
      </c>
      <c r="I3002" s="44" t="str">
        <f t="array" ref="I3002">IF(B3002="","",_xlfn.XLOOKUP(B3002,'Form responses 1'!$B$2:$B$2604,'Form responses 1'!$I$2:$I$2604,""))</f>
        <v/>
      </c>
      <c r="J3002" s="44" t="str">
        <f t="array" ref="J3002">IF(B3002="","",_xlfn.XLOOKUP(B3002,'Form responses 1'!$B$2:$B$2604,'Form responses 1'!$G$2:$G$2604,""))</f>
        <v/>
      </c>
      <c r="K3002" s="56"/>
      <c r="L3002" s="58" t="str">
        <f t="shared" si="7"/>
        <v/>
      </c>
      <c r="M3002" s="49"/>
      <c r="N3002" s="49"/>
      <c r="O3002" s="49"/>
      <c r="P3002" s="49"/>
      <c r="Q3002" s="49"/>
      <c r="R3002" s="49"/>
      <c r="S3002" s="49"/>
      <c r="T3002" s="49"/>
      <c r="U3002" s="49"/>
      <c r="V3002" s="49"/>
      <c r="W3002" s="56"/>
      <c r="X3002" s="51" t="str">
        <f t="shared" si="5"/>
        <v/>
      </c>
      <c r="Y3002" s="50" t="s">
        <v>482</v>
      </c>
      <c r="Z3002" s="49">
        <f t="shared" si="6"/>
        <v>0</v>
      </c>
    </row>
    <row r="3003" ht="22.5" customHeight="1">
      <c r="B3003" s="57"/>
      <c r="C3003" s="43" t="str">
        <f t="array" ref="C3003">IF(B3003="","",_xlfn.XLOOKUP(B3003,'Form responses 1'!$B$2:$B$2604,'Form responses 1'!$A$2:$A$2604,""))</f>
        <v/>
      </c>
      <c r="D3003" s="44" t="str">
        <f t="shared" si="3"/>
        <v/>
      </c>
      <c r="E3003" s="44" t="str">
        <f t="array" ref="E3003">IF(B3003="","",_xlfn.XLOOKUP(B3003,'Form responses 1'!$B$2:$B$2604,'Form responses 1'!$C$2:$C$2604,""))</f>
        <v/>
      </c>
      <c r="F3003" s="44" t="str">
        <f t="array" ref="F3003">IF(B3003="","",_xlfn.XLOOKUP(B3003,'Form responses 1'!$B$2:$B$2604,'Form responses 1'!$D$2:$D$2604,""))</f>
        <v/>
      </c>
      <c r="G3003" s="44" t="str">
        <f t="array" ref="G3003">IF(B3003="","",_xlfn.XLOOKUP(B3003,'Form responses 1'!$B$2:$B$2604,'Form responses 1'!$E$2:$E$2604,""))</f>
        <v/>
      </c>
      <c r="H3003" s="44" t="str">
        <f t="array" ref="H3003">IF(B3003="","",_xlfn.XLOOKUP(B3003,'Form responses 1'!$B$2:$B$2604,'Form responses 1'!$F$2:$F$2604,""))</f>
        <v/>
      </c>
      <c r="I3003" s="44" t="str">
        <f t="array" ref="I3003">IF(B3003="","",_xlfn.XLOOKUP(B3003,'Form responses 1'!$B$2:$B$2604,'Form responses 1'!$I$2:$I$2604,""))</f>
        <v/>
      </c>
      <c r="J3003" s="44" t="str">
        <f t="array" ref="J3003">IF(B3003="","",_xlfn.XLOOKUP(B3003,'Form responses 1'!$B$2:$B$2604,'Form responses 1'!$G$2:$G$2604,""))</f>
        <v/>
      </c>
      <c r="K3003" s="56"/>
      <c r="L3003" s="58" t="str">
        <f t="shared" si="7"/>
        <v/>
      </c>
      <c r="M3003" s="49"/>
      <c r="N3003" s="49"/>
      <c r="O3003" s="49"/>
      <c r="P3003" s="49"/>
      <c r="Q3003" s="49"/>
      <c r="R3003" s="49"/>
      <c r="S3003" s="49"/>
      <c r="T3003" s="49"/>
      <c r="U3003" s="49"/>
      <c r="V3003" s="49"/>
      <c r="W3003" s="56"/>
      <c r="X3003" s="51" t="str">
        <f t="shared" si="5"/>
        <v/>
      </c>
      <c r="Y3003" s="50" t="s">
        <v>482</v>
      </c>
      <c r="Z3003" s="49">
        <f t="shared" si="6"/>
        <v>0</v>
      </c>
    </row>
    <row r="3004" ht="22.5" customHeight="1">
      <c r="B3004" s="57"/>
      <c r="C3004" s="43" t="str">
        <f t="array" ref="C3004">IF(B3004="","",_xlfn.XLOOKUP(B3004,'Form responses 1'!$B$2:$B$2604,'Form responses 1'!$A$2:$A$2604,""))</f>
        <v/>
      </c>
      <c r="D3004" s="44" t="str">
        <f t="shared" si="3"/>
        <v/>
      </c>
      <c r="E3004" s="44" t="str">
        <f t="array" ref="E3004">IF(B3004="","",_xlfn.XLOOKUP(B3004,'Form responses 1'!$B$2:$B$2604,'Form responses 1'!$C$2:$C$2604,""))</f>
        <v/>
      </c>
      <c r="F3004" s="44" t="str">
        <f t="array" ref="F3004">IF(B3004="","",_xlfn.XLOOKUP(B3004,'Form responses 1'!$B$2:$B$2604,'Form responses 1'!$D$2:$D$2604,""))</f>
        <v/>
      </c>
      <c r="G3004" s="44" t="str">
        <f t="array" ref="G3004">IF(B3004="","",_xlfn.XLOOKUP(B3004,'Form responses 1'!$B$2:$B$2604,'Form responses 1'!$E$2:$E$2604,""))</f>
        <v/>
      </c>
      <c r="H3004" s="44" t="str">
        <f t="array" ref="H3004">IF(B3004="","",_xlfn.XLOOKUP(B3004,'Form responses 1'!$B$2:$B$2604,'Form responses 1'!$F$2:$F$2604,""))</f>
        <v/>
      </c>
      <c r="I3004" s="44" t="str">
        <f t="array" ref="I3004">IF(B3004="","",_xlfn.XLOOKUP(B3004,'Form responses 1'!$B$2:$B$2604,'Form responses 1'!$I$2:$I$2604,""))</f>
        <v/>
      </c>
      <c r="J3004" s="44" t="str">
        <f t="array" ref="J3004">IF(B3004="","",_xlfn.XLOOKUP(B3004,'Form responses 1'!$B$2:$B$2604,'Form responses 1'!$G$2:$G$2604,""))</f>
        <v/>
      </c>
      <c r="K3004" s="56"/>
      <c r="L3004" s="58" t="str">
        <f t="shared" si="7"/>
        <v/>
      </c>
      <c r="M3004" s="49"/>
      <c r="N3004" s="49"/>
      <c r="O3004" s="49"/>
      <c r="P3004" s="49"/>
      <c r="Q3004" s="49"/>
      <c r="R3004" s="49"/>
      <c r="S3004" s="49"/>
      <c r="T3004" s="49"/>
      <c r="U3004" s="49"/>
      <c r="V3004" s="49"/>
      <c r="W3004" s="56"/>
      <c r="X3004" s="51" t="str">
        <f t="shared" si="5"/>
        <v/>
      </c>
      <c r="Y3004" s="50" t="s">
        <v>482</v>
      </c>
      <c r="Z3004" s="49">
        <f t="shared" si="6"/>
        <v>0</v>
      </c>
    </row>
    <row r="3005" ht="22.5" customHeight="1">
      <c r="B3005" s="57"/>
      <c r="C3005" s="43" t="str">
        <f t="array" ref="C3005">IF(B3005="","",_xlfn.XLOOKUP(B3005,'Form responses 1'!$B$2:$B$2604,'Form responses 1'!$A$2:$A$2604,""))</f>
        <v/>
      </c>
      <c r="D3005" s="44" t="str">
        <f t="shared" si="3"/>
        <v/>
      </c>
      <c r="E3005" s="44" t="str">
        <f t="array" ref="E3005">IF(B3005="","",_xlfn.XLOOKUP(B3005,'Form responses 1'!$B$2:$B$2604,'Form responses 1'!$C$2:$C$2604,""))</f>
        <v/>
      </c>
      <c r="F3005" s="44" t="str">
        <f t="array" ref="F3005">IF(B3005="","",_xlfn.XLOOKUP(B3005,'Form responses 1'!$B$2:$B$2604,'Form responses 1'!$D$2:$D$2604,""))</f>
        <v/>
      </c>
      <c r="G3005" s="44" t="str">
        <f t="array" ref="G3005">IF(B3005="","",_xlfn.XLOOKUP(B3005,'Form responses 1'!$B$2:$B$2604,'Form responses 1'!$E$2:$E$2604,""))</f>
        <v/>
      </c>
      <c r="H3005" s="44" t="str">
        <f t="array" ref="H3005">IF(B3005="","",_xlfn.XLOOKUP(B3005,'Form responses 1'!$B$2:$B$2604,'Form responses 1'!$F$2:$F$2604,""))</f>
        <v/>
      </c>
      <c r="I3005" s="44" t="str">
        <f t="array" ref="I3005">IF(B3005="","",_xlfn.XLOOKUP(B3005,'Form responses 1'!$B$2:$B$2604,'Form responses 1'!$I$2:$I$2604,""))</f>
        <v/>
      </c>
      <c r="J3005" s="44" t="str">
        <f t="array" ref="J3005">IF(B3005="","",_xlfn.XLOOKUP(B3005,'Form responses 1'!$B$2:$B$2604,'Form responses 1'!$G$2:$G$2604,""))</f>
        <v/>
      </c>
      <c r="K3005" s="56"/>
      <c r="L3005" s="58" t="str">
        <f t="shared" si="7"/>
        <v/>
      </c>
      <c r="M3005" s="49"/>
      <c r="N3005" s="49"/>
      <c r="O3005" s="49"/>
      <c r="P3005" s="49"/>
      <c r="Q3005" s="49"/>
      <c r="R3005" s="49"/>
      <c r="S3005" s="49"/>
      <c r="T3005" s="49"/>
      <c r="U3005" s="49"/>
      <c r="V3005" s="49"/>
      <c r="W3005" s="56"/>
      <c r="X3005" s="51" t="str">
        <f t="shared" si="5"/>
        <v/>
      </c>
      <c r="Y3005" s="50" t="s">
        <v>482</v>
      </c>
      <c r="Z3005" s="49">
        <f t="shared" si="6"/>
        <v>0</v>
      </c>
    </row>
    <row r="3006" ht="22.5" customHeight="1">
      <c r="B3006" s="57"/>
      <c r="C3006" s="43" t="str">
        <f t="array" ref="C3006">IF(B3006="","",_xlfn.XLOOKUP(B3006,'Form responses 1'!$B$2:$B$2604,'Form responses 1'!$A$2:$A$2604,""))</f>
        <v/>
      </c>
      <c r="D3006" s="44" t="str">
        <f t="shared" si="3"/>
        <v/>
      </c>
      <c r="E3006" s="44" t="str">
        <f t="array" ref="E3006">IF(B3006="","",_xlfn.XLOOKUP(B3006,'Form responses 1'!$B$2:$B$2604,'Form responses 1'!$C$2:$C$2604,""))</f>
        <v/>
      </c>
      <c r="F3006" s="44" t="str">
        <f t="array" ref="F3006">IF(B3006="","",_xlfn.XLOOKUP(B3006,'Form responses 1'!$B$2:$B$2604,'Form responses 1'!$D$2:$D$2604,""))</f>
        <v/>
      </c>
      <c r="G3006" s="44" t="str">
        <f t="array" ref="G3006">IF(B3006="","",_xlfn.XLOOKUP(B3006,'Form responses 1'!$B$2:$B$2604,'Form responses 1'!$E$2:$E$2604,""))</f>
        <v/>
      </c>
      <c r="H3006" s="44" t="str">
        <f t="array" ref="H3006">IF(B3006="","",_xlfn.XLOOKUP(B3006,'Form responses 1'!$B$2:$B$2604,'Form responses 1'!$F$2:$F$2604,""))</f>
        <v/>
      </c>
      <c r="I3006" s="44" t="str">
        <f t="array" ref="I3006">IF(B3006="","",_xlfn.XLOOKUP(B3006,'Form responses 1'!$B$2:$B$2604,'Form responses 1'!$I$2:$I$2604,""))</f>
        <v/>
      </c>
      <c r="J3006" s="44" t="str">
        <f t="array" ref="J3006">IF(B3006="","",_xlfn.XLOOKUP(B3006,'Form responses 1'!$B$2:$B$2604,'Form responses 1'!$G$2:$G$2604,""))</f>
        <v/>
      </c>
      <c r="K3006" s="56"/>
      <c r="L3006" s="58" t="str">
        <f t="shared" si="7"/>
        <v/>
      </c>
      <c r="M3006" s="49"/>
      <c r="N3006" s="49"/>
      <c r="O3006" s="49"/>
      <c r="P3006" s="49"/>
      <c r="Q3006" s="49"/>
      <c r="R3006" s="49"/>
      <c r="S3006" s="49"/>
      <c r="T3006" s="49"/>
      <c r="U3006" s="49"/>
      <c r="V3006" s="49"/>
      <c r="W3006" s="56"/>
      <c r="X3006" s="51" t="str">
        <f t="shared" si="5"/>
        <v/>
      </c>
      <c r="Y3006" s="50" t="s">
        <v>482</v>
      </c>
      <c r="Z3006" s="49">
        <f t="shared" si="6"/>
        <v>0</v>
      </c>
    </row>
    <row r="3007" ht="22.5" customHeight="1">
      <c r="B3007" s="57"/>
      <c r="C3007" s="43" t="str">
        <f t="array" ref="C3007">IF(B3007="","",_xlfn.XLOOKUP(B3007,'Form responses 1'!$B$2:$B$2604,'Form responses 1'!$A$2:$A$2604,""))</f>
        <v/>
      </c>
      <c r="D3007" s="44" t="str">
        <f t="shared" si="3"/>
        <v/>
      </c>
      <c r="E3007" s="44" t="str">
        <f t="array" ref="E3007">IF(B3007="","",_xlfn.XLOOKUP(B3007,'Form responses 1'!$B$2:$B$2604,'Form responses 1'!$C$2:$C$2604,""))</f>
        <v/>
      </c>
      <c r="F3007" s="44" t="str">
        <f t="array" ref="F3007">IF(B3007="","",_xlfn.XLOOKUP(B3007,'Form responses 1'!$B$2:$B$2604,'Form responses 1'!$D$2:$D$2604,""))</f>
        <v/>
      </c>
      <c r="G3007" s="44" t="str">
        <f t="array" ref="G3007">IF(B3007="","",_xlfn.XLOOKUP(B3007,'Form responses 1'!$B$2:$B$2604,'Form responses 1'!$E$2:$E$2604,""))</f>
        <v/>
      </c>
      <c r="H3007" s="44" t="str">
        <f t="array" ref="H3007">IF(B3007="","",_xlfn.XLOOKUP(B3007,'Form responses 1'!$B$2:$B$2604,'Form responses 1'!$F$2:$F$2604,""))</f>
        <v/>
      </c>
      <c r="I3007" s="44" t="str">
        <f t="array" ref="I3007">IF(B3007="","",_xlfn.XLOOKUP(B3007,'Form responses 1'!$B$2:$B$2604,'Form responses 1'!$I$2:$I$2604,""))</f>
        <v/>
      </c>
      <c r="J3007" s="44" t="str">
        <f t="array" ref="J3007">IF(B3007="","",_xlfn.XLOOKUP(B3007,'Form responses 1'!$B$2:$B$2604,'Form responses 1'!$G$2:$G$2604,""))</f>
        <v/>
      </c>
      <c r="K3007" s="56"/>
      <c r="L3007" s="58" t="str">
        <f t="shared" si="7"/>
        <v/>
      </c>
      <c r="M3007" s="49"/>
      <c r="N3007" s="49"/>
      <c r="O3007" s="49"/>
      <c r="P3007" s="49"/>
      <c r="Q3007" s="49"/>
      <c r="R3007" s="49"/>
      <c r="S3007" s="49"/>
      <c r="T3007" s="49"/>
      <c r="U3007" s="49"/>
      <c r="V3007" s="49"/>
      <c r="W3007" s="56"/>
      <c r="X3007" s="51" t="str">
        <f t="shared" si="5"/>
        <v/>
      </c>
      <c r="Y3007" s="50" t="s">
        <v>482</v>
      </c>
      <c r="Z3007" s="49">
        <f t="shared" si="6"/>
        <v>0</v>
      </c>
    </row>
    <row r="3008" ht="22.5" customHeight="1">
      <c r="B3008" s="57"/>
      <c r="C3008" s="43" t="str">
        <f t="array" ref="C3008">IF(B3008="","",_xlfn.XLOOKUP(B3008,'Form responses 1'!$B$2:$B$2604,'Form responses 1'!$A$2:$A$2604,""))</f>
        <v/>
      </c>
      <c r="D3008" s="44" t="str">
        <f t="shared" si="3"/>
        <v/>
      </c>
      <c r="E3008" s="44" t="str">
        <f t="array" ref="E3008">IF(B3008="","",_xlfn.XLOOKUP(B3008,'Form responses 1'!$B$2:$B$2604,'Form responses 1'!$C$2:$C$2604,""))</f>
        <v/>
      </c>
      <c r="F3008" s="44" t="str">
        <f t="array" ref="F3008">IF(B3008="","",_xlfn.XLOOKUP(B3008,'Form responses 1'!$B$2:$B$2604,'Form responses 1'!$D$2:$D$2604,""))</f>
        <v/>
      </c>
      <c r="G3008" s="44" t="str">
        <f t="array" ref="G3008">IF(B3008="","",_xlfn.XLOOKUP(B3008,'Form responses 1'!$B$2:$B$2604,'Form responses 1'!$E$2:$E$2604,""))</f>
        <v/>
      </c>
      <c r="H3008" s="44" t="str">
        <f t="array" ref="H3008">IF(B3008="","",_xlfn.XLOOKUP(B3008,'Form responses 1'!$B$2:$B$2604,'Form responses 1'!$F$2:$F$2604,""))</f>
        <v/>
      </c>
      <c r="I3008" s="44" t="str">
        <f t="array" ref="I3008">IF(B3008="","",_xlfn.XLOOKUP(B3008,'Form responses 1'!$B$2:$B$2604,'Form responses 1'!$I$2:$I$2604,""))</f>
        <v/>
      </c>
      <c r="J3008" s="44" t="str">
        <f t="array" ref="J3008">IF(B3008="","",_xlfn.XLOOKUP(B3008,'Form responses 1'!$B$2:$B$2604,'Form responses 1'!$G$2:$G$2604,""))</f>
        <v/>
      </c>
      <c r="K3008" s="56"/>
      <c r="L3008" s="58" t="str">
        <f t="shared" si="7"/>
        <v/>
      </c>
      <c r="M3008" s="49"/>
      <c r="N3008" s="49"/>
      <c r="O3008" s="49"/>
      <c r="P3008" s="49"/>
      <c r="Q3008" s="49"/>
      <c r="R3008" s="49"/>
      <c r="S3008" s="49"/>
      <c r="T3008" s="49"/>
      <c r="U3008" s="49"/>
      <c r="V3008" s="49"/>
      <c r="W3008" s="56"/>
      <c r="X3008" s="51" t="str">
        <f t="shared" si="5"/>
        <v/>
      </c>
      <c r="Y3008" s="50" t="s">
        <v>482</v>
      </c>
      <c r="Z3008" s="49">
        <f t="shared" si="6"/>
        <v>0</v>
      </c>
    </row>
    <row r="3009" ht="22.5" customHeight="1">
      <c r="B3009" s="57"/>
      <c r="C3009" s="43" t="str">
        <f t="array" ref="C3009">IF(B3009="","",_xlfn.XLOOKUP(B3009,'Form responses 1'!$B$2:$B$2604,'Form responses 1'!$A$2:$A$2604,""))</f>
        <v/>
      </c>
      <c r="D3009" s="44" t="str">
        <f t="shared" si="3"/>
        <v/>
      </c>
      <c r="E3009" s="44" t="str">
        <f t="array" ref="E3009">IF(B3009="","",_xlfn.XLOOKUP(B3009,'Form responses 1'!$B$2:$B$2604,'Form responses 1'!$C$2:$C$2604,""))</f>
        <v/>
      </c>
      <c r="F3009" s="44" t="str">
        <f t="array" ref="F3009">IF(B3009="","",_xlfn.XLOOKUP(B3009,'Form responses 1'!$B$2:$B$2604,'Form responses 1'!$D$2:$D$2604,""))</f>
        <v/>
      </c>
      <c r="G3009" s="44" t="str">
        <f t="array" ref="G3009">IF(B3009="","",_xlfn.XLOOKUP(B3009,'Form responses 1'!$B$2:$B$2604,'Form responses 1'!$E$2:$E$2604,""))</f>
        <v/>
      </c>
      <c r="H3009" s="44" t="str">
        <f t="array" ref="H3009">IF(B3009="","",_xlfn.XLOOKUP(B3009,'Form responses 1'!$B$2:$B$2604,'Form responses 1'!$F$2:$F$2604,""))</f>
        <v/>
      </c>
      <c r="I3009" s="44" t="str">
        <f t="array" ref="I3009">IF(B3009="","",_xlfn.XLOOKUP(B3009,'Form responses 1'!$B$2:$B$2604,'Form responses 1'!$I$2:$I$2604,""))</f>
        <v/>
      </c>
      <c r="J3009" s="44" t="str">
        <f t="array" ref="J3009">IF(B3009="","",_xlfn.XLOOKUP(B3009,'Form responses 1'!$B$2:$B$2604,'Form responses 1'!$G$2:$G$2604,""))</f>
        <v/>
      </c>
      <c r="K3009" s="56"/>
      <c r="L3009" s="58" t="str">
        <f t="shared" si="7"/>
        <v/>
      </c>
      <c r="M3009" s="49"/>
      <c r="N3009" s="49"/>
      <c r="O3009" s="49"/>
      <c r="P3009" s="49"/>
      <c r="Q3009" s="49"/>
      <c r="R3009" s="49"/>
      <c r="S3009" s="49"/>
      <c r="T3009" s="49"/>
      <c r="U3009" s="49"/>
      <c r="V3009" s="49"/>
      <c r="W3009" s="56"/>
      <c r="X3009" s="51" t="str">
        <f t="shared" si="5"/>
        <v/>
      </c>
      <c r="Y3009" s="50" t="s">
        <v>482</v>
      </c>
      <c r="Z3009" s="49">
        <f t="shared" si="6"/>
        <v>0</v>
      </c>
    </row>
    <row r="3010" ht="22.5" customHeight="1">
      <c r="B3010" s="57"/>
      <c r="C3010" s="43" t="str">
        <f t="array" ref="C3010">IF(B3010="","",_xlfn.XLOOKUP(B3010,'Form responses 1'!$B$2:$B$2604,'Form responses 1'!$A$2:$A$2604,""))</f>
        <v/>
      </c>
      <c r="D3010" s="44" t="str">
        <f t="shared" si="3"/>
        <v/>
      </c>
      <c r="E3010" s="44" t="str">
        <f t="array" ref="E3010">IF(B3010="","",_xlfn.XLOOKUP(B3010,'Form responses 1'!$B$2:$B$2604,'Form responses 1'!$C$2:$C$2604,""))</f>
        <v/>
      </c>
      <c r="F3010" s="44" t="str">
        <f t="array" ref="F3010">IF(B3010="","",_xlfn.XLOOKUP(B3010,'Form responses 1'!$B$2:$B$2604,'Form responses 1'!$D$2:$D$2604,""))</f>
        <v/>
      </c>
      <c r="G3010" s="44" t="str">
        <f t="array" ref="G3010">IF(B3010="","",_xlfn.XLOOKUP(B3010,'Form responses 1'!$B$2:$B$2604,'Form responses 1'!$E$2:$E$2604,""))</f>
        <v/>
      </c>
      <c r="H3010" s="44" t="str">
        <f t="array" ref="H3010">IF(B3010="","",_xlfn.XLOOKUP(B3010,'Form responses 1'!$B$2:$B$2604,'Form responses 1'!$F$2:$F$2604,""))</f>
        <v/>
      </c>
      <c r="I3010" s="44" t="str">
        <f t="array" ref="I3010">IF(B3010="","",_xlfn.XLOOKUP(B3010,'Form responses 1'!$B$2:$B$2604,'Form responses 1'!$I$2:$I$2604,""))</f>
        <v/>
      </c>
      <c r="J3010" s="44" t="str">
        <f t="array" ref="J3010">IF(B3010="","",_xlfn.XLOOKUP(B3010,'Form responses 1'!$B$2:$B$2604,'Form responses 1'!$G$2:$G$2604,""))</f>
        <v/>
      </c>
      <c r="K3010" s="56"/>
      <c r="L3010" s="58" t="str">
        <f t="shared" si="7"/>
        <v/>
      </c>
      <c r="M3010" s="49"/>
      <c r="N3010" s="49"/>
      <c r="O3010" s="49"/>
      <c r="P3010" s="49"/>
      <c r="Q3010" s="49"/>
      <c r="R3010" s="49"/>
      <c r="S3010" s="49"/>
      <c r="T3010" s="49"/>
      <c r="U3010" s="49"/>
      <c r="V3010" s="49"/>
      <c r="W3010" s="56"/>
      <c r="X3010" s="51" t="str">
        <f t="shared" si="5"/>
        <v/>
      </c>
      <c r="Y3010" s="50" t="s">
        <v>482</v>
      </c>
      <c r="Z3010" s="49">
        <f t="shared" si="6"/>
        <v>0</v>
      </c>
    </row>
    <row r="3011" ht="22.5" customHeight="1">
      <c r="B3011" s="57"/>
      <c r="C3011" s="43" t="str">
        <f t="array" ref="C3011">IF(B3011="","",_xlfn.XLOOKUP(B3011,'Form responses 1'!$B$2:$B$2604,'Form responses 1'!$A$2:$A$2604,""))</f>
        <v/>
      </c>
      <c r="D3011" s="44" t="str">
        <f t="shared" si="3"/>
        <v/>
      </c>
      <c r="E3011" s="44" t="str">
        <f t="array" ref="E3011">IF(B3011="","",_xlfn.XLOOKUP(B3011,'Form responses 1'!$B$2:$B$2604,'Form responses 1'!$C$2:$C$2604,""))</f>
        <v/>
      </c>
      <c r="F3011" s="44" t="str">
        <f t="array" ref="F3011">IF(B3011="","",_xlfn.XLOOKUP(B3011,'Form responses 1'!$B$2:$B$2604,'Form responses 1'!$D$2:$D$2604,""))</f>
        <v/>
      </c>
      <c r="G3011" s="44" t="str">
        <f t="array" ref="G3011">IF(B3011="","",_xlfn.XLOOKUP(B3011,'Form responses 1'!$B$2:$B$2604,'Form responses 1'!$E$2:$E$2604,""))</f>
        <v/>
      </c>
      <c r="H3011" s="44" t="str">
        <f t="array" ref="H3011">IF(B3011="","",_xlfn.XLOOKUP(B3011,'Form responses 1'!$B$2:$B$2604,'Form responses 1'!$F$2:$F$2604,""))</f>
        <v/>
      </c>
      <c r="I3011" s="44" t="str">
        <f t="array" ref="I3011">IF(B3011="","",_xlfn.XLOOKUP(B3011,'Form responses 1'!$B$2:$B$2604,'Form responses 1'!$I$2:$I$2604,""))</f>
        <v/>
      </c>
      <c r="J3011" s="44" t="str">
        <f t="array" ref="J3011">IF(B3011="","",_xlfn.XLOOKUP(B3011,'Form responses 1'!$B$2:$B$2604,'Form responses 1'!$G$2:$G$2604,""))</f>
        <v/>
      </c>
      <c r="K3011" s="56"/>
      <c r="L3011" s="58" t="str">
        <f t="shared" si="7"/>
        <v/>
      </c>
      <c r="M3011" s="49"/>
      <c r="N3011" s="49"/>
      <c r="O3011" s="49"/>
      <c r="P3011" s="49"/>
      <c r="Q3011" s="49"/>
      <c r="R3011" s="49"/>
      <c r="S3011" s="49"/>
      <c r="T3011" s="49"/>
      <c r="U3011" s="49"/>
      <c r="V3011" s="49"/>
      <c r="W3011" s="56"/>
      <c r="X3011" s="51" t="str">
        <f t="shared" si="5"/>
        <v/>
      </c>
      <c r="Y3011" s="50" t="s">
        <v>482</v>
      </c>
      <c r="Z3011" s="49">
        <f t="shared" si="6"/>
        <v>0</v>
      </c>
    </row>
    <row r="3012" ht="22.5" customHeight="1">
      <c r="B3012" s="57"/>
      <c r="C3012" s="43" t="str">
        <f t="array" ref="C3012">IF(B3012="","",_xlfn.XLOOKUP(B3012,'Form responses 1'!$B$2:$B$2604,'Form responses 1'!$A$2:$A$2604,""))</f>
        <v/>
      </c>
      <c r="D3012" s="44" t="str">
        <f t="shared" si="3"/>
        <v/>
      </c>
      <c r="E3012" s="44" t="str">
        <f t="array" ref="E3012">IF(B3012="","",_xlfn.XLOOKUP(B3012,'Form responses 1'!$B$2:$B$2604,'Form responses 1'!$C$2:$C$2604,""))</f>
        <v/>
      </c>
      <c r="F3012" s="44" t="str">
        <f t="array" ref="F3012">IF(B3012="","",_xlfn.XLOOKUP(B3012,'Form responses 1'!$B$2:$B$2604,'Form responses 1'!$D$2:$D$2604,""))</f>
        <v/>
      </c>
      <c r="G3012" s="44" t="str">
        <f t="array" ref="G3012">IF(B3012="","",_xlfn.XLOOKUP(B3012,'Form responses 1'!$B$2:$B$2604,'Form responses 1'!$E$2:$E$2604,""))</f>
        <v/>
      </c>
      <c r="H3012" s="44" t="str">
        <f t="array" ref="H3012">IF(B3012="","",_xlfn.XLOOKUP(B3012,'Form responses 1'!$B$2:$B$2604,'Form responses 1'!$F$2:$F$2604,""))</f>
        <v/>
      </c>
      <c r="I3012" s="44" t="str">
        <f t="array" ref="I3012">IF(B3012="","",_xlfn.XLOOKUP(B3012,'Form responses 1'!$B$2:$B$2604,'Form responses 1'!$I$2:$I$2604,""))</f>
        <v/>
      </c>
      <c r="J3012" s="44" t="str">
        <f t="array" ref="J3012">IF(B3012="","",_xlfn.XLOOKUP(B3012,'Form responses 1'!$B$2:$B$2604,'Form responses 1'!$G$2:$G$2604,""))</f>
        <v/>
      </c>
      <c r="K3012" s="56"/>
      <c r="L3012" s="58" t="str">
        <f t="shared" si="7"/>
        <v/>
      </c>
      <c r="M3012" s="49"/>
      <c r="N3012" s="49"/>
      <c r="O3012" s="49"/>
      <c r="P3012" s="49"/>
      <c r="Q3012" s="49"/>
      <c r="R3012" s="49"/>
      <c r="S3012" s="49"/>
      <c r="T3012" s="49"/>
      <c r="U3012" s="49"/>
      <c r="V3012" s="49"/>
      <c r="W3012" s="56"/>
      <c r="X3012" s="51" t="str">
        <f t="shared" si="5"/>
        <v/>
      </c>
      <c r="Y3012" s="50" t="s">
        <v>482</v>
      </c>
      <c r="Z3012" s="49">
        <f t="shared" si="6"/>
        <v>0</v>
      </c>
    </row>
    <row r="3013" ht="22.5" customHeight="1">
      <c r="B3013" s="57"/>
      <c r="C3013" s="43" t="str">
        <f t="array" ref="C3013">IF(B3013="","",_xlfn.XLOOKUP(B3013,'Form responses 1'!$B$2:$B$2604,'Form responses 1'!$A$2:$A$2604,""))</f>
        <v/>
      </c>
      <c r="D3013" s="44" t="str">
        <f t="shared" si="3"/>
        <v/>
      </c>
      <c r="E3013" s="44" t="str">
        <f t="array" ref="E3013">IF(B3013="","",_xlfn.XLOOKUP(B3013,'Form responses 1'!$B$2:$B$2604,'Form responses 1'!$C$2:$C$2604,""))</f>
        <v/>
      </c>
      <c r="F3013" s="44" t="str">
        <f t="array" ref="F3013">IF(B3013="","",_xlfn.XLOOKUP(B3013,'Form responses 1'!$B$2:$B$2604,'Form responses 1'!$D$2:$D$2604,""))</f>
        <v/>
      </c>
      <c r="G3013" s="44" t="str">
        <f t="array" ref="G3013">IF(B3013="","",_xlfn.XLOOKUP(B3013,'Form responses 1'!$B$2:$B$2604,'Form responses 1'!$E$2:$E$2604,""))</f>
        <v/>
      </c>
      <c r="H3013" s="44" t="str">
        <f t="array" ref="H3013">IF(B3013="","",_xlfn.XLOOKUP(B3013,'Form responses 1'!$B$2:$B$2604,'Form responses 1'!$F$2:$F$2604,""))</f>
        <v/>
      </c>
      <c r="I3013" s="44" t="str">
        <f t="array" ref="I3013">IF(B3013="","",_xlfn.XLOOKUP(B3013,'Form responses 1'!$B$2:$B$2604,'Form responses 1'!$I$2:$I$2604,""))</f>
        <v/>
      </c>
      <c r="J3013" s="44" t="str">
        <f t="array" ref="J3013">IF(B3013="","",_xlfn.XLOOKUP(B3013,'Form responses 1'!$B$2:$B$2604,'Form responses 1'!$G$2:$G$2604,""))</f>
        <v/>
      </c>
      <c r="K3013" s="56"/>
      <c r="L3013" s="58" t="str">
        <f t="shared" si="7"/>
        <v/>
      </c>
      <c r="M3013" s="49"/>
      <c r="N3013" s="49"/>
      <c r="O3013" s="49"/>
      <c r="P3013" s="49"/>
      <c r="Q3013" s="49"/>
      <c r="R3013" s="49"/>
      <c r="S3013" s="49"/>
      <c r="T3013" s="49"/>
      <c r="U3013" s="49"/>
      <c r="V3013" s="49"/>
      <c r="W3013" s="56"/>
      <c r="X3013" s="51" t="str">
        <f t="shared" si="5"/>
        <v/>
      </c>
      <c r="Y3013" s="50" t="s">
        <v>482</v>
      </c>
      <c r="Z3013" s="49">
        <f t="shared" si="6"/>
        <v>0</v>
      </c>
    </row>
    <row r="3014" ht="22.5" customHeight="1">
      <c r="B3014" s="57"/>
      <c r="C3014" s="43" t="str">
        <f t="array" ref="C3014">IF(B3014="","",_xlfn.XLOOKUP(B3014,'Form responses 1'!$B$2:$B$2604,'Form responses 1'!$A$2:$A$2604,""))</f>
        <v/>
      </c>
      <c r="D3014" s="44" t="str">
        <f t="shared" si="3"/>
        <v/>
      </c>
      <c r="E3014" s="44" t="str">
        <f t="array" ref="E3014">IF(B3014="","",_xlfn.XLOOKUP(B3014,'Form responses 1'!$B$2:$B$2604,'Form responses 1'!$C$2:$C$2604,""))</f>
        <v/>
      </c>
      <c r="F3014" s="44" t="str">
        <f t="array" ref="F3014">IF(B3014="","",_xlfn.XLOOKUP(B3014,'Form responses 1'!$B$2:$B$2604,'Form responses 1'!$D$2:$D$2604,""))</f>
        <v/>
      </c>
      <c r="G3014" s="44" t="str">
        <f t="array" ref="G3014">IF(B3014="","",_xlfn.XLOOKUP(B3014,'Form responses 1'!$B$2:$B$2604,'Form responses 1'!$E$2:$E$2604,""))</f>
        <v/>
      </c>
      <c r="H3014" s="44" t="str">
        <f t="array" ref="H3014">IF(B3014="","",_xlfn.XLOOKUP(B3014,'Form responses 1'!$B$2:$B$2604,'Form responses 1'!$F$2:$F$2604,""))</f>
        <v/>
      </c>
      <c r="I3014" s="44" t="str">
        <f t="array" ref="I3014">IF(B3014="","",_xlfn.XLOOKUP(B3014,'Form responses 1'!$B$2:$B$2604,'Form responses 1'!$I$2:$I$2604,""))</f>
        <v/>
      </c>
      <c r="J3014" s="44" t="str">
        <f t="array" ref="J3014">IF(B3014="","",_xlfn.XLOOKUP(B3014,'Form responses 1'!$B$2:$B$2604,'Form responses 1'!$G$2:$G$2604,""))</f>
        <v/>
      </c>
      <c r="K3014" s="56"/>
      <c r="L3014" s="58" t="str">
        <f t="shared" si="7"/>
        <v/>
      </c>
      <c r="M3014" s="49"/>
      <c r="N3014" s="49"/>
      <c r="O3014" s="49"/>
      <c r="P3014" s="49"/>
      <c r="Q3014" s="49"/>
      <c r="R3014" s="49"/>
      <c r="S3014" s="49"/>
      <c r="T3014" s="49"/>
      <c r="U3014" s="49"/>
      <c r="V3014" s="49"/>
      <c r="W3014" s="56"/>
      <c r="X3014" s="51" t="str">
        <f t="shared" si="5"/>
        <v/>
      </c>
      <c r="Y3014" s="50" t="s">
        <v>482</v>
      </c>
      <c r="Z3014" s="49">
        <f t="shared" si="6"/>
        <v>0</v>
      </c>
    </row>
    <row r="3015" ht="22.5" customHeight="1">
      <c r="B3015" s="57"/>
      <c r="C3015" s="43" t="str">
        <f t="array" ref="C3015">IF(B3015="","",_xlfn.XLOOKUP(B3015,'Form responses 1'!$B$2:$B$2604,'Form responses 1'!$A$2:$A$2604,""))</f>
        <v/>
      </c>
      <c r="D3015" s="44" t="str">
        <f t="shared" si="3"/>
        <v/>
      </c>
      <c r="E3015" s="44" t="str">
        <f t="array" ref="E3015">IF(B3015="","",_xlfn.XLOOKUP(B3015,'Form responses 1'!$B$2:$B$2604,'Form responses 1'!$C$2:$C$2604,""))</f>
        <v/>
      </c>
      <c r="F3015" s="44" t="str">
        <f t="array" ref="F3015">IF(B3015="","",_xlfn.XLOOKUP(B3015,'Form responses 1'!$B$2:$B$2604,'Form responses 1'!$D$2:$D$2604,""))</f>
        <v/>
      </c>
      <c r="G3015" s="44" t="str">
        <f t="array" ref="G3015">IF(B3015="","",_xlfn.XLOOKUP(B3015,'Form responses 1'!$B$2:$B$2604,'Form responses 1'!$E$2:$E$2604,""))</f>
        <v/>
      </c>
      <c r="H3015" s="44" t="str">
        <f t="array" ref="H3015">IF(B3015="","",_xlfn.XLOOKUP(B3015,'Form responses 1'!$B$2:$B$2604,'Form responses 1'!$F$2:$F$2604,""))</f>
        <v/>
      </c>
      <c r="I3015" s="44" t="str">
        <f t="array" ref="I3015">IF(B3015="","",_xlfn.XLOOKUP(B3015,'Form responses 1'!$B$2:$B$2604,'Form responses 1'!$I$2:$I$2604,""))</f>
        <v/>
      </c>
      <c r="J3015" s="44" t="str">
        <f t="array" ref="J3015">IF(B3015="","",_xlfn.XLOOKUP(B3015,'Form responses 1'!$B$2:$B$2604,'Form responses 1'!$G$2:$G$2604,""))</f>
        <v/>
      </c>
      <c r="K3015" s="56"/>
      <c r="L3015" s="58" t="str">
        <f t="shared" si="7"/>
        <v/>
      </c>
      <c r="M3015" s="49"/>
      <c r="N3015" s="49"/>
      <c r="O3015" s="49"/>
      <c r="P3015" s="49"/>
      <c r="Q3015" s="49"/>
      <c r="R3015" s="49"/>
      <c r="S3015" s="49"/>
      <c r="T3015" s="49"/>
      <c r="U3015" s="49"/>
      <c r="V3015" s="49"/>
      <c r="W3015" s="56"/>
      <c r="X3015" s="51" t="str">
        <f t="shared" si="5"/>
        <v/>
      </c>
      <c r="Y3015" s="50" t="s">
        <v>482</v>
      </c>
      <c r="Z3015" s="49">
        <f t="shared" si="6"/>
        <v>0</v>
      </c>
    </row>
    <row r="3016" ht="22.5" customHeight="1">
      <c r="B3016" s="57"/>
      <c r="C3016" s="43" t="str">
        <f t="array" ref="C3016">IF(B3016="","",_xlfn.XLOOKUP(B3016,'Form responses 1'!$B$2:$B$2604,'Form responses 1'!$A$2:$A$2604,""))</f>
        <v/>
      </c>
      <c r="D3016" s="44" t="str">
        <f t="shared" si="3"/>
        <v/>
      </c>
      <c r="E3016" s="44" t="str">
        <f t="array" ref="E3016">IF(B3016="","",_xlfn.XLOOKUP(B3016,'Form responses 1'!$B$2:$B$2604,'Form responses 1'!$C$2:$C$2604,""))</f>
        <v/>
      </c>
      <c r="F3016" s="44" t="str">
        <f t="array" ref="F3016">IF(B3016="","",_xlfn.XLOOKUP(B3016,'Form responses 1'!$B$2:$B$2604,'Form responses 1'!$D$2:$D$2604,""))</f>
        <v/>
      </c>
      <c r="G3016" s="44" t="str">
        <f t="array" ref="G3016">IF(B3016="","",_xlfn.XLOOKUP(B3016,'Form responses 1'!$B$2:$B$2604,'Form responses 1'!$E$2:$E$2604,""))</f>
        <v/>
      </c>
      <c r="H3016" s="44" t="str">
        <f t="array" ref="H3016">IF(B3016="","",_xlfn.XLOOKUP(B3016,'Form responses 1'!$B$2:$B$2604,'Form responses 1'!$F$2:$F$2604,""))</f>
        <v/>
      </c>
      <c r="I3016" s="44" t="str">
        <f t="array" ref="I3016">IF(B3016="","",_xlfn.XLOOKUP(B3016,'Form responses 1'!$B$2:$B$2604,'Form responses 1'!$I$2:$I$2604,""))</f>
        <v/>
      </c>
      <c r="J3016" s="44" t="str">
        <f t="array" ref="J3016">IF(B3016="","",_xlfn.XLOOKUP(B3016,'Form responses 1'!$B$2:$B$2604,'Form responses 1'!$G$2:$G$2604,""))</f>
        <v/>
      </c>
      <c r="K3016" s="56"/>
      <c r="L3016" s="58" t="str">
        <f t="shared" si="7"/>
        <v/>
      </c>
      <c r="M3016" s="49"/>
      <c r="N3016" s="49"/>
      <c r="O3016" s="49"/>
      <c r="P3016" s="49"/>
      <c r="Q3016" s="49"/>
      <c r="R3016" s="49"/>
      <c r="S3016" s="49"/>
      <c r="T3016" s="49"/>
      <c r="U3016" s="49"/>
      <c r="V3016" s="49"/>
      <c r="W3016" s="56"/>
      <c r="X3016" s="51" t="str">
        <f t="shared" si="5"/>
        <v/>
      </c>
      <c r="Y3016" s="50" t="s">
        <v>482</v>
      </c>
      <c r="Z3016" s="49">
        <f t="shared" si="6"/>
        <v>0</v>
      </c>
    </row>
    <row r="3017" ht="22.5" customHeight="1">
      <c r="B3017" s="57"/>
      <c r="C3017" s="43" t="str">
        <f t="array" ref="C3017">IF(B3017="","",_xlfn.XLOOKUP(B3017,'Form responses 1'!$B$2:$B$2604,'Form responses 1'!$A$2:$A$2604,""))</f>
        <v/>
      </c>
      <c r="D3017" s="44" t="str">
        <f t="shared" si="3"/>
        <v/>
      </c>
      <c r="E3017" s="44" t="str">
        <f t="array" ref="E3017">IF(B3017="","",_xlfn.XLOOKUP(B3017,'Form responses 1'!$B$2:$B$2604,'Form responses 1'!$C$2:$C$2604,""))</f>
        <v/>
      </c>
      <c r="F3017" s="44" t="str">
        <f t="array" ref="F3017">IF(B3017="","",_xlfn.XLOOKUP(B3017,'Form responses 1'!$B$2:$B$2604,'Form responses 1'!$D$2:$D$2604,""))</f>
        <v/>
      </c>
      <c r="G3017" s="44" t="str">
        <f t="array" ref="G3017">IF(B3017="","",_xlfn.XLOOKUP(B3017,'Form responses 1'!$B$2:$B$2604,'Form responses 1'!$E$2:$E$2604,""))</f>
        <v/>
      </c>
      <c r="H3017" s="44" t="str">
        <f t="array" ref="H3017">IF(B3017="","",_xlfn.XLOOKUP(B3017,'Form responses 1'!$B$2:$B$2604,'Form responses 1'!$F$2:$F$2604,""))</f>
        <v/>
      </c>
      <c r="I3017" s="44" t="str">
        <f t="array" ref="I3017">IF(B3017="","",_xlfn.XLOOKUP(B3017,'Form responses 1'!$B$2:$B$2604,'Form responses 1'!$I$2:$I$2604,""))</f>
        <v/>
      </c>
      <c r="J3017" s="44" t="str">
        <f t="array" ref="J3017">IF(B3017="","",_xlfn.XLOOKUP(B3017,'Form responses 1'!$B$2:$B$2604,'Form responses 1'!$G$2:$G$2604,""))</f>
        <v/>
      </c>
      <c r="K3017" s="56"/>
      <c r="L3017" s="58" t="str">
        <f t="shared" si="7"/>
        <v/>
      </c>
      <c r="M3017" s="49"/>
      <c r="N3017" s="49"/>
      <c r="O3017" s="49"/>
      <c r="P3017" s="49"/>
      <c r="Q3017" s="49"/>
      <c r="R3017" s="49"/>
      <c r="S3017" s="49"/>
      <c r="T3017" s="49"/>
      <c r="U3017" s="49"/>
      <c r="V3017" s="49"/>
      <c r="W3017" s="56"/>
      <c r="X3017" s="51" t="str">
        <f t="shared" si="5"/>
        <v/>
      </c>
      <c r="Y3017" s="50" t="s">
        <v>482</v>
      </c>
      <c r="Z3017" s="49">
        <f t="shared" si="6"/>
        <v>0</v>
      </c>
    </row>
    <row r="3018" ht="22.5" customHeight="1">
      <c r="B3018" s="57"/>
      <c r="C3018" s="43" t="str">
        <f t="array" ref="C3018">IF(B3018="","",_xlfn.XLOOKUP(B3018,'Form responses 1'!$B$2:$B$2604,'Form responses 1'!$A$2:$A$2604,""))</f>
        <v/>
      </c>
      <c r="D3018" s="44" t="str">
        <f t="shared" si="3"/>
        <v/>
      </c>
      <c r="E3018" s="44" t="str">
        <f t="array" ref="E3018">IF(B3018="","",_xlfn.XLOOKUP(B3018,'Form responses 1'!$B$2:$B$2604,'Form responses 1'!$C$2:$C$2604,""))</f>
        <v/>
      </c>
      <c r="F3018" s="44" t="str">
        <f t="array" ref="F3018">IF(B3018="","",_xlfn.XLOOKUP(B3018,'Form responses 1'!$B$2:$B$2604,'Form responses 1'!$D$2:$D$2604,""))</f>
        <v/>
      </c>
      <c r="G3018" s="44" t="str">
        <f t="array" ref="G3018">IF(B3018="","",_xlfn.XLOOKUP(B3018,'Form responses 1'!$B$2:$B$2604,'Form responses 1'!$E$2:$E$2604,""))</f>
        <v/>
      </c>
      <c r="H3018" s="44" t="str">
        <f t="array" ref="H3018">IF(B3018="","",_xlfn.XLOOKUP(B3018,'Form responses 1'!$B$2:$B$2604,'Form responses 1'!$F$2:$F$2604,""))</f>
        <v/>
      </c>
      <c r="I3018" s="44" t="str">
        <f t="array" ref="I3018">IF(B3018="","",_xlfn.XLOOKUP(B3018,'Form responses 1'!$B$2:$B$2604,'Form responses 1'!$I$2:$I$2604,""))</f>
        <v/>
      </c>
      <c r="J3018" s="44" t="str">
        <f t="array" ref="J3018">IF(B3018="","",_xlfn.XLOOKUP(B3018,'Form responses 1'!$B$2:$B$2604,'Form responses 1'!$G$2:$G$2604,""))</f>
        <v/>
      </c>
      <c r="K3018" s="56"/>
      <c r="L3018" s="58" t="str">
        <f t="shared" si="7"/>
        <v/>
      </c>
      <c r="M3018" s="49"/>
      <c r="N3018" s="49"/>
      <c r="O3018" s="49"/>
      <c r="P3018" s="49"/>
      <c r="Q3018" s="49"/>
      <c r="R3018" s="49"/>
      <c r="S3018" s="49"/>
      <c r="T3018" s="49"/>
      <c r="U3018" s="49"/>
      <c r="V3018" s="49"/>
      <c r="W3018" s="56"/>
      <c r="X3018" s="51" t="str">
        <f t="shared" si="5"/>
        <v/>
      </c>
      <c r="Y3018" s="50" t="s">
        <v>482</v>
      </c>
      <c r="Z3018" s="49">
        <f t="shared" si="6"/>
        <v>0</v>
      </c>
    </row>
    <row r="3019" ht="22.5" customHeight="1">
      <c r="B3019" s="57"/>
      <c r="C3019" s="43" t="str">
        <f t="array" ref="C3019">IF(B3019="","",_xlfn.XLOOKUP(B3019,'Form responses 1'!$B$2:$B$2604,'Form responses 1'!$A$2:$A$2604,""))</f>
        <v/>
      </c>
      <c r="D3019" s="44" t="str">
        <f t="shared" si="3"/>
        <v/>
      </c>
      <c r="E3019" s="44" t="str">
        <f t="array" ref="E3019">IF(B3019="","",_xlfn.XLOOKUP(B3019,'Form responses 1'!$B$2:$B$2604,'Form responses 1'!$C$2:$C$2604,""))</f>
        <v/>
      </c>
      <c r="F3019" s="44" t="str">
        <f t="array" ref="F3019">IF(B3019="","",_xlfn.XLOOKUP(B3019,'Form responses 1'!$B$2:$B$2604,'Form responses 1'!$D$2:$D$2604,""))</f>
        <v/>
      </c>
      <c r="G3019" s="44" t="str">
        <f t="array" ref="G3019">IF(B3019="","",_xlfn.XLOOKUP(B3019,'Form responses 1'!$B$2:$B$2604,'Form responses 1'!$E$2:$E$2604,""))</f>
        <v/>
      </c>
      <c r="H3019" s="44" t="str">
        <f t="array" ref="H3019">IF(B3019="","",_xlfn.XLOOKUP(B3019,'Form responses 1'!$B$2:$B$2604,'Form responses 1'!$F$2:$F$2604,""))</f>
        <v/>
      </c>
      <c r="I3019" s="44" t="str">
        <f t="array" ref="I3019">IF(B3019="","",_xlfn.XLOOKUP(B3019,'Form responses 1'!$B$2:$B$2604,'Form responses 1'!$I$2:$I$2604,""))</f>
        <v/>
      </c>
      <c r="J3019" s="44" t="str">
        <f t="array" ref="J3019">IF(B3019="","",_xlfn.XLOOKUP(B3019,'Form responses 1'!$B$2:$B$2604,'Form responses 1'!$G$2:$G$2604,""))</f>
        <v/>
      </c>
      <c r="K3019" s="56"/>
      <c r="L3019" s="58" t="str">
        <f t="shared" si="7"/>
        <v/>
      </c>
      <c r="M3019" s="49"/>
      <c r="N3019" s="49"/>
      <c r="O3019" s="49"/>
      <c r="P3019" s="49"/>
      <c r="Q3019" s="49"/>
      <c r="R3019" s="49"/>
      <c r="S3019" s="49"/>
      <c r="T3019" s="49"/>
      <c r="U3019" s="49"/>
      <c r="V3019" s="49"/>
      <c r="W3019" s="56"/>
      <c r="X3019" s="51" t="str">
        <f t="shared" si="5"/>
        <v/>
      </c>
      <c r="Y3019" s="50" t="s">
        <v>482</v>
      </c>
      <c r="Z3019" s="49">
        <f t="shared" si="6"/>
        <v>0</v>
      </c>
    </row>
    <row r="3020" ht="22.5" customHeight="1">
      <c r="B3020" s="57"/>
      <c r="C3020" s="43" t="str">
        <f t="array" ref="C3020">IF(B3020="","",_xlfn.XLOOKUP(B3020,'Form responses 1'!$B$2:$B$2604,'Form responses 1'!$A$2:$A$2604,""))</f>
        <v/>
      </c>
      <c r="D3020" s="44" t="str">
        <f t="shared" si="3"/>
        <v/>
      </c>
      <c r="E3020" s="44" t="str">
        <f t="array" ref="E3020">IF(B3020="","",_xlfn.XLOOKUP(B3020,'Form responses 1'!$B$2:$B$2604,'Form responses 1'!$C$2:$C$2604,""))</f>
        <v/>
      </c>
      <c r="F3020" s="44" t="str">
        <f t="array" ref="F3020">IF(B3020="","",_xlfn.XLOOKUP(B3020,'Form responses 1'!$B$2:$B$2604,'Form responses 1'!$D$2:$D$2604,""))</f>
        <v/>
      </c>
      <c r="G3020" s="44" t="str">
        <f t="array" ref="G3020">IF(B3020="","",_xlfn.XLOOKUP(B3020,'Form responses 1'!$B$2:$B$2604,'Form responses 1'!$E$2:$E$2604,""))</f>
        <v/>
      </c>
      <c r="H3020" s="44" t="str">
        <f t="array" ref="H3020">IF(B3020="","",_xlfn.XLOOKUP(B3020,'Form responses 1'!$B$2:$B$2604,'Form responses 1'!$F$2:$F$2604,""))</f>
        <v/>
      </c>
      <c r="I3020" s="44" t="str">
        <f t="array" ref="I3020">IF(B3020="","",_xlfn.XLOOKUP(B3020,'Form responses 1'!$B$2:$B$2604,'Form responses 1'!$I$2:$I$2604,""))</f>
        <v/>
      </c>
      <c r="J3020" s="44" t="str">
        <f t="array" ref="J3020">IF(B3020="","",_xlfn.XLOOKUP(B3020,'Form responses 1'!$B$2:$B$2604,'Form responses 1'!$G$2:$G$2604,""))</f>
        <v/>
      </c>
      <c r="K3020" s="56"/>
      <c r="L3020" s="58" t="str">
        <f t="shared" si="7"/>
        <v/>
      </c>
      <c r="M3020" s="49"/>
      <c r="N3020" s="49"/>
      <c r="O3020" s="49"/>
      <c r="P3020" s="49"/>
      <c r="Q3020" s="49"/>
      <c r="R3020" s="49"/>
      <c r="S3020" s="49"/>
      <c r="T3020" s="49"/>
      <c r="U3020" s="49"/>
      <c r="V3020" s="49"/>
      <c r="W3020" s="56"/>
      <c r="X3020" s="51" t="str">
        <f t="shared" si="5"/>
        <v/>
      </c>
      <c r="Y3020" s="50" t="s">
        <v>482</v>
      </c>
      <c r="Z3020" s="49">
        <f t="shared" si="6"/>
        <v>0</v>
      </c>
    </row>
    <row r="3021" ht="22.5" customHeight="1">
      <c r="B3021" s="57"/>
      <c r="C3021" s="43" t="str">
        <f t="array" ref="C3021">IF(B3021="","",_xlfn.XLOOKUP(B3021,'Form responses 1'!$B$2:$B$2604,'Form responses 1'!$A$2:$A$2604,""))</f>
        <v/>
      </c>
      <c r="D3021" s="44" t="str">
        <f t="shared" si="3"/>
        <v/>
      </c>
      <c r="E3021" s="44" t="str">
        <f t="array" ref="E3021">IF(B3021="","",_xlfn.XLOOKUP(B3021,'Form responses 1'!$B$2:$B$2604,'Form responses 1'!$C$2:$C$2604,""))</f>
        <v/>
      </c>
      <c r="F3021" s="44" t="str">
        <f t="array" ref="F3021">IF(B3021="","",_xlfn.XLOOKUP(B3021,'Form responses 1'!$B$2:$B$2604,'Form responses 1'!$D$2:$D$2604,""))</f>
        <v/>
      </c>
      <c r="G3021" s="44" t="str">
        <f t="array" ref="G3021">IF(B3021="","",_xlfn.XLOOKUP(B3021,'Form responses 1'!$B$2:$B$2604,'Form responses 1'!$E$2:$E$2604,""))</f>
        <v/>
      </c>
      <c r="H3021" s="44" t="str">
        <f t="array" ref="H3021">IF(B3021="","",_xlfn.XLOOKUP(B3021,'Form responses 1'!$B$2:$B$2604,'Form responses 1'!$F$2:$F$2604,""))</f>
        <v/>
      </c>
      <c r="I3021" s="44" t="str">
        <f t="array" ref="I3021">IF(B3021="","",_xlfn.XLOOKUP(B3021,'Form responses 1'!$B$2:$B$2604,'Form responses 1'!$I$2:$I$2604,""))</f>
        <v/>
      </c>
      <c r="J3021" s="44" t="str">
        <f t="array" ref="J3021">IF(B3021="","",_xlfn.XLOOKUP(B3021,'Form responses 1'!$B$2:$B$2604,'Form responses 1'!$G$2:$G$2604,""))</f>
        <v/>
      </c>
      <c r="K3021" s="56"/>
      <c r="L3021" s="58" t="str">
        <f t="shared" si="7"/>
        <v/>
      </c>
      <c r="M3021" s="49"/>
      <c r="N3021" s="49"/>
      <c r="O3021" s="49"/>
      <c r="P3021" s="49"/>
      <c r="Q3021" s="49"/>
      <c r="R3021" s="49"/>
      <c r="S3021" s="49"/>
      <c r="T3021" s="49"/>
      <c r="U3021" s="49"/>
      <c r="V3021" s="49"/>
      <c r="W3021" s="56"/>
      <c r="X3021" s="51" t="str">
        <f t="shared" si="5"/>
        <v/>
      </c>
      <c r="Y3021" s="50" t="s">
        <v>482</v>
      </c>
      <c r="Z3021" s="49">
        <f t="shared" si="6"/>
        <v>0</v>
      </c>
    </row>
    <row r="3022" ht="22.5" customHeight="1">
      <c r="B3022" s="57"/>
      <c r="C3022" s="43" t="str">
        <f t="array" ref="C3022">IF(B3022="","",_xlfn.XLOOKUP(B3022,'Form responses 1'!$B$2:$B$2604,'Form responses 1'!$A$2:$A$2604,""))</f>
        <v/>
      </c>
      <c r="D3022" s="44" t="str">
        <f t="shared" si="3"/>
        <v/>
      </c>
      <c r="E3022" s="44" t="str">
        <f t="array" ref="E3022">IF(B3022="","",_xlfn.XLOOKUP(B3022,'Form responses 1'!$B$2:$B$2604,'Form responses 1'!$C$2:$C$2604,""))</f>
        <v/>
      </c>
      <c r="F3022" s="44" t="str">
        <f t="array" ref="F3022">IF(B3022="","",_xlfn.XLOOKUP(B3022,'Form responses 1'!$B$2:$B$2604,'Form responses 1'!$D$2:$D$2604,""))</f>
        <v/>
      </c>
      <c r="G3022" s="44" t="str">
        <f t="array" ref="G3022">IF(B3022="","",_xlfn.XLOOKUP(B3022,'Form responses 1'!$B$2:$B$2604,'Form responses 1'!$E$2:$E$2604,""))</f>
        <v/>
      </c>
      <c r="H3022" s="44" t="str">
        <f t="array" ref="H3022">IF(B3022="","",_xlfn.XLOOKUP(B3022,'Form responses 1'!$B$2:$B$2604,'Form responses 1'!$F$2:$F$2604,""))</f>
        <v/>
      </c>
      <c r="I3022" s="44" t="str">
        <f t="array" ref="I3022">IF(B3022="","",_xlfn.XLOOKUP(B3022,'Form responses 1'!$B$2:$B$2604,'Form responses 1'!$I$2:$I$2604,""))</f>
        <v/>
      </c>
      <c r="J3022" s="44" t="str">
        <f t="array" ref="J3022">IF(B3022="","",_xlfn.XLOOKUP(B3022,'Form responses 1'!$B$2:$B$2604,'Form responses 1'!$G$2:$G$2604,""))</f>
        <v/>
      </c>
      <c r="K3022" s="56"/>
      <c r="L3022" s="58" t="str">
        <f t="shared" si="7"/>
        <v/>
      </c>
      <c r="M3022" s="49"/>
      <c r="N3022" s="49"/>
      <c r="O3022" s="49"/>
      <c r="P3022" s="49"/>
      <c r="Q3022" s="49"/>
      <c r="R3022" s="49"/>
      <c r="S3022" s="49"/>
      <c r="T3022" s="49"/>
      <c r="U3022" s="49"/>
      <c r="V3022" s="49"/>
      <c r="W3022" s="56"/>
      <c r="X3022" s="51" t="str">
        <f t="shared" si="5"/>
        <v/>
      </c>
      <c r="Y3022" s="50" t="s">
        <v>482</v>
      </c>
      <c r="Z3022" s="49">
        <f t="shared" si="6"/>
        <v>0</v>
      </c>
    </row>
    <row r="3023" ht="22.5" customHeight="1">
      <c r="B3023" s="57"/>
      <c r="C3023" s="43" t="str">
        <f t="array" ref="C3023">IF(B3023="","",_xlfn.XLOOKUP(B3023,'Form responses 1'!$B$2:$B$2604,'Form responses 1'!$A$2:$A$2604,""))</f>
        <v/>
      </c>
      <c r="D3023" s="44" t="str">
        <f t="shared" si="3"/>
        <v/>
      </c>
      <c r="E3023" s="44" t="str">
        <f t="array" ref="E3023">IF(B3023="","",_xlfn.XLOOKUP(B3023,'Form responses 1'!$B$2:$B$2604,'Form responses 1'!$C$2:$C$2604,""))</f>
        <v/>
      </c>
      <c r="F3023" s="44" t="str">
        <f t="array" ref="F3023">IF(B3023="","",_xlfn.XLOOKUP(B3023,'Form responses 1'!$B$2:$B$2604,'Form responses 1'!$D$2:$D$2604,""))</f>
        <v/>
      </c>
      <c r="G3023" s="44" t="str">
        <f t="array" ref="G3023">IF(B3023="","",_xlfn.XLOOKUP(B3023,'Form responses 1'!$B$2:$B$2604,'Form responses 1'!$E$2:$E$2604,""))</f>
        <v/>
      </c>
      <c r="H3023" s="44" t="str">
        <f t="array" ref="H3023">IF(B3023="","",_xlfn.XLOOKUP(B3023,'Form responses 1'!$B$2:$B$2604,'Form responses 1'!$F$2:$F$2604,""))</f>
        <v/>
      </c>
      <c r="I3023" s="44" t="str">
        <f t="array" ref="I3023">IF(B3023="","",_xlfn.XLOOKUP(B3023,'Form responses 1'!$B$2:$B$2604,'Form responses 1'!$I$2:$I$2604,""))</f>
        <v/>
      </c>
      <c r="J3023" s="44" t="str">
        <f t="array" ref="J3023">IF(B3023="","",_xlfn.XLOOKUP(B3023,'Form responses 1'!$B$2:$B$2604,'Form responses 1'!$G$2:$G$2604,""))</f>
        <v/>
      </c>
      <c r="K3023" s="56"/>
      <c r="L3023" s="58" t="str">
        <f t="shared" si="7"/>
        <v/>
      </c>
      <c r="M3023" s="49"/>
      <c r="N3023" s="49"/>
      <c r="O3023" s="49"/>
      <c r="P3023" s="49"/>
      <c r="Q3023" s="49"/>
      <c r="R3023" s="49"/>
      <c r="S3023" s="49"/>
      <c r="T3023" s="49"/>
      <c r="U3023" s="49"/>
      <c r="V3023" s="49"/>
      <c r="W3023" s="56"/>
      <c r="X3023" s="51" t="str">
        <f t="shared" si="5"/>
        <v/>
      </c>
      <c r="Y3023" s="50" t="s">
        <v>482</v>
      </c>
      <c r="Z3023" s="49">
        <f t="shared" si="6"/>
        <v>0</v>
      </c>
    </row>
    <row r="3024" ht="22.5" customHeight="1">
      <c r="B3024" s="57"/>
      <c r="C3024" s="43" t="str">
        <f t="array" ref="C3024">IF(B3024="","",_xlfn.XLOOKUP(B3024,'Form responses 1'!$B$2:$B$2604,'Form responses 1'!$A$2:$A$2604,""))</f>
        <v/>
      </c>
      <c r="D3024" s="44" t="str">
        <f t="shared" si="3"/>
        <v/>
      </c>
      <c r="E3024" s="44" t="str">
        <f t="array" ref="E3024">IF(B3024="","",_xlfn.XLOOKUP(B3024,'Form responses 1'!$B$2:$B$2604,'Form responses 1'!$C$2:$C$2604,""))</f>
        <v/>
      </c>
      <c r="F3024" s="44" t="str">
        <f t="array" ref="F3024">IF(B3024="","",_xlfn.XLOOKUP(B3024,'Form responses 1'!$B$2:$B$2604,'Form responses 1'!$D$2:$D$2604,""))</f>
        <v/>
      </c>
      <c r="G3024" s="44" t="str">
        <f t="array" ref="G3024">IF(B3024="","",_xlfn.XLOOKUP(B3024,'Form responses 1'!$B$2:$B$2604,'Form responses 1'!$E$2:$E$2604,""))</f>
        <v/>
      </c>
      <c r="H3024" s="44" t="str">
        <f t="array" ref="H3024">IF(B3024="","",_xlfn.XLOOKUP(B3024,'Form responses 1'!$B$2:$B$2604,'Form responses 1'!$F$2:$F$2604,""))</f>
        <v/>
      </c>
      <c r="I3024" s="44" t="str">
        <f t="array" ref="I3024">IF(B3024="","",_xlfn.XLOOKUP(B3024,'Form responses 1'!$B$2:$B$2604,'Form responses 1'!$I$2:$I$2604,""))</f>
        <v/>
      </c>
      <c r="J3024" s="44" t="str">
        <f t="array" ref="J3024">IF(B3024="","",_xlfn.XLOOKUP(B3024,'Form responses 1'!$B$2:$B$2604,'Form responses 1'!$G$2:$G$2604,""))</f>
        <v/>
      </c>
      <c r="K3024" s="56"/>
      <c r="L3024" s="58" t="str">
        <f t="shared" si="7"/>
        <v/>
      </c>
      <c r="M3024" s="49"/>
      <c r="N3024" s="49"/>
      <c r="O3024" s="49"/>
      <c r="P3024" s="49"/>
      <c r="Q3024" s="49"/>
      <c r="R3024" s="49"/>
      <c r="S3024" s="49"/>
      <c r="T3024" s="49"/>
      <c r="U3024" s="49"/>
      <c r="V3024" s="49"/>
      <c r="W3024" s="56"/>
      <c r="X3024" s="51" t="str">
        <f t="shared" si="5"/>
        <v/>
      </c>
      <c r="Y3024" s="50" t="s">
        <v>482</v>
      </c>
      <c r="Z3024" s="49">
        <f t="shared" si="6"/>
        <v>0</v>
      </c>
    </row>
    <row r="3025" ht="22.5" customHeight="1">
      <c r="B3025" s="57"/>
      <c r="C3025" s="43" t="str">
        <f t="array" ref="C3025">IF(B3025="","",_xlfn.XLOOKUP(B3025,'Form responses 1'!$B$2:$B$2604,'Form responses 1'!$A$2:$A$2604,""))</f>
        <v/>
      </c>
      <c r="D3025" s="44" t="str">
        <f t="shared" si="3"/>
        <v/>
      </c>
      <c r="E3025" s="44" t="str">
        <f t="array" ref="E3025">IF(B3025="","",_xlfn.XLOOKUP(B3025,'Form responses 1'!$B$2:$B$2604,'Form responses 1'!$C$2:$C$2604,""))</f>
        <v/>
      </c>
      <c r="F3025" s="44" t="str">
        <f t="array" ref="F3025">IF(B3025="","",_xlfn.XLOOKUP(B3025,'Form responses 1'!$B$2:$B$2604,'Form responses 1'!$D$2:$D$2604,""))</f>
        <v/>
      </c>
      <c r="G3025" s="44" t="str">
        <f t="array" ref="G3025">IF(B3025="","",_xlfn.XLOOKUP(B3025,'Form responses 1'!$B$2:$B$2604,'Form responses 1'!$E$2:$E$2604,""))</f>
        <v/>
      </c>
      <c r="H3025" s="44" t="str">
        <f t="array" ref="H3025">IF(B3025="","",_xlfn.XLOOKUP(B3025,'Form responses 1'!$B$2:$B$2604,'Form responses 1'!$F$2:$F$2604,""))</f>
        <v/>
      </c>
      <c r="I3025" s="44" t="str">
        <f t="array" ref="I3025">IF(B3025="","",_xlfn.XLOOKUP(B3025,'Form responses 1'!$B$2:$B$2604,'Form responses 1'!$I$2:$I$2604,""))</f>
        <v/>
      </c>
      <c r="J3025" s="44" t="str">
        <f t="array" ref="J3025">IF(B3025="","",_xlfn.XLOOKUP(B3025,'Form responses 1'!$B$2:$B$2604,'Form responses 1'!$G$2:$G$2604,""))</f>
        <v/>
      </c>
      <c r="K3025" s="56"/>
      <c r="L3025" s="58" t="str">
        <f t="shared" si="7"/>
        <v/>
      </c>
      <c r="M3025" s="49"/>
      <c r="N3025" s="49"/>
      <c r="O3025" s="49"/>
      <c r="P3025" s="49"/>
      <c r="Q3025" s="49"/>
      <c r="R3025" s="49"/>
      <c r="S3025" s="49"/>
      <c r="T3025" s="49"/>
      <c r="U3025" s="49"/>
      <c r="V3025" s="49"/>
      <c r="W3025" s="56"/>
      <c r="X3025" s="51" t="str">
        <f t="shared" si="5"/>
        <v/>
      </c>
      <c r="Y3025" s="50" t="s">
        <v>482</v>
      </c>
      <c r="Z3025" s="49">
        <f t="shared" si="6"/>
        <v>0</v>
      </c>
    </row>
    <row r="3026" ht="22.5" customHeight="1">
      <c r="B3026" s="57"/>
      <c r="C3026" s="43" t="str">
        <f t="array" ref="C3026">IF(B3026="","",_xlfn.XLOOKUP(B3026,'Form responses 1'!$B$2:$B$2604,'Form responses 1'!$A$2:$A$2604,""))</f>
        <v/>
      </c>
      <c r="D3026" s="44" t="str">
        <f t="shared" si="3"/>
        <v/>
      </c>
      <c r="E3026" s="44" t="str">
        <f t="array" ref="E3026">IF(B3026="","",_xlfn.XLOOKUP(B3026,'Form responses 1'!$B$2:$B$2604,'Form responses 1'!$C$2:$C$2604,""))</f>
        <v/>
      </c>
      <c r="F3026" s="44" t="str">
        <f t="array" ref="F3026">IF(B3026="","",_xlfn.XLOOKUP(B3026,'Form responses 1'!$B$2:$B$2604,'Form responses 1'!$D$2:$D$2604,""))</f>
        <v/>
      </c>
      <c r="G3026" s="44" t="str">
        <f t="array" ref="G3026">IF(B3026="","",_xlfn.XLOOKUP(B3026,'Form responses 1'!$B$2:$B$2604,'Form responses 1'!$E$2:$E$2604,""))</f>
        <v/>
      </c>
      <c r="H3026" s="44" t="str">
        <f t="array" ref="H3026">IF(B3026="","",_xlfn.XLOOKUP(B3026,'Form responses 1'!$B$2:$B$2604,'Form responses 1'!$F$2:$F$2604,""))</f>
        <v/>
      </c>
      <c r="I3026" s="44" t="str">
        <f t="array" ref="I3026">IF(B3026="","",_xlfn.XLOOKUP(B3026,'Form responses 1'!$B$2:$B$2604,'Form responses 1'!$I$2:$I$2604,""))</f>
        <v/>
      </c>
      <c r="J3026" s="44" t="str">
        <f t="array" ref="J3026">IF(B3026="","",_xlfn.XLOOKUP(B3026,'Form responses 1'!$B$2:$B$2604,'Form responses 1'!$G$2:$G$2604,""))</f>
        <v/>
      </c>
      <c r="K3026" s="56"/>
      <c r="L3026" s="58" t="str">
        <f t="shared" si="7"/>
        <v/>
      </c>
      <c r="M3026" s="49"/>
      <c r="N3026" s="49"/>
      <c r="O3026" s="49"/>
      <c r="P3026" s="49"/>
      <c r="Q3026" s="49"/>
      <c r="R3026" s="49"/>
      <c r="S3026" s="49"/>
      <c r="T3026" s="49"/>
      <c r="U3026" s="49"/>
      <c r="V3026" s="49"/>
      <c r="W3026" s="56"/>
      <c r="X3026" s="51" t="str">
        <f t="shared" si="5"/>
        <v/>
      </c>
      <c r="Y3026" s="50" t="s">
        <v>482</v>
      </c>
      <c r="Z3026" s="49">
        <f t="shared" si="6"/>
        <v>0</v>
      </c>
    </row>
    <row r="3027" ht="22.5" customHeight="1">
      <c r="B3027" s="57"/>
      <c r="C3027" s="43" t="str">
        <f t="array" ref="C3027">IF(B3027="","",_xlfn.XLOOKUP(B3027,'Form responses 1'!$B$2:$B$2604,'Form responses 1'!$A$2:$A$2604,""))</f>
        <v/>
      </c>
      <c r="D3027" s="44" t="str">
        <f t="shared" si="3"/>
        <v/>
      </c>
      <c r="E3027" s="44" t="str">
        <f t="array" ref="E3027">IF(B3027="","",_xlfn.XLOOKUP(B3027,'Form responses 1'!$B$2:$B$2604,'Form responses 1'!$C$2:$C$2604,""))</f>
        <v/>
      </c>
      <c r="F3027" s="44" t="str">
        <f t="array" ref="F3027">IF(B3027="","",_xlfn.XLOOKUP(B3027,'Form responses 1'!$B$2:$B$2604,'Form responses 1'!$D$2:$D$2604,""))</f>
        <v/>
      </c>
      <c r="G3027" s="44" t="str">
        <f t="array" ref="G3027">IF(B3027="","",_xlfn.XLOOKUP(B3027,'Form responses 1'!$B$2:$B$2604,'Form responses 1'!$E$2:$E$2604,""))</f>
        <v/>
      </c>
      <c r="H3027" s="44" t="str">
        <f t="array" ref="H3027">IF(B3027="","",_xlfn.XLOOKUP(B3027,'Form responses 1'!$B$2:$B$2604,'Form responses 1'!$F$2:$F$2604,""))</f>
        <v/>
      </c>
      <c r="I3027" s="44" t="str">
        <f t="array" ref="I3027">IF(B3027="","",_xlfn.XLOOKUP(B3027,'Form responses 1'!$B$2:$B$2604,'Form responses 1'!$I$2:$I$2604,""))</f>
        <v/>
      </c>
      <c r="J3027" s="44" t="str">
        <f t="array" ref="J3027">IF(B3027="","",_xlfn.XLOOKUP(B3027,'Form responses 1'!$B$2:$B$2604,'Form responses 1'!$G$2:$G$2604,""))</f>
        <v/>
      </c>
      <c r="K3027" s="56"/>
      <c r="L3027" s="58" t="str">
        <f t="shared" si="7"/>
        <v/>
      </c>
      <c r="M3027" s="49"/>
      <c r="N3027" s="49"/>
      <c r="O3027" s="49"/>
      <c r="P3027" s="49"/>
      <c r="Q3027" s="49"/>
      <c r="R3027" s="49"/>
      <c r="S3027" s="49"/>
      <c r="T3027" s="49"/>
      <c r="U3027" s="49"/>
      <c r="V3027" s="49"/>
      <c r="W3027" s="56"/>
      <c r="X3027" s="51" t="str">
        <f t="shared" si="5"/>
        <v/>
      </c>
      <c r="Y3027" s="50" t="s">
        <v>482</v>
      </c>
      <c r="Z3027" s="49">
        <f t="shared" si="6"/>
        <v>0</v>
      </c>
    </row>
    <row r="3028" ht="22.5" customHeight="1">
      <c r="B3028" s="57"/>
      <c r="C3028" s="43" t="str">
        <f t="array" ref="C3028">IF(B3028="","",_xlfn.XLOOKUP(B3028,'Form responses 1'!$B$2:$B$2604,'Form responses 1'!$A$2:$A$2604,""))</f>
        <v/>
      </c>
      <c r="D3028" s="44" t="str">
        <f t="shared" si="3"/>
        <v/>
      </c>
      <c r="E3028" s="44" t="str">
        <f t="array" ref="E3028">IF(B3028="","",_xlfn.XLOOKUP(B3028,'Form responses 1'!$B$2:$B$2604,'Form responses 1'!$C$2:$C$2604,""))</f>
        <v/>
      </c>
      <c r="F3028" s="44" t="str">
        <f t="array" ref="F3028">IF(B3028="","",_xlfn.XLOOKUP(B3028,'Form responses 1'!$B$2:$B$2604,'Form responses 1'!$D$2:$D$2604,""))</f>
        <v/>
      </c>
      <c r="G3028" s="44" t="str">
        <f t="array" ref="G3028">IF(B3028="","",_xlfn.XLOOKUP(B3028,'Form responses 1'!$B$2:$B$2604,'Form responses 1'!$E$2:$E$2604,""))</f>
        <v/>
      </c>
      <c r="H3028" s="44" t="str">
        <f t="array" ref="H3028">IF(B3028="","",_xlfn.XLOOKUP(B3028,'Form responses 1'!$B$2:$B$2604,'Form responses 1'!$F$2:$F$2604,""))</f>
        <v/>
      </c>
      <c r="I3028" s="44" t="str">
        <f t="array" ref="I3028">IF(B3028="","",_xlfn.XLOOKUP(B3028,'Form responses 1'!$B$2:$B$2604,'Form responses 1'!$I$2:$I$2604,""))</f>
        <v/>
      </c>
      <c r="J3028" s="44" t="str">
        <f t="array" ref="J3028">IF(B3028="","",_xlfn.XLOOKUP(B3028,'Form responses 1'!$B$2:$B$2604,'Form responses 1'!$G$2:$G$2604,""))</f>
        <v/>
      </c>
      <c r="K3028" s="56"/>
      <c r="L3028" s="58" t="str">
        <f t="shared" si="7"/>
        <v/>
      </c>
      <c r="M3028" s="49"/>
      <c r="N3028" s="49"/>
      <c r="O3028" s="49"/>
      <c r="P3028" s="49"/>
      <c r="Q3028" s="49"/>
      <c r="R3028" s="49"/>
      <c r="S3028" s="49"/>
      <c r="T3028" s="49"/>
      <c r="U3028" s="49"/>
      <c r="V3028" s="49"/>
      <c r="W3028" s="56"/>
      <c r="X3028" s="51" t="str">
        <f t="shared" si="5"/>
        <v/>
      </c>
      <c r="Y3028" s="50" t="s">
        <v>482</v>
      </c>
      <c r="Z3028" s="49">
        <f t="shared" si="6"/>
        <v>0</v>
      </c>
    </row>
    <row r="3029" ht="22.5" customHeight="1">
      <c r="B3029" s="57"/>
      <c r="C3029" s="43" t="str">
        <f t="array" ref="C3029">IF(B3029="","",_xlfn.XLOOKUP(B3029,'Form responses 1'!$B$2:$B$2604,'Form responses 1'!$A$2:$A$2604,""))</f>
        <v/>
      </c>
      <c r="D3029" s="44" t="str">
        <f t="shared" si="3"/>
        <v/>
      </c>
      <c r="E3029" s="44" t="str">
        <f t="array" ref="E3029">IF(B3029="","",_xlfn.XLOOKUP(B3029,'Form responses 1'!$B$2:$B$2604,'Form responses 1'!$C$2:$C$2604,""))</f>
        <v/>
      </c>
      <c r="F3029" s="44" t="str">
        <f t="array" ref="F3029">IF(B3029="","",_xlfn.XLOOKUP(B3029,'Form responses 1'!$B$2:$B$2604,'Form responses 1'!$D$2:$D$2604,""))</f>
        <v/>
      </c>
      <c r="G3029" s="44" t="str">
        <f t="array" ref="G3029">IF(B3029="","",_xlfn.XLOOKUP(B3029,'Form responses 1'!$B$2:$B$2604,'Form responses 1'!$E$2:$E$2604,""))</f>
        <v/>
      </c>
      <c r="H3029" s="44" t="str">
        <f t="array" ref="H3029">IF(B3029="","",_xlfn.XLOOKUP(B3029,'Form responses 1'!$B$2:$B$2604,'Form responses 1'!$F$2:$F$2604,""))</f>
        <v/>
      </c>
      <c r="I3029" s="44" t="str">
        <f t="array" ref="I3029">IF(B3029="","",_xlfn.XLOOKUP(B3029,'Form responses 1'!$B$2:$B$2604,'Form responses 1'!$I$2:$I$2604,""))</f>
        <v/>
      </c>
      <c r="J3029" s="44" t="str">
        <f t="array" ref="J3029">IF(B3029="","",_xlfn.XLOOKUP(B3029,'Form responses 1'!$B$2:$B$2604,'Form responses 1'!$G$2:$G$2604,""))</f>
        <v/>
      </c>
      <c r="K3029" s="56"/>
      <c r="L3029" s="58" t="str">
        <f t="shared" si="7"/>
        <v/>
      </c>
      <c r="M3029" s="49"/>
      <c r="N3029" s="49"/>
      <c r="O3029" s="49"/>
      <c r="P3029" s="49"/>
      <c r="Q3029" s="49"/>
      <c r="R3029" s="49"/>
      <c r="S3029" s="49"/>
      <c r="T3029" s="49"/>
      <c r="U3029" s="49"/>
      <c r="V3029" s="49"/>
      <c r="W3029" s="56"/>
      <c r="X3029" s="51" t="str">
        <f t="shared" si="5"/>
        <v/>
      </c>
      <c r="Y3029" s="50" t="s">
        <v>482</v>
      </c>
      <c r="Z3029" s="49">
        <f t="shared" si="6"/>
        <v>0</v>
      </c>
    </row>
    <row r="3030" ht="22.5" customHeight="1">
      <c r="B3030" s="57"/>
      <c r="C3030" s="43" t="str">
        <f t="array" ref="C3030">IF(B3030="","",_xlfn.XLOOKUP(B3030,'Form responses 1'!$B$2:$B$2604,'Form responses 1'!$A$2:$A$2604,""))</f>
        <v/>
      </c>
      <c r="D3030" s="44" t="str">
        <f t="shared" si="3"/>
        <v/>
      </c>
      <c r="E3030" s="44" t="str">
        <f t="array" ref="E3030">IF(B3030="","",_xlfn.XLOOKUP(B3030,'Form responses 1'!$B$2:$B$2604,'Form responses 1'!$C$2:$C$2604,""))</f>
        <v/>
      </c>
      <c r="F3030" s="44" t="str">
        <f t="array" ref="F3030">IF(B3030="","",_xlfn.XLOOKUP(B3030,'Form responses 1'!$B$2:$B$2604,'Form responses 1'!$D$2:$D$2604,""))</f>
        <v/>
      </c>
      <c r="G3030" s="44" t="str">
        <f t="array" ref="G3030">IF(B3030="","",_xlfn.XLOOKUP(B3030,'Form responses 1'!$B$2:$B$2604,'Form responses 1'!$E$2:$E$2604,""))</f>
        <v/>
      </c>
      <c r="H3030" s="44" t="str">
        <f t="array" ref="H3030">IF(B3030="","",_xlfn.XLOOKUP(B3030,'Form responses 1'!$B$2:$B$2604,'Form responses 1'!$F$2:$F$2604,""))</f>
        <v/>
      </c>
      <c r="I3030" s="44" t="str">
        <f t="array" ref="I3030">IF(B3030="","",_xlfn.XLOOKUP(B3030,'Form responses 1'!$B$2:$B$2604,'Form responses 1'!$I$2:$I$2604,""))</f>
        <v/>
      </c>
      <c r="J3030" s="44" t="str">
        <f t="array" ref="J3030">IF(B3030="","",_xlfn.XLOOKUP(B3030,'Form responses 1'!$B$2:$B$2604,'Form responses 1'!$G$2:$G$2604,""))</f>
        <v/>
      </c>
      <c r="K3030" s="56"/>
      <c r="L3030" s="58" t="str">
        <f t="shared" si="7"/>
        <v/>
      </c>
      <c r="M3030" s="49"/>
      <c r="N3030" s="49"/>
      <c r="O3030" s="49"/>
      <c r="P3030" s="49"/>
      <c r="Q3030" s="49"/>
      <c r="R3030" s="49"/>
      <c r="S3030" s="49"/>
      <c r="T3030" s="49"/>
      <c r="U3030" s="49"/>
      <c r="V3030" s="49"/>
      <c r="W3030" s="56"/>
      <c r="X3030" s="51" t="str">
        <f t="shared" si="5"/>
        <v/>
      </c>
      <c r="Y3030" s="50" t="s">
        <v>482</v>
      </c>
      <c r="Z3030" s="49">
        <f t="shared" si="6"/>
        <v>0</v>
      </c>
    </row>
    <row r="3031" ht="22.5" customHeight="1">
      <c r="B3031" s="57"/>
      <c r="C3031" s="43" t="str">
        <f t="array" ref="C3031">IF(B3031="","",_xlfn.XLOOKUP(B3031,'Form responses 1'!$B$2:$B$2604,'Form responses 1'!$A$2:$A$2604,""))</f>
        <v/>
      </c>
      <c r="D3031" s="44" t="str">
        <f t="shared" si="3"/>
        <v/>
      </c>
      <c r="E3031" s="44" t="str">
        <f t="array" ref="E3031">IF(B3031="","",_xlfn.XLOOKUP(B3031,'Form responses 1'!$B$2:$B$2604,'Form responses 1'!$C$2:$C$2604,""))</f>
        <v/>
      </c>
      <c r="F3031" s="44" t="str">
        <f t="array" ref="F3031">IF(B3031="","",_xlfn.XLOOKUP(B3031,'Form responses 1'!$B$2:$B$2604,'Form responses 1'!$D$2:$D$2604,""))</f>
        <v/>
      </c>
      <c r="G3031" s="44" t="str">
        <f t="array" ref="G3031">IF(B3031="","",_xlfn.XLOOKUP(B3031,'Form responses 1'!$B$2:$B$2604,'Form responses 1'!$E$2:$E$2604,""))</f>
        <v/>
      </c>
      <c r="H3031" s="44" t="str">
        <f t="array" ref="H3031">IF(B3031="","",_xlfn.XLOOKUP(B3031,'Form responses 1'!$B$2:$B$2604,'Form responses 1'!$F$2:$F$2604,""))</f>
        <v/>
      </c>
      <c r="I3031" s="44" t="str">
        <f t="array" ref="I3031">IF(B3031="","",_xlfn.XLOOKUP(B3031,'Form responses 1'!$B$2:$B$2604,'Form responses 1'!$I$2:$I$2604,""))</f>
        <v/>
      </c>
      <c r="J3031" s="44" t="str">
        <f t="array" ref="J3031">IF(B3031="","",_xlfn.XLOOKUP(B3031,'Form responses 1'!$B$2:$B$2604,'Form responses 1'!$G$2:$G$2604,""))</f>
        <v/>
      </c>
      <c r="K3031" s="56"/>
      <c r="L3031" s="58" t="str">
        <f t="shared" si="7"/>
        <v/>
      </c>
      <c r="M3031" s="49"/>
      <c r="N3031" s="49"/>
      <c r="O3031" s="49"/>
      <c r="P3031" s="49"/>
      <c r="Q3031" s="49"/>
      <c r="R3031" s="49"/>
      <c r="S3031" s="49"/>
      <c r="T3031" s="49"/>
      <c r="U3031" s="49"/>
      <c r="V3031" s="49"/>
      <c r="W3031" s="56"/>
      <c r="X3031" s="51" t="str">
        <f t="shared" si="5"/>
        <v/>
      </c>
      <c r="Y3031" s="50" t="s">
        <v>482</v>
      </c>
      <c r="Z3031" s="49">
        <f t="shared" si="6"/>
        <v>0</v>
      </c>
    </row>
    <row r="3032" ht="22.5" customHeight="1">
      <c r="B3032" s="57"/>
      <c r="C3032" s="43" t="str">
        <f t="array" ref="C3032">IF(B3032="","",_xlfn.XLOOKUP(B3032,'Form responses 1'!$B$2:$B$2604,'Form responses 1'!$A$2:$A$2604,""))</f>
        <v/>
      </c>
      <c r="D3032" s="44" t="str">
        <f t="shared" si="3"/>
        <v/>
      </c>
      <c r="E3032" s="44" t="str">
        <f t="array" ref="E3032">IF(B3032="","",_xlfn.XLOOKUP(B3032,'Form responses 1'!$B$2:$B$2604,'Form responses 1'!$C$2:$C$2604,""))</f>
        <v/>
      </c>
      <c r="F3032" s="44" t="str">
        <f t="array" ref="F3032">IF(B3032="","",_xlfn.XLOOKUP(B3032,'Form responses 1'!$B$2:$B$2604,'Form responses 1'!$D$2:$D$2604,""))</f>
        <v/>
      </c>
      <c r="G3032" s="44" t="str">
        <f t="array" ref="G3032">IF(B3032="","",_xlfn.XLOOKUP(B3032,'Form responses 1'!$B$2:$B$2604,'Form responses 1'!$E$2:$E$2604,""))</f>
        <v/>
      </c>
      <c r="H3032" s="44" t="str">
        <f t="array" ref="H3032">IF(B3032="","",_xlfn.XLOOKUP(B3032,'Form responses 1'!$B$2:$B$2604,'Form responses 1'!$F$2:$F$2604,""))</f>
        <v/>
      </c>
      <c r="I3032" s="44" t="str">
        <f t="array" ref="I3032">IF(B3032="","",_xlfn.XLOOKUP(B3032,'Form responses 1'!$B$2:$B$2604,'Form responses 1'!$I$2:$I$2604,""))</f>
        <v/>
      </c>
      <c r="J3032" s="44" t="str">
        <f t="array" ref="J3032">IF(B3032="","",_xlfn.XLOOKUP(B3032,'Form responses 1'!$B$2:$B$2604,'Form responses 1'!$G$2:$G$2604,""))</f>
        <v/>
      </c>
      <c r="K3032" s="56"/>
      <c r="L3032" s="58" t="str">
        <f t="shared" si="7"/>
        <v/>
      </c>
      <c r="M3032" s="49"/>
      <c r="N3032" s="49"/>
      <c r="O3032" s="49"/>
      <c r="P3032" s="49"/>
      <c r="Q3032" s="49"/>
      <c r="R3032" s="49"/>
      <c r="S3032" s="49"/>
      <c r="T3032" s="49"/>
      <c r="U3032" s="49"/>
      <c r="V3032" s="49"/>
      <c r="W3032" s="56"/>
      <c r="X3032" s="51" t="str">
        <f t="shared" si="5"/>
        <v/>
      </c>
      <c r="Y3032" s="50" t="s">
        <v>482</v>
      </c>
      <c r="Z3032" s="49">
        <f t="shared" si="6"/>
        <v>0</v>
      </c>
    </row>
    <row r="3033" ht="22.5" customHeight="1">
      <c r="B3033" s="57"/>
      <c r="C3033" s="43" t="str">
        <f t="array" ref="C3033">IF(B3033="","",_xlfn.XLOOKUP(B3033,'Form responses 1'!$B$2:$B$2604,'Form responses 1'!$A$2:$A$2604,""))</f>
        <v/>
      </c>
      <c r="D3033" s="44" t="str">
        <f t="shared" si="3"/>
        <v/>
      </c>
      <c r="E3033" s="44" t="str">
        <f t="array" ref="E3033">IF(B3033="","",_xlfn.XLOOKUP(B3033,'Form responses 1'!$B$2:$B$2604,'Form responses 1'!$C$2:$C$2604,""))</f>
        <v/>
      </c>
      <c r="F3033" s="44" t="str">
        <f t="array" ref="F3033">IF(B3033="","",_xlfn.XLOOKUP(B3033,'Form responses 1'!$B$2:$B$2604,'Form responses 1'!$D$2:$D$2604,""))</f>
        <v/>
      </c>
      <c r="G3033" s="44" t="str">
        <f t="array" ref="G3033">IF(B3033="","",_xlfn.XLOOKUP(B3033,'Form responses 1'!$B$2:$B$2604,'Form responses 1'!$E$2:$E$2604,""))</f>
        <v/>
      </c>
      <c r="H3033" s="44" t="str">
        <f t="array" ref="H3033">IF(B3033="","",_xlfn.XLOOKUP(B3033,'Form responses 1'!$B$2:$B$2604,'Form responses 1'!$F$2:$F$2604,""))</f>
        <v/>
      </c>
      <c r="I3033" s="44" t="str">
        <f t="array" ref="I3033">IF(B3033="","",_xlfn.XLOOKUP(B3033,'Form responses 1'!$B$2:$B$2604,'Form responses 1'!$I$2:$I$2604,""))</f>
        <v/>
      </c>
      <c r="J3033" s="44" t="str">
        <f t="array" ref="J3033">IF(B3033="","",_xlfn.XLOOKUP(B3033,'Form responses 1'!$B$2:$B$2604,'Form responses 1'!$G$2:$G$2604,""))</f>
        <v/>
      </c>
      <c r="K3033" s="56"/>
      <c r="L3033" s="58" t="str">
        <f t="shared" si="7"/>
        <v/>
      </c>
      <c r="M3033" s="49"/>
      <c r="N3033" s="49"/>
      <c r="O3033" s="49"/>
      <c r="P3033" s="49"/>
      <c r="Q3033" s="49"/>
      <c r="R3033" s="49"/>
      <c r="S3033" s="49"/>
      <c r="T3033" s="49"/>
      <c r="U3033" s="49"/>
      <c r="V3033" s="49"/>
      <c r="W3033" s="56"/>
      <c r="X3033" s="51" t="str">
        <f t="shared" si="5"/>
        <v/>
      </c>
      <c r="Y3033" s="50" t="s">
        <v>482</v>
      </c>
      <c r="Z3033" s="49">
        <f t="shared" si="6"/>
        <v>0</v>
      </c>
    </row>
    <row r="3034" ht="22.5" customHeight="1">
      <c r="B3034" s="57"/>
      <c r="C3034" s="43" t="str">
        <f t="array" ref="C3034">IF(B3034="","",_xlfn.XLOOKUP(B3034,'Form responses 1'!$B$2:$B$2604,'Form responses 1'!$A$2:$A$2604,""))</f>
        <v/>
      </c>
      <c r="D3034" s="44" t="str">
        <f t="shared" si="3"/>
        <v/>
      </c>
      <c r="E3034" s="44" t="str">
        <f t="array" ref="E3034">IF(B3034="","",_xlfn.XLOOKUP(B3034,'Form responses 1'!$B$2:$B$2604,'Form responses 1'!$C$2:$C$2604,""))</f>
        <v/>
      </c>
      <c r="F3034" s="44" t="str">
        <f t="array" ref="F3034">IF(B3034="","",_xlfn.XLOOKUP(B3034,'Form responses 1'!$B$2:$B$2604,'Form responses 1'!$D$2:$D$2604,""))</f>
        <v/>
      </c>
      <c r="G3034" s="44" t="str">
        <f t="array" ref="G3034">IF(B3034="","",_xlfn.XLOOKUP(B3034,'Form responses 1'!$B$2:$B$2604,'Form responses 1'!$E$2:$E$2604,""))</f>
        <v/>
      </c>
      <c r="H3034" s="44" t="str">
        <f t="array" ref="H3034">IF(B3034="","",_xlfn.XLOOKUP(B3034,'Form responses 1'!$B$2:$B$2604,'Form responses 1'!$F$2:$F$2604,""))</f>
        <v/>
      </c>
      <c r="I3034" s="44" t="str">
        <f t="array" ref="I3034">IF(B3034="","",_xlfn.XLOOKUP(B3034,'Form responses 1'!$B$2:$B$2604,'Form responses 1'!$I$2:$I$2604,""))</f>
        <v/>
      </c>
      <c r="J3034" s="44" t="str">
        <f t="array" ref="J3034">IF(B3034="","",_xlfn.XLOOKUP(B3034,'Form responses 1'!$B$2:$B$2604,'Form responses 1'!$G$2:$G$2604,""))</f>
        <v/>
      </c>
      <c r="K3034" s="56"/>
      <c r="L3034" s="58" t="str">
        <f t="shared" si="7"/>
        <v/>
      </c>
      <c r="M3034" s="49"/>
      <c r="N3034" s="49"/>
      <c r="O3034" s="49"/>
      <c r="P3034" s="49"/>
      <c r="Q3034" s="49"/>
      <c r="R3034" s="49"/>
      <c r="S3034" s="49"/>
      <c r="T3034" s="49"/>
      <c r="U3034" s="49"/>
      <c r="V3034" s="49"/>
      <c r="W3034" s="56"/>
      <c r="X3034" s="51" t="str">
        <f t="shared" si="5"/>
        <v/>
      </c>
      <c r="Y3034" s="50" t="s">
        <v>482</v>
      </c>
      <c r="Z3034" s="49">
        <f t="shared" si="6"/>
        <v>0</v>
      </c>
    </row>
    <row r="3035" ht="22.5" customHeight="1">
      <c r="B3035" s="57"/>
      <c r="C3035" s="43" t="str">
        <f t="array" ref="C3035">IF(B3035="","",_xlfn.XLOOKUP(B3035,'Form responses 1'!$B$2:$B$2604,'Form responses 1'!$A$2:$A$2604,""))</f>
        <v/>
      </c>
      <c r="D3035" s="44" t="str">
        <f t="shared" si="3"/>
        <v/>
      </c>
      <c r="E3035" s="44" t="str">
        <f t="array" ref="E3035">IF(B3035="","",_xlfn.XLOOKUP(B3035,'Form responses 1'!$B$2:$B$2604,'Form responses 1'!$C$2:$C$2604,""))</f>
        <v/>
      </c>
      <c r="F3035" s="44" t="str">
        <f t="array" ref="F3035">IF(B3035="","",_xlfn.XLOOKUP(B3035,'Form responses 1'!$B$2:$B$2604,'Form responses 1'!$D$2:$D$2604,""))</f>
        <v/>
      </c>
      <c r="G3035" s="44" t="str">
        <f t="array" ref="G3035">IF(B3035="","",_xlfn.XLOOKUP(B3035,'Form responses 1'!$B$2:$B$2604,'Form responses 1'!$E$2:$E$2604,""))</f>
        <v/>
      </c>
      <c r="H3035" s="44" t="str">
        <f t="array" ref="H3035">IF(B3035="","",_xlfn.XLOOKUP(B3035,'Form responses 1'!$B$2:$B$2604,'Form responses 1'!$F$2:$F$2604,""))</f>
        <v/>
      </c>
      <c r="I3035" s="44" t="str">
        <f t="array" ref="I3035">IF(B3035="","",_xlfn.XLOOKUP(B3035,'Form responses 1'!$B$2:$B$2604,'Form responses 1'!$I$2:$I$2604,""))</f>
        <v/>
      </c>
      <c r="J3035" s="44" t="str">
        <f t="array" ref="J3035">IF(B3035="","",_xlfn.XLOOKUP(B3035,'Form responses 1'!$B$2:$B$2604,'Form responses 1'!$G$2:$G$2604,""))</f>
        <v/>
      </c>
      <c r="K3035" s="56"/>
      <c r="L3035" s="58" t="str">
        <f t="shared" si="7"/>
        <v/>
      </c>
      <c r="M3035" s="49"/>
      <c r="N3035" s="49"/>
      <c r="O3035" s="49"/>
      <c r="P3035" s="49"/>
      <c r="Q3035" s="49"/>
      <c r="R3035" s="49"/>
      <c r="S3035" s="49"/>
      <c r="T3035" s="49"/>
      <c r="U3035" s="49"/>
      <c r="V3035" s="49"/>
      <c r="W3035" s="56"/>
      <c r="X3035" s="51" t="str">
        <f t="shared" si="5"/>
        <v/>
      </c>
      <c r="Y3035" s="50" t="s">
        <v>482</v>
      </c>
      <c r="Z3035" s="49">
        <f t="shared" si="6"/>
        <v>0</v>
      </c>
    </row>
    <row r="3036" ht="22.5" customHeight="1">
      <c r="B3036" s="57"/>
      <c r="C3036" s="43" t="str">
        <f t="array" ref="C3036">IF(B3036="","",_xlfn.XLOOKUP(B3036,'Form responses 1'!$B$2:$B$2604,'Form responses 1'!$A$2:$A$2604,""))</f>
        <v/>
      </c>
      <c r="D3036" s="44" t="str">
        <f t="shared" si="3"/>
        <v/>
      </c>
      <c r="E3036" s="44" t="str">
        <f t="array" ref="E3036">IF(B3036="","",_xlfn.XLOOKUP(B3036,'Form responses 1'!$B$2:$B$2604,'Form responses 1'!$C$2:$C$2604,""))</f>
        <v/>
      </c>
      <c r="F3036" s="44" t="str">
        <f t="array" ref="F3036">IF(B3036="","",_xlfn.XLOOKUP(B3036,'Form responses 1'!$B$2:$B$2604,'Form responses 1'!$D$2:$D$2604,""))</f>
        <v/>
      </c>
      <c r="G3036" s="44" t="str">
        <f t="array" ref="G3036">IF(B3036="","",_xlfn.XLOOKUP(B3036,'Form responses 1'!$B$2:$B$2604,'Form responses 1'!$E$2:$E$2604,""))</f>
        <v/>
      </c>
      <c r="H3036" s="44" t="str">
        <f t="array" ref="H3036">IF(B3036="","",_xlfn.XLOOKUP(B3036,'Form responses 1'!$B$2:$B$2604,'Form responses 1'!$F$2:$F$2604,""))</f>
        <v/>
      </c>
      <c r="I3036" s="44" t="str">
        <f t="array" ref="I3036">IF(B3036="","",_xlfn.XLOOKUP(B3036,'Form responses 1'!$B$2:$B$2604,'Form responses 1'!$I$2:$I$2604,""))</f>
        <v/>
      </c>
      <c r="J3036" s="44" t="str">
        <f t="array" ref="J3036">IF(B3036="","",_xlfn.XLOOKUP(B3036,'Form responses 1'!$B$2:$B$2604,'Form responses 1'!$G$2:$G$2604,""))</f>
        <v/>
      </c>
      <c r="K3036" s="56"/>
      <c r="L3036" s="58" t="str">
        <f t="shared" si="7"/>
        <v/>
      </c>
      <c r="M3036" s="49"/>
      <c r="N3036" s="49"/>
      <c r="O3036" s="49"/>
      <c r="P3036" s="49"/>
      <c r="Q3036" s="49"/>
      <c r="R3036" s="49"/>
      <c r="S3036" s="49"/>
      <c r="T3036" s="49"/>
      <c r="U3036" s="49"/>
      <c r="V3036" s="49"/>
      <c r="W3036" s="56"/>
      <c r="X3036" s="51" t="str">
        <f t="shared" si="5"/>
        <v/>
      </c>
      <c r="Y3036" s="50" t="s">
        <v>482</v>
      </c>
      <c r="Z3036" s="49">
        <f t="shared" si="6"/>
        <v>0</v>
      </c>
    </row>
    <row r="3037" ht="22.5" customHeight="1">
      <c r="B3037" s="57"/>
      <c r="C3037" s="43" t="str">
        <f t="array" ref="C3037">IF(B3037="","",_xlfn.XLOOKUP(B3037,'Form responses 1'!$B$2:$B$2604,'Form responses 1'!$A$2:$A$2604,""))</f>
        <v/>
      </c>
      <c r="D3037" s="44" t="str">
        <f t="shared" si="3"/>
        <v/>
      </c>
      <c r="E3037" s="44" t="str">
        <f t="array" ref="E3037">IF(B3037="","",_xlfn.XLOOKUP(B3037,'Form responses 1'!$B$2:$B$2604,'Form responses 1'!$C$2:$C$2604,""))</f>
        <v/>
      </c>
      <c r="F3037" s="44" t="str">
        <f t="array" ref="F3037">IF(B3037="","",_xlfn.XLOOKUP(B3037,'Form responses 1'!$B$2:$B$2604,'Form responses 1'!$D$2:$D$2604,""))</f>
        <v/>
      </c>
      <c r="G3037" s="44" t="str">
        <f t="array" ref="G3037">IF(B3037="","",_xlfn.XLOOKUP(B3037,'Form responses 1'!$B$2:$B$2604,'Form responses 1'!$E$2:$E$2604,""))</f>
        <v/>
      </c>
      <c r="H3037" s="44" t="str">
        <f t="array" ref="H3037">IF(B3037="","",_xlfn.XLOOKUP(B3037,'Form responses 1'!$B$2:$B$2604,'Form responses 1'!$F$2:$F$2604,""))</f>
        <v/>
      </c>
      <c r="I3037" s="44" t="str">
        <f t="array" ref="I3037">IF(B3037="","",_xlfn.XLOOKUP(B3037,'Form responses 1'!$B$2:$B$2604,'Form responses 1'!$I$2:$I$2604,""))</f>
        <v/>
      </c>
      <c r="J3037" s="44" t="str">
        <f t="array" ref="J3037">IF(B3037="","",_xlfn.XLOOKUP(B3037,'Form responses 1'!$B$2:$B$2604,'Form responses 1'!$G$2:$G$2604,""))</f>
        <v/>
      </c>
      <c r="K3037" s="56"/>
      <c r="L3037" s="58" t="str">
        <f t="shared" si="7"/>
        <v/>
      </c>
      <c r="M3037" s="49"/>
      <c r="N3037" s="49"/>
      <c r="O3037" s="49"/>
      <c r="P3037" s="49"/>
      <c r="Q3037" s="49"/>
      <c r="R3037" s="49"/>
      <c r="S3037" s="49"/>
      <c r="T3037" s="49"/>
      <c r="U3037" s="49"/>
      <c r="V3037" s="49"/>
      <c r="W3037" s="56"/>
      <c r="X3037" s="51" t="str">
        <f t="shared" si="5"/>
        <v/>
      </c>
      <c r="Y3037" s="50" t="s">
        <v>482</v>
      </c>
      <c r="Z3037" s="49">
        <f t="shared" si="6"/>
        <v>0</v>
      </c>
    </row>
    <row r="3038" ht="22.5" customHeight="1">
      <c r="B3038" s="57"/>
      <c r="C3038" s="43" t="str">
        <f t="array" ref="C3038">IF(B3038="","",_xlfn.XLOOKUP(B3038,'Form responses 1'!$B$2:$B$2604,'Form responses 1'!$A$2:$A$2604,""))</f>
        <v/>
      </c>
      <c r="D3038" s="44" t="str">
        <f t="shared" si="3"/>
        <v/>
      </c>
      <c r="E3038" s="44" t="str">
        <f t="array" ref="E3038">IF(B3038="","",_xlfn.XLOOKUP(B3038,'Form responses 1'!$B$2:$B$2604,'Form responses 1'!$C$2:$C$2604,""))</f>
        <v/>
      </c>
      <c r="F3038" s="44" t="str">
        <f t="array" ref="F3038">IF(B3038="","",_xlfn.XLOOKUP(B3038,'Form responses 1'!$B$2:$B$2604,'Form responses 1'!$D$2:$D$2604,""))</f>
        <v/>
      </c>
      <c r="G3038" s="44" t="str">
        <f t="array" ref="G3038">IF(B3038="","",_xlfn.XLOOKUP(B3038,'Form responses 1'!$B$2:$B$2604,'Form responses 1'!$E$2:$E$2604,""))</f>
        <v/>
      </c>
      <c r="H3038" s="44" t="str">
        <f t="array" ref="H3038">IF(B3038="","",_xlfn.XLOOKUP(B3038,'Form responses 1'!$B$2:$B$2604,'Form responses 1'!$F$2:$F$2604,""))</f>
        <v/>
      </c>
      <c r="I3038" s="44" t="str">
        <f t="array" ref="I3038">IF(B3038="","",_xlfn.XLOOKUP(B3038,'Form responses 1'!$B$2:$B$2604,'Form responses 1'!$I$2:$I$2604,""))</f>
        <v/>
      </c>
      <c r="J3038" s="44" t="str">
        <f t="array" ref="J3038">IF(B3038="","",_xlfn.XLOOKUP(B3038,'Form responses 1'!$B$2:$B$2604,'Form responses 1'!$G$2:$G$2604,""))</f>
        <v/>
      </c>
      <c r="K3038" s="56"/>
      <c r="L3038" s="58" t="str">
        <f t="shared" si="7"/>
        <v/>
      </c>
      <c r="M3038" s="49"/>
      <c r="N3038" s="49"/>
      <c r="O3038" s="49"/>
      <c r="P3038" s="49"/>
      <c r="Q3038" s="49"/>
      <c r="R3038" s="49"/>
      <c r="S3038" s="49"/>
      <c r="T3038" s="49"/>
      <c r="U3038" s="49"/>
      <c r="V3038" s="49"/>
      <c r="W3038" s="56"/>
      <c r="X3038" s="51" t="str">
        <f t="shared" si="5"/>
        <v/>
      </c>
      <c r="Y3038" s="50" t="s">
        <v>482</v>
      </c>
      <c r="Z3038" s="49">
        <f t="shared" si="6"/>
        <v>0</v>
      </c>
    </row>
    <row r="3039" ht="22.5" customHeight="1">
      <c r="B3039" s="57"/>
      <c r="C3039" s="43" t="str">
        <f t="array" ref="C3039">IF(B3039="","",_xlfn.XLOOKUP(B3039,'Form responses 1'!$B$2:$B$2604,'Form responses 1'!$A$2:$A$2604,""))</f>
        <v/>
      </c>
      <c r="D3039" s="44" t="str">
        <f t="shared" si="3"/>
        <v/>
      </c>
      <c r="E3039" s="44" t="str">
        <f t="array" ref="E3039">IF(B3039="","",_xlfn.XLOOKUP(B3039,'Form responses 1'!$B$2:$B$2604,'Form responses 1'!$C$2:$C$2604,""))</f>
        <v/>
      </c>
      <c r="F3039" s="44" t="str">
        <f t="array" ref="F3039">IF(B3039="","",_xlfn.XLOOKUP(B3039,'Form responses 1'!$B$2:$B$2604,'Form responses 1'!$D$2:$D$2604,""))</f>
        <v/>
      </c>
      <c r="G3039" s="44" t="str">
        <f t="array" ref="G3039">IF(B3039="","",_xlfn.XLOOKUP(B3039,'Form responses 1'!$B$2:$B$2604,'Form responses 1'!$E$2:$E$2604,""))</f>
        <v/>
      </c>
      <c r="H3039" s="44" t="str">
        <f t="array" ref="H3039">IF(B3039="","",_xlfn.XLOOKUP(B3039,'Form responses 1'!$B$2:$B$2604,'Form responses 1'!$F$2:$F$2604,""))</f>
        <v/>
      </c>
      <c r="I3039" s="44" t="str">
        <f t="array" ref="I3039">IF(B3039="","",_xlfn.XLOOKUP(B3039,'Form responses 1'!$B$2:$B$2604,'Form responses 1'!$I$2:$I$2604,""))</f>
        <v/>
      </c>
      <c r="J3039" s="44" t="str">
        <f t="array" ref="J3039">IF(B3039="","",_xlfn.XLOOKUP(B3039,'Form responses 1'!$B$2:$B$2604,'Form responses 1'!$G$2:$G$2604,""))</f>
        <v/>
      </c>
      <c r="K3039" s="56"/>
      <c r="L3039" s="58" t="str">
        <f t="shared" si="7"/>
        <v/>
      </c>
      <c r="M3039" s="49"/>
      <c r="N3039" s="49"/>
      <c r="O3039" s="49"/>
      <c r="P3039" s="49"/>
      <c r="Q3039" s="49"/>
      <c r="R3039" s="49"/>
      <c r="S3039" s="49"/>
      <c r="T3039" s="49"/>
      <c r="U3039" s="49"/>
      <c r="V3039" s="49"/>
      <c r="W3039" s="56"/>
      <c r="X3039" s="51" t="str">
        <f t="shared" si="5"/>
        <v/>
      </c>
      <c r="Y3039" s="50" t="s">
        <v>482</v>
      </c>
      <c r="Z3039" s="49">
        <f t="shared" si="6"/>
        <v>0</v>
      </c>
    </row>
    <row r="3040" ht="22.5" customHeight="1">
      <c r="B3040" s="57"/>
      <c r="C3040" s="43" t="str">
        <f t="array" ref="C3040">IF(B3040="","",_xlfn.XLOOKUP(B3040,'Form responses 1'!$B$2:$B$2604,'Form responses 1'!$A$2:$A$2604,""))</f>
        <v/>
      </c>
      <c r="D3040" s="44" t="str">
        <f t="shared" si="3"/>
        <v/>
      </c>
      <c r="E3040" s="44" t="str">
        <f t="array" ref="E3040">IF(B3040="","",_xlfn.XLOOKUP(B3040,'Form responses 1'!$B$2:$B$2604,'Form responses 1'!$C$2:$C$2604,""))</f>
        <v/>
      </c>
      <c r="F3040" s="44" t="str">
        <f t="array" ref="F3040">IF(B3040="","",_xlfn.XLOOKUP(B3040,'Form responses 1'!$B$2:$B$2604,'Form responses 1'!$D$2:$D$2604,""))</f>
        <v/>
      </c>
      <c r="G3040" s="44" t="str">
        <f t="array" ref="G3040">IF(B3040="","",_xlfn.XLOOKUP(B3040,'Form responses 1'!$B$2:$B$2604,'Form responses 1'!$E$2:$E$2604,""))</f>
        <v/>
      </c>
      <c r="H3040" s="44" t="str">
        <f t="array" ref="H3040">IF(B3040="","",_xlfn.XLOOKUP(B3040,'Form responses 1'!$B$2:$B$2604,'Form responses 1'!$F$2:$F$2604,""))</f>
        <v/>
      </c>
      <c r="I3040" s="44" t="str">
        <f t="array" ref="I3040">IF(B3040="","",_xlfn.XLOOKUP(B3040,'Form responses 1'!$B$2:$B$2604,'Form responses 1'!$I$2:$I$2604,""))</f>
        <v/>
      </c>
      <c r="J3040" s="44" t="str">
        <f t="array" ref="J3040">IF(B3040="","",_xlfn.XLOOKUP(B3040,'Form responses 1'!$B$2:$B$2604,'Form responses 1'!$G$2:$G$2604,""))</f>
        <v/>
      </c>
      <c r="K3040" s="56"/>
      <c r="L3040" s="58" t="str">
        <f t="shared" si="7"/>
        <v/>
      </c>
      <c r="M3040" s="49"/>
      <c r="N3040" s="49"/>
      <c r="O3040" s="49"/>
      <c r="P3040" s="49"/>
      <c r="Q3040" s="49"/>
      <c r="R3040" s="49"/>
      <c r="S3040" s="49"/>
      <c r="T3040" s="49"/>
      <c r="U3040" s="49"/>
      <c r="V3040" s="49"/>
      <c r="W3040" s="56"/>
      <c r="X3040" s="51" t="str">
        <f t="shared" si="5"/>
        <v/>
      </c>
      <c r="Y3040" s="50" t="s">
        <v>482</v>
      </c>
      <c r="Z3040" s="49">
        <f t="shared" si="6"/>
        <v>0</v>
      </c>
    </row>
    <row r="3041" ht="22.5" customHeight="1">
      <c r="B3041" s="57"/>
      <c r="C3041" s="43" t="str">
        <f t="array" ref="C3041">IF(B3041="","",_xlfn.XLOOKUP(B3041,'Form responses 1'!$B$2:$B$2604,'Form responses 1'!$A$2:$A$2604,""))</f>
        <v/>
      </c>
      <c r="D3041" s="44" t="str">
        <f t="shared" si="3"/>
        <v/>
      </c>
      <c r="E3041" s="44" t="str">
        <f t="array" ref="E3041">IF(B3041="","",_xlfn.XLOOKUP(B3041,'Form responses 1'!$B$2:$B$2604,'Form responses 1'!$C$2:$C$2604,""))</f>
        <v/>
      </c>
      <c r="F3041" s="44" t="str">
        <f t="array" ref="F3041">IF(B3041="","",_xlfn.XLOOKUP(B3041,'Form responses 1'!$B$2:$B$2604,'Form responses 1'!$D$2:$D$2604,""))</f>
        <v/>
      </c>
      <c r="G3041" s="44" t="str">
        <f t="array" ref="G3041">IF(B3041="","",_xlfn.XLOOKUP(B3041,'Form responses 1'!$B$2:$B$2604,'Form responses 1'!$E$2:$E$2604,""))</f>
        <v/>
      </c>
      <c r="H3041" s="44" t="str">
        <f t="array" ref="H3041">IF(B3041="","",_xlfn.XLOOKUP(B3041,'Form responses 1'!$B$2:$B$2604,'Form responses 1'!$F$2:$F$2604,""))</f>
        <v/>
      </c>
      <c r="I3041" s="44" t="str">
        <f t="array" ref="I3041">IF(B3041="","",_xlfn.XLOOKUP(B3041,'Form responses 1'!$B$2:$B$2604,'Form responses 1'!$I$2:$I$2604,""))</f>
        <v/>
      </c>
      <c r="J3041" s="44" t="str">
        <f t="array" ref="J3041">IF(B3041="","",_xlfn.XLOOKUP(B3041,'Form responses 1'!$B$2:$B$2604,'Form responses 1'!$G$2:$G$2604,""))</f>
        <v/>
      </c>
      <c r="K3041" s="56"/>
      <c r="L3041" s="58" t="str">
        <f t="shared" si="7"/>
        <v/>
      </c>
      <c r="M3041" s="49"/>
      <c r="N3041" s="49"/>
      <c r="O3041" s="49"/>
      <c r="P3041" s="49"/>
      <c r="Q3041" s="49"/>
      <c r="R3041" s="49"/>
      <c r="S3041" s="49"/>
      <c r="T3041" s="49"/>
      <c r="U3041" s="49"/>
      <c r="V3041" s="49"/>
      <c r="W3041" s="56"/>
      <c r="X3041" s="51" t="str">
        <f t="shared" si="5"/>
        <v/>
      </c>
      <c r="Y3041" s="50" t="s">
        <v>482</v>
      </c>
      <c r="Z3041" s="49">
        <f t="shared" si="6"/>
        <v>0</v>
      </c>
    </row>
    <row r="3042" ht="22.5" customHeight="1">
      <c r="B3042" s="57"/>
      <c r="C3042" s="43" t="str">
        <f t="array" ref="C3042">IF(B3042="","",_xlfn.XLOOKUP(B3042,'Form responses 1'!$B$2:$B$2604,'Form responses 1'!$A$2:$A$2604,""))</f>
        <v/>
      </c>
      <c r="D3042" s="44" t="str">
        <f t="shared" si="3"/>
        <v/>
      </c>
      <c r="E3042" s="44" t="str">
        <f t="array" ref="E3042">IF(B3042="","",_xlfn.XLOOKUP(B3042,'Form responses 1'!$B$2:$B$2604,'Form responses 1'!$C$2:$C$2604,""))</f>
        <v/>
      </c>
      <c r="F3042" s="44" t="str">
        <f t="array" ref="F3042">IF(B3042="","",_xlfn.XLOOKUP(B3042,'Form responses 1'!$B$2:$B$2604,'Form responses 1'!$D$2:$D$2604,""))</f>
        <v/>
      </c>
      <c r="G3042" s="44" t="str">
        <f t="array" ref="G3042">IF(B3042="","",_xlfn.XLOOKUP(B3042,'Form responses 1'!$B$2:$B$2604,'Form responses 1'!$E$2:$E$2604,""))</f>
        <v/>
      </c>
      <c r="H3042" s="44" t="str">
        <f t="array" ref="H3042">IF(B3042="","",_xlfn.XLOOKUP(B3042,'Form responses 1'!$B$2:$B$2604,'Form responses 1'!$F$2:$F$2604,""))</f>
        <v/>
      </c>
      <c r="I3042" s="44" t="str">
        <f t="array" ref="I3042">IF(B3042="","",_xlfn.XLOOKUP(B3042,'Form responses 1'!$B$2:$B$2604,'Form responses 1'!$I$2:$I$2604,""))</f>
        <v/>
      </c>
      <c r="J3042" s="44" t="str">
        <f t="array" ref="J3042">IF(B3042="","",_xlfn.XLOOKUP(B3042,'Form responses 1'!$B$2:$B$2604,'Form responses 1'!$G$2:$G$2604,""))</f>
        <v/>
      </c>
      <c r="K3042" s="56"/>
      <c r="L3042" s="58" t="str">
        <f t="shared" si="7"/>
        <v/>
      </c>
      <c r="M3042" s="49"/>
      <c r="N3042" s="49"/>
      <c r="O3042" s="49"/>
      <c r="P3042" s="49"/>
      <c r="Q3042" s="49"/>
      <c r="R3042" s="49"/>
      <c r="S3042" s="49"/>
      <c r="T3042" s="49"/>
      <c r="U3042" s="49"/>
      <c r="V3042" s="49"/>
      <c r="W3042" s="56"/>
      <c r="X3042" s="51" t="str">
        <f t="shared" si="5"/>
        <v/>
      </c>
      <c r="Y3042" s="50" t="s">
        <v>482</v>
      </c>
      <c r="Z3042" s="49">
        <f t="shared" si="6"/>
        <v>0</v>
      </c>
    </row>
    <row r="3043" ht="22.5" customHeight="1">
      <c r="B3043" s="57"/>
      <c r="C3043" s="43" t="str">
        <f t="array" ref="C3043">IF(B3043="","",_xlfn.XLOOKUP(B3043,'Form responses 1'!$B$2:$B$2604,'Form responses 1'!$A$2:$A$2604,""))</f>
        <v/>
      </c>
      <c r="D3043" s="44" t="str">
        <f t="shared" si="3"/>
        <v/>
      </c>
      <c r="E3043" s="44" t="str">
        <f t="array" ref="E3043">IF(B3043="","",_xlfn.XLOOKUP(B3043,'Form responses 1'!$B$2:$B$2604,'Form responses 1'!$C$2:$C$2604,""))</f>
        <v/>
      </c>
      <c r="F3043" s="44" t="str">
        <f t="array" ref="F3043">IF(B3043="","",_xlfn.XLOOKUP(B3043,'Form responses 1'!$B$2:$B$2604,'Form responses 1'!$D$2:$D$2604,""))</f>
        <v/>
      </c>
      <c r="G3043" s="44" t="str">
        <f t="array" ref="G3043">IF(B3043="","",_xlfn.XLOOKUP(B3043,'Form responses 1'!$B$2:$B$2604,'Form responses 1'!$E$2:$E$2604,""))</f>
        <v/>
      </c>
      <c r="H3043" s="44" t="str">
        <f t="array" ref="H3043">IF(B3043="","",_xlfn.XLOOKUP(B3043,'Form responses 1'!$B$2:$B$2604,'Form responses 1'!$F$2:$F$2604,""))</f>
        <v/>
      </c>
      <c r="I3043" s="44" t="str">
        <f t="array" ref="I3043">IF(B3043="","",_xlfn.XLOOKUP(B3043,'Form responses 1'!$B$2:$B$2604,'Form responses 1'!$I$2:$I$2604,""))</f>
        <v/>
      </c>
      <c r="J3043" s="44" t="str">
        <f t="array" ref="J3043">IF(B3043="","",_xlfn.XLOOKUP(B3043,'Form responses 1'!$B$2:$B$2604,'Form responses 1'!$G$2:$G$2604,""))</f>
        <v/>
      </c>
      <c r="K3043" s="56"/>
      <c r="L3043" s="58" t="str">
        <f t="shared" si="7"/>
        <v/>
      </c>
      <c r="M3043" s="49"/>
      <c r="N3043" s="49"/>
      <c r="O3043" s="49"/>
      <c r="P3043" s="49"/>
      <c r="Q3043" s="49"/>
      <c r="R3043" s="49"/>
      <c r="S3043" s="49"/>
      <c r="T3043" s="49"/>
      <c r="U3043" s="49"/>
      <c r="V3043" s="49"/>
      <c r="W3043" s="56"/>
      <c r="X3043" s="51" t="str">
        <f t="shared" si="5"/>
        <v/>
      </c>
      <c r="Y3043" s="50" t="s">
        <v>482</v>
      </c>
      <c r="Z3043" s="49">
        <f t="shared" si="6"/>
        <v>0</v>
      </c>
    </row>
    <row r="3044" ht="22.5" customHeight="1">
      <c r="B3044" s="57"/>
      <c r="C3044" s="43" t="str">
        <f t="array" ref="C3044">IF(B3044="","",_xlfn.XLOOKUP(B3044,'Form responses 1'!$B$2:$B$2604,'Form responses 1'!$A$2:$A$2604,""))</f>
        <v/>
      </c>
      <c r="D3044" s="44" t="str">
        <f t="shared" si="3"/>
        <v/>
      </c>
      <c r="E3044" s="44" t="str">
        <f t="array" ref="E3044">IF(B3044="","",_xlfn.XLOOKUP(B3044,'Form responses 1'!$B$2:$B$2604,'Form responses 1'!$C$2:$C$2604,""))</f>
        <v/>
      </c>
      <c r="F3044" s="44" t="str">
        <f t="array" ref="F3044">IF(B3044="","",_xlfn.XLOOKUP(B3044,'Form responses 1'!$B$2:$B$2604,'Form responses 1'!$D$2:$D$2604,""))</f>
        <v/>
      </c>
      <c r="G3044" s="44" t="str">
        <f t="array" ref="G3044">IF(B3044="","",_xlfn.XLOOKUP(B3044,'Form responses 1'!$B$2:$B$2604,'Form responses 1'!$E$2:$E$2604,""))</f>
        <v/>
      </c>
      <c r="H3044" s="44" t="str">
        <f t="array" ref="H3044">IF(B3044="","",_xlfn.XLOOKUP(B3044,'Form responses 1'!$B$2:$B$2604,'Form responses 1'!$F$2:$F$2604,""))</f>
        <v/>
      </c>
      <c r="I3044" s="44" t="str">
        <f t="array" ref="I3044">IF(B3044="","",_xlfn.XLOOKUP(B3044,'Form responses 1'!$B$2:$B$2604,'Form responses 1'!$I$2:$I$2604,""))</f>
        <v/>
      </c>
      <c r="J3044" s="44" t="str">
        <f t="array" ref="J3044">IF(B3044="","",_xlfn.XLOOKUP(B3044,'Form responses 1'!$B$2:$B$2604,'Form responses 1'!$G$2:$G$2604,""))</f>
        <v/>
      </c>
      <c r="K3044" s="56"/>
      <c r="L3044" s="58" t="str">
        <f t="shared" si="7"/>
        <v/>
      </c>
      <c r="M3044" s="49"/>
      <c r="N3044" s="49"/>
      <c r="O3044" s="49"/>
      <c r="P3044" s="49"/>
      <c r="Q3044" s="49"/>
      <c r="R3044" s="49"/>
      <c r="S3044" s="49"/>
      <c r="T3044" s="49"/>
      <c r="U3044" s="49"/>
      <c r="V3044" s="49"/>
      <c r="W3044" s="56"/>
      <c r="X3044" s="51" t="str">
        <f t="shared" si="5"/>
        <v/>
      </c>
      <c r="Y3044" s="50" t="s">
        <v>482</v>
      </c>
      <c r="Z3044" s="49">
        <f t="shared" si="6"/>
        <v>0</v>
      </c>
    </row>
    <row r="3045" ht="22.5" customHeight="1">
      <c r="B3045" s="57"/>
      <c r="C3045" s="43" t="str">
        <f t="array" ref="C3045">IF(B3045="","",_xlfn.XLOOKUP(B3045,'Form responses 1'!$B$2:$B$2604,'Form responses 1'!$A$2:$A$2604,""))</f>
        <v/>
      </c>
      <c r="D3045" s="44" t="str">
        <f t="shared" si="3"/>
        <v/>
      </c>
      <c r="E3045" s="44" t="str">
        <f t="array" ref="E3045">IF(B3045="","",_xlfn.XLOOKUP(B3045,'Form responses 1'!$B$2:$B$2604,'Form responses 1'!$C$2:$C$2604,""))</f>
        <v/>
      </c>
      <c r="F3045" s="44" t="str">
        <f t="array" ref="F3045">IF(B3045="","",_xlfn.XLOOKUP(B3045,'Form responses 1'!$B$2:$B$2604,'Form responses 1'!$D$2:$D$2604,""))</f>
        <v/>
      </c>
      <c r="G3045" s="44" t="str">
        <f t="array" ref="G3045">IF(B3045="","",_xlfn.XLOOKUP(B3045,'Form responses 1'!$B$2:$B$2604,'Form responses 1'!$E$2:$E$2604,""))</f>
        <v/>
      </c>
      <c r="H3045" s="44" t="str">
        <f t="array" ref="H3045">IF(B3045="","",_xlfn.XLOOKUP(B3045,'Form responses 1'!$B$2:$B$2604,'Form responses 1'!$F$2:$F$2604,""))</f>
        <v/>
      </c>
      <c r="I3045" s="44" t="str">
        <f t="array" ref="I3045">IF(B3045="","",_xlfn.XLOOKUP(B3045,'Form responses 1'!$B$2:$B$2604,'Form responses 1'!$I$2:$I$2604,""))</f>
        <v/>
      </c>
      <c r="J3045" s="44" t="str">
        <f t="array" ref="J3045">IF(B3045="","",_xlfn.XLOOKUP(B3045,'Form responses 1'!$B$2:$B$2604,'Form responses 1'!$G$2:$G$2604,""))</f>
        <v/>
      </c>
      <c r="K3045" s="56"/>
      <c r="L3045" s="58" t="str">
        <f t="shared" si="7"/>
        <v/>
      </c>
      <c r="M3045" s="49"/>
      <c r="N3045" s="49"/>
      <c r="O3045" s="49"/>
      <c r="P3045" s="49"/>
      <c r="Q3045" s="49"/>
      <c r="R3045" s="49"/>
      <c r="S3045" s="49"/>
      <c r="T3045" s="49"/>
      <c r="U3045" s="49"/>
      <c r="V3045" s="49"/>
      <c r="W3045" s="56"/>
      <c r="X3045" s="51" t="str">
        <f t="shared" si="5"/>
        <v/>
      </c>
      <c r="Y3045" s="50" t="s">
        <v>482</v>
      </c>
      <c r="Z3045" s="49">
        <f t="shared" si="6"/>
        <v>0</v>
      </c>
    </row>
    <row r="3046" ht="22.5" customHeight="1">
      <c r="B3046" s="57"/>
      <c r="C3046" s="43" t="str">
        <f t="array" ref="C3046">IF(B3046="","",_xlfn.XLOOKUP(B3046,'Form responses 1'!$B$2:$B$2604,'Form responses 1'!$A$2:$A$2604,""))</f>
        <v/>
      </c>
      <c r="D3046" s="44" t="str">
        <f t="shared" si="3"/>
        <v/>
      </c>
      <c r="E3046" s="44" t="str">
        <f t="array" ref="E3046">IF(B3046="","",_xlfn.XLOOKUP(B3046,'Form responses 1'!$B$2:$B$2604,'Form responses 1'!$C$2:$C$2604,""))</f>
        <v/>
      </c>
      <c r="F3046" s="44" t="str">
        <f t="array" ref="F3046">IF(B3046="","",_xlfn.XLOOKUP(B3046,'Form responses 1'!$B$2:$B$2604,'Form responses 1'!$D$2:$D$2604,""))</f>
        <v/>
      </c>
      <c r="G3046" s="44" t="str">
        <f t="array" ref="G3046">IF(B3046="","",_xlfn.XLOOKUP(B3046,'Form responses 1'!$B$2:$B$2604,'Form responses 1'!$E$2:$E$2604,""))</f>
        <v/>
      </c>
      <c r="H3046" s="44" t="str">
        <f t="array" ref="H3046">IF(B3046="","",_xlfn.XLOOKUP(B3046,'Form responses 1'!$B$2:$B$2604,'Form responses 1'!$F$2:$F$2604,""))</f>
        <v/>
      </c>
      <c r="I3046" s="44" t="str">
        <f t="array" ref="I3046">IF(B3046="","",_xlfn.XLOOKUP(B3046,'Form responses 1'!$B$2:$B$2604,'Form responses 1'!$I$2:$I$2604,""))</f>
        <v/>
      </c>
      <c r="J3046" s="44" t="str">
        <f t="array" ref="J3046">IF(B3046="","",_xlfn.XLOOKUP(B3046,'Form responses 1'!$B$2:$B$2604,'Form responses 1'!$G$2:$G$2604,""))</f>
        <v/>
      </c>
      <c r="K3046" s="56"/>
      <c r="L3046" s="58" t="str">
        <f t="shared" si="7"/>
        <v/>
      </c>
      <c r="M3046" s="49"/>
      <c r="N3046" s="49"/>
      <c r="O3046" s="49"/>
      <c r="P3046" s="49"/>
      <c r="Q3046" s="49"/>
      <c r="R3046" s="49"/>
      <c r="S3046" s="49"/>
      <c r="T3046" s="49"/>
      <c r="U3046" s="49"/>
      <c r="V3046" s="49"/>
      <c r="W3046" s="56"/>
      <c r="X3046" s="51" t="str">
        <f t="shared" si="5"/>
        <v/>
      </c>
      <c r="Y3046" s="50" t="s">
        <v>482</v>
      </c>
      <c r="Z3046" s="49">
        <f t="shared" si="6"/>
        <v>0</v>
      </c>
    </row>
    <row r="3047" ht="22.5" customHeight="1">
      <c r="B3047" s="57"/>
      <c r="C3047" s="43" t="str">
        <f t="array" ref="C3047">IF(B3047="","",_xlfn.XLOOKUP(B3047,'Form responses 1'!$B$2:$B$2604,'Form responses 1'!$A$2:$A$2604,""))</f>
        <v/>
      </c>
      <c r="D3047" s="44" t="str">
        <f t="shared" si="3"/>
        <v/>
      </c>
      <c r="E3047" s="44" t="str">
        <f t="array" ref="E3047">IF(B3047="","",_xlfn.XLOOKUP(B3047,'Form responses 1'!$B$2:$B$2604,'Form responses 1'!$C$2:$C$2604,""))</f>
        <v/>
      </c>
      <c r="F3047" s="44" t="str">
        <f t="array" ref="F3047">IF(B3047="","",_xlfn.XLOOKUP(B3047,'Form responses 1'!$B$2:$B$2604,'Form responses 1'!$D$2:$D$2604,""))</f>
        <v/>
      </c>
      <c r="G3047" s="44" t="str">
        <f t="array" ref="G3047">IF(B3047="","",_xlfn.XLOOKUP(B3047,'Form responses 1'!$B$2:$B$2604,'Form responses 1'!$E$2:$E$2604,""))</f>
        <v/>
      </c>
      <c r="H3047" s="44" t="str">
        <f t="array" ref="H3047">IF(B3047="","",_xlfn.XLOOKUP(B3047,'Form responses 1'!$B$2:$B$2604,'Form responses 1'!$F$2:$F$2604,""))</f>
        <v/>
      </c>
      <c r="I3047" s="44" t="str">
        <f t="array" ref="I3047">IF(B3047="","",_xlfn.XLOOKUP(B3047,'Form responses 1'!$B$2:$B$2604,'Form responses 1'!$I$2:$I$2604,""))</f>
        <v/>
      </c>
      <c r="J3047" s="44" t="str">
        <f t="array" ref="J3047">IF(B3047="","",_xlfn.XLOOKUP(B3047,'Form responses 1'!$B$2:$B$2604,'Form responses 1'!$G$2:$G$2604,""))</f>
        <v/>
      </c>
      <c r="K3047" s="56"/>
      <c r="L3047" s="58" t="str">
        <f t="shared" si="7"/>
        <v/>
      </c>
      <c r="M3047" s="49"/>
      <c r="N3047" s="49"/>
      <c r="O3047" s="49"/>
      <c r="P3047" s="49"/>
      <c r="Q3047" s="49"/>
      <c r="R3047" s="49"/>
      <c r="S3047" s="49"/>
      <c r="T3047" s="49"/>
      <c r="U3047" s="49"/>
      <c r="V3047" s="49"/>
      <c r="W3047" s="56"/>
      <c r="X3047" s="51" t="str">
        <f t="shared" si="5"/>
        <v/>
      </c>
      <c r="Y3047" s="50" t="s">
        <v>482</v>
      </c>
      <c r="Z3047" s="49">
        <f t="shared" si="6"/>
        <v>0</v>
      </c>
    </row>
    <row r="3048" ht="22.5" customHeight="1">
      <c r="B3048" s="57"/>
      <c r="C3048" s="43" t="str">
        <f t="array" ref="C3048">IF(B3048="","",_xlfn.XLOOKUP(B3048,'Form responses 1'!$B$2:$B$2604,'Form responses 1'!$A$2:$A$2604,""))</f>
        <v/>
      </c>
      <c r="D3048" s="44" t="str">
        <f t="shared" si="3"/>
        <v/>
      </c>
      <c r="E3048" s="44" t="str">
        <f t="array" ref="E3048">IF(B3048="","",_xlfn.XLOOKUP(B3048,'Form responses 1'!$B$2:$B$2604,'Form responses 1'!$C$2:$C$2604,""))</f>
        <v/>
      </c>
      <c r="F3048" s="44" t="str">
        <f t="array" ref="F3048">IF(B3048="","",_xlfn.XLOOKUP(B3048,'Form responses 1'!$B$2:$B$2604,'Form responses 1'!$D$2:$D$2604,""))</f>
        <v/>
      </c>
      <c r="G3048" s="44" t="str">
        <f t="array" ref="G3048">IF(B3048="","",_xlfn.XLOOKUP(B3048,'Form responses 1'!$B$2:$B$2604,'Form responses 1'!$E$2:$E$2604,""))</f>
        <v/>
      </c>
      <c r="H3048" s="44" t="str">
        <f t="array" ref="H3048">IF(B3048="","",_xlfn.XLOOKUP(B3048,'Form responses 1'!$B$2:$B$2604,'Form responses 1'!$F$2:$F$2604,""))</f>
        <v/>
      </c>
      <c r="I3048" s="44" t="str">
        <f t="array" ref="I3048">IF(B3048="","",_xlfn.XLOOKUP(B3048,'Form responses 1'!$B$2:$B$2604,'Form responses 1'!$I$2:$I$2604,""))</f>
        <v/>
      </c>
      <c r="J3048" s="44" t="str">
        <f t="array" ref="J3048">IF(B3048="","",_xlfn.XLOOKUP(B3048,'Form responses 1'!$B$2:$B$2604,'Form responses 1'!$G$2:$G$2604,""))</f>
        <v/>
      </c>
      <c r="K3048" s="56"/>
      <c r="L3048" s="58" t="str">
        <f t="shared" si="7"/>
        <v/>
      </c>
      <c r="M3048" s="49"/>
      <c r="N3048" s="49"/>
      <c r="O3048" s="49"/>
      <c r="P3048" s="49"/>
      <c r="Q3048" s="49"/>
      <c r="R3048" s="49"/>
      <c r="S3048" s="49"/>
      <c r="T3048" s="49"/>
      <c r="U3048" s="49"/>
      <c r="V3048" s="49"/>
      <c r="W3048" s="56"/>
      <c r="X3048" s="51" t="str">
        <f t="shared" si="5"/>
        <v/>
      </c>
      <c r="Y3048" s="50" t="s">
        <v>482</v>
      </c>
      <c r="Z3048" s="49">
        <f t="shared" si="6"/>
        <v>0</v>
      </c>
    </row>
    <row r="3049" ht="22.5" customHeight="1">
      <c r="B3049" s="57"/>
      <c r="C3049" s="43" t="str">
        <f t="array" ref="C3049">IF(B3049="","",_xlfn.XLOOKUP(B3049,'Form responses 1'!$B$2:$B$2604,'Form responses 1'!$A$2:$A$2604,""))</f>
        <v/>
      </c>
      <c r="D3049" s="44" t="str">
        <f t="shared" si="3"/>
        <v/>
      </c>
      <c r="E3049" s="44" t="str">
        <f t="array" ref="E3049">IF(B3049="","",_xlfn.XLOOKUP(B3049,'Form responses 1'!$B$2:$B$2604,'Form responses 1'!$C$2:$C$2604,""))</f>
        <v/>
      </c>
      <c r="F3049" s="44" t="str">
        <f t="array" ref="F3049">IF(B3049="","",_xlfn.XLOOKUP(B3049,'Form responses 1'!$B$2:$B$2604,'Form responses 1'!$D$2:$D$2604,""))</f>
        <v/>
      </c>
      <c r="G3049" s="44" t="str">
        <f t="array" ref="G3049">IF(B3049="","",_xlfn.XLOOKUP(B3049,'Form responses 1'!$B$2:$B$2604,'Form responses 1'!$E$2:$E$2604,""))</f>
        <v/>
      </c>
      <c r="H3049" s="44" t="str">
        <f t="array" ref="H3049">IF(B3049="","",_xlfn.XLOOKUP(B3049,'Form responses 1'!$B$2:$B$2604,'Form responses 1'!$F$2:$F$2604,""))</f>
        <v/>
      </c>
      <c r="I3049" s="44" t="str">
        <f t="array" ref="I3049">IF(B3049="","",_xlfn.XLOOKUP(B3049,'Form responses 1'!$B$2:$B$2604,'Form responses 1'!$I$2:$I$2604,""))</f>
        <v/>
      </c>
      <c r="J3049" s="44" t="str">
        <f t="array" ref="J3049">IF(B3049="","",_xlfn.XLOOKUP(B3049,'Form responses 1'!$B$2:$B$2604,'Form responses 1'!$G$2:$G$2604,""))</f>
        <v/>
      </c>
      <c r="K3049" s="56"/>
      <c r="L3049" s="58" t="str">
        <f t="shared" si="7"/>
        <v/>
      </c>
      <c r="M3049" s="49"/>
      <c r="N3049" s="49"/>
      <c r="O3049" s="49"/>
      <c r="P3049" s="49"/>
      <c r="Q3049" s="49"/>
      <c r="R3049" s="49"/>
      <c r="S3049" s="49"/>
      <c r="T3049" s="49"/>
      <c r="U3049" s="49"/>
      <c r="V3049" s="49"/>
      <c r="W3049" s="56"/>
      <c r="X3049" s="51" t="str">
        <f t="shared" si="5"/>
        <v/>
      </c>
      <c r="Y3049" s="50" t="s">
        <v>482</v>
      </c>
      <c r="Z3049" s="49">
        <f t="shared" si="6"/>
        <v>0</v>
      </c>
    </row>
    <row r="3050" ht="22.5" customHeight="1">
      <c r="B3050" s="57"/>
      <c r="C3050" s="43" t="str">
        <f t="array" ref="C3050">IF(B3050="","",_xlfn.XLOOKUP(B3050,'Form responses 1'!$B$2:$B$2604,'Form responses 1'!$A$2:$A$2604,""))</f>
        <v/>
      </c>
      <c r="D3050" s="44" t="str">
        <f t="shared" si="3"/>
        <v/>
      </c>
      <c r="E3050" s="44" t="str">
        <f t="array" ref="E3050">IF(B3050="","",_xlfn.XLOOKUP(B3050,'Form responses 1'!$B$2:$B$2604,'Form responses 1'!$C$2:$C$2604,""))</f>
        <v/>
      </c>
      <c r="F3050" s="44" t="str">
        <f t="array" ref="F3050">IF(B3050="","",_xlfn.XLOOKUP(B3050,'Form responses 1'!$B$2:$B$2604,'Form responses 1'!$D$2:$D$2604,""))</f>
        <v/>
      </c>
      <c r="G3050" s="44" t="str">
        <f t="array" ref="G3050">IF(B3050="","",_xlfn.XLOOKUP(B3050,'Form responses 1'!$B$2:$B$2604,'Form responses 1'!$E$2:$E$2604,""))</f>
        <v/>
      </c>
      <c r="H3050" s="44" t="str">
        <f t="array" ref="H3050">IF(B3050="","",_xlfn.XLOOKUP(B3050,'Form responses 1'!$B$2:$B$2604,'Form responses 1'!$F$2:$F$2604,""))</f>
        <v/>
      </c>
      <c r="I3050" s="44" t="str">
        <f t="array" ref="I3050">IF(B3050="","",_xlfn.XLOOKUP(B3050,'Form responses 1'!$B$2:$B$2604,'Form responses 1'!$I$2:$I$2604,""))</f>
        <v/>
      </c>
      <c r="J3050" s="44" t="str">
        <f t="array" ref="J3050">IF(B3050="","",_xlfn.XLOOKUP(B3050,'Form responses 1'!$B$2:$B$2604,'Form responses 1'!$G$2:$G$2604,""))</f>
        <v/>
      </c>
      <c r="K3050" s="56"/>
      <c r="L3050" s="58" t="str">
        <f t="shared" si="7"/>
        <v/>
      </c>
      <c r="M3050" s="49"/>
      <c r="N3050" s="49"/>
      <c r="O3050" s="49"/>
      <c r="P3050" s="49"/>
      <c r="Q3050" s="49"/>
      <c r="R3050" s="49"/>
      <c r="S3050" s="49"/>
      <c r="T3050" s="49"/>
      <c r="U3050" s="49"/>
      <c r="V3050" s="49"/>
      <c r="W3050" s="56"/>
      <c r="X3050" s="51" t="str">
        <f t="shared" si="5"/>
        <v/>
      </c>
      <c r="Y3050" s="50" t="s">
        <v>482</v>
      </c>
      <c r="Z3050" s="49">
        <f t="shared" si="6"/>
        <v>0</v>
      </c>
    </row>
    <row r="3051" ht="22.5" customHeight="1">
      <c r="B3051" s="57"/>
      <c r="C3051" s="43" t="str">
        <f t="array" ref="C3051">IF(B3051="","",_xlfn.XLOOKUP(B3051,'Form responses 1'!$B$2:$B$2604,'Form responses 1'!$A$2:$A$2604,""))</f>
        <v/>
      </c>
      <c r="D3051" s="44" t="str">
        <f t="shared" si="3"/>
        <v/>
      </c>
      <c r="E3051" s="44" t="str">
        <f t="array" ref="E3051">IF(B3051="","",_xlfn.XLOOKUP(B3051,'Form responses 1'!$B$2:$B$2604,'Form responses 1'!$C$2:$C$2604,""))</f>
        <v/>
      </c>
      <c r="F3051" s="44" t="str">
        <f t="array" ref="F3051">IF(B3051="","",_xlfn.XLOOKUP(B3051,'Form responses 1'!$B$2:$B$2604,'Form responses 1'!$D$2:$D$2604,""))</f>
        <v/>
      </c>
      <c r="G3051" s="44" t="str">
        <f t="array" ref="G3051">IF(B3051="","",_xlfn.XLOOKUP(B3051,'Form responses 1'!$B$2:$B$2604,'Form responses 1'!$E$2:$E$2604,""))</f>
        <v/>
      </c>
      <c r="H3051" s="44" t="str">
        <f t="array" ref="H3051">IF(B3051="","",_xlfn.XLOOKUP(B3051,'Form responses 1'!$B$2:$B$2604,'Form responses 1'!$F$2:$F$2604,""))</f>
        <v/>
      </c>
      <c r="I3051" s="44" t="str">
        <f t="array" ref="I3051">IF(B3051="","",_xlfn.XLOOKUP(B3051,'Form responses 1'!$B$2:$B$2604,'Form responses 1'!$I$2:$I$2604,""))</f>
        <v/>
      </c>
      <c r="J3051" s="44" t="str">
        <f t="array" ref="J3051">IF(B3051="","",_xlfn.XLOOKUP(B3051,'Form responses 1'!$B$2:$B$2604,'Form responses 1'!$G$2:$G$2604,""))</f>
        <v/>
      </c>
      <c r="K3051" s="56"/>
      <c r="L3051" s="58" t="str">
        <f t="shared" si="7"/>
        <v/>
      </c>
      <c r="M3051" s="49"/>
      <c r="N3051" s="49"/>
      <c r="O3051" s="49"/>
      <c r="P3051" s="49"/>
      <c r="Q3051" s="49"/>
      <c r="R3051" s="49"/>
      <c r="S3051" s="49"/>
      <c r="T3051" s="49"/>
      <c r="U3051" s="49"/>
      <c r="V3051" s="49"/>
      <c r="W3051" s="56"/>
      <c r="X3051" s="51" t="str">
        <f t="shared" si="5"/>
        <v/>
      </c>
      <c r="Y3051" s="50" t="s">
        <v>482</v>
      </c>
      <c r="Z3051" s="49">
        <f t="shared" si="6"/>
        <v>0</v>
      </c>
    </row>
    <row r="3052" ht="22.5" customHeight="1">
      <c r="B3052" s="57"/>
      <c r="C3052" s="43" t="str">
        <f t="array" ref="C3052">IF(B3052="","",_xlfn.XLOOKUP(B3052,'Form responses 1'!$B$2:$B$2604,'Form responses 1'!$A$2:$A$2604,""))</f>
        <v/>
      </c>
      <c r="D3052" s="44" t="str">
        <f t="shared" si="3"/>
        <v/>
      </c>
      <c r="E3052" s="44" t="str">
        <f t="array" ref="E3052">IF(B3052="","",_xlfn.XLOOKUP(B3052,'Form responses 1'!$B$2:$B$2604,'Form responses 1'!$C$2:$C$2604,""))</f>
        <v/>
      </c>
      <c r="F3052" s="44" t="str">
        <f t="array" ref="F3052">IF(B3052="","",_xlfn.XLOOKUP(B3052,'Form responses 1'!$B$2:$B$2604,'Form responses 1'!$D$2:$D$2604,""))</f>
        <v/>
      </c>
      <c r="G3052" s="44" t="str">
        <f t="array" ref="G3052">IF(B3052="","",_xlfn.XLOOKUP(B3052,'Form responses 1'!$B$2:$B$2604,'Form responses 1'!$E$2:$E$2604,""))</f>
        <v/>
      </c>
      <c r="H3052" s="44" t="str">
        <f t="array" ref="H3052">IF(B3052="","",_xlfn.XLOOKUP(B3052,'Form responses 1'!$B$2:$B$2604,'Form responses 1'!$F$2:$F$2604,""))</f>
        <v/>
      </c>
      <c r="I3052" s="44" t="str">
        <f t="array" ref="I3052">IF(B3052="","",_xlfn.XLOOKUP(B3052,'Form responses 1'!$B$2:$B$2604,'Form responses 1'!$I$2:$I$2604,""))</f>
        <v/>
      </c>
      <c r="J3052" s="44" t="str">
        <f t="array" ref="J3052">IF(B3052="","",_xlfn.XLOOKUP(B3052,'Form responses 1'!$B$2:$B$2604,'Form responses 1'!$G$2:$G$2604,""))</f>
        <v/>
      </c>
      <c r="K3052" s="56"/>
      <c r="L3052" s="58" t="str">
        <f t="shared" si="7"/>
        <v/>
      </c>
      <c r="M3052" s="49"/>
      <c r="N3052" s="49"/>
      <c r="O3052" s="49"/>
      <c r="P3052" s="49"/>
      <c r="Q3052" s="49"/>
      <c r="R3052" s="49"/>
      <c r="S3052" s="49"/>
      <c r="T3052" s="49"/>
      <c r="U3052" s="49"/>
      <c r="V3052" s="49"/>
      <c r="W3052" s="56"/>
      <c r="X3052" s="51" t="str">
        <f t="shared" si="5"/>
        <v/>
      </c>
      <c r="Y3052" s="50" t="s">
        <v>482</v>
      </c>
      <c r="Z3052" s="49">
        <f t="shared" si="6"/>
        <v>0</v>
      </c>
    </row>
    <row r="3053" ht="22.5" customHeight="1">
      <c r="B3053" s="57"/>
      <c r="C3053" s="43" t="str">
        <f t="array" ref="C3053">IF(B3053="","",_xlfn.XLOOKUP(B3053,'Form responses 1'!$B$2:$B$2604,'Form responses 1'!$A$2:$A$2604,""))</f>
        <v/>
      </c>
      <c r="D3053" s="44" t="str">
        <f t="shared" si="3"/>
        <v/>
      </c>
      <c r="E3053" s="44" t="str">
        <f t="array" ref="E3053">IF(B3053="","",_xlfn.XLOOKUP(B3053,'Form responses 1'!$B$2:$B$2604,'Form responses 1'!$C$2:$C$2604,""))</f>
        <v/>
      </c>
      <c r="F3053" s="44" t="str">
        <f t="array" ref="F3053">IF(B3053="","",_xlfn.XLOOKUP(B3053,'Form responses 1'!$B$2:$B$2604,'Form responses 1'!$D$2:$D$2604,""))</f>
        <v/>
      </c>
      <c r="G3053" s="44" t="str">
        <f t="array" ref="G3053">IF(B3053="","",_xlfn.XLOOKUP(B3053,'Form responses 1'!$B$2:$B$2604,'Form responses 1'!$E$2:$E$2604,""))</f>
        <v/>
      </c>
      <c r="H3053" s="44" t="str">
        <f t="array" ref="H3053">IF(B3053="","",_xlfn.XLOOKUP(B3053,'Form responses 1'!$B$2:$B$2604,'Form responses 1'!$F$2:$F$2604,""))</f>
        <v/>
      </c>
      <c r="I3053" s="44" t="str">
        <f t="array" ref="I3053">IF(B3053="","",_xlfn.XLOOKUP(B3053,'Form responses 1'!$B$2:$B$2604,'Form responses 1'!$I$2:$I$2604,""))</f>
        <v/>
      </c>
      <c r="J3053" s="44" t="str">
        <f t="array" ref="J3053">IF(B3053="","",_xlfn.XLOOKUP(B3053,'Form responses 1'!$B$2:$B$2604,'Form responses 1'!$G$2:$G$2604,""))</f>
        <v/>
      </c>
      <c r="K3053" s="56"/>
      <c r="L3053" s="58" t="str">
        <f t="shared" si="7"/>
        <v/>
      </c>
      <c r="M3053" s="49"/>
      <c r="N3053" s="49"/>
      <c r="O3053" s="49"/>
      <c r="P3053" s="49"/>
      <c r="Q3053" s="49"/>
      <c r="R3053" s="49"/>
      <c r="S3053" s="49"/>
      <c r="T3053" s="49"/>
      <c r="U3053" s="49"/>
      <c r="V3053" s="49"/>
      <c r="W3053" s="56"/>
      <c r="X3053" s="51" t="str">
        <f t="shared" si="5"/>
        <v/>
      </c>
      <c r="Y3053" s="50" t="s">
        <v>482</v>
      </c>
      <c r="Z3053" s="49">
        <f t="shared" si="6"/>
        <v>0</v>
      </c>
    </row>
    <row r="3054" ht="22.5" customHeight="1">
      <c r="B3054" s="57"/>
      <c r="C3054" s="43" t="str">
        <f t="array" ref="C3054">IF(B3054="","",_xlfn.XLOOKUP(B3054,'Form responses 1'!$B$2:$B$2604,'Form responses 1'!$A$2:$A$2604,""))</f>
        <v/>
      </c>
      <c r="D3054" s="44" t="str">
        <f t="shared" si="3"/>
        <v/>
      </c>
      <c r="E3054" s="44" t="str">
        <f t="array" ref="E3054">IF(B3054="","",_xlfn.XLOOKUP(B3054,'Form responses 1'!$B$2:$B$2604,'Form responses 1'!$C$2:$C$2604,""))</f>
        <v/>
      </c>
      <c r="F3054" s="44" t="str">
        <f t="array" ref="F3054">IF(B3054="","",_xlfn.XLOOKUP(B3054,'Form responses 1'!$B$2:$B$2604,'Form responses 1'!$D$2:$D$2604,""))</f>
        <v/>
      </c>
      <c r="G3054" s="44" t="str">
        <f t="array" ref="G3054">IF(B3054="","",_xlfn.XLOOKUP(B3054,'Form responses 1'!$B$2:$B$2604,'Form responses 1'!$E$2:$E$2604,""))</f>
        <v/>
      </c>
      <c r="H3054" s="44" t="str">
        <f t="array" ref="H3054">IF(B3054="","",_xlfn.XLOOKUP(B3054,'Form responses 1'!$B$2:$B$2604,'Form responses 1'!$F$2:$F$2604,""))</f>
        <v/>
      </c>
      <c r="I3054" s="44" t="str">
        <f t="array" ref="I3054">IF(B3054="","",_xlfn.XLOOKUP(B3054,'Form responses 1'!$B$2:$B$2604,'Form responses 1'!$I$2:$I$2604,""))</f>
        <v/>
      </c>
      <c r="J3054" s="44" t="str">
        <f t="array" ref="J3054">IF(B3054="","",_xlfn.XLOOKUP(B3054,'Form responses 1'!$B$2:$B$2604,'Form responses 1'!$G$2:$G$2604,""))</f>
        <v/>
      </c>
      <c r="K3054" s="56"/>
      <c r="L3054" s="58" t="str">
        <f t="shared" si="7"/>
        <v/>
      </c>
      <c r="M3054" s="49"/>
      <c r="N3054" s="49"/>
      <c r="O3054" s="49"/>
      <c r="P3054" s="49"/>
      <c r="Q3054" s="49"/>
      <c r="R3054" s="49"/>
      <c r="S3054" s="49"/>
      <c r="T3054" s="49"/>
      <c r="U3054" s="49"/>
      <c r="V3054" s="49"/>
      <c r="W3054" s="56"/>
      <c r="X3054" s="51" t="str">
        <f t="shared" si="5"/>
        <v/>
      </c>
      <c r="Y3054" s="50" t="s">
        <v>482</v>
      </c>
      <c r="Z3054" s="49">
        <f t="shared" si="6"/>
        <v>0</v>
      </c>
    </row>
    <row r="3055" ht="22.5" customHeight="1">
      <c r="B3055" s="57"/>
      <c r="C3055" s="43" t="str">
        <f t="array" ref="C3055">IF(B3055="","",_xlfn.XLOOKUP(B3055,'Form responses 1'!$B$2:$B$2604,'Form responses 1'!$A$2:$A$2604,""))</f>
        <v/>
      </c>
      <c r="D3055" s="44" t="str">
        <f t="shared" si="3"/>
        <v/>
      </c>
      <c r="E3055" s="44" t="str">
        <f t="array" ref="E3055">IF(B3055="","",_xlfn.XLOOKUP(B3055,'Form responses 1'!$B$2:$B$2604,'Form responses 1'!$C$2:$C$2604,""))</f>
        <v/>
      </c>
      <c r="F3055" s="44" t="str">
        <f t="array" ref="F3055">IF(B3055="","",_xlfn.XLOOKUP(B3055,'Form responses 1'!$B$2:$B$2604,'Form responses 1'!$D$2:$D$2604,""))</f>
        <v/>
      </c>
      <c r="G3055" s="44" t="str">
        <f t="array" ref="G3055">IF(B3055="","",_xlfn.XLOOKUP(B3055,'Form responses 1'!$B$2:$B$2604,'Form responses 1'!$E$2:$E$2604,""))</f>
        <v/>
      </c>
      <c r="H3055" s="44" t="str">
        <f t="array" ref="H3055">IF(B3055="","",_xlfn.XLOOKUP(B3055,'Form responses 1'!$B$2:$B$2604,'Form responses 1'!$F$2:$F$2604,""))</f>
        <v/>
      </c>
      <c r="I3055" s="44" t="str">
        <f t="array" ref="I3055">IF(B3055="","",_xlfn.XLOOKUP(B3055,'Form responses 1'!$B$2:$B$2604,'Form responses 1'!$I$2:$I$2604,""))</f>
        <v/>
      </c>
      <c r="J3055" s="44" t="str">
        <f t="array" ref="J3055">IF(B3055="","",_xlfn.XLOOKUP(B3055,'Form responses 1'!$B$2:$B$2604,'Form responses 1'!$G$2:$G$2604,""))</f>
        <v/>
      </c>
      <c r="K3055" s="56"/>
      <c r="L3055" s="58" t="str">
        <f t="shared" si="7"/>
        <v/>
      </c>
      <c r="M3055" s="49"/>
      <c r="N3055" s="49"/>
      <c r="O3055" s="49"/>
      <c r="P3055" s="49"/>
      <c r="Q3055" s="49"/>
      <c r="R3055" s="49"/>
      <c r="S3055" s="49"/>
      <c r="T3055" s="49"/>
      <c r="U3055" s="49"/>
      <c r="V3055" s="49"/>
      <c r="W3055" s="56"/>
      <c r="X3055" s="51" t="str">
        <f t="shared" si="5"/>
        <v/>
      </c>
      <c r="Y3055" s="50" t="s">
        <v>482</v>
      </c>
      <c r="Z3055" s="49">
        <f t="shared" si="6"/>
        <v>0</v>
      </c>
    </row>
    <row r="3056" ht="22.5" customHeight="1">
      <c r="B3056" s="57"/>
      <c r="C3056" s="43" t="str">
        <f t="array" ref="C3056">IF(B3056="","",_xlfn.XLOOKUP(B3056,'Form responses 1'!$B$2:$B$2604,'Form responses 1'!$A$2:$A$2604,""))</f>
        <v/>
      </c>
      <c r="D3056" s="44" t="str">
        <f t="shared" si="3"/>
        <v/>
      </c>
      <c r="E3056" s="44" t="str">
        <f t="array" ref="E3056">IF(B3056="","",_xlfn.XLOOKUP(B3056,'Form responses 1'!$B$2:$B$2604,'Form responses 1'!$C$2:$C$2604,""))</f>
        <v/>
      </c>
      <c r="F3056" s="44" t="str">
        <f t="array" ref="F3056">IF(B3056="","",_xlfn.XLOOKUP(B3056,'Form responses 1'!$B$2:$B$2604,'Form responses 1'!$D$2:$D$2604,""))</f>
        <v/>
      </c>
      <c r="G3056" s="44" t="str">
        <f t="array" ref="G3056">IF(B3056="","",_xlfn.XLOOKUP(B3056,'Form responses 1'!$B$2:$B$2604,'Form responses 1'!$E$2:$E$2604,""))</f>
        <v/>
      </c>
      <c r="H3056" s="44" t="str">
        <f t="array" ref="H3056">IF(B3056="","",_xlfn.XLOOKUP(B3056,'Form responses 1'!$B$2:$B$2604,'Form responses 1'!$F$2:$F$2604,""))</f>
        <v/>
      </c>
      <c r="I3056" s="44" t="str">
        <f t="array" ref="I3056">IF(B3056="","",_xlfn.XLOOKUP(B3056,'Form responses 1'!$B$2:$B$2604,'Form responses 1'!$I$2:$I$2604,""))</f>
        <v/>
      </c>
      <c r="J3056" s="44" t="str">
        <f t="array" ref="J3056">IF(B3056="","",_xlfn.XLOOKUP(B3056,'Form responses 1'!$B$2:$B$2604,'Form responses 1'!$G$2:$G$2604,""))</f>
        <v/>
      </c>
      <c r="K3056" s="56"/>
      <c r="L3056" s="58" t="str">
        <f t="shared" si="7"/>
        <v/>
      </c>
      <c r="M3056" s="49"/>
      <c r="N3056" s="49"/>
      <c r="O3056" s="49"/>
      <c r="P3056" s="49"/>
      <c r="Q3056" s="49"/>
      <c r="R3056" s="49"/>
      <c r="S3056" s="49"/>
      <c r="T3056" s="49"/>
      <c r="U3056" s="49"/>
      <c r="V3056" s="49"/>
      <c r="W3056" s="56"/>
      <c r="X3056" s="51" t="str">
        <f t="shared" si="5"/>
        <v/>
      </c>
      <c r="Y3056" s="50" t="s">
        <v>482</v>
      </c>
      <c r="Z3056" s="49">
        <f t="shared" si="6"/>
        <v>0</v>
      </c>
    </row>
    <row r="3057" ht="22.5" customHeight="1">
      <c r="B3057" s="57"/>
      <c r="C3057" s="43" t="str">
        <f t="array" ref="C3057">IF(B3057="","",_xlfn.XLOOKUP(B3057,'Form responses 1'!$B$2:$B$2604,'Form responses 1'!$A$2:$A$2604,""))</f>
        <v/>
      </c>
      <c r="D3057" s="44" t="str">
        <f t="shared" si="3"/>
        <v/>
      </c>
      <c r="E3057" s="44" t="str">
        <f t="array" ref="E3057">IF(B3057="","",_xlfn.XLOOKUP(B3057,'Form responses 1'!$B$2:$B$2604,'Form responses 1'!$C$2:$C$2604,""))</f>
        <v/>
      </c>
      <c r="F3057" s="44" t="str">
        <f t="array" ref="F3057">IF(B3057="","",_xlfn.XLOOKUP(B3057,'Form responses 1'!$B$2:$B$2604,'Form responses 1'!$D$2:$D$2604,""))</f>
        <v/>
      </c>
      <c r="G3057" s="44" t="str">
        <f t="array" ref="G3057">IF(B3057="","",_xlfn.XLOOKUP(B3057,'Form responses 1'!$B$2:$B$2604,'Form responses 1'!$E$2:$E$2604,""))</f>
        <v/>
      </c>
      <c r="H3057" s="44" t="str">
        <f t="array" ref="H3057">IF(B3057="","",_xlfn.XLOOKUP(B3057,'Form responses 1'!$B$2:$B$2604,'Form responses 1'!$F$2:$F$2604,""))</f>
        <v/>
      </c>
      <c r="I3057" s="44" t="str">
        <f t="array" ref="I3057">IF(B3057="","",_xlfn.XLOOKUP(B3057,'Form responses 1'!$B$2:$B$2604,'Form responses 1'!$I$2:$I$2604,""))</f>
        <v/>
      </c>
      <c r="J3057" s="44" t="str">
        <f t="array" ref="J3057">IF(B3057="","",_xlfn.XLOOKUP(B3057,'Form responses 1'!$B$2:$B$2604,'Form responses 1'!$G$2:$G$2604,""))</f>
        <v/>
      </c>
      <c r="K3057" s="56"/>
      <c r="L3057" s="58" t="str">
        <f t="shared" si="7"/>
        <v/>
      </c>
      <c r="M3057" s="49"/>
      <c r="N3057" s="49"/>
      <c r="O3057" s="49"/>
      <c r="P3057" s="49"/>
      <c r="Q3057" s="49"/>
      <c r="R3057" s="49"/>
      <c r="S3057" s="49"/>
      <c r="T3057" s="49"/>
      <c r="U3057" s="49"/>
      <c r="V3057" s="49"/>
      <c r="W3057" s="56"/>
      <c r="X3057" s="51" t="str">
        <f t="shared" si="5"/>
        <v/>
      </c>
      <c r="Y3057" s="50" t="s">
        <v>482</v>
      </c>
      <c r="Z3057" s="49">
        <f t="shared" si="6"/>
        <v>0</v>
      </c>
    </row>
    <row r="3058" ht="22.5" customHeight="1">
      <c r="B3058" s="57"/>
      <c r="C3058" s="43" t="str">
        <f t="array" ref="C3058">IF(B3058="","",_xlfn.XLOOKUP(B3058,'Form responses 1'!$B$2:$B$2604,'Form responses 1'!$A$2:$A$2604,""))</f>
        <v/>
      </c>
      <c r="D3058" s="44" t="str">
        <f t="shared" si="3"/>
        <v/>
      </c>
      <c r="E3058" s="44" t="str">
        <f t="array" ref="E3058">IF(B3058="","",_xlfn.XLOOKUP(B3058,'Form responses 1'!$B$2:$B$2604,'Form responses 1'!$C$2:$C$2604,""))</f>
        <v/>
      </c>
      <c r="F3058" s="44" t="str">
        <f t="array" ref="F3058">IF(B3058="","",_xlfn.XLOOKUP(B3058,'Form responses 1'!$B$2:$B$2604,'Form responses 1'!$D$2:$D$2604,""))</f>
        <v/>
      </c>
      <c r="G3058" s="44" t="str">
        <f t="array" ref="G3058">IF(B3058="","",_xlfn.XLOOKUP(B3058,'Form responses 1'!$B$2:$B$2604,'Form responses 1'!$E$2:$E$2604,""))</f>
        <v/>
      </c>
      <c r="H3058" s="44" t="str">
        <f t="array" ref="H3058">IF(B3058="","",_xlfn.XLOOKUP(B3058,'Form responses 1'!$B$2:$B$2604,'Form responses 1'!$F$2:$F$2604,""))</f>
        <v/>
      </c>
      <c r="I3058" s="44" t="str">
        <f t="array" ref="I3058">IF(B3058="","",_xlfn.XLOOKUP(B3058,'Form responses 1'!$B$2:$B$2604,'Form responses 1'!$I$2:$I$2604,""))</f>
        <v/>
      </c>
      <c r="J3058" s="44" t="str">
        <f t="array" ref="J3058">IF(B3058="","",_xlfn.XLOOKUP(B3058,'Form responses 1'!$B$2:$B$2604,'Form responses 1'!$G$2:$G$2604,""))</f>
        <v/>
      </c>
      <c r="K3058" s="56"/>
      <c r="L3058" s="58" t="str">
        <f t="shared" si="7"/>
        <v/>
      </c>
      <c r="M3058" s="49"/>
      <c r="N3058" s="49"/>
      <c r="O3058" s="49"/>
      <c r="P3058" s="49"/>
      <c r="Q3058" s="49"/>
      <c r="R3058" s="49"/>
      <c r="S3058" s="49"/>
      <c r="T3058" s="49"/>
      <c r="U3058" s="49"/>
      <c r="V3058" s="49"/>
      <c r="W3058" s="56"/>
      <c r="X3058" s="51" t="str">
        <f t="shared" si="5"/>
        <v/>
      </c>
      <c r="Y3058" s="50" t="s">
        <v>482</v>
      </c>
      <c r="Z3058" s="49">
        <f t="shared" si="6"/>
        <v>0</v>
      </c>
    </row>
    <row r="3059" ht="22.5" customHeight="1">
      <c r="B3059" s="57"/>
      <c r="C3059" s="43" t="str">
        <f t="array" ref="C3059">IF(B3059="","",_xlfn.XLOOKUP(B3059,'Form responses 1'!$B$2:$B$2604,'Form responses 1'!$A$2:$A$2604,""))</f>
        <v/>
      </c>
      <c r="D3059" s="44" t="str">
        <f t="shared" si="3"/>
        <v/>
      </c>
      <c r="E3059" s="44" t="str">
        <f t="array" ref="E3059">IF(B3059="","",_xlfn.XLOOKUP(B3059,'Form responses 1'!$B$2:$B$2604,'Form responses 1'!$C$2:$C$2604,""))</f>
        <v/>
      </c>
      <c r="F3059" s="44" t="str">
        <f t="array" ref="F3059">IF(B3059="","",_xlfn.XLOOKUP(B3059,'Form responses 1'!$B$2:$B$2604,'Form responses 1'!$D$2:$D$2604,""))</f>
        <v/>
      </c>
      <c r="G3059" s="44" t="str">
        <f t="array" ref="G3059">IF(B3059="","",_xlfn.XLOOKUP(B3059,'Form responses 1'!$B$2:$B$2604,'Form responses 1'!$E$2:$E$2604,""))</f>
        <v/>
      </c>
      <c r="H3059" s="44" t="str">
        <f t="array" ref="H3059">IF(B3059="","",_xlfn.XLOOKUP(B3059,'Form responses 1'!$B$2:$B$2604,'Form responses 1'!$F$2:$F$2604,""))</f>
        <v/>
      </c>
      <c r="I3059" s="44" t="str">
        <f t="array" ref="I3059">IF(B3059="","",_xlfn.XLOOKUP(B3059,'Form responses 1'!$B$2:$B$2604,'Form responses 1'!$I$2:$I$2604,""))</f>
        <v/>
      </c>
      <c r="J3059" s="44" t="str">
        <f t="array" ref="J3059">IF(B3059="","",_xlfn.XLOOKUP(B3059,'Form responses 1'!$B$2:$B$2604,'Form responses 1'!$G$2:$G$2604,""))</f>
        <v/>
      </c>
      <c r="K3059" s="56"/>
      <c r="L3059" s="58" t="str">
        <f t="shared" si="7"/>
        <v/>
      </c>
      <c r="M3059" s="49"/>
      <c r="N3059" s="49"/>
      <c r="O3059" s="49"/>
      <c r="P3059" s="49"/>
      <c r="Q3059" s="49"/>
      <c r="R3059" s="49"/>
      <c r="S3059" s="49"/>
      <c r="T3059" s="49"/>
      <c r="U3059" s="49"/>
      <c r="V3059" s="49"/>
      <c r="W3059" s="56"/>
      <c r="X3059" s="51" t="str">
        <f t="shared" si="5"/>
        <v/>
      </c>
      <c r="Y3059" s="50" t="s">
        <v>482</v>
      </c>
      <c r="Z3059" s="49">
        <f t="shared" si="6"/>
        <v>0</v>
      </c>
    </row>
    <row r="3060" ht="22.5" customHeight="1">
      <c r="B3060" s="57"/>
      <c r="C3060" s="43" t="str">
        <f t="array" ref="C3060">IF(B3060="","",_xlfn.XLOOKUP(B3060,'Form responses 1'!$B$2:$B$2604,'Form responses 1'!$A$2:$A$2604,""))</f>
        <v/>
      </c>
      <c r="D3060" s="44" t="str">
        <f t="shared" si="3"/>
        <v/>
      </c>
      <c r="E3060" s="44" t="str">
        <f t="array" ref="E3060">IF(B3060="","",_xlfn.XLOOKUP(B3060,'Form responses 1'!$B$2:$B$2604,'Form responses 1'!$C$2:$C$2604,""))</f>
        <v/>
      </c>
      <c r="F3060" s="44" t="str">
        <f t="array" ref="F3060">IF(B3060="","",_xlfn.XLOOKUP(B3060,'Form responses 1'!$B$2:$B$2604,'Form responses 1'!$D$2:$D$2604,""))</f>
        <v/>
      </c>
      <c r="G3060" s="44" t="str">
        <f t="array" ref="G3060">IF(B3060="","",_xlfn.XLOOKUP(B3060,'Form responses 1'!$B$2:$B$2604,'Form responses 1'!$E$2:$E$2604,""))</f>
        <v/>
      </c>
      <c r="H3060" s="44" t="str">
        <f t="array" ref="H3060">IF(B3060="","",_xlfn.XLOOKUP(B3060,'Form responses 1'!$B$2:$B$2604,'Form responses 1'!$F$2:$F$2604,""))</f>
        <v/>
      </c>
      <c r="I3060" s="44" t="str">
        <f t="array" ref="I3060">IF(B3060="","",_xlfn.XLOOKUP(B3060,'Form responses 1'!$B$2:$B$2604,'Form responses 1'!$I$2:$I$2604,""))</f>
        <v/>
      </c>
      <c r="J3060" s="44" t="str">
        <f t="array" ref="J3060">IF(B3060="","",_xlfn.XLOOKUP(B3060,'Form responses 1'!$B$2:$B$2604,'Form responses 1'!$G$2:$G$2604,""))</f>
        <v/>
      </c>
      <c r="K3060" s="56"/>
      <c r="L3060" s="58" t="str">
        <f t="shared" si="7"/>
        <v/>
      </c>
      <c r="M3060" s="49"/>
      <c r="N3060" s="49"/>
      <c r="O3060" s="49"/>
      <c r="P3060" s="49"/>
      <c r="Q3060" s="49"/>
      <c r="R3060" s="49"/>
      <c r="S3060" s="49"/>
      <c r="T3060" s="49"/>
      <c r="U3060" s="49"/>
      <c r="V3060" s="49"/>
      <c r="W3060" s="56"/>
      <c r="X3060" s="51" t="str">
        <f t="shared" si="5"/>
        <v/>
      </c>
      <c r="Y3060" s="50" t="s">
        <v>482</v>
      </c>
      <c r="Z3060" s="49">
        <f t="shared" si="6"/>
        <v>0</v>
      </c>
    </row>
    <row r="3061" ht="22.5" customHeight="1">
      <c r="B3061" s="57"/>
      <c r="C3061" s="43" t="str">
        <f t="array" ref="C3061">IF(B3061="","",_xlfn.XLOOKUP(B3061,'Form responses 1'!$B$2:$B$2604,'Form responses 1'!$A$2:$A$2604,""))</f>
        <v/>
      </c>
      <c r="D3061" s="44" t="str">
        <f t="shared" si="3"/>
        <v/>
      </c>
      <c r="E3061" s="44" t="str">
        <f t="array" ref="E3061">IF(B3061="","",_xlfn.XLOOKUP(B3061,'Form responses 1'!$B$2:$B$2604,'Form responses 1'!$C$2:$C$2604,""))</f>
        <v/>
      </c>
      <c r="F3061" s="44" t="str">
        <f t="array" ref="F3061">IF(B3061="","",_xlfn.XLOOKUP(B3061,'Form responses 1'!$B$2:$B$2604,'Form responses 1'!$D$2:$D$2604,""))</f>
        <v/>
      </c>
      <c r="G3061" s="44" t="str">
        <f t="array" ref="G3061">IF(B3061="","",_xlfn.XLOOKUP(B3061,'Form responses 1'!$B$2:$B$2604,'Form responses 1'!$E$2:$E$2604,""))</f>
        <v/>
      </c>
      <c r="H3061" s="44" t="str">
        <f t="array" ref="H3061">IF(B3061="","",_xlfn.XLOOKUP(B3061,'Form responses 1'!$B$2:$B$2604,'Form responses 1'!$F$2:$F$2604,""))</f>
        <v/>
      </c>
      <c r="I3061" s="44" t="str">
        <f t="array" ref="I3061">IF(B3061="","",_xlfn.XLOOKUP(B3061,'Form responses 1'!$B$2:$B$2604,'Form responses 1'!$I$2:$I$2604,""))</f>
        <v/>
      </c>
      <c r="J3061" s="44" t="str">
        <f t="array" ref="J3061">IF(B3061="","",_xlfn.XLOOKUP(B3061,'Form responses 1'!$B$2:$B$2604,'Form responses 1'!$G$2:$G$2604,""))</f>
        <v/>
      </c>
      <c r="K3061" s="56"/>
      <c r="L3061" s="58" t="str">
        <f t="shared" si="7"/>
        <v/>
      </c>
      <c r="M3061" s="49"/>
      <c r="N3061" s="49"/>
      <c r="O3061" s="49"/>
      <c r="P3061" s="49"/>
      <c r="Q3061" s="49"/>
      <c r="R3061" s="49"/>
      <c r="S3061" s="49"/>
      <c r="T3061" s="49"/>
      <c r="U3061" s="49"/>
      <c r="V3061" s="49"/>
      <c r="W3061" s="56"/>
      <c r="X3061" s="51" t="str">
        <f t="shared" si="5"/>
        <v/>
      </c>
      <c r="Y3061" s="50" t="s">
        <v>482</v>
      </c>
      <c r="Z3061" s="49">
        <f t="shared" si="6"/>
        <v>0</v>
      </c>
    </row>
    <row r="3062" ht="22.5" customHeight="1">
      <c r="B3062" s="57"/>
      <c r="C3062" s="43" t="str">
        <f t="array" ref="C3062">IF(B3062="","",_xlfn.XLOOKUP(B3062,'Form responses 1'!$B$2:$B$2604,'Form responses 1'!$A$2:$A$2604,""))</f>
        <v/>
      </c>
      <c r="D3062" s="44" t="str">
        <f t="shared" si="3"/>
        <v/>
      </c>
      <c r="E3062" s="44" t="str">
        <f t="array" ref="E3062">IF(B3062="","",_xlfn.XLOOKUP(B3062,'Form responses 1'!$B$2:$B$2604,'Form responses 1'!$C$2:$C$2604,""))</f>
        <v/>
      </c>
      <c r="F3062" s="44" t="str">
        <f t="array" ref="F3062">IF(B3062="","",_xlfn.XLOOKUP(B3062,'Form responses 1'!$B$2:$B$2604,'Form responses 1'!$D$2:$D$2604,""))</f>
        <v/>
      </c>
      <c r="G3062" s="44" t="str">
        <f t="array" ref="G3062">IF(B3062="","",_xlfn.XLOOKUP(B3062,'Form responses 1'!$B$2:$B$2604,'Form responses 1'!$E$2:$E$2604,""))</f>
        <v/>
      </c>
      <c r="H3062" s="44" t="str">
        <f t="array" ref="H3062">IF(B3062="","",_xlfn.XLOOKUP(B3062,'Form responses 1'!$B$2:$B$2604,'Form responses 1'!$F$2:$F$2604,""))</f>
        <v/>
      </c>
      <c r="I3062" s="44" t="str">
        <f t="array" ref="I3062">IF(B3062="","",_xlfn.XLOOKUP(B3062,'Form responses 1'!$B$2:$B$2604,'Form responses 1'!$I$2:$I$2604,""))</f>
        <v/>
      </c>
      <c r="J3062" s="44" t="str">
        <f t="array" ref="J3062">IF(B3062="","",_xlfn.XLOOKUP(B3062,'Form responses 1'!$B$2:$B$2604,'Form responses 1'!$G$2:$G$2604,""))</f>
        <v/>
      </c>
      <c r="K3062" s="56"/>
      <c r="L3062" s="58" t="str">
        <f t="shared" si="7"/>
        <v/>
      </c>
      <c r="M3062" s="49"/>
      <c r="N3062" s="49"/>
      <c r="O3062" s="49"/>
      <c r="P3062" s="49"/>
      <c r="Q3062" s="49"/>
      <c r="R3062" s="49"/>
      <c r="S3062" s="49"/>
      <c r="T3062" s="49"/>
      <c r="U3062" s="49"/>
      <c r="V3062" s="49"/>
      <c r="W3062" s="56"/>
      <c r="X3062" s="51" t="str">
        <f t="shared" si="5"/>
        <v/>
      </c>
      <c r="Y3062" s="50" t="s">
        <v>482</v>
      </c>
      <c r="Z3062" s="49">
        <f t="shared" si="6"/>
        <v>0</v>
      </c>
    </row>
    <row r="3063" ht="22.5" customHeight="1">
      <c r="B3063" s="57"/>
      <c r="C3063" s="43" t="str">
        <f t="array" ref="C3063">IF(B3063="","",_xlfn.XLOOKUP(B3063,'Form responses 1'!$B$2:$B$2604,'Form responses 1'!$A$2:$A$2604,""))</f>
        <v/>
      </c>
      <c r="D3063" s="44" t="str">
        <f t="shared" si="3"/>
        <v/>
      </c>
      <c r="E3063" s="44" t="str">
        <f t="array" ref="E3063">IF(B3063="","",_xlfn.XLOOKUP(B3063,'Form responses 1'!$B$2:$B$2604,'Form responses 1'!$C$2:$C$2604,""))</f>
        <v/>
      </c>
      <c r="F3063" s="44" t="str">
        <f t="array" ref="F3063">IF(B3063="","",_xlfn.XLOOKUP(B3063,'Form responses 1'!$B$2:$B$2604,'Form responses 1'!$D$2:$D$2604,""))</f>
        <v/>
      </c>
      <c r="G3063" s="44" t="str">
        <f t="array" ref="G3063">IF(B3063="","",_xlfn.XLOOKUP(B3063,'Form responses 1'!$B$2:$B$2604,'Form responses 1'!$E$2:$E$2604,""))</f>
        <v/>
      </c>
      <c r="H3063" s="44" t="str">
        <f t="array" ref="H3063">IF(B3063="","",_xlfn.XLOOKUP(B3063,'Form responses 1'!$B$2:$B$2604,'Form responses 1'!$F$2:$F$2604,""))</f>
        <v/>
      </c>
      <c r="I3063" s="44" t="str">
        <f t="array" ref="I3063">IF(B3063="","",_xlfn.XLOOKUP(B3063,'Form responses 1'!$B$2:$B$2604,'Form responses 1'!$I$2:$I$2604,""))</f>
        <v/>
      </c>
      <c r="J3063" s="44" t="str">
        <f t="array" ref="J3063">IF(B3063="","",_xlfn.XLOOKUP(B3063,'Form responses 1'!$B$2:$B$2604,'Form responses 1'!$G$2:$G$2604,""))</f>
        <v/>
      </c>
      <c r="K3063" s="56"/>
      <c r="L3063" s="58" t="str">
        <f t="shared" si="7"/>
        <v/>
      </c>
      <c r="M3063" s="49"/>
      <c r="N3063" s="49"/>
      <c r="O3063" s="49"/>
      <c r="P3063" s="49"/>
      <c r="Q3063" s="49"/>
      <c r="R3063" s="49"/>
      <c r="S3063" s="49"/>
      <c r="T3063" s="49"/>
      <c r="U3063" s="49"/>
      <c r="V3063" s="49"/>
      <c r="W3063" s="56"/>
      <c r="X3063" s="51" t="str">
        <f t="shared" si="5"/>
        <v/>
      </c>
      <c r="Y3063" s="50" t="s">
        <v>482</v>
      </c>
      <c r="Z3063" s="49">
        <f t="shared" si="6"/>
        <v>0</v>
      </c>
    </row>
    <row r="3064" ht="22.5" customHeight="1">
      <c r="B3064" s="57"/>
      <c r="C3064" s="43" t="str">
        <f t="array" ref="C3064">IF(B3064="","",_xlfn.XLOOKUP(B3064,'Form responses 1'!$B$2:$B$2604,'Form responses 1'!$A$2:$A$2604,""))</f>
        <v/>
      </c>
      <c r="D3064" s="44" t="str">
        <f t="shared" si="3"/>
        <v/>
      </c>
      <c r="E3064" s="44" t="str">
        <f t="array" ref="E3064">IF(B3064="","",_xlfn.XLOOKUP(B3064,'Form responses 1'!$B$2:$B$2604,'Form responses 1'!$C$2:$C$2604,""))</f>
        <v/>
      </c>
      <c r="F3064" s="44" t="str">
        <f t="array" ref="F3064">IF(B3064="","",_xlfn.XLOOKUP(B3064,'Form responses 1'!$B$2:$B$2604,'Form responses 1'!$D$2:$D$2604,""))</f>
        <v/>
      </c>
      <c r="G3064" s="44" t="str">
        <f t="array" ref="G3064">IF(B3064="","",_xlfn.XLOOKUP(B3064,'Form responses 1'!$B$2:$B$2604,'Form responses 1'!$E$2:$E$2604,""))</f>
        <v/>
      </c>
      <c r="H3064" s="44" t="str">
        <f t="array" ref="H3064">IF(B3064="","",_xlfn.XLOOKUP(B3064,'Form responses 1'!$B$2:$B$2604,'Form responses 1'!$F$2:$F$2604,""))</f>
        <v/>
      </c>
      <c r="I3064" s="44" t="str">
        <f t="array" ref="I3064">IF(B3064="","",_xlfn.XLOOKUP(B3064,'Form responses 1'!$B$2:$B$2604,'Form responses 1'!$I$2:$I$2604,""))</f>
        <v/>
      </c>
      <c r="J3064" s="44" t="str">
        <f t="array" ref="J3064">IF(B3064="","",_xlfn.XLOOKUP(B3064,'Form responses 1'!$B$2:$B$2604,'Form responses 1'!$G$2:$G$2604,""))</f>
        <v/>
      </c>
      <c r="K3064" s="56"/>
      <c r="L3064" s="58" t="str">
        <f t="shared" si="7"/>
        <v/>
      </c>
      <c r="M3064" s="49"/>
      <c r="N3064" s="49"/>
      <c r="O3064" s="49"/>
      <c r="P3064" s="49"/>
      <c r="Q3064" s="49"/>
      <c r="R3064" s="49"/>
      <c r="S3064" s="49"/>
      <c r="T3064" s="49"/>
      <c r="U3064" s="49"/>
      <c r="V3064" s="49"/>
      <c r="W3064" s="56"/>
      <c r="X3064" s="51" t="str">
        <f t="shared" si="5"/>
        <v/>
      </c>
      <c r="Y3064" s="50" t="s">
        <v>482</v>
      </c>
      <c r="Z3064" s="49">
        <f t="shared" si="6"/>
        <v>0</v>
      </c>
    </row>
    <row r="3065" ht="22.5" customHeight="1">
      <c r="B3065" s="57"/>
      <c r="C3065" s="43" t="str">
        <f t="array" ref="C3065">IF(B3065="","",_xlfn.XLOOKUP(B3065,'Form responses 1'!$B$2:$B$2604,'Form responses 1'!$A$2:$A$2604,""))</f>
        <v/>
      </c>
      <c r="D3065" s="44" t="str">
        <f t="shared" si="3"/>
        <v/>
      </c>
      <c r="E3065" s="44" t="str">
        <f t="array" ref="E3065">IF(B3065="","",_xlfn.XLOOKUP(B3065,'Form responses 1'!$B$2:$B$2604,'Form responses 1'!$C$2:$C$2604,""))</f>
        <v/>
      </c>
      <c r="F3065" s="44" t="str">
        <f t="array" ref="F3065">IF(B3065="","",_xlfn.XLOOKUP(B3065,'Form responses 1'!$B$2:$B$2604,'Form responses 1'!$D$2:$D$2604,""))</f>
        <v/>
      </c>
      <c r="G3065" s="44" t="str">
        <f t="array" ref="G3065">IF(B3065="","",_xlfn.XLOOKUP(B3065,'Form responses 1'!$B$2:$B$2604,'Form responses 1'!$E$2:$E$2604,""))</f>
        <v/>
      </c>
      <c r="H3065" s="44" t="str">
        <f t="array" ref="H3065">IF(B3065="","",_xlfn.XLOOKUP(B3065,'Form responses 1'!$B$2:$B$2604,'Form responses 1'!$F$2:$F$2604,""))</f>
        <v/>
      </c>
      <c r="I3065" s="44" t="str">
        <f t="array" ref="I3065">IF(B3065="","",_xlfn.XLOOKUP(B3065,'Form responses 1'!$B$2:$B$2604,'Form responses 1'!$I$2:$I$2604,""))</f>
        <v/>
      </c>
      <c r="J3065" s="44" t="str">
        <f t="array" ref="J3065">IF(B3065="","",_xlfn.XLOOKUP(B3065,'Form responses 1'!$B$2:$B$2604,'Form responses 1'!$G$2:$G$2604,""))</f>
        <v/>
      </c>
      <c r="K3065" s="56"/>
      <c r="L3065" s="58" t="str">
        <f t="shared" si="7"/>
        <v/>
      </c>
      <c r="M3065" s="49"/>
      <c r="N3065" s="49"/>
      <c r="O3065" s="49"/>
      <c r="P3065" s="49"/>
      <c r="Q3065" s="49"/>
      <c r="R3065" s="49"/>
      <c r="S3065" s="49"/>
      <c r="T3065" s="49"/>
      <c r="U3065" s="49"/>
      <c r="V3065" s="49"/>
      <c r="W3065" s="56"/>
      <c r="X3065" s="51" t="str">
        <f t="shared" si="5"/>
        <v/>
      </c>
      <c r="Y3065" s="50" t="s">
        <v>482</v>
      </c>
      <c r="Z3065" s="49">
        <f t="shared" si="6"/>
        <v>0</v>
      </c>
    </row>
    <row r="3066" ht="22.5" customHeight="1">
      <c r="B3066" s="57"/>
      <c r="C3066" s="43" t="str">
        <f t="array" ref="C3066">IF(B3066="","",_xlfn.XLOOKUP(B3066,'Form responses 1'!$B$2:$B$2604,'Form responses 1'!$A$2:$A$2604,""))</f>
        <v/>
      </c>
      <c r="D3066" s="44" t="str">
        <f t="shared" si="3"/>
        <v/>
      </c>
      <c r="E3066" s="44" t="str">
        <f t="array" ref="E3066">IF(B3066="","",_xlfn.XLOOKUP(B3066,'Form responses 1'!$B$2:$B$2604,'Form responses 1'!$C$2:$C$2604,""))</f>
        <v/>
      </c>
      <c r="F3066" s="44" t="str">
        <f t="array" ref="F3066">IF(B3066="","",_xlfn.XLOOKUP(B3066,'Form responses 1'!$B$2:$B$2604,'Form responses 1'!$D$2:$D$2604,""))</f>
        <v/>
      </c>
      <c r="G3066" s="44" t="str">
        <f t="array" ref="G3066">IF(B3066="","",_xlfn.XLOOKUP(B3066,'Form responses 1'!$B$2:$B$2604,'Form responses 1'!$E$2:$E$2604,""))</f>
        <v/>
      </c>
      <c r="H3066" s="44" t="str">
        <f t="array" ref="H3066">IF(B3066="","",_xlfn.XLOOKUP(B3066,'Form responses 1'!$B$2:$B$2604,'Form responses 1'!$F$2:$F$2604,""))</f>
        <v/>
      </c>
      <c r="I3066" s="44" t="str">
        <f t="array" ref="I3066">IF(B3066="","",_xlfn.XLOOKUP(B3066,'Form responses 1'!$B$2:$B$2604,'Form responses 1'!$I$2:$I$2604,""))</f>
        <v/>
      </c>
      <c r="J3066" s="44" t="str">
        <f t="array" ref="J3066">IF(B3066="","",_xlfn.XLOOKUP(B3066,'Form responses 1'!$B$2:$B$2604,'Form responses 1'!$G$2:$G$2604,""))</f>
        <v/>
      </c>
      <c r="K3066" s="56"/>
      <c r="L3066" s="58" t="str">
        <f t="shared" si="7"/>
        <v/>
      </c>
      <c r="M3066" s="49"/>
      <c r="N3066" s="49"/>
      <c r="O3066" s="49"/>
      <c r="P3066" s="49"/>
      <c r="Q3066" s="49"/>
      <c r="R3066" s="49"/>
      <c r="S3066" s="49"/>
      <c r="T3066" s="49"/>
      <c r="U3066" s="49"/>
      <c r="V3066" s="49"/>
      <c r="W3066" s="56"/>
      <c r="X3066" s="51" t="str">
        <f t="shared" si="5"/>
        <v/>
      </c>
      <c r="Y3066" s="50" t="s">
        <v>482</v>
      </c>
      <c r="Z3066" s="49">
        <f t="shared" si="6"/>
        <v>0</v>
      </c>
    </row>
    <row r="3067" ht="22.5" customHeight="1">
      <c r="B3067" s="57"/>
      <c r="C3067" s="43" t="str">
        <f t="array" ref="C3067">IF(B3067="","",_xlfn.XLOOKUP(B3067,'Form responses 1'!$B$2:$B$2604,'Form responses 1'!$A$2:$A$2604,""))</f>
        <v/>
      </c>
      <c r="D3067" s="44" t="str">
        <f t="shared" si="3"/>
        <v/>
      </c>
      <c r="E3067" s="44" t="str">
        <f t="array" ref="E3067">IF(B3067="","",_xlfn.XLOOKUP(B3067,'Form responses 1'!$B$2:$B$2604,'Form responses 1'!$C$2:$C$2604,""))</f>
        <v/>
      </c>
      <c r="F3067" s="44" t="str">
        <f t="array" ref="F3067">IF(B3067="","",_xlfn.XLOOKUP(B3067,'Form responses 1'!$B$2:$B$2604,'Form responses 1'!$D$2:$D$2604,""))</f>
        <v/>
      </c>
      <c r="G3067" s="44" t="str">
        <f t="array" ref="G3067">IF(B3067="","",_xlfn.XLOOKUP(B3067,'Form responses 1'!$B$2:$B$2604,'Form responses 1'!$E$2:$E$2604,""))</f>
        <v/>
      </c>
      <c r="H3067" s="44" t="str">
        <f t="array" ref="H3067">IF(B3067="","",_xlfn.XLOOKUP(B3067,'Form responses 1'!$B$2:$B$2604,'Form responses 1'!$F$2:$F$2604,""))</f>
        <v/>
      </c>
      <c r="I3067" s="44" t="str">
        <f t="array" ref="I3067">IF(B3067="","",_xlfn.XLOOKUP(B3067,'Form responses 1'!$B$2:$B$2604,'Form responses 1'!$I$2:$I$2604,""))</f>
        <v/>
      </c>
      <c r="J3067" s="44" t="str">
        <f t="array" ref="J3067">IF(B3067="","",_xlfn.XLOOKUP(B3067,'Form responses 1'!$B$2:$B$2604,'Form responses 1'!$G$2:$G$2604,""))</f>
        <v/>
      </c>
      <c r="K3067" s="56"/>
      <c r="L3067" s="58" t="str">
        <f t="shared" si="7"/>
        <v/>
      </c>
      <c r="M3067" s="49"/>
      <c r="N3067" s="49"/>
      <c r="O3067" s="49"/>
      <c r="P3067" s="49"/>
      <c r="Q3067" s="49"/>
      <c r="R3067" s="49"/>
      <c r="S3067" s="49"/>
      <c r="T3067" s="49"/>
      <c r="U3067" s="49"/>
      <c r="V3067" s="49"/>
      <c r="W3067" s="56"/>
      <c r="X3067" s="51" t="str">
        <f t="shared" si="5"/>
        <v/>
      </c>
      <c r="Y3067" s="50" t="s">
        <v>482</v>
      </c>
      <c r="Z3067" s="49">
        <f t="shared" si="6"/>
        <v>0</v>
      </c>
    </row>
    <row r="3068" ht="22.5" customHeight="1">
      <c r="B3068" s="57"/>
      <c r="C3068" s="43" t="str">
        <f t="array" ref="C3068">IF(B3068="","",_xlfn.XLOOKUP(B3068,'Form responses 1'!$B$2:$B$2604,'Form responses 1'!$A$2:$A$2604,""))</f>
        <v/>
      </c>
      <c r="D3068" s="44" t="str">
        <f t="shared" si="3"/>
        <v/>
      </c>
      <c r="E3068" s="44" t="str">
        <f t="array" ref="E3068">IF(B3068="","",_xlfn.XLOOKUP(B3068,'Form responses 1'!$B$2:$B$2604,'Form responses 1'!$C$2:$C$2604,""))</f>
        <v/>
      </c>
      <c r="F3068" s="44" t="str">
        <f t="array" ref="F3068">IF(B3068="","",_xlfn.XLOOKUP(B3068,'Form responses 1'!$B$2:$B$2604,'Form responses 1'!$D$2:$D$2604,""))</f>
        <v/>
      </c>
      <c r="G3068" s="44" t="str">
        <f t="array" ref="G3068">IF(B3068="","",_xlfn.XLOOKUP(B3068,'Form responses 1'!$B$2:$B$2604,'Form responses 1'!$E$2:$E$2604,""))</f>
        <v/>
      </c>
      <c r="H3068" s="44" t="str">
        <f t="array" ref="H3068">IF(B3068="","",_xlfn.XLOOKUP(B3068,'Form responses 1'!$B$2:$B$2604,'Form responses 1'!$F$2:$F$2604,""))</f>
        <v/>
      </c>
      <c r="I3068" s="44" t="str">
        <f t="array" ref="I3068">IF(B3068="","",_xlfn.XLOOKUP(B3068,'Form responses 1'!$B$2:$B$2604,'Form responses 1'!$I$2:$I$2604,""))</f>
        <v/>
      </c>
      <c r="J3068" s="44" t="str">
        <f t="array" ref="J3068">IF(B3068="","",_xlfn.XLOOKUP(B3068,'Form responses 1'!$B$2:$B$2604,'Form responses 1'!$G$2:$G$2604,""))</f>
        <v/>
      </c>
      <c r="K3068" s="56"/>
      <c r="L3068" s="58" t="str">
        <f t="shared" si="7"/>
        <v/>
      </c>
      <c r="M3068" s="49"/>
      <c r="N3068" s="49"/>
      <c r="O3068" s="49"/>
      <c r="P3068" s="49"/>
      <c r="Q3068" s="49"/>
      <c r="R3068" s="49"/>
      <c r="S3068" s="49"/>
      <c r="T3068" s="49"/>
      <c r="U3068" s="49"/>
      <c r="V3068" s="49"/>
      <c r="W3068" s="56"/>
      <c r="X3068" s="51" t="str">
        <f t="shared" si="5"/>
        <v/>
      </c>
      <c r="Y3068" s="50" t="s">
        <v>482</v>
      </c>
      <c r="Z3068" s="49">
        <f t="shared" si="6"/>
        <v>0</v>
      </c>
    </row>
    <row r="3069" ht="22.5" customHeight="1">
      <c r="B3069" s="57"/>
      <c r="C3069" s="43" t="str">
        <f t="array" ref="C3069">IF(B3069="","",_xlfn.XLOOKUP(B3069,'Form responses 1'!$B$2:$B$2604,'Form responses 1'!$A$2:$A$2604,""))</f>
        <v/>
      </c>
      <c r="D3069" s="44" t="str">
        <f t="shared" si="3"/>
        <v/>
      </c>
      <c r="E3069" s="44" t="str">
        <f t="array" ref="E3069">IF(B3069="","",_xlfn.XLOOKUP(B3069,'Form responses 1'!$B$2:$B$2604,'Form responses 1'!$C$2:$C$2604,""))</f>
        <v/>
      </c>
      <c r="F3069" s="44" t="str">
        <f t="array" ref="F3069">IF(B3069="","",_xlfn.XLOOKUP(B3069,'Form responses 1'!$B$2:$B$2604,'Form responses 1'!$D$2:$D$2604,""))</f>
        <v/>
      </c>
      <c r="G3069" s="44" t="str">
        <f t="array" ref="G3069">IF(B3069="","",_xlfn.XLOOKUP(B3069,'Form responses 1'!$B$2:$B$2604,'Form responses 1'!$E$2:$E$2604,""))</f>
        <v/>
      </c>
      <c r="H3069" s="44" t="str">
        <f t="array" ref="H3069">IF(B3069="","",_xlfn.XLOOKUP(B3069,'Form responses 1'!$B$2:$B$2604,'Form responses 1'!$F$2:$F$2604,""))</f>
        <v/>
      </c>
      <c r="I3069" s="44" t="str">
        <f t="array" ref="I3069">IF(B3069="","",_xlfn.XLOOKUP(B3069,'Form responses 1'!$B$2:$B$2604,'Form responses 1'!$I$2:$I$2604,""))</f>
        <v/>
      </c>
      <c r="J3069" s="44" t="str">
        <f t="array" ref="J3069">IF(B3069="","",_xlfn.XLOOKUP(B3069,'Form responses 1'!$B$2:$B$2604,'Form responses 1'!$G$2:$G$2604,""))</f>
        <v/>
      </c>
      <c r="K3069" s="56"/>
      <c r="L3069" s="58" t="str">
        <f t="shared" si="7"/>
        <v/>
      </c>
      <c r="M3069" s="49"/>
      <c r="N3069" s="49"/>
      <c r="O3069" s="49"/>
      <c r="P3069" s="49"/>
      <c r="Q3069" s="49"/>
      <c r="R3069" s="49"/>
      <c r="S3069" s="49"/>
      <c r="T3069" s="49"/>
      <c r="U3069" s="49"/>
      <c r="V3069" s="49"/>
      <c r="W3069" s="56"/>
      <c r="X3069" s="51" t="str">
        <f t="shared" si="5"/>
        <v/>
      </c>
      <c r="Y3069" s="50" t="s">
        <v>482</v>
      </c>
      <c r="Z3069" s="49">
        <f t="shared" si="6"/>
        <v>0</v>
      </c>
    </row>
    <row r="3070" ht="22.5" customHeight="1">
      <c r="B3070" s="57"/>
      <c r="C3070" s="43" t="str">
        <f t="array" ref="C3070">IF(B3070="","",_xlfn.XLOOKUP(B3070,'Form responses 1'!$B$2:$B$2604,'Form responses 1'!$A$2:$A$2604,""))</f>
        <v/>
      </c>
      <c r="D3070" s="44" t="str">
        <f t="shared" si="3"/>
        <v/>
      </c>
      <c r="E3070" s="44" t="str">
        <f t="array" ref="E3070">IF(B3070="","",_xlfn.XLOOKUP(B3070,'Form responses 1'!$B$2:$B$2604,'Form responses 1'!$C$2:$C$2604,""))</f>
        <v/>
      </c>
      <c r="F3070" s="44" t="str">
        <f t="array" ref="F3070">IF(B3070="","",_xlfn.XLOOKUP(B3070,'Form responses 1'!$B$2:$B$2604,'Form responses 1'!$D$2:$D$2604,""))</f>
        <v/>
      </c>
      <c r="G3070" s="44" t="str">
        <f t="array" ref="G3070">IF(B3070="","",_xlfn.XLOOKUP(B3070,'Form responses 1'!$B$2:$B$2604,'Form responses 1'!$E$2:$E$2604,""))</f>
        <v/>
      </c>
      <c r="H3070" s="44" t="str">
        <f t="array" ref="H3070">IF(B3070="","",_xlfn.XLOOKUP(B3070,'Form responses 1'!$B$2:$B$2604,'Form responses 1'!$F$2:$F$2604,""))</f>
        <v/>
      </c>
      <c r="I3070" s="44" t="str">
        <f t="array" ref="I3070">IF(B3070="","",_xlfn.XLOOKUP(B3070,'Form responses 1'!$B$2:$B$2604,'Form responses 1'!$I$2:$I$2604,""))</f>
        <v/>
      </c>
      <c r="J3070" s="44" t="str">
        <f t="array" ref="J3070">IF(B3070="","",_xlfn.XLOOKUP(B3070,'Form responses 1'!$B$2:$B$2604,'Form responses 1'!$G$2:$G$2604,""))</f>
        <v/>
      </c>
      <c r="K3070" s="56"/>
      <c r="L3070" s="58" t="str">
        <f t="shared" si="7"/>
        <v/>
      </c>
      <c r="M3070" s="49"/>
      <c r="N3070" s="49"/>
      <c r="O3070" s="49"/>
      <c r="P3070" s="49"/>
      <c r="Q3070" s="49"/>
      <c r="R3070" s="49"/>
      <c r="S3070" s="49"/>
      <c r="T3070" s="49"/>
      <c r="U3070" s="49"/>
      <c r="V3070" s="49"/>
      <c r="W3070" s="56"/>
      <c r="X3070" s="51" t="str">
        <f t="shared" si="5"/>
        <v/>
      </c>
      <c r="Y3070" s="50" t="s">
        <v>482</v>
      </c>
      <c r="Z3070" s="49">
        <f t="shared" si="6"/>
        <v>0</v>
      </c>
    </row>
    <row r="3071" ht="22.5" customHeight="1">
      <c r="B3071" s="57"/>
      <c r="C3071" s="43" t="str">
        <f t="array" ref="C3071">IF(B3071="","",_xlfn.XLOOKUP(B3071,'Form responses 1'!$B$2:$B$2604,'Form responses 1'!$A$2:$A$2604,""))</f>
        <v/>
      </c>
      <c r="D3071" s="44" t="str">
        <f t="shared" si="3"/>
        <v/>
      </c>
      <c r="E3071" s="44" t="str">
        <f t="array" ref="E3071">IF(B3071="","",_xlfn.XLOOKUP(B3071,'Form responses 1'!$B$2:$B$2604,'Form responses 1'!$C$2:$C$2604,""))</f>
        <v/>
      </c>
      <c r="F3071" s="44" t="str">
        <f t="array" ref="F3071">IF(B3071="","",_xlfn.XLOOKUP(B3071,'Form responses 1'!$B$2:$B$2604,'Form responses 1'!$D$2:$D$2604,""))</f>
        <v/>
      </c>
      <c r="G3071" s="44" t="str">
        <f t="array" ref="G3071">IF(B3071="","",_xlfn.XLOOKUP(B3071,'Form responses 1'!$B$2:$B$2604,'Form responses 1'!$E$2:$E$2604,""))</f>
        <v/>
      </c>
      <c r="H3071" s="44" t="str">
        <f t="array" ref="H3071">IF(B3071="","",_xlfn.XLOOKUP(B3071,'Form responses 1'!$B$2:$B$2604,'Form responses 1'!$F$2:$F$2604,""))</f>
        <v/>
      </c>
      <c r="I3071" s="44" t="str">
        <f t="array" ref="I3071">IF(B3071="","",_xlfn.XLOOKUP(B3071,'Form responses 1'!$B$2:$B$2604,'Form responses 1'!$I$2:$I$2604,""))</f>
        <v/>
      </c>
      <c r="J3071" s="44" t="str">
        <f t="array" ref="J3071">IF(B3071="","",_xlfn.XLOOKUP(B3071,'Form responses 1'!$B$2:$B$2604,'Form responses 1'!$G$2:$G$2604,""))</f>
        <v/>
      </c>
      <c r="K3071" s="56"/>
      <c r="L3071" s="58" t="str">
        <f t="shared" si="7"/>
        <v/>
      </c>
      <c r="M3071" s="49"/>
      <c r="N3071" s="49"/>
      <c r="O3071" s="49"/>
      <c r="P3071" s="49"/>
      <c r="Q3071" s="49"/>
      <c r="R3071" s="49"/>
      <c r="S3071" s="49"/>
      <c r="T3071" s="49"/>
      <c r="U3071" s="49"/>
      <c r="V3071" s="49"/>
      <c r="W3071" s="56"/>
      <c r="X3071" s="51" t="str">
        <f t="shared" si="5"/>
        <v/>
      </c>
      <c r="Y3071" s="50" t="s">
        <v>482</v>
      </c>
      <c r="Z3071" s="49">
        <f t="shared" si="6"/>
        <v>0</v>
      </c>
    </row>
    <row r="3072" ht="22.5" customHeight="1">
      <c r="B3072" s="57"/>
      <c r="C3072" s="43" t="str">
        <f t="array" ref="C3072">IF(B3072="","",_xlfn.XLOOKUP(B3072,'Form responses 1'!$B$2:$B$2604,'Form responses 1'!$A$2:$A$2604,""))</f>
        <v/>
      </c>
      <c r="D3072" s="44" t="str">
        <f t="shared" si="3"/>
        <v/>
      </c>
      <c r="E3072" s="44" t="str">
        <f t="array" ref="E3072">IF(B3072="","",_xlfn.XLOOKUP(B3072,'Form responses 1'!$B$2:$B$2604,'Form responses 1'!$C$2:$C$2604,""))</f>
        <v/>
      </c>
      <c r="F3072" s="44" t="str">
        <f t="array" ref="F3072">IF(B3072="","",_xlfn.XLOOKUP(B3072,'Form responses 1'!$B$2:$B$2604,'Form responses 1'!$D$2:$D$2604,""))</f>
        <v/>
      </c>
      <c r="G3072" s="44" t="str">
        <f t="array" ref="G3072">IF(B3072="","",_xlfn.XLOOKUP(B3072,'Form responses 1'!$B$2:$B$2604,'Form responses 1'!$E$2:$E$2604,""))</f>
        <v/>
      </c>
      <c r="H3072" s="44" t="str">
        <f t="array" ref="H3072">IF(B3072="","",_xlfn.XLOOKUP(B3072,'Form responses 1'!$B$2:$B$2604,'Form responses 1'!$F$2:$F$2604,""))</f>
        <v/>
      </c>
      <c r="I3072" s="44" t="str">
        <f t="array" ref="I3072">IF(B3072="","",_xlfn.XLOOKUP(B3072,'Form responses 1'!$B$2:$B$2604,'Form responses 1'!$I$2:$I$2604,""))</f>
        <v/>
      </c>
      <c r="J3072" s="44" t="str">
        <f t="array" ref="J3072">IF(B3072="","",_xlfn.XLOOKUP(B3072,'Form responses 1'!$B$2:$B$2604,'Form responses 1'!$G$2:$G$2604,""))</f>
        <v/>
      </c>
      <c r="K3072" s="56"/>
      <c r="L3072" s="58" t="str">
        <f t="shared" si="7"/>
        <v/>
      </c>
      <c r="M3072" s="49"/>
      <c r="N3072" s="49"/>
      <c r="O3072" s="49"/>
      <c r="P3072" s="49"/>
      <c r="Q3072" s="49"/>
      <c r="R3072" s="49"/>
      <c r="S3072" s="49"/>
      <c r="T3072" s="49"/>
      <c r="U3072" s="49"/>
      <c r="V3072" s="49"/>
      <c r="W3072" s="56"/>
      <c r="X3072" s="51" t="str">
        <f t="shared" si="5"/>
        <v/>
      </c>
      <c r="Y3072" s="50" t="s">
        <v>482</v>
      </c>
      <c r="Z3072" s="49">
        <f t="shared" si="6"/>
        <v>0</v>
      </c>
    </row>
    <row r="3073" ht="22.5" customHeight="1">
      <c r="B3073" s="57"/>
      <c r="C3073" s="43" t="str">
        <f t="array" ref="C3073">IF(B3073="","",_xlfn.XLOOKUP(B3073,'Form responses 1'!$B$2:$B$2604,'Form responses 1'!$A$2:$A$2604,""))</f>
        <v/>
      </c>
      <c r="D3073" s="44" t="str">
        <f t="shared" si="3"/>
        <v/>
      </c>
      <c r="E3073" s="44" t="str">
        <f t="array" ref="E3073">IF(B3073="","",_xlfn.XLOOKUP(B3073,'Form responses 1'!$B$2:$B$2604,'Form responses 1'!$C$2:$C$2604,""))</f>
        <v/>
      </c>
      <c r="F3073" s="44" t="str">
        <f t="array" ref="F3073">IF(B3073="","",_xlfn.XLOOKUP(B3073,'Form responses 1'!$B$2:$B$2604,'Form responses 1'!$D$2:$D$2604,""))</f>
        <v/>
      </c>
      <c r="G3073" s="44" t="str">
        <f t="array" ref="G3073">IF(B3073="","",_xlfn.XLOOKUP(B3073,'Form responses 1'!$B$2:$B$2604,'Form responses 1'!$E$2:$E$2604,""))</f>
        <v/>
      </c>
      <c r="H3073" s="44" t="str">
        <f t="array" ref="H3073">IF(B3073="","",_xlfn.XLOOKUP(B3073,'Form responses 1'!$B$2:$B$2604,'Form responses 1'!$F$2:$F$2604,""))</f>
        <v/>
      </c>
      <c r="I3073" s="44" t="str">
        <f t="array" ref="I3073">IF(B3073="","",_xlfn.XLOOKUP(B3073,'Form responses 1'!$B$2:$B$2604,'Form responses 1'!$I$2:$I$2604,""))</f>
        <v/>
      </c>
      <c r="J3073" s="44" t="str">
        <f t="array" ref="J3073">IF(B3073="","",_xlfn.XLOOKUP(B3073,'Form responses 1'!$B$2:$B$2604,'Form responses 1'!$G$2:$G$2604,""))</f>
        <v/>
      </c>
      <c r="K3073" s="56"/>
      <c r="L3073" s="58" t="str">
        <f t="shared" si="7"/>
        <v/>
      </c>
      <c r="M3073" s="49"/>
      <c r="N3073" s="49"/>
      <c r="O3073" s="49"/>
      <c r="P3073" s="49"/>
      <c r="Q3073" s="49"/>
      <c r="R3073" s="49"/>
      <c r="S3073" s="49"/>
      <c r="T3073" s="49"/>
      <c r="U3073" s="49"/>
      <c r="V3073" s="49"/>
      <c r="W3073" s="56"/>
      <c r="X3073" s="51" t="str">
        <f t="shared" si="5"/>
        <v/>
      </c>
      <c r="Y3073" s="50" t="s">
        <v>482</v>
      </c>
      <c r="Z3073" s="49">
        <f t="shared" si="6"/>
        <v>0</v>
      </c>
    </row>
    <row r="3074" ht="22.5" customHeight="1">
      <c r="B3074" s="57"/>
      <c r="C3074" s="43" t="str">
        <f t="array" ref="C3074">IF(B3074="","",_xlfn.XLOOKUP(B3074,'Form responses 1'!$B$2:$B$2604,'Form responses 1'!$A$2:$A$2604,""))</f>
        <v/>
      </c>
      <c r="D3074" s="44" t="str">
        <f t="shared" si="3"/>
        <v/>
      </c>
      <c r="E3074" s="44" t="str">
        <f t="array" ref="E3074">IF(B3074="","",_xlfn.XLOOKUP(B3074,'Form responses 1'!$B$2:$B$2604,'Form responses 1'!$C$2:$C$2604,""))</f>
        <v/>
      </c>
      <c r="F3074" s="44" t="str">
        <f t="array" ref="F3074">IF(B3074="","",_xlfn.XLOOKUP(B3074,'Form responses 1'!$B$2:$B$2604,'Form responses 1'!$D$2:$D$2604,""))</f>
        <v/>
      </c>
      <c r="G3074" s="44" t="str">
        <f t="array" ref="G3074">IF(B3074="","",_xlfn.XLOOKUP(B3074,'Form responses 1'!$B$2:$B$2604,'Form responses 1'!$E$2:$E$2604,""))</f>
        <v/>
      </c>
      <c r="H3074" s="44" t="str">
        <f t="array" ref="H3074">IF(B3074="","",_xlfn.XLOOKUP(B3074,'Form responses 1'!$B$2:$B$2604,'Form responses 1'!$F$2:$F$2604,""))</f>
        <v/>
      </c>
      <c r="I3074" s="44" t="str">
        <f t="array" ref="I3074">IF(B3074="","",_xlfn.XLOOKUP(B3074,'Form responses 1'!$B$2:$B$2604,'Form responses 1'!$I$2:$I$2604,""))</f>
        <v/>
      </c>
      <c r="J3074" s="44" t="str">
        <f t="array" ref="J3074">IF(B3074="","",_xlfn.XLOOKUP(B3074,'Form responses 1'!$B$2:$B$2604,'Form responses 1'!$G$2:$G$2604,""))</f>
        <v/>
      </c>
      <c r="K3074" s="56"/>
      <c r="L3074" s="58" t="str">
        <f t="shared" si="7"/>
        <v/>
      </c>
      <c r="M3074" s="49"/>
      <c r="N3074" s="49"/>
      <c r="O3074" s="49"/>
      <c r="P3074" s="49"/>
      <c r="Q3074" s="49"/>
      <c r="R3074" s="49"/>
      <c r="S3074" s="49"/>
      <c r="T3074" s="49"/>
      <c r="U3074" s="49"/>
      <c r="V3074" s="49"/>
      <c r="W3074" s="56"/>
      <c r="X3074" s="51" t="str">
        <f t="shared" si="5"/>
        <v/>
      </c>
      <c r="Y3074" s="50" t="s">
        <v>482</v>
      </c>
      <c r="Z3074" s="49">
        <f t="shared" si="6"/>
        <v>0</v>
      </c>
    </row>
    <row r="3075" ht="22.5" customHeight="1">
      <c r="B3075" s="57"/>
      <c r="C3075" s="43" t="str">
        <f t="array" ref="C3075">IF(B3075="","",_xlfn.XLOOKUP(B3075,'Form responses 1'!$B$2:$B$2604,'Form responses 1'!$A$2:$A$2604,""))</f>
        <v/>
      </c>
      <c r="D3075" s="44" t="str">
        <f t="shared" si="3"/>
        <v/>
      </c>
      <c r="E3075" s="44" t="str">
        <f t="array" ref="E3075">IF(B3075="","",_xlfn.XLOOKUP(B3075,'Form responses 1'!$B$2:$B$2604,'Form responses 1'!$C$2:$C$2604,""))</f>
        <v/>
      </c>
      <c r="F3075" s="44" t="str">
        <f t="array" ref="F3075">IF(B3075="","",_xlfn.XLOOKUP(B3075,'Form responses 1'!$B$2:$B$2604,'Form responses 1'!$D$2:$D$2604,""))</f>
        <v/>
      </c>
      <c r="G3075" s="44" t="str">
        <f t="array" ref="G3075">IF(B3075="","",_xlfn.XLOOKUP(B3075,'Form responses 1'!$B$2:$B$2604,'Form responses 1'!$E$2:$E$2604,""))</f>
        <v/>
      </c>
      <c r="H3075" s="44" t="str">
        <f t="array" ref="H3075">IF(B3075="","",_xlfn.XLOOKUP(B3075,'Form responses 1'!$B$2:$B$2604,'Form responses 1'!$F$2:$F$2604,""))</f>
        <v/>
      </c>
      <c r="I3075" s="44" t="str">
        <f t="array" ref="I3075">IF(B3075="","",_xlfn.XLOOKUP(B3075,'Form responses 1'!$B$2:$B$2604,'Form responses 1'!$I$2:$I$2604,""))</f>
        <v/>
      </c>
      <c r="J3075" s="44" t="str">
        <f t="array" ref="J3075">IF(B3075="","",_xlfn.XLOOKUP(B3075,'Form responses 1'!$B$2:$B$2604,'Form responses 1'!$G$2:$G$2604,""))</f>
        <v/>
      </c>
      <c r="K3075" s="56"/>
      <c r="L3075" s="58" t="str">
        <f t="shared" si="7"/>
        <v/>
      </c>
      <c r="M3075" s="49"/>
      <c r="N3075" s="49"/>
      <c r="O3075" s="49"/>
      <c r="P3075" s="49"/>
      <c r="Q3075" s="49"/>
      <c r="R3075" s="49"/>
      <c r="S3075" s="49"/>
      <c r="T3075" s="49"/>
      <c r="U3075" s="49"/>
      <c r="V3075" s="49"/>
      <c r="W3075" s="56"/>
      <c r="X3075" s="51" t="str">
        <f t="shared" si="5"/>
        <v/>
      </c>
      <c r="Y3075" s="50" t="s">
        <v>482</v>
      </c>
      <c r="Z3075" s="49">
        <f t="shared" si="6"/>
        <v>0</v>
      </c>
    </row>
    <row r="3076" ht="22.5" customHeight="1">
      <c r="B3076" s="57"/>
      <c r="C3076" s="43" t="str">
        <f t="array" ref="C3076">IF(B3076="","",_xlfn.XLOOKUP(B3076,'Form responses 1'!$B$2:$B$2604,'Form responses 1'!$A$2:$A$2604,""))</f>
        <v/>
      </c>
      <c r="D3076" s="44" t="str">
        <f t="shared" si="3"/>
        <v/>
      </c>
      <c r="E3076" s="44" t="str">
        <f t="array" ref="E3076">IF(B3076="","",_xlfn.XLOOKUP(B3076,'Form responses 1'!$B$2:$B$2604,'Form responses 1'!$C$2:$C$2604,""))</f>
        <v/>
      </c>
      <c r="F3076" s="44" t="str">
        <f t="array" ref="F3076">IF(B3076="","",_xlfn.XLOOKUP(B3076,'Form responses 1'!$B$2:$B$2604,'Form responses 1'!$D$2:$D$2604,""))</f>
        <v/>
      </c>
      <c r="G3076" s="44" t="str">
        <f t="array" ref="G3076">IF(B3076="","",_xlfn.XLOOKUP(B3076,'Form responses 1'!$B$2:$B$2604,'Form responses 1'!$E$2:$E$2604,""))</f>
        <v/>
      </c>
      <c r="H3076" s="44" t="str">
        <f t="array" ref="H3076">IF(B3076="","",_xlfn.XLOOKUP(B3076,'Form responses 1'!$B$2:$B$2604,'Form responses 1'!$F$2:$F$2604,""))</f>
        <v/>
      </c>
      <c r="I3076" s="44" t="str">
        <f t="array" ref="I3076">IF(B3076="","",_xlfn.XLOOKUP(B3076,'Form responses 1'!$B$2:$B$2604,'Form responses 1'!$I$2:$I$2604,""))</f>
        <v/>
      </c>
      <c r="J3076" s="44" t="str">
        <f t="array" ref="J3076">IF(B3076="","",_xlfn.XLOOKUP(B3076,'Form responses 1'!$B$2:$B$2604,'Form responses 1'!$G$2:$G$2604,""))</f>
        <v/>
      </c>
      <c r="K3076" s="56"/>
      <c r="L3076" s="58" t="str">
        <f t="shared" si="7"/>
        <v/>
      </c>
      <c r="M3076" s="49"/>
      <c r="N3076" s="49"/>
      <c r="O3076" s="49"/>
      <c r="P3076" s="49"/>
      <c r="Q3076" s="49"/>
      <c r="R3076" s="49"/>
      <c r="S3076" s="49"/>
      <c r="T3076" s="49"/>
      <c r="U3076" s="49"/>
      <c r="V3076" s="49"/>
      <c r="W3076" s="56"/>
      <c r="X3076" s="51" t="str">
        <f t="shared" si="5"/>
        <v/>
      </c>
      <c r="Y3076" s="50" t="s">
        <v>482</v>
      </c>
      <c r="Z3076" s="49">
        <f t="shared" si="6"/>
        <v>0</v>
      </c>
    </row>
    <row r="3077" ht="22.5" customHeight="1">
      <c r="B3077" s="57"/>
      <c r="C3077" s="43" t="str">
        <f t="array" ref="C3077">IF(B3077="","",_xlfn.XLOOKUP(B3077,'Form responses 1'!$B$2:$B$2604,'Form responses 1'!$A$2:$A$2604,""))</f>
        <v/>
      </c>
      <c r="D3077" s="44" t="str">
        <f t="shared" si="3"/>
        <v/>
      </c>
      <c r="E3077" s="44" t="str">
        <f t="array" ref="E3077">IF(B3077="","",_xlfn.XLOOKUP(B3077,'Form responses 1'!$B$2:$B$2604,'Form responses 1'!$C$2:$C$2604,""))</f>
        <v/>
      </c>
      <c r="F3077" s="44" t="str">
        <f t="array" ref="F3077">IF(B3077="","",_xlfn.XLOOKUP(B3077,'Form responses 1'!$B$2:$B$2604,'Form responses 1'!$D$2:$D$2604,""))</f>
        <v/>
      </c>
      <c r="G3077" s="44" t="str">
        <f t="array" ref="G3077">IF(B3077="","",_xlfn.XLOOKUP(B3077,'Form responses 1'!$B$2:$B$2604,'Form responses 1'!$E$2:$E$2604,""))</f>
        <v/>
      </c>
      <c r="H3077" s="44" t="str">
        <f t="array" ref="H3077">IF(B3077="","",_xlfn.XLOOKUP(B3077,'Form responses 1'!$B$2:$B$2604,'Form responses 1'!$F$2:$F$2604,""))</f>
        <v/>
      </c>
      <c r="I3077" s="44" t="str">
        <f t="array" ref="I3077">IF(B3077="","",_xlfn.XLOOKUP(B3077,'Form responses 1'!$B$2:$B$2604,'Form responses 1'!$I$2:$I$2604,""))</f>
        <v/>
      </c>
      <c r="J3077" s="44" t="str">
        <f t="array" ref="J3077">IF(B3077="","",_xlfn.XLOOKUP(B3077,'Form responses 1'!$B$2:$B$2604,'Form responses 1'!$G$2:$G$2604,""))</f>
        <v/>
      </c>
      <c r="K3077" s="56"/>
      <c r="L3077" s="58" t="str">
        <f t="shared" si="7"/>
        <v/>
      </c>
      <c r="M3077" s="49"/>
      <c r="N3077" s="49"/>
      <c r="O3077" s="49"/>
      <c r="P3077" s="49"/>
      <c r="Q3077" s="49"/>
      <c r="R3077" s="49"/>
      <c r="S3077" s="49"/>
      <c r="T3077" s="49"/>
      <c r="U3077" s="49"/>
      <c r="V3077" s="49"/>
      <c r="W3077" s="56"/>
      <c r="X3077" s="51" t="str">
        <f t="shared" si="5"/>
        <v/>
      </c>
      <c r="Y3077" s="50" t="s">
        <v>482</v>
      </c>
      <c r="Z3077" s="49">
        <f t="shared" si="6"/>
        <v>0</v>
      </c>
    </row>
    <row r="3078" ht="22.5" customHeight="1">
      <c r="B3078" s="57"/>
      <c r="C3078" s="43" t="str">
        <f t="array" ref="C3078">IF(B3078="","",_xlfn.XLOOKUP(B3078,'Form responses 1'!$B$2:$B$2604,'Form responses 1'!$A$2:$A$2604,""))</f>
        <v/>
      </c>
      <c r="D3078" s="44" t="str">
        <f t="shared" si="3"/>
        <v/>
      </c>
      <c r="E3078" s="44" t="str">
        <f t="array" ref="E3078">IF(B3078="","",_xlfn.XLOOKUP(B3078,'Form responses 1'!$B$2:$B$2604,'Form responses 1'!$C$2:$C$2604,""))</f>
        <v/>
      </c>
      <c r="F3078" s="44" t="str">
        <f t="array" ref="F3078">IF(B3078="","",_xlfn.XLOOKUP(B3078,'Form responses 1'!$B$2:$B$2604,'Form responses 1'!$D$2:$D$2604,""))</f>
        <v/>
      </c>
      <c r="G3078" s="44" t="str">
        <f t="array" ref="G3078">IF(B3078="","",_xlfn.XLOOKUP(B3078,'Form responses 1'!$B$2:$B$2604,'Form responses 1'!$E$2:$E$2604,""))</f>
        <v/>
      </c>
      <c r="H3078" s="44" t="str">
        <f t="array" ref="H3078">IF(B3078="","",_xlfn.XLOOKUP(B3078,'Form responses 1'!$B$2:$B$2604,'Form responses 1'!$F$2:$F$2604,""))</f>
        <v/>
      </c>
      <c r="I3078" s="44" t="str">
        <f t="array" ref="I3078">IF(B3078="","",_xlfn.XLOOKUP(B3078,'Form responses 1'!$B$2:$B$2604,'Form responses 1'!$I$2:$I$2604,""))</f>
        <v/>
      </c>
      <c r="J3078" s="44" t="str">
        <f t="array" ref="J3078">IF(B3078="","",_xlfn.XLOOKUP(B3078,'Form responses 1'!$B$2:$B$2604,'Form responses 1'!$G$2:$G$2604,""))</f>
        <v/>
      </c>
      <c r="K3078" s="56"/>
      <c r="L3078" s="58" t="str">
        <f t="shared" si="7"/>
        <v/>
      </c>
      <c r="M3078" s="49"/>
      <c r="N3078" s="49"/>
      <c r="O3078" s="49"/>
      <c r="P3078" s="49"/>
      <c r="Q3078" s="49"/>
      <c r="R3078" s="49"/>
      <c r="S3078" s="49"/>
      <c r="T3078" s="49"/>
      <c r="U3078" s="49"/>
      <c r="V3078" s="49"/>
      <c r="W3078" s="56"/>
      <c r="X3078" s="51" t="str">
        <f t="shared" si="5"/>
        <v/>
      </c>
      <c r="Y3078" s="50" t="s">
        <v>482</v>
      </c>
      <c r="Z3078" s="49">
        <f t="shared" si="6"/>
        <v>0</v>
      </c>
    </row>
    <row r="3079" ht="22.5" customHeight="1">
      <c r="B3079" s="57"/>
      <c r="C3079" s="43" t="str">
        <f t="array" ref="C3079">IF(B3079="","",_xlfn.XLOOKUP(B3079,'Form responses 1'!$B$2:$B$2604,'Form responses 1'!$A$2:$A$2604,""))</f>
        <v/>
      </c>
      <c r="D3079" s="44" t="str">
        <f t="shared" si="3"/>
        <v/>
      </c>
      <c r="E3079" s="44" t="str">
        <f t="array" ref="E3079">IF(B3079="","",_xlfn.XLOOKUP(B3079,'Form responses 1'!$B$2:$B$2604,'Form responses 1'!$C$2:$C$2604,""))</f>
        <v/>
      </c>
      <c r="F3079" s="44" t="str">
        <f t="array" ref="F3079">IF(B3079="","",_xlfn.XLOOKUP(B3079,'Form responses 1'!$B$2:$B$2604,'Form responses 1'!$D$2:$D$2604,""))</f>
        <v/>
      </c>
      <c r="G3079" s="44" t="str">
        <f t="array" ref="G3079">IF(B3079="","",_xlfn.XLOOKUP(B3079,'Form responses 1'!$B$2:$B$2604,'Form responses 1'!$E$2:$E$2604,""))</f>
        <v/>
      </c>
      <c r="H3079" s="44" t="str">
        <f t="array" ref="H3079">IF(B3079="","",_xlfn.XLOOKUP(B3079,'Form responses 1'!$B$2:$B$2604,'Form responses 1'!$F$2:$F$2604,""))</f>
        <v/>
      </c>
      <c r="I3079" s="44" t="str">
        <f t="array" ref="I3079">IF(B3079="","",_xlfn.XLOOKUP(B3079,'Form responses 1'!$B$2:$B$2604,'Form responses 1'!$I$2:$I$2604,""))</f>
        <v/>
      </c>
      <c r="J3079" s="44" t="str">
        <f t="array" ref="J3079">IF(B3079="","",_xlfn.XLOOKUP(B3079,'Form responses 1'!$B$2:$B$2604,'Form responses 1'!$G$2:$G$2604,""))</f>
        <v/>
      </c>
      <c r="K3079" s="56"/>
      <c r="L3079" s="58" t="str">
        <f t="shared" si="7"/>
        <v/>
      </c>
      <c r="M3079" s="49"/>
      <c r="N3079" s="49"/>
      <c r="O3079" s="49"/>
      <c r="P3079" s="49"/>
      <c r="Q3079" s="49"/>
      <c r="R3079" s="49"/>
      <c r="S3079" s="49"/>
      <c r="T3079" s="49"/>
      <c r="U3079" s="49"/>
      <c r="V3079" s="49"/>
      <c r="W3079" s="56"/>
      <c r="X3079" s="51" t="str">
        <f t="shared" si="5"/>
        <v/>
      </c>
      <c r="Y3079" s="50" t="s">
        <v>482</v>
      </c>
      <c r="Z3079" s="49">
        <f t="shared" si="6"/>
        <v>0</v>
      </c>
    </row>
    <row r="3080" ht="22.5" customHeight="1">
      <c r="B3080" s="57"/>
      <c r="C3080" s="43" t="str">
        <f t="array" ref="C3080">IF(B3080="","",_xlfn.XLOOKUP(B3080,'Form responses 1'!$B$2:$B$2604,'Form responses 1'!$A$2:$A$2604,""))</f>
        <v/>
      </c>
      <c r="D3080" s="44" t="str">
        <f t="shared" si="3"/>
        <v/>
      </c>
      <c r="E3080" s="44" t="str">
        <f t="array" ref="E3080">IF(B3080="","",_xlfn.XLOOKUP(B3080,'Form responses 1'!$B$2:$B$2604,'Form responses 1'!$C$2:$C$2604,""))</f>
        <v/>
      </c>
      <c r="F3080" s="44" t="str">
        <f t="array" ref="F3080">IF(B3080="","",_xlfn.XLOOKUP(B3080,'Form responses 1'!$B$2:$B$2604,'Form responses 1'!$D$2:$D$2604,""))</f>
        <v/>
      </c>
      <c r="G3080" s="44" t="str">
        <f t="array" ref="G3080">IF(B3080="","",_xlfn.XLOOKUP(B3080,'Form responses 1'!$B$2:$B$2604,'Form responses 1'!$E$2:$E$2604,""))</f>
        <v/>
      </c>
      <c r="H3080" s="44" t="str">
        <f t="array" ref="H3080">IF(B3080="","",_xlfn.XLOOKUP(B3080,'Form responses 1'!$B$2:$B$2604,'Form responses 1'!$F$2:$F$2604,""))</f>
        <v/>
      </c>
      <c r="I3080" s="44" t="str">
        <f t="array" ref="I3080">IF(B3080="","",_xlfn.XLOOKUP(B3080,'Form responses 1'!$B$2:$B$2604,'Form responses 1'!$I$2:$I$2604,""))</f>
        <v/>
      </c>
      <c r="J3080" s="44" t="str">
        <f t="array" ref="J3080">IF(B3080="","",_xlfn.XLOOKUP(B3080,'Form responses 1'!$B$2:$B$2604,'Form responses 1'!$G$2:$G$2604,""))</f>
        <v/>
      </c>
      <c r="K3080" s="56"/>
      <c r="L3080" s="58" t="str">
        <f t="shared" si="7"/>
        <v/>
      </c>
      <c r="M3080" s="49"/>
      <c r="N3080" s="49"/>
      <c r="O3080" s="49"/>
      <c r="P3080" s="49"/>
      <c r="Q3080" s="49"/>
      <c r="R3080" s="49"/>
      <c r="S3080" s="49"/>
      <c r="T3080" s="49"/>
      <c r="U3080" s="49"/>
      <c r="V3080" s="49"/>
      <c r="W3080" s="56"/>
      <c r="X3080" s="51" t="str">
        <f t="shared" si="5"/>
        <v/>
      </c>
      <c r="Y3080" s="50" t="s">
        <v>482</v>
      </c>
      <c r="Z3080" s="49">
        <f t="shared" si="6"/>
        <v>0</v>
      </c>
    </row>
    <row r="3081" ht="22.5" customHeight="1">
      <c r="B3081" s="57"/>
      <c r="C3081" s="43" t="str">
        <f t="array" ref="C3081">IF(B3081="","",_xlfn.XLOOKUP(B3081,'Form responses 1'!$B$2:$B$2604,'Form responses 1'!$A$2:$A$2604,""))</f>
        <v/>
      </c>
      <c r="D3081" s="44" t="str">
        <f t="shared" si="3"/>
        <v/>
      </c>
      <c r="E3081" s="44" t="str">
        <f t="array" ref="E3081">IF(B3081="","",_xlfn.XLOOKUP(B3081,'Form responses 1'!$B$2:$B$2604,'Form responses 1'!$C$2:$C$2604,""))</f>
        <v/>
      </c>
      <c r="F3081" s="44" t="str">
        <f t="array" ref="F3081">IF(B3081="","",_xlfn.XLOOKUP(B3081,'Form responses 1'!$B$2:$B$2604,'Form responses 1'!$D$2:$D$2604,""))</f>
        <v/>
      </c>
      <c r="G3081" s="44" t="str">
        <f t="array" ref="G3081">IF(B3081="","",_xlfn.XLOOKUP(B3081,'Form responses 1'!$B$2:$B$2604,'Form responses 1'!$E$2:$E$2604,""))</f>
        <v/>
      </c>
      <c r="H3081" s="44" t="str">
        <f t="array" ref="H3081">IF(B3081="","",_xlfn.XLOOKUP(B3081,'Form responses 1'!$B$2:$B$2604,'Form responses 1'!$F$2:$F$2604,""))</f>
        <v/>
      </c>
      <c r="I3081" s="44" t="str">
        <f t="array" ref="I3081">IF(B3081="","",_xlfn.XLOOKUP(B3081,'Form responses 1'!$B$2:$B$2604,'Form responses 1'!$I$2:$I$2604,""))</f>
        <v/>
      </c>
      <c r="J3081" s="44" t="str">
        <f t="array" ref="J3081">IF(B3081="","",_xlfn.XLOOKUP(B3081,'Form responses 1'!$B$2:$B$2604,'Form responses 1'!$G$2:$G$2604,""))</f>
        <v/>
      </c>
      <c r="K3081" s="56"/>
      <c r="L3081" s="58" t="str">
        <f t="shared" si="7"/>
        <v/>
      </c>
      <c r="M3081" s="49"/>
      <c r="N3081" s="49"/>
      <c r="O3081" s="49"/>
      <c r="P3081" s="49"/>
      <c r="Q3081" s="49"/>
      <c r="R3081" s="49"/>
      <c r="S3081" s="49"/>
      <c r="T3081" s="49"/>
      <c r="U3081" s="49"/>
      <c r="V3081" s="49"/>
      <c r="W3081" s="56"/>
      <c r="X3081" s="51" t="str">
        <f t="shared" si="5"/>
        <v/>
      </c>
      <c r="Y3081" s="50" t="s">
        <v>482</v>
      </c>
      <c r="Z3081" s="49">
        <f t="shared" si="6"/>
        <v>0</v>
      </c>
    </row>
    <row r="3082" ht="22.5" customHeight="1">
      <c r="B3082" s="57"/>
      <c r="C3082" s="43" t="str">
        <f t="array" ref="C3082">IF(B3082="","",_xlfn.XLOOKUP(B3082,'Form responses 1'!$B$2:$B$2604,'Form responses 1'!$A$2:$A$2604,""))</f>
        <v/>
      </c>
      <c r="D3082" s="44" t="str">
        <f t="shared" si="3"/>
        <v/>
      </c>
      <c r="E3082" s="44" t="str">
        <f t="array" ref="E3082">IF(B3082="","",_xlfn.XLOOKUP(B3082,'Form responses 1'!$B$2:$B$2604,'Form responses 1'!$C$2:$C$2604,""))</f>
        <v/>
      </c>
      <c r="F3082" s="44" t="str">
        <f t="array" ref="F3082">IF(B3082="","",_xlfn.XLOOKUP(B3082,'Form responses 1'!$B$2:$B$2604,'Form responses 1'!$D$2:$D$2604,""))</f>
        <v/>
      </c>
      <c r="G3082" s="44" t="str">
        <f t="array" ref="G3082">IF(B3082="","",_xlfn.XLOOKUP(B3082,'Form responses 1'!$B$2:$B$2604,'Form responses 1'!$E$2:$E$2604,""))</f>
        <v/>
      </c>
      <c r="H3082" s="44" t="str">
        <f t="array" ref="H3082">IF(B3082="","",_xlfn.XLOOKUP(B3082,'Form responses 1'!$B$2:$B$2604,'Form responses 1'!$F$2:$F$2604,""))</f>
        <v/>
      </c>
      <c r="I3082" s="44" t="str">
        <f t="array" ref="I3082">IF(B3082="","",_xlfn.XLOOKUP(B3082,'Form responses 1'!$B$2:$B$2604,'Form responses 1'!$I$2:$I$2604,""))</f>
        <v/>
      </c>
      <c r="J3082" s="44" t="str">
        <f t="array" ref="J3082">IF(B3082="","",_xlfn.XLOOKUP(B3082,'Form responses 1'!$B$2:$B$2604,'Form responses 1'!$G$2:$G$2604,""))</f>
        <v/>
      </c>
      <c r="K3082" s="56"/>
      <c r="L3082" s="58" t="str">
        <f t="shared" si="7"/>
        <v/>
      </c>
      <c r="M3082" s="49"/>
      <c r="N3082" s="49"/>
      <c r="O3082" s="49"/>
      <c r="P3082" s="49"/>
      <c r="Q3082" s="49"/>
      <c r="R3082" s="49"/>
      <c r="S3082" s="49"/>
      <c r="T3082" s="49"/>
      <c r="U3082" s="49"/>
      <c r="V3082" s="49"/>
      <c r="W3082" s="56"/>
      <c r="X3082" s="51" t="str">
        <f t="shared" si="5"/>
        <v/>
      </c>
      <c r="Y3082" s="50" t="s">
        <v>482</v>
      </c>
      <c r="Z3082" s="49">
        <f t="shared" si="6"/>
        <v>0</v>
      </c>
    </row>
    <row r="3083" ht="22.5" customHeight="1">
      <c r="B3083" s="57"/>
      <c r="C3083" s="43" t="str">
        <f t="array" ref="C3083">IF(B3083="","",_xlfn.XLOOKUP(B3083,'Form responses 1'!$B$2:$B$2604,'Form responses 1'!$A$2:$A$2604,""))</f>
        <v/>
      </c>
      <c r="D3083" s="44" t="str">
        <f t="shared" si="3"/>
        <v/>
      </c>
      <c r="E3083" s="44" t="str">
        <f t="array" ref="E3083">IF(B3083="","",_xlfn.XLOOKUP(B3083,'Form responses 1'!$B$2:$B$2604,'Form responses 1'!$C$2:$C$2604,""))</f>
        <v/>
      </c>
      <c r="F3083" s="44" t="str">
        <f t="array" ref="F3083">IF(B3083="","",_xlfn.XLOOKUP(B3083,'Form responses 1'!$B$2:$B$2604,'Form responses 1'!$D$2:$D$2604,""))</f>
        <v/>
      </c>
      <c r="G3083" s="44" t="str">
        <f t="array" ref="G3083">IF(B3083="","",_xlfn.XLOOKUP(B3083,'Form responses 1'!$B$2:$B$2604,'Form responses 1'!$E$2:$E$2604,""))</f>
        <v/>
      </c>
      <c r="H3083" s="44" t="str">
        <f t="array" ref="H3083">IF(B3083="","",_xlfn.XLOOKUP(B3083,'Form responses 1'!$B$2:$B$2604,'Form responses 1'!$F$2:$F$2604,""))</f>
        <v/>
      </c>
      <c r="I3083" s="44" t="str">
        <f t="array" ref="I3083">IF(B3083="","",_xlfn.XLOOKUP(B3083,'Form responses 1'!$B$2:$B$2604,'Form responses 1'!$I$2:$I$2604,""))</f>
        <v/>
      </c>
      <c r="J3083" s="44" t="str">
        <f t="array" ref="J3083">IF(B3083="","",_xlfn.XLOOKUP(B3083,'Form responses 1'!$B$2:$B$2604,'Form responses 1'!$G$2:$G$2604,""))</f>
        <v/>
      </c>
      <c r="K3083" s="56"/>
      <c r="L3083" s="58" t="str">
        <f t="shared" si="7"/>
        <v/>
      </c>
      <c r="M3083" s="49"/>
      <c r="N3083" s="49"/>
      <c r="O3083" s="49"/>
      <c r="P3083" s="49"/>
      <c r="Q3083" s="49"/>
      <c r="R3083" s="49"/>
      <c r="S3083" s="49"/>
      <c r="T3083" s="49"/>
      <c r="U3083" s="49"/>
      <c r="V3083" s="49"/>
      <c r="W3083" s="56"/>
      <c r="X3083" s="51" t="str">
        <f t="shared" si="5"/>
        <v/>
      </c>
      <c r="Y3083" s="50" t="s">
        <v>482</v>
      </c>
      <c r="Z3083" s="49">
        <f t="shared" si="6"/>
        <v>0</v>
      </c>
    </row>
    <row r="3084" ht="22.5" customHeight="1">
      <c r="B3084" s="57"/>
      <c r="C3084" s="43" t="str">
        <f t="array" ref="C3084">IF(B3084="","",_xlfn.XLOOKUP(B3084,'Form responses 1'!$B$2:$B$2604,'Form responses 1'!$A$2:$A$2604,""))</f>
        <v/>
      </c>
      <c r="D3084" s="44" t="str">
        <f t="shared" si="3"/>
        <v/>
      </c>
      <c r="E3084" s="44" t="str">
        <f t="array" ref="E3084">IF(B3084="","",_xlfn.XLOOKUP(B3084,'Form responses 1'!$B$2:$B$2604,'Form responses 1'!$C$2:$C$2604,""))</f>
        <v/>
      </c>
      <c r="F3084" s="44" t="str">
        <f t="array" ref="F3084">IF(B3084="","",_xlfn.XLOOKUP(B3084,'Form responses 1'!$B$2:$B$2604,'Form responses 1'!$D$2:$D$2604,""))</f>
        <v/>
      </c>
      <c r="G3084" s="44" t="str">
        <f t="array" ref="G3084">IF(B3084="","",_xlfn.XLOOKUP(B3084,'Form responses 1'!$B$2:$B$2604,'Form responses 1'!$E$2:$E$2604,""))</f>
        <v/>
      </c>
      <c r="H3084" s="44" t="str">
        <f t="array" ref="H3084">IF(B3084="","",_xlfn.XLOOKUP(B3084,'Form responses 1'!$B$2:$B$2604,'Form responses 1'!$F$2:$F$2604,""))</f>
        <v/>
      </c>
      <c r="I3084" s="44" t="str">
        <f t="array" ref="I3084">IF(B3084="","",_xlfn.XLOOKUP(B3084,'Form responses 1'!$B$2:$B$2604,'Form responses 1'!$I$2:$I$2604,""))</f>
        <v/>
      </c>
      <c r="J3084" s="44" t="str">
        <f t="array" ref="J3084">IF(B3084="","",_xlfn.XLOOKUP(B3084,'Form responses 1'!$B$2:$B$2604,'Form responses 1'!$G$2:$G$2604,""))</f>
        <v/>
      </c>
      <c r="K3084" s="56"/>
      <c r="L3084" s="58" t="str">
        <f t="shared" si="7"/>
        <v/>
      </c>
      <c r="M3084" s="49"/>
      <c r="N3084" s="49"/>
      <c r="O3084" s="49"/>
      <c r="P3084" s="49"/>
      <c r="Q3084" s="49"/>
      <c r="R3084" s="49"/>
      <c r="S3084" s="49"/>
      <c r="T3084" s="49"/>
      <c r="U3084" s="49"/>
      <c r="V3084" s="49"/>
      <c r="W3084" s="56"/>
      <c r="X3084" s="51" t="str">
        <f t="shared" si="5"/>
        <v/>
      </c>
      <c r="Y3084" s="50" t="s">
        <v>482</v>
      </c>
      <c r="Z3084" s="49">
        <f t="shared" si="6"/>
        <v>0</v>
      </c>
    </row>
    <row r="3085" ht="22.5" customHeight="1">
      <c r="B3085" s="57"/>
      <c r="C3085" s="43" t="str">
        <f t="array" ref="C3085">IF(B3085="","",_xlfn.XLOOKUP(B3085,'Form responses 1'!$B$2:$B$2604,'Form responses 1'!$A$2:$A$2604,""))</f>
        <v/>
      </c>
      <c r="D3085" s="44" t="str">
        <f t="shared" si="3"/>
        <v/>
      </c>
      <c r="E3085" s="44" t="str">
        <f t="array" ref="E3085">IF(B3085="","",_xlfn.XLOOKUP(B3085,'Form responses 1'!$B$2:$B$2604,'Form responses 1'!$C$2:$C$2604,""))</f>
        <v/>
      </c>
      <c r="F3085" s="44" t="str">
        <f t="array" ref="F3085">IF(B3085="","",_xlfn.XLOOKUP(B3085,'Form responses 1'!$B$2:$B$2604,'Form responses 1'!$D$2:$D$2604,""))</f>
        <v/>
      </c>
      <c r="G3085" s="44" t="str">
        <f t="array" ref="G3085">IF(B3085="","",_xlfn.XLOOKUP(B3085,'Form responses 1'!$B$2:$B$2604,'Form responses 1'!$E$2:$E$2604,""))</f>
        <v/>
      </c>
      <c r="H3085" s="44" t="str">
        <f t="array" ref="H3085">IF(B3085="","",_xlfn.XLOOKUP(B3085,'Form responses 1'!$B$2:$B$2604,'Form responses 1'!$F$2:$F$2604,""))</f>
        <v/>
      </c>
      <c r="I3085" s="44" t="str">
        <f t="array" ref="I3085">IF(B3085="","",_xlfn.XLOOKUP(B3085,'Form responses 1'!$B$2:$B$2604,'Form responses 1'!$I$2:$I$2604,""))</f>
        <v/>
      </c>
      <c r="J3085" s="44" t="str">
        <f t="array" ref="J3085">IF(B3085="","",_xlfn.XLOOKUP(B3085,'Form responses 1'!$B$2:$B$2604,'Form responses 1'!$G$2:$G$2604,""))</f>
        <v/>
      </c>
      <c r="K3085" s="56"/>
      <c r="L3085" s="58" t="str">
        <f t="shared" si="7"/>
        <v/>
      </c>
      <c r="M3085" s="49"/>
      <c r="N3085" s="49"/>
      <c r="O3085" s="49"/>
      <c r="P3085" s="49"/>
      <c r="Q3085" s="49"/>
      <c r="R3085" s="49"/>
      <c r="S3085" s="49"/>
      <c r="T3085" s="49"/>
      <c r="U3085" s="49"/>
      <c r="V3085" s="49"/>
      <c r="W3085" s="56"/>
      <c r="X3085" s="51" t="str">
        <f t="shared" si="5"/>
        <v/>
      </c>
      <c r="Y3085" s="50" t="s">
        <v>482</v>
      </c>
      <c r="Z3085" s="49">
        <f t="shared" si="6"/>
        <v>0</v>
      </c>
    </row>
    <row r="3086" ht="22.5" customHeight="1">
      <c r="B3086" s="57"/>
      <c r="C3086" s="43" t="str">
        <f t="array" ref="C3086">IF(B3086="","",_xlfn.XLOOKUP(B3086,'Form responses 1'!$B$2:$B$2604,'Form responses 1'!$A$2:$A$2604,""))</f>
        <v/>
      </c>
      <c r="D3086" s="44" t="str">
        <f t="shared" si="3"/>
        <v/>
      </c>
      <c r="E3086" s="44" t="str">
        <f t="array" ref="E3086">IF(B3086="","",_xlfn.XLOOKUP(B3086,'Form responses 1'!$B$2:$B$2604,'Form responses 1'!$C$2:$C$2604,""))</f>
        <v/>
      </c>
      <c r="F3086" s="44" t="str">
        <f t="array" ref="F3086">IF(B3086="","",_xlfn.XLOOKUP(B3086,'Form responses 1'!$B$2:$B$2604,'Form responses 1'!$D$2:$D$2604,""))</f>
        <v/>
      </c>
      <c r="G3086" s="44" t="str">
        <f t="array" ref="G3086">IF(B3086="","",_xlfn.XLOOKUP(B3086,'Form responses 1'!$B$2:$B$2604,'Form responses 1'!$E$2:$E$2604,""))</f>
        <v/>
      </c>
      <c r="H3086" s="44" t="str">
        <f t="array" ref="H3086">IF(B3086="","",_xlfn.XLOOKUP(B3086,'Form responses 1'!$B$2:$B$2604,'Form responses 1'!$F$2:$F$2604,""))</f>
        <v/>
      </c>
      <c r="I3086" s="44" t="str">
        <f t="array" ref="I3086">IF(B3086="","",_xlfn.XLOOKUP(B3086,'Form responses 1'!$B$2:$B$2604,'Form responses 1'!$I$2:$I$2604,""))</f>
        <v/>
      </c>
      <c r="J3086" s="44" t="str">
        <f t="array" ref="J3086">IF(B3086="","",_xlfn.XLOOKUP(B3086,'Form responses 1'!$B$2:$B$2604,'Form responses 1'!$G$2:$G$2604,""))</f>
        <v/>
      </c>
      <c r="K3086" s="56"/>
      <c r="L3086" s="58" t="str">
        <f t="shared" si="7"/>
        <v/>
      </c>
      <c r="M3086" s="49"/>
      <c r="N3086" s="49"/>
      <c r="O3086" s="49"/>
      <c r="P3086" s="49"/>
      <c r="Q3086" s="49"/>
      <c r="R3086" s="49"/>
      <c r="S3086" s="49"/>
      <c r="T3086" s="49"/>
      <c r="U3086" s="49"/>
      <c r="V3086" s="49"/>
      <c r="W3086" s="56"/>
      <c r="X3086" s="51" t="str">
        <f t="shared" si="5"/>
        <v/>
      </c>
      <c r="Y3086" s="50" t="s">
        <v>482</v>
      </c>
      <c r="Z3086" s="49">
        <f t="shared" si="6"/>
        <v>0</v>
      </c>
    </row>
    <row r="3087" ht="22.5" customHeight="1">
      <c r="B3087" s="57"/>
      <c r="C3087" s="43" t="str">
        <f t="array" ref="C3087">IF(B3087="","",_xlfn.XLOOKUP(B3087,'Form responses 1'!$B$2:$B$2604,'Form responses 1'!$A$2:$A$2604,""))</f>
        <v/>
      </c>
      <c r="D3087" s="44" t="str">
        <f t="shared" si="3"/>
        <v/>
      </c>
      <c r="E3087" s="44" t="str">
        <f t="array" ref="E3087">IF(B3087="","",_xlfn.XLOOKUP(B3087,'Form responses 1'!$B$2:$B$2604,'Form responses 1'!$C$2:$C$2604,""))</f>
        <v/>
      </c>
      <c r="F3087" s="44" t="str">
        <f t="array" ref="F3087">IF(B3087="","",_xlfn.XLOOKUP(B3087,'Form responses 1'!$B$2:$B$2604,'Form responses 1'!$D$2:$D$2604,""))</f>
        <v/>
      </c>
      <c r="G3087" s="44" t="str">
        <f t="array" ref="G3087">IF(B3087="","",_xlfn.XLOOKUP(B3087,'Form responses 1'!$B$2:$B$2604,'Form responses 1'!$E$2:$E$2604,""))</f>
        <v/>
      </c>
      <c r="H3087" s="44" t="str">
        <f t="array" ref="H3087">IF(B3087="","",_xlfn.XLOOKUP(B3087,'Form responses 1'!$B$2:$B$2604,'Form responses 1'!$F$2:$F$2604,""))</f>
        <v/>
      </c>
      <c r="I3087" s="44" t="str">
        <f t="array" ref="I3087">IF(B3087="","",_xlfn.XLOOKUP(B3087,'Form responses 1'!$B$2:$B$2604,'Form responses 1'!$I$2:$I$2604,""))</f>
        <v/>
      </c>
      <c r="J3087" s="44" t="str">
        <f t="array" ref="J3087">IF(B3087="","",_xlfn.XLOOKUP(B3087,'Form responses 1'!$B$2:$B$2604,'Form responses 1'!$G$2:$G$2604,""))</f>
        <v/>
      </c>
      <c r="K3087" s="56"/>
      <c r="L3087" s="58" t="str">
        <f t="shared" si="7"/>
        <v/>
      </c>
      <c r="M3087" s="49"/>
      <c r="N3087" s="49"/>
      <c r="O3087" s="49"/>
      <c r="P3087" s="49"/>
      <c r="Q3087" s="49"/>
      <c r="R3087" s="49"/>
      <c r="S3087" s="49"/>
      <c r="T3087" s="49"/>
      <c r="U3087" s="49"/>
      <c r="V3087" s="49"/>
      <c r="W3087" s="56"/>
      <c r="X3087" s="51" t="str">
        <f t="shared" si="5"/>
        <v/>
      </c>
      <c r="Y3087" s="50" t="s">
        <v>482</v>
      </c>
      <c r="Z3087" s="49">
        <f t="shared" si="6"/>
        <v>0</v>
      </c>
    </row>
    <row r="3088" ht="22.5" customHeight="1">
      <c r="B3088" s="57"/>
      <c r="C3088" s="43" t="str">
        <f t="array" ref="C3088">IF(B3088="","",_xlfn.XLOOKUP(B3088,'Form responses 1'!$B$2:$B$2604,'Form responses 1'!$A$2:$A$2604,""))</f>
        <v/>
      </c>
      <c r="D3088" s="44" t="str">
        <f t="shared" si="3"/>
        <v/>
      </c>
      <c r="E3088" s="44" t="str">
        <f t="array" ref="E3088">IF(B3088="","",_xlfn.XLOOKUP(B3088,'Form responses 1'!$B$2:$B$2604,'Form responses 1'!$C$2:$C$2604,""))</f>
        <v/>
      </c>
      <c r="F3088" s="44" t="str">
        <f t="array" ref="F3088">IF(B3088="","",_xlfn.XLOOKUP(B3088,'Form responses 1'!$B$2:$B$2604,'Form responses 1'!$D$2:$D$2604,""))</f>
        <v/>
      </c>
      <c r="G3088" s="44" t="str">
        <f t="array" ref="G3088">IF(B3088="","",_xlfn.XLOOKUP(B3088,'Form responses 1'!$B$2:$B$2604,'Form responses 1'!$E$2:$E$2604,""))</f>
        <v/>
      </c>
      <c r="H3088" s="44" t="str">
        <f t="array" ref="H3088">IF(B3088="","",_xlfn.XLOOKUP(B3088,'Form responses 1'!$B$2:$B$2604,'Form responses 1'!$F$2:$F$2604,""))</f>
        <v/>
      </c>
      <c r="I3088" s="44" t="str">
        <f t="array" ref="I3088">IF(B3088="","",_xlfn.XLOOKUP(B3088,'Form responses 1'!$B$2:$B$2604,'Form responses 1'!$I$2:$I$2604,""))</f>
        <v/>
      </c>
      <c r="J3088" s="44" t="str">
        <f t="array" ref="J3088">IF(B3088="","",_xlfn.XLOOKUP(B3088,'Form responses 1'!$B$2:$B$2604,'Form responses 1'!$G$2:$G$2604,""))</f>
        <v/>
      </c>
      <c r="K3088" s="56"/>
      <c r="L3088" s="58" t="str">
        <f t="shared" si="7"/>
        <v/>
      </c>
      <c r="M3088" s="49"/>
      <c r="N3088" s="49"/>
      <c r="O3088" s="49"/>
      <c r="P3088" s="49"/>
      <c r="Q3088" s="49"/>
      <c r="R3088" s="49"/>
      <c r="S3088" s="49"/>
      <c r="T3088" s="49"/>
      <c r="U3088" s="49"/>
      <c r="V3088" s="49"/>
      <c r="W3088" s="56"/>
      <c r="X3088" s="51" t="str">
        <f t="shared" si="5"/>
        <v/>
      </c>
      <c r="Y3088" s="50" t="s">
        <v>482</v>
      </c>
      <c r="Z3088" s="49">
        <f t="shared" si="6"/>
        <v>0</v>
      </c>
    </row>
    <row r="3089" ht="22.5" customHeight="1">
      <c r="B3089" s="57"/>
      <c r="C3089" s="43" t="str">
        <f t="array" ref="C3089">IF(B3089="","",_xlfn.XLOOKUP(B3089,'Form responses 1'!$B$2:$B$2604,'Form responses 1'!$A$2:$A$2604,""))</f>
        <v/>
      </c>
      <c r="D3089" s="44" t="str">
        <f t="shared" si="3"/>
        <v/>
      </c>
      <c r="E3089" s="44" t="str">
        <f t="array" ref="E3089">IF(B3089="","",_xlfn.XLOOKUP(B3089,'Form responses 1'!$B$2:$B$2604,'Form responses 1'!$C$2:$C$2604,""))</f>
        <v/>
      </c>
      <c r="F3089" s="44" t="str">
        <f t="array" ref="F3089">IF(B3089="","",_xlfn.XLOOKUP(B3089,'Form responses 1'!$B$2:$B$2604,'Form responses 1'!$D$2:$D$2604,""))</f>
        <v/>
      </c>
      <c r="G3089" s="44" t="str">
        <f t="array" ref="G3089">IF(B3089="","",_xlfn.XLOOKUP(B3089,'Form responses 1'!$B$2:$B$2604,'Form responses 1'!$E$2:$E$2604,""))</f>
        <v/>
      </c>
      <c r="H3089" s="44" t="str">
        <f t="array" ref="H3089">IF(B3089="","",_xlfn.XLOOKUP(B3089,'Form responses 1'!$B$2:$B$2604,'Form responses 1'!$F$2:$F$2604,""))</f>
        <v/>
      </c>
      <c r="I3089" s="44" t="str">
        <f t="array" ref="I3089">IF(B3089="","",_xlfn.XLOOKUP(B3089,'Form responses 1'!$B$2:$B$2604,'Form responses 1'!$I$2:$I$2604,""))</f>
        <v/>
      </c>
      <c r="J3089" s="44" t="str">
        <f t="array" ref="J3089">IF(B3089="","",_xlfn.XLOOKUP(B3089,'Form responses 1'!$B$2:$B$2604,'Form responses 1'!$G$2:$G$2604,""))</f>
        <v/>
      </c>
      <c r="K3089" s="56"/>
      <c r="L3089" s="58" t="str">
        <f t="shared" si="7"/>
        <v/>
      </c>
      <c r="M3089" s="49"/>
      <c r="N3089" s="49"/>
      <c r="O3089" s="49"/>
      <c r="P3089" s="49"/>
      <c r="Q3089" s="49"/>
      <c r="R3089" s="49"/>
      <c r="S3089" s="49"/>
      <c r="T3089" s="49"/>
      <c r="U3089" s="49"/>
      <c r="V3089" s="49"/>
      <c r="W3089" s="56"/>
      <c r="X3089" s="51" t="str">
        <f t="shared" si="5"/>
        <v/>
      </c>
      <c r="Y3089" s="50" t="s">
        <v>482</v>
      </c>
      <c r="Z3089" s="49">
        <f t="shared" si="6"/>
        <v>0</v>
      </c>
    </row>
    <row r="3090" ht="22.5" customHeight="1">
      <c r="B3090" s="57"/>
      <c r="C3090" s="43" t="str">
        <f t="array" ref="C3090">IF(B3090="","",_xlfn.XLOOKUP(B3090,'Form responses 1'!$B$2:$B$2604,'Form responses 1'!$A$2:$A$2604,""))</f>
        <v/>
      </c>
      <c r="D3090" s="44" t="str">
        <f t="shared" si="3"/>
        <v/>
      </c>
      <c r="E3090" s="44" t="str">
        <f t="array" ref="E3090">IF(B3090="","",_xlfn.XLOOKUP(B3090,'Form responses 1'!$B$2:$B$2604,'Form responses 1'!$C$2:$C$2604,""))</f>
        <v/>
      </c>
      <c r="F3090" s="44" t="str">
        <f t="array" ref="F3090">IF(B3090="","",_xlfn.XLOOKUP(B3090,'Form responses 1'!$B$2:$B$2604,'Form responses 1'!$D$2:$D$2604,""))</f>
        <v/>
      </c>
      <c r="G3090" s="44" t="str">
        <f t="array" ref="G3090">IF(B3090="","",_xlfn.XLOOKUP(B3090,'Form responses 1'!$B$2:$B$2604,'Form responses 1'!$E$2:$E$2604,""))</f>
        <v/>
      </c>
      <c r="H3090" s="44" t="str">
        <f t="array" ref="H3090">IF(B3090="","",_xlfn.XLOOKUP(B3090,'Form responses 1'!$B$2:$B$2604,'Form responses 1'!$F$2:$F$2604,""))</f>
        <v/>
      </c>
      <c r="I3090" s="44" t="str">
        <f t="array" ref="I3090">IF(B3090="","",_xlfn.XLOOKUP(B3090,'Form responses 1'!$B$2:$B$2604,'Form responses 1'!$I$2:$I$2604,""))</f>
        <v/>
      </c>
      <c r="J3090" s="44" t="str">
        <f t="array" ref="J3090">IF(B3090="","",_xlfn.XLOOKUP(B3090,'Form responses 1'!$B$2:$B$2604,'Form responses 1'!$G$2:$G$2604,""))</f>
        <v/>
      </c>
      <c r="K3090" s="56"/>
      <c r="L3090" s="58" t="str">
        <f t="shared" si="7"/>
        <v/>
      </c>
      <c r="M3090" s="49"/>
      <c r="N3090" s="49"/>
      <c r="O3090" s="49"/>
      <c r="P3090" s="49"/>
      <c r="Q3090" s="49"/>
      <c r="R3090" s="49"/>
      <c r="S3090" s="49"/>
      <c r="T3090" s="49"/>
      <c r="U3090" s="49"/>
      <c r="V3090" s="49"/>
      <c r="W3090" s="56"/>
      <c r="X3090" s="51" t="str">
        <f t="shared" si="5"/>
        <v/>
      </c>
      <c r="Y3090" s="50" t="s">
        <v>482</v>
      </c>
      <c r="Z3090" s="49">
        <f t="shared" si="6"/>
        <v>0</v>
      </c>
    </row>
    <row r="3091" ht="22.5" customHeight="1">
      <c r="B3091" s="57"/>
      <c r="C3091" s="43" t="str">
        <f t="array" ref="C3091">IF(B3091="","",_xlfn.XLOOKUP(B3091,'Form responses 1'!$B$2:$B$2604,'Form responses 1'!$A$2:$A$2604,""))</f>
        <v/>
      </c>
      <c r="D3091" s="44" t="str">
        <f t="shared" si="3"/>
        <v/>
      </c>
      <c r="E3091" s="44" t="str">
        <f t="array" ref="E3091">IF(B3091="","",_xlfn.XLOOKUP(B3091,'Form responses 1'!$B$2:$B$2604,'Form responses 1'!$C$2:$C$2604,""))</f>
        <v/>
      </c>
      <c r="F3091" s="44" t="str">
        <f t="array" ref="F3091">IF(B3091="","",_xlfn.XLOOKUP(B3091,'Form responses 1'!$B$2:$B$2604,'Form responses 1'!$D$2:$D$2604,""))</f>
        <v/>
      </c>
      <c r="G3091" s="44" t="str">
        <f t="array" ref="G3091">IF(B3091="","",_xlfn.XLOOKUP(B3091,'Form responses 1'!$B$2:$B$2604,'Form responses 1'!$E$2:$E$2604,""))</f>
        <v/>
      </c>
      <c r="H3091" s="44" t="str">
        <f t="array" ref="H3091">IF(B3091="","",_xlfn.XLOOKUP(B3091,'Form responses 1'!$B$2:$B$2604,'Form responses 1'!$F$2:$F$2604,""))</f>
        <v/>
      </c>
      <c r="I3091" s="44" t="str">
        <f t="array" ref="I3091">IF(B3091="","",_xlfn.XLOOKUP(B3091,'Form responses 1'!$B$2:$B$2604,'Form responses 1'!$I$2:$I$2604,""))</f>
        <v/>
      </c>
      <c r="J3091" s="44" t="str">
        <f t="array" ref="J3091">IF(B3091="","",_xlfn.XLOOKUP(B3091,'Form responses 1'!$B$2:$B$2604,'Form responses 1'!$G$2:$G$2604,""))</f>
        <v/>
      </c>
      <c r="K3091" s="56"/>
      <c r="L3091" s="58" t="str">
        <f t="shared" si="7"/>
        <v/>
      </c>
      <c r="M3091" s="49"/>
      <c r="N3091" s="49"/>
      <c r="O3091" s="49"/>
      <c r="P3091" s="49"/>
      <c r="Q3091" s="49"/>
      <c r="R3091" s="49"/>
      <c r="S3091" s="49"/>
      <c r="T3091" s="49"/>
      <c r="U3091" s="49"/>
      <c r="V3091" s="49"/>
      <c r="W3091" s="56"/>
      <c r="X3091" s="51" t="str">
        <f t="shared" si="5"/>
        <v/>
      </c>
      <c r="Y3091" s="50" t="s">
        <v>482</v>
      </c>
      <c r="Z3091" s="49">
        <f t="shared" si="6"/>
        <v>0</v>
      </c>
    </row>
    <row r="3092" ht="22.5" customHeight="1">
      <c r="B3092" s="57"/>
      <c r="C3092" s="43" t="str">
        <f t="array" ref="C3092">IF(B3092="","",_xlfn.XLOOKUP(B3092,'Form responses 1'!$B$2:$B$2604,'Form responses 1'!$A$2:$A$2604,""))</f>
        <v/>
      </c>
      <c r="D3092" s="44" t="str">
        <f t="shared" si="3"/>
        <v/>
      </c>
      <c r="E3092" s="44" t="str">
        <f t="array" ref="E3092">IF(B3092="","",_xlfn.XLOOKUP(B3092,'Form responses 1'!$B$2:$B$2604,'Form responses 1'!$C$2:$C$2604,""))</f>
        <v/>
      </c>
      <c r="F3092" s="44" t="str">
        <f t="array" ref="F3092">IF(B3092="","",_xlfn.XLOOKUP(B3092,'Form responses 1'!$B$2:$B$2604,'Form responses 1'!$D$2:$D$2604,""))</f>
        <v/>
      </c>
      <c r="G3092" s="44" t="str">
        <f t="array" ref="G3092">IF(B3092="","",_xlfn.XLOOKUP(B3092,'Form responses 1'!$B$2:$B$2604,'Form responses 1'!$E$2:$E$2604,""))</f>
        <v/>
      </c>
      <c r="H3092" s="44" t="str">
        <f t="array" ref="H3092">IF(B3092="","",_xlfn.XLOOKUP(B3092,'Form responses 1'!$B$2:$B$2604,'Form responses 1'!$F$2:$F$2604,""))</f>
        <v/>
      </c>
      <c r="I3092" s="44" t="str">
        <f t="array" ref="I3092">IF(B3092="","",_xlfn.XLOOKUP(B3092,'Form responses 1'!$B$2:$B$2604,'Form responses 1'!$I$2:$I$2604,""))</f>
        <v/>
      </c>
      <c r="J3092" s="44" t="str">
        <f t="array" ref="J3092">IF(B3092="","",_xlfn.XLOOKUP(B3092,'Form responses 1'!$B$2:$B$2604,'Form responses 1'!$G$2:$G$2604,""))</f>
        <v/>
      </c>
      <c r="K3092" s="56"/>
      <c r="L3092" s="58" t="str">
        <f t="shared" si="7"/>
        <v/>
      </c>
      <c r="M3092" s="49"/>
      <c r="N3092" s="49"/>
      <c r="O3092" s="49"/>
      <c r="P3092" s="49"/>
      <c r="Q3092" s="49"/>
      <c r="R3092" s="49"/>
      <c r="S3092" s="49"/>
      <c r="T3092" s="49"/>
      <c r="U3092" s="49"/>
      <c r="V3092" s="49"/>
      <c r="W3092" s="56"/>
      <c r="X3092" s="51" t="str">
        <f t="shared" si="5"/>
        <v/>
      </c>
      <c r="Y3092" s="50" t="s">
        <v>482</v>
      </c>
      <c r="Z3092" s="49">
        <f t="shared" si="6"/>
        <v>0</v>
      </c>
    </row>
    <row r="3093" ht="22.5" customHeight="1">
      <c r="B3093" s="57"/>
      <c r="C3093" s="43" t="str">
        <f t="array" ref="C3093">IF(B3093="","",_xlfn.XLOOKUP(B3093,'Form responses 1'!$B$2:$B$2604,'Form responses 1'!$A$2:$A$2604,""))</f>
        <v/>
      </c>
      <c r="D3093" s="44" t="str">
        <f t="shared" si="3"/>
        <v/>
      </c>
      <c r="E3093" s="44" t="str">
        <f t="array" ref="E3093">IF(B3093="","",_xlfn.XLOOKUP(B3093,'Form responses 1'!$B$2:$B$2604,'Form responses 1'!$C$2:$C$2604,""))</f>
        <v/>
      </c>
      <c r="F3093" s="44" t="str">
        <f t="array" ref="F3093">IF(B3093="","",_xlfn.XLOOKUP(B3093,'Form responses 1'!$B$2:$B$2604,'Form responses 1'!$D$2:$D$2604,""))</f>
        <v/>
      </c>
      <c r="G3093" s="44" t="str">
        <f t="array" ref="G3093">IF(B3093="","",_xlfn.XLOOKUP(B3093,'Form responses 1'!$B$2:$B$2604,'Form responses 1'!$E$2:$E$2604,""))</f>
        <v/>
      </c>
      <c r="H3093" s="44" t="str">
        <f t="array" ref="H3093">IF(B3093="","",_xlfn.XLOOKUP(B3093,'Form responses 1'!$B$2:$B$2604,'Form responses 1'!$F$2:$F$2604,""))</f>
        <v/>
      </c>
      <c r="I3093" s="44" t="str">
        <f t="array" ref="I3093">IF(B3093="","",_xlfn.XLOOKUP(B3093,'Form responses 1'!$B$2:$B$2604,'Form responses 1'!$I$2:$I$2604,""))</f>
        <v/>
      </c>
      <c r="J3093" s="44" t="str">
        <f t="array" ref="J3093">IF(B3093="","",_xlfn.XLOOKUP(B3093,'Form responses 1'!$B$2:$B$2604,'Form responses 1'!$G$2:$G$2604,""))</f>
        <v/>
      </c>
      <c r="K3093" s="56"/>
      <c r="L3093" s="58" t="str">
        <f t="shared" si="7"/>
        <v/>
      </c>
      <c r="M3093" s="49"/>
      <c r="N3093" s="49"/>
      <c r="O3093" s="49"/>
      <c r="P3093" s="49"/>
      <c r="Q3093" s="49"/>
      <c r="R3093" s="49"/>
      <c r="S3093" s="49"/>
      <c r="T3093" s="49"/>
      <c r="U3093" s="49"/>
      <c r="V3093" s="49"/>
      <c r="W3093" s="56"/>
      <c r="X3093" s="51" t="str">
        <f t="shared" si="5"/>
        <v/>
      </c>
      <c r="Y3093" s="50" t="s">
        <v>482</v>
      </c>
      <c r="Z3093" s="49">
        <f t="shared" si="6"/>
        <v>0</v>
      </c>
    </row>
    <row r="3094" ht="22.5" customHeight="1">
      <c r="B3094" s="57"/>
      <c r="C3094" s="43" t="str">
        <f t="array" ref="C3094">IF(B3094="","",_xlfn.XLOOKUP(B3094,'Form responses 1'!$B$2:$B$2604,'Form responses 1'!$A$2:$A$2604,""))</f>
        <v/>
      </c>
      <c r="D3094" s="44" t="str">
        <f t="shared" si="3"/>
        <v/>
      </c>
      <c r="E3094" s="44" t="str">
        <f t="array" ref="E3094">IF(B3094="","",_xlfn.XLOOKUP(B3094,'Form responses 1'!$B$2:$B$2604,'Form responses 1'!$C$2:$C$2604,""))</f>
        <v/>
      </c>
      <c r="F3094" s="44" t="str">
        <f t="array" ref="F3094">IF(B3094="","",_xlfn.XLOOKUP(B3094,'Form responses 1'!$B$2:$B$2604,'Form responses 1'!$D$2:$D$2604,""))</f>
        <v/>
      </c>
      <c r="G3094" s="44" t="str">
        <f t="array" ref="G3094">IF(B3094="","",_xlfn.XLOOKUP(B3094,'Form responses 1'!$B$2:$B$2604,'Form responses 1'!$E$2:$E$2604,""))</f>
        <v/>
      </c>
      <c r="H3094" s="44" t="str">
        <f t="array" ref="H3094">IF(B3094="","",_xlfn.XLOOKUP(B3094,'Form responses 1'!$B$2:$B$2604,'Form responses 1'!$F$2:$F$2604,""))</f>
        <v/>
      </c>
      <c r="I3094" s="44" t="str">
        <f t="array" ref="I3094">IF(B3094="","",_xlfn.XLOOKUP(B3094,'Form responses 1'!$B$2:$B$2604,'Form responses 1'!$I$2:$I$2604,""))</f>
        <v/>
      </c>
      <c r="J3094" s="44" t="str">
        <f t="array" ref="J3094">IF(B3094="","",_xlfn.XLOOKUP(B3094,'Form responses 1'!$B$2:$B$2604,'Form responses 1'!$G$2:$G$2604,""))</f>
        <v/>
      </c>
      <c r="K3094" s="56"/>
      <c r="L3094" s="58" t="str">
        <f t="shared" si="7"/>
        <v/>
      </c>
      <c r="M3094" s="49"/>
      <c r="N3094" s="49"/>
      <c r="O3094" s="49"/>
      <c r="P3094" s="49"/>
      <c r="Q3094" s="49"/>
      <c r="R3094" s="49"/>
      <c r="S3094" s="49"/>
      <c r="T3094" s="49"/>
      <c r="U3094" s="49"/>
      <c r="V3094" s="49"/>
      <c r="W3094" s="56"/>
      <c r="X3094" s="51" t="str">
        <f t="shared" si="5"/>
        <v/>
      </c>
      <c r="Y3094" s="50" t="s">
        <v>482</v>
      </c>
      <c r="Z3094" s="49">
        <f t="shared" si="6"/>
        <v>0</v>
      </c>
    </row>
    <row r="3095" ht="22.5" customHeight="1">
      <c r="B3095" s="57"/>
      <c r="C3095" s="43" t="str">
        <f t="array" ref="C3095">IF(B3095="","",_xlfn.XLOOKUP(B3095,'Form responses 1'!$B$2:$B$2604,'Form responses 1'!$A$2:$A$2604,""))</f>
        <v/>
      </c>
      <c r="D3095" s="44" t="str">
        <f t="shared" si="3"/>
        <v/>
      </c>
      <c r="E3095" s="44" t="str">
        <f t="array" ref="E3095">IF(B3095="","",_xlfn.XLOOKUP(B3095,'Form responses 1'!$B$2:$B$2604,'Form responses 1'!$C$2:$C$2604,""))</f>
        <v/>
      </c>
      <c r="F3095" s="44" t="str">
        <f t="array" ref="F3095">IF(B3095="","",_xlfn.XLOOKUP(B3095,'Form responses 1'!$B$2:$B$2604,'Form responses 1'!$D$2:$D$2604,""))</f>
        <v/>
      </c>
      <c r="G3095" s="44" t="str">
        <f t="array" ref="G3095">IF(B3095="","",_xlfn.XLOOKUP(B3095,'Form responses 1'!$B$2:$B$2604,'Form responses 1'!$E$2:$E$2604,""))</f>
        <v/>
      </c>
      <c r="H3095" s="44" t="str">
        <f t="array" ref="H3095">IF(B3095="","",_xlfn.XLOOKUP(B3095,'Form responses 1'!$B$2:$B$2604,'Form responses 1'!$F$2:$F$2604,""))</f>
        <v/>
      </c>
      <c r="I3095" s="44" t="str">
        <f t="array" ref="I3095">IF(B3095="","",_xlfn.XLOOKUP(B3095,'Form responses 1'!$B$2:$B$2604,'Form responses 1'!$I$2:$I$2604,""))</f>
        <v/>
      </c>
      <c r="J3095" s="44" t="str">
        <f t="array" ref="J3095">IF(B3095="","",_xlfn.XLOOKUP(B3095,'Form responses 1'!$B$2:$B$2604,'Form responses 1'!$G$2:$G$2604,""))</f>
        <v/>
      </c>
      <c r="K3095" s="56"/>
      <c r="L3095" s="58" t="str">
        <f t="shared" si="7"/>
        <v/>
      </c>
      <c r="M3095" s="49"/>
      <c r="N3095" s="49"/>
      <c r="O3095" s="49"/>
      <c r="P3095" s="49"/>
      <c r="Q3095" s="49"/>
      <c r="R3095" s="49"/>
      <c r="S3095" s="49"/>
      <c r="T3095" s="49"/>
      <c r="U3095" s="49"/>
      <c r="V3095" s="49"/>
      <c r="W3095" s="56"/>
      <c r="X3095" s="51" t="str">
        <f t="shared" si="5"/>
        <v/>
      </c>
      <c r="Y3095" s="50" t="s">
        <v>482</v>
      </c>
      <c r="Z3095" s="49">
        <f t="shared" si="6"/>
        <v>0</v>
      </c>
    </row>
    <row r="3096" ht="22.5" customHeight="1">
      <c r="B3096" s="57"/>
      <c r="C3096" s="43" t="str">
        <f t="array" ref="C3096">IF(B3096="","",_xlfn.XLOOKUP(B3096,'Form responses 1'!$B$2:$B$2604,'Form responses 1'!$A$2:$A$2604,""))</f>
        <v/>
      </c>
      <c r="D3096" s="44" t="str">
        <f t="shared" si="3"/>
        <v/>
      </c>
      <c r="E3096" s="44" t="str">
        <f t="array" ref="E3096">IF(B3096="","",_xlfn.XLOOKUP(B3096,'Form responses 1'!$B$2:$B$2604,'Form responses 1'!$C$2:$C$2604,""))</f>
        <v/>
      </c>
      <c r="F3096" s="44" t="str">
        <f t="array" ref="F3096">IF(B3096="","",_xlfn.XLOOKUP(B3096,'Form responses 1'!$B$2:$B$2604,'Form responses 1'!$D$2:$D$2604,""))</f>
        <v/>
      </c>
      <c r="G3096" s="44" t="str">
        <f t="array" ref="G3096">IF(B3096="","",_xlfn.XLOOKUP(B3096,'Form responses 1'!$B$2:$B$2604,'Form responses 1'!$E$2:$E$2604,""))</f>
        <v/>
      </c>
      <c r="H3096" s="44" t="str">
        <f t="array" ref="H3096">IF(B3096="","",_xlfn.XLOOKUP(B3096,'Form responses 1'!$B$2:$B$2604,'Form responses 1'!$F$2:$F$2604,""))</f>
        <v/>
      </c>
      <c r="I3096" s="44" t="str">
        <f t="array" ref="I3096">IF(B3096="","",_xlfn.XLOOKUP(B3096,'Form responses 1'!$B$2:$B$2604,'Form responses 1'!$I$2:$I$2604,""))</f>
        <v/>
      </c>
      <c r="J3096" s="44" t="str">
        <f t="array" ref="J3096">IF(B3096="","",_xlfn.XLOOKUP(B3096,'Form responses 1'!$B$2:$B$2604,'Form responses 1'!$G$2:$G$2604,""))</f>
        <v/>
      </c>
      <c r="K3096" s="56"/>
      <c r="L3096" s="58" t="str">
        <f t="shared" si="7"/>
        <v/>
      </c>
      <c r="M3096" s="49"/>
      <c r="N3096" s="49"/>
      <c r="O3096" s="49"/>
      <c r="P3096" s="49"/>
      <c r="Q3096" s="49"/>
      <c r="R3096" s="49"/>
      <c r="S3096" s="49"/>
      <c r="T3096" s="49"/>
      <c r="U3096" s="49"/>
      <c r="V3096" s="49"/>
      <c r="W3096" s="56"/>
      <c r="X3096" s="51" t="str">
        <f t="shared" si="5"/>
        <v/>
      </c>
      <c r="Y3096" s="50" t="s">
        <v>482</v>
      </c>
      <c r="Z3096" s="49">
        <f t="shared" si="6"/>
        <v>0</v>
      </c>
    </row>
    <row r="3097" ht="22.5" customHeight="1">
      <c r="B3097" s="57"/>
      <c r="C3097" s="43" t="str">
        <f t="array" ref="C3097">IF(B3097="","",_xlfn.XLOOKUP(B3097,'Form responses 1'!$B$2:$B$2604,'Form responses 1'!$A$2:$A$2604,""))</f>
        <v/>
      </c>
      <c r="D3097" s="44" t="str">
        <f t="shared" si="3"/>
        <v/>
      </c>
      <c r="E3097" s="44" t="str">
        <f t="array" ref="E3097">IF(B3097="","",_xlfn.XLOOKUP(B3097,'Form responses 1'!$B$2:$B$2604,'Form responses 1'!$C$2:$C$2604,""))</f>
        <v/>
      </c>
      <c r="F3097" s="44" t="str">
        <f t="array" ref="F3097">IF(B3097="","",_xlfn.XLOOKUP(B3097,'Form responses 1'!$B$2:$B$2604,'Form responses 1'!$D$2:$D$2604,""))</f>
        <v/>
      </c>
      <c r="G3097" s="44" t="str">
        <f t="array" ref="G3097">IF(B3097="","",_xlfn.XLOOKUP(B3097,'Form responses 1'!$B$2:$B$2604,'Form responses 1'!$E$2:$E$2604,""))</f>
        <v/>
      </c>
      <c r="H3097" s="44" t="str">
        <f t="array" ref="H3097">IF(B3097="","",_xlfn.XLOOKUP(B3097,'Form responses 1'!$B$2:$B$2604,'Form responses 1'!$F$2:$F$2604,""))</f>
        <v/>
      </c>
      <c r="I3097" s="44" t="str">
        <f t="array" ref="I3097">IF(B3097="","",_xlfn.XLOOKUP(B3097,'Form responses 1'!$B$2:$B$2604,'Form responses 1'!$I$2:$I$2604,""))</f>
        <v/>
      </c>
      <c r="J3097" s="44" t="str">
        <f t="array" ref="J3097">IF(B3097="","",_xlfn.XLOOKUP(B3097,'Form responses 1'!$B$2:$B$2604,'Form responses 1'!$G$2:$G$2604,""))</f>
        <v/>
      </c>
      <c r="K3097" s="56"/>
      <c r="L3097" s="58" t="str">
        <f t="shared" si="7"/>
        <v/>
      </c>
      <c r="M3097" s="49"/>
      <c r="N3097" s="49"/>
      <c r="O3097" s="49"/>
      <c r="P3097" s="49"/>
      <c r="Q3097" s="49"/>
      <c r="R3097" s="49"/>
      <c r="S3097" s="49"/>
      <c r="T3097" s="49"/>
      <c r="U3097" s="49"/>
      <c r="V3097" s="49"/>
      <c r="W3097" s="56"/>
      <c r="X3097" s="51" t="str">
        <f t="shared" si="5"/>
        <v/>
      </c>
      <c r="Y3097" s="50" t="s">
        <v>482</v>
      </c>
      <c r="Z3097" s="49">
        <f t="shared" si="6"/>
        <v>0</v>
      </c>
    </row>
    <row r="3098" ht="22.5" customHeight="1">
      <c r="B3098" s="57"/>
      <c r="C3098" s="43" t="str">
        <f t="array" ref="C3098">IF(B3098="","",_xlfn.XLOOKUP(B3098,'Form responses 1'!$B$2:$B$2604,'Form responses 1'!$A$2:$A$2604,""))</f>
        <v/>
      </c>
      <c r="D3098" s="44" t="str">
        <f t="shared" si="3"/>
        <v/>
      </c>
      <c r="E3098" s="44" t="str">
        <f t="array" ref="E3098">IF(B3098="","",_xlfn.XLOOKUP(B3098,'Form responses 1'!$B$2:$B$2604,'Form responses 1'!$C$2:$C$2604,""))</f>
        <v/>
      </c>
      <c r="F3098" s="44" t="str">
        <f t="array" ref="F3098">IF(B3098="","",_xlfn.XLOOKUP(B3098,'Form responses 1'!$B$2:$B$2604,'Form responses 1'!$D$2:$D$2604,""))</f>
        <v/>
      </c>
      <c r="G3098" s="44" t="str">
        <f t="array" ref="G3098">IF(B3098="","",_xlfn.XLOOKUP(B3098,'Form responses 1'!$B$2:$B$2604,'Form responses 1'!$E$2:$E$2604,""))</f>
        <v/>
      </c>
      <c r="H3098" s="44" t="str">
        <f t="array" ref="H3098">IF(B3098="","",_xlfn.XLOOKUP(B3098,'Form responses 1'!$B$2:$B$2604,'Form responses 1'!$F$2:$F$2604,""))</f>
        <v/>
      </c>
      <c r="I3098" s="44" t="str">
        <f t="array" ref="I3098">IF(B3098="","",_xlfn.XLOOKUP(B3098,'Form responses 1'!$B$2:$B$2604,'Form responses 1'!$I$2:$I$2604,""))</f>
        <v/>
      </c>
      <c r="J3098" s="44" t="str">
        <f t="array" ref="J3098">IF(B3098="","",_xlfn.XLOOKUP(B3098,'Form responses 1'!$B$2:$B$2604,'Form responses 1'!$G$2:$G$2604,""))</f>
        <v/>
      </c>
      <c r="K3098" s="56"/>
      <c r="L3098" s="58" t="str">
        <f t="shared" si="7"/>
        <v/>
      </c>
      <c r="M3098" s="49"/>
      <c r="N3098" s="49"/>
      <c r="O3098" s="49"/>
      <c r="P3098" s="49"/>
      <c r="Q3098" s="49"/>
      <c r="R3098" s="49"/>
      <c r="S3098" s="49"/>
      <c r="T3098" s="49"/>
      <c r="U3098" s="49"/>
      <c r="V3098" s="49"/>
      <c r="W3098" s="56"/>
      <c r="X3098" s="51" t="str">
        <f t="shared" si="5"/>
        <v/>
      </c>
      <c r="Y3098" s="50" t="s">
        <v>482</v>
      </c>
      <c r="Z3098" s="49">
        <f t="shared" si="6"/>
        <v>0</v>
      </c>
    </row>
    <row r="3099" ht="22.5" customHeight="1">
      <c r="B3099" s="57"/>
      <c r="C3099" s="43" t="str">
        <f t="array" ref="C3099">IF(B3099="","",_xlfn.XLOOKUP(B3099,'Form responses 1'!$B$2:$B$2604,'Form responses 1'!$A$2:$A$2604,""))</f>
        <v/>
      </c>
      <c r="D3099" s="44" t="str">
        <f t="shared" si="3"/>
        <v/>
      </c>
      <c r="E3099" s="44" t="str">
        <f t="array" ref="E3099">IF(B3099="","",_xlfn.XLOOKUP(B3099,'Form responses 1'!$B$2:$B$2604,'Form responses 1'!$C$2:$C$2604,""))</f>
        <v/>
      </c>
      <c r="F3099" s="44" t="str">
        <f t="array" ref="F3099">IF(B3099="","",_xlfn.XLOOKUP(B3099,'Form responses 1'!$B$2:$B$2604,'Form responses 1'!$D$2:$D$2604,""))</f>
        <v/>
      </c>
      <c r="G3099" s="44" t="str">
        <f t="array" ref="G3099">IF(B3099="","",_xlfn.XLOOKUP(B3099,'Form responses 1'!$B$2:$B$2604,'Form responses 1'!$E$2:$E$2604,""))</f>
        <v/>
      </c>
      <c r="H3099" s="44" t="str">
        <f t="array" ref="H3099">IF(B3099="","",_xlfn.XLOOKUP(B3099,'Form responses 1'!$B$2:$B$2604,'Form responses 1'!$F$2:$F$2604,""))</f>
        <v/>
      </c>
      <c r="I3099" s="44" t="str">
        <f t="array" ref="I3099">IF(B3099="","",_xlfn.XLOOKUP(B3099,'Form responses 1'!$B$2:$B$2604,'Form responses 1'!$I$2:$I$2604,""))</f>
        <v/>
      </c>
      <c r="J3099" s="44" t="str">
        <f t="array" ref="J3099">IF(B3099="","",_xlfn.XLOOKUP(B3099,'Form responses 1'!$B$2:$B$2604,'Form responses 1'!$G$2:$G$2604,""))</f>
        <v/>
      </c>
      <c r="K3099" s="56"/>
      <c r="L3099" s="58" t="str">
        <f t="shared" si="7"/>
        <v/>
      </c>
      <c r="M3099" s="49"/>
      <c r="N3099" s="49"/>
      <c r="O3099" s="49"/>
      <c r="P3099" s="49"/>
      <c r="Q3099" s="49"/>
      <c r="R3099" s="49"/>
      <c r="S3099" s="49"/>
      <c r="T3099" s="49"/>
      <c r="U3099" s="49"/>
      <c r="V3099" s="49"/>
      <c r="W3099" s="56"/>
      <c r="X3099" s="51" t="str">
        <f t="shared" si="5"/>
        <v/>
      </c>
      <c r="Y3099" s="50" t="s">
        <v>482</v>
      </c>
      <c r="Z3099" s="49">
        <f t="shared" si="6"/>
        <v>0</v>
      </c>
    </row>
    <row r="3100" ht="22.5" customHeight="1">
      <c r="B3100" s="57"/>
      <c r="C3100" s="43" t="str">
        <f t="array" ref="C3100">IF(B3100="","",_xlfn.XLOOKUP(B3100,'Form responses 1'!$B$2:$B$2604,'Form responses 1'!$A$2:$A$2604,""))</f>
        <v/>
      </c>
      <c r="D3100" s="44" t="str">
        <f t="shared" si="3"/>
        <v/>
      </c>
      <c r="E3100" s="44" t="str">
        <f t="array" ref="E3100">IF(B3100="","",_xlfn.XLOOKUP(B3100,'Form responses 1'!$B$2:$B$2604,'Form responses 1'!$C$2:$C$2604,""))</f>
        <v/>
      </c>
      <c r="F3100" s="44" t="str">
        <f t="array" ref="F3100">IF(B3100="","",_xlfn.XLOOKUP(B3100,'Form responses 1'!$B$2:$B$2604,'Form responses 1'!$D$2:$D$2604,""))</f>
        <v/>
      </c>
      <c r="G3100" s="44" t="str">
        <f t="array" ref="G3100">IF(B3100="","",_xlfn.XLOOKUP(B3100,'Form responses 1'!$B$2:$B$2604,'Form responses 1'!$E$2:$E$2604,""))</f>
        <v/>
      </c>
      <c r="H3100" s="44" t="str">
        <f t="array" ref="H3100">IF(B3100="","",_xlfn.XLOOKUP(B3100,'Form responses 1'!$B$2:$B$2604,'Form responses 1'!$F$2:$F$2604,""))</f>
        <v/>
      </c>
      <c r="I3100" s="44" t="str">
        <f t="array" ref="I3100">IF(B3100="","",_xlfn.XLOOKUP(B3100,'Form responses 1'!$B$2:$B$2604,'Form responses 1'!$I$2:$I$2604,""))</f>
        <v/>
      </c>
      <c r="J3100" s="44" t="str">
        <f t="array" ref="J3100">IF(B3100="","",_xlfn.XLOOKUP(B3100,'Form responses 1'!$B$2:$B$2604,'Form responses 1'!$G$2:$G$2604,""))</f>
        <v/>
      </c>
      <c r="K3100" s="56"/>
      <c r="L3100" s="58" t="str">
        <f t="shared" si="7"/>
        <v/>
      </c>
      <c r="M3100" s="49"/>
      <c r="N3100" s="49"/>
      <c r="O3100" s="49"/>
      <c r="P3100" s="49"/>
      <c r="Q3100" s="49"/>
      <c r="R3100" s="49"/>
      <c r="S3100" s="49"/>
      <c r="T3100" s="49"/>
      <c r="U3100" s="49"/>
      <c r="V3100" s="49"/>
      <c r="W3100" s="56"/>
      <c r="X3100" s="51" t="str">
        <f t="shared" si="5"/>
        <v/>
      </c>
      <c r="Y3100" s="50" t="s">
        <v>482</v>
      </c>
      <c r="Z3100" s="49">
        <f t="shared" si="6"/>
        <v>0</v>
      </c>
    </row>
    <row r="3101" ht="22.5" customHeight="1">
      <c r="B3101" s="57"/>
      <c r="C3101" s="43" t="str">
        <f t="array" ref="C3101">IF(B3101="","",_xlfn.XLOOKUP(B3101,'Form responses 1'!$B$2:$B$2604,'Form responses 1'!$A$2:$A$2604,""))</f>
        <v/>
      </c>
      <c r="D3101" s="44" t="str">
        <f t="shared" si="3"/>
        <v/>
      </c>
      <c r="E3101" s="44" t="str">
        <f t="array" ref="E3101">IF(B3101="","",_xlfn.XLOOKUP(B3101,'Form responses 1'!$B$2:$B$2604,'Form responses 1'!$C$2:$C$2604,""))</f>
        <v/>
      </c>
      <c r="F3101" s="44" t="str">
        <f t="array" ref="F3101">IF(B3101="","",_xlfn.XLOOKUP(B3101,'Form responses 1'!$B$2:$B$2604,'Form responses 1'!$D$2:$D$2604,""))</f>
        <v/>
      </c>
      <c r="G3101" s="44" t="str">
        <f t="array" ref="G3101">IF(B3101="","",_xlfn.XLOOKUP(B3101,'Form responses 1'!$B$2:$B$2604,'Form responses 1'!$E$2:$E$2604,""))</f>
        <v/>
      </c>
      <c r="H3101" s="44" t="str">
        <f t="array" ref="H3101">IF(B3101="","",_xlfn.XLOOKUP(B3101,'Form responses 1'!$B$2:$B$2604,'Form responses 1'!$F$2:$F$2604,""))</f>
        <v/>
      </c>
      <c r="I3101" s="44" t="str">
        <f t="array" ref="I3101">IF(B3101="","",_xlfn.XLOOKUP(B3101,'Form responses 1'!$B$2:$B$2604,'Form responses 1'!$I$2:$I$2604,""))</f>
        <v/>
      </c>
      <c r="J3101" s="44" t="str">
        <f t="array" ref="J3101">IF(B3101="","",_xlfn.XLOOKUP(B3101,'Form responses 1'!$B$2:$B$2604,'Form responses 1'!$G$2:$G$2604,""))</f>
        <v/>
      </c>
      <c r="K3101" s="56"/>
      <c r="L3101" s="58" t="str">
        <f t="shared" si="7"/>
        <v/>
      </c>
      <c r="M3101" s="49"/>
      <c r="N3101" s="49"/>
      <c r="O3101" s="49"/>
      <c r="P3101" s="49"/>
      <c r="Q3101" s="49"/>
      <c r="R3101" s="49"/>
      <c r="S3101" s="49"/>
      <c r="T3101" s="49"/>
      <c r="U3101" s="49"/>
      <c r="V3101" s="49"/>
      <c r="W3101" s="56"/>
      <c r="X3101" s="51" t="str">
        <f t="shared" si="5"/>
        <v/>
      </c>
      <c r="Y3101" s="50" t="s">
        <v>482</v>
      </c>
      <c r="Z3101" s="49">
        <f t="shared" si="6"/>
        <v>0</v>
      </c>
    </row>
    <row r="3102" ht="22.5" customHeight="1">
      <c r="B3102" s="57"/>
      <c r="C3102" s="43" t="str">
        <f t="array" ref="C3102">IF(B3102="","",_xlfn.XLOOKUP(B3102,'Form responses 1'!$B$2:$B$2604,'Form responses 1'!$A$2:$A$2604,""))</f>
        <v/>
      </c>
      <c r="D3102" s="44" t="str">
        <f t="shared" si="3"/>
        <v/>
      </c>
      <c r="E3102" s="44" t="str">
        <f t="array" ref="E3102">IF(B3102="","",_xlfn.XLOOKUP(B3102,'Form responses 1'!$B$2:$B$2604,'Form responses 1'!$C$2:$C$2604,""))</f>
        <v/>
      </c>
      <c r="F3102" s="44" t="str">
        <f t="array" ref="F3102">IF(B3102="","",_xlfn.XLOOKUP(B3102,'Form responses 1'!$B$2:$B$2604,'Form responses 1'!$D$2:$D$2604,""))</f>
        <v/>
      </c>
      <c r="G3102" s="44" t="str">
        <f t="array" ref="G3102">IF(B3102="","",_xlfn.XLOOKUP(B3102,'Form responses 1'!$B$2:$B$2604,'Form responses 1'!$E$2:$E$2604,""))</f>
        <v/>
      </c>
      <c r="H3102" s="44" t="str">
        <f t="array" ref="H3102">IF(B3102="","",_xlfn.XLOOKUP(B3102,'Form responses 1'!$B$2:$B$2604,'Form responses 1'!$F$2:$F$2604,""))</f>
        <v/>
      </c>
      <c r="I3102" s="44" t="str">
        <f t="array" ref="I3102">IF(B3102="","",_xlfn.XLOOKUP(B3102,'Form responses 1'!$B$2:$B$2604,'Form responses 1'!$I$2:$I$2604,""))</f>
        <v/>
      </c>
      <c r="J3102" s="44" t="str">
        <f t="array" ref="J3102">IF(B3102="","",_xlfn.XLOOKUP(B3102,'Form responses 1'!$B$2:$B$2604,'Form responses 1'!$G$2:$G$2604,""))</f>
        <v/>
      </c>
      <c r="K3102" s="56"/>
      <c r="L3102" s="58" t="str">
        <f t="shared" si="7"/>
        <v/>
      </c>
      <c r="M3102" s="49"/>
      <c r="N3102" s="49"/>
      <c r="O3102" s="49"/>
      <c r="P3102" s="49"/>
      <c r="Q3102" s="49"/>
      <c r="R3102" s="49"/>
      <c r="S3102" s="49"/>
      <c r="T3102" s="49"/>
      <c r="U3102" s="49"/>
      <c r="V3102" s="49"/>
      <c r="W3102" s="56"/>
      <c r="X3102" s="51" t="str">
        <f t="shared" si="5"/>
        <v/>
      </c>
      <c r="Y3102" s="50" t="s">
        <v>482</v>
      </c>
      <c r="Z3102" s="49">
        <f t="shared" si="6"/>
        <v>0</v>
      </c>
    </row>
    <row r="3103" ht="22.5" customHeight="1">
      <c r="B3103" s="57"/>
      <c r="C3103" s="43" t="str">
        <f t="array" ref="C3103">IF(B3103="","",_xlfn.XLOOKUP(B3103,'Form responses 1'!$B$2:$B$2604,'Form responses 1'!$A$2:$A$2604,""))</f>
        <v/>
      </c>
      <c r="D3103" s="44" t="str">
        <f t="shared" si="3"/>
        <v/>
      </c>
      <c r="E3103" s="44" t="str">
        <f t="array" ref="E3103">IF(B3103="","",_xlfn.XLOOKUP(B3103,'Form responses 1'!$B$2:$B$2604,'Form responses 1'!$C$2:$C$2604,""))</f>
        <v/>
      </c>
      <c r="F3103" s="44" t="str">
        <f t="array" ref="F3103">IF(B3103="","",_xlfn.XLOOKUP(B3103,'Form responses 1'!$B$2:$B$2604,'Form responses 1'!$D$2:$D$2604,""))</f>
        <v/>
      </c>
      <c r="G3103" s="44" t="str">
        <f t="array" ref="G3103">IF(B3103="","",_xlfn.XLOOKUP(B3103,'Form responses 1'!$B$2:$B$2604,'Form responses 1'!$E$2:$E$2604,""))</f>
        <v/>
      </c>
      <c r="H3103" s="44" t="str">
        <f t="array" ref="H3103">IF(B3103="","",_xlfn.XLOOKUP(B3103,'Form responses 1'!$B$2:$B$2604,'Form responses 1'!$F$2:$F$2604,""))</f>
        <v/>
      </c>
      <c r="I3103" s="44" t="str">
        <f t="array" ref="I3103">IF(B3103="","",_xlfn.XLOOKUP(B3103,'Form responses 1'!$B$2:$B$2604,'Form responses 1'!$I$2:$I$2604,""))</f>
        <v/>
      </c>
      <c r="J3103" s="44" t="str">
        <f t="array" ref="J3103">IF(B3103="","",_xlfn.XLOOKUP(B3103,'Form responses 1'!$B$2:$B$2604,'Form responses 1'!$G$2:$G$2604,""))</f>
        <v/>
      </c>
      <c r="K3103" s="56"/>
      <c r="L3103" s="58" t="str">
        <f t="shared" si="7"/>
        <v/>
      </c>
      <c r="M3103" s="49"/>
      <c r="N3103" s="49"/>
      <c r="O3103" s="49"/>
      <c r="P3103" s="49"/>
      <c r="Q3103" s="49"/>
      <c r="R3103" s="49"/>
      <c r="S3103" s="49"/>
      <c r="T3103" s="49"/>
      <c r="U3103" s="49"/>
      <c r="V3103" s="49"/>
      <c r="W3103" s="56"/>
      <c r="X3103" s="51" t="str">
        <f t="shared" si="5"/>
        <v/>
      </c>
      <c r="Y3103" s="50" t="s">
        <v>482</v>
      </c>
      <c r="Z3103" s="49">
        <f t="shared" si="6"/>
        <v>0</v>
      </c>
    </row>
    <row r="3104" ht="22.5" customHeight="1">
      <c r="B3104" s="57"/>
      <c r="C3104" s="43" t="str">
        <f t="array" ref="C3104">IF(B3104="","",_xlfn.XLOOKUP(B3104,'Form responses 1'!$B$2:$B$2604,'Form responses 1'!$A$2:$A$2604,""))</f>
        <v/>
      </c>
      <c r="D3104" s="44" t="str">
        <f t="shared" si="3"/>
        <v/>
      </c>
      <c r="E3104" s="44" t="str">
        <f t="array" ref="E3104">IF(B3104="","",_xlfn.XLOOKUP(B3104,'Form responses 1'!$B$2:$B$2604,'Form responses 1'!$C$2:$C$2604,""))</f>
        <v/>
      </c>
      <c r="F3104" s="44" t="str">
        <f t="array" ref="F3104">IF(B3104="","",_xlfn.XLOOKUP(B3104,'Form responses 1'!$B$2:$B$2604,'Form responses 1'!$D$2:$D$2604,""))</f>
        <v/>
      </c>
      <c r="G3104" s="44" t="str">
        <f t="array" ref="G3104">IF(B3104="","",_xlfn.XLOOKUP(B3104,'Form responses 1'!$B$2:$B$2604,'Form responses 1'!$E$2:$E$2604,""))</f>
        <v/>
      </c>
      <c r="H3104" s="44" t="str">
        <f t="array" ref="H3104">IF(B3104="","",_xlfn.XLOOKUP(B3104,'Form responses 1'!$B$2:$B$2604,'Form responses 1'!$F$2:$F$2604,""))</f>
        <v/>
      </c>
      <c r="I3104" s="44" t="str">
        <f t="array" ref="I3104">IF(B3104="","",_xlfn.XLOOKUP(B3104,'Form responses 1'!$B$2:$B$2604,'Form responses 1'!$I$2:$I$2604,""))</f>
        <v/>
      </c>
      <c r="J3104" s="44" t="str">
        <f t="array" ref="J3104">IF(B3104="","",_xlfn.XLOOKUP(B3104,'Form responses 1'!$B$2:$B$2604,'Form responses 1'!$G$2:$G$2604,""))</f>
        <v/>
      </c>
      <c r="K3104" s="56"/>
      <c r="L3104" s="58" t="str">
        <f t="shared" si="7"/>
        <v/>
      </c>
      <c r="M3104" s="49"/>
      <c r="N3104" s="49"/>
      <c r="O3104" s="49"/>
      <c r="P3104" s="49"/>
      <c r="Q3104" s="49"/>
      <c r="R3104" s="49"/>
      <c r="S3104" s="49"/>
      <c r="T3104" s="49"/>
      <c r="U3104" s="49"/>
      <c r="V3104" s="49"/>
      <c r="W3104" s="56"/>
      <c r="X3104" s="51" t="str">
        <f t="shared" si="5"/>
        <v/>
      </c>
      <c r="Y3104" s="50" t="s">
        <v>482</v>
      </c>
      <c r="Z3104" s="49">
        <f t="shared" si="6"/>
        <v>0</v>
      </c>
    </row>
    <row r="3105" ht="22.5" customHeight="1">
      <c r="B3105" s="57"/>
      <c r="C3105" s="43" t="str">
        <f t="array" ref="C3105">IF(B3105="","",_xlfn.XLOOKUP(B3105,'Form responses 1'!$B$2:$B$2604,'Form responses 1'!$A$2:$A$2604,""))</f>
        <v/>
      </c>
      <c r="D3105" s="44" t="str">
        <f t="shared" si="3"/>
        <v/>
      </c>
      <c r="E3105" s="44" t="str">
        <f t="array" ref="E3105">IF(B3105="","",_xlfn.XLOOKUP(B3105,'Form responses 1'!$B$2:$B$2604,'Form responses 1'!$C$2:$C$2604,""))</f>
        <v/>
      </c>
      <c r="F3105" s="44" t="str">
        <f t="array" ref="F3105">IF(B3105="","",_xlfn.XLOOKUP(B3105,'Form responses 1'!$B$2:$B$2604,'Form responses 1'!$D$2:$D$2604,""))</f>
        <v/>
      </c>
      <c r="G3105" s="44" t="str">
        <f t="array" ref="G3105">IF(B3105="","",_xlfn.XLOOKUP(B3105,'Form responses 1'!$B$2:$B$2604,'Form responses 1'!$E$2:$E$2604,""))</f>
        <v/>
      </c>
      <c r="H3105" s="44" t="str">
        <f t="array" ref="H3105">IF(B3105="","",_xlfn.XLOOKUP(B3105,'Form responses 1'!$B$2:$B$2604,'Form responses 1'!$F$2:$F$2604,""))</f>
        <v/>
      </c>
      <c r="I3105" s="44" t="str">
        <f t="array" ref="I3105">IF(B3105="","",_xlfn.XLOOKUP(B3105,'Form responses 1'!$B$2:$B$2604,'Form responses 1'!$I$2:$I$2604,""))</f>
        <v/>
      </c>
      <c r="J3105" s="44" t="str">
        <f t="array" ref="J3105">IF(B3105="","",_xlfn.XLOOKUP(B3105,'Form responses 1'!$B$2:$B$2604,'Form responses 1'!$G$2:$G$2604,""))</f>
        <v/>
      </c>
      <c r="K3105" s="56"/>
      <c r="L3105" s="58" t="str">
        <f t="shared" si="7"/>
        <v/>
      </c>
      <c r="M3105" s="49"/>
      <c r="N3105" s="49"/>
      <c r="O3105" s="49"/>
      <c r="P3105" s="49"/>
      <c r="Q3105" s="49"/>
      <c r="R3105" s="49"/>
      <c r="S3105" s="49"/>
      <c r="T3105" s="49"/>
      <c r="U3105" s="49"/>
      <c r="V3105" s="49"/>
      <c r="W3105" s="56"/>
      <c r="X3105" s="51" t="str">
        <f t="shared" si="5"/>
        <v/>
      </c>
      <c r="Y3105" s="50" t="s">
        <v>482</v>
      </c>
      <c r="Z3105" s="49">
        <f t="shared" si="6"/>
        <v>0</v>
      </c>
    </row>
    <row r="3106" ht="22.5" customHeight="1">
      <c r="B3106" s="57"/>
      <c r="C3106" s="43" t="str">
        <f t="array" ref="C3106">IF(B3106="","",_xlfn.XLOOKUP(B3106,'Form responses 1'!$B$2:$B$2604,'Form responses 1'!$A$2:$A$2604,""))</f>
        <v/>
      </c>
      <c r="D3106" s="44" t="str">
        <f t="shared" si="3"/>
        <v/>
      </c>
      <c r="E3106" s="44" t="str">
        <f t="array" ref="E3106">IF(B3106="","",_xlfn.XLOOKUP(B3106,'Form responses 1'!$B$2:$B$2604,'Form responses 1'!$C$2:$C$2604,""))</f>
        <v/>
      </c>
      <c r="F3106" s="44" t="str">
        <f t="array" ref="F3106">IF(B3106="","",_xlfn.XLOOKUP(B3106,'Form responses 1'!$B$2:$B$2604,'Form responses 1'!$D$2:$D$2604,""))</f>
        <v/>
      </c>
      <c r="G3106" s="44" t="str">
        <f t="array" ref="G3106">IF(B3106="","",_xlfn.XLOOKUP(B3106,'Form responses 1'!$B$2:$B$2604,'Form responses 1'!$E$2:$E$2604,""))</f>
        <v/>
      </c>
      <c r="H3106" s="44" t="str">
        <f t="array" ref="H3106">IF(B3106="","",_xlfn.XLOOKUP(B3106,'Form responses 1'!$B$2:$B$2604,'Form responses 1'!$F$2:$F$2604,""))</f>
        <v/>
      </c>
      <c r="I3106" s="44" t="str">
        <f t="array" ref="I3106">IF(B3106="","",_xlfn.XLOOKUP(B3106,'Form responses 1'!$B$2:$B$2604,'Form responses 1'!$I$2:$I$2604,""))</f>
        <v/>
      </c>
      <c r="J3106" s="44" t="str">
        <f t="array" ref="J3106">IF(B3106="","",_xlfn.XLOOKUP(B3106,'Form responses 1'!$B$2:$B$2604,'Form responses 1'!$G$2:$G$2604,""))</f>
        <v/>
      </c>
      <c r="K3106" s="56"/>
      <c r="L3106" s="58" t="str">
        <f t="shared" si="7"/>
        <v/>
      </c>
      <c r="M3106" s="49"/>
      <c r="N3106" s="49"/>
      <c r="O3106" s="49"/>
      <c r="P3106" s="49"/>
      <c r="Q3106" s="49"/>
      <c r="R3106" s="49"/>
      <c r="S3106" s="49"/>
      <c r="T3106" s="49"/>
      <c r="U3106" s="49"/>
      <c r="V3106" s="49"/>
      <c r="W3106" s="56"/>
      <c r="X3106" s="51" t="str">
        <f t="shared" si="5"/>
        <v/>
      </c>
      <c r="Y3106" s="50" t="s">
        <v>482</v>
      </c>
      <c r="Z3106" s="49">
        <f t="shared" si="6"/>
        <v>0</v>
      </c>
    </row>
    <row r="3107" ht="22.5" customHeight="1">
      <c r="B3107" s="57"/>
      <c r="C3107" s="43" t="str">
        <f t="array" ref="C3107">IF(B3107="","",_xlfn.XLOOKUP(B3107,'Form responses 1'!$B$2:$B$2604,'Form responses 1'!$A$2:$A$2604,""))</f>
        <v/>
      </c>
      <c r="D3107" s="44" t="str">
        <f t="shared" si="3"/>
        <v/>
      </c>
      <c r="E3107" s="44" t="str">
        <f t="array" ref="E3107">IF(B3107="","",_xlfn.XLOOKUP(B3107,'Form responses 1'!$B$2:$B$2604,'Form responses 1'!$C$2:$C$2604,""))</f>
        <v/>
      </c>
      <c r="F3107" s="44" t="str">
        <f t="array" ref="F3107">IF(B3107="","",_xlfn.XLOOKUP(B3107,'Form responses 1'!$B$2:$B$2604,'Form responses 1'!$D$2:$D$2604,""))</f>
        <v/>
      </c>
      <c r="G3107" s="44" t="str">
        <f t="array" ref="G3107">IF(B3107="","",_xlfn.XLOOKUP(B3107,'Form responses 1'!$B$2:$B$2604,'Form responses 1'!$E$2:$E$2604,""))</f>
        <v/>
      </c>
      <c r="H3107" s="44" t="str">
        <f t="array" ref="H3107">IF(B3107="","",_xlfn.XLOOKUP(B3107,'Form responses 1'!$B$2:$B$2604,'Form responses 1'!$F$2:$F$2604,""))</f>
        <v/>
      </c>
      <c r="I3107" s="44" t="str">
        <f t="array" ref="I3107">IF(B3107="","",_xlfn.XLOOKUP(B3107,'Form responses 1'!$B$2:$B$2604,'Form responses 1'!$I$2:$I$2604,""))</f>
        <v/>
      </c>
      <c r="J3107" s="44" t="str">
        <f t="array" ref="J3107">IF(B3107="","",_xlfn.XLOOKUP(B3107,'Form responses 1'!$B$2:$B$2604,'Form responses 1'!$G$2:$G$2604,""))</f>
        <v/>
      </c>
      <c r="K3107" s="56"/>
      <c r="L3107" s="58" t="str">
        <f t="shared" si="7"/>
        <v/>
      </c>
      <c r="M3107" s="49"/>
      <c r="N3107" s="49"/>
      <c r="O3107" s="49"/>
      <c r="P3107" s="49"/>
      <c r="Q3107" s="49"/>
      <c r="R3107" s="49"/>
      <c r="S3107" s="49"/>
      <c r="T3107" s="49"/>
      <c r="U3107" s="49"/>
      <c r="V3107" s="49"/>
      <c r="W3107" s="56"/>
      <c r="X3107" s="51" t="str">
        <f t="shared" si="5"/>
        <v/>
      </c>
      <c r="Y3107" s="50" t="s">
        <v>482</v>
      </c>
      <c r="Z3107" s="49">
        <f t="shared" si="6"/>
        <v>0</v>
      </c>
    </row>
    <row r="3108" ht="22.5" customHeight="1">
      <c r="B3108" s="57"/>
      <c r="C3108" s="43" t="str">
        <f t="array" ref="C3108">IF(B3108="","",_xlfn.XLOOKUP(B3108,'Form responses 1'!$B$2:$B$2604,'Form responses 1'!$A$2:$A$2604,""))</f>
        <v/>
      </c>
      <c r="D3108" s="44" t="str">
        <f t="shared" si="3"/>
        <v/>
      </c>
      <c r="E3108" s="44" t="str">
        <f t="array" ref="E3108">IF(B3108="","",_xlfn.XLOOKUP(B3108,'Form responses 1'!$B$2:$B$2604,'Form responses 1'!$C$2:$C$2604,""))</f>
        <v/>
      </c>
      <c r="F3108" s="44" t="str">
        <f t="array" ref="F3108">IF(B3108="","",_xlfn.XLOOKUP(B3108,'Form responses 1'!$B$2:$B$2604,'Form responses 1'!$D$2:$D$2604,""))</f>
        <v/>
      </c>
      <c r="G3108" s="44" t="str">
        <f t="array" ref="G3108">IF(B3108="","",_xlfn.XLOOKUP(B3108,'Form responses 1'!$B$2:$B$2604,'Form responses 1'!$E$2:$E$2604,""))</f>
        <v/>
      </c>
      <c r="H3108" s="44" t="str">
        <f t="array" ref="H3108">IF(B3108="","",_xlfn.XLOOKUP(B3108,'Form responses 1'!$B$2:$B$2604,'Form responses 1'!$F$2:$F$2604,""))</f>
        <v/>
      </c>
      <c r="I3108" s="44" t="str">
        <f t="array" ref="I3108">IF(B3108="","",_xlfn.XLOOKUP(B3108,'Form responses 1'!$B$2:$B$2604,'Form responses 1'!$I$2:$I$2604,""))</f>
        <v/>
      </c>
      <c r="J3108" s="44" t="str">
        <f t="array" ref="J3108">IF(B3108="","",_xlfn.XLOOKUP(B3108,'Form responses 1'!$B$2:$B$2604,'Form responses 1'!$G$2:$G$2604,""))</f>
        <v/>
      </c>
      <c r="K3108" s="56"/>
      <c r="L3108" s="58" t="str">
        <f t="shared" si="7"/>
        <v/>
      </c>
      <c r="M3108" s="49"/>
      <c r="N3108" s="49"/>
      <c r="O3108" s="49"/>
      <c r="P3108" s="49"/>
      <c r="Q3108" s="49"/>
      <c r="R3108" s="49"/>
      <c r="S3108" s="49"/>
      <c r="T3108" s="49"/>
      <c r="U3108" s="49"/>
      <c r="V3108" s="49"/>
      <c r="W3108" s="56"/>
      <c r="X3108" s="51" t="str">
        <f t="shared" si="5"/>
        <v/>
      </c>
      <c r="Y3108" s="50" t="s">
        <v>482</v>
      </c>
      <c r="Z3108" s="49">
        <f t="shared" si="6"/>
        <v>0</v>
      </c>
    </row>
    <row r="3109" ht="22.5" customHeight="1">
      <c r="B3109" s="57"/>
      <c r="C3109" s="43" t="str">
        <f t="array" ref="C3109">IF(B3109="","",_xlfn.XLOOKUP(B3109,'Form responses 1'!$B$2:$B$2604,'Form responses 1'!$A$2:$A$2604,""))</f>
        <v/>
      </c>
      <c r="D3109" s="44" t="str">
        <f t="shared" si="3"/>
        <v/>
      </c>
      <c r="E3109" s="44" t="str">
        <f t="array" ref="E3109">IF(B3109="","",_xlfn.XLOOKUP(B3109,'Form responses 1'!$B$2:$B$2604,'Form responses 1'!$C$2:$C$2604,""))</f>
        <v/>
      </c>
      <c r="F3109" s="44" t="str">
        <f t="array" ref="F3109">IF(B3109="","",_xlfn.XLOOKUP(B3109,'Form responses 1'!$B$2:$B$2604,'Form responses 1'!$D$2:$D$2604,""))</f>
        <v/>
      </c>
      <c r="G3109" s="44" t="str">
        <f t="array" ref="G3109">IF(B3109="","",_xlfn.XLOOKUP(B3109,'Form responses 1'!$B$2:$B$2604,'Form responses 1'!$E$2:$E$2604,""))</f>
        <v/>
      </c>
      <c r="H3109" s="44" t="str">
        <f t="array" ref="H3109">IF(B3109="","",_xlfn.XLOOKUP(B3109,'Form responses 1'!$B$2:$B$2604,'Form responses 1'!$F$2:$F$2604,""))</f>
        <v/>
      </c>
      <c r="I3109" s="44" t="str">
        <f t="array" ref="I3109">IF(B3109="","",_xlfn.XLOOKUP(B3109,'Form responses 1'!$B$2:$B$2604,'Form responses 1'!$I$2:$I$2604,""))</f>
        <v/>
      </c>
      <c r="J3109" s="44" t="str">
        <f t="array" ref="J3109">IF(B3109="","",_xlfn.XLOOKUP(B3109,'Form responses 1'!$B$2:$B$2604,'Form responses 1'!$G$2:$G$2604,""))</f>
        <v/>
      </c>
      <c r="K3109" s="56"/>
      <c r="L3109" s="58" t="str">
        <f t="shared" si="7"/>
        <v/>
      </c>
      <c r="M3109" s="49"/>
      <c r="N3109" s="49"/>
      <c r="O3109" s="49"/>
      <c r="P3109" s="49"/>
      <c r="Q3109" s="49"/>
      <c r="R3109" s="49"/>
      <c r="S3109" s="49"/>
      <c r="T3109" s="49"/>
      <c r="U3109" s="49"/>
      <c r="V3109" s="49"/>
      <c r="W3109" s="56"/>
      <c r="X3109" s="51" t="str">
        <f t="shared" si="5"/>
        <v/>
      </c>
      <c r="Y3109" s="50" t="s">
        <v>482</v>
      </c>
      <c r="Z3109" s="49">
        <f t="shared" si="6"/>
        <v>0</v>
      </c>
    </row>
    <row r="3110" ht="22.5" customHeight="1">
      <c r="B3110" s="57"/>
      <c r="C3110" s="43" t="str">
        <f t="array" ref="C3110">IF(B3110="","",_xlfn.XLOOKUP(B3110,'Form responses 1'!$B$2:$B$2604,'Form responses 1'!$A$2:$A$2604,""))</f>
        <v/>
      </c>
      <c r="D3110" s="44" t="str">
        <f t="shared" si="3"/>
        <v/>
      </c>
      <c r="E3110" s="44" t="str">
        <f t="array" ref="E3110">IF(B3110="","",_xlfn.XLOOKUP(B3110,'Form responses 1'!$B$2:$B$2604,'Form responses 1'!$C$2:$C$2604,""))</f>
        <v/>
      </c>
      <c r="F3110" s="44" t="str">
        <f t="array" ref="F3110">IF(B3110="","",_xlfn.XLOOKUP(B3110,'Form responses 1'!$B$2:$B$2604,'Form responses 1'!$D$2:$D$2604,""))</f>
        <v/>
      </c>
      <c r="G3110" s="44" t="str">
        <f t="array" ref="G3110">IF(B3110="","",_xlfn.XLOOKUP(B3110,'Form responses 1'!$B$2:$B$2604,'Form responses 1'!$E$2:$E$2604,""))</f>
        <v/>
      </c>
      <c r="H3110" s="44" t="str">
        <f t="array" ref="H3110">IF(B3110="","",_xlfn.XLOOKUP(B3110,'Form responses 1'!$B$2:$B$2604,'Form responses 1'!$F$2:$F$2604,""))</f>
        <v/>
      </c>
      <c r="I3110" s="44" t="str">
        <f t="array" ref="I3110">IF(B3110="","",_xlfn.XLOOKUP(B3110,'Form responses 1'!$B$2:$B$2604,'Form responses 1'!$I$2:$I$2604,""))</f>
        <v/>
      </c>
      <c r="J3110" s="44" t="str">
        <f t="array" ref="J3110">IF(B3110="","",_xlfn.XLOOKUP(B3110,'Form responses 1'!$B$2:$B$2604,'Form responses 1'!$G$2:$G$2604,""))</f>
        <v/>
      </c>
      <c r="K3110" s="56"/>
      <c r="L3110" s="58" t="str">
        <f t="shared" si="7"/>
        <v/>
      </c>
      <c r="M3110" s="49"/>
      <c r="N3110" s="49"/>
      <c r="O3110" s="49"/>
      <c r="P3110" s="49"/>
      <c r="Q3110" s="49"/>
      <c r="R3110" s="49"/>
      <c r="S3110" s="49"/>
      <c r="T3110" s="49"/>
      <c r="U3110" s="49"/>
      <c r="V3110" s="49"/>
      <c r="W3110" s="56"/>
      <c r="X3110" s="51" t="str">
        <f t="shared" si="5"/>
        <v/>
      </c>
      <c r="Y3110" s="50" t="s">
        <v>482</v>
      </c>
      <c r="Z3110" s="49">
        <f t="shared" si="6"/>
        <v>0</v>
      </c>
    </row>
    <row r="3111" ht="22.5" customHeight="1">
      <c r="B3111" s="57"/>
      <c r="C3111" s="43" t="str">
        <f t="array" ref="C3111">IF(B3111="","",_xlfn.XLOOKUP(B3111,'Form responses 1'!$B$2:$B$2604,'Form responses 1'!$A$2:$A$2604,""))</f>
        <v/>
      </c>
      <c r="D3111" s="44" t="str">
        <f t="shared" si="3"/>
        <v/>
      </c>
      <c r="E3111" s="44" t="str">
        <f t="array" ref="E3111">IF(B3111="","",_xlfn.XLOOKUP(B3111,'Form responses 1'!$B$2:$B$2604,'Form responses 1'!$C$2:$C$2604,""))</f>
        <v/>
      </c>
      <c r="F3111" s="44" t="str">
        <f t="array" ref="F3111">IF(B3111="","",_xlfn.XLOOKUP(B3111,'Form responses 1'!$B$2:$B$2604,'Form responses 1'!$D$2:$D$2604,""))</f>
        <v/>
      </c>
      <c r="G3111" s="44" t="str">
        <f t="array" ref="G3111">IF(B3111="","",_xlfn.XLOOKUP(B3111,'Form responses 1'!$B$2:$B$2604,'Form responses 1'!$E$2:$E$2604,""))</f>
        <v/>
      </c>
      <c r="H3111" s="44" t="str">
        <f t="array" ref="H3111">IF(B3111="","",_xlfn.XLOOKUP(B3111,'Form responses 1'!$B$2:$B$2604,'Form responses 1'!$F$2:$F$2604,""))</f>
        <v/>
      </c>
      <c r="I3111" s="44" t="str">
        <f t="array" ref="I3111">IF(B3111="","",_xlfn.XLOOKUP(B3111,'Form responses 1'!$B$2:$B$2604,'Form responses 1'!$I$2:$I$2604,""))</f>
        <v/>
      </c>
      <c r="J3111" s="44" t="str">
        <f t="array" ref="J3111">IF(B3111="","",_xlfn.XLOOKUP(B3111,'Form responses 1'!$B$2:$B$2604,'Form responses 1'!$G$2:$G$2604,""))</f>
        <v/>
      </c>
      <c r="K3111" s="56"/>
      <c r="L3111" s="58" t="str">
        <f t="shared" si="7"/>
        <v/>
      </c>
      <c r="M3111" s="49"/>
      <c r="N3111" s="49"/>
      <c r="O3111" s="49"/>
      <c r="P3111" s="49"/>
      <c r="Q3111" s="49"/>
      <c r="R3111" s="49"/>
      <c r="S3111" s="49"/>
      <c r="T3111" s="49"/>
      <c r="U3111" s="49"/>
      <c r="V3111" s="49"/>
      <c r="W3111" s="56"/>
      <c r="X3111" s="51" t="str">
        <f t="shared" si="5"/>
        <v/>
      </c>
      <c r="Y3111" s="50" t="s">
        <v>482</v>
      </c>
      <c r="Z3111" s="49">
        <f t="shared" si="6"/>
        <v>0</v>
      </c>
    </row>
    <row r="3112" ht="22.5" customHeight="1">
      <c r="B3112" s="57"/>
      <c r="C3112" s="43" t="str">
        <f t="array" ref="C3112">IF(B3112="","",_xlfn.XLOOKUP(B3112,'Form responses 1'!$B$2:$B$2604,'Form responses 1'!$A$2:$A$2604,""))</f>
        <v/>
      </c>
      <c r="D3112" s="44" t="str">
        <f t="shared" si="3"/>
        <v/>
      </c>
      <c r="E3112" s="44" t="str">
        <f t="array" ref="E3112">IF(B3112="","",_xlfn.XLOOKUP(B3112,'Form responses 1'!$B$2:$B$2604,'Form responses 1'!$C$2:$C$2604,""))</f>
        <v/>
      </c>
      <c r="F3112" s="44" t="str">
        <f t="array" ref="F3112">IF(B3112="","",_xlfn.XLOOKUP(B3112,'Form responses 1'!$B$2:$B$2604,'Form responses 1'!$D$2:$D$2604,""))</f>
        <v/>
      </c>
      <c r="G3112" s="44" t="str">
        <f t="array" ref="G3112">IF(B3112="","",_xlfn.XLOOKUP(B3112,'Form responses 1'!$B$2:$B$2604,'Form responses 1'!$E$2:$E$2604,""))</f>
        <v/>
      </c>
      <c r="H3112" s="44" t="str">
        <f t="array" ref="H3112">IF(B3112="","",_xlfn.XLOOKUP(B3112,'Form responses 1'!$B$2:$B$2604,'Form responses 1'!$F$2:$F$2604,""))</f>
        <v/>
      </c>
      <c r="I3112" s="44" t="str">
        <f t="array" ref="I3112">IF(B3112="","",_xlfn.XLOOKUP(B3112,'Form responses 1'!$B$2:$B$2604,'Form responses 1'!$I$2:$I$2604,""))</f>
        <v/>
      </c>
      <c r="J3112" s="44" t="str">
        <f t="array" ref="J3112">IF(B3112="","",_xlfn.XLOOKUP(B3112,'Form responses 1'!$B$2:$B$2604,'Form responses 1'!$G$2:$G$2604,""))</f>
        <v/>
      </c>
      <c r="K3112" s="56"/>
      <c r="L3112" s="58" t="str">
        <f t="shared" si="7"/>
        <v/>
      </c>
      <c r="M3112" s="49"/>
      <c r="N3112" s="49"/>
      <c r="O3112" s="49"/>
      <c r="P3112" s="49"/>
      <c r="Q3112" s="49"/>
      <c r="R3112" s="49"/>
      <c r="S3112" s="49"/>
      <c r="T3112" s="49"/>
      <c r="U3112" s="49"/>
      <c r="V3112" s="49"/>
      <c r="W3112" s="56"/>
      <c r="X3112" s="51" t="str">
        <f t="shared" si="5"/>
        <v/>
      </c>
      <c r="Y3112" s="50" t="s">
        <v>482</v>
      </c>
      <c r="Z3112" s="49">
        <f t="shared" si="6"/>
        <v>0</v>
      </c>
    </row>
    <row r="3113" ht="22.5" customHeight="1">
      <c r="B3113" s="57"/>
      <c r="C3113" s="43" t="str">
        <f t="array" ref="C3113">IF(B3113="","",_xlfn.XLOOKUP(B3113,'Form responses 1'!$B$2:$B$2604,'Form responses 1'!$A$2:$A$2604,""))</f>
        <v/>
      </c>
      <c r="D3113" s="44" t="str">
        <f t="shared" si="3"/>
        <v/>
      </c>
      <c r="E3113" s="44" t="str">
        <f t="array" ref="E3113">IF(B3113="","",_xlfn.XLOOKUP(B3113,'Form responses 1'!$B$2:$B$2604,'Form responses 1'!$C$2:$C$2604,""))</f>
        <v/>
      </c>
      <c r="F3113" s="44" t="str">
        <f t="array" ref="F3113">IF(B3113="","",_xlfn.XLOOKUP(B3113,'Form responses 1'!$B$2:$B$2604,'Form responses 1'!$D$2:$D$2604,""))</f>
        <v/>
      </c>
      <c r="G3113" s="44" t="str">
        <f t="array" ref="G3113">IF(B3113="","",_xlfn.XLOOKUP(B3113,'Form responses 1'!$B$2:$B$2604,'Form responses 1'!$E$2:$E$2604,""))</f>
        <v/>
      </c>
      <c r="H3113" s="44" t="str">
        <f t="array" ref="H3113">IF(B3113="","",_xlfn.XLOOKUP(B3113,'Form responses 1'!$B$2:$B$2604,'Form responses 1'!$F$2:$F$2604,""))</f>
        <v/>
      </c>
      <c r="I3113" s="44" t="str">
        <f t="array" ref="I3113">IF(B3113="","",_xlfn.XLOOKUP(B3113,'Form responses 1'!$B$2:$B$2604,'Form responses 1'!$I$2:$I$2604,""))</f>
        <v/>
      </c>
      <c r="J3113" s="44" t="str">
        <f t="array" ref="J3113">IF(B3113="","",_xlfn.XLOOKUP(B3113,'Form responses 1'!$B$2:$B$2604,'Form responses 1'!$G$2:$G$2604,""))</f>
        <v/>
      </c>
      <c r="K3113" s="56"/>
      <c r="L3113" s="58" t="str">
        <f t="shared" si="7"/>
        <v/>
      </c>
      <c r="M3113" s="49"/>
      <c r="N3113" s="49"/>
      <c r="O3113" s="49"/>
      <c r="P3113" s="49"/>
      <c r="Q3113" s="49"/>
      <c r="R3113" s="49"/>
      <c r="S3113" s="49"/>
      <c r="T3113" s="49"/>
      <c r="U3113" s="49"/>
      <c r="V3113" s="49"/>
      <c r="W3113" s="56"/>
      <c r="X3113" s="51" t="str">
        <f t="shared" si="5"/>
        <v/>
      </c>
      <c r="Y3113" s="50" t="s">
        <v>482</v>
      </c>
      <c r="Z3113" s="49">
        <f t="shared" si="6"/>
        <v>0</v>
      </c>
    </row>
    <row r="3114" ht="22.5" customHeight="1">
      <c r="B3114" s="57"/>
      <c r="C3114" s="43" t="str">
        <f t="array" ref="C3114">IF(B3114="","",_xlfn.XLOOKUP(B3114,'Form responses 1'!$B$2:$B$2604,'Form responses 1'!$A$2:$A$2604,""))</f>
        <v/>
      </c>
      <c r="D3114" s="44" t="str">
        <f t="shared" si="3"/>
        <v/>
      </c>
      <c r="E3114" s="44" t="str">
        <f t="array" ref="E3114">IF(B3114="","",_xlfn.XLOOKUP(B3114,'Form responses 1'!$B$2:$B$2604,'Form responses 1'!$C$2:$C$2604,""))</f>
        <v/>
      </c>
      <c r="F3114" s="44" t="str">
        <f t="array" ref="F3114">IF(B3114="","",_xlfn.XLOOKUP(B3114,'Form responses 1'!$B$2:$B$2604,'Form responses 1'!$D$2:$D$2604,""))</f>
        <v/>
      </c>
      <c r="G3114" s="44" t="str">
        <f t="array" ref="G3114">IF(B3114="","",_xlfn.XLOOKUP(B3114,'Form responses 1'!$B$2:$B$2604,'Form responses 1'!$E$2:$E$2604,""))</f>
        <v/>
      </c>
      <c r="H3114" s="44" t="str">
        <f t="array" ref="H3114">IF(B3114="","",_xlfn.XLOOKUP(B3114,'Form responses 1'!$B$2:$B$2604,'Form responses 1'!$F$2:$F$2604,""))</f>
        <v/>
      </c>
      <c r="I3114" s="44" t="str">
        <f t="array" ref="I3114">IF(B3114="","",_xlfn.XLOOKUP(B3114,'Form responses 1'!$B$2:$B$2604,'Form responses 1'!$I$2:$I$2604,""))</f>
        <v/>
      </c>
      <c r="J3114" s="44" t="str">
        <f t="array" ref="J3114">IF(B3114="","",_xlfn.XLOOKUP(B3114,'Form responses 1'!$B$2:$B$2604,'Form responses 1'!$G$2:$G$2604,""))</f>
        <v/>
      </c>
      <c r="K3114" s="56"/>
      <c r="L3114" s="58" t="str">
        <f t="shared" si="7"/>
        <v/>
      </c>
      <c r="M3114" s="49"/>
      <c r="N3114" s="49"/>
      <c r="O3114" s="49"/>
      <c r="P3114" s="49"/>
      <c r="Q3114" s="49"/>
      <c r="R3114" s="49"/>
      <c r="S3114" s="49"/>
      <c r="T3114" s="49"/>
      <c r="U3114" s="49"/>
      <c r="V3114" s="49"/>
      <c r="W3114" s="56"/>
      <c r="X3114" s="51" t="str">
        <f t="shared" si="5"/>
        <v/>
      </c>
      <c r="Y3114" s="50" t="s">
        <v>482</v>
      </c>
      <c r="Z3114" s="49">
        <f t="shared" si="6"/>
        <v>0</v>
      </c>
    </row>
    <row r="3115" ht="22.5" customHeight="1">
      <c r="B3115" s="57"/>
      <c r="C3115" s="43" t="str">
        <f t="array" ref="C3115">IF(B3115="","",_xlfn.XLOOKUP(B3115,'Form responses 1'!$B$2:$B$2604,'Form responses 1'!$A$2:$A$2604,""))</f>
        <v/>
      </c>
      <c r="D3115" s="44" t="str">
        <f t="shared" si="3"/>
        <v/>
      </c>
      <c r="E3115" s="44" t="str">
        <f t="array" ref="E3115">IF(B3115="","",_xlfn.XLOOKUP(B3115,'Form responses 1'!$B$2:$B$2604,'Form responses 1'!$C$2:$C$2604,""))</f>
        <v/>
      </c>
      <c r="F3115" s="44" t="str">
        <f t="array" ref="F3115">IF(B3115="","",_xlfn.XLOOKUP(B3115,'Form responses 1'!$B$2:$B$2604,'Form responses 1'!$D$2:$D$2604,""))</f>
        <v/>
      </c>
      <c r="G3115" s="44" t="str">
        <f t="array" ref="G3115">IF(B3115="","",_xlfn.XLOOKUP(B3115,'Form responses 1'!$B$2:$B$2604,'Form responses 1'!$E$2:$E$2604,""))</f>
        <v/>
      </c>
      <c r="H3115" s="44" t="str">
        <f t="array" ref="H3115">IF(B3115="","",_xlfn.XLOOKUP(B3115,'Form responses 1'!$B$2:$B$2604,'Form responses 1'!$F$2:$F$2604,""))</f>
        <v/>
      </c>
      <c r="I3115" s="44" t="str">
        <f t="array" ref="I3115">IF(B3115="","",_xlfn.XLOOKUP(B3115,'Form responses 1'!$B$2:$B$2604,'Form responses 1'!$I$2:$I$2604,""))</f>
        <v/>
      </c>
      <c r="J3115" s="44" t="str">
        <f t="array" ref="J3115">IF(B3115="","",_xlfn.XLOOKUP(B3115,'Form responses 1'!$B$2:$B$2604,'Form responses 1'!$G$2:$G$2604,""))</f>
        <v/>
      </c>
      <c r="K3115" s="56"/>
      <c r="L3115" s="58" t="str">
        <f t="shared" si="7"/>
        <v/>
      </c>
      <c r="M3115" s="49"/>
      <c r="N3115" s="49"/>
      <c r="O3115" s="49"/>
      <c r="P3115" s="49"/>
      <c r="Q3115" s="49"/>
      <c r="R3115" s="49"/>
      <c r="S3115" s="49"/>
      <c r="T3115" s="49"/>
      <c r="U3115" s="49"/>
      <c r="V3115" s="49"/>
      <c r="W3115" s="56"/>
      <c r="X3115" s="51" t="str">
        <f t="shared" si="5"/>
        <v/>
      </c>
      <c r="Y3115" s="50" t="s">
        <v>482</v>
      </c>
      <c r="Z3115" s="49">
        <f t="shared" si="6"/>
        <v>0</v>
      </c>
    </row>
    <row r="3116" ht="22.5" customHeight="1">
      <c r="B3116" s="57"/>
      <c r="C3116" s="43" t="str">
        <f t="array" ref="C3116">IF(B3116="","",_xlfn.XLOOKUP(B3116,'Form responses 1'!$B$2:$B$2604,'Form responses 1'!$A$2:$A$2604,""))</f>
        <v/>
      </c>
      <c r="D3116" s="44" t="str">
        <f t="shared" si="3"/>
        <v/>
      </c>
      <c r="E3116" s="44" t="str">
        <f t="array" ref="E3116">IF(B3116="","",_xlfn.XLOOKUP(B3116,'Form responses 1'!$B$2:$B$2604,'Form responses 1'!$C$2:$C$2604,""))</f>
        <v/>
      </c>
      <c r="F3116" s="44" t="str">
        <f t="array" ref="F3116">IF(B3116="","",_xlfn.XLOOKUP(B3116,'Form responses 1'!$B$2:$B$2604,'Form responses 1'!$D$2:$D$2604,""))</f>
        <v/>
      </c>
      <c r="G3116" s="44" t="str">
        <f t="array" ref="G3116">IF(B3116="","",_xlfn.XLOOKUP(B3116,'Form responses 1'!$B$2:$B$2604,'Form responses 1'!$E$2:$E$2604,""))</f>
        <v/>
      </c>
      <c r="H3116" s="44" t="str">
        <f t="array" ref="H3116">IF(B3116="","",_xlfn.XLOOKUP(B3116,'Form responses 1'!$B$2:$B$2604,'Form responses 1'!$F$2:$F$2604,""))</f>
        <v/>
      </c>
      <c r="I3116" s="44" t="str">
        <f t="array" ref="I3116">IF(B3116="","",_xlfn.XLOOKUP(B3116,'Form responses 1'!$B$2:$B$2604,'Form responses 1'!$I$2:$I$2604,""))</f>
        <v/>
      </c>
      <c r="J3116" s="44" t="str">
        <f t="array" ref="J3116">IF(B3116="","",_xlfn.XLOOKUP(B3116,'Form responses 1'!$B$2:$B$2604,'Form responses 1'!$G$2:$G$2604,""))</f>
        <v/>
      </c>
      <c r="K3116" s="56"/>
      <c r="L3116" s="58" t="str">
        <f t="shared" si="7"/>
        <v/>
      </c>
      <c r="M3116" s="49"/>
      <c r="N3116" s="49"/>
      <c r="O3116" s="49"/>
      <c r="P3116" s="49"/>
      <c r="Q3116" s="49"/>
      <c r="R3116" s="49"/>
      <c r="S3116" s="49"/>
      <c r="T3116" s="49"/>
      <c r="U3116" s="49"/>
      <c r="V3116" s="49"/>
      <c r="W3116" s="56"/>
      <c r="X3116" s="51" t="str">
        <f t="shared" si="5"/>
        <v/>
      </c>
      <c r="Y3116" s="50" t="s">
        <v>482</v>
      </c>
      <c r="Z3116" s="49">
        <f t="shared" si="6"/>
        <v>0</v>
      </c>
    </row>
    <row r="3117" ht="22.5" customHeight="1">
      <c r="B3117" s="57"/>
      <c r="C3117" s="43" t="str">
        <f t="array" ref="C3117">IF(B3117="","",_xlfn.XLOOKUP(B3117,'Form responses 1'!$B$2:$B$2604,'Form responses 1'!$A$2:$A$2604,""))</f>
        <v/>
      </c>
      <c r="D3117" s="44" t="str">
        <f t="shared" si="3"/>
        <v/>
      </c>
      <c r="E3117" s="44" t="str">
        <f t="array" ref="E3117">IF(B3117="","",_xlfn.XLOOKUP(B3117,'Form responses 1'!$B$2:$B$2604,'Form responses 1'!$C$2:$C$2604,""))</f>
        <v/>
      </c>
      <c r="F3117" s="44" t="str">
        <f t="array" ref="F3117">IF(B3117="","",_xlfn.XLOOKUP(B3117,'Form responses 1'!$B$2:$B$2604,'Form responses 1'!$D$2:$D$2604,""))</f>
        <v/>
      </c>
      <c r="G3117" s="44" t="str">
        <f t="array" ref="G3117">IF(B3117="","",_xlfn.XLOOKUP(B3117,'Form responses 1'!$B$2:$B$2604,'Form responses 1'!$E$2:$E$2604,""))</f>
        <v/>
      </c>
      <c r="H3117" s="44" t="str">
        <f t="array" ref="H3117">IF(B3117="","",_xlfn.XLOOKUP(B3117,'Form responses 1'!$B$2:$B$2604,'Form responses 1'!$F$2:$F$2604,""))</f>
        <v/>
      </c>
      <c r="I3117" s="44" t="str">
        <f t="array" ref="I3117">IF(B3117="","",_xlfn.XLOOKUP(B3117,'Form responses 1'!$B$2:$B$2604,'Form responses 1'!$I$2:$I$2604,""))</f>
        <v/>
      </c>
      <c r="J3117" s="44" t="str">
        <f t="array" ref="J3117">IF(B3117="","",_xlfn.XLOOKUP(B3117,'Form responses 1'!$B$2:$B$2604,'Form responses 1'!$G$2:$G$2604,""))</f>
        <v/>
      </c>
      <c r="K3117" s="56"/>
      <c r="L3117" s="58" t="str">
        <f t="shared" si="7"/>
        <v/>
      </c>
      <c r="M3117" s="49"/>
      <c r="N3117" s="49"/>
      <c r="O3117" s="49"/>
      <c r="P3117" s="49"/>
      <c r="Q3117" s="49"/>
      <c r="R3117" s="49"/>
      <c r="S3117" s="49"/>
      <c r="T3117" s="49"/>
      <c r="U3117" s="49"/>
      <c r="V3117" s="49"/>
      <c r="W3117" s="56"/>
      <c r="X3117" s="51" t="str">
        <f t="shared" si="5"/>
        <v/>
      </c>
      <c r="Y3117" s="50" t="s">
        <v>482</v>
      </c>
      <c r="Z3117" s="49">
        <f t="shared" si="6"/>
        <v>0</v>
      </c>
    </row>
    <row r="3118" ht="22.5" customHeight="1">
      <c r="B3118" s="57"/>
      <c r="C3118" s="43" t="str">
        <f t="array" ref="C3118">IF(B3118="","",_xlfn.XLOOKUP(B3118,'Form responses 1'!$B$2:$B$2604,'Form responses 1'!$A$2:$A$2604,""))</f>
        <v/>
      </c>
      <c r="D3118" s="44" t="str">
        <f t="shared" si="3"/>
        <v/>
      </c>
      <c r="E3118" s="44" t="str">
        <f t="array" ref="E3118">IF(B3118="","",_xlfn.XLOOKUP(B3118,'Form responses 1'!$B$2:$B$2604,'Form responses 1'!$C$2:$C$2604,""))</f>
        <v/>
      </c>
      <c r="F3118" s="44" t="str">
        <f t="array" ref="F3118">IF(B3118="","",_xlfn.XLOOKUP(B3118,'Form responses 1'!$B$2:$B$2604,'Form responses 1'!$D$2:$D$2604,""))</f>
        <v/>
      </c>
      <c r="G3118" s="44" t="str">
        <f t="array" ref="G3118">IF(B3118="","",_xlfn.XLOOKUP(B3118,'Form responses 1'!$B$2:$B$2604,'Form responses 1'!$E$2:$E$2604,""))</f>
        <v/>
      </c>
      <c r="H3118" s="44" t="str">
        <f t="array" ref="H3118">IF(B3118="","",_xlfn.XLOOKUP(B3118,'Form responses 1'!$B$2:$B$2604,'Form responses 1'!$F$2:$F$2604,""))</f>
        <v/>
      </c>
      <c r="I3118" s="44" t="str">
        <f t="array" ref="I3118">IF(B3118="","",_xlfn.XLOOKUP(B3118,'Form responses 1'!$B$2:$B$2604,'Form responses 1'!$I$2:$I$2604,""))</f>
        <v/>
      </c>
      <c r="J3118" s="44" t="str">
        <f t="array" ref="J3118">IF(B3118="","",_xlfn.XLOOKUP(B3118,'Form responses 1'!$B$2:$B$2604,'Form responses 1'!$G$2:$G$2604,""))</f>
        <v/>
      </c>
      <c r="K3118" s="56"/>
      <c r="L3118" s="58" t="str">
        <f t="shared" si="7"/>
        <v/>
      </c>
      <c r="M3118" s="49"/>
      <c r="N3118" s="49"/>
      <c r="O3118" s="49"/>
      <c r="P3118" s="49"/>
      <c r="Q3118" s="49"/>
      <c r="R3118" s="49"/>
      <c r="S3118" s="49"/>
      <c r="T3118" s="49"/>
      <c r="U3118" s="49"/>
      <c r="V3118" s="49"/>
      <c r="W3118" s="56"/>
      <c r="X3118" s="51" t="str">
        <f t="shared" si="5"/>
        <v/>
      </c>
      <c r="Y3118" s="50" t="s">
        <v>482</v>
      </c>
      <c r="Z3118" s="49">
        <f t="shared" si="6"/>
        <v>0</v>
      </c>
    </row>
    <row r="3119" ht="22.5" customHeight="1">
      <c r="B3119" s="57"/>
      <c r="C3119" s="43" t="str">
        <f t="array" ref="C3119">IF(B3119="","",_xlfn.XLOOKUP(B3119,'Form responses 1'!$B$2:$B$2604,'Form responses 1'!$A$2:$A$2604,""))</f>
        <v/>
      </c>
      <c r="D3119" s="44" t="str">
        <f t="shared" si="3"/>
        <v/>
      </c>
      <c r="E3119" s="44" t="str">
        <f t="array" ref="E3119">IF(B3119="","",_xlfn.XLOOKUP(B3119,'Form responses 1'!$B$2:$B$2604,'Form responses 1'!$C$2:$C$2604,""))</f>
        <v/>
      </c>
      <c r="F3119" s="44" t="str">
        <f t="array" ref="F3119">IF(B3119="","",_xlfn.XLOOKUP(B3119,'Form responses 1'!$B$2:$B$2604,'Form responses 1'!$D$2:$D$2604,""))</f>
        <v/>
      </c>
      <c r="G3119" s="44" t="str">
        <f t="array" ref="G3119">IF(B3119="","",_xlfn.XLOOKUP(B3119,'Form responses 1'!$B$2:$B$2604,'Form responses 1'!$E$2:$E$2604,""))</f>
        <v/>
      </c>
      <c r="H3119" s="44" t="str">
        <f t="array" ref="H3119">IF(B3119="","",_xlfn.XLOOKUP(B3119,'Form responses 1'!$B$2:$B$2604,'Form responses 1'!$F$2:$F$2604,""))</f>
        <v/>
      </c>
      <c r="I3119" s="44" t="str">
        <f t="array" ref="I3119">IF(B3119="","",_xlfn.XLOOKUP(B3119,'Form responses 1'!$B$2:$B$2604,'Form responses 1'!$I$2:$I$2604,""))</f>
        <v/>
      </c>
      <c r="J3119" s="44" t="str">
        <f t="array" ref="J3119">IF(B3119="","",_xlfn.XLOOKUP(B3119,'Form responses 1'!$B$2:$B$2604,'Form responses 1'!$G$2:$G$2604,""))</f>
        <v/>
      </c>
      <c r="K3119" s="56"/>
      <c r="L3119" s="58" t="str">
        <f t="shared" si="7"/>
        <v/>
      </c>
      <c r="M3119" s="49"/>
      <c r="N3119" s="49"/>
      <c r="O3119" s="49"/>
      <c r="P3119" s="49"/>
      <c r="Q3119" s="49"/>
      <c r="R3119" s="49"/>
      <c r="S3119" s="49"/>
      <c r="T3119" s="49"/>
      <c r="U3119" s="49"/>
      <c r="V3119" s="49"/>
      <c r="W3119" s="56"/>
      <c r="X3119" s="51" t="str">
        <f t="shared" si="5"/>
        <v/>
      </c>
      <c r="Y3119" s="50" t="s">
        <v>482</v>
      </c>
      <c r="Z3119" s="49">
        <f t="shared" si="6"/>
        <v>0</v>
      </c>
    </row>
    <row r="3120" ht="22.5" customHeight="1">
      <c r="B3120" s="57"/>
      <c r="C3120" s="43" t="str">
        <f t="array" ref="C3120">IF(B3120="","",_xlfn.XLOOKUP(B3120,'Form responses 1'!$B$2:$B$2604,'Form responses 1'!$A$2:$A$2604,""))</f>
        <v/>
      </c>
      <c r="D3120" s="44" t="str">
        <f t="shared" si="3"/>
        <v/>
      </c>
      <c r="E3120" s="44" t="str">
        <f t="array" ref="E3120">IF(B3120="","",_xlfn.XLOOKUP(B3120,'Form responses 1'!$B$2:$B$2604,'Form responses 1'!$C$2:$C$2604,""))</f>
        <v/>
      </c>
      <c r="F3120" s="44" t="str">
        <f t="array" ref="F3120">IF(B3120="","",_xlfn.XLOOKUP(B3120,'Form responses 1'!$B$2:$B$2604,'Form responses 1'!$D$2:$D$2604,""))</f>
        <v/>
      </c>
      <c r="G3120" s="44" t="str">
        <f t="array" ref="G3120">IF(B3120="","",_xlfn.XLOOKUP(B3120,'Form responses 1'!$B$2:$B$2604,'Form responses 1'!$E$2:$E$2604,""))</f>
        <v/>
      </c>
      <c r="H3120" s="44" t="str">
        <f t="array" ref="H3120">IF(B3120="","",_xlfn.XLOOKUP(B3120,'Form responses 1'!$B$2:$B$2604,'Form responses 1'!$F$2:$F$2604,""))</f>
        <v/>
      </c>
      <c r="I3120" s="44" t="str">
        <f t="array" ref="I3120">IF(B3120="","",_xlfn.XLOOKUP(B3120,'Form responses 1'!$B$2:$B$2604,'Form responses 1'!$I$2:$I$2604,""))</f>
        <v/>
      </c>
      <c r="J3120" s="44" t="str">
        <f t="array" ref="J3120">IF(B3120="","",_xlfn.XLOOKUP(B3120,'Form responses 1'!$B$2:$B$2604,'Form responses 1'!$G$2:$G$2604,""))</f>
        <v/>
      </c>
      <c r="K3120" s="56"/>
      <c r="L3120" s="58" t="str">
        <f t="shared" si="7"/>
        <v/>
      </c>
      <c r="M3120" s="49"/>
      <c r="N3120" s="49"/>
      <c r="O3120" s="49"/>
      <c r="P3120" s="49"/>
      <c r="Q3120" s="49"/>
      <c r="R3120" s="49"/>
      <c r="S3120" s="49"/>
      <c r="T3120" s="49"/>
      <c r="U3120" s="49"/>
      <c r="V3120" s="49"/>
      <c r="W3120" s="56"/>
      <c r="X3120" s="51" t="str">
        <f t="shared" si="5"/>
        <v/>
      </c>
      <c r="Y3120" s="50" t="s">
        <v>482</v>
      </c>
      <c r="Z3120" s="49">
        <f t="shared" si="6"/>
        <v>0</v>
      </c>
    </row>
    <row r="3121" ht="22.5" customHeight="1">
      <c r="B3121" s="57"/>
      <c r="C3121" s="43" t="str">
        <f t="array" ref="C3121">IF(B3121="","",_xlfn.XLOOKUP(B3121,'Form responses 1'!$B$2:$B$2604,'Form responses 1'!$A$2:$A$2604,""))</f>
        <v/>
      </c>
      <c r="D3121" s="44" t="str">
        <f t="shared" si="3"/>
        <v/>
      </c>
      <c r="E3121" s="44" t="str">
        <f t="array" ref="E3121">IF(B3121="","",_xlfn.XLOOKUP(B3121,'Form responses 1'!$B$2:$B$2604,'Form responses 1'!$C$2:$C$2604,""))</f>
        <v/>
      </c>
      <c r="F3121" s="44" t="str">
        <f t="array" ref="F3121">IF(B3121="","",_xlfn.XLOOKUP(B3121,'Form responses 1'!$B$2:$B$2604,'Form responses 1'!$D$2:$D$2604,""))</f>
        <v/>
      </c>
      <c r="G3121" s="44" t="str">
        <f t="array" ref="G3121">IF(B3121="","",_xlfn.XLOOKUP(B3121,'Form responses 1'!$B$2:$B$2604,'Form responses 1'!$E$2:$E$2604,""))</f>
        <v/>
      </c>
      <c r="H3121" s="44" t="str">
        <f t="array" ref="H3121">IF(B3121="","",_xlfn.XLOOKUP(B3121,'Form responses 1'!$B$2:$B$2604,'Form responses 1'!$F$2:$F$2604,""))</f>
        <v/>
      </c>
      <c r="I3121" s="44" t="str">
        <f t="array" ref="I3121">IF(B3121="","",_xlfn.XLOOKUP(B3121,'Form responses 1'!$B$2:$B$2604,'Form responses 1'!$I$2:$I$2604,""))</f>
        <v/>
      </c>
      <c r="J3121" s="44" t="str">
        <f t="array" ref="J3121">IF(B3121="","",_xlfn.XLOOKUP(B3121,'Form responses 1'!$B$2:$B$2604,'Form responses 1'!$G$2:$G$2604,""))</f>
        <v/>
      </c>
      <c r="K3121" s="56"/>
      <c r="L3121" s="58" t="str">
        <f t="shared" si="7"/>
        <v/>
      </c>
      <c r="M3121" s="49"/>
      <c r="N3121" s="49"/>
      <c r="O3121" s="49"/>
      <c r="P3121" s="49"/>
      <c r="Q3121" s="49"/>
      <c r="R3121" s="49"/>
      <c r="S3121" s="49"/>
      <c r="T3121" s="49"/>
      <c r="U3121" s="49"/>
      <c r="V3121" s="49"/>
      <c r="W3121" s="56"/>
      <c r="X3121" s="51" t="str">
        <f t="shared" si="5"/>
        <v/>
      </c>
      <c r="Y3121" s="50" t="s">
        <v>482</v>
      </c>
      <c r="Z3121" s="49">
        <f t="shared" si="6"/>
        <v>0</v>
      </c>
    </row>
    <row r="3122" ht="22.5" customHeight="1">
      <c r="B3122" s="57"/>
      <c r="C3122" s="43" t="str">
        <f t="array" ref="C3122">IF(B3122="","",_xlfn.XLOOKUP(B3122,'Form responses 1'!$B$2:$B$2604,'Form responses 1'!$A$2:$A$2604,""))</f>
        <v/>
      </c>
      <c r="D3122" s="44" t="str">
        <f t="shared" si="3"/>
        <v/>
      </c>
      <c r="E3122" s="44" t="str">
        <f t="array" ref="E3122">IF(B3122="","",_xlfn.XLOOKUP(B3122,'Form responses 1'!$B$2:$B$2604,'Form responses 1'!$C$2:$C$2604,""))</f>
        <v/>
      </c>
      <c r="F3122" s="44" t="str">
        <f t="array" ref="F3122">IF(B3122="","",_xlfn.XLOOKUP(B3122,'Form responses 1'!$B$2:$B$2604,'Form responses 1'!$D$2:$D$2604,""))</f>
        <v/>
      </c>
      <c r="G3122" s="44" t="str">
        <f t="array" ref="G3122">IF(B3122="","",_xlfn.XLOOKUP(B3122,'Form responses 1'!$B$2:$B$2604,'Form responses 1'!$E$2:$E$2604,""))</f>
        <v/>
      </c>
      <c r="H3122" s="44" t="str">
        <f t="array" ref="H3122">IF(B3122="","",_xlfn.XLOOKUP(B3122,'Form responses 1'!$B$2:$B$2604,'Form responses 1'!$F$2:$F$2604,""))</f>
        <v/>
      </c>
      <c r="I3122" s="44" t="str">
        <f t="array" ref="I3122">IF(B3122="","",_xlfn.XLOOKUP(B3122,'Form responses 1'!$B$2:$B$2604,'Form responses 1'!$I$2:$I$2604,""))</f>
        <v/>
      </c>
      <c r="J3122" s="44" t="str">
        <f t="array" ref="J3122">IF(B3122="","",_xlfn.XLOOKUP(B3122,'Form responses 1'!$B$2:$B$2604,'Form responses 1'!$G$2:$G$2604,""))</f>
        <v/>
      </c>
      <c r="K3122" s="56"/>
      <c r="L3122" s="58" t="str">
        <f t="shared" si="7"/>
        <v/>
      </c>
      <c r="M3122" s="49"/>
      <c r="N3122" s="49"/>
      <c r="O3122" s="49"/>
      <c r="P3122" s="49"/>
      <c r="Q3122" s="49"/>
      <c r="R3122" s="49"/>
      <c r="S3122" s="49"/>
      <c r="T3122" s="49"/>
      <c r="U3122" s="49"/>
      <c r="V3122" s="49"/>
      <c r="W3122" s="56"/>
      <c r="X3122" s="51" t="str">
        <f t="shared" si="5"/>
        <v/>
      </c>
      <c r="Y3122" s="50" t="s">
        <v>482</v>
      </c>
      <c r="Z3122" s="49">
        <f t="shared" si="6"/>
        <v>0</v>
      </c>
    </row>
    <row r="3123" ht="22.5" customHeight="1">
      <c r="B3123" s="57"/>
      <c r="C3123" s="43" t="str">
        <f t="array" ref="C3123">IF(B3123="","",_xlfn.XLOOKUP(B3123,'Form responses 1'!$B$2:$B$2604,'Form responses 1'!$A$2:$A$2604,""))</f>
        <v/>
      </c>
      <c r="D3123" s="44" t="str">
        <f t="shared" si="3"/>
        <v/>
      </c>
      <c r="E3123" s="44" t="str">
        <f t="array" ref="E3123">IF(B3123="","",_xlfn.XLOOKUP(B3123,'Form responses 1'!$B$2:$B$2604,'Form responses 1'!$C$2:$C$2604,""))</f>
        <v/>
      </c>
      <c r="F3123" s="44" t="str">
        <f t="array" ref="F3123">IF(B3123="","",_xlfn.XLOOKUP(B3123,'Form responses 1'!$B$2:$B$2604,'Form responses 1'!$D$2:$D$2604,""))</f>
        <v/>
      </c>
      <c r="G3123" s="44" t="str">
        <f t="array" ref="G3123">IF(B3123="","",_xlfn.XLOOKUP(B3123,'Form responses 1'!$B$2:$B$2604,'Form responses 1'!$E$2:$E$2604,""))</f>
        <v/>
      </c>
      <c r="H3123" s="44" t="str">
        <f t="array" ref="H3123">IF(B3123="","",_xlfn.XLOOKUP(B3123,'Form responses 1'!$B$2:$B$2604,'Form responses 1'!$F$2:$F$2604,""))</f>
        <v/>
      </c>
      <c r="I3123" s="44" t="str">
        <f t="array" ref="I3123">IF(B3123="","",_xlfn.XLOOKUP(B3123,'Form responses 1'!$B$2:$B$2604,'Form responses 1'!$I$2:$I$2604,""))</f>
        <v/>
      </c>
      <c r="J3123" s="44" t="str">
        <f t="array" ref="J3123">IF(B3123="","",_xlfn.XLOOKUP(B3123,'Form responses 1'!$B$2:$B$2604,'Form responses 1'!$G$2:$G$2604,""))</f>
        <v/>
      </c>
      <c r="K3123" s="56"/>
      <c r="L3123" s="58" t="str">
        <f t="shared" si="7"/>
        <v/>
      </c>
      <c r="M3123" s="49"/>
      <c r="N3123" s="49"/>
      <c r="O3123" s="49"/>
      <c r="P3123" s="49"/>
      <c r="Q3123" s="49"/>
      <c r="R3123" s="49"/>
      <c r="S3123" s="49"/>
      <c r="T3123" s="49"/>
      <c r="U3123" s="49"/>
      <c r="V3123" s="49"/>
      <c r="W3123" s="56"/>
      <c r="X3123" s="51" t="str">
        <f t="shared" si="5"/>
        <v/>
      </c>
      <c r="Y3123" s="50" t="s">
        <v>482</v>
      </c>
      <c r="Z3123" s="49">
        <f t="shared" si="6"/>
        <v>0</v>
      </c>
    </row>
    <row r="3124" ht="22.5" customHeight="1">
      <c r="B3124" s="57"/>
      <c r="C3124" s="43" t="str">
        <f t="array" ref="C3124">IF(B3124="","",_xlfn.XLOOKUP(B3124,'Form responses 1'!$B$2:$B$2604,'Form responses 1'!$A$2:$A$2604,""))</f>
        <v/>
      </c>
      <c r="D3124" s="44" t="str">
        <f t="shared" si="3"/>
        <v/>
      </c>
      <c r="E3124" s="44" t="str">
        <f t="array" ref="E3124">IF(B3124="","",_xlfn.XLOOKUP(B3124,'Form responses 1'!$B$2:$B$2604,'Form responses 1'!$C$2:$C$2604,""))</f>
        <v/>
      </c>
      <c r="F3124" s="44" t="str">
        <f t="array" ref="F3124">IF(B3124="","",_xlfn.XLOOKUP(B3124,'Form responses 1'!$B$2:$B$2604,'Form responses 1'!$D$2:$D$2604,""))</f>
        <v/>
      </c>
      <c r="G3124" s="44" t="str">
        <f t="array" ref="G3124">IF(B3124="","",_xlfn.XLOOKUP(B3124,'Form responses 1'!$B$2:$B$2604,'Form responses 1'!$E$2:$E$2604,""))</f>
        <v/>
      </c>
      <c r="H3124" s="44" t="str">
        <f t="array" ref="H3124">IF(B3124="","",_xlfn.XLOOKUP(B3124,'Form responses 1'!$B$2:$B$2604,'Form responses 1'!$F$2:$F$2604,""))</f>
        <v/>
      </c>
      <c r="I3124" s="44" t="str">
        <f t="array" ref="I3124">IF(B3124="","",_xlfn.XLOOKUP(B3124,'Form responses 1'!$B$2:$B$2604,'Form responses 1'!$I$2:$I$2604,""))</f>
        <v/>
      </c>
      <c r="J3124" s="44" t="str">
        <f t="array" ref="J3124">IF(B3124="","",_xlfn.XLOOKUP(B3124,'Form responses 1'!$B$2:$B$2604,'Form responses 1'!$G$2:$G$2604,""))</f>
        <v/>
      </c>
      <c r="K3124" s="56"/>
      <c r="L3124" s="58" t="str">
        <f t="shared" si="7"/>
        <v/>
      </c>
      <c r="M3124" s="49"/>
      <c r="N3124" s="49"/>
      <c r="O3124" s="49"/>
      <c r="P3124" s="49"/>
      <c r="Q3124" s="49"/>
      <c r="R3124" s="49"/>
      <c r="S3124" s="49"/>
      <c r="T3124" s="49"/>
      <c r="U3124" s="49"/>
      <c r="V3124" s="49"/>
      <c r="W3124" s="56"/>
      <c r="X3124" s="51" t="str">
        <f t="shared" si="5"/>
        <v/>
      </c>
      <c r="Y3124" s="50" t="s">
        <v>482</v>
      </c>
      <c r="Z3124" s="49">
        <f t="shared" si="6"/>
        <v>0</v>
      </c>
    </row>
    <row r="3125" ht="22.5" customHeight="1">
      <c r="B3125" s="57"/>
      <c r="C3125" s="43" t="str">
        <f t="array" ref="C3125">IF(B3125="","",_xlfn.XLOOKUP(B3125,'Form responses 1'!$B$2:$B$2604,'Form responses 1'!$A$2:$A$2604,""))</f>
        <v/>
      </c>
      <c r="D3125" s="44" t="str">
        <f t="shared" si="3"/>
        <v/>
      </c>
      <c r="E3125" s="44" t="str">
        <f t="array" ref="E3125">IF(B3125="","",_xlfn.XLOOKUP(B3125,'Form responses 1'!$B$2:$B$2604,'Form responses 1'!$C$2:$C$2604,""))</f>
        <v/>
      </c>
      <c r="F3125" s="44" t="str">
        <f t="array" ref="F3125">IF(B3125="","",_xlfn.XLOOKUP(B3125,'Form responses 1'!$B$2:$B$2604,'Form responses 1'!$D$2:$D$2604,""))</f>
        <v/>
      </c>
      <c r="G3125" s="44" t="str">
        <f t="array" ref="G3125">IF(B3125="","",_xlfn.XLOOKUP(B3125,'Form responses 1'!$B$2:$B$2604,'Form responses 1'!$E$2:$E$2604,""))</f>
        <v/>
      </c>
      <c r="H3125" s="44" t="str">
        <f t="array" ref="H3125">IF(B3125="","",_xlfn.XLOOKUP(B3125,'Form responses 1'!$B$2:$B$2604,'Form responses 1'!$F$2:$F$2604,""))</f>
        <v/>
      </c>
      <c r="I3125" s="44" t="str">
        <f t="array" ref="I3125">IF(B3125="","",_xlfn.XLOOKUP(B3125,'Form responses 1'!$B$2:$B$2604,'Form responses 1'!$I$2:$I$2604,""))</f>
        <v/>
      </c>
      <c r="J3125" s="44" t="str">
        <f t="array" ref="J3125">IF(B3125="","",_xlfn.XLOOKUP(B3125,'Form responses 1'!$B$2:$B$2604,'Form responses 1'!$G$2:$G$2604,""))</f>
        <v/>
      </c>
      <c r="K3125" s="56"/>
      <c r="L3125" s="58" t="str">
        <f t="shared" si="7"/>
        <v/>
      </c>
      <c r="M3125" s="49"/>
      <c r="N3125" s="49"/>
      <c r="O3125" s="49"/>
      <c r="P3125" s="49"/>
      <c r="Q3125" s="49"/>
      <c r="R3125" s="49"/>
      <c r="S3125" s="49"/>
      <c r="T3125" s="49"/>
      <c r="U3125" s="49"/>
      <c r="V3125" s="49"/>
      <c r="W3125" s="56"/>
      <c r="X3125" s="51" t="str">
        <f t="shared" si="5"/>
        <v/>
      </c>
      <c r="Y3125" s="50" t="s">
        <v>482</v>
      </c>
      <c r="Z3125" s="49">
        <f t="shared" si="6"/>
        <v>0</v>
      </c>
    </row>
    <row r="3126" ht="22.5" customHeight="1">
      <c r="B3126" s="57"/>
      <c r="C3126" s="43" t="str">
        <f t="array" ref="C3126">IF(B3126="","",_xlfn.XLOOKUP(B3126,'Form responses 1'!$B$2:$B$2604,'Form responses 1'!$A$2:$A$2604,""))</f>
        <v/>
      </c>
      <c r="D3126" s="44" t="str">
        <f t="shared" si="3"/>
        <v/>
      </c>
      <c r="E3126" s="44" t="str">
        <f t="array" ref="E3126">IF(B3126="","",_xlfn.XLOOKUP(B3126,'Form responses 1'!$B$2:$B$2604,'Form responses 1'!$C$2:$C$2604,""))</f>
        <v/>
      </c>
      <c r="F3126" s="44" t="str">
        <f t="array" ref="F3126">IF(B3126="","",_xlfn.XLOOKUP(B3126,'Form responses 1'!$B$2:$B$2604,'Form responses 1'!$D$2:$D$2604,""))</f>
        <v/>
      </c>
      <c r="G3126" s="44" t="str">
        <f t="array" ref="G3126">IF(B3126="","",_xlfn.XLOOKUP(B3126,'Form responses 1'!$B$2:$B$2604,'Form responses 1'!$E$2:$E$2604,""))</f>
        <v/>
      </c>
      <c r="H3126" s="44" t="str">
        <f t="array" ref="H3126">IF(B3126="","",_xlfn.XLOOKUP(B3126,'Form responses 1'!$B$2:$B$2604,'Form responses 1'!$F$2:$F$2604,""))</f>
        <v/>
      </c>
      <c r="I3126" s="44" t="str">
        <f t="array" ref="I3126">IF(B3126="","",_xlfn.XLOOKUP(B3126,'Form responses 1'!$B$2:$B$2604,'Form responses 1'!$I$2:$I$2604,""))</f>
        <v/>
      </c>
      <c r="J3126" s="44" t="str">
        <f t="array" ref="J3126">IF(B3126="","",_xlfn.XLOOKUP(B3126,'Form responses 1'!$B$2:$B$2604,'Form responses 1'!$G$2:$G$2604,""))</f>
        <v/>
      </c>
      <c r="K3126" s="56"/>
      <c r="L3126" s="58" t="str">
        <f t="shared" si="7"/>
        <v/>
      </c>
      <c r="M3126" s="49"/>
      <c r="N3126" s="49"/>
      <c r="O3126" s="49"/>
      <c r="P3126" s="49"/>
      <c r="Q3126" s="49"/>
      <c r="R3126" s="49"/>
      <c r="S3126" s="49"/>
      <c r="T3126" s="49"/>
      <c r="U3126" s="49"/>
      <c r="V3126" s="49"/>
      <c r="W3126" s="56"/>
      <c r="X3126" s="51" t="str">
        <f t="shared" si="5"/>
        <v/>
      </c>
      <c r="Y3126" s="50" t="s">
        <v>482</v>
      </c>
      <c r="Z3126" s="49">
        <f t="shared" si="6"/>
        <v>0</v>
      </c>
    </row>
    <row r="3127" ht="22.5" customHeight="1">
      <c r="B3127" s="57"/>
      <c r="C3127" s="43" t="str">
        <f t="array" ref="C3127">IF(B3127="","",_xlfn.XLOOKUP(B3127,'Form responses 1'!$B$2:$B$2604,'Form responses 1'!$A$2:$A$2604,""))</f>
        <v/>
      </c>
      <c r="D3127" s="44" t="str">
        <f t="shared" si="3"/>
        <v/>
      </c>
      <c r="E3127" s="44" t="str">
        <f t="array" ref="E3127">IF(B3127="","",_xlfn.XLOOKUP(B3127,'Form responses 1'!$B$2:$B$2604,'Form responses 1'!$C$2:$C$2604,""))</f>
        <v/>
      </c>
      <c r="F3127" s="44" t="str">
        <f t="array" ref="F3127">IF(B3127="","",_xlfn.XLOOKUP(B3127,'Form responses 1'!$B$2:$B$2604,'Form responses 1'!$D$2:$D$2604,""))</f>
        <v/>
      </c>
      <c r="G3127" s="44" t="str">
        <f t="array" ref="G3127">IF(B3127="","",_xlfn.XLOOKUP(B3127,'Form responses 1'!$B$2:$B$2604,'Form responses 1'!$E$2:$E$2604,""))</f>
        <v/>
      </c>
      <c r="H3127" s="44" t="str">
        <f t="array" ref="H3127">IF(B3127="","",_xlfn.XLOOKUP(B3127,'Form responses 1'!$B$2:$B$2604,'Form responses 1'!$F$2:$F$2604,""))</f>
        <v/>
      </c>
      <c r="I3127" s="44" t="str">
        <f t="array" ref="I3127">IF(B3127="","",_xlfn.XLOOKUP(B3127,'Form responses 1'!$B$2:$B$2604,'Form responses 1'!$I$2:$I$2604,""))</f>
        <v/>
      </c>
      <c r="J3127" s="44" t="str">
        <f t="array" ref="J3127">IF(B3127="","",_xlfn.XLOOKUP(B3127,'Form responses 1'!$B$2:$B$2604,'Form responses 1'!$G$2:$G$2604,""))</f>
        <v/>
      </c>
      <c r="K3127" s="56"/>
      <c r="L3127" s="58" t="str">
        <f t="shared" si="7"/>
        <v/>
      </c>
      <c r="M3127" s="49"/>
      <c r="N3127" s="49"/>
      <c r="O3127" s="49"/>
      <c r="P3127" s="49"/>
      <c r="Q3127" s="49"/>
      <c r="R3127" s="49"/>
      <c r="S3127" s="49"/>
      <c r="T3127" s="49"/>
      <c r="U3127" s="49"/>
      <c r="V3127" s="49"/>
      <c r="W3127" s="56"/>
      <c r="X3127" s="51" t="str">
        <f t="shared" si="5"/>
        <v/>
      </c>
      <c r="Y3127" s="50" t="s">
        <v>482</v>
      </c>
      <c r="Z3127" s="49">
        <f t="shared" si="6"/>
        <v>0</v>
      </c>
    </row>
    <row r="3128" ht="22.5" customHeight="1">
      <c r="B3128" s="57"/>
      <c r="C3128" s="43" t="str">
        <f t="array" ref="C3128">IF(B3128="","",_xlfn.XLOOKUP(B3128,'Form responses 1'!$B$2:$B$2604,'Form responses 1'!$A$2:$A$2604,""))</f>
        <v/>
      </c>
      <c r="D3128" s="44" t="str">
        <f t="shared" si="3"/>
        <v/>
      </c>
      <c r="E3128" s="44" t="str">
        <f t="array" ref="E3128">IF(B3128="","",_xlfn.XLOOKUP(B3128,'Form responses 1'!$B$2:$B$2604,'Form responses 1'!$C$2:$C$2604,""))</f>
        <v/>
      </c>
      <c r="F3128" s="44" t="str">
        <f t="array" ref="F3128">IF(B3128="","",_xlfn.XLOOKUP(B3128,'Form responses 1'!$B$2:$B$2604,'Form responses 1'!$D$2:$D$2604,""))</f>
        <v/>
      </c>
      <c r="G3128" s="44" t="str">
        <f t="array" ref="G3128">IF(B3128="","",_xlfn.XLOOKUP(B3128,'Form responses 1'!$B$2:$B$2604,'Form responses 1'!$E$2:$E$2604,""))</f>
        <v/>
      </c>
      <c r="H3128" s="44" t="str">
        <f t="array" ref="H3128">IF(B3128="","",_xlfn.XLOOKUP(B3128,'Form responses 1'!$B$2:$B$2604,'Form responses 1'!$F$2:$F$2604,""))</f>
        <v/>
      </c>
      <c r="I3128" s="44" t="str">
        <f t="array" ref="I3128">IF(B3128="","",_xlfn.XLOOKUP(B3128,'Form responses 1'!$B$2:$B$2604,'Form responses 1'!$I$2:$I$2604,""))</f>
        <v/>
      </c>
      <c r="J3128" s="44" t="str">
        <f t="array" ref="J3128">IF(B3128="","",_xlfn.XLOOKUP(B3128,'Form responses 1'!$B$2:$B$2604,'Form responses 1'!$G$2:$G$2604,""))</f>
        <v/>
      </c>
      <c r="K3128" s="56"/>
      <c r="L3128" s="58" t="str">
        <f t="shared" si="7"/>
        <v/>
      </c>
      <c r="M3128" s="49"/>
      <c r="N3128" s="49"/>
      <c r="O3128" s="49"/>
      <c r="P3128" s="49"/>
      <c r="Q3128" s="49"/>
      <c r="R3128" s="49"/>
      <c r="S3128" s="49"/>
      <c r="T3128" s="49"/>
      <c r="U3128" s="49"/>
      <c r="V3128" s="49"/>
      <c r="W3128" s="56"/>
      <c r="X3128" s="51" t="str">
        <f t="shared" si="5"/>
        <v/>
      </c>
      <c r="Y3128" s="50" t="s">
        <v>482</v>
      </c>
      <c r="Z3128" s="49">
        <f t="shared" si="6"/>
        <v>0</v>
      </c>
    </row>
    <row r="3129" ht="22.5" customHeight="1">
      <c r="B3129" s="57"/>
      <c r="C3129" s="43" t="str">
        <f t="array" ref="C3129">IF(B3129="","",_xlfn.XLOOKUP(B3129,'Form responses 1'!$B$2:$B$2604,'Form responses 1'!$A$2:$A$2604,""))</f>
        <v/>
      </c>
      <c r="D3129" s="44" t="str">
        <f t="shared" si="3"/>
        <v/>
      </c>
      <c r="E3129" s="44" t="str">
        <f t="array" ref="E3129">IF(B3129="","",_xlfn.XLOOKUP(B3129,'Form responses 1'!$B$2:$B$2604,'Form responses 1'!$C$2:$C$2604,""))</f>
        <v/>
      </c>
      <c r="F3129" s="44" t="str">
        <f t="array" ref="F3129">IF(B3129="","",_xlfn.XLOOKUP(B3129,'Form responses 1'!$B$2:$B$2604,'Form responses 1'!$D$2:$D$2604,""))</f>
        <v/>
      </c>
      <c r="G3129" s="44" t="str">
        <f t="array" ref="G3129">IF(B3129="","",_xlfn.XLOOKUP(B3129,'Form responses 1'!$B$2:$B$2604,'Form responses 1'!$E$2:$E$2604,""))</f>
        <v/>
      </c>
      <c r="H3129" s="44" t="str">
        <f t="array" ref="H3129">IF(B3129="","",_xlfn.XLOOKUP(B3129,'Form responses 1'!$B$2:$B$2604,'Form responses 1'!$F$2:$F$2604,""))</f>
        <v/>
      </c>
      <c r="I3129" s="44" t="str">
        <f t="array" ref="I3129">IF(B3129="","",_xlfn.XLOOKUP(B3129,'Form responses 1'!$B$2:$B$2604,'Form responses 1'!$I$2:$I$2604,""))</f>
        <v/>
      </c>
      <c r="J3129" s="44" t="str">
        <f t="array" ref="J3129">IF(B3129="","",_xlfn.XLOOKUP(B3129,'Form responses 1'!$B$2:$B$2604,'Form responses 1'!$G$2:$G$2604,""))</f>
        <v/>
      </c>
      <c r="K3129" s="56"/>
      <c r="L3129" s="58" t="str">
        <f t="shared" si="7"/>
        <v/>
      </c>
      <c r="M3129" s="49"/>
      <c r="N3129" s="49"/>
      <c r="O3129" s="49"/>
      <c r="P3129" s="49"/>
      <c r="Q3129" s="49"/>
      <c r="R3129" s="49"/>
      <c r="S3129" s="49"/>
      <c r="T3129" s="49"/>
      <c r="U3129" s="49"/>
      <c r="V3129" s="49"/>
      <c r="W3129" s="56"/>
      <c r="X3129" s="51" t="str">
        <f t="shared" si="5"/>
        <v/>
      </c>
      <c r="Y3129" s="50" t="s">
        <v>482</v>
      </c>
      <c r="Z3129" s="49">
        <f t="shared" si="6"/>
        <v>0</v>
      </c>
    </row>
    <row r="3130" ht="22.5" customHeight="1">
      <c r="B3130" s="57"/>
      <c r="C3130" s="43" t="str">
        <f t="array" ref="C3130">IF(B3130="","",_xlfn.XLOOKUP(B3130,'Form responses 1'!$B$2:$B$2604,'Form responses 1'!$A$2:$A$2604,""))</f>
        <v/>
      </c>
      <c r="D3130" s="44" t="str">
        <f t="shared" si="3"/>
        <v/>
      </c>
      <c r="E3130" s="44" t="str">
        <f t="array" ref="E3130">IF(B3130="","",_xlfn.XLOOKUP(B3130,'Form responses 1'!$B$2:$B$2604,'Form responses 1'!$C$2:$C$2604,""))</f>
        <v/>
      </c>
      <c r="F3130" s="44" t="str">
        <f t="array" ref="F3130">IF(B3130="","",_xlfn.XLOOKUP(B3130,'Form responses 1'!$B$2:$B$2604,'Form responses 1'!$D$2:$D$2604,""))</f>
        <v/>
      </c>
      <c r="G3130" s="44" t="str">
        <f t="array" ref="G3130">IF(B3130="","",_xlfn.XLOOKUP(B3130,'Form responses 1'!$B$2:$B$2604,'Form responses 1'!$E$2:$E$2604,""))</f>
        <v/>
      </c>
      <c r="H3130" s="44" t="str">
        <f t="array" ref="H3130">IF(B3130="","",_xlfn.XLOOKUP(B3130,'Form responses 1'!$B$2:$B$2604,'Form responses 1'!$F$2:$F$2604,""))</f>
        <v/>
      </c>
      <c r="I3130" s="44" t="str">
        <f t="array" ref="I3130">IF(B3130="","",_xlfn.XLOOKUP(B3130,'Form responses 1'!$B$2:$B$2604,'Form responses 1'!$I$2:$I$2604,""))</f>
        <v/>
      </c>
      <c r="J3130" s="44" t="str">
        <f t="array" ref="J3130">IF(B3130="","",_xlfn.XLOOKUP(B3130,'Form responses 1'!$B$2:$B$2604,'Form responses 1'!$G$2:$G$2604,""))</f>
        <v/>
      </c>
      <c r="K3130" s="56"/>
      <c r="L3130" s="58" t="str">
        <f t="shared" si="7"/>
        <v/>
      </c>
      <c r="M3130" s="49"/>
      <c r="N3130" s="49"/>
      <c r="O3130" s="49"/>
      <c r="P3130" s="49"/>
      <c r="Q3130" s="49"/>
      <c r="R3130" s="49"/>
      <c r="S3130" s="49"/>
      <c r="T3130" s="49"/>
      <c r="U3130" s="49"/>
      <c r="V3130" s="49"/>
      <c r="W3130" s="56"/>
      <c r="X3130" s="51" t="str">
        <f t="shared" si="5"/>
        <v/>
      </c>
      <c r="Y3130" s="50" t="s">
        <v>482</v>
      </c>
      <c r="Z3130" s="49">
        <f t="shared" si="6"/>
        <v>0</v>
      </c>
    </row>
    <row r="3131" ht="22.5" customHeight="1">
      <c r="B3131" s="57"/>
      <c r="C3131" s="43" t="str">
        <f t="array" ref="C3131">IF(B3131="","",_xlfn.XLOOKUP(B3131,'Form responses 1'!$B$2:$B$2604,'Form responses 1'!$A$2:$A$2604,""))</f>
        <v/>
      </c>
      <c r="D3131" s="44" t="str">
        <f t="shared" si="3"/>
        <v/>
      </c>
      <c r="E3131" s="44" t="str">
        <f t="array" ref="E3131">IF(B3131="","",_xlfn.XLOOKUP(B3131,'Form responses 1'!$B$2:$B$2604,'Form responses 1'!$C$2:$C$2604,""))</f>
        <v/>
      </c>
      <c r="F3131" s="44" t="str">
        <f t="array" ref="F3131">IF(B3131="","",_xlfn.XLOOKUP(B3131,'Form responses 1'!$B$2:$B$2604,'Form responses 1'!$D$2:$D$2604,""))</f>
        <v/>
      </c>
      <c r="G3131" s="44" t="str">
        <f t="array" ref="G3131">IF(B3131="","",_xlfn.XLOOKUP(B3131,'Form responses 1'!$B$2:$B$2604,'Form responses 1'!$E$2:$E$2604,""))</f>
        <v/>
      </c>
      <c r="H3131" s="44" t="str">
        <f t="array" ref="H3131">IF(B3131="","",_xlfn.XLOOKUP(B3131,'Form responses 1'!$B$2:$B$2604,'Form responses 1'!$F$2:$F$2604,""))</f>
        <v/>
      </c>
      <c r="I3131" s="44" t="str">
        <f t="array" ref="I3131">IF(B3131="","",_xlfn.XLOOKUP(B3131,'Form responses 1'!$B$2:$B$2604,'Form responses 1'!$I$2:$I$2604,""))</f>
        <v/>
      </c>
      <c r="J3131" s="44" t="str">
        <f t="array" ref="J3131">IF(B3131="","",_xlfn.XLOOKUP(B3131,'Form responses 1'!$B$2:$B$2604,'Form responses 1'!$G$2:$G$2604,""))</f>
        <v/>
      </c>
      <c r="K3131" s="56"/>
      <c r="L3131" s="58" t="str">
        <f t="shared" si="7"/>
        <v/>
      </c>
      <c r="M3131" s="49"/>
      <c r="N3131" s="49"/>
      <c r="O3131" s="49"/>
      <c r="P3131" s="49"/>
      <c r="Q3131" s="49"/>
      <c r="R3131" s="49"/>
      <c r="S3131" s="49"/>
      <c r="T3131" s="49"/>
      <c r="U3131" s="49"/>
      <c r="V3131" s="49"/>
      <c r="W3131" s="56"/>
      <c r="X3131" s="51" t="str">
        <f t="shared" si="5"/>
        <v/>
      </c>
      <c r="Y3131" s="50" t="s">
        <v>482</v>
      </c>
      <c r="Z3131" s="49">
        <f t="shared" si="6"/>
        <v>0</v>
      </c>
    </row>
    <row r="3132" ht="22.5" customHeight="1">
      <c r="B3132" s="57"/>
      <c r="C3132" s="43" t="str">
        <f t="array" ref="C3132">IF(B3132="","",_xlfn.XLOOKUP(B3132,'Form responses 1'!$B$2:$B$2604,'Form responses 1'!$A$2:$A$2604,""))</f>
        <v/>
      </c>
      <c r="D3132" s="44" t="str">
        <f t="shared" si="3"/>
        <v/>
      </c>
      <c r="E3132" s="44" t="str">
        <f t="array" ref="E3132">IF(B3132="","",_xlfn.XLOOKUP(B3132,'Form responses 1'!$B$2:$B$2604,'Form responses 1'!$C$2:$C$2604,""))</f>
        <v/>
      </c>
      <c r="F3132" s="44" t="str">
        <f t="array" ref="F3132">IF(B3132="","",_xlfn.XLOOKUP(B3132,'Form responses 1'!$B$2:$B$2604,'Form responses 1'!$D$2:$D$2604,""))</f>
        <v/>
      </c>
      <c r="G3132" s="44" t="str">
        <f t="array" ref="G3132">IF(B3132="","",_xlfn.XLOOKUP(B3132,'Form responses 1'!$B$2:$B$2604,'Form responses 1'!$E$2:$E$2604,""))</f>
        <v/>
      </c>
      <c r="H3132" s="44" t="str">
        <f t="array" ref="H3132">IF(B3132="","",_xlfn.XLOOKUP(B3132,'Form responses 1'!$B$2:$B$2604,'Form responses 1'!$F$2:$F$2604,""))</f>
        <v/>
      </c>
      <c r="I3132" s="44" t="str">
        <f t="array" ref="I3132">IF(B3132="","",_xlfn.XLOOKUP(B3132,'Form responses 1'!$B$2:$B$2604,'Form responses 1'!$I$2:$I$2604,""))</f>
        <v/>
      </c>
      <c r="J3132" s="44" t="str">
        <f t="array" ref="J3132">IF(B3132="","",_xlfn.XLOOKUP(B3132,'Form responses 1'!$B$2:$B$2604,'Form responses 1'!$G$2:$G$2604,""))</f>
        <v/>
      </c>
      <c r="K3132" s="56"/>
      <c r="L3132" s="58" t="str">
        <f t="shared" si="7"/>
        <v/>
      </c>
      <c r="M3132" s="49"/>
      <c r="N3132" s="49"/>
      <c r="O3132" s="49"/>
      <c r="P3132" s="49"/>
      <c r="Q3132" s="49"/>
      <c r="R3132" s="49"/>
      <c r="S3132" s="49"/>
      <c r="T3132" s="49"/>
      <c r="U3132" s="49"/>
      <c r="V3132" s="49"/>
      <c r="W3132" s="56"/>
      <c r="X3132" s="51" t="str">
        <f t="shared" si="5"/>
        <v/>
      </c>
      <c r="Y3132" s="50" t="s">
        <v>482</v>
      </c>
      <c r="Z3132" s="49">
        <f t="shared" si="6"/>
        <v>0</v>
      </c>
    </row>
    <row r="3133" ht="22.5" customHeight="1">
      <c r="B3133" s="57"/>
      <c r="C3133" s="43" t="str">
        <f t="array" ref="C3133">IF(B3133="","",_xlfn.XLOOKUP(B3133,'Form responses 1'!$B$2:$B$2604,'Form responses 1'!$A$2:$A$2604,""))</f>
        <v/>
      </c>
      <c r="D3133" s="44" t="str">
        <f t="shared" si="3"/>
        <v/>
      </c>
      <c r="E3133" s="44" t="str">
        <f t="array" ref="E3133">IF(B3133="","",_xlfn.XLOOKUP(B3133,'Form responses 1'!$B$2:$B$2604,'Form responses 1'!$C$2:$C$2604,""))</f>
        <v/>
      </c>
      <c r="F3133" s="44" t="str">
        <f t="array" ref="F3133">IF(B3133="","",_xlfn.XLOOKUP(B3133,'Form responses 1'!$B$2:$B$2604,'Form responses 1'!$D$2:$D$2604,""))</f>
        <v/>
      </c>
      <c r="G3133" s="44" t="str">
        <f t="array" ref="G3133">IF(B3133="","",_xlfn.XLOOKUP(B3133,'Form responses 1'!$B$2:$B$2604,'Form responses 1'!$E$2:$E$2604,""))</f>
        <v/>
      </c>
      <c r="H3133" s="44" t="str">
        <f t="array" ref="H3133">IF(B3133="","",_xlfn.XLOOKUP(B3133,'Form responses 1'!$B$2:$B$2604,'Form responses 1'!$F$2:$F$2604,""))</f>
        <v/>
      </c>
      <c r="I3133" s="44" t="str">
        <f t="array" ref="I3133">IF(B3133="","",_xlfn.XLOOKUP(B3133,'Form responses 1'!$B$2:$B$2604,'Form responses 1'!$I$2:$I$2604,""))</f>
        <v/>
      </c>
      <c r="J3133" s="44" t="str">
        <f t="array" ref="J3133">IF(B3133="","",_xlfn.XLOOKUP(B3133,'Form responses 1'!$B$2:$B$2604,'Form responses 1'!$G$2:$G$2604,""))</f>
        <v/>
      </c>
      <c r="K3133" s="56"/>
      <c r="L3133" s="58" t="str">
        <f t="shared" si="7"/>
        <v/>
      </c>
      <c r="M3133" s="49"/>
      <c r="N3133" s="49"/>
      <c r="O3133" s="49"/>
      <c r="P3133" s="49"/>
      <c r="Q3133" s="49"/>
      <c r="R3133" s="49"/>
      <c r="S3133" s="49"/>
      <c r="T3133" s="49"/>
      <c r="U3133" s="49"/>
      <c r="V3133" s="49"/>
      <c r="W3133" s="56"/>
      <c r="X3133" s="51" t="str">
        <f t="shared" si="5"/>
        <v/>
      </c>
      <c r="Y3133" s="50" t="s">
        <v>482</v>
      </c>
      <c r="Z3133" s="49">
        <f t="shared" si="6"/>
        <v>0</v>
      </c>
    </row>
    <row r="3134" ht="22.5" customHeight="1">
      <c r="B3134" s="57"/>
      <c r="C3134" s="43" t="str">
        <f t="array" ref="C3134">IF(B3134="","",_xlfn.XLOOKUP(B3134,'Form responses 1'!$B$2:$B$2604,'Form responses 1'!$A$2:$A$2604,""))</f>
        <v/>
      </c>
      <c r="D3134" s="44" t="str">
        <f t="shared" si="3"/>
        <v/>
      </c>
      <c r="E3134" s="44" t="str">
        <f t="array" ref="E3134">IF(B3134="","",_xlfn.XLOOKUP(B3134,'Form responses 1'!$B$2:$B$2604,'Form responses 1'!$C$2:$C$2604,""))</f>
        <v/>
      </c>
      <c r="F3134" s="44" t="str">
        <f t="array" ref="F3134">IF(B3134="","",_xlfn.XLOOKUP(B3134,'Form responses 1'!$B$2:$B$2604,'Form responses 1'!$D$2:$D$2604,""))</f>
        <v/>
      </c>
      <c r="G3134" s="44" t="str">
        <f t="array" ref="G3134">IF(B3134="","",_xlfn.XLOOKUP(B3134,'Form responses 1'!$B$2:$B$2604,'Form responses 1'!$E$2:$E$2604,""))</f>
        <v/>
      </c>
      <c r="H3134" s="44" t="str">
        <f t="array" ref="H3134">IF(B3134="","",_xlfn.XLOOKUP(B3134,'Form responses 1'!$B$2:$B$2604,'Form responses 1'!$F$2:$F$2604,""))</f>
        <v/>
      </c>
      <c r="I3134" s="44" t="str">
        <f t="array" ref="I3134">IF(B3134="","",_xlfn.XLOOKUP(B3134,'Form responses 1'!$B$2:$B$2604,'Form responses 1'!$I$2:$I$2604,""))</f>
        <v/>
      </c>
      <c r="J3134" s="44" t="str">
        <f t="array" ref="J3134">IF(B3134="","",_xlfn.XLOOKUP(B3134,'Form responses 1'!$B$2:$B$2604,'Form responses 1'!$G$2:$G$2604,""))</f>
        <v/>
      </c>
      <c r="K3134" s="56"/>
      <c r="L3134" s="58" t="str">
        <f t="shared" si="7"/>
        <v/>
      </c>
      <c r="M3134" s="49"/>
      <c r="N3134" s="49"/>
      <c r="O3134" s="49"/>
      <c r="P3134" s="49"/>
      <c r="Q3134" s="49"/>
      <c r="R3134" s="49"/>
      <c r="S3134" s="49"/>
      <c r="T3134" s="49"/>
      <c r="U3134" s="49"/>
      <c r="V3134" s="49"/>
      <c r="W3134" s="56"/>
      <c r="X3134" s="51" t="str">
        <f t="shared" si="5"/>
        <v/>
      </c>
      <c r="Y3134" s="50" t="s">
        <v>482</v>
      </c>
      <c r="Z3134" s="49">
        <f t="shared" si="6"/>
        <v>0</v>
      </c>
    </row>
    <row r="3135" ht="22.5" customHeight="1">
      <c r="B3135" s="57"/>
      <c r="C3135" s="43" t="str">
        <f t="array" ref="C3135">IF(B3135="","",_xlfn.XLOOKUP(B3135,'Form responses 1'!$B$2:$B$2604,'Form responses 1'!$A$2:$A$2604,""))</f>
        <v/>
      </c>
      <c r="D3135" s="44" t="str">
        <f t="shared" si="3"/>
        <v/>
      </c>
      <c r="E3135" s="44" t="str">
        <f t="array" ref="E3135">IF(B3135="","",_xlfn.XLOOKUP(B3135,'Form responses 1'!$B$2:$B$2604,'Form responses 1'!$C$2:$C$2604,""))</f>
        <v/>
      </c>
      <c r="F3135" s="44" t="str">
        <f t="array" ref="F3135">IF(B3135="","",_xlfn.XLOOKUP(B3135,'Form responses 1'!$B$2:$B$2604,'Form responses 1'!$D$2:$D$2604,""))</f>
        <v/>
      </c>
      <c r="G3135" s="44" t="str">
        <f t="array" ref="G3135">IF(B3135="","",_xlfn.XLOOKUP(B3135,'Form responses 1'!$B$2:$B$2604,'Form responses 1'!$E$2:$E$2604,""))</f>
        <v/>
      </c>
      <c r="H3135" s="44" t="str">
        <f t="array" ref="H3135">IF(B3135="","",_xlfn.XLOOKUP(B3135,'Form responses 1'!$B$2:$B$2604,'Form responses 1'!$F$2:$F$2604,""))</f>
        <v/>
      </c>
      <c r="I3135" s="44" t="str">
        <f t="array" ref="I3135">IF(B3135="","",_xlfn.XLOOKUP(B3135,'Form responses 1'!$B$2:$B$2604,'Form responses 1'!$I$2:$I$2604,""))</f>
        <v/>
      </c>
      <c r="J3135" s="44" t="str">
        <f t="array" ref="J3135">IF(B3135="","",_xlfn.XLOOKUP(B3135,'Form responses 1'!$B$2:$B$2604,'Form responses 1'!$G$2:$G$2604,""))</f>
        <v/>
      </c>
      <c r="K3135" s="56"/>
      <c r="L3135" s="58" t="str">
        <f t="shared" si="7"/>
        <v/>
      </c>
      <c r="M3135" s="49"/>
      <c r="N3135" s="49"/>
      <c r="O3135" s="49"/>
      <c r="P3135" s="49"/>
      <c r="Q3135" s="49"/>
      <c r="R3135" s="49"/>
      <c r="S3135" s="49"/>
      <c r="T3135" s="49"/>
      <c r="U3135" s="49"/>
      <c r="V3135" s="49"/>
      <c r="W3135" s="56"/>
      <c r="X3135" s="51" t="str">
        <f t="shared" si="5"/>
        <v/>
      </c>
      <c r="Y3135" s="50" t="s">
        <v>482</v>
      </c>
      <c r="Z3135" s="49">
        <f t="shared" si="6"/>
        <v>0</v>
      </c>
    </row>
    <row r="3136" ht="22.5" customHeight="1">
      <c r="B3136" s="57"/>
      <c r="C3136" s="43" t="str">
        <f t="array" ref="C3136">IF(B3136="","",_xlfn.XLOOKUP(B3136,'Form responses 1'!$B$2:$B$2604,'Form responses 1'!$A$2:$A$2604,""))</f>
        <v/>
      </c>
      <c r="D3136" s="44" t="str">
        <f t="shared" si="3"/>
        <v/>
      </c>
      <c r="E3136" s="44" t="str">
        <f t="array" ref="E3136">IF(B3136="","",_xlfn.XLOOKUP(B3136,'Form responses 1'!$B$2:$B$2604,'Form responses 1'!$C$2:$C$2604,""))</f>
        <v/>
      </c>
      <c r="F3136" s="44" t="str">
        <f t="array" ref="F3136">IF(B3136="","",_xlfn.XLOOKUP(B3136,'Form responses 1'!$B$2:$B$2604,'Form responses 1'!$D$2:$D$2604,""))</f>
        <v/>
      </c>
      <c r="G3136" s="44" t="str">
        <f t="array" ref="G3136">IF(B3136="","",_xlfn.XLOOKUP(B3136,'Form responses 1'!$B$2:$B$2604,'Form responses 1'!$E$2:$E$2604,""))</f>
        <v/>
      </c>
      <c r="H3136" s="44" t="str">
        <f t="array" ref="H3136">IF(B3136="","",_xlfn.XLOOKUP(B3136,'Form responses 1'!$B$2:$B$2604,'Form responses 1'!$F$2:$F$2604,""))</f>
        <v/>
      </c>
      <c r="I3136" s="44" t="str">
        <f t="array" ref="I3136">IF(B3136="","",_xlfn.XLOOKUP(B3136,'Form responses 1'!$B$2:$B$2604,'Form responses 1'!$I$2:$I$2604,""))</f>
        <v/>
      </c>
      <c r="J3136" s="44" t="str">
        <f t="array" ref="J3136">IF(B3136="","",_xlfn.XLOOKUP(B3136,'Form responses 1'!$B$2:$B$2604,'Form responses 1'!$G$2:$G$2604,""))</f>
        <v/>
      </c>
      <c r="K3136" s="56"/>
      <c r="L3136" s="58" t="str">
        <f t="shared" si="7"/>
        <v/>
      </c>
      <c r="M3136" s="49"/>
      <c r="N3136" s="49"/>
      <c r="O3136" s="49"/>
      <c r="P3136" s="49"/>
      <c r="Q3136" s="49"/>
      <c r="R3136" s="49"/>
      <c r="S3136" s="49"/>
      <c r="T3136" s="49"/>
      <c r="U3136" s="49"/>
      <c r="V3136" s="49"/>
      <c r="W3136" s="56"/>
      <c r="X3136" s="51" t="str">
        <f t="shared" si="5"/>
        <v/>
      </c>
      <c r="Y3136" s="50" t="s">
        <v>482</v>
      </c>
      <c r="Z3136" s="49">
        <f t="shared" si="6"/>
        <v>0</v>
      </c>
    </row>
    <row r="3137" ht="22.5" customHeight="1">
      <c r="B3137" s="57"/>
      <c r="C3137" s="43" t="str">
        <f t="array" ref="C3137">IF(B3137="","",_xlfn.XLOOKUP(B3137,'Form responses 1'!$B$2:$B$2604,'Form responses 1'!$A$2:$A$2604,""))</f>
        <v/>
      </c>
      <c r="D3137" s="44" t="str">
        <f t="shared" si="3"/>
        <v/>
      </c>
      <c r="E3137" s="44" t="str">
        <f t="array" ref="E3137">IF(B3137="","",_xlfn.XLOOKUP(B3137,'Form responses 1'!$B$2:$B$2604,'Form responses 1'!$C$2:$C$2604,""))</f>
        <v/>
      </c>
      <c r="F3137" s="44" t="str">
        <f t="array" ref="F3137">IF(B3137="","",_xlfn.XLOOKUP(B3137,'Form responses 1'!$B$2:$B$2604,'Form responses 1'!$D$2:$D$2604,""))</f>
        <v/>
      </c>
      <c r="G3137" s="44" t="str">
        <f t="array" ref="G3137">IF(B3137="","",_xlfn.XLOOKUP(B3137,'Form responses 1'!$B$2:$B$2604,'Form responses 1'!$E$2:$E$2604,""))</f>
        <v/>
      </c>
      <c r="H3137" s="44" t="str">
        <f t="array" ref="H3137">IF(B3137="","",_xlfn.XLOOKUP(B3137,'Form responses 1'!$B$2:$B$2604,'Form responses 1'!$F$2:$F$2604,""))</f>
        <v/>
      </c>
      <c r="I3137" s="44" t="str">
        <f t="array" ref="I3137">IF(B3137="","",_xlfn.XLOOKUP(B3137,'Form responses 1'!$B$2:$B$2604,'Form responses 1'!$I$2:$I$2604,""))</f>
        <v/>
      </c>
      <c r="J3137" s="44" t="str">
        <f t="array" ref="J3137">IF(B3137="","",_xlfn.XLOOKUP(B3137,'Form responses 1'!$B$2:$B$2604,'Form responses 1'!$G$2:$G$2604,""))</f>
        <v/>
      </c>
      <c r="K3137" s="56"/>
      <c r="L3137" s="58" t="str">
        <f t="shared" si="7"/>
        <v/>
      </c>
      <c r="M3137" s="49"/>
      <c r="N3137" s="49"/>
      <c r="O3137" s="49"/>
      <c r="P3137" s="49"/>
      <c r="Q3137" s="49"/>
      <c r="R3137" s="49"/>
      <c r="S3137" s="49"/>
      <c r="T3137" s="49"/>
      <c r="U3137" s="49"/>
      <c r="V3137" s="49"/>
      <c r="W3137" s="56"/>
      <c r="X3137" s="51" t="str">
        <f t="shared" si="5"/>
        <v/>
      </c>
      <c r="Y3137" s="50" t="s">
        <v>482</v>
      </c>
      <c r="Z3137" s="49">
        <f t="shared" si="6"/>
        <v>0</v>
      </c>
    </row>
    <row r="3138" ht="22.5" customHeight="1">
      <c r="B3138" s="57"/>
      <c r="C3138" s="43" t="str">
        <f t="array" ref="C3138">IF(B3138="","",_xlfn.XLOOKUP(B3138,'Form responses 1'!$B$2:$B$2604,'Form responses 1'!$A$2:$A$2604,""))</f>
        <v/>
      </c>
      <c r="D3138" s="44" t="str">
        <f t="shared" si="3"/>
        <v/>
      </c>
      <c r="E3138" s="44" t="str">
        <f t="array" ref="E3138">IF(B3138="","",_xlfn.XLOOKUP(B3138,'Form responses 1'!$B$2:$B$2604,'Form responses 1'!$C$2:$C$2604,""))</f>
        <v/>
      </c>
      <c r="F3138" s="44" t="str">
        <f t="array" ref="F3138">IF(B3138="","",_xlfn.XLOOKUP(B3138,'Form responses 1'!$B$2:$B$2604,'Form responses 1'!$D$2:$D$2604,""))</f>
        <v/>
      </c>
      <c r="G3138" s="44" t="str">
        <f t="array" ref="G3138">IF(B3138="","",_xlfn.XLOOKUP(B3138,'Form responses 1'!$B$2:$B$2604,'Form responses 1'!$E$2:$E$2604,""))</f>
        <v/>
      </c>
      <c r="H3138" s="44" t="str">
        <f t="array" ref="H3138">IF(B3138="","",_xlfn.XLOOKUP(B3138,'Form responses 1'!$B$2:$B$2604,'Form responses 1'!$F$2:$F$2604,""))</f>
        <v/>
      </c>
      <c r="I3138" s="44" t="str">
        <f t="array" ref="I3138">IF(B3138="","",_xlfn.XLOOKUP(B3138,'Form responses 1'!$B$2:$B$2604,'Form responses 1'!$I$2:$I$2604,""))</f>
        <v/>
      </c>
      <c r="J3138" s="44" t="str">
        <f t="array" ref="J3138">IF(B3138="","",_xlfn.XLOOKUP(B3138,'Form responses 1'!$B$2:$B$2604,'Form responses 1'!$G$2:$G$2604,""))</f>
        <v/>
      </c>
      <c r="K3138" s="56"/>
      <c r="L3138" s="58" t="str">
        <f t="shared" si="7"/>
        <v/>
      </c>
      <c r="M3138" s="49"/>
      <c r="N3138" s="49"/>
      <c r="O3138" s="49"/>
      <c r="P3138" s="49"/>
      <c r="Q3138" s="49"/>
      <c r="R3138" s="49"/>
      <c r="S3138" s="49"/>
      <c r="T3138" s="49"/>
      <c r="U3138" s="49"/>
      <c r="V3138" s="49"/>
      <c r="W3138" s="56"/>
      <c r="X3138" s="51" t="str">
        <f t="shared" si="5"/>
        <v/>
      </c>
      <c r="Y3138" s="50" t="s">
        <v>482</v>
      </c>
      <c r="Z3138" s="49">
        <f t="shared" si="6"/>
        <v>0</v>
      </c>
    </row>
    <row r="3139" ht="22.5" customHeight="1">
      <c r="B3139" s="57"/>
      <c r="C3139" s="43" t="str">
        <f t="array" ref="C3139">IF(B3139="","",_xlfn.XLOOKUP(B3139,'Form responses 1'!$B$2:$B$2604,'Form responses 1'!$A$2:$A$2604,""))</f>
        <v/>
      </c>
      <c r="D3139" s="44" t="str">
        <f t="shared" si="3"/>
        <v/>
      </c>
      <c r="E3139" s="44" t="str">
        <f t="array" ref="E3139">IF(B3139="","",_xlfn.XLOOKUP(B3139,'Form responses 1'!$B$2:$B$2604,'Form responses 1'!$C$2:$C$2604,""))</f>
        <v/>
      </c>
      <c r="F3139" s="44" t="str">
        <f t="array" ref="F3139">IF(B3139="","",_xlfn.XLOOKUP(B3139,'Form responses 1'!$B$2:$B$2604,'Form responses 1'!$D$2:$D$2604,""))</f>
        <v/>
      </c>
      <c r="G3139" s="44" t="str">
        <f t="array" ref="G3139">IF(B3139="","",_xlfn.XLOOKUP(B3139,'Form responses 1'!$B$2:$B$2604,'Form responses 1'!$E$2:$E$2604,""))</f>
        <v/>
      </c>
      <c r="H3139" s="44" t="str">
        <f t="array" ref="H3139">IF(B3139="","",_xlfn.XLOOKUP(B3139,'Form responses 1'!$B$2:$B$2604,'Form responses 1'!$F$2:$F$2604,""))</f>
        <v/>
      </c>
      <c r="I3139" s="44" t="str">
        <f t="array" ref="I3139">IF(B3139="","",_xlfn.XLOOKUP(B3139,'Form responses 1'!$B$2:$B$2604,'Form responses 1'!$I$2:$I$2604,""))</f>
        <v/>
      </c>
      <c r="J3139" s="44" t="str">
        <f t="array" ref="J3139">IF(B3139="","",_xlfn.XLOOKUP(B3139,'Form responses 1'!$B$2:$B$2604,'Form responses 1'!$G$2:$G$2604,""))</f>
        <v/>
      </c>
      <c r="K3139" s="56"/>
      <c r="L3139" s="58" t="str">
        <f t="shared" si="7"/>
        <v/>
      </c>
      <c r="M3139" s="49"/>
      <c r="N3139" s="49"/>
      <c r="O3139" s="49"/>
      <c r="P3139" s="49"/>
      <c r="Q3139" s="49"/>
      <c r="R3139" s="49"/>
      <c r="S3139" s="49"/>
      <c r="T3139" s="49"/>
      <c r="U3139" s="49"/>
      <c r="V3139" s="49"/>
      <c r="W3139" s="56"/>
      <c r="X3139" s="51" t="str">
        <f t="shared" si="5"/>
        <v/>
      </c>
      <c r="Y3139" s="50" t="s">
        <v>482</v>
      </c>
      <c r="Z3139" s="49">
        <f t="shared" si="6"/>
        <v>0</v>
      </c>
    </row>
    <row r="3140" ht="22.5" customHeight="1">
      <c r="B3140" s="57"/>
      <c r="C3140" s="43" t="str">
        <f t="array" ref="C3140">IF(B3140="","",_xlfn.XLOOKUP(B3140,'Form responses 1'!$B$2:$B$2604,'Form responses 1'!$A$2:$A$2604,""))</f>
        <v/>
      </c>
      <c r="D3140" s="44" t="str">
        <f t="shared" si="3"/>
        <v/>
      </c>
      <c r="E3140" s="44" t="str">
        <f t="array" ref="E3140">IF(B3140="","",_xlfn.XLOOKUP(B3140,'Form responses 1'!$B$2:$B$2604,'Form responses 1'!$C$2:$C$2604,""))</f>
        <v/>
      </c>
      <c r="F3140" s="44" t="str">
        <f t="array" ref="F3140">IF(B3140="","",_xlfn.XLOOKUP(B3140,'Form responses 1'!$B$2:$B$2604,'Form responses 1'!$D$2:$D$2604,""))</f>
        <v/>
      </c>
      <c r="G3140" s="44" t="str">
        <f t="array" ref="G3140">IF(B3140="","",_xlfn.XLOOKUP(B3140,'Form responses 1'!$B$2:$B$2604,'Form responses 1'!$E$2:$E$2604,""))</f>
        <v/>
      </c>
      <c r="H3140" s="44" t="str">
        <f t="array" ref="H3140">IF(B3140="","",_xlfn.XLOOKUP(B3140,'Form responses 1'!$B$2:$B$2604,'Form responses 1'!$F$2:$F$2604,""))</f>
        <v/>
      </c>
      <c r="I3140" s="44" t="str">
        <f t="array" ref="I3140">IF(B3140="","",_xlfn.XLOOKUP(B3140,'Form responses 1'!$B$2:$B$2604,'Form responses 1'!$I$2:$I$2604,""))</f>
        <v/>
      </c>
      <c r="J3140" s="44" t="str">
        <f t="array" ref="J3140">IF(B3140="","",_xlfn.XLOOKUP(B3140,'Form responses 1'!$B$2:$B$2604,'Form responses 1'!$G$2:$G$2604,""))</f>
        <v/>
      </c>
      <c r="K3140" s="56"/>
      <c r="L3140" s="58" t="str">
        <f t="shared" si="7"/>
        <v/>
      </c>
      <c r="M3140" s="49"/>
      <c r="N3140" s="49"/>
      <c r="O3140" s="49"/>
      <c r="P3140" s="49"/>
      <c r="Q3140" s="49"/>
      <c r="R3140" s="49"/>
      <c r="S3140" s="49"/>
      <c r="T3140" s="49"/>
      <c r="U3140" s="49"/>
      <c r="V3140" s="49"/>
      <c r="W3140" s="56"/>
      <c r="X3140" s="51" t="str">
        <f t="shared" si="5"/>
        <v/>
      </c>
      <c r="Y3140" s="50" t="s">
        <v>482</v>
      </c>
      <c r="Z3140" s="49">
        <f t="shared" si="6"/>
        <v>0</v>
      </c>
    </row>
    <row r="3141" ht="22.5" customHeight="1">
      <c r="B3141" s="57"/>
      <c r="C3141" s="43" t="str">
        <f t="array" ref="C3141">IF(B3141="","",_xlfn.XLOOKUP(B3141,'Form responses 1'!$B$2:$B$2604,'Form responses 1'!$A$2:$A$2604,""))</f>
        <v/>
      </c>
      <c r="D3141" s="44" t="str">
        <f t="shared" si="3"/>
        <v/>
      </c>
      <c r="E3141" s="44" t="str">
        <f t="array" ref="E3141">IF(B3141="","",_xlfn.XLOOKUP(B3141,'Form responses 1'!$B$2:$B$2604,'Form responses 1'!$C$2:$C$2604,""))</f>
        <v/>
      </c>
      <c r="F3141" s="44" t="str">
        <f t="array" ref="F3141">IF(B3141="","",_xlfn.XLOOKUP(B3141,'Form responses 1'!$B$2:$B$2604,'Form responses 1'!$D$2:$D$2604,""))</f>
        <v/>
      </c>
      <c r="G3141" s="44" t="str">
        <f t="array" ref="G3141">IF(B3141="","",_xlfn.XLOOKUP(B3141,'Form responses 1'!$B$2:$B$2604,'Form responses 1'!$E$2:$E$2604,""))</f>
        <v/>
      </c>
      <c r="H3141" s="44" t="str">
        <f t="array" ref="H3141">IF(B3141="","",_xlfn.XLOOKUP(B3141,'Form responses 1'!$B$2:$B$2604,'Form responses 1'!$F$2:$F$2604,""))</f>
        <v/>
      </c>
      <c r="I3141" s="44" t="str">
        <f t="array" ref="I3141">IF(B3141="","",_xlfn.XLOOKUP(B3141,'Form responses 1'!$B$2:$B$2604,'Form responses 1'!$I$2:$I$2604,""))</f>
        <v/>
      </c>
      <c r="J3141" s="44" t="str">
        <f t="array" ref="J3141">IF(B3141="","",_xlfn.XLOOKUP(B3141,'Form responses 1'!$B$2:$B$2604,'Form responses 1'!$G$2:$G$2604,""))</f>
        <v/>
      </c>
      <c r="K3141" s="56"/>
      <c r="L3141" s="58" t="str">
        <f t="shared" si="7"/>
        <v/>
      </c>
      <c r="M3141" s="49"/>
      <c r="N3141" s="49"/>
      <c r="O3141" s="49"/>
      <c r="P3141" s="49"/>
      <c r="Q3141" s="49"/>
      <c r="R3141" s="49"/>
      <c r="S3141" s="49"/>
      <c r="T3141" s="49"/>
      <c r="U3141" s="49"/>
      <c r="V3141" s="49"/>
      <c r="W3141" s="56"/>
      <c r="X3141" s="51" t="str">
        <f t="shared" si="5"/>
        <v/>
      </c>
      <c r="Y3141" s="50" t="s">
        <v>482</v>
      </c>
      <c r="Z3141" s="49">
        <f t="shared" si="6"/>
        <v>0</v>
      </c>
    </row>
    <row r="3142" ht="22.5" customHeight="1">
      <c r="B3142" s="57"/>
      <c r="C3142" s="43" t="str">
        <f t="array" ref="C3142">IF(B3142="","",_xlfn.XLOOKUP(B3142,'Form responses 1'!$B$2:$B$2604,'Form responses 1'!$A$2:$A$2604,""))</f>
        <v/>
      </c>
      <c r="D3142" s="44" t="str">
        <f t="shared" si="3"/>
        <v/>
      </c>
      <c r="E3142" s="44" t="str">
        <f t="array" ref="E3142">IF(B3142="","",_xlfn.XLOOKUP(B3142,'Form responses 1'!$B$2:$B$2604,'Form responses 1'!$C$2:$C$2604,""))</f>
        <v/>
      </c>
      <c r="F3142" s="44" t="str">
        <f t="array" ref="F3142">IF(B3142="","",_xlfn.XLOOKUP(B3142,'Form responses 1'!$B$2:$B$2604,'Form responses 1'!$D$2:$D$2604,""))</f>
        <v/>
      </c>
      <c r="G3142" s="44" t="str">
        <f t="array" ref="G3142">IF(B3142="","",_xlfn.XLOOKUP(B3142,'Form responses 1'!$B$2:$B$2604,'Form responses 1'!$E$2:$E$2604,""))</f>
        <v/>
      </c>
      <c r="H3142" s="44" t="str">
        <f t="array" ref="H3142">IF(B3142="","",_xlfn.XLOOKUP(B3142,'Form responses 1'!$B$2:$B$2604,'Form responses 1'!$F$2:$F$2604,""))</f>
        <v/>
      </c>
      <c r="I3142" s="44" t="str">
        <f t="array" ref="I3142">IF(B3142="","",_xlfn.XLOOKUP(B3142,'Form responses 1'!$B$2:$B$2604,'Form responses 1'!$I$2:$I$2604,""))</f>
        <v/>
      </c>
      <c r="J3142" s="44" t="str">
        <f t="array" ref="J3142">IF(B3142="","",_xlfn.XLOOKUP(B3142,'Form responses 1'!$B$2:$B$2604,'Form responses 1'!$G$2:$G$2604,""))</f>
        <v/>
      </c>
      <c r="K3142" s="56"/>
      <c r="L3142" s="58" t="str">
        <f t="shared" si="7"/>
        <v/>
      </c>
      <c r="M3142" s="49"/>
      <c r="N3142" s="49"/>
      <c r="O3142" s="49"/>
      <c r="P3142" s="49"/>
      <c r="Q3142" s="49"/>
      <c r="R3142" s="49"/>
      <c r="S3142" s="49"/>
      <c r="T3142" s="49"/>
      <c r="U3142" s="49"/>
      <c r="V3142" s="49"/>
      <c r="W3142" s="56"/>
      <c r="X3142" s="51" t="str">
        <f t="shared" si="5"/>
        <v/>
      </c>
      <c r="Y3142" s="50" t="s">
        <v>482</v>
      </c>
      <c r="Z3142" s="49">
        <f t="shared" si="6"/>
        <v>0</v>
      </c>
    </row>
    <row r="3143" ht="22.5" customHeight="1">
      <c r="B3143" s="57"/>
      <c r="C3143" s="43" t="str">
        <f t="array" ref="C3143">IF(B3143="","",_xlfn.XLOOKUP(B3143,'Form responses 1'!$B$2:$B$2604,'Form responses 1'!$A$2:$A$2604,""))</f>
        <v/>
      </c>
      <c r="D3143" s="44" t="str">
        <f t="shared" si="3"/>
        <v/>
      </c>
      <c r="E3143" s="44" t="str">
        <f t="array" ref="E3143">IF(B3143="","",_xlfn.XLOOKUP(B3143,'Form responses 1'!$B$2:$B$2604,'Form responses 1'!$C$2:$C$2604,""))</f>
        <v/>
      </c>
      <c r="F3143" s="44" t="str">
        <f t="array" ref="F3143">IF(B3143="","",_xlfn.XLOOKUP(B3143,'Form responses 1'!$B$2:$B$2604,'Form responses 1'!$D$2:$D$2604,""))</f>
        <v/>
      </c>
      <c r="G3143" s="44" t="str">
        <f t="array" ref="G3143">IF(B3143="","",_xlfn.XLOOKUP(B3143,'Form responses 1'!$B$2:$B$2604,'Form responses 1'!$E$2:$E$2604,""))</f>
        <v/>
      </c>
      <c r="H3143" s="44" t="str">
        <f t="array" ref="H3143">IF(B3143="","",_xlfn.XLOOKUP(B3143,'Form responses 1'!$B$2:$B$2604,'Form responses 1'!$F$2:$F$2604,""))</f>
        <v/>
      </c>
      <c r="I3143" s="44" t="str">
        <f t="array" ref="I3143">IF(B3143="","",_xlfn.XLOOKUP(B3143,'Form responses 1'!$B$2:$B$2604,'Form responses 1'!$I$2:$I$2604,""))</f>
        <v/>
      </c>
      <c r="J3143" s="44" t="str">
        <f t="array" ref="J3143">IF(B3143="","",_xlfn.XLOOKUP(B3143,'Form responses 1'!$B$2:$B$2604,'Form responses 1'!$G$2:$G$2604,""))</f>
        <v/>
      </c>
      <c r="K3143" s="56"/>
      <c r="L3143" s="58" t="str">
        <f t="shared" si="7"/>
        <v/>
      </c>
      <c r="M3143" s="49"/>
      <c r="N3143" s="49"/>
      <c r="O3143" s="49"/>
      <c r="P3143" s="49"/>
      <c r="Q3143" s="49"/>
      <c r="R3143" s="49"/>
      <c r="S3143" s="49"/>
      <c r="T3143" s="49"/>
      <c r="U3143" s="49"/>
      <c r="V3143" s="49"/>
      <c r="W3143" s="56"/>
      <c r="X3143" s="51" t="str">
        <f t="shared" si="5"/>
        <v/>
      </c>
      <c r="Y3143" s="50" t="s">
        <v>482</v>
      </c>
      <c r="Z3143" s="49">
        <f t="shared" si="6"/>
        <v>0</v>
      </c>
    </row>
    <row r="3144" ht="22.5" customHeight="1">
      <c r="B3144" s="57"/>
      <c r="C3144" s="43" t="str">
        <f t="array" ref="C3144">IF(B3144="","",_xlfn.XLOOKUP(B3144,'Form responses 1'!$B$2:$B$2604,'Form responses 1'!$A$2:$A$2604,""))</f>
        <v/>
      </c>
      <c r="D3144" s="44" t="str">
        <f t="shared" si="3"/>
        <v/>
      </c>
      <c r="E3144" s="44" t="str">
        <f t="array" ref="E3144">IF(B3144="","",_xlfn.XLOOKUP(B3144,'Form responses 1'!$B$2:$B$2604,'Form responses 1'!$C$2:$C$2604,""))</f>
        <v/>
      </c>
      <c r="F3144" s="44" t="str">
        <f t="array" ref="F3144">IF(B3144="","",_xlfn.XLOOKUP(B3144,'Form responses 1'!$B$2:$B$2604,'Form responses 1'!$D$2:$D$2604,""))</f>
        <v/>
      </c>
      <c r="G3144" s="44" t="str">
        <f t="array" ref="G3144">IF(B3144="","",_xlfn.XLOOKUP(B3144,'Form responses 1'!$B$2:$B$2604,'Form responses 1'!$E$2:$E$2604,""))</f>
        <v/>
      </c>
      <c r="H3144" s="44" t="str">
        <f t="array" ref="H3144">IF(B3144="","",_xlfn.XLOOKUP(B3144,'Form responses 1'!$B$2:$B$2604,'Form responses 1'!$F$2:$F$2604,""))</f>
        <v/>
      </c>
      <c r="I3144" s="44" t="str">
        <f t="array" ref="I3144">IF(B3144="","",_xlfn.XLOOKUP(B3144,'Form responses 1'!$B$2:$B$2604,'Form responses 1'!$I$2:$I$2604,""))</f>
        <v/>
      </c>
      <c r="J3144" s="44" t="str">
        <f t="array" ref="J3144">IF(B3144="","",_xlfn.XLOOKUP(B3144,'Form responses 1'!$B$2:$B$2604,'Form responses 1'!$G$2:$G$2604,""))</f>
        <v/>
      </c>
      <c r="K3144" s="56"/>
      <c r="L3144" s="58" t="str">
        <f t="shared" si="7"/>
        <v/>
      </c>
      <c r="M3144" s="49"/>
      <c r="N3144" s="49"/>
      <c r="O3144" s="49"/>
      <c r="P3144" s="49"/>
      <c r="Q3144" s="49"/>
      <c r="R3144" s="49"/>
      <c r="S3144" s="49"/>
      <c r="T3144" s="49"/>
      <c r="U3144" s="49"/>
      <c r="V3144" s="49"/>
      <c r="W3144" s="56"/>
      <c r="X3144" s="51" t="str">
        <f t="shared" si="5"/>
        <v/>
      </c>
      <c r="Y3144" s="50" t="s">
        <v>482</v>
      </c>
      <c r="Z3144" s="49">
        <f t="shared" si="6"/>
        <v>0</v>
      </c>
    </row>
    <row r="3145" ht="22.5" customHeight="1">
      <c r="B3145" s="57"/>
      <c r="C3145" s="43" t="str">
        <f t="array" ref="C3145">IF(B3145="","",_xlfn.XLOOKUP(B3145,'Form responses 1'!$B$2:$B$2604,'Form responses 1'!$A$2:$A$2604,""))</f>
        <v/>
      </c>
      <c r="D3145" s="44" t="str">
        <f t="shared" si="3"/>
        <v/>
      </c>
      <c r="E3145" s="44" t="str">
        <f t="array" ref="E3145">IF(B3145="","",_xlfn.XLOOKUP(B3145,'Form responses 1'!$B$2:$B$2604,'Form responses 1'!$C$2:$C$2604,""))</f>
        <v/>
      </c>
      <c r="F3145" s="44" t="str">
        <f t="array" ref="F3145">IF(B3145="","",_xlfn.XLOOKUP(B3145,'Form responses 1'!$B$2:$B$2604,'Form responses 1'!$D$2:$D$2604,""))</f>
        <v/>
      </c>
      <c r="G3145" s="44" t="str">
        <f t="array" ref="G3145">IF(B3145="","",_xlfn.XLOOKUP(B3145,'Form responses 1'!$B$2:$B$2604,'Form responses 1'!$E$2:$E$2604,""))</f>
        <v/>
      </c>
      <c r="H3145" s="44" t="str">
        <f t="array" ref="H3145">IF(B3145="","",_xlfn.XLOOKUP(B3145,'Form responses 1'!$B$2:$B$2604,'Form responses 1'!$F$2:$F$2604,""))</f>
        <v/>
      </c>
      <c r="I3145" s="44" t="str">
        <f t="array" ref="I3145">IF(B3145="","",_xlfn.XLOOKUP(B3145,'Form responses 1'!$B$2:$B$2604,'Form responses 1'!$I$2:$I$2604,""))</f>
        <v/>
      </c>
      <c r="J3145" s="44" t="str">
        <f t="array" ref="J3145">IF(B3145="","",_xlfn.XLOOKUP(B3145,'Form responses 1'!$B$2:$B$2604,'Form responses 1'!$G$2:$G$2604,""))</f>
        <v/>
      </c>
      <c r="K3145" s="56"/>
      <c r="L3145" s="58" t="str">
        <f t="shared" si="7"/>
        <v/>
      </c>
      <c r="M3145" s="49"/>
      <c r="N3145" s="49"/>
      <c r="O3145" s="49"/>
      <c r="P3145" s="49"/>
      <c r="Q3145" s="49"/>
      <c r="R3145" s="49"/>
      <c r="S3145" s="49"/>
      <c r="T3145" s="49"/>
      <c r="U3145" s="49"/>
      <c r="V3145" s="49"/>
      <c r="W3145" s="56"/>
      <c r="X3145" s="51" t="str">
        <f t="shared" si="5"/>
        <v/>
      </c>
      <c r="Y3145" s="50" t="s">
        <v>482</v>
      </c>
      <c r="Z3145" s="49">
        <f t="shared" si="6"/>
        <v>0</v>
      </c>
    </row>
    <row r="3146" ht="22.5" customHeight="1">
      <c r="B3146" s="57"/>
      <c r="C3146" s="43" t="str">
        <f t="array" ref="C3146">IF(B3146="","",_xlfn.XLOOKUP(B3146,'Form responses 1'!$B$2:$B$2604,'Form responses 1'!$A$2:$A$2604,""))</f>
        <v/>
      </c>
      <c r="D3146" s="44" t="str">
        <f t="shared" si="3"/>
        <v/>
      </c>
      <c r="E3146" s="44" t="str">
        <f t="array" ref="E3146">IF(B3146="","",_xlfn.XLOOKUP(B3146,'Form responses 1'!$B$2:$B$2604,'Form responses 1'!$C$2:$C$2604,""))</f>
        <v/>
      </c>
      <c r="F3146" s="44" t="str">
        <f t="array" ref="F3146">IF(B3146="","",_xlfn.XLOOKUP(B3146,'Form responses 1'!$B$2:$B$2604,'Form responses 1'!$D$2:$D$2604,""))</f>
        <v/>
      </c>
      <c r="G3146" s="44" t="str">
        <f t="array" ref="G3146">IF(B3146="","",_xlfn.XLOOKUP(B3146,'Form responses 1'!$B$2:$B$2604,'Form responses 1'!$E$2:$E$2604,""))</f>
        <v/>
      </c>
      <c r="H3146" s="44" t="str">
        <f t="array" ref="H3146">IF(B3146="","",_xlfn.XLOOKUP(B3146,'Form responses 1'!$B$2:$B$2604,'Form responses 1'!$F$2:$F$2604,""))</f>
        <v/>
      </c>
      <c r="I3146" s="44" t="str">
        <f t="array" ref="I3146">IF(B3146="","",_xlfn.XLOOKUP(B3146,'Form responses 1'!$B$2:$B$2604,'Form responses 1'!$I$2:$I$2604,""))</f>
        <v/>
      </c>
      <c r="J3146" s="44" t="str">
        <f t="array" ref="J3146">IF(B3146="","",_xlfn.XLOOKUP(B3146,'Form responses 1'!$B$2:$B$2604,'Form responses 1'!$G$2:$G$2604,""))</f>
        <v/>
      </c>
      <c r="K3146" s="56"/>
      <c r="L3146" s="58" t="str">
        <f t="shared" si="7"/>
        <v/>
      </c>
      <c r="M3146" s="49"/>
      <c r="N3146" s="49"/>
      <c r="O3146" s="49"/>
      <c r="P3146" s="49"/>
      <c r="Q3146" s="49"/>
      <c r="R3146" s="49"/>
      <c r="S3146" s="49"/>
      <c r="T3146" s="49"/>
      <c r="U3146" s="49"/>
      <c r="V3146" s="49"/>
      <c r="W3146" s="56"/>
      <c r="X3146" s="51" t="str">
        <f t="shared" si="5"/>
        <v/>
      </c>
      <c r="Y3146" s="50" t="s">
        <v>482</v>
      </c>
      <c r="Z3146" s="49">
        <f t="shared" si="6"/>
        <v>0</v>
      </c>
    </row>
    <row r="3147" ht="22.5" customHeight="1">
      <c r="B3147" s="57"/>
      <c r="C3147" s="43" t="str">
        <f t="array" ref="C3147">IF(B3147="","",_xlfn.XLOOKUP(B3147,'Form responses 1'!$B$2:$B$2604,'Form responses 1'!$A$2:$A$2604,""))</f>
        <v/>
      </c>
      <c r="D3147" s="44" t="str">
        <f t="shared" si="3"/>
        <v/>
      </c>
      <c r="E3147" s="44" t="str">
        <f t="array" ref="E3147">IF(B3147="","",_xlfn.XLOOKUP(B3147,'Form responses 1'!$B$2:$B$2604,'Form responses 1'!$C$2:$C$2604,""))</f>
        <v/>
      </c>
      <c r="F3147" s="44" t="str">
        <f t="array" ref="F3147">IF(B3147="","",_xlfn.XLOOKUP(B3147,'Form responses 1'!$B$2:$B$2604,'Form responses 1'!$D$2:$D$2604,""))</f>
        <v/>
      </c>
      <c r="G3147" s="44" t="str">
        <f t="array" ref="G3147">IF(B3147="","",_xlfn.XLOOKUP(B3147,'Form responses 1'!$B$2:$B$2604,'Form responses 1'!$E$2:$E$2604,""))</f>
        <v/>
      </c>
      <c r="H3147" s="44" t="str">
        <f t="array" ref="H3147">IF(B3147="","",_xlfn.XLOOKUP(B3147,'Form responses 1'!$B$2:$B$2604,'Form responses 1'!$F$2:$F$2604,""))</f>
        <v/>
      </c>
      <c r="I3147" s="44" t="str">
        <f t="array" ref="I3147">IF(B3147="","",_xlfn.XLOOKUP(B3147,'Form responses 1'!$B$2:$B$2604,'Form responses 1'!$I$2:$I$2604,""))</f>
        <v/>
      </c>
      <c r="J3147" s="44" t="str">
        <f t="array" ref="J3147">IF(B3147="","",_xlfn.XLOOKUP(B3147,'Form responses 1'!$B$2:$B$2604,'Form responses 1'!$G$2:$G$2604,""))</f>
        <v/>
      </c>
      <c r="K3147" s="56"/>
      <c r="L3147" s="58" t="str">
        <f t="shared" si="7"/>
        <v/>
      </c>
      <c r="M3147" s="49"/>
      <c r="N3147" s="49"/>
      <c r="O3147" s="49"/>
      <c r="P3147" s="49"/>
      <c r="Q3147" s="49"/>
      <c r="R3147" s="49"/>
      <c r="S3147" s="49"/>
      <c r="T3147" s="49"/>
      <c r="U3147" s="49"/>
      <c r="V3147" s="49"/>
      <c r="W3147" s="56"/>
      <c r="X3147" s="51" t="str">
        <f t="shared" si="5"/>
        <v/>
      </c>
      <c r="Y3147" s="50" t="s">
        <v>482</v>
      </c>
      <c r="Z3147" s="49">
        <f t="shared" si="6"/>
        <v>0</v>
      </c>
    </row>
    <row r="3148" ht="22.5" customHeight="1">
      <c r="B3148" s="57"/>
      <c r="C3148" s="43" t="str">
        <f t="array" ref="C3148">IF(B3148="","",_xlfn.XLOOKUP(B3148,'Form responses 1'!$B$2:$B$2604,'Form responses 1'!$A$2:$A$2604,""))</f>
        <v/>
      </c>
      <c r="D3148" s="44" t="str">
        <f t="shared" si="3"/>
        <v/>
      </c>
      <c r="E3148" s="44" t="str">
        <f t="array" ref="E3148">IF(B3148="","",_xlfn.XLOOKUP(B3148,'Form responses 1'!$B$2:$B$2604,'Form responses 1'!$C$2:$C$2604,""))</f>
        <v/>
      </c>
      <c r="F3148" s="44" t="str">
        <f t="array" ref="F3148">IF(B3148="","",_xlfn.XLOOKUP(B3148,'Form responses 1'!$B$2:$B$2604,'Form responses 1'!$D$2:$D$2604,""))</f>
        <v/>
      </c>
      <c r="G3148" s="44" t="str">
        <f t="array" ref="G3148">IF(B3148="","",_xlfn.XLOOKUP(B3148,'Form responses 1'!$B$2:$B$2604,'Form responses 1'!$E$2:$E$2604,""))</f>
        <v/>
      </c>
      <c r="H3148" s="44" t="str">
        <f t="array" ref="H3148">IF(B3148="","",_xlfn.XLOOKUP(B3148,'Form responses 1'!$B$2:$B$2604,'Form responses 1'!$F$2:$F$2604,""))</f>
        <v/>
      </c>
      <c r="I3148" s="44" t="str">
        <f t="array" ref="I3148">IF(B3148="","",_xlfn.XLOOKUP(B3148,'Form responses 1'!$B$2:$B$2604,'Form responses 1'!$I$2:$I$2604,""))</f>
        <v/>
      </c>
      <c r="J3148" s="44" t="str">
        <f t="array" ref="J3148">IF(B3148="","",_xlfn.XLOOKUP(B3148,'Form responses 1'!$B$2:$B$2604,'Form responses 1'!$G$2:$G$2604,""))</f>
        <v/>
      </c>
      <c r="K3148" s="56"/>
      <c r="L3148" s="58" t="str">
        <f t="shared" si="7"/>
        <v/>
      </c>
      <c r="M3148" s="49"/>
      <c r="N3148" s="49"/>
      <c r="O3148" s="49"/>
      <c r="P3148" s="49"/>
      <c r="Q3148" s="49"/>
      <c r="R3148" s="49"/>
      <c r="S3148" s="49"/>
      <c r="T3148" s="49"/>
      <c r="U3148" s="49"/>
      <c r="V3148" s="49"/>
      <c r="W3148" s="56"/>
      <c r="X3148" s="51" t="str">
        <f t="shared" si="5"/>
        <v/>
      </c>
      <c r="Y3148" s="50" t="s">
        <v>482</v>
      </c>
      <c r="Z3148" s="49">
        <f t="shared" si="6"/>
        <v>0</v>
      </c>
    </row>
    <row r="3149" ht="22.5" customHeight="1">
      <c r="B3149" s="57"/>
      <c r="C3149" s="43" t="str">
        <f t="array" ref="C3149">IF(B3149="","",_xlfn.XLOOKUP(B3149,'Form responses 1'!$B$2:$B$2604,'Form responses 1'!$A$2:$A$2604,""))</f>
        <v/>
      </c>
      <c r="D3149" s="44" t="str">
        <f t="shared" si="3"/>
        <v/>
      </c>
      <c r="E3149" s="44" t="str">
        <f t="array" ref="E3149">IF(B3149="","",_xlfn.XLOOKUP(B3149,'Form responses 1'!$B$2:$B$2604,'Form responses 1'!$C$2:$C$2604,""))</f>
        <v/>
      </c>
      <c r="F3149" s="44" t="str">
        <f t="array" ref="F3149">IF(B3149="","",_xlfn.XLOOKUP(B3149,'Form responses 1'!$B$2:$B$2604,'Form responses 1'!$D$2:$D$2604,""))</f>
        <v/>
      </c>
      <c r="G3149" s="44" t="str">
        <f t="array" ref="G3149">IF(B3149="","",_xlfn.XLOOKUP(B3149,'Form responses 1'!$B$2:$B$2604,'Form responses 1'!$E$2:$E$2604,""))</f>
        <v/>
      </c>
      <c r="H3149" s="44" t="str">
        <f t="array" ref="H3149">IF(B3149="","",_xlfn.XLOOKUP(B3149,'Form responses 1'!$B$2:$B$2604,'Form responses 1'!$F$2:$F$2604,""))</f>
        <v/>
      </c>
      <c r="I3149" s="44" t="str">
        <f t="array" ref="I3149">IF(B3149="","",_xlfn.XLOOKUP(B3149,'Form responses 1'!$B$2:$B$2604,'Form responses 1'!$I$2:$I$2604,""))</f>
        <v/>
      </c>
      <c r="J3149" s="44" t="str">
        <f t="array" ref="J3149">IF(B3149="","",_xlfn.XLOOKUP(B3149,'Form responses 1'!$B$2:$B$2604,'Form responses 1'!$G$2:$G$2604,""))</f>
        <v/>
      </c>
      <c r="K3149" s="56"/>
      <c r="L3149" s="58" t="str">
        <f t="shared" si="7"/>
        <v/>
      </c>
      <c r="M3149" s="49"/>
      <c r="N3149" s="49"/>
      <c r="O3149" s="49"/>
      <c r="P3149" s="49"/>
      <c r="Q3149" s="49"/>
      <c r="R3149" s="49"/>
      <c r="S3149" s="49"/>
      <c r="T3149" s="49"/>
      <c r="U3149" s="49"/>
      <c r="V3149" s="49"/>
      <c r="W3149" s="56"/>
      <c r="X3149" s="51" t="str">
        <f t="shared" si="5"/>
        <v/>
      </c>
      <c r="Y3149" s="50" t="s">
        <v>482</v>
      </c>
      <c r="Z3149" s="49">
        <f t="shared" si="6"/>
        <v>0</v>
      </c>
    </row>
    <row r="3150" ht="22.5" customHeight="1">
      <c r="B3150" s="57"/>
      <c r="C3150" s="43" t="str">
        <f t="array" ref="C3150">IF(B3150="","",_xlfn.XLOOKUP(B3150,'Form responses 1'!$B$2:$B$2604,'Form responses 1'!$A$2:$A$2604,""))</f>
        <v/>
      </c>
      <c r="D3150" s="44" t="str">
        <f t="shared" si="3"/>
        <v/>
      </c>
      <c r="E3150" s="44" t="str">
        <f t="array" ref="E3150">IF(B3150="","",_xlfn.XLOOKUP(B3150,'Form responses 1'!$B$2:$B$2604,'Form responses 1'!$C$2:$C$2604,""))</f>
        <v/>
      </c>
      <c r="F3150" s="44" t="str">
        <f t="array" ref="F3150">IF(B3150="","",_xlfn.XLOOKUP(B3150,'Form responses 1'!$B$2:$B$2604,'Form responses 1'!$D$2:$D$2604,""))</f>
        <v/>
      </c>
      <c r="G3150" s="44" t="str">
        <f t="array" ref="G3150">IF(B3150="","",_xlfn.XLOOKUP(B3150,'Form responses 1'!$B$2:$B$2604,'Form responses 1'!$E$2:$E$2604,""))</f>
        <v/>
      </c>
      <c r="H3150" s="44" t="str">
        <f t="array" ref="H3150">IF(B3150="","",_xlfn.XLOOKUP(B3150,'Form responses 1'!$B$2:$B$2604,'Form responses 1'!$F$2:$F$2604,""))</f>
        <v/>
      </c>
      <c r="I3150" s="44" t="str">
        <f t="array" ref="I3150">IF(B3150="","",_xlfn.XLOOKUP(B3150,'Form responses 1'!$B$2:$B$2604,'Form responses 1'!$I$2:$I$2604,""))</f>
        <v/>
      </c>
      <c r="J3150" s="44" t="str">
        <f t="array" ref="J3150">IF(B3150="","",_xlfn.XLOOKUP(B3150,'Form responses 1'!$B$2:$B$2604,'Form responses 1'!$G$2:$G$2604,""))</f>
        <v/>
      </c>
      <c r="K3150" s="56"/>
      <c r="L3150" s="58" t="str">
        <f t="shared" si="7"/>
        <v/>
      </c>
      <c r="M3150" s="49"/>
      <c r="N3150" s="49"/>
      <c r="O3150" s="49"/>
      <c r="P3150" s="49"/>
      <c r="Q3150" s="49"/>
      <c r="R3150" s="49"/>
      <c r="S3150" s="49"/>
      <c r="T3150" s="49"/>
      <c r="U3150" s="49"/>
      <c r="V3150" s="49"/>
      <c r="W3150" s="56"/>
      <c r="X3150" s="51" t="str">
        <f t="shared" si="5"/>
        <v/>
      </c>
      <c r="Y3150" s="50" t="s">
        <v>482</v>
      </c>
      <c r="Z3150" s="49">
        <f t="shared" si="6"/>
        <v>0</v>
      </c>
    </row>
    <row r="3151" ht="22.5" customHeight="1">
      <c r="B3151" s="57"/>
      <c r="C3151" s="43" t="str">
        <f t="array" ref="C3151">IF(B3151="","",_xlfn.XLOOKUP(B3151,'Form responses 1'!$B$2:$B$2604,'Form responses 1'!$A$2:$A$2604,""))</f>
        <v/>
      </c>
      <c r="D3151" s="44" t="str">
        <f t="shared" si="3"/>
        <v/>
      </c>
      <c r="E3151" s="44" t="str">
        <f t="array" ref="E3151">IF(B3151="","",_xlfn.XLOOKUP(B3151,'Form responses 1'!$B$2:$B$2604,'Form responses 1'!$C$2:$C$2604,""))</f>
        <v/>
      </c>
      <c r="F3151" s="44" t="str">
        <f t="array" ref="F3151">IF(B3151="","",_xlfn.XLOOKUP(B3151,'Form responses 1'!$B$2:$B$2604,'Form responses 1'!$D$2:$D$2604,""))</f>
        <v/>
      </c>
      <c r="G3151" s="44" t="str">
        <f t="array" ref="G3151">IF(B3151="","",_xlfn.XLOOKUP(B3151,'Form responses 1'!$B$2:$B$2604,'Form responses 1'!$E$2:$E$2604,""))</f>
        <v/>
      </c>
      <c r="H3151" s="44" t="str">
        <f t="array" ref="H3151">IF(B3151="","",_xlfn.XLOOKUP(B3151,'Form responses 1'!$B$2:$B$2604,'Form responses 1'!$F$2:$F$2604,""))</f>
        <v/>
      </c>
      <c r="I3151" s="44" t="str">
        <f t="array" ref="I3151">IF(B3151="","",_xlfn.XLOOKUP(B3151,'Form responses 1'!$B$2:$B$2604,'Form responses 1'!$I$2:$I$2604,""))</f>
        <v/>
      </c>
      <c r="J3151" s="44" t="str">
        <f t="array" ref="J3151">IF(B3151="","",_xlfn.XLOOKUP(B3151,'Form responses 1'!$B$2:$B$2604,'Form responses 1'!$G$2:$G$2604,""))</f>
        <v/>
      </c>
      <c r="K3151" s="56"/>
      <c r="L3151" s="58" t="str">
        <f t="shared" si="7"/>
        <v/>
      </c>
      <c r="M3151" s="49"/>
      <c r="N3151" s="49"/>
      <c r="O3151" s="49"/>
      <c r="P3151" s="49"/>
      <c r="Q3151" s="49"/>
      <c r="R3151" s="49"/>
      <c r="S3151" s="49"/>
      <c r="T3151" s="49"/>
      <c r="U3151" s="49"/>
      <c r="V3151" s="49"/>
      <c r="W3151" s="56"/>
      <c r="X3151" s="51" t="str">
        <f t="shared" si="5"/>
        <v/>
      </c>
      <c r="Y3151" s="50" t="s">
        <v>482</v>
      </c>
      <c r="Z3151" s="49">
        <f t="shared" si="6"/>
        <v>0</v>
      </c>
    </row>
    <row r="3152" ht="22.5" customHeight="1">
      <c r="B3152" s="57"/>
      <c r="C3152" s="43" t="str">
        <f t="array" ref="C3152">IF(B3152="","",_xlfn.XLOOKUP(B3152,'Form responses 1'!$B$2:$B$2604,'Form responses 1'!$A$2:$A$2604,""))</f>
        <v/>
      </c>
      <c r="D3152" s="44" t="str">
        <f t="shared" si="3"/>
        <v/>
      </c>
      <c r="E3152" s="44" t="str">
        <f t="array" ref="E3152">IF(B3152="","",_xlfn.XLOOKUP(B3152,'Form responses 1'!$B$2:$B$2604,'Form responses 1'!$C$2:$C$2604,""))</f>
        <v/>
      </c>
      <c r="F3152" s="44" t="str">
        <f t="array" ref="F3152">IF(B3152="","",_xlfn.XLOOKUP(B3152,'Form responses 1'!$B$2:$B$2604,'Form responses 1'!$D$2:$D$2604,""))</f>
        <v/>
      </c>
      <c r="G3152" s="44" t="str">
        <f t="array" ref="G3152">IF(B3152="","",_xlfn.XLOOKUP(B3152,'Form responses 1'!$B$2:$B$2604,'Form responses 1'!$E$2:$E$2604,""))</f>
        <v/>
      </c>
      <c r="H3152" s="44" t="str">
        <f t="array" ref="H3152">IF(B3152="","",_xlfn.XLOOKUP(B3152,'Form responses 1'!$B$2:$B$2604,'Form responses 1'!$F$2:$F$2604,""))</f>
        <v/>
      </c>
      <c r="I3152" s="44" t="str">
        <f t="array" ref="I3152">IF(B3152="","",_xlfn.XLOOKUP(B3152,'Form responses 1'!$B$2:$B$2604,'Form responses 1'!$I$2:$I$2604,""))</f>
        <v/>
      </c>
      <c r="J3152" s="44" t="str">
        <f t="array" ref="J3152">IF(B3152="","",_xlfn.XLOOKUP(B3152,'Form responses 1'!$B$2:$B$2604,'Form responses 1'!$G$2:$G$2604,""))</f>
        <v/>
      </c>
      <c r="K3152" s="56"/>
      <c r="L3152" s="58" t="str">
        <f t="shared" si="7"/>
        <v/>
      </c>
      <c r="M3152" s="49"/>
      <c r="N3152" s="49"/>
      <c r="O3152" s="49"/>
      <c r="P3152" s="49"/>
      <c r="Q3152" s="49"/>
      <c r="R3152" s="49"/>
      <c r="S3152" s="49"/>
      <c r="T3152" s="49"/>
      <c r="U3152" s="49"/>
      <c r="V3152" s="49"/>
      <c r="W3152" s="56"/>
      <c r="X3152" s="51" t="str">
        <f t="shared" si="5"/>
        <v/>
      </c>
      <c r="Y3152" s="50" t="s">
        <v>482</v>
      </c>
      <c r="Z3152" s="49">
        <f t="shared" si="6"/>
        <v>0</v>
      </c>
    </row>
    <row r="3153" ht="22.5" customHeight="1">
      <c r="B3153" s="57"/>
      <c r="C3153" s="43" t="str">
        <f t="array" ref="C3153">IF(B3153="","",_xlfn.XLOOKUP(B3153,'Form responses 1'!$B$2:$B$2604,'Form responses 1'!$A$2:$A$2604,""))</f>
        <v/>
      </c>
      <c r="D3153" s="44" t="str">
        <f t="shared" si="3"/>
        <v/>
      </c>
      <c r="E3153" s="44" t="str">
        <f t="array" ref="E3153">IF(B3153="","",_xlfn.XLOOKUP(B3153,'Form responses 1'!$B$2:$B$2604,'Form responses 1'!$C$2:$C$2604,""))</f>
        <v/>
      </c>
      <c r="F3153" s="44" t="str">
        <f t="array" ref="F3153">IF(B3153="","",_xlfn.XLOOKUP(B3153,'Form responses 1'!$B$2:$B$2604,'Form responses 1'!$D$2:$D$2604,""))</f>
        <v/>
      </c>
      <c r="G3153" s="44" t="str">
        <f t="array" ref="G3153">IF(B3153="","",_xlfn.XLOOKUP(B3153,'Form responses 1'!$B$2:$B$2604,'Form responses 1'!$E$2:$E$2604,""))</f>
        <v/>
      </c>
      <c r="H3153" s="44" t="str">
        <f t="array" ref="H3153">IF(B3153="","",_xlfn.XLOOKUP(B3153,'Form responses 1'!$B$2:$B$2604,'Form responses 1'!$F$2:$F$2604,""))</f>
        <v/>
      </c>
      <c r="I3153" s="44" t="str">
        <f t="array" ref="I3153">IF(B3153="","",_xlfn.XLOOKUP(B3153,'Form responses 1'!$B$2:$B$2604,'Form responses 1'!$I$2:$I$2604,""))</f>
        <v/>
      </c>
      <c r="J3153" s="44" t="str">
        <f t="array" ref="J3153">IF(B3153="","",_xlfn.XLOOKUP(B3153,'Form responses 1'!$B$2:$B$2604,'Form responses 1'!$G$2:$G$2604,""))</f>
        <v/>
      </c>
      <c r="K3153" s="56"/>
      <c r="L3153" s="58" t="str">
        <f t="shared" si="7"/>
        <v/>
      </c>
      <c r="M3153" s="49"/>
      <c r="N3153" s="49"/>
      <c r="O3153" s="49"/>
      <c r="P3153" s="49"/>
      <c r="Q3153" s="49"/>
      <c r="R3153" s="49"/>
      <c r="S3153" s="49"/>
      <c r="T3153" s="49"/>
      <c r="U3153" s="49"/>
      <c r="V3153" s="49"/>
      <c r="W3153" s="56"/>
      <c r="X3153" s="51" t="str">
        <f t="shared" si="5"/>
        <v/>
      </c>
      <c r="Y3153" s="50" t="s">
        <v>482</v>
      </c>
      <c r="Z3153" s="49">
        <f t="shared" si="6"/>
        <v>0</v>
      </c>
    </row>
    <row r="3154" ht="22.5" customHeight="1">
      <c r="B3154" s="57"/>
      <c r="C3154" s="43" t="str">
        <f t="array" ref="C3154">IF(B3154="","",_xlfn.XLOOKUP(B3154,'Form responses 1'!$B$2:$B$2604,'Form responses 1'!$A$2:$A$2604,""))</f>
        <v/>
      </c>
      <c r="D3154" s="44" t="str">
        <f t="shared" si="3"/>
        <v/>
      </c>
      <c r="E3154" s="44" t="str">
        <f t="array" ref="E3154">IF(B3154="","",_xlfn.XLOOKUP(B3154,'Form responses 1'!$B$2:$B$2604,'Form responses 1'!$C$2:$C$2604,""))</f>
        <v/>
      </c>
      <c r="F3154" s="44" t="str">
        <f t="array" ref="F3154">IF(B3154="","",_xlfn.XLOOKUP(B3154,'Form responses 1'!$B$2:$B$2604,'Form responses 1'!$D$2:$D$2604,""))</f>
        <v/>
      </c>
      <c r="G3154" s="44" t="str">
        <f t="array" ref="G3154">IF(B3154="","",_xlfn.XLOOKUP(B3154,'Form responses 1'!$B$2:$B$2604,'Form responses 1'!$E$2:$E$2604,""))</f>
        <v/>
      </c>
      <c r="H3154" s="44" t="str">
        <f t="array" ref="H3154">IF(B3154="","",_xlfn.XLOOKUP(B3154,'Form responses 1'!$B$2:$B$2604,'Form responses 1'!$F$2:$F$2604,""))</f>
        <v/>
      </c>
      <c r="I3154" s="44" t="str">
        <f t="array" ref="I3154">IF(B3154="","",_xlfn.XLOOKUP(B3154,'Form responses 1'!$B$2:$B$2604,'Form responses 1'!$I$2:$I$2604,""))</f>
        <v/>
      </c>
      <c r="J3154" s="44" t="str">
        <f t="array" ref="J3154">IF(B3154="","",_xlfn.XLOOKUP(B3154,'Form responses 1'!$B$2:$B$2604,'Form responses 1'!$G$2:$G$2604,""))</f>
        <v/>
      </c>
      <c r="K3154" s="56"/>
      <c r="L3154" s="58" t="str">
        <f t="shared" si="7"/>
        <v/>
      </c>
      <c r="M3154" s="49"/>
      <c r="N3154" s="49"/>
      <c r="O3154" s="49"/>
      <c r="P3154" s="49"/>
      <c r="Q3154" s="49"/>
      <c r="R3154" s="49"/>
      <c r="S3154" s="49"/>
      <c r="T3154" s="49"/>
      <c r="U3154" s="49"/>
      <c r="V3154" s="49"/>
      <c r="W3154" s="56"/>
      <c r="X3154" s="51" t="str">
        <f t="shared" si="5"/>
        <v/>
      </c>
      <c r="Y3154" s="50" t="s">
        <v>482</v>
      </c>
      <c r="Z3154" s="49">
        <f t="shared" si="6"/>
        <v>0</v>
      </c>
    </row>
    <row r="3155" ht="22.5" customHeight="1">
      <c r="B3155" s="57"/>
      <c r="C3155" s="43" t="str">
        <f t="array" ref="C3155">IF(B3155="","",_xlfn.XLOOKUP(B3155,'Form responses 1'!$B$2:$B$2604,'Form responses 1'!$A$2:$A$2604,""))</f>
        <v/>
      </c>
      <c r="D3155" s="44" t="str">
        <f t="shared" si="3"/>
        <v/>
      </c>
      <c r="E3155" s="44" t="str">
        <f t="array" ref="E3155">IF(B3155="","",_xlfn.XLOOKUP(B3155,'Form responses 1'!$B$2:$B$2604,'Form responses 1'!$C$2:$C$2604,""))</f>
        <v/>
      </c>
      <c r="F3155" s="44" t="str">
        <f t="array" ref="F3155">IF(B3155="","",_xlfn.XLOOKUP(B3155,'Form responses 1'!$B$2:$B$2604,'Form responses 1'!$D$2:$D$2604,""))</f>
        <v/>
      </c>
      <c r="G3155" s="44" t="str">
        <f t="array" ref="G3155">IF(B3155="","",_xlfn.XLOOKUP(B3155,'Form responses 1'!$B$2:$B$2604,'Form responses 1'!$E$2:$E$2604,""))</f>
        <v/>
      </c>
      <c r="H3155" s="44" t="str">
        <f t="array" ref="H3155">IF(B3155="","",_xlfn.XLOOKUP(B3155,'Form responses 1'!$B$2:$B$2604,'Form responses 1'!$F$2:$F$2604,""))</f>
        <v/>
      </c>
      <c r="I3155" s="44" t="str">
        <f t="array" ref="I3155">IF(B3155="","",_xlfn.XLOOKUP(B3155,'Form responses 1'!$B$2:$B$2604,'Form responses 1'!$I$2:$I$2604,""))</f>
        <v/>
      </c>
      <c r="J3155" s="44" t="str">
        <f t="array" ref="J3155">IF(B3155="","",_xlfn.XLOOKUP(B3155,'Form responses 1'!$B$2:$B$2604,'Form responses 1'!$G$2:$G$2604,""))</f>
        <v/>
      </c>
      <c r="K3155" s="56"/>
      <c r="L3155" s="58" t="str">
        <f t="shared" si="7"/>
        <v/>
      </c>
      <c r="M3155" s="49"/>
      <c r="N3155" s="49"/>
      <c r="O3155" s="49"/>
      <c r="P3155" s="49"/>
      <c r="Q3155" s="49"/>
      <c r="R3155" s="49"/>
      <c r="S3155" s="49"/>
      <c r="T3155" s="49"/>
      <c r="U3155" s="49"/>
      <c r="V3155" s="49"/>
      <c r="W3155" s="56"/>
      <c r="X3155" s="51" t="str">
        <f t="shared" si="5"/>
        <v/>
      </c>
      <c r="Y3155" s="50" t="s">
        <v>482</v>
      </c>
      <c r="Z3155" s="49">
        <f t="shared" si="6"/>
        <v>0</v>
      </c>
    </row>
    <row r="3156" ht="22.5" customHeight="1">
      <c r="B3156" s="57"/>
      <c r="C3156" s="43" t="str">
        <f t="array" ref="C3156">IF(B3156="","",_xlfn.XLOOKUP(B3156,'Form responses 1'!$B$2:$B$2604,'Form responses 1'!$A$2:$A$2604,""))</f>
        <v/>
      </c>
      <c r="D3156" s="44" t="str">
        <f t="shared" si="3"/>
        <v/>
      </c>
      <c r="E3156" s="44" t="str">
        <f t="array" ref="E3156">IF(B3156="","",_xlfn.XLOOKUP(B3156,'Form responses 1'!$B$2:$B$2604,'Form responses 1'!$C$2:$C$2604,""))</f>
        <v/>
      </c>
      <c r="F3156" s="44" t="str">
        <f t="array" ref="F3156">IF(B3156="","",_xlfn.XLOOKUP(B3156,'Form responses 1'!$B$2:$B$2604,'Form responses 1'!$D$2:$D$2604,""))</f>
        <v/>
      </c>
      <c r="G3156" s="44" t="str">
        <f t="array" ref="G3156">IF(B3156="","",_xlfn.XLOOKUP(B3156,'Form responses 1'!$B$2:$B$2604,'Form responses 1'!$E$2:$E$2604,""))</f>
        <v/>
      </c>
      <c r="H3156" s="44" t="str">
        <f t="array" ref="H3156">IF(B3156="","",_xlfn.XLOOKUP(B3156,'Form responses 1'!$B$2:$B$2604,'Form responses 1'!$F$2:$F$2604,""))</f>
        <v/>
      </c>
      <c r="I3156" s="44" t="str">
        <f t="array" ref="I3156">IF(B3156="","",_xlfn.XLOOKUP(B3156,'Form responses 1'!$B$2:$B$2604,'Form responses 1'!$I$2:$I$2604,""))</f>
        <v/>
      </c>
      <c r="J3156" s="44" t="str">
        <f t="array" ref="J3156">IF(B3156="","",_xlfn.XLOOKUP(B3156,'Form responses 1'!$B$2:$B$2604,'Form responses 1'!$G$2:$G$2604,""))</f>
        <v/>
      </c>
      <c r="K3156" s="56"/>
      <c r="L3156" s="58" t="str">
        <f t="shared" si="7"/>
        <v/>
      </c>
      <c r="M3156" s="49"/>
      <c r="N3156" s="49"/>
      <c r="O3156" s="49"/>
      <c r="P3156" s="49"/>
      <c r="Q3156" s="49"/>
      <c r="R3156" s="49"/>
      <c r="S3156" s="49"/>
      <c r="T3156" s="49"/>
      <c r="U3156" s="49"/>
      <c r="V3156" s="49"/>
      <c r="W3156" s="56"/>
      <c r="X3156" s="51" t="str">
        <f t="shared" si="5"/>
        <v/>
      </c>
      <c r="Y3156" s="50" t="s">
        <v>482</v>
      </c>
      <c r="Z3156" s="49">
        <f t="shared" si="6"/>
        <v>0</v>
      </c>
    </row>
    <row r="3157" ht="22.5" customHeight="1">
      <c r="B3157" s="57"/>
      <c r="C3157" s="43" t="str">
        <f t="array" ref="C3157">IF(B3157="","",_xlfn.XLOOKUP(B3157,'Form responses 1'!$B$2:$B$2604,'Form responses 1'!$A$2:$A$2604,""))</f>
        <v/>
      </c>
      <c r="D3157" s="44" t="str">
        <f t="shared" si="3"/>
        <v/>
      </c>
      <c r="E3157" s="44" t="str">
        <f t="array" ref="E3157">IF(B3157="","",_xlfn.XLOOKUP(B3157,'Form responses 1'!$B$2:$B$2604,'Form responses 1'!$C$2:$C$2604,""))</f>
        <v/>
      </c>
      <c r="F3157" s="44" t="str">
        <f t="array" ref="F3157">IF(B3157="","",_xlfn.XLOOKUP(B3157,'Form responses 1'!$B$2:$B$2604,'Form responses 1'!$D$2:$D$2604,""))</f>
        <v/>
      </c>
      <c r="G3157" s="44" t="str">
        <f t="array" ref="G3157">IF(B3157="","",_xlfn.XLOOKUP(B3157,'Form responses 1'!$B$2:$B$2604,'Form responses 1'!$E$2:$E$2604,""))</f>
        <v/>
      </c>
      <c r="H3157" s="44" t="str">
        <f t="array" ref="H3157">IF(B3157="","",_xlfn.XLOOKUP(B3157,'Form responses 1'!$B$2:$B$2604,'Form responses 1'!$F$2:$F$2604,""))</f>
        <v/>
      </c>
      <c r="I3157" s="44" t="str">
        <f t="array" ref="I3157">IF(B3157="","",_xlfn.XLOOKUP(B3157,'Form responses 1'!$B$2:$B$2604,'Form responses 1'!$I$2:$I$2604,""))</f>
        <v/>
      </c>
      <c r="J3157" s="44" t="str">
        <f t="array" ref="J3157">IF(B3157="","",_xlfn.XLOOKUP(B3157,'Form responses 1'!$B$2:$B$2604,'Form responses 1'!$G$2:$G$2604,""))</f>
        <v/>
      </c>
      <c r="K3157" s="56"/>
      <c r="L3157" s="58" t="str">
        <f t="shared" si="7"/>
        <v/>
      </c>
      <c r="M3157" s="49"/>
      <c r="N3157" s="49"/>
      <c r="O3157" s="49"/>
      <c r="P3157" s="49"/>
      <c r="Q3157" s="49"/>
      <c r="R3157" s="49"/>
      <c r="S3157" s="49"/>
      <c r="T3157" s="49"/>
      <c r="U3157" s="49"/>
      <c r="V3157" s="49"/>
      <c r="W3157" s="56"/>
      <c r="X3157" s="51" t="str">
        <f t="shared" si="5"/>
        <v/>
      </c>
      <c r="Y3157" s="50" t="s">
        <v>482</v>
      </c>
      <c r="Z3157" s="49">
        <f t="shared" si="6"/>
        <v>0</v>
      </c>
    </row>
    <row r="3158" ht="22.5" customHeight="1">
      <c r="B3158" s="57"/>
      <c r="C3158" s="43" t="str">
        <f t="array" ref="C3158">IF(B3158="","",_xlfn.XLOOKUP(B3158,'Form responses 1'!$B$2:$B$2604,'Form responses 1'!$A$2:$A$2604,""))</f>
        <v/>
      </c>
      <c r="D3158" s="44" t="str">
        <f t="shared" si="3"/>
        <v/>
      </c>
      <c r="E3158" s="44" t="str">
        <f t="array" ref="E3158">IF(B3158="","",_xlfn.XLOOKUP(B3158,'Form responses 1'!$B$2:$B$2604,'Form responses 1'!$C$2:$C$2604,""))</f>
        <v/>
      </c>
      <c r="F3158" s="44" t="str">
        <f t="array" ref="F3158">IF(B3158="","",_xlfn.XLOOKUP(B3158,'Form responses 1'!$B$2:$B$2604,'Form responses 1'!$D$2:$D$2604,""))</f>
        <v/>
      </c>
      <c r="G3158" s="44" t="str">
        <f t="array" ref="G3158">IF(B3158="","",_xlfn.XLOOKUP(B3158,'Form responses 1'!$B$2:$B$2604,'Form responses 1'!$E$2:$E$2604,""))</f>
        <v/>
      </c>
      <c r="H3158" s="44" t="str">
        <f t="array" ref="H3158">IF(B3158="","",_xlfn.XLOOKUP(B3158,'Form responses 1'!$B$2:$B$2604,'Form responses 1'!$F$2:$F$2604,""))</f>
        <v/>
      </c>
      <c r="I3158" s="44" t="str">
        <f t="array" ref="I3158">IF(B3158="","",_xlfn.XLOOKUP(B3158,'Form responses 1'!$B$2:$B$2604,'Form responses 1'!$I$2:$I$2604,""))</f>
        <v/>
      </c>
      <c r="J3158" s="44" t="str">
        <f t="array" ref="J3158">IF(B3158="","",_xlfn.XLOOKUP(B3158,'Form responses 1'!$B$2:$B$2604,'Form responses 1'!$G$2:$G$2604,""))</f>
        <v/>
      </c>
      <c r="K3158" s="56"/>
      <c r="L3158" s="58" t="str">
        <f t="shared" si="7"/>
        <v/>
      </c>
      <c r="M3158" s="49"/>
      <c r="N3158" s="49"/>
      <c r="O3158" s="49"/>
      <c r="P3158" s="49"/>
      <c r="Q3158" s="49"/>
      <c r="R3158" s="49"/>
      <c r="S3158" s="49"/>
      <c r="T3158" s="49"/>
      <c r="U3158" s="49"/>
      <c r="V3158" s="49"/>
      <c r="W3158" s="56"/>
      <c r="X3158" s="51" t="str">
        <f t="shared" si="5"/>
        <v/>
      </c>
      <c r="Y3158" s="50" t="s">
        <v>482</v>
      </c>
      <c r="Z3158" s="49">
        <f t="shared" si="6"/>
        <v>0</v>
      </c>
    </row>
    <row r="3159" ht="22.5" customHeight="1">
      <c r="B3159" s="57"/>
      <c r="C3159" s="43" t="str">
        <f t="array" ref="C3159">IF(B3159="","",_xlfn.XLOOKUP(B3159,'Form responses 1'!$B$2:$B$2604,'Form responses 1'!$A$2:$A$2604,""))</f>
        <v/>
      </c>
      <c r="D3159" s="44" t="str">
        <f t="shared" si="3"/>
        <v/>
      </c>
      <c r="E3159" s="44" t="str">
        <f t="array" ref="E3159">IF(B3159="","",_xlfn.XLOOKUP(B3159,'Form responses 1'!$B$2:$B$2604,'Form responses 1'!$C$2:$C$2604,""))</f>
        <v/>
      </c>
      <c r="F3159" s="44" t="str">
        <f t="array" ref="F3159">IF(B3159="","",_xlfn.XLOOKUP(B3159,'Form responses 1'!$B$2:$B$2604,'Form responses 1'!$D$2:$D$2604,""))</f>
        <v/>
      </c>
      <c r="G3159" s="44" t="str">
        <f t="array" ref="G3159">IF(B3159="","",_xlfn.XLOOKUP(B3159,'Form responses 1'!$B$2:$B$2604,'Form responses 1'!$E$2:$E$2604,""))</f>
        <v/>
      </c>
      <c r="H3159" s="44" t="str">
        <f t="array" ref="H3159">IF(B3159="","",_xlfn.XLOOKUP(B3159,'Form responses 1'!$B$2:$B$2604,'Form responses 1'!$F$2:$F$2604,""))</f>
        <v/>
      </c>
      <c r="I3159" s="44" t="str">
        <f t="array" ref="I3159">IF(B3159="","",_xlfn.XLOOKUP(B3159,'Form responses 1'!$B$2:$B$2604,'Form responses 1'!$I$2:$I$2604,""))</f>
        <v/>
      </c>
      <c r="J3159" s="44" t="str">
        <f t="array" ref="J3159">IF(B3159="","",_xlfn.XLOOKUP(B3159,'Form responses 1'!$B$2:$B$2604,'Form responses 1'!$G$2:$G$2604,""))</f>
        <v/>
      </c>
      <c r="K3159" s="56"/>
      <c r="L3159" s="58" t="str">
        <f t="shared" si="7"/>
        <v/>
      </c>
      <c r="M3159" s="49"/>
      <c r="N3159" s="49"/>
      <c r="O3159" s="49"/>
      <c r="P3159" s="49"/>
      <c r="Q3159" s="49"/>
      <c r="R3159" s="49"/>
      <c r="S3159" s="49"/>
      <c r="T3159" s="49"/>
      <c r="U3159" s="49"/>
      <c r="V3159" s="49"/>
      <c r="W3159" s="56"/>
      <c r="X3159" s="51" t="str">
        <f t="shared" si="5"/>
        <v/>
      </c>
      <c r="Y3159" s="50" t="s">
        <v>482</v>
      </c>
      <c r="Z3159" s="49">
        <f t="shared" si="6"/>
        <v>0</v>
      </c>
    </row>
    <row r="3160" ht="22.5" customHeight="1">
      <c r="B3160" s="57"/>
      <c r="C3160" s="43" t="str">
        <f t="array" ref="C3160">IF(B3160="","",_xlfn.XLOOKUP(B3160,'Form responses 1'!$B$2:$B$2604,'Form responses 1'!$A$2:$A$2604,""))</f>
        <v/>
      </c>
      <c r="D3160" s="44" t="str">
        <f t="shared" si="3"/>
        <v/>
      </c>
      <c r="E3160" s="44" t="str">
        <f t="array" ref="E3160">IF(B3160="","",_xlfn.XLOOKUP(B3160,'Form responses 1'!$B$2:$B$2604,'Form responses 1'!$C$2:$C$2604,""))</f>
        <v/>
      </c>
      <c r="F3160" s="44" t="str">
        <f t="array" ref="F3160">IF(B3160="","",_xlfn.XLOOKUP(B3160,'Form responses 1'!$B$2:$B$2604,'Form responses 1'!$D$2:$D$2604,""))</f>
        <v/>
      </c>
      <c r="G3160" s="44" t="str">
        <f t="array" ref="G3160">IF(B3160="","",_xlfn.XLOOKUP(B3160,'Form responses 1'!$B$2:$B$2604,'Form responses 1'!$E$2:$E$2604,""))</f>
        <v/>
      </c>
      <c r="H3160" s="44" t="str">
        <f t="array" ref="H3160">IF(B3160="","",_xlfn.XLOOKUP(B3160,'Form responses 1'!$B$2:$B$2604,'Form responses 1'!$F$2:$F$2604,""))</f>
        <v/>
      </c>
      <c r="I3160" s="44" t="str">
        <f t="array" ref="I3160">IF(B3160="","",_xlfn.XLOOKUP(B3160,'Form responses 1'!$B$2:$B$2604,'Form responses 1'!$I$2:$I$2604,""))</f>
        <v/>
      </c>
      <c r="J3160" s="44" t="str">
        <f t="array" ref="J3160">IF(B3160="","",_xlfn.XLOOKUP(B3160,'Form responses 1'!$B$2:$B$2604,'Form responses 1'!$G$2:$G$2604,""))</f>
        <v/>
      </c>
      <c r="K3160" s="56"/>
      <c r="L3160" s="58" t="str">
        <f t="shared" si="7"/>
        <v/>
      </c>
      <c r="M3160" s="49"/>
      <c r="N3160" s="49"/>
      <c r="O3160" s="49"/>
      <c r="P3160" s="49"/>
      <c r="Q3160" s="49"/>
      <c r="R3160" s="49"/>
      <c r="S3160" s="49"/>
      <c r="T3160" s="49"/>
      <c r="U3160" s="49"/>
      <c r="V3160" s="49"/>
      <c r="W3160" s="56"/>
      <c r="X3160" s="51" t="str">
        <f t="shared" si="5"/>
        <v/>
      </c>
      <c r="Y3160" s="50" t="s">
        <v>482</v>
      </c>
      <c r="Z3160" s="49">
        <f t="shared" si="6"/>
        <v>0</v>
      </c>
    </row>
    <row r="3161" ht="22.5" customHeight="1">
      <c r="B3161" s="57"/>
      <c r="C3161" s="43" t="str">
        <f t="array" ref="C3161">IF(B3161="","",_xlfn.XLOOKUP(B3161,'Form responses 1'!$B$2:$B$2604,'Form responses 1'!$A$2:$A$2604,""))</f>
        <v/>
      </c>
      <c r="D3161" s="44" t="str">
        <f t="shared" si="3"/>
        <v/>
      </c>
      <c r="E3161" s="44" t="str">
        <f t="array" ref="E3161">IF(B3161="","",_xlfn.XLOOKUP(B3161,'Form responses 1'!$B$2:$B$2604,'Form responses 1'!$C$2:$C$2604,""))</f>
        <v/>
      </c>
      <c r="F3161" s="44" t="str">
        <f t="array" ref="F3161">IF(B3161="","",_xlfn.XLOOKUP(B3161,'Form responses 1'!$B$2:$B$2604,'Form responses 1'!$D$2:$D$2604,""))</f>
        <v/>
      </c>
      <c r="G3161" s="44" t="str">
        <f t="array" ref="G3161">IF(B3161="","",_xlfn.XLOOKUP(B3161,'Form responses 1'!$B$2:$B$2604,'Form responses 1'!$E$2:$E$2604,""))</f>
        <v/>
      </c>
      <c r="H3161" s="44" t="str">
        <f t="array" ref="H3161">IF(B3161="","",_xlfn.XLOOKUP(B3161,'Form responses 1'!$B$2:$B$2604,'Form responses 1'!$F$2:$F$2604,""))</f>
        <v/>
      </c>
      <c r="I3161" s="44" t="str">
        <f t="array" ref="I3161">IF(B3161="","",_xlfn.XLOOKUP(B3161,'Form responses 1'!$B$2:$B$2604,'Form responses 1'!$I$2:$I$2604,""))</f>
        <v/>
      </c>
      <c r="J3161" s="44" t="str">
        <f t="array" ref="J3161">IF(B3161="","",_xlfn.XLOOKUP(B3161,'Form responses 1'!$B$2:$B$2604,'Form responses 1'!$G$2:$G$2604,""))</f>
        <v/>
      </c>
      <c r="K3161" s="56"/>
      <c r="L3161" s="58" t="str">
        <f t="shared" si="7"/>
        <v/>
      </c>
      <c r="M3161" s="49"/>
      <c r="N3161" s="49"/>
      <c r="O3161" s="49"/>
      <c r="P3161" s="49"/>
      <c r="Q3161" s="49"/>
      <c r="R3161" s="49"/>
      <c r="S3161" s="49"/>
      <c r="T3161" s="49"/>
      <c r="U3161" s="49"/>
      <c r="V3161" s="49"/>
      <c r="W3161" s="56"/>
      <c r="X3161" s="51" t="str">
        <f t="shared" si="5"/>
        <v/>
      </c>
      <c r="Y3161" s="50" t="s">
        <v>482</v>
      </c>
      <c r="Z3161" s="49">
        <f t="shared" si="6"/>
        <v>0</v>
      </c>
    </row>
    <row r="3162" ht="22.5" customHeight="1">
      <c r="B3162" s="57"/>
      <c r="C3162" s="43" t="str">
        <f t="array" ref="C3162">IF(B3162="","",_xlfn.XLOOKUP(B3162,'Form responses 1'!$B$2:$B$2604,'Form responses 1'!$A$2:$A$2604,""))</f>
        <v/>
      </c>
      <c r="D3162" s="44" t="str">
        <f t="shared" si="3"/>
        <v/>
      </c>
      <c r="E3162" s="44" t="str">
        <f t="array" ref="E3162">IF(B3162="","",_xlfn.XLOOKUP(B3162,'Form responses 1'!$B$2:$B$2604,'Form responses 1'!$C$2:$C$2604,""))</f>
        <v/>
      </c>
      <c r="F3162" s="44" t="str">
        <f t="array" ref="F3162">IF(B3162="","",_xlfn.XLOOKUP(B3162,'Form responses 1'!$B$2:$B$2604,'Form responses 1'!$D$2:$D$2604,""))</f>
        <v/>
      </c>
      <c r="G3162" s="44" t="str">
        <f t="array" ref="G3162">IF(B3162="","",_xlfn.XLOOKUP(B3162,'Form responses 1'!$B$2:$B$2604,'Form responses 1'!$E$2:$E$2604,""))</f>
        <v/>
      </c>
      <c r="H3162" s="44" t="str">
        <f t="array" ref="H3162">IF(B3162="","",_xlfn.XLOOKUP(B3162,'Form responses 1'!$B$2:$B$2604,'Form responses 1'!$F$2:$F$2604,""))</f>
        <v/>
      </c>
      <c r="I3162" s="44" t="str">
        <f t="array" ref="I3162">IF(B3162="","",_xlfn.XLOOKUP(B3162,'Form responses 1'!$B$2:$B$2604,'Form responses 1'!$I$2:$I$2604,""))</f>
        <v/>
      </c>
      <c r="J3162" s="44" t="str">
        <f t="array" ref="J3162">IF(B3162="","",_xlfn.XLOOKUP(B3162,'Form responses 1'!$B$2:$B$2604,'Form responses 1'!$G$2:$G$2604,""))</f>
        <v/>
      </c>
      <c r="K3162" s="56"/>
      <c r="L3162" s="58" t="str">
        <f t="shared" si="7"/>
        <v/>
      </c>
      <c r="M3162" s="49"/>
      <c r="N3162" s="49"/>
      <c r="O3162" s="49"/>
      <c r="P3162" s="49"/>
      <c r="Q3162" s="49"/>
      <c r="R3162" s="49"/>
      <c r="S3162" s="49"/>
      <c r="T3162" s="49"/>
      <c r="U3162" s="49"/>
      <c r="V3162" s="49"/>
      <c r="W3162" s="56"/>
      <c r="X3162" s="51" t="str">
        <f t="shared" si="5"/>
        <v/>
      </c>
      <c r="Y3162" s="50" t="s">
        <v>482</v>
      </c>
      <c r="Z3162" s="49">
        <f t="shared" si="6"/>
        <v>0</v>
      </c>
    </row>
    <row r="3163" ht="22.5" customHeight="1">
      <c r="B3163" s="57"/>
      <c r="C3163" s="43" t="str">
        <f t="array" ref="C3163">IF(B3163="","",_xlfn.XLOOKUP(B3163,'Form responses 1'!$B$2:$B$2604,'Form responses 1'!$A$2:$A$2604,""))</f>
        <v/>
      </c>
      <c r="D3163" s="44" t="str">
        <f t="shared" si="3"/>
        <v/>
      </c>
      <c r="E3163" s="44" t="str">
        <f t="array" ref="E3163">IF(B3163="","",_xlfn.XLOOKUP(B3163,'Form responses 1'!$B$2:$B$2604,'Form responses 1'!$C$2:$C$2604,""))</f>
        <v/>
      </c>
      <c r="F3163" s="44" t="str">
        <f t="array" ref="F3163">IF(B3163="","",_xlfn.XLOOKUP(B3163,'Form responses 1'!$B$2:$B$2604,'Form responses 1'!$D$2:$D$2604,""))</f>
        <v/>
      </c>
      <c r="G3163" s="44" t="str">
        <f t="array" ref="G3163">IF(B3163="","",_xlfn.XLOOKUP(B3163,'Form responses 1'!$B$2:$B$2604,'Form responses 1'!$E$2:$E$2604,""))</f>
        <v/>
      </c>
      <c r="H3163" s="44" t="str">
        <f t="array" ref="H3163">IF(B3163="","",_xlfn.XLOOKUP(B3163,'Form responses 1'!$B$2:$B$2604,'Form responses 1'!$F$2:$F$2604,""))</f>
        <v/>
      </c>
      <c r="I3163" s="44" t="str">
        <f t="array" ref="I3163">IF(B3163="","",_xlfn.XLOOKUP(B3163,'Form responses 1'!$B$2:$B$2604,'Form responses 1'!$I$2:$I$2604,""))</f>
        <v/>
      </c>
      <c r="J3163" s="44" t="str">
        <f t="array" ref="J3163">IF(B3163="","",_xlfn.XLOOKUP(B3163,'Form responses 1'!$B$2:$B$2604,'Form responses 1'!$G$2:$G$2604,""))</f>
        <v/>
      </c>
      <c r="K3163" s="56"/>
      <c r="L3163" s="58" t="str">
        <f t="shared" si="7"/>
        <v/>
      </c>
      <c r="M3163" s="49"/>
      <c r="N3163" s="49"/>
      <c r="O3163" s="49"/>
      <c r="P3163" s="49"/>
      <c r="Q3163" s="49"/>
      <c r="R3163" s="49"/>
      <c r="S3163" s="49"/>
      <c r="T3163" s="49"/>
      <c r="U3163" s="49"/>
      <c r="V3163" s="49"/>
      <c r="W3163" s="56"/>
      <c r="X3163" s="51" t="str">
        <f t="shared" si="5"/>
        <v/>
      </c>
      <c r="Y3163" s="50" t="s">
        <v>482</v>
      </c>
      <c r="Z3163" s="49">
        <f t="shared" si="6"/>
        <v>0</v>
      </c>
    </row>
    <row r="3164" ht="22.5" customHeight="1">
      <c r="B3164" s="57"/>
      <c r="C3164" s="43" t="str">
        <f t="array" ref="C3164">IF(B3164="","",_xlfn.XLOOKUP(B3164,'Form responses 1'!$B$2:$B$2604,'Form responses 1'!$A$2:$A$2604,""))</f>
        <v/>
      </c>
      <c r="D3164" s="44" t="str">
        <f t="shared" si="3"/>
        <v/>
      </c>
      <c r="E3164" s="44" t="str">
        <f t="array" ref="E3164">IF(B3164="","",_xlfn.XLOOKUP(B3164,'Form responses 1'!$B$2:$B$2604,'Form responses 1'!$C$2:$C$2604,""))</f>
        <v/>
      </c>
      <c r="F3164" s="44" t="str">
        <f t="array" ref="F3164">IF(B3164="","",_xlfn.XLOOKUP(B3164,'Form responses 1'!$B$2:$B$2604,'Form responses 1'!$D$2:$D$2604,""))</f>
        <v/>
      </c>
      <c r="G3164" s="44" t="str">
        <f t="array" ref="G3164">IF(B3164="","",_xlfn.XLOOKUP(B3164,'Form responses 1'!$B$2:$B$2604,'Form responses 1'!$E$2:$E$2604,""))</f>
        <v/>
      </c>
      <c r="H3164" s="44" t="str">
        <f t="array" ref="H3164">IF(B3164="","",_xlfn.XLOOKUP(B3164,'Form responses 1'!$B$2:$B$2604,'Form responses 1'!$F$2:$F$2604,""))</f>
        <v/>
      </c>
      <c r="I3164" s="44" t="str">
        <f t="array" ref="I3164">IF(B3164="","",_xlfn.XLOOKUP(B3164,'Form responses 1'!$B$2:$B$2604,'Form responses 1'!$I$2:$I$2604,""))</f>
        <v/>
      </c>
      <c r="J3164" s="44" t="str">
        <f t="array" ref="J3164">IF(B3164="","",_xlfn.XLOOKUP(B3164,'Form responses 1'!$B$2:$B$2604,'Form responses 1'!$G$2:$G$2604,""))</f>
        <v/>
      </c>
      <c r="K3164" s="56"/>
      <c r="L3164" s="58" t="str">
        <f t="shared" si="7"/>
        <v/>
      </c>
      <c r="M3164" s="49"/>
      <c r="N3164" s="49"/>
      <c r="O3164" s="49"/>
      <c r="P3164" s="49"/>
      <c r="Q3164" s="49"/>
      <c r="R3164" s="49"/>
      <c r="S3164" s="49"/>
      <c r="T3164" s="49"/>
      <c r="U3164" s="49"/>
      <c r="V3164" s="49"/>
      <c r="W3164" s="56"/>
      <c r="X3164" s="51" t="str">
        <f t="shared" si="5"/>
        <v/>
      </c>
      <c r="Y3164" s="50" t="s">
        <v>482</v>
      </c>
      <c r="Z3164" s="49">
        <f t="shared" si="6"/>
        <v>0</v>
      </c>
    </row>
    <row r="3165" ht="22.5" customHeight="1">
      <c r="B3165" s="57"/>
      <c r="C3165" s="43" t="str">
        <f t="array" ref="C3165">IF(B3165="","",_xlfn.XLOOKUP(B3165,'Form responses 1'!$B$2:$B$2604,'Form responses 1'!$A$2:$A$2604,""))</f>
        <v/>
      </c>
      <c r="D3165" s="44" t="str">
        <f t="shared" si="3"/>
        <v/>
      </c>
      <c r="E3165" s="44" t="str">
        <f t="array" ref="E3165">IF(B3165="","",_xlfn.XLOOKUP(B3165,'Form responses 1'!$B$2:$B$2604,'Form responses 1'!$C$2:$C$2604,""))</f>
        <v/>
      </c>
      <c r="F3165" s="44" t="str">
        <f t="array" ref="F3165">IF(B3165="","",_xlfn.XLOOKUP(B3165,'Form responses 1'!$B$2:$B$2604,'Form responses 1'!$D$2:$D$2604,""))</f>
        <v/>
      </c>
      <c r="G3165" s="44" t="str">
        <f t="array" ref="G3165">IF(B3165="","",_xlfn.XLOOKUP(B3165,'Form responses 1'!$B$2:$B$2604,'Form responses 1'!$E$2:$E$2604,""))</f>
        <v/>
      </c>
      <c r="H3165" s="44" t="str">
        <f t="array" ref="H3165">IF(B3165="","",_xlfn.XLOOKUP(B3165,'Form responses 1'!$B$2:$B$2604,'Form responses 1'!$F$2:$F$2604,""))</f>
        <v/>
      </c>
      <c r="I3165" s="44" t="str">
        <f t="array" ref="I3165">IF(B3165="","",_xlfn.XLOOKUP(B3165,'Form responses 1'!$B$2:$B$2604,'Form responses 1'!$I$2:$I$2604,""))</f>
        <v/>
      </c>
      <c r="J3165" s="44" t="str">
        <f t="array" ref="J3165">IF(B3165="","",_xlfn.XLOOKUP(B3165,'Form responses 1'!$B$2:$B$2604,'Form responses 1'!$G$2:$G$2604,""))</f>
        <v/>
      </c>
      <c r="K3165" s="56"/>
      <c r="L3165" s="58" t="str">
        <f t="shared" si="7"/>
        <v/>
      </c>
      <c r="M3165" s="49"/>
      <c r="N3165" s="49"/>
      <c r="O3165" s="49"/>
      <c r="P3165" s="49"/>
      <c r="Q3165" s="49"/>
      <c r="R3165" s="49"/>
      <c r="S3165" s="49"/>
      <c r="T3165" s="49"/>
      <c r="U3165" s="49"/>
      <c r="V3165" s="49"/>
      <c r="W3165" s="56"/>
      <c r="X3165" s="51" t="str">
        <f t="shared" si="5"/>
        <v/>
      </c>
      <c r="Y3165" s="50" t="s">
        <v>482</v>
      </c>
      <c r="Z3165" s="49">
        <f t="shared" si="6"/>
        <v>0</v>
      </c>
    </row>
    <row r="3166" ht="22.5" customHeight="1">
      <c r="B3166" s="57"/>
      <c r="C3166" s="43" t="str">
        <f t="array" ref="C3166">IF(B3166="","",_xlfn.XLOOKUP(B3166,'Form responses 1'!$B$2:$B$2604,'Form responses 1'!$A$2:$A$2604,""))</f>
        <v/>
      </c>
      <c r="D3166" s="44" t="str">
        <f t="shared" si="3"/>
        <v/>
      </c>
      <c r="E3166" s="44" t="str">
        <f t="array" ref="E3166">IF(B3166="","",_xlfn.XLOOKUP(B3166,'Form responses 1'!$B$2:$B$2604,'Form responses 1'!$C$2:$C$2604,""))</f>
        <v/>
      </c>
      <c r="F3166" s="44" t="str">
        <f t="array" ref="F3166">IF(B3166="","",_xlfn.XLOOKUP(B3166,'Form responses 1'!$B$2:$B$2604,'Form responses 1'!$D$2:$D$2604,""))</f>
        <v/>
      </c>
      <c r="G3166" s="44" t="str">
        <f t="array" ref="G3166">IF(B3166="","",_xlfn.XLOOKUP(B3166,'Form responses 1'!$B$2:$B$2604,'Form responses 1'!$E$2:$E$2604,""))</f>
        <v/>
      </c>
      <c r="H3166" s="44" t="str">
        <f t="array" ref="H3166">IF(B3166="","",_xlfn.XLOOKUP(B3166,'Form responses 1'!$B$2:$B$2604,'Form responses 1'!$F$2:$F$2604,""))</f>
        <v/>
      </c>
      <c r="I3166" s="44" t="str">
        <f t="array" ref="I3166">IF(B3166="","",_xlfn.XLOOKUP(B3166,'Form responses 1'!$B$2:$B$2604,'Form responses 1'!$I$2:$I$2604,""))</f>
        <v/>
      </c>
      <c r="J3166" s="44" t="str">
        <f t="array" ref="J3166">IF(B3166="","",_xlfn.XLOOKUP(B3166,'Form responses 1'!$B$2:$B$2604,'Form responses 1'!$G$2:$G$2604,""))</f>
        <v/>
      </c>
      <c r="K3166" s="56"/>
      <c r="L3166" s="58" t="str">
        <f t="shared" si="7"/>
        <v/>
      </c>
      <c r="M3166" s="49"/>
      <c r="N3166" s="49"/>
      <c r="O3166" s="49"/>
      <c r="P3166" s="49"/>
      <c r="Q3166" s="49"/>
      <c r="R3166" s="49"/>
      <c r="S3166" s="49"/>
      <c r="T3166" s="49"/>
      <c r="U3166" s="49"/>
      <c r="V3166" s="49"/>
      <c r="W3166" s="56"/>
      <c r="X3166" s="51" t="str">
        <f t="shared" si="5"/>
        <v/>
      </c>
      <c r="Y3166" s="50" t="s">
        <v>482</v>
      </c>
      <c r="Z3166" s="49">
        <f t="shared" si="6"/>
        <v>0</v>
      </c>
    </row>
    <row r="3167" ht="22.5" customHeight="1">
      <c r="B3167" s="57"/>
      <c r="C3167" s="43" t="str">
        <f t="array" ref="C3167">IF(B3167="","",_xlfn.XLOOKUP(B3167,'Form responses 1'!$B$2:$B$2604,'Form responses 1'!$A$2:$A$2604,""))</f>
        <v/>
      </c>
      <c r="D3167" s="44" t="str">
        <f t="shared" si="3"/>
        <v/>
      </c>
      <c r="E3167" s="44" t="str">
        <f t="array" ref="E3167">IF(B3167="","",_xlfn.XLOOKUP(B3167,'Form responses 1'!$B$2:$B$2604,'Form responses 1'!$C$2:$C$2604,""))</f>
        <v/>
      </c>
      <c r="F3167" s="44" t="str">
        <f t="array" ref="F3167">IF(B3167="","",_xlfn.XLOOKUP(B3167,'Form responses 1'!$B$2:$B$2604,'Form responses 1'!$D$2:$D$2604,""))</f>
        <v/>
      </c>
      <c r="G3167" s="44" t="str">
        <f t="array" ref="G3167">IF(B3167="","",_xlfn.XLOOKUP(B3167,'Form responses 1'!$B$2:$B$2604,'Form responses 1'!$E$2:$E$2604,""))</f>
        <v/>
      </c>
      <c r="H3167" s="44" t="str">
        <f t="array" ref="H3167">IF(B3167="","",_xlfn.XLOOKUP(B3167,'Form responses 1'!$B$2:$B$2604,'Form responses 1'!$F$2:$F$2604,""))</f>
        <v/>
      </c>
      <c r="I3167" s="44" t="str">
        <f t="array" ref="I3167">IF(B3167="","",_xlfn.XLOOKUP(B3167,'Form responses 1'!$B$2:$B$2604,'Form responses 1'!$I$2:$I$2604,""))</f>
        <v/>
      </c>
      <c r="J3167" s="44" t="str">
        <f t="array" ref="J3167">IF(B3167="","",_xlfn.XLOOKUP(B3167,'Form responses 1'!$B$2:$B$2604,'Form responses 1'!$G$2:$G$2604,""))</f>
        <v/>
      </c>
      <c r="K3167" s="56"/>
      <c r="L3167" s="58" t="str">
        <f t="shared" si="7"/>
        <v/>
      </c>
      <c r="M3167" s="49"/>
      <c r="N3167" s="49"/>
      <c r="O3167" s="49"/>
      <c r="P3167" s="49"/>
      <c r="Q3167" s="49"/>
      <c r="R3167" s="49"/>
      <c r="S3167" s="49"/>
      <c r="T3167" s="49"/>
      <c r="U3167" s="49"/>
      <c r="V3167" s="49"/>
      <c r="W3167" s="56"/>
      <c r="X3167" s="51" t="str">
        <f t="shared" si="5"/>
        <v/>
      </c>
      <c r="Y3167" s="50" t="s">
        <v>482</v>
      </c>
      <c r="Z3167" s="49">
        <f t="shared" si="6"/>
        <v>0</v>
      </c>
    </row>
    <row r="3168" ht="22.5" customHeight="1">
      <c r="B3168" s="57"/>
      <c r="C3168" s="43" t="str">
        <f t="array" ref="C3168">IF(B3168="","",_xlfn.XLOOKUP(B3168,'Form responses 1'!$B$2:$B$2604,'Form responses 1'!$A$2:$A$2604,""))</f>
        <v/>
      </c>
      <c r="D3168" s="44" t="str">
        <f t="shared" si="3"/>
        <v/>
      </c>
      <c r="E3168" s="44" t="str">
        <f t="array" ref="E3168">IF(B3168="","",_xlfn.XLOOKUP(B3168,'Form responses 1'!$B$2:$B$2604,'Form responses 1'!$C$2:$C$2604,""))</f>
        <v/>
      </c>
      <c r="F3168" s="44" t="str">
        <f t="array" ref="F3168">IF(B3168="","",_xlfn.XLOOKUP(B3168,'Form responses 1'!$B$2:$B$2604,'Form responses 1'!$D$2:$D$2604,""))</f>
        <v/>
      </c>
      <c r="G3168" s="44" t="str">
        <f t="array" ref="G3168">IF(B3168="","",_xlfn.XLOOKUP(B3168,'Form responses 1'!$B$2:$B$2604,'Form responses 1'!$E$2:$E$2604,""))</f>
        <v/>
      </c>
      <c r="H3168" s="44" t="str">
        <f t="array" ref="H3168">IF(B3168="","",_xlfn.XLOOKUP(B3168,'Form responses 1'!$B$2:$B$2604,'Form responses 1'!$F$2:$F$2604,""))</f>
        <v/>
      </c>
      <c r="I3168" s="44" t="str">
        <f t="array" ref="I3168">IF(B3168="","",_xlfn.XLOOKUP(B3168,'Form responses 1'!$B$2:$B$2604,'Form responses 1'!$I$2:$I$2604,""))</f>
        <v/>
      </c>
      <c r="J3168" s="44" t="str">
        <f t="array" ref="J3168">IF(B3168="","",_xlfn.XLOOKUP(B3168,'Form responses 1'!$B$2:$B$2604,'Form responses 1'!$G$2:$G$2604,""))</f>
        <v/>
      </c>
      <c r="K3168" s="56"/>
      <c r="L3168" s="58" t="str">
        <f t="shared" si="7"/>
        <v/>
      </c>
      <c r="M3168" s="49"/>
      <c r="N3168" s="49"/>
      <c r="O3168" s="49"/>
      <c r="P3168" s="49"/>
      <c r="Q3168" s="49"/>
      <c r="R3168" s="49"/>
      <c r="S3168" s="49"/>
      <c r="T3168" s="49"/>
      <c r="U3168" s="49"/>
      <c r="V3168" s="49"/>
      <c r="W3168" s="56"/>
      <c r="X3168" s="51" t="str">
        <f t="shared" si="5"/>
        <v/>
      </c>
      <c r="Y3168" s="50" t="s">
        <v>482</v>
      </c>
      <c r="Z3168" s="49">
        <f t="shared" si="6"/>
        <v>0</v>
      </c>
    </row>
    <row r="3169" ht="22.5" customHeight="1">
      <c r="B3169" s="57"/>
      <c r="C3169" s="43" t="str">
        <f t="array" ref="C3169">IF(B3169="","",_xlfn.XLOOKUP(B3169,'Form responses 1'!$B$2:$B$2604,'Form responses 1'!$A$2:$A$2604,""))</f>
        <v/>
      </c>
      <c r="D3169" s="44" t="str">
        <f t="shared" si="3"/>
        <v/>
      </c>
      <c r="E3169" s="44" t="str">
        <f t="array" ref="E3169">IF(B3169="","",_xlfn.XLOOKUP(B3169,'Form responses 1'!$B$2:$B$2604,'Form responses 1'!$C$2:$C$2604,""))</f>
        <v/>
      </c>
      <c r="F3169" s="44" t="str">
        <f t="array" ref="F3169">IF(B3169="","",_xlfn.XLOOKUP(B3169,'Form responses 1'!$B$2:$B$2604,'Form responses 1'!$D$2:$D$2604,""))</f>
        <v/>
      </c>
      <c r="G3169" s="44" t="str">
        <f t="array" ref="G3169">IF(B3169="","",_xlfn.XLOOKUP(B3169,'Form responses 1'!$B$2:$B$2604,'Form responses 1'!$E$2:$E$2604,""))</f>
        <v/>
      </c>
      <c r="H3169" s="44" t="str">
        <f t="array" ref="H3169">IF(B3169="","",_xlfn.XLOOKUP(B3169,'Form responses 1'!$B$2:$B$2604,'Form responses 1'!$F$2:$F$2604,""))</f>
        <v/>
      </c>
      <c r="I3169" s="44" t="str">
        <f t="array" ref="I3169">IF(B3169="","",_xlfn.XLOOKUP(B3169,'Form responses 1'!$B$2:$B$2604,'Form responses 1'!$I$2:$I$2604,""))</f>
        <v/>
      </c>
      <c r="J3169" s="44" t="str">
        <f t="array" ref="J3169">IF(B3169="","",_xlfn.XLOOKUP(B3169,'Form responses 1'!$B$2:$B$2604,'Form responses 1'!$G$2:$G$2604,""))</f>
        <v/>
      </c>
      <c r="K3169" s="56"/>
      <c r="L3169" s="58" t="str">
        <f t="shared" si="7"/>
        <v/>
      </c>
      <c r="M3169" s="49"/>
      <c r="N3169" s="49"/>
      <c r="O3169" s="49"/>
      <c r="P3169" s="49"/>
      <c r="Q3169" s="49"/>
      <c r="R3169" s="49"/>
      <c r="S3169" s="49"/>
      <c r="T3169" s="49"/>
      <c r="U3169" s="49"/>
      <c r="V3169" s="49"/>
      <c r="W3169" s="56"/>
      <c r="X3169" s="51" t="str">
        <f t="shared" si="5"/>
        <v/>
      </c>
      <c r="Y3169" s="50" t="s">
        <v>482</v>
      </c>
      <c r="Z3169" s="49">
        <f t="shared" si="6"/>
        <v>0</v>
      </c>
    </row>
    <row r="3170" ht="22.5" customHeight="1">
      <c r="B3170" s="57"/>
      <c r="C3170" s="43" t="str">
        <f t="array" ref="C3170">IF(B3170="","",_xlfn.XLOOKUP(B3170,'Form responses 1'!$B$2:$B$2604,'Form responses 1'!$A$2:$A$2604,""))</f>
        <v/>
      </c>
      <c r="D3170" s="44" t="str">
        <f t="shared" si="3"/>
        <v/>
      </c>
      <c r="E3170" s="44" t="str">
        <f t="array" ref="E3170">IF(B3170="","",_xlfn.XLOOKUP(B3170,'Form responses 1'!$B$2:$B$2604,'Form responses 1'!$C$2:$C$2604,""))</f>
        <v/>
      </c>
      <c r="F3170" s="44" t="str">
        <f t="array" ref="F3170">IF(B3170="","",_xlfn.XLOOKUP(B3170,'Form responses 1'!$B$2:$B$2604,'Form responses 1'!$D$2:$D$2604,""))</f>
        <v/>
      </c>
      <c r="G3170" s="44" t="str">
        <f t="array" ref="G3170">IF(B3170="","",_xlfn.XLOOKUP(B3170,'Form responses 1'!$B$2:$B$2604,'Form responses 1'!$E$2:$E$2604,""))</f>
        <v/>
      </c>
      <c r="H3170" s="44" t="str">
        <f t="array" ref="H3170">IF(B3170="","",_xlfn.XLOOKUP(B3170,'Form responses 1'!$B$2:$B$2604,'Form responses 1'!$F$2:$F$2604,""))</f>
        <v/>
      </c>
      <c r="I3170" s="44" t="str">
        <f t="array" ref="I3170">IF(B3170="","",_xlfn.XLOOKUP(B3170,'Form responses 1'!$B$2:$B$2604,'Form responses 1'!$I$2:$I$2604,""))</f>
        <v/>
      </c>
      <c r="J3170" s="44" t="str">
        <f t="array" ref="J3170">IF(B3170="","",_xlfn.XLOOKUP(B3170,'Form responses 1'!$B$2:$B$2604,'Form responses 1'!$G$2:$G$2604,""))</f>
        <v/>
      </c>
      <c r="K3170" s="56"/>
      <c r="L3170" s="58" t="str">
        <f t="shared" si="7"/>
        <v/>
      </c>
      <c r="M3170" s="49"/>
      <c r="N3170" s="49"/>
      <c r="O3170" s="49"/>
      <c r="P3170" s="49"/>
      <c r="Q3170" s="49"/>
      <c r="R3170" s="49"/>
      <c r="S3170" s="49"/>
      <c r="T3170" s="49"/>
      <c r="U3170" s="49"/>
      <c r="V3170" s="49"/>
      <c r="W3170" s="56"/>
      <c r="X3170" s="51" t="str">
        <f t="shared" si="5"/>
        <v/>
      </c>
      <c r="Y3170" s="50" t="s">
        <v>482</v>
      </c>
      <c r="Z3170" s="49">
        <f t="shared" si="6"/>
        <v>0</v>
      </c>
    </row>
    <row r="3171" ht="22.5" customHeight="1">
      <c r="B3171" s="57"/>
      <c r="C3171" s="43" t="str">
        <f t="array" ref="C3171">IF(B3171="","",_xlfn.XLOOKUP(B3171,'Form responses 1'!$B$2:$B$2604,'Form responses 1'!$A$2:$A$2604,""))</f>
        <v/>
      </c>
      <c r="D3171" s="44" t="str">
        <f t="shared" si="3"/>
        <v/>
      </c>
      <c r="E3171" s="44" t="str">
        <f t="array" ref="E3171">IF(B3171="","",_xlfn.XLOOKUP(B3171,'Form responses 1'!$B$2:$B$2604,'Form responses 1'!$C$2:$C$2604,""))</f>
        <v/>
      </c>
      <c r="F3171" s="44" t="str">
        <f t="array" ref="F3171">IF(B3171="","",_xlfn.XLOOKUP(B3171,'Form responses 1'!$B$2:$B$2604,'Form responses 1'!$D$2:$D$2604,""))</f>
        <v/>
      </c>
      <c r="G3171" s="44" t="str">
        <f t="array" ref="G3171">IF(B3171="","",_xlfn.XLOOKUP(B3171,'Form responses 1'!$B$2:$B$2604,'Form responses 1'!$E$2:$E$2604,""))</f>
        <v/>
      </c>
      <c r="H3171" s="44" t="str">
        <f t="array" ref="H3171">IF(B3171="","",_xlfn.XLOOKUP(B3171,'Form responses 1'!$B$2:$B$2604,'Form responses 1'!$F$2:$F$2604,""))</f>
        <v/>
      </c>
      <c r="I3171" s="44" t="str">
        <f t="array" ref="I3171">IF(B3171="","",_xlfn.XLOOKUP(B3171,'Form responses 1'!$B$2:$B$2604,'Form responses 1'!$I$2:$I$2604,""))</f>
        <v/>
      </c>
      <c r="J3171" s="44" t="str">
        <f t="array" ref="J3171">IF(B3171="","",_xlfn.XLOOKUP(B3171,'Form responses 1'!$B$2:$B$2604,'Form responses 1'!$G$2:$G$2604,""))</f>
        <v/>
      </c>
      <c r="K3171" s="56"/>
      <c r="L3171" s="58" t="str">
        <f t="shared" si="7"/>
        <v/>
      </c>
      <c r="M3171" s="49"/>
      <c r="N3171" s="49"/>
      <c r="O3171" s="49"/>
      <c r="P3171" s="49"/>
      <c r="Q3171" s="49"/>
      <c r="R3171" s="49"/>
      <c r="S3171" s="49"/>
      <c r="T3171" s="49"/>
      <c r="U3171" s="49"/>
      <c r="V3171" s="49"/>
      <c r="W3171" s="56"/>
      <c r="X3171" s="51" t="str">
        <f t="shared" si="5"/>
        <v/>
      </c>
      <c r="Y3171" s="50" t="s">
        <v>482</v>
      </c>
      <c r="Z3171" s="49">
        <f t="shared" si="6"/>
        <v>0</v>
      </c>
    </row>
    <row r="3172" ht="22.5" customHeight="1">
      <c r="B3172" s="57"/>
      <c r="C3172" s="43" t="str">
        <f t="array" ref="C3172">IF(B3172="","",_xlfn.XLOOKUP(B3172,'Form responses 1'!$B$2:$B$2604,'Form responses 1'!$A$2:$A$2604,""))</f>
        <v/>
      </c>
      <c r="D3172" s="44" t="str">
        <f t="shared" si="3"/>
        <v/>
      </c>
      <c r="E3172" s="44" t="str">
        <f t="array" ref="E3172">IF(B3172="","",_xlfn.XLOOKUP(B3172,'Form responses 1'!$B$2:$B$2604,'Form responses 1'!$C$2:$C$2604,""))</f>
        <v/>
      </c>
      <c r="F3172" s="44" t="str">
        <f t="array" ref="F3172">IF(B3172="","",_xlfn.XLOOKUP(B3172,'Form responses 1'!$B$2:$B$2604,'Form responses 1'!$D$2:$D$2604,""))</f>
        <v/>
      </c>
      <c r="G3172" s="44" t="str">
        <f t="array" ref="G3172">IF(B3172="","",_xlfn.XLOOKUP(B3172,'Form responses 1'!$B$2:$B$2604,'Form responses 1'!$E$2:$E$2604,""))</f>
        <v/>
      </c>
      <c r="H3172" s="44" t="str">
        <f t="array" ref="H3172">IF(B3172="","",_xlfn.XLOOKUP(B3172,'Form responses 1'!$B$2:$B$2604,'Form responses 1'!$F$2:$F$2604,""))</f>
        <v/>
      </c>
      <c r="I3172" s="44" t="str">
        <f t="array" ref="I3172">IF(B3172="","",_xlfn.XLOOKUP(B3172,'Form responses 1'!$B$2:$B$2604,'Form responses 1'!$I$2:$I$2604,""))</f>
        <v/>
      </c>
      <c r="J3172" s="44" t="str">
        <f t="array" ref="J3172">IF(B3172="","",_xlfn.XLOOKUP(B3172,'Form responses 1'!$B$2:$B$2604,'Form responses 1'!$G$2:$G$2604,""))</f>
        <v/>
      </c>
      <c r="K3172" s="56"/>
      <c r="L3172" s="58" t="str">
        <f t="shared" si="7"/>
        <v/>
      </c>
      <c r="M3172" s="49"/>
      <c r="N3172" s="49"/>
      <c r="O3172" s="49"/>
      <c r="P3172" s="49"/>
      <c r="Q3172" s="49"/>
      <c r="R3172" s="49"/>
      <c r="S3172" s="49"/>
      <c r="T3172" s="49"/>
      <c r="U3172" s="49"/>
      <c r="V3172" s="49"/>
      <c r="W3172" s="56"/>
      <c r="X3172" s="51" t="str">
        <f t="shared" si="5"/>
        <v/>
      </c>
      <c r="Y3172" s="50" t="s">
        <v>482</v>
      </c>
      <c r="Z3172" s="49">
        <f t="shared" si="6"/>
        <v>0</v>
      </c>
    </row>
    <row r="3173" ht="22.5" customHeight="1">
      <c r="B3173" s="57"/>
      <c r="C3173" s="43" t="str">
        <f t="array" ref="C3173">IF(B3173="","",_xlfn.XLOOKUP(B3173,'Form responses 1'!$B$2:$B$2604,'Form responses 1'!$A$2:$A$2604,""))</f>
        <v/>
      </c>
      <c r="D3173" s="44" t="str">
        <f t="shared" si="3"/>
        <v/>
      </c>
      <c r="E3173" s="44" t="str">
        <f t="array" ref="E3173">IF(B3173="","",_xlfn.XLOOKUP(B3173,'Form responses 1'!$B$2:$B$2604,'Form responses 1'!$C$2:$C$2604,""))</f>
        <v/>
      </c>
      <c r="F3173" s="44" t="str">
        <f t="array" ref="F3173">IF(B3173="","",_xlfn.XLOOKUP(B3173,'Form responses 1'!$B$2:$B$2604,'Form responses 1'!$D$2:$D$2604,""))</f>
        <v/>
      </c>
      <c r="G3173" s="44" t="str">
        <f t="array" ref="G3173">IF(B3173="","",_xlfn.XLOOKUP(B3173,'Form responses 1'!$B$2:$B$2604,'Form responses 1'!$E$2:$E$2604,""))</f>
        <v/>
      </c>
      <c r="H3173" s="44" t="str">
        <f t="array" ref="H3173">IF(B3173="","",_xlfn.XLOOKUP(B3173,'Form responses 1'!$B$2:$B$2604,'Form responses 1'!$F$2:$F$2604,""))</f>
        <v/>
      </c>
      <c r="I3173" s="44" t="str">
        <f t="array" ref="I3173">IF(B3173="","",_xlfn.XLOOKUP(B3173,'Form responses 1'!$B$2:$B$2604,'Form responses 1'!$I$2:$I$2604,""))</f>
        <v/>
      </c>
      <c r="J3173" s="44" t="str">
        <f t="array" ref="J3173">IF(B3173="","",_xlfn.XLOOKUP(B3173,'Form responses 1'!$B$2:$B$2604,'Form responses 1'!$G$2:$G$2604,""))</f>
        <v/>
      </c>
      <c r="K3173" s="56"/>
      <c r="L3173" s="58" t="str">
        <f t="shared" si="7"/>
        <v/>
      </c>
      <c r="M3173" s="49"/>
      <c r="N3173" s="49"/>
      <c r="O3173" s="49"/>
      <c r="P3173" s="49"/>
      <c r="Q3173" s="49"/>
      <c r="R3173" s="49"/>
      <c r="S3173" s="49"/>
      <c r="T3173" s="49"/>
      <c r="U3173" s="49"/>
      <c r="V3173" s="49"/>
      <c r="W3173" s="56"/>
      <c r="X3173" s="51" t="str">
        <f t="shared" si="5"/>
        <v/>
      </c>
      <c r="Y3173" s="50" t="s">
        <v>482</v>
      </c>
      <c r="Z3173" s="49">
        <f t="shared" si="6"/>
        <v>0</v>
      </c>
    </row>
    <row r="3174" ht="22.5" customHeight="1">
      <c r="B3174" s="57"/>
      <c r="C3174" s="43" t="str">
        <f t="array" ref="C3174">IF(B3174="","",_xlfn.XLOOKUP(B3174,'Form responses 1'!$B$2:$B$2604,'Form responses 1'!$A$2:$A$2604,""))</f>
        <v/>
      </c>
      <c r="D3174" s="44" t="str">
        <f t="shared" si="3"/>
        <v/>
      </c>
      <c r="E3174" s="44" t="str">
        <f t="array" ref="E3174">IF(B3174="","",_xlfn.XLOOKUP(B3174,'Form responses 1'!$B$2:$B$2604,'Form responses 1'!$C$2:$C$2604,""))</f>
        <v/>
      </c>
      <c r="F3174" s="44" t="str">
        <f t="array" ref="F3174">IF(B3174="","",_xlfn.XLOOKUP(B3174,'Form responses 1'!$B$2:$B$2604,'Form responses 1'!$D$2:$D$2604,""))</f>
        <v/>
      </c>
      <c r="G3174" s="44" t="str">
        <f t="array" ref="G3174">IF(B3174="","",_xlfn.XLOOKUP(B3174,'Form responses 1'!$B$2:$B$2604,'Form responses 1'!$E$2:$E$2604,""))</f>
        <v/>
      </c>
      <c r="H3174" s="44" t="str">
        <f t="array" ref="H3174">IF(B3174="","",_xlfn.XLOOKUP(B3174,'Form responses 1'!$B$2:$B$2604,'Form responses 1'!$F$2:$F$2604,""))</f>
        <v/>
      </c>
      <c r="I3174" s="44" t="str">
        <f t="array" ref="I3174">IF(B3174="","",_xlfn.XLOOKUP(B3174,'Form responses 1'!$B$2:$B$2604,'Form responses 1'!$I$2:$I$2604,""))</f>
        <v/>
      </c>
      <c r="J3174" s="44" t="str">
        <f t="array" ref="J3174">IF(B3174="","",_xlfn.XLOOKUP(B3174,'Form responses 1'!$B$2:$B$2604,'Form responses 1'!$G$2:$G$2604,""))</f>
        <v/>
      </c>
      <c r="K3174" s="56"/>
      <c r="L3174" s="58" t="str">
        <f t="shared" si="7"/>
        <v/>
      </c>
      <c r="M3174" s="49"/>
      <c r="N3174" s="49"/>
      <c r="O3174" s="49"/>
      <c r="P3174" s="49"/>
      <c r="Q3174" s="49"/>
      <c r="R3174" s="49"/>
      <c r="S3174" s="49"/>
      <c r="T3174" s="49"/>
      <c r="U3174" s="49"/>
      <c r="V3174" s="49"/>
      <c r="W3174" s="56"/>
      <c r="X3174" s="51" t="str">
        <f t="shared" si="5"/>
        <v/>
      </c>
      <c r="Y3174" s="50" t="s">
        <v>482</v>
      </c>
      <c r="Z3174" s="49">
        <f t="shared" si="6"/>
        <v>0</v>
      </c>
    </row>
    <row r="3175" ht="22.5" customHeight="1">
      <c r="B3175" s="57"/>
      <c r="C3175" s="43" t="str">
        <f t="array" ref="C3175">IF(B3175="","",_xlfn.XLOOKUP(B3175,'Form responses 1'!$B$2:$B$2604,'Form responses 1'!$A$2:$A$2604,""))</f>
        <v/>
      </c>
      <c r="D3175" s="44" t="str">
        <f t="shared" si="3"/>
        <v/>
      </c>
      <c r="E3175" s="44" t="str">
        <f t="array" ref="E3175">IF(B3175="","",_xlfn.XLOOKUP(B3175,'Form responses 1'!$B$2:$B$2604,'Form responses 1'!$C$2:$C$2604,""))</f>
        <v/>
      </c>
      <c r="F3175" s="44" t="str">
        <f t="array" ref="F3175">IF(B3175="","",_xlfn.XLOOKUP(B3175,'Form responses 1'!$B$2:$B$2604,'Form responses 1'!$D$2:$D$2604,""))</f>
        <v/>
      </c>
      <c r="G3175" s="44" t="str">
        <f t="array" ref="G3175">IF(B3175="","",_xlfn.XLOOKUP(B3175,'Form responses 1'!$B$2:$B$2604,'Form responses 1'!$E$2:$E$2604,""))</f>
        <v/>
      </c>
      <c r="H3175" s="44" t="str">
        <f t="array" ref="H3175">IF(B3175="","",_xlfn.XLOOKUP(B3175,'Form responses 1'!$B$2:$B$2604,'Form responses 1'!$F$2:$F$2604,""))</f>
        <v/>
      </c>
      <c r="I3175" s="44" t="str">
        <f t="array" ref="I3175">IF(B3175="","",_xlfn.XLOOKUP(B3175,'Form responses 1'!$B$2:$B$2604,'Form responses 1'!$I$2:$I$2604,""))</f>
        <v/>
      </c>
      <c r="J3175" s="44" t="str">
        <f t="array" ref="J3175">IF(B3175="","",_xlfn.XLOOKUP(B3175,'Form responses 1'!$B$2:$B$2604,'Form responses 1'!$G$2:$G$2604,""))</f>
        <v/>
      </c>
      <c r="K3175" s="56"/>
      <c r="L3175" s="58" t="str">
        <f t="shared" si="7"/>
        <v/>
      </c>
      <c r="M3175" s="49"/>
      <c r="N3175" s="49"/>
      <c r="O3175" s="49"/>
      <c r="P3175" s="49"/>
      <c r="Q3175" s="49"/>
      <c r="R3175" s="49"/>
      <c r="S3175" s="49"/>
      <c r="T3175" s="49"/>
      <c r="U3175" s="49"/>
      <c r="V3175" s="49"/>
      <c r="W3175" s="56"/>
      <c r="X3175" s="51" t="str">
        <f t="shared" si="5"/>
        <v/>
      </c>
      <c r="Y3175" s="50" t="s">
        <v>482</v>
      </c>
      <c r="Z3175" s="49">
        <f t="shared" si="6"/>
        <v>0</v>
      </c>
    </row>
    <row r="3176" ht="22.5" customHeight="1">
      <c r="B3176" s="57"/>
      <c r="C3176" s="43" t="str">
        <f t="array" ref="C3176">IF(B3176="","",_xlfn.XLOOKUP(B3176,'Form responses 1'!$B$2:$B$2604,'Form responses 1'!$A$2:$A$2604,""))</f>
        <v/>
      </c>
      <c r="D3176" s="44" t="str">
        <f t="shared" si="3"/>
        <v/>
      </c>
      <c r="E3176" s="44" t="str">
        <f t="array" ref="E3176">IF(B3176="","",_xlfn.XLOOKUP(B3176,'Form responses 1'!$B$2:$B$2604,'Form responses 1'!$C$2:$C$2604,""))</f>
        <v/>
      </c>
      <c r="F3176" s="44" t="str">
        <f t="array" ref="F3176">IF(B3176="","",_xlfn.XLOOKUP(B3176,'Form responses 1'!$B$2:$B$2604,'Form responses 1'!$D$2:$D$2604,""))</f>
        <v/>
      </c>
      <c r="G3176" s="44" t="str">
        <f t="array" ref="G3176">IF(B3176="","",_xlfn.XLOOKUP(B3176,'Form responses 1'!$B$2:$B$2604,'Form responses 1'!$E$2:$E$2604,""))</f>
        <v/>
      </c>
      <c r="H3176" s="44" t="str">
        <f t="array" ref="H3176">IF(B3176="","",_xlfn.XLOOKUP(B3176,'Form responses 1'!$B$2:$B$2604,'Form responses 1'!$F$2:$F$2604,""))</f>
        <v/>
      </c>
      <c r="I3176" s="44" t="str">
        <f t="array" ref="I3176">IF(B3176="","",_xlfn.XLOOKUP(B3176,'Form responses 1'!$B$2:$B$2604,'Form responses 1'!$I$2:$I$2604,""))</f>
        <v/>
      </c>
      <c r="J3176" s="44" t="str">
        <f t="array" ref="J3176">IF(B3176="","",_xlfn.XLOOKUP(B3176,'Form responses 1'!$B$2:$B$2604,'Form responses 1'!$G$2:$G$2604,""))</f>
        <v/>
      </c>
      <c r="K3176" s="56"/>
      <c r="L3176" s="58" t="str">
        <f t="shared" si="7"/>
        <v/>
      </c>
      <c r="M3176" s="49"/>
      <c r="N3176" s="49"/>
      <c r="O3176" s="49"/>
      <c r="P3176" s="49"/>
      <c r="Q3176" s="49"/>
      <c r="R3176" s="49"/>
      <c r="S3176" s="49"/>
      <c r="T3176" s="49"/>
      <c r="U3176" s="49"/>
      <c r="V3176" s="49"/>
      <c r="W3176" s="56"/>
      <c r="X3176" s="51" t="str">
        <f t="shared" si="5"/>
        <v/>
      </c>
      <c r="Y3176" s="50" t="s">
        <v>482</v>
      </c>
      <c r="Z3176" s="49">
        <f t="shared" si="6"/>
        <v>0</v>
      </c>
    </row>
    <row r="3177" ht="22.5" customHeight="1">
      <c r="B3177" s="57"/>
      <c r="C3177" s="43" t="str">
        <f t="array" ref="C3177">IF(B3177="","",_xlfn.XLOOKUP(B3177,'Form responses 1'!$B$2:$B$2604,'Form responses 1'!$A$2:$A$2604,""))</f>
        <v/>
      </c>
      <c r="D3177" s="44" t="str">
        <f t="shared" si="3"/>
        <v/>
      </c>
      <c r="E3177" s="44" t="str">
        <f t="array" ref="E3177">IF(B3177="","",_xlfn.XLOOKUP(B3177,'Form responses 1'!$B$2:$B$2604,'Form responses 1'!$C$2:$C$2604,""))</f>
        <v/>
      </c>
      <c r="F3177" s="44" t="str">
        <f t="array" ref="F3177">IF(B3177="","",_xlfn.XLOOKUP(B3177,'Form responses 1'!$B$2:$B$2604,'Form responses 1'!$D$2:$D$2604,""))</f>
        <v/>
      </c>
      <c r="G3177" s="44" t="str">
        <f t="array" ref="G3177">IF(B3177="","",_xlfn.XLOOKUP(B3177,'Form responses 1'!$B$2:$B$2604,'Form responses 1'!$E$2:$E$2604,""))</f>
        <v/>
      </c>
      <c r="H3177" s="44" t="str">
        <f t="array" ref="H3177">IF(B3177="","",_xlfn.XLOOKUP(B3177,'Form responses 1'!$B$2:$B$2604,'Form responses 1'!$F$2:$F$2604,""))</f>
        <v/>
      </c>
      <c r="I3177" s="44" t="str">
        <f t="array" ref="I3177">IF(B3177="","",_xlfn.XLOOKUP(B3177,'Form responses 1'!$B$2:$B$2604,'Form responses 1'!$I$2:$I$2604,""))</f>
        <v/>
      </c>
      <c r="J3177" s="44" t="str">
        <f t="array" ref="J3177">IF(B3177="","",_xlfn.XLOOKUP(B3177,'Form responses 1'!$B$2:$B$2604,'Form responses 1'!$G$2:$G$2604,""))</f>
        <v/>
      </c>
      <c r="K3177" s="56"/>
      <c r="L3177" s="58" t="str">
        <f t="shared" si="7"/>
        <v/>
      </c>
      <c r="M3177" s="49"/>
      <c r="N3177" s="49"/>
      <c r="O3177" s="49"/>
      <c r="P3177" s="49"/>
      <c r="Q3177" s="49"/>
      <c r="R3177" s="49"/>
      <c r="S3177" s="49"/>
      <c r="T3177" s="49"/>
      <c r="U3177" s="49"/>
      <c r="V3177" s="49"/>
      <c r="W3177" s="56"/>
      <c r="X3177" s="51" t="str">
        <f t="shared" si="5"/>
        <v/>
      </c>
      <c r="Y3177" s="50" t="s">
        <v>482</v>
      </c>
      <c r="Z3177" s="49">
        <f t="shared" si="6"/>
        <v>0</v>
      </c>
    </row>
    <row r="3178" ht="22.5" customHeight="1">
      <c r="B3178" s="57"/>
      <c r="C3178" s="43" t="str">
        <f t="array" ref="C3178">IF(B3178="","",_xlfn.XLOOKUP(B3178,'Form responses 1'!$B$2:$B$2604,'Form responses 1'!$A$2:$A$2604,""))</f>
        <v/>
      </c>
      <c r="D3178" s="44" t="str">
        <f t="shared" si="3"/>
        <v/>
      </c>
      <c r="E3178" s="44" t="str">
        <f t="array" ref="E3178">IF(B3178="","",_xlfn.XLOOKUP(B3178,'Form responses 1'!$B$2:$B$2604,'Form responses 1'!$C$2:$C$2604,""))</f>
        <v/>
      </c>
      <c r="F3178" s="44" t="str">
        <f t="array" ref="F3178">IF(B3178="","",_xlfn.XLOOKUP(B3178,'Form responses 1'!$B$2:$B$2604,'Form responses 1'!$D$2:$D$2604,""))</f>
        <v/>
      </c>
      <c r="G3178" s="44" t="str">
        <f t="array" ref="G3178">IF(B3178="","",_xlfn.XLOOKUP(B3178,'Form responses 1'!$B$2:$B$2604,'Form responses 1'!$E$2:$E$2604,""))</f>
        <v/>
      </c>
      <c r="H3178" s="44" t="str">
        <f t="array" ref="H3178">IF(B3178="","",_xlfn.XLOOKUP(B3178,'Form responses 1'!$B$2:$B$2604,'Form responses 1'!$F$2:$F$2604,""))</f>
        <v/>
      </c>
      <c r="I3178" s="44" t="str">
        <f t="array" ref="I3178">IF(B3178="","",_xlfn.XLOOKUP(B3178,'Form responses 1'!$B$2:$B$2604,'Form responses 1'!$I$2:$I$2604,""))</f>
        <v/>
      </c>
      <c r="J3178" s="44" t="str">
        <f t="array" ref="J3178">IF(B3178="","",_xlfn.XLOOKUP(B3178,'Form responses 1'!$B$2:$B$2604,'Form responses 1'!$G$2:$G$2604,""))</f>
        <v/>
      </c>
      <c r="K3178" s="56"/>
      <c r="L3178" s="58" t="str">
        <f t="shared" si="7"/>
        <v/>
      </c>
      <c r="M3178" s="49"/>
      <c r="N3178" s="49"/>
      <c r="O3178" s="49"/>
      <c r="P3178" s="49"/>
      <c r="Q3178" s="49"/>
      <c r="R3178" s="49"/>
      <c r="S3178" s="49"/>
      <c r="T3178" s="49"/>
      <c r="U3178" s="49"/>
      <c r="V3178" s="49"/>
      <c r="W3178" s="56"/>
      <c r="X3178" s="51" t="str">
        <f t="shared" si="5"/>
        <v/>
      </c>
      <c r="Y3178" s="50" t="s">
        <v>482</v>
      </c>
      <c r="Z3178" s="49">
        <f t="shared" si="6"/>
        <v>0</v>
      </c>
    </row>
    <row r="3179" ht="22.5" customHeight="1">
      <c r="B3179" s="57"/>
      <c r="C3179" s="43" t="str">
        <f t="array" ref="C3179">IF(B3179="","",_xlfn.XLOOKUP(B3179,'Form responses 1'!$B$2:$B$2604,'Form responses 1'!$A$2:$A$2604,""))</f>
        <v/>
      </c>
      <c r="D3179" s="44" t="str">
        <f t="shared" si="3"/>
        <v/>
      </c>
      <c r="E3179" s="44" t="str">
        <f t="array" ref="E3179">IF(B3179="","",_xlfn.XLOOKUP(B3179,'Form responses 1'!$B$2:$B$2604,'Form responses 1'!$C$2:$C$2604,""))</f>
        <v/>
      </c>
      <c r="F3179" s="44" t="str">
        <f t="array" ref="F3179">IF(B3179="","",_xlfn.XLOOKUP(B3179,'Form responses 1'!$B$2:$B$2604,'Form responses 1'!$D$2:$D$2604,""))</f>
        <v/>
      </c>
      <c r="G3179" s="44" t="str">
        <f t="array" ref="G3179">IF(B3179="","",_xlfn.XLOOKUP(B3179,'Form responses 1'!$B$2:$B$2604,'Form responses 1'!$E$2:$E$2604,""))</f>
        <v/>
      </c>
      <c r="H3179" s="44" t="str">
        <f t="array" ref="H3179">IF(B3179="","",_xlfn.XLOOKUP(B3179,'Form responses 1'!$B$2:$B$2604,'Form responses 1'!$F$2:$F$2604,""))</f>
        <v/>
      </c>
      <c r="I3179" s="44" t="str">
        <f t="array" ref="I3179">IF(B3179="","",_xlfn.XLOOKUP(B3179,'Form responses 1'!$B$2:$B$2604,'Form responses 1'!$I$2:$I$2604,""))</f>
        <v/>
      </c>
      <c r="J3179" s="44" t="str">
        <f t="array" ref="J3179">IF(B3179="","",_xlfn.XLOOKUP(B3179,'Form responses 1'!$B$2:$B$2604,'Form responses 1'!$G$2:$G$2604,""))</f>
        <v/>
      </c>
      <c r="K3179" s="56"/>
      <c r="L3179" s="58" t="str">
        <f t="shared" si="7"/>
        <v/>
      </c>
      <c r="M3179" s="49"/>
      <c r="N3179" s="49"/>
      <c r="O3179" s="49"/>
      <c r="P3179" s="49"/>
      <c r="Q3179" s="49"/>
      <c r="R3179" s="49"/>
      <c r="S3179" s="49"/>
      <c r="T3179" s="49"/>
      <c r="U3179" s="49"/>
      <c r="V3179" s="49"/>
      <c r="W3179" s="56"/>
      <c r="X3179" s="51" t="str">
        <f t="shared" si="5"/>
        <v/>
      </c>
      <c r="Y3179" s="50" t="s">
        <v>482</v>
      </c>
      <c r="Z3179" s="49">
        <f t="shared" si="6"/>
        <v>0</v>
      </c>
    </row>
    <row r="3180" ht="22.5" customHeight="1">
      <c r="B3180" s="57"/>
      <c r="C3180" s="43" t="str">
        <f t="array" ref="C3180">IF(B3180="","",_xlfn.XLOOKUP(B3180,'Form responses 1'!$B$2:$B$2604,'Form responses 1'!$A$2:$A$2604,""))</f>
        <v/>
      </c>
      <c r="D3180" s="44" t="str">
        <f t="shared" si="3"/>
        <v/>
      </c>
      <c r="E3180" s="44" t="str">
        <f t="array" ref="E3180">IF(B3180="","",_xlfn.XLOOKUP(B3180,'Form responses 1'!$B$2:$B$2604,'Form responses 1'!$C$2:$C$2604,""))</f>
        <v/>
      </c>
      <c r="F3180" s="44" t="str">
        <f t="array" ref="F3180">IF(B3180="","",_xlfn.XLOOKUP(B3180,'Form responses 1'!$B$2:$B$2604,'Form responses 1'!$D$2:$D$2604,""))</f>
        <v/>
      </c>
      <c r="G3180" s="44" t="str">
        <f t="array" ref="G3180">IF(B3180="","",_xlfn.XLOOKUP(B3180,'Form responses 1'!$B$2:$B$2604,'Form responses 1'!$E$2:$E$2604,""))</f>
        <v/>
      </c>
      <c r="H3180" s="44" t="str">
        <f t="array" ref="H3180">IF(B3180="","",_xlfn.XLOOKUP(B3180,'Form responses 1'!$B$2:$B$2604,'Form responses 1'!$F$2:$F$2604,""))</f>
        <v/>
      </c>
      <c r="I3180" s="44" t="str">
        <f t="array" ref="I3180">IF(B3180="","",_xlfn.XLOOKUP(B3180,'Form responses 1'!$B$2:$B$2604,'Form responses 1'!$I$2:$I$2604,""))</f>
        <v/>
      </c>
      <c r="J3180" s="44" t="str">
        <f t="array" ref="J3180">IF(B3180="","",_xlfn.XLOOKUP(B3180,'Form responses 1'!$B$2:$B$2604,'Form responses 1'!$G$2:$G$2604,""))</f>
        <v/>
      </c>
      <c r="K3180" s="56"/>
      <c r="L3180" s="58" t="str">
        <f t="shared" si="7"/>
        <v/>
      </c>
      <c r="M3180" s="49"/>
      <c r="N3180" s="49"/>
      <c r="O3180" s="49"/>
      <c r="P3180" s="49"/>
      <c r="Q3180" s="49"/>
      <c r="R3180" s="49"/>
      <c r="S3180" s="49"/>
      <c r="T3180" s="49"/>
      <c r="U3180" s="49"/>
      <c r="V3180" s="49"/>
      <c r="W3180" s="56"/>
      <c r="X3180" s="51" t="str">
        <f t="shared" si="5"/>
        <v/>
      </c>
      <c r="Y3180" s="50" t="s">
        <v>482</v>
      </c>
      <c r="Z3180" s="49">
        <f t="shared" si="6"/>
        <v>0</v>
      </c>
    </row>
    <row r="3181" ht="22.5" customHeight="1">
      <c r="B3181" s="57"/>
      <c r="C3181" s="43" t="str">
        <f t="array" ref="C3181">IF(B3181="","",_xlfn.XLOOKUP(B3181,'Form responses 1'!$B$2:$B$2604,'Form responses 1'!$A$2:$A$2604,""))</f>
        <v/>
      </c>
      <c r="D3181" s="44" t="str">
        <f t="shared" si="3"/>
        <v/>
      </c>
      <c r="E3181" s="44" t="str">
        <f t="array" ref="E3181">IF(B3181="","",_xlfn.XLOOKUP(B3181,'Form responses 1'!$B$2:$B$2604,'Form responses 1'!$C$2:$C$2604,""))</f>
        <v/>
      </c>
      <c r="F3181" s="44" t="str">
        <f t="array" ref="F3181">IF(B3181="","",_xlfn.XLOOKUP(B3181,'Form responses 1'!$B$2:$B$2604,'Form responses 1'!$D$2:$D$2604,""))</f>
        <v/>
      </c>
      <c r="G3181" s="44" t="str">
        <f t="array" ref="G3181">IF(B3181="","",_xlfn.XLOOKUP(B3181,'Form responses 1'!$B$2:$B$2604,'Form responses 1'!$E$2:$E$2604,""))</f>
        <v/>
      </c>
      <c r="H3181" s="44" t="str">
        <f t="array" ref="H3181">IF(B3181="","",_xlfn.XLOOKUP(B3181,'Form responses 1'!$B$2:$B$2604,'Form responses 1'!$F$2:$F$2604,""))</f>
        <v/>
      </c>
      <c r="I3181" s="44" t="str">
        <f t="array" ref="I3181">IF(B3181="","",_xlfn.XLOOKUP(B3181,'Form responses 1'!$B$2:$B$2604,'Form responses 1'!$I$2:$I$2604,""))</f>
        <v/>
      </c>
      <c r="J3181" s="44" t="str">
        <f t="array" ref="J3181">IF(B3181="","",_xlfn.XLOOKUP(B3181,'Form responses 1'!$B$2:$B$2604,'Form responses 1'!$G$2:$G$2604,""))</f>
        <v/>
      </c>
      <c r="K3181" s="56"/>
      <c r="L3181" s="58" t="str">
        <f t="shared" si="7"/>
        <v/>
      </c>
      <c r="M3181" s="49"/>
      <c r="N3181" s="49"/>
      <c r="O3181" s="49"/>
      <c r="P3181" s="49"/>
      <c r="Q3181" s="49"/>
      <c r="R3181" s="49"/>
      <c r="S3181" s="49"/>
      <c r="T3181" s="49"/>
      <c r="U3181" s="49"/>
      <c r="V3181" s="49"/>
      <c r="W3181" s="56"/>
      <c r="X3181" s="51" t="str">
        <f t="shared" si="5"/>
        <v/>
      </c>
      <c r="Y3181" s="50" t="s">
        <v>482</v>
      </c>
      <c r="Z3181" s="49">
        <f t="shared" si="6"/>
        <v>0</v>
      </c>
    </row>
    <row r="3182" ht="22.5" customHeight="1">
      <c r="B3182" s="57"/>
      <c r="C3182" s="43" t="str">
        <f t="array" ref="C3182">IF(B3182="","",_xlfn.XLOOKUP(B3182,'Form responses 1'!$B$2:$B$2604,'Form responses 1'!$A$2:$A$2604,""))</f>
        <v/>
      </c>
      <c r="D3182" s="44" t="str">
        <f t="shared" si="3"/>
        <v/>
      </c>
      <c r="E3182" s="44" t="str">
        <f t="array" ref="E3182">IF(B3182="","",_xlfn.XLOOKUP(B3182,'Form responses 1'!$B$2:$B$2604,'Form responses 1'!$C$2:$C$2604,""))</f>
        <v/>
      </c>
      <c r="F3182" s="44" t="str">
        <f t="array" ref="F3182">IF(B3182="","",_xlfn.XLOOKUP(B3182,'Form responses 1'!$B$2:$B$2604,'Form responses 1'!$D$2:$D$2604,""))</f>
        <v/>
      </c>
      <c r="G3182" s="44" t="str">
        <f t="array" ref="G3182">IF(B3182="","",_xlfn.XLOOKUP(B3182,'Form responses 1'!$B$2:$B$2604,'Form responses 1'!$E$2:$E$2604,""))</f>
        <v/>
      </c>
      <c r="H3182" s="44" t="str">
        <f t="array" ref="H3182">IF(B3182="","",_xlfn.XLOOKUP(B3182,'Form responses 1'!$B$2:$B$2604,'Form responses 1'!$F$2:$F$2604,""))</f>
        <v/>
      </c>
      <c r="I3182" s="44" t="str">
        <f t="array" ref="I3182">IF(B3182="","",_xlfn.XLOOKUP(B3182,'Form responses 1'!$B$2:$B$2604,'Form responses 1'!$I$2:$I$2604,""))</f>
        <v/>
      </c>
      <c r="J3182" s="44" t="str">
        <f t="array" ref="J3182">IF(B3182="","",_xlfn.XLOOKUP(B3182,'Form responses 1'!$B$2:$B$2604,'Form responses 1'!$G$2:$G$2604,""))</f>
        <v/>
      </c>
      <c r="K3182" s="56"/>
      <c r="L3182" s="58" t="str">
        <f t="shared" si="7"/>
        <v/>
      </c>
      <c r="M3182" s="49"/>
      <c r="N3182" s="49"/>
      <c r="O3182" s="49"/>
      <c r="P3182" s="49"/>
      <c r="Q3182" s="49"/>
      <c r="R3182" s="49"/>
      <c r="S3182" s="49"/>
      <c r="T3182" s="49"/>
      <c r="U3182" s="49"/>
      <c r="V3182" s="49"/>
      <c r="W3182" s="56"/>
      <c r="X3182" s="51" t="str">
        <f t="shared" si="5"/>
        <v/>
      </c>
      <c r="Y3182" s="50" t="s">
        <v>482</v>
      </c>
      <c r="Z3182" s="49">
        <f t="shared" si="6"/>
        <v>0</v>
      </c>
    </row>
    <row r="3183" ht="22.5" customHeight="1">
      <c r="B3183" s="57"/>
      <c r="C3183" s="43" t="str">
        <f t="array" ref="C3183">IF(B3183="","",_xlfn.XLOOKUP(B3183,'Form responses 1'!$B$2:$B$2604,'Form responses 1'!$A$2:$A$2604,""))</f>
        <v/>
      </c>
      <c r="D3183" s="44" t="str">
        <f t="shared" si="3"/>
        <v/>
      </c>
      <c r="E3183" s="44" t="str">
        <f t="array" ref="E3183">IF(B3183="","",_xlfn.XLOOKUP(B3183,'Form responses 1'!$B$2:$B$2604,'Form responses 1'!$C$2:$C$2604,""))</f>
        <v/>
      </c>
      <c r="F3183" s="44" t="str">
        <f t="array" ref="F3183">IF(B3183="","",_xlfn.XLOOKUP(B3183,'Form responses 1'!$B$2:$B$2604,'Form responses 1'!$D$2:$D$2604,""))</f>
        <v/>
      </c>
      <c r="G3183" s="44" t="str">
        <f t="array" ref="G3183">IF(B3183="","",_xlfn.XLOOKUP(B3183,'Form responses 1'!$B$2:$B$2604,'Form responses 1'!$E$2:$E$2604,""))</f>
        <v/>
      </c>
      <c r="H3183" s="44" t="str">
        <f t="array" ref="H3183">IF(B3183="","",_xlfn.XLOOKUP(B3183,'Form responses 1'!$B$2:$B$2604,'Form responses 1'!$F$2:$F$2604,""))</f>
        <v/>
      </c>
      <c r="I3183" s="44" t="str">
        <f t="array" ref="I3183">IF(B3183="","",_xlfn.XLOOKUP(B3183,'Form responses 1'!$B$2:$B$2604,'Form responses 1'!$I$2:$I$2604,""))</f>
        <v/>
      </c>
      <c r="J3183" s="44" t="str">
        <f t="array" ref="J3183">IF(B3183="","",_xlfn.XLOOKUP(B3183,'Form responses 1'!$B$2:$B$2604,'Form responses 1'!$G$2:$G$2604,""))</f>
        <v/>
      </c>
      <c r="K3183" s="56"/>
      <c r="L3183" s="58" t="str">
        <f t="shared" si="7"/>
        <v/>
      </c>
      <c r="M3183" s="49"/>
      <c r="N3183" s="49"/>
      <c r="O3183" s="49"/>
      <c r="P3183" s="49"/>
      <c r="Q3183" s="49"/>
      <c r="R3183" s="49"/>
      <c r="S3183" s="49"/>
      <c r="T3183" s="49"/>
      <c r="U3183" s="49"/>
      <c r="V3183" s="49"/>
      <c r="W3183" s="56"/>
      <c r="X3183" s="51" t="str">
        <f t="shared" si="5"/>
        <v/>
      </c>
      <c r="Y3183" s="50" t="s">
        <v>482</v>
      </c>
      <c r="Z3183" s="49">
        <f t="shared" si="6"/>
        <v>0</v>
      </c>
    </row>
    <row r="3184" ht="22.5" customHeight="1">
      <c r="B3184" s="57"/>
      <c r="C3184" s="43" t="str">
        <f t="array" ref="C3184">IF(B3184="","",_xlfn.XLOOKUP(B3184,'Form responses 1'!$B$2:$B$2604,'Form responses 1'!$A$2:$A$2604,""))</f>
        <v/>
      </c>
      <c r="D3184" s="44" t="str">
        <f t="shared" si="3"/>
        <v/>
      </c>
      <c r="E3184" s="44" t="str">
        <f t="array" ref="E3184">IF(B3184="","",_xlfn.XLOOKUP(B3184,'Form responses 1'!$B$2:$B$2604,'Form responses 1'!$C$2:$C$2604,""))</f>
        <v/>
      </c>
      <c r="F3184" s="44" t="str">
        <f t="array" ref="F3184">IF(B3184="","",_xlfn.XLOOKUP(B3184,'Form responses 1'!$B$2:$B$2604,'Form responses 1'!$D$2:$D$2604,""))</f>
        <v/>
      </c>
      <c r="G3184" s="44" t="str">
        <f t="array" ref="G3184">IF(B3184="","",_xlfn.XLOOKUP(B3184,'Form responses 1'!$B$2:$B$2604,'Form responses 1'!$E$2:$E$2604,""))</f>
        <v/>
      </c>
      <c r="H3184" s="44" t="str">
        <f t="array" ref="H3184">IF(B3184="","",_xlfn.XLOOKUP(B3184,'Form responses 1'!$B$2:$B$2604,'Form responses 1'!$F$2:$F$2604,""))</f>
        <v/>
      </c>
      <c r="I3184" s="44" t="str">
        <f t="array" ref="I3184">IF(B3184="","",_xlfn.XLOOKUP(B3184,'Form responses 1'!$B$2:$B$2604,'Form responses 1'!$I$2:$I$2604,""))</f>
        <v/>
      </c>
      <c r="J3184" s="44" t="str">
        <f t="array" ref="J3184">IF(B3184="","",_xlfn.XLOOKUP(B3184,'Form responses 1'!$B$2:$B$2604,'Form responses 1'!$G$2:$G$2604,""))</f>
        <v/>
      </c>
      <c r="K3184" s="56"/>
      <c r="L3184" s="58" t="str">
        <f t="shared" si="7"/>
        <v/>
      </c>
      <c r="M3184" s="49"/>
      <c r="N3184" s="49"/>
      <c r="O3184" s="49"/>
      <c r="P3184" s="49"/>
      <c r="Q3184" s="49"/>
      <c r="R3184" s="49"/>
      <c r="S3184" s="49"/>
      <c r="T3184" s="49"/>
      <c r="U3184" s="49"/>
      <c r="V3184" s="49"/>
      <c r="W3184" s="56"/>
      <c r="X3184" s="51" t="str">
        <f t="shared" si="5"/>
        <v/>
      </c>
      <c r="Y3184" s="50" t="s">
        <v>482</v>
      </c>
      <c r="Z3184" s="49">
        <f t="shared" si="6"/>
        <v>0</v>
      </c>
    </row>
    <row r="3185" ht="22.5" customHeight="1">
      <c r="B3185" s="57"/>
      <c r="C3185" s="43" t="str">
        <f t="array" ref="C3185">IF(B3185="","",_xlfn.XLOOKUP(B3185,'Form responses 1'!$B$2:$B$2604,'Form responses 1'!$A$2:$A$2604,""))</f>
        <v/>
      </c>
      <c r="D3185" s="44" t="str">
        <f t="shared" si="3"/>
        <v/>
      </c>
      <c r="E3185" s="44" t="str">
        <f t="array" ref="E3185">IF(B3185="","",_xlfn.XLOOKUP(B3185,'Form responses 1'!$B$2:$B$2604,'Form responses 1'!$C$2:$C$2604,""))</f>
        <v/>
      </c>
      <c r="F3185" s="44" t="str">
        <f t="array" ref="F3185">IF(B3185="","",_xlfn.XLOOKUP(B3185,'Form responses 1'!$B$2:$B$2604,'Form responses 1'!$D$2:$D$2604,""))</f>
        <v/>
      </c>
      <c r="G3185" s="44" t="str">
        <f t="array" ref="G3185">IF(B3185="","",_xlfn.XLOOKUP(B3185,'Form responses 1'!$B$2:$B$2604,'Form responses 1'!$E$2:$E$2604,""))</f>
        <v/>
      </c>
      <c r="H3185" s="44" t="str">
        <f t="array" ref="H3185">IF(B3185="","",_xlfn.XLOOKUP(B3185,'Form responses 1'!$B$2:$B$2604,'Form responses 1'!$F$2:$F$2604,""))</f>
        <v/>
      </c>
      <c r="I3185" s="44" t="str">
        <f t="array" ref="I3185">IF(B3185="","",_xlfn.XLOOKUP(B3185,'Form responses 1'!$B$2:$B$2604,'Form responses 1'!$I$2:$I$2604,""))</f>
        <v/>
      </c>
      <c r="J3185" s="44" t="str">
        <f t="array" ref="J3185">IF(B3185="","",_xlfn.XLOOKUP(B3185,'Form responses 1'!$B$2:$B$2604,'Form responses 1'!$G$2:$G$2604,""))</f>
        <v/>
      </c>
      <c r="K3185" s="56"/>
      <c r="L3185" s="58" t="str">
        <f t="shared" si="7"/>
        <v/>
      </c>
      <c r="M3185" s="49"/>
      <c r="N3185" s="49"/>
      <c r="O3185" s="49"/>
      <c r="P3185" s="49"/>
      <c r="Q3185" s="49"/>
      <c r="R3185" s="49"/>
      <c r="S3185" s="49"/>
      <c r="T3185" s="49"/>
      <c r="U3185" s="49"/>
      <c r="V3185" s="49"/>
      <c r="W3185" s="56"/>
      <c r="X3185" s="51" t="str">
        <f t="shared" si="5"/>
        <v/>
      </c>
      <c r="Y3185" s="50" t="s">
        <v>482</v>
      </c>
      <c r="Z3185" s="49">
        <f t="shared" si="6"/>
        <v>0</v>
      </c>
    </row>
    <row r="3186" ht="22.5" customHeight="1">
      <c r="B3186" s="57"/>
      <c r="C3186" s="43" t="str">
        <f t="array" ref="C3186">IF(B3186="","",_xlfn.XLOOKUP(B3186,'Form responses 1'!$B$2:$B$2604,'Form responses 1'!$A$2:$A$2604,""))</f>
        <v/>
      </c>
      <c r="D3186" s="44" t="str">
        <f t="shared" si="3"/>
        <v/>
      </c>
      <c r="E3186" s="44" t="str">
        <f t="array" ref="E3186">IF(B3186="","",_xlfn.XLOOKUP(B3186,'Form responses 1'!$B$2:$B$2604,'Form responses 1'!$C$2:$C$2604,""))</f>
        <v/>
      </c>
      <c r="F3186" s="44" t="str">
        <f t="array" ref="F3186">IF(B3186="","",_xlfn.XLOOKUP(B3186,'Form responses 1'!$B$2:$B$2604,'Form responses 1'!$D$2:$D$2604,""))</f>
        <v/>
      </c>
      <c r="G3186" s="44" t="str">
        <f t="array" ref="G3186">IF(B3186="","",_xlfn.XLOOKUP(B3186,'Form responses 1'!$B$2:$B$2604,'Form responses 1'!$E$2:$E$2604,""))</f>
        <v/>
      </c>
      <c r="H3186" s="44" t="str">
        <f t="array" ref="H3186">IF(B3186="","",_xlfn.XLOOKUP(B3186,'Form responses 1'!$B$2:$B$2604,'Form responses 1'!$F$2:$F$2604,""))</f>
        <v/>
      </c>
      <c r="I3186" s="44" t="str">
        <f t="array" ref="I3186">IF(B3186="","",_xlfn.XLOOKUP(B3186,'Form responses 1'!$B$2:$B$2604,'Form responses 1'!$I$2:$I$2604,""))</f>
        <v/>
      </c>
      <c r="J3186" s="44" t="str">
        <f t="array" ref="J3186">IF(B3186="","",_xlfn.XLOOKUP(B3186,'Form responses 1'!$B$2:$B$2604,'Form responses 1'!$G$2:$G$2604,""))</f>
        <v/>
      </c>
      <c r="K3186" s="56"/>
      <c r="L3186" s="58" t="str">
        <f t="shared" si="7"/>
        <v/>
      </c>
      <c r="M3186" s="49"/>
      <c r="N3186" s="49"/>
      <c r="O3186" s="49"/>
      <c r="P3186" s="49"/>
      <c r="Q3186" s="49"/>
      <c r="R3186" s="49"/>
      <c r="S3186" s="49"/>
      <c r="T3186" s="49"/>
      <c r="U3186" s="49"/>
      <c r="V3186" s="49"/>
      <c r="W3186" s="56"/>
      <c r="X3186" s="51" t="str">
        <f t="shared" si="5"/>
        <v/>
      </c>
      <c r="Y3186" s="50" t="s">
        <v>482</v>
      </c>
      <c r="Z3186" s="49">
        <f t="shared" si="6"/>
        <v>0</v>
      </c>
    </row>
    <row r="3187" ht="22.5" customHeight="1">
      <c r="B3187" s="57"/>
      <c r="C3187" s="43" t="str">
        <f t="array" ref="C3187">IF(B3187="","",_xlfn.XLOOKUP(B3187,'Form responses 1'!$B$2:$B$2604,'Form responses 1'!$A$2:$A$2604,""))</f>
        <v/>
      </c>
      <c r="D3187" s="44" t="str">
        <f t="shared" si="3"/>
        <v/>
      </c>
      <c r="E3187" s="44" t="str">
        <f t="array" ref="E3187">IF(B3187="","",_xlfn.XLOOKUP(B3187,'Form responses 1'!$B$2:$B$2604,'Form responses 1'!$C$2:$C$2604,""))</f>
        <v/>
      </c>
      <c r="F3187" s="44" t="str">
        <f t="array" ref="F3187">IF(B3187="","",_xlfn.XLOOKUP(B3187,'Form responses 1'!$B$2:$B$2604,'Form responses 1'!$D$2:$D$2604,""))</f>
        <v/>
      </c>
      <c r="G3187" s="44" t="str">
        <f t="array" ref="G3187">IF(B3187="","",_xlfn.XLOOKUP(B3187,'Form responses 1'!$B$2:$B$2604,'Form responses 1'!$E$2:$E$2604,""))</f>
        <v/>
      </c>
      <c r="H3187" s="44" t="str">
        <f t="array" ref="H3187">IF(B3187="","",_xlfn.XLOOKUP(B3187,'Form responses 1'!$B$2:$B$2604,'Form responses 1'!$F$2:$F$2604,""))</f>
        <v/>
      </c>
      <c r="I3187" s="44" t="str">
        <f t="array" ref="I3187">IF(B3187="","",_xlfn.XLOOKUP(B3187,'Form responses 1'!$B$2:$B$2604,'Form responses 1'!$I$2:$I$2604,""))</f>
        <v/>
      </c>
      <c r="J3187" s="44" t="str">
        <f t="array" ref="J3187">IF(B3187="","",_xlfn.XLOOKUP(B3187,'Form responses 1'!$B$2:$B$2604,'Form responses 1'!$G$2:$G$2604,""))</f>
        <v/>
      </c>
      <c r="K3187" s="56"/>
      <c r="L3187" s="58" t="str">
        <f t="shared" si="7"/>
        <v/>
      </c>
      <c r="M3187" s="49"/>
      <c r="N3187" s="49"/>
      <c r="O3187" s="49"/>
      <c r="P3187" s="49"/>
      <c r="Q3187" s="49"/>
      <c r="R3187" s="49"/>
      <c r="S3187" s="49"/>
      <c r="T3187" s="49"/>
      <c r="U3187" s="49"/>
      <c r="V3187" s="49"/>
      <c r="W3187" s="56"/>
      <c r="X3187" s="51" t="str">
        <f t="shared" si="5"/>
        <v/>
      </c>
      <c r="Y3187" s="50" t="s">
        <v>482</v>
      </c>
      <c r="Z3187" s="49">
        <f t="shared" si="6"/>
        <v>0</v>
      </c>
    </row>
    <row r="3188" ht="22.5" customHeight="1">
      <c r="B3188" s="57"/>
      <c r="C3188" s="43" t="str">
        <f t="array" ref="C3188">IF(B3188="","",_xlfn.XLOOKUP(B3188,'Form responses 1'!$B$2:$B$2604,'Form responses 1'!$A$2:$A$2604,""))</f>
        <v/>
      </c>
      <c r="D3188" s="44" t="str">
        <f t="shared" si="3"/>
        <v/>
      </c>
      <c r="E3188" s="44" t="str">
        <f t="array" ref="E3188">IF(B3188="","",_xlfn.XLOOKUP(B3188,'Form responses 1'!$B$2:$B$2604,'Form responses 1'!$C$2:$C$2604,""))</f>
        <v/>
      </c>
      <c r="F3188" s="44" t="str">
        <f t="array" ref="F3188">IF(B3188="","",_xlfn.XLOOKUP(B3188,'Form responses 1'!$B$2:$B$2604,'Form responses 1'!$D$2:$D$2604,""))</f>
        <v/>
      </c>
      <c r="G3188" s="44" t="str">
        <f t="array" ref="G3188">IF(B3188="","",_xlfn.XLOOKUP(B3188,'Form responses 1'!$B$2:$B$2604,'Form responses 1'!$E$2:$E$2604,""))</f>
        <v/>
      </c>
      <c r="H3188" s="44" t="str">
        <f t="array" ref="H3188">IF(B3188="","",_xlfn.XLOOKUP(B3188,'Form responses 1'!$B$2:$B$2604,'Form responses 1'!$F$2:$F$2604,""))</f>
        <v/>
      </c>
      <c r="I3188" s="44" t="str">
        <f t="array" ref="I3188">IF(B3188="","",_xlfn.XLOOKUP(B3188,'Form responses 1'!$B$2:$B$2604,'Form responses 1'!$I$2:$I$2604,""))</f>
        <v/>
      </c>
      <c r="J3188" s="44" t="str">
        <f t="array" ref="J3188">IF(B3188="","",_xlfn.XLOOKUP(B3188,'Form responses 1'!$B$2:$B$2604,'Form responses 1'!$G$2:$G$2604,""))</f>
        <v/>
      </c>
      <c r="K3188" s="56"/>
      <c r="L3188" s="58" t="str">
        <f t="shared" si="7"/>
        <v/>
      </c>
      <c r="M3188" s="49"/>
      <c r="N3188" s="49"/>
      <c r="O3188" s="49"/>
      <c r="P3188" s="49"/>
      <c r="Q3188" s="49"/>
      <c r="R3188" s="49"/>
      <c r="S3188" s="49"/>
      <c r="T3188" s="49"/>
      <c r="U3188" s="49"/>
      <c r="V3188" s="49"/>
      <c r="W3188" s="56"/>
      <c r="X3188" s="51" t="str">
        <f t="shared" si="5"/>
        <v/>
      </c>
      <c r="Y3188" s="50" t="s">
        <v>482</v>
      </c>
      <c r="Z3188" s="49">
        <f t="shared" si="6"/>
        <v>0</v>
      </c>
    </row>
    <row r="3189" ht="22.5" customHeight="1">
      <c r="B3189" s="57"/>
      <c r="C3189" s="43" t="str">
        <f t="array" ref="C3189">IF(B3189="","",_xlfn.XLOOKUP(B3189,'Form responses 1'!$B$2:$B$2604,'Form responses 1'!$A$2:$A$2604,""))</f>
        <v/>
      </c>
      <c r="D3189" s="44" t="str">
        <f t="shared" si="3"/>
        <v/>
      </c>
      <c r="E3189" s="44" t="str">
        <f t="array" ref="E3189">IF(B3189="","",_xlfn.XLOOKUP(B3189,'Form responses 1'!$B$2:$B$2604,'Form responses 1'!$C$2:$C$2604,""))</f>
        <v/>
      </c>
      <c r="F3189" s="44" t="str">
        <f t="array" ref="F3189">IF(B3189="","",_xlfn.XLOOKUP(B3189,'Form responses 1'!$B$2:$B$2604,'Form responses 1'!$D$2:$D$2604,""))</f>
        <v/>
      </c>
      <c r="G3189" s="44" t="str">
        <f t="array" ref="G3189">IF(B3189="","",_xlfn.XLOOKUP(B3189,'Form responses 1'!$B$2:$B$2604,'Form responses 1'!$E$2:$E$2604,""))</f>
        <v/>
      </c>
      <c r="H3189" s="44" t="str">
        <f t="array" ref="H3189">IF(B3189="","",_xlfn.XLOOKUP(B3189,'Form responses 1'!$B$2:$B$2604,'Form responses 1'!$F$2:$F$2604,""))</f>
        <v/>
      </c>
      <c r="I3189" s="44" t="str">
        <f t="array" ref="I3189">IF(B3189="","",_xlfn.XLOOKUP(B3189,'Form responses 1'!$B$2:$B$2604,'Form responses 1'!$I$2:$I$2604,""))</f>
        <v/>
      </c>
      <c r="J3189" s="44" t="str">
        <f t="array" ref="J3189">IF(B3189="","",_xlfn.XLOOKUP(B3189,'Form responses 1'!$B$2:$B$2604,'Form responses 1'!$G$2:$G$2604,""))</f>
        <v/>
      </c>
      <c r="K3189" s="56"/>
      <c r="L3189" s="58" t="str">
        <f t="shared" si="7"/>
        <v/>
      </c>
      <c r="M3189" s="49"/>
      <c r="N3189" s="49"/>
      <c r="O3189" s="49"/>
      <c r="P3189" s="49"/>
      <c r="Q3189" s="49"/>
      <c r="R3189" s="49"/>
      <c r="S3189" s="49"/>
      <c r="T3189" s="49"/>
      <c r="U3189" s="49"/>
      <c r="V3189" s="49"/>
      <c r="W3189" s="56"/>
      <c r="X3189" s="51" t="str">
        <f t="shared" si="5"/>
        <v/>
      </c>
      <c r="Y3189" s="50" t="s">
        <v>482</v>
      </c>
      <c r="Z3189" s="49">
        <f t="shared" si="6"/>
        <v>0</v>
      </c>
    </row>
    <row r="3190" ht="22.5" customHeight="1">
      <c r="B3190" s="57"/>
      <c r="C3190" s="43" t="str">
        <f t="array" ref="C3190">IF(B3190="","",_xlfn.XLOOKUP(B3190,'Form responses 1'!$B$2:$B$2604,'Form responses 1'!$A$2:$A$2604,""))</f>
        <v/>
      </c>
      <c r="D3190" s="44" t="str">
        <f t="shared" si="3"/>
        <v/>
      </c>
      <c r="E3190" s="44" t="str">
        <f t="array" ref="E3190">IF(B3190="","",_xlfn.XLOOKUP(B3190,'Form responses 1'!$B$2:$B$2604,'Form responses 1'!$C$2:$C$2604,""))</f>
        <v/>
      </c>
      <c r="F3190" s="44" t="str">
        <f t="array" ref="F3190">IF(B3190="","",_xlfn.XLOOKUP(B3190,'Form responses 1'!$B$2:$B$2604,'Form responses 1'!$D$2:$D$2604,""))</f>
        <v/>
      </c>
      <c r="G3190" s="44" t="str">
        <f t="array" ref="G3190">IF(B3190="","",_xlfn.XLOOKUP(B3190,'Form responses 1'!$B$2:$B$2604,'Form responses 1'!$E$2:$E$2604,""))</f>
        <v/>
      </c>
      <c r="H3190" s="44" t="str">
        <f t="array" ref="H3190">IF(B3190="","",_xlfn.XLOOKUP(B3190,'Form responses 1'!$B$2:$B$2604,'Form responses 1'!$F$2:$F$2604,""))</f>
        <v/>
      </c>
      <c r="I3190" s="44" t="str">
        <f t="array" ref="I3190">IF(B3190="","",_xlfn.XLOOKUP(B3190,'Form responses 1'!$B$2:$B$2604,'Form responses 1'!$I$2:$I$2604,""))</f>
        <v/>
      </c>
      <c r="J3190" s="44" t="str">
        <f t="array" ref="J3190">IF(B3190="","",_xlfn.XLOOKUP(B3190,'Form responses 1'!$B$2:$B$2604,'Form responses 1'!$G$2:$G$2604,""))</f>
        <v/>
      </c>
      <c r="K3190" s="56"/>
      <c r="L3190" s="58" t="str">
        <f t="shared" si="7"/>
        <v/>
      </c>
      <c r="M3190" s="49"/>
      <c r="N3190" s="49"/>
      <c r="O3190" s="49"/>
      <c r="P3190" s="49"/>
      <c r="Q3190" s="49"/>
      <c r="R3190" s="49"/>
      <c r="S3190" s="49"/>
      <c r="T3190" s="49"/>
      <c r="U3190" s="49"/>
      <c r="V3190" s="49"/>
      <c r="W3190" s="56"/>
      <c r="X3190" s="51" t="str">
        <f t="shared" si="5"/>
        <v/>
      </c>
      <c r="Y3190" s="50" t="s">
        <v>482</v>
      </c>
      <c r="Z3190" s="49">
        <f t="shared" si="6"/>
        <v>0</v>
      </c>
    </row>
    <row r="3191" ht="22.5" customHeight="1">
      <c r="B3191" s="57"/>
      <c r="C3191" s="43" t="str">
        <f t="array" ref="C3191">IF(B3191="","",_xlfn.XLOOKUP(B3191,'Form responses 1'!$B$2:$B$2604,'Form responses 1'!$A$2:$A$2604,""))</f>
        <v/>
      </c>
      <c r="D3191" s="44" t="str">
        <f t="shared" si="3"/>
        <v/>
      </c>
      <c r="E3191" s="44" t="str">
        <f t="array" ref="E3191">IF(B3191="","",_xlfn.XLOOKUP(B3191,'Form responses 1'!$B$2:$B$2604,'Form responses 1'!$C$2:$C$2604,""))</f>
        <v/>
      </c>
      <c r="F3191" s="44" t="str">
        <f t="array" ref="F3191">IF(B3191="","",_xlfn.XLOOKUP(B3191,'Form responses 1'!$B$2:$B$2604,'Form responses 1'!$D$2:$D$2604,""))</f>
        <v/>
      </c>
      <c r="G3191" s="44" t="str">
        <f t="array" ref="G3191">IF(B3191="","",_xlfn.XLOOKUP(B3191,'Form responses 1'!$B$2:$B$2604,'Form responses 1'!$E$2:$E$2604,""))</f>
        <v/>
      </c>
      <c r="H3191" s="44" t="str">
        <f t="array" ref="H3191">IF(B3191="","",_xlfn.XLOOKUP(B3191,'Form responses 1'!$B$2:$B$2604,'Form responses 1'!$F$2:$F$2604,""))</f>
        <v/>
      </c>
      <c r="I3191" s="44" t="str">
        <f t="array" ref="I3191">IF(B3191="","",_xlfn.XLOOKUP(B3191,'Form responses 1'!$B$2:$B$2604,'Form responses 1'!$I$2:$I$2604,""))</f>
        <v/>
      </c>
      <c r="J3191" s="44" t="str">
        <f t="array" ref="J3191">IF(B3191="","",_xlfn.XLOOKUP(B3191,'Form responses 1'!$B$2:$B$2604,'Form responses 1'!$G$2:$G$2604,""))</f>
        <v/>
      </c>
      <c r="K3191" s="56"/>
      <c r="L3191" s="58" t="str">
        <f t="shared" si="7"/>
        <v/>
      </c>
      <c r="M3191" s="49"/>
      <c r="N3191" s="49"/>
      <c r="O3191" s="49"/>
      <c r="P3191" s="49"/>
      <c r="Q3191" s="49"/>
      <c r="R3191" s="49"/>
      <c r="S3191" s="49"/>
      <c r="T3191" s="49"/>
      <c r="U3191" s="49"/>
      <c r="V3191" s="49"/>
      <c r="W3191" s="56"/>
      <c r="X3191" s="51" t="str">
        <f t="shared" si="5"/>
        <v/>
      </c>
      <c r="Y3191" s="50" t="s">
        <v>482</v>
      </c>
      <c r="Z3191" s="49">
        <f t="shared" si="6"/>
        <v>0</v>
      </c>
    </row>
    <row r="3192" ht="22.5" customHeight="1">
      <c r="B3192" s="57"/>
      <c r="C3192" s="43" t="str">
        <f t="array" ref="C3192">IF(B3192="","",_xlfn.XLOOKUP(B3192,'Form responses 1'!$B$2:$B$2604,'Form responses 1'!$A$2:$A$2604,""))</f>
        <v/>
      </c>
      <c r="D3192" s="44" t="str">
        <f t="shared" si="3"/>
        <v/>
      </c>
      <c r="E3192" s="44" t="str">
        <f t="array" ref="E3192">IF(B3192="","",_xlfn.XLOOKUP(B3192,'Form responses 1'!$B$2:$B$2604,'Form responses 1'!$C$2:$C$2604,""))</f>
        <v/>
      </c>
      <c r="F3192" s="44" t="str">
        <f t="array" ref="F3192">IF(B3192="","",_xlfn.XLOOKUP(B3192,'Form responses 1'!$B$2:$B$2604,'Form responses 1'!$D$2:$D$2604,""))</f>
        <v/>
      </c>
      <c r="G3192" s="44" t="str">
        <f t="array" ref="G3192">IF(B3192="","",_xlfn.XLOOKUP(B3192,'Form responses 1'!$B$2:$B$2604,'Form responses 1'!$E$2:$E$2604,""))</f>
        <v/>
      </c>
      <c r="H3192" s="44" t="str">
        <f t="array" ref="H3192">IF(B3192="","",_xlfn.XLOOKUP(B3192,'Form responses 1'!$B$2:$B$2604,'Form responses 1'!$F$2:$F$2604,""))</f>
        <v/>
      </c>
      <c r="I3192" s="44" t="str">
        <f t="array" ref="I3192">IF(B3192="","",_xlfn.XLOOKUP(B3192,'Form responses 1'!$B$2:$B$2604,'Form responses 1'!$I$2:$I$2604,""))</f>
        <v/>
      </c>
      <c r="J3192" s="44" t="str">
        <f t="array" ref="J3192">IF(B3192="","",_xlfn.XLOOKUP(B3192,'Form responses 1'!$B$2:$B$2604,'Form responses 1'!$G$2:$G$2604,""))</f>
        <v/>
      </c>
      <c r="K3192" s="56"/>
      <c r="L3192" s="58" t="str">
        <f t="shared" si="7"/>
        <v/>
      </c>
      <c r="M3192" s="49"/>
      <c r="N3192" s="49"/>
      <c r="O3192" s="49"/>
      <c r="P3192" s="49"/>
      <c r="Q3192" s="49"/>
      <c r="R3192" s="49"/>
      <c r="S3192" s="49"/>
      <c r="T3192" s="49"/>
      <c r="U3192" s="49"/>
      <c r="V3192" s="49"/>
      <c r="W3192" s="56"/>
      <c r="X3192" s="51" t="str">
        <f t="shared" si="5"/>
        <v/>
      </c>
      <c r="Y3192" s="50" t="s">
        <v>482</v>
      </c>
      <c r="Z3192" s="49">
        <f t="shared" si="6"/>
        <v>0</v>
      </c>
    </row>
    <row r="3193" ht="22.5" customHeight="1">
      <c r="B3193" s="57"/>
      <c r="C3193" s="43" t="str">
        <f t="array" ref="C3193">IF(B3193="","",_xlfn.XLOOKUP(B3193,'Form responses 1'!$B$2:$B$2604,'Form responses 1'!$A$2:$A$2604,""))</f>
        <v/>
      </c>
      <c r="D3193" s="44" t="str">
        <f t="shared" si="3"/>
        <v/>
      </c>
      <c r="E3193" s="44" t="str">
        <f t="array" ref="E3193">IF(B3193="","",_xlfn.XLOOKUP(B3193,'Form responses 1'!$B$2:$B$2604,'Form responses 1'!$C$2:$C$2604,""))</f>
        <v/>
      </c>
      <c r="F3193" s="44" t="str">
        <f t="array" ref="F3193">IF(B3193="","",_xlfn.XLOOKUP(B3193,'Form responses 1'!$B$2:$B$2604,'Form responses 1'!$D$2:$D$2604,""))</f>
        <v/>
      </c>
      <c r="G3193" s="44" t="str">
        <f t="array" ref="G3193">IF(B3193="","",_xlfn.XLOOKUP(B3193,'Form responses 1'!$B$2:$B$2604,'Form responses 1'!$E$2:$E$2604,""))</f>
        <v/>
      </c>
      <c r="H3193" s="44" t="str">
        <f t="array" ref="H3193">IF(B3193="","",_xlfn.XLOOKUP(B3193,'Form responses 1'!$B$2:$B$2604,'Form responses 1'!$F$2:$F$2604,""))</f>
        <v/>
      </c>
      <c r="I3193" s="44" t="str">
        <f t="array" ref="I3193">IF(B3193="","",_xlfn.XLOOKUP(B3193,'Form responses 1'!$B$2:$B$2604,'Form responses 1'!$I$2:$I$2604,""))</f>
        <v/>
      </c>
      <c r="J3193" s="44" t="str">
        <f t="array" ref="J3193">IF(B3193="","",_xlfn.XLOOKUP(B3193,'Form responses 1'!$B$2:$B$2604,'Form responses 1'!$G$2:$G$2604,""))</f>
        <v/>
      </c>
      <c r="K3193" s="56"/>
      <c r="L3193" s="58" t="str">
        <f t="shared" si="7"/>
        <v/>
      </c>
      <c r="M3193" s="49"/>
      <c r="N3193" s="49"/>
      <c r="O3193" s="49"/>
      <c r="P3193" s="49"/>
      <c r="Q3193" s="49"/>
      <c r="R3193" s="49"/>
      <c r="S3193" s="49"/>
      <c r="T3193" s="49"/>
      <c r="U3193" s="49"/>
      <c r="V3193" s="49"/>
      <c r="W3193" s="56"/>
      <c r="X3193" s="51" t="str">
        <f t="shared" si="5"/>
        <v/>
      </c>
      <c r="Y3193" s="50" t="s">
        <v>482</v>
      </c>
      <c r="Z3193" s="49">
        <f t="shared" si="6"/>
        <v>0</v>
      </c>
    </row>
    <row r="3194" ht="22.5" customHeight="1">
      <c r="B3194" s="57"/>
      <c r="C3194" s="43" t="str">
        <f t="array" ref="C3194">IF(B3194="","",_xlfn.XLOOKUP(B3194,'Form responses 1'!$B$2:$B$2604,'Form responses 1'!$A$2:$A$2604,""))</f>
        <v/>
      </c>
      <c r="D3194" s="44" t="str">
        <f t="shared" si="3"/>
        <v/>
      </c>
      <c r="E3194" s="44" t="str">
        <f t="array" ref="E3194">IF(B3194="","",_xlfn.XLOOKUP(B3194,'Form responses 1'!$B$2:$B$2604,'Form responses 1'!$C$2:$C$2604,""))</f>
        <v/>
      </c>
      <c r="F3194" s="44" t="str">
        <f t="array" ref="F3194">IF(B3194="","",_xlfn.XLOOKUP(B3194,'Form responses 1'!$B$2:$B$2604,'Form responses 1'!$D$2:$D$2604,""))</f>
        <v/>
      </c>
      <c r="G3194" s="44" t="str">
        <f t="array" ref="G3194">IF(B3194="","",_xlfn.XLOOKUP(B3194,'Form responses 1'!$B$2:$B$2604,'Form responses 1'!$E$2:$E$2604,""))</f>
        <v/>
      </c>
      <c r="H3194" s="44" t="str">
        <f t="array" ref="H3194">IF(B3194="","",_xlfn.XLOOKUP(B3194,'Form responses 1'!$B$2:$B$2604,'Form responses 1'!$F$2:$F$2604,""))</f>
        <v/>
      </c>
      <c r="I3194" s="44" t="str">
        <f t="array" ref="I3194">IF(B3194="","",_xlfn.XLOOKUP(B3194,'Form responses 1'!$B$2:$B$2604,'Form responses 1'!$I$2:$I$2604,""))</f>
        <v/>
      </c>
      <c r="J3194" s="44" t="str">
        <f t="array" ref="J3194">IF(B3194="","",_xlfn.XLOOKUP(B3194,'Form responses 1'!$B$2:$B$2604,'Form responses 1'!$G$2:$G$2604,""))</f>
        <v/>
      </c>
      <c r="K3194" s="56"/>
      <c r="L3194" s="58" t="str">
        <f t="shared" si="7"/>
        <v/>
      </c>
      <c r="M3194" s="49"/>
      <c r="N3194" s="49"/>
      <c r="O3194" s="49"/>
      <c r="P3194" s="49"/>
      <c r="Q3194" s="49"/>
      <c r="R3194" s="49"/>
      <c r="S3194" s="49"/>
      <c r="T3194" s="49"/>
      <c r="U3194" s="49"/>
      <c r="V3194" s="49"/>
      <c r="W3194" s="56"/>
      <c r="X3194" s="51" t="str">
        <f t="shared" si="5"/>
        <v/>
      </c>
      <c r="Y3194" s="50" t="s">
        <v>482</v>
      </c>
      <c r="Z3194" s="49">
        <f t="shared" si="6"/>
        <v>0</v>
      </c>
    </row>
    <row r="3195" ht="22.5" customHeight="1">
      <c r="B3195" s="57"/>
      <c r="C3195" s="43" t="str">
        <f t="array" ref="C3195">IF(B3195="","",_xlfn.XLOOKUP(B3195,'Form responses 1'!$B$2:$B$2604,'Form responses 1'!$A$2:$A$2604,""))</f>
        <v/>
      </c>
      <c r="D3195" s="44" t="str">
        <f t="shared" si="3"/>
        <v/>
      </c>
      <c r="E3195" s="44" t="str">
        <f t="array" ref="E3195">IF(B3195="","",_xlfn.XLOOKUP(B3195,'Form responses 1'!$B$2:$B$2604,'Form responses 1'!$C$2:$C$2604,""))</f>
        <v/>
      </c>
      <c r="F3195" s="44" t="str">
        <f t="array" ref="F3195">IF(B3195="","",_xlfn.XLOOKUP(B3195,'Form responses 1'!$B$2:$B$2604,'Form responses 1'!$D$2:$D$2604,""))</f>
        <v/>
      </c>
      <c r="G3195" s="44" t="str">
        <f t="array" ref="G3195">IF(B3195="","",_xlfn.XLOOKUP(B3195,'Form responses 1'!$B$2:$B$2604,'Form responses 1'!$E$2:$E$2604,""))</f>
        <v/>
      </c>
      <c r="H3195" s="44" t="str">
        <f t="array" ref="H3195">IF(B3195="","",_xlfn.XLOOKUP(B3195,'Form responses 1'!$B$2:$B$2604,'Form responses 1'!$F$2:$F$2604,""))</f>
        <v/>
      </c>
      <c r="I3195" s="44" t="str">
        <f t="array" ref="I3195">IF(B3195="","",_xlfn.XLOOKUP(B3195,'Form responses 1'!$B$2:$B$2604,'Form responses 1'!$I$2:$I$2604,""))</f>
        <v/>
      </c>
      <c r="J3195" s="44" t="str">
        <f t="array" ref="J3195">IF(B3195="","",_xlfn.XLOOKUP(B3195,'Form responses 1'!$B$2:$B$2604,'Form responses 1'!$G$2:$G$2604,""))</f>
        <v/>
      </c>
      <c r="K3195" s="56"/>
      <c r="L3195" s="58" t="str">
        <f t="shared" si="7"/>
        <v/>
      </c>
      <c r="M3195" s="49"/>
      <c r="N3195" s="49"/>
      <c r="O3195" s="49"/>
      <c r="P3195" s="49"/>
      <c r="Q3195" s="49"/>
      <c r="R3195" s="49"/>
      <c r="S3195" s="49"/>
      <c r="T3195" s="49"/>
      <c r="U3195" s="49"/>
      <c r="V3195" s="49"/>
      <c r="W3195" s="56"/>
      <c r="X3195" s="51" t="str">
        <f t="shared" si="5"/>
        <v/>
      </c>
      <c r="Y3195" s="50" t="s">
        <v>482</v>
      </c>
      <c r="Z3195" s="49">
        <f t="shared" si="6"/>
        <v>0</v>
      </c>
    </row>
    <row r="3196" ht="22.5" customHeight="1">
      <c r="B3196" s="57"/>
      <c r="C3196" s="43" t="str">
        <f t="array" ref="C3196">IF(B3196="","",_xlfn.XLOOKUP(B3196,'Form responses 1'!$B$2:$B$2604,'Form responses 1'!$A$2:$A$2604,""))</f>
        <v/>
      </c>
      <c r="D3196" s="44" t="str">
        <f t="shared" si="3"/>
        <v/>
      </c>
      <c r="E3196" s="44" t="str">
        <f t="array" ref="E3196">IF(B3196="","",_xlfn.XLOOKUP(B3196,'Form responses 1'!$B$2:$B$2604,'Form responses 1'!$C$2:$C$2604,""))</f>
        <v/>
      </c>
      <c r="F3196" s="44" t="str">
        <f t="array" ref="F3196">IF(B3196="","",_xlfn.XLOOKUP(B3196,'Form responses 1'!$B$2:$B$2604,'Form responses 1'!$D$2:$D$2604,""))</f>
        <v/>
      </c>
      <c r="G3196" s="44" t="str">
        <f t="array" ref="G3196">IF(B3196="","",_xlfn.XLOOKUP(B3196,'Form responses 1'!$B$2:$B$2604,'Form responses 1'!$E$2:$E$2604,""))</f>
        <v/>
      </c>
      <c r="H3196" s="44" t="str">
        <f t="array" ref="H3196">IF(B3196="","",_xlfn.XLOOKUP(B3196,'Form responses 1'!$B$2:$B$2604,'Form responses 1'!$F$2:$F$2604,""))</f>
        <v/>
      </c>
      <c r="I3196" s="44" t="str">
        <f t="array" ref="I3196">IF(B3196="","",_xlfn.XLOOKUP(B3196,'Form responses 1'!$B$2:$B$2604,'Form responses 1'!$I$2:$I$2604,""))</f>
        <v/>
      </c>
      <c r="J3196" s="44" t="str">
        <f t="array" ref="J3196">IF(B3196="","",_xlfn.XLOOKUP(B3196,'Form responses 1'!$B$2:$B$2604,'Form responses 1'!$G$2:$G$2604,""))</f>
        <v/>
      </c>
      <c r="K3196" s="56"/>
      <c r="L3196" s="58" t="str">
        <f t="shared" si="7"/>
        <v/>
      </c>
      <c r="M3196" s="49"/>
      <c r="N3196" s="49"/>
      <c r="O3196" s="49"/>
      <c r="P3196" s="49"/>
      <c r="Q3196" s="49"/>
      <c r="R3196" s="49"/>
      <c r="S3196" s="49"/>
      <c r="T3196" s="49"/>
      <c r="U3196" s="49"/>
      <c r="V3196" s="49"/>
      <c r="W3196" s="56"/>
      <c r="X3196" s="51" t="str">
        <f t="shared" si="5"/>
        <v/>
      </c>
      <c r="Y3196" s="50" t="s">
        <v>482</v>
      </c>
      <c r="Z3196" s="49">
        <f t="shared" si="6"/>
        <v>0</v>
      </c>
    </row>
    <row r="3197" ht="22.5" customHeight="1">
      <c r="B3197" s="57"/>
      <c r="C3197" s="43" t="str">
        <f t="array" ref="C3197">IF(B3197="","",_xlfn.XLOOKUP(B3197,'Form responses 1'!$B$2:$B$2604,'Form responses 1'!$A$2:$A$2604,""))</f>
        <v/>
      </c>
      <c r="D3197" s="44" t="str">
        <f t="shared" si="3"/>
        <v/>
      </c>
      <c r="E3197" s="44" t="str">
        <f t="array" ref="E3197">IF(B3197="","",_xlfn.XLOOKUP(B3197,'Form responses 1'!$B$2:$B$2604,'Form responses 1'!$C$2:$C$2604,""))</f>
        <v/>
      </c>
      <c r="F3197" s="44" t="str">
        <f t="array" ref="F3197">IF(B3197="","",_xlfn.XLOOKUP(B3197,'Form responses 1'!$B$2:$B$2604,'Form responses 1'!$D$2:$D$2604,""))</f>
        <v/>
      </c>
      <c r="G3197" s="44" t="str">
        <f t="array" ref="G3197">IF(B3197="","",_xlfn.XLOOKUP(B3197,'Form responses 1'!$B$2:$B$2604,'Form responses 1'!$E$2:$E$2604,""))</f>
        <v/>
      </c>
      <c r="H3197" s="44" t="str">
        <f t="array" ref="H3197">IF(B3197="","",_xlfn.XLOOKUP(B3197,'Form responses 1'!$B$2:$B$2604,'Form responses 1'!$F$2:$F$2604,""))</f>
        <v/>
      </c>
      <c r="I3197" s="44" t="str">
        <f t="array" ref="I3197">IF(B3197="","",_xlfn.XLOOKUP(B3197,'Form responses 1'!$B$2:$B$2604,'Form responses 1'!$I$2:$I$2604,""))</f>
        <v/>
      </c>
      <c r="J3197" s="44" t="str">
        <f t="array" ref="J3197">IF(B3197="","",_xlfn.XLOOKUP(B3197,'Form responses 1'!$B$2:$B$2604,'Form responses 1'!$G$2:$G$2604,""))</f>
        <v/>
      </c>
      <c r="K3197" s="56"/>
      <c r="L3197" s="58" t="str">
        <f t="shared" si="7"/>
        <v/>
      </c>
      <c r="M3197" s="49"/>
      <c r="N3197" s="49"/>
      <c r="O3197" s="49"/>
      <c r="P3197" s="49"/>
      <c r="Q3197" s="49"/>
      <c r="R3197" s="49"/>
      <c r="S3197" s="49"/>
      <c r="T3197" s="49"/>
      <c r="U3197" s="49"/>
      <c r="V3197" s="49"/>
      <c r="W3197" s="56"/>
      <c r="X3197" s="51" t="str">
        <f t="shared" si="5"/>
        <v/>
      </c>
      <c r="Y3197" s="50" t="s">
        <v>482</v>
      </c>
      <c r="Z3197" s="49">
        <f t="shared" si="6"/>
        <v>0</v>
      </c>
    </row>
    <row r="3198" ht="22.5" customHeight="1">
      <c r="B3198" s="57"/>
      <c r="C3198" s="43" t="str">
        <f t="array" ref="C3198">IF(B3198="","",_xlfn.XLOOKUP(B3198,'Form responses 1'!$B$2:$B$2604,'Form responses 1'!$A$2:$A$2604,""))</f>
        <v/>
      </c>
      <c r="D3198" s="44" t="str">
        <f t="shared" si="3"/>
        <v/>
      </c>
      <c r="E3198" s="44" t="str">
        <f t="array" ref="E3198">IF(B3198="","",_xlfn.XLOOKUP(B3198,'Form responses 1'!$B$2:$B$2604,'Form responses 1'!$C$2:$C$2604,""))</f>
        <v/>
      </c>
      <c r="F3198" s="44" t="str">
        <f t="array" ref="F3198">IF(B3198="","",_xlfn.XLOOKUP(B3198,'Form responses 1'!$B$2:$B$2604,'Form responses 1'!$D$2:$D$2604,""))</f>
        <v/>
      </c>
      <c r="G3198" s="44" t="str">
        <f t="array" ref="G3198">IF(B3198="","",_xlfn.XLOOKUP(B3198,'Form responses 1'!$B$2:$B$2604,'Form responses 1'!$E$2:$E$2604,""))</f>
        <v/>
      </c>
      <c r="H3198" s="44" t="str">
        <f t="array" ref="H3198">IF(B3198="","",_xlfn.XLOOKUP(B3198,'Form responses 1'!$B$2:$B$2604,'Form responses 1'!$F$2:$F$2604,""))</f>
        <v/>
      </c>
      <c r="I3198" s="44" t="str">
        <f t="array" ref="I3198">IF(B3198="","",_xlfn.XLOOKUP(B3198,'Form responses 1'!$B$2:$B$2604,'Form responses 1'!$I$2:$I$2604,""))</f>
        <v/>
      </c>
      <c r="J3198" s="44" t="str">
        <f t="array" ref="J3198">IF(B3198="","",_xlfn.XLOOKUP(B3198,'Form responses 1'!$B$2:$B$2604,'Form responses 1'!$G$2:$G$2604,""))</f>
        <v/>
      </c>
      <c r="K3198" s="56"/>
      <c r="L3198" s="58" t="str">
        <f t="shared" si="7"/>
        <v/>
      </c>
      <c r="M3198" s="49"/>
      <c r="N3198" s="49"/>
      <c r="O3198" s="49"/>
      <c r="P3198" s="49"/>
      <c r="Q3198" s="49"/>
      <c r="R3198" s="49"/>
      <c r="S3198" s="49"/>
      <c r="T3198" s="49"/>
      <c r="U3198" s="49"/>
      <c r="V3198" s="49"/>
      <c r="W3198" s="56"/>
      <c r="X3198" s="51" t="str">
        <f t="shared" si="5"/>
        <v/>
      </c>
      <c r="Y3198" s="50" t="s">
        <v>482</v>
      </c>
      <c r="Z3198" s="49">
        <f t="shared" si="6"/>
        <v>0</v>
      </c>
    </row>
    <row r="3199" ht="22.5" customHeight="1">
      <c r="B3199" s="57"/>
      <c r="C3199" s="43" t="str">
        <f t="array" ref="C3199">IF(B3199="","",_xlfn.XLOOKUP(B3199,'Form responses 1'!$B$2:$B$2604,'Form responses 1'!$A$2:$A$2604,""))</f>
        <v/>
      </c>
      <c r="D3199" s="44" t="str">
        <f t="shared" si="3"/>
        <v/>
      </c>
      <c r="E3199" s="44" t="str">
        <f t="array" ref="E3199">IF(B3199="","",_xlfn.XLOOKUP(B3199,'Form responses 1'!$B$2:$B$2604,'Form responses 1'!$C$2:$C$2604,""))</f>
        <v/>
      </c>
      <c r="F3199" s="44" t="str">
        <f t="array" ref="F3199">IF(B3199="","",_xlfn.XLOOKUP(B3199,'Form responses 1'!$B$2:$B$2604,'Form responses 1'!$D$2:$D$2604,""))</f>
        <v/>
      </c>
      <c r="G3199" s="44" t="str">
        <f t="array" ref="G3199">IF(B3199="","",_xlfn.XLOOKUP(B3199,'Form responses 1'!$B$2:$B$2604,'Form responses 1'!$E$2:$E$2604,""))</f>
        <v/>
      </c>
      <c r="H3199" s="44" t="str">
        <f t="array" ref="H3199">IF(B3199="","",_xlfn.XLOOKUP(B3199,'Form responses 1'!$B$2:$B$2604,'Form responses 1'!$F$2:$F$2604,""))</f>
        <v/>
      </c>
      <c r="I3199" s="44" t="str">
        <f t="array" ref="I3199">IF(B3199="","",_xlfn.XLOOKUP(B3199,'Form responses 1'!$B$2:$B$2604,'Form responses 1'!$I$2:$I$2604,""))</f>
        <v/>
      </c>
      <c r="J3199" s="44" t="str">
        <f t="array" ref="J3199">IF(B3199="","",_xlfn.XLOOKUP(B3199,'Form responses 1'!$B$2:$B$2604,'Form responses 1'!$G$2:$G$2604,""))</f>
        <v/>
      </c>
      <c r="K3199" s="56"/>
      <c r="L3199" s="58" t="str">
        <f t="shared" si="7"/>
        <v/>
      </c>
      <c r="M3199" s="49"/>
      <c r="N3199" s="49"/>
      <c r="O3199" s="49"/>
      <c r="P3199" s="49"/>
      <c r="Q3199" s="49"/>
      <c r="R3199" s="49"/>
      <c r="S3199" s="49"/>
      <c r="T3199" s="49"/>
      <c r="U3199" s="49"/>
      <c r="V3199" s="49"/>
      <c r="W3199" s="56"/>
      <c r="X3199" s="51" t="str">
        <f t="shared" si="5"/>
        <v/>
      </c>
      <c r="Y3199" s="50" t="s">
        <v>482</v>
      </c>
      <c r="Z3199" s="49">
        <f t="shared" si="6"/>
        <v>0</v>
      </c>
    </row>
    <row r="3200" ht="22.5" customHeight="1">
      <c r="B3200" s="57"/>
      <c r="C3200" s="43" t="str">
        <f t="array" ref="C3200">IF(B3200="","",_xlfn.XLOOKUP(B3200,'Form responses 1'!$B$2:$B$2604,'Form responses 1'!$A$2:$A$2604,""))</f>
        <v/>
      </c>
      <c r="D3200" s="44" t="str">
        <f t="shared" si="3"/>
        <v/>
      </c>
      <c r="E3200" s="44" t="str">
        <f t="array" ref="E3200">IF(B3200="","",_xlfn.XLOOKUP(B3200,'Form responses 1'!$B$2:$B$2604,'Form responses 1'!$C$2:$C$2604,""))</f>
        <v/>
      </c>
      <c r="F3200" s="44" t="str">
        <f t="array" ref="F3200">IF(B3200="","",_xlfn.XLOOKUP(B3200,'Form responses 1'!$B$2:$B$2604,'Form responses 1'!$D$2:$D$2604,""))</f>
        <v/>
      </c>
      <c r="G3200" s="44" t="str">
        <f t="array" ref="G3200">IF(B3200="","",_xlfn.XLOOKUP(B3200,'Form responses 1'!$B$2:$B$2604,'Form responses 1'!$E$2:$E$2604,""))</f>
        <v/>
      </c>
      <c r="H3200" s="44" t="str">
        <f t="array" ref="H3200">IF(B3200="","",_xlfn.XLOOKUP(B3200,'Form responses 1'!$B$2:$B$2604,'Form responses 1'!$F$2:$F$2604,""))</f>
        <v/>
      </c>
      <c r="I3200" s="44" t="str">
        <f t="array" ref="I3200">IF(B3200="","",_xlfn.XLOOKUP(B3200,'Form responses 1'!$B$2:$B$2604,'Form responses 1'!$I$2:$I$2604,""))</f>
        <v/>
      </c>
      <c r="J3200" s="44" t="str">
        <f t="array" ref="J3200">IF(B3200="","",_xlfn.XLOOKUP(B3200,'Form responses 1'!$B$2:$B$2604,'Form responses 1'!$G$2:$G$2604,""))</f>
        <v/>
      </c>
      <c r="K3200" s="56"/>
      <c r="L3200" s="58" t="str">
        <f t="shared" si="7"/>
        <v/>
      </c>
      <c r="M3200" s="49"/>
      <c r="N3200" s="49"/>
      <c r="O3200" s="49"/>
      <c r="P3200" s="49"/>
      <c r="Q3200" s="49"/>
      <c r="R3200" s="49"/>
      <c r="S3200" s="49"/>
      <c r="T3200" s="49"/>
      <c r="U3200" s="49"/>
      <c r="V3200" s="49"/>
      <c r="W3200" s="56"/>
      <c r="X3200" s="51" t="str">
        <f t="shared" si="5"/>
        <v/>
      </c>
      <c r="Y3200" s="50" t="s">
        <v>482</v>
      </c>
      <c r="Z3200" s="49">
        <f t="shared" si="6"/>
        <v>0</v>
      </c>
    </row>
    <row r="3201" ht="22.5" customHeight="1">
      <c r="B3201" s="57"/>
      <c r="C3201" s="43" t="str">
        <f t="array" ref="C3201">IF(B3201="","",_xlfn.XLOOKUP(B3201,'Form responses 1'!$B$2:$B$2604,'Form responses 1'!$A$2:$A$2604,""))</f>
        <v/>
      </c>
      <c r="D3201" s="44" t="str">
        <f t="shared" si="3"/>
        <v/>
      </c>
      <c r="E3201" s="44" t="str">
        <f t="array" ref="E3201">IF(B3201="","",_xlfn.XLOOKUP(B3201,'Form responses 1'!$B$2:$B$2604,'Form responses 1'!$C$2:$C$2604,""))</f>
        <v/>
      </c>
      <c r="F3201" s="44" t="str">
        <f t="array" ref="F3201">IF(B3201="","",_xlfn.XLOOKUP(B3201,'Form responses 1'!$B$2:$B$2604,'Form responses 1'!$D$2:$D$2604,""))</f>
        <v/>
      </c>
      <c r="G3201" s="44" t="str">
        <f t="array" ref="G3201">IF(B3201="","",_xlfn.XLOOKUP(B3201,'Form responses 1'!$B$2:$B$2604,'Form responses 1'!$E$2:$E$2604,""))</f>
        <v/>
      </c>
      <c r="H3201" s="44" t="str">
        <f t="array" ref="H3201">IF(B3201="","",_xlfn.XLOOKUP(B3201,'Form responses 1'!$B$2:$B$2604,'Form responses 1'!$F$2:$F$2604,""))</f>
        <v/>
      </c>
      <c r="I3201" s="44" t="str">
        <f t="array" ref="I3201">IF(B3201="","",_xlfn.XLOOKUP(B3201,'Form responses 1'!$B$2:$B$2604,'Form responses 1'!$I$2:$I$2604,""))</f>
        <v/>
      </c>
      <c r="J3201" s="44" t="str">
        <f t="array" ref="J3201">IF(B3201="","",_xlfn.XLOOKUP(B3201,'Form responses 1'!$B$2:$B$2604,'Form responses 1'!$G$2:$G$2604,""))</f>
        <v/>
      </c>
      <c r="K3201" s="56"/>
      <c r="L3201" s="58" t="str">
        <f t="shared" si="7"/>
        <v/>
      </c>
      <c r="M3201" s="49"/>
      <c r="N3201" s="49"/>
      <c r="O3201" s="49"/>
      <c r="P3201" s="49"/>
      <c r="Q3201" s="49"/>
      <c r="R3201" s="49"/>
      <c r="S3201" s="49"/>
      <c r="T3201" s="49"/>
      <c r="U3201" s="49"/>
      <c r="V3201" s="49"/>
      <c r="W3201" s="56"/>
      <c r="X3201" s="51" t="str">
        <f t="shared" si="5"/>
        <v/>
      </c>
      <c r="Y3201" s="50" t="s">
        <v>482</v>
      </c>
      <c r="Z3201" s="49">
        <f t="shared" si="6"/>
        <v>0</v>
      </c>
    </row>
    <row r="3202" ht="22.5" customHeight="1">
      <c r="B3202" s="57"/>
      <c r="C3202" s="43" t="str">
        <f t="array" ref="C3202">IF(B3202="","",_xlfn.XLOOKUP(B3202,'Form responses 1'!$B$2:$B$2604,'Form responses 1'!$A$2:$A$2604,""))</f>
        <v/>
      </c>
      <c r="D3202" s="44" t="str">
        <f t="shared" si="3"/>
        <v/>
      </c>
      <c r="E3202" s="44" t="str">
        <f t="array" ref="E3202">IF(B3202="","",_xlfn.XLOOKUP(B3202,'Form responses 1'!$B$2:$B$2604,'Form responses 1'!$C$2:$C$2604,""))</f>
        <v/>
      </c>
      <c r="F3202" s="44" t="str">
        <f t="array" ref="F3202">IF(B3202="","",_xlfn.XLOOKUP(B3202,'Form responses 1'!$B$2:$B$2604,'Form responses 1'!$D$2:$D$2604,""))</f>
        <v/>
      </c>
      <c r="G3202" s="44" t="str">
        <f t="array" ref="G3202">IF(B3202="","",_xlfn.XLOOKUP(B3202,'Form responses 1'!$B$2:$B$2604,'Form responses 1'!$E$2:$E$2604,""))</f>
        <v/>
      </c>
      <c r="H3202" s="44" t="str">
        <f t="array" ref="H3202">IF(B3202="","",_xlfn.XLOOKUP(B3202,'Form responses 1'!$B$2:$B$2604,'Form responses 1'!$F$2:$F$2604,""))</f>
        <v/>
      </c>
      <c r="I3202" s="44" t="str">
        <f t="array" ref="I3202">IF(B3202="","",_xlfn.XLOOKUP(B3202,'Form responses 1'!$B$2:$B$2604,'Form responses 1'!$I$2:$I$2604,""))</f>
        <v/>
      </c>
      <c r="J3202" s="44" t="str">
        <f t="array" ref="J3202">IF(B3202="","",_xlfn.XLOOKUP(B3202,'Form responses 1'!$B$2:$B$2604,'Form responses 1'!$G$2:$G$2604,""))</f>
        <v/>
      </c>
      <c r="K3202" s="56"/>
      <c r="L3202" s="58" t="str">
        <f t="shared" si="7"/>
        <v/>
      </c>
      <c r="M3202" s="49"/>
      <c r="N3202" s="49"/>
      <c r="O3202" s="49"/>
      <c r="P3202" s="49"/>
      <c r="Q3202" s="49"/>
      <c r="R3202" s="49"/>
      <c r="S3202" s="49"/>
      <c r="T3202" s="49"/>
      <c r="U3202" s="49"/>
      <c r="V3202" s="49"/>
      <c r="W3202" s="56"/>
      <c r="X3202" s="51" t="str">
        <f t="shared" si="5"/>
        <v/>
      </c>
      <c r="Y3202" s="50" t="s">
        <v>482</v>
      </c>
      <c r="Z3202" s="49">
        <f t="shared" si="6"/>
        <v>0</v>
      </c>
    </row>
    <row r="3203" ht="22.5" customHeight="1">
      <c r="B3203" s="57"/>
      <c r="C3203" s="43" t="str">
        <f t="array" ref="C3203">IF(B3203="","",_xlfn.XLOOKUP(B3203,'Form responses 1'!$B$2:$B$2604,'Form responses 1'!$A$2:$A$2604,""))</f>
        <v/>
      </c>
      <c r="D3203" s="44" t="str">
        <f t="shared" si="3"/>
        <v/>
      </c>
      <c r="E3203" s="44" t="str">
        <f t="array" ref="E3203">IF(B3203="","",_xlfn.XLOOKUP(B3203,'Form responses 1'!$B$2:$B$2604,'Form responses 1'!$C$2:$C$2604,""))</f>
        <v/>
      </c>
      <c r="F3203" s="44" t="str">
        <f t="array" ref="F3203">IF(B3203="","",_xlfn.XLOOKUP(B3203,'Form responses 1'!$B$2:$B$2604,'Form responses 1'!$D$2:$D$2604,""))</f>
        <v/>
      </c>
      <c r="G3203" s="44" t="str">
        <f t="array" ref="G3203">IF(B3203="","",_xlfn.XLOOKUP(B3203,'Form responses 1'!$B$2:$B$2604,'Form responses 1'!$E$2:$E$2604,""))</f>
        <v/>
      </c>
      <c r="H3203" s="44" t="str">
        <f t="array" ref="H3203">IF(B3203="","",_xlfn.XLOOKUP(B3203,'Form responses 1'!$B$2:$B$2604,'Form responses 1'!$F$2:$F$2604,""))</f>
        <v/>
      </c>
      <c r="I3203" s="44" t="str">
        <f t="array" ref="I3203">IF(B3203="","",_xlfn.XLOOKUP(B3203,'Form responses 1'!$B$2:$B$2604,'Form responses 1'!$I$2:$I$2604,""))</f>
        <v/>
      </c>
      <c r="J3203" s="44" t="str">
        <f t="array" ref="J3203">IF(B3203="","",_xlfn.XLOOKUP(B3203,'Form responses 1'!$B$2:$B$2604,'Form responses 1'!$G$2:$G$2604,""))</f>
        <v/>
      </c>
      <c r="K3203" s="56"/>
      <c r="L3203" s="58" t="str">
        <f t="shared" si="7"/>
        <v/>
      </c>
      <c r="M3203" s="49"/>
      <c r="N3203" s="49"/>
      <c r="O3203" s="49"/>
      <c r="P3203" s="49"/>
      <c r="Q3203" s="49"/>
      <c r="R3203" s="49"/>
      <c r="S3203" s="49"/>
      <c r="T3203" s="49"/>
      <c r="U3203" s="49"/>
      <c r="V3203" s="49"/>
      <c r="W3203" s="56"/>
      <c r="X3203" s="51" t="str">
        <f t="shared" si="5"/>
        <v/>
      </c>
      <c r="Y3203" s="50" t="s">
        <v>482</v>
      </c>
      <c r="Z3203" s="49">
        <f t="shared" si="6"/>
        <v>0</v>
      </c>
    </row>
    <row r="3204" ht="22.5" customHeight="1">
      <c r="B3204" s="57"/>
      <c r="C3204" s="43" t="str">
        <f t="array" ref="C3204">IF(B3204="","",_xlfn.XLOOKUP(B3204,'Form responses 1'!$B$2:$B$2604,'Form responses 1'!$A$2:$A$2604,""))</f>
        <v/>
      </c>
      <c r="D3204" s="44" t="str">
        <f t="shared" si="3"/>
        <v/>
      </c>
      <c r="E3204" s="44" t="str">
        <f t="array" ref="E3204">IF(B3204="","",_xlfn.XLOOKUP(B3204,'Form responses 1'!$B$2:$B$2604,'Form responses 1'!$C$2:$C$2604,""))</f>
        <v/>
      </c>
      <c r="F3204" s="44" t="str">
        <f t="array" ref="F3204">IF(B3204="","",_xlfn.XLOOKUP(B3204,'Form responses 1'!$B$2:$B$2604,'Form responses 1'!$D$2:$D$2604,""))</f>
        <v/>
      </c>
      <c r="G3204" s="44" t="str">
        <f t="array" ref="G3204">IF(B3204="","",_xlfn.XLOOKUP(B3204,'Form responses 1'!$B$2:$B$2604,'Form responses 1'!$E$2:$E$2604,""))</f>
        <v/>
      </c>
      <c r="H3204" s="44" t="str">
        <f t="array" ref="H3204">IF(B3204="","",_xlfn.XLOOKUP(B3204,'Form responses 1'!$B$2:$B$2604,'Form responses 1'!$F$2:$F$2604,""))</f>
        <v/>
      </c>
      <c r="I3204" s="44" t="str">
        <f t="array" ref="I3204">IF(B3204="","",_xlfn.XLOOKUP(B3204,'Form responses 1'!$B$2:$B$2604,'Form responses 1'!$I$2:$I$2604,""))</f>
        <v/>
      </c>
      <c r="J3204" s="44" t="str">
        <f t="array" ref="J3204">IF(B3204="","",_xlfn.XLOOKUP(B3204,'Form responses 1'!$B$2:$B$2604,'Form responses 1'!$G$2:$G$2604,""))</f>
        <v/>
      </c>
      <c r="K3204" s="56"/>
      <c r="L3204" s="58" t="str">
        <f t="shared" si="7"/>
        <v/>
      </c>
      <c r="M3204" s="49"/>
      <c r="N3204" s="49"/>
      <c r="O3204" s="49"/>
      <c r="P3204" s="49"/>
      <c r="Q3204" s="49"/>
      <c r="R3204" s="49"/>
      <c r="S3204" s="49"/>
      <c r="T3204" s="49"/>
      <c r="U3204" s="49"/>
      <c r="V3204" s="49"/>
      <c r="W3204" s="56"/>
      <c r="X3204" s="51" t="str">
        <f t="shared" si="5"/>
        <v/>
      </c>
      <c r="Y3204" s="50" t="s">
        <v>482</v>
      </c>
      <c r="Z3204" s="49">
        <f t="shared" si="6"/>
        <v>0</v>
      </c>
    </row>
    <row r="3205" ht="22.5" customHeight="1">
      <c r="B3205" s="57"/>
      <c r="C3205" s="43" t="str">
        <f t="array" ref="C3205">IF(B3205="","",_xlfn.XLOOKUP(B3205,'Form responses 1'!$B$2:$B$2604,'Form responses 1'!$A$2:$A$2604,""))</f>
        <v/>
      </c>
      <c r="D3205" s="44" t="str">
        <f t="shared" si="3"/>
        <v/>
      </c>
      <c r="E3205" s="44" t="str">
        <f t="array" ref="E3205">IF(B3205="","",_xlfn.XLOOKUP(B3205,'Form responses 1'!$B$2:$B$2604,'Form responses 1'!$C$2:$C$2604,""))</f>
        <v/>
      </c>
      <c r="F3205" s="44" t="str">
        <f t="array" ref="F3205">IF(B3205="","",_xlfn.XLOOKUP(B3205,'Form responses 1'!$B$2:$B$2604,'Form responses 1'!$D$2:$D$2604,""))</f>
        <v/>
      </c>
      <c r="G3205" s="44" t="str">
        <f t="array" ref="G3205">IF(B3205="","",_xlfn.XLOOKUP(B3205,'Form responses 1'!$B$2:$B$2604,'Form responses 1'!$E$2:$E$2604,""))</f>
        <v/>
      </c>
      <c r="H3205" s="44" t="str">
        <f t="array" ref="H3205">IF(B3205="","",_xlfn.XLOOKUP(B3205,'Form responses 1'!$B$2:$B$2604,'Form responses 1'!$F$2:$F$2604,""))</f>
        <v/>
      </c>
      <c r="I3205" s="44" t="str">
        <f t="array" ref="I3205">IF(B3205="","",_xlfn.XLOOKUP(B3205,'Form responses 1'!$B$2:$B$2604,'Form responses 1'!$I$2:$I$2604,""))</f>
        <v/>
      </c>
      <c r="J3205" s="44" t="str">
        <f t="array" ref="J3205">IF(B3205="","",_xlfn.XLOOKUP(B3205,'Form responses 1'!$B$2:$B$2604,'Form responses 1'!$G$2:$G$2604,""))</f>
        <v/>
      </c>
      <c r="K3205" s="56"/>
      <c r="L3205" s="58" t="str">
        <f t="shared" si="7"/>
        <v/>
      </c>
      <c r="M3205" s="49"/>
      <c r="N3205" s="49"/>
      <c r="O3205" s="49"/>
      <c r="P3205" s="49"/>
      <c r="Q3205" s="49"/>
      <c r="R3205" s="49"/>
      <c r="S3205" s="49"/>
      <c r="T3205" s="49"/>
      <c r="U3205" s="49"/>
      <c r="V3205" s="49"/>
      <c r="W3205" s="56"/>
      <c r="X3205" s="51" t="str">
        <f t="shared" si="5"/>
        <v/>
      </c>
      <c r="Y3205" s="50" t="s">
        <v>482</v>
      </c>
      <c r="Z3205" s="49">
        <f t="shared" si="6"/>
        <v>0</v>
      </c>
    </row>
    <row r="3206" ht="22.5" customHeight="1">
      <c r="B3206" s="57"/>
      <c r="C3206" s="43" t="str">
        <f t="array" ref="C3206">IF(B3206="","",_xlfn.XLOOKUP(B3206,'Form responses 1'!$B$2:$B$2604,'Form responses 1'!$A$2:$A$2604,""))</f>
        <v/>
      </c>
      <c r="D3206" s="44" t="str">
        <f t="shared" si="3"/>
        <v/>
      </c>
      <c r="E3206" s="44" t="str">
        <f t="array" ref="E3206">IF(B3206="","",_xlfn.XLOOKUP(B3206,'Form responses 1'!$B$2:$B$2604,'Form responses 1'!$C$2:$C$2604,""))</f>
        <v/>
      </c>
      <c r="F3206" s="44" t="str">
        <f t="array" ref="F3206">IF(B3206="","",_xlfn.XLOOKUP(B3206,'Form responses 1'!$B$2:$B$2604,'Form responses 1'!$D$2:$D$2604,""))</f>
        <v/>
      </c>
      <c r="G3206" s="44" t="str">
        <f t="array" ref="G3206">IF(B3206="","",_xlfn.XLOOKUP(B3206,'Form responses 1'!$B$2:$B$2604,'Form responses 1'!$E$2:$E$2604,""))</f>
        <v/>
      </c>
      <c r="H3206" s="44" t="str">
        <f t="array" ref="H3206">IF(B3206="","",_xlfn.XLOOKUP(B3206,'Form responses 1'!$B$2:$B$2604,'Form responses 1'!$F$2:$F$2604,""))</f>
        <v/>
      </c>
      <c r="I3206" s="44" t="str">
        <f t="array" ref="I3206">IF(B3206="","",_xlfn.XLOOKUP(B3206,'Form responses 1'!$B$2:$B$2604,'Form responses 1'!$I$2:$I$2604,""))</f>
        <v/>
      </c>
      <c r="J3206" s="44" t="str">
        <f t="array" ref="J3206">IF(B3206="","",_xlfn.XLOOKUP(B3206,'Form responses 1'!$B$2:$B$2604,'Form responses 1'!$G$2:$G$2604,""))</f>
        <v/>
      </c>
      <c r="K3206" s="56"/>
      <c r="L3206" s="58" t="str">
        <f t="shared" si="7"/>
        <v/>
      </c>
      <c r="M3206" s="49"/>
      <c r="N3206" s="49"/>
      <c r="O3206" s="49"/>
      <c r="P3206" s="49"/>
      <c r="Q3206" s="49"/>
      <c r="R3206" s="49"/>
      <c r="S3206" s="49"/>
      <c r="T3206" s="49"/>
      <c r="U3206" s="49"/>
      <c r="V3206" s="49"/>
      <c r="W3206" s="56"/>
      <c r="X3206" s="51" t="str">
        <f t="shared" si="5"/>
        <v/>
      </c>
      <c r="Y3206" s="50" t="s">
        <v>482</v>
      </c>
      <c r="Z3206" s="49">
        <f t="shared" si="6"/>
        <v>0</v>
      </c>
    </row>
    <row r="3207" ht="22.5" customHeight="1">
      <c r="B3207" s="57"/>
      <c r="C3207" s="43" t="str">
        <f t="array" ref="C3207">IF(B3207="","",_xlfn.XLOOKUP(B3207,'Form responses 1'!$B$2:$B$2604,'Form responses 1'!$A$2:$A$2604,""))</f>
        <v/>
      </c>
      <c r="D3207" s="44" t="str">
        <f t="shared" si="3"/>
        <v/>
      </c>
      <c r="E3207" s="44" t="str">
        <f t="array" ref="E3207">IF(B3207="","",_xlfn.XLOOKUP(B3207,'Form responses 1'!$B$2:$B$2604,'Form responses 1'!$C$2:$C$2604,""))</f>
        <v/>
      </c>
      <c r="F3207" s="44" t="str">
        <f t="array" ref="F3207">IF(B3207="","",_xlfn.XLOOKUP(B3207,'Form responses 1'!$B$2:$B$2604,'Form responses 1'!$D$2:$D$2604,""))</f>
        <v/>
      </c>
      <c r="G3207" s="44" t="str">
        <f t="array" ref="G3207">IF(B3207="","",_xlfn.XLOOKUP(B3207,'Form responses 1'!$B$2:$B$2604,'Form responses 1'!$E$2:$E$2604,""))</f>
        <v/>
      </c>
      <c r="H3207" s="44" t="str">
        <f t="array" ref="H3207">IF(B3207="","",_xlfn.XLOOKUP(B3207,'Form responses 1'!$B$2:$B$2604,'Form responses 1'!$F$2:$F$2604,""))</f>
        <v/>
      </c>
      <c r="I3207" s="44" t="str">
        <f t="array" ref="I3207">IF(B3207="","",_xlfn.XLOOKUP(B3207,'Form responses 1'!$B$2:$B$2604,'Form responses 1'!$I$2:$I$2604,""))</f>
        <v/>
      </c>
      <c r="J3207" s="44" t="str">
        <f t="array" ref="J3207">IF(B3207="","",_xlfn.XLOOKUP(B3207,'Form responses 1'!$B$2:$B$2604,'Form responses 1'!$G$2:$G$2604,""))</f>
        <v/>
      </c>
      <c r="K3207" s="56"/>
      <c r="L3207" s="58" t="str">
        <f t="shared" si="7"/>
        <v/>
      </c>
      <c r="M3207" s="49"/>
      <c r="N3207" s="49"/>
      <c r="O3207" s="49"/>
      <c r="P3207" s="49"/>
      <c r="Q3207" s="49"/>
      <c r="R3207" s="49"/>
      <c r="S3207" s="49"/>
      <c r="T3207" s="49"/>
      <c r="U3207" s="49"/>
      <c r="V3207" s="49"/>
      <c r="W3207" s="56"/>
      <c r="X3207" s="51" t="str">
        <f t="shared" si="5"/>
        <v/>
      </c>
      <c r="Y3207" s="50" t="s">
        <v>482</v>
      </c>
      <c r="Z3207" s="49">
        <f t="shared" si="6"/>
        <v>0</v>
      </c>
    </row>
    <row r="3208" ht="22.5" customHeight="1">
      <c r="B3208" s="57"/>
      <c r="C3208" s="43" t="str">
        <f t="array" ref="C3208">IF(B3208="","",_xlfn.XLOOKUP(B3208,'Form responses 1'!$B$2:$B$2604,'Form responses 1'!$A$2:$A$2604,""))</f>
        <v/>
      </c>
      <c r="D3208" s="44" t="str">
        <f t="shared" si="3"/>
        <v/>
      </c>
      <c r="E3208" s="44" t="str">
        <f t="array" ref="E3208">IF(B3208="","",_xlfn.XLOOKUP(B3208,'Form responses 1'!$B$2:$B$2604,'Form responses 1'!$C$2:$C$2604,""))</f>
        <v/>
      </c>
      <c r="F3208" s="44" t="str">
        <f t="array" ref="F3208">IF(B3208="","",_xlfn.XLOOKUP(B3208,'Form responses 1'!$B$2:$B$2604,'Form responses 1'!$D$2:$D$2604,""))</f>
        <v/>
      </c>
      <c r="G3208" s="44" t="str">
        <f t="array" ref="G3208">IF(B3208="","",_xlfn.XLOOKUP(B3208,'Form responses 1'!$B$2:$B$2604,'Form responses 1'!$E$2:$E$2604,""))</f>
        <v/>
      </c>
      <c r="H3208" s="44" t="str">
        <f t="array" ref="H3208">IF(B3208="","",_xlfn.XLOOKUP(B3208,'Form responses 1'!$B$2:$B$2604,'Form responses 1'!$F$2:$F$2604,""))</f>
        <v/>
      </c>
      <c r="I3208" s="44" t="str">
        <f t="array" ref="I3208">IF(B3208="","",_xlfn.XLOOKUP(B3208,'Form responses 1'!$B$2:$B$2604,'Form responses 1'!$I$2:$I$2604,""))</f>
        <v/>
      </c>
      <c r="J3208" s="44" t="str">
        <f t="array" ref="J3208">IF(B3208="","",_xlfn.XLOOKUP(B3208,'Form responses 1'!$B$2:$B$2604,'Form responses 1'!$G$2:$G$2604,""))</f>
        <v/>
      </c>
      <c r="K3208" s="56"/>
      <c r="L3208" s="58" t="str">
        <f t="shared" si="7"/>
        <v/>
      </c>
      <c r="M3208" s="49"/>
      <c r="N3208" s="49"/>
      <c r="O3208" s="49"/>
      <c r="P3208" s="49"/>
      <c r="Q3208" s="49"/>
      <c r="R3208" s="49"/>
      <c r="S3208" s="49"/>
      <c r="T3208" s="49"/>
      <c r="U3208" s="49"/>
      <c r="V3208" s="49"/>
      <c r="W3208" s="56"/>
      <c r="X3208" s="51" t="str">
        <f t="shared" si="5"/>
        <v/>
      </c>
      <c r="Y3208" s="50" t="s">
        <v>482</v>
      </c>
      <c r="Z3208" s="49">
        <f t="shared" si="6"/>
        <v>0</v>
      </c>
    </row>
    <row r="3209" ht="22.5" customHeight="1">
      <c r="B3209" s="57"/>
      <c r="C3209" s="43" t="str">
        <f t="array" ref="C3209">IF(B3209="","",_xlfn.XLOOKUP(B3209,'Form responses 1'!$B$2:$B$2604,'Form responses 1'!$A$2:$A$2604,""))</f>
        <v/>
      </c>
      <c r="D3209" s="44" t="str">
        <f t="shared" si="3"/>
        <v/>
      </c>
      <c r="E3209" s="44" t="str">
        <f t="array" ref="E3209">IF(B3209="","",_xlfn.XLOOKUP(B3209,'Form responses 1'!$B$2:$B$2604,'Form responses 1'!$C$2:$C$2604,""))</f>
        <v/>
      </c>
      <c r="F3209" s="44" t="str">
        <f t="array" ref="F3209">IF(B3209="","",_xlfn.XLOOKUP(B3209,'Form responses 1'!$B$2:$B$2604,'Form responses 1'!$D$2:$D$2604,""))</f>
        <v/>
      </c>
      <c r="G3209" s="44" t="str">
        <f t="array" ref="G3209">IF(B3209="","",_xlfn.XLOOKUP(B3209,'Form responses 1'!$B$2:$B$2604,'Form responses 1'!$E$2:$E$2604,""))</f>
        <v/>
      </c>
      <c r="H3209" s="44" t="str">
        <f t="array" ref="H3209">IF(B3209="","",_xlfn.XLOOKUP(B3209,'Form responses 1'!$B$2:$B$2604,'Form responses 1'!$F$2:$F$2604,""))</f>
        <v/>
      </c>
      <c r="I3209" s="44" t="str">
        <f t="array" ref="I3209">IF(B3209="","",_xlfn.XLOOKUP(B3209,'Form responses 1'!$B$2:$B$2604,'Form responses 1'!$I$2:$I$2604,""))</f>
        <v/>
      </c>
      <c r="J3209" s="44" t="str">
        <f t="array" ref="J3209">IF(B3209="","",_xlfn.XLOOKUP(B3209,'Form responses 1'!$B$2:$B$2604,'Form responses 1'!$G$2:$G$2604,""))</f>
        <v/>
      </c>
      <c r="K3209" s="56"/>
      <c r="L3209" s="58" t="str">
        <f t="shared" si="7"/>
        <v/>
      </c>
      <c r="M3209" s="49"/>
      <c r="N3209" s="49"/>
      <c r="O3209" s="49"/>
      <c r="P3209" s="49"/>
      <c r="Q3209" s="49"/>
      <c r="R3209" s="49"/>
      <c r="S3209" s="49"/>
      <c r="T3209" s="49"/>
      <c r="U3209" s="49"/>
      <c r="V3209" s="49"/>
      <c r="W3209" s="56"/>
      <c r="X3209" s="51" t="str">
        <f t="shared" si="5"/>
        <v/>
      </c>
      <c r="Y3209" s="50" t="s">
        <v>482</v>
      </c>
      <c r="Z3209" s="49">
        <f t="shared" si="6"/>
        <v>0</v>
      </c>
    </row>
    <row r="3210" ht="22.5" customHeight="1">
      <c r="B3210" s="57"/>
      <c r="C3210" s="43" t="str">
        <f t="array" ref="C3210">IF(B3210="","",_xlfn.XLOOKUP(B3210,'Form responses 1'!$B$2:$B$2604,'Form responses 1'!$A$2:$A$2604,""))</f>
        <v/>
      </c>
      <c r="D3210" s="44" t="str">
        <f t="shared" si="3"/>
        <v/>
      </c>
      <c r="E3210" s="44" t="str">
        <f t="array" ref="E3210">IF(B3210="","",_xlfn.XLOOKUP(B3210,'Form responses 1'!$B$2:$B$2604,'Form responses 1'!$C$2:$C$2604,""))</f>
        <v/>
      </c>
      <c r="F3210" s="44" t="str">
        <f t="array" ref="F3210">IF(B3210="","",_xlfn.XLOOKUP(B3210,'Form responses 1'!$B$2:$B$2604,'Form responses 1'!$D$2:$D$2604,""))</f>
        <v/>
      </c>
      <c r="G3210" s="44" t="str">
        <f t="array" ref="G3210">IF(B3210="","",_xlfn.XLOOKUP(B3210,'Form responses 1'!$B$2:$B$2604,'Form responses 1'!$E$2:$E$2604,""))</f>
        <v/>
      </c>
      <c r="H3210" s="44" t="str">
        <f t="array" ref="H3210">IF(B3210="","",_xlfn.XLOOKUP(B3210,'Form responses 1'!$B$2:$B$2604,'Form responses 1'!$F$2:$F$2604,""))</f>
        <v/>
      </c>
      <c r="I3210" s="44" t="str">
        <f t="array" ref="I3210">IF(B3210="","",_xlfn.XLOOKUP(B3210,'Form responses 1'!$B$2:$B$2604,'Form responses 1'!$I$2:$I$2604,""))</f>
        <v/>
      </c>
      <c r="J3210" s="44" t="str">
        <f t="array" ref="J3210">IF(B3210="","",_xlfn.XLOOKUP(B3210,'Form responses 1'!$B$2:$B$2604,'Form responses 1'!$G$2:$G$2604,""))</f>
        <v/>
      </c>
      <c r="K3210" s="56"/>
      <c r="L3210" s="58" t="str">
        <f t="shared" si="7"/>
        <v/>
      </c>
      <c r="M3210" s="49"/>
      <c r="N3210" s="49"/>
      <c r="O3210" s="49"/>
      <c r="P3210" s="49"/>
      <c r="Q3210" s="49"/>
      <c r="R3210" s="49"/>
      <c r="S3210" s="49"/>
      <c r="T3210" s="49"/>
      <c r="U3210" s="49"/>
      <c r="V3210" s="49"/>
      <c r="W3210" s="56"/>
      <c r="X3210" s="51" t="str">
        <f t="shared" si="5"/>
        <v/>
      </c>
      <c r="Y3210" s="50" t="s">
        <v>482</v>
      </c>
      <c r="Z3210" s="49">
        <f t="shared" si="6"/>
        <v>0</v>
      </c>
    </row>
    <row r="3211" ht="22.5" customHeight="1">
      <c r="B3211" s="57"/>
      <c r="C3211" s="43" t="str">
        <f t="array" ref="C3211">IF(B3211="","",_xlfn.XLOOKUP(B3211,'Form responses 1'!$B$2:$B$2604,'Form responses 1'!$A$2:$A$2604,""))</f>
        <v/>
      </c>
      <c r="D3211" s="44" t="str">
        <f t="shared" si="3"/>
        <v/>
      </c>
      <c r="E3211" s="44" t="str">
        <f t="array" ref="E3211">IF(B3211="","",_xlfn.XLOOKUP(B3211,'Form responses 1'!$B$2:$B$2604,'Form responses 1'!$C$2:$C$2604,""))</f>
        <v/>
      </c>
      <c r="F3211" s="44" t="str">
        <f t="array" ref="F3211">IF(B3211="","",_xlfn.XLOOKUP(B3211,'Form responses 1'!$B$2:$B$2604,'Form responses 1'!$D$2:$D$2604,""))</f>
        <v/>
      </c>
      <c r="G3211" s="44" t="str">
        <f t="array" ref="G3211">IF(B3211="","",_xlfn.XLOOKUP(B3211,'Form responses 1'!$B$2:$B$2604,'Form responses 1'!$E$2:$E$2604,""))</f>
        <v/>
      </c>
      <c r="H3211" s="44" t="str">
        <f t="array" ref="H3211">IF(B3211="","",_xlfn.XLOOKUP(B3211,'Form responses 1'!$B$2:$B$2604,'Form responses 1'!$F$2:$F$2604,""))</f>
        <v/>
      </c>
      <c r="I3211" s="44" t="str">
        <f t="array" ref="I3211">IF(B3211="","",_xlfn.XLOOKUP(B3211,'Form responses 1'!$B$2:$B$2604,'Form responses 1'!$I$2:$I$2604,""))</f>
        <v/>
      </c>
      <c r="J3211" s="44" t="str">
        <f t="array" ref="J3211">IF(B3211="","",_xlfn.XLOOKUP(B3211,'Form responses 1'!$B$2:$B$2604,'Form responses 1'!$G$2:$G$2604,""))</f>
        <v/>
      </c>
      <c r="K3211" s="56"/>
      <c r="L3211" s="58" t="str">
        <f t="shared" si="7"/>
        <v/>
      </c>
      <c r="M3211" s="49"/>
      <c r="N3211" s="49"/>
      <c r="O3211" s="49"/>
      <c r="P3211" s="49"/>
      <c r="Q3211" s="49"/>
      <c r="R3211" s="49"/>
      <c r="S3211" s="49"/>
      <c r="T3211" s="49"/>
      <c r="U3211" s="49"/>
      <c r="V3211" s="49"/>
      <c r="W3211" s="56"/>
      <c r="X3211" s="51" t="str">
        <f t="shared" si="5"/>
        <v/>
      </c>
      <c r="Y3211" s="50" t="s">
        <v>482</v>
      </c>
      <c r="Z3211" s="49">
        <f t="shared" si="6"/>
        <v>0</v>
      </c>
    </row>
    <row r="3212" ht="22.5" customHeight="1">
      <c r="B3212" s="57"/>
      <c r="C3212" s="43" t="str">
        <f t="array" ref="C3212">IF(B3212="","",_xlfn.XLOOKUP(B3212,'Form responses 1'!$B$2:$B$2604,'Form responses 1'!$A$2:$A$2604,""))</f>
        <v/>
      </c>
      <c r="D3212" s="44" t="str">
        <f t="shared" si="3"/>
        <v/>
      </c>
      <c r="E3212" s="44" t="str">
        <f t="array" ref="E3212">IF(B3212="","",_xlfn.XLOOKUP(B3212,'Form responses 1'!$B$2:$B$2604,'Form responses 1'!$C$2:$C$2604,""))</f>
        <v/>
      </c>
      <c r="F3212" s="44" t="str">
        <f t="array" ref="F3212">IF(B3212="","",_xlfn.XLOOKUP(B3212,'Form responses 1'!$B$2:$B$2604,'Form responses 1'!$D$2:$D$2604,""))</f>
        <v/>
      </c>
      <c r="G3212" s="44" t="str">
        <f t="array" ref="G3212">IF(B3212="","",_xlfn.XLOOKUP(B3212,'Form responses 1'!$B$2:$B$2604,'Form responses 1'!$E$2:$E$2604,""))</f>
        <v/>
      </c>
      <c r="H3212" s="44" t="str">
        <f t="array" ref="H3212">IF(B3212="","",_xlfn.XLOOKUP(B3212,'Form responses 1'!$B$2:$B$2604,'Form responses 1'!$F$2:$F$2604,""))</f>
        <v/>
      </c>
      <c r="I3212" s="44" t="str">
        <f t="array" ref="I3212">IF(B3212="","",_xlfn.XLOOKUP(B3212,'Form responses 1'!$B$2:$B$2604,'Form responses 1'!$I$2:$I$2604,""))</f>
        <v/>
      </c>
      <c r="J3212" s="44" t="str">
        <f t="array" ref="J3212">IF(B3212="","",_xlfn.XLOOKUP(B3212,'Form responses 1'!$B$2:$B$2604,'Form responses 1'!$G$2:$G$2604,""))</f>
        <v/>
      </c>
      <c r="K3212" s="56"/>
      <c r="L3212" s="58" t="str">
        <f t="shared" si="7"/>
        <v/>
      </c>
      <c r="M3212" s="49"/>
      <c r="N3212" s="49"/>
      <c r="O3212" s="49"/>
      <c r="P3212" s="49"/>
      <c r="Q3212" s="49"/>
      <c r="R3212" s="49"/>
      <c r="S3212" s="49"/>
      <c r="T3212" s="49"/>
      <c r="U3212" s="49"/>
      <c r="V3212" s="49"/>
      <c r="W3212" s="56"/>
      <c r="X3212" s="51" t="str">
        <f t="shared" si="5"/>
        <v/>
      </c>
      <c r="Y3212" s="50" t="s">
        <v>482</v>
      </c>
      <c r="Z3212" s="49">
        <f t="shared" si="6"/>
        <v>0</v>
      </c>
    </row>
    <row r="3213" ht="22.5" customHeight="1">
      <c r="B3213" s="57"/>
      <c r="C3213" s="43" t="str">
        <f t="array" ref="C3213">IF(B3213="","",_xlfn.XLOOKUP(B3213,'Form responses 1'!$B$2:$B$2604,'Form responses 1'!$A$2:$A$2604,""))</f>
        <v/>
      </c>
      <c r="D3213" s="44" t="str">
        <f t="shared" si="3"/>
        <v/>
      </c>
      <c r="E3213" s="44" t="str">
        <f t="array" ref="E3213">IF(B3213="","",_xlfn.XLOOKUP(B3213,'Form responses 1'!$B$2:$B$2604,'Form responses 1'!$C$2:$C$2604,""))</f>
        <v/>
      </c>
      <c r="F3213" s="44" t="str">
        <f t="array" ref="F3213">IF(B3213="","",_xlfn.XLOOKUP(B3213,'Form responses 1'!$B$2:$B$2604,'Form responses 1'!$D$2:$D$2604,""))</f>
        <v/>
      </c>
      <c r="G3213" s="44" t="str">
        <f t="array" ref="G3213">IF(B3213="","",_xlfn.XLOOKUP(B3213,'Form responses 1'!$B$2:$B$2604,'Form responses 1'!$E$2:$E$2604,""))</f>
        <v/>
      </c>
      <c r="H3213" s="44" t="str">
        <f t="array" ref="H3213">IF(B3213="","",_xlfn.XLOOKUP(B3213,'Form responses 1'!$B$2:$B$2604,'Form responses 1'!$F$2:$F$2604,""))</f>
        <v/>
      </c>
      <c r="I3213" s="44" t="str">
        <f t="array" ref="I3213">IF(B3213="","",_xlfn.XLOOKUP(B3213,'Form responses 1'!$B$2:$B$2604,'Form responses 1'!$I$2:$I$2604,""))</f>
        <v/>
      </c>
      <c r="J3213" s="44" t="str">
        <f t="array" ref="J3213">IF(B3213="","",_xlfn.XLOOKUP(B3213,'Form responses 1'!$B$2:$B$2604,'Form responses 1'!$G$2:$G$2604,""))</f>
        <v/>
      </c>
      <c r="K3213" s="56"/>
      <c r="L3213" s="58" t="str">
        <f t="shared" si="7"/>
        <v/>
      </c>
      <c r="M3213" s="49"/>
      <c r="N3213" s="49"/>
      <c r="O3213" s="49"/>
      <c r="P3213" s="49"/>
      <c r="Q3213" s="49"/>
      <c r="R3213" s="49"/>
      <c r="S3213" s="49"/>
      <c r="T3213" s="49"/>
      <c r="U3213" s="49"/>
      <c r="V3213" s="49"/>
      <c r="W3213" s="56"/>
      <c r="X3213" s="51" t="str">
        <f t="shared" si="5"/>
        <v/>
      </c>
      <c r="Y3213" s="50" t="s">
        <v>482</v>
      </c>
      <c r="Z3213" s="49">
        <f t="shared" si="6"/>
        <v>0</v>
      </c>
    </row>
    <row r="3214" ht="22.5" customHeight="1">
      <c r="B3214" s="57"/>
      <c r="C3214" s="43" t="str">
        <f t="array" ref="C3214">IF(B3214="","",_xlfn.XLOOKUP(B3214,'Form responses 1'!$B$2:$B$2604,'Form responses 1'!$A$2:$A$2604,""))</f>
        <v/>
      </c>
      <c r="D3214" s="44" t="str">
        <f t="shared" si="3"/>
        <v/>
      </c>
      <c r="E3214" s="44" t="str">
        <f t="array" ref="E3214">IF(B3214="","",_xlfn.XLOOKUP(B3214,'Form responses 1'!$B$2:$B$2604,'Form responses 1'!$C$2:$C$2604,""))</f>
        <v/>
      </c>
      <c r="F3214" s="44" t="str">
        <f t="array" ref="F3214">IF(B3214="","",_xlfn.XLOOKUP(B3214,'Form responses 1'!$B$2:$B$2604,'Form responses 1'!$D$2:$D$2604,""))</f>
        <v/>
      </c>
      <c r="G3214" s="44" t="str">
        <f t="array" ref="G3214">IF(B3214="","",_xlfn.XLOOKUP(B3214,'Form responses 1'!$B$2:$B$2604,'Form responses 1'!$E$2:$E$2604,""))</f>
        <v/>
      </c>
      <c r="H3214" s="44" t="str">
        <f t="array" ref="H3214">IF(B3214="","",_xlfn.XLOOKUP(B3214,'Form responses 1'!$B$2:$B$2604,'Form responses 1'!$F$2:$F$2604,""))</f>
        <v/>
      </c>
      <c r="I3214" s="44" t="str">
        <f t="array" ref="I3214">IF(B3214="","",_xlfn.XLOOKUP(B3214,'Form responses 1'!$B$2:$B$2604,'Form responses 1'!$I$2:$I$2604,""))</f>
        <v/>
      </c>
      <c r="J3214" s="44" t="str">
        <f t="array" ref="J3214">IF(B3214="","",_xlfn.XLOOKUP(B3214,'Form responses 1'!$B$2:$B$2604,'Form responses 1'!$G$2:$G$2604,""))</f>
        <v/>
      </c>
      <c r="K3214" s="56"/>
      <c r="L3214" s="58" t="str">
        <f t="shared" si="7"/>
        <v/>
      </c>
      <c r="M3214" s="49"/>
      <c r="N3214" s="49"/>
      <c r="O3214" s="49"/>
      <c r="P3214" s="49"/>
      <c r="Q3214" s="49"/>
      <c r="R3214" s="49"/>
      <c r="S3214" s="49"/>
      <c r="T3214" s="49"/>
      <c r="U3214" s="49"/>
      <c r="V3214" s="49"/>
      <c r="W3214" s="56"/>
      <c r="X3214" s="51" t="str">
        <f t="shared" si="5"/>
        <v/>
      </c>
      <c r="Y3214" s="50" t="s">
        <v>482</v>
      </c>
      <c r="Z3214" s="49">
        <f t="shared" si="6"/>
        <v>0</v>
      </c>
    </row>
    <row r="3215" ht="22.5" customHeight="1">
      <c r="B3215" s="57"/>
      <c r="C3215" s="43" t="str">
        <f t="array" ref="C3215">IF(B3215="","",_xlfn.XLOOKUP(B3215,'Form responses 1'!$B$2:$B$2604,'Form responses 1'!$A$2:$A$2604,""))</f>
        <v/>
      </c>
      <c r="D3215" s="44" t="str">
        <f t="shared" si="3"/>
        <v/>
      </c>
      <c r="E3215" s="44" t="str">
        <f t="array" ref="E3215">IF(B3215="","",_xlfn.XLOOKUP(B3215,'Form responses 1'!$B$2:$B$2604,'Form responses 1'!$C$2:$C$2604,""))</f>
        <v/>
      </c>
      <c r="F3215" s="44" t="str">
        <f t="array" ref="F3215">IF(B3215="","",_xlfn.XLOOKUP(B3215,'Form responses 1'!$B$2:$B$2604,'Form responses 1'!$D$2:$D$2604,""))</f>
        <v/>
      </c>
      <c r="G3215" s="44" t="str">
        <f t="array" ref="G3215">IF(B3215="","",_xlfn.XLOOKUP(B3215,'Form responses 1'!$B$2:$B$2604,'Form responses 1'!$E$2:$E$2604,""))</f>
        <v/>
      </c>
      <c r="H3215" s="44" t="str">
        <f t="array" ref="H3215">IF(B3215="","",_xlfn.XLOOKUP(B3215,'Form responses 1'!$B$2:$B$2604,'Form responses 1'!$F$2:$F$2604,""))</f>
        <v/>
      </c>
      <c r="I3215" s="44" t="str">
        <f t="array" ref="I3215">IF(B3215="","",_xlfn.XLOOKUP(B3215,'Form responses 1'!$B$2:$B$2604,'Form responses 1'!$I$2:$I$2604,""))</f>
        <v/>
      </c>
      <c r="J3215" s="44" t="str">
        <f t="array" ref="J3215">IF(B3215="","",_xlfn.XLOOKUP(B3215,'Form responses 1'!$B$2:$B$2604,'Form responses 1'!$G$2:$G$2604,""))</f>
        <v/>
      </c>
      <c r="K3215" s="56"/>
      <c r="L3215" s="58" t="str">
        <f t="shared" si="7"/>
        <v/>
      </c>
      <c r="M3215" s="49"/>
      <c r="N3215" s="49"/>
      <c r="O3215" s="49"/>
      <c r="P3215" s="49"/>
      <c r="Q3215" s="49"/>
      <c r="R3215" s="49"/>
      <c r="S3215" s="49"/>
      <c r="T3215" s="49"/>
      <c r="U3215" s="49"/>
      <c r="V3215" s="49"/>
      <c r="W3215" s="56"/>
      <c r="X3215" s="51" t="str">
        <f t="shared" si="5"/>
        <v/>
      </c>
      <c r="Y3215" s="50" t="s">
        <v>482</v>
      </c>
      <c r="Z3215" s="49">
        <f t="shared" si="6"/>
        <v>0</v>
      </c>
    </row>
    <row r="3216" ht="22.5" customHeight="1">
      <c r="B3216" s="57"/>
      <c r="C3216" s="43" t="str">
        <f t="array" ref="C3216">IF(B3216="","",_xlfn.XLOOKUP(B3216,'Form responses 1'!$B$2:$B$2604,'Form responses 1'!$A$2:$A$2604,""))</f>
        <v/>
      </c>
      <c r="D3216" s="44" t="str">
        <f t="shared" si="3"/>
        <v/>
      </c>
      <c r="E3216" s="44" t="str">
        <f t="array" ref="E3216">IF(B3216="","",_xlfn.XLOOKUP(B3216,'Form responses 1'!$B$2:$B$2604,'Form responses 1'!$C$2:$C$2604,""))</f>
        <v/>
      </c>
      <c r="F3216" s="44" t="str">
        <f t="array" ref="F3216">IF(B3216="","",_xlfn.XLOOKUP(B3216,'Form responses 1'!$B$2:$B$2604,'Form responses 1'!$D$2:$D$2604,""))</f>
        <v/>
      </c>
      <c r="G3216" s="44" t="str">
        <f t="array" ref="G3216">IF(B3216="","",_xlfn.XLOOKUP(B3216,'Form responses 1'!$B$2:$B$2604,'Form responses 1'!$E$2:$E$2604,""))</f>
        <v/>
      </c>
      <c r="H3216" s="44" t="str">
        <f t="array" ref="H3216">IF(B3216="","",_xlfn.XLOOKUP(B3216,'Form responses 1'!$B$2:$B$2604,'Form responses 1'!$F$2:$F$2604,""))</f>
        <v/>
      </c>
      <c r="I3216" s="44" t="str">
        <f t="array" ref="I3216">IF(B3216="","",_xlfn.XLOOKUP(B3216,'Form responses 1'!$B$2:$B$2604,'Form responses 1'!$I$2:$I$2604,""))</f>
        <v/>
      </c>
      <c r="J3216" s="44" t="str">
        <f t="array" ref="J3216">IF(B3216="","",_xlfn.XLOOKUP(B3216,'Form responses 1'!$B$2:$B$2604,'Form responses 1'!$G$2:$G$2604,""))</f>
        <v/>
      </c>
      <c r="K3216" s="56"/>
      <c r="L3216" s="58" t="str">
        <f t="shared" si="7"/>
        <v/>
      </c>
      <c r="M3216" s="49"/>
      <c r="N3216" s="49"/>
      <c r="O3216" s="49"/>
      <c r="P3216" s="49"/>
      <c r="Q3216" s="49"/>
      <c r="R3216" s="49"/>
      <c r="S3216" s="49"/>
      <c r="T3216" s="49"/>
      <c r="U3216" s="49"/>
      <c r="V3216" s="49"/>
      <c r="W3216" s="56"/>
      <c r="X3216" s="51" t="str">
        <f t="shared" si="5"/>
        <v/>
      </c>
      <c r="Y3216" s="50" t="s">
        <v>482</v>
      </c>
      <c r="Z3216" s="49">
        <f t="shared" si="6"/>
        <v>0</v>
      </c>
    </row>
    <row r="3217" ht="22.5" customHeight="1">
      <c r="B3217" s="57"/>
      <c r="C3217" s="43" t="str">
        <f t="array" ref="C3217">IF(B3217="","",_xlfn.XLOOKUP(B3217,'Form responses 1'!$B$2:$B$2604,'Form responses 1'!$A$2:$A$2604,""))</f>
        <v/>
      </c>
      <c r="D3217" s="44" t="str">
        <f t="shared" si="3"/>
        <v/>
      </c>
      <c r="E3217" s="44" t="str">
        <f t="array" ref="E3217">IF(B3217="","",_xlfn.XLOOKUP(B3217,'Form responses 1'!$B$2:$B$2604,'Form responses 1'!$C$2:$C$2604,""))</f>
        <v/>
      </c>
      <c r="F3217" s="44" t="str">
        <f t="array" ref="F3217">IF(B3217="","",_xlfn.XLOOKUP(B3217,'Form responses 1'!$B$2:$B$2604,'Form responses 1'!$D$2:$D$2604,""))</f>
        <v/>
      </c>
      <c r="G3217" s="44" t="str">
        <f t="array" ref="G3217">IF(B3217="","",_xlfn.XLOOKUP(B3217,'Form responses 1'!$B$2:$B$2604,'Form responses 1'!$E$2:$E$2604,""))</f>
        <v/>
      </c>
      <c r="H3217" s="44" t="str">
        <f t="array" ref="H3217">IF(B3217="","",_xlfn.XLOOKUP(B3217,'Form responses 1'!$B$2:$B$2604,'Form responses 1'!$F$2:$F$2604,""))</f>
        <v/>
      </c>
      <c r="I3217" s="44" t="str">
        <f t="array" ref="I3217">IF(B3217="","",_xlfn.XLOOKUP(B3217,'Form responses 1'!$B$2:$B$2604,'Form responses 1'!$I$2:$I$2604,""))</f>
        <v/>
      </c>
      <c r="J3217" s="44" t="str">
        <f t="array" ref="J3217">IF(B3217="","",_xlfn.XLOOKUP(B3217,'Form responses 1'!$B$2:$B$2604,'Form responses 1'!$G$2:$G$2604,""))</f>
        <v/>
      </c>
      <c r="K3217" s="56"/>
      <c r="L3217" s="58" t="str">
        <f t="shared" si="7"/>
        <v/>
      </c>
      <c r="M3217" s="49"/>
      <c r="N3217" s="49"/>
      <c r="O3217" s="49"/>
      <c r="P3217" s="49"/>
      <c r="Q3217" s="49"/>
      <c r="R3217" s="49"/>
      <c r="S3217" s="49"/>
      <c r="T3217" s="49"/>
      <c r="U3217" s="49"/>
      <c r="V3217" s="49"/>
      <c r="W3217" s="56"/>
      <c r="X3217" s="51" t="str">
        <f t="shared" si="5"/>
        <v/>
      </c>
      <c r="Y3217" s="50" t="s">
        <v>482</v>
      </c>
      <c r="Z3217" s="49">
        <f t="shared" si="6"/>
        <v>0</v>
      </c>
    </row>
    <row r="3218" ht="22.5" customHeight="1">
      <c r="B3218" s="57"/>
      <c r="C3218" s="43" t="str">
        <f t="array" ref="C3218">IF(B3218="","",_xlfn.XLOOKUP(B3218,'Form responses 1'!$B$2:$B$2604,'Form responses 1'!$A$2:$A$2604,""))</f>
        <v/>
      </c>
      <c r="D3218" s="44" t="str">
        <f t="shared" si="3"/>
        <v/>
      </c>
      <c r="E3218" s="44" t="str">
        <f t="array" ref="E3218">IF(B3218="","",_xlfn.XLOOKUP(B3218,'Form responses 1'!$B$2:$B$2604,'Form responses 1'!$C$2:$C$2604,""))</f>
        <v/>
      </c>
      <c r="F3218" s="44" t="str">
        <f t="array" ref="F3218">IF(B3218="","",_xlfn.XLOOKUP(B3218,'Form responses 1'!$B$2:$B$2604,'Form responses 1'!$D$2:$D$2604,""))</f>
        <v/>
      </c>
      <c r="G3218" s="44" t="str">
        <f t="array" ref="G3218">IF(B3218="","",_xlfn.XLOOKUP(B3218,'Form responses 1'!$B$2:$B$2604,'Form responses 1'!$E$2:$E$2604,""))</f>
        <v/>
      </c>
      <c r="H3218" s="44" t="str">
        <f t="array" ref="H3218">IF(B3218="","",_xlfn.XLOOKUP(B3218,'Form responses 1'!$B$2:$B$2604,'Form responses 1'!$F$2:$F$2604,""))</f>
        <v/>
      </c>
      <c r="I3218" s="44" t="str">
        <f t="array" ref="I3218">IF(B3218="","",_xlfn.XLOOKUP(B3218,'Form responses 1'!$B$2:$B$2604,'Form responses 1'!$I$2:$I$2604,""))</f>
        <v/>
      </c>
      <c r="J3218" s="44" t="str">
        <f t="array" ref="J3218">IF(B3218="","",_xlfn.XLOOKUP(B3218,'Form responses 1'!$B$2:$B$2604,'Form responses 1'!$G$2:$G$2604,""))</f>
        <v/>
      </c>
      <c r="K3218" s="56"/>
      <c r="L3218" s="58" t="str">
        <f t="shared" si="7"/>
        <v/>
      </c>
      <c r="M3218" s="49"/>
      <c r="N3218" s="49"/>
      <c r="O3218" s="49"/>
      <c r="P3218" s="49"/>
      <c r="Q3218" s="49"/>
      <c r="R3218" s="49"/>
      <c r="S3218" s="49"/>
      <c r="T3218" s="49"/>
      <c r="U3218" s="49"/>
      <c r="V3218" s="49"/>
      <c r="W3218" s="56"/>
      <c r="X3218" s="51" t="str">
        <f t="shared" si="5"/>
        <v/>
      </c>
      <c r="Y3218" s="50" t="s">
        <v>482</v>
      </c>
      <c r="Z3218" s="49">
        <f t="shared" si="6"/>
        <v>0</v>
      </c>
    </row>
    <row r="3219" ht="22.5" customHeight="1">
      <c r="B3219" s="57"/>
      <c r="C3219" s="43" t="str">
        <f t="array" ref="C3219">IF(B3219="","",_xlfn.XLOOKUP(B3219,'Form responses 1'!$B$2:$B$2604,'Form responses 1'!$A$2:$A$2604,""))</f>
        <v/>
      </c>
      <c r="D3219" s="44" t="str">
        <f t="shared" si="3"/>
        <v/>
      </c>
      <c r="E3219" s="44" t="str">
        <f t="array" ref="E3219">IF(B3219="","",_xlfn.XLOOKUP(B3219,'Form responses 1'!$B$2:$B$2604,'Form responses 1'!$C$2:$C$2604,""))</f>
        <v/>
      </c>
      <c r="F3219" s="44" t="str">
        <f t="array" ref="F3219">IF(B3219="","",_xlfn.XLOOKUP(B3219,'Form responses 1'!$B$2:$B$2604,'Form responses 1'!$D$2:$D$2604,""))</f>
        <v/>
      </c>
      <c r="G3219" s="44" t="str">
        <f t="array" ref="G3219">IF(B3219="","",_xlfn.XLOOKUP(B3219,'Form responses 1'!$B$2:$B$2604,'Form responses 1'!$E$2:$E$2604,""))</f>
        <v/>
      </c>
      <c r="H3219" s="44" t="str">
        <f t="array" ref="H3219">IF(B3219="","",_xlfn.XLOOKUP(B3219,'Form responses 1'!$B$2:$B$2604,'Form responses 1'!$F$2:$F$2604,""))</f>
        <v/>
      </c>
      <c r="I3219" s="44" t="str">
        <f t="array" ref="I3219">IF(B3219="","",_xlfn.XLOOKUP(B3219,'Form responses 1'!$B$2:$B$2604,'Form responses 1'!$I$2:$I$2604,""))</f>
        <v/>
      </c>
      <c r="J3219" s="44" t="str">
        <f t="array" ref="J3219">IF(B3219="","",_xlfn.XLOOKUP(B3219,'Form responses 1'!$B$2:$B$2604,'Form responses 1'!$G$2:$G$2604,""))</f>
        <v/>
      </c>
      <c r="K3219" s="56"/>
      <c r="L3219" s="58" t="str">
        <f t="shared" si="7"/>
        <v/>
      </c>
      <c r="M3219" s="49"/>
      <c r="N3219" s="49"/>
      <c r="O3219" s="49"/>
      <c r="P3219" s="49"/>
      <c r="Q3219" s="49"/>
      <c r="R3219" s="49"/>
      <c r="S3219" s="49"/>
      <c r="T3219" s="49"/>
      <c r="U3219" s="49"/>
      <c r="V3219" s="49"/>
      <c r="W3219" s="56"/>
      <c r="X3219" s="51" t="str">
        <f t="shared" si="5"/>
        <v/>
      </c>
      <c r="Y3219" s="50" t="s">
        <v>482</v>
      </c>
      <c r="Z3219" s="49">
        <f t="shared" si="6"/>
        <v>0</v>
      </c>
    </row>
    <row r="3220" ht="22.5" customHeight="1">
      <c r="B3220" s="57"/>
      <c r="C3220" s="43" t="str">
        <f t="array" ref="C3220">IF(B3220="","",_xlfn.XLOOKUP(B3220,'Form responses 1'!$B$2:$B$2604,'Form responses 1'!$A$2:$A$2604,""))</f>
        <v/>
      </c>
      <c r="D3220" s="44" t="str">
        <f t="shared" si="3"/>
        <v/>
      </c>
      <c r="E3220" s="44" t="str">
        <f t="array" ref="E3220">IF(B3220="","",_xlfn.XLOOKUP(B3220,'Form responses 1'!$B$2:$B$2604,'Form responses 1'!$C$2:$C$2604,""))</f>
        <v/>
      </c>
      <c r="F3220" s="44" t="str">
        <f t="array" ref="F3220">IF(B3220="","",_xlfn.XLOOKUP(B3220,'Form responses 1'!$B$2:$B$2604,'Form responses 1'!$D$2:$D$2604,""))</f>
        <v/>
      </c>
      <c r="G3220" s="44" t="str">
        <f t="array" ref="G3220">IF(B3220="","",_xlfn.XLOOKUP(B3220,'Form responses 1'!$B$2:$B$2604,'Form responses 1'!$E$2:$E$2604,""))</f>
        <v/>
      </c>
      <c r="H3220" s="44" t="str">
        <f t="array" ref="H3220">IF(B3220="","",_xlfn.XLOOKUP(B3220,'Form responses 1'!$B$2:$B$2604,'Form responses 1'!$F$2:$F$2604,""))</f>
        <v/>
      </c>
      <c r="I3220" s="44" t="str">
        <f t="array" ref="I3220">IF(B3220="","",_xlfn.XLOOKUP(B3220,'Form responses 1'!$B$2:$B$2604,'Form responses 1'!$I$2:$I$2604,""))</f>
        <v/>
      </c>
      <c r="J3220" s="44" t="str">
        <f t="array" ref="J3220">IF(B3220="","",_xlfn.XLOOKUP(B3220,'Form responses 1'!$B$2:$B$2604,'Form responses 1'!$G$2:$G$2604,""))</f>
        <v/>
      </c>
      <c r="K3220" s="56"/>
      <c r="L3220" s="58" t="str">
        <f t="shared" si="7"/>
        <v/>
      </c>
      <c r="M3220" s="49"/>
      <c r="N3220" s="49"/>
      <c r="O3220" s="49"/>
      <c r="P3220" s="49"/>
      <c r="Q3220" s="49"/>
      <c r="R3220" s="49"/>
      <c r="S3220" s="49"/>
      <c r="T3220" s="49"/>
      <c r="U3220" s="49"/>
      <c r="V3220" s="49"/>
      <c r="W3220" s="56"/>
      <c r="X3220" s="51" t="str">
        <f t="shared" si="5"/>
        <v/>
      </c>
      <c r="Y3220" s="50" t="s">
        <v>482</v>
      </c>
      <c r="Z3220" s="49">
        <f t="shared" si="6"/>
        <v>0</v>
      </c>
    </row>
    <row r="3221" ht="22.5" customHeight="1">
      <c r="B3221" s="57"/>
      <c r="C3221" s="43" t="str">
        <f t="array" ref="C3221">IF(B3221="","",_xlfn.XLOOKUP(B3221,'Form responses 1'!$B$2:$B$2604,'Form responses 1'!$A$2:$A$2604,""))</f>
        <v/>
      </c>
      <c r="D3221" s="44" t="str">
        <f t="shared" si="3"/>
        <v/>
      </c>
      <c r="E3221" s="44" t="str">
        <f t="array" ref="E3221">IF(B3221="","",_xlfn.XLOOKUP(B3221,'Form responses 1'!$B$2:$B$2604,'Form responses 1'!$C$2:$C$2604,""))</f>
        <v/>
      </c>
      <c r="F3221" s="44" t="str">
        <f t="array" ref="F3221">IF(B3221="","",_xlfn.XLOOKUP(B3221,'Form responses 1'!$B$2:$B$2604,'Form responses 1'!$D$2:$D$2604,""))</f>
        <v/>
      </c>
      <c r="G3221" s="44" t="str">
        <f t="array" ref="G3221">IF(B3221="","",_xlfn.XLOOKUP(B3221,'Form responses 1'!$B$2:$B$2604,'Form responses 1'!$E$2:$E$2604,""))</f>
        <v/>
      </c>
      <c r="H3221" s="44" t="str">
        <f t="array" ref="H3221">IF(B3221="","",_xlfn.XLOOKUP(B3221,'Form responses 1'!$B$2:$B$2604,'Form responses 1'!$F$2:$F$2604,""))</f>
        <v/>
      </c>
      <c r="I3221" s="44" t="str">
        <f t="array" ref="I3221">IF(B3221="","",_xlfn.XLOOKUP(B3221,'Form responses 1'!$B$2:$B$2604,'Form responses 1'!$I$2:$I$2604,""))</f>
        <v/>
      </c>
      <c r="J3221" s="44" t="str">
        <f t="array" ref="J3221">IF(B3221="","",_xlfn.XLOOKUP(B3221,'Form responses 1'!$B$2:$B$2604,'Form responses 1'!$G$2:$G$2604,""))</f>
        <v/>
      </c>
      <c r="K3221" s="56"/>
      <c r="L3221" s="58" t="str">
        <f t="shared" si="7"/>
        <v/>
      </c>
      <c r="M3221" s="49"/>
      <c r="N3221" s="49"/>
      <c r="O3221" s="49"/>
      <c r="P3221" s="49"/>
      <c r="Q3221" s="49"/>
      <c r="R3221" s="49"/>
      <c r="S3221" s="49"/>
      <c r="T3221" s="49"/>
      <c r="U3221" s="49"/>
      <c r="V3221" s="49"/>
      <c r="W3221" s="56"/>
      <c r="X3221" s="51" t="str">
        <f t="shared" si="5"/>
        <v/>
      </c>
      <c r="Y3221" s="50" t="s">
        <v>482</v>
      </c>
      <c r="Z3221" s="49">
        <f t="shared" si="6"/>
        <v>0</v>
      </c>
    </row>
    <row r="3222" ht="22.5" customHeight="1">
      <c r="B3222" s="57"/>
      <c r="C3222" s="43" t="str">
        <f t="array" ref="C3222">IF(B3222="","",_xlfn.XLOOKUP(B3222,'Form responses 1'!$B$2:$B$2604,'Form responses 1'!$A$2:$A$2604,""))</f>
        <v/>
      </c>
      <c r="D3222" s="44" t="str">
        <f t="shared" si="3"/>
        <v/>
      </c>
      <c r="E3222" s="44" t="str">
        <f t="array" ref="E3222">IF(B3222="","",_xlfn.XLOOKUP(B3222,'Form responses 1'!$B$2:$B$2604,'Form responses 1'!$C$2:$C$2604,""))</f>
        <v/>
      </c>
      <c r="F3222" s="44" t="str">
        <f t="array" ref="F3222">IF(B3222="","",_xlfn.XLOOKUP(B3222,'Form responses 1'!$B$2:$B$2604,'Form responses 1'!$D$2:$D$2604,""))</f>
        <v/>
      </c>
      <c r="G3222" s="44" t="str">
        <f t="array" ref="G3222">IF(B3222="","",_xlfn.XLOOKUP(B3222,'Form responses 1'!$B$2:$B$2604,'Form responses 1'!$E$2:$E$2604,""))</f>
        <v/>
      </c>
      <c r="H3222" s="44" t="str">
        <f t="array" ref="H3222">IF(B3222="","",_xlfn.XLOOKUP(B3222,'Form responses 1'!$B$2:$B$2604,'Form responses 1'!$F$2:$F$2604,""))</f>
        <v/>
      </c>
      <c r="I3222" s="44" t="str">
        <f t="array" ref="I3222">IF(B3222="","",_xlfn.XLOOKUP(B3222,'Form responses 1'!$B$2:$B$2604,'Form responses 1'!$I$2:$I$2604,""))</f>
        <v/>
      </c>
      <c r="J3222" s="44" t="str">
        <f t="array" ref="J3222">IF(B3222="","",_xlfn.XLOOKUP(B3222,'Form responses 1'!$B$2:$B$2604,'Form responses 1'!$G$2:$G$2604,""))</f>
        <v/>
      </c>
      <c r="K3222" s="56"/>
      <c r="L3222" s="58" t="str">
        <f t="shared" si="7"/>
        <v/>
      </c>
      <c r="M3222" s="49"/>
      <c r="N3222" s="49"/>
      <c r="O3222" s="49"/>
      <c r="P3222" s="49"/>
      <c r="Q3222" s="49"/>
      <c r="R3222" s="49"/>
      <c r="S3222" s="49"/>
      <c r="T3222" s="49"/>
      <c r="U3222" s="49"/>
      <c r="V3222" s="49"/>
      <c r="W3222" s="56"/>
      <c r="X3222" s="51" t="str">
        <f t="shared" si="5"/>
        <v/>
      </c>
      <c r="Y3222" s="50" t="s">
        <v>482</v>
      </c>
      <c r="Z3222" s="49">
        <f t="shared" si="6"/>
        <v>0</v>
      </c>
    </row>
    <row r="3223" ht="22.5" customHeight="1">
      <c r="B3223" s="57"/>
      <c r="C3223" s="43" t="str">
        <f t="array" ref="C3223">IF(B3223="","",_xlfn.XLOOKUP(B3223,'Form responses 1'!$B$2:$B$2604,'Form responses 1'!$A$2:$A$2604,""))</f>
        <v/>
      </c>
      <c r="D3223" s="44" t="str">
        <f t="shared" si="3"/>
        <v/>
      </c>
      <c r="E3223" s="44" t="str">
        <f t="array" ref="E3223">IF(B3223="","",_xlfn.XLOOKUP(B3223,'Form responses 1'!$B$2:$B$2604,'Form responses 1'!$C$2:$C$2604,""))</f>
        <v/>
      </c>
      <c r="F3223" s="44" t="str">
        <f t="array" ref="F3223">IF(B3223="","",_xlfn.XLOOKUP(B3223,'Form responses 1'!$B$2:$B$2604,'Form responses 1'!$D$2:$D$2604,""))</f>
        <v/>
      </c>
      <c r="G3223" s="44" t="str">
        <f t="array" ref="G3223">IF(B3223="","",_xlfn.XLOOKUP(B3223,'Form responses 1'!$B$2:$B$2604,'Form responses 1'!$E$2:$E$2604,""))</f>
        <v/>
      </c>
      <c r="H3223" s="44" t="str">
        <f t="array" ref="H3223">IF(B3223="","",_xlfn.XLOOKUP(B3223,'Form responses 1'!$B$2:$B$2604,'Form responses 1'!$F$2:$F$2604,""))</f>
        <v/>
      </c>
      <c r="I3223" s="44" t="str">
        <f t="array" ref="I3223">IF(B3223="","",_xlfn.XLOOKUP(B3223,'Form responses 1'!$B$2:$B$2604,'Form responses 1'!$I$2:$I$2604,""))</f>
        <v/>
      </c>
      <c r="J3223" s="44" t="str">
        <f t="array" ref="J3223">IF(B3223="","",_xlfn.XLOOKUP(B3223,'Form responses 1'!$B$2:$B$2604,'Form responses 1'!$G$2:$G$2604,""))</f>
        <v/>
      </c>
      <c r="K3223" s="56"/>
      <c r="L3223" s="58" t="str">
        <f t="shared" si="7"/>
        <v/>
      </c>
      <c r="M3223" s="49"/>
      <c r="N3223" s="49"/>
      <c r="O3223" s="49"/>
      <c r="P3223" s="49"/>
      <c r="Q3223" s="49"/>
      <c r="R3223" s="49"/>
      <c r="S3223" s="49"/>
      <c r="T3223" s="49"/>
      <c r="U3223" s="49"/>
      <c r="V3223" s="49"/>
      <c r="W3223" s="56"/>
      <c r="X3223" s="51" t="str">
        <f t="shared" si="5"/>
        <v/>
      </c>
      <c r="Y3223" s="50" t="s">
        <v>482</v>
      </c>
      <c r="Z3223" s="49">
        <f t="shared" si="6"/>
        <v>0</v>
      </c>
    </row>
    <row r="3224" ht="22.5" customHeight="1">
      <c r="B3224" s="57"/>
      <c r="C3224" s="43" t="str">
        <f t="array" ref="C3224">IF(B3224="","",_xlfn.XLOOKUP(B3224,'Form responses 1'!$B$2:$B$2604,'Form responses 1'!$A$2:$A$2604,""))</f>
        <v/>
      </c>
      <c r="D3224" s="44" t="str">
        <f t="shared" si="3"/>
        <v/>
      </c>
      <c r="E3224" s="44" t="str">
        <f t="array" ref="E3224">IF(B3224="","",_xlfn.XLOOKUP(B3224,'Form responses 1'!$B$2:$B$2604,'Form responses 1'!$C$2:$C$2604,""))</f>
        <v/>
      </c>
      <c r="F3224" s="44" t="str">
        <f t="array" ref="F3224">IF(B3224="","",_xlfn.XLOOKUP(B3224,'Form responses 1'!$B$2:$B$2604,'Form responses 1'!$D$2:$D$2604,""))</f>
        <v/>
      </c>
      <c r="G3224" s="44" t="str">
        <f t="array" ref="G3224">IF(B3224="","",_xlfn.XLOOKUP(B3224,'Form responses 1'!$B$2:$B$2604,'Form responses 1'!$E$2:$E$2604,""))</f>
        <v/>
      </c>
      <c r="H3224" s="44" t="str">
        <f t="array" ref="H3224">IF(B3224="","",_xlfn.XLOOKUP(B3224,'Form responses 1'!$B$2:$B$2604,'Form responses 1'!$F$2:$F$2604,""))</f>
        <v/>
      </c>
      <c r="I3224" s="44" t="str">
        <f t="array" ref="I3224">IF(B3224="","",_xlfn.XLOOKUP(B3224,'Form responses 1'!$B$2:$B$2604,'Form responses 1'!$I$2:$I$2604,""))</f>
        <v/>
      </c>
      <c r="J3224" s="44" t="str">
        <f t="array" ref="J3224">IF(B3224="","",_xlfn.XLOOKUP(B3224,'Form responses 1'!$B$2:$B$2604,'Form responses 1'!$G$2:$G$2604,""))</f>
        <v/>
      </c>
      <c r="K3224" s="56"/>
      <c r="L3224" s="58" t="str">
        <f t="shared" si="7"/>
        <v/>
      </c>
      <c r="M3224" s="49"/>
      <c r="N3224" s="49"/>
      <c r="O3224" s="49"/>
      <c r="P3224" s="49"/>
      <c r="Q3224" s="49"/>
      <c r="R3224" s="49"/>
      <c r="S3224" s="49"/>
      <c r="T3224" s="49"/>
      <c r="U3224" s="49"/>
      <c r="V3224" s="49"/>
      <c r="W3224" s="56"/>
      <c r="X3224" s="51" t="str">
        <f t="shared" si="5"/>
        <v/>
      </c>
      <c r="Y3224" s="50" t="s">
        <v>482</v>
      </c>
      <c r="Z3224" s="49">
        <f t="shared" si="6"/>
        <v>0</v>
      </c>
    </row>
    <row r="3225" ht="22.5" customHeight="1">
      <c r="B3225" s="57"/>
      <c r="C3225" s="43" t="str">
        <f t="array" ref="C3225">IF(B3225="","",_xlfn.XLOOKUP(B3225,'Form responses 1'!$B$2:$B$2604,'Form responses 1'!$A$2:$A$2604,""))</f>
        <v/>
      </c>
      <c r="D3225" s="44" t="str">
        <f t="shared" si="3"/>
        <v/>
      </c>
      <c r="E3225" s="44" t="str">
        <f t="array" ref="E3225">IF(B3225="","",_xlfn.XLOOKUP(B3225,'Form responses 1'!$B$2:$B$2604,'Form responses 1'!$C$2:$C$2604,""))</f>
        <v/>
      </c>
      <c r="F3225" s="44" t="str">
        <f t="array" ref="F3225">IF(B3225="","",_xlfn.XLOOKUP(B3225,'Form responses 1'!$B$2:$B$2604,'Form responses 1'!$D$2:$D$2604,""))</f>
        <v/>
      </c>
      <c r="G3225" s="44" t="str">
        <f t="array" ref="G3225">IF(B3225="","",_xlfn.XLOOKUP(B3225,'Form responses 1'!$B$2:$B$2604,'Form responses 1'!$E$2:$E$2604,""))</f>
        <v/>
      </c>
      <c r="H3225" s="44" t="str">
        <f t="array" ref="H3225">IF(B3225="","",_xlfn.XLOOKUP(B3225,'Form responses 1'!$B$2:$B$2604,'Form responses 1'!$F$2:$F$2604,""))</f>
        <v/>
      </c>
      <c r="I3225" s="44" t="str">
        <f t="array" ref="I3225">IF(B3225="","",_xlfn.XLOOKUP(B3225,'Form responses 1'!$B$2:$B$2604,'Form responses 1'!$I$2:$I$2604,""))</f>
        <v/>
      </c>
      <c r="J3225" s="44" t="str">
        <f t="array" ref="J3225">IF(B3225="","",_xlfn.XLOOKUP(B3225,'Form responses 1'!$B$2:$B$2604,'Form responses 1'!$G$2:$G$2604,""))</f>
        <v/>
      </c>
      <c r="K3225" s="56"/>
      <c r="L3225" s="58" t="str">
        <f t="shared" si="7"/>
        <v/>
      </c>
      <c r="M3225" s="49"/>
      <c r="N3225" s="49"/>
      <c r="O3225" s="49"/>
      <c r="P3225" s="49"/>
      <c r="Q3225" s="49"/>
      <c r="R3225" s="49"/>
      <c r="S3225" s="49"/>
      <c r="T3225" s="49"/>
      <c r="U3225" s="49"/>
      <c r="V3225" s="49"/>
      <c r="W3225" s="56"/>
      <c r="X3225" s="51" t="str">
        <f t="shared" si="5"/>
        <v/>
      </c>
      <c r="Y3225" s="50" t="s">
        <v>482</v>
      </c>
      <c r="Z3225" s="49">
        <f t="shared" si="6"/>
        <v>0</v>
      </c>
    </row>
    <row r="3226" ht="22.5" customHeight="1">
      <c r="B3226" s="57"/>
      <c r="C3226" s="43" t="str">
        <f t="array" ref="C3226">IF(B3226="","",_xlfn.XLOOKUP(B3226,'Form responses 1'!$B$2:$B$2604,'Form responses 1'!$A$2:$A$2604,""))</f>
        <v/>
      </c>
      <c r="D3226" s="44" t="str">
        <f t="shared" si="3"/>
        <v/>
      </c>
      <c r="E3226" s="44" t="str">
        <f t="array" ref="E3226">IF(B3226="","",_xlfn.XLOOKUP(B3226,'Form responses 1'!$B$2:$B$2604,'Form responses 1'!$C$2:$C$2604,""))</f>
        <v/>
      </c>
      <c r="F3226" s="44" t="str">
        <f t="array" ref="F3226">IF(B3226="","",_xlfn.XLOOKUP(B3226,'Form responses 1'!$B$2:$B$2604,'Form responses 1'!$D$2:$D$2604,""))</f>
        <v/>
      </c>
      <c r="G3226" s="44" t="str">
        <f t="array" ref="G3226">IF(B3226="","",_xlfn.XLOOKUP(B3226,'Form responses 1'!$B$2:$B$2604,'Form responses 1'!$E$2:$E$2604,""))</f>
        <v/>
      </c>
      <c r="H3226" s="44" t="str">
        <f t="array" ref="H3226">IF(B3226="","",_xlfn.XLOOKUP(B3226,'Form responses 1'!$B$2:$B$2604,'Form responses 1'!$F$2:$F$2604,""))</f>
        <v/>
      </c>
      <c r="I3226" s="44" t="str">
        <f t="array" ref="I3226">IF(B3226="","",_xlfn.XLOOKUP(B3226,'Form responses 1'!$B$2:$B$2604,'Form responses 1'!$I$2:$I$2604,""))</f>
        <v/>
      </c>
      <c r="J3226" s="44" t="str">
        <f t="array" ref="J3226">IF(B3226="","",_xlfn.XLOOKUP(B3226,'Form responses 1'!$B$2:$B$2604,'Form responses 1'!$G$2:$G$2604,""))</f>
        <v/>
      </c>
      <c r="K3226" s="56"/>
      <c r="L3226" s="58" t="str">
        <f t="shared" si="7"/>
        <v/>
      </c>
      <c r="M3226" s="49"/>
      <c r="N3226" s="49"/>
      <c r="O3226" s="49"/>
      <c r="P3226" s="49"/>
      <c r="Q3226" s="49"/>
      <c r="R3226" s="49"/>
      <c r="S3226" s="49"/>
      <c r="T3226" s="49"/>
      <c r="U3226" s="49"/>
      <c r="V3226" s="49"/>
      <c r="W3226" s="56"/>
      <c r="X3226" s="51" t="str">
        <f t="shared" si="5"/>
        <v/>
      </c>
      <c r="Y3226" s="50" t="s">
        <v>482</v>
      </c>
      <c r="Z3226" s="49">
        <f t="shared" si="6"/>
        <v>0</v>
      </c>
    </row>
    <row r="3227" ht="22.5" customHeight="1">
      <c r="B3227" s="57"/>
      <c r="C3227" s="43" t="str">
        <f t="array" ref="C3227">IF(B3227="","",_xlfn.XLOOKUP(B3227,'Form responses 1'!$B$2:$B$2604,'Form responses 1'!$A$2:$A$2604,""))</f>
        <v/>
      </c>
      <c r="D3227" s="44" t="str">
        <f t="shared" si="3"/>
        <v/>
      </c>
      <c r="E3227" s="44" t="str">
        <f t="array" ref="E3227">IF(B3227="","",_xlfn.XLOOKUP(B3227,'Form responses 1'!$B$2:$B$2604,'Form responses 1'!$C$2:$C$2604,""))</f>
        <v/>
      </c>
      <c r="F3227" s="44" t="str">
        <f t="array" ref="F3227">IF(B3227="","",_xlfn.XLOOKUP(B3227,'Form responses 1'!$B$2:$B$2604,'Form responses 1'!$D$2:$D$2604,""))</f>
        <v/>
      </c>
      <c r="G3227" s="44" t="str">
        <f t="array" ref="G3227">IF(B3227="","",_xlfn.XLOOKUP(B3227,'Form responses 1'!$B$2:$B$2604,'Form responses 1'!$E$2:$E$2604,""))</f>
        <v/>
      </c>
      <c r="H3227" s="44" t="str">
        <f t="array" ref="H3227">IF(B3227="","",_xlfn.XLOOKUP(B3227,'Form responses 1'!$B$2:$B$2604,'Form responses 1'!$F$2:$F$2604,""))</f>
        <v/>
      </c>
      <c r="I3227" s="44" t="str">
        <f t="array" ref="I3227">IF(B3227="","",_xlfn.XLOOKUP(B3227,'Form responses 1'!$B$2:$B$2604,'Form responses 1'!$I$2:$I$2604,""))</f>
        <v/>
      </c>
      <c r="J3227" s="44" t="str">
        <f t="array" ref="J3227">IF(B3227="","",_xlfn.XLOOKUP(B3227,'Form responses 1'!$B$2:$B$2604,'Form responses 1'!$G$2:$G$2604,""))</f>
        <v/>
      </c>
      <c r="K3227" s="56"/>
      <c r="L3227" s="58" t="str">
        <f t="shared" si="7"/>
        <v/>
      </c>
      <c r="M3227" s="49"/>
      <c r="N3227" s="49"/>
      <c r="O3227" s="49"/>
      <c r="P3227" s="49"/>
      <c r="Q3227" s="49"/>
      <c r="R3227" s="49"/>
      <c r="S3227" s="49"/>
      <c r="T3227" s="49"/>
      <c r="U3227" s="49"/>
      <c r="V3227" s="49"/>
      <c r="W3227" s="56"/>
      <c r="X3227" s="51" t="str">
        <f t="shared" si="5"/>
        <v/>
      </c>
      <c r="Y3227" s="50" t="s">
        <v>482</v>
      </c>
      <c r="Z3227" s="49">
        <f t="shared" si="6"/>
        <v>0</v>
      </c>
    </row>
    <row r="3228" ht="22.5" customHeight="1">
      <c r="B3228" s="57"/>
      <c r="C3228" s="43" t="str">
        <f t="array" ref="C3228">IF(B3228="","",_xlfn.XLOOKUP(B3228,'Form responses 1'!$B$2:$B$2604,'Form responses 1'!$A$2:$A$2604,""))</f>
        <v/>
      </c>
      <c r="D3228" s="44" t="str">
        <f t="shared" si="3"/>
        <v/>
      </c>
      <c r="E3228" s="44" t="str">
        <f t="array" ref="E3228">IF(B3228="","",_xlfn.XLOOKUP(B3228,'Form responses 1'!$B$2:$B$2604,'Form responses 1'!$C$2:$C$2604,""))</f>
        <v/>
      </c>
      <c r="F3228" s="44" t="str">
        <f t="array" ref="F3228">IF(B3228="","",_xlfn.XLOOKUP(B3228,'Form responses 1'!$B$2:$B$2604,'Form responses 1'!$D$2:$D$2604,""))</f>
        <v/>
      </c>
      <c r="G3228" s="44" t="str">
        <f t="array" ref="G3228">IF(B3228="","",_xlfn.XLOOKUP(B3228,'Form responses 1'!$B$2:$B$2604,'Form responses 1'!$E$2:$E$2604,""))</f>
        <v/>
      </c>
      <c r="H3228" s="44" t="str">
        <f t="array" ref="H3228">IF(B3228="","",_xlfn.XLOOKUP(B3228,'Form responses 1'!$B$2:$B$2604,'Form responses 1'!$F$2:$F$2604,""))</f>
        <v/>
      </c>
      <c r="I3228" s="44" t="str">
        <f t="array" ref="I3228">IF(B3228="","",_xlfn.XLOOKUP(B3228,'Form responses 1'!$B$2:$B$2604,'Form responses 1'!$I$2:$I$2604,""))</f>
        <v/>
      </c>
      <c r="J3228" s="44" t="str">
        <f t="array" ref="J3228">IF(B3228="","",_xlfn.XLOOKUP(B3228,'Form responses 1'!$B$2:$B$2604,'Form responses 1'!$G$2:$G$2604,""))</f>
        <v/>
      </c>
      <c r="K3228" s="56"/>
      <c r="L3228" s="58" t="str">
        <f t="shared" si="7"/>
        <v/>
      </c>
      <c r="M3228" s="49"/>
      <c r="N3228" s="49"/>
      <c r="O3228" s="49"/>
      <c r="P3228" s="49"/>
      <c r="Q3228" s="49"/>
      <c r="R3228" s="49"/>
      <c r="S3228" s="49"/>
      <c r="T3228" s="49"/>
      <c r="U3228" s="49"/>
      <c r="V3228" s="49"/>
      <c r="W3228" s="56"/>
      <c r="X3228" s="51" t="str">
        <f t="shared" si="5"/>
        <v/>
      </c>
      <c r="Y3228" s="50" t="s">
        <v>482</v>
      </c>
      <c r="Z3228" s="49">
        <f t="shared" si="6"/>
        <v>0</v>
      </c>
    </row>
    <row r="3229" ht="22.5" customHeight="1">
      <c r="B3229" s="57"/>
      <c r="C3229" s="43" t="str">
        <f t="array" ref="C3229">IF(B3229="","",_xlfn.XLOOKUP(B3229,'Form responses 1'!$B$2:$B$2604,'Form responses 1'!$A$2:$A$2604,""))</f>
        <v/>
      </c>
      <c r="D3229" s="44" t="str">
        <f t="shared" si="3"/>
        <v/>
      </c>
      <c r="E3229" s="44" t="str">
        <f t="array" ref="E3229">IF(B3229="","",_xlfn.XLOOKUP(B3229,'Form responses 1'!$B$2:$B$2604,'Form responses 1'!$C$2:$C$2604,""))</f>
        <v/>
      </c>
      <c r="F3229" s="44" t="str">
        <f t="array" ref="F3229">IF(B3229="","",_xlfn.XLOOKUP(B3229,'Form responses 1'!$B$2:$B$2604,'Form responses 1'!$D$2:$D$2604,""))</f>
        <v/>
      </c>
      <c r="G3229" s="44" t="str">
        <f t="array" ref="G3229">IF(B3229="","",_xlfn.XLOOKUP(B3229,'Form responses 1'!$B$2:$B$2604,'Form responses 1'!$E$2:$E$2604,""))</f>
        <v/>
      </c>
      <c r="H3229" s="44" t="str">
        <f t="array" ref="H3229">IF(B3229="","",_xlfn.XLOOKUP(B3229,'Form responses 1'!$B$2:$B$2604,'Form responses 1'!$F$2:$F$2604,""))</f>
        <v/>
      </c>
      <c r="I3229" s="44" t="str">
        <f t="array" ref="I3229">IF(B3229="","",_xlfn.XLOOKUP(B3229,'Form responses 1'!$B$2:$B$2604,'Form responses 1'!$I$2:$I$2604,""))</f>
        <v/>
      </c>
      <c r="J3229" s="44" t="str">
        <f t="array" ref="J3229">IF(B3229="","",_xlfn.XLOOKUP(B3229,'Form responses 1'!$B$2:$B$2604,'Form responses 1'!$G$2:$G$2604,""))</f>
        <v/>
      </c>
      <c r="K3229" s="56"/>
      <c r="L3229" s="58" t="str">
        <f t="shared" si="7"/>
        <v/>
      </c>
      <c r="M3229" s="49"/>
      <c r="N3229" s="49"/>
      <c r="O3229" s="49"/>
      <c r="P3229" s="49"/>
      <c r="Q3229" s="49"/>
      <c r="R3229" s="49"/>
      <c r="S3229" s="49"/>
      <c r="T3229" s="49"/>
      <c r="U3229" s="49"/>
      <c r="V3229" s="49"/>
      <c r="W3229" s="56"/>
      <c r="X3229" s="51" t="str">
        <f t="shared" si="5"/>
        <v/>
      </c>
      <c r="Y3229" s="50" t="s">
        <v>482</v>
      </c>
      <c r="Z3229" s="49">
        <f t="shared" si="6"/>
        <v>0</v>
      </c>
    </row>
    <row r="3230" ht="22.5" customHeight="1">
      <c r="B3230" s="57"/>
      <c r="C3230" s="43" t="str">
        <f t="array" ref="C3230">IF(B3230="","",_xlfn.XLOOKUP(B3230,'Form responses 1'!$B$2:$B$2604,'Form responses 1'!$A$2:$A$2604,""))</f>
        <v/>
      </c>
      <c r="D3230" s="44" t="str">
        <f t="shared" si="3"/>
        <v/>
      </c>
      <c r="E3230" s="44" t="str">
        <f t="array" ref="E3230">IF(B3230="","",_xlfn.XLOOKUP(B3230,'Form responses 1'!$B$2:$B$2604,'Form responses 1'!$C$2:$C$2604,""))</f>
        <v/>
      </c>
      <c r="F3230" s="44" t="str">
        <f t="array" ref="F3230">IF(B3230="","",_xlfn.XLOOKUP(B3230,'Form responses 1'!$B$2:$B$2604,'Form responses 1'!$D$2:$D$2604,""))</f>
        <v/>
      </c>
      <c r="G3230" s="44" t="str">
        <f t="array" ref="G3230">IF(B3230="","",_xlfn.XLOOKUP(B3230,'Form responses 1'!$B$2:$B$2604,'Form responses 1'!$E$2:$E$2604,""))</f>
        <v/>
      </c>
      <c r="H3230" s="44" t="str">
        <f t="array" ref="H3230">IF(B3230="","",_xlfn.XLOOKUP(B3230,'Form responses 1'!$B$2:$B$2604,'Form responses 1'!$F$2:$F$2604,""))</f>
        <v/>
      </c>
      <c r="I3230" s="44" t="str">
        <f t="array" ref="I3230">IF(B3230="","",_xlfn.XLOOKUP(B3230,'Form responses 1'!$B$2:$B$2604,'Form responses 1'!$I$2:$I$2604,""))</f>
        <v/>
      </c>
      <c r="J3230" s="44" t="str">
        <f t="array" ref="J3230">IF(B3230="","",_xlfn.XLOOKUP(B3230,'Form responses 1'!$B$2:$B$2604,'Form responses 1'!$G$2:$G$2604,""))</f>
        <v/>
      </c>
      <c r="K3230" s="56"/>
      <c r="L3230" s="58" t="str">
        <f t="shared" si="7"/>
        <v/>
      </c>
      <c r="M3230" s="49"/>
      <c r="N3230" s="49"/>
      <c r="O3230" s="49"/>
      <c r="P3230" s="49"/>
      <c r="Q3230" s="49"/>
      <c r="R3230" s="49"/>
      <c r="S3230" s="49"/>
      <c r="T3230" s="49"/>
      <c r="U3230" s="49"/>
      <c r="V3230" s="49"/>
      <c r="W3230" s="56"/>
      <c r="X3230" s="51" t="str">
        <f t="shared" si="5"/>
        <v/>
      </c>
      <c r="Y3230" s="50" t="s">
        <v>482</v>
      </c>
      <c r="Z3230" s="49">
        <f t="shared" si="6"/>
        <v>0</v>
      </c>
    </row>
    <row r="3231" ht="22.5" customHeight="1">
      <c r="B3231" s="57"/>
      <c r="C3231" s="43" t="str">
        <f t="array" ref="C3231">IF(B3231="","",_xlfn.XLOOKUP(B3231,'Form responses 1'!$B$2:$B$2604,'Form responses 1'!$A$2:$A$2604,""))</f>
        <v/>
      </c>
      <c r="D3231" s="44" t="str">
        <f t="shared" si="3"/>
        <v/>
      </c>
      <c r="E3231" s="44" t="str">
        <f t="array" ref="E3231">IF(B3231="","",_xlfn.XLOOKUP(B3231,'Form responses 1'!$B$2:$B$2604,'Form responses 1'!$C$2:$C$2604,""))</f>
        <v/>
      </c>
      <c r="F3231" s="44" t="str">
        <f t="array" ref="F3231">IF(B3231="","",_xlfn.XLOOKUP(B3231,'Form responses 1'!$B$2:$B$2604,'Form responses 1'!$D$2:$D$2604,""))</f>
        <v/>
      </c>
      <c r="G3231" s="44" t="str">
        <f t="array" ref="G3231">IF(B3231="","",_xlfn.XLOOKUP(B3231,'Form responses 1'!$B$2:$B$2604,'Form responses 1'!$E$2:$E$2604,""))</f>
        <v/>
      </c>
      <c r="H3231" s="44" t="str">
        <f t="array" ref="H3231">IF(B3231="","",_xlfn.XLOOKUP(B3231,'Form responses 1'!$B$2:$B$2604,'Form responses 1'!$F$2:$F$2604,""))</f>
        <v/>
      </c>
      <c r="I3231" s="44" t="str">
        <f t="array" ref="I3231">IF(B3231="","",_xlfn.XLOOKUP(B3231,'Form responses 1'!$B$2:$B$2604,'Form responses 1'!$I$2:$I$2604,""))</f>
        <v/>
      </c>
      <c r="J3231" s="44" t="str">
        <f t="array" ref="J3231">IF(B3231="","",_xlfn.XLOOKUP(B3231,'Form responses 1'!$B$2:$B$2604,'Form responses 1'!$G$2:$G$2604,""))</f>
        <v/>
      </c>
      <c r="K3231" s="56"/>
      <c r="L3231" s="58" t="str">
        <f t="shared" si="7"/>
        <v/>
      </c>
      <c r="M3231" s="49"/>
      <c r="N3231" s="49"/>
      <c r="O3231" s="49"/>
      <c r="P3231" s="49"/>
      <c r="Q3231" s="49"/>
      <c r="R3231" s="49"/>
      <c r="S3231" s="49"/>
      <c r="T3231" s="49"/>
      <c r="U3231" s="49"/>
      <c r="V3231" s="49"/>
      <c r="W3231" s="56"/>
      <c r="X3231" s="51" t="str">
        <f t="shared" si="5"/>
        <v/>
      </c>
      <c r="Y3231" s="50" t="s">
        <v>482</v>
      </c>
      <c r="Z3231" s="49">
        <f t="shared" si="6"/>
        <v>0</v>
      </c>
    </row>
    <row r="3232" ht="22.5" customHeight="1">
      <c r="B3232" s="57"/>
      <c r="C3232" s="43" t="str">
        <f t="array" ref="C3232">IF(B3232="","",_xlfn.XLOOKUP(B3232,'Form responses 1'!$B$2:$B$2604,'Form responses 1'!$A$2:$A$2604,""))</f>
        <v/>
      </c>
      <c r="D3232" s="44" t="str">
        <f t="shared" si="3"/>
        <v/>
      </c>
      <c r="E3232" s="44" t="str">
        <f t="array" ref="E3232">IF(B3232="","",_xlfn.XLOOKUP(B3232,'Form responses 1'!$B$2:$B$2604,'Form responses 1'!$C$2:$C$2604,""))</f>
        <v/>
      </c>
      <c r="F3232" s="44" t="str">
        <f t="array" ref="F3232">IF(B3232="","",_xlfn.XLOOKUP(B3232,'Form responses 1'!$B$2:$B$2604,'Form responses 1'!$D$2:$D$2604,""))</f>
        <v/>
      </c>
      <c r="G3232" s="44" t="str">
        <f t="array" ref="G3232">IF(B3232="","",_xlfn.XLOOKUP(B3232,'Form responses 1'!$B$2:$B$2604,'Form responses 1'!$E$2:$E$2604,""))</f>
        <v/>
      </c>
      <c r="H3232" s="44" t="str">
        <f t="array" ref="H3232">IF(B3232="","",_xlfn.XLOOKUP(B3232,'Form responses 1'!$B$2:$B$2604,'Form responses 1'!$F$2:$F$2604,""))</f>
        <v/>
      </c>
      <c r="I3232" s="44" t="str">
        <f t="array" ref="I3232">IF(B3232="","",_xlfn.XLOOKUP(B3232,'Form responses 1'!$B$2:$B$2604,'Form responses 1'!$I$2:$I$2604,""))</f>
        <v/>
      </c>
      <c r="J3232" s="44" t="str">
        <f t="array" ref="J3232">IF(B3232="","",_xlfn.XLOOKUP(B3232,'Form responses 1'!$B$2:$B$2604,'Form responses 1'!$G$2:$G$2604,""))</f>
        <v/>
      </c>
      <c r="K3232" s="56"/>
      <c r="L3232" s="58" t="str">
        <f t="shared" si="7"/>
        <v/>
      </c>
      <c r="M3232" s="49"/>
      <c r="N3232" s="49"/>
      <c r="O3232" s="49"/>
      <c r="P3232" s="49"/>
      <c r="Q3232" s="49"/>
      <c r="R3232" s="49"/>
      <c r="S3232" s="49"/>
      <c r="T3232" s="49"/>
      <c r="U3232" s="49"/>
      <c r="V3232" s="49"/>
      <c r="W3232" s="56"/>
      <c r="X3232" s="51" t="str">
        <f t="shared" si="5"/>
        <v/>
      </c>
      <c r="Y3232" s="50" t="s">
        <v>482</v>
      </c>
      <c r="Z3232" s="49">
        <f t="shared" si="6"/>
        <v>0</v>
      </c>
    </row>
    <row r="3233" ht="22.5" customHeight="1">
      <c r="B3233" s="57"/>
      <c r="C3233" s="43" t="str">
        <f t="array" ref="C3233">IF(B3233="","",_xlfn.XLOOKUP(B3233,'Form responses 1'!$B$2:$B$2604,'Form responses 1'!$A$2:$A$2604,""))</f>
        <v/>
      </c>
      <c r="D3233" s="44" t="str">
        <f t="shared" si="3"/>
        <v/>
      </c>
      <c r="E3233" s="44" t="str">
        <f t="array" ref="E3233">IF(B3233="","",_xlfn.XLOOKUP(B3233,'Form responses 1'!$B$2:$B$2604,'Form responses 1'!$C$2:$C$2604,""))</f>
        <v/>
      </c>
      <c r="F3233" s="44" t="str">
        <f t="array" ref="F3233">IF(B3233="","",_xlfn.XLOOKUP(B3233,'Form responses 1'!$B$2:$B$2604,'Form responses 1'!$D$2:$D$2604,""))</f>
        <v/>
      </c>
      <c r="G3233" s="44" t="str">
        <f t="array" ref="G3233">IF(B3233="","",_xlfn.XLOOKUP(B3233,'Form responses 1'!$B$2:$B$2604,'Form responses 1'!$E$2:$E$2604,""))</f>
        <v/>
      </c>
      <c r="H3233" s="44" t="str">
        <f t="array" ref="H3233">IF(B3233="","",_xlfn.XLOOKUP(B3233,'Form responses 1'!$B$2:$B$2604,'Form responses 1'!$F$2:$F$2604,""))</f>
        <v/>
      </c>
      <c r="I3233" s="44" t="str">
        <f t="array" ref="I3233">IF(B3233="","",_xlfn.XLOOKUP(B3233,'Form responses 1'!$B$2:$B$2604,'Form responses 1'!$I$2:$I$2604,""))</f>
        <v/>
      </c>
      <c r="J3233" s="44" t="str">
        <f t="array" ref="J3233">IF(B3233="","",_xlfn.XLOOKUP(B3233,'Form responses 1'!$B$2:$B$2604,'Form responses 1'!$G$2:$G$2604,""))</f>
        <v/>
      </c>
      <c r="K3233" s="56"/>
      <c r="L3233" s="58" t="str">
        <f t="shared" si="7"/>
        <v/>
      </c>
      <c r="M3233" s="49"/>
      <c r="N3233" s="49"/>
      <c r="O3233" s="49"/>
      <c r="P3233" s="49"/>
      <c r="Q3233" s="49"/>
      <c r="R3233" s="49"/>
      <c r="S3233" s="49"/>
      <c r="T3233" s="49"/>
      <c r="U3233" s="49"/>
      <c r="V3233" s="49"/>
      <c r="W3233" s="56"/>
      <c r="X3233" s="51" t="str">
        <f t="shared" si="5"/>
        <v/>
      </c>
      <c r="Y3233" s="50" t="s">
        <v>482</v>
      </c>
      <c r="Z3233" s="49">
        <f t="shared" si="6"/>
        <v>0</v>
      </c>
    </row>
    <row r="3234" ht="22.5" customHeight="1">
      <c r="B3234" s="57"/>
      <c r="C3234" s="43" t="str">
        <f t="array" ref="C3234">IF(B3234="","",_xlfn.XLOOKUP(B3234,'Form responses 1'!$B$2:$B$2604,'Form responses 1'!$A$2:$A$2604,""))</f>
        <v/>
      </c>
      <c r="D3234" s="44" t="str">
        <f t="shared" si="3"/>
        <v/>
      </c>
      <c r="E3234" s="44" t="str">
        <f t="array" ref="E3234">IF(B3234="","",_xlfn.XLOOKUP(B3234,'Form responses 1'!$B$2:$B$2604,'Form responses 1'!$C$2:$C$2604,""))</f>
        <v/>
      </c>
      <c r="F3234" s="44" t="str">
        <f t="array" ref="F3234">IF(B3234="","",_xlfn.XLOOKUP(B3234,'Form responses 1'!$B$2:$B$2604,'Form responses 1'!$D$2:$D$2604,""))</f>
        <v/>
      </c>
      <c r="G3234" s="44" t="str">
        <f t="array" ref="G3234">IF(B3234="","",_xlfn.XLOOKUP(B3234,'Form responses 1'!$B$2:$B$2604,'Form responses 1'!$E$2:$E$2604,""))</f>
        <v/>
      </c>
      <c r="H3234" s="44" t="str">
        <f t="array" ref="H3234">IF(B3234="","",_xlfn.XLOOKUP(B3234,'Form responses 1'!$B$2:$B$2604,'Form responses 1'!$F$2:$F$2604,""))</f>
        <v/>
      </c>
      <c r="I3234" s="44" t="str">
        <f t="array" ref="I3234">IF(B3234="","",_xlfn.XLOOKUP(B3234,'Form responses 1'!$B$2:$B$2604,'Form responses 1'!$I$2:$I$2604,""))</f>
        <v/>
      </c>
      <c r="J3234" s="44" t="str">
        <f t="array" ref="J3234">IF(B3234="","",_xlfn.XLOOKUP(B3234,'Form responses 1'!$B$2:$B$2604,'Form responses 1'!$G$2:$G$2604,""))</f>
        <v/>
      </c>
      <c r="K3234" s="56"/>
      <c r="L3234" s="58" t="str">
        <f t="shared" si="7"/>
        <v/>
      </c>
      <c r="M3234" s="49"/>
      <c r="N3234" s="49"/>
      <c r="O3234" s="49"/>
      <c r="P3234" s="49"/>
      <c r="Q3234" s="49"/>
      <c r="R3234" s="49"/>
      <c r="S3234" s="49"/>
      <c r="T3234" s="49"/>
      <c r="U3234" s="49"/>
      <c r="V3234" s="49"/>
      <c r="W3234" s="56"/>
      <c r="X3234" s="51" t="str">
        <f t="shared" si="5"/>
        <v/>
      </c>
      <c r="Y3234" s="50" t="s">
        <v>482</v>
      </c>
      <c r="Z3234" s="49">
        <f t="shared" si="6"/>
        <v>0</v>
      </c>
    </row>
    <row r="3235" ht="22.5" customHeight="1">
      <c r="B3235" s="57"/>
      <c r="C3235" s="43" t="str">
        <f t="array" ref="C3235">IF(B3235="","",_xlfn.XLOOKUP(B3235,'Form responses 1'!$B$2:$B$2604,'Form responses 1'!$A$2:$A$2604,""))</f>
        <v/>
      </c>
      <c r="D3235" s="44" t="str">
        <f t="shared" si="3"/>
        <v/>
      </c>
      <c r="E3235" s="44" t="str">
        <f t="array" ref="E3235">IF(B3235="","",_xlfn.XLOOKUP(B3235,'Form responses 1'!$B$2:$B$2604,'Form responses 1'!$C$2:$C$2604,""))</f>
        <v/>
      </c>
      <c r="F3235" s="44" t="str">
        <f t="array" ref="F3235">IF(B3235="","",_xlfn.XLOOKUP(B3235,'Form responses 1'!$B$2:$B$2604,'Form responses 1'!$D$2:$D$2604,""))</f>
        <v/>
      </c>
      <c r="G3235" s="44" t="str">
        <f t="array" ref="G3235">IF(B3235="","",_xlfn.XLOOKUP(B3235,'Form responses 1'!$B$2:$B$2604,'Form responses 1'!$E$2:$E$2604,""))</f>
        <v/>
      </c>
      <c r="H3235" s="44" t="str">
        <f t="array" ref="H3235">IF(B3235="","",_xlfn.XLOOKUP(B3235,'Form responses 1'!$B$2:$B$2604,'Form responses 1'!$F$2:$F$2604,""))</f>
        <v/>
      </c>
      <c r="I3235" s="44" t="str">
        <f t="array" ref="I3235">IF(B3235="","",_xlfn.XLOOKUP(B3235,'Form responses 1'!$B$2:$B$2604,'Form responses 1'!$I$2:$I$2604,""))</f>
        <v/>
      </c>
      <c r="J3235" s="44" t="str">
        <f t="array" ref="J3235">IF(B3235="","",_xlfn.XLOOKUP(B3235,'Form responses 1'!$B$2:$B$2604,'Form responses 1'!$G$2:$G$2604,""))</f>
        <v/>
      </c>
      <c r="K3235" s="56"/>
      <c r="L3235" s="58" t="str">
        <f t="shared" si="7"/>
        <v/>
      </c>
      <c r="M3235" s="49"/>
      <c r="N3235" s="49"/>
      <c r="O3235" s="49"/>
      <c r="P3235" s="49"/>
      <c r="Q3235" s="49"/>
      <c r="R3235" s="49"/>
      <c r="S3235" s="49"/>
      <c r="T3235" s="49"/>
      <c r="U3235" s="49"/>
      <c r="V3235" s="49"/>
      <c r="W3235" s="56"/>
      <c r="X3235" s="51" t="str">
        <f t="shared" si="5"/>
        <v/>
      </c>
      <c r="Y3235" s="50" t="s">
        <v>482</v>
      </c>
      <c r="Z3235" s="49">
        <f t="shared" si="6"/>
        <v>0</v>
      </c>
    </row>
    <row r="3236" ht="22.5" customHeight="1">
      <c r="B3236" s="57"/>
      <c r="C3236" s="43" t="str">
        <f t="array" ref="C3236">IF(B3236="","",_xlfn.XLOOKUP(B3236,'Form responses 1'!$B$2:$B$2604,'Form responses 1'!$A$2:$A$2604,""))</f>
        <v/>
      </c>
      <c r="D3236" s="44" t="str">
        <f t="shared" si="3"/>
        <v/>
      </c>
      <c r="E3236" s="44" t="str">
        <f t="array" ref="E3236">IF(B3236="","",_xlfn.XLOOKUP(B3236,'Form responses 1'!$B$2:$B$2604,'Form responses 1'!$C$2:$C$2604,""))</f>
        <v/>
      </c>
      <c r="F3236" s="44" t="str">
        <f t="array" ref="F3236">IF(B3236="","",_xlfn.XLOOKUP(B3236,'Form responses 1'!$B$2:$B$2604,'Form responses 1'!$D$2:$D$2604,""))</f>
        <v/>
      </c>
      <c r="G3236" s="44" t="str">
        <f t="array" ref="G3236">IF(B3236="","",_xlfn.XLOOKUP(B3236,'Form responses 1'!$B$2:$B$2604,'Form responses 1'!$E$2:$E$2604,""))</f>
        <v/>
      </c>
      <c r="H3236" s="44" t="str">
        <f t="array" ref="H3236">IF(B3236="","",_xlfn.XLOOKUP(B3236,'Form responses 1'!$B$2:$B$2604,'Form responses 1'!$F$2:$F$2604,""))</f>
        <v/>
      </c>
      <c r="I3236" s="44" t="str">
        <f t="array" ref="I3236">IF(B3236="","",_xlfn.XLOOKUP(B3236,'Form responses 1'!$B$2:$B$2604,'Form responses 1'!$I$2:$I$2604,""))</f>
        <v/>
      </c>
      <c r="J3236" s="44" t="str">
        <f t="array" ref="J3236">IF(B3236="","",_xlfn.XLOOKUP(B3236,'Form responses 1'!$B$2:$B$2604,'Form responses 1'!$G$2:$G$2604,""))</f>
        <v/>
      </c>
      <c r="K3236" s="56"/>
      <c r="L3236" s="58" t="str">
        <f t="shared" si="7"/>
        <v/>
      </c>
      <c r="M3236" s="49"/>
      <c r="N3236" s="49"/>
      <c r="O3236" s="49"/>
      <c r="P3236" s="49"/>
      <c r="Q3236" s="49"/>
      <c r="R3236" s="49"/>
      <c r="S3236" s="49"/>
      <c r="T3236" s="49"/>
      <c r="U3236" s="49"/>
      <c r="V3236" s="49"/>
      <c r="W3236" s="56"/>
      <c r="X3236" s="51" t="str">
        <f t="shared" si="5"/>
        <v/>
      </c>
      <c r="Y3236" s="50" t="s">
        <v>482</v>
      </c>
      <c r="Z3236" s="49">
        <f t="shared" si="6"/>
        <v>0</v>
      </c>
    </row>
    <row r="3237" ht="22.5" customHeight="1">
      <c r="B3237" s="57"/>
      <c r="C3237" s="43" t="str">
        <f t="array" ref="C3237">IF(B3237="","",_xlfn.XLOOKUP(B3237,'Form responses 1'!$B$2:$B$2604,'Form responses 1'!$A$2:$A$2604,""))</f>
        <v/>
      </c>
      <c r="D3237" s="44" t="str">
        <f t="shared" si="3"/>
        <v/>
      </c>
      <c r="E3237" s="44" t="str">
        <f t="array" ref="E3237">IF(B3237="","",_xlfn.XLOOKUP(B3237,'Form responses 1'!$B$2:$B$2604,'Form responses 1'!$C$2:$C$2604,""))</f>
        <v/>
      </c>
      <c r="F3237" s="44" t="str">
        <f t="array" ref="F3237">IF(B3237="","",_xlfn.XLOOKUP(B3237,'Form responses 1'!$B$2:$B$2604,'Form responses 1'!$D$2:$D$2604,""))</f>
        <v/>
      </c>
      <c r="G3237" s="44" t="str">
        <f t="array" ref="G3237">IF(B3237="","",_xlfn.XLOOKUP(B3237,'Form responses 1'!$B$2:$B$2604,'Form responses 1'!$E$2:$E$2604,""))</f>
        <v/>
      </c>
      <c r="H3237" s="44" t="str">
        <f t="array" ref="H3237">IF(B3237="","",_xlfn.XLOOKUP(B3237,'Form responses 1'!$B$2:$B$2604,'Form responses 1'!$F$2:$F$2604,""))</f>
        <v/>
      </c>
      <c r="I3237" s="44" t="str">
        <f t="array" ref="I3237">IF(B3237="","",_xlfn.XLOOKUP(B3237,'Form responses 1'!$B$2:$B$2604,'Form responses 1'!$I$2:$I$2604,""))</f>
        <v/>
      </c>
      <c r="J3237" s="44" t="str">
        <f t="array" ref="J3237">IF(B3237="","",_xlfn.XLOOKUP(B3237,'Form responses 1'!$B$2:$B$2604,'Form responses 1'!$G$2:$G$2604,""))</f>
        <v/>
      </c>
      <c r="K3237" s="56"/>
      <c r="L3237" s="58" t="str">
        <f t="shared" si="7"/>
        <v/>
      </c>
      <c r="M3237" s="49"/>
      <c r="N3237" s="49"/>
      <c r="O3237" s="49"/>
      <c r="P3237" s="49"/>
      <c r="Q3237" s="49"/>
      <c r="R3237" s="49"/>
      <c r="S3237" s="49"/>
      <c r="T3237" s="49"/>
      <c r="U3237" s="49"/>
      <c r="V3237" s="49"/>
      <c r="W3237" s="56"/>
      <c r="X3237" s="51" t="str">
        <f t="shared" si="5"/>
        <v/>
      </c>
      <c r="Y3237" s="50" t="s">
        <v>482</v>
      </c>
      <c r="Z3237" s="49">
        <f t="shared" si="6"/>
        <v>0</v>
      </c>
    </row>
    <row r="3238" ht="22.5" customHeight="1">
      <c r="B3238" s="57"/>
      <c r="C3238" s="43" t="str">
        <f t="array" ref="C3238">IF(B3238="","",_xlfn.XLOOKUP(B3238,'Form responses 1'!$B$2:$B$2604,'Form responses 1'!$A$2:$A$2604,""))</f>
        <v/>
      </c>
      <c r="D3238" s="44" t="str">
        <f t="shared" si="3"/>
        <v/>
      </c>
      <c r="E3238" s="44" t="str">
        <f t="array" ref="E3238">IF(B3238="","",_xlfn.XLOOKUP(B3238,'Form responses 1'!$B$2:$B$2604,'Form responses 1'!$C$2:$C$2604,""))</f>
        <v/>
      </c>
      <c r="F3238" s="44" t="str">
        <f t="array" ref="F3238">IF(B3238="","",_xlfn.XLOOKUP(B3238,'Form responses 1'!$B$2:$B$2604,'Form responses 1'!$D$2:$D$2604,""))</f>
        <v/>
      </c>
      <c r="G3238" s="44" t="str">
        <f t="array" ref="G3238">IF(B3238="","",_xlfn.XLOOKUP(B3238,'Form responses 1'!$B$2:$B$2604,'Form responses 1'!$E$2:$E$2604,""))</f>
        <v/>
      </c>
      <c r="H3238" s="44" t="str">
        <f t="array" ref="H3238">IF(B3238="","",_xlfn.XLOOKUP(B3238,'Form responses 1'!$B$2:$B$2604,'Form responses 1'!$F$2:$F$2604,""))</f>
        <v/>
      </c>
      <c r="I3238" s="44" t="str">
        <f t="array" ref="I3238">IF(B3238="","",_xlfn.XLOOKUP(B3238,'Form responses 1'!$B$2:$B$2604,'Form responses 1'!$I$2:$I$2604,""))</f>
        <v/>
      </c>
      <c r="J3238" s="44" t="str">
        <f t="array" ref="J3238">IF(B3238="","",_xlfn.XLOOKUP(B3238,'Form responses 1'!$B$2:$B$2604,'Form responses 1'!$G$2:$G$2604,""))</f>
        <v/>
      </c>
      <c r="K3238" s="56"/>
      <c r="L3238" s="58" t="str">
        <f t="shared" si="7"/>
        <v/>
      </c>
      <c r="M3238" s="49"/>
      <c r="N3238" s="49"/>
      <c r="O3238" s="49"/>
      <c r="P3238" s="49"/>
      <c r="Q3238" s="49"/>
      <c r="R3238" s="49"/>
      <c r="S3238" s="49"/>
      <c r="T3238" s="49"/>
      <c r="U3238" s="49"/>
      <c r="V3238" s="49"/>
      <c r="W3238" s="56"/>
      <c r="X3238" s="51" t="str">
        <f t="shared" si="5"/>
        <v/>
      </c>
      <c r="Y3238" s="50" t="s">
        <v>482</v>
      </c>
      <c r="Z3238" s="49">
        <f t="shared" si="6"/>
        <v>0</v>
      </c>
    </row>
    <row r="3239" ht="22.5" customHeight="1">
      <c r="B3239" s="57"/>
      <c r="C3239" s="43" t="str">
        <f t="array" ref="C3239">IF(B3239="","",_xlfn.XLOOKUP(B3239,'Form responses 1'!$B$2:$B$2604,'Form responses 1'!$A$2:$A$2604,""))</f>
        <v/>
      </c>
      <c r="D3239" s="44" t="str">
        <f t="shared" si="3"/>
        <v/>
      </c>
      <c r="E3239" s="44" t="str">
        <f t="array" ref="E3239">IF(B3239="","",_xlfn.XLOOKUP(B3239,'Form responses 1'!$B$2:$B$2604,'Form responses 1'!$C$2:$C$2604,""))</f>
        <v/>
      </c>
      <c r="F3239" s="44" t="str">
        <f t="array" ref="F3239">IF(B3239="","",_xlfn.XLOOKUP(B3239,'Form responses 1'!$B$2:$B$2604,'Form responses 1'!$D$2:$D$2604,""))</f>
        <v/>
      </c>
      <c r="G3239" s="44" t="str">
        <f t="array" ref="G3239">IF(B3239="","",_xlfn.XLOOKUP(B3239,'Form responses 1'!$B$2:$B$2604,'Form responses 1'!$E$2:$E$2604,""))</f>
        <v/>
      </c>
      <c r="H3239" s="44" t="str">
        <f t="array" ref="H3239">IF(B3239="","",_xlfn.XLOOKUP(B3239,'Form responses 1'!$B$2:$B$2604,'Form responses 1'!$F$2:$F$2604,""))</f>
        <v/>
      </c>
      <c r="I3239" s="44" t="str">
        <f t="array" ref="I3239">IF(B3239="","",_xlfn.XLOOKUP(B3239,'Form responses 1'!$B$2:$B$2604,'Form responses 1'!$I$2:$I$2604,""))</f>
        <v/>
      </c>
      <c r="J3239" s="44" t="str">
        <f t="array" ref="J3239">IF(B3239="","",_xlfn.XLOOKUP(B3239,'Form responses 1'!$B$2:$B$2604,'Form responses 1'!$G$2:$G$2604,""))</f>
        <v/>
      </c>
      <c r="K3239" s="56"/>
      <c r="L3239" s="58" t="str">
        <f t="shared" si="7"/>
        <v/>
      </c>
      <c r="M3239" s="49"/>
      <c r="N3239" s="49"/>
      <c r="O3239" s="49"/>
      <c r="P3239" s="49"/>
      <c r="Q3239" s="49"/>
      <c r="R3239" s="49"/>
      <c r="S3239" s="49"/>
      <c r="T3239" s="49"/>
      <c r="U3239" s="49"/>
      <c r="V3239" s="49"/>
      <c r="W3239" s="56"/>
      <c r="X3239" s="51" t="str">
        <f t="shared" si="5"/>
        <v/>
      </c>
      <c r="Y3239" s="50" t="s">
        <v>482</v>
      </c>
      <c r="Z3239" s="49">
        <f t="shared" si="6"/>
        <v>0</v>
      </c>
    </row>
    <row r="3240" ht="22.5" customHeight="1">
      <c r="B3240" s="57"/>
      <c r="C3240" s="43" t="str">
        <f t="array" ref="C3240">IF(B3240="","",_xlfn.XLOOKUP(B3240,'Form responses 1'!$B$2:$B$2604,'Form responses 1'!$A$2:$A$2604,""))</f>
        <v/>
      </c>
      <c r="D3240" s="44" t="str">
        <f t="shared" si="3"/>
        <v/>
      </c>
      <c r="E3240" s="44" t="str">
        <f t="array" ref="E3240">IF(B3240="","",_xlfn.XLOOKUP(B3240,'Form responses 1'!$B$2:$B$2604,'Form responses 1'!$C$2:$C$2604,""))</f>
        <v/>
      </c>
      <c r="F3240" s="44" t="str">
        <f t="array" ref="F3240">IF(B3240="","",_xlfn.XLOOKUP(B3240,'Form responses 1'!$B$2:$B$2604,'Form responses 1'!$D$2:$D$2604,""))</f>
        <v/>
      </c>
      <c r="G3240" s="44" t="str">
        <f t="array" ref="G3240">IF(B3240="","",_xlfn.XLOOKUP(B3240,'Form responses 1'!$B$2:$B$2604,'Form responses 1'!$E$2:$E$2604,""))</f>
        <v/>
      </c>
      <c r="H3240" s="44" t="str">
        <f t="array" ref="H3240">IF(B3240="","",_xlfn.XLOOKUP(B3240,'Form responses 1'!$B$2:$B$2604,'Form responses 1'!$F$2:$F$2604,""))</f>
        <v/>
      </c>
      <c r="I3240" s="44" t="str">
        <f t="array" ref="I3240">IF(B3240="","",_xlfn.XLOOKUP(B3240,'Form responses 1'!$B$2:$B$2604,'Form responses 1'!$I$2:$I$2604,""))</f>
        <v/>
      </c>
      <c r="J3240" s="44" t="str">
        <f t="array" ref="J3240">IF(B3240="","",_xlfn.XLOOKUP(B3240,'Form responses 1'!$B$2:$B$2604,'Form responses 1'!$G$2:$G$2604,""))</f>
        <v/>
      </c>
      <c r="K3240" s="56"/>
      <c r="L3240" s="58" t="str">
        <f t="shared" si="7"/>
        <v/>
      </c>
      <c r="M3240" s="49"/>
      <c r="N3240" s="49"/>
      <c r="O3240" s="49"/>
      <c r="P3240" s="49"/>
      <c r="Q3240" s="49"/>
      <c r="R3240" s="49"/>
      <c r="S3240" s="49"/>
      <c r="T3240" s="49"/>
      <c r="U3240" s="49"/>
      <c r="V3240" s="49"/>
      <c r="W3240" s="56"/>
      <c r="X3240" s="51" t="str">
        <f t="shared" si="5"/>
        <v/>
      </c>
      <c r="Y3240" s="50" t="s">
        <v>482</v>
      </c>
      <c r="Z3240" s="49">
        <f t="shared" si="6"/>
        <v>0</v>
      </c>
    </row>
    <row r="3241" ht="22.5" customHeight="1">
      <c r="B3241" s="57"/>
      <c r="C3241" s="43" t="str">
        <f t="array" ref="C3241">IF(B3241="","",_xlfn.XLOOKUP(B3241,'Form responses 1'!$B$2:$B$2604,'Form responses 1'!$A$2:$A$2604,""))</f>
        <v/>
      </c>
      <c r="D3241" s="44" t="str">
        <f t="shared" si="3"/>
        <v/>
      </c>
      <c r="E3241" s="44" t="str">
        <f t="array" ref="E3241">IF(B3241="","",_xlfn.XLOOKUP(B3241,'Form responses 1'!$B$2:$B$2604,'Form responses 1'!$C$2:$C$2604,""))</f>
        <v/>
      </c>
      <c r="F3241" s="44" t="str">
        <f t="array" ref="F3241">IF(B3241="","",_xlfn.XLOOKUP(B3241,'Form responses 1'!$B$2:$B$2604,'Form responses 1'!$D$2:$D$2604,""))</f>
        <v/>
      </c>
      <c r="G3241" s="44" t="str">
        <f t="array" ref="G3241">IF(B3241="","",_xlfn.XLOOKUP(B3241,'Form responses 1'!$B$2:$B$2604,'Form responses 1'!$E$2:$E$2604,""))</f>
        <v/>
      </c>
      <c r="H3241" s="44" t="str">
        <f t="array" ref="H3241">IF(B3241="","",_xlfn.XLOOKUP(B3241,'Form responses 1'!$B$2:$B$2604,'Form responses 1'!$F$2:$F$2604,""))</f>
        <v/>
      </c>
      <c r="I3241" s="44" t="str">
        <f t="array" ref="I3241">IF(B3241="","",_xlfn.XLOOKUP(B3241,'Form responses 1'!$B$2:$B$2604,'Form responses 1'!$I$2:$I$2604,""))</f>
        <v/>
      </c>
      <c r="J3241" s="44" t="str">
        <f t="array" ref="J3241">IF(B3241="","",_xlfn.XLOOKUP(B3241,'Form responses 1'!$B$2:$B$2604,'Form responses 1'!$G$2:$G$2604,""))</f>
        <v/>
      </c>
      <c r="K3241" s="56"/>
      <c r="L3241" s="58" t="str">
        <f t="shared" si="7"/>
        <v/>
      </c>
      <c r="M3241" s="49"/>
      <c r="N3241" s="49"/>
      <c r="O3241" s="49"/>
      <c r="P3241" s="49"/>
      <c r="Q3241" s="49"/>
      <c r="R3241" s="49"/>
      <c r="S3241" s="49"/>
      <c r="T3241" s="49"/>
      <c r="U3241" s="49"/>
      <c r="V3241" s="49"/>
      <c r="W3241" s="56"/>
      <c r="X3241" s="51" t="str">
        <f t="shared" si="5"/>
        <v/>
      </c>
      <c r="Y3241" s="50" t="s">
        <v>482</v>
      </c>
      <c r="Z3241" s="49">
        <f t="shared" si="6"/>
        <v>0</v>
      </c>
    </row>
    <row r="3242" ht="22.5" customHeight="1">
      <c r="B3242" s="57"/>
      <c r="C3242" s="43" t="str">
        <f t="array" ref="C3242">IF(B3242="","",_xlfn.XLOOKUP(B3242,'Form responses 1'!$B$2:$B$2604,'Form responses 1'!$A$2:$A$2604,""))</f>
        <v/>
      </c>
      <c r="D3242" s="44" t="str">
        <f t="shared" si="3"/>
        <v/>
      </c>
      <c r="E3242" s="44" t="str">
        <f t="array" ref="E3242">IF(B3242="","",_xlfn.XLOOKUP(B3242,'Form responses 1'!$B$2:$B$2604,'Form responses 1'!$C$2:$C$2604,""))</f>
        <v/>
      </c>
      <c r="F3242" s="44" t="str">
        <f t="array" ref="F3242">IF(B3242="","",_xlfn.XLOOKUP(B3242,'Form responses 1'!$B$2:$B$2604,'Form responses 1'!$D$2:$D$2604,""))</f>
        <v/>
      </c>
      <c r="G3242" s="44" t="str">
        <f t="array" ref="G3242">IF(B3242="","",_xlfn.XLOOKUP(B3242,'Form responses 1'!$B$2:$B$2604,'Form responses 1'!$E$2:$E$2604,""))</f>
        <v/>
      </c>
      <c r="H3242" s="44" t="str">
        <f t="array" ref="H3242">IF(B3242="","",_xlfn.XLOOKUP(B3242,'Form responses 1'!$B$2:$B$2604,'Form responses 1'!$F$2:$F$2604,""))</f>
        <v/>
      </c>
      <c r="I3242" s="44" t="str">
        <f t="array" ref="I3242">IF(B3242="","",_xlfn.XLOOKUP(B3242,'Form responses 1'!$B$2:$B$2604,'Form responses 1'!$I$2:$I$2604,""))</f>
        <v/>
      </c>
      <c r="J3242" s="44" t="str">
        <f t="array" ref="J3242">IF(B3242="","",_xlfn.XLOOKUP(B3242,'Form responses 1'!$B$2:$B$2604,'Form responses 1'!$G$2:$G$2604,""))</f>
        <v/>
      </c>
      <c r="K3242" s="56"/>
      <c r="L3242" s="58" t="str">
        <f t="shared" si="7"/>
        <v/>
      </c>
      <c r="M3242" s="49"/>
      <c r="N3242" s="49"/>
      <c r="O3242" s="49"/>
      <c r="P3242" s="49"/>
      <c r="Q3242" s="49"/>
      <c r="R3242" s="49"/>
      <c r="S3242" s="49"/>
      <c r="T3242" s="49"/>
      <c r="U3242" s="49"/>
      <c r="V3242" s="49"/>
      <c r="W3242" s="56"/>
      <c r="X3242" s="51" t="str">
        <f t="shared" si="5"/>
        <v/>
      </c>
      <c r="Y3242" s="50" t="s">
        <v>482</v>
      </c>
      <c r="Z3242" s="49">
        <f t="shared" si="6"/>
        <v>0</v>
      </c>
    </row>
    <row r="3243" ht="22.5" customHeight="1">
      <c r="B3243" s="57"/>
      <c r="C3243" s="43" t="str">
        <f t="array" ref="C3243">IF(B3243="","",_xlfn.XLOOKUP(B3243,'Form responses 1'!$B$2:$B$2604,'Form responses 1'!$A$2:$A$2604,""))</f>
        <v/>
      </c>
      <c r="D3243" s="44" t="str">
        <f t="shared" si="3"/>
        <v/>
      </c>
      <c r="E3243" s="44" t="str">
        <f t="array" ref="E3243">IF(B3243="","",_xlfn.XLOOKUP(B3243,'Form responses 1'!$B$2:$B$2604,'Form responses 1'!$C$2:$C$2604,""))</f>
        <v/>
      </c>
      <c r="F3243" s="44" t="str">
        <f t="array" ref="F3243">IF(B3243="","",_xlfn.XLOOKUP(B3243,'Form responses 1'!$B$2:$B$2604,'Form responses 1'!$D$2:$D$2604,""))</f>
        <v/>
      </c>
      <c r="G3243" s="44" t="str">
        <f t="array" ref="G3243">IF(B3243="","",_xlfn.XLOOKUP(B3243,'Form responses 1'!$B$2:$B$2604,'Form responses 1'!$E$2:$E$2604,""))</f>
        <v/>
      </c>
      <c r="H3243" s="44" t="str">
        <f t="array" ref="H3243">IF(B3243="","",_xlfn.XLOOKUP(B3243,'Form responses 1'!$B$2:$B$2604,'Form responses 1'!$F$2:$F$2604,""))</f>
        <v/>
      </c>
      <c r="I3243" s="44" t="str">
        <f t="array" ref="I3243">IF(B3243="","",_xlfn.XLOOKUP(B3243,'Form responses 1'!$B$2:$B$2604,'Form responses 1'!$I$2:$I$2604,""))</f>
        <v/>
      </c>
      <c r="J3243" s="44" t="str">
        <f t="array" ref="J3243">IF(B3243="","",_xlfn.XLOOKUP(B3243,'Form responses 1'!$B$2:$B$2604,'Form responses 1'!$G$2:$G$2604,""))</f>
        <v/>
      </c>
      <c r="K3243" s="56"/>
      <c r="L3243" s="58" t="str">
        <f t="shared" si="7"/>
        <v/>
      </c>
      <c r="M3243" s="49"/>
      <c r="N3243" s="49"/>
      <c r="O3243" s="49"/>
      <c r="P3243" s="49"/>
      <c r="Q3243" s="49"/>
      <c r="R3243" s="49"/>
      <c r="S3243" s="49"/>
      <c r="T3243" s="49"/>
      <c r="U3243" s="49"/>
      <c r="V3243" s="49"/>
      <c r="W3243" s="56"/>
      <c r="X3243" s="51" t="str">
        <f t="shared" si="5"/>
        <v/>
      </c>
      <c r="Y3243" s="50" t="s">
        <v>482</v>
      </c>
      <c r="Z3243" s="49">
        <f t="shared" si="6"/>
        <v>0</v>
      </c>
    </row>
    <row r="3244" ht="22.5" customHeight="1">
      <c r="B3244" s="57"/>
      <c r="C3244" s="43" t="str">
        <f t="array" ref="C3244">IF(B3244="","",_xlfn.XLOOKUP(B3244,'Form responses 1'!$B$2:$B$2604,'Form responses 1'!$A$2:$A$2604,""))</f>
        <v/>
      </c>
      <c r="D3244" s="44" t="str">
        <f t="shared" si="3"/>
        <v/>
      </c>
      <c r="E3244" s="44" t="str">
        <f t="array" ref="E3244">IF(B3244="","",_xlfn.XLOOKUP(B3244,'Form responses 1'!$B$2:$B$2604,'Form responses 1'!$C$2:$C$2604,""))</f>
        <v/>
      </c>
      <c r="F3244" s="44" t="str">
        <f t="array" ref="F3244">IF(B3244="","",_xlfn.XLOOKUP(B3244,'Form responses 1'!$B$2:$B$2604,'Form responses 1'!$D$2:$D$2604,""))</f>
        <v/>
      </c>
      <c r="G3244" s="44" t="str">
        <f t="array" ref="G3244">IF(B3244="","",_xlfn.XLOOKUP(B3244,'Form responses 1'!$B$2:$B$2604,'Form responses 1'!$E$2:$E$2604,""))</f>
        <v/>
      </c>
      <c r="H3244" s="44" t="str">
        <f t="array" ref="H3244">IF(B3244="","",_xlfn.XLOOKUP(B3244,'Form responses 1'!$B$2:$B$2604,'Form responses 1'!$F$2:$F$2604,""))</f>
        <v/>
      </c>
      <c r="I3244" s="44" t="str">
        <f t="array" ref="I3244">IF(B3244="","",_xlfn.XLOOKUP(B3244,'Form responses 1'!$B$2:$B$2604,'Form responses 1'!$I$2:$I$2604,""))</f>
        <v/>
      </c>
      <c r="J3244" s="44" t="str">
        <f t="array" ref="J3244">IF(B3244="","",_xlfn.XLOOKUP(B3244,'Form responses 1'!$B$2:$B$2604,'Form responses 1'!$G$2:$G$2604,""))</f>
        <v/>
      </c>
      <c r="K3244" s="56"/>
      <c r="L3244" s="58" t="str">
        <f t="shared" si="7"/>
        <v/>
      </c>
      <c r="M3244" s="49"/>
      <c r="N3244" s="49"/>
      <c r="O3244" s="49"/>
      <c r="P3244" s="49"/>
      <c r="Q3244" s="49"/>
      <c r="R3244" s="49"/>
      <c r="S3244" s="49"/>
      <c r="T3244" s="49"/>
      <c r="U3244" s="49"/>
      <c r="V3244" s="49"/>
      <c r="W3244" s="56"/>
      <c r="X3244" s="51" t="str">
        <f t="shared" si="5"/>
        <v/>
      </c>
      <c r="Y3244" s="50" t="s">
        <v>482</v>
      </c>
      <c r="Z3244" s="49">
        <f t="shared" si="6"/>
        <v>0</v>
      </c>
    </row>
    <row r="3245" ht="22.5" customHeight="1">
      <c r="B3245" s="57"/>
      <c r="C3245" s="43" t="str">
        <f t="array" ref="C3245">IF(B3245="","",_xlfn.XLOOKUP(B3245,'Form responses 1'!$B$2:$B$2604,'Form responses 1'!$A$2:$A$2604,""))</f>
        <v/>
      </c>
      <c r="D3245" s="44" t="str">
        <f t="shared" si="3"/>
        <v/>
      </c>
      <c r="E3245" s="44" t="str">
        <f t="array" ref="E3245">IF(B3245="","",_xlfn.XLOOKUP(B3245,'Form responses 1'!$B$2:$B$2604,'Form responses 1'!$C$2:$C$2604,""))</f>
        <v/>
      </c>
      <c r="F3245" s="44" t="str">
        <f t="array" ref="F3245">IF(B3245="","",_xlfn.XLOOKUP(B3245,'Form responses 1'!$B$2:$B$2604,'Form responses 1'!$D$2:$D$2604,""))</f>
        <v/>
      </c>
      <c r="G3245" s="44" t="str">
        <f t="array" ref="G3245">IF(B3245="","",_xlfn.XLOOKUP(B3245,'Form responses 1'!$B$2:$B$2604,'Form responses 1'!$E$2:$E$2604,""))</f>
        <v/>
      </c>
      <c r="H3245" s="44" t="str">
        <f t="array" ref="H3245">IF(B3245="","",_xlfn.XLOOKUP(B3245,'Form responses 1'!$B$2:$B$2604,'Form responses 1'!$F$2:$F$2604,""))</f>
        <v/>
      </c>
      <c r="I3245" s="44" t="str">
        <f t="array" ref="I3245">IF(B3245="","",_xlfn.XLOOKUP(B3245,'Form responses 1'!$B$2:$B$2604,'Form responses 1'!$I$2:$I$2604,""))</f>
        <v/>
      </c>
      <c r="J3245" s="44" t="str">
        <f t="array" ref="J3245">IF(B3245="","",_xlfn.XLOOKUP(B3245,'Form responses 1'!$B$2:$B$2604,'Form responses 1'!$G$2:$G$2604,""))</f>
        <v/>
      </c>
      <c r="K3245" s="56"/>
      <c r="L3245" s="58" t="str">
        <f t="shared" si="7"/>
        <v/>
      </c>
      <c r="M3245" s="49"/>
      <c r="N3245" s="49"/>
      <c r="O3245" s="49"/>
      <c r="P3245" s="49"/>
      <c r="Q3245" s="49"/>
      <c r="R3245" s="49"/>
      <c r="S3245" s="49"/>
      <c r="T3245" s="49"/>
      <c r="U3245" s="49"/>
      <c r="V3245" s="49"/>
      <c r="W3245" s="56"/>
      <c r="X3245" s="51" t="str">
        <f t="shared" si="5"/>
        <v/>
      </c>
      <c r="Y3245" s="50" t="s">
        <v>482</v>
      </c>
      <c r="Z3245" s="49">
        <f t="shared" si="6"/>
        <v>0</v>
      </c>
    </row>
    <row r="3246" ht="22.5" customHeight="1">
      <c r="B3246" s="57"/>
      <c r="C3246" s="43" t="str">
        <f t="array" ref="C3246">IF(B3246="","",_xlfn.XLOOKUP(B3246,'Form responses 1'!$B$2:$B$2604,'Form responses 1'!$A$2:$A$2604,""))</f>
        <v/>
      </c>
      <c r="D3246" s="44" t="str">
        <f t="shared" si="3"/>
        <v/>
      </c>
      <c r="E3246" s="44" t="str">
        <f t="array" ref="E3246">IF(B3246="","",_xlfn.XLOOKUP(B3246,'Form responses 1'!$B$2:$B$2604,'Form responses 1'!$C$2:$C$2604,""))</f>
        <v/>
      </c>
      <c r="F3246" s="44" t="str">
        <f t="array" ref="F3246">IF(B3246="","",_xlfn.XLOOKUP(B3246,'Form responses 1'!$B$2:$B$2604,'Form responses 1'!$D$2:$D$2604,""))</f>
        <v/>
      </c>
      <c r="G3246" s="44" t="str">
        <f t="array" ref="G3246">IF(B3246="","",_xlfn.XLOOKUP(B3246,'Form responses 1'!$B$2:$B$2604,'Form responses 1'!$E$2:$E$2604,""))</f>
        <v/>
      </c>
      <c r="H3246" s="44" t="str">
        <f t="array" ref="H3246">IF(B3246="","",_xlfn.XLOOKUP(B3246,'Form responses 1'!$B$2:$B$2604,'Form responses 1'!$F$2:$F$2604,""))</f>
        <v/>
      </c>
      <c r="I3246" s="44" t="str">
        <f t="array" ref="I3246">IF(B3246="","",_xlfn.XLOOKUP(B3246,'Form responses 1'!$B$2:$B$2604,'Form responses 1'!$I$2:$I$2604,""))</f>
        <v/>
      </c>
      <c r="J3246" s="44" t="str">
        <f t="array" ref="J3246">IF(B3246="","",_xlfn.XLOOKUP(B3246,'Form responses 1'!$B$2:$B$2604,'Form responses 1'!$G$2:$G$2604,""))</f>
        <v/>
      </c>
      <c r="K3246" s="56"/>
      <c r="L3246" s="58" t="str">
        <f t="shared" si="7"/>
        <v/>
      </c>
      <c r="M3246" s="49"/>
      <c r="N3246" s="49"/>
      <c r="O3246" s="49"/>
      <c r="P3246" s="49"/>
      <c r="Q3246" s="49"/>
      <c r="R3246" s="49"/>
      <c r="S3246" s="49"/>
      <c r="T3246" s="49"/>
      <c r="U3246" s="49"/>
      <c r="V3246" s="49"/>
      <c r="W3246" s="56"/>
      <c r="X3246" s="51" t="str">
        <f t="shared" si="5"/>
        <v/>
      </c>
      <c r="Y3246" s="50" t="s">
        <v>482</v>
      </c>
      <c r="Z3246" s="49">
        <f t="shared" si="6"/>
        <v>0</v>
      </c>
    </row>
    <row r="3247" ht="22.5" customHeight="1">
      <c r="B3247" s="57"/>
      <c r="C3247" s="43" t="str">
        <f t="array" ref="C3247">IF(B3247="","",_xlfn.XLOOKUP(B3247,'Form responses 1'!$B$2:$B$2604,'Form responses 1'!$A$2:$A$2604,""))</f>
        <v/>
      </c>
      <c r="D3247" s="44" t="str">
        <f t="shared" si="3"/>
        <v/>
      </c>
      <c r="E3247" s="44" t="str">
        <f t="array" ref="E3247">IF(B3247="","",_xlfn.XLOOKUP(B3247,'Form responses 1'!$B$2:$B$2604,'Form responses 1'!$C$2:$C$2604,""))</f>
        <v/>
      </c>
      <c r="F3247" s="44" t="str">
        <f t="array" ref="F3247">IF(B3247="","",_xlfn.XLOOKUP(B3247,'Form responses 1'!$B$2:$B$2604,'Form responses 1'!$D$2:$D$2604,""))</f>
        <v/>
      </c>
      <c r="G3247" s="44" t="str">
        <f t="array" ref="G3247">IF(B3247="","",_xlfn.XLOOKUP(B3247,'Form responses 1'!$B$2:$B$2604,'Form responses 1'!$E$2:$E$2604,""))</f>
        <v/>
      </c>
      <c r="H3247" s="44" t="str">
        <f t="array" ref="H3247">IF(B3247="","",_xlfn.XLOOKUP(B3247,'Form responses 1'!$B$2:$B$2604,'Form responses 1'!$F$2:$F$2604,""))</f>
        <v/>
      </c>
      <c r="I3247" s="44" t="str">
        <f t="array" ref="I3247">IF(B3247="","",_xlfn.XLOOKUP(B3247,'Form responses 1'!$B$2:$B$2604,'Form responses 1'!$I$2:$I$2604,""))</f>
        <v/>
      </c>
      <c r="J3247" s="44" t="str">
        <f t="array" ref="J3247">IF(B3247="","",_xlfn.XLOOKUP(B3247,'Form responses 1'!$B$2:$B$2604,'Form responses 1'!$G$2:$G$2604,""))</f>
        <v/>
      </c>
      <c r="K3247" s="56"/>
      <c r="L3247" s="58" t="str">
        <f t="shared" si="7"/>
        <v/>
      </c>
      <c r="M3247" s="49"/>
      <c r="N3247" s="49"/>
      <c r="O3247" s="49"/>
      <c r="P3247" s="49"/>
      <c r="Q3247" s="49"/>
      <c r="R3247" s="49"/>
      <c r="S3247" s="49"/>
      <c r="T3247" s="49"/>
      <c r="U3247" s="49"/>
      <c r="V3247" s="49"/>
      <c r="W3247" s="56"/>
      <c r="X3247" s="51" t="str">
        <f t="shared" si="5"/>
        <v/>
      </c>
      <c r="Y3247" s="50" t="s">
        <v>482</v>
      </c>
      <c r="Z3247" s="49">
        <f t="shared" si="6"/>
        <v>0</v>
      </c>
    </row>
    <row r="3248" ht="22.5" customHeight="1">
      <c r="B3248" s="57"/>
      <c r="C3248" s="43" t="str">
        <f t="array" ref="C3248">IF(B3248="","",_xlfn.XLOOKUP(B3248,'Form responses 1'!$B$2:$B$2604,'Form responses 1'!$A$2:$A$2604,""))</f>
        <v/>
      </c>
      <c r="D3248" s="44" t="str">
        <f t="shared" si="3"/>
        <v/>
      </c>
      <c r="E3248" s="44" t="str">
        <f t="array" ref="E3248">IF(B3248="","",_xlfn.XLOOKUP(B3248,'Form responses 1'!$B$2:$B$2604,'Form responses 1'!$C$2:$C$2604,""))</f>
        <v/>
      </c>
      <c r="F3248" s="44" t="str">
        <f t="array" ref="F3248">IF(B3248="","",_xlfn.XLOOKUP(B3248,'Form responses 1'!$B$2:$B$2604,'Form responses 1'!$D$2:$D$2604,""))</f>
        <v/>
      </c>
      <c r="G3248" s="44" t="str">
        <f t="array" ref="G3248">IF(B3248="","",_xlfn.XLOOKUP(B3248,'Form responses 1'!$B$2:$B$2604,'Form responses 1'!$E$2:$E$2604,""))</f>
        <v/>
      </c>
      <c r="H3248" s="44" t="str">
        <f t="array" ref="H3248">IF(B3248="","",_xlfn.XLOOKUP(B3248,'Form responses 1'!$B$2:$B$2604,'Form responses 1'!$F$2:$F$2604,""))</f>
        <v/>
      </c>
      <c r="I3248" s="44" t="str">
        <f t="array" ref="I3248">IF(B3248="","",_xlfn.XLOOKUP(B3248,'Form responses 1'!$B$2:$B$2604,'Form responses 1'!$I$2:$I$2604,""))</f>
        <v/>
      </c>
      <c r="J3248" s="44" t="str">
        <f t="array" ref="J3248">IF(B3248="","",_xlfn.XLOOKUP(B3248,'Form responses 1'!$B$2:$B$2604,'Form responses 1'!$G$2:$G$2604,""))</f>
        <v/>
      </c>
      <c r="K3248" s="56"/>
      <c r="L3248" s="58" t="str">
        <f t="shared" si="7"/>
        <v/>
      </c>
      <c r="M3248" s="49"/>
      <c r="N3248" s="49"/>
      <c r="O3248" s="49"/>
      <c r="P3248" s="49"/>
      <c r="Q3248" s="49"/>
      <c r="R3248" s="49"/>
      <c r="S3248" s="49"/>
      <c r="T3248" s="49"/>
      <c r="U3248" s="49"/>
      <c r="V3248" s="49"/>
      <c r="W3248" s="56"/>
      <c r="X3248" s="51" t="str">
        <f t="shared" si="5"/>
        <v/>
      </c>
      <c r="Y3248" s="50" t="s">
        <v>482</v>
      </c>
      <c r="Z3248" s="49">
        <f t="shared" si="6"/>
        <v>0</v>
      </c>
    </row>
    <row r="3249" ht="22.5" customHeight="1">
      <c r="B3249" s="57"/>
      <c r="C3249" s="43" t="str">
        <f t="array" ref="C3249">IF(B3249="","",_xlfn.XLOOKUP(B3249,'Form responses 1'!$B$2:$B$2604,'Form responses 1'!$A$2:$A$2604,""))</f>
        <v/>
      </c>
      <c r="D3249" s="44" t="str">
        <f t="shared" si="3"/>
        <v/>
      </c>
      <c r="E3249" s="44" t="str">
        <f t="array" ref="E3249">IF(B3249="","",_xlfn.XLOOKUP(B3249,'Form responses 1'!$B$2:$B$2604,'Form responses 1'!$C$2:$C$2604,""))</f>
        <v/>
      </c>
      <c r="F3249" s="44" t="str">
        <f t="array" ref="F3249">IF(B3249="","",_xlfn.XLOOKUP(B3249,'Form responses 1'!$B$2:$B$2604,'Form responses 1'!$D$2:$D$2604,""))</f>
        <v/>
      </c>
      <c r="G3249" s="44" t="str">
        <f t="array" ref="G3249">IF(B3249="","",_xlfn.XLOOKUP(B3249,'Form responses 1'!$B$2:$B$2604,'Form responses 1'!$E$2:$E$2604,""))</f>
        <v/>
      </c>
      <c r="H3249" s="44" t="str">
        <f t="array" ref="H3249">IF(B3249="","",_xlfn.XLOOKUP(B3249,'Form responses 1'!$B$2:$B$2604,'Form responses 1'!$F$2:$F$2604,""))</f>
        <v/>
      </c>
      <c r="I3249" s="44" t="str">
        <f t="array" ref="I3249">IF(B3249="","",_xlfn.XLOOKUP(B3249,'Form responses 1'!$B$2:$B$2604,'Form responses 1'!$I$2:$I$2604,""))</f>
        <v/>
      </c>
      <c r="J3249" s="44" t="str">
        <f t="array" ref="J3249">IF(B3249="","",_xlfn.XLOOKUP(B3249,'Form responses 1'!$B$2:$B$2604,'Form responses 1'!$G$2:$G$2604,""))</f>
        <v/>
      </c>
      <c r="K3249" s="56"/>
      <c r="L3249" s="58" t="str">
        <f t="shared" si="7"/>
        <v/>
      </c>
      <c r="M3249" s="49"/>
      <c r="N3249" s="49"/>
      <c r="O3249" s="49"/>
      <c r="P3249" s="49"/>
      <c r="Q3249" s="49"/>
      <c r="R3249" s="49"/>
      <c r="S3249" s="49"/>
      <c r="T3249" s="49"/>
      <c r="U3249" s="49"/>
      <c r="V3249" s="49"/>
      <c r="W3249" s="56"/>
      <c r="X3249" s="51" t="str">
        <f t="shared" si="5"/>
        <v/>
      </c>
      <c r="Y3249" s="50" t="s">
        <v>482</v>
      </c>
      <c r="Z3249" s="49">
        <f t="shared" si="6"/>
        <v>0</v>
      </c>
    </row>
    <row r="3250" ht="22.5" customHeight="1">
      <c r="B3250" s="57"/>
      <c r="C3250" s="43" t="str">
        <f t="array" ref="C3250">IF(B3250="","",_xlfn.XLOOKUP(B3250,'Form responses 1'!$B$2:$B$2604,'Form responses 1'!$A$2:$A$2604,""))</f>
        <v/>
      </c>
      <c r="D3250" s="44" t="str">
        <f t="shared" si="3"/>
        <v/>
      </c>
      <c r="E3250" s="44" t="str">
        <f t="array" ref="E3250">IF(B3250="","",_xlfn.XLOOKUP(B3250,'Form responses 1'!$B$2:$B$2604,'Form responses 1'!$C$2:$C$2604,""))</f>
        <v/>
      </c>
      <c r="F3250" s="44" t="str">
        <f t="array" ref="F3250">IF(B3250="","",_xlfn.XLOOKUP(B3250,'Form responses 1'!$B$2:$B$2604,'Form responses 1'!$D$2:$D$2604,""))</f>
        <v/>
      </c>
      <c r="G3250" s="44" t="str">
        <f t="array" ref="G3250">IF(B3250="","",_xlfn.XLOOKUP(B3250,'Form responses 1'!$B$2:$B$2604,'Form responses 1'!$E$2:$E$2604,""))</f>
        <v/>
      </c>
      <c r="H3250" s="44" t="str">
        <f t="array" ref="H3250">IF(B3250="","",_xlfn.XLOOKUP(B3250,'Form responses 1'!$B$2:$B$2604,'Form responses 1'!$F$2:$F$2604,""))</f>
        <v/>
      </c>
      <c r="I3250" s="44" t="str">
        <f t="array" ref="I3250">IF(B3250="","",_xlfn.XLOOKUP(B3250,'Form responses 1'!$B$2:$B$2604,'Form responses 1'!$I$2:$I$2604,""))</f>
        <v/>
      </c>
      <c r="J3250" s="44" t="str">
        <f t="array" ref="J3250">IF(B3250="","",_xlfn.XLOOKUP(B3250,'Form responses 1'!$B$2:$B$2604,'Form responses 1'!$G$2:$G$2604,""))</f>
        <v/>
      </c>
      <c r="K3250" s="56"/>
      <c r="L3250" s="58" t="str">
        <f t="shared" si="7"/>
        <v/>
      </c>
      <c r="M3250" s="49"/>
      <c r="N3250" s="49"/>
      <c r="O3250" s="49"/>
      <c r="P3250" s="49"/>
      <c r="Q3250" s="49"/>
      <c r="R3250" s="49"/>
      <c r="S3250" s="49"/>
      <c r="T3250" s="49"/>
      <c r="U3250" s="49"/>
      <c r="V3250" s="49"/>
      <c r="W3250" s="56"/>
      <c r="X3250" s="51" t="str">
        <f t="shared" si="5"/>
        <v/>
      </c>
      <c r="Y3250" s="50" t="s">
        <v>482</v>
      </c>
      <c r="Z3250" s="49">
        <f t="shared" si="6"/>
        <v>0</v>
      </c>
    </row>
    <row r="3251" ht="22.5" customHeight="1">
      <c r="B3251" s="57"/>
      <c r="C3251" s="43" t="str">
        <f t="array" ref="C3251">IF(B3251="","",_xlfn.XLOOKUP(B3251,'Form responses 1'!$B$2:$B$2604,'Form responses 1'!$A$2:$A$2604,""))</f>
        <v/>
      </c>
      <c r="D3251" s="44" t="str">
        <f t="shared" si="3"/>
        <v/>
      </c>
      <c r="E3251" s="44" t="str">
        <f t="array" ref="E3251">IF(B3251="","",_xlfn.XLOOKUP(B3251,'Form responses 1'!$B$2:$B$2604,'Form responses 1'!$C$2:$C$2604,""))</f>
        <v/>
      </c>
      <c r="F3251" s="44" t="str">
        <f t="array" ref="F3251">IF(B3251="","",_xlfn.XLOOKUP(B3251,'Form responses 1'!$B$2:$B$2604,'Form responses 1'!$D$2:$D$2604,""))</f>
        <v/>
      </c>
      <c r="G3251" s="44" t="str">
        <f t="array" ref="G3251">IF(B3251="","",_xlfn.XLOOKUP(B3251,'Form responses 1'!$B$2:$B$2604,'Form responses 1'!$E$2:$E$2604,""))</f>
        <v/>
      </c>
      <c r="H3251" s="44" t="str">
        <f t="array" ref="H3251">IF(B3251="","",_xlfn.XLOOKUP(B3251,'Form responses 1'!$B$2:$B$2604,'Form responses 1'!$F$2:$F$2604,""))</f>
        <v/>
      </c>
      <c r="I3251" s="44" t="str">
        <f t="array" ref="I3251">IF(B3251="","",_xlfn.XLOOKUP(B3251,'Form responses 1'!$B$2:$B$2604,'Form responses 1'!$I$2:$I$2604,""))</f>
        <v/>
      </c>
      <c r="J3251" s="44" t="str">
        <f t="array" ref="J3251">IF(B3251="","",_xlfn.XLOOKUP(B3251,'Form responses 1'!$B$2:$B$2604,'Form responses 1'!$G$2:$G$2604,""))</f>
        <v/>
      </c>
      <c r="K3251" s="56"/>
      <c r="L3251" s="58" t="str">
        <f t="shared" si="7"/>
        <v/>
      </c>
      <c r="M3251" s="49"/>
      <c r="N3251" s="49"/>
      <c r="O3251" s="49"/>
      <c r="P3251" s="49"/>
      <c r="Q3251" s="49"/>
      <c r="R3251" s="49"/>
      <c r="S3251" s="49"/>
      <c r="T3251" s="49"/>
      <c r="U3251" s="49"/>
      <c r="V3251" s="49"/>
      <c r="W3251" s="56"/>
      <c r="X3251" s="51" t="str">
        <f t="shared" si="5"/>
        <v/>
      </c>
      <c r="Y3251" s="50" t="s">
        <v>482</v>
      </c>
      <c r="Z3251" s="49">
        <f t="shared" si="6"/>
        <v>0</v>
      </c>
    </row>
    <row r="3252" ht="22.5" customHeight="1">
      <c r="B3252" s="57"/>
      <c r="C3252" s="43" t="str">
        <f t="array" ref="C3252">IF(B3252="","",_xlfn.XLOOKUP(B3252,'Form responses 1'!$B$2:$B$2604,'Form responses 1'!$A$2:$A$2604,""))</f>
        <v/>
      </c>
      <c r="D3252" s="44" t="str">
        <f t="shared" si="3"/>
        <v/>
      </c>
      <c r="E3252" s="44" t="str">
        <f t="array" ref="E3252">IF(B3252="","",_xlfn.XLOOKUP(B3252,'Form responses 1'!$B$2:$B$2604,'Form responses 1'!$C$2:$C$2604,""))</f>
        <v/>
      </c>
      <c r="F3252" s="44" t="str">
        <f t="array" ref="F3252">IF(B3252="","",_xlfn.XLOOKUP(B3252,'Form responses 1'!$B$2:$B$2604,'Form responses 1'!$D$2:$D$2604,""))</f>
        <v/>
      </c>
      <c r="G3252" s="44" t="str">
        <f t="array" ref="G3252">IF(B3252="","",_xlfn.XLOOKUP(B3252,'Form responses 1'!$B$2:$B$2604,'Form responses 1'!$E$2:$E$2604,""))</f>
        <v/>
      </c>
      <c r="H3252" s="44" t="str">
        <f t="array" ref="H3252">IF(B3252="","",_xlfn.XLOOKUP(B3252,'Form responses 1'!$B$2:$B$2604,'Form responses 1'!$F$2:$F$2604,""))</f>
        <v/>
      </c>
      <c r="I3252" s="44" t="str">
        <f t="array" ref="I3252">IF(B3252="","",_xlfn.XLOOKUP(B3252,'Form responses 1'!$B$2:$B$2604,'Form responses 1'!$I$2:$I$2604,""))</f>
        <v/>
      </c>
      <c r="J3252" s="44" t="str">
        <f t="array" ref="J3252">IF(B3252="","",_xlfn.XLOOKUP(B3252,'Form responses 1'!$B$2:$B$2604,'Form responses 1'!$G$2:$G$2604,""))</f>
        <v/>
      </c>
      <c r="K3252" s="56"/>
      <c r="L3252" s="58" t="str">
        <f t="shared" si="7"/>
        <v/>
      </c>
      <c r="M3252" s="49"/>
      <c r="N3252" s="49"/>
      <c r="O3252" s="49"/>
      <c r="P3252" s="49"/>
      <c r="Q3252" s="49"/>
      <c r="R3252" s="49"/>
      <c r="S3252" s="49"/>
      <c r="T3252" s="49"/>
      <c r="U3252" s="49"/>
      <c r="V3252" s="49"/>
      <c r="W3252" s="56"/>
      <c r="X3252" s="51" t="str">
        <f t="shared" si="5"/>
        <v/>
      </c>
      <c r="Y3252" s="50" t="s">
        <v>482</v>
      </c>
      <c r="Z3252" s="49">
        <f t="shared" si="6"/>
        <v>0</v>
      </c>
    </row>
    <row r="3253" ht="22.5" customHeight="1">
      <c r="B3253" s="57"/>
      <c r="C3253" s="43" t="str">
        <f t="array" ref="C3253">IF(B3253="","",_xlfn.XLOOKUP(B3253,'Form responses 1'!$B$2:$B$2604,'Form responses 1'!$A$2:$A$2604,""))</f>
        <v/>
      </c>
      <c r="D3253" s="44" t="str">
        <f t="shared" si="3"/>
        <v/>
      </c>
      <c r="E3253" s="44" t="str">
        <f t="array" ref="E3253">IF(B3253="","",_xlfn.XLOOKUP(B3253,'Form responses 1'!$B$2:$B$2604,'Form responses 1'!$C$2:$C$2604,""))</f>
        <v/>
      </c>
      <c r="F3253" s="44" t="str">
        <f t="array" ref="F3253">IF(B3253="","",_xlfn.XLOOKUP(B3253,'Form responses 1'!$B$2:$B$2604,'Form responses 1'!$D$2:$D$2604,""))</f>
        <v/>
      </c>
      <c r="G3253" s="44" t="str">
        <f t="array" ref="G3253">IF(B3253="","",_xlfn.XLOOKUP(B3253,'Form responses 1'!$B$2:$B$2604,'Form responses 1'!$E$2:$E$2604,""))</f>
        <v/>
      </c>
      <c r="H3253" s="44" t="str">
        <f t="array" ref="H3253">IF(B3253="","",_xlfn.XLOOKUP(B3253,'Form responses 1'!$B$2:$B$2604,'Form responses 1'!$F$2:$F$2604,""))</f>
        <v/>
      </c>
      <c r="I3253" s="44" t="str">
        <f t="array" ref="I3253">IF(B3253="","",_xlfn.XLOOKUP(B3253,'Form responses 1'!$B$2:$B$2604,'Form responses 1'!$I$2:$I$2604,""))</f>
        <v/>
      </c>
      <c r="J3253" s="44" t="str">
        <f t="array" ref="J3253">IF(B3253="","",_xlfn.XLOOKUP(B3253,'Form responses 1'!$B$2:$B$2604,'Form responses 1'!$G$2:$G$2604,""))</f>
        <v/>
      </c>
      <c r="K3253" s="56"/>
      <c r="L3253" s="58" t="str">
        <f t="shared" si="7"/>
        <v/>
      </c>
      <c r="M3253" s="49"/>
      <c r="N3253" s="49"/>
      <c r="O3253" s="49"/>
      <c r="P3253" s="49"/>
      <c r="Q3253" s="49"/>
      <c r="R3253" s="49"/>
      <c r="S3253" s="49"/>
      <c r="T3253" s="49"/>
      <c r="U3253" s="49"/>
      <c r="V3253" s="49"/>
      <c r="W3253" s="56"/>
      <c r="X3253" s="51" t="str">
        <f t="shared" si="5"/>
        <v/>
      </c>
      <c r="Y3253" s="50" t="s">
        <v>482</v>
      </c>
      <c r="Z3253" s="49">
        <f t="shared" si="6"/>
        <v>0</v>
      </c>
    </row>
    <row r="3254" ht="22.5" customHeight="1">
      <c r="B3254" s="57"/>
      <c r="C3254" s="43" t="str">
        <f t="array" ref="C3254">IF(B3254="","",_xlfn.XLOOKUP(B3254,'Form responses 1'!$B$2:$B$2604,'Form responses 1'!$A$2:$A$2604,""))</f>
        <v/>
      </c>
      <c r="D3254" s="44" t="str">
        <f t="shared" si="3"/>
        <v/>
      </c>
      <c r="E3254" s="44" t="str">
        <f t="array" ref="E3254">IF(B3254="","",_xlfn.XLOOKUP(B3254,'Form responses 1'!$B$2:$B$2604,'Form responses 1'!$C$2:$C$2604,""))</f>
        <v/>
      </c>
      <c r="F3254" s="44" t="str">
        <f t="array" ref="F3254">IF(B3254="","",_xlfn.XLOOKUP(B3254,'Form responses 1'!$B$2:$B$2604,'Form responses 1'!$D$2:$D$2604,""))</f>
        <v/>
      </c>
      <c r="G3254" s="44" t="str">
        <f t="array" ref="G3254">IF(B3254="","",_xlfn.XLOOKUP(B3254,'Form responses 1'!$B$2:$B$2604,'Form responses 1'!$E$2:$E$2604,""))</f>
        <v/>
      </c>
      <c r="H3254" s="44" t="str">
        <f t="array" ref="H3254">IF(B3254="","",_xlfn.XLOOKUP(B3254,'Form responses 1'!$B$2:$B$2604,'Form responses 1'!$F$2:$F$2604,""))</f>
        <v/>
      </c>
      <c r="I3254" s="44" t="str">
        <f t="array" ref="I3254">IF(B3254="","",_xlfn.XLOOKUP(B3254,'Form responses 1'!$B$2:$B$2604,'Form responses 1'!$I$2:$I$2604,""))</f>
        <v/>
      </c>
      <c r="J3254" s="44" t="str">
        <f t="array" ref="J3254">IF(B3254="","",_xlfn.XLOOKUP(B3254,'Form responses 1'!$B$2:$B$2604,'Form responses 1'!$G$2:$G$2604,""))</f>
        <v/>
      </c>
      <c r="K3254" s="56"/>
      <c r="L3254" s="58" t="str">
        <f t="shared" si="7"/>
        <v/>
      </c>
      <c r="M3254" s="49"/>
      <c r="N3254" s="49"/>
      <c r="O3254" s="49"/>
      <c r="P3254" s="49"/>
      <c r="Q3254" s="49"/>
      <c r="R3254" s="49"/>
      <c r="S3254" s="49"/>
      <c r="T3254" s="49"/>
      <c r="U3254" s="49"/>
      <c r="V3254" s="49"/>
      <c r="W3254" s="56"/>
      <c r="X3254" s="51" t="str">
        <f t="shared" si="5"/>
        <v/>
      </c>
      <c r="Y3254" s="50" t="s">
        <v>482</v>
      </c>
      <c r="Z3254" s="49">
        <f t="shared" si="6"/>
        <v>0</v>
      </c>
    </row>
    <row r="3255" ht="22.5" customHeight="1">
      <c r="B3255" s="57"/>
      <c r="C3255" s="43" t="str">
        <f t="array" ref="C3255">IF(B3255="","",_xlfn.XLOOKUP(B3255,'Form responses 1'!$B$2:$B$2604,'Form responses 1'!$A$2:$A$2604,""))</f>
        <v/>
      </c>
      <c r="D3255" s="44" t="str">
        <f t="shared" si="3"/>
        <v/>
      </c>
      <c r="E3255" s="44" t="str">
        <f t="array" ref="E3255">IF(B3255="","",_xlfn.XLOOKUP(B3255,'Form responses 1'!$B$2:$B$2604,'Form responses 1'!$C$2:$C$2604,""))</f>
        <v/>
      </c>
      <c r="F3255" s="44" t="str">
        <f t="array" ref="F3255">IF(B3255="","",_xlfn.XLOOKUP(B3255,'Form responses 1'!$B$2:$B$2604,'Form responses 1'!$D$2:$D$2604,""))</f>
        <v/>
      </c>
      <c r="G3255" s="44" t="str">
        <f t="array" ref="G3255">IF(B3255="","",_xlfn.XLOOKUP(B3255,'Form responses 1'!$B$2:$B$2604,'Form responses 1'!$E$2:$E$2604,""))</f>
        <v/>
      </c>
      <c r="H3255" s="44" t="str">
        <f t="array" ref="H3255">IF(B3255="","",_xlfn.XLOOKUP(B3255,'Form responses 1'!$B$2:$B$2604,'Form responses 1'!$F$2:$F$2604,""))</f>
        <v/>
      </c>
      <c r="I3255" s="44" t="str">
        <f t="array" ref="I3255">IF(B3255="","",_xlfn.XLOOKUP(B3255,'Form responses 1'!$B$2:$B$2604,'Form responses 1'!$I$2:$I$2604,""))</f>
        <v/>
      </c>
      <c r="J3255" s="44" t="str">
        <f t="array" ref="J3255">IF(B3255="","",_xlfn.XLOOKUP(B3255,'Form responses 1'!$B$2:$B$2604,'Form responses 1'!$G$2:$G$2604,""))</f>
        <v/>
      </c>
      <c r="K3255" s="56"/>
      <c r="L3255" s="58" t="str">
        <f t="shared" si="7"/>
        <v/>
      </c>
      <c r="M3255" s="49"/>
      <c r="N3255" s="49"/>
      <c r="O3255" s="49"/>
      <c r="P3255" s="49"/>
      <c r="Q3255" s="49"/>
      <c r="R3255" s="49"/>
      <c r="S3255" s="49"/>
      <c r="T3255" s="49"/>
      <c r="U3255" s="49"/>
      <c r="V3255" s="49"/>
      <c r="W3255" s="56"/>
      <c r="X3255" s="51" t="str">
        <f t="shared" si="5"/>
        <v/>
      </c>
      <c r="Y3255" s="50" t="s">
        <v>482</v>
      </c>
      <c r="Z3255" s="49">
        <f t="shared" si="6"/>
        <v>0</v>
      </c>
    </row>
    <row r="3256" ht="22.5" customHeight="1">
      <c r="B3256" s="57"/>
      <c r="C3256" s="43" t="str">
        <f t="array" ref="C3256">IF(B3256="","",_xlfn.XLOOKUP(B3256,'Form responses 1'!$B$2:$B$2604,'Form responses 1'!$A$2:$A$2604,""))</f>
        <v/>
      </c>
      <c r="D3256" s="44" t="str">
        <f t="shared" si="3"/>
        <v/>
      </c>
      <c r="E3256" s="44" t="str">
        <f t="array" ref="E3256">IF(B3256="","",_xlfn.XLOOKUP(B3256,'Form responses 1'!$B$2:$B$2604,'Form responses 1'!$C$2:$C$2604,""))</f>
        <v/>
      </c>
      <c r="F3256" s="44" t="str">
        <f t="array" ref="F3256">IF(B3256="","",_xlfn.XLOOKUP(B3256,'Form responses 1'!$B$2:$B$2604,'Form responses 1'!$D$2:$D$2604,""))</f>
        <v/>
      </c>
      <c r="G3256" s="44" t="str">
        <f t="array" ref="G3256">IF(B3256="","",_xlfn.XLOOKUP(B3256,'Form responses 1'!$B$2:$B$2604,'Form responses 1'!$E$2:$E$2604,""))</f>
        <v/>
      </c>
      <c r="H3256" s="44" t="str">
        <f t="array" ref="H3256">IF(B3256="","",_xlfn.XLOOKUP(B3256,'Form responses 1'!$B$2:$B$2604,'Form responses 1'!$F$2:$F$2604,""))</f>
        <v/>
      </c>
      <c r="I3256" s="44" t="str">
        <f t="array" ref="I3256">IF(B3256="","",_xlfn.XLOOKUP(B3256,'Form responses 1'!$B$2:$B$2604,'Form responses 1'!$I$2:$I$2604,""))</f>
        <v/>
      </c>
      <c r="J3256" s="44" t="str">
        <f t="array" ref="J3256">IF(B3256="","",_xlfn.XLOOKUP(B3256,'Form responses 1'!$B$2:$B$2604,'Form responses 1'!$G$2:$G$2604,""))</f>
        <v/>
      </c>
      <c r="K3256" s="56"/>
      <c r="L3256" s="58" t="str">
        <f t="shared" si="7"/>
        <v/>
      </c>
      <c r="M3256" s="49"/>
      <c r="N3256" s="49"/>
      <c r="O3256" s="49"/>
      <c r="P3256" s="49"/>
      <c r="Q3256" s="49"/>
      <c r="R3256" s="49"/>
      <c r="S3256" s="49"/>
      <c r="T3256" s="49"/>
      <c r="U3256" s="49"/>
      <c r="V3256" s="49"/>
      <c r="W3256" s="56"/>
      <c r="X3256" s="51" t="str">
        <f t="shared" si="5"/>
        <v/>
      </c>
      <c r="Y3256" s="50" t="s">
        <v>482</v>
      </c>
      <c r="Z3256" s="49">
        <f t="shared" si="6"/>
        <v>0</v>
      </c>
    </row>
    <row r="3257" ht="22.5" customHeight="1">
      <c r="B3257" s="57"/>
      <c r="C3257" s="43" t="str">
        <f t="array" ref="C3257">IF(B3257="","",_xlfn.XLOOKUP(B3257,'Form responses 1'!$B$2:$B$2604,'Form responses 1'!$A$2:$A$2604,""))</f>
        <v/>
      </c>
      <c r="D3257" s="44" t="str">
        <f t="shared" si="3"/>
        <v/>
      </c>
      <c r="E3257" s="44" t="str">
        <f t="array" ref="E3257">IF(B3257="","",_xlfn.XLOOKUP(B3257,'Form responses 1'!$B$2:$B$2604,'Form responses 1'!$C$2:$C$2604,""))</f>
        <v/>
      </c>
      <c r="F3257" s="44" t="str">
        <f t="array" ref="F3257">IF(B3257="","",_xlfn.XLOOKUP(B3257,'Form responses 1'!$B$2:$B$2604,'Form responses 1'!$D$2:$D$2604,""))</f>
        <v/>
      </c>
      <c r="G3257" s="44" t="str">
        <f t="array" ref="G3257">IF(B3257="","",_xlfn.XLOOKUP(B3257,'Form responses 1'!$B$2:$B$2604,'Form responses 1'!$E$2:$E$2604,""))</f>
        <v/>
      </c>
      <c r="H3257" s="44" t="str">
        <f t="array" ref="H3257">IF(B3257="","",_xlfn.XLOOKUP(B3257,'Form responses 1'!$B$2:$B$2604,'Form responses 1'!$F$2:$F$2604,""))</f>
        <v/>
      </c>
      <c r="I3257" s="44" t="str">
        <f t="array" ref="I3257">IF(B3257="","",_xlfn.XLOOKUP(B3257,'Form responses 1'!$B$2:$B$2604,'Form responses 1'!$I$2:$I$2604,""))</f>
        <v/>
      </c>
      <c r="J3257" s="44" t="str">
        <f t="array" ref="J3257">IF(B3257="","",_xlfn.XLOOKUP(B3257,'Form responses 1'!$B$2:$B$2604,'Form responses 1'!$G$2:$G$2604,""))</f>
        <v/>
      </c>
      <c r="K3257" s="56"/>
      <c r="L3257" s="58" t="str">
        <f t="shared" si="7"/>
        <v/>
      </c>
      <c r="M3257" s="49"/>
      <c r="N3257" s="49"/>
      <c r="O3257" s="49"/>
      <c r="P3257" s="49"/>
      <c r="Q3257" s="49"/>
      <c r="R3257" s="49"/>
      <c r="S3257" s="49"/>
      <c r="T3257" s="49"/>
      <c r="U3257" s="49"/>
      <c r="V3257" s="49"/>
      <c r="W3257" s="56"/>
      <c r="X3257" s="51" t="str">
        <f t="shared" si="5"/>
        <v/>
      </c>
      <c r="Y3257" s="50" t="s">
        <v>482</v>
      </c>
      <c r="Z3257" s="49">
        <f t="shared" si="6"/>
        <v>0</v>
      </c>
    </row>
    <row r="3258" ht="22.5" customHeight="1">
      <c r="B3258" s="57"/>
      <c r="C3258" s="43" t="str">
        <f t="array" ref="C3258">IF(B3258="","",_xlfn.XLOOKUP(B3258,'Form responses 1'!$B$2:$B$2604,'Form responses 1'!$A$2:$A$2604,""))</f>
        <v/>
      </c>
      <c r="D3258" s="44" t="str">
        <f t="shared" si="3"/>
        <v/>
      </c>
      <c r="E3258" s="44" t="str">
        <f t="array" ref="E3258">IF(B3258="","",_xlfn.XLOOKUP(B3258,'Form responses 1'!$B$2:$B$2604,'Form responses 1'!$C$2:$C$2604,""))</f>
        <v/>
      </c>
      <c r="F3258" s="44" t="str">
        <f t="array" ref="F3258">IF(B3258="","",_xlfn.XLOOKUP(B3258,'Form responses 1'!$B$2:$B$2604,'Form responses 1'!$D$2:$D$2604,""))</f>
        <v/>
      </c>
      <c r="G3258" s="44" t="str">
        <f t="array" ref="G3258">IF(B3258="","",_xlfn.XLOOKUP(B3258,'Form responses 1'!$B$2:$B$2604,'Form responses 1'!$E$2:$E$2604,""))</f>
        <v/>
      </c>
      <c r="H3258" s="44" t="str">
        <f t="array" ref="H3258">IF(B3258="","",_xlfn.XLOOKUP(B3258,'Form responses 1'!$B$2:$B$2604,'Form responses 1'!$F$2:$F$2604,""))</f>
        <v/>
      </c>
      <c r="I3258" s="44" t="str">
        <f t="array" ref="I3258">IF(B3258="","",_xlfn.XLOOKUP(B3258,'Form responses 1'!$B$2:$B$2604,'Form responses 1'!$I$2:$I$2604,""))</f>
        <v/>
      </c>
      <c r="J3258" s="44" t="str">
        <f t="array" ref="J3258">IF(B3258="","",_xlfn.XLOOKUP(B3258,'Form responses 1'!$B$2:$B$2604,'Form responses 1'!$G$2:$G$2604,""))</f>
        <v/>
      </c>
      <c r="K3258" s="56"/>
      <c r="L3258" s="58" t="str">
        <f t="shared" si="7"/>
        <v/>
      </c>
      <c r="M3258" s="49"/>
      <c r="N3258" s="49"/>
      <c r="O3258" s="49"/>
      <c r="P3258" s="49"/>
      <c r="Q3258" s="49"/>
      <c r="R3258" s="49"/>
      <c r="S3258" s="49"/>
      <c r="T3258" s="49"/>
      <c r="U3258" s="49"/>
      <c r="V3258" s="49"/>
      <c r="W3258" s="56"/>
      <c r="X3258" s="51" t="str">
        <f t="shared" si="5"/>
        <v/>
      </c>
      <c r="Y3258" s="50" t="s">
        <v>482</v>
      </c>
      <c r="Z3258" s="49">
        <f t="shared" si="6"/>
        <v>0</v>
      </c>
    </row>
    <row r="3259" ht="22.5" customHeight="1">
      <c r="B3259" s="57"/>
      <c r="C3259" s="43" t="str">
        <f t="array" ref="C3259">IF(B3259="","",_xlfn.XLOOKUP(B3259,'Form responses 1'!$B$2:$B$2604,'Form responses 1'!$A$2:$A$2604,""))</f>
        <v/>
      </c>
      <c r="D3259" s="44" t="str">
        <f t="shared" si="3"/>
        <v/>
      </c>
      <c r="E3259" s="44" t="str">
        <f t="array" ref="E3259">IF(B3259="","",_xlfn.XLOOKUP(B3259,'Form responses 1'!$B$2:$B$2604,'Form responses 1'!$C$2:$C$2604,""))</f>
        <v/>
      </c>
      <c r="F3259" s="44" t="str">
        <f t="array" ref="F3259">IF(B3259="","",_xlfn.XLOOKUP(B3259,'Form responses 1'!$B$2:$B$2604,'Form responses 1'!$D$2:$D$2604,""))</f>
        <v/>
      </c>
      <c r="G3259" s="44" t="str">
        <f t="array" ref="G3259">IF(B3259="","",_xlfn.XLOOKUP(B3259,'Form responses 1'!$B$2:$B$2604,'Form responses 1'!$E$2:$E$2604,""))</f>
        <v/>
      </c>
      <c r="H3259" s="44" t="str">
        <f t="array" ref="H3259">IF(B3259="","",_xlfn.XLOOKUP(B3259,'Form responses 1'!$B$2:$B$2604,'Form responses 1'!$F$2:$F$2604,""))</f>
        <v/>
      </c>
      <c r="I3259" s="44" t="str">
        <f t="array" ref="I3259">IF(B3259="","",_xlfn.XLOOKUP(B3259,'Form responses 1'!$B$2:$B$2604,'Form responses 1'!$I$2:$I$2604,""))</f>
        <v/>
      </c>
      <c r="J3259" s="44" t="str">
        <f t="array" ref="J3259">IF(B3259="","",_xlfn.XLOOKUP(B3259,'Form responses 1'!$B$2:$B$2604,'Form responses 1'!$G$2:$G$2604,""))</f>
        <v/>
      </c>
      <c r="K3259" s="56"/>
      <c r="L3259" s="58" t="str">
        <f t="shared" si="7"/>
        <v/>
      </c>
      <c r="M3259" s="49"/>
      <c r="N3259" s="49"/>
      <c r="O3259" s="49"/>
      <c r="P3259" s="49"/>
      <c r="Q3259" s="49"/>
      <c r="R3259" s="49"/>
      <c r="S3259" s="49"/>
      <c r="T3259" s="49"/>
      <c r="U3259" s="49"/>
      <c r="V3259" s="49"/>
      <c r="W3259" s="56"/>
      <c r="X3259" s="51" t="str">
        <f t="shared" si="5"/>
        <v/>
      </c>
      <c r="Y3259" s="50" t="s">
        <v>482</v>
      </c>
      <c r="Z3259" s="49">
        <f t="shared" si="6"/>
        <v>0</v>
      </c>
    </row>
    <row r="3260" ht="22.5" customHeight="1">
      <c r="B3260" s="57"/>
      <c r="C3260" s="43" t="str">
        <f t="array" ref="C3260">IF(B3260="","",_xlfn.XLOOKUP(B3260,'Form responses 1'!$B$2:$B$2604,'Form responses 1'!$A$2:$A$2604,""))</f>
        <v/>
      </c>
      <c r="D3260" s="44" t="str">
        <f t="shared" si="3"/>
        <v/>
      </c>
      <c r="E3260" s="44" t="str">
        <f t="array" ref="E3260">IF(B3260="","",_xlfn.XLOOKUP(B3260,'Form responses 1'!$B$2:$B$2604,'Form responses 1'!$C$2:$C$2604,""))</f>
        <v/>
      </c>
      <c r="F3260" s="44" t="str">
        <f t="array" ref="F3260">IF(B3260="","",_xlfn.XLOOKUP(B3260,'Form responses 1'!$B$2:$B$2604,'Form responses 1'!$D$2:$D$2604,""))</f>
        <v/>
      </c>
      <c r="G3260" s="44" t="str">
        <f t="array" ref="G3260">IF(B3260="","",_xlfn.XLOOKUP(B3260,'Form responses 1'!$B$2:$B$2604,'Form responses 1'!$E$2:$E$2604,""))</f>
        <v/>
      </c>
      <c r="H3260" s="44" t="str">
        <f t="array" ref="H3260">IF(B3260="","",_xlfn.XLOOKUP(B3260,'Form responses 1'!$B$2:$B$2604,'Form responses 1'!$F$2:$F$2604,""))</f>
        <v/>
      </c>
      <c r="I3260" s="44" t="str">
        <f t="array" ref="I3260">IF(B3260="","",_xlfn.XLOOKUP(B3260,'Form responses 1'!$B$2:$B$2604,'Form responses 1'!$I$2:$I$2604,""))</f>
        <v/>
      </c>
      <c r="J3260" s="44" t="str">
        <f t="array" ref="J3260">IF(B3260="","",_xlfn.XLOOKUP(B3260,'Form responses 1'!$B$2:$B$2604,'Form responses 1'!$G$2:$G$2604,""))</f>
        <v/>
      </c>
      <c r="K3260" s="56"/>
      <c r="L3260" s="58" t="str">
        <f t="shared" si="7"/>
        <v/>
      </c>
      <c r="M3260" s="49"/>
      <c r="N3260" s="49"/>
      <c r="O3260" s="49"/>
      <c r="P3260" s="49"/>
      <c r="Q3260" s="49"/>
      <c r="R3260" s="49"/>
      <c r="S3260" s="49"/>
      <c r="T3260" s="49"/>
      <c r="U3260" s="49"/>
      <c r="V3260" s="49"/>
      <c r="W3260" s="56"/>
      <c r="X3260" s="51" t="str">
        <f t="shared" si="5"/>
        <v/>
      </c>
      <c r="Y3260" s="50" t="s">
        <v>482</v>
      </c>
      <c r="Z3260" s="49">
        <f t="shared" si="6"/>
        <v>0</v>
      </c>
    </row>
    <row r="3261" ht="22.5" customHeight="1">
      <c r="B3261" s="57"/>
      <c r="C3261" s="43" t="str">
        <f t="array" ref="C3261">IF(B3261="","",_xlfn.XLOOKUP(B3261,'Form responses 1'!$B$2:$B$2604,'Form responses 1'!$A$2:$A$2604,""))</f>
        <v/>
      </c>
      <c r="D3261" s="44" t="str">
        <f t="shared" si="3"/>
        <v/>
      </c>
      <c r="E3261" s="44" t="str">
        <f t="array" ref="E3261">IF(B3261="","",_xlfn.XLOOKUP(B3261,'Form responses 1'!$B$2:$B$2604,'Form responses 1'!$C$2:$C$2604,""))</f>
        <v/>
      </c>
      <c r="F3261" s="44" t="str">
        <f t="array" ref="F3261">IF(B3261="","",_xlfn.XLOOKUP(B3261,'Form responses 1'!$B$2:$B$2604,'Form responses 1'!$D$2:$D$2604,""))</f>
        <v/>
      </c>
      <c r="G3261" s="44" t="str">
        <f t="array" ref="G3261">IF(B3261="","",_xlfn.XLOOKUP(B3261,'Form responses 1'!$B$2:$B$2604,'Form responses 1'!$E$2:$E$2604,""))</f>
        <v/>
      </c>
      <c r="H3261" s="44" t="str">
        <f t="array" ref="H3261">IF(B3261="","",_xlfn.XLOOKUP(B3261,'Form responses 1'!$B$2:$B$2604,'Form responses 1'!$F$2:$F$2604,""))</f>
        <v/>
      </c>
      <c r="I3261" s="44" t="str">
        <f t="array" ref="I3261">IF(B3261="","",_xlfn.XLOOKUP(B3261,'Form responses 1'!$B$2:$B$2604,'Form responses 1'!$I$2:$I$2604,""))</f>
        <v/>
      </c>
      <c r="J3261" s="44" t="str">
        <f t="array" ref="J3261">IF(B3261="","",_xlfn.XLOOKUP(B3261,'Form responses 1'!$B$2:$B$2604,'Form responses 1'!$G$2:$G$2604,""))</f>
        <v/>
      </c>
      <c r="K3261" s="56"/>
      <c r="L3261" s="58" t="str">
        <f t="shared" si="7"/>
        <v/>
      </c>
      <c r="M3261" s="49"/>
      <c r="N3261" s="49"/>
      <c r="O3261" s="49"/>
      <c r="P3261" s="49"/>
      <c r="Q3261" s="49"/>
      <c r="R3261" s="49"/>
      <c r="S3261" s="49"/>
      <c r="T3261" s="49"/>
      <c r="U3261" s="49"/>
      <c r="V3261" s="49"/>
      <c r="W3261" s="56"/>
      <c r="X3261" s="51" t="str">
        <f t="shared" si="5"/>
        <v/>
      </c>
      <c r="Y3261" s="50" t="s">
        <v>482</v>
      </c>
      <c r="Z3261" s="49">
        <f t="shared" si="6"/>
        <v>0</v>
      </c>
    </row>
    <row r="3262" ht="22.5" customHeight="1">
      <c r="B3262" s="57"/>
      <c r="C3262" s="43" t="str">
        <f t="array" ref="C3262">IF(B3262="","",_xlfn.XLOOKUP(B3262,'Form responses 1'!$B$2:$B$2604,'Form responses 1'!$A$2:$A$2604,""))</f>
        <v/>
      </c>
      <c r="D3262" s="44" t="str">
        <f t="shared" si="3"/>
        <v/>
      </c>
      <c r="E3262" s="44" t="str">
        <f t="array" ref="E3262">IF(B3262="","",_xlfn.XLOOKUP(B3262,'Form responses 1'!$B$2:$B$2604,'Form responses 1'!$C$2:$C$2604,""))</f>
        <v/>
      </c>
      <c r="F3262" s="44" t="str">
        <f t="array" ref="F3262">IF(B3262="","",_xlfn.XLOOKUP(B3262,'Form responses 1'!$B$2:$B$2604,'Form responses 1'!$D$2:$D$2604,""))</f>
        <v/>
      </c>
      <c r="G3262" s="44" t="str">
        <f t="array" ref="G3262">IF(B3262="","",_xlfn.XLOOKUP(B3262,'Form responses 1'!$B$2:$B$2604,'Form responses 1'!$E$2:$E$2604,""))</f>
        <v/>
      </c>
      <c r="H3262" s="44" t="str">
        <f t="array" ref="H3262">IF(B3262="","",_xlfn.XLOOKUP(B3262,'Form responses 1'!$B$2:$B$2604,'Form responses 1'!$F$2:$F$2604,""))</f>
        <v/>
      </c>
      <c r="I3262" s="44" t="str">
        <f t="array" ref="I3262">IF(B3262="","",_xlfn.XLOOKUP(B3262,'Form responses 1'!$B$2:$B$2604,'Form responses 1'!$I$2:$I$2604,""))</f>
        <v/>
      </c>
      <c r="J3262" s="44" t="str">
        <f t="array" ref="J3262">IF(B3262="","",_xlfn.XLOOKUP(B3262,'Form responses 1'!$B$2:$B$2604,'Form responses 1'!$G$2:$G$2604,""))</f>
        <v/>
      </c>
      <c r="K3262" s="56"/>
      <c r="L3262" s="58" t="str">
        <f t="shared" si="7"/>
        <v/>
      </c>
      <c r="M3262" s="49"/>
      <c r="N3262" s="49"/>
      <c r="O3262" s="49"/>
      <c r="P3262" s="49"/>
      <c r="Q3262" s="49"/>
      <c r="R3262" s="49"/>
      <c r="S3262" s="49"/>
      <c r="T3262" s="49"/>
      <c r="U3262" s="49"/>
      <c r="V3262" s="49"/>
      <c r="W3262" s="56"/>
      <c r="X3262" s="51" t="str">
        <f t="shared" si="5"/>
        <v/>
      </c>
      <c r="Y3262" s="50" t="s">
        <v>482</v>
      </c>
      <c r="Z3262" s="49">
        <f t="shared" si="6"/>
        <v>0</v>
      </c>
    </row>
    <row r="3263" ht="22.5" customHeight="1">
      <c r="B3263" s="57"/>
      <c r="C3263" s="43" t="str">
        <f t="array" ref="C3263">IF(B3263="","",_xlfn.XLOOKUP(B3263,'Form responses 1'!$B$2:$B$2604,'Form responses 1'!$A$2:$A$2604,""))</f>
        <v/>
      </c>
      <c r="D3263" s="44" t="str">
        <f t="shared" si="3"/>
        <v/>
      </c>
      <c r="E3263" s="44" t="str">
        <f t="array" ref="E3263">IF(B3263="","",_xlfn.XLOOKUP(B3263,'Form responses 1'!$B$2:$B$2604,'Form responses 1'!$C$2:$C$2604,""))</f>
        <v/>
      </c>
      <c r="F3263" s="44" t="str">
        <f t="array" ref="F3263">IF(B3263="","",_xlfn.XLOOKUP(B3263,'Form responses 1'!$B$2:$B$2604,'Form responses 1'!$D$2:$D$2604,""))</f>
        <v/>
      </c>
      <c r="G3263" s="44" t="str">
        <f t="array" ref="G3263">IF(B3263="","",_xlfn.XLOOKUP(B3263,'Form responses 1'!$B$2:$B$2604,'Form responses 1'!$E$2:$E$2604,""))</f>
        <v/>
      </c>
      <c r="H3263" s="44" t="str">
        <f t="array" ref="H3263">IF(B3263="","",_xlfn.XLOOKUP(B3263,'Form responses 1'!$B$2:$B$2604,'Form responses 1'!$F$2:$F$2604,""))</f>
        <v/>
      </c>
      <c r="I3263" s="44" t="str">
        <f t="array" ref="I3263">IF(B3263="","",_xlfn.XLOOKUP(B3263,'Form responses 1'!$B$2:$B$2604,'Form responses 1'!$I$2:$I$2604,""))</f>
        <v/>
      </c>
      <c r="J3263" s="44" t="str">
        <f t="array" ref="J3263">IF(B3263="","",_xlfn.XLOOKUP(B3263,'Form responses 1'!$B$2:$B$2604,'Form responses 1'!$G$2:$G$2604,""))</f>
        <v/>
      </c>
      <c r="K3263" s="56"/>
      <c r="L3263" s="58" t="str">
        <f t="shared" si="7"/>
        <v/>
      </c>
      <c r="M3263" s="49"/>
      <c r="N3263" s="49"/>
      <c r="O3263" s="49"/>
      <c r="P3263" s="49"/>
      <c r="Q3263" s="49"/>
      <c r="R3263" s="49"/>
      <c r="S3263" s="49"/>
      <c r="T3263" s="49"/>
      <c r="U3263" s="49"/>
      <c r="V3263" s="49"/>
      <c r="W3263" s="56"/>
      <c r="X3263" s="51" t="str">
        <f t="shared" si="5"/>
        <v/>
      </c>
      <c r="Y3263" s="50" t="s">
        <v>482</v>
      </c>
      <c r="Z3263" s="49">
        <f t="shared" si="6"/>
        <v>0</v>
      </c>
    </row>
    <row r="3264" ht="22.5" customHeight="1">
      <c r="B3264" s="57"/>
      <c r="C3264" s="43" t="str">
        <f t="array" ref="C3264">IF(B3264="","",_xlfn.XLOOKUP(B3264,'Form responses 1'!$B$2:$B$2604,'Form responses 1'!$A$2:$A$2604,""))</f>
        <v/>
      </c>
      <c r="D3264" s="44" t="str">
        <f t="shared" si="3"/>
        <v/>
      </c>
      <c r="E3264" s="44" t="str">
        <f t="array" ref="E3264">IF(B3264="","",_xlfn.XLOOKUP(B3264,'Form responses 1'!$B$2:$B$2604,'Form responses 1'!$C$2:$C$2604,""))</f>
        <v/>
      </c>
      <c r="F3264" s="44" t="str">
        <f t="array" ref="F3264">IF(B3264="","",_xlfn.XLOOKUP(B3264,'Form responses 1'!$B$2:$B$2604,'Form responses 1'!$D$2:$D$2604,""))</f>
        <v/>
      </c>
      <c r="G3264" s="44" t="str">
        <f t="array" ref="G3264">IF(B3264="","",_xlfn.XLOOKUP(B3264,'Form responses 1'!$B$2:$B$2604,'Form responses 1'!$E$2:$E$2604,""))</f>
        <v/>
      </c>
      <c r="H3264" s="44" t="str">
        <f t="array" ref="H3264">IF(B3264="","",_xlfn.XLOOKUP(B3264,'Form responses 1'!$B$2:$B$2604,'Form responses 1'!$F$2:$F$2604,""))</f>
        <v/>
      </c>
      <c r="I3264" s="44" t="str">
        <f t="array" ref="I3264">IF(B3264="","",_xlfn.XLOOKUP(B3264,'Form responses 1'!$B$2:$B$2604,'Form responses 1'!$I$2:$I$2604,""))</f>
        <v/>
      </c>
      <c r="J3264" s="44" t="str">
        <f t="array" ref="J3264">IF(B3264="","",_xlfn.XLOOKUP(B3264,'Form responses 1'!$B$2:$B$2604,'Form responses 1'!$G$2:$G$2604,""))</f>
        <v/>
      </c>
      <c r="K3264" s="56"/>
      <c r="L3264" s="58" t="str">
        <f t="shared" si="7"/>
        <v/>
      </c>
      <c r="M3264" s="49"/>
      <c r="N3264" s="49"/>
      <c r="O3264" s="49"/>
      <c r="P3264" s="49"/>
      <c r="Q3264" s="49"/>
      <c r="R3264" s="49"/>
      <c r="S3264" s="49"/>
      <c r="T3264" s="49"/>
      <c r="U3264" s="49"/>
      <c r="V3264" s="49"/>
      <c r="W3264" s="56"/>
      <c r="X3264" s="51" t="str">
        <f t="shared" si="5"/>
        <v/>
      </c>
      <c r="Y3264" s="50" t="s">
        <v>482</v>
      </c>
      <c r="Z3264" s="49">
        <f t="shared" si="6"/>
        <v>0</v>
      </c>
    </row>
    <row r="3265" ht="22.5" customHeight="1">
      <c r="B3265" s="57"/>
      <c r="C3265" s="43" t="str">
        <f t="array" ref="C3265">IF(B3265="","",_xlfn.XLOOKUP(B3265,'Form responses 1'!$B$2:$B$2604,'Form responses 1'!$A$2:$A$2604,""))</f>
        <v/>
      </c>
      <c r="D3265" s="44" t="str">
        <f t="shared" si="3"/>
        <v/>
      </c>
      <c r="E3265" s="44" t="str">
        <f t="array" ref="E3265">IF(B3265="","",_xlfn.XLOOKUP(B3265,'Form responses 1'!$B$2:$B$2604,'Form responses 1'!$C$2:$C$2604,""))</f>
        <v/>
      </c>
      <c r="F3265" s="44" t="str">
        <f t="array" ref="F3265">IF(B3265="","",_xlfn.XLOOKUP(B3265,'Form responses 1'!$B$2:$B$2604,'Form responses 1'!$D$2:$D$2604,""))</f>
        <v/>
      </c>
      <c r="G3265" s="44" t="str">
        <f t="array" ref="G3265">IF(B3265="","",_xlfn.XLOOKUP(B3265,'Form responses 1'!$B$2:$B$2604,'Form responses 1'!$E$2:$E$2604,""))</f>
        <v/>
      </c>
      <c r="H3265" s="44" t="str">
        <f t="array" ref="H3265">IF(B3265="","",_xlfn.XLOOKUP(B3265,'Form responses 1'!$B$2:$B$2604,'Form responses 1'!$F$2:$F$2604,""))</f>
        <v/>
      </c>
      <c r="I3265" s="44" t="str">
        <f t="array" ref="I3265">IF(B3265="","",_xlfn.XLOOKUP(B3265,'Form responses 1'!$B$2:$B$2604,'Form responses 1'!$I$2:$I$2604,""))</f>
        <v/>
      </c>
      <c r="J3265" s="44" t="str">
        <f t="array" ref="J3265">IF(B3265="","",_xlfn.XLOOKUP(B3265,'Form responses 1'!$B$2:$B$2604,'Form responses 1'!$G$2:$G$2604,""))</f>
        <v/>
      </c>
      <c r="K3265" s="56"/>
      <c r="L3265" s="58" t="str">
        <f t="shared" si="7"/>
        <v/>
      </c>
      <c r="M3265" s="49"/>
      <c r="N3265" s="49"/>
      <c r="O3265" s="49"/>
      <c r="P3265" s="49"/>
      <c r="Q3265" s="49"/>
      <c r="R3265" s="49"/>
      <c r="S3265" s="49"/>
      <c r="T3265" s="49"/>
      <c r="U3265" s="49"/>
      <c r="V3265" s="49"/>
      <c r="W3265" s="56"/>
      <c r="X3265" s="51" t="str">
        <f t="shared" si="5"/>
        <v/>
      </c>
      <c r="Y3265" s="50" t="s">
        <v>482</v>
      </c>
      <c r="Z3265" s="49">
        <f t="shared" si="6"/>
        <v>0</v>
      </c>
    </row>
    <row r="3266" ht="22.5" customHeight="1">
      <c r="B3266" s="57"/>
      <c r="C3266" s="43" t="str">
        <f t="array" ref="C3266">IF(B3266="","",_xlfn.XLOOKUP(B3266,'Form responses 1'!$B$2:$B$2604,'Form responses 1'!$A$2:$A$2604,""))</f>
        <v/>
      </c>
      <c r="D3266" s="44" t="str">
        <f t="shared" si="3"/>
        <v/>
      </c>
      <c r="E3266" s="44" t="str">
        <f t="array" ref="E3266">IF(B3266="","",_xlfn.XLOOKUP(B3266,'Form responses 1'!$B$2:$B$2604,'Form responses 1'!$C$2:$C$2604,""))</f>
        <v/>
      </c>
      <c r="F3266" s="44" t="str">
        <f t="array" ref="F3266">IF(B3266="","",_xlfn.XLOOKUP(B3266,'Form responses 1'!$B$2:$B$2604,'Form responses 1'!$D$2:$D$2604,""))</f>
        <v/>
      </c>
      <c r="G3266" s="44" t="str">
        <f t="array" ref="G3266">IF(B3266="","",_xlfn.XLOOKUP(B3266,'Form responses 1'!$B$2:$B$2604,'Form responses 1'!$E$2:$E$2604,""))</f>
        <v/>
      </c>
      <c r="H3266" s="44" t="str">
        <f t="array" ref="H3266">IF(B3266="","",_xlfn.XLOOKUP(B3266,'Form responses 1'!$B$2:$B$2604,'Form responses 1'!$F$2:$F$2604,""))</f>
        <v/>
      </c>
      <c r="I3266" s="44" t="str">
        <f t="array" ref="I3266">IF(B3266="","",_xlfn.XLOOKUP(B3266,'Form responses 1'!$B$2:$B$2604,'Form responses 1'!$I$2:$I$2604,""))</f>
        <v/>
      </c>
      <c r="J3266" s="44" t="str">
        <f t="array" ref="J3266">IF(B3266="","",_xlfn.XLOOKUP(B3266,'Form responses 1'!$B$2:$B$2604,'Form responses 1'!$G$2:$G$2604,""))</f>
        <v/>
      </c>
      <c r="K3266" s="56"/>
      <c r="L3266" s="58" t="str">
        <f t="shared" si="7"/>
        <v/>
      </c>
      <c r="M3266" s="49"/>
      <c r="N3266" s="49"/>
      <c r="O3266" s="49"/>
      <c r="P3266" s="49"/>
      <c r="Q3266" s="49"/>
      <c r="R3266" s="49"/>
      <c r="S3266" s="49"/>
      <c r="T3266" s="49"/>
      <c r="U3266" s="49"/>
      <c r="V3266" s="49"/>
      <c r="W3266" s="56"/>
      <c r="X3266" s="51" t="str">
        <f t="shared" si="5"/>
        <v/>
      </c>
      <c r="Y3266" s="50" t="s">
        <v>482</v>
      </c>
      <c r="Z3266" s="49">
        <f t="shared" si="6"/>
        <v>0</v>
      </c>
    </row>
    <row r="3267" ht="22.5" customHeight="1">
      <c r="B3267" s="57"/>
      <c r="C3267" s="43" t="str">
        <f t="array" ref="C3267">IF(B3267="","",_xlfn.XLOOKUP(B3267,'Form responses 1'!$B$2:$B$2604,'Form responses 1'!$A$2:$A$2604,""))</f>
        <v/>
      </c>
      <c r="D3267" s="44" t="str">
        <f t="shared" si="3"/>
        <v/>
      </c>
      <c r="E3267" s="44" t="str">
        <f t="array" ref="E3267">IF(B3267="","",_xlfn.XLOOKUP(B3267,'Form responses 1'!$B$2:$B$2604,'Form responses 1'!$C$2:$C$2604,""))</f>
        <v/>
      </c>
      <c r="F3267" s="44" t="str">
        <f t="array" ref="F3267">IF(B3267="","",_xlfn.XLOOKUP(B3267,'Form responses 1'!$B$2:$B$2604,'Form responses 1'!$D$2:$D$2604,""))</f>
        <v/>
      </c>
      <c r="G3267" s="44" t="str">
        <f t="array" ref="G3267">IF(B3267="","",_xlfn.XLOOKUP(B3267,'Form responses 1'!$B$2:$B$2604,'Form responses 1'!$E$2:$E$2604,""))</f>
        <v/>
      </c>
      <c r="H3267" s="44" t="str">
        <f t="array" ref="H3267">IF(B3267="","",_xlfn.XLOOKUP(B3267,'Form responses 1'!$B$2:$B$2604,'Form responses 1'!$F$2:$F$2604,""))</f>
        <v/>
      </c>
      <c r="I3267" s="44" t="str">
        <f t="array" ref="I3267">IF(B3267="","",_xlfn.XLOOKUP(B3267,'Form responses 1'!$B$2:$B$2604,'Form responses 1'!$I$2:$I$2604,""))</f>
        <v/>
      </c>
      <c r="J3267" s="44" t="str">
        <f t="array" ref="J3267">IF(B3267="","",_xlfn.XLOOKUP(B3267,'Form responses 1'!$B$2:$B$2604,'Form responses 1'!$G$2:$G$2604,""))</f>
        <v/>
      </c>
      <c r="K3267" s="56"/>
      <c r="L3267" s="58" t="str">
        <f t="shared" si="7"/>
        <v/>
      </c>
      <c r="M3267" s="49"/>
      <c r="N3267" s="49"/>
      <c r="O3267" s="49"/>
      <c r="P3267" s="49"/>
      <c r="Q3267" s="49"/>
      <c r="R3267" s="49"/>
      <c r="S3267" s="49"/>
      <c r="T3267" s="49"/>
      <c r="U3267" s="49"/>
      <c r="V3267" s="49"/>
      <c r="W3267" s="56"/>
      <c r="X3267" s="51" t="str">
        <f t="shared" si="5"/>
        <v/>
      </c>
      <c r="Y3267" s="50" t="s">
        <v>482</v>
      </c>
      <c r="Z3267" s="49">
        <f t="shared" si="6"/>
        <v>0</v>
      </c>
    </row>
    <row r="3268" ht="22.5" customHeight="1">
      <c r="B3268" s="57"/>
      <c r="C3268" s="43" t="str">
        <f t="array" ref="C3268">IF(B3268="","",_xlfn.XLOOKUP(B3268,'Form responses 1'!$B$2:$B$2604,'Form responses 1'!$A$2:$A$2604,""))</f>
        <v/>
      </c>
      <c r="D3268" s="44" t="str">
        <f t="shared" si="3"/>
        <v/>
      </c>
      <c r="E3268" s="44" t="str">
        <f t="array" ref="E3268">IF(B3268="","",_xlfn.XLOOKUP(B3268,'Form responses 1'!$B$2:$B$2604,'Form responses 1'!$C$2:$C$2604,""))</f>
        <v/>
      </c>
      <c r="F3268" s="44" t="str">
        <f t="array" ref="F3268">IF(B3268="","",_xlfn.XLOOKUP(B3268,'Form responses 1'!$B$2:$B$2604,'Form responses 1'!$D$2:$D$2604,""))</f>
        <v/>
      </c>
      <c r="G3268" s="44" t="str">
        <f t="array" ref="G3268">IF(B3268="","",_xlfn.XLOOKUP(B3268,'Form responses 1'!$B$2:$B$2604,'Form responses 1'!$E$2:$E$2604,""))</f>
        <v/>
      </c>
      <c r="H3268" s="44" t="str">
        <f t="array" ref="H3268">IF(B3268="","",_xlfn.XLOOKUP(B3268,'Form responses 1'!$B$2:$B$2604,'Form responses 1'!$F$2:$F$2604,""))</f>
        <v/>
      </c>
      <c r="I3268" s="44" t="str">
        <f t="array" ref="I3268">IF(B3268="","",_xlfn.XLOOKUP(B3268,'Form responses 1'!$B$2:$B$2604,'Form responses 1'!$I$2:$I$2604,""))</f>
        <v/>
      </c>
      <c r="J3268" s="44" t="str">
        <f t="array" ref="J3268">IF(B3268="","",_xlfn.XLOOKUP(B3268,'Form responses 1'!$B$2:$B$2604,'Form responses 1'!$G$2:$G$2604,""))</f>
        <v/>
      </c>
      <c r="K3268" s="56"/>
      <c r="L3268" s="58" t="str">
        <f t="shared" si="7"/>
        <v/>
      </c>
      <c r="M3268" s="49"/>
      <c r="N3268" s="49"/>
      <c r="O3268" s="49"/>
      <c r="P3268" s="49"/>
      <c r="Q3268" s="49"/>
      <c r="R3268" s="49"/>
      <c r="S3268" s="49"/>
      <c r="T3268" s="49"/>
      <c r="U3268" s="49"/>
      <c r="V3268" s="49"/>
      <c r="W3268" s="56"/>
      <c r="X3268" s="51" t="str">
        <f t="shared" si="5"/>
        <v/>
      </c>
      <c r="Y3268" s="50" t="s">
        <v>482</v>
      </c>
      <c r="Z3268" s="49">
        <f t="shared" si="6"/>
        <v>0</v>
      </c>
    </row>
    <row r="3269" ht="22.5" customHeight="1">
      <c r="B3269" s="57"/>
      <c r="C3269" s="43" t="str">
        <f t="array" ref="C3269">IF(B3269="","",_xlfn.XLOOKUP(B3269,'Form responses 1'!$B$2:$B$2604,'Form responses 1'!$A$2:$A$2604,""))</f>
        <v/>
      </c>
      <c r="D3269" s="44" t="str">
        <f t="shared" si="3"/>
        <v/>
      </c>
      <c r="E3269" s="44" t="str">
        <f t="array" ref="E3269">IF(B3269="","",_xlfn.XLOOKUP(B3269,'Form responses 1'!$B$2:$B$2604,'Form responses 1'!$C$2:$C$2604,""))</f>
        <v/>
      </c>
      <c r="F3269" s="44" t="str">
        <f t="array" ref="F3269">IF(B3269="","",_xlfn.XLOOKUP(B3269,'Form responses 1'!$B$2:$B$2604,'Form responses 1'!$D$2:$D$2604,""))</f>
        <v/>
      </c>
      <c r="G3269" s="44" t="str">
        <f t="array" ref="G3269">IF(B3269="","",_xlfn.XLOOKUP(B3269,'Form responses 1'!$B$2:$B$2604,'Form responses 1'!$E$2:$E$2604,""))</f>
        <v/>
      </c>
      <c r="H3269" s="44" t="str">
        <f t="array" ref="H3269">IF(B3269="","",_xlfn.XLOOKUP(B3269,'Form responses 1'!$B$2:$B$2604,'Form responses 1'!$F$2:$F$2604,""))</f>
        <v/>
      </c>
      <c r="I3269" s="44" t="str">
        <f t="array" ref="I3269">IF(B3269="","",_xlfn.XLOOKUP(B3269,'Form responses 1'!$B$2:$B$2604,'Form responses 1'!$I$2:$I$2604,""))</f>
        <v/>
      </c>
      <c r="J3269" s="44" t="str">
        <f t="array" ref="J3269">IF(B3269="","",_xlfn.XLOOKUP(B3269,'Form responses 1'!$B$2:$B$2604,'Form responses 1'!$G$2:$G$2604,""))</f>
        <v/>
      </c>
      <c r="K3269" s="56"/>
      <c r="L3269" s="58" t="str">
        <f t="shared" si="7"/>
        <v/>
      </c>
      <c r="M3269" s="49"/>
      <c r="N3269" s="49"/>
      <c r="O3269" s="49"/>
      <c r="P3269" s="49"/>
      <c r="Q3269" s="49"/>
      <c r="R3269" s="49"/>
      <c r="S3269" s="49"/>
      <c r="T3269" s="49"/>
      <c r="U3269" s="49"/>
      <c r="V3269" s="49"/>
      <c r="W3269" s="56"/>
      <c r="X3269" s="51" t="str">
        <f t="shared" si="5"/>
        <v/>
      </c>
      <c r="Y3269" s="50" t="s">
        <v>482</v>
      </c>
      <c r="Z3269" s="49">
        <f t="shared" si="6"/>
        <v>0</v>
      </c>
    </row>
    <row r="3270" ht="22.5" customHeight="1">
      <c r="B3270" s="57"/>
      <c r="C3270" s="43" t="str">
        <f t="array" ref="C3270">IF(B3270="","",_xlfn.XLOOKUP(B3270,'Form responses 1'!$B$2:$B$2604,'Form responses 1'!$A$2:$A$2604,""))</f>
        <v/>
      </c>
      <c r="D3270" s="44" t="str">
        <f t="shared" si="3"/>
        <v/>
      </c>
      <c r="E3270" s="44" t="str">
        <f t="array" ref="E3270">IF(B3270="","",_xlfn.XLOOKUP(B3270,'Form responses 1'!$B$2:$B$2604,'Form responses 1'!$C$2:$C$2604,""))</f>
        <v/>
      </c>
      <c r="F3270" s="44" t="str">
        <f t="array" ref="F3270">IF(B3270="","",_xlfn.XLOOKUP(B3270,'Form responses 1'!$B$2:$B$2604,'Form responses 1'!$D$2:$D$2604,""))</f>
        <v/>
      </c>
      <c r="G3270" s="44" t="str">
        <f t="array" ref="G3270">IF(B3270="","",_xlfn.XLOOKUP(B3270,'Form responses 1'!$B$2:$B$2604,'Form responses 1'!$E$2:$E$2604,""))</f>
        <v/>
      </c>
      <c r="H3270" s="44" t="str">
        <f t="array" ref="H3270">IF(B3270="","",_xlfn.XLOOKUP(B3270,'Form responses 1'!$B$2:$B$2604,'Form responses 1'!$F$2:$F$2604,""))</f>
        <v/>
      </c>
      <c r="I3270" s="44" t="str">
        <f t="array" ref="I3270">IF(B3270="","",_xlfn.XLOOKUP(B3270,'Form responses 1'!$B$2:$B$2604,'Form responses 1'!$I$2:$I$2604,""))</f>
        <v/>
      </c>
      <c r="J3270" s="44" t="str">
        <f t="array" ref="J3270">IF(B3270="","",_xlfn.XLOOKUP(B3270,'Form responses 1'!$B$2:$B$2604,'Form responses 1'!$G$2:$G$2604,""))</f>
        <v/>
      </c>
      <c r="K3270" s="56"/>
      <c r="L3270" s="58" t="str">
        <f t="shared" si="7"/>
        <v/>
      </c>
      <c r="M3270" s="49"/>
      <c r="N3270" s="49"/>
      <c r="O3270" s="49"/>
      <c r="P3270" s="49"/>
      <c r="Q3270" s="49"/>
      <c r="R3270" s="49"/>
      <c r="S3270" s="49"/>
      <c r="T3270" s="49"/>
      <c r="U3270" s="49"/>
      <c r="V3270" s="49"/>
      <c r="W3270" s="56"/>
      <c r="X3270" s="51" t="str">
        <f t="shared" si="5"/>
        <v/>
      </c>
      <c r="Y3270" s="50" t="s">
        <v>482</v>
      </c>
      <c r="Z3270" s="49">
        <f t="shared" si="6"/>
        <v>0</v>
      </c>
    </row>
    <row r="3271" ht="22.5" customHeight="1">
      <c r="B3271" s="57"/>
      <c r="C3271" s="43" t="str">
        <f t="array" ref="C3271">IF(B3271="","",_xlfn.XLOOKUP(B3271,'Form responses 1'!$B$2:$B$2604,'Form responses 1'!$A$2:$A$2604,""))</f>
        <v/>
      </c>
      <c r="D3271" s="44" t="str">
        <f t="shared" si="3"/>
        <v/>
      </c>
      <c r="E3271" s="44" t="str">
        <f t="array" ref="E3271">IF(B3271="","",_xlfn.XLOOKUP(B3271,'Form responses 1'!$B$2:$B$2604,'Form responses 1'!$C$2:$C$2604,""))</f>
        <v/>
      </c>
      <c r="F3271" s="44" t="str">
        <f t="array" ref="F3271">IF(B3271="","",_xlfn.XLOOKUP(B3271,'Form responses 1'!$B$2:$B$2604,'Form responses 1'!$D$2:$D$2604,""))</f>
        <v/>
      </c>
      <c r="G3271" s="44" t="str">
        <f t="array" ref="G3271">IF(B3271="","",_xlfn.XLOOKUP(B3271,'Form responses 1'!$B$2:$B$2604,'Form responses 1'!$E$2:$E$2604,""))</f>
        <v/>
      </c>
      <c r="H3271" s="44" t="str">
        <f t="array" ref="H3271">IF(B3271="","",_xlfn.XLOOKUP(B3271,'Form responses 1'!$B$2:$B$2604,'Form responses 1'!$F$2:$F$2604,""))</f>
        <v/>
      </c>
      <c r="I3271" s="44" t="str">
        <f t="array" ref="I3271">IF(B3271="","",_xlfn.XLOOKUP(B3271,'Form responses 1'!$B$2:$B$2604,'Form responses 1'!$I$2:$I$2604,""))</f>
        <v/>
      </c>
      <c r="J3271" s="44" t="str">
        <f t="array" ref="J3271">IF(B3271="","",_xlfn.XLOOKUP(B3271,'Form responses 1'!$B$2:$B$2604,'Form responses 1'!$G$2:$G$2604,""))</f>
        <v/>
      </c>
      <c r="K3271" s="56"/>
      <c r="L3271" s="58" t="str">
        <f t="shared" si="7"/>
        <v/>
      </c>
      <c r="M3271" s="49"/>
      <c r="N3271" s="49"/>
      <c r="O3271" s="49"/>
      <c r="P3271" s="49"/>
      <c r="Q3271" s="49"/>
      <c r="R3271" s="49"/>
      <c r="S3271" s="49"/>
      <c r="T3271" s="49"/>
      <c r="U3271" s="49"/>
      <c r="V3271" s="49"/>
      <c r="W3271" s="56"/>
      <c r="X3271" s="51" t="str">
        <f t="shared" si="5"/>
        <v/>
      </c>
      <c r="Y3271" s="50" t="s">
        <v>482</v>
      </c>
      <c r="Z3271" s="49">
        <f t="shared" si="6"/>
        <v>0</v>
      </c>
    </row>
    <row r="3272" ht="22.5" customHeight="1">
      <c r="B3272" s="57"/>
      <c r="C3272" s="43" t="str">
        <f t="array" ref="C3272">IF(B3272="","",_xlfn.XLOOKUP(B3272,'Form responses 1'!$B$2:$B$2604,'Form responses 1'!$A$2:$A$2604,""))</f>
        <v/>
      </c>
      <c r="D3272" s="44" t="str">
        <f t="shared" si="3"/>
        <v/>
      </c>
      <c r="E3272" s="44" t="str">
        <f t="array" ref="E3272">IF(B3272="","",_xlfn.XLOOKUP(B3272,'Form responses 1'!$B$2:$B$2604,'Form responses 1'!$C$2:$C$2604,""))</f>
        <v/>
      </c>
      <c r="F3272" s="44" t="str">
        <f t="array" ref="F3272">IF(B3272="","",_xlfn.XLOOKUP(B3272,'Form responses 1'!$B$2:$B$2604,'Form responses 1'!$D$2:$D$2604,""))</f>
        <v/>
      </c>
      <c r="G3272" s="44" t="str">
        <f t="array" ref="G3272">IF(B3272="","",_xlfn.XLOOKUP(B3272,'Form responses 1'!$B$2:$B$2604,'Form responses 1'!$E$2:$E$2604,""))</f>
        <v/>
      </c>
      <c r="H3272" s="44" t="str">
        <f t="array" ref="H3272">IF(B3272="","",_xlfn.XLOOKUP(B3272,'Form responses 1'!$B$2:$B$2604,'Form responses 1'!$F$2:$F$2604,""))</f>
        <v/>
      </c>
      <c r="I3272" s="44" t="str">
        <f t="array" ref="I3272">IF(B3272="","",_xlfn.XLOOKUP(B3272,'Form responses 1'!$B$2:$B$2604,'Form responses 1'!$I$2:$I$2604,""))</f>
        <v/>
      </c>
      <c r="J3272" s="44" t="str">
        <f t="array" ref="J3272">IF(B3272="","",_xlfn.XLOOKUP(B3272,'Form responses 1'!$B$2:$B$2604,'Form responses 1'!$G$2:$G$2604,""))</f>
        <v/>
      </c>
      <c r="K3272" s="56"/>
      <c r="L3272" s="58" t="str">
        <f t="shared" si="7"/>
        <v/>
      </c>
      <c r="M3272" s="49"/>
      <c r="N3272" s="49"/>
      <c r="O3272" s="49"/>
      <c r="P3272" s="49"/>
      <c r="Q3272" s="49"/>
      <c r="R3272" s="49"/>
      <c r="S3272" s="49"/>
      <c r="T3272" s="49"/>
      <c r="U3272" s="49"/>
      <c r="V3272" s="49"/>
      <c r="W3272" s="56"/>
      <c r="X3272" s="51" t="str">
        <f t="shared" si="5"/>
        <v/>
      </c>
      <c r="Y3272" s="50" t="s">
        <v>482</v>
      </c>
      <c r="Z3272" s="49">
        <f t="shared" si="6"/>
        <v>0</v>
      </c>
    </row>
    <row r="3273" ht="22.5" customHeight="1">
      <c r="B3273" s="57"/>
      <c r="C3273" s="43" t="str">
        <f t="array" ref="C3273">IF(B3273="","",_xlfn.XLOOKUP(B3273,'Form responses 1'!$B$2:$B$2604,'Form responses 1'!$A$2:$A$2604,""))</f>
        <v/>
      </c>
      <c r="D3273" s="44" t="str">
        <f t="shared" si="3"/>
        <v/>
      </c>
      <c r="E3273" s="44" t="str">
        <f t="array" ref="E3273">IF(B3273="","",_xlfn.XLOOKUP(B3273,'Form responses 1'!$B$2:$B$2604,'Form responses 1'!$C$2:$C$2604,""))</f>
        <v/>
      </c>
      <c r="F3273" s="44" t="str">
        <f t="array" ref="F3273">IF(B3273="","",_xlfn.XLOOKUP(B3273,'Form responses 1'!$B$2:$B$2604,'Form responses 1'!$D$2:$D$2604,""))</f>
        <v/>
      </c>
      <c r="G3273" s="44" t="str">
        <f t="array" ref="G3273">IF(B3273="","",_xlfn.XLOOKUP(B3273,'Form responses 1'!$B$2:$B$2604,'Form responses 1'!$E$2:$E$2604,""))</f>
        <v/>
      </c>
      <c r="H3273" s="44" t="str">
        <f t="array" ref="H3273">IF(B3273="","",_xlfn.XLOOKUP(B3273,'Form responses 1'!$B$2:$B$2604,'Form responses 1'!$F$2:$F$2604,""))</f>
        <v/>
      </c>
      <c r="I3273" s="44" t="str">
        <f t="array" ref="I3273">IF(B3273="","",_xlfn.XLOOKUP(B3273,'Form responses 1'!$B$2:$B$2604,'Form responses 1'!$I$2:$I$2604,""))</f>
        <v/>
      </c>
      <c r="J3273" s="44" t="str">
        <f t="array" ref="J3273">IF(B3273="","",_xlfn.XLOOKUP(B3273,'Form responses 1'!$B$2:$B$2604,'Form responses 1'!$G$2:$G$2604,""))</f>
        <v/>
      </c>
      <c r="K3273" s="56"/>
      <c r="L3273" s="58" t="str">
        <f t="shared" si="7"/>
        <v/>
      </c>
      <c r="M3273" s="49"/>
      <c r="N3273" s="49"/>
      <c r="O3273" s="49"/>
      <c r="P3273" s="49"/>
      <c r="Q3273" s="49"/>
      <c r="R3273" s="49"/>
      <c r="S3273" s="49"/>
      <c r="T3273" s="49"/>
      <c r="U3273" s="49"/>
      <c r="V3273" s="49"/>
      <c r="W3273" s="56"/>
      <c r="X3273" s="51" t="str">
        <f t="shared" si="5"/>
        <v/>
      </c>
      <c r="Y3273" s="50" t="s">
        <v>482</v>
      </c>
      <c r="Z3273" s="49">
        <f t="shared" si="6"/>
        <v>0</v>
      </c>
    </row>
    <row r="3274" ht="22.5" customHeight="1">
      <c r="B3274" s="57"/>
      <c r="C3274" s="43" t="str">
        <f t="array" ref="C3274">IF(B3274="","",_xlfn.XLOOKUP(B3274,'Form responses 1'!$B$2:$B$2604,'Form responses 1'!$A$2:$A$2604,""))</f>
        <v/>
      </c>
      <c r="D3274" s="44" t="str">
        <f t="shared" si="3"/>
        <v/>
      </c>
      <c r="E3274" s="44" t="str">
        <f t="array" ref="E3274">IF(B3274="","",_xlfn.XLOOKUP(B3274,'Form responses 1'!$B$2:$B$2604,'Form responses 1'!$C$2:$C$2604,""))</f>
        <v/>
      </c>
      <c r="F3274" s="44" t="str">
        <f t="array" ref="F3274">IF(B3274="","",_xlfn.XLOOKUP(B3274,'Form responses 1'!$B$2:$B$2604,'Form responses 1'!$D$2:$D$2604,""))</f>
        <v/>
      </c>
      <c r="G3274" s="44" t="str">
        <f t="array" ref="G3274">IF(B3274="","",_xlfn.XLOOKUP(B3274,'Form responses 1'!$B$2:$B$2604,'Form responses 1'!$E$2:$E$2604,""))</f>
        <v/>
      </c>
      <c r="H3274" s="44" t="str">
        <f t="array" ref="H3274">IF(B3274="","",_xlfn.XLOOKUP(B3274,'Form responses 1'!$B$2:$B$2604,'Form responses 1'!$F$2:$F$2604,""))</f>
        <v/>
      </c>
      <c r="I3274" s="44" t="str">
        <f t="array" ref="I3274">IF(B3274="","",_xlfn.XLOOKUP(B3274,'Form responses 1'!$B$2:$B$2604,'Form responses 1'!$I$2:$I$2604,""))</f>
        <v/>
      </c>
      <c r="J3274" s="44" t="str">
        <f t="array" ref="J3274">IF(B3274="","",_xlfn.XLOOKUP(B3274,'Form responses 1'!$B$2:$B$2604,'Form responses 1'!$G$2:$G$2604,""))</f>
        <v/>
      </c>
      <c r="K3274" s="56"/>
      <c r="L3274" s="58" t="str">
        <f t="shared" si="7"/>
        <v/>
      </c>
      <c r="M3274" s="49"/>
      <c r="N3274" s="49"/>
      <c r="O3274" s="49"/>
      <c r="P3274" s="49"/>
      <c r="Q3274" s="49"/>
      <c r="R3274" s="49"/>
      <c r="S3274" s="49"/>
      <c r="T3274" s="49"/>
      <c r="U3274" s="49"/>
      <c r="V3274" s="49"/>
      <c r="W3274" s="56"/>
      <c r="X3274" s="51" t="str">
        <f t="shared" si="5"/>
        <v/>
      </c>
      <c r="Y3274" s="50" t="s">
        <v>482</v>
      </c>
      <c r="Z3274" s="49">
        <f t="shared" si="6"/>
        <v>0</v>
      </c>
    </row>
    <row r="3275" ht="22.5" customHeight="1">
      <c r="B3275" s="57"/>
      <c r="C3275" s="43" t="str">
        <f t="array" ref="C3275">IF(B3275="","",_xlfn.XLOOKUP(B3275,'Form responses 1'!$B$2:$B$2604,'Form responses 1'!$A$2:$A$2604,""))</f>
        <v/>
      </c>
      <c r="D3275" s="44" t="str">
        <f t="shared" si="3"/>
        <v/>
      </c>
      <c r="E3275" s="44" t="str">
        <f t="array" ref="E3275">IF(B3275="","",_xlfn.XLOOKUP(B3275,'Form responses 1'!$B$2:$B$2604,'Form responses 1'!$C$2:$C$2604,""))</f>
        <v/>
      </c>
      <c r="F3275" s="44" t="str">
        <f t="array" ref="F3275">IF(B3275="","",_xlfn.XLOOKUP(B3275,'Form responses 1'!$B$2:$B$2604,'Form responses 1'!$D$2:$D$2604,""))</f>
        <v/>
      </c>
      <c r="G3275" s="44" t="str">
        <f t="array" ref="G3275">IF(B3275="","",_xlfn.XLOOKUP(B3275,'Form responses 1'!$B$2:$B$2604,'Form responses 1'!$E$2:$E$2604,""))</f>
        <v/>
      </c>
      <c r="H3275" s="44" t="str">
        <f t="array" ref="H3275">IF(B3275="","",_xlfn.XLOOKUP(B3275,'Form responses 1'!$B$2:$B$2604,'Form responses 1'!$F$2:$F$2604,""))</f>
        <v/>
      </c>
      <c r="I3275" s="44" t="str">
        <f t="array" ref="I3275">IF(B3275="","",_xlfn.XLOOKUP(B3275,'Form responses 1'!$B$2:$B$2604,'Form responses 1'!$I$2:$I$2604,""))</f>
        <v/>
      </c>
      <c r="J3275" s="44" t="str">
        <f t="array" ref="J3275">IF(B3275="","",_xlfn.XLOOKUP(B3275,'Form responses 1'!$B$2:$B$2604,'Form responses 1'!$G$2:$G$2604,""))</f>
        <v/>
      </c>
      <c r="K3275" s="56"/>
      <c r="L3275" s="58" t="str">
        <f t="shared" si="7"/>
        <v/>
      </c>
      <c r="M3275" s="49"/>
      <c r="N3275" s="49"/>
      <c r="O3275" s="49"/>
      <c r="P3275" s="49"/>
      <c r="Q3275" s="49"/>
      <c r="R3275" s="49"/>
      <c r="S3275" s="49"/>
      <c r="T3275" s="49"/>
      <c r="U3275" s="49"/>
      <c r="V3275" s="49"/>
      <c r="W3275" s="56"/>
      <c r="X3275" s="51" t="str">
        <f t="shared" si="5"/>
        <v/>
      </c>
      <c r="Y3275" s="50" t="s">
        <v>482</v>
      </c>
      <c r="Z3275" s="49">
        <f t="shared" si="6"/>
        <v>0</v>
      </c>
    </row>
    <row r="3276" ht="22.5" customHeight="1">
      <c r="B3276" s="57"/>
      <c r="C3276" s="43" t="str">
        <f t="array" ref="C3276">IF(B3276="","",_xlfn.XLOOKUP(B3276,'Form responses 1'!$B$2:$B$2604,'Form responses 1'!$A$2:$A$2604,""))</f>
        <v/>
      </c>
      <c r="D3276" s="44" t="str">
        <f t="shared" si="3"/>
        <v/>
      </c>
      <c r="E3276" s="44" t="str">
        <f t="array" ref="E3276">IF(B3276="","",_xlfn.XLOOKUP(B3276,'Form responses 1'!$B$2:$B$2604,'Form responses 1'!$C$2:$C$2604,""))</f>
        <v/>
      </c>
      <c r="F3276" s="44" t="str">
        <f t="array" ref="F3276">IF(B3276="","",_xlfn.XLOOKUP(B3276,'Form responses 1'!$B$2:$B$2604,'Form responses 1'!$D$2:$D$2604,""))</f>
        <v/>
      </c>
      <c r="G3276" s="44" t="str">
        <f t="array" ref="G3276">IF(B3276="","",_xlfn.XLOOKUP(B3276,'Form responses 1'!$B$2:$B$2604,'Form responses 1'!$E$2:$E$2604,""))</f>
        <v/>
      </c>
      <c r="H3276" s="44" t="str">
        <f t="array" ref="H3276">IF(B3276="","",_xlfn.XLOOKUP(B3276,'Form responses 1'!$B$2:$B$2604,'Form responses 1'!$F$2:$F$2604,""))</f>
        <v/>
      </c>
      <c r="I3276" s="44" t="str">
        <f t="array" ref="I3276">IF(B3276="","",_xlfn.XLOOKUP(B3276,'Form responses 1'!$B$2:$B$2604,'Form responses 1'!$I$2:$I$2604,""))</f>
        <v/>
      </c>
      <c r="J3276" s="44" t="str">
        <f t="array" ref="J3276">IF(B3276="","",_xlfn.XLOOKUP(B3276,'Form responses 1'!$B$2:$B$2604,'Form responses 1'!$G$2:$G$2604,""))</f>
        <v/>
      </c>
      <c r="K3276" s="56"/>
      <c r="L3276" s="58" t="str">
        <f t="shared" si="7"/>
        <v/>
      </c>
      <c r="M3276" s="49"/>
      <c r="N3276" s="49"/>
      <c r="O3276" s="49"/>
      <c r="P3276" s="49"/>
      <c r="Q3276" s="49"/>
      <c r="R3276" s="49"/>
      <c r="S3276" s="49"/>
      <c r="T3276" s="49"/>
      <c r="U3276" s="49"/>
      <c r="V3276" s="49"/>
      <c r="W3276" s="56"/>
      <c r="X3276" s="51" t="str">
        <f t="shared" si="5"/>
        <v/>
      </c>
      <c r="Y3276" s="50" t="s">
        <v>482</v>
      </c>
      <c r="Z3276" s="49">
        <f t="shared" si="6"/>
        <v>0</v>
      </c>
    </row>
    <row r="3277" ht="22.5" customHeight="1">
      <c r="B3277" s="57"/>
      <c r="C3277" s="43" t="str">
        <f t="array" ref="C3277">IF(B3277="","",_xlfn.XLOOKUP(B3277,'Form responses 1'!$B$2:$B$2604,'Form responses 1'!$A$2:$A$2604,""))</f>
        <v/>
      </c>
      <c r="D3277" s="44" t="str">
        <f t="shared" si="3"/>
        <v/>
      </c>
      <c r="E3277" s="44" t="str">
        <f t="array" ref="E3277">IF(B3277="","",_xlfn.XLOOKUP(B3277,'Form responses 1'!$B$2:$B$2604,'Form responses 1'!$C$2:$C$2604,""))</f>
        <v/>
      </c>
      <c r="F3277" s="44" t="str">
        <f t="array" ref="F3277">IF(B3277="","",_xlfn.XLOOKUP(B3277,'Form responses 1'!$B$2:$B$2604,'Form responses 1'!$D$2:$D$2604,""))</f>
        <v/>
      </c>
      <c r="G3277" s="44" t="str">
        <f t="array" ref="G3277">IF(B3277="","",_xlfn.XLOOKUP(B3277,'Form responses 1'!$B$2:$B$2604,'Form responses 1'!$E$2:$E$2604,""))</f>
        <v/>
      </c>
      <c r="H3277" s="44" t="str">
        <f t="array" ref="H3277">IF(B3277="","",_xlfn.XLOOKUP(B3277,'Form responses 1'!$B$2:$B$2604,'Form responses 1'!$F$2:$F$2604,""))</f>
        <v/>
      </c>
      <c r="I3277" s="44" t="str">
        <f t="array" ref="I3277">IF(B3277="","",_xlfn.XLOOKUP(B3277,'Form responses 1'!$B$2:$B$2604,'Form responses 1'!$I$2:$I$2604,""))</f>
        <v/>
      </c>
      <c r="J3277" s="44" t="str">
        <f t="array" ref="J3277">IF(B3277="","",_xlfn.XLOOKUP(B3277,'Form responses 1'!$B$2:$B$2604,'Form responses 1'!$G$2:$G$2604,""))</f>
        <v/>
      </c>
      <c r="K3277" s="56"/>
      <c r="L3277" s="58" t="str">
        <f t="shared" si="7"/>
        <v/>
      </c>
      <c r="M3277" s="49"/>
      <c r="N3277" s="49"/>
      <c r="O3277" s="49"/>
      <c r="P3277" s="49"/>
      <c r="Q3277" s="49"/>
      <c r="R3277" s="49"/>
      <c r="S3277" s="49"/>
      <c r="T3277" s="49"/>
      <c r="U3277" s="49"/>
      <c r="V3277" s="49"/>
      <c r="W3277" s="56"/>
      <c r="X3277" s="51" t="str">
        <f t="shared" si="5"/>
        <v/>
      </c>
      <c r="Y3277" s="50" t="s">
        <v>482</v>
      </c>
      <c r="Z3277" s="49">
        <f t="shared" si="6"/>
        <v>0</v>
      </c>
    </row>
    <row r="3278" ht="22.5" customHeight="1">
      <c r="B3278" s="57"/>
      <c r="C3278" s="43" t="str">
        <f t="array" ref="C3278">IF(B3278="","",_xlfn.XLOOKUP(B3278,'Form responses 1'!$B$2:$B$2604,'Form responses 1'!$A$2:$A$2604,""))</f>
        <v/>
      </c>
      <c r="D3278" s="44" t="str">
        <f t="shared" si="3"/>
        <v/>
      </c>
      <c r="E3278" s="44" t="str">
        <f t="array" ref="E3278">IF(B3278="","",_xlfn.XLOOKUP(B3278,'Form responses 1'!$B$2:$B$2604,'Form responses 1'!$C$2:$C$2604,""))</f>
        <v/>
      </c>
      <c r="F3278" s="44" t="str">
        <f t="array" ref="F3278">IF(B3278="","",_xlfn.XLOOKUP(B3278,'Form responses 1'!$B$2:$B$2604,'Form responses 1'!$D$2:$D$2604,""))</f>
        <v/>
      </c>
      <c r="G3278" s="44" t="str">
        <f t="array" ref="G3278">IF(B3278="","",_xlfn.XLOOKUP(B3278,'Form responses 1'!$B$2:$B$2604,'Form responses 1'!$E$2:$E$2604,""))</f>
        <v/>
      </c>
      <c r="H3278" s="44" t="str">
        <f t="array" ref="H3278">IF(B3278="","",_xlfn.XLOOKUP(B3278,'Form responses 1'!$B$2:$B$2604,'Form responses 1'!$F$2:$F$2604,""))</f>
        <v/>
      </c>
      <c r="I3278" s="44" t="str">
        <f t="array" ref="I3278">IF(B3278="","",_xlfn.XLOOKUP(B3278,'Form responses 1'!$B$2:$B$2604,'Form responses 1'!$I$2:$I$2604,""))</f>
        <v/>
      </c>
      <c r="J3278" s="44" t="str">
        <f t="array" ref="J3278">IF(B3278="","",_xlfn.XLOOKUP(B3278,'Form responses 1'!$B$2:$B$2604,'Form responses 1'!$G$2:$G$2604,""))</f>
        <v/>
      </c>
      <c r="K3278" s="56"/>
      <c r="L3278" s="58" t="str">
        <f t="shared" si="7"/>
        <v/>
      </c>
      <c r="M3278" s="49"/>
      <c r="N3278" s="49"/>
      <c r="O3278" s="49"/>
      <c r="P3278" s="49"/>
      <c r="Q3278" s="49"/>
      <c r="R3278" s="49"/>
      <c r="S3278" s="49"/>
      <c r="T3278" s="49"/>
      <c r="U3278" s="49"/>
      <c r="V3278" s="49"/>
      <c r="W3278" s="56"/>
      <c r="X3278" s="51" t="str">
        <f t="shared" si="5"/>
        <v/>
      </c>
      <c r="Y3278" s="50" t="s">
        <v>482</v>
      </c>
      <c r="Z3278" s="49">
        <f t="shared" si="6"/>
        <v>0</v>
      </c>
    </row>
    <row r="3279" ht="22.5" customHeight="1">
      <c r="B3279" s="57"/>
      <c r="C3279" s="43" t="str">
        <f t="array" ref="C3279">IF(B3279="","",_xlfn.XLOOKUP(B3279,'Form responses 1'!$B$2:$B$2604,'Form responses 1'!$A$2:$A$2604,""))</f>
        <v/>
      </c>
      <c r="D3279" s="44" t="str">
        <f t="shared" si="3"/>
        <v/>
      </c>
      <c r="E3279" s="44" t="str">
        <f t="array" ref="E3279">IF(B3279="","",_xlfn.XLOOKUP(B3279,'Form responses 1'!$B$2:$B$2604,'Form responses 1'!$C$2:$C$2604,""))</f>
        <v/>
      </c>
      <c r="F3279" s="44" t="str">
        <f t="array" ref="F3279">IF(B3279="","",_xlfn.XLOOKUP(B3279,'Form responses 1'!$B$2:$B$2604,'Form responses 1'!$D$2:$D$2604,""))</f>
        <v/>
      </c>
      <c r="G3279" s="44" t="str">
        <f t="array" ref="G3279">IF(B3279="","",_xlfn.XLOOKUP(B3279,'Form responses 1'!$B$2:$B$2604,'Form responses 1'!$E$2:$E$2604,""))</f>
        <v/>
      </c>
      <c r="H3279" s="44" t="str">
        <f t="array" ref="H3279">IF(B3279="","",_xlfn.XLOOKUP(B3279,'Form responses 1'!$B$2:$B$2604,'Form responses 1'!$F$2:$F$2604,""))</f>
        <v/>
      </c>
      <c r="I3279" s="44" t="str">
        <f t="array" ref="I3279">IF(B3279="","",_xlfn.XLOOKUP(B3279,'Form responses 1'!$B$2:$B$2604,'Form responses 1'!$I$2:$I$2604,""))</f>
        <v/>
      </c>
      <c r="J3279" s="44" t="str">
        <f t="array" ref="J3279">IF(B3279="","",_xlfn.XLOOKUP(B3279,'Form responses 1'!$B$2:$B$2604,'Form responses 1'!$G$2:$G$2604,""))</f>
        <v/>
      </c>
      <c r="K3279" s="56"/>
      <c r="L3279" s="58" t="str">
        <f t="shared" si="7"/>
        <v/>
      </c>
      <c r="M3279" s="49"/>
      <c r="N3279" s="49"/>
      <c r="O3279" s="49"/>
      <c r="P3279" s="49"/>
      <c r="Q3279" s="49"/>
      <c r="R3279" s="49"/>
      <c r="S3279" s="49"/>
      <c r="T3279" s="49"/>
      <c r="U3279" s="49"/>
      <c r="V3279" s="49"/>
      <c r="W3279" s="56"/>
      <c r="X3279" s="51" t="str">
        <f t="shared" si="5"/>
        <v/>
      </c>
      <c r="Y3279" s="50" t="s">
        <v>482</v>
      </c>
      <c r="Z3279" s="49">
        <f t="shared" si="6"/>
        <v>0</v>
      </c>
    </row>
    <row r="3280" ht="22.5" customHeight="1">
      <c r="B3280" s="57"/>
      <c r="C3280" s="43" t="str">
        <f t="array" ref="C3280">IF(B3280="","",_xlfn.XLOOKUP(B3280,'Form responses 1'!$B$2:$B$2604,'Form responses 1'!$A$2:$A$2604,""))</f>
        <v/>
      </c>
      <c r="D3280" s="44" t="str">
        <f t="shared" si="3"/>
        <v/>
      </c>
      <c r="E3280" s="44" t="str">
        <f t="array" ref="E3280">IF(B3280="","",_xlfn.XLOOKUP(B3280,'Form responses 1'!$B$2:$B$2604,'Form responses 1'!$C$2:$C$2604,""))</f>
        <v/>
      </c>
      <c r="F3280" s="44" t="str">
        <f t="array" ref="F3280">IF(B3280="","",_xlfn.XLOOKUP(B3280,'Form responses 1'!$B$2:$B$2604,'Form responses 1'!$D$2:$D$2604,""))</f>
        <v/>
      </c>
      <c r="G3280" s="44" t="str">
        <f t="array" ref="G3280">IF(B3280="","",_xlfn.XLOOKUP(B3280,'Form responses 1'!$B$2:$B$2604,'Form responses 1'!$E$2:$E$2604,""))</f>
        <v/>
      </c>
      <c r="H3280" s="44" t="str">
        <f t="array" ref="H3280">IF(B3280="","",_xlfn.XLOOKUP(B3280,'Form responses 1'!$B$2:$B$2604,'Form responses 1'!$F$2:$F$2604,""))</f>
        <v/>
      </c>
      <c r="I3280" s="44" t="str">
        <f t="array" ref="I3280">IF(B3280="","",_xlfn.XLOOKUP(B3280,'Form responses 1'!$B$2:$B$2604,'Form responses 1'!$I$2:$I$2604,""))</f>
        <v/>
      </c>
      <c r="J3280" s="44" t="str">
        <f t="array" ref="J3280">IF(B3280="","",_xlfn.XLOOKUP(B3280,'Form responses 1'!$B$2:$B$2604,'Form responses 1'!$G$2:$G$2604,""))</f>
        <v/>
      </c>
      <c r="K3280" s="56"/>
      <c r="L3280" s="58" t="str">
        <f t="shared" si="7"/>
        <v/>
      </c>
      <c r="M3280" s="49"/>
      <c r="N3280" s="49"/>
      <c r="O3280" s="49"/>
      <c r="P3280" s="49"/>
      <c r="Q3280" s="49"/>
      <c r="R3280" s="49"/>
      <c r="S3280" s="49"/>
      <c r="T3280" s="49"/>
      <c r="U3280" s="49"/>
      <c r="V3280" s="49"/>
      <c r="W3280" s="56"/>
      <c r="X3280" s="51" t="str">
        <f t="shared" si="5"/>
        <v/>
      </c>
      <c r="Y3280" s="50" t="s">
        <v>482</v>
      </c>
      <c r="Z3280" s="49">
        <f t="shared" si="6"/>
        <v>0</v>
      </c>
    </row>
    <row r="3281" ht="22.5" customHeight="1">
      <c r="B3281" s="57"/>
      <c r="C3281" s="43" t="str">
        <f t="array" ref="C3281">IF(B3281="","",_xlfn.XLOOKUP(B3281,'Form responses 1'!$B$2:$B$2604,'Form responses 1'!$A$2:$A$2604,""))</f>
        <v/>
      </c>
      <c r="D3281" s="44" t="str">
        <f t="shared" si="3"/>
        <v/>
      </c>
      <c r="E3281" s="44" t="str">
        <f t="array" ref="E3281">IF(B3281="","",_xlfn.XLOOKUP(B3281,'Form responses 1'!$B$2:$B$2604,'Form responses 1'!$C$2:$C$2604,""))</f>
        <v/>
      </c>
      <c r="F3281" s="44" t="str">
        <f t="array" ref="F3281">IF(B3281="","",_xlfn.XLOOKUP(B3281,'Form responses 1'!$B$2:$B$2604,'Form responses 1'!$D$2:$D$2604,""))</f>
        <v/>
      </c>
      <c r="G3281" s="44" t="str">
        <f t="array" ref="G3281">IF(B3281="","",_xlfn.XLOOKUP(B3281,'Form responses 1'!$B$2:$B$2604,'Form responses 1'!$E$2:$E$2604,""))</f>
        <v/>
      </c>
      <c r="H3281" s="44" t="str">
        <f t="array" ref="H3281">IF(B3281="","",_xlfn.XLOOKUP(B3281,'Form responses 1'!$B$2:$B$2604,'Form responses 1'!$F$2:$F$2604,""))</f>
        <v/>
      </c>
      <c r="I3281" s="44" t="str">
        <f t="array" ref="I3281">IF(B3281="","",_xlfn.XLOOKUP(B3281,'Form responses 1'!$B$2:$B$2604,'Form responses 1'!$I$2:$I$2604,""))</f>
        <v/>
      </c>
      <c r="J3281" s="44" t="str">
        <f t="array" ref="J3281">IF(B3281="","",_xlfn.XLOOKUP(B3281,'Form responses 1'!$B$2:$B$2604,'Form responses 1'!$G$2:$G$2604,""))</f>
        <v/>
      </c>
      <c r="K3281" s="56"/>
      <c r="L3281" s="58" t="str">
        <f t="shared" si="7"/>
        <v/>
      </c>
      <c r="M3281" s="49"/>
      <c r="N3281" s="49"/>
      <c r="O3281" s="49"/>
      <c r="P3281" s="49"/>
      <c r="Q3281" s="49"/>
      <c r="R3281" s="49"/>
      <c r="S3281" s="49"/>
      <c r="T3281" s="49"/>
      <c r="U3281" s="49"/>
      <c r="V3281" s="49"/>
      <c r="W3281" s="56"/>
      <c r="X3281" s="51" t="str">
        <f t="shared" si="5"/>
        <v/>
      </c>
      <c r="Y3281" s="50" t="s">
        <v>482</v>
      </c>
      <c r="Z3281" s="49">
        <f t="shared" si="6"/>
        <v>0</v>
      </c>
    </row>
    <row r="3282" ht="22.5" customHeight="1">
      <c r="B3282" s="57"/>
      <c r="C3282" s="43" t="str">
        <f t="array" ref="C3282">IF(B3282="","",_xlfn.XLOOKUP(B3282,'Form responses 1'!$B$2:$B$2604,'Form responses 1'!$A$2:$A$2604,""))</f>
        <v/>
      </c>
      <c r="D3282" s="44" t="str">
        <f t="shared" si="3"/>
        <v/>
      </c>
      <c r="E3282" s="44" t="str">
        <f t="array" ref="E3282">IF(B3282="","",_xlfn.XLOOKUP(B3282,'Form responses 1'!$B$2:$B$2604,'Form responses 1'!$C$2:$C$2604,""))</f>
        <v/>
      </c>
      <c r="F3282" s="44" t="str">
        <f t="array" ref="F3282">IF(B3282="","",_xlfn.XLOOKUP(B3282,'Form responses 1'!$B$2:$B$2604,'Form responses 1'!$D$2:$D$2604,""))</f>
        <v/>
      </c>
      <c r="G3282" s="44" t="str">
        <f t="array" ref="G3282">IF(B3282="","",_xlfn.XLOOKUP(B3282,'Form responses 1'!$B$2:$B$2604,'Form responses 1'!$E$2:$E$2604,""))</f>
        <v/>
      </c>
      <c r="H3282" s="44" t="str">
        <f t="array" ref="H3282">IF(B3282="","",_xlfn.XLOOKUP(B3282,'Form responses 1'!$B$2:$B$2604,'Form responses 1'!$F$2:$F$2604,""))</f>
        <v/>
      </c>
      <c r="I3282" s="44" t="str">
        <f t="array" ref="I3282">IF(B3282="","",_xlfn.XLOOKUP(B3282,'Form responses 1'!$B$2:$B$2604,'Form responses 1'!$I$2:$I$2604,""))</f>
        <v/>
      </c>
      <c r="J3282" s="44" t="str">
        <f t="array" ref="J3282">IF(B3282="","",_xlfn.XLOOKUP(B3282,'Form responses 1'!$B$2:$B$2604,'Form responses 1'!$G$2:$G$2604,""))</f>
        <v/>
      </c>
      <c r="K3282" s="56"/>
      <c r="L3282" s="58" t="str">
        <f t="shared" si="7"/>
        <v/>
      </c>
      <c r="M3282" s="49"/>
      <c r="N3282" s="49"/>
      <c r="O3282" s="49"/>
      <c r="P3282" s="49"/>
      <c r="Q3282" s="49"/>
      <c r="R3282" s="49"/>
      <c r="S3282" s="49"/>
      <c r="T3282" s="49"/>
      <c r="U3282" s="49"/>
      <c r="V3282" s="49"/>
      <c r="W3282" s="56"/>
      <c r="X3282" s="51" t="str">
        <f t="shared" si="5"/>
        <v/>
      </c>
      <c r="Y3282" s="50" t="s">
        <v>482</v>
      </c>
      <c r="Z3282" s="49">
        <f t="shared" si="6"/>
        <v>0</v>
      </c>
    </row>
    <row r="3283" ht="22.5" customHeight="1">
      <c r="B3283" s="57"/>
      <c r="C3283" s="43" t="str">
        <f t="array" ref="C3283">IF(B3283="","",_xlfn.XLOOKUP(B3283,'Form responses 1'!$B$2:$B$2604,'Form responses 1'!$A$2:$A$2604,""))</f>
        <v/>
      </c>
      <c r="D3283" s="44" t="str">
        <f t="shared" si="3"/>
        <v/>
      </c>
      <c r="E3283" s="44" t="str">
        <f t="array" ref="E3283">IF(B3283="","",_xlfn.XLOOKUP(B3283,'Form responses 1'!$B$2:$B$2604,'Form responses 1'!$C$2:$C$2604,""))</f>
        <v/>
      </c>
      <c r="F3283" s="44" t="str">
        <f t="array" ref="F3283">IF(B3283="","",_xlfn.XLOOKUP(B3283,'Form responses 1'!$B$2:$B$2604,'Form responses 1'!$D$2:$D$2604,""))</f>
        <v/>
      </c>
      <c r="G3283" s="44" t="str">
        <f t="array" ref="G3283">IF(B3283="","",_xlfn.XLOOKUP(B3283,'Form responses 1'!$B$2:$B$2604,'Form responses 1'!$E$2:$E$2604,""))</f>
        <v/>
      </c>
      <c r="H3283" s="44" t="str">
        <f t="array" ref="H3283">IF(B3283="","",_xlfn.XLOOKUP(B3283,'Form responses 1'!$B$2:$B$2604,'Form responses 1'!$F$2:$F$2604,""))</f>
        <v/>
      </c>
      <c r="I3283" s="44" t="str">
        <f t="array" ref="I3283">IF(B3283="","",_xlfn.XLOOKUP(B3283,'Form responses 1'!$B$2:$B$2604,'Form responses 1'!$I$2:$I$2604,""))</f>
        <v/>
      </c>
      <c r="J3283" s="44" t="str">
        <f t="array" ref="J3283">IF(B3283="","",_xlfn.XLOOKUP(B3283,'Form responses 1'!$B$2:$B$2604,'Form responses 1'!$G$2:$G$2604,""))</f>
        <v/>
      </c>
      <c r="K3283" s="56"/>
      <c r="L3283" s="58" t="str">
        <f t="shared" si="7"/>
        <v/>
      </c>
      <c r="M3283" s="49"/>
      <c r="N3283" s="49"/>
      <c r="O3283" s="49"/>
      <c r="P3283" s="49"/>
      <c r="Q3283" s="49"/>
      <c r="R3283" s="49"/>
      <c r="S3283" s="49"/>
      <c r="T3283" s="49"/>
      <c r="U3283" s="49"/>
      <c r="V3283" s="49"/>
      <c r="W3283" s="56"/>
      <c r="X3283" s="51" t="str">
        <f t="shared" si="5"/>
        <v/>
      </c>
      <c r="Y3283" s="50" t="s">
        <v>482</v>
      </c>
      <c r="Z3283" s="49">
        <f t="shared" si="6"/>
        <v>0</v>
      </c>
    </row>
    <row r="3284" ht="22.5" customHeight="1">
      <c r="B3284" s="57"/>
      <c r="C3284" s="43" t="str">
        <f t="array" ref="C3284">IF(B3284="","",_xlfn.XLOOKUP(B3284,'Form responses 1'!$B$2:$B$2604,'Form responses 1'!$A$2:$A$2604,""))</f>
        <v/>
      </c>
      <c r="D3284" s="44" t="str">
        <f t="shared" si="3"/>
        <v/>
      </c>
      <c r="E3284" s="44" t="str">
        <f t="array" ref="E3284">IF(B3284="","",_xlfn.XLOOKUP(B3284,'Form responses 1'!$B$2:$B$2604,'Form responses 1'!$C$2:$C$2604,""))</f>
        <v/>
      </c>
      <c r="F3284" s="44" t="str">
        <f t="array" ref="F3284">IF(B3284="","",_xlfn.XLOOKUP(B3284,'Form responses 1'!$B$2:$B$2604,'Form responses 1'!$D$2:$D$2604,""))</f>
        <v/>
      </c>
      <c r="G3284" s="44" t="str">
        <f t="array" ref="G3284">IF(B3284="","",_xlfn.XLOOKUP(B3284,'Form responses 1'!$B$2:$B$2604,'Form responses 1'!$E$2:$E$2604,""))</f>
        <v/>
      </c>
      <c r="H3284" s="44" t="str">
        <f t="array" ref="H3284">IF(B3284="","",_xlfn.XLOOKUP(B3284,'Form responses 1'!$B$2:$B$2604,'Form responses 1'!$F$2:$F$2604,""))</f>
        <v/>
      </c>
      <c r="I3284" s="44" t="str">
        <f t="array" ref="I3284">IF(B3284="","",_xlfn.XLOOKUP(B3284,'Form responses 1'!$B$2:$B$2604,'Form responses 1'!$I$2:$I$2604,""))</f>
        <v/>
      </c>
      <c r="J3284" s="44" t="str">
        <f t="array" ref="J3284">IF(B3284="","",_xlfn.XLOOKUP(B3284,'Form responses 1'!$B$2:$B$2604,'Form responses 1'!$G$2:$G$2604,""))</f>
        <v/>
      </c>
      <c r="K3284" s="56"/>
      <c r="L3284" s="58" t="str">
        <f t="shared" si="7"/>
        <v/>
      </c>
      <c r="M3284" s="49"/>
      <c r="N3284" s="49"/>
      <c r="O3284" s="49"/>
      <c r="P3284" s="49"/>
      <c r="Q3284" s="49"/>
      <c r="R3284" s="49"/>
      <c r="S3284" s="49"/>
      <c r="T3284" s="49"/>
      <c r="U3284" s="49"/>
      <c r="V3284" s="49"/>
      <c r="W3284" s="56"/>
      <c r="X3284" s="51" t="str">
        <f t="shared" si="5"/>
        <v/>
      </c>
      <c r="Y3284" s="50" t="s">
        <v>482</v>
      </c>
      <c r="Z3284" s="49">
        <f t="shared" si="6"/>
        <v>0</v>
      </c>
    </row>
    <row r="3285" ht="22.5" customHeight="1">
      <c r="B3285" s="57"/>
      <c r="C3285" s="43" t="str">
        <f t="array" ref="C3285">IF(B3285="","",_xlfn.XLOOKUP(B3285,'Form responses 1'!$B$2:$B$2604,'Form responses 1'!$A$2:$A$2604,""))</f>
        <v/>
      </c>
      <c r="D3285" s="44" t="str">
        <f t="shared" si="3"/>
        <v/>
      </c>
      <c r="E3285" s="44" t="str">
        <f t="array" ref="E3285">IF(B3285="","",_xlfn.XLOOKUP(B3285,'Form responses 1'!$B$2:$B$2604,'Form responses 1'!$C$2:$C$2604,""))</f>
        <v/>
      </c>
      <c r="F3285" s="44" t="str">
        <f t="array" ref="F3285">IF(B3285="","",_xlfn.XLOOKUP(B3285,'Form responses 1'!$B$2:$B$2604,'Form responses 1'!$D$2:$D$2604,""))</f>
        <v/>
      </c>
      <c r="G3285" s="44" t="str">
        <f t="array" ref="G3285">IF(B3285="","",_xlfn.XLOOKUP(B3285,'Form responses 1'!$B$2:$B$2604,'Form responses 1'!$E$2:$E$2604,""))</f>
        <v/>
      </c>
      <c r="H3285" s="44" t="str">
        <f t="array" ref="H3285">IF(B3285="","",_xlfn.XLOOKUP(B3285,'Form responses 1'!$B$2:$B$2604,'Form responses 1'!$F$2:$F$2604,""))</f>
        <v/>
      </c>
      <c r="I3285" s="44" t="str">
        <f t="array" ref="I3285">IF(B3285="","",_xlfn.XLOOKUP(B3285,'Form responses 1'!$B$2:$B$2604,'Form responses 1'!$I$2:$I$2604,""))</f>
        <v/>
      </c>
      <c r="J3285" s="44" t="str">
        <f t="array" ref="J3285">IF(B3285="","",_xlfn.XLOOKUP(B3285,'Form responses 1'!$B$2:$B$2604,'Form responses 1'!$G$2:$G$2604,""))</f>
        <v/>
      </c>
      <c r="K3285" s="56"/>
      <c r="L3285" s="58" t="str">
        <f t="shared" si="7"/>
        <v/>
      </c>
      <c r="M3285" s="49"/>
      <c r="N3285" s="49"/>
      <c r="O3285" s="49"/>
      <c r="P3285" s="49"/>
      <c r="Q3285" s="49"/>
      <c r="R3285" s="49"/>
      <c r="S3285" s="49"/>
      <c r="T3285" s="49"/>
      <c r="U3285" s="49"/>
      <c r="V3285" s="49"/>
      <c r="W3285" s="56"/>
      <c r="X3285" s="51" t="str">
        <f t="shared" si="5"/>
        <v/>
      </c>
      <c r="Y3285" s="50" t="s">
        <v>482</v>
      </c>
      <c r="Z3285" s="49">
        <f t="shared" si="6"/>
        <v>0</v>
      </c>
    </row>
    <row r="3286" ht="22.5" customHeight="1">
      <c r="B3286" s="57"/>
      <c r="C3286" s="43" t="str">
        <f t="array" ref="C3286">IF(B3286="","",_xlfn.XLOOKUP(B3286,'Form responses 1'!$B$2:$B$2604,'Form responses 1'!$A$2:$A$2604,""))</f>
        <v/>
      </c>
      <c r="D3286" s="44" t="str">
        <f t="shared" si="3"/>
        <v/>
      </c>
      <c r="E3286" s="44" t="str">
        <f t="array" ref="E3286">IF(B3286="","",_xlfn.XLOOKUP(B3286,'Form responses 1'!$B$2:$B$2604,'Form responses 1'!$C$2:$C$2604,""))</f>
        <v/>
      </c>
      <c r="F3286" s="44" t="str">
        <f t="array" ref="F3286">IF(B3286="","",_xlfn.XLOOKUP(B3286,'Form responses 1'!$B$2:$B$2604,'Form responses 1'!$D$2:$D$2604,""))</f>
        <v/>
      </c>
      <c r="G3286" s="44" t="str">
        <f t="array" ref="G3286">IF(B3286="","",_xlfn.XLOOKUP(B3286,'Form responses 1'!$B$2:$B$2604,'Form responses 1'!$E$2:$E$2604,""))</f>
        <v/>
      </c>
      <c r="H3286" s="44" t="str">
        <f t="array" ref="H3286">IF(B3286="","",_xlfn.XLOOKUP(B3286,'Form responses 1'!$B$2:$B$2604,'Form responses 1'!$F$2:$F$2604,""))</f>
        <v/>
      </c>
      <c r="I3286" s="44" t="str">
        <f t="array" ref="I3286">IF(B3286="","",_xlfn.XLOOKUP(B3286,'Form responses 1'!$B$2:$B$2604,'Form responses 1'!$I$2:$I$2604,""))</f>
        <v/>
      </c>
      <c r="J3286" s="44" t="str">
        <f t="array" ref="J3286">IF(B3286="","",_xlfn.XLOOKUP(B3286,'Form responses 1'!$B$2:$B$2604,'Form responses 1'!$G$2:$G$2604,""))</f>
        <v/>
      </c>
      <c r="K3286" s="56"/>
      <c r="L3286" s="58" t="str">
        <f t="shared" si="7"/>
        <v/>
      </c>
      <c r="M3286" s="49"/>
      <c r="N3286" s="49"/>
      <c r="O3286" s="49"/>
      <c r="P3286" s="49"/>
      <c r="Q3286" s="49"/>
      <c r="R3286" s="49"/>
      <c r="S3286" s="49"/>
      <c r="T3286" s="49"/>
      <c r="U3286" s="49"/>
      <c r="V3286" s="49"/>
      <c r="W3286" s="56"/>
      <c r="X3286" s="51" t="str">
        <f t="shared" si="5"/>
        <v/>
      </c>
      <c r="Y3286" s="50" t="s">
        <v>482</v>
      </c>
      <c r="Z3286" s="49">
        <f t="shared" si="6"/>
        <v>0</v>
      </c>
    </row>
    <row r="3287" ht="22.5" customHeight="1">
      <c r="B3287" s="57"/>
      <c r="C3287" s="43" t="str">
        <f t="array" ref="C3287">IF(B3287="","",_xlfn.XLOOKUP(B3287,'Form responses 1'!$B$2:$B$2604,'Form responses 1'!$A$2:$A$2604,""))</f>
        <v/>
      </c>
      <c r="D3287" s="44" t="str">
        <f t="shared" si="3"/>
        <v/>
      </c>
      <c r="E3287" s="44" t="str">
        <f t="array" ref="E3287">IF(B3287="","",_xlfn.XLOOKUP(B3287,'Form responses 1'!$B$2:$B$2604,'Form responses 1'!$C$2:$C$2604,""))</f>
        <v/>
      </c>
      <c r="F3287" s="44" t="str">
        <f t="array" ref="F3287">IF(B3287="","",_xlfn.XLOOKUP(B3287,'Form responses 1'!$B$2:$B$2604,'Form responses 1'!$D$2:$D$2604,""))</f>
        <v/>
      </c>
      <c r="G3287" s="44" t="str">
        <f t="array" ref="G3287">IF(B3287="","",_xlfn.XLOOKUP(B3287,'Form responses 1'!$B$2:$B$2604,'Form responses 1'!$E$2:$E$2604,""))</f>
        <v/>
      </c>
      <c r="H3287" s="44" t="str">
        <f t="array" ref="H3287">IF(B3287="","",_xlfn.XLOOKUP(B3287,'Form responses 1'!$B$2:$B$2604,'Form responses 1'!$F$2:$F$2604,""))</f>
        <v/>
      </c>
      <c r="I3287" s="44" t="str">
        <f t="array" ref="I3287">IF(B3287="","",_xlfn.XLOOKUP(B3287,'Form responses 1'!$B$2:$B$2604,'Form responses 1'!$I$2:$I$2604,""))</f>
        <v/>
      </c>
      <c r="J3287" s="44" t="str">
        <f t="array" ref="J3287">IF(B3287="","",_xlfn.XLOOKUP(B3287,'Form responses 1'!$B$2:$B$2604,'Form responses 1'!$G$2:$G$2604,""))</f>
        <v/>
      </c>
      <c r="K3287" s="56"/>
      <c r="L3287" s="58" t="str">
        <f t="shared" si="7"/>
        <v/>
      </c>
      <c r="M3287" s="49"/>
      <c r="N3287" s="49"/>
      <c r="O3287" s="49"/>
      <c r="P3287" s="49"/>
      <c r="Q3287" s="49"/>
      <c r="R3287" s="49"/>
      <c r="S3287" s="49"/>
      <c r="T3287" s="49"/>
      <c r="U3287" s="49"/>
      <c r="V3287" s="49"/>
      <c r="W3287" s="56"/>
      <c r="X3287" s="51" t="str">
        <f t="shared" si="5"/>
        <v/>
      </c>
      <c r="Y3287" s="50" t="s">
        <v>482</v>
      </c>
      <c r="Z3287" s="49">
        <f t="shared" si="6"/>
        <v>0</v>
      </c>
    </row>
    <row r="3288" ht="22.5" customHeight="1">
      <c r="B3288" s="57"/>
      <c r="C3288" s="43" t="str">
        <f t="array" ref="C3288">IF(B3288="","",_xlfn.XLOOKUP(B3288,'Form responses 1'!$B$2:$B$2604,'Form responses 1'!$A$2:$A$2604,""))</f>
        <v/>
      </c>
      <c r="D3288" s="44" t="str">
        <f t="shared" si="3"/>
        <v/>
      </c>
      <c r="E3288" s="44" t="str">
        <f t="array" ref="E3288">IF(B3288="","",_xlfn.XLOOKUP(B3288,'Form responses 1'!$B$2:$B$2604,'Form responses 1'!$C$2:$C$2604,""))</f>
        <v/>
      </c>
      <c r="F3288" s="44" t="str">
        <f t="array" ref="F3288">IF(B3288="","",_xlfn.XLOOKUP(B3288,'Form responses 1'!$B$2:$B$2604,'Form responses 1'!$D$2:$D$2604,""))</f>
        <v/>
      </c>
      <c r="G3288" s="44" t="str">
        <f t="array" ref="G3288">IF(B3288="","",_xlfn.XLOOKUP(B3288,'Form responses 1'!$B$2:$B$2604,'Form responses 1'!$E$2:$E$2604,""))</f>
        <v/>
      </c>
      <c r="H3288" s="44" t="str">
        <f t="array" ref="H3288">IF(B3288="","",_xlfn.XLOOKUP(B3288,'Form responses 1'!$B$2:$B$2604,'Form responses 1'!$F$2:$F$2604,""))</f>
        <v/>
      </c>
      <c r="I3288" s="44" t="str">
        <f t="array" ref="I3288">IF(B3288="","",_xlfn.XLOOKUP(B3288,'Form responses 1'!$B$2:$B$2604,'Form responses 1'!$I$2:$I$2604,""))</f>
        <v/>
      </c>
      <c r="J3288" s="44" t="str">
        <f t="array" ref="J3288">IF(B3288="","",_xlfn.XLOOKUP(B3288,'Form responses 1'!$B$2:$B$2604,'Form responses 1'!$G$2:$G$2604,""))</f>
        <v/>
      </c>
      <c r="K3288" s="56"/>
      <c r="L3288" s="58" t="str">
        <f t="shared" si="7"/>
        <v/>
      </c>
      <c r="M3288" s="49"/>
      <c r="N3288" s="49"/>
      <c r="O3288" s="49"/>
      <c r="P3288" s="49"/>
      <c r="Q3288" s="49"/>
      <c r="R3288" s="49"/>
      <c r="S3288" s="49"/>
      <c r="T3288" s="49"/>
      <c r="U3288" s="49"/>
      <c r="V3288" s="49"/>
      <c r="W3288" s="56"/>
      <c r="X3288" s="51" t="str">
        <f t="shared" si="5"/>
        <v/>
      </c>
      <c r="Y3288" s="50" t="s">
        <v>482</v>
      </c>
      <c r="Z3288" s="49">
        <f t="shared" si="6"/>
        <v>0</v>
      </c>
    </row>
    <row r="3289" ht="22.5" customHeight="1">
      <c r="B3289" s="57"/>
      <c r="C3289" s="43" t="str">
        <f t="array" ref="C3289">IF(B3289="","",_xlfn.XLOOKUP(B3289,'Form responses 1'!$B$2:$B$2604,'Form responses 1'!$A$2:$A$2604,""))</f>
        <v/>
      </c>
      <c r="D3289" s="44" t="str">
        <f t="shared" si="3"/>
        <v/>
      </c>
      <c r="E3289" s="44" t="str">
        <f t="array" ref="E3289">IF(B3289="","",_xlfn.XLOOKUP(B3289,'Form responses 1'!$B$2:$B$2604,'Form responses 1'!$C$2:$C$2604,""))</f>
        <v/>
      </c>
      <c r="F3289" s="44" t="str">
        <f t="array" ref="F3289">IF(B3289="","",_xlfn.XLOOKUP(B3289,'Form responses 1'!$B$2:$B$2604,'Form responses 1'!$D$2:$D$2604,""))</f>
        <v/>
      </c>
      <c r="G3289" s="44" t="str">
        <f t="array" ref="G3289">IF(B3289="","",_xlfn.XLOOKUP(B3289,'Form responses 1'!$B$2:$B$2604,'Form responses 1'!$E$2:$E$2604,""))</f>
        <v/>
      </c>
      <c r="H3289" s="44" t="str">
        <f t="array" ref="H3289">IF(B3289="","",_xlfn.XLOOKUP(B3289,'Form responses 1'!$B$2:$B$2604,'Form responses 1'!$F$2:$F$2604,""))</f>
        <v/>
      </c>
      <c r="I3289" s="44" t="str">
        <f t="array" ref="I3289">IF(B3289="","",_xlfn.XLOOKUP(B3289,'Form responses 1'!$B$2:$B$2604,'Form responses 1'!$I$2:$I$2604,""))</f>
        <v/>
      </c>
      <c r="J3289" s="44" t="str">
        <f t="array" ref="J3289">IF(B3289="","",_xlfn.XLOOKUP(B3289,'Form responses 1'!$B$2:$B$2604,'Form responses 1'!$G$2:$G$2604,""))</f>
        <v/>
      </c>
      <c r="K3289" s="56"/>
      <c r="L3289" s="58" t="str">
        <f t="shared" si="7"/>
        <v/>
      </c>
      <c r="M3289" s="49"/>
      <c r="N3289" s="49"/>
      <c r="O3289" s="49"/>
      <c r="P3289" s="49"/>
      <c r="Q3289" s="49"/>
      <c r="R3289" s="49"/>
      <c r="S3289" s="49"/>
      <c r="T3289" s="49"/>
      <c r="U3289" s="49"/>
      <c r="V3289" s="49"/>
      <c r="W3289" s="56"/>
      <c r="X3289" s="51" t="str">
        <f t="shared" si="5"/>
        <v/>
      </c>
      <c r="Y3289" s="50" t="s">
        <v>482</v>
      </c>
      <c r="Z3289" s="49">
        <f t="shared" si="6"/>
        <v>0</v>
      </c>
    </row>
    <row r="3290" ht="22.5" customHeight="1">
      <c r="B3290" s="57"/>
      <c r="C3290" s="43" t="str">
        <f t="array" ref="C3290">IF(B3290="","",_xlfn.XLOOKUP(B3290,'Form responses 1'!$B$2:$B$2604,'Form responses 1'!$A$2:$A$2604,""))</f>
        <v/>
      </c>
      <c r="D3290" s="44" t="str">
        <f t="shared" si="3"/>
        <v/>
      </c>
      <c r="E3290" s="44" t="str">
        <f t="array" ref="E3290">IF(B3290="","",_xlfn.XLOOKUP(B3290,'Form responses 1'!$B$2:$B$2604,'Form responses 1'!$C$2:$C$2604,""))</f>
        <v/>
      </c>
      <c r="F3290" s="44" t="str">
        <f t="array" ref="F3290">IF(B3290="","",_xlfn.XLOOKUP(B3290,'Form responses 1'!$B$2:$B$2604,'Form responses 1'!$D$2:$D$2604,""))</f>
        <v/>
      </c>
      <c r="G3290" s="44" t="str">
        <f t="array" ref="G3290">IF(B3290="","",_xlfn.XLOOKUP(B3290,'Form responses 1'!$B$2:$B$2604,'Form responses 1'!$E$2:$E$2604,""))</f>
        <v/>
      </c>
      <c r="H3290" s="44" t="str">
        <f t="array" ref="H3290">IF(B3290="","",_xlfn.XLOOKUP(B3290,'Form responses 1'!$B$2:$B$2604,'Form responses 1'!$F$2:$F$2604,""))</f>
        <v/>
      </c>
      <c r="I3290" s="44" t="str">
        <f t="array" ref="I3290">IF(B3290="","",_xlfn.XLOOKUP(B3290,'Form responses 1'!$B$2:$B$2604,'Form responses 1'!$I$2:$I$2604,""))</f>
        <v/>
      </c>
      <c r="J3290" s="44" t="str">
        <f t="array" ref="J3290">IF(B3290="","",_xlfn.XLOOKUP(B3290,'Form responses 1'!$B$2:$B$2604,'Form responses 1'!$G$2:$G$2604,""))</f>
        <v/>
      </c>
      <c r="K3290" s="56"/>
      <c r="L3290" s="58" t="str">
        <f t="shared" si="7"/>
        <v/>
      </c>
      <c r="M3290" s="49"/>
      <c r="N3290" s="49"/>
      <c r="O3290" s="49"/>
      <c r="P3290" s="49"/>
      <c r="Q3290" s="49"/>
      <c r="R3290" s="49"/>
      <c r="S3290" s="49"/>
      <c r="T3290" s="49"/>
      <c r="U3290" s="49"/>
      <c r="V3290" s="49"/>
      <c r="W3290" s="56"/>
      <c r="X3290" s="51" t="str">
        <f t="shared" si="5"/>
        <v/>
      </c>
      <c r="Y3290" s="50" t="s">
        <v>482</v>
      </c>
      <c r="Z3290" s="49">
        <f t="shared" si="6"/>
        <v>0</v>
      </c>
    </row>
    <row r="3291" ht="22.5" customHeight="1">
      <c r="B3291" s="57"/>
      <c r="C3291" s="43" t="str">
        <f t="array" ref="C3291">IF(B3291="","",_xlfn.XLOOKUP(B3291,'Form responses 1'!$B$2:$B$2604,'Form responses 1'!$A$2:$A$2604,""))</f>
        <v/>
      </c>
      <c r="D3291" s="44" t="str">
        <f t="shared" si="3"/>
        <v/>
      </c>
      <c r="E3291" s="44" t="str">
        <f t="array" ref="E3291">IF(B3291="","",_xlfn.XLOOKUP(B3291,'Form responses 1'!$B$2:$B$2604,'Form responses 1'!$C$2:$C$2604,""))</f>
        <v/>
      </c>
      <c r="F3291" s="44" t="str">
        <f t="array" ref="F3291">IF(B3291="","",_xlfn.XLOOKUP(B3291,'Form responses 1'!$B$2:$B$2604,'Form responses 1'!$D$2:$D$2604,""))</f>
        <v/>
      </c>
      <c r="G3291" s="44" t="str">
        <f t="array" ref="G3291">IF(B3291="","",_xlfn.XLOOKUP(B3291,'Form responses 1'!$B$2:$B$2604,'Form responses 1'!$E$2:$E$2604,""))</f>
        <v/>
      </c>
      <c r="H3291" s="44" t="str">
        <f t="array" ref="H3291">IF(B3291="","",_xlfn.XLOOKUP(B3291,'Form responses 1'!$B$2:$B$2604,'Form responses 1'!$F$2:$F$2604,""))</f>
        <v/>
      </c>
      <c r="I3291" s="44" t="str">
        <f t="array" ref="I3291">IF(B3291="","",_xlfn.XLOOKUP(B3291,'Form responses 1'!$B$2:$B$2604,'Form responses 1'!$I$2:$I$2604,""))</f>
        <v/>
      </c>
      <c r="J3291" s="44" t="str">
        <f t="array" ref="J3291">IF(B3291="","",_xlfn.XLOOKUP(B3291,'Form responses 1'!$B$2:$B$2604,'Form responses 1'!$G$2:$G$2604,""))</f>
        <v/>
      </c>
      <c r="K3291" s="56"/>
      <c r="L3291" s="58" t="str">
        <f t="shared" si="7"/>
        <v/>
      </c>
      <c r="M3291" s="49"/>
      <c r="N3291" s="49"/>
      <c r="O3291" s="49"/>
      <c r="P3291" s="49"/>
      <c r="Q3291" s="49"/>
      <c r="R3291" s="49"/>
      <c r="S3291" s="49"/>
      <c r="T3291" s="49"/>
      <c r="U3291" s="49"/>
      <c r="V3291" s="49"/>
      <c r="W3291" s="56"/>
      <c r="X3291" s="51" t="str">
        <f t="shared" si="5"/>
        <v/>
      </c>
      <c r="Y3291" s="50" t="s">
        <v>482</v>
      </c>
      <c r="Z3291" s="49">
        <f t="shared" si="6"/>
        <v>0</v>
      </c>
    </row>
    <row r="3292" ht="22.5" customHeight="1">
      <c r="B3292" s="57"/>
      <c r="C3292" s="43" t="str">
        <f t="array" ref="C3292">IF(B3292="","",_xlfn.XLOOKUP(B3292,'Form responses 1'!$B$2:$B$2604,'Form responses 1'!$A$2:$A$2604,""))</f>
        <v/>
      </c>
      <c r="D3292" s="44" t="str">
        <f t="shared" si="3"/>
        <v/>
      </c>
      <c r="E3292" s="44" t="str">
        <f t="array" ref="E3292">IF(B3292="","",_xlfn.XLOOKUP(B3292,'Form responses 1'!$B$2:$B$2604,'Form responses 1'!$C$2:$C$2604,""))</f>
        <v/>
      </c>
      <c r="F3292" s="44" t="str">
        <f t="array" ref="F3292">IF(B3292="","",_xlfn.XLOOKUP(B3292,'Form responses 1'!$B$2:$B$2604,'Form responses 1'!$D$2:$D$2604,""))</f>
        <v/>
      </c>
      <c r="G3292" s="44" t="str">
        <f t="array" ref="G3292">IF(B3292="","",_xlfn.XLOOKUP(B3292,'Form responses 1'!$B$2:$B$2604,'Form responses 1'!$E$2:$E$2604,""))</f>
        <v/>
      </c>
      <c r="H3292" s="44" t="str">
        <f t="array" ref="H3292">IF(B3292="","",_xlfn.XLOOKUP(B3292,'Form responses 1'!$B$2:$B$2604,'Form responses 1'!$F$2:$F$2604,""))</f>
        <v/>
      </c>
      <c r="I3292" s="44" t="str">
        <f t="array" ref="I3292">IF(B3292="","",_xlfn.XLOOKUP(B3292,'Form responses 1'!$B$2:$B$2604,'Form responses 1'!$I$2:$I$2604,""))</f>
        <v/>
      </c>
      <c r="J3292" s="44" t="str">
        <f t="array" ref="J3292">IF(B3292="","",_xlfn.XLOOKUP(B3292,'Form responses 1'!$B$2:$B$2604,'Form responses 1'!$G$2:$G$2604,""))</f>
        <v/>
      </c>
      <c r="K3292" s="56"/>
      <c r="L3292" s="58" t="str">
        <f t="shared" si="7"/>
        <v/>
      </c>
      <c r="M3292" s="49"/>
      <c r="N3292" s="49"/>
      <c r="O3292" s="49"/>
      <c r="P3292" s="49"/>
      <c r="Q3292" s="49"/>
      <c r="R3292" s="49"/>
      <c r="S3292" s="49"/>
      <c r="T3292" s="49"/>
      <c r="U3292" s="49"/>
      <c r="V3292" s="49"/>
      <c r="W3292" s="56"/>
      <c r="X3292" s="51" t="str">
        <f t="shared" si="5"/>
        <v/>
      </c>
      <c r="Y3292" s="50" t="s">
        <v>482</v>
      </c>
      <c r="Z3292" s="49">
        <f t="shared" si="6"/>
        <v>0</v>
      </c>
    </row>
    <row r="3293" ht="22.5" customHeight="1">
      <c r="B3293" s="57"/>
      <c r="C3293" s="43" t="str">
        <f t="array" ref="C3293">IF(B3293="","",_xlfn.XLOOKUP(B3293,'Form responses 1'!$B$2:$B$2604,'Form responses 1'!$A$2:$A$2604,""))</f>
        <v/>
      </c>
      <c r="D3293" s="44" t="str">
        <f t="shared" si="3"/>
        <v/>
      </c>
      <c r="E3293" s="44" t="str">
        <f t="array" ref="E3293">IF(B3293="","",_xlfn.XLOOKUP(B3293,'Form responses 1'!$B$2:$B$2604,'Form responses 1'!$C$2:$C$2604,""))</f>
        <v/>
      </c>
      <c r="F3293" s="44" t="str">
        <f t="array" ref="F3293">IF(B3293="","",_xlfn.XLOOKUP(B3293,'Form responses 1'!$B$2:$B$2604,'Form responses 1'!$D$2:$D$2604,""))</f>
        <v/>
      </c>
      <c r="G3293" s="44" t="str">
        <f t="array" ref="G3293">IF(B3293="","",_xlfn.XLOOKUP(B3293,'Form responses 1'!$B$2:$B$2604,'Form responses 1'!$E$2:$E$2604,""))</f>
        <v/>
      </c>
      <c r="H3293" s="44" t="str">
        <f t="array" ref="H3293">IF(B3293="","",_xlfn.XLOOKUP(B3293,'Form responses 1'!$B$2:$B$2604,'Form responses 1'!$F$2:$F$2604,""))</f>
        <v/>
      </c>
      <c r="I3293" s="44" t="str">
        <f t="array" ref="I3293">IF(B3293="","",_xlfn.XLOOKUP(B3293,'Form responses 1'!$B$2:$B$2604,'Form responses 1'!$I$2:$I$2604,""))</f>
        <v/>
      </c>
      <c r="J3293" s="44" t="str">
        <f t="array" ref="J3293">IF(B3293="","",_xlfn.XLOOKUP(B3293,'Form responses 1'!$B$2:$B$2604,'Form responses 1'!$G$2:$G$2604,""))</f>
        <v/>
      </c>
      <c r="K3293" s="56"/>
      <c r="L3293" s="58" t="str">
        <f t="shared" si="7"/>
        <v/>
      </c>
      <c r="M3293" s="49"/>
      <c r="N3293" s="49"/>
      <c r="O3293" s="49"/>
      <c r="P3293" s="49"/>
      <c r="Q3293" s="49"/>
      <c r="R3293" s="49"/>
      <c r="S3293" s="49"/>
      <c r="T3293" s="49"/>
      <c r="U3293" s="49"/>
      <c r="V3293" s="49"/>
      <c r="W3293" s="56"/>
      <c r="X3293" s="51" t="str">
        <f t="shared" si="5"/>
        <v/>
      </c>
      <c r="Y3293" s="50" t="s">
        <v>482</v>
      </c>
      <c r="Z3293" s="49">
        <f t="shared" si="6"/>
        <v>0</v>
      </c>
    </row>
    <row r="3294" ht="22.5" customHeight="1">
      <c r="B3294" s="57"/>
      <c r="C3294" s="43" t="str">
        <f t="array" ref="C3294">IF(B3294="","",_xlfn.XLOOKUP(B3294,'Form responses 1'!$B$2:$B$2604,'Form responses 1'!$A$2:$A$2604,""))</f>
        <v/>
      </c>
      <c r="D3294" s="44" t="str">
        <f t="shared" si="3"/>
        <v/>
      </c>
      <c r="E3294" s="44" t="str">
        <f t="array" ref="E3294">IF(B3294="","",_xlfn.XLOOKUP(B3294,'Form responses 1'!$B$2:$B$2604,'Form responses 1'!$C$2:$C$2604,""))</f>
        <v/>
      </c>
      <c r="F3294" s="44" t="str">
        <f t="array" ref="F3294">IF(B3294="","",_xlfn.XLOOKUP(B3294,'Form responses 1'!$B$2:$B$2604,'Form responses 1'!$D$2:$D$2604,""))</f>
        <v/>
      </c>
      <c r="G3294" s="44" t="str">
        <f t="array" ref="G3294">IF(B3294="","",_xlfn.XLOOKUP(B3294,'Form responses 1'!$B$2:$B$2604,'Form responses 1'!$E$2:$E$2604,""))</f>
        <v/>
      </c>
      <c r="H3294" s="44" t="str">
        <f t="array" ref="H3294">IF(B3294="","",_xlfn.XLOOKUP(B3294,'Form responses 1'!$B$2:$B$2604,'Form responses 1'!$F$2:$F$2604,""))</f>
        <v/>
      </c>
      <c r="I3294" s="44" t="str">
        <f t="array" ref="I3294">IF(B3294="","",_xlfn.XLOOKUP(B3294,'Form responses 1'!$B$2:$B$2604,'Form responses 1'!$I$2:$I$2604,""))</f>
        <v/>
      </c>
      <c r="J3294" s="44" t="str">
        <f t="array" ref="J3294">IF(B3294="","",_xlfn.XLOOKUP(B3294,'Form responses 1'!$B$2:$B$2604,'Form responses 1'!$G$2:$G$2604,""))</f>
        <v/>
      </c>
      <c r="K3294" s="56"/>
      <c r="L3294" s="58" t="str">
        <f t="shared" si="7"/>
        <v/>
      </c>
      <c r="M3294" s="49"/>
      <c r="N3294" s="49"/>
      <c r="O3294" s="49"/>
      <c r="P3294" s="49"/>
      <c r="Q3294" s="49"/>
      <c r="R3294" s="49"/>
      <c r="S3294" s="49"/>
      <c r="T3294" s="49"/>
      <c r="U3294" s="49"/>
      <c r="V3294" s="49"/>
      <c r="W3294" s="56"/>
      <c r="X3294" s="51" t="str">
        <f t="shared" si="5"/>
        <v/>
      </c>
      <c r="Y3294" s="50" t="s">
        <v>482</v>
      </c>
      <c r="Z3294" s="49">
        <f t="shared" si="6"/>
        <v>0</v>
      </c>
    </row>
    <row r="3295" ht="22.5" customHeight="1">
      <c r="B3295" s="57"/>
      <c r="C3295" s="43" t="str">
        <f t="array" ref="C3295">IF(B3295="","",_xlfn.XLOOKUP(B3295,'Form responses 1'!$B$2:$B$2604,'Form responses 1'!$A$2:$A$2604,""))</f>
        <v/>
      </c>
      <c r="D3295" s="44" t="str">
        <f t="shared" si="3"/>
        <v/>
      </c>
      <c r="E3295" s="44" t="str">
        <f t="array" ref="E3295">IF(B3295="","",_xlfn.XLOOKUP(B3295,'Form responses 1'!$B$2:$B$2604,'Form responses 1'!$C$2:$C$2604,""))</f>
        <v/>
      </c>
      <c r="F3295" s="44" t="str">
        <f t="array" ref="F3295">IF(B3295="","",_xlfn.XLOOKUP(B3295,'Form responses 1'!$B$2:$B$2604,'Form responses 1'!$D$2:$D$2604,""))</f>
        <v/>
      </c>
      <c r="G3295" s="44" t="str">
        <f t="array" ref="G3295">IF(B3295="","",_xlfn.XLOOKUP(B3295,'Form responses 1'!$B$2:$B$2604,'Form responses 1'!$E$2:$E$2604,""))</f>
        <v/>
      </c>
      <c r="H3295" s="44" t="str">
        <f t="array" ref="H3295">IF(B3295="","",_xlfn.XLOOKUP(B3295,'Form responses 1'!$B$2:$B$2604,'Form responses 1'!$F$2:$F$2604,""))</f>
        <v/>
      </c>
      <c r="I3295" s="44" t="str">
        <f t="array" ref="I3295">IF(B3295="","",_xlfn.XLOOKUP(B3295,'Form responses 1'!$B$2:$B$2604,'Form responses 1'!$I$2:$I$2604,""))</f>
        <v/>
      </c>
      <c r="J3295" s="44" t="str">
        <f t="array" ref="J3295">IF(B3295="","",_xlfn.XLOOKUP(B3295,'Form responses 1'!$B$2:$B$2604,'Form responses 1'!$G$2:$G$2604,""))</f>
        <v/>
      </c>
      <c r="K3295" s="56"/>
      <c r="L3295" s="58" t="str">
        <f t="shared" si="7"/>
        <v/>
      </c>
      <c r="M3295" s="49"/>
      <c r="N3295" s="49"/>
      <c r="O3295" s="49"/>
      <c r="P3295" s="49"/>
      <c r="Q3295" s="49"/>
      <c r="R3295" s="49"/>
      <c r="S3295" s="49"/>
      <c r="T3295" s="49"/>
      <c r="U3295" s="49"/>
      <c r="V3295" s="49"/>
      <c r="W3295" s="56"/>
      <c r="X3295" s="51" t="str">
        <f t="shared" si="5"/>
        <v/>
      </c>
      <c r="Y3295" s="50" t="s">
        <v>482</v>
      </c>
      <c r="Z3295" s="49">
        <f t="shared" si="6"/>
        <v>0</v>
      </c>
    </row>
    <row r="3296" ht="22.5" customHeight="1">
      <c r="B3296" s="57"/>
      <c r="C3296" s="43" t="str">
        <f t="array" ref="C3296">IF(B3296="","",_xlfn.XLOOKUP(B3296,'Form responses 1'!$B$2:$B$2604,'Form responses 1'!$A$2:$A$2604,""))</f>
        <v/>
      </c>
      <c r="D3296" s="44" t="str">
        <f t="shared" si="3"/>
        <v/>
      </c>
      <c r="E3296" s="44" t="str">
        <f t="array" ref="E3296">IF(B3296="","",_xlfn.XLOOKUP(B3296,'Form responses 1'!$B$2:$B$2604,'Form responses 1'!$C$2:$C$2604,""))</f>
        <v/>
      </c>
      <c r="F3296" s="44" t="str">
        <f t="array" ref="F3296">IF(B3296="","",_xlfn.XLOOKUP(B3296,'Form responses 1'!$B$2:$B$2604,'Form responses 1'!$D$2:$D$2604,""))</f>
        <v/>
      </c>
      <c r="G3296" s="44" t="str">
        <f t="array" ref="G3296">IF(B3296="","",_xlfn.XLOOKUP(B3296,'Form responses 1'!$B$2:$B$2604,'Form responses 1'!$E$2:$E$2604,""))</f>
        <v/>
      </c>
      <c r="H3296" s="44" t="str">
        <f t="array" ref="H3296">IF(B3296="","",_xlfn.XLOOKUP(B3296,'Form responses 1'!$B$2:$B$2604,'Form responses 1'!$F$2:$F$2604,""))</f>
        <v/>
      </c>
      <c r="I3296" s="44" t="str">
        <f t="array" ref="I3296">IF(B3296="","",_xlfn.XLOOKUP(B3296,'Form responses 1'!$B$2:$B$2604,'Form responses 1'!$I$2:$I$2604,""))</f>
        <v/>
      </c>
      <c r="J3296" s="44" t="str">
        <f t="array" ref="J3296">IF(B3296="","",_xlfn.XLOOKUP(B3296,'Form responses 1'!$B$2:$B$2604,'Form responses 1'!$G$2:$G$2604,""))</f>
        <v/>
      </c>
      <c r="K3296" s="56"/>
      <c r="L3296" s="58" t="str">
        <f t="shared" si="7"/>
        <v/>
      </c>
      <c r="M3296" s="49"/>
      <c r="N3296" s="49"/>
      <c r="O3296" s="49"/>
      <c r="P3296" s="49"/>
      <c r="Q3296" s="49"/>
      <c r="R3296" s="49"/>
      <c r="S3296" s="49"/>
      <c r="T3296" s="49"/>
      <c r="U3296" s="49"/>
      <c r="V3296" s="49"/>
      <c r="W3296" s="56"/>
      <c r="X3296" s="51" t="str">
        <f t="shared" si="5"/>
        <v/>
      </c>
      <c r="Y3296" s="50" t="s">
        <v>482</v>
      </c>
      <c r="Z3296" s="49">
        <f t="shared" si="6"/>
        <v>0</v>
      </c>
    </row>
    <row r="3297" ht="22.5" customHeight="1">
      <c r="B3297" s="57"/>
      <c r="C3297" s="43" t="str">
        <f t="array" ref="C3297">IF(B3297="","",_xlfn.XLOOKUP(B3297,'Form responses 1'!$B$2:$B$2604,'Form responses 1'!$A$2:$A$2604,""))</f>
        <v/>
      </c>
      <c r="D3297" s="44" t="str">
        <f t="shared" si="3"/>
        <v/>
      </c>
      <c r="E3297" s="44" t="str">
        <f t="array" ref="E3297">IF(B3297="","",_xlfn.XLOOKUP(B3297,'Form responses 1'!$B$2:$B$2604,'Form responses 1'!$C$2:$C$2604,""))</f>
        <v/>
      </c>
      <c r="F3297" s="44" t="str">
        <f t="array" ref="F3297">IF(B3297="","",_xlfn.XLOOKUP(B3297,'Form responses 1'!$B$2:$B$2604,'Form responses 1'!$D$2:$D$2604,""))</f>
        <v/>
      </c>
      <c r="G3297" s="44" t="str">
        <f t="array" ref="G3297">IF(B3297="","",_xlfn.XLOOKUP(B3297,'Form responses 1'!$B$2:$B$2604,'Form responses 1'!$E$2:$E$2604,""))</f>
        <v/>
      </c>
      <c r="H3297" s="44" t="str">
        <f t="array" ref="H3297">IF(B3297="","",_xlfn.XLOOKUP(B3297,'Form responses 1'!$B$2:$B$2604,'Form responses 1'!$F$2:$F$2604,""))</f>
        <v/>
      </c>
      <c r="I3297" s="44" t="str">
        <f t="array" ref="I3297">IF(B3297="","",_xlfn.XLOOKUP(B3297,'Form responses 1'!$B$2:$B$2604,'Form responses 1'!$I$2:$I$2604,""))</f>
        <v/>
      </c>
      <c r="J3297" s="44" t="str">
        <f t="array" ref="J3297">IF(B3297="","",_xlfn.XLOOKUP(B3297,'Form responses 1'!$B$2:$B$2604,'Form responses 1'!$G$2:$G$2604,""))</f>
        <v/>
      </c>
      <c r="K3297" s="56"/>
      <c r="L3297" s="58" t="str">
        <f t="shared" si="7"/>
        <v/>
      </c>
      <c r="M3297" s="49"/>
      <c r="N3297" s="49"/>
      <c r="O3297" s="49"/>
      <c r="P3297" s="49"/>
      <c r="Q3297" s="49"/>
      <c r="R3297" s="49"/>
      <c r="S3297" s="49"/>
      <c r="T3297" s="49"/>
      <c r="U3297" s="49"/>
      <c r="V3297" s="49"/>
      <c r="W3297" s="56"/>
      <c r="X3297" s="51" t="str">
        <f t="shared" si="5"/>
        <v/>
      </c>
      <c r="Y3297" s="50" t="s">
        <v>482</v>
      </c>
      <c r="Z3297" s="49">
        <f t="shared" si="6"/>
        <v>0</v>
      </c>
    </row>
    <row r="3298" ht="22.5" customHeight="1">
      <c r="B3298" s="57"/>
      <c r="C3298" s="43" t="str">
        <f t="array" ref="C3298">IF(B3298="","",_xlfn.XLOOKUP(B3298,'Form responses 1'!$B$2:$B$2604,'Form responses 1'!$A$2:$A$2604,""))</f>
        <v/>
      </c>
      <c r="D3298" s="44" t="str">
        <f t="shared" si="3"/>
        <v/>
      </c>
      <c r="E3298" s="44" t="str">
        <f t="array" ref="E3298">IF(B3298="","",_xlfn.XLOOKUP(B3298,'Form responses 1'!$B$2:$B$2604,'Form responses 1'!$C$2:$C$2604,""))</f>
        <v/>
      </c>
      <c r="F3298" s="44" t="str">
        <f t="array" ref="F3298">IF(B3298="","",_xlfn.XLOOKUP(B3298,'Form responses 1'!$B$2:$B$2604,'Form responses 1'!$D$2:$D$2604,""))</f>
        <v/>
      </c>
      <c r="G3298" s="44" t="str">
        <f t="array" ref="G3298">IF(B3298="","",_xlfn.XLOOKUP(B3298,'Form responses 1'!$B$2:$B$2604,'Form responses 1'!$E$2:$E$2604,""))</f>
        <v/>
      </c>
      <c r="H3298" s="44" t="str">
        <f t="array" ref="H3298">IF(B3298="","",_xlfn.XLOOKUP(B3298,'Form responses 1'!$B$2:$B$2604,'Form responses 1'!$F$2:$F$2604,""))</f>
        <v/>
      </c>
      <c r="I3298" s="44" t="str">
        <f t="array" ref="I3298">IF(B3298="","",_xlfn.XLOOKUP(B3298,'Form responses 1'!$B$2:$B$2604,'Form responses 1'!$I$2:$I$2604,""))</f>
        <v/>
      </c>
      <c r="J3298" s="44" t="str">
        <f t="array" ref="J3298">IF(B3298="","",_xlfn.XLOOKUP(B3298,'Form responses 1'!$B$2:$B$2604,'Form responses 1'!$G$2:$G$2604,""))</f>
        <v/>
      </c>
      <c r="K3298" s="56"/>
      <c r="L3298" s="58" t="str">
        <f t="shared" si="7"/>
        <v/>
      </c>
      <c r="M3298" s="49"/>
      <c r="N3298" s="49"/>
      <c r="O3298" s="49"/>
      <c r="P3298" s="49"/>
      <c r="Q3298" s="49"/>
      <c r="R3298" s="49"/>
      <c r="S3298" s="49"/>
      <c r="T3298" s="49"/>
      <c r="U3298" s="49"/>
      <c r="V3298" s="49"/>
      <c r="W3298" s="56"/>
      <c r="X3298" s="51" t="str">
        <f t="shared" si="5"/>
        <v/>
      </c>
      <c r="Y3298" s="50" t="s">
        <v>482</v>
      </c>
      <c r="Z3298" s="49">
        <f t="shared" si="6"/>
        <v>0</v>
      </c>
    </row>
    <row r="3299" ht="22.5" customHeight="1">
      <c r="B3299" s="57"/>
      <c r="C3299" s="43" t="str">
        <f t="array" ref="C3299">IF(B3299="","",_xlfn.XLOOKUP(B3299,'Form responses 1'!$B$2:$B$2604,'Form responses 1'!$A$2:$A$2604,""))</f>
        <v/>
      </c>
      <c r="D3299" s="44" t="str">
        <f t="shared" si="3"/>
        <v/>
      </c>
      <c r="E3299" s="44" t="str">
        <f t="array" ref="E3299">IF(B3299="","",_xlfn.XLOOKUP(B3299,'Form responses 1'!$B$2:$B$2604,'Form responses 1'!$C$2:$C$2604,""))</f>
        <v/>
      </c>
      <c r="F3299" s="44" t="str">
        <f t="array" ref="F3299">IF(B3299="","",_xlfn.XLOOKUP(B3299,'Form responses 1'!$B$2:$B$2604,'Form responses 1'!$D$2:$D$2604,""))</f>
        <v/>
      </c>
      <c r="G3299" s="44" t="str">
        <f t="array" ref="G3299">IF(B3299="","",_xlfn.XLOOKUP(B3299,'Form responses 1'!$B$2:$B$2604,'Form responses 1'!$E$2:$E$2604,""))</f>
        <v/>
      </c>
      <c r="H3299" s="44" t="str">
        <f t="array" ref="H3299">IF(B3299="","",_xlfn.XLOOKUP(B3299,'Form responses 1'!$B$2:$B$2604,'Form responses 1'!$F$2:$F$2604,""))</f>
        <v/>
      </c>
      <c r="I3299" s="44" t="str">
        <f t="array" ref="I3299">IF(B3299="","",_xlfn.XLOOKUP(B3299,'Form responses 1'!$B$2:$B$2604,'Form responses 1'!$I$2:$I$2604,""))</f>
        <v/>
      </c>
      <c r="J3299" s="44" t="str">
        <f t="array" ref="J3299">IF(B3299="","",_xlfn.XLOOKUP(B3299,'Form responses 1'!$B$2:$B$2604,'Form responses 1'!$G$2:$G$2604,""))</f>
        <v/>
      </c>
      <c r="K3299" s="56"/>
      <c r="L3299" s="58" t="str">
        <f t="shared" si="7"/>
        <v/>
      </c>
      <c r="M3299" s="49"/>
      <c r="N3299" s="49"/>
      <c r="O3299" s="49"/>
      <c r="P3299" s="49"/>
      <c r="Q3299" s="49"/>
      <c r="R3299" s="49"/>
      <c r="S3299" s="49"/>
      <c r="T3299" s="49"/>
      <c r="U3299" s="49"/>
      <c r="V3299" s="49"/>
      <c r="W3299" s="56"/>
      <c r="X3299" s="51" t="str">
        <f t="shared" si="5"/>
        <v/>
      </c>
      <c r="Y3299" s="50" t="s">
        <v>482</v>
      </c>
      <c r="Z3299" s="49">
        <f t="shared" si="6"/>
        <v>0</v>
      </c>
    </row>
    <row r="3300" ht="22.5" customHeight="1">
      <c r="B3300" s="57"/>
      <c r="C3300" s="43" t="str">
        <f t="array" ref="C3300">IF(B3300="","",_xlfn.XLOOKUP(B3300,'Form responses 1'!$B$2:$B$2604,'Form responses 1'!$A$2:$A$2604,""))</f>
        <v/>
      </c>
      <c r="D3300" s="44" t="str">
        <f t="shared" si="3"/>
        <v/>
      </c>
      <c r="E3300" s="44" t="str">
        <f t="array" ref="E3300">IF(B3300="","",_xlfn.XLOOKUP(B3300,'Form responses 1'!$B$2:$B$2604,'Form responses 1'!$C$2:$C$2604,""))</f>
        <v/>
      </c>
      <c r="F3300" s="44" t="str">
        <f t="array" ref="F3300">IF(B3300="","",_xlfn.XLOOKUP(B3300,'Form responses 1'!$B$2:$B$2604,'Form responses 1'!$D$2:$D$2604,""))</f>
        <v/>
      </c>
      <c r="G3300" s="44" t="str">
        <f t="array" ref="G3300">IF(B3300="","",_xlfn.XLOOKUP(B3300,'Form responses 1'!$B$2:$B$2604,'Form responses 1'!$E$2:$E$2604,""))</f>
        <v/>
      </c>
      <c r="H3300" s="44" t="str">
        <f t="array" ref="H3300">IF(B3300="","",_xlfn.XLOOKUP(B3300,'Form responses 1'!$B$2:$B$2604,'Form responses 1'!$F$2:$F$2604,""))</f>
        <v/>
      </c>
      <c r="I3300" s="44" t="str">
        <f t="array" ref="I3300">IF(B3300="","",_xlfn.XLOOKUP(B3300,'Form responses 1'!$B$2:$B$2604,'Form responses 1'!$I$2:$I$2604,""))</f>
        <v/>
      </c>
      <c r="J3300" s="44" t="str">
        <f t="array" ref="J3300">IF(B3300="","",_xlfn.XLOOKUP(B3300,'Form responses 1'!$B$2:$B$2604,'Form responses 1'!$G$2:$G$2604,""))</f>
        <v/>
      </c>
      <c r="K3300" s="56"/>
      <c r="L3300" s="58" t="str">
        <f t="shared" si="7"/>
        <v/>
      </c>
      <c r="M3300" s="49"/>
      <c r="N3300" s="49"/>
      <c r="O3300" s="49"/>
      <c r="P3300" s="49"/>
      <c r="Q3300" s="49"/>
      <c r="R3300" s="49"/>
      <c r="S3300" s="49"/>
      <c r="T3300" s="49"/>
      <c r="U3300" s="49"/>
      <c r="V3300" s="49"/>
      <c r="W3300" s="56"/>
      <c r="X3300" s="51" t="str">
        <f t="shared" si="5"/>
        <v/>
      </c>
      <c r="Y3300" s="50" t="s">
        <v>482</v>
      </c>
      <c r="Z3300" s="49">
        <f t="shared" si="6"/>
        <v>0</v>
      </c>
    </row>
    <row r="3301" ht="22.5" customHeight="1">
      <c r="B3301" s="57"/>
      <c r="C3301" s="43" t="str">
        <f t="array" ref="C3301">IF(B3301="","",_xlfn.XLOOKUP(B3301,'Form responses 1'!$B$2:$B$2604,'Form responses 1'!$A$2:$A$2604,""))</f>
        <v/>
      </c>
      <c r="D3301" s="44" t="str">
        <f t="shared" si="3"/>
        <v/>
      </c>
      <c r="E3301" s="44" t="str">
        <f t="array" ref="E3301">IF(B3301="","",_xlfn.XLOOKUP(B3301,'Form responses 1'!$B$2:$B$2604,'Form responses 1'!$C$2:$C$2604,""))</f>
        <v/>
      </c>
      <c r="F3301" s="44" t="str">
        <f t="array" ref="F3301">IF(B3301="","",_xlfn.XLOOKUP(B3301,'Form responses 1'!$B$2:$B$2604,'Form responses 1'!$D$2:$D$2604,""))</f>
        <v/>
      </c>
      <c r="G3301" s="44" t="str">
        <f t="array" ref="G3301">IF(B3301="","",_xlfn.XLOOKUP(B3301,'Form responses 1'!$B$2:$B$2604,'Form responses 1'!$E$2:$E$2604,""))</f>
        <v/>
      </c>
      <c r="H3301" s="44" t="str">
        <f t="array" ref="H3301">IF(B3301="","",_xlfn.XLOOKUP(B3301,'Form responses 1'!$B$2:$B$2604,'Form responses 1'!$F$2:$F$2604,""))</f>
        <v/>
      </c>
      <c r="I3301" s="44" t="str">
        <f t="array" ref="I3301">IF(B3301="","",_xlfn.XLOOKUP(B3301,'Form responses 1'!$B$2:$B$2604,'Form responses 1'!$I$2:$I$2604,""))</f>
        <v/>
      </c>
      <c r="J3301" s="44" t="str">
        <f t="array" ref="J3301">IF(B3301="","",_xlfn.XLOOKUP(B3301,'Form responses 1'!$B$2:$B$2604,'Form responses 1'!$G$2:$G$2604,""))</f>
        <v/>
      </c>
      <c r="K3301" s="56"/>
      <c r="L3301" s="58" t="str">
        <f t="shared" si="7"/>
        <v/>
      </c>
      <c r="M3301" s="49"/>
      <c r="N3301" s="49"/>
      <c r="O3301" s="49"/>
      <c r="P3301" s="49"/>
      <c r="Q3301" s="49"/>
      <c r="R3301" s="49"/>
      <c r="S3301" s="49"/>
      <c r="T3301" s="49"/>
      <c r="U3301" s="49"/>
      <c r="V3301" s="49"/>
      <c r="W3301" s="56"/>
      <c r="X3301" s="51" t="str">
        <f t="shared" si="5"/>
        <v/>
      </c>
      <c r="Y3301" s="50" t="s">
        <v>482</v>
      </c>
      <c r="Z3301" s="49">
        <f t="shared" si="6"/>
        <v>0</v>
      </c>
    </row>
    <row r="3302" ht="22.5" customHeight="1">
      <c r="B3302" s="57"/>
      <c r="C3302" s="43" t="str">
        <f t="array" ref="C3302">IF(B3302="","",_xlfn.XLOOKUP(B3302,'Form responses 1'!$B$2:$B$2604,'Form responses 1'!$A$2:$A$2604,""))</f>
        <v/>
      </c>
      <c r="D3302" s="44" t="str">
        <f t="shared" si="3"/>
        <v/>
      </c>
      <c r="E3302" s="44" t="str">
        <f t="array" ref="E3302">IF(B3302="","",_xlfn.XLOOKUP(B3302,'Form responses 1'!$B$2:$B$2604,'Form responses 1'!$C$2:$C$2604,""))</f>
        <v/>
      </c>
      <c r="F3302" s="44" t="str">
        <f t="array" ref="F3302">IF(B3302="","",_xlfn.XLOOKUP(B3302,'Form responses 1'!$B$2:$B$2604,'Form responses 1'!$D$2:$D$2604,""))</f>
        <v/>
      </c>
      <c r="G3302" s="44" t="str">
        <f t="array" ref="G3302">IF(B3302="","",_xlfn.XLOOKUP(B3302,'Form responses 1'!$B$2:$B$2604,'Form responses 1'!$E$2:$E$2604,""))</f>
        <v/>
      </c>
      <c r="H3302" s="44" t="str">
        <f t="array" ref="H3302">IF(B3302="","",_xlfn.XLOOKUP(B3302,'Form responses 1'!$B$2:$B$2604,'Form responses 1'!$F$2:$F$2604,""))</f>
        <v/>
      </c>
      <c r="I3302" s="44" t="str">
        <f t="array" ref="I3302">IF(B3302="","",_xlfn.XLOOKUP(B3302,'Form responses 1'!$B$2:$B$2604,'Form responses 1'!$I$2:$I$2604,""))</f>
        <v/>
      </c>
      <c r="J3302" s="44" t="str">
        <f t="array" ref="J3302">IF(B3302="","",_xlfn.XLOOKUP(B3302,'Form responses 1'!$B$2:$B$2604,'Form responses 1'!$G$2:$G$2604,""))</f>
        <v/>
      </c>
      <c r="K3302" s="56"/>
      <c r="L3302" s="58" t="str">
        <f t="shared" si="7"/>
        <v/>
      </c>
      <c r="M3302" s="49"/>
      <c r="N3302" s="49"/>
      <c r="O3302" s="49"/>
      <c r="P3302" s="49"/>
      <c r="Q3302" s="49"/>
      <c r="R3302" s="49"/>
      <c r="S3302" s="49"/>
      <c r="T3302" s="49"/>
      <c r="U3302" s="49"/>
      <c r="V3302" s="49"/>
      <c r="W3302" s="56"/>
      <c r="X3302" s="51" t="str">
        <f t="shared" si="5"/>
        <v/>
      </c>
      <c r="Y3302" s="50" t="s">
        <v>482</v>
      </c>
      <c r="Z3302" s="49">
        <f t="shared" si="6"/>
        <v>0</v>
      </c>
    </row>
    <row r="3303" ht="22.5" customHeight="1">
      <c r="B3303" s="57"/>
      <c r="C3303" s="43" t="str">
        <f t="array" ref="C3303">IF(B3303="","",_xlfn.XLOOKUP(B3303,'Form responses 1'!$B$2:$B$2604,'Form responses 1'!$A$2:$A$2604,""))</f>
        <v/>
      </c>
      <c r="D3303" s="44" t="str">
        <f t="shared" si="3"/>
        <v/>
      </c>
      <c r="E3303" s="44" t="str">
        <f t="array" ref="E3303">IF(B3303="","",_xlfn.XLOOKUP(B3303,'Form responses 1'!$B$2:$B$2604,'Form responses 1'!$C$2:$C$2604,""))</f>
        <v/>
      </c>
      <c r="F3303" s="44" t="str">
        <f t="array" ref="F3303">IF(B3303="","",_xlfn.XLOOKUP(B3303,'Form responses 1'!$B$2:$B$2604,'Form responses 1'!$D$2:$D$2604,""))</f>
        <v/>
      </c>
      <c r="G3303" s="44" t="str">
        <f t="array" ref="G3303">IF(B3303="","",_xlfn.XLOOKUP(B3303,'Form responses 1'!$B$2:$B$2604,'Form responses 1'!$E$2:$E$2604,""))</f>
        <v/>
      </c>
      <c r="H3303" s="44" t="str">
        <f t="array" ref="H3303">IF(B3303="","",_xlfn.XLOOKUP(B3303,'Form responses 1'!$B$2:$B$2604,'Form responses 1'!$F$2:$F$2604,""))</f>
        <v/>
      </c>
      <c r="I3303" s="44" t="str">
        <f t="array" ref="I3303">IF(B3303="","",_xlfn.XLOOKUP(B3303,'Form responses 1'!$B$2:$B$2604,'Form responses 1'!$I$2:$I$2604,""))</f>
        <v/>
      </c>
      <c r="J3303" s="44" t="str">
        <f t="array" ref="J3303">IF(B3303="","",_xlfn.XLOOKUP(B3303,'Form responses 1'!$B$2:$B$2604,'Form responses 1'!$G$2:$G$2604,""))</f>
        <v/>
      </c>
      <c r="K3303" s="56"/>
      <c r="L3303" s="58" t="str">
        <f t="shared" si="7"/>
        <v/>
      </c>
      <c r="M3303" s="49"/>
      <c r="N3303" s="49"/>
      <c r="O3303" s="49"/>
      <c r="P3303" s="49"/>
      <c r="Q3303" s="49"/>
      <c r="R3303" s="49"/>
      <c r="S3303" s="49"/>
      <c r="T3303" s="49"/>
      <c r="U3303" s="49"/>
      <c r="V3303" s="49"/>
      <c r="W3303" s="56"/>
      <c r="X3303" s="51" t="str">
        <f t="shared" si="5"/>
        <v/>
      </c>
      <c r="Y3303" s="50" t="s">
        <v>482</v>
      </c>
      <c r="Z3303" s="49">
        <f t="shared" si="6"/>
        <v>0</v>
      </c>
    </row>
    <row r="3304" ht="22.5" customHeight="1">
      <c r="B3304" s="57"/>
      <c r="C3304" s="43" t="str">
        <f t="array" ref="C3304">IF(B3304="","",_xlfn.XLOOKUP(B3304,'Form responses 1'!$B$2:$B$2604,'Form responses 1'!$A$2:$A$2604,""))</f>
        <v/>
      </c>
      <c r="D3304" s="44" t="str">
        <f t="shared" si="3"/>
        <v/>
      </c>
      <c r="E3304" s="44" t="str">
        <f t="array" ref="E3304">IF(B3304="","",_xlfn.XLOOKUP(B3304,'Form responses 1'!$B$2:$B$2604,'Form responses 1'!$C$2:$C$2604,""))</f>
        <v/>
      </c>
      <c r="F3304" s="44" t="str">
        <f t="array" ref="F3304">IF(B3304="","",_xlfn.XLOOKUP(B3304,'Form responses 1'!$B$2:$B$2604,'Form responses 1'!$D$2:$D$2604,""))</f>
        <v/>
      </c>
      <c r="G3304" s="44" t="str">
        <f t="array" ref="G3304">IF(B3304="","",_xlfn.XLOOKUP(B3304,'Form responses 1'!$B$2:$B$2604,'Form responses 1'!$E$2:$E$2604,""))</f>
        <v/>
      </c>
      <c r="H3304" s="44" t="str">
        <f t="array" ref="H3304">IF(B3304="","",_xlfn.XLOOKUP(B3304,'Form responses 1'!$B$2:$B$2604,'Form responses 1'!$F$2:$F$2604,""))</f>
        <v/>
      </c>
      <c r="I3304" s="44" t="str">
        <f t="array" ref="I3304">IF(B3304="","",_xlfn.XLOOKUP(B3304,'Form responses 1'!$B$2:$B$2604,'Form responses 1'!$I$2:$I$2604,""))</f>
        <v/>
      </c>
      <c r="J3304" s="44" t="str">
        <f t="array" ref="J3304">IF(B3304="","",_xlfn.XLOOKUP(B3304,'Form responses 1'!$B$2:$B$2604,'Form responses 1'!$G$2:$G$2604,""))</f>
        <v/>
      </c>
      <c r="K3304" s="56"/>
      <c r="L3304" s="58" t="str">
        <f t="shared" si="7"/>
        <v/>
      </c>
      <c r="M3304" s="49"/>
      <c r="N3304" s="49"/>
      <c r="O3304" s="49"/>
      <c r="P3304" s="49"/>
      <c r="Q3304" s="49"/>
      <c r="R3304" s="49"/>
      <c r="S3304" s="49"/>
      <c r="T3304" s="49"/>
      <c r="U3304" s="49"/>
      <c r="V3304" s="49"/>
      <c r="W3304" s="56"/>
      <c r="X3304" s="51" t="str">
        <f t="shared" si="5"/>
        <v/>
      </c>
      <c r="Y3304" s="50" t="s">
        <v>482</v>
      </c>
      <c r="Z3304" s="49">
        <f t="shared" si="6"/>
        <v>0</v>
      </c>
    </row>
    <row r="3305" ht="22.5" customHeight="1">
      <c r="B3305" s="57"/>
      <c r="C3305" s="43" t="str">
        <f t="array" ref="C3305">IF(B3305="","",_xlfn.XLOOKUP(B3305,'Form responses 1'!$B$2:$B$2604,'Form responses 1'!$A$2:$A$2604,""))</f>
        <v/>
      </c>
      <c r="D3305" s="44" t="str">
        <f t="shared" si="3"/>
        <v/>
      </c>
      <c r="E3305" s="44" t="str">
        <f t="array" ref="E3305">IF(B3305="","",_xlfn.XLOOKUP(B3305,'Form responses 1'!$B$2:$B$2604,'Form responses 1'!$C$2:$C$2604,""))</f>
        <v/>
      </c>
      <c r="F3305" s="44" t="str">
        <f t="array" ref="F3305">IF(B3305="","",_xlfn.XLOOKUP(B3305,'Form responses 1'!$B$2:$B$2604,'Form responses 1'!$D$2:$D$2604,""))</f>
        <v/>
      </c>
      <c r="G3305" s="44" t="str">
        <f t="array" ref="G3305">IF(B3305="","",_xlfn.XLOOKUP(B3305,'Form responses 1'!$B$2:$B$2604,'Form responses 1'!$E$2:$E$2604,""))</f>
        <v/>
      </c>
      <c r="H3305" s="44" t="str">
        <f t="array" ref="H3305">IF(B3305="","",_xlfn.XLOOKUP(B3305,'Form responses 1'!$B$2:$B$2604,'Form responses 1'!$F$2:$F$2604,""))</f>
        <v/>
      </c>
      <c r="I3305" s="44" t="str">
        <f t="array" ref="I3305">IF(B3305="","",_xlfn.XLOOKUP(B3305,'Form responses 1'!$B$2:$B$2604,'Form responses 1'!$I$2:$I$2604,""))</f>
        <v/>
      </c>
      <c r="J3305" s="44" t="str">
        <f t="array" ref="J3305">IF(B3305="","",_xlfn.XLOOKUP(B3305,'Form responses 1'!$B$2:$B$2604,'Form responses 1'!$G$2:$G$2604,""))</f>
        <v/>
      </c>
      <c r="K3305" s="56"/>
      <c r="L3305" s="58" t="str">
        <f t="shared" si="7"/>
        <v/>
      </c>
      <c r="M3305" s="49"/>
      <c r="N3305" s="49"/>
      <c r="O3305" s="49"/>
      <c r="P3305" s="49"/>
      <c r="Q3305" s="49"/>
      <c r="R3305" s="49"/>
      <c r="S3305" s="49"/>
      <c r="T3305" s="49"/>
      <c r="U3305" s="49"/>
      <c r="V3305" s="49"/>
      <c r="W3305" s="56"/>
      <c r="X3305" s="51" t="str">
        <f t="shared" si="5"/>
        <v/>
      </c>
      <c r="Y3305" s="50" t="s">
        <v>482</v>
      </c>
      <c r="Z3305" s="49">
        <f t="shared" si="6"/>
        <v>0</v>
      </c>
    </row>
    <row r="3306" ht="22.5" customHeight="1">
      <c r="B3306" s="57"/>
      <c r="C3306" s="43" t="str">
        <f t="array" ref="C3306">IF(B3306="","",_xlfn.XLOOKUP(B3306,'Form responses 1'!$B$2:$B$2604,'Form responses 1'!$A$2:$A$2604,""))</f>
        <v/>
      </c>
      <c r="D3306" s="44" t="str">
        <f t="shared" si="3"/>
        <v/>
      </c>
      <c r="E3306" s="44" t="str">
        <f t="array" ref="E3306">IF(B3306="","",_xlfn.XLOOKUP(B3306,'Form responses 1'!$B$2:$B$2604,'Form responses 1'!$C$2:$C$2604,""))</f>
        <v/>
      </c>
      <c r="F3306" s="44" t="str">
        <f t="array" ref="F3306">IF(B3306="","",_xlfn.XLOOKUP(B3306,'Form responses 1'!$B$2:$B$2604,'Form responses 1'!$D$2:$D$2604,""))</f>
        <v/>
      </c>
      <c r="G3306" s="44" t="str">
        <f t="array" ref="G3306">IF(B3306="","",_xlfn.XLOOKUP(B3306,'Form responses 1'!$B$2:$B$2604,'Form responses 1'!$E$2:$E$2604,""))</f>
        <v/>
      </c>
      <c r="H3306" s="44" t="str">
        <f t="array" ref="H3306">IF(B3306="","",_xlfn.XLOOKUP(B3306,'Form responses 1'!$B$2:$B$2604,'Form responses 1'!$F$2:$F$2604,""))</f>
        <v/>
      </c>
      <c r="I3306" s="44" t="str">
        <f t="array" ref="I3306">IF(B3306="","",_xlfn.XLOOKUP(B3306,'Form responses 1'!$B$2:$B$2604,'Form responses 1'!$I$2:$I$2604,""))</f>
        <v/>
      </c>
      <c r="J3306" s="44" t="str">
        <f t="array" ref="J3306">IF(B3306="","",_xlfn.XLOOKUP(B3306,'Form responses 1'!$B$2:$B$2604,'Form responses 1'!$G$2:$G$2604,""))</f>
        <v/>
      </c>
      <c r="K3306" s="56"/>
      <c r="L3306" s="58" t="str">
        <f t="shared" si="7"/>
        <v/>
      </c>
      <c r="M3306" s="49"/>
      <c r="N3306" s="49"/>
      <c r="O3306" s="49"/>
      <c r="P3306" s="49"/>
      <c r="Q3306" s="49"/>
      <c r="R3306" s="49"/>
      <c r="S3306" s="49"/>
      <c r="T3306" s="49"/>
      <c r="U3306" s="49"/>
      <c r="V3306" s="49"/>
      <c r="W3306" s="56"/>
      <c r="X3306" s="51" t="str">
        <f t="shared" si="5"/>
        <v/>
      </c>
      <c r="Y3306" s="50" t="s">
        <v>482</v>
      </c>
      <c r="Z3306" s="49">
        <f t="shared" si="6"/>
        <v>0</v>
      </c>
    </row>
    <row r="3307" ht="22.5" customHeight="1">
      <c r="B3307" s="57"/>
      <c r="C3307" s="43" t="str">
        <f t="array" ref="C3307">IF(B3307="","",_xlfn.XLOOKUP(B3307,'Form responses 1'!$B$2:$B$2604,'Form responses 1'!$A$2:$A$2604,""))</f>
        <v/>
      </c>
      <c r="D3307" s="44" t="str">
        <f t="shared" si="3"/>
        <v/>
      </c>
      <c r="E3307" s="44" t="str">
        <f t="array" ref="E3307">IF(B3307="","",_xlfn.XLOOKUP(B3307,'Form responses 1'!$B$2:$B$2604,'Form responses 1'!$C$2:$C$2604,""))</f>
        <v/>
      </c>
      <c r="F3307" s="44" t="str">
        <f t="array" ref="F3307">IF(B3307="","",_xlfn.XLOOKUP(B3307,'Form responses 1'!$B$2:$B$2604,'Form responses 1'!$D$2:$D$2604,""))</f>
        <v/>
      </c>
      <c r="G3307" s="44" t="str">
        <f t="array" ref="G3307">IF(B3307="","",_xlfn.XLOOKUP(B3307,'Form responses 1'!$B$2:$B$2604,'Form responses 1'!$E$2:$E$2604,""))</f>
        <v/>
      </c>
      <c r="H3307" s="44" t="str">
        <f t="array" ref="H3307">IF(B3307="","",_xlfn.XLOOKUP(B3307,'Form responses 1'!$B$2:$B$2604,'Form responses 1'!$F$2:$F$2604,""))</f>
        <v/>
      </c>
      <c r="I3307" s="44" t="str">
        <f t="array" ref="I3307">IF(B3307="","",_xlfn.XLOOKUP(B3307,'Form responses 1'!$B$2:$B$2604,'Form responses 1'!$I$2:$I$2604,""))</f>
        <v/>
      </c>
      <c r="J3307" s="44" t="str">
        <f t="array" ref="J3307">IF(B3307="","",_xlfn.XLOOKUP(B3307,'Form responses 1'!$B$2:$B$2604,'Form responses 1'!$G$2:$G$2604,""))</f>
        <v/>
      </c>
      <c r="K3307" s="56"/>
      <c r="L3307" s="58" t="str">
        <f t="shared" si="7"/>
        <v/>
      </c>
      <c r="M3307" s="49"/>
      <c r="N3307" s="49"/>
      <c r="O3307" s="49"/>
      <c r="P3307" s="49"/>
      <c r="Q3307" s="49"/>
      <c r="R3307" s="49"/>
      <c r="S3307" s="49"/>
      <c r="T3307" s="49"/>
      <c r="U3307" s="49"/>
      <c r="V3307" s="49"/>
      <c r="W3307" s="56"/>
      <c r="X3307" s="51" t="str">
        <f t="shared" si="5"/>
        <v/>
      </c>
      <c r="Y3307" s="50" t="s">
        <v>482</v>
      </c>
      <c r="Z3307" s="49">
        <f t="shared" si="6"/>
        <v>0</v>
      </c>
    </row>
    <row r="3308" ht="22.5" customHeight="1">
      <c r="B3308" s="57"/>
      <c r="C3308" s="43" t="str">
        <f t="array" ref="C3308">IF(B3308="","",_xlfn.XLOOKUP(B3308,'Form responses 1'!$B$2:$B$2604,'Form responses 1'!$A$2:$A$2604,""))</f>
        <v/>
      </c>
      <c r="D3308" s="44" t="str">
        <f t="shared" si="3"/>
        <v/>
      </c>
      <c r="E3308" s="44" t="str">
        <f t="array" ref="E3308">IF(B3308="","",_xlfn.XLOOKUP(B3308,'Form responses 1'!$B$2:$B$2604,'Form responses 1'!$C$2:$C$2604,""))</f>
        <v/>
      </c>
      <c r="F3308" s="44" t="str">
        <f t="array" ref="F3308">IF(B3308="","",_xlfn.XLOOKUP(B3308,'Form responses 1'!$B$2:$B$2604,'Form responses 1'!$D$2:$D$2604,""))</f>
        <v/>
      </c>
      <c r="G3308" s="44" t="str">
        <f t="array" ref="G3308">IF(B3308="","",_xlfn.XLOOKUP(B3308,'Form responses 1'!$B$2:$B$2604,'Form responses 1'!$E$2:$E$2604,""))</f>
        <v/>
      </c>
      <c r="H3308" s="44" t="str">
        <f t="array" ref="H3308">IF(B3308="","",_xlfn.XLOOKUP(B3308,'Form responses 1'!$B$2:$B$2604,'Form responses 1'!$F$2:$F$2604,""))</f>
        <v/>
      </c>
      <c r="I3308" s="44" t="str">
        <f t="array" ref="I3308">IF(B3308="","",_xlfn.XLOOKUP(B3308,'Form responses 1'!$B$2:$B$2604,'Form responses 1'!$I$2:$I$2604,""))</f>
        <v/>
      </c>
      <c r="J3308" s="44" t="str">
        <f t="array" ref="J3308">IF(B3308="","",_xlfn.XLOOKUP(B3308,'Form responses 1'!$B$2:$B$2604,'Form responses 1'!$G$2:$G$2604,""))</f>
        <v/>
      </c>
      <c r="K3308" s="56"/>
      <c r="L3308" s="58" t="str">
        <f t="shared" si="7"/>
        <v/>
      </c>
      <c r="M3308" s="49"/>
      <c r="N3308" s="49"/>
      <c r="O3308" s="49"/>
      <c r="P3308" s="49"/>
      <c r="Q3308" s="49"/>
      <c r="R3308" s="49"/>
      <c r="S3308" s="49"/>
      <c r="T3308" s="49"/>
      <c r="U3308" s="49"/>
      <c r="V3308" s="49"/>
      <c r="W3308" s="56"/>
      <c r="X3308" s="51" t="str">
        <f t="shared" si="5"/>
        <v/>
      </c>
      <c r="Y3308" s="50" t="s">
        <v>482</v>
      </c>
      <c r="Z3308" s="49">
        <f t="shared" si="6"/>
        <v>0</v>
      </c>
    </row>
    <row r="3309" ht="22.5" customHeight="1">
      <c r="B3309" s="57"/>
      <c r="C3309" s="43" t="str">
        <f t="array" ref="C3309">IF(B3309="","",_xlfn.XLOOKUP(B3309,'Form responses 1'!$B$2:$B$2604,'Form responses 1'!$A$2:$A$2604,""))</f>
        <v/>
      </c>
      <c r="D3309" s="44" t="str">
        <f t="shared" si="3"/>
        <v/>
      </c>
      <c r="E3309" s="44" t="str">
        <f t="array" ref="E3309">IF(B3309="","",_xlfn.XLOOKUP(B3309,'Form responses 1'!$B$2:$B$2604,'Form responses 1'!$C$2:$C$2604,""))</f>
        <v/>
      </c>
      <c r="F3309" s="44" t="str">
        <f t="array" ref="F3309">IF(B3309="","",_xlfn.XLOOKUP(B3309,'Form responses 1'!$B$2:$B$2604,'Form responses 1'!$D$2:$D$2604,""))</f>
        <v/>
      </c>
      <c r="G3309" s="44" t="str">
        <f t="array" ref="G3309">IF(B3309="","",_xlfn.XLOOKUP(B3309,'Form responses 1'!$B$2:$B$2604,'Form responses 1'!$E$2:$E$2604,""))</f>
        <v/>
      </c>
      <c r="H3309" s="44" t="str">
        <f t="array" ref="H3309">IF(B3309="","",_xlfn.XLOOKUP(B3309,'Form responses 1'!$B$2:$B$2604,'Form responses 1'!$F$2:$F$2604,""))</f>
        <v/>
      </c>
      <c r="I3309" s="44" t="str">
        <f t="array" ref="I3309">IF(B3309="","",_xlfn.XLOOKUP(B3309,'Form responses 1'!$B$2:$B$2604,'Form responses 1'!$I$2:$I$2604,""))</f>
        <v/>
      </c>
      <c r="J3309" s="44" t="str">
        <f t="array" ref="J3309">IF(B3309="","",_xlfn.XLOOKUP(B3309,'Form responses 1'!$B$2:$B$2604,'Form responses 1'!$G$2:$G$2604,""))</f>
        <v/>
      </c>
      <c r="K3309" s="56"/>
      <c r="L3309" s="58" t="str">
        <f t="shared" si="7"/>
        <v/>
      </c>
      <c r="M3309" s="49"/>
      <c r="N3309" s="49"/>
      <c r="O3309" s="49"/>
      <c r="P3309" s="49"/>
      <c r="Q3309" s="49"/>
      <c r="R3309" s="49"/>
      <c r="S3309" s="49"/>
      <c r="T3309" s="49"/>
      <c r="U3309" s="49"/>
      <c r="V3309" s="49"/>
      <c r="W3309" s="56"/>
      <c r="X3309" s="51" t="str">
        <f t="shared" si="5"/>
        <v/>
      </c>
      <c r="Y3309" s="50" t="s">
        <v>482</v>
      </c>
      <c r="Z3309" s="49">
        <f t="shared" si="6"/>
        <v>0</v>
      </c>
    </row>
    <row r="3310" ht="22.5" customHeight="1">
      <c r="B3310" s="57"/>
      <c r="C3310" s="43" t="str">
        <f t="array" ref="C3310">IF(B3310="","",_xlfn.XLOOKUP(B3310,'Form responses 1'!$B$2:$B$2604,'Form responses 1'!$A$2:$A$2604,""))</f>
        <v/>
      </c>
      <c r="D3310" s="44" t="str">
        <f t="shared" si="3"/>
        <v/>
      </c>
      <c r="E3310" s="44" t="str">
        <f t="array" ref="E3310">IF(B3310="","",_xlfn.XLOOKUP(B3310,'Form responses 1'!$B$2:$B$2604,'Form responses 1'!$C$2:$C$2604,""))</f>
        <v/>
      </c>
      <c r="F3310" s="44" t="str">
        <f t="array" ref="F3310">IF(B3310="","",_xlfn.XLOOKUP(B3310,'Form responses 1'!$B$2:$B$2604,'Form responses 1'!$D$2:$D$2604,""))</f>
        <v/>
      </c>
      <c r="G3310" s="44" t="str">
        <f t="array" ref="G3310">IF(B3310="","",_xlfn.XLOOKUP(B3310,'Form responses 1'!$B$2:$B$2604,'Form responses 1'!$E$2:$E$2604,""))</f>
        <v/>
      </c>
      <c r="H3310" s="44" t="str">
        <f t="array" ref="H3310">IF(B3310="","",_xlfn.XLOOKUP(B3310,'Form responses 1'!$B$2:$B$2604,'Form responses 1'!$F$2:$F$2604,""))</f>
        <v/>
      </c>
      <c r="I3310" s="44" t="str">
        <f t="array" ref="I3310">IF(B3310="","",_xlfn.XLOOKUP(B3310,'Form responses 1'!$B$2:$B$2604,'Form responses 1'!$I$2:$I$2604,""))</f>
        <v/>
      </c>
      <c r="J3310" s="44" t="str">
        <f t="array" ref="J3310">IF(B3310="","",_xlfn.XLOOKUP(B3310,'Form responses 1'!$B$2:$B$2604,'Form responses 1'!$G$2:$G$2604,""))</f>
        <v/>
      </c>
      <c r="K3310" s="56"/>
      <c r="L3310" s="58" t="str">
        <f t="shared" si="7"/>
        <v/>
      </c>
      <c r="M3310" s="49"/>
      <c r="N3310" s="49"/>
      <c r="O3310" s="49"/>
      <c r="P3310" s="49"/>
      <c r="Q3310" s="49"/>
      <c r="R3310" s="49"/>
      <c r="S3310" s="49"/>
      <c r="T3310" s="49"/>
      <c r="U3310" s="49"/>
      <c r="V3310" s="49"/>
      <c r="W3310" s="56"/>
      <c r="X3310" s="51" t="str">
        <f t="shared" si="5"/>
        <v/>
      </c>
      <c r="Y3310" s="50" t="s">
        <v>482</v>
      </c>
      <c r="Z3310" s="49">
        <f t="shared" si="6"/>
        <v>0</v>
      </c>
    </row>
    <row r="3311" ht="22.5" customHeight="1">
      <c r="B3311" s="57"/>
      <c r="C3311" s="43" t="str">
        <f t="array" ref="C3311">IF(B3311="","",_xlfn.XLOOKUP(B3311,'Form responses 1'!$B$2:$B$2604,'Form responses 1'!$A$2:$A$2604,""))</f>
        <v/>
      </c>
      <c r="D3311" s="44" t="str">
        <f t="shared" si="3"/>
        <v/>
      </c>
      <c r="E3311" s="44" t="str">
        <f t="array" ref="E3311">IF(B3311="","",_xlfn.XLOOKUP(B3311,'Form responses 1'!$B$2:$B$2604,'Form responses 1'!$C$2:$C$2604,""))</f>
        <v/>
      </c>
      <c r="F3311" s="44" t="str">
        <f t="array" ref="F3311">IF(B3311="","",_xlfn.XLOOKUP(B3311,'Form responses 1'!$B$2:$B$2604,'Form responses 1'!$D$2:$D$2604,""))</f>
        <v/>
      </c>
      <c r="G3311" s="44" t="str">
        <f t="array" ref="G3311">IF(B3311="","",_xlfn.XLOOKUP(B3311,'Form responses 1'!$B$2:$B$2604,'Form responses 1'!$E$2:$E$2604,""))</f>
        <v/>
      </c>
      <c r="H3311" s="44" t="str">
        <f t="array" ref="H3311">IF(B3311="","",_xlfn.XLOOKUP(B3311,'Form responses 1'!$B$2:$B$2604,'Form responses 1'!$F$2:$F$2604,""))</f>
        <v/>
      </c>
      <c r="I3311" s="44" t="str">
        <f t="array" ref="I3311">IF(B3311="","",_xlfn.XLOOKUP(B3311,'Form responses 1'!$B$2:$B$2604,'Form responses 1'!$I$2:$I$2604,""))</f>
        <v/>
      </c>
      <c r="J3311" s="44" t="str">
        <f t="array" ref="J3311">IF(B3311="","",_xlfn.XLOOKUP(B3311,'Form responses 1'!$B$2:$B$2604,'Form responses 1'!$G$2:$G$2604,""))</f>
        <v/>
      </c>
      <c r="K3311" s="56"/>
      <c r="L3311" s="58" t="str">
        <f t="shared" si="7"/>
        <v/>
      </c>
      <c r="M3311" s="49"/>
      <c r="N3311" s="49"/>
      <c r="O3311" s="49"/>
      <c r="P3311" s="49"/>
      <c r="Q3311" s="49"/>
      <c r="R3311" s="49"/>
      <c r="S3311" s="49"/>
      <c r="T3311" s="49"/>
      <c r="U3311" s="49"/>
      <c r="V3311" s="49"/>
      <c r="W3311" s="56"/>
      <c r="X3311" s="51" t="str">
        <f t="shared" si="5"/>
        <v/>
      </c>
      <c r="Y3311" s="50" t="s">
        <v>482</v>
      </c>
      <c r="Z3311" s="49">
        <f t="shared" si="6"/>
        <v>0</v>
      </c>
    </row>
    <row r="3312" ht="22.5" customHeight="1">
      <c r="B3312" s="57"/>
      <c r="C3312" s="43" t="str">
        <f t="array" ref="C3312">IF(B3312="","",_xlfn.XLOOKUP(B3312,'Form responses 1'!$B$2:$B$2604,'Form responses 1'!$A$2:$A$2604,""))</f>
        <v/>
      </c>
      <c r="D3312" s="44" t="str">
        <f t="shared" si="3"/>
        <v/>
      </c>
      <c r="E3312" s="44" t="str">
        <f t="array" ref="E3312">IF(B3312="","",_xlfn.XLOOKUP(B3312,'Form responses 1'!$B$2:$B$2604,'Form responses 1'!$C$2:$C$2604,""))</f>
        <v/>
      </c>
      <c r="F3312" s="44" t="str">
        <f t="array" ref="F3312">IF(B3312="","",_xlfn.XLOOKUP(B3312,'Form responses 1'!$B$2:$B$2604,'Form responses 1'!$D$2:$D$2604,""))</f>
        <v/>
      </c>
      <c r="G3312" s="44" t="str">
        <f t="array" ref="G3312">IF(B3312="","",_xlfn.XLOOKUP(B3312,'Form responses 1'!$B$2:$B$2604,'Form responses 1'!$E$2:$E$2604,""))</f>
        <v/>
      </c>
      <c r="H3312" s="44" t="str">
        <f t="array" ref="H3312">IF(B3312="","",_xlfn.XLOOKUP(B3312,'Form responses 1'!$B$2:$B$2604,'Form responses 1'!$F$2:$F$2604,""))</f>
        <v/>
      </c>
      <c r="I3312" s="44" t="str">
        <f t="array" ref="I3312">IF(B3312="","",_xlfn.XLOOKUP(B3312,'Form responses 1'!$B$2:$B$2604,'Form responses 1'!$I$2:$I$2604,""))</f>
        <v/>
      </c>
      <c r="J3312" s="44" t="str">
        <f t="array" ref="J3312">IF(B3312="","",_xlfn.XLOOKUP(B3312,'Form responses 1'!$B$2:$B$2604,'Form responses 1'!$G$2:$G$2604,""))</f>
        <v/>
      </c>
      <c r="K3312" s="56"/>
      <c r="L3312" s="58" t="str">
        <f t="shared" si="7"/>
        <v/>
      </c>
      <c r="M3312" s="49"/>
      <c r="N3312" s="49"/>
      <c r="O3312" s="49"/>
      <c r="P3312" s="49"/>
      <c r="Q3312" s="49"/>
      <c r="R3312" s="49"/>
      <c r="S3312" s="49"/>
      <c r="T3312" s="49"/>
      <c r="U3312" s="49"/>
      <c r="V3312" s="49"/>
      <c r="W3312" s="56"/>
      <c r="X3312" s="51" t="str">
        <f t="shared" si="5"/>
        <v/>
      </c>
      <c r="Y3312" s="50" t="s">
        <v>482</v>
      </c>
      <c r="Z3312" s="49">
        <f t="shared" si="6"/>
        <v>0</v>
      </c>
    </row>
    <row r="3313" ht="22.5" customHeight="1">
      <c r="B3313" s="57"/>
      <c r="C3313" s="43" t="str">
        <f t="array" ref="C3313">IF(B3313="","",_xlfn.XLOOKUP(B3313,'Form responses 1'!$B$2:$B$2604,'Form responses 1'!$A$2:$A$2604,""))</f>
        <v/>
      </c>
      <c r="D3313" s="44" t="str">
        <f t="shared" si="3"/>
        <v/>
      </c>
      <c r="E3313" s="44" t="str">
        <f t="array" ref="E3313">IF(B3313="","",_xlfn.XLOOKUP(B3313,'Form responses 1'!$B$2:$B$2604,'Form responses 1'!$C$2:$C$2604,""))</f>
        <v/>
      </c>
      <c r="F3313" s="44" t="str">
        <f t="array" ref="F3313">IF(B3313="","",_xlfn.XLOOKUP(B3313,'Form responses 1'!$B$2:$B$2604,'Form responses 1'!$D$2:$D$2604,""))</f>
        <v/>
      </c>
      <c r="G3313" s="44" t="str">
        <f t="array" ref="G3313">IF(B3313="","",_xlfn.XLOOKUP(B3313,'Form responses 1'!$B$2:$B$2604,'Form responses 1'!$E$2:$E$2604,""))</f>
        <v/>
      </c>
      <c r="H3313" s="44" t="str">
        <f t="array" ref="H3313">IF(B3313="","",_xlfn.XLOOKUP(B3313,'Form responses 1'!$B$2:$B$2604,'Form responses 1'!$F$2:$F$2604,""))</f>
        <v/>
      </c>
      <c r="I3313" s="44" t="str">
        <f t="array" ref="I3313">IF(B3313="","",_xlfn.XLOOKUP(B3313,'Form responses 1'!$B$2:$B$2604,'Form responses 1'!$I$2:$I$2604,""))</f>
        <v/>
      </c>
      <c r="J3313" s="44" t="str">
        <f t="array" ref="J3313">IF(B3313="","",_xlfn.XLOOKUP(B3313,'Form responses 1'!$B$2:$B$2604,'Form responses 1'!$G$2:$G$2604,""))</f>
        <v/>
      </c>
      <c r="K3313" s="56"/>
      <c r="L3313" s="58" t="str">
        <f t="shared" si="7"/>
        <v/>
      </c>
      <c r="M3313" s="49"/>
      <c r="N3313" s="49"/>
      <c r="O3313" s="49"/>
      <c r="P3313" s="49"/>
      <c r="Q3313" s="49"/>
      <c r="R3313" s="49"/>
      <c r="S3313" s="49"/>
      <c r="T3313" s="49"/>
      <c r="U3313" s="49"/>
      <c r="V3313" s="49"/>
      <c r="W3313" s="56"/>
      <c r="X3313" s="51" t="str">
        <f t="shared" si="5"/>
        <v/>
      </c>
      <c r="Y3313" s="50" t="s">
        <v>482</v>
      </c>
      <c r="Z3313" s="49">
        <f t="shared" si="6"/>
        <v>0</v>
      </c>
    </row>
    <row r="3314" ht="22.5" customHeight="1">
      <c r="B3314" s="57"/>
      <c r="C3314" s="43" t="str">
        <f t="array" ref="C3314">IF(B3314="","",_xlfn.XLOOKUP(B3314,'Form responses 1'!$B$2:$B$2604,'Form responses 1'!$A$2:$A$2604,""))</f>
        <v/>
      </c>
      <c r="D3314" s="44" t="str">
        <f t="shared" si="3"/>
        <v/>
      </c>
      <c r="E3314" s="44" t="str">
        <f t="array" ref="E3314">IF(B3314="","",_xlfn.XLOOKUP(B3314,'Form responses 1'!$B$2:$B$2604,'Form responses 1'!$C$2:$C$2604,""))</f>
        <v/>
      </c>
      <c r="F3314" s="44" t="str">
        <f t="array" ref="F3314">IF(B3314="","",_xlfn.XLOOKUP(B3314,'Form responses 1'!$B$2:$B$2604,'Form responses 1'!$D$2:$D$2604,""))</f>
        <v/>
      </c>
      <c r="G3314" s="44" t="str">
        <f t="array" ref="G3314">IF(B3314="","",_xlfn.XLOOKUP(B3314,'Form responses 1'!$B$2:$B$2604,'Form responses 1'!$E$2:$E$2604,""))</f>
        <v/>
      </c>
      <c r="H3314" s="44" t="str">
        <f t="array" ref="H3314">IF(B3314="","",_xlfn.XLOOKUP(B3314,'Form responses 1'!$B$2:$B$2604,'Form responses 1'!$F$2:$F$2604,""))</f>
        <v/>
      </c>
      <c r="I3314" s="44" t="str">
        <f t="array" ref="I3314">IF(B3314="","",_xlfn.XLOOKUP(B3314,'Form responses 1'!$B$2:$B$2604,'Form responses 1'!$I$2:$I$2604,""))</f>
        <v/>
      </c>
      <c r="J3314" s="44" t="str">
        <f t="array" ref="J3314">IF(B3314="","",_xlfn.XLOOKUP(B3314,'Form responses 1'!$B$2:$B$2604,'Form responses 1'!$G$2:$G$2604,""))</f>
        <v/>
      </c>
      <c r="K3314" s="56"/>
      <c r="L3314" s="58" t="str">
        <f t="shared" si="7"/>
        <v/>
      </c>
      <c r="M3314" s="49"/>
      <c r="N3314" s="49"/>
      <c r="O3314" s="49"/>
      <c r="P3314" s="49"/>
      <c r="Q3314" s="49"/>
      <c r="R3314" s="49"/>
      <c r="S3314" s="49"/>
      <c r="T3314" s="49"/>
      <c r="U3314" s="49"/>
      <c r="V3314" s="49"/>
      <c r="W3314" s="56"/>
      <c r="X3314" s="51" t="str">
        <f t="shared" si="5"/>
        <v/>
      </c>
      <c r="Y3314" s="50" t="s">
        <v>482</v>
      </c>
      <c r="Z3314" s="49">
        <f t="shared" si="6"/>
        <v>0</v>
      </c>
    </row>
    <row r="3315" ht="22.5" customHeight="1">
      <c r="B3315" s="57"/>
      <c r="C3315" s="43" t="str">
        <f t="array" ref="C3315">IF(B3315="","",_xlfn.XLOOKUP(B3315,'Form responses 1'!$B$2:$B$2604,'Form responses 1'!$A$2:$A$2604,""))</f>
        <v/>
      </c>
      <c r="D3315" s="44" t="str">
        <f t="shared" si="3"/>
        <v/>
      </c>
      <c r="E3315" s="44" t="str">
        <f t="array" ref="E3315">IF(B3315="","",_xlfn.XLOOKUP(B3315,'Form responses 1'!$B$2:$B$2604,'Form responses 1'!$C$2:$C$2604,""))</f>
        <v/>
      </c>
      <c r="F3315" s="44" t="str">
        <f t="array" ref="F3315">IF(B3315="","",_xlfn.XLOOKUP(B3315,'Form responses 1'!$B$2:$B$2604,'Form responses 1'!$D$2:$D$2604,""))</f>
        <v/>
      </c>
      <c r="G3315" s="44" t="str">
        <f t="array" ref="G3315">IF(B3315="","",_xlfn.XLOOKUP(B3315,'Form responses 1'!$B$2:$B$2604,'Form responses 1'!$E$2:$E$2604,""))</f>
        <v/>
      </c>
      <c r="H3315" s="44" t="str">
        <f t="array" ref="H3315">IF(B3315="","",_xlfn.XLOOKUP(B3315,'Form responses 1'!$B$2:$B$2604,'Form responses 1'!$F$2:$F$2604,""))</f>
        <v/>
      </c>
      <c r="I3315" s="44" t="str">
        <f t="array" ref="I3315">IF(B3315="","",_xlfn.XLOOKUP(B3315,'Form responses 1'!$B$2:$B$2604,'Form responses 1'!$I$2:$I$2604,""))</f>
        <v/>
      </c>
      <c r="J3315" s="44" t="str">
        <f t="array" ref="J3315">IF(B3315="","",_xlfn.XLOOKUP(B3315,'Form responses 1'!$B$2:$B$2604,'Form responses 1'!$G$2:$G$2604,""))</f>
        <v/>
      </c>
      <c r="K3315" s="56"/>
      <c r="L3315" s="58" t="str">
        <f t="shared" si="7"/>
        <v/>
      </c>
      <c r="M3315" s="49"/>
      <c r="N3315" s="49"/>
      <c r="O3315" s="49"/>
      <c r="P3315" s="49"/>
      <c r="Q3315" s="49"/>
      <c r="R3315" s="49"/>
      <c r="S3315" s="49"/>
      <c r="T3315" s="49"/>
      <c r="U3315" s="49"/>
      <c r="V3315" s="49"/>
      <c r="W3315" s="56"/>
      <c r="X3315" s="51" t="str">
        <f t="shared" si="5"/>
        <v/>
      </c>
      <c r="Y3315" s="50" t="s">
        <v>482</v>
      </c>
      <c r="Z3315" s="49">
        <f t="shared" si="6"/>
        <v>0</v>
      </c>
    </row>
    <row r="3316" ht="22.5" customHeight="1">
      <c r="B3316" s="57"/>
      <c r="C3316" s="43" t="str">
        <f t="array" ref="C3316">IF(B3316="","",_xlfn.XLOOKUP(B3316,'Form responses 1'!$B$2:$B$2604,'Form responses 1'!$A$2:$A$2604,""))</f>
        <v/>
      </c>
      <c r="D3316" s="44" t="str">
        <f t="shared" si="3"/>
        <v/>
      </c>
      <c r="E3316" s="44" t="str">
        <f t="array" ref="E3316">IF(B3316="","",_xlfn.XLOOKUP(B3316,'Form responses 1'!$B$2:$B$2604,'Form responses 1'!$C$2:$C$2604,""))</f>
        <v/>
      </c>
      <c r="F3316" s="44" t="str">
        <f t="array" ref="F3316">IF(B3316="","",_xlfn.XLOOKUP(B3316,'Form responses 1'!$B$2:$B$2604,'Form responses 1'!$D$2:$D$2604,""))</f>
        <v/>
      </c>
      <c r="G3316" s="44" t="str">
        <f t="array" ref="G3316">IF(B3316="","",_xlfn.XLOOKUP(B3316,'Form responses 1'!$B$2:$B$2604,'Form responses 1'!$E$2:$E$2604,""))</f>
        <v/>
      </c>
      <c r="H3316" s="44" t="str">
        <f t="array" ref="H3316">IF(B3316="","",_xlfn.XLOOKUP(B3316,'Form responses 1'!$B$2:$B$2604,'Form responses 1'!$F$2:$F$2604,""))</f>
        <v/>
      </c>
      <c r="I3316" s="44" t="str">
        <f t="array" ref="I3316">IF(B3316="","",_xlfn.XLOOKUP(B3316,'Form responses 1'!$B$2:$B$2604,'Form responses 1'!$I$2:$I$2604,""))</f>
        <v/>
      </c>
      <c r="J3316" s="44" t="str">
        <f t="array" ref="J3316">IF(B3316="","",_xlfn.XLOOKUP(B3316,'Form responses 1'!$B$2:$B$2604,'Form responses 1'!$G$2:$G$2604,""))</f>
        <v/>
      </c>
      <c r="K3316" s="56"/>
      <c r="L3316" s="58" t="str">
        <f t="shared" si="7"/>
        <v/>
      </c>
      <c r="M3316" s="49"/>
      <c r="N3316" s="49"/>
      <c r="O3316" s="49"/>
      <c r="P3316" s="49"/>
      <c r="Q3316" s="49"/>
      <c r="R3316" s="49"/>
      <c r="S3316" s="49"/>
      <c r="T3316" s="49"/>
      <c r="U3316" s="49"/>
      <c r="V3316" s="49"/>
      <c r="W3316" s="56"/>
      <c r="X3316" s="51" t="str">
        <f t="shared" si="5"/>
        <v/>
      </c>
      <c r="Y3316" s="50" t="s">
        <v>482</v>
      </c>
      <c r="Z3316" s="49">
        <f t="shared" si="6"/>
        <v>0</v>
      </c>
    </row>
    <row r="3317" ht="22.5" customHeight="1">
      <c r="B3317" s="57"/>
      <c r="C3317" s="43" t="str">
        <f t="array" ref="C3317">IF(B3317="","",_xlfn.XLOOKUP(B3317,'Form responses 1'!$B$2:$B$2604,'Form responses 1'!$A$2:$A$2604,""))</f>
        <v/>
      </c>
      <c r="D3317" s="44" t="str">
        <f t="shared" si="3"/>
        <v/>
      </c>
      <c r="E3317" s="44" t="str">
        <f t="array" ref="E3317">IF(B3317="","",_xlfn.XLOOKUP(B3317,'Form responses 1'!$B$2:$B$2604,'Form responses 1'!$C$2:$C$2604,""))</f>
        <v/>
      </c>
      <c r="F3317" s="44" t="str">
        <f t="array" ref="F3317">IF(B3317="","",_xlfn.XLOOKUP(B3317,'Form responses 1'!$B$2:$B$2604,'Form responses 1'!$D$2:$D$2604,""))</f>
        <v/>
      </c>
      <c r="G3317" s="44" t="str">
        <f t="array" ref="G3317">IF(B3317="","",_xlfn.XLOOKUP(B3317,'Form responses 1'!$B$2:$B$2604,'Form responses 1'!$E$2:$E$2604,""))</f>
        <v/>
      </c>
      <c r="H3317" s="44" t="str">
        <f t="array" ref="H3317">IF(B3317="","",_xlfn.XLOOKUP(B3317,'Form responses 1'!$B$2:$B$2604,'Form responses 1'!$F$2:$F$2604,""))</f>
        <v/>
      </c>
      <c r="I3317" s="44" t="str">
        <f t="array" ref="I3317">IF(B3317="","",_xlfn.XLOOKUP(B3317,'Form responses 1'!$B$2:$B$2604,'Form responses 1'!$I$2:$I$2604,""))</f>
        <v/>
      </c>
      <c r="J3317" s="44" t="str">
        <f t="array" ref="J3317">IF(B3317="","",_xlfn.XLOOKUP(B3317,'Form responses 1'!$B$2:$B$2604,'Form responses 1'!$G$2:$G$2604,""))</f>
        <v/>
      </c>
      <c r="K3317" s="56"/>
      <c r="L3317" s="58" t="str">
        <f t="shared" si="7"/>
        <v/>
      </c>
      <c r="M3317" s="49"/>
      <c r="N3317" s="49"/>
      <c r="O3317" s="49"/>
      <c r="P3317" s="49"/>
      <c r="Q3317" s="49"/>
      <c r="R3317" s="49"/>
      <c r="S3317" s="49"/>
      <c r="T3317" s="49"/>
      <c r="U3317" s="49"/>
      <c r="V3317" s="49"/>
      <c r="W3317" s="56"/>
      <c r="X3317" s="51" t="str">
        <f t="shared" si="5"/>
        <v/>
      </c>
      <c r="Y3317" s="50" t="s">
        <v>482</v>
      </c>
      <c r="Z3317" s="49">
        <f t="shared" si="6"/>
        <v>0</v>
      </c>
    </row>
    <row r="3318" ht="22.5" customHeight="1">
      <c r="B3318" s="57"/>
      <c r="C3318" s="43" t="str">
        <f t="array" ref="C3318">IF(B3318="","",_xlfn.XLOOKUP(B3318,'Form responses 1'!$B$2:$B$2604,'Form responses 1'!$A$2:$A$2604,""))</f>
        <v/>
      </c>
      <c r="D3318" s="44" t="str">
        <f t="shared" si="3"/>
        <v/>
      </c>
      <c r="E3318" s="44" t="str">
        <f t="array" ref="E3318">IF(B3318="","",_xlfn.XLOOKUP(B3318,'Form responses 1'!$B$2:$B$2604,'Form responses 1'!$C$2:$C$2604,""))</f>
        <v/>
      </c>
      <c r="F3318" s="44" t="str">
        <f t="array" ref="F3318">IF(B3318="","",_xlfn.XLOOKUP(B3318,'Form responses 1'!$B$2:$B$2604,'Form responses 1'!$D$2:$D$2604,""))</f>
        <v/>
      </c>
      <c r="G3318" s="44" t="str">
        <f t="array" ref="G3318">IF(B3318="","",_xlfn.XLOOKUP(B3318,'Form responses 1'!$B$2:$B$2604,'Form responses 1'!$E$2:$E$2604,""))</f>
        <v/>
      </c>
      <c r="H3318" s="44" t="str">
        <f t="array" ref="H3318">IF(B3318="","",_xlfn.XLOOKUP(B3318,'Form responses 1'!$B$2:$B$2604,'Form responses 1'!$F$2:$F$2604,""))</f>
        <v/>
      </c>
      <c r="I3318" s="44" t="str">
        <f t="array" ref="I3318">IF(B3318="","",_xlfn.XLOOKUP(B3318,'Form responses 1'!$B$2:$B$2604,'Form responses 1'!$I$2:$I$2604,""))</f>
        <v/>
      </c>
      <c r="J3318" s="44" t="str">
        <f t="array" ref="J3318">IF(B3318="","",_xlfn.XLOOKUP(B3318,'Form responses 1'!$B$2:$B$2604,'Form responses 1'!$G$2:$G$2604,""))</f>
        <v/>
      </c>
      <c r="K3318" s="56"/>
      <c r="L3318" s="58" t="str">
        <f t="shared" si="7"/>
        <v/>
      </c>
      <c r="M3318" s="49"/>
      <c r="N3318" s="49"/>
      <c r="O3318" s="49"/>
      <c r="P3318" s="49"/>
      <c r="Q3318" s="49"/>
      <c r="R3318" s="49"/>
      <c r="S3318" s="49"/>
      <c r="T3318" s="49"/>
      <c r="U3318" s="49"/>
      <c r="V3318" s="49"/>
      <c r="W3318" s="56"/>
      <c r="X3318" s="51" t="str">
        <f t="shared" si="5"/>
        <v/>
      </c>
      <c r="Y3318" s="50" t="s">
        <v>482</v>
      </c>
      <c r="Z3318" s="49">
        <f t="shared" si="6"/>
        <v>0</v>
      </c>
    </row>
    <row r="3319" ht="22.5" customHeight="1">
      <c r="B3319" s="57"/>
      <c r="C3319" s="43" t="str">
        <f t="array" ref="C3319">IF(B3319="","",_xlfn.XLOOKUP(B3319,'Form responses 1'!$B$2:$B$2604,'Form responses 1'!$A$2:$A$2604,""))</f>
        <v/>
      </c>
      <c r="D3319" s="44" t="str">
        <f t="shared" si="3"/>
        <v/>
      </c>
      <c r="E3319" s="44" t="str">
        <f t="array" ref="E3319">IF(B3319="","",_xlfn.XLOOKUP(B3319,'Form responses 1'!$B$2:$B$2604,'Form responses 1'!$C$2:$C$2604,""))</f>
        <v/>
      </c>
      <c r="F3319" s="44" t="str">
        <f t="array" ref="F3319">IF(B3319="","",_xlfn.XLOOKUP(B3319,'Form responses 1'!$B$2:$B$2604,'Form responses 1'!$D$2:$D$2604,""))</f>
        <v/>
      </c>
      <c r="G3319" s="44" t="str">
        <f t="array" ref="G3319">IF(B3319="","",_xlfn.XLOOKUP(B3319,'Form responses 1'!$B$2:$B$2604,'Form responses 1'!$E$2:$E$2604,""))</f>
        <v/>
      </c>
      <c r="H3319" s="44" t="str">
        <f t="array" ref="H3319">IF(B3319="","",_xlfn.XLOOKUP(B3319,'Form responses 1'!$B$2:$B$2604,'Form responses 1'!$F$2:$F$2604,""))</f>
        <v/>
      </c>
      <c r="I3319" s="44" t="str">
        <f t="array" ref="I3319">IF(B3319="","",_xlfn.XLOOKUP(B3319,'Form responses 1'!$B$2:$B$2604,'Form responses 1'!$I$2:$I$2604,""))</f>
        <v/>
      </c>
      <c r="J3319" s="44" t="str">
        <f t="array" ref="J3319">IF(B3319="","",_xlfn.XLOOKUP(B3319,'Form responses 1'!$B$2:$B$2604,'Form responses 1'!$G$2:$G$2604,""))</f>
        <v/>
      </c>
      <c r="K3319" s="56"/>
      <c r="L3319" s="58" t="str">
        <f t="shared" si="7"/>
        <v/>
      </c>
      <c r="M3319" s="49"/>
      <c r="N3319" s="49"/>
      <c r="O3319" s="49"/>
      <c r="P3319" s="49"/>
      <c r="Q3319" s="49"/>
      <c r="R3319" s="49"/>
      <c r="S3319" s="49"/>
      <c r="T3319" s="49"/>
      <c r="U3319" s="49"/>
      <c r="V3319" s="49"/>
      <c r="W3319" s="56"/>
      <c r="X3319" s="51" t="str">
        <f t="shared" si="5"/>
        <v/>
      </c>
      <c r="Y3319" s="50" t="s">
        <v>482</v>
      </c>
      <c r="Z3319" s="49">
        <f t="shared" si="6"/>
        <v>0</v>
      </c>
    </row>
    <row r="3320" ht="22.5" customHeight="1">
      <c r="B3320" s="57"/>
      <c r="C3320" s="43" t="str">
        <f t="array" ref="C3320">IF(B3320="","",_xlfn.XLOOKUP(B3320,'Form responses 1'!$B$2:$B$2604,'Form responses 1'!$A$2:$A$2604,""))</f>
        <v/>
      </c>
      <c r="D3320" s="44" t="str">
        <f t="shared" si="3"/>
        <v/>
      </c>
      <c r="E3320" s="44" t="str">
        <f t="array" ref="E3320">IF(B3320="","",_xlfn.XLOOKUP(B3320,'Form responses 1'!$B$2:$B$2604,'Form responses 1'!$C$2:$C$2604,""))</f>
        <v/>
      </c>
      <c r="F3320" s="44" t="str">
        <f t="array" ref="F3320">IF(B3320="","",_xlfn.XLOOKUP(B3320,'Form responses 1'!$B$2:$B$2604,'Form responses 1'!$D$2:$D$2604,""))</f>
        <v/>
      </c>
      <c r="G3320" s="44" t="str">
        <f t="array" ref="G3320">IF(B3320="","",_xlfn.XLOOKUP(B3320,'Form responses 1'!$B$2:$B$2604,'Form responses 1'!$E$2:$E$2604,""))</f>
        <v/>
      </c>
      <c r="H3320" s="44" t="str">
        <f t="array" ref="H3320">IF(B3320="","",_xlfn.XLOOKUP(B3320,'Form responses 1'!$B$2:$B$2604,'Form responses 1'!$F$2:$F$2604,""))</f>
        <v/>
      </c>
      <c r="I3320" s="44" t="str">
        <f t="array" ref="I3320">IF(B3320="","",_xlfn.XLOOKUP(B3320,'Form responses 1'!$B$2:$B$2604,'Form responses 1'!$I$2:$I$2604,""))</f>
        <v/>
      </c>
      <c r="J3320" s="44" t="str">
        <f t="array" ref="J3320">IF(B3320="","",_xlfn.XLOOKUP(B3320,'Form responses 1'!$B$2:$B$2604,'Form responses 1'!$G$2:$G$2604,""))</f>
        <v/>
      </c>
      <c r="K3320" s="56"/>
      <c r="L3320" s="58" t="str">
        <f t="shared" si="7"/>
        <v/>
      </c>
      <c r="M3320" s="49"/>
      <c r="N3320" s="49"/>
      <c r="O3320" s="49"/>
      <c r="P3320" s="49"/>
      <c r="Q3320" s="49"/>
      <c r="R3320" s="49"/>
      <c r="S3320" s="49"/>
      <c r="T3320" s="49"/>
      <c r="U3320" s="49"/>
      <c r="V3320" s="49"/>
      <c r="W3320" s="56"/>
      <c r="X3320" s="51" t="str">
        <f t="shared" si="5"/>
        <v/>
      </c>
      <c r="Y3320" s="50" t="s">
        <v>482</v>
      </c>
      <c r="Z3320" s="49">
        <f t="shared" si="6"/>
        <v>0</v>
      </c>
    </row>
    <row r="3321" ht="22.5" customHeight="1">
      <c r="B3321" s="57"/>
      <c r="C3321" s="43" t="str">
        <f t="array" ref="C3321">IF(B3321="","",_xlfn.XLOOKUP(B3321,'Form responses 1'!$B$2:$B$2604,'Form responses 1'!$A$2:$A$2604,""))</f>
        <v/>
      </c>
      <c r="D3321" s="44" t="str">
        <f t="shared" si="3"/>
        <v/>
      </c>
      <c r="E3321" s="44" t="str">
        <f t="array" ref="E3321">IF(B3321="","",_xlfn.XLOOKUP(B3321,'Form responses 1'!$B$2:$B$2604,'Form responses 1'!$C$2:$C$2604,""))</f>
        <v/>
      </c>
      <c r="F3321" s="44" t="str">
        <f t="array" ref="F3321">IF(B3321="","",_xlfn.XLOOKUP(B3321,'Form responses 1'!$B$2:$B$2604,'Form responses 1'!$D$2:$D$2604,""))</f>
        <v/>
      </c>
      <c r="G3321" s="44" t="str">
        <f t="array" ref="G3321">IF(B3321="","",_xlfn.XLOOKUP(B3321,'Form responses 1'!$B$2:$B$2604,'Form responses 1'!$E$2:$E$2604,""))</f>
        <v/>
      </c>
      <c r="H3321" s="44" t="str">
        <f t="array" ref="H3321">IF(B3321="","",_xlfn.XLOOKUP(B3321,'Form responses 1'!$B$2:$B$2604,'Form responses 1'!$F$2:$F$2604,""))</f>
        <v/>
      </c>
      <c r="I3321" s="44" t="str">
        <f t="array" ref="I3321">IF(B3321="","",_xlfn.XLOOKUP(B3321,'Form responses 1'!$B$2:$B$2604,'Form responses 1'!$I$2:$I$2604,""))</f>
        <v/>
      </c>
      <c r="J3321" s="44" t="str">
        <f t="array" ref="J3321">IF(B3321="","",_xlfn.XLOOKUP(B3321,'Form responses 1'!$B$2:$B$2604,'Form responses 1'!$G$2:$G$2604,""))</f>
        <v/>
      </c>
      <c r="K3321" s="56"/>
      <c r="L3321" s="58" t="str">
        <f t="shared" si="7"/>
        <v/>
      </c>
      <c r="M3321" s="49"/>
      <c r="N3321" s="49"/>
      <c r="O3321" s="49"/>
      <c r="P3321" s="49"/>
      <c r="Q3321" s="49"/>
      <c r="R3321" s="49"/>
      <c r="S3321" s="49"/>
      <c r="T3321" s="49"/>
      <c r="U3321" s="49"/>
      <c r="V3321" s="49"/>
      <c r="W3321" s="56"/>
      <c r="X3321" s="51" t="str">
        <f t="shared" si="5"/>
        <v/>
      </c>
      <c r="Y3321" s="50" t="s">
        <v>482</v>
      </c>
      <c r="Z3321" s="49">
        <f t="shared" si="6"/>
        <v>0</v>
      </c>
    </row>
    <row r="3322" ht="22.5" customHeight="1">
      <c r="B3322" s="57"/>
      <c r="C3322" s="43" t="str">
        <f t="array" ref="C3322">IF(B3322="","",_xlfn.XLOOKUP(B3322,'Form responses 1'!$B$2:$B$2604,'Form responses 1'!$A$2:$A$2604,""))</f>
        <v/>
      </c>
      <c r="D3322" s="44" t="str">
        <f t="shared" si="3"/>
        <v/>
      </c>
      <c r="E3322" s="44" t="str">
        <f t="array" ref="E3322">IF(B3322="","",_xlfn.XLOOKUP(B3322,'Form responses 1'!$B$2:$B$2604,'Form responses 1'!$C$2:$C$2604,""))</f>
        <v/>
      </c>
      <c r="F3322" s="44" t="str">
        <f t="array" ref="F3322">IF(B3322="","",_xlfn.XLOOKUP(B3322,'Form responses 1'!$B$2:$B$2604,'Form responses 1'!$D$2:$D$2604,""))</f>
        <v/>
      </c>
      <c r="G3322" s="44" t="str">
        <f t="array" ref="G3322">IF(B3322="","",_xlfn.XLOOKUP(B3322,'Form responses 1'!$B$2:$B$2604,'Form responses 1'!$E$2:$E$2604,""))</f>
        <v/>
      </c>
      <c r="H3322" s="44" t="str">
        <f t="array" ref="H3322">IF(B3322="","",_xlfn.XLOOKUP(B3322,'Form responses 1'!$B$2:$B$2604,'Form responses 1'!$F$2:$F$2604,""))</f>
        <v/>
      </c>
      <c r="I3322" s="44" t="str">
        <f t="array" ref="I3322">IF(B3322="","",_xlfn.XLOOKUP(B3322,'Form responses 1'!$B$2:$B$2604,'Form responses 1'!$I$2:$I$2604,""))</f>
        <v/>
      </c>
      <c r="J3322" s="44" t="str">
        <f t="array" ref="J3322">IF(B3322="","",_xlfn.XLOOKUP(B3322,'Form responses 1'!$B$2:$B$2604,'Form responses 1'!$G$2:$G$2604,""))</f>
        <v/>
      </c>
      <c r="K3322" s="56"/>
      <c r="L3322" s="58" t="str">
        <f t="shared" si="7"/>
        <v/>
      </c>
      <c r="M3322" s="49"/>
      <c r="N3322" s="49"/>
      <c r="O3322" s="49"/>
      <c r="P3322" s="49"/>
      <c r="Q3322" s="49"/>
      <c r="R3322" s="49"/>
      <c r="S3322" s="49"/>
      <c r="T3322" s="49"/>
      <c r="U3322" s="49"/>
      <c r="V3322" s="49"/>
      <c r="W3322" s="56"/>
      <c r="X3322" s="51" t="str">
        <f t="shared" si="5"/>
        <v/>
      </c>
      <c r="Y3322" s="50" t="s">
        <v>482</v>
      </c>
      <c r="Z3322" s="49">
        <f t="shared" si="6"/>
        <v>0</v>
      </c>
    </row>
    <row r="3323" ht="22.5" customHeight="1">
      <c r="B3323" s="57"/>
      <c r="C3323" s="43" t="str">
        <f t="array" ref="C3323">IF(B3323="","",_xlfn.XLOOKUP(B3323,'Form responses 1'!$B$2:$B$2604,'Form responses 1'!$A$2:$A$2604,""))</f>
        <v/>
      </c>
      <c r="D3323" s="44" t="str">
        <f t="shared" si="3"/>
        <v/>
      </c>
      <c r="E3323" s="44" t="str">
        <f t="array" ref="E3323">IF(B3323="","",_xlfn.XLOOKUP(B3323,'Form responses 1'!$B$2:$B$2604,'Form responses 1'!$C$2:$C$2604,""))</f>
        <v/>
      </c>
      <c r="F3323" s="44" t="str">
        <f t="array" ref="F3323">IF(B3323="","",_xlfn.XLOOKUP(B3323,'Form responses 1'!$B$2:$B$2604,'Form responses 1'!$D$2:$D$2604,""))</f>
        <v/>
      </c>
      <c r="G3323" s="44" t="str">
        <f t="array" ref="G3323">IF(B3323="","",_xlfn.XLOOKUP(B3323,'Form responses 1'!$B$2:$B$2604,'Form responses 1'!$E$2:$E$2604,""))</f>
        <v/>
      </c>
      <c r="H3323" s="44" t="str">
        <f t="array" ref="H3323">IF(B3323="","",_xlfn.XLOOKUP(B3323,'Form responses 1'!$B$2:$B$2604,'Form responses 1'!$F$2:$F$2604,""))</f>
        <v/>
      </c>
      <c r="I3323" s="44" t="str">
        <f t="array" ref="I3323">IF(B3323="","",_xlfn.XLOOKUP(B3323,'Form responses 1'!$B$2:$B$2604,'Form responses 1'!$I$2:$I$2604,""))</f>
        <v/>
      </c>
      <c r="J3323" s="44" t="str">
        <f t="array" ref="J3323">IF(B3323="","",_xlfn.XLOOKUP(B3323,'Form responses 1'!$B$2:$B$2604,'Form responses 1'!$G$2:$G$2604,""))</f>
        <v/>
      </c>
      <c r="K3323" s="56"/>
      <c r="L3323" s="58" t="str">
        <f t="shared" si="7"/>
        <v/>
      </c>
      <c r="M3323" s="49"/>
      <c r="N3323" s="49"/>
      <c r="O3323" s="49"/>
      <c r="P3323" s="49"/>
      <c r="Q3323" s="49"/>
      <c r="R3323" s="49"/>
      <c r="S3323" s="49"/>
      <c r="T3323" s="49"/>
      <c r="U3323" s="49"/>
      <c r="V3323" s="49"/>
      <c r="W3323" s="56"/>
      <c r="X3323" s="51" t="str">
        <f t="shared" si="5"/>
        <v/>
      </c>
      <c r="Y3323" s="50" t="s">
        <v>482</v>
      </c>
      <c r="Z3323" s="49">
        <f t="shared" si="6"/>
        <v>0</v>
      </c>
    </row>
    <row r="3324" ht="22.5" customHeight="1">
      <c r="B3324" s="57"/>
      <c r="C3324" s="43" t="str">
        <f t="array" ref="C3324">IF(B3324="","",_xlfn.XLOOKUP(B3324,'Form responses 1'!$B$2:$B$2604,'Form responses 1'!$A$2:$A$2604,""))</f>
        <v/>
      </c>
      <c r="D3324" s="44" t="str">
        <f t="shared" si="3"/>
        <v/>
      </c>
      <c r="E3324" s="44" t="str">
        <f t="array" ref="E3324">IF(B3324="","",_xlfn.XLOOKUP(B3324,'Form responses 1'!$B$2:$B$2604,'Form responses 1'!$C$2:$C$2604,""))</f>
        <v/>
      </c>
      <c r="F3324" s="44" t="str">
        <f t="array" ref="F3324">IF(B3324="","",_xlfn.XLOOKUP(B3324,'Form responses 1'!$B$2:$B$2604,'Form responses 1'!$D$2:$D$2604,""))</f>
        <v/>
      </c>
      <c r="G3324" s="44" t="str">
        <f t="array" ref="G3324">IF(B3324="","",_xlfn.XLOOKUP(B3324,'Form responses 1'!$B$2:$B$2604,'Form responses 1'!$E$2:$E$2604,""))</f>
        <v/>
      </c>
      <c r="H3324" s="44" t="str">
        <f t="array" ref="H3324">IF(B3324="","",_xlfn.XLOOKUP(B3324,'Form responses 1'!$B$2:$B$2604,'Form responses 1'!$F$2:$F$2604,""))</f>
        <v/>
      </c>
      <c r="I3324" s="44" t="str">
        <f t="array" ref="I3324">IF(B3324="","",_xlfn.XLOOKUP(B3324,'Form responses 1'!$B$2:$B$2604,'Form responses 1'!$I$2:$I$2604,""))</f>
        <v/>
      </c>
      <c r="J3324" s="44" t="str">
        <f t="array" ref="J3324">IF(B3324="","",_xlfn.XLOOKUP(B3324,'Form responses 1'!$B$2:$B$2604,'Form responses 1'!$G$2:$G$2604,""))</f>
        <v/>
      </c>
      <c r="K3324" s="56"/>
      <c r="L3324" s="58" t="str">
        <f t="shared" si="7"/>
        <v/>
      </c>
      <c r="M3324" s="49"/>
      <c r="N3324" s="49"/>
      <c r="O3324" s="49"/>
      <c r="P3324" s="49"/>
      <c r="Q3324" s="49"/>
      <c r="R3324" s="49"/>
      <c r="S3324" s="49"/>
      <c r="T3324" s="49"/>
      <c r="U3324" s="49"/>
      <c r="V3324" s="49"/>
      <c r="W3324" s="56"/>
      <c r="X3324" s="51" t="str">
        <f t="shared" si="5"/>
        <v/>
      </c>
      <c r="Y3324" s="50" t="s">
        <v>482</v>
      </c>
      <c r="Z3324" s="49">
        <f t="shared" si="6"/>
        <v>0</v>
      </c>
    </row>
    <row r="3325" ht="22.5" customHeight="1">
      <c r="B3325" s="57"/>
      <c r="C3325" s="43" t="str">
        <f t="array" ref="C3325">IF(B3325="","",_xlfn.XLOOKUP(B3325,'Form responses 1'!$B$2:$B$2604,'Form responses 1'!$A$2:$A$2604,""))</f>
        <v/>
      </c>
      <c r="D3325" s="44" t="str">
        <f t="shared" si="3"/>
        <v/>
      </c>
      <c r="E3325" s="44" t="str">
        <f t="array" ref="E3325">IF(B3325="","",_xlfn.XLOOKUP(B3325,'Form responses 1'!$B$2:$B$2604,'Form responses 1'!$C$2:$C$2604,""))</f>
        <v/>
      </c>
      <c r="F3325" s="44" t="str">
        <f t="array" ref="F3325">IF(B3325="","",_xlfn.XLOOKUP(B3325,'Form responses 1'!$B$2:$B$2604,'Form responses 1'!$D$2:$D$2604,""))</f>
        <v/>
      </c>
      <c r="G3325" s="44" t="str">
        <f t="array" ref="G3325">IF(B3325="","",_xlfn.XLOOKUP(B3325,'Form responses 1'!$B$2:$B$2604,'Form responses 1'!$E$2:$E$2604,""))</f>
        <v/>
      </c>
      <c r="H3325" s="44" t="str">
        <f t="array" ref="H3325">IF(B3325="","",_xlfn.XLOOKUP(B3325,'Form responses 1'!$B$2:$B$2604,'Form responses 1'!$F$2:$F$2604,""))</f>
        <v/>
      </c>
      <c r="I3325" s="44" t="str">
        <f t="array" ref="I3325">IF(B3325="","",_xlfn.XLOOKUP(B3325,'Form responses 1'!$B$2:$B$2604,'Form responses 1'!$I$2:$I$2604,""))</f>
        <v/>
      </c>
      <c r="J3325" s="44" t="str">
        <f t="array" ref="J3325">IF(B3325="","",_xlfn.XLOOKUP(B3325,'Form responses 1'!$B$2:$B$2604,'Form responses 1'!$G$2:$G$2604,""))</f>
        <v/>
      </c>
      <c r="K3325" s="56"/>
      <c r="L3325" s="58" t="str">
        <f t="shared" si="7"/>
        <v/>
      </c>
      <c r="M3325" s="49"/>
      <c r="N3325" s="49"/>
      <c r="O3325" s="49"/>
      <c r="P3325" s="49"/>
      <c r="Q3325" s="49"/>
      <c r="R3325" s="49"/>
      <c r="S3325" s="49"/>
      <c r="T3325" s="49"/>
      <c r="U3325" s="49"/>
      <c r="V3325" s="49"/>
      <c r="W3325" s="56"/>
      <c r="X3325" s="51" t="str">
        <f t="shared" si="5"/>
        <v/>
      </c>
      <c r="Y3325" s="50" t="s">
        <v>482</v>
      </c>
      <c r="Z3325" s="49">
        <f t="shared" si="6"/>
        <v>0</v>
      </c>
    </row>
    <row r="3326" ht="22.5" customHeight="1">
      <c r="B3326" s="57"/>
      <c r="C3326" s="43" t="str">
        <f t="array" ref="C3326">IF(B3326="","",_xlfn.XLOOKUP(B3326,'Form responses 1'!$B$2:$B$2604,'Form responses 1'!$A$2:$A$2604,""))</f>
        <v/>
      </c>
      <c r="D3326" s="44" t="str">
        <f t="shared" si="3"/>
        <v/>
      </c>
      <c r="E3326" s="44" t="str">
        <f t="array" ref="E3326">IF(B3326="","",_xlfn.XLOOKUP(B3326,'Form responses 1'!$B$2:$B$2604,'Form responses 1'!$C$2:$C$2604,""))</f>
        <v/>
      </c>
      <c r="F3326" s="44" t="str">
        <f t="array" ref="F3326">IF(B3326="","",_xlfn.XLOOKUP(B3326,'Form responses 1'!$B$2:$B$2604,'Form responses 1'!$D$2:$D$2604,""))</f>
        <v/>
      </c>
      <c r="G3326" s="44" t="str">
        <f t="array" ref="G3326">IF(B3326="","",_xlfn.XLOOKUP(B3326,'Form responses 1'!$B$2:$B$2604,'Form responses 1'!$E$2:$E$2604,""))</f>
        <v/>
      </c>
      <c r="H3326" s="44" t="str">
        <f t="array" ref="H3326">IF(B3326="","",_xlfn.XLOOKUP(B3326,'Form responses 1'!$B$2:$B$2604,'Form responses 1'!$F$2:$F$2604,""))</f>
        <v/>
      </c>
      <c r="I3326" s="44" t="str">
        <f t="array" ref="I3326">IF(B3326="","",_xlfn.XLOOKUP(B3326,'Form responses 1'!$B$2:$B$2604,'Form responses 1'!$I$2:$I$2604,""))</f>
        <v/>
      </c>
      <c r="J3326" s="44" t="str">
        <f t="array" ref="J3326">IF(B3326="","",_xlfn.XLOOKUP(B3326,'Form responses 1'!$B$2:$B$2604,'Form responses 1'!$G$2:$G$2604,""))</f>
        <v/>
      </c>
      <c r="K3326" s="56"/>
      <c r="L3326" s="58" t="str">
        <f t="shared" si="7"/>
        <v/>
      </c>
      <c r="M3326" s="49"/>
      <c r="N3326" s="49"/>
      <c r="O3326" s="49"/>
      <c r="P3326" s="49"/>
      <c r="Q3326" s="49"/>
      <c r="R3326" s="49"/>
      <c r="S3326" s="49"/>
      <c r="T3326" s="49"/>
      <c r="U3326" s="49"/>
      <c r="V3326" s="49"/>
      <c r="W3326" s="56"/>
      <c r="X3326" s="51" t="str">
        <f t="shared" si="5"/>
        <v/>
      </c>
      <c r="Y3326" s="50" t="s">
        <v>482</v>
      </c>
      <c r="Z3326" s="49">
        <f t="shared" si="6"/>
        <v>0</v>
      </c>
    </row>
    <row r="3327" ht="22.5" customHeight="1">
      <c r="B3327" s="57"/>
      <c r="C3327" s="43" t="str">
        <f t="array" ref="C3327">IF(B3327="","",_xlfn.XLOOKUP(B3327,'Form responses 1'!$B$2:$B$2604,'Form responses 1'!$A$2:$A$2604,""))</f>
        <v/>
      </c>
      <c r="D3327" s="44" t="str">
        <f t="shared" si="3"/>
        <v/>
      </c>
      <c r="E3327" s="44" t="str">
        <f t="array" ref="E3327">IF(B3327="","",_xlfn.XLOOKUP(B3327,'Form responses 1'!$B$2:$B$2604,'Form responses 1'!$C$2:$C$2604,""))</f>
        <v/>
      </c>
      <c r="F3327" s="44" t="str">
        <f t="array" ref="F3327">IF(B3327="","",_xlfn.XLOOKUP(B3327,'Form responses 1'!$B$2:$B$2604,'Form responses 1'!$D$2:$D$2604,""))</f>
        <v/>
      </c>
      <c r="G3327" s="44" t="str">
        <f t="array" ref="G3327">IF(B3327="","",_xlfn.XLOOKUP(B3327,'Form responses 1'!$B$2:$B$2604,'Form responses 1'!$E$2:$E$2604,""))</f>
        <v/>
      </c>
      <c r="H3327" s="44" t="str">
        <f t="array" ref="H3327">IF(B3327="","",_xlfn.XLOOKUP(B3327,'Form responses 1'!$B$2:$B$2604,'Form responses 1'!$F$2:$F$2604,""))</f>
        <v/>
      </c>
      <c r="I3327" s="44" t="str">
        <f t="array" ref="I3327">IF(B3327="","",_xlfn.XLOOKUP(B3327,'Form responses 1'!$B$2:$B$2604,'Form responses 1'!$I$2:$I$2604,""))</f>
        <v/>
      </c>
      <c r="J3327" s="44" t="str">
        <f t="array" ref="J3327">IF(B3327="","",_xlfn.XLOOKUP(B3327,'Form responses 1'!$B$2:$B$2604,'Form responses 1'!$G$2:$G$2604,""))</f>
        <v/>
      </c>
      <c r="K3327" s="56"/>
      <c r="L3327" s="58" t="str">
        <f t="shared" si="7"/>
        <v/>
      </c>
      <c r="M3327" s="49"/>
      <c r="N3327" s="49"/>
      <c r="O3327" s="49"/>
      <c r="P3327" s="49"/>
      <c r="Q3327" s="49"/>
      <c r="R3327" s="49"/>
      <c r="S3327" s="49"/>
      <c r="T3327" s="49"/>
      <c r="U3327" s="49"/>
      <c r="V3327" s="49"/>
      <c r="W3327" s="56"/>
      <c r="X3327" s="51" t="str">
        <f t="shared" si="5"/>
        <v/>
      </c>
      <c r="Y3327" s="50" t="s">
        <v>482</v>
      </c>
      <c r="Z3327" s="49">
        <f t="shared" si="6"/>
        <v>0</v>
      </c>
    </row>
    <row r="3328" ht="22.5" customHeight="1">
      <c r="B3328" s="57"/>
      <c r="C3328" s="43" t="str">
        <f t="array" ref="C3328">IF(B3328="","",_xlfn.XLOOKUP(B3328,'Form responses 1'!$B$2:$B$2604,'Form responses 1'!$A$2:$A$2604,""))</f>
        <v/>
      </c>
      <c r="D3328" s="44" t="str">
        <f t="shared" si="3"/>
        <v/>
      </c>
      <c r="E3328" s="44" t="str">
        <f t="array" ref="E3328">IF(B3328="","",_xlfn.XLOOKUP(B3328,'Form responses 1'!$B$2:$B$2604,'Form responses 1'!$C$2:$C$2604,""))</f>
        <v/>
      </c>
      <c r="F3328" s="44" t="str">
        <f t="array" ref="F3328">IF(B3328="","",_xlfn.XLOOKUP(B3328,'Form responses 1'!$B$2:$B$2604,'Form responses 1'!$D$2:$D$2604,""))</f>
        <v/>
      </c>
      <c r="G3328" s="44" t="str">
        <f t="array" ref="G3328">IF(B3328="","",_xlfn.XLOOKUP(B3328,'Form responses 1'!$B$2:$B$2604,'Form responses 1'!$E$2:$E$2604,""))</f>
        <v/>
      </c>
      <c r="H3328" s="44" t="str">
        <f t="array" ref="H3328">IF(B3328="","",_xlfn.XLOOKUP(B3328,'Form responses 1'!$B$2:$B$2604,'Form responses 1'!$F$2:$F$2604,""))</f>
        <v/>
      </c>
      <c r="I3328" s="44" t="str">
        <f t="array" ref="I3328">IF(B3328="","",_xlfn.XLOOKUP(B3328,'Form responses 1'!$B$2:$B$2604,'Form responses 1'!$I$2:$I$2604,""))</f>
        <v/>
      </c>
      <c r="J3328" s="44" t="str">
        <f t="array" ref="J3328">IF(B3328="","",_xlfn.XLOOKUP(B3328,'Form responses 1'!$B$2:$B$2604,'Form responses 1'!$G$2:$G$2604,""))</f>
        <v/>
      </c>
      <c r="K3328" s="56"/>
      <c r="L3328" s="58" t="str">
        <f t="shared" si="7"/>
        <v/>
      </c>
      <c r="M3328" s="49"/>
      <c r="N3328" s="49"/>
      <c r="O3328" s="49"/>
      <c r="P3328" s="49"/>
      <c r="Q3328" s="49"/>
      <c r="R3328" s="49"/>
      <c r="S3328" s="49"/>
      <c r="T3328" s="49"/>
      <c r="U3328" s="49"/>
      <c r="V3328" s="49"/>
      <c r="W3328" s="56"/>
      <c r="X3328" s="51" t="str">
        <f t="shared" si="5"/>
        <v/>
      </c>
      <c r="Y3328" s="50" t="s">
        <v>482</v>
      </c>
      <c r="Z3328" s="49">
        <f t="shared" si="6"/>
        <v>0</v>
      </c>
    </row>
    <row r="3329" ht="22.5" customHeight="1">
      <c r="B3329" s="57"/>
      <c r="C3329" s="43" t="str">
        <f t="array" ref="C3329">IF(B3329="","",_xlfn.XLOOKUP(B3329,'Form responses 1'!$B$2:$B$2604,'Form responses 1'!$A$2:$A$2604,""))</f>
        <v/>
      </c>
      <c r="D3329" s="44" t="str">
        <f t="shared" si="3"/>
        <v/>
      </c>
      <c r="E3329" s="44" t="str">
        <f t="array" ref="E3329">IF(B3329="","",_xlfn.XLOOKUP(B3329,'Form responses 1'!$B$2:$B$2604,'Form responses 1'!$C$2:$C$2604,""))</f>
        <v/>
      </c>
      <c r="F3329" s="44" t="str">
        <f t="array" ref="F3329">IF(B3329="","",_xlfn.XLOOKUP(B3329,'Form responses 1'!$B$2:$B$2604,'Form responses 1'!$D$2:$D$2604,""))</f>
        <v/>
      </c>
      <c r="G3329" s="44" t="str">
        <f t="array" ref="G3329">IF(B3329="","",_xlfn.XLOOKUP(B3329,'Form responses 1'!$B$2:$B$2604,'Form responses 1'!$E$2:$E$2604,""))</f>
        <v/>
      </c>
      <c r="H3329" s="44" t="str">
        <f t="array" ref="H3329">IF(B3329="","",_xlfn.XLOOKUP(B3329,'Form responses 1'!$B$2:$B$2604,'Form responses 1'!$F$2:$F$2604,""))</f>
        <v/>
      </c>
      <c r="I3329" s="44" t="str">
        <f t="array" ref="I3329">IF(B3329="","",_xlfn.XLOOKUP(B3329,'Form responses 1'!$B$2:$B$2604,'Form responses 1'!$I$2:$I$2604,""))</f>
        <v/>
      </c>
      <c r="J3329" s="44" t="str">
        <f t="array" ref="J3329">IF(B3329="","",_xlfn.XLOOKUP(B3329,'Form responses 1'!$B$2:$B$2604,'Form responses 1'!$G$2:$G$2604,""))</f>
        <v/>
      </c>
      <c r="K3329" s="56"/>
      <c r="L3329" s="58" t="str">
        <f t="shared" si="7"/>
        <v/>
      </c>
      <c r="M3329" s="49"/>
      <c r="N3329" s="49"/>
      <c r="O3329" s="49"/>
      <c r="P3329" s="49"/>
      <c r="Q3329" s="49"/>
      <c r="R3329" s="49"/>
      <c r="S3329" s="49"/>
      <c r="T3329" s="49"/>
      <c r="U3329" s="49"/>
      <c r="V3329" s="49"/>
      <c r="W3329" s="56"/>
      <c r="X3329" s="51" t="str">
        <f t="shared" si="5"/>
        <v/>
      </c>
      <c r="Y3329" s="50" t="s">
        <v>482</v>
      </c>
      <c r="Z3329" s="49">
        <f t="shared" si="6"/>
        <v>0</v>
      </c>
    </row>
    <row r="3330" ht="22.5" customHeight="1">
      <c r="B3330" s="57"/>
      <c r="C3330" s="43" t="str">
        <f t="array" ref="C3330">IF(B3330="","",_xlfn.XLOOKUP(B3330,'Form responses 1'!$B$2:$B$2604,'Form responses 1'!$A$2:$A$2604,""))</f>
        <v/>
      </c>
      <c r="D3330" s="44" t="str">
        <f t="shared" si="3"/>
        <v/>
      </c>
      <c r="E3330" s="44" t="str">
        <f t="array" ref="E3330">IF(B3330="","",_xlfn.XLOOKUP(B3330,'Form responses 1'!$B$2:$B$2604,'Form responses 1'!$C$2:$C$2604,""))</f>
        <v/>
      </c>
      <c r="F3330" s="44" t="str">
        <f t="array" ref="F3330">IF(B3330="","",_xlfn.XLOOKUP(B3330,'Form responses 1'!$B$2:$B$2604,'Form responses 1'!$D$2:$D$2604,""))</f>
        <v/>
      </c>
      <c r="G3330" s="44" t="str">
        <f t="array" ref="G3330">IF(B3330="","",_xlfn.XLOOKUP(B3330,'Form responses 1'!$B$2:$B$2604,'Form responses 1'!$E$2:$E$2604,""))</f>
        <v/>
      </c>
      <c r="H3330" s="44" t="str">
        <f t="array" ref="H3330">IF(B3330="","",_xlfn.XLOOKUP(B3330,'Form responses 1'!$B$2:$B$2604,'Form responses 1'!$F$2:$F$2604,""))</f>
        <v/>
      </c>
      <c r="I3330" s="44" t="str">
        <f t="array" ref="I3330">IF(B3330="","",_xlfn.XLOOKUP(B3330,'Form responses 1'!$B$2:$B$2604,'Form responses 1'!$I$2:$I$2604,""))</f>
        <v/>
      </c>
      <c r="J3330" s="44" t="str">
        <f t="array" ref="J3330">IF(B3330="","",_xlfn.XLOOKUP(B3330,'Form responses 1'!$B$2:$B$2604,'Form responses 1'!$G$2:$G$2604,""))</f>
        <v/>
      </c>
      <c r="K3330" s="56"/>
      <c r="L3330" s="58" t="str">
        <f t="shared" si="7"/>
        <v/>
      </c>
      <c r="M3330" s="49"/>
      <c r="N3330" s="49"/>
      <c r="O3330" s="49"/>
      <c r="P3330" s="49"/>
      <c r="Q3330" s="49"/>
      <c r="R3330" s="49"/>
      <c r="S3330" s="49"/>
      <c r="T3330" s="49"/>
      <c r="U3330" s="49"/>
      <c r="V3330" s="49"/>
      <c r="W3330" s="56"/>
      <c r="X3330" s="51" t="str">
        <f t="shared" si="5"/>
        <v/>
      </c>
      <c r="Y3330" s="50" t="s">
        <v>482</v>
      </c>
      <c r="Z3330" s="49">
        <f t="shared" si="6"/>
        <v>0</v>
      </c>
    </row>
    <row r="3331" ht="22.5" customHeight="1">
      <c r="B3331" s="57"/>
      <c r="C3331" s="43" t="str">
        <f t="array" ref="C3331">IF(B3331="","",_xlfn.XLOOKUP(B3331,'Form responses 1'!$B$2:$B$2604,'Form responses 1'!$A$2:$A$2604,""))</f>
        <v/>
      </c>
      <c r="D3331" s="44" t="str">
        <f t="shared" si="3"/>
        <v/>
      </c>
      <c r="E3331" s="44" t="str">
        <f t="array" ref="E3331">IF(B3331="","",_xlfn.XLOOKUP(B3331,'Form responses 1'!$B$2:$B$2604,'Form responses 1'!$C$2:$C$2604,""))</f>
        <v/>
      </c>
      <c r="F3331" s="44" t="str">
        <f t="array" ref="F3331">IF(B3331="","",_xlfn.XLOOKUP(B3331,'Form responses 1'!$B$2:$B$2604,'Form responses 1'!$D$2:$D$2604,""))</f>
        <v/>
      </c>
      <c r="G3331" s="44" t="str">
        <f t="array" ref="G3331">IF(B3331="","",_xlfn.XLOOKUP(B3331,'Form responses 1'!$B$2:$B$2604,'Form responses 1'!$E$2:$E$2604,""))</f>
        <v/>
      </c>
      <c r="H3331" s="44" t="str">
        <f t="array" ref="H3331">IF(B3331="","",_xlfn.XLOOKUP(B3331,'Form responses 1'!$B$2:$B$2604,'Form responses 1'!$F$2:$F$2604,""))</f>
        <v/>
      </c>
      <c r="I3331" s="44" t="str">
        <f t="array" ref="I3331">IF(B3331="","",_xlfn.XLOOKUP(B3331,'Form responses 1'!$B$2:$B$2604,'Form responses 1'!$I$2:$I$2604,""))</f>
        <v/>
      </c>
      <c r="J3331" s="44" t="str">
        <f t="array" ref="J3331">IF(B3331="","",_xlfn.XLOOKUP(B3331,'Form responses 1'!$B$2:$B$2604,'Form responses 1'!$G$2:$G$2604,""))</f>
        <v/>
      </c>
      <c r="K3331" s="56"/>
      <c r="L3331" s="58" t="str">
        <f t="shared" si="7"/>
        <v/>
      </c>
      <c r="M3331" s="49"/>
      <c r="N3331" s="49"/>
      <c r="O3331" s="49"/>
      <c r="P3331" s="49"/>
      <c r="Q3331" s="49"/>
      <c r="R3331" s="49"/>
      <c r="S3331" s="49"/>
      <c r="T3331" s="49"/>
      <c r="U3331" s="49"/>
      <c r="V3331" s="49"/>
      <c r="W3331" s="56"/>
      <c r="X3331" s="51" t="str">
        <f t="shared" si="5"/>
        <v/>
      </c>
      <c r="Y3331" s="50" t="s">
        <v>482</v>
      </c>
      <c r="Z3331" s="49">
        <f t="shared" si="6"/>
        <v>0</v>
      </c>
    </row>
    <row r="3332" ht="22.5" customHeight="1">
      <c r="B3332" s="57"/>
      <c r="C3332" s="43" t="str">
        <f t="array" ref="C3332">IF(B3332="","",_xlfn.XLOOKUP(B3332,'Form responses 1'!$B$2:$B$2604,'Form responses 1'!$A$2:$A$2604,""))</f>
        <v/>
      </c>
      <c r="D3332" s="44" t="str">
        <f t="shared" si="3"/>
        <v/>
      </c>
      <c r="E3332" s="44" t="str">
        <f t="array" ref="E3332">IF(B3332="","",_xlfn.XLOOKUP(B3332,'Form responses 1'!$B$2:$B$2604,'Form responses 1'!$C$2:$C$2604,""))</f>
        <v/>
      </c>
      <c r="F3332" s="44" t="str">
        <f t="array" ref="F3332">IF(B3332="","",_xlfn.XLOOKUP(B3332,'Form responses 1'!$B$2:$B$2604,'Form responses 1'!$D$2:$D$2604,""))</f>
        <v/>
      </c>
      <c r="G3332" s="44" t="str">
        <f t="array" ref="G3332">IF(B3332="","",_xlfn.XLOOKUP(B3332,'Form responses 1'!$B$2:$B$2604,'Form responses 1'!$E$2:$E$2604,""))</f>
        <v/>
      </c>
      <c r="H3332" s="44" t="str">
        <f t="array" ref="H3332">IF(B3332="","",_xlfn.XLOOKUP(B3332,'Form responses 1'!$B$2:$B$2604,'Form responses 1'!$F$2:$F$2604,""))</f>
        <v/>
      </c>
      <c r="I3332" s="44" t="str">
        <f t="array" ref="I3332">IF(B3332="","",_xlfn.XLOOKUP(B3332,'Form responses 1'!$B$2:$B$2604,'Form responses 1'!$I$2:$I$2604,""))</f>
        <v/>
      </c>
      <c r="J3332" s="44" t="str">
        <f t="array" ref="J3332">IF(B3332="","",_xlfn.XLOOKUP(B3332,'Form responses 1'!$B$2:$B$2604,'Form responses 1'!$G$2:$G$2604,""))</f>
        <v/>
      </c>
      <c r="K3332" s="56"/>
      <c r="L3332" s="58" t="str">
        <f t="shared" si="7"/>
        <v/>
      </c>
      <c r="M3332" s="49"/>
      <c r="N3332" s="49"/>
      <c r="O3332" s="49"/>
      <c r="P3332" s="49"/>
      <c r="Q3332" s="49"/>
      <c r="R3332" s="49"/>
      <c r="S3332" s="49"/>
      <c r="T3332" s="49"/>
      <c r="U3332" s="49"/>
      <c r="V3332" s="49"/>
      <c r="W3332" s="56"/>
      <c r="X3332" s="51" t="str">
        <f t="shared" si="5"/>
        <v/>
      </c>
      <c r="Y3332" s="50" t="s">
        <v>482</v>
      </c>
      <c r="Z3332" s="49">
        <f t="shared" si="6"/>
        <v>0</v>
      </c>
    </row>
    <row r="3333" ht="22.5" customHeight="1">
      <c r="B3333" s="57"/>
      <c r="C3333" s="43" t="str">
        <f t="array" ref="C3333">IF(B3333="","",_xlfn.XLOOKUP(B3333,'Form responses 1'!$B$2:$B$2604,'Form responses 1'!$A$2:$A$2604,""))</f>
        <v/>
      </c>
      <c r="D3333" s="44" t="str">
        <f t="shared" si="3"/>
        <v/>
      </c>
      <c r="E3333" s="44" t="str">
        <f t="array" ref="E3333">IF(B3333="","",_xlfn.XLOOKUP(B3333,'Form responses 1'!$B$2:$B$2604,'Form responses 1'!$C$2:$C$2604,""))</f>
        <v/>
      </c>
      <c r="F3333" s="44" t="str">
        <f t="array" ref="F3333">IF(B3333="","",_xlfn.XLOOKUP(B3333,'Form responses 1'!$B$2:$B$2604,'Form responses 1'!$D$2:$D$2604,""))</f>
        <v/>
      </c>
      <c r="G3333" s="44" t="str">
        <f t="array" ref="G3333">IF(B3333="","",_xlfn.XLOOKUP(B3333,'Form responses 1'!$B$2:$B$2604,'Form responses 1'!$E$2:$E$2604,""))</f>
        <v/>
      </c>
      <c r="H3333" s="44" t="str">
        <f t="array" ref="H3333">IF(B3333="","",_xlfn.XLOOKUP(B3333,'Form responses 1'!$B$2:$B$2604,'Form responses 1'!$F$2:$F$2604,""))</f>
        <v/>
      </c>
      <c r="I3333" s="44" t="str">
        <f t="array" ref="I3333">IF(B3333="","",_xlfn.XLOOKUP(B3333,'Form responses 1'!$B$2:$B$2604,'Form responses 1'!$I$2:$I$2604,""))</f>
        <v/>
      </c>
      <c r="J3333" s="44" t="str">
        <f t="array" ref="J3333">IF(B3333="","",_xlfn.XLOOKUP(B3333,'Form responses 1'!$B$2:$B$2604,'Form responses 1'!$G$2:$G$2604,""))</f>
        <v/>
      </c>
      <c r="K3333" s="56"/>
      <c r="L3333" s="58" t="str">
        <f t="shared" si="7"/>
        <v/>
      </c>
      <c r="M3333" s="49"/>
      <c r="N3333" s="49"/>
      <c r="O3333" s="49"/>
      <c r="P3333" s="49"/>
      <c r="Q3333" s="49"/>
      <c r="R3333" s="49"/>
      <c r="S3333" s="49"/>
      <c r="T3333" s="49"/>
      <c r="U3333" s="49"/>
      <c r="V3333" s="49"/>
      <c r="W3333" s="56"/>
      <c r="X3333" s="51" t="str">
        <f t="shared" si="5"/>
        <v/>
      </c>
      <c r="Y3333" s="50" t="s">
        <v>482</v>
      </c>
      <c r="Z3333" s="49">
        <f t="shared" si="6"/>
        <v>0</v>
      </c>
    </row>
    <row r="3334" ht="22.5" customHeight="1">
      <c r="B3334" s="57"/>
      <c r="C3334" s="43" t="str">
        <f t="array" ref="C3334">IF(B3334="","",_xlfn.XLOOKUP(B3334,'Form responses 1'!$B$2:$B$2604,'Form responses 1'!$A$2:$A$2604,""))</f>
        <v/>
      </c>
      <c r="D3334" s="44" t="str">
        <f t="shared" si="3"/>
        <v/>
      </c>
      <c r="E3334" s="44" t="str">
        <f t="array" ref="E3334">IF(B3334="","",_xlfn.XLOOKUP(B3334,'Form responses 1'!$B$2:$B$2604,'Form responses 1'!$C$2:$C$2604,""))</f>
        <v/>
      </c>
      <c r="F3334" s="44" t="str">
        <f t="array" ref="F3334">IF(B3334="","",_xlfn.XLOOKUP(B3334,'Form responses 1'!$B$2:$B$2604,'Form responses 1'!$D$2:$D$2604,""))</f>
        <v/>
      </c>
      <c r="G3334" s="44" t="str">
        <f t="array" ref="G3334">IF(B3334="","",_xlfn.XLOOKUP(B3334,'Form responses 1'!$B$2:$B$2604,'Form responses 1'!$E$2:$E$2604,""))</f>
        <v/>
      </c>
      <c r="H3334" s="44" t="str">
        <f t="array" ref="H3334">IF(B3334="","",_xlfn.XLOOKUP(B3334,'Form responses 1'!$B$2:$B$2604,'Form responses 1'!$F$2:$F$2604,""))</f>
        <v/>
      </c>
      <c r="I3334" s="44" t="str">
        <f t="array" ref="I3334">IF(B3334="","",_xlfn.XLOOKUP(B3334,'Form responses 1'!$B$2:$B$2604,'Form responses 1'!$I$2:$I$2604,""))</f>
        <v/>
      </c>
      <c r="J3334" s="44" t="str">
        <f t="array" ref="J3334">IF(B3334="","",_xlfn.XLOOKUP(B3334,'Form responses 1'!$B$2:$B$2604,'Form responses 1'!$G$2:$G$2604,""))</f>
        <v/>
      </c>
      <c r="K3334" s="56"/>
      <c r="L3334" s="58" t="str">
        <f t="shared" si="7"/>
        <v/>
      </c>
      <c r="M3334" s="49"/>
      <c r="N3334" s="49"/>
      <c r="O3334" s="49"/>
      <c r="P3334" s="49"/>
      <c r="Q3334" s="49"/>
      <c r="R3334" s="49"/>
      <c r="S3334" s="49"/>
      <c r="T3334" s="49"/>
      <c r="U3334" s="49"/>
      <c r="V3334" s="49"/>
      <c r="W3334" s="56"/>
      <c r="X3334" s="51" t="str">
        <f t="shared" si="5"/>
        <v/>
      </c>
      <c r="Y3334" s="50" t="s">
        <v>482</v>
      </c>
      <c r="Z3334" s="49">
        <f t="shared" si="6"/>
        <v>0</v>
      </c>
    </row>
    <row r="3335" ht="22.5" customHeight="1">
      <c r="B3335" s="57"/>
      <c r="C3335" s="43" t="str">
        <f t="array" ref="C3335">IF(B3335="","",_xlfn.XLOOKUP(B3335,'Form responses 1'!$B$2:$B$2604,'Form responses 1'!$A$2:$A$2604,""))</f>
        <v/>
      </c>
      <c r="D3335" s="44" t="str">
        <f t="shared" si="3"/>
        <v/>
      </c>
      <c r="E3335" s="44" t="str">
        <f t="array" ref="E3335">IF(B3335="","",_xlfn.XLOOKUP(B3335,'Form responses 1'!$B$2:$B$2604,'Form responses 1'!$C$2:$C$2604,""))</f>
        <v/>
      </c>
      <c r="F3335" s="44" t="str">
        <f t="array" ref="F3335">IF(B3335="","",_xlfn.XLOOKUP(B3335,'Form responses 1'!$B$2:$B$2604,'Form responses 1'!$D$2:$D$2604,""))</f>
        <v/>
      </c>
      <c r="G3335" s="44" t="str">
        <f t="array" ref="G3335">IF(B3335="","",_xlfn.XLOOKUP(B3335,'Form responses 1'!$B$2:$B$2604,'Form responses 1'!$E$2:$E$2604,""))</f>
        <v/>
      </c>
      <c r="H3335" s="44" t="str">
        <f t="array" ref="H3335">IF(B3335="","",_xlfn.XLOOKUP(B3335,'Form responses 1'!$B$2:$B$2604,'Form responses 1'!$F$2:$F$2604,""))</f>
        <v/>
      </c>
      <c r="I3335" s="44" t="str">
        <f t="array" ref="I3335">IF(B3335="","",_xlfn.XLOOKUP(B3335,'Form responses 1'!$B$2:$B$2604,'Form responses 1'!$I$2:$I$2604,""))</f>
        <v/>
      </c>
      <c r="J3335" s="44" t="str">
        <f t="array" ref="J3335">IF(B3335="","",_xlfn.XLOOKUP(B3335,'Form responses 1'!$B$2:$B$2604,'Form responses 1'!$G$2:$G$2604,""))</f>
        <v/>
      </c>
      <c r="K3335" s="56"/>
      <c r="L3335" s="58" t="str">
        <f t="shared" si="7"/>
        <v/>
      </c>
      <c r="M3335" s="49"/>
      <c r="N3335" s="49"/>
      <c r="O3335" s="49"/>
      <c r="P3335" s="49"/>
      <c r="Q3335" s="49"/>
      <c r="R3335" s="49"/>
      <c r="S3335" s="49"/>
      <c r="T3335" s="49"/>
      <c r="U3335" s="49"/>
      <c r="V3335" s="49"/>
      <c r="W3335" s="56"/>
      <c r="X3335" s="51" t="str">
        <f t="shared" si="5"/>
        <v/>
      </c>
      <c r="Y3335" s="50" t="s">
        <v>482</v>
      </c>
      <c r="Z3335" s="49">
        <f t="shared" si="6"/>
        <v>0</v>
      </c>
    </row>
    <row r="3336" ht="22.5" customHeight="1">
      <c r="B3336" s="57"/>
      <c r="C3336" s="43" t="str">
        <f t="array" ref="C3336">IF(B3336="","",_xlfn.XLOOKUP(B3336,'Form responses 1'!$B$2:$B$2604,'Form responses 1'!$A$2:$A$2604,""))</f>
        <v/>
      </c>
      <c r="D3336" s="44" t="str">
        <f t="shared" si="3"/>
        <v/>
      </c>
      <c r="E3336" s="44" t="str">
        <f t="array" ref="E3336">IF(B3336="","",_xlfn.XLOOKUP(B3336,'Form responses 1'!$B$2:$B$2604,'Form responses 1'!$C$2:$C$2604,""))</f>
        <v/>
      </c>
      <c r="F3336" s="44" t="str">
        <f t="array" ref="F3336">IF(B3336="","",_xlfn.XLOOKUP(B3336,'Form responses 1'!$B$2:$B$2604,'Form responses 1'!$D$2:$D$2604,""))</f>
        <v/>
      </c>
      <c r="G3336" s="44" t="str">
        <f t="array" ref="G3336">IF(B3336="","",_xlfn.XLOOKUP(B3336,'Form responses 1'!$B$2:$B$2604,'Form responses 1'!$E$2:$E$2604,""))</f>
        <v/>
      </c>
      <c r="H3336" s="44" t="str">
        <f t="array" ref="H3336">IF(B3336="","",_xlfn.XLOOKUP(B3336,'Form responses 1'!$B$2:$B$2604,'Form responses 1'!$F$2:$F$2604,""))</f>
        <v/>
      </c>
      <c r="I3336" s="44" t="str">
        <f t="array" ref="I3336">IF(B3336="","",_xlfn.XLOOKUP(B3336,'Form responses 1'!$B$2:$B$2604,'Form responses 1'!$I$2:$I$2604,""))</f>
        <v/>
      </c>
      <c r="J3336" s="44" t="str">
        <f t="array" ref="J3336">IF(B3336="","",_xlfn.XLOOKUP(B3336,'Form responses 1'!$B$2:$B$2604,'Form responses 1'!$G$2:$G$2604,""))</f>
        <v/>
      </c>
      <c r="K3336" s="56"/>
      <c r="L3336" s="58" t="str">
        <f t="shared" si="7"/>
        <v/>
      </c>
      <c r="M3336" s="49"/>
      <c r="N3336" s="49"/>
      <c r="O3336" s="49"/>
      <c r="P3336" s="49"/>
      <c r="Q3336" s="49"/>
      <c r="R3336" s="49"/>
      <c r="S3336" s="49"/>
      <c r="T3336" s="49"/>
      <c r="U3336" s="49"/>
      <c r="V3336" s="49"/>
      <c r="W3336" s="56"/>
      <c r="X3336" s="51" t="str">
        <f t="shared" si="5"/>
        <v/>
      </c>
      <c r="Y3336" s="50" t="s">
        <v>482</v>
      </c>
      <c r="Z3336" s="49">
        <f t="shared" si="6"/>
        <v>0</v>
      </c>
    </row>
    <row r="3337" ht="22.5" customHeight="1">
      <c r="B3337" s="57"/>
      <c r="C3337" s="43" t="str">
        <f t="array" ref="C3337">IF(B3337="","",_xlfn.XLOOKUP(B3337,'Form responses 1'!$B$2:$B$2604,'Form responses 1'!$A$2:$A$2604,""))</f>
        <v/>
      </c>
      <c r="D3337" s="44" t="str">
        <f t="shared" si="3"/>
        <v/>
      </c>
      <c r="E3337" s="44" t="str">
        <f t="array" ref="E3337">IF(B3337="","",_xlfn.XLOOKUP(B3337,'Form responses 1'!$B$2:$B$2604,'Form responses 1'!$C$2:$C$2604,""))</f>
        <v/>
      </c>
      <c r="F3337" s="44" t="str">
        <f t="array" ref="F3337">IF(B3337="","",_xlfn.XLOOKUP(B3337,'Form responses 1'!$B$2:$B$2604,'Form responses 1'!$D$2:$D$2604,""))</f>
        <v/>
      </c>
      <c r="G3337" s="44" t="str">
        <f t="array" ref="G3337">IF(B3337="","",_xlfn.XLOOKUP(B3337,'Form responses 1'!$B$2:$B$2604,'Form responses 1'!$E$2:$E$2604,""))</f>
        <v/>
      </c>
      <c r="H3337" s="44" t="str">
        <f t="array" ref="H3337">IF(B3337="","",_xlfn.XLOOKUP(B3337,'Form responses 1'!$B$2:$B$2604,'Form responses 1'!$F$2:$F$2604,""))</f>
        <v/>
      </c>
      <c r="I3337" s="44" t="str">
        <f t="array" ref="I3337">IF(B3337="","",_xlfn.XLOOKUP(B3337,'Form responses 1'!$B$2:$B$2604,'Form responses 1'!$I$2:$I$2604,""))</f>
        <v/>
      </c>
      <c r="J3337" s="44" t="str">
        <f t="array" ref="J3337">IF(B3337="","",_xlfn.XLOOKUP(B3337,'Form responses 1'!$B$2:$B$2604,'Form responses 1'!$G$2:$G$2604,""))</f>
        <v/>
      </c>
      <c r="K3337" s="56"/>
      <c r="L3337" s="58" t="str">
        <f t="shared" si="7"/>
        <v/>
      </c>
      <c r="M3337" s="49"/>
      <c r="N3337" s="49"/>
      <c r="O3337" s="49"/>
      <c r="P3337" s="49"/>
      <c r="Q3337" s="49"/>
      <c r="R3337" s="49"/>
      <c r="S3337" s="49"/>
      <c r="T3337" s="49"/>
      <c r="U3337" s="49"/>
      <c r="V3337" s="49"/>
      <c r="W3337" s="56"/>
      <c r="X3337" s="51" t="str">
        <f t="shared" si="5"/>
        <v/>
      </c>
      <c r="Y3337" s="50" t="s">
        <v>482</v>
      </c>
      <c r="Z3337" s="49">
        <f t="shared" si="6"/>
        <v>0</v>
      </c>
    </row>
    <row r="3338" ht="22.5" customHeight="1">
      <c r="B3338" s="57"/>
      <c r="C3338" s="43" t="str">
        <f t="array" ref="C3338">IF(B3338="","",_xlfn.XLOOKUP(B3338,'Form responses 1'!$B$2:$B$2604,'Form responses 1'!$A$2:$A$2604,""))</f>
        <v/>
      </c>
      <c r="D3338" s="44" t="str">
        <f t="shared" si="3"/>
        <v/>
      </c>
      <c r="E3338" s="44" t="str">
        <f t="array" ref="E3338">IF(B3338="","",_xlfn.XLOOKUP(B3338,'Form responses 1'!$B$2:$B$2604,'Form responses 1'!$C$2:$C$2604,""))</f>
        <v/>
      </c>
      <c r="F3338" s="44" t="str">
        <f t="array" ref="F3338">IF(B3338="","",_xlfn.XLOOKUP(B3338,'Form responses 1'!$B$2:$B$2604,'Form responses 1'!$D$2:$D$2604,""))</f>
        <v/>
      </c>
      <c r="G3338" s="44" t="str">
        <f t="array" ref="G3338">IF(B3338="","",_xlfn.XLOOKUP(B3338,'Form responses 1'!$B$2:$B$2604,'Form responses 1'!$E$2:$E$2604,""))</f>
        <v/>
      </c>
      <c r="H3338" s="44" t="str">
        <f t="array" ref="H3338">IF(B3338="","",_xlfn.XLOOKUP(B3338,'Form responses 1'!$B$2:$B$2604,'Form responses 1'!$F$2:$F$2604,""))</f>
        <v/>
      </c>
      <c r="I3338" s="44" t="str">
        <f t="array" ref="I3338">IF(B3338="","",_xlfn.XLOOKUP(B3338,'Form responses 1'!$B$2:$B$2604,'Form responses 1'!$I$2:$I$2604,""))</f>
        <v/>
      </c>
      <c r="J3338" s="44" t="str">
        <f t="array" ref="J3338">IF(B3338="","",_xlfn.XLOOKUP(B3338,'Form responses 1'!$B$2:$B$2604,'Form responses 1'!$G$2:$G$2604,""))</f>
        <v/>
      </c>
      <c r="K3338" s="56"/>
      <c r="L3338" s="58" t="str">
        <f t="shared" si="7"/>
        <v/>
      </c>
      <c r="M3338" s="49"/>
      <c r="N3338" s="49"/>
      <c r="O3338" s="49"/>
      <c r="P3338" s="49"/>
      <c r="Q3338" s="49"/>
      <c r="R3338" s="49"/>
      <c r="S3338" s="49"/>
      <c r="T3338" s="49"/>
      <c r="U3338" s="49"/>
      <c r="V3338" s="49"/>
      <c r="W3338" s="56"/>
      <c r="X3338" s="51" t="str">
        <f t="shared" si="5"/>
        <v/>
      </c>
      <c r="Y3338" s="50" t="s">
        <v>482</v>
      </c>
      <c r="Z3338" s="49">
        <f t="shared" si="6"/>
        <v>0</v>
      </c>
    </row>
    <row r="3339" ht="22.5" customHeight="1">
      <c r="B3339" s="57"/>
      <c r="C3339" s="43" t="str">
        <f t="array" ref="C3339">IF(B3339="","",_xlfn.XLOOKUP(B3339,'Form responses 1'!$B$2:$B$2604,'Form responses 1'!$A$2:$A$2604,""))</f>
        <v/>
      </c>
      <c r="D3339" s="44" t="str">
        <f t="shared" si="3"/>
        <v/>
      </c>
      <c r="E3339" s="44" t="str">
        <f t="array" ref="E3339">IF(B3339="","",_xlfn.XLOOKUP(B3339,'Form responses 1'!$B$2:$B$2604,'Form responses 1'!$C$2:$C$2604,""))</f>
        <v/>
      </c>
      <c r="F3339" s="44" t="str">
        <f t="array" ref="F3339">IF(B3339="","",_xlfn.XLOOKUP(B3339,'Form responses 1'!$B$2:$B$2604,'Form responses 1'!$D$2:$D$2604,""))</f>
        <v/>
      </c>
      <c r="G3339" s="44" t="str">
        <f t="array" ref="G3339">IF(B3339="","",_xlfn.XLOOKUP(B3339,'Form responses 1'!$B$2:$B$2604,'Form responses 1'!$E$2:$E$2604,""))</f>
        <v/>
      </c>
      <c r="H3339" s="44" t="str">
        <f t="array" ref="H3339">IF(B3339="","",_xlfn.XLOOKUP(B3339,'Form responses 1'!$B$2:$B$2604,'Form responses 1'!$F$2:$F$2604,""))</f>
        <v/>
      </c>
      <c r="I3339" s="44" t="str">
        <f t="array" ref="I3339">IF(B3339="","",_xlfn.XLOOKUP(B3339,'Form responses 1'!$B$2:$B$2604,'Form responses 1'!$I$2:$I$2604,""))</f>
        <v/>
      </c>
      <c r="J3339" s="44" t="str">
        <f t="array" ref="J3339">IF(B3339="","",_xlfn.XLOOKUP(B3339,'Form responses 1'!$B$2:$B$2604,'Form responses 1'!$G$2:$G$2604,""))</f>
        <v/>
      </c>
      <c r="K3339" s="56"/>
      <c r="L3339" s="58" t="str">
        <f t="shared" si="7"/>
        <v/>
      </c>
      <c r="M3339" s="49"/>
      <c r="N3339" s="49"/>
      <c r="O3339" s="49"/>
      <c r="P3339" s="49"/>
      <c r="Q3339" s="49"/>
      <c r="R3339" s="49"/>
      <c r="S3339" s="49"/>
      <c r="T3339" s="49"/>
      <c r="U3339" s="49"/>
      <c r="V3339" s="49"/>
      <c r="W3339" s="56"/>
      <c r="X3339" s="51" t="str">
        <f t="shared" si="5"/>
        <v/>
      </c>
      <c r="Y3339" s="50" t="s">
        <v>482</v>
      </c>
      <c r="Z3339" s="49">
        <f t="shared" si="6"/>
        <v>0</v>
      </c>
    </row>
    <row r="3340" ht="22.5" customHeight="1">
      <c r="B3340" s="57"/>
      <c r="C3340" s="43" t="str">
        <f t="array" ref="C3340">IF(B3340="","",_xlfn.XLOOKUP(B3340,'Form responses 1'!$B$2:$B$2604,'Form responses 1'!$A$2:$A$2604,""))</f>
        <v/>
      </c>
      <c r="D3340" s="44" t="str">
        <f t="shared" si="3"/>
        <v/>
      </c>
      <c r="E3340" s="44" t="str">
        <f t="array" ref="E3340">IF(B3340="","",_xlfn.XLOOKUP(B3340,'Form responses 1'!$B$2:$B$2604,'Form responses 1'!$C$2:$C$2604,""))</f>
        <v/>
      </c>
      <c r="F3340" s="44" t="str">
        <f t="array" ref="F3340">IF(B3340="","",_xlfn.XLOOKUP(B3340,'Form responses 1'!$B$2:$B$2604,'Form responses 1'!$D$2:$D$2604,""))</f>
        <v/>
      </c>
      <c r="G3340" s="44" t="str">
        <f t="array" ref="G3340">IF(B3340="","",_xlfn.XLOOKUP(B3340,'Form responses 1'!$B$2:$B$2604,'Form responses 1'!$E$2:$E$2604,""))</f>
        <v/>
      </c>
      <c r="H3340" s="44" t="str">
        <f t="array" ref="H3340">IF(B3340="","",_xlfn.XLOOKUP(B3340,'Form responses 1'!$B$2:$B$2604,'Form responses 1'!$F$2:$F$2604,""))</f>
        <v/>
      </c>
      <c r="I3340" s="44" t="str">
        <f t="array" ref="I3340">IF(B3340="","",_xlfn.XLOOKUP(B3340,'Form responses 1'!$B$2:$B$2604,'Form responses 1'!$I$2:$I$2604,""))</f>
        <v/>
      </c>
      <c r="J3340" s="44" t="str">
        <f t="array" ref="J3340">IF(B3340="","",_xlfn.XLOOKUP(B3340,'Form responses 1'!$B$2:$B$2604,'Form responses 1'!$G$2:$G$2604,""))</f>
        <v/>
      </c>
      <c r="K3340" s="56"/>
      <c r="L3340" s="58" t="str">
        <f t="shared" si="7"/>
        <v/>
      </c>
      <c r="M3340" s="49"/>
      <c r="N3340" s="49"/>
      <c r="O3340" s="49"/>
      <c r="P3340" s="49"/>
      <c r="Q3340" s="49"/>
      <c r="R3340" s="49"/>
      <c r="S3340" s="49"/>
      <c r="T3340" s="49"/>
      <c r="U3340" s="49"/>
      <c r="V3340" s="49"/>
      <c r="W3340" s="56"/>
      <c r="X3340" s="51" t="str">
        <f t="shared" si="5"/>
        <v/>
      </c>
      <c r="Y3340" s="50" t="s">
        <v>482</v>
      </c>
      <c r="Z3340" s="49">
        <f t="shared" si="6"/>
        <v>0</v>
      </c>
    </row>
    <row r="3341" ht="22.5" customHeight="1">
      <c r="B3341" s="57"/>
      <c r="C3341" s="43" t="str">
        <f t="array" ref="C3341">IF(B3341="","",_xlfn.XLOOKUP(B3341,'Form responses 1'!$B$2:$B$2604,'Form responses 1'!$A$2:$A$2604,""))</f>
        <v/>
      </c>
      <c r="D3341" s="44" t="str">
        <f t="shared" si="3"/>
        <v/>
      </c>
      <c r="E3341" s="44" t="str">
        <f t="array" ref="E3341">IF(B3341="","",_xlfn.XLOOKUP(B3341,'Form responses 1'!$B$2:$B$2604,'Form responses 1'!$C$2:$C$2604,""))</f>
        <v/>
      </c>
      <c r="F3341" s="44" t="str">
        <f t="array" ref="F3341">IF(B3341="","",_xlfn.XLOOKUP(B3341,'Form responses 1'!$B$2:$B$2604,'Form responses 1'!$D$2:$D$2604,""))</f>
        <v/>
      </c>
      <c r="G3341" s="44" t="str">
        <f t="array" ref="G3341">IF(B3341="","",_xlfn.XLOOKUP(B3341,'Form responses 1'!$B$2:$B$2604,'Form responses 1'!$E$2:$E$2604,""))</f>
        <v/>
      </c>
      <c r="H3341" s="44" t="str">
        <f t="array" ref="H3341">IF(B3341="","",_xlfn.XLOOKUP(B3341,'Form responses 1'!$B$2:$B$2604,'Form responses 1'!$F$2:$F$2604,""))</f>
        <v/>
      </c>
      <c r="I3341" s="44" t="str">
        <f t="array" ref="I3341">IF(B3341="","",_xlfn.XLOOKUP(B3341,'Form responses 1'!$B$2:$B$2604,'Form responses 1'!$I$2:$I$2604,""))</f>
        <v/>
      </c>
      <c r="J3341" s="44" t="str">
        <f t="array" ref="J3341">IF(B3341="","",_xlfn.XLOOKUP(B3341,'Form responses 1'!$B$2:$B$2604,'Form responses 1'!$G$2:$G$2604,""))</f>
        <v/>
      </c>
      <c r="K3341" s="56"/>
      <c r="L3341" s="58" t="str">
        <f t="shared" si="7"/>
        <v/>
      </c>
      <c r="M3341" s="49"/>
      <c r="N3341" s="49"/>
      <c r="O3341" s="49"/>
      <c r="P3341" s="49"/>
      <c r="Q3341" s="49"/>
      <c r="R3341" s="49"/>
      <c r="S3341" s="49"/>
      <c r="T3341" s="49"/>
      <c r="U3341" s="49"/>
      <c r="V3341" s="49"/>
      <c r="W3341" s="56"/>
      <c r="X3341" s="51" t="str">
        <f t="shared" si="5"/>
        <v/>
      </c>
      <c r="Y3341" s="50" t="s">
        <v>482</v>
      </c>
      <c r="Z3341" s="49">
        <f t="shared" si="6"/>
        <v>0</v>
      </c>
    </row>
    <row r="3342" ht="22.5" customHeight="1">
      <c r="B3342" s="57"/>
      <c r="C3342" s="43" t="str">
        <f t="array" ref="C3342">IF(B3342="","",_xlfn.XLOOKUP(B3342,'Form responses 1'!$B$2:$B$2604,'Form responses 1'!$A$2:$A$2604,""))</f>
        <v/>
      </c>
      <c r="D3342" s="44" t="str">
        <f t="shared" si="3"/>
        <v/>
      </c>
      <c r="E3342" s="44" t="str">
        <f t="array" ref="E3342">IF(B3342="","",_xlfn.XLOOKUP(B3342,'Form responses 1'!$B$2:$B$2604,'Form responses 1'!$C$2:$C$2604,""))</f>
        <v/>
      </c>
      <c r="F3342" s="44" t="str">
        <f t="array" ref="F3342">IF(B3342="","",_xlfn.XLOOKUP(B3342,'Form responses 1'!$B$2:$B$2604,'Form responses 1'!$D$2:$D$2604,""))</f>
        <v/>
      </c>
      <c r="G3342" s="44" t="str">
        <f t="array" ref="G3342">IF(B3342="","",_xlfn.XLOOKUP(B3342,'Form responses 1'!$B$2:$B$2604,'Form responses 1'!$E$2:$E$2604,""))</f>
        <v/>
      </c>
      <c r="H3342" s="44" t="str">
        <f t="array" ref="H3342">IF(B3342="","",_xlfn.XLOOKUP(B3342,'Form responses 1'!$B$2:$B$2604,'Form responses 1'!$F$2:$F$2604,""))</f>
        <v/>
      </c>
      <c r="I3342" s="44" t="str">
        <f t="array" ref="I3342">IF(B3342="","",_xlfn.XLOOKUP(B3342,'Form responses 1'!$B$2:$B$2604,'Form responses 1'!$I$2:$I$2604,""))</f>
        <v/>
      </c>
      <c r="J3342" s="44" t="str">
        <f t="array" ref="J3342">IF(B3342="","",_xlfn.XLOOKUP(B3342,'Form responses 1'!$B$2:$B$2604,'Form responses 1'!$G$2:$G$2604,""))</f>
        <v/>
      </c>
      <c r="K3342" s="56"/>
      <c r="L3342" s="58" t="str">
        <f t="shared" si="7"/>
        <v/>
      </c>
      <c r="M3342" s="49"/>
      <c r="N3342" s="49"/>
      <c r="O3342" s="49"/>
      <c r="P3342" s="49"/>
      <c r="Q3342" s="49"/>
      <c r="R3342" s="49"/>
      <c r="S3342" s="49"/>
      <c r="T3342" s="49"/>
      <c r="U3342" s="49"/>
      <c r="V3342" s="49"/>
      <c r="W3342" s="56"/>
      <c r="X3342" s="51" t="str">
        <f t="shared" si="5"/>
        <v/>
      </c>
      <c r="Y3342" s="50" t="s">
        <v>482</v>
      </c>
      <c r="Z3342" s="49">
        <f t="shared" si="6"/>
        <v>0</v>
      </c>
    </row>
    <row r="3343" ht="22.5" customHeight="1">
      <c r="B3343" s="57"/>
      <c r="C3343" s="43" t="str">
        <f t="array" ref="C3343">IF(B3343="","",_xlfn.XLOOKUP(B3343,'Form responses 1'!$B$2:$B$2604,'Form responses 1'!$A$2:$A$2604,""))</f>
        <v/>
      </c>
      <c r="D3343" s="44" t="str">
        <f t="shared" si="3"/>
        <v/>
      </c>
      <c r="E3343" s="44" t="str">
        <f t="array" ref="E3343">IF(B3343="","",_xlfn.XLOOKUP(B3343,'Form responses 1'!$B$2:$B$2604,'Form responses 1'!$C$2:$C$2604,""))</f>
        <v/>
      </c>
      <c r="F3343" s="44" t="str">
        <f t="array" ref="F3343">IF(B3343="","",_xlfn.XLOOKUP(B3343,'Form responses 1'!$B$2:$B$2604,'Form responses 1'!$D$2:$D$2604,""))</f>
        <v/>
      </c>
      <c r="G3343" s="44" t="str">
        <f t="array" ref="G3343">IF(B3343="","",_xlfn.XLOOKUP(B3343,'Form responses 1'!$B$2:$B$2604,'Form responses 1'!$E$2:$E$2604,""))</f>
        <v/>
      </c>
      <c r="H3343" s="44" t="str">
        <f t="array" ref="H3343">IF(B3343="","",_xlfn.XLOOKUP(B3343,'Form responses 1'!$B$2:$B$2604,'Form responses 1'!$F$2:$F$2604,""))</f>
        <v/>
      </c>
      <c r="I3343" s="44" t="str">
        <f t="array" ref="I3343">IF(B3343="","",_xlfn.XLOOKUP(B3343,'Form responses 1'!$B$2:$B$2604,'Form responses 1'!$I$2:$I$2604,""))</f>
        <v/>
      </c>
      <c r="J3343" s="44" t="str">
        <f t="array" ref="J3343">IF(B3343="","",_xlfn.XLOOKUP(B3343,'Form responses 1'!$B$2:$B$2604,'Form responses 1'!$G$2:$G$2604,""))</f>
        <v/>
      </c>
      <c r="K3343" s="56"/>
      <c r="L3343" s="58" t="str">
        <f t="shared" si="7"/>
        <v/>
      </c>
      <c r="M3343" s="49"/>
      <c r="N3343" s="49"/>
      <c r="O3343" s="49"/>
      <c r="P3343" s="49"/>
      <c r="Q3343" s="49"/>
      <c r="R3343" s="49"/>
      <c r="S3343" s="49"/>
      <c r="T3343" s="49"/>
      <c r="U3343" s="49"/>
      <c r="V3343" s="49"/>
      <c r="W3343" s="56"/>
      <c r="X3343" s="51" t="str">
        <f t="shared" si="5"/>
        <v/>
      </c>
      <c r="Y3343" s="50" t="s">
        <v>482</v>
      </c>
      <c r="Z3343" s="49">
        <f t="shared" si="6"/>
        <v>0</v>
      </c>
    </row>
    <row r="3344" ht="22.5" customHeight="1">
      <c r="B3344" s="57"/>
      <c r="C3344" s="43" t="str">
        <f t="array" ref="C3344">IF(B3344="","",_xlfn.XLOOKUP(B3344,'Form responses 1'!$B$2:$B$2604,'Form responses 1'!$A$2:$A$2604,""))</f>
        <v/>
      </c>
      <c r="D3344" s="44" t="str">
        <f t="shared" si="3"/>
        <v/>
      </c>
      <c r="E3344" s="44" t="str">
        <f t="array" ref="E3344">IF(B3344="","",_xlfn.XLOOKUP(B3344,'Form responses 1'!$B$2:$B$2604,'Form responses 1'!$C$2:$C$2604,""))</f>
        <v/>
      </c>
      <c r="F3344" s="44" t="str">
        <f t="array" ref="F3344">IF(B3344="","",_xlfn.XLOOKUP(B3344,'Form responses 1'!$B$2:$B$2604,'Form responses 1'!$D$2:$D$2604,""))</f>
        <v/>
      </c>
      <c r="G3344" s="44" t="str">
        <f t="array" ref="G3344">IF(B3344="","",_xlfn.XLOOKUP(B3344,'Form responses 1'!$B$2:$B$2604,'Form responses 1'!$E$2:$E$2604,""))</f>
        <v/>
      </c>
      <c r="H3344" s="44" t="str">
        <f t="array" ref="H3344">IF(B3344="","",_xlfn.XLOOKUP(B3344,'Form responses 1'!$B$2:$B$2604,'Form responses 1'!$F$2:$F$2604,""))</f>
        <v/>
      </c>
      <c r="I3344" s="44" t="str">
        <f t="array" ref="I3344">IF(B3344="","",_xlfn.XLOOKUP(B3344,'Form responses 1'!$B$2:$B$2604,'Form responses 1'!$I$2:$I$2604,""))</f>
        <v/>
      </c>
      <c r="J3344" s="44" t="str">
        <f t="array" ref="J3344">IF(B3344="","",_xlfn.XLOOKUP(B3344,'Form responses 1'!$B$2:$B$2604,'Form responses 1'!$G$2:$G$2604,""))</f>
        <v/>
      </c>
      <c r="K3344" s="56"/>
      <c r="L3344" s="58" t="str">
        <f t="shared" si="7"/>
        <v/>
      </c>
      <c r="M3344" s="49"/>
      <c r="N3344" s="49"/>
      <c r="O3344" s="49"/>
      <c r="P3344" s="49"/>
      <c r="Q3344" s="49"/>
      <c r="R3344" s="49"/>
      <c r="S3344" s="49"/>
      <c r="T3344" s="49"/>
      <c r="U3344" s="49"/>
      <c r="V3344" s="49"/>
      <c r="W3344" s="56"/>
      <c r="X3344" s="51" t="str">
        <f t="shared" si="5"/>
        <v/>
      </c>
      <c r="Y3344" s="50" t="s">
        <v>482</v>
      </c>
      <c r="Z3344" s="49">
        <f t="shared" si="6"/>
        <v>0</v>
      </c>
    </row>
    <row r="3345" ht="22.5" customHeight="1">
      <c r="B3345" s="57"/>
      <c r="C3345" s="43" t="str">
        <f t="array" ref="C3345">IF(B3345="","",_xlfn.XLOOKUP(B3345,'Form responses 1'!$B$2:$B$2604,'Form responses 1'!$A$2:$A$2604,""))</f>
        <v/>
      </c>
      <c r="D3345" s="44" t="str">
        <f t="shared" si="3"/>
        <v/>
      </c>
      <c r="E3345" s="44" t="str">
        <f t="array" ref="E3345">IF(B3345="","",_xlfn.XLOOKUP(B3345,'Form responses 1'!$B$2:$B$2604,'Form responses 1'!$C$2:$C$2604,""))</f>
        <v/>
      </c>
      <c r="F3345" s="44" t="str">
        <f t="array" ref="F3345">IF(B3345="","",_xlfn.XLOOKUP(B3345,'Form responses 1'!$B$2:$B$2604,'Form responses 1'!$D$2:$D$2604,""))</f>
        <v/>
      </c>
      <c r="G3345" s="44" t="str">
        <f t="array" ref="G3345">IF(B3345="","",_xlfn.XLOOKUP(B3345,'Form responses 1'!$B$2:$B$2604,'Form responses 1'!$E$2:$E$2604,""))</f>
        <v/>
      </c>
      <c r="H3345" s="44" t="str">
        <f t="array" ref="H3345">IF(B3345="","",_xlfn.XLOOKUP(B3345,'Form responses 1'!$B$2:$B$2604,'Form responses 1'!$F$2:$F$2604,""))</f>
        <v/>
      </c>
      <c r="I3345" s="44" t="str">
        <f t="array" ref="I3345">IF(B3345="","",_xlfn.XLOOKUP(B3345,'Form responses 1'!$B$2:$B$2604,'Form responses 1'!$I$2:$I$2604,""))</f>
        <v/>
      </c>
      <c r="J3345" s="44" t="str">
        <f t="array" ref="J3345">IF(B3345="","",_xlfn.XLOOKUP(B3345,'Form responses 1'!$B$2:$B$2604,'Form responses 1'!$G$2:$G$2604,""))</f>
        <v/>
      </c>
      <c r="K3345" s="56"/>
      <c r="L3345" s="58" t="str">
        <f t="shared" si="7"/>
        <v/>
      </c>
      <c r="M3345" s="49"/>
      <c r="N3345" s="49"/>
      <c r="O3345" s="49"/>
      <c r="P3345" s="49"/>
      <c r="Q3345" s="49"/>
      <c r="R3345" s="49"/>
      <c r="S3345" s="49"/>
      <c r="T3345" s="49"/>
      <c r="U3345" s="49"/>
      <c r="V3345" s="49"/>
      <c r="W3345" s="56"/>
      <c r="X3345" s="51" t="str">
        <f t="shared" si="5"/>
        <v/>
      </c>
      <c r="Y3345" s="50" t="s">
        <v>482</v>
      </c>
      <c r="Z3345" s="49">
        <f t="shared" si="6"/>
        <v>0</v>
      </c>
    </row>
    <row r="3346" ht="22.5" customHeight="1">
      <c r="B3346" s="57"/>
      <c r="C3346" s="43" t="str">
        <f t="array" ref="C3346">IF(B3346="","",_xlfn.XLOOKUP(B3346,'Form responses 1'!$B$2:$B$2604,'Form responses 1'!$A$2:$A$2604,""))</f>
        <v/>
      </c>
      <c r="D3346" s="44" t="str">
        <f t="shared" si="3"/>
        <v/>
      </c>
      <c r="E3346" s="44" t="str">
        <f t="array" ref="E3346">IF(B3346="","",_xlfn.XLOOKUP(B3346,'Form responses 1'!$B$2:$B$2604,'Form responses 1'!$C$2:$C$2604,""))</f>
        <v/>
      </c>
      <c r="F3346" s="44" t="str">
        <f t="array" ref="F3346">IF(B3346="","",_xlfn.XLOOKUP(B3346,'Form responses 1'!$B$2:$B$2604,'Form responses 1'!$D$2:$D$2604,""))</f>
        <v/>
      </c>
      <c r="G3346" s="44" t="str">
        <f t="array" ref="G3346">IF(B3346="","",_xlfn.XLOOKUP(B3346,'Form responses 1'!$B$2:$B$2604,'Form responses 1'!$E$2:$E$2604,""))</f>
        <v/>
      </c>
      <c r="H3346" s="44" t="str">
        <f t="array" ref="H3346">IF(B3346="","",_xlfn.XLOOKUP(B3346,'Form responses 1'!$B$2:$B$2604,'Form responses 1'!$F$2:$F$2604,""))</f>
        <v/>
      </c>
      <c r="I3346" s="44" t="str">
        <f t="array" ref="I3346">IF(B3346="","",_xlfn.XLOOKUP(B3346,'Form responses 1'!$B$2:$B$2604,'Form responses 1'!$I$2:$I$2604,""))</f>
        <v/>
      </c>
      <c r="J3346" s="44" t="str">
        <f t="array" ref="J3346">IF(B3346="","",_xlfn.XLOOKUP(B3346,'Form responses 1'!$B$2:$B$2604,'Form responses 1'!$G$2:$G$2604,""))</f>
        <v/>
      </c>
      <c r="K3346" s="56"/>
      <c r="L3346" s="58" t="str">
        <f t="shared" si="7"/>
        <v/>
      </c>
      <c r="M3346" s="49"/>
      <c r="N3346" s="49"/>
      <c r="O3346" s="49"/>
      <c r="P3346" s="49"/>
      <c r="Q3346" s="49"/>
      <c r="R3346" s="49"/>
      <c r="S3346" s="49"/>
      <c r="T3346" s="49"/>
      <c r="U3346" s="49"/>
      <c r="V3346" s="49"/>
      <c r="W3346" s="56"/>
      <c r="X3346" s="51" t="str">
        <f t="shared" si="5"/>
        <v/>
      </c>
      <c r="Y3346" s="50" t="s">
        <v>482</v>
      </c>
      <c r="Z3346" s="49">
        <f t="shared" si="6"/>
        <v>0</v>
      </c>
    </row>
    <row r="3347" ht="22.5" customHeight="1">
      <c r="B3347" s="57"/>
      <c r="C3347" s="43" t="str">
        <f t="array" ref="C3347">IF(B3347="","",_xlfn.XLOOKUP(B3347,'Form responses 1'!$B$2:$B$2604,'Form responses 1'!$A$2:$A$2604,""))</f>
        <v/>
      </c>
      <c r="D3347" s="44" t="str">
        <f t="shared" si="3"/>
        <v/>
      </c>
      <c r="E3347" s="44" t="str">
        <f t="array" ref="E3347">IF(B3347="","",_xlfn.XLOOKUP(B3347,'Form responses 1'!$B$2:$B$2604,'Form responses 1'!$C$2:$C$2604,""))</f>
        <v/>
      </c>
      <c r="F3347" s="44" t="str">
        <f t="array" ref="F3347">IF(B3347="","",_xlfn.XLOOKUP(B3347,'Form responses 1'!$B$2:$B$2604,'Form responses 1'!$D$2:$D$2604,""))</f>
        <v/>
      </c>
      <c r="G3347" s="44" t="str">
        <f t="array" ref="G3347">IF(B3347="","",_xlfn.XLOOKUP(B3347,'Form responses 1'!$B$2:$B$2604,'Form responses 1'!$E$2:$E$2604,""))</f>
        <v/>
      </c>
      <c r="H3347" s="44" t="str">
        <f t="array" ref="H3347">IF(B3347="","",_xlfn.XLOOKUP(B3347,'Form responses 1'!$B$2:$B$2604,'Form responses 1'!$F$2:$F$2604,""))</f>
        <v/>
      </c>
      <c r="I3347" s="44" t="str">
        <f t="array" ref="I3347">IF(B3347="","",_xlfn.XLOOKUP(B3347,'Form responses 1'!$B$2:$B$2604,'Form responses 1'!$I$2:$I$2604,""))</f>
        <v/>
      </c>
      <c r="J3347" s="44" t="str">
        <f t="array" ref="J3347">IF(B3347="","",_xlfn.XLOOKUP(B3347,'Form responses 1'!$B$2:$B$2604,'Form responses 1'!$G$2:$G$2604,""))</f>
        <v/>
      </c>
      <c r="K3347" s="56"/>
      <c r="L3347" s="58" t="str">
        <f t="shared" si="7"/>
        <v/>
      </c>
      <c r="M3347" s="49"/>
      <c r="N3347" s="49"/>
      <c r="O3347" s="49"/>
      <c r="P3347" s="49"/>
      <c r="Q3347" s="49"/>
      <c r="R3347" s="49"/>
      <c r="S3347" s="49"/>
      <c r="T3347" s="49"/>
      <c r="U3347" s="49"/>
      <c r="V3347" s="49"/>
      <c r="W3347" s="56"/>
      <c r="X3347" s="51" t="str">
        <f t="shared" si="5"/>
        <v/>
      </c>
      <c r="Y3347" s="50" t="s">
        <v>482</v>
      </c>
      <c r="Z3347" s="49">
        <f t="shared" si="6"/>
        <v>0</v>
      </c>
    </row>
    <row r="3348" ht="22.5" customHeight="1">
      <c r="B3348" s="57"/>
      <c r="C3348" s="43" t="str">
        <f t="array" ref="C3348">IF(B3348="","",_xlfn.XLOOKUP(B3348,'Form responses 1'!$B$2:$B$2604,'Form responses 1'!$A$2:$A$2604,""))</f>
        <v/>
      </c>
      <c r="D3348" s="44" t="str">
        <f t="shared" si="3"/>
        <v/>
      </c>
      <c r="E3348" s="44" t="str">
        <f t="array" ref="E3348">IF(B3348="","",_xlfn.XLOOKUP(B3348,'Form responses 1'!$B$2:$B$2604,'Form responses 1'!$C$2:$C$2604,""))</f>
        <v/>
      </c>
      <c r="F3348" s="44" t="str">
        <f t="array" ref="F3348">IF(B3348="","",_xlfn.XLOOKUP(B3348,'Form responses 1'!$B$2:$B$2604,'Form responses 1'!$D$2:$D$2604,""))</f>
        <v/>
      </c>
      <c r="G3348" s="44" t="str">
        <f t="array" ref="G3348">IF(B3348="","",_xlfn.XLOOKUP(B3348,'Form responses 1'!$B$2:$B$2604,'Form responses 1'!$E$2:$E$2604,""))</f>
        <v/>
      </c>
      <c r="H3348" s="44" t="str">
        <f t="array" ref="H3348">IF(B3348="","",_xlfn.XLOOKUP(B3348,'Form responses 1'!$B$2:$B$2604,'Form responses 1'!$F$2:$F$2604,""))</f>
        <v/>
      </c>
      <c r="I3348" s="44" t="str">
        <f t="array" ref="I3348">IF(B3348="","",_xlfn.XLOOKUP(B3348,'Form responses 1'!$B$2:$B$2604,'Form responses 1'!$I$2:$I$2604,""))</f>
        <v/>
      </c>
      <c r="J3348" s="44" t="str">
        <f t="array" ref="J3348">IF(B3348="","",_xlfn.XLOOKUP(B3348,'Form responses 1'!$B$2:$B$2604,'Form responses 1'!$G$2:$G$2604,""))</f>
        <v/>
      </c>
      <c r="K3348" s="56"/>
      <c r="L3348" s="58" t="str">
        <f t="shared" si="7"/>
        <v/>
      </c>
      <c r="M3348" s="49"/>
      <c r="N3348" s="49"/>
      <c r="O3348" s="49"/>
      <c r="P3348" s="49"/>
      <c r="Q3348" s="49"/>
      <c r="R3348" s="49"/>
      <c r="S3348" s="49"/>
      <c r="T3348" s="49"/>
      <c r="U3348" s="49"/>
      <c r="V3348" s="49"/>
      <c r="W3348" s="56"/>
      <c r="X3348" s="51" t="str">
        <f t="shared" si="5"/>
        <v/>
      </c>
      <c r="Y3348" s="50" t="s">
        <v>482</v>
      </c>
      <c r="Z3348" s="49">
        <f t="shared" si="6"/>
        <v>0</v>
      </c>
    </row>
    <row r="3349" ht="22.5" customHeight="1">
      <c r="B3349" s="57"/>
      <c r="C3349" s="43" t="str">
        <f t="array" ref="C3349">IF(B3349="","",_xlfn.XLOOKUP(B3349,'Form responses 1'!$B$2:$B$2604,'Form responses 1'!$A$2:$A$2604,""))</f>
        <v/>
      </c>
      <c r="D3349" s="44" t="str">
        <f t="shared" si="3"/>
        <v/>
      </c>
      <c r="E3349" s="44" t="str">
        <f t="array" ref="E3349">IF(B3349="","",_xlfn.XLOOKUP(B3349,'Form responses 1'!$B$2:$B$2604,'Form responses 1'!$C$2:$C$2604,""))</f>
        <v/>
      </c>
      <c r="F3349" s="44" t="str">
        <f t="array" ref="F3349">IF(B3349="","",_xlfn.XLOOKUP(B3349,'Form responses 1'!$B$2:$B$2604,'Form responses 1'!$D$2:$D$2604,""))</f>
        <v/>
      </c>
      <c r="G3349" s="44" t="str">
        <f t="array" ref="G3349">IF(B3349="","",_xlfn.XLOOKUP(B3349,'Form responses 1'!$B$2:$B$2604,'Form responses 1'!$E$2:$E$2604,""))</f>
        <v/>
      </c>
      <c r="H3349" s="44" t="str">
        <f t="array" ref="H3349">IF(B3349="","",_xlfn.XLOOKUP(B3349,'Form responses 1'!$B$2:$B$2604,'Form responses 1'!$F$2:$F$2604,""))</f>
        <v/>
      </c>
      <c r="I3349" s="44" t="str">
        <f t="array" ref="I3349">IF(B3349="","",_xlfn.XLOOKUP(B3349,'Form responses 1'!$B$2:$B$2604,'Form responses 1'!$I$2:$I$2604,""))</f>
        <v/>
      </c>
      <c r="J3349" s="44" t="str">
        <f t="array" ref="J3349">IF(B3349="","",_xlfn.XLOOKUP(B3349,'Form responses 1'!$B$2:$B$2604,'Form responses 1'!$G$2:$G$2604,""))</f>
        <v/>
      </c>
      <c r="K3349" s="56"/>
      <c r="L3349" s="58" t="str">
        <f t="shared" si="7"/>
        <v/>
      </c>
      <c r="M3349" s="49"/>
      <c r="N3349" s="49"/>
      <c r="O3349" s="49"/>
      <c r="P3349" s="49"/>
      <c r="Q3349" s="49"/>
      <c r="R3349" s="49"/>
      <c r="S3349" s="49"/>
      <c r="T3349" s="49"/>
      <c r="U3349" s="49"/>
      <c r="V3349" s="49"/>
      <c r="W3349" s="56"/>
      <c r="X3349" s="51" t="str">
        <f t="shared" si="5"/>
        <v/>
      </c>
      <c r="Y3349" s="50" t="s">
        <v>482</v>
      </c>
      <c r="Z3349" s="49">
        <f t="shared" si="6"/>
        <v>0</v>
      </c>
    </row>
    <row r="3350" ht="22.5" customHeight="1">
      <c r="B3350" s="57"/>
      <c r="C3350" s="43" t="str">
        <f t="array" ref="C3350">IF(B3350="","",_xlfn.XLOOKUP(B3350,'Form responses 1'!$B$2:$B$2604,'Form responses 1'!$A$2:$A$2604,""))</f>
        <v/>
      </c>
      <c r="D3350" s="44" t="str">
        <f t="shared" si="3"/>
        <v/>
      </c>
      <c r="E3350" s="44" t="str">
        <f t="array" ref="E3350">IF(B3350="","",_xlfn.XLOOKUP(B3350,'Form responses 1'!$B$2:$B$2604,'Form responses 1'!$C$2:$C$2604,""))</f>
        <v/>
      </c>
      <c r="F3350" s="44" t="str">
        <f t="array" ref="F3350">IF(B3350="","",_xlfn.XLOOKUP(B3350,'Form responses 1'!$B$2:$B$2604,'Form responses 1'!$D$2:$D$2604,""))</f>
        <v/>
      </c>
      <c r="G3350" s="44" t="str">
        <f t="array" ref="G3350">IF(B3350="","",_xlfn.XLOOKUP(B3350,'Form responses 1'!$B$2:$B$2604,'Form responses 1'!$E$2:$E$2604,""))</f>
        <v/>
      </c>
      <c r="H3350" s="44" t="str">
        <f t="array" ref="H3350">IF(B3350="","",_xlfn.XLOOKUP(B3350,'Form responses 1'!$B$2:$B$2604,'Form responses 1'!$F$2:$F$2604,""))</f>
        <v/>
      </c>
      <c r="I3350" s="44" t="str">
        <f t="array" ref="I3350">IF(B3350="","",_xlfn.XLOOKUP(B3350,'Form responses 1'!$B$2:$B$2604,'Form responses 1'!$I$2:$I$2604,""))</f>
        <v/>
      </c>
      <c r="J3350" s="44" t="str">
        <f t="array" ref="J3350">IF(B3350="","",_xlfn.XLOOKUP(B3350,'Form responses 1'!$B$2:$B$2604,'Form responses 1'!$G$2:$G$2604,""))</f>
        <v/>
      </c>
      <c r="K3350" s="56"/>
      <c r="L3350" s="58" t="str">
        <f t="shared" si="7"/>
        <v/>
      </c>
      <c r="M3350" s="49"/>
      <c r="N3350" s="49"/>
      <c r="O3350" s="49"/>
      <c r="P3350" s="49"/>
      <c r="Q3350" s="49"/>
      <c r="R3350" s="49"/>
      <c r="S3350" s="49"/>
      <c r="T3350" s="49"/>
      <c r="U3350" s="49"/>
      <c r="V3350" s="49"/>
      <c r="W3350" s="56"/>
      <c r="X3350" s="51" t="str">
        <f t="shared" si="5"/>
        <v/>
      </c>
      <c r="Y3350" s="50" t="s">
        <v>482</v>
      </c>
      <c r="Z3350" s="49">
        <f t="shared" si="6"/>
        <v>0</v>
      </c>
    </row>
    <row r="3351" ht="22.5" customHeight="1">
      <c r="B3351" s="57"/>
      <c r="C3351" s="43" t="str">
        <f t="array" ref="C3351">IF(B3351="","",_xlfn.XLOOKUP(B3351,'Form responses 1'!$B$2:$B$2604,'Form responses 1'!$A$2:$A$2604,""))</f>
        <v/>
      </c>
      <c r="D3351" s="44" t="str">
        <f t="shared" si="3"/>
        <v/>
      </c>
      <c r="E3351" s="44" t="str">
        <f t="array" ref="E3351">IF(B3351="","",_xlfn.XLOOKUP(B3351,'Form responses 1'!$B$2:$B$2604,'Form responses 1'!$C$2:$C$2604,""))</f>
        <v/>
      </c>
      <c r="F3351" s="44" t="str">
        <f t="array" ref="F3351">IF(B3351="","",_xlfn.XLOOKUP(B3351,'Form responses 1'!$B$2:$B$2604,'Form responses 1'!$D$2:$D$2604,""))</f>
        <v/>
      </c>
      <c r="G3351" s="44" t="str">
        <f t="array" ref="G3351">IF(B3351="","",_xlfn.XLOOKUP(B3351,'Form responses 1'!$B$2:$B$2604,'Form responses 1'!$E$2:$E$2604,""))</f>
        <v/>
      </c>
      <c r="H3351" s="44" t="str">
        <f t="array" ref="H3351">IF(B3351="","",_xlfn.XLOOKUP(B3351,'Form responses 1'!$B$2:$B$2604,'Form responses 1'!$F$2:$F$2604,""))</f>
        <v/>
      </c>
      <c r="I3351" s="44" t="str">
        <f t="array" ref="I3351">IF(B3351="","",_xlfn.XLOOKUP(B3351,'Form responses 1'!$B$2:$B$2604,'Form responses 1'!$I$2:$I$2604,""))</f>
        <v/>
      </c>
      <c r="J3351" s="44" t="str">
        <f t="array" ref="J3351">IF(B3351="","",_xlfn.XLOOKUP(B3351,'Form responses 1'!$B$2:$B$2604,'Form responses 1'!$G$2:$G$2604,""))</f>
        <v/>
      </c>
      <c r="K3351" s="56"/>
      <c r="L3351" s="58" t="str">
        <f t="shared" si="7"/>
        <v/>
      </c>
      <c r="M3351" s="49"/>
      <c r="N3351" s="49"/>
      <c r="O3351" s="49"/>
      <c r="P3351" s="49"/>
      <c r="Q3351" s="49"/>
      <c r="R3351" s="49"/>
      <c r="S3351" s="49"/>
      <c r="T3351" s="49"/>
      <c r="U3351" s="49"/>
      <c r="V3351" s="49"/>
      <c r="W3351" s="56"/>
      <c r="X3351" s="51" t="str">
        <f t="shared" si="5"/>
        <v/>
      </c>
      <c r="Y3351" s="50" t="s">
        <v>482</v>
      </c>
      <c r="Z3351" s="49">
        <f t="shared" si="6"/>
        <v>0</v>
      </c>
    </row>
    <row r="3352" ht="22.5" customHeight="1">
      <c r="B3352" s="57"/>
      <c r="C3352" s="43" t="str">
        <f t="array" ref="C3352">IF(B3352="","",_xlfn.XLOOKUP(B3352,'Form responses 1'!$B$2:$B$2604,'Form responses 1'!$A$2:$A$2604,""))</f>
        <v/>
      </c>
      <c r="D3352" s="44" t="str">
        <f t="shared" si="3"/>
        <v/>
      </c>
      <c r="E3352" s="44" t="str">
        <f t="array" ref="E3352">IF(B3352="","",_xlfn.XLOOKUP(B3352,'Form responses 1'!$B$2:$B$2604,'Form responses 1'!$C$2:$C$2604,""))</f>
        <v/>
      </c>
      <c r="F3352" s="44" t="str">
        <f t="array" ref="F3352">IF(B3352="","",_xlfn.XLOOKUP(B3352,'Form responses 1'!$B$2:$B$2604,'Form responses 1'!$D$2:$D$2604,""))</f>
        <v/>
      </c>
      <c r="G3352" s="44" t="str">
        <f t="array" ref="G3352">IF(B3352="","",_xlfn.XLOOKUP(B3352,'Form responses 1'!$B$2:$B$2604,'Form responses 1'!$E$2:$E$2604,""))</f>
        <v/>
      </c>
      <c r="H3352" s="44" t="str">
        <f t="array" ref="H3352">IF(B3352="","",_xlfn.XLOOKUP(B3352,'Form responses 1'!$B$2:$B$2604,'Form responses 1'!$F$2:$F$2604,""))</f>
        <v/>
      </c>
      <c r="I3352" s="44" t="str">
        <f t="array" ref="I3352">IF(B3352="","",_xlfn.XLOOKUP(B3352,'Form responses 1'!$B$2:$B$2604,'Form responses 1'!$I$2:$I$2604,""))</f>
        <v/>
      </c>
      <c r="J3352" s="44" t="str">
        <f t="array" ref="J3352">IF(B3352="","",_xlfn.XLOOKUP(B3352,'Form responses 1'!$B$2:$B$2604,'Form responses 1'!$G$2:$G$2604,""))</f>
        <v/>
      </c>
      <c r="K3352" s="56"/>
      <c r="L3352" s="58" t="str">
        <f t="shared" si="7"/>
        <v/>
      </c>
      <c r="M3352" s="49"/>
      <c r="N3352" s="49"/>
      <c r="O3352" s="49"/>
      <c r="P3352" s="49"/>
      <c r="Q3352" s="49"/>
      <c r="R3352" s="49"/>
      <c r="S3352" s="49"/>
      <c r="T3352" s="49"/>
      <c r="U3352" s="49"/>
      <c r="V3352" s="49"/>
      <c r="W3352" s="56"/>
      <c r="X3352" s="51" t="str">
        <f t="shared" si="5"/>
        <v/>
      </c>
      <c r="Y3352" s="50" t="s">
        <v>482</v>
      </c>
      <c r="Z3352" s="49">
        <f t="shared" si="6"/>
        <v>0</v>
      </c>
    </row>
    <row r="3353" ht="22.5" customHeight="1">
      <c r="B3353" s="57"/>
      <c r="C3353" s="43" t="str">
        <f t="array" ref="C3353">IF(B3353="","",_xlfn.XLOOKUP(B3353,'Form responses 1'!$B$2:$B$2604,'Form responses 1'!$A$2:$A$2604,""))</f>
        <v/>
      </c>
      <c r="D3353" s="44" t="str">
        <f t="shared" si="3"/>
        <v/>
      </c>
      <c r="E3353" s="44" t="str">
        <f t="array" ref="E3353">IF(B3353="","",_xlfn.XLOOKUP(B3353,'Form responses 1'!$B$2:$B$2604,'Form responses 1'!$C$2:$C$2604,""))</f>
        <v/>
      </c>
      <c r="F3353" s="44" t="str">
        <f t="array" ref="F3353">IF(B3353="","",_xlfn.XLOOKUP(B3353,'Form responses 1'!$B$2:$B$2604,'Form responses 1'!$D$2:$D$2604,""))</f>
        <v/>
      </c>
      <c r="G3353" s="44" t="str">
        <f t="array" ref="G3353">IF(B3353="","",_xlfn.XLOOKUP(B3353,'Form responses 1'!$B$2:$B$2604,'Form responses 1'!$E$2:$E$2604,""))</f>
        <v/>
      </c>
      <c r="H3353" s="44" t="str">
        <f t="array" ref="H3353">IF(B3353="","",_xlfn.XLOOKUP(B3353,'Form responses 1'!$B$2:$B$2604,'Form responses 1'!$F$2:$F$2604,""))</f>
        <v/>
      </c>
      <c r="I3353" s="44" t="str">
        <f t="array" ref="I3353">IF(B3353="","",_xlfn.XLOOKUP(B3353,'Form responses 1'!$B$2:$B$2604,'Form responses 1'!$I$2:$I$2604,""))</f>
        <v/>
      </c>
      <c r="J3353" s="44" t="str">
        <f t="array" ref="J3353">IF(B3353="","",_xlfn.XLOOKUP(B3353,'Form responses 1'!$B$2:$B$2604,'Form responses 1'!$G$2:$G$2604,""))</f>
        <v/>
      </c>
      <c r="K3353" s="56"/>
      <c r="L3353" s="58" t="str">
        <f t="shared" si="7"/>
        <v/>
      </c>
      <c r="M3353" s="49"/>
      <c r="N3353" s="49"/>
      <c r="O3353" s="49"/>
      <c r="P3353" s="49"/>
      <c r="Q3353" s="49"/>
      <c r="R3353" s="49"/>
      <c r="S3353" s="49"/>
      <c r="T3353" s="49"/>
      <c r="U3353" s="49"/>
      <c r="V3353" s="49"/>
      <c r="W3353" s="56"/>
      <c r="X3353" s="51" t="str">
        <f t="shared" si="5"/>
        <v/>
      </c>
      <c r="Y3353" s="50" t="s">
        <v>482</v>
      </c>
      <c r="Z3353" s="49">
        <f t="shared" si="6"/>
        <v>0</v>
      </c>
    </row>
    <row r="3354" ht="22.5" customHeight="1">
      <c r="B3354" s="57"/>
      <c r="C3354" s="43" t="str">
        <f t="array" ref="C3354">IF(B3354="","",_xlfn.XLOOKUP(B3354,'Form responses 1'!$B$2:$B$2604,'Form responses 1'!$A$2:$A$2604,""))</f>
        <v/>
      </c>
      <c r="D3354" s="44" t="str">
        <f t="shared" si="3"/>
        <v/>
      </c>
      <c r="E3354" s="44" t="str">
        <f t="array" ref="E3354">IF(B3354="","",_xlfn.XLOOKUP(B3354,'Form responses 1'!$B$2:$B$2604,'Form responses 1'!$C$2:$C$2604,""))</f>
        <v/>
      </c>
      <c r="F3354" s="44" t="str">
        <f t="array" ref="F3354">IF(B3354="","",_xlfn.XLOOKUP(B3354,'Form responses 1'!$B$2:$B$2604,'Form responses 1'!$D$2:$D$2604,""))</f>
        <v/>
      </c>
      <c r="G3354" s="44" t="str">
        <f t="array" ref="G3354">IF(B3354="","",_xlfn.XLOOKUP(B3354,'Form responses 1'!$B$2:$B$2604,'Form responses 1'!$E$2:$E$2604,""))</f>
        <v/>
      </c>
      <c r="H3354" s="44" t="str">
        <f t="array" ref="H3354">IF(B3354="","",_xlfn.XLOOKUP(B3354,'Form responses 1'!$B$2:$B$2604,'Form responses 1'!$F$2:$F$2604,""))</f>
        <v/>
      </c>
      <c r="I3354" s="44" t="str">
        <f t="array" ref="I3354">IF(B3354="","",_xlfn.XLOOKUP(B3354,'Form responses 1'!$B$2:$B$2604,'Form responses 1'!$I$2:$I$2604,""))</f>
        <v/>
      </c>
      <c r="J3354" s="44" t="str">
        <f t="array" ref="J3354">IF(B3354="","",_xlfn.XLOOKUP(B3354,'Form responses 1'!$B$2:$B$2604,'Form responses 1'!$G$2:$G$2604,""))</f>
        <v/>
      </c>
      <c r="K3354" s="56"/>
      <c r="L3354" s="58" t="str">
        <f t="shared" si="7"/>
        <v/>
      </c>
      <c r="M3354" s="49"/>
      <c r="N3354" s="49"/>
      <c r="O3354" s="49"/>
      <c r="P3354" s="49"/>
      <c r="Q3354" s="49"/>
      <c r="R3354" s="49"/>
      <c r="S3354" s="49"/>
      <c r="T3354" s="49"/>
      <c r="U3354" s="49"/>
      <c r="V3354" s="49"/>
      <c r="W3354" s="56"/>
      <c r="X3354" s="51" t="str">
        <f t="shared" si="5"/>
        <v/>
      </c>
      <c r="Y3354" s="50" t="s">
        <v>482</v>
      </c>
      <c r="Z3354" s="49">
        <f t="shared" si="6"/>
        <v>0</v>
      </c>
    </row>
    <row r="3355" ht="22.5" customHeight="1">
      <c r="B3355" s="57"/>
      <c r="C3355" s="43" t="str">
        <f t="array" ref="C3355">IF(B3355="","",_xlfn.XLOOKUP(B3355,'Form responses 1'!$B$2:$B$2604,'Form responses 1'!$A$2:$A$2604,""))</f>
        <v/>
      </c>
      <c r="D3355" s="44" t="str">
        <f t="shared" si="3"/>
        <v/>
      </c>
      <c r="E3355" s="44" t="str">
        <f t="array" ref="E3355">IF(B3355="","",_xlfn.XLOOKUP(B3355,'Form responses 1'!$B$2:$B$2604,'Form responses 1'!$C$2:$C$2604,""))</f>
        <v/>
      </c>
      <c r="F3355" s="44" t="str">
        <f t="array" ref="F3355">IF(B3355="","",_xlfn.XLOOKUP(B3355,'Form responses 1'!$B$2:$B$2604,'Form responses 1'!$D$2:$D$2604,""))</f>
        <v/>
      </c>
      <c r="G3355" s="44" t="str">
        <f t="array" ref="G3355">IF(B3355="","",_xlfn.XLOOKUP(B3355,'Form responses 1'!$B$2:$B$2604,'Form responses 1'!$E$2:$E$2604,""))</f>
        <v/>
      </c>
      <c r="H3355" s="44" t="str">
        <f t="array" ref="H3355">IF(B3355="","",_xlfn.XLOOKUP(B3355,'Form responses 1'!$B$2:$B$2604,'Form responses 1'!$F$2:$F$2604,""))</f>
        <v/>
      </c>
      <c r="I3355" s="44" t="str">
        <f t="array" ref="I3355">IF(B3355="","",_xlfn.XLOOKUP(B3355,'Form responses 1'!$B$2:$B$2604,'Form responses 1'!$I$2:$I$2604,""))</f>
        <v/>
      </c>
      <c r="J3355" s="44" t="str">
        <f t="array" ref="J3355">IF(B3355="","",_xlfn.XLOOKUP(B3355,'Form responses 1'!$B$2:$B$2604,'Form responses 1'!$G$2:$G$2604,""))</f>
        <v/>
      </c>
      <c r="K3355" s="56"/>
      <c r="L3355" s="58" t="str">
        <f t="shared" si="7"/>
        <v/>
      </c>
      <c r="M3355" s="49"/>
      <c r="N3355" s="49"/>
      <c r="O3355" s="49"/>
      <c r="P3355" s="49"/>
      <c r="Q3355" s="49"/>
      <c r="R3355" s="49"/>
      <c r="S3355" s="49"/>
      <c r="T3355" s="49"/>
      <c r="U3355" s="49"/>
      <c r="V3355" s="49"/>
      <c r="W3355" s="56"/>
      <c r="X3355" s="51" t="str">
        <f t="shared" si="5"/>
        <v/>
      </c>
      <c r="Y3355" s="50" t="s">
        <v>482</v>
      </c>
      <c r="Z3355" s="49">
        <f t="shared" si="6"/>
        <v>0</v>
      </c>
    </row>
    <row r="3356" ht="22.5" customHeight="1">
      <c r="B3356" s="57"/>
      <c r="C3356" s="43" t="str">
        <f t="array" ref="C3356">IF(B3356="","",_xlfn.XLOOKUP(B3356,'Form responses 1'!$B$2:$B$2604,'Form responses 1'!$A$2:$A$2604,""))</f>
        <v/>
      </c>
      <c r="D3356" s="44" t="str">
        <f t="shared" si="3"/>
        <v/>
      </c>
      <c r="E3356" s="44" t="str">
        <f t="array" ref="E3356">IF(B3356="","",_xlfn.XLOOKUP(B3356,'Form responses 1'!$B$2:$B$2604,'Form responses 1'!$C$2:$C$2604,""))</f>
        <v/>
      </c>
      <c r="F3356" s="44" t="str">
        <f t="array" ref="F3356">IF(B3356="","",_xlfn.XLOOKUP(B3356,'Form responses 1'!$B$2:$B$2604,'Form responses 1'!$D$2:$D$2604,""))</f>
        <v/>
      </c>
      <c r="G3356" s="44" t="str">
        <f t="array" ref="G3356">IF(B3356="","",_xlfn.XLOOKUP(B3356,'Form responses 1'!$B$2:$B$2604,'Form responses 1'!$E$2:$E$2604,""))</f>
        <v/>
      </c>
      <c r="H3356" s="44" t="str">
        <f t="array" ref="H3356">IF(B3356="","",_xlfn.XLOOKUP(B3356,'Form responses 1'!$B$2:$B$2604,'Form responses 1'!$F$2:$F$2604,""))</f>
        <v/>
      </c>
      <c r="I3356" s="44" t="str">
        <f t="array" ref="I3356">IF(B3356="","",_xlfn.XLOOKUP(B3356,'Form responses 1'!$B$2:$B$2604,'Form responses 1'!$I$2:$I$2604,""))</f>
        <v/>
      </c>
      <c r="J3356" s="44" t="str">
        <f t="array" ref="J3356">IF(B3356="","",_xlfn.XLOOKUP(B3356,'Form responses 1'!$B$2:$B$2604,'Form responses 1'!$G$2:$G$2604,""))</f>
        <v/>
      </c>
      <c r="K3356" s="56"/>
      <c r="L3356" s="58" t="str">
        <f t="shared" si="7"/>
        <v/>
      </c>
      <c r="M3356" s="49"/>
      <c r="N3356" s="49"/>
      <c r="O3356" s="49"/>
      <c r="P3356" s="49"/>
      <c r="Q3356" s="49"/>
      <c r="R3356" s="49"/>
      <c r="S3356" s="49"/>
      <c r="T3356" s="49"/>
      <c r="U3356" s="49"/>
      <c r="V3356" s="49"/>
      <c r="W3356" s="56"/>
      <c r="X3356" s="51" t="str">
        <f t="shared" si="5"/>
        <v/>
      </c>
      <c r="Y3356" s="50" t="s">
        <v>482</v>
      </c>
      <c r="Z3356" s="49">
        <f t="shared" si="6"/>
        <v>0</v>
      </c>
    </row>
    <row r="3357" ht="22.5" customHeight="1">
      <c r="B3357" s="57"/>
      <c r="C3357" s="43" t="str">
        <f t="array" ref="C3357">IF(B3357="","",_xlfn.XLOOKUP(B3357,'Form responses 1'!$B$2:$B$2604,'Form responses 1'!$A$2:$A$2604,""))</f>
        <v/>
      </c>
      <c r="D3357" s="44" t="str">
        <f t="shared" si="3"/>
        <v/>
      </c>
      <c r="E3357" s="44" t="str">
        <f t="array" ref="E3357">IF(B3357="","",_xlfn.XLOOKUP(B3357,'Form responses 1'!$B$2:$B$2604,'Form responses 1'!$C$2:$C$2604,""))</f>
        <v/>
      </c>
      <c r="F3357" s="44" t="str">
        <f t="array" ref="F3357">IF(B3357="","",_xlfn.XLOOKUP(B3357,'Form responses 1'!$B$2:$B$2604,'Form responses 1'!$D$2:$D$2604,""))</f>
        <v/>
      </c>
      <c r="G3357" s="44" t="str">
        <f t="array" ref="G3357">IF(B3357="","",_xlfn.XLOOKUP(B3357,'Form responses 1'!$B$2:$B$2604,'Form responses 1'!$E$2:$E$2604,""))</f>
        <v/>
      </c>
      <c r="H3357" s="44" t="str">
        <f t="array" ref="H3357">IF(B3357="","",_xlfn.XLOOKUP(B3357,'Form responses 1'!$B$2:$B$2604,'Form responses 1'!$F$2:$F$2604,""))</f>
        <v/>
      </c>
      <c r="I3357" s="44" t="str">
        <f t="array" ref="I3357">IF(B3357="","",_xlfn.XLOOKUP(B3357,'Form responses 1'!$B$2:$B$2604,'Form responses 1'!$I$2:$I$2604,""))</f>
        <v/>
      </c>
      <c r="J3357" s="44" t="str">
        <f t="array" ref="J3357">IF(B3357="","",_xlfn.XLOOKUP(B3357,'Form responses 1'!$B$2:$B$2604,'Form responses 1'!$G$2:$G$2604,""))</f>
        <v/>
      </c>
      <c r="K3357" s="56"/>
      <c r="L3357" s="58" t="str">
        <f t="shared" si="7"/>
        <v/>
      </c>
      <c r="M3357" s="49"/>
      <c r="N3357" s="49"/>
      <c r="O3357" s="49"/>
      <c r="P3357" s="49"/>
      <c r="Q3357" s="49"/>
      <c r="R3357" s="49"/>
      <c r="S3357" s="49"/>
      <c r="T3357" s="49"/>
      <c r="U3357" s="49"/>
      <c r="V3357" s="49"/>
      <c r="W3357" s="56"/>
      <c r="X3357" s="51" t="str">
        <f t="shared" si="5"/>
        <v/>
      </c>
      <c r="Y3357" s="50" t="s">
        <v>482</v>
      </c>
      <c r="Z3357" s="49">
        <f t="shared" si="6"/>
        <v>0</v>
      </c>
    </row>
    <row r="3358" ht="22.5" customHeight="1">
      <c r="B3358" s="57"/>
      <c r="C3358" s="43" t="str">
        <f t="array" ref="C3358">IF(B3358="","",_xlfn.XLOOKUP(B3358,'Form responses 1'!$B$2:$B$2604,'Form responses 1'!$A$2:$A$2604,""))</f>
        <v/>
      </c>
      <c r="D3358" s="44" t="str">
        <f t="shared" si="3"/>
        <v/>
      </c>
      <c r="E3358" s="44" t="str">
        <f t="array" ref="E3358">IF(B3358="","",_xlfn.XLOOKUP(B3358,'Form responses 1'!$B$2:$B$2604,'Form responses 1'!$C$2:$C$2604,""))</f>
        <v/>
      </c>
      <c r="F3358" s="44" t="str">
        <f t="array" ref="F3358">IF(B3358="","",_xlfn.XLOOKUP(B3358,'Form responses 1'!$B$2:$B$2604,'Form responses 1'!$D$2:$D$2604,""))</f>
        <v/>
      </c>
      <c r="G3358" s="44" t="str">
        <f t="array" ref="G3358">IF(B3358="","",_xlfn.XLOOKUP(B3358,'Form responses 1'!$B$2:$B$2604,'Form responses 1'!$E$2:$E$2604,""))</f>
        <v/>
      </c>
      <c r="H3358" s="44" t="str">
        <f t="array" ref="H3358">IF(B3358="","",_xlfn.XLOOKUP(B3358,'Form responses 1'!$B$2:$B$2604,'Form responses 1'!$F$2:$F$2604,""))</f>
        <v/>
      </c>
      <c r="I3358" s="44" t="str">
        <f t="array" ref="I3358">IF(B3358="","",_xlfn.XLOOKUP(B3358,'Form responses 1'!$B$2:$B$2604,'Form responses 1'!$I$2:$I$2604,""))</f>
        <v/>
      </c>
      <c r="J3358" s="44" t="str">
        <f t="array" ref="J3358">IF(B3358="","",_xlfn.XLOOKUP(B3358,'Form responses 1'!$B$2:$B$2604,'Form responses 1'!$G$2:$G$2604,""))</f>
        <v/>
      </c>
      <c r="K3358" s="56"/>
      <c r="L3358" s="58" t="str">
        <f t="shared" si="7"/>
        <v/>
      </c>
      <c r="M3358" s="49"/>
      <c r="N3358" s="49"/>
      <c r="O3358" s="49"/>
      <c r="P3358" s="49"/>
      <c r="Q3358" s="49"/>
      <c r="R3358" s="49"/>
      <c r="S3358" s="49"/>
      <c r="T3358" s="49"/>
      <c r="U3358" s="49"/>
      <c r="V3358" s="49"/>
      <c r="W3358" s="56"/>
      <c r="X3358" s="51" t="str">
        <f t="shared" si="5"/>
        <v/>
      </c>
      <c r="Y3358" s="50" t="s">
        <v>482</v>
      </c>
      <c r="Z3358" s="49">
        <f t="shared" si="6"/>
        <v>0</v>
      </c>
    </row>
    <row r="3359" ht="22.5" customHeight="1">
      <c r="B3359" s="57"/>
      <c r="C3359" s="43" t="str">
        <f t="array" ref="C3359">IF(B3359="","",_xlfn.XLOOKUP(B3359,'Form responses 1'!$B$2:$B$2604,'Form responses 1'!$A$2:$A$2604,""))</f>
        <v/>
      </c>
      <c r="D3359" s="44" t="str">
        <f t="shared" si="3"/>
        <v/>
      </c>
      <c r="E3359" s="44" t="str">
        <f t="array" ref="E3359">IF(B3359="","",_xlfn.XLOOKUP(B3359,'Form responses 1'!$B$2:$B$2604,'Form responses 1'!$C$2:$C$2604,""))</f>
        <v/>
      </c>
      <c r="F3359" s="44" t="str">
        <f t="array" ref="F3359">IF(B3359="","",_xlfn.XLOOKUP(B3359,'Form responses 1'!$B$2:$B$2604,'Form responses 1'!$D$2:$D$2604,""))</f>
        <v/>
      </c>
      <c r="G3359" s="44" t="str">
        <f t="array" ref="G3359">IF(B3359="","",_xlfn.XLOOKUP(B3359,'Form responses 1'!$B$2:$B$2604,'Form responses 1'!$E$2:$E$2604,""))</f>
        <v/>
      </c>
      <c r="H3359" s="44" t="str">
        <f t="array" ref="H3359">IF(B3359="","",_xlfn.XLOOKUP(B3359,'Form responses 1'!$B$2:$B$2604,'Form responses 1'!$F$2:$F$2604,""))</f>
        <v/>
      </c>
      <c r="I3359" s="44" t="str">
        <f t="array" ref="I3359">IF(B3359="","",_xlfn.XLOOKUP(B3359,'Form responses 1'!$B$2:$B$2604,'Form responses 1'!$I$2:$I$2604,""))</f>
        <v/>
      </c>
      <c r="J3359" s="44" t="str">
        <f t="array" ref="J3359">IF(B3359="","",_xlfn.XLOOKUP(B3359,'Form responses 1'!$B$2:$B$2604,'Form responses 1'!$G$2:$G$2604,""))</f>
        <v/>
      </c>
      <c r="K3359" s="56"/>
      <c r="L3359" s="58" t="str">
        <f t="shared" si="7"/>
        <v/>
      </c>
      <c r="M3359" s="49"/>
      <c r="N3359" s="49"/>
      <c r="O3359" s="49"/>
      <c r="P3359" s="49"/>
      <c r="Q3359" s="49"/>
      <c r="R3359" s="49"/>
      <c r="S3359" s="49"/>
      <c r="T3359" s="49"/>
      <c r="U3359" s="49"/>
      <c r="V3359" s="49"/>
      <c r="W3359" s="56"/>
      <c r="X3359" s="51" t="str">
        <f t="shared" si="5"/>
        <v/>
      </c>
      <c r="Y3359" s="50" t="s">
        <v>482</v>
      </c>
      <c r="Z3359" s="49">
        <f t="shared" si="6"/>
        <v>0</v>
      </c>
    </row>
    <row r="3360" ht="22.5" customHeight="1">
      <c r="B3360" s="57"/>
      <c r="C3360" s="43" t="str">
        <f t="array" ref="C3360">IF(B3360="","",_xlfn.XLOOKUP(B3360,'Form responses 1'!$B$2:$B$2604,'Form responses 1'!$A$2:$A$2604,""))</f>
        <v/>
      </c>
      <c r="D3360" s="44" t="str">
        <f t="shared" si="3"/>
        <v/>
      </c>
      <c r="E3360" s="44" t="str">
        <f t="array" ref="E3360">IF(B3360="","",_xlfn.XLOOKUP(B3360,'Form responses 1'!$B$2:$B$2604,'Form responses 1'!$C$2:$C$2604,""))</f>
        <v/>
      </c>
      <c r="F3360" s="44" t="str">
        <f t="array" ref="F3360">IF(B3360="","",_xlfn.XLOOKUP(B3360,'Form responses 1'!$B$2:$B$2604,'Form responses 1'!$D$2:$D$2604,""))</f>
        <v/>
      </c>
      <c r="G3360" s="44" t="str">
        <f t="array" ref="G3360">IF(B3360="","",_xlfn.XLOOKUP(B3360,'Form responses 1'!$B$2:$B$2604,'Form responses 1'!$E$2:$E$2604,""))</f>
        <v/>
      </c>
      <c r="H3360" s="44" t="str">
        <f t="array" ref="H3360">IF(B3360="","",_xlfn.XLOOKUP(B3360,'Form responses 1'!$B$2:$B$2604,'Form responses 1'!$F$2:$F$2604,""))</f>
        <v/>
      </c>
      <c r="I3360" s="44" t="str">
        <f t="array" ref="I3360">IF(B3360="","",_xlfn.XLOOKUP(B3360,'Form responses 1'!$B$2:$B$2604,'Form responses 1'!$I$2:$I$2604,""))</f>
        <v/>
      </c>
      <c r="J3360" s="44" t="str">
        <f t="array" ref="J3360">IF(B3360="","",_xlfn.XLOOKUP(B3360,'Form responses 1'!$B$2:$B$2604,'Form responses 1'!$G$2:$G$2604,""))</f>
        <v/>
      </c>
      <c r="K3360" s="56"/>
      <c r="L3360" s="58" t="str">
        <f t="shared" si="7"/>
        <v/>
      </c>
      <c r="M3360" s="49"/>
      <c r="N3360" s="49"/>
      <c r="O3360" s="49"/>
      <c r="P3360" s="49"/>
      <c r="Q3360" s="49"/>
      <c r="R3360" s="49"/>
      <c r="S3360" s="49"/>
      <c r="T3360" s="49"/>
      <c r="U3360" s="49"/>
      <c r="V3360" s="49"/>
      <c r="W3360" s="56"/>
      <c r="X3360" s="51" t="str">
        <f t="shared" si="5"/>
        <v/>
      </c>
      <c r="Y3360" s="50" t="s">
        <v>482</v>
      </c>
      <c r="Z3360" s="49">
        <f t="shared" si="6"/>
        <v>0</v>
      </c>
    </row>
    <row r="3361" ht="22.5" customHeight="1">
      <c r="B3361" s="57"/>
      <c r="C3361" s="43" t="str">
        <f t="array" ref="C3361">IF(B3361="","",_xlfn.XLOOKUP(B3361,'Form responses 1'!$B$2:$B$2604,'Form responses 1'!$A$2:$A$2604,""))</f>
        <v/>
      </c>
      <c r="D3361" s="44" t="str">
        <f t="shared" si="3"/>
        <v/>
      </c>
      <c r="E3361" s="44" t="str">
        <f t="array" ref="E3361">IF(B3361="","",_xlfn.XLOOKUP(B3361,'Form responses 1'!$B$2:$B$2604,'Form responses 1'!$C$2:$C$2604,""))</f>
        <v/>
      </c>
      <c r="F3361" s="44" t="str">
        <f t="array" ref="F3361">IF(B3361="","",_xlfn.XLOOKUP(B3361,'Form responses 1'!$B$2:$B$2604,'Form responses 1'!$D$2:$D$2604,""))</f>
        <v/>
      </c>
      <c r="G3361" s="44" t="str">
        <f t="array" ref="G3361">IF(B3361="","",_xlfn.XLOOKUP(B3361,'Form responses 1'!$B$2:$B$2604,'Form responses 1'!$E$2:$E$2604,""))</f>
        <v/>
      </c>
      <c r="H3361" s="44" t="str">
        <f t="array" ref="H3361">IF(B3361="","",_xlfn.XLOOKUP(B3361,'Form responses 1'!$B$2:$B$2604,'Form responses 1'!$F$2:$F$2604,""))</f>
        <v/>
      </c>
      <c r="I3361" s="44" t="str">
        <f t="array" ref="I3361">IF(B3361="","",_xlfn.XLOOKUP(B3361,'Form responses 1'!$B$2:$B$2604,'Form responses 1'!$I$2:$I$2604,""))</f>
        <v/>
      </c>
      <c r="J3361" s="44" t="str">
        <f t="array" ref="J3361">IF(B3361="","",_xlfn.XLOOKUP(B3361,'Form responses 1'!$B$2:$B$2604,'Form responses 1'!$G$2:$G$2604,""))</f>
        <v/>
      </c>
      <c r="K3361" s="56"/>
      <c r="L3361" s="58" t="str">
        <f t="shared" si="7"/>
        <v/>
      </c>
      <c r="M3361" s="49"/>
      <c r="N3361" s="49"/>
      <c r="O3361" s="49"/>
      <c r="P3361" s="49"/>
      <c r="Q3361" s="49"/>
      <c r="R3361" s="49"/>
      <c r="S3361" s="49"/>
      <c r="T3361" s="49"/>
      <c r="U3361" s="49"/>
      <c r="V3361" s="49"/>
      <c r="W3361" s="56"/>
      <c r="X3361" s="51" t="str">
        <f t="shared" si="5"/>
        <v/>
      </c>
      <c r="Y3361" s="50" t="s">
        <v>482</v>
      </c>
      <c r="Z3361" s="49">
        <f t="shared" si="6"/>
        <v>0</v>
      </c>
    </row>
    <row r="3362" ht="22.5" customHeight="1">
      <c r="B3362" s="57"/>
      <c r="C3362" s="43" t="str">
        <f t="array" ref="C3362">IF(B3362="","",_xlfn.XLOOKUP(B3362,'Form responses 1'!$B$2:$B$2604,'Form responses 1'!$A$2:$A$2604,""))</f>
        <v/>
      </c>
      <c r="D3362" s="44" t="str">
        <f t="shared" si="3"/>
        <v/>
      </c>
      <c r="E3362" s="44" t="str">
        <f t="array" ref="E3362">IF(B3362="","",_xlfn.XLOOKUP(B3362,'Form responses 1'!$B$2:$B$2604,'Form responses 1'!$C$2:$C$2604,""))</f>
        <v/>
      </c>
      <c r="F3362" s="44" t="str">
        <f t="array" ref="F3362">IF(B3362="","",_xlfn.XLOOKUP(B3362,'Form responses 1'!$B$2:$B$2604,'Form responses 1'!$D$2:$D$2604,""))</f>
        <v/>
      </c>
      <c r="G3362" s="44" t="str">
        <f t="array" ref="G3362">IF(B3362="","",_xlfn.XLOOKUP(B3362,'Form responses 1'!$B$2:$B$2604,'Form responses 1'!$E$2:$E$2604,""))</f>
        <v/>
      </c>
      <c r="H3362" s="44" t="str">
        <f t="array" ref="H3362">IF(B3362="","",_xlfn.XLOOKUP(B3362,'Form responses 1'!$B$2:$B$2604,'Form responses 1'!$F$2:$F$2604,""))</f>
        <v/>
      </c>
      <c r="I3362" s="44" t="str">
        <f t="array" ref="I3362">IF(B3362="","",_xlfn.XLOOKUP(B3362,'Form responses 1'!$B$2:$B$2604,'Form responses 1'!$I$2:$I$2604,""))</f>
        <v/>
      </c>
      <c r="J3362" s="44" t="str">
        <f t="array" ref="J3362">IF(B3362="","",_xlfn.XLOOKUP(B3362,'Form responses 1'!$B$2:$B$2604,'Form responses 1'!$G$2:$G$2604,""))</f>
        <v/>
      </c>
      <c r="K3362" s="56"/>
      <c r="L3362" s="58" t="str">
        <f t="shared" si="7"/>
        <v/>
      </c>
      <c r="M3362" s="49"/>
      <c r="N3362" s="49"/>
      <c r="O3362" s="49"/>
      <c r="P3362" s="49"/>
      <c r="Q3362" s="49"/>
      <c r="R3362" s="49"/>
      <c r="S3362" s="49"/>
      <c r="T3362" s="49"/>
      <c r="U3362" s="49"/>
      <c r="V3362" s="49"/>
      <c r="W3362" s="56"/>
      <c r="X3362" s="51" t="str">
        <f t="shared" si="5"/>
        <v/>
      </c>
      <c r="Y3362" s="50" t="s">
        <v>482</v>
      </c>
      <c r="Z3362" s="49">
        <f t="shared" si="6"/>
        <v>0</v>
      </c>
    </row>
    <row r="3363" ht="22.5" customHeight="1">
      <c r="B3363" s="57"/>
      <c r="C3363" s="43" t="str">
        <f t="array" ref="C3363">IF(B3363="","",_xlfn.XLOOKUP(B3363,'Form responses 1'!$B$2:$B$2604,'Form responses 1'!$A$2:$A$2604,""))</f>
        <v/>
      </c>
      <c r="D3363" s="44" t="str">
        <f t="shared" si="3"/>
        <v/>
      </c>
      <c r="E3363" s="44" t="str">
        <f t="array" ref="E3363">IF(B3363="","",_xlfn.XLOOKUP(B3363,'Form responses 1'!$B$2:$B$2604,'Form responses 1'!$C$2:$C$2604,""))</f>
        <v/>
      </c>
      <c r="F3363" s="44" t="str">
        <f t="array" ref="F3363">IF(B3363="","",_xlfn.XLOOKUP(B3363,'Form responses 1'!$B$2:$B$2604,'Form responses 1'!$D$2:$D$2604,""))</f>
        <v/>
      </c>
      <c r="G3363" s="44" t="str">
        <f t="array" ref="G3363">IF(B3363="","",_xlfn.XLOOKUP(B3363,'Form responses 1'!$B$2:$B$2604,'Form responses 1'!$E$2:$E$2604,""))</f>
        <v/>
      </c>
      <c r="H3363" s="44" t="str">
        <f t="array" ref="H3363">IF(B3363="","",_xlfn.XLOOKUP(B3363,'Form responses 1'!$B$2:$B$2604,'Form responses 1'!$F$2:$F$2604,""))</f>
        <v/>
      </c>
      <c r="I3363" s="44" t="str">
        <f t="array" ref="I3363">IF(B3363="","",_xlfn.XLOOKUP(B3363,'Form responses 1'!$B$2:$B$2604,'Form responses 1'!$I$2:$I$2604,""))</f>
        <v/>
      </c>
      <c r="J3363" s="44" t="str">
        <f t="array" ref="J3363">IF(B3363="","",_xlfn.XLOOKUP(B3363,'Form responses 1'!$B$2:$B$2604,'Form responses 1'!$G$2:$G$2604,""))</f>
        <v/>
      </c>
      <c r="K3363" s="56"/>
      <c r="L3363" s="58" t="str">
        <f t="shared" si="7"/>
        <v/>
      </c>
      <c r="M3363" s="49"/>
      <c r="N3363" s="49"/>
      <c r="O3363" s="49"/>
      <c r="P3363" s="49"/>
      <c r="Q3363" s="49"/>
      <c r="R3363" s="49"/>
      <c r="S3363" s="49"/>
      <c r="T3363" s="49"/>
      <c r="U3363" s="49"/>
      <c r="V3363" s="49"/>
      <c r="W3363" s="56"/>
      <c r="X3363" s="51" t="str">
        <f t="shared" si="5"/>
        <v/>
      </c>
      <c r="Y3363" s="50" t="s">
        <v>482</v>
      </c>
      <c r="Z3363" s="49">
        <f t="shared" si="6"/>
        <v>0</v>
      </c>
    </row>
    <row r="3364" ht="22.5" customHeight="1">
      <c r="B3364" s="57"/>
      <c r="C3364" s="43" t="str">
        <f t="array" ref="C3364">IF(B3364="","",_xlfn.XLOOKUP(B3364,'Form responses 1'!$B$2:$B$2604,'Form responses 1'!$A$2:$A$2604,""))</f>
        <v/>
      </c>
      <c r="D3364" s="44" t="str">
        <f t="shared" si="3"/>
        <v/>
      </c>
      <c r="E3364" s="44" t="str">
        <f t="array" ref="E3364">IF(B3364="","",_xlfn.XLOOKUP(B3364,'Form responses 1'!$B$2:$B$2604,'Form responses 1'!$C$2:$C$2604,""))</f>
        <v/>
      </c>
      <c r="F3364" s="44" t="str">
        <f t="array" ref="F3364">IF(B3364="","",_xlfn.XLOOKUP(B3364,'Form responses 1'!$B$2:$B$2604,'Form responses 1'!$D$2:$D$2604,""))</f>
        <v/>
      </c>
      <c r="G3364" s="44" t="str">
        <f t="array" ref="G3364">IF(B3364="","",_xlfn.XLOOKUP(B3364,'Form responses 1'!$B$2:$B$2604,'Form responses 1'!$E$2:$E$2604,""))</f>
        <v/>
      </c>
      <c r="H3364" s="44" t="str">
        <f t="array" ref="H3364">IF(B3364="","",_xlfn.XLOOKUP(B3364,'Form responses 1'!$B$2:$B$2604,'Form responses 1'!$F$2:$F$2604,""))</f>
        <v/>
      </c>
      <c r="I3364" s="44" t="str">
        <f t="array" ref="I3364">IF(B3364="","",_xlfn.XLOOKUP(B3364,'Form responses 1'!$B$2:$B$2604,'Form responses 1'!$I$2:$I$2604,""))</f>
        <v/>
      </c>
      <c r="J3364" s="44" t="str">
        <f t="array" ref="J3364">IF(B3364="","",_xlfn.XLOOKUP(B3364,'Form responses 1'!$B$2:$B$2604,'Form responses 1'!$G$2:$G$2604,""))</f>
        <v/>
      </c>
      <c r="K3364" s="56"/>
      <c r="L3364" s="58" t="str">
        <f t="shared" si="7"/>
        <v/>
      </c>
      <c r="M3364" s="49"/>
      <c r="N3364" s="49"/>
      <c r="O3364" s="49"/>
      <c r="P3364" s="49"/>
      <c r="Q3364" s="49"/>
      <c r="R3364" s="49"/>
      <c r="S3364" s="49"/>
      <c r="T3364" s="49"/>
      <c r="U3364" s="49"/>
      <c r="V3364" s="49"/>
      <c r="W3364" s="56"/>
      <c r="X3364" s="51" t="str">
        <f t="shared" si="5"/>
        <v/>
      </c>
      <c r="Y3364" s="50" t="s">
        <v>482</v>
      </c>
      <c r="Z3364" s="49">
        <f t="shared" si="6"/>
        <v>0</v>
      </c>
    </row>
    <row r="3365" ht="22.5" customHeight="1">
      <c r="B3365" s="57"/>
      <c r="C3365" s="43" t="str">
        <f t="array" ref="C3365">IF(B3365="","",_xlfn.XLOOKUP(B3365,'Form responses 1'!$B$2:$B$2604,'Form responses 1'!$A$2:$A$2604,""))</f>
        <v/>
      </c>
      <c r="D3365" s="44" t="str">
        <f t="shared" si="3"/>
        <v/>
      </c>
      <c r="E3365" s="44" t="str">
        <f t="array" ref="E3365">IF(B3365="","",_xlfn.XLOOKUP(B3365,'Form responses 1'!$B$2:$B$2604,'Form responses 1'!$C$2:$C$2604,""))</f>
        <v/>
      </c>
      <c r="F3365" s="44" t="str">
        <f t="array" ref="F3365">IF(B3365="","",_xlfn.XLOOKUP(B3365,'Form responses 1'!$B$2:$B$2604,'Form responses 1'!$D$2:$D$2604,""))</f>
        <v/>
      </c>
      <c r="G3365" s="44" t="str">
        <f t="array" ref="G3365">IF(B3365="","",_xlfn.XLOOKUP(B3365,'Form responses 1'!$B$2:$B$2604,'Form responses 1'!$E$2:$E$2604,""))</f>
        <v/>
      </c>
      <c r="H3365" s="44" t="str">
        <f t="array" ref="H3365">IF(B3365="","",_xlfn.XLOOKUP(B3365,'Form responses 1'!$B$2:$B$2604,'Form responses 1'!$F$2:$F$2604,""))</f>
        <v/>
      </c>
      <c r="I3365" s="44" t="str">
        <f t="array" ref="I3365">IF(B3365="","",_xlfn.XLOOKUP(B3365,'Form responses 1'!$B$2:$B$2604,'Form responses 1'!$I$2:$I$2604,""))</f>
        <v/>
      </c>
      <c r="J3365" s="44" t="str">
        <f t="array" ref="J3365">IF(B3365="","",_xlfn.XLOOKUP(B3365,'Form responses 1'!$B$2:$B$2604,'Form responses 1'!$G$2:$G$2604,""))</f>
        <v/>
      </c>
      <c r="K3365" s="56"/>
      <c r="L3365" s="58" t="str">
        <f t="shared" si="7"/>
        <v/>
      </c>
      <c r="M3365" s="49"/>
      <c r="N3365" s="49"/>
      <c r="O3365" s="49"/>
      <c r="P3365" s="49"/>
      <c r="Q3365" s="49"/>
      <c r="R3365" s="49"/>
      <c r="S3365" s="49"/>
      <c r="T3365" s="49"/>
      <c r="U3365" s="49"/>
      <c r="V3365" s="49"/>
      <c r="W3365" s="56"/>
      <c r="X3365" s="51" t="str">
        <f t="shared" si="5"/>
        <v/>
      </c>
      <c r="Y3365" s="50" t="s">
        <v>482</v>
      </c>
      <c r="Z3365" s="49">
        <f t="shared" si="6"/>
        <v>0</v>
      </c>
    </row>
    <row r="3366" ht="22.5" customHeight="1">
      <c r="B3366" s="57"/>
      <c r="C3366" s="43" t="str">
        <f t="array" ref="C3366">IF(B3366="","",_xlfn.XLOOKUP(B3366,'Form responses 1'!$B$2:$B$2604,'Form responses 1'!$A$2:$A$2604,""))</f>
        <v/>
      </c>
      <c r="D3366" s="44" t="str">
        <f t="shared" si="3"/>
        <v/>
      </c>
      <c r="E3366" s="44" t="str">
        <f t="array" ref="E3366">IF(B3366="","",_xlfn.XLOOKUP(B3366,'Form responses 1'!$B$2:$B$2604,'Form responses 1'!$C$2:$C$2604,""))</f>
        <v/>
      </c>
      <c r="F3366" s="44" t="str">
        <f t="array" ref="F3366">IF(B3366="","",_xlfn.XLOOKUP(B3366,'Form responses 1'!$B$2:$B$2604,'Form responses 1'!$D$2:$D$2604,""))</f>
        <v/>
      </c>
      <c r="G3366" s="44" t="str">
        <f t="array" ref="G3366">IF(B3366="","",_xlfn.XLOOKUP(B3366,'Form responses 1'!$B$2:$B$2604,'Form responses 1'!$E$2:$E$2604,""))</f>
        <v/>
      </c>
      <c r="H3366" s="44" t="str">
        <f t="array" ref="H3366">IF(B3366="","",_xlfn.XLOOKUP(B3366,'Form responses 1'!$B$2:$B$2604,'Form responses 1'!$F$2:$F$2604,""))</f>
        <v/>
      </c>
      <c r="I3366" s="44" t="str">
        <f t="array" ref="I3366">IF(B3366="","",_xlfn.XLOOKUP(B3366,'Form responses 1'!$B$2:$B$2604,'Form responses 1'!$I$2:$I$2604,""))</f>
        <v/>
      </c>
      <c r="J3366" s="44" t="str">
        <f t="array" ref="J3366">IF(B3366="","",_xlfn.XLOOKUP(B3366,'Form responses 1'!$B$2:$B$2604,'Form responses 1'!$G$2:$G$2604,""))</f>
        <v/>
      </c>
      <c r="K3366" s="56"/>
      <c r="L3366" s="58" t="str">
        <f t="shared" si="7"/>
        <v/>
      </c>
      <c r="M3366" s="49"/>
      <c r="N3366" s="49"/>
      <c r="O3366" s="49"/>
      <c r="P3366" s="49"/>
      <c r="Q3366" s="49"/>
      <c r="R3366" s="49"/>
      <c r="S3366" s="49"/>
      <c r="T3366" s="49"/>
      <c r="U3366" s="49"/>
      <c r="V3366" s="49"/>
      <c r="W3366" s="56"/>
      <c r="X3366" s="51" t="str">
        <f t="shared" si="5"/>
        <v/>
      </c>
      <c r="Y3366" s="50" t="s">
        <v>482</v>
      </c>
      <c r="Z3366" s="49">
        <f t="shared" si="6"/>
        <v>0</v>
      </c>
    </row>
    <row r="3367" ht="22.5" customHeight="1">
      <c r="B3367" s="57"/>
      <c r="C3367" s="43" t="str">
        <f t="array" ref="C3367">IF(B3367="","",_xlfn.XLOOKUP(B3367,'Form responses 1'!$B$2:$B$2604,'Form responses 1'!$A$2:$A$2604,""))</f>
        <v/>
      </c>
      <c r="D3367" s="44" t="str">
        <f t="shared" si="3"/>
        <v/>
      </c>
      <c r="E3367" s="44" t="str">
        <f t="array" ref="E3367">IF(B3367="","",_xlfn.XLOOKUP(B3367,'Form responses 1'!$B$2:$B$2604,'Form responses 1'!$C$2:$C$2604,""))</f>
        <v/>
      </c>
      <c r="F3367" s="44" t="str">
        <f t="array" ref="F3367">IF(B3367="","",_xlfn.XLOOKUP(B3367,'Form responses 1'!$B$2:$B$2604,'Form responses 1'!$D$2:$D$2604,""))</f>
        <v/>
      </c>
      <c r="G3367" s="44" t="str">
        <f t="array" ref="G3367">IF(B3367="","",_xlfn.XLOOKUP(B3367,'Form responses 1'!$B$2:$B$2604,'Form responses 1'!$E$2:$E$2604,""))</f>
        <v/>
      </c>
      <c r="H3367" s="44" t="str">
        <f t="array" ref="H3367">IF(B3367="","",_xlfn.XLOOKUP(B3367,'Form responses 1'!$B$2:$B$2604,'Form responses 1'!$F$2:$F$2604,""))</f>
        <v/>
      </c>
      <c r="I3367" s="44" t="str">
        <f t="array" ref="I3367">IF(B3367="","",_xlfn.XLOOKUP(B3367,'Form responses 1'!$B$2:$B$2604,'Form responses 1'!$I$2:$I$2604,""))</f>
        <v/>
      </c>
      <c r="J3367" s="44" t="str">
        <f t="array" ref="J3367">IF(B3367="","",_xlfn.XLOOKUP(B3367,'Form responses 1'!$B$2:$B$2604,'Form responses 1'!$G$2:$G$2604,""))</f>
        <v/>
      </c>
      <c r="K3367" s="56"/>
      <c r="L3367" s="58" t="str">
        <f t="shared" si="7"/>
        <v/>
      </c>
      <c r="M3367" s="49"/>
      <c r="N3367" s="49"/>
      <c r="O3367" s="49"/>
      <c r="P3367" s="49"/>
      <c r="Q3367" s="49"/>
      <c r="R3367" s="49"/>
      <c r="S3367" s="49"/>
      <c r="T3367" s="49"/>
      <c r="U3367" s="49"/>
      <c r="V3367" s="49"/>
      <c r="W3367" s="56"/>
      <c r="X3367" s="51" t="str">
        <f t="shared" si="5"/>
        <v/>
      </c>
      <c r="Y3367" s="50" t="s">
        <v>482</v>
      </c>
      <c r="Z3367" s="49">
        <f t="shared" si="6"/>
        <v>0</v>
      </c>
    </row>
    <row r="3368" ht="22.5" customHeight="1">
      <c r="B3368" s="57"/>
      <c r="C3368" s="43" t="str">
        <f t="array" ref="C3368">IF(B3368="","",_xlfn.XLOOKUP(B3368,'Form responses 1'!$B$2:$B$2604,'Form responses 1'!$A$2:$A$2604,""))</f>
        <v/>
      </c>
      <c r="D3368" s="44" t="str">
        <f t="shared" si="3"/>
        <v/>
      </c>
      <c r="E3368" s="44" t="str">
        <f t="array" ref="E3368">IF(B3368="","",_xlfn.XLOOKUP(B3368,'Form responses 1'!$B$2:$B$2604,'Form responses 1'!$C$2:$C$2604,""))</f>
        <v/>
      </c>
      <c r="F3368" s="44" t="str">
        <f t="array" ref="F3368">IF(B3368="","",_xlfn.XLOOKUP(B3368,'Form responses 1'!$B$2:$B$2604,'Form responses 1'!$D$2:$D$2604,""))</f>
        <v/>
      </c>
      <c r="G3368" s="44" t="str">
        <f t="array" ref="G3368">IF(B3368="","",_xlfn.XLOOKUP(B3368,'Form responses 1'!$B$2:$B$2604,'Form responses 1'!$E$2:$E$2604,""))</f>
        <v/>
      </c>
      <c r="H3368" s="44" t="str">
        <f t="array" ref="H3368">IF(B3368="","",_xlfn.XLOOKUP(B3368,'Form responses 1'!$B$2:$B$2604,'Form responses 1'!$F$2:$F$2604,""))</f>
        <v/>
      </c>
      <c r="I3368" s="44" t="str">
        <f t="array" ref="I3368">IF(B3368="","",_xlfn.XLOOKUP(B3368,'Form responses 1'!$B$2:$B$2604,'Form responses 1'!$I$2:$I$2604,""))</f>
        <v/>
      </c>
      <c r="J3368" s="44" t="str">
        <f t="array" ref="J3368">IF(B3368="","",_xlfn.XLOOKUP(B3368,'Form responses 1'!$B$2:$B$2604,'Form responses 1'!$G$2:$G$2604,""))</f>
        <v/>
      </c>
      <c r="K3368" s="56"/>
      <c r="L3368" s="58" t="str">
        <f t="shared" si="7"/>
        <v/>
      </c>
      <c r="M3368" s="49"/>
      <c r="N3368" s="49"/>
      <c r="O3368" s="49"/>
      <c r="P3368" s="49"/>
      <c r="Q3368" s="49"/>
      <c r="R3368" s="49"/>
      <c r="S3368" s="49"/>
      <c r="T3368" s="49"/>
      <c r="U3368" s="49"/>
      <c r="V3368" s="49"/>
      <c r="W3368" s="56"/>
      <c r="X3368" s="51" t="str">
        <f t="shared" si="5"/>
        <v/>
      </c>
      <c r="Y3368" s="50" t="s">
        <v>482</v>
      </c>
      <c r="Z3368" s="49">
        <f t="shared" si="6"/>
        <v>0</v>
      </c>
    </row>
    <row r="3369" ht="22.5" customHeight="1">
      <c r="B3369" s="57"/>
      <c r="C3369" s="43" t="str">
        <f t="array" ref="C3369">IF(B3369="","",_xlfn.XLOOKUP(B3369,'Form responses 1'!$B$2:$B$2604,'Form responses 1'!$A$2:$A$2604,""))</f>
        <v/>
      </c>
      <c r="D3369" s="44" t="str">
        <f t="shared" si="3"/>
        <v/>
      </c>
      <c r="E3369" s="44" t="str">
        <f t="array" ref="E3369">IF(B3369="","",_xlfn.XLOOKUP(B3369,'Form responses 1'!$B$2:$B$2604,'Form responses 1'!$C$2:$C$2604,""))</f>
        <v/>
      </c>
      <c r="F3369" s="44" t="str">
        <f t="array" ref="F3369">IF(B3369="","",_xlfn.XLOOKUP(B3369,'Form responses 1'!$B$2:$B$2604,'Form responses 1'!$D$2:$D$2604,""))</f>
        <v/>
      </c>
      <c r="G3369" s="44" t="str">
        <f t="array" ref="G3369">IF(B3369="","",_xlfn.XLOOKUP(B3369,'Form responses 1'!$B$2:$B$2604,'Form responses 1'!$E$2:$E$2604,""))</f>
        <v/>
      </c>
      <c r="H3369" s="44" t="str">
        <f t="array" ref="H3369">IF(B3369="","",_xlfn.XLOOKUP(B3369,'Form responses 1'!$B$2:$B$2604,'Form responses 1'!$F$2:$F$2604,""))</f>
        <v/>
      </c>
      <c r="I3369" s="44" t="str">
        <f t="array" ref="I3369">IF(B3369="","",_xlfn.XLOOKUP(B3369,'Form responses 1'!$B$2:$B$2604,'Form responses 1'!$I$2:$I$2604,""))</f>
        <v/>
      </c>
      <c r="J3369" s="44" t="str">
        <f t="array" ref="J3369">IF(B3369="","",_xlfn.XLOOKUP(B3369,'Form responses 1'!$B$2:$B$2604,'Form responses 1'!$G$2:$G$2604,""))</f>
        <v/>
      </c>
      <c r="K3369" s="56"/>
      <c r="L3369" s="58" t="str">
        <f t="shared" si="7"/>
        <v/>
      </c>
      <c r="M3369" s="49"/>
      <c r="N3369" s="49"/>
      <c r="O3369" s="49"/>
      <c r="P3369" s="49"/>
      <c r="Q3369" s="49"/>
      <c r="R3369" s="49"/>
      <c r="S3369" s="49"/>
      <c r="T3369" s="49"/>
      <c r="U3369" s="49"/>
      <c r="V3369" s="49"/>
      <c r="W3369" s="56"/>
      <c r="X3369" s="51" t="str">
        <f t="shared" si="5"/>
        <v/>
      </c>
      <c r="Y3369" s="50" t="s">
        <v>482</v>
      </c>
      <c r="Z3369" s="49">
        <f t="shared" si="6"/>
        <v>0</v>
      </c>
    </row>
    <row r="3370" ht="22.5" customHeight="1">
      <c r="B3370" s="57"/>
      <c r="C3370" s="43" t="str">
        <f t="array" ref="C3370">IF(B3370="","",_xlfn.XLOOKUP(B3370,'Form responses 1'!$B$2:$B$2604,'Form responses 1'!$A$2:$A$2604,""))</f>
        <v/>
      </c>
      <c r="D3370" s="44" t="str">
        <f t="shared" si="3"/>
        <v/>
      </c>
      <c r="E3370" s="44" t="str">
        <f t="array" ref="E3370">IF(B3370="","",_xlfn.XLOOKUP(B3370,'Form responses 1'!$B$2:$B$2604,'Form responses 1'!$C$2:$C$2604,""))</f>
        <v/>
      </c>
      <c r="F3370" s="44" t="str">
        <f t="array" ref="F3370">IF(B3370="","",_xlfn.XLOOKUP(B3370,'Form responses 1'!$B$2:$B$2604,'Form responses 1'!$D$2:$D$2604,""))</f>
        <v/>
      </c>
      <c r="G3370" s="44" t="str">
        <f t="array" ref="G3370">IF(B3370="","",_xlfn.XLOOKUP(B3370,'Form responses 1'!$B$2:$B$2604,'Form responses 1'!$E$2:$E$2604,""))</f>
        <v/>
      </c>
      <c r="H3370" s="44" t="str">
        <f t="array" ref="H3370">IF(B3370="","",_xlfn.XLOOKUP(B3370,'Form responses 1'!$B$2:$B$2604,'Form responses 1'!$F$2:$F$2604,""))</f>
        <v/>
      </c>
      <c r="I3370" s="44" t="str">
        <f t="array" ref="I3370">IF(B3370="","",_xlfn.XLOOKUP(B3370,'Form responses 1'!$B$2:$B$2604,'Form responses 1'!$I$2:$I$2604,""))</f>
        <v/>
      </c>
      <c r="J3370" s="44" t="str">
        <f t="array" ref="J3370">IF(B3370="","",_xlfn.XLOOKUP(B3370,'Form responses 1'!$B$2:$B$2604,'Form responses 1'!$G$2:$G$2604,""))</f>
        <v/>
      </c>
      <c r="K3370" s="56"/>
      <c r="L3370" s="58" t="str">
        <f t="shared" si="7"/>
        <v/>
      </c>
      <c r="M3370" s="49"/>
      <c r="N3370" s="49"/>
      <c r="O3370" s="49"/>
      <c r="P3370" s="49"/>
      <c r="Q3370" s="49"/>
      <c r="R3370" s="49"/>
      <c r="S3370" s="49"/>
      <c r="T3370" s="49"/>
      <c r="U3370" s="49"/>
      <c r="V3370" s="49"/>
      <c r="W3370" s="56"/>
      <c r="X3370" s="51" t="str">
        <f t="shared" si="5"/>
        <v/>
      </c>
      <c r="Y3370" s="50" t="s">
        <v>482</v>
      </c>
      <c r="Z3370" s="49">
        <f t="shared" si="6"/>
        <v>0</v>
      </c>
    </row>
    <row r="3371" ht="22.5" customHeight="1">
      <c r="B3371" s="57"/>
      <c r="C3371" s="43" t="str">
        <f t="array" ref="C3371">IF(B3371="","",_xlfn.XLOOKUP(B3371,'Form responses 1'!$B$2:$B$2604,'Form responses 1'!$A$2:$A$2604,""))</f>
        <v/>
      </c>
      <c r="D3371" s="44" t="str">
        <f t="shared" si="3"/>
        <v/>
      </c>
      <c r="E3371" s="44" t="str">
        <f t="array" ref="E3371">IF(B3371="","",_xlfn.XLOOKUP(B3371,'Form responses 1'!$B$2:$B$2604,'Form responses 1'!$C$2:$C$2604,""))</f>
        <v/>
      </c>
      <c r="F3371" s="44" t="str">
        <f t="array" ref="F3371">IF(B3371="","",_xlfn.XLOOKUP(B3371,'Form responses 1'!$B$2:$B$2604,'Form responses 1'!$D$2:$D$2604,""))</f>
        <v/>
      </c>
      <c r="G3371" s="44" t="str">
        <f t="array" ref="G3371">IF(B3371="","",_xlfn.XLOOKUP(B3371,'Form responses 1'!$B$2:$B$2604,'Form responses 1'!$E$2:$E$2604,""))</f>
        <v/>
      </c>
      <c r="H3371" s="44" t="str">
        <f t="array" ref="H3371">IF(B3371="","",_xlfn.XLOOKUP(B3371,'Form responses 1'!$B$2:$B$2604,'Form responses 1'!$F$2:$F$2604,""))</f>
        <v/>
      </c>
      <c r="I3371" s="44" t="str">
        <f t="array" ref="I3371">IF(B3371="","",_xlfn.XLOOKUP(B3371,'Form responses 1'!$B$2:$B$2604,'Form responses 1'!$I$2:$I$2604,""))</f>
        <v/>
      </c>
      <c r="J3371" s="44" t="str">
        <f t="array" ref="J3371">IF(B3371="","",_xlfn.XLOOKUP(B3371,'Form responses 1'!$B$2:$B$2604,'Form responses 1'!$G$2:$G$2604,""))</f>
        <v/>
      </c>
      <c r="K3371" s="56"/>
      <c r="L3371" s="58" t="str">
        <f t="shared" si="7"/>
        <v/>
      </c>
      <c r="M3371" s="49"/>
      <c r="N3371" s="49"/>
      <c r="O3371" s="49"/>
      <c r="P3371" s="49"/>
      <c r="Q3371" s="49"/>
      <c r="R3371" s="49"/>
      <c r="S3371" s="49"/>
      <c r="T3371" s="49"/>
      <c r="U3371" s="49"/>
      <c r="V3371" s="49"/>
      <c r="W3371" s="56"/>
      <c r="X3371" s="51" t="str">
        <f t="shared" si="5"/>
        <v/>
      </c>
      <c r="Y3371" s="50" t="s">
        <v>482</v>
      </c>
      <c r="Z3371" s="49">
        <f t="shared" si="6"/>
        <v>0</v>
      </c>
    </row>
    <row r="3372" ht="22.5" customHeight="1">
      <c r="B3372" s="57"/>
      <c r="C3372" s="43" t="str">
        <f t="array" ref="C3372">IF(B3372="","",_xlfn.XLOOKUP(B3372,'Form responses 1'!$B$2:$B$2604,'Form responses 1'!$A$2:$A$2604,""))</f>
        <v/>
      </c>
      <c r="D3372" s="44" t="str">
        <f t="shared" si="3"/>
        <v/>
      </c>
      <c r="E3372" s="44" t="str">
        <f t="array" ref="E3372">IF(B3372="","",_xlfn.XLOOKUP(B3372,'Form responses 1'!$B$2:$B$2604,'Form responses 1'!$C$2:$C$2604,""))</f>
        <v/>
      </c>
      <c r="F3372" s="44" t="str">
        <f t="array" ref="F3372">IF(B3372="","",_xlfn.XLOOKUP(B3372,'Form responses 1'!$B$2:$B$2604,'Form responses 1'!$D$2:$D$2604,""))</f>
        <v/>
      </c>
      <c r="G3372" s="44" t="str">
        <f t="array" ref="G3372">IF(B3372="","",_xlfn.XLOOKUP(B3372,'Form responses 1'!$B$2:$B$2604,'Form responses 1'!$E$2:$E$2604,""))</f>
        <v/>
      </c>
      <c r="H3372" s="44" t="str">
        <f t="array" ref="H3372">IF(B3372="","",_xlfn.XLOOKUP(B3372,'Form responses 1'!$B$2:$B$2604,'Form responses 1'!$F$2:$F$2604,""))</f>
        <v/>
      </c>
      <c r="I3372" s="44" t="str">
        <f t="array" ref="I3372">IF(B3372="","",_xlfn.XLOOKUP(B3372,'Form responses 1'!$B$2:$B$2604,'Form responses 1'!$I$2:$I$2604,""))</f>
        <v/>
      </c>
      <c r="J3372" s="44" t="str">
        <f t="array" ref="J3372">IF(B3372="","",_xlfn.XLOOKUP(B3372,'Form responses 1'!$B$2:$B$2604,'Form responses 1'!$G$2:$G$2604,""))</f>
        <v/>
      </c>
      <c r="K3372" s="56"/>
      <c r="L3372" s="58" t="str">
        <f t="shared" si="7"/>
        <v/>
      </c>
      <c r="M3372" s="49"/>
      <c r="N3372" s="49"/>
      <c r="O3372" s="49"/>
      <c r="P3372" s="49"/>
      <c r="Q3372" s="49"/>
      <c r="R3372" s="49"/>
      <c r="S3372" s="49"/>
      <c r="T3372" s="49"/>
      <c r="U3372" s="49"/>
      <c r="V3372" s="49"/>
      <c r="W3372" s="56"/>
      <c r="X3372" s="51" t="str">
        <f t="shared" si="5"/>
        <v/>
      </c>
      <c r="Y3372" s="50" t="s">
        <v>482</v>
      </c>
      <c r="Z3372" s="49">
        <f t="shared" si="6"/>
        <v>0</v>
      </c>
    </row>
    <row r="3373" ht="22.5" customHeight="1">
      <c r="B3373" s="57"/>
      <c r="C3373" s="43" t="str">
        <f t="array" ref="C3373">IF(B3373="","",_xlfn.XLOOKUP(B3373,'Form responses 1'!$B$2:$B$2604,'Form responses 1'!$A$2:$A$2604,""))</f>
        <v/>
      </c>
      <c r="D3373" s="44" t="str">
        <f t="shared" si="3"/>
        <v/>
      </c>
      <c r="E3373" s="44" t="str">
        <f t="array" ref="E3373">IF(B3373="","",_xlfn.XLOOKUP(B3373,'Form responses 1'!$B$2:$B$2604,'Form responses 1'!$C$2:$C$2604,""))</f>
        <v/>
      </c>
      <c r="F3373" s="44" t="str">
        <f t="array" ref="F3373">IF(B3373="","",_xlfn.XLOOKUP(B3373,'Form responses 1'!$B$2:$B$2604,'Form responses 1'!$D$2:$D$2604,""))</f>
        <v/>
      </c>
      <c r="G3373" s="44" t="str">
        <f t="array" ref="G3373">IF(B3373="","",_xlfn.XLOOKUP(B3373,'Form responses 1'!$B$2:$B$2604,'Form responses 1'!$E$2:$E$2604,""))</f>
        <v/>
      </c>
      <c r="H3373" s="44" t="str">
        <f t="array" ref="H3373">IF(B3373="","",_xlfn.XLOOKUP(B3373,'Form responses 1'!$B$2:$B$2604,'Form responses 1'!$F$2:$F$2604,""))</f>
        <v/>
      </c>
      <c r="I3373" s="44" t="str">
        <f t="array" ref="I3373">IF(B3373="","",_xlfn.XLOOKUP(B3373,'Form responses 1'!$B$2:$B$2604,'Form responses 1'!$I$2:$I$2604,""))</f>
        <v/>
      </c>
      <c r="J3373" s="44" t="str">
        <f t="array" ref="J3373">IF(B3373="","",_xlfn.XLOOKUP(B3373,'Form responses 1'!$B$2:$B$2604,'Form responses 1'!$G$2:$G$2604,""))</f>
        <v/>
      </c>
      <c r="K3373" s="56"/>
      <c r="L3373" s="58" t="str">
        <f t="shared" si="7"/>
        <v/>
      </c>
      <c r="M3373" s="49"/>
      <c r="N3373" s="49"/>
      <c r="O3373" s="49"/>
      <c r="P3373" s="49"/>
      <c r="Q3373" s="49"/>
      <c r="R3373" s="49"/>
      <c r="S3373" s="49"/>
      <c r="T3373" s="49"/>
      <c r="U3373" s="49"/>
      <c r="V3373" s="49"/>
      <c r="W3373" s="56"/>
      <c r="X3373" s="51" t="str">
        <f t="shared" si="5"/>
        <v/>
      </c>
      <c r="Y3373" s="50" t="s">
        <v>482</v>
      </c>
      <c r="Z3373" s="49">
        <f t="shared" si="6"/>
        <v>0</v>
      </c>
    </row>
    <row r="3374" ht="22.5" customHeight="1">
      <c r="B3374" s="57"/>
      <c r="C3374" s="43" t="str">
        <f t="array" ref="C3374">IF(B3374="","",_xlfn.XLOOKUP(B3374,'Form responses 1'!$B$2:$B$2604,'Form responses 1'!$A$2:$A$2604,""))</f>
        <v/>
      </c>
      <c r="D3374" s="44" t="str">
        <f t="shared" si="3"/>
        <v/>
      </c>
      <c r="E3374" s="44" t="str">
        <f t="array" ref="E3374">IF(B3374="","",_xlfn.XLOOKUP(B3374,'Form responses 1'!$B$2:$B$2604,'Form responses 1'!$C$2:$C$2604,""))</f>
        <v/>
      </c>
      <c r="F3374" s="44" t="str">
        <f t="array" ref="F3374">IF(B3374="","",_xlfn.XLOOKUP(B3374,'Form responses 1'!$B$2:$B$2604,'Form responses 1'!$D$2:$D$2604,""))</f>
        <v/>
      </c>
      <c r="G3374" s="44" t="str">
        <f t="array" ref="G3374">IF(B3374="","",_xlfn.XLOOKUP(B3374,'Form responses 1'!$B$2:$B$2604,'Form responses 1'!$E$2:$E$2604,""))</f>
        <v/>
      </c>
      <c r="H3374" s="44" t="str">
        <f t="array" ref="H3374">IF(B3374="","",_xlfn.XLOOKUP(B3374,'Form responses 1'!$B$2:$B$2604,'Form responses 1'!$F$2:$F$2604,""))</f>
        <v/>
      </c>
      <c r="I3374" s="44" t="str">
        <f t="array" ref="I3374">IF(B3374="","",_xlfn.XLOOKUP(B3374,'Form responses 1'!$B$2:$B$2604,'Form responses 1'!$I$2:$I$2604,""))</f>
        <v/>
      </c>
      <c r="J3374" s="44" t="str">
        <f t="array" ref="J3374">IF(B3374="","",_xlfn.XLOOKUP(B3374,'Form responses 1'!$B$2:$B$2604,'Form responses 1'!$G$2:$G$2604,""))</f>
        <v/>
      </c>
      <c r="K3374" s="56"/>
      <c r="L3374" s="58" t="str">
        <f t="shared" si="7"/>
        <v/>
      </c>
      <c r="M3374" s="49"/>
      <c r="N3374" s="49"/>
      <c r="O3374" s="49"/>
      <c r="P3374" s="49"/>
      <c r="Q3374" s="49"/>
      <c r="R3374" s="49"/>
      <c r="S3374" s="49"/>
      <c r="T3374" s="49"/>
      <c r="U3374" s="49"/>
      <c r="V3374" s="49"/>
      <c r="W3374" s="56"/>
      <c r="X3374" s="51" t="str">
        <f t="shared" si="5"/>
        <v/>
      </c>
      <c r="Y3374" s="50" t="s">
        <v>482</v>
      </c>
      <c r="Z3374" s="49">
        <f t="shared" si="6"/>
        <v>0</v>
      </c>
    </row>
    <row r="3375" ht="22.5" customHeight="1">
      <c r="B3375" s="57"/>
      <c r="C3375" s="43" t="str">
        <f t="array" ref="C3375">IF(B3375="","",_xlfn.XLOOKUP(B3375,'Form responses 1'!$B$2:$B$2604,'Form responses 1'!$A$2:$A$2604,""))</f>
        <v/>
      </c>
      <c r="D3375" s="44" t="str">
        <f t="shared" si="3"/>
        <v/>
      </c>
      <c r="E3375" s="44" t="str">
        <f t="array" ref="E3375">IF(B3375="","",_xlfn.XLOOKUP(B3375,'Form responses 1'!$B$2:$B$2604,'Form responses 1'!$C$2:$C$2604,""))</f>
        <v/>
      </c>
      <c r="F3375" s="44" t="str">
        <f t="array" ref="F3375">IF(B3375="","",_xlfn.XLOOKUP(B3375,'Form responses 1'!$B$2:$B$2604,'Form responses 1'!$D$2:$D$2604,""))</f>
        <v/>
      </c>
      <c r="G3375" s="44" t="str">
        <f t="array" ref="G3375">IF(B3375="","",_xlfn.XLOOKUP(B3375,'Form responses 1'!$B$2:$B$2604,'Form responses 1'!$E$2:$E$2604,""))</f>
        <v/>
      </c>
      <c r="H3375" s="44" t="str">
        <f t="array" ref="H3375">IF(B3375="","",_xlfn.XLOOKUP(B3375,'Form responses 1'!$B$2:$B$2604,'Form responses 1'!$F$2:$F$2604,""))</f>
        <v/>
      </c>
      <c r="I3375" s="44" t="str">
        <f t="array" ref="I3375">IF(B3375="","",_xlfn.XLOOKUP(B3375,'Form responses 1'!$B$2:$B$2604,'Form responses 1'!$I$2:$I$2604,""))</f>
        <v/>
      </c>
      <c r="J3375" s="44" t="str">
        <f t="array" ref="J3375">IF(B3375="","",_xlfn.XLOOKUP(B3375,'Form responses 1'!$B$2:$B$2604,'Form responses 1'!$G$2:$G$2604,""))</f>
        <v/>
      </c>
      <c r="K3375" s="56"/>
      <c r="L3375" s="58" t="str">
        <f t="shared" si="7"/>
        <v/>
      </c>
      <c r="M3375" s="49"/>
      <c r="N3375" s="49"/>
      <c r="O3375" s="49"/>
      <c r="P3375" s="49"/>
      <c r="Q3375" s="49"/>
      <c r="R3375" s="49"/>
      <c r="S3375" s="49"/>
      <c r="T3375" s="49"/>
      <c r="U3375" s="49"/>
      <c r="V3375" s="49"/>
      <c r="W3375" s="56"/>
      <c r="X3375" s="51" t="str">
        <f t="shared" si="5"/>
        <v/>
      </c>
      <c r="Y3375" s="50" t="s">
        <v>482</v>
      </c>
      <c r="Z3375" s="49">
        <f t="shared" si="6"/>
        <v>0</v>
      </c>
    </row>
    <row r="3376" ht="22.5" customHeight="1">
      <c r="B3376" s="57"/>
      <c r="C3376" s="43" t="str">
        <f t="array" ref="C3376">IF(B3376="","",_xlfn.XLOOKUP(B3376,'Form responses 1'!$B$2:$B$2604,'Form responses 1'!$A$2:$A$2604,""))</f>
        <v/>
      </c>
      <c r="D3376" s="44" t="str">
        <f t="shared" si="3"/>
        <v/>
      </c>
      <c r="E3376" s="44" t="str">
        <f t="array" ref="E3376">IF(B3376="","",_xlfn.XLOOKUP(B3376,'Form responses 1'!$B$2:$B$2604,'Form responses 1'!$C$2:$C$2604,""))</f>
        <v/>
      </c>
      <c r="F3376" s="44" t="str">
        <f t="array" ref="F3376">IF(B3376="","",_xlfn.XLOOKUP(B3376,'Form responses 1'!$B$2:$B$2604,'Form responses 1'!$D$2:$D$2604,""))</f>
        <v/>
      </c>
      <c r="G3376" s="44" t="str">
        <f t="array" ref="G3376">IF(B3376="","",_xlfn.XLOOKUP(B3376,'Form responses 1'!$B$2:$B$2604,'Form responses 1'!$E$2:$E$2604,""))</f>
        <v/>
      </c>
      <c r="H3376" s="44" t="str">
        <f t="array" ref="H3376">IF(B3376="","",_xlfn.XLOOKUP(B3376,'Form responses 1'!$B$2:$B$2604,'Form responses 1'!$F$2:$F$2604,""))</f>
        <v/>
      </c>
      <c r="I3376" s="44" t="str">
        <f t="array" ref="I3376">IF(B3376="","",_xlfn.XLOOKUP(B3376,'Form responses 1'!$B$2:$B$2604,'Form responses 1'!$I$2:$I$2604,""))</f>
        <v/>
      </c>
      <c r="J3376" s="44" t="str">
        <f t="array" ref="J3376">IF(B3376="","",_xlfn.XLOOKUP(B3376,'Form responses 1'!$B$2:$B$2604,'Form responses 1'!$G$2:$G$2604,""))</f>
        <v/>
      </c>
      <c r="K3376" s="56"/>
      <c r="L3376" s="58" t="str">
        <f t="shared" si="7"/>
        <v/>
      </c>
      <c r="M3376" s="49"/>
      <c r="N3376" s="49"/>
      <c r="O3376" s="49"/>
      <c r="P3376" s="49"/>
      <c r="Q3376" s="49"/>
      <c r="R3376" s="49"/>
      <c r="S3376" s="49"/>
      <c r="T3376" s="49"/>
      <c r="U3376" s="49"/>
      <c r="V3376" s="49"/>
      <c r="W3376" s="56"/>
      <c r="X3376" s="51" t="str">
        <f t="shared" si="5"/>
        <v/>
      </c>
      <c r="Y3376" s="50" t="s">
        <v>482</v>
      </c>
      <c r="Z3376" s="49">
        <f t="shared" si="6"/>
        <v>0</v>
      </c>
    </row>
    <row r="3377" ht="22.5" customHeight="1">
      <c r="B3377" s="57"/>
      <c r="C3377" s="43" t="str">
        <f t="array" ref="C3377">IF(B3377="","",_xlfn.XLOOKUP(B3377,'Form responses 1'!$B$2:$B$2604,'Form responses 1'!$A$2:$A$2604,""))</f>
        <v/>
      </c>
      <c r="D3377" s="44" t="str">
        <f t="shared" si="3"/>
        <v/>
      </c>
      <c r="E3377" s="44" t="str">
        <f t="array" ref="E3377">IF(B3377="","",_xlfn.XLOOKUP(B3377,'Form responses 1'!$B$2:$B$2604,'Form responses 1'!$C$2:$C$2604,""))</f>
        <v/>
      </c>
      <c r="F3377" s="44" t="str">
        <f t="array" ref="F3377">IF(B3377="","",_xlfn.XLOOKUP(B3377,'Form responses 1'!$B$2:$B$2604,'Form responses 1'!$D$2:$D$2604,""))</f>
        <v/>
      </c>
      <c r="G3377" s="44" t="str">
        <f t="array" ref="G3377">IF(B3377="","",_xlfn.XLOOKUP(B3377,'Form responses 1'!$B$2:$B$2604,'Form responses 1'!$E$2:$E$2604,""))</f>
        <v/>
      </c>
      <c r="H3377" s="44" t="str">
        <f t="array" ref="H3377">IF(B3377="","",_xlfn.XLOOKUP(B3377,'Form responses 1'!$B$2:$B$2604,'Form responses 1'!$F$2:$F$2604,""))</f>
        <v/>
      </c>
      <c r="I3377" s="44" t="str">
        <f t="array" ref="I3377">IF(B3377="","",_xlfn.XLOOKUP(B3377,'Form responses 1'!$B$2:$B$2604,'Form responses 1'!$I$2:$I$2604,""))</f>
        <v/>
      </c>
      <c r="J3377" s="44" t="str">
        <f t="array" ref="J3377">IF(B3377="","",_xlfn.XLOOKUP(B3377,'Form responses 1'!$B$2:$B$2604,'Form responses 1'!$G$2:$G$2604,""))</f>
        <v/>
      </c>
      <c r="K3377" s="56"/>
      <c r="L3377" s="58" t="str">
        <f t="shared" si="7"/>
        <v/>
      </c>
      <c r="M3377" s="49"/>
      <c r="N3377" s="49"/>
      <c r="O3377" s="49"/>
      <c r="P3377" s="49"/>
      <c r="Q3377" s="49"/>
      <c r="R3377" s="49"/>
      <c r="S3377" s="49"/>
      <c r="T3377" s="49"/>
      <c r="U3377" s="49"/>
      <c r="V3377" s="49"/>
      <c r="W3377" s="56"/>
      <c r="X3377" s="51" t="str">
        <f t="shared" si="5"/>
        <v/>
      </c>
      <c r="Y3377" s="50" t="s">
        <v>482</v>
      </c>
      <c r="Z3377" s="49">
        <f t="shared" si="6"/>
        <v>0</v>
      </c>
    </row>
    <row r="3378" ht="22.5" customHeight="1">
      <c r="B3378" s="57"/>
      <c r="C3378" s="43" t="str">
        <f t="array" ref="C3378">IF(B3378="","",_xlfn.XLOOKUP(B3378,'Form responses 1'!$B$2:$B$2604,'Form responses 1'!$A$2:$A$2604,""))</f>
        <v/>
      </c>
      <c r="D3378" s="44" t="str">
        <f t="shared" si="3"/>
        <v/>
      </c>
      <c r="E3378" s="44" t="str">
        <f t="array" ref="E3378">IF(B3378="","",_xlfn.XLOOKUP(B3378,'Form responses 1'!$B$2:$B$2604,'Form responses 1'!$C$2:$C$2604,""))</f>
        <v/>
      </c>
      <c r="F3378" s="44" t="str">
        <f t="array" ref="F3378">IF(B3378="","",_xlfn.XLOOKUP(B3378,'Form responses 1'!$B$2:$B$2604,'Form responses 1'!$D$2:$D$2604,""))</f>
        <v/>
      </c>
      <c r="G3378" s="44" t="str">
        <f t="array" ref="G3378">IF(B3378="","",_xlfn.XLOOKUP(B3378,'Form responses 1'!$B$2:$B$2604,'Form responses 1'!$E$2:$E$2604,""))</f>
        <v/>
      </c>
      <c r="H3378" s="44" t="str">
        <f t="array" ref="H3378">IF(B3378="","",_xlfn.XLOOKUP(B3378,'Form responses 1'!$B$2:$B$2604,'Form responses 1'!$F$2:$F$2604,""))</f>
        <v/>
      </c>
      <c r="I3378" s="44" t="str">
        <f t="array" ref="I3378">IF(B3378="","",_xlfn.XLOOKUP(B3378,'Form responses 1'!$B$2:$B$2604,'Form responses 1'!$I$2:$I$2604,""))</f>
        <v/>
      </c>
      <c r="J3378" s="44" t="str">
        <f t="array" ref="J3378">IF(B3378="","",_xlfn.XLOOKUP(B3378,'Form responses 1'!$B$2:$B$2604,'Form responses 1'!$G$2:$G$2604,""))</f>
        <v/>
      </c>
      <c r="K3378" s="56"/>
      <c r="L3378" s="58" t="str">
        <f t="shared" si="7"/>
        <v/>
      </c>
      <c r="M3378" s="49"/>
      <c r="N3378" s="49"/>
      <c r="O3378" s="49"/>
      <c r="P3378" s="49"/>
      <c r="Q3378" s="49"/>
      <c r="R3378" s="49"/>
      <c r="S3378" s="49"/>
      <c r="T3378" s="49"/>
      <c r="U3378" s="49"/>
      <c r="V3378" s="49"/>
      <c r="W3378" s="56"/>
      <c r="X3378" s="51" t="str">
        <f t="shared" si="5"/>
        <v/>
      </c>
      <c r="Y3378" s="50" t="s">
        <v>482</v>
      </c>
      <c r="Z3378" s="49">
        <f t="shared" si="6"/>
        <v>0</v>
      </c>
    </row>
    <row r="3379" ht="22.5" customHeight="1">
      <c r="B3379" s="57"/>
      <c r="C3379" s="43" t="str">
        <f t="array" ref="C3379">IF(B3379="","",_xlfn.XLOOKUP(B3379,'Form responses 1'!$B$2:$B$2604,'Form responses 1'!$A$2:$A$2604,""))</f>
        <v/>
      </c>
      <c r="D3379" s="44" t="str">
        <f t="shared" si="3"/>
        <v/>
      </c>
      <c r="E3379" s="44" t="str">
        <f t="array" ref="E3379">IF(B3379="","",_xlfn.XLOOKUP(B3379,'Form responses 1'!$B$2:$B$2604,'Form responses 1'!$C$2:$C$2604,""))</f>
        <v/>
      </c>
      <c r="F3379" s="44" t="str">
        <f t="array" ref="F3379">IF(B3379="","",_xlfn.XLOOKUP(B3379,'Form responses 1'!$B$2:$B$2604,'Form responses 1'!$D$2:$D$2604,""))</f>
        <v/>
      </c>
      <c r="G3379" s="44" t="str">
        <f t="array" ref="G3379">IF(B3379="","",_xlfn.XLOOKUP(B3379,'Form responses 1'!$B$2:$B$2604,'Form responses 1'!$E$2:$E$2604,""))</f>
        <v/>
      </c>
      <c r="H3379" s="44" t="str">
        <f t="array" ref="H3379">IF(B3379="","",_xlfn.XLOOKUP(B3379,'Form responses 1'!$B$2:$B$2604,'Form responses 1'!$F$2:$F$2604,""))</f>
        <v/>
      </c>
      <c r="I3379" s="44" t="str">
        <f t="array" ref="I3379">IF(B3379="","",_xlfn.XLOOKUP(B3379,'Form responses 1'!$B$2:$B$2604,'Form responses 1'!$I$2:$I$2604,""))</f>
        <v/>
      </c>
      <c r="J3379" s="44" t="str">
        <f t="array" ref="J3379">IF(B3379="","",_xlfn.XLOOKUP(B3379,'Form responses 1'!$B$2:$B$2604,'Form responses 1'!$G$2:$G$2604,""))</f>
        <v/>
      </c>
      <c r="K3379" s="56"/>
      <c r="L3379" s="58" t="str">
        <f t="shared" si="7"/>
        <v/>
      </c>
      <c r="M3379" s="49"/>
      <c r="N3379" s="49"/>
      <c r="O3379" s="49"/>
      <c r="P3379" s="49"/>
      <c r="Q3379" s="49"/>
      <c r="R3379" s="49"/>
      <c r="S3379" s="49"/>
      <c r="T3379" s="49"/>
      <c r="U3379" s="49"/>
      <c r="V3379" s="49"/>
      <c r="W3379" s="56"/>
      <c r="X3379" s="51" t="str">
        <f t="shared" si="5"/>
        <v/>
      </c>
      <c r="Y3379" s="50" t="s">
        <v>482</v>
      </c>
      <c r="Z3379" s="49">
        <f t="shared" si="6"/>
        <v>0</v>
      </c>
    </row>
    <row r="3380" ht="22.5" customHeight="1">
      <c r="B3380" s="57"/>
      <c r="C3380" s="43" t="str">
        <f t="array" ref="C3380">IF(B3380="","",_xlfn.XLOOKUP(B3380,'Form responses 1'!$B$2:$B$2604,'Form responses 1'!$A$2:$A$2604,""))</f>
        <v/>
      </c>
      <c r="D3380" s="44" t="str">
        <f t="shared" si="3"/>
        <v/>
      </c>
      <c r="E3380" s="44" t="str">
        <f t="array" ref="E3380">IF(B3380="","",_xlfn.XLOOKUP(B3380,'Form responses 1'!$B$2:$B$2604,'Form responses 1'!$C$2:$C$2604,""))</f>
        <v/>
      </c>
      <c r="F3380" s="44" t="str">
        <f t="array" ref="F3380">IF(B3380="","",_xlfn.XLOOKUP(B3380,'Form responses 1'!$B$2:$B$2604,'Form responses 1'!$D$2:$D$2604,""))</f>
        <v/>
      </c>
      <c r="G3380" s="44" t="str">
        <f t="array" ref="G3380">IF(B3380="","",_xlfn.XLOOKUP(B3380,'Form responses 1'!$B$2:$B$2604,'Form responses 1'!$E$2:$E$2604,""))</f>
        <v/>
      </c>
      <c r="H3380" s="44" t="str">
        <f t="array" ref="H3380">IF(B3380="","",_xlfn.XLOOKUP(B3380,'Form responses 1'!$B$2:$B$2604,'Form responses 1'!$F$2:$F$2604,""))</f>
        <v/>
      </c>
      <c r="I3380" s="44" t="str">
        <f t="array" ref="I3380">IF(B3380="","",_xlfn.XLOOKUP(B3380,'Form responses 1'!$B$2:$B$2604,'Form responses 1'!$I$2:$I$2604,""))</f>
        <v/>
      </c>
      <c r="J3380" s="44" t="str">
        <f t="array" ref="J3380">IF(B3380="","",_xlfn.XLOOKUP(B3380,'Form responses 1'!$B$2:$B$2604,'Form responses 1'!$G$2:$G$2604,""))</f>
        <v/>
      </c>
      <c r="K3380" s="56"/>
      <c r="L3380" s="58" t="str">
        <f t="shared" si="7"/>
        <v/>
      </c>
      <c r="M3380" s="49"/>
      <c r="N3380" s="49"/>
      <c r="O3380" s="49"/>
      <c r="P3380" s="49"/>
      <c r="Q3380" s="49"/>
      <c r="R3380" s="49"/>
      <c r="S3380" s="49"/>
      <c r="T3380" s="49"/>
      <c r="U3380" s="49"/>
      <c r="V3380" s="49"/>
      <c r="W3380" s="56"/>
      <c r="X3380" s="51" t="str">
        <f t="shared" si="5"/>
        <v/>
      </c>
      <c r="Y3380" s="50" t="s">
        <v>482</v>
      </c>
      <c r="Z3380" s="49">
        <f t="shared" si="6"/>
        <v>0</v>
      </c>
    </row>
    <row r="3381" ht="22.5" customHeight="1">
      <c r="B3381" s="57"/>
      <c r="C3381" s="43" t="str">
        <f t="array" ref="C3381">IF(B3381="","",_xlfn.XLOOKUP(B3381,'Form responses 1'!$B$2:$B$2604,'Form responses 1'!$A$2:$A$2604,""))</f>
        <v/>
      </c>
      <c r="D3381" s="44" t="str">
        <f t="shared" si="3"/>
        <v/>
      </c>
      <c r="E3381" s="44" t="str">
        <f t="array" ref="E3381">IF(B3381="","",_xlfn.XLOOKUP(B3381,'Form responses 1'!$B$2:$B$2604,'Form responses 1'!$C$2:$C$2604,""))</f>
        <v/>
      </c>
      <c r="F3381" s="44" t="str">
        <f t="array" ref="F3381">IF(B3381="","",_xlfn.XLOOKUP(B3381,'Form responses 1'!$B$2:$B$2604,'Form responses 1'!$D$2:$D$2604,""))</f>
        <v/>
      </c>
      <c r="G3381" s="44" t="str">
        <f t="array" ref="G3381">IF(B3381="","",_xlfn.XLOOKUP(B3381,'Form responses 1'!$B$2:$B$2604,'Form responses 1'!$E$2:$E$2604,""))</f>
        <v/>
      </c>
      <c r="H3381" s="44" t="str">
        <f t="array" ref="H3381">IF(B3381="","",_xlfn.XLOOKUP(B3381,'Form responses 1'!$B$2:$B$2604,'Form responses 1'!$F$2:$F$2604,""))</f>
        <v/>
      </c>
      <c r="I3381" s="44" t="str">
        <f t="array" ref="I3381">IF(B3381="","",_xlfn.XLOOKUP(B3381,'Form responses 1'!$B$2:$B$2604,'Form responses 1'!$I$2:$I$2604,""))</f>
        <v/>
      </c>
      <c r="J3381" s="44" t="str">
        <f t="array" ref="J3381">IF(B3381="","",_xlfn.XLOOKUP(B3381,'Form responses 1'!$B$2:$B$2604,'Form responses 1'!$G$2:$G$2604,""))</f>
        <v/>
      </c>
      <c r="K3381" s="56"/>
      <c r="L3381" s="58" t="str">
        <f t="shared" si="7"/>
        <v/>
      </c>
      <c r="M3381" s="49"/>
      <c r="N3381" s="49"/>
      <c r="O3381" s="49"/>
      <c r="P3381" s="49"/>
      <c r="Q3381" s="49"/>
      <c r="R3381" s="49"/>
      <c r="S3381" s="49"/>
      <c r="T3381" s="49"/>
      <c r="U3381" s="49"/>
      <c r="V3381" s="49"/>
      <c r="W3381" s="56"/>
      <c r="X3381" s="51" t="str">
        <f t="shared" si="5"/>
        <v/>
      </c>
      <c r="Y3381" s="50" t="s">
        <v>482</v>
      </c>
      <c r="Z3381" s="49">
        <f t="shared" si="6"/>
        <v>0</v>
      </c>
    </row>
    <row r="3382" ht="22.5" customHeight="1">
      <c r="B3382" s="57"/>
      <c r="C3382" s="43" t="str">
        <f t="array" ref="C3382">IF(B3382="","",_xlfn.XLOOKUP(B3382,'Form responses 1'!$B$2:$B$2604,'Form responses 1'!$A$2:$A$2604,""))</f>
        <v/>
      </c>
      <c r="D3382" s="44" t="str">
        <f t="shared" si="3"/>
        <v/>
      </c>
      <c r="E3382" s="44" t="str">
        <f t="array" ref="E3382">IF(B3382="","",_xlfn.XLOOKUP(B3382,'Form responses 1'!$B$2:$B$2604,'Form responses 1'!$C$2:$C$2604,""))</f>
        <v/>
      </c>
      <c r="F3382" s="44" t="str">
        <f t="array" ref="F3382">IF(B3382="","",_xlfn.XLOOKUP(B3382,'Form responses 1'!$B$2:$B$2604,'Form responses 1'!$D$2:$D$2604,""))</f>
        <v/>
      </c>
      <c r="G3382" s="44" t="str">
        <f t="array" ref="G3382">IF(B3382="","",_xlfn.XLOOKUP(B3382,'Form responses 1'!$B$2:$B$2604,'Form responses 1'!$E$2:$E$2604,""))</f>
        <v/>
      </c>
      <c r="H3382" s="44" t="str">
        <f t="array" ref="H3382">IF(B3382="","",_xlfn.XLOOKUP(B3382,'Form responses 1'!$B$2:$B$2604,'Form responses 1'!$F$2:$F$2604,""))</f>
        <v/>
      </c>
      <c r="I3382" s="44" t="str">
        <f t="array" ref="I3382">IF(B3382="","",_xlfn.XLOOKUP(B3382,'Form responses 1'!$B$2:$B$2604,'Form responses 1'!$I$2:$I$2604,""))</f>
        <v/>
      </c>
      <c r="J3382" s="44" t="str">
        <f t="array" ref="J3382">IF(B3382="","",_xlfn.XLOOKUP(B3382,'Form responses 1'!$B$2:$B$2604,'Form responses 1'!$G$2:$G$2604,""))</f>
        <v/>
      </c>
      <c r="K3382" s="56"/>
      <c r="L3382" s="58" t="str">
        <f t="shared" si="7"/>
        <v/>
      </c>
      <c r="M3382" s="49"/>
      <c r="N3382" s="49"/>
      <c r="O3382" s="49"/>
      <c r="P3382" s="49"/>
      <c r="Q3382" s="49"/>
      <c r="R3382" s="49"/>
      <c r="S3382" s="49"/>
      <c r="T3382" s="49"/>
      <c r="U3382" s="49"/>
      <c r="V3382" s="49"/>
      <c r="W3382" s="56"/>
      <c r="X3382" s="51" t="str">
        <f t="shared" si="5"/>
        <v/>
      </c>
      <c r="Y3382" s="50" t="s">
        <v>482</v>
      </c>
      <c r="Z3382" s="49">
        <f t="shared" si="6"/>
        <v>0</v>
      </c>
    </row>
    <row r="3383" ht="22.5" customHeight="1">
      <c r="B3383" s="57"/>
      <c r="C3383" s="43" t="str">
        <f t="array" ref="C3383">IF(B3383="","",_xlfn.XLOOKUP(B3383,'Form responses 1'!$B$2:$B$2604,'Form responses 1'!$A$2:$A$2604,""))</f>
        <v/>
      </c>
      <c r="D3383" s="44" t="str">
        <f t="shared" si="3"/>
        <v/>
      </c>
      <c r="E3383" s="44" t="str">
        <f t="array" ref="E3383">IF(B3383="","",_xlfn.XLOOKUP(B3383,'Form responses 1'!$B$2:$B$2604,'Form responses 1'!$C$2:$C$2604,""))</f>
        <v/>
      </c>
      <c r="F3383" s="44" t="str">
        <f t="array" ref="F3383">IF(B3383="","",_xlfn.XLOOKUP(B3383,'Form responses 1'!$B$2:$B$2604,'Form responses 1'!$D$2:$D$2604,""))</f>
        <v/>
      </c>
      <c r="G3383" s="44" t="str">
        <f t="array" ref="G3383">IF(B3383="","",_xlfn.XLOOKUP(B3383,'Form responses 1'!$B$2:$B$2604,'Form responses 1'!$E$2:$E$2604,""))</f>
        <v/>
      </c>
      <c r="H3383" s="44" t="str">
        <f t="array" ref="H3383">IF(B3383="","",_xlfn.XLOOKUP(B3383,'Form responses 1'!$B$2:$B$2604,'Form responses 1'!$F$2:$F$2604,""))</f>
        <v/>
      </c>
      <c r="I3383" s="44" t="str">
        <f t="array" ref="I3383">IF(B3383="","",_xlfn.XLOOKUP(B3383,'Form responses 1'!$B$2:$B$2604,'Form responses 1'!$I$2:$I$2604,""))</f>
        <v/>
      </c>
      <c r="J3383" s="44" t="str">
        <f t="array" ref="J3383">IF(B3383="","",_xlfn.XLOOKUP(B3383,'Form responses 1'!$B$2:$B$2604,'Form responses 1'!$G$2:$G$2604,""))</f>
        <v/>
      </c>
      <c r="K3383" s="56"/>
      <c r="L3383" s="58" t="str">
        <f t="shared" si="7"/>
        <v/>
      </c>
      <c r="M3383" s="49"/>
      <c r="N3383" s="49"/>
      <c r="O3383" s="49"/>
      <c r="P3383" s="49"/>
      <c r="Q3383" s="49"/>
      <c r="R3383" s="49"/>
      <c r="S3383" s="49"/>
      <c r="T3383" s="49"/>
      <c r="U3383" s="49"/>
      <c r="V3383" s="49"/>
      <c r="W3383" s="56"/>
      <c r="X3383" s="51" t="str">
        <f t="shared" si="5"/>
        <v/>
      </c>
      <c r="Y3383" s="50" t="s">
        <v>482</v>
      </c>
      <c r="Z3383" s="49">
        <f t="shared" si="6"/>
        <v>0</v>
      </c>
    </row>
    <row r="3384" ht="22.5" customHeight="1">
      <c r="B3384" s="57"/>
      <c r="C3384" s="43" t="str">
        <f t="array" ref="C3384">IF(B3384="","",_xlfn.XLOOKUP(B3384,'Form responses 1'!$B$2:$B$2604,'Form responses 1'!$A$2:$A$2604,""))</f>
        <v/>
      </c>
      <c r="D3384" s="44" t="str">
        <f t="shared" si="3"/>
        <v/>
      </c>
      <c r="E3384" s="44" t="str">
        <f t="array" ref="E3384">IF(B3384="","",_xlfn.XLOOKUP(B3384,'Form responses 1'!$B$2:$B$2604,'Form responses 1'!$C$2:$C$2604,""))</f>
        <v/>
      </c>
      <c r="F3384" s="44" t="str">
        <f t="array" ref="F3384">IF(B3384="","",_xlfn.XLOOKUP(B3384,'Form responses 1'!$B$2:$B$2604,'Form responses 1'!$D$2:$D$2604,""))</f>
        <v/>
      </c>
      <c r="G3384" s="44" t="str">
        <f t="array" ref="G3384">IF(B3384="","",_xlfn.XLOOKUP(B3384,'Form responses 1'!$B$2:$B$2604,'Form responses 1'!$E$2:$E$2604,""))</f>
        <v/>
      </c>
      <c r="H3384" s="44" t="str">
        <f t="array" ref="H3384">IF(B3384="","",_xlfn.XLOOKUP(B3384,'Form responses 1'!$B$2:$B$2604,'Form responses 1'!$F$2:$F$2604,""))</f>
        <v/>
      </c>
      <c r="I3384" s="44" t="str">
        <f t="array" ref="I3384">IF(B3384="","",_xlfn.XLOOKUP(B3384,'Form responses 1'!$B$2:$B$2604,'Form responses 1'!$I$2:$I$2604,""))</f>
        <v/>
      </c>
      <c r="J3384" s="44" t="str">
        <f t="array" ref="J3384">IF(B3384="","",_xlfn.XLOOKUP(B3384,'Form responses 1'!$B$2:$B$2604,'Form responses 1'!$G$2:$G$2604,""))</f>
        <v/>
      </c>
      <c r="K3384" s="56"/>
      <c r="L3384" s="58" t="str">
        <f t="shared" si="7"/>
        <v/>
      </c>
      <c r="M3384" s="49"/>
      <c r="N3384" s="49"/>
      <c r="O3384" s="49"/>
      <c r="P3384" s="49"/>
      <c r="Q3384" s="49"/>
      <c r="R3384" s="49"/>
      <c r="S3384" s="49"/>
      <c r="T3384" s="49"/>
      <c r="U3384" s="49"/>
      <c r="V3384" s="49"/>
      <c r="W3384" s="56"/>
      <c r="X3384" s="51" t="str">
        <f t="shared" si="5"/>
        <v/>
      </c>
      <c r="Y3384" s="50" t="s">
        <v>482</v>
      </c>
      <c r="Z3384" s="49">
        <f t="shared" si="6"/>
        <v>0</v>
      </c>
    </row>
    <row r="3385" ht="22.5" customHeight="1">
      <c r="B3385" s="57"/>
      <c r="C3385" s="43" t="str">
        <f t="array" ref="C3385">IF(B3385="","",_xlfn.XLOOKUP(B3385,'Form responses 1'!$B$2:$B$2604,'Form responses 1'!$A$2:$A$2604,""))</f>
        <v/>
      </c>
      <c r="D3385" s="44" t="str">
        <f t="shared" si="3"/>
        <v/>
      </c>
      <c r="E3385" s="44" t="str">
        <f t="array" ref="E3385">IF(B3385="","",_xlfn.XLOOKUP(B3385,'Form responses 1'!$B$2:$B$2604,'Form responses 1'!$C$2:$C$2604,""))</f>
        <v/>
      </c>
      <c r="F3385" s="44" t="str">
        <f t="array" ref="F3385">IF(B3385="","",_xlfn.XLOOKUP(B3385,'Form responses 1'!$B$2:$B$2604,'Form responses 1'!$D$2:$D$2604,""))</f>
        <v/>
      </c>
      <c r="G3385" s="44" t="str">
        <f t="array" ref="G3385">IF(B3385="","",_xlfn.XLOOKUP(B3385,'Form responses 1'!$B$2:$B$2604,'Form responses 1'!$E$2:$E$2604,""))</f>
        <v/>
      </c>
      <c r="H3385" s="44" t="str">
        <f t="array" ref="H3385">IF(B3385="","",_xlfn.XLOOKUP(B3385,'Form responses 1'!$B$2:$B$2604,'Form responses 1'!$F$2:$F$2604,""))</f>
        <v/>
      </c>
      <c r="I3385" s="44" t="str">
        <f t="array" ref="I3385">IF(B3385="","",_xlfn.XLOOKUP(B3385,'Form responses 1'!$B$2:$B$2604,'Form responses 1'!$I$2:$I$2604,""))</f>
        <v/>
      </c>
      <c r="J3385" s="44" t="str">
        <f t="array" ref="J3385">IF(B3385="","",_xlfn.XLOOKUP(B3385,'Form responses 1'!$B$2:$B$2604,'Form responses 1'!$G$2:$G$2604,""))</f>
        <v/>
      </c>
      <c r="K3385" s="56"/>
      <c r="L3385" s="58" t="str">
        <f t="shared" si="7"/>
        <v/>
      </c>
      <c r="M3385" s="49"/>
      <c r="N3385" s="49"/>
      <c r="O3385" s="49"/>
      <c r="P3385" s="49"/>
      <c r="Q3385" s="49"/>
      <c r="R3385" s="49"/>
      <c r="S3385" s="49"/>
      <c r="T3385" s="49"/>
      <c r="U3385" s="49"/>
      <c r="V3385" s="49"/>
      <c r="W3385" s="56"/>
      <c r="X3385" s="51" t="str">
        <f t="shared" si="5"/>
        <v/>
      </c>
      <c r="Y3385" s="50" t="s">
        <v>482</v>
      </c>
      <c r="Z3385" s="49">
        <f t="shared" si="6"/>
        <v>0</v>
      </c>
    </row>
    <row r="3386" ht="22.5" customHeight="1">
      <c r="B3386" s="57"/>
      <c r="C3386" s="43" t="str">
        <f t="array" ref="C3386">IF(B3386="","",_xlfn.XLOOKUP(B3386,'Form responses 1'!$B$2:$B$2604,'Form responses 1'!$A$2:$A$2604,""))</f>
        <v/>
      </c>
      <c r="D3386" s="44" t="str">
        <f t="shared" si="3"/>
        <v/>
      </c>
      <c r="E3386" s="44" t="str">
        <f t="array" ref="E3386">IF(B3386="","",_xlfn.XLOOKUP(B3386,'Form responses 1'!$B$2:$B$2604,'Form responses 1'!$C$2:$C$2604,""))</f>
        <v/>
      </c>
      <c r="F3386" s="44" t="str">
        <f t="array" ref="F3386">IF(B3386="","",_xlfn.XLOOKUP(B3386,'Form responses 1'!$B$2:$B$2604,'Form responses 1'!$D$2:$D$2604,""))</f>
        <v/>
      </c>
      <c r="G3386" s="44" t="str">
        <f t="array" ref="G3386">IF(B3386="","",_xlfn.XLOOKUP(B3386,'Form responses 1'!$B$2:$B$2604,'Form responses 1'!$E$2:$E$2604,""))</f>
        <v/>
      </c>
      <c r="H3386" s="44" t="str">
        <f t="array" ref="H3386">IF(B3386="","",_xlfn.XLOOKUP(B3386,'Form responses 1'!$B$2:$B$2604,'Form responses 1'!$F$2:$F$2604,""))</f>
        <v/>
      </c>
      <c r="I3386" s="44" t="str">
        <f t="array" ref="I3386">IF(B3386="","",_xlfn.XLOOKUP(B3386,'Form responses 1'!$B$2:$B$2604,'Form responses 1'!$I$2:$I$2604,""))</f>
        <v/>
      </c>
      <c r="J3386" s="44" t="str">
        <f t="array" ref="J3386">IF(B3386="","",_xlfn.XLOOKUP(B3386,'Form responses 1'!$B$2:$B$2604,'Form responses 1'!$G$2:$G$2604,""))</f>
        <v/>
      </c>
      <c r="K3386" s="56"/>
      <c r="L3386" s="58" t="str">
        <f t="shared" si="7"/>
        <v/>
      </c>
      <c r="M3386" s="49"/>
      <c r="N3386" s="49"/>
      <c r="O3386" s="49"/>
      <c r="P3386" s="49"/>
      <c r="Q3386" s="49"/>
      <c r="R3386" s="49"/>
      <c r="S3386" s="49"/>
      <c r="T3386" s="49"/>
      <c r="U3386" s="49"/>
      <c r="V3386" s="49"/>
      <c r="W3386" s="56"/>
      <c r="X3386" s="51" t="str">
        <f t="shared" si="5"/>
        <v/>
      </c>
      <c r="Y3386" s="50" t="s">
        <v>482</v>
      </c>
      <c r="Z3386" s="49">
        <f t="shared" si="6"/>
        <v>0</v>
      </c>
    </row>
    <row r="3387" ht="22.5" customHeight="1">
      <c r="B3387" s="57"/>
      <c r="C3387" s="43" t="str">
        <f t="array" ref="C3387">IF(B3387="","",_xlfn.XLOOKUP(B3387,'Form responses 1'!$B$2:$B$2604,'Form responses 1'!$A$2:$A$2604,""))</f>
        <v/>
      </c>
      <c r="D3387" s="44" t="str">
        <f t="shared" si="3"/>
        <v/>
      </c>
      <c r="E3387" s="44" t="str">
        <f t="array" ref="E3387">IF(B3387="","",_xlfn.XLOOKUP(B3387,'Form responses 1'!$B$2:$B$2604,'Form responses 1'!$C$2:$C$2604,""))</f>
        <v/>
      </c>
      <c r="F3387" s="44" t="str">
        <f t="array" ref="F3387">IF(B3387="","",_xlfn.XLOOKUP(B3387,'Form responses 1'!$B$2:$B$2604,'Form responses 1'!$D$2:$D$2604,""))</f>
        <v/>
      </c>
      <c r="G3387" s="44" t="str">
        <f t="array" ref="G3387">IF(B3387="","",_xlfn.XLOOKUP(B3387,'Form responses 1'!$B$2:$B$2604,'Form responses 1'!$E$2:$E$2604,""))</f>
        <v/>
      </c>
      <c r="H3387" s="44" t="str">
        <f t="array" ref="H3387">IF(B3387="","",_xlfn.XLOOKUP(B3387,'Form responses 1'!$B$2:$B$2604,'Form responses 1'!$F$2:$F$2604,""))</f>
        <v/>
      </c>
      <c r="I3387" s="44" t="str">
        <f t="array" ref="I3387">IF(B3387="","",_xlfn.XLOOKUP(B3387,'Form responses 1'!$B$2:$B$2604,'Form responses 1'!$I$2:$I$2604,""))</f>
        <v/>
      </c>
      <c r="J3387" s="44" t="str">
        <f t="array" ref="J3387">IF(B3387="","",_xlfn.XLOOKUP(B3387,'Form responses 1'!$B$2:$B$2604,'Form responses 1'!$G$2:$G$2604,""))</f>
        <v/>
      </c>
      <c r="K3387" s="56"/>
      <c r="L3387" s="58" t="str">
        <f t="shared" si="7"/>
        <v/>
      </c>
      <c r="M3387" s="49"/>
      <c r="N3387" s="49"/>
      <c r="O3387" s="49"/>
      <c r="P3387" s="49"/>
      <c r="Q3387" s="49"/>
      <c r="R3387" s="49"/>
      <c r="S3387" s="49"/>
      <c r="T3387" s="49"/>
      <c r="U3387" s="49"/>
      <c r="V3387" s="49"/>
      <c r="W3387" s="56"/>
      <c r="X3387" s="51" t="str">
        <f t="shared" si="5"/>
        <v/>
      </c>
      <c r="Y3387" s="50" t="s">
        <v>482</v>
      </c>
      <c r="Z3387" s="49">
        <f t="shared" si="6"/>
        <v>0</v>
      </c>
    </row>
    <row r="3388" ht="22.5" customHeight="1">
      <c r="B3388" s="57"/>
      <c r="C3388" s="43" t="str">
        <f t="array" ref="C3388">IF(B3388="","",_xlfn.XLOOKUP(B3388,'Form responses 1'!$B$2:$B$2604,'Form responses 1'!$A$2:$A$2604,""))</f>
        <v/>
      </c>
      <c r="D3388" s="44" t="str">
        <f t="shared" si="3"/>
        <v/>
      </c>
      <c r="E3388" s="44" t="str">
        <f t="array" ref="E3388">IF(B3388="","",_xlfn.XLOOKUP(B3388,'Form responses 1'!$B$2:$B$2604,'Form responses 1'!$C$2:$C$2604,""))</f>
        <v/>
      </c>
      <c r="F3388" s="44" t="str">
        <f t="array" ref="F3388">IF(B3388="","",_xlfn.XLOOKUP(B3388,'Form responses 1'!$B$2:$B$2604,'Form responses 1'!$D$2:$D$2604,""))</f>
        <v/>
      </c>
      <c r="G3388" s="44" t="str">
        <f t="array" ref="G3388">IF(B3388="","",_xlfn.XLOOKUP(B3388,'Form responses 1'!$B$2:$B$2604,'Form responses 1'!$E$2:$E$2604,""))</f>
        <v/>
      </c>
      <c r="H3388" s="44" t="str">
        <f t="array" ref="H3388">IF(B3388="","",_xlfn.XLOOKUP(B3388,'Form responses 1'!$B$2:$B$2604,'Form responses 1'!$F$2:$F$2604,""))</f>
        <v/>
      </c>
      <c r="I3388" s="44" t="str">
        <f t="array" ref="I3388">IF(B3388="","",_xlfn.XLOOKUP(B3388,'Form responses 1'!$B$2:$B$2604,'Form responses 1'!$I$2:$I$2604,""))</f>
        <v/>
      </c>
      <c r="J3388" s="44" t="str">
        <f t="array" ref="J3388">IF(B3388="","",_xlfn.XLOOKUP(B3388,'Form responses 1'!$B$2:$B$2604,'Form responses 1'!$G$2:$G$2604,""))</f>
        <v/>
      </c>
      <c r="K3388" s="56"/>
      <c r="L3388" s="58" t="str">
        <f t="shared" si="7"/>
        <v/>
      </c>
      <c r="M3388" s="49"/>
      <c r="N3388" s="49"/>
      <c r="O3388" s="49"/>
      <c r="P3388" s="49"/>
      <c r="Q3388" s="49"/>
      <c r="R3388" s="49"/>
      <c r="S3388" s="49"/>
      <c r="T3388" s="49"/>
      <c r="U3388" s="49"/>
      <c r="V3388" s="49"/>
      <c r="W3388" s="56"/>
      <c r="X3388" s="51" t="str">
        <f t="shared" si="5"/>
        <v/>
      </c>
      <c r="Y3388" s="50" t="s">
        <v>482</v>
      </c>
      <c r="Z3388" s="49">
        <f t="shared" si="6"/>
        <v>0</v>
      </c>
    </row>
    <row r="3389" ht="22.5" customHeight="1">
      <c r="B3389" s="57"/>
      <c r="C3389" s="43" t="str">
        <f t="array" ref="C3389">IF(B3389="","",_xlfn.XLOOKUP(B3389,'Form responses 1'!$B$2:$B$2604,'Form responses 1'!$A$2:$A$2604,""))</f>
        <v/>
      </c>
      <c r="D3389" s="44" t="str">
        <f t="shared" si="3"/>
        <v/>
      </c>
      <c r="E3389" s="44" t="str">
        <f t="array" ref="E3389">IF(B3389="","",_xlfn.XLOOKUP(B3389,'Form responses 1'!$B$2:$B$2604,'Form responses 1'!$C$2:$C$2604,""))</f>
        <v/>
      </c>
      <c r="F3389" s="44" t="str">
        <f t="array" ref="F3389">IF(B3389="","",_xlfn.XLOOKUP(B3389,'Form responses 1'!$B$2:$B$2604,'Form responses 1'!$D$2:$D$2604,""))</f>
        <v/>
      </c>
      <c r="G3389" s="44" t="str">
        <f t="array" ref="G3389">IF(B3389="","",_xlfn.XLOOKUP(B3389,'Form responses 1'!$B$2:$B$2604,'Form responses 1'!$E$2:$E$2604,""))</f>
        <v/>
      </c>
      <c r="H3389" s="44" t="str">
        <f t="array" ref="H3389">IF(B3389="","",_xlfn.XLOOKUP(B3389,'Form responses 1'!$B$2:$B$2604,'Form responses 1'!$F$2:$F$2604,""))</f>
        <v/>
      </c>
      <c r="I3389" s="44" t="str">
        <f t="array" ref="I3389">IF(B3389="","",_xlfn.XLOOKUP(B3389,'Form responses 1'!$B$2:$B$2604,'Form responses 1'!$I$2:$I$2604,""))</f>
        <v/>
      </c>
      <c r="J3389" s="44" t="str">
        <f t="array" ref="J3389">IF(B3389="","",_xlfn.XLOOKUP(B3389,'Form responses 1'!$B$2:$B$2604,'Form responses 1'!$G$2:$G$2604,""))</f>
        <v/>
      </c>
      <c r="K3389" s="56"/>
      <c r="L3389" s="58" t="str">
        <f t="shared" si="7"/>
        <v/>
      </c>
      <c r="M3389" s="49"/>
      <c r="N3389" s="49"/>
      <c r="O3389" s="49"/>
      <c r="P3389" s="49"/>
      <c r="Q3389" s="49"/>
      <c r="R3389" s="49"/>
      <c r="S3389" s="49"/>
      <c r="T3389" s="49"/>
      <c r="U3389" s="49"/>
      <c r="V3389" s="49"/>
      <c r="W3389" s="56"/>
      <c r="X3389" s="51" t="str">
        <f t="shared" si="5"/>
        <v/>
      </c>
      <c r="Y3389" s="50" t="s">
        <v>482</v>
      </c>
      <c r="Z3389" s="49">
        <f t="shared" si="6"/>
        <v>0</v>
      </c>
    </row>
    <row r="3390" ht="22.5" customHeight="1">
      <c r="B3390" s="57"/>
      <c r="C3390" s="43" t="str">
        <f t="array" ref="C3390">IF(B3390="","",_xlfn.XLOOKUP(B3390,'Form responses 1'!$B$2:$B$2604,'Form responses 1'!$A$2:$A$2604,""))</f>
        <v/>
      </c>
      <c r="D3390" s="44" t="str">
        <f t="shared" si="3"/>
        <v/>
      </c>
      <c r="E3390" s="44" t="str">
        <f t="array" ref="E3390">IF(B3390="","",_xlfn.XLOOKUP(B3390,'Form responses 1'!$B$2:$B$2604,'Form responses 1'!$C$2:$C$2604,""))</f>
        <v/>
      </c>
      <c r="F3390" s="44" t="str">
        <f t="array" ref="F3390">IF(B3390="","",_xlfn.XLOOKUP(B3390,'Form responses 1'!$B$2:$B$2604,'Form responses 1'!$D$2:$D$2604,""))</f>
        <v/>
      </c>
      <c r="G3390" s="44" t="str">
        <f t="array" ref="G3390">IF(B3390="","",_xlfn.XLOOKUP(B3390,'Form responses 1'!$B$2:$B$2604,'Form responses 1'!$E$2:$E$2604,""))</f>
        <v/>
      </c>
      <c r="H3390" s="44" t="str">
        <f t="array" ref="H3390">IF(B3390="","",_xlfn.XLOOKUP(B3390,'Form responses 1'!$B$2:$B$2604,'Form responses 1'!$F$2:$F$2604,""))</f>
        <v/>
      </c>
      <c r="I3390" s="44" t="str">
        <f t="array" ref="I3390">IF(B3390="","",_xlfn.XLOOKUP(B3390,'Form responses 1'!$B$2:$B$2604,'Form responses 1'!$I$2:$I$2604,""))</f>
        <v/>
      </c>
      <c r="J3390" s="44" t="str">
        <f t="array" ref="J3390">IF(B3390="","",_xlfn.XLOOKUP(B3390,'Form responses 1'!$B$2:$B$2604,'Form responses 1'!$G$2:$G$2604,""))</f>
        <v/>
      </c>
      <c r="K3390" s="56"/>
      <c r="L3390" s="58" t="str">
        <f t="shared" si="7"/>
        <v/>
      </c>
      <c r="M3390" s="49"/>
      <c r="N3390" s="49"/>
      <c r="O3390" s="49"/>
      <c r="P3390" s="49"/>
      <c r="Q3390" s="49"/>
      <c r="R3390" s="49"/>
      <c r="S3390" s="49"/>
      <c r="T3390" s="49"/>
      <c r="U3390" s="49"/>
      <c r="V3390" s="49"/>
      <c r="W3390" s="56"/>
      <c r="X3390" s="51" t="str">
        <f t="shared" si="5"/>
        <v/>
      </c>
      <c r="Y3390" s="50" t="s">
        <v>482</v>
      </c>
      <c r="Z3390" s="49">
        <f t="shared" si="6"/>
        <v>0</v>
      </c>
    </row>
    <row r="3391" ht="22.5" customHeight="1">
      <c r="B3391" s="57"/>
      <c r="C3391" s="43" t="str">
        <f t="array" ref="C3391">IF(B3391="","",_xlfn.XLOOKUP(B3391,'Form responses 1'!$B$2:$B$2604,'Form responses 1'!$A$2:$A$2604,""))</f>
        <v/>
      </c>
      <c r="D3391" s="44" t="str">
        <f t="shared" si="3"/>
        <v/>
      </c>
      <c r="E3391" s="44" t="str">
        <f t="array" ref="E3391">IF(B3391="","",_xlfn.XLOOKUP(B3391,'Form responses 1'!$B$2:$B$2604,'Form responses 1'!$C$2:$C$2604,""))</f>
        <v/>
      </c>
      <c r="F3391" s="44" t="str">
        <f t="array" ref="F3391">IF(B3391="","",_xlfn.XLOOKUP(B3391,'Form responses 1'!$B$2:$B$2604,'Form responses 1'!$D$2:$D$2604,""))</f>
        <v/>
      </c>
      <c r="G3391" s="44" t="str">
        <f t="array" ref="G3391">IF(B3391="","",_xlfn.XLOOKUP(B3391,'Form responses 1'!$B$2:$B$2604,'Form responses 1'!$E$2:$E$2604,""))</f>
        <v/>
      </c>
      <c r="H3391" s="44" t="str">
        <f t="array" ref="H3391">IF(B3391="","",_xlfn.XLOOKUP(B3391,'Form responses 1'!$B$2:$B$2604,'Form responses 1'!$F$2:$F$2604,""))</f>
        <v/>
      </c>
      <c r="I3391" s="44" t="str">
        <f t="array" ref="I3391">IF(B3391="","",_xlfn.XLOOKUP(B3391,'Form responses 1'!$B$2:$B$2604,'Form responses 1'!$I$2:$I$2604,""))</f>
        <v/>
      </c>
      <c r="J3391" s="44" t="str">
        <f t="array" ref="J3391">IF(B3391="","",_xlfn.XLOOKUP(B3391,'Form responses 1'!$B$2:$B$2604,'Form responses 1'!$G$2:$G$2604,""))</f>
        <v/>
      </c>
      <c r="K3391" s="56"/>
      <c r="L3391" s="58" t="str">
        <f t="shared" si="7"/>
        <v/>
      </c>
      <c r="M3391" s="49"/>
      <c r="N3391" s="49"/>
      <c r="O3391" s="49"/>
      <c r="P3391" s="49"/>
      <c r="Q3391" s="49"/>
      <c r="R3391" s="49"/>
      <c r="S3391" s="49"/>
      <c r="T3391" s="49"/>
      <c r="U3391" s="49"/>
      <c r="V3391" s="49"/>
      <c r="W3391" s="56"/>
      <c r="X3391" s="51" t="str">
        <f t="shared" si="5"/>
        <v/>
      </c>
      <c r="Y3391" s="50" t="s">
        <v>482</v>
      </c>
      <c r="Z3391" s="49">
        <f t="shared" si="6"/>
        <v>0</v>
      </c>
    </row>
    <row r="3392" ht="22.5" customHeight="1">
      <c r="B3392" s="57"/>
      <c r="C3392" s="43" t="str">
        <f t="array" ref="C3392">IF(B3392="","",_xlfn.XLOOKUP(B3392,'Form responses 1'!$B$2:$B$2604,'Form responses 1'!$A$2:$A$2604,""))</f>
        <v/>
      </c>
      <c r="D3392" s="44" t="str">
        <f t="shared" si="3"/>
        <v/>
      </c>
      <c r="E3392" s="44" t="str">
        <f t="array" ref="E3392">IF(B3392="","",_xlfn.XLOOKUP(B3392,'Form responses 1'!$B$2:$B$2604,'Form responses 1'!$C$2:$C$2604,""))</f>
        <v/>
      </c>
      <c r="F3392" s="44" t="str">
        <f t="array" ref="F3392">IF(B3392="","",_xlfn.XLOOKUP(B3392,'Form responses 1'!$B$2:$B$2604,'Form responses 1'!$D$2:$D$2604,""))</f>
        <v/>
      </c>
      <c r="G3392" s="44" t="str">
        <f t="array" ref="G3392">IF(B3392="","",_xlfn.XLOOKUP(B3392,'Form responses 1'!$B$2:$B$2604,'Form responses 1'!$E$2:$E$2604,""))</f>
        <v/>
      </c>
      <c r="H3392" s="44" t="str">
        <f t="array" ref="H3392">IF(B3392="","",_xlfn.XLOOKUP(B3392,'Form responses 1'!$B$2:$B$2604,'Form responses 1'!$F$2:$F$2604,""))</f>
        <v/>
      </c>
      <c r="I3392" s="44" t="str">
        <f t="array" ref="I3392">IF(B3392="","",_xlfn.XLOOKUP(B3392,'Form responses 1'!$B$2:$B$2604,'Form responses 1'!$I$2:$I$2604,""))</f>
        <v/>
      </c>
      <c r="J3392" s="44" t="str">
        <f t="array" ref="J3392">IF(B3392="","",_xlfn.XLOOKUP(B3392,'Form responses 1'!$B$2:$B$2604,'Form responses 1'!$G$2:$G$2604,""))</f>
        <v/>
      </c>
      <c r="K3392" s="56"/>
      <c r="L3392" s="58" t="str">
        <f t="shared" si="7"/>
        <v/>
      </c>
      <c r="M3392" s="49"/>
      <c r="N3392" s="49"/>
      <c r="O3392" s="49"/>
      <c r="P3392" s="49"/>
      <c r="Q3392" s="49"/>
      <c r="R3392" s="49"/>
      <c r="S3392" s="49"/>
      <c r="T3392" s="49"/>
      <c r="U3392" s="49"/>
      <c r="V3392" s="49"/>
      <c r="W3392" s="56"/>
      <c r="X3392" s="51" t="str">
        <f t="shared" si="5"/>
        <v/>
      </c>
      <c r="Y3392" s="50" t="s">
        <v>482</v>
      </c>
      <c r="Z3392" s="49">
        <f t="shared" si="6"/>
        <v>0</v>
      </c>
    </row>
    <row r="3393" ht="22.5" customHeight="1">
      <c r="B3393" s="57"/>
      <c r="C3393" s="43" t="str">
        <f t="array" ref="C3393">IF(B3393="","",_xlfn.XLOOKUP(B3393,'Form responses 1'!$B$2:$B$2604,'Form responses 1'!$A$2:$A$2604,""))</f>
        <v/>
      </c>
      <c r="D3393" s="44" t="str">
        <f t="shared" si="3"/>
        <v/>
      </c>
      <c r="E3393" s="44" t="str">
        <f t="array" ref="E3393">IF(B3393="","",_xlfn.XLOOKUP(B3393,'Form responses 1'!$B$2:$B$2604,'Form responses 1'!$C$2:$C$2604,""))</f>
        <v/>
      </c>
      <c r="F3393" s="44" t="str">
        <f t="array" ref="F3393">IF(B3393="","",_xlfn.XLOOKUP(B3393,'Form responses 1'!$B$2:$B$2604,'Form responses 1'!$D$2:$D$2604,""))</f>
        <v/>
      </c>
      <c r="G3393" s="44" t="str">
        <f t="array" ref="G3393">IF(B3393="","",_xlfn.XLOOKUP(B3393,'Form responses 1'!$B$2:$B$2604,'Form responses 1'!$E$2:$E$2604,""))</f>
        <v/>
      </c>
      <c r="H3393" s="44" t="str">
        <f t="array" ref="H3393">IF(B3393="","",_xlfn.XLOOKUP(B3393,'Form responses 1'!$B$2:$B$2604,'Form responses 1'!$F$2:$F$2604,""))</f>
        <v/>
      </c>
      <c r="I3393" s="44" t="str">
        <f t="array" ref="I3393">IF(B3393="","",_xlfn.XLOOKUP(B3393,'Form responses 1'!$B$2:$B$2604,'Form responses 1'!$I$2:$I$2604,""))</f>
        <v/>
      </c>
      <c r="J3393" s="44" t="str">
        <f t="array" ref="J3393">IF(B3393="","",_xlfn.XLOOKUP(B3393,'Form responses 1'!$B$2:$B$2604,'Form responses 1'!$G$2:$G$2604,""))</f>
        <v/>
      </c>
      <c r="K3393" s="56"/>
      <c r="L3393" s="58" t="str">
        <f t="shared" si="7"/>
        <v/>
      </c>
      <c r="M3393" s="49"/>
      <c r="N3393" s="49"/>
      <c r="O3393" s="49"/>
      <c r="P3393" s="49"/>
      <c r="Q3393" s="49"/>
      <c r="R3393" s="49"/>
      <c r="S3393" s="49"/>
      <c r="T3393" s="49"/>
      <c r="U3393" s="49"/>
      <c r="V3393" s="49"/>
      <c r="W3393" s="56"/>
      <c r="X3393" s="51" t="str">
        <f t="shared" si="5"/>
        <v/>
      </c>
      <c r="Y3393" s="50" t="s">
        <v>482</v>
      </c>
      <c r="Z3393" s="49">
        <f t="shared" si="6"/>
        <v>0</v>
      </c>
    </row>
    <row r="3394" ht="22.5" customHeight="1">
      <c r="B3394" s="57"/>
      <c r="C3394" s="43" t="str">
        <f t="array" ref="C3394">IF(B3394="","",_xlfn.XLOOKUP(B3394,'Form responses 1'!$B$2:$B$2604,'Form responses 1'!$A$2:$A$2604,""))</f>
        <v/>
      </c>
      <c r="D3394" s="44" t="str">
        <f t="shared" si="3"/>
        <v/>
      </c>
      <c r="E3394" s="44" t="str">
        <f t="array" ref="E3394">IF(B3394="","",_xlfn.XLOOKUP(B3394,'Form responses 1'!$B$2:$B$2604,'Form responses 1'!$C$2:$C$2604,""))</f>
        <v/>
      </c>
      <c r="F3394" s="44" t="str">
        <f t="array" ref="F3394">IF(B3394="","",_xlfn.XLOOKUP(B3394,'Form responses 1'!$B$2:$B$2604,'Form responses 1'!$D$2:$D$2604,""))</f>
        <v/>
      </c>
      <c r="G3394" s="44" t="str">
        <f t="array" ref="G3394">IF(B3394="","",_xlfn.XLOOKUP(B3394,'Form responses 1'!$B$2:$B$2604,'Form responses 1'!$E$2:$E$2604,""))</f>
        <v/>
      </c>
      <c r="H3394" s="44" t="str">
        <f t="array" ref="H3394">IF(B3394="","",_xlfn.XLOOKUP(B3394,'Form responses 1'!$B$2:$B$2604,'Form responses 1'!$F$2:$F$2604,""))</f>
        <v/>
      </c>
      <c r="I3394" s="44" t="str">
        <f t="array" ref="I3394">IF(B3394="","",_xlfn.XLOOKUP(B3394,'Form responses 1'!$B$2:$B$2604,'Form responses 1'!$I$2:$I$2604,""))</f>
        <v/>
      </c>
      <c r="J3394" s="44" t="str">
        <f t="array" ref="J3394">IF(B3394="","",_xlfn.XLOOKUP(B3394,'Form responses 1'!$B$2:$B$2604,'Form responses 1'!$G$2:$G$2604,""))</f>
        <v/>
      </c>
      <c r="K3394" s="56"/>
      <c r="L3394" s="58" t="str">
        <f t="shared" si="7"/>
        <v/>
      </c>
      <c r="M3394" s="49"/>
      <c r="N3394" s="49"/>
      <c r="O3394" s="49"/>
      <c r="P3394" s="49"/>
      <c r="Q3394" s="49"/>
      <c r="R3394" s="49"/>
      <c r="S3394" s="49"/>
      <c r="T3394" s="49"/>
      <c r="U3394" s="49"/>
      <c r="V3394" s="49"/>
      <c r="W3394" s="56"/>
      <c r="X3394" s="51" t="str">
        <f t="shared" si="5"/>
        <v/>
      </c>
      <c r="Y3394" s="50" t="s">
        <v>482</v>
      </c>
      <c r="Z3394" s="49">
        <f t="shared" si="6"/>
        <v>0</v>
      </c>
    </row>
    <row r="3395" ht="22.5" customHeight="1">
      <c r="B3395" s="57"/>
      <c r="C3395" s="43" t="str">
        <f t="array" ref="C3395">IF(B3395="","",_xlfn.XLOOKUP(B3395,'Form responses 1'!$B$2:$B$2604,'Form responses 1'!$A$2:$A$2604,""))</f>
        <v/>
      </c>
      <c r="D3395" s="44" t="str">
        <f t="shared" si="3"/>
        <v/>
      </c>
      <c r="E3395" s="44" t="str">
        <f t="array" ref="E3395">IF(B3395="","",_xlfn.XLOOKUP(B3395,'Form responses 1'!$B$2:$B$2604,'Form responses 1'!$C$2:$C$2604,""))</f>
        <v/>
      </c>
      <c r="F3395" s="44" t="str">
        <f t="array" ref="F3395">IF(B3395="","",_xlfn.XLOOKUP(B3395,'Form responses 1'!$B$2:$B$2604,'Form responses 1'!$D$2:$D$2604,""))</f>
        <v/>
      </c>
      <c r="G3395" s="44" t="str">
        <f t="array" ref="G3395">IF(B3395="","",_xlfn.XLOOKUP(B3395,'Form responses 1'!$B$2:$B$2604,'Form responses 1'!$E$2:$E$2604,""))</f>
        <v/>
      </c>
      <c r="H3395" s="44" t="str">
        <f t="array" ref="H3395">IF(B3395="","",_xlfn.XLOOKUP(B3395,'Form responses 1'!$B$2:$B$2604,'Form responses 1'!$F$2:$F$2604,""))</f>
        <v/>
      </c>
      <c r="I3395" s="44" t="str">
        <f t="array" ref="I3395">IF(B3395="","",_xlfn.XLOOKUP(B3395,'Form responses 1'!$B$2:$B$2604,'Form responses 1'!$I$2:$I$2604,""))</f>
        <v/>
      </c>
      <c r="J3395" s="44" t="str">
        <f t="array" ref="J3395">IF(B3395="","",_xlfn.XLOOKUP(B3395,'Form responses 1'!$B$2:$B$2604,'Form responses 1'!$G$2:$G$2604,""))</f>
        <v/>
      </c>
      <c r="K3395" s="56"/>
      <c r="L3395" s="58" t="str">
        <f t="shared" si="7"/>
        <v/>
      </c>
      <c r="M3395" s="49"/>
      <c r="N3395" s="49"/>
      <c r="O3395" s="49"/>
      <c r="P3395" s="49"/>
      <c r="Q3395" s="49"/>
      <c r="R3395" s="49"/>
      <c r="S3395" s="49"/>
      <c r="T3395" s="49"/>
      <c r="U3395" s="49"/>
      <c r="V3395" s="49"/>
      <c r="W3395" s="56"/>
      <c r="X3395" s="51" t="str">
        <f t="shared" si="5"/>
        <v/>
      </c>
      <c r="Y3395" s="50" t="s">
        <v>482</v>
      </c>
      <c r="Z3395" s="49">
        <f t="shared" si="6"/>
        <v>0</v>
      </c>
    </row>
    <row r="3396" ht="22.5" customHeight="1">
      <c r="B3396" s="57"/>
      <c r="C3396" s="43" t="str">
        <f t="array" ref="C3396">IF(B3396="","",_xlfn.XLOOKUP(B3396,'Form responses 1'!$B$2:$B$2604,'Form responses 1'!$A$2:$A$2604,""))</f>
        <v/>
      </c>
      <c r="D3396" s="44" t="str">
        <f t="shared" si="3"/>
        <v/>
      </c>
      <c r="E3396" s="44" t="str">
        <f t="array" ref="E3396">IF(B3396="","",_xlfn.XLOOKUP(B3396,'Form responses 1'!$B$2:$B$2604,'Form responses 1'!$C$2:$C$2604,""))</f>
        <v/>
      </c>
      <c r="F3396" s="44" t="str">
        <f t="array" ref="F3396">IF(B3396="","",_xlfn.XLOOKUP(B3396,'Form responses 1'!$B$2:$B$2604,'Form responses 1'!$D$2:$D$2604,""))</f>
        <v/>
      </c>
      <c r="G3396" s="44" t="str">
        <f t="array" ref="G3396">IF(B3396="","",_xlfn.XLOOKUP(B3396,'Form responses 1'!$B$2:$B$2604,'Form responses 1'!$E$2:$E$2604,""))</f>
        <v/>
      </c>
      <c r="H3396" s="44" t="str">
        <f t="array" ref="H3396">IF(B3396="","",_xlfn.XLOOKUP(B3396,'Form responses 1'!$B$2:$B$2604,'Form responses 1'!$F$2:$F$2604,""))</f>
        <v/>
      </c>
      <c r="I3396" s="44" t="str">
        <f t="array" ref="I3396">IF(B3396="","",_xlfn.XLOOKUP(B3396,'Form responses 1'!$B$2:$B$2604,'Form responses 1'!$I$2:$I$2604,""))</f>
        <v/>
      </c>
      <c r="J3396" s="44" t="str">
        <f t="array" ref="J3396">IF(B3396="","",_xlfn.XLOOKUP(B3396,'Form responses 1'!$B$2:$B$2604,'Form responses 1'!$G$2:$G$2604,""))</f>
        <v/>
      </c>
      <c r="K3396" s="56"/>
      <c r="L3396" s="58" t="str">
        <f t="shared" si="7"/>
        <v/>
      </c>
      <c r="M3396" s="49"/>
      <c r="N3396" s="49"/>
      <c r="O3396" s="49"/>
      <c r="P3396" s="49"/>
      <c r="Q3396" s="49"/>
      <c r="R3396" s="49"/>
      <c r="S3396" s="49"/>
      <c r="T3396" s="49"/>
      <c r="U3396" s="49"/>
      <c r="V3396" s="49"/>
      <c r="W3396" s="56"/>
      <c r="X3396" s="51" t="str">
        <f t="shared" si="5"/>
        <v/>
      </c>
      <c r="Y3396" s="50" t="s">
        <v>482</v>
      </c>
      <c r="Z3396" s="49">
        <f t="shared" si="6"/>
        <v>0</v>
      </c>
    </row>
    <row r="3397" ht="22.5" customHeight="1">
      <c r="B3397" s="57"/>
      <c r="C3397" s="43" t="str">
        <f t="array" ref="C3397">IF(B3397="","",_xlfn.XLOOKUP(B3397,'Form responses 1'!$B$2:$B$2604,'Form responses 1'!$A$2:$A$2604,""))</f>
        <v/>
      </c>
      <c r="D3397" s="44" t="str">
        <f t="shared" si="3"/>
        <v/>
      </c>
      <c r="E3397" s="44" t="str">
        <f t="array" ref="E3397">IF(B3397="","",_xlfn.XLOOKUP(B3397,'Form responses 1'!$B$2:$B$2604,'Form responses 1'!$C$2:$C$2604,""))</f>
        <v/>
      </c>
      <c r="F3397" s="44" t="str">
        <f t="array" ref="F3397">IF(B3397="","",_xlfn.XLOOKUP(B3397,'Form responses 1'!$B$2:$B$2604,'Form responses 1'!$D$2:$D$2604,""))</f>
        <v/>
      </c>
      <c r="G3397" s="44" t="str">
        <f t="array" ref="G3397">IF(B3397="","",_xlfn.XLOOKUP(B3397,'Form responses 1'!$B$2:$B$2604,'Form responses 1'!$E$2:$E$2604,""))</f>
        <v/>
      </c>
      <c r="H3397" s="44" t="str">
        <f t="array" ref="H3397">IF(B3397="","",_xlfn.XLOOKUP(B3397,'Form responses 1'!$B$2:$B$2604,'Form responses 1'!$F$2:$F$2604,""))</f>
        <v/>
      </c>
      <c r="I3397" s="44" t="str">
        <f t="array" ref="I3397">IF(B3397="","",_xlfn.XLOOKUP(B3397,'Form responses 1'!$B$2:$B$2604,'Form responses 1'!$I$2:$I$2604,""))</f>
        <v/>
      </c>
      <c r="J3397" s="44" t="str">
        <f t="array" ref="J3397">IF(B3397="","",_xlfn.XLOOKUP(B3397,'Form responses 1'!$B$2:$B$2604,'Form responses 1'!$G$2:$G$2604,""))</f>
        <v/>
      </c>
      <c r="K3397" s="56"/>
      <c r="L3397" s="58" t="str">
        <f t="shared" si="7"/>
        <v/>
      </c>
      <c r="M3397" s="49"/>
      <c r="N3397" s="49"/>
      <c r="O3397" s="49"/>
      <c r="P3397" s="49"/>
      <c r="Q3397" s="49"/>
      <c r="R3397" s="49"/>
      <c r="S3397" s="49"/>
      <c r="T3397" s="49"/>
      <c r="U3397" s="49"/>
      <c r="V3397" s="49"/>
      <c r="W3397" s="56"/>
      <c r="X3397" s="51" t="str">
        <f t="shared" si="5"/>
        <v/>
      </c>
      <c r="Y3397" s="50" t="s">
        <v>482</v>
      </c>
      <c r="Z3397" s="49">
        <f t="shared" si="6"/>
        <v>0</v>
      </c>
    </row>
    <row r="3398" ht="22.5" customHeight="1">
      <c r="B3398" s="57"/>
      <c r="C3398" s="43" t="str">
        <f t="array" ref="C3398">IF(B3398="","",_xlfn.XLOOKUP(B3398,'Form responses 1'!$B$2:$B$2604,'Form responses 1'!$A$2:$A$2604,""))</f>
        <v/>
      </c>
      <c r="D3398" s="44" t="str">
        <f t="shared" si="3"/>
        <v/>
      </c>
      <c r="E3398" s="44" t="str">
        <f t="array" ref="E3398">IF(B3398="","",_xlfn.XLOOKUP(B3398,'Form responses 1'!$B$2:$B$2604,'Form responses 1'!$C$2:$C$2604,""))</f>
        <v/>
      </c>
      <c r="F3398" s="44" t="str">
        <f t="array" ref="F3398">IF(B3398="","",_xlfn.XLOOKUP(B3398,'Form responses 1'!$B$2:$B$2604,'Form responses 1'!$D$2:$D$2604,""))</f>
        <v/>
      </c>
      <c r="G3398" s="44" t="str">
        <f t="array" ref="G3398">IF(B3398="","",_xlfn.XLOOKUP(B3398,'Form responses 1'!$B$2:$B$2604,'Form responses 1'!$E$2:$E$2604,""))</f>
        <v/>
      </c>
      <c r="H3398" s="44" t="str">
        <f t="array" ref="H3398">IF(B3398="","",_xlfn.XLOOKUP(B3398,'Form responses 1'!$B$2:$B$2604,'Form responses 1'!$F$2:$F$2604,""))</f>
        <v/>
      </c>
      <c r="I3398" s="44" t="str">
        <f t="array" ref="I3398">IF(B3398="","",_xlfn.XLOOKUP(B3398,'Form responses 1'!$B$2:$B$2604,'Form responses 1'!$I$2:$I$2604,""))</f>
        <v/>
      </c>
      <c r="J3398" s="44" t="str">
        <f t="array" ref="J3398">IF(B3398="","",_xlfn.XLOOKUP(B3398,'Form responses 1'!$B$2:$B$2604,'Form responses 1'!$G$2:$G$2604,""))</f>
        <v/>
      </c>
      <c r="K3398" s="56"/>
      <c r="L3398" s="58" t="str">
        <f t="shared" si="7"/>
        <v/>
      </c>
      <c r="M3398" s="49"/>
      <c r="N3398" s="49"/>
      <c r="O3398" s="49"/>
      <c r="P3398" s="49"/>
      <c r="Q3398" s="49"/>
      <c r="R3398" s="49"/>
      <c r="S3398" s="49"/>
      <c r="T3398" s="49"/>
      <c r="U3398" s="49"/>
      <c r="V3398" s="49"/>
      <c r="W3398" s="56"/>
      <c r="X3398" s="51" t="str">
        <f t="shared" si="5"/>
        <v/>
      </c>
      <c r="Y3398" s="50" t="s">
        <v>482</v>
      </c>
      <c r="Z3398" s="49">
        <f t="shared" si="6"/>
        <v>0</v>
      </c>
    </row>
    <row r="3399" ht="22.5" customHeight="1">
      <c r="B3399" s="57"/>
      <c r="C3399" s="43" t="str">
        <f t="array" ref="C3399">IF(B3399="","",_xlfn.XLOOKUP(B3399,'Form responses 1'!$B$2:$B$2604,'Form responses 1'!$A$2:$A$2604,""))</f>
        <v/>
      </c>
      <c r="D3399" s="44" t="str">
        <f t="shared" si="3"/>
        <v/>
      </c>
      <c r="E3399" s="44" t="str">
        <f t="array" ref="E3399">IF(B3399="","",_xlfn.XLOOKUP(B3399,'Form responses 1'!$B$2:$B$2604,'Form responses 1'!$C$2:$C$2604,""))</f>
        <v/>
      </c>
      <c r="F3399" s="44" t="str">
        <f t="array" ref="F3399">IF(B3399="","",_xlfn.XLOOKUP(B3399,'Form responses 1'!$B$2:$B$2604,'Form responses 1'!$D$2:$D$2604,""))</f>
        <v/>
      </c>
      <c r="G3399" s="44" t="str">
        <f t="array" ref="G3399">IF(B3399="","",_xlfn.XLOOKUP(B3399,'Form responses 1'!$B$2:$B$2604,'Form responses 1'!$E$2:$E$2604,""))</f>
        <v/>
      </c>
      <c r="H3399" s="44" t="str">
        <f t="array" ref="H3399">IF(B3399="","",_xlfn.XLOOKUP(B3399,'Form responses 1'!$B$2:$B$2604,'Form responses 1'!$F$2:$F$2604,""))</f>
        <v/>
      </c>
      <c r="I3399" s="44" t="str">
        <f t="array" ref="I3399">IF(B3399="","",_xlfn.XLOOKUP(B3399,'Form responses 1'!$B$2:$B$2604,'Form responses 1'!$I$2:$I$2604,""))</f>
        <v/>
      </c>
      <c r="J3399" s="44" t="str">
        <f t="array" ref="J3399">IF(B3399="","",_xlfn.XLOOKUP(B3399,'Form responses 1'!$B$2:$B$2604,'Form responses 1'!$G$2:$G$2604,""))</f>
        <v/>
      </c>
      <c r="K3399" s="56"/>
      <c r="L3399" s="58" t="str">
        <f t="shared" si="7"/>
        <v/>
      </c>
      <c r="M3399" s="49"/>
      <c r="N3399" s="49"/>
      <c r="O3399" s="49"/>
      <c r="P3399" s="49"/>
      <c r="Q3399" s="49"/>
      <c r="R3399" s="49"/>
      <c r="S3399" s="49"/>
      <c r="T3399" s="49"/>
      <c r="U3399" s="49"/>
      <c r="V3399" s="49"/>
      <c r="W3399" s="56"/>
      <c r="X3399" s="51" t="str">
        <f t="shared" si="5"/>
        <v/>
      </c>
      <c r="Y3399" s="50" t="s">
        <v>482</v>
      </c>
      <c r="Z3399" s="49">
        <f t="shared" si="6"/>
        <v>0</v>
      </c>
    </row>
    <row r="3400" ht="22.5" customHeight="1">
      <c r="B3400" s="57"/>
      <c r="C3400" s="43" t="str">
        <f t="array" ref="C3400">IF(B3400="","",_xlfn.XLOOKUP(B3400,'Form responses 1'!$B$2:$B$2604,'Form responses 1'!$A$2:$A$2604,""))</f>
        <v/>
      </c>
      <c r="D3400" s="44" t="str">
        <f t="shared" si="3"/>
        <v/>
      </c>
      <c r="E3400" s="44" t="str">
        <f t="array" ref="E3400">IF(B3400="","",_xlfn.XLOOKUP(B3400,'Form responses 1'!$B$2:$B$2604,'Form responses 1'!$C$2:$C$2604,""))</f>
        <v/>
      </c>
      <c r="F3400" s="44" t="str">
        <f t="array" ref="F3400">IF(B3400="","",_xlfn.XLOOKUP(B3400,'Form responses 1'!$B$2:$B$2604,'Form responses 1'!$D$2:$D$2604,""))</f>
        <v/>
      </c>
      <c r="G3400" s="44" t="str">
        <f t="array" ref="G3400">IF(B3400="","",_xlfn.XLOOKUP(B3400,'Form responses 1'!$B$2:$B$2604,'Form responses 1'!$E$2:$E$2604,""))</f>
        <v/>
      </c>
      <c r="H3400" s="44" t="str">
        <f t="array" ref="H3400">IF(B3400="","",_xlfn.XLOOKUP(B3400,'Form responses 1'!$B$2:$B$2604,'Form responses 1'!$F$2:$F$2604,""))</f>
        <v/>
      </c>
      <c r="I3400" s="44" t="str">
        <f t="array" ref="I3400">IF(B3400="","",_xlfn.XLOOKUP(B3400,'Form responses 1'!$B$2:$B$2604,'Form responses 1'!$I$2:$I$2604,""))</f>
        <v/>
      </c>
      <c r="J3400" s="44" t="str">
        <f t="array" ref="J3400">IF(B3400="","",_xlfn.XLOOKUP(B3400,'Form responses 1'!$B$2:$B$2604,'Form responses 1'!$G$2:$G$2604,""))</f>
        <v/>
      </c>
      <c r="K3400" s="56"/>
      <c r="L3400" s="58" t="str">
        <f t="shared" si="7"/>
        <v/>
      </c>
      <c r="M3400" s="49"/>
      <c r="N3400" s="49"/>
      <c r="O3400" s="49"/>
      <c r="P3400" s="49"/>
      <c r="Q3400" s="49"/>
      <c r="R3400" s="49"/>
      <c r="S3400" s="49"/>
      <c r="T3400" s="49"/>
      <c r="U3400" s="49"/>
      <c r="V3400" s="49"/>
      <c r="W3400" s="56"/>
      <c r="X3400" s="51" t="str">
        <f t="shared" si="5"/>
        <v/>
      </c>
      <c r="Y3400" s="50" t="s">
        <v>482</v>
      </c>
      <c r="Z3400" s="49">
        <f t="shared" si="6"/>
        <v>0</v>
      </c>
    </row>
    <row r="3401" ht="22.5" customHeight="1">
      <c r="B3401" s="57"/>
      <c r="C3401" s="43" t="str">
        <f t="array" ref="C3401">IF(B3401="","",_xlfn.XLOOKUP(B3401,'Form responses 1'!$B$2:$B$2604,'Form responses 1'!$A$2:$A$2604,""))</f>
        <v/>
      </c>
      <c r="D3401" s="44" t="str">
        <f t="shared" si="3"/>
        <v/>
      </c>
      <c r="E3401" s="44" t="str">
        <f t="array" ref="E3401">IF(B3401="","",_xlfn.XLOOKUP(B3401,'Form responses 1'!$B$2:$B$2604,'Form responses 1'!$C$2:$C$2604,""))</f>
        <v/>
      </c>
      <c r="F3401" s="44" t="str">
        <f t="array" ref="F3401">IF(B3401="","",_xlfn.XLOOKUP(B3401,'Form responses 1'!$B$2:$B$2604,'Form responses 1'!$D$2:$D$2604,""))</f>
        <v/>
      </c>
      <c r="G3401" s="44" t="str">
        <f t="array" ref="G3401">IF(B3401="","",_xlfn.XLOOKUP(B3401,'Form responses 1'!$B$2:$B$2604,'Form responses 1'!$E$2:$E$2604,""))</f>
        <v/>
      </c>
      <c r="H3401" s="44" t="str">
        <f t="array" ref="H3401">IF(B3401="","",_xlfn.XLOOKUP(B3401,'Form responses 1'!$B$2:$B$2604,'Form responses 1'!$F$2:$F$2604,""))</f>
        <v/>
      </c>
      <c r="I3401" s="44" t="str">
        <f t="array" ref="I3401">IF(B3401="","",_xlfn.XLOOKUP(B3401,'Form responses 1'!$B$2:$B$2604,'Form responses 1'!$I$2:$I$2604,""))</f>
        <v/>
      </c>
      <c r="J3401" s="44" t="str">
        <f t="array" ref="J3401">IF(B3401="","",_xlfn.XLOOKUP(B3401,'Form responses 1'!$B$2:$B$2604,'Form responses 1'!$G$2:$G$2604,""))</f>
        <v/>
      </c>
      <c r="K3401" s="56"/>
      <c r="L3401" s="58" t="str">
        <f t="shared" si="7"/>
        <v/>
      </c>
      <c r="M3401" s="49"/>
      <c r="N3401" s="49"/>
      <c r="O3401" s="49"/>
      <c r="P3401" s="49"/>
      <c r="Q3401" s="49"/>
      <c r="R3401" s="49"/>
      <c r="S3401" s="49"/>
      <c r="T3401" s="49"/>
      <c r="U3401" s="49"/>
      <c r="V3401" s="49"/>
      <c r="W3401" s="56"/>
      <c r="X3401" s="51" t="str">
        <f t="shared" si="5"/>
        <v/>
      </c>
      <c r="Y3401" s="50" t="s">
        <v>482</v>
      </c>
      <c r="Z3401" s="49">
        <f t="shared" si="6"/>
        <v>0</v>
      </c>
    </row>
    <row r="3402" ht="22.5" customHeight="1">
      <c r="B3402" s="57"/>
      <c r="C3402" s="43" t="str">
        <f t="array" ref="C3402">IF(B3402="","",_xlfn.XLOOKUP(B3402,'Form responses 1'!$B$2:$B$2604,'Form responses 1'!$A$2:$A$2604,""))</f>
        <v/>
      </c>
      <c r="D3402" s="44" t="str">
        <f t="shared" si="3"/>
        <v/>
      </c>
      <c r="E3402" s="44" t="str">
        <f t="array" ref="E3402">IF(B3402="","",_xlfn.XLOOKUP(B3402,'Form responses 1'!$B$2:$B$2604,'Form responses 1'!$C$2:$C$2604,""))</f>
        <v/>
      </c>
      <c r="F3402" s="44" t="str">
        <f t="array" ref="F3402">IF(B3402="","",_xlfn.XLOOKUP(B3402,'Form responses 1'!$B$2:$B$2604,'Form responses 1'!$D$2:$D$2604,""))</f>
        <v/>
      </c>
      <c r="G3402" s="44" t="str">
        <f t="array" ref="G3402">IF(B3402="","",_xlfn.XLOOKUP(B3402,'Form responses 1'!$B$2:$B$2604,'Form responses 1'!$E$2:$E$2604,""))</f>
        <v/>
      </c>
      <c r="H3402" s="44" t="str">
        <f t="array" ref="H3402">IF(B3402="","",_xlfn.XLOOKUP(B3402,'Form responses 1'!$B$2:$B$2604,'Form responses 1'!$F$2:$F$2604,""))</f>
        <v/>
      </c>
      <c r="I3402" s="44" t="str">
        <f t="array" ref="I3402">IF(B3402="","",_xlfn.XLOOKUP(B3402,'Form responses 1'!$B$2:$B$2604,'Form responses 1'!$I$2:$I$2604,""))</f>
        <v/>
      </c>
      <c r="J3402" s="44" t="str">
        <f t="array" ref="J3402">IF(B3402="","",_xlfn.XLOOKUP(B3402,'Form responses 1'!$B$2:$B$2604,'Form responses 1'!$G$2:$G$2604,""))</f>
        <v/>
      </c>
      <c r="K3402" s="56"/>
      <c r="L3402" s="58" t="str">
        <f t="shared" si="7"/>
        <v/>
      </c>
      <c r="M3402" s="49"/>
      <c r="N3402" s="49"/>
      <c r="O3402" s="49"/>
      <c r="P3402" s="49"/>
      <c r="Q3402" s="49"/>
      <c r="R3402" s="49"/>
      <c r="S3402" s="49"/>
      <c r="T3402" s="49"/>
      <c r="U3402" s="49"/>
      <c r="V3402" s="49"/>
      <c r="W3402" s="56"/>
      <c r="X3402" s="51" t="str">
        <f t="shared" si="5"/>
        <v/>
      </c>
      <c r="Y3402" s="50" t="s">
        <v>482</v>
      </c>
      <c r="Z3402" s="49">
        <f t="shared" si="6"/>
        <v>0</v>
      </c>
    </row>
    <row r="3403" ht="22.5" customHeight="1">
      <c r="B3403" s="57"/>
      <c r="C3403" s="43" t="str">
        <f t="array" ref="C3403">IF(B3403="","",_xlfn.XLOOKUP(B3403,'Form responses 1'!$B$2:$B$2604,'Form responses 1'!$A$2:$A$2604,""))</f>
        <v/>
      </c>
      <c r="D3403" s="44" t="str">
        <f t="shared" si="3"/>
        <v/>
      </c>
      <c r="E3403" s="44" t="str">
        <f t="array" ref="E3403">IF(B3403="","",_xlfn.XLOOKUP(B3403,'Form responses 1'!$B$2:$B$2604,'Form responses 1'!$C$2:$C$2604,""))</f>
        <v/>
      </c>
      <c r="F3403" s="44" t="str">
        <f t="array" ref="F3403">IF(B3403="","",_xlfn.XLOOKUP(B3403,'Form responses 1'!$B$2:$B$2604,'Form responses 1'!$D$2:$D$2604,""))</f>
        <v/>
      </c>
      <c r="G3403" s="44" t="str">
        <f t="array" ref="G3403">IF(B3403="","",_xlfn.XLOOKUP(B3403,'Form responses 1'!$B$2:$B$2604,'Form responses 1'!$E$2:$E$2604,""))</f>
        <v/>
      </c>
      <c r="H3403" s="44" t="str">
        <f t="array" ref="H3403">IF(B3403="","",_xlfn.XLOOKUP(B3403,'Form responses 1'!$B$2:$B$2604,'Form responses 1'!$F$2:$F$2604,""))</f>
        <v/>
      </c>
      <c r="I3403" s="44" t="str">
        <f t="array" ref="I3403">IF(B3403="","",_xlfn.XLOOKUP(B3403,'Form responses 1'!$B$2:$B$2604,'Form responses 1'!$I$2:$I$2604,""))</f>
        <v/>
      </c>
      <c r="J3403" s="44" t="str">
        <f t="array" ref="J3403">IF(B3403="","",_xlfn.XLOOKUP(B3403,'Form responses 1'!$B$2:$B$2604,'Form responses 1'!$G$2:$G$2604,""))</f>
        <v/>
      </c>
      <c r="K3403" s="56"/>
      <c r="L3403" s="58" t="str">
        <f t="shared" si="7"/>
        <v/>
      </c>
      <c r="M3403" s="49"/>
      <c r="N3403" s="49"/>
      <c r="O3403" s="49"/>
      <c r="P3403" s="49"/>
      <c r="Q3403" s="49"/>
      <c r="R3403" s="49"/>
      <c r="S3403" s="49"/>
      <c r="T3403" s="49"/>
      <c r="U3403" s="49"/>
      <c r="V3403" s="49"/>
      <c r="W3403" s="56"/>
      <c r="X3403" s="51" t="str">
        <f t="shared" si="5"/>
        <v/>
      </c>
      <c r="Y3403" s="50" t="s">
        <v>482</v>
      </c>
      <c r="Z3403" s="49">
        <f t="shared" si="6"/>
        <v>0</v>
      </c>
    </row>
    <row r="3404" ht="22.5" customHeight="1">
      <c r="B3404" s="57"/>
      <c r="C3404" s="43" t="str">
        <f t="array" ref="C3404">IF(B3404="","",_xlfn.XLOOKUP(B3404,'Form responses 1'!$B$2:$B$2604,'Form responses 1'!$A$2:$A$2604,""))</f>
        <v/>
      </c>
      <c r="D3404" s="44" t="str">
        <f t="shared" si="3"/>
        <v/>
      </c>
      <c r="E3404" s="44" t="str">
        <f t="array" ref="E3404">IF(B3404="","",_xlfn.XLOOKUP(B3404,'Form responses 1'!$B$2:$B$2604,'Form responses 1'!$C$2:$C$2604,""))</f>
        <v/>
      </c>
      <c r="F3404" s="44" t="str">
        <f t="array" ref="F3404">IF(B3404="","",_xlfn.XLOOKUP(B3404,'Form responses 1'!$B$2:$B$2604,'Form responses 1'!$D$2:$D$2604,""))</f>
        <v/>
      </c>
      <c r="G3404" s="44" t="str">
        <f t="array" ref="G3404">IF(B3404="","",_xlfn.XLOOKUP(B3404,'Form responses 1'!$B$2:$B$2604,'Form responses 1'!$E$2:$E$2604,""))</f>
        <v/>
      </c>
      <c r="H3404" s="44" t="str">
        <f t="array" ref="H3404">IF(B3404="","",_xlfn.XLOOKUP(B3404,'Form responses 1'!$B$2:$B$2604,'Form responses 1'!$F$2:$F$2604,""))</f>
        <v/>
      </c>
      <c r="I3404" s="44" t="str">
        <f t="array" ref="I3404">IF(B3404="","",_xlfn.XLOOKUP(B3404,'Form responses 1'!$B$2:$B$2604,'Form responses 1'!$I$2:$I$2604,""))</f>
        <v/>
      </c>
      <c r="J3404" s="44" t="str">
        <f t="array" ref="J3404">IF(B3404="","",_xlfn.XLOOKUP(B3404,'Form responses 1'!$B$2:$B$2604,'Form responses 1'!$G$2:$G$2604,""))</f>
        <v/>
      </c>
      <c r="K3404" s="56"/>
      <c r="L3404" s="58" t="str">
        <f t="shared" si="7"/>
        <v/>
      </c>
      <c r="M3404" s="49"/>
      <c r="N3404" s="49"/>
      <c r="O3404" s="49"/>
      <c r="P3404" s="49"/>
      <c r="Q3404" s="49"/>
      <c r="R3404" s="49"/>
      <c r="S3404" s="49"/>
      <c r="T3404" s="49"/>
      <c r="U3404" s="49"/>
      <c r="V3404" s="49"/>
      <c r="W3404" s="56"/>
      <c r="X3404" s="51" t="str">
        <f t="shared" si="5"/>
        <v/>
      </c>
      <c r="Y3404" s="50" t="s">
        <v>482</v>
      </c>
      <c r="Z3404" s="49">
        <f t="shared" si="6"/>
        <v>0</v>
      </c>
    </row>
    <row r="3405" ht="22.5" customHeight="1">
      <c r="B3405" s="57"/>
      <c r="C3405" s="43" t="str">
        <f t="array" ref="C3405">IF(B3405="","",_xlfn.XLOOKUP(B3405,'Form responses 1'!$B$2:$B$2604,'Form responses 1'!$A$2:$A$2604,""))</f>
        <v/>
      </c>
      <c r="D3405" s="44" t="str">
        <f t="shared" si="3"/>
        <v/>
      </c>
      <c r="E3405" s="44" t="str">
        <f t="array" ref="E3405">IF(B3405="","",_xlfn.XLOOKUP(B3405,'Form responses 1'!$B$2:$B$2604,'Form responses 1'!$C$2:$C$2604,""))</f>
        <v/>
      </c>
      <c r="F3405" s="44" t="str">
        <f t="array" ref="F3405">IF(B3405="","",_xlfn.XLOOKUP(B3405,'Form responses 1'!$B$2:$B$2604,'Form responses 1'!$D$2:$D$2604,""))</f>
        <v/>
      </c>
      <c r="G3405" s="44" t="str">
        <f t="array" ref="G3405">IF(B3405="","",_xlfn.XLOOKUP(B3405,'Form responses 1'!$B$2:$B$2604,'Form responses 1'!$E$2:$E$2604,""))</f>
        <v/>
      </c>
      <c r="H3405" s="44" t="str">
        <f t="array" ref="H3405">IF(B3405="","",_xlfn.XLOOKUP(B3405,'Form responses 1'!$B$2:$B$2604,'Form responses 1'!$F$2:$F$2604,""))</f>
        <v/>
      </c>
      <c r="I3405" s="44" t="str">
        <f t="array" ref="I3405">IF(B3405="","",_xlfn.XLOOKUP(B3405,'Form responses 1'!$B$2:$B$2604,'Form responses 1'!$I$2:$I$2604,""))</f>
        <v/>
      </c>
      <c r="J3405" s="44" t="str">
        <f t="array" ref="J3405">IF(B3405="","",_xlfn.XLOOKUP(B3405,'Form responses 1'!$B$2:$B$2604,'Form responses 1'!$G$2:$G$2604,""))</f>
        <v/>
      </c>
      <c r="K3405" s="56"/>
      <c r="L3405" s="58" t="str">
        <f t="shared" si="7"/>
        <v/>
      </c>
      <c r="M3405" s="49"/>
      <c r="N3405" s="49"/>
      <c r="O3405" s="49"/>
      <c r="P3405" s="49"/>
      <c r="Q3405" s="49"/>
      <c r="R3405" s="49"/>
      <c r="S3405" s="49"/>
      <c r="T3405" s="49"/>
      <c r="U3405" s="49"/>
      <c r="V3405" s="49"/>
      <c r="W3405" s="56"/>
      <c r="X3405" s="51" t="str">
        <f t="shared" si="5"/>
        <v/>
      </c>
      <c r="Y3405" s="50" t="s">
        <v>482</v>
      </c>
      <c r="Z3405" s="49">
        <f t="shared" si="6"/>
        <v>0</v>
      </c>
    </row>
    <row r="3406" ht="22.5" customHeight="1">
      <c r="B3406" s="57"/>
      <c r="C3406" s="43" t="str">
        <f t="array" ref="C3406">IF(B3406="","",_xlfn.XLOOKUP(B3406,'Form responses 1'!$B$2:$B$2604,'Form responses 1'!$A$2:$A$2604,""))</f>
        <v/>
      </c>
      <c r="D3406" s="44" t="str">
        <f t="shared" si="3"/>
        <v/>
      </c>
      <c r="E3406" s="44" t="str">
        <f t="array" ref="E3406">IF(B3406="","",_xlfn.XLOOKUP(B3406,'Form responses 1'!$B$2:$B$2604,'Form responses 1'!$C$2:$C$2604,""))</f>
        <v/>
      </c>
      <c r="F3406" s="44" t="str">
        <f t="array" ref="F3406">IF(B3406="","",_xlfn.XLOOKUP(B3406,'Form responses 1'!$B$2:$B$2604,'Form responses 1'!$D$2:$D$2604,""))</f>
        <v/>
      </c>
      <c r="G3406" s="44" t="str">
        <f t="array" ref="G3406">IF(B3406="","",_xlfn.XLOOKUP(B3406,'Form responses 1'!$B$2:$B$2604,'Form responses 1'!$E$2:$E$2604,""))</f>
        <v/>
      </c>
      <c r="H3406" s="44" t="str">
        <f t="array" ref="H3406">IF(B3406="","",_xlfn.XLOOKUP(B3406,'Form responses 1'!$B$2:$B$2604,'Form responses 1'!$F$2:$F$2604,""))</f>
        <v/>
      </c>
      <c r="I3406" s="44" t="str">
        <f t="array" ref="I3406">IF(B3406="","",_xlfn.XLOOKUP(B3406,'Form responses 1'!$B$2:$B$2604,'Form responses 1'!$I$2:$I$2604,""))</f>
        <v/>
      </c>
      <c r="J3406" s="44" t="str">
        <f t="array" ref="J3406">IF(B3406="","",_xlfn.XLOOKUP(B3406,'Form responses 1'!$B$2:$B$2604,'Form responses 1'!$G$2:$G$2604,""))</f>
        <v/>
      </c>
      <c r="K3406" s="56"/>
      <c r="L3406" s="58" t="str">
        <f t="shared" si="7"/>
        <v/>
      </c>
      <c r="M3406" s="49"/>
      <c r="N3406" s="49"/>
      <c r="O3406" s="49"/>
      <c r="P3406" s="49"/>
      <c r="Q3406" s="49"/>
      <c r="R3406" s="49"/>
      <c r="S3406" s="49"/>
      <c r="T3406" s="49"/>
      <c r="U3406" s="49"/>
      <c r="V3406" s="49"/>
      <c r="W3406" s="56"/>
      <c r="X3406" s="51" t="str">
        <f t="shared" si="5"/>
        <v/>
      </c>
      <c r="Y3406" s="50" t="s">
        <v>482</v>
      </c>
      <c r="Z3406" s="49">
        <f t="shared" si="6"/>
        <v>0</v>
      </c>
    </row>
    <row r="3407" ht="22.5" customHeight="1">
      <c r="B3407" s="57"/>
      <c r="C3407" s="43" t="str">
        <f t="array" ref="C3407">IF(B3407="","",_xlfn.XLOOKUP(B3407,'Form responses 1'!$B$2:$B$2604,'Form responses 1'!$A$2:$A$2604,""))</f>
        <v/>
      </c>
      <c r="D3407" s="44" t="str">
        <f t="shared" si="3"/>
        <v/>
      </c>
      <c r="E3407" s="44" t="str">
        <f t="array" ref="E3407">IF(B3407="","",_xlfn.XLOOKUP(B3407,'Form responses 1'!$B$2:$B$2604,'Form responses 1'!$C$2:$C$2604,""))</f>
        <v/>
      </c>
      <c r="F3407" s="44" t="str">
        <f t="array" ref="F3407">IF(B3407="","",_xlfn.XLOOKUP(B3407,'Form responses 1'!$B$2:$B$2604,'Form responses 1'!$D$2:$D$2604,""))</f>
        <v/>
      </c>
      <c r="G3407" s="44" t="str">
        <f t="array" ref="G3407">IF(B3407="","",_xlfn.XLOOKUP(B3407,'Form responses 1'!$B$2:$B$2604,'Form responses 1'!$E$2:$E$2604,""))</f>
        <v/>
      </c>
      <c r="H3407" s="44" t="str">
        <f t="array" ref="H3407">IF(B3407="","",_xlfn.XLOOKUP(B3407,'Form responses 1'!$B$2:$B$2604,'Form responses 1'!$F$2:$F$2604,""))</f>
        <v/>
      </c>
      <c r="I3407" s="44" t="str">
        <f t="array" ref="I3407">IF(B3407="","",_xlfn.XLOOKUP(B3407,'Form responses 1'!$B$2:$B$2604,'Form responses 1'!$I$2:$I$2604,""))</f>
        <v/>
      </c>
      <c r="J3407" s="44" t="str">
        <f t="array" ref="J3407">IF(B3407="","",_xlfn.XLOOKUP(B3407,'Form responses 1'!$B$2:$B$2604,'Form responses 1'!$G$2:$G$2604,""))</f>
        <v/>
      </c>
      <c r="K3407" s="56"/>
      <c r="L3407" s="58" t="str">
        <f t="shared" si="7"/>
        <v/>
      </c>
      <c r="M3407" s="49"/>
      <c r="N3407" s="49"/>
      <c r="O3407" s="49"/>
      <c r="P3407" s="49"/>
      <c r="Q3407" s="49"/>
      <c r="R3407" s="49"/>
      <c r="S3407" s="49"/>
      <c r="T3407" s="49"/>
      <c r="U3407" s="49"/>
      <c r="V3407" s="49"/>
      <c r="W3407" s="56"/>
      <c r="X3407" s="51" t="str">
        <f t="shared" si="5"/>
        <v/>
      </c>
      <c r="Y3407" s="50" t="s">
        <v>482</v>
      </c>
      <c r="Z3407" s="49">
        <f t="shared" si="6"/>
        <v>0</v>
      </c>
    </row>
    <row r="3408" ht="22.5" customHeight="1">
      <c r="B3408" s="57"/>
      <c r="C3408" s="43" t="str">
        <f t="array" ref="C3408">IF(B3408="","",_xlfn.XLOOKUP(B3408,'Form responses 1'!$B$2:$B$2604,'Form responses 1'!$A$2:$A$2604,""))</f>
        <v/>
      </c>
      <c r="D3408" s="44" t="str">
        <f t="shared" si="3"/>
        <v/>
      </c>
      <c r="E3408" s="44" t="str">
        <f t="array" ref="E3408">IF(B3408="","",_xlfn.XLOOKUP(B3408,'Form responses 1'!$B$2:$B$2604,'Form responses 1'!$C$2:$C$2604,""))</f>
        <v/>
      </c>
      <c r="F3408" s="44" t="str">
        <f t="array" ref="F3408">IF(B3408="","",_xlfn.XLOOKUP(B3408,'Form responses 1'!$B$2:$B$2604,'Form responses 1'!$D$2:$D$2604,""))</f>
        <v/>
      </c>
      <c r="G3408" s="44" t="str">
        <f t="array" ref="G3408">IF(B3408="","",_xlfn.XLOOKUP(B3408,'Form responses 1'!$B$2:$B$2604,'Form responses 1'!$E$2:$E$2604,""))</f>
        <v/>
      </c>
      <c r="H3408" s="44" t="str">
        <f t="array" ref="H3408">IF(B3408="","",_xlfn.XLOOKUP(B3408,'Form responses 1'!$B$2:$B$2604,'Form responses 1'!$F$2:$F$2604,""))</f>
        <v/>
      </c>
      <c r="I3408" s="44" t="str">
        <f t="array" ref="I3408">IF(B3408="","",_xlfn.XLOOKUP(B3408,'Form responses 1'!$B$2:$B$2604,'Form responses 1'!$I$2:$I$2604,""))</f>
        <v/>
      </c>
      <c r="J3408" s="44" t="str">
        <f t="array" ref="J3408">IF(B3408="","",_xlfn.XLOOKUP(B3408,'Form responses 1'!$B$2:$B$2604,'Form responses 1'!$G$2:$G$2604,""))</f>
        <v/>
      </c>
      <c r="K3408" s="56"/>
      <c r="L3408" s="58" t="str">
        <f t="shared" si="7"/>
        <v/>
      </c>
      <c r="M3408" s="49"/>
      <c r="N3408" s="49"/>
      <c r="O3408" s="49"/>
      <c r="P3408" s="49"/>
      <c r="Q3408" s="49"/>
      <c r="R3408" s="49"/>
      <c r="S3408" s="49"/>
      <c r="T3408" s="49"/>
      <c r="U3408" s="49"/>
      <c r="V3408" s="49"/>
      <c r="W3408" s="56"/>
      <c r="X3408" s="51" t="str">
        <f t="shared" si="5"/>
        <v/>
      </c>
      <c r="Y3408" s="50" t="s">
        <v>482</v>
      </c>
      <c r="Z3408" s="49">
        <f t="shared" si="6"/>
        <v>0</v>
      </c>
    </row>
    <row r="3409" ht="22.5" customHeight="1">
      <c r="B3409" s="57"/>
      <c r="C3409" s="43" t="str">
        <f t="array" ref="C3409">IF(B3409="","",_xlfn.XLOOKUP(B3409,'Form responses 1'!$B$2:$B$2604,'Form responses 1'!$A$2:$A$2604,""))</f>
        <v/>
      </c>
      <c r="D3409" s="44" t="str">
        <f t="shared" si="3"/>
        <v/>
      </c>
      <c r="E3409" s="44" t="str">
        <f t="array" ref="E3409">IF(B3409="","",_xlfn.XLOOKUP(B3409,'Form responses 1'!$B$2:$B$2604,'Form responses 1'!$C$2:$C$2604,""))</f>
        <v/>
      </c>
      <c r="F3409" s="44" t="str">
        <f t="array" ref="F3409">IF(B3409="","",_xlfn.XLOOKUP(B3409,'Form responses 1'!$B$2:$B$2604,'Form responses 1'!$D$2:$D$2604,""))</f>
        <v/>
      </c>
      <c r="G3409" s="44" t="str">
        <f t="array" ref="G3409">IF(B3409="","",_xlfn.XLOOKUP(B3409,'Form responses 1'!$B$2:$B$2604,'Form responses 1'!$E$2:$E$2604,""))</f>
        <v/>
      </c>
      <c r="H3409" s="44" t="str">
        <f t="array" ref="H3409">IF(B3409="","",_xlfn.XLOOKUP(B3409,'Form responses 1'!$B$2:$B$2604,'Form responses 1'!$F$2:$F$2604,""))</f>
        <v/>
      </c>
      <c r="I3409" s="44" t="str">
        <f t="array" ref="I3409">IF(B3409="","",_xlfn.XLOOKUP(B3409,'Form responses 1'!$B$2:$B$2604,'Form responses 1'!$I$2:$I$2604,""))</f>
        <v/>
      </c>
      <c r="J3409" s="44" t="str">
        <f t="array" ref="J3409">IF(B3409="","",_xlfn.XLOOKUP(B3409,'Form responses 1'!$B$2:$B$2604,'Form responses 1'!$G$2:$G$2604,""))</f>
        <v/>
      </c>
      <c r="K3409" s="56"/>
      <c r="L3409" s="58" t="str">
        <f t="shared" si="7"/>
        <v/>
      </c>
      <c r="M3409" s="49"/>
      <c r="N3409" s="49"/>
      <c r="O3409" s="49"/>
      <c r="P3409" s="49"/>
      <c r="Q3409" s="49"/>
      <c r="R3409" s="49"/>
      <c r="S3409" s="49"/>
      <c r="T3409" s="49"/>
      <c r="U3409" s="49"/>
      <c r="V3409" s="49"/>
      <c r="W3409" s="56"/>
      <c r="X3409" s="51" t="str">
        <f t="shared" si="5"/>
        <v/>
      </c>
      <c r="Y3409" s="50" t="s">
        <v>482</v>
      </c>
      <c r="Z3409" s="49">
        <f t="shared" si="6"/>
        <v>0</v>
      </c>
    </row>
    <row r="3410" ht="22.5" customHeight="1">
      <c r="B3410" s="57"/>
      <c r="C3410" s="43" t="str">
        <f t="array" ref="C3410">IF(B3410="","",_xlfn.XLOOKUP(B3410,'Form responses 1'!$B$2:$B$2604,'Form responses 1'!$A$2:$A$2604,""))</f>
        <v/>
      </c>
      <c r="D3410" s="44" t="str">
        <f t="shared" si="3"/>
        <v/>
      </c>
      <c r="E3410" s="44" t="str">
        <f t="array" ref="E3410">IF(B3410="","",_xlfn.XLOOKUP(B3410,'Form responses 1'!$B$2:$B$2604,'Form responses 1'!$C$2:$C$2604,""))</f>
        <v/>
      </c>
      <c r="F3410" s="44" t="str">
        <f t="array" ref="F3410">IF(B3410="","",_xlfn.XLOOKUP(B3410,'Form responses 1'!$B$2:$B$2604,'Form responses 1'!$D$2:$D$2604,""))</f>
        <v/>
      </c>
      <c r="G3410" s="44" t="str">
        <f t="array" ref="G3410">IF(B3410="","",_xlfn.XLOOKUP(B3410,'Form responses 1'!$B$2:$B$2604,'Form responses 1'!$E$2:$E$2604,""))</f>
        <v/>
      </c>
      <c r="H3410" s="44" t="str">
        <f t="array" ref="H3410">IF(B3410="","",_xlfn.XLOOKUP(B3410,'Form responses 1'!$B$2:$B$2604,'Form responses 1'!$F$2:$F$2604,""))</f>
        <v/>
      </c>
      <c r="I3410" s="44" t="str">
        <f t="array" ref="I3410">IF(B3410="","",_xlfn.XLOOKUP(B3410,'Form responses 1'!$B$2:$B$2604,'Form responses 1'!$I$2:$I$2604,""))</f>
        <v/>
      </c>
      <c r="J3410" s="44" t="str">
        <f t="array" ref="J3410">IF(B3410="","",_xlfn.XLOOKUP(B3410,'Form responses 1'!$B$2:$B$2604,'Form responses 1'!$G$2:$G$2604,""))</f>
        <v/>
      </c>
      <c r="K3410" s="56"/>
      <c r="L3410" s="58" t="str">
        <f t="shared" si="7"/>
        <v/>
      </c>
      <c r="M3410" s="49"/>
      <c r="N3410" s="49"/>
      <c r="O3410" s="49"/>
      <c r="P3410" s="49"/>
      <c r="Q3410" s="49"/>
      <c r="R3410" s="49"/>
      <c r="S3410" s="49"/>
      <c r="T3410" s="49"/>
      <c r="U3410" s="49"/>
      <c r="V3410" s="49"/>
      <c r="W3410" s="56"/>
      <c r="X3410" s="51" t="str">
        <f t="shared" si="5"/>
        <v/>
      </c>
      <c r="Y3410" s="50" t="s">
        <v>482</v>
      </c>
      <c r="Z3410" s="49">
        <f t="shared" si="6"/>
        <v>0</v>
      </c>
    </row>
    <row r="3411" ht="22.5" customHeight="1">
      <c r="B3411" s="57"/>
      <c r="C3411" s="43" t="str">
        <f t="array" ref="C3411">IF(B3411="","",_xlfn.XLOOKUP(B3411,'Form responses 1'!$B$2:$B$2604,'Form responses 1'!$A$2:$A$2604,""))</f>
        <v/>
      </c>
      <c r="D3411" s="44" t="str">
        <f t="shared" si="3"/>
        <v/>
      </c>
      <c r="E3411" s="44" t="str">
        <f t="array" ref="E3411">IF(B3411="","",_xlfn.XLOOKUP(B3411,'Form responses 1'!$B$2:$B$2604,'Form responses 1'!$C$2:$C$2604,""))</f>
        <v/>
      </c>
      <c r="F3411" s="44" t="str">
        <f t="array" ref="F3411">IF(B3411="","",_xlfn.XLOOKUP(B3411,'Form responses 1'!$B$2:$B$2604,'Form responses 1'!$D$2:$D$2604,""))</f>
        <v/>
      </c>
      <c r="G3411" s="44" t="str">
        <f t="array" ref="G3411">IF(B3411="","",_xlfn.XLOOKUP(B3411,'Form responses 1'!$B$2:$B$2604,'Form responses 1'!$E$2:$E$2604,""))</f>
        <v/>
      </c>
      <c r="H3411" s="44" t="str">
        <f t="array" ref="H3411">IF(B3411="","",_xlfn.XLOOKUP(B3411,'Form responses 1'!$B$2:$B$2604,'Form responses 1'!$F$2:$F$2604,""))</f>
        <v/>
      </c>
      <c r="I3411" s="44" t="str">
        <f t="array" ref="I3411">IF(B3411="","",_xlfn.XLOOKUP(B3411,'Form responses 1'!$B$2:$B$2604,'Form responses 1'!$I$2:$I$2604,""))</f>
        <v/>
      </c>
      <c r="J3411" s="44" t="str">
        <f t="array" ref="J3411">IF(B3411="","",_xlfn.XLOOKUP(B3411,'Form responses 1'!$B$2:$B$2604,'Form responses 1'!$G$2:$G$2604,""))</f>
        <v/>
      </c>
      <c r="K3411" s="56"/>
      <c r="L3411" s="58" t="str">
        <f t="shared" si="7"/>
        <v/>
      </c>
      <c r="M3411" s="49"/>
      <c r="N3411" s="49"/>
      <c r="O3411" s="49"/>
      <c r="P3411" s="49"/>
      <c r="Q3411" s="49"/>
      <c r="R3411" s="49"/>
      <c r="S3411" s="49"/>
      <c r="T3411" s="49"/>
      <c r="U3411" s="49"/>
      <c r="V3411" s="49"/>
      <c r="W3411" s="56"/>
      <c r="X3411" s="51" t="str">
        <f t="shared" si="5"/>
        <v/>
      </c>
      <c r="Y3411" s="50" t="s">
        <v>482</v>
      </c>
      <c r="Z3411" s="49">
        <f t="shared" si="6"/>
        <v>0</v>
      </c>
    </row>
    <row r="3412" ht="22.5" customHeight="1">
      <c r="B3412" s="57"/>
      <c r="C3412" s="43" t="str">
        <f t="array" ref="C3412">IF(B3412="","",_xlfn.XLOOKUP(B3412,'Form responses 1'!$B$2:$B$2604,'Form responses 1'!$A$2:$A$2604,""))</f>
        <v/>
      </c>
      <c r="D3412" s="44" t="str">
        <f t="shared" si="3"/>
        <v/>
      </c>
      <c r="E3412" s="44" t="str">
        <f t="array" ref="E3412">IF(B3412="","",_xlfn.XLOOKUP(B3412,'Form responses 1'!$B$2:$B$2604,'Form responses 1'!$C$2:$C$2604,""))</f>
        <v/>
      </c>
      <c r="F3412" s="44" t="str">
        <f t="array" ref="F3412">IF(B3412="","",_xlfn.XLOOKUP(B3412,'Form responses 1'!$B$2:$B$2604,'Form responses 1'!$D$2:$D$2604,""))</f>
        <v/>
      </c>
      <c r="G3412" s="44" t="str">
        <f t="array" ref="G3412">IF(B3412="","",_xlfn.XLOOKUP(B3412,'Form responses 1'!$B$2:$B$2604,'Form responses 1'!$E$2:$E$2604,""))</f>
        <v/>
      </c>
      <c r="H3412" s="44" t="str">
        <f t="array" ref="H3412">IF(B3412="","",_xlfn.XLOOKUP(B3412,'Form responses 1'!$B$2:$B$2604,'Form responses 1'!$F$2:$F$2604,""))</f>
        <v/>
      </c>
      <c r="I3412" s="44" t="str">
        <f t="array" ref="I3412">IF(B3412="","",_xlfn.XLOOKUP(B3412,'Form responses 1'!$B$2:$B$2604,'Form responses 1'!$I$2:$I$2604,""))</f>
        <v/>
      </c>
      <c r="J3412" s="44" t="str">
        <f t="array" ref="J3412">IF(B3412="","",_xlfn.XLOOKUP(B3412,'Form responses 1'!$B$2:$B$2604,'Form responses 1'!$G$2:$G$2604,""))</f>
        <v/>
      </c>
      <c r="K3412" s="56"/>
      <c r="L3412" s="58" t="str">
        <f t="shared" si="7"/>
        <v/>
      </c>
      <c r="M3412" s="49"/>
      <c r="N3412" s="49"/>
      <c r="O3412" s="49"/>
      <c r="P3412" s="49"/>
      <c r="Q3412" s="49"/>
      <c r="R3412" s="49"/>
      <c r="S3412" s="49"/>
      <c r="T3412" s="49"/>
      <c r="U3412" s="49"/>
      <c r="V3412" s="49"/>
      <c r="W3412" s="56"/>
      <c r="X3412" s="51" t="str">
        <f t="shared" si="5"/>
        <v/>
      </c>
      <c r="Y3412" s="50" t="s">
        <v>482</v>
      </c>
      <c r="Z3412" s="49">
        <f t="shared" si="6"/>
        <v>0</v>
      </c>
    </row>
    <row r="3413" ht="22.5" customHeight="1">
      <c r="B3413" s="57"/>
      <c r="C3413" s="43" t="str">
        <f t="array" ref="C3413">IF(B3413="","",_xlfn.XLOOKUP(B3413,'Form responses 1'!$B$2:$B$2604,'Form responses 1'!$A$2:$A$2604,""))</f>
        <v/>
      </c>
      <c r="D3413" s="44" t="str">
        <f t="shared" si="3"/>
        <v/>
      </c>
      <c r="E3413" s="44" t="str">
        <f t="array" ref="E3413">IF(B3413="","",_xlfn.XLOOKUP(B3413,'Form responses 1'!$B$2:$B$2604,'Form responses 1'!$C$2:$C$2604,""))</f>
        <v/>
      </c>
      <c r="F3413" s="44" t="str">
        <f t="array" ref="F3413">IF(B3413="","",_xlfn.XLOOKUP(B3413,'Form responses 1'!$B$2:$B$2604,'Form responses 1'!$D$2:$D$2604,""))</f>
        <v/>
      </c>
      <c r="G3413" s="44" t="str">
        <f t="array" ref="G3413">IF(B3413="","",_xlfn.XLOOKUP(B3413,'Form responses 1'!$B$2:$B$2604,'Form responses 1'!$E$2:$E$2604,""))</f>
        <v/>
      </c>
      <c r="H3413" s="44" t="str">
        <f t="array" ref="H3413">IF(B3413="","",_xlfn.XLOOKUP(B3413,'Form responses 1'!$B$2:$B$2604,'Form responses 1'!$F$2:$F$2604,""))</f>
        <v/>
      </c>
      <c r="I3413" s="44" t="str">
        <f t="array" ref="I3413">IF(B3413="","",_xlfn.XLOOKUP(B3413,'Form responses 1'!$B$2:$B$2604,'Form responses 1'!$I$2:$I$2604,""))</f>
        <v/>
      </c>
      <c r="J3413" s="44" t="str">
        <f t="array" ref="J3413">IF(B3413="","",_xlfn.XLOOKUP(B3413,'Form responses 1'!$B$2:$B$2604,'Form responses 1'!$G$2:$G$2604,""))</f>
        <v/>
      </c>
      <c r="K3413" s="56"/>
      <c r="L3413" s="58" t="str">
        <f t="shared" si="7"/>
        <v/>
      </c>
      <c r="M3413" s="49"/>
      <c r="N3413" s="49"/>
      <c r="O3413" s="49"/>
      <c r="P3413" s="49"/>
      <c r="Q3413" s="49"/>
      <c r="R3413" s="49"/>
      <c r="S3413" s="49"/>
      <c r="T3413" s="49"/>
      <c r="U3413" s="49"/>
      <c r="V3413" s="49"/>
      <c r="W3413" s="56"/>
      <c r="X3413" s="51" t="str">
        <f t="shared" si="5"/>
        <v/>
      </c>
      <c r="Y3413" s="50" t="s">
        <v>482</v>
      </c>
      <c r="Z3413" s="49">
        <f t="shared" si="6"/>
        <v>0</v>
      </c>
    </row>
    <row r="3414" ht="22.5" customHeight="1">
      <c r="B3414" s="57"/>
      <c r="C3414" s="43" t="str">
        <f t="array" ref="C3414">IF(B3414="","",_xlfn.XLOOKUP(B3414,'Form responses 1'!$B$2:$B$2604,'Form responses 1'!$A$2:$A$2604,""))</f>
        <v/>
      </c>
      <c r="D3414" s="44" t="str">
        <f t="shared" si="3"/>
        <v/>
      </c>
      <c r="E3414" s="44" t="str">
        <f t="array" ref="E3414">IF(B3414="","",_xlfn.XLOOKUP(B3414,'Form responses 1'!$B$2:$B$2604,'Form responses 1'!$C$2:$C$2604,""))</f>
        <v/>
      </c>
      <c r="F3414" s="44" t="str">
        <f t="array" ref="F3414">IF(B3414="","",_xlfn.XLOOKUP(B3414,'Form responses 1'!$B$2:$B$2604,'Form responses 1'!$D$2:$D$2604,""))</f>
        <v/>
      </c>
      <c r="G3414" s="44" t="str">
        <f t="array" ref="G3414">IF(B3414="","",_xlfn.XLOOKUP(B3414,'Form responses 1'!$B$2:$B$2604,'Form responses 1'!$E$2:$E$2604,""))</f>
        <v/>
      </c>
      <c r="H3414" s="44" t="str">
        <f t="array" ref="H3414">IF(B3414="","",_xlfn.XLOOKUP(B3414,'Form responses 1'!$B$2:$B$2604,'Form responses 1'!$F$2:$F$2604,""))</f>
        <v/>
      </c>
      <c r="I3414" s="44" t="str">
        <f t="array" ref="I3414">IF(B3414="","",_xlfn.XLOOKUP(B3414,'Form responses 1'!$B$2:$B$2604,'Form responses 1'!$I$2:$I$2604,""))</f>
        <v/>
      </c>
      <c r="J3414" s="44" t="str">
        <f t="array" ref="J3414">IF(B3414="","",_xlfn.XLOOKUP(B3414,'Form responses 1'!$B$2:$B$2604,'Form responses 1'!$G$2:$G$2604,""))</f>
        <v/>
      </c>
      <c r="K3414" s="56"/>
      <c r="L3414" s="58" t="str">
        <f t="shared" si="7"/>
        <v/>
      </c>
      <c r="M3414" s="49"/>
      <c r="N3414" s="49"/>
      <c r="O3414" s="49"/>
      <c r="P3414" s="49"/>
      <c r="Q3414" s="49"/>
      <c r="R3414" s="49"/>
      <c r="S3414" s="49"/>
      <c r="T3414" s="49"/>
      <c r="U3414" s="49"/>
      <c r="V3414" s="49"/>
      <c r="W3414" s="56"/>
      <c r="X3414" s="51" t="str">
        <f t="shared" si="5"/>
        <v/>
      </c>
      <c r="Y3414" s="50" t="s">
        <v>482</v>
      </c>
      <c r="Z3414" s="49">
        <f t="shared" si="6"/>
        <v>0</v>
      </c>
    </row>
    <row r="3415" ht="22.5" customHeight="1">
      <c r="B3415" s="57"/>
      <c r="C3415" s="43" t="str">
        <f t="array" ref="C3415">IF(B3415="","",_xlfn.XLOOKUP(B3415,'Form responses 1'!$B$2:$B$2604,'Form responses 1'!$A$2:$A$2604,""))</f>
        <v/>
      </c>
      <c r="D3415" s="44" t="str">
        <f t="shared" si="3"/>
        <v/>
      </c>
      <c r="E3415" s="44" t="str">
        <f t="array" ref="E3415">IF(B3415="","",_xlfn.XLOOKUP(B3415,'Form responses 1'!$B$2:$B$2604,'Form responses 1'!$C$2:$C$2604,""))</f>
        <v/>
      </c>
      <c r="F3415" s="44" t="str">
        <f t="array" ref="F3415">IF(B3415="","",_xlfn.XLOOKUP(B3415,'Form responses 1'!$B$2:$B$2604,'Form responses 1'!$D$2:$D$2604,""))</f>
        <v/>
      </c>
      <c r="G3415" s="44" t="str">
        <f t="array" ref="G3415">IF(B3415="","",_xlfn.XLOOKUP(B3415,'Form responses 1'!$B$2:$B$2604,'Form responses 1'!$E$2:$E$2604,""))</f>
        <v/>
      </c>
      <c r="H3415" s="44" t="str">
        <f t="array" ref="H3415">IF(B3415="","",_xlfn.XLOOKUP(B3415,'Form responses 1'!$B$2:$B$2604,'Form responses 1'!$F$2:$F$2604,""))</f>
        <v/>
      </c>
      <c r="I3415" s="44" t="str">
        <f t="array" ref="I3415">IF(B3415="","",_xlfn.XLOOKUP(B3415,'Form responses 1'!$B$2:$B$2604,'Form responses 1'!$I$2:$I$2604,""))</f>
        <v/>
      </c>
      <c r="J3415" s="44" t="str">
        <f t="array" ref="J3415">IF(B3415="","",_xlfn.XLOOKUP(B3415,'Form responses 1'!$B$2:$B$2604,'Form responses 1'!$G$2:$G$2604,""))</f>
        <v/>
      </c>
      <c r="K3415" s="56"/>
      <c r="L3415" s="58" t="str">
        <f t="shared" si="7"/>
        <v/>
      </c>
      <c r="M3415" s="49"/>
      <c r="N3415" s="49"/>
      <c r="O3415" s="49"/>
      <c r="P3415" s="49"/>
      <c r="Q3415" s="49"/>
      <c r="R3415" s="49"/>
      <c r="S3415" s="49"/>
      <c r="T3415" s="49"/>
      <c r="U3415" s="49"/>
      <c r="V3415" s="49"/>
      <c r="W3415" s="56"/>
      <c r="X3415" s="51" t="str">
        <f t="shared" si="5"/>
        <v/>
      </c>
      <c r="Y3415" s="50" t="s">
        <v>482</v>
      </c>
      <c r="Z3415" s="49">
        <f t="shared" si="6"/>
        <v>0</v>
      </c>
    </row>
    <row r="3416" ht="22.5" customHeight="1">
      <c r="B3416" s="57"/>
      <c r="C3416" s="43" t="str">
        <f t="array" ref="C3416">IF(B3416="","",_xlfn.XLOOKUP(B3416,'Form responses 1'!$B$2:$B$2604,'Form responses 1'!$A$2:$A$2604,""))</f>
        <v/>
      </c>
      <c r="D3416" s="44" t="str">
        <f t="shared" si="3"/>
        <v/>
      </c>
      <c r="E3416" s="44" t="str">
        <f t="array" ref="E3416">IF(B3416="","",_xlfn.XLOOKUP(B3416,'Form responses 1'!$B$2:$B$2604,'Form responses 1'!$C$2:$C$2604,""))</f>
        <v/>
      </c>
      <c r="F3416" s="44" t="str">
        <f t="array" ref="F3416">IF(B3416="","",_xlfn.XLOOKUP(B3416,'Form responses 1'!$B$2:$B$2604,'Form responses 1'!$D$2:$D$2604,""))</f>
        <v/>
      </c>
      <c r="G3416" s="44" t="str">
        <f t="array" ref="G3416">IF(B3416="","",_xlfn.XLOOKUP(B3416,'Form responses 1'!$B$2:$B$2604,'Form responses 1'!$E$2:$E$2604,""))</f>
        <v/>
      </c>
      <c r="H3416" s="44" t="str">
        <f t="array" ref="H3416">IF(B3416="","",_xlfn.XLOOKUP(B3416,'Form responses 1'!$B$2:$B$2604,'Form responses 1'!$F$2:$F$2604,""))</f>
        <v/>
      </c>
      <c r="I3416" s="44" t="str">
        <f t="array" ref="I3416">IF(B3416="","",_xlfn.XLOOKUP(B3416,'Form responses 1'!$B$2:$B$2604,'Form responses 1'!$I$2:$I$2604,""))</f>
        <v/>
      </c>
      <c r="J3416" s="44" t="str">
        <f t="array" ref="J3416">IF(B3416="","",_xlfn.XLOOKUP(B3416,'Form responses 1'!$B$2:$B$2604,'Form responses 1'!$G$2:$G$2604,""))</f>
        <v/>
      </c>
      <c r="K3416" s="56"/>
      <c r="L3416" s="58" t="str">
        <f t="shared" si="7"/>
        <v/>
      </c>
      <c r="M3416" s="49"/>
      <c r="N3416" s="49"/>
      <c r="O3416" s="49"/>
      <c r="P3416" s="49"/>
      <c r="Q3416" s="49"/>
      <c r="R3416" s="49"/>
      <c r="S3416" s="49"/>
      <c r="T3416" s="49"/>
      <c r="U3416" s="49"/>
      <c r="V3416" s="49"/>
      <c r="W3416" s="56"/>
      <c r="X3416" s="51" t="str">
        <f t="shared" si="5"/>
        <v/>
      </c>
      <c r="Y3416" s="50" t="s">
        <v>482</v>
      </c>
      <c r="Z3416" s="49">
        <f t="shared" si="6"/>
        <v>0</v>
      </c>
    </row>
    <row r="3417" ht="22.5" customHeight="1">
      <c r="B3417" s="57"/>
      <c r="C3417" s="43" t="str">
        <f t="array" ref="C3417">IF(B3417="","",_xlfn.XLOOKUP(B3417,'Form responses 1'!$B$2:$B$2604,'Form responses 1'!$A$2:$A$2604,""))</f>
        <v/>
      </c>
      <c r="D3417" s="44" t="str">
        <f t="shared" si="3"/>
        <v/>
      </c>
      <c r="E3417" s="44" t="str">
        <f t="array" ref="E3417">IF(B3417="","",_xlfn.XLOOKUP(B3417,'Form responses 1'!$B$2:$B$2604,'Form responses 1'!$C$2:$C$2604,""))</f>
        <v/>
      </c>
      <c r="F3417" s="44" t="str">
        <f t="array" ref="F3417">IF(B3417="","",_xlfn.XLOOKUP(B3417,'Form responses 1'!$B$2:$B$2604,'Form responses 1'!$D$2:$D$2604,""))</f>
        <v/>
      </c>
      <c r="G3417" s="44" t="str">
        <f t="array" ref="G3417">IF(B3417="","",_xlfn.XLOOKUP(B3417,'Form responses 1'!$B$2:$B$2604,'Form responses 1'!$E$2:$E$2604,""))</f>
        <v/>
      </c>
      <c r="H3417" s="44" t="str">
        <f t="array" ref="H3417">IF(B3417="","",_xlfn.XLOOKUP(B3417,'Form responses 1'!$B$2:$B$2604,'Form responses 1'!$F$2:$F$2604,""))</f>
        <v/>
      </c>
      <c r="I3417" s="44" t="str">
        <f t="array" ref="I3417">IF(B3417="","",_xlfn.XLOOKUP(B3417,'Form responses 1'!$B$2:$B$2604,'Form responses 1'!$I$2:$I$2604,""))</f>
        <v/>
      </c>
      <c r="J3417" s="44" t="str">
        <f t="array" ref="J3417">IF(B3417="","",_xlfn.XLOOKUP(B3417,'Form responses 1'!$B$2:$B$2604,'Form responses 1'!$G$2:$G$2604,""))</f>
        <v/>
      </c>
      <c r="K3417" s="56"/>
      <c r="L3417" s="58" t="str">
        <f t="shared" si="7"/>
        <v/>
      </c>
      <c r="M3417" s="49"/>
      <c r="N3417" s="49"/>
      <c r="O3417" s="49"/>
      <c r="P3417" s="49"/>
      <c r="Q3417" s="49"/>
      <c r="R3417" s="49"/>
      <c r="S3417" s="49"/>
      <c r="T3417" s="49"/>
      <c r="U3417" s="49"/>
      <c r="V3417" s="49"/>
      <c r="W3417" s="56"/>
      <c r="X3417" s="51" t="str">
        <f t="shared" si="5"/>
        <v/>
      </c>
      <c r="Y3417" s="50" t="s">
        <v>482</v>
      </c>
      <c r="Z3417" s="49">
        <f t="shared" si="6"/>
        <v>0</v>
      </c>
    </row>
    <row r="3418" ht="22.5" customHeight="1">
      <c r="B3418" s="57"/>
      <c r="C3418" s="43" t="str">
        <f t="array" ref="C3418">IF(B3418="","",_xlfn.XLOOKUP(B3418,'Form responses 1'!$B$2:$B$2604,'Form responses 1'!$A$2:$A$2604,""))</f>
        <v/>
      </c>
      <c r="D3418" s="44" t="str">
        <f t="shared" si="3"/>
        <v/>
      </c>
      <c r="E3418" s="44" t="str">
        <f t="array" ref="E3418">IF(B3418="","",_xlfn.XLOOKUP(B3418,'Form responses 1'!$B$2:$B$2604,'Form responses 1'!$C$2:$C$2604,""))</f>
        <v/>
      </c>
      <c r="F3418" s="44" t="str">
        <f t="array" ref="F3418">IF(B3418="","",_xlfn.XLOOKUP(B3418,'Form responses 1'!$B$2:$B$2604,'Form responses 1'!$D$2:$D$2604,""))</f>
        <v/>
      </c>
      <c r="G3418" s="44" t="str">
        <f t="array" ref="G3418">IF(B3418="","",_xlfn.XLOOKUP(B3418,'Form responses 1'!$B$2:$B$2604,'Form responses 1'!$E$2:$E$2604,""))</f>
        <v/>
      </c>
      <c r="H3418" s="44" t="str">
        <f t="array" ref="H3418">IF(B3418="","",_xlfn.XLOOKUP(B3418,'Form responses 1'!$B$2:$B$2604,'Form responses 1'!$F$2:$F$2604,""))</f>
        <v/>
      </c>
      <c r="I3418" s="44" t="str">
        <f t="array" ref="I3418">IF(B3418="","",_xlfn.XLOOKUP(B3418,'Form responses 1'!$B$2:$B$2604,'Form responses 1'!$I$2:$I$2604,""))</f>
        <v/>
      </c>
      <c r="J3418" s="44" t="str">
        <f t="array" ref="J3418">IF(B3418="","",_xlfn.XLOOKUP(B3418,'Form responses 1'!$B$2:$B$2604,'Form responses 1'!$G$2:$G$2604,""))</f>
        <v/>
      </c>
      <c r="K3418" s="56"/>
      <c r="L3418" s="58" t="str">
        <f t="shared" si="7"/>
        <v/>
      </c>
      <c r="M3418" s="49"/>
      <c r="N3418" s="49"/>
      <c r="O3418" s="49"/>
      <c r="P3418" s="49"/>
      <c r="Q3418" s="49"/>
      <c r="R3418" s="49"/>
      <c r="S3418" s="49"/>
      <c r="T3418" s="49"/>
      <c r="U3418" s="49"/>
      <c r="V3418" s="49"/>
      <c r="W3418" s="56"/>
      <c r="X3418" s="51" t="str">
        <f t="shared" si="5"/>
        <v/>
      </c>
      <c r="Y3418" s="50" t="s">
        <v>482</v>
      </c>
      <c r="Z3418" s="49">
        <f t="shared" si="6"/>
        <v>0</v>
      </c>
    </row>
    <row r="3419" ht="22.5" customHeight="1">
      <c r="B3419" s="57"/>
      <c r="C3419" s="43" t="str">
        <f t="array" ref="C3419">IF(B3419="","",_xlfn.XLOOKUP(B3419,'Form responses 1'!$B$2:$B$2604,'Form responses 1'!$A$2:$A$2604,""))</f>
        <v/>
      </c>
      <c r="D3419" s="44" t="str">
        <f t="shared" si="3"/>
        <v/>
      </c>
      <c r="E3419" s="44" t="str">
        <f t="array" ref="E3419">IF(B3419="","",_xlfn.XLOOKUP(B3419,'Form responses 1'!$B$2:$B$2604,'Form responses 1'!$C$2:$C$2604,""))</f>
        <v/>
      </c>
      <c r="F3419" s="44" t="str">
        <f t="array" ref="F3419">IF(B3419="","",_xlfn.XLOOKUP(B3419,'Form responses 1'!$B$2:$B$2604,'Form responses 1'!$D$2:$D$2604,""))</f>
        <v/>
      </c>
      <c r="G3419" s="44" t="str">
        <f t="array" ref="G3419">IF(B3419="","",_xlfn.XLOOKUP(B3419,'Form responses 1'!$B$2:$B$2604,'Form responses 1'!$E$2:$E$2604,""))</f>
        <v/>
      </c>
      <c r="H3419" s="44" t="str">
        <f t="array" ref="H3419">IF(B3419="","",_xlfn.XLOOKUP(B3419,'Form responses 1'!$B$2:$B$2604,'Form responses 1'!$F$2:$F$2604,""))</f>
        <v/>
      </c>
      <c r="I3419" s="44" t="str">
        <f t="array" ref="I3419">IF(B3419="","",_xlfn.XLOOKUP(B3419,'Form responses 1'!$B$2:$B$2604,'Form responses 1'!$I$2:$I$2604,""))</f>
        <v/>
      </c>
      <c r="J3419" s="44" t="str">
        <f t="array" ref="J3419">IF(B3419="","",_xlfn.XLOOKUP(B3419,'Form responses 1'!$B$2:$B$2604,'Form responses 1'!$G$2:$G$2604,""))</f>
        <v/>
      </c>
      <c r="K3419" s="56"/>
      <c r="L3419" s="58" t="str">
        <f t="shared" si="7"/>
        <v/>
      </c>
      <c r="M3419" s="49"/>
      <c r="N3419" s="49"/>
      <c r="O3419" s="49"/>
      <c r="P3419" s="49"/>
      <c r="Q3419" s="49"/>
      <c r="R3419" s="49"/>
      <c r="S3419" s="49"/>
      <c r="T3419" s="49"/>
      <c r="U3419" s="49"/>
      <c r="V3419" s="49"/>
      <c r="W3419" s="56"/>
      <c r="X3419" s="51" t="str">
        <f t="shared" si="5"/>
        <v/>
      </c>
      <c r="Y3419" s="50" t="s">
        <v>482</v>
      </c>
      <c r="Z3419" s="49">
        <f t="shared" si="6"/>
        <v>0</v>
      </c>
    </row>
    <row r="3420" ht="22.5" customHeight="1">
      <c r="B3420" s="57"/>
      <c r="C3420" s="43" t="str">
        <f t="array" ref="C3420">IF(B3420="","",_xlfn.XLOOKUP(B3420,'Form responses 1'!$B$2:$B$2604,'Form responses 1'!$A$2:$A$2604,""))</f>
        <v/>
      </c>
      <c r="D3420" s="44" t="str">
        <f t="shared" si="3"/>
        <v/>
      </c>
      <c r="E3420" s="44" t="str">
        <f t="array" ref="E3420">IF(B3420="","",_xlfn.XLOOKUP(B3420,'Form responses 1'!$B$2:$B$2604,'Form responses 1'!$C$2:$C$2604,""))</f>
        <v/>
      </c>
      <c r="F3420" s="44" t="str">
        <f t="array" ref="F3420">IF(B3420="","",_xlfn.XLOOKUP(B3420,'Form responses 1'!$B$2:$B$2604,'Form responses 1'!$D$2:$D$2604,""))</f>
        <v/>
      </c>
      <c r="G3420" s="44" t="str">
        <f t="array" ref="G3420">IF(B3420="","",_xlfn.XLOOKUP(B3420,'Form responses 1'!$B$2:$B$2604,'Form responses 1'!$E$2:$E$2604,""))</f>
        <v/>
      </c>
      <c r="H3420" s="44" t="str">
        <f t="array" ref="H3420">IF(B3420="","",_xlfn.XLOOKUP(B3420,'Form responses 1'!$B$2:$B$2604,'Form responses 1'!$F$2:$F$2604,""))</f>
        <v/>
      </c>
      <c r="I3420" s="44" t="str">
        <f t="array" ref="I3420">IF(B3420="","",_xlfn.XLOOKUP(B3420,'Form responses 1'!$B$2:$B$2604,'Form responses 1'!$I$2:$I$2604,""))</f>
        <v/>
      </c>
      <c r="J3420" s="44" t="str">
        <f t="array" ref="J3420">IF(B3420="","",_xlfn.XLOOKUP(B3420,'Form responses 1'!$B$2:$B$2604,'Form responses 1'!$G$2:$G$2604,""))</f>
        <v/>
      </c>
      <c r="K3420" s="56"/>
      <c r="L3420" s="58" t="str">
        <f t="shared" si="7"/>
        <v/>
      </c>
      <c r="M3420" s="49"/>
      <c r="N3420" s="49"/>
      <c r="O3420" s="49"/>
      <c r="P3420" s="49"/>
      <c r="Q3420" s="49"/>
      <c r="R3420" s="49"/>
      <c r="S3420" s="49"/>
      <c r="T3420" s="49"/>
      <c r="U3420" s="49"/>
      <c r="V3420" s="49"/>
      <c r="W3420" s="56"/>
      <c r="X3420" s="51" t="str">
        <f t="shared" si="5"/>
        <v/>
      </c>
      <c r="Y3420" s="50" t="s">
        <v>482</v>
      </c>
      <c r="Z3420" s="49">
        <f t="shared" si="6"/>
        <v>0</v>
      </c>
    </row>
    <row r="3421" ht="22.5" customHeight="1">
      <c r="B3421" s="57"/>
      <c r="C3421" s="43" t="str">
        <f t="array" ref="C3421">IF(B3421="","",_xlfn.XLOOKUP(B3421,'Form responses 1'!$B$2:$B$2604,'Form responses 1'!$A$2:$A$2604,""))</f>
        <v/>
      </c>
      <c r="D3421" s="44" t="str">
        <f t="shared" si="3"/>
        <v/>
      </c>
      <c r="E3421" s="44" t="str">
        <f t="array" ref="E3421">IF(B3421="","",_xlfn.XLOOKUP(B3421,'Form responses 1'!$B$2:$B$2604,'Form responses 1'!$C$2:$C$2604,""))</f>
        <v/>
      </c>
      <c r="F3421" s="44" t="str">
        <f t="array" ref="F3421">IF(B3421="","",_xlfn.XLOOKUP(B3421,'Form responses 1'!$B$2:$B$2604,'Form responses 1'!$D$2:$D$2604,""))</f>
        <v/>
      </c>
      <c r="G3421" s="44" t="str">
        <f t="array" ref="G3421">IF(B3421="","",_xlfn.XLOOKUP(B3421,'Form responses 1'!$B$2:$B$2604,'Form responses 1'!$E$2:$E$2604,""))</f>
        <v/>
      </c>
      <c r="H3421" s="44" t="str">
        <f t="array" ref="H3421">IF(B3421="","",_xlfn.XLOOKUP(B3421,'Form responses 1'!$B$2:$B$2604,'Form responses 1'!$F$2:$F$2604,""))</f>
        <v/>
      </c>
      <c r="I3421" s="44" t="str">
        <f t="array" ref="I3421">IF(B3421="","",_xlfn.XLOOKUP(B3421,'Form responses 1'!$B$2:$B$2604,'Form responses 1'!$I$2:$I$2604,""))</f>
        <v/>
      </c>
      <c r="J3421" s="44" t="str">
        <f t="array" ref="J3421">IF(B3421="","",_xlfn.XLOOKUP(B3421,'Form responses 1'!$B$2:$B$2604,'Form responses 1'!$G$2:$G$2604,""))</f>
        <v/>
      </c>
      <c r="K3421" s="56"/>
      <c r="L3421" s="58" t="str">
        <f t="shared" si="7"/>
        <v/>
      </c>
      <c r="M3421" s="49"/>
      <c r="N3421" s="49"/>
      <c r="O3421" s="49"/>
      <c r="P3421" s="49"/>
      <c r="Q3421" s="49"/>
      <c r="R3421" s="49"/>
      <c r="S3421" s="49"/>
      <c r="T3421" s="49"/>
      <c r="U3421" s="49"/>
      <c r="V3421" s="49"/>
      <c r="W3421" s="56"/>
      <c r="X3421" s="51" t="str">
        <f t="shared" si="5"/>
        <v/>
      </c>
      <c r="Y3421" s="50" t="s">
        <v>482</v>
      </c>
      <c r="Z3421" s="49">
        <f t="shared" si="6"/>
        <v>0</v>
      </c>
    </row>
    <row r="3422" ht="22.5" customHeight="1">
      <c r="B3422" s="57"/>
      <c r="C3422" s="43" t="str">
        <f t="array" ref="C3422">IF(B3422="","",_xlfn.XLOOKUP(B3422,'Form responses 1'!$B$2:$B$2604,'Form responses 1'!$A$2:$A$2604,""))</f>
        <v/>
      </c>
      <c r="D3422" s="44" t="str">
        <f t="shared" si="3"/>
        <v/>
      </c>
      <c r="E3422" s="44" t="str">
        <f t="array" ref="E3422">IF(B3422="","",_xlfn.XLOOKUP(B3422,'Form responses 1'!$B$2:$B$2604,'Form responses 1'!$C$2:$C$2604,""))</f>
        <v/>
      </c>
      <c r="F3422" s="44" t="str">
        <f t="array" ref="F3422">IF(B3422="","",_xlfn.XLOOKUP(B3422,'Form responses 1'!$B$2:$B$2604,'Form responses 1'!$D$2:$D$2604,""))</f>
        <v/>
      </c>
      <c r="G3422" s="44" t="str">
        <f t="array" ref="G3422">IF(B3422="","",_xlfn.XLOOKUP(B3422,'Form responses 1'!$B$2:$B$2604,'Form responses 1'!$E$2:$E$2604,""))</f>
        <v/>
      </c>
      <c r="H3422" s="44" t="str">
        <f t="array" ref="H3422">IF(B3422="","",_xlfn.XLOOKUP(B3422,'Form responses 1'!$B$2:$B$2604,'Form responses 1'!$F$2:$F$2604,""))</f>
        <v/>
      </c>
      <c r="I3422" s="44" t="str">
        <f t="array" ref="I3422">IF(B3422="","",_xlfn.XLOOKUP(B3422,'Form responses 1'!$B$2:$B$2604,'Form responses 1'!$I$2:$I$2604,""))</f>
        <v/>
      </c>
      <c r="J3422" s="44" t="str">
        <f t="array" ref="J3422">IF(B3422="","",_xlfn.XLOOKUP(B3422,'Form responses 1'!$B$2:$B$2604,'Form responses 1'!$G$2:$G$2604,""))</f>
        <v/>
      </c>
      <c r="K3422" s="56"/>
      <c r="L3422" s="58" t="str">
        <f t="shared" si="7"/>
        <v/>
      </c>
      <c r="M3422" s="49"/>
      <c r="N3422" s="49"/>
      <c r="O3422" s="49"/>
      <c r="P3422" s="49"/>
      <c r="Q3422" s="49"/>
      <c r="R3422" s="49"/>
      <c r="S3422" s="49"/>
      <c r="T3422" s="49"/>
      <c r="U3422" s="49"/>
      <c r="V3422" s="49"/>
      <c r="W3422" s="56"/>
      <c r="X3422" s="51" t="str">
        <f t="shared" si="5"/>
        <v/>
      </c>
      <c r="Y3422" s="50" t="s">
        <v>482</v>
      </c>
      <c r="Z3422" s="49">
        <f t="shared" si="6"/>
        <v>0</v>
      </c>
    </row>
    <row r="3423" ht="22.5" customHeight="1">
      <c r="B3423" s="57"/>
      <c r="C3423" s="43" t="str">
        <f t="array" ref="C3423">IF(B3423="","",_xlfn.XLOOKUP(B3423,'Form responses 1'!$B$2:$B$2604,'Form responses 1'!$A$2:$A$2604,""))</f>
        <v/>
      </c>
      <c r="D3423" s="44" t="str">
        <f t="shared" si="3"/>
        <v/>
      </c>
      <c r="E3423" s="44" t="str">
        <f t="array" ref="E3423">IF(B3423="","",_xlfn.XLOOKUP(B3423,'Form responses 1'!$B$2:$B$2604,'Form responses 1'!$C$2:$C$2604,""))</f>
        <v/>
      </c>
      <c r="F3423" s="44" t="str">
        <f t="array" ref="F3423">IF(B3423="","",_xlfn.XLOOKUP(B3423,'Form responses 1'!$B$2:$B$2604,'Form responses 1'!$D$2:$D$2604,""))</f>
        <v/>
      </c>
      <c r="G3423" s="44" t="str">
        <f t="array" ref="G3423">IF(B3423="","",_xlfn.XLOOKUP(B3423,'Form responses 1'!$B$2:$B$2604,'Form responses 1'!$E$2:$E$2604,""))</f>
        <v/>
      </c>
      <c r="H3423" s="44" t="str">
        <f t="array" ref="H3423">IF(B3423="","",_xlfn.XLOOKUP(B3423,'Form responses 1'!$B$2:$B$2604,'Form responses 1'!$F$2:$F$2604,""))</f>
        <v/>
      </c>
      <c r="I3423" s="44" t="str">
        <f t="array" ref="I3423">IF(B3423="","",_xlfn.XLOOKUP(B3423,'Form responses 1'!$B$2:$B$2604,'Form responses 1'!$I$2:$I$2604,""))</f>
        <v/>
      </c>
      <c r="J3423" s="44" t="str">
        <f t="array" ref="J3423">IF(B3423="","",_xlfn.XLOOKUP(B3423,'Form responses 1'!$B$2:$B$2604,'Form responses 1'!$G$2:$G$2604,""))</f>
        <v/>
      </c>
      <c r="K3423" s="56"/>
      <c r="L3423" s="58" t="str">
        <f t="shared" si="7"/>
        <v/>
      </c>
      <c r="M3423" s="49"/>
      <c r="N3423" s="49"/>
      <c r="O3423" s="49"/>
      <c r="P3423" s="49"/>
      <c r="Q3423" s="49"/>
      <c r="R3423" s="49"/>
      <c r="S3423" s="49"/>
      <c r="T3423" s="49"/>
      <c r="U3423" s="49"/>
      <c r="V3423" s="49"/>
      <c r="W3423" s="56"/>
      <c r="X3423" s="51" t="str">
        <f t="shared" si="5"/>
        <v/>
      </c>
      <c r="Y3423" s="50" t="s">
        <v>482</v>
      </c>
      <c r="Z3423" s="49">
        <f t="shared" si="6"/>
        <v>0</v>
      </c>
    </row>
    <row r="3424" ht="22.5" customHeight="1">
      <c r="B3424" s="57"/>
      <c r="C3424" s="43" t="str">
        <f t="array" ref="C3424">IF(B3424="","",_xlfn.XLOOKUP(B3424,'Form responses 1'!$B$2:$B$2604,'Form responses 1'!$A$2:$A$2604,""))</f>
        <v/>
      </c>
      <c r="D3424" s="44" t="str">
        <f t="shared" si="3"/>
        <v/>
      </c>
      <c r="E3424" s="44" t="str">
        <f t="array" ref="E3424">IF(B3424="","",_xlfn.XLOOKUP(B3424,'Form responses 1'!$B$2:$B$2604,'Form responses 1'!$C$2:$C$2604,""))</f>
        <v/>
      </c>
      <c r="F3424" s="44" t="str">
        <f t="array" ref="F3424">IF(B3424="","",_xlfn.XLOOKUP(B3424,'Form responses 1'!$B$2:$B$2604,'Form responses 1'!$D$2:$D$2604,""))</f>
        <v/>
      </c>
      <c r="G3424" s="44" t="str">
        <f t="array" ref="G3424">IF(B3424="","",_xlfn.XLOOKUP(B3424,'Form responses 1'!$B$2:$B$2604,'Form responses 1'!$E$2:$E$2604,""))</f>
        <v/>
      </c>
      <c r="H3424" s="44" t="str">
        <f t="array" ref="H3424">IF(B3424="","",_xlfn.XLOOKUP(B3424,'Form responses 1'!$B$2:$B$2604,'Form responses 1'!$F$2:$F$2604,""))</f>
        <v/>
      </c>
      <c r="I3424" s="44" t="str">
        <f t="array" ref="I3424">IF(B3424="","",_xlfn.XLOOKUP(B3424,'Form responses 1'!$B$2:$B$2604,'Form responses 1'!$I$2:$I$2604,""))</f>
        <v/>
      </c>
      <c r="J3424" s="44" t="str">
        <f t="array" ref="J3424">IF(B3424="","",_xlfn.XLOOKUP(B3424,'Form responses 1'!$B$2:$B$2604,'Form responses 1'!$G$2:$G$2604,""))</f>
        <v/>
      </c>
      <c r="K3424" s="56"/>
      <c r="L3424" s="58" t="str">
        <f t="shared" si="7"/>
        <v/>
      </c>
      <c r="M3424" s="49"/>
      <c r="N3424" s="49"/>
      <c r="O3424" s="49"/>
      <c r="P3424" s="49"/>
      <c r="Q3424" s="49"/>
      <c r="R3424" s="49"/>
      <c r="S3424" s="49"/>
      <c r="T3424" s="49"/>
      <c r="U3424" s="49"/>
      <c r="V3424" s="49"/>
      <c r="W3424" s="56"/>
      <c r="X3424" s="51" t="str">
        <f t="shared" si="5"/>
        <v/>
      </c>
      <c r="Y3424" s="50" t="s">
        <v>482</v>
      </c>
      <c r="Z3424" s="49">
        <f t="shared" si="6"/>
        <v>0</v>
      </c>
    </row>
    <row r="3425" ht="22.5" customHeight="1">
      <c r="B3425" s="57"/>
      <c r="C3425" s="43" t="str">
        <f t="array" ref="C3425">IF(B3425="","",_xlfn.XLOOKUP(B3425,'Form responses 1'!$B$2:$B$2604,'Form responses 1'!$A$2:$A$2604,""))</f>
        <v/>
      </c>
      <c r="D3425" s="44" t="str">
        <f t="shared" si="3"/>
        <v/>
      </c>
      <c r="E3425" s="44" t="str">
        <f t="array" ref="E3425">IF(B3425="","",_xlfn.XLOOKUP(B3425,'Form responses 1'!$B$2:$B$2604,'Form responses 1'!$C$2:$C$2604,""))</f>
        <v/>
      </c>
      <c r="F3425" s="44" t="str">
        <f t="array" ref="F3425">IF(B3425="","",_xlfn.XLOOKUP(B3425,'Form responses 1'!$B$2:$B$2604,'Form responses 1'!$D$2:$D$2604,""))</f>
        <v/>
      </c>
      <c r="G3425" s="44" t="str">
        <f t="array" ref="G3425">IF(B3425="","",_xlfn.XLOOKUP(B3425,'Form responses 1'!$B$2:$B$2604,'Form responses 1'!$E$2:$E$2604,""))</f>
        <v/>
      </c>
      <c r="H3425" s="44" t="str">
        <f t="array" ref="H3425">IF(B3425="","",_xlfn.XLOOKUP(B3425,'Form responses 1'!$B$2:$B$2604,'Form responses 1'!$F$2:$F$2604,""))</f>
        <v/>
      </c>
      <c r="I3425" s="44" t="str">
        <f t="array" ref="I3425">IF(B3425="","",_xlfn.XLOOKUP(B3425,'Form responses 1'!$B$2:$B$2604,'Form responses 1'!$I$2:$I$2604,""))</f>
        <v/>
      </c>
      <c r="J3425" s="44" t="str">
        <f t="array" ref="J3425">IF(B3425="","",_xlfn.XLOOKUP(B3425,'Form responses 1'!$B$2:$B$2604,'Form responses 1'!$G$2:$G$2604,""))</f>
        <v/>
      </c>
      <c r="K3425" s="56"/>
      <c r="L3425" s="58" t="str">
        <f t="shared" si="7"/>
        <v/>
      </c>
      <c r="M3425" s="49"/>
      <c r="N3425" s="49"/>
      <c r="O3425" s="49"/>
      <c r="P3425" s="49"/>
      <c r="Q3425" s="49"/>
      <c r="R3425" s="49"/>
      <c r="S3425" s="49"/>
      <c r="T3425" s="49"/>
      <c r="U3425" s="49"/>
      <c r="V3425" s="49"/>
      <c r="W3425" s="56"/>
      <c r="X3425" s="51" t="str">
        <f t="shared" si="5"/>
        <v/>
      </c>
      <c r="Y3425" s="50" t="s">
        <v>482</v>
      </c>
      <c r="Z3425" s="49">
        <f t="shared" si="6"/>
        <v>0</v>
      </c>
    </row>
    <row r="3426" ht="22.5" customHeight="1">
      <c r="B3426" s="57"/>
      <c r="C3426" s="43" t="str">
        <f t="array" ref="C3426">IF(B3426="","",_xlfn.XLOOKUP(B3426,'Form responses 1'!$B$2:$B$2604,'Form responses 1'!$A$2:$A$2604,""))</f>
        <v/>
      </c>
      <c r="D3426" s="44" t="str">
        <f t="shared" si="3"/>
        <v/>
      </c>
      <c r="E3426" s="44" t="str">
        <f t="array" ref="E3426">IF(B3426="","",_xlfn.XLOOKUP(B3426,'Form responses 1'!$B$2:$B$2604,'Form responses 1'!$C$2:$C$2604,""))</f>
        <v/>
      </c>
      <c r="F3426" s="44" t="str">
        <f t="array" ref="F3426">IF(B3426="","",_xlfn.XLOOKUP(B3426,'Form responses 1'!$B$2:$B$2604,'Form responses 1'!$D$2:$D$2604,""))</f>
        <v/>
      </c>
      <c r="G3426" s="44" t="str">
        <f t="array" ref="G3426">IF(B3426="","",_xlfn.XLOOKUP(B3426,'Form responses 1'!$B$2:$B$2604,'Form responses 1'!$E$2:$E$2604,""))</f>
        <v/>
      </c>
      <c r="H3426" s="44" t="str">
        <f t="array" ref="H3426">IF(B3426="","",_xlfn.XLOOKUP(B3426,'Form responses 1'!$B$2:$B$2604,'Form responses 1'!$F$2:$F$2604,""))</f>
        <v/>
      </c>
      <c r="I3426" s="44" t="str">
        <f t="array" ref="I3426">IF(B3426="","",_xlfn.XLOOKUP(B3426,'Form responses 1'!$B$2:$B$2604,'Form responses 1'!$I$2:$I$2604,""))</f>
        <v/>
      </c>
      <c r="J3426" s="44" t="str">
        <f t="array" ref="J3426">IF(B3426="","",_xlfn.XLOOKUP(B3426,'Form responses 1'!$B$2:$B$2604,'Form responses 1'!$G$2:$G$2604,""))</f>
        <v/>
      </c>
      <c r="K3426" s="56"/>
      <c r="L3426" s="58" t="str">
        <f t="shared" si="7"/>
        <v/>
      </c>
      <c r="M3426" s="49"/>
      <c r="N3426" s="49"/>
      <c r="O3426" s="49"/>
      <c r="P3426" s="49"/>
      <c r="Q3426" s="49"/>
      <c r="R3426" s="49"/>
      <c r="S3426" s="49"/>
      <c r="T3426" s="49"/>
      <c r="U3426" s="49"/>
      <c r="V3426" s="49"/>
      <c r="W3426" s="56"/>
      <c r="X3426" s="51" t="str">
        <f t="shared" si="5"/>
        <v/>
      </c>
      <c r="Y3426" s="50" t="s">
        <v>482</v>
      </c>
      <c r="Z3426" s="49">
        <f t="shared" si="6"/>
        <v>0</v>
      </c>
    </row>
    <row r="3427" ht="22.5" customHeight="1">
      <c r="B3427" s="57"/>
      <c r="C3427" s="43" t="str">
        <f t="array" ref="C3427">IF(B3427="","",_xlfn.XLOOKUP(B3427,'Form responses 1'!$B$2:$B$2604,'Form responses 1'!$A$2:$A$2604,""))</f>
        <v/>
      </c>
      <c r="D3427" s="44" t="str">
        <f t="shared" si="3"/>
        <v/>
      </c>
      <c r="E3427" s="44" t="str">
        <f t="array" ref="E3427">IF(B3427="","",_xlfn.XLOOKUP(B3427,'Form responses 1'!$B$2:$B$2604,'Form responses 1'!$C$2:$C$2604,""))</f>
        <v/>
      </c>
      <c r="F3427" s="44" t="str">
        <f t="array" ref="F3427">IF(B3427="","",_xlfn.XLOOKUP(B3427,'Form responses 1'!$B$2:$B$2604,'Form responses 1'!$D$2:$D$2604,""))</f>
        <v/>
      </c>
      <c r="G3427" s="44" t="str">
        <f t="array" ref="G3427">IF(B3427="","",_xlfn.XLOOKUP(B3427,'Form responses 1'!$B$2:$B$2604,'Form responses 1'!$E$2:$E$2604,""))</f>
        <v/>
      </c>
      <c r="H3427" s="44" t="str">
        <f t="array" ref="H3427">IF(B3427="","",_xlfn.XLOOKUP(B3427,'Form responses 1'!$B$2:$B$2604,'Form responses 1'!$F$2:$F$2604,""))</f>
        <v/>
      </c>
      <c r="I3427" s="44" t="str">
        <f t="array" ref="I3427">IF(B3427="","",_xlfn.XLOOKUP(B3427,'Form responses 1'!$B$2:$B$2604,'Form responses 1'!$I$2:$I$2604,""))</f>
        <v/>
      </c>
      <c r="J3427" s="44" t="str">
        <f t="array" ref="J3427">IF(B3427="","",_xlfn.XLOOKUP(B3427,'Form responses 1'!$B$2:$B$2604,'Form responses 1'!$G$2:$G$2604,""))</f>
        <v/>
      </c>
      <c r="K3427" s="56"/>
      <c r="L3427" s="58" t="str">
        <f t="shared" si="7"/>
        <v/>
      </c>
      <c r="M3427" s="49"/>
      <c r="N3427" s="49"/>
      <c r="O3427" s="49"/>
      <c r="P3427" s="49"/>
      <c r="Q3427" s="49"/>
      <c r="R3427" s="49"/>
      <c r="S3427" s="49"/>
      <c r="T3427" s="49"/>
      <c r="U3427" s="49"/>
      <c r="V3427" s="49"/>
      <c r="W3427" s="56"/>
      <c r="X3427" s="51" t="str">
        <f t="shared" si="5"/>
        <v/>
      </c>
      <c r="Y3427" s="50" t="s">
        <v>482</v>
      </c>
      <c r="Z3427" s="49">
        <f t="shared" si="6"/>
        <v>0</v>
      </c>
    </row>
    <row r="3428" ht="22.5" customHeight="1">
      <c r="B3428" s="57"/>
      <c r="C3428" s="43" t="str">
        <f t="array" ref="C3428">IF(B3428="","",_xlfn.XLOOKUP(B3428,'Form responses 1'!$B$2:$B$2604,'Form responses 1'!$A$2:$A$2604,""))</f>
        <v/>
      </c>
      <c r="D3428" s="44" t="str">
        <f t="shared" si="3"/>
        <v/>
      </c>
      <c r="E3428" s="44" t="str">
        <f t="array" ref="E3428">IF(B3428="","",_xlfn.XLOOKUP(B3428,'Form responses 1'!$B$2:$B$2604,'Form responses 1'!$C$2:$C$2604,""))</f>
        <v/>
      </c>
      <c r="F3428" s="44" t="str">
        <f t="array" ref="F3428">IF(B3428="","",_xlfn.XLOOKUP(B3428,'Form responses 1'!$B$2:$B$2604,'Form responses 1'!$D$2:$D$2604,""))</f>
        <v/>
      </c>
      <c r="G3428" s="44" t="str">
        <f t="array" ref="G3428">IF(B3428="","",_xlfn.XLOOKUP(B3428,'Form responses 1'!$B$2:$B$2604,'Form responses 1'!$E$2:$E$2604,""))</f>
        <v/>
      </c>
      <c r="H3428" s="44" t="str">
        <f t="array" ref="H3428">IF(B3428="","",_xlfn.XLOOKUP(B3428,'Form responses 1'!$B$2:$B$2604,'Form responses 1'!$F$2:$F$2604,""))</f>
        <v/>
      </c>
      <c r="I3428" s="44" t="str">
        <f t="array" ref="I3428">IF(B3428="","",_xlfn.XLOOKUP(B3428,'Form responses 1'!$B$2:$B$2604,'Form responses 1'!$I$2:$I$2604,""))</f>
        <v/>
      </c>
      <c r="J3428" s="44" t="str">
        <f t="array" ref="J3428">IF(B3428="","",_xlfn.XLOOKUP(B3428,'Form responses 1'!$B$2:$B$2604,'Form responses 1'!$G$2:$G$2604,""))</f>
        <v/>
      </c>
      <c r="K3428" s="56"/>
      <c r="L3428" s="58" t="str">
        <f t="shared" si="7"/>
        <v/>
      </c>
      <c r="M3428" s="49"/>
      <c r="N3428" s="49"/>
      <c r="O3428" s="49"/>
      <c r="P3428" s="49"/>
      <c r="Q3428" s="49"/>
      <c r="R3428" s="49"/>
      <c r="S3428" s="49"/>
      <c r="T3428" s="49"/>
      <c r="U3428" s="49"/>
      <c r="V3428" s="49"/>
      <c r="W3428" s="56"/>
      <c r="X3428" s="51" t="str">
        <f t="shared" si="5"/>
        <v/>
      </c>
      <c r="Y3428" s="50" t="s">
        <v>482</v>
      </c>
      <c r="Z3428" s="49">
        <f t="shared" si="6"/>
        <v>0</v>
      </c>
    </row>
    <row r="3429" ht="22.5" customHeight="1">
      <c r="B3429" s="57"/>
      <c r="C3429" s="43" t="str">
        <f t="array" ref="C3429">IF(B3429="","",_xlfn.XLOOKUP(B3429,'Form responses 1'!$B$2:$B$2604,'Form responses 1'!$A$2:$A$2604,""))</f>
        <v/>
      </c>
      <c r="D3429" s="44" t="str">
        <f t="shared" si="3"/>
        <v/>
      </c>
      <c r="E3429" s="44" t="str">
        <f t="array" ref="E3429">IF(B3429="","",_xlfn.XLOOKUP(B3429,'Form responses 1'!$B$2:$B$2604,'Form responses 1'!$C$2:$C$2604,""))</f>
        <v/>
      </c>
      <c r="F3429" s="44" t="str">
        <f t="array" ref="F3429">IF(B3429="","",_xlfn.XLOOKUP(B3429,'Form responses 1'!$B$2:$B$2604,'Form responses 1'!$D$2:$D$2604,""))</f>
        <v/>
      </c>
      <c r="G3429" s="44" t="str">
        <f t="array" ref="G3429">IF(B3429="","",_xlfn.XLOOKUP(B3429,'Form responses 1'!$B$2:$B$2604,'Form responses 1'!$E$2:$E$2604,""))</f>
        <v/>
      </c>
      <c r="H3429" s="44" t="str">
        <f t="array" ref="H3429">IF(B3429="","",_xlfn.XLOOKUP(B3429,'Form responses 1'!$B$2:$B$2604,'Form responses 1'!$F$2:$F$2604,""))</f>
        <v/>
      </c>
      <c r="I3429" s="44" t="str">
        <f t="array" ref="I3429">IF(B3429="","",_xlfn.XLOOKUP(B3429,'Form responses 1'!$B$2:$B$2604,'Form responses 1'!$I$2:$I$2604,""))</f>
        <v/>
      </c>
      <c r="J3429" s="44" t="str">
        <f t="array" ref="J3429">IF(B3429="","",_xlfn.XLOOKUP(B3429,'Form responses 1'!$B$2:$B$2604,'Form responses 1'!$G$2:$G$2604,""))</f>
        <v/>
      </c>
      <c r="K3429" s="56"/>
      <c r="L3429" s="58" t="str">
        <f t="shared" si="7"/>
        <v/>
      </c>
      <c r="M3429" s="49"/>
      <c r="N3429" s="49"/>
      <c r="O3429" s="49"/>
      <c r="P3429" s="49"/>
      <c r="Q3429" s="49"/>
      <c r="R3429" s="49"/>
      <c r="S3429" s="49"/>
      <c r="T3429" s="49"/>
      <c r="U3429" s="49"/>
      <c r="V3429" s="49"/>
      <c r="W3429" s="56"/>
      <c r="X3429" s="51" t="str">
        <f t="shared" si="5"/>
        <v/>
      </c>
      <c r="Y3429" s="50" t="s">
        <v>482</v>
      </c>
      <c r="Z3429" s="49">
        <f t="shared" si="6"/>
        <v>0</v>
      </c>
    </row>
    <row r="3430" ht="22.5" customHeight="1">
      <c r="B3430" s="57"/>
      <c r="C3430" s="43" t="str">
        <f t="array" ref="C3430">IF(B3430="","",_xlfn.XLOOKUP(B3430,'Form responses 1'!$B$2:$B$2604,'Form responses 1'!$A$2:$A$2604,""))</f>
        <v/>
      </c>
      <c r="D3430" s="44" t="str">
        <f t="shared" si="3"/>
        <v/>
      </c>
      <c r="E3430" s="44" t="str">
        <f t="array" ref="E3430">IF(B3430="","",_xlfn.XLOOKUP(B3430,'Form responses 1'!$B$2:$B$2604,'Form responses 1'!$C$2:$C$2604,""))</f>
        <v/>
      </c>
      <c r="F3430" s="44" t="str">
        <f t="array" ref="F3430">IF(B3430="","",_xlfn.XLOOKUP(B3430,'Form responses 1'!$B$2:$B$2604,'Form responses 1'!$D$2:$D$2604,""))</f>
        <v/>
      </c>
      <c r="G3430" s="44" t="str">
        <f t="array" ref="G3430">IF(B3430="","",_xlfn.XLOOKUP(B3430,'Form responses 1'!$B$2:$B$2604,'Form responses 1'!$E$2:$E$2604,""))</f>
        <v/>
      </c>
      <c r="H3430" s="44" t="str">
        <f t="array" ref="H3430">IF(B3430="","",_xlfn.XLOOKUP(B3430,'Form responses 1'!$B$2:$B$2604,'Form responses 1'!$F$2:$F$2604,""))</f>
        <v/>
      </c>
      <c r="I3430" s="44" t="str">
        <f t="array" ref="I3430">IF(B3430="","",_xlfn.XLOOKUP(B3430,'Form responses 1'!$B$2:$B$2604,'Form responses 1'!$I$2:$I$2604,""))</f>
        <v/>
      </c>
      <c r="J3430" s="44" t="str">
        <f t="array" ref="J3430">IF(B3430="","",_xlfn.XLOOKUP(B3430,'Form responses 1'!$B$2:$B$2604,'Form responses 1'!$G$2:$G$2604,""))</f>
        <v/>
      </c>
      <c r="K3430" s="56"/>
      <c r="L3430" s="58" t="str">
        <f t="shared" si="7"/>
        <v/>
      </c>
      <c r="M3430" s="49"/>
      <c r="N3430" s="49"/>
      <c r="O3430" s="49"/>
      <c r="P3430" s="49"/>
      <c r="Q3430" s="49"/>
      <c r="R3430" s="49"/>
      <c r="S3430" s="49"/>
      <c r="T3430" s="49"/>
      <c r="U3430" s="49"/>
      <c r="V3430" s="49"/>
      <c r="W3430" s="56"/>
      <c r="X3430" s="51" t="str">
        <f t="shared" si="5"/>
        <v/>
      </c>
      <c r="Y3430" s="50" t="s">
        <v>482</v>
      </c>
      <c r="Z3430" s="49">
        <f t="shared" si="6"/>
        <v>0</v>
      </c>
    </row>
    <row r="3431" ht="22.5" customHeight="1">
      <c r="B3431" s="57"/>
      <c r="C3431" s="43" t="str">
        <f t="array" ref="C3431">IF(B3431="","",_xlfn.XLOOKUP(B3431,'Form responses 1'!$B$2:$B$2604,'Form responses 1'!$A$2:$A$2604,""))</f>
        <v/>
      </c>
      <c r="D3431" s="44" t="str">
        <f t="shared" si="3"/>
        <v/>
      </c>
      <c r="E3431" s="44" t="str">
        <f t="array" ref="E3431">IF(B3431="","",_xlfn.XLOOKUP(B3431,'Form responses 1'!$B$2:$B$2604,'Form responses 1'!$C$2:$C$2604,""))</f>
        <v/>
      </c>
      <c r="F3431" s="44" t="str">
        <f t="array" ref="F3431">IF(B3431="","",_xlfn.XLOOKUP(B3431,'Form responses 1'!$B$2:$B$2604,'Form responses 1'!$D$2:$D$2604,""))</f>
        <v/>
      </c>
      <c r="G3431" s="44" t="str">
        <f t="array" ref="G3431">IF(B3431="","",_xlfn.XLOOKUP(B3431,'Form responses 1'!$B$2:$B$2604,'Form responses 1'!$E$2:$E$2604,""))</f>
        <v/>
      </c>
      <c r="H3431" s="44" t="str">
        <f t="array" ref="H3431">IF(B3431="","",_xlfn.XLOOKUP(B3431,'Form responses 1'!$B$2:$B$2604,'Form responses 1'!$F$2:$F$2604,""))</f>
        <v/>
      </c>
      <c r="I3431" s="44" t="str">
        <f t="array" ref="I3431">IF(B3431="","",_xlfn.XLOOKUP(B3431,'Form responses 1'!$B$2:$B$2604,'Form responses 1'!$I$2:$I$2604,""))</f>
        <v/>
      </c>
      <c r="J3431" s="44" t="str">
        <f t="array" ref="J3431">IF(B3431="","",_xlfn.XLOOKUP(B3431,'Form responses 1'!$B$2:$B$2604,'Form responses 1'!$G$2:$G$2604,""))</f>
        <v/>
      </c>
      <c r="K3431" s="56"/>
      <c r="L3431" s="58" t="str">
        <f t="shared" si="7"/>
        <v/>
      </c>
      <c r="M3431" s="49"/>
      <c r="N3431" s="49"/>
      <c r="O3431" s="49"/>
      <c r="P3431" s="49"/>
      <c r="Q3431" s="49"/>
      <c r="R3431" s="49"/>
      <c r="S3431" s="49"/>
      <c r="T3431" s="49"/>
      <c r="U3431" s="49"/>
      <c r="V3431" s="49"/>
      <c r="W3431" s="56"/>
      <c r="X3431" s="51" t="str">
        <f t="shared" si="5"/>
        <v/>
      </c>
      <c r="Y3431" s="50" t="s">
        <v>482</v>
      </c>
      <c r="Z3431" s="49">
        <f t="shared" si="6"/>
        <v>0</v>
      </c>
    </row>
    <row r="3432" ht="22.5" customHeight="1">
      <c r="B3432" s="57"/>
      <c r="C3432" s="43" t="str">
        <f t="array" ref="C3432">IF(B3432="","",_xlfn.XLOOKUP(B3432,'Form responses 1'!$B$2:$B$2604,'Form responses 1'!$A$2:$A$2604,""))</f>
        <v/>
      </c>
      <c r="D3432" s="44" t="str">
        <f t="shared" si="3"/>
        <v/>
      </c>
      <c r="E3432" s="44" t="str">
        <f t="array" ref="E3432">IF(B3432="","",_xlfn.XLOOKUP(B3432,'Form responses 1'!$B$2:$B$2604,'Form responses 1'!$C$2:$C$2604,""))</f>
        <v/>
      </c>
      <c r="F3432" s="44" t="str">
        <f t="array" ref="F3432">IF(B3432="","",_xlfn.XLOOKUP(B3432,'Form responses 1'!$B$2:$B$2604,'Form responses 1'!$D$2:$D$2604,""))</f>
        <v/>
      </c>
      <c r="G3432" s="44" t="str">
        <f t="array" ref="G3432">IF(B3432="","",_xlfn.XLOOKUP(B3432,'Form responses 1'!$B$2:$B$2604,'Form responses 1'!$E$2:$E$2604,""))</f>
        <v/>
      </c>
      <c r="H3432" s="44" t="str">
        <f t="array" ref="H3432">IF(B3432="","",_xlfn.XLOOKUP(B3432,'Form responses 1'!$B$2:$B$2604,'Form responses 1'!$F$2:$F$2604,""))</f>
        <v/>
      </c>
      <c r="I3432" s="44" t="str">
        <f t="array" ref="I3432">IF(B3432="","",_xlfn.XLOOKUP(B3432,'Form responses 1'!$B$2:$B$2604,'Form responses 1'!$I$2:$I$2604,""))</f>
        <v/>
      </c>
      <c r="J3432" s="44" t="str">
        <f t="array" ref="J3432">IF(B3432="","",_xlfn.XLOOKUP(B3432,'Form responses 1'!$B$2:$B$2604,'Form responses 1'!$G$2:$G$2604,""))</f>
        <v/>
      </c>
      <c r="K3432" s="56"/>
      <c r="L3432" s="58" t="str">
        <f t="shared" si="7"/>
        <v/>
      </c>
      <c r="M3432" s="49"/>
      <c r="N3432" s="49"/>
      <c r="O3432" s="49"/>
      <c r="P3432" s="49"/>
      <c r="Q3432" s="49"/>
      <c r="R3432" s="49"/>
      <c r="S3432" s="49"/>
      <c r="T3432" s="49"/>
      <c r="U3432" s="49"/>
      <c r="V3432" s="49"/>
      <c r="W3432" s="56"/>
      <c r="X3432" s="51" t="str">
        <f t="shared" si="5"/>
        <v/>
      </c>
      <c r="Y3432" s="50" t="s">
        <v>482</v>
      </c>
      <c r="Z3432" s="49">
        <f t="shared" si="6"/>
        <v>0</v>
      </c>
    </row>
    <row r="3433" ht="22.5" customHeight="1">
      <c r="B3433" s="57"/>
      <c r="C3433" s="43" t="str">
        <f t="array" ref="C3433">IF(B3433="","",_xlfn.XLOOKUP(B3433,'Form responses 1'!$B$2:$B$2604,'Form responses 1'!$A$2:$A$2604,""))</f>
        <v/>
      </c>
      <c r="D3433" s="44" t="str">
        <f t="shared" si="3"/>
        <v/>
      </c>
      <c r="E3433" s="44" t="str">
        <f t="array" ref="E3433">IF(B3433="","",_xlfn.XLOOKUP(B3433,'Form responses 1'!$B$2:$B$2604,'Form responses 1'!$C$2:$C$2604,""))</f>
        <v/>
      </c>
      <c r="F3433" s="44" t="str">
        <f t="array" ref="F3433">IF(B3433="","",_xlfn.XLOOKUP(B3433,'Form responses 1'!$B$2:$B$2604,'Form responses 1'!$D$2:$D$2604,""))</f>
        <v/>
      </c>
      <c r="G3433" s="44" t="str">
        <f t="array" ref="G3433">IF(B3433="","",_xlfn.XLOOKUP(B3433,'Form responses 1'!$B$2:$B$2604,'Form responses 1'!$E$2:$E$2604,""))</f>
        <v/>
      </c>
      <c r="H3433" s="44" t="str">
        <f t="array" ref="H3433">IF(B3433="","",_xlfn.XLOOKUP(B3433,'Form responses 1'!$B$2:$B$2604,'Form responses 1'!$F$2:$F$2604,""))</f>
        <v/>
      </c>
      <c r="I3433" s="44" t="str">
        <f t="array" ref="I3433">IF(B3433="","",_xlfn.XLOOKUP(B3433,'Form responses 1'!$B$2:$B$2604,'Form responses 1'!$I$2:$I$2604,""))</f>
        <v/>
      </c>
      <c r="J3433" s="44" t="str">
        <f t="array" ref="J3433">IF(B3433="","",_xlfn.XLOOKUP(B3433,'Form responses 1'!$B$2:$B$2604,'Form responses 1'!$G$2:$G$2604,""))</f>
        <v/>
      </c>
      <c r="K3433" s="56"/>
      <c r="L3433" s="58" t="str">
        <f t="shared" si="7"/>
        <v/>
      </c>
      <c r="M3433" s="49"/>
      <c r="N3433" s="49"/>
      <c r="O3433" s="49"/>
      <c r="P3433" s="49"/>
      <c r="Q3433" s="49"/>
      <c r="R3433" s="49"/>
      <c r="S3433" s="49"/>
      <c r="T3433" s="49"/>
      <c r="U3433" s="49"/>
      <c r="V3433" s="49"/>
      <c r="W3433" s="56"/>
      <c r="X3433" s="51" t="str">
        <f t="shared" si="5"/>
        <v/>
      </c>
      <c r="Y3433" s="50" t="s">
        <v>482</v>
      </c>
      <c r="Z3433" s="49">
        <f t="shared" si="6"/>
        <v>0</v>
      </c>
    </row>
    <row r="3434" ht="22.5" customHeight="1">
      <c r="B3434" s="57"/>
      <c r="C3434" s="43" t="str">
        <f t="array" ref="C3434">IF(B3434="","",_xlfn.XLOOKUP(B3434,'Form responses 1'!$B$2:$B$2604,'Form responses 1'!$A$2:$A$2604,""))</f>
        <v/>
      </c>
      <c r="D3434" s="44" t="str">
        <f t="shared" si="3"/>
        <v/>
      </c>
      <c r="E3434" s="44" t="str">
        <f t="array" ref="E3434">IF(B3434="","",_xlfn.XLOOKUP(B3434,'Form responses 1'!$B$2:$B$2604,'Form responses 1'!$C$2:$C$2604,""))</f>
        <v/>
      </c>
      <c r="F3434" s="44" t="str">
        <f t="array" ref="F3434">IF(B3434="","",_xlfn.XLOOKUP(B3434,'Form responses 1'!$B$2:$B$2604,'Form responses 1'!$D$2:$D$2604,""))</f>
        <v/>
      </c>
      <c r="G3434" s="44" t="str">
        <f t="array" ref="G3434">IF(B3434="","",_xlfn.XLOOKUP(B3434,'Form responses 1'!$B$2:$B$2604,'Form responses 1'!$E$2:$E$2604,""))</f>
        <v/>
      </c>
      <c r="H3434" s="44" t="str">
        <f t="array" ref="H3434">IF(B3434="","",_xlfn.XLOOKUP(B3434,'Form responses 1'!$B$2:$B$2604,'Form responses 1'!$F$2:$F$2604,""))</f>
        <v/>
      </c>
      <c r="I3434" s="44" t="str">
        <f t="array" ref="I3434">IF(B3434="","",_xlfn.XLOOKUP(B3434,'Form responses 1'!$B$2:$B$2604,'Form responses 1'!$I$2:$I$2604,""))</f>
        <v/>
      </c>
      <c r="J3434" s="44" t="str">
        <f t="array" ref="J3434">IF(B3434="","",_xlfn.XLOOKUP(B3434,'Form responses 1'!$B$2:$B$2604,'Form responses 1'!$G$2:$G$2604,""))</f>
        <v/>
      </c>
      <c r="K3434" s="56"/>
      <c r="L3434" s="58" t="str">
        <f t="shared" si="7"/>
        <v/>
      </c>
      <c r="M3434" s="49"/>
      <c r="N3434" s="49"/>
      <c r="O3434" s="49"/>
      <c r="P3434" s="49"/>
      <c r="Q3434" s="49"/>
      <c r="R3434" s="49"/>
      <c r="S3434" s="49"/>
      <c r="T3434" s="49"/>
      <c r="U3434" s="49"/>
      <c r="V3434" s="49"/>
      <c r="W3434" s="56"/>
      <c r="X3434" s="51" t="str">
        <f t="shared" si="5"/>
        <v/>
      </c>
      <c r="Y3434" s="50" t="s">
        <v>482</v>
      </c>
      <c r="Z3434" s="49">
        <f t="shared" si="6"/>
        <v>0</v>
      </c>
    </row>
    <row r="3435" ht="22.5" customHeight="1">
      <c r="B3435" s="57"/>
      <c r="C3435" s="43" t="str">
        <f t="array" ref="C3435">IF(B3435="","",_xlfn.XLOOKUP(B3435,'Form responses 1'!$B$2:$B$2604,'Form responses 1'!$A$2:$A$2604,""))</f>
        <v/>
      </c>
      <c r="D3435" s="44" t="str">
        <f t="shared" si="3"/>
        <v/>
      </c>
      <c r="E3435" s="44" t="str">
        <f t="array" ref="E3435">IF(B3435="","",_xlfn.XLOOKUP(B3435,'Form responses 1'!$B$2:$B$2604,'Form responses 1'!$C$2:$C$2604,""))</f>
        <v/>
      </c>
      <c r="F3435" s="44" t="str">
        <f t="array" ref="F3435">IF(B3435="","",_xlfn.XLOOKUP(B3435,'Form responses 1'!$B$2:$B$2604,'Form responses 1'!$D$2:$D$2604,""))</f>
        <v/>
      </c>
      <c r="G3435" s="44" t="str">
        <f t="array" ref="G3435">IF(B3435="","",_xlfn.XLOOKUP(B3435,'Form responses 1'!$B$2:$B$2604,'Form responses 1'!$E$2:$E$2604,""))</f>
        <v/>
      </c>
      <c r="H3435" s="44" t="str">
        <f t="array" ref="H3435">IF(B3435="","",_xlfn.XLOOKUP(B3435,'Form responses 1'!$B$2:$B$2604,'Form responses 1'!$F$2:$F$2604,""))</f>
        <v/>
      </c>
      <c r="I3435" s="44" t="str">
        <f t="array" ref="I3435">IF(B3435="","",_xlfn.XLOOKUP(B3435,'Form responses 1'!$B$2:$B$2604,'Form responses 1'!$I$2:$I$2604,""))</f>
        <v/>
      </c>
      <c r="J3435" s="44" t="str">
        <f t="array" ref="J3435">IF(B3435="","",_xlfn.XLOOKUP(B3435,'Form responses 1'!$B$2:$B$2604,'Form responses 1'!$G$2:$G$2604,""))</f>
        <v/>
      </c>
      <c r="K3435" s="56"/>
      <c r="L3435" s="58" t="str">
        <f t="shared" si="7"/>
        <v/>
      </c>
      <c r="M3435" s="49"/>
      <c r="N3435" s="49"/>
      <c r="O3435" s="49"/>
      <c r="P3435" s="49"/>
      <c r="Q3435" s="49"/>
      <c r="R3435" s="49"/>
      <c r="S3435" s="49"/>
      <c r="T3435" s="49"/>
      <c r="U3435" s="49"/>
      <c r="V3435" s="49"/>
      <c r="W3435" s="56"/>
      <c r="X3435" s="51" t="str">
        <f t="shared" si="5"/>
        <v/>
      </c>
      <c r="Y3435" s="50" t="s">
        <v>482</v>
      </c>
      <c r="Z3435" s="49">
        <f t="shared" si="6"/>
        <v>0</v>
      </c>
    </row>
    <row r="3436" ht="22.5" customHeight="1">
      <c r="B3436" s="57"/>
      <c r="C3436" s="43" t="str">
        <f t="array" ref="C3436">IF(B3436="","",_xlfn.XLOOKUP(B3436,'Form responses 1'!$B$2:$B$2604,'Form responses 1'!$A$2:$A$2604,""))</f>
        <v/>
      </c>
      <c r="D3436" s="44" t="str">
        <f t="shared" si="3"/>
        <v/>
      </c>
      <c r="E3436" s="44" t="str">
        <f t="array" ref="E3436">IF(B3436="","",_xlfn.XLOOKUP(B3436,'Form responses 1'!$B$2:$B$2604,'Form responses 1'!$C$2:$C$2604,""))</f>
        <v/>
      </c>
      <c r="F3436" s="44" t="str">
        <f t="array" ref="F3436">IF(B3436="","",_xlfn.XLOOKUP(B3436,'Form responses 1'!$B$2:$B$2604,'Form responses 1'!$D$2:$D$2604,""))</f>
        <v/>
      </c>
      <c r="G3436" s="44" t="str">
        <f t="array" ref="G3436">IF(B3436="","",_xlfn.XLOOKUP(B3436,'Form responses 1'!$B$2:$B$2604,'Form responses 1'!$E$2:$E$2604,""))</f>
        <v/>
      </c>
      <c r="H3436" s="44" t="str">
        <f t="array" ref="H3436">IF(B3436="","",_xlfn.XLOOKUP(B3436,'Form responses 1'!$B$2:$B$2604,'Form responses 1'!$F$2:$F$2604,""))</f>
        <v/>
      </c>
      <c r="I3436" s="44" t="str">
        <f t="array" ref="I3436">IF(B3436="","",_xlfn.XLOOKUP(B3436,'Form responses 1'!$B$2:$B$2604,'Form responses 1'!$I$2:$I$2604,""))</f>
        <v/>
      </c>
      <c r="J3436" s="44" t="str">
        <f t="array" ref="J3436">IF(B3436="","",_xlfn.XLOOKUP(B3436,'Form responses 1'!$B$2:$B$2604,'Form responses 1'!$G$2:$G$2604,""))</f>
        <v/>
      </c>
      <c r="K3436" s="56"/>
      <c r="L3436" s="58" t="str">
        <f t="shared" si="7"/>
        <v/>
      </c>
      <c r="M3436" s="49"/>
      <c r="N3436" s="49"/>
      <c r="O3436" s="49"/>
      <c r="P3436" s="49"/>
      <c r="Q3436" s="49"/>
      <c r="R3436" s="49"/>
      <c r="S3436" s="49"/>
      <c r="T3436" s="49"/>
      <c r="U3436" s="49"/>
      <c r="V3436" s="49"/>
      <c r="W3436" s="56"/>
      <c r="X3436" s="51" t="str">
        <f t="shared" si="5"/>
        <v/>
      </c>
      <c r="Y3436" s="50" t="s">
        <v>482</v>
      </c>
      <c r="Z3436" s="49">
        <f t="shared" si="6"/>
        <v>0</v>
      </c>
    </row>
    <row r="3437" ht="22.5" customHeight="1">
      <c r="B3437" s="57"/>
      <c r="C3437" s="43" t="str">
        <f t="array" ref="C3437">IF(B3437="","",_xlfn.XLOOKUP(B3437,'Form responses 1'!$B$2:$B$2604,'Form responses 1'!$A$2:$A$2604,""))</f>
        <v/>
      </c>
      <c r="D3437" s="44" t="str">
        <f t="shared" si="3"/>
        <v/>
      </c>
      <c r="E3437" s="44" t="str">
        <f t="array" ref="E3437">IF(B3437="","",_xlfn.XLOOKUP(B3437,'Form responses 1'!$B$2:$B$2604,'Form responses 1'!$C$2:$C$2604,""))</f>
        <v/>
      </c>
      <c r="F3437" s="44" t="str">
        <f t="array" ref="F3437">IF(B3437="","",_xlfn.XLOOKUP(B3437,'Form responses 1'!$B$2:$B$2604,'Form responses 1'!$D$2:$D$2604,""))</f>
        <v/>
      </c>
      <c r="G3437" s="44" t="str">
        <f t="array" ref="G3437">IF(B3437="","",_xlfn.XLOOKUP(B3437,'Form responses 1'!$B$2:$B$2604,'Form responses 1'!$E$2:$E$2604,""))</f>
        <v/>
      </c>
      <c r="H3437" s="44" t="str">
        <f t="array" ref="H3437">IF(B3437="","",_xlfn.XLOOKUP(B3437,'Form responses 1'!$B$2:$B$2604,'Form responses 1'!$F$2:$F$2604,""))</f>
        <v/>
      </c>
      <c r="I3437" s="44" t="str">
        <f t="array" ref="I3437">IF(B3437="","",_xlfn.XLOOKUP(B3437,'Form responses 1'!$B$2:$B$2604,'Form responses 1'!$I$2:$I$2604,""))</f>
        <v/>
      </c>
      <c r="J3437" s="44" t="str">
        <f t="array" ref="J3437">IF(B3437="","",_xlfn.XLOOKUP(B3437,'Form responses 1'!$B$2:$B$2604,'Form responses 1'!$G$2:$G$2604,""))</f>
        <v/>
      </c>
      <c r="K3437" s="56"/>
      <c r="L3437" s="58" t="str">
        <f t="shared" si="7"/>
        <v/>
      </c>
      <c r="M3437" s="49"/>
      <c r="N3437" s="49"/>
      <c r="O3437" s="49"/>
      <c r="P3437" s="49"/>
      <c r="Q3437" s="49"/>
      <c r="R3437" s="49"/>
      <c r="S3437" s="49"/>
      <c r="T3437" s="49"/>
      <c r="U3437" s="49"/>
      <c r="V3437" s="49"/>
      <c r="W3437" s="56"/>
      <c r="X3437" s="51" t="str">
        <f t="shared" si="5"/>
        <v/>
      </c>
      <c r="Y3437" s="50" t="s">
        <v>482</v>
      </c>
      <c r="Z3437" s="49">
        <f t="shared" si="6"/>
        <v>0</v>
      </c>
    </row>
    <row r="3438" ht="22.5" customHeight="1">
      <c r="B3438" s="57"/>
      <c r="C3438" s="43" t="str">
        <f t="array" ref="C3438">IF(B3438="","",_xlfn.XLOOKUP(B3438,'Form responses 1'!$B$2:$B$2604,'Form responses 1'!$A$2:$A$2604,""))</f>
        <v/>
      </c>
      <c r="D3438" s="44" t="str">
        <f t="shared" si="3"/>
        <v/>
      </c>
      <c r="E3438" s="44" t="str">
        <f t="array" ref="E3438">IF(B3438="","",_xlfn.XLOOKUP(B3438,'Form responses 1'!$B$2:$B$2604,'Form responses 1'!$C$2:$C$2604,""))</f>
        <v/>
      </c>
      <c r="F3438" s="44" t="str">
        <f t="array" ref="F3438">IF(B3438="","",_xlfn.XLOOKUP(B3438,'Form responses 1'!$B$2:$B$2604,'Form responses 1'!$D$2:$D$2604,""))</f>
        <v/>
      </c>
      <c r="G3438" s="44" t="str">
        <f t="array" ref="G3438">IF(B3438="","",_xlfn.XLOOKUP(B3438,'Form responses 1'!$B$2:$B$2604,'Form responses 1'!$E$2:$E$2604,""))</f>
        <v/>
      </c>
      <c r="H3438" s="44" t="str">
        <f t="array" ref="H3438">IF(B3438="","",_xlfn.XLOOKUP(B3438,'Form responses 1'!$B$2:$B$2604,'Form responses 1'!$F$2:$F$2604,""))</f>
        <v/>
      </c>
      <c r="I3438" s="44" t="str">
        <f t="array" ref="I3438">IF(B3438="","",_xlfn.XLOOKUP(B3438,'Form responses 1'!$B$2:$B$2604,'Form responses 1'!$I$2:$I$2604,""))</f>
        <v/>
      </c>
      <c r="J3438" s="44" t="str">
        <f t="array" ref="J3438">IF(B3438="","",_xlfn.XLOOKUP(B3438,'Form responses 1'!$B$2:$B$2604,'Form responses 1'!$G$2:$G$2604,""))</f>
        <v/>
      </c>
      <c r="K3438" s="56"/>
      <c r="L3438" s="58" t="str">
        <f t="shared" si="7"/>
        <v/>
      </c>
      <c r="M3438" s="49"/>
      <c r="N3438" s="49"/>
      <c r="O3438" s="49"/>
      <c r="P3438" s="49"/>
      <c r="Q3438" s="49"/>
      <c r="R3438" s="49"/>
      <c r="S3438" s="49"/>
      <c r="T3438" s="49"/>
      <c r="U3438" s="49"/>
      <c r="V3438" s="49"/>
      <c r="W3438" s="56"/>
      <c r="X3438" s="51" t="str">
        <f t="shared" si="5"/>
        <v/>
      </c>
      <c r="Y3438" s="50" t="s">
        <v>482</v>
      </c>
      <c r="Z3438" s="49">
        <f t="shared" si="6"/>
        <v>0</v>
      </c>
    </row>
    <row r="3439" ht="22.5" customHeight="1">
      <c r="B3439" s="57"/>
      <c r="C3439" s="43" t="str">
        <f t="array" ref="C3439">IF(B3439="","",_xlfn.XLOOKUP(B3439,'Form responses 1'!$B$2:$B$2604,'Form responses 1'!$A$2:$A$2604,""))</f>
        <v/>
      </c>
      <c r="D3439" s="44" t="str">
        <f t="shared" si="3"/>
        <v/>
      </c>
      <c r="E3439" s="44" t="str">
        <f t="array" ref="E3439">IF(B3439="","",_xlfn.XLOOKUP(B3439,'Form responses 1'!$B$2:$B$2604,'Form responses 1'!$C$2:$C$2604,""))</f>
        <v/>
      </c>
      <c r="F3439" s="44" t="str">
        <f t="array" ref="F3439">IF(B3439="","",_xlfn.XLOOKUP(B3439,'Form responses 1'!$B$2:$B$2604,'Form responses 1'!$D$2:$D$2604,""))</f>
        <v/>
      </c>
      <c r="G3439" s="44" t="str">
        <f t="array" ref="G3439">IF(B3439="","",_xlfn.XLOOKUP(B3439,'Form responses 1'!$B$2:$B$2604,'Form responses 1'!$E$2:$E$2604,""))</f>
        <v/>
      </c>
      <c r="H3439" s="44" t="str">
        <f t="array" ref="H3439">IF(B3439="","",_xlfn.XLOOKUP(B3439,'Form responses 1'!$B$2:$B$2604,'Form responses 1'!$F$2:$F$2604,""))</f>
        <v/>
      </c>
      <c r="I3439" s="44" t="str">
        <f t="array" ref="I3439">IF(B3439="","",_xlfn.XLOOKUP(B3439,'Form responses 1'!$B$2:$B$2604,'Form responses 1'!$I$2:$I$2604,""))</f>
        <v/>
      </c>
      <c r="J3439" s="44" t="str">
        <f t="array" ref="J3439">IF(B3439="","",_xlfn.XLOOKUP(B3439,'Form responses 1'!$B$2:$B$2604,'Form responses 1'!$G$2:$G$2604,""))</f>
        <v/>
      </c>
      <c r="K3439" s="56"/>
      <c r="L3439" s="58" t="str">
        <f t="shared" si="7"/>
        <v/>
      </c>
      <c r="M3439" s="49"/>
      <c r="N3439" s="49"/>
      <c r="O3439" s="49"/>
      <c r="P3439" s="49"/>
      <c r="Q3439" s="49"/>
      <c r="R3439" s="49"/>
      <c r="S3439" s="49"/>
      <c r="T3439" s="49"/>
      <c r="U3439" s="49"/>
      <c r="V3439" s="49"/>
      <c r="W3439" s="56"/>
      <c r="X3439" s="51" t="str">
        <f t="shared" si="5"/>
        <v/>
      </c>
      <c r="Y3439" s="50" t="s">
        <v>482</v>
      </c>
      <c r="Z3439" s="49">
        <f t="shared" si="6"/>
        <v>0</v>
      </c>
    </row>
    <row r="3440" ht="22.5" customHeight="1">
      <c r="B3440" s="57"/>
      <c r="C3440" s="43" t="str">
        <f t="array" ref="C3440">IF(B3440="","",_xlfn.XLOOKUP(B3440,'Form responses 1'!$B$2:$B$2604,'Form responses 1'!$A$2:$A$2604,""))</f>
        <v/>
      </c>
      <c r="D3440" s="44" t="str">
        <f t="shared" si="3"/>
        <v/>
      </c>
      <c r="E3440" s="44" t="str">
        <f t="array" ref="E3440">IF(B3440="","",_xlfn.XLOOKUP(B3440,'Form responses 1'!$B$2:$B$2604,'Form responses 1'!$C$2:$C$2604,""))</f>
        <v/>
      </c>
      <c r="F3440" s="44" t="str">
        <f t="array" ref="F3440">IF(B3440="","",_xlfn.XLOOKUP(B3440,'Form responses 1'!$B$2:$B$2604,'Form responses 1'!$D$2:$D$2604,""))</f>
        <v/>
      </c>
      <c r="G3440" s="44" t="str">
        <f t="array" ref="G3440">IF(B3440="","",_xlfn.XLOOKUP(B3440,'Form responses 1'!$B$2:$B$2604,'Form responses 1'!$E$2:$E$2604,""))</f>
        <v/>
      </c>
      <c r="H3440" s="44" t="str">
        <f t="array" ref="H3440">IF(B3440="","",_xlfn.XLOOKUP(B3440,'Form responses 1'!$B$2:$B$2604,'Form responses 1'!$F$2:$F$2604,""))</f>
        <v/>
      </c>
      <c r="I3440" s="44" t="str">
        <f t="array" ref="I3440">IF(B3440="","",_xlfn.XLOOKUP(B3440,'Form responses 1'!$B$2:$B$2604,'Form responses 1'!$I$2:$I$2604,""))</f>
        <v/>
      </c>
      <c r="J3440" s="44" t="str">
        <f t="array" ref="J3440">IF(B3440="","",_xlfn.XLOOKUP(B3440,'Form responses 1'!$B$2:$B$2604,'Form responses 1'!$G$2:$G$2604,""))</f>
        <v/>
      </c>
      <c r="K3440" s="56"/>
      <c r="L3440" s="58" t="str">
        <f t="shared" si="7"/>
        <v/>
      </c>
      <c r="M3440" s="49"/>
      <c r="N3440" s="49"/>
      <c r="O3440" s="49"/>
      <c r="P3440" s="49"/>
      <c r="Q3440" s="49"/>
      <c r="R3440" s="49"/>
      <c r="S3440" s="49"/>
      <c r="T3440" s="49"/>
      <c r="U3440" s="49"/>
      <c r="V3440" s="49"/>
      <c r="W3440" s="56"/>
      <c r="X3440" s="51" t="str">
        <f t="shared" si="5"/>
        <v/>
      </c>
      <c r="Y3440" s="50" t="s">
        <v>482</v>
      </c>
      <c r="Z3440" s="49">
        <f t="shared" si="6"/>
        <v>0</v>
      </c>
    </row>
    <row r="3441" ht="22.5" customHeight="1">
      <c r="B3441" s="57"/>
      <c r="C3441" s="43" t="str">
        <f t="array" ref="C3441">IF(B3441="","",_xlfn.XLOOKUP(B3441,'Form responses 1'!$B$2:$B$2604,'Form responses 1'!$A$2:$A$2604,""))</f>
        <v/>
      </c>
      <c r="D3441" s="44" t="str">
        <f t="shared" si="3"/>
        <v/>
      </c>
      <c r="E3441" s="44" t="str">
        <f t="array" ref="E3441">IF(B3441="","",_xlfn.XLOOKUP(B3441,'Form responses 1'!$B$2:$B$2604,'Form responses 1'!$C$2:$C$2604,""))</f>
        <v/>
      </c>
      <c r="F3441" s="44" t="str">
        <f t="array" ref="F3441">IF(B3441="","",_xlfn.XLOOKUP(B3441,'Form responses 1'!$B$2:$B$2604,'Form responses 1'!$D$2:$D$2604,""))</f>
        <v/>
      </c>
      <c r="G3441" s="44" t="str">
        <f t="array" ref="G3441">IF(B3441="","",_xlfn.XLOOKUP(B3441,'Form responses 1'!$B$2:$B$2604,'Form responses 1'!$E$2:$E$2604,""))</f>
        <v/>
      </c>
      <c r="H3441" s="44" t="str">
        <f t="array" ref="H3441">IF(B3441="","",_xlfn.XLOOKUP(B3441,'Form responses 1'!$B$2:$B$2604,'Form responses 1'!$F$2:$F$2604,""))</f>
        <v/>
      </c>
      <c r="I3441" s="44" t="str">
        <f t="array" ref="I3441">IF(B3441="","",_xlfn.XLOOKUP(B3441,'Form responses 1'!$B$2:$B$2604,'Form responses 1'!$I$2:$I$2604,""))</f>
        <v/>
      </c>
      <c r="J3441" s="44" t="str">
        <f t="array" ref="J3441">IF(B3441="","",_xlfn.XLOOKUP(B3441,'Form responses 1'!$B$2:$B$2604,'Form responses 1'!$G$2:$G$2604,""))</f>
        <v/>
      </c>
      <c r="K3441" s="56"/>
      <c r="L3441" s="58" t="str">
        <f t="shared" si="7"/>
        <v/>
      </c>
      <c r="M3441" s="49"/>
      <c r="N3441" s="49"/>
      <c r="O3441" s="49"/>
      <c r="P3441" s="49"/>
      <c r="Q3441" s="49"/>
      <c r="R3441" s="49"/>
      <c r="S3441" s="49"/>
      <c r="T3441" s="49"/>
      <c r="U3441" s="49"/>
      <c r="V3441" s="49"/>
      <c r="W3441" s="56"/>
      <c r="X3441" s="51" t="str">
        <f t="shared" si="5"/>
        <v/>
      </c>
      <c r="Y3441" s="50" t="s">
        <v>482</v>
      </c>
      <c r="Z3441" s="49">
        <f t="shared" si="6"/>
        <v>0</v>
      </c>
    </row>
    <row r="3442" ht="22.5" customHeight="1">
      <c r="B3442" s="57"/>
      <c r="C3442" s="43" t="str">
        <f t="array" ref="C3442">IF(B3442="","",_xlfn.XLOOKUP(B3442,'Form responses 1'!$B$2:$B$2604,'Form responses 1'!$A$2:$A$2604,""))</f>
        <v/>
      </c>
      <c r="D3442" s="44" t="str">
        <f t="shared" si="3"/>
        <v/>
      </c>
      <c r="E3442" s="44" t="str">
        <f t="array" ref="E3442">IF(B3442="","",_xlfn.XLOOKUP(B3442,'Form responses 1'!$B$2:$B$2604,'Form responses 1'!$C$2:$C$2604,""))</f>
        <v/>
      </c>
      <c r="F3442" s="44" t="str">
        <f t="array" ref="F3442">IF(B3442="","",_xlfn.XLOOKUP(B3442,'Form responses 1'!$B$2:$B$2604,'Form responses 1'!$D$2:$D$2604,""))</f>
        <v/>
      </c>
      <c r="G3442" s="44" t="str">
        <f t="array" ref="G3442">IF(B3442="","",_xlfn.XLOOKUP(B3442,'Form responses 1'!$B$2:$B$2604,'Form responses 1'!$E$2:$E$2604,""))</f>
        <v/>
      </c>
      <c r="H3442" s="44" t="str">
        <f t="array" ref="H3442">IF(B3442="","",_xlfn.XLOOKUP(B3442,'Form responses 1'!$B$2:$B$2604,'Form responses 1'!$F$2:$F$2604,""))</f>
        <v/>
      </c>
      <c r="I3442" s="44" t="str">
        <f t="array" ref="I3442">IF(B3442="","",_xlfn.XLOOKUP(B3442,'Form responses 1'!$B$2:$B$2604,'Form responses 1'!$I$2:$I$2604,""))</f>
        <v/>
      </c>
      <c r="J3442" s="44" t="str">
        <f t="array" ref="J3442">IF(B3442="","",_xlfn.XLOOKUP(B3442,'Form responses 1'!$B$2:$B$2604,'Form responses 1'!$G$2:$G$2604,""))</f>
        <v/>
      </c>
      <c r="K3442" s="56"/>
      <c r="L3442" s="58" t="str">
        <f t="shared" si="7"/>
        <v/>
      </c>
      <c r="M3442" s="49"/>
      <c r="N3442" s="49"/>
      <c r="O3442" s="49"/>
      <c r="P3442" s="49"/>
      <c r="Q3442" s="49"/>
      <c r="R3442" s="49"/>
      <c r="S3442" s="49"/>
      <c r="T3442" s="49"/>
      <c r="U3442" s="49"/>
      <c r="V3442" s="49"/>
      <c r="W3442" s="56"/>
      <c r="X3442" s="51" t="str">
        <f t="shared" si="5"/>
        <v/>
      </c>
      <c r="Y3442" s="50" t="s">
        <v>482</v>
      </c>
      <c r="Z3442" s="49">
        <f t="shared" si="6"/>
        <v>0</v>
      </c>
    </row>
    <row r="3443" ht="22.5" customHeight="1">
      <c r="B3443" s="57"/>
      <c r="C3443" s="43" t="str">
        <f t="array" ref="C3443">IF(B3443="","",_xlfn.XLOOKUP(B3443,'Form responses 1'!$B$2:$B$2604,'Form responses 1'!$A$2:$A$2604,""))</f>
        <v/>
      </c>
      <c r="D3443" s="44" t="str">
        <f t="shared" si="3"/>
        <v/>
      </c>
      <c r="E3443" s="44" t="str">
        <f t="array" ref="E3443">IF(B3443="","",_xlfn.XLOOKUP(B3443,'Form responses 1'!$B$2:$B$2604,'Form responses 1'!$C$2:$C$2604,""))</f>
        <v/>
      </c>
      <c r="F3443" s="44" t="str">
        <f t="array" ref="F3443">IF(B3443="","",_xlfn.XLOOKUP(B3443,'Form responses 1'!$B$2:$B$2604,'Form responses 1'!$D$2:$D$2604,""))</f>
        <v/>
      </c>
      <c r="G3443" s="44" t="str">
        <f t="array" ref="G3443">IF(B3443="","",_xlfn.XLOOKUP(B3443,'Form responses 1'!$B$2:$B$2604,'Form responses 1'!$E$2:$E$2604,""))</f>
        <v/>
      </c>
      <c r="H3443" s="44" t="str">
        <f t="array" ref="H3443">IF(B3443="","",_xlfn.XLOOKUP(B3443,'Form responses 1'!$B$2:$B$2604,'Form responses 1'!$F$2:$F$2604,""))</f>
        <v/>
      </c>
      <c r="I3443" s="44" t="str">
        <f t="array" ref="I3443">IF(B3443="","",_xlfn.XLOOKUP(B3443,'Form responses 1'!$B$2:$B$2604,'Form responses 1'!$I$2:$I$2604,""))</f>
        <v/>
      </c>
      <c r="J3443" s="44" t="str">
        <f t="array" ref="J3443">IF(B3443="","",_xlfn.XLOOKUP(B3443,'Form responses 1'!$B$2:$B$2604,'Form responses 1'!$G$2:$G$2604,""))</f>
        <v/>
      </c>
      <c r="K3443" s="56"/>
      <c r="L3443" s="58" t="str">
        <f t="shared" si="7"/>
        <v/>
      </c>
      <c r="M3443" s="49"/>
      <c r="N3443" s="49"/>
      <c r="O3443" s="49"/>
      <c r="P3443" s="49"/>
      <c r="Q3443" s="49"/>
      <c r="R3443" s="49"/>
      <c r="S3443" s="49"/>
      <c r="T3443" s="49"/>
      <c r="U3443" s="49"/>
      <c r="V3443" s="49"/>
      <c r="W3443" s="56"/>
      <c r="X3443" s="51" t="str">
        <f t="shared" si="5"/>
        <v/>
      </c>
      <c r="Y3443" s="50" t="s">
        <v>482</v>
      </c>
      <c r="Z3443" s="49">
        <f t="shared" si="6"/>
        <v>0</v>
      </c>
    </row>
    <row r="3444" ht="22.5" customHeight="1">
      <c r="B3444" s="57"/>
      <c r="C3444" s="43" t="str">
        <f t="array" ref="C3444">IF(B3444="","",_xlfn.XLOOKUP(B3444,'Form responses 1'!$B$2:$B$2604,'Form responses 1'!$A$2:$A$2604,""))</f>
        <v/>
      </c>
      <c r="D3444" s="44" t="str">
        <f t="shared" si="3"/>
        <v/>
      </c>
      <c r="E3444" s="44" t="str">
        <f t="array" ref="E3444">IF(B3444="","",_xlfn.XLOOKUP(B3444,'Form responses 1'!$B$2:$B$2604,'Form responses 1'!$C$2:$C$2604,""))</f>
        <v/>
      </c>
      <c r="F3444" s="44" t="str">
        <f t="array" ref="F3444">IF(B3444="","",_xlfn.XLOOKUP(B3444,'Form responses 1'!$B$2:$B$2604,'Form responses 1'!$D$2:$D$2604,""))</f>
        <v/>
      </c>
      <c r="G3444" s="44" t="str">
        <f t="array" ref="G3444">IF(B3444="","",_xlfn.XLOOKUP(B3444,'Form responses 1'!$B$2:$B$2604,'Form responses 1'!$E$2:$E$2604,""))</f>
        <v/>
      </c>
      <c r="H3444" s="44" t="str">
        <f t="array" ref="H3444">IF(B3444="","",_xlfn.XLOOKUP(B3444,'Form responses 1'!$B$2:$B$2604,'Form responses 1'!$F$2:$F$2604,""))</f>
        <v/>
      </c>
      <c r="I3444" s="44" t="str">
        <f t="array" ref="I3444">IF(B3444="","",_xlfn.XLOOKUP(B3444,'Form responses 1'!$B$2:$B$2604,'Form responses 1'!$I$2:$I$2604,""))</f>
        <v/>
      </c>
      <c r="J3444" s="44" t="str">
        <f t="array" ref="J3444">IF(B3444="","",_xlfn.XLOOKUP(B3444,'Form responses 1'!$B$2:$B$2604,'Form responses 1'!$G$2:$G$2604,""))</f>
        <v/>
      </c>
      <c r="K3444" s="56"/>
      <c r="L3444" s="58" t="str">
        <f t="shared" si="7"/>
        <v/>
      </c>
      <c r="M3444" s="49"/>
      <c r="N3444" s="49"/>
      <c r="O3444" s="49"/>
      <c r="P3444" s="49"/>
      <c r="Q3444" s="49"/>
      <c r="R3444" s="49"/>
      <c r="S3444" s="49"/>
      <c r="T3444" s="49"/>
      <c r="U3444" s="49"/>
      <c r="V3444" s="49"/>
      <c r="W3444" s="56"/>
      <c r="X3444" s="51" t="str">
        <f t="shared" si="5"/>
        <v/>
      </c>
      <c r="Y3444" s="50" t="s">
        <v>482</v>
      </c>
      <c r="Z3444" s="49">
        <f t="shared" si="6"/>
        <v>0</v>
      </c>
    </row>
    <row r="3445" ht="22.5" customHeight="1">
      <c r="B3445" s="57"/>
      <c r="C3445" s="43" t="str">
        <f t="array" ref="C3445">IF(B3445="","",_xlfn.XLOOKUP(B3445,'Form responses 1'!$B$2:$B$2604,'Form responses 1'!$A$2:$A$2604,""))</f>
        <v/>
      </c>
      <c r="D3445" s="44" t="str">
        <f t="shared" si="3"/>
        <v/>
      </c>
      <c r="E3445" s="44" t="str">
        <f t="array" ref="E3445">IF(B3445="","",_xlfn.XLOOKUP(B3445,'Form responses 1'!$B$2:$B$2604,'Form responses 1'!$C$2:$C$2604,""))</f>
        <v/>
      </c>
      <c r="F3445" s="44" t="str">
        <f t="array" ref="F3445">IF(B3445="","",_xlfn.XLOOKUP(B3445,'Form responses 1'!$B$2:$B$2604,'Form responses 1'!$D$2:$D$2604,""))</f>
        <v/>
      </c>
      <c r="G3445" s="44" t="str">
        <f t="array" ref="G3445">IF(B3445="","",_xlfn.XLOOKUP(B3445,'Form responses 1'!$B$2:$B$2604,'Form responses 1'!$E$2:$E$2604,""))</f>
        <v/>
      </c>
      <c r="H3445" s="44" t="str">
        <f t="array" ref="H3445">IF(B3445="","",_xlfn.XLOOKUP(B3445,'Form responses 1'!$B$2:$B$2604,'Form responses 1'!$F$2:$F$2604,""))</f>
        <v/>
      </c>
      <c r="I3445" s="44" t="str">
        <f t="array" ref="I3445">IF(B3445="","",_xlfn.XLOOKUP(B3445,'Form responses 1'!$B$2:$B$2604,'Form responses 1'!$I$2:$I$2604,""))</f>
        <v/>
      </c>
      <c r="J3445" s="44" t="str">
        <f t="array" ref="J3445">IF(B3445="","",_xlfn.XLOOKUP(B3445,'Form responses 1'!$B$2:$B$2604,'Form responses 1'!$G$2:$G$2604,""))</f>
        <v/>
      </c>
      <c r="K3445" s="56"/>
      <c r="L3445" s="58" t="str">
        <f t="shared" si="7"/>
        <v/>
      </c>
      <c r="M3445" s="49"/>
      <c r="N3445" s="49"/>
      <c r="O3445" s="49"/>
      <c r="P3445" s="49"/>
      <c r="Q3445" s="49"/>
      <c r="R3445" s="49"/>
      <c r="S3445" s="49"/>
      <c r="T3445" s="49"/>
      <c r="U3445" s="49"/>
      <c r="V3445" s="49"/>
      <c r="W3445" s="56"/>
      <c r="X3445" s="51" t="str">
        <f t="shared" si="5"/>
        <v/>
      </c>
      <c r="Y3445" s="50" t="s">
        <v>482</v>
      </c>
      <c r="Z3445" s="49">
        <f t="shared" si="6"/>
        <v>0</v>
      </c>
    </row>
    <row r="3446" ht="22.5" customHeight="1">
      <c r="B3446" s="57"/>
      <c r="C3446" s="43" t="str">
        <f t="array" ref="C3446">IF(B3446="","",_xlfn.XLOOKUP(B3446,'Form responses 1'!$B$2:$B$2604,'Form responses 1'!$A$2:$A$2604,""))</f>
        <v/>
      </c>
      <c r="D3446" s="44" t="str">
        <f t="shared" si="3"/>
        <v/>
      </c>
      <c r="E3446" s="44" t="str">
        <f t="array" ref="E3446">IF(B3446="","",_xlfn.XLOOKUP(B3446,'Form responses 1'!$B$2:$B$2604,'Form responses 1'!$C$2:$C$2604,""))</f>
        <v/>
      </c>
      <c r="F3446" s="44" t="str">
        <f t="array" ref="F3446">IF(B3446="","",_xlfn.XLOOKUP(B3446,'Form responses 1'!$B$2:$B$2604,'Form responses 1'!$D$2:$D$2604,""))</f>
        <v/>
      </c>
      <c r="G3446" s="44" t="str">
        <f t="array" ref="G3446">IF(B3446="","",_xlfn.XLOOKUP(B3446,'Form responses 1'!$B$2:$B$2604,'Form responses 1'!$E$2:$E$2604,""))</f>
        <v/>
      </c>
      <c r="H3446" s="44" t="str">
        <f t="array" ref="H3446">IF(B3446="","",_xlfn.XLOOKUP(B3446,'Form responses 1'!$B$2:$B$2604,'Form responses 1'!$F$2:$F$2604,""))</f>
        <v/>
      </c>
      <c r="I3446" s="44" t="str">
        <f t="array" ref="I3446">IF(B3446="","",_xlfn.XLOOKUP(B3446,'Form responses 1'!$B$2:$B$2604,'Form responses 1'!$I$2:$I$2604,""))</f>
        <v/>
      </c>
      <c r="J3446" s="44" t="str">
        <f t="array" ref="J3446">IF(B3446="","",_xlfn.XLOOKUP(B3446,'Form responses 1'!$B$2:$B$2604,'Form responses 1'!$G$2:$G$2604,""))</f>
        <v/>
      </c>
      <c r="K3446" s="56"/>
      <c r="L3446" s="58" t="str">
        <f t="shared" si="7"/>
        <v/>
      </c>
      <c r="M3446" s="49"/>
      <c r="N3446" s="49"/>
      <c r="O3446" s="49"/>
      <c r="P3446" s="49"/>
      <c r="Q3446" s="49"/>
      <c r="R3446" s="49"/>
      <c r="S3446" s="49"/>
      <c r="T3446" s="49"/>
      <c r="U3446" s="49"/>
      <c r="V3446" s="49"/>
      <c r="W3446" s="56"/>
      <c r="X3446" s="51" t="str">
        <f t="shared" si="5"/>
        <v/>
      </c>
      <c r="Y3446" s="50" t="s">
        <v>482</v>
      </c>
      <c r="Z3446" s="49">
        <f t="shared" si="6"/>
        <v>0</v>
      </c>
    </row>
    <row r="3447" ht="22.5" customHeight="1">
      <c r="B3447" s="57"/>
      <c r="C3447" s="43" t="str">
        <f t="array" ref="C3447">IF(B3447="","",_xlfn.XLOOKUP(B3447,'Form responses 1'!$B$2:$B$2604,'Form responses 1'!$A$2:$A$2604,""))</f>
        <v/>
      </c>
      <c r="D3447" s="44" t="str">
        <f t="shared" si="3"/>
        <v/>
      </c>
      <c r="E3447" s="44" t="str">
        <f t="array" ref="E3447">IF(B3447="","",_xlfn.XLOOKUP(B3447,'Form responses 1'!$B$2:$B$2604,'Form responses 1'!$C$2:$C$2604,""))</f>
        <v/>
      </c>
      <c r="F3447" s="44" t="str">
        <f t="array" ref="F3447">IF(B3447="","",_xlfn.XLOOKUP(B3447,'Form responses 1'!$B$2:$B$2604,'Form responses 1'!$D$2:$D$2604,""))</f>
        <v/>
      </c>
      <c r="G3447" s="44" t="str">
        <f t="array" ref="G3447">IF(B3447="","",_xlfn.XLOOKUP(B3447,'Form responses 1'!$B$2:$B$2604,'Form responses 1'!$E$2:$E$2604,""))</f>
        <v/>
      </c>
      <c r="H3447" s="44" t="str">
        <f t="array" ref="H3447">IF(B3447="","",_xlfn.XLOOKUP(B3447,'Form responses 1'!$B$2:$B$2604,'Form responses 1'!$F$2:$F$2604,""))</f>
        <v/>
      </c>
      <c r="I3447" s="44" t="str">
        <f t="array" ref="I3447">IF(B3447="","",_xlfn.XLOOKUP(B3447,'Form responses 1'!$B$2:$B$2604,'Form responses 1'!$I$2:$I$2604,""))</f>
        <v/>
      </c>
      <c r="J3447" s="44" t="str">
        <f t="array" ref="J3447">IF(B3447="","",_xlfn.XLOOKUP(B3447,'Form responses 1'!$B$2:$B$2604,'Form responses 1'!$G$2:$G$2604,""))</f>
        <v/>
      </c>
      <c r="K3447" s="56"/>
      <c r="L3447" s="58" t="str">
        <f t="shared" si="7"/>
        <v/>
      </c>
      <c r="M3447" s="49"/>
      <c r="N3447" s="49"/>
      <c r="O3447" s="49"/>
      <c r="P3447" s="49"/>
      <c r="Q3447" s="49"/>
      <c r="R3447" s="49"/>
      <c r="S3447" s="49"/>
      <c r="T3447" s="49"/>
      <c r="U3447" s="49"/>
      <c r="V3447" s="49"/>
      <c r="W3447" s="56"/>
      <c r="X3447" s="51" t="str">
        <f t="shared" si="5"/>
        <v/>
      </c>
      <c r="Y3447" s="50" t="s">
        <v>482</v>
      </c>
      <c r="Z3447" s="49">
        <f t="shared" si="6"/>
        <v>0</v>
      </c>
    </row>
    <row r="3448" ht="22.5" customHeight="1">
      <c r="B3448" s="57"/>
      <c r="C3448" s="43" t="str">
        <f t="array" ref="C3448">IF(B3448="","",_xlfn.XLOOKUP(B3448,'Form responses 1'!$B$2:$B$2604,'Form responses 1'!$A$2:$A$2604,""))</f>
        <v/>
      </c>
      <c r="D3448" s="44" t="str">
        <f t="shared" si="3"/>
        <v/>
      </c>
      <c r="E3448" s="44" t="str">
        <f t="array" ref="E3448">IF(B3448="","",_xlfn.XLOOKUP(B3448,'Form responses 1'!$B$2:$B$2604,'Form responses 1'!$C$2:$C$2604,""))</f>
        <v/>
      </c>
      <c r="F3448" s="44" t="str">
        <f t="array" ref="F3448">IF(B3448="","",_xlfn.XLOOKUP(B3448,'Form responses 1'!$B$2:$B$2604,'Form responses 1'!$D$2:$D$2604,""))</f>
        <v/>
      </c>
      <c r="G3448" s="44" t="str">
        <f t="array" ref="G3448">IF(B3448="","",_xlfn.XLOOKUP(B3448,'Form responses 1'!$B$2:$B$2604,'Form responses 1'!$E$2:$E$2604,""))</f>
        <v/>
      </c>
      <c r="H3448" s="44" t="str">
        <f t="array" ref="H3448">IF(B3448="","",_xlfn.XLOOKUP(B3448,'Form responses 1'!$B$2:$B$2604,'Form responses 1'!$F$2:$F$2604,""))</f>
        <v/>
      </c>
      <c r="I3448" s="44" t="str">
        <f t="array" ref="I3448">IF(B3448="","",_xlfn.XLOOKUP(B3448,'Form responses 1'!$B$2:$B$2604,'Form responses 1'!$I$2:$I$2604,""))</f>
        <v/>
      </c>
      <c r="J3448" s="44" t="str">
        <f t="array" ref="J3448">IF(B3448="","",_xlfn.XLOOKUP(B3448,'Form responses 1'!$B$2:$B$2604,'Form responses 1'!$G$2:$G$2604,""))</f>
        <v/>
      </c>
      <c r="K3448" s="56"/>
      <c r="L3448" s="58" t="str">
        <f t="shared" si="7"/>
        <v/>
      </c>
      <c r="M3448" s="49"/>
      <c r="N3448" s="49"/>
      <c r="O3448" s="49"/>
      <c r="P3448" s="49"/>
      <c r="Q3448" s="49"/>
      <c r="R3448" s="49"/>
      <c r="S3448" s="49"/>
      <c r="T3448" s="49"/>
      <c r="U3448" s="49"/>
      <c r="V3448" s="49"/>
      <c r="W3448" s="56"/>
      <c r="X3448" s="51" t="str">
        <f t="shared" si="5"/>
        <v/>
      </c>
      <c r="Y3448" s="50" t="s">
        <v>482</v>
      </c>
      <c r="Z3448" s="49">
        <f t="shared" si="6"/>
        <v>0</v>
      </c>
    </row>
    <row r="3449" ht="22.5" customHeight="1">
      <c r="B3449" s="57"/>
      <c r="C3449" s="43" t="str">
        <f t="array" ref="C3449">IF(B3449="","",_xlfn.XLOOKUP(B3449,'Form responses 1'!$B$2:$B$2604,'Form responses 1'!$A$2:$A$2604,""))</f>
        <v/>
      </c>
      <c r="D3449" s="44" t="str">
        <f t="shared" si="3"/>
        <v/>
      </c>
      <c r="E3449" s="44" t="str">
        <f t="array" ref="E3449">IF(B3449="","",_xlfn.XLOOKUP(B3449,'Form responses 1'!$B$2:$B$2604,'Form responses 1'!$C$2:$C$2604,""))</f>
        <v/>
      </c>
      <c r="F3449" s="44" t="str">
        <f t="array" ref="F3449">IF(B3449="","",_xlfn.XLOOKUP(B3449,'Form responses 1'!$B$2:$B$2604,'Form responses 1'!$D$2:$D$2604,""))</f>
        <v/>
      </c>
      <c r="G3449" s="44" t="str">
        <f t="array" ref="G3449">IF(B3449="","",_xlfn.XLOOKUP(B3449,'Form responses 1'!$B$2:$B$2604,'Form responses 1'!$E$2:$E$2604,""))</f>
        <v/>
      </c>
      <c r="H3449" s="44" t="str">
        <f t="array" ref="H3449">IF(B3449="","",_xlfn.XLOOKUP(B3449,'Form responses 1'!$B$2:$B$2604,'Form responses 1'!$F$2:$F$2604,""))</f>
        <v/>
      </c>
      <c r="I3449" s="44" t="str">
        <f t="array" ref="I3449">IF(B3449="","",_xlfn.XLOOKUP(B3449,'Form responses 1'!$B$2:$B$2604,'Form responses 1'!$I$2:$I$2604,""))</f>
        <v/>
      </c>
      <c r="J3449" s="44" t="str">
        <f t="array" ref="J3449">IF(B3449="","",_xlfn.XLOOKUP(B3449,'Form responses 1'!$B$2:$B$2604,'Form responses 1'!$G$2:$G$2604,""))</f>
        <v/>
      </c>
      <c r="K3449" s="56"/>
      <c r="L3449" s="58" t="str">
        <f t="shared" si="7"/>
        <v/>
      </c>
      <c r="M3449" s="49"/>
      <c r="N3449" s="49"/>
      <c r="O3449" s="49"/>
      <c r="P3449" s="49"/>
      <c r="Q3449" s="49"/>
      <c r="R3449" s="49"/>
      <c r="S3449" s="49"/>
      <c r="T3449" s="49"/>
      <c r="U3449" s="49"/>
      <c r="V3449" s="49"/>
      <c r="W3449" s="56"/>
      <c r="X3449" s="51" t="str">
        <f t="shared" si="5"/>
        <v/>
      </c>
      <c r="Y3449" s="50" t="s">
        <v>482</v>
      </c>
      <c r="Z3449" s="49">
        <f t="shared" si="6"/>
        <v>0</v>
      </c>
    </row>
    <row r="3450" ht="22.5" customHeight="1">
      <c r="B3450" s="57"/>
      <c r="C3450" s="43" t="str">
        <f t="array" ref="C3450">IF(B3450="","",_xlfn.XLOOKUP(B3450,'Form responses 1'!$B$2:$B$2604,'Form responses 1'!$A$2:$A$2604,""))</f>
        <v/>
      </c>
      <c r="D3450" s="44" t="str">
        <f t="shared" si="3"/>
        <v/>
      </c>
      <c r="E3450" s="44" t="str">
        <f t="array" ref="E3450">IF(B3450="","",_xlfn.XLOOKUP(B3450,'Form responses 1'!$B$2:$B$2604,'Form responses 1'!$C$2:$C$2604,""))</f>
        <v/>
      </c>
      <c r="F3450" s="44" t="str">
        <f t="array" ref="F3450">IF(B3450="","",_xlfn.XLOOKUP(B3450,'Form responses 1'!$B$2:$B$2604,'Form responses 1'!$D$2:$D$2604,""))</f>
        <v/>
      </c>
      <c r="G3450" s="44" t="str">
        <f t="array" ref="G3450">IF(B3450="","",_xlfn.XLOOKUP(B3450,'Form responses 1'!$B$2:$B$2604,'Form responses 1'!$E$2:$E$2604,""))</f>
        <v/>
      </c>
      <c r="H3450" s="44" t="str">
        <f t="array" ref="H3450">IF(B3450="","",_xlfn.XLOOKUP(B3450,'Form responses 1'!$B$2:$B$2604,'Form responses 1'!$F$2:$F$2604,""))</f>
        <v/>
      </c>
      <c r="I3450" s="44" t="str">
        <f t="array" ref="I3450">IF(B3450="","",_xlfn.XLOOKUP(B3450,'Form responses 1'!$B$2:$B$2604,'Form responses 1'!$I$2:$I$2604,""))</f>
        <v/>
      </c>
      <c r="J3450" s="44" t="str">
        <f t="array" ref="J3450">IF(B3450="","",_xlfn.XLOOKUP(B3450,'Form responses 1'!$B$2:$B$2604,'Form responses 1'!$G$2:$G$2604,""))</f>
        <v/>
      </c>
      <c r="K3450" s="56"/>
      <c r="L3450" s="58" t="str">
        <f t="shared" si="7"/>
        <v/>
      </c>
      <c r="M3450" s="49"/>
      <c r="N3450" s="49"/>
      <c r="O3450" s="49"/>
      <c r="P3450" s="49"/>
      <c r="Q3450" s="49"/>
      <c r="R3450" s="49"/>
      <c r="S3450" s="49"/>
      <c r="T3450" s="49"/>
      <c r="U3450" s="49"/>
      <c r="V3450" s="49"/>
      <c r="W3450" s="56"/>
      <c r="X3450" s="51" t="str">
        <f t="shared" si="5"/>
        <v/>
      </c>
      <c r="Y3450" s="50" t="s">
        <v>482</v>
      </c>
      <c r="Z3450" s="49">
        <f t="shared" si="6"/>
        <v>0</v>
      </c>
    </row>
    <row r="3451" ht="22.5" customHeight="1">
      <c r="B3451" s="57"/>
      <c r="C3451" s="43" t="str">
        <f t="array" ref="C3451">IF(B3451="","",_xlfn.XLOOKUP(B3451,'Form responses 1'!$B$2:$B$2604,'Form responses 1'!$A$2:$A$2604,""))</f>
        <v/>
      </c>
      <c r="D3451" s="44" t="str">
        <f t="shared" si="3"/>
        <v/>
      </c>
      <c r="E3451" s="44" t="str">
        <f t="array" ref="E3451">IF(B3451="","",_xlfn.XLOOKUP(B3451,'Form responses 1'!$B$2:$B$2604,'Form responses 1'!$C$2:$C$2604,""))</f>
        <v/>
      </c>
      <c r="F3451" s="44" t="str">
        <f t="array" ref="F3451">IF(B3451="","",_xlfn.XLOOKUP(B3451,'Form responses 1'!$B$2:$B$2604,'Form responses 1'!$D$2:$D$2604,""))</f>
        <v/>
      </c>
      <c r="G3451" s="44" t="str">
        <f t="array" ref="G3451">IF(B3451="","",_xlfn.XLOOKUP(B3451,'Form responses 1'!$B$2:$B$2604,'Form responses 1'!$E$2:$E$2604,""))</f>
        <v/>
      </c>
      <c r="H3451" s="44" t="str">
        <f t="array" ref="H3451">IF(B3451="","",_xlfn.XLOOKUP(B3451,'Form responses 1'!$B$2:$B$2604,'Form responses 1'!$F$2:$F$2604,""))</f>
        <v/>
      </c>
      <c r="I3451" s="44" t="str">
        <f t="array" ref="I3451">IF(B3451="","",_xlfn.XLOOKUP(B3451,'Form responses 1'!$B$2:$B$2604,'Form responses 1'!$I$2:$I$2604,""))</f>
        <v/>
      </c>
      <c r="J3451" s="44" t="str">
        <f t="array" ref="J3451">IF(B3451="","",_xlfn.XLOOKUP(B3451,'Form responses 1'!$B$2:$B$2604,'Form responses 1'!$G$2:$G$2604,""))</f>
        <v/>
      </c>
      <c r="K3451" s="56"/>
      <c r="L3451" s="58" t="str">
        <f t="shared" si="7"/>
        <v/>
      </c>
      <c r="M3451" s="49"/>
      <c r="N3451" s="49"/>
      <c r="O3451" s="49"/>
      <c r="P3451" s="49"/>
      <c r="Q3451" s="49"/>
      <c r="R3451" s="49"/>
      <c r="S3451" s="49"/>
      <c r="T3451" s="49"/>
      <c r="U3451" s="49"/>
      <c r="V3451" s="49"/>
      <c r="W3451" s="56"/>
      <c r="X3451" s="51" t="str">
        <f t="shared" si="5"/>
        <v/>
      </c>
      <c r="Y3451" s="50" t="s">
        <v>482</v>
      </c>
      <c r="Z3451" s="49">
        <f t="shared" si="6"/>
        <v>0</v>
      </c>
    </row>
    <row r="3452" ht="22.5" customHeight="1">
      <c r="B3452" s="57"/>
      <c r="C3452" s="43" t="str">
        <f t="array" ref="C3452">IF(B3452="","",_xlfn.XLOOKUP(B3452,'Form responses 1'!$B$2:$B$2604,'Form responses 1'!$A$2:$A$2604,""))</f>
        <v/>
      </c>
      <c r="D3452" s="44" t="str">
        <f t="shared" si="3"/>
        <v/>
      </c>
      <c r="E3452" s="44" t="str">
        <f t="array" ref="E3452">IF(B3452="","",_xlfn.XLOOKUP(B3452,'Form responses 1'!$B$2:$B$2604,'Form responses 1'!$C$2:$C$2604,""))</f>
        <v/>
      </c>
      <c r="F3452" s="44" t="str">
        <f t="array" ref="F3452">IF(B3452="","",_xlfn.XLOOKUP(B3452,'Form responses 1'!$B$2:$B$2604,'Form responses 1'!$D$2:$D$2604,""))</f>
        <v/>
      </c>
      <c r="G3452" s="44" t="str">
        <f t="array" ref="G3452">IF(B3452="","",_xlfn.XLOOKUP(B3452,'Form responses 1'!$B$2:$B$2604,'Form responses 1'!$E$2:$E$2604,""))</f>
        <v/>
      </c>
      <c r="H3452" s="44" t="str">
        <f t="array" ref="H3452">IF(B3452="","",_xlfn.XLOOKUP(B3452,'Form responses 1'!$B$2:$B$2604,'Form responses 1'!$F$2:$F$2604,""))</f>
        <v/>
      </c>
      <c r="I3452" s="44" t="str">
        <f t="array" ref="I3452">IF(B3452="","",_xlfn.XLOOKUP(B3452,'Form responses 1'!$B$2:$B$2604,'Form responses 1'!$I$2:$I$2604,""))</f>
        <v/>
      </c>
      <c r="J3452" s="44" t="str">
        <f t="array" ref="J3452">IF(B3452="","",_xlfn.XLOOKUP(B3452,'Form responses 1'!$B$2:$B$2604,'Form responses 1'!$G$2:$G$2604,""))</f>
        <v/>
      </c>
      <c r="K3452" s="56"/>
      <c r="L3452" s="58" t="str">
        <f t="shared" si="7"/>
        <v/>
      </c>
      <c r="M3452" s="49"/>
      <c r="N3452" s="49"/>
      <c r="O3452" s="49"/>
      <c r="P3452" s="49"/>
      <c r="Q3452" s="49"/>
      <c r="R3452" s="49"/>
      <c r="S3452" s="49"/>
      <c r="T3452" s="49"/>
      <c r="U3452" s="49"/>
      <c r="V3452" s="49"/>
      <c r="W3452" s="56"/>
      <c r="X3452" s="51" t="str">
        <f t="shared" si="5"/>
        <v/>
      </c>
      <c r="Y3452" s="50" t="s">
        <v>482</v>
      </c>
      <c r="Z3452" s="49">
        <f t="shared" si="6"/>
        <v>0</v>
      </c>
    </row>
    <row r="3453" ht="22.5" customHeight="1">
      <c r="B3453" s="57"/>
      <c r="C3453" s="43" t="str">
        <f t="array" ref="C3453">IF(B3453="","",_xlfn.XLOOKUP(B3453,'Form responses 1'!$B$2:$B$2604,'Form responses 1'!$A$2:$A$2604,""))</f>
        <v/>
      </c>
      <c r="D3453" s="44" t="str">
        <f t="shared" si="3"/>
        <v/>
      </c>
      <c r="E3453" s="44" t="str">
        <f t="array" ref="E3453">IF(B3453="","",_xlfn.XLOOKUP(B3453,'Form responses 1'!$B$2:$B$2604,'Form responses 1'!$C$2:$C$2604,""))</f>
        <v/>
      </c>
      <c r="F3453" s="44" t="str">
        <f t="array" ref="F3453">IF(B3453="","",_xlfn.XLOOKUP(B3453,'Form responses 1'!$B$2:$B$2604,'Form responses 1'!$D$2:$D$2604,""))</f>
        <v/>
      </c>
      <c r="G3453" s="44" t="str">
        <f t="array" ref="G3453">IF(B3453="","",_xlfn.XLOOKUP(B3453,'Form responses 1'!$B$2:$B$2604,'Form responses 1'!$E$2:$E$2604,""))</f>
        <v/>
      </c>
      <c r="H3453" s="44" t="str">
        <f t="array" ref="H3453">IF(B3453="","",_xlfn.XLOOKUP(B3453,'Form responses 1'!$B$2:$B$2604,'Form responses 1'!$F$2:$F$2604,""))</f>
        <v/>
      </c>
      <c r="I3453" s="44" t="str">
        <f t="array" ref="I3453">IF(B3453="","",_xlfn.XLOOKUP(B3453,'Form responses 1'!$B$2:$B$2604,'Form responses 1'!$I$2:$I$2604,""))</f>
        <v/>
      </c>
      <c r="J3453" s="44" t="str">
        <f t="array" ref="J3453">IF(B3453="","",_xlfn.XLOOKUP(B3453,'Form responses 1'!$B$2:$B$2604,'Form responses 1'!$G$2:$G$2604,""))</f>
        <v/>
      </c>
      <c r="K3453" s="56"/>
      <c r="L3453" s="58" t="str">
        <f t="shared" si="7"/>
        <v/>
      </c>
      <c r="M3453" s="49"/>
      <c r="N3453" s="49"/>
      <c r="O3453" s="49"/>
      <c r="P3453" s="49"/>
      <c r="Q3453" s="49"/>
      <c r="R3453" s="49"/>
      <c r="S3453" s="49"/>
      <c r="T3453" s="49"/>
      <c r="U3453" s="49"/>
      <c r="V3453" s="49"/>
      <c r="W3453" s="56"/>
      <c r="X3453" s="51" t="str">
        <f t="shared" si="5"/>
        <v/>
      </c>
      <c r="Y3453" s="50" t="s">
        <v>482</v>
      </c>
      <c r="Z3453" s="49">
        <f t="shared" si="6"/>
        <v>0</v>
      </c>
    </row>
    <row r="3454" ht="22.5" customHeight="1">
      <c r="B3454" s="57"/>
      <c r="C3454" s="43" t="str">
        <f t="array" ref="C3454">IF(B3454="","",_xlfn.XLOOKUP(B3454,'Form responses 1'!$B$2:$B$2604,'Form responses 1'!$A$2:$A$2604,""))</f>
        <v/>
      </c>
      <c r="D3454" s="44" t="str">
        <f t="shared" si="3"/>
        <v/>
      </c>
      <c r="E3454" s="44" t="str">
        <f t="array" ref="E3454">IF(B3454="","",_xlfn.XLOOKUP(B3454,'Form responses 1'!$B$2:$B$2604,'Form responses 1'!$C$2:$C$2604,""))</f>
        <v/>
      </c>
      <c r="F3454" s="44" t="str">
        <f t="array" ref="F3454">IF(B3454="","",_xlfn.XLOOKUP(B3454,'Form responses 1'!$B$2:$B$2604,'Form responses 1'!$D$2:$D$2604,""))</f>
        <v/>
      </c>
      <c r="G3454" s="44" t="str">
        <f t="array" ref="G3454">IF(B3454="","",_xlfn.XLOOKUP(B3454,'Form responses 1'!$B$2:$B$2604,'Form responses 1'!$E$2:$E$2604,""))</f>
        <v/>
      </c>
      <c r="H3454" s="44" t="str">
        <f t="array" ref="H3454">IF(B3454="","",_xlfn.XLOOKUP(B3454,'Form responses 1'!$B$2:$B$2604,'Form responses 1'!$F$2:$F$2604,""))</f>
        <v/>
      </c>
      <c r="I3454" s="44" t="str">
        <f t="array" ref="I3454">IF(B3454="","",_xlfn.XLOOKUP(B3454,'Form responses 1'!$B$2:$B$2604,'Form responses 1'!$I$2:$I$2604,""))</f>
        <v/>
      </c>
      <c r="J3454" s="44" t="str">
        <f t="array" ref="J3454">IF(B3454="","",_xlfn.XLOOKUP(B3454,'Form responses 1'!$B$2:$B$2604,'Form responses 1'!$G$2:$G$2604,""))</f>
        <v/>
      </c>
      <c r="K3454" s="56"/>
      <c r="L3454" s="58" t="str">
        <f t="shared" si="7"/>
        <v/>
      </c>
      <c r="M3454" s="49"/>
      <c r="N3454" s="49"/>
      <c r="O3454" s="49"/>
      <c r="P3454" s="49"/>
      <c r="Q3454" s="49"/>
      <c r="R3454" s="49"/>
      <c r="S3454" s="49"/>
      <c r="T3454" s="49"/>
      <c r="U3454" s="49"/>
      <c r="V3454" s="49"/>
      <c r="W3454" s="56"/>
      <c r="X3454" s="51" t="str">
        <f t="shared" si="5"/>
        <v/>
      </c>
      <c r="Y3454" s="50" t="s">
        <v>482</v>
      </c>
      <c r="Z3454" s="49">
        <f t="shared" si="6"/>
        <v>0</v>
      </c>
    </row>
    <row r="3455" ht="22.5" customHeight="1">
      <c r="B3455" s="57"/>
      <c r="C3455" s="43" t="str">
        <f t="array" ref="C3455">IF(B3455="","",_xlfn.XLOOKUP(B3455,'Form responses 1'!$B$2:$B$2604,'Form responses 1'!$A$2:$A$2604,""))</f>
        <v/>
      </c>
      <c r="D3455" s="44" t="str">
        <f t="shared" si="3"/>
        <v/>
      </c>
      <c r="E3455" s="44" t="str">
        <f t="array" ref="E3455">IF(B3455="","",_xlfn.XLOOKUP(B3455,'Form responses 1'!$B$2:$B$2604,'Form responses 1'!$C$2:$C$2604,""))</f>
        <v/>
      </c>
      <c r="F3455" s="44" t="str">
        <f t="array" ref="F3455">IF(B3455="","",_xlfn.XLOOKUP(B3455,'Form responses 1'!$B$2:$B$2604,'Form responses 1'!$D$2:$D$2604,""))</f>
        <v/>
      </c>
      <c r="G3455" s="44" t="str">
        <f t="array" ref="G3455">IF(B3455="","",_xlfn.XLOOKUP(B3455,'Form responses 1'!$B$2:$B$2604,'Form responses 1'!$E$2:$E$2604,""))</f>
        <v/>
      </c>
      <c r="H3455" s="44" t="str">
        <f t="array" ref="H3455">IF(B3455="","",_xlfn.XLOOKUP(B3455,'Form responses 1'!$B$2:$B$2604,'Form responses 1'!$F$2:$F$2604,""))</f>
        <v/>
      </c>
      <c r="I3455" s="44" t="str">
        <f t="array" ref="I3455">IF(B3455="","",_xlfn.XLOOKUP(B3455,'Form responses 1'!$B$2:$B$2604,'Form responses 1'!$I$2:$I$2604,""))</f>
        <v/>
      </c>
      <c r="J3455" s="44" t="str">
        <f t="array" ref="J3455">IF(B3455="","",_xlfn.XLOOKUP(B3455,'Form responses 1'!$B$2:$B$2604,'Form responses 1'!$G$2:$G$2604,""))</f>
        <v/>
      </c>
      <c r="K3455" s="56"/>
      <c r="L3455" s="58" t="str">
        <f t="shared" si="7"/>
        <v/>
      </c>
      <c r="M3455" s="49"/>
      <c r="N3455" s="49"/>
      <c r="O3455" s="49"/>
      <c r="P3455" s="49"/>
      <c r="Q3455" s="49"/>
      <c r="R3455" s="49"/>
      <c r="S3455" s="49"/>
      <c r="T3455" s="49"/>
      <c r="U3455" s="49"/>
      <c r="V3455" s="49"/>
      <c r="W3455" s="56"/>
      <c r="X3455" s="51" t="str">
        <f t="shared" si="5"/>
        <v/>
      </c>
      <c r="Y3455" s="50" t="s">
        <v>482</v>
      </c>
      <c r="Z3455" s="49">
        <f t="shared" si="6"/>
        <v>0</v>
      </c>
    </row>
    <row r="3456" ht="22.5" customHeight="1">
      <c r="B3456" s="57"/>
      <c r="C3456" s="43" t="str">
        <f t="array" ref="C3456">IF(B3456="","",_xlfn.XLOOKUP(B3456,'Form responses 1'!$B$2:$B$2604,'Form responses 1'!$A$2:$A$2604,""))</f>
        <v/>
      </c>
      <c r="D3456" s="44" t="str">
        <f t="shared" si="3"/>
        <v/>
      </c>
      <c r="E3456" s="44" t="str">
        <f t="array" ref="E3456">IF(B3456="","",_xlfn.XLOOKUP(B3456,'Form responses 1'!$B$2:$B$2604,'Form responses 1'!$C$2:$C$2604,""))</f>
        <v/>
      </c>
      <c r="F3456" s="44" t="str">
        <f t="array" ref="F3456">IF(B3456="","",_xlfn.XLOOKUP(B3456,'Form responses 1'!$B$2:$B$2604,'Form responses 1'!$D$2:$D$2604,""))</f>
        <v/>
      </c>
      <c r="G3456" s="44" t="str">
        <f t="array" ref="G3456">IF(B3456="","",_xlfn.XLOOKUP(B3456,'Form responses 1'!$B$2:$B$2604,'Form responses 1'!$E$2:$E$2604,""))</f>
        <v/>
      </c>
      <c r="H3456" s="44" t="str">
        <f t="array" ref="H3456">IF(B3456="","",_xlfn.XLOOKUP(B3456,'Form responses 1'!$B$2:$B$2604,'Form responses 1'!$F$2:$F$2604,""))</f>
        <v/>
      </c>
      <c r="I3456" s="44" t="str">
        <f t="array" ref="I3456">IF(B3456="","",_xlfn.XLOOKUP(B3456,'Form responses 1'!$B$2:$B$2604,'Form responses 1'!$I$2:$I$2604,""))</f>
        <v/>
      </c>
      <c r="J3456" s="44" t="str">
        <f t="array" ref="J3456">IF(B3456="","",_xlfn.XLOOKUP(B3456,'Form responses 1'!$B$2:$B$2604,'Form responses 1'!$G$2:$G$2604,""))</f>
        <v/>
      </c>
      <c r="K3456" s="56"/>
      <c r="L3456" s="58" t="str">
        <f t="shared" si="7"/>
        <v/>
      </c>
      <c r="M3456" s="49"/>
      <c r="N3456" s="49"/>
      <c r="O3456" s="49"/>
      <c r="P3456" s="49"/>
      <c r="Q3456" s="49"/>
      <c r="R3456" s="49"/>
      <c r="S3456" s="49"/>
      <c r="T3456" s="49"/>
      <c r="U3456" s="49"/>
      <c r="V3456" s="49"/>
      <c r="W3456" s="56"/>
      <c r="X3456" s="51" t="str">
        <f t="shared" si="5"/>
        <v/>
      </c>
      <c r="Y3456" s="50" t="s">
        <v>482</v>
      </c>
      <c r="Z3456" s="49">
        <f t="shared" si="6"/>
        <v>0</v>
      </c>
    </row>
    <row r="3457" ht="22.5" customHeight="1">
      <c r="B3457" s="57"/>
      <c r="C3457" s="43" t="str">
        <f t="array" ref="C3457">IF(B3457="","",_xlfn.XLOOKUP(B3457,'Form responses 1'!$B$2:$B$2604,'Form responses 1'!$A$2:$A$2604,""))</f>
        <v/>
      </c>
      <c r="D3457" s="44" t="str">
        <f t="shared" si="3"/>
        <v/>
      </c>
      <c r="E3457" s="44" t="str">
        <f t="array" ref="E3457">IF(B3457="","",_xlfn.XLOOKUP(B3457,'Form responses 1'!$B$2:$B$2604,'Form responses 1'!$C$2:$C$2604,""))</f>
        <v/>
      </c>
      <c r="F3457" s="44" t="str">
        <f t="array" ref="F3457">IF(B3457="","",_xlfn.XLOOKUP(B3457,'Form responses 1'!$B$2:$B$2604,'Form responses 1'!$D$2:$D$2604,""))</f>
        <v/>
      </c>
      <c r="G3457" s="44" t="str">
        <f t="array" ref="G3457">IF(B3457="","",_xlfn.XLOOKUP(B3457,'Form responses 1'!$B$2:$B$2604,'Form responses 1'!$E$2:$E$2604,""))</f>
        <v/>
      </c>
      <c r="H3457" s="44" t="str">
        <f t="array" ref="H3457">IF(B3457="","",_xlfn.XLOOKUP(B3457,'Form responses 1'!$B$2:$B$2604,'Form responses 1'!$F$2:$F$2604,""))</f>
        <v/>
      </c>
      <c r="I3457" s="44" t="str">
        <f t="array" ref="I3457">IF(B3457="","",_xlfn.XLOOKUP(B3457,'Form responses 1'!$B$2:$B$2604,'Form responses 1'!$I$2:$I$2604,""))</f>
        <v/>
      </c>
      <c r="J3457" s="44" t="str">
        <f t="array" ref="J3457">IF(B3457="","",_xlfn.XLOOKUP(B3457,'Form responses 1'!$B$2:$B$2604,'Form responses 1'!$G$2:$G$2604,""))</f>
        <v/>
      </c>
      <c r="K3457" s="56"/>
      <c r="L3457" s="58" t="str">
        <f t="shared" si="7"/>
        <v/>
      </c>
      <c r="M3457" s="49"/>
      <c r="N3457" s="49"/>
      <c r="O3457" s="49"/>
      <c r="P3457" s="49"/>
      <c r="Q3457" s="49"/>
      <c r="R3457" s="49"/>
      <c r="S3457" s="49"/>
      <c r="T3457" s="49"/>
      <c r="U3457" s="49"/>
      <c r="V3457" s="49"/>
      <c r="W3457" s="56"/>
      <c r="X3457" s="51" t="str">
        <f t="shared" si="5"/>
        <v/>
      </c>
      <c r="Y3457" s="50" t="s">
        <v>482</v>
      </c>
      <c r="Z3457" s="49">
        <f t="shared" si="6"/>
        <v>0</v>
      </c>
    </row>
    <row r="3458" ht="22.5" customHeight="1">
      <c r="B3458" s="57"/>
      <c r="C3458" s="43" t="str">
        <f t="array" ref="C3458">IF(B3458="","",_xlfn.XLOOKUP(B3458,'Form responses 1'!$B$2:$B$2604,'Form responses 1'!$A$2:$A$2604,""))</f>
        <v/>
      </c>
      <c r="D3458" s="44" t="str">
        <f t="shared" si="3"/>
        <v/>
      </c>
      <c r="E3458" s="44" t="str">
        <f t="array" ref="E3458">IF(B3458="","",_xlfn.XLOOKUP(B3458,'Form responses 1'!$B$2:$B$2604,'Form responses 1'!$C$2:$C$2604,""))</f>
        <v/>
      </c>
      <c r="F3458" s="44" t="str">
        <f t="array" ref="F3458">IF(B3458="","",_xlfn.XLOOKUP(B3458,'Form responses 1'!$B$2:$B$2604,'Form responses 1'!$D$2:$D$2604,""))</f>
        <v/>
      </c>
      <c r="G3458" s="44" t="str">
        <f t="array" ref="G3458">IF(B3458="","",_xlfn.XLOOKUP(B3458,'Form responses 1'!$B$2:$B$2604,'Form responses 1'!$E$2:$E$2604,""))</f>
        <v/>
      </c>
      <c r="H3458" s="44" t="str">
        <f t="array" ref="H3458">IF(B3458="","",_xlfn.XLOOKUP(B3458,'Form responses 1'!$B$2:$B$2604,'Form responses 1'!$F$2:$F$2604,""))</f>
        <v/>
      </c>
      <c r="I3458" s="44" t="str">
        <f t="array" ref="I3458">IF(B3458="","",_xlfn.XLOOKUP(B3458,'Form responses 1'!$B$2:$B$2604,'Form responses 1'!$I$2:$I$2604,""))</f>
        <v/>
      </c>
      <c r="J3458" s="44" t="str">
        <f t="array" ref="J3458">IF(B3458="","",_xlfn.XLOOKUP(B3458,'Form responses 1'!$B$2:$B$2604,'Form responses 1'!$G$2:$G$2604,""))</f>
        <v/>
      </c>
      <c r="K3458" s="56"/>
      <c r="L3458" s="58" t="str">
        <f t="shared" si="7"/>
        <v/>
      </c>
      <c r="M3458" s="49"/>
      <c r="N3458" s="49"/>
      <c r="O3458" s="49"/>
      <c r="P3458" s="49"/>
      <c r="Q3458" s="49"/>
      <c r="R3458" s="49"/>
      <c r="S3458" s="49"/>
      <c r="T3458" s="49"/>
      <c r="U3458" s="49"/>
      <c r="V3458" s="49"/>
      <c r="W3458" s="56"/>
      <c r="X3458" s="51" t="str">
        <f t="shared" si="5"/>
        <v/>
      </c>
      <c r="Y3458" s="50" t="s">
        <v>482</v>
      </c>
      <c r="Z3458" s="49">
        <f t="shared" si="6"/>
        <v>0</v>
      </c>
    </row>
    <row r="3459" ht="22.5" customHeight="1">
      <c r="B3459" s="57"/>
      <c r="C3459" s="43" t="str">
        <f t="array" ref="C3459">IF(B3459="","",_xlfn.XLOOKUP(B3459,'Form responses 1'!$B$2:$B$2604,'Form responses 1'!$A$2:$A$2604,""))</f>
        <v/>
      </c>
      <c r="D3459" s="44" t="str">
        <f t="shared" si="3"/>
        <v/>
      </c>
      <c r="E3459" s="44" t="str">
        <f t="array" ref="E3459">IF(B3459="","",_xlfn.XLOOKUP(B3459,'Form responses 1'!$B$2:$B$2604,'Form responses 1'!$C$2:$C$2604,""))</f>
        <v/>
      </c>
      <c r="F3459" s="44" t="str">
        <f t="array" ref="F3459">IF(B3459="","",_xlfn.XLOOKUP(B3459,'Form responses 1'!$B$2:$B$2604,'Form responses 1'!$D$2:$D$2604,""))</f>
        <v/>
      </c>
      <c r="G3459" s="44" t="str">
        <f t="array" ref="G3459">IF(B3459="","",_xlfn.XLOOKUP(B3459,'Form responses 1'!$B$2:$B$2604,'Form responses 1'!$E$2:$E$2604,""))</f>
        <v/>
      </c>
      <c r="H3459" s="44" t="str">
        <f t="array" ref="H3459">IF(B3459="","",_xlfn.XLOOKUP(B3459,'Form responses 1'!$B$2:$B$2604,'Form responses 1'!$F$2:$F$2604,""))</f>
        <v/>
      </c>
      <c r="I3459" s="44" t="str">
        <f t="array" ref="I3459">IF(B3459="","",_xlfn.XLOOKUP(B3459,'Form responses 1'!$B$2:$B$2604,'Form responses 1'!$I$2:$I$2604,""))</f>
        <v/>
      </c>
      <c r="J3459" s="44" t="str">
        <f t="array" ref="J3459">IF(B3459="","",_xlfn.XLOOKUP(B3459,'Form responses 1'!$B$2:$B$2604,'Form responses 1'!$G$2:$G$2604,""))</f>
        <v/>
      </c>
      <c r="K3459" s="56"/>
      <c r="L3459" s="58" t="str">
        <f t="shared" si="7"/>
        <v/>
      </c>
      <c r="M3459" s="49"/>
      <c r="N3459" s="49"/>
      <c r="O3459" s="49"/>
      <c r="P3459" s="49"/>
      <c r="Q3459" s="49"/>
      <c r="R3459" s="49"/>
      <c r="S3459" s="49"/>
      <c r="T3459" s="49"/>
      <c r="U3459" s="49"/>
      <c r="V3459" s="49"/>
      <c r="W3459" s="56"/>
      <c r="X3459" s="51" t="str">
        <f t="shared" si="5"/>
        <v/>
      </c>
      <c r="Y3459" s="50" t="s">
        <v>482</v>
      </c>
      <c r="Z3459" s="49">
        <f t="shared" si="6"/>
        <v>0</v>
      </c>
    </row>
    <row r="3460" ht="22.5" customHeight="1">
      <c r="B3460" s="57"/>
      <c r="C3460" s="43" t="str">
        <f t="array" ref="C3460">IF(B3460="","",_xlfn.XLOOKUP(B3460,'Form responses 1'!$B$2:$B$2604,'Form responses 1'!$A$2:$A$2604,""))</f>
        <v/>
      </c>
      <c r="D3460" s="44" t="str">
        <f t="shared" si="3"/>
        <v/>
      </c>
      <c r="E3460" s="44" t="str">
        <f t="array" ref="E3460">IF(B3460="","",_xlfn.XLOOKUP(B3460,'Form responses 1'!$B$2:$B$2604,'Form responses 1'!$C$2:$C$2604,""))</f>
        <v/>
      </c>
      <c r="F3460" s="44" t="str">
        <f t="array" ref="F3460">IF(B3460="","",_xlfn.XLOOKUP(B3460,'Form responses 1'!$B$2:$B$2604,'Form responses 1'!$D$2:$D$2604,""))</f>
        <v/>
      </c>
      <c r="G3460" s="44" t="str">
        <f t="array" ref="G3460">IF(B3460="","",_xlfn.XLOOKUP(B3460,'Form responses 1'!$B$2:$B$2604,'Form responses 1'!$E$2:$E$2604,""))</f>
        <v/>
      </c>
      <c r="H3460" s="44" t="str">
        <f t="array" ref="H3460">IF(B3460="","",_xlfn.XLOOKUP(B3460,'Form responses 1'!$B$2:$B$2604,'Form responses 1'!$F$2:$F$2604,""))</f>
        <v/>
      </c>
      <c r="I3460" s="44" t="str">
        <f t="array" ref="I3460">IF(B3460="","",_xlfn.XLOOKUP(B3460,'Form responses 1'!$B$2:$B$2604,'Form responses 1'!$I$2:$I$2604,""))</f>
        <v/>
      </c>
      <c r="J3460" s="44" t="str">
        <f t="array" ref="J3460">IF(B3460="","",_xlfn.XLOOKUP(B3460,'Form responses 1'!$B$2:$B$2604,'Form responses 1'!$G$2:$G$2604,""))</f>
        <v/>
      </c>
      <c r="K3460" s="56"/>
      <c r="L3460" s="58" t="str">
        <f t="shared" si="7"/>
        <v/>
      </c>
      <c r="M3460" s="49"/>
      <c r="N3460" s="49"/>
      <c r="O3460" s="49"/>
      <c r="P3460" s="49"/>
      <c r="Q3460" s="49"/>
      <c r="R3460" s="49"/>
      <c r="S3460" s="49"/>
      <c r="T3460" s="49"/>
      <c r="U3460" s="49"/>
      <c r="V3460" s="49"/>
      <c r="W3460" s="56"/>
      <c r="X3460" s="51" t="str">
        <f t="shared" si="5"/>
        <v/>
      </c>
      <c r="Y3460" s="50" t="s">
        <v>482</v>
      </c>
      <c r="Z3460" s="49">
        <f t="shared" si="6"/>
        <v>0</v>
      </c>
    </row>
    <row r="3461" ht="22.5" customHeight="1">
      <c r="B3461" s="57"/>
      <c r="C3461" s="43" t="str">
        <f t="array" ref="C3461">IF(B3461="","",_xlfn.XLOOKUP(B3461,'Form responses 1'!$B$2:$B$2604,'Form responses 1'!$A$2:$A$2604,""))</f>
        <v/>
      </c>
      <c r="D3461" s="44" t="str">
        <f t="shared" si="3"/>
        <v/>
      </c>
      <c r="E3461" s="44" t="str">
        <f t="array" ref="E3461">IF(B3461="","",_xlfn.XLOOKUP(B3461,'Form responses 1'!$B$2:$B$2604,'Form responses 1'!$C$2:$C$2604,""))</f>
        <v/>
      </c>
      <c r="F3461" s="44" t="str">
        <f t="array" ref="F3461">IF(B3461="","",_xlfn.XLOOKUP(B3461,'Form responses 1'!$B$2:$B$2604,'Form responses 1'!$D$2:$D$2604,""))</f>
        <v/>
      </c>
      <c r="G3461" s="44" t="str">
        <f t="array" ref="G3461">IF(B3461="","",_xlfn.XLOOKUP(B3461,'Form responses 1'!$B$2:$B$2604,'Form responses 1'!$E$2:$E$2604,""))</f>
        <v/>
      </c>
      <c r="H3461" s="44" t="str">
        <f t="array" ref="H3461">IF(B3461="","",_xlfn.XLOOKUP(B3461,'Form responses 1'!$B$2:$B$2604,'Form responses 1'!$F$2:$F$2604,""))</f>
        <v/>
      </c>
      <c r="I3461" s="44" t="str">
        <f t="array" ref="I3461">IF(B3461="","",_xlfn.XLOOKUP(B3461,'Form responses 1'!$B$2:$B$2604,'Form responses 1'!$I$2:$I$2604,""))</f>
        <v/>
      </c>
      <c r="J3461" s="44" t="str">
        <f t="array" ref="J3461">IF(B3461="","",_xlfn.XLOOKUP(B3461,'Form responses 1'!$B$2:$B$2604,'Form responses 1'!$G$2:$G$2604,""))</f>
        <v/>
      </c>
      <c r="K3461" s="56"/>
      <c r="L3461" s="58" t="str">
        <f t="shared" si="7"/>
        <v/>
      </c>
      <c r="M3461" s="49"/>
      <c r="N3461" s="49"/>
      <c r="O3461" s="49"/>
      <c r="P3461" s="49"/>
      <c r="Q3461" s="49"/>
      <c r="R3461" s="49"/>
      <c r="S3461" s="49"/>
      <c r="T3461" s="49"/>
      <c r="U3461" s="49"/>
      <c r="V3461" s="49"/>
      <c r="W3461" s="56"/>
      <c r="X3461" s="51" t="str">
        <f t="shared" si="5"/>
        <v/>
      </c>
      <c r="Y3461" s="50" t="s">
        <v>482</v>
      </c>
      <c r="Z3461" s="49">
        <f t="shared" si="6"/>
        <v>0</v>
      </c>
    </row>
    <row r="3462" ht="22.5" customHeight="1">
      <c r="B3462" s="57"/>
      <c r="C3462" s="43" t="str">
        <f t="array" ref="C3462">IF(B3462="","",_xlfn.XLOOKUP(B3462,'Form responses 1'!$B$2:$B$2604,'Form responses 1'!$A$2:$A$2604,""))</f>
        <v/>
      </c>
      <c r="D3462" s="44" t="str">
        <f t="shared" si="3"/>
        <v/>
      </c>
      <c r="E3462" s="44" t="str">
        <f t="array" ref="E3462">IF(B3462="","",_xlfn.XLOOKUP(B3462,'Form responses 1'!$B$2:$B$2604,'Form responses 1'!$C$2:$C$2604,""))</f>
        <v/>
      </c>
      <c r="F3462" s="44" t="str">
        <f t="array" ref="F3462">IF(B3462="","",_xlfn.XLOOKUP(B3462,'Form responses 1'!$B$2:$B$2604,'Form responses 1'!$D$2:$D$2604,""))</f>
        <v/>
      </c>
      <c r="G3462" s="44" t="str">
        <f t="array" ref="G3462">IF(B3462="","",_xlfn.XLOOKUP(B3462,'Form responses 1'!$B$2:$B$2604,'Form responses 1'!$E$2:$E$2604,""))</f>
        <v/>
      </c>
      <c r="H3462" s="44" t="str">
        <f t="array" ref="H3462">IF(B3462="","",_xlfn.XLOOKUP(B3462,'Form responses 1'!$B$2:$B$2604,'Form responses 1'!$F$2:$F$2604,""))</f>
        <v/>
      </c>
      <c r="I3462" s="44" t="str">
        <f t="array" ref="I3462">IF(B3462="","",_xlfn.XLOOKUP(B3462,'Form responses 1'!$B$2:$B$2604,'Form responses 1'!$I$2:$I$2604,""))</f>
        <v/>
      </c>
      <c r="J3462" s="44" t="str">
        <f t="array" ref="J3462">IF(B3462="","",_xlfn.XLOOKUP(B3462,'Form responses 1'!$B$2:$B$2604,'Form responses 1'!$G$2:$G$2604,""))</f>
        <v/>
      </c>
      <c r="K3462" s="56"/>
      <c r="L3462" s="58" t="str">
        <f t="shared" si="7"/>
        <v/>
      </c>
      <c r="M3462" s="49"/>
      <c r="N3462" s="49"/>
      <c r="O3462" s="49"/>
      <c r="P3462" s="49"/>
      <c r="Q3462" s="49"/>
      <c r="R3462" s="49"/>
      <c r="S3462" s="49"/>
      <c r="T3462" s="49"/>
      <c r="U3462" s="49"/>
      <c r="V3462" s="49"/>
      <c r="W3462" s="56"/>
      <c r="X3462" s="51" t="str">
        <f t="shared" si="5"/>
        <v/>
      </c>
      <c r="Y3462" s="50" t="s">
        <v>482</v>
      </c>
      <c r="Z3462" s="49">
        <f t="shared" si="6"/>
        <v>0</v>
      </c>
    </row>
    <row r="3463" ht="22.5" customHeight="1">
      <c r="B3463" s="57"/>
      <c r="C3463" s="43" t="str">
        <f t="array" ref="C3463">IF(B3463="","",_xlfn.XLOOKUP(B3463,'Form responses 1'!$B$2:$B$2604,'Form responses 1'!$A$2:$A$2604,""))</f>
        <v/>
      </c>
      <c r="D3463" s="44" t="str">
        <f t="shared" si="3"/>
        <v/>
      </c>
      <c r="E3463" s="44" t="str">
        <f t="array" ref="E3463">IF(B3463="","",_xlfn.XLOOKUP(B3463,'Form responses 1'!$B$2:$B$2604,'Form responses 1'!$C$2:$C$2604,""))</f>
        <v/>
      </c>
      <c r="F3463" s="44" t="str">
        <f t="array" ref="F3463">IF(B3463="","",_xlfn.XLOOKUP(B3463,'Form responses 1'!$B$2:$B$2604,'Form responses 1'!$D$2:$D$2604,""))</f>
        <v/>
      </c>
      <c r="G3463" s="44" t="str">
        <f t="array" ref="G3463">IF(B3463="","",_xlfn.XLOOKUP(B3463,'Form responses 1'!$B$2:$B$2604,'Form responses 1'!$E$2:$E$2604,""))</f>
        <v/>
      </c>
      <c r="H3463" s="44" t="str">
        <f t="array" ref="H3463">IF(B3463="","",_xlfn.XLOOKUP(B3463,'Form responses 1'!$B$2:$B$2604,'Form responses 1'!$F$2:$F$2604,""))</f>
        <v/>
      </c>
      <c r="I3463" s="44" t="str">
        <f t="array" ref="I3463">IF(B3463="","",_xlfn.XLOOKUP(B3463,'Form responses 1'!$B$2:$B$2604,'Form responses 1'!$I$2:$I$2604,""))</f>
        <v/>
      </c>
      <c r="J3463" s="44" t="str">
        <f t="array" ref="J3463">IF(B3463="","",_xlfn.XLOOKUP(B3463,'Form responses 1'!$B$2:$B$2604,'Form responses 1'!$G$2:$G$2604,""))</f>
        <v/>
      </c>
      <c r="K3463" s="56"/>
      <c r="L3463" s="58" t="str">
        <f t="shared" si="7"/>
        <v/>
      </c>
      <c r="M3463" s="49"/>
      <c r="N3463" s="49"/>
      <c r="O3463" s="49"/>
      <c r="P3463" s="49"/>
      <c r="Q3463" s="49"/>
      <c r="R3463" s="49"/>
      <c r="S3463" s="49"/>
      <c r="T3463" s="49"/>
      <c r="U3463" s="49"/>
      <c r="V3463" s="49"/>
      <c r="W3463" s="56"/>
      <c r="X3463" s="51" t="str">
        <f t="shared" si="5"/>
        <v/>
      </c>
      <c r="Y3463" s="50" t="s">
        <v>482</v>
      </c>
      <c r="Z3463" s="49">
        <f t="shared" si="6"/>
        <v>0</v>
      </c>
    </row>
    <row r="3464" ht="22.5" customHeight="1">
      <c r="B3464" s="57"/>
      <c r="C3464" s="43" t="str">
        <f t="array" ref="C3464">IF(B3464="","",_xlfn.XLOOKUP(B3464,'Form responses 1'!$B$2:$B$2604,'Form responses 1'!$A$2:$A$2604,""))</f>
        <v/>
      </c>
      <c r="D3464" s="44" t="str">
        <f t="shared" si="3"/>
        <v/>
      </c>
      <c r="E3464" s="44" t="str">
        <f t="array" ref="E3464">IF(B3464="","",_xlfn.XLOOKUP(B3464,'Form responses 1'!$B$2:$B$2604,'Form responses 1'!$C$2:$C$2604,""))</f>
        <v/>
      </c>
      <c r="F3464" s="44" t="str">
        <f t="array" ref="F3464">IF(B3464="","",_xlfn.XLOOKUP(B3464,'Form responses 1'!$B$2:$B$2604,'Form responses 1'!$D$2:$D$2604,""))</f>
        <v/>
      </c>
      <c r="G3464" s="44" t="str">
        <f t="array" ref="G3464">IF(B3464="","",_xlfn.XLOOKUP(B3464,'Form responses 1'!$B$2:$B$2604,'Form responses 1'!$E$2:$E$2604,""))</f>
        <v/>
      </c>
      <c r="H3464" s="44" t="str">
        <f t="array" ref="H3464">IF(B3464="","",_xlfn.XLOOKUP(B3464,'Form responses 1'!$B$2:$B$2604,'Form responses 1'!$F$2:$F$2604,""))</f>
        <v/>
      </c>
      <c r="I3464" s="44" t="str">
        <f t="array" ref="I3464">IF(B3464="","",_xlfn.XLOOKUP(B3464,'Form responses 1'!$B$2:$B$2604,'Form responses 1'!$I$2:$I$2604,""))</f>
        <v/>
      </c>
      <c r="J3464" s="44" t="str">
        <f t="array" ref="J3464">IF(B3464="","",_xlfn.XLOOKUP(B3464,'Form responses 1'!$B$2:$B$2604,'Form responses 1'!$G$2:$G$2604,""))</f>
        <v/>
      </c>
      <c r="K3464" s="56"/>
      <c r="L3464" s="58" t="str">
        <f t="shared" si="7"/>
        <v/>
      </c>
      <c r="M3464" s="49"/>
      <c r="N3464" s="49"/>
      <c r="O3464" s="49"/>
      <c r="P3464" s="49"/>
      <c r="Q3464" s="49"/>
      <c r="R3464" s="49"/>
      <c r="S3464" s="49"/>
      <c r="T3464" s="49"/>
      <c r="U3464" s="49"/>
      <c r="V3464" s="49"/>
      <c r="W3464" s="56"/>
      <c r="X3464" s="51" t="str">
        <f t="shared" si="5"/>
        <v/>
      </c>
      <c r="Y3464" s="50" t="s">
        <v>482</v>
      </c>
      <c r="Z3464" s="49">
        <f t="shared" si="6"/>
        <v>0</v>
      </c>
    </row>
    <row r="3465" ht="22.5" customHeight="1">
      <c r="B3465" s="57"/>
      <c r="C3465" s="43" t="str">
        <f t="array" ref="C3465">IF(B3465="","",_xlfn.XLOOKUP(B3465,'Form responses 1'!$B$2:$B$2604,'Form responses 1'!$A$2:$A$2604,""))</f>
        <v/>
      </c>
      <c r="D3465" s="44" t="str">
        <f t="shared" si="3"/>
        <v/>
      </c>
      <c r="E3465" s="44" t="str">
        <f t="array" ref="E3465">IF(B3465="","",_xlfn.XLOOKUP(B3465,'Form responses 1'!$B$2:$B$2604,'Form responses 1'!$C$2:$C$2604,""))</f>
        <v/>
      </c>
      <c r="F3465" s="44" t="str">
        <f t="array" ref="F3465">IF(B3465="","",_xlfn.XLOOKUP(B3465,'Form responses 1'!$B$2:$B$2604,'Form responses 1'!$D$2:$D$2604,""))</f>
        <v/>
      </c>
      <c r="G3465" s="44" t="str">
        <f t="array" ref="G3465">IF(B3465="","",_xlfn.XLOOKUP(B3465,'Form responses 1'!$B$2:$B$2604,'Form responses 1'!$E$2:$E$2604,""))</f>
        <v/>
      </c>
      <c r="H3465" s="44" t="str">
        <f t="array" ref="H3465">IF(B3465="","",_xlfn.XLOOKUP(B3465,'Form responses 1'!$B$2:$B$2604,'Form responses 1'!$F$2:$F$2604,""))</f>
        <v/>
      </c>
      <c r="I3465" s="44" t="str">
        <f t="array" ref="I3465">IF(B3465="","",_xlfn.XLOOKUP(B3465,'Form responses 1'!$B$2:$B$2604,'Form responses 1'!$I$2:$I$2604,""))</f>
        <v/>
      </c>
      <c r="J3465" s="44" t="str">
        <f t="array" ref="J3465">IF(B3465="","",_xlfn.XLOOKUP(B3465,'Form responses 1'!$B$2:$B$2604,'Form responses 1'!$G$2:$G$2604,""))</f>
        <v/>
      </c>
      <c r="K3465" s="56"/>
      <c r="L3465" s="58" t="str">
        <f t="shared" si="7"/>
        <v/>
      </c>
      <c r="M3465" s="49"/>
      <c r="N3465" s="49"/>
      <c r="O3465" s="49"/>
      <c r="P3465" s="49"/>
      <c r="Q3465" s="49"/>
      <c r="R3465" s="49"/>
      <c r="S3465" s="49"/>
      <c r="T3465" s="49"/>
      <c r="U3465" s="49"/>
      <c r="V3465" s="49"/>
      <c r="W3465" s="56"/>
      <c r="X3465" s="51" t="str">
        <f t="shared" si="5"/>
        <v/>
      </c>
      <c r="Y3465" s="50" t="s">
        <v>482</v>
      </c>
      <c r="Z3465" s="49">
        <f t="shared" si="6"/>
        <v>0</v>
      </c>
    </row>
    <row r="3466" ht="22.5" customHeight="1">
      <c r="B3466" s="57"/>
      <c r="C3466" s="43" t="str">
        <f t="array" ref="C3466">IF(B3466="","",_xlfn.XLOOKUP(B3466,'Form responses 1'!$B$2:$B$2604,'Form responses 1'!$A$2:$A$2604,""))</f>
        <v/>
      </c>
      <c r="D3466" s="44" t="str">
        <f t="shared" si="3"/>
        <v/>
      </c>
      <c r="E3466" s="44" t="str">
        <f t="array" ref="E3466">IF(B3466="","",_xlfn.XLOOKUP(B3466,'Form responses 1'!$B$2:$B$2604,'Form responses 1'!$C$2:$C$2604,""))</f>
        <v/>
      </c>
      <c r="F3466" s="44" t="str">
        <f t="array" ref="F3466">IF(B3466="","",_xlfn.XLOOKUP(B3466,'Form responses 1'!$B$2:$B$2604,'Form responses 1'!$D$2:$D$2604,""))</f>
        <v/>
      </c>
      <c r="G3466" s="44" t="str">
        <f t="array" ref="G3466">IF(B3466="","",_xlfn.XLOOKUP(B3466,'Form responses 1'!$B$2:$B$2604,'Form responses 1'!$E$2:$E$2604,""))</f>
        <v/>
      </c>
      <c r="H3466" s="44" t="str">
        <f t="array" ref="H3466">IF(B3466="","",_xlfn.XLOOKUP(B3466,'Form responses 1'!$B$2:$B$2604,'Form responses 1'!$F$2:$F$2604,""))</f>
        <v/>
      </c>
      <c r="I3466" s="44" t="str">
        <f t="array" ref="I3466">IF(B3466="","",_xlfn.XLOOKUP(B3466,'Form responses 1'!$B$2:$B$2604,'Form responses 1'!$I$2:$I$2604,""))</f>
        <v/>
      </c>
      <c r="J3466" s="44" t="str">
        <f t="array" ref="J3466">IF(B3466="","",_xlfn.XLOOKUP(B3466,'Form responses 1'!$B$2:$B$2604,'Form responses 1'!$G$2:$G$2604,""))</f>
        <v/>
      </c>
      <c r="K3466" s="56"/>
      <c r="L3466" s="58" t="str">
        <f t="shared" si="7"/>
        <v/>
      </c>
      <c r="M3466" s="49"/>
      <c r="N3466" s="49"/>
      <c r="O3466" s="49"/>
      <c r="P3466" s="49"/>
      <c r="Q3466" s="49"/>
      <c r="R3466" s="49"/>
      <c r="S3466" s="49"/>
      <c r="T3466" s="49"/>
      <c r="U3466" s="49"/>
      <c r="V3466" s="49"/>
      <c r="W3466" s="56"/>
      <c r="X3466" s="51" t="str">
        <f t="shared" si="5"/>
        <v/>
      </c>
      <c r="Y3466" s="50" t="s">
        <v>482</v>
      </c>
      <c r="Z3466" s="49">
        <f t="shared" si="6"/>
        <v>0</v>
      </c>
    </row>
    <row r="3467" ht="22.5" customHeight="1">
      <c r="B3467" s="57"/>
      <c r="C3467" s="43" t="str">
        <f t="array" ref="C3467">IF(B3467="","",_xlfn.XLOOKUP(B3467,'Form responses 1'!$B$2:$B$2604,'Form responses 1'!$A$2:$A$2604,""))</f>
        <v/>
      </c>
      <c r="D3467" s="44" t="str">
        <f t="shared" si="3"/>
        <v/>
      </c>
      <c r="E3467" s="44" t="str">
        <f t="array" ref="E3467">IF(B3467="","",_xlfn.XLOOKUP(B3467,'Form responses 1'!$B$2:$B$2604,'Form responses 1'!$C$2:$C$2604,""))</f>
        <v/>
      </c>
      <c r="F3467" s="44" t="str">
        <f t="array" ref="F3467">IF(B3467="","",_xlfn.XLOOKUP(B3467,'Form responses 1'!$B$2:$B$2604,'Form responses 1'!$D$2:$D$2604,""))</f>
        <v/>
      </c>
      <c r="G3467" s="44" t="str">
        <f t="array" ref="G3467">IF(B3467="","",_xlfn.XLOOKUP(B3467,'Form responses 1'!$B$2:$B$2604,'Form responses 1'!$E$2:$E$2604,""))</f>
        <v/>
      </c>
      <c r="H3467" s="44" t="str">
        <f t="array" ref="H3467">IF(B3467="","",_xlfn.XLOOKUP(B3467,'Form responses 1'!$B$2:$B$2604,'Form responses 1'!$F$2:$F$2604,""))</f>
        <v/>
      </c>
      <c r="I3467" s="44" t="str">
        <f t="array" ref="I3467">IF(B3467="","",_xlfn.XLOOKUP(B3467,'Form responses 1'!$B$2:$B$2604,'Form responses 1'!$I$2:$I$2604,""))</f>
        <v/>
      </c>
      <c r="J3467" s="44" t="str">
        <f t="array" ref="J3467">IF(B3467="","",_xlfn.XLOOKUP(B3467,'Form responses 1'!$B$2:$B$2604,'Form responses 1'!$G$2:$G$2604,""))</f>
        <v/>
      </c>
      <c r="K3467" s="56"/>
      <c r="L3467" s="58" t="str">
        <f t="shared" si="7"/>
        <v/>
      </c>
      <c r="M3467" s="49"/>
      <c r="N3467" s="49"/>
      <c r="O3467" s="49"/>
      <c r="P3467" s="49"/>
      <c r="Q3467" s="49"/>
      <c r="R3467" s="49"/>
      <c r="S3467" s="49"/>
      <c r="T3467" s="49"/>
      <c r="U3467" s="49"/>
      <c r="V3467" s="49"/>
      <c r="W3467" s="56"/>
      <c r="X3467" s="51" t="str">
        <f t="shared" si="5"/>
        <v/>
      </c>
      <c r="Y3467" s="50" t="s">
        <v>482</v>
      </c>
      <c r="Z3467" s="49">
        <f t="shared" si="6"/>
        <v>0</v>
      </c>
    </row>
    <row r="3468" ht="22.5" customHeight="1">
      <c r="B3468" s="57"/>
      <c r="C3468" s="43" t="str">
        <f t="array" ref="C3468">IF(B3468="","",_xlfn.XLOOKUP(B3468,'Form responses 1'!$B$2:$B$2604,'Form responses 1'!$A$2:$A$2604,""))</f>
        <v/>
      </c>
      <c r="D3468" s="44" t="str">
        <f t="shared" si="3"/>
        <v/>
      </c>
      <c r="E3468" s="44" t="str">
        <f t="array" ref="E3468">IF(B3468="","",_xlfn.XLOOKUP(B3468,'Form responses 1'!$B$2:$B$2604,'Form responses 1'!$C$2:$C$2604,""))</f>
        <v/>
      </c>
      <c r="F3468" s="44" t="str">
        <f t="array" ref="F3468">IF(B3468="","",_xlfn.XLOOKUP(B3468,'Form responses 1'!$B$2:$B$2604,'Form responses 1'!$D$2:$D$2604,""))</f>
        <v/>
      </c>
      <c r="G3468" s="44" t="str">
        <f t="array" ref="G3468">IF(B3468="","",_xlfn.XLOOKUP(B3468,'Form responses 1'!$B$2:$B$2604,'Form responses 1'!$E$2:$E$2604,""))</f>
        <v/>
      </c>
      <c r="H3468" s="44" t="str">
        <f t="array" ref="H3468">IF(B3468="","",_xlfn.XLOOKUP(B3468,'Form responses 1'!$B$2:$B$2604,'Form responses 1'!$F$2:$F$2604,""))</f>
        <v/>
      </c>
      <c r="I3468" s="44" t="str">
        <f t="array" ref="I3468">IF(B3468="","",_xlfn.XLOOKUP(B3468,'Form responses 1'!$B$2:$B$2604,'Form responses 1'!$I$2:$I$2604,""))</f>
        <v/>
      </c>
      <c r="J3468" s="44" t="str">
        <f t="array" ref="J3468">IF(B3468="","",_xlfn.XLOOKUP(B3468,'Form responses 1'!$B$2:$B$2604,'Form responses 1'!$G$2:$G$2604,""))</f>
        <v/>
      </c>
      <c r="K3468" s="56"/>
      <c r="L3468" s="58" t="str">
        <f t="shared" si="7"/>
        <v/>
      </c>
      <c r="M3468" s="49"/>
      <c r="N3468" s="49"/>
      <c r="O3468" s="49"/>
      <c r="P3468" s="49"/>
      <c r="Q3468" s="49"/>
      <c r="R3468" s="49"/>
      <c r="S3468" s="49"/>
      <c r="T3468" s="49"/>
      <c r="U3468" s="49"/>
      <c r="V3468" s="49"/>
      <c r="W3468" s="56"/>
      <c r="X3468" s="51" t="str">
        <f t="shared" si="5"/>
        <v/>
      </c>
      <c r="Y3468" s="50" t="s">
        <v>482</v>
      </c>
      <c r="Z3468" s="49">
        <f t="shared" si="6"/>
        <v>0</v>
      </c>
    </row>
    <row r="3469" ht="22.5" customHeight="1">
      <c r="B3469" s="57"/>
      <c r="C3469" s="43" t="str">
        <f t="array" ref="C3469">IF(B3469="","",_xlfn.XLOOKUP(B3469,'Form responses 1'!$B$2:$B$2604,'Form responses 1'!$A$2:$A$2604,""))</f>
        <v/>
      </c>
      <c r="D3469" s="44" t="str">
        <f t="shared" si="3"/>
        <v/>
      </c>
      <c r="E3469" s="44" t="str">
        <f t="array" ref="E3469">IF(B3469="","",_xlfn.XLOOKUP(B3469,'Form responses 1'!$B$2:$B$2604,'Form responses 1'!$C$2:$C$2604,""))</f>
        <v/>
      </c>
      <c r="F3469" s="44" t="str">
        <f t="array" ref="F3469">IF(B3469="","",_xlfn.XLOOKUP(B3469,'Form responses 1'!$B$2:$B$2604,'Form responses 1'!$D$2:$D$2604,""))</f>
        <v/>
      </c>
      <c r="G3469" s="44" t="str">
        <f t="array" ref="G3469">IF(B3469="","",_xlfn.XLOOKUP(B3469,'Form responses 1'!$B$2:$B$2604,'Form responses 1'!$E$2:$E$2604,""))</f>
        <v/>
      </c>
      <c r="H3469" s="44" t="str">
        <f t="array" ref="H3469">IF(B3469="","",_xlfn.XLOOKUP(B3469,'Form responses 1'!$B$2:$B$2604,'Form responses 1'!$F$2:$F$2604,""))</f>
        <v/>
      </c>
      <c r="I3469" s="44" t="str">
        <f t="array" ref="I3469">IF(B3469="","",_xlfn.XLOOKUP(B3469,'Form responses 1'!$B$2:$B$2604,'Form responses 1'!$I$2:$I$2604,""))</f>
        <v/>
      </c>
      <c r="J3469" s="44" t="str">
        <f t="array" ref="J3469">IF(B3469="","",_xlfn.XLOOKUP(B3469,'Form responses 1'!$B$2:$B$2604,'Form responses 1'!$G$2:$G$2604,""))</f>
        <v/>
      </c>
      <c r="K3469" s="56"/>
      <c r="L3469" s="58" t="str">
        <f t="shared" si="7"/>
        <v/>
      </c>
      <c r="M3469" s="49"/>
      <c r="N3469" s="49"/>
      <c r="O3469" s="49"/>
      <c r="P3469" s="49"/>
      <c r="Q3469" s="49"/>
      <c r="R3469" s="49"/>
      <c r="S3469" s="49"/>
      <c r="T3469" s="49"/>
      <c r="U3469" s="49"/>
      <c r="V3469" s="49"/>
      <c r="W3469" s="56"/>
      <c r="X3469" s="51" t="str">
        <f t="shared" si="5"/>
        <v/>
      </c>
      <c r="Y3469" s="50" t="s">
        <v>482</v>
      </c>
      <c r="Z3469" s="49">
        <f t="shared" si="6"/>
        <v>0</v>
      </c>
    </row>
    <row r="3470" ht="22.5" customHeight="1">
      <c r="B3470" s="57"/>
      <c r="C3470" s="43" t="str">
        <f t="array" ref="C3470">IF(B3470="","",_xlfn.XLOOKUP(B3470,'Form responses 1'!$B$2:$B$2604,'Form responses 1'!$A$2:$A$2604,""))</f>
        <v/>
      </c>
      <c r="D3470" s="44" t="str">
        <f t="shared" si="3"/>
        <v/>
      </c>
      <c r="E3470" s="44" t="str">
        <f t="array" ref="E3470">IF(B3470="","",_xlfn.XLOOKUP(B3470,'Form responses 1'!$B$2:$B$2604,'Form responses 1'!$C$2:$C$2604,""))</f>
        <v/>
      </c>
      <c r="F3470" s="44" t="str">
        <f t="array" ref="F3470">IF(B3470="","",_xlfn.XLOOKUP(B3470,'Form responses 1'!$B$2:$B$2604,'Form responses 1'!$D$2:$D$2604,""))</f>
        <v/>
      </c>
      <c r="G3470" s="44" t="str">
        <f t="array" ref="G3470">IF(B3470="","",_xlfn.XLOOKUP(B3470,'Form responses 1'!$B$2:$B$2604,'Form responses 1'!$E$2:$E$2604,""))</f>
        <v/>
      </c>
      <c r="H3470" s="44" t="str">
        <f t="array" ref="H3470">IF(B3470="","",_xlfn.XLOOKUP(B3470,'Form responses 1'!$B$2:$B$2604,'Form responses 1'!$F$2:$F$2604,""))</f>
        <v/>
      </c>
      <c r="I3470" s="44" t="str">
        <f t="array" ref="I3470">IF(B3470="","",_xlfn.XLOOKUP(B3470,'Form responses 1'!$B$2:$B$2604,'Form responses 1'!$I$2:$I$2604,""))</f>
        <v/>
      </c>
      <c r="J3470" s="44" t="str">
        <f t="array" ref="J3470">IF(B3470="","",_xlfn.XLOOKUP(B3470,'Form responses 1'!$B$2:$B$2604,'Form responses 1'!$G$2:$G$2604,""))</f>
        <v/>
      </c>
      <c r="K3470" s="56"/>
      <c r="L3470" s="58" t="str">
        <f t="shared" si="7"/>
        <v/>
      </c>
      <c r="M3470" s="49"/>
      <c r="N3470" s="49"/>
      <c r="O3470" s="49"/>
      <c r="P3470" s="49"/>
      <c r="Q3470" s="49"/>
      <c r="R3470" s="49"/>
      <c r="S3470" s="49"/>
      <c r="T3470" s="49"/>
      <c r="U3470" s="49"/>
      <c r="V3470" s="49"/>
      <c r="W3470" s="56"/>
      <c r="X3470" s="51" t="str">
        <f t="shared" si="5"/>
        <v/>
      </c>
      <c r="Y3470" s="50" t="s">
        <v>482</v>
      </c>
      <c r="Z3470" s="49">
        <f t="shared" si="6"/>
        <v>0</v>
      </c>
    </row>
    <row r="3471" ht="22.5" customHeight="1">
      <c r="B3471" s="57"/>
      <c r="C3471" s="43" t="str">
        <f t="array" ref="C3471">IF(B3471="","",_xlfn.XLOOKUP(B3471,'Form responses 1'!$B$2:$B$2604,'Form responses 1'!$A$2:$A$2604,""))</f>
        <v/>
      </c>
      <c r="D3471" s="44" t="str">
        <f t="shared" si="3"/>
        <v/>
      </c>
      <c r="E3471" s="44" t="str">
        <f t="array" ref="E3471">IF(B3471="","",_xlfn.XLOOKUP(B3471,'Form responses 1'!$B$2:$B$2604,'Form responses 1'!$C$2:$C$2604,""))</f>
        <v/>
      </c>
      <c r="F3471" s="44" t="str">
        <f t="array" ref="F3471">IF(B3471="","",_xlfn.XLOOKUP(B3471,'Form responses 1'!$B$2:$B$2604,'Form responses 1'!$D$2:$D$2604,""))</f>
        <v/>
      </c>
      <c r="G3471" s="44" t="str">
        <f t="array" ref="G3471">IF(B3471="","",_xlfn.XLOOKUP(B3471,'Form responses 1'!$B$2:$B$2604,'Form responses 1'!$E$2:$E$2604,""))</f>
        <v/>
      </c>
      <c r="H3471" s="44" t="str">
        <f t="array" ref="H3471">IF(B3471="","",_xlfn.XLOOKUP(B3471,'Form responses 1'!$B$2:$B$2604,'Form responses 1'!$F$2:$F$2604,""))</f>
        <v/>
      </c>
      <c r="I3471" s="44" t="str">
        <f t="array" ref="I3471">IF(B3471="","",_xlfn.XLOOKUP(B3471,'Form responses 1'!$B$2:$B$2604,'Form responses 1'!$I$2:$I$2604,""))</f>
        <v/>
      </c>
      <c r="J3471" s="44" t="str">
        <f t="array" ref="J3471">IF(B3471="","",_xlfn.XLOOKUP(B3471,'Form responses 1'!$B$2:$B$2604,'Form responses 1'!$G$2:$G$2604,""))</f>
        <v/>
      </c>
      <c r="K3471" s="56"/>
      <c r="L3471" s="58" t="str">
        <f t="shared" si="7"/>
        <v/>
      </c>
      <c r="M3471" s="49"/>
      <c r="N3471" s="49"/>
      <c r="O3471" s="49"/>
      <c r="P3471" s="49"/>
      <c r="Q3471" s="49"/>
      <c r="R3471" s="49"/>
      <c r="S3471" s="49"/>
      <c r="T3471" s="49"/>
      <c r="U3471" s="49"/>
      <c r="V3471" s="49"/>
      <c r="W3471" s="56"/>
      <c r="X3471" s="51" t="str">
        <f t="shared" si="5"/>
        <v/>
      </c>
      <c r="Y3471" s="50" t="s">
        <v>482</v>
      </c>
      <c r="Z3471" s="49">
        <f t="shared" si="6"/>
        <v>0</v>
      </c>
    </row>
    <row r="3472" ht="22.5" customHeight="1">
      <c r="B3472" s="57"/>
      <c r="C3472" s="43" t="str">
        <f t="array" ref="C3472">IF(B3472="","",_xlfn.XLOOKUP(B3472,'Form responses 1'!$B$2:$B$2604,'Form responses 1'!$A$2:$A$2604,""))</f>
        <v/>
      </c>
      <c r="D3472" s="44" t="str">
        <f t="shared" si="3"/>
        <v/>
      </c>
      <c r="E3472" s="44" t="str">
        <f t="array" ref="E3472">IF(B3472="","",_xlfn.XLOOKUP(B3472,'Form responses 1'!$B$2:$B$2604,'Form responses 1'!$C$2:$C$2604,""))</f>
        <v/>
      </c>
      <c r="F3472" s="44" t="str">
        <f t="array" ref="F3472">IF(B3472="","",_xlfn.XLOOKUP(B3472,'Form responses 1'!$B$2:$B$2604,'Form responses 1'!$D$2:$D$2604,""))</f>
        <v/>
      </c>
      <c r="G3472" s="44" t="str">
        <f t="array" ref="G3472">IF(B3472="","",_xlfn.XLOOKUP(B3472,'Form responses 1'!$B$2:$B$2604,'Form responses 1'!$E$2:$E$2604,""))</f>
        <v/>
      </c>
      <c r="H3472" s="44" t="str">
        <f t="array" ref="H3472">IF(B3472="","",_xlfn.XLOOKUP(B3472,'Form responses 1'!$B$2:$B$2604,'Form responses 1'!$F$2:$F$2604,""))</f>
        <v/>
      </c>
      <c r="I3472" s="44" t="str">
        <f t="array" ref="I3472">IF(B3472="","",_xlfn.XLOOKUP(B3472,'Form responses 1'!$B$2:$B$2604,'Form responses 1'!$I$2:$I$2604,""))</f>
        <v/>
      </c>
      <c r="J3472" s="44" t="str">
        <f t="array" ref="J3472">IF(B3472="","",_xlfn.XLOOKUP(B3472,'Form responses 1'!$B$2:$B$2604,'Form responses 1'!$G$2:$G$2604,""))</f>
        <v/>
      </c>
      <c r="K3472" s="56"/>
      <c r="L3472" s="58" t="str">
        <f t="shared" si="7"/>
        <v/>
      </c>
      <c r="M3472" s="49"/>
      <c r="N3472" s="49"/>
      <c r="O3472" s="49"/>
      <c r="P3472" s="49"/>
      <c r="Q3472" s="49"/>
      <c r="R3472" s="49"/>
      <c r="S3472" s="49"/>
      <c r="T3472" s="49"/>
      <c r="U3472" s="49"/>
      <c r="V3472" s="49"/>
      <c r="W3472" s="56"/>
      <c r="X3472" s="51" t="str">
        <f t="shared" si="5"/>
        <v/>
      </c>
      <c r="Y3472" s="50" t="s">
        <v>482</v>
      </c>
      <c r="Z3472" s="49">
        <f t="shared" si="6"/>
        <v>0</v>
      </c>
    </row>
    <row r="3473" ht="22.5" customHeight="1">
      <c r="B3473" s="57"/>
      <c r="C3473" s="43" t="str">
        <f t="array" ref="C3473">IF(B3473="","",_xlfn.XLOOKUP(B3473,'Form responses 1'!$B$2:$B$2604,'Form responses 1'!$A$2:$A$2604,""))</f>
        <v/>
      </c>
      <c r="D3473" s="44" t="str">
        <f t="shared" si="3"/>
        <v/>
      </c>
      <c r="E3473" s="44" t="str">
        <f t="array" ref="E3473">IF(B3473="","",_xlfn.XLOOKUP(B3473,'Form responses 1'!$B$2:$B$2604,'Form responses 1'!$C$2:$C$2604,""))</f>
        <v/>
      </c>
      <c r="F3473" s="44" t="str">
        <f t="array" ref="F3473">IF(B3473="","",_xlfn.XLOOKUP(B3473,'Form responses 1'!$B$2:$B$2604,'Form responses 1'!$D$2:$D$2604,""))</f>
        <v/>
      </c>
      <c r="G3473" s="44" t="str">
        <f t="array" ref="G3473">IF(B3473="","",_xlfn.XLOOKUP(B3473,'Form responses 1'!$B$2:$B$2604,'Form responses 1'!$E$2:$E$2604,""))</f>
        <v/>
      </c>
      <c r="H3473" s="44" t="str">
        <f t="array" ref="H3473">IF(B3473="","",_xlfn.XLOOKUP(B3473,'Form responses 1'!$B$2:$B$2604,'Form responses 1'!$F$2:$F$2604,""))</f>
        <v/>
      </c>
      <c r="I3473" s="44" t="str">
        <f t="array" ref="I3473">IF(B3473="","",_xlfn.XLOOKUP(B3473,'Form responses 1'!$B$2:$B$2604,'Form responses 1'!$I$2:$I$2604,""))</f>
        <v/>
      </c>
      <c r="J3473" s="44" t="str">
        <f t="array" ref="J3473">IF(B3473="","",_xlfn.XLOOKUP(B3473,'Form responses 1'!$B$2:$B$2604,'Form responses 1'!$G$2:$G$2604,""))</f>
        <v/>
      </c>
      <c r="K3473" s="56"/>
      <c r="L3473" s="58" t="str">
        <f t="shared" si="7"/>
        <v/>
      </c>
      <c r="M3473" s="49"/>
      <c r="N3473" s="49"/>
      <c r="O3473" s="49"/>
      <c r="P3473" s="49"/>
      <c r="Q3473" s="49"/>
      <c r="R3473" s="49"/>
      <c r="S3473" s="49"/>
      <c r="T3473" s="49"/>
      <c r="U3473" s="49"/>
      <c r="V3473" s="49"/>
      <c r="W3473" s="56"/>
      <c r="X3473" s="51" t="str">
        <f t="shared" si="5"/>
        <v/>
      </c>
      <c r="Y3473" s="50" t="s">
        <v>482</v>
      </c>
      <c r="Z3473" s="49">
        <f t="shared" si="6"/>
        <v>0</v>
      </c>
    </row>
    <row r="3474" ht="22.5" customHeight="1">
      <c r="B3474" s="57"/>
      <c r="C3474" s="43" t="str">
        <f t="array" ref="C3474">IF(B3474="","",_xlfn.XLOOKUP(B3474,'Form responses 1'!$B$2:$B$2604,'Form responses 1'!$A$2:$A$2604,""))</f>
        <v/>
      </c>
      <c r="D3474" s="44" t="str">
        <f t="shared" si="3"/>
        <v/>
      </c>
      <c r="E3474" s="44" t="str">
        <f t="array" ref="E3474">IF(B3474="","",_xlfn.XLOOKUP(B3474,'Form responses 1'!$B$2:$B$2604,'Form responses 1'!$C$2:$C$2604,""))</f>
        <v/>
      </c>
      <c r="F3474" s="44" t="str">
        <f t="array" ref="F3474">IF(B3474="","",_xlfn.XLOOKUP(B3474,'Form responses 1'!$B$2:$B$2604,'Form responses 1'!$D$2:$D$2604,""))</f>
        <v/>
      </c>
      <c r="G3474" s="44" t="str">
        <f t="array" ref="G3474">IF(B3474="","",_xlfn.XLOOKUP(B3474,'Form responses 1'!$B$2:$B$2604,'Form responses 1'!$E$2:$E$2604,""))</f>
        <v/>
      </c>
      <c r="H3474" s="44" t="str">
        <f t="array" ref="H3474">IF(B3474="","",_xlfn.XLOOKUP(B3474,'Form responses 1'!$B$2:$B$2604,'Form responses 1'!$F$2:$F$2604,""))</f>
        <v/>
      </c>
      <c r="I3474" s="44" t="str">
        <f t="array" ref="I3474">IF(B3474="","",_xlfn.XLOOKUP(B3474,'Form responses 1'!$B$2:$B$2604,'Form responses 1'!$I$2:$I$2604,""))</f>
        <v/>
      </c>
      <c r="J3474" s="44" t="str">
        <f t="array" ref="J3474">IF(B3474="","",_xlfn.XLOOKUP(B3474,'Form responses 1'!$B$2:$B$2604,'Form responses 1'!$G$2:$G$2604,""))</f>
        <v/>
      </c>
      <c r="K3474" s="56"/>
      <c r="L3474" s="58" t="str">
        <f t="shared" si="7"/>
        <v/>
      </c>
      <c r="M3474" s="49"/>
      <c r="N3474" s="49"/>
      <c r="O3474" s="49"/>
      <c r="P3474" s="49"/>
      <c r="Q3474" s="49"/>
      <c r="R3474" s="49"/>
      <c r="S3474" s="49"/>
      <c r="T3474" s="49"/>
      <c r="U3474" s="49"/>
      <c r="V3474" s="49"/>
      <c r="W3474" s="56"/>
      <c r="X3474" s="51" t="str">
        <f t="shared" si="5"/>
        <v/>
      </c>
      <c r="Y3474" s="50" t="s">
        <v>482</v>
      </c>
      <c r="Z3474" s="49">
        <f t="shared" si="6"/>
        <v>0</v>
      </c>
    </row>
    <row r="3475" ht="22.5" customHeight="1">
      <c r="B3475" s="57"/>
      <c r="C3475" s="43" t="str">
        <f t="array" ref="C3475">IF(B3475="","",_xlfn.XLOOKUP(B3475,'Form responses 1'!$B$2:$B$2604,'Form responses 1'!$A$2:$A$2604,""))</f>
        <v/>
      </c>
      <c r="D3475" s="44" t="str">
        <f t="shared" si="3"/>
        <v/>
      </c>
      <c r="E3475" s="44" t="str">
        <f t="array" ref="E3475">IF(B3475="","",_xlfn.XLOOKUP(B3475,'Form responses 1'!$B$2:$B$2604,'Form responses 1'!$C$2:$C$2604,""))</f>
        <v/>
      </c>
      <c r="F3475" s="44" t="str">
        <f t="array" ref="F3475">IF(B3475="","",_xlfn.XLOOKUP(B3475,'Form responses 1'!$B$2:$B$2604,'Form responses 1'!$D$2:$D$2604,""))</f>
        <v/>
      </c>
      <c r="G3475" s="44" t="str">
        <f t="array" ref="G3475">IF(B3475="","",_xlfn.XLOOKUP(B3475,'Form responses 1'!$B$2:$B$2604,'Form responses 1'!$E$2:$E$2604,""))</f>
        <v/>
      </c>
      <c r="H3475" s="44" t="str">
        <f t="array" ref="H3475">IF(B3475="","",_xlfn.XLOOKUP(B3475,'Form responses 1'!$B$2:$B$2604,'Form responses 1'!$F$2:$F$2604,""))</f>
        <v/>
      </c>
      <c r="I3475" s="44" t="str">
        <f t="array" ref="I3475">IF(B3475="","",_xlfn.XLOOKUP(B3475,'Form responses 1'!$B$2:$B$2604,'Form responses 1'!$I$2:$I$2604,""))</f>
        <v/>
      </c>
      <c r="J3475" s="44" t="str">
        <f t="array" ref="J3475">IF(B3475="","",_xlfn.XLOOKUP(B3475,'Form responses 1'!$B$2:$B$2604,'Form responses 1'!$G$2:$G$2604,""))</f>
        <v/>
      </c>
      <c r="K3475" s="56"/>
      <c r="L3475" s="58" t="str">
        <f t="shared" si="7"/>
        <v/>
      </c>
      <c r="M3475" s="49"/>
      <c r="N3475" s="49"/>
      <c r="O3475" s="49"/>
      <c r="P3475" s="49"/>
      <c r="Q3475" s="49"/>
      <c r="R3475" s="49"/>
      <c r="S3475" s="49"/>
      <c r="T3475" s="49"/>
      <c r="U3475" s="49"/>
      <c r="V3475" s="49"/>
      <c r="W3475" s="56"/>
      <c r="X3475" s="51" t="str">
        <f t="shared" si="5"/>
        <v/>
      </c>
      <c r="Y3475" s="50" t="s">
        <v>482</v>
      </c>
      <c r="Z3475" s="49">
        <f t="shared" si="6"/>
        <v>0</v>
      </c>
    </row>
    <row r="3476" ht="22.5" customHeight="1">
      <c r="B3476" s="57"/>
      <c r="C3476" s="43" t="str">
        <f t="array" ref="C3476">IF(B3476="","",_xlfn.XLOOKUP(B3476,'Form responses 1'!$B$2:$B$2604,'Form responses 1'!$A$2:$A$2604,""))</f>
        <v/>
      </c>
      <c r="D3476" s="44" t="str">
        <f t="shared" si="3"/>
        <v/>
      </c>
      <c r="E3476" s="44" t="str">
        <f t="array" ref="E3476">IF(B3476="","",_xlfn.XLOOKUP(B3476,'Form responses 1'!$B$2:$B$2604,'Form responses 1'!$C$2:$C$2604,""))</f>
        <v/>
      </c>
      <c r="F3476" s="44" t="str">
        <f t="array" ref="F3476">IF(B3476="","",_xlfn.XLOOKUP(B3476,'Form responses 1'!$B$2:$B$2604,'Form responses 1'!$D$2:$D$2604,""))</f>
        <v/>
      </c>
      <c r="G3476" s="44" t="str">
        <f t="array" ref="G3476">IF(B3476="","",_xlfn.XLOOKUP(B3476,'Form responses 1'!$B$2:$B$2604,'Form responses 1'!$E$2:$E$2604,""))</f>
        <v/>
      </c>
      <c r="H3476" s="44" t="str">
        <f t="array" ref="H3476">IF(B3476="","",_xlfn.XLOOKUP(B3476,'Form responses 1'!$B$2:$B$2604,'Form responses 1'!$F$2:$F$2604,""))</f>
        <v/>
      </c>
      <c r="I3476" s="44" t="str">
        <f t="array" ref="I3476">IF(B3476="","",_xlfn.XLOOKUP(B3476,'Form responses 1'!$B$2:$B$2604,'Form responses 1'!$I$2:$I$2604,""))</f>
        <v/>
      </c>
      <c r="J3476" s="44" t="str">
        <f t="array" ref="J3476">IF(B3476="","",_xlfn.XLOOKUP(B3476,'Form responses 1'!$B$2:$B$2604,'Form responses 1'!$G$2:$G$2604,""))</f>
        <v/>
      </c>
      <c r="K3476" s="56"/>
      <c r="L3476" s="58" t="str">
        <f t="shared" si="7"/>
        <v/>
      </c>
      <c r="M3476" s="49"/>
      <c r="N3476" s="49"/>
      <c r="O3476" s="49"/>
      <c r="P3476" s="49"/>
      <c r="Q3476" s="49"/>
      <c r="R3476" s="49"/>
      <c r="S3476" s="49"/>
      <c r="T3476" s="49"/>
      <c r="U3476" s="49"/>
      <c r="V3476" s="49"/>
      <c r="W3476" s="56"/>
      <c r="X3476" s="51" t="str">
        <f t="shared" si="5"/>
        <v/>
      </c>
      <c r="Y3476" s="50" t="s">
        <v>482</v>
      </c>
      <c r="Z3476" s="49">
        <f t="shared" si="6"/>
        <v>0</v>
      </c>
    </row>
    <row r="3477" ht="22.5" customHeight="1">
      <c r="B3477" s="57"/>
      <c r="C3477" s="43" t="str">
        <f t="array" ref="C3477">IF(B3477="","",_xlfn.XLOOKUP(B3477,'Form responses 1'!$B$2:$B$2604,'Form responses 1'!$A$2:$A$2604,""))</f>
        <v/>
      </c>
      <c r="D3477" s="44" t="str">
        <f t="shared" si="3"/>
        <v/>
      </c>
      <c r="E3477" s="44" t="str">
        <f t="array" ref="E3477">IF(B3477="","",_xlfn.XLOOKUP(B3477,'Form responses 1'!$B$2:$B$2604,'Form responses 1'!$C$2:$C$2604,""))</f>
        <v/>
      </c>
      <c r="F3477" s="44" t="str">
        <f t="array" ref="F3477">IF(B3477="","",_xlfn.XLOOKUP(B3477,'Form responses 1'!$B$2:$B$2604,'Form responses 1'!$D$2:$D$2604,""))</f>
        <v/>
      </c>
      <c r="G3477" s="44" t="str">
        <f t="array" ref="G3477">IF(B3477="","",_xlfn.XLOOKUP(B3477,'Form responses 1'!$B$2:$B$2604,'Form responses 1'!$E$2:$E$2604,""))</f>
        <v/>
      </c>
      <c r="H3477" s="44" t="str">
        <f t="array" ref="H3477">IF(B3477="","",_xlfn.XLOOKUP(B3477,'Form responses 1'!$B$2:$B$2604,'Form responses 1'!$F$2:$F$2604,""))</f>
        <v/>
      </c>
      <c r="I3477" s="44" t="str">
        <f t="array" ref="I3477">IF(B3477="","",_xlfn.XLOOKUP(B3477,'Form responses 1'!$B$2:$B$2604,'Form responses 1'!$I$2:$I$2604,""))</f>
        <v/>
      </c>
      <c r="J3477" s="44" t="str">
        <f t="array" ref="J3477">IF(B3477="","",_xlfn.XLOOKUP(B3477,'Form responses 1'!$B$2:$B$2604,'Form responses 1'!$G$2:$G$2604,""))</f>
        <v/>
      </c>
      <c r="K3477" s="56"/>
      <c r="L3477" s="58" t="str">
        <f t="shared" si="7"/>
        <v/>
      </c>
      <c r="M3477" s="49"/>
      <c r="N3477" s="49"/>
      <c r="O3477" s="49"/>
      <c r="P3477" s="49"/>
      <c r="Q3477" s="49"/>
      <c r="R3477" s="49"/>
      <c r="S3477" s="49"/>
      <c r="T3477" s="49"/>
      <c r="U3477" s="49"/>
      <c r="V3477" s="49"/>
      <c r="W3477" s="56"/>
      <c r="X3477" s="51" t="str">
        <f t="shared" si="5"/>
        <v/>
      </c>
      <c r="Y3477" s="50" t="s">
        <v>482</v>
      </c>
      <c r="Z3477" s="49">
        <f t="shared" si="6"/>
        <v>0</v>
      </c>
    </row>
    <row r="3478" ht="22.5" customHeight="1">
      <c r="B3478" s="57"/>
      <c r="C3478" s="43" t="str">
        <f t="array" ref="C3478">IF(B3478="","",_xlfn.XLOOKUP(B3478,'Form responses 1'!$B$2:$B$2604,'Form responses 1'!$A$2:$A$2604,""))</f>
        <v/>
      </c>
      <c r="D3478" s="44" t="str">
        <f t="shared" si="3"/>
        <v/>
      </c>
      <c r="E3478" s="44" t="str">
        <f t="array" ref="E3478">IF(B3478="","",_xlfn.XLOOKUP(B3478,'Form responses 1'!$B$2:$B$2604,'Form responses 1'!$C$2:$C$2604,""))</f>
        <v/>
      </c>
      <c r="F3478" s="44" t="str">
        <f t="array" ref="F3478">IF(B3478="","",_xlfn.XLOOKUP(B3478,'Form responses 1'!$B$2:$B$2604,'Form responses 1'!$D$2:$D$2604,""))</f>
        <v/>
      </c>
      <c r="G3478" s="44" t="str">
        <f t="array" ref="G3478">IF(B3478="","",_xlfn.XLOOKUP(B3478,'Form responses 1'!$B$2:$B$2604,'Form responses 1'!$E$2:$E$2604,""))</f>
        <v/>
      </c>
      <c r="H3478" s="44" t="str">
        <f t="array" ref="H3478">IF(B3478="","",_xlfn.XLOOKUP(B3478,'Form responses 1'!$B$2:$B$2604,'Form responses 1'!$F$2:$F$2604,""))</f>
        <v/>
      </c>
      <c r="I3478" s="44" t="str">
        <f t="array" ref="I3478">IF(B3478="","",_xlfn.XLOOKUP(B3478,'Form responses 1'!$B$2:$B$2604,'Form responses 1'!$I$2:$I$2604,""))</f>
        <v/>
      </c>
      <c r="J3478" s="44" t="str">
        <f t="array" ref="J3478">IF(B3478="","",_xlfn.XLOOKUP(B3478,'Form responses 1'!$B$2:$B$2604,'Form responses 1'!$G$2:$G$2604,""))</f>
        <v/>
      </c>
      <c r="K3478" s="56"/>
      <c r="L3478" s="58" t="str">
        <f t="shared" si="7"/>
        <v/>
      </c>
      <c r="M3478" s="49"/>
      <c r="N3478" s="49"/>
      <c r="O3478" s="49"/>
      <c r="P3478" s="49"/>
      <c r="Q3478" s="49"/>
      <c r="R3478" s="49"/>
      <c r="S3478" s="49"/>
      <c r="T3478" s="49"/>
      <c r="U3478" s="49"/>
      <c r="V3478" s="49"/>
      <c r="W3478" s="56"/>
      <c r="X3478" s="51" t="str">
        <f t="shared" si="5"/>
        <v/>
      </c>
      <c r="Y3478" s="50" t="s">
        <v>482</v>
      </c>
      <c r="Z3478" s="49">
        <f t="shared" si="6"/>
        <v>0</v>
      </c>
    </row>
    <row r="3479" ht="22.5" customHeight="1">
      <c r="B3479" s="57"/>
      <c r="C3479" s="43" t="str">
        <f t="array" ref="C3479">IF(B3479="","",_xlfn.XLOOKUP(B3479,'Form responses 1'!$B$2:$B$2604,'Form responses 1'!$A$2:$A$2604,""))</f>
        <v/>
      </c>
      <c r="D3479" s="44" t="str">
        <f t="shared" si="3"/>
        <v/>
      </c>
      <c r="E3479" s="44" t="str">
        <f t="array" ref="E3479">IF(B3479="","",_xlfn.XLOOKUP(B3479,'Form responses 1'!$B$2:$B$2604,'Form responses 1'!$C$2:$C$2604,""))</f>
        <v/>
      </c>
      <c r="F3479" s="44" t="str">
        <f t="array" ref="F3479">IF(B3479="","",_xlfn.XLOOKUP(B3479,'Form responses 1'!$B$2:$B$2604,'Form responses 1'!$D$2:$D$2604,""))</f>
        <v/>
      </c>
      <c r="G3479" s="44" t="str">
        <f t="array" ref="G3479">IF(B3479="","",_xlfn.XLOOKUP(B3479,'Form responses 1'!$B$2:$B$2604,'Form responses 1'!$E$2:$E$2604,""))</f>
        <v/>
      </c>
      <c r="H3479" s="44" t="str">
        <f t="array" ref="H3479">IF(B3479="","",_xlfn.XLOOKUP(B3479,'Form responses 1'!$B$2:$B$2604,'Form responses 1'!$F$2:$F$2604,""))</f>
        <v/>
      </c>
      <c r="I3479" s="44" t="str">
        <f t="array" ref="I3479">IF(B3479="","",_xlfn.XLOOKUP(B3479,'Form responses 1'!$B$2:$B$2604,'Form responses 1'!$I$2:$I$2604,""))</f>
        <v/>
      </c>
      <c r="J3479" s="44" t="str">
        <f t="array" ref="J3479">IF(B3479="","",_xlfn.XLOOKUP(B3479,'Form responses 1'!$B$2:$B$2604,'Form responses 1'!$G$2:$G$2604,""))</f>
        <v/>
      </c>
      <c r="K3479" s="56"/>
      <c r="L3479" s="58" t="str">
        <f t="shared" si="7"/>
        <v/>
      </c>
      <c r="M3479" s="49"/>
      <c r="N3479" s="49"/>
      <c r="O3479" s="49"/>
      <c r="P3479" s="49"/>
      <c r="Q3479" s="49"/>
      <c r="R3479" s="49"/>
      <c r="S3479" s="49"/>
      <c r="T3479" s="49"/>
      <c r="U3479" s="49"/>
      <c r="V3479" s="49"/>
      <c r="W3479" s="56"/>
      <c r="X3479" s="51" t="str">
        <f t="shared" si="5"/>
        <v/>
      </c>
      <c r="Y3479" s="50" t="s">
        <v>482</v>
      </c>
      <c r="Z3479" s="49">
        <f t="shared" si="6"/>
        <v>0</v>
      </c>
    </row>
    <row r="3480" ht="22.5" customHeight="1">
      <c r="B3480" s="57"/>
      <c r="C3480" s="43" t="str">
        <f t="array" ref="C3480">IF(B3480="","",_xlfn.XLOOKUP(B3480,'Form responses 1'!$B$2:$B$2604,'Form responses 1'!$A$2:$A$2604,""))</f>
        <v/>
      </c>
      <c r="D3480" s="44" t="str">
        <f t="shared" si="3"/>
        <v/>
      </c>
      <c r="E3480" s="44" t="str">
        <f t="array" ref="E3480">IF(B3480="","",_xlfn.XLOOKUP(B3480,'Form responses 1'!$B$2:$B$2604,'Form responses 1'!$C$2:$C$2604,""))</f>
        <v/>
      </c>
      <c r="F3480" s="44" t="str">
        <f t="array" ref="F3480">IF(B3480="","",_xlfn.XLOOKUP(B3480,'Form responses 1'!$B$2:$B$2604,'Form responses 1'!$D$2:$D$2604,""))</f>
        <v/>
      </c>
      <c r="G3480" s="44" t="str">
        <f t="array" ref="G3480">IF(B3480="","",_xlfn.XLOOKUP(B3480,'Form responses 1'!$B$2:$B$2604,'Form responses 1'!$E$2:$E$2604,""))</f>
        <v/>
      </c>
      <c r="H3480" s="44" t="str">
        <f t="array" ref="H3480">IF(B3480="","",_xlfn.XLOOKUP(B3480,'Form responses 1'!$B$2:$B$2604,'Form responses 1'!$F$2:$F$2604,""))</f>
        <v/>
      </c>
      <c r="I3480" s="44" t="str">
        <f t="array" ref="I3480">IF(B3480="","",_xlfn.XLOOKUP(B3480,'Form responses 1'!$B$2:$B$2604,'Form responses 1'!$I$2:$I$2604,""))</f>
        <v/>
      </c>
      <c r="J3480" s="44" t="str">
        <f t="array" ref="J3480">IF(B3480="","",_xlfn.XLOOKUP(B3480,'Form responses 1'!$B$2:$B$2604,'Form responses 1'!$G$2:$G$2604,""))</f>
        <v/>
      </c>
      <c r="K3480" s="56"/>
      <c r="L3480" s="58" t="str">
        <f t="shared" si="7"/>
        <v/>
      </c>
      <c r="M3480" s="49"/>
      <c r="N3480" s="49"/>
      <c r="O3480" s="49"/>
      <c r="P3480" s="49"/>
      <c r="Q3480" s="49"/>
      <c r="R3480" s="49"/>
      <c r="S3480" s="49"/>
      <c r="T3480" s="49"/>
      <c r="U3480" s="49"/>
      <c r="V3480" s="49"/>
      <c r="W3480" s="56"/>
      <c r="X3480" s="51" t="str">
        <f t="shared" si="5"/>
        <v/>
      </c>
      <c r="Y3480" s="50" t="s">
        <v>482</v>
      </c>
      <c r="Z3480" s="49">
        <f t="shared" si="6"/>
        <v>0</v>
      </c>
    </row>
    <row r="3481" ht="22.5" customHeight="1">
      <c r="B3481" s="57"/>
      <c r="C3481" s="43" t="str">
        <f t="array" ref="C3481">IF(B3481="","",_xlfn.XLOOKUP(B3481,'Form responses 1'!$B$2:$B$2604,'Form responses 1'!$A$2:$A$2604,""))</f>
        <v/>
      </c>
      <c r="D3481" s="44" t="str">
        <f t="shared" si="3"/>
        <v/>
      </c>
      <c r="E3481" s="44" t="str">
        <f t="array" ref="E3481">IF(B3481="","",_xlfn.XLOOKUP(B3481,'Form responses 1'!$B$2:$B$2604,'Form responses 1'!$C$2:$C$2604,""))</f>
        <v/>
      </c>
      <c r="F3481" s="44" t="str">
        <f t="array" ref="F3481">IF(B3481="","",_xlfn.XLOOKUP(B3481,'Form responses 1'!$B$2:$B$2604,'Form responses 1'!$D$2:$D$2604,""))</f>
        <v/>
      </c>
      <c r="G3481" s="44" t="str">
        <f t="array" ref="G3481">IF(B3481="","",_xlfn.XLOOKUP(B3481,'Form responses 1'!$B$2:$B$2604,'Form responses 1'!$E$2:$E$2604,""))</f>
        <v/>
      </c>
      <c r="H3481" s="44" t="str">
        <f t="array" ref="H3481">IF(B3481="","",_xlfn.XLOOKUP(B3481,'Form responses 1'!$B$2:$B$2604,'Form responses 1'!$F$2:$F$2604,""))</f>
        <v/>
      </c>
      <c r="I3481" s="44" t="str">
        <f t="array" ref="I3481">IF(B3481="","",_xlfn.XLOOKUP(B3481,'Form responses 1'!$B$2:$B$2604,'Form responses 1'!$I$2:$I$2604,""))</f>
        <v/>
      </c>
      <c r="J3481" s="44" t="str">
        <f t="array" ref="J3481">IF(B3481="","",_xlfn.XLOOKUP(B3481,'Form responses 1'!$B$2:$B$2604,'Form responses 1'!$G$2:$G$2604,""))</f>
        <v/>
      </c>
      <c r="K3481" s="56"/>
      <c r="L3481" s="58" t="str">
        <f t="shared" si="7"/>
        <v/>
      </c>
      <c r="M3481" s="49"/>
      <c r="N3481" s="49"/>
      <c r="O3481" s="49"/>
      <c r="P3481" s="49"/>
      <c r="Q3481" s="49"/>
      <c r="R3481" s="49"/>
      <c r="S3481" s="49"/>
      <c r="T3481" s="49"/>
      <c r="U3481" s="49"/>
      <c r="V3481" s="49"/>
      <c r="W3481" s="56"/>
      <c r="X3481" s="51" t="str">
        <f t="shared" si="5"/>
        <v/>
      </c>
      <c r="Y3481" s="50" t="s">
        <v>482</v>
      </c>
      <c r="Z3481" s="49">
        <f t="shared" si="6"/>
        <v>0</v>
      </c>
    </row>
    <row r="3482" ht="22.5" customHeight="1">
      <c r="B3482" s="57"/>
      <c r="C3482" s="43" t="str">
        <f t="array" ref="C3482">IF(B3482="","",_xlfn.XLOOKUP(B3482,'Form responses 1'!$B$2:$B$2604,'Form responses 1'!$A$2:$A$2604,""))</f>
        <v/>
      </c>
      <c r="D3482" s="44" t="str">
        <f t="shared" si="3"/>
        <v/>
      </c>
      <c r="E3482" s="44" t="str">
        <f t="array" ref="E3482">IF(B3482="","",_xlfn.XLOOKUP(B3482,'Form responses 1'!$B$2:$B$2604,'Form responses 1'!$C$2:$C$2604,""))</f>
        <v/>
      </c>
      <c r="F3482" s="44" t="str">
        <f t="array" ref="F3482">IF(B3482="","",_xlfn.XLOOKUP(B3482,'Form responses 1'!$B$2:$B$2604,'Form responses 1'!$D$2:$D$2604,""))</f>
        <v/>
      </c>
      <c r="G3482" s="44" t="str">
        <f t="array" ref="G3482">IF(B3482="","",_xlfn.XLOOKUP(B3482,'Form responses 1'!$B$2:$B$2604,'Form responses 1'!$E$2:$E$2604,""))</f>
        <v/>
      </c>
      <c r="H3482" s="44" t="str">
        <f t="array" ref="H3482">IF(B3482="","",_xlfn.XLOOKUP(B3482,'Form responses 1'!$B$2:$B$2604,'Form responses 1'!$F$2:$F$2604,""))</f>
        <v/>
      </c>
      <c r="I3482" s="44" t="str">
        <f t="array" ref="I3482">IF(B3482="","",_xlfn.XLOOKUP(B3482,'Form responses 1'!$B$2:$B$2604,'Form responses 1'!$I$2:$I$2604,""))</f>
        <v/>
      </c>
      <c r="J3482" s="44" t="str">
        <f t="array" ref="J3482">IF(B3482="","",_xlfn.XLOOKUP(B3482,'Form responses 1'!$B$2:$B$2604,'Form responses 1'!$G$2:$G$2604,""))</f>
        <v/>
      </c>
      <c r="K3482" s="56"/>
      <c r="L3482" s="58" t="str">
        <f t="shared" si="7"/>
        <v/>
      </c>
      <c r="M3482" s="49"/>
      <c r="N3482" s="49"/>
      <c r="O3482" s="49"/>
      <c r="P3482" s="49"/>
      <c r="Q3482" s="49"/>
      <c r="R3482" s="49"/>
      <c r="S3482" s="49"/>
      <c r="T3482" s="49"/>
      <c r="U3482" s="49"/>
      <c r="V3482" s="49"/>
      <c r="W3482" s="56"/>
      <c r="X3482" s="51" t="str">
        <f t="shared" si="5"/>
        <v/>
      </c>
      <c r="Y3482" s="50" t="s">
        <v>482</v>
      </c>
      <c r="Z3482" s="49">
        <f t="shared" si="6"/>
        <v>0</v>
      </c>
    </row>
    <row r="3483" ht="22.5" customHeight="1">
      <c r="B3483" s="57"/>
      <c r="C3483" s="43" t="str">
        <f t="array" ref="C3483">IF(B3483="","",_xlfn.XLOOKUP(B3483,'Form responses 1'!$B$2:$B$2604,'Form responses 1'!$A$2:$A$2604,""))</f>
        <v/>
      </c>
      <c r="D3483" s="44" t="str">
        <f t="shared" si="3"/>
        <v/>
      </c>
      <c r="E3483" s="44" t="str">
        <f t="array" ref="E3483">IF(B3483="","",_xlfn.XLOOKUP(B3483,'Form responses 1'!$B$2:$B$2604,'Form responses 1'!$C$2:$C$2604,""))</f>
        <v/>
      </c>
      <c r="F3483" s="44" t="str">
        <f t="array" ref="F3483">IF(B3483="","",_xlfn.XLOOKUP(B3483,'Form responses 1'!$B$2:$B$2604,'Form responses 1'!$D$2:$D$2604,""))</f>
        <v/>
      </c>
      <c r="G3483" s="44" t="str">
        <f t="array" ref="G3483">IF(B3483="","",_xlfn.XLOOKUP(B3483,'Form responses 1'!$B$2:$B$2604,'Form responses 1'!$E$2:$E$2604,""))</f>
        <v/>
      </c>
      <c r="H3483" s="44" t="str">
        <f t="array" ref="H3483">IF(B3483="","",_xlfn.XLOOKUP(B3483,'Form responses 1'!$B$2:$B$2604,'Form responses 1'!$F$2:$F$2604,""))</f>
        <v/>
      </c>
      <c r="I3483" s="44" t="str">
        <f t="array" ref="I3483">IF(B3483="","",_xlfn.XLOOKUP(B3483,'Form responses 1'!$B$2:$B$2604,'Form responses 1'!$I$2:$I$2604,""))</f>
        <v/>
      </c>
      <c r="J3483" s="44" t="str">
        <f t="array" ref="J3483">IF(B3483="","",_xlfn.XLOOKUP(B3483,'Form responses 1'!$B$2:$B$2604,'Form responses 1'!$G$2:$G$2604,""))</f>
        <v/>
      </c>
      <c r="K3483" s="56"/>
      <c r="L3483" s="58" t="str">
        <f t="shared" si="7"/>
        <v/>
      </c>
      <c r="M3483" s="49"/>
      <c r="N3483" s="49"/>
      <c r="O3483" s="49"/>
      <c r="P3483" s="49"/>
      <c r="Q3483" s="49"/>
      <c r="R3483" s="49"/>
      <c r="S3483" s="49"/>
      <c r="T3483" s="49"/>
      <c r="U3483" s="49"/>
      <c r="V3483" s="49"/>
      <c r="W3483" s="56"/>
      <c r="X3483" s="51" t="str">
        <f t="shared" si="5"/>
        <v/>
      </c>
      <c r="Y3483" s="50" t="s">
        <v>482</v>
      </c>
      <c r="Z3483" s="49">
        <f t="shared" si="6"/>
        <v>0</v>
      </c>
    </row>
    <row r="3484" ht="22.5" customHeight="1">
      <c r="B3484" s="57"/>
      <c r="C3484" s="43" t="str">
        <f t="array" ref="C3484">IF(B3484="","",_xlfn.XLOOKUP(B3484,'Form responses 1'!$B$2:$B$2604,'Form responses 1'!$A$2:$A$2604,""))</f>
        <v/>
      </c>
      <c r="D3484" s="44" t="str">
        <f t="shared" si="3"/>
        <v/>
      </c>
      <c r="E3484" s="44" t="str">
        <f t="array" ref="E3484">IF(B3484="","",_xlfn.XLOOKUP(B3484,'Form responses 1'!$B$2:$B$2604,'Form responses 1'!$C$2:$C$2604,""))</f>
        <v/>
      </c>
      <c r="F3484" s="44" t="str">
        <f t="array" ref="F3484">IF(B3484="","",_xlfn.XLOOKUP(B3484,'Form responses 1'!$B$2:$B$2604,'Form responses 1'!$D$2:$D$2604,""))</f>
        <v/>
      </c>
      <c r="G3484" s="44" t="str">
        <f t="array" ref="G3484">IF(B3484="","",_xlfn.XLOOKUP(B3484,'Form responses 1'!$B$2:$B$2604,'Form responses 1'!$E$2:$E$2604,""))</f>
        <v/>
      </c>
      <c r="H3484" s="44" t="str">
        <f t="array" ref="H3484">IF(B3484="","",_xlfn.XLOOKUP(B3484,'Form responses 1'!$B$2:$B$2604,'Form responses 1'!$F$2:$F$2604,""))</f>
        <v/>
      </c>
      <c r="I3484" s="44" t="str">
        <f t="array" ref="I3484">IF(B3484="","",_xlfn.XLOOKUP(B3484,'Form responses 1'!$B$2:$B$2604,'Form responses 1'!$I$2:$I$2604,""))</f>
        <v/>
      </c>
      <c r="J3484" s="44" t="str">
        <f t="array" ref="J3484">IF(B3484="","",_xlfn.XLOOKUP(B3484,'Form responses 1'!$B$2:$B$2604,'Form responses 1'!$G$2:$G$2604,""))</f>
        <v/>
      </c>
      <c r="K3484" s="56"/>
      <c r="L3484" s="58" t="str">
        <f t="shared" si="7"/>
        <v/>
      </c>
      <c r="M3484" s="49"/>
      <c r="N3484" s="49"/>
      <c r="O3484" s="49"/>
      <c r="P3484" s="49"/>
      <c r="Q3484" s="49"/>
      <c r="R3484" s="49"/>
      <c r="S3484" s="49"/>
      <c r="T3484" s="49"/>
      <c r="U3484" s="49"/>
      <c r="V3484" s="49"/>
      <c r="W3484" s="56"/>
      <c r="X3484" s="51" t="str">
        <f t="shared" si="5"/>
        <v/>
      </c>
      <c r="Y3484" s="50" t="s">
        <v>482</v>
      </c>
      <c r="Z3484" s="49">
        <f t="shared" si="6"/>
        <v>0</v>
      </c>
    </row>
    <row r="3485" ht="22.5" customHeight="1">
      <c r="B3485" s="57"/>
      <c r="C3485" s="43" t="str">
        <f t="array" ref="C3485">IF(B3485="","",_xlfn.XLOOKUP(B3485,'Form responses 1'!$B$2:$B$2604,'Form responses 1'!$A$2:$A$2604,""))</f>
        <v/>
      </c>
      <c r="D3485" s="44" t="str">
        <f t="shared" si="3"/>
        <v/>
      </c>
      <c r="E3485" s="44" t="str">
        <f t="array" ref="E3485">IF(B3485="","",_xlfn.XLOOKUP(B3485,'Form responses 1'!$B$2:$B$2604,'Form responses 1'!$C$2:$C$2604,""))</f>
        <v/>
      </c>
      <c r="F3485" s="44" t="str">
        <f t="array" ref="F3485">IF(B3485="","",_xlfn.XLOOKUP(B3485,'Form responses 1'!$B$2:$B$2604,'Form responses 1'!$D$2:$D$2604,""))</f>
        <v/>
      </c>
      <c r="G3485" s="44" t="str">
        <f t="array" ref="G3485">IF(B3485="","",_xlfn.XLOOKUP(B3485,'Form responses 1'!$B$2:$B$2604,'Form responses 1'!$E$2:$E$2604,""))</f>
        <v/>
      </c>
      <c r="H3485" s="44" t="str">
        <f t="array" ref="H3485">IF(B3485="","",_xlfn.XLOOKUP(B3485,'Form responses 1'!$B$2:$B$2604,'Form responses 1'!$F$2:$F$2604,""))</f>
        <v/>
      </c>
      <c r="I3485" s="44" t="str">
        <f t="array" ref="I3485">IF(B3485="","",_xlfn.XLOOKUP(B3485,'Form responses 1'!$B$2:$B$2604,'Form responses 1'!$I$2:$I$2604,""))</f>
        <v/>
      </c>
      <c r="J3485" s="44" t="str">
        <f t="array" ref="J3485">IF(B3485="","",_xlfn.XLOOKUP(B3485,'Form responses 1'!$B$2:$B$2604,'Form responses 1'!$G$2:$G$2604,""))</f>
        <v/>
      </c>
      <c r="K3485" s="56"/>
      <c r="L3485" s="58" t="str">
        <f t="shared" si="7"/>
        <v/>
      </c>
      <c r="M3485" s="49"/>
      <c r="N3485" s="49"/>
      <c r="O3485" s="49"/>
      <c r="P3485" s="49"/>
      <c r="Q3485" s="49"/>
      <c r="R3485" s="49"/>
      <c r="S3485" s="49"/>
      <c r="T3485" s="49"/>
      <c r="U3485" s="49"/>
      <c r="V3485" s="49"/>
      <c r="W3485" s="56"/>
      <c r="X3485" s="51" t="str">
        <f t="shared" si="5"/>
        <v/>
      </c>
      <c r="Y3485" s="50" t="s">
        <v>482</v>
      </c>
      <c r="Z3485" s="49">
        <f t="shared" si="6"/>
        <v>0</v>
      </c>
    </row>
    <row r="3486" ht="22.5" customHeight="1">
      <c r="B3486" s="57"/>
      <c r="C3486" s="43" t="str">
        <f t="array" ref="C3486">IF(B3486="","",_xlfn.XLOOKUP(B3486,'Form responses 1'!$B$2:$B$2604,'Form responses 1'!$A$2:$A$2604,""))</f>
        <v/>
      </c>
      <c r="D3486" s="44" t="str">
        <f t="shared" si="3"/>
        <v/>
      </c>
      <c r="E3486" s="44" t="str">
        <f t="array" ref="E3486">IF(B3486="","",_xlfn.XLOOKUP(B3486,'Form responses 1'!$B$2:$B$2604,'Form responses 1'!$C$2:$C$2604,""))</f>
        <v/>
      </c>
      <c r="F3486" s="44" t="str">
        <f t="array" ref="F3486">IF(B3486="","",_xlfn.XLOOKUP(B3486,'Form responses 1'!$B$2:$B$2604,'Form responses 1'!$D$2:$D$2604,""))</f>
        <v/>
      </c>
      <c r="G3486" s="44" t="str">
        <f t="array" ref="G3486">IF(B3486="","",_xlfn.XLOOKUP(B3486,'Form responses 1'!$B$2:$B$2604,'Form responses 1'!$E$2:$E$2604,""))</f>
        <v/>
      </c>
      <c r="H3486" s="44" t="str">
        <f t="array" ref="H3486">IF(B3486="","",_xlfn.XLOOKUP(B3486,'Form responses 1'!$B$2:$B$2604,'Form responses 1'!$F$2:$F$2604,""))</f>
        <v/>
      </c>
      <c r="I3486" s="44" t="str">
        <f t="array" ref="I3486">IF(B3486="","",_xlfn.XLOOKUP(B3486,'Form responses 1'!$B$2:$B$2604,'Form responses 1'!$I$2:$I$2604,""))</f>
        <v/>
      </c>
      <c r="J3486" s="44" t="str">
        <f t="array" ref="J3486">IF(B3486="","",_xlfn.XLOOKUP(B3486,'Form responses 1'!$B$2:$B$2604,'Form responses 1'!$G$2:$G$2604,""))</f>
        <v/>
      </c>
      <c r="K3486" s="56"/>
      <c r="L3486" s="58" t="str">
        <f t="shared" si="7"/>
        <v/>
      </c>
      <c r="M3486" s="49"/>
      <c r="N3486" s="49"/>
      <c r="O3486" s="49"/>
      <c r="P3486" s="49"/>
      <c r="Q3486" s="49"/>
      <c r="R3486" s="49"/>
      <c r="S3486" s="49"/>
      <c r="T3486" s="49"/>
      <c r="U3486" s="49"/>
      <c r="V3486" s="49"/>
      <c r="W3486" s="56"/>
      <c r="X3486" s="51" t="str">
        <f t="shared" si="5"/>
        <v/>
      </c>
      <c r="Y3486" s="50" t="s">
        <v>482</v>
      </c>
      <c r="Z3486" s="49">
        <f t="shared" si="6"/>
        <v>0</v>
      </c>
    </row>
    <row r="3487" ht="22.5" customHeight="1">
      <c r="B3487" s="57"/>
      <c r="C3487" s="43" t="str">
        <f t="array" ref="C3487">IF(B3487="","",_xlfn.XLOOKUP(B3487,'Form responses 1'!$B$2:$B$2604,'Form responses 1'!$A$2:$A$2604,""))</f>
        <v/>
      </c>
      <c r="D3487" s="44" t="str">
        <f t="shared" si="3"/>
        <v/>
      </c>
      <c r="E3487" s="44" t="str">
        <f t="array" ref="E3487">IF(B3487="","",_xlfn.XLOOKUP(B3487,'Form responses 1'!$B$2:$B$2604,'Form responses 1'!$C$2:$C$2604,""))</f>
        <v/>
      </c>
      <c r="F3487" s="44" t="str">
        <f t="array" ref="F3487">IF(B3487="","",_xlfn.XLOOKUP(B3487,'Form responses 1'!$B$2:$B$2604,'Form responses 1'!$D$2:$D$2604,""))</f>
        <v/>
      </c>
      <c r="G3487" s="44" t="str">
        <f t="array" ref="G3487">IF(B3487="","",_xlfn.XLOOKUP(B3487,'Form responses 1'!$B$2:$B$2604,'Form responses 1'!$E$2:$E$2604,""))</f>
        <v/>
      </c>
      <c r="H3487" s="44" t="str">
        <f t="array" ref="H3487">IF(B3487="","",_xlfn.XLOOKUP(B3487,'Form responses 1'!$B$2:$B$2604,'Form responses 1'!$F$2:$F$2604,""))</f>
        <v/>
      </c>
      <c r="I3487" s="44" t="str">
        <f t="array" ref="I3487">IF(B3487="","",_xlfn.XLOOKUP(B3487,'Form responses 1'!$B$2:$B$2604,'Form responses 1'!$I$2:$I$2604,""))</f>
        <v/>
      </c>
      <c r="J3487" s="44" t="str">
        <f t="array" ref="J3487">IF(B3487="","",_xlfn.XLOOKUP(B3487,'Form responses 1'!$B$2:$B$2604,'Form responses 1'!$G$2:$G$2604,""))</f>
        <v/>
      </c>
      <c r="K3487" s="56"/>
      <c r="L3487" s="58" t="str">
        <f t="shared" si="7"/>
        <v/>
      </c>
      <c r="M3487" s="49"/>
      <c r="N3487" s="49"/>
      <c r="O3487" s="49"/>
      <c r="P3487" s="49"/>
      <c r="Q3487" s="49"/>
      <c r="R3487" s="49"/>
      <c r="S3487" s="49"/>
      <c r="T3487" s="49"/>
      <c r="U3487" s="49"/>
      <c r="V3487" s="49"/>
      <c r="W3487" s="56"/>
      <c r="X3487" s="51" t="str">
        <f t="shared" si="5"/>
        <v/>
      </c>
      <c r="Y3487" s="50" t="s">
        <v>482</v>
      </c>
      <c r="Z3487" s="49">
        <f t="shared" si="6"/>
        <v>0</v>
      </c>
    </row>
    <row r="3488" ht="22.5" customHeight="1">
      <c r="B3488" s="57"/>
      <c r="C3488" s="43" t="str">
        <f t="array" ref="C3488">IF(B3488="","",_xlfn.XLOOKUP(B3488,'Form responses 1'!$B$2:$B$2604,'Form responses 1'!$A$2:$A$2604,""))</f>
        <v/>
      </c>
      <c r="D3488" s="44" t="str">
        <f t="shared" si="3"/>
        <v/>
      </c>
      <c r="E3488" s="44" t="str">
        <f t="array" ref="E3488">IF(B3488="","",_xlfn.XLOOKUP(B3488,'Form responses 1'!$B$2:$B$2604,'Form responses 1'!$C$2:$C$2604,""))</f>
        <v/>
      </c>
      <c r="F3488" s="44" t="str">
        <f t="array" ref="F3488">IF(B3488="","",_xlfn.XLOOKUP(B3488,'Form responses 1'!$B$2:$B$2604,'Form responses 1'!$D$2:$D$2604,""))</f>
        <v/>
      </c>
      <c r="G3488" s="44" t="str">
        <f t="array" ref="G3488">IF(B3488="","",_xlfn.XLOOKUP(B3488,'Form responses 1'!$B$2:$B$2604,'Form responses 1'!$E$2:$E$2604,""))</f>
        <v/>
      </c>
      <c r="H3488" s="44" t="str">
        <f t="array" ref="H3488">IF(B3488="","",_xlfn.XLOOKUP(B3488,'Form responses 1'!$B$2:$B$2604,'Form responses 1'!$F$2:$F$2604,""))</f>
        <v/>
      </c>
      <c r="I3488" s="44" t="str">
        <f t="array" ref="I3488">IF(B3488="","",_xlfn.XLOOKUP(B3488,'Form responses 1'!$B$2:$B$2604,'Form responses 1'!$I$2:$I$2604,""))</f>
        <v/>
      </c>
      <c r="J3488" s="44" t="str">
        <f t="array" ref="J3488">IF(B3488="","",_xlfn.XLOOKUP(B3488,'Form responses 1'!$B$2:$B$2604,'Form responses 1'!$G$2:$G$2604,""))</f>
        <v/>
      </c>
      <c r="K3488" s="56"/>
      <c r="L3488" s="58" t="str">
        <f t="shared" si="7"/>
        <v/>
      </c>
      <c r="M3488" s="49"/>
      <c r="N3488" s="49"/>
      <c r="O3488" s="49"/>
      <c r="P3488" s="49"/>
      <c r="Q3488" s="49"/>
      <c r="R3488" s="49"/>
      <c r="S3488" s="49"/>
      <c r="T3488" s="49"/>
      <c r="U3488" s="49"/>
      <c r="V3488" s="49"/>
      <c r="W3488" s="56"/>
      <c r="X3488" s="51" t="str">
        <f t="shared" si="5"/>
        <v/>
      </c>
      <c r="Y3488" s="50" t="s">
        <v>482</v>
      </c>
      <c r="Z3488" s="49">
        <f t="shared" si="6"/>
        <v>0</v>
      </c>
    </row>
    <row r="3489" ht="22.5" customHeight="1">
      <c r="B3489" s="57"/>
      <c r="C3489" s="43" t="str">
        <f t="array" ref="C3489">IF(B3489="","",_xlfn.XLOOKUP(B3489,'Form responses 1'!$B$2:$B$2604,'Form responses 1'!$A$2:$A$2604,""))</f>
        <v/>
      </c>
      <c r="D3489" s="44" t="str">
        <f t="shared" si="3"/>
        <v/>
      </c>
      <c r="E3489" s="44" t="str">
        <f t="array" ref="E3489">IF(B3489="","",_xlfn.XLOOKUP(B3489,'Form responses 1'!$B$2:$B$2604,'Form responses 1'!$C$2:$C$2604,""))</f>
        <v/>
      </c>
      <c r="F3489" s="44" t="str">
        <f t="array" ref="F3489">IF(B3489="","",_xlfn.XLOOKUP(B3489,'Form responses 1'!$B$2:$B$2604,'Form responses 1'!$D$2:$D$2604,""))</f>
        <v/>
      </c>
      <c r="G3489" s="44" t="str">
        <f t="array" ref="G3489">IF(B3489="","",_xlfn.XLOOKUP(B3489,'Form responses 1'!$B$2:$B$2604,'Form responses 1'!$E$2:$E$2604,""))</f>
        <v/>
      </c>
      <c r="H3489" s="44" t="str">
        <f t="array" ref="H3489">IF(B3489="","",_xlfn.XLOOKUP(B3489,'Form responses 1'!$B$2:$B$2604,'Form responses 1'!$F$2:$F$2604,""))</f>
        <v/>
      </c>
      <c r="I3489" s="44" t="str">
        <f t="array" ref="I3489">IF(B3489="","",_xlfn.XLOOKUP(B3489,'Form responses 1'!$B$2:$B$2604,'Form responses 1'!$I$2:$I$2604,""))</f>
        <v/>
      </c>
      <c r="J3489" s="44" t="str">
        <f t="array" ref="J3489">IF(B3489="","",_xlfn.XLOOKUP(B3489,'Form responses 1'!$B$2:$B$2604,'Form responses 1'!$G$2:$G$2604,""))</f>
        <v/>
      </c>
      <c r="K3489" s="56"/>
      <c r="L3489" s="58" t="str">
        <f t="shared" si="7"/>
        <v/>
      </c>
      <c r="M3489" s="49"/>
      <c r="N3489" s="49"/>
      <c r="O3489" s="49"/>
      <c r="P3489" s="49"/>
      <c r="Q3489" s="49"/>
      <c r="R3489" s="49"/>
      <c r="S3489" s="49"/>
      <c r="T3489" s="49"/>
      <c r="U3489" s="49"/>
      <c r="V3489" s="49"/>
      <c r="W3489" s="56"/>
      <c r="X3489" s="51" t="str">
        <f t="shared" si="5"/>
        <v/>
      </c>
      <c r="Y3489" s="50" t="s">
        <v>482</v>
      </c>
      <c r="Z3489" s="49">
        <f t="shared" si="6"/>
        <v>0</v>
      </c>
    </row>
    <row r="3490" ht="22.5" customHeight="1">
      <c r="B3490" s="57"/>
      <c r="C3490" s="43" t="str">
        <f t="array" ref="C3490">IF(B3490="","",_xlfn.XLOOKUP(B3490,'Form responses 1'!$B$2:$B$2604,'Form responses 1'!$A$2:$A$2604,""))</f>
        <v/>
      </c>
      <c r="D3490" s="44" t="str">
        <f t="shared" si="3"/>
        <v/>
      </c>
      <c r="E3490" s="44" t="str">
        <f t="array" ref="E3490">IF(B3490="","",_xlfn.XLOOKUP(B3490,'Form responses 1'!$B$2:$B$2604,'Form responses 1'!$C$2:$C$2604,""))</f>
        <v/>
      </c>
      <c r="F3490" s="44" t="str">
        <f t="array" ref="F3490">IF(B3490="","",_xlfn.XLOOKUP(B3490,'Form responses 1'!$B$2:$B$2604,'Form responses 1'!$D$2:$D$2604,""))</f>
        <v/>
      </c>
      <c r="G3490" s="44" t="str">
        <f t="array" ref="G3490">IF(B3490="","",_xlfn.XLOOKUP(B3490,'Form responses 1'!$B$2:$B$2604,'Form responses 1'!$E$2:$E$2604,""))</f>
        <v/>
      </c>
      <c r="H3490" s="44" t="str">
        <f t="array" ref="H3490">IF(B3490="","",_xlfn.XLOOKUP(B3490,'Form responses 1'!$B$2:$B$2604,'Form responses 1'!$F$2:$F$2604,""))</f>
        <v/>
      </c>
      <c r="I3490" s="44" t="str">
        <f t="array" ref="I3490">IF(B3490="","",_xlfn.XLOOKUP(B3490,'Form responses 1'!$B$2:$B$2604,'Form responses 1'!$I$2:$I$2604,""))</f>
        <v/>
      </c>
      <c r="J3490" s="44" t="str">
        <f t="array" ref="J3490">IF(B3490="","",_xlfn.XLOOKUP(B3490,'Form responses 1'!$B$2:$B$2604,'Form responses 1'!$G$2:$G$2604,""))</f>
        <v/>
      </c>
      <c r="K3490" s="56"/>
      <c r="L3490" s="58" t="str">
        <f t="shared" si="7"/>
        <v/>
      </c>
      <c r="M3490" s="49"/>
      <c r="N3490" s="49"/>
      <c r="O3490" s="49"/>
      <c r="P3490" s="49"/>
      <c r="Q3490" s="49"/>
      <c r="R3490" s="49"/>
      <c r="S3490" s="49"/>
      <c r="T3490" s="49"/>
      <c r="U3490" s="49"/>
      <c r="V3490" s="49"/>
      <c r="W3490" s="56"/>
      <c r="X3490" s="51" t="str">
        <f t="shared" si="5"/>
        <v/>
      </c>
      <c r="Y3490" s="50" t="s">
        <v>482</v>
      </c>
      <c r="Z3490" s="49">
        <f t="shared" si="6"/>
        <v>0</v>
      </c>
    </row>
    <row r="3491" ht="22.5" customHeight="1">
      <c r="B3491" s="57"/>
      <c r="C3491" s="43" t="str">
        <f t="array" ref="C3491">IF(B3491="","",_xlfn.XLOOKUP(B3491,'Form responses 1'!$B$2:$B$2604,'Form responses 1'!$A$2:$A$2604,""))</f>
        <v/>
      </c>
      <c r="D3491" s="44" t="str">
        <f t="shared" si="3"/>
        <v/>
      </c>
      <c r="E3491" s="44" t="str">
        <f t="array" ref="E3491">IF(B3491="","",_xlfn.XLOOKUP(B3491,'Form responses 1'!$B$2:$B$2604,'Form responses 1'!$C$2:$C$2604,""))</f>
        <v/>
      </c>
      <c r="F3491" s="44" t="str">
        <f t="array" ref="F3491">IF(B3491="","",_xlfn.XLOOKUP(B3491,'Form responses 1'!$B$2:$B$2604,'Form responses 1'!$D$2:$D$2604,""))</f>
        <v/>
      </c>
      <c r="G3491" s="44" t="str">
        <f t="array" ref="G3491">IF(B3491="","",_xlfn.XLOOKUP(B3491,'Form responses 1'!$B$2:$B$2604,'Form responses 1'!$E$2:$E$2604,""))</f>
        <v/>
      </c>
      <c r="H3491" s="44" t="str">
        <f t="array" ref="H3491">IF(B3491="","",_xlfn.XLOOKUP(B3491,'Form responses 1'!$B$2:$B$2604,'Form responses 1'!$F$2:$F$2604,""))</f>
        <v/>
      </c>
      <c r="I3491" s="44" t="str">
        <f t="array" ref="I3491">IF(B3491="","",_xlfn.XLOOKUP(B3491,'Form responses 1'!$B$2:$B$2604,'Form responses 1'!$I$2:$I$2604,""))</f>
        <v/>
      </c>
      <c r="J3491" s="44" t="str">
        <f t="array" ref="J3491">IF(B3491="","",_xlfn.XLOOKUP(B3491,'Form responses 1'!$B$2:$B$2604,'Form responses 1'!$G$2:$G$2604,""))</f>
        <v/>
      </c>
      <c r="K3491" s="56"/>
      <c r="L3491" s="58" t="str">
        <f t="shared" si="7"/>
        <v/>
      </c>
      <c r="M3491" s="49"/>
      <c r="N3491" s="49"/>
      <c r="O3491" s="49"/>
      <c r="P3491" s="49"/>
      <c r="Q3491" s="49"/>
      <c r="R3491" s="49"/>
      <c r="S3491" s="49"/>
      <c r="T3491" s="49"/>
      <c r="U3491" s="49"/>
      <c r="V3491" s="49"/>
      <c r="W3491" s="56"/>
      <c r="X3491" s="51" t="str">
        <f t="shared" si="5"/>
        <v/>
      </c>
      <c r="Y3491" s="50" t="s">
        <v>482</v>
      </c>
      <c r="Z3491" s="49">
        <f t="shared" si="6"/>
        <v>0</v>
      </c>
    </row>
    <row r="3492" ht="22.5" customHeight="1">
      <c r="B3492" s="57"/>
      <c r="C3492" s="43" t="str">
        <f t="array" ref="C3492">IF(B3492="","",_xlfn.XLOOKUP(B3492,'Form responses 1'!$B$2:$B$2604,'Form responses 1'!$A$2:$A$2604,""))</f>
        <v/>
      </c>
      <c r="D3492" s="44" t="str">
        <f t="shared" si="3"/>
        <v/>
      </c>
      <c r="E3492" s="44" t="str">
        <f t="array" ref="E3492">IF(B3492="","",_xlfn.XLOOKUP(B3492,'Form responses 1'!$B$2:$B$2604,'Form responses 1'!$C$2:$C$2604,""))</f>
        <v/>
      </c>
      <c r="F3492" s="44" t="str">
        <f t="array" ref="F3492">IF(B3492="","",_xlfn.XLOOKUP(B3492,'Form responses 1'!$B$2:$B$2604,'Form responses 1'!$D$2:$D$2604,""))</f>
        <v/>
      </c>
      <c r="G3492" s="44" t="str">
        <f t="array" ref="G3492">IF(B3492="","",_xlfn.XLOOKUP(B3492,'Form responses 1'!$B$2:$B$2604,'Form responses 1'!$E$2:$E$2604,""))</f>
        <v/>
      </c>
      <c r="H3492" s="44" t="str">
        <f t="array" ref="H3492">IF(B3492="","",_xlfn.XLOOKUP(B3492,'Form responses 1'!$B$2:$B$2604,'Form responses 1'!$F$2:$F$2604,""))</f>
        <v/>
      </c>
      <c r="I3492" s="44" t="str">
        <f t="array" ref="I3492">IF(B3492="","",_xlfn.XLOOKUP(B3492,'Form responses 1'!$B$2:$B$2604,'Form responses 1'!$I$2:$I$2604,""))</f>
        <v/>
      </c>
      <c r="J3492" s="44" t="str">
        <f t="array" ref="J3492">IF(B3492="","",_xlfn.XLOOKUP(B3492,'Form responses 1'!$B$2:$B$2604,'Form responses 1'!$G$2:$G$2604,""))</f>
        <v/>
      </c>
      <c r="K3492" s="56"/>
      <c r="L3492" s="58" t="str">
        <f t="shared" si="7"/>
        <v/>
      </c>
      <c r="M3492" s="49"/>
      <c r="N3492" s="49"/>
      <c r="O3492" s="49"/>
      <c r="P3492" s="49"/>
      <c r="Q3492" s="49"/>
      <c r="R3492" s="49"/>
      <c r="S3492" s="49"/>
      <c r="T3492" s="49"/>
      <c r="U3492" s="49"/>
      <c r="V3492" s="49"/>
      <c r="W3492" s="56"/>
      <c r="X3492" s="51" t="str">
        <f t="shared" si="5"/>
        <v/>
      </c>
      <c r="Y3492" s="50" t="s">
        <v>482</v>
      </c>
      <c r="Z3492" s="49">
        <f t="shared" si="6"/>
        <v>0</v>
      </c>
    </row>
    <row r="3493" ht="22.5" customHeight="1">
      <c r="B3493" s="57"/>
      <c r="C3493" s="43" t="str">
        <f t="array" ref="C3493">IF(B3493="","",_xlfn.XLOOKUP(B3493,'Form responses 1'!$B$2:$B$2604,'Form responses 1'!$A$2:$A$2604,""))</f>
        <v/>
      </c>
      <c r="D3493" s="44" t="str">
        <f t="shared" si="3"/>
        <v/>
      </c>
      <c r="E3493" s="44" t="str">
        <f t="array" ref="E3493">IF(B3493="","",_xlfn.XLOOKUP(B3493,'Form responses 1'!$B$2:$B$2604,'Form responses 1'!$C$2:$C$2604,""))</f>
        <v/>
      </c>
      <c r="F3493" s="44" t="str">
        <f t="array" ref="F3493">IF(B3493="","",_xlfn.XLOOKUP(B3493,'Form responses 1'!$B$2:$B$2604,'Form responses 1'!$D$2:$D$2604,""))</f>
        <v/>
      </c>
      <c r="G3493" s="44" t="str">
        <f t="array" ref="G3493">IF(B3493="","",_xlfn.XLOOKUP(B3493,'Form responses 1'!$B$2:$B$2604,'Form responses 1'!$E$2:$E$2604,""))</f>
        <v/>
      </c>
      <c r="H3493" s="44" t="str">
        <f t="array" ref="H3493">IF(B3493="","",_xlfn.XLOOKUP(B3493,'Form responses 1'!$B$2:$B$2604,'Form responses 1'!$F$2:$F$2604,""))</f>
        <v/>
      </c>
      <c r="I3493" s="44" t="str">
        <f t="array" ref="I3493">IF(B3493="","",_xlfn.XLOOKUP(B3493,'Form responses 1'!$B$2:$B$2604,'Form responses 1'!$I$2:$I$2604,""))</f>
        <v/>
      </c>
      <c r="J3493" s="44" t="str">
        <f t="array" ref="J3493">IF(B3493="","",_xlfn.XLOOKUP(B3493,'Form responses 1'!$B$2:$B$2604,'Form responses 1'!$G$2:$G$2604,""))</f>
        <v/>
      </c>
      <c r="K3493" s="56"/>
      <c r="L3493" s="58" t="str">
        <f t="shared" si="7"/>
        <v/>
      </c>
      <c r="M3493" s="49"/>
      <c r="N3493" s="49"/>
      <c r="O3493" s="49"/>
      <c r="P3493" s="49"/>
      <c r="Q3493" s="49"/>
      <c r="R3493" s="49"/>
      <c r="S3493" s="49"/>
      <c r="T3493" s="49"/>
      <c r="U3493" s="49"/>
      <c r="V3493" s="49"/>
      <c r="W3493" s="56"/>
      <c r="X3493" s="51" t="str">
        <f t="shared" si="5"/>
        <v/>
      </c>
      <c r="Y3493" s="50" t="s">
        <v>482</v>
      </c>
      <c r="Z3493" s="49">
        <f t="shared" si="6"/>
        <v>0</v>
      </c>
    </row>
    <row r="3494" ht="22.5" customHeight="1">
      <c r="B3494" s="57"/>
      <c r="C3494" s="43" t="str">
        <f t="array" ref="C3494">IF(B3494="","",_xlfn.XLOOKUP(B3494,'Form responses 1'!$B$2:$B$2604,'Form responses 1'!$A$2:$A$2604,""))</f>
        <v/>
      </c>
      <c r="D3494" s="44" t="str">
        <f t="shared" si="3"/>
        <v/>
      </c>
      <c r="E3494" s="44" t="str">
        <f t="array" ref="E3494">IF(B3494="","",_xlfn.XLOOKUP(B3494,'Form responses 1'!$B$2:$B$2604,'Form responses 1'!$C$2:$C$2604,""))</f>
        <v/>
      </c>
      <c r="F3494" s="44" t="str">
        <f t="array" ref="F3494">IF(B3494="","",_xlfn.XLOOKUP(B3494,'Form responses 1'!$B$2:$B$2604,'Form responses 1'!$D$2:$D$2604,""))</f>
        <v/>
      </c>
      <c r="G3494" s="44" t="str">
        <f t="array" ref="G3494">IF(B3494="","",_xlfn.XLOOKUP(B3494,'Form responses 1'!$B$2:$B$2604,'Form responses 1'!$E$2:$E$2604,""))</f>
        <v/>
      </c>
      <c r="H3494" s="44" t="str">
        <f t="array" ref="H3494">IF(B3494="","",_xlfn.XLOOKUP(B3494,'Form responses 1'!$B$2:$B$2604,'Form responses 1'!$F$2:$F$2604,""))</f>
        <v/>
      </c>
      <c r="I3494" s="44" t="str">
        <f t="array" ref="I3494">IF(B3494="","",_xlfn.XLOOKUP(B3494,'Form responses 1'!$B$2:$B$2604,'Form responses 1'!$I$2:$I$2604,""))</f>
        <v/>
      </c>
      <c r="J3494" s="44" t="str">
        <f t="array" ref="J3494">IF(B3494="","",_xlfn.XLOOKUP(B3494,'Form responses 1'!$B$2:$B$2604,'Form responses 1'!$G$2:$G$2604,""))</f>
        <v/>
      </c>
      <c r="K3494" s="56"/>
      <c r="L3494" s="58" t="str">
        <f t="shared" si="7"/>
        <v/>
      </c>
      <c r="M3494" s="49"/>
      <c r="N3494" s="49"/>
      <c r="O3494" s="49"/>
      <c r="P3494" s="49"/>
      <c r="Q3494" s="49"/>
      <c r="R3494" s="49"/>
      <c r="S3494" s="49"/>
      <c r="T3494" s="49"/>
      <c r="U3494" s="49"/>
      <c r="V3494" s="49"/>
      <c r="W3494" s="56"/>
      <c r="X3494" s="51" t="str">
        <f t="shared" si="5"/>
        <v/>
      </c>
      <c r="Y3494" s="50" t="s">
        <v>482</v>
      </c>
      <c r="Z3494" s="49">
        <f t="shared" si="6"/>
        <v>0</v>
      </c>
    </row>
    <row r="3495" ht="22.5" customHeight="1">
      <c r="B3495" s="57"/>
      <c r="C3495" s="43" t="str">
        <f t="array" ref="C3495">IF(B3495="","",_xlfn.XLOOKUP(B3495,'Form responses 1'!$B$2:$B$2604,'Form responses 1'!$A$2:$A$2604,""))</f>
        <v/>
      </c>
      <c r="D3495" s="44" t="str">
        <f t="shared" si="3"/>
        <v/>
      </c>
      <c r="E3495" s="44" t="str">
        <f t="array" ref="E3495">IF(B3495="","",_xlfn.XLOOKUP(B3495,'Form responses 1'!$B$2:$B$2604,'Form responses 1'!$C$2:$C$2604,""))</f>
        <v/>
      </c>
      <c r="F3495" s="44" t="str">
        <f t="array" ref="F3495">IF(B3495="","",_xlfn.XLOOKUP(B3495,'Form responses 1'!$B$2:$B$2604,'Form responses 1'!$D$2:$D$2604,""))</f>
        <v/>
      </c>
      <c r="G3495" s="44" t="str">
        <f t="array" ref="G3495">IF(B3495="","",_xlfn.XLOOKUP(B3495,'Form responses 1'!$B$2:$B$2604,'Form responses 1'!$E$2:$E$2604,""))</f>
        <v/>
      </c>
      <c r="H3495" s="44" t="str">
        <f t="array" ref="H3495">IF(B3495="","",_xlfn.XLOOKUP(B3495,'Form responses 1'!$B$2:$B$2604,'Form responses 1'!$F$2:$F$2604,""))</f>
        <v/>
      </c>
      <c r="I3495" s="44" t="str">
        <f t="array" ref="I3495">IF(B3495="","",_xlfn.XLOOKUP(B3495,'Form responses 1'!$B$2:$B$2604,'Form responses 1'!$I$2:$I$2604,""))</f>
        <v/>
      </c>
      <c r="J3495" s="44" t="str">
        <f t="array" ref="J3495">IF(B3495="","",_xlfn.XLOOKUP(B3495,'Form responses 1'!$B$2:$B$2604,'Form responses 1'!$G$2:$G$2604,""))</f>
        <v/>
      </c>
      <c r="K3495" s="56"/>
      <c r="L3495" s="58" t="str">
        <f t="shared" si="7"/>
        <v/>
      </c>
      <c r="M3495" s="49"/>
      <c r="N3495" s="49"/>
      <c r="O3495" s="49"/>
      <c r="P3495" s="49"/>
      <c r="Q3495" s="49"/>
      <c r="R3495" s="49"/>
      <c r="S3495" s="49"/>
      <c r="T3495" s="49"/>
      <c r="U3495" s="49"/>
      <c r="V3495" s="49"/>
      <c r="W3495" s="56"/>
      <c r="X3495" s="51" t="str">
        <f t="shared" si="5"/>
        <v/>
      </c>
      <c r="Y3495" s="50" t="s">
        <v>482</v>
      </c>
      <c r="Z3495" s="49">
        <f t="shared" si="6"/>
        <v>0</v>
      </c>
    </row>
    <row r="3496" ht="22.5" customHeight="1">
      <c r="B3496" s="57"/>
      <c r="C3496" s="43" t="str">
        <f t="array" ref="C3496">IF(B3496="","",_xlfn.XLOOKUP(B3496,'Form responses 1'!$B$2:$B$2604,'Form responses 1'!$A$2:$A$2604,""))</f>
        <v/>
      </c>
      <c r="D3496" s="44" t="str">
        <f t="shared" si="3"/>
        <v/>
      </c>
      <c r="E3496" s="44" t="str">
        <f t="array" ref="E3496">IF(B3496="","",_xlfn.XLOOKUP(B3496,'Form responses 1'!$B$2:$B$2604,'Form responses 1'!$C$2:$C$2604,""))</f>
        <v/>
      </c>
      <c r="F3496" s="44" t="str">
        <f t="array" ref="F3496">IF(B3496="","",_xlfn.XLOOKUP(B3496,'Form responses 1'!$B$2:$B$2604,'Form responses 1'!$D$2:$D$2604,""))</f>
        <v/>
      </c>
      <c r="G3496" s="44" t="str">
        <f t="array" ref="G3496">IF(B3496="","",_xlfn.XLOOKUP(B3496,'Form responses 1'!$B$2:$B$2604,'Form responses 1'!$E$2:$E$2604,""))</f>
        <v/>
      </c>
      <c r="H3496" s="44" t="str">
        <f t="array" ref="H3496">IF(B3496="","",_xlfn.XLOOKUP(B3496,'Form responses 1'!$B$2:$B$2604,'Form responses 1'!$F$2:$F$2604,""))</f>
        <v/>
      </c>
      <c r="I3496" s="44" t="str">
        <f t="array" ref="I3496">IF(B3496="","",_xlfn.XLOOKUP(B3496,'Form responses 1'!$B$2:$B$2604,'Form responses 1'!$I$2:$I$2604,""))</f>
        <v/>
      </c>
      <c r="J3496" s="44" t="str">
        <f t="array" ref="J3496">IF(B3496="","",_xlfn.XLOOKUP(B3496,'Form responses 1'!$B$2:$B$2604,'Form responses 1'!$G$2:$G$2604,""))</f>
        <v/>
      </c>
      <c r="K3496" s="56"/>
      <c r="L3496" s="58" t="str">
        <f t="shared" si="7"/>
        <v/>
      </c>
      <c r="M3496" s="49"/>
      <c r="N3496" s="49"/>
      <c r="O3496" s="49"/>
      <c r="P3496" s="49"/>
      <c r="Q3496" s="49"/>
      <c r="R3496" s="49"/>
      <c r="S3496" s="49"/>
      <c r="T3496" s="49"/>
      <c r="U3496" s="49"/>
      <c r="V3496" s="49"/>
      <c r="W3496" s="56"/>
      <c r="X3496" s="51" t="str">
        <f t="shared" si="5"/>
        <v/>
      </c>
      <c r="Y3496" s="50" t="s">
        <v>482</v>
      </c>
      <c r="Z3496" s="49">
        <f t="shared" si="6"/>
        <v>0</v>
      </c>
    </row>
    <row r="3497" ht="22.5" customHeight="1">
      <c r="B3497" s="57"/>
      <c r="C3497" s="43" t="str">
        <f t="array" ref="C3497">IF(B3497="","",_xlfn.XLOOKUP(B3497,'Form responses 1'!$B$2:$B$2604,'Form responses 1'!$A$2:$A$2604,""))</f>
        <v/>
      </c>
      <c r="D3497" s="44" t="str">
        <f t="shared" si="3"/>
        <v/>
      </c>
      <c r="E3497" s="44" t="str">
        <f t="array" ref="E3497">IF(B3497="","",_xlfn.XLOOKUP(B3497,'Form responses 1'!$B$2:$B$2604,'Form responses 1'!$C$2:$C$2604,""))</f>
        <v/>
      </c>
      <c r="F3497" s="44" t="str">
        <f t="array" ref="F3497">IF(B3497="","",_xlfn.XLOOKUP(B3497,'Form responses 1'!$B$2:$B$2604,'Form responses 1'!$D$2:$D$2604,""))</f>
        <v/>
      </c>
      <c r="G3497" s="44" t="str">
        <f t="array" ref="G3497">IF(B3497="","",_xlfn.XLOOKUP(B3497,'Form responses 1'!$B$2:$B$2604,'Form responses 1'!$E$2:$E$2604,""))</f>
        <v/>
      </c>
      <c r="H3497" s="44" t="str">
        <f t="array" ref="H3497">IF(B3497="","",_xlfn.XLOOKUP(B3497,'Form responses 1'!$B$2:$B$2604,'Form responses 1'!$F$2:$F$2604,""))</f>
        <v/>
      </c>
      <c r="I3497" s="44" t="str">
        <f t="array" ref="I3497">IF(B3497="","",_xlfn.XLOOKUP(B3497,'Form responses 1'!$B$2:$B$2604,'Form responses 1'!$I$2:$I$2604,""))</f>
        <v/>
      </c>
      <c r="J3497" s="44" t="str">
        <f t="array" ref="J3497">IF(B3497="","",_xlfn.XLOOKUP(B3497,'Form responses 1'!$B$2:$B$2604,'Form responses 1'!$G$2:$G$2604,""))</f>
        <v/>
      </c>
      <c r="K3497" s="56"/>
      <c r="L3497" s="58" t="str">
        <f t="shared" si="7"/>
        <v/>
      </c>
      <c r="M3497" s="49"/>
      <c r="N3497" s="49"/>
      <c r="O3497" s="49"/>
      <c r="P3497" s="49"/>
      <c r="Q3497" s="49"/>
      <c r="R3497" s="49"/>
      <c r="S3497" s="49"/>
      <c r="T3497" s="49"/>
      <c r="U3497" s="49"/>
      <c r="V3497" s="49"/>
      <c r="W3497" s="56"/>
      <c r="X3497" s="51" t="str">
        <f t="shared" si="5"/>
        <v/>
      </c>
      <c r="Y3497" s="50" t="s">
        <v>482</v>
      </c>
      <c r="Z3497" s="49">
        <f t="shared" si="6"/>
        <v>0</v>
      </c>
    </row>
    <row r="3498" ht="22.5" customHeight="1">
      <c r="B3498" s="57"/>
      <c r="C3498" s="43" t="str">
        <f t="array" ref="C3498">IF(B3498="","",_xlfn.XLOOKUP(B3498,'Form responses 1'!$B$2:$B$2604,'Form responses 1'!$A$2:$A$2604,""))</f>
        <v/>
      </c>
      <c r="D3498" s="44" t="str">
        <f t="shared" si="3"/>
        <v/>
      </c>
      <c r="E3498" s="44" t="str">
        <f t="array" ref="E3498">IF(B3498="","",_xlfn.XLOOKUP(B3498,'Form responses 1'!$B$2:$B$2604,'Form responses 1'!$C$2:$C$2604,""))</f>
        <v/>
      </c>
      <c r="F3498" s="44" t="str">
        <f t="array" ref="F3498">IF(B3498="","",_xlfn.XLOOKUP(B3498,'Form responses 1'!$B$2:$B$2604,'Form responses 1'!$D$2:$D$2604,""))</f>
        <v/>
      </c>
      <c r="G3498" s="44" t="str">
        <f t="array" ref="G3498">IF(B3498="","",_xlfn.XLOOKUP(B3498,'Form responses 1'!$B$2:$B$2604,'Form responses 1'!$E$2:$E$2604,""))</f>
        <v/>
      </c>
      <c r="H3498" s="44" t="str">
        <f t="array" ref="H3498">IF(B3498="","",_xlfn.XLOOKUP(B3498,'Form responses 1'!$B$2:$B$2604,'Form responses 1'!$F$2:$F$2604,""))</f>
        <v/>
      </c>
      <c r="I3498" s="44" t="str">
        <f t="array" ref="I3498">IF(B3498="","",_xlfn.XLOOKUP(B3498,'Form responses 1'!$B$2:$B$2604,'Form responses 1'!$I$2:$I$2604,""))</f>
        <v/>
      </c>
      <c r="J3498" s="44" t="str">
        <f t="array" ref="J3498">IF(B3498="","",_xlfn.XLOOKUP(B3498,'Form responses 1'!$B$2:$B$2604,'Form responses 1'!$G$2:$G$2604,""))</f>
        <v/>
      </c>
      <c r="K3498" s="56"/>
      <c r="L3498" s="58" t="str">
        <f t="shared" si="7"/>
        <v/>
      </c>
      <c r="M3498" s="49"/>
      <c r="N3498" s="49"/>
      <c r="O3498" s="49"/>
      <c r="P3498" s="49"/>
      <c r="Q3498" s="49"/>
      <c r="R3498" s="49"/>
      <c r="S3498" s="49"/>
      <c r="T3498" s="49"/>
      <c r="U3498" s="49"/>
      <c r="V3498" s="49"/>
      <c r="W3498" s="56"/>
      <c r="X3498" s="51" t="str">
        <f t="shared" si="5"/>
        <v/>
      </c>
      <c r="Y3498" s="50" t="s">
        <v>482</v>
      </c>
      <c r="Z3498" s="49">
        <f t="shared" si="6"/>
        <v>0</v>
      </c>
    </row>
    <row r="3499" ht="22.5" customHeight="1">
      <c r="B3499" s="57"/>
      <c r="C3499" s="43" t="str">
        <f t="array" ref="C3499">IF(B3499="","",_xlfn.XLOOKUP(B3499,'Form responses 1'!$B$2:$B$2604,'Form responses 1'!$A$2:$A$2604,""))</f>
        <v/>
      </c>
      <c r="D3499" s="44" t="str">
        <f t="shared" si="3"/>
        <v/>
      </c>
      <c r="E3499" s="44" t="str">
        <f t="array" ref="E3499">IF(B3499="","",_xlfn.XLOOKUP(B3499,'Form responses 1'!$B$2:$B$2604,'Form responses 1'!$C$2:$C$2604,""))</f>
        <v/>
      </c>
      <c r="F3499" s="44" t="str">
        <f t="array" ref="F3499">IF(B3499="","",_xlfn.XLOOKUP(B3499,'Form responses 1'!$B$2:$B$2604,'Form responses 1'!$D$2:$D$2604,""))</f>
        <v/>
      </c>
      <c r="G3499" s="44" t="str">
        <f t="array" ref="G3499">IF(B3499="","",_xlfn.XLOOKUP(B3499,'Form responses 1'!$B$2:$B$2604,'Form responses 1'!$E$2:$E$2604,""))</f>
        <v/>
      </c>
      <c r="H3499" s="44" t="str">
        <f t="array" ref="H3499">IF(B3499="","",_xlfn.XLOOKUP(B3499,'Form responses 1'!$B$2:$B$2604,'Form responses 1'!$F$2:$F$2604,""))</f>
        <v/>
      </c>
      <c r="I3499" s="44" t="str">
        <f t="array" ref="I3499">IF(B3499="","",_xlfn.XLOOKUP(B3499,'Form responses 1'!$B$2:$B$2604,'Form responses 1'!$I$2:$I$2604,""))</f>
        <v/>
      </c>
      <c r="J3499" s="44" t="str">
        <f t="array" ref="J3499">IF(B3499="","",_xlfn.XLOOKUP(B3499,'Form responses 1'!$B$2:$B$2604,'Form responses 1'!$G$2:$G$2604,""))</f>
        <v/>
      </c>
      <c r="K3499" s="56"/>
      <c r="L3499" s="58" t="str">
        <f t="shared" si="7"/>
        <v/>
      </c>
      <c r="M3499" s="49"/>
      <c r="N3499" s="49"/>
      <c r="O3499" s="49"/>
      <c r="P3499" s="49"/>
      <c r="Q3499" s="49"/>
      <c r="R3499" s="49"/>
      <c r="S3499" s="49"/>
      <c r="T3499" s="49"/>
      <c r="U3499" s="49"/>
      <c r="V3499" s="49"/>
      <c r="W3499" s="56"/>
      <c r="X3499" s="51" t="str">
        <f t="shared" si="5"/>
        <v/>
      </c>
      <c r="Y3499" s="50" t="s">
        <v>482</v>
      </c>
      <c r="Z3499" s="49">
        <f t="shared" si="6"/>
        <v>0</v>
      </c>
    </row>
    <row r="3500" ht="22.5" customHeight="1">
      <c r="B3500" s="57"/>
      <c r="C3500" s="43" t="str">
        <f t="array" ref="C3500">IF(B3500="","",_xlfn.XLOOKUP(B3500,'Form responses 1'!$B$2:$B$2604,'Form responses 1'!$A$2:$A$2604,""))</f>
        <v/>
      </c>
      <c r="D3500" s="44" t="str">
        <f t="shared" si="3"/>
        <v/>
      </c>
      <c r="E3500" s="44" t="str">
        <f t="array" ref="E3500">IF(B3500="","",_xlfn.XLOOKUP(B3500,'Form responses 1'!$B$2:$B$2604,'Form responses 1'!$C$2:$C$2604,""))</f>
        <v/>
      </c>
      <c r="F3500" s="44" t="str">
        <f t="array" ref="F3500">IF(B3500="","",_xlfn.XLOOKUP(B3500,'Form responses 1'!$B$2:$B$2604,'Form responses 1'!$D$2:$D$2604,""))</f>
        <v/>
      </c>
      <c r="G3500" s="44" t="str">
        <f t="array" ref="G3500">IF(B3500="","",_xlfn.XLOOKUP(B3500,'Form responses 1'!$B$2:$B$2604,'Form responses 1'!$E$2:$E$2604,""))</f>
        <v/>
      </c>
      <c r="H3500" s="44" t="str">
        <f t="array" ref="H3500">IF(B3500="","",_xlfn.XLOOKUP(B3500,'Form responses 1'!$B$2:$B$2604,'Form responses 1'!$F$2:$F$2604,""))</f>
        <v/>
      </c>
      <c r="I3500" s="44" t="str">
        <f t="array" ref="I3500">IF(B3500="","",_xlfn.XLOOKUP(B3500,'Form responses 1'!$B$2:$B$2604,'Form responses 1'!$I$2:$I$2604,""))</f>
        <v/>
      </c>
      <c r="J3500" s="44" t="str">
        <f t="array" ref="J3500">IF(B3500="","",_xlfn.XLOOKUP(B3500,'Form responses 1'!$B$2:$B$2604,'Form responses 1'!$G$2:$G$2604,""))</f>
        <v/>
      </c>
      <c r="K3500" s="56"/>
      <c r="L3500" s="58" t="str">
        <f t="shared" si="7"/>
        <v/>
      </c>
      <c r="M3500" s="49"/>
      <c r="N3500" s="49"/>
      <c r="O3500" s="49"/>
      <c r="P3500" s="49"/>
      <c r="Q3500" s="49"/>
      <c r="R3500" s="49"/>
      <c r="S3500" s="49"/>
      <c r="T3500" s="49"/>
      <c r="U3500" s="49"/>
      <c r="V3500" s="49"/>
      <c r="W3500" s="56"/>
      <c r="X3500" s="51" t="str">
        <f t="shared" si="5"/>
        <v/>
      </c>
      <c r="Y3500" s="50" t="s">
        <v>482</v>
      </c>
      <c r="Z3500" s="49">
        <f t="shared" si="6"/>
        <v>0</v>
      </c>
    </row>
    <row r="3501" ht="22.5" customHeight="1">
      <c r="B3501" s="57"/>
      <c r="C3501" s="43" t="str">
        <f t="array" ref="C3501">IF(B3501="","",_xlfn.XLOOKUP(B3501,'Form responses 1'!$B$2:$B$2604,'Form responses 1'!$A$2:$A$2604,""))</f>
        <v/>
      </c>
      <c r="D3501" s="44" t="str">
        <f t="shared" si="3"/>
        <v/>
      </c>
      <c r="E3501" s="44" t="str">
        <f t="array" ref="E3501">IF(B3501="","",_xlfn.XLOOKUP(B3501,'Form responses 1'!$B$2:$B$2604,'Form responses 1'!$C$2:$C$2604,""))</f>
        <v/>
      </c>
      <c r="F3501" s="44" t="str">
        <f t="array" ref="F3501">IF(B3501="","",_xlfn.XLOOKUP(B3501,'Form responses 1'!$B$2:$B$2604,'Form responses 1'!$D$2:$D$2604,""))</f>
        <v/>
      </c>
      <c r="G3501" s="44" t="str">
        <f t="array" ref="G3501">IF(B3501="","",_xlfn.XLOOKUP(B3501,'Form responses 1'!$B$2:$B$2604,'Form responses 1'!$E$2:$E$2604,""))</f>
        <v/>
      </c>
      <c r="H3501" s="44" t="str">
        <f t="array" ref="H3501">IF(B3501="","",_xlfn.XLOOKUP(B3501,'Form responses 1'!$B$2:$B$2604,'Form responses 1'!$F$2:$F$2604,""))</f>
        <v/>
      </c>
      <c r="I3501" s="44" t="str">
        <f t="array" ref="I3501">IF(B3501="","",_xlfn.XLOOKUP(B3501,'Form responses 1'!$B$2:$B$2604,'Form responses 1'!$I$2:$I$2604,""))</f>
        <v/>
      </c>
      <c r="J3501" s="44" t="str">
        <f t="array" ref="J3501">IF(B3501="","",_xlfn.XLOOKUP(B3501,'Form responses 1'!$B$2:$B$2604,'Form responses 1'!$G$2:$G$2604,""))</f>
        <v/>
      </c>
      <c r="K3501" s="56"/>
      <c r="L3501" s="58" t="str">
        <f t="shared" si="7"/>
        <v/>
      </c>
      <c r="M3501" s="49"/>
      <c r="N3501" s="49"/>
      <c r="O3501" s="49"/>
      <c r="P3501" s="49"/>
      <c r="Q3501" s="49"/>
      <c r="R3501" s="49"/>
      <c r="S3501" s="49"/>
      <c r="T3501" s="49"/>
      <c r="U3501" s="49"/>
      <c r="V3501" s="49"/>
      <c r="W3501" s="56"/>
      <c r="X3501" s="51" t="str">
        <f t="shared" si="5"/>
        <v/>
      </c>
      <c r="Y3501" s="50" t="s">
        <v>482</v>
      </c>
      <c r="Z3501" s="49">
        <f t="shared" si="6"/>
        <v>0</v>
      </c>
    </row>
    <row r="3502" ht="22.5" customHeight="1">
      <c r="B3502" s="57"/>
      <c r="C3502" s="43" t="str">
        <f t="array" ref="C3502">IF(B3502="","",_xlfn.XLOOKUP(B3502,'Form responses 1'!$B$2:$B$2604,'Form responses 1'!$A$2:$A$2604,""))</f>
        <v/>
      </c>
      <c r="D3502" s="44" t="str">
        <f t="shared" si="3"/>
        <v/>
      </c>
      <c r="E3502" s="44" t="str">
        <f t="array" ref="E3502">IF(B3502="","",_xlfn.XLOOKUP(B3502,'Form responses 1'!$B$2:$B$2604,'Form responses 1'!$C$2:$C$2604,""))</f>
        <v/>
      </c>
      <c r="F3502" s="44" t="str">
        <f t="array" ref="F3502">IF(B3502="","",_xlfn.XLOOKUP(B3502,'Form responses 1'!$B$2:$B$2604,'Form responses 1'!$D$2:$D$2604,""))</f>
        <v/>
      </c>
      <c r="G3502" s="44" t="str">
        <f t="array" ref="G3502">IF(B3502="","",_xlfn.XLOOKUP(B3502,'Form responses 1'!$B$2:$B$2604,'Form responses 1'!$E$2:$E$2604,""))</f>
        <v/>
      </c>
      <c r="H3502" s="44" t="str">
        <f t="array" ref="H3502">IF(B3502="","",_xlfn.XLOOKUP(B3502,'Form responses 1'!$B$2:$B$2604,'Form responses 1'!$F$2:$F$2604,""))</f>
        <v/>
      </c>
      <c r="I3502" s="44" t="str">
        <f t="array" ref="I3502">IF(B3502="","",_xlfn.XLOOKUP(B3502,'Form responses 1'!$B$2:$B$2604,'Form responses 1'!$I$2:$I$2604,""))</f>
        <v/>
      </c>
      <c r="J3502" s="44" t="str">
        <f t="array" ref="J3502">IF(B3502="","",_xlfn.XLOOKUP(B3502,'Form responses 1'!$B$2:$B$2604,'Form responses 1'!$G$2:$G$2604,""))</f>
        <v/>
      </c>
      <c r="K3502" s="56"/>
      <c r="L3502" s="58" t="str">
        <f t="shared" si="7"/>
        <v/>
      </c>
      <c r="M3502" s="49"/>
      <c r="N3502" s="49"/>
      <c r="O3502" s="49"/>
      <c r="P3502" s="49"/>
      <c r="Q3502" s="49"/>
      <c r="R3502" s="49"/>
      <c r="S3502" s="49"/>
      <c r="T3502" s="49"/>
      <c r="U3502" s="49"/>
      <c r="V3502" s="49"/>
      <c r="W3502" s="56"/>
      <c r="X3502" s="51" t="str">
        <f t="shared" si="5"/>
        <v/>
      </c>
      <c r="Y3502" s="50" t="s">
        <v>482</v>
      </c>
      <c r="Z3502" s="49">
        <f t="shared" si="6"/>
        <v>0</v>
      </c>
    </row>
    <row r="3503" ht="22.5" customHeight="1">
      <c r="B3503" s="57"/>
      <c r="C3503" s="43" t="str">
        <f t="array" ref="C3503">IF(B3503="","",_xlfn.XLOOKUP(B3503,'Form responses 1'!$B$2:$B$2604,'Form responses 1'!$A$2:$A$2604,""))</f>
        <v/>
      </c>
      <c r="D3503" s="44" t="str">
        <f t="shared" si="3"/>
        <v/>
      </c>
      <c r="E3503" s="44" t="str">
        <f t="array" ref="E3503">IF(B3503="","",_xlfn.XLOOKUP(B3503,'Form responses 1'!$B$2:$B$2604,'Form responses 1'!$C$2:$C$2604,""))</f>
        <v/>
      </c>
      <c r="F3503" s="44" t="str">
        <f t="array" ref="F3503">IF(B3503="","",_xlfn.XLOOKUP(B3503,'Form responses 1'!$B$2:$B$2604,'Form responses 1'!$D$2:$D$2604,""))</f>
        <v/>
      </c>
      <c r="G3503" s="44" t="str">
        <f t="array" ref="G3503">IF(B3503="","",_xlfn.XLOOKUP(B3503,'Form responses 1'!$B$2:$B$2604,'Form responses 1'!$E$2:$E$2604,""))</f>
        <v/>
      </c>
      <c r="H3503" s="44" t="str">
        <f t="array" ref="H3503">IF(B3503="","",_xlfn.XLOOKUP(B3503,'Form responses 1'!$B$2:$B$2604,'Form responses 1'!$F$2:$F$2604,""))</f>
        <v/>
      </c>
      <c r="I3503" s="44" t="str">
        <f t="array" ref="I3503">IF(B3503="","",_xlfn.XLOOKUP(B3503,'Form responses 1'!$B$2:$B$2604,'Form responses 1'!$I$2:$I$2604,""))</f>
        <v/>
      </c>
      <c r="J3503" s="44" t="str">
        <f t="array" ref="J3503">IF(B3503="","",_xlfn.XLOOKUP(B3503,'Form responses 1'!$B$2:$B$2604,'Form responses 1'!$G$2:$G$2604,""))</f>
        <v/>
      </c>
      <c r="K3503" s="56"/>
      <c r="L3503" s="58" t="str">
        <f t="shared" si="7"/>
        <v/>
      </c>
      <c r="M3503" s="49"/>
      <c r="N3503" s="49"/>
      <c r="O3503" s="49"/>
      <c r="P3503" s="49"/>
      <c r="Q3503" s="49"/>
      <c r="R3503" s="49"/>
      <c r="S3503" s="49"/>
      <c r="T3503" s="49"/>
      <c r="U3503" s="49"/>
      <c r="V3503" s="49"/>
      <c r="W3503" s="56"/>
      <c r="X3503" s="51" t="str">
        <f t="shared" si="5"/>
        <v/>
      </c>
      <c r="Y3503" s="50" t="s">
        <v>482</v>
      </c>
      <c r="Z3503" s="49">
        <f t="shared" si="6"/>
        <v>0</v>
      </c>
    </row>
    <row r="3504" ht="22.5" customHeight="1">
      <c r="B3504" s="57"/>
      <c r="C3504" s="43" t="str">
        <f t="array" ref="C3504">IF(B3504="","",_xlfn.XLOOKUP(B3504,'Form responses 1'!$B$2:$B$2604,'Form responses 1'!$A$2:$A$2604,""))</f>
        <v/>
      </c>
      <c r="D3504" s="44" t="str">
        <f t="shared" si="3"/>
        <v/>
      </c>
      <c r="E3504" s="44" t="str">
        <f t="array" ref="E3504">IF(B3504="","",_xlfn.XLOOKUP(B3504,'Form responses 1'!$B$2:$B$2604,'Form responses 1'!$C$2:$C$2604,""))</f>
        <v/>
      </c>
      <c r="F3504" s="44" t="str">
        <f t="array" ref="F3504">IF(B3504="","",_xlfn.XLOOKUP(B3504,'Form responses 1'!$B$2:$B$2604,'Form responses 1'!$D$2:$D$2604,""))</f>
        <v/>
      </c>
      <c r="G3504" s="44" t="str">
        <f t="array" ref="G3504">IF(B3504="","",_xlfn.XLOOKUP(B3504,'Form responses 1'!$B$2:$B$2604,'Form responses 1'!$E$2:$E$2604,""))</f>
        <v/>
      </c>
      <c r="H3504" s="44" t="str">
        <f t="array" ref="H3504">IF(B3504="","",_xlfn.XLOOKUP(B3504,'Form responses 1'!$B$2:$B$2604,'Form responses 1'!$F$2:$F$2604,""))</f>
        <v/>
      </c>
      <c r="I3504" s="44" t="str">
        <f t="array" ref="I3504">IF(B3504="","",_xlfn.XLOOKUP(B3504,'Form responses 1'!$B$2:$B$2604,'Form responses 1'!$I$2:$I$2604,""))</f>
        <v/>
      </c>
      <c r="J3504" s="44" t="str">
        <f t="array" ref="J3504">IF(B3504="","",_xlfn.XLOOKUP(B3504,'Form responses 1'!$B$2:$B$2604,'Form responses 1'!$G$2:$G$2604,""))</f>
        <v/>
      </c>
      <c r="K3504" s="56"/>
      <c r="L3504" s="58" t="str">
        <f t="shared" si="7"/>
        <v/>
      </c>
      <c r="M3504" s="49"/>
      <c r="N3504" s="49"/>
      <c r="O3504" s="49"/>
      <c r="P3504" s="49"/>
      <c r="Q3504" s="49"/>
      <c r="R3504" s="49"/>
      <c r="S3504" s="49"/>
      <c r="T3504" s="49"/>
      <c r="U3504" s="49"/>
      <c r="V3504" s="49"/>
      <c r="W3504" s="56"/>
      <c r="X3504" s="51" t="str">
        <f t="shared" si="5"/>
        <v/>
      </c>
      <c r="Y3504" s="50" t="s">
        <v>482</v>
      </c>
      <c r="Z3504" s="49">
        <f t="shared" si="6"/>
        <v>0</v>
      </c>
    </row>
    <row r="3505" ht="22.5" customHeight="1">
      <c r="B3505" s="57"/>
      <c r="C3505" s="43" t="str">
        <f t="array" ref="C3505">IF(B3505="","",_xlfn.XLOOKUP(B3505,'Form responses 1'!$B$2:$B$2604,'Form responses 1'!$A$2:$A$2604,""))</f>
        <v/>
      </c>
      <c r="D3505" s="44" t="str">
        <f t="shared" si="3"/>
        <v/>
      </c>
      <c r="E3505" s="44" t="str">
        <f t="array" ref="E3505">IF(B3505="","",_xlfn.XLOOKUP(B3505,'Form responses 1'!$B$2:$B$2604,'Form responses 1'!$C$2:$C$2604,""))</f>
        <v/>
      </c>
      <c r="F3505" s="44" t="str">
        <f t="array" ref="F3505">IF(B3505="","",_xlfn.XLOOKUP(B3505,'Form responses 1'!$B$2:$B$2604,'Form responses 1'!$D$2:$D$2604,""))</f>
        <v/>
      </c>
      <c r="G3505" s="44" t="str">
        <f t="array" ref="G3505">IF(B3505="","",_xlfn.XLOOKUP(B3505,'Form responses 1'!$B$2:$B$2604,'Form responses 1'!$E$2:$E$2604,""))</f>
        <v/>
      </c>
      <c r="H3505" s="44" t="str">
        <f t="array" ref="H3505">IF(B3505="","",_xlfn.XLOOKUP(B3505,'Form responses 1'!$B$2:$B$2604,'Form responses 1'!$F$2:$F$2604,""))</f>
        <v/>
      </c>
      <c r="I3505" s="44" t="str">
        <f t="array" ref="I3505">IF(B3505="","",_xlfn.XLOOKUP(B3505,'Form responses 1'!$B$2:$B$2604,'Form responses 1'!$I$2:$I$2604,""))</f>
        <v/>
      </c>
      <c r="J3505" s="44" t="str">
        <f t="array" ref="J3505">IF(B3505="","",_xlfn.XLOOKUP(B3505,'Form responses 1'!$B$2:$B$2604,'Form responses 1'!$G$2:$G$2604,""))</f>
        <v/>
      </c>
      <c r="K3505" s="56"/>
      <c r="L3505" s="58" t="str">
        <f t="shared" si="7"/>
        <v/>
      </c>
      <c r="M3505" s="49"/>
      <c r="N3505" s="49"/>
      <c r="O3505" s="49"/>
      <c r="P3505" s="49"/>
      <c r="Q3505" s="49"/>
      <c r="R3505" s="49"/>
      <c r="S3505" s="49"/>
      <c r="T3505" s="49"/>
      <c r="U3505" s="49"/>
      <c r="V3505" s="49"/>
      <c r="W3505" s="56"/>
      <c r="X3505" s="51" t="str">
        <f t="shared" si="5"/>
        <v/>
      </c>
      <c r="Y3505" s="50" t="s">
        <v>482</v>
      </c>
      <c r="Z3505" s="49">
        <f t="shared" si="6"/>
        <v>0</v>
      </c>
    </row>
    <row r="3506" ht="22.5" customHeight="1">
      <c r="B3506" s="57"/>
      <c r="C3506" s="43" t="str">
        <f t="array" ref="C3506">IF(B3506="","",_xlfn.XLOOKUP(B3506,'Form responses 1'!$B$2:$B$2604,'Form responses 1'!$A$2:$A$2604,""))</f>
        <v/>
      </c>
      <c r="D3506" s="44" t="str">
        <f t="shared" si="3"/>
        <v/>
      </c>
      <c r="E3506" s="44" t="str">
        <f t="array" ref="E3506">IF(B3506="","",_xlfn.XLOOKUP(B3506,'Form responses 1'!$B$2:$B$2604,'Form responses 1'!$C$2:$C$2604,""))</f>
        <v/>
      </c>
      <c r="F3506" s="44" t="str">
        <f t="array" ref="F3506">IF(B3506="","",_xlfn.XLOOKUP(B3506,'Form responses 1'!$B$2:$B$2604,'Form responses 1'!$D$2:$D$2604,""))</f>
        <v/>
      </c>
      <c r="G3506" s="44" t="str">
        <f t="array" ref="G3506">IF(B3506="","",_xlfn.XLOOKUP(B3506,'Form responses 1'!$B$2:$B$2604,'Form responses 1'!$E$2:$E$2604,""))</f>
        <v/>
      </c>
      <c r="H3506" s="44" t="str">
        <f t="array" ref="H3506">IF(B3506="","",_xlfn.XLOOKUP(B3506,'Form responses 1'!$B$2:$B$2604,'Form responses 1'!$F$2:$F$2604,""))</f>
        <v/>
      </c>
      <c r="I3506" s="44" t="str">
        <f t="array" ref="I3506">IF(B3506="","",_xlfn.XLOOKUP(B3506,'Form responses 1'!$B$2:$B$2604,'Form responses 1'!$I$2:$I$2604,""))</f>
        <v/>
      </c>
      <c r="J3506" s="44" t="str">
        <f t="array" ref="J3506">IF(B3506="","",_xlfn.XLOOKUP(B3506,'Form responses 1'!$B$2:$B$2604,'Form responses 1'!$G$2:$G$2604,""))</f>
        <v/>
      </c>
      <c r="K3506" s="56"/>
      <c r="L3506" s="58" t="str">
        <f t="shared" si="7"/>
        <v/>
      </c>
      <c r="M3506" s="49"/>
      <c r="N3506" s="49"/>
      <c r="O3506" s="49"/>
      <c r="P3506" s="49"/>
      <c r="Q3506" s="49"/>
      <c r="R3506" s="49"/>
      <c r="S3506" s="49"/>
      <c r="T3506" s="49"/>
      <c r="U3506" s="49"/>
      <c r="V3506" s="49"/>
      <c r="W3506" s="56"/>
      <c r="X3506" s="51" t="str">
        <f t="shared" si="5"/>
        <v/>
      </c>
      <c r="Y3506" s="50" t="s">
        <v>482</v>
      </c>
      <c r="Z3506" s="49">
        <f t="shared" si="6"/>
        <v>0</v>
      </c>
    </row>
    <row r="3507" ht="22.5" customHeight="1">
      <c r="B3507" s="57"/>
      <c r="C3507" s="43" t="str">
        <f t="array" ref="C3507">IF(B3507="","",_xlfn.XLOOKUP(B3507,'Form responses 1'!$B$2:$B$2604,'Form responses 1'!$A$2:$A$2604,""))</f>
        <v/>
      </c>
      <c r="D3507" s="44" t="str">
        <f t="shared" si="3"/>
        <v/>
      </c>
      <c r="E3507" s="44" t="str">
        <f t="array" ref="E3507">IF(B3507="","",_xlfn.XLOOKUP(B3507,'Form responses 1'!$B$2:$B$2604,'Form responses 1'!$C$2:$C$2604,""))</f>
        <v/>
      </c>
      <c r="F3507" s="44" t="str">
        <f t="array" ref="F3507">IF(B3507="","",_xlfn.XLOOKUP(B3507,'Form responses 1'!$B$2:$B$2604,'Form responses 1'!$D$2:$D$2604,""))</f>
        <v/>
      </c>
      <c r="G3507" s="44" t="str">
        <f t="array" ref="G3507">IF(B3507="","",_xlfn.XLOOKUP(B3507,'Form responses 1'!$B$2:$B$2604,'Form responses 1'!$E$2:$E$2604,""))</f>
        <v/>
      </c>
      <c r="H3507" s="44" t="str">
        <f t="array" ref="H3507">IF(B3507="","",_xlfn.XLOOKUP(B3507,'Form responses 1'!$B$2:$B$2604,'Form responses 1'!$F$2:$F$2604,""))</f>
        <v/>
      </c>
      <c r="I3507" s="44" t="str">
        <f t="array" ref="I3507">IF(B3507="","",_xlfn.XLOOKUP(B3507,'Form responses 1'!$B$2:$B$2604,'Form responses 1'!$I$2:$I$2604,""))</f>
        <v/>
      </c>
      <c r="J3507" s="44" t="str">
        <f t="array" ref="J3507">IF(B3507="","",_xlfn.XLOOKUP(B3507,'Form responses 1'!$B$2:$B$2604,'Form responses 1'!$G$2:$G$2604,""))</f>
        <v/>
      </c>
      <c r="K3507" s="56"/>
      <c r="L3507" s="58" t="str">
        <f t="shared" si="7"/>
        <v/>
      </c>
      <c r="M3507" s="49"/>
      <c r="N3507" s="49"/>
      <c r="O3507" s="49"/>
      <c r="P3507" s="49"/>
      <c r="Q3507" s="49"/>
      <c r="R3507" s="49"/>
      <c r="S3507" s="49"/>
      <c r="T3507" s="49"/>
      <c r="U3507" s="49"/>
      <c r="V3507" s="49"/>
      <c r="W3507" s="56"/>
      <c r="X3507" s="51" t="str">
        <f t="shared" si="5"/>
        <v/>
      </c>
      <c r="Y3507" s="50" t="s">
        <v>482</v>
      </c>
      <c r="Z3507" s="49">
        <f t="shared" si="6"/>
        <v>0</v>
      </c>
    </row>
    <row r="3508" ht="22.5" customHeight="1">
      <c r="B3508" s="57"/>
      <c r="C3508" s="43" t="str">
        <f t="array" ref="C3508">IF(B3508="","",_xlfn.XLOOKUP(B3508,'Form responses 1'!$B$2:$B$2604,'Form responses 1'!$A$2:$A$2604,""))</f>
        <v/>
      </c>
      <c r="D3508" s="44" t="str">
        <f t="shared" si="3"/>
        <v/>
      </c>
      <c r="E3508" s="44" t="str">
        <f t="array" ref="E3508">IF(B3508="","",_xlfn.XLOOKUP(B3508,'Form responses 1'!$B$2:$B$2604,'Form responses 1'!$C$2:$C$2604,""))</f>
        <v/>
      </c>
      <c r="F3508" s="44" t="str">
        <f t="array" ref="F3508">IF(B3508="","",_xlfn.XLOOKUP(B3508,'Form responses 1'!$B$2:$B$2604,'Form responses 1'!$D$2:$D$2604,""))</f>
        <v/>
      </c>
      <c r="G3508" s="44" t="str">
        <f t="array" ref="G3508">IF(B3508="","",_xlfn.XLOOKUP(B3508,'Form responses 1'!$B$2:$B$2604,'Form responses 1'!$E$2:$E$2604,""))</f>
        <v/>
      </c>
      <c r="H3508" s="44" t="str">
        <f t="array" ref="H3508">IF(B3508="","",_xlfn.XLOOKUP(B3508,'Form responses 1'!$B$2:$B$2604,'Form responses 1'!$F$2:$F$2604,""))</f>
        <v/>
      </c>
      <c r="I3508" s="44" t="str">
        <f t="array" ref="I3508">IF(B3508="","",_xlfn.XLOOKUP(B3508,'Form responses 1'!$B$2:$B$2604,'Form responses 1'!$I$2:$I$2604,""))</f>
        <v/>
      </c>
      <c r="J3508" s="44" t="str">
        <f t="array" ref="J3508">IF(B3508="","",_xlfn.XLOOKUP(B3508,'Form responses 1'!$B$2:$B$2604,'Form responses 1'!$G$2:$G$2604,""))</f>
        <v/>
      </c>
      <c r="K3508" s="56"/>
      <c r="L3508" s="58" t="str">
        <f t="shared" si="7"/>
        <v/>
      </c>
      <c r="M3508" s="49"/>
      <c r="N3508" s="49"/>
      <c r="O3508" s="49"/>
      <c r="P3508" s="49"/>
      <c r="Q3508" s="49"/>
      <c r="R3508" s="49"/>
      <c r="S3508" s="49"/>
      <c r="T3508" s="49"/>
      <c r="U3508" s="49"/>
      <c r="V3508" s="49"/>
      <c r="W3508" s="56"/>
      <c r="X3508" s="51" t="str">
        <f t="shared" si="5"/>
        <v/>
      </c>
      <c r="Y3508" s="50" t="s">
        <v>482</v>
      </c>
      <c r="Z3508" s="49">
        <f t="shared" si="6"/>
        <v>0</v>
      </c>
    </row>
    <row r="3509" ht="22.5" customHeight="1">
      <c r="B3509" s="57"/>
      <c r="C3509" s="43" t="str">
        <f t="array" ref="C3509">IF(B3509="","",_xlfn.XLOOKUP(B3509,'Form responses 1'!$B$2:$B$2604,'Form responses 1'!$A$2:$A$2604,""))</f>
        <v/>
      </c>
      <c r="D3509" s="44" t="str">
        <f t="shared" si="3"/>
        <v/>
      </c>
      <c r="E3509" s="44" t="str">
        <f t="array" ref="E3509">IF(B3509="","",_xlfn.XLOOKUP(B3509,'Form responses 1'!$B$2:$B$2604,'Form responses 1'!$C$2:$C$2604,""))</f>
        <v/>
      </c>
      <c r="F3509" s="44" t="str">
        <f t="array" ref="F3509">IF(B3509="","",_xlfn.XLOOKUP(B3509,'Form responses 1'!$B$2:$B$2604,'Form responses 1'!$D$2:$D$2604,""))</f>
        <v/>
      </c>
      <c r="G3509" s="44" t="str">
        <f t="array" ref="G3509">IF(B3509="","",_xlfn.XLOOKUP(B3509,'Form responses 1'!$B$2:$B$2604,'Form responses 1'!$E$2:$E$2604,""))</f>
        <v/>
      </c>
      <c r="H3509" s="44" t="str">
        <f t="array" ref="H3509">IF(B3509="","",_xlfn.XLOOKUP(B3509,'Form responses 1'!$B$2:$B$2604,'Form responses 1'!$F$2:$F$2604,""))</f>
        <v/>
      </c>
      <c r="I3509" s="44" t="str">
        <f t="array" ref="I3509">IF(B3509="","",_xlfn.XLOOKUP(B3509,'Form responses 1'!$B$2:$B$2604,'Form responses 1'!$I$2:$I$2604,""))</f>
        <v/>
      </c>
      <c r="J3509" s="44" t="str">
        <f t="array" ref="J3509">IF(B3509="","",_xlfn.XLOOKUP(B3509,'Form responses 1'!$B$2:$B$2604,'Form responses 1'!$G$2:$G$2604,""))</f>
        <v/>
      </c>
      <c r="K3509" s="56"/>
      <c r="L3509" s="58" t="str">
        <f t="shared" si="7"/>
        <v/>
      </c>
      <c r="M3509" s="49"/>
      <c r="N3509" s="49"/>
      <c r="O3509" s="49"/>
      <c r="P3509" s="49"/>
      <c r="Q3509" s="49"/>
      <c r="R3509" s="49"/>
      <c r="S3509" s="49"/>
      <c r="T3509" s="49"/>
      <c r="U3509" s="49"/>
      <c r="V3509" s="49"/>
      <c r="W3509" s="56"/>
      <c r="X3509" s="51" t="str">
        <f t="shared" si="5"/>
        <v/>
      </c>
      <c r="Y3509" s="50" t="s">
        <v>482</v>
      </c>
      <c r="Z3509" s="49">
        <f t="shared" si="6"/>
        <v>0</v>
      </c>
    </row>
    <row r="3510" ht="22.5" customHeight="1">
      <c r="B3510" s="57"/>
      <c r="C3510" s="43" t="str">
        <f t="array" ref="C3510">IF(B3510="","",_xlfn.XLOOKUP(B3510,'Form responses 1'!$B$2:$B$2604,'Form responses 1'!$A$2:$A$2604,""))</f>
        <v/>
      </c>
      <c r="D3510" s="44" t="str">
        <f t="shared" si="3"/>
        <v/>
      </c>
      <c r="E3510" s="44" t="str">
        <f t="array" ref="E3510">IF(B3510="","",_xlfn.XLOOKUP(B3510,'Form responses 1'!$B$2:$B$2604,'Form responses 1'!$C$2:$C$2604,""))</f>
        <v/>
      </c>
      <c r="F3510" s="44" t="str">
        <f t="array" ref="F3510">IF(B3510="","",_xlfn.XLOOKUP(B3510,'Form responses 1'!$B$2:$B$2604,'Form responses 1'!$D$2:$D$2604,""))</f>
        <v/>
      </c>
      <c r="G3510" s="44" t="str">
        <f t="array" ref="G3510">IF(B3510="","",_xlfn.XLOOKUP(B3510,'Form responses 1'!$B$2:$B$2604,'Form responses 1'!$E$2:$E$2604,""))</f>
        <v/>
      </c>
      <c r="H3510" s="44" t="str">
        <f t="array" ref="H3510">IF(B3510="","",_xlfn.XLOOKUP(B3510,'Form responses 1'!$B$2:$B$2604,'Form responses 1'!$F$2:$F$2604,""))</f>
        <v/>
      </c>
      <c r="I3510" s="44" t="str">
        <f t="array" ref="I3510">IF(B3510="","",_xlfn.XLOOKUP(B3510,'Form responses 1'!$B$2:$B$2604,'Form responses 1'!$I$2:$I$2604,""))</f>
        <v/>
      </c>
      <c r="J3510" s="44" t="str">
        <f t="array" ref="J3510">IF(B3510="","",_xlfn.XLOOKUP(B3510,'Form responses 1'!$B$2:$B$2604,'Form responses 1'!$G$2:$G$2604,""))</f>
        <v/>
      </c>
      <c r="K3510" s="56"/>
      <c r="L3510" s="58" t="str">
        <f t="shared" si="7"/>
        <v/>
      </c>
      <c r="M3510" s="49"/>
      <c r="N3510" s="49"/>
      <c r="O3510" s="49"/>
      <c r="P3510" s="49"/>
      <c r="Q3510" s="49"/>
      <c r="R3510" s="49"/>
      <c r="S3510" s="49"/>
      <c r="T3510" s="49"/>
      <c r="U3510" s="49"/>
      <c r="V3510" s="49"/>
      <c r="W3510" s="56"/>
      <c r="X3510" s="51" t="str">
        <f t="shared" si="5"/>
        <v/>
      </c>
      <c r="Y3510" s="50" t="s">
        <v>482</v>
      </c>
      <c r="Z3510" s="49">
        <f t="shared" si="6"/>
        <v>0</v>
      </c>
    </row>
    <row r="3511" ht="22.5" customHeight="1">
      <c r="B3511" s="57"/>
      <c r="C3511" s="43" t="str">
        <f t="array" ref="C3511">IF(B3511="","",_xlfn.XLOOKUP(B3511,'Form responses 1'!$B$2:$B$2604,'Form responses 1'!$A$2:$A$2604,""))</f>
        <v/>
      </c>
      <c r="D3511" s="44" t="str">
        <f t="shared" si="3"/>
        <v/>
      </c>
      <c r="E3511" s="44" t="str">
        <f t="array" ref="E3511">IF(B3511="","",_xlfn.XLOOKUP(B3511,'Form responses 1'!$B$2:$B$2604,'Form responses 1'!$C$2:$C$2604,""))</f>
        <v/>
      </c>
      <c r="F3511" s="44" t="str">
        <f t="array" ref="F3511">IF(B3511="","",_xlfn.XLOOKUP(B3511,'Form responses 1'!$B$2:$B$2604,'Form responses 1'!$D$2:$D$2604,""))</f>
        <v/>
      </c>
      <c r="G3511" s="44" t="str">
        <f t="array" ref="G3511">IF(B3511="","",_xlfn.XLOOKUP(B3511,'Form responses 1'!$B$2:$B$2604,'Form responses 1'!$E$2:$E$2604,""))</f>
        <v/>
      </c>
      <c r="H3511" s="44" t="str">
        <f t="array" ref="H3511">IF(B3511="","",_xlfn.XLOOKUP(B3511,'Form responses 1'!$B$2:$B$2604,'Form responses 1'!$F$2:$F$2604,""))</f>
        <v/>
      </c>
      <c r="I3511" s="44" t="str">
        <f t="array" ref="I3511">IF(B3511="","",_xlfn.XLOOKUP(B3511,'Form responses 1'!$B$2:$B$2604,'Form responses 1'!$I$2:$I$2604,""))</f>
        <v/>
      </c>
      <c r="J3511" s="44" t="str">
        <f t="array" ref="J3511">IF(B3511="","",_xlfn.XLOOKUP(B3511,'Form responses 1'!$B$2:$B$2604,'Form responses 1'!$G$2:$G$2604,""))</f>
        <v/>
      </c>
      <c r="K3511" s="56"/>
      <c r="L3511" s="58" t="str">
        <f t="shared" si="7"/>
        <v/>
      </c>
      <c r="M3511" s="49"/>
      <c r="N3511" s="49"/>
      <c r="O3511" s="49"/>
      <c r="P3511" s="49"/>
      <c r="Q3511" s="49"/>
      <c r="R3511" s="49"/>
      <c r="S3511" s="49"/>
      <c r="T3511" s="49"/>
      <c r="U3511" s="49"/>
      <c r="V3511" s="49"/>
      <c r="W3511" s="56"/>
      <c r="X3511" s="51" t="str">
        <f t="shared" si="5"/>
        <v/>
      </c>
      <c r="Y3511" s="50" t="s">
        <v>482</v>
      </c>
      <c r="Z3511" s="49">
        <f t="shared" si="6"/>
        <v>0</v>
      </c>
    </row>
    <row r="3512" ht="22.5" customHeight="1">
      <c r="B3512" s="57"/>
      <c r="C3512" s="43" t="str">
        <f t="array" ref="C3512">IF(B3512="","",_xlfn.XLOOKUP(B3512,'Form responses 1'!$B$2:$B$2604,'Form responses 1'!$A$2:$A$2604,""))</f>
        <v/>
      </c>
      <c r="D3512" s="44" t="str">
        <f t="shared" si="3"/>
        <v/>
      </c>
      <c r="E3512" s="44" t="str">
        <f t="array" ref="E3512">IF(B3512="","",_xlfn.XLOOKUP(B3512,'Form responses 1'!$B$2:$B$2604,'Form responses 1'!$C$2:$C$2604,""))</f>
        <v/>
      </c>
      <c r="F3512" s="44" t="str">
        <f t="array" ref="F3512">IF(B3512="","",_xlfn.XLOOKUP(B3512,'Form responses 1'!$B$2:$B$2604,'Form responses 1'!$D$2:$D$2604,""))</f>
        <v/>
      </c>
      <c r="G3512" s="44" t="str">
        <f t="array" ref="G3512">IF(B3512="","",_xlfn.XLOOKUP(B3512,'Form responses 1'!$B$2:$B$2604,'Form responses 1'!$E$2:$E$2604,""))</f>
        <v/>
      </c>
      <c r="H3512" s="44" t="str">
        <f t="array" ref="H3512">IF(B3512="","",_xlfn.XLOOKUP(B3512,'Form responses 1'!$B$2:$B$2604,'Form responses 1'!$F$2:$F$2604,""))</f>
        <v/>
      </c>
      <c r="I3512" s="44" t="str">
        <f t="array" ref="I3512">IF(B3512="","",_xlfn.XLOOKUP(B3512,'Form responses 1'!$B$2:$B$2604,'Form responses 1'!$I$2:$I$2604,""))</f>
        <v/>
      </c>
      <c r="J3512" s="44" t="str">
        <f t="array" ref="J3512">IF(B3512="","",_xlfn.XLOOKUP(B3512,'Form responses 1'!$B$2:$B$2604,'Form responses 1'!$G$2:$G$2604,""))</f>
        <v/>
      </c>
      <c r="K3512" s="56"/>
      <c r="L3512" s="58" t="str">
        <f t="shared" si="7"/>
        <v/>
      </c>
      <c r="M3512" s="49"/>
      <c r="N3512" s="49"/>
      <c r="O3512" s="49"/>
      <c r="P3512" s="49"/>
      <c r="Q3512" s="49"/>
      <c r="R3512" s="49"/>
      <c r="S3512" s="49"/>
      <c r="T3512" s="49"/>
      <c r="U3512" s="49"/>
      <c r="V3512" s="49"/>
      <c r="W3512" s="56"/>
      <c r="X3512" s="51" t="str">
        <f t="shared" si="5"/>
        <v/>
      </c>
      <c r="Y3512" s="50" t="s">
        <v>482</v>
      </c>
      <c r="Z3512" s="49">
        <f t="shared" si="6"/>
        <v>0</v>
      </c>
    </row>
    <row r="3513" ht="22.5" customHeight="1">
      <c r="B3513" s="57"/>
      <c r="C3513" s="43" t="str">
        <f t="array" ref="C3513">IF(B3513="","",_xlfn.XLOOKUP(B3513,'Form responses 1'!$B$2:$B$2604,'Form responses 1'!$A$2:$A$2604,""))</f>
        <v/>
      </c>
      <c r="D3513" s="44" t="str">
        <f t="shared" si="3"/>
        <v/>
      </c>
      <c r="E3513" s="44" t="str">
        <f t="array" ref="E3513">IF(B3513="","",_xlfn.XLOOKUP(B3513,'Form responses 1'!$B$2:$B$2604,'Form responses 1'!$C$2:$C$2604,""))</f>
        <v/>
      </c>
      <c r="F3513" s="44" t="str">
        <f t="array" ref="F3513">IF(B3513="","",_xlfn.XLOOKUP(B3513,'Form responses 1'!$B$2:$B$2604,'Form responses 1'!$D$2:$D$2604,""))</f>
        <v/>
      </c>
      <c r="G3513" s="44" t="str">
        <f t="array" ref="G3513">IF(B3513="","",_xlfn.XLOOKUP(B3513,'Form responses 1'!$B$2:$B$2604,'Form responses 1'!$E$2:$E$2604,""))</f>
        <v/>
      </c>
      <c r="H3513" s="44" t="str">
        <f t="array" ref="H3513">IF(B3513="","",_xlfn.XLOOKUP(B3513,'Form responses 1'!$B$2:$B$2604,'Form responses 1'!$F$2:$F$2604,""))</f>
        <v/>
      </c>
      <c r="I3513" s="44" t="str">
        <f t="array" ref="I3513">IF(B3513="","",_xlfn.XLOOKUP(B3513,'Form responses 1'!$B$2:$B$2604,'Form responses 1'!$I$2:$I$2604,""))</f>
        <v/>
      </c>
      <c r="J3513" s="44" t="str">
        <f t="array" ref="J3513">IF(B3513="","",_xlfn.XLOOKUP(B3513,'Form responses 1'!$B$2:$B$2604,'Form responses 1'!$G$2:$G$2604,""))</f>
        <v/>
      </c>
      <c r="K3513" s="56"/>
      <c r="L3513" s="58" t="str">
        <f t="shared" si="7"/>
        <v/>
      </c>
      <c r="M3513" s="49"/>
      <c r="N3513" s="49"/>
      <c r="O3513" s="49"/>
      <c r="P3513" s="49"/>
      <c r="Q3513" s="49"/>
      <c r="R3513" s="49"/>
      <c r="S3513" s="49"/>
      <c r="T3513" s="49"/>
      <c r="U3513" s="49"/>
      <c r="V3513" s="49"/>
      <c r="W3513" s="56"/>
      <c r="X3513" s="51" t="str">
        <f t="shared" si="5"/>
        <v/>
      </c>
      <c r="Y3513" s="50" t="s">
        <v>482</v>
      </c>
      <c r="Z3513" s="49">
        <f t="shared" si="6"/>
        <v>0</v>
      </c>
    </row>
    <row r="3514" ht="22.5" customHeight="1">
      <c r="B3514" s="57"/>
      <c r="C3514" s="43" t="str">
        <f t="array" ref="C3514">IF(B3514="","",_xlfn.XLOOKUP(B3514,'Form responses 1'!$B$2:$B$2604,'Form responses 1'!$A$2:$A$2604,""))</f>
        <v/>
      </c>
      <c r="D3514" s="44" t="str">
        <f t="shared" si="3"/>
        <v/>
      </c>
      <c r="E3514" s="44" t="str">
        <f t="array" ref="E3514">IF(B3514="","",_xlfn.XLOOKUP(B3514,'Form responses 1'!$B$2:$B$2604,'Form responses 1'!$C$2:$C$2604,""))</f>
        <v/>
      </c>
      <c r="F3514" s="44" t="str">
        <f t="array" ref="F3514">IF(B3514="","",_xlfn.XLOOKUP(B3514,'Form responses 1'!$B$2:$B$2604,'Form responses 1'!$D$2:$D$2604,""))</f>
        <v/>
      </c>
      <c r="G3514" s="44" t="str">
        <f t="array" ref="G3514">IF(B3514="","",_xlfn.XLOOKUP(B3514,'Form responses 1'!$B$2:$B$2604,'Form responses 1'!$E$2:$E$2604,""))</f>
        <v/>
      </c>
      <c r="H3514" s="44" t="str">
        <f t="array" ref="H3514">IF(B3514="","",_xlfn.XLOOKUP(B3514,'Form responses 1'!$B$2:$B$2604,'Form responses 1'!$F$2:$F$2604,""))</f>
        <v/>
      </c>
      <c r="I3514" s="44" t="str">
        <f t="array" ref="I3514">IF(B3514="","",_xlfn.XLOOKUP(B3514,'Form responses 1'!$B$2:$B$2604,'Form responses 1'!$I$2:$I$2604,""))</f>
        <v/>
      </c>
      <c r="J3514" s="44" t="str">
        <f t="array" ref="J3514">IF(B3514="","",_xlfn.XLOOKUP(B3514,'Form responses 1'!$B$2:$B$2604,'Form responses 1'!$G$2:$G$2604,""))</f>
        <v/>
      </c>
      <c r="K3514" s="56"/>
      <c r="L3514" s="58" t="str">
        <f t="shared" si="7"/>
        <v/>
      </c>
      <c r="M3514" s="49"/>
      <c r="N3514" s="49"/>
      <c r="O3514" s="49"/>
      <c r="P3514" s="49"/>
      <c r="Q3514" s="49"/>
      <c r="R3514" s="49"/>
      <c r="S3514" s="49"/>
      <c r="T3514" s="49"/>
      <c r="U3514" s="49"/>
      <c r="V3514" s="49"/>
      <c r="W3514" s="56"/>
      <c r="X3514" s="51" t="str">
        <f t="shared" si="5"/>
        <v/>
      </c>
      <c r="Y3514" s="50" t="s">
        <v>482</v>
      </c>
      <c r="Z3514" s="49">
        <f t="shared" si="6"/>
        <v>0</v>
      </c>
    </row>
    <row r="3515" ht="22.5" customHeight="1">
      <c r="B3515" s="57"/>
      <c r="C3515" s="43" t="str">
        <f t="array" ref="C3515">IF(B3515="","",_xlfn.XLOOKUP(B3515,'Form responses 1'!$B$2:$B$2604,'Form responses 1'!$A$2:$A$2604,""))</f>
        <v/>
      </c>
      <c r="D3515" s="44" t="str">
        <f t="shared" si="3"/>
        <v/>
      </c>
      <c r="E3515" s="44" t="str">
        <f t="array" ref="E3515">IF(B3515="","",_xlfn.XLOOKUP(B3515,'Form responses 1'!$B$2:$B$2604,'Form responses 1'!$C$2:$C$2604,""))</f>
        <v/>
      </c>
      <c r="F3515" s="44" t="str">
        <f t="array" ref="F3515">IF(B3515="","",_xlfn.XLOOKUP(B3515,'Form responses 1'!$B$2:$B$2604,'Form responses 1'!$D$2:$D$2604,""))</f>
        <v/>
      </c>
      <c r="G3515" s="44" t="str">
        <f t="array" ref="G3515">IF(B3515="","",_xlfn.XLOOKUP(B3515,'Form responses 1'!$B$2:$B$2604,'Form responses 1'!$E$2:$E$2604,""))</f>
        <v/>
      </c>
      <c r="H3515" s="44" t="str">
        <f t="array" ref="H3515">IF(B3515="","",_xlfn.XLOOKUP(B3515,'Form responses 1'!$B$2:$B$2604,'Form responses 1'!$F$2:$F$2604,""))</f>
        <v/>
      </c>
      <c r="I3515" s="44" t="str">
        <f t="array" ref="I3515">IF(B3515="","",_xlfn.XLOOKUP(B3515,'Form responses 1'!$B$2:$B$2604,'Form responses 1'!$I$2:$I$2604,""))</f>
        <v/>
      </c>
      <c r="J3515" s="44" t="str">
        <f t="array" ref="J3515">IF(B3515="","",_xlfn.XLOOKUP(B3515,'Form responses 1'!$B$2:$B$2604,'Form responses 1'!$G$2:$G$2604,""))</f>
        <v/>
      </c>
      <c r="K3515" s="56"/>
      <c r="L3515" s="58" t="str">
        <f t="shared" si="7"/>
        <v/>
      </c>
      <c r="M3515" s="49"/>
      <c r="N3515" s="49"/>
      <c r="O3515" s="49"/>
      <c r="P3515" s="49"/>
      <c r="Q3515" s="49"/>
      <c r="R3515" s="49"/>
      <c r="S3515" s="49"/>
      <c r="T3515" s="49"/>
      <c r="U3515" s="49"/>
      <c r="V3515" s="49"/>
      <c r="W3515" s="56"/>
      <c r="X3515" s="51" t="str">
        <f t="shared" si="5"/>
        <v/>
      </c>
      <c r="Y3515" s="50" t="s">
        <v>482</v>
      </c>
      <c r="Z3515" s="49">
        <f t="shared" si="6"/>
        <v>0</v>
      </c>
    </row>
    <row r="3516" ht="22.5" customHeight="1">
      <c r="B3516" s="57"/>
      <c r="C3516" s="43" t="str">
        <f t="array" ref="C3516">IF(B3516="","",_xlfn.XLOOKUP(B3516,'Form responses 1'!$B$2:$B$2604,'Form responses 1'!$A$2:$A$2604,""))</f>
        <v/>
      </c>
      <c r="D3516" s="44" t="str">
        <f t="shared" si="3"/>
        <v/>
      </c>
      <c r="E3516" s="44" t="str">
        <f t="array" ref="E3516">IF(B3516="","",_xlfn.XLOOKUP(B3516,'Form responses 1'!$B$2:$B$2604,'Form responses 1'!$C$2:$C$2604,""))</f>
        <v/>
      </c>
      <c r="F3516" s="44" t="str">
        <f t="array" ref="F3516">IF(B3516="","",_xlfn.XLOOKUP(B3516,'Form responses 1'!$B$2:$B$2604,'Form responses 1'!$D$2:$D$2604,""))</f>
        <v/>
      </c>
      <c r="G3516" s="44" t="str">
        <f t="array" ref="G3516">IF(B3516="","",_xlfn.XLOOKUP(B3516,'Form responses 1'!$B$2:$B$2604,'Form responses 1'!$E$2:$E$2604,""))</f>
        <v/>
      </c>
      <c r="H3516" s="44" t="str">
        <f t="array" ref="H3516">IF(B3516="","",_xlfn.XLOOKUP(B3516,'Form responses 1'!$B$2:$B$2604,'Form responses 1'!$F$2:$F$2604,""))</f>
        <v/>
      </c>
      <c r="I3516" s="44" t="str">
        <f t="array" ref="I3516">IF(B3516="","",_xlfn.XLOOKUP(B3516,'Form responses 1'!$B$2:$B$2604,'Form responses 1'!$I$2:$I$2604,""))</f>
        <v/>
      </c>
      <c r="J3516" s="44" t="str">
        <f t="array" ref="J3516">IF(B3516="","",_xlfn.XLOOKUP(B3516,'Form responses 1'!$B$2:$B$2604,'Form responses 1'!$G$2:$G$2604,""))</f>
        <v/>
      </c>
      <c r="K3516" s="56"/>
      <c r="L3516" s="58" t="str">
        <f t="shared" si="7"/>
        <v/>
      </c>
      <c r="M3516" s="49"/>
      <c r="N3516" s="49"/>
      <c r="O3516" s="49"/>
      <c r="P3516" s="49"/>
      <c r="Q3516" s="49"/>
      <c r="R3516" s="49"/>
      <c r="S3516" s="49"/>
      <c r="T3516" s="49"/>
      <c r="U3516" s="49"/>
      <c r="V3516" s="49"/>
      <c r="W3516" s="56"/>
      <c r="X3516" s="51" t="str">
        <f t="shared" si="5"/>
        <v/>
      </c>
      <c r="Y3516" s="50" t="s">
        <v>482</v>
      </c>
      <c r="Z3516" s="49">
        <f t="shared" si="6"/>
        <v>0</v>
      </c>
    </row>
    <row r="3517" ht="22.5" customHeight="1">
      <c r="B3517" s="57"/>
      <c r="C3517" s="43" t="str">
        <f t="array" ref="C3517">IF(B3517="","",_xlfn.XLOOKUP(B3517,'Form responses 1'!$B$2:$B$2604,'Form responses 1'!$A$2:$A$2604,""))</f>
        <v/>
      </c>
      <c r="D3517" s="44" t="str">
        <f t="shared" si="3"/>
        <v/>
      </c>
      <c r="E3517" s="44" t="str">
        <f t="array" ref="E3517">IF(B3517="","",_xlfn.XLOOKUP(B3517,'Form responses 1'!$B$2:$B$2604,'Form responses 1'!$C$2:$C$2604,""))</f>
        <v/>
      </c>
      <c r="F3517" s="44" t="str">
        <f t="array" ref="F3517">IF(B3517="","",_xlfn.XLOOKUP(B3517,'Form responses 1'!$B$2:$B$2604,'Form responses 1'!$D$2:$D$2604,""))</f>
        <v/>
      </c>
      <c r="G3517" s="44" t="str">
        <f t="array" ref="G3517">IF(B3517="","",_xlfn.XLOOKUP(B3517,'Form responses 1'!$B$2:$B$2604,'Form responses 1'!$E$2:$E$2604,""))</f>
        <v/>
      </c>
      <c r="H3517" s="44" t="str">
        <f t="array" ref="H3517">IF(B3517="","",_xlfn.XLOOKUP(B3517,'Form responses 1'!$B$2:$B$2604,'Form responses 1'!$F$2:$F$2604,""))</f>
        <v/>
      </c>
      <c r="I3517" s="44" t="str">
        <f t="array" ref="I3517">IF(B3517="","",_xlfn.XLOOKUP(B3517,'Form responses 1'!$B$2:$B$2604,'Form responses 1'!$I$2:$I$2604,""))</f>
        <v/>
      </c>
      <c r="J3517" s="44" t="str">
        <f t="array" ref="J3517">IF(B3517="","",_xlfn.XLOOKUP(B3517,'Form responses 1'!$B$2:$B$2604,'Form responses 1'!$G$2:$G$2604,""))</f>
        <v/>
      </c>
      <c r="K3517" s="56"/>
      <c r="L3517" s="58" t="str">
        <f t="shared" si="7"/>
        <v/>
      </c>
      <c r="M3517" s="49"/>
      <c r="N3517" s="49"/>
      <c r="O3517" s="49"/>
      <c r="P3517" s="49"/>
      <c r="Q3517" s="49"/>
      <c r="R3517" s="49"/>
      <c r="S3517" s="49"/>
      <c r="T3517" s="49"/>
      <c r="U3517" s="49"/>
      <c r="V3517" s="49"/>
      <c r="W3517" s="56"/>
      <c r="X3517" s="51" t="str">
        <f t="shared" si="5"/>
        <v/>
      </c>
      <c r="Y3517" s="50" t="s">
        <v>482</v>
      </c>
      <c r="Z3517" s="49">
        <f t="shared" si="6"/>
        <v>0</v>
      </c>
    </row>
    <row r="3518" ht="22.5" customHeight="1">
      <c r="B3518" s="57"/>
      <c r="C3518" s="43" t="str">
        <f t="array" ref="C3518">IF(B3518="","",_xlfn.XLOOKUP(B3518,'Form responses 1'!$B$2:$B$2604,'Form responses 1'!$A$2:$A$2604,""))</f>
        <v/>
      </c>
      <c r="D3518" s="44" t="str">
        <f t="shared" si="3"/>
        <v/>
      </c>
      <c r="E3518" s="44" t="str">
        <f t="array" ref="E3518">IF(B3518="","",_xlfn.XLOOKUP(B3518,'Form responses 1'!$B$2:$B$2604,'Form responses 1'!$C$2:$C$2604,""))</f>
        <v/>
      </c>
      <c r="F3518" s="44" t="str">
        <f t="array" ref="F3518">IF(B3518="","",_xlfn.XLOOKUP(B3518,'Form responses 1'!$B$2:$B$2604,'Form responses 1'!$D$2:$D$2604,""))</f>
        <v/>
      </c>
      <c r="G3518" s="44" t="str">
        <f t="array" ref="G3518">IF(B3518="","",_xlfn.XLOOKUP(B3518,'Form responses 1'!$B$2:$B$2604,'Form responses 1'!$E$2:$E$2604,""))</f>
        <v/>
      </c>
      <c r="H3518" s="44" t="str">
        <f t="array" ref="H3518">IF(B3518="","",_xlfn.XLOOKUP(B3518,'Form responses 1'!$B$2:$B$2604,'Form responses 1'!$F$2:$F$2604,""))</f>
        <v/>
      </c>
      <c r="I3518" s="44" t="str">
        <f t="array" ref="I3518">IF(B3518="","",_xlfn.XLOOKUP(B3518,'Form responses 1'!$B$2:$B$2604,'Form responses 1'!$I$2:$I$2604,""))</f>
        <v/>
      </c>
      <c r="J3518" s="44" t="str">
        <f t="array" ref="J3518">IF(B3518="","",_xlfn.XLOOKUP(B3518,'Form responses 1'!$B$2:$B$2604,'Form responses 1'!$G$2:$G$2604,""))</f>
        <v/>
      </c>
      <c r="K3518" s="56"/>
      <c r="L3518" s="58" t="str">
        <f t="shared" si="7"/>
        <v/>
      </c>
      <c r="M3518" s="49"/>
      <c r="N3518" s="49"/>
      <c r="O3518" s="49"/>
      <c r="P3518" s="49"/>
      <c r="Q3518" s="49"/>
      <c r="R3518" s="49"/>
      <c r="S3518" s="49"/>
      <c r="T3518" s="49"/>
      <c r="U3518" s="49"/>
      <c r="V3518" s="49"/>
      <c r="W3518" s="56"/>
      <c r="X3518" s="51" t="str">
        <f t="shared" si="5"/>
        <v/>
      </c>
      <c r="Y3518" s="50" t="s">
        <v>482</v>
      </c>
      <c r="Z3518" s="49">
        <f t="shared" si="6"/>
        <v>0</v>
      </c>
    </row>
    <row r="3519" ht="22.5" customHeight="1">
      <c r="B3519" s="57"/>
      <c r="C3519" s="43" t="str">
        <f t="array" ref="C3519">IF(B3519="","",_xlfn.XLOOKUP(B3519,'Form responses 1'!$B$2:$B$2604,'Form responses 1'!$A$2:$A$2604,""))</f>
        <v/>
      </c>
      <c r="D3519" s="44" t="str">
        <f t="shared" si="3"/>
        <v/>
      </c>
      <c r="E3519" s="44" t="str">
        <f t="array" ref="E3519">IF(B3519="","",_xlfn.XLOOKUP(B3519,'Form responses 1'!$B$2:$B$2604,'Form responses 1'!$C$2:$C$2604,""))</f>
        <v/>
      </c>
      <c r="F3519" s="44" t="str">
        <f t="array" ref="F3519">IF(B3519="","",_xlfn.XLOOKUP(B3519,'Form responses 1'!$B$2:$B$2604,'Form responses 1'!$D$2:$D$2604,""))</f>
        <v/>
      </c>
      <c r="G3519" s="44" t="str">
        <f t="array" ref="G3519">IF(B3519="","",_xlfn.XLOOKUP(B3519,'Form responses 1'!$B$2:$B$2604,'Form responses 1'!$E$2:$E$2604,""))</f>
        <v/>
      </c>
      <c r="H3519" s="44" t="str">
        <f t="array" ref="H3519">IF(B3519="","",_xlfn.XLOOKUP(B3519,'Form responses 1'!$B$2:$B$2604,'Form responses 1'!$F$2:$F$2604,""))</f>
        <v/>
      </c>
      <c r="I3519" s="44" t="str">
        <f t="array" ref="I3519">IF(B3519="","",_xlfn.XLOOKUP(B3519,'Form responses 1'!$B$2:$B$2604,'Form responses 1'!$I$2:$I$2604,""))</f>
        <v/>
      </c>
      <c r="J3519" s="44" t="str">
        <f t="array" ref="J3519">IF(B3519="","",_xlfn.XLOOKUP(B3519,'Form responses 1'!$B$2:$B$2604,'Form responses 1'!$G$2:$G$2604,""))</f>
        <v/>
      </c>
      <c r="K3519" s="56"/>
      <c r="L3519" s="58" t="str">
        <f t="shared" si="7"/>
        <v/>
      </c>
      <c r="M3519" s="49"/>
      <c r="N3519" s="49"/>
      <c r="O3519" s="49"/>
      <c r="P3519" s="49"/>
      <c r="Q3519" s="49"/>
      <c r="R3519" s="49"/>
      <c r="S3519" s="49"/>
      <c r="T3519" s="49"/>
      <c r="U3519" s="49"/>
      <c r="V3519" s="49"/>
      <c r="W3519" s="56"/>
      <c r="X3519" s="51" t="str">
        <f t="shared" si="5"/>
        <v/>
      </c>
      <c r="Y3519" s="50" t="s">
        <v>482</v>
      </c>
      <c r="Z3519" s="49">
        <f t="shared" si="6"/>
        <v>0</v>
      </c>
    </row>
    <row r="3520" ht="22.5" customHeight="1">
      <c r="B3520" s="57"/>
      <c r="C3520" s="43" t="str">
        <f t="array" ref="C3520">IF(B3520="","",_xlfn.XLOOKUP(B3520,'Form responses 1'!$B$2:$B$2604,'Form responses 1'!$A$2:$A$2604,""))</f>
        <v/>
      </c>
      <c r="D3520" s="44" t="str">
        <f t="shared" si="3"/>
        <v/>
      </c>
      <c r="E3520" s="44" t="str">
        <f t="array" ref="E3520">IF(B3520="","",_xlfn.XLOOKUP(B3520,'Form responses 1'!$B$2:$B$2604,'Form responses 1'!$C$2:$C$2604,""))</f>
        <v/>
      </c>
      <c r="F3520" s="44" t="str">
        <f t="array" ref="F3520">IF(B3520="","",_xlfn.XLOOKUP(B3520,'Form responses 1'!$B$2:$B$2604,'Form responses 1'!$D$2:$D$2604,""))</f>
        <v/>
      </c>
      <c r="G3520" s="44" t="str">
        <f t="array" ref="G3520">IF(B3520="","",_xlfn.XLOOKUP(B3520,'Form responses 1'!$B$2:$B$2604,'Form responses 1'!$E$2:$E$2604,""))</f>
        <v/>
      </c>
      <c r="H3520" s="44" t="str">
        <f t="array" ref="H3520">IF(B3520="","",_xlfn.XLOOKUP(B3520,'Form responses 1'!$B$2:$B$2604,'Form responses 1'!$F$2:$F$2604,""))</f>
        <v/>
      </c>
      <c r="I3520" s="44" t="str">
        <f t="array" ref="I3520">IF(B3520="","",_xlfn.XLOOKUP(B3520,'Form responses 1'!$B$2:$B$2604,'Form responses 1'!$I$2:$I$2604,""))</f>
        <v/>
      </c>
      <c r="J3520" s="44" t="str">
        <f t="array" ref="J3520">IF(B3520="","",_xlfn.XLOOKUP(B3520,'Form responses 1'!$B$2:$B$2604,'Form responses 1'!$G$2:$G$2604,""))</f>
        <v/>
      </c>
      <c r="K3520" s="56"/>
      <c r="L3520" s="58" t="str">
        <f t="shared" si="7"/>
        <v/>
      </c>
      <c r="M3520" s="49"/>
      <c r="N3520" s="49"/>
      <c r="O3520" s="49"/>
      <c r="P3520" s="49"/>
      <c r="Q3520" s="49"/>
      <c r="R3520" s="49"/>
      <c r="S3520" s="49"/>
      <c r="T3520" s="49"/>
      <c r="U3520" s="49"/>
      <c r="V3520" s="49"/>
      <c r="W3520" s="56"/>
      <c r="X3520" s="51" t="str">
        <f t="shared" si="5"/>
        <v/>
      </c>
      <c r="Y3520" s="50" t="s">
        <v>482</v>
      </c>
      <c r="Z3520" s="49">
        <f t="shared" si="6"/>
        <v>0</v>
      </c>
    </row>
    <row r="3521" ht="22.5" customHeight="1">
      <c r="B3521" s="57"/>
      <c r="C3521" s="43" t="str">
        <f t="array" ref="C3521">IF(B3521="","",_xlfn.XLOOKUP(B3521,'Form responses 1'!$B$2:$B$2604,'Form responses 1'!$A$2:$A$2604,""))</f>
        <v/>
      </c>
      <c r="D3521" s="44" t="str">
        <f t="shared" si="3"/>
        <v/>
      </c>
      <c r="E3521" s="44" t="str">
        <f t="array" ref="E3521">IF(B3521="","",_xlfn.XLOOKUP(B3521,'Form responses 1'!$B$2:$B$2604,'Form responses 1'!$C$2:$C$2604,""))</f>
        <v/>
      </c>
      <c r="F3521" s="44" t="str">
        <f t="array" ref="F3521">IF(B3521="","",_xlfn.XLOOKUP(B3521,'Form responses 1'!$B$2:$B$2604,'Form responses 1'!$D$2:$D$2604,""))</f>
        <v/>
      </c>
      <c r="G3521" s="44" t="str">
        <f t="array" ref="G3521">IF(B3521="","",_xlfn.XLOOKUP(B3521,'Form responses 1'!$B$2:$B$2604,'Form responses 1'!$E$2:$E$2604,""))</f>
        <v/>
      </c>
      <c r="H3521" s="44" t="str">
        <f t="array" ref="H3521">IF(B3521="","",_xlfn.XLOOKUP(B3521,'Form responses 1'!$B$2:$B$2604,'Form responses 1'!$F$2:$F$2604,""))</f>
        <v/>
      </c>
      <c r="I3521" s="44" t="str">
        <f t="array" ref="I3521">IF(B3521="","",_xlfn.XLOOKUP(B3521,'Form responses 1'!$B$2:$B$2604,'Form responses 1'!$I$2:$I$2604,""))</f>
        <v/>
      </c>
      <c r="J3521" s="44" t="str">
        <f t="array" ref="J3521">IF(B3521="","",_xlfn.XLOOKUP(B3521,'Form responses 1'!$B$2:$B$2604,'Form responses 1'!$G$2:$G$2604,""))</f>
        <v/>
      </c>
      <c r="K3521" s="56"/>
      <c r="L3521" s="58" t="str">
        <f t="shared" si="7"/>
        <v/>
      </c>
      <c r="M3521" s="49"/>
      <c r="N3521" s="49"/>
      <c r="O3521" s="49"/>
      <c r="P3521" s="49"/>
      <c r="Q3521" s="49"/>
      <c r="R3521" s="49"/>
      <c r="S3521" s="49"/>
      <c r="T3521" s="49"/>
      <c r="U3521" s="49"/>
      <c r="V3521" s="49"/>
      <c r="W3521" s="56"/>
      <c r="X3521" s="51" t="str">
        <f t="shared" si="5"/>
        <v/>
      </c>
      <c r="Y3521" s="50" t="s">
        <v>482</v>
      </c>
      <c r="Z3521" s="49">
        <f t="shared" si="6"/>
        <v>0</v>
      </c>
    </row>
    <row r="3522" ht="22.5" customHeight="1">
      <c r="B3522" s="57"/>
      <c r="C3522" s="43" t="str">
        <f t="array" ref="C3522">IF(B3522="","",_xlfn.XLOOKUP(B3522,'Form responses 1'!$B$2:$B$2604,'Form responses 1'!$A$2:$A$2604,""))</f>
        <v/>
      </c>
      <c r="D3522" s="44" t="str">
        <f t="shared" si="3"/>
        <v/>
      </c>
      <c r="E3522" s="44" t="str">
        <f t="array" ref="E3522">IF(B3522="","",_xlfn.XLOOKUP(B3522,'Form responses 1'!$B$2:$B$2604,'Form responses 1'!$C$2:$C$2604,""))</f>
        <v/>
      </c>
      <c r="F3522" s="44" t="str">
        <f t="array" ref="F3522">IF(B3522="","",_xlfn.XLOOKUP(B3522,'Form responses 1'!$B$2:$B$2604,'Form responses 1'!$D$2:$D$2604,""))</f>
        <v/>
      </c>
      <c r="G3522" s="44" t="str">
        <f t="array" ref="G3522">IF(B3522="","",_xlfn.XLOOKUP(B3522,'Form responses 1'!$B$2:$B$2604,'Form responses 1'!$E$2:$E$2604,""))</f>
        <v/>
      </c>
      <c r="H3522" s="44" t="str">
        <f t="array" ref="H3522">IF(B3522="","",_xlfn.XLOOKUP(B3522,'Form responses 1'!$B$2:$B$2604,'Form responses 1'!$F$2:$F$2604,""))</f>
        <v/>
      </c>
      <c r="I3522" s="44" t="str">
        <f t="array" ref="I3522">IF(B3522="","",_xlfn.XLOOKUP(B3522,'Form responses 1'!$B$2:$B$2604,'Form responses 1'!$I$2:$I$2604,""))</f>
        <v/>
      </c>
      <c r="J3522" s="44" t="str">
        <f t="array" ref="J3522">IF(B3522="","",_xlfn.XLOOKUP(B3522,'Form responses 1'!$B$2:$B$2604,'Form responses 1'!$G$2:$G$2604,""))</f>
        <v/>
      </c>
      <c r="K3522" s="56"/>
      <c r="L3522" s="58" t="str">
        <f t="shared" si="7"/>
        <v/>
      </c>
      <c r="M3522" s="49"/>
      <c r="N3522" s="49"/>
      <c r="O3522" s="49"/>
      <c r="P3522" s="49"/>
      <c r="Q3522" s="49"/>
      <c r="R3522" s="49"/>
      <c r="S3522" s="49"/>
      <c r="T3522" s="49"/>
      <c r="U3522" s="49"/>
      <c r="V3522" s="49"/>
      <c r="W3522" s="56"/>
      <c r="X3522" s="51" t="str">
        <f t="shared" si="5"/>
        <v/>
      </c>
      <c r="Y3522" s="50" t="s">
        <v>482</v>
      </c>
      <c r="Z3522" s="49">
        <f t="shared" si="6"/>
        <v>0</v>
      </c>
    </row>
    <row r="3523" ht="22.5" customHeight="1">
      <c r="B3523" s="57"/>
      <c r="C3523" s="43" t="str">
        <f t="array" ref="C3523">IF(B3523="","",_xlfn.XLOOKUP(B3523,'Form responses 1'!$B$2:$B$2604,'Form responses 1'!$A$2:$A$2604,""))</f>
        <v/>
      </c>
      <c r="D3523" s="44" t="str">
        <f t="shared" si="3"/>
        <v/>
      </c>
      <c r="E3523" s="44" t="str">
        <f t="array" ref="E3523">IF(B3523="","",_xlfn.XLOOKUP(B3523,'Form responses 1'!$B$2:$B$2604,'Form responses 1'!$C$2:$C$2604,""))</f>
        <v/>
      </c>
      <c r="F3523" s="44" t="str">
        <f t="array" ref="F3523">IF(B3523="","",_xlfn.XLOOKUP(B3523,'Form responses 1'!$B$2:$B$2604,'Form responses 1'!$D$2:$D$2604,""))</f>
        <v/>
      </c>
      <c r="G3523" s="44" t="str">
        <f t="array" ref="G3523">IF(B3523="","",_xlfn.XLOOKUP(B3523,'Form responses 1'!$B$2:$B$2604,'Form responses 1'!$E$2:$E$2604,""))</f>
        <v/>
      </c>
      <c r="H3523" s="44" t="str">
        <f t="array" ref="H3523">IF(B3523="","",_xlfn.XLOOKUP(B3523,'Form responses 1'!$B$2:$B$2604,'Form responses 1'!$F$2:$F$2604,""))</f>
        <v/>
      </c>
      <c r="I3523" s="44" t="str">
        <f t="array" ref="I3523">IF(B3523="","",_xlfn.XLOOKUP(B3523,'Form responses 1'!$B$2:$B$2604,'Form responses 1'!$I$2:$I$2604,""))</f>
        <v/>
      </c>
      <c r="J3523" s="44" t="str">
        <f t="array" ref="J3523">IF(B3523="","",_xlfn.XLOOKUP(B3523,'Form responses 1'!$B$2:$B$2604,'Form responses 1'!$G$2:$G$2604,""))</f>
        <v/>
      </c>
      <c r="K3523" s="56"/>
      <c r="L3523" s="58" t="str">
        <f t="shared" si="7"/>
        <v/>
      </c>
      <c r="M3523" s="49"/>
      <c r="N3523" s="49"/>
      <c r="O3523" s="49"/>
      <c r="P3523" s="49"/>
      <c r="Q3523" s="49"/>
      <c r="R3523" s="49"/>
      <c r="S3523" s="49"/>
      <c r="T3523" s="49"/>
      <c r="U3523" s="49"/>
      <c r="V3523" s="49"/>
      <c r="W3523" s="56"/>
      <c r="X3523" s="51" t="str">
        <f t="shared" si="5"/>
        <v/>
      </c>
      <c r="Y3523" s="50" t="s">
        <v>482</v>
      </c>
      <c r="Z3523" s="49">
        <f t="shared" si="6"/>
        <v>0</v>
      </c>
    </row>
    <row r="3524" ht="22.5" customHeight="1">
      <c r="B3524" s="57"/>
      <c r="C3524" s="43" t="str">
        <f t="array" ref="C3524">IF(B3524="","",_xlfn.XLOOKUP(B3524,'Form responses 1'!$B$2:$B$2604,'Form responses 1'!$A$2:$A$2604,""))</f>
        <v/>
      </c>
      <c r="D3524" s="44" t="str">
        <f t="shared" si="3"/>
        <v/>
      </c>
      <c r="E3524" s="44" t="str">
        <f t="array" ref="E3524">IF(B3524="","",_xlfn.XLOOKUP(B3524,'Form responses 1'!$B$2:$B$2604,'Form responses 1'!$C$2:$C$2604,""))</f>
        <v/>
      </c>
      <c r="F3524" s="44" t="str">
        <f t="array" ref="F3524">IF(B3524="","",_xlfn.XLOOKUP(B3524,'Form responses 1'!$B$2:$B$2604,'Form responses 1'!$D$2:$D$2604,""))</f>
        <v/>
      </c>
      <c r="G3524" s="44" t="str">
        <f t="array" ref="G3524">IF(B3524="","",_xlfn.XLOOKUP(B3524,'Form responses 1'!$B$2:$B$2604,'Form responses 1'!$E$2:$E$2604,""))</f>
        <v/>
      </c>
      <c r="H3524" s="44" t="str">
        <f t="array" ref="H3524">IF(B3524="","",_xlfn.XLOOKUP(B3524,'Form responses 1'!$B$2:$B$2604,'Form responses 1'!$F$2:$F$2604,""))</f>
        <v/>
      </c>
      <c r="I3524" s="44" t="str">
        <f t="array" ref="I3524">IF(B3524="","",_xlfn.XLOOKUP(B3524,'Form responses 1'!$B$2:$B$2604,'Form responses 1'!$I$2:$I$2604,""))</f>
        <v/>
      </c>
      <c r="J3524" s="44" t="str">
        <f t="array" ref="J3524">IF(B3524="","",_xlfn.XLOOKUP(B3524,'Form responses 1'!$B$2:$B$2604,'Form responses 1'!$G$2:$G$2604,""))</f>
        <v/>
      </c>
      <c r="K3524" s="56"/>
      <c r="L3524" s="58" t="str">
        <f t="shared" si="7"/>
        <v/>
      </c>
      <c r="M3524" s="49"/>
      <c r="N3524" s="49"/>
      <c r="O3524" s="49"/>
      <c r="P3524" s="49"/>
      <c r="Q3524" s="49"/>
      <c r="R3524" s="49"/>
      <c r="S3524" s="49"/>
      <c r="T3524" s="49"/>
      <c r="U3524" s="49"/>
      <c r="V3524" s="49"/>
      <c r="W3524" s="56"/>
      <c r="X3524" s="51" t="str">
        <f t="shared" si="5"/>
        <v/>
      </c>
      <c r="Y3524" s="50" t="s">
        <v>482</v>
      </c>
      <c r="Z3524" s="49">
        <f t="shared" si="6"/>
        <v>0</v>
      </c>
    </row>
    <row r="3525" ht="22.5" customHeight="1">
      <c r="B3525" s="57"/>
      <c r="C3525" s="43" t="str">
        <f t="array" ref="C3525">IF(B3525="","",_xlfn.XLOOKUP(B3525,'Form responses 1'!$B$2:$B$2604,'Form responses 1'!$A$2:$A$2604,""))</f>
        <v/>
      </c>
      <c r="D3525" s="44" t="str">
        <f t="shared" si="3"/>
        <v/>
      </c>
      <c r="E3525" s="44" t="str">
        <f t="array" ref="E3525">IF(B3525="","",_xlfn.XLOOKUP(B3525,'Form responses 1'!$B$2:$B$2604,'Form responses 1'!$C$2:$C$2604,""))</f>
        <v/>
      </c>
      <c r="F3525" s="44" t="str">
        <f t="array" ref="F3525">IF(B3525="","",_xlfn.XLOOKUP(B3525,'Form responses 1'!$B$2:$B$2604,'Form responses 1'!$D$2:$D$2604,""))</f>
        <v/>
      </c>
      <c r="G3525" s="44" t="str">
        <f t="array" ref="G3525">IF(B3525="","",_xlfn.XLOOKUP(B3525,'Form responses 1'!$B$2:$B$2604,'Form responses 1'!$E$2:$E$2604,""))</f>
        <v/>
      </c>
      <c r="H3525" s="44" t="str">
        <f t="array" ref="H3525">IF(B3525="","",_xlfn.XLOOKUP(B3525,'Form responses 1'!$B$2:$B$2604,'Form responses 1'!$F$2:$F$2604,""))</f>
        <v/>
      </c>
      <c r="I3525" s="44" t="str">
        <f t="array" ref="I3525">IF(B3525="","",_xlfn.XLOOKUP(B3525,'Form responses 1'!$B$2:$B$2604,'Form responses 1'!$I$2:$I$2604,""))</f>
        <v/>
      </c>
      <c r="J3525" s="44" t="str">
        <f t="array" ref="J3525">IF(B3525="","",_xlfn.XLOOKUP(B3525,'Form responses 1'!$B$2:$B$2604,'Form responses 1'!$G$2:$G$2604,""))</f>
        <v/>
      </c>
      <c r="K3525" s="56"/>
      <c r="L3525" s="58" t="str">
        <f t="shared" si="7"/>
        <v/>
      </c>
      <c r="M3525" s="49"/>
      <c r="N3525" s="49"/>
      <c r="O3525" s="49"/>
      <c r="P3525" s="49"/>
      <c r="Q3525" s="49"/>
      <c r="R3525" s="49"/>
      <c r="S3525" s="49"/>
      <c r="T3525" s="49"/>
      <c r="U3525" s="49"/>
      <c r="V3525" s="49"/>
      <c r="W3525" s="56"/>
      <c r="X3525" s="51" t="str">
        <f t="shared" si="5"/>
        <v/>
      </c>
      <c r="Y3525" s="50" t="s">
        <v>482</v>
      </c>
      <c r="Z3525" s="49">
        <f t="shared" si="6"/>
        <v>0</v>
      </c>
    </row>
    <row r="3526" ht="22.5" customHeight="1">
      <c r="B3526" s="57"/>
      <c r="C3526" s="43" t="str">
        <f t="array" ref="C3526">IF(B3526="","",_xlfn.XLOOKUP(B3526,'Form responses 1'!$B$2:$B$2604,'Form responses 1'!$A$2:$A$2604,""))</f>
        <v/>
      </c>
      <c r="D3526" s="44" t="str">
        <f t="shared" si="3"/>
        <v/>
      </c>
      <c r="E3526" s="44" t="str">
        <f t="array" ref="E3526">IF(B3526="","",_xlfn.XLOOKUP(B3526,'Form responses 1'!$B$2:$B$2604,'Form responses 1'!$C$2:$C$2604,""))</f>
        <v/>
      </c>
      <c r="F3526" s="44" t="str">
        <f t="array" ref="F3526">IF(B3526="","",_xlfn.XLOOKUP(B3526,'Form responses 1'!$B$2:$B$2604,'Form responses 1'!$D$2:$D$2604,""))</f>
        <v/>
      </c>
      <c r="G3526" s="44" t="str">
        <f t="array" ref="G3526">IF(B3526="","",_xlfn.XLOOKUP(B3526,'Form responses 1'!$B$2:$B$2604,'Form responses 1'!$E$2:$E$2604,""))</f>
        <v/>
      </c>
      <c r="H3526" s="44" t="str">
        <f t="array" ref="H3526">IF(B3526="","",_xlfn.XLOOKUP(B3526,'Form responses 1'!$B$2:$B$2604,'Form responses 1'!$F$2:$F$2604,""))</f>
        <v/>
      </c>
      <c r="I3526" s="44" t="str">
        <f t="array" ref="I3526">IF(B3526="","",_xlfn.XLOOKUP(B3526,'Form responses 1'!$B$2:$B$2604,'Form responses 1'!$I$2:$I$2604,""))</f>
        <v/>
      </c>
      <c r="J3526" s="44" t="str">
        <f t="array" ref="J3526">IF(B3526="","",_xlfn.XLOOKUP(B3526,'Form responses 1'!$B$2:$B$2604,'Form responses 1'!$G$2:$G$2604,""))</f>
        <v/>
      </c>
      <c r="K3526" s="56"/>
      <c r="L3526" s="58" t="str">
        <f t="shared" si="7"/>
        <v/>
      </c>
      <c r="M3526" s="49"/>
      <c r="N3526" s="49"/>
      <c r="O3526" s="49"/>
      <c r="P3526" s="49"/>
      <c r="Q3526" s="49"/>
      <c r="R3526" s="49"/>
      <c r="S3526" s="49"/>
      <c r="T3526" s="49"/>
      <c r="U3526" s="49"/>
      <c r="V3526" s="49"/>
      <c r="W3526" s="56"/>
      <c r="X3526" s="51" t="str">
        <f t="shared" si="5"/>
        <v/>
      </c>
      <c r="Y3526" s="50" t="s">
        <v>482</v>
      </c>
      <c r="Z3526" s="49">
        <f t="shared" si="6"/>
        <v>0</v>
      </c>
    </row>
    <row r="3527" ht="22.5" customHeight="1">
      <c r="B3527" s="57"/>
      <c r="C3527" s="43" t="str">
        <f t="array" ref="C3527">IF(B3527="","",_xlfn.XLOOKUP(B3527,'Form responses 1'!$B$2:$B$2604,'Form responses 1'!$A$2:$A$2604,""))</f>
        <v/>
      </c>
      <c r="D3527" s="44" t="str">
        <f t="shared" si="3"/>
        <v/>
      </c>
      <c r="E3527" s="44" t="str">
        <f t="array" ref="E3527">IF(B3527="","",_xlfn.XLOOKUP(B3527,'Form responses 1'!$B$2:$B$2604,'Form responses 1'!$C$2:$C$2604,""))</f>
        <v/>
      </c>
      <c r="F3527" s="44" t="str">
        <f t="array" ref="F3527">IF(B3527="","",_xlfn.XLOOKUP(B3527,'Form responses 1'!$B$2:$B$2604,'Form responses 1'!$D$2:$D$2604,""))</f>
        <v/>
      </c>
      <c r="G3527" s="44" t="str">
        <f t="array" ref="G3527">IF(B3527="","",_xlfn.XLOOKUP(B3527,'Form responses 1'!$B$2:$B$2604,'Form responses 1'!$E$2:$E$2604,""))</f>
        <v/>
      </c>
      <c r="H3527" s="44" t="str">
        <f t="array" ref="H3527">IF(B3527="","",_xlfn.XLOOKUP(B3527,'Form responses 1'!$B$2:$B$2604,'Form responses 1'!$F$2:$F$2604,""))</f>
        <v/>
      </c>
      <c r="I3527" s="44" t="str">
        <f t="array" ref="I3527">IF(B3527="","",_xlfn.XLOOKUP(B3527,'Form responses 1'!$B$2:$B$2604,'Form responses 1'!$I$2:$I$2604,""))</f>
        <v/>
      </c>
      <c r="J3527" s="44" t="str">
        <f t="array" ref="J3527">IF(B3527="","",_xlfn.XLOOKUP(B3527,'Form responses 1'!$B$2:$B$2604,'Form responses 1'!$G$2:$G$2604,""))</f>
        <v/>
      </c>
      <c r="K3527" s="56"/>
      <c r="L3527" s="58" t="str">
        <f t="shared" si="7"/>
        <v/>
      </c>
      <c r="M3527" s="49"/>
      <c r="N3527" s="49"/>
      <c r="O3527" s="49"/>
      <c r="P3527" s="49"/>
      <c r="Q3527" s="49"/>
      <c r="R3527" s="49"/>
      <c r="S3527" s="49"/>
      <c r="T3527" s="49"/>
      <c r="U3527" s="49"/>
      <c r="V3527" s="49"/>
      <c r="W3527" s="56"/>
      <c r="X3527" s="51" t="str">
        <f t="shared" si="5"/>
        <v/>
      </c>
      <c r="Y3527" s="50" t="s">
        <v>482</v>
      </c>
      <c r="Z3527" s="49">
        <f t="shared" si="6"/>
        <v>0</v>
      </c>
    </row>
    <row r="3528" ht="22.5" customHeight="1">
      <c r="B3528" s="57"/>
      <c r="C3528" s="43" t="str">
        <f t="array" ref="C3528">IF(B3528="","",_xlfn.XLOOKUP(B3528,'Form responses 1'!$B$2:$B$2604,'Form responses 1'!$A$2:$A$2604,""))</f>
        <v/>
      </c>
      <c r="D3528" s="44" t="str">
        <f t="shared" si="3"/>
        <v/>
      </c>
      <c r="E3528" s="44" t="str">
        <f t="array" ref="E3528">IF(B3528="","",_xlfn.XLOOKUP(B3528,'Form responses 1'!$B$2:$B$2604,'Form responses 1'!$C$2:$C$2604,""))</f>
        <v/>
      </c>
      <c r="F3528" s="44" t="str">
        <f t="array" ref="F3528">IF(B3528="","",_xlfn.XLOOKUP(B3528,'Form responses 1'!$B$2:$B$2604,'Form responses 1'!$D$2:$D$2604,""))</f>
        <v/>
      </c>
      <c r="G3528" s="44" t="str">
        <f t="array" ref="G3528">IF(B3528="","",_xlfn.XLOOKUP(B3528,'Form responses 1'!$B$2:$B$2604,'Form responses 1'!$E$2:$E$2604,""))</f>
        <v/>
      </c>
      <c r="H3528" s="44" t="str">
        <f t="array" ref="H3528">IF(B3528="","",_xlfn.XLOOKUP(B3528,'Form responses 1'!$B$2:$B$2604,'Form responses 1'!$F$2:$F$2604,""))</f>
        <v/>
      </c>
      <c r="I3528" s="44" t="str">
        <f t="array" ref="I3528">IF(B3528="","",_xlfn.XLOOKUP(B3528,'Form responses 1'!$B$2:$B$2604,'Form responses 1'!$I$2:$I$2604,""))</f>
        <v/>
      </c>
      <c r="J3528" s="44" t="str">
        <f t="array" ref="J3528">IF(B3528="","",_xlfn.XLOOKUP(B3528,'Form responses 1'!$B$2:$B$2604,'Form responses 1'!$G$2:$G$2604,""))</f>
        <v/>
      </c>
      <c r="K3528" s="56"/>
      <c r="L3528" s="58" t="str">
        <f t="shared" si="7"/>
        <v/>
      </c>
      <c r="M3528" s="49"/>
      <c r="N3528" s="49"/>
      <c r="O3528" s="49"/>
      <c r="P3528" s="49"/>
      <c r="Q3528" s="49"/>
      <c r="R3528" s="49"/>
      <c r="S3528" s="49"/>
      <c r="T3528" s="49"/>
      <c r="U3528" s="49"/>
      <c r="V3528" s="49"/>
      <c r="W3528" s="56"/>
      <c r="X3528" s="51" t="str">
        <f t="shared" si="5"/>
        <v/>
      </c>
      <c r="Y3528" s="50" t="s">
        <v>482</v>
      </c>
      <c r="Z3528" s="49">
        <f t="shared" si="6"/>
        <v>0</v>
      </c>
    </row>
    <row r="3529" ht="22.5" customHeight="1">
      <c r="B3529" s="57"/>
      <c r="C3529" s="43" t="str">
        <f t="array" ref="C3529">IF(B3529="","",_xlfn.XLOOKUP(B3529,'Form responses 1'!$B$2:$B$2604,'Form responses 1'!$A$2:$A$2604,""))</f>
        <v/>
      </c>
      <c r="D3529" s="44" t="str">
        <f t="shared" si="3"/>
        <v/>
      </c>
      <c r="E3529" s="44" t="str">
        <f t="array" ref="E3529">IF(B3529="","",_xlfn.XLOOKUP(B3529,'Form responses 1'!$B$2:$B$2604,'Form responses 1'!$C$2:$C$2604,""))</f>
        <v/>
      </c>
      <c r="F3529" s="44" t="str">
        <f t="array" ref="F3529">IF(B3529="","",_xlfn.XLOOKUP(B3529,'Form responses 1'!$B$2:$B$2604,'Form responses 1'!$D$2:$D$2604,""))</f>
        <v/>
      </c>
      <c r="G3529" s="44" t="str">
        <f t="array" ref="G3529">IF(B3529="","",_xlfn.XLOOKUP(B3529,'Form responses 1'!$B$2:$B$2604,'Form responses 1'!$E$2:$E$2604,""))</f>
        <v/>
      </c>
      <c r="H3529" s="44" t="str">
        <f t="array" ref="H3529">IF(B3529="","",_xlfn.XLOOKUP(B3529,'Form responses 1'!$B$2:$B$2604,'Form responses 1'!$F$2:$F$2604,""))</f>
        <v/>
      </c>
      <c r="I3529" s="44" t="str">
        <f t="array" ref="I3529">IF(B3529="","",_xlfn.XLOOKUP(B3529,'Form responses 1'!$B$2:$B$2604,'Form responses 1'!$I$2:$I$2604,""))</f>
        <v/>
      </c>
      <c r="J3529" s="44" t="str">
        <f t="array" ref="J3529">IF(B3529="","",_xlfn.XLOOKUP(B3529,'Form responses 1'!$B$2:$B$2604,'Form responses 1'!$G$2:$G$2604,""))</f>
        <v/>
      </c>
      <c r="K3529" s="56"/>
      <c r="L3529" s="58" t="str">
        <f t="shared" si="7"/>
        <v/>
      </c>
      <c r="M3529" s="49"/>
      <c r="N3529" s="49"/>
      <c r="O3529" s="49"/>
      <c r="P3529" s="49"/>
      <c r="Q3529" s="49"/>
      <c r="R3529" s="49"/>
      <c r="S3529" s="49"/>
      <c r="T3529" s="49"/>
      <c r="U3529" s="49"/>
      <c r="V3529" s="49"/>
      <c r="W3529" s="56"/>
      <c r="X3529" s="51" t="str">
        <f t="shared" si="5"/>
        <v/>
      </c>
      <c r="Y3529" s="50" t="s">
        <v>482</v>
      </c>
      <c r="Z3529" s="49">
        <f t="shared" si="6"/>
        <v>0</v>
      </c>
    </row>
    <row r="3530" ht="22.5" customHeight="1">
      <c r="B3530" s="57"/>
      <c r="C3530" s="43" t="str">
        <f t="array" ref="C3530">IF(B3530="","",_xlfn.XLOOKUP(B3530,'Form responses 1'!$B$2:$B$2604,'Form responses 1'!$A$2:$A$2604,""))</f>
        <v/>
      </c>
      <c r="D3530" s="44" t="str">
        <f t="shared" si="3"/>
        <v/>
      </c>
      <c r="E3530" s="44" t="str">
        <f t="array" ref="E3530">IF(B3530="","",_xlfn.XLOOKUP(B3530,'Form responses 1'!$B$2:$B$2604,'Form responses 1'!$C$2:$C$2604,""))</f>
        <v/>
      </c>
      <c r="F3530" s="44" t="str">
        <f t="array" ref="F3530">IF(B3530="","",_xlfn.XLOOKUP(B3530,'Form responses 1'!$B$2:$B$2604,'Form responses 1'!$D$2:$D$2604,""))</f>
        <v/>
      </c>
      <c r="G3530" s="44" t="str">
        <f t="array" ref="G3530">IF(B3530="","",_xlfn.XLOOKUP(B3530,'Form responses 1'!$B$2:$B$2604,'Form responses 1'!$E$2:$E$2604,""))</f>
        <v/>
      </c>
      <c r="H3530" s="44" t="str">
        <f t="array" ref="H3530">IF(B3530="","",_xlfn.XLOOKUP(B3530,'Form responses 1'!$B$2:$B$2604,'Form responses 1'!$F$2:$F$2604,""))</f>
        <v/>
      </c>
      <c r="I3530" s="44" t="str">
        <f t="array" ref="I3530">IF(B3530="","",_xlfn.XLOOKUP(B3530,'Form responses 1'!$B$2:$B$2604,'Form responses 1'!$I$2:$I$2604,""))</f>
        <v/>
      </c>
      <c r="J3530" s="44" t="str">
        <f t="array" ref="J3530">IF(B3530="","",_xlfn.XLOOKUP(B3530,'Form responses 1'!$B$2:$B$2604,'Form responses 1'!$G$2:$G$2604,""))</f>
        <v/>
      </c>
      <c r="K3530" s="56"/>
      <c r="L3530" s="58" t="str">
        <f t="shared" si="7"/>
        <v/>
      </c>
      <c r="M3530" s="49"/>
      <c r="N3530" s="49"/>
      <c r="O3530" s="49"/>
      <c r="P3530" s="49"/>
      <c r="Q3530" s="49"/>
      <c r="R3530" s="49"/>
      <c r="S3530" s="49"/>
      <c r="T3530" s="49"/>
      <c r="U3530" s="49"/>
      <c r="V3530" s="49"/>
      <c r="W3530" s="56"/>
      <c r="X3530" s="51" t="str">
        <f t="shared" si="5"/>
        <v/>
      </c>
      <c r="Y3530" s="50" t="s">
        <v>482</v>
      </c>
      <c r="Z3530" s="49">
        <f t="shared" si="6"/>
        <v>0</v>
      </c>
    </row>
    <row r="3531" ht="22.5" customHeight="1">
      <c r="B3531" s="57"/>
      <c r="C3531" s="43" t="str">
        <f t="array" ref="C3531">IF(B3531="","",_xlfn.XLOOKUP(B3531,'Form responses 1'!$B$2:$B$2604,'Form responses 1'!$A$2:$A$2604,""))</f>
        <v/>
      </c>
      <c r="D3531" s="44" t="str">
        <f t="shared" si="3"/>
        <v/>
      </c>
      <c r="E3531" s="44" t="str">
        <f t="array" ref="E3531">IF(B3531="","",_xlfn.XLOOKUP(B3531,'Form responses 1'!$B$2:$B$2604,'Form responses 1'!$C$2:$C$2604,""))</f>
        <v/>
      </c>
      <c r="F3531" s="44" t="str">
        <f t="array" ref="F3531">IF(B3531="","",_xlfn.XLOOKUP(B3531,'Form responses 1'!$B$2:$B$2604,'Form responses 1'!$D$2:$D$2604,""))</f>
        <v/>
      </c>
      <c r="G3531" s="44" t="str">
        <f t="array" ref="G3531">IF(B3531="","",_xlfn.XLOOKUP(B3531,'Form responses 1'!$B$2:$B$2604,'Form responses 1'!$E$2:$E$2604,""))</f>
        <v/>
      </c>
      <c r="H3531" s="44" t="str">
        <f t="array" ref="H3531">IF(B3531="","",_xlfn.XLOOKUP(B3531,'Form responses 1'!$B$2:$B$2604,'Form responses 1'!$F$2:$F$2604,""))</f>
        <v/>
      </c>
      <c r="I3531" s="44" t="str">
        <f t="array" ref="I3531">IF(B3531="","",_xlfn.XLOOKUP(B3531,'Form responses 1'!$B$2:$B$2604,'Form responses 1'!$I$2:$I$2604,""))</f>
        <v/>
      </c>
      <c r="J3531" s="44" t="str">
        <f t="array" ref="J3531">IF(B3531="","",_xlfn.XLOOKUP(B3531,'Form responses 1'!$B$2:$B$2604,'Form responses 1'!$G$2:$G$2604,""))</f>
        <v/>
      </c>
      <c r="K3531" s="56"/>
      <c r="L3531" s="58" t="str">
        <f t="shared" si="7"/>
        <v/>
      </c>
      <c r="M3531" s="49"/>
      <c r="N3531" s="49"/>
      <c r="O3531" s="49"/>
      <c r="P3531" s="49"/>
      <c r="Q3531" s="49"/>
      <c r="R3531" s="49"/>
      <c r="S3531" s="49"/>
      <c r="T3531" s="49"/>
      <c r="U3531" s="49"/>
      <c r="V3531" s="49"/>
      <c r="W3531" s="56"/>
      <c r="X3531" s="51" t="str">
        <f t="shared" si="5"/>
        <v/>
      </c>
      <c r="Y3531" s="50" t="s">
        <v>482</v>
      </c>
      <c r="Z3531" s="49">
        <f t="shared" si="6"/>
        <v>0</v>
      </c>
    </row>
    <row r="3532" ht="22.5" customHeight="1">
      <c r="B3532" s="57"/>
      <c r="C3532" s="43" t="str">
        <f t="array" ref="C3532">IF(B3532="","",_xlfn.XLOOKUP(B3532,'Form responses 1'!$B$2:$B$2604,'Form responses 1'!$A$2:$A$2604,""))</f>
        <v/>
      </c>
      <c r="D3532" s="44" t="str">
        <f t="shared" si="3"/>
        <v/>
      </c>
      <c r="E3532" s="44" t="str">
        <f t="array" ref="E3532">IF(B3532="","",_xlfn.XLOOKUP(B3532,'Form responses 1'!$B$2:$B$2604,'Form responses 1'!$C$2:$C$2604,""))</f>
        <v/>
      </c>
      <c r="F3532" s="44" t="str">
        <f t="array" ref="F3532">IF(B3532="","",_xlfn.XLOOKUP(B3532,'Form responses 1'!$B$2:$B$2604,'Form responses 1'!$D$2:$D$2604,""))</f>
        <v/>
      </c>
      <c r="G3532" s="44" t="str">
        <f t="array" ref="G3532">IF(B3532="","",_xlfn.XLOOKUP(B3532,'Form responses 1'!$B$2:$B$2604,'Form responses 1'!$E$2:$E$2604,""))</f>
        <v/>
      </c>
      <c r="H3532" s="44" t="str">
        <f t="array" ref="H3532">IF(B3532="","",_xlfn.XLOOKUP(B3532,'Form responses 1'!$B$2:$B$2604,'Form responses 1'!$F$2:$F$2604,""))</f>
        <v/>
      </c>
      <c r="I3532" s="44" t="str">
        <f t="array" ref="I3532">IF(B3532="","",_xlfn.XLOOKUP(B3532,'Form responses 1'!$B$2:$B$2604,'Form responses 1'!$I$2:$I$2604,""))</f>
        <v/>
      </c>
      <c r="J3532" s="44" t="str">
        <f t="array" ref="J3532">IF(B3532="","",_xlfn.XLOOKUP(B3532,'Form responses 1'!$B$2:$B$2604,'Form responses 1'!$G$2:$G$2604,""))</f>
        <v/>
      </c>
      <c r="K3532" s="56"/>
      <c r="L3532" s="58" t="str">
        <f t="shared" si="7"/>
        <v/>
      </c>
      <c r="M3532" s="49"/>
      <c r="N3532" s="49"/>
      <c r="O3532" s="49"/>
      <c r="P3532" s="49"/>
      <c r="Q3532" s="49"/>
      <c r="R3532" s="49"/>
      <c r="S3532" s="49"/>
      <c r="T3532" s="49"/>
      <c r="U3532" s="49"/>
      <c r="V3532" s="49"/>
      <c r="W3532" s="56"/>
      <c r="X3532" s="51" t="str">
        <f t="shared" si="5"/>
        <v/>
      </c>
      <c r="Y3532" s="50" t="s">
        <v>482</v>
      </c>
      <c r="Z3532" s="49">
        <f t="shared" si="6"/>
        <v>0</v>
      </c>
    </row>
    <row r="3533" ht="22.5" customHeight="1">
      <c r="B3533" s="57"/>
      <c r="C3533" s="43" t="str">
        <f t="array" ref="C3533">IF(B3533="","",_xlfn.XLOOKUP(B3533,'Form responses 1'!$B$2:$B$2604,'Form responses 1'!$A$2:$A$2604,""))</f>
        <v/>
      </c>
      <c r="D3533" s="44" t="str">
        <f t="shared" si="3"/>
        <v/>
      </c>
      <c r="E3533" s="44" t="str">
        <f t="array" ref="E3533">IF(B3533="","",_xlfn.XLOOKUP(B3533,'Form responses 1'!$B$2:$B$2604,'Form responses 1'!$C$2:$C$2604,""))</f>
        <v/>
      </c>
      <c r="F3533" s="44" t="str">
        <f t="array" ref="F3533">IF(B3533="","",_xlfn.XLOOKUP(B3533,'Form responses 1'!$B$2:$B$2604,'Form responses 1'!$D$2:$D$2604,""))</f>
        <v/>
      </c>
      <c r="G3533" s="44" t="str">
        <f t="array" ref="G3533">IF(B3533="","",_xlfn.XLOOKUP(B3533,'Form responses 1'!$B$2:$B$2604,'Form responses 1'!$E$2:$E$2604,""))</f>
        <v/>
      </c>
      <c r="H3533" s="44" t="str">
        <f t="array" ref="H3533">IF(B3533="","",_xlfn.XLOOKUP(B3533,'Form responses 1'!$B$2:$B$2604,'Form responses 1'!$F$2:$F$2604,""))</f>
        <v/>
      </c>
      <c r="I3533" s="44" t="str">
        <f t="array" ref="I3533">IF(B3533="","",_xlfn.XLOOKUP(B3533,'Form responses 1'!$B$2:$B$2604,'Form responses 1'!$I$2:$I$2604,""))</f>
        <v/>
      </c>
      <c r="J3533" s="44" t="str">
        <f t="array" ref="J3533">IF(B3533="","",_xlfn.XLOOKUP(B3533,'Form responses 1'!$B$2:$B$2604,'Form responses 1'!$G$2:$G$2604,""))</f>
        <v/>
      </c>
      <c r="K3533" s="56"/>
      <c r="L3533" s="58" t="str">
        <f t="shared" si="7"/>
        <v/>
      </c>
      <c r="M3533" s="49"/>
      <c r="N3533" s="49"/>
      <c r="O3533" s="49"/>
      <c r="P3533" s="49"/>
      <c r="Q3533" s="49"/>
      <c r="R3533" s="49"/>
      <c r="S3533" s="49"/>
      <c r="T3533" s="49"/>
      <c r="U3533" s="49"/>
      <c r="V3533" s="49"/>
      <c r="W3533" s="56"/>
      <c r="X3533" s="51" t="str">
        <f t="shared" si="5"/>
        <v/>
      </c>
      <c r="Y3533" s="50" t="s">
        <v>482</v>
      </c>
      <c r="Z3533" s="49">
        <f t="shared" si="6"/>
        <v>0</v>
      </c>
    </row>
    <row r="3534" ht="22.5" customHeight="1">
      <c r="B3534" s="57"/>
      <c r="C3534" s="43" t="str">
        <f t="array" ref="C3534">IF(B3534="","",_xlfn.XLOOKUP(B3534,'Form responses 1'!$B$2:$B$2604,'Form responses 1'!$A$2:$A$2604,""))</f>
        <v/>
      </c>
      <c r="D3534" s="44" t="str">
        <f t="shared" si="3"/>
        <v/>
      </c>
      <c r="E3534" s="44" t="str">
        <f t="array" ref="E3534">IF(B3534="","",_xlfn.XLOOKUP(B3534,'Form responses 1'!$B$2:$B$2604,'Form responses 1'!$C$2:$C$2604,""))</f>
        <v/>
      </c>
      <c r="F3534" s="44" t="str">
        <f t="array" ref="F3534">IF(B3534="","",_xlfn.XLOOKUP(B3534,'Form responses 1'!$B$2:$B$2604,'Form responses 1'!$D$2:$D$2604,""))</f>
        <v/>
      </c>
      <c r="G3534" s="44" t="str">
        <f t="array" ref="G3534">IF(B3534="","",_xlfn.XLOOKUP(B3534,'Form responses 1'!$B$2:$B$2604,'Form responses 1'!$E$2:$E$2604,""))</f>
        <v/>
      </c>
      <c r="H3534" s="44" t="str">
        <f t="array" ref="H3534">IF(B3534="","",_xlfn.XLOOKUP(B3534,'Form responses 1'!$B$2:$B$2604,'Form responses 1'!$F$2:$F$2604,""))</f>
        <v/>
      </c>
      <c r="I3534" s="44" t="str">
        <f t="array" ref="I3534">IF(B3534="","",_xlfn.XLOOKUP(B3534,'Form responses 1'!$B$2:$B$2604,'Form responses 1'!$I$2:$I$2604,""))</f>
        <v/>
      </c>
      <c r="J3534" s="44" t="str">
        <f t="array" ref="J3534">IF(B3534="","",_xlfn.XLOOKUP(B3534,'Form responses 1'!$B$2:$B$2604,'Form responses 1'!$G$2:$G$2604,""))</f>
        <v/>
      </c>
      <c r="K3534" s="56"/>
      <c r="L3534" s="58" t="str">
        <f t="shared" si="7"/>
        <v/>
      </c>
      <c r="M3534" s="49"/>
      <c r="N3534" s="49"/>
      <c r="O3534" s="49"/>
      <c r="P3534" s="49"/>
      <c r="Q3534" s="49"/>
      <c r="R3534" s="49"/>
      <c r="S3534" s="49"/>
      <c r="T3534" s="49"/>
      <c r="U3534" s="49"/>
      <c r="V3534" s="49"/>
      <c r="W3534" s="56"/>
      <c r="X3534" s="51" t="str">
        <f t="shared" si="5"/>
        <v/>
      </c>
      <c r="Y3534" s="50" t="s">
        <v>482</v>
      </c>
      <c r="Z3534" s="49">
        <f t="shared" si="6"/>
        <v>0</v>
      </c>
    </row>
    <row r="3535" ht="22.5" customHeight="1">
      <c r="B3535" s="57"/>
      <c r="C3535" s="43" t="str">
        <f t="array" ref="C3535">IF(B3535="","",_xlfn.XLOOKUP(B3535,'Form responses 1'!$B$2:$B$2604,'Form responses 1'!$A$2:$A$2604,""))</f>
        <v/>
      </c>
      <c r="D3535" s="44" t="str">
        <f t="shared" si="3"/>
        <v/>
      </c>
      <c r="E3535" s="44" t="str">
        <f t="array" ref="E3535">IF(B3535="","",_xlfn.XLOOKUP(B3535,'Form responses 1'!$B$2:$B$2604,'Form responses 1'!$C$2:$C$2604,""))</f>
        <v/>
      </c>
      <c r="F3535" s="44" t="str">
        <f t="array" ref="F3535">IF(B3535="","",_xlfn.XLOOKUP(B3535,'Form responses 1'!$B$2:$B$2604,'Form responses 1'!$D$2:$D$2604,""))</f>
        <v/>
      </c>
      <c r="G3535" s="44" t="str">
        <f t="array" ref="G3535">IF(B3535="","",_xlfn.XLOOKUP(B3535,'Form responses 1'!$B$2:$B$2604,'Form responses 1'!$E$2:$E$2604,""))</f>
        <v/>
      </c>
      <c r="H3535" s="44" t="str">
        <f t="array" ref="H3535">IF(B3535="","",_xlfn.XLOOKUP(B3535,'Form responses 1'!$B$2:$B$2604,'Form responses 1'!$F$2:$F$2604,""))</f>
        <v/>
      </c>
      <c r="I3535" s="44" t="str">
        <f t="array" ref="I3535">IF(B3535="","",_xlfn.XLOOKUP(B3535,'Form responses 1'!$B$2:$B$2604,'Form responses 1'!$I$2:$I$2604,""))</f>
        <v/>
      </c>
      <c r="J3535" s="44" t="str">
        <f t="array" ref="J3535">IF(B3535="","",_xlfn.XLOOKUP(B3535,'Form responses 1'!$B$2:$B$2604,'Form responses 1'!$G$2:$G$2604,""))</f>
        <v/>
      </c>
      <c r="K3535" s="56"/>
      <c r="L3535" s="58" t="str">
        <f t="shared" si="7"/>
        <v/>
      </c>
      <c r="M3535" s="49"/>
      <c r="N3535" s="49"/>
      <c r="O3535" s="49"/>
      <c r="P3535" s="49"/>
      <c r="Q3535" s="49"/>
      <c r="R3535" s="49"/>
      <c r="S3535" s="49"/>
      <c r="T3535" s="49"/>
      <c r="U3535" s="49"/>
      <c r="V3535" s="49"/>
      <c r="W3535" s="56"/>
      <c r="X3535" s="51" t="str">
        <f t="shared" si="5"/>
        <v/>
      </c>
      <c r="Y3535" s="50" t="s">
        <v>482</v>
      </c>
      <c r="Z3535" s="49">
        <f t="shared" si="6"/>
        <v>0</v>
      </c>
    </row>
    <row r="3536" ht="22.5" customHeight="1">
      <c r="B3536" s="57"/>
      <c r="C3536" s="43" t="str">
        <f t="array" ref="C3536">IF(B3536="","",_xlfn.XLOOKUP(B3536,'Form responses 1'!$B$2:$B$2604,'Form responses 1'!$A$2:$A$2604,""))</f>
        <v/>
      </c>
      <c r="D3536" s="44" t="str">
        <f t="shared" si="3"/>
        <v/>
      </c>
      <c r="E3536" s="44" t="str">
        <f t="array" ref="E3536">IF(B3536="","",_xlfn.XLOOKUP(B3536,'Form responses 1'!$B$2:$B$2604,'Form responses 1'!$C$2:$C$2604,""))</f>
        <v/>
      </c>
      <c r="F3536" s="44" t="str">
        <f t="array" ref="F3536">IF(B3536="","",_xlfn.XLOOKUP(B3536,'Form responses 1'!$B$2:$B$2604,'Form responses 1'!$D$2:$D$2604,""))</f>
        <v/>
      </c>
      <c r="G3536" s="44" t="str">
        <f t="array" ref="G3536">IF(B3536="","",_xlfn.XLOOKUP(B3536,'Form responses 1'!$B$2:$B$2604,'Form responses 1'!$E$2:$E$2604,""))</f>
        <v/>
      </c>
      <c r="H3536" s="44" t="str">
        <f t="array" ref="H3536">IF(B3536="","",_xlfn.XLOOKUP(B3536,'Form responses 1'!$B$2:$B$2604,'Form responses 1'!$F$2:$F$2604,""))</f>
        <v/>
      </c>
      <c r="I3536" s="44" t="str">
        <f t="array" ref="I3536">IF(B3536="","",_xlfn.XLOOKUP(B3536,'Form responses 1'!$B$2:$B$2604,'Form responses 1'!$I$2:$I$2604,""))</f>
        <v/>
      </c>
      <c r="J3536" s="44" t="str">
        <f t="array" ref="J3536">IF(B3536="","",_xlfn.XLOOKUP(B3536,'Form responses 1'!$B$2:$B$2604,'Form responses 1'!$G$2:$G$2604,""))</f>
        <v/>
      </c>
      <c r="K3536" s="56"/>
      <c r="L3536" s="58" t="str">
        <f t="shared" si="7"/>
        <v/>
      </c>
      <c r="M3536" s="49"/>
      <c r="N3536" s="49"/>
      <c r="O3536" s="49"/>
      <c r="P3536" s="49"/>
      <c r="Q3536" s="49"/>
      <c r="R3536" s="49"/>
      <c r="S3536" s="49"/>
      <c r="T3536" s="49"/>
      <c r="U3536" s="49"/>
      <c r="V3536" s="49"/>
      <c r="W3536" s="56"/>
      <c r="X3536" s="51" t="str">
        <f t="shared" si="5"/>
        <v/>
      </c>
      <c r="Y3536" s="50" t="s">
        <v>482</v>
      </c>
      <c r="Z3536" s="49">
        <f t="shared" si="6"/>
        <v>0</v>
      </c>
    </row>
    <row r="3537" ht="22.5" customHeight="1">
      <c r="B3537" s="57"/>
      <c r="C3537" s="43" t="str">
        <f t="array" ref="C3537">IF(B3537="","",_xlfn.XLOOKUP(B3537,'Form responses 1'!$B$2:$B$2604,'Form responses 1'!$A$2:$A$2604,""))</f>
        <v/>
      </c>
      <c r="D3537" s="44" t="str">
        <f t="shared" si="3"/>
        <v/>
      </c>
      <c r="E3537" s="44" t="str">
        <f t="array" ref="E3537">IF(B3537="","",_xlfn.XLOOKUP(B3537,'Form responses 1'!$B$2:$B$2604,'Form responses 1'!$C$2:$C$2604,""))</f>
        <v/>
      </c>
      <c r="F3537" s="44" t="str">
        <f t="array" ref="F3537">IF(B3537="","",_xlfn.XLOOKUP(B3537,'Form responses 1'!$B$2:$B$2604,'Form responses 1'!$D$2:$D$2604,""))</f>
        <v/>
      </c>
      <c r="G3537" s="44" t="str">
        <f t="array" ref="G3537">IF(B3537="","",_xlfn.XLOOKUP(B3537,'Form responses 1'!$B$2:$B$2604,'Form responses 1'!$E$2:$E$2604,""))</f>
        <v/>
      </c>
      <c r="H3537" s="44" t="str">
        <f t="array" ref="H3537">IF(B3537="","",_xlfn.XLOOKUP(B3537,'Form responses 1'!$B$2:$B$2604,'Form responses 1'!$F$2:$F$2604,""))</f>
        <v/>
      </c>
      <c r="I3537" s="44" t="str">
        <f t="array" ref="I3537">IF(B3537="","",_xlfn.XLOOKUP(B3537,'Form responses 1'!$B$2:$B$2604,'Form responses 1'!$I$2:$I$2604,""))</f>
        <v/>
      </c>
      <c r="J3537" s="44" t="str">
        <f t="array" ref="J3537">IF(B3537="","",_xlfn.XLOOKUP(B3537,'Form responses 1'!$B$2:$B$2604,'Form responses 1'!$G$2:$G$2604,""))</f>
        <v/>
      </c>
      <c r="K3537" s="56"/>
      <c r="L3537" s="58" t="str">
        <f t="shared" si="7"/>
        <v/>
      </c>
      <c r="M3537" s="49"/>
      <c r="N3537" s="49"/>
      <c r="O3537" s="49"/>
      <c r="P3537" s="49"/>
      <c r="Q3537" s="49"/>
      <c r="R3537" s="49"/>
      <c r="S3537" s="49"/>
      <c r="T3537" s="49"/>
      <c r="U3537" s="49"/>
      <c r="V3537" s="49"/>
      <c r="W3537" s="56"/>
      <c r="X3537" s="51" t="str">
        <f t="shared" si="5"/>
        <v/>
      </c>
      <c r="Y3537" s="50" t="s">
        <v>482</v>
      </c>
      <c r="Z3537" s="49">
        <f t="shared" si="6"/>
        <v>0</v>
      </c>
    </row>
    <row r="3538" ht="22.5" customHeight="1">
      <c r="B3538" s="57"/>
      <c r="C3538" s="43" t="str">
        <f t="array" ref="C3538">IF(B3538="","",_xlfn.XLOOKUP(B3538,'Form responses 1'!$B$2:$B$2604,'Form responses 1'!$A$2:$A$2604,""))</f>
        <v/>
      </c>
      <c r="D3538" s="44" t="str">
        <f t="shared" si="3"/>
        <v/>
      </c>
      <c r="E3538" s="44" t="str">
        <f t="array" ref="E3538">IF(B3538="","",_xlfn.XLOOKUP(B3538,'Form responses 1'!$B$2:$B$2604,'Form responses 1'!$C$2:$C$2604,""))</f>
        <v/>
      </c>
      <c r="F3538" s="44" t="str">
        <f t="array" ref="F3538">IF(B3538="","",_xlfn.XLOOKUP(B3538,'Form responses 1'!$B$2:$B$2604,'Form responses 1'!$D$2:$D$2604,""))</f>
        <v/>
      </c>
      <c r="G3538" s="44" t="str">
        <f t="array" ref="G3538">IF(B3538="","",_xlfn.XLOOKUP(B3538,'Form responses 1'!$B$2:$B$2604,'Form responses 1'!$E$2:$E$2604,""))</f>
        <v/>
      </c>
      <c r="H3538" s="44" t="str">
        <f t="array" ref="H3538">IF(B3538="","",_xlfn.XLOOKUP(B3538,'Form responses 1'!$B$2:$B$2604,'Form responses 1'!$F$2:$F$2604,""))</f>
        <v/>
      </c>
      <c r="I3538" s="44" t="str">
        <f t="array" ref="I3538">IF(B3538="","",_xlfn.XLOOKUP(B3538,'Form responses 1'!$B$2:$B$2604,'Form responses 1'!$I$2:$I$2604,""))</f>
        <v/>
      </c>
      <c r="J3538" s="44" t="str">
        <f t="array" ref="J3538">IF(B3538="","",_xlfn.XLOOKUP(B3538,'Form responses 1'!$B$2:$B$2604,'Form responses 1'!$G$2:$G$2604,""))</f>
        <v/>
      </c>
      <c r="K3538" s="56"/>
      <c r="L3538" s="58" t="str">
        <f t="shared" si="7"/>
        <v/>
      </c>
      <c r="M3538" s="49"/>
      <c r="N3538" s="49"/>
      <c r="O3538" s="49"/>
      <c r="P3538" s="49"/>
      <c r="Q3538" s="49"/>
      <c r="R3538" s="49"/>
      <c r="S3538" s="49"/>
      <c r="T3538" s="49"/>
      <c r="U3538" s="49"/>
      <c r="V3538" s="49"/>
      <c r="W3538" s="56"/>
      <c r="X3538" s="51" t="str">
        <f t="shared" si="5"/>
        <v/>
      </c>
      <c r="Y3538" s="50" t="s">
        <v>482</v>
      </c>
      <c r="Z3538" s="49">
        <f t="shared" si="6"/>
        <v>0</v>
      </c>
    </row>
    <row r="3539" ht="22.5" customHeight="1">
      <c r="B3539" s="57"/>
      <c r="C3539" s="43" t="str">
        <f t="array" ref="C3539">IF(B3539="","",_xlfn.XLOOKUP(B3539,'Form responses 1'!$B$2:$B$2604,'Form responses 1'!$A$2:$A$2604,""))</f>
        <v/>
      </c>
      <c r="D3539" s="44" t="str">
        <f t="shared" si="3"/>
        <v/>
      </c>
      <c r="E3539" s="44" t="str">
        <f t="array" ref="E3539">IF(B3539="","",_xlfn.XLOOKUP(B3539,'Form responses 1'!$B$2:$B$2604,'Form responses 1'!$C$2:$C$2604,""))</f>
        <v/>
      </c>
      <c r="F3539" s="44" t="str">
        <f t="array" ref="F3539">IF(B3539="","",_xlfn.XLOOKUP(B3539,'Form responses 1'!$B$2:$B$2604,'Form responses 1'!$D$2:$D$2604,""))</f>
        <v/>
      </c>
      <c r="G3539" s="44" t="str">
        <f t="array" ref="G3539">IF(B3539="","",_xlfn.XLOOKUP(B3539,'Form responses 1'!$B$2:$B$2604,'Form responses 1'!$E$2:$E$2604,""))</f>
        <v/>
      </c>
      <c r="H3539" s="44" t="str">
        <f t="array" ref="H3539">IF(B3539="","",_xlfn.XLOOKUP(B3539,'Form responses 1'!$B$2:$B$2604,'Form responses 1'!$F$2:$F$2604,""))</f>
        <v/>
      </c>
      <c r="I3539" s="44" t="str">
        <f t="array" ref="I3539">IF(B3539="","",_xlfn.XLOOKUP(B3539,'Form responses 1'!$B$2:$B$2604,'Form responses 1'!$I$2:$I$2604,""))</f>
        <v/>
      </c>
      <c r="J3539" s="44" t="str">
        <f t="array" ref="J3539">IF(B3539="","",_xlfn.XLOOKUP(B3539,'Form responses 1'!$B$2:$B$2604,'Form responses 1'!$G$2:$G$2604,""))</f>
        <v/>
      </c>
      <c r="K3539" s="56"/>
      <c r="L3539" s="58" t="str">
        <f t="shared" si="7"/>
        <v/>
      </c>
      <c r="M3539" s="49"/>
      <c r="N3539" s="49"/>
      <c r="O3539" s="49"/>
      <c r="P3539" s="49"/>
      <c r="Q3539" s="49"/>
      <c r="R3539" s="49"/>
      <c r="S3539" s="49"/>
      <c r="T3539" s="49"/>
      <c r="U3539" s="49"/>
      <c r="V3539" s="49"/>
      <c r="W3539" s="56"/>
      <c r="X3539" s="51" t="str">
        <f t="shared" si="5"/>
        <v/>
      </c>
      <c r="Y3539" s="50" t="s">
        <v>482</v>
      </c>
      <c r="Z3539" s="49">
        <f t="shared" si="6"/>
        <v>0</v>
      </c>
    </row>
    <row r="3540" ht="22.5" customHeight="1">
      <c r="B3540" s="57"/>
      <c r="C3540" s="43" t="str">
        <f t="array" ref="C3540">IF(B3540="","",_xlfn.XLOOKUP(B3540,'Form responses 1'!$B$2:$B$2604,'Form responses 1'!$A$2:$A$2604,""))</f>
        <v/>
      </c>
      <c r="D3540" s="44" t="str">
        <f t="shared" si="3"/>
        <v/>
      </c>
      <c r="E3540" s="44" t="str">
        <f t="array" ref="E3540">IF(B3540="","",_xlfn.XLOOKUP(B3540,'Form responses 1'!$B$2:$B$2604,'Form responses 1'!$C$2:$C$2604,""))</f>
        <v/>
      </c>
      <c r="F3540" s="44" t="str">
        <f t="array" ref="F3540">IF(B3540="","",_xlfn.XLOOKUP(B3540,'Form responses 1'!$B$2:$B$2604,'Form responses 1'!$D$2:$D$2604,""))</f>
        <v/>
      </c>
      <c r="G3540" s="44" t="str">
        <f t="array" ref="G3540">IF(B3540="","",_xlfn.XLOOKUP(B3540,'Form responses 1'!$B$2:$B$2604,'Form responses 1'!$E$2:$E$2604,""))</f>
        <v/>
      </c>
      <c r="H3540" s="44" t="str">
        <f t="array" ref="H3540">IF(B3540="","",_xlfn.XLOOKUP(B3540,'Form responses 1'!$B$2:$B$2604,'Form responses 1'!$F$2:$F$2604,""))</f>
        <v/>
      </c>
      <c r="I3540" s="44" t="str">
        <f t="array" ref="I3540">IF(B3540="","",_xlfn.XLOOKUP(B3540,'Form responses 1'!$B$2:$B$2604,'Form responses 1'!$I$2:$I$2604,""))</f>
        <v/>
      </c>
      <c r="J3540" s="44" t="str">
        <f t="array" ref="J3540">IF(B3540="","",_xlfn.XLOOKUP(B3540,'Form responses 1'!$B$2:$B$2604,'Form responses 1'!$G$2:$G$2604,""))</f>
        <v/>
      </c>
      <c r="K3540" s="56"/>
      <c r="L3540" s="58" t="str">
        <f t="shared" si="7"/>
        <v/>
      </c>
      <c r="M3540" s="49"/>
      <c r="N3540" s="49"/>
      <c r="O3540" s="49"/>
      <c r="P3540" s="49"/>
      <c r="Q3540" s="49"/>
      <c r="R3540" s="49"/>
      <c r="S3540" s="49"/>
      <c r="T3540" s="49"/>
      <c r="U3540" s="49"/>
      <c r="V3540" s="49"/>
      <c r="W3540" s="56"/>
      <c r="X3540" s="51" t="str">
        <f t="shared" si="5"/>
        <v/>
      </c>
      <c r="Y3540" s="50" t="s">
        <v>482</v>
      </c>
      <c r="Z3540" s="49">
        <f t="shared" si="6"/>
        <v>0</v>
      </c>
    </row>
    <row r="3541" ht="22.5" customHeight="1">
      <c r="B3541" s="57"/>
      <c r="C3541" s="43" t="str">
        <f t="array" ref="C3541">IF(B3541="","",_xlfn.XLOOKUP(B3541,'Form responses 1'!$B$2:$B$2604,'Form responses 1'!$A$2:$A$2604,""))</f>
        <v/>
      </c>
      <c r="D3541" s="44" t="str">
        <f t="shared" si="3"/>
        <v/>
      </c>
      <c r="E3541" s="44" t="str">
        <f t="array" ref="E3541">IF(B3541="","",_xlfn.XLOOKUP(B3541,'Form responses 1'!$B$2:$B$2604,'Form responses 1'!$C$2:$C$2604,""))</f>
        <v/>
      </c>
      <c r="F3541" s="44" t="str">
        <f t="array" ref="F3541">IF(B3541="","",_xlfn.XLOOKUP(B3541,'Form responses 1'!$B$2:$B$2604,'Form responses 1'!$D$2:$D$2604,""))</f>
        <v/>
      </c>
      <c r="G3541" s="44" t="str">
        <f t="array" ref="G3541">IF(B3541="","",_xlfn.XLOOKUP(B3541,'Form responses 1'!$B$2:$B$2604,'Form responses 1'!$E$2:$E$2604,""))</f>
        <v/>
      </c>
      <c r="H3541" s="44" t="str">
        <f t="array" ref="H3541">IF(B3541="","",_xlfn.XLOOKUP(B3541,'Form responses 1'!$B$2:$B$2604,'Form responses 1'!$F$2:$F$2604,""))</f>
        <v/>
      </c>
      <c r="I3541" s="44" t="str">
        <f t="array" ref="I3541">IF(B3541="","",_xlfn.XLOOKUP(B3541,'Form responses 1'!$B$2:$B$2604,'Form responses 1'!$I$2:$I$2604,""))</f>
        <v/>
      </c>
      <c r="J3541" s="44" t="str">
        <f t="array" ref="J3541">IF(B3541="","",_xlfn.XLOOKUP(B3541,'Form responses 1'!$B$2:$B$2604,'Form responses 1'!$G$2:$G$2604,""))</f>
        <v/>
      </c>
      <c r="K3541" s="56"/>
      <c r="L3541" s="58" t="str">
        <f t="shared" si="7"/>
        <v/>
      </c>
      <c r="M3541" s="49"/>
      <c r="N3541" s="49"/>
      <c r="O3541" s="49"/>
      <c r="P3541" s="49"/>
      <c r="Q3541" s="49"/>
      <c r="R3541" s="49"/>
      <c r="S3541" s="49"/>
      <c r="T3541" s="49"/>
      <c r="U3541" s="49"/>
      <c r="V3541" s="49"/>
      <c r="W3541" s="56"/>
      <c r="X3541" s="51" t="str">
        <f t="shared" si="5"/>
        <v/>
      </c>
      <c r="Y3541" s="50" t="s">
        <v>482</v>
      </c>
      <c r="Z3541" s="49">
        <f t="shared" si="6"/>
        <v>0</v>
      </c>
    </row>
    <row r="3542" ht="22.5" customHeight="1">
      <c r="B3542" s="57"/>
      <c r="C3542" s="43" t="str">
        <f t="array" ref="C3542">IF(B3542="","",_xlfn.XLOOKUP(B3542,'Form responses 1'!$B$2:$B$2604,'Form responses 1'!$A$2:$A$2604,""))</f>
        <v/>
      </c>
      <c r="D3542" s="44" t="str">
        <f t="shared" si="3"/>
        <v/>
      </c>
      <c r="E3542" s="44" t="str">
        <f t="array" ref="E3542">IF(B3542="","",_xlfn.XLOOKUP(B3542,'Form responses 1'!$B$2:$B$2604,'Form responses 1'!$C$2:$C$2604,""))</f>
        <v/>
      </c>
      <c r="F3542" s="44" t="str">
        <f t="array" ref="F3542">IF(B3542="","",_xlfn.XLOOKUP(B3542,'Form responses 1'!$B$2:$B$2604,'Form responses 1'!$D$2:$D$2604,""))</f>
        <v/>
      </c>
      <c r="G3542" s="44" t="str">
        <f t="array" ref="G3542">IF(B3542="","",_xlfn.XLOOKUP(B3542,'Form responses 1'!$B$2:$B$2604,'Form responses 1'!$E$2:$E$2604,""))</f>
        <v/>
      </c>
      <c r="H3542" s="44" t="str">
        <f t="array" ref="H3542">IF(B3542="","",_xlfn.XLOOKUP(B3542,'Form responses 1'!$B$2:$B$2604,'Form responses 1'!$F$2:$F$2604,""))</f>
        <v/>
      </c>
      <c r="I3542" s="44" t="str">
        <f t="array" ref="I3542">IF(B3542="","",_xlfn.XLOOKUP(B3542,'Form responses 1'!$B$2:$B$2604,'Form responses 1'!$I$2:$I$2604,""))</f>
        <v/>
      </c>
      <c r="J3542" s="44" t="str">
        <f t="array" ref="J3542">IF(B3542="","",_xlfn.XLOOKUP(B3542,'Form responses 1'!$B$2:$B$2604,'Form responses 1'!$G$2:$G$2604,""))</f>
        <v/>
      </c>
      <c r="K3542" s="56"/>
      <c r="L3542" s="58" t="str">
        <f t="shared" si="7"/>
        <v/>
      </c>
      <c r="M3542" s="49"/>
      <c r="N3542" s="49"/>
      <c r="O3542" s="49"/>
      <c r="P3542" s="49"/>
      <c r="Q3542" s="49"/>
      <c r="R3542" s="49"/>
      <c r="S3542" s="49"/>
      <c r="T3542" s="49"/>
      <c r="U3542" s="49"/>
      <c r="V3542" s="49"/>
      <c r="W3542" s="56"/>
      <c r="X3542" s="51" t="str">
        <f t="shared" si="5"/>
        <v/>
      </c>
      <c r="Y3542" s="50" t="s">
        <v>482</v>
      </c>
      <c r="Z3542" s="49">
        <f t="shared" si="6"/>
        <v>0</v>
      </c>
    </row>
    <row r="3543" ht="22.5" customHeight="1">
      <c r="B3543" s="57"/>
      <c r="C3543" s="43" t="str">
        <f t="array" ref="C3543">IF(B3543="","",_xlfn.XLOOKUP(B3543,'Form responses 1'!$B$2:$B$2604,'Form responses 1'!$A$2:$A$2604,""))</f>
        <v/>
      </c>
      <c r="D3543" s="44" t="str">
        <f t="shared" si="3"/>
        <v/>
      </c>
      <c r="E3543" s="44" t="str">
        <f t="array" ref="E3543">IF(B3543="","",_xlfn.XLOOKUP(B3543,'Form responses 1'!$B$2:$B$2604,'Form responses 1'!$C$2:$C$2604,""))</f>
        <v/>
      </c>
      <c r="F3543" s="44" t="str">
        <f t="array" ref="F3543">IF(B3543="","",_xlfn.XLOOKUP(B3543,'Form responses 1'!$B$2:$B$2604,'Form responses 1'!$D$2:$D$2604,""))</f>
        <v/>
      </c>
      <c r="G3543" s="44" t="str">
        <f t="array" ref="G3543">IF(B3543="","",_xlfn.XLOOKUP(B3543,'Form responses 1'!$B$2:$B$2604,'Form responses 1'!$E$2:$E$2604,""))</f>
        <v/>
      </c>
      <c r="H3543" s="44" t="str">
        <f t="array" ref="H3543">IF(B3543="","",_xlfn.XLOOKUP(B3543,'Form responses 1'!$B$2:$B$2604,'Form responses 1'!$F$2:$F$2604,""))</f>
        <v/>
      </c>
      <c r="I3543" s="44" t="str">
        <f t="array" ref="I3543">IF(B3543="","",_xlfn.XLOOKUP(B3543,'Form responses 1'!$B$2:$B$2604,'Form responses 1'!$I$2:$I$2604,""))</f>
        <v/>
      </c>
      <c r="J3543" s="44" t="str">
        <f t="array" ref="J3543">IF(B3543="","",_xlfn.XLOOKUP(B3543,'Form responses 1'!$B$2:$B$2604,'Form responses 1'!$G$2:$G$2604,""))</f>
        <v/>
      </c>
      <c r="K3543" s="56"/>
      <c r="L3543" s="58" t="str">
        <f t="shared" si="7"/>
        <v/>
      </c>
      <c r="M3543" s="49"/>
      <c r="N3543" s="49"/>
      <c r="O3543" s="49"/>
      <c r="P3543" s="49"/>
      <c r="Q3543" s="49"/>
      <c r="R3543" s="49"/>
      <c r="S3543" s="49"/>
      <c r="T3543" s="49"/>
      <c r="U3543" s="49"/>
      <c r="V3543" s="49"/>
      <c r="W3543" s="56"/>
      <c r="X3543" s="51" t="str">
        <f t="shared" si="5"/>
        <v/>
      </c>
      <c r="Y3543" s="50" t="s">
        <v>482</v>
      </c>
      <c r="Z3543" s="49">
        <f t="shared" si="6"/>
        <v>0</v>
      </c>
    </row>
    <row r="3544" ht="22.5" customHeight="1">
      <c r="B3544" s="57"/>
      <c r="C3544" s="43" t="str">
        <f t="array" ref="C3544">IF(B3544="","",_xlfn.XLOOKUP(B3544,'Form responses 1'!$B$2:$B$2604,'Form responses 1'!$A$2:$A$2604,""))</f>
        <v/>
      </c>
      <c r="D3544" s="44" t="str">
        <f t="shared" si="3"/>
        <v/>
      </c>
      <c r="E3544" s="44" t="str">
        <f t="array" ref="E3544">IF(B3544="","",_xlfn.XLOOKUP(B3544,'Form responses 1'!$B$2:$B$2604,'Form responses 1'!$C$2:$C$2604,""))</f>
        <v/>
      </c>
      <c r="F3544" s="44" t="str">
        <f t="array" ref="F3544">IF(B3544="","",_xlfn.XLOOKUP(B3544,'Form responses 1'!$B$2:$B$2604,'Form responses 1'!$D$2:$D$2604,""))</f>
        <v/>
      </c>
      <c r="G3544" s="44" t="str">
        <f t="array" ref="G3544">IF(B3544="","",_xlfn.XLOOKUP(B3544,'Form responses 1'!$B$2:$B$2604,'Form responses 1'!$E$2:$E$2604,""))</f>
        <v/>
      </c>
      <c r="H3544" s="44" t="str">
        <f t="array" ref="H3544">IF(B3544="","",_xlfn.XLOOKUP(B3544,'Form responses 1'!$B$2:$B$2604,'Form responses 1'!$F$2:$F$2604,""))</f>
        <v/>
      </c>
      <c r="I3544" s="44" t="str">
        <f t="array" ref="I3544">IF(B3544="","",_xlfn.XLOOKUP(B3544,'Form responses 1'!$B$2:$B$2604,'Form responses 1'!$I$2:$I$2604,""))</f>
        <v/>
      </c>
      <c r="J3544" s="44" t="str">
        <f t="array" ref="J3544">IF(B3544="","",_xlfn.XLOOKUP(B3544,'Form responses 1'!$B$2:$B$2604,'Form responses 1'!$G$2:$G$2604,""))</f>
        <v/>
      </c>
      <c r="K3544" s="56"/>
      <c r="L3544" s="58" t="str">
        <f t="shared" si="7"/>
        <v/>
      </c>
      <c r="M3544" s="49"/>
      <c r="N3544" s="49"/>
      <c r="O3544" s="49"/>
      <c r="P3544" s="49"/>
      <c r="Q3544" s="49"/>
      <c r="R3544" s="49"/>
      <c r="S3544" s="49"/>
      <c r="T3544" s="49"/>
      <c r="U3544" s="49"/>
      <c r="V3544" s="49"/>
      <c r="W3544" s="56"/>
      <c r="X3544" s="51" t="str">
        <f t="shared" si="5"/>
        <v/>
      </c>
      <c r="Y3544" s="50" t="s">
        <v>482</v>
      </c>
      <c r="Z3544" s="49">
        <f t="shared" si="6"/>
        <v>0</v>
      </c>
    </row>
    <row r="3545" ht="22.5" customHeight="1">
      <c r="B3545" s="57"/>
      <c r="C3545" s="43" t="str">
        <f t="array" ref="C3545">IF(B3545="","",_xlfn.XLOOKUP(B3545,'Form responses 1'!$B$2:$B$2604,'Form responses 1'!$A$2:$A$2604,""))</f>
        <v/>
      </c>
      <c r="D3545" s="44" t="str">
        <f t="shared" si="3"/>
        <v/>
      </c>
      <c r="E3545" s="44" t="str">
        <f t="array" ref="E3545">IF(B3545="","",_xlfn.XLOOKUP(B3545,'Form responses 1'!$B$2:$B$2604,'Form responses 1'!$C$2:$C$2604,""))</f>
        <v/>
      </c>
      <c r="F3545" s="44" t="str">
        <f t="array" ref="F3545">IF(B3545="","",_xlfn.XLOOKUP(B3545,'Form responses 1'!$B$2:$B$2604,'Form responses 1'!$D$2:$D$2604,""))</f>
        <v/>
      </c>
      <c r="G3545" s="44" t="str">
        <f t="array" ref="G3545">IF(B3545="","",_xlfn.XLOOKUP(B3545,'Form responses 1'!$B$2:$B$2604,'Form responses 1'!$E$2:$E$2604,""))</f>
        <v/>
      </c>
      <c r="H3545" s="44" t="str">
        <f t="array" ref="H3545">IF(B3545="","",_xlfn.XLOOKUP(B3545,'Form responses 1'!$B$2:$B$2604,'Form responses 1'!$F$2:$F$2604,""))</f>
        <v/>
      </c>
      <c r="I3545" s="44" t="str">
        <f t="array" ref="I3545">IF(B3545="","",_xlfn.XLOOKUP(B3545,'Form responses 1'!$B$2:$B$2604,'Form responses 1'!$I$2:$I$2604,""))</f>
        <v/>
      </c>
      <c r="J3545" s="44" t="str">
        <f t="array" ref="J3545">IF(B3545="","",_xlfn.XLOOKUP(B3545,'Form responses 1'!$B$2:$B$2604,'Form responses 1'!$G$2:$G$2604,""))</f>
        <v/>
      </c>
      <c r="K3545" s="56"/>
      <c r="L3545" s="58" t="str">
        <f t="shared" si="7"/>
        <v/>
      </c>
      <c r="M3545" s="49"/>
      <c r="N3545" s="49"/>
      <c r="O3545" s="49"/>
      <c r="P3545" s="49"/>
      <c r="Q3545" s="49"/>
      <c r="R3545" s="49"/>
      <c r="S3545" s="49"/>
      <c r="T3545" s="49"/>
      <c r="U3545" s="49"/>
      <c r="V3545" s="49"/>
      <c r="W3545" s="56"/>
      <c r="X3545" s="51" t="str">
        <f t="shared" si="5"/>
        <v/>
      </c>
      <c r="Y3545" s="50" t="s">
        <v>482</v>
      </c>
      <c r="Z3545" s="49">
        <f t="shared" si="6"/>
        <v>0</v>
      </c>
    </row>
    <row r="3546" ht="22.5" customHeight="1">
      <c r="B3546" s="57"/>
      <c r="C3546" s="43" t="str">
        <f t="array" ref="C3546">IF(B3546="","",_xlfn.XLOOKUP(B3546,'Form responses 1'!$B$2:$B$2604,'Form responses 1'!$A$2:$A$2604,""))</f>
        <v/>
      </c>
      <c r="D3546" s="44" t="str">
        <f t="shared" si="3"/>
        <v/>
      </c>
      <c r="E3546" s="44" t="str">
        <f t="array" ref="E3546">IF(B3546="","",_xlfn.XLOOKUP(B3546,'Form responses 1'!$B$2:$B$2604,'Form responses 1'!$C$2:$C$2604,""))</f>
        <v/>
      </c>
      <c r="F3546" s="44" t="str">
        <f t="array" ref="F3546">IF(B3546="","",_xlfn.XLOOKUP(B3546,'Form responses 1'!$B$2:$B$2604,'Form responses 1'!$D$2:$D$2604,""))</f>
        <v/>
      </c>
      <c r="G3546" s="44" t="str">
        <f t="array" ref="G3546">IF(B3546="","",_xlfn.XLOOKUP(B3546,'Form responses 1'!$B$2:$B$2604,'Form responses 1'!$E$2:$E$2604,""))</f>
        <v/>
      </c>
      <c r="H3546" s="44" t="str">
        <f t="array" ref="H3546">IF(B3546="","",_xlfn.XLOOKUP(B3546,'Form responses 1'!$B$2:$B$2604,'Form responses 1'!$F$2:$F$2604,""))</f>
        <v/>
      </c>
      <c r="I3546" s="44" t="str">
        <f t="array" ref="I3546">IF(B3546="","",_xlfn.XLOOKUP(B3546,'Form responses 1'!$B$2:$B$2604,'Form responses 1'!$I$2:$I$2604,""))</f>
        <v/>
      </c>
      <c r="J3546" s="44" t="str">
        <f t="array" ref="J3546">IF(B3546="","",_xlfn.XLOOKUP(B3546,'Form responses 1'!$B$2:$B$2604,'Form responses 1'!$G$2:$G$2604,""))</f>
        <v/>
      </c>
      <c r="K3546" s="56"/>
      <c r="L3546" s="58" t="str">
        <f t="shared" si="7"/>
        <v/>
      </c>
      <c r="M3546" s="49"/>
      <c r="N3546" s="49"/>
      <c r="O3546" s="49"/>
      <c r="P3546" s="49"/>
      <c r="Q3546" s="49"/>
      <c r="R3546" s="49"/>
      <c r="S3546" s="49"/>
      <c r="T3546" s="49"/>
      <c r="U3546" s="49"/>
      <c r="V3546" s="49"/>
      <c r="W3546" s="56"/>
      <c r="X3546" s="51" t="str">
        <f t="shared" si="5"/>
        <v/>
      </c>
      <c r="Y3546" s="50" t="s">
        <v>482</v>
      </c>
      <c r="Z3546" s="49">
        <f t="shared" si="6"/>
        <v>0</v>
      </c>
    </row>
    <row r="3547" ht="22.5" customHeight="1">
      <c r="B3547" s="57"/>
      <c r="C3547" s="43" t="str">
        <f t="array" ref="C3547">IF(B3547="","",_xlfn.XLOOKUP(B3547,'Form responses 1'!$B$2:$B$2604,'Form responses 1'!$A$2:$A$2604,""))</f>
        <v/>
      </c>
      <c r="D3547" s="44" t="str">
        <f t="shared" si="3"/>
        <v/>
      </c>
      <c r="E3547" s="44" t="str">
        <f t="array" ref="E3547">IF(B3547="","",_xlfn.XLOOKUP(B3547,'Form responses 1'!$B$2:$B$2604,'Form responses 1'!$C$2:$C$2604,""))</f>
        <v/>
      </c>
      <c r="F3547" s="44" t="str">
        <f t="array" ref="F3547">IF(B3547="","",_xlfn.XLOOKUP(B3547,'Form responses 1'!$B$2:$B$2604,'Form responses 1'!$D$2:$D$2604,""))</f>
        <v/>
      </c>
      <c r="G3547" s="44" t="str">
        <f t="array" ref="G3547">IF(B3547="","",_xlfn.XLOOKUP(B3547,'Form responses 1'!$B$2:$B$2604,'Form responses 1'!$E$2:$E$2604,""))</f>
        <v/>
      </c>
      <c r="H3547" s="44" t="str">
        <f t="array" ref="H3547">IF(B3547="","",_xlfn.XLOOKUP(B3547,'Form responses 1'!$B$2:$B$2604,'Form responses 1'!$F$2:$F$2604,""))</f>
        <v/>
      </c>
      <c r="I3547" s="44" t="str">
        <f t="array" ref="I3547">IF(B3547="","",_xlfn.XLOOKUP(B3547,'Form responses 1'!$B$2:$B$2604,'Form responses 1'!$I$2:$I$2604,""))</f>
        <v/>
      </c>
      <c r="J3547" s="44" t="str">
        <f t="array" ref="J3547">IF(B3547="","",_xlfn.XLOOKUP(B3547,'Form responses 1'!$B$2:$B$2604,'Form responses 1'!$G$2:$G$2604,""))</f>
        <v/>
      </c>
      <c r="K3547" s="56"/>
      <c r="L3547" s="58" t="str">
        <f t="shared" si="7"/>
        <v/>
      </c>
      <c r="M3547" s="49"/>
      <c r="N3547" s="49"/>
      <c r="O3547" s="49"/>
      <c r="P3547" s="49"/>
      <c r="Q3547" s="49"/>
      <c r="R3547" s="49"/>
      <c r="S3547" s="49"/>
      <c r="T3547" s="49"/>
      <c r="U3547" s="49"/>
      <c r="V3547" s="49"/>
      <c r="W3547" s="56"/>
      <c r="X3547" s="51" t="str">
        <f t="shared" si="5"/>
        <v/>
      </c>
      <c r="Y3547" s="50" t="s">
        <v>482</v>
      </c>
      <c r="Z3547" s="49">
        <f t="shared" si="6"/>
        <v>0</v>
      </c>
    </row>
    <row r="3548" ht="22.5" customHeight="1">
      <c r="B3548" s="57"/>
      <c r="C3548" s="43" t="str">
        <f t="array" ref="C3548">IF(B3548="","",_xlfn.XLOOKUP(B3548,'Form responses 1'!$B$2:$B$2604,'Form responses 1'!$A$2:$A$2604,""))</f>
        <v/>
      </c>
      <c r="D3548" s="44" t="str">
        <f t="shared" si="3"/>
        <v/>
      </c>
      <c r="E3548" s="44" t="str">
        <f t="array" ref="E3548">IF(B3548="","",_xlfn.XLOOKUP(B3548,'Form responses 1'!$B$2:$B$2604,'Form responses 1'!$C$2:$C$2604,""))</f>
        <v/>
      </c>
      <c r="F3548" s="44" t="str">
        <f t="array" ref="F3548">IF(B3548="","",_xlfn.XLOOKUP(B3548,'Form responses 1'!$B$2:$B$2604,'Form responses 1'!$D$2:$D$2604,""))</f>
        <v/>
      </c>
      <c r="G3548" s="44" t="str">
        <f t="array" ref="G3548">IF(B3548="","",_xlfn.XLOOKUP(B3548,'Form responses 1'!$B$2:$B$2604,'Form responses 1'!$E$2:$E$2604,""))</f>
        <v/>
      </c>
      <c r="H3548" s="44" t="str">
        <f t="array" ref="H3548">IF(B3548="","",_xlfn.XLOOKUP(B3548,'Form responses 1'!$B$2:$B$2604,'Form responses 1'!$F$2:$F$2604,""))</f>
        <v/>
      </c>
      <c r="I3548" s="44" t="str">
        <f t="array" ref="I3548">IF(B3548="","",_xlfn.XLOOKUP(B3548,'Form responses 1'!$B$2:$B$2604,'Form responses 1'!$I$2:$I$2604,""))</f>
        <v/>
      </c>
      <c r="J3548" s="44" t="str">
        <f t="array" ref="J3548">IF(B3548="","",_xlfn.XLOOKUP(B3548,'Form responses 1'!$B$2:$B$2604,'Form responses 1'!$G$2:$G$2604,""))</f>
        <v/>
      </c>
      <c r="K3548" s="56"/>
      <c r="L3548" s="58" t="str">
        <f t="shared" si="7"/>
        <v/>
      </c>
      <c r="M3548" s="49"/>
      <c r="N3548" s="49"/>
      <c r="O3548" s="49"/>
      <c r="P3548" s="49"/>
      <c r="Q3548" s="49"/>
      <c r="R3548" s="49"/>
      <c r="S3548" s="49"/>
      <c r="T3548" s="49"/>
      <c r="U3548" s="49"/>
      <c r="V3548" s="49"/>
      <c r="W3548" s="56"/>
      <c r="X3548" s="51" t="str">
        <f t="shared" si="5"/>
        <v/>
      </c>
      <c r="Y3548" s="50" t="s">
        <v>482</v>
      </c>
      <c r="Z3548" s="49">
        <f t="shared" si="6"/>
        <v>0</v>
      </c>
    </row>
    <row r="3549" ht="22.5" customHeight="1">
      <c r="B3549" s="57"/>
      <c r="C3549" s="43" t="str">
        <f t="array" ref="C3549">IF(B3549="","",_xlfn.XLOOKUP(B3549,'Form responses 1'!$B$2:$B$2604,'Form responses 1'!$A$2:$A$2604,""))</f>
        <v/>
      </c>
      <c r="D3549" s="44" t="str">
        <f t="shared" si="3"/>
        <v/>
      </c>
      <c r="E3549" s="44" t="str">
        <f t="array" ref="E3549">IF(B3549="","",_xlfn.XLOOKUP(B3549,'Form responses 1'!$B$2:$B$2604,'Form responses 1'!$C$2:$C$2604,""))</f>
        <v/>
      </c>
      <c r="F3549" s="44" t="str">
        <f t="array" ref="F3549">IF(B3549="","",_xlfn.XLOOKUP(B3549,'Form responses 1'!$B$2:$B$2604,'Form responses 1'!$D$2:$D$2604,""))</f>
        <v/>
      </c>
      <c r="G3549" s="44" t="str">
        <f t="array" ref="G3549">IF(B3549="","",_xlfn.XLOOKUP(B3549,'Form responses 1'!$B$2:$B$2604,'Form responses 1'!$E$2:$E$2604,""))</f>
        <v/>
      </c>
      <c r="H3549" s="44" t="str">
        <f t="array" ref="H3549">IF(B3549="","",_xlfn.XLOOKUP(B3549,'Form responses 1'!$B$2:$B$2604,'Form responses 1'!$F$2:$F$2604,""))</f>
        <v/>
      </c>
      <c r="I3549" s="44" t="str">
        <f t="array" ref="I3549">IF(B3549="","",_xlfn.XLOOKUP(B3549,'Form responses 1'!$B$2:$B$2604,'Form responses 1'!$I$2:$I$2604,""))</f>
        <v/>
      </c>
      <c r="J3549" s="44" t="str">
        <f t="array" ref="J3549">IF(B3549="","",_xlfn.XLOOKUP(B3549,'Form responses 1'!$B$2:$B$2604,'Form responses 1'!$G$2:$G$2604,""))</f>
        <v/>
      </c>
      <c r="K3549" s="56"/>
      <c r="L3549" s="58" t="str">
        <f t="shared" si="7"/>
        <v/>
      </c>
      <c r="M3549" s="49"/>
      <c r="N3549" s="49"/>
      <c r="O3549" s="49"/>
      <c r="P3549" s="49"/>
      <c r="Q3549" s="49"/>
      <c r="R3549" s="49"/>
      <c r="S3549" s="49"/>
      <c r="T3549" s="49"/>
      <c r="U3549" s="49"/>
      <c r="V3549" s="49"/>
      <c r="W3549" s="56"/>
      <c r="X3549" s="51" t="str">
        <f t="shared" si="5"/>
        <v/>
      </c>
      <c r="Y3549" s="50" t="s">
        <v>482</v>
      </c>
      <c r="Z3549" s="49">
        <f t="shared" si="6"/>
        <v>0</v>
      </c>
    </row>
    <row r="3550" ht="22.5" customHeight="1">
      <c r="B3550" s="57"/>
      <c r="C3550" s="43" t="str">
        <f t="array" ref="C3550">IF(B3550="","",_xlfn.XLOOKUP(B3550,'Form responses 1'!$B$2:$B$2604,'Form responses 1'!$A$2:$A$2604,""))</f>
        <v/>
      </c>
      <c r="D3550" s="44" t="str">
        <f t="shared" si="3"/>
        <v/>
      </c>
      <c r="E3550" s="44" t="str">
        <f t="array" ref="E3550">IF(B3550="","",_xlfn.XLOOKUP(B3550,'Form responses 1'!$B$2:$B$2604,'Form responses 1'!$C$2:$C$2604,""))</f>
        <v/>
      </c>
      <c r="F3550" s="44" t="str">
        <f t="array" ref="F3550">IF(B3550="","",_xlfn.XLOOKUP(B3550,'Form responses 1'!$B$2:$B$2604,'Form responses 1'!$D$2:$D$2604,""))</f>
        <v/>
      </c>
      <c r="G3550" s="44" t="str">
        <f t="array" ref="G3550">IF(B3550="","",_xlfn.XLOOKUP(B3550,'Form responses 1'!$B$2:$B$2604,'Form responses 1'!$E$2:$E$2604,""))</f>
        <v/>
      </c>
      <c r="H3550" s="44" t="str">
        <f t="array" ref="H3550">IF(B3550="","",_xlfn.XLOOKUP(B3550,'Form responses 1'!$B$2:$B$2604,'Form responses 1'!$F$2:$F$2604,""))</f>
        <v/>
      </c>
      <c r="I3550" s="44" t="str">
        <f t="array" ref="I3550">IF(B3550="","",_xlfn.XLOOKUP(B3550,'Form responses 1'!$B$2:$B$2604,'Form responses 1'!$I$2:$I$2604,""))</f>
        <v/>
      </c>
      <c r="J3550" s="44" t="str">
        <f t="array" ref="J3550">IF(B3550="","",_xlfn.XLOOKUP(B3550,'Form responses 1'!$B$2:$B$2604,'Form responses 1'!$G$2:$G$2604,""))</f>
        <v/>
      </c>
      <c r="K3550" s="56"/>
      <c r="L3550" s="58" t="str">
        <f t="shared" si="7"/>
        <v/>
      </c>
      <c r="M3550" s="49"/>
      <c r="N3550" s="49"/>
      <c r="O3550" s="49"/>
      <c r="P3550" s="49"/>
      <c r="Q3550" s="49"/>
      <c r="R3550" s="49"/>
      <c r="S3550" s="49"/>
      <c r="T3550" s="49"/>
      <c r="U3550" s="49"/>
      <c r="V3550" s="49"/>
      <c r="W3550" s="56"/>
      <c r="X3550" s="51" t="str">
        <f t="shared" si="5"/>
        <v/>
      </c>
      <c r="Y3550" s="50" t="s">
        <v>482</v>
      </c>
      <c r="Z3550" s="49">
        <f t="shared" si="6"/>
        <v>0</v>
      </c>
    </row>
    <row r="3551" ht="22.5" customHeight="1">
      <c r="B3551" s="57"/>
      <c r="C3551" s="43" t="str">
        <f t="array" ref="C3551">IF(B3551="","",_xlfn.XLOOKUP(B3551,'Form responses 1'!$B$2:$B$2604,'Form responses 1'!$A$2:$A$2604,""))</f>
        <v/>
      </c>
      <c r="D3551" s="44" t="str">
        <f t="shared" si="3"/>
        <v/>
      </c>
      <c r="E3551" s="44" t="str">
        <f t="array" ref="E3551">IF(B3551="","",_xlfn.XLOOKUP(B3551,'Form responses 1'!$B$2:$B$2604,'Form responses 1'!$C$2:$C$2604,""))</f>
        <v/>
      </c>
      <c r="F3551" s="44" t="str">
        <f t="array" ref="F3551">IF(B3551="","",_xlfn.XLOOKUP(B3551,'Form responses 1'!$B$2:$B$2604,'Form responses 1'!$D$2:$D$2604,""))</f>
        <v/>
      </c>
      <c r="G3551" s="44" t="str">
        <f t="array" ref="G3551">IF(B3551="","",_xlfn.XLOOKUP(B3551,'Form responses 1'!$B$2:$B$2604,'Form responses 1'!$E$2:$E$2604,""))</f>
        <v/>
      </c>
      <c r="H3551" s="44" t="str">
        <f t="array" ref="H3551">IF(B3551="","",_xlfn.XLOOKUP(B3551,'Form responses 1'!$B$2:$B$2604,'Form responses 1'!$F$2:$F$2604,""))</f>
        <v/>
      </c>
      <c r="I3551" s="44" t="str">
        <f t="array" ref="I3551">IF(B3551="","",_xlfn.XLOOKUP(B3551,'Form responses 1'!$B$2:$B$2604,'Form responses 1'!$I$2:$I$2604,""))</f>
        <v/>
      </c>
      <c r="J3551" s="44" t="str">
        <f t="array" ref="J3551">IF(B3551="","",_xlfn.XLOOKUP(B3551,'Form responses 1'!$B$2:$B$2604,'Form responses 1'!$G$2:$G$2604,""))</f>
        <v/>
      </c>
      <c r="K3551" s="56"/>
      <c r="L3551" s="58" t="str">
        <f t="shared" si="7"/>
        <v/>
      </c>
      <c r="M3551" s="49"/>
      <c r="N3551" s="49"/>
      <c r="O3551" s="49"/>
      <c r="P3551" s="49"/>
      <c r="Q3551" s="49"/>
      <c r="R3551" s="49"/>
      <c r="S3551" s="49"/>
      <c r="T3551" s="49"/>
      <c r="U3551" s="49"/>
      <c r="V3551" s="49"/>
      <c r="W3551" s="56"/>
      <c r="X3551" s="51" t="str">
        <f t="shared" si="5"/>
        <v/>
      </c>
      <c r="Y3551" s="50" t="s">
        <v>482</v>
      </c>
      <c r="Z3551" s="49">
        <f t="shared" si="6"/>
        <v>0</v>
      </c>
    </row>
    <row r="3552" ht="22.5" customHeight="1">
      <c r="B3552" s="57"/>
      <c r="C3552" s="43" t="str">
        <f t="array" ref="C3552">IF(B3552="","",_xlfn.XLOOKUP(B3552,'Form responses 1'!$B$2:$B$2604,'Form responses 1'!$A$2:$A$2604,""))</f>
        <v/>
      </c>
      <c r="D3552" s="44" t="str">
        <f t="shared" si="3"/>
        <v/>
      </c>
      <c r="E3552" s="44" t="str">
        <f t="array" ref="E3552">IF(B3552="","",_xlfn.XLOOKUP(B3552,'Form responses 1'!$B$2:$B$2604,'Form responses 1'!$C$2:$C$2604,""))</f>
        <v/>
      </c>
      <c r="F3552" s="44" t="str">
        <f t="array" ref="F3552">IF(B3552="","",_xlfn.XLOOKUP(B3552,'Form responses 1'!$B$2:$B$2604,'Form responses 1'!$D$2:$D$2604,""))</f>
        <v/>
      </c>
      <c r="G3552" s="44" t="str">
        <f t="array" ref="G3552">IF(B3552="","",_xlfn.XLOOKUP(B3552,'Form responses 1'!$B$2:$B$2604,'Form responses 1'!$E$2:$E$2604,""))</f>
        <v/>
      </c>
      <c r="H3552" s="44" t="str">
        <f t="array" ref="H3552">IF(B3552="","",_xlfn.XLOOKUP(B3552,'Form responses 1'!$B$2:$B$2604,'Form responses 1'!$F$2:$F$2604,""))</f>
        <v/>
      </c>
      <c r="I3552" s="44" t="str">
        <f t="array" ref="I3552">IF(B3552="","",_xlfn.XLOOKUP(B3552,'Form responses 1'!$B$2:$B$2604,'Form responses 1'!$I$2:$I$2604,""))</f>
        <v/>
      </c>
      <c r="J3552" s="44" t="str">
        <f t="array" ref="J3552">IF(B3552="","",_xlfn.XLOOKUP(B3552,'Form responses 1'!$B$2:$B$2604,'Form responses 1'!$G$2:$G$2604,""))</f>
        <v/>
      </c>
      <c r="K3552" s="56"/>
      <c r="L3552" s="58" t="str">
        <f t="shared" si="7"/>
        <v/>
      </c>
      <c r="M3552" s="49"/>
      <c r="N3552" s="49"/>
      <c r="O3552" s="49"/>
      <c r="P3552" s="49"/>
      <c r="Q3552" s="49"/>
      <c r="R3552" s="49"/>
      <c r="S3552" s="49"/>
      <c r="T3552" s="49"/>
      <c r="U3552" s="49"/>
      <c r="V3552" s="49"/>
      <c r="W3552" s="56"/>
      <c r="X3552" s="51" t="str">
        <f t="shared" si="5"/>
        <v/>
      </c>
      <c r="Y3552" s="50" t="s">
        <v>482</v>
      </c>
      <c r="Z3552" s="49">
        <f t="shared" si="6"/>
        <v>0</v>
      </c>
    </row>
    <row r="3553" ht="22.5" customHeight="1">
      <c r="B3553" s="57"/>
      <c r="C3553" s="43" t="str">
        <f t="array" ref="C3553">IF(B3553="","",_xlfn.XLOOKUP(B3553,'Form responses 1'!$B$2:$B$2604,'Form responses 1'!$A$2:$A$2604,""))</f>
        <v/>
      </c>
      <c r="D3553" s="44" t="str">
        <f t="shared" si="3"/>
        <v/>
      </c>
      <c r="E3553" s="44" t="str">
        <f t="array" ref="E3553">IF(B3553="","",_xlfn.XLOOKUP(B3553,'Form responses 1'!$B$2:$B$2604,'Form responses 1'!$C$2:$C$2604,""))</f>
        <v/>
      </c>
      <c r="F3553" s="44" t="str">
        <f t="array" ref="F3553">IF(B3553="","",_xlfn.XLOOKUP(B3553,'Form responses 1'!$B$2:$B$2604,'Form responses 1'!$D$2:$D$2604,""))</f>
        <v/>
      </c>
      <c r="G3553" s="44" t="str">
        <f t="array" ref="G3553">IF(B3553="","",_xlfn.XLOOKUP(B3553,'Form responses 1'!$B$2:$B$2604,'Form responses 1'!$E$2:$E$2604,""))</f>
        <v/>
      </c>
      <c r="H3553" s="44" t="str">
        <f t="array" ref="H3553">IF(B3553="","",_xlfn.XLOOKUP(B3553,'Form responses 1'!$B$2:$B$2604,'Form responses 1'!$F$2:$F$2604,""))</f>
        <v/>
      </c>
      <c r="I3553" s="44" t="str">
        <f t="array" ref="I3553">IF(B3553="","",_xlfn.XLOOKUP(B3553,'Form responses 1'!$B$2:$B$2604,'Form responses 1'!$I$2:$I$2604,""))</f>
        <v/>
      </c>
      <c r="J3553" s="44" t="str">
        <f t="array" ref="J3553">IF(B3553="","",_xlfn.XLOOKUP(B3553,'Form responses 1'!$B$2:$B$2604,'Form responses 1'!$G$2:$G$2604,""))</f>
        <v/>
      </c>
      <c r="K3553" s="56"/>
      <c r="L3553" s="58" t="str">
        <f t="shared" si="7"/>
        <v/>
      </c>
      <c r="M3553" s="49"/>
      <c r="N3553" s="49"/>
      <c r="O3553" s="49"/>
      <c r="P3553" s="49"/>
      <c r="Q3553" s="49"/>
      <c r="R3553" s="49"/>
      <c r="S3553" s="49"/>
      <c r="T3553" s="49"/>
      <c r="U3553" s="49"/>
      <c r="V3553" s="49"/>
      <c r="W3553" s="56"/>
      <c r="X3553" s="51" t="str">
        <f t="shared" si="5"/>
        <v/>
      </c>
      <c r="Y3553" s="50" t="s">
        <v>482</v>
      </c>
      <c r="Z3553" s="49">
        <f t="shared" si="6"/>
        <v>0</v>
      </c>
    </row>
    <row r="3554" ht="22.5" customHeight="1">
      <c r="B3554" s="57"/>
      <c r="C3554" s="43" t="str">
        <f t="array" ref="C3554">IF(B3554="","",_xlfn.XLOOKUP(B3554,'Form responses 1'!$B$2:$B$2604,'Form responses 1'!$A$2:$A$2604,""))</f>
        <v/>
      </c>
      <c r="D3554" s="44" t="str">
        <f t="shared" si="3"/>
        <v/>
      </c>
      <c r="E3554" s="44" t="str">
        <f t="array" ref="E3554">IF(B3554="","",_xlfn.XLOOKUP(B3554,'Form responses 1'!$B$2:$B$2604,'Form responses 1'!$C$2:$C$2604,""))</f>
        <v/>
      </c>
      <c r="F3554" s="44" t="str">
        <f t="array" ref="F3554">IF(B3554="","",_xlfn.XLOOKUP(B3554,'Form responses 1'!$B$2:$B$2604,'Form responses 1'!$D$2:$D$2604,""))</f>
        <v/>
      </c>
      <c r="G3554" s="44" t="str">
        <f t="array" ref="G3554">IF(B3554="","",_xlfn.XLOOKUP(B3554,'Form responses 1'!$B$2:$B$2604,'Form responses 1'!$E$2:$E$2604,""))</f>
        <v/>
      </c>
      <c r="H3554" s="44" t="str">
        <f t="array" ref="H3554">IF(B3554="","",_xlfn.XLOOKUP(B3554,'Form responses 1'!$B$2:$B$2604,'Form responses 1'!$F$2:$F$2604,""))</f>
        <v/>
      </c>
      <c r="I3554" s="44" t="str">
        <f t="array" ref="I3554">IF(B3554="","",_xlfn.XLOOKUP(B3554,'Form responses 1'!$B$2:$B$2604,'Form responses 1'!$I$2:$I$2604,""))</f>
        <v/>
      </c>
      <c r="J3554" s="44" t="str">
        <f t="array" ref="J3554">IF(B3554="","",_xlfn.XLOOKUP(B3554,'Form responses 1'!$B$2:$B$2604,'Form responses 1'!$G$2:$G$2604,""))</f>
        <v/>
      </c>
      <c r="K3554" s="56"/>
      <c r="L3554" s="58" t="str">
        <f t="shared" si="7"/>
        <v/>
      </c>
      <c r="M3554" s="49"/>
      <c r="N3554" s="49"/>
      <c r="O3554" s="49"/>
      <c r="P3554" s="49"/>
      <c r="Q3554" s="49"/>
      <c r="R3554" s="49"/>
      <c r="S3554" s="49"/>
      <c r="T3554" s="49"/>
      <c r="U3554" s="49"/>
      <c r="V3554" s="49"/>
      <c r="W3554" s="56"/>
      <c r="X3554" s="51" t="str">
        <f t="shared" si="5"/>
        <v/>
      </c>
      <c r="Y3554" s="50" t="s">
        <v>482</v>
      </c>
      <c r="Z3554" s="49">
        <f t="shared" si="6"/>
        <v>0</v>
      </c>
    </row>
    <row r="3555" ht="22.5" customHeight="1">
      <c r="B3555" s="57"/>
      <c r="C3555" s="43" t="str">
        <f t="array" ref="C3555">IF(B3555="","",_xlfn.XLOOKUP(B3555,'Form responses 1'!$B$2:$B$2604,'Form responses 1'!$A$2:$A$2604,""))</f>
        <v/>
      </c>
      <c r="D3555" s="44" t="str">
        <f t="shared" si="3"/>
        <v/>
      </c>
      <c r="E3555" s="44" t="str">
        <f t="array" ref="E3555">IF(B3555="","",_xlfn.XLOOKUP(B3555,'Form responses 1'!$B$2:$B$2604,'Form responses 1'!$C$2:$C$2604,""))</f>
        <v/>
      </c>
      <c r="F3555" s="44" t="str">
        <f t="array" ref="F3555">IF(B3555="","",_xlfn.XLOOKUP(B3555,'Form responses 1'!$B$2:$B$2604,'Form responses 1'!$D$2:$D$2604,""))</f>
        <v/>
      </c>
      <c r="G3555" s="44" t="str">
        <f t="array" ref="G3555">IF(B3555="","",_xlfn.XLOOKUP(B3555,'Form responses 1'!$B$2:$B$2604,'Form responses 1'!$E$2:$E$2604,""))</f>
        <v/>
      </c>
      <c r="H3555" s="44" t="str">
        <f t="array" ref="H3555">IF(B3555="","",_xlfn.XLOOKUP(B3555,'Form responses 1'!$B$2:$B$2604,'Form responses 1'!$F$2:$F$2604,""))</f>
        <v/>
      </c>
      <c r="I3555" s="44" t="str">
        <f t="array" ref="I3555">IF(B3555="","",_xlfn.XLOOKUP(B3555,'Form responses 1'!$B$2:$B$2604,'Form responses 1'!$I$2:$I$2604,""))</f>
        <v/>
      </c>
      <c r="J3555" s="44" t="str">
        <f t="array" ref="J3555">IF(B3555="","",_xlfn.XLOOKUP(B3555,'Form responses 1'!$B$2:$B$2604,'Form responses 1'!$G$2:$G$2604,""))</f>
        <v/>
      </c>
      <c r="K3555" s="56"/>
      <c r="L3555" s="58" t="str">
        <f t="shared" si="7"/>
        <v/>
      </c>
      <c r="M3555" s="49"/>
      <c r="N3555" s="49"/>
      <c r="O3555" s="49"/>
      <c r="P3555" s="49"/>
      <c r="Q3555" s="49"/>
      <c r="R3555" s="49"/>
      <c r="S3555" s="49"/>
      <c r="T3555" s="49"/>
      <c r="U3555" s="49"/>
      <c r="V3555" s="49"/>
      <c r="W3555" s="56"/>
      <c r="X3555" s="51" t="str">
        <f t="shared" si="5"/>
        <v/>
      </c>
      <c r="Y3555" s="50" t="s">
        <v>482</v>
      </c>
      <c r="Z3555" s="49">
        <f t="shared" si="6"/>
        <v>0</v>
      </c>
    </row>
    <row r="3556" ht="22.5" customHeight="1">
      <c r="B3556" s="57"/>
      <c r="C3556" s="43" t="str">
        <f t="array" ref="C3556">IF(B3556="","",_xlfn.XLOOKUP(B3556,'Form responses 1'!$B$2:$B$2604,'Form responses 1'!$A$2:$A$2604,""))</f>
        <v/>
      </c>
      <c r="D3556" s="44" t="str">
        <f t="shared" si="3"/>
        <v/>
      </c>
      <c r="E3556" s="44" t="str">
        <f t="array" ref="E3556">IF(B3556="","",_xlfn.XLOOKUP(B3556,'Form responses 1'!$B$2:$B$2604,'Form responses 1'!$C$2:$C$2604,""))</f>
        <v/>
      </c>
      <c r="F3556" s="44" t="str">
        <f t="array" ref="F3556">IF(B3556="","",_xlfn.XLOOKUP(B3556,'Form responses 1'!$B$2:$B$2604,'Form responses 1'!$D$2:$D$2604,""))</f>
        <v/>
      </c>
      <c r="G3556" s="44" t="str">
        <f t="array" ref="G3556">IF(B3556="","",_xlfn.XLOOKUP(B3556,'Form responses 1'!$B$2:$B$2604,'Form responses 1'!$E$2:$E$2604,""))</f>
        <v/>
      </c>
      <c r="H3556" s="44" t="str">
        <f t="array" ref="H3556">IF(B3556="","",_xlfn.XLOOKUP(B3556,'Form responses 1'!$B$2:$B$2604,'Form responses 1'!$F$2:$F$2604,""))</f>
        <v/>
      </c>
      <c r="I3556" s="44" t="str">
        <f t="array" ref="I3556">IF(B3556="","",_xlfn.XLOOKUP(B3556,'Form responses 1'!$B$2:$B$2604,'Form responses 1'!$I$2:$I$2604,""))</f>
        <v/>
      </c>
      <c r="J3556" s="44" t="str">
        <f t="array" ref="J3556">IF(B3556="","",_xlfn.XLOOKUP(B3556,'Form responses 1'!$B$2:$B$2604,'Form responses 1'!$G$2:$G$2604,""))</f>
        <v/>
      </c>
      <c r="K3556" s="56"/>
      <c r="L3556" s="58" t="str">
        <f t="shared" si="7"/>
        <v/>
      </c>
      <c r="M3556" s="49"/>
      <c r="N3556" s="49"/>
      <c r="O3556" s="49"/>
      <c r="P3556" s="49"/>
      <c r="Q3556" s="49"/>
      <c r="R3556" s="49"/>
      <c r="S3556" s="49"/>
      <c r="T3556" s="49"/>
      <c r="U3556" s="49"/>
      <c r="V3556" s="49"/>
      <c r="W3556" s="56"/>
      <c r="X3556" s="51" t="str">
        <f t="shared" si="5"/>
        <v/>
      </c>
      <c r="Y3556" s="50" t="s">
        <v>482</v>
      </c>
      <c r="Z3556" s="49">
        <f t="shared" si="6"/>
        <v>0</v>
      </c>
    </row>
    <row r="3557" ht="22.5" customHeight="1">
      <c r="B3557" s="57"/>
      <c r="C3557" s="43" t="str">
        <f t="array" ref="C3557">IF(B3557="","",_xlfn.XLOOKUP(B3557,'Form responses 1'!$B$2:$B$2604,'Form responses 1'!$A$2:$A$2604,""))</f>
        <v/>
      </c>
      <c r="D3557" s="44" t="str">
        <f t="shared" si="3"/>
        <v/>
      </c>
      <c r="E3557" s="44" t="str">
        <f t="array" ref="E3557">IF(B3557="","",_xlfn.XLOOKUP(B3557,'Form responses 1'!$B$2:$B$2604,'Form responses 1'!$C$2:$C$2604,""))</f>
        <v/>
      </c>
      <c r="F3557" s="44" t="str">
        <f t="array" ref="F3557">IF(B3557="","",_xlfn.XLOOKUP(B3557,'Form responses 1'!$B$2:$B$2604,'Form responses 1'!$D$2:$D$2604,""))</f>
        <v/>
      </c>
      <c r="G3557" s="44" t="str">
        <f t="array" ref="G3557">IF(B3557="","",_xlfn.XLOOKUP(B3557,'Form responses 1'!$B$2:$B$2604,'Form responses 1'!$E$2:$E$2604,""))</f>
        <v/>
      </c>
      <c r="H3557" s="44" t="str">
        <f t="array" ref="H3557">IF(B3557="","",_xlfn.XLOOKUP(B3557,'Form responses 1'!$B$2:$B$2604,'Form responses 1'!$F$2:$F$2604,""))</f>
        <v/>
      </c>
      <c r="I3557" s="44" t="str">
        <f t="array" ref="I3557">IF(B3557="","",_xlfn.XLOOKUP(B3557,'Form responses 1'!$B$2:$B$2604,'Form responses 1'!$I$2:$I$2604,""))</f>
        <v/>
      </c>
      <c r="J3557" s="44" t="str">
        <f t="array" ref="J3557">IF(B3557="","",_xlfn.XLOOKUP(B3557,'Form responses 1'!$B$2:$B$2604,'Form responses 1'!$G$2:$G$2604,""))</f>
        <v/>
      </c>
      <c r="K3557" s="56"/>
      <c r="L3557" s="58" t="str">
        <f t="shared" si="7"/>
        <v/>
      </c>
      <c r="M3557" s="49"/>
      <c r="N3557" s="49"/>
      <c r="O3557" s="49"/>
      <c r="P3557" s="49"/>
      <c r="Q3557" s="49"/>
      <c r="R3557" s="49"/>
      <c r="S3557" s="49"/>
      <c r="T3557" s="49"/>
      <c r="U3557" s="49"/>
      <c r="V3557" s="49"/>
      <c r="W3557" s="56"/>
      <c r="X3557" s="51" t="str">
        <f t="shared" si="5"/>
        <v/>
      </c>
      <c r="Y3557" s="50" t="s">
        <v>482</v>
      </c>
      <c r="Z3557" s="49">
        <f t="shared" si="6"/>
        <v>0</v>
      </c>
    </row>
    <row r="3558" ht="22.5" customHeight="1">
      <c r="B3558" s="57"/>
      <c r="C3558" s="43" t="str">
        <f t="array" ref="C3558">IF(B3558="","",_xlfn.XLOOKUP(B3558,'Form responses 1'!$B$2:$B$2604,'Form responses 1'!$A$2:$A$2604,""))</f>
        <v/>
      </c>
      <c r="D3558" s="44" t="str">
        <f t="shared" si="3"/>
        <v/>
      </c>
      <c r="E3558" s="44" t="str">
        <f t="array" ref="E3558">IF(B3558="","",_xlfn.XLOOKUP(B3558,'Form responses 1'!$B$2:$B$2604,'Form responses 1'!$C$2:$C$2604,""))</f>
        <v/>
      </c>
      <c r="F3558" s="44" t="str">
        <f t="array" ref="F3558">IF(B3558="","",_xlfn.XLOOKUP(B3558,'Form responses 1'!$B$2:$B$2604,'Form responses 1'!$D$2:$D$2604,""))</f>
        <v/>
      </c>
      <c r="G3558" s="44" t="str">
        <f t="array" ref="G3558">IF(B3558="","",_xlfn.XLOOKUP(B3558,'Form responses 1'!$B$2:$B$2604,'Form responses 1'!$E$2:$E$2604,""))</f>
        <v/>
      </c>
      <c r="H3558" s="44" t="str">
        <f t="array" ref="H3558">IF(B3558="","",_xlfn.XLOOKUP(B3558,'Form responses 1'!$B$2:$B$2604,'Form responses 1'!$F$2:$F$2604,""))</f>
        <v/>
      </c>
      <c r="I3558" s="44" t="str">
        <f t="array" ref="I3558">IF(B3558="","",_xlfn.XLOOKUP(B3558,'Form responses 1'!$B$2:$B$2604,'Form responses 1'!$I$2:$I$2604,""))</f>
        <v/>
      </c>
      <c r="J3558" s="44" t="str">
        <f t="array" ref="J3558">IF(B3558="","",_xlfn.XLOOKUP(B3558,'Form responses 1'!$B$2:$B$2604,'Form responses 1'!$G$2:$G$2604,""))</f>
        <v/>
      </c>
      <c r="K3558" s="56"/>
      <c r="L3558" s="58" t="str">
        <f t="shared" si="7"/>
        <v/>
      </c>
      <c r="M3558" s="49"/>
      <c r="N3558" s="49"/>
      <c r="O3558" s="49"/>
      <c r="P3558" s="49"/>
      <c r="Q3558" s="49"/>
      <c r="R3558" s="49"/>
      <c r="S3558" s="49"/>
      <c r="T3558" s="49"/>
      <c r="U3558" s="49"/>
      <c r="V3558" s="49"/>
      <c r="W3558" s="56"/>
      <c r="X3558" s="51" t="str">
        <f t="shared" si="5"/>
        <v/>
      </c>
      <c r="Y3558" s="50" t="s">
        <v>482</v>
      </c>
      <c r="Z3558" s="49">
        <f t="shared" si="6"/>
        <v>0</v>
      </c>
    </row>
    <row r="3559" ht="22.5" customHeight="1">
      <c r="B3559" s="57"/>
      <c r="C3559" s="43" t="str">
        <f t="array" ref="C3559">IF(B3559="","",_xlfn.XLOOKUP(B3559,'Form responses 1'!$B$2:$B$2604,'Form responses 1'!$A$2:$A$2604,""))</f>
        <v/>
      </c>
      <c r="D3559" s="44" t="str">
        <f t="shared" si="3"/>
        <v/>
      </c>
      <c r="E3559" s="44" t="str">
        <f t="array" ref="E3559">IF(B3559="","",_xlfn.XLOOKUP(B3559,'Form responses 1'!$B$2:$B$2604,'Form responses 1'!$C$2:$C$2604,""))</f>
        <v/>
      </c>
      <c r="F3559" s="44" t="str">
        <f t="array" ref="F3559">IF(B3559="","",_xlfn.XLOOKUP(B3559,'Form responses 1'!$B$2:$B$2604,'Form responses 1'!$D$2:$D$2604,""))</f>
        <v/>
      </c>
      <c r="G3559" s="44" t="str">
        <f t="array" ref="G3559">IF(B3559="","",_xlfn.XLOOKUP(B3559,'Form responses 1'!$B$2:$B$2604,'Form responses 1'!$E$2:$E$2604,""))</f>
        <v/>
      </c>
      <c r="H3559" s="44" t="str">
        <f t="array" ref="H3559">IF(B3559="","",_xlfn.XLOOKUP(B3559,'Form responses 1'!$B$2:$B$2604,'Form responses 1'!$F$2:$F$2604,""))</f>
        <v/>
      </c>
      <c r="I3559" s="44" t="str">
        <f t="array" ref="I3559">IF(B3559="","",_xlfn.XLOOKUP(B3559,'Form responses 1'!$B$2:$B$2604,'Form responses 1'!$I$2:$I$2604,""))</f>
        <v/>
      </c>
      <c r="J3559" s="44" t="str">
        <f t="array" ref="J3559">IF(B3559="","",_xlfn.XLOOKUP(B3559,'Form responses 1'!$B$2:$B$2604,'Form responses 1'!$G$2:$G$2604,""))</f>
        <v/>
      </c>
      <c r="K3559" s="56"/>
      <c r="L3559" s="58" t="str">
        <f t="shared" si="7"/>
        <v/>
      </c>
      <c r="M3559" s="49"/>
      <c r="N3559" s="49"/>
      <c r="O3559" s="49"/>
      <c r="P3559" s="49"/>
      <c r="Q3559" s="49"/>
      <c r="R3559" s="49"/>
      <c r="S3559" s="49"/>
      <c r="T3559" s="49"/>
      <c r="U3559" s="49"/>
      <c r="V3559" s="49"/>
      <c r="W3559" s="56"/>
      <c r="X3559" s="51" t="str">
        <f t="shared" si="5"/>
        <v/>
      </c>
      <c r="Y3559" s="50" t="s">
        <v>482</v>
      </c>
      <c r="Z3559" s="49">
        <f t="shared" si="6"/>
        <v>0</v>
      </c>
    </row>
    <row r="3560" ht="22.5" customHeight="1">
      <c r="B3560" s="57"/>
      <c r="C3560" s="43" t="str">
        <f t="array" ref="C3560">IF(B3560="","",_xlfn.XLOOKUP(B3560,'Form responses 1'!$B$2:$B$2604,'Form responses 1'!$A$2:$A$2604,""))</f>
        <v/>
      </c>
      <c r="D3560" s="44" t="str">
        <f t="shared" si="3"/>
        <v/>
      </c>
      <c r="E3560" s="44" t="str">
        <f t="array" ref="E3560">IF(B3560="","",_xlfn.XLOOKUP(B3560,'Form responses 1'!$B$2:$B$2604,'Form responses 1'!$C$2:$C$2604,""))</f>
        <v/>
      </c>
      <c r="F3560" s="44" t="str">
        <f t="array" ref="F3560">IF(B3560="","",_xlfn.XLOOKUP(B3560,'Form responses 1'!$B$2:$B$2604,'Form responses 1'!$D$2:$D$2604,""))</f>
        <v/>
      </c>
      <c r="G3560" s="44" t="str">
        <f t="array" ref="G3560">IF(B3560="","",_xlfn.XLOOKUP(B3560,'Form responses 1'!$B$2:$B$2604,'Form responses 1'!$E$2:$E$2604,""))</f>
        <v/>
      </c>
      <c r="H3560" s="44" t="str">
        <f t="array" ref="H3560">IF(B3560="","",_xlfn.XLOOKUP(B3560,'Form responses 1'!$B$2:$B$2604,'Form responses 1'!$F$2:$F$2604,""))</f>
        <v/>
      </c>
      <c r="I3560" s="44" t="str">
        <f t="array" ref="I3560">IF(B3560="","",_xlfn.XLOOKUP(B3560,'Form responses 1'!$B$2:$B$2604,'Form responses 1'!$I$2:$I$2604,""))</f>
        <v/>
      </c>
      <c r="J3560" s="44" t="str">
        <f t="array" ref="J3560">IF(B3560="","",_xlfn.XLOOKUP(B3560,'Form responses 1'!$B$2:$B$2604,'Form responses 1'!$G$2:$G$2604,""))</f>
        <v/>
      </c>
      <c r="K3560" s="56"/>
      <c r="L3560" s="58" t="str">
        <f t="shared" si="7"/>
        <v/>
      </c>
      <c r="M3560" s="49"/>
      <c r="N3560" s="49"/>
      <c r="O3560" s="49"/>
      <c r="P3560" s="49"/>
      <c r="Q3560" s="49"/>
      <c r="R3560" s="49"/>
      <c r="S3560" s="49"/>
      <c r="T3560" s="49"/>
      <c r="U3560" s="49"/>
      <c r="V3560" s="49"/>
      <c r="W3560" s="56"/>
      <c r="X3560" s="51" t="str">
        <f t="shared" si="5"/>
        <v/>
      </c>
      <c r="Y3560" s="50" t="s">
        <v>482</v>
      </c>
      <c r="Z3560" s="49">
        <f t="shared" si="6"/>
        <v>0</v>
      </c>
    </row>
    <row r="3561" ht="22.5" customHeight="1">
      <c r="B3561" s="57"/>
      <c r="C3561" s="43" t="str">
        <f t="array" ref="C3561">IF(B3561="","",_xlfn.XLOOKUP(B3561,'Form responses 1'!$B$2:$B$2604,'Form responses 1'!$A$2:$A$2604,""))</f>
        <v/>
      </c>
      <c r="D3561" s="44" t="str">
        <f t="shared" si="3"/>
        <v/>
      </c>
      <c r="E3561" s="44" t="str">
        <f t="array" ref="E3561">IF(B3561="","",_xlfn.XLOOKUP(B3561,'Form responses 1'!$B$2:$B$2604,'Form responses 1'!$C$2:$C$2604,""))</f>
        <v/>
      </c>
      <c r="F3561" s="44" t="str">
        <f t="array" ref="F3561">IF(B3561="","",_xlfn.XLOOKUP(B3561,'Form responses 1'!$B$2:$B$2604,'Form responses 1'!$D$2:$D$2604,""))</f>
        <v/>
      </c>
      <c r="G3561" s="44" t="str">
        <f t="array" ref="G3561">IF(B3561="","",_xlfn.XLOOKUP(B3561,'Form responses 1'!$B$2:$B$2604,'Form responses 1'!$E$2:$E$2604,""))</f>
        <v/>
      </c>
      <c r="H3561" s="44" t="str">
        <f t="array" ref="H3561">IF(B3561="","",_xlfn.XLOOKUP(B3561,'Form responses 1'!$B$2:$B$2604,'Form responses 1'!$F$2:$F$2604,""))</f>
        <v/>
      </c>
      <c r="I3561" s="44" t="str">
        <f t="array" ref="I3561">IF(B3561="","",_xlfn.XLOOKUP(B3561,'Form responses 1'!$B$2:$B$2604,'Form responses 1'!$I$2:$I$2604,""))</f>
        <v/>
      </c>
      <c r="J3561" s="44" t="str">
        <f t="array" ref="J3561">IF(B3561="","",_xlfn.XLOOKUP(B3561,'Form responses 1'!$B$2:$B$2604,'Form responses 1'!$G$2:$G$2604,""))</f>
        <v/>
      </c>
      <c r="K3561" s="56"/>
      <c r="L3561" s="58" t="str">
        <f t="shared" si="7"/>
        <v/>
      </c>
      <c r="M3561" s="49"/>
      <c r="N3561" s="49"/>
      <c r="O3561" s="49"/>
      <c r="P3561" s="49"/>
      <c r="Q3561" s="49"/>
      <c r="R3561" s="49"/>
      <c r="S3561" s="49"/>
      <c r="T3561" s="49"/>
      <c r="U3561" s="49"/>
      <c r="V3561" s="49"/>
      <c r="W3561" s="56"/>
      <c r="X3561" s="51" t="str">
        <f t="shared" si="5"/>
        <v/>
      </c>
      <c r="Y3561" s="50" t="s">
        <v>482</v>
      </c>
      <c r="Z3561" s="49">
        <f t="shared" si="6"/>
        <v>0</v>
      </c>
    </row>
    <row r="3562" ht="22.5" customHeight="1">
      <c r="B3562" s="57"/>
      <c r="C3562" s="43" t="str">
        <f t="array" ref="C3562">IF(B3562="","",_xlfn.XLOOKUP(B3562,'Form responses 1'!$B$2:$B$2604,'Form responses 1'!$A$2:$A$2604,""))</f>
        <v/>
      </c>
      <c r="D3562" s="44" t="str">
        <f t="shared" si="3"/>
        <v/>
      </c>
      <c r="E3562" s="44" t="str">
        <f t="array" ref="E3562">IF(B3562="","",_xlfn.XLOOKUP(B3562,'Form responses 1'!$B$2:$B$2604,'Form responses 1'!$C$2:$C$2604,""))</f>
        <v/>
      </c>
      <c r="F3562" s="44" t="str">
        <f t="array" ref="F3562">IF(B3562="","",_xlfn.XLOOKUP(B3562,'Form responses 1'!$B$2:$B$2604,'Form responses 1'!$D$2:$D$2604,""))</f>
        <v/>
      </c>
      <c r="G3562" s="44" t="str">
        <f t="array" ref="G3562">IF(B3562="","",_xlfn.XLOOKUP(B3562,'Form responses 1'!$B$2:$B$2604,'Form responses 1'!$E$2:$E$2604,""))</f>
        <v/>
      </c>
      <c r="H3562" s="44" t="str">
        <f t="array" ref="H3562">IF(B3562="","",_xlfn.XLOOKUP(B3562,'Form responses 1'!$B$2:$B$2604,'Form responses 1'!$F$2:$F$2604,""))</f>
        <v/>
      </c>
      <c r="I3562" s="44" t="str">
        <f t="array" ref="I3562">IF(B3562="","",_xlfn.XLOOKUP(B3562,'Form responses 1'!$B$2:$B$2604,'Form responses 1'!$I$2:$I$2604,""))</f>
        <v/>
      </c>
      <c r="J3562" s="44" t="str">
        <f t="array" ref="J3562">IF(B3562="","",_xlfn.XLOOKUP(B3562,'Form responses 1'!$B$2:$B$2604,'Form responses 1'!$G$2:$G$2604,""))</f>
        <v/>
      </c>
      <c r="K3562" s="56"/>
      <c r="L3562" s="58" t="str">
        <f t="shared" si="7"/>
        <v/>
      </c>
      <c r="M3562" s="49"/>
      <c r="N3562" s="49"/>
      <c r="O3562" s="49"/>
      <c r="P3562" s="49"/>
      <c r="Q3562" s="49"/>
      <c r="R3562" s="49"/>
      <c r="S3562" s="49"/>
      <c r="T3562" s="49"/>
      <c r="U3562" s="49"/>
      <c r="V3562" s="49"/>
      <c r="W3562" s="56"/>
      <c r="X3562" s="51" t="str">
        <f t="shared" si="5"/>
        <v/>
      </c>
      <c r="Y3562" s="50" t="s">
        <v>482</v>
      </c>
      <c r="Z3562" s="49">
        <f t="shared" si="6"/>
        <v>0</v>
      </c>
    </row>
    <row r="3563" ht="22.5" customHeight="1">
      <c r="B3563" s="57"/>
      <c r="C3563" s="43" t="str">
        <f t="array" ref="C3563">IF(B3563="","",_xlfn.XLOOKUP(B3563,'Form responses 1'!$B$2:$B$2604,'Form responses 1'!$A$2:$A$2604,""))</f>
        <v/>
      </c>
      <c r="D3563" s="44" t="str">
        <f t="shared" si="3"/>
        <v/>
      </c>
      <c r="E3563" s="44" t="str">
        <f t="array" ref="E3563">IF(B3563="","",_xlfn.XLOOKUP(B3563,'Form responses 1'!$B$2:$B$2604,'Form responses 1'!$C$2:$C$2604,""))</f>
        <v/>
      </c>
      <c r="F3563" s="44" t="str">
        <f t="array" ref="F3563">IF(B3563="","",_xlfn.XLOOKUP(B3563,'Form responses 1'!$B$2:$B$2604,'Form responses 1'!$D$2:$D$2604,""))</f>
        <v/>
      </c>
      <c r="G3563" s="44" t="str">
        <f t="array" ref="G3563">IF(B3563="","",_xlfn.XLOOKUP(B3563,'Form responses 1'!$B$2:$B$2604,'Form responses 1'!$E$2:$E$2604,""))</f>
        <v/>
      </c>
      <c r="H3563" s="44" t="str">
        <f t="array" ref="H3563">IF(B3563="","",_xlfn.XLOOKUP(B3563,'Form responses 1'!$B$2:$B$2604,'Form responses 1'!$F$2:$F$2604,""))</f>
        <v/>
      </c>
      <c r="I3563" s="44" t="str">
        <f t="array" ref="I3563">IF(B3563="","",_xlfn.XLOOKUP(B3563,'Form responses 1'!$B$2:$B$2604,'Form responses 1'!$I$2:$I$2604,""))</f>
        <v/>
      </c>
      <c r="J3563" s="44" t="str">
        <f t="array" ref="J3563">IF(B3563="","",_xlfn.XLOOKUP(B3563,'Form responses 1'!$B$2:$B$2604,'Form responses 1'!$G$2:$G$2604,""))</f>
        <v/>
      </c>
      <c r="K3563" s="56"/>
      <c r="L3563" s="58" t="str">
        <f t="shared" si="7"/>
        <v/>
      </c>
      <c r="M3563" s="49"/>
      <c r="N3563" s="49"/>
      <c r="O3563" s="49"/>
      <c r="P3563" s="49"/>
      <c r="Q3563" s="49"/>
      <c r="R3563" s="49"/>
      <c r="S3563" s="49"/>
      <c r="T3563" s="49"/>
      <c r="U3563" s="49"/>
      <c r="V3563" s="49"/>
      <c r="W3563" s="56"/>
      <c r="X3563" s="51" t="str">
        <f t="shared" si="5"/>
        <v/>
      </c>
      <c r="Y3563" s="50" t="s">
        <v>482</v>
      </c>
      <c r="Z3563" s="49">
        <f t="shared" si="6"/>
        <v>0</v>
      </c>
    </row>
    <row r="3564" ht="22.5" customHeight="1">
      <c r="B3564" s="57"/>
      <c r="C3564" s="43" t="str">
        <f t="array" ref="C3564">IF(B3564="","",_xlfn.XLOOKUP(B3564,'Form responses 1'!$B$2:$B$2604,'Form responses 1'!$A$2:$A$2604,""))</f>
        <v/>
      </c>
      <c r="D3564" s="44" t="str">
        <f t="shared" si="3"/>
        <v/>
      </c>
      <c r="E3564" s="44" t="str">
        <f t="array" ref="E3564">IF(B3564="","",_xlfn.XLOOKUP(B3564,'Form responses 1'!$B$2:$B$2604,'Form responses 1'!$C$2:$C$2604,""))</f>
        <v/>
      </c>
      <c r="F3564" s="44" t="str">
        <f t="array" ref="F3564">IF(B3564="","",_xlfn.XLOOKUP(B3564,'Form responses 1'!$B$2:$B$2604,'Form responses 1'!$D$2:$D$2604,""))</f>
        <v/>
      </c>
      <c r="G3564" s="44" t="str">
        <f t="array" ref="G3564">IF(B3564="","",_xlfn.XLOOKUP(B3564,'Form responses 1'!$B$2:$B$2604,'Form responses 1'!$E$2:$E$2604,""))</f>
        <v/>
      </c>
      <c r="H3564" s="44" t="str">
        <f t="array" ref="H3564">IF(B3564="","",_xlfn.XLOOKUP(B3564,'Form responses 1'!$B$2:$B$2604,'Form responses 1'!$F$2:$F$2604,""))</f>
        <v/>
      </c>
      <c r="I3564" s="44" t="str">
        <f t="array" ref="I3564">IF(B3564="","",_xlfn.XLOOKUP(B3564,'Form responses 1'!$B$2:$B$2604,'Form responses 1'!$I$2:$I$2604,""))</f>
        <v/>
      </c>
      <c r="J3564" s="44" t="str">
        <f t="array" ref="J3564">IF(B3564="","",_xlfn.XLOOKUP(B3564,'Form responses 1'!$B$2:$B$2604,'Form responses 1'!$G$2:$G$2604,""))</f>
        <v/>
      </c>
      <c r="K3564" s="56"/>
      <c r="L3564" s="58" t="str">
        <f t="shared" si="7"/>
        <v/>
      </c>
      <c r="M3564" s="49"/>
      <c r="N3564" s="49"/>
      <c r="O3564" s="49"/>
      <c r="P3564" s="49"/>
      <c r="Q3564" s="49"/>
      <c r="R3564" s="49"/>
      <c r="S3564" s="49"/>
      <c r="T3564" s="49"/>
      <c r="U3564" s="49"/>
      <c r="V3564" s="49"/>
      <c r="W3564" s="56"/>
      <c r="X3564" s="51" t="str">
        <f t="shared" si="5"/>
        <v/>
      </c>
      <c r="Y3564" s="50" t="s">
        <v>482</v>
      </c>
      <c r="Z3564" s="49">
        <f t="shared" si="6"/>
        <v>0</v>
      </c>
    </row>
    <row r="3565" ht="22.5" customHeight="1">
      <c r="B3565" s="57"/>
      <c r="C3565" s="43" t="str">
        <f t="array" ref="C3565">IF(B3565="","",_xlfn.XLOOKUP(B3565,'Form responses 1'!$B$2:$B$2604,'Form responses 1'!$A$2:$A$2604,""))</f>
        <v/>
      </c>
      <c r="D3565" s="44" t="str">
        <f t="shared" si="3"/>
        <v/>
      </c>
      <c r="E3565" s="44" t="str">
        <f t="array" ref="E3565">IF(B3565="","",_xlfn.XLOOKUP(B3565,'Form responses 1'!$B$2:$B$2604,'Form responses 1'!$C$2:$C$2604,""))</f>
        <v/>
      </c>
      <c r="F3565" s="44" t="str">
        <f t="array" ref="F3565">IF(B3565="","",_xlfn.XLOOKUP(B3565,'Form responses 1'!$B$2:$B$2604,'Form responses 1'!$D$2:$D$2604,""))</f>
        <v/>
      </c>
      <c r="G3565" s="44" t="str">
        <f t="array" ref="G3565">IF(B3565="","",_xlfn.XLOOKUP(B3565,'Form responses 1'!$B$2:$B$2604,'Form responses 1'!$E$2:$E$2604,""))</f>
        <v/>
      </c>
      <c r="H3565" s="44" t="str">
        <f t="array" ref="H3565">IF(B3565="","",_xlfn.XLOOKUP(B3565,'Form responses 1'!$B$2:$B$2604,'Form responses 1'!$F$2:$F$2604,""))</f>
        <v/>
      </c>
      <c r="I3565" s="44" t="str">
        <f t="array" ref="I3565">IF(B3565="","",_xlfn.XLOOKUP(B3565,'Form responses 1'!$B$2:$B$2604,'Form responses 1'!$I$2:$I$2604,""))</f>
        <v/>
      </c>
      <c r="J3565" s="44" t="str">
        <f t="array" ref="J3565">IF(B3565="","",_xlfn.XLOOKUP(B3565,'Form responses 1'!$B$2:$B$2604,'Form responses 1'!$G$2:$G$2604,""))</f>
        <v/>
      </c>
      <c r="K3565" s="56"/>
      <c r="L3565" s="58" t="str">
        <f t="shared" si="7"/>
        <v/>
      </c>
      <c r="M3565" s="49"/>
      <c r="N3565" s="49"/>
      <c r="O3565" s="49"/>
      <c r="P3565" s="49"/>
      <c r="Q3565" s="49"/>
      <c r="R3565" s="49"/>
      <c r="S3565" s="49"/>
      <c r="T3565" s="49"/>
      <c r="U3565" s="49"/>
      <c r="V3565" s="49"/>
      <c r="W3565" s="56"/>
      <c r="X3565" s="51" t="str">
        <f t="shared" si="5"/>
        <v/>
      </c>
      <c r="Y3565" s="50" t="s">
        <v>482</v>
      </c>
      <c r="Z3565" s="49">
        <f t="shared" si="6"/>
        <v>0</v>
      </c>
    </row>
    <row r="3566" ht="22.5" customHeight="1">
      <c r="B3566" s="57"/>
      <c r="C3566" s="43" t="str">
        <f t="array" ref="C3566">IF(B3566="","",_xlfn.XLOOKUP(B3566,'Form responses 1'!$B$2:$B$2604,'Form responses 1'!$A$2:$A$2604,""))</f>
        <v/>
      </c>
      <c r="D3566" s="44" t="str">
        <f t="shared" si="3"/>
        <v/>
      </c>
      <c r="E3566" s="44" t="str">
        <f t="array" ref="E3566">IF(B3566="","",_xlfn.XLOOKUP(B3566,'Form responses 1'!$B$2:$B$2604,'Form responses 1'!$C$2:$C$2604,""))</f>
        <v/>
      </c>
      <c r="F3566" s="44" t="str">
        <f t="array" ref="F3566">IF(B3566="","",_xlfn.XLOOKUP(B3566,'Form responses 1'!$B$2:$B$2604,'Form responses 1'!$D$2:$D$2604,""))</f>
        <v/>
      </c>
      <c r="G3566" s="44" t="str">
        <f t="array" ref="G3566">IF(B3566="","",_xlfn.XLOOKUP(B3566,'Form responses 1'!$B$2:$B$2604,'Form responses 1'!$E$2:$E$2604,""))</f>
        <v/>
      </c>
      <c r="H3566" s="44" t="str">
        <f t="array" ref="H3566">IF(B3566="","",_xlfn.XLOOKUP(B3566,'Form responses 1'!$B$2:$B$2604,'Form responses 1'!$F$2:$F$2604,""))</f>
        <v/>
      </c>
      <c r="I3566" s="44" t="str">
        <f t="array" ref="I3566">IF(B3566="","",_xlfn.XLOOKUP(B3566,'Form responses 1'!$B$2:$B$2604,'Form responses 1'!$I$2:$I$2604,""))</f>
        <v/>
      </c>
      <c r="J3566" s="44" t="str">
        <f t="array" ref="J3566">IF(B3566="","",_xlfn.XLOOKUP(B3566,'Form responses 1'!$B$2:$B$2604,'Form responses 1'!$G$2:$G$2604,""))</f>
        <v/>
      </c>
      <c r="K3566" s="56"/>
      <c r="L3566" s="58" t="str">
        <f t="shared" si="7"/>
        <v/>
      </c>
      <c r="M3566" s="49"/>
      <c r="N3566" s="49"/>
      <c r="O3566" s="49"/>
      <c r="P3566" s="49"/>
      <c r="Q3566" s="49"/>
      <c r="R3566" s="49"/>
      <c r="S3566" s="49"/>
      <c r="T3566" s="49"/>
      <c r="U3566" s="49"/>
      <c r="V3566" s="49"/>
      <c r="W3566" s="56"/>
      <c r="X3566" s="51" t="str">
        <f t="shared" si="5"/>
        <v/>
      </c>
      <c r="Y3566" s="50" t="s">
        <v>482</v>
      </c>
      <c r="Z3566" s="49">
        <f t="shared" si="6"/>
        <v>0</v>
      </c>
    </row>
    <row r="3567" ht="22.5" customHeight="1">
      <c r="B3567" s="57"/>
      <c r="C3567" s="43" t="str">
        <f t="array" ref="C3567">IF(B3567="","",_xlfn.XLOOKUP(B3567,'Form responses 1'!$B$2:$B$2604,'Form responses 1'!$A$2:$A$2604,""))</f>
        <v/>
      </c>
      <c r="D3567" s="44" t="str">
        <f t="shared" si="3"/>
        <v/>
      </c>
      <c r="E3567" s="44" t="str">
        <f t="array" ref="E3567">IF(B3567="","",_xlfn.XLOOKUP(B3567,'Form responses 1'!$B$2:$B$2604,'Form responses 1'!$C$2:$C$2604,""))</f>
        <v/>
      </c>
      <c r="F3567" s="44" t="str">
        <f t="array" ref="F3567">IF(B3567="","",_xlfn.XLOOKUP(B3567,'Form responses 1'!$B$2:$B$2604,'Form responses 1'!$D$2:$D$2604,""))</f>
        <v/>
      </c>
      <c r="G3567" s="44" t="str">
        <f t="array" ref="G3567">IF(B3567="","",_xlfn.XLOOKUP(B3567,'Form responses 1'!$B$2:$B$2604,'Form responses 1'!$E$2:$E$2604,""))</f>
        <v/>
      </c>
      <c r="H3567" s="44" t="str">
        <f t="array" ref="H3567">IF(B3567="","",_xlfn.XLOOKUP(B3567,'Form responses 1'!$B$2:$B$2604,'Form responses 1'!$F$2:$F$2604,""))</f>
        <v/>
      </c>
      <c r="I3567" s="44" t="str">
        <f t="array" ref="I3567">IF(B3567="","",_xlfn.XLOOKUP(B3567,'Form responses 1'!$B$2:$B$2604,'Form responses 1'!$I$2:$I$2604,""))</f>
        <v/>
      </c>
      <c r="J3567" s="44" t="str">
        <f t="array" ref="J3567">IF(B3567="","",_xlfn.XLOOKUP(B3567,'Form responses 1'!$B$2:$B$2604,'Form responses 1'!$G$2:$G$2604,""))</f>
        <v/>
      </c>
      <c r="K3567" s="56"/>
      <c r="L3567" s="58" t="str">
        <f t="shared" si="7"/>
        <v/>
      </c>
      <c r="M3567" s="49"/>
      <c r="N3567" s="49"/>
      <c r="O3567" s="49"/>
      <c r="P3567" s="49"/>
      <c r="Q3567" s="49"/>
      <c r="R3567" s="49"/>
      <c r="S3567" s="49"/>
      <c r="T3567" s="49"/>
      <c r="U3567" s="49"/>
      <c r="V3567" s="49"/>
      <c r="W3567" s="56"/>
      <c r="X3567" s="51" t="str">
        <f t="shared" si="5"/>
        <v/>
      </c>
      <c r="Y3567" s="50" t="s">
        <v>482</v>
      </c>
      <c r="Z3567" s="49">
        <f t="shared" si="6"/>
        <v>0</v>
      </c>
    </row>
    <row r="3568" ht="22.5" customHeight="1">
      <c r="B3568" s="57"/>
      <c r="C3568" s="43" t="str">
        <f t="array" ref="C3568">IF(B3568="","",_xlfn.XLOOKUP(B3568,'Form responses 1'!$B$2:$B$2604,'Form responses 1'!$A$2:$A$2604,""))</f>
        <v/>
      </c>
      <c r="D3568" s="44" t="str">
        <f t="shared" si="3"/>
        <v/>
      </c>
      <c r="E3568" s="44" t="str">
        <f t="array" ref="E3568">IF(B3568="","",_xlfn.XLOOKUP(B3568,'Form responses 1'!$B$2:$B$2604,'Form responses 1'!$C$2:$C$2604,""))</f>
        <v/>
      </c>
      <c r="F3568" s="44" t="str">
        <f t="array" ref="F3568">IF(B3568="","",_xlfn.XLOOKUP(B3568,'Form responses 1'!$B$2:$B$2604,'Form responses 1'!$D$2:$D$2604,""))</f>
        <v/>
      </c>
      <c r="G3568" s="44" t="str">
        <f t="array" ref="G3568">IF(B3568="","",_xlfn.XLOOKUP(B3568,'Form responses 1'!$B$2:$B$2604,'Form responses 1'!$E$2:$E$2604,""))</f>
        <v/>
      </c>
      <c r="H3568" s="44" t="str">
        <f t="array" ref="H3568">IF(B3568="","",_xlfn.XLOOKUP(B3568,'Form responses 1'!$B$2:$B$2604,'Form responses 1'!$F$2:$F$2604,""))</f>
        <v/>
      </c>
      <c r="I3568" s="44" t="str">
        <f t="array" ref="I3568">IF(B3568="","",_xlfn.XLOOKUP(B3568,'Form responses 1'!$B$2:$B$2604,'Form responses 1'!$I$2:$I$2604,""))</f>
        <v/>
      </c>
      <c r="J3568" s="44" t="str">
        <f t="array" ref="J3568">IF(B3568="","",_xlfn.XLOOKUP(B3568,'Form responses 1'!$B$2:$B$2604,'Form responses 1'!$G$2:$G$2604,""))</f>
        <v/>
      </c>
      <c r="K3568" s="56"/>
      <c r="L3568" s="58" t="str">
        <f t="shared" si="7"/>
        <v/>
      </c>
      <c r="M3568" s="49"/>
      <c r="N3568" s="49"/>
      <c r="O3568" s="49"/>
      <c r="P3568" s="49"/>
      <c r="Q3568" s="49"/>
      <c r="R3568" s="49"/>
      <c r="S3568" s="49"/>
      <c r="T3568" s="49"/>
      <c r="U3568" s="49"/>
      <c r="V3568" s="49"/>
      <c r="W3568" s="56"/>
      <c r="X3568" s="51" t="str">
        <f t="shared" si="5"/>
        <v/>
      </c>
      <c r="Y3568" s="50" t="s">
        <v>482</v>
      </c>
      <c r="Z3568" s="49">
        <f t="shared" si="6"/>
        <v>0</v>
      </c>
    </row>
    <row r="3569" ht="22.5" customHeight="1">
      <c r="B3569" s="57"/>
      <c r="C3569" s="43" t="str">
        <f t="array" ref="C3569">IF(B3569="","",_xlfn.XLOOKUP(B3569,'Form responses 1'!$B$2:$B$2604,'Form responses 1'!$A$2:$A$2604,""))</f>
        <v/>
      </c>
      <c r="D3569" s="44" t="str">
        <f t="shared" si="3"/>
        <v/>
      </c>
      <c r="E3569" s="44" t="str">
        <f t="array" ref="E3569">IF(B3569="","",_xlfn.XLOOKUP(B3569,'Form responses 1'!$B$2:$B$2604,'Form responses 1'!$C$2:$C$2604,""))</f>
        <v/>
      </c>
      <c r="F3569" s="44" t="str">
        <f t="array" ref="F3569">IF(B3569="","",_xlfn.XLOOKUP(B3569,'Form responses 1'!$B$2:$B$2604,'Form responses 1'!$D$2:$D$2604,""))</f>
        <v/>
      </c>
      <c r="G3569" s="44" t="str">
        <f t="array" ref="G3569">IF(B3569="","",_xlfn.XLOOKUP(B3569,'Form responses 1'!$B$2:$B$2604,'Form responses 1'!$E$2:$E$2604,""))</f>
        <v/>
      </c>
      <c r="H3569" s="44" t="str">
        <f t="array" ref="H3569">IF(B3569="","",_xlfn.XLOOKUP(B3569,'Form responses 1'!$B$2:$B$2604,'Form responses 1'!$F$2:$F$2604,""))</f>
        <v/>
      </c>
      <c r="I3569" s="44" t="str">
        <f t="array" ref="I3569">IF(B3569="","",_xlfn.XLOOKUP(B3569,'Form responses 1'!$B$2:$B$2604,'Form responses 1'!$I$2:$I$2604,""))</f>
        <v/>
      </c>
      <c r="J3569" s="44" t="str">
        <f t="array" ref="J3569">IF(B3569="","",_xlfn.XLOOKUP(B3569,'Form responses 1'!$B$2:$B$2604,'Form responses 1'!$G$2:$G$2604,""))</f>
        <v/>
      </c>
      <c r="K3569" s="56"/>
      <c r="L3569" s="58" t="str">
        <f t="shared" si="7"/>
        <v/>
      </c>
      <c r="M3569" s="49"/>
      <c r="N3569" s="49"/>
      <c r="O3569" s="49"/>
      <c r="P3569" s="49"/>
      <c r="Q3569" s="49"/>
      <c r="R3569" s="49"/>
      <c r="S3569" s="49"/>
      <c r="T3569" s="49"/>
      <c r="U3569" s="49"/>
      <c r="V3569" s="49"/>
      <c r="W3569" s="56"/>
      <c r="X3569" s="51" t="str">
        <f t="shared" si="5"/>
        <v/>
      </c>
      <c r="Y3569" s="50" t="s">
        <v>482</v>
      </c>
      <c r="Z3569" s="49">
        <f t="shared" si="6"/>
        <v>0</v>
      </c>
    </row>
    <row r="3570" ht="22.5" customHeight="1">
      <c r="B3570" s="57"/>
      <c r="C3570" s="43" t="str">
        <f t="array" ref="C3570">IF(B3570="","",_xlfn.XLOOKUP(B3570,'Form responses 1'!$B$2:$B$2604,'Form responses 1'!$A$2:$A$2604,""))</f>
        <v/>
      </c>
      <c r="D3570" s="44" t="str">
        <f t="shared" si="3"/>
        <v/>
      </c>
      <c r="E3570" s="44" t="str">
        <f t="array" ref="E3570">IF(B3570="","",_xlfn.XLOOKUP(B3570,'Form responses 1'!$B$2:$B$2604,'Form responses 1'!$C$2:$C$2604,""))</f>
        <v/>
      </c>
      <c r="F3570" s="44" t="str">
        <f t="array" ref="F3570">IF(B3570="","",_xlfn.XLOOKUP(B3570,'Form responses 1'!$B$2:$B$2604,'Form responses 1'!$D$2:$D$2604,""))</f>
        <v/>
      </c>
      <c r="G3570" s="44" t="str">
        <f t="array" ref="G3570">IF(B3570="","",_xlfn.XLOOKUP(B3570,'Form responses 1'!$B$2:$B$2604,'Form responses 1'!$E$2:$E$2604,""))</f>
        <v/>
      </c>
      <c r="H3570" s="44" t="str">
        <f t="array" ref="H3570">IF(B3570="","",_xlfn.XLOOKUP(B3570,'Form responses 1'!$B$2:$B$2604,'Form responses 1'!$F$2:$F$2604,""))</f>
        <v/>
      </c>
      <c r="I3570" s="44" t="str">
        <f t="array" ref="I3570">IF(B3570="","",_xlfn.XLOOKUP(B3570,'Form responses 1'!$B$2:$B$2604,'Form responses 1'!$I$2:$I$2604,""))</f>
        <v/>
      </c>
      <c r="J3570" s="44" t="str">
        <f t="array" ref="J3570">IF(B3570="","",_xlfn.XLOOKUP(B3570,'Form responses 1'!$B$2:$B$2604,'Form responses 1'!$G$2:$G$2604,""))</f>
        <v/>
      </c>
      <c r="K3570" s="56"/>
      <c r="L3570" s="58" t="str">
        <f t="shared" si="7"/>
        <v/>
      </c>
      <c r="M3570" s="49"/>
      <c r="N3570" s="49"/>
      <c r="O3570" s="49"/>
      <c r="P3570" s="49"/>
      <c r="Q3570" s="49"/>
      <c r="R3570" s="49"/>
      <c r="S3570" s="49"/>
      <c r="T3570" s="49"/>
      <c r="U3570" s="49"/>
      <c r="V3570" s="49"/>
      <c r="W3570" s="56"/>
      <c r="X3570" s="51" t="str">
        <f t="shared" si="5"/>
        <v/>
      </c>
      <c r="Y3570" s="50" t="s">
        <v>482</v>
      </c>
      <c r="Z3570" s="49">
        <f t="shared" si="6"/>
        <v>0</v>
      </c>
    </row>
    <row r="3571" ht="22.5" customHeight="1">
      <c r="B3571" s="57"/>
      <c r="C3571" s="43" t="str">
        <f t="array" ref="C3571">IF(B3571="","",_xlfn.XLOOKUP(B3571,'Form responses 1'!$B$2:$B$2604,'Form responses 1'!$A$2:$A$2604,""))</f>
        <v/>
      </c>
      <c r="D3571" s="44" t="str">
        <f t="shared" si="3"/>
        <v/>
      </c>
      <c r="E3571" s="44" t="str">
        <f t="array" ref="E3571">IF(B3571="","",_xlfn.XLOOKUP(B3571,'Form responses 1'!$B$2:$B$2604,'Form responses 1'!$C$2:$C$2604,""))</f>
        <v/>
      </c>
      <c r="F3571" s="44" t="str">
        <f t="array" ref="F3571">IF(B3571="","",_xlfn.XLOOKUP(B3571,'Form responses 1'!$B$2:$B$2604,'Form responses 1'!$D$2:$D$2604,""))</f>
        <v/>
      </c>
      <c r="G3571" s="44" t="str">
        <f t="array" ref="G3571">IF(B3571="","",_xlfn.XLOOKUP(B3571,'Form responses 1'!$B$2:$B$2604,'Form responses 1'!$E$2:$E$2604,""))</f>
        <v/>
      </c>
      <c r="H3571" s="44" t="str">
        <f t="array" ref="H3571">IF(B3571="","",_xlfn.XLOOKUP(B3571,'Form responses 1'!$B$2:$B$2604,'Form responses 1'!$F$2:$F$2604,""))</f>
        <v/>
      </c>
      <c r="I3571" s="44" t="str">
        <f t="array" ref="I3571">IF(B3571="","",_xlfn.XLOOKUP(B3571,'Form responses 1'!$B$2:$B$2604,'Form responses 1'!$I$2:$I$2604,""))</f>
        <v/>
      </c>
      <c r="J3571" s="44" t="str">
        <f t="array" ref="J3571">IF(B3571="","",_xlfn.XLOOKUP(B3571,'Form responses 1'!$B$2:$B$2604,'Form responses 1'!$G$2:$G$2604,""))</f>
        <v/>
      </c>
      <c r="K3571" s="56"/>
      <c r="L3571" s="58" t="str">
        <f t="shared" si="7"/>
        <v/>
      </c>
      <c r="M3571" s="49"/>
      <c r="N3571" s="49"/>
      <c r="O3571" s="49"/>
      <c r="P3571" s="49"/>
      <c r="Q3571" s="49"/>
      <c r="R3571" s="49"/>
      <c r="S3571" s="49"/>
      <c r="T3571" s="49"/>
      <c r="U3571" s="49"/>
      <c r="V3571" s="49"/>
      <c r="W3571" s="56"/>
      <c r="X3571" s="51" t="str">
        <f t="shared" si="5"/>
        <v/>
      </c>
      <c r="Y3571" s="50" t="s">
        <v>482</v>
      </c>
      <c r="Z3571" s="49">
        <f t="shared" si="6"/>
        <v>0</v>
      </c>
    </row>
    <row r="3572" ht="22.5" customHeight="1">
      <c r="B3572" s="57"/>
      <c r="C3572" s="43" t="str">
        <f t="array" ref="C3572">IF(B3572="","",_xlfn.XLOOKUP(B3572,'Form responses 1'!$B$2:$B$2604,'Form responses 1'!$A$2:$A$2604,""))</f>
        <v/>
      </c>
      <c r="D3572" s="44" t="str">
        <f t="shared" si="3"/>
        <v/>
      </c>
      <c r="E3572" s="44" t="str">
        <f t="array" ref="E3572">IF(B3572="","",_xlfn.XLOOKUP(B3572,'Form responses 1'!$B$2:$B$2604,'Form responses 1'!$C$2:$C$2604,""))</f>
        <v/>
      </c>
      <c r="F3572" s="44" t="str">
        <f t="array" ref="F3572">IF(B3572="","",_xlfn.XLOOKUP(B3572,'Form responses 1'!$B$2:$B$2604,'Form responses 1'!$D$2:$D$2604,""))</f>
        <v/>
      </c>
      <c r="G3572" s="44" t="str">
        <f t="array" ref="G3572">IF(B3572="","",_xlfn.XLOOKUP(B3572,'Form responses 1'!$B$2:$B$2604,'Form responses 1'!$E$2:$E$2604,""))</f>
        <v/>
      </c>
      <c r="H3572" s="44" t="str">
        <f t="array" ref="H3572">IF(B3572="","",_xlfn.XLOOKUP(B3572,'Form responses 1'!$B$2:$B$2604,'Form responses 1'!$F$2:$F$2604,""))</f>
        <v/>
      </c>
      <c r="I3572" s="44" t="str">
        <f t="array" ref="I3572">IF(B3572="","",_xlfn.XLOOKUP(B3572,'Form responses 1'!$B$2:$B$2604,'Form responses 1'!$I$2:$I$2604,""))</f>
        <v/>
      </c>
      <c r="J3572" s="44" t="str">
        <f t="array" ref="J3572">IF(B3572="","",_xlfn.XLOOKUP(B3572,'Form responses 1'!$B$2:$B$2604,'Form responses 1'!$G$2:$G$2604,""))</f>
        <v/>
      </c>
      <c r="K3572" s="56"/>
      <c r="L3572" s="58" t="str">
        <f t="shared" si="7"/>
        <v/>
      </c>
      <c r="M3572" s="49"/>
      <c r="N3572" s="49"/>
      <c r="O3572" s="49"/>
      <c r="P3572" s="49"/>
      <c r="Q3572" s="49"/>
      <c r="R3572" s="49"/>
      <c r="S3572" s="49"/>
      <c r="T3572" s="49"/>
      <c r="U3572" s="49"/>
      <c r="V3572" s="49"/>
      <c r="W3572" s="56"/>
      <c r="X3572" s="51" t="str">
        <f t="shared" si="5"/>
        <v/>
      </c>
      <c r="Y3572" s="50" t="s">
        <v>482</v>
      </c>
      <c r="Z3572" s="49">
        <f t="shared" si="6"/>
        <v>0</v>
      </c>
    </row>
    <row r="3573" ht="22.5" customHeight="1">
      <c r="B3573" s="57"/>
      <c r="C3573" s="43" t="str">
        <f t="array" ref="C3573">IF(B3573="","",_xlfn.XLOOKUP(B3573,'Form responses 1'!$B$2:$B$2604,'Form responses 1'!$A$2:$A$2604,""))</f>
        <v/>
      </c>
      <c r="D3573" s="44" t="str">
        <f t="shared" si="3"/>
        <v/>
      </c>
      <c r="E3573" s="44" t="str">
        <f t="array" ref="E3573">IF(B3573="","",_xlfn.XLOOKUP(B3573,'Form responses 1'!$B$2:$B$2604,'Form responses 1'!$C$2:$C$2604,""))</f>
        <v/>
      </c>
      <c r="F3573" s="44" t="str">
        <f t="array" ref="F3573">IF(B3573="","",_xlfn.XLOOKUP(B3573,'Form responses 1'!$B$2:$B$2604,'Form responses 1'!$D$2:$D$2604,""))</f>
        <v/>
      </c>
      <c r="G3573" s="44" t="str">
        <f t="array" ref="G3573">IF(B3573="","",_xlfn.XLOOKUP(B3573,'Form responses 1'!$B$2:$B$2604,'Form responses 1'!$E$2:$E$2604,""))</f>
        <v/>
      </c>
      <c r="H3573" s="44" t="str">
        <f t="array" ref="H3573">IF(B3573="","",_xlfn.XLOOKUP(B3573,'Form responses 1'!$B$2:$B$2604,'Form responses 1'!$F$2:$F$2604,""))</f>
        <v/>
      </c>
      <c r="I3573" s="44" t="str">
        <f t="array" ref="I3573">IF(B3573="","",_xlfn.XLOOKUP(B3573,'Form responses 1'!$B$2:$B$2604,'Form responses 1'!$I$2:$I$2604,""))</f>
        <v/>
      </c>
      <c r="J3573" s="44" t="str">
        <f t="array" ref="J3573">IF(B3573="","",_xlfn.XLOOKUP(B3573,'Form responses 1'!$B$2:$B$2604,'Form responses 1'!$G$2:$G$2604,""))</f>
        <v/>
      </c>
      <c r="K3573" s="56"/>
      <c r="L3573" s="58" t="str">
        <f t="shared" si="7"/>
        <v/>
      </c>
      <c r="M3573" s="49"/>
      <c r="N3573" s="49"/>
      <c r="O3573" s="49"/>
      <c r="P3573" s="49"/>
      <c r="Q3573" s="49"/>
      <c r="R3573" s="49"/>
      <c r="S3573" s="49"/>
      <c r="T3573" s="49"/>
      <c r="U3573" s="49"/>
      <c r="V3573" s="49"/>
      <c r="W3573" s="56"/>
      <c r="X3573" s="51" t="str">
        <f t="shared" si="5"/>
        <v/>
      </c>
      <c r="Y3573" s="50" t="s">
        <v>482</v>
      </c>
      <c r="Z3573" s="49">
        <f t="shared" si="6"/>
        <v>0</v>
      </c>
    </row>
    <row r="3574" ht="22.5" customHeight="1">
      <c r="B3574" s="57"/>
      <c r="C3574" s="43" t="str">
        <f t="array" ref="C3574">IF(B3574="","",_xlfn.XLOOKUP(B3574,'Form responses 1'!$B$2:$B$2604,'Form responses 1'!$A$2:$A$2604,""))</f>
        <v/>
      </c>
      <c r="D3574" s="44" t="str">
        <f t="shared" si="3"/>
        <v/>
      </c>
      <c r="E3574" s="44" t="str">
        <f t="array" ref="E3574">IF(B3574="","",_xlfn.XLOOKUP(B3574,'Form responses 1'!$B$2:$B$2604,'Form responses 1'!$C$2:$C$2604,""))</f>
        <v/>
      </c>
      <c r="F3574" s="44" t="str">
        <f t="array" ref="F3574">IF(B3574="","",_xlfn.XLOOKUP(B3574,'Form responses 1'!$B$2:$B$2604,'Form responses 1'!$D$2:$D$2604,""))</f>
        <v/>
      </c>
      <c r="G3574" s="44" t="str">
        <f t="array" ref="G3574">IF(B3574="","",_xlfn.XLOOKUP(B3574,'Form responses 1'!$B$2:$B$2604,'Form responses 1'!$E$2:$E$2604,""))</f>
        <v/>
      </c>
      <c r="H3574" s="44" t="str">
        <f t="array" ref="H3574">IF(B3574="","",_xlfn.XLOOKUP(B3574,'Form responses 1'!$B$2:$B$2604,'Form responses 1'!$F$2:$F$2604,""))</f>
        <v/>
      </c>
      <c r="I3574" s="44" t="str">
        <f t="array" ref="I3574">IF(B3574="","",_xlfn.XLOOKUP(B3574,'Form responses 1'!$B$2:$B$2604,'Form responses 1'!$I$2:$I$2604,""))</f>
        <v/>
      </c>
      <c r="J3574" s="44" t="str">
        <f t="array" ref="J3574">IF(B3574="","",_xlfn.XLOOKUP(B3574,'Form responses 1'!$B$2:$B$2604,'Form responses 1'!$G$2:$G$2604,""))</f>
        <v/>
      </c>
      <c r="K3574" s="56"/>
      <c r="L3574" s="58" t="str">
        <f t="shared" si="7"/>
        <v/>
      </c>
      <c r="M3574" s="49"/>
      <c r="N3574" s="49"/>
      <c r="O3574" s="49"/>
      <c r="P3574" s="49"/>
      <c r="Q3574" s="49"/>
      <c r="R3574" s="49"/>
      <c r="S3574" s="49"/>
      <c r="T3574" s="49"/>
      <c r="U3574" s="49"/>
      <c r="V3574" s="49"/>
      <c r="W3574" s="56"/>
      <c r="X3574" s="51" t="str">
        <f t="shared" si="5"/>
        <v/>
      </c>
      <c r="Y3574" s="50" t="s">
        <v>482</v>
      </c>
      <c r="Z3574" s="49">
        <f t="shared" si="6"/>
        <v>0</v>
      </c>
    </row>
    <row r="3575" ht="22.5" customHeight="1">
      <c r="B3575" s="57"/>
      <c r="C3575" s="43" t="str">
        <f t="array" ref="C3575">IF(B3575="","",_xlfn.XLOOKUP(B3575,'Form responses 1'!$B$2:$B$2604,'Form responses 1'!$A$2:$A$2604,""))</f>
        <v/>
      </c>
      <c r="D3575" s="44" t="str">
        <f t="shared" si="3"/>
        <v/>
      </c>
      <c r="E3575" s="44" t="str">
        <f t="array" ref="E3575">IF(B3575="","",_xlfn.XLOOKUP(B3575,'Form responses 1'!$B$2:$B$2604,'Form responses 1'!$C$2:$C$2604,""))</f>
        <v/>
      </c>
      <c r="F3575" s="44" t="str">
        <f t="array" ref="F3575">IF(B3575="","",_xlfn.XLOOKUP(B3575,'Form responses 1'!$B$2:$B$2604,'Form responses 1'!$D$2:$D$2604,""))</f>
        <v/>
      </c>
      <c r="G3575" s="44" t="str">
        <f t="array" ref="G3575">IF(B3575="","",_xlfn.XLOOKUP(B3575,'Form responses 1'!$B$2:$B$2604,'Form responses 1'!$E$2:$E$2604,""))</f>
        <v/>
      </c>
      <c r="H3575" s="44" t="str">
        <f t="array" ref="H3575">IF(B3575="","",_xlfn.XLOOKUP(B3575,'Form responses 1'!$B$2:$B$2604,'Form responses 1'!$F$2:$F$2604,""))</f>
        <v/>
      </c>
      <c r="I3575" s="44" t="str">
        <f t="array" ref="I3575">IF(B3575="","",_xlfn.XLOOKUP(B3575,'Form responses 1'!$B$2:$B$2604,'Form responses 1'!$I$2:$I$2604,""))</f>
        <v/>
      </c>
      <c r="J3575" s="44" t="str">
        <f t="array" ref="J3575">IF(B3575="","",_xlfn.XLOOKUP(B3575,'Form responses 1'!$B$2:$B$2604,'Form responses 1'!$G$2:$G$2604,""))</f>
        <v/>
      </c>
      <c r="K3575" s="56"/>
      <c r="L3575" s="58" t="str">
        <f t="shared" si="7"/>
        <v/>
      </c>
      <c r="M3575" s="49"/>
      <c r="N3575" s="49"/>
      <c r="O3575" s="49"/>
      <c r="P3575" s="49"/>
      <c r="Q3575" s="49"/>
      <c r="R3575" s="49"/>
      <c r="S3575" s="49"/>
      <c r="T3575" s="49"/>
      <c r="U3575" s="49"/>
      <c r="V3575" s="49"/>
      <c r="W3575" s="56"/>
      <c r="X3575" s="51" t="str">
        <f t="shared" si="5"/>
        <v/>
      </c>
      <c r="Y3575" s="50" t="s">
        <v>482</v>
      </c>
      <c r="Z3575" s="49">
        <f t="shared" si="6"/>
        <v>0</v>
      </c>
    </row>
    <row r="3576" ht="22.5" customHeight="1">
      <c r="B3576" s="57"/>
      <c r="C3576" s="43" t="str">
        <f t="array" ref="C3576">IF(B3576="","",_xlfn.XLOOKUP(B3576,'Form responses 1'!$B$2:$B$2604,'Form responses 1'!$A$2:$A$2604,""))</f>
        <v/>
      </c>
      <c r="D3576" s="44" t="str">
        <f t="shared" si="3"/>
        <v/>
      </c>
      <c r="E3576" s="44" t="str">
        <f t="array" ref="E3576">IF(B3576="","",_xlfn.XLOOKUP(B3576,'Form responses 1'!$B$2:$B$2604,'Form responses 1'!$C$2:$C$2604,""))</f>
        <v/>
      </c>
      <c r="F3576" s="44" t="str">
        <f t="array" ref="F3576">IF(B3576="","",_xlfn.XLOOKUP(B3576,'Form responses 1'!$B$2:$B$2604,'Form responses 1'!$D$2:$D$2604,""))</f>
        <v/>
      </c>
      <c r="G3576" s="44" t="str">
        <f t="array" ref="G3576">IF(B3576="","",_xlfn.XLOOKUP(B3576,'Form responses 1'!$B$2:$B$2604,'Form responses 1'!$E$2:$E$2604,""))</f>
        <v/>
      </c>
      <c r="H3576" s="44" t="str">
        <f t="array" ref="H3576">IF(B3576="","",_xlfn.XLOOKUP(B3576,'Form responses 1'!$B$2:$B$2604,'Form responses 1'!$F$2:$F$2604,""))</f>
        <v/>
      </c>
      <c r="I3576" s="44" t="str">
        <f t="array" ref="I3576">IF(B3576="","",_xlfn.XLOOKUP(B3576,'Form responses 1'!$B$2:$B$2604,'Form responses 1'!$I$2:$I$2604,""))</f>
        <v/>
      </c>
      <c r="J3576" s="44" t="str">
        <f t="array" ref="J3576">IF(B3576="","",_xlfn.XLOOKUP(B3576,'Form responses 1'!$B$2:$B$2604,'Form responses 1'!$G$2:$G$2604,""))</f>
        <v/>
      </c>
      <c r="K3576" s="56"/>
      <c r="L3576" s="58" t="str">
        <f t="shared" si="7"/>
        <v/>
      </c>
      <c r="M3576" s="49"/>
      <c r="N3576" s="49"/>
      <c r="O3576" s="49"/>
      <c r="P3576" s="49"/>
      <c r="Q3576" s="49"/>
      <c r="R3576" s="49"/>
      <c r="S3576" s="49"/>
      <c r="T3576" s="49"/>
      <c r="U3576" s="49"/>
      <c r="V3576" s="49"/>
      <c r="W3576" s="56"/>
      <c r="X3576" s="51" t="str">
        <f t="shared" si="5"/>
        <v/>
      </c>
      <c r="Y3576" s="50" t="s">
        <v>482</v>
      </c>
      <c r="Z3576" s="49">
        <f t="shared" si="6"/>
        <v>0</v>
      </c>
    </row>
    <row r="3577" ht="22.5" customHeight="1">
      <c r="B3577" s="57"/>
      <c r="C3577" s="43" t="str">
        <f t="array" ref="C3577">IF(B3577="","",_xlfn.XLOOKUP(B3577,'Form responses 1'!$B$2:$B$2604,'Form responses 1'!$A$2:$A$2604,""))</f>
        <v/>
      </c>
      <c r="D3577" s="44" t="str">
        <f t="shared" si="3"/>
        <v/>
      </c>
      <c r="E3577" s="44" t="str">
        <f t="array" ref="E3577">IF(B3577="","",_xlfn.XLOOKUP(B3577,'Form responses 1'!$B$2:$B$2604,'Form responses 1'!$C$2:$C$2604,""))</f>
        <v/>
      </c>
      <c r="F3577" s="44" t="str">
        <f t="array" ref="F3577">IF(B3577="","",_xlfn.XLOOKUP(B3577,'Form responses 1'!$B$2:$B$2604,'Form responses 1'!$D$2:$D$2604,""))</f>
        <v/>
      </c>
      <c r="G3577" s="44" t="str">
        <f t="array" ref="G3577">IF(B3577="","",_xlfn.XLOOKUP(B3577,'Form responses 1'!$B$2:$B$2604,'Form responses 1'!$E$2:$E$2604,""))</f>
        <v/>
      </c>
      <c r="H3577" s="44" t="str">
        <f t="array" ref="H3577">IF(B3577="","",_xlfn.XLOOKUP(B3577,'Form responses 1'!$B$2:$B$2604,'Form responses 1'!$F$2:$F$2604,""))</f>
        <v/>
      </c>
      <c r="I3577" s="44" t="str">
        <f t="array" ref="I3577">IF(B3577="","",_xlfn.XLOOKUP(B3577,'Form responses 1'!$B$2:$B$2604,'Form responses 1'!$I$2:$I$2604,""))</f>
        <v/>
      </c>
      <c r="J3577" s="44" t="str">
        <f t="array" ref="J3577">IF(B3577="","",_xlfn.XLOOKUP(B3577,'Form responses 1'!$B$2:$B$2604,'Form responses 1'!$G$2:$G$2604,""))</f>
        <v/>
      </c>
      <c r="K3577" s="56"/>
      <c r="L3577" s="58" t="str">
        <f t="shared" si="7"/>
        <v/>
      </c>
      <c r="M3577" s="49"/>
      <c r="N3577" s="49"/>
      <c r="O3577" s="49"/>
      <c r="P3577" s="49"/>
      <c r="Q3577" s="49"/>
      <c r="R3577" s="49"/>
      <c r="S3577" s="49"/>
      <c r="T3577" s="49"/>
      <c r="U3577" s="49"/>
      <c r="V3577" s="49"/>
      <c r="W3577" s="56"/>
      <c r="X3577" s="51" t="str">
        <f t="shared" si="5"/>
        <v/>
      </c>
      <c r="Y3577" s="50" t="s">
        <v>482</v>
      </c>
      <c r="Z3577" s="49">
        <f t="shared" si="6"/>
        <v>0</v>
      </c>
    </row>
    <row r="3578" ht="22.5" customHeight="1">
      <c r="B3578" s="57"/>
      <c r="C3578" s="43" t="str">
        <f t="array" ref="C3578">IF(B3578="","",_xlfn.XLOOKUP(B3578,'Form responses 1'!$B$2:$B$2604,'Form responses 1'!$A$2:$A$2604,""))</f>
        <v/>
      </c>
      <c r="D3578" s="44" t="str">
        <f t="shared" si="3"/>
        <v/>
      </c>
      <c r="E3578" s="44" t="str">
        <f t="array" ref="E3578">IF(B3578="","",_xlfn.XLOOKUP(B3578,'Form responses 1'!$B$2:$B$2604,'Form responses 1'!$C$2:$C$2604,""))</f>
        <v/>
      </c>
      <c r="F3578" s="44" t="str">
        <f t="array" ref="F3578">IF(B3578="","",_xlfn.XLOOKUP(B3578,'Form responses 1'!$B$2:$B$2604,'Form responses 1'!$D$2:$D$2604,""))</f>
        <v/>
      </c>
      <c r="G3578" s="44" t="str">
        <f t="array" ref="G3578">IF(B3578="","",_xlfn.XLOOKUP(B3578,'Form responses 1'!$B$2:$B$2604,'Form responses 1'!$E$2:$E$2604,""))</f>
        <v/>
      </c>
      <c r="H3578" s="44" t="str">
        <f t="array" ref="H3578">IF(B3578="","",_xlfn.XLOOKUP(B3578,'Form responses 1'!$B$2:$B$2604,'Form responses 1'!$F$2:$F$2604,""))</f>
        <v/>
      </c>
      <c r="I3578" s="44" t="str">
        <f t="array" ref="I3578">IF(B3578="","",_xlfn.XLOOKUP(B3578,'Form responses 1'!$B$2:$B$2604,'Form responses 1'!$I$2:$I$2604,""))</f>
        <v/>
      </c>
      <c r="J3578" s="44" t="str">
        <f t="array" ref="J3578">IF(B3578="","",_xlfn.XLOOKUP(B3578,'Form responses 1'!$B$2:$B$2604,'Form responses 1'!$G$2:$G$2604,""))</f>
        <v/>
      </c>
      <c r="K3578" s="56"/>
      <c r="L3578" s="58" t="str">
        <f t="shared" si="7"/>
        <v/>
      </c>
      <c r="M3578" s="49"/>
      <c r="N3578" s="49"/>
      <c r="O3578" s="49"/>
      <c r="P3578" s="49"/>
      <c r="Q3578" s="49"/>
      <c r="R3578" s="49"/>
      <c r="S3578" s="49"/>
      <c r="T3578" s="49"/>
      <c r="U3578" s="49"/>
      <c r="V3578" s="49"/>
      <c r="W3578" s="56"/>
      <c r="X3578" s="51" t="str">
        <f t="shared" si="5"/>
        <v/>
      </c>
      <c r="Y3578" s="50" t="s">
        <v>482</v>
      </c>
      <c r="Z3578" s="49">
        <f t="shared" si="6"/>
        <v>0</v>
      </c>
    </row>
    <row r="3579" ht="22.5" customHeight="1">
      <c r="B3579" s="57"/>
      <c r="C3579" s="43" t="str">
        <f t="array" ref="C3579">IF(B3579="","",_xlfn.XLOOKUP(B3579,'Form responses 1'!$B$2:$B$2604,'Form responses 1'!$A$2:$A$2604,""))</f>
        <v/>
      </c>
      <c r="D3579" s="44" t="str">
        <f t="shared" si="3"/>
        <v/>
      </c>
      <c r="E3579" s="44" t="str">
        <f t="array" ref="E3579">IF(B3579="","",_xlfn.XLOOKUP(B3579,'Form responses 1'!$B$2:$B$2604,'Form responses 1'!$C$2:$C$2604,""))</f>
        <v/>
      </c>
      <c r="F3579" s="44" t="str">
        <f t="array" ref="F3579">IF(B3579="","",_xlfn.XLOOKUP(B3579,'Form responses 1'!$B$2:$B$2604,'Form responses 1'!$D$2:$D$2604,""))</f>
        <v/>
      </c>
      <c r="G3579" s="44" t="str">
        <f t="array" ref="G3579">IF(B3579="","",_xlfn.XLOOKUP(B3579,'Form responses 1'!$B$2:$B$2604,'Form responses 1'!$E$2:$E$2604,""))</f>
        <v/>
      </c>
      <c r="H3579" s="44" t="str">
        <f t="array" ref="H3579">IF(B3579="","",_xlfn.XLOOKUP(B3579,'Form responses 1'!$B$2:$B$2604,'Form responses 1'!$F$2:$F$2604,""))</f>
        <v/>
      </c>
      <c r="I3579" s="44" t="str">
        <f t="array" ref="I3579">IF(B3579="","",_xlfn.XLOOKUP(B3579,'Form responses 1'!$B$2:$B$2604,'Form responses 1'!$I$2:$I$2604,""))</f>
        <v/>
      </c>
      <c r="J3579" s="44" t="str">
        <f t="array" ref="J3579">IF(B3579="","",_xlfn.XLOOKUP(B3579,'Form responses 1'!$B$2:$B$2604,'Form responses 1'!$G$2:$G$2604,""))</f>
        <v/>
      </c>
      <c r="K3579" s="56"/>
      <c r="L3579" s="58" t="str">
        <f t="shared" si="7"/>
        <v/>
      </c>
      <c r="M3579" s="49"/>
      <c r="N3579" s="49"/>
      <c r="O3579" s="49"/>
      <c r="P3579" s="49"/>
      <c r="Q3579" s="49"/>
      <c r="R3579" s="49"/>
      <c r="S3579" s="49"/>
      <c r="T3579" s="49"/>
      <c r="U3579" s="49"/>
      <c r="V3579" s="49"/>
      <c r="W3579" s="56"/>
      <c r="X3579" s="51" t="str">
        <f t="shared" si="5"/>
        <v/>
      </c>
      <c r="Y3579" s="50" t="s">
        <v>482</v>
      </c>
      <c r="Z3579" s="49">
        <f t="shared" si="6"/>
        <v>0</v>
      </c>
    </row>
    <row r="3580" ht="22.5" customHeight="1">
      <c r="B3580" s="57"/>
      <c r="C3580" s="43" t="str">
        <f t="array" ref="C3580">IF(B3580="","",_xlfn.XLOOKUP(B3580,'Form responses 1'!$B$2:$B$2604,'Form responses 1'!$A$2:$A$2604,""))</f>
        <v/>
      </c>
      <c r="D3580" s="44" t="str">
        <f t="shared" si="3"/>
        <v/>
      </c>
      <c r="E3580" s="44" t="str">
        <f t="array" ref="E3580">IF(B3580="","",_xlfn.XLOOKUP(B3580,'Form responses 1'!$B$2:$B$2604,'Form responses 1'!$C$2:$C$2604,""))</f>
        <v/>
      </c>
      <c r="F3580" s="44" t="str">
        <f t="array" ref="F3580">IF(B3580="","",_xlfn.XLOOKUP(B3580,'Form responses 1'!$B$2:$B$2604,'Form responses 1'!$D$2:$D$2604,""))</f>
        <v/>
      </c>
      <c r="G3580" s="44" t="str">
        <f t="array" ref="G3580">IF(B3580="","",_xlfn.XLOOKUP(B3580,'Form responses 1'!$B$2:$B$2604,'Form responses 1'!$E$2:$E$2604,""))</f>
        <v/>
      </c>
      <c r="H3580" s="44" t="str">
        <f t="array" ref="H3580">IF(B3580="","",_xlfn.XLOOKUP(B3580,'Form responses 1'!$B$2:$B$2604,'Form responses 1'!$F$2:$F$2604,""))</f>
        <v/>
      </c>
      <c r="I3580" s="44" t="str">
        <f t="array" ref="I3580">IF(B3580="","",_xlfn.XLOOKUP(B3580,'Form responses 1'!$B$2:$B$2604,'Form responses 1'!$I$2:$I$2604,""))</f>
        <v/>
      </c>
      <c r="J3580" s="44" t="str">
        <f t="array" ref="J3580">IF(B3580="","",_xlfn.XLOOKUP(B3580,'Form responses 1'!$B$2:$B$2604,'Form responses 1'!$G$2:$G$2604,""))</f>
        <v/>
      </c>
      <c r="K3580" s="56"/>
      <c r="L3580" s="58" t="str">
        <f t="shared" si="7"/>
        <v/>
      </c>
      <c r="M3580" s="49"/>
      <c r="N3580" s="49"/>
      <c r="O3580" s="49"/>
      <c r="P3580" s="49"/>
      <c r="Q3580" s="49"/>
      <c r="R3580" s="49"/>
      <c r="S3580" s="49"/>
      <c r="T3580" s="49"/>
      <c r="U3580" s="49"/>
      <c r="V3580" s="49"/>
      <c r="W3580" s="56"/>
      <c r="X3580" s="51" t="str">
        <f t="shared" si="5"/>
        <v/>
      </c>
      <c r="Y3580" s="50" t="s">
        <v>482</v>
      </c>
      <c r="Z3580" s="49">
        <f t="shared" si="6"/>
        <v>0</v>
      </c>
    </row>
    <row r="3581" ht="22.5" customHeight="1">
      <c r="B3581" s="57"/>
      <c r="C3581" s="43" t="str">
        <f t="array" ref="C3581">IF(B3581="","",_xlfn.XLOOKUP(B3581,'Form responses 1'!$B$2:$B$2604,'Form responses 1'!$A$2:$A$2604,""))</f>
        <v/>
      </c>
      <c r="D3581" s="44" t="str">
        <f t="shared" si="3"/>
        <v/>
      </c>
      <c r="E3581" s="44" t="str">
        <f t="array" ref="E3581">IF(B3581="","",_xlfn.XLOOKUP(B3581,'Form responses 1'!$B$2:$B$2604,'Form responses 1'!$C$2:$C$2604,""))</f>
        <v/>
      </c>
      <c r="F3581" s="44" t="str">
        <f t="array" ref="F3581">IF(B3581="","",_xlfn.XLOOKUP(B3581,'Form responses 1'!$B$2:$B$2604,'Form responses 1'!$D$2:$D$2604,""))</f>
        <v/>
      </c>
      <c r="G3581" s="44" t="str">
        <f t="array" ref="G3581">IF(B3581="","",_xlfn.XLOOKUP(B3581,'Form responses 1'!$B$2:$B$2604,'Form responses 1'!$E$2:$E$2604,""))</f>
        <v/>
      </c>
      <c r="H3581" s="44" t="str">
        <f t="array" ref="H3581">IF(B3581="","",_xlfn.XLOOKUP(B3581,'Form responses 1'!$B$2:$B$2604,'Form responses 1'!$F$2:$F$2604,""))</f>
        <v/>
      </c>
      <c r="I3581" s="44" t="str">
        <f t="array" ref="I3581">IF(B3581="","",_xlfn.XLOOKUP(B3581,'Form responses 1'!$B$2:$B$2604,'Form responses 1'!$I$2:$I$2604,""))</f>
        <v/>
      </c>
      <c r="J3581" s="44" t="str">
        <f t="array" ref="J3581">IF(B3581="","",_xlfn.XLOOKUP(B3581,'Form responses 1'!$B$2:$B$2604,'Form responses 1'!$G$2:$G$2604,""))</f>
        <v/>
      </c>
      <c r="K3581" s="56"/>
      <c r="L3581" s="58" t="str">
        <f t="shared" si="7"/>
        <v/>
      </c>
      <c r="M3581" s="49"/>
      <c r="N3581" s="49"/>
      <c r="O3581" s="49"/>
      <c r="P3581" s="49"/>
      <c r="Q3581" s="49"/>
      <c r="R3581" s="49"/>
      <c r="S3581" s="49"/>
      <c r="T3581" s="49"/>
      <c r="U3581" s="49"/>
      <c r="V3581" s="49"/>
      <c r="W3581" s="56"/>
      <c r="X3581" s="51" t="str">
        <f t="shared" si="5"/>
        <v/>
      </c>
      <c r="Y3581" s="50" t="s">
        <v>482</v>
      </c>
      <c r="Z3581" s="49">
        <f t="shared" si="6"/>
        <v>0</v>
      </c>
    </row>
    <row r="3582" ht="22.5" customHeight="1">
      <c r="B3582" s="57"/>
      <c r="C3582" s="43" t="str">
        <f t="array" ref="C3582">IF(B3582="","",_xlfn.XLOOKUP(B3582,'Form responses 1'!$B$2:$B$2604,'Form responses 1'!$A$2:$A$2604,""))</f>
        <v/>
      </c>
      <c r="D3582" s="44" t="str">
        <f t="shared" si="3"/>
        <v/>
      </c>
      <c r="E3582" s="44" t="str">
        <f t="array" ref="E3582">IF(B3582="","",_xlfn.XLOOKUP(B3582,'Form responses 1'!$B$2:$B$2604,'Form responses 1'!$C$2:$C$2604,""))</f>
        <v/>
      </c>
      <c r="F3582" s="44" t="str">
        <f t="array" ref="F3582">IF(B3582="","",_xlfn.XLOOKUP(B3582,'Form responses 1'!$B$2:$B$2604,'Form responses 1'!$D$2:$D$2604,""))</f>
        <v/>
      </c>
      <c r="G3582" s="44" t="str">
        <f t="array" ref="G3582">IF(B3582="","",_xlfn.XLOOKUP(B3582,'Form responses 1'!$B$2:$B$2604,'Form responses 1'!$E$2:$E$2604,""))</f>
        <v/>
      </c>
      <c r="H3582" s="44" t="str">
        <f t="array" ref="H3582">IF(B3582="","",_xlfn.XLOOKUP(B3582,'Form responses 1'!$B$2:$B$2604,'Form responses 1'!$F$2:$F$2604,""))</f>
        <v/>
      </c>
      <c r="I3582" s="44" t="str">
        <f t="array" ref="I3582">IF(B3582="","",_xlfn.XLOOKUP(B3582,'Form responses 1'!$B$2:$B$2604,'Form responses 1'!$I$2:$I$2604,""))</f>
        <v/>
      </c>
      <c r="J3582" s="44" t="str">
        <f t="array" ref="J3582">IF(B3582="","",_xlfn.XLOOKUP(B3582,'Form responses 1'!$B$2:$B$2604,'Form responses 1'!$G$2:$G$2604,""))</f>
        <v/>
      </c>
      <c r="K3582" s="56"/>
      <c r="L3582" s="58" t="str">
        <f t="shared" si="7"/>
        <v/>
      </c>
      <c r="M3582" s="49"/>
      <c r="N3582" s="49"/>
      <c r="O3582" s="49"/>
      <c r="P3582" s="49"/>
      <c r="Q3582" s="49"/>
      <c r="R3582" s="49"/>
      <c r="S3582" s="49"/>
      <c r="T3582" s="49"/>
      <c r="U3582" s="49"/>
      <c r="V3582" s="49"/>
      <c r="W3582" s="56"/>
      <c r="X3582" s="51" t="str">
        <f t="shared" si="5"/>
        <v/>
      </c>
      <c r="Y3582" s="50" t="s">
        <v>482</v>
      </c>
      <c r="Z3582" s="49">
        <f t="shared" si="6"/>
        <v>0</v>
      </c>
    </row>
    <row r="3583" ht="22.5" customHeight="1">
      <c r="B3583" s="57"/>
      <c r="C3583" s="43" t="str">
        <f t="array" ref="C3583">IF(B3583="","",_xlfn.XLOOKUP(B3583,'Form responses 1'!$B$2:$B$2604,'Form responses 1'!$A$2:$A$2604,""))</f>
        <v/>
      </c>
      <c r="D3583" s="44" t="str">
        <f t="shared" si="3"/>
        <v/>
      </c>
      <c r="E3583" s="44" t="str">
        <f t="array" ref="E3583">IF(B3583="","",_xlfn.XLOOKUP(B3583,'Form responses 1'!$B$2:$B$2604,'Form responses 1'!$C$2:$C$2604,""))</f>
        <v/>
      </c>
      <c r="F3583" s="44" t="str">
        <f t="array" ref="F3583">IF(B3583="","",_xlfn.XLOOKUP(B3583,'Form responses 1'!$B$2:$B$2604,'Form responses 1'!$D$2:$D$2604,""))</f>
        <v/>
      </c>
      <c r="G3583" s="44" t="str">
        <f t="array" ref="G3583">IF(B3583="","",_xlfn.XLOOKUP(B3583,'Form responses 1'!$B$2:$B$2604,'Form responses 1'!$E$2:$E$2604,""))</f>
        <v/>
      </c>
      <c r="H3583" s="44" t="str">
        <f t="array" ref="H3583">IF(B3583="","",_xlfn.XLOOKUP(B3583,'Form responses 1'!$B$2:$B$2604,'Form responses 1'!$F$2:$F$2604,""))</f>
        <v/>
      </c>
      <c r="I3583" s="44" t="str">
        <f t="array" ref="I3583">IF(B3583="","",_xlfn.XLOOKUP(B3583,'Form responses 1'!$B$2:$B$2604,'Form responses 1'!$I$2:$I$2604,""))</f>
        <v/>
      </c>
      <c r="J3583" s="44" t="str">
        <f t="array" ref="J3583">IF(B3583="","",_xlfn.XLOOKUP(B3583,'Form responses 1'!$B$2:$B$2604,'Form responses 1'!$G$2:$G$2604,""))</f>
        <v/>
      </c>
      <c r="K3583" s="56"/>
      <c r="L3583" s="58" t="str">
        <f t="shared" si="7"/>
        <v/>
      </c>
      <c r="M3583" s="49"/>
      <c r="N3583" s="49"/>
      <c r="O3583" s="49"/>
      <c r="P3583" s="49"/>
      <c r="Q3583" s="49"/>
      <c r="R3583" s="49"/>
      <c r="S3583" s="49"/>
      <c r="T3583" s="49"/>
      <c r="U3583" s="49"/>
      <c r="V3583" s="49"/>
      <c r="W3583" s="56"/>
      <c r="X3583" s="51" t="str">
        <f t="shared" si="5"/>
        <v/>
      </c>
      <c r="Y3583" s="50" t="s">
        <v>482</v>
      </c>
      <c r="Z3583" s="49">
        <f t="shared" si="6"/>
        <v>0</v>
      </c>
    </row>
    <row r="3584" ht="22.5" customHeight="1">
      <c r="B3584" s="57"/>
      <c r="C3584" s="43" t="str">
        <f t="array" ref="C3584">IF(B3584="","",_xlfn.XLOOKUP(B3584,'Form responses 1'!$B$2:$B$2604,'Form responses 1'!$A$2:$A$2604,""))</f>
        <v/>
      </c>
      <c r="D3584" s="44" t="str">
        <f t="shared" si="3"/>
        <v/>
      </c>
      <c r="E3584" s="44" t="str">
        <f t="array" ref="E3584">IF(B3584="","",_xlfn.XLOOKUP(B3584,'Form responses 1'!$B$2:$B$2604,'Form responses 1'!$C$2:$C$2604,""))</f>
        <v/>
      </c>
      <c r="F3584" s="44" t="str">
        <f t="array" ref="F3584">IF(B3584="","",_xlfn.XLOOKUP(B3584,'Form responses 1'!$B$2:$B$2604,'Form responses 1'!$D$2:$D$2604,""))</f>
        <v/>
      </c>
      <c r="G3584" s="44" t="str">
        <f t="array" ref="G3584">IF(B3584="","",_xlfn.XLOOKUP(B3584,'Form responses 1'!$B$2:$B$2604,'Form responses 1'!$E$2:$E$2604,""))</f>
        <v/>
      </c>
      <c r="H3584" s="44" t="str">
        <f t="array" ref="H3584">IF(B3584="","",_xlfn.XLOOKUP(B3584,'Form responses 1'!$B$2:$B$2604,'Form responses 1'!$F$2:$F$2604,""))</f>
        <v/>
      </c>
      <c r="I3584" s="44" t="str">
        <f t="array" ref="I3584">IF(B3584="","",_xlfn.XLOOKUP(B3584,'Form responses 1'!$B$2:$B$2604,'Form responses 1'!$I$2:$I$2604,""))</f>
        <v/>
      </c>
      <c r="J3584" s="44" t="str">
        <f t="array" ref="J3584">IF(B3584="","",_xlfn.XLOOKUP(B3584,'Form responses 1'!$B$2:$B$2604,'Form responses 1'!$G$2:$G$2604,""))</f>
        <v/>
      </c>
      <c r="K3584" s="56"/>
      <c r="L3584" s="58" t="str">
        <f t="shared" si="7"/>
        <v/>
      </c>
      <c r="M3584" s="49"/>
      <c r="N3584" s="49"/>
      <c r="O3584" s="49"/>
      <c r="P3584" s="49"/>
      <c r="Q3584" s="49"/>
      <c r="R3584" s="49"/>
      <c r="S3584" s="49"/>
      <c r="T3584" s="49"/>
      <c r="U3584" s="49"/>
      <c r="V3584" s="49"/>
      <c r="W3584" s="56"/>
      <c r="X3584" s="51" t="str">
        <f t="shared" si="5"/>
        <v/>
      </c>
      <c r="Y3584" s="50" t="s">
        <v>482</v>
      </c>
      <c r="Z3584" s="49">
        <f t="shared" si="6"/>
        <v>0</v>
      </c>
    </row>
    <row r="3585" ht="22.5" customHeight="1">
      <c r="B3585" s="57"/>
      <c r="C3585" s="43" t="str">
        <f t="array" ref="C3585">IF(B3585="","",_xlfn.XLOOKUP(B3585,'Form responses 1'!$B$2:$B$2604,'Form responses 1'!$A$2:$A$2604,""))</f>
        <v/>
      </c>
      <c r="D3585" s="44" t="str">
        <f t="shared" si="3"/>
        <v/>
      </c>
      <c r="E3585" s="44" t="str">
        <f t="array" ref="E3585">IF(B3585="","",_xlfn.XLOOKUP(B3585,'Form responses 1'!$B$2:$B$2604,'Form responses 1'!$C$2:$C$2604,""))</f>
        <v/>
      </c>
      <c r="F3585" s="44" t="str">
        <f t="array" ref="F3585">IF(B3585="","",_xlfn.XLOOKUP(B3585,'Form responses 1'!$B$2:$B$2604,'Form responses 1'!$D$2:$D$2604,""))</f>
        <v/>
      </c>
      <c r="G3585" s="44" t="str">
        <f t="array" ref="G3585">IF(B3585="","",_xlfn.XLOOKUP(B3585,'Form responses 1'!$B$2:$B$2604,'Form responses 1'!$E$2:$E$2604,""))</f>
        <v/>
      </c>
      <c r="H3585" s="44" t="str">
        <f t="array" ref="H3585">IF(B3585="","",_xlfn.XLOOKUP(B3585,'Form responses 1'!$B$2:$B$2604,'Form responses 1'!$F$2:$F$2604,""))</f>
        <v/>
      </c>
      <c r="I3585" s="44" t="str">
        <f t="array" ref="I3585">IF(B3585="","",_xlfn.XLOOKUP(B3585,'Form responses 1'!$B$2:$B$2604,'Form responses 1'!$I$2:$I$2604,""))</f>
        <v/>
      </c>
      <c r="J3585" s="44" t="str">
        <f t="array" ref="J3585">IF(B3585="","",_xlfn.XLOOKUP(B3585,'Form responses 1'!$B$2:$B$2604,'Form responses 1'!$G$2:$G$2604,""))</f>
        <v/>
      </c>
      <c r="K3585" s="56"/>
      <c r="L3585" s="58" t="str">
        <f t="shared" si="7"/>
        <v/>
      </c>
      <c r="M3585" s="49"/>
      <c r="N3585" s="49"/>
      <c r="O3585" s="49"/>
      <c r="P3585" s="49"/>
      <c r="Q3585" s="49"/>
      <c r="R3585" s="49"/>
      <c r="S3585" s="49"/>
      <c r="T3585" s="49"/>
      <c r="U3585" s="49"/>
      <c r="V3585" s="49"/>
      <c r="W3585" s="56"/>
      <c r="X3585" s="51" t="str">
        <f t="shared" si="5"/>
        <v/>
      </c>
      <c r="Y3585" s="50" t="s">
        <v>482</v>
      </c>
      <c r="Z3585" s="49">
        <f t="shared" si="6"/>
        <v>0</v>
      </c>
    </row>
    <row r="3586" ht="22.5" customHeight="1">
      <c r="B3586" s="57"/>
      <c r="C3586" s="43" t="str">
        <f t="array" ref="C3586">IF(B3586="","",_xlfn.XLOOKUP(B3586,'Form responses 1'!$B$2:$B$2604,'Form responses 1'!$A$2:$A$2604,""))</f>
        <v/>
      </c>
      <c r="D3586" s="44" t="str">
        <f t="shared" si="3"/>
        <v/>
      </c>
      <c r="E3586" s="44" t="str">
        <f t="array" ref="E3586">IF(B3586="","",_xlfn.XLOOKUP(B3586,'Form responses 1'!$B$2:$B$2604,'Form responses 1'!$C$2:$C$2604,""))</f>
        <v/>
      </c>
      <c r="F3586" s="44" t="str">
        <f t="array" ref="F3586">IF(B3586="","",_xlfn.XLOOKUP(B3586,'Form responses 1'!$B$2:$B$2604,'Form responses 1'!$D$2:$D$2604,""))</f>
        <v/>
      </c>
      <c r="G3586" s="44" t="str">
        <f t="array" ref="G3586">IF(B3586="","",_xlfn.XLOOKUP(B3586,'Form responses 1'!$B$2:$B$2604,'Form responses 1'!$E$2:$E$2604,""))</f>
        <v/>
      </c>
      <c r="H3586" s="44" t="str">
        <f t="array" ref="H3586">IF(B3586="","",_xlfn.XLOOKUP(B3586,'Form responses 1'!$B$2:$B$2604,'Form responses 1'!$F$2:$F$2604,""))</f>
        <v/>
      </c>
      <c r="I3586" s="44" t="str">
        <f t="array" ref="I3586">IF(B3586="","",_xlfn.XLOOKUP(B3586,'Form responses 1'!$B$2:$B$2604,'Form responses 1'!$I$2:$I$2604,""))</f>
        <v/>
      </c>
      <c r="J3586" s="44" t="str">
        <f t="array" ref="J3586">IF(B3586="","",_xlfn.XLOOKUP(B3586,'Form responses 1'!$B$2:$B$2604,'Form responses 1'!$G$2:$G$2604,""))</f>
        <v/>
      </c>
      <c r="K3586" s="56"/>
      <c r="L3586" s="58" t="str">
        <f t="shared" si="7"/>
        <v/>
      </c>
      <c r="M3586" s="49"/>
      <c r="N3586" s="49"/>
      <c r="O3586" s="49"/>
      <c r="P3586" s="49"/>
      <c r="Q3586" s="49"/>
      <c r="R3586" s="49"/>
      <c r="S3586" s="49"/>
      <c r="T3586" s="49"/>
      <c r="U3586" s="49"/>
      <c r="V3586" s="49"/>
      <c r="W3586" s="56"/>
      <c r="X3586" s="51" t="str">
        <f t="shared" si="5"/>
        <v/>
      </c>
      <c r="Y3586" s="50" t="s">
        <v>482</v>
      </c>
      <c r="Z3586" s="49">
        <f t="shared" si="6"/>
        <v>0</v>
      </c>
    </row>
    <row r="3587" ht="22.5" customHeight="1">
      <c r="B3587" s="57"/>
      <c r="C3587" s="43" t="str">
        <f t="array" ref="C3587">IF(B3587="","",_xlfn.XLOOKUP(B3587,'Form responses 1'!$B$2:$B$2604,'Form responses 1'!$A$2:$A$2604,""))</f>
        <v/>
      </c>
      <c r="D3587" s="44" t="str">
        <f t="shared" si="3"/>
        <v/>
      </c>
      <c r="E3587" s="44" t="str">
        <f t="array" ref="E3587">IF(B3587="","",_xlfn.XLOOKUP(B3587,'Form responses 1'!$B$2:$B$2604,'Form responses 1'!$C$2:$C$2604,""))</f>
        <v/>
      </c>
      <c r="F3587" s="44" t="str">
        <f t="array" ref="F3587">IF(B3587="","",_xlfn.XLOOKUP(B3587,'Form responses 1'!$B$2:$B$2604,'Form responses 1'!$D$2:$D$2604,""))</f>
        <v/>
      </c>
      <c r="G3587" s="44" t="str">
        <f t="array" ref="G3587">IF(B3587="","",_xlfn.XLOOKUP(B3587,'Form responses 1'!$B$2:$B$2604,'Form responses 1'!$E$2:$E$2604,""))</f>
        <v/>
      </c>
      <c r="H3587" s="44" t="str">
        <f t="array" ref="H3587">IF(B3587="","",_xlfn.XLOOKUP(B3587,'Form responses 1'!$B$2:$B$2604,'Form responses 1'!$F$2:$F$2604,""))</f>
        <v/>
      </c>
      <c r="I3587" s="44" t="str">
        <f t="array" ref="I3587">IF(B3587="","",_xlfn.XLOOKUP(B3587,'Form responses 1'!$B$2:$B$2604,'Form responses 1'!$I$2:$I$2604,""))</f>
        <v/>
      </c>
      <c r="J3587" s="44" t="str">
        <f t="array" ref="J3587">IF(B3587="","",_xlfn.XLOOKUP(B3587,'Form responses 1'!$B$2:$B$2604,'Form responses 1'!$G$2:$G$2604,""))</f>
        <v/>
      </c>
      <c r="K3587" s="56"/>
      <c r="L3587" s="58" t="str">
        <f t="shared" si="7"/>
        <v/>
      </c>
      <c r="M3587" s="49"/>
      <c r="N3587" s="49"/>
      <c r="O3587" s="49"/>
      <c r="P3587" s="49"/>
      <c r="Q3587" s="49"/>
      <c r="R3587" s="49"/>
      <c r="S3587" s="49"/>
      <c r="T3587" s="49"/>
      <c r="U3587" s="49"/>
      <c r="V3587" s="49"/>
      <c r="W3587" s="56"/>
      <c r="X3587" s="51" t="str">
        <f t="shared" si="5"/>
        <v/>
      </c>
      <c r="Y3587" s="50" t="s">
        <v>482</v>
      </c>
      <c r="Z3587" s="49">
        <f t="shared" si="6"/>
        <v>0</v>
      </c>
    </row>
    <row r="3588" ht="22.5" customHeight="1">
      <c r="B3588" s="57"/>
      <c r="C3588" s="43" t="str">
        <f t="array" ref="C3588">IF(B3588="","",_xlfn.XLOOKUP(B3588,'Form responses 1'!$B$2:$B$2604,'Form responses 1'!$A$2:$A$2604,""))</f>
        <v/>
      </c>
      <c r="D3588" s="44" t="str">
        <f t="shared" si="3"/>
        <v/>
      </c>
      <c r="E3588" s="44" t="str">
        <f t="array" ref="E3588">IF(B3588="","",_xlfn.XLOOKUP(B3588,'Form responses 1'!$B$2:$B$2604,'Form responses 1'!$C$2:$C$2604,""))</f>
        <v/>
      </c>
      <c r="F3588" s="44" t="str">
        <f t="array" ref="F3588">IF(B3588="","",_xlfn.XLOOKUP(B3588,'Form responses 1'!$B$2:$B$2604,'Form responses 1'!$D$2:$D$2604,""))</f>
        <v/>
      </c>
      <c r="G3588" s="44" t="str">
        <f t="array" ref="G3588">IF(B3588="","",_xlfn.XLOOKUP(B3588,'Form responses 1'!$B$2:$B$2604,'Form responses 1'!$E$2:$E$2604,""))</f>
        <v/>
      </c>
      <c r="H3588" s="44" t="str">
        <f t="array" ref="H3588">IF(B3588="","",_xlfn.XLOOKUP(B3588,'Form responses 1'!$B$2:$B$2604,'Form responses 1'!$F$2:$F$2604,""))</f>
        <v/>
      </c>
      <c r="I3588" s="44" t="str">
        <f t="array" ref="I3588">IF(B3588="","",_xlfn.XLOOKUP(B3588,'Form responses 1'!$B$2:$B$2604,'Form responses 1'!$I$2:$I$2604,""))</f>
        <v/>
      </c>
      <c r="J3588" s="44" t="str">
        <f t="array" ref="J3588">IF(B3588="","",_xlfn.XLOOKUP(B3588,'Form responses 1'!$B$2:$B$2604,'Form responses 1'!$G$2:$G$2604,""))</f>
        <v/>
      </c>
      <c r="K3588" s="56"/>
      <c r="L3588" s="58" t="str">
        <f t="shared" si="7"/>
        <v/>
      </c>
      <c r="M3588" s="49"/>
      <c r="N3588" s="49"/>
      <c r="O3588" s="49"/>
      <c r="P3588" s="49"/>
      <c r="Q3588" s="49"/>
      <c r="R3588" s="49"/>
      <c r="S3588" s="49"/>
      <c r="T3588" s="49"/>
      <c r="U3588" s="49"/>
      <c r="V3588" s="49"/>
      <c r="W3588" s="56"/>
      <c r="X3588" s="51" t="str">
        <f t="shared" si="5"/>
        <v/>
      </c>
      <c r="Y3588" s="50" t="s">
        <v>482</v>
      </c>
      <c r="Z3588" s="49">
        <f t="shared" si="6"/>
        <v>0</v>
      </c>
    </row>
    <row r="3589" ht="22.5" customHeight="1">
      <c r="B3589" s="57"/>
      <c r="C3589" s="43" t="str">
        <f t="array" ref="C3589">IF(B3589="","",_xlfn.XLOOKUP(B3589,'Form responses 1'!$B$2:$B$2604,'Form responses 1'!$A$2:$A$2604,""))</f>
        <v/>
      </c>
      <c r="D3589" s="44" t="str">
        <f t="shared" si="3"/>
        <v/>
      </c>
      <c r="E3589" s="44" t="str">
        <f t="array" ref="E3589">IF(B3589="","",_xlfn.XLOOKUP(B3589,'Form responses 1'!$B$2:$B$2604,'Form responses 1'!$C$2:$C$2604,""))</f>
        <v/>
      </c>
      <c r="F3589" s="44" t="str">
        <f t="array" ref="F3589">IF(B3589="","",_xlfn.XLOOKUP(B3589,'Form responses 1'!$B$2:$B$2604,'Form responses 1'!$D$2:$D$2604,""))</f>
        <v/>
      </c>
      <c r="G3589" s="44" t="str">
        <f t="array" ref="G3589">IF(B3589="","",_xlfn.XLOOKUP(B3589,'Form responses 1'!$B$2:$B$2604,'Form responses 1'!$E$2:$E$2604,""))</f>
        <v/>
      </c>
      <c r="H3589" s="44" t="str">
        <f t="array" ref="H3589">IF(B3589="","",_xlfn.XLOOKUP(B3589,'Form responses 1'!$B$2:$B$2604,'Form responses 1'!$F$2:$F$2604,""))</f>
        <v/>
      </c>
      <c r="I3589" s="44" t="str">
        <f t="array" ref="I3589">IF(B3589="","",_xlfn.XLOOKUP(B3589,'Form responses 1'!$B$2:$B$2604,'Form responses 1'!$I$2:$I$2604,""))</f>
        <v/>
      </c>
      <c r="J3589" s="44" t="str">
        <f t="array" ref="J3589">IF(B3589="","",_xlfn.XLOOKUP(B3589,'Form responses 1'!$B$2:$B$2604,'Form responses 1'!$G$2:$G$2604,""))</f>
        <v/>
      </c>
      <c r="K3589" s="56"/>
      <c r="L3589" s="58" t="str">
        <f t="shared" si="7"/>
        <v/>
      </c>
      <c r="M3589" s="49"/>
      <c r="N3589" s="49"/>
      <c r="O3589" s="49"/>
      <c r="P3589" s="49"/>
      <c r="Q3589" s="49"/>
      <c r="R3589" s="49"/>
      <c r="S3589" s="49"/>
      <c r="T3589" s="49"/>
      <c r="U3589" s="49"/>
      <c r="V3589" s="49"/>
      <c r="W3589" s="56"/>
      <c r="X3589" s="51" t="str">
        <f t="shared" si="5"/>
        <v/>
      </c>
      <c r="Y3589" s="50" t="s">
        <v>482</v>
      </c>
      <c r="Z3589" s="49">
        <f t="shared" si="6"/>
        <v>0</v>
      </c>
    </row>
    <row r="3590" ht="22.5" customHeight="1">
      <c r="B3590" s="57"/>
      <c r="C3590" s="43" t="str">
        <f t="array" ref="C3590">IF(B3590="","",_xlfn.XLOOKUP(B3590,'Form responses 1'!$B$2:$B$2604,'Form responses 1'!$A$2:$A$2604,""))</f>
        <v/>
      </c>
      <c r="D3590" s="44" t="str">
        <f t="shared" si="3"/>
        <v/>
      </c>
      <c r="E3590" s="44" t="str">
        <f t="array" ref="E3590">IF(B3590="","",_xlfn.XLOOKUP(B3590,'Form responses 1'!$B$2:$B$2604,'Form responses 1'!$C$2:$C$2604,""))</f>
        <v/>
      </c>
      <c r="F3590" s="44" t="str">
        <f t="array" ref="F3590">IF(B3590="","",_xlfn.XLOOKUP(B3590,'Form responses 1'!$B$2:$B$2604,'Form responses 1'!$D$2:$D$2604,""))</f>
        <v/>
      </c>
      <c r="G3590" s="44" t="str">
        <f t="array" ref="G3590">IF(B3590="","",_xlfn.XLOOKUP(B3590,'Form responses 1'!$B$2:$B$2604,'Form responses 1'!$E$2:$E$2604,""))</f>
        <v/>
      </c>
      <c r="H3590" s="44" t="str">
        <f t="array" ref="H3590">IF(B3590="","",_xlfn.XLOOKUP(B3590,'Form responses 1'!$B$2:$B$2604,'Form responses 1'!$F$2:$F$2604,""))</f>
        <v/>
      </c>
      <c r="I3590" s="44" t="str">
        <f t="array" ref="I3590">IF(B3590="","",_xlfn.XLOOKUP(B3590,'Form responses 1'!$B$2:$B$2604,'Form responses 1'!$I$2:$I$2604,""))</f>
        <v/>
      </c>
      <c r="J3590" s="44" t="str">
        <f t="array" ref="J3590">IF(B3590="","",_xlfn.XLOOKUP(B3590,'Form responses 1'!$B$2:$B$2604,'Form responses 1'!$G$2:$G$2604,""))</f>
        <v/>
      </c>
      <c r="K3590" s="56"/>
      <c r="L3590" s="58" t="str">
        <f t="shared" si="7"/>
        <v/>
      </c>
      <c r="M3590" s="49"/>
      <c r="N3590" s="49"/>
      <c r="O3590" s="49"/>
      <c r="P3590" s="49"/>
      <c r="Q3590" s="49"/>
      <c r="R3590" s="49"/>
      <c r="S3590" s="49"/>
      <c r="T3590" s="49"/>
      <c r="U3590" s="49"/>
      <c r="V3590" s="49"/>
      <c r="W3590" s="56"/>
      <c r="X3590" s="51" t="str">
        <f t="shared" si="5"/>
        <v/>
      </c>
      <c r="Y3590" s="50" t="s">
        <v>482</v>
      </c>
      <c r="Z3590" s="49">
        <f t="shared" si="6"/>
        <v>0</v>
      </c>
    </row>
    <row r="3591" ht="22.5" customHeight="1">
      <c r="B3591" s="57"/>
      <c r="C3591" s="43" t="str">
        <f t="array" ref="C3591">IF(B3591="","",_xlfn.XLOOKUP(B3591,'Form responses 1'!$B$2:$B$2604,'Form responses 1'!$A$2:$A$2604,""))</f>
        <v/>
      </c>
      <c r="D3591" s="44" t="str">
        <f t="shared" si="3"/>
        <v/>
      </c>
      <c r="E3591" s="44" t="str">
        <f t="array" ref="E3591">IF(B3591="","",_xlfn.XLOOKUP(B3591,'Form responses 1'!$B$2:$B$2604,'Form responses 1'!$C$2:$C$2604,""))</f>
        <v/>
      </c>
      <c r="F3591" s="44" t="str">
        <f t="array" ref="F3591">IF(B3591="","",_xlfn.XLOOKUP(B3591,'Form responses 1'!$B$2:$B$2604,'Form responses 1'!$D$2:$D$2604,""))</f>
        <v/>
      </c>
      <c r="G3591" s="44" t="str">
        <f t="array" ref="G3591">IF(B3591="","",_xlfn.XLOOKUP(B3591,'Form responses 1'!$B$2:$B$2604,'Form responses 1'!$E$2:$E$2604,""))</f>
        <v/>
      </c>
      <c r="H3591" s="44" t="str">
        <f t="array" ref="H3591">IF(B3591="","",_xlfn.XLOOKUP(B3591,'Form responses 1'!$B$2:$B$2604,'Form responses 1'!$F$2:$F$2604,""))</f>
        <v/>
      </c>
      <c r="I3591" s="44" t="str">
        <f t="array" ref="I3591">IF(B3591="","",_xlfn.XLOOKUP(B3591,'Form responses 1'!$B$2:$B$2604,'Form responses 1'!$I$2:$I$2604,""))</f>
        <v/>
      </c>
      <c r="J3591" s="44" t="str">
        <f t="array" ref="J3591">IF(B3591="","",_xlfn.XLOOKUP(B3591,'Form responses 1'!$B$2:$B$2604,'Form responses 1'!$G$2:$G$2604,""))</f>
        <v/>
      </c>
      <c r="K3591" s="56"/>
      <c r="L3591" s="58" t="str">
        <f t="shared" si="7"/>
        <v/>
      </c>
      <c r="M3591" s="49"/>
      <c r="N3591" s="49"/>
      <c r="O3591" s="49"/>
      <c r="P3591" s="49"/>
      <c r="Q3591" s="49"/>
      <c r="R3591" s="49"/>
      <c r="S3591" s="49"/>
      <c r="T3591" s="49"/>
      <c r="U3591" s="49"/>
      <c r="V3591" s="49"/>
      <c r="W3591" s="56"/>
      <c r="X3591" s="51" t="str">
        <f t="shared" si="5"/>
        <v/>
      </c>
      <c r="Y3591" s="50" t="s">
        <v>482</v>
      </c>
      <c r="Z3591" s="49">
        <f t="shared" si="6"/>
        <v>0</v>
      </c>
    </row>
    <row r="3592" ht="22.5" customHeight="1">
      <c r="B3592" s="57"/>
      <c r="C3592" s="43" t="str">
        <f t="array" ref="C3592">IF(B3592="","",_xlfn.XLOOKUP(B3592,'Form responses 1'!$B$2:$B$2604,'Form responses 1'!$A$2:$A$2604,""))</f>
        <v/>
      </c>
      <c r="D3592" s="44" t="str">
        <f t="shared" si="3"/>
        <v/>
      </c>
      <c r="E3592" s="44" t="str">
        <f t="array" ref="E3592">IF(B3592="","",_xlfn.XLOOKUP(B3592,'Form responses 1'!$B$2:$B$2604,'Form responses 1'!$C$2:$C$2604,""))</f>
        <v/>
      </c>
      <c r="F3592" s="44" t="str">
        <f t="array" ref="F3592">IF(B3592="","",_xlfn.XLOOKUP(B3592,'Form responses 1'!$B$2:$B$2604,'Form responses 1'!$D$2:$D$2604,""))</f>
        <v/>
      </c>
      <c r="G3592" s="44" t="str">
        <f t="array" ref="G3592">IF(B3592="","",_xlfn.XLOOKUP(B3592,'Form responses 1'!$B$2:$B$2604,'Form responses 1'!$E$2:$E$2604,""))</f>
        <v/>
      </c>
      <c r="H3592" s="44" t="str">
        <f t="array" ref="H3592">IF(B3592="","",_xlfn.XLOOKUP(B3592,'Form responses 1'!$B$2:$B$2604,'Form responses 1'!$F$2:$F$2604,""))</f>
        <v/>
      </c>
      <c r="I3592" s="44" t="str">
        <f t="array" ref="I3592">IF(B3592="","",_xlfn.XLOOKUP(B3592,'Form responses 1'!$B$2:$B$2604,'Form responses 1'!$I$2:$I$2604,""))</f>
        <v/>
      </c>
      <c r="J3592" s="44" t="str">
        <f t="array" ref="J3592">IF(B3592="","",_xlfn.XLOOKUP(B3592,'Form responses 1'!$B$2:$B$2604,'Form responses 1'!$G$2:$G$2604,""))</f>
        <v/>
      </c>
      <c r="K3592" s="56"/>
      <c r="L3592" s="58" t="str">
        <f t="shared" si="7"/>
        <v/>
      </c>
      <c r="M3592" s="49"/>
      <c r="N3592" s="49"/>
      <c r="O3592" s="49"/>
      <c r="P3592" s="49"/>
      <c r="Q3592" s="49"/>
      <c r="R3592" s="49"/>
      <c r="S3592" s="49"/>
      <c r="T3592" s="49"/>
      <c r="U3592" s="49"/>
      <c r="V3592" s="49"/>
      <c r="W3592" s="56"/>
      <c r="X3592" s="51" t="str">
        <f t="shared" si="5"/>
        <v/>
      </c>
      <c r="Y3592" s="50" t="s">
        <v>482</v>
      </c>
      <c r="Z3592" s="49">
        <f t="shared" si="6"/>
        <v>0</v>
      </c>
    </row>
    <row r="3593" ht="22.5" customHeight="1">
      <c r="B3593" s="57"/>
      <c r="C3593" s="43" t="str">
        <f t="array" ref="C3593">IF(B3593="","",_xlfn.XLOOKUP(B3593,'Form responses 1'!$B$2:$B$2604,'Form responses 1'!$A$2:$A$2604,""))</f>
        <v/>
      </c>
      <c r="D3593" s="44" t="str">
        <f t="shared" si="3"/>
        <v/>
      </c>
      <c r="E3593" s="44" t="str">
        <f t="array" ref="E3593">IF(B3593="","",_xlfn.XLOOKUP(B3593,'Form responses 1'!$B$2:$B$2604,'Form responses 1'!$C$2:$C$2604,""))</f>
        <v/>
      </c>
      <c r="F3593" s="44" t="str">
        <f t="array" ref="F3593">IF(B3593="","",_xlfn.XLOOKUP(B3593,'Form responses 1'!$B$2:$B$2604,'Form responses 1'!$D$2:$D$2604,""))</f>
        <v/>
      </c>
      <c r="G3593" s="44" t="str">
        <f t="array" ref="G3593">IF(B3593="","",_xlfn.XLOOKUP(B3593,'Form responses 1'!$B$2:$B$2604,'Form responses 1'!$E$2:$E$2604,""))</f>
        <v/>
      </c>
      <c r="H3593" s="44" t="str">
        <f t="array" ref="H3593">IF(B3593="","",_xlfn.XLOOKUP(B3593,'Form responses 1'!$B$2:$B$2604,'Form responses 1'!$F$2:$F$2604,""))</f>
        <v/>
      </c>
      <c r="I3593" s="44" t="str">
        <f t="array" ref="I3593">IF(B3593="","",_xlfn.XLOOKUP(B3593,'Form responses 1'!$B$2:$B$2604,'Form responses 1'!$I$2:$I$2604,""))</f>
        <v/>
      </c>
      <c r="J3593" s="44" t="str">
        <f t="array" ref="J3593">IF(B3593="","",_xlfn.XLOOKUP(B3593,'Form responses 1'!$B$2:$B$2604,'Form responses 1'!$G$2:$G$2604,""))</f>
        <v/>
      </c>
      <c r="K3593" s="56"/>
      <c r="L3593" s="58" t="str">
        <f t="shared" si="7"/>
        <v/>
      </c>
      <c r="M3593" s="49"/>
      <c r="N3593" s="49"/>
      <c r="O3593" s="49"/>
      <c r="P3593" s="49"/>
      <c r="Q3593" s="49"/>
      <c r="R3593" s="49"/>
      <c r="S3593" s="49"/>
      <c r="T3593" s="49"/>
      <c r="U3593" s="49"/>
      <c r="V3593" s="49"/>
      <c r="W3593" s="56"/>
      <c r="X3593" s="51" t="str">
        <f t="shared" si="5"/>
        <v/>
      </c>
      <c r="Y3593" s="50" t="s">
        <v>482</v>
      </c>
      <c r="Z3593" s="49">
        <f t="shared" si="6"/>
        <v>0</v>
      </c>
    </row>
    <row r="3594" ht="22.5" customHeight="1">
      <c r="B3594" s="57"/>
      <c r="C3594" s="43" t="str">
        <f t="array" ref="C3594">IF(B3594="","",_xlfn.XLOOKUP(B3594,'Form responses 1'!$B$2:$B$2604,'Form responses 1'!$A$2:$A$2604,""))</f>
        <v/>
      </c>
      <c r="D3594" s="44" t="str">
        <f t="shared" si="3"/>
        <v/>
      </c>
      <c r="E3594" s="44" t="str">
        <f t="array" ref="E3594">IF(B3594="","",_xlfn.XLOOKUP(B3594,'Form responses 1'!$B$2:$B$2604,'Form responses 1'!$C$2:$C$2604,""))</f>
        <v/>
      </c>
      <c r="F3594" s="44" t="str">
        <f t="array" ref="F3594">IF(B3594="","",_xlfn.XLOOKUP(B3594,'Form responses 1'!$B$2:$B$2604,'Form responses 1'!$D$2:$D$2604,""))</f>
        <v/>
      </c>
      <c r="G3594" s="44" t="str">
        <f t="array" ref="G3594">IF(B3594="","",_xlfn.XLOOKUP(B3594,'Form responses 1'!$B$2:$B$2604,'Form responses 1'!$E$2:$E$2604,""))</f>
        <v/>
      </c>
      <c r="H3594" s="44" t="str">
        <f t="array" ref="H3594">IF(B3594="","",_xlfn.XLOOKUP(B3594,'Form responses 1'!$B$2:$B$2604,'Form responses 1'!$F$2:$F$2604,""))</f>
        <v/>
      </c>
      <c r="I3594" s="44" t="str">
        <f t="array" ref="I3594">IF(B3594="","",_xlfn.XLOOKUP(B3594,'Form responses 1'!$B$2:$B$2604,'Form responses 1'!$I$2:$I$2604,""))</f>
        <v/>
      </c>
      <c r="J3594" s="44" t="str">
        <f t="array" ref="J3594">IF(B3594="","",_xlfn.XLOOKUP(B3594,'Form responses 1'!$B$2:$B$2604,'Form responses 1'!$G$2:$G$2604,""))</f>
        <v/>
      </c>
      <c r="K3594" s="56"/>
      <c r="L3594" s="58" t="str">
        <f t="shared" si="7"/>
        <v/>
      </c>
      <c r="M3594" s="49"/>
      <c r="N3594" s="49"/>
      <c r="O3594" s="49"/>
      <c r="P3594" s="49"/>
      <c r="Q3594" s="49"/>
      <c r="R3594" s="49"/>
      <c r="S3594" s="49"/>
      <c r="T3594" s="49"/>
      <c r="U3594" s="49"/>
      <c r="V3594" s="49"/>
      <c r="W3594" s="56"/>
      <c r="X3594" s="51" t="str">
        <f t="shared" si="5"/>
        <v/>
      </c>
      <c r="Y3594" s="50" t="s">
        <v>482</v>
      </c>
      <c r="Z3594" s="49">
        <f t="shared" si="6"/>
        <v>0</v>
      </c>
    </row>
    <row r="3595" ht="22.5" customHeight="1">
      <c r="B3595" s="57"/>
      <c r="C3595" s="43" t="str">
        <f t="array" ref="C3595">IF(B3595="","",_xlfn.XLOOKUP(B3595,'Form responses 1'!$B$2:$B$2604,'Form responses 1'!$A$2:$A$2604,""))</f>
        <v/>
      </c>
      <c r="D3595" s="44" t="str">
        <f t="shared" si="3"/>
        <v/>
      </c>
      <c r="E3595" s="44" t="str">
        <f t="array" ref="E3595">IF(B3595="","",_xlfn.XLOOKUP(B3595,'Form responses 1'!$B$2:$B$2604,'Form responses 1'!$C$2:$C$2604,""))</f>
        <v/>
      </c>
      <c r="F3595" s="44" t="str">
        <f t="array" ref="F3595">IF(B3595="","",_xlfn.XLOOKUP(B3595,'Form responses 1'!$B$2:$B$2604,'Form responses 1'!$D$2:$D$2604,""))</f>
        <v/>
      </c>
      <c r="G3595" s="44" t="str">
        <f t="array" ref="G3595">IF(B3595="","",_xlfn.XLOOKUP(B3595,'Form responses 1'!$B$2:$B$2604,'Form responses 1'!$E$2:$E$2604,""))</f>
        <v/>
      </c>
      <c r="H3595" s="44" t="str">
        <f t="array" ref="H3595">IF(B3595="","",_xlfn.XLOOKUP(B3595,'Form responses 1'!$B$2:$B$2604,'Form responses 1'!$F$2:$F$2604,""))</f>
        <v/>
      </c>
      <c r="I3595" s="44" t="str">
        <f t="array" ref="I3595">IF(B3595="","",_xlfn.XLOOKUP(B3595,'Form responses 1'!$B$2:$B$2604,'Form responses 1'!$I$2:$I$2604,""))</f>
        <v/>
      </c>
      <c r="J3595" s="44" t="str">
        <f t="array" ref="J3595">IF(B3595="","",_xlfn.XLOOKUP(B3595,'Form responses 1'!$B$2:$B$2604,'Form responses 1'!$G$2:$G$2604,""))</f>
        <v/>
      </c>
      <c r="K3595" s="56"/>
      <c r="L3595" s="58" t="str">
        <f t="shared" si="7"/>
        <v/>
      </c>
      <c r="M3595" s="49"/>
      <c r="N3595" s="49"/>
      <c r="O3595" s="49"/>
      <c r="P3595" s="49"/>
      <c r="Q3595" s="49"/>
      <c r="R3595" s="49"/>
      <c r="S3595" s="49"/>
      <c r="T3595" s="49"/>
      <c r="U3595" s="49"/>
      <c r="V3595" s="49"/>
      <c r="W3595" s="56"/>
      <c r="X3595" s="51" t="str">
        <f t="shared" si="5"/>
        <v/>
      </c>
      <c r="Y3595" s="50" t="s">
        <v>482</v>
      </c>
      <c r="Z3595" s="49">
        <f t="shared" si="6"/>
        <v>0</v>
      </c>
    </row>
    <row r="3596" ht="22.5" customHeight="1">
      <c r="B3596" s="57"/>
      <c r="C3596" s="43" t="str">
        <f t="array" ref="C3596">IF(B3596="","",_xlfn.XLOOKUP(B3596,'Form responses 1'!$B$2:$B$2604,'Form responses 1'!$A$2:$A$2604,""))</f>
        <v/>
      </c>
      <c r="D3596" s="44" t="str">
        <f t="shared" si="3"/>
        <v/>
      </c>
      <c r="E3596" s="44" t="str">
        <f t="array" ref="E3596">IF(B3596="","",_xlfn.XLOOKUP(B3596,'Form responses 1'!$B$2:$B$2604,'Form responses 1'!$C$2:$C$2604,""))</f>
        <v/>
      </c>
      <c r="F3596" s="44" t="str">
        <f t="array" ref="F3596">IF(B3596="","",_xlfn.XLOOKUP(B3596,'Form responses 1'!$B$2:$B$2604,'Form responses 1'!$D$2:$D$2604,""))</f>
        <v/>
      </c>
      <c r="G3596" s="44" t="str">
        <f t="array" ref="G3596">IF(B3596="","",_xlfn.XLOOKUP(B3596,'Form responses 1'!$B$2:$B$2604,'Form responses 1'!$E$2:$E$2604,""))</f>
        <v/>
      </c>
      <c r="H3596" s="44" t="str">
        <f t="array" ref="H3596">IF(B3596="","",_xlfn.XLOOKUP(B3596,'Form responses 1'!$B$2:$B$2604,'Form responses 1'!$F$2:$F$2604,""))</f>
        <v/>
      </c>
      <c r="I3596" s="44" t="str">
        <f t="array" ref="I3596">IF(B3596="","",_xlfn.XLOOKUP(B3596,'Form responses 1'!$B$2:$B$2604,'Form responses 1'!$I$2:$I$2604,""))</f>
        <v/>
      </c>
      <c r="J3596" s="44" t="str">
        <f t="array" ref="J3596">IF(B3596="","",_xlfn.XLOOKUP(B3596,'Form responses 1'!$B$2:$B$2604,'Form responses 1'!$G$2:$G$2604,""))</f>
        <v/>
      </c>
      <c r="K3596" s="56"/>
      <c r="L3596" s="58" t="str">
        <f t="shared" si="7"/>
        <v/>
      </c>
      <c r="M3596" s="49"/>
      <c r="N3596" s="49"/>
      <c r="O3596" s="49"/>
      <c r="P3596" s="49"/>
      <c r="Q3596" s="49"/>
      <c r="R3596" s="49"/>
      <c r="S3596" s="49"/>
      <c r="T3596" s="49"/>
      <c r="U3596" s="49"/>
      <c r="V3596" s="49"/>
      <c r="W3596" s="56"/>
      <c r="X3596" s="51" t="str">
        <f t="shared" si="5"/>
        <v/>
      </c>
      <c r="Y3596" s="50" t="s">
        <v>482</v>
      </c>
      <c r="Z3596" s="49">
        <f t="shared" si="6"/>
        <v>0</v>
      </c>
    </row>
    <row r="3597" ht="22.5" customHeight="1">
      <c r="B3597" s="57"/>
      <c r="C3597" s="43" t="str">
        <f t="array" ref="C3597">IF(B3597="","",_xlfn.XLOOKUP(B3597,'Form responses 1'!$B$2:$B$2604,'Form responses 1'!$A$2:$A$2604,""))</f>
        <v/>
      </c>
      <c r="D3597" s="44" t="str">
        <f t="shared" si="3"/>
        <v/>
      </c>
      <c r="E3597" s="44" t="str">
        <f t="array" ref="E3597">IF(B3597="","",_xlfn.XLOOKUP(B3597,'Form responses 1'!$B$2:$B$2604,'Form responses 1'!$C$2:$C$2604,""))</f>
        <v/>
      </c>
      <c r="F3597" s="44" t="str">
        <f t="array" ref="F3597">IF(B3597="","",_xlfn.XLOOKUP(B3597,'Form responses 1'!$B$2:$B$2604,'Form responses 1'!$D$2:$D$2604,""))</f>
        <v/>
      </c>
      <c r="G3597" s="44" t="str">
        <f t="array" ref="G3597">IF(B3597="","",_xlfn.XLOOKUP(B3597,'Form responses 1'!$B$2:$B$2604,'Form responses 1'!$E$2:$E$2604,""))</f>
        <v/>
      </c>
      <c r="H3597" s="44" t="str">
        <f t="array" ref="H3597">IF(B3597="","",_xlfn.XLOOKUP(B3597,'Form responses 1'!$B$2:$B$2604,'Form responses 1'!$F$2:$F$2604,""))</f>
        <v/>
      </c>
      <c r="I3597" s="44" t="str">
        <f t="array" ref="I3597">IF(B3597="","",_xlfn.XLOOKUP(B3597,'Form responses 1'!$B$2:$B$2604,'Form responses 1'!$I$2:$I$2604,""))</f>
        <v/>
      </c>
      <c r="J3597" s="44" t="str">
        <f t="array" ref="J3597">IF(B3597="","",_xlfn.XLOOKUP(B3597,'Form responses 1'!$B$2:$B$2604,'Form responses 1'!$G$2:$G$2604,""))</f>
        <v/>
      </c>
      <c r="K3597" s="56"/>
      <c r="L3597" s="58" t="str">
        <f t="shared" si="7"/>
        <v/>
      </c>
      <c r="M3597" s="49"/>
      <c r="N3597" s="49"/>
      <c r="O3597" s="49"/>
      <c r="P3597" s="49"/>
      <c r="Q3597" s="49"/>
      <c r="R3597" s="49"/>
      <c r="S3597" s="49"/>
      <c r="T3597" s="49"/>
      <c r="U3597" s="49"/>
      <c r="V3597" s="49"/>
      <c r="W3597" s="56"/>
      <c r="X3597" s="51" t="str">
        <f t="shared" si="5"/>
        <v/>
      </c>
      <c r="Y3597" s="50" t="s">
        <v>482</v>
      </c>
      <c r="Z3597" s="49">
        <f t="shared" si="6"/>
        <v>0</v>
      </c>
    </row>
    <row r="3598" ht="22.5" customHeight="1">
      <c r="B3598" s="57"/>
      <c r="C3598" s="43" t="str">
        <f t="array" ref="C3598">IF(B3598="","",_xlfn.XLOOKUP(B3598,'Form responses 1'!$B$2:$B$2604,'Form responses 1'!$A$2:$A$2604,""))</f>
        <v/>
      </c>
      <c r="D3598" s="44" t="str">
        <f t="shared" si="3"/>
        <v/>
      </c>
      <c r="E3598" s="44" t="str">
        <f t="array" ref="E3598">IF(B3598="","",_xlfn.XLOOKUP(B3598,'Form responses 1'!$B$2:$B$2604,'Form responses 1'!$C$2:$C$2604,""))</f>
        <v/>
      </c>
      <c r="F3598" s="44" t="str">
        <f t="array" ref="F3598">IF(B3598="","",_xlfn.XLOOKUP(B3598,'Form responses 1'!$B$2:$B$2604,'Form responses 1'!$D$2:$D$2604,""))</f>
        <v/>
      </c>
      <c r="G3598" s="44" t="str">
        <f t="array" ref="G3598">IF(B3598="","",_xlfn.XLOOKUP(B3598,'Form responses 1'!$B$2:$B$2604,'Form responses 1'!$E$2:$E$2604,""))</f>
        <v/>
      </c>
      <c r="H3598" s="44" t="str">
        <f t="array" ref="H3598">IF(B3598="","",_xlfn.XLOOKUP(B3598,'Form responses 1'!$B$2:$B$2604,'Form responses 1'!$F$2:$F$2604,""))</f>
        <v/>
      </c>
      <c r="I3598" s="44" t="str">
        <f t="array" ref="I3598">IF(B3598="","",_xlfn.XLOOKUP(B3598,'Form responses 1'!$B$2:$B$2604,'Form responses 1'!$I$2:$I$2604,""))</f>
        <v/>
      </c>
      <c r="J3598" s="44" t="str">
        <f t="array" ref="J3598">IF(B3598="","",_xlfn.XLOOKUP(B3598,'Form responses 1'!$B$2:$B$2604,'Form responses 1'!$G$2:$G$2604,""))</f>
        <v/>
      </c>
      <c r="K3598" s="56"/>
      <c r="L3598" s="58" t="str">
        <f t="shared" si="7"/>
        <v/>
      </c>
      <c r="M3598" s="49"/>
      <c r="N3598" s="49"/>
      <c r="O3598" s="49"/>
      <c r="P3598" s="49"/>
      <c r="Q3598" s="49"/>
      <c r="R3598" s="49"/>
      <c r="S3598" s="49"/>
      <c r="T3598" s="49"/>
      <c r="U3598" s="49"/>
      <c r="V3598" s="49"/>
      <c r="W3598" s="56"/>
      <c r="X3598" s="51" t="str">
        <f t="shared" si="5"/>
        <v/>
      </c>
      <c r="Y3598" s="50" t="s">
        <v>482</v>
      </c>
      <c r="Z3598" s="49">
        <f t="shared" si="6"/>
        <v>0</v>
      </c>
    </row>
    <row r="3599" ht="22.5" customHeight="1">
      <c r="B3599" s="57"/>
      <c r="C3599" s="43" t="str">
        <f t="array" ref="C3599">IF(B3599="","",_xlfn.XLOOKUP(B3599,'Form responses 1'!$B$2:$B$2604,'Form responses 1'!$A$2:$A$2604,""))</f>
        <v/>
      </c>
      <c r="D3599" s="44" t="str">
        <f t="shared" si="3"/>
        <v/>
      </c>
      <c r="E3599" s="44" t="str">
        <f t="array" ref="E3599">IF(B3599="","",_xlfn.XLOOKUP(B3599,'Form responses 1'!$B$2:$B$2604,'Form responses 1'!$C$2:$C$2604,""))</f>
        <v/>
      </c>
      <c r="F3599" s="44" t="str">
        <f t="array" ref="F3599">IF(B3599="","",_xlfn.XLOOKUP(B3599,'Form responses 1'!$B$2:$B$2604,'Form responses 1'!$D$2:$D$2604,""))</f>
        <v/>
      </c>
      <c r="G3599" s="44" t="str">
        <f t="array" ref="G3599">IF(B3599="","",_xlfn.XLOOKUP(B3599,'Form responses 1'!$B$2:$B$2604,'Form responses 1'!$E$2:$E$2604,""))</f>
        <v/>
      </c>
      <c r="H3599" s="44" t="str">
        <f t="array" ref="H3599">IF(B3599="","",_xlfn.XLOOKUP(B3599,'Form responses 1'!$B$2:$B$2604,'Form responses 1'!$F$2:$F$2604,""))</f>
        <v/>
      </c>
      <c r="I3599" s="44" t="str">
        <f t="array" ref="I3599">IF(B3599="","",_xlfn.XLOOKUP(B3599,'Form responses 1'!$B$2:$B$2604,'Form responses 1'!$I$2:$I$2604,""))</f>
        <v/>
      </c>
      <c r="J3599" s="44" t="str">
        <f t="array" ref="J3599">IF(B3599="","",_xlfn.XLOOKUP(B3599,'Form responses 1'!$B$2:$B$2604,'Form responses 1'!$G$2:$G$2604,""))</f>
        <v/>
      </c>
      <c r="K3599" s="56"/>
      <c r="L3599" s="58" t="str">
        <f t="shared" si="7"/>
        <v/>
      </c>
      <c r="M3599" s="49"/>
      <c r="N3599" s="49"/>
      <c r="O3599" s="49"/>
      <c r="P3599" s="49"/>
      <c r="Q3599" s="49"/>
      <c r="R3599" s="49"/>
      <c r="S3599" s="49"/>
      <c r="T3599" s="49"/>
      <c r="U3599" s="49"/>
      <c r="V3599" s="49"/>
      <c r="W3599" s="56"/>
      <c r="X3599" s="51" t="str">
        <f t="shared" si="5"/>
        <v/>
      </c>
      <c r="Y3599" s="50" t="s">
        <v>482</v>
      </c>
      <c r="Z3599" s="49">
        <f t="shared" si="6"/>
        <v>0</v>
      </c>
    </row>
    <row r="3600" ht="22.5" customHeight="1">
      <c r="B3600" s="57"/>
      <c r="C3600" s="43" t="str">
        <f t="array" ref="C3600">IF(B3600="","",_xlfn.XLOOKUP(B3600,'Form responses 1'!$B$2:$B$2604,'Form responses 1'!$A$2:$A$2604,""))</f>
        <v/>
      </c>
      <c r="D3600" s="44" t="str">
        <f t="shared" si="3"/>
        <v/>
      </c>
      <c r="E3600" s="44" t="str">
        <f t="array" ref="E3600">IF(B3600="","",_xlfn.XLOOKUP(B3600,'Form responses 1'!$B$2:$B$2604,'Form responses 1'!$C$2:$C$2604,""))</f>
        <v/>
      </c>
      <c r="F3600" s="44" t="str">
        <f t="array" ref="F3600">IF(B3600="","",_xlfn.XLOOKUP(B3600,'Form responses 1'!$B$2:$B$2604,'Form responses 1'!$D$2:$D$2604,""))</f>
        <v/>
      </c>
      <c r="G3600" s="44" t="str">
        <f t="array" ref="G3600">IF(B3600="","",_xlfn.XLOOKUP(B3600,'Form responses 1'!$B$2:$B$2604,'Form responses 1'!$E$2:$E$2604,""))</f>
        <v/>
      </c>
      <c r="H3600" s="44" t="str">
        <f t="array" ref="H3600">IF(B3600="","",_xlfn.XLOOKUP(B3600,'Form responses 1'!$B$2:$B$2604,'Form responses 1'!$F$2:$F$2604,""))</f>
        <v/>
      </c>
      <c r="I3600" s="44" t="str">
        <f t="array" ref="I3600">IF(B3600="","",_xlfn.XLOOKUP(B3600,'Form responses 1'!$B$2:$B$2604,'Form responses 1'!$I$2:$I$2604,""))</f>
        <v/>
      </c>
      <c r="J3600" s="44" t="str">
        <f t="array" ref="J3600">IF(B3600="","",_xlfn.XLOOKUP(B3600,'Form responses 1'!$B$2:$B$2604,'Form responses 1'!$G$2:$G$2604,""))</f>
        <v/>
      </c>
      <c r="K3600" s="56"/>
      <c r="L3600" s="58" t="str">
        <f t="shared" si="7"/>
        <v/>
      </c>
      <c r="M3600" s="49"/>
      <c r="N3600" s="49"/>
      <c r="O3600" s="49"/>
      <c r="P3600" s="49"/>
      <c r="Q3600" s="49"/>
      <c r="R3600" s="49"/>
      <c r="S3600" s="49"/>
      <c r="T3600" s="49"/>
      <c r="U3600" s="49"/>
      <c r="V3600" s="49"/>
      <c r="W3600" s="56"/>
      <c r="X3600" s="51" t="str">
        <f t="shared" si="5"/>
        <v/>
      </c>
      <c r="Y3600" s="50" t="s">
        <v>482</v>
      </c>
      <c r="Z3600" s="49">
        <f t="shared" si="6"/>
        <v>0</v>
      </c>
    </row>
    <row r="3601" ht="22.5" customHeight="1">
      <c r="B3601" s="57"/>
      <c r="C3601" s="43" t="str">
        <f t="array" ref="C3601">IF(B3601="","",_xlfn.XLOOKUP(B3601,'Form responses 1'!$B$2:$B$2604,'Form responses 1'!$A$2:$A$2604,""))</f>
        <v/>
      </c>
      <c r="D3601" s="44" t="str">
        <f t="shared" si="3"/>
        <v/>
      </c>
      <c r="E3601" s="44" t="str">
        <f t="array" ref="E3601">IF(B3601="","",_xlfn.XLOOKUP(B3601,'Form responses 1'!$B$2:$B$2604,'Form responses 1'!$C$2:$C$2604,""))</f>
        <v/>
      </c>
      <c r="F3601" s="44" t="str">
        <f t="array" ref="F3601">IF(B3601="","",_xlfn.XLOOKUP(B3601,'Form responses 1'!$B$2:$B$2604,'Form responses 1'!$D$2:$D$2604,""))</f>
        <v/>
      </c>
      <c r="G3601" s="44" t="str">
        <f t="array" ref="G3601">IF(B3601="","",_xlfn.XLOOKUP(B3601,'Form responses 1'!$B$2:$B$2604,'Form responses 1'!$E$2:$E$2604,""))</f>
        <v/>
      </c>
      <c r="H3601" s="44" t="str">
        <f t="array" ref="H3601">IF(B3601="","",_xlfn.XLOOKUP(B3601,'Form responses 1'!$B$2:$B$2604,'Form responses 1'!$F$2:$F$2604,""))</f>
        <v/>
      </c>
      <c r="I3601" s="44" t="str">
        <f t="array" ref="I3601">IF(B3601="","",_xlfn.XLOOKUP(B3601,'Form responses 1'!$B$2:$B$2604,'Form responses 1'!$I$2:$I$2604,""))</f>
        <v/>
      </c>
      <c r="J3601" s="44" t="str">
        <f t="array" ref="J3601">IF(B3601="","",_xlfn.XLOOKUP(B3601,'Form responses 1'!$B$2:$B$2604,'Form responses 1'!$G$2:$G$2604,""))</f>
        <v/>
      </c>
      <c r="K3601" s="56"/>
      <c r="L3601" s="58" t="str">
        <f t="shared" si="7"/>
        <v/>
      </c>
      <c r="M3601" s="49"/>
      <c r="N3601" s="49"/>
      <c r="O3601" s="49"/>
      <c r="P3601" s="49"/>
      <c r="Q3601" s="49"/>
      <c r="R3601" s="49"/>
      <c r="S3601" s="49"/>
      <c r="T3601" s="49"/>
      <c r="U3601" s="49"/>
      <c r="V3601" s="49"/>
      <c r="W3601" s="56"/>
      <c r="X3601" s="51" t="str">
        <f t="shared" si="5"/>
        <v/>
      </c>
      <c r="Y3601" s="50" t="s">
        <v>482</v>
      </c>
      <c r="Z3601" s="49">
        <f t="shared" si="6"/>
        <v>0</v>
      </c>
    </row>
    <row r="3602" ht="22.5" customHeight="1">
      <c r="B3602" s="57"/>
      <c r="C3602" s="43" t="str">
        <f t="array" ref="C3602">IF(B3602="","",_xlfn.XLOOKUP(B3602,'Form responses 1'!$B$2:$B$2604,'Form responses 1'!$A$2:$A$2604,""))</f>
        <v/>
      </c>
      <c r="D3602" s="44" t="str">
        <f t="shared" si="3"/>
        <v/>
      </c>
      <c r="E3602" s="44" t="str">
        <f t="array" ref="E3602">IF(B3602="","",_xlfn.XLOOKUP(B3602,'Form responses 1'!$B$2:$B$2604,'Form responses 1'!$C$2:$C$2604,""))</f>
        <v/>
      </c>
      <c r="F3602" s="44" t="str">
        <f t="array" ref="F3602">IF(B3602="","",_xlfn.XLOOKUP(B3602,'Form responses 1'!$B$2:$B$2604,'Form responses 1'!$D$2:$D$2604,""))</f>
        <v/>
      </c>
      <c r="G3602" s="44" t="str">
        <f t="array" ref="G3602">IF(B3602="","",_xlfn.XLOOKUP(B3602,'Form responses 1'!$B$2:$B$2604,'Form responses 1'!$E$2:$E$2604,""))</f>
        <v/>
      </c>
      <c r="H3602" s="44" t="str">
        <f t="array" ref="H3602">IF(B3602="","",_xlfn.XLOOKUP(B3602,'Form responses 1'!$B$2:$B$2604,'Form responses 1'!$F$2:$F$2604,""))</f>
        <v/>
      </c>
      <c r="I3602" s="44" t="str">
        <f t="array" ref="I3602">IF(B3602="","",_xlfn.XLOOKUP(B3602,'Form responses 1'!$B$2:$B$2604,'Form responses 1'!$I$2:$I$2604,""))</f>
        <v/>
      </c>
      <c r="J3602" s="44" t="str">
        <f t="array" ref="J3602">IF(B3602="","",_xlfn.XLOOKUP(B3602,'Form responses 1'!$B$2:$B$2604,'Form responses 1'!$G$2:$G$2604,""))</f>
        <v/>
      </c>
      <c r="K3602" s="56"/>
      <c r="L3602" s="58" t="str">
        <f t="shared" si="7"/>
        <v/>
      </c>
      <c r="M3602" s="49"/>
      <c r="N3602" s="49"/>
      <c r="O3602" s="49"/>
      <c r="P3602" s="49"/>
      <c r="Q3602" s="49"/>
      <c r="R3602" s="49"/>
      <c r="S3602" s="49"/>
      <c r="T3602" s="49"/>
      <c r="U3602" s="49"/>
      <c r="V3602" s="49"/>
      <c r="W3602" s="56"/>
      <c r="X3602" s="51" t="str">
        <f t="shared" si="5"/>
        <v/>
      </c>
      <c r="Y3602" s="50" t="s">
        <v>482</v>
      </c>
      <c r="Z3602" s="49">
        <f t="shared" si="6"/>
        <v>0</v>
      </c>
    </row>
    <row r="3603" ht="22.5" customHeight="1">
      <c r="B3603" s="57"/>
      <c r="C3603" s="43" t="str">
        <f t="array" ref="C3603">IF(B3603="","",_xlfn.XLOOKUP(B3603,'Form responses 1'!$B$2:$B$2604,'Form responses 1'!$A$2:$A$2604,""))</f>
        <v/>
      </c>
      <c r="D3603" s="44" t="str">
        <f t="shared" si="3"/>
        <v/>
      </c>
      <c r="E3603" s="44" t="str">
        <f t="array" ref="E3603">IF(B3603="","",_xlfn.XLOOKUP(B3603,'Form responses 1'!$B$2:$B$2604,'Form responses 1'!$C$2:$C$2604,""))</f>
        <v/>
      </c>
      <c r="F3603" s="44" t="str">
        <f t="array" ref="F3603">IF(B3603="","",_xlfn.XLOOKUP(B3603,'Form responses 1'!$B$2:$B$2604,'Form responses 1'!$D$2:$D$2604,""))</f>
        <v/>
      </c>
      <c r="G3603" s="44" t="str">
        <f t="array" ref="G3603">IF(B3603="","",_xlfn.XLOOKUP(B3603,'Form responses 1'!$B$2:$B$2604,'Form responses 1'!$E$2:$E$2604,""))</f>
        <v/>
      </c>
      <c r="H3603" s="44" t="str">
        <f t="array" ref="H3603">IF(B3603="","",_xlfn.XLOOKUP(B3603,'Form responses 1'!$B$2:$B$2604,'Form responses 1'!$F$2:$F$2604,""))</f>
        <v/>
      </c>
      <c r="I3603" s="44" t="str">
        <f t="array" ref="I3603">IF(B3603="","",_xlfn.XLOOKUP(B3603,'Form responses 1'!$B$2:$B$2604,'Form responses 1'!$I$2:$I$2604,""))</f>
        <v/>
      </c>
      <c r="J3603" s="44" t="str">
        <f t="array" ref="J3603">IF(B3603="","",_xlfn.XLOOKUP(B3603,'Form responses 1'!$B$2:$B$2604,'Form responses 1'!$G$2:$G$2604,""))</f>
        <v/>
      </c>
      <c r="K3603" s="56"/>
      <c r="L3603" s="58" t="str">
        <f t="shared" si="7"/>
        <v/>
      </c>
      <c r="M3603" s="49"/>
      <c r="N3603" s="49"/>
      <c r="O3603" s="49"/>
      <c r="P3603" s="49"/>
      <c r="Q3603" s="49"/>
      <c r="R3603" s="49"/>
      <c r="S3603" s="49"/>
      <c r="T3603" s="49"/>
      <c r="U3603" s="49"/>
      <c r="V3603" s="49"/>
      <c r="W3603" s="56"/>
      <c r="X3603" s="51" t="str">
        <f t="shared" si="5"/>
        <v/>
      </c>
      <c r="Y3603" s="50" t="s">
        <v>482</v>
      </c>
      <c r="Z3603" s="49">
        <f t="shared" si="6"/>
        <v>0</v>
      </c>
    </row>
    <row r="3604" ht="22.5" customHeight="1">
      <c r="B3604" s="57"/>
      <c r="C3604" s="43" t="str">
        <f t="array" ref="C3604">IF(B3604="","",_xlfn.XLOOKUP(B3604,'Form responses 1'!$B$2:$B$2604,'Form responses 1'!$A$2:$A$2604,""))</f>
        <v/>
      </c>
      <c r="D3604" s="44" t="str">
        <f t="shared" si="3"/>
        <v/>
      </c>
      <c r="E3604" s="44" t="str">
        <f t="array" ref="E3604">IF(B3604="","",_xlfn.XLOOKUP(B3604,'Form responses 1'!$B$2:$B$2604,'Form responses 1'!$C$2:$C$2604,""))</f>
        <v/>
      </c>
      <c r="F3604" s="44" t="str">
        <f t="array" ref="F3604">IF(B3604="","",_xlfn.XLOOKUP(B3604,'Form responses 1'!$B$2:$B$2604,'Form responses 1'!$D$2:$D$2604,""))</f>
        <v/>
      </c>
      <c r="G3604" s="44" t="str">
        <f t="array" ref="G3604">IF(B3604="","",_xlfn.XLOOKUP(B3604,'Form responses 1'!$B$2:$B$2604,'Form responses 1'!$E$2:$E$2604,""))</f>
        <v/>
      </c>
      <c r="H3604" s="44" t="str">
        <f t="array" ref="H3604">IF(B3604="","",_xlfn.XLOOKUP(B3604,'Form responses 1'!$B$2:$B$2604,'Form responses 1'!$F$2:$F$2604,""))</f>
        <v/>
      </c>
      <c r="I3604" s="44" t="str">
        <f t="array" ref="I3604">IF(B3604="","",_xlfn.XLOOKUP(B3604,'Form responses 1'!$B$2:$B$2604,'Form responses 1'!$I$2:$I$2604,""))</f>
        <v/>
      </c>
      <c r="J3604" s="44" t="str">
        <f t="array" ref="J3604">IF(B3604="","",_xlfn.XLOOKUP(B3604,'Form responses 1'!$B$2:$B$2604,'Form responses 1'!$G$2:$G$2604,""))</f>
        <v/>
      </c>
      <c r="K3604" s="56"/>
      <c r="L3604" s="58" t="str">
        <f t="shared" si="7"/>
        <v/>
      </c>
      <c r="M3604" s="49"/>
      <c r="N3604" s="49"/>
      <c r="O3604" s="49"/>
      <c r="P3604" s="49"/>
      <c r="Q3604" s="49"/>
      <c r="R3604" s="49"/>
      <c r="S3604" s="49"/>
      <c r="T3604" s="49"/>
      <c r="U3604" s="49"/>
      <c r="V3604" s="49"/>
      <c r="W3604" s="56"/>
      <c r="X3604" s="51" t="str">
        <f t="shared" si="5"/>
        <v/>
      </c>
      <c r="Y3604" s="50" t="s">
        <v>482</v>
      </c>
      <c r="Z3604" s="49">
        <f t="shared" si="6"/>
        <v>0</v>
      </c>
    </row>
    <row r="3605" ht="22.5" customHeight="1">
      <c r="B3605" s="57"/>
      <c r="C3605" s="43" t="str">
        <f t="array" ref="C3605">IF(B3605="","",_xlfn.XLOOKUP(B3605,'Form responses 1'!$B$2:$B$2604,'Form responses 1'!$A$2:$A$2604,""))</f>
        <v/>
      </c>
      <c r="D3605" s="44" t="str">
        <f t="shared" si="3"/>
        <v/>
      </c>
      <c r="E3605" s="44" t="str">
        <f t="array" ref="E3605">IF(B3605="","",_xlfn.XLOOKUP(B3605,'Form responses 1'!$B$2:$B$2604,'Form responses 1'!$C$2:$C$2604,""))</f>
        <v/>
      </c>
      <c r="F3605" s="44" t="str">
        <f t="array" ref="F3605">IF(B3605="","",_xlfn.XLOOKUP(B3605,'Form responses 1'!$B$2:$B$2604,'Form responses 1'!$D$2:$D$2604,""))</f>
        <v/>
      </c>
      <c r="G3605" s="44" t="str">
        <f t="array" ref="G3605">IF(B3605="","",_xlfn.XLOOKUP(B3605,'Form responses 1'!$B$2:$B$2604,'Form responses 1'!$E$2:$E$2604,""))</f>
        <v/>
      </c>
      <c r="H3605" s="44" t="str">
        <f t="array" ref="H3605">IF(B3605="","",_xlfn.XLOOKUP(B3605,'Form responses 1'!$B$2:$B$2604,'Form responses 1'!$F$2:$F$2604,""))</f>
        <v/>
      </c>
      <c r="I3605" s="44" t="str">
        <f t="array" ref="I3605">IF(B3605="","",_xlfn.XLOOKUP(B3605,'Form responses 1'!$B$2:$B$2604,'Form responses 1'!$I$2:$I$2604,""))</f>
        <v/>
      </c>
      <c r="J3605" s="44" t="str">
        <f t="array" ref="J3605">IF(B3605="","",_xlfn.XLOOKUP(B3605,'Form responses 1'!$B$2:$B$2604,'Form responses 1'!$G$2:$G$2604,""))</f>
        <v/>
      </c>
      <c r="K3605" s="56"/>
      <c r="L3605" s="58" t="str">
        <f t="shared" si="7"/>
        <v/>
      </c>
      <c r="M3605" s="49"/>
      <c r="N3605" s="49"/>
      <c r="O3605" s="49"/>
      <c r="P3605" s="49"/>
      <c r="Q3605" s="49"/>
      <c r="R3605" s="49"/>
      <c r="S3605" s="49"/>
      <c r="T3605" s="49"/>
      <c r="U3605" s="49"/>
      <c r="V3605" s="49"/>
      <c r="W3605" s="56"/>
      <c r="X3605" s="51" t="str">
        <f t="shared" si="5"/>
        <v/>
      </c>
      <c r="Y3605" s="50" t="s">
        <v>482</v>
      </c>
      <c r="Z3605" s="49">
        <f t="shared" si="6"/>
        <v>0</v>
      </c>
    </row>
    <row r="3606" ht="22.5" customHeight="1">
      <c r="B3606" s="57"/>
      <c r="C3606" s="43" t="str">
        <f t="array" ref="C3606">IF(B3606="","",_xlfn.XLOOKUP(B3606,'Form responses 1'!$B$2:$B$2604,'Form responses 1'!$A$2:$A$2604,""))</f>
        <v/>
      </c>
      <c r="D3606" s="44" t="str">
        <f t="shared" si="3"/>
        <v/>
      </c>
      <c r="E3606" s="44" t="str">
        <f t="array" ref="E3606">IF(B3606="","",_xlfn.XLOOKUP(B3606,'Form responses 1'!$B$2:$B$2604,'Form responses 1'!$C$2:$C$2604,""))</f>
        <v/>
      </c>
      <c r="F3606" s="44" t="str">
        <f t="array" ref="F3606">IF(B3606="","",_xlfn.XLOOKUP(B3606,'Form responses 1'!$B$2:$B$2604,'Form responses 1'!$D$2:$D$2604,""))</f>
        <v/>
      </c>
      <c r="G3606" s="44" t="str">
        <f t="array" ref="G3606">IF(B3606="","",_xlfn.XLOOKUP(B3606,'Form responses 1'!$B$2:$B$2604,'Form responses 1'!$E$2:$E$2604,""))</f>
        <v/>
      </c>
      <c r="H3606" s="44" t="str">
        <f t="array" ref="H3606">IF(B3606="","",_xlfn.XLOOKUP(B3606,'Form responses 1'!$B$2:$B$2604,'Form responses 1'!$F$2:$F$2604,""))</f>
        <v/>
      </c>
      <c r="I3606" s="44" t="str">
        <f t="array" ref="I3606">IF(B3606="","",_xlfn.XLOOKUP(B3606,'Form responses 1'!$B$2:$B$2604,'Form responses 1'!$I$2:$I$2604,""))</f>
        <v/>
      </c>
      <c r="J3606" s="44" t="str">
        <f t="array" ref="J3606">IF(B3606="","",_xlfn.XLOOKUP(B3606,'Form responses 1'!$B$2:$B$2604,'Form responses 1'!$G$2:$G$2604,""))</f>
        <v/>
      </c>
      <c r="K3606" s="56"/>
      <c r="L3606" s="58" t="str">
        <f t="shared" si="7"/>
        <v/>
      </c>
      <c r="M3606" s="49"/>
      <c r="N3606" s="49"/>
      <c r="O3606" s="49"/>
      <c r="P3606" s="49"/>
      <c r="Q3606" s="49"/>
      <c r="R3606" s="49"/>
      <c r="S3606" s="49"/>
      <c r="T3606" s="49"/>
      <c r="U3606" s="49"/>
      <c r="V3606" s="49"/>
      <c r="W3606" s="56"/>
      <c r="X3606" s="51" t="str">
        <f t="shared" si="5"/>
        <v/>
      </c>
      <c r="Y3606" s="50" t="s">
        <v>482</v>
      </c>
      <c r="Z3606" s="49">
        <f t="shared" si="6"/>
        <v>0</v>
      </c>
    </row>
    <row r="3607" ht="22.5" customHeight="1">
      <c r="B3607" s="57"/>
      <c r="C3607" s="43" t="str">
        <f t="array" ref="C3607">IF(B3607="","",_xlfn.XLOOKUP(B3607,'Form responses 1'!$B$2:$B$2604,'Form responses 1'!$A$2:$A$2604,""))</f>
        <v/>
      </c>
      <c r="D3607" s="44" t="str">
        <f t="shared" si="3"/>
        <v/>
      </c>
      <c r="E3607" s="44" t="str">
        <f t="array" ref="E3607">IF(B3607="","",_xlfn.XLOOKUP(B3607,'Form responses 1'!$B$2:$B$2604,'Form responses 1'!$C$2:$C$2604,""))</f>
        <v/>
      </c>
      <c r="F3607" s="44" t="str">
        <f t="array" ref="F3607">IF(B3607="","",_xlfn.XLOOKUP(B3607,'Form responses 1'!$B$2:$B$2604,'Form responses 1'!$D$2:$D$2604,""))</f>
        <v/>
      </c>
      <c r="G3607" s="44" t="str">
        <f t="array" ref="G3607">IF(B3607="","",_xlfn.XLOOKUP(B3607,'Form responses 1'!$B$2:$B$2604,'Form responses 1'!$E$2:$E$2604,""))</f>
        <v/>
      </c>
      <c r="H3607" s="44" t="str">
        <f t="array" ref="H3607">IF(B3607="","",_xlfn.XLOOKUP(B3607,'Form responses 1'!$B$2:$B$2604,'Form responses 1'!$F$2:$F$2604,""))</f>
        <v/>
      </c>
      <c r="I3607" s="44" t="str">
        <f t="array" ref="I3607">IF(B3607="","",_xlfn.XLOOKUP(B3607,'Form responses 1'!$B$2:$B$2604,'Form responses 1'!$I$2:$I$2604,""))</f>
        <v/>
      </c>
      <c r="J3607" s="44" t="str">
        <f t="array" ref="J3607">IF(B3607="","",_xlfn.XLOOKUP(B3607,'Form responses 1'!$B$2:$B$2604,'Form responses 1'!$G$2:$G$2604,""))</f>
        <v/>
      </c>
      <c r="K3607" s="56"/>
      <c r="L3607" s="58" t="str">
        <f t="shared" si="7"/>
        <v/>
      </c>
      <c r="M3607" s="49"/>
      <c r="N3607" s="49"/>
      <c r="O3607" s="49"/>
      <c r="P3607" s="49"/>
      <c r="Q3607" s="49"/>
      <c r="R3607" s="49"/>
      <c r="S3607" s="49"/>
      <c r="T3607" s="49"/>
      <c r="U3607" s="49"/>
      <c r="V3607" s="49"/>
      <c r="W3607" s="56"/>
      <c r="X3607" s="51" t="str">
        <f t="shared" si="5"/>
        <v/>
      </c>
      <c r="Y3607" s="50" t="s">
        <v>482</v>
      </c>
      <c r="Z3607" s="49">
        <f t="shared" si="6"/>
        <v>0</v>
      </c>
    </row>
    <row r="3608" ht="22.5" customHeight="1">
      <c r="B3608" s="57"/>
      <c r="C3608" s="43" t="str">
        <f t="array" ref="C3608">IF(B3608="","",_xlfn.XLOOKUP(B3608,'Form responses 1'!$B$2:$B$2604,'Form responses 1'!$A$2:$A$2604,""))</f>
        <v/>
      </c>
      <c r="D3608" s="44" t="str">
        <f t="shared" si="3"/>
        <v/>
      </c>
      <c r="E3608" s="44" t="str">
        <f t="array" ref="E3608">IF(B3608="","",_xlfn.XLOOKUP(B3608,'Form responses 1'!$B$2:$B$2604,'Form responses 1'!$C$2:$C$2604,""))</f>
        <v/>
      </c>
      <c r="F3608" s="44" t="str">
        <f t="array" ref="F3608">IF(B3608="","",_xlfn.XLOOKUP(B3608,'Form responses 1'!$B$2:$B$2604,'Form responses 1'!$D$2:$D$2604,""))</f>
        <v/>
      </c>
      <c r="G3608" s="44" t="str">
        <f t="array" ref="G3608">IF(B3608="","",_xlfn.XLOOKUP(B3608,'Form responses 1'!$B$2:$B$2604,'Form responses 1'!$E$2:$E$2604,""))</f>
        <v/>
      </c>
      <c r="H3608" s="44" t="str">
        <f t="array" ref="H3608">IF(B3608="","",_xlfn.XLOOKUP(B3608,'Form responses 1'!$B$2:$B$2604,'Form responses 1'!$F$2:$F$2604,""))</f>
        <v/>
      </c>
      <c r="I3608" s="44" t="str">
        <f t="array" ref="I3608">IF(B3608="","",_xlfn.XLOOKUP(B3608,'Form responses 1'!$B$2:$B$2604,'Form responses 1'!$I$2:$I$2604,""))</f>
        <v/>
      </c>
      <c r="J3608" s="44" t="str">
        <f t="array" ref="J3608">IF(B3608="","",_xlfn.XLOOKUP(B3608,'Form responses 1'!$B$2:$B$2604,'Form responses 1'!$G$2:$G$2604,""))</f>
        <v/>
      </c>
      <c r="K3608" s="56"/>
      <c r="L3608" s="58" t="str">
        <f t="shared" si="7"/>
        <v/>
      </c>
      <c r="M3608" s="49"/>
      <c r="N3608" s="49"/>
      <c r="O3608" s="49"/>
      <c r="P3608" s="49"/>
      <c r="Q3608" s="49"/>
      <c r="R3608" s="49"/>
      <c r="S3608" s="49"/>
      <c r="T3608" s="49"/>
      <c r="U3608" s="49"/>
      <c r="V3608" s="49"/>
      <c r="W3608" s="56"/>
      <c r="X3608" s="51" t="str">
        <f t="shared" si="5"/>
        <v/>
      </c>
      <c r="Y3608" s="50" t="s">
        <v>482</v>
      </c>
      <c r="Z3608" s="49">
        <f t="shared" si="6"/>
        <v>0</v>
      </c>
    </row>
    <row r="3609" ht="22.5" customHeight="1">
      <c r="B3609" s="57"/>
      <c r="C3609" s="43" t="str">
        <f t="array" ref="C3609">IF(B3609="","",_xlfn.XLOOKUP(B3609,'Form responses 1'!$B$2:$B$2604,'Form responses 1'!$A$2:$A$2604,""))</f>
        <v/>
      </c>
      <c r="D3609" s="44" t="str">
        <f t="shared" si="3"/>
        <v/>
      </c>
      <c r="E3609" s="44" t="str">
        <f t="array" ref="E3609">IF(B3609="","",_xlfn.XLOOKUP(B3609,'Form responses 1'!$B$2:$B$2604,'Form responses 1'!$C$2:$C$2604,""))</f>
        <v/>
      </c>
      <c r="F3609" s="44" t="str">
        <f t="array" ref="F3609">IF(B3609="","",_xlfn.XLOOKUP(B3609,'Form responses 1'!$B$2:$B$2604,'Form responses 1'!$D$2:$D$2604,""))</f>
        <v/>
      </c>
      <c r="G3609" s="44" t="str">
        <f t="array" ref="G3609">IF(B3609="","",_xlfn.XLOOKUP(B3609,'Form responses 1'!$B$2:$B$2604,'Form responses 1'!$E$2:$E$2604,""))</f>
        <v/>
      </c>
      <c r="H3609" s="44" t="str">
        <f t="array" ref="H3609">IF(B3609="","",_xlfn.XLOOKUP(B3609,'Form responses 1'!$B$2:$B$2604,'Form responses 1'!$F$2:$F$2604,""))</f>
        <v/>
      </c>
      <c r="I3609" s="44" t="str">
        <f t="array" ref="I3609">IF(B3609="","",_xlfn.XLOOKUP(B3609,'Form responses 1'!$B$2:$B$2604,'Form responses 1'!$I$2:$I$2604,""))</f>
        <v/>
      </c>
      <c r="J3609" s="44" t="str">
        <f t="array" ref="J3609">IF(B3609="","",_xlfn.XLOOKUP(B3609,'Form responses 1'!$B$2:$B$2604,'Form responses 1'!$G$2:$G$2604,""))</f>
        <v/>
      </c>
      <c r="K3609" s="56"/>
      <c r="L3609" s="58" t="str">
        <f t="shared" si="7"/>
        <v/>
      </c>
      <c r="M3609" s="49"/>
      <c r="N3609" s="49"/>
      <c r="O3609" s="49"/>
      <c r="P3609" s="49"/>
      <c r="Q3609" s="49"/>
      <c r="R3609" s="49"/>
      <c r="S3609" s="49"/>
      <c r="T3609" s="49"/>
      <c r="U3609" s="49"/>
      <c r="V3609" s="49"/>
      <c r="W3609" s="56"/>
      <c r="X3609" s="51" t="str">
        <f t="shared" si="5"/>
        <v/>
      </c>
      <c r="Y3609" s="50" t="s">
        <v>482</v>
      </c>
      <c r="Z3609" s="49">
        <f t="shared" si="6"/>
        <v>0</v>
      </c>
    </row>
    <row r="3610" ht="22.5" customHeight="1">
      <c r="B3610" s="57"/>
      <c r="C3610" s="43" t="str">
        <f t="array" ref="C3610">IF(B3610="","",_xlfn.XLOOKUP(B3610,'Form responses 1'!$B$2:$B$2604,'Form responses 1'!$A$2:$A$2604,""))</f>
        <v/>
      </c>
      <c r="D3610" s="44" t="str">
        <f t="shared" si="3"/>
        <v/>
      </c>
      <c r="E3610" s="44" t="str">
        <f t="array" ref="E3610">IF(B3610="","",_xlfn.XLOOKUP(B3610,'Form responses 1'!$B$2:$B$2604,'Form responses 1'!$C$2:$C$2604,""))</f>
        <v/>
      </c>
      <c r="F3610" s="44" t="str">
        <f t="array" ref="F3610">IF(B3610="","",_xlfn.XLOOKUP(B3610,'Form responses 1'!$B$2:$B$2604,'Form responses 1'!$D$2:$D$2604,""))</f>
        <v/>
      </c>
      <c r="G3610" s="44" t="str">
        <f t="array" ref="G3610">IF(B3610="","",_xlfn.XLOOKUP(B3610,'Form responses 1'!$B$2:$B$2604,'Form responses 1'!$E$2:$E$2604,""))</f>
        <v/>
      </c>
      <c r="H3610" s="44" t="str">
        <f t="array" ref="H3610">IF(B3610="","",_xlfn.XLOOKUP(B3610,'Form responses 1'!$B$2:$B$2604,'Form responses 1'!$F$2:$F$2604,""))</f>
        <v/>
      </c>
      <c r="I3610" s="44" t="str">
        <f t="array" ref="I3610">IF(B3610="","",_xlfn.XLOOKUP(B3610,'Form responses 1'!$B$2:$B$2604,'Form responses 1'!$I$2:$I$2604,""))</f>
        <v/>
      </c>
      <c r="J3610" s="44" t="str">
        <f t="array" ref="J3610">IF(B3610="","",_xlfn.XLOOKUP(B3610,'Form responses 1'!$B$2:$B$2604,'Form responses 1'!$G$2:$G$2604,""))</f>
        <v/>
      </c>
      <c r="K3610" s="56"/>
      <c r="L3610" s="58" t="str">
        <f t="shared" si="7"/>
        <v/>
      </c>
      <c r="M3610" s="49"/>
      <c r="N3610" s="49"/>
      <c r="O3610" s="49"/>
      <c r="P3610" s="49"/>
      <c r="Q3610" s="49"/>
      <c r="R3610" s="49"/>
      <c r="S3610" s="49"/>
      <c r="T3610" s="49"/>
      <c r="U3610" s="49"/>
      <c r="V3610" s="49"/>
      <c r="W3610" s="56"/>
      <c r="X3610" s="51" t="str">
        <f t="shared" si="5"/>
        <v/>
      </c>
      <c r="Y3610" s="50" t="s">
        <v>482</v>
      </c>
      <c r="Z3610" s="49">
        <f t="shared" si="6"/>
        <v>0</v>
      </c>
    </row>
    <row r="3611" ht="22.5" customHeight="1">
      <c r="B3611" s="57"/>
      <c r="C3611" s="43" t="str">
        <f t="array" ref="C3611">IF(B3611="","",_xlfn.XLOOKUP(B3611,'Form responses 1'!$B$2:$B$2604,'Form responses 1'!$A$2:$A$2604,""))</f>
        <v/>
      </c>
      <c r="D3611" s="44" t="str">
        <f t="shared" si="3"/>
        <v/>
      </c>
      <c r="E3611" s="44" t="str">
        <f t="array" ref="E3611">IF(B3611="","",_xlfn.XLOOKUP(B3611,'Form responses 1'!$B$2:$B$2604,'Form responses 1'!$C$2:$C$2604,""))</f>
        <v/>
      </c>
      <c r="F3611" s="44" t="str">
        <f t="array" ref="F3611">IF(B3611="","",_xlfn.XLOOKUP(B3611,'Form responses 1'!$B$2:$B$2604,'Form responses 1'!$D$2:$D$2604,""))</f>
        <v/>
      </c>
      <c r="G3611" s="44" t="str">
        <f t="array" ref="G3611">IF(B3611="","",_xlfn.XLOOKUP(B3611,'Form responses 1'!$B$2:$B$2604,'Form responses 1'!$E$2:$E$2604,""))</f>
        <v/>
      </c>
      <c r="H3611" s="44" t="str">
        <f t="array" ref="H3611">IF(B3611="","",_xlfn.XLOOKUP(B3611,'Form responses 1'!$B$2:$B$2604,'Form responses 1'!$F$2:$F$2604,""))</f>
        <v/>
      </c>
      <c r="I3611" s="44" t="str">
        <f t="array" ref="I3611">IF(B3611="","",_xlfn.XLOOKUP(B3611,'Form responses 1'!$B$2:$B$2604,'Form responses 1'!$I$2:$I$2604,""))</f>
        <v/>
      </c>
      <c r="J3611" s="44" t="str">
        <f t="array" ref="J3611">IF(B3611="","",_xlfn.XLOOKUP(B3611,'Form responses 1'!$B$2:$B$2604,'Form responses 1'!$G$2:$G$2604,""))</f>
        <v/>
      </c>
      <c r="K3611" s="56"/>
      <c r="L3611" s="58" t="str">
        <f t="shared" si="7"/>
        <v/>
      </c>
      <c r="M3611" s="49"/>
      <c r="N3611" s="49"/>
      <c r="O3611" s="49"/>
      <c r="P3611" s="49"/>
      <c r="Q3611" s="49"/>
      <c r="R3611" s="49"/>
      <c r="S3611" s="49"/>
      <c r="T3611" s="49"/>
      <c r="U3611" s="49"/>
      <c r="V3611" s="49"/>
      <c r="W3611" s="56"/>
      <c r="X3611" s="51" t="str">
        <f t="shared" si="5"/>
        <v/>
      </c>
      <c r="Y3611" s="50" t="s">
        <v>482</v>
      </c>
      <c r="Z3611" s="49">
        <f t="shared" si="6"/>
        <v>0</v>
      </c>
    </row>
    <row r="3612" ht="22.5" customHeight="1">
      <c r="B3612" s="57"/>
      <c r="C3612" s="43" t="str">
        <f t="array" ref="C3612">IF(B3612="","",_xlfn.XLOOKUP(B3612,'Form responses 1'!$B$2:$B$2604,'Form responses 1'!$A$2:$A$2604,""))</f>
        <v/>
      </c>
      <c r="D3612" s="44" t="str">
        <f t="shared" si="3"/>
        <v/>
      </c>
      <c r="E3612" s="44" t="str">
        <f t="array" ref="E3612">IF(B3612="","",_xlfn.XLOOKUP(B3612,'Form responses 1'!$B$2:$B$2604,'Form responses 1'!$C$2:$C$2604,""))</f>
        <v/>
      </c>
      <c r="F3612" s="44" t="str">
        <f t="array" ref="F3612">IF(B3612="","",_xlfn.XLOOKUP(B3612,'Form responses 1'!$B$2:$B$2604,'Form responses 1'!$D$2:$D$2604,""))</f>
        <v/>
      </c>
      <c r="G3612" s="44" t="str">
        <f t="array" ref="G3612">IF(B3612="","",_xlfn.XLOOKUP(B3612,'Form responses 1'!$B$2:$B$2604,'Form responses 1'!$E$2:$E$2604,""))</f>
        <v/>
      </c>
      <c r="H3612" s="44" t="str">
        <f t="array" ref="H3612">IF(B3612="","",_xlfn.XLOOKUP(B3612,'Form responses 1'!$B$2:$B$2604,'Form responses 1'!$F$2:$F$2604,""))</f>
        <v/>
      </c>
      <c r="I3612" s="44" t="str">
        <f t="array" ref="I3612">IF(B3612="","",_xlfn.XLOOKUP(B3612,'Form responses 1'!$B$2:$B$2604,'Form responses 1'!$I$2:$I$2604,""))</f>
        <v/>
      </c>
      <c r="J3612" s="44" t="str">
        <f t="array" ref="J3612">IF(B3612="","",_xlfn.XLOOKUP(B3612,'Form responses 1'!$B$2:$B$2604,'Form responses 1'!$G$2:$G$2604,""))</f>
        <v/>
      </c>
      <c r="K3612" s="56"/>
      <c r="L3612" s="58" t="str">
        <f t="shared" si="7"/>
        <v/>
      </c>
      <c r="M3612" s="49"/>
      <c r="N3612" s="49"/>
      <c r="O3612" s="49"/>
      <c r="P3612" s="49"/>
      <c r="Q3612" s="49"/>
      <c r="R3612" s="49"/>
      <c r="S3612" s="49"/>
      <c r="T3612" s="49"/>
      <c r="U3612" s="49"/>
      <c r="V3612" s="49"/>
      <c r="W3612" s="56"/>
      <c r="X3612" s="51" t="str">
        <f t="shared" si="5"/>
        <v/>
      </c>
      <c r="Y3612" s="50" t="s">
        <v>482</v>
      </c>
      <c r="Z3612" s="49">
        <f t="shared" si="6"/>
        <v>0</v>
      </c>
    </row>
    <row r="3613" ht="22.5" customHeight="1">
      <c r="B3613" s="57"/>
      <c r="C3613" s="43" t="str">
        <f t="array" ref="C3613">IF(B3613="","",_xlfn.XLOOKUP(B3613,'Form responses 1'!$B$2:$B$2604,'Form responses 1'!$A$2:$A$2604,""))</f>
        <v/>
      </c>
      <c r="D3613" s="44" t="str">
        <f t="shared" si="3"/>
        <v/>
      </c>
      <c r="E3613" s="44" t="str">
        <f t="array" ref="E3613">IF(B3613="","",_xlfn.XLOOKUP(B3613,'Form responses 1'!$B$2:$B$2604,'Form responses 1'!$C$2:$C$2604,""))</f>
        <v/>
      </c>
      <c r="F3613" s="44" t="str">
        <f t="array" ref="F3613">IF(B3613="","",_xlfn.XLOOKUP(B3613,'Form responses 1'!$B$2:$B$2604,'Form responses 1'!$D$2:$D$2604,""))</f>
        <v/>
      </c>
      <c r="G3613" s="44" t="str">
        <f t="array" ref="G3613">IF(B3613="","",_xlfn.XLOOKUP(B3613,'Form responses 1'!$B$2:$B$2604,'Form responses 1'!$E$2:$E$2604,""))</f>
        <v/>
      </c>
      <c r="H3613" s="44" t="str">
        <f t="array" ref="H3613">IF(B3613="","",_xlfn.XLOOKUP(B3613,'Form responses 1'!$B$2:$B$2604,'Form responses 1'!$F$2:$F$2604,""))</f>
        <v/>
      </c>
      <c r="I3613" s="44" t="str">
        <f t="array" ref="I3613">IF(B3613="","",_xlfn.XLOOKUP(B3613,'Form responses 1'!$B$2:$B$2604,'Form responses 1'!$I$2:$I$2604,""))</f>
        <v/>
      </c>
      <c r="J3613" s="44" t="str">
        <f t="array" ref="J3613">IF(B3613="","",_xlfn.XLOOKUP(B3613,'Form responses 1'!$B$2:$B$2604,'Form responses 1'!$G$2:$G$2604,""))</f>
        <v/>
      </c>
      <c r="K3613" s="56"/>
      <c r="L3613" s="58" t="str">
        <f t="shared" si="7"/>
        <v/>
      </c>
      <c r="M3613" s="49"/>
      <c r="N3613" s="49"/>
      <c r="O3613" s="49"/>
      <c r="P3613" s="49"/>
      <c r="Q3613" s="49"/>
      <c r="R3613" s="49"/>
      <c r="S3613" s="49"/>
      <c r="T3613" s="49"/>
      <c r="U3613" s="49"/>
      <c r="V3613" s="49"/>
      <c r="W3613" s="56"/>
      <c r="X3613" s="51" t="str">
        <f t="shared" si="5"/>
        <v/>
      </c>
      <c r="Y3613" s="50" t="s">
        <v>482</v>
      </c>
      <c r="Z3613" s="49">
        <f t="shared" si="6"/>
        <v>0</v>
      </c>
    </row>
    <row r="3614" ht="22.5" customHeight="1">
      <c r="B3614" s="57"/>
      <c r="C3614" s="43" t="str">
        <f t="array" ref="C3614">IF(B3614="","",_xlfn.XLOOKUP(B3614,'Form responses 1'!$B$2:$B$2604,'Form responses 1'!$A$2:$A$2604,""))</f>
        <v/>
      </c>
      <c r="D3614" s="44" t="str">
        <f t="shared" si="3"/>
        <v/>
      </c>
      <c r="E3614" s="44" t="str">
        <f t="array" ref="E3614">IF(B3614="","",_xlfn.XLOOKUP(B3614,'Form responses 1'!$B$2:$B$2604,'Form responses 1'!$C$2:$C$2604,""))</f>
        <v/>
      </c>
      <c r="F3614" s="44" t="str">
        <f t="array" ref="F3614">IF(B3614="","",_xlfn.XLOOKUP(B3614,'Form responses 1'!$B$2:$B$2604,'Form responses 1'!$D$2:$D$2604,""))</f>
        <v/>
      </c>
      <c r="G3614" s="44" t="str">
        <f t="array" ref="G3614">IF(B3614="","",_xlfn.XLOOKUP(B3614,'Form responses 1'!$B$2:$B$2604,'Form responses 1'!$E$2:$E$2604,""))</f>
        <v/>
      </c>
      <c r="H3614" s="44" t="str">
        <f t="array" ref="H3614">IF(B3614="","",_xlfn.XLOOKUP(B3614,'Form responses 1'!$B$2:$B$2604,'Form responses 1'!$F$2:$F$2604,""))</f>
        <v/>
      </c>
      <c r="I3614" s="44" t="str">
        <f t="array" ref="I3614">IF(B3614="","",_xlfn.XLOOKUP(B3614,'Form responses 1'!$B$2:$B$2604,'Form responses 1'!$I$2:$I$2604,""))</f>
        <v/>
      </c>
      <c r="J3614" s="44" t="str">
        <f t="array" ref="J3614">IF(B3614="","",_xlfn.XLOOKUP(B3614,'Form responses 1'!$B$2:$B$2604,'Form responses 1'!$G$2:$G$2604,""))</f>
        <v/>
      </c>
      <c r="K3614" s="56"/>
      <c r="L3614" s="58" t="str">
        <f t="shared" si="7"/>
        <v/>
      </c>
      <c r="M3614" s="49"/>
      <c r="N3614" s="49"/>
      <c r="O3614" s="49"/>
      <c r="P3614" s="49"/>
      <c r="Q3614" s="49"/>
      <c r="R3614" s="49"/>
      <c r="S3614" s="49"/>
      <c r="T3614" s="49"/>
      <c r="U3614" s="49"/>
      <c r="V3614" s="49"/>
      <c r="W3614" s="56"/>
      <c r="X3614" s="51" t="str">
        <f t="shared" si="5"/>
        <v/>
      </c>
      <c r="Y3614" s="50" t="s">
        <v>482</v>
      </c>
      <c r="Z3614" s="49">
        <f t="shared" si="6"/>
        <v>0</v>
      </c>
    </row>
    <row r="3615" ht="22.5" customHeight="1">
      <c r="B3615" s="57"/>
      <c r="C3615" s="43" t="str">
        <f t="array" ref="C3615">IF(B3615="","",_xlfn.XLOOKUP(B3615,'Form responses 1'!$B$2:$B$2604,'Form responses 1'!$A$2:$A$2604,""))</f>
        <v/>
      </c>
      <c r="D3615" s="44" t="str">
        <f t="shared" si="3"/>
        <v/>
      </c>
      <c r="E3615" s="44" t="str">
        <f t="array" ref="E3615">IF(B3615="","",_xlfn.XLOOKUP(B3615,'Form responses 1'!$B$2:$B$2604,'Form responses 1'!$C$2:$C$2604,""))</f>
        <v/>
      </c>
      <c r="F3615" s="44" t="str">
        <f t="array" ref="F3615">IF(B3615="","",_xlfn.XLOOKUP(B3615,'Form responses 1'!$B$2:$B$2604,'Form responses 1'!$D$2:$D$2604,""))</f>
        <v/>
      </c>
      <c r="G3615" s="44" t="str">
        <f t="array" ref="G3615">IF(B3615="","",_xlfn.XLOOKUP(B3615,'Form responses 1'!$B$2:$B$2604,'Form responses 1'!$E$2:$E$2604,""))</f>
        <v/>
      </c>
      <c r="H3615" s="44" t="str">
        <f t="array" ref="H3615">IF(B3615="","",_xlfn.XLOOKUP(B3615,'Form responses 1'!$B$2:$B$2604,'Form responses 1'!$F$2:$F$2604,""))</f>
        <v/>
      </c>
      <c r="I3615" s="44" t="str">
        <f t="array" ref="I3615">IF(B3615="","",_xlfn.XLOOKUP(B3615,'Form responses 1'!$B$2:$B$2604,'Form responses 1'!$I$2:$I$2604,""))</f>
        <v/>
      </c>
      <c r="J3615" s="44" t="str">
        <f t="array" ref="J3615">IF(B3615="","",_xlfn.XLOOKUP(B3615,'Form responses 1'!$B$2:$B$2604,'Form responses 1'!$G$2:$G$2604,""))</f>
        <v/>
      </c>
      <c r="K3615" s="56"/>
      <c r="L3615" s="58" t="str">
        <f t="shared" si="7"/>
        <v/>
      </c>
      <c r="M3615" s="49"/>
      <c r="N3615" s="49"/>
      <c r="O3615" s="49"/>
      <c r="P3615" s="49"/>
      <c r="Q3615" s="49"/>
      <c r="R3615" s="49"/>
      <c r="S3615" s="49"/>
      <c r="T3615" s="49"/>
      <c r="U3615" s="49"/>
      <c r="V3615" s="49"/>
      <c r="W3615" s="56"/>
      <c r="X3615" s="51" t="str">
        <f t="shared" si="5"/>
        <v/>
      </c>
      <c r="Y3615" s="50" t="s">
        <v>482</v>
      </c>
      <c r="Z3615" s="49">
        <f t="shared" si="6"/>
        <v>0</v>
      </c>
    </row>
    <row r="3616" ht="22.5" customHeight="1">
      <c r="B3616" s="57"/>
      <c r="C3616" s="43" t="str">
        <f t="array" ref="C3616">IF(B3616="","",_xlfn.XLOOKUP(B3616,'Form responses 1'!$B$2:$B$2604,'Form responses 1'!$A$2:$A$2604,""))</f>
        <v/>
      </c>
      <c r="D3616" s="44" t="str">
        <f t="shared" si="3"/>
        <v/>
      </c>
      <c r="E3616" s="44" t="str">
        <f t="array" ref="E3616">IF(B3616="","",_xlfn.XLOOKUP(B3616,'Form responses 1'!$B$2:$B$2604,'Form responses 1'!$C$2:$C$2604,""))</f>
        <v/>
      </c>
      <c r="F3616" s="44" t="str">
        <f t="array" ref="F3616">IF(B3616="","",_xlfn.XLOOKUP(B3616,'Form responses 1'!$B$2:$B$2604,'Form responses 1'!$D$2:$D$2604,""))</f>
        <v/>
      </c>
      <c r="G3616" s="44" t="str">
        <f t="array" ref="G3616">IF(B3616="","",_xlfn.XLOOKUP(B3616,'Form responses 1'!$B$2:$B$2604,'Form responses 1'!$E$2:$E$2604,""))</f>
        <v/>
      </c>
      <c r="H3616" s="44" t="str">
        <f t="array" ref="H3616">IF(B3616="","",_xlfn.XLOOKUP(B3616,'Form responses 1'!$B$2:$B$2604,'Form responses 1'!$F$2:$F$2604,""))</f>
        <v/>
      </c>
      <c r="I3616" s="44" t="str">
        <f t="array" ref="I3616">IF(B3616="","",_xlfn.XLOOKUP(B3616,'Form responses 1'!$B$2:$B$2604,'Form responses 1'!$I$2:$I$2604,""))</f>
        <v/>
      </c>
      <c r="J3616" s="44" t="str">
        <f t="array" ref="J3616">IF(B3616="","",_xlfn.XLOOKUP(B3616,'Form responses 1'!$B$2:$B$2604,'Form responses 1'!$G$2:$G$2604,""))</f>
        <v/>
      </c>
      <c r="K3616" s="56"/>
      <c r="L3616" s="58" t="str">
        <f t="shared" si="7"/>
        <v/>
      </c>
      <c r="M3616" s="49"/>
      <c r="N3616" s="49"/>
      <c r="O3616" s="49"/>
      <c r="P3616" s="49"/>
      <c r="Q3616" s="49"/>
      <c r="R3616" s="49"/>
      <c r="S3616" s="49"/>
      <c r="T3616" s="49"/>
      <c r="U3616" s="49"/>
      <c r="V3616" s="49"/>
      <c r="W3616" s="56"/>
      <c r="X3616" s="51" t="str">
        <f t="shared" si="5"/>
        <v/>
      </c>
      <c r="Y3616" s="50" t="s">
        <v>482</v>
      </c>
      <c r="Z3616" s="49">
        <f t="shared" si="6"/>
        <v>0</v>
      </c>
    </row>
    <row r="3617" ht="22.5" customHeight="1">
      <c r="B3617" s="57"/>
      <c r="C3617" s="43" t="str">
        <f t="array" ref="C3617">IF(B3617="","",_xlfn.XLOOKUP(B3617,'Form responses 1'!$B$2:$B$2604,'Form responses 1'!$A$2:$A$2604,""))</f>
        <v/>
      </c>
      <c r="D3617" s="44" t="str">
        <f t="shared" si="3"/>
        <v/>
      </c>
      <c r="E3617" s="44" t="str">
        <f t="array" ref="E3617">IF(B3617="","",_xlfn.XLOOKUP(B3617,'Form responses 1'!$B$2:$B$2604,'Form responses 1'!$C$2:$C$2604,""))</f>
        <v/>
      </c>
      <c r="F3617" s="44" t="str">
        <f t="array" ref="F3617">IF(B3617="","",_xlfn.XLOOKUP(B3617,'Form responses 1'!$B$2:$B$2604,'Form responses 1'!$D$2:$D$2604,""))</f>
        <v/>
      </c>
      <c r="G3617" s="44" t="str">
        <f t="array" ref="G3617">IF(B3617="","",_xlfn.XLOOKUP(B3617,'Form responses 1'!$B$2:$B$2604,'Form responses 1'!$E$2:$E$2604,""))</f>
        <v/>
      </c>
      <c r="H3617" s="44" t="str">
        <f t="array" ref="H3617">IF(B3617="","",_xlfn.XLOOKUP(B3617,'Form responses 1'!$B$2:$B$2604,'Form responses 1'!$F$2:$F$2604,""))</f>
        <v/>
      </c>
      <c r="I3617" s="44" t="str">
        <f t="array" ref="I3617">IF(B3617="","",_xlfn.XLOOKUP(B3617,'Form responses 1'!$B$2:$B$2604,'Form responses 1'!$I$2:$I$2604,""))</f>
        <v/>
      </c>
      <c r="J3617" s="44" t="str">
        <f t="array" ref="J3617">IF(B3617="","",_xlfn.XLOOKUP(B3617,'Form responses 1'!$B$2:$B$2604,'Form responses 1'!$G$2:$G$2604,""))</f>
        <v/>
      </c>
      <c r="K3617" s="56"/>
      <c r="L3617" s="58" t="str">
        <f t="shared" si="7"/>
        <v/>
      </c>
      <c r="M3617" s="49"/>
      <c r="N3617" s="49"/>
      <c r="O3617" s="49"/>
      <c r="P3617" s="49"/>
      <c r="Q3617" s="49"/>
      <c r="R3617" s="49"/>
      <c r="S3617" s="49"/>
      <c r="T3617" s="49"/>
      <c r="U3617" s="49"/>
      <c r="V3617" s="49"/>
      <c r="W3617" s="56"/>
      <c r="X3617" s="51" t="str">
        <f t="shared" si="5"/>
        <v/>
      </c>
      <c r="Y3617" s="50" t="s">
        <v>482</v>
      </c>
      <c r="Z3617" s="49">
        <f t="shared" si="6"/>
        <v>0</v>
      </c>
    </row>
    <row r="3618" ht="22.5" customHeight="1">
      <c r="B3618" s="57"/>
      <c r="C3618" s="43" t="str">
        <f t="array" ref="C3618">IF(B3618="","",_xlfn.XLOOKUP(B3618,'Form responses 1'!$B$2:$B$2604,'Form responses 1'!$A$2:$A$2604,""))</f>
        <v/>
      </c>
      <c r="D3618" s="44" t="str">
        <f t="shared" si="3"/>
        <v/>
      </c>
      <c r="E3618" s="44" t="str">
        <f t="array" ref="E3618">IF(B3618="","",_xlfn.XLOOKUP(B3618,'Form responses 1'!$B$2:$B$2604,'Form responses 1'!$C$2:$C$2604,""))</f>
        <v/>
      </c>
      <c r="F3618" s="44" t="str">
        <f t="array" ref="F3618">IF(B3618="","",_xlfn.XLOOKUP(B3618,'Form responses 1'!$B$2:$B$2604,'Form responses 1'!$D$2:$D$2604,""))</f>
        <v/>
      </c>
      <c r="G3618" s="44" t="str">
        <f t="array" ref="G3618">IF(B3618="","",_xlfn.XLOOKUP(B3618,'Form responses 1'!$B$2:$B$2604,'Form responses 1'!$E$2:$E$2604,""))</f>
        <v/>
      </c>
      <c r="H3618" s="44" t="str">
        <f t="array" ref="H3618">IF(B3618="","",_xlfn.XLOOKUP(B3618,'Form responses 1'!$B$2:$B$2604,'Form responses 1'!$F$2:$F$2604,""))</f>
        <v/>
      </c>
      <c r="I3618" s="44" t="str">
        <f t="array" ref="I3618">IF(B3618="","",_xlfn.XLOOKUP(B3618,'Form responses 1'!$B$2:$B$2604,'Form responses 1'!$I$2:$I$2604,""))</f>
        <v/>
      </c>
      <c r="J3618" s="44" t="str">
        <f t="array" ref="J3618">IF(B3618="","",_xlfn.XLOOKUP(B3618,'Form responses 1'!$B$2:$B$2604,'Form responses 1'!$G$2:$G$2604,""))</f>
        <v/>
      </c>
      <c r="K3618" s="56"/>
      <c r="L3618" s="58" t="str">
        <f t="shared" si="7"/>
        <v/>
      </c>
      <c r="M3618" s="49"/>
      <c r="N3618" s="49"/>
      <c r="O3618" s="49"/>
      <c r="P3618" s="49"/>
      <c r="Q3618" s="49"/>
      <c r="R3618" s="49"/>
      <c r="S3618" s="49"/>
      <c r="T3618" s="49"/>
      <c r="U3618" s="49"/>
      <c r="V3618" s="49"/>
      <c r="W3618" s="56"/>
      <c r="X3618" s="51" t="str">
        <f t="shared" si="5"/>
        <v/>
      </c>
      <c r="Y3618" s="50" t="s">
        <v>482</v>
      </c>
      <c r="Z3618" s="49">
        <f t="shared" si="6"/>
        <v>0</v>
      </c>
    </row>
    <row r="3619" ht="22.5" customHeight="1">
      <c r="B3619" s="57"/>
      <c r="C3619" s="43" t="str">
        <f t="array" ref="C3619">IF(B3619="","",_xlfn.XLOOKUP(B3619,'Form responses 1'!$B$2:$B$2604,'Form responses 1'!$A$2:$A$2604,""))</f>
        <v/>
      </c>
      <c r="D3619" s="44" t="str">
        <f t="shared" si="3"/>
        <v/>
      </c>
      <c r="E3619" s="44" t="str">
        <f t="array" ref="E3619">IF(B3619="","",_xlfn.XLOOKUP(B3619,'Form responses 1'!$B$2:$B$2604,'Form responses 1'!$C$2:$C$2604,""))</f>
        <v/>
      </c>
      <c r="F3619" s="44" t="str">
        <f t="array" ref="F3619">IF(B3619="","",_xlfn.XLOOKUP(B3619,'Form responses 1'!$B$2:$B$2604,'Form responses 1'!$D$2:$D$2604,""))</f>
        <v/>
      </c>
      <c r="G3619" s="44" t="str">
        <f t="array" ref="G3619">IF(B3619="","",_xlfn.XLOOKUP(B3619,'Form responses 1'!$B$2:$B$2604,'Form responses 1'!$E$2:$E$2604,""))</f>
        <v/>
      </c>
      <c r="H3619" s="44" t="str">
        <f t="array" ref="H3619">IF(B3619="","",_xlfn.XLOOKUP(B3619,'Form responses 1'!$B$2:$B$2604,'Form responses 1'!$F$2:$F$2604,""))</f>
        <v/>
      </c>
      <c r="I3619" s="44" t="str">
        <f t="array" ref="I3619">IF(B3619="","",_xlfn.XLOOKUP(B3619,'Form responses 1'!$B$2:$B$2604,'Form responses 1'!$I$2:$I$2604,""))</f>
        <v/>
      </c>
      <c r="J3619" s="44" t="str">
        <f t="array" ref="J3619">IF(B3619="","",_xlfn.XLOOKUP(B3619,'Form responses 1'!$B$2:$B$2604,'Form responses 1'!$G$2:$G$2604,""))</f>
        <v/>
      </c>
      <c r="K3619" s="56"/>
      <c r="L3619" s="58" t="str">
        <f t="shared" si="7"/>
        <v/>
      </c>
      <c r="M3619" s="49"/>
      <c r="N3619" s="49"/>
      <c r="O3619" s="49"/>
      <c r="P3619" s="49"/>
      <c r="Q3619" s="49"/>
      <c r="R3619" s="49"/>
      <c r="S3619" s="49"/>
      <c r="T3619" s="49"/>
      <c r="U3619" s="49"/>
      <c r="V3619" s="49"/>
      <c r="W3619" s="56"/>
      <c r="X3619" s="51" t="str">
        <f t="shared" si="5"/>
        <v/>
      </c>
      <c r="Y3619" s="50" t="s">
        <v>482</v>
      </c>
      <c r="Z3619" s="49">
        <f t="shared" si="6"/>
        <v>0</v>
      </c>
    </row>
    <row r="3620" ht="22.5" customHeight="1">
      <c r="B3620" s="57"/>
      <c r="C3620" s="43" t="str">
        <f t="array" ref="C3620">IF(B3620="","",_xlfn.XLOOKUP(B3620,'Form responses 1'!$B$2:$B$2604,'Form responses 1'!$A$2:$A$2604,""))</f>
        <v/>
      </c>
      <c r="D3620" s="44" t="str">
        <f t="shared" si="3"/>
        <v/>
      </c>
      <c r="E3620" s="44" t="str">
        <f t="array" ref="E3620">IF(B3620="","",_xlfn.XLOOKUP(B3620,'Form responses 1'!$B$2:$B$2604,'Form responses 1'!$C$2:$C$2604,""))</f>
        <v/>
      </c>
      <c r="F3620" s="44" t="str">
        <f t="array" ref="F3620">IF(B3620="","",_xlfn.XLOOKUP(B3620,'Form responses 1'!$B$2:$B$2604,'Form responses 1'!$D$2:$D$2604,""))</f>
        <v/>
      </c>
      <c r="G3620" s="44" t="str">
        <f t="array" ref="G3620">IF(B3620="","",_xlfn.XLOOKUP(B3620,'Form responses 1'!$B$2:$B$2604,'Form responses 1'!$E$2:$E$2604,""))</f>
        <v/>
      </c>
      <c r="H3620" s="44" t="str">
        <f t="array" ref="H3620">IF(B3620="","",_xlfn.XLOOKUP(B3620,'Form responses 1'!$B$2:$B$2604,'Form responses 1'!$F$2:$F$2604,""))</f>
        <v/>
      </c>
      <c r="I3620" s="44" t="str">
        <f t="array" ref="I3620">IF(B3620="","",_xlfn.XLOOKUP(B3620,'Form responses 1'!$B$2:$B$2604,'Form responses 1'!$I$2:$I$2604,""))</f>
        <v/>
      </c>
      <c r="J3620" s="44" t="str">
        <f t="array" ref="J3620">IF(B3620="","",_xlfn.XLOOKUP(B3620,'Form responses 1'!$B$2:$B$2604,'Form responses 1'!$G$2:$G$2604,""))</f>
        <v/>
      </c>
      <c r="K3620" s="56"/>
      <c r="L3620" s="58" t="str">
        <f t="shared" si="7"/>
        <v/>
      </c>
      <c r="M3620" s="49"/>
      <c r="N3620" s="49"/>
      <c r="O3620" s="49"/>
      <c r="P3620" s="49"/>
      <c r="Q3620" s="49"/>
      <c r="R3620" s="49"/>
      <c r="S3620" s="49"/>
      <c r="T3620" s="49"/>
      <c r="U3620" s="49"/>
      <c r="V3620" s="49"/>
      <c r="W3620" s="56"/>
      <c r="X3620" s="51" t="str">
        <f t="shared" si="5"/>
        <v/>
      </c>
      <c r="Y3620" s="50" t="s">
        <v>482</v>
      </c>
      <c r="Z3620" s="49">
        <f t="shared" si="6"/>
        <v>0</v>
      </c>
    </row>
    <row r="3621" ht="22.5" customHeight="1">
      <c r="B3621" s="57"/>
      <c r="C3621" s="43" t="str">
        <f t="array" ref="C3621">IF(B3621="","",_xlfn.XLOOKUP(B3621,'Form responses 1'!$B$2:$B$2604,'Form responses 1'!$A$2:$A$2604,""))</f>
        <v/>
      </c>
      <c r="D3621" s="44" t="str">
        <f t="shared" si="3"/>
        <v/>
      </c>
      <c r="E3621" s="44" t="str">
        <f t="array" ref="E3621">IF(B3621="","",_xlfn.XLOOKUP(B3621,'Form responses 1'!$B$2:$B$2604,'Form responses 1'!$C$2:$C$2604,""))</f>
        <v/>
      </c>
      <c r="F3621" s="44" t="str">
        <f t="array" ref="F3621">IF(B3621="","",_xlfn.XLOOKUP(B3621,'Form responses 1'!$B$2:$B$2604,'Form responses 1'!$D$2:$D$2604,""))</f>
        <v/>
      </c>
      <c r="G3621" s="44" t="str">
        <f t="array" ref="G3621">IF(B3621="","",_xlfn.XLOOKUP(B3621,'Form responses 1'!$B$2:$B$2604,'Form responses 1'!$E$2:$E$2604,""))</f>
        <v/>
      </c>
      <c r="H3621" s="44" t="str">
        <f t="array" ref="H3621">IF(B3621="","",_xlfn.XLOOKUP(B3621,'Form responses 1'!$B$2:$B$2604,'Form responses 1'!$F$2:$F$2604,""))</f>
        <v/>
      </c>
      <c r="I3621" s="44" t="str">
        <f t="array" ref="I3621">IF(B3621="","",_xlfn.XLOOKUP(B3621,'Form responses 1'!$B$2:$B$2604,'Form responses 1'!$I$2:$I$2604,""))</f>
        <v/>
      </c>
      <c r="J3621" s="44" t="str">
        <f t="array" ref="J3621">IF(B3621="","",_xlfn.XLOOKUP(B3621,'Form responses 1'!$B$2:$B$2604,'Form responses 1'!$G$2:$G$2604,""))</f>
        <v/>
      </c>
      <c r="K3621" s="56"/>
      <c r="L3621" s="58" t="str">
        <f t="shared" si="7"/>
        <v/>
      </c>
      <c r="M3621" s="49"/>
      <c r="N3621" s="49"/>
      <c r="O3621" s="49"/>
      <c r="P3621" s="49"/>
      <c r="Q3621" s="49"/>
      <c r="R3621" s="49"/>
      <c r="S3621" s="49"/>
      <c r="T3621" s="49"/>
      <c r="U3621" s="49"/>
      <c r="V3621" s="49"/>
      <c r="W3621" s="56"/>
      <c r="X3621" s="51" t="str">
        <f t="shared" si="5"/>
        <v/>
      </c>
      <c r="Y3621" s="50" t="s">
        <v>482</v>
      </c>
      <c r="Z3621" s="49">
        <f t="shared" si="6"/>
        <v>0</v>
      </c>
    </row>
    <row r="3622" ht="22.5" customHeight="1">
      <c r="B3622" s="57"/>
      <c r="C3622" s="43" t="str">
        <f t="array" ref="C3622">IF(B3622="","",_xlfn.XLOOKUP(B3622,'Form responses 1'!$B$2:$B$2604,'Form responses 1'!$A$2:$A$2604,""))</f>
        <v/>
      </c>
      <c r="D3622" s="44" t="str">
        <f t="shared" si="3"/>
        <v/>
      </c>
      <c r="E3622" s="44" t="str">
        <f t="array" ref="E3622">IF(B3622="","",_xlfn.XLOOKUP(B3622,'Form responses 1'!$B$2:$B$2604,'Form responses 1'!$C$2:$C$2604,""))</f>
        <v/>
      </c>
      <c r="F3622" s="44" t="str">
        <f t="array" ref="F3622">IF(B3622="","",_xlfn.XLOOKUP(B3622,'Form responses 1'!$B$2:$B$2604,'Form responses 1'!$D$2:$D$2604,""))</f>
        <v/>
      </c>
      <c r="G3622" s="44" t="str">
        <f t="array" ref="G3622">IF(B3622="","",_xlfn.XLOOKUP(B3622,'Form responses 1'!$B$2:$B$2604,'Form responses 1'!$E$2:$E$2604,""))</f>
        <v/>
      </c>
      <c r="H3622" s="44" t="str">
        <f t="array" ref="H3622">IF(B3622="","",_xlfn.XLOOKUP(B3622,'Form responses 1'!$B$2:$B$2604,'Form responses 1'!$F$2:$F$2604,""))</f>
        <v/>
      </c>
      <c r="I3622" s="44" t="str">
        <f t="array" ref="I3622">IF(B3622="","",_xlfn.XLOOKUP(B3622,'Form responses 1'!$B$2:$B$2604,'Form responses 1'!$I$2:$I$2604,""))</f>
        <v/>
      </c>
      <c r="J3622" s="44" t="str">
        <f t="array" ref="J3622">IF(B3622="","",_xlfn.XLOOKUP(B3622,'Form responses 1'!$B$2:$B$2604,'Form responses 1'!$G$2:$G$2604,""))</f>
        <v/>
      </c>
      <c r="K3622" s="56"/>
      <c r="L3622" s="58" t="str">
        <f t="shared" si="7"/>
        <v/>
      </c>
      <c r="M3622" s="49"/>
      <c r="N3622" s="49"/>
      <c r="O3622" s="49"/>
      <c r="P3622" s="49"/>
      <c r="Q3622" s="49"/>
      <c r="R3622" s="49"/>
      <c r="S3622" s="49"/>
      <c r="T3622" s="49"/>
      <c r="U3622" s="49"/>
      <c r="V3622" s="49"/>
      <c r="W3622" s="56"/>
      <c r="X3622" s="51" t="str">
        <f t="shared" si="5"/>
        <v/>
      </c>
      <c r="Y3622" s="50" t="s">
        <v>482</v>
      </c>
      <c r="Z3622" s="49">
        <f t="shared" si="6"/>
        <v>0</v>
      </c>
    </row>
    <row r="3623" ht="22.5" customHeight="1">
      <c r="B3623" s="57"/>
      <c r="C3623" s="43" t="str">
        <f t="array" ref="C3623">IF(B3623="","",_xlfn.XLOOKUP(B3623,'Form responses 1'!$B$2:$B$2604,'Form responses 1'!$A$2:$A$2604,""))</f>
        <v/>
      </c>
      <c r="D3623" s="44" t="str">
        <f t="shared" si="3"/>
        <v/>
      </c>
      <c r="E3623" s="44" t="str">
        <f t="array" ref="E3623">IF(B3623="","",_xlfn.XLOOKUP(B3623,'Form responses 1'!$B$2:$B$2604,'Form responses 1'!$C$2:$C$2604,""))</f>
        <v/>
      </c>
      <c r="F3623" s="44" t="str">
        <f t="array" ref="F3623">IF(B3623="","",_xlfn.XLOOKUP(B3623,'Form responses 1'!$B$2:$B$2604,'Form responses 1'!$D$2:$D$2604,""))</f>
        <v/>
      </c>
      <c r="G3623" s="44" t="str">
        <f t="array" ref="G3623">IF(B3623="","",_xlfn.XLOOKUP(B3623,'Form responses 1'!$B$2:$B$2604,'Form responses 1'!$E$2:$E$2604,""))</f>
        <v/>
      </c>
      <c r="H3623" s="44" t="str">
        <f t="array" ref="H3623">IF(B3623="","",_xlfn.XLOOKUP(B3623,'Form responses 1'!$B$2:$B$2604,'Form responses 1'!$F$2:$F$2604,""))</f>
        <v/>
      </c>
      <c r="I3623" s="44" t="str">
        <f t="array" ref="I3623">IF(B3623="","",_xlfn.XLOOKUP(B3623,'Form responses 1'!$B$2:$B$2604,'Form responses 1'!$I$2:$I$2604,""))</f>
        <v/>
      </c>
      <c r="J3623" s="44" t="str">
        <f t="array" ref="J3623">IF(B3623="","",_xlfn.XLOOKUP(B3623,'Form responses 1'!$B$2:$B$2604,'Form responses 1'!$G$2:$G$2604,""))</f>
        <v/>
      </c>
      <c r="K3623" s="56"/>
      <c r="L3623" s="58" t="str">
        <f t="shared" si="7"/>
        <v/>
      </c>
      <c r="M3623" s="49"/>
      <c r="N3623" s="49"/>
      <c r="O3623" s="49"/>
      <c r="P3623" s="49"/>
      <c r="Q3623" s="49"/>
      <c r="R3623" s="49"/>
      <c r="S3623" s="49"/>
      <c r="T3623" s="49"/>
      <c r="U3623" s="49"/>
      <c r="V3623" s="49"/>
      <c r="W3623" s="56"/>
      <c r="X3623" s="51" t="str">
        <f t="shared" si="5"/>
        <v/>
      </c>
      <c r="Y3623" s="50" t="s">
        <v>482</v>
      </c>
      <c r="Z3623" s="49">
        <f t="shared" si="6"/>
        <v>0</v>
      </c>
    </row>
    <row r="3624" ht="22.5" customHeight="1">
      <c r="B3624" s="57"/>
      <c r="C3624" s="43" t="str">
        <f t="array" ref="C3624">IF(B3624="","",_xlfn.XLOOKUP(B3624,'Form responses 1'!$B$2:$B$2604,'Form responses 1'!$A$2:$A$2604,""))</f>
        <v/>
      </c>
      <c r="D3624" s="44" t="str">
        <f t="shared" si="3"/>
        <v/>
      </c>
      <c r="E3624" s="44" t="str">
        <f t="array" ref="E3624">IF(B3624="","",_xlfn.XLOOKUP(B3624,'Form responses 1'!$B$2:$B$2604,'Form responses 1'!$C$2:$C$2604,""))</f>
        <v/>
      </c>
      <c r="F3624" s="44" t="str">
        <f t="array" ref="F3624">IF(B3624="","",_xlfn.XLOOKUP(B3624,'Form responses 1'!$B$2:$B$2604,'Form responses 1'!$D$2:$D$2604,""))</f>
        <v/>
      </c>
      <c r="G3624" s="44" t="str">
        <f t="array" ref="G3624">IF(B3624="","",_xlfn.XLOOKUP(B3624,'Form responses 1'!$B$2:$B$2604,'Form responses 1'!$E$2:$E$2604,""))</f>
        <v/>
      </c>
      <c r="H3624" s="44" t="str">
        <f t="array" ref="H3624">IF(B3624="","",_xlfn.XLOOKUP(B3624,'Form responses 1'!$B$2:$B$2604,'Form responses 1'!$F$2:$F$2604,""))</f>
        <v/>
      </c>
      <c r="I3624" s="44" t="str">
        <f t="array" ref="I3624">IF(B3624="","",_xlfn.XLOOKUP(B3624,'Form responses 1'!$B$2:$B$2604,'Form responses 1'!$I$2:$I$2604,""))</f>
        <v/>
      </c>
      <c r="J3624" s="44" t="str">
        <f t="array" ref="J3624">IF(B3624="","",_xlfn.XLOOKUP(B3624,'Form responses 1'!$B$2:$B$2604,'Form responses 1'!$G$2:$G$2604,""))</f>
        <v/>
      </c>
      <c r="K3624" s="56"/>
      <c r="L3624" s="58" t="str">
        <f t="shared" si="7"/>
        <v/>
      </c>
      <c r="M3624" s="49"/>
      <c r="N3624" s="49"/>
      <c r="O3624" s="49"/>
      <c r="P3624" s="49"/>
      <c r="Q3624" s="49"/>
      <c r="R3624" s="49"/>
      <c r="S3624" s="49"/>
      <c r="T3624" s="49"/>
      <c r="U3624" s="49"/>
      <c r="V3624" s="49"/>
      <c r="W3624" s="56"/>
      <c r="X3624" s="51" t="str">
        <f t="shared" si="5"/>
        <v/>
      </c>
      <c r="Y3624" s="50" t="s">
        <v>482</v>
      </c>
      <c r="Z3624" s="49">
        <f t="shared" si="6"/>
        <v>0</v>
      </c>
    </row>
    <row r="3625" ht="22.5" customHeight="1">
      <c r="B3625" s="57"/>
      <c r="C3625" s="43" t="str">
        <f t="array" ref="C3625">IF(B3625="","",_xlfn.XLOOKUP(B3625,'Form responses 1'!$B$2:$B$2604,'Form responses 1'!$A$2:$A$2604,""))</f>
        <v/>
      </c>
      <c r="D3625" s="44" t="str">
        <f t="shared" si="3"/>
        <v/>
      </c>
      <c r="E3625" s="44" t="str">
        <f t="array" ref="E3625">IF(B3625="","",_xlfn.XLOOKUP(B3625,'Form responses 1'!$B$2:$B$2604,'Form responses 1'!$C$2:$C$2604,""))</f>
        <v/>
      </c>
      <c r="F3625" s="44" t="str">
        <f t="array" ref="F3625">IF(B3625="","",_xlfn.XLOOKUP(B3625,'Form responses 1'!$B$2:$B$2604,'Form responses 1'!$D$2:$D$2604,""))</f>
        <v/>
      </c>
      <c r="G3625" s="44" t="str">
        <f t="array" ref="G3625">IF(B3625="","",_xlfn.XLOOKUP(B3625,'Form responses 1'!$B$2:$B$2604,'Form responses 1'!$E$2:$E$2604,""))</f>
        <v/>
      </c>
      <c r="H3625" s="44" t="str">
        <f t="array" ref="H3625">IF(B3625="","",_xlfn.XLOOKUP(B3625,'Form responses 1'!$B$2:$B$2604,'Form responses 1'!$F$2:$F$2604,""))</f>
        <v/>
      </c>
      <c r="I3625" s="44" t="str">
        <f t="array" ref="I3625">IF(B3625="","",_xlfn.XLOOKUP(B3625,'Form responses 1'!$B$2:$B$2604,'Form responses 1'!$I$2:$I$2604,""))</f>
        <v/>
      </c>
      <c r="J3625" s="44" t="str">
        <f t="array" ref="J3625">IF(B3625="","",_xlfn.XLOOKUP(B3625,'Form responses 1'!$B$2:$B$2604,'Form responses 1'!$G$2:$G$2604,""))</f>
        <v/>
      </c>
      <c r="K3625" s="56"/>
      <c r="L3625" s="58" t="str">
        <f t="shared" si="7"/>
        <v/>
      </c>
      <c r="M3625" s="49"/>
      <c r="N3625" s="49"/>
      <c r="O3625" s="49"/>
      <c r="P3625" s="49"/>
      <c r="Q3625" s="49"/>
      <c r="R3625" s="49"/>
      <c r="S3625" s="49"/>
      <c r="T3625" s="49"/>
      <c r="U3625" s="49"/>
      <c r="V3625" s="49"/>
      <c r="W3625" s="56"/>
      <c r="X3625" s="51" t="str">
        <f t="shared" si="5"/>
        <v/>
      </c>
      <c r="Y3625" s="50" t="s">
        <v>482</v>
      </c>
      <c r="Z3625" s="49">
        <f t="shared" si="6"/>
        <v>0</v>
      </c>
    </row>
    <row r="3626" ht="22.5" customHeight="1">
      <c r="B3626" s="57"/>
      <c r="C3626" s="43" t="str">
        <f t="array" ref="C3626">IF(B3626="","",_xlfn.XLOOKUP(B3626,'Form responses 1'!$B$2:$B$2604,'Form responses 1'!$A$2:$A$2604,""))</f>
        <v/>
      </c>
      <c r="D3626" s="44" t="str">
        <f t="shared" si="3"/>
        <v/>
      </c>
      <c r="E3626" s="44" t="str">
        <f t="array" ref="E3626">IF(B3626="","",_xlfn.XLOOKUP(B3626,'Form responses 1'!$B$2:$B$2604,'Form responses 1'!$C$2:$C$2604,""))</f>
        <v/>
      </c>
      <c r="F3626" s="44" t="str">
        <f t="array" ref="F3626">IF(B3626="","",_xlfn.XLOOKUP(B3626,'Form responses 1'!$B$2:$B$2604,'Form responses 1'!$D$2:$D$2604,""))</f>
        <v/>
      </c>
      <c r="G3626" s="44" t="str">
        <f t="array" ref="G3626">IF(B3626="","",_xlfn.XLOOKUP(B3626,'Form responses 1'!$B$2:$B$2604,'Form responses 1'!$E$2:$E$2604,""))</f>
        <v/>
      </c>
      <c r="H3626" s="44" t="str">
        <f t="array" ref="H3626">IF(B3626="","",_xlfn.XLOOKUP(B3626,'Form responses 1'!$B$2:$B$2604,'Form responses 1'!$F$2:$F$2604,""))</f>
        <v/>
      </c>
      <c r="I3626" s="44" t="str">
        <f t="array" ref="I3626">IF(B3626="","",_xlfn.XLOOKUP(B3626,'Form responses 1'!$B$2:$B$2604,'Form responses 1'!$I$2:$I$2604,""))</f>
        <v/>
      </c>
      <c r="J3626" s="44" t="str">
        <f t="array" ref="J3626">IF(B3626="","",_xlfn.XLOOKUP(B3626,'Form responses 1'!$B$2:$B$2604,'Form responses 1'!$G$2:$G$2604,""))</f>
        <v/>
      </c>
      <c r="K3626" s="56"/>
      <c r="L3626" s="58" t="str">
        <f t="shared" si="7"/>
        <v/>
      </c>
      <c r="M3626" s="49"/>
      <c r="N3626" s="49"/>
      <c r="O3626" s="49"/>
      <c r="P3626" s="49"/>
      <c r="Q3626" s="49"/>
      <c r="R3626" s="49"/>
      <c r="S3626" s="49"/>
      <c r="T3626" s="49"/>
      <c r="U3626" s="49"/>
      <c r="V3626" s="49"/>
      <c r="W3626" s="56"/>
      <c r="X3626" s="51" t="str">
        <f t="shared" si="5"/>
        <v/>
      </c>
      <c r="Y3626" s="50" t="s">
        <v>482</v>
      </c>
      <c r="Z3626" s="49">
        <f t="shared" si="6"/>
        <v>0</v>
      </c>
    </row>
    <row r="3627" ht="22.5" customHeight="1">
      <c r="B3627" s="57"/>
      <c r="C3627" s="43" t="str">
        <f t="array" ref="C3627">IF(B3627="","",_xlfn.XLOOKUP(B3627,'Form responses 1'!$B$2:$B$2604,'Form responses 1'!$A$2:$A$2604,""))</f>
        <v/>
      </c>
      <c r="D3627" s="44" t="str">
        <f t="shared" si="3"/>
        <v/>
      </c>
      <c r="E3627" s="44" t="str">
        <f t="array" ref="E3627">IF(B3627="","",_xlfn.XLOOKUP(B3627,'Form responses 1'!$B$2:$B$2604,'Form responses 1'!$C$2:$C$2604,""))</f>
        <v/>
      </c>
      <c r="F3627" s="44" t="str">
        <f t="array" ref="F3627">IF(B3627="","",_xlfn.XLOOKUP(B3627,'Form responses 1'!$B$2:$B$2604,'Form responses 1'!$D$2:$D$2604,""))</f>
        <v/>
      </c>
      <c r="G3627" s="44" t="str">
        <f t="array" ref="G3627">IF(B3627="","",_xlfn.XLOOKUP(B3627,'Form responses 1'!$B$2:$B$2604,'Form responses 1'!$E$2:$E$2604,""))</f>
        <v/>
      </c>
      <c r="H3627" s="44" t="str">
        <f t="array" ref="H3627">IF(B3627="","",_xlfn.XLOOKUP(B3627,'Form responses 1'!$B$2:$B$2604,'Form responses 1'!$F$2:$F$2604,""))</f>
        <v/>
      </c>
      <c r="I3627" s="44" t="str">
        <f t="array" ref="I3627">IF(B3627="","",_xlfn.XLOOKUP(B3627,'Form responses 1'!$B$2:$B$2604,'Form responses 1'!$I$2:$I$2604,""))</f>
        <v/>
      </c>
      <c r="J3627" s="44" t="str">
        <f t="array" ref="J3627">IF(B3627="","",_xlfn.XLOOKUP(B3627,'Form responses 1'!$B$2:$B$2604,'Form responses 1'!$G$2:$G$2604,""))</f>
        <v/>
      </c>
      <c r="K3627" s="56"/>
      <c r="L3627" s="58" t="str">
        <f t="shared" si="7"/>
        <v/>
      </c>
      <c r="M3627" s="49"/>
      <c r="N3627" s="49"/>
      <c r="O3627" s="49"/>
      <c r="P3627" s="49"/>
      <c r="Q3627" s="49"/>
      <c r="R3627" s="49"/>
      <c r="S3627" s="49"/>
      <c r="T3627" s="49"/>
      <c r="U3627" s="49"/>
      <c r="V3627" s="49"/>
      <c r="W3627" s="56"/>
      <c r="X3627" s="51" t="str">
        <f t="shared" si="5"/>
        <v/>
      </c>
      <c r="Y3627" s="50" t="s">
        <v>482</v>
      </c>
      <c r="Z3627" s="49">
        <f t="shared" si="6"/>
        <v>0</v>
      </c>
    </row>
    <row r="3628" ht="22.5" customHeight="1">
      <c r="B3628" s="57"/>
      <c r="C3628" s="43" t="str">
        <f t="array" ref="C3628">IF(B3628="","",_xlfn.XLOOKUP(B3628,'Form responses 1'!$B$2:$B$2604,'Form responses 1'!$A$2:$A$2604,""))</f>
        <v/>
      </c>
      <c r="D3628" s="44" t="str">
        <f t="shared" si="3"/>
        <v/>
      </c>
      <c r="E3628" s="44" t="str">
        <f t="array" ref="E3628">IF(B3628="","",_xlfn.XLOOKUP(B3628,'Form responses 1'!$B$2:$B$2604,'Form responses 1'!$C$2:$C$2604,""))</f>
        <v/>
      </c>
      <c r="F3628" s="44" t="str">
        <f t="array" ref="F3628">IF(B3628="","",_xlfn.XLOOKUP(B3628,'Form responses 1'!$B$2:$B$2604,'Form responses 1'!$D$2:$D$2604,""))</f>
        <v/>
      </c>
      <c r="G3628" s="44" t="str">
        <f t="array" ref="G3628">IF(B3628="","",_xlfn.XLOOKUP(B3628,'Form responses 1'!$B$2:$B$2604,'Form responses 1'!$E$2:$E$2604,""))</f>
        <v/>
      </c>
      <c r="H3628" s="44" t="str">
        <f t="array" ref="H3628">IF(B3628="","",_xlfn.XLOOKUP(B3628,'Form responses 1'!$B$2:$B$2604,'Form responses 1'!$F$2:$F$2604,""))</f>
        <v/>
      </c>
      <c r="I3628" s="44" t="str">
        <f t="array" ref="I3628">IF(B3628="","",_xlfn.XLOOKUP(B3628,'Form responses 1'!$B$2:$B$2604,'Form responses 1'!$I$2:$I$2604,""))</f>
        <v/>
      </c>
      <c r="J3628" s="44" t="str">
        <f t="array" ref="J3628">IF(B3628="","",_xlfn.XLOOKUP(B3628,'Form responses 1'!$B$2:$B$2604,'Form responses 1'!$G$2:$G$2604,""))</f>
        <v/>
      </c>
      <c r="K3628" s="56"/>
      <c r="L3628" s="58" t="str">
        <f t="shared" si="7"/>
        <v/>
      </c>
      <c r="M3628" s="49"/>
      <c r="N3628" s="49"/>
      <c r="O3628" s="49"/>
      <c r="P3628" s="49"/>
      <c r="Q3628" s="49"/>
      <c r="R3628" s="49"/>
      <c r="S3628" s="49"/>
      <c r="T3628" s="49"/>
      <c r="U3628" s="49"/>
      <c r="V3628" s="49"/>
      <c r="W3628" s="56"/>
      <c r="X3628" s="51" t="str">
        <f t="shared" si="5"/>
        <v/>
      </c>
      <c r="Y3628" s="50" t="s">
        <v>482</v>
      </c>
      <c r="Z3628" s="49">
        <f t="shared" si="6"/>
        <v>0</v>
      </c>
    </row>
    <row r="3629" ht="22.5" customHeight="1">
      <c r="B3629" s="57"/>
      <c r="C3629" s="43" t="str">
        <f t="array" ref="C3629">IF(B3629="","",_xlfn.XLOOKUP(B3629,'Form responses 1'!$B$2:$B$2604,'Form responses 1'!$A$2:$A$2604,""))</f>
        <v/>
      </c>
      <c r="D3629" s="44" t="str">
        <f t="shared" si="3"/>
        <v/>
      </c>
      <c r="E3629" s="44" t="str">
        <f t="array" ref="E3629">IF(B3629="","",_xlfn.XLOOKUP(B3629,'Form responses 1'!$B$2:$B$2604,'Form responses 1'!$C$2:$C$2604,""))</f>
        <v/>
      </c>
      <c r="F3629" s="44" t="str">
        <f t="array" ref="F3629">IF(B3629="","",_xlfn.XLOOKUP(B3629,'Form responses 1'!$B$2:$B$2604,'Form responses 1'!$D$2:$D$2604,""))</f>
        <v/>
      </c>
      <c r="G3629" s="44" t="str">
        <f t="array" ref="G3629">IF(B3629="","",_xlfn.XLOOKUP(B3629,'Form responses 1'!$B$2:$B$2604,'Form responses 1'!$E$2:$E$2604,""))</f>
        <v/>
      </c>
      <c r="H3629" s="44" t="str">
        <f t="array" ref="H3629">IF(B3629="","",_xlfn.XLOOKUP(B3629,'Form responses 1'!$B$2:$B$2604,'Form responses 1'!$F$2:$F$2604,""))</f>
        <v/>
      </c>
      <c r="I3629" s="44" t="str">
        <f t="array" ref="I3629">IF(B3629="","",_xlfn.XLOOKUP(B3629,'Form responses 1'!$B$2:$B$2604,'Form responses 1'!$I$2:$I$2604,""))</f>
        <v/>
      </c>
      <c r="J3629" s="44" t="str">
        <f t="array" ref="J3629">IF(B3629="","",_xlfn.XLOOKUP(B3629,'Form responses 1'!$B$2:$B$2604,'Form responses 1'!$G$2:$G$2604,""))</f>
        <v/>
      </c>
      <c r="K3629" s="56"/>
      <c r="L3629" s="58" t="str">
        <f t="shared" si="7"/>
        <v/>
      </c>
      <c r="M3629" s="49"/>
      <c r="N3629" s="49"/>
      <c r="O3629" s="49"/>
      <c r="P3629" s="49"/>
      <c r="Q3629" s="49"/>
      <c r="R3629" s="49"/>
      <c r="S3629" s="49"/>
      <c r="T3629" s="49"/>
      <c r="U3629" s="49"/>
      <c r="V3629" s="49"/>
      <c r="W3629" s="56"/>
      <c r="X3629" s="51" t="str">
        <f t="shared" si="5"/>
        <v/>
      </c>
      <c r="Y3629" s="50" t="s">
        <v>482</v>
      </c>
      <c r="Z3629" s="49">
        <f t="shared" si="6"/>
        <v>0</v>
      </c>
    </row>
    <row r="3630" ht="22.5" customHeight="1">
      <c r="B3630" s="57"/>
      <c r="C3630" s="43" t="str">
        <f t="array" ref="C3630">IF(B3630="","",_xlfn.XLOOKUP(B3630,'Form responses 1'!$B$2:$B$2604,'Form responses 1'!$A$2:$A$2604,""))</f>
        <v/>
      </c>
      <c r="D3630" s="44" t="str">
        <f t="shared" si="3"/>
        <v/>
      </c>
      <c r="E3630" s="44" t="str">
        <f t="array" ref="E3630">IF(B3630="","",_xlfn.XLOOKUP(B3630,'Form responses 1'!$B$2:$B$2604,'Form responses 1'!$C$2:$C$2604,""))</f>
        <v/>
      </c>
      <c r="F3630" s="44" t="str">
        <f t="array" ref="F3630">IF(B3630="","",_xlfn.XLOOKUP(B3630,'Form responses 1'!$B$2:$B$2604,'Form responses 1'!$D$2:$D$2604,""))</f>
        <v/>
      </c>
      <c r="G3630" s="44" t="str">
        <f t="array" ref="G3630">IF(B3630="","",_xlfn.XLOOKUP(B3630,'Form responses 1'!$B$2:$B$2604,'Form responses 1'!$E$2:$E$2604,""))</f>
        <v/>
      </c>
      <c r="H3630" s="44" t="str">
        <f t="array" ref="H3630">IF(B3630="","",_xlfn.XLOOKUP(B3630,'Form responses 1'!$B$2:$B$2604,'Form responses 1'!$F$2:$F$2604,""))</f>
        <v/>
      </c>
      <c r="I3630" s="44" t="str">
        <f t="array" ref="I3630">IF(B3630="","",_xlfn.XLOOKUP(B3630,'Form responses 1'!$B$2:$B$2604,'Form responses 1'!$I$2:$I$2604,""))</f>
        <v/>
      </c>
      <c r="J3630" s="44" t="str">
        <f t="array" ref="J3630">IF(B3630="","",_xlfn.XLOOKUP(B3630,'Form responses 1'!$B$2:$B$2604,'Form responses 1'!$G$2:$G$2604,""))</f>
        <v/>
      </c>
      <c r="K3630" s="56"/>
      <c r="L3630" s="58" t="str">
        <f t="shared" si="7"/>
        <v/>
      </c>
      <c r="M3630" s="49"/>
      <c r="N3630" s="49"/>
      <c r="O3630" s="49"/>
      <c r="P3630" s="49"/>
      <c r="Q3630" s="49"/>
      <c r="R3630" s="49"/>
      <c r="S3630" s="49"/>
      <c r="T3630" s="49"/>
      <c r="U3630" s="49"/>
      <c r="V3630" s="49"/>
      <c r="W3630" s="56"/>
      <c r="X3630" s="51" t="str">
        <f t="shared" si="5"/>
        <v/>
      </c>
      <c r="Y3630" s="50" t="s">
        <v>482</v>
      </c>
      <c r="Z3630" s="49">
        <f t="shared" si="6"/>
        <v>0</v>
      </c>
    </row>
    <row r="3631" ht="22.5" customHeight="1">
      <c r="B3631" s="57"/>
      <c r="C3631" s="43" t="str">
        <f t="array" ref="C3631">IF(B3631="","",_xlfn.XLOOKUP(B3631,'Form responses 1'!$B$2:$B$2604,'Form responses 1'!$A$2:$A$2604,""))</f>
        <v/>
      </c>
      <c r="D3631" s="44" t="str">
        <f t="shared" si="3"/>
        <v/>
      </c>
      <c r="E3631" s="44" t="str">
        <f t="array" ref="E3631">IF(B3631="","",_xlfn.XLOOKUP(B3631,'Form responses 1'!$B$2:$B$2604,'Form responses 1'!$C$2:$C$2604,""))</f>
        <v/>
      </c>
      <c r="F3631" s="44" t="str">
        <f t="array" ref="F3631">IF(B3631="","",_xlfn.XLOOKUP(B3631,'Form responses 1'!$B$2:$B$2604,'Form responses 1'!$D$2:$D$2604,""))</f>
        <v/>
      </c>
      <c r="G3631" s="44" t="str">
        <f t="array" ref="G3631">IF(B3631="","",_xlfn.XLOOKUP(B3631,'Form responses 1'!$B$2:$B$2604,'Form responses 1'!$E$2:$E$2604,""))</f>
        <v/>
      </c>
      <c r="H3631" s="44" t="str">
        <f t="array" ref="H3631">IF(B3631="","",_xlfn.XLOOKUP(B3631,'Form responses 1'!$B$2:$B$2604,'Form responses 1'!$F$2:$F$2604,""))</f>
        <v/>
      </c>
      <c r="I3631" s="44" t="str">
        <f t="array" ref="I3631">IF(B3631="","",_xlfn.XLOOKUP(B3631,'Form responses 1'!$B$2:$B$2604,'Form responses 1'!$I$2:$I$2604,""))</f>
        <v/>
      </c>
      <c r="J3631" s="44" t="str">
        <f t="array" ref="J3631">IF(B3631="","",_xlfn.XLOOKUP(B3631,'Form responses 1'!$B$2:$B$2604,'Form responses 1'!$G$2:$G$2604,""))</f>
        <v/>
      </c>
      <c r="K3631" s="56"/>
      <c r="L3631" s="58" t="str">
        <f t="shared" si="7"/>
        <v/>
      </c>
      <c r="M3631" s="49"/>
      <c r="N3631" s="49"/>
      <c r="O3631" s="49"/>
      <c r="P3631" s="49"/>
      <c r="Q3631" s="49"/>
      <c r="R3631" s="49"/>
      <c r="S3631" s="49"/>
      <c r="T3631" s="49"/>
      <c r="U3631" s="49"/>
      <c r="V3631" s="49"/>
      <c r="W3631" s="56"/>
      <c r="X3631" s="51" t="str">
        <f t="shared" si="5"/>
        <v/>
      </c>
      <c r="Y3631" s="50" t="s">
        <v>482</v>
      </c>
      <c r="Z3631" s="49">
        <f t="shared" si="6"/>
        <v>0</v>
      </c>
    </row>
    <row r="3632" ht="22.5" customHeight="1">
      <c r="B3632" s="57"/>
      <c r="C3632" s="43" t="str">
        <f t="array" ref="C3632">IF(B3632="","",_xlfn.XLOOKUP(B3632,'Form responses 1'!$B$2:$B$2604,'Form responses 1'!$A$2:$A$2604,""))</f>
        <v/>
      </c>
      <c r="D3632" s="44" t="str">
        <f t="shared" si="3"/>
        <v/>
      </c>
      <c r="E3632" s="44" t="str">
        <f t="array" ref="E3632">IF(B3632="","",_xlfn.XLOOKUP(B3632,'Form responses 1'!$B$2:$B$2604,'Form responses 1'!$C$2:$C$2604,""))</f>
        <v/>
      </c>
      <c r="F3632" s="44" t="str">
        <f t="array" ref="F3632">IF(B3632="","",_xlfn.XLOOKUP(B3632,'Form responses 1'!$B$2:$B$2604,'Form responses 1'!$D$2:$D$2604,""))</f>
        <v/>
      </c>
      <c r="G3632" s="44" t="str">
        <f t="array" ref="G3632">IF(B3632="","",_xlfn.XLOOKUP(B3632,'Form responses 1'!$B$2:$B$2604,'Form responses 1'!$E$2:$E$2604,""))</f>
        <v/>
      </c>
      <c r="H3632" s="44" t="str">
        <f t="array" ref="H3632">IF(B3632="","",_xlfn.XLOOKUP(B3632,'Form responses 1'!$B$2:$B$2604,'Form responses 1'!$F$2:$F$2604,""))</f>
        <v/>
      </c>
      <c r="I3632" s="44" t="str">
        <f t="array" ref="I3632">IF(B3632="","",_xlfn.XLOOKUP(B3632,'Form responses 1'!$B$2:$B$2604,'Form responses 1'!$I$2:$I$2604,""))</f>
        <v/>
      </c>
      <c r="J3632" s="44" t="str">
        <f t="array" ref="J3632">IF(B3632="","",_xlfn.XLOOKUP(B3632,'Form responses 1'!$B$2:$B$2604,'Form responses 1'!$G$2:$G$2604,""))</f>
        <v/>
      </c>
      <c r="K3632" s="56"/>
      <c r="L3632" s="58" t="str">
        <f t="shared" si="7"/>
        <v/>
      </c>
      <c r="M3632" s="49"/>
      <c r="N3632" s="49"/>
      <c r="O3632" s="49"/>
      <c r="P3632" s="49"/>
      <c r="Q3632" s="49"/>
      <c r="R3632" s="49"/>
      <c r="S3632" s="49"/>
      <c r="T3632" s="49"/>
      <c r="U3632" s="49"/>
      <c r="V3632" s="49"/>
      <c r="W3632" s="56"/>
      <c r="X3632" s="51" t="str">
        <f t="shared" si="5"/>
        <v/>
      </c>
      <c r="Y3632" s="50" t="s">
        <v>482</v>
      </c>
      <c r="Z3632" s="49">
        <f t="shared" si="6"/>
        <v>0</v>
      </c>
    </row>
    <row r="3633" ht="22.5" customHeight="1">
      <c r="B3633" s="57"/>
      <c r="C3633" s="43" t="str">
        <f t="array" ref="C3633">IF(B3633="","",_xlfn.XLOOKUP(B3633,'Form responses 1'!$B$2:$B$2604,'Form responses 1'!$A$2:$A$2604,""))</f>
        <v/>
      </c>
      <c r="D3633" s="44" t="str">
        <f t="shared" si="3"/>
        <v/>
      </c>
      <c r="E3633" s="44" t="str">
        <f t="array" ref="E3633">IF(B3633="","",_xlfn.XLOOKUP(B3633,'Form responses 1'!$B$2:$B$2604,'Form responses 1'!$C$2:$C$2604,""))</f>
        <v/>
      </c>
      <c r="F3633" s="44" t="str">
        <f t="array" ref="F3633">IF(B3633="","",_xlfn.XLOOKUP(B3633,'Form responses 1'!$B$2:$B$2604,'Form responses 1'!$D$2:$D$2604,""))</f>
        <v/>
      </c>
      <c r="G3633" s="44" t="str">
        <f t="array" ref="G3633">IF(B3633="","",_xlfn.XLOOKUP(B3633,'Form responses 1'!$B$2:$B$2604,'Form responses 1'!$E$2:$E$2604,""))</f>
        <v/>
      </c>
      <c r="H3633" s="44" t="str">
        <f t="array" ref="H3633">IF(B3633="","",_xlfn.XLOOKUP(B3633,'Form responses 1'!$B$2:$B$2604,'Form responses 1'!$F$2:$F$2604,""))</f>
        <v/>
      </c>
      <c r="I3633" s="44" t="str">
        <f t="array" ref="I3633">IF(B3633="","",_xlfn.XLOOKUP(B3633,'Form responses 1'!$B$2:$B$2604,'Form responses 1'!$I$2:$I$2604,""))</f>
        <v/>
      </c>
      <c r="J3633" s="44" t="str">
        <f t="array" ref="J3633">IF(B3633="","",_xlfn.XLOOKUP(B3633,'Form responses 1'!$B$2:$B$2604,'Form responses 1'!$G$2:$G$2604,""))</f>
        <v/>
      </c>
      <c r="K3633" s="56"/>
      <c r="L3633" s="58" t="str">
        <f t="shared" si="7"/>
        <v/>
      </c>
      <c r="M3633" s="49"/>
      <c r="N3633" s="49"/>
      <c r="O3633" s="49"/>
      <c r="P3633" s="49"/>
      <c r="Q3633" s="49"/>
      <c r="R3633" s="49"/>
      <c r="S3633" s="49"/>
      <c r="T3633" s="49"/>
      <c r="U3633" s="49"/>
      <c r="V3633" s="49"/>
      <c r="W3633" s="56"/>
      <c r="X3633" s="51" t="str">
        <f t="shared" si="5"/>
        <v/>
      </c>
      <c r="Y3633" s="50" t="s">
        <v>482</v>
      </c>
      <c r="Z3633" s="49">
        <f t="shared" si="6"/>
        <v>0</v>
      </c>
    </row>
    <row r="3634" ht="22.5" customHeight="1">
      <c r="B3634" s="57"/>
      <c r="C3634" s="43" t="str">
        <f t="array" ref="C3634">IF(B3634="","",_xlfn.XLOOKUP(B3634,'Form responses 1'!$B$2:$B$2604,'Form responses 1'!$A$2:$A$2604,""))</f>
        <v/>
      </c>
      <c r="D3634" s="44" t="str">
        <f t="shared" si="3"/>
        <v/>
      </c>
      <c r="E3634" s="44" t="str">
        <f t="array" ref="E3634">IF(B3634="","",_xlfn.XLOOKUP(B3634,'Form responses 1'!$B$2:$B$2604,'Form responses 1'!$C$2:$C$2604,""))</f>
        <v/>
      </c>
      <c r="F3634" s="44" t="str">
        <f t="array" ref="F3634">IF(B3634="","",_xlfn.XLOOKUP(B3634,'Form responses 1'!$B$2:$B$2604,'Form responses 1'!$D$2:$D$2604,""))</f>
        <v/>
      </c>
      <c r="G3634" s="44" t="str">
        <f t="array" ref="G3634">IF(B3634="","",_xlfn.XLOOKUP(B3634,'Form responses 1'!$B$2:$B$2604,'Form responses 1'!$E$2:$E$2604,""))</f>
        <v/>
      </c>
      <c r="H3634" s="44" t="str">
        <f t="array" ref="H3634">IF(B3634="","",_xlfn.XLOOKUP(B3634,'Form responses 1'!$B$2:$B$2604,'Form responses 1'!$F$2:$F$2604,""))</f>
        <v/>
      </c>
      <c r="I3634" s="44" t="str">
        <f t="array" ref="I3634">IF(B3634="","",_xlfn.XLOOKUP(B3634,'Form responses 1'!$B$2:$B$2604,'Form responses 1'!$I$2:$I$2604,""))</f>
        <v/>
      </c>
      <c r="J3634" s="44" t="str">
        <f t="array" ref="J3634">IF(B3634="","",_xlfn.XLOOKUP(B3634,'Form responses 1'!$B$2:$B$2604,'Form responses 1'!$G$2:$G$2604,""))</f>
        <v/>
      </c>
      <c r="K3634" s="56"/>
      <c r="L3634" s="58" t="str">
        <f t="shared" si="7"/>
        <v/>
      </c>
      <c r="M3634" s="49"/>
      <c r="N3634" s="49"/>
      <c r="O3634" s="49"/>
      <c r="P3634" s="49"/>
      <c r="Q3634" s="49"/>
      <c r="R3634" s="49"/>
      <c r="S3634" s="49"/>
      <c r="T3634" s="49"/>
      <c r="U3634" s="49"/>
      <c r="V3634" s="49"/>
      <c r="W3634" s="56"/>
      <c r="X3634" s="51" t="str">
        <f t="shared" si="5"/>
        <v/>
      </c>
      <c r="Y3634" s="50" t="s">
        <v>482</v>
      </c>
      <c r="Z3634" s="49">
        <f t="shared" si="6"/>
        <v>0</v>
      </c>
    </row>
    <row r="3635" ht="22.5" customHeight="1">
      <c r="B3635" s="57"/>
      <c r="C3635" s="43" t="str">
        <f t="array" ref="C3635">IF(B3635="","",_xlfn.XLOOKUP(B3635,'Form responses 1'!$B$2:$B$2604,'Form responses 1'!$A$2:$A$2604,""))</f>
        <v/>
      </c>
      <c r="D3635" s="44" t="str">
        <f t="shared" si="3"/>
        <v/>
      </c>
      <c r="E3635" s="44" t="str">
        <f t="array" ref="E3635">IF(B3635="","",_xlfn.XLOOKUP(B3635,'Form responses 1'!$B$2:$B$2604,'Form responses 1'!$C$2:$C$2604,""))</f>
        <v/>
      </c>
      <c r="F3635" s="44" t="str">
        <f t="array" ref="F3635">IF(B3635="","",_xlfn.XLOOKUP(B3635,'Form responses 1'!$B$2:$B$2604,'Form responses 1'!$D$2:$D$2604,""))</f>
        <v/>
      </c>
      <c r="G3635" s="44" t="str">
        <f t="array" ref="G3635">IF(B3635="","",_xlfn.XLOOKUP(B3635,'Form responses 1'!$B$2:$B$2604,'Form responses 1'!$E$2:$E$2604,""))</f>
        <v/>
      </c>
      <c r="H3635" s="44" t="str">
        <f t="array" ref="H3635">IF(B3635="","",_xlfn.XLOOKUP(B3635,'Form responses 1'!$B$2:$B$2604,'Form responses 1'!$F$2:$F$2604,""))</f>
        <v/>
      </c>
      <c r="I3635" s="44" t="str">
        <f t="array" ref="I3635">IF(B3635="","",_xlfn.XLOOKUP(B3635,'Form responses 1'!$B$2:$B$2604,'Form responses 1'!$I$2:$I$2604,""))</f>
        <v/>
      </c>
      <c r="J3635" s="44" t="str">
        <f t="array" ref="J3635">IF(B3635="","",_xlfn.XLOOKUP(B3635,'Form responses 1'!$B$2:$B$2604,'Form responses 1'!$G$2:$G$2604,""))</f>
        <v/>
      </c>
      <c r="K3635" s="56"/>
      <c r="L3635" s="58" t="str">
        <f t="shared" si="7"/>
        <v/>
      </c>
      <c r="M3635" s="49"/>
      <c r="N3635" s="49"/>
      <c r="O3635" s="49"/>
      <c r="P3635" s="49"/>
      <c r="Q3635" s="49"/>
      <c r="R3635" s="49"/>
      <c r="S3635" s="49"/>
      <c r="T3635" s="49"/>
      <c r="U3635" s="49"/>
      <c r="V3635" s="49"/>
      <c r="W3635" s="56"/>
      <c r="X3635" s="51" t="str">
        <f t="shared" si="5"/>
        <v/>
      </c>
      <c r="Y3635" s="50" t="s">
        <v>482</v>
      </c>
      <c r="Z3635" s="49">
        <f t="shared" si="6"/>
        <v>0</v>
      </c>
    </row>
    <row r="3636" ht="22.5" customHeight="1">
      <c r="B3636" s="57"/>
      <c r="C3636" s="43" t="str">
        <f t="array" ref="C3636">IF(B3636="","",_xlfn.XLOOKUP(B3636,'Form responses 1'!$B$2:$B$2604,'Form responses 1'!$A$2:$A$2604,""))</f>
        <v/>
      </c>
      <c r="D3636" s="44" t="str">
        <f t="shared" si="3"/>
        <v/>
      </c>
      <c r="E3636" s="44" t="str">
        <f t="array" ref="E3636">IF(B3636="","",_xlfn.XLOOKUP(B3636,'Form responses 1'!$B$2:$B$2604,'Form responses 1'!$C$2:$C$2604,""))</f>
        <v/>
      </c>
      <c r="F3636" s="44" t="str">
        <f t="array" ref="F3636">IF(B3636="","",_xlfn.XLOOKUP(B3636,'Form responses 1'!$B$2:$B$2604,'Form responses 1'!$D$2:$D$2604,""))</f>
        <v/>
      </c>
      <c r="G3636" s="44" t="str">
        <f t="array" ref="G3636">IF(B3636="","",_xlfn.XLOOKUP(B3636,'Form responses 1'!$B$2:$B$2604,'Form responses 1'!$E$2:$E$2604,""))</f>
        <v/>
      </c>
      <c r="H3636" s="44" t="str">
        <f t="array" ref="H3636">IF(B3636="","",_xlfn.XLOOKUP(B3636,'Form responses 1'!$B$2:$B$2604,'Form responses 1'!$F$2:$F$2604,""))</f>
        <v/>
      </c>
      <c r="I3636" s="44" t="str">
        <f t="array" ref="I3636">IF(B3636="","",_xlfn.XLOOKUP(B3636,'Form responses 1'!$B$2:$B$2604,'Form responses 1'!$I$2:$I$2604,""))</f>
        <v/>
      </c>
      <c r="J3636" s="44" t="str">
        <f t="array" ref="J3636">IF(B3636="","",_xlfn.XLOOKUP(B3636,'Form responses 1'!$B$2:$B$2604,'Form responses 1'!$G$2:$G$2604,""))</f>
        <v/>
      </c>
      <c r="K3636" s="56"/>
      <c r="L3636" s="58" t="str">
        <f t="shared" si="7"/>
        <v/>
      </c>
      <c r="M3636" s="49"/>
      <c r="N3636" s="49"/>
      <c r="O3636" s="49"/>
      <c r="P3636" s="49"/>
      <c r="Q3636" s="49"/>
      <c r="R3636" s="49"/>
      <c r="S3636" s="49"/>
      <c r="T3636" s="49"/>
      <c r="U3636" s="49"/>
      <c r="V3636" s="49"/>
      <c r="W3636" s="56"/>
      <c r="X3636" s="51" t="str">
        <f t="shared" si="5"/>
        <v/>
      </c>
      <c r="Y3636" s="50" t="s">
        <v>482</v>
      </c>
      <c r="Z3636" s="49">
        <f t="shared" si="6"/>
        <v>0</v>
      </c>
    </row>
    <row r="3637" ht="22.5" customHeight="1">
      <c r="B3637" s="57"/>
      <c r="C3637" s="43" t="str">
        <f t="array" ref="C3637">IF(B3637="","",_xlfn.XLOOKUP(B3637,'Form responses 1'!$B$2:$B$2604,'Form responses 1'!$A$2:$A$2604,""))</f>
        <v/>
      </c>
      <c r="D3637" s="44" t="str">
        <f t="shared" si="3"/>
        <v/>
      </c>
      <c r="E3637" s="44" t="str">
        <f t="array" ref="E3637">IF(B3637="","",_xlfn.XLOOKUP(B3637,'Form responses 1'!$B$2:$B$2604,'Form responses 1'!$C$2:$C$2604,""))</f>
        <v/>
      </c>
      <c r="F3637" s="44" t="str">
        <f t="array" ref="F3637">IF(B3637="","",_xlfn.XLOOKUP(B3637,'Form responses 1'!$B$2:$B$2604,'Form responses 1'!$D$2:$D$2604,""))</f>
        <v/>
      </c>
      <c r="G3637" s="44" t="str">
        <f t="array" ref="G3637">IF(B3637="","",_xlfn.XLOOKUP(B3637,'Form responses 1'!$B$2:$B$2604,'Form responses 1'!$E$2:$E$2604,""))</f>
        <v/>
      </c>
      <c r="H3637" s="44" t="str">
        <f t="array" ref="H3637">IF(B3637="","",_xlfn.XLOOKUP(B3637,'Form responses 1'!$B$2:$B$2604,'Form responses 1'!$F$2:$F$2604,""))</f>
        <v/>
      </c>
      <c r="I3637" s="44" t="str">
        <f t="array" ref="I3637">IF(B3637="","",_xlfn.XLOOKUP(B3637,'Form responses 1'!$B$2:$B$2604,'Form responses 1'!$I$2:$I$2604,""))</f>
        <v/>
      </c>
      <c r="J3637" s="44" t="str">
        <f t="array" ref="J3637">IF(B3637="","",_xlfn.XLOOKUP(B3637,'Form responses 1'!$B$2:$B$2604,'Form responses 1'!$G$2:$G$2604,""))</f>
        <v/>
      </c>
      <c r="K3637" s="56"/>
      <c r="L3637" s="58" t="str">
        <f t="shared" si="7"/>
        <v/>
      </c>
      <c r="M3637" s="49"/>
      <c r="N3637" s="49"/>
      <c r="O3637" s="49"/>
      <c r="P3637" s="49"/>
      <c r="Q3637" s="49"/>
      <c r="R3637" s="49"/>
      <c r="S3637" s="49"/>
      <c r="T3637" s="49"/>
      <c r="U3637" s="49"/>
      <c r="V3637" s="49"/>
      <c r="W3637" s="56"/>
      <c r="X3637" s="51" t="str">
        <f t="shared" si="5"/>
        <v/>
      </c>
      <c r="Y3637" s="50" t="s">
        <v>482</v>
      </c>
      <c r="Z3637" s="49">
        <f t="shared" si="6"/>
        <v>0</v>
      </c>
    </row>
    <row r="3638" ht="22.5" customHeight="1">
      <c r="B3638" s="57"/>
      <c r="C3638" s="43" t="str">
        <f t="array" ref="C3638">IF(B3638="","",_xlfn.XLOOKUP(B3638,'Form responses 1'!$B$2:$B$2604,'Form responses 1'!$A$2:$A$2604,""))</f>
        <v/>
      </c>
      <c r="D3638" s="44" t="str">
        <f t="shared" si="3"/>
        <v/>
      </c>
      <c r="E3638" s="44" t="str">
        <f t="array" ref="E3638">IF(B3638="","",_xlfn.XLOOKUP(B3638,'Form responses 1'!$B$2:$B$2604,'Form responses 1'!$C$2:$C$2604,""))</f>
        <v/>
      </c>
      <c r="F3638" s="44" t="str">
        <f t="array" ref="F3638">IF(B3638="","",_xlfn.XLOOKUP(B3638,'Form responses 1'!$B$2:$B$2604,'Form responses 1'!$D$2:$D$2604,""))</f>
        <v/>
      </c>
      <c r="G3638" s="44" t="str">
        <f t="array" ref="G3638">IF(B3638="","",_xlfn.XLOOKUP(B3638,'Form responses 1'!$B$2:$B$2604,'Form responses 1'!$E$2:$E$2604,""))</f>
        <v/>
      </c>
      <c r="H3638" s="44" t="str">
        <f t="array" ref="H3638">IF(B3638="","",_xlfn.XLOOKUP(B3638,'Form responses 1'!$B$2:$B$2604,'Form responses 1'!$F$2:$F$2604,""))</f>
        <v/>
      </c>
      <c r="I3638" s="44" t="str">
        <f t="array" ref="I3638">IF(B3638="","",_xlfn.XLOOKUP(B3638,'Form responses 1'!$B$2:$B$2604,'Form responses 1'!$I$2:$I$2604,""))</f>
        <v/>
      </c>
      <c r="J3638" s="44" t="str">
        <f t="array" ref="J3638">IF(B3638="","",_xlfn.XLOOKUP(B3638,'Form responses 1'!$B$2:$B$2604,'Form responses 1'!$G$2:$G$2604,""))</f>
        <v/>
      </c>
      <c r="K3638" s="56"/>
      <c r="L3638" s="58" t="str">
        <f t="shared" si="7"/>
        <v/>
      </c>
      <c r="M3638" s="49"/>
      <c r="N3638" s="49"/>
      <c r="O3638" s="49"/>
      <c r="P3638" s="49"/>
      <c r="Q3638" s="49"/>
      <c r="R3638" s="49"/>
      <c r="S3638" s="49"/>
      <c r="T3638" s="49"/>
      <c r="U3638" s="49"/>
      <c r="V3638" s="49"/>
      <c r="W3638" s="56"/>
      <c r="X3638" s="51" t="str">
        <f t="shared" si="5"/>
        <v/>
      </c>
      <c r="Y3638" s="50" t="s">
        <v>482</v>
      </c>
      <c r="Z3638" s="49">
        <f t="shared" si="6"/>
        <v>0</v>
      </c>
    </row>
    <row r="3639" ht="22.5" customHeight="1">
      <c r="B3639" s="57"/>
      <c r="C3639" s="43" t="str">
        <f t="array" ref="C3639">IF(B3639="","",_xlfn.XLOOKUP(B3639,'Form responses 1'!$B$2:$B$2604,'Form responses 1'!$A$2:$A$2604,""))</f>
        <v/>
      </c>
      <c r="D3639" s="44" t="str">
        <f t="shared" si="3"/>
        <v/>
      </c>
      <c r="E3639" s="44" t="str">
        <f t="array" ref="E3639">IF(B3639="","",_xlfn.XLOOKUP(B3639,'Form responses 1'!$B$2:$B$2604,'Form responses 1'!$C$2:$C$2604,""))</f>
        <v/>
      </c>
      <c r="F3639" s="44" t="str">
        <f t="array" ref="F3639">IF(B3639="","",_xlfn.XLOOKUP(B3639,'Form responses 1'!$B$2:$B$2604,'Form responses 1'!$D$2:$D$2604,""))</f>
        <v/>
      </c>
      <c r="G3639" s="44" t="str">
        <f t="array" ref="G3639">IF(B3639="","",_xlfn.XLOOKUP(B3639,'Form responses 1'!$B$2:$B$2604,'Form responses 1'!$E$2:$E$2604,""))</f>
        <v/>
      </c>
      <c r="H3639" s="44" t="str">
        <f t="array" ref="H3639">IF(B3639="","",_xlfn.XLOOKUP(B3639,'Form responses 1'!$B$2:$B$2604,'Form responses 1'!$F$2:$F$2604,""))</f>
        <v/>
      </c>
      <c r="I3639" s="44" t="str">
        <f t="array" ref="I3639">IF(B3639="","",_xlfn.XLOOKUP(B3639,'Form responses 1'!$B$2:$B$2604,'Form responses 1'!$I$2:$I$2604,""))</f>
        <v/>
      </c>
      <c r="J3639" s="44" t="str">
        <f t="array" ref="J3639">IF(B3639="","",_xlfn.XLOOKUP(B3639,'Form responses 1'!$B$2:$B$2604,'Form responses 1'!$G$2:$G$2604,""))</f>
        <v/>
      </c>
      <c r="K3639" s="56"/>
      <c r="L3639" s="58" t="str">
        <f t="shared" si="7"/>
        <v/>
      </c>
      <c r="M3639" s="49"/>
      <c r="N3639" s="49"/>
      <c r="O3639" s="49"/>
      <c r="P3639" s="49"/>
      <c r="Q3639" s="49"/>
      <c r="R3639" s="49"/>
      <c r="S3639" s="49"/>
      <c r="T3639" s="49"/>
      <c r="U3639" s="49"/>
      <c r="V3639" s="49"/>
      <c r="W3639" s="56"/>
      <c r="X3639" s="51" t="str">
        <f t="shared" si="5"/>
        <v/>
      </c>
      <c r="Y3639" s="50" t="s">
        <v>482</v>
      </c>
      <c r="Z3639" s="49">
        <f t="shared" si="6"/>
        <v>0</v>
      </c>
    </row>
    <row r="3640" ht="22.5" customHeight="1">
      <c r="B3640" s="57"/>
      <c r="C3640" s="43" t="str">
        <f t="array" ref="C3640">IF(B3640="","",_xlfn.XLOOKUP(B3640,'Form responses 1'!$B$2:$B$2604,'Form responses 1'!$A$2:$A$2604,""))</f>
        <v/>
      </c>
      <c r="D3640" s="44" t="str">
        <f t="shared" si="3"/>
        <v/>
      </c>
      <c r="E3640" s="44" t="str">
        <f t="array" ref="E3640">IF(B3640="","",_xlfn.XLOOKUP(B3640,'Form responses 1'!$B$2:$B$2604,'Form responses 1'!$C$2:$C$2604,""))</f>
        <v/>
      </c>
      <c r="F3640" s="44" t="str">
        <f t="array" ref="F3640">IF(B3640="","",_xlfn.XLOOKUP(B3640,'Form responses 1'!$B$2:$B$2604,'Form responses 1'!$D$2:$D$2604,""))</f>
        <v/>
      </c>
      <c r="G3640" s="44" t="str">
        <f t="array" ref="G3640">IF(B3640="","",_xlfn.XLOOKUP(B3640,'Form responses 1'!$B$2:$B$2604,'Form responses 1'!$E$2:$E$2604,""))</f>
        <v/>
      </c>
      <c r="H3640" s="44" t="str">
        <f t="array" ref="H3640">IF(B3640="","",_xlfn.XLOOKUP(B3640,'Form responses 1'!$B$2:$B$2604,'Form responses 1'!$F$2:$F$2604,""))</f>
        <v/>
      </c>
      <c r="I3640" s="44" t="str">
        <f t="array" ref="I3640">IF(B3640="","",_xlfn.XLOOKUP(B3640,'Form responses 1'!$B$2:$B$2604,'Form responses 1'!$I$2:$I$2604,""))</f>
        <v/>
      </c>
      <c r="J3640" s="44" t="str">
        <f t="array" ref="J3640">IF(B3640="","",_xlfn.XLOOKUP(B3640,'Form responses 1'!$B$2:$B$2604,'Form responses 1'!$G$2:$G$2604,""))</f>
        <v/>
      </c>
      <c r="K3640" s="56"/>
      <c r="L3640" s="58" t="str">
        <f t="shared" si="7"/>
        <v/>
      </c>
      <c r="M3640" s="49"/>
      <c r="N3640" s="49"/>
      <c r="O3640" s="49"/>
      <c r="P3640" s="49"/>
      <c r="Q3640" s="49"/>
      <c r="R3640" s="49"/>
      <c r="S3640" s="49"/>
      <c r="T3640" s="49"/>
      <c r="U3640" s="49"/>
      <c r="V3640" s="49"/>
      <c r="W3640" s="56"/>
      <c r="X3640" s="51" t="str">
        <f t="shared" si="5"/>
        <v/>
      </c>
      <c r="Y3640" s="50" t="s">
        <v>482</v>
      </c>
      <c r="Z3640" s="49">
        <f t="shared" si="6"/>
        <v>0</v>
      </c>
    </row>
    <row r="3641" ht="22.5" customHeight="1">
      <c r="B3641" s="57"/>
      <c r="C3641" s="43" t="str">
        <f t="array" ref="C3641">IF(B3641="","",_xlfn.XLOOKUP(B3641,'Form responses 1'!$B$2:$B$2604,'Form responses 1'!$A$2:$A$2604,""))</f>
        <v/>
      </c>
      <c r="D3641" s="44" t="str">
        <f t="shared" si="3"/>
        <v/>
      </c>
      <c r="E3641" s="44" t="str">
        <f t="array" ref="E3641">IF(B3641="","",_xlfn.XLOOKUP(B3641,'Form responses 1'!$B$2:$B$2604,'Form responses 1'!$C$2:$C$2604,""))</f>
        <v/>
      </c>
      <c r="F3641" s="44" t="str">
        <f t="array" ref="F3641">IF(B3641="","",_xlfn.XLOOKUP(B3641,'Form responses 1'!$B$2:$B$2604,'Form responses 1'!$D$2:$D$2604,""))</f>
        <v/>
      </c>
      <c r="G3641" s="44" t="str">
        <f t="array" ref="G3641">IF(B3641="","",_xlfn.XLOOKUP(B3641,'Form responses 1'!$B$2:$B$2604,'Form responses 1'!$E$2:$E$2604,""))</f>
        <v/>
      </c>
      <c r="H3641" s="44" t="str">
        <f t="array" ref="H3641">IF(B3641="","",_xlfn.XLOOKUP(B3641,'Form responses 1'!$B$2:$B$2604,'Form responses 1'!$F$2:$F$2604,""))</f>
        <v/>
      </c>
      <c r="I3641" s="44" t="str">
        <f t="array" ref="I3641">IF(B3641="","",_xlfn.XLOOKUP(B3641,'Form responses 1'!$B$2:$B$2604,'Form responses 1'!$I$2:$I$2604,""))</f>
        <v/>
      </c>
      <c r="J3641" s="44" t="str">
        <f t="array" ref="J3641">IF(B3641="","",_xlfn.XLOOKUP(B3641,'Form responses 1'!$B$2:$B$2604,'Form responses 1'!$G$2:$G$2604,""))</f>
        <v/>
      </c>
      <c r="K3641" s="56"/>
      <c r="L3641" s="58" t="str">
        <f t="shared" si="7"/>
        <v/>
      </c>
      <c r="M3641" s="49"/>
      <c r="N3641" s="49"/>
      <c r="O3641" s="49"/>
      <c r="P3641" s="49"/>
      <c r="Q3641" s="49"/>
      <c r="R3641" s="49"/>
      <c r="S3641" s="49"/>
      <c r="T3641" s="49"/>
      <c r="U3641" s="49"/>
      <c r="V3641" s="49"/>
      <c r="W3641" s="56"/>
      <c r="X3641" s="51" t="str">
        <f t="shared" si="5"/>
        <v/>
      </c>
      <c r="Y3641" s="50" t="s">
        <v>482</v>
      </c>
      <c r="Z3641" s="49">
        <f t="shared" si="6"/>
        <v>0</v>
      </c>
    </row>
    <row r="3642" ht="22.5" customHeight="1">
      <c r="B3642" s="57"/>
      <c r="C3642" s="43" t="str">
        <f t="array" ref="C3642">IF(B3642="","",_xlfn.XLOOKUP(B3642,'Form responses 1'!$B$2:$B$2604,'Form responses 1'!$A$2:$A$2604,""))</f>
        <v/>
      </c>
      <c r="D3642" s="44" t="str">
        <f t="shared" si="3"/>
        <v/>
      </c>
      <c r="E3642" s="44" t="str">
        <f t="array" ref="E3642">IF(B3642="","",_xlfn.XLOOKUP(B3642,'Form responses 1'!$B$2:$B$2604,'Form responses 1'!$C$2:$C$2604,""))</f>
        <v/>
      </c>
      <c r="F3642" s="44" t="str">
        <f t="array" ref="F3642">IF(B3642="","",_xlfn.XLOOKUP(B3642,'Form responses 1'!$B$2:$B$2604,'Form responses 1'!$D$2:$D$2604,""))</f>
        <v/>
      </c>
      <c r="G3642" s="44" t="str">
        <f t="array" ref="G3642">IF(B3642="","",_xlfn.XLOOKUP(B3642,'Form responses 1'!$B$2:$B$2604,'Form responses 1'!$E$2:$E$2604,""))</f>
        <v/>
      </c>
      <c r="H3642" s="44" t="str">
        <f t="array" ref="H3642">IF(B3642="","",_xlfn.XLOOKUP(B3642,'Form responses 1'!$B$2:$B$2604,'Form responses 1'!$F$2:$F$2604,""))</f>
        <v/>
      </c>
      <c r="I3642" s="44" t="str">
        <f t="array" ref="I3642">IF(B3642="","",_xlfn.XLOOKUP(B3642,'Form responses 1'!$B$2:$B$2604,'Form responses 1'!$I$2:$I$2604,""))</f>
        <v/>
      </c>
      <c r="J3642" s="44" t="str">
        <f t="array" ref="J3642">IF(B3642="","",_xlfn.XLOOKUP(B3642,'Form responses 1'!$B$2:$B$2604,'Form responses 1'!$G$2:$G$2604,""))</f>
        <v/>
      </c>
      <c r="K3642" s="56"/>
      <c r="L3642" s="58" t="str">
        <f t="shared" si="7"/>
        <v/>
      </c>
      <c r="M3642" s="49"/>
      <c r="N3642" s="49"/>
      <c r="O3642" s="49"/>
      <c r="P3642" s="49"/>
      <c r="Q3642" s="49"/>
      <c r="R3642" s="49"/>
      <c r="S3642" s="49"/>
      <c r="T3642" s="49"/>
      <c r="U3642" s="49"/>
      <c r="V3642" s="49"/>
      <c r="W3642" s="56"/>
      <c r="X3642" s="51" t="str">
        <f t="shared" si="5"/>
        <v/>
      </c>
      <c r="Y3642" s="50" t="s">
        <v>482</v>
      </c>
      <c r="Z3642" s="49">
        <f t="shared" si="6"/>
        <v>0</v>
      </c>
    </row>
    <row r="3643" ht="22.5" customHeight="1">
      <c r="B3643" s="57"/>
      <c r="C3643" s="43" t="str">
        <f t="array" ref="C3643">IF(B3643="","",_xlfn.XLOOKUP(B3643,'Form responses 1'!$B$2:$B$2604,'Form responses 1'!$A$2:$A$2604,""))</f>
        <v/>
      </c>
      <c r="D3643" s="44" t="str">
        <f t="shared" si="3"/>
        <v/>
      </c>
      <c r="E3643" s="44" t="str">
        <f t="array" ref="E3643">IF(B3643="","",_xlfn.XLOOKUP(B3643,'Form responses 1'!$B$2:$B$2604,'Form responses 1'!$C$2:$C$2604,""))</f>
        <v/>
      </c>
      <c r="F3643" s="44" t="str">
        <f t="array" ref="F3643">IF(B3643="","",_xlfn.XLOOKUP(B3643,'Form responses 1'!$B$2:$B$2604,'Form responses 1'!$D$2:$D$2604,""))</f>
        <v/>
      </c>
      <c r="G3643" s="44" t="str">
        <f t="array" ref="G3643">IF(B3643="","",_xlfn.XLOOKUP(B3643,'Form responses 1'!$B$2:$B$2604,'Form responses 1'!$E$2:$E$2604,""))</f>
        <v/>
      </c>
      <c r="H3643" s="44" t="str">
        <f t="array" ref="H3643">IF(B3643="","",_xlfn.XLOOKUP(B3643,'Form responses 1'!$B$2:$B$2604,'Form responses 1'!$F$2:$F$2604,""))</f>
        <v/>
      </c>
      <c r="I3643" s="44" t="str">
        <f t="array" ref="I3643">IF(B3643="","",_xlfn.XLOOKUP(B3643,'Form responses 1'!$B$2:$B$2604,'Form responses 1'!$I$2:$I$2604,""))</f>
        <v/>
      </c>
      <c r="J3643" s="44" t="str">
        <f t="array" ref="J3643">IF(B3643="","",_xlfn.XLOOKUP(B3643,'Form responses 1'!$B$2:$B$2604,'Form responses 1'!$G$2:$G$2604,""))</f>
        <v/>
      </c>
      <c r="K3643" s="56"/>
      <c r="L3643" s="58" t="str">
        <f t="shared" si="7"/>
        <v/>
      </c>
      <c r="M3643" s="49"/>
      <c r="N3643" s="49"/>
      <c r="O3643" s="49"/>
      <c r="P3643" s="49"/>
      <c r="Q3643" s="49"/>
      <c r="R3643" s="49"/>
      <c r="S3643" s="49"/>
      <c r="T3643" s="49"/>
      <c r="U3643" s="49"/>
      <c r="V3643" s="49"/>
      <c r="W3643" s="56"/>
      <c r="X3643" s="51" t="str">
        <f t="shared" si="5"/>
        <v/>
      </c>
      <c r="Y3643" s="50" t="s">
        <v>482</v>
      </c>
      <c r="Z3643" s="49">
        <f t="shared" si="6"/>
        <v>0</v>
      </c>
    </row>
    <row r="3644" ht="22.5" customHeight="1">
      <c r="B3644" s="57"/>
      <c r="C3644" s="43" t="str">
        <f t="array" ref="C3644">IF(B3644="","",_xlfn.XLOOKUP(B3644,'Form responses 1'!$B$2:$B$2604,'Form responses 1'!$A$2:$A$2604,""))</f>
        <v/>
      </c>
      <c r="D3644" s="44" t="str">
        <f t="shared" si="3"/>
        <v/>
      </c>
      <c r="E3644" s="44" t="str">
        <f t="array" ref="E3644">IF(B3644="","",_xlfn.XLOOKUP(B3644,'Form responses 1'!$B$2:$B$2604,'Form responses 1'!$C$2:$C$2604,""))</f>
        <v/>
      </c>
      <c r="F3644" s="44" t="str">
        <f t="array" ref="F3644">IF(B3644="","",_xlfn.XLOOKUP(B3644,'Form responses 1'!$B$2:$B$2604,'Form responses 1'!$D$2:$D$2604,""))</f>
        <v/>
      </c>
      <c r="G3644" s="44" t="str">
        <f t="array" ref="G3644">IF(B3644="","",_xlfn.XLOOKUP(B3644,'Form responses 1'!$B$2:$B$2604,'Form responses 1'!$E$2:$E$2604,""))</f>
        <v/>
      </c>
      <c r="H3644" s="44" t="str">
        <f t="array" ref="H3644">IF(B3644="","",_xlfn.XLOOKUP(B3644,'Form responses 1'!$B$2:$B$2604,'Form responses 1'!$F$2:$F$2604,""))</f>
        <v/>
      </c>
      <c r="I3644" s="44" t="str">
        <f t="array" ref="I3644">IF(B3644="","",_xlfn.XLOOKUP(B3644,'Form responses 1'!$B$2:$B$2604,'Form responses 1'!$I$2:$I$2604,""))</f>
        <v/>
      </c>
      <c r="J3644" s="44" t="str">
        <f t="array" ref="J3644">IF(B3644="","",_xlfn.XLOOKUP(B3644,'Form responses 1'!$B$2:$B$2604,'Form responses 1'!$G$2:$G$2604,""))</f>
        <v/>
      </c>
      <c r="K3644" s="56"/>
      <c r="L3644" s="58" t="str">
        <f t="shared" si="7"/>
        <v/>
      </c>
      <c r="M3644" s="49"/>
      <c r="N3644" s="49"/>
      <c r="O3644" s="49"/>
      <c r="P3644" s="49"/>
      <c r="Q3644" s="49"/>
      <c r="R3644" s="49"/>
      <c r="S3644" s="49"/>
      <c r="T3644" s="49"/>
      <c r="U3644" s="49"/>
      <c r="V3644" s="49"/>
      <c r="W3644" s="56"/>
      <c r="X3644" s="51" t="str">
        <f t="shared" si="5"/>
        <v/>
      </c>
      <c r="Y3644" s="50" t="s">
        <v>482</v>
      </c>
      <c r="Z3644" s="49">
        <f t="shared" si="6"/>
        <v>0</v>
      </c>
    </row>
    <row r="3645" ht="22.5" customHeight="1">
      <c r="B3645" s="57"/>
      <c r="C3645" s="43" t="str">
        <f t="array" ref="C3645">IF(B3645="","",_xlfn.XLOOKUP(B3645,'Form responses 1'!$B$2:$B$2604,'Form responses 1'!$A$2:$A$2604,""))</f>
        <v/>
      </c>
      <c r="D3645" s="44" t="str">
        <f t="shared" si="3"/>
        <v/>
      </c>
      <c r="E3645" s="44" t="str">
        <f t="array" ref="E3645">IF(B3645="","",_xlfn.XLOOKUP(B3645,'Form responses 1'!$B$2:$B$2604,'Form responses 1'!$C$2:$C$2604,""))</f>
        <v/>
      </c>
      <c r="F3645" s="44" t="str">
        <f t="array" ref="F3645">IF(B3645="","",_xlfn.XLOOKUP(B3645,'Form responses 1'!$B$2:$B$2604,'Form responses 1'!$D$2:$D$2604,""))</f>
        <v/>
      </c>
      <c r="G3645" s="44" t="str">
        <f t="array" ref="G3645">IF(B3645="","",_xlfn.XLOOKUP(B3645,'Form responses 1'!$B$2:$B$2604,'Form responses 1'!$E$2:$E$2604,""))</f>
        <v/>
      </c>
      <c r="H3645" s="44" t="str">
        <f t="array" ref="H3645">IF(B3645="","",_xlfn.XLOOKUP(B3645,'Form responses 1'!$B$2:$B$2604,'Form responses 1'!$F$2:$F$2604,""))</f>
        <v/>
      </c>
      <c r="I3645" s="44" t="str">
        <f t="array" ref="I3645">IF(B3645="","",_xlfn.XLOOKUP(B3645,'Form responses 1'!$B$2:$B$2604,'Form responses 1'!$I$2:$I$2604,""))</f>
        <v/>
      </c>
      <c r="J3645" s="44" t="str">
        <f t="array" ref="J3645">IF(B3645="","",_xlfn.XLOOKUP(B3645,'Form responses 1'!$B$2:$B$2604,'Form responses 1'!$G$2:$G$2604,""))</f>
        <v/>
      </c>
      <c r="K3645" s="56"/>
      <c r="L3645" s="58" t="str">
        <f t="shared" si="7"/>
        <v/>
      </c>
      <c r="M3645" s="49"/>
      <c r="N3645" s="49"/>
      <c r="O3645" s="49"/>
      <c r="P3645" s="49"/>
      <c r="Q3645" s="49"/>
      <c r="R3645" s="49"/>
      <c r="S3645" s="49"/>
      <c r="T3645" s="49"/>
      <c r="U3645" s="49"/>
      <c r="V3645" s="49"/>
      <c r="W3645" s="56"/>
      <c r="X3645" s="51" t="str">
        <f t="shared" si="5"/>
        <v/>
      </c>
      <c r="Y3645" s="50" t="s">
        <v>482</v>
      </c>
      <c r="Z3645" s="49">
        <f t="shared" si="6"/>
        <v>0</v>
      </c>
    </row>
    <row r="3646" ht="22.5" customHeight="1">
      <c r="B3646" s="57"/>
      <c r="C3646" s="43" t="str">
        <f t="array" ref="C3646">IF(B3646="","",_xlfn.XLOOKUP(B3646,'Form responses 1'!$B$2:$B$2604,'Form responses 1'!$A$2:$A$2604,""))</f>
        <v/>
      </c>
      <c r="D3646" s="44" t="str">
        <f t="shared" si="3"/>
        <v/>
      </c>
      <c r="E3646" s="44" t="str">
        <f t="array" ref="E3646">IF(B3646="","",_xlfn.XLOOKUP(B3646,'Form responses 1'!$B$2:$B$2604,'Form responses 1'!$C$2:$C$2604,""))</f>
        <v/>
      </c>
      <c r="F3646" s="44" t="str">
        <f t="array" ref="F3646">IF(B3646="","",_xlfn.XLOOKUP(B3646,'Form responses 1'!$B$2:$B$2604,'Form responses 1'!$D$2:$D$2604,""))</f>
        <v/>
      </c>
      <c r="G3646" s="44" t="str">
        <f t="array" ref="G3646">IF(B3646="","",_xlfn.XLOOKUP(B3646,'Form responses 1'!$B$2:$B$2604,'Form responses 1'!$E$2:$E$2604,""))</f>
        <v/>
      </c>
      <c r="H3646" s="44" t="str">
        <f t="array" ref="H3646">IF(B3646="","",_xlfn.XLOOKUP(B3646,'Form responses 1'!$B$2:$B$2604,'Form responses 1'!$F$2:$F$2604,""))</f>
        <v/>
      </c>
      <c r="I3646" s="44" t="str">
        <f t="array" ref="I3646">IF(B3646="","",_xlfn.XLOOKUP(B3646,'Form responses 1'!$B$2:$B$2604,'Form responses 1'!$I$2:$I$2604,""))</f>
        <v/>
      </c>
      <c r="J3646" s="44" t="str">
        <f t="array" ref="J3646">IF(B3646="","",_xlfn.XLOOKUP(B3646,'Form responses 1'!$B$2:$B$2604,'Form responses 1'!$G$2:$G$2604,""))</f>
        <v/>
      </c>
      <c r="K3646" s="56"/>
      <c r="L3646" s="58" t="str">
        <f t="shared" si="7"/>
        <v/>
      </c>
      <c r="M3646" s="49"/>
      <c r="N3646" s="49"/>
      <c r="O3646" s="49"/>
      <c r="P3646" s="49"/>
      <c r="Q3646" s="49"/>
      <c r="R3646" s="49"/>
      <c r="S3646" s="49"/>
      <c r="T3646" s="49"/>
      <c r="U3646" s="49"/>
      <c r="V3646" s="49"/>
      <c r="W3646" s="56"/>
      <c r="X3646" s="51" t="str">
        <f t="shared" si="5"/>
        <v/>
      </c>
      <c r="Y3646" s="50" t="s">
        <v>482</v>
      </c>
      <c r="Z3646" s="49">
        <f t="shared" si="6"/>
        <v>0</v>
      </c>
    </row>
    <row r="3647" ht="22.5" customHeight="1">
      <c r="B3647" s="57"/>
      <c r="C3647" s="43" t="str">
        <f t="array" ref="C3647">IF(B3647="","",_xlfn.XLOOKUP(B3647,'Form responses 1'!$B$2:$B$2604,'Form responses 1'!$A$2:$A$2604,""))</f>
        <v/>
      </c>
      <c r="D3647" s="44" t="str">
        <f t="shared" si="3"/>
        <v/>
      </c>
      <c r="E3647" s="44" t="str">
        <f t="array" ref="E3647">IF(B3647="","",_xlfn.XLOOKUP(B3647,'Form responses 1'!$B$2:$B$2604,'Form responses 1'!$C$2:$C$2604,""))</f>
        <v/>
      </c>
      <c r="F3647" s="44" t="str">
        <f t="array" ref="F3647">IF(B3647="","",_xlfn.XLOOKUP(B3647,'Form responses 1'!$B$2:$B$2604,'Form responses 1'!$D$2:$D$2604,""))</f>
        <v/>
      </c>
      <c r="G3647" s="44" t="str">
        <f t="array" ref="G3647">IF(B3647="","",_xlfn.XLOOKUP(B3647,'Form responses 1'!$B$2:$B$2604,'Form responses 1'!$E$2:$E$2604,""))</f>
        <v/>
      </c>
      <c r="H3647" s="44" t="str">
        <f t="array" ref="H3647">IF(B3647="","",_xlfn.XLOOKUP(B3647,'Form responses 1'!$B$2:$B$2604,'Form responses 1'!$F$2:$F$2604,""))</f>
        <v/>
      </c>
      <c r="I3647" s="44" t="str">
        <f t="array" ref="I3647">IF(B3647="","",_xlfn.XLOOKUP(B3647,'Form responses 1'!$B$2:$B$2604,'Form responses 1'!$I$2:$I$2604,""))</f>
        <v/>
      </c>
      <c r="J3647" s="44" t="str">
        <f t="array" ref="J3647">IF(B3647="","",_xlfn.XLOOKUP(B3647,'Form responses 1'!$B$2:$B$2604,'Form responses 1'!$G$2:$G$2604,""))</f>
        <v/>
      </c>
      <c r="K3647" s="56"/>
      <c r="L3647" s="58" t="str">
        <f t="shared" si="7"/>
        <v/>
      </c>
      <c r="M3647" s="49"/>
      <c r="N3647" s="49"/>
      <c r="O3647" s="49"/>
      <c r="P3647" s="49"/>
      <c r="Q3647" s="49"/>
      <c r="R3647" s="49"/>
      <c r="S3647" s="49"/>
      <c r="T3647" s="49"/>
      <c r="U3647" s="49"/>
      <c r="V3647" s="49"/>
      <c r="W3647" s="56"/>
      <c r="X3647" s="51" t="str">
        <f t="shared" si="5"/>
        <v/>
      </c>
      <c r="Y3647" s="50" t="s">
        <v>482</v>
      </c>
      <c r="Z3647" s="49">
        <f t="shared" si="6"/>
        <v>0</v>
      </c>
    </row>
    <row r="3648" ht="22.5" customHeight="1">
      <c r="B3648" s="57"/>
      <c r="C3648" s="43" t="str">
        <f t="array" ref="C3648">IF(B3648="","",_xlfn.XLOOKUP(B3648,'Form responses 1'!$B$2:$B$2604,'Form responses 1'!$A$2:$A$2604,""))</f>
        <v/>
      </c>
      <c r="D3648" s="44" t="str">
        <f t="shared" si="3"/>
        <v/>
      </c>
      <c r="E3648" s="44" t="str">
        <f t="array" ref="E3648">IF(B3648="","",_xlfn.XLOOKUP(B3648,'Form responses 1'!$B$2:$B$2604,'Form responses 1'!$C$2:$C$2604,""))</f>
        <v/>
      </c>
      <c r="F3648" s="44" t="str">
        <f t="array" ref="F3648">IF(B3648="","",_xlfn.XLOOKUP(B3648,'Form responses 1'!$B$2:$B$2604,'Form responses 1'!$D$2:$D$2604,""))</f>
        <v/>
      </c>
      <c r="G3648" s="44" t="str">
        <f t="array" ref="G3648">IF(B3648="","",_xlfn.XLOOKUP(B3648,'Form responses 1'!$B$2:$B$2604,'Form responses 1'!$E$2:$E$2604,""))</f>
        <v/>
      </c>
      <c r="H3648" s="44" t="str">
        <f t="array" ref="H3648">IF(B3648="","",_xlfn.XLOOKUP(B3648,'Form responses 1'!$B$2:$B$2604,'Form responses 1'!$F$2:$F$2604,""))</f>
        <v/>
      </c>
      <c r="I3648" s="44" t="str">
        <f t="array" ref="I3648">IF(B3648="","",_xlfn.XLOOKUP(B3648,'Form responses 1'!$B$2:$B$2604,'Form responses 1'!$I$2:$I$2604,""))</f>
        <v/>
      </c>
      <c r="J3648" s="44" t="str">
        <f t="array" ref="J3648">IF(B3648="","",_xlfn.XLOOKUP(B3648,'Form responses 1'!$B$2:$B$2604,'Form responses 1'!$G$2:$G$2604,""))</f>
        <v/>
      </c>
      <c r="K3648" s="56"/>
      <c r="L3648" s="58" t="str">
        <f t="shared" si="7"/>
        <v/>
      </c>
      <c r="M3648" s="49"/>
      <c r="N3648" s="49"/>
      <c r="O3648" s="49"/>
      <c r="P3648" s="49"/>
      <c r="Q3648" s="49"/>
      <c r="R3648" s="49"/>
      <c r="S3648" s="49"/>
      <c r="T3648" s="49"/>
      <c r="U3648" s="49"/>
      <c r="V3648" s="49"/>
      <c r="W3648" s="56"/>
      <c r="X3648" s="51" t="str">
        <f t="shared" si="5"/>
        <v/>
      </c>
      <c r="Y3648" s="50" t="s">
        <v>482</v>
      </c>
      <c r="Z3648" s="49">
        <f t="shared" si="6"/>
        <v>0</v>
      </c>
    </row>
    <row r="3649" ht="22.5" customHeight="1">
      <c r="B3649" s="57"/>
      <c r="C3649" s="43" t="str">
        <f t="array" ref="C3649">IF(B3649="","",_xlfn.XLOOKUP(B3649,'Form responses 1'!$B$2:$B$2604,'Form responses 1'!$A$2:$A$2604,""))</f>
        <v/>
      </c>
      <c r="D3649" s="44" t="str">
        <f t="shared" si="3"/>
        <v/>
      </c>
      <c r="E3649" s="44" t="str">
        <f t="array" ref="E3649">IF(B3649="","",_xlfn.XLOOKUP(B3649,'Form responses 1'!$B$2:$B$2604,'Form responses 1'!$C$2:$C$2604,""))</f>
        <v/>
      </c>
      <c r="F3649" s="44" t="str">
        <f t="array" ref="F3649">IF(B3649="","",_xlfn.XLOOKUP(B3649,'Form responses 1'!$B$2:$B$2604,'Form responses 1'!$D$2:$D$2604,""))</f>
        <v/>
      </c>
      <c r="G3649" s="44" t="str">
        <f t="array" ref="G3649">IF(B3649="","",_xlfn.XLOOKUP(B3649,'Form responses 1'!$B$2:$B$2604,'Form responses 1'!$E$2:$E$2604,""))</f>
        <v/>
      </c>
      <c r="H3649" s="44" t="str">
        <f t="array" ref="H3649">IF(B3649="","",_xlfn.XLOOKUP(B3649,'Form responses 1'!$B$2:$B$2604,'Form responses 1'!$F$2:$F$2604,""))</f>
        <v/>
      </c>
      <c r="I3649" s="44" t="str">
        <f t="array" ref="I3649">IF(B3649="","",_xlfn.XLOOKUP(B3649,'Form responses 1'!$B$2:$B$2604,'Form responses 1'!$I$2:$I$2604,""))</f>
        <v/>
      </c>
      <c r="J3649" s="44" t="str">
        <f t="array" ref="J3649">IF(B3649="","",_xlfn.XLOOKUP(B3649,'Form responses 1'!$B$2:$B$2604,'Form responses 1'!$G$2:$G$2604,""))</f>
        <v/>
      </c>
      <c r="K3649" s="56"/>
      <c r="L3649" s="58" t="str">
        <f t="shared" si="7"/>
        <v/>
      </c>
      <c r="M3649" s="49"/>
      <c r="N3649" s="49"/>
      <c r="O3649" s="49"/>
      <c r="P3649" s="49"/>
      <c r="Q3649" s="49"/>
      <c r="R3649" s="49"/>
      <c r="S3649" s="49"/>
      <c r="T3649" s="49"/>
      <c r="U3649" s="49"/>
      <c r="V3649" s="49"/>
      <c r="W3649" s="56"/>
      <c r="X3649" s="51" t="str">
        <f t="shared" si="5"/>
        <v/>
      </c>
      <c r="Y3649" s="50" t="s">
        <v>482</v>
      </c>
      <c r="Z3649" s="49">
        <f t="shared" si="6"/>
        <v>0</v>
      </c>
    </row>
    <row r="3650" ht="22.5" customHeight="1">
      <c r="B3650" s="57"/>
      <c r="C3650" s="43" t="str">
        <f t="array" ref="C3650">IF(B3650="","",_xlfn.XLOOKUP(B3650,'Form responses 1'!$B$2:$B$2604,'Form responses 1'!$A$2:$A$2604,""))</f>
        <v/>
      </c>
      <c r="D3650" s="44" t="str">
        <f t="shared" si="3"/>
        <v/>
      </c>
      <c r="E3650" s="44" t="str">
        <f t="array" ref="E3650">IF(B3650="","",_xlfn.XLOOKUP(B3650,'Form responses 1'!$B$2:$B$2604,'Form responses 1'!$C$2:$C$2604,""))</f>
        <v/>
      </c>
      <c r="F3650" s="44" t="str">
        <f t="array" ref="F3650">IF(B3650="","",_xlfn.XLOOKUP(B3650,'Form responses 1'!$B$2:$B$2604,'Form responses 1'!$D$2:$D$2604,""))</f>
        <v/>
      </c>
      <c r="G3650" s="44" t="str">
        <f t="array" ref="G3650">IF(B3650="","",_xlfn.XLOOKUP(B3650,'Form responses 1'!$B$2:$B$2604,'Form responses 1'!$E$2:$E$2604,""))</f>
        <v/>
      </c>
      <c r="H3650" s="44" t="str">
        <f t="array" ref="H3650">IF(B3650="","",_xlfn.XLOOKUP(B3650,'Form responses 1'!$B$2:$B$2604,'Form responses 1'!$F$2:$F$2604,""))</f>
        <v/>
      </c>
      <c r="I3650" s="44" t="str">
        <f t="array" ref="I3650">IF(B3650="","",_xlfn.XLOOKUP(B3650,'Form responses 1'!$B$2:$B$2604,'Form responses 1'!$I$2:$I$2604,""))</f>
        <v/>
      </c>
      <c r="J3650" s="44" t="str">
        <f t="array" ref="J3650">IF(B3650="","",_xlfn.XLOOKUP(B3650,'Form responses 1'!$B$2:$B$2604,'Form responses 1'!$G$2:$G$2604,""))</f>
        <v/>
      </c>
      <c r="K3650" s="56"/>
      <c r="L3650" s="58" t="str">
        <f t="shared" si="7"/>
        <v/>
      </c>
      <c r="M3650" s="49"/>
      <c r="N3650" s="49"/>
      <c r="O3650" s="49"/>
      <c r="P3650" s="49"/>
      <c r="Q3650" s="49"/>
      <c r="R3650" s="49"/>
      <c r="S3650" s="49"/>
      <c r="T3650" s="49"/>
      <c r="U3650" s="49"/>
      <c r="V3650" s="49"/>
      <c r="W3650" s="56"/>
      <c r="X3650" s="51" t="str">
        <f t="shared" si="5"/>
        <v/>
      </c>
      <c r="Y3650" s="50" t="s">
        <v>482</v>
      </c>
      <c r="Z3650" s="49">
        <f t="shared" si="6"/>
        <v>0</v>
      </c>
    </row>
    <row r="3651" ht="22.5" customHeight="1">
      <c r="B3651" s="57"/>
      <c r="C3651" s="43" t="str">
        <f t="array" ref="C3651">IF(B3651="","",_xlfn.XLOOKUP(B3651,'Form responses 1'!$B$2:$B$2604,'Form responses 1'!$A$2:$A$2604,""))</f>
        <v/>
      </c>
      <c r="D3651" s="44" t="str">
        <f t="shared" si="3"/>
        <v/>
      </c>
      <c r="E3651" s="44" t="str">
        <f t="array" ref="E3651">IF(B3651="","",_xlfn.XLOOKUP(B3651,'Form responses 1'!$B$2:$B$2604,'Form responses 1'!$C$2:$C$2604,""))</f>
        <v/>
      </c>
      <c r="F3651" s="44" t="str">
        <f t="array" ref="F3651">IF(B3651="","",_xlfn.XLOOKUP(B3651,'Form responses 1'!$B$2:$B$2604,'Form responses 1'!$D$2:$D$2604,""))</f>
        <v/>
      </c>
      <c r="G3651" s="44" t="str">
        <f t="array" ref="G3651">IF(B3651="","",_xlfn.XLOOKUP(B3651,'Form responses 1'!$B$2:$B$2604,'Form responses 1'!$E$2:$E$2604,""))</f>
        <v/>
      </c>
      <c r="H3651" s="44" t="str">
        <f t="array" ref="H3651">IF(B3651="","",_xlfn.XLOOKUP(B3651,'Form responses 1'!$B$2:$B$2604,'Form responses 1'!$F$2:$F$2604,""))</f>
        <v/>
      </c>
      <c r="I3651" s="44" t="str">
        <f t="array" ref="I3651">IF(B3651="","",_xlfn.XLOOKUP(B3651,'Form responses 1'!$B$2:$B$2604,'Form responses 1'!$I$2:$I$2604,""))</f>
        <v/>
      </c>
      <c r="J3651" s="44" t="str">
        <f t="array" ref="J3651">IF(B3651="","",_xlfn.XLOOKUP(B3651,'Form responses 1'!$B$2:$B$2604,'Form responses 1'!$G$2:$G$2604,""))</f>
        <v/>
      </c>
      <c r="K3651" s="56"/>
      <c r="L3651" s="58" t="str">
        <f t="shared" si="7"/>
        <v/>
      </c>
      <c r="M3651" s="49"/>
      <c r="N3651" s="49"/>
      <c r="O3651" s="49"/>
      <c r="P3651" s="49"/>
      <c r="Q3651" s="49"/>
      <c r="R3651" s="49"/>
      <c r="S3651" s="49"/>
      <c r="T3651" s="49"/>
      <c r="U3651" s="49"/>
      <c r="V3651" s="49"/>
      <c r="W3651" s="56"/>
      <c r="X3651" s="51" t="str">
        <f t="shared" si="5"/>
        <v/>
      </c>
      <c r="Y3651" s="50" t="s">
        <v>482</v>
      </c>
      <c r="Z3651" s="49">
        <f t="shared" si="6"/>
        <v>0</v>
      </c>
    </row>
    <row r="3652" ht="22.5" customHeight="1">
      <c r="B3652" s="57"/>
      <c r="C3652" s="43" t="str">
        <f t="array" ref="C3652">IF(B3652="","",_xlfn.XLOOKUP(B3652,'Form responses 1'!$B$2:$B$2604,'Form responses 1'!$A$2:$A$2604,""))</f>
        <v/>
      </c>
      <c r="D3652" s="44" t="str">
        <f t="shared" si="3"/>
        <v/>
      </c>
      <c r="E3652" s="44" t="str">
        <f t="array" ref="E3652">IF(B3652="","",_xlfn.XLOOKUP(B3652,'Form responses 1'!$B$2:$B$2604,'Form responses 1'!$C$2:$C$2604,""))</f>
        <v/>
      </c>
      <c r="F3652" s="44" t="str">
        <f t="array" ref="F3652">IF(B3652="","",_xlfn.XLOOKUP(B3652,'Form responses 1'!$B$2:$B$2604,'Form responses 1'!$D$2:$D$2604,""))</f>
        <v/>
      </c>
      <c r="G3652" s="44" t="str">
        <f t="array" ref="G3652">IF(B3652="","",_xlfn.XLOOKUP(B3652,'Form responses 1'!$B$2:$B$2604,'Form responses 1'!$E$2:$E$2604,""))</f>
        <v/>
      </c>
      <c r="H3652" s="44" t="str">
        <f t="array" ref="H3652">IF(B3652="","",_xlfn.XLOOKUP(B3652,'Form responses 1'!$B$2:$B$2604,'Form responses 1'!$F$2:$F$2604,""))</f>
        <v/>
      </c>
      <c r="I3652" s="44" t="str">
        <f t="array" ref="I3652">IF(B3652="","",_xlfn.XLOOKUP(B3652,'Form responses 1'!$B$2:$B$2604,'Form responses 1'!$I$2:$I$2604,""))</f>
        <v/>
      </c>
      <c r="J3652" s="44" t="str">
        <f t="array" ref="J3652">IF(B3652="","",_xlfn.XLOOKUP(B3652,'Form responses 1'!$B$2:$B$2604,'Form responses 1'!$G$2:$G$2604,""))</f>
        <v/>
      </c>
      <c r="K3652" s="56"/>
      <c r="L3652" s="58" t="str">
        <f t="shared" si="7"/>
        <v/>
      </c>
      <c r="M3652" s="49"/>
      <c r="N3652" s="49"/>
      <c r="O3652" s="49"/>
      <c r="P3652" s="49"/>
      <c r="Q3652" s="49"/>
      <c r="R3652" s="49"/>
      <c r="S3652" s="49"/>
      <c r="T3652" s="49"/>
      <c r="U3652" s="49"/>
      <c r="V3652" s="49"/>
      <c r="W3652" s="56"/>
      <c r="X3652" s="51" t="str">
        <f t="shared" si="5"/>
        <v/>
      </c>
      <c r="Y3652" s="50" t="s">
        <v>482</v>
      </c>
      <c r="Z3652" s="49">
        <f t="shared" si="6"/>
        <v>0</v>
      </c>
    </row>
    <row r="3653" ht="22.5" customHeight="1">
      <c r="B3653" s="57"/>
      <c r="C3653" s="43" t="str">
        <f t="array" ref="C3653">IF(B3653="","",_xlfn.XLOOKUP(B3653,'Form responses 1'!$B$2:$B$2604,'Form responses 1'!$A$2:$A$2604,""))</f>
        <v/>
      </c>
      <c r="D3653" s="44" t="str">
        <f t="shared" si="3"/>
        <v/>
      </c>
      <c r="E3653" s="44" t="str">
        <f t="array" ref="E3653">IF(B3653="","",_xlfn.XLOOKUP(B3653,'Form responses 1'!$B$2:$B$2604,'Form responses 1'!$C$2:$C$2604,""))</f>
        <v/>
      </c>
      <c r="F3653" s="44" t="str">
        <f t="array" ref="F3653">IF(B3653="","",_xlfn.XLOOKUP(B3653,'Form responses 1'!$B$2:$B$2604,'Form responses 1'!$D$2:$D$2604,""))</f>
        <v/>
      </c>
      <c r="G3653" s="44" t="str">
        <f t="array" ref="G3653">IF(B3653="","",_xlfn.XLOOKUP(B3653,'Form responses 1'!$B$2:$B$2604,'Form responses 1'!$E$2:$E$2604,""))</f>
        <v/>
      </c>
      <c r="H3653" s="44" t="str">
        <f t="array" ref="H3653">IF(B3653="","",_xlfn.XLOOKUP(B3653,'Form responses 1'!$B$2:$B$2604,'Form responses 1'!$F$2:$F$2604,""))</f>
        <v/>
      </c>
      <c r="I3653" s="44" t="str">
        <f t="array" ref="I3653">IF(B3653="","",_xlfn.XLOOKUP(B3653,'Form responses 1'!$B$2:$B$2604,'Form responses 1'!$I$2:$I$2604,""))</f>
        <v/>
      </c>
      <c r="J3653" s="44" t="str">
        <f t="array" ref="J3653">IF(B3653="","",_xlfn.XLOOKUP(B3653,'Form responses 1'!$B$2:$B$2604,'Form responses 1'!$G$2:$G$2604,""))</f>
        <v/>
      </c>
      <c r="K3653" s="56"/>
      <c r="L3653" s="58" t="str">
        <f t="shared" si="7"/>
        <v/>
      </c>
      <c r="M3653" s="49"/>
      <c r="N3653" s="49"/>
      <c r="O3653" s="49"/>
      <c r="P3653" s="49"/>
      <c r="Q3653" s="49"/>
      <c r="R3653" s="49"/>
      <c r="S3653" s="49"/>
      <c r="T3653" s="49"/>
      <c r="U3653" s="49"/>
      <c r="V3653" s="49"/>
      <c r="W3653" s="56"/>
      <c r="X3653" s="51" t="str">
        <f t="shared" si="5"/>
        <v/>
      </c>
      <c r="Y3653" s="50" t="s">
        <v>482</v>
      </c>
      <c r="Z3653" s="49">
        <f t="shared" si="6"/>
        <v>0</v>
      </c>
    </row>
    <row r="3654" ht="22.5" customHeight="1">
      <c r="B3654" s="57"/>
      <c r="C3654" s="43" t="str">
        <f t="array" ref="C3654">IF(B3654="","",_xlfn.XLOOKUP(B3654,'Form responses 1'!$B$2:$B$2604,'Form responses 1'!$A$2:$A$2604,""))</f>
        <v/>
      </c>
      <c r="D3654" s="44" t="str">
        <f t="shared" si="3"/>
        <v/>
      </c>
      <c r="E3654" s="44" t="str">
        <f t="array" ref="E3654">IF(B3654="","",_xlfn.XLOOKUP(B3654,'Form responses 1'!$B$2:$B$2604,'Form responses 1'!$C$2:$C$2604,""))</f>
        <v/>
      </c>
      <c r="F3654" s="44" t="str">
        <f t="array" ref="F3654">IF(B3654="","",_xlfn.XLOOKUP(B3654,'Form responses 1'!$B$2:$B$2604,'Form responses 1'!$D$2:$D$2604,""))</f>
        <v/>
      </c>
      <c r="G3654" s="44" t="str">
        <f t="array" ref="G3654">IF(B3654="","",_xlfn.XLOOKUP(B3654,'Form responses 1'!$B$2:$B$2604,'Form responses 1'!$E$2:$E$2604,""))</f>
        <v/>
      </c>
      <c r="H3654" s="44" t="str">
        <f t="array" ref="H3654">IF(B3654="","",_xlfn.XLOOKUP(B3654,'Form responses 1'!$B$2:$B$2604,'Form responses 1'!$F$2:$F$2604,""))</f>
        <v/>
      </c>
      <c r="I3654" s="44" t="str">
        <f t="array" ref="I3654">IF(B3654="","",_xlfn.XLOOKUP(B3654,'Form responses 1'!$B$2:$B$2604,'Form responses 1'!$I$2:$I$2604,""))</f>
        <v/>
      </c>
      <c r="J3654" s="44" t="str">
        <f t="array" ref="J3654">IF(B3654="","",_xlfn.XLOOKUP(B3654,'Form responses 1'!$B$2:$B$2604,'Form responses 1'!$G$2:$G$2604,""))</f>
        <v/>
      </c>
      <c r="K3654" s="56"/>
      <c r="L3654" s="58" t="str">
        <f t="shared" si="7"/>
        <v/>
      </c>
      <c r="M3654" s="49"/>
      <c r="N3654" s="49"/>
      <c r="O3654" s="49"/>
      <c r="P3654" s="49"/>
      <c r="Q3654" s="49"/>
      <c r="R3654" s="49"/>
      <c r="S3654" s="49"/>
      <c r="T3654" s="49"/>
      <c r="U3654" s="49"/>
      <c r="V3654" s="49"/>
      <c r="W3654" s="56"/>
      <c r="X3654" s="51" t="str">
        <f t="shared" si="5"/>
        <v/>
      </c>
      <c r="Y3654" s="50" t="s">
        <v>482</v>
      </c>
      <c r="Z3654" s="49">
        <f t="shared" si="6"/>
        <v>0</v>
      </c>
    </row>
    <row r="3655" ht="22.5" customHeight="1">
      <c r="B3655" s="57"/>
      <c r="C3655" s="43" t="str">
        <f t="array" ref="C3655">IF(B3655="","",_xlfn.XLOOKUP(B3655,'Form responses 1'!$B$2:$B$2604,'Form responses 1'!$A$2:$A$2604,""))</f>
        <v/>
      </c>
      <c r="D3655" s="44" t="str">
        <f t="shared" si="3"/>
        <v/>
      </c>
      <c r="E3655" s="44" t="str">
        <f t="array" ref="E3655">IF(B3655="","",_xlfn.XLOOKUP(B3655,'Form responses 1'!$B$2:$B$2604,'Form responses 1'!$C$2:$C$2604,""))</f>
        <v/>
      </c>
      <c r="F3655" s="44" t="str">
        <f t="array" ref="F3655">IF(B3655="","",_xlfn.XLOOKUP(B3655,'Form responses 1'!$B$2:$B$2604,'Form responses 1'!$D$2:$D$2604,""))</f>
        <v/>
      </c>
      <c r="G3655" s="44" t="str">
        <f t="array" ref="G3655">IF(B3655="","",_xlfn.XLOOKUP(B3655,'Form responses 1'!$B$2:$B$2604,'Form responses 1'!$E$2:$E$2604,""))</f>
        <v/>
      </c>
      <c r="H3655" s="44" t="str">
        <f t="array" ref="H3655">IF(B3655="","",_xlfn.XLOOKUP(B3655,'Form responses 1'!$B$2:$B$2604,'Form responses 1'!$F$2:$F$2604,""))</f>
        <v/>
      </c>
      <c r="I3655" s="44" t="str">
        <f t="array" ref="I3655">IF(B3655="","",_xlfn.XLOOKUP(B3655,'Form responses 1'!$B$2:$B$2604,'Form responses 1'!$I$2:$I$2604,""))</f>
        <v/>
      </c>
      <c r="J3655" s="44" t="str">
        <f t="array" ref="J3655">IF(B3655="","",_xlfn.XLOOKUP(B3655,'Form responses 1'!$B$2:$B$2604,'Form responses 1'!$G$2:$G$2604,""))</f>
        <v/>
      </c>
      <c r="K3655" s="56"/>
      <c r="L3655" s="58" t="str">
        <f t="shared" si="7"/>
        <v/>
      </c>
      <c r="M3655" s="49"/>
      <c r="N3655" s="49"/>
      <c r="O3655" s="49"/>
      <c r="P3655" s="49"/>
      <c r="Q3655" s="49"/>
      <c r="R3655" s="49"/>
      <c r="S3655" s="49"/>
      <c r="T3655" s="49"/>
      <c r="U3655" s="49"/>
      <c r="V3655" s="49"/>
      <c r="W3655" s="56"/>
      <c r="X3655" s="51" t="str">
        <f t="shared" si="5"/>
        <v/>
      </c>
      <c r="Y3655" s="50" t="s">
        <v>482</v>
      </c>
      <c r="Z3655" s="49">
        <f t="shared" si="6"/>
        <v>0</v>
      </c>
    </row>
    <row r="3656" ht="22.5" customHeight="1">
      <c r="B3656" s="57"/>
      <c r="C3656" s="43" t="str">
        <f t="array" ref="C3656">IF(B3656="","",_xlfn.XLOOKUP(B3656,'Form responses 1'!$B$2:$B$2604,'Form responses 1'!$A$2:$A$2604,""))</f>
        <v/>
      </c>
      <c r="D3656" s="44" t="str">
        <f t="shared" si="3"/>
        <v/>
      </c>
      <c r="E3656" s="44" t="str">
        <f t="array" ref="E3656">IF(B3656="","",_xlfn.XLOOKUP(B3656,'Form responses 1'!$B$2:$B$2604,'Form responses 1'!$C$2:$C$2604,""))</f>
        <v/>
      </c>
      <c r="F3656" s="44" t="str">
        <f t="array" ref="F3656">IF(B3656="","",_xlfn.XLOOKUP(B3656,'Form responses 1'!$B$2:$B$2604,'Form responses 1'!$D$2:$D$2604,""))</f>
        <v/>
      </c>
      <c r="G3656" s="44" t="str">
        <f t="array" ref="G3656">IF(B3656="","",_xlfn.XLOOKUP(B3656,'Form responses 1'!$B$2:$B$2604,'Form responses 1'!$E$2:$E$2604,""))</f>
        <v/>
      </c>
      <c r="H3656" s="44" t="str">
        <f t="array" ref="H3656">IF(B3656="","",_xlfn.XLOOKUP(B3656,'Form responses 1'!$B$2:$B$2604,'Form responses 1'!$F$2:$F$2604,""))</f>
        <v/>
      </c>
      <c r="I3656" s="44" t="str">
        <f t="array" ref="I3656">IF(B3656="","",_xlfn.XLOOKUP(B3656,'Form responses 1'!$B$2:$B$2604,'Form responses 1'!$I$2:$I$2604,""))</f>
        <v/>
      </c>
      <c r="J3656" s="44" t="str">
        <f t="array" ref="J3656">IF(B3656="","",_xlfn.XLOOKUP(B3656,'Form responses 1'!$B$2:$B$2604,'Form responses 1'!$G$2:$G$2604,""))</f>
        <v/>
      </c>
      <c r="K3656" s="56"/>
      <c r="L3656" s="58" t="str">
        <f t="shared" si="7"/>
        <v/>
      </c>
      <c r="M3656" s="49"/>
      <c r="N3656" s="49"/>
      <c r="O3656" s="49"/>
      <c r="P3656" s="49"/>
      <c r="Q3656" s="49"/>
      <c r="R3656" s="49"/>
      <c r="S3656" s="49"/>
      <c r="T3656" s="49"/>
      <c r="U3656" s="49"/>
      <c r="V3656" s="49"/>
      <c r="W3656" s="56"/>
      <c r="X3656" s="51" t="str">
        <f t="shared" si="5"/>
        <v/>
      </c>
      <c r="Y3656" s="50" t="s">
        <v>482</v>
      </c>
      <c r="Z3656" s="49">
        <f t="shared" si="6"/>
        <v>0</v>
      </c>
    </row>
    <row r="3657" ht="22.5" customHeight="1">
      <c r="B3657" s="57"/>
      <c r="C3657" s="43" t="str">
        <f t="array" ref="C3657">IF(B3657="","",_xlfn.XLOOKUP(B3657,'Form responses 1'!$B$2:$B$2604,'Form responses 1'!$A$2:$A$2604,""))</f>
        <v/>
      </c>
      <c r="D3657" s="44" t="str">
        <f t="shared" si="3"/>
        <v/>
      </c>
      <c r="E3657" s="44" t="str">
        <f t="array" ref="E3657">IF(B3657="","",_xlfn.XLOOKUP(B3657,'Form responses 1'!$B$2:$B$2604,'Form responses 1'!$C$2:$C$2604,""))</f>
        <v/>
      </c>
      <c r="F3657" s="44" t="str">
        <f t="array" ref="F3657">IF(B3657="","",_xlfn.XLOOKUP(B3657,'Form responses 1'!$B$2:$B$2604,'Form responses 1'!$D$2:$D$2604,""))</f>
        <v/>
      </c>
      <c r="G3657" s="44" t="str">
        <f t="array" ref="G3657">IF(B3657="","",_xlfn.XLOOKUP(B3657,'Form responses 1'!$B$2:$B$2604,'Form responses 1'!$E$2:$E$2604,""))</f>
        <v/>
      </c>
      <c r="H3657" s="44" t="str">
        <f t="array" ref="H3657">IF(B3657="","",_xlfn.XLOOKUP(B3657,'Form responses 1'!$B$2:$B$2604,'Form responses 1'!$F$2:$F$2604,""))</f>
        <v/>
      </c>
      <c r="I3657" s="44" t="str">
        <f t="array" ref="I3657">IF(B3657="","",_xlfn.XLOOKUP(B3657,'Form responses 1'!$B$2:$B$2604,'Form responses 1'!$I$2:$I$2604,""))</f>
        <v/>
      </c>
      <c r="J3657" s="44" t="str">
        <f t="array" ref="J3657">IF(B3657="","",_xlfn.XLOOKUP(B3657,'Form responses 1'!$B$2:$B$2604,'Form responses 1'!$G$2:$G$2604,""))</f>
        <v/>
      </c>
      <c r="K3657" s="56"/>
      <c r="L3657" s="58" t="str">
        <f t="shared" si="7"/>
        <v/>
      </c>
      <c r="M3657" s="49"/>
      <c r="N3657" s="49"/>
      <c r="O3657" s="49"/>
      <c r="P3657" s="49"/>
      <c r="Q3657" s="49"/>
      <c r="R3657" s="49"/>
      <c r="S3657" s="49"/>
      <c r="T3657" s="49"/>
      <c r="U3657" s="49"/>
      <c r="V3657" s="49"/>
      <c r="W3657" s="56"/>
      <c r="X3657" s="51" t="str">
        <f t="shared" si="5"/>
        <v/>
      </c>
      <c r="Y3657" s="50" t="s">
        <v>482</v>
      </c>
      <c r="Z3657" s="49">
        <f t="shared" si="6"/>
        <v>0</v>
      </c>
    </row>
    <row r="3658" ht="22.5" customHeight="1">
      <c r="B3658" s="57"/>
      <c r="C3658" s="43" t="str">
        <f t="array" ref="C3658">IF(B3658="","",_xlfn.XLOOKUP(B3658,'Form responses 1'!$B$2:$B$2604,'Form responses 1'!$A$2:$A$2604,""))</f>
        <v/>
      </c>
      <c r="D3658" s="44" t="str">
        <f t="shared" si="3"/>
        <v/>
      </c>
      <c r="E3658" s="44" t="str">
        <f t="array" ref="E3658">IF(B3658="","",_xlfn.XLOOKUP(B3658,'Form responses 1'!$B$2:$B$2604,'Form responses 1'!$C$2:$C$2604,""))</f>
        <v/>
      </c>
      <c r="F3658" s="44" t="str">
        <f t="array" ref="F3658">IF(B3658="","",_xlfn.XLOOKUP(B3658,'Form responses 1'!$B$2:$B$2604,'Form responses 1'!$D$2:$D$2604,""))</f>
        <v/>
      </c>
      <c r="G3658" s="44" t="str">
        <f t="array" ref="G3658">IF(B3658="","",_xlfn.XLOOKUP(B3658,'Form responses 1'!$B$2:$B$2604,'Form responses 1'!$E$2:$E$2604,""))</f>
        <v/>
      </c>
      <c r="H3658" s="44" t="str">
        <f t="array" ref="H3658">IF(B3658="","",_xlfn.XLOOKUP(B3658,'Form responses 1'!$B$2:$B$2604,'Form responses 1'!$F$2:$F$2604,""))</f>
        <v/>
      </c>
      <c r="I3658" s="44" t="str">
        <f t="array" ref="I3658">IF(B3658="","",_xlfn.XLOOKUP(B3658,'Form responses 1'!$B$2:$B$2604,'Form responses 1'!$I$2:$I$2604,""))</f>
        <v/>
      </c>
      <c r="J3658" s="44" t="str">
        <f t="array" ref="J3658">IF(B3658="","",_xlfn.XLOOKUP(B3658,'Form responses 1'!$B$2:$B$2604,'Form responses 1'!$G$2:$G$2604,""))</f>
        <v/>
      </c>
      <c r="K3658" s="56"/>
      <c r="L3658" s="58" t="str">
        <f t="shared" si="7"/>
        <v/>
      </c>
      <c r="M3658" s="49"/>
      <c r="N3658" s="49"/>
      <c r="O3658" s="49"/>
      <c r="P3658" s="49"/>
      <c r="Q3658" s="49"/>
      <c r="R3658" s="49"/>
      <c r="S3658" s="49"/>
      <c r="T3658" s="49"/>
      <c r="U3658" s="49"/>
      <c r="V3658" s="49"/>
      <c r="W3658" s="56"/>
      <c r="X3658" s="51" t="str">
        <f t="shared" si="5"/>
        <v/>
      </c>
      <c r="Y3658" s="50" t="s">
        <v>482</v>
      </c>
      <c r="Z3658" s="49">
        <f t="shared" si="6"/>
        <v>0</v>
      </c>
    </row>
    <row r="3659" ht="22.5" customHeight="1">
      <c r="B3659" s="57"/>
      <c r="C3659" s="43" t="str">
        <f t="array" ref="C3659">IF(B3659="","",_xlfn.XLOOKUP(B3659,'Form responses 1'!$B$2:$B$2604,'Form responses 1'!$A$2:$A$2604,""))</f>
        <v/>
      </c>
      <c r="D3659" s="44" t="str">
        <f t="shared" si="3"/>
        <v/>
      </c>
      <c r="E3659" s="44" t="str">
        <f t="array" ref="E3659">IF(B3659="","",_xlfn.XLOOKUP(B3659,'Form responses 1'!$B$2:$B$2604,'Form responses 1'!$C$2:$C$2604,""))</f>
        <v/>
      </c>
      <c r="F3659" s="44" t="str">
        <f t="array" ref="F3659">IF(B3659="","",_xlfn.XLOOKUP(B3659,'Form responses 1'!$B$2:$B$2604,'Form responses 1'!$D$2:$D$2604,""))</f>
        <v/>
      </c>
      <c r="G3659" s="44" t="str">
        <f t="array" ref="G3659">IF(B3659="","",_xlfn.XLOOKUP(B3659,'Form responses 1'!$B$2:$B$2604,'Form responses 1'!$E$2:$E$2604,""))</f>
        <v/>
      </c>
      <c r="H3659" s="44" t="str">
        <f t="array" ref="H3659">IF(B3659="","",_xlfn.XLOOKUP(B3659,'Form responses 1'!$B$2:$B$2604,'Form responses 1'!$F$2:$F$2604,""))</f>
        <v/>
      </c>
      <c r="I3659" s="44" t="str">
        <f t="array" ref="I3659">IF(B3659="","",_xlfn.XLOOKUP(B3659,'Form responses 1'!$B$2:$B$2604,'Form responses 1'!$I$2:$I$2604,""))</f>
        <v/>
      </c>
      <c r="J3659" s="44" t="str">
        <f t="array" ref="J3659">IF(B3659="","",_xlfn.XLOOKUP(B3659,'Form responses 1'!$B$2:$B$2604,'Form responses 1'!$G$2:$G$2604,""))</f>
        <v/>
      </c>
      <c r="K3659" s="56"/>
      <c r="L3659" s="58" t="str">
        <f t="shared" si="7"/>
        <v/>
      </c>
      <c r="M3659" s="49"/>
      <c r="N3659" s="49"/>
      <c r="O3659" s="49"/>
      <c r="P3659" s="49"/>
      <c r="Q3659" s="49"/>
      <c r="R3659" s="49"/>
      <c r="S3659" s="49"/>
      <c r="T3659" s="49"/>
      <c r="U3659" s="49"/>
      <c r="V3659" s="49"/>
      <c r="W3659" s="56"/>
      <c r="X3659" s="51" t="str">
        <f t="shared" si="5"/>
        <v/>
      </c>
      <c r="Y3659" s="50" t="s">
        <v>482</v>
      </c>
      <c r="Z3659" s="49">
        <f t="shared" si="6"/>
        <v>0</v>
      </c>
    </row>
    <row r="3660" ht="22.5" customHeight="1">
      <c r="B3660" s="57"/>
      <c r="C3660" s="43" t="str">
        <f t="array" ref="C3660">IF(B3660="","",_xlfn.XLOOKUP(B3660,'Form responses 1'!$B$2:$B$2604,'Form responses 1'!$A$2:$A$2604,""))</f>
        <v/>
      </c>
      <c r="D3660" s="44" t="str">
        <f t="shared" si="3"/>
        <v/>
      </c>
      <c r="E3660" s="44" t="str">
        <f t="array" ref="E3660">IF(B3660="","",_xlfn.XLOOKUP(B3660,'Form responses 1'!$B$2:$B$2604,'Form responses 1'!$C$2:$C$2604,""))</f>
        <v/>
      </c>
      <c r="F3660" s="44" t="str">
        <f t="array" ref="F3660">IF(B3660="","",_xlfn.XLOOKUP(B3660,'Form responses 1'!$B$2:$B$2604,'Form responses 1'!$D$2:$D$2604,""))</f>
        <v/>
      </c>
      <c r="G3660" s="44" t="str">
        <f t="array" ref="G3660">IF(B3660="","",_xlfn.XLOOKUP(B3660,'Form responses 1'!$B$2:$B$2604,'Form responses 1'!$E$2:$E$2604,""))</f>
        <v/>
      </c>
      <c r="H3660" s="44" t="str">
        <f t="array" ref="H3660">IF(B3660="","",_xlfn.XLOOKUP(B3660,'Form responses 1'!$B$2:$B$2604,'Form responses 1'!$F$2:$F$2604,""))</f>
        <v/>
      </c>
      <c r="I3660" s="44" t="str">
        <f t="array" ref="I3660">IF(B3660="","",_xlfn.XLOOKUP(B3660,'Form responses 1'!$B$2:$B$2604,'Form responses 1'!$I$2:$I$2604,""))</f>
        <v/>
      </c>
      <c r="J3660" s="44" t="str">
        <f t="array" ref="J3660">IF(B3660="","",_xlfn.XLOOKUP(B3660,'Form responses 1'!$B$2:$B$2604,'Form responses 1'!$G$2:$G$2604,""))</f>
        <v/>
      </c>
      <c r="K3660" s="56"/>
      <c r="L3660" s="58" t="str">
        <f t="shared" si="7"/>
        <v/>
      </c>
      <c r="M3660" s="49"/>
      <c r="N3660" s="49"/>
      <c r="O3660" s="49"/>
      <c r="P3660" s="49"/>
      <c r="Q3660" s="49"/>
      <c r="R3660" s="49"/>
      <c r="S3660" s="49"/>
      <c r="T3660" s="49"/>
      <c r="U3660" s="49"/>
      <c r="V3660" s="49"/>
      <c r="W3660" s="56"/>
      <c r="X3660" s="51" t="str">
        <f t="shared" si="5"/>
        <v/>
      </c>
      <c r="Y3660" s="50" t="s">
        <v>482</v>
      </c>
      <c r="Z3660" s="49">
        <f t="shared" si="6"/>
        <v>0</v>
      </c>
    </row>
    <row r="3661" ht="22.5" customHeight="1">
      <c r="B3661" s="57"/>
      <c r="C3661" s="43" t="str">
        <f t="array" ref="C3661">IF(B3661="","",_xlfn.XLOOKUP(B3661,'Form responses 1'!$B$2:$B$2604,'Form responses 1'!$A$2:$A$2604,""))</f>
        <v/>
      </c>
      <c r="D3661" s="44" t="str">
        <f t="shared" si="3"/>
        <v/>
      </c>
      <c r="E3661" s="44" t="str">
        <f t="array" ref="E3661">IF(B3661="","",_xlfn.XLOOKUP(B3661,'Form responses 1'!$B$2:$B$2604,'Form responses 1'!$C$2:$C$2604,""))</f>
        <v/>
      </c>
      <c r="F3661" s="44" t="str">
        <f t="array" ref="F3661">IF(B3661="","",_xlfn.XLOOKUP(B3661,'Form responses 1'!$B$2:$B$2604,'Form responses 1'!$D$2:$D$2604,""))</f>
        <v/>
      </c>
      <c r="G3661" s="44" t="str">
        <f t="array" ref="G3661">IF(B3661="","",_xlfn.XLOOKUP(B3661,'Form responses 1'!$B$2:$B$2604,'Form responses 1'!$E$2:$E$2604,""))</f>
        <v/>
      </c>
      <c r="H3661" s="44" t="str">
        <f t="array" ref="H3661">IF(B3661="","",_xlfn.XLOOKUP(B3661,'Form responses 1'!$B$2:$B$2604,'Form responses 1'!$F$2:$F$2604,""))</f>
        <v/>
      </c>
      <c r="I3661" s="44" t="str">
        <f t="array" ref="I3661">IF(B3661="","",_xlfn.XLOOKUP(B3661,'Form responses 1'!$B$2:$B$2604,'Form responses 1'!$I$2:$I$2604,""))</f>
        <v/>
      </c>
      <c r="J3661" s="44" t="str">
        <f t="array" ref="J3661">IF(B3661="","",_xlfn.XLOOKUP(B3661,'Form responses 1'!$B$2:$B$2604,'Form responses 1'!$G$2:$G$2604,""))</f>
        <v/>
      </c>
      <c r="K3661" s="56"/>
      <c r="L3661" s="58" t="str">
        <f t="shared" si="7"/>
        <v/>
      </c>
      <c r="M3661" s="49"/>
      <c r="N3661" s="49"/>
      <c r="O3661" s="49"/>
      <c r="P3661" s="49"/>
      <c r="Q3661" s="49"/>
      <c r="R3661" s="49"/>
      <c r="S3661" s="49"/>
      <c r="T3661" s="49"/>
      <c r="U3661" s="49"/>
      <c r="V3661" s="49"/>
      <c r="W3661" s="56"/>
      <c r="X3661" s="51" t="str">
        <f t="shared" si="5"/>
        <v/>
      </c>
      <c r="Y3661" s="50" t="s">
        <v>482</v>
      </c>
      <c r="Z3661" s="49">
        <f t="shared" si="6"/>
        <v>0</v>
      </c>
    </row>
    <row r="3662" ht="22.5" customHeight="1">
      <c r="B3662" s="57"/>
      <c r="C3662" s="43" t="str">
        <f t="array" ref="C3662">IF(B3662="","",_xlfn.XLOOKUP(B3662,'Form responses 1'!$B$2:$B$2604,'Form responses 1'!$A$2:$A$2604,""))</f>
        <v/>
      </c>
      <c r="D3662" s="44" t="str">
        <f t="shared" si="3"/>
        <v/>
      </c>
      <c r="E3662" s="44" t="str">
        <f t="array" ref="E3662">IF(B3662="","",_xlfn.XLOOKUP(B3662,'Form responses 1'!$B$2:$B$2604,'Form responses 1'!$C$2:$C$2604,""))</f>
        <v/>
      </c>
      <c r="F3662" s="44" t="str">
        <f t="array" ref="F3662">IF(B3662="","",_xlfn.XLOOKUP(B3662,'Form responses 1'!$B$2:$B$2604,'Form responses 1'!$D$2:$D$2604,""))</f>
        <v/>
      </c>
      <c r="G3662" s="44" t="str">
        <f t="array" ref="G3662">IF(B3662="","",_xlfn.XLOOKUP(B3662,'Form responses 1'!$B$2:$B$2604,'Form responses 1'!$E$2:$E$2604,""))</f>
        <v/>
      </c>
      <c r="H3662" s="44" t="str">
        <f t="array" ref="H3662">IF(B3662="","",_xlfn.XLOOKUP(B3662,'Form responses 1'!$B$2:$B$2604,'Form responses 1'!$F$2:$F$2604,""))</f>
        <v/>
      </c>
      <c r="I3662" s="44" t="str">
        <f t="array" ref="I3662">IF(B3662="","",_xlfn.XLOOKUP(B3662,'Form responses 1'!$B$2:$B$2604,'Form responses 1'!$I$2:$I$2604,""))</f>
        <v/>
      </c>
      <c r="J3662" s="44" t="str">
        <f t="array" ref="J3662">IF(B3662="","",_xlfn.XLOOKUP(B3662,'Form responses 1'!$B$2:$B$2604,'Form responses 1'!$G$2:$G$2604,""))</f>
        <v/>
      </c>
      <c r="K3662" s="56"/>
      <c r="L3662" s="58" t="str">
        <f t="shared" si="7"/>
        <v/>
      </c>
      <c r="M3662" s="49"/>
      <c r="N3662" s="49"/>
      <c r="O3662" s="49"/>
      <c r="P3662" s="49"/>
      <c r="Q3662" s="49"/>
      <c r="R3662" s="49"/>
      <c r="S3662" s="49"/>
      <c r="T3662" s="49"/>
      <c r="U3662" s="49"/>
      <c r="V3662" s="49"/>
      <c r="W3662" s="56"/>
      <c r="X3662" s="51" t="str">
        <f t="shared" si="5"/>
        <v/>
      </c>
      <c r="Y3662" s="50" t="s">
        <v>482</v>
      </c>
      <c r="Z3662" s="49">
        <f t="shared" si="6"/>
        <v>0</v>
      </c>
    </row>
    <row r="3663" ht="22.5" customHeight="1">
      <c r="B3663" s="57"/>
      <c r="C3663" s="43" t="str">
        <f t="array" ref="C3663">IF(B3663="","",_xlfn.XLOOKUP(B3663,'Form responses 1'!$B$2:$B$2604,'Form responses 1'!$A$2:$A$2604,""))</f>
        <v/>
      </c>
      <c r="D3663" s="44" t="str">
        <f t="shared" si="3"/>
        <v/>
      </c>
      <c r="E3663" s="44" t="str">
        <f t="array" ref="E3663">IF(B3663="","",_xlfn.XLOOKUP(B3663,'Form responses 1'!$B$2:$B$2604,'Form responses 1'!$C$2:$C$2604,""))</f>
        <v/>
      </c>
      <c r="F3663" s="44" t="str">
        <f t="array" ref="F3663">IF(B3663="","",_xlfn.XLOOKUP(B3663,'Form responses 1'!$B$2:$B$2604,'Form responses 1'!$D$2:$D$2604,""))</f>
        <v/>
      </c>
      <c r="G3663" s="44" t="str">
        <f t="array" ref="G3663">IF(B3663="","",_xlfn.XLOOKUP(B3663,'Form responses 1'!$B$2:$B$2604,'Form responses 1'!$E$2:$E$2604,""))</f>
        <v/>
      </c>
      <c r="H3663" s="44" t="str">
        <f t="array" ref="H3663">IF(B3663="","",_xlfn.XLOOKUP(B3663,'Form responses 1'!$B$2:$B$2604,'Form responses 1'!$F$2:$F$2604,""))</f>
        <v/>
      </c>
      <c r="I3663" s="44" t="str">
        <f t="array" ref="I3663">IF(B3663="","",_xlfn.XLOOKUP(B3663,'Form responses 1'!$B$2:$B$2604,'Form responses 1'!$I$2:$I$2604,""))</f>
        <v/>
      </c>
      <c r="J3663" s="44" t="str">
        <f t="array" ref="J3663">IF(B3663="","",_xlfn.XLOOKUP(B3663,'Form responses 1'!$B$2:$B$2604,'Form responses 1'!$G$2:$G$2604,""))</f>
        <v/>
      </c>
      <c r="K3663" s="56"/>
      <c r="L3663" s="58" t="str">
        <f t="shared" si="7"/>
        <v/>
      </c>
      <c r="M3663" s="49"/>
      <c r="N3663" s="49"/>
      <c r="O3663" s="49"/>
      <c r="P3663" s="49"/>
      <c r="Q3663" s="49"/>
      <c r="R3663" s="49"/>
      <c r="S3663" s="49"/>
      <c r="T3663" s="49"/>
      <c r="U3663" s="49"/>
      <c r="V3663" s="49"/>
      <c r="W3663" s="56"/>
      <c r="X3663" s="51" t="str">
        <f t="shared" si="5"/>
        <v/>
      </c>
      <c r="Y3663" s="50" t="s">
        <v>482</v>
      </c>
      <c r="Z3663" s="49">
        <f t="shared" si="6"/>
        <v>0</v>
      </c>
    </row>
    <row r="3664" ht="22.5" customHeight="1">
      <c r="B3664" s="57"/>
      <c r="C3664" s="43" t="str">
        <f t="array" ref="C3664">IF(B3664="","",_xlfn.XLOOKUP(B3664,'Form responses 1'!$B$2:$B$2604,'Form responses 1'!$A$2:$A$2604,""))</f>
        <v/>
      </c>
      <c r="D3664" s="44" t="str">
        <f t="shared" si="3"/>
        <v/>
      </c>
      <c r="E3664" s="44" t="str">
        <f t="array" ref="E3664">IF(B3664="","",_xlfn.XLOOKUP(B3664,'Form responses 1'!$B$2:$B$2604,'Form responses 1'!$C$2:$C$2604,""))</f>
        <v/>
      </c>
      <c r="F3664" s="44" t="str">
        <f t="array" ref="F3664">IF(B3664="","",_xlfn.XLOOKUP(B3664,'Form responses 1'!$B$2:$B$2604,'Form responses 1'!$D$2:$D$2604,""))</f>
        <v/>
      </c>
      <c r="G3664" s="44" t="str">
        <f t="array" ref="G3664">IF(B3664="","",_xlfn.XLOOKUP(B3664,'Form responses 1'!$B$2:$B$2604,'Form responses 1'!$E$2:$E$2604,""))</f>
        <v/>
      </c>
      <c r="H3664" s="44" t="str">
        <f t="array" ref="H3664">IF(B3664="","",_xlfn.XLOOKUP(B3664,'Form responses 1'!$B$2:$B$2604,'Form responses 1'!$F$2:$F$2604,""))</f>
        <v/>
      </c>
      <c r="I3664" s="44" t="str">
        <f t="array" ref="I3664">IF(B3664="","",_xlfn.XLOOKUP(B3664,'Form responses 1'!$B$2:$B$2604,'Form responses 1'!$I$2:$I$2604,""))</f>
        <v/>
      </c>
      <c r="J3664" s="44" t="str">
        <f t="array" ref="J3664">IF(B3664="","",_xlfn.XLOOKUP(B3664,'Form responses 1'!$B$2:$B$2604,'Form responses 1'!$G$2:$G$2604,""))</f>
        <v/>
      </c>
      <c r="K3664" s="56"/>
      <c r="L3664" s="58" t="str">
        <f t="shared" si="7"/>
        <v/>
      </c>
      <c r="M3664" s="49"/>
      <c r="N3664" s="49"/>
      <c r="O3664" s="49"/>
      <c r="P3664" s="49"/>
      <c r="Q3664" s="49"/>
      <c r="R3664" s="49"/>
      <c r="S3664" s="49"/>
      <c r="T3664" s="49"/>
      <c r="U3664" s="49"/>
      <c r="V3664" s="49"/>
      <c r="W3664" s="56"/>
      <c r="X3664" s="51" t="str">
        <f t="shared" si="5"/>
        <v/>
      </c>
      <c r="Y3664" s="50" t="s">
        <v>482</v>
      </c>
      <c r="Z3664" s="49">
        <f t="shared" si="6"/>
        <v>0</v>
      </c>
    </row>
    <row r="3665" ht="22.5" customHeight="1">
      <c r="B3665" s="57"/>
      <c r="C3665" s="43" t="str">
        <f t="array" ref="C3665">IF(B3665="","",_xlfn.XLOOKUP(B3665,'Form responses 1'!$B$2:$B$2604,'Form responses 1'!$A$2:$A$2604,""))</f>
        <v/>
      </c>
      <c r="D3665" s="44" t="str">
        <f t="shared" si="3"/>
        <v/>
      </c>
      <c r="E3665" s="44" t="str">
        <f t="array" ref="E3665">IF(B3665="","",_xlfn.XLOOKUP(B3665,'Form responses 1'!$B$2:$B$2604,'Form responses 1'!$C$2:$C$2604,""))</f>
        <v/>
      </c>
      <c r="F3665" s="44" t="str">
        <f t="array" ref="F3665">IF(B3665="","",_xlfn.XLOOKUP(B3665,'Form responses 1'!$B$2:$B$2604,'Form responses 1'!$D$2:$D$2604,""))</f>
        <v/>
      </c>
      <c r="G3665" s="44" t="str">
        <f t="array" ref="G3665">IF(B3665="","",_xlfn.XLOOKUP(B3665,'Form responses 1'!$B$2:$B$2604,'Form responses 1'!$E$2:$E$2604,""))</f>
        <v/>
      </c>
      <c r="H3665" s="44" t="str">
        <f t="array" ref="H3665">IF(B3665="","",_xlfn.XLOOKUP(B3665,'Form responses 1'!$B$2:$B$2604,'Form responses 1'!$F$2:$F$2604,""))</f>
        <v/>
      </c>
      <c r="I3665" s="44" t="str">
        <f t="array" ref="I3665">IF(B3665="","",_xlfn.XLOOKUP(B3665,'Form responses 1'!$B$2:$B$2604,'Form responses 1'!$I$2:$I$2604,""))</f>
        <v/>
      </c>
      <c r="J3665" s="44" t="str">
        <f t="array" ref="J3665">IF(B3665="","",_xlfn.XLOOKUP(B3665,'Form responses 1'!$B$2:$B$2604,'Form responses 1'!$G$2:$G$2604,""))</f>
        <v/>
      </c>
      <c r="K3665" s="56"/>
      <c r="L3665" s="58" t="str">
        <f t="shared" si="7"/>
        <v/>
      </c>
      <c r="M3665" s="49"/>
      <c r="N3665" s="49"/>
      <c r="O3665" s="49"/>
      <c r="P3665" s="49"/>
      <c r="Q3665" s="49"/>
      <c r="R3665" s="49"/>
      <c r="S3665" s="49"/>
      <c r="T3665" s="49"/>
      <c r="U3665" s="49"/>
      <c r="V3665" s="49"/>
      <c r="W3665" s="56"/>
      <c r="X3665" s="51" t="str">
        <f t="shared" si="5"/>
        <v/>
      </c>
      <c r="Y3665" s="50" t="s">
        <v>482</v>
      </c>
      <c r="Z3665" s="49">
        <f t="shared" si="6"/>
        <v>0</v>
      </c>
    </row>
    <row r="3666" ht="22.5" customHeight="1">
      <c r="B3666" s="57"/>
      <c r="C3666" s="43" t="str">
        <f t="array" ref="C3666">IF(B3666="","",_xlfn.XLOOKUP(B3666,'Form responses 1'!$B$2:$B$2604,'Form responses 1'!$A$2:$A$2604,""))</f>
        <v/>
      </c>
      <c r="D3666" s="44" t="str">
        <f t="shared" si="3"/>
        <v/>
      </c>
      <c r="E3666" s="44" t="str">
        <f t="array" ref="E3666">IF(B3666="","",_xlfn.XLOOKUP(B3666,'Form responses 1'!$B$2:$B$2604,'Form responses 1'!$C$2:$C$2604,""))</f>
        <v/>
      </c>
      <c r="F3666" s="44" t="str">
        <f t="array" ref="F3666">IF(B3666="","",_xlfn.XLOOKUP(B3666,'Form responses 1'!$B$2:$B$2604,'Form responses 1'!$D$2:$D$2604,""))</f>
        <v/>
      </c>
      <c r="G3666" s="44" t="str">
        <f t="array" ref="G3666">IF(B3666="","",_xlfn.XLOOKUP(B3666,'Form responses 1'!$B$2:$B$2604,'Form responses 1'!$E$2:$E$2604,""))</f>
        <v/>
      </c>
      <c r="H3666" s="44" t="str">
        <f t="array" ref="H3666">IF(B3666="","",_xlfn.XLOOKUP(B3666,'Form responses 1'!$B$2:$B$2604,'Form responses 1'!$F$2:$F$2604,""))</f>
        <v/>
      </c>
      <c r="I3666" s="44" t="str">
        <f t="array" ref="I3666">IF(B3666="","",_xlfn.XLOOKUP(B3666,'Form responses 1'!$B$2:$B$2604,'Form responses 1'!$I$2:$I$2604,""))</f>
        <v/>
      </c>
      <c r="J3666" s="44" t="str">
        <f t="array" ref="J3666">IF(B3666="","",_xlfn.XLOOKUP(B3666,'Form responses 1'!$B$2:$B$2604,'Form responses 1'!$G$2:$G$2604,""))</f>
        <v/>
      </c>
      <c r="K3666" s="56"/>
      <c r="L3666" s="58" t="str">
        <f t="shared" si="7"/>
        <v/>
      </c>
      <c r="M3666" s="49"/>
      <c r="N3666" s="49"/>
      <c r="O3666" s="49"/>
      <c r="P3666" s="49"/>
      <c r="Q3666" s="49"/>
      <c r="R3666" s="49"/>
      <c r="S3666" s="49"/>
      <c r="T3666" s="49"/>
      <c r="U3666" s="49"/>
      <c r="V3666" s="49"/>
      <c r="W3666" s="56"/>
      <c r="X3666" s="51" t="str">
        <f t="shared" si="5"/>
        <v/>
      </c>
      <c r="Y3666" s="50" t="s">
        <v>482</v>
      </c>
      <c r="Z3666" s="49">
        <f t="shared" si="6"/>
        <v>0</v>
      </c>
    </row>
    <row r="3667" ht="22.5" customHeight="1">
      <c r="B3667" s="57"/>
      <c r="C3667" s="43" t="str">
        <f t="array" ref="C3667">IF(B3667="","",_xlfn.XLOOKUP(B3667,'Form responses 1'!$B$2:$B$2604,'Form responses 1'!$A$2:$A$2604,""))</f>
        <v/>
      </c>
      <c r="D3667" s="44" t="str">
        <f t="shared" si="3"/>
        <v/>
      </c>
      <c r="E3667" s="44" t="str">
        <f t="array" ref="E3667">IF(B3667="","",_xlfn.XLOOKUP(B3667,'Form responses 1'!$B$2:$B$2604,'Form responses 1'!$C$2:$C$2604,""))</f>
        <v/>
      </c>
      <c r="F3667" s="44" t="str">
        <f t="array" ref="F3667">IF(B3667="","",_xlfn.XLOOKUP(B3667,'Form responses 1'!$B$2:$B$2604,'Form responses 1'!$D$2:$D$2604,""))</f>
        <v/>
      </c>
      <c r="G3667" s="44" t="str">
        <f t="array" ref="G3667">IF(B3667="","",_xlfn.XLOOKUP(B3667,'Form responses 1'!$B$2:$B$2604,'Form responses 1'!$E$2:$E$2604,""))</f>
        <v/>
      </c>
      <c r="H3667" s="44" t="str">
        <f t="array" ref="H3667">IF(B3667="","",_xlfn.XLOOKUP(B3667,'Form responses 1'!$B$2:$B$2604,'Form responses 1'!$F$2:$F$2604,""))</f>
        <v/>
      </c>
      <c r="I3667" s="44" t="str">
        <f t="array" ref="I3667">IF(B3667="","",_xlfn.XLOOKUP(B3667,'Form responses 1'!$B$2:$B$2604,'Form responses 1'!$I$2:$I$2604,""))</f>
        <v/>
      </c>
      <c r="J3667" s="44" t="str">
        <f t="array" ref="J3667">IF(B3667="","",_xlfn.XLOOKUP(B3667,'Form responses 1'!$B$2:$B$2604,'Form responses 1'!$G$2:$G$2604,""))</f>
        <v/>
      </c>
      <c r="K3667" s="56"/>
      <c r="L3667" s="58" t="str">
        <f t="shared" si="7"/>
        <v/>
      </c>
      <c r="M3667" s="49"/>
      <c r="N3667" s="49"/>
      <c r="O3667" s="49"/>
      <c r="P3667" s="49"/>
      <c r="Q3667" s="49"/>
      <c r="R3667" s="49"/>
      <c r="S3667" s="49"/>
      <c r="T3667" s="49"/>
      <c r="U3667" s="49"/>
      <c r="V3667" s="49"/>
      <c r="W3667" s="56"/>
      <c r="X3667" s="51" t="str">
        <f t="shared" si="5"/>
        <v/>
      </c>
      <c r="Y3667" s="50" t="s">
        <v>482</v>
      </c>
      <c r="Z3667" s="49">
        <f t="shared" si="6"/>
        <v>0</v>
      </c>
    </row>
    <row r="3668" ht="22.5" customHeight="1">
      <c r="B3668" s="57"/>
      <c r="C3668" s="43" t="str">
        <f t="array" ref="C3668">IF(B3668="","",_xlfn.XLOOKUP(B3668,'Form responses 1'!$B$2:$B$2604,'Form responses 1'!$A$2:$A$2604,""))</f>
        <v/>
      </c>
      <c r="D3668" s="44" t="str">
        <f t="shared" si="3"/>
        <v/>
      </c>
      <c r="E3668" s="44" t="str">
        <f t="array" ref="E3668">IF(B3668="","",_xlfn.XLOOKUP(B3668,'Form responses 1'!$B$2:$B$2604,'Form responses 1'!$C$2:$C$2604,""))</f>
        <v/>
      </c>
      <c r="F3668" s="44" t="str">
        <f t="array" ref="F3668">IF(B3668="","",_xlfn.XLOOKUP(B3668,'Form responses 1'!$B$2:$B$2604,'Form responses 1'!$D$2:$D$2604,""))</f>
        <v/>
      </c>
      <c r="G3668" s="44" t="str">
        <f t="array" ref="G3668">IF(B3668="","",_xlfn.XLOOKUP(B3668,'Form responses 1'!$B$2:$B$2604,'Form responses 1'!$E$2:$E$2604,""))</f>
        <v/>
      </c>
      <c r="H3668" s="44" t="str">
        <f t="array" ref="H3668">IF(B3668="","",_xlfn.XLOOKUP(B3668,'Form responses 1'!$B$2:$B$2604,'Form responses 1'!$F$2:$F$2604,""))</f>
        <v/>
      </c>
      <c r="I3668" s="44" t="str">
        <f t="array" ref="I3668">IF(B3668="","",_xlfn.XLOOKUP(B3668,'Form responses 1'!$B$2:$B$2604,'Form responses 1'!$I$2:$I$2604,""))</f>
        <v/>
      </c>
      <c r="J3668" s="44" t="str">
        <f t="array" ref="J3668">IF(B3668="","",_xlfn.XLOOKUP(B3668,'Form responses 1'!$B$2:$B$2604,'Form responses 1'!$G$2:$G$2604,""))</f>
        <v/>
      </c>
      <c r="K3668" s="56"/>
      <c r="L3668" s="58" t="str">
        <f t="shared" si="7"/>
        <v/>
      </c>
      <c r="M3668" s="49"/>
      <c r="N3668" s="49"/>
      <c r="O3668" s="49"/>
      <c r="P3668" s="49"/>
      <c r="Q3668" s="49"/>
      <c r="R3668" s="49"/>
      <c r="S3668" s="49"/>
      <c r="T3668" s="49"/>
      <c r="U3668" s="49"/>
      <c r="V3668" s="49"/>
      <c r="W3668" s="56"/>
      <c r="X3668" s="51" t="str">
        <f t="shared" si="5"/>
        <v/>
      </c>
      <c r="Y3668" s="50" t="s">
        <v>482</v>
      </c>
      <c r="Z3668" s="49">
        <f t="shared" si="6"/>
        <v>0</v>
      </c>
    </row>
    <row r="3669" ht="22.5" customHeight="1">
      <c r="B3669" s="57"/>
      <c r="C3669" s="43" t="str">
        <f t="array" ref="C3669">IF(B3669="","",_xlfn.XLOOKUP(B3669,'Form responses 1'!$B$2:$B$2604,'Form responses 1'!$A$2:$A$2604,""))</f>
        <v/>
      </c>
      <c r="D3669" s="44" t="str">
        <f t="shared" si="3"/>
        <v/>
      </c>
      <c r="E3669" s="44" t="str">
        <f t="array" ref="E3669">IF(B3669="","",_xlfn.XLOOKUP(B3669,'Form responses 1'!$B$2:$B$2604,'Form responses 1'!$C$2:$C$2604,""))</f>
        <v/>
      </c>
      <c r="F3669" s="44" t="str">
        <f t="array" ref="F3669">IF(B3669="","",_xlfn.XLOOKUP(B3669,'Form responses 1'!$B$2:$B$2604,'Form responses 1'!$D$2:$D$2604,""))</f>
        <v/>
      </c>
      <c r="G3669" s="44" t="str">
        <f t="array" ref="G3669">IF(B3669="","",_xlfn.XLOOKUP(B3669,'Form responses 1'!$B$2:$B$2604,'Form responses 1'!$E$2:$E$2604,""))</f>
        <v/>
      </c>
      <c r="H3669" s="44" t="str">
        <f t="array" ref="H3669">IF(B3669="","",_xlfn.XLOOKUP(B3669,'Form responses 1'!$B$2:$B$2604,'Form responses 1'!$F$2:$F$2604,""))</f>
        <v/>
      </c>
      <c r="I3669" s="44" t="str">
        <f t="array" ref="I3669">IF(B3669="","",_xlfn.XLOOKUP(B3669,'Form responses 1'!$B$2:$B$2604,'Form responses 1'!$I$2:$I$2604,""))</f>
        <v/>
      </c>
      <c r="J3669" s="44" t="str">
        <f t="array" ref="J3669">IF(B3669="","",_xlfn.XLOOKUP(B3669,'Form responses 1'!$B$2:$B$2604,'Form responses 1'!$G$2:$G$2604,""))</f>
        <v/>
      </c>
      <c r="K3669" s="56"/>
      <c r="L3669" s="58" t="str">
        <f t="shared" si="7"/>
        <v/>
      </c>
      <c r="M3669" s="49"/>
      <c r="N3669" s="49"/>
      <c r="O3669" s="49"/>
      <c r="P3669" s="49"/>
      <c r="Q3669" s="49"/>
      <c r="R3669" s="49"/>
      <c r="S3669" s="49"/>
      <c r="T3669" s="49"/>
      <c r="U3669" s="49"/>
      <c r="V3669" s="49"/>
      <c r="W3669" s="56"/>
      <c r="X3669" s="51" t="str">
        <f t="shared" si="5"/>
        <v/>
      </c>
      <c r="Y3669" s="50" t="s">
        <v>482</v>
      </c>
      <c r="Z3669" s="49">
        <f t="shared" si="6"/>
        <v>0</v>
      </c>
    </row>
    <row r="3670" ht="22.5" customHeight="1">
      <c r="B3670" s="57"/>
      <c r="C3670" s="43" t="str">
        <f t="array" ref="C3670">IF(B3670="","",_xlfn.XLOOKUP(B3670,'Form responses 1'!$B$2:$B$2604,'Form responses 1'!$A$2:$A$2604,""))</f>
        <v/>
      </c>
      <c r="D3670" s="44" t="str">
        <f t="shared" si="3"/>
        <v/>
      </c>
      <c r="E3670" s="44" t="str">
        <f t="array" ref="E3670">IF(B3670="","",_xlfn.XLOOKUP(B3670,'Form responses 1'!$B$2:$B$2604,'Form responses 1'!$C$2:$C$2604,""))</f>
        <v/>
      </c>
      <c r="F3670" s="44" t="str">
        <f t="array" ref="F3670">IF(B3670="","",_xlfn.XLOOKUP(B3670,'Form responses 1'!$B$2:$B$2604,'Form responses 1'!$D$2:$D$2604,""))</f>
        <v/>
      </c>
      <c r="G3670" s="44" t="str">
        <f t="array" ref="G3670">IF(B3670="","",_xlfn.XLOOKUP(B3670,'Form responses 1'!$B$2:$B$2604,'Form responses 1'!$E$2:$E$2604,""))</f>
        <v/>
      </c>
      <c r="H3670" s="44" t="str">
        <f t="array" ref="H3670">IF(B3670="","",_xlfn.XLOOKUP(B3670,'Form responses 1'!$B$2:$B$2604,'Form responses 1'!$F$2:$F$2604,""))</f>
        <v/>
      </c>
      <c r="I3670" s="44" t="str">
        <f t="array" ref="I3670">IF(B3670="","",_xlfn.XLOOKUP(B3670,'Form responses 1'!$B$2:$B$2604,'Form responses 1'!$I$2:$I$2604,""))</f>
        <v/>
      </c>
      <c r="J3670" s="44" t="str">
        <f t="array" ref="J3670">IF(B3670="","",_xlfn.XLOOKUP(B3670,'Form responses 1'!$B$2:$B$2604,'Form responses 1'!$G$2:$G$2604,""))</f>
        <v/>
      </c>
      <c r="K3670" s="56"/>
      <c r="L3670" s="58" t="str">
        <f t="shared" si="7"/>
        <v/>
      </c>
      <c r="M3670" s="49"/>
      <c r="N3670" s="49"/>
      <c r="O3670" s="49"/>
      <c r="P3670" s="49"/>
      <c r="Q3670" s="49"/>
      <c r="R3670" s="49"/>
      <c r="S3670" s="49"/>
      <c r="T3670" s="49"/>
      <c r="U3670" s="49"/>
      <c r="V3670" s="49"/>
      <c r="W3670" s="56"/>
      <c r="X3670" s="51" t="str">
        <f t="shared" si="5"/>
        <v/>
      </c>
      <c r="Y3670" s="50" t="s">
        <v>482</v>
      </c>
      <c r="Z3670" s="49">
        <f t="shared" si="6"/>
        <v>0</v>
      </c>
    </row>
    <row r="3671" ht="22.5" customHeight="1">
      <c r="B3671" s="57"/>
      <c r="C3671" s="43" t="str">
        <f t="array" ref="C3671">IF(B3671="","",_xlfn.XLOOKUP(B3671,'Form responses 1'!$B$2:$B$2604,'Form responses 1'!$A$2:$A$2604,""))</f>
        <v/>
      </c>
      <c r="D3671" s="44" t="str">
        <f t="shared" si="3"/>
        <v/>
      </c>
      <c r="E3671" s="44" t="str">
        <f t="array" ref="E3671">IF(B3671="","",_xlfn.XLOOKUP(B3671,'Form responses 1'!$B$2:$B$2604,'Form responses 1'!$C$2:$C$2604,""))</f>
        <v/>
      </c>
      <c r="F3671" s="44" t="str">
        <f t="array" ref="F3671">IF(B3671="","",_xlfn.XLOOKUP(B3671,'Form responses 1'!$B$2:$B$2604,'Form responses 1'!$D$2:$D$2604,""))</f>
        <v/>
      </c>
      <c r="G3671" s="44" t="str">
        <f t="array" ref="G3671">IF(B3671="","",_xlfn.XLOOKUP(B3671,'Form responses 1'!$B$2:$B$2604,'Form responses 1'!$E$2:$E$2604,""))</f>
        <v/>
      </c>
      <c r="H3671" s="44" t="str">
        <f t="array" ref="H3671">IF(B3671="","",_xlfn.XLOOKUP(B3671,'Form responses 1'!$B$2:$B$2604,'Form responses 1'!$F$2:$F$2604,""))</f>
        <v/>
      </c>
      <c r="I3671" s="44" t="str">
        <f t="array" ref="I3671">IF(B3671="","",_xlfn.XLOOKUP(B3671,'Form responses 1'!$B$2:$B$2604,'Form responses 1'!$I$2:$I$2604,""))</f>
        <v/>
      </c>
      <c r="J3671" s="44" t="str">
        <f t="array" ref="J3671">IF(B3671="","",_xlfn.XLOOKUP(B3671,'Form responses 1'!$B$2:$B$2604,'Form responses 1'!$G$2:$G$2604,""))</f>
        <v/>
      </c>
      <c r="K3671" s="56"/>
      <c r="L3671" s="58" t="str">
        <f t="shared" si="7"/>
        <v/>
      </c>
      <c r="M3671" s="49"/>
      <c r="N3671" s="49"/>
      <c r="O3671" s="49"/>
      <c r="P3671" s="49"/>
      <c r="Q3671" s="49"/>
      <c r="R3671" s="49"/>
      <c r="S3671" s="49"/>
      <c r="T3671" s="49"/>
      <c r="U3671" s="49"/>
      <c r="V3671" s="49"/>
      <c r="W3671" s="56"/>
      <c r="X3671" s="51" t="str">
        <f t="shared" si="5"/>
        <v/>
      </c>
      <c r="Y3671" s="50" t="s">
        <v>482</v>
      </c>
      <c r="Z3671" s="49">
        <f t="shared" si="6"/>
        <v>0</v>
      </c>
    </row>
    <row r="3672" ht="22.5" customHeight="1">
      <c r="B3672" s="57"/>
      <c r="C3672" s="43" t="str">
        <f t="array" ref="C3672">IF(B3672="","",_xlfn.XLOOKUP(B3672,'Form responses 1'!$B$2:$B$2604,'Form responses 1'!$A$2:$A$2604,""))</f>
        <v/>
      </c>
      <c r="D3672" s="44" t="str">
        <f t="shared" si="3"/>
        <v/>
      </c>
      <c r="E3672" s="44" t="str">
        <f t="array" ref="E3672">IF(B3672="","",_xlfn.XLOOKUP(B3672,'Form responses 1'!$B$2:$B$2604,'Form responses 1'!$C$2:$C$2604,""))</f>
        <v/>
      </c>
      <c r="F3672" s="44" t="str">
        <f t="array" ref="F3672">IF(B3672="","",_xlfn.XLOOKUP(B3672,'Form responses 1'!$B$2:$B$2604,'Form responses 1'!$D$2:$D$2604,""))</f>
        <v/>
      </c>
      <c r="G3672" s="44" t="str">
        <f t="array" ref="G3672">IF(B3672="","",_xlfn.XLOOKUP(B3672,'Form responses 1'!$B$2:$B$2604,'Form responses 1'!$E$2:$E$2604,""))</f>
        <v/>
      </c>
      <c r="H3672" s="44" t="str">
        <f t="array" ref="H3672">IF(B3672="","",_xlfn.XLOOKUP(B3672,'Form responses 1'!$B$2:$B$2604,'Form responses 1'!$F$2:$F$2604,""))</f>
        <v/>
      </c>
      <c r="I3672" s="44" t="str">
        <f t="array" ref="I3672">IF(B3672="","",_xlfn.XLOOKUP(B3672,'Form responses 1'!$B$2:$B$2604,'Form responses 1'!$I$2:$I$2604,""))</f>
        <v/>
      </c>
      <c r="J3672" s="44" t="str">
        <f t="array" ref="J3672">IF(B3672="","",_xlfn.XLOOKUP(B3672,'Form responses 1'!$B$2:$B$2604,'Form responses 1'!$G$2:$G$2604,""))</f>
        <v/>
      </c>
      <c r="K3672" s="56"/>
      <c r="L3672" s="58" t="str">
        <f t="shared" si="7"/>
        <v/>
      </c>
      <c r="M3672" s="49"/>
      <c r="N3672" s="49"/>
      <c r="O3672" s="49"/>
      <c r="P3672" s="49"/>
      <c r="Q3672" s="49"/>
      <c r="R3672" s="49"/>
      <c r="S3672" s="49"/>
      <c r="T3672" s="49"/>
      <c r="U3672" s="49"/>
      <c r="V3672" s="49"/>
      <c r="W3672" s="56"/>
      <c r="X3672" s="51" t="str">
        <f t="shared" si="5"/>
        <v/>
      </c>
      <c r="Y3672" s="50" t="s">
        <v>482</v>
      </c>
      <c r="Z3672" s="49">
        <f t="shared" si="6"/>
        <v>0</v>
      </c>
    </row>
    <row r="3673" ht="22.5" customHeight="1">
      <c r="B3673" s="57"/>
      <c r="C3673" s="43" t="str">
        <f t="array" ref="C3673">IF(B3673="","",_xlfn.XLOOKUP(B3673,'Form responses 1'!$B$2:$B$2604,'Form responses 1'!$A$2:$A$2604,""))</f>
        <v/>
      </c>
      <c r="D3673" s="44" t="str">
        <f t="shared" si="3"/>
        <v/>
      </c>
      <c r="E3673" s="44" t="str">
        <f t="array" ref="E3673">IF(B3673="","",_xlfn.XLOOKUP(B3673,'Form responses 1'!$B$2:$B$2604,'Form responses 1'!$C$2:$C$2604,""))</f>
        <v/>
      </c>
      <c r="F3673" s="44" t="str">
        <f t="array" ref="F3673">IF(B3673="","",_xlfn.XLOOKUP(B3673,'Form responses 1'!$B$2:$B$2604,'Form responses 1'!$D$2:$D$2604,""))</f>
        <v/>
      </c>
      <c r="G3673" s="44" t="str">
        <f t="array" ref="G3673">IF(B3673="","",_xlfn.XLOOKUP(B3673,'Form responses 1'!$B$2:$B$2604,'Form responses 1'!$E$2:$E$2604,""))</f>
        <v/>
      </c>
      <c r="H3673" s="44" t="str">
        <f t="array" ref="H3673">IF(B3673="","",_xlfn.XLOOKUP(B3673,'Form responses 1'!$B$2:$B$2604,'Form responses 1'!$F$2:$F$2604,""))</f>
        <v/>
      </c>
      <c r="I3673" s="44" t="str">
        <f t="array" ref="I3673">IF(B3673="","",_xlfn.XLOOKUP(B3673,'Form responses 1'!$B$2:$B$2604,'Form responses 1'!$I$2:$I$2604,""))</f>
        <v/>
      </c>
      <c r="J3673" s="44" t="str">
        <f t="array" ref="J3673">IF(B3673="","",_xlfn.XLOOKUP(B3673,'Form responses 1'!$B$2:$B$2604,'Form responses 1'!$G$2:$G$2604,""))</f>
        <v/>
      </c>
      <c r="K3673" s="56"/>
      <c r="L3673" s="58" t="str">
        <f t="shared" si="7"/>
        <v/>
      </c>
      <c r="M3673" s="49"/>
      <c r="N3673" s="49"/>
      <c r="O3673" s="49"/>
      <c r="P3673" s="49"/>
      <c r="Q3673" s="49"/>
      <c r="R3673" s="49"/>
      <c r="S3673" s="49"/>
      <c r="T3673" s="49"/>
      <c r="U3673" s="49"/>
      <c r="V3673" s="49"/>
      <c r="W3673" s="56"/>
      <c r="X3673" s="51" t="str">
        <f t="shared" si="5"/>
        <v/>
      </c>
      <c r="Y3673" s="50" t="s">
        <v>482</v>
      </c>
      <c r="Z3673" s="49">
        <f t="shared" si="6"/>
        <v>0</v>
      </c>
    </row>
    <row r="3674" ht="22.5" customHeight="1">
      <c r="B3674" s="57"/>
      <c r="C3674" s="43" t="str">
        <f t="array" ref="C3674">IF(B3674="","",_xlfn.XLOOKUP(B3674,'Form responses 1'!$B$2:$B$2604,'Form responses 1'!$A$2:$A$2604,""))</f>
        <v/>
      </c>
      <c r="D3674" s="44" t="str">
        <f t="shared" si="3"/>
        <v/>
      </c>
      <c r="E3674" s="44" t="str">
        <f t="array" ref="E3674">IF(B3674="","",_xlfn.XLOOKUP(B3674,'Form responses 1'!$B$2:$B$2604,'Form responses 1'!$C$2:$C$2604,""))</f>
        <v/>
      </c>
      <c r="F3674" s="44" t="str">
        <f t="array" ref="F3674">IF(B3674="","",_xlfn.XLOOKUP(B3674,'Form responses 1'!$B$2:$B$2604,'Form responses 1'!$D$2:$D$2604,""))</f>
        <v/>
      </c>
      <c r="G3674" s="44" t="str">
        <f t="array" ref="G3674">IF(B3674="","",_xlfn.XLOOKUP(B3674,'Form responses 1'!$B$2:$B$2604,'Form responses 1'!$E$2:$E$2604,""))</f>
        <v/>
      </c>
      <c r="H3674" s="44" t="str">
        <f t="array" ref="H3674">IF(B3674="","",_xlfn.XLOOKUP(B3674,'Form responses 1'!$B$2:$B$2604,'Form responses 1'!$F$2:$F$2604,""))</f>
        <v/>
      </c>
      <c r="I3674" s="44" t="str">
        <f t="array" ref="I3674">IF(B3674="","",_xlfn.XLOOKUP(B3674,'Form responses 1'!$B$2:$B$2604,'Form responses 1'!$I$2:$I$2604,""))</f>
        <v/>
      </c>
      <c r="J3674" s="44" t="str">
        <f t="array" ref="J3674">IF(B3674="","",_xlfn.XLOOKUP(B3674,'Form responses 1'!$B$2:$B$2604,'Form responses 1'!$G$2:$G$2604,""))</f>
        <v/>
      </c>
      <c r="K3674" s="56"/>
      <c r="L3674" s="58" t="str">
        <f t="shared" si="7"/>
        <v/>
      </c>
      <c r="M3674" s="49"/>
      <c r="N3674" s="49"/>
      <c r="O3674" s="49"/>
      <c r="P3674" s="49"/>
      <c r="Q3674" s="49"/>
      <c r="R3674" s="49"/>
      <c r="S3674" s="49"/>
      <c r="T3674" s="49"/>
      <c r="U3674" s="49"/>
      <c r="V3674" s="49"/>
      <c r="W3674" s="56"/>
      <c r="X3674" s="51" t="str">
        <f t="shared" si="5"/>
        <v/>
      </c>
      <c r="Y3674" s="50" t="s">
        <v>482</v>
      </c>
      <c r="Z3674" s="49">
        <f t="shared" si="6"/>
        <v>0</v>
      </c>
    </row>
    <row r="3675" ht="22.5" customHeight="1">
      <c r="B3675" s="57"/>
      <c r="C3675" s="43" t="str">
        <f t="array" ref="C3675">IF(B3675="","",_xlfn.XLOOKUP(B3675,'Form responses 1'!$B$2:$B$2604,'Form responses 1'!$A$2:$A$2604,""))</f>
        <v/>
      </c>
      <c r="D3675" s="44" t="str">
        <f t="shared" si="3"/>
        <v/>
      </c>
      <c r="E3675" s="44" t="str">
        <f t="array" ref="E3675">IF(B3675="","",_xlfn.XLOOKUP(B3675,'Form responses 1'!$B$2:$B$2604,'Form responses 1'!$C$2:$C$2604,""))</f>
        <v/>
      </c>
      <c r="F3675" s="44" t="str">
        <f t="array" ref="F3675">IF(B3675="","",_xlfn.XLOOKUP(B3675,'Form responses 1'!$B$2:$B$2604,'Form responses 1'!$D$2:$D$2604,""))</f>
        <v/>
      </c>
      <c r="G3675" s="44" t="str">
        <f t="array" ref="G3675">IF(B3675="","",_xlfn.XLOOKUP(B3675,'Form responses 1'!$B$2:$B$2604,'Form responses 1'!$E$2:$E$2604,""))</f>
        <v/>
      </c>
      <c r="H3675" s="44" t="str">
        <f t="array" ref="H3675">IF(B3675="","",_xlfn.XLOOKUP(B3675,'Form responses 1'!$B$2:$B$2604,'Form responses 1'!$F$2:$F$2604,""))</f>
        <v/>
      </c>
      <c r="I3675" s="44" t="str">
        <f t="array" ref="I3675">IF(B3675="","",_xlfn.XLOOKUP(B3675,'Form responses 1'!$B$2:$B$2604,'Form responses 1'!$I$2:$I$2604,""))</f>
        <v/>
      </c>
      <c r="J3675" s="44" t="str">
        <f t="array" ref="J3675">IF(B3675="","",_xlfn.XLOOKUP(B3675,'Form responses 1'!$B$2:$B$2604,'Form responses 1'!$G$2:$G$2604,""))</f>
        <v/>
      </c>
      <c r="K3675" s="56"/>
      <c r="L3675" s="58" t="str">
        <f t="shared" si="7"/>
        <v/>
      </c>
      <c r="M3675" s="49"/>
      <c r="N3675" s="49"/>
      <c r="O3675" s="49"/>
      <c r="P3675" s="49"/>
      <c r="Q3675" s="49"/>
      <c r="R3675" s="49"/>
      <c r="S3675" s="49"/>
      <c r="T3675" s="49"/>
      <c r="U3675" s="49"/>
      <c r="V3675" s="49"/>
      <c r="W3675" s="56"/>
      <c r="X3675" s="51" t="str">
        <f t="shared" si="5"/>
        <v/>
      </c>
      <c r="Y3675" s="50" t="s">
        <v>482</v>
      </c>
      <c r="Z3675" s="49">
        <f t="shared" si="6"/>
        <v>0</v>
      </c>
    </row>
    <row r="3676" ht="22.5" customHeight="1">
      <c r="B3676" s="57"/>
      <c r="C3676" s="43" t="str">
        <f t="array" ref="C3676">IF(B3676="","",_xlfn.XLOOKUP(B3676,'Form responses 1'!$B$2:$B$2604,'Form responses 1'!$A$2:$A$2604,""))</f>
        <v/>
      </c>
      <c r="D3676" s="44" t="str">
        <f t="shared" si="3"/>
        <v/>
      </c>
      <c r="E3676" s="44" t="str">
        <f t="array" ref="E3676">IF(B3676="","",_xlfn.XLOOKUP(B3676,'Form responses 1'!$B$2:$B$2604,'Form responses 1'!$C$2:$C$2604,""))</f>
        <v/>
      </c>
      <c r="F3676" s="44" t="str">
        <f t="array" ref="F3676">IF(B3676="","",_xlfn.XLOOKUP(B3676,'Form responses 1'!$B$2:$B$2604,'Form responses 1'!$D$2:$D$2604,""))</f>
        <v/>
      </c>
      <c r="G3676" s="44" t="str">
        <f t="array" ref="G3676">IF(B3676="","",_xlfn.XLOOKUP(B3676,'Form responses 1'!$B$2:$B$2604,'Form responses 1'!$E$2:$E$2604,""))</f>
        <v/>
      </c>
      <c r="H3676" s="44" t="str">
        <f t="array" ref="H3676">IF(B3676="","",_xlfn.XLOOKUP(B3676,'Form responses 1'!$B$2:$B$2604,'Form responses 1'!$F$2:$F$2604,""))</f>
        <v/>
      </c>
      <c r="I3676" s="44" t="str">
        <f t="array" ref="I3676">IF(B3676="","",_xlfn.XLOOKUP(B3676,'Form responses 1'!$B$2:$B$2604,'Form responses 1'!$I$2:$I$2604,""))</f>
        <v/>
      </c>
      <c r="J3676" s="44" t="str">
        <f t="array" ref="J3676">IF(B3676="","",_xlfn.XLOOKUP(B3676,'Form responses 1'!$B$2:$B$2604,'Form responses 1'!$G$2:$G$2604,""))</f>
        <v/>
      </c>
      <c r="K3676" s="56"/>
      <c r="L3676" s="58" t="str">
        <f t="shared" si="7"/>
        <v/>
      </c>
      <c r="M3676" s="49"/>
      <c r="N3676" s="49"/>
      <c r="O3676" s="49"/>
      <c r="P3676" s="49"/>
      <c r="Q3676" s="49"/>
      <c r="R3676" s="49"/>
      <c r="S3676" s="49"/>
      <c r="T3676" s="49"/>
      <c r="U3676" s="49"/>
      <c r="V3676" s="49"/>
      <c r="W3676" s="56"/>
      <c r="X3676" s="51" t="str">
        <f t="shared" si="5"/>
        <v/>
      </c>
      <c r="Y3676" s="50" t="s">
        <v>482</v>
      </c>
      <c r="Z3676" s="49">
        <f t="shared" si="6"/>
        <v>0</v>
      </c>
    </row>
    <row r="3677" ht="22.5" customHeight="1">
      <c r="B3677" s="57"/>
      <c r="C3677" s="43" t="str">
        <f t="array" ref="C3677">IF(B3677="","",_xlfn.XLOOKUP(B3677,'Form responses 1'!$B$2:$B$2604,'Form responses 1'!$A$2:$A$2604,""))</f>
        <v/>
      </c>
      <c r="D3677" s="44" t="str">
        <f t="shared" si="3"/>
        <v/>
      </c>
      <c r="E3677" s="44" t="str">
        <f t="array" ref="E3677">IF(B3677="","",_xlfn.XLOOKUP(B3677,'Form responses 1'!$B$2:$B$2604,'Form responses 1'!$C$2:$C$2604,""))</f>
        <v/>
      </c>
      <c r="F3677" s="44" t="str">
        <f t="array" ref="F3677">IF(B3677="","",_xlfn.XLOOKUP(B3677,'Form responses 1'!$B$2:$B$2604,'Form responses 1'!$D$2:$D$2604,""))</f>
        <v/>
      </c>
      <c r="G3677" s="44" t="str">
        <f t="array" ref="G3677">IF(B3677="","",_xlfn.XLOOKUP(B3677,'Form responses 1'!$B$2:$B$2604,'Form responses 1'!$E$2:$E$2604,""))</f>
        <v/>
      </c>
      <c r="H3677" s="44" t="str">
        <f t="array" ref="H3677">IF(B3677="","",_xlfn.XLOOKUP(B3677,'Form responses 1'!$B$2:$B$2604,'Form responses 1'!$F$2:$F$2604,""))</f>
        <v/>
      </c>
      <c r="I3677" s="44" t="str">
        <f t="array" ref="I3677">IF(B3677="","",_xlfn.XLOOKUP(B3677,'Form responses 1'!$B$2:$B$2604,'Form responses 1'!$I$2:$I$2604,""))</f>
        <v/>
      </c>
      <c r="J3677" s="44" t="str">
        <f t="array" ref="J3677">IF(B3677="","",_xlfn.XLOOKUP(B3677,'Form responses 1'!$B$2:$B$2604,'Form responses 1'!$G$2:$G$2604,""))</f>
        <v/>
      </c>
      <c r="K3677" s="56"/>
      <c r="L3677" s="58" t="str">
        <f t="shared" si="7"/>
        <v/>
      </c>
      <c r="M3677" s="49"/>
      <c r="N3677" s="49"/>
      <c r="O3677" s="49"/>
      <c r="P3677" s="49"/>
      <c r="Q3677" s="49"/>
      <c r="R3677" s="49"/>
      <c r="S3677" s="49"/>
      <c r="T3677" s="49"/>
      <c r="U3677" s="49"/>
      <c r="V3677" s="49"/>
      <c r="W3677" s="56"/>
      <c r="X3677" s="51" t="str">
        <f t="shared" si="5"/>
        <v/>
      </c>
      <c r="Y3677" s="50" t="s">
        <v>482</v>
      </c>
      <c r="Z3677" s="49">
        <f t="shared" si="6"/>
        <v>0</v>
      </c>
    </row>
    <row r="3678" ht="22.5" customHeight="1">
      <c r="B3678" s="57"/>
      <c r="C3678" s="43" t="str">
        <f t="array" ref="C3678">IF(B3678="","",_xlfn.XLOOKUP(B3678,'Form responses 1'!$B$2:$B$2604,'Form responses 1'!$A$2:$A$2604,""))</f>
        <v/>
      </c>
      <c r="D3678" s="44" t="str">
        <f t="shared" si="3"/>
        <v/>
      </c>
      <c r="E3678" s="44" t="str">
        <f t="array" ref="E3678">IF(B3678="","",_xlfn.XLOOKUP(B3678,'Form responses 1'!$B$2:$B$2604,'Form responses 1'!$C$2:$C$2604,""))</f>
        <v/>
      </c>
      <c r="F3678" s="44" t="str">
        <f t="array" ref="F3678">IF(B3678="","",_xlfn.XLOOKUP(B3678,'Form responses 1'!$B$2:$B$2604,'Form responses 1'!$D$2:$D$2604,""))</f>
        <v/>
      </c>
      <c r="G3678" s="44" t="str">
        <f t="array" ref="G3678">IF(B3678="","",_xlfn.XLOOKUP(B3678,'Form responses 1'!$B$2:$B$2604,'Form responses 1'!$E$2:$E$2604,""))</f>
        <v/>
      </c>
      <c r="H3678" s="44" t="str">
        <f t="array" ref="H3678">IF(B3678="","",_xlfn.XLOOKUP(B3678,'Form responses 1'!$B$2:$B$2604,'Form responses 1'!$F$2:$F$2604,""))</f>
        <v/>
      </c>
      <c r="I3678" s="44" t="str">
        <f t="array" ref="I3678">IF(B3678="","",_xlfn.XLOOKUP(B3678,'Form responses 1'!$B$2:$B$2604,'Form responses 1'!$I$2:$I$2604,""))</f>
        <v/>
      </c>
      <c r="J3678" s="44" t="str">
        <f t="array" ref="J3678">IF(B3678="","",_xlfn.XLOOKUP(B3678,'Form responses 1'!$B$2:$B$2604,'Form responses 1'!$G$2:$G$2604,""))</f>
        <v/>
      </c>
      <c r="K3678" s="56"/>
      <c r="L3678" s="58" t="str">
        <f t="shared" si="7"/>
        <v/>
      </c>
      <c r="M3678" s="49"/>
      <c r="N3678" s="49"/>
      <c r="O3678" s="49"/>
      <c r="P3678" s="49"/>
      <c r="Q3678" s="49"/>
      <c r="R3678" s="49"/>
      <c r="S3678" s="49"/>
      <c r="T3678" s="49"/>
      <c r="U3678" s="49"/>
      <c r="V3678" s="49"/>
      <c r="W3678" s="56"/>
      <c r="X3678" s="51" t="str">
        <f t="shared" si="5"/>
        <v/>
      </c>
      <c r="Y3678" s="50" t="s">
        <v>482</v>
      </c>
      <c r="Z3678" s="49">
        <f t="shared" si="6"/>
        <v>0</v>
      </c>
    </row>
    <row r="3679" ht="22.5" customHeight="1">
      <c r="B3679" s="57"/>
      <c r="C3679" s="43" t="str">
        <f t="array" ref="C3679">IF(B3679="","",_xlfn.XLOOKUP(B3679,'Form responses 1'!$B$2:$B$2604,'Form responses 1'!$A$2:$A$2604,""))</f>
        <v/>
      </c>
      <c r="D3679" s="44" t="str">
        <f t="shared" si="3"/>
        <v/>
      </c>
      <c r="E3679" s="44" t="str">
        <f t="array" ref="E3679">IF(B3679="","",_xlfn.XLOOKUP(B3679,'Form responses 1'!$B$2:$B$2604,'Form responses 1'!$C$2:$C$2604,""))</f>
        <v/>
      </c>
      <c r="F3679" s="44" t="str">
        <f t="array" ref="F3679">IF(B3679="","",_xlfn.XLOOKUP(B3679,'Form responses 1'!$B$2:$B$2604,'Form responses 1'!$D$2:$D$2604,""))</f>
        <v/>
      </c>
      <c r="G3679" s="44" t="str">
        <f t="array" ref="G3679">IF(B3679="","",_xlfn.XLOOKUP(B3679,'Form responses 1'!$B$2:$B$2604,'Form responses 1'!$E$2:$E$2604,""))</f>
        <v/>
      </c>
      <c r="H3679" s="44" t="str">
        <f t="array" ref="H3679">IF(B3679="","",_xlfn.XLOOKUP(B3679,'Form responses 1'!$B$2:$B$2604,'Form responses 1'!$F$2:$F$2604,""))</f>
        <v/>
      </c>
      <c r="I3679" s="44" t="str">
        <f t="array" ref="I3679">IF(B3679="","",_xlfn.XLOOKUP(B3679,'Form responses 1'!$B$2:$B$2604,'Form responses 1'!$I$2:$I$2604,""))</f>
        <v/>
      </c>
      <c r="J3679" s="44" t="str">
        <f t="array" ref="J3679">IF(B3679="","",_xlfn.XLOOKUP(B3679,'Form responses 1'!$B$2:$B$2604,'Form responses 1'!$G$2:$G$2604,""))</f>
        <v/>
      </c>
      <c r="K3679" s="56"/>
      <c r="L3679" s="58" t="str">
        <f t="shared" si="7"/>
        <v/>
      </c>
      <c r="M3679" s="49"/>
      <c r="N3679" s="49"/>
      <c r="O3679" s="49"/>
      <c r="P3679" s="49"/>
      <c r="Q3679" s="49"/>
      <c r="R3679" s="49"/>
      <c r="S3679" s="49"/>
      <c r="T3679" s="49"/>
      <c r="U3679" s="49"/>
      <c r="V3679" s="49"/>
      <c r="W3679" s="56"/>
      <c r="X3679" s="51" t="str">
        <f t="shared" si="5"/>
        <v/>
      </c>
      <c r="Y3679" s="50" t="s">
        <v>482</v>
      </c>
      <c r="Z3679" s="49">
        <f t="shared" si="6"/>
        <v>0</v>
      </c>
    </row>
    <row r="3680" ht="22.5" customHeight="1">
      <c r="B3680" s="57"/>
      <c r="C3680" s="43" t="str">
        <f t="array" ref="C3680">IF(B3680="","",_xlfn.XLOOKUP(B3680,'Form responses 1'!$B$2:$B$2604,'Form responses 1'!$A$2:$A$2604,""))</f>
        <v/>
      </c>
      <c r="D3680" s="44" t="str">
        <f t="shared" si="3"/>
        <v/>
      </c>
      <c r="E3680" s="44" t="str">
        <f t="array" ref="E3680">IF(B3680="","",_xlfn.XLOOKUP(B3680,'Form responses 1'!$B$2:$B$2604,'Form responses 1'!$C$2:$C$2604,""))</f>
        <v/>
      </c>
      <c r="F3680" s="44" t="str">
        <f t="array" ref="F3680">IF(B3680="","",_xlfn.XLOOKUP(B3680,'Form responses 1'!$B$2:$B$2604,'Form responses 1'!$D$2:$D$2604,""))</f>
        <v/>
      </c>
      <c r="G3680" s="44" t="str">
        <f t="array" ref="G3680">IF(B3680="","",_xlfn.XLOOKUP(B3680,'Form responses 1'!$B$2:$B$2604,'Form responses 1'!$E$2:$E$2604,""))</f>
        <v/>
      </c>
      <c r="H3680" s="44" t="str">
        <f t="array" ref="H3680">IF(B3680="","",_xlfn.XLOOKUP(B3680,'Form responses 1'!$B$2:$B$2604,'Form responses 1'!$F$2:$F$2604,""))</f>
        <v/>
      </c>
      <c r="I3680" s="44" t="str">
        <f t="array" ref="I3680">IF(B3680="","",_xlfn.XLOOKUP(B3680,'Form responses 1'!$B$2:$B$2604,'Form responses 1'!$I$2:$I$2604,""))</f>
        <v/>
      </c>
      <c r="J3680" s="44" t="str">
        <f t="array" ref="J3680">IF(B3680="","",_xlfn.XLOOKUP(B3680,'Form responses 1'!$B$2:$B$2604,'Form responses 1'!$G$2:$G$2604,""))</f>
        <v/>
      </c>
      <c r="K3680" s="56"/>
      <c r="L3680" s="58" t="str">
        <f t="shared" si="7"/>
        <v/>
      </c>
      <c r="M3680" s="49"/>
      <c r="N3680" s="49"/>
      <c r="O3680" s="49"/>
      <c r="P3680" s="49"/>
      <c r="Q3680" s="49"/>
      <c r="R3680" s="49"/>
      <c r="S3680" s="49"/>
      <c r="T3680" s="49"/>
      <c r="U3680" s="49"/>
      <c r="V3680" s="49"/>
      <c r="W3680" s="56"/>
      <c r="X3680" s="51" t="str">
        <f t="shared" si="5"/>
        <v/>
      </c>
      <c r="Y3680" s="50" t="s">
        <v>482</v>
      </c>
      <c r="Z3680" s="49">
        <f t="shared" si="6"/>
        <v>0</v>
      </c>
    </row>
    <row r="3681" ht="22.5" customHeight="1">
      <c r="B3681" s="57"/>
      <c r="C3681" s="43" t="str">
        <f t="array" ref="C3681">IF(B3681="","",_xlfn.XLOOKUP(B3681,'Form responses 1'!$B$2:$B$2604,'Form responses 1'!$A$2:$A$2604,""))</f>
        <v/>
      </c>
      <c r="D3681" s="44" t="str">
        <f t="shared" si="3"/>
        <v/>
      </c>
      <c r="E3681" s="44" t="str">
        <f t="array" ref="E3681">IF(B3681="","",_xlfn.XLOOKUP(B3681,'Form responses 1'!$B$2:$B$2604,'Form responses 1'!$C$2:$C$2604,""))</f>
        <v/>
      </c>
      <c r="F3681" s="44" t="str">
        <f t="array" ref="F3681">IF(B3681="","",_xlfn.XLOOKUP(B3681,'Form responses 1'!$B$2:$B$2604,'Form responses 1'!$D$2:$D$2604,""))</f>
        <v/>
      </c>
      <c r="G3681" s="44" t="str">
        <f t="array" ref="G3681">IF(B3681="","",_xlfn.XLOOKUP(B3681,'Form responses 1'!$B$2:$B$2604,'Form responses 1'!$E$2:$E$2604,""))</f>
        <v/>
      </c>
      <c r="H3681" s="44" t="str">
        <f t="array" ref="H3681">IF(B3681="","",_xlfn.XLOOKUP(B3681,'Form responses 1'!$B$2:$B$2604,'Form responses 1'!$F$2:$F$2604,""))</f>
        <v/>
      </c>
      <c r="I3681" s="44" t="str">
        <f t="array" ref="I3681">IF(B3681="","",_xlfn.XLOOKUP(B3681,'Form responses 1'!$B$2:$B$2604,'Form responses 1'!$I$2:$I$2604,""))</f>
        <v/>
      </c>
      <c r="J3681" s="44" t="str">
        <f t="array" ref="J3681">IF(B3681="","",_xlfn.XLOOKUP(B3681,'Form responses 1'!$B$2:$B$2604,'Form responses 1'!$G$2:$G$2604,""))</f>
        <v/>
      </c>
      <c r="K3681" s="56"/>
      <c r="L3681" s="58" t="str">
        <f t="shared" si="7"/>
        <v/>
      </c>
      <c r="M3681" s="49"/>
      <c r="N3681" s="49"/>
      <c r="O3681" s="49"/>
      <c r="P3681" s="49"/>
      <c r="Q3681" s="49"/>
      <c r="R3681" s="49"/>
      <c r="S3681" s="49"/>
      <c r="T3681" s="49"/>
      <c r="U3681" s="49"/>
      <c r="V3681" s="49"/>
      <c r="W3681" s="56"/>
      <c r="X3681" s="51" t="str">
        <f t="shared" si="5"/>
        <v/>
      </c>
      <c r="Y3681" s="50" t="s">
        <v>482</v>
      </c>
      <c r="Z3681" s="49">
        <f t="shared" si="6"/>
        <v>0</v>
      </c>
    </row>
    <row r="3682" ht="22.5" customHeight="1">
      <c r="B3682" s="57"/>
      <c r="C3682" s="43" t="str">
        <f t="array" ref="C3682">IF(B3682="","",_xlfn.XLOOKUP(B3682,'Form responses 1'!$B$2:$B$2604,'Form responses 1'!$A$2:$A$2604,""))</f>
        <v/>
      </c>
      <c r="D3682" s="44" t="str">
        <f t="shared" si="3"/>
        <v/>
      </c>
      <c r="E3682" s="44" t="str">
        <f t="array" ref="E3682">IF(B3682="","",_xlfn.XLOOKUP(B3682,'Form responses 1'!$B$2:$B$2604,'Form responses 1'!$C$2:$C$2604,""))</f>
        <v/>
      </c>
      <c r="F3682" s="44" t="str">
        <f t="array" ref="F3682">IF(B3682="","",_xlfn.XLOOKUP(B3682,'Form responses 1'!$B$2:$B$2604,'Form responses 1'!$D$2:$D$2604,""))</f>
        <v/>
      </c>
      <c r="G3682" s="44" t="str">
        <f t="array" ref="G3682">IF(B3682="","",_xlfn.XLOOKUP(B3682,'Form responses 1'!$B$2:$B$2604,'Form responses 1'!$E$2:$E$2604,""))</f>
        <v/>
      </c>
      <c r="H3682" s="44" t="str">
        <f t="array" ref="H3682">IF(B3682="","",_xlfn.XLOOKUP(B3682,'Form responses 1'!$B$2:$B$2604,'Form responses 1'!$F$2:$F$2604,""))</f>
        <v/>
      </c>
      <c r="I3682" s="44" t="str">
        <f t="array" ref="I3682">IF(B3682="","",_xlfn.XLOOKUP(B3682,'Form responses 1'!$B$2:$B$2604,'Form responses 1'!$I$2:$I$2604,""))</f>
        <v/>
      </c>
      <c r="J3682" s="44" t="str">
        <f t="array" ref="J3682">IF(B3682="","",_xlfn.XLOOKUP(B3682,'Form responses 1'!$B$2:$B$2604,'Form responses 1'!$G$2:$G$2604,""))</f>
        <v/>
      </c>
      <c r="K3682" s="56"/>
      <c r="L3682" s="58" t="str">
        <f t="shared" si="7"/>
        <v/>
      </c>
      <c r="M3682" s="49"/>
      <c r="N3682" s="49"/>
      <c r="O3682" s="49"/>
      <c r="P3682" s="49"/>
      <c r="Q3682" s="49"/>
      <c r="R3682" s="49"/>
      <c r="S3682" s="49"/>
      <c r="T3682" s="49"/>
      <c r="U3682" s="49"/>
      <c r="V3682" s="49"/>
      <c r="W3682" s="56"/>
      <c r="X3682" s="51" t="str">
        <f t="shared" si="5"/>
        <v/>
      </c>
      <c r="Y3682" s="50" t="s">
        <v>482</v>
      </c>
      <c r="Z3682" s="49">
        <f t="shared" si="6"/>
        <v>0</v>
      </c>
    </row>
    <row r="3683" ht="22.5" customHeight="1">
      <c r="B3683" s="57"/>
      <c r="C3683" s="43" t="str">
        <f t="array" ref="C3683">IF(B3683="","",_xlfn.XLOOKUP(B3683,'Form responses 1'!$B$2:$B$2604,'Form responses 1'!$A$2:$A$2604,""))</f>
        <v/>
      </c>
      <c r="D3683" s="44" t="str">
        <f t="shared" si="3"/>
        <v/>
      </c>
      <c r="E3683" s="44" t="str">
        <f t="array" ref="E3683">IF(B3683="","",_xlfn.XLOOKUP(B3683,'Form responses 1'!$B$2:$B$2604,'Form responses 1'!$C$2:$C$2604,""))</f>
        <v/>
      </c>
      <c r="F3683" s="44" t="str">
        <f t="array" ref="F3683">IF(B3683="","",_xlfn.XLOOKUP(B3683,'Form responses 1'!$B$2:$B$2604,'Form responses 1'!$D$2:$D$2604,""))</f>
        <v/>
      </c>
      <c r="G3683" s="44" t="str">
        <f t="array" ref="G3683">IF(B3683="","",_xlfn.XLOOKUP(B3683,'Form responses 1'!$B$2:$B$2604,'Form responses 1'!$E$2:$E$2604,""))</f>
        <v/>
      </c>
      <c r="H3683" s="44" t="str">
        <f t="array" ref="H3683">IF(B3683="","",_xlfn.XLOOKUP(B3683,'Form responses 1'!$B$2:$B$2604,'Form responses 1'!$F$2:$F$2604,""))</f>
        <v/>
      </c>
      <c r="I3683" s="44" t="str">
        <f t="array" ref="I3683">IF(B3683="","",_xlfn.XLOOKUP(B3683,'Form responses 1'!$B$2:$B$2604,'Form responses 1'!$I$2:$I$2604,""))</f>
        <v/>
      </c>
      <c r="J3683" s="44" t="str">
        <f t="array" ref="J3683">IF(B3683="","",_xlfn.XLOOKUP(B3683,'Form responses 1'!$B$2:$B$2604,'Form responses 1'!$G$2:$G$2604,""))</f>
        <v/>
      </c>
      <c r="K3683" s="56"/>
      <c r="L3683" s="58" t="str">
        <f t="shared" si="7"/>
        <v/>
      </c>
      <c r="M3683" s="49"/>
      <c r="N3683" s="49"/>
      <c r="O3683" s="49"/>
      <c r="P3683" s="49"/>
      <c r="Q3683" s="49"/>
      <c r="R3683" s="49"/>
      <c r="S3683" s="49"/>
      <c r="T3683" s="49"/>
      <c r="U3683" s="49"/>
      <c r="V3683" s="49"/>
      <c r="W3683" s="56"/>
      <c r="X3683" s="51" t="str">
        <f t="shared" si="5"/>
        <v/>
      </c>
      <c r="Y3683" s="50" t="s">
        <v>482</v>
      </c>
      <c r="Z3683" s="49">
        <f t="shared" si="6"/>
        <v>0</v>
      </c>
    </row>
    <row r="3684" ht="22.5" customHeight="1">
      <c r="B3684" s="57"/>
      <c r="C3684" s="43" t="str">
        <f t="array" ref="C3684">IF(B3684="","",_xlfn.XLOOKUP(B3684,'Form responses 1'!$B$2:$B$2604,'Form responses 1'!$A$2:$A$2604,""))</f>
        <v/>
      </c>
      <c r="D3684" s="44" t="str">
        <f t="shared" si="3"/>
        <v/>
      </c>
      <c r="E3684" s="44" t="str">
        <f t="array" ref="E3684">IF(B3684="","",_xlfn.XLOOKUP(B3684,'Form responses 1'!$B$2:$B$2604,'Form responses 1'!$C$2:$C$2604,""))</f>
        <v/>
      </c>
      <c r="F3684" s="44" t="str">
        <f t="array" ref="F3684">IF(B3684="","",_xlfn.XLOOKUP(B3684,'Form responses 1'!$B$2:$B$2604,'Form responses 1'!$D$2:$D$2604,""))</f>
        <v/>
      </c>
      <c r="G3684" s="44" t="str">
        <f t="array" ref="G3684">IF(B3684="","",_xlfn.XLOOKUP(B3684,'Form responses 1'!$B$2:$B$2604,'Form responses 1'!$E$2:$E$2604,""))</f>
        <v/>
      </c>
      <c r="H3684" s="44" t="str">
        <f t="array" ref="H3684">IF(B3684="","",_xlfn.XLOOKUP(B3684,'Form responses 1'!$B$2:$B$2604,'Form responses 1'!$F$2:$F$2604,""))</f>
        <v/>
      </c>
      <c r="I3684" s="44" t="str">
        <f t="array" ref="I3684">IF(B3684="","",_xlfn.XLOOKUP(B3684,'Form responses 1'!$B$2:$B$2604,'Form responses 1'!$I$2:$I$2604,""))</f>
        <v/>
      </c>
      <c r="J3684" s="44" t="str">
        <f t="array" ref="J3684">IF(B3684="","",_xlfn.XLOOKUP(B3684,'Form responses 1'!$B$2:$B$2604,'Form responses 1'!$G$2:$G$2604,""))</f>
        <v/>
      </c>
      <c r="K3684" s="56"/>
      <c r="L3684" s="58" t="str">
        <f t="shared" si="7"/>
        <v/>
      </c>
      <c r="M3684" s="49"/>
      <c r="N3684" s="49"/>
      <c r="O3684" s="49"/>
      <c r="P3684" s="49"/>
      <c r="Q3684" s="49"/>
      <c r="R3684" s="49"/>
      <c r="S3684" s="49"/>
      <c r="T3684" s="49"/>
      <c r="U3684" s="49"/>
      <c r="V3684" s="49"/>
      <c r="W3684" s="56"/>
      <c r="X3684" s="51" t="str">
        <f t="shared" si="5"/>
        <v/>
      </c>
      <c r="Y3684" s="50" t="s">
        <v>482</v>
      </c>
      <c r="Z3684" s="49">
        <f t="shared" si="6"/>
        <v>0</v>
      </c>
    </row>
    <row r="3685" ht="22.5" customHeight="1">
      <c r="B3685" s="57"/>
      <c r="C3685" s="43" t="str">
        <f t="array" ref="C3685">IF(B3685="","",_xlfn.XLOOKUP(B3685,'Form responses 1'!$B$2:$B$2604,'Form responses 1'!$A$2:$A$2604,""))</f>
        <v/>
      </c>
      <c r="D3685" s="44" t="str">
        <f t="shared" si="3"/>
        <v/>
      </c>
      <c r="E3685" s="44" t="str">
        <f t="array" ref="E3685">IF(B3685="","",_xlfn.XLOOKUP(B3685,'Form responses 1'!$B$2:$B$2604,'Form responses 1'!$C$2:$C$2604,""))</f>
        <v/>
      </c>
      <c r="F3685" s="44" t="str">
        <f t="array" ref="F3685">IF(B3685="","",_xlfn.XLOOKUP(B3685,'Form responses 1'!$B$2:$B$2604,'Form responses 1'!$D$2:$D$2604,""))</f>
        <v/>
      </c>
      <c r="G3685" s="44" t="str">
        <f t="array" ref="G3685">IF(B3685="","",_xlfn.XLOOKUP(B3685,'Form responses 1'!$B$2:$B$2604,'Form responses 1'!$E$2:$E$2604,""))</f>
        <v/>
      </c>
      <c r="H3685" s="44" t="str">
        <f t="array" ref="H3685">IF(B3685="","",_xlfn.XLOOKUP(B3685,'Form responses 1'!$B$2:$B$2604,'Form responses 1'!$F$2:$F$2604,""))</f>
        <v/>
      </c>
      <c r="I3685" s="44" t="str">
        <f t="array" ref="I3685">IF(B3685="","",_xlfn.XLOOKUP(B3685,'Form responses 1'!$B$2:$B$2604,'Form responses 1'!$I$2:$I$2604,""))</f>
        <v/>
      </c>
      <c r="J3685" s="44" t="str">
        <f t="array" ref="J3685">IF(B3685="","",_xlfn.XLOOKUP(B3685,'Form responses 1'!$B$2:$B$2604,'Form responses 1'!$G$2:$G$2604,""))</f>
        <v/>
      </c>
      <c r="K3685" s="56"/>
      <c r="L3685" s="58" t="str">
        <f t="shared" si="7"/>
        <v/>
      </c>
      <c r="M3685" s="49"/>
      <c r="N3685" s="49"/>
      <c r="O3685" s="49"/>
      <c r="P3685" s="49"/>
      <c r="Q3685" s="49"/>
      <c r="R3685" s="49"/>
      <c r="S3685" s="49"/>
      <c r="T3685" s="49"/>
      <c r="U3685" s="49"/>
      <c r="V3685" s="49"/>
      <c r="W3685" s="56"/>
      <c r="X3685" s="51" t="str">
        <f t="shared" si="5"/>
        <v/>
      </c>
      <c r="Y3685" s="50" t="s">
        <v>482</v>
      </c>
      <c r="Z3685" s="49">
        <f t="shared" si="6"/>
        <v>0</v>
      </c>
    </row>
    <row r="3686" ht="22.5" customHeight="1">
      <c r="B3686" s="57"/>
      <c r="C3686" s="43" t="str">
        <f t="array" ref="C3686">IF(B3686="","",_xlfn.XLOOKUP(B3686,'Form responses 1'!$B$2:$B$2604,'Form responses 1'!$A$2:$A$2604,""))</f>
        <v/>
      </c>
      <c r="D3686" s="44" t="str">
        <f t="shared" si="3"/>
        <v/>
      </c>
      <c r="E3686" s="44" t="str">
        <f t="array" ref="E3686">IF(B3686="","",_xlfn.XLOOKUP(B3686,'Form responses 1'!$B$2:$B$2604,'Form responses 1'!$C$2:$C$2604,""))</f>
        <v/>
      </c>
      <c r="F3686" s="44" t="str">
        <f t="array" ref="F3686">IF(B3686="","",_xlfn.XLOOKUP(B3686,'Form responses 1'!$B$2:$B$2604,'Form responses 1'!$D$2:$D$2604,""))</f>
        <v/>
      </c>
      <c r="G3686" s="44" t="str">
        <f t="array" ref="G3686">IF(B3686="","",_xlfn.XLOOKUP(B3686,'Form responses 1'!$B$2:$B$2604,'Form responses 1'!$E$2:$E$2604,""))</f>
        <v/>
      </c>
      <c r="H3686" s="44" t="str">
        <f t="array" ref="H3686">IF(B3686="","",_xlfn.XLOOKUP(B3686,'Form responses 1'!$B$2:$B$2604,'Form responses 1'!$F$2:$F$2604,""))</f>
        <v/>
      </c>
      <c r="I3686" s="44" t="str">
        <f t="array" ref="I3686">IF(B3686="","",_xlfn.XLOOKUP(B3686,'Form responses 1'!$B$2:$B$2604,'Form responses 1'!$I$2:$I$2604,""))</f>
        <v/>
      </c>
      <c r="J3686" s="44" t="str">
        <f t="array" ref="J3686">IF(B3686="","",_xlfn.XLOOKUP(B3686,'Form responses 1'!$B$2:$B$2604,'Form responses 1'!$G$2:$G$2604,""))</f>
        <v/>
      </c>
      <c r="K3686" s="56"/>
      <c r="L3686" s="58" t="str">
        <f t="shared" si="7"/>
        <v/>
      </c>
      <c r="M3686" s="49"/>
      <c r="N3686" s="49"/>
      <c r="O3686" s="49"/>
      <c r="P3686" s="49"/>
      <c r="Q3686" s="49"/>
      <c r="R3686" s="49"/>
      <c r="S3686" s="49"/>
      <c r="T3686" s="49"/>
      <c r="U3686" s="49"/>
      <c r="V3686" s="49"/>
      <c r="W3686" s="56"/>
      <c r="X3686" s="51" t="str">
        <f t="shared" si="5"/>
        <v/>
      </c>
      <c r="Y3686" s="50" t="s">
        <v>482</v>
      </c>
      <c r="Z3686" s="49">
        <f t="shared" si="6"/>
        <v>0</v>
      </c>
    </row>
    <row r="3687" ht="22.5" customHeight="1">
      <c r="B3687" s="57"/>
      <c r="C3687" s="43" t="str">
        <f t="array" ref="C3687">IF(B3687="","",_xlfn.XLOOKUP(B3687,'Form responses 1'!$B$2:$B$2604,'Form responses 1'!$A$2:$A$2604,""))</f>
        <v/>
      </c>
      <c r="D3687" s="44" t="str">
        <f t="shared" si="3"/>
        <v/>
      </c>
      <c r="E3687" s="44" t="str">
        <f t="array" ref="E3687">IF(B3687="","",_xlfn.XLOOKUP(B3687,'Form responses 1'!$B$2:$B$2604,'Form responses 1'!$C$2:$C$2604,""))</f>
        <v/>
      </c>
      <c r="F3687" s="44" t="str">
        <f t="array" ref="F3687">IF(B3687="","",_xlfn.XLOOKUP(B3687,'Form responses 1'!$B$2:$B$2604,'Form responses 1'!$D$2:$D$2604,""))</f>
        <v/>
      </c>
      <c r="G3687" s="44" t="str">
        <f t="array" ref="G3687">IF(B3687="","",_xlfn.XLOOKUP(B3687,'Form responses 1'!$B$2:$B$2604,'Form responses 1'!$E$2:$E$2604,""))</f>
        <v/>
      </c>
      <c r="H3687" s="44" t="str">
        <f t="array" ref="H3687">IF(B3687="","",_xlfn.XLOOKUP(B3687,'Form responses 1'!$B$2:$B$2604,'Form responses 1'!$F$2:$F$2604,""))</f>
        <v/>
      </c>
      <c r="I3687" s="44" t="str">
        <f t="array" ref="I3687">IF(B3687="","",_xlfn.XLOOKUP(B3687,'Form responses 1'!$B$2:$B$2604,'Form responses 1'!$I$2:$I$2604,""))</f>
        <v/>
      </c>
      <c r="J3687" s="44" t="str">
        <f t="array" ref="J3687">IF(B3687="","",_xlfn.XLOOKUP(B3687,'Form responses 1'!$B$2:$B$2604,'Form responses 1'!$G$2:$G$2604,""))</f>
        <v/>
      </c>
      <c r="K3687" s="56"/>
      <c r="L3687" s="58" t="str">
        <f t="shared" si="7"/>
        <v/>
      </c>
      <c r="M3687" s="49"/>
      <c r="N3687" s="49"/>
      <c r="O3687" s="49"/>
      <c r="P3687" s="49"/>
      <c r="Q3687" s="49"/>
      <c r="R3687" s="49"/>
      <c r="S3687" s="49"/>
      <c r="T3687" s="49"/>
      <c r="U3687" s="49"/>
      <c r="V3687" s="49"/>
      <c r="W3687" s="56"/>
      <c r="X3687" s="51" t="str">
        <f t="shared" si="5"/>
        <v/>
      </c>
      <c r="Y3687" s="50" t="s">
        <v>482</v>
      </c>
      <c r="Z3687" s="49">
        <f t="shared" si="6"/>
        <v>0</v>
      </c>
    </row>
    <row r="3688" ht="22.5" customHeight="1">
      <c r="B3688" s="57"/>
      <c r="C3688" s="43" t="str">
        <f t="array" ref="C3688">IF(B3688="","",_xlfn.XLOOKUP(B3688,'Form responses 1'!$B$2:$B$2604,'Form responses 1'!$A$2:$A$2604,""))</f>
        <v/>
      </c>
      <c r="D3688" s="44" t="str">
        <f t="shared" si="3"/>
        <v/>
      </c>
      <c r="E3688" s="44" t="str">
        <f t="array" ref="E3688">IF(B3688="","",_xlfn.XLOOKUP(B3688,'Form responses 1'!$B$2:$B$2604,'Form responses 1'!$C$2:$C$2604,""))</f>
        <v/>
      </c>
      <c r="F3688" s="44" t="str">
        <f t="array" ref="F3688">IF(B3688="","",_xlfn.XLOOKUP(B3688,'Form responses 1'!$B$2:$B$2604,'Form responses 1'!$D$2:$D$2604,""))</f>
        <v/>
      </c>
      <c r="G3688" s="44" t="str">
        <f t="array" ref="G3688">IF(B3688="","",_xlfn.XLOOKUP(B3688,'Form responses 1'!$B$2:$B$2604,'Form responses 1'!$E$2:$E$2604,""))</f>
        <v/>
      </c>
      <c r="H3688" s="44" t="str">
        <f t="array" ref="H3688">IF(B3688="","",_xlfn.XLOOKUP(B3688,'Form responses 1'!$B$2:$B$2604,'Form responses 1'!$F$2:$F$2604,""))</f>
        <v/>
      </c>
      <c r="I3688" s="44" t="str">
        <f t="array" ref="I3688">IF(B3688="","",_xlfn.XLOOKUP(B3688,'Form responses 1'!$B$2:$B$2604,'Form responses 1'!$I$2:$I$2604,""))</f>
        <v/>
      </c>
      <c r="J3688" s="44" t="str">
        <f t="array" ref="J3688">IF(B3688="","",_xlfn.XLOOKUP(B3688,'Form responses 1'!$B$2:$B$2604,'Form responses 1'!$G$2:$G$2604,""))</f>
        <v/>
      </c>
      <c r="K3688" s="56"/>
      <c r="L3688" s="58" t="str">
        <f t="shared" si="7"/>
        <v/>
      </c>
      <c r="M3688" s="49"/>
      <c r="N3688" s="49"/>
      <c r="O3688" s="49"/>
      <c r="P3688" s="49"/>
      <c r="Q3688" s="49"/>
      <c r="R3688" s="49"/>
      <c r="S3688" s="49"/>
      <c r="T3688" s="49"/>
      <c r="U3688" s="49"/>
      <c r="V3688" s="49"/>
      <c r="W3688" s="56"/>
      <c r="X3688" s="51" t="str">
        <f t="shared" si="5"/>
        <v/>
      </c>
      <c r="Y3688" s="50" t="s">
        <v>482</v>
      </c>
      <c r="Z3688" s="49">
        <f t="shared" si="6"/>
        <v>0</v>
      </c>
    </row>
    <row r="3689" ht="22.5" customHeight="1">
      <c r="B3689" s="57"/>
      <c r="C3689" s="43" t="str">
        <f t="array" ref="C3689">IF(B3689="","",_xlfn.XLOOKUP(B3689,'Form responses 1'!$B$2:$B$2604,'Form responses 1'!$A$2:$A$2604,""))</f>
        <v/>
      </c>
      <c r="D3689" s="44" t="str">
        <f t="shared" si="3"/>
        <v/>
      </c>
      <c r="E3689" s="44" t="str">
        <f t="array" ref="E3689">IF(B3689="","",_xlfn.XLOOKUP(B3689,'Form responses 1'!$B$2:$B$2604,'Form responses 1'!$C$2:$C$2604,""))</f>
        <v/>
      </c>
      <c r="F3689" s="44" t="str">
        <f t="array" ref="F3689">IF(B3689="","",_xlfn.XLOOKUP(B3689,'Form responses 1'!$B$2:$B$2604,'Form responses 1'!$D$2:$D$2604,""))</f>
        <v/>
      </c>
      <c r="G3689" s="44" t="str">
        <f t="array" ref="G3689">IF(B3689="","",_xlfn.XLOOKUP(B3689,'Form responses 1'!$B$2:$B$2604,'Form responses 1'!$E$2:$E$2604,""))</f>
        <v/>
      </c>
      <c r="H3689" s="44" t="str">
        <f t="array" ref="H3689">IF(B3689="","",_xlfn.XLOOKUP(B3689,'Form responses 1'!$B$2:$B$2604,'Form responses 1'!$F$2:$F$2604,""))</f>
        <v/>
      </c>
      <c r="I3689" s="44" t="str">
        <f t="array" ref="I3689">IF(B3689="","",_xlfn.XLOOKUP(B3689,'Form responses 1'!$B$2:$B$2604,'Form responses 1'!$I$2:$I$2604,""))</f>
        <v/>
      </c>
      <c r="J3689" s="44" t="str">
        <f t="array" ref="J3689">IF(B3689="","",_xlfn.XLOOKUP(B3689,'Form responses 1'!$B$2:$B$2604,'Form responses 1'!$G$2:$G$2604,""))</f>
        <v/>
      </c>
      <c r="K3689" s="56"/>
      <c r="L3689" s="58" t="str">
        <f t="shared" si="7"/>
        <v/>
      </c>
      <c r="M3689" s="49"/>
      <c r="N3689" s="49"/>
      <c r="O3689" s="49"/>
      <c r="P3689" s="49"/>
      <c r="Q3689" s="49"/>
      <c r="R3689" s="49"/>
      <c r="S3689" s="49"/>
      <c r="T3689" s="49"/>
      <c r="U3689" s="49"/>
      <c r="V3689" s="49"/>
      <c r="W3689" s="56"/>
      <c r="X3689" s="51" t="str">
        <f t="shared" si="5"/>
        <v/>
      </c>
      <c r="Y3689" s="50" t="s">
        <v>482</v>
      </c>
      <c r="Z3689" s="49">
        <f t="shared" si="6"/>
        <v>0</v>
      </c>
    </row>
    <row r="3690" ht="22.5" customHeight="1">
      <c r="B3690" s="57"/>
      <c r="C3690" s="43" t="str">
        <f t="array" ref="C3690">IF(B3690="","",_xlfn.XLOOKUP(B3690,'Form responses 1'!$B$2:$B$2604,'Form responses 1'!$A$2:$A$2604,""))</f>
        <v/>
      </c>
      <c r="D3690" s="44" t="str">
        <f t="shared" si="3"/>
        <v/>
      </c>
      <c r="E3690" s="44" t="str">
        <f t="array" ref="E3690">IF(B3690="","",_xlfn.XLOOKUP(B3690,'Form responses 1'!$B$2:$B$2604,'Form responses 1'!$C$2:$C$2604,""))</f>
        <v/>
      </c>
      <c r="F3690" s="44" t="str">
        <f t="array" ref="F3690">IF(B3690="","",_xlfn.XLOOKUP(B3690,'Form responses 1'!$B$2:$B$2604,'Form responses 1'!$D$2:$D$2604,""))</f>
        <v/>
      </c>
      <c r="G3690" s="44" t="str">
        <f t="array" ref="G3690">IF(B3690="","",_xlfn.XLOOKUP(B3690,'Form responses 1'!$B$2:$B$2604,'Form responses 1'!$E$2:$E$2604,""))</f>
        <v/>
      </c>
      <c r="H3690" s="44" t="str">
        <f t="array" ref="H3690">IF(B3690="","",_xlfn.XLOOKUP(B3690,'Form responses 1'!$B$2:$B$2604,'Form responses 1'!$F$2:$F$2604,""))</f>
        <v/>
      </c>
      <c r="I3690" s="44" t="str">
        <f t="array" ref="I3690">IF(B3690="","",_xlfn.XLOOKUP(B3690,'Form responses 1'!$B$2:$B$2604,'Form responses 1'!$I$2:$I$2604,""))</f>
        <v/>
      </c>
      <c r="J3690" s="44" t="str">
        <f t="array" ref="J3690">IF(B3690="","",_xlfn.XLOOKUP(B3690,'Form responses 1'!$B$2:$B$2604,'Form responses 1'!$G$2:$G$2604,""))</f>
        <v/>
      </c>
      <c r="K3690" s="56"/>
      <c r="L3690" s="58" t="str">
        <f t="shared" si="7"/>
        <v/>
      </c>
      <c r="M3690" s="49"/>
      <c r="N3690" s="49"/>
      <c r="O3690" s="49"/>
      <c r="P3690" s="49"/>
      <c r="Q3690" s="49"/>
      <c r="R3690" s="49"/>
      <c r="S3690" s="49"/>
      <c r="T3690" s="49"/>
      <c r="U3690" s="49"/>
      <c r="V3690" s="49"/>
      <c r="W3690" s="56"/>
      <c r="X3690" s="51" t="str">
        <f t="shared" si="5"/>
        <v/>
      </c>
      <c r="Y3690" s="50" t="s">
        <v>482</v>
      </c>
      <c r="Z3690" s="49">
        <f t="shared" si="6"/>
        <v>0</v>
      </c>
    </row>
    <row r="3691" ht="22.5" customHeight="1">
      <c r="B3691" s="57"/>
      <c r="C3691" s="43" t="str">
        <f t="array" ref="C3691">IF(B3691="","",_xlfn.XLOOKUP(B3691,'Form responses 1'!$B$2:$B$2604,'Form responses 1'!$A$2:$A$2604,""))</f>
        <v/>
      </c>
      <c r="D3691" s="44" t="str">
        <f t="shared" si="3"/>
        <v/>
      </c>
      <c r="E3691" s="44" t="str">
        <f t="array" ref="E3691">IF(B3691="","",_xlfn.XLOOKUP(B3691,'Form responses 1'!$B$2:$B$2604,'Form responses 1'!$C$2:$C$2604,""))</f>
        <v/>
      </c>
      <c r="F3691" s="44" t="str">
        <f t="array" ref="F3691">IF(B3691="","",_xlfn.XLOOKUP(B3691,'Form responses 1'!$B$2:$B$2604,'Form responses 1'!$D$2:$D$2604,""))</f>
        <v/>
      </c>
      <c r="G3691" s="44" t="str">
        <f t="array" ref="G3691">IF(B3691="","",_xlfn.XLOOKUP(B3691,'Form responses 1'!$B$2:$B$2604,'Form responses 1'!$E$2:$E$2604,""))</f>
        <v/>
      </c>
      <c r="H3691" s="44" t="str">
        <f t="array" ref="H3691">IF(B3691="","",_xlfn.XLOOKUP(B3691,'Form responses 1'!$B$2:$B$2604,'Form responses 1'!$F$2:$F$2604,""))</f>
        <v/>
      </c>
      <c r="I3691" s="44" t="str">
        <f t="array" ref="I3691">IF(B3691="","",_xlfn.XLOOKUP(B3691,'Form responses 1'!$B$2:$B$2604,'Form responses 1'!$I$2:$I$2604,""))</f>
        <v/>
      </c>
      <c r="J3691" s="44" t="str">
        <f t="array" ref="J3691">IF(B3691="","",_xlfn.XLOOKUP(B3691,'Form responses 1'!$B$2:$B$2604,'Form responses 1'!$G$2:$G$2604,""))</f>
        <v/>
      </c>
      <c r="K3691" s="56"/>
      <c r="L3691" s="58" t="str">
        <f t="shared" si="7"/>
        <v/>
      </c>
      <c r="M3691" s="49"/>
      <c r="N3691" s="49"/>
      <c r="O3691" s="49"/>
      <c r="P3691" s="49"/>
      <c r="Q3691" s="49"/>
      <c r="R3691" s="49"/>
      <c r="S3691" s="49"/>
      <c r="T3691" s="49"/>
      <c r="U3691" s="49"/>
      <c r="V3691" s="49"/>
      <c r="W3691" s="56"/>
      <c r="X3691" s="51" t="str">
        <f t="shared" si="5"/>
        <v/>
      </c>
      <c r="Y3691" s="50" t="s">
        <v>482</v>
      </c>
      <c r="Z3691" s="49">
        <f t="shared" si="6"/>
        <v>0</v>
      </c>
    </row>
    <row r="3692" ht="22.5" customHeight="1">
      <c r="B3692" s="57"/>
      <c r="C3692" s="43" t="str">
        <f t="array" ref="C3692">IF(B3692="","",_xlfn.XLOOKUP(B3692,'Form responses 1'!$B$2:$B$2604,'Form responses 1'!$A$2:$A$2604,""))</f>
        <v/>
      </c>
      <c r="D3692" s="44" t="str">
        <f t="shared" si="3"/>
        <v/>
      </c>
      <c r="E3692" s="44" t="str">
        <f t="array" ref="E3692">IF(B3692="","",_xlfn.XLOOKUP(B3692,'Form responses 1'!$B$2:$B$2604,'Form responses 1'!$C$2:$C$2604,""))</f>
        <v/>
      </c>
      <c r="F3692" s="44" t="str">
        <f t="array" ref="F3692">IF(B3692="","",_xlfn.XLOOKUP(B3692,'Form responses 1'!$B$2:$B$2604,'Form responses 1'!$D$2:$D$2604,""))</f>
        <v/>
      </c>
      <c r="G3692" s="44" t="str">
        <f t="array" ref="G3692">IF(B3692="","",_xlfn.XLOOKUP(B3692,'Form responses 1'!$B$2:$B$2604,'Form responses 1'!$E$2:$E$2604,""))</f>
        <v/>
      </c>
      <c r="H3692" s="44" t="str">
        <f t="array" ref="H3692">IF(B3692="","",_xlfn.XLOOKUP(B3692,'Form responses 1'!$B$2:$B$2604,'Form responses 1'!$F$2:$F$2604,""))</f>
        <v/>
      </c>
      <c r="I3692" s="44" t="str">
        <f t="array" ref="I3692">IF(B3692="","",_xlfn.XLOOKUP(B3692,'Form responses 1'!$B$2:$B$2604,'Form responses 1'!$I$2:$I$2604,""))</f>
        <v/>
      </c>
      <c r="J3692" s="44" t="str">
        <f t="array" ref="J3692">IF(B3692="","",_xlfn.XLOOKUP(B3692,'Form responses 1'!$B$2:$B$2604,'Form responses 1'!$G$2:$G$2604,""))</f>
        <v/>
      </c>
      <c r="K3692" s="56"/>
      <c r="L3692" s="58" t="str">
        <f t="shared" si="7"/>
        <v/>
      </c>
      <c r="M3692" s="49"/>
      <c r="N3692" s="49"/>
      <c r="O3692" s="49"/>
      <c r="P3692" s="49"/>
      <c r="Q3692" s="49"/>
      <c r="R3692" s="49"/>
      <c r="S3692" s="49"/>
      <c r="T3692" s="49"/>
      <c r="U3692" s="49"/>
      <c r="V3692" s="49"/>
      <c r="W3692" s="56"/>
      <c r="X3692" s="51" t="str">
        <f t="shared" si="5"/>
        <v/>
      </c>
      <c r="Y3692" s="50" t="s">
        <v>482</v>
      </c>
      <c r="Z3692" s="49">
        <f t="shared" si="6"/>
        <v>0</v>
      </c>
    </row>
    <row r="3693" ht="22.5" customHeight="1">
      <c r="B3693" s="57"/>
      <c r="C3693" s="43" t="str">
        <f t="array" ref="C3693">IF(B3693="","",_xlfn.XLOOKUP(B3693,'Form responses 1'!$B$2:$B$2604,'Form responses 1'!$A$2:$A$2604,""))</f>
        <v/>
      </c>
      <c r="D3693" s="44" t="str">
        <f t="shared" si="3"/>
        <v/>
      </c>
      <c r="E3693" s="44" t="str">
        <f t="array" ref="E3693">IF(B3693="","",_xlfn.XLOOKUP(B3693,'Form responses 1'!$B$2:$B$2604,'Form responses 1'!$C$2:$C$2604,""))</f>
        <v/>
      </c>
      <c r="F3693" s="44" t="str">
        <f t="array" ref="F3693">IF(B3693="","",_xlfn.XLOOKUP(B3693,'Form responses 1'!$B$2:$B$2604,'Form responses 1'!$D$2:$D$2604,""))</f>
        <v/>
      </c>
      <c r="G3693" s="44" t="str">
        <f t="array" ref="G3693">IF(B3693="","",_xlfn.XLOOKUP(B3693,'Form responses 1'!$B$2:$B$2604,'Form responses 1'!$E$2:$E$2604,""))</f>
        <v/>
      </c>
      <c r="H3693" s="44" t="str">
        <f t="array" ref="H3693">IF(B3693="","",_xlfn.XLOOKUP(B3693,'Form responses 1'!$B$2:$B$2604,'Form responses 1'!$F$2:$F$2604,""))</f>
        <v/>
      </c>
      <c r="I3693" s="44" t="str">
        <f t="array" ref="I3693">IF(B3693="","",_xlfn.XLOOKUP(B3693,'Form responses 1'!$B$2:$B$2604,'Form responses 1'!$I$2:$I$2604,""))</f>
        <v/>
      </c>
      <c r="J3693" s="44" t="str">
        <f t="array" ref="J3693">IF(B3693="","",_xlfn.XLOOKUP(B3693,'Form responses 1'!$B$2:$B$2604,'Form responses 1'!$G$2:$G$2604,""))</f>
        <v/>
      </c>
      <c r="K3693" s="56"/>
      <c r="L3693" s="58" t="str">
        <f t="shared" si="7"/>
        <v/>
      </c>
      <c r="M3693" s="49"/>
      <c r="N3693" s="49"/>
      <c r="O3693" s="49"/>
      <c r="P3693" s="49"/>
      <c r="Q3693" s="49"/>
      <c r="R3693" s="49"/>
      <c r="S3693" s="49"/>
      <c r="T3693" s="49"/>
      <c r="U3693" s="49"/>
      <c r="V3693" s="49"/>
      <c r="W3693" s="56"/>
      <c r="X3693" s="51" t="str">
        <f t="shared" si="5"/>
        <v/>
      </c>
      <c r="Y3693" s="50" t="s">
        <v>482</v>
      </c>
      <c r="Z3693" s="49">
        <f t="shared" si="6"/>
        <v>0</v>
      </c>
    </row>
    <row r="3694" ht="22.5" customHeight="1">
      <c r="B3694" s="57"/>
      <c r="C3694" s="43" t="str">
        <f t="array" ref="C3694">IF(B3694="","",_xlfn.XLOOKUP(B3694,'Form responses 1'!$B$2:$B$2604,'Form responses 1'!$A$2:$A$2604,""))</f>
        <v/>
      </c>
      <c r="D3694" s="44" t="str">
        <f t="shared" si="3"/>
        <v/>
      </c>
      <c r="E3694" s="44" t="str">
        <f t="array" ref="E3694">IF(B3694="","",_xlfn.XLOOKUP(B3694,'Form responses 1'!$B$2:$B$2604,'Form responses 1'!$C$2:$C$2604,""))</f>
        <v/>
      </c>
      <c r="F3694" s="44" t="str">
        <f t="array" ref="F3694">IF(B3694="","",_xlfn.XLOOKUP(B3694,'Form responses 1'!$B$2:$B$2604,'Form responses 1'!$D$2:$D$2604,""))</f>
        <v/>
      </c>
      <c r="G3694" s="44" t="str">
        <f t="array" ref="G3694">IF(B3694="","",_xlfn.XLOOKUP(B3694,'Form responses 1'!$B$2:$B$2604,'Form responses 1'!$E$2:$E$2604,""))</f>
        <v/>
      </c>
      <c r="H3694" s="44" t="str">
        <f t="array" ref="H3694">IF(B3694="","",_xlfn.XLOOKUP(B3694,'Form responses 1'!$B$2:$B$2604,'Form responses 1'!$F$2:$F$2604,""))</f>
        <v/>
      </c>
      <c r="I3694" s="44" t="str">
        <f t="array" ref="I3694">IF(B3694="","",_xlfn.XLOOKUP(B3694,'Form responses 1'!$B$2:$B$2604,'Form responses 1'!$I$2:$I$2604,""))</f>
        <v/>
      </c>
      <c r="J3694" s="44" t="str">
        <f t="array" ref="J3694">IF(B3694="","",_xlfn.XLOOKUP(B3694,'Form responses 1'!$B$2:$B$2604,'Form responses 1'!$G$2:$G$2604,""))</f>
        <v/>
      </c>
      <c r="K3694" s="56"/>
      <c r="L3694" s="58" t="str">
        <f t="shared" si="7"/>
        <v/>
      </c>
      <c r="M3694" s="49"/>
      <c r="N3694" s="49"/>
      <c r="O3694" s="49"/>
      <c r="P3694" s="49"/>
      <c r="Q3694" s="49"/>
      <c r="R3694" s="49"/>
      <c r="S3694" s="49"/>
      <c r="T3694" s="49"/>
      <c r="U3694" s="49"/>
      <c r="V3694" s="49"/>
      <c r="W3694" s="56"/>
      <c r="X3694" s="51" t="str">
        <f t="shared" si="5"/>
        <v/>
      </c>
      <c r="Y3694" s="50" t="s">
        <v>482</v>
      </c>
      <c r="Z3694" s="49">
        <f t="shared" si="6"/>
        <v>0</v>
      </c>
    </row>
    <row r="3695" ht="22.5" customHeight="1">
      <c r="B3695" s="57"/>
      <c r="C3695" s="43" t="str">
        <f t="array" ref="C3695">IF(B3695="","",_xlfn.XLOOKUP(B3695,'Form responses 1'!$B$2:$B$2604,'Form responses 1'!$A$2:$A$2604,""))</f>
        <v/>
      </c>
      <c r="D3695" s="44" t="str">
        <f t="shared" si="3"/>
        <v/>
      </c>
      <c r="E3695" s="44" t="str">
        <f t="array" ref="E3695">IF(B3695="","",_xlfn.XLOOKUP(B3695,'Form responses 1'!$B$2:$B$2604,'Form responses 1'!$C$2:$C$2604,""))</f>
        <v/>
      </c>
      <c r="F3695" s="44" t="str">
        <f t="array" ref="F3695">IF(B3695="","",_xlfn.XLOOKUP(B3695,'Form responses 1'!$B$2:$B$2604,'Form responses 1'!$D$2:$D$2604,""))</f>
        <v/>
      </c>
      <c r="G3695" s="44" t="str">
        <f t="array" ref="G3695">IF(B3695="","",_xlfn.XLOOKUP(B3695,'Form responses 1'!$B$2:$B$2604,'Form responses 1'!$E$2:$E$2604,""))</f>
        <v/>
      </c>
      <c r="H3695" s="44" t="str">
        <f t="array" ref="H3695">IF(B3695="","",_xlfn.XLOOKUP(B3695,'Form responses 1'!$B$2:$B$2604,'Form responses 1'!$F$2:$F$2604,""))</f>
        <v/>
      </c>
      <c r="I3695" s="44" t="str">
        <f t="array" ref="I3695">IF(B3695="","",_xlfn.XLOOKUP(B3695,'Form responses 1'!$B$2:$B$2604,'Form responses 1'!$I$2:$I$2604,""))</f>
        <v/>
      </c>
      <c r="J3695" s="44" t="str">
        <f t="array" ref="J3695">IF(B3695="","",_xlfn.XLOOKUP(B3695,'Form responses 1'!$B$2:$B$2604,'Form responses 1'!$G$2:$G$2604,""))</f>
        <v/>
      </c>
      <c r="K3695" s="56"/>
      <c r="L3695" s="58" t="str">
        <f t="shared" si="7"/>
        <v/>
      </c>
      <c r="M3695" s="49"/>
      <c r="N3695" s="49"/>
      <c r="O3695" s="49"/>
      <c r="P3695" s="49"/>
      <c r="Q3695" s="49"/>
      <c r="R3695" s="49"/>
      <c r="S3695" s="49"/>
      <c r="T3695" s="49"/>
      <c r="U3695" s="49"/>
      <c r="V3695" s="49"/>
      <c r="W3695" s="56"/>
      <c r="X3695" s="51" t="str">
        <f t="shared" si="5"/>
        <v/>
      </c>
      <c r="Y3695" s="50" t="s">
        <v>482</v>
      </c>
      <c r="Z3695" s="49">
        <f t="shared" si="6"/>
        <v>0</v>
      </c>
    </row>
    <row r="3696" ht="22.5" customHeight="1">
      <c r="B3696" s="57"/>
      <c r="C3696" s="43" t="str">
        <f t="array" ref="C3696">IF(B3696="","",_xlfn.XLOOKUP(B3696,'Form responses 1'!$B$2:$B$2604,'Form responses 1'!$A$2:$A$2604,""))</f>
        <v/>
      </c>
      <c r="D3696" s="44" t="str">
        <f t="shared" si="3"/>
        <v/>
      </c>
      <c r="E3696" s="44" t="str">
        <f t="array" ref="E3696">IF(B3696="","",_xlfn.XLOOKUP(B3696,'Form responses 1'!$B$2:$B$2604,'Form responses 1'!$C$2:$C$2604,""))</f>
        <v/>
      </c>
      <c r="F3696" s="44" t="str">
        <f t="array" ref="F3696">IF(B3696="","",_xlfn.XLOOKUP(B3696,'Form responses 1'!$B$2:$B$2604,'Form responses 1'!$D$2:$D$2604,""))</f>
        <v/>
      </c>
      <c r="G3696" s="44" t="str">
        <f t="array" ref="G3696">IF(B3696="","",_xlfn.XLOOKUP(B3696,'Form responses 1'!$B$2:$B$2604,'Form responses 1'!$E$2:$E$2604,""))</f>
        <v/>
      </c>
      <c r="H3696" s="44" t="str">
        <f t="array" ref="H3696">IF(B3696="","",_xlfn.XLOOKUP(B3696,'Form responses 1'!$B$2:$B$2604,'Form responses 1'!$F$2:$F$2604,""))</f>
        <v/>
      </c>
      <c r="I3696" s="44" t="str">
        <f t="array" ref="I3696">IF(B3696="","",_xlfn.XLOOKUP(B3696,'Form responses 1'!$B$2:$B$2604,'Form responses 1'!$I$2:$I$2604,""))</f>
        <v/>
      </c>
      <c r="J3696" s="44" t="str">
        <f t="array" ref="J3696">IF(B3696="","",_xlfn.XLOOKUP(B3696,'Form responses 1'!$B$2:$B$2604,'Form responses 1'!$G$2:$G$2604,""))</f>
        <v/>
      </c>
      <c r="K3696" s="56"/>
      <c r="L3696" s="58" t="str">
        <f t="shared" si="7"/>
        <v/>
      </c>
      <c r="M3696" s="49"/>
      <c r="N3696" s="49"/>
      <c r="O3696" s="49"/>
      <c r="P3696" s="49"/>
      <c r="Q3696" s="49"/>
      <c r="R3696" s="49"/>
      <c r="S3696" s="49"/>
      <c r="T3696" s="49"/>
      <c r="U3696" s="49"/>
      <c r="V3696" s="49"/>
      <c r="W3696" s="56"/>
      <c r="X3696" s="51" t="str">
        <f t="shared" si="5"/>
        <v/>
      </c>
      <c r="Y3696" s="50" t="s">
        <v>482</v>
      </c>
      <c r="Z3696" s="49">
        <f t="shared" si="6"/>
        <v>0</v>
      </c>
    </row>
    <row r="3697" ht="22.5" customHeight="1">
      <c r="B3697" s="57"/>
      <c r="C3697" s="43" t="str">
        <f t="array" ref="C3697">IF(B3697="","",_xlfn.XLOOKUP(B3697,'Form responses 1'!$B$2:$B$2604,'Form responses 1'!$A$2:$A$2604,""))</f>
        <v/>
      </c>
      <c r="D3697" s="44" t="str">
        <f t="shared" si="3"/>
        <v/>
      </c>
      <c r="E3697" s="44" t="str">
        <f t="array" ref="E3697">IF(B3697="","",_xlfn.XLOOKUP(B3697,'Form responses 1'!$B$2:$B$2604,'Form responses 1'!$C$2:$C$2604,""))</f>
        <v/>
      </c>
      <c r="F3697" s="44" t="str">
        <f t="array" ref="F3697">IF(B3697="","",_xlfn.XLOOKUP(B3697,'Form responses 1'!$B$2:$B$2604,'Form responses 1'!$D$2:$D$2604,""))</f>
        <v/>
      </c>
      <c r="G3697" s="44" t="str">
        <f t="array" ref="G3697">IF(B3697="","",_xlfn.XLOOKUP(B3697,'Form responses 1'!$B$2:$B$2604,'Form responses 1'!$E$2:$E$2604,""))</f>
        <v/>
      </c>
      <c r="H3697" s="44" t="str">
        <f t="array" ref="H3697">IF(B3697="","",_xlfn.XLOOKUP(B3697,'Form responses 1'!$B$2:$B$2604,'Form responses 1'!$F$2:$F$2604,""))</f>
        <v/>
      </c>
      <c r="I3697" s="44" t="str">
        <f t="array" ref="I3697">IF(B3697="","",_xlfn.XLOOKUP(B3697,'Form responses 1'!$B$2:$B$2604,'Form responses 1'!$I$2:$I$2604,""))</f>
        <v/>
      </c>
      <c r="J3697" s="44" t="str">
        <f t="array" ref="J3697">IF(B3697="","",_xlfn.XLOOKUP(B3697,'Form responses 1'!$B$2:$B$2604,'Form responses 1'!$G$2:$G$2604,""))</f>
        <v/>
      </c>
      <c r="K3697" s="56"/>
      <c r="L3697" s="58" t="str">
        <f t="shared" si="7"/>
        <v/>
      </c>
      <c r="M3697" s="49"/>
      <c r="N3697" s="49"/>
      <c r="O3697" s="49"/>
      <c r="P3697" s="49"/>
      <c r="Q3697" s="49"/>
      <c r="R3697" s="49"/>
      <c r="S3697" s="49"/>
      <c r="T3697" s="49"/>
      <c r="U3697" s="49"/>
      <c r="V3697" s="49"/>
      <c r="W3697" s="56"/>
      <c r="X3697" s="51" t="str">
        <f t="shared" si="5"/>
        <v/>
      </c>
      <c r="Y3697" s="50" t="s">
        <v>482</v>
      </c>
      <c r="Z3697" s="49">
        <f t="shared" si="6"/>
        <v>0</v>
      </c>
    </row>
    <row r="3698" ht="22.5" customHeight="1">
      <c r="B3698" s="57"/>
      <c r="C3698" s="43" t="str">
        <f t="array" ref="C3698">IF(B3698="","",_xlfn.XLOOKUP(B3698,'Form responses 1'!$B$2:$B$2604,'Form responses 1'!$A$2:$A$2604,""))</f>
        <v/>
      </c>
      <c r="D3698" s="44" t="str">
        <f t="shared" si="3"/>
        <v/>
      </c>
      <c r="E3698" s="44" t="str">
        <f t="array" ref="E3698">IF(B3698="","",_xlfn.XLOOKUP(B3698,'Form responses 1'!$B$2:$B$2604,'Form responses 1'!$C$2:$C$2604,""))</f>
        <v/>
      </c>
      <c r="F3698" s="44" t="str">
        <f t="array" ref="F3698">IF(B3698="","",_xlfn.XLOOKUP(B3698,'Form responses 1'!$B$2:$B$2604,'Form responses 1'!$D$2:$D$2604,""))</f>
        <v/>
      </c>
      <c r="G3698" s="44" t="str">
        <f t="array" ref="G3698">IF(B3698="","",_xlfn.XLOOKUP(B3698,'Form responses 1'!$B$2:$B$2604,'Form responses 1'!$E$2:$E$2604,""))</f>
        <v/>
      </c>
      <c r="H3698" s="44" t="str">
        <f t="array" ref="H3698">IF(B3698="","",_xlfn.XLOOKUP(B3698,'Form responses 1'!$B$2:$B$2604,'Form responses 1'!$F$2:$F$2604,""))</f>
        <v/>
      </c>
      <c r="I3698" s="44" t="str">
        <f t="array" ref="I3698">IF(B3698="","",_xlfn.XLOOKUP(B3698,'Form responses 1'!$B$2:$B$2604,'Form responses 1'!$I$2:$I$2604,""))</f>
        <v/>
      </c>
      <c r="J3698" s="44" t="str">
        <f t="array" ref="J3698">IF(B3698="","",_xlfn.XLOOKUP(B3698,'Form responses 1'!$B$2:$B$2604,'Form responses 1'!$G$2:$G$2604,""))</f>
        <v/>
      </c>
      <c r="K3698" s="56"/>
      <c r="L3698" s="58" t="str">
        <f t="shared" si="7"/>
        <v/>
      </c>
      <c r="M3698" s="49"/>
      <c r="N3698" s="49"/>
      <c r="O3698" s="49"/>
      <c r="P3698" s="49"/>
      <c r="Q3698" s="49"/>
      <c r="R3698" s="49"/>
      <c r="S3698" s="49"/>
      <c r="T3698" s="49"/>
      <c r="U3698" s="49"/>
      <c r="V3698" s="49"/>
      <c r="W3698" s="56"/>
      <c r="X3698" s="51" t="str">
        <f t="shared" si="5"/>
        <v/>
      </c>
      <c r="Y3698" s="50" t="s">
        <v>482</v>
      </c>
      <c r="Z3698" s="49">
        <f t="shared" si="6"/>
        <v>0</v>
      </c>
    </row>
    <row r="3699" ht="22.5" customHeight="1">
      <c r="B3699" s="57"/>
      <c r="C3699" s="43" t="str">
        <f t="array" ref="C3699">IF(B3699="","",_xlfn.XLOOKUP(B3699,'Form responses 1'!$B$2:$B$2604,'Form responses 1'!$A$2:$A$2604,""))</f>
        <v/>
      </c>
      <c r="D3699" s="44" t="str">
        <f t="shared" si="3"/>
        <v/>
      </c>
      <c r="E3699" s="44" t="str">
        <f t="array" ref="E3699">IF(B3699="","",_xlfn.XLOOKUP(B3699,'Form responses 1'!$B$2:$B$2604,'Form responses 1'!$C$2:$C$2604,""))</f>
        <v/>
      </c>
      <c r="F3699" s="44" t="str">
        <f t="array" ref="F3699">IF(B3699="","",_xlfn.XLOOKUP(B3699,'Form responses 1'!$B$2:$B$2604,'Form responses 1'!$D$2:$D$2604,""))</f>
        <v/>
      </c>
      <c r="G3699" s="44" t="str">
        <f t="array" ref="G3699">IF(B3699="","",_xlfn.XLOOKUP(B3699,'Form responses 1'!$B$2:$B$2604,'Form responses 1'!$E$2:$E$2604,""))</f>
        <v/>
      </c>
      <c r="H3699" s="44" t="str">
        <f t="array" ref="H3699">IF(B3699="","",_xlfn.XLOOKUP(B3699,'Form responses 1'!$B$2:$B$2604,'Form responses 1'!$F$2:$F$2604,""))</f>
        <v/>
      </c>
      <c r="I3699" s="44" t="str">
        <f t="array" ref="I3699">IF(B3699="","",_xlfn.XLOOKUP(B3699,'Form responses 1'!$B$2:$B$2604,'Form responses 1'!$I$2:$I$2604,""))</f>
        <v/>
      </c>
      <c r="J3699" s="44" t="str">
        <f t="array" ref="J3699">IF(B3699="","",_xlfn.XLOOKUP(B3699,'Form responses 1'!$B$2:$B$2604,'Form responses 1'!$G$2:$G$2604,""))</f>
        <v/>
      </c>
      <c r="K3699" s="56"/>
      <c r="L3699" s="58" t="str">
        <f t="shared" si="7"/>
        <v/>
      </c>
      <c r="M3699" s="49"/>
      <c r="N3699" s="49"/>
      <c r="O3699" s="49"/>
      <c r="P3699" s="49"/>
      <c r="Q3699" s="49"/>
      <c r="R3699" s="49"/>
      <c r="S3699" s="49"/>
      <c r="T3699" s="49"/>
      <c r="U3699" s="49"/>
      <c r="V3699" s="49"/>
      <c r="W3699" s="56"/>
      <c r="X3699" s="51" t="str">
        <f t="shared" si="5"/>
        <v/>
      </c>
      <c r="Y3699" s="50" t="s">
        <v>482</v>
      </c>
      <c r="Z3699" s="49">
        <f t="shared" si="6"/>
        <v>0</v>
      </c>
    </row>
    <row r="3700" ht="22.5" customHeight="1">
      <c r="B3700" s="57"/>
      <c r="C3700" s="43" t="str">
        <f t="array" ref="C3700">IF(B3700="","",_xlfn.XLOOKUP(B3700,'Form responses 1'!$B$2:$B$2604,'Form responses 1'!$A$2:$A$2604,""))</f>
        <v/>
      </c>
      <c r="D3700" s="44" t="str">
        <f t="shared" si="3"/>
        <v/>
      </c>
      <c r="E3700" s="44" t="str">
        <f t="array" ref="E3700">IF(B3700="","",_xlfn.XLOOKUP(B3700,'Form responses 1'!$B$2:$B$2604,'Form responses 1'!$C$2:$C$2604,""))</f>
        <v/>
      </c>
      <c r="F3700" s="44" t="str">
        <f t="array" ref="F3700">IF(B3700="","",_xlfn.XLOOKUP(B3700,'Form responses 1'!$B$2:$B$2604,'Form responses 1'!$D$2:$D$2604,""))</f>
        <v/>
      </c>
      <c r="G3700" s="44" t="str">
        <f t="array" ref="G3700">IF(B3700="","",_xlfn.XLOOKUP(B3700,'Form responses 1'!$B$2:$B$2604,'Form responses 1'!$E$2:$E$2604,""))</f>
        <v/>
      </c>
      <c r="H3700" s="44" t="str">
        <f t="array" ref="H3700">IF(B3700="","",_xlfn.XLOOKUP(B3700,'Form responses 1'!$B$2:$B$2604,'Form responses 1'!$F$2:$F$2604,""))</f>
        <v/>
      </c>
      <c r="I3700" s="44" t="str">
        <f t="array" ref="I3700">IF(B3700="","",_xlfn.XLOOKUP(B3700,'Form responses 1'!$B$2:$B$2604,'Form responses 1'!$I$2:$I$2604,""))</f>
        <v/>
      </c>
      <c r="J3700" s="44" t="str">
        <f t="array" ref="J3700">IF(B3700="","",_xlfn.XLOOKUP(B3700,'Form responses 1'!$B$2:$B$2604,'Form responses 1'!$G$2:$G$2604,""))</f>
        <v/>
      </c>
      <c r="K3700" s="56"/>
      <c r="L3700" s="58" t="str">
        <f t="shared" si="7"/>
        <v/>
      </c>
      <c r="M3700" s="49"/>
      <c r="N3700" s="49"/>
      <c r="O3700" s="49"/>
      <c r="P3700" s="49"/>
      <c r="Q3700" s="49"/>
      <c r="R3700" s="49"/>
      <c r="S3700" s="49"/>
      <c r="T3700" s="49"/>
      <c r="U3700" s="49"/>
      <c r="V3700" s="49"/>
      <c r="W3700" s="56"/>
      <c r="X3700" s="51" t="str">
        <f t="shared" si="5"/>
        <v/>
      </c>
      <c r="Y3700" s="50" t="s">
        <v>482</v>
      </c>
      <c r="Z3700" s="49">
        <f t="shared" si="6"/>
        <v>0</v>
      </c>
    </row>
    <row r="3701" ht="22.5" customHeight="1">
      <c r="B3701" s="57"/>
      <c r="C3701" s="43" t="str">
        <f t="array" ref="C3701">IF(B3701="","",_xlfn.XLOOKUP(B3701,'Form responses 1'!$B$2:$B$2604,'Form responses 1'!$A$2:$A$2604,""))</f>
        <v/>
      </c>
      <c r="D3701" s="44" t="str">
        <f t="shared" si="3"/>
        <v/>
      </c>
      <c r="E3701" s="44" t="str">
        <f t="array" ref="E3701">IF(B3701="","",_xlfn.XLOOKUP(B3701,'Form responses 1'!$B$2:$B$2604,'Form responses 1'!$C$2:$C$2604,""))</f>
        <v/>
      </c>
      <c r="F3701" s="44" t="str">
        <f t="array" ref="F3701">IF(B3701="","",_xlfn.XLOOKUP(B3701,'Form responses 1'!$B$2:$B$2604,'Form responses 1'!$D$2:$D$2604,""))</f>
        <v/>
      </c>
      <c r="G3701" s="44" t="str">
        <f t="array" ref="G3701">IF(B3701="","",_xlfn.XLOOKUP(B3701,'Form responses 1'!$B$2:$B$2604,'Form responses 1'!$E$2:$E$2604,""))</f>
        <v/>
      </c>
      <c r="H3701" s="44" t="str">
        <f t="array" ref="H3701">IF(B3701="","",_xlfn.XLOOKUP(B3701,'Form responses 1'!$B$2:$B$2604,'Form responses 1'!$F$2:$F$2604,""))</f>
        <v/>
      </c>
      <c r="I3701" s="44" t="str">
        <f t="array" ref="I3701">IF(B3701="","",_xlfn.XLOOKUP(B3701,'Form responses 1'!$B$2:$B$2604,'Form responses 1'!$I$2:$I$2604,""))</f>
        <v/>
      </c>
      <c r="J3701" s="44" t="str">
        <f t="array" ref="J3701">IF(B3701="","",_xlfn.XLOOKUP(B3701,'Form responses 1'!$B$2:$B$2604,'Form responses 1'!$G$2:$G$2604,""))</f>
        <v/>
      </c>
      <c r="K3701" s="56"/>
      <c r="L3701" s="58" t="str">
        <f t="shared" si="7"/>
        <v/>
      </c>
      <c r="M3701" s="49"/>
      <c r="N3701" s="49"/>
      <c r="O3701" s="49"/>
      <c r="P3701" s="49"/>
      <c r="Q3701" s="49"/>
      <c r="R3701" s="49"/>
      <c r="S3701" s="49"/>
      <c r="T3701" s="49"/>
      <c r="U3701" s="49"/>
      <c r="V3701" s="49"/>
      <c r="W3701" s="56"/>
      <c r="X3701" s="51" t="str">
        <f t="shared" si="5"/>
        <v/>
      </c>
      <c r="Y3701" s="50" t="s">
        <v>482</v>
      </c>
      <c r="Z3701" s="49">
        <f t="shared" si="6"/>
        <v>0</v>
      </c>
    </row>
    <row r="3702" ht="22.5" customHeight="1">
      <c r="B3702" s="57"/>
      <c r="C3702" s="43" t="str">
        <f t="array" ref="C3702">IF(B3702="","",_xlfn.XLOOKUP(B3702,'Form responses 1'!$B$2:$B$2604,'Form responses 1'!$A$2:$A$2604,""))</f>
        <v/>
      </c>
      <c r="D3702" s="44" t="str">
        <f t="shared" si="3"/>
        <v/>
      </c>
      <c r="E3702" s="44" t="str">
        <f t="array" ref="E3702">IF(B3702="","",_xlfn.XLOOKUP(B3702,'Form responses 1'!$B$2:$B$2604,'Form responses 1'!$C$2:$C$2604,""))</f>
        <v/>
      </c>
      <c r="F3702" s="44" t="str">
        <f t="array" ref="F3702">IF(B3702="","",_xlfn.XLOOKUP(B3702,'Form responses 1'!$B$2:$B$2604,'Form responses 1'!$D$2:$D$2604,""))</f>
        <v/>
      </c>
      <c r="G3702" s="44" t="str">
        <f t="array" ref="G3702">IF(B3702="","",_xlfn.XLOOKUP(B3702,'Form responses 1'!$B$2:$B$2604,'Form responses 1'!$E$2:$E$2604,""))</f>
        <v/>
      </c>
      <c r="H3702" s="44" t="str">
        <f t="array" ref="H3702">IF(B3702="","",_xlfn.XLOOKUP(B3702,'Form responses 1'!$B$2:$B$2604,'Form responses 1'!$F$2:$F$2604,""))</f>
        <v/>
      </c>
      <c r="I3702" s="44" t="str">
        <f t="array" ref="I3702">IF(B3702="","",_xlfn.XLOOKUP(B3702,'Form responses 1'!$B$2:$B$2604,'Form responses 1'!$I$2:$I$2604,""))</f>
        <v/>
      </c>
      <c r="J3702" s="44" t="str">
        <f t="array" ref="J3702">IF(B3702="","",_xlfn.XLOOKUP(B3702,'Form responses 1'!$B$2:$B$2604,'Form responses 1'!$G$2:$G$2604,""))</f>
        <v/>
      </c>
      <c r="K3702" s="56"/>
      <c r="L3702" s="58" t="str">
        <f t="shared" si="7"/>
        <v/>
      </c>
      <c r="M3702" s="49"/>
      <c r="N3702" s="49"/>
      <c r="O3702" s="49"/>
      <c r="P3702" s="49"/>
      <c r="Q3702" s="49"/>
      <c r="R3702" s="49"/>
      <c r="S3702" s="49"/>
      <c r="T3702" s="49"/>
      <c r="U3702" s="49"/>
      <c r="V3702" s="49"/>
      <c r="W3702" s="56"/>
      <c r="X3702" s="51" t="str">
        <f t="shared" si="5"/>
        <v/>
      </c>
      <c r="Y3702" s="50" t="s">
        <v>482</v>
      </c>
      <c r="Z3702" s="49">
        <f t="shared" si="6"/>
        <v>0</v>
      </c>
    </row>
    <row r="3703" ht="22.5" customHeight="1">
      <c r="B3703" s="57"/>
      <c r="C3703" s="43" t="str">
        <f t="array" ref="C3703">IF(B3703="","",_xlfn.XLOOKUP(B3703,'Form responses 1'!$B$2:$B$2604,'Form responses 1'!$A$2:$A$2604,""))</f>
        <v/>
      </c>
      <c r="D3703" s="44" t="str">
        <f t="shared" si="3"/>
        <v/>
      </c>
      <c r="E3703" s="44" t="str">
        <f t="array" ref="E3703">IF(B3703="","",_xlfn.XLOOKUP(B3703,'Form responses 1'!$B$2:$B$2604,'Form responses 1'!$C$2:$C$2604,""))</f>
        <v/>
      </c>
      <c r="F3703" s="44" t="str">
        <f t="array" ref="F3703">IF(B3703="","",_xlfn.XLOOKUP(B3703,'Form responses 1'!$B$2:$B$2604,'Form responses 1'!$D$2:$D$2604,""))</f>
        <v/>
      </c>
      <c r="G3703" s="44" t="str">
        <f t="array" ref="G3703">IF(B3703="","",_xlfn.XLOOKUP(B3703,'Form responses 1'!$B$2:$B$2604,'Form responses 1'!$E$2:$E$2604,""))</f>
        <v/>
      </c>
      <c r="H3703" s="44" t="str">
        <f t="array" ref="H3703">IF(B3703="","",_xlfn.XLOOKUP(B3703,'Form responses 1'!$B$2:$B$2604,'Form responses 1'!$F$2:$F$2604,""))</f>
        <v/>
      </c>
      <c r="I3703" s="44" t="str">
        <f t="array" ref="I3703">IF(B3703="","",_xlfn.XLOOKUP(B3703,'Form responses 1'!$B$2:$B$2604,'Form responses 1'!$I$2:$I$2604,""))</f>
        <v/>
      </c>
      <c r="J3703" s="44" t="str">
        <f t="array" ref="J3703">IF(B3703="","",_xlfn.XLOOKUP(B3703,'Form responses 1'!$B$2:$B$2604,'Form responses 1'!$G$2:$G$2604,""))</f>
        <v/>
      </c>
      <c r="K3703" s="56"/>
      <c r="L3703" s="58" t="str">
        <f t="shared" si="7"/>
        <v/>
      </c>
      <c r="M3703" s="49"/>
      <c r="N3703" s="49"/>
      <c r="O3703" s="49"/>
      <c r="P3703" s="49"/>
      <c r="Q3703" s="49"/>
      <c r="R3703" s="49"/>
      <c r="S3703" s="49"/>
      <c r="T3703" s="49"/>
      <c r="U3703" s="49"/>
      <c r="V3703" s="49"/>
      <c r="W3703" s="56"/>
      <c r="X3703" s="51" t="str">
        <f t="shared" si="5"/>
        <v/>
      </c>
      <c r="Y3703" s="50" t="s">
        <v>482</v>
      </c>
      <c r="Z3703" s="49">
        <f t="shared" si="6"/>
        <v>0</v>
      </c>
    </row>
    <row r="3704" ht="22.5" customHeight="1">
      <c r="B3704" s="57"/>
      <c r="C3704" s="43" t="str">
        <f t="array" ref="C3704">IF(B3704="","",_xlfn.XLOOKUP(B3704,'Form responses 1'!$B$2:$B$2604,'Form responses 1'!$A$2:$A$2604,""))</f>
        <v/>
      </c>
      <c r="D3704" s="44" t="str">
        <f t="shared" si="3"/>
        <v/>
      </c>
      <c r="E3704" s="44" t="str">
        <f t="array" ref="E3704">IF(B3704="","",_xlfn.XLOOKUP(B3704,'Form responses 1'!$B$2:$B$2604,'Form responses 1'!$C$2:$C$2604,""))</f>
        <v/>
      </c>
      <c r="F3704" s="44" t="str">
        <f t="array" ref="F3704">IF(B3704="","",_xlfn.XLOOKUP(B3704,'Form responses 1'!$B$2:$B$2604,'Form responses 1'!$D$2:$D$2604,""))</f>
        <v/>
      </c>
      <c r="G3704" s="44" t="str">
        <f t="array" ref="G3704">IF(B3704="","",_xlfn.XLOOKUP(B3704,'Form responses 1'!$B$2:$B$2604,'Form responses 1'!$E$2:$E$2604,""))</f>
        <v/>
      </c>
      <c r="H3704" s="44" t="str">
        <f t="array" ref="H3704">IF(B3704="","",_xlfn.XLOOKUP(B3704,'Form responses 1'!$B$2:$B$2604,'Form responses 1'!$F$2:$F$2604,""))</f>
        <v/>
      </c>
      <c r="I3704" s="44" t="str">
        <f t="array" ref="I3704">IF(B3704="","",_xlfn.XLOOKUP(B3704,'Form responses 1'!$B$2:$B$2604,'Form responses 1'!$I$2:$I$2604,""))</f>
        <v/>
      </c>
      <c r="J3704" s="44" t="str">
        <f t="array" ref="J3704">IF(B3704="","",_xlfn.XLOOKUP(B3704,'Form responses 1'!$B$2:$B$2604,'Form responses 1'!$G$2:$G$2604,""))</f>
        <v/>
      </c>
      <c r="K3704" s="56"/>
      <c r="L3704" s="58" t="str">
        <f t="shared" si="7"/>
        <v/>
      </c>
      <c r="M3704" s="49"/>
      <c r="N3704" s="49"/>
      <c r="O3704" s="49"/>
      <c r="P3704" s="49"/>
      <c r="Q3704" s="49"/>
      <c r="R3704" s="49"/>
      <c r="S3704" s="49"/>
      <c r="T3704" s="49"/>
      <c r="U3704" s="49"/>
      <c r="V3704" s="49"/>
      <c r="W3704" s="56"/>
      <c r="X3704" s="51" t="str">
        <f t="shared" si="5"/>
        <v/>
      </c>
      <c r="Y3704" s="50" t="s">
        <v>482</v>
      </c>
      <c r="Z3704" s="49">
        <f t="shared" si="6"/>
        <v>0</v>
      </c>
    </row>
    <row r="3705" ht="22.5" customHeight="1">
      <c r="B3705" s="57"/>
      <c r="C3705" s="43" t="str">
        <f t="array" ref="C3705">IF(B3705="","",_xlfn.XLOOKUP(B3705,'Form responses 1'!$B$2:$B$2604,'Form responses 1'!$A$2:$A$2604,""))</f>
        <v/>
      </c>
      <c r="D3705" s="44" t="str">
        <f t="shared" si="3"/>
        <v/>
      </c>
      <c r="E3705" s="44" t="str">
        <f t="array" ref="E3705">IF(B3705="","",_xlfn.XLOOKUP(B3705,'Form responses 1'!$B$2:$B$2604,'Form responses 1'!$C$2:$C$2604,""))</f>
        <v/>
      </c>
      <c r="F3705" s="44" t="str">
        <f t="array" ref="F3705">IF(B3705="","",_xlfn.XLOOKUP(B3705,'Form responses 1'!$B$2:$B$2604,'Form responses 1'!$D$2:$D$2604,""))</f>
        <v/>
      </c>
      <c r="G3705" s="44" t="str">
        <f t="array" ref="G3705">IF(B3705="","",_xlfn.XLOOKUP(B3705,'Form responses 1'!$B$2:$B$2604,'Form responses 1'!$E$2:$E$2604,""))</f>
        <v/>
      </c>
      <c r="H3705" s="44" t="str">
        <f t="array" ref="H3705">IF(B3705="","",_xlfn.XLOOKUP(B3705,'Form responses 1'!$B$2:$B$2604,'Form responses 1'!$F$2:$F$2604,""))</f>
        <v/>
      </c>
      <c r="I3705" s="44" t="str">
        <f t="array" ref="I3705">IF(B3705="","",_xlfn.XLOOKUP(B3705,'Form responses 1'!$B$2:$B$2604,'Form responses 1'!$I$2:$I$2604,""))</f>
        <v/>
      </c>
      <c r="J3705" s="44" t="str">
        <f t="array" ref="J3705">IF(B3705="","",_xlfn.XLOOKUP(B3705,'Form responses 1'!$B$2:$B$2604,'Form responses 1'!$G$2:$G$2604,""))</f>
        <v/>
      </c>
      <c r="K3705" s="56"/>
      <c r="L3705" s="58" t="str">
        <f t="shared" si="7"/>
        <v/>
      </c>
      <c r="M3705" s="49"/>
      <c r="N3705" s="49"/>
      <c r="O3705" s="49"/>
      <c r="P3705" s="49"/>
      <c r="Q3705" s="49"/>
      <c r="R3705" s="49"/>
      <c r="S3705" s="49"/>
      <c r="T3705" s="49"/>
      <c r="U3705" s="49"/>
      <c r="V3705" s="49"/>
      <c r="W3705" s="56"/>
      <c r="X3705" s="51" t="str">
        <f t="shared" si="5"/>
        <v/>
      </c>
      <c r="Y3705" s="50" t="s">
        <v>482</v>
      </c>
      <c r="Z3705" s="49">
        <f t="shared" si="6"/>
        <v>0</v>
      </c>
    </row>
    <row r="3706" ht="22.5" customHeight="1">
      <c r="B3706" s="57"/>
      <c r="C3706" s="43" t="str">
        <f t="array" ref="C3706">IF(B3706="","",_xlfn.XLOOKUP(B3706,'Form responses 1'!$B$2:$B$2604,'Form responses 1'!$A$2:$A$2604,""))</f>
        <v/>
      </c>
      <c r="D3706" s="44" t="str">
        <f t="shared" si="3"/>
        <v/>
      </c>
      <c r="E3706" s="44" t="str">
        <f t="array" ref="E3706">IF(B3706="","",_xlfn.XLOOKUP(B3706,'Form responses 1'!$B$2:$B$2604,'Form responses 1'!$C$2:$C$2604,""))</f>
        <v/>
      </c>
      <c r="F3706" s="44" t="str">
        <f t="array" ref="F3706">IF(B3706="","",_xlfn.XLOOKUP(B3706,'Form responses 1'!$B$2:$B$2604,'Form responses 1'!$D$2:$D$2604,""))</f>
        <v/>
      </c>
      <c r="G3706" s="44" t="str">
        <f t="array" ref="G3706">IF(B3706="","",_xlfn.XLOOKUP(B3706,'Form responses 1'!$B$2:$B$2604,'Form responses 1'!$E$2:$E$2604,""))</f>
        <v/>
      </c>
      <c r="H3706" s="44" t="str">
        <f t="array" ref="H3706">IF(B3706="","",_xlfn.XLOOKUP(B3706,'Form responses 1'!$B$2:$B$2604,'Form responses 1'!$F$2:$F$2604,""))</f>
        <v/>
      </c>
      <c r="I3706" s="44" t="str">
        <f t="array" ref="I3706">IF(B3706="","",_xlfn.XLOOKUP(B3706,'Form responses 1'!$B$2:$B$2604,'Form responses 1'!$I$2:$I$2604,""))</f>
        <v/>
      </c>
      <c r="J3706" s="44" t="str">
        <f t="array" ref="J3706">IF(B3706="","",_xlfn.XLOOKUP(B3706,'Form responses 1'!$B$2:$B$2604,'Form responses 1'!$G$2:$G$2604,""))</f>
        <v/>
      </c>
      <c r="K3706" s="56"/>
      <c r="L3706" s="58" t="str">
        <f t="shared" si="7"/>
        <v/>
      </c>
      <c r="M3706" s="49"/>
      <c r="N3706" s="49"/>
      <c r="O3706" s="49"/>
      <c r="P3706" s="49"/>
      <c r="Q3706" s="49"/>
      <c r="R3706" s="49"/>
      <c r="S3706" s="49"/>
      <c r="T3706" s="49"/>
      <c r="U3706" s="49"/>
      <c r="V3706" s="49"/>
      <c r="W3706" s="56"/>
      <c r="X3706" s="51" t="str">
        <f t="shared" si="5"/>
        <v/>
      </c>
      <c r="Y3706" s="50" t="s">
        <v>482</v>
      </c>
      <c r="Z3706" s="49">
        <f t="shared" si="6"/>
        <v>0</v>
      </c>
    </row>
    <row r="3707" ht="22.5" customHeight="1">
      <c r="B3707" s="57"/>
      <c r="C3707" s="43" t="str">
        <f t="array" ref="C3707">IF(B3707="","",_xlfn.XLOOKUP(B3707,'Form responses 1'!$B$2:$B$2604,'Form responses 1'!$A$2:$A$2604,""))</f>
        <v/>
      </c>
      <c r="D3707" s="44" t="str">
        <f t="shared" si="3"/>
        <v/>
      </c>
      <c r="E3707" s="44" t="str">
        <f t="array" ref="E3707">IF(B3707="","",_xlfn.XLOOKUP(B3707,'Form responses 1'!$B$2:$B$2604,'Form responses 1'!$C$2:$C$2604,""))</f>
        <v/>
      </c>
      <c r="F3707" s="44" t="str">
        <f t="array" ref="F3707">IF(B3707="","",_xlfn.XLOOKUP(B3707,'Form responses 1'!$B$2:$B$2604,'Form responses 1'!$D$2:$D$2604,""))</f>
        <v/>
      </c>
      <c r="G3707" s="44" t="str">
        <f t="array" ref="G3707">IF(B3707="","",_xlfn.XLOOKUP(B3707,'Form responses 1'!$B$2:$B$2604,'Form responses 1'!$E$2:$E$2604,""))</f>
        <v/>
      </c>
      <c r="H3707" s="44" t="str">
        <f t="array" ref="H3707">IF(B3707="","",_xlfn.XLOOKUP(B3707,'Form responses 1'!$B$2:$B$2604,'Form responses 1'!$F$2:$F$2604,""))</f>
        <v/>
      </c>
      <c r="I3707" s="44" t="str">
        <f t="array" ref="I3707">IF(B3707="","",_xlfn.XLOOKUP(B3707,'Form responses 1'!$B$2:$B$2604,'Form responses 1'!$I$2:$I$2604,""))</f>
        <v/>
      </c>
      <c r="J3707" s="44" t="str">
        <f t="array" ref="J3707">IF(B3707="","",_xlfn.XLOOKUP(B3707,'Form responses 1'!$B$2:$B$2604,'Form responses 1'!$G$2:$G$2604,""))</f>
        <v/>
      </c>
      <c r="K3707" s="56"/>
      <c r="L3707" s="58" t="str">
        <f t="shared" si="7"/>
        <v/>
      </c>
      <c r="M3707" s="49"/>
      <c r="N3707" s="49"/>
      <c r="O3707" s="49"/>
      <c r="P3707" s="49"/>
      <c r="Q3707" s="49"/>
      <c r="R3707" s="49"/>
      <c r="S3707" s="49"/>
      <c r="T3707" s="49"/>
      <c r="U3707" s="49"/>
      <c r="V3707" s="49"/>
      <c r="W3707" s="56"/>
      <c r="X3707" s="51" t="str">
        <f t="shared" si="5"/>
        <v/>
      </c>
      <c r="Y3707" s="50" t="s">
        <v>482</v>
      </c>
      <c r="Z3707" s="49">
        <f t="shared" si="6"/>
        <v>0</v>
      </c>
    </row>
    <row r="3708" ht="22.5" customHeight="1">
      <c r="B3708" s="57"/>
      <c r="C3708" s="43" t="str">
        <f t="array" ref="C3708">IF(B3708="","",_xlfn.XLOOKUP(B3708,'Form responses 1'!$B$2:$B$2604,'Form responses 1'!$A$2:$A$2604,""))</f>
        <v/>
      </c>
      <c r="D3708" s="44" t="str">
        <f t="shared" si="3"/>
        <v/>
      </c>
      <c r="E3708" s="44" t="str">
        <f t="array" ref="E3708">IF(B3708="","",_xlfn.XLOOKUP(B3708,'Form responses 1'!$B$2:$B$2604,'Form responses 1'!$C$2:$C$2604,""))</f>
        <v/>
      </c>
      <c r="F3708" s="44" t="str">
        <f t="array" ref="F3708">IF(B3708="","",_xlfn.XLOOKUP(B3708,'Form responses 1'!$B$2:$B$2604,'Form responses 1'!$D$2:$D$2604,""))</f>
        <v/>
      </c>
      <c r="G3708" s="44" t="str">
        <f t="array" ref="G3708">IF(B3708="","",_xlfn.XLOOKUP(B3708,'Form responses 1'!$B$2:$B$2604,'Form responses 1'!$E$2:$E$2604,""))</f>
        <v/>
      </c>
      <c r="H3708" s="44" t="str">
        <f t="array" ref="H3708">IF(B3708="","",_xlfn.XLOOKUP(B3708,'Form responses 1'!$B$2:$B$2604,'Form responses 1'!$F$2:$F$2604,""))</f>
        <v/>
      </c>
      <c r="I3708" s="44" t="str">
        <f t="array" ref="I3708">IF(B3708="","",_xlfn.XLOOKUP(B3708,'Form responses 1'!$B$2:$B$2604,'Form responses 1'!$I$2:$I$2604,""))</f>
        <v/>
      </c>
      <c r="J3708" s="44" t="str">
        <f t="array" ref="J3708">IF(B3708="","",_xlfn.XLOOKUP(B3708,'Form responses 1'!$B$2:$B$2604,'Form responses 1'!$G$2:$G$2604,""))</f>
        <v/>
      </c>
      <c r="K3708" s="56"/>
      <c r="L3708" s="58" t="str">
        <f t="shared" si="7"/>
        <v/>
      </c>
      <c r="M3708" s="49"/>
      <c r="N3708" s="49"/>
      <c r="O3708" s="49"/>
      <c r="P3708" s="49"/>
      <c r="Q3708" s="49"/>
      <c r="R3708" s="49"/>
      <c r="S3708" s="49"/>
      <c r="T3708" s="49"/>
      <c r="U3708" s="49"/>
      <c r="V3708" s="49"/>
      <c r="W3708" s="56"/>
      <c r="X3708" s="51" t="str">
        <f t="shared" si="5"/>
        <v/>
      </c>
      <c r="Y3708" s="50" t="s">
        <v>482</v>
      </c>
      <c r="Z3708" s="49">
        <f t="shared" si="6"/>
        <v>0</v>
      </c>
    </row>
    <row r="3709" ht="22.5" customHeight="1">
      <c r="B3709" s="57"/>
      <c r="C3709" s="43" t="str">
        <f t="array" ref="C3709">IF(B3709="","",_xlfn.XLOOKUP(B3709,'Form responses 1'!$B$2:$B$2604,'Form responses 1'!$A$2:$A$2604,""))</f>
        <v/>
      </c>
      <c r="D3709" s="44" t="str">
        <f t="shared" si="3"/>
        <v/>
      </c>
      <c r="E3709" s="44" t="str">
        <f t="array" ref="E3709">IF(B3709="","",_xlfn.XLOOKUP(B3709,'Form responses 1'!$B$2:$B$2604,'Form responses 1'!$C$2:$C$2604,""))</f>
        <v/>
      </c>
      <c r="F3709" s="44" t="str">
        <f t="array" ref="F3709">IF(B3709="","",_xlfn.XLOOKUP(B3709,'Form responses 1'!$B$2:$B$2604,'Form responses 1'!$D$2:$D$2604,""))</f>
        <v/>
      </c>
      <c r="G3709" s="44" t="str">
        <f t="array" ref="G3709">IF(B3709="","",_xlfn.XLOOKUP(B3709,'Form responses 1'!$B$2:$B$2604,'Form responses 1'!$E$2:$E$2604,""))</f>
        <v/>
      </c>
      <c r="H3709" s="44" t="str">
        <f t="array" ref="H3709">IF(B3709="","",_xlfn.XLOOKUP(B3709,'Form responses 1'!$B$2:$B$2604,'Form responses 1'!$F$2:$F$2604,""))</f>
        <v/>
      </c>
      <c r="I3709" s="44" t="str">
        <f t="array" ref="I3709">IF(B3709="","",_xlfn.XLOOKUP(B3709,'Form responses 1'!$B$2:$B$2604,'Form responses 1'!$I$2:$I$2604,""))</f>
        <v/>
      </c>
      <c r="J3709" s="44" t="str">
        <f t="array" ref="J3709">IF(B3709="","",_xlfn.XLOOKUP(B3709,'Form responses 1'!$B$2:$B$2604,'Form responses 1'!$G$2:$G$2604,""))</f>
        <v/>
      </c>
      <c r="K3709" s="56"/>
      <c r="L3709" s="58" t="str">
        <f t="shared" si="7"/>
        <v/>
      </c>
      <c r="M3709" s="49"/>
      <c r="N3709" s="49"/>
      <c r="O3709" s="49"/>
      <c r="P3709" s="49"/>
      <c r="Q3709" s="49"/>
      <c r="R3709" s="49"/>
      <c r="S3709" s="49"/>
      <c r="T3709" s="49"/>
      <c r="U3709" s="49"/>
      <c r="V3709" s="49"/>
      <c r="W3709" s="56"/>
      <c r="X3709" s="51" t="str">
        <f t="shared" si="5"/>
        <v/>
      </c>
      <c r="Y3709" s="50" t="s">
        <v>482</v>
      </c>
      <c r="Z3709" s="49">
        <f t="shared" si="6"/>
        <v>0</v>
      </c>
    </row>
    <row r="3710" ht="22.5" customHeight="1">
      <c r="B3710" s="57"/>
      <c r="C3710" s="43" t="str">
        <f t="array" ref="C3710">IF(B3710="","",_xlfn.XLOOKUP(B3710,'Form responses 1'!$B$2:$B$2604,'Form responses 1'!$A$2:$A$2604,""))</f>
        <v/>
      </c>
      <c r="D3710" s="44" t="str">
        <f t="shared" si="3"/>
        <v/>
      </c>
      <c r="E3710" s="44" t="str">
        <f t="array" ref="E3710">IF(B3710="","",_xlfn.XLOOKUP(B3710,'Form responses 1'!$B$2:$B$2604,'Form responses 1'!$C$2:$C$2604,""))</f>
        <v/>
      </c>
      <c r="F3710" s="44" t="str">
        <f t="array" ref="F3710">IF(B3710="","",_xlfn.XLOOKUP(B3710,'Form responses 1'!$B$2:$B$2604,'Form responses 1'!$D$2:$D$2604,""))</f>
        <v/>
      </c>
      <c r="G3710" s="44" t="str">
        <f t="array" ref="G3710">IF(B3710="","",_xlfn.XLOOKUP(B3710,'Form responses 1'!$B$2:$B$2604,'Form responses 1'!$E$2:$E$2604,""))</f>
        <v/>
      </c>
      <c r="H3710" s="44" t="str">
        <f t="array" ref="H3710">IF(B3710="","",_xlfn.XLOOKUP(B3710,'Form responses 1'!$B$2:$B$2604,'Form responses 1'!$F$2:$F$2604,""))</f>
        <v/>
      </c>
      <c r="I3710" s="44" t="str">
        <f t="array" ref="I3710">IF(B3710="","",_xlfn.XLOOKUP(B3710,'Form responses 1'!$B$2:$B$2604,'Form responses 1'!$I$2:$I$2604,""))</f>
        <v/>
      </c>
      <c r="J3710" s="44" t="str">
        <f t="array" ref="J3710">IF(B3710="","",_xlfn.XLOOKUP(B3710,'Form responses 1'!$B$2:$B$2604,'Form responses 1'!$G$2:$G$2604,""))</f>
        <v/>
      </c>
      <c r="K3710" s="56"/>
      <c r="L3710" s="58" t="str">
        <f t="shared" si="7"/>
        <v/>
      </c>
      <c r="M3710" s="49"/>
      <c r="N3710" s="49"/>
      <c r="O3710" s="49"/>
      <c r="P3710" s="49"/>
      <c r="Q3710" s="49"/>
      <c r="R3710" s="49"/>
      <c r="S3710" s="49"/>
      <c r="T3710" s="49"/>
      <c r="U3710" s="49"/>
      <c r="V3710" s="49"/>
      <c r="W3710" s="56"/>
      <c r="X3710" s="51" t="str">
        <f t="shared" si="5"/>
        <v/>
      </c>
      <c r="Y3710" s="50" t="s">
        <v>482</v>
      </c>
      <c r="Z3710" s="49">
        <f t="shared" si="6"/>
        <v>0</v>
      </c>
    </row>
    <row r="3711" ht="22.5" customHeight="1">
      <c r="B3711" s="57"/>
      <c r="C3711" s="43" t="str">
        <f t="array" ref="C3711">IF(B3711="","",_xlfn.XLOOKUP(B3711,'Form responses 1'!$B$2:$B$2604,'Form responses 1'!$A$2:$A$2604,""))</f>
        <v/>
      </c>
      <c r="D3711" s="44" t="str">
        <f t="shared" si="3"/>
        <v/>
      </c>
      <c r="E3711" s="44" t="str">
        <f t="array" ref="E3711">IF(B3711="","",_xlfn.XLOOKUP(B3711,'Form responses 1'!$B$2:$B$2604,'Form responses 1'!$C$2:$C$2604,""))</f>
        <v/>
      </c>
      <c r="F3711" s="44" t="str">
        <f t="array" ref="F3711">IF(B3711="","",_xlfn.XLOOKUP(B3711,'Form responses 1'!$B$2:$B$2604,'Form responses 1'!$D$2:$D$2604,""))</f>
        <v/>
      </c>
      <c r="G3711" s="44" t="str">
        <f t="array" ref="G3711">IF(B3711="","",_xlfn.XLOOKUP(B3711,'Form responses 1'!$B$2:$B$2604,'Form responses 1'!$E$2:$E$2604,""))</f>
        <v/>
      </c>
      <c r="H3711" s="44" t="str">
        <f t="array" ref="H3711">IF(B3711="","",_xlfn.XLOOKUP(B3711,'Form responses 1'!$B$2:$B$2604,'Form responses 1'!$F$2:$F$2604,""))</f>
        <v/>
      </c>
      <c r="I3711" s="44" t="str">
        <f t="array" ref="I3711">IF(B3711="","",_xlfn.XLOOKUP(B3711,'Form responses 1'!$B$2:$B$2604,'Form responses 1'!$I$2:$I$2604,""))</f>
        <v/>
      </c>
      <c r="J3711" s="44" t="str">
        <f t="array" ref="J3711">IF(B3711="","",_xlfn.XLOOKUP(B3711,'Form responses 1'!$B$2:$B$2604,'Form responses 1'!$G$2:$G$2604,""))</f>
        <v/>
      </c>
      <c r="K3711" s="56"/>
      <c r="L3711" s="58" t="str">
        <f t="shared" si="7"/>
        <v/>
      </c>
      <c r="M3711" s="49"/>
      <c r="N3711" s="49"/>
      <c r="O3711" s="49"/>
      <c r="P3711" s="49"/>
      <c r="Q3711" s="49"/>
      <c r="R3711" s="49"/>
      <c r="S3711" s="49"/>
      <c r="T3711" s="49"/>
      <c r="U3711" s="49"/>
      <c r="V3711" s="49"/>
      <c r="W3711" s="56"/>
      <c r="X3711" s="51" t="str">
        <f t="shared" si="5"/>
        <v/>
      </c>
      <c r="Y3711" s="50" t="s">
        <v>482</v>
      </c>
      <c r="Z3711" s="49">
        <f t="shared" si="6"/>
        <v>0</v>
      </c>
    </row>
    <row r="3712" ht="22.5" customHeight="1">
      <c r="B3712" s="57"/>
      <c r="C3712" s="43" t="str">
        <f t="array" ref="C3712">IF(B3712="","",_xlfn.XLOOKUP(B3712,'Form responses 1'!$B$2:$B$2604,'Form responses 1'!$A$2:$A$2604,""))</f>
        <v/>
      </c>
      <c r="D3712" s="44" t="str">
        <f t="shared" si="3"/>
        <v/>
      </c>
      <c r="E3712" s="44" t="str">
        <f t="array" ref="E3712">IF(B3712="","",_xlfn.XLOOKUP(B3712,'Form responses 1'!$B$2:$B$2604,'Form responses 1'!$C$2:$C$2604,""))</f>
        <v/>
      </c>
      <c r="F3712" s="44" t="str">
        <f t="array" ref="F3712">IF(B3712="","",_xlfn.XLOOKUP(B3712,'Form responses 1'!$B$2:$B$2604,'Form responses 1'!$D$2:$D$2604,""))</f>
        <v/>
      </c>
      <c r="G3712" s="44" t="str">
        <f t="array" ref="G3712">IF(B3712="","",_xlfn.XLOOKUP(B3712,'Form responses 1'!$B$2:$B$2604,'Form responses 1'!$E$2:$E$2604,""))</f>
        <v/>
      </c>
      <c r="H3712" s="44" t="str">
        <f t="array" ref="H3712">IF(B3712="","",_xlfn.XLOOKUP(B3712,'Form responses 1'!$B$2:$B$2604,'Form responses 1'!$F$2:$F$2604,""))</f>
        <v/>
      </c>
      <c r="I3712" s="44" t="str">
        <f t="array" ref="I3712">IF(B3712="","",_xlfn.XLOOKUP(B3712,'Form responses 1'!$B$2:$B$2604,'Form responses 1'!$I$2:$I$2604,""))</f>
        <v/>
      </c>
      <c r="J3712" s="44" t="str">
        <f t="array" ref="J3712">IF(B3712="","",_xlfn.XLOOKUP(B3712,'Form responses 1'!$B$2:$B$2604,'Form responses 1'!$G$2:$G$2604,""))</f>
        <v/>
      </c>
      <c r="K3712" s="56"/>
      <c r="L3712" s="58" t="str">
        <f t="shared" si="7"/>
        <v/>
      </c>
      <c r="M3712" s="49"/>
      <c r="N3712" s="49"/>
      <c r="O3712" s="49"/>
      <c r="P3712" s="49"/>
      <c r="Q3712" s="49"/>
      <c r="R3712" s="49"/>
      <c r="S3712" s="49"/>
      <c r="T3712" s="49"/>
      <c r="U3712" s="49"/>
      <c r="V3712" s="49"/>
      <c r="W3712" s="56"/>
      <c r="X3712" s="51" t="str">
        <f t="shared" si="5"/>
        <v/>
      </c>
      <c r="Y3712" s="50" t="s">
        <v>482</v>
      </c>
      <c r="Z3712" s="49">
        <f t="shared" si="6"/>
        <v>0</v>
      </c>
    </row>
    <row r="3713" ht="22.5" customHeight="1">
      <c r="B3713" s="57"/>
      <c r="C3713" s="43" t="str">
        <f t="array" ref="C3713">IF(B3713="","",_xlfn.XLOOKUP(B3713,'Form responses 1'!$B$2:$B$2604,'Form responses 1'!$A$2:$A$2604,""))</f>
        <v/>
      </c>
      <c r="D3713" s="44" t="str">
        <f t="shared" si="3"/>
        <v/>
      </c>
      <c r="E3713" s="44" t="str">
        <f t="array" ref="E3713">IF(B3713="","",_xlfn.XLOOKUP(B3713,'Form responses 1'!$B$2:$B$2604,'Form responses 1'!$C$2:$C$2604,""))</f>
        <v/>
      </c>
      <c r="F3713" s="44" t="str">
        <f t="array" ref="F3713">IF(B3713="","",_xlfn.XLOOKUP(B3713,'Form responses 1'!$B$2:$B$2604,'Form responses 1'!$D$2:$D$2604,""))</f>
        <v/>
      </c>
      <c r="G3713" s="44" t="str">
        <f t="array" ref="G3713">IF(B3713="","",_xlfn.XLOOKUP(B3713,'Form responses 1'!$B$2:$B$2604,'Form responses 1'!$E$2:$E$2604,""))</f>
        <v/>
      </c>
      <c r="H3713" s="44" t="str">
        <f t="array" ref="H3713">IF(B3713="","",_xlfn.XLOOKUP(B3713,'Form responses 1'!$B$2:$B$2604,'Form responses 1'!$F$2:$F$2604,""))</f>
        <v/>
      </c>
      <c r="I3713" s="44" t="str">
        <f t="array" ref="I3713">IF(B3713="","",_xlfn.XLOOKUP(B3713,'Form responses 1'!$B$2:$B$2604,'Form responses 1'!$I$2:$I$2604,""))</f>
        <v/>
      </c>
      <c r="J3713" s="44" t="str">
        <f t="array" ref="J3713">IF(B3713="","",_xlfn.XLOOKUP(B3713,'Form responses 1'!$B$2:$B$2604,'Form responses 1'!$G$2:$G$2604,""))</f>
        <v/>
      </c>
      <c r="K3713" s="56"/>
      <c r="L3713" s="58" t="str">
        <f t="shared" si="7"/>
        <v/>
      </c>
      <c r="M3713" s="49"/>
      <c r="N3713" s="49"/>
      <c r="O3713" s="49"/>
      <c r="P3713" s="49"/>
      <c r="Q3713" s="49"/>
      <c r="R3713" s="49"/>
      <c r="S3713" s="49"/>
      <c r="T3713" s="49"/>
      <c r="U3713" s="49"/>
      <c r="V3713" s="49"/>
      <c r="W3713" s="56"/>
      <c r="X3713" s="51" t="str">
        <f t="shared" si="5"/>
        <v/>
      </c>
      <c r="Y3713" s="50" t="s">
        <v>482</v>
      </c>
      <c r="Z3713" s="49">
        <f t="shared" si="6"/>
        <v>0</v>
      </c>
    </row>
    <row r="3714" ht="22.5" customHeight="1">
      <c r="B3714" s="57"/>
      <c r="C3714" s="43" t="str">
        <f t="array" ref="C3714">IF(B3714="","",_xlfn.XLOOKUP(B3714,'Form responses 1'!$B$2:$B$2604,'Form responses 1'!$A$2:$A$2604,""))</f>
        <v/>
      </c>
      <c r="D3714" s="44" t="str">
        <f t="shared" si="3"/>
        <v/>
      </c>
      <c r="E3714" s="44" t="str">
        <f t="array" ref="E3714">IF(B3714="","",_xlfn.XLOOKUP(B3714,'Form responses 1'!$B$2:$B$2604,'Form responses 1'!$C$2:$C$2604,""))</f>
        <v/>
      </c>
      <c r="F3714" s="44" t="str">
        <f t="array" ref="F3714">IF(B3714="","",_xlfn.XLOOKUP(B3714,'Form responses 1'!$B$2:$B$2604,'Form responses 1'!$D$2:$D$2604,""))</f>
        <v/>
      </c>
      <c r="G3714" s="44" t="str">
        <f t="array" ref="G3714">IF(B3714="","",_xlfn.XLOOKUP(B3714,'Form responses 1'!$B$2:$B$2604,'Form responses 1'!$E$2:$E$2604,""))</f>
        <v/>
      </c>
      <c r="H3714" s="44" t="str">
        <f t="array" ref="H3714">IF(B3714="","",_xlfn.XLOOKUP(B3714,'Form responses 1'!$B$2:$B$2604,'Form responses 1'!$F$2:$F$2604,""))</f>
        <v/>
      </c>
      <c r="I3714" s="44" t="str">
        <f t="array" ref="I3714">IF(B3714="","",_xlfn.XLOOKUP(B3714,'Form responses 1'!$B$2:$B$2604,'Form responses 1'!$I$2:$I$2604,""))</f>
        <v/>
      </c>
      <c r="J3714" s="44" t="str">
        <f t="array" ref="J3714">IF(B3714="","",_xlfn.XLOOKUP(B3714,'Form responses 1'!$B$2:$B$2604,'Form responses 1'!$G$2:$G$2604,""))</f>
        <v/>
      </c>
      <c r="K3714" s="56"/>
      <c r="L3714" s="58" t="str">
        <f t="shared" si="7"/>
        <v/>
      </c>
      <c r="M3714" s="49"/>
      <c r="N3714" s="49"/>
      <c r="O3714" s="49"/>
      <c r="P3714" s="49"/>
      <c r="Q3714" s="49"/>
      <c r="R3714" s="49"/>
      <c r="S3714" s="49"/>
      <c r="T3714" s="49"/>
      <c r="U3714" s="49"/>
      <c r="V3714" s="49"/>
      <c r="W3714" s="56"/>
      <c r="X3714" s="51" t="str">
        <f t="shared" si="5"/>
        <v/>
      </c>
      <c r="Y3714" s="50" t="s">
        <v>482</v>
      </c>
      <c r="Z3714" s="49">
        <f t="shared" si="6"/>
        <v>0</v>
      </c>
    </row>
    <row r="3715" ht="22.5" customHeight="1">
      <c r="B3715" s="57"/>
      <c r="C3715" s="43" t="str">
        <f t="array" ref="C3715">IF(B3715="","",_xlfn.XLOOKUP(B3715,'Form responses 1'!$B$2:$B$2604,'Form responses 1'!$A$2:$A$2604,""))</f>
        <v/>
      </c>
      <c r="D3715" s="44" t="str">
        <f t="shared" si="3"/>
        <v/>
      </c>
      <c r="E3715" s="44" t="str">
        <f t="array" ref="E3715">IF(B3715="","",_xlfn.XLOOKUP(B3715,'Form responses 1'!$B$2:$B$2604,'Form responses 1'!$C$2:$C$2604,""))</f>
        <v/>
      </c>
      <c r="F3715" s="44" t="str">
        <f t="array" ref="F3715">IF(B3715="","",_xlfn.XLOOKUP(B3715,'Form responses 1'!$B$2:$B$2604,'Form responses 1'!$D$2:$D$2604,""))</f>
        <v/>
      </c>
      <c r="G3715" s="44" t="str">
        <f t="array" ref="G3715">IF(B3715="","",_xlfn.XLOOKUP(B3715,'Form responses 1'!$B$2:$B$2604,'Form responses 1'!$E$2:$E$2604,""))</f>
        <v/>
      </c>
      <c r="H3715" s="44" t="str">
        <f t="array" ref="H3715">IF(B3715="","",_xlfn.XLOOKUP(B3715,'Form responses 1'!$B$2:$B$2604,'Form responses 1'!$F$2:$F$2604,""))</f>
        <v/>
      </c>
      <c r="I3715" s="44" t="str">
        <f t="array" ref="I3715">IF(B3715="","",_xlfn.XLOOKUP(B3715,'Form responses 1'!$B$2:$B$2604,'Form responses 1'!$I$2:$I$2604,""))</f>
        <v/>
      </c>
      <c r="J3715" s="44" t="str">
        <f t="array" ref="J3715">IF(B3715="","",_xlfn.XLOOKUP(B3715,'Form responses 1'!$B$2:$B$2604,'Form responses 1'!$G$2:$G$2604,""))</f>
        <v/>
      </c>
      <c r="K3715" s="56"/>
      <c r="L3715" s="58" t="str">
        <f t="shared" si="7"/>
        <v/>
      </c>
      <c r="M3715" s="49"/>
      <c r="N3715" s="49"/>
      <c r="O3715" s="49"/>
      <c r="P3715" s="49"/>
      <c r="Q3715" s="49"/>
      <c r="R3715" s="49"/>
      <c r="S3715" s="49"/>
      <c r="T3715" s="49"/>
      <c r="U3715" s="49"/>
      <c r="V3715" s="49"/>
      <c r="W3715" s="56"/>
      <c r="X3715" s="51" t="str">
        <f t="shared" si="5"/>
        <v/>
      </c>
      <c r="Y3715" s="50" t="s">
        <v>482</v>
      </c>
      <c r="Z3715" s="49">
        <f t="shared" si="6"/>
        <v>0</v>
      </c>
    </row>
    <row r="3716" ht="22.5" customHeight="1">
      <c r="B3716" s="57"/>
      <c r="C3716" s="43" t="str">
        <f t="array" ref="C3716">IF(B3716="","",_xlfn.XLOOKUP(B3716,'Form responses 1'!$B$2:$B$2604,'Form responses 1'!$A$2:$A$2604,""))</f>
        <v/>
      </c>
      <c r="D3716" s="44" t="str">
        <f t="shared" si="3"/>
        <v/>
      </c>
      <c r="E3716" s="44" t="str">
        <f t="array" ref="E3716">IF(B3716="","",_xlfn.XLOOKUP(B3716,'Form responses 1'!$B$2:$B$2604,'Form responses 1'!$C$2:$C$2604,""))</f>
        <v/>
      </c>
      <c r="F3716" s="44" t="str">
        <f t="array" ref="F3716">IF(B3716="","",_xlfn.XLOOKUP(B3716,'Form responses 1'!$B$2:$B$2604,'Form responses 1'!$D$2:$D$2604,""))</f>
        <v/>
      </c>
      <c r="G3716" s="44" t="str">
        <f t="array" ref="G3716">IF(B3716="","",_xlfn.XLOOKUP(B3716,'Form responses 1'!$B$2:$B$2604,'Form responses 1'!$E$2:$E$2604,""))</f>
        <v/>
      </c>
      <c r="H3716" s="44" t="str">
        <f t="array" ref="H3716">IF(B3716="","",_xlfn.XLOOKUP(B3716,'Form responses 1'!$B$2:$B$2604,'Form responses 1'!$F$2:$F$2604,""))</f>
        <v/>
      </c>
      <c r="I3716" s="44" t="str">
        <f t="array" ref="I3716">IF(B3716="","",_xlfn.XLOOKUP(B3716,'Form responses 1'!$B$2:$B$2604,'Form responses 1'!$I$2:$I$2604,""))</f>
        <v/>
      </c>
      <c r="J3716" s="44" t="str">
        <f t="array" ref="J3716">IF(B3716="","",_xlfn.XLOOKUP(B3716,'Form responses 1'!$B$2:$B$2604,'Form responses 1'!$G$2:$G$2604,""))</f>
        <v/>
      </c>
      <c r="K3716" s="56"/>
      <c r="L3716" s="58" t="str">
        <f t="shared" si="7"/>
        <v/>
      </c>
      <c r="M3716" s="49"/>
      <c r="N3716" s="49"/>
      <c r="O3716" s="49"/>
      <c r="P3716" s="49"/>
      <c r="Q3716" s="49"/>
      <c r="R3716" s="49"/>
      <c r="S3716" s="49"/>
      <c r="T3716" s="49"/>
      <c r="U3716" s="49"/>
      <c r="V3716" s="49"/>
      <c r="W3716" s="56"/>
      <c r="X3716" s="51" t="str">
        <f t="shared" si="5"/>
        <v/>
      </c>
      <c r="Y3716" s="50" t="s">
        <v>482</v>
      </c>
      <c r="Z3716" s="49">
        <f t="shared" si="6"/>
        <v>0</v>
      </c>
    </row>
    <row r="3717" ht="22.5" customHeight="1">
      <c r="B3717" s="57"/>
      <c r="C3717" s="43" t="str">
        <f t="array" ref="C3717">IF(B3717="","",_xlfn.XLOOKUP(B3717,'Form responses 1'!$B$2:$B$2604,'Form responses 1'!$A$2:$A$2604,""))</f>
        <v/>
      </c>
      <c r="D3717" s="44" t="str">
        <f t="shared" si="3"/>
        <v/>
      </c>
      <c r="E3717" s="44" t="str">
        <f t="array" ref="E3717">IF(B3717="","",_xlfn.XLOOKUP(B3717,'Form responses 1'!$B$2:$B$2604,'Form responses 1'!$C$2:$C$2604,""))</f>
        <v/>
      </c>
      <c r="F3717" s="44" t="str">
        <f t="array" ref="F3717">IF(B3717="","",_xlfn.XLOOKUP(B3717,'Form responses 1'!$B$2:$B$2604,'Form responses 1'!$D$2:$D$2604,""))</f>
        <v/>
      </c>
      <c r="G3717" s="44" t="str">
        <f t="array" ref="G3717">IF(B3717="","",_xlfn.XLOOKUP(B3717,'Form responses 1'!$B$2:$B$2604,'Form responses 1'!$E$2:$E$2604,""))</f>
        <v/>
      </c>
      <c r="H3717" s="44" t="str">
        <f t="array" ref="H3717">IF(B3717="","",_xlfn.XLOOKUP(B3717,'Form responses 1'!$B$2:$B$2604,'Form responses 1'!$F$2:$F$2604,""))</f>
        <v/>
      </c>
      <c r="I3717" s="44" t="str">
        <f t="array" ref="I3717">IF(B3717="","",_xlfn.XLOOKUP(B3717,'Form responses 1'!$B$2:$B$2604,'Form responses 1'!$I$2:$I$2604,""))</f>
        <v/>
      </c>
      <c r="J3717" s="44" t="str">
        <f t="array" ref="J3717">IF(B3717="","",_xlfn.XLOOKUP(B3717,'Form responses 1'!$B$2:$B$2604,'Form responses 1'!$G$2:$G$2604,""))</f>
        <v/>
      </c>
      <c r="K3717" s="56"/>
      <c r="L3717" s="58" t="str">
        <f t="shared" si="7"/>
        <v/>
      </c>
      <c r="M3717" s="49"/>
      <c r="N3717" s="49"/>
      <c r="O3717" s="49"/>
      <c r="P3717" s="49"/>
      <c r="Q3717" s="49"/>
      <c r="R3717" s="49"/>
      <c r="S3717" s="49"/>
      <c r="T3717" s="49"/>
      <c r="U3717" s="49"/>
      <c r="V3717" s="49"/>
      <c r="W3717" s="56"/>
      <c r="X3717" s="51" t="str">
        <f t="shared" si="5"/>
        <v/>
      </c>
      <c r="Y3717" s="50" t="s">
        <v>482</v>
      </c>
      <c r="Z3717" s="49">
        <f t="shared" si="6"/>
        <v>0</v>
      </c>
    </row>
    <row r="3718" ht="22.5" customHeight="1">
      <c r="B3718" s="57"/>
      <c r="C3718" s="43" t="str">
        <f t="array" ref="C3718">IF(B3718="","",_xlfn.XLOOKUP(B3718,'Form responses 1'!$B$2:$B$2604,'Form responses 1'!$A$2:$A$2604,""))</f>
        <v/>
      </c>
      <c r="D3718" s="44" t="str">
        <f t="shared" si="3"/>
        <v/>
      </c>
      <c r="E3718" s="44" t="str">
        <f t="array" ref="E3718">IF(B3718="","",_xlfn.XLOOKUP(B3718,'Form responses 1'!$B$2:$B$2604,'Form responses 1'!$C$2:$C$2604,""))</f>
        <v/>
      </c>
      <c r="F3718" s="44" t="str">
        <f t="array" ref="F3718">IF(B3718="","",_xlfn.XLOOKUP(B3718,'Form responses 1'!$B$2:$B$2604,'Form responses 1'!$D$2:$D$2604,""))</f>
        <v/>
      </c>
      <c r="G3718" s="44" t="str">
        <f t="array" ref="G3718">IF(B3718="","",_xlfn.XLOOKUP(B3718,'Form responses 1'!$B$2:$B$2604,'Form responses 1'!$E$2:$E$2604,""))</f>
        <v/>
      </c>
      <c r="H3718" s="44" t="str">
        <f t="array" ref="H3718">IF(B3718="","",_xlfn.XLOOKUP(B3718,'Form responses 1'!$B$2:$B$2604,'Form responses 1'!$F$2:$F$2604,""))</f>
        <v/>
      </c>
      <c r="I3718" s="44" t="str">
        <f t="array" ref="I3718">IF(B3718="","",_xlfn.XLOOKUP(B3718,'Form responses 1'!$B$2:$B$2604,'Form responses 1'!$I$2:$I$2604,""))</f>
        <v/>
      </c>
      <c r="J3718" s="44" t="str">
        <f t="array" ref="J3718">IF(B3718="","",_xlfn.XLOOKUP(B3718,'Form responses 1'!$B$2:$B$2604,'Form responses 1'!$G$2:$G$2604,""))</f>
        <v/>
      </c>
      <c r="K3718" s="56"/>
      <c r="L3718" s="58" t="str">
        <f t="shared" si="7"/>
        <v/>
      </c>
      <c r="M3718" s="49"/>
      <c r="N3718" s="49"/>
      <c r="O3718" s="49"/>
      <c r="P3718" s="49"/>
      <c r="Q3718" s="49"/>
      <c r="R3718" s="49"/>
      <c r="S3718" s="49"/>
      <c r="T3718" s="49"/>
      <c r="U3718" s="49"/>
      <c r="V3718" s="49"/>
      <c r="W3718" s="56"/>
      <c r="X3718" s="51" t="str">
        <f t="shared" si="5"/>
        <v/>
      </c>
      <c r="Y3718" s="50" t="s">
        <v>482</v>
      </c>
      <c r="Z3718" s="49">
        <f t="shared" si="6"/>
        <v>0</v>
      </c>
    </row>
    <row r="3719" ht="22.5" customHeight="1">
      <c r="B3719" s="57"/>
      <c r="C3719" s="43" t="str">
        <f t="array" ref="C3719">IF(B3719="","",_xlfn.XLOOKUP(B3719,'Form responses 1'!$B$2:$B$2604,'Form responses 1'!$A$2:$A$2604,""))</f>
        <v/>
      </c>
      <c r="D3719" s="44" t="str">
        <f t="shared" si="3"/>
        <v/>
      </c>
      <c r="E3719" s="44" t="str">
        <f t="array" ref="E3719">IF(B3719="","",_xlfn.XLOOKUP(B3719,'Form responses 1'!$B$2:$B$2604,'Form responses 1'!$C$2:$C$2604,""))</f>
        <v/>
      </c>
      <c r="F3719" s="44" t="str">
        <f t="array" ref="F3719">IF(B3719="","",_xlfn.XLOOKUP(B3719,'Form responses 1'!$B$2:$B$2604,'Form responses 1'!$D$2:$D$2604,""))</f>
        <v/>
      </c>
      <c r="G3719" s="44" t="str">
        <f t="array" ref="G3719">IF(B3719="","",_xlfn.XLOOKUP(B3719,'Form responses 1'!$B$2:$B$2604,'Form responses 1'!$E$2:$E$2604,""))</f>
        <v/>
      </c>
      <c r="H3719" s="44" t="str">
        <f t="array" ref="H3719">IF(B3719="","",_xlfn.XLOOKUP(B3719,'Form responses 1'!$B$2:$B$2604,'Form responses 1'!$F$2:$F$2604,""))</f>
        <v/>
      </c>
      <c r="I3719" s="44" t="str">
        <f t="array" ref="I3719">IF(B3719="","",_xlfn.XLOOKUP(B3719,'Form responses 1'!$B$2:$B$2604,'Form responses 1'!$I$2:$I$2604,""))</f>
        <v/>
      </c>
      <c r="J3719" s="44" t="str">
        <f t="array" ref="J3719">IF(B3719="","",_xlfn.XLOOKUP(B3719,'Form responses 1'!$B$2:$B$2604,'Form responses 1'!$G$2:$G$2604,""))</f>
        <v/>
      </c>
      <c r="K3719" s="56"/>
      <c r="L3719" s="58" t="str">
        <f t="shared" si="7"/>
        <v/>
      </c>
      <c r="M3719" s="49"/>
      <c r="N3719" s="49"/>
      <c r="O3719" s="49"/>
      <c r="P3719" s="49"/>
      <c r="Q3719" s="49"/>
      <c r="R3719" s="49"/>
      <c r="S3719" s="49"/>
      <c r="T3719" s="49"/>
      <c r="U3719" s="49"/>
      <c r="V3719" s="49"/>
      <c r="W3719" s="56"/>
      <c r="X3719" s="51" t="str">
        <f t="shared" si="5"/>
        <v/>
      </c>
      <c r="Y3719" s="50" t="s">
        <v>482</v>
      </c>
      <c r="Z3719" s="49">
        <f t="shared" si="6"/>
        <v>0</v>
      </c>
    </row>
    <row r="3720" ht="22.5" customHeight="1">
      <c r="B3720" s="57"/>
      <c r="C3720" s="43" t="str">
        <f t="array" ref="C3720">IF(B3720="","",_xlfn.XLOOKUP(B3720,'Form responses 1'!$B$2:$B$2604,'Form responses 1'!$A$2:$A$2604,""))</f>
        <v/>
      </c>
      <c r="D3720" s="44" t="str">
        <f t="shared" si="3"/>
        <v/>
      </c>
      <c r="E3720" s="44" t="str">
        <f t="array" ref="E3720">IF(B3720="","",_xlfn.XLOOKUP(B3720,'Form responses 1'!$B$2:$B$2604,'Form responses 1'!$C$2:$C$2604,""))</f>
        <v/>
      </c>
      <c r="F3720" s="44" t="str">
        <f t="array" ref="F3720">IF(B3720="","",_xlfn.XLOOKUP(B3720,'Form responses 1'!$B$2:$B$2604,'Form responses 1'!$D$2:$D$2604,""))</f>
        <v/>
      </c>
      <c r="G3720" s="44" t="str">
        <f t="array" ref="G3720">IF(B3720="","",_xlfn.XLOOKUP(B3720,'Form responses 1'!$B$2:$B$2604,'Form responses 1'!$E$2:$E$2604,""))</f>
        <v/>
      </c>
      <c r="H3720" s="44" t="str">
        <f t="array" ref="H3720">IF(B3720="","",_xlfn.XLOOKUP(B3720,'Form responses 1'!$B$2:$B$2604,'Form responses 1'!$F$2:$F$2604,""))</f>
        <v/>
      </c>
      <c r="I3720" s="44" t="str">
        <f t="array" ref="I3720">IF(B3720="","",_xlfn.XLOOKUP(B3720,'Form responses 1'!$B$2:$B$2604,'Form responses 1'!$I$2:$I$2604,""))</f>
        <v/>
      </c>
      <c r="J3720" s="44" t="str">
        <f t="array" ref="J3720">IF(B3720="","",_xlfn.XLOOKUP(B3720,'Form responses 1'!$B$2:$B$2604,'Form responses 1'!$G$2:$G$2604,""))</f>
        <v/>
      </c>
      <c r="K3720" s="56"/>
      <c r="L3720" s="58" t="str">
        <f t="shared" si="7"/>
        <v/>
      </c>
      <c r="M3720" s="49"/>
      <c r="N3720" s="49"/>
      <c r="O3720" s="49"/>
      <c r="P3720" s="49"/>
      <c r="Q3720" s="49"/>
      <c r="R3720" s="49"/>
      <c r="S3720" s="49"/>
      <c r="T3720" s="49"/>
      <c r="U3720" s="49"/>
      <c r="V3720" s="49"/>
      <c r="W3720" s="56"/>
      <c r="X3720" s="51" t="str">
        <f t="shared" si="5"/>
        <v/>
      </c>
      <c r="Y3720" s="50" t="s">
        <v>482</v>
      </c>
      <c r="Z3720" s="49">
        <f t="shared" si="6"/>
        <v>0</v>
      </c>
    </row>
    <row r="3721" ht="22.5" customHeight="1">
      <c r="B3721" s="57"/>
      <c r="C3721" s="43" t="str">
        <f t="array" ref="C3721">IF(B3721="","",_xlfn.XLOOKUP(B3721,'Form responses 1'!$B$2:$B$2604,'Form responses 1'!$A$2:$A$2604,""))</f>
        <v/>
      </c>
      <c r="D3721" s="44" t="str">
        <f t="shared" si="3"/>
        <v/>
      </c>
      <c r="E3721" s="44" t="str">
        <f t="array" ref="E3721">IF(B3721="","",_xlfn.XLOOKUP(B3721,'Form responses 1'!$B$2:$B$2604,'Form responses 1'!$C$2:$C$2604,""))</f>
        <v/>
      </c>
      <c r="F3721" s="44" t="str">
        <f t="array" ref="F3721">IF(B3721="","",_xlfn.XLOOKUP(B3721,'Form responses 1'!$B$2:$B$2604,'Form responses 1'!$D$2:$D$2604,""))</f>
        <v/>
      </c>
      <c r="G3721" s="44" t="str">
        <f t="array" ref="G3721">IF(B3721="","",_xlfn.XLOOKUP(B3721,'Form responses 1'!$B$2:$B$2604,'Form responses 1'!$E$2:$E$2604,""))</f>
        <v/>
      </c>
      <c r="H3721" s="44" t="str">
        <f t="array" ref="H3721">IF(B3721="","",_xlfn.XLOOKUP(B3721,'Form responses 1'!$B$2:$B$2604,'Form responses 1'!$F$2:$F$2604,""))</f>
        <v/>
      </c>
      <c r="I3721" s="44" t="str">
        <f t="array" ref="I3721">IF(B3721="","",_xlfn.XLOOKUP(B3721,'Form responses 1'!$B$2:$B$2604,'Form responses 1'!$I$2:$I$2604,""))</f>
        <v/>
      </c>
      <c r="J3721" s="44" t="str">
        <f t="array" ref="J3721">IF(B3721="","",_xlfn.XLOOKUP(B3721,'Form responses 1'!$B$2:$B$2604,'Form responses 1'!$G$2:$G$2604,""))</f>
        <v/>
      </c>
      <c r="K3721" s="56"/>
      <c r="L3721" s="58" t="str">
        <f t="shared" si="7"/>
        <v/>
      </c>
      <c r="M3721" s="49"/>
      <c r="N3721" s="49"/>
      <c r="O3721" s="49"/>
      <c r="P3721" s="49"/>
      <c r="Q3721" s="49"/>
      <c r="R3721" s="49"/>
      <c r="S3721" s="49"/>
      <c r="T3721" s="49"/>
      <c r="U3721" s="49"/>
      <c r="V3721" s="49"/>
      <c r="W3721" s="56"/>
      <c r="X3721" s="51" t="str">
        <f t="shared" si="5"/>
        <v/>
      </c>
      <c r="Y3721" s="50" t="s">
        <v>482</v>
      </c>
      <c r="Z3721" s="49">
        <f t="shared" si="6"/>
        <v>0</v>
      </c>
    </row>
    <row r="3722" ht="22.5" customHeight="1">
      <c r="B3722" s="57"/>
      <c r="C3722" s="43" t="str">
        <f t="array" ref="C3722">IF(B3722="","",_xlfn.XLOOKUP(B3722,'Form responses 1'!$B$2:$B$2604,'Form responses 1'!$A$2:$A$2604,""))</f>
        <v/>
      </c>
      <c r="D3722" s="44" t="str">
        <f t="shared" si="3"/>
        <v/>
      </c>
      <c r="E3722" s="44" t="str">
        <f t="array" ref="E3722">IF(B3722="","",_xlfn.XLOOKUP(B3722,'Form responses 1'!$B$2:$B$2604,'Form responses 1'!$C$2:$C$2604,""))</f>
        <v/>
      </c>
      <c r="F3722" s="44" t="str">
        <f t="array" ref="F3722">IF(B3722="","",_xlfn.XLOOKUP(B3722,'Form responses 1'!$B$2:$B$2604,'Form responses 1'!$D$2:$D$2604,""))</f>
        <v/>
      </c>
      <c r="G3722" s="44" t="str">
        <f t="array" ref="G3722">IF(B3722="","",_xlfn.XLOOKUP(B3722,'Form responses 1'!$B$2:$B$2604,'Form responses 1'!$E$2:$E$2604,""))</f>
        <v/>
      </c>
      <c r="H3722" s="44" t="str">
        <f t="array" ref="H3722">IF(B3722="","",_xlfn.XLOOKUP(B3722,'Form responses 1'!$B$2:$B$2604,'Form responses 1'!$F$2:$F$2604,""))</f>
        <v/>
      </c>
      <c r="I3722" s="44" t="str">
        <f t="array" ref="I3722">IF(B3722="","",_xlfn.XLOOKUP(B3722,'Form responses 1'!$B$2:$B$2604,'Form responses 1'!$I$2:$I$2604,""))</f>
        <v/>
      </c>
      <c r="J3722" s="44" t="str">
        <f t="array" ref="J3722">IF(B3722="","",_xlfn.XLOOKUP(B3722,'Form responses 1'!$B$2:$B$2604,'Form responses 1'!$G$2:$G$2604,""))</f>
        <v/>
      </c>
      <c r="K3722" s="56"/>
      <c r="L3722" s="58" t="str">
        <f t="shared" si="7"/>
        <v/>
      </c>
      <c r="M3722" s="49"/>
      <c r="N3722" s="49"/>
      <c r="O3722" s="49"/>
      <c r="P3722" s="49"/>
      <c r="Q3722" s="49"/>
      <c r="R3722" s="49"/>
      <c r="S3722" s="49"/>
      <c r="T3722" s="49"/>
      <c r="U3722" s="49"/>
      <c r="V3722" s="49"/>
      <c r="W3722" s="56"/>
      <c r="X3722" s="51" t="str">
        <f t="shared" si="5"/>
        <v/>
      </c>
      <c r="Y3722" s="50" t="s">
        <v>482</v>
      </c>
      <c r="Z3722" s="49">
        <f t="shared" si="6"/>
        <v>0</v>
      </c>
    </row>
    <row r="3723" ht="22.5" customHeight="1">
      <c r="B3723" s="57"/>
      <c r="C3723" s="43" t="str">
        <f t="array" ref="C3723">IF(B3723="","",_xlfn.XLOOKUP(B3723,'Form responses 1'!$B$2:$B$2604,'Form responses 1'!$A$2:$A$2604,""))</f>
        <v/>
      </c>
      <c r="D3723" s="44" t="str">
        <f t="shared" si="3"/>
        <v/>
      </c>
      <c r="E3723" s="44" t="str">
        <f t="array" ref="E3723">IF(B3723="","",_xlfn.XLOOKUP(B3723,'Form responses 1'!$B$2:$B$2604,'Form responses 1'!$C$2:$C$2604,""))</f>
        <v/>
      </c>
      <c r="F3723" s="44" t="str">
        <f t="array" ref="F3723">IF(B3723="","",_xlfn.XLOOKUP(B3723,'Form responses 1'!$B$2:$B$2604,'Form responses 1'!$D$2:$D$2604,""))</f>
        <v/>
      </c>
      <c r="G3723" s="44" t="str">
        <f t="array" ref="G3723">IF(B3723="","",_xlfn.XLOOKUP(B3723,'Form responses 1'!$B$2:$B$2604,'Form responses 1'!$E$2:$E$2604,""))</f>
        <v/>
      </c>
      <c r="H3723" s="44" t="str">
        <f t="array" ref="H3723">IF(B3723="","",_xlfn.XLOOKUP(B3723,'Form responses 1'!$B$2:$B$2604,'Form responses 1'!$F$2:$F$2604,""))</f>
        <v/>
      </c>
      <c r="I3723" s="44" t="str">
        <f t="array" ref="I3723">IF(B3723="","",_xlfn.XLOOKUP(B3723,'Form responses 1'!$B$2:$B$2604,'Form responses 1'!$I$2:$I$2604,""))</f>
        <v/>
      </c>
      <c r="J3723" s="44" t="str">
        <f t="array" ref="J3723">IF(B3723="","",_xlfn.XLOOKUP(B3723,'Form responses 1'!$B$2:$B$2604,'Form responses 1'!$G$2:$G$2604,""))</f>
        <v/>
      </c>
      <c r="K3723" s="56"/>
      <c r="L3723" s="58" t="str">
        <f t="shared" si="7"/>
        <v/>
      </c>
      <c r="M3723" s="49"/>
      <c r="N3723" s="49"/>
      <c r="O3723" s="49"/>
      <c r="P3723" s="49"/>
      <c r="Q3723" s="49"/>
      <c r="R3723" s="49"/>
      <c r="S3723" s="49"/>
      <c r="T3723" s="49"/>
      <c r="U3723" s="49"/>
      <c r="V3723" s="49"/>
      <c r="W3723" s="56"/>
      <c r="X3723" s="51" t="str">
        <f t="shared" si="5"/>
        <v/>
      </c>
      <c r="Y3723" s="50" t="s">
        <v>482</v>
      </c>
      <c r="Z3723" s="49">
        <f t="shared" si="6"/>
        <v>0</v>
      </c>
    </row>
    <row r="3724" ht="22.5" customHeight="1">
      <c r="B3724" s="57"/>
      <c r="C3724" s="43" t="str">
        <f t="array" ref="C3724">IF(B3724="","",_xlfn.XLOOKUP(B3724,'Form responses 1'!$B$2:$B$2604,'Form responses 1'!$A$2:$A$2604,""))</f>
        <v/>
      </c>
      <c r="D3724" s="44" t="str">
        <f t="shared" si="3"/>
        <v/>
      </c>
      <c r="E3724" s="44" t="str">
        <f t="array" ref="E3724">IF(B3724="","",_xlfn.XLOOKUP(B3724,'Form responses 1'!$B$2:$B$2604,'Form responses 1'!$C$2:$C$2604,""))</f>
        <v/>
      </c>
      <c r="F3724" s="44" t="str">
        <f t="array" ref="F3724">IF(B3724="","",_xlfn.XLOOKUP(B3724,'Form responses 1'!$B$2:$B$2604,'Form responses 1'!$D$2:$D$2604,""))</f>
        <v/>
      </c>
      <c r="G3724" s="44" t="str">
        <f t="array" ref="G3724">IF(B3724="","",_xlfn.XLOOKUP(B3724,'Form responses 1'!$B$2:$B$2604,'Form responses 1'!$E$2:$E$2604,""))</f>
        <v/>
      </c>
      <c r="H3724" s="44" t="str">
        <f t="array" ref="H3724">IF(B3724="","",_xlfn.XLOOKUP(B3724,'Form responses 1'!$B$2:$B$2604,'Form responses 1'!$F$2:$F$2604,""))</f>
        <v/>
      </c>
      <c r="I3724" s="44" t="str">
        <f t="array" ref="I3724">IF(B3724="","",_xlfn.XLOOKUP(B3724,'Form responses 1'!$B$2:$B$2604,'Form responses 1'!$I$2:$I$2604,""))</f>
        <v/>
      </c>
      <c r="J3724" s="44" t="str">
        <f t="array" ref="J3724">IF(B3724="","",_xlfn.XLOOKUP(B3724,'Form responses 1'!$B$2:$B$2604,'Form responses 1'!$G$2:$G$2604,""))</f>
        <v/>
      </c>
      <c r="K3724" s="56"/>
      <c r="L3724" s="58" t="str">
        <f t="shared" si="7"/>
        <v/>
      </c>
      <c r="M3724" s="49"/>
      <c r="N3724" s="49"/>
      <c r="O3724" s="49"/>
      <c r="P3724" s="49"/>
      <c r="Q3724" s="49"/>
      <c r="R3724" s="49"/>
      <c r="S3724" s="49"/>
      <c r="T3724" s="49"/>
      <c r="U3724" s="49"/>
      <c r="V3724" s="49"/>
      <c r="W3724" s="56"/>
      <c r="X3724" s="51" t="str">
        <f t="shared" si="5"/>
        <v/>
      </c>
      <c r="Y3724" s="50" t="s">
        <v>482</v>
      </c>
      <c r="Z3724" s="49">
        <f t="shared" si="6"/>
        <v>0</v>
      </c>
    </row>
    <row r="3725" ht="22.5" customHeight="1">
      <c r="B3725" s="57"/>
      <c r="C3725" s="43" t="str">
        <f t="array" ref="C3725">IF(B3725="","",_xlfn.XLOOKUP(B3725,'Form responses 1'!$B$2:$B$2604,'Form responses 1'!$A$2:$A$2604,""))</f>
        <v/>
      </c>
      <c r="D3725" s="44" t="str">
        <f t="shared" si="3"/>
        <v/>
      </c>
      <c r="E3725" s="44" t="str">
        <f t="array" ref="E3725">IF(B3725="","",_xlfn.XLOOKUP(B3725,'Form responses 1'!$B$2:$B$2604,'Form responses 1'!$C$2:$C$2604,""))</f>
        <v/>
      </c>
      <c r="F3725" s="44" t="str">
        <f t="array" ref="F3725">IF(B3725="","",_xlfn.XLOOKUP(B3725,'Form responses 1'!$B$2:$B$2604,'Form responses 1'!$D$2:$D$2604,""))</f>
        <v/>
      </c>
      <c r="G3725" s="44" t="str">
        <f t="array" ref="G3725">IF(B3725="","",_xlfn.XLOOKUP(B3725,'Form responses 1'!$B$2:$B$2604,'Form responses 1'!$E$2:$E$2604,""))</f>
        <v/>
      </c>
      <c r="H3725" s="44" t="str">
        <f t="array" ref="H3725">IF(B3725="","",_xlfn.XLOOKUP(B3725,'Form responses 1'!$B$2:$B$2604,'Form responses 1'!$F$2:$F$2604,""))</f>
        <v/>
      </c>
      <c r="I3725" s="44" t="str">
        <f t="array" ref="I3725">IF(B3725="","",_xlfn.XLOOKUP(B3725,'Form responses 1'!$B$2:$B$2604,'Form responses 1'!$I$2:$I$2604,""))</f>
        <v/>
      </c>
      <c r="J3725" s="44" t="str">
        <f t="array" ref="J3725">IF(B3725="","",_xlfn.XLOOKUP(B3725,'Form responses 1'!$B$2:$B$2604,'Form responses 1'!$G$2:$G$2604,""))</f>
        <v/>
      </c>
      <c r="K3725" s="56"/>
      <c r="L3725" s="58" t="str">
        <f t="shared" si="7"/>
        <v/>
      </c>
      <c r="M3725" s="49"/>
      <c r="N3725" s="49"/>
      <c r="O3725" s="49"/>
      <c r="P3725" s="49"/>
      <c r="Q3725" s="49"/>
      <c r="R3725" s="49"/>
      <c r="S3725" s="49"/>
      <c r="T3725" s="49"/>
      <c r="U3725" s="49"/>
      <c r="V3725" s="49"/>
      <c r="W3725" s="56"/>
      <c r="X3725" s="51" t="str">
        <f t="shared" si="5"/>
        <v/>
      </c>
      <c r="Y3725" s="50" t="s">
        <v>482</v>
      </c>
      <c r="Z3725" s="49">
        <f t="shared" si="6"/>
        <v>0</v>
      </c>
    </row>
    <row r="3726" ht="22.5" customHeight="1">
      <c r="B3726" s="57"/>
      <c r="C3726" s="43" t="str">
        <f t="array" ref="C3726">IF(B3726="","",_xlfn.XLOOKUP(B3726,'Form responses 1'!$B$2:$B$2604,'Form responses 1'!$A$2:$A$2604,""))</f>
        <v/>
      </c>
      <c r="D3726" s="44" t="str">
        <f t="shared" si="3"/>
        <v/>
      </c>
      <c r="E3726" s="44" t="str">
        <f t="array" ref="E3726">IF(B3726="","",_xlfn.XLOOKUP(B3726,'Form responses 1'!$B$2:$B$2604,'Form responses 1'!$C$2:$C$2604,""))</f>
        <v/>
      </c>
      <c r="F3726" s="44" t="str">
        <f t="array" ref="F3726">IF(B3726="","",_xlfn.XLOOKUP(B3726,'Form responses 1'!$B$2:$B$2604,'Form responses 1'!$D$2:$D$2604,""))</f>
        <v/>
      </c>
      <c r="G3726" s="44" t="str">
        <f t="array" ref="G3726">IF(B3726="","",_xlfn.XLOOKUP(B3726,'Form responses 1'!$B$2:$B$2604,'Form responses 1'!$E$2:$E$2604,""))</f>
        <v/>
      </c>
      <c r="H3726" s="44" t="str">
        <f t="array" ref="H3726">IF(B3726="","",_xlfn.XLOOKUP(B3726,'Form responses 1'!$B$2:$B$2604,'Form responses 1'!$F$2:$F$2604,""))</f>
        <v/>
      </c>
      <c r="I3726" s="44" t="str">
        <f t="array" ref="I3726">IF(B3726="","",_xlfn.XLOOKUP(B3726,'Form responses 1'!$B$2:$B$2604,'Form responses 1'!$I$2:$I$2604,""))</f>
        <v/>
      </c>
      <c r="J3726" s="44" t="str">
        <f t="array" ref="J3726">IF(B3726="","",_xlfn.XLOOKUP(B3726,'Form responses 1'!$B$2:$B$2604,'Form responses 1'!$G$2:$G$2604,""))</f>
        <v/>
      </c>
      <c r="K3726" s="56"/>
      <c r="L3726" s="58" t="str">
        <f t="shared" si="7"/>
        <v/>
      </c>
      <c r="M3726" s="49"/>
      <c r="N3726" s="49"/>
      <c r="O3726" s="49"/>
      <c r="P3726" s="49"/>
      <c r="Q3726" s="49"/>
      <c r="R3726" s="49"/>
      <c r="S3726" s="49"/>
      <c r="T3726" s="49"/>
      <c r="U3726" s="49"/>
      <c r="V3726" s="49"/>
      <c r="W3726" s="56"/>
      <c r="X3726" s="51" t="str">
        <f t="shared" si="5"/>
        <v/>
      </c>
      <c r="Y3726" s="50" t="s">
        <v>482</v>
      </c>
      <c r="Z3726" s="49">
        <f t="shared" si="6"/>
        <v>0</v>
      </c>
    </row>
    <row r="3727" ht="22.5" customHeight="1">
      <c r="B3727" s="57"/>
      <c r="C3727" s="43" t="str">
        <f t="array" ref="C3727">IF(B3727="","",_xlfn.XLOOKUP(B3727,'Form responses 1'!$B$2:$B$2604,'Form responses 1'!$A$2:$A$2604,""))</f>
        <v/>
      </c>
      <c r="D3727" s="44" t="str">
        <f t="shared" si="3"/>
        <v/>
      </c>
      <c r="E3727" s="44" t="str">
        <f t="array" ref="E3727">IF(B3727="","",_xlfn.XLOOKUP(B3727,'Form responses 1'!$B$2:$B$2604,'Form responses 1'!$C$2:$C$2604,""))</f>
        <v/>
      </c>
      <c r="F3727" s="44" t="str">
        <f t="array" ref="F3727">IF(B3727="","",_xlfn.XLOOKUP(B3727,'Form responses 1'!$B$2:$B$2604,'Form responses 1'!$D$2:$D$2604,""))</f>
        <v/>
      </c>
      <c r="G3727" s="44" t="str">
        <f t="array" ref="G3727">IF(B3727="","",_xlfn.XLOOKUP(B3727,'Form responses 1'!$B$2:$B$2604,'Form responses 1'!$E$2:$E$2604,""))</f>
        <v/>
      </c>
      <c r="H3727" s="44" t="str">
        <f t="array" ref="H3727">IF(B3727="","",_xlfn.XLOOKUP(B3727,'Form responses 1'!$B$2:$B$2604,'Form responses 1'!$F$2:$F$2604,""))</f>
        <v/>
      </c>
      <c r="I3727" s="44" t="str">
        <f t="array" ref="I3727">IF(B3727="","",_xlfn.XLOOKUP(B3727,'Form responses 1'!$B$2:$B$2604,'Form responses 1'!$I$2:$I$2604,""))</f>
        <v/>
      </c>
      <c r="J3727" s="44" t="str">
        <f t="array" ref="J3727">IF(B3727="","",_xlfn.XLOOKUP(B3727,'Form responses 1'!$B$2:$B$2604,'Form responses 1'!$G$2:$G$2604,""))</f>
        <v/>
      </c>
      <c r="K3727" s="56"/>
      <c r="L3727" s="58" t="str">
        <f t="shared" si="7"/>
        <v/>
      </c>
      <c r="M3727" s="49"/>
      <c r="N3727" s="49"/>
      <c r="O3727" s="49"/>
      <c r="P3727" s="49"/>
      <c r="Q3727" s="49"/>
      <c r="R3727" s="49"/>
      <c r="S3727" s="49"/>
      <c r="T3727" s="49"/>
      <c r="U3727" s="49"/>
      <c r="V3727" s="49"/>
      <c r="W3727" s="56"/>
      <c r="X3727" s="51" t="str">
        <f t="shared" si="5"/>
        <v/>
      </c>
      <c r="Y3727" s="50" t="s">
        <v>482</v>
      </c>
      <c r="Z3727" s="49">
        <f t="shared" si="6"/>
        <v>0</v>
      </c>
    </row>
    <row r="3728" ht="22.5" customHeight="1">
      <c r="B3728" s="57"/>
      <c r="C3728" s="43" t="str">
        <f t="array" ref="C3728">IF(B3728="","",_xlfn.XLOOKUP(B3728,'Form responses 1'!$B$2:$B$2604,'Form responses 1'!$A$2:$A$2604,""))</f>
        <v/>
      </c>
      <c r="D3728" s="44" t="str">
        <f t="shared" si="3"/>
        <v/>
      </c>
      <c r="E3728" s="44" t="str">
        <f t="array" ref="E3728">IF(B3728="","",_xlfn.XLOOKUP(B3728,'Form responses 1'!$B$2:$B$2604,'Form responses 1'!$C$2:$C$2604,""))</f>
        <v/>
      </c>
      <c r="F3728" s="44" t="str">
        <f t="array" ref="F3728">IF(B3728="","",_xlfn.XLOOKUP(B3728,'Form responses 1'!$B$2:$B$2604,'Form responses 1'!$D$2:$D$2604,""))</f>
        <v/>
      </c>
      <c r="G3728" s="44" t="str">
        <f t="array" ref="G3728">IF(B3728="","",_xlfn.XLOOKUP(B3728,'Form responses 1'!$B$2:$B$2604,'Form responses 1'!$E$2:$E$2604,""))</f>
        <v/>
      </c>
      <c r="H3728" s="44" t="str">
        <f t="array" ref="H3728">IF(B3728="","",_xlfn.XLOOKUP(B3728,'Form responses 1'!$B$2:$B$2604,'Form responses 1'!$F$2:$F$2604,""))</f>
        <v/>
      </c>
      <c r="I3728" s="44" t="str">
        <f t="array" ref="I3728">IF(B3728="","",_xlfn.XLOOKUP(B3728,'Form responses 1'!$B$2:$B$2604,'Form responses 1'!$I$2:$I$2604,""))</f>
        <v/>
      </c>
      <c r="J3728" s="44" t="str">
        <f t="array" ref="J3728">IF(B3728="","",_xlfn.XLOOKUP(B3728,'Form responses 1'!$B$2:$B$2604,'Form responses 1'!$G$2:$G$2604,""))</f>
        <v/>
      </c>
      <c r="K3728" s="56"/>
      <c r="L3728" s="58" t="str">
        <f t="shared" si="7"/>
        <v/>
      </c>
      <c r="M3728" s="49"/>
      <c r="N3728" s="49"/>
      <c r="O3728" s="49"/>
      <c r="P3728" s="49"/>
      <c r="Q3728" s="49"/>
      <c r="R3728" s="49"/>
      <c r="S3728" s="49"/>
      <c r="T3728" s="49"/>
      <c r="U3728" s="49"/>
      <c r="V3728" s="49"/>
      <c r="W3728" s="56"/>
      <c r="X3728" s="51" t="str">
        <f t="shared" si="5"/>
        <v/>
      </c>
      <c r="Y3728" s="50" t="s">
        <v>482</v>
      </c>
      <c r="Z3728" s="49">
        <f t="shared" si="6"/>
        <v>0</v>
      </c>
    </row>
    <row r="3729" ht="22.5" customHeight="1">
      <c r="B3729" s="57"/>
      <c r="C3729" s="43" t="str">
        <f t="array" ref="C3729">IF(B3729="","",_xlfn.XLOOKUP(B3729,'Form responses 1'!$B$2:$B$2604,'Form responses 1'!$A$2:$A$2604,""))</f>
        <v/>
      </c>
      <c r="D3729" s="44" t="str">
        <f t="shared" si="3"/>
        <v/>
      </c>
      <c r="E3729" s="44" t="str">
        <f t="array" ref="E3729">IF(B3729="","",_xlfn.XLOOKUP(B3729,'Form responses 1'!$B$2:$B$2604,'Form responses 1'!$C$2:$C$2604,""))</f>
        <v/>
      </c>
      <c r="F3729" s="44" t="str">
        <f t="array" ref="F3729">IF(B3729="","",_xlfn.XLOOKUP(B3729,'Form responses 1'!$B$2:$B$2604,'Form responses 1'!$D$2:$D$2604,""))</f>
        <v/>
      </c>
      <c r="G3729" s="44" t="str">
        <f t="array" ref="G3729">IF(B3729="","",_xlfn.XLOOKUP(B3729,'Form responses 1'!$B$2:$B$2604,'Form responses 1'!$E$2:$E$2604,""))</f>
        <v/>
      </c>
      <c r="H3729" s="44" t="str">
        <f t="array" ref="H3729">IF(B3729="","",_xlfn.XLOOKUP(B3729,'Form responses 1'!$B$2:$B$2604,'Form responses 1'!$F$2:$F$2604,""))</f>
        <v/>
      </c>
      <c r="I3729" s="44" t="str">
        <f t="array" ref="I3729">IF(B3729="","",_xlfn.XLOOKUP(B3729,'Form responses 1'!$B$2:$B$2604,'Form responses 1'!$I$2:$I$2604,""))</f>
        <v/>
      </c>
      <c r="J3729" s="44" t="str">
        <f t="array" ref="J3729">IF(B3729="","",_xlfn.XLOOKUP(B3729,'Form responses 1'!$B$2:$B$2604,'Form responses 1'!$G$2:$G$2604,""))</f>
        <v/>
      </c>
      <c r="K3729" s="56"/>
      <c r="L3729" s="58" t="str">
        <f t="shared" si="7"/>
        <v/>
      </c>
      <c r="M3729" s="49"/>
      <c r="N3729" s="49"/>
      <c r="O3729" s="49"/>
      <c r="P3729" s="49"/>
      <c r="Q3729" s="49"/>
      <c r="R3729" s="49"/>
      <c r="S3729" s="49"/>
      <c r="T3729" s="49"/>
      <c r="U3729" s="49"/>
      <c r="V3729" s="49"/>
      <c r="W3729" s="56"/>
      <c r="X3729" s="51" t="str">
        <f t="shared" si="5"/>
        <v/>
      </c>
      <c r="Y3729" s="50" t="s">
        <v>482</v>
      </c>
      <c r="Z3729" s="49">
        <f t="shared" si="6"/>
        <v>0</v>
      </c>
    </row>
    <row r="3730" ht="22.5" customHeight="1">
      <c r="B3730" s="57"/>
      <c r="C3730" s="43" t="str">
        <f t="array" ref="C3730">IF(B3730="","",_xlfn.XLOOKUP(B3730,'Form responses 1'!$B$2:$B$2604,'Form responses 1'!$A$2:$A$2604,""))</f>
        <v/>
      </c>
      <c r="D3730" s="44" t="str">
        <f t="shared" si="3"/>
        <v/>
      </c>
      <c r="E3730" s="44" t="str">
        <f t="array" ref="E3730">IF(B3730="","",_xlfn.XLOOKUP(B3730,'Form responses 1'!$B$2:$B$2604,'Form responses 1'!$C$2:$C$2604,""))</f>
        <v/>
      </c>
      <c r="F3730" s="44" t="str">
        <f t="array" ref="F3730">IF(B3730="","",_xlfn.XLOOKUP(B3730,'Form responses 1'!$B$2:$B$2604,'Form responses 1'!$D$2:$D$2604,""))</f>
        <v/>
      </c>
      <c r="G3730" s="44" t="str">
        <f t="array" ref="G3730">IF(B3730="","",_xlfn.XLOOKUP(B3730,'Form responses 1'!$B$2:$B$2604,'Form responses 1'!$E$2:$E$2604,""))</f>
        <v/>
      </c>
      <c r="H3730" s="44" t="str">
        <f t="array" ref="H3730">IF(B3730="","",_xlfn.XLOOKUP(B3730,'Form responses 1'!$B$2:$B$2604,'Form responses 1'!$F$2:$F$2604,""))</f>
        <v/>
      </c>
      <c r="I3730" s="44" t="str">
        <f t="array" ref="I3730">IF(B3730="","",_xlfn.XLOOKUP(B3730,'Form responses 1'!$B$2:$B$2604,'Form responses 1'!$I$2:$I$2604,""))</f>
        <v/>
      </c>
      <c r="J3730" s="44" t="str">
        <f t="array" ref="J3730">IF(B3730="","",_xlfn.XLOOKUP(B3730,'Form responses 1'!$B$2:$B$2604,'Form responses 1'!$G$2:$G$2604,""))</f>
        <v/>
      </c>
      <c r="K3730" s="56"/>
      <c r="L3730" s="58" t="str">
        <f t="shared" si="7"/>
        <v/>
      </c>
      <c r="M3730" s="49"/>
      <c r="N3730" s="49"/>
      <c r="O3730" s="49"/>
      <c r="P3730" s="49"/>
      <c r="Q3730" s="49"/>
      <c r="R3730" s="49"/>
      <c r="S3730" s="49"/>
      <c r="T3730" s="49"/>
      <c r="U3730" s="49"/>
      <c r="V3730" s="49"/>
      <c r="W3730" s="56"/>
      <c r="X3730" s="51" t="str">
        <f t="shared" si="5"/>
        <v/>
      </c>
      <c r="Y3730" s="50" t="s">
        <v>482</v>
      </c>
      <c r="Z3730" s="49">
        <f t="shared" si="6"/>
        <v>0</v>
      </c>
    </row>
    <row r="3731" ht="22.5" customHeight="1">
      <c r="B3731" s="57"/>
      <c r="C3731" s="43" t="str">
        <f t="array" ref="C3731">IF(B3731="","",_xlfn.XLOOKUP(B3731,'Form responses 1'!$B$2:$B$2604,'Form responses 1'!$A$2:$A$2604,""))</f>
        <v/>
      </c>
      <c r="D3731" s="44" t="str">
        <f t="shared" si="3"/>
        <v/>
      </c>
      <c r="E3731" s="44" t="str">
        <f t="array" ref="E3731">IF(B3731="","",_xlfn.XLOOKUP(B3731,'Form responses 1'!$B$2:$B$2604,'Form responses 1'!$C$2:$C$2604,""))</f>
        <v/>
      </c>
      <c r="F3731" s="44" t="str">
        <f t="array" ref="F3731">IF(B3731="","",_xlfn.XLOOKUP(B3731,'Form responses 1'!$B$2:$B$2604,'Form responses 1'!$D$2:$D$2604,""))</f>
        <v/>
      </c>
      <c r="G3731" s="44" t="str">
        <f t="array" ref="G3731">IF(B3731="","",_xlfn.XLOOKUP(B3731,'Form responses 1'!$B$2:$B$2604,'Form responses 1'!$E$2:$E$2604,""))</f>
        <v/>
      </c>
      <c r="H3731" s="44" t="str">
        <f t="array" ref="H3731">IF(B3731="","",_xlfn.XLOOKUP(B3731,'Form responses 1'!$B$2:$B$2604,'Form responses 1'!$F$2:$F$2604,""))</f>
        <v/>
      </c>
      <c r="I3731" s="44" t="str">
        <f t="array" ref="I3731">IF(B3731="","",_xlfn.XLOOKUP(B3731,'Form responses 1'!$B$2:$B$2604,'Form responses 1'!$I$2:$I$2604,""))</f>
        <v/>
      </c>
      <c r="J3731" s="44" t="str">
        <f t="array" ref="J3731">IF(B3731="","",_xlfn.XLOOKUP(B3731,'Form responses 1'!$B$2:$B$2604,'Form responses 1'!$G$2:$G$2604,""))</f>
        <v/>
      </c>
      <c r="K3731" s="56"/>
      <c r="L3731" s="58" t="str">
        <f t="shared" si="7"/>
        <v/>
      </c>
      <c r="M3731" s="49"/>
      <c r="N3731" s="49"/>
      <c r="O3731" s="49"/>
      <c r="P3731" s="49"/>
      <c r="Q3731" s="49"/>
      <c r="R3731" s="49"/>
      <c r="S3731" s="49"/>
      <c r="T3731" s="49"/>
      <c r="U3731" s="49"/>
      <c r="V3731" s="49"/>
      <c r="W3731" s="56"/>
      <c r="X3731" s="51" t="str">
        <f t="shared" si="5"/>
        <v/>
      </c>
      <c r="Y3731" s="50" t="s">
        <v>482</v>
      </c>
      <c r="Z3731" s="49">
        <f t="shared" si="6"/>
        <v>0</v>
      </c>
    </row>
    <row r="3732" ht="22.5" customHeight="1">
      <c r="B3732" s="57"/>
      <c r="C3732" s="43" t="str">
        <f t="array" ref="C3732">IF(B3732="","",_xlfn.XLOOKUP(B3732,'Form responses 1'!$B$2:$B$2604,'Form responses 1'!$A$2:$A$2604,""))</f>
        <v/>
      </c>
      <c r="D3732" s="44" t="str">
        <f t="shared" si="3"/>
        <v/>
      </c>
      <c r="E3732" s="44" t="str">
        <f t="array" ref="E3732">IF(B3732="","",_xlfn.XLOOKUP(B3732,'Form responses 1'!$B$2:$B$2604,'Form responses 1'!$C$2:$C$2604,""))</f>
        <v/>
      </c>
      <c r="F3732" s="44" t="str">
        <f t="array" ref="F3732">IF(B3732="","",_xlfn.XLOOKUP(B3732,'Form responses 1'!$B$2:$B$2604,'Form responses 1'!$D$2:$D$2604,""))</f>
        <v/>
      </c>
      <c r="G3732" s="44" t="str">
        <f t="array" ref="G3732">IF(B3732="","",_xlfn.XLOOKUP(B3732,'Form responses 1'!$B$2:$B$2604,'Form responses 1'!$E$2:$E$2604,""))</f>
        <v/>
      </c>
      <c r="H3732" s="44" t="str">
        <f t="array" ref="H3732">IF(B3732="","",_xlfn.XLOOKUP(B3732,'Form responses 1'!$B$2:$B$2604,'Form responses 1'!$F$2:$F$2604,""))</f>
        <v/>
      </c>
      <c r="I3732" s="44" t="str">
        <f t="array" ref="I3732">IF(B3732="","",_xlfn.XLOOKUP(B3732,'Form responses 1'!$B$2:$B$2604,'Form responses 1'!$I$2:$I$2604,""))</f>
        <v/>
      </c>
      <c r="J3732" s="44" t="str">
        <f t="array" ref="J3732">IF(B3732="","",_xlfn.XLOOKUP(B3732,'Form responses 1'!$B$2:$B$2604,'Form responses 1'!$G$2:$G$2604,""))</f>
        <v/>
      </c>
      <c r="K3732" s="56"/>
      <c r="L3732" s="58" t="str">
        <f t="shared" si="7"/>
        <v/>
      </c>
      <c r="M3732" s="49"/>
      <c r="N3732" s="49"/>
      <c r="O3732" s="49"/>
      <c r="P3732" s="49"/>
      <c r="Q3732" s="49"/>
      <c r="R3732" s="49"/>
      <c r="S3732" s="49"/>
      <c r="T3732" s="49"/>
      <c r="U3732" s="49"/>
      <c r="V3732" s="49"/>
      <c r="W3732" s="56"/>
      <c r="X3732" s="51" t="str">
        <f t="shared" si="5"/>
        <v/>
      </c>
      <c r="Y3732" s="50" t="s">
        <v>482</v>
      </c>
      <c r="Z3732" s="49">
        <f t="shared" si="6"/>
        <v>0</v>
      </c>
    </row>
    <row r="3733" ht="22.5" customHeight="1">
      <c r="B3733" s="57"/>
      <c r="C3733" s="43" t="str">
        <f t="array" ref="C3733">IF(B3733="","",_xlfn.XLOOKUP(B3733,'Form responses 1'!$B$2:$B$2604,'Form responses 1'!$A$2:$A$2604,""))</f>
        <v/>
      </c>
      <c r="D3733" s="44" t="str">
        <f t="shared" si="3"/>
        <v/>
      </c>
      <c r="E3733" s="44" t="str">
        <f t="array" ref="E3733">IF(B3733="","",_xlfn.XLOOKUP(B3733,'Form responses 1'!$B$2:$B$2604,'Form responses 1'!$C$2:$C$2604,""))</f>
        <v/>
      </c>
      <c r="F3733" s="44" t="str">
        <f t="array" ref="F3733">IF(B3733="","",_xlfn.XLOOKUP(B3733,'Form responses 1'!$B$2:$B$2604,'Form responses 1'!$D$2:$D$2604,""))</f>
        <v/>
      </c>
      <c r="G3733" s="44" t="str">
        <f t="array" ref="G3733">IF(B3733="","",_xlfn.XLOOKUP(B3733,'Form responses 1'!$B$2:$B$2604,'Form responses 1'!$E$2:$E$2604,""))</f>
        <v/>
      </c>
      <c r="H3733" s="44" t="str">
        <f t="array" ref="H3733">IF(B3733="","",_xlfn.XLOOKUP(B3733,'Form responses 1'!$B$2:$B$2604,'Form responses 1'!$F$2:$F$2604,""))</f>
        <v/>
      </c>
      <c r="I3733" s="44" t="str">
        <f t="array" ref="I3733">IF(B3733="","",_xlfn.XLOOKUP(B3733,'Form responses 1'!$B$2:$B$2604,'Form responses 1'!$I$2:$I$2604,""))</f>
        <v/>
      </c>
      <c r="J3733" s="44" t="str">
        <f t="array" ref="J3733">IF(B3733="","",_xlfn.XLOOKUP(B3733,'Form responses 1'!$B$2:$B$2604,'Form responses 1'!$G$2:$G$2604,""))</f>
        <v/>
      </c>
      <c r="K3733" s="56"/>
      <c r="L3733" s="58" t="str">
        <f t="shared" si="7"/>
        <v/>
      </c>
      <c r="M3733" s="49"/>
      <c r="N3733" s="49"/>
      <c r="O3733" s="49"/>
      <c r="P3733" s="49"/>
      <c r="Q3733" s="49"/>
      <c r="R3733" s="49"/>
      <c r="S3733" s="49"/>
      <c r="T3733" s="49"/>
      <c r="U3733" s="49"/>
      <c r="V3733" s="49"/>
      <c r="W3733" s="56"/>
      <c r="X3733" s="51" t="str">
        <f t="shared" si="5"/>
        <v/>
      </c>
      <c r="Y3733" s="50" t="s">
        <v>482</v>
      </c>
      <c r="Z3733" s="49">
        <f t="shared" si="6"/>
        <v>0</v>
      </c>
    </row>
    <row r="3734" ht="22.5" customHeight="1">
      <c r="B3734" s="57"/>
      <c r="C3734" s="43" t="str">
        <f t="array" ref="C3734">IF(B3734="","",_xlfn.XLOOKUP(B3734,'Form responses 1'!$B$2:$B$2604,'Form responses 1'!$A$2:$A$2604,""))</f>
        <v/>
      </c>
      <c r="D3734" s="44" t="str">
        <f t="shared" si="3"/>
        <v/>
      </c>
      <c r="E3734" s="44" t="str">
        <f t="array" ref="E3734">IF(B3734="","",_xlfn.XLOOKUP(B3734,'Form responses 1'!$B$2:$B$2604,'Form responses 1'!$C$2:$C$2604,""))</f>
        <v/>
      </c>
      <c r="F3734" s="44" t="str">
        <f t="array" ref="F3734">IF(B3734="","",_xlfn.XLOOKUP(B3734,'Form responses 1'!$B$2:$B$2604,'Form responses 1'!$D$2:$D$2604,""))</f>
        <v/>
      </c>
      <c r="G3734" s="44" t="str">
        <f t="array" ref="G3734">IF(B3734="","",_xlfn.XLOOKUP(B3734,'Form responses 1'!$B$2:$B$2604,'Form responses 1'!$E$2:$E$2604,""))</f>
        <v/>
      </c>
      <c r="H3734" s="44" t="str">
        <f t="array" ref="H3734">IF(B3734="","",_xlfn.XLOOKUP(B3734,'Form responses 1'!$B$2:$B$2604,'Form responses 1'!$F$2:$F$2604,""))</f>
        <v/>
      </c>
      <c r="I3734" s="44" t="str">
        <f t="array" ref="I3734">IF(B3734="","",_xlfn.XLOOKUP(B3734,'Form responses 1'!$B$2:$B$2604,'Form responses 1'!$I$2:$I$2604,""))</f>
        <v/>
      </c>
      <c r="J3734" s="44" t="str">
        <f t="array" ref="J3734">IF(B3734="","",_xlfn.XLOOKUP(B3734,'Form responses 1'!$B$2:$B$2604,'Form responses 1'!$G$2:$G$2604,""))</f>
        <v/>
      </c>
      <c r="K3734" s="56"/>
      <c r="L3734" s="58" t="str">
        <f t="shared" si="7"/>
        <v/>
      </c>
      <c r="M3734" s="49"/>
      <c r="N3734" s="49"/>
      <c r="O3734" s="49"/>
      <c r="P3734" s="49"/>
      <c r="Q3734" s="49"/>
      <c r="R3734" s="49"/>
      <c r="S3734" s="49"/>
      <c r="T3734" s="49"/>
      <c r="U3734" s="49"/>
      <c r="V3734" s="49"/>
      <c r="W3734" s="56"/>
      <c r="X3734" s="51" t="str">
        <f t="shared" si="5"/>
        <v/>
      </c>
      <c r="Y3734" s="50" t="s">
        <v>482</v>
      </c>
      <c r="Z3734" s="49">
        <f t="shared" si="6"/>
        <v>0</v>
      </c>
    </row>
    <row r="3735" ht="22.5" customHeight="1">
      <c r="B3735" s="57"/>
      <c r="C3735" s="43" t="str">
        <f t="array" ref="C3735">IF(B3735="","",_xlfn.XLOOKUP(B3735,'Form responses 1'!$B$2:$B$2604,'Form responses 1'!$A$2:$A$2604,""))</f>
        <v/>
      </c>
      <c r="D3735" s="44" t="str">
        <f t="shared" si="3"/>
        <v/>
      </c>
      <c r="E3735" s="44" t="str">
        <f t="array" ref="E3735">IF(B3735="","",_xlfn.XLOOKUP(B3735,'Form responses 1'!$B$2:$B$2604,'Form responses 1'!$C$2:$C$2604,""))</f>
        <v/>
      </c>
      <c r="F3735" s="44" t="str">
        <f t="array" ref="F3735">IF(B3735="","",_xlfn.XLOOKUP(B3735,'Form responses 1'!$B$2:$B$2604,'Form responses 1'!$D$2:$D$2604,""))</f>
        <v/>
      </c>
      <c r="G3735" s="44" t="str">
        <f t="array" ref="G3735">IF(B3735="","",_xlfn.XLOOKUP(B3735,'Form responses 1'!$B$2:$B$2604,'Form responses 1'!$E$2:$E$2604,""))</f>
        <v/>
      </c>
      <c r="H3735" s="44" t="str">
        <f t="array" ref="H3735">IF(B3735="","",_xlfn.XLOOKUP(B3735,'Form responses 1'!$B$2:$B$2604,'Form responses 1'!$F$2:$F$2604,""))</f>
        <v/>
      </c>
      <c r="I3735" s="44" t="str">
        <f t="array" ref="I3735">IF(B3735="","",_xlfn.XLOOKUP(B3735,'Form responses 1'!$B$2:$B$2604,'Form responses 1'!$I$2:$I$2604,""))</f>
        <v/>
      </c>
      <c r="J3735" s="44" t="str">
        <f t="array" ref="J3735">IF(B3735="","",_xlfn.XLOOKUP(B3735,'Form responses 1'!$B$2:$B$2604,'Form responses 1'!$G$2:$G$2604,""))</f>
        <v/>
      </c>
      <c r="K3735" s="56"/>
      <c r="L3735" s="58" t="str">
        <f t="shared" si="7"/>
        <v/>
      </c>
      <c r="M3735" s="49"/>
      <c r="N3735" s="49"/>
      <c r="O3735" s="49"/>
      <c r="P3735" s="49"/>
      <c r="Q3735" s="49"/>
      <c r="R3735" s="49"/>
      <c r="S3735" s="49"/>
      <c r="T3735" s="49"/>
      <c r="U3735" s="49"/>
      <c r="V3735" s="49"/>
      <c r="W3735" s="56"/>
      <c r="X3735" s="51" t="str">
        <f t="shared" si="5"/>
        <v/>
      </c>
      <c r="Y3735" s="50" t="s">
        <v>482</v>
      </c>
      <c r="Z3735" s="49">
        <f t="shared" si="6"/>
        <v>0</v>
      </c>
    </row>
    <row r="3736" ht="22.5" customHeight="1">
      <c r="B3736" s="57"/>
      <c r="C3736" s="43" t="str">
        <f t="array" ref="C3736">IF(B3736="","",_xlfn.XLOOKUP(B3736,'Form responses 1'!$B$2:$B$2604,'Form responses 1'!$A$2:$A$2604,""))</f>
        <v/>
      </c>
      <c r="D3736" s="44" t="str">
        <f t="shared" si="3"/>
        <v/>
      </c>
      <c r="E3736" s="44" t="str">
        <f t="array" ref="E3736">IF(B3736="","",_xlfn.XLOOKUP(B3736,'Form responses 1'!$B$2:$B$2604,'Form responses 1'!$C$2:$C$2604,""))</f>
        <v/>
      </c>
      <c r="F3736" s="44" t="str">
        <f t="array" ref="F3736">IF(B3736="","",_xlfn.XLOOKUP(B3736,'Form responses 1'!$B$2:$B$2604,'Form responses 1'!$D$2:$D$2604,""))</f>
        <v/>
      </c>
      <c r="G3736" s="44" t="str">
        <f t="array" ref="G3736">IF(B3736="","",_xlfn.XLOOKUP(B3736,'Form responses 1'!$B$2:$B$2604,'Form responses 1'!$E$2:$E$2604,""))</f>
        <v/>
      </c>
      <c r="H3736" s="44" t="str">
        <f t="array" ref="H3736">IF(B3736="","",_xlfn.XLOOKUP(B3736,'Form responses 1'!$B$2:$B$2604,'Form responses 1'!$F$2:$F$2604,""))</f>
        <v/>
      </c>
      <c r="I3736" s="44" t="str">
        <f t="array" ref="I3736">IF(B3736="","",_xlfn.XLOOKUP(B3736,'Form responses 1'!$B$2:$B$2604,'Form responses 1'!$I$2:$I$2604,""))</f>
        <v/>
      </c>
      <c r="J3736" s="44" t="str">
        <f t="array" ref="J3736">IF(B3736="","",_xlfn.XLOOKUP(B3736,'Form responses 1'!$B$2:$B$2604,'Form responses 1'!$G$2:$G$2604,""))</f>
        <v/>
      </c>
      <c r="K3736" s="56"/>
      <c r="L3736" s="58" t="str">
        <f t="shared" si="7"/>
        <v/>
      </c>
      <c r="M3736" s="49"/>
      <c r="N3736" s="49"/>
      <c r="O3736" s="49"/>
      <c r="P3736" s="49"/>
      <c r="Q3736" s="49"/>
      <c r="R3736" s="49"/>
      <c r="S3736" s="49"/>
      <c r="T3736" s="49"/>
      <c r="U3736" s="49"/>
      <c r="V3736" s="49"/>
      <c r="W3736" s="56"/>
      <c r="X3736" s="51" t="str">
        <f t="shared" si="5"/>
        <v/>
      </c>
      <c r="Y3736" s="50" t="s">
        <v>482</v>
      </c>
      <c r="Z3736" s="49">
        <f t="shared" si="6"/>
        <v>0</v>
      </c>
    </row>
    <row r="3737" ht="22.5" customHeight="1">
      <c r="B3737" s="57"/>
      <c r="C3737" s="43" t="str">
        <f t="array" ref="C3737">IF(B3737="","",_xlfn.XLOOKUP(B3737,'Form responses 1'!$B$2:$B$2604,'Form responses 1'!$A$2:$A$2604,""))</f>
        <v/>
      </c>
      <c r="D3737" s="44" t="str">
        <f t="shared" si="3"/>
        <v/>
      </c>
      <c r="E3737" s="44" t="str">
        <f t="array" ref="E3737">IF(B3737="","",_xlfn.XLOOKUP(B3737,'Form responses 1'!$B$2:$B$2604,'Form responses 1'!$C$2:$C$2604,""))</f>
        <v/>
      </c>
      <c r="F3737" s="44" t="str">
        <f t="array" ref="F3737">IF(B3737="","",_xlfn.XLOOKUP(B3737,'Form responses 1'!$B$2:$B$2604,'Form responses 1'!$D$2:$D$2604,""))</f>
        <v/>
      </c>
      <c r="G3737" s="44" t="str">
        <f t="array" ref="G3737">IF(B3737="","",_xlfn.XLOOKUP(B3737,'Form responses 1'!$B$2:$B$2604,'Form responses 1'!$E$2:$E$2604,""))</f>
        <v/>
      </c>
      <c r="H3737" s="44" t="str">
        <f t="array" ref="H3737">IF(B3737="","",_xlfn.XLOOKUP(B3737,'Form responses 1'!$B$2:$B$2604,'Form responses 1'!$F$2:$F$2604,""))</f>
        <v/>
      </c>
      <c r="I3737" s="44" t="str">
        <f t="array" ref="I3737">IF(B3737="","",_xlfn.XLOOKUP(B3737,'Form responses 1'!$B$2:$B$2604,'Form responses 1'!$I$2:$I$2604,""))</f>
        <v/>
      </c>
      <c r="J3737" s="44" t="str">
        <f t="array" ref="J3737">IF(B3737="","",_xlfn.XLOOKUP(B3737,'Form responses 1'!$B$2:$B$2604,'Form responses 1'!$G$2:$G$2604,""))</f>
        <v/>
      </c>
      <c r="K3737" s="56"/>
      <c r="L3737" s="58" t="str">
        <f t="shared" si="7"/>
        <v/>
      </c>
      <c r="M3737" s="49"/>
      <c r="N3737" s="49"/>
      <c r="O3737" s="49"/>
      <c r="P3737" s="49"/>
      <c r="Q3737" s="49"/>
      <c r="R3737" s="49"/>
      <c r="S3737" s="49"/>
      <c r="T3737" s="49"/>
      <c r="U3737" s="49"/>
      <c r="V3737" s="49"/>
      <c r="W3737" s="56"/>
      <c r="X3737" s="51" t="str">
        <f t="shared" si="5"/>
        <v/>
      </c>
      <c r="Y3737" s="50" t="s">
        <v>482</v>
      </c>
      <c r="Z3737" s="49">
        <f t="shared" si="6"/>
        <v>0</v>
      </c>
    </row>
    <row r="3738" ht="22.5" customHeight="1">
      <c r="B3738" s="57"/>
      <c r="C3738" s="43" t="str">
        <f t="array" ref="C3738">IF(B3738="","",_xlfn.XLOOKUP(B3738,'Form responses 1'!$B$2:$B$2604,'Form responses 1'!$A$2:$A$2604,""))</f>
        <v/>
      </c>
      <c r="D3738" s="44" t="str">
        <f t="shared" si="3"/>
        <v/>
      </c>
      <c r="E3738" s="44" t="str">
        <f t="array" ref="E3738">IF(B3738="","",_xlfn.XLOOKUP(B3738,'Form responses 1'!$B$2:$B$2604,'Form responses 1'!$C$2:$C$2604,""))</f>
        <v/>
      </c>
      <c r="F3738" s="44" t="str">
        <f t="array" ref="F3738">IF(B3738="","",_xlfn.XLOOKUP(B3738,'Form responses 1'!$B$2:$B$2604,'Form responses 1'!$D$2:$D$2604,""))</f>
        <v/>
      </c>
      <c r="G3738" s="44" t="str">
        <f t="array" ref="G3738">IF(B3738="","",_xlfn.XLOOKUP(B3738,'Form responses 1'!$B$2:$B$2604,'Form responses 1'!$E$2:$E$2604,""))</f>
        <v/>
      </c>
      <c r="H3738" s="44" t="str">
        <f t="array" ref="H3738">IF(B3738="","",_xlfn.XLOOKUP(B3738,'Form responses 1'!$B$2:$B$2604,'Form responses 1'!$F$2:$F$2604,""))</f>
        <v/>
      </c>
      <c r="I3738" s="44" t="str">
        <f t="array" ref="I3738">IF(B3738="","",_xlfn.XLOOKUP(B3738,'Form responses 1'!$B$2:$B$2604,'Form responses 1'!$I$2:$I$2604,""))</f>
        <v/>
      </c>
      <c r="J3738" s="44" t="str">
        <f t="array" ref="J3738">IF(B3738="","",_xlfn.XLOOKUP(B3738,'Form responses 1'!$B$2:$B$2604,'Form responses 1'!$G$2:$G$2604,""))</f>
        <v/>
      </c>
      <c r="K3738" s="56"/>
      <c r="L3738" s="58" t="str">
        <f t="shared" si="7"/>
        <v/>
      </c>
      <c r="M3738" s="49"/>
      <c r="N3738" s="49"/>
      <c r="O3738" s="49"/>
      <c r="P3738" s="49"/>
      <c r="Q3738" s="49"/>
      <c r="R3738" s="49"/>
      <c r="S3738" s="49"/>
      <c r="T3738" s="49"/>
      <c r="U3738" s="49"/>
      <c r="V3738" s="49"/>
      <c r="W3738" s="56"/>
      <c r="X3738" s="51" t="str">
        <f t="shared" si="5"/>
        <v/>
      </c>
      <c r="Y3738" s="50" t="s">
        <v>482</v>
      </c>
      <c r="Z3738" s="49">
        <f t="shared" si="6"/>
        <v>0</v>
      </c>
    </row>
    <row r="3739" ht="22.5" customHeight="1">
      <c r="B3739" s="57"/>
      <c r="C3739" s="43" t="str">
        <f t="array" ref="C3739">IF(B3739="","",_xlfn.XLOOKUP(B3739,'Form responses 1'!$B$2:$B$2604,'Form responses 1'!$A$2:$A$2604,""))</f>
        <v/>
      </c>
      <c r="D3739" s="44" t="str">
        <f t="shared" si="3"/>
        <v/>
      </c>
      <c r="E3739" s="44" t="str">
        <f t="array" ref="E3739">IF(B3739="","",_xlfn.XLOOKUP(B3739,'Form responses 1'!$B$2:$B$2604,'Form responses 1'!$C$2:$C$2604,""))</f>
        <v/>
      </c>
      <c r="F3739" s="44" t="str">
        <f t="array" ref="F3739">IF(B3739="","",_xlfn.XLOOKUP(B3739,'Form responses 1'!$B$2:$B$2604,'Form responses 1'!$D$2:$D$2604,""))</f>
        <v/>
      </c>
      <c r="G3739" s="44" t="str">
        <f t="array" ref="G3739">IF(B3739="","",_xlfn.XLOOKUP(B3739,'Form responses 1'!$B$2:$B$2604,'Form responses 1'!$E$2:$E$2604,""))</f>
        <v/>
      </c>
      <c r="H3739" s="44" t="str">
        <f t="array" ref="H3739">IF(B3739="","",_xlfn.XLOOKUP(B3739,'Form responses 1'!$B$2:$B$2604,'Form responses 1'!$F$2:$F$2604,""))</f>
        <v/>
      </c>
      <c r="I3739" s="44" t="str">
        <f t="array" ref="I3739">IF(B3739="","",_xlfn.XLOOKUP(B3739,'Form responses 1'!$B$2:$B$2604,'Form responses 1'!$I$2:$I$2604,""))</f>
        <v/>
      </c>
      <c r="J3739" s="44" t="str">
        <f t="array" ref="J3739">IF(B3739="","",_xlfn.XLOOKUP(B3739,'Form responses 1'!$B$2:$B$2604,'Form responses 1'!$G$2:$G$2604,""))</f>
        <v/>
      </c>
      <c r="K3739" s="56"/>
      <c r="L3739" s="58" t="str">
        <f t="shared" si="7"/>
        <v/>
      </c>
      <c r="M3739" s="49"/>
      <c r="N3739" s="49"/>
      <c r="O3739" s="49"/>
      <c r="P3739" s="49"/>
      <c r="Q3739" s="49"/>
      <c r="R3739" s="49"/>
      <c r="S3739" s="49"/>
      <c r="T3739" s="49"/>
      <c r="U3739" s="49"/>
      <c r="V3739" s="49"/>
      <c r="W3739" s="56"/>
      <c r="X3739" s="51" t="str">
        <f t="shared" si="5"/>
        <v/>
      </c>
      <c r="Y3739" s="50" t="s">
        <v>482</v>
      </c>
      <c r="Z3739" s="49">
        <f t="shared" si="6"/>
        <v>0</v>
      </c>
    </row>
    <row r="3740" ht="22.5" customHeight="1">
      <c r="B3740" s="57"/>
      <c r="C3740" s="43" t="str">
        <f t="array" ref="C3740">IF(B3740="","",_xlfn.XLOOKUP(B3740,'Form responses 1'!$B$2:$B$2604,'Form responses 1'!$A$2:$A$2604,""))</f>
        <v/>
      </c>
      <c r="D3740" s="44" t="str">
        <f t="shared" si="3"/>
        <v/>
      </c>
      <c r="E3740" s="44" t="str">
        <f t="array" ref="E3740">IF(B3740="","",_xlfn.XLOOKUP(B3740,'Form responses 1'!$B$2:$B$2604,'Form responses 1'!$C$2:$C$2604,""))</f>
        <v/>
      </c>
      <c r="F3740" s="44" t="str">
        <f t="array" ref="F3740">IF(B3740="","",_xlfn.XLOOKUP(B3740,'Form responses 1'!$B$2:$B$2604,'Form responses 1'!$D$2:$D$2604,""))</f>
        <v/>
      </c>
      <c r="G3740" s="44" t="str">
        <f t="array" ref="G3740">IF(B3740="","",_xlfn.XLOOKUP(B3740,'Form responses 1'!$B$2:$B$2604,'Form responses 1'!$E$2:$E$2604,""))</f>
        <v/>
      </c>
      <c r="H3740" s="44" t="str">
        <f t="array" ref="H3740">IF(B3740="","",_xlfn.XLOOKUP(B3740,'Form responses 1'!$B$2:$B$2604,'Form responses 1'!$F$2:$F$2604,""))</f>
        <v/>
      </c>
      <c r="I3740" s="44" t="str">
        <f t="array" ref="I3740">IF(B3740="","",_xlfn.XLOOKUP(B3740,'Form responses 1'!$B$2:$B$2604,'Form responses 1'!$I$2:$I$2604,""))</f>
        <v/>
      </c>
      <c r="J3740" s="44" t="str">
        <f t="array" ref="J3740">IF(B3740="","",_xlfn.XLOOKUP(B3740,'Form responses 1'!$B$2:$B$2604,'Form responses 1'!$G$2:$G$2604,""))</f>
        <v/>
      </c>
      <c r="K3740" s="56"/>
      <c r="L3740" s="58" t="str">
        <f t="shared" si="7"/>
        <v/>
      </c>
      <c r="M3740" s="49"/>
      <c r="N3740" s="49"/>
      <c r="O3740" s="49"/>
      <c r="P3740" s="49"/>
      <c r="Q3740" s="49"/>
      <c r="R3740" s="49"/>
      <c r="S3740" s="49"/>
      <c r="T3740" s="49"/>
      <c r="U3740" s="49"/>
      <c r="V3740" s="49"/>
      <c r="W3740" s="56"/>
      <c r="X3740" s="51" t="str">
        <f t="shared" si="5"/>
        <v/>
      </c>
      <c r="Y3740" s="50" t="s">
        <v>482</v>
      </c>
      <c r="Z3740" s="49">
        <f t="shared" si="6"/>
        <v>0</v>
      </c>
    </row>
    <row r="3741" ht="22.5" customHeight="1">
      <c r="B3741" s="57"/>
      <c r="C3741" s="43" t="str">
        <f t="array" ref="C3741">IF(B3741="","",_xlfn.XLOOKUP(B3741,'Form responses 1'!$B$2:$B$2604,'Form responses 1'!$A$2:$A$2604,""))</f>
        <v/>
      </c>
      <c r="D3741" s="44" t="str">
        <f t="shared" si="3"/>
        <v/>
      </c>
      <c r="E3741" s="44" t="str">
        <f t="array" ref="E3741">IF(B3741="","",_xlfn.XLOOKUP(B3741,'Form responses 1'!$B$2:$B$2604,'Form responses 1'!$C$2:$C$2604,""))</f>
        <v/>
      </c>
      <c r="F3741" s="44" t="str">
        <f t="array" ref="F3741">IF(B3741="","",_xlfn.XLOOKUP(B3741,'Form responses 1'!$B$2:$B$2604,'Form responses 1'!$D$2:$D$2604,""))</f>
        <v/>
      </c>
      <c r="G3741" s="44" t="str">
        <f t="array" ref="G3741">IF(B3741="","",_xlfn.XLOOKUP(B3741,'Form responses 1'!$B$2:$B$2604,'Form responses 1'!$E$2:$E$2604,""))</f>
        <v/>
      </c>
      <c r="H3741" s="44" t="str">
        <f t="array" ref="H3741">IF(B3741="","",_xlfn.XLOOKUP(B3741,'Form responses 1'!$B$2:$B$2604,'Form responses 1'!$F$2:$F$2604,""))</f>
        <v/>
      </c>
      <c r="I3741" s="44" t="str">
        <f t="array" ref="I3741">IF(B3741="","",_xlfn.XLOOKUP(B3741,'Form responses 1'!$B$2:$B$2604,'Form responses 1'!$I$2:$I$2604,""))</f>
        <v/>
      </c>
      <c r="J3741" s="44" t="str">
        <f t="array" ref="J3741">IF(B3741="","",_xlfn.XLOOKUP(B3741,'Form responses 1'!$B$2:$B$2604,'Form responses 1'!$G$2:$G$2604,""))</f>
        <v/>
      </c>
      <c r="K3741" s="56"/>
      <c r="L3741" s="58" t="str">
        <f t="shared" si="7"/>
        <v/>
      </c>
      <c r="M3741" s="49"/>
      <c r="N3741" s="49"/>
      <c r="O3741" s="49"/>
      <c r="P3741" s="49"/>
      <c r="Q3741" s="49"/>
      <c r="R3741" s="49"/>
      <c r="S3741" s="49"/>
      <c r="T3741" s="49"/>
      <c r="U3741" s="49"/>
      <c r="V3741" s="49"/>
      <c r="W3741" s="56"/>
      <c r="X3741" s="51" t="str">
        <f t="shared" si="5"/>
        <v/>
      </c>
      <c r="Y3741" s="50" t="s">
        <v>482</v>
      </c>
      <c r="Z3741" s="49">
        <f t="shared" si="6"/>
        <v>0</v>
      </c>
    </row>
    <row r="3742" ht="22.5" customHeight="1">
      <c r="B3742" s="57"/>
      <c r="C3742" s="43" t="str">
        <f t="array" ref="C3742">IF(B3742="","",_xlfn.XLOOKUP(B3742,'Form responses 1'!$B$2:$B$2604,'Form responses 1'!$A$2:$A$2604,""))</f>
        <v/>
      </c>
      <c r="D3742" s="44" t="str">
        <f t="shared" si="3"/>
        <v/>
      </c>
      <c r="E3742" s="44" t="str">
        <f t="array" ref="E3742">IF(B3742="","",_xlfn.XLOOKUP(B3742,'Form responses 1'!$B$2:$B$2604,'Form responses 1'!$C$2:$C$2604,""))</f>
        <v/>
      </c>
      <c r="F3742" s="44" t="str">
        <f t="array" ref="F3742">IF(B3742="","",_xlfn.XLOOKUP(B3742,'Form responses 1'!$B$2:$B$2604,'Form responses 1'!$D$2:$D$2604,""))</f>
        <v/>
      </c>
      <c r="G3742" s="44" t="str">
        <f t="array" ref="G3742">IF(B3742="","",_xlfn.XLOOKUP(B3742,'Form responses 1'!$B$2:$B$2604,'Form responses 1'!$E$2:$E$2604,""))</f>
        <v/>
      </c>
      <c r="H3742" s="44" t="str">
        <f t="array" ref="H3742">IF(B3742="","",_xlfn.XLOOKUP(B3742,'Form responses 1'!$B$2:$B$2604,'Form responses 1'!$F$2:$F$2604,""))</f>
        <v/>
      </c>
      <c r="I3742" s="44" t="str">
        <f t="array" ref="I3742">IF(B3742="","",_xlfn.XLOOKUP(B3742,'Form responses 1'!$B$2:$B$2604,'Form responses 1'!$I$2:$I$2604,""))</f>
        <v/>
      </c>
      <c r="J3742" s="44" t="str">
        <f t="array" ref="J3742">IF(B3742="","",_xlfn.XLOOKUP(B3742,'Form responses 1'!$B$2:$B$2604,'Form responses 1'!$G$2:$G$2604,""))</f>
        <v/>
      </c>
      <c r="K3742" s="56"/>
      <c r="L3742" s="58" t="str">
        <f t="shared" si="7"/>
        <v/>
      </c>
      <c r="M3742" s="49"/>
      <c r="N3742" s="49"/>
      <c r="O3742" s="49"/>
      <c r="P3742" s="49"/>
      <c r="Q3742" s="49"/>
      <c r="R3742" s="49"/>
      <c r="S3742" s="49"/>
      <c r="T3742" s="49"/>
      <c r="U3742" s="49"/>
      <c r="V3742" s="49"/>
      <c r="W3742" s="56"/>
      <c r="X3742" s="51" t="str">
        <f t="shared" si="5"/>
        <v/>
      </c>
      <c r="Y3742" s="50" t="s">
        <v>482</v>
      </c>
      <c r="Z3742" s="49">
        <f t="shared" si="6"/>
        <v>0</v>
      </c>
    </row>
    <row r="3743" ht="22.5" customHeight="1">
      <c r="B3743" s="57"/>
      <c r="C3743" s="43" t="str">
        <f t="array" ref="C3743">IF(B3743="","",_xlfn.XLOOKUP(B3743,'Form responses 1'!$B$2:$B$2604,'Form responses 1'!$A$2:$A$2604,""))</f>
        <v/>
      </c>
      <c r="D3743" s="44" t="str">
        <f t="shared" si="3"/>
        <v/>
      </c>
      <c r="E3743" s="44" t="str">
        <f t="array" ref="E3743">IF(B3743="","",_xlfn.XLOOKUP(B3743,'Form responses 1'!$B$2:$B$2604,'Form responses 1'!$C$2:$C$2604,""))</f>
        <v/>
      </c>
      <c r="F3743" s="44" t="str">
        <f t="array" ref="F3743">IF(B3743="","",_xlfn.XLOOKUP(B3743,'Form responses 1'!$B$2:$B$2604,'Form responses 1'!$D$2:$D$2604,""))</f>
        <v/>
      </c>
      <c r="G3743" s="44" t="str">
        <f t="array" ref="G3743">IF(B3743="","",_xlfn.XLOOKUP(B3743,'Form responses 1'!$B$2:$B$2604,'Form responses 1'!$E$2:$E$2604,""))</f>
        <v/>
      </c>
      <c r="H3743" s="44" t="str">
        <f t="array" ref="H3743">IF(B3743="","",_xlfn.XLOOKUP(B3743,'Form responses 1'!$B$2:$B$2604,'Form responses 1'!$F$2:$F$2604,""))</f>
        <v/>
      </c>
      <c r="I3743" s="44" t="str">
        <f t="array" ref="I3743">IF(B3743="","",_xlfn.XLOOKUP(B3743,'Form responses 1'!$B$2:$B$2604,'Form responses 1'!$I$2:$I$2604,""))</f>
        <v/>
      </c>
      <c r="J3743" s="44" t="str">
        <f t="array" ref="J3743">IF(B3743="","",_xlfn.XLOOKUP(B3743,'Form responses 1'!$B$2:$B$2604,'Form responses 1'!$G$2:$G$2604,""))</f>
        <v/>
      </c>
      <c r="K3743" s="56"/>
      <c r="L3743" s="58" t="str">
        <f t="shared" si="7"/>
        <v/>
      </c>
      <c r="M3743" s="49"/>
      <c r="N3743" s="49"/>
      <c r="O3743" s="49"/>
      <c r="P3743" s="49"/>
      <c r="Q3743" s="49"/>
      <c r="R3743" s="49"/>
      <c r="S3743" s="49"/>
      <c r="T3743" s="49"/>
      <c r="U3743" s="49"/>
      <c r="V3743" s="49"/>
      <c r="W3743" s="56"/>
      <c r="X3743" s="51" t="str">
        <f t="shared" si="5"/>
        <v/>
      </c>
      <c r="Y3743" s="50" t="s">
        <v>482</v>
      </c>
      <c r="Z3743" s="49">
        <f t="shared" si="6"/>
        <v>0</v>
      </c>
    </row>
    <row r="3744" ht="22.5" customHeight="1">
      <c r="B3744" s="57"/>
      <c r="C3744" s="43" t="str">
        <f t="array" ref="C3744">IF(B3744="","",_xlfn.XLOOKUP(B3744,'Form responses 1'!$B$2:$B$2604,'Form responses 1'!$A$2:$A$2604,""))</f>
        <v/>
      </c>
      <c r="D3744" s="44" t="str">
        <f t="shared" si="3"/>
        <v/>
      </c>
      <c r="E3744" s="44" t="str">
        <f t="array" ref="E3744">IF(B3744="","",_xlfn.XLOOKUP(B3744,'Form responses 1'!$B$2:$B$2604,'Form responses 1'!$C$2:$C$2604,""))</f>
        <v/>
      </c>
      <c r="F3744" s="44" t="str">
        <f t="array" ref="F3744">IF(B3744="","",_xlfn.XLOOKUP(B3744,'Form responses 1'!$B$2:$B$2604,'Form responses 1'!$D$2:$D$2604,""))</f>
        <v/>
      </c>
      <c r="G3744" s="44" t="str">
        <f t="array" ref="G3744">IF(B3744="","",_xlfn.XLOOKUP(B3744,'Form responses 1'!$B$2:$B$2604,'Form responses 1'!$E$2:$E$2604,""))</f>
        <v/>
      </c>
      <c r="H3744" s="44" t="str">
        <f t="array" ref="H3744">IF(B3744="","",_xlfn.XLOOKUP(B3744,'Form responses 1'!$B$2:$B$2604,'Form responses 1'!$F$2:$F$2604,""))</f>
        <v/>
      </c>
      <c r="I3744" s="44" t="str">
        <f t="array" ref="I3744">IF(B3744="","",_xlfn.XLOOKUP(B3744,'Form responses 1'!$B$2:$B$2604,'Form responses 1'!$I$2:$I$2604,""))</f>
        <v/>
      </c>
      <c r="J3744" s="44" t="str">
        <f t="array" ref="J3744">IF(B3744="","",_xlfn.XLOOKUP(B3744,'Form responses 1'!$B$2:$B$2604,'Form responses 1'!$G$2:$G$2604,""))</f>
        <v/>
      </c>
      <c r="K3744" s="56"/>
      <c r="L3744" s="58" t="str">
        <f t="shared" si="7"/>
        <v/>
      </c>
      <c r="M3744" s="49"/>
      <c r="N3744" s="49"/>
      <c r="O3744" s="49"/>
      <c r="P3744" s="49"/>
      <c r="Q3744" s="49"/>
      <c r="R3744" s="49"/>
      <c r="S3744" s="49"/>
      <c r="T3744" s="49"/>
      <c r="U3744" s="49"/>
      <c r="V3744" s="49"/>
      <c r="W3744" s="56"/>
      <c r="X3744" s="51" t="str">
        <f t="shared" si="5"/>
        <v/>
      </c>
      <c r="Y3744" s="50" t="s">
        <v>482</v>
      </c>
      <c r="Z3744" s="49">
        <f t="shared" si="6"/>
        <v>0</v>
      </c>
    </row>
    <row r="3745" ht="22.5" customHeight="1">
      <c r="B3745" s="57"/>
      <c r="C3745" s="43" t="str">
        <f t="array" ref="C3745">IF(B3745="","",_xlfn.XLOOKUP(B3745,'Form responses 1'!$B$2:$B$2604,'Form responses 1'!$A$2:$A$2604,""))</f>
        <v/>
      </c>
      <c r="D3745" s="44" t="str">
        <f t="shared" si="3"/>
        <v/>
      </c>
      <c r="E3745" s="44" t="str">
        <f t="array" ref="E3745">IF(B3745="","",_xlfn.XLOOKUP(B3745,'Form responses 1'!$B$2:$B$2604,'Form responses 1'!$C$2:$C$2604,""))</f>
        <v/>
      </c>
      <c r="F3745" s="44" t="str">
        <f t="array" ref="F3745">IF(B3745="","",_xlfn.XLOOKUP(B3745,'Form responses 1'!$B$2:$B$2604,'Form responses 1'!$D$2:$D$2604,""))</f>
        <v/>
      </c>
      <c r="G3745" s="44" t="str">
        <f t="array" ref="G3745">IF(B3745="","",_xlfn.XLOOKUP(B3745,'Form responses 1'!$B$2:$B$2604,'Form responses 1'!$E$2:$E$2604,""))</f>
        <v/>
      </c>
      <c r="H3745" s="44" t="str">
        <f t="array" ref="H3745">IF(B3745="","",_xlfn.XLOOKUP(B3745,'Form responses 1'!$B$2:$B$2604,'Form responses 1'!$F$2:$F$2604,""))</f>
        <v/>
      </c>
      <c r="I3745" s="44" t="str">
        <f t="array" ref="I3745">IF(B3745="","",_xlfn.XLOOKUP(B3745,'Form responses 1'!$B$2:$B$2604,'Form responses 1'!$I$2:$I$2604,""))</f>
        <v/>
      </c>
      <c r="J3745" s="44" t="str">
        <f t="array" ref="J3745">IF(B3745="","",_xlfn.XLOOKUP(B3745,'Form responses 1'!$B$2:$B$2604,'Form responses 1'!$G$2:$G$2604,""))</f>
        <v/>
      </c>
      <c r="K3745" s="56"/>
      <c r="L3745" s="58" t="str">
        <f t="shared" si="7"/>
        <v/>
      </c>
      <c r="M3745" s="49"/>
      <c r="N3745" s="49"/>
      <c r="O3745" s="49"/>
      <c r="P3745" s="49"/>
      <c r="Q3745" s="49"/>
      <c r="R3745" s="49"/>
      <c r="S3745" s="49"/>
      <c r="T3745" s="49"/>
      <c r="U3745" s="49"/>
      <c r="V3745" s="49"/>
      <c r="W3745" s="56"/>
      <c r="X3745" s="51" t="str">
        <f t="shared" si="5"/>
        <v/>
      </c>
      <c r="Y3745" s="50" t="s">
        <v>482</v>
      </c>
      <c r="Z3745" s="49">
        <f t="shared" si="6"/>
        <v>0</v>
      </c>
    </row>
    <row r="3746" ht="22.5" customHeight="1">
      <c r="B3746" s="57"/>
      <c r="C3746" s="43" t="str">
        <f t="array" ref="C3746">IF(B3746="","",_xlfn.XLOOKUP(B3746,'Form responses 1'!$B$2:$B$2604,'Form responses 1'!$A$2:$A$2604,""))</f>
        <v/>
      </c>
      <c r="D3746" s="44" t="str">
        <f t="shared" si="3"/>
        <v/>
      </c>
      <c r="E3746" s="44" t="str">
        <f t="array" ref="E3746">IF(B3746="","",_xlfn.XLOOKUP(B3746,'Form responses 1'!$B$2:$B$2604,'Form responses 1'!$C$2:$C$2604,""))</f>
        <v/>
      </c>
      <c r="F3746" s="44" t="str">
        <f t="array" ref="F3746">IF(B3746="","",_xlfn.XLOOKUP(B3746,'Form responses 1'!$B$2:$B$2604,'Form responses 1'!$D$2:$D$2604,""))</f>
        <v/>
      </c>
      <c r="G3746" s="44" t="str">
        <f t="array" ref="G3746">IF(B3746="","",_xlfn.XLOOKUP(B3746,'Form responses 1'!$B$2:$B$2604,'Form responses 1'!$E$2:$E$2604,""))</f>
        <v/>
      </c>
      <c r="H3746" s="44" t="str">
        <f t="array" ref="H3746">IF(B3746="","",_xlfn.XLOOKUP(B3746,'Form responses 1'!$B$2:$B$2604,'Form responses 1'!$F$2:$F$2604,""))</f>
        <v/>
      </c>
      <c r="I3746" s="44" t="str">
        <f t="array" ref="I3746">IF(B3746="","",_xlfn.XLOOKUP(B3746,'Form responses 1'!$B$2:$B$2604,'Form responses 1'!$I$2:$I$2604,""))</f>
        <v/>
      </c>
      <c r="J3746" s="44" t="str">
        <f t="array" ref="J3746">IF(B3746="","",_xlfn.XLOOKUP(B3746,'Form responses 1'!$B$2:$B$2604,'Form responses 1'!$G$2:$G$2604,""))</f>
        <v/>
      </c>
      <c r="K3746" s="56"/>
      <c r="L3746" s="58" t="str">
        <f t="shared" si="7"/>
        <v/>
      </c>
      <c r="M3746" s="49"/>
      <c r="N3746" s="49"/>
      <c r="O3746" s="49"/>
      <c r="P3746" s="49"/>
      <c r="Q3746" s="49"/>
      <c r="R3746" s="49"/>
      <c r="S3746" s="49"/>
      <c r="T3746" s="49"/>
      <c r="U3746" s="49"/>
      <c r="V3746" s="49"/>
      <c r="W3746" s="56"/>
      <c r="X3746" s="51" t="str">
        <f t="shared" si="5"/>
        <v/>
      </c>
      <c r="Y3746" s="50" t="s">
        <v>482</v>
      </c>
      <c r="Z3746" s="49">
        <f t="shared" si="6"/>
        <v>0</v>
      </c>
    </row>
    <row r="3747" ht="22.5" customHeight="1">
      <c r="B3747" s="57"/>
      <c r="C3747" s="43" t="str">
        <f t="array" ref="C3747">IF(B3747="","",_xlfn.XLOOKUP(B3747,'Form responses 1'!$B$2:$B$2604,'Form responses 1'!$A$2:$A$2604,""))</f>
        <v/>
      </c>
      <c r="D3747" s="44" t="str">
        <f t="shared" si="3"/>
        <v/>
      </c>
      <c r="E3747" s="44" t="str">
        <f t="array" ref="E3747">IF(B3747="","",_xlfn.XLOOKUP(B3747,'Form responses 1'!$B$2:$B$2604,'Form responses 1'!$C$2:$C$2604,""))</f>
        <v/>
      </c>
      <c r="F3747" s="44" t="str">
        <f t="array" ref="F3747">IF(B3747="","",_xlfn.XLOOKUP(B3747,'Form responses 1'!$B$2:$B$2604,'Form responses 1'!$D$2:$D$2604,""))</f>
        <v/>
      </c>
      <c r="G3747" s="44" t="str">
        <f t="array" ref="G3747">IF(B3747="","",_xlfn.XLOOKUP(B3747,'Form responses 1'!$B$2:$B$2604,'Form responses 1'!$E$2:$E$2604,""))</f>
        <v/>
      </c>
      <c r="H3747" s="44" t="str">
        <f t="array" ref="H3747">IF(B3747="","",_xlfn.XLOOKUP(B3747,'Form responses 1'!$B$2:$B$2604,'Form responses 1'!$F$2:$F$2604,""))</f>
        <v/>
      </c>
      <c r="I3747" s="44" t="str">
        <f t="array" ref="I3747">IF(B3747="","",_xlfn.XLOOKUP(B3747,'Form responses 1'!$B$2:$B$2604,'Form responses 1'!$I$2:$I$2604,""))</f>
        <v/>
      </c>
      <c r="J3747" s="44" t="str">
        <f t="array" ref="J3747">IF(B3747="","",_xlfn.XLOOKUP(B3747,'Form responses 1'!$B$2:$B$2604,'Form responses 1'!$G$2:$G$2604,""))</f>
        <v/>
      </c>
      <c r="K3747" s="56"/>
      <c r="L3747" s="58" t="str">
        <f t="shared" si="7"/>
        <v/>
      </c>
      <c r="M3747" s="49"/>
      <c r="N3747" s="49"/>
      <c r="O3747" s="49"/>
      <c r="P3747" s="49"/>
      <c r="Q3747" s="49"/>
      <c r="R3747" s="49"/>
      <c r="S3747" s="49"/>
      <c r="T3747" s="49"/>
      <c r="U3747" s="49"/>
      <c r="V3747" s="49"/>
      <c r="W3747" s="56"/>
      <c r="X3747" s="51" t="str">
        <f t="shared" si="5"/>
        <v/>
      </c>
      <c r="Y3747" s="50" t="s">
        <v>482</v>
      </c>
      <c r="Z3747" s="49">
        <f t="shared" si="6"/>
        <v>0</v>
      </c>
    </row>
    <row r="3748" ht="22.5" customHeight="1">
      <c r="B3748" s="57"/>
      <c r="C3748" s="43" t="str">
        <f t="array" ref="C3748">IF(B3748="","",_xlfn.XLOOKUP(B3748,'Form responses 1'!$B$2:$B$2604,'Form responses 1'!$A$2:$A$2604,""))</f>
        <v/>
      </c>
      <c r="D3748" s="44" t="str">
        <f t="shared" si="3"/>
        <v/>
      </c>
      <c r="E3748" s="44" t="str">
        <f t="array" ref="E3748">IF(B3748="","",_xlfn.XLOOKUP(B3748,'Form responses 1'!$B$2:$B$2604,'Form responses 1'!$C$2:$C$2604,""))</f>
        <v/>
      </c>
      <c r="F3748" s="44" t="str">
        <f t="array" ref="F3748">IF(B3748="","",_xlfn.XLOOKUP(B3748,'Form responses 1'!$B$2:$B$2604,'Form responses 1'!$D$2:$D$2604,""))</f>
        <v/>
      </c>
      <c r="G3748" s="44" t="str">
        <f t="array" ref="G3748">IF(B3748="","",_xlfn.XLOOKUP(B3748,'Form responses 1'!$B$2:$B$2604,'Form responses 1'!$E$2:$E$2604,""))</f>
        <v/>
      </c>
      <c r="H3748" s="44" t="str">
        <f t="array" ref="H3748">IF(B3748="","",_xlfn.XLOOKUP(B3748,'Form responses 1'!$B$2:$B$2604,'Form responses 1'!$F$2:$F$2604,""))</f>
        <v/>
      </c>
      <c r="I3748" s="44" t="str">
        <f t="array" ref="I3748">IF(B3748="","",_xlfn.XLOOKUP(B3748,'Form responses 1'!$B$2:$B$2604,'Form responses 1'!$I$2:$I$2604,""))</f>
        <v/>
      </c>
      <c r="J3748" s="44" t="str">
        <f t="array" ref="J3748">IF(B3748="","",_xlfn.XLOOKUP(B3748,'Form responses 1'!$B$2:$B$2604,'Form responses 1'!$G$2:$G$2604,""))</f>
        <v/>
      </c>
      <c r="K3748" s="56"/>
      <c r="L3748" s="58" t="str">
        <f t="shared" si="7"/>
        <v/>
      </c>
      <c r="M3748" s="49"/>
      <c r="N3748" s="49"/>
      <c r="O3748" s="49"/>
      <c r="P3748" s="49"/>
      <c r="Q3748" s="49"/>
      <c r="R3748" s="49"/>
      <c r="S3748" s="49"/>
      <c r="T3748" s="49"/>
      <c r="U3748" s="49"/>
      <c r="V3748" s="49"/>
      <c r="W3748" s="56"/>
      <c r="X3748" s="51" t="str">
        <f t="shared" si="5"/>
        <v/>
      </c>
      <c r="Y3748" s="50" t="s">
        <v>482</v>
      </c>
      <c r="Z3748" s="49">
        <f t="shared" si="6"/>
        <v>0</v>
      </c>
    </row>
    <row r="3749" ht="22.5" customHeight="1">
      <c r="B3749" s="57"/>
      <c r="C3749" s="43" t="str">
        <f t="array" ref="C3749">IF(B3749="","",_xlfn.XLOOKUP(B3749,'Form responses 1'!$B$2:$B$2604,'Form responses 1'!$A$2:$A$2604,""))</f>
        <v/>
      </c>
      <c r="D3749" s="44" t="str">
        <f t="shared" si="3"/>
        <v/>
      </c>
      <c r="E3749" s="44" t="str">
        <f t="array" ref="E3749">IF(B3749="","",_xlfn.XLOOKUP(B3749,'Form responses 1'!$B$2:$B$2604,'Form responses 1'!$C$2:$C$2604,""))</f>
        <v/>
      </c>
      <c r="F3749" s="44" t="str">
        <f t="array" ref="F3749">IF(B3749="","",_xlfn.XLOOKUP(B3749,'Form responses 1'!$B$2:$B$2604,'Form responses 1'!$D$2:$D$2604,""))</f>
        <v/>
      </c>
      <c r="G3749" s="44" t="str">
        <f t="array" ref="G3749">IF(B3749="","",_xlfn.XLOOKUP(B3749,'Form responses 1'!$B$2:$B$2604,'Form responses 1'!$E$2:$E$2604,""))</f>
        <v/>
      </c>
      <c r="H3749" s="44" t="str">
        <f t="array" ref="H3749">IF(B3749="","",_xlfn.XLOOKUP(B3749,'Form responses 1'!$B$2:$B$2604,'Form responses 1'!$F$2:$F$2604,""))</f>
        <v/>
      </c>
      <c r="I3749" s="44" t="str">
        <f t="array" ref="I3749">IF(B3749="","",_xlfn.XLOOKUP(B3749,'Form responses 1'!$B$2:$B$2604,'Form responses 1'!$I$2:$I$2604,""))</f>
        <v/>
      </c>
      <c r="J3749" s="44" t="str">
        <f t="array" ref="J3749">IF(B3749="","",_xlfn.XLOOKUP(B3749,'Form responses 1'!$B$2:$B$2604,'Form responses 1'!$G$2:$G$2604,""))</f>
        <v/>
      </c>
      <c r="K3749" s="56"/>
      <c r="L3749" s="58" t="str">
        <f t="shared" si="7"/>
        <v/>
      </c>
      <c r="M3749" s="49"/>
      <c r="N3749" s="49"/>
      <c r="O3749" s="49"/>
      <c r="P3749" s="49"/>
      <c r="Q3749" s="49"/>
      <c r="R3749" s="49"/>
      <c r="S3749" s="49"/>
      <c r="T3749" s="49"/>
      <c r="U3749" s="49"/>
      <c r="V3749" s="49"/>
      <c r="W3749" s="56"/>
      <c r="X3749" s="51" t="str">
        <f t="shared" si="5"/>
        <v/>
      </c>
      <c r="Y3749" s="50" t="s">
        <v>482</v>
      </c>
      <c r="Z3749" s="49">
        <f t="shared" si="6"/>
        <v>0</v>
      </c>
    </row>
    <row r="3750" ht="22.5" customHeight="1">
      <c r="B3750" s="57"/>
      <c r="C3750" s="43" t="str">
        <f t="array" ref="C3750">IF(B3750="","",_xlfn.XLOOKUP(B3750,'Form responses 1'!$B$2:$B$2604,'Form responses 1'!$A$2:$A$2604,""))</f>
        <v/>
      </c>
      <c r="D3750" s="44" t="str">
        <f t="shared" si="3"/>
        <v/>
      </c>
      <c r="E3750" s="44" t="str">
        <f t="array" ref="E3750">IF(B3750="","",_xlfn.XLOOKUP(B3750,'Form responses 1'!$B$2:$B$2604,'Form responses 1'!$C$2:$C$2604,""))</f>
        <v/>
      </c>
      <c r="F3750" s="44" t="str">
        <f t="array" ref="F3750">IF(B3750="","",_xlfn.XLOOKUP(B3750,'Form responses 1'!$B$2:$B$2604,'Form responses 1'!$D$2:$D$2604,""))</f>
        <v/>
      </c>
      <c r="G3750" s="44" t="str">
        <f t="array" ref="G3750">IF(B3750="","",_xlfn.XLOOKUP(B3750,'Form responses 1'!$B$2:$B$2604,'Form responses 1'!$E$2:$E$2604,""))</f>
        <v/>
      </c>
      <c r="H3750" s="44" t="str">
        <f t="array" ref="H3750">IF(B3750="","",_xlfn.XLOOKUP(B3750,'Form responses 1'!$B$2:$B$2604,'Form responses 1'!$F$2:$F$2604,""))</f>
        <v/>
      </c>
      <c r="I3750" s="44" t="str">
        <f t="array" ref="I3750">IF(B3750="","",_xlfn.XLOOKUP(B3750,'Form responses 1'!$B$2:$B$2604,'Form responses 1'!$I$2:$I$2604,""))</f>
        <v/>
      </c>
      <c r="J3750" s="44" t="str">
        <f t="array" ref="J3750">IF(B3750="","",_xlfn.XLOOKUP(B3750,'Form responses 1'!$B$2:$B$2604,'Form responses 1'!$G$2:$G$2604,""))</f>
        <v/>
      </c>
      <c r="K3750" s="56"/>
      <c r="L3750" s="58" t="str">
        <f t="shared" si="7"/>
        <v/>
      </c>
      <c r="M3750" s="49"/>
      <c r="N3750" s="49"/>
      <c r="O3750" s="49"/>
      <c r="P3750" s="49"/>
      <c r="Q3750" s="49"/>
      <c r="R3750" s="49"/>
      <c r="S3750" s="49"/>
      <c r="T3750" s="49"/>
      <c r="U3750" s="49"/>
      <c r="V3750" s="49"/>
      <c r="W3750" s="56"/>
      <c r="X3750" s="51" t="str">
        <f t="shared" si="5"/>
        <v/>
      </c>
      <c r="Y3750" s="50" t="s">
        <v>482</v>
      </c>
      <c r="Z3750" s="49">
        <f t="shared" si="6"/>
        <v>0</v>
      </c>
    </row>
    <row r="3751" ht="22.5" customHeight="1">
      <c r="B3751" s="57"/>
      <c r="C3751" s="43" t="str">
        <f t="array" ref="C3751">IF(B3751="","",_xlfn.XLOOKUP(B3751,'Form responses 1'!$B$2:$B$2604,'Form responses 1'!$A$2:$A$2604,""))</f>
        <v/>
      </c>
      <c r="D3751" s="44" t="str">
        <f t="shared" si="3"/>
        <v/>
      </c>
      <c r="E3751" s="44" t="str">
        <f t="array" ref="E3751">IF(B3751="","",_xlfn.XLOOKUP(B3751,'Form responses 1'!$B$2:$B$2604,'Form responses 1'!$C$2:$C$2604,""))</f>
        <v/>
      </c>
      <c r="F3751" s="44" t="str">
        <f t="array" ref="F3751">IF(B3751="","",_xlfn.XLOOKUP(B3751,'Form responses 1'!$B$2:$B$2604,'Form responses 1'!$D$2:$D$2604,""))</f>
        <v/>
      </c>
      <c r="G3751" s="44" t="str">
        <f t="array" ref="G3751">IF(B3751="","",_xlfn.XLOOKUP(B3751,'Form responses 1'!$B$2:$B$2604,'Form responses 1'!$E$2:$E$2604,""))</f>
        <v/>
      </c>
      <c r="H3751" s="44" t="str">
        <f t="array" ref="H3751">IF(B3751="","",_xlfn.XLOOKUP(B3751,'Form responses 1'!$B$2:$B$2604,'Form responses 1'!$F$2:$F$2604,""))</f>
        <v/>
      </c>
      <c r="I3751" s="44" t="str">
        <f t="array" ref="I3751">IF(B3751="","",_xlfn.XLOOKUP(B3751,'Form responses 1'!$B$2:$B$2604,'Form responses 1'!$I$2:$I$2604,""))</f>
        <v/>
      </c>
      <c r="J3751" s="44" t="str">
        <f t="array" ref="J3751">IF(B3751="","",_xlfn.XLOOKUP(B3751,'Form responses 1'!$B$2:$B$2604,'Form responses 1'!$G$2:$G$2604,""))</f>
        <v/>
      </c>
      <c r="K3751" s="56"/>
      <c r="L3751" s="58" t="str">
        <f t="shared" si="7"/>
        <v/>
      </c>
      <c r="M3751" s="49"/>
      <c r="N3751" s="49"/>
      <c r="O3751" s="49"/>
      <c r="P3751" s="49"/>
      <c r="Q3751" s="49"/>
      <c r="R3751" s="49"/>
      <c r="S3751" s="49"/>
      <c r="T3751" s="49"/>
      <c r="U3751" s="49"/>
      <c r="V3751" s="49"/>
      <c r="W3751" s="56"/>
      <c r="X3751" s="51" t="str">
        <f t="shared" si="5"/>
        <v/>
      </c>
      <c r="Y3751" s="50" t="s">
        <v>482</v>
      </c>
      <c r="Z3751" s="49">
        <f t="shared" si="6"/>
        <v>0</v>
      </c>
    </row>
    <row r="3752" ht="22.5" customHeight="1">
      <c r="B3752" s="57"/>
      <c r="C3752" s="43" t="str">
        <f t="array" ref="C3752">IF(B3752="","",_xlfn.XLOOKUP(B3752,'Form responses 1'!$B$2:$B$2604,'Form responses 1'!$A$2:$A$2604,""))</f>
        <v/>
      </c>
      <c r="D3752" s="44" t="str">
        <f t="shared" si="3"/>
        <v/>
      </c>
      <c r="E3752" s="44" t="str">
        <f t="array" ref="E3752">IF(B3752="","",_xlfn.XLOOKUP(B3752,'Form responses 1'!$B$2:$B$2604,'Form responses 1'!$C$2:$C$2604,""))</f>
        <v/>
      </c>
      <c r="F3752" s="44" t="str">
        <f t="array" ref="F3752">IF(B3752="","",_xlfn.XLOOKUP(B3752,'Form responses 1'!$B$2:$B$2604,'Form responses 1'!$D$2:$D$2604,""))</f>
        <v/>
      </c>
      <c r="G3752" s="44" t="str">
        <f t="array" ref="G3752">IF(B3752="","",_xlfn.XLOOKUP(B3752,'Form responses 1'!$B$2:$B$2604,'Form responses 1'!$E$2:$E$2604,""))</f>
        <v/>
      </c>
      <c r="H3752" s="44" t="str">
        <f t="array" ref="H3752">IF(B3752="","",_xlfn.XLOOKUP(B3752,'Form responses 1'!$B$2:$B$2604,'Form responses 1'!$F$2:$F$2604,""))</f>
        <v/>
      </c>
      <c r="I3752" s="44" t="str">
        <f t="array" ref="I3752">IF(B3752="","",_xlfn.XLOOKUP(B3752,'Form responses 1'!$B$2:$B$2604,'Form responses 1'!$I$2:$I$2604,""))</f>
        <v/>
      </c>
      <c r="J3752" s="44" t="str">
        <f t="array" ref="J3752">IF(B3752="","",_xlfn.XLOOKUP(B3752,'Form responses 1'!$B$2:$B$2604,'Form responses 1'!$G$2:$G$2604,""))</f>
        <v/>
      </c>
      <c r="K3752" s="56"/>
      <c r="L3752" s="58" t="str">
        <f t="shared" si="7"/>
        <v/>
      </c>
      <c r="M3752" s="49"/>
      <c r="N3752" s="49"/>
      <c r="O3752" s="49"/>
      <c r="P3752" s="49"/>
      <c r="Q3752" s="49"/>
      <c r="R3752" s="49"/>
      <c r="S3752" s="49"/>
      <c r="T3752" s="49"/>
      <c r="U3752" s="49"/>
      <c r="V3752" s="49"/>
      <c r="W3752" s="56"/>
      <c r="X3752" s="51" t="str">
        <f t="shared" si="5"/>
        <v/>
      </c>
      <c r="Y3752" s="50" t="s">
        <v>482</v>
      </c>
      <c r="Z3752" s="49">
        <f t="shared" si="6"/>
        <v>0</v>
      </c>
    </row>
    <row r="3753" ht="22.5" customHeight="1">
      <c r="B3753" s="57"/>
      <c r="C3753" s="43" t="str">
        <f t="array" ref="C3753">IF(B3753="","",_xlfn.XLOOKUP(B3753,'Form responses 1'!$B$2:$B$2604,'Form responses 1'!$A$2:$A$2604,""))</f>
        <v/>
      </c>
      <c r="D3753" s="44" t="str">
        <f t="shared" si="3"/>
        <v/>
      </c>
      <c r="E3753" s="44" t="str">
        <f t="array" ref="E3753">IF(B3753="","",_xlfn.XLOOKUP(B3753,'Form responses 1'!$B$2:$B$2604,'Form responses 1'!$C$2:$C$2604,""))</f>
        <v/>
      </c>
      <c r="F3753" s="44" t="str">
        <f t="array" ref="F3753">IF(B3753="","",_xlfn.XLOOKUP(B3753,'Form responses 1'!$B$2:$B$2604,'Form responses 1'!$D$2:$D$2604,""))</f>
        <v/>
      </c>
      <c r="G3753" s="44" t="str">
        <f t="array" ref="G3753">IF(B3753="","",_xlfn.XLOOKUP(B3753,'Form responses 1'!$B$2:$B$2604,'Form responses 1'!$E$2:$E$2604,""))</f>
        <v/>
      </c>
      <c r="H3753" s="44" t="str">
        <f t="array" ref="H3753">IF(B3753="","",_xlfn.XLOOKUP(B3753,'Form responses 1'!$B$2:$B$2604,'Form responses 1'!$F$2:$F$2604,""))</f>
        <v/>
      </c>
      <c r="I3753" s="44" t="str">
        <f t="array" ref="I3753">IF(B3753="","",_xlfn.XLOOKUP(B3753,'Form responses 1'!$B$2:$B$2604,'Form responses 1'!$I$2:$I$2604,""))</f>
        <v/>
      </c>
      <c r="J3753" s="44" t="str">
        <f t="array" ref="J3753">IF(B3753="","",_xlfn.XLOOKUP(B3753,'Form responses 1'!$B$2:$B$2604,'Form responses 1'!$G$2:$G$2604,""))</f>
        <v/>
      </c>
      <c r="K3753" s="56"/>
      <c r="L3753" s="58" t="str">
        <f t="shared" si="7"/>
        <v/>
      </c>
      <c r="M3753" s="49"/>
      <c r="N3753" s="49"/>
      <c r="O3753" s="49"/>
      <c r="P3753" s="49"/>
      <c r="Q3753" s="49"/>
      <c r="R3753" s="49"/>
      <c r="S3753" s="49"/>
      <c r="T3753" s="49"/>
      <c r="U3753" s="49"/>
      <c r="V3753" s="49"/>
      <c r="W3753" s="56"/>
      <c r="X3753" s="51" t="str">
        <f t="shared" si="5"/>
        <v/>
      </c>
      <c r="Y3753" s="50" t="s">
        <v>482</v>
      </c>
      <c r="Z3753" s="49">
        <f t="shared" si="6"/>
        <v>0</v>
      </c>
    </row>
    <row r="3754" ht="22.5" customHeight="1">
      <c r="B3754" s="57"/>
      <c r="C3754" s="43" t="str">
        <f t="array" ref="C3754">IF(B3754="","",_xlfn.XLOOKUP(B3754,'Form responses 1'!$B$2:$B$2604,'Form responses 1'!$A$2:$A$2604,""))</f>
        <v/>
      </c>
      <c r="D3754" s="44" t="str">
        <f t="shared" si="3"/>
        <v/>
      </c>
      <c r="E3754" s="44" t="str">
        <f t="array" ref="E3754">IF(B3754="","",_xlfn.XLOOKUP(B3754,'Form responses 1'!$B$2:$B$2604,'Form responses 1'!$C$2:$C$2604,""))</f>
        <v/>
      </c>
      <c r="F3754" s="44" t="str">
        <f t="array" ref="F3754">IF(B3754="","",_xlfn.XLOOKUP(B3754,'Form responses 1'!$B$2:$B$2604,'Form responses 1'!$D$2:$D$2604,""))</f>
        <v/>
      </c>
      <c r="G3754" s="44" t="str">
        <f t="array" ref="G3754">IF(B3754="","",_xlfn.XLOOKUP(B3754,'Form responses 1'!$B$2:$B$2604,'Form responses 1'!$E$2:$E$2604,""))</f>
        <v/>
      </c>
      <c r="H3754" s="44" t="str">
        <f t="array" ref="H3754">IF(B3754="","",_xlfn.XLOOKUP(B3754,'Form responses 1'!$B$2:$B$2604,'Form responses 1'!$F$2:$F$2604,""))</f>
        <v/>
      </c>
      <c r="I3754" s="44" t="str">
        <f t="array" ref="I3754">IF(B3754="","",_xlfn.XLOOKUP(B3754,'Form responses 1'!$B$2:$B$2604,'Form responses 1'!$I$2:$I$2604,""))</f>
        <v/>
      </c>
      <c r="J3754" s="44" t="str">
        <f t="array" ref="J3754">IF(B3754="","",_xlfn.XLOOKUP(B3754,'Form responses 1'!$B$2:$B$2604,'Form responses 1'!$G$2:$G$2604,""))</f>
        <v/>
      </c>
      <c r="K3754" s="56"/>
      <c r="L3754" s="58" t="str">
        <f t="shared" si="7"/>
        <v/>
      </c>
      <c r="M3754" s="49"/>
      <c r="N3754" s="49"/>
      <c r="O3754" s="49"/>
      <c r="P3754" s="49"/>
      <c r="Q3754" s="49"/>
      <c r="R3754" s="49"/>
      <c r="S3754" s="49"/>
      <c r="T3754" s="49"/>
      <c r="U3754" s="49"/>
      <c r="V3754" s="49"/>
      <c r="W3754" s="56"/>
      <c r="X3754" s="51" t="str">
        <f t="shared" si="5"/>
        <v/>
      </c>
      <c r="Y3754" s="50" t="s">
        <v>482</v>
      </c>
      <c r="Z3754" s="49">
        <f t="shared" si="6"/>
        <v>0</v>
      </c>
    </row>
    <row r="3755" ht="22.5" customHeight="1">
      <c r="B3755" s="57"/>
      <c r="C3755" s="43" t="str">
        <f t="array" ref="C3755">IF(B3755="","",_xlfn.XLOOKUP(B3755,'Form responses 1'!$B$2:$B$2604,'Form responses 1'!$A$2:$A$2604,""))</f>
        <v/>
      </c>
      <c r="D3755" s="44" t="str">
        <f t="shared" si="3"/>
        <v/>
      </c>
      <c r="E3755" s="44" t="str">
        <f t="array" ref="E3755">IF(B3755="","",_xlfn.XLOOKUP(B3755,'Form responses 1'!$B$2:$B$2604,'Form responses 1'!$C$2:$C$2604,""))</f>
        <v/>
      </c>
      <c r="F3755" s="44" t="str">
        <f t="array" ref="F3755">IF(B3755="","",_xlfn.XLOOKUP(B3755,'Form responses 1'!$B$2:$B$2604,'Form responses 1'!$D$2:$D$2604,""))</f>
        <v/>
      </c>
      <c r="G3755" s="44" t="str">
        <f t="array" ref="G3755">IF(B3755="","",_xlfn.XLOOKUP(B3755,'Form responses 1'!$B$2:$B$2604,'Form responses 1'!$E$2:$E$2604,""))</f>
        <v/>
      </c>
      <c r="H3755" s="44" t="str">
        <f t="array" ref="H3755">IF(B3755="","",_xlfn.XLOOKUP(B3755,'Form responses 1'!$B$2:$B$2604,'Form responses 1'!$F$2:$F$2604,""))</f>
        <v/>
      </c>
      <c r="I3755" s="44" t="str">
        <f t="array" ref="I3755">IF(B3755="","",_xlfn.XLOOKUP(B3755,'Form responses 1'!$B$2:$B$2604,'Form responses 1'!$I$2:$I$2604,""))</f>
        <v/>
      </c>
      <c r="J3755" s="44" t="str">
        <f t="array" ref="J3755">IF(B3755="","",_xlfn.XLOOKUP(B3755,'Form responses 1'!$B$2:$B$2604,'Form responses 1'!$G$2:$G$2604,""))</f>
        <v/>
      </c>
      <c r="K3755" s="56"/>
      <c r="L3755" s="58" t="str">
        <f t="shared" si="7"/>
        <v/>
      </c>
      <c r="M3755" s="49"/>
      <c r="N3755" s="49"/>
      <c r="O3755" s="49"/>
      <c r="P3755" s="49"/>
      <c r="Q3755" s="49"/>
      <c r="R3755" s="49"/>
      <c r="S3755" s="49"/>
      <c r="T3755" s="49"/>
      <c r="U3755" s="49"/>
      <c r="V3755" s="49"/>
      <c r="W3755" s="56"/>
      <c r="X3755" s="51" t="str">
        <f t="shared" si="5"/>
        <v/>
      </c>
      <c r="Y3755" s="50" t="s">
        <v>482</v>
      </c>
      <c r="Z3755" s="49">
        <f t="shared" si="6"/>
        <v>0</v>
      </c>
    </row>
    <row r="3756" ht="22.5" customHeight="1">
      <c r="B3756" s="57"/>
      <c r="C3756" s="43" t="str">
        <f t="array" ref="C3756">IF(B3756="","",_xlfn.XLOOKUP(B3756,'Form responses 1'!$B$2:$B$2604,'Form responses 1'!$A$2:$A$2604,""))</f>
        <v/>
      </c>
      <c r="D3756" s="44" t="str">
        <f t="shared" si="3"/>
        <v/>
      </c>
      <c r="E3756" s="44" t="str">
        <f t="array" ref="E3756">IF(B3756="","",_xlfn.XLOOKUP(B3756,'Form responses 1'!$B$2:$B$2604,'Form responses 1'!$C$2:$C$2604,""))</f>
        <v/>
      </c>
      <c r="F3756" s="44" t="str">
        <f t="array" ref="F3756">IF(B3756="","",_xlfn.XLOOKUP(B3756,'Form responses 1'!$B$2:$B$2604,'Form responses 1'!$D$2:$D$2604,""))</f>
        <v/>
      </c>
      <c r="G3756" s="44" t="str">
        <f t="array" ref="G3756">IF(B3756="","",_xlfn.XLOOKUP(B3756,'Form responses 1'!$B$2:$B$2604,'Form responses 1'!$E$2:$E$2604,""))</f>
        <v/>
      </c>
      <c r="H3756" s="44" t="str">
        <f t="array" ref="H3756">IF(B3756="","",_xlfn.XLOOKUP(B3756,'Form responses 1'!$B$2:$B$2604,'Form responses 1'!$F$2:$F$2604,""))</f>
        <v/>
      </c>
      <c r="I3756" s="44" t="str">
        <f t="array" ref="I3756">IF(B3756="","",_xlfn.XLOOKUP(B3756,'Form responses 1'!$B$2:$B$2604,'Form responses 1'!$I$2:$I$2604,""))</f>
        <v/>
      </c>
      <c r="J3756" s="44" t="str">
        <f t="array" ref="J3756">IF(B3756="","",_xlfn.XLOOKUP(B3756,'Form responses 1'!$B$2:$B$2604,'Form responses 1'!$G$2:$G$2604,""))</f>
        <v/>
      </c>
      <c r="K3756" s="56"/>
      <c r="L3756" s="58" t="str">
        <f t="shared" si="7"/>
        <v/>
      </c>
      <c r="M3756" s="49"/>
      <c r="N3756" s="49"/>
      <c r="O3756" s="49"/>
      <c r="P3756" s="49"/>
      <c r="Q3756" s="49"/>
      <c r="R3756" s="49"/>
      <c r="S3756" s="49"/>
      <c r="T3756" s="49"/>
      <c r="U3756" s="49"/>
      <c r="V3756" s="49"/>
      <c r="W3756" s="56"/>
      <c r="X3756" s="51" t="str">
        <f t="shared" si="5"/>
        <v/>
      </c>
      <c r="Y3756" s="50" t="s">
        <v>482</v>
      </c>
      <c r="Z3756" s="49">
        <f t="shared" si="6"/>
        <v>0</v>
      </c>
    </row>
    <row r="3757" ht="22.5" customHeight="1">
      <c r="B3757" s="57"/>
      <c r="C3757" s="43" t="str">
        <f t="array" ref="C3757">IF(B3757="","",_xlfn.XLOOKUP(B3757,'Form responses 1'!$B$2:$B$2604,'Form responses 1'!$A$2:$A$2604,""))</f>
        <v/>
      </c>
      <c r="D3757" s="44" t="str">
        <f t="shared" si="3"/>
        <v/>
      </c>
      <c r="E3757" s="44" t="str">
        <f t="array" ref="E3757">IF(B3757="","",_xlfn.XLOOKUP(B3757,'Form responses 1'!$B$2:$B$2604,'Form responses 1'!$C$2:$C$2604,""))</f>
        <v/>
      </c>
      <c r="F3757" s="44" t="str">
        <f t="array" ref="F3757">IF(B3757="","",_xlfn.XLOOKUP(B3757,'Form responses 1'!$B$2:$B$2604,'Form responses 1'!$D$2:$D$2604,""))</f>
        <v/>
      </c>
      <c r="G3757" s="44" t="str">
        <f t="array" ref="G3757">IF(B3757="","",_xlfn.XLOOKUP(B3757,'Form responses 1'!$B$2:$B$2604,'Form responses 1'!$E$2:$E$2604,""))</f>
        <v/>
      </c>
      <c r="H3757" s="44" t="str">
        <f t="array" ref="H3757">IF(B3757="","",_xlfn.XLOOKUP(B3757,'Form responses 1'!$B$2:$B$2604,'Form responses 1'!$F$2:$F$2604,""))</f>
        <v/>
      </c>
      <c r="I3757" s="44" t="str">
        <f t="array" ref="I3757">IF(B3757="","",_xlfn.XLOOKUP(B3757,'Form responses 1'!$B$2:$B$2604,'Form responses 1'!$I$2:$I$2604,""))</f>
        <v/>
      </c>
      <c r="J3757" s="44" t="str">
        <f t="array" ref="J3757">IF(B3757="","",_xlfn.XLOOKUP(B3757,'Form responses 1'!$B$2:$B$2604,'Form responses 1'!$G$2:$G$2604,""))</f>
        <v/>
      </c>
      <c r="K3757" s="56"/>
      <c r="L3757" s="58" t="str">
        <f t="shared" si="7"/>
        <v/>
      </c>
      <c r="M3757" s="49"/>
      <c r="N3757" s="49"/>
      <c r="O3757" s="49"/>
      <c r="P3757" s="49"/>
      <c r="Q3757" s="49"/>
      <c r="R3757" s="49"/>
      <c r="S3757" s="49"/>
      <c r="T3757" s="49"/>
      <c r="U3757" s="49"/>
      <c r="V3757" s="49"/>
      <c r="W3757" s="56"/>
      <c r="X3757" s="51" t="str">
        <f t="shared" si="5"/>
        <v/>
      </c>
      <c r="Y3757" s="50" t="s">
        <v>482</v>
      </c>
      <c r="Z3757" s="49">
        <f t="shared" si="6"/>
        <v>0</v>
      </c>
    </row>
    <row r="3758" ht="22.5" customHeight="1">
      <c r="B3758" s="57"/>
      <c r="C3758" s="43" t="str">
        <f t="array" ref="C3758">IF(B3758="","",_xlfn.XLOOKUP(B3758,'Form responses 1'!$B$2:$B$2604,'Form responses 1'!$A$2:$A$2604,""))</f>
        <v/>
      </c>
      <c r="D3758" s="44" t="str">
        <f t="shared" si="3"/>
        <v/>
      </c>
      <c r="E3758" s="44" t="str">
        <f t="array" ref="E3758">IF(B3758="","",_xlfn.XLOOKUP(B3758,'Form responses 1'!$B$2:$B$2604,'Form responses 1'!$C$2:$C$2604,""))</f>
        <v/>
      </c>
      <c r="F3758" s="44" t="str">
        <f t="array" ref="F3758">IF(B3758="","",_xlfn.XLOOKUP(B3758,'Form responses 1'!$B$2:$B$2604,'Form responses 1'!$D$2:$D$2604,""))</f>
        <v/>
      </c>
      <c r="G3758" s="44" t="str">
        <f t="array" ref="G3758">IF(B3758="","",_xlfn.XLOOKUP(B3758,'Form responses 1'!$B$2:$B$2604,'Form responses 1'!$E$2:$E$2604,""))</f>
        <v/>
      </c>
      <c r="H3758" s="44" t="str">
        <f t="array" ref="H3758">IF(B3758="","",_xlfn.XLOOKUP(B3758,'Form responses 1'!$B$2:$B$2604,'Form responses 1'!$F$2:$F$2604,""))</f>
        <v/>
      </c>
      <c r="I3758" s="44" t="str">
        <f t="array" ref="I3758">IF(B3758="","",_xlfn.XLOOKUP(B3758,'Form responses 1'!$B$2:$B$2604,'Form responses 1'!$I$2:$I$2604,""))</f>
        <v/>
      </c>
      <c r="J3758" s="44" t="str">
        <f t="array" ref="J3758">IF(B3758="","",_xlfn.XLOOKUP(B3758,'Form responses 1'!$B$2:$B$2604,'Form responses 1'!$G$2:$G$2604,""))</f>
        <v/>
      </c>
      <c r="K3758" s="56"/>
      <c r="L3758" s="58" t="str">
        <f t="shared" si="7"/>
        <v/>
      </c>
      <c r="M3758" s="49"/>
      <c r="N3758" s="49"/>
      <c r="O3758" s="49"/>
      <c r="P3758" s="49"/>
      <c r="Q3758" s="49"/>
      <c r="R3758" s="49"/>
      <c r="S3758" s="49"/>
      <c r="T3758" s="49"/>
      <c r="U3758" s="49"/>
      <c r="V3758" s="49"/>
      <c r="W3758" s="56"/>
      <c r="X3758" s="51" t="str">
        <f t="shared" si="5"/>
        <v/>
      </c>
      <c r="Y3758" s="50" t="s">
        <v>482</v>
      </c>
      <c r="Z3758" s="49">
        <f t="shared" si="6"/>
        <v>0</v>
      </c>
    </row>
    <row r="3759" ht="22.5" customHeight="1">
      <c r="B3759" s="57"/>
      <c r="C3759" s="43" t="str">
        <f t="array" ref="C3759">IF(B3759="","",_xlfn.XLOOKUP(B3759,'Form responses 1'!$B$2:$B$2604,'Form responses 1'!$A$2:$A$2604,""))</f>
        <v/>
      </c>
      <c r="D3759" s="44" t="str">
        <f t="shared" si="3"/>
        <v/>
      </c>
      <c r="E3759" s="44" t="str">
        <f t="array" ref="E3759">IF(B3759="","",_xlfn.XLOOKUP(B3759,'Form responses 1'!$B$2:$B$2604,'Form responses 1'!$C$2:$C$2604,""))</f>
        <v/>
      </c>
      <c r="F3759" s="44" t="str">
        <f t="array" ref="F3759">IF(B3759="","",_xlfn.XLOOKUP(B3759,'Form responses 1'!$B$2:$B$2604,'Form responses 1'!$D$2:$D$2604,""))</f>
        <v/>
      </c>
      <c r="G3759" s="44" t="str">
        <f t="array" ref="G3759">IF(B3759="","",_xlfn.XLOOKUP(B3759,'Form responses 1'!$B$2:$B$2604,'Form responses 1'!$E$2:$E$2604,""))</f>
        <v/>
      </c>
      <c r="H3759" s="44" t="str">
        <f t="array" ref="H3759">IF(B3759="","",_xlfn.XLOOKUP(B3759,'Form responses 1'!$B$2:$B$2604,'Form responses 1'!$F$2:$F$2604,""))</f>
        <v/>
      </c>
      <c r="I3759" s="44" t="str">
        <f t="array" ref="I3759">IF(B3759="","",_xlfn.XLOOKUP(B3759,'Form responses 1'!$B$2:$B$2604,'Form responses 1'!$I$2:$I$2604,""))</f>
        <v/>
      </c>
      <c r="J3759" s="44" t="str">
        <f t="array" ref="J3759">IF(B3759="","",_xlfn.XLOOKUP(B3759,'Form responses 1'!$B$2:$B$2604,'Form responses 1'!$G$2:$G$2604,""))</f>
        <v/>
      </c>
      <c r="K3759" s="56"/>
      <c r="L3759" s="58" t="str">
        <f t="shared" si="7"/>
        <v/>
      </c>
      <c r="M3759" s="49"/>
      <c r="N3759" s="49"/>
      <c r="O3759" s="49"/>
      <c r="P3759" s="49"/>
      <c r="Q3759" s="49"/>
      <c r="R3759" s="49"/>
      <c r="S3759" s="49"/>
      <c r="T3759" s="49"/>
      <c r="U3759" s="49"/>
      <c r="V3759" s="49"/>
      <c r="W3759" s="56"/>
      <c r="X3759" s="51" t="str">
        <f t="shared" si="5"/>
        <v/>
      </c>
      <c r="Y3759" s="50" t="s">
        <v>482</v>
      </c>
      <c r="Z3759" s="49">
        <f t="shared" si="6"/>
        <v>0</v>
      </c>
    </row>
    <row r="3760" ht="22.5" customHeight="1">
      <c r="B3760" s="57"/>
      <c r="C3760" s="43" t="str">
        <f t="array" ref="C3760">IF(B3760="","",_xlfn.XLOOKUP(B3760,'Form responses 1'!$B$2:$B$2604,'Form responses 1'!$A$2:$A$2604,""))</f>
        <v/>
      </c>
      <c r="D3760" s="44" t="str">
        <f t="shared" si="3"/>
        <v/>
      </c>
      <c r="E3760" s="44" t="str">
        <f t="array" ref="E3760">IF(B3760="","",_xlfn.XLOOKUP(B3760,'Form responses 1'!$B$2:$B$2604,'Form responses 1'!$C$2:$C$2604,""))</f>
        <v/>
      </c>
      <c r="F3760" s="44" t="str">
        <f t="array" ref="F3760">IF(B3760="","",_xlfn.XLOOKUP(B3760,'Form responses 1'!$B$2:$B$2604,'Form responses 1'!$D$2:$D$2604,""))</f>
        <v/>
      </c>
      <c r="G3760" s="44" t="str">
        <f t="array" ref="G3760">IF(B3760="","",_xlfn.XLOOKUP(B3760,'Form responses 1'!$B$2:$B$2604,'Form responses 1'!$E$2:$E$2604,""))</f>
        <v/>
      </c>
      <c r="H3760" s="44" t="str">
        <f t="array" ref="H3760">IF(B3760="","",_xlfn.XLOOKUP(B3760,'Form responses 1'!$B$2:$B$2604,'Form responses 1'!$F$2:$F$2604,""))</f>
        <v/>
      </c>
      <c r="I3760" s="44" t="str">
        <f t="array" ref="I3760">IF(B3760="","",_xlfn.XLOOKUP(B3760,'Form responses 1'!$B$2:$B$2604,'Form responses 1'!$I$2:$I$2604,""))</f>
        <v/>
      </c>
      <c r="J3760" s="44" t="str">
        <f t="array" ref="J3760">IF(B3760="","",_xlfn.XLOOKUP(B3760,'Form responses 1'!$B$2:$B$2604,'Form responses 1'!$G$2:$G$2604,""))</f>
        <v/>
      </c>
      <c r="K3760" s="56"/>
      <c r="L3760" s="58" t="str">
        <f t="shared" si="7"/>
        <v/>
      </c>
      <c r="M3760" s="49"/>
      <c r="N3760" s="49"/>
      <c r="O3760" s="49"/>
      <c r="P3760" s="49"/>
      <c r="Q3760" s="49"/>
      <c r="R3760" s="49"/>
      <c r="S3760" s="49"/>
      <c r="T3760" s="49"/>
      <c r="U3760" s="49"/>
      <c r="V3760" s="49"/>
      <c r="W3760" s="56"/>
      <c r="X3760" s="51" t="str">
        <f t="shared" si="5"/>
        <v/>
      </c>
      <c r="Y3760" s="50" t="s">
        <v>482</v>
      </c>
      <c r="Z3760" s="49">
        <f t="shared" si="6"/>
        <v>0</v>
      </c>
    </row>
    <row r="3761" ht="22.5" customHeight="1">
      <c r="B3761" s="57"/>
      <c r="C3761" s="43" t="str">
        <f t="array" ref="C3761">IF(B3761="","",_xlfn.XLOOKUP(B3761,'Form responses 1'!$B$2:$B$2604,'Form responses 1'!$A$2:$A$2604,""))</f>
        <v/>
      </c>
      <c r="D3761" s="44" t="str">
        <f t="shared" si="3"/>
        <v/>
      </c>
      <c r="E3761" s="44" t="str">
        <f t="array" ref="E3761">IF(B3761="","",_xlfn.XLOOKUP(B3761,'Form responses 1'!$B$2:$B$2604,'Form responses 1'!$C$2:$C$2604,""))</f>
        <v/>
      </c>
      <c r="F3761" s="44" t="str">
        <f t="array" ref="F3761">IF(B3761="","",_xlfn.XLOOKUP(B3761,'Form responses 1'!$B$2:$B$2604,'Form responses 1'!$D$2:$D$2604,""))</f>
        <v/>
      </c>
      <c r="G3761" s="44" t="str">
        <f t="array" ref="G3761">IF(B3761="","",_xlfn.XLOOKUP(B3761,'Form responses 1'!$B$2:$B$2604,'Form responses 1'!$E$2:$E$2604,""))</f>
        <v/>
      </c>
      <c r="H3761" s="44" t="str">
        <f t="array" ref="H3761">IF(B3761="","",_xlfn.XLOOKUP(B3761,'Form responses 1'!$B$2:$B$2604,'Form responses 1'!$F$2:$F$2604,""))</f>
        <v/>
      </c>
      <c r="I3761" s="44" t="str">
        <f t="array" ref="I3761">IF(B3761="","",_xlfn.XLOOKUP(B3761,'Form responses 1'!$B$2:$B$2604,'Form responses 1'!$I$2:$I$2604,""))</f>
        <v/>
      </c>
      <c r="J3761" s="44" t="str">
        <f t="array" ref="J3761">IF(B3761="","",_xlfn.XLOOKUP(B3761,'Form responses 1'!$B$2:$B$2604,'Form responses 1'!$G$2:$G$2604,""))</f>
        <v/>
      </c>
      <c r="K3761" s="56"/>
      <c r="L3761" s="58" t="str">
        <f t="shared" si="7"/>
        <v/>
      </c>
      <c r="M3761" s="49"/>
      <c r="N3761" s="49"/>
      <c r="O3761" s="49"/>
      <c r="P3761" s="49"/>
      <c r="Q3761" s="49"/>
      <c r="R3761" s="49"/>
      <c r="S3761" s="49"/>
      <c r="T3761" s="49"/>
      <c r="U3761" s="49"/>
      <c r="V3761" s="49"/>
      <c r="W3761" s="56"/>
      <c r="X3761" s="51" t="str">
        <f t="shared" si="5"/>
        <v/>
      </c>
      <c r="Y3761" s="50" t="s">
        <v>482</v>
      </c>
      <c r="Z3761" s="49">
        <f t="shared" si="6"/>
        <v>0</v>
      </c>
    </row>
    <row r="3762" ht="22.5" customHeight="1">
      <c r="B3762" s="57"/>
      <c r="C3762" s="43" t="str">
        <f t="array" ref="C3762">IF(B3762="","",_xlfn.XLOOKUP(B3762,'Form responses 1'!$B$2:$B$2604,'Form responses 1'!$A$2:$A$2604,""))</f>
        <v/>
      </c>
      <c r="D3762" s="44" t="str">
        <f t="shared" si="3"/>
        <v/>
      </c>
      <c r="E3762" s="44" t="str">
        <f t="array" ref="E3762">IF(B3762="","",_xlfn.XLOOKUP(B3762,'Form responses 1'!$B$2:$B$2604,'Form responses 1'!$C$2:$C$2604,""))</f>
        <v/>
      </c>
      <c r="F3762" s="44" t="str">
        <f t="array" ref="F3762">IF(B3762="","",_xlfn.XLOOKUP(B3762,'Form responses 1'!$B$2:$B$2604,'Form responses 1'!$D$2:$D$2604,""))</f>
        <v/>
      </c>
      <c r="G3762" s="44" t="str">
        <f t="array" ref="G3762">IF(B3762="","",_xlfn.XLOOKUP(B3762,'Form responses 1'!$B$2:$B$2604,'Form responses 1'!$E$2:$E$2604,""))</f>
        <v/>
      </c>
      <c r="H3762" s="44" t="str">
        <f t="array" ref="H3762">IF(B3762="","",_xlfn.XLOOKUP(B3762,'Form responses 1'!$B$2:$B$2604,'Form responses 1'!$F$2:$F$2604,""))</f>
        <v/>
      </c>
      <c r="I3762" s="44" t="str">
        <f t="array" ref="I3762">IF(B3762="","",_xlfn.XLOOKUP(B3762,'Form responses 1'!$B$2:$B$2604,'Form responses 1'!$I$2:$I$2604,""))</f>
        <v/>
      </c>
      <c r="J3762" s="44" t="str">
        <f t="array" ref="J3762">IF(B3762="","",_xlfn.XLOOKUP(B3762,'Form responses 1'!$B$2:$B$2604,'Form responses 1'!$G$2:$G$2604,""))</f>
        <v/>
      </c>
      <c r="K3762" s="56"/>
      <c r="L3762" s="58" t="str">
        <f t="shared" si="7"/>
        <v/>
      </c>
      <c r="M3762" s="49"/>
      <c r="N3762" s="49"/>
      <c r="O3762" s="49"/>
      <c r="P3762" s="49"/>
      <c r="Q3762" s="49"/>
      <c r="R3762" s="49"/>
      <c r="S3762" s="49"/>
      <c r="T3762" s="49"/>
      <c r="U3762" s="49"/>
      <c r="V3762" s="49"/>
      <c r="W3762" s="56"/>
      <c r="X3762" s="51" t="str">
        <f t="shared" si="5"/>
        <v/>
      </c>
      <c r="Y3762" s="50" t="s">
        <v>482</v>
      </c>
      <c r="Z3762" s="49">
        <f t="shared" si="6"/>
        <v>0</v>
      </c>
    </row>
    <row r="3763" ht="22.5" customHeight="1">
      <c r="B3763" s="57"/>
      <c r="C3763" s="43" t="str">
        <f t="array" ref="C3763">IF(B3763="","",_xlfn.XLOOKUP(B3763,'Form responses 1'!$B$2:$B$2604,'Form responses 1'!$A$2:$A$2604,""))</f>
        <v/>
      </c>
      <c r="D3763" s="44" t="str">
        <f t="shared" si="3"/>
        <v/>
      </c>
      <c r="E3763" s="44" t="str">
        <f t="array" ref="E3763">IF(B3763="","",_xlfn.XLOOKUP(B3763,'Form responses 1'!$B$2:$B$2604,'Form responses 1'!$C$2:$C$2604,""))</f>
        <v/>
      </c>
      <c r="F3763" s="44" t="str">
        <f t="array" ref="F3763">IF(B3763="","",_xlfn.XLOOKUP(B3763,'Form responses 1'!$B$2:$B$2604,'Form responses 1'!$D$2:$D$2604,""))</f>
        <v/>
      </c>
      <c r="G3763" s="44" t="str">
        <f t="array" ref="G3763">IF(B3763="","",_xlfn.XLOOKUP(B3763,'Form responses 1'!$B$2:$B$2604,'Form responses 1'!$E$2:$E$2604,""))</f>
        <v/>
      </c>
      <c r="H3763" s="44" t="str">
        <f t="array" ref="H3763">IF(B3763="","",_xlfn.XLOOKUP(B3763,'Form responses 1'!$B$2:$B$2604,'Form responses 1'!$F$2:$F$2604,""))</f>
        <v/>
      </c>
      <c r="I3763" s="44" t="str">
        <f t="array" ref="I3763">IF(B3763="","",_xlfn.XLOOKUP(B3763,'Form responses 1'!$B$2:$B$2604,'Form responses 1'!$I$2:$I$2604,""))</f>
        <v/>
      </c>
      <c r="J3763" s="44" t="str">
        <f t="array" ref="J3763">IF(B3763="","",_xlfn.XLOOKUP(B3763,'Form responses 1'!$B$2:$B$2604,'Form responses 1'!$G$2:$G$2604,""))</f>
        <v/>
      </c>
      <c r="K3763" s="56"/>
      <c r="L3763" s="58" t="str">
        <f t="shared" si="7"/>
        <v/>
      </c>
      <c r="M3763" s="49"/>
      <c r="N3763" s="49"/>
      <c r="O3763" s="49"/>
      <c r="P3763" s="49"/>
      <c r="Q3763" s="49"/>
      <c r="R3763" s="49"/>
      <c r="S3763" s="49"/>
      <c r="T3763" s="49"/>
      <c r="U3763" s="49"/>
      <c r="V3763" s="49"/>
      <c r="W3763" s="56"/>
      <c r="X3763" s="51" t="str">
        <f t="shared" si="5"/>
        <v/>
      </c>
      <c r="Y3763" s="50" t="s">
        <v>482</v>
      </c>
      <c r="Z3763" s="49">
        <f t="shared" si="6"/>
        <v>0</v>
      </c>
    </row>
    <row r="3764" ht="22.5" customHeight="1">
      <c r="B3764" s="57"/>
      <c r="C3764" s="43" t="str">
        <f t="array" ref="C3764">IF(B3764="","",_xlfn.XLOOKUP(B3764,'Form responses 1'!$B$2:$B$2604,'Form responses 1'!$A$2:$A$2604,""))</f>
        <v/>
      </c>
      <c r="D3764" s="44" t="str">
        <f t="shared" si="3"/>
        <v/>
      </c>
      <c r="E3764" s="44" t="str">
        <f t="array" ref="E3764">IF(B3764="","",_xlfn.XLOOKUP(B3764,'Form responses 1'!$B$2:$B$2604,'Form responses 1'!$C$2:$C$2604,""))</f>
        <v/>
      </c>
      <c r="F3764" s="44" t="str">
        <f t="array" ref="F3764">IF(B3764="","",_xlfn.XLOOKUP(B3764,'Form responses 1'!$B$2:$B$2604,'Form responses 1'!$D$2:$D$2604,""))</f>
        <v/>
      </c>
      <c r="G3764" s="44" t="str">
        <f t="array" ref="G3764">IF(B3764="","",_xlfn.XLOOKUP(B3764,'Form responses 1'!$B$2:$B$2604,'Form responses 1'!$E$2:$E$2604,""))</f>
        <v/>
      </c>
      <c r="H3764" s="44" t="str">
        <f t="array" ref="H3764">IF(B3764="","",_xlfn.XLOOKUP(B3764,'Form responses 1'!$B$2:$B$2604,'Form responses 1'!$F$2:$F$2604,""))</f>
        <v/>
      </c>
      <c r="I3764" s="44" t="str">
        <f t="array" ref="I3764">IF(B3764="","",_xlfn.XLOOKUP(B3764,'Form responses 1'!$B$2:$B$2604,'Form responses 1'!$I$2:$I$2604,""))</f>
        <v/>
      </c>
      <c r="J3764" s="44" t="str">
        <f t="array" ref="J3764">IF(B3764="","",_xlfn.XLOOKUP(B3764,'Form responses 1'!$B$2:$B$2604,'Form responses 1'!$G$2:$G$2604,""))</f>
        <v/>
      </c>
      <c r="K3764" s="56"/>
      <c r="L3764" s="58" t="str">
        <f t="shared" si="7"/>
        <v/>
      </c>
      <c r="M3764" s="49"/>
      <c r="N3764" s="49"/>
      <c r="O3764" s="49"/>
      <c r="P3764" s="49"/>
      <c r="Q3764" s="49"/>
      <c r="R3764" s="49"/>
      <c r="S3764" s="49"/>
      <c r="T3764" s="49"/>
      <c r="U3764" s="49"/>
      <c r="V3764" s="49"/>
      <c r="W3764" s="56"/>
      <c r="X3764" s="51" t="str">
        <f t="shared" si="5"/>
        <v/>
      </c>
      <c r="Y3764" s="50" t="s">
        <v>482</v>
      </c>
      <c r="Z3764" s="49">
        <f t="shared" si="6"/>
        <v>0</v>
      </c>
    </row>
    <row r="3765" ht="22.5" customHeight="1">
      <c r="B3765" s="57"/>
      <c r="C3765" s="43" t="str">
        <f t="array" ref="C3765">IF(B3765="","",_xlfn.XLOOKUP(B3765,'Form responses 1'!$B$2:$B$2604,'Form responses 1'!$A$2:$A$2604,""))</f>
        <v/>
      </c>
      <c r="D3765" s="44" t="str">
        <f t="shared" si="3"/>
        <v/>
      </c>
      <c r="E3765" s="44" t="str">
        <f t="array" ref="E3765">IF(B3765="","",_xlfn.XLOOKUP(B3765,'Form responses 1'!$B$2:$B$2604,'Form responses 1'!$C$2:$C$2604,""))</f>
        <v/>
      </c>
      <c r="F3765" s="44" t="str">
        <f t="array" ref="F3765">IF(B3765="","",_xlfn.XLOOKUP(B3765,'Form responses 1'!$B$2:$B$2604,'Form responses 1'!$D$2:$D$2604,""))</f>
        <v/>
      </c>
      <c r="G3765" s="44" t="str">
        <f t="array" ref="G3765">IF(B3765="","",_xlfn.XLOOKUP(B3765,'Form responses 1'!$B$2:$B$2604,'Form responses 1'!$E$2:$E$2604,""))</f>
        <v/>
      </c>
      <c r="H3765" s="44" t="str">
        <f t="array" ref="H3765">IF(B3765="","",_xlfn.XLOOKUP(B3765,'Form responses 1'!$B$2:$B$2604,'Form responses 1'!$F$2:$F$2604,""))</f>
        <v/>
      </c>
      <c r="I3765" s="44" t="str">
        <f t="array" ref="I3765">IF(B3765="","",_xlfn.XLOOKUP(B3765,'Form responses 1'!$B$2:$B$2604,'Form responses 1'!$I$2:$I$2604,""))</f>
        <v/>
      </c>
      <c r="J3765" s="44" t="str">
        <f t="array" ref="J3765">IF(B3765="","",_xlfn.XLOOKUP(B3765,'Form responses 1'!$B$2:$B$2604,'Form responses 1'!$G$2:$G$2604,""))</f>
        <v/>
      </c>
      <c r="K3765" s="56"/>
      <c r="L3765" s="58" t="str">
        <f t="shared" si="7"/>
        <v/>
      </c>
      <c r="M3765" s="49"/>
      <c r="N3765" s="49"/>
      <c r="O3765" s="49"/>
      <c r="P3765" s="49"/>
      <c r="Q3765" s="49"/>
      <c r="R3765" s="49"/>
      <c r="S3765" s="49"/>
      <c r="T3765" s="49"/>
      <c r="U3765" s="49"/>
      <c r="V3765" s="49"/>
      <c r="W3765" s="56"/>
      <c r="X3765" s="51" t="str">
        <f t="shared" si="5"/>
        <v/>
      </c>
      <c r="Y3765" s="50" t="s">
        <v>482</v>
      </c>
      <c r="Z3765" s="49">
        <f t="shared" si="6"/>
        <v>0</v>
      </c>
    </row>
    <row r="3766" ht="22.5" customHeight="1">
      <c r="B3766" s="57"/>
      <c r="C3766" s="43" t="str">
        <f t="array" ref="C3766">IF(B3766="","",_xlfn.XLOOKUP(B3766,'Form responses 1'!$B$2:$B$2604,'Form responses 1'!$A$2:$A$2604,""))</f>
        <v/>
      </c>
      <c r="D3766" s="44" t="str">
        <f t="shared" si="3"/>
        <v/>
      </c>
      <c r="E3766" s="44" t="str">
        <f t="array" ref="E3766">IF(B3766="","",_xlfn.XLOOKUP(B3766,'Form responses 1'!$B$2:$B$2604,'Form responses 1'!$C$2:$C$2604,""))</f>
        <v/>
      </c>
      <c r="F3766" s="44" t="str">
        <f t="array" ref="F3766">IF(B3766="","",_xlfn.XLOOKUP(B3766,'Form responses 1'!$B$2:$B$2604,'Form responses 1'!$D$2:$D$2604,""))</f>
        <v/>
      </c>
      <c r="G3766" s="44" t="str">
        <f t="array" ref="G3766">IF(B3766="","",_xlfn.XLOOKUP(B3766,'Form responses 1'!$B$2:$B$2604,'Form responses 1'!$E$2:$E$2604,""))</f>
        <v/>
      </c>
      <c r="H3766" s="44" t="str">
        <f t="array" ref="H3766">IF(B3766="","",_xlfn.XLOOKUP(B3766,'Form responses 1'!$B$2:$B$2604,'Form responses 1'!$F$2:$F$2604,""))</f>
        <v/>
      </c>
      <c r="I3766" s="44" t="str">
        <f t="array" ref="I3766">IF(B3766="","",_xlfn.XLOOKUP(B3766,'Form responses 1'!$B$2:$B$2604,'Form responses 1'!$I$2:$I$2604,""))</f>
        <v/>
      </c>
      <c r="J3766" s="44" t="str">
        <f t="array" ref="J3766">IF(B3766="","",_xlfn.XLOOKUP(B3766,'Form responses 1'!$B$2:$B$2604,'Form responses 1'!$G$2:$G$2604,""))</f>
        <v/>
      </c>
      <c r="K3766" s="56"/>
      <c r="L3766" s="58" t="str">
        <f t="shared" si="7"/>
        <v/>
      </c>
      <c r="M3766" s="49"/>
      <c r="N3766" s="49"/>
      <c r="O3766" s="49"/>
      <c r="P3766" s="49"/>
      <c r="Q3766" s="49"/>
      <c r="R3766" s="49"/>
      <c r="S3766" s="49"/>
      <c r="T3766" s="49"/>
      <c r="U3766" s="49"/>
      <c r="V3766" s="49"/>
      <c r="W3766" s="56"/>
      <c r="X3766" s="51" t="str">
        <f t="shared" si="5"/>
        <v/>
      </c>
      <c r="Y3766" s="50" t="s">
        <v>482</v>
      </c>
      <c r="Z3766" s="49">
        <f t="shared" si="6"/>
        <v>0</v>
      </c>
    </row>
    <row r="3767" ht="22.5" customHeight="1">
      <c r="B3767" s="57"/>
      <c r="C3767" s="43" t="str">
        <f t="array" ref="C3767">IF(B3767="","",_xlfn.XLOOKUP(B3767,'Form responses 1'!$B$2:$B$2604,'Form responses 1'!$A$2:$A$2604,""))</f>
        <v/>
      </c>
      <c r="D3767" s="44" t="str">
        <f t="shared" si="3"/>
        <v/>
      </c>
      <c r="E3767" s="44" t="str">
        <f t="array" ref="E3767">IF(B3767="","",_xlfn.XLOOKUP(B3767,'Form responses 1'!$B$2:$B$2604,'Form responses 1'!$C$2:$C$2604,""))</f>
        <v/>
      </c>
      <c r="F3767" s="44" t="str">
        <f t="array" ref="F3767">IF(B3767="","",_xlfn.XLOOKUP(B3767,'Form responses 1'!$B$2:$B$2604,'Form responses 1'!$D$2:$D$2604,""))</f>
        <v/>
      </c>
      <c r="G3767" s="44" t="str">
        <f t="array" ref="G3767">IF(B3767="","",_xlfn.XLOOKUP(B3767,'Form responses 1'!$B$2:$B$2604,'Form responses 1'!$E$2:$E$2604,""))</f>
        <v/>
      </c>
      <c r="H3767" s="44" t="str">
        <f t="array" ref="H3767">IF(B3767="","",_xlfn.XLOOKUP(B3767,'Form responses 1'!$B$2:$B$2604,'Form responses 1'!$F$2:$F$2604,""))</f>
        <v/>
      </c>
      <c r="I3767" s="44" t="str">
        <f t="array" ref="I3767">IF(B3767="","",_xlfn.XLOOKUP(B3767,'Form responses 1'!$B$2:$B$2604,'Form responses 1'!$I$2:$I$2604,""))</f>
        <v/>
      </c>
      <c r="J3767" s="44" t="str">
        <f t="array" ref="J3767">IF(B3767="","",_xlfn.XLOOKUP(B3767,'Form responses 1'!$B$2:$B$2604,'Form responses 1'!$G$2:$G$2604,""))</f>
        <v/>
      </c>
      <c r="K3767" s="56"/>
      <c r="L3767" s="58" t="str">
        <f t="shared" si="7"/>
        <v/>
      </c>
      <c r="M3767" s="49"/>
      <c r="N3767" s="49"/>
      <c r="O3767" s="49"/>
      <c r="P3767" s="49"/>
      <c r="Q3767" s="49"/>
      <c r="R3767" s="49"/>
      <c r="S3767" s="49"/>
      <c r="T3767" s="49"/>
      <c r="U3767" s="49"/>
      <c r="V3767" s="49"/>
      <c r="W3767" s="56"/>
      <c r="X3767" s="51" t="str">
        <f t="shared" si="5"/>
        <v/>
      </c>
      <c r="Y3767" s="50" t="s">
        <v>482</v>
      </c>
      <c r="Z3767" s="49">
        <f t="shared" si="6"/>
        <v>0</v>
      </c>
    </row>
    <row r="3768" ht="22.5" customHeight="1">
      <c r="B3768" s="57"/>
      <c r="C3768" s="43" t="str">
        <f t="array" ref="C3768">IF(B3768="","",_xlfn.XLOOKUP(B3768,'Form responses 1'!$B$2:$B$2604,'Form responses 1'!$A$2:$A$2604,""))</f>
        <v/>
      </c>
      <c r="D3768" s="44" t="str">
        <f t="shared" si="3"/>
        <v/>
      </c>
      <c r="E3768" s="44" t="str">
        <f t="array" ref="E3768">IF(B3768="","",_xlfn.XLOOKUP(B3768,'Form responses 1'!$B$2:$B$2604,'Form responses 1'!$C$2:$C$2604,""))</f>
        <v/>
      </c>
      <c r="F3768" s="44" t="str">
        <f t="array" ref="F3768">IF(B3768="","",_xlfn.XLOOKUP(B3768,'Form responses 1'!$B$2:$B$2604,'Form responses 1'!$D$2:$D$2604,""))</f>
        <v/>
      </c>
      <c r="G3768" s="44" t="str">
        <f t="array" ref="G3768">IF(B3768="","",_xlfn.XLOOKUP(B3768,'Form responses 1'!$B$2:$B$2604,'Form responses 1'!$E$2:$E$2604,""))</f>
        <v/>
      </c>
      <c r="H3768" s="44" t="str">
        <f t="array" ref="H3768">IF(B3768="","",_xlfn.XLOOKUP(B3768,'Form responses 1'!$B$2:$B$2604,'Form responses 1'!$F$2:$F$2604,""))</f>
        <v/>
      </c>
      <c r="I3768" s="44" t="str">
        <f t="array" ref="I3768">IF(B3768="","",_xlfn.XLOOKUP(B3768,'Form responses 1'!$B$2:$B$2604,'Form responses 1'!$I$2:$I$2604,""))</f>
        <v/>
      </c>
      <c r="J3768" s="44" t="str">
        <f t="array" ref="J3768">IF(B3768="","",_xlfn.XLOOKUP(B3768,'Form responses 1'!$B$2:$B$2604,'Form responses 1'!$G$2:$G$2604,""))</f>
        <v/>
      </c>
      <c r="K3768" s="56"/>
      <c r="L3768" s="58" t="str">
        <f t="shared" si="7"/>
        <v/>
      </c>
      <c r="M3768" s="49"/>
      <c r="N3768" s="49"/>
      <c r="O3768" s="49"/>
      <c r="P3768" s="49"/>
      <c r="Q3768" s="49"/>
      <c r="R3768" s="49"/>
      <c r="S3768" s="49"/>
      <c r="T3768" s="49"/>
      <c r="U3768" s="49"/>
      <c r="V3768" s="49"/>
      <c r="W3768" s="56"/>
      <c r="X3768" s="51" t="str">
        <f t="shared" si="5"/>
        <v/>
      </c>
      <c r="Y3768" s="50" t="s">
        <v>482</v>
      </c>
      <c r="Z3768" s="49">
        <f t="shared" si="6"/>
        <v>0</v>
      </c>
    </row>
    <row r="3769" ht="22.5" customHeight="1">
      <c r="B3769" s="57"/>
      <c r="C3769" s="43" t="str">
        <f t="array" ref="C3769">IF(B3769="","",_xlfn.XLOOKUP(B3769,'Form responses 1'!$B$2:$B$2604,'Form responses 1'!$A$2:$A$2604,""))</f>
        <v/>
      </c>
      <c r="D3769" s="44" t="str">
        <f t="shared" si="3"/>
        <v/>
      </c>
      <c r="E3769" s="44" t="str">
        <f t="array" ref="E3769">IF(B3769="","",_xlfn.XLOOKUP(B3769,'Form responses 1'!$B$2:$B$2604,'Form responses 1'!$C$2:$C$2604,""))</f>
        <v/>
      </c>
      <c r="F3769" s="44" t="str">
        <f t="array" ref="F3769">IF(B3769="","",_xlfn.XLOOKUP(B3769,'Form responses 1'!$B$2:$B$2604,'Form responses 1'!$D$2:$D$2604,""))</f>
        <v/>
      </c>
      <c r="G3769" s="44" t="str">
        <f t="array" ref="G3769">IF(B3769="","",_xlfn.XLOOKUP(B3769,'Form responses 1'!$B$2:$B$2604,'Form responses 1'!$E$2:$E$2604,""))</f>
        <v/>
      </c>
      <c r="H3769" s="44" t="str">
        <f t="array" ref="H3769">IF(B3769="","",_xlfn.XLOOKUP(B3769,'Form responses 1'!$B$2:$B$2604,'Form responses 1'!$F$2:$F$2604,""))</f>
        <v/>
      </c>
      <c r="I3769" s="44" t="str">
        <f t="array" ref="I3769">IF(B3769="","",_xlfn.XLOOKUP(B3769,'Form responses 1'!$B$2:$B$2604,'Form responses 1'!$I$2:$I$2604,""))</f>
        <v/>
      </c>
      <c r="J3769" s="44" t="str">
        <f t="array" ref="J3769">IF(B3769="","",_xlfn.XLOOKUP(B3769,'Form responses 1'!$B$2:$B$2604,'Form responses 1'!$G$2:$G$2604,""))</f>
        <v/>
      </c>
      <c r="K3769" s="56"/>
      <c r="L3769" s="58" t="str">
        <f t="shared" si="7"/>
        <v/>
      </c>
      <c r="M3769" s="49"/>
      <c r="N3769" s="49"/>
      <c r="O3769" s="49"/>
      <c r="P3769" s="49"/>
      <c r="Q3769" s="49"/>
      <c r="R3769" s="49"/>
      <c r="S3769" s="49"/>
      <c r="T3769" s="49"/>
      <c r="U3769" s="49"/>
      <c r="V3769" s="49"/>
      <c r="W3769" s="56"/>
      <c r="X3769" s="51" t="str">
        <f t="shared" si="5"/>
        <v/>
      </c>
      <c r="Y3769" s="50" t="s">
        <v>482</v>
      </c>
      <c r="Z3769" s="49">
        <f t="shared" si="6"/>
        <v>0</v>
      </c>
    </row>
    <row r="3770" ht="22.5" customHeight="1">
      <c r="B3770" s="57"/>
      <c r="C3770" s="43" t="str">
        <f t="array" ref="C3770">IF(B3770="","",_xlfn.XLOOKUP(B3770,'Form responses 1'!$B$2:$B$2604,'Form responses 1'!$A$2:$A$2604,""))</f>
        <v/>
      </c>
      <c r="D3770" s="44" t="str">
        <f t="shared" si="3"/>
        <v/>
      </c>
      <c r="E3770" s="44" t="str">
        <f t="array" ref="E3770">IF(B3770="","",_xlfn.XLOOKUP(B3770,'Form responses 1'!$B$2:$B$2604,'Form responses 1'!$C$2:$C$2604,""))</f>
        <v/>
      </c>
      <c r="F3770" s="44" t="str">
        <f t="array" ref="F3770">IF(B3770="","",_xlfn.XLOOKUP(B3770,'Form responses 1'!$B$2:$B$2604,'Form responses 1'!$D$2:$D$2604,""))</f>
        <v/>
      </c>
      <c r="G3770" s="44" t="str">
        <f t="array" ref="G3770">IF(B3770="","",_xlfn.XLOOKUP(B3770,'Form responses 1'!$B$2:$B$2604,'Form responses 1'!$E$2:$E$2604,""))</f>
        <v/>
      </c>
      <c r="H3770" s="44" t="str">
        <f t="array" ref="H3770">IF(B3770="","",_xlfn.XLOOKUP(B3770,'Form responses 1'!$B$2:$B$2604,'Form responses 1'!$F$2:$F$2604,""))</f>
        <v/>
      </c>
      <c r="I3770" s="44" t="str">
        <f t="array" ref="I3770">IF(B3770="","",_xlfn.XLOOKUP(B3770,'Form responses 1'!$B$2:$B$2604,'Form responses 1'!$I$2:$I$2604,""))</f>
        <v/>
      </c>
      <c r="J3770" s="44" t="str">
        <f t="array" ref="J3770">IF(B3770="","",_xlfn.XLOOKUP(B3770,'Form responses 1'!$B$2:$B$2604,'Form responses 1'!$G$2:$G$2604,""))</f>
        <v/>
      </c>
      <c r="K3770" s="56"/>
      <c r="L3770" s="58" t="str">
        <f t="shared" si="7"/>
        <v/>
      </c>
      <c r="M3770" s="49"/>
      <c r="N3770" s="49"/>
      <c r="O3770" s="49"/>
      <c r="P3770" s="49"/>
      <c r="Q3770" s="49"/>
      <c r="R3770" s="49"/>
      <c r="S3770" s="49"/>
      <c r="T3770" s="49"/>
      <c r="U3770" s="49"/>
      <c r="V3770" s="49"/>
      <c r="W3770" s="56"/>
      <c r="X3770" s="51" t="str">
        <f t="shared" si="5"/>
        <v/>
      </c>
      <c r="Y3770" s="50" t="s">
        <v>482</v>
      </c>
      <c r="Z3770" s="49">
        <f t="shared" si="6"/>
        <v>0</v>
      </c>
    </row>
    <row r="3771" ht="22.5" customHeight="1">
      <c r="B3771" s="57"/>
      <c r="C3771" s="43" t="str">
        <f t="array" ref="C3771">IF(B3771="","",_xlfn.XLOOKUP(B3771,'Form responses 1'!$B$2:$B$2604,'Form responses 1'!$A$2:$A$2604,""))</f>
        <v/>
      </c>
      <c r="D3771" s="44" t="str">
        <f t="shared" si="3"/>
        <v/>
      </c>
      <c r="E3771" s="44" t="str">
        <f t="array" ref="E3771">IF(B3771="","",_xlfn.XLOOKUP(B3771,'Form responses 1'!$B$2:$B$2604,'Form responses 1'!$C$2:$C$2604,""))</f>
        <v/>
      </c>
      <c r="F3771" s="44" t="str">
        <f t="array" ref="F3771">IF(B3771="","",_xlfn.XLOOKUP(B3771,'Form responses 1'!$B$2:$B$2604,'Form responses 1'!$D$2:$D$2604,""))</f>
        <v/>
      </c>
      <c r="G3771" s="44" t="str">
        <f t="array" ref="G3771">IF(B3771="","",_xlfn.XLOOKUP(B3771,'Form responses 1'!$B$2:$B$2604,'Form responses 1'!$E$2:$E$2604,""))</f>
        <v/>
      </c>
      <c r="H3771" s="44" t="str">
        <f t="array" ref="H3771">IF(B3771="","",_xlfn.XLOOKUP(B3771,'Form responses 1'!$B$2:$B$2604,'Form responses 1'!$F$2:$F$2604,""))</f>
        <v/>
      </c>
      <c r="I3771" s="44" t="str">
        <f t="array" ref="I3771">IF(B3771="","",_xlfn.XLOOKUP(B3771,'Form responses 1'!$B$2:$B$2604,'Form responses 1'!$I$2:$I$2604,""))</f>
        <v/>
      </c>
      <c r="J3771" s="44" t="str">
        <f t="array" ref="J3771">IF(B3771="","",_xlfn.XLOOKUP(B3771,'Form responses 1'!$B$2:$B$2604,'Form responses 1'!$G$2:$G$2604,""))</f>
        <v/>
      </c>
      <c r="K3771" s="56"/>
      <c r="L3771" s="58" t="str">
        <f t="shared" si="7"/>
        <v/>
      </c>
      <c r="M3771" s="49"/>
      <c r="N3771" s="49"/>
      <c r="O3771" s="49"/>
      <c r="P3771" s="49"/>
      <c r="Q3771" s="49"/>
      <c r="R3771" s="49"/>
      <c r="S3771" s="49"/>
      <c r="T3771" s="49"/>
      <c r="U3771" s="49"/>
      <c r="V3771" s="49"/>
      <c r="W3771" s="56"/>
      <c r="X3771" s="51" t="str">
        <f t="shared" si="5"/>
        <v/>
      </c>
      <c r="Y3771" s="50" t="s">
        <v>482</v>
      </c>
      <c r="Z3771" s="49">
        <f t="shared" si="6"/>
        <v>0</v>
      </c>
    </row>
    <row r="3772" ht="22.5" customHeight="1">
      <c r="B3772" s="57"/>
      <c r="C3772" s="43" t="str">
        <f t="array" ref="C3772">IF(B3772="","",_xlfn.XLOOKUP(B3772,'Form responses 1'!$B$2:$B$2604,'Form responses 1'!$A$2:$A$2604,""))</f>
        <v/>
      </c>
      <c r="D3772" s="44" t="str">
        <f t="shared" si="3"/>
        <v/>
      </c>
      <c r="E3772" s="44" t="str">
        <f t="array" ref="E3772">IF(B3772="","",_xlfn.XLOOKUP(B3772,'Form responses 1'!$B$2:$B$2604,'Form responses 1'!$C$2:$C$2604,""))</f>
        <v/>
      </c>
      <c r="F3772" s="44" t="str">
        <f t="array" ref="F3772">IF(B3772="","",_xlfn.XLOOKUP(B3772,'Form responses 1'!$B$2:$B$2604,'Form responses 1'!$D$2:$D$2604,""))</f>
        <v/>
      </c>
      <c r="G3772" s="44" t="str">
        <f t="array" ref="G3772">IF(B3772="","",_xlfn.XLOOKUP(B3772,'Form responses 1'!$B$2:$B$2604,'Form responses 1'!$E$2:$E$2604,""))</f>
        <v/>
      </c>
      <c r="H3772" s="44" t="str">
        <f t="array" ref="H3772">IF(B3772="","",_xlfn.XLOOKUP(B3772,'Form responses 1'!$B$2:$B$2604,'Form responses 1'!$F$2:$F$2604,""))</f>
        <v/>
      </c>
      <c r="I3772" s="44" t="str">
        <f t="array" ref="I3772">IF(B3772="","",_xlfn.XLOOKUP(B3772,'Form responses 1'!$B$2:$B$2604,'Form responses 1'!$I$2:$I$2604,""))</f>
        <v/>
      </c>
      <c r="J3772" s="44" t="str">
        <f t="array" ref="J3772">IF(B3772="","",_xlfn.XLOOKUP(B3772,'Form responses 1'!$B$2:$B$2604,'Form responses 1'!$G$2:$G$2604,""))</f>
        <v/>
      </c>
      <c r="K3772" s="56"/>
      <c r="L3772" s="58" t="str">
        <f t="shared" si="7"/>
        <v/>
      </c>
      <c r="M3772" s="49"/>
      <c r="N3772" s="49"/>
      <c r="O3772" s="49"/>
      <c r="P3772" s="49"/>
      <c r="Q3772" s="49"/>
      <c r="R3772" s="49"/>
      <c r="S3772" s="49"/>
      <c r="T3772" s="49"/>
      <c r="U3772" s="49"/>
      <c r="V3772" s="49"/>
      <c r="W3772" s="56"/>
      <c r="X3772" s="51" t="str">
        <f t="shared" si="5"/>
        <v/>
      </c>
      <c r="Y3772" s="50" t="s">
        <v>482</v>
      </c>
      <c r="Z3772" s="49">
        <f t="shared" si="6"/>
        <v>0</v>
      </c>
    </row>
    <row r="3773" ht="22.5" customHeight="1">
      <c r="B3773" s="57"/>
      <c r="C3773" s="43" t="str">
        <f t="array" ref="C3773">IF(B3773="","",_xlfn.XLOOKUP(B3773,'Form responses 1'!$B$2:$B$2604,'Form responses 1'!$A$2:$A$2604,""))</f>
        <v/>
      </c>
      <c r="D3773" s="44" t="str">
        <f t="shared" si="3"/>
        <v/>
      </c>
      <c r="E3773" s="44" t="str">
        <f t="array" ref="E3773">IF(B3773="","",_xlfn.XLOOKUP(B3773,'Form responses 1'!$B$2:$B$2604,'Form responses 1'!$C$2:$C$2604,""))</f>
        <v/>
      </c>
      <c r="F3773" s="44" t="str">
        <f t="array" ref="F3773">IF(B3773="","",_xlfn.XLOOKUP(B3773,'Form responses 1'!$B$2:$B$2604,'Form responses 1'!$D$2:$D$2604,""))</f>
        <v/>
      </c>
      <c r="G3773" s="44" t="str">
        <f t="array" ref="G3773">IF(B3773="","",_xlfn.XLOOKUP(B3773,'Form responses 1'!$B$2:$B$2604,'Form responses 1'!$E$2:$E$2604,""))</f>
        <v/>
      </c>
      <c r="H3773" s="44" t="str">
        <f t="array" ref="H3773">IF(B3773="","",_xlfn.XLOOKUP(B3773,'Form responses 1'!$B$2:$B$2604,'Form responses 1'!$F$2:$F$2604,""))</f>
        <v/>
      </c>
      <c r="I3773" s="44" t="str">
        <f t="array" ref="I3773">IF(B3773="","",_xlfn.XLOOKUP(B3773,'Form responses 1'!$B$2:$B$2604,'Form responses 1'!$I$2:$I$2604,""))</f>
        <v/>
      </c>
      <c r="J3773" s="44" t="str">
        <f t="array" ref="J3773">IF(B3773="","",_xlfn.XLOOKUP(B3773,'Form responses 1'!$B$2:$B$2604,'Form responses 1'!$G$2:$G$2604,""))</f>
        <v/>
      </c>
      <c r="K3773" s="56"/>
      <c r="L3773" s="58" t="str">
        <f t="shared" si="7"/>
        <v/>
      </c>
      <c r="M3773" s="49"/>
      <c r="N3773" s="49"/>
      <c r="O3773" s="49"/>
      <c r="P3773" s="49"/>
      <c r="Q3773" s="49"/>
      <c r="R3773" s="49"/>
      <c r="S3773" s="49"/>
      <c r="T3773" s="49"/>
      <c r="U3773" s="49"/>
      <c r="V3773" s="49"/>
      <c r="W3773" s="56"/>
      <c r="X3773" s="51" t="str">
        <f t="shared" si="5"/>
        <v/>
      </c>
      <c r="Y3773" s="50" t="s">
        <v>482</v>
      </c>
      <c r="Z3773" s="49">
        <f t="shared" si="6"/>
        <v>0</v>
      </c>
    </row>
    <row r="3774" ht="22.5" customHeight="1">
      <c r="B3774" s="57"/>
      <c r="C3774" s="43" t="str">
        <f t="array" ref="C3774">IF(B3774="","",_xlfn.XLOOKUP(B3774,'Form responses 1'!$B$2:$B$2604,'Form responses 1'!$A$2:$A$2604,""))</f>
        <v/>
      </c>
      <c r="D3774" s="44" t="str">
        <f t="shared" si="3"/>
        <v/>
      </c>
      <c r="E3774" s="44" t="str">
        <f t="array" ref="E3774">IF(B3774="","",_xlfn.XLOOKUP(B3774,'Form responses 1'!$B$2:$B$2604,'Form responses 1'!$C$2:$C$2604,""))</f>
        <v/>
      </c>
      <c r="F3774" s="44" t="str">
        <f t="array" ref="F3774">IF(B3774="","",_xlfn.XLOOKUP(B3774,'Form responses 1'!$B$2:$B$2604,'Form responses 1'!$D$2:$D$2604,""))</f>
        <v/>
      </c>
      <c r="G3774" s="44" t="str">
        <f t="array" ref="G3774">IF(B3774="","",_xlfn.XLOOKUP(B3774,'Form responses 1'!$B$2:$B$2604,'Form responses 1'!$E$2:$E$2604,""))</f>
        <v/>
      </c>
      <c r="H3774" s="44" t="str">
        <f t="array" ref="H3774">IF(B3774="","",_xlfn.XLOOKUP(B3774,'Form responses 1'!$B$2:$B$2604,'Form responses 1'!$F$2:$F$2604,""))</f>
        <v/>
      </c>
      <c r="I3774" s="44" t="str">
        <f t="array" ref="I3774">IF(B3774="","",_xlfn.XLOOKUP(B3774,'Form responses 1'!$B$2:$B$2604,'Form responses 1'!$I$2:$I$2604,""))</f>
        <v/>
      </c>
      <c r="J3774" s="44" t="str">
        <f t="array" ref="J3774">IF(B3774="","",_xlfn.XLOOKUP(B3774,'Form responses 1'!$B$2:$B$2604,'Form responses 1'!$G$2:$G$2604,""))</f>
        <v/>
      </c>
      <c r="K3774" s="56"/>
      <c r="L3774" s="58" t="str">
        <f t="shared" si="7"/>
        <v/>
      </c>
      <c r="M3774" s="49"/>
      <c r="N3774" s="49"/>
      <c r="O3774" s="49"/>
      <c r="P3774" s="49"/>
      <c r="Q3774" s="49"/>
      <c r="R3774" s="49"/>
      <c r="S3774" s="49"/>
      <c r="T3774" s="49"/>
      <c r="U3774" s="49"/>
      <c r="V3774" s="49"/>
      <c r="W3774" s="56"/>
      <c r="X3774" s="51" t="str">
        <f t="shared" si="5"/>
        <v/>
      </c>
      <c r="Y3774" s="50" t="s">
        <v>482</v>
      </c>
      <c r="Z3774" s="49">
        <f t="shared" si="6"/>
        <v>0</v>
      </c>
    </row>
    <row r="3775" ht="22.5" customHeight="1">
      <c r="B3775" s="57"/>
      <c r="C3775" s="43" t="str">
        <f t="array" ref="C3775">IF(B3775="","",_xlfn.XLOOKUP(B3775,'Form responses 1'!$B$2:$B$2604,'Form responses 1'!$A$2:$A$2604,""))</f>
        <v/>
      </c>
      <c r="D3775" s="44" t="str">
        <f t="shared" si="3"/>
        <v/>
      </c>
      <c r="E3775" s="44" t="str">
        <f t="array" ref="E3775">IF(B3775="","",_xlfn.XLOOKUP(B3775,'Form responses 1'!$B$2:$B$2604,'Form responses 1'!$C$2:$C$2604,""))</f>
        <v/>
      </c>
      <c r="F3775" s="44" t="str">
        <f t="array" ref="F3775">IF(B3775="","",_xlfn.XLOOKUP(B3775,'Form responses 1'!$B$2:$B$2604,'Form responses 1'!$D$2:$D$2604,""))</f>
        <v/>
      </c>
      <c r="G3775" s="44" t="str">
        <f t="array" ref="G3775">IF(B3775="","",_xlfn.XLOOKUP(B3775,'Form responses 1'!$B$2:$B$2604,'Form responses 1'!$E$2:$E$2604,""))</f>
        <v/>
      </c>
      <c r="H3775" s="44" t="str">
        <f t="array" ref="H3775">IF(B3775="","",_xlfn.XLOOKUP(B3775,'Form responses 1'!$B$2:$B$2604,'Form responses 1'!$F$2:$F$2604,""))</f>
        <v/>
      </c>
      <c r="I3775" s="44" t="str">
        <f t="array" ref="I3775">IF(B3775="","",_xlfn.XLOOKUP(B3775,'Form responses 1'!$B$2:$B$2604,'Form responses 1'!$I$2:$I$2604,""))</f>
        <v/>
      </c>
      <c r="J3775" s="44" t="str">
        <f t="array" ref="J3775">IF(B3775="","",_xlfn.XLOOKUP(B3775,'Form responses 1'!$B$2:$B$2604,'Form responses 1'!$G$2:$G$2604,""))</f>
        <v/>
      </c>
      <c r="K3775" s="56"/>
      <c r="L3775" s="58" t="str">
        <f t="shared" si="7"/>
        <v/>
      </c>
      <c r="M3775" s="49"/>
      <c r="N3775" s="49"/>
      <c r="O3775" s="49"/>
      <c r="P3775" s="49"/>
      <c r="Q3775" s="49"/>
      <c r="R3775" s="49"/>
      <c r="S3775" s="49"/>
      <c r="T3775" s="49"/>
      <c r="U3775" s="49"/>
      <c r="V3775" s="49"/>
      <c r="W3775" s="56"/>
      <c r="X3775" s="51" t="str">
        <f t="shared" si="5"/>
        <v/>
      </c>
      <c r="Y3775" s="50" t="s">
        <v>482</v>
      </c>
      <c r="Z3775" s="49">
        <f t="shared" si="6"/>
        <v>0</v>
      </c>
    </row>
    <row r="3776" ht="22.5" customHeight="1">
      <c r="B3776" s="57"/>
      <c r="C3776" s="43" t="str">
        <f t="array" ref="C3776">IF(B3776="","",_xlfn.XLOOKUP(B3776,'Form responses 1'!$B$2:$B$2604,'Form responses 1'!$A$2:$A$2604,""))</f>
        <v/>
      </c>
      <c r="D3776" s="44" t="str">
        <f t="shared" si="3"/>
        <v/>
      </c>
      <c r="E3776" s="44" t="str">
        <f t="array" ref="E3776">IF(B3776="","",_xlfn.XLOOKUP(B3776,'Form responses 1'!$B$2:$B$2604,'Form responses 1'!$C$2:$C$2604,""))</f>
        <v/>
      </c>
      <c r="F3776" s="44" t="str">
        <f t="array" ref="F3776">IF(B3776="","",_xlfn.XLOOKUP(B3776,'Form responses 1'!$B$2:$B$2604,'Form responses 1'!$D$2:$D$2604,""))</f>
        <v/>
      </c>
      <c r="G3776" s="44" t="str">
        <f t="array" ref="G3776">IF(B3776="","",_xlfn.XLOOKUP(B3776,'Form responses 1'!$B$2:$B$2604,'Form responses 1'!$E$2:$E$2604,""))</f>
        <v/>
      </c>
      <c r="H3776" s="44" t="str">
        <f t="array" ref="H3776">IF(B3776="","",_xlfn.XLOOKUP(B3776,'Form responses 1'!$B$2:$B$2604,'Form responses 1'!$F$2:$F$2604,""))</f>
        <v/>
      </c>
      <c r="I3776" s="44" t="str">
        <f t="array" ref="I3776">IF(B3776="","",_xlfn.XLOOKUP(B3776,'Form responses 1'!$B$2:$B$2604,'Form responses 1'!$I$2:$I$2604,""))</f>
        <v/>
      </c>
      <c r="J3776" s="44" t="str">
        <f t="array" ref="J3776">IF(B3776="","",_xlfn.XLOOKUP(B3776,'Form responses 1'!$B$2:$B$2604,'Form responses 1'!$G$2:$G$2604,""))</f>
        <v/>
      </c>
      <c r="K3776" s="56"/>
      <c r="L3776" s="58" t="str">
        <f t="shared" si="7"/>
        <v/>
      </c>
      <c r="M3776" s="49"/>
      <c r="N3776" s="49"/>
      <c r="O3776" s="49"/>
      <c r="P3776" s="49"/>
      <c r="Q3776" s="49"/>
      <c r="R3776" s="49"/>
      <c r="S3776" s="49"/>
      <c r="T3776" s="49"/>
      <c r="U3776" s="49"/>
      <c r="V3776" s="49"/>
      <c r="W3776" s="56"/>
      <c r="X3776" s="51" t="str">
        <f t="shared" si="5"/>
        <v/>
      </c>
      <c r="Y3776" s="50" t="s">
        <v>482</v>
      </c>
      <c r="Z3776" s="49">
        <f t="shared" si="6"/>
        <v>0</v>
      </c>
    </row>
    <row r="3777" ht="22.5" customHeight="1">
      <c r="B3777" s="57"/>
      <c r="C3777" s="43" t="str">
        <f t="array" ref="C3777">IF(B3777="","",_xlfn.XLOOKUP(B3777,'Form responses 1'!$B$2:$B$2604,'Form responses 1'!$A$2:$A$2604,""))</f>
        <v/>
      </c>
      <c r="D3777" s="44" t="str">
        <f t="shared" si="3"/>
        <v/>
      </c>
      <c r="E3777" s="44" t="str">
        <f t="array" ref="E3777">IF(B3777="","",_xlfn.XLOOKUP(B3777,'Form responses 1'!$B$2:$B$2604,'Form responses 1'!$C$2:$C$2604,""))</f>
        <v/>
      </c>
      <c r="F3777" s="44" t="str">
        <f t="array" ref="F3777">IF(B3777="","",_xlfn.XLOOKUP(B3777,'Form responses 1'!$B$2:$B$2604,'Form responses 1'!$D$2:$D$2604,""))</f>
        <v/>
      </c>
      <c r="G3777" s="44" t="str">
        <f t="array" ref="G3777">IF(B3777="","",_xlfn.XLOOKUP(B3777,'Form responses 1'!$B$2:$B$2604,'Form responses 1'!$E$2:$E$2604,""))</f>
        <v/>
      </c>
      <c r="H3777" s="44" t="str">
        <f t="array" ref="H3777">IF(B3777="","",_xlfn.XLOOKUP(B3777,'Form responses 1'!$B$2:$B$2604,'Form responses 1'!$F$2:$F$2604,""))</f>
        <v/>
      </c>
      <c r="I3777" s="44" t="str">
        <f t="array" ref="I3777">IF(B3777="","",_xlfn.XLOOKUP(B3777,'Form responses 1'!$B$2:$B$2604,'Form responses 1'!$I$2:$I$2604,""))</f>
        <v/>
      </c>
      <c r="J3777" s="44" t="str">
        <f t="array" ref="J3777">IF(B3777="","",_xlfn.XLOOKUP(B3777,'Form responses 1'!$B$2:$B$2604,'Form responses 1'!$G$2:$G$2604,""))</f>
        <v/>
      </c>
      <c r="K3777" s="56"/>
      <c r="L3777" s="58" t="str">
        <f t="shared" si="7"/>
        <v/>
      </c>
      <c r="M3777" s="49"/>
      <c r="N3777" s="49"/>
      <c r="O3777" s="49"/>
      <c r="P3777" s="49"/>
      <c r="Q3777" s="49"/>
      <c r="R3777" s="49"/>
      <c r="S3777" s="49"/>
      <c r="T3777" s="49"/>
      <c r="U3777" s="49"/>
      <c r="V3777" s="49"/>
      <c r="W3777" s="56"/>
      <c r="X3777" s="51" t="str">
        <f t="shared" si="5"/>
        <v/>
      </c>
      <c r="Y3777" s="50" t="s">
        <v>482</v>
      </c>
      <c r="Z3777" s="49">
        <f t="shared" si="6"/>
        <v>0</v>
      </c>
    </row>
    <row r="3778" ht="22.5" customHeight="1">
      <c r="B3778" s="57"/>
      <c r="C3778" s="43" t="str">
        <f t="array" ref="C3778">IF(B3778="","",_xlfn.XLOOKUP(B3778,'Form responses 1'!$B$2:$B$2604,'Form responses 1'!$A$2:$A$2604,""))</f>
        <v/>
      </c>
      <c r="D3778" s="44" t="str">
        <f t="shared" si="3"/>
        <v/>
      </c>
      <c r="E3778" s="44" t="str">
        <f t="array" ref="E3778">IF(B3778="","",_xlfn.XLOOKUP(B3778,'Form responses 1'!$B$2:$B$2604,'Form responses 1'!$C$2:$C$2604,""))</f>
        <v/>
      </c>
      <c r="F3778" s="44" t="str">
        <f t="array" ref="F3778">IF(B3778="","",_xlfn.XLOOKUP(B3778,'Form responses 1'!$B$2:$B$2604,'Form responses 1'!$D$2:$D$2604,""))</f>
        <v/>
      </c>
      <c r="G3778" s="44" t="str">
        <f t="array" ref="G3778">IF(B3778="","",_xlfn.XLOOKUP(B3778,'Form responses 1'!$B$2:$B$2604,'Form responses 1'!$E$2:$E$2604,""))</f>
        <v/>
      </c>
      <c r="H3778" s="44" t="str">
        <f t="array" ref="H3778">IF(B3778="","",_xlfn.XLOOKUP(B3778,'Form responses 1'!$B$2:$B$2604,'Form responses 1'!$F$2:$F$2604,""))</f>
        <v/>
      </c>
      <c r="I3778" s="44" t="str">
        <f t="array" ref="I3778">IF(B3778="","",_xlfn.XLOOKUP(B3778,'Form responses 1'!$B$2:$B$2604,'Form responses 1'!$I$2:$I$2604,""))</f>
        <v/>
      </c>
      <c r="J3778" s="44" t="str">
        <f t="array" ref="J3778">IF(B3778="","",_xlfn.XLOOKUP(B3778,'Form responses 1'!$B$2:$B$2604,'Form responses 1'!$G$2:$G$2604,""))</f>
        <v/>
      </c>
      <c r="K3778" s="56"/>
      <c r="L3778" s="58" t="str">
        <f t="shared" si="7"/>
        <v/>
      </c>
      <c r="M3778" s="49"/>
      <c r="N3778" s="49"/>
      <c r="O3778" s="49"/>
      <c r="P3778" s="49"/>
      <c r="Q3778" s="49"/>
      <c r="R3778" s="49"/>
      <c r="S3778" s="49"/>
      <c r="T3778" s="49"/>
      <c r="U3778" s="49"/>
      <c r="V3778" s="49"/>
      <c r="W3778" s="56"/>
      <c r="X3778" s="51" t="str">
        <f t="shared" si="5"/>
        <v/>
      </c>
      <c r="Y3778" s="50" t="s">
        <v>482</v>
      </c>
      <c r="Z3778" s="49">
        <f t="shared" si="6"/>
        <v>0</v>
      </c>
    </row>
    <row r="3779" ht="22.5" customHeight="1">
      <c r="B3779" s="57"/>
      <c r="C3779" s="43" t="str">
        <f t="array" ref="C3779">IF(B3779="","",_xlfn.XLOOKUP(B3779,'Form responses 1'!$B$2:$B$2604,'Form responses 1'!$A$2:$A$2604,""))</f>
        <v/>
      </c>
      <c r="D3779" s="44" t="str">
        <f t="shared" si="3"/>
        <v/>
      </c>
      <c r="E3779" s="44" t="str">
        <f t="array" ref="E3779">IF(B3779="","",_xlfn.XLOOKUP(B3779,'Form responses 1'!$B$2:$B$2604,'Form responses 1'!$C$2:$C$2604,""))</f>
        <v/>
      </c>
      <c r="F3779" s="44" t="str">
        <f t="array" ref="F3779">IF(B3779="","",_xlfn.XLOOKUP(B3779,'Form responses 1'!$B$2:$B$2604,'Form responses 1'!$D$2:$D$2604,""))</f>
        <v/>
      </c>
      <c r="G3779" s="44" t="str">
        <f t="array" ref="G3779">IF(B3779="","",_xlfn.XLOOKUP(B3779,'Form responses 1'!$B$2:$B$2604,'Form responses 1'!$E$2:$E$2604,""))</f>
        <v/>
      </c>
      <c r="H3779" s="44" t="str">
        <f t="array" ref="H3779">IF(B3779="","",_xlfn.XLOOKUP(B3779,'Form responses 1'!$B$2:$B$2604,'Form responses 1'!$F$2:$F$2604,""))</f>
        <v/>
      </c>
      <c r="I3779" s="44" t="str">
        <f t="array" ref="I3779">IF(B3779="","",_xlfn.XLOOKUP(B3779,'Form responses 1'!$B$2:$B$2604,'Form responses 1'!$I$2:$I$2604,""))</f>
        <v/>
      </c>
      <c r="J3779" s="44" t="str">
        <f t="array" ref="J3779">IF(B3779="","",_xlfn.XLOOKUP(B3779,'Form responses 1'!$B$2:$B$2604,'Form responses 1'!$G$2:$G$2604,""))</f>
        <v/>
      </c>
      <c r="K3779" s="56"/>
      <c r="L3779" s="58" t="str">
        <f t="shared" si="7"/>
        <v/>
      </c>
      <c r="M3779" s="49"/>
      <c r="N3779" s="49"/>
      <c r="O3779" s="49"/>
      <c r="P3779" s="49"/>
      <c r="Q3779" s="49"/>
      <c r="R3779" s="49"/>
      <c r="S3779" s="49"/>
      <c r="T3779" s="49"/>
      <c r="U3779" s="49"/>
      <c r="V3779" s="49"/>
      <c r="W3779" s="56"/>
      <c r="X3779" s="51" t="str">
        <f t="shared" si="5"/>
        <v/>
      </c>
      <c r="Y3779" s="50" t="s">
        <v>482</v>
      </c>
      <c r="Z3779" s="49">
        <f t="shared" si="6"/>
        <v>0</v>
      </c>
    </row>
    <row r="3780" ht="22.5" customHeight="1">
      <c r="B3780" s="57"/>
      <c r="C3780" s="43" t="str">
        <f t="array" ref="C3780">IF(B3780="","",_xlfn.XLOOKUP(B3780,'Form responses 1'!$B$2:$B$2604,'Form responses 1'!$A$2:$A$2604,""))</f>
        <v/>
      </c>
      <c r="D3780" s="44" t="str">
        <f t="shared" si="3"/>
        <v/>
      </c>
      <c r="E3780" s="44" t="str">
        <f t="array" ref="E3780">IF(B3780="","",_xlfn.XLOOKUP(B3780,'Form responses 1'!$B$2:$B$2604,'Form responses 1'!$C$2:$C$2604,""))</f>
        <v/>
      </c>
      <c r="F3780" s="44" t="str">
        <f t="array" ref="F3780">IF(B3780="","",_xlfn.XLOOKUP(B3780,'Form responses 1'!$B$2:$B$2604,'Form responses 1'!$D$2:$D$2604,""))</f>
        <v/>
      </c>
      <c r="G3780" s="44" t="str">
        <f t="array" ref="G3780">IF(B3780="","",_xlfn.XLOOKUP(B3780,'Form responses 1'!$B$2:$B$2604,'Form responses 1'!$E$2:$E$2604,""))</f>
        <v/>
      </c>
      <c r="H3780" s="44" t="str">
        <f t="array" ref="H3780">IF(B3780="","",_xlfn.XLOOKUP(B3780,'Form responses 1'!$B$2:$B$2604,'Form responses 1'!$F$2:$F$2604,""))</f>
        <v/>
      </c>
      <c r="I3780" s="44" t="str">
        <f t="array" ref="I3780">IF(B3780="","",_xlfn.XLOOKUP(B3780,'Form responses 1'!$B$2:$B$2604,'Form responses 1'!$I$2:$I$2604,""))</f>
        <v/>
      </c>
      <c r="J3780" s="44" t="str">
        <f t="array" ref="J3780">IF(B3780="","",_xlfn.XLOOKUP(B3780,'Form responses 1'!$B$2:$B$2604,'Form responses 1'!$G$2:$G$2604,""))</f>
        <v/>
      </c>
      <c r="K3780" s="56"/>
      <c r="L3780" s="58" t="str">
        <f t="shared" si="7"/>
        <v/>
      </c>
      <c r="M3780" s="49"/>
      <c r="N3780" s="49"/>
      <c r="O3780" s="49"/>
      <c r="P3780" s="49"/>
      <c r="Q3780" s="49"/>
      <c r="R3780" s="49"/>
      <c r="S3780" s="49"/>
      <c r="T3780" s="49"/>
      <c r="U3780" s="49"/>
      <c r="V3780" s="49"/>
      <c r="W3780" s="56"/>
      <c r="X3780" s="51" t="str">
        <f t="shared" si="5"/>
        <v/>
      </c>
      <c r="Y3780" s="50" t="s">
        <v>482</v>
      </c>
      <c r="Z3780" s="49">
        <f t="shared" si="6"/>
        <v>0</v>
      </c>
    </row>
    <row r="3781" ht="22.5" customHeight="1">
      <c r="B3781" s="57"/>
      <c r="C3781" s="43" t="str">
        <f t="array" ref="C3781">IF(B3781="","",_xlfn.XLOOKUP(B3781,'Form responses 1'!$B$2:$B$2604,'Form responses 1'!$A$2:$A$2604,""))</f>
        <v/>
      </c>
      <c r="D3781" s="44" t="str">
        <f t="shared" si="3"/>
        <v/>
      </c>
      <c r="E3781" s="44" t="str">
        <f t="array" ref="E3781">IF(B3781="","",_xlfn.XLOOKUP(B3781,'Form responses 1'!$B$2:$B$2604,'Form responses 1'!$C$2:$C$2604,""))</f>
        <v/>
      </c>
      <c r="F3781" s="44" t="str">
        <f t="array" ref="F3781">IF(B3781="","",_xlfn.XLOOKUP(B3781,'Form responses 1'!$B$2:$B$2604,'Form responses 1'!$D$2:$D$2604,""))</f>
        <v/>
      </c>
      <c r="G3781" s="44" t="str">
        <f t="array" ref="G3781">IF(B3781="","",_xlfn.XLOOKUP(B3781,'Form responses 1'!$B$2:$B$2604,'Form responses 1'!$E$2:$E$2604,""))</f>
        <v/>
      </c>
      <c r="H3781" s="44" t="str">
        <f t="array" ref="H3781">IF(B3781="","",_xlfn.XLOOKUP(B3781,'Form responses 1'!$B$2:$B$2604,'Form responses 1'!$F$2:$F$2604,""))</f>
        <v/>
      </c>
      <c r="I3781" s="44" t="str">
        <f t="array" ref="I3781">IF(B3781="","",_xlfn.XLOOKUP(B3781,'Form responses 1'!$B$2:$B$2604,'Form responses 1'!$I$2:$I$2604,""))</f>
        <v/>
      </c>
      <c r="J3781" s="44" t="str">
        <f t="array" ref="J3781">IF(B3781="","",_xlfn.XLOOKUP(B3781,'Form responses 1'!$B$2:$B$2604,'Form responses 1'!$G$2:$G$2604,""))</f>
        <v/>
      </c>
      <c r="K3781" s="56"/>
      <c r="L3781" s="58" t="str">
        <f t="shared" si="7"/>
        <v/>
      </c>
      <c r="M3781" s="49"/>
      <c r="N3781" s="49"/>
      <c r="O3781" s="49"/>
      <c r="P3781" s="49"/>
      <c r="Q3781" s="49"/>
      <c r="R3781" s="49"/>
      <c r="S3781" s="49"/>
      <c r="T3781" s="49"/>
      <c r="U3781" s="49"/>
      <c r="V3781" s="49"/>
      <c r="W3781" s="56"/>
      <c r="X3781" s="51" t="str">
        <f t="shared" si="5"/>
        <v/>
      </c>
      <c r="Y3781" s="50" t="s">
        <v>482</v>
      </c>
      <c r="Z3781" s="49">
        <f t="shared" si="6"/>
        <v>0</v>
      </c>
    </row>
    <row r="3782" ht="22.5" customHeight="1">
      <c r="B3782" s="57"/>
      <c r="C3782" s="43" t="str">
        <f t="array" ref="C3782">IF(B3782="","",_xlfn.XLOOKUP(B3782,'Form responses 1'!$B$2:$B$2604,'Form responses 1'!$A$2:$A$2604,""))</f>
        <v/>
      </c>
      <c r="D3782" s="44" t="str">
        <f t="shared" si="3"/>
        <v/>
      </c>
      <c r="E3782" s="44" t="str">
        <f t="array" ref="E3782">IF(B3782="","",_xlfn.XLOOKUP(B3782,'Form responses 1'!$B$2:$B$2604,'Form responses 1'!$C$2:$C$2604,""))</f>
        <v/>
      </c>
      <c r="F3782" s="44" t="str">
        <f t="array" ref="F3782">IF(B3782="","",_xlfn.XLOOKUP(B3782,'Form responses 1'!$B$2:$B$2604,'Form responses 1'!$D$2:$D$2604,""))</f>
        <v/>
      </c>
      <c r="G3782" s="44" t="str">
        <f t="array" ref="G3782">IF(B3782="","",_xlfn.XLOOKUP(B3782,'Form responses 1'!$B$2:$B$2604,'Form responses 1'!$E$2:$E$2604,""))</f>
        <v/>
      </c>
      <c r="H3782" s="44" t="str">
        <f t="array" ref="H3782">IF(B3782="","",_xlfn.XLOOKUP(B3782,'Form responses 1'!$B$2:$B$2604,'Form responses 1'!$F$2:$F$2604,""))</f>
        <v/>
      </c>
      <c r="I3782" s="44" t="str">
        <f t="array" ref="I3782">IF(B3782="","",_xlfn.XLOOKUP(B3782,'Form responses 1'!$B$2:$B$2604,'Form responses 1'!$I$2:$I$2604,""))</f>
        <v/>
      </c>
      <c r="J3782" s="44" t="str">
        <f t="array" ref="J3782">IF(B3782="","",_xlfn.XLOOKUP(B3782,'Form responses 1'!$B$2:$B$2604,'Form responses 1'!$G$2:$G$2604,""))</f>
        <v/>
      </c>
      <c r="K3782" s="56"/>
      <c r="L3782" s="58" t="str">
        <f t="shared" si="7"/>
        <v/>
      </c>
      <c r="M3782" s="49"/>
      <c r="N3782" s="49"/>
      <c r="O3782" s="49"/>
      <c r="P3782" s="49"/>
      <c r="Q3782" s="49"/>
      <c r="R3782" s="49"/>
      <c r="S3782" s="49"/>
      <c r="T3782" s="49"/>
      <c r="U3782" s="49"/>
      <c r="V3782" s="49"/>
      <c r="W3782" s="56"/>
      <c r="X3782" s="51" t="str">
        <f t="shared" si="5"/>
        <v/>
      </c>
      <c r="Y3782" s="50" t="s">
        <v>482</v>
      </c>
      <c r="Z3782" s="49">
        <f t="shared" si="6"/>
        <v>0</v>
      </c>
    </row>
    <row r="3783" ht="22.5" customHeight="1">
      <c r="B3783" s="57"/>
      <c r="C3783" s="43" t="str">
        <f t="array" ref="C3783">IF(B3783="","",_xlfn.XLOOKUP(B3783,'Form responses 1'!$B$2:$B$2604,'Form responses 1'!$A$2:$A$2604,""))</f>
        <v/>
      </c>
      <c r="D3783" s="44" t="str">
        <f t="shared" si="3"/>
        <v/>
      </c>
      <c r="E3783" s="44" t="str">
        <f t="array" ref="E3783">IF(B3783="","",_xlfn.XLOOKUP(B3783,'Form responses 1'!$B$2:$B$2604,'Form responses 1'!$C$2:$C$2604,""))</f>
        <v/>
      </c>
      <c r="F3783" s="44" t="str">
        <f t="array" ref="F3783">IF(B3783="","",_xlfn.XLOOKUP(B3783,'Form responses 1'!$B$2:$B$2604,'Form responses 1'!$D$2:$D$2604,""))</f>
        <v/>
      </c>
      <c r="G3783" s="44" t="str">
        <f t="array" ref="G3783">IF(B3783="","",_xlfn.XLOOKUP(B3783,'Form responses 1'!$B$2:$B$2604,'Form responses 1'!$E$2:$E$2604,""))</f>
        <v/>
      </c>
      <c r="H3783" s="44" t="str">
        <f t="array" ref="H3783">IF(B3783="","",_xlfn.XLOOKUP(B3783,'Form responses 1'!$B$2:$B$2604,'Form responses 1'!$F$2:$F$2604,""))</f>
        <v/>
      </c>
      <c r="I3783" s="44" t="str">
        <f t="array" ref="I3783">IF(B3783="","",_xlfn.XLOOKUP(B3783,'Form responses 1'!$B$2:$B$2604,'Form responses 1'!$I$2:$I$2604,""))</f>
        <v/>
      </c>
      <c r="J3783" s="44" t="str">
        <f t="array" ref="J3783">IF(B3783="","",_xlfn.XLOOKUP(B3783,'Form responses 1'!$B$2:$B$2604,'Form responses 1'!$G$2:$G$2604,""))</f>
        <v/>
      </c>
      <c r="K3783" s="56"/>
      <c r="L3783" s="58" t="str">
        <f t="shared" si="7"/>
        <v/>
      </c>
      <c r="M3783" s="49"/>
      <c r="N3783" s="49"/>
      <c r="O3783" s="49"/>
      <c r="P3783" s="49"/>
      <c r="Q3783" s="49"/>
      <c r="R3783" s="49"/>
      <c r="S3783" s="49"/>
      <c r="T3783" s="49"/>
      <c r="U3783" s="49"/>
      <c r="V3783" s="49"/>
      <c r="W3783" s="56"/>
      <c r="X3783" s="51" t="str">
        <f t="shared" si="5"/>
        <v/>
      </c>
      <c r="Y3783" s="50" t="s">
        <v>482</v>
      </c>
      <c r="Z3783" s="49">
        <f t="shared" si="6"/>
        <v>0</v>
      </c>
    </row>
    <row r="3784" ht="22.5" customHeight="1">
      <c r="B3784" s="57"/>
      <c r="C3784" s="43" t="str">
        <f t="array" ref="C3784">IF(B3784="","",_xlfn.XLOOKUP(B3784,'Form responses 1'!$B$2:$B$2604,'Form responses 1'!$A$2:$A$2604,""))</f>
        <v/>
      </c>
      <c r="D3784" s="44" t="str">
        <f t="shared" si="3"/>
        <v/>
      </c>
      <c r="E3784" s="44" t="str">
        <f t="array" ref="E3784">IF(B3784="","",_xlfn.XLOOKUP(B3784,'Form responses 1'!$B$2:$B$2604,'Form responses 1'!$C$2:$C$2604,""))</f>
        <v/>
      </c>
      <c r="F3784" s="44" t="str">
        <f t="array" ref="F3784">IF(B3784="","",_xlfn.XLOOKUP(B3784,'Form responses 1'!$B$2:$B$2604,'Form responses 1'!$D$2:$D$2604,""))</f>
        <v/>
      </c>
      <c r="G3784" s="44" t="str">
        <f t="array" ref="G3784">IF(B3784="","",_xlfn.XLOOKUP(B3784,'Form responses 1'!$B$2:$B$2604,'Form responses 1'!$E$2:$E$2604,""))</f>
        <v/>
      </c>
      <c r="H3784" s="44" t="str">
        <f t="array" ref="H3784">IF(B3784="","",_xlfn.XLOOKUP(B3784,'Form responses 1'!$B$2:$B$2604,'Form responses 1'!$F$2:$F$2604,""))</f>
        <v/>
      </c>
      <c r="I3784" s="44" t="str">
        <f t="array" ref="I3784">IF(B3784="","",_xlfn.XLOOKUP(B3784,'Form responses 1'!$B$2:$B$2604,'Form responses 1'!$I$2:$I$2604,""))</f>
        <v/>
      </c>
      <c r="J3784" s="44" t="str">
        <f t="array" ref="J3784">IF(B3784="","",_xlfn.XLOOKUP(B3784,'Form responses 1'!$B$2:$B$2604,'Form responses 1'!$G$2:$G$2604,""))</f>
        <v/>
      </c>
      <c r="K3784" s="56"/>
      <c r="L3784" s="58" t="str">
        <f t="shared" si="7"/>
        <v/>
      </c>
      <c r="M3784" s="49"/>
      <c r="N3784" s="49"/>
      <c r="O3784" s="49"/>
      <c r="P3784" s="49"/>
      <c r="Q3784" s="49"/>
      <c r="R3784" s="49"/>
      <c r="S3784" s="49"/>
      <c r="T3784" s="49"/>
      <c r="U3784" s="49"/>
      <c r="V3784" s="49"/>
      <c r="W3784" s="56"/>
      <c r="X3784" s="51" t="str">
        <f t="shared" si="5"/>
        <v/>
      </c>
      <c r="Y3784" s="50" t="s">
        <v>482</v>
      </c>
      <c r="Z3784" s="49">
        <f t="shared" si="6"/>
        <v>0</v>
      </c>
    </row>
    <row r="3785" ht="22.5" customHeight="1">
      <c r="B3785" s="57"/>
      <c r="C3785" s="43" t="str">
        <f t="array" ref="C3785">IF(B3785="","",_xlfn.XLOOKUP(B3785,'Form responses 1'!$B$2:$B$2604,'Form responses 1'!$A$2:$A$2604,""))</f>
        <v/>
      </c>
      <c r="D3785" s="44" t="str">
        <f t="shared" si="3"/>
        <v/>
      </c>
      <c r="E3785" s="44" t="str">
        <f t="array" ref="E3785">IF(B3785="","",_xlfn.XLOOKUP(B3785,'Form responses 1'!$B$2:$B$2604,'Form responses 1'!$C$2:$C$2604,""))</f>
        <v/>
      </c>
      <c r="F3785" s="44" t="str">
        <f t="array" ref="F3785">IF(B3785="","",_xlfn.XLOOKUP(B3785,'Form responses 1'!$B$2:$B$2604,'Form responses 1'!$D$2:$D$2604,""))</f>
        <v/>
      </c>
      <c r="G3785" s="44" t="str">
        <f t="array" ref="G3785">IF(B3785="","",_xlfn.XLOOKUP(B3785,'Form responses 1'!$B$2:$B$2604,'Form responses 1'!$E$2:$E$2604,""))</f>
        <v/>
      </c>
      <c r="H3785" s="44" t="str">
        <f t="array" ref="H3785">IF(B3785="","",_xlfn.XLOOKUP(B3785,'Form responses 1'!$B$2:$B$2604,'Form responses 1'!$F$2:$F$2604,""))</f>
        <v/>
      </c>
      <c r="I3785" s="44" t="str">
        <f t="array" ref="I3785">IF(B3785="","",_xlfn.XLOOKUP(B3785,'Form responses 1'!$B$2:$B$2604,'Form responses 1'!$I$2:$I$2604,""))</f>
        <v/>
      </c>
      <c r="J3785" s="44" t="str">
        <f t="array" ref="J3785">IF(B3785="","",_xlfn.XLOOKUP(B3785,'Form responses 1'!$B$2:$B$2604,'Form responses 1'!$G$2:$G$2604,""))</f>
        <v/>
      </c>
      <c r="K3785" s="56"/>
      <c r="L3785" s="58" t="str">
        <f t="shared" si="7"/>
        <v/>
      </c>
      <c r="M3785" s="49"/>
      <c r="N3785" s="49"/>
      <c r="O3785" s="49"/>
      <c r="P3785" s="49"/>
      <c r="Q3785" s="49"/>
      <c r="R3785" s="49"/>
      <c r="S3785" s="49"/>
      <c r="T3785" s="49"/>
      <c r="U3785" s="49"/>
      <c r="V3785" s="49"/>
      <c r="W3785" s="56"/>
      <c r="X3785" s="51" t="str">
        <f t="shared" si="5"/>
        <v/>
      </c>
      <c r="Y3785" s="50" t="s">
        <v>482</v>
      </c>
      <c r="Z3785" s="49">
        <f t="shared" si="6"/>
        <v>0</v>
      </c>
    </row>
    <row r="3786" ht="22.5" customHeight="1">
      <c r="B3786" s="57"/>
      <c r="C3786" s="43" t="str">
        <f t="array" ref="C3786">IF(B3786="","",_xlfn.XLOOKUP(B3786,'Form responses 1'!$B$2:$B$2604,'Form responses 1'!$A$2:$A$2604,""))</f>
        <v/>
      </c>
      <c r="D3786" s="44" t="str">
        <f t="shared" si="3"/>
        <v/>
      </c>
      <c r="E3786" s="44" t="str">
        <f t="array" ref="E3786">IF(B3786="","",_xlfn.XLOOKUP(B3786,'Form responses 1'!$B$2:$B$2604,'Form responses 1'!$C$2:$C$2604,""))</f>
        <v/>
      </c>
      <c r="F3786" s="44" t="str">
        <f t="array" ref="F3786">IF(B3786="","",_xlfn.XLOOKUP(B3786,'Form responses 1'!$B$2:$B$2604,'Form responses 1'!$D$2:$D$2604,""))</f>
        <v/>
      </c>
      <c r="G3786" s="44" t="str">
        <f t="array" ref="G3786">IF(B3786="","",_xlfn.XLOOKUP(B3786,'Form responses 1'!$B$2:$B$2604,'Form responses 1'!$E$2:$E$2604,""))</f>
        <v/>
      </c>
      <c r="H3786" s="44" t="str">
        <f t="array" ref="H3786">IF(B3786="","",_xlfn.XLOOKUP(B3786,'Form responses 1'!$B$2:$B$2604,'Form responses 1'!$F$2:$F$2604,""))</f>
        <v/>
      </c>
      <c r="I3786" s="44" t="str">
        <f t="array" ref="I3786">IF(B3786="","",_xlfn.XLOOKUP(B3786,'Form responses 1'!$B$2:$B$2604,'Form responses 1'!$I$2:$I$2604,""))</f>
        <v/>
      </c>
      <c r="J3786" s="44" t="str">
        <f t="array" ref="J3786">IF(B3786="","",_xlfn.XLOOKUP(B3786,'Form responses 1'!$B$2:$B$2604,'Form responses 1'!$G$2:$G$2604,""))</f>
        <v/>
      </c>
      <c r="K3786" s="56"/>
      <c r="L3786" s="58" t="str">
        <f t="shared" si="7"/>
        <v/>
      </c>
      <c r="M3786" s="49"/>
      <c r="N3786" s="49"/>
      <c r="O3786" s="49"/>
      <c r="P3786" s="49"/>
      <c r="Q3786" s="49"/>
      <c r="R3786" s="49"/>
      <c r="S3786" s="49"/>
      <c r="T3786" s="49"/>
      <c r="U3786" s="49"/>
      <c r="V3786" s="49"/>
      <c r="W3786" s="56"/>
      <c r="X3786" s="51" t="str">
        <f t="shared" si="5"/>
        <v/>
      </c>
      <c r="Y3786" s="50" t="s">
        <v>482</v>
      </c>
      <c r="Z3786" s="49">
        <f t="shared" si="6"/>
        <v>0</v>
      </c>
    </row>
    <row r="3787" ht="22.5" customHeight="1">
      <c r="B3787" s="57"/>
      <c r="C3787" s="43" t="str">
        <f t="array" ref="C3787">IF(B3787="","",_xlfn.XLOOKUP(B3787,'Form responses 1'!$B$2:$B$2604,'Form responses 1'!$A$2:$A$2604,""))</f>
        <v/>
      </c>
      <c r="D3787" s="44" t="str">
        <f t="shared" si="3"/>
        <v/>
      </c>
      <c r="E3787" s="44" t="str">
        <f t="array" ref="E3787">IF(B3787="","",_xlfn.XLOOKUP(B3787,'Form responses 1'!$B$2:$B$2604,'Form responses 1'!$C$2:$C$2604,""))</f>
        <v/>
      </c>
      <c r="F3787" s="44" t="str">
        <f t="array" ref="F3787">IF(B3787="","",_xlfn.XLOOKUP(B3787,'Form responses 1'!$B$2:$B$2604,'Form responses 1'!$D$2:$D$2604,""))</f>
        <v/>
      </c>
      <c r="G3787" s="44" t="str">
        <f t="array" ref="G3787">IF(B3787="","",_xlfn.XLOOKUP(B3787,'Form responses 1'!$B$2:$B$2604,'Form responses 1'!$E$2:$E$2604,""))</f>
        <v/>
      </c>
      <c r="H3787" s="44" t="str">
        <f t="array" ref="H3787">IF(B3787="","",_xlfn.XLOOKUP(B3787,'Form responses 1'!$B$2:$B$2604,'Form responses 1'!$F$2:$F$2604,""))</f>
        <v/>
      </c>
      <c r="I3787" s="44" t="str">
        <f t="array" ref="I3787">IF(B3787="","",_xlfn.XLOOKUP(B3787,'Form responses 1'!$B$2:$B$2604,'Form responses 1'!$I$2:$I$2604,""))</f>
        <v/>
      </c>
      <c r="J3787" s="44" t="str">
        <f t="array" ref="J3787">IF(B3787="","",_xlfn.XLOOKUP(B3787,'Form responses 1'!$B$2:$B$2604,'Form responses 1'!$G$2:$G$2604,""))</f>
        <v/>
      </c>
      <c r="K3787" s="56"/>
      <c r="L3787" s="58" t="str">
        <f t="shared" si="7"/>
        <v/>
      </c>
      <c r="M3787" s="49"/>
      <c r="N3787" s="49"/>
      <c r="O3787" s="49"/>
      <c r="P3787" s="49"/>
      <c r="Q3787" s="49"/>
      <c r="R3787" s="49"/>
      <c r="S3787" s="49"/>
      <c r="T3787" s="49"/>
      <c r="U3787" s="49"/>
      <c r="V3787" s="49"/>
      <c r="W3787" s="56"/>
      <c r="X3787" s="51" t="str">
        <f t="shared" si="5"/>
        <v/>
      </c>
      <c r="Y3787" s="50" t="s">
        <v>482</v>
      </c>
      <c r="Z3787" s="49">
        <f t="shared" si="6"/>
        <v>0</v>
      </c>
    </row>
    <row r="3788" ht="22.5" customHeight="1">
      <c r="B3788" s="57"/>
      <c r="C3788" s="43" t="str">
        <f t="array" ref="C3788">IF(B3788="","",_xlfn.XLOOKUP(B3788,'Form responses 1'!$B$2:$B$2604,'Form responses 1'!$A$2:$A$2604,""))</f>
        <v/>
      </c>
      <c r="D3788" s="44" t="str">
        <f t="shared" si="3"/>
        <v/>
      </c>
      <c r="E3788" s="44" t="str">
        <f t="array" ref="E3788">IF(B3788="","",_xlfn.XLOOKUP(B3788,'Form responses 1'!$B$2:$B$2604,'Form responses 1'!$C$2:$C$2604,""))</f>
        <v/>
      </c>
      <c r="F3788" s="44" t="str">
        <f t="array" ref="F3788">IF(B3788="","",_xlfn.XLOOKUP(B3788,'Form responses 1'!$B$2:$B$2604,'Form responses 1'!$D$2:$D$2604,""))</f>
        <v/>
      </c>
      <c r="G3788" s="44" t="str">
        <f t="array" ref="G3788">IF(B3788="","",_xlfn.XLOOKUP(B3788,'Form responses 1'!$B$2:$B$2604,'Form responses 1'!$E$2:$E$2604,""))</f>
        <v/>
      </c>
      <c r="H3788" s="44" t="str">
        <f t="array" ref="H3788">IF(B3788="","",_xlfn.XLOOKUP(B3788,'Form responses 1'!$B$2:$B$2604,'Form responses 1'!$F$2:$F$2604,""))</f>
        <v/>
      </c>
      <c r="I3788" s="44" t="str">
        <f t="array" ref="I3788">IF(B3788="","",_xlfn.XLOOKUP(B3788,'Form responses 1'!$B$2:$B$2604,'Form responses 1'!$I$2:$I$2604,""))</f>
        <v/>
      </c>
      <c r="J3788" s="44" t="str">
        <f t="array" ref="J3788">IF(B3788="","",_xlfn.XLOOKUP(B3788,'Form responses 1'!$B$2:$B$2604,'Form responses 1'!$G$2:$G$2604,""))</f>
        <v/>
      </c>
      <c r="K3788" s="56"/>
      <c r="L3788" s="58" t="str">
        <f t="shared" si="7"/>
        <v/>
      </c>
      <c r="M3788" s="49"/>
      <c r="N3788" s="49"/>
      <c r="O3788" s="49"/>
      <c r="P3788" s="49"/>
      <c r="Q3788" s="49"/>
      <c r="R3788" s="49"/>
      <c r="S3788" s="49"/>
      <c r="T3788" s="49"/>
      <c r="U3788" s="49"/>
      <c r="V3788" s="49"/>
      <c r="W3788" s="56"/>
      <c r="X3788" s="51" t="str">
        <f t="shared" si="5"/>
        <v/>
      </c>
      <c r="Y3788" s="50" t="s">
        <v>482</v>
      </c>
      <c r="Z3788" s="49">
        <f t="shared" si="6"/>
        <v>0</v>
      </c>
    </row>
    <row r="3789" ht="22.5" customHeight="1">
      <c r="B3789" s="57"/>
      <c r="C3789" s="43" t="str">
        <f t="array" ref="C3789">IF(B3789="","",_xlfn.XLOOKUP(B3789,'Form responses 1'!$B$2:$B$2604,'Form responses 1'!$A$2:$A$2604,""))</f>
        <v/>
      </c>
      <c r="D3789" s="44" t="str">
        <f t="shared" si="3"/>
        <v/>
      </c>
      <c r="E3789" s="44" t="str">
        <f t="array" ref="E3789">IF(B3789="","",_xlfn.XLOOKUP(B3789,'Form responses 1'!$B$2:$B$2604,'Form responses 1'!$C$2:$C$2604,""))</f>
        <v/>
      </c>
      <c r="F3789" s="44" t="str">
        <f t="array" ref="F3789">IF(B3789="","",_xlfn.XLOOKUP(B3789,'Form responses 1'!$B$2:$B$2604,'Form responses 1'!$D$2:$D$2604,""))</f>
        <v/>
      </c>
      <c r="G3789" s="44" t="str">
        <f t="array" ref="G3789">IF(B3789="","",_xlfn.XLOOKUP(B3789,'Form responses 1'!$B$2:$B$2604,'Form responses 1'!$E$2:$E$2604,""))</f>
        <v/>
      </c>
      <c r="H3789" s="44" t="str">
        <f t="array" ref="H3789">IF(B3789="","",_xlfn.XLOOKUP(B3789,'Form responses 1'!$B$2:$B$2604,'Form responses 1'!$F$2:$F$2604,""))</f>
        <v/>
      </c>
      <c r="I3789" s="44" t="str">
        <f t="array" ref="I3789">IF(B3789="","",_xlfn.XLOOKUP(B3789,'Form responses 1'!$B$2:$B$2604,'Form responses 1'!$I$2:$I$2604,""))</f>
        <v/>
      </c>
      <c r="J3789" s="44" t="str">
        <f t="array" ref="J3789">IF(B3789="","",_xlfn.XLOOKUP(B3789,'Form responses 1'!$B$2:$B$2604,'Form responses 1'!$G$2:$G$2604,""))</f>
        <v/>
      </c>
      <c r="K3789" s="56"/>
      <c r="L3789" s="58" t="str">
        <f t="shared" si="7"/>
        <v/>
      </c>
      <c r="M3789" s="49"/>
      <c r="N3789" s="49"/>
      <c r="O3789" s="49"/>
      <c r="P3789" s="49"/>
      <c r="Q3789" s="49"/>
      <c r="R3789" s="49"/>
      <c r="S3789" s="49"/>
      <c r="T3789" s="49"/>
      <c r="U3789" s="49"/>
      <c r="V3789" s="49"/>
      <c r="W3789" s="56"/>
      <c r="X3789" s="51" t="str">
        <f t="shared" si="5"/>
        <v/>
      </c>
      <c r="Y3789" s="50" t="s">
        <v>482</v>
      </c>
      <c r="Z3789" s="49">
        <f t="shared" si="6"/>
        <v>0</v>
      </c>
    </row>
    <row r="3790" ht="22.5" customHeight="1">
      <c r="B3790" s="57"/>
      <c r="C3790" s="43" t="str">
        <f t="array" ref="C3790">IF(B3790="","",_xlfn.XLOOKUP(B3790,'Form responses 1'!$B$2:$B$2604,'Form responses 1'!$A$2:$A$2604,""))</f>
        <v/>
      </c>
      <c r="D3790" s="44" t="str">
        <f t="shared" si="3"/>
        <v/>
      </c>
      <c r="E3790" s="44" t="str">
        <f t="array" ref="E3790">IF(B3790="","",_xlfn.XLOOKUP(B3790,'Form responses 1'!$B$2:$B$2604,'Form responses 1'!$C$2:$C$2604,""))</f>
        <v/>
      </c>
      <c r="F3790" s="44" t="str">
        <f t="array" ref="F3790">IF(B3790="","",_xlfn.XLOOKUP(B3790,'Form responses 1'!$B$2:$B$2604,'Form responses 1'!$D$2:$D$2604,""))</f>
        <v/>
      </c>
      <c r="G3790" s="44" t="str">
        <f t="array" ref="G3790">IF(B3790="","",_xlfn.XLOOKUP(B3790,'Form responses 1'!$B$2:$B$2604,'Form responses 1'!$E$2:$E$2604,""))</f>
        <v/>
      </c>
      <c r="H3790" s="44" t="str">
        <f t="array" ref="H3790">IF(B3790="","",_xlfn.XLOOKUP(B3790,'Form responses 1'!$B$2:$B$2604,'Form responses 1'!$F$2:$F$2604,""))</f>
        <v/>
      </c>
      <c r="I3790" s="44" t="str">
        <f t="array" ref="I3790">IF(B3790="","",_xlfn.XLOOKUP(B3790,'Form responses 1'!$B$2:$B$2604,'Form responses 1'!$I$2:$I$2604,""))</f>
        <v/>
      </c>
      <c r="J3790" s="44" t="str">
        <f t="array" ref="J3790">IF(B3790="","",_xlfn.XLOOKUP(B3790,'Form responses 1'!$B$2:$B$2604,'Form responses 1'!$G$2:$G$2604,""))</f>
        <v/>
      </c>
      <c r="K3790" s="56"/>
      <c r="L3790" s="58" t="str">
        <f t="shared" si="7"/>
        <v/>
      </c>
      <c r="M3790" s="49"/>
      <c r="N3790" s="49"/>
      <c r="O3790" s="49"/>
      <c r="P3790" s="49"/>
      <c r="Q3790" s="49"/>
      <c r="R3790" s="49"/>
      <c r="S3790" s="49"/>
      <c r="T3790" s="49"/>
      <c r="U3790" s="49"/>
      <c r="V3790" s="49"/>
      <c r="W3790" s="56"/>
      <c r="X3790" s="51" t="str">
        <f t="shared" si="5"/>
        <v/>
      </c>
      <c r="Y3790" s="50" t="s">
        <v>482</v>
      </c>
      <c r="Z3790" s="49">
        <f t="shared" si="6"/>
        <v>0</v>
      </c>
    </row>
    <row r="3791" ht="22.5" customHeight="1">
      <c r="B3791" s="57"/>
      <c r="C3791" s="43" t="str">
        <f t="array" ref="C3791">IF(B3791="","",_xlfn.XLOOKUP(B3791,'Form responses 1'!$B$2:$B$2604,'Form responses 1'!$A$2:$A$2604,""))</f>
        <v/>
      </c>
      <c r="D3791" s="44" t="str">
        <f t="shared" si="3"/>
        <v/>
      </c>
      <c r="E3791" s="44" t="str">
        <f t="array" ref="E3791">IF(B3791="","",_xlfn.XLOOKUP(B3791,'Form responses 1'!$B$2:$B$2604,'Form responses 1'!$C$2:$C$2604,""))</f>
        <v/>
      </c>
      <c r="F3791" s="44" t="str">
        <f t="array" ref="F3791">IF(B3791="","",_xlfn.XLOOKUP(B3791,'Form responses 1'!$B$2:$B$2604,'Form responses 1'!$D$2:$D$2604,""))</f>
        <v/>
      </c>
      <c r="G3791" s="44" t="str">
        <f t="array" ref="G3791">IF(B3791="","",_xlfn.XLOOKUP(B3791,'Form responses 1'!$B$2:$B$2604,'Form responses 1'!$E$2:$E$2604,""))</f>
        <v/>
      </c>
      <c r="H3791" s="44" t="str">
        <f t="array" ref="H3791">IF(B3791="","",_xlfn.XLOOKUP(B3791,'Form responses 1'!$B$2:$B$2604,'Form responses 1'!$F$2:$F$2604,""))</f>
        <v/>
      </c>
      <c r="I3791" s="44" t="str">
        <f t="array" ref="I3791">IF(B3791="","",_xlfn.XLOOKUP(B3791,'Form responses 1'!$B$2:$B$2604,'Form responses 1'!$I$2:$I$2604,""))</f>
        <v/>
      </c>
      <c r="J3791" s="44" t="str">
        <f t="array" ref="J3791">IF(B3791="","",_xlfn.XLOOKUP(B3791,'Form responses 1'!$B$2:$B$2604,'Form responses 1'!$G$2:$G$2604,""))</f>
        <v/>
      </c>
      <c r="K3791" s="56"/>
      <c r="L3791" s="58" t="str">
        <f t="shared" si="7"/>
        <v/>
      </c>
      <c r="M3791" s="49"/>
      <c r="N3791" s="49"/>
      <c r="O3791" s="49"/>
      <c r="P3791" s="49"/>
      <c r="Q3791" s="49"/>
      <c r="R3791" s="49"/>
      <c r="S3791" s="49"/>
      <c r="T3791" s="49"/>
      <c r="U3791" s="49"/>
      <c r="V3791" s="49"/>
      <c r="W3791" s="56"/>
      <c r="X3791" s="51" t="str">
        <f t="shared" si="5"/>
        <v/>
      </c>
      <c r="Y3791" s="50" t="s">
        <v>482</v>
      </c>
      <c r="Z3791" s="49">
        <f t="shared" si="6"/>
        <v>0</v>
      </c>
    </row>
    <row r="3792" ht="22.5" customHeight="1">
      <c r="B3792" s="57"/>
      <c r="C3792" s="43" t="str">
        <f t="array" ref="C3792">IF(B3792="","",_xlfn.XLOOKUP(B3792,'Form responses 1'!$B$2:$B$2604,'Form responses 1'!$A$2:$A$2604,""))</f>
        <v/>
      </c>
      <c r="D3792" s="44" t="str">
        <f t="shared" si="3"/>
        <v/>
      </c>
      <c r="E3792" s="44" t="str">
        <f t="array" ref="E3792">IF(B3792="","",_xlfn.XLOOKUP(B3792,'Form responses 1'!$B$2:$B$2604,'Form responses 1'!$C$2:$C$2604,""))</f>
        <v/>
      </c>
      <c r="F3792" s="44" t="str">
        <f t="array" ref="F3792">IF(B3792="","",_xlfn.XLOOKUP(B3792,'Form responses 1'!$B$2:$B$2604,'Form responses 1'!$D$2:$D$2604,""))</f>
        <v/>
      </c>
      <c r="G3792" s="44" t="str">
        <f t="array" ref="G3792">IF(B3792="","",_xlfn.XLOOKUP(B3792,'Form responses 1'!$B$2:$B$2604,'Form responses 1'!$E$2:$E$2604,""))</f>
        <v/>
      </c>
      <c r="H3792" s="44" t="str">
        <f t="array" ref="H3792">IF(B3792="","",_xlfn.XLOOKUP(B3792,'Form responses 1'!$B$2:$B$2604,'Form responses 1'!$F$2:$F$2604,""))</f>
        <v/>
      </c>
      <c r="I3792" s="44" t="str">
        <f t="array" ref="I3792">IF(B3792="","",_xlfn.XLOOKUP(B3792,'Form responses 1'!$B$2:$B$2604,'Form responses 1'!$I$2:$I$2604,""))</f>
        <v/>
      </c>
      <c r="J3792" s="44" t="str">
        <f t="array" ref="J3792">IF(B3792="","",_xlfn.XLOOKUP(B3792,'Form responses 1'!$B$2:$B$2604,'Form responses 1'!$G$2:$G$2604,""))</f>
        <v/>
      </c>
      <c r="K3792" s="56"/>
      <c r="L3792" s="58" t="str">
        <f t="shared" si="7"/>
        <v/>
      </c>
      <c r="M3792" s="49"/>
      <c r="N3792" s="49"/>
      <c r="O3792" s="49"/>
      <c r="P3792" s="49"/>
      <c r="Q3792" s="49"/>
      <c r="R3792" s="49"/>
      <c r="S3792" s="49"/>
      <c r="T3792" s="49"/>
      <c r="U3792" s="49"/>
      <c r="V3792" s="49"/>
      <c r="W3792" s="56"/>
      <c r="X3792" s="51" t="str">
        <f t="shared" si="5"/>
        <v/>
      </c>
      <c r="Y3792" s="50" t="s">
        <v>482</v>
      </c>
      <c r="Z3792" s="49">
        <f t="shared" si="6"/>
        <v>0</v>
      </c>
    </row>
    <row r="3793" ht="22.5" customHeight="1">
      <c r="B3793" s="57"/>
      <c r="C3793" s="43" t="str">
        <f t="array" ref="C3793">IF(B3793="","",_xlfn.XLOOKUP(B3793,'Form responses 1'!$B$2:$B$2604,'Form responses 1'!$A$2:$A$2604,""))</f>
        <v/>
      </c>
      <c r="D3793" s="44" t="str">
        <f t="shared" si="3"/>
        <v/>
      </c>
      <c r="E3793" s="44" t="str">
        <f t="array" ref="E3793">IF(B3793="","",_xlfn.XLOOKUP(B3793,'Form responses 1'!$B$2:$B$2604,'Form responses 1'!$C$2:$C$2604,""))</f>
        <v/>
      </c>
      <c r="F3793" s="44" t="str">
        <f t="array" ref="F3793">IF(B3793="","",_xlfn.XLOOKUP(B3793,'Form responses 1'!$B$2:$B$2604,'Form responses 1'!$D$2:$D$2604,""))</f>
        <v/>
      </c>
      <c r="G3793" s="44" t="str">
        <f t="array" ref="G3793">IF(B3793="","",_xlfn.XLOOKUP(B3793,'Form responses 1'!$B$2:$B$2604,'Form responses 1'!$E$2:$E$2604,""))</f>
        <v/>
      </c>
      <c r="H3793" s="44" t="str">
        <f t="array" ref="H3793">IF(B3793="","",_xlfn.XLOOKUP(B3793,'Form responses 1'!$B$2:$B$2604,'Form responses 1'!$F$2:$F$2604,""))</f>
        <v/>
      </c>
      <c r="I3793" s="44" t="str">
        <f t="array" ref="I3793">IF(B3793="","",_xlfn.XLOOKUP(B3793,'Form responses 1'!$B$2:$B$2604,'Form responses 1'!$I$2:$I$2604,""))</f>
        <v/>
      </c>
      <c r="J3793" s="44" t="str">
        <f t="array" ref="J3793">IF(B3793="","",_xlfn.XLOOKUP(B3793,'Form responses 1'!$B$2:$B$2604,'Form responses 1'!$G$2:$G$2604,""))</f>
        <v/>
      </c>
      <c r="K3793" s="56"/>
      <c r="L3793" s="58" t="str">
        <f t="shared" si="7"/>
        <v/>
      </c>
      <c r="M3793" s="49"/>
      <c r="N3793" s="49"/>
      <c r="O3793" s="49"/>
      <c r="P3793" s="49"/>
      <c r="Q3793" s="49"/>
      <c r="R3793" s="49"/>
      <c r="S3793" s="49"/>
      <c r="T3793" s="49"/>
      <c r="U3793" s="49"/>
      <c r="V3793" s="49"/>
      <c r="W3793" s="56"/>
      <c r="X3793" s="51" t="str">
        <f t="shared" si="5"/>
        <v/>
      </c>
      <c r="Y3793" s="50" t="s">
        <v>482</v>
      </c>
      <c r="Z3793" s="49">
        <f t="shared" si="6"/>
        <v>0</v>
      </c>
    </row>
    <row r="3794" ht="22.5" customHeight="1">
      <c r="B3794" s="57"/>
      <c r="C3794" s="43" t="str">
        <f t="array" ref="C3794">IF(B3794="","",_xlfn.XLOOKUP(B3794,'Form responses 1'!$B$2:$B$2604,'Form responses 1'!$A$2:$A$2604,""))</f>
        <v/>
      </c>
      <c r="D3794" s="44" t="str">
        <f t="shared" si="3"/>
        <v/>
      </c>
      <c r="E3794" s="44" t="str">
        <f t="array" ref="E3794">IF(B3794="","",_xlfn.XLOOKUP(B3794,'Form responses 1'!$B$2:$B$2604,'Form responses 1'!$C$2:$C$2604,""))</f>
        <v/>
      </c>
      <c r="F3794" s="44" t="str">
        <f t="array" ref="F3794">IF(B3794="","",_xlfn.XLOOKUP(B3794,'Form responses 1'!$B$2:$B$2604,'Form responses 1'!$D$2:$D$2604,""))</f>
        <v/>
      </c>
      <c r="G3794" s="44" t="str">
        <f t="array" ref="G3794">IF(B3794="","",_xlfn.XLOOKUP(B3794,'Form responses 1'!$B$2:$B$2604,'Form responses 1'!$E$2:$E$2604,""))</f>
        <v/>
      </c>
      <c r="H3794" s="44" t="str">
        <f t="array" ref="H3794">IF(B3794="","",_xlfn.XLOOKUP(B3794,'Form responses 1'!$B$2:$B$2604,'Form responses 1'!$F$2:$F$2604,""))</f>
        <v/>
      </c>
      <c r="I3794" s="44" t="str">
        <f t="array" ref="I3794">IF(B3794="","",_xlfn.XLOOKUP(B3794,'Form responses 1'!$B$2:$B$2604,'Form responses 1'!$I$2:$I$2604,""))</f>
        <v/>
      </c>
      <c r="J3794" s="44" t="str">
        <f t="array" ref="J3794">IF(B3794="","",_xlfn.XLOOKUP(B3794,'Form responses 1'!$B$2:$B$2604,'Form responses 1'!$G$2:$G$2604,""))</f>
        <v/>
      </c>
      <c r="K3794" s="56"/>
      <c r="L3794" s="58" t="str">
        <f t="shared" si="7"/>
        <v/>
      </c>
      <c r="M3794" s="49"/>
      <c r="N3794" s="49"/>
      <c r="O3794" s="49"/>
      <c r="P3794" s="49"/>
      <c r="Q3794" s="49"/>
      <c r="R3794" s="49"/>
      <c r="S3794" s="49"/>
      <c r="T3794" s="49"/>
      <c r="U3794" s="49"/>
      <c r="V3794" s="49"/>
      <c r="W3794" s="56"/>
      <c r="X3794" s="51" t="str">
        <f t="shared" si="5"/>
        <v/>
      </c>
      <c r="Y3794" s="50" t="s">
        <v>482</v>
      </c>
      <c r="Z3794" s="49">
        <f t="shared" si="6"/>
        <v>0</v>
      </c>
    </row>
    <row r="3795" ht="22.5" customHeight="1">
      <c r="B3795" s="57"/>
      <c r="C3795" s="43" t="str">
        <f t="array" ref="C3795">IF(B3795="","",_xlfn.XLOOKUP(B3795,'Form responses 1'!$B$2:$B$2604,'Form responses 1'!$A$2:$A$2604,""))</f>
        <v/>
      </c>
      <c r="D3795" s="44" t="str">
        <f t="shared" si="3"/>
        <v/>
      </c>
      <c r="E3795" s="44" t="str">
        <f t="array" ref="E3795">IF(B3795="","",_xlfn.XLOOKUP(B3795,'Form responses 1'!$B$2:$B$2604,'Form responses 1'!$C$2:$C$2604,""))</f>
        <v/>
      </c>
      <c r="F3795" s="44" t="str">
        <f t="array" ref="F3795">IF(B3795="","",_xlfn.XLOOKUP(B3795,'Form responses 1'!$B$2:$B$2604,'Form responses 1'!$D$2:$D$2604,""))</f>
        <v/>
      </c>
      <c r="G3795" s="44" t="str">
        <f t="array" ref="G3795">IF(B3795="","",_xlfn.XLOOKUP(B3795,'Form responses 1'!$B$2:$B$2604,'Form responses 1'!$E$2:$E$2604,""))</f>
        <v/>
      </c>
      <c r="H3795" s="44" t="str">
        <f t="array" ref="H3795">IF(B3795="","",_xlfn.XLOOKUP(B3795,'Form responses 1'!$B$2:$B$2604,'Form responses 1'!$F$2:$F$2604,""))</f>
        <v/>
      </c>
      <c r="I3795" s="44" t="str">
        <f t="array" ref="I3795">IF(B3795="","",_xlfn.XLOOKUP(B3795,'Form responses 1'!$B$2:$B$2604,'Form responses 1'!$I$2:$I$2604,""))</f>
        <v/>
      </c>
      <c r="J3795" s="44" t="str">
        <f t="array" ref="J3795">IF(B3795="","",_xlfn.XLOOKUP(B3795,'Form responses 1'!$B$2:$B$2604,'Form responses 1'!$G$2:$G$2604,""))</f>
        <v/>
      </c>
      <c r="K3795" s="56"/>
      <c r="L3795" s="58" t="str">
        <f t="shared" si="7"/>
        <v/>
      </c>
      <c r="M3795" s="49"/>
      <c r="N3795" s="49"/>
      <c r="O3795" s="49"/>
      <c r="P3795" s="49"/>
      <c r="Q3795" s="49"/>
      <c r="R3795" s="49"/>
      <c r="S3795" s="49"/>
      <c r="T3795" s="49"/>
      <c r="U3795" s="49"/>
      <c r="V3795" s="49"/>
      <c r="W3795" s="56"/>
      <c r="X3795" s="51" t="str">
        <f t="shared" si="5"/>
        <v/>
      </c>
      <c r="Y3795" s="50" t="s">
        <v>482</v>
      </c>
      <c r="Z3795" s="49">
        <f t="shared" si="6"/>
        <v>0</v>
      </c>
    </row>
    <row r="3796" ht="22.5" customHeight="1">
      <c r="B3796" s="57"/>
      <c r="C3796" s="43" t="str">
        <f t="array" ref="C3796">IF(B3796="","",_xlfn.XLOOKUP(B3796,'Form responses 1'!$B$2:$B$2604,'Form responses 1'!$A$2:$A$2604,""))</f>
        <v/>
      </c>
      <c r="D3796" s="44" t="str">
        <f t="shared" si="3"/>
        <v/>
      </c>
      <c r="E3796" s="44" t="str">
        <f t="array" ref="E3796">IF(B3796="","",_xlfn.XLOOKUP(B3796,'Form responses 1'!$B$2:$B$2604,'Form responses 1'!$C$2:$C$2604,""))</f>
        <v/>
      </c>
      <c r="F3796" s="44" t="str">
        <f t="array" ref="F3796">IF(B3796="","",_xlfn.XLOOKUP(B3796,'Form responses 1'!$B$2:$B$2604,'Form responses 1'!$D$2:$D$2604,""))</f>
        <v/>
      </c>
      <c r="G3796" s="44" t="str">
        <f t="array" ref="G3796">IF(B3796="","",_xlfn.XLOOKUP(B3796,'Form responses 1'!$B$2:$B$2604,'Form responses 1'!$E$2:$E$2604,""))</f>
        <v/>
      </c>
      <c r="H3796" s="44" t="str">
        <f t="array" ref="H3796">IF(B3796="","",_xlfn.XLOOKUP(B3796,'Form responses 1'!$B$2:$B$2604,'Form responses 1'!$F$2:$F$2604,""))</f>
        <v/>
      </c>
      <c r="I3796" s="44" t="str">
        <f t="array" ref="I3796">IF(B3796="","",_xlfn.XLOOKUP(B3796,'Form responses 1'!$B$2:$B$2604,'Form responses 1'!$I$2:$I$2604,""))</f>
        <v/>
      </c>
      <c r="J3796" s="44" t="str">
        <f t="array" ref="J3796">IF(B3796="","",_xlfn.XLOOKUP(B3796,'Form responses 1'!$B$2:$B$2604,'Form responses 1'!$G$2:$G$2604,""))</f>
        <v/>
      </c>
      <c r="K3796" s="56"/>
      <c r="L3796" s="58" t="str">
        <f t="shared" si="7"/>
        <v/>
      </c>
      <c r="M3796" s="49"/>
      <c r="N3796" s="49"/>
      <c r="O3796" s="49"/>
      <c r="P3796" s="49"/>
      <c r="Q3796" s="49"/>
      <c r="R3796" s="49"/>
      <c r="S3796" s="49"/>
      <c r="T3796" s="49"/>
      <c r="U3796" s="49"/>
      <c r="V3796" s="49"/>
      <c r="W3796" s="56"/>
      <c r="X3796" s="51" t="str">
        <f t="shared" si="5"/>
        <v/>
      </c>
      <c r="Y3796" s="50" t="s">
        <v>482</v>
      </c>
      <c r="Z3796" s="49">
        <f t="shared" si="6"/>
        <v>0</v>
      </c>
    </row>
    <row r="3797" ht="22.5" customHeight="1">
      <c r="B3797" s="57"/>
      <c r="C3797" s="43" t="str">
        <f t="array" ref="C3797">IF(B3797="","",_xlfn.XLOOKUP(B3797,'Form responses 1'!$B$2:$B$2604,'Form responses 1'!$A$2:$A$2604,""))</f>
        <v/>
      </c>
      <c r="D3797" s="44" t="str">
        <f t="shared" si="3"/>
        <v/>
      </c>
      <c r="E3797" s="44" t="str">
        <f t="array" ref="E3797">IF(B3797="","",_xlfn.XLOOKUP(B3797,'Form responses 1'!$B$2:$B$2604,'Form responses 1'!$C$2:$C$2604,""))</f>
        <v/>
      </c>
      <c r="F3797" s="44" t="str">
        <f t="array" ref="F3797">IF(B3797="","",_xlfn.XLOOKUP(B3797,'Form responses 1'!$B$2:$B$2604,'Form responses 1'!$D$2:$D$2604,""))</f>
        <v/>
      </c>
      <c r="G3797" s="44" t="str">
        <f t="array" ref="G3797">IF(B3797="","",_xlfn.XLOOKUP(B3797,'Form responses 1'!$B$2:$B$2604,'Form responses 1'!$E$2:$E$2604,""))</f>
        <v/>
      </c>
      <c r="H3797" s="44" t="str">
        <f t="array" ref="H3797">IF(B3797="","",_xlfn.XLOOKUP(B3797,'Form responses 1'!$B$2:$B$2604,'Form responses 1'!$F$2:$F$2604,""))</f>
        <v/>
      </c>
      <c r="I3797" s="44" t="str">
        <f t="array" ref="I3797">IF(B3797="","",_xlfn.XLOOKUP(B3797,'Form responses 1'!$B$2:$B$2604,'Form responses 1'!$I$2:$I$2604,""))</f>
        <v/>
      </c>
      <c r="J3797" s="44" t="str">
        <f t="array" ref="J3797">IF(B3797="","",_xlfn.XLOOKUP(B3797,'Form responses 1'!$B$2:$B$2604,'Form responses 1'!$G$2:$G$2604,""))</f>
        <v/>
      </c>
      <c r="K3797" s="56"/>
      <c r="L3797" s="58" t="str">
        <f t="shared" si="7"/>
        <v/>
      </c>
      <c r="M3797" s="49"/>
      <c r="N3797" s="49"/>
      <c r="O3797" s="49"/>
      <c r="P3797" s="49"/>
      <c r="Q3797" s="49"/>
      <c r="R3797" s="49"/>
      <c r="S3797" s="49"/>
      <c r="T3797" s="49"/>
      <c r="U3797" s="49"/>
      <c r="V3797" s="49"/>
      <c r="W3797" s="56"/>
      <c r="X3797" s="51" t="str">
        <f t="shared" si="5"/>
        <v/>
      </c>
      <c r="Y3797" s="50" t="s">
        <v>482</v>
      </c>
      <c r="Z3797" s="49">
        <f t="shared" si="6"/>
        <v>0</v>
      </c>
    </row>
    <row r="3798" ht="22.5" customHeight="1">
      <c r="B3798" s="57"/>
      <c r="C3798" s="43" t="str">
        <f t="array" ref="C3798">IF(B3798="","",_xlfn.XLOOKUP(B3798,'Form responses 1'!$B$2:$B$2604,'Form responses 1'!$A$2:$A$2604,""))</f>
        <v/>
      </c>
      <c r="D3798" s="44" t="str">
        <f t="shared" si="3"/>
        <v/>
      </c>
      <c r="E3798" s="44" t="str">
        <f t="array" ref="E3798">IF(B3798="","",_xlfn.XLOOKUP(B3798,'Form responses 1'!$B$2:$B$2604,'Form responses 1'!$C$2:$C$2604,""))</f>
        <v/>
      </c>
      <c r="F3798" s="44" t="str">
        <f t="array" ref="F3798">IF(B3798="","",_xlfn.XLOOKUP(B3798,'Form responses 1'!$B$2:$B$2604,'Form responses 1'!$D$2:$D$2604,""))</f>
        <v/>
      </c>
      <c r="G3798" s="44" t="str">
        <f t="array" ref="G3798">IF(B3798="","",_xlfn.XLOOKUP(B3798,'Form responses 1'!$B$2:$B$2604,'Form responses 1'!$E$2:$E$2604,""))</f>
        <v/>
      </c>
      <c r="H3798" s="44" t="str">
        <f t="array" ref="H3798">IF(B3798="","",_xlfn.XLOOKUP(B3798,'Form responses 1'!$B$2:$B$2604,'Form responses 1'!$F$2:$F$2604,""))</f>
        <v/>
      </c>
      <c r="I3798" s="44" t="str">
        <f t="array" ref="I3798">IF(B3798="","",_xlfn.XLOOKUP(B3798,'Form responses 1'!$B$2:$B$2604,'Form responses 1'!$I$2:$I$2604,""))</f>
        <v/>
      </c>
      <c r="J3798" s="44" t="str">
        <f t="array" ref="J3798">IF(B3798="","",_xlfn.XLOOKUP(B3798,'Form responses 1'!$B$2:$B$2604,'Form responses 1'!$G$2:$G$2604,""))</f>
        <v/>
      </c>
      <c r="K3798" s="56"/>
      <c r="L3798" s="58" t="str">
        <f t="shared" si="7"/>
        <v/>
      </c>
      <c r="M3798" s="49"/>
      <c r="N3798" s="49"/>
      <c r="O3798" s="49"/>
      <c r="P3798" s="49"/>
      <c r="Q3798" s="49"/>
      <c r="R3798" s="49"/>
      <c r="S3798" s="49"/>
      <c r="T3798" s="49"/>
      <c r="U3798" s="49"/>
      <c r="V3798" s="49"/>
      <c r="W3798" s="56"/>
      <c r="X3798" s="51" t="str">
        <f t="shared" si="5"/>
        <v/>
      </c>
      <c r="Y3798" s="50" t="s">
        <v>482</v>
      </c>
      <c r="Z3798" s="49">
        <f t="shared" si="6"/>
        <v>0</v>
      </c>
    </row>
    <row r="3799" ht="22.5" customHeight="1">
      <c r="B3799" s="57"/>
      <c r="C3799" s="43" t="str">
        <f t="array" ref="C3799">IF(B3799="","",_xlfn.XLOOKUP(B3799,'Form responses 1'!$B$2:$B$2604,'Form responses 1'!$A$2:$A$2604,""))</f>
        <v/>
      </c>
      <c r="D3799" s="44" t="str">
        <f t="shared" si="3"/>
        <v/>
      </c>
      <c r="E3799" s="44" t="str">
        <f t="array" ref="E3799">IF(B3799="","",_xlfn.XLOOKUP(B3799,'Form responses 1'!$B$2:$B$2604,'Form responses 1'!$C$2:$C$2604,""))</f>
        <v/>
      </c>
      <c r="F3799" s="44" t="str">
        <f t="array" ref="F3799">IF(B3799="","",_xlfn.XLOOKUP(B3799,'Form responses 1'!$B$2:$B$2604,'Form responses 1'!$D$2:$D$2604,""))</f>
        <v/>
      </c>
      <c r="G3799" s="44" t="str">
        <f t="array" ref="G3799">IF(B3799="","",_xlfn.XLOOKUP(B3799,'Form responses 1'!$B$2:$B$2604,'Form responses 1'!$E$2:$E$2604,""))</f>
        <v/>
      </c>
      <c r="H3799" s="44" t="str">
        <f t="array" ref="H3799">IF(B3799="","",_xlfn.XLOOKUP(B3799,'Form responses 1'!$B$2:$B$2604,'Form responses 1'!$F$2:$F$2604,""))</f>
        <v/>
      </c>
      <c r="I3799" s="44" t="str">
        <f t="array" ref="I3799">IF(B3799="","",_xlfn.XLOOKUP(B3799,'Form responses 1'!$B$2:$B$2604,'Form responses 1'!$I$2:$I$2604,""))</f>
        <v/>
      </c>
      <c r="J3799" s="44" t="str">
        <f t="array" ref="J3799">IF(B3799="","",_xlfn.XLOOKUP(B3799,'Form responses 1'!$B$2:$B$2604,'Form responses 1'!$G$2:$G$2604,""))</f>
        <v/>
      </c>
      <c r="K3799" s="56"/>
      <c r="L3799" s="58" t="str">
        <f t="shared" si="7"/>
        <v/>
      </c>
      <c r="M3799" s="49"/>
      <c r="N3799" s="49"/>
      <c r="O3799" s="49"/>
      <c r="P3799" s="49"/>
      <c r="Q3799" s="49"/>
      <c r="R3799" s="49"/>
      <c r="S3799" s="49"/>
      <c r="T3799" s="49"/>
      <c r="U3799" s="49"/>
      <c r="V3799" s="49"/>
      <c r="W3799" s="56"/>
      <c r="X3799" s="51" t="str">
        <f t="shared" si="5"/>
        <v/>
      </c>
      <c r="Y3799" s="50" t="s">
        <v>482</v>
      </c>
      <c r="Z3799" s="49">
        <f t="shared" si="6"/>
        <v>0</v>
      </c>
    </row>
    <row r="3800" ht="22.5" customHeight="1">
      <c r="B3800" s="57"/>
      <c r="C3800" s="43" t="str">
        <f t="array" ref="C3800">IF(B3800="","",_xlfn.XLOOKUP(B3800,'Form responses 1'!$B$2:$B$2604,'Form responses 1'!$A$2:$A$2604,""))</f>
        <v/>
      </c>
      <c r="D3800" s="44" t="str">
        <f t="shared" si="3"/>
        <v/>
      </c>
      <c r="E3800" s="44" t="str">
        <f t="array" ref="E3800">IF(B3800="","",_xlfn.XLOOKUP(B3800,'Form responses 1'!$B$2:$B$2604,'Form responses 1'!$C$2:$C$2604,""))</f>
        <v/>
      </c>
      <c r="F3800" s="44" t="str">
        <f t="array" ref="F3800">IF(B3800="","",_xlfn.XLOOKUP(B3800,'Form responses 1'!$B$2:$B$2604,'Form responses 1'!$D$2:$D$2604,""))</f>
        <v/>
      </c>
      <c r="G3800" s="44" t="str">
        <f t="array" ref="G3800">IF(B3800="","",_xlfn.XLOOKUP(B3800,'Form responses 1'!$B$2:$B$2604,'Form responses 1'!$E$2:$E$2604,""))</f>
        <v/>
      </c>
      <c r="H3800" s="44" t="str">
        <f t="array" ref="H3800">IF(B3800="","",_xlfn.XLOOKUP(B3800,'Form responses 1'!$B$2:$B$2604,'Form responses 1'!$F$2:$F$2604,""))</f>
        <v/>
      </c>
      <c r="I3800" s="44" t="str">
        <f t="array" ref="I3800">IF(B3800="","",_xlfn.XLOOKUP(B3800,'Form responses 1'!$B$2:$B$2604,'Form responses 1'!$I$2:$I$2604,""))</f>
        <v/>
      </c>
      <c r="J3800" s="44" t="str">
        <f t="array" ref="J3800">IF(B3800="","",_xlfn.XLOOKUP(B3800,'Form responses 1'!$B$2:$B$2604,'Form responses 1'!$G$2:$G$2604,""))</f>
        <v/>
      </c>
      <c r="K3800" s="56"/>
      <c r="L3800" s="58" t="str">
        <f t="shared" si="7"/>
        <v/>
      </c>
      <c r="M3800" s="49"/>
      <c r="N3800" s="49"/>
      <c r="O3800" s="49"/>
      <c r="P3800" s="49"/>
      <c r="Q3800" s="49"/>
      <c r="R3800" s="49"/>
      <c r="S3800" s="49"/>
      <c r="T3800" s="49"/>
      <c r="U3800" s="49"/>
      <c r="V3800" s="49"/>
      <c r="W3800" s="56"/>
      <c r="X3800" s="51" t="str">
        <f t="shared" si="5"/>
        <v/>
      </c>
      <c r="Y3800" s="50" t="s">
        <v>482</v>
      </c>
      <c r="Z3800" s="49">
        <f t="shared" si="6"/>
        <v>0</v>
      </c>
    </row>
    <row r="3801" ht="22.5" customHeight="1">
      <c r="B3801" s="57"/>
      <c r="C3801" s="43" t="str">
        <f t="array" ref="C3801">IF(B3801="","",_xlfn.XLOOKUP(B3801,'Form responses 1'!$B$2:$B$2604,'Form responses 1'!$A$2:$A$2604,""))</f>
        <v/>
      </c>
      <c r="D3801" s="44" t="str">
        <f t="shared" si="3"/>
        <v/>
      </c>
      <c r="E3801" s="44" t="str">
        <f t="array" ref="E3801">IF(B3801="","",_xlfn.XLOOKUP(B3801,'Form responses 1'!$B$2:$B$2604,'Form responses 1'!$C$2:$C$2604,""))</f>
        <v/>
      </c>
      <c r="F3801" s="44" t="str">
        <f t="array" ref="F3801">IF(B3801="","",_xlfn.XLOOKUP(B3801,'Form responses 1'!$B$2:$B$2604,'Form responses 1'!$D$2:$D$2604,""))</f>
        <v/>
      </c>
      <c r="G3801" s="44" t="str">
        <f t="array" ref="G3801">IF(B3801="","",_xlfn.XLOOKUP(B3801,'Form responses 1'!$B$2:$B$2604,'Form responses 1'!$E$2:$E$2604,""))</f>
        <v/>
      </c>
      <c r="H3801" s="44" t="str">
        <f t="array" ref="H3801">IF(B3801="","",_xlfn.XLOOKUP(B3801,'Form responses 1'!$B$2:$B$2604,'Form responses 1'!$F$2:$F$2604,""))</f>
        <v/>
      </c>
      <c r="I3801" s="44" t="str">
        <f t="array" ref="I3801">IF(B3801="","",_xlfn.XLOOKUP(B3801,'Form responses 1'!$B$2:$B$2604,'Form responses 1'!$I$2:$I$2604,""))</f>
        <v/>
      </c>
      <c r="J3801" s="44" t="str">
        <f t="array" ref="J3801">IF(B3801="","",_xlfn.XLOOKUP(B3801,'Form responses 1'!$B$2:$B$2604,'Form responses 1'!$G$2:$G$2604,""))</f>
        <v/>
      </c>
      <c r="K3801" s="56"/>
      <c r="L3801" s="58" t="str">
        <f t="shared" si="7"/>
        <v/>
      </c>
      <c r="M3801" s="49"/>
      <c r="N3801" s="49"/>
      <c r="O3801" s="49"/>
      <c r="P3801" s="49"/>
      <c r="Q3801" s="49"/>
      <c r="R3801" s="49"/>
      <c r="S3801" s="49"/>
      <c r="T3801" s="49"/>
      <c r="U3801" s="49"/>
      <c r="V3801" s="49"/>
      <c r="W3801" s="56"/>
      <c r="X3801" s="51" t="str">
        <f t="shared" si="5"/>
        <v/>
      </c>
      <c r="Y3801" s="50" t="s">
        <v>482</v>
      </c>
      <c r="Z3801" s="49">
        <f t="shared" si="6"/>
        <v>0</v>
      </c>
    </row>
    <row r="3802" ht="22.5" customHeight="1">
      <c r="B3802" s="57"/>
      <c r="C3802" s="43" t="str">
        <f t="array" ref="C3802">IF(B3802="","",_xlfn.XLOOKUP(B3802,'Form responses 1'!$B$2:$B$2604,'Form responses 1'!$A$2:$A$2604,""))</f>
        <v/>
      </c>
      <c r="D3802" s="44" t="str">
        <f t="shared" si="3"/>
        <v/>
      </c>
      <c r="E3802" s="44" t="str">
        <f t="array" ref="E3802">IF(B3802="","",_xlfn.XLOOKUP(B3802,'Form responses 1'!$B$2:$B$2604,'Form responses 1'!$C$2:$C$2604,""))</f>
        <v/>
      </c>
      <c r="F3802" s="44" t="str">
        <f t="array" ref="F3802">IF(B3802="","",_xlfn.XLOOKUP(B3802,'Form responses 1'!$B$2:$B$2604,'Form responses 1'!$D$2:$D$2604,""))</f>
        <v/>
      </c>
      <c r="G3802" s="44" t="str">
        <f t="array" ref="G3802">IF(B3802="","",_xlfn.XLOOKUP(B3802,'Form responses 1'!$B$2:$B$2604,'Form responses 1'!$E$2:$E$2604,""))</f>
        <v/>
      </c>
      <c r="H3802" s="44" t="str">
        <f t="array" ref="H3802">IF(B3802="","",_xlfn.XLOOKUP(B3802,'Form responses 1'!$B$2:$B$2604,'Form responses 1'!$F$2:$F$2604,""))</f>
        <v/>
      </c>
      <c r="I3802" s="44" t="str">
        <f t="array" ref="I3802">IF(B3802="","",_xlfn.XLOOKUP(B3802,'Form responses 1'!$B$2:$B$2604,'Form responses 1'!$I$2:$I$2604,""))</f>
        <v/>
      </c>
      <c r="J3802" s="44" t="str">
        <f t="array" ref="J3802">IF(B3802="","",_xlfn.XLOOKUP(B3802,'Form responses 1'!$B$2:$B$2604,'Form responses 1'!$G$2:$G$2604,""))</f>
        <v/>
      </c>
      <c r="K3802" s="56"/>
      <c r="L3802" s="58" t="str">
        <f t="shared" si="7"/>
        <v/>
      </c>
      <c r="M3802" s="49"/>
      <c r="N3802" s="49"/>
      <c r="O3802" s="49"/>
      <c r="P3802" s="49"/>
      <c r="Q3802" s="49"/>
      <c r="R3802" s="49"/>
      <c r="S3802" s="49"/>
      <c r="T3802" s="49"/>
      <c r="U3802" s="49"/>
      <c r="V3802" s="49"/>
      <c r="W3802" s="56"/>
      <c r="X3802" s="51" t="str">
        <f t="shared" si="5"/>
        <v/>
      </c>
      <c r="Y3802" s="50" t="s">
        <v>482</v>
      </c>
      <c r="Z3802" s="49">
        <f t="shared" si="6"/>
        <v>0</v>
      </c>
    </row>
    <row r="3803" ht="22.5" customHeight="1">
      <c r="B3803" s="57"/>
      <c r="C3803" s="43" t="str">
        <f t="array" ref="C3803">IF(B3803="","",_xlfn.XLOOKUP(B3803,'Form responses 1'!$B$2:$B$2604,'Form responses 1'!$A$2:$A$2604,""))</f>
        <v/>
      </c>
      <c r="D3803" s="44" t="str">
        <f t="shared" si="3"/>
        <v/>
      </c>
      <c r="E3803" s="44" t="str">
        <f t="array" ref="E3803">IF(B3803="","",_xlfn.XLOOKUP(B3803,'Form responses 1'!$B$2:$B$2604,'Form responses 1'!$C$2:$C$2604,""))</f>
        <v/>
      </c>
      <c r="F3803" s="44" t="str">
        <f t="array" ref="F3803">IF(B3803="","",_xlfn.XLOOKUP(B3803,'Form responses 1'!$B$2:$B$2604,'Form responses 1'!$D$2:$D$2604,""))</f>
        <v/>
      </c>
      <c r="G3803" s="44" t="str">
        <f t="array" ref="G3803">IF(B3803="","",_xlfn.XLOOKUP(B3803,'Form responses 1'!$B$2:$B$2604,'Form responses 1'!$E$2:$E$2604,""))</f>
        <v/>
      </c>
      <c r="H3803" s="44" t="str">
        <f t="array" ref="H3803">IF(B3803="","",_xlfn.XLOOKUP(B3803,'Form responses 1'!$B$2:$B$2604,'Form responses 1'!$F$2:$F$2604,""))</f>
        <v/>
      </c>
      <c r="I3803" s="44" t="str">
        <f t="array" ref="I3803">IF(B3803="","",_xlfn.XLOOKUP(B3803,'Form responses 1'!$B$2:$B$2604,'Form responses 1'!$I$2:$I$2604,""))</f>
        <v/>
      </c>
      <c r="J3803" s="44" t="str">
        <f t="array" ref="J3803">IF(B3803="","",_xlfn.XLOOKUP(B3803,'Form responses 1'!$B$2:$B$2604,'Form responses 1'!$G$2:$G$2604,""))</f>
        <v/>
      </c>
      <c r="K3803" s="56"/>
      <c r="L3803" s="58" t="str">
        <f t="shared" si="7"/>
        <v/>
      </c>
      <c r="M3803" s="49"/>
      <c r="N3803" s="49"/>
      <c r="O3803" s="49"/>
      <c r="P3803" s="49"/>
      <c r="Q3803" s="49"/>
      <c r="R3803" s="49"/>
      <c r="S3803" s="49"/>
      <c r="T3803" s="49"/>
      <c r="U3803" s="49"/>
      <c r="V3803" s="49"/>
      <c r="W3803" s="56"/>
      <c r="X3803" s="51" t="str">
        <f t="shared" si="5"/>
        <v/>
      </c>
      <c r="Y3803" s="50" t="s">
        <v>482</v>
      </c>
      <c r="Z3803" s="49">
        <f t="shared" si="6"/>
        <v>0</v>
      </c>
    </row>
    <row r="3804" ht="22.5" customHeight="1">
      <c r="B3804" s="57"/>
      <c r="C3804" s="43" t="str">
        <f t="array" ref="C3804">IF(B3804="","",_xlfn.XLOOKUP(B3804,'Form responses 1'!$B$2:$B$2604,'Form responses 1'!$A$2:$A$2604,""))</f>
        <v/>
      </c>
      <c r="D3804" s="44" t="str">
        <f t="shared" si="3"/>
        <v/>
      </c>
      <c r="E3804" s="44" t="str">
        <f t="array" ref="E3804">IF(B3804="","",_xlfn.XLOOKUP(B3804,'Form responses 1'!$B$2:$B$2604,'Form responses 1'!$C$2:$C$2604,""))</f>
        <v/>
      </c>
      <c r="F3804" s="44" t="str">
        <f t="array" ref="F3804">IF(B3804="","",_xlfn.XLOOKUP(B3804,'Form responses 1'!$B$2:$B$2604,'Form responses 1'!$D$2:$D$2604,""))</f>
        <v/>
      </c>
      <c r="G3804" s="44" t="str">
        <f t="array" ref="G3804">IF(B3804="","",_xlfn.XLOOKUP(B3804,'Form responses 1'!$B$2:$B$2604,'Form responses 1'!$E$2:$E$2604,""))</f>
        <v/>
      </c>
      <c r="H3804" s="44" t="str">
        <f t="array" ref="H3804">IF(B3804="","",_xlfn.XLOOKUP(B3804,'Form responses 1'!$B$2:$B$2604,'Form responses 1'!$F$2:$F$2604,""))</f>
        <v/>
      </c>
      <c r="I3804" s="44" t="str">
        <f t="array" ref="I3804">IF(B3804="","",_xlfn.XLOOKUP(B3804,'Form responses 1'!$B$2:$B$2604,'Form responses 1'!$I$2:$I$2604,""))</f>
        <v/>
      </c>
      <c r="J3804" s="44" t="str">
        <f t="array" ref="J3804">IF(B3804="","",_xlfn.XLOOKUP(B3804,'Form responses 1'!$B$2:$B$2604,'Form responses 1'!$G$2:$G$2604,""))</f>
        <v/>
      </c>
      <c r="K3804" s="56"/>
      <c r="L3804" s="58" t="str">
        <f t="shared" si="7"/>
        <v/>
      </c>
      <c r="M3804" s="49"/>
      <c r="N3804" s="49"/>
      <c r="O3804" s="49"/>
      <c r="P3804" s="49"/>
      <c r="Q3804" s="49"/>
      <c r="R3804" s="49"/>
      <c r="S3804" s="49"/>
      <c r="T3804" s="49"/>
      <c r="U3804" s="49"/>
      <c r="V3804" s="49"/>
      <c r="W3804" s="56"/>
      <c r="X3804" s="51" t="str">
        <f t="shared" si="5"/>
        <v/>
      </c>
      <c r="Y3804" s="50" t="s">
        <v>482</v>
      </c>
      <c r="Z3804" s="49">
        <f t="shared" si="6"/>
        <v>0</v>
      </c>
    </row>
    <row r="3805" ht="22.5" customHeight="1">
      <c r="B3805" s="57"/>
      <c r="C3805" s="43" t="str">
        <f t="array" ref="C3805">IF(B3805="","",_xlfn.XLOOKUP(B3805,'Form responses 1'!$B$2:$B$2604,'Form responses 1'!$A$2:$A$2604,""))</f>
        <v/>
      </c>
      <c r="D3805" s="44" t="str">
        <f t="shared" si="3"/>
        <v/>
      </c>
      <c r="E3805" s="44" t="str">
        <f t="array" ref="E3805">IF(B3805="","",_xlfn.XLOOKUP(B3805,'Form responses 1'!$B$2:$B$2604,'Form responses 1'!$C$2:$C$2604,""))</f>
        <v/>
      </c>
      <c r="F3805" s="44" t="str">
        <f t="array" ref="F3805">IF(B3805="","",_xlfn.XLOOKUP(B3805,'Form responses 1'!$B$2:$B$2604,'Form responses 1'!$D$2:$D$2604,""))</f>
        <v/>
      </c>
      <c r="G3805" s="44" t="str">
        <f t="array" ref="G3805">IF(B3805="","",_xlfn.XLOOKUP(B3805,'Form responses 1'!$B$2:$B$2604,'Form responses 1'!$E$2:$E$2604,""))</f>
        <v/>
      </c>
      <c r="H3805" s="44" t="str">
        <f t="array" ref="H3805">IF(B3805="","",_xlfn.XLOOKUP(B3805,'Form responses 1'!$B$2:$B$2604,'Form responses 1'!$F$2:$F$2604,""))</f>
        <v/>
      </c>
      <c r="I3805" s="44" t="str">
        <f t="array" ref="I3805">IF(B3805="","",_xlfn.XLOOKUP(B3805,'Form responses 1'!$B$2:$B$2604,'Form responses 1'!$I$2:$I$2604,""))</f>
        <v/>
      </c>
      <c r="J3805" s="44" t="str">
        <f t="array" ref="J3805">IF(B3805="","",_xlfn.XLOOKUP(B3805,'Form responses 1'!$B$2:$B$2604,'Form responses 1'!$G$2:$G$2604,""))</f>
        <v/>
      </c>
      <c r="K3805" s="56"/>
      <c r="L3805" s="58" t="str">
        <f t="shared" si="7"/>
        <v/>
      </c>
      <c r="M3805" s="49"/>
      <c r="N3805" s="49"/>
      <c r="O3805" s="49"/>
      <c r="P3805" s="49"/>
      <c r="Q3805" s="49"/>
      <c r="R3805" s="49"/>
      <c r="S3805" s="49"/>
      <c r="T3805" s="49"/>
      <c r="U3805" s="49"/>
      <c r="V3805" s="49"/>
      <c r="W3805" s="56"/>
      <c r="X3805" s="51" t="str">
        <f t="shared" si="5"/>
        <v/>
      </c>
      <c r="Y3805" s="50" t="s">
        <v>482</v>
      </c>
      <c r="Z3805" s="49">
        <f t="shared" si="6"/>
        <v>0</v>
      </c>
    </row>
    <row r="3806" ht="22.5" customHeight="1">
      <c r="B3806" s="57"/>
      <c r="C3806" s="43" t="str">
        <f t="array" ref="C3806">IF(B3806="","",_xlfn.XLOOKUP(B3806,'Form responses 1'!$B$2:$B$2604,'Form responses 1'!$A$2:$A$2604,""))</f>
        <v/>
      </c>
      <c r="D3806" s="44" t="str">
        <f t="shared" si="3"/>
        <v/>
      </c>
      <c r="E3806" s="44" t="str">
        <f t="array" ref="E3806">IF(B3806="","",_xlfn.XLOOKUP(B3806,'Form responses 1'!$B$2:$B$2604,'Form responses 1'!$C$2:$C$2604,""))</f>
        <v/>
      </c>
      <c r="F3806" s="44" t="str">
        <f t="array" ref="F3806">IF(B3806="","",_xlfn.XLOOKUP(B3806,'Form responses 1'!$B$2:$B$2604,'Form responses 1'!$D$2:$D$2604,""))</f>
        <v/>
      </c>
      <c r="G3806" s="44" t="str">
        <f t="array" ref="G3806">IF(B3806="","",_xlfn.XLOOKUP(B3806,'Form responses 1'!$B$2:$B$2604,'Form responses 1'!$E$2:$E$2604,""))</f>
        <v/>
      </c>
      <c r="H3806" s="44" t="str">
        <f t="array" ref="H3806">IF(B3806="","",_xlfn.XLOOKUP(B3806,'Form responses 1'!$B$2:$B$2604,'Form responses 1'!$F$2:$F$2604,""))</f>
        <v/>
      </c>
      <c r="I3806" s="44" t="str">
        <f t="array" ref="I3806">IF(B3806="","",_xlfn.XLOOKUP(B3806,'Form responses 1'!$B$2:$B$2604,'Form responses 1'!$I$2:$I$2604,""))</f>
        <v/>
      </c>
      <c r="J3806" s="44" t="str">
        <f t="array" ref="J3806">IF(B3806="","",_xlfn.XLOOKUP(B3806,'Form responses 1'!$B$2:$B$2604,'Form responses 1'!$G$2:$G$2604,""))</f>
        <v/>
      </c>
      <c r="K3806" s="56"/>
      <c r="L3806" s="58" t="str">
        <f t="shared" si="7"/>
        <v/>
      </c>
      <c r="M3806" s="49"/>
      <c r="N3806" s="49"/>
      <c r="O3806" s="49"/>
      <c r="P3806" s="49"/>
      <c r="Q3806" s="49"/>
      <c r="R3806" s="49"/>
      <c r="S3806" s="49"/>
      <c r="T3806" s="49"/>
      <c r="U3806" s="49"/>
      <c r="V3806" s="49"/>
      <c r="W3806" s="56"/>
      <c r="X3806" s="51" t="str">
        <f t="shared" si="5"/>
        <v/>
      </c>
      <c r="Y3806" s="50" t="s">
        <v>482</v>
      </c>
      <c r="Z3806" s="49">
        <f t="shared" si="6"/>
        <v>0</v>
      </c>
    </row>
    <row r="3807" ht="22.5" customHeight="1">
      <c r="B3807" s="57"/>
      <c r="C3807" s="43" t="str">
        <f t="array" ref="C3807">IF(B3807="","",_xlfn.XLOOKUP(B3807,'Form responses 1'!$B$2:$B$2604,'Form responses 1'!$A$2:$A$2604,""))</f>
        <v/>
      </c>
      <c r="D3807" s="44" t="str">
        <f t="shared" si="3"/>
        <v/>
      </c>
      <c r="E3807" s="44" t="str">
        <f t="array" ref="E3807">IF(B3807="","",_xlfn.XLOOKUP(B3807,'Form responses 1'!$B$2:$B$2604,'Form responses 1'!$C$2:$C$2604,""))</f>
        <v/>
      </c>
      <c r="F3807" s="44" t="str">
        <f t="array" ref="F3807">IF(B3807="","",_xlfn.XLOOKUP(B3807,'Form responses 1'!$B$2:$B$2604,'Form responses 1'!$D$2:$D$2604,""))</f>
        <v/>
      </c>
      <c r="G3807" s="44" t="str">
        <f t="array" ref="G3807">IF(B3807="","",_xlfn.XLOOKUP(B3807,'Form responses 1'!$B$2:$B$2604,'Form responses 1'!$E$2:$E$2604,""))</f>
        <v/>
      </c>
      <c r="H3807" s="44" t="str">
        <f t="array" ref="H3807">IF(B3807="","",_xlfn.XLOOKUP(B3807,'Form responses 1'!$B$2:$B$2604,'Form responses 1'!$F$2:$F$2604,""))</f>
        <v/>
      </c>
      <c r="I3807" s="44" t="str">
        <f t="array" ref="I3807">IF(B3807="","",_xlfn.XLOOKUP(B3807,'Form responses 1'!$B$2:$B$2604,'Form responses 1'!$I$2:$I$2604,""))</f>
        <v/>
      </c>
      <c r="J3807" s="44" t="str">
        <f t="array" ref="J3807">IF(B3807="","",_xlfn.XLOOKUP(B3807,'Form responses 1'!$B$2:$B$2604,'Form responses 1'!$G$2:$G$2604,""))</f>
        <v/>
      </c>
      <c r="K3807" s="56"/>
      <c r="L3807" s="58" t="str">
        <f t="shared" si="7"/>
        <v/>
      </c>
      <c r="M3807" s="49"/>
      <c r="N3807" s="49"/>
      <c r="O3807" s="49"/>
      <c r="P3807" s="49"/>
      <c r="Q3807" s="49"/>
      <c r="R3807" s="49"/>
      <c r="S3807" s="49"/>
      <c r="T3807" s="49"/>
      <c r="U3807" s="49"/>
      <c r="V3807" s="49"/>
      <c r="W3807" s="56"/>
      <c r="X3807" s="51" t="str">
        <f t="shared" si="5"/>
        <v/>
      </c>
      <c r="Y3807" s="50" t="s">
        <v>482</v>
      </c>
      <c r="Z3807" s="49">
        <f t="shared" si="6"/>
        <v>0</v>
      </c>
    </row>
    <row r="3808" ht="22.5" customHeight="1">
      <c r="B3808" s="57"/>
      <c r="C3808" s="43" t="str">
        <f t="array" ref="C3808">IF(B3808="","",_xlfn.XLOOKUP(B3808,'Form responses 1'!$B$2:$B$2604,'Form responses 1'!$A$2:$A$2604,""))</f>
        <v/>
      </c>
      <c r="D3808" s="44" t="str">
        <f t="shared" si="3"/>
        <v/>
      </c>
      <c r="E3808" s="44" t="str">
        <f t="array" ref="E3808">IF(B3808="","",_xlfn.XLOOKUP(B3808,'Form responses 1'!$B$2:$B$2604,'Form responses 1'!$C$2:$C$2604,""))</f>
        <v/>
      </c>
      <c r="F3808" s="44" t="str">
        <f t="array" ref="F3808">IF(B3808="","",_xlfn.XLOOKUP(B3808,'Form responses 1'!$B$2:$B$2604,'Form responses 1'!$D$2:$D$2604,""))</f>
        <v/>
      </c>
      <c r="G3808" s="44" t="str">
        <f t="array" ref="G3808">IF(B3808="","",_xlfn.XLOOKUP(B3808,'Form responses 1'!$B$2:$B$2604,'Form responses 1'!$E$2:$E$2604,""))</f>
        <v/>
      </c>
      <c r="H3808" s="44" t="str">
        <f t="array" ref="H3808">IF(B3808="","",_xlfn.XLOOKUP(B3808,'Form responses 1'!$B$2:$B$2604,'Form responses 1'!$F$2:$F$2604,""))</f>
        <v/>
      </c>
      <c r="I3808" s="44" t="str">
        <f t="array" ref="I3808">IF(B3808="","",_xlfn.XLOOKUP(B3808,'Form responses 1'!$B$2:$B$2604,'Form responses 1'!$I$2:$I$2604,""))</f>
        <v/>
      </c>
      <c r="J3808" s="44" t="str">
        <f t="array" ref="J3808">IF(B3808="","",_xlfn.XLOOKUP(B3808,'Form responses 1'!$B$2:$B$2604,'Form responses 1'!$G$2:$G$2604,""))</f>
        <v/>
      </c>
      <c r="K3808" s="56"/>
      <c r="L3808" s="58" t="str">
        <f t="shared" si="7"/>
        <v/>
      </c>
      <c r="M3808" s="49"/>
      <c r="N3808" s="49"/>
      <c r="O3808" s="49"/>
      <c r="P3808" s="49"/>
      <c r="Q3808" s="49"/>
      <c r="R3808" s="49"/>
      <c r="S3808" s="49"/>
      <c r="T3808" s="49"/>
      <c r="U3808" s="49"/>
      <c r="V3808" s="49"/>
      <c r="W3808" s="56"/>
      <c r="X3808" s="51" t="str">
        <f t="shared" si="5"/>
        <v/>
      </c>
      <c r="Y3808" s="50" t="s">
        <v>482</v>
      </c>
      <c r="Z3808" s="49">
        <f t="shared" si="6"/>
        <v>0</v>
      </c>
    </row>
    <row r="3809" ht="22.5" customHeight="1">
      <c r="B3809" s="57"/>
      <c r="C3809" s="43" t="str">
        <f t="array" ref="C3809">IF(B3809="","",_xlfn.XLOOKUP(B3809,'Form responses 1'!$B$2:$B$2604,'Form responses 1'!$A$2:$A$2604,""))</f>
        <v/>
      </c>
      <c r="D3809" s="44" t="str">
        <f t="shared" si="3"/>
        <v/>
      </c>
      <c r="E3809" s="44" t="str">
        <f t="array" ref="E3809">IF(B3809="","",_xlfn.XLOOKUP(B3809,'Form responses 1'!$B$2:$B$2604,'Form responses 1'!$C$2:$C$2604,""))</f>
        <v/>
      </c>
      <c r="F3809" s="44" t="str">
        <f t="array" ref="F3809">IF(B3809="","",_xlfn.XLOOKUP(B3809,'Form responses 1'!$B$2:$B$2604,'Form responses 1'!$D$2:$D$2604,""))</f>
        <v/>
      </c>
      <c r="G3809" s="44" t="str">
        <f t="array" ref="G3809">IF(B3809="","",_xlfn.XLOOKUP(B3809,'Form responses 1'!$B$2:$B$2604,'Form responses 1'!$E$2:$E$2604,""))</f>
        <v/>
      </c>
      <c r="H3809" s="44" t="str">
        <f t="array" ref="H3809">IF(B3809="","",_xlfn.XLOOKUP(B3809,'Form responses 1'!$B$2:$B$2604,'Form responses 1'!$F$2:$F$2604,""))</f>
        <v/>
      </c>
      <c r="I3809" s="44" t="str">
        <f t="array" ref="I3809">IF(B3809="","",_xlfn.XLOOKUP(B3809,'Form responses 1'!$B$2:$B$2604,'Form responses 1'!$I$2:$I$2604,""))</f>
        <v/>
      </c>
      <c r="J3809" s="44" t="str">
        <f t="array" ref="J3809">IF(B3809="","",_xlfn.XLOOKUP(B3809,'Form responses 1'!$B$2:$B$2604,'Form responses 1'!$G$2:$G$2604,""))</f>
        <v/>
      </c>
      <c r="K3809" s="56"/>
      <c r="L3809" s="58" t="str">
        <f t="shared" si="7"/>
        <v/>
      </c>
      <c r="M3809" s="49"/>
      <c r="N3809" s="49"/>
      <c r="O3809" s="49"/>
      <c r="P3809" s="49"/>
      <c r="Q3809" s="49"/>
      <c r="R3809" s="49"/>
      <c r="S3809" s="49"/>
      <c r="T3809" s="49"/>
      <c r="U3809" s="49"/>
      <c r="V3809" s="49"/>
      <c r="W3809" s="56"/>
      <c r="X3809" s="51" t="str">
        <f t="shared" si="5"/>
        <v/>
      </c>
      <c r="Y3809" s="50" t="s">
        <v>482</v>
      </c>
      <c r="Z3809" s="49">
        <f t="shared" si="6"/>
        <v>0</v>
      </c>
    </row>
    <row r="3810" ht="22.5" customHeight="1">
      <c r="B3810" s="57"/>
      <c r="C3810" s="43" t="str">
        <f t="array" ref="C3810">IF(B3810="","",_xlfn.XLOOKUP(B3810,'Form responses 1'!$B$2:$B$2604,'Form responses 1'!$A$2:$A$2604,""))</f>
        <v/>
      </c>
      <c r="D3810" s="44" t="str">
        <f t="shared" si="3"/>
        <v/>
      </c>
      <c r="E3810" s="44" t="str">
        <f t="array" ref="E3810">IF(B3810="","",_xlfn.XLOOKUP(B3810,'Form responses 1'!$B$2:$B$2604,'Form responses 1'!$C$2:$C$2604,""))</f>
        <v/>
      </c>
      <c r="F3810" s="44" t="str">
        <f t="array" ref="F3810">IF(B3810="","",_xlfn.XLOOKUP(B3810,'Form responses 1'!$B$2:$B$2604,'Form responses 1'!$D$2:$D$2604,""))</f>
        <v/>
      </c>
      <c r="G3810" s="44" t="str">
        <f t="array" ref="G3810">IF(B3810="","",_xlfn.XLOOKUP(B3810,'Form responses 1'!$B$2:$B$2604,'Form responses 1'!$E$2:$E$2604,""))</f>
        <v/>
      </c>
      <c r="H3810" s="44" t="str">
        <f t="array" ref="H3810">IF(B3810="","",_xlfn.XLOOKUP(B3810,'Form responses 1'!$B$2:$B$2604,'Form responses 1'!$F$2:$F$2604,""))</f>
        <v/>
      </c>
      <c r="I3810" s="44" t="str">
        <f t="array" ref="I3810">IF(B3810="","",_xlfn.XLOOKUP(B3810,'Form responses 1'!$B$2:$B$2604,'Form responses 1'!$I$2:$I$2604,""))</f>
        <v/>
      </c>
      <c r="J3810" s="44" t="str">
        <f t="array" ref="J3810">IF(B3810="","",_xlfn.XLOOKUP(B3810,'Form responses 1'!$B$2:$B$2604,'Form responses 1'!$G$2:$G$2604,""))</f>
        <v/>
      </c>
      <c r="K3810" s="56"/>
      <c r="L3810" s="58" t="str">
        <f t="shared" si="7"/>
        <v/>
      </c>
      <c r="M3810" s="49"/>
      <c r="N3810" s="49"/>
      <c r="O3810" s="49"/>
      <c r="P3810" s="49"/>
      <c r="Q3810" s="49"/>
      <c r="R3810" s="49"/>
      <c r="S3810" s="49"/>
      <c r="T3810" s="49"/>
      <c r="U3810" s="49"/>
      <c r="V3810" s="49"/>
      <c r="W3810" s="56"/>
      <c r="X3810" s="51" t="str">
        <f t="shared" si="5"/>
        <v/>
      </c>
      <c r="Y3810" s="50" t="s">
        <v>482</v>
      </c>
      <c r="Z3810" s="49">
        <f t="shared" si="6"/>
        <v>0</v>
      </c>
    </row>
    <row r="3811" ht="22.5" customHeight="1">
      <c r="B3811" s="57"/>
      <c r="C3811" s="43" t="str">
        <f t="array" ref="C3811">IF(B3811="","",_xlfn.XLOOKUP(B3811,'Form responses 1'!$B$2:$B$2604,'Form responses 1'!$A$2:$A$2604,""))</f>
        <v/>
      </c>
      <c r="D3811" s="44" t="str">
        <f t="shared" si="3"/>
        <v/>
      </c>
      <c r="E3811" s="44" t="str">
        <f t="array" ref="E3811">IF(B3811="","",_xlfn.XLOOKUP(B3811,'Form responses 1'!$B$2:$B$2604,'Form responses 1'!$C$2:$C$2604,""))</f>
        <v/>
      </c>
      <c r="F3811" s="44" t="str">
        <f t="array" ref="F3811">IF(B3811="","",_xlfn.XLOOKUP(B3811,'Form responses 1'!$B$2:$B$2604,'Form responses 1'!$D$2:$D$2604,""))</f>
        <v/>
      </c>
      <c r="G3811" s="44" t="str">
        <f t="array" ref="G3811">IF(B3811="","",_xlfn.XLOOKUP(B3811,'Form responses 1'!$B$2:$B$2604,'Form responses 1'!$E$2:$E$2604,""))</f>
        <v/>
      </c>
      <c r="H3811" s="44" t="str">
        <f t="array" ref="H3811">IF(B3811="","",_xlfn.XLOOKUP(B3811,'Form responses 1'!$B$2:$B$2604,'Form responses 1'!$F$2:$F$2604,""))</f>
        <v/>
      </c>
      <c r="I3811" s="44" t="str">
        <f t="array" ref="I3811">IF(B3811="","",_xlfn.XLOOKUP(B3811,'Form responses 1'!$B$2:$B$2604,'Form responses 1'!$I$2:$I$2604,""))</f>
        <v/>
      </c>
      <c r="J3811" s="44" t="str">
        <f t="array" ref="J3811">IF(B3811="","",_xlfn.XLOOKUP(B3811,'Form responses 1'!$B$2:$B$2604,'Form responses 1'!$G$2:$G$2604,""))</f>
        <v/>
      </c>
      <c r="K3811" s="56"/>
      <c r="L3811" s="58" t="str">
        <f t="shared" si="7"/>
        <v/>
      </c>
      <c r="M3811" s="49"/>
      <c r="N3811" s="49"/>
      <c r="O3811" s="49"/>
      <c r="P3811" s="49"/>
      <c r="Q3811" s="49"/>
      <c r="R3811" s="49"/>
      <c r="S3811" s="49"/>
      <c r="T3811" s="49"/>
      <c r="U3811" s="49"/>
      <c r="V3811" s="49"/>
      <c r="W3811" s="56"/>
      <c r="X3811" s="51" t="str">
        <f t="shared" si="5"/>
        <v/>
      </c>
      <c r="Y3811" s="50" t="s">
        <v>482</v>
      </c>
      <c r="Z3811" s="49">
        <f t="shared" si="6"/>
        <v>0</v>
      </c>
    </row>
    <row r="3812" ht="22.5" customHeight="1">
      <c r="B3812" s="57"/>
      <c r="C3812" s="43" t="str">
        <f t="array" ref="C3812">IF(B3812="","",_xlfn.XLOOKUP(B3812,'Form responses 1'!$B$2:$B$2604,'Form responses 1'!$A$2:$A$2604,""))</f>
        <v/>
      </c>
      <c r="D3812" s="44" t="str">
        <f t="shared" si="3"/>
        <v/>
      </c>
      <c r="E3812" s="44" t="str">
        <f t="array" ref="E3812">IF(B3812="","",_xlfn.XLOOKUP(B3812,'Form responses 1'!$B$2:$B$2604,'Form responses 1'!$C$2:$C$2604,""))</f>
        <v/>
      </c>
      <c r="F3812" s="44" t="str">
        <f t="array" ref="F3812">IF(B3812="","",_xlfn.XLOOKUP(B3812,'Form responses 1'!$B$2:$B$2604,'Form responses 1'!$D$2:$D$2604,""))</f>
        <v/>
      </c>
      <c r="G3812" s="44" t="str">
        <f t="array" ref="G3812">IF(B3812="","",_xlfn.XLOOKUP(B3812,'Form responses 1'!$B$2:$B$2604,'Form responses 1'!$E$2:$E$2604,""))</f>
        <v/>
      </c>
      <c r="H3812" s="44" t="str">
        <f t="array" ref="H3812">IF(B3812="","",_xlfn.XLOOKUP(B3812,'Form responses 1'!$B$2:$B$2604,'Form responses 1'!$F$2:$F$2604,""))</f>
        <v/>
      </c>
      <c r="I3812" s="44" t="str">
        <f t="array" ref="I3812">IF(B3812="","",_xlfn.XLOOKUP(B3812,'Form responses 1'!$B$2:$B$2604,'Form responses 1'!$I$2:$I$2604,""))</f>
        <v/>
      </c>
      <c r="J3812" s="44" t="str">
        <f t="array" ref="J3812">IF(B3812="","",_xlfn.XLOOKUP(B3812,'Form responses 1'!$B$2:$B$2604,'Form responses 1'!$G$2:$G$2604,""))</f>
        <v/>
      </c>
      <c r="K3812" s="56"/>
      <c r="L3812" s="58" t="str">
        <f t="shared" si="7"/>
        <v/>
      </c>
      <c r="M3812" s="49"/>
      <c r="N3812" s="49"/>
      <c r="O3812" s="49"/>
      <c r="P3812" s="49"/>
      <c r="Q3812" s="49"/>
      <c r="R3812" s="49"/>
      <c r="S3812" s="49"/>
      <c r="T3812" s="49"/>
      <c r="U3812" s="49"/>
      <c r="V3812" s="49"/>
      <c r="W3812" s="56"/>
      <c r="X3812" s="51" t="str">
        <f t="shared" si="5"/>
        <v/>
      </c>
      <c r="Y3812" s="50" t="s">
        <v>482</v>
      </c>
      <c r="Z3812" s="49">
        <f t="shared" si="6"/>
        <v>0</v>
      </c>
    </row>
    <row r="3813" ht="22.5" customHeight="1">
      <c r="B3813" s="57"/>
      <c r="C3813" s="43" t="str">
        <f t="array" ref="C3813">IF(B3813="","",_xlfn.XLOOKUP(B3813,'Form responses 1'!$B$2:$B$2604,'Form responses 1'!$A$2:$A$2604,""))</f>
        <v/>
      </c>
      <c r="D3813" s="44" t="str">
        <f t="shared" si="3"/>
        <v/>
      </c>
      <c r="E3813" s="44" t="str">
        <f t="array" ref="E3813">IF(B3813="","",_xlfn.XLOOKUP(B3813,'Form responses 1'!$B$2:$B$2604,'Form responses 1'!$C$2:$C$2604,""))</f>
        <v/>
      </c>
      <c r="F3813" s="44" t="str">
        <f t="array" ref="F3813">IF(B3813="","",_xlfn.XLOOKUP(B3813,'Form responses 1'!$B$2:$B$2604,'Form responses 1'!$D$2:$D$2604,""))</f>
        <v/>
      </c>
      <c r="G3813" s="44" t="str">
        <f t="array" ref="G3813">IF(B3813="","",_xlfn.XLOOKUP(B3813,'Form responses 1'!$B$2:$B$2604,'Form responses 1'!$E$2:$E$2604,""))</f>
        <v/>
      </c>
      <c r="H3813" s="44" t="str">
        <f t="array" ref="H3813">IF(B3813="","",_xlfn.XLOOKUP(B3813,'Form responses 1'!$B$2:$B$2604,'Form responses 1'!$F$2:$F$2604,""))</f>
        <v/>
      </c>
      <c r="I3813" s="44" t="str">
        <f t="array" ref="I3813">IF(B3813="","",_xlfn.XLOOKUP(B3813,'Form responses 1'!$B$2:$B$2604,'Form responses 1'!$I$2:$I$2604,""))</f>
        <v/>
      </c>
      <c r="J3813" s="44" t="str">
        <f t="array" ref="J3813">IF(B3813="","",_xlfn.XLOOKUP(B3813,'Form responses 1'!$B$2:$B$2604,'Form responses 1'!$G$2:$G$2604,""))</f>
        <v/>
      </c>
      <c r="K3813" s="56"/>
      <c r="L3813" s="58" t="str">
        <f t="shared" si="7"/>
        <v/>
      </c>
      <c r="M3813" s="49"/>
      <c r="N3813" s="49"/>
      <c r="O3813" s="49"/>
      <c r="P3813" s="49"/>
      <c r="Q3813" s="49"/>
      <c r="R3813" s="49"/>
      <c r="S3813" s="49"/>
      <c r="T3813" s="49"/>
      <c r="U3813" s="49"/>
      <c r="V3813" s="49"/>
      <c r="W3813" s="56"/>
      <c r="X3813" s="51" t="str">
        <f t="shared" si="5"/>
        <v/>
      </c>
      <c r="Y3813" s="50" t="s">
        <v>482</v>
      </c>
      <c r="Z3813" s="49">
        <f t="shared" si="6"/>
        <v>0</v>
      </c>
    </row>
    <row r="3814" ht="22.5" customHeight="1">
      <c r="B3814" s="57"/>
      <c r="C3814" s="43" t="str">
        <f t="array" ref="C3814">IF(B3814="","",_xlfn.XLOOKUP(B3814,'Form responses 1'!$B$2:$B$2604,'Form responses 1'!$A$2:$A$2604,""))</f>
        <v/>
      </c>
      <c r="D3814" s="44" t="str">
        <f t="shared" si="3"/>
        <v/>
      </c>
      <c r="E3814" s="44" t="str">
        <f t="array" ref="E3814">IF(B3814="","",_xlfn.XLOOKUP(B3814,'Form responses 1'!$B$2:$B$2604,'Form responses 1'!$C$2:$C$2604,""))</f>
        <v/>
      </c>
      <c r="F3814" s="44" t="str">
        <f t="array" ref="F3814">IF(B3814="","",_xlfn.XLOOKUP(B3814,'Form responses 1'!$B$2:$B$2604,'Form responses 1'!$D$2:$D$2604,""))</f>
        <v/>
      </c>
      <c r="G3814" s="44" t="str">
        <f t="array" ref="G3814">IF(B3814="","",_xlfn.XLOOKUP(B3814,'Form responses 1'!$B$2:$B$2604,'Form responses 1'!$E$2:$E$2604,""))</f>
        <v/>
      </c>
      <c r="H3814" s="44" t="str">
        <f t="array" ref="H3814">IF(B3814="","",_xlfn.XLOOKUP(B3814,'Form responses 1'!$B$2:$B$2604,'Form responses 1'!$F$2:$F$2604,""))</f>
        <v/>
      </c>
      <c r="I3814" s="44" t="str">
        <f t="array" ref="I3814">IF(B3814="","",_xlfn.XLOOKUP(B3814,'Form responses 1'!$B$2:$B$2604,'Form responses 1'!$I$2:$I$2604,""))</f>
        <v/>
      </c>
      <c r="J3814" s="44" t="str">
        <f t="array" ref="J3814">IF(B3814="","",_xlfn.XLOOKUP(B3814,'Form responses 1'!$B$2:$B$2604,'Form responses 1'!$G$2:$G$2604,""))</f>
        <v/>
      </c>
      <c r="K3814" s="56"/>
      <c r="L3814" s="58" t="str">
        <f t="shared" si="7"/>
        <v/>
      </c>
      <c r="M3814" s="49"/>
      <c r="N3814" s="49"/>
      <c r="O3814" s="49"/>
      <c r="P3814" s="49"/>
      <c r="Q3814" s="49"/>
      <c r="R3814" s="49"/>
      <c r="S3814" s="49"/>
      <c r="T3814" s="49"/>
      <c r="U3814" s="49"/>
      <c r="V3814" s="49"/>
      <c r="W3814" s="56"/>
      <c r="X3814" s="51" t="str">
        <f t="shared" si="5"/>
        <v/>
      </c>
      <c r="Y3814" s="50" t="s">
        <v>482</v>
      </c>
      <c r="Z3814" s="49">
        <f t="shared" si="6"/>
        <v>0</v>
      </c>
    </row>
    <row r="3815" ht="22.5" customHeight="1">
      <c r="B3815" s="57"/>
      <c r="C3815" s="43" t="str">
        <f t="array" ref="C3815">IF(B3815="","",_xlfn.XLOOKUP(B3815,'Form responses 1'!$B$2:$B$2604,'Form responses 1'!$A$2:$A$2604,""))</f>
        <v/>
      </c>
      <c r="D3815" s="44" t="str">
        <f t="shared" si="3"/>
        <v/>
      </c>
      <c r="E3815" s="44" t="str">
        <f t="array" ref="E3815">IF(B3815="","",_xlfn.XLOOKUP(B3815,'Form responses 1'!$B$2:$B$2604,'Form responses 1'!$C$2:$C$2604,""))</f>
        <v/>
      </c>
      <c r="F3815" s="44" t="str">
        <f t="array" ref="F3815">IF(B3815="","",_xlfn.XLOOKUP(B3815,'Form responses 1'!$B$2:$B$2604,'Form responses 1'!$D$2:$D$2604,""))</f>
        <v/>
      </c>
      <c r="G3815" s="44" t="str">
        <f t="array" ref="G3815">IF(B3815="","",_xlfn.XLOOKUP(B3815,'Form responses 1'!$B$2:$B$2604,'Form responses 1'!$E$2:$E$2604,""))</f>
        <v/>
      </c>
      <c r="H3815" s="44" t="str">
        <f t="array" ref="H3815">IF(B3815="","",_xlfn.XLOOKUP(B3815,'Form responses 1'!$B$2:$B$2604,'Form responses 1'!$F$2:$F$2604,""))</f>
        <v/>
      </c>
      <c r="I3815" s="44" t="str">
        <f t="array" ref="I3815">IF(B3815="","",_xlfn.XLOOKUP(B3815,'Form responses 1'!$B$2:$B$2604,'Form responses 1'!$I$2:$I$2604,""))</f>
        <v/>
      </c>
      <c r="J3815" s="44" t="str">
        <f t="array" ref="J3815">IF(B3815="","",_xlfn.XLOOKUP(B3815,'Form responses 1'!$B$2:$B$2604,'Form responses 1'!$G$2:$G$2604,""))</f>
        <v/>
      </c>
      <c r="K3815" s="56"/>
      <c r="L3815" s="58" t="str">
        <f t="shared" si="7"/>
        <v/>
      </c>
      <c r="M3815" s="49"/>
      <c r="N3815" s="49"/>
      <c r="O3815" s="49"/>
      <c r="P3815" s="49"/>
      <c r="Q3815" s="49"/>
      <c r="R3815" s="49"/>
      <c r="S3815" s="49"/>
      <c r="T3815" s="49"/>
      <c r="U3815" s="49"/>
      <c r="V3815" s="49"/>
      <c r="W3815" s="56"/>
      <c r="X3815" s="51" t="str">
        <f t="shared" si="5"/>
        <v/>
      </c>
      <c r="Y3815" s="50" t="s">
        <v>482</v>
      </c>
      <c r="Z3815" s="49">
        <f t="shared" si="6"/>
        <v>0</v>
      </c>
    </row>
    <row r="3816" ht="22.5" customHeight="1">
      <c r="B3816" s="57"/>
      <c r="C3816" s="43" t="str">
        <f t="array" ref="C3816">IF(B3816="","",_xlfn.XLOOKUP(B3816,'Form responses 1'!$B$2:$B$2604,'Form responses 1'!$A$2:$A$2604,""))</f>
        <v/>
      </c>
      <c r="D3816" s="44" t="str">
        <f t="shared" si="3"/>
        <v/>
      </c>
      <c r="E3816" s="44" t="str">
        <f t="array" ref="E3816">IF(B3816="","",_xlfn.XLOOKUP(B3816,'Form responses 1'!$B$2:$B$2604,'Form responses 1'!$C$2:$C$2604,""))</f>
        <v/>
      </c>
      <c r="F3816" s="44" t="str">
        <f t="array" ref="F3816">IF(B3816="","",_xlfn.XLOOKUP(B3816,'Form responses 1'!$B$2:$B$2604,'Form responses 1'!$D$2:$D$2604,""))</f>
        <v/>
      </c>
      <c r="G3816" s="44" t="str">
        <f t="array" ref="G3816">IF(B3816="","",_xlfn.XLOOKUP(B3816,'Form responses 1'!$B$2:$B$2604,'Form responses 1'!$E$2:$E$2604,""))</f>
        <v/>
      </c>
      <c r="H3816" s="44" t="str">
        <f t="array" ref="H3816">IF(B3816="","",_xlfn.XLOOKUP(B3816,'Form responses 1'!$B$2:$B$2604,'Form responses 1'!$F$2:$F$2604,""))</f>
        <v/>
      </c>
      <c r="I3816" s="44" t="str">
        <f t="array" ref="I3816">IF(B3816="","",_xlfn.XLOOKUP(B3816,'Form responses 1'!$B$2:$B$2604,'Form responses 1'!$I$2:$I$2604,""))</f>
        <v/>
      </c>
      <c r="J3816" s="44" t="str">
        <f t="array" ref="J3816">IF(B3816="","",_xlfn.XLOOKUP(B3816,'Form responses 1'!$B$2:$B$2604,'Form responses 1'!$G$2:$G$2604,""))</f>
        <v/>
      </c>
      <c r="K3816" s="56"/>
      <c r="L3816" s="58" t="str">
        <f t="shared" si="7"/>
        <v/>
      </c>
      <c r="M3816" s="49"/>
      <c r="N3816" s="49"/>
      <c r="O3816" s="49"/>
      <c r="P3816" s="49"/>
      <c r="Q3816" s="49"/>
      <c r="R3816" s="49"/>
      <c r="S3816" s="49"/>
      <c r="T3816" s="49"/>
      <c r="U3816" s="49"/>
      <c r="V3816" s="49"/>
      <c r="W3816" s="56"/>
      <c r="X3816" s="51" t="str">
        <f t="shared" si="5"/>
        <v/>
      </c>
      <c r="Y3816" s="50" t="s">
        <v>482</v>
      </c>
      <c r="Z3816" s="49">
        <f t="shared" si="6"/>
        <v>0</v>
      </c>
    </row>
    <row r="3817" ht="22.5" customHeight="1">
      <c r="B3817" s="57"/>
      <c r="C3817" s="43" t="str">
        <f t="array" ref="C3817">IF(B3817="","",_xlfn.XLOOKUP(B3817,'Form responses 1'!$B$2:$B$2604,'Form responses 1'!$A$2:$A$2604,""))</f>
        <v/>
      </c>
      <c r="D3817" s="44" t="str">
        <f t="shared" si="3"/>
        <v/>
      </c>
      <c r="E3817" s="44" t="str">
        <f t="array" ref="E3817">IF(B3817="","",_xlfn.XLOOKUP(B3817,'Form responses 1'!$B$2:$B$2604,'Form responses 1'!$C$2:$C$2604,""))</f>
        <v/>
      </c>
      <c r="F3817" s="44" t="str">
        <f t="array" ref="F3817">IF(B3817="","",_xlfn.XLOOKUP(B3817,'Form responses 1'!$B$2:$B$2604,'Form responses 1'!$D$2:$D$2604,""))</f>
        <v/>
      </c>
      <c r="G3817" s="44" t="str">
        <f t="array" ref="G3817">IF(B3817="","",_xlfn.XLOOKUP(B3817,'Form responses 1'!$B$2:$B$2604,'Form responses 1'!$E$2:$E$2604,""))</f>
        <v/>
      </c>
      <c r="H3817" s="44" t="str">
        <f t="array" ref="H3817">IF(B3817="","",_xlfn.XLOOKUP(B3817,'Form responses 1'!$B$2:$B$2604,'Form responses 1'!$F$2:$F$2604,""))</f>
        <v/>
      </c>
      <c r="I3817" s="44" t="str">
        <f t="array" ref="I3817">IF(B3817="","",_xlfn.XLOOKUP(B3817,'Form responses 1'!$B$2:$B$2604,'Form responses 1'!$I$2:$I$2604,""))</f>
        <v/>
      </c>
      <c r="J3817" s="44" t="str">
        <f t="array" ref="J3817">IF(B3817="","",_xlfn.XLOOKUP(B3817,'Form responses 1'!$B$2:$B$2604,'Form responses 1'!$G$2:$G$2604,""))</f>
        <v/>
      </c>
      <c r="K3817" s="56"/>
      <c r="L3817" s="58" t="str">
        <f t="shared" si="7"/>
        <v/>
      </c>
      <c r="M3817" s="49"/>
      <c r="N3817" s="49"/>
      <c r="O3817" s="49"/>
      <c r="P3817" s="49"/>
      <c r="Q3817" s="49"/>
      <c r="R3817" s="49"/>
      <c r="S3817" s="49"/>
      <c r="T3817" s="49"/>
      <c r="U3817" s="49"/>
      <c r="V3817" s="49"/>
      <c r="W3817" s="56"/>
      <c r="X3817" s="51" t="str">
        <f t="shared" si="5"/>
        <v/>
      </c>
      <c r="Y3817" s="50" t="s">
        <v>482</v>
      </c>
      <c r="Z3817" s="49">
        <f t="shared" si="6"/>
        <v>0</v>
      </c>
    </row>
    <row r="3818" ht="22.5" customHeight="1">
      <c r="B3818" s="57"/>
      <c r="C3818" s="43" t="str">
        <f t="array" ref="C3818">IF(B3818="","",_xlfn.XLOOKUP(B3818,'Form responses 1'!$B$2:$B$2604,'Form responses 1'!$A$2:$A$2604,""))</f>
        <v/>
      </c>
      <c r="D3818" s="44" t="str">
        <f t="shared" si="3"/>
        <v/>
      </c>
      <c r="E3818" s="44" t="str">
        <f t="array" ref="E3818">IF(B3818="","",_xlfn.XLOOKUP(B3818,'Form responses 1'!$B$2:$B$2604,'Form responses 1'!$C$2:$C$2604,""))</f>
        <v/>
      </c>
      <c r="F3818" s="44" t="str">
        <f t="array" ref="F3818">IF(B3818="","",_xlfn.XLOOKUP(B3818,'Form responses 1'!$B$2:$B$2604,'Form responses 1'!$D$2:$D$2604,""))</f>
        <v/>
      </c>
      <c r="G3818" s="44" t="str">
        <f t="array" ref="G3818">IF(B3818="","",_xlfn.XLOOKUP(B3818,'Form responses 1'!$B$2:$B$2604,'Form responses 1'!$E$2:$E$2604,""))</f>
        <v/>
      </c>
      <c r="H3818" s="44" t="str">
        <f t="array" ref="H3818">IF(B3818="","",_xlfn.XLOOKUP(B3818,'Form responses 1'!$B$2:$B$2604,'Form responses 1'!$F$2:$F$2604,""))</f>
        <v/>
      </c>
      <c r="I3818" s="44" t="str">
        <f t="array" ref="I3818">IF(B3818="","",_xlfn.XLOOKUP(B3818,'Form responses 1'!$B$2:$B$2604,'Form responses 1'!$I$2:$I$2604,""))</f>
        <v/>
      </c>
      <c r="J3818" s="44" t="str">
        <f t="array" ref="J3818">IF(B3818="","",_xlfn.XLOOKUP(B3818,'Form responses 1'!$B$2:$B$2604,'Form responses 1'!$G$2:$G$2604,""))</f>
        <v/>
      </c>
      <c r="K3818" s="56"/>
      <c r="L3818" s="58" t="str">
        <f t="shared" si="7"/>
        <v/>
      </c>
      <c r="M3818" s="49"/>
      <c r="N3818" s="49"/>
      <c r="O3818" s="49"/>
      <c r="P3818" s="49"/>
      <c r="Q3818" s="49"/>
      <c r="R3818" s="49"/>
      <c r="S3818" s="49"/>
      <c r="T3818" s="49"/>
      <c r="U3818" s="49"/>
      <c r="V3818" s="49"/>
      <c r="W3818" s="56"/>
      <c r="X3818" s="51" t="str">
        <f t="shared" si="5"/>
        <v/>
      </c>
      <c r="Y3818" s="50" t="s">
        <v>482</v>
      </c>
      <c r="Z3818" s="49">
        <f t="shared" si="6"/>
        <v>0</v>
      </c>
    </row>
    <row r="3819" ht="22.5" customHeight="1">
      <c r="B3819" s="57"/>
      <c r="C3819" s="43" t="str">
        <f t="array" ref="C3819">IF(B3819="","",_xlfn.XLOOKUP(B3819,'Form responses 1'!$B$2:$B$2604,'Form responses 1'!$A$2:$A$2604,""))</f>
        <v/>
      </c>
      <c r="D3819" s="44" t="str">
        <f t="shared" si="3"/>
        <v/>
      </c>
      <c r="E3819" s="44" t="str">
        <f t="array" ref="E3819">IF(B3819="","",_xlfn.XLOOKUP(B3819,'Form responses 1'!$B$2:$B$2604,'Form responses 1'!$C$2:$C$2604,""))</f>
        <v/>
      </c>
      <c r="F3819" s="44" t="str">
        <f t="array" ref="F3819">IF(B3819="","",_xlfn.XLOOKUP(B3819,'Form responses 1'!$B$2:$B$2604,'Form responses 1'!$D$2:$D$2604,""))</f>
        <v/>
      </c>
      <c r="G3819" s="44" t="str">
        <f t="array" ref="G3819">IF(B3819="","",_xlfn.XLOOKUP(B3819,'Form responses 1'!$B$2:$B$2604,'Form responses 1'!$E$2:$E$2604,""))</f>
        <v/>
      </c>
      <c r="H3819" s="44" t="str">
        <f t="array" ref="H3819">IF(B3819="","",_xlfn.XLOOKUP(B3819,'Form responses 1'!$B$2:$B$2604,'Form responses 1'!$F$2:$F$2604,""))</f>
        <v/>
      </c>
      <c r="I3819" s="44" t="str">
        <f t="array" ref="I3819">IF(B3819="","",_xlfn.XLOOKUP(B3819,'Form responses 1'!$B$2:$B$2604,'Form responses 1'!$I$2:$I$2604,""))</f>
        <v/>
      </c>
      <c r="J3819" s="44" t="str">
        <f t="array" ref="J3819">IF(B3819="","",_xlfn.XLOOKUP(B3819,'Form responses 1'!$B$2:$B$2604,'Form responses 1'!$G$2:$G$2604,""))</f>
        <v/>
      </c>
      <c r="K3819" s="56"/>
      <c r="L3819" s="58" t="str">
        <f t="shared" si="7"/>
        <v/>
      </c>
      <c r="M3819" s="49"/>
      <c r="N3819" s="49"/>
      <c r="O3819" s="49"/>
      <c r="P3819" s="49"/>
      <c r="Q3819" s="49"/>
      <c r="R3819" s="49"/>
      <c r="S3819" s="49"/>
      <c r="T3819" s="49"/>
      <c r="U3819" s="49"/>
      <c r="V3819" s="49"/>
      <c r="W3819" s="56"/>
      <c r="X3819" s="51" t="str">
        <f t="shared" si="5"/>
        <v/>
      </c>
      <c r="Y3819" s="50" t="s">
        <v>482</v>
      </c>
      <c r="Z3819" s="49">
        <f t="shared" si="6"/>
        <v>0</v>
      </c>
    </row>
    <row r="3820" ht="22.5" customHeight="1">
      <c r="B3820" s="57"/>
      <c r="C3820" s="43" t="str">
        <f t="array" ref="C3820">IF(B3820="","",_xlfn.XLOOKUP(B3820,'Form responses 1'!$B$2:$B$2604,'Form responses 1'!$A$2:$A$2604,""))</f>
        <v/>
      </c>
      <c r="D3820" s="44" t="str">
        <f t="shared" si="3"/>
        <v/>
      </c>
      <c r="E3820" s="44" t="str">
        <f t="array" ref="E3820">IF(B3820="","",_xlfn.XLOOKUP(B3820,'Form responses 1'!$B$2:$B$2604,'Form responses 1'!$C$2:$C$2604,""))</f>
        <v/>
      </c>
      <c r="F3820" s="44" t="str">
        <f t="array" ref="F3820">IF(B3820="","",_xlfn.XLOOKUP(B3820,'Form responses 1'!$B$2:$B$2604,'Form responses 1'!$D$2:$D$2604,""))</f>
        <v/>
      </c>
      <c r="G3820" s="44" t="str">
        <f t="array" ref="G3820">IF(B3820="","",_xlfn.XLOOKUP(B3820,'Form responses 1'!$B$2:$B$2604,'Form responses 1'!$E$2:$E$2604,""))</f>
        <v/>
      </c>
      <c r="H3820" s="44" t="str">
        <f t="array" ref="H3820">IF(B3820="","",_xlfn.XLOOKUP(B3820,'Form responses 1'!$B$2:$B$2604,'Form responses 1'!$F$2:$F$2604,""))</f>
        <v/>
      </c>
      <c r="I3820" s="44" t="str">
        <f t="array" ref="I3820">IF(B3820="","",_xlfn.XLOOKUP(B3820,'Form responses 1'!$B$2:$B$2604,'Form responses 1'!$I$2:$I$2604,""))</f>
        <v/>
      </c>
      <c r="J3820" s="44" t="str">
        <f t="array" ref="J3820">IF(B3820="","",_xlfn.XLOOKUP(B3820,'Form responses 1'!$B$2:$B$2604,'Form responses 1'!$G$2:$G$2604,""))</f>
        <v/>
      </c>
      <c r="K3820" s="56"/>
      <c r="L3820" s="58" t="str">
        <f t="shared" si="7"/>
        <v/>
      </c>
      <c r="M3820" s="49"/>
      <c r="N3820" s="49"/>
      <c r="O3820" s="49"/>
      <c r="P3820" s="49"/>
      <c r="Q3820" s="49"/>
      <c r="R3820" s="49"/>
      <c r="S3820" s="49"/>
      <c r="T3820" s="49"/>
      <c r="U3820" s="49"/>
      <c r="V3820" s="49"/>
      <c r="W3820" s="56"/>
      <c r="X3820" s="51" t="str">
        <f t="shared" si="5"/>
        <v/>
      </c>
      <c r="Y3820" s="50" t="s">
        <v>482</v>
      </c>
      <c r="Z3820" s="49">
        <f t="shared" si="6"/>
        <v>0</v>
      </c>
    </row>
    <row r="3821" ht="22.5" customHeight="1">
      <c r="B3821" s="57"/>
      <c r="C3821" s="43" t="str">
        <f t="array" ref="C3821">IF(B3821="","",_xlfn.XLOOKUP(B3821,'Form responses 1'!$B$2:$B$2604,'Form responses 1'!$A$2:$A$2604,""))</f>
        <v/>
      </c>
      <c r="D3821" s="44" t="str">
        <f t="shared" si="3"/>
        <v/>
      </c>
      <c r="E3821" s="44" t="str">
        <f t="array" ref="E3821">IF(B3821="","",_xlfn.XLOOKUP(B3821,'Form responses 1'!$B$2:$B$2604,'Form responses 1'!$C$2:$C$2604,""))</f>
        <v/>
      </c>
      <c r="F3821" s="44" t="str">
        <f t="array" ref="F3821">IF(B3821="","",_xlfn.XLOOKUP(B3821,'Form responses 1'!$B$2:$B$2604,'Form responses 1'!$D$2:$D$2604,""))</f>
        <v/>
      </c>
      <c r="G3821" s="44" t="str">
        <f t="array" ref="G3821">IF(B3821="","",_xlfn.XLOOKUP(B3821,'Form responses 1'!$B$2:$B$2604,'Form responses 1'!$E$2:$E$2604,""))</f>
        <v/>
      </c>
      <c r="H3821" s="44" t="str">
        <f t="array" ref="H3821">IF(B3821="","",_xlfn.XLOOKUP(B3821,'Form responses 1'!$B$2:$B$2604,'Form responses 1'!$F$2:$F$2604,""))</f>
        <v/>
      </c>
      <c r="I3821" s="44" t="str">
        <f t="array" ref="I3821">IF(B3821="","",_xlfn.XLOOKUP(B3821,'Form responses 1'!$B$2:$B$2604,'Form responses 1'!$I$2:$I$2604,""))</f>
        <v/>
      </c>
      <c r="J3821" s="44" t="str">
        <f t="array" ref="J3821">IF(B3821="","",_xlfn.XLOOKUP(B3821,'Form responses 1'!$B$2:$B$2604,'Form responses 1'!$G$2:$G$2604,""))</f>
        <v/>
      </c>
      <c r="K3821" s="56"/>
      <c r="L3821" s="58" t="str">
        <f t="shared" si="7"/>
        <v/>
      </c>
      <c r="M3821" s="49"/>
      <c r="N3821" s="49"/>
      <c r="O3821" s="49"/>
      <c r="P3821" s="49"/>
      <c r="Q3821" s="49"/>
      <c r="R3821" s="49"/>
      <c r="S3821" s="49"/>
      <c r="T3821" s="49"/>
      <c r="U3821" s="49"/>
      <c r="V3821" s="49"/>
      <c r="W3821" s="56"/>
      <c r="X3821" s="51" t="str">
        <f t="shared" si="5"/>
        <v/>
      </c>
      <c r="Y3821" s="50" t="s">
        <v>482</v>
      </c>
      <c r="Z3821" s="49">
        <f t="shared" si="6"/>
        <v>0</v>
      </c>
    </row>
    <row r="3822" ht="22.5" customHeight="1">
      <c r="B3822" s="57"/>
      <c r="C3822" s="43" t="str">
        <f t="array" ref="C3822">IF(B3822="","",_xlfn.XLOOKUP(B3822,'Form responses 1'!$B$2:$B$2604,'Form responses 1'!$A$2:$A$2604,""))</f>
        <v/>
      </c>
      <c r="D3822" s="44" t="str">
        <f t="shared" si="3"/>
        <v/>
      </c>
      <c r="E3822" s="44" t="str">
        <f t="array" ref="E3822">IF(B3822="","",_xlfn.XLOOKUP(B3822,'Form responses 1'!$B$2:$B$2604,'Form responses 1'!$C$2:$C$2604,""))</f>
        <v/>
      </c>
      <c r="F3822" s="44" t="str">
        <f t="array" ref="F3822">IF(B3822="","",_xlfn.XLOOKUP(B3822,'Form responses 1'!$B$2:$B$2604,'Form responses 1'!$D$2:$D$2604,""))</f>
        <v/>
      </c>
      <c r="G3822" s="44" t="str">
        <f t="array" ref="G3822">IF(B3822="","",_xlfn.XLOOKUP(B3822,'Form responses 1'!$B$2:$B$2604,'Form responses 1'!$E$2:$E$2604,""))</f>
        <v/>
      </c>
      <c r="H3822" s="44" t="str">
        <f t="array" ref="H3822">IF(B3822="","",_xlfn.XLOOKUP(B3822,'Form responses 1'!$B$2:$B$2604,'Form responses 1'!$F$2:$F$2604,""))</f>
        <v/>
      </c>
      <c r="I3822" s="44" t="str">
        <f t="array" ref="I3822">IF(B3822="","",_xlfn.XLOOKUP(B3822,'Form responses 1'!$B$2:$B$2604,'Form responses 1'!$I$2:$I$2604,""))</f>
        <v/>
      </c>
      <c r="J3822" s="44" t="str">
        <f t="array" ref="J3822">IF(B3822="","",_xlfn.XLOOKUP(B3822,'Form responses 1'!$B$2:$B$2604,'Form responses 1'!$G$2:$G$2604,""))</f>
        <v/>
      </c>
      <c r="K3822" s="56"/>
      <c r="L3822" s="58" t="str">
        <f t="shared" si="7"/>
        <v/>
      </c>
      <c r="M3822" s="49"/>
      <c r="N3822" s="49"/>
      <c r="O3822" s="49"/>
      <c r="P3822" s="49"/>
      <c r="Q3822" s="49"/>
      <c r="R3822" s="49"/>
      <c r="S3822" s="49"/>
      <c r="T3822" s="49"/>
      <c r="U3822" s="49"/>
      <c r="V3822" s="49"/>
      <c r="W3822" s="56"/>
      <c r="X3822" s="51" t="str">
        <f t="shared" si="5"/>
        <v/>
      </c>
      <c r="Y3822" s="50" t="s">
        <v>482</v>
      </c>
      <c r="Z3822" s="49">
        <f t="shared" si="6"/>
        <v>0</v>
      </c>
    </row>
    <row r="3823" ht="22.5" customHeight="1">
      <c r="B3823" s="57"/>
      <c r="C3823" s="43" t="str">
        <f t="array" ref="C3823">IF(B3823="","",_xlfn.XLOOKUP(B3823,'Form responses 1'!$B$2:$B$2604,'Form responses 1'!$A$2:$A$2604,""))</f>
        <v/>
      </c>
      <c r="D3823" s="44" t="str">
        <f t="shared" si="3"/>
        <v/>
      </c>
      <c r="E3823" s="44" t="str">
        <f t="array" ref="E3823">IF(B3823="","",_xlfn.XLOOKUP(B3823,'Form responses 1'!$B$2:$B$2604,'Form responses 1'!$C$2:$C$2604,""))</f>
        <v/>
      </c>
      <c r="F3823" s="44" t="str">
        <f t="array" ref="F3823">IF(B3823="","",_xlfn.XLOOKUP(B3823,'Form responses 1'!$B$2:$B$2604,'Form responses 1'!$D$2:$D$2604,""))</f>
        <v/>
      </c>
      <c r="G3823" s="44" t="str">
        <f t="array" ref="G3823">IF(B3823="","",_xlfn.XLOOKUP(B3823,'Form responses 1'!$B$2:$B$2604,'Form responses 1'!$E$2:$E$2604,""))</f>
        <v/>
      </c>
      <c r="H3823" s="44" t="str">
        <f t="array" ref="H3823">IF(B3823="","",_xlfn.XLOOKUP(B3823,'Form responses 1'!$B$2:$B$2604,'Form responses 1'!$F$2:$F$2604,""))</f>
        <v/>
      </c>
      <c r="I3823" s="44" t="str">
        <f t="array" ref="I3823">IF(B3823="","",_xlfn.XLOOKUP(B3823,'Form responses 1'!$B$2:$B$2604,'Form responses 1'!$I$2:$I$2604,""))</f>
        <v/>
      </c>
      <c r="J3823" s="44" t="str">
        <f t="array" ref="J3823">IF(B3823="","",_xlfn.XLOOKUP(B3823,'Form responses 1'!$B$2:$B$2604,'Form responses 1'!$G$2:$G$2604,""))</f>
        <v/>
      </c>
      <c r="K3823" s="56"/>
      <c r="L3823" s="58" t="str">
        <f t="shared" si="7"/>
        <v/>
      </c>
      <c r="M3823" s="49"/>
      <c r="N3823" s="49"/>
      <c r="O3823" s="49"/>
      <c r="P3823" s="49"/>
      <c r="Q3823" s="49"/>
      <c r="R3823" s="49"/>
      <c r="S3823" s="49"/>
      <c r="T3823" s="49"/>
      <c r="U3823" s="49"/>
      <c r="V3823" s="49"/>
      <c r="W3823" s="56"/>
      <c r="X3823" s="51" t="str">
        <f t="shared" si="5"/>
        <v/>
      </c>
      <c r="Y3823" s="50" t="s">
        <v>482</v>
      </c>
      <c r="Z3823" s="49">
        <f t="shared" si="6"/>
        <v>0</v>
      </c>
    </row>
    <row r="3824" ht="22.5" customHeight="1">
      <c r="B3824" s="57"/>
      <c r="C3824" s="43" t="str">
        <f t="array" ref="C3824">IF(B3824="","",_xlfn.XLOOKUP(B3824,'Form responses 1'!$B$2:$B$2604,'Form responses 1'!$A$2:$A$2604,""))</f>
        <v/>
      </c>
      <c r="D3824" s="44" t="str">
        <f t="shared" si="3"/>
        <v/>
      </c>
      <c r="E3824" s="44" t="str">
        <f t="array" ref="E3824">IF(B3824="","",_xlfn.XLOOKUP(B3824,'Form responses 1'!$B$2:$B$2604,'Form responses 1'!$C$2:$C$2604,""))</f>
        <v/>
      </c>
      <c r="F3824" s="44" t="str">
        <f t="array" ref="F3824">IF(B3824="","",_xlfn.XLOOKUP(B3824,'Form responses 1'!$B$2:$B$2604,'Form responses 1'!$D$2:$D$2604,""))</f>
        <v/>
      </c>
      <c r="G3824" s="44" t="str">
        <f t="array" ref="G3824">IF(B3824="","",_xlfn.XLOOKUP(B3824,'Form responses 1'!$B$2:$B$2604,'Form responses 1'!$E$2:$E$2604,""))</f>
        <v/>
      </c>
      <c r="H3824" s="44" t="str">
        <f t="array" ref="H3824">IF(B3824="","",_xlfn.XLOOKUP(B3824,'Form responses 1'!$B$2:$B$2604,'Form responses 1'!$F$2:$F$2604,""))</f>
        <v/>
      </c>
      <c r="I3824" s="44" t="str">
        <f t="array" ref="I3824">IF(B3824="","",_xlfn.XLOOKUP(B3824,'Form responses 1'!$B$2:$B$2604,'Form responses 1'!$I$2:$I$2604,""))</f>
        <v/>
      </c>
      <c r="J3824" s="44" t="str">
        <f t="array" ref="J3824">IF(B3824="","",_xlfn.XLOOKUP(B3824,'Form responses 1'!$B$2:$B$2604,'Form responses 1'!$G$2:$G$2604,""))</f>
        <v/>
      </c>
      <c r="K3824" s="56"/>
      <c r="L3824" s="58" t="str">
        <f t="shared" si="7"/>
        <v/>
      </c>
      <c r="M3824" s="49"/>
      <c r="N3824" s="49"/>
      <c r="O3824" s="49"/>
      <c r="P3824" s="49"/>
      <c r="Q3824" s="49"/>
      <c r="R3824" s="49"/>
      <c r="S3824" s="49"/>
      <c r="T3824" s="49"/>
      <c r="U3824" s="49"/>
      <c r="V3824" s="49"/>
      <c r="W3824" s="56"/>
      <c r="X3824" s="51" t="str">
        <f t="shared" si="5"/>
        <v/>
      </c>
      <c r="Y3824" s="50" t="s">
        <v>482</v>
      </c>
      <c r="Z3824" s="49">
        <f t="shared" si="6"/>
        <v>0</v>
      </c>
    </row>
    <row r="3825" ht="22.5" customHeight="1">
      <c r="B3825" s="57"/>
      <c r="C3825" s="43" t="str">
        <f t="array" ref="C3825">IF(B3825="","",_xlfn.XLOOKUP(B3825,'Form responses 1'!$B$2:$B$2604,'Form responses 1'!$A$2:$A$2604,""))</f>
        <v/>
      </c>
      <c r="D3825" s="44" t="str">
        <f t="shared" si="3"/>
        <v/>
      </c>
      <c r="E3825" s="44" t="str">
        <f t="array" ref="E3825">IF(B3825="","",_xlfn.XLOOKUP(B3825,'Form responses 1'!$B$2:$B$2604,'Form responses 1'!$C$2:$C$2604,""))</f>
        <v/>
      </c>
      <c r="F3825" s="44" t="str">
        <f t="array" ref="F3825">IF(B3825="","",_xlfn.XLOOKUP(B3825,'Form responses 1'!$B$2:$B$2604,'Form responses 1'!$D$2:$D$2604,""))</f>
        <v/>
      </c>
      <c r="G3825" s="44" t="str">
        <f t="array" ref="G3825">IF(B3825="","",_xlfn.XLOOKUP(B3825,'Form responses 1'!$B$2:$B$2604,'Form responses 1'!$E$2:$E$2604,""))</f>
        <v/>
      </c>
      <c r="H3825" s="44" t="str">
        <f t="array" ref="H3825">IF(B3825="","",_xlfn.XLOOKUP(B3825,'Form responses 1'!$B$2:$B$2604,'Form responses 1'!$F$2:$F$2604,""))</f>
        <v/>
      </c>
      <c r="I3825" s="44" t="str">
        <f t="array" ref="I3825">IF(B3825="","",_xlfn.XLOOKUP(B3825,'Form responses 1'!$B$2:$B$2604,'Form responses 1'!$I$2:$I$2604,""))</f>
        <v/>
      </c>
      <c r="J3825" s="44" t="str">
        <f t="array" ref="J3825">IF(B3825="","",_xlfn.XLOOKUP(B3825,'Form responses 1'!$B$2:$B$2604,'Form responses 1'!$G$2:$G$2604,""))</f>
        <v/>
      </c>
      <c r="K3825" s="56"/>
      <c r="L3825" s="58" t="str">
        <f t="shared" si="7"/>
        <v/>
      </c>
      <c r="M3825" s="49"/>
      <c r="N3825" s="49"/>
      <c r="O3825" s="49"/>
      <c r="P3825" s="49"/>
      <c r="Q3825" s="49"/>
      <c r="R3825" s="49"/>
      <c r="S3825" s="49"/>
      <c r="T3825" s="49"/>
      <c r="U3825" s="49"/>
      <c r="V3825" s="49"/>
      <c r="W3825" s="56"/>
      <c r="X3825" s="51" t="str">
        <f t="shared" si="5"/>
        <v/>
      </c>
      <c r="Y3825" s="50" t="s">
        <v>482</v>
      </c>
      <c r="Z3825" s="49">
        <f t="shared" si="6"/>
        <v>0</v>
      </c>
    </row>
    <row r="3826" ht="22.5" customHeight="1">
      <c r="B3826" s="57"/>
      <c r="C3826" s="43" t="str">
        <f t="array" ref="C3826">IF(B3826="","",_xlfn.XLOOKUP(B3826,'Form responses 1'!$B$2:$B$2604,'Form responses 1'!$A$2:$A$2604,""))</f>
        <v/>
      </c>
      <c r="D3826" s="44" t="str">
        <f t="shared" si="3"/>
        <v/>
      </c>
      <c r="E3826" s="44" t="str">
        <f t="array" ref="E3826">IF(B3826="","",_xlfn.XLOOKUP(B3826,'Form responses 1'!$B$2:$B$2604,'Form responses 1'!$C$2:$C$2604,""))</f>
        <v/>
      </c>
      <c r="F3826" s="44" t="str">
        <f t="array" ref="F3826">IF(B3826="","",_xlfn.XLOOKUP(B3826,'Form responses 1'!$B$2:$B$2604,'Form responses 1'!$D$2:$D$2604,""))</f>
        <v/>
      </c>
      <c r="G3826" s="44" t="str">
        <f t="array" ref="G3826">IF(B3826="","",_xlfn.XLOOKUP(B3826,'Form responses 1'!$B$2:$B$2604,'Form responses 1'!$E$2:$E$2604,""))</f>
        <v/>
      </c>
      <c r="H3826" s="44" t="str">
        <f t="array" ref="H3826">IF(B3826="","",_xlfn.XLOOKUP(B3826,'Form responses 1'!$B$2:$B$2604,'Form responses 1'!$F$2:$F$2604,""))</f>
        <v/>
      </c>
      <c r="I3826" s="44" t="str">
        <f t="array" ref="I3826">IF(B3826="","",_xlfn.XLOOKUP(B3826,'Form responses 1'!$B$2:$B$2604,'Form responses 1'!$I$2:$I$2604,""))</f>
        <v/>
      </c>
      <c r="J3826" s="44" t="str">
        <f t="array" ref="J3826">IF(B3826="","",_xlfn.XLOOKUP(B3826,'Form responses 1'!$B$2:$B$2604,'Form responses 1'!$G$2:$G$2604,""))</f>
        <v/>
      </c>
      <c r="K3826" s="56"/>
      <c r="L3826" s="58" t="str">
        <f t="shared" si="7"/>
        <v/>
      </c>
      <c r="M3826" s="49"/>
      <c r="N3826" s="49"/>
      <c r="O3826" s="49"/>
      <c r="P3826" s="49"/>
      <c r="Q3826" s="49"/>
      <c r="R3826" s="49"/>
      <c r="S3826" s="49"/>
      <c r="T3826" s="49"/>
      <c r="U3826" s="49"/>
      <c r="V3826" s="49"/>
      <c r="W3826" s="56"/>
      <c r="X3826" s="51" t="str">
        <f t="shared" si="5"/>
        <v/>
      </c>
      <c r="Y3826" s="50" t="s">
        <v>482</v>
      </c>
      <c r="Z3826" s="49">
        <f t="shared" si="6"/>
        <v>0</v>
      </c>
    </row>
    <row r="3827" ht="22.5" customHeight="1">
      <c r="B3827" s="57"/>
      <c r="C3827" s="43" t="str">
        <f t="array" ref="C3827">IF(B3827="","",_xlfn.XLOOKUP(B3827,'Form responses 1'!$B$2:$B$2604,'Form responses 1'!$A$2:$A$2604,""))</f>
        <v/>
      </c>
      <c r="D3827" s="44" t="str">
        <f t="shared" si="3"/>
        <v/>
      </c>
      <c r="E3827" s="44" t="str">
        <f t="array" ref="E3827">IF(B3827="","",_xlfn.XLOOKUP(B3827,'Form responses 1'!$B$2:$B$2604,'Form responses 1'!$C$2:$C$2604,""))</f>
        <v/>
      </c>
      <c r="F3827" s="44" t="str">
        <f t="array" ref="F3827">IF(B3827="","",_xlfn.XLOOKUP(B3827,'Form responses 1'!$B$2:$B$2604,'Form responses 1'!$D$2:$D$2604,""))</f>
        <v/>
      </c>
      <c r="G3827" s="44" t="str">
        <f t="array" ref="G3827">IF(B3827="","",_xlfn.XLOOKUP(B3827,'Form responses 1'!$B$2:$B$2604,'Form responses 1'!$E$2:$E$2604,""))</f>
        <v/>
      </c>
      <c r="H3827" s="44" t="str">
        <f t="array" ref="H3827">IF(B3827="","",_xlfn.XLOOKUP(B3827,'Form responses 1'!$B$2:$B$2604,'Form responses 1'!$F$2:$F$2604,""))</f>
        <v/>
      </c>
      <c r="I3827" s="44" t="str">
        <f t="array" ref="I3827">IF(B3827="","",_xlfn.XLOOKUP(B3827,'Form responses 1'!$B$2:$B$2604,'Form responses 1'!$I$2:$I$2604,""))</f>
        <v/>
      </c>
      <c r="J3827" s="44" t="str">
        <f t="array" ref="J3827">IF(B3827="","",_xlfn.XLOOKUP(B3827,'Form responses 1'!$B$2:$B$2604,'Form responses 1'!$G$2:$G$2604,""))</f>
        <v/>
      </c>
      <c r="K3827" s="56"/>
      <c r="L3827" s="58" t="str">
        <f t="shared" si="7"/>
        <v/>
      </c>
      <c r="M3827" s="49"/>
      <c r="N3827" s="49"/>
      <c r="O3827" s="49"/>
      <c r="P3827" s="49"/>
      <c r="Q3827" s="49"/>
      <c r="R3827" s="49"/>
      <c r="S3827" s="49"/>
      <c r="T3827" s="49"/>
      <c r="U3827" s="49"/>
      <c r="V3827" s="49"/>
      <c r="W3827" s="56"/>
      <c r="X3827" s="51" t="str">
        <f t="shared" si="5"/>
        <v/>
      </c>
      <c r="Y3827" s="50" t="s">
        <v>482</v>
      </c>
      <c r="Z3827" s="49">
        <f t="shared" si="6"/>
        <v>0</v>
      </c>
    </row>
    <row r="3828" ht="22.5" customHeight="1">
      <c r="B3828" s="57"/>
      <c r="C3828" s="43" t="str">
        <f t="array" ref="C3828">IF(B3828="","",_xlfn.XLOOKUP(B3828,'Form responses 1'!$B$2:$B$2604,'Form responses 1'!$A$2:$A$2604,""))</f>
        <v/>
      </c>
      <c r="D3828" s="44" t="str">
        <f t="shared" si="3"/>
        <v/>
      </c>
      <c r="E3828" s="44" t="str">
        <f t="array" ref="E3828">IF(B3828="","",_xlfn.XLOOKUP(B3828,'Form responses 1'!$B$2:$B$2604,'Form responses 1'!$C$2:$C$2604,""))</f>
        <v/>
      </c>
      <c r="F3828" s="44" t="str">
        <f t="array" ref="F3828">IF(B3828="","",_xlfn.XLOOKUP(B3828,'Form responses 1'!$B$2:$B$2604,'Form responses 1'!$D$2:$D$2604,""))</f>
        <v/>
      </c>
      <c r="G3828" s="44" t="str">
        <f t="array" ref="G3828">IF(B3828="","",_xlfn.XLOOKUP(B3828,'Form responses 1'!$B$2:$B$2604,'Form responses 1'!$E$2:$E$2604,""))</f>
        <v/>
      </c>
      <c r="H3828" s="44" t="str">
        <f t="array" ref="H3828">IF(B3828="","",_xlfn.XLOOKUP(B3828,'Form responses 1'!$B$2:$B$2604,'Form responses 1'!$F$2:$F$2604,""))</f>
        <v/>
      </c>
      <c r="I3828" s="44" t="str">
        <f t="array" ref="I3828">IF(B3828="","",_xlfn.XLOOKUP(B3828,'Form responses 1'!$B$2:$B$2604,'Form responses 1'!$I$2:$I$2604,""))</f>
        <v/>
      </c>
      <c r="J3828" s="44" t="str">
        <f t="array" ref="J3828">IF(B3828="","",_xlfn.XLOOKUP(B3828,'Form responses 1'!$B$2:$B$2604,'Form responses 1'!$G$2:$G$2604,""))</f>
        <v/>
      </c>
      <c r="K3828" s="56"/>
      <c r="L3828" s="58" t="str">
        <f t="shared" si="7"/>
        <v/>
      </c>
      <c r="M3828" s="49"/>
      <c r="N3828" s="49"/>
      <c r="O3828" s="49"/>
      <c r="P3828" s="49"/>
      <c r="Q3828" s="49"/>
      <c r="R3828" s="49"/>
      <c r="S3828" s="49"/>
      <c r="T3828" s="49"/>
      <c r="U3828" s="49"/>
      <c r="V3828" s="49"/>
      <c r="W3828" s="56"/>
      <c r="X3828" s="51" t="str">
        <f t="shared" si="5"/>
        <v/>
      </c>
      <c r="Y3828" s="50" t="s">
        <v>482</v>
      </c>
      <c r="Z3828" s="49">
        <f t="shared" si="6"/>
        <v>0</v>
      </c>
    </row>
    <row r="3829" ht="22.5" customHeight="1">
      <c r="B3829" s="57"/>
      <c r="C3829" s="43" t="str">
        <f t="array" ref="C3829">IF(B3829="","",_xlfn.XLOOKUP(B3829,'Form responses 1'!$B$2:$B$2604,'Form responses 1'!$A$2:$A$2604,""))</f>
        <v/>
      </c>
      <c r="D3829" s="44" t="str">
        <f t="shared" si="3"/>
        <v/>
      </c>
      <c r="E3829" s="44" t="str">
        <f t="array" ref="E3829">IF(B3829="","",_xlfn.XLOOKUP(B3829,'Form responses 1'!$B$2:$B$2604,'Form responses 1'!$C$2:$C$2604,""))</f>
        <v/>
      </c>
      <c r="F3829" s="44" t="str">
        <f t="array" ref="F3829">IF(B3829="","",_xlfn.XLOOKUP(B3829,'Form responses 1'!$B$2:$B$2604,'Form responses 1'!$D$2:$D$2604,""))</f>
        <v/>
      </c>
      <c r="G3829" s="44" t="str">
        <f t="array" ref="G3829">IF(B3829="","",_xlfn.XLOOKUP(B3829,'Form responses 1'!$B$2:$B$2604,'Form responses 1'!$E$2:$E$2604,""))</f>
        <v/>
      </c>
      <c r="H3829" s="44" t="str">
        <f t="array" ref="H3829">IF(B3829="","",_xlfn.XLOOKUP(B3829,'Form responses 1'!$B$2:$B$2604,'Form responses 1'!$F$2:$F$2604,""))</f>
        <v/>
      </c>
      <c r="I3829" s="44" t="str">
        <f t="array" ref="I3829">IF(B3829="","",_xlfn.XLOOKUP(B3829,'Form responses 1'!$B$2:$B$2604,'Form responses 1'!$I$2:$I$2604,""))</f>
        <v/>
      </c>
      <c r="J3829" s="44" t="str">
        <f t="array" ref="J3829">IF(B3829="","",_xlfn.XLOOKUP(B3829,'Form responses 1'!$B$2:$B$2604,'Form responses 1'!$G$2:$G$2604,""))</f>
        <v/>
      </c>
      <c r="K3829" s="56"/>
      <c r="L3829" s="58" t="str">
        <f t="shared" si="7"/>
        <v/>
      </c>
      <c r="M3829" s="49"/>
      <c r="N3829" s="49"/>
      <c r="O3829" s="49"/>
      <c r="P3829" s="49"/>
      <c r="Q3829" s="49"/>
      <c r="R3829" s="49"/>
      <c r="S3829" s="49"/>
      <c r="T3829" s="49"/>
      <c r="U3829" s="49"/>
      <c r="V3829" s="49"/>
      <c r="W3829" s="56"/>
      <c r="X3829" s="51" t="str">
        <f t="shared" si="5"/>
        <v/>
      </c>
      <c r="Y3829" s="50" t="s">
        <v>482</v>
      </c>
      <c r="Z3829" s="49">
        <f t="shared" si="6"/>
        <v>0</v>
      </c>
    </row>
    <row r="3830" ht="22.5" customHeight="1">
      <c r="B3830" s="57"/>
      <c r="C3830" s="43" t="str">
        <f t="array" ref="C3830">IF(B3830="","",_xlfn.XLOOKUP(B3830,'Form responses 1'!$B$2:$B$2604,'Form responses 1'!$A$2:$A$2604,""))</f>
        <v/>
      </c>
      <c r="D3830" s="44" t="str">
        <f t="shared" si="3"/>
        <v/>
      </c>
      <c r="E3830" s="44" t="str">
        <f t="array" ref="E3830">IF(B3830="","",_xlfn.XLOOKUP(B3830,'Form responses 1'!$B$2:$B$2604,'Form responses 1'!$C$2:$C$2604,""))</f>
        <v/>
      </c>
      <c r="F3830" s="44" t="str">
        <f t="array" ref="F3830">IF(B3830="","",_xlfn.XLOOKUP(B3830,'Form responses 1'!$B$2:$B$2604,'Form responses 1'!$D$2:$D$2604,""))</f>
        <v/>
      </c>
      <c r="G3830" s="44" t="str">
        <f t="array" ref="G3830">IF(B3830="","",_xlfn.XLOOKUP(B3830,'Form responses 1'!$B$2:$B$2604,'Form responses 1'!$E$2:$E$2604,""))</f>
        <v/>
      </c>
      <c r="H3830" s="44" t="str">
        <f t="array" ref="H3830">IF(B3830="","",_xlfn.XLOOKUP(B3830,'Form responses 1'!$B$2:$B$2604,'Form responses 1'!$F$2:$F$2604,""))</f>
        <v/>
      </c>
      <c r="I3830" s="44" t="str">
        <f t="array" ref="I3830">IF(B3830="","",_xlfn.XLOOKUP(B3830,'Form responses 1'!$B$2:$B$2604,'Form responses 1'!$I$2:$I$2604,""))</f>
        <v/>
      </c>
      <c r="J3830" s="44" t="str">
        <f t="array" ref="J3830">IF(B3830="","",_xlfn.XLOOKUP(B3830,'Form responses 1'!$B$2:$B$2604,'Form responses 1'!$G$2:$G$2604,""))</f>
        <v/>
      </c>
      <c r="K3830" s="56"/>
      <c r="L3830" s="58" t="str">
        <f t="shared" si="7"/>
        <v/>
      </c>
      <c r="M3830" s="49"/>
      <c r="N3830" s="49"/>
      <c r="O3830" s="49"/>
      <c r="P3830" s="49"/>
      <c r="Q3830" s="49"/>
      <c r="R3830" s="49"/>
      <c r="S3830" s="49"/>
      <c r="T3830" s="49"/>
      <c r="U3830" s="49"/>
      <c r="V3830" s="49"/>
      <c r="W3830" s="56"/>
      <c r="X3830" s="51" t="str">
        <f t="shared" si="5"/>
        <v/>
      </c>
      <c r="Y3830" s="50" t="s">
        <v>482</v>
      </c>
      <c r="Z3830" s="49">
        <f t="shared" si="6"/>
        <v>0</v>
      </c>
    </row>
    <row r="3831" ht="22.5" customHeight="1">
      <c r="B3831" s="57"/>
      <c r="C3831" s="43" t="str">
        <f t="array" ref="C3831">IF(B3831="","",_xlfn.XLOOKUP(B3831,'Form responses 1'!$B$2:$B$2604,'Form responses 1'!$A$2:$A$2604,""))</f>
        <v/>
      </c>
      <c r="D3831" s="44" t="str">
        <f t="shared" si="3"/>
        <v/>
      </c>
      <c r="E3831" s="44" t="str">
        <f t="array" ref="E3831">IF(B3831="","",_xlfn.XLOOKUP(B3831,'Form responses 1'!$B$2:$B$2604,'Form responses 1'!$C$2:$C$2604,""))</f>
        <v/>
      </c>
      <c r="F3831" s="44" t="str">
        <f t="array" ref="F3831">IF(B3831="","",_xlfn.XLOOKUP(B3831,'Form responses 1'!$B$2:$B$2604,'Form responses 1'!$D$2:$D$2604,""))</f>
        <v/>
      </c>
      <c r="G3831" s="44" t="str">
        <f t="array" ref="G3831">IF(B3831="","",_xlfn.XLOOKUP(B3831,'Form responses 1'!$B$2:$B$2604,'Form responses 1'!$E$2:$E$2604,""))</f>
        <v/>
      </c>
      <c r="H3831" s="44" t="str">
        <f t="array" ref="H3831">IF(B3831="","",_xlfn.XLOOKUP(B3831,'Form responses 1'!$B$2:$B$2604,'Form responses 1'!$F$2:$F$2604,""))</f>
        <v/>
      </c>
      <c r="I3831" s="44" t="str">
        <f t="array" ref="I3831">IF(B3831="","",_xlfn.XLOOKUP(B3831,'Form responses 1'!$B$2:$B$2604,'Form responses 1'!$I$2:$I$2604,""))</f>
        <v/>
      </c>
      <c r="J3831" s="44" t="str">
        <f t="array" ref="J3831">IF(B3831="","",_xlfn.XLOOKUP(B3831,'Form responses 1'!$B$2:$B$2604,'Form responses 1'!$G$2:$G$2604,""))</f>
        <v/>
      </c>
      <c r="K3831" s="56"/>
      <c r="L3831" s="58" t="str">
        <f t="shared" si="7"/>
        <v/>
      </c>
      <c r="M3831" s="49"/>
      <c r="N3831" s="49"/>
      <c r="O3831" s="49"/>
      <c r="P3831" s="49"/>
      <c r="Q3831" s="49"/>
      <c r="R3831" s="49"/>
      <c r="S3831" s="49"/>
      <c r="T3831" s="49"/>
      <c r="U3831" s="49"/>
      <c r="V3831" s="49"/>
      <c r="W3831" s="56"/>
      <c r="X3831" s="51" t="str">
        <f t="shared" si="5"/>
        <v/>
      </c>
      <c r="Y3831" s="50" t="s">
        <v>482</v>
      </c>
      <c r="Z3831" s="49">
        <f t="shared" si="6"/>
        <v>0</v>
      </c>
    </row>
    <row r="3832" ht="22.5" customHeight="1">
      <c r="B3832" s="57"/>
      <c r="C3832" s="43" t="str">
        <f t="array" ref="C3832">IF(B3832="","",_xlfn.XLOOKUP(B3832,'Form responses 1'!$B$2:$B$2604,'Form responses 1'!$A$2:$A$2604,""))</f>
        <v/>
      </c>
      <c r="D3832" s="44" t="str">
        <f t="shared" si="3"/>
        <v/>
      </c>
      <c r="E3832" s="44" t="str">
        <f t="array" ref="E3832">IF(B3832="","",_xlfn.XLOOKUP(B3832,'Form responses 1'!$B$2:$B$2604,'Form responses 1'!$C$2:$C$2604,""))</f>
        <v/>
      </c>
      <c r="F3832" s="44" t="str">
        <f t="array" ref="F3832">IF(B3832="","",_xlfn.XLOOKUP(B3832,'Form responses 1'!$B$2:$B$2604,'Form responses 1'!$D$2:$D$2604,""))</f>
        <v/>
      </c>
      <c r="G3832" s="44" t="str">
        <f t="array" ref="G3832">IF(B3832="","",_xlfn.XLOOKUP(B3832,'Form responses 1'!$B$2:$B$2604,'Form responses 1'!$E$2:$E$2604,""))</f>
        <v/>
      </c>
      <c r="H3832" s="44" t="str">
        <f t="array" ref="H3832">IF(B3832="","",_xlfn.XLOOKUP(B3832,'Form responses 1'!$B$2:$B$2604,'Form responses 1'!$F$2:$F$2604,""))</f>
        <v/>
      </c>
      <c r="I3832" s="44" t="str">
        <f t="array" ref="I3832">IF(B3832="","",_xlfn.XLOOKUP(B3832,'Form responses 1'!$B$2:$B$2604,'Form responses 1'!$I$2:$I$2604,""))</f>
        <v/>
      </c>
      <c r="J3832" s="44" t="str">
        <f t="array" ref="J3832">IF(B3832="","",_xlfn.XLOOKUP(B3832,'Form responses 1'!$B$2:$B$2604,'Form responses 1'!$G$2:$G$2604,""))</f>
        <v/>
      </c>
      <c r="K3832" s="56"/>
      <c r="L3832" s="58" t="str">
        <f t="shared" si="7"/>
        <v/>
      </c>
      <c r="M3832" s="49"/>
      <c r="N3832" s="49"/>
      <c r="O3832" s="49"/>
      <c r="P3832" s="49"/>
      <c r="Q3832" s="49"/>
      <c r="R3832" s="49"/>
      <c r="S3832" s="49"/>
      <c r="T3832" s="49"/>
      <c r="U3832" s="49"/>
      <c r="V3832" s="49"/>
      <c r="W3832" s="56"/>
      <c r="X3832" s="51" t="str">
        <f t="shared" si="5"/>
        <v/>
      </c>
      <c r="Y3832" s="50" t="s">
        <v>482</v>
      </c>
      <c r="Z3832" s="49">
        <f t="shared" si="6"/>
        <v>0</v>
      </c>
    </row>
    <row r="3833" ht="22.5" customHeight="1">
      <c r="B3833" s="57"/>
      <c r="C3833" s="43" t="str">
        <f t="array" ref="C3833">IF(B3833="","",_xlfn.XLOOKUP(B3833,'Form responses 1'!$B$2:$B$2604,'Form responses 1'!$A$2:$A$2604,""))</f>
        <v/>
      </c>
      <c r="D3833" s="44" t="str">
        <f t="shared" si="3"/>
        <v/>
      </c>
      <c r="E3833" s="44" t="str">
        <f t="array" ref="E3833">IF(B3833="","",_xlfn.XLOOKUP(B3833,'Form responses 1'!$B$2:$B$2604,'Form responses 1'!$C$2:$C$2604,""))</f>
        <v/>
      </c>
      <c r="F3833" s="44" t="str">
        <f t="array" ref="F3833">IF(B3833="","",_xlfn.XLOOKUP(B3833,'Form responses 1'!$B$2:$B$2604,'Form responses 1'!$D$2:$D$2604,""))</f>
        <v/>
      </c>
      <c r="G3833" s="44" t="str">
        <f t="array" ref="G3833">IF(B3833="","",_xlfn.XLOOKUP(B3833,'Form responses 1'!$B$2:$B$2604,'Form responses 1'!$E$2:$E$2604,""))</f>
        <v/>
      </c>
      <c r="H3833" s="44" t="str">
        <f t="array" ref="H3833">IF(B3833="","",_xlfn.XLOOKUP(B3833,'Form responses 1'!$B$2:$B$2604,'Form responses 1'!$F$2:$F$2604,""))</f>
        <v/>
      </c>
      <c r="I3833" s="44" t="str">
        <f t="array" ref="I3833">IF(B3833="","",_xlfn.XLOOKUP(B3833,'Form responses 1'!$B$2:$B$2604,'Form responses 1'!$I$2:$I$2604,""))</f>
        <v/>
      </c>
      <c r="J3833" s="44" t="str">
        <f t="array" ref="J3833">IF(B3833="","",_xlfn.XLOOKUP(B3833,'Form responses 1'!$B$2:$B$2604,'Form responses 1'!$G$2:$G$2604,""))</f>
        <v/>
      </c>
      <c r="K3833" s="56"/>
      <c r="L3833" s="58" t="str">
        <f t="shared" si="7"/>
        <v/>
      </c>
      <c r="M3833" s="49"/>
      <c r="N3833" s="49"/>
      <c r="O3833" s="49"/>
      <c r="P3833" s="49"/>
      <c r="Q3833" s="49"/>
      <c r="R3833" s="49"/>
      <c r="S3833" s="49"/>
      <c r="T3833" s="49"/>
      <c r="U3833" s="49"/>
      <c r="V3833" s="49"/>
      <c r="W3833" s="56"/>
      <c r="X3833" s="51" t="str">
        <f t="shared" si="5"/>
        <v/>
      </c>
      <c r="Y3833" s="50" t="s">
        <v>482</v>
      </c>
      <c r="Z3833" s="49">
        <f t="shared" si="6"/>
        <v>0</v>
      </c>
    </row>
    <row r="3834" ht="22.5" customHeight="1">
      <c r="B3834" s="57"/>
      <c r="C3834" s="43" t="str">
        <f t="array" ref="C3834">IF(B3834="","",_xlfn.XLOOKUP(B3834,'Form responses 1'!$B$2:$B$2604,'Form responses 1'!$A$2:$A$2604,""))</f>
        <v/>
      </c>
      <c r="D3834" s="44" t="str">
        <f t="shared" si="3"/>
        <v/>
      </c>
      <c r="E3834" s="44" t="str">
        <f t="array" ref="E3834">IF(B3834="","",_xlfn.XLOOKUP(B3834,'Form responses 1'!$B$2:$B$2604,'Form responses 1'!$C$2:$C$2604,""))</f>
        <v/>
      </c>
      <c r="F3834" s="44" t="str">
        <f t="array" ref="F3834">IF(B3834="","",_xlfn.XLOOKUP(B3834,'Form responses 1'!$B$2:$B$2604,'Form responses 1'!$D$2:$D$2604,""))</f>
        <v/>
      </c>
      <c r="G3834" s="44" t="str">
        <f t="array" ref="G3834">IF(B3834="","",_xlfn.XLOOKUP(B3834,'Form responses 1'!$B$2:$B$2604,'Form responses 1'!$E$2:$E$2604,""))</f>
        <v/>
      </c>
      <c r="H3834" s="44" t="str">
        <f t="array" ref="H3834">IF(B3834="","",_xlfn.XLOOKUP(B3834,'Form responses 1'!$B$2:$B$2604,'Form responses 1'!$F$2:$F$2604,""))</f>
        <v/>
      </c>
      <c r="I3834" s="44" t="str">
        <f t="array" ref="I3834">IF(B3834="","",_xlfn.XLOOKUP(B3834,'Form responses 1'!$B$2:$B$2604,'Form responses 1'!$I$2:$I$2604,""))</f>
        <v/>
      </c>
      <c r="J3834" s="44" t="str">
        <f t="array" ref="J3834">IF(B3834="","",_xlfn.XLOOKUP(B3834,'Form responses 1'!$B$2:$B$2604,'Form responses 1'!$G$2:$G$2604,""))</f>
        <v/>
      </c>
      <c r="K3834" s="56"/>
      <c r="L3834" s="58" t="str">
        <f t="shared" si="7"/>
        <v/>
      </c>
      <c r="M3834" s="49"/>
      <c r="N3834" s="49"/>
      <c r="O3834" s="49"/>
      <c r="P3834" s="49"/>
      <c r="Q3834" s="49"/>
      <c r="R3834" s="49"/>
      <c r="S3834" s="49"/>
      <c r="T3834" s="49"/>
      <c r="U3834" s="49"/>
      <c r="V3834" s="49"/>
      <c r="W3834" s="56"/>
      <c r="X3834" s="51" t="str">
        <f t="shared" si="5"/>
        <v/>
      </c>
      <c r="Y3834" s="50" t="s">
        <v>482</v>
      </c>
      <c r="Z3834" s="49">
        <f t="shared" si="6"/>
        <v>0</v>
      </c>
    </row>
    <row r="3835" ht="22.5" customHeight="1">
      <c r="B3835" s="57"/>
      <c r="C3835" s="43" t="str">
        <f t="array" ref="C3835">IF(B3835="","",_xlfn.XLOOKUP(B3835,'Form responses 1'!$B$2:$B$2604,'Form responses 1'!$A$2:$A$2604,""))</f>
        <v/>
      </c>
      <c r="D3835" s="44" t="str">
        <f t="shared" si="3"/>
        <v/>
      </c>
      <c r="E3835" s="44" t="str">
        <f t="array" ref="E3835">IF(B3835="","",_xlfn.XLOOKUP(B3835,'Form responses 1'!$B$2:$B$2604,'Form responses 1'!$C$2:$C$2604,""))</f>
        <v/>
      </c>
      <c r="F3835" s="44" t="str">
        <f t="array" ref="F3835">IF(B3835="","",_xlfn.XLOOKUP(B3835,'Form responses 1'!$B$2:$B$2604,'Form responses 1'!$D$2:$D$2604,""))</f>
        <v/>
      </c>
      <c r="G3835" s="44" t="str">
        <f t="array" ref="G3835">IF(B3835="","",_xlfn.XLOOKUP(B3835,'Form responses 1'!$B$2:$B$2604,'Form responses 1'!$E$2:$E$2604,""))</f>
        <v/>
      </c>
      <c r="H3835" s="44" t="str">
        <f t="array" ref="H3835">IF(B3835="","",_xlfn.XLOOKUP(B3835,'Form responses 1'!$B$2:$B$2604,'Form responses 1'!$F$2:$F$2604,""))</f>
        <v/>
      </c>
      <c r="I3835" s="44" t="str">
        <f t="array" ref="I3835">IF(B3835="","",_xlfn.XLOOKUP(B3835,'Form responses 1'!$B$2:$B$2604,'Form responses 1'!$I$2:$I$2604,""))</f>
        <v/>
      </c>
      <c r="J3835" s="44" t="str">
        <f t="array" ref="J3835">IF(B3835="","",_xlfn.XLOOKUP(B3835,'Form responses 1'!$B$2:$B$2604,'Form responses 1'!$G$2:$G$2604,""))</f>
        <v/>
      </c>
      <c r="K3835" s="56"/>
      <c r="L3835" s="58" t="str">
        <f t="shared" si="7"/>
        <v/>
      </c>
      <c r="M3835" s="49"/>
      <c r="N3835" s="49"/>
      <c r="O3835" s="49"/>
      <c r="P3835" s="49"/>
      <c r="Q3835" s="49"/>
      <c r="R3835" s="49"/>
      <c r="S3835" s="49"/>
      <c r="T3835" s="49"/>
      <c r="U3835" s="49"/>
      <c r="V3835" s="49"/>
      <c r="W3835" s="56"/>
      <c r="X3835" s="51" t="str">
        <f t="shared" si="5"/>
        <v/>
      </c>
      <c r="Y3835" s="50" t="s">
        <v>482</v>
      </c>
      <c r="Z3835" s="49">
        <f t="shared" si="6"/>
        <v>0</v>
      </c>
    </row>
    <row r="3836" ht="22.5" customHeight="1">
      <c r="B3836" s="57"/>
      <c r="C3836" s="43" t="str">
        <f t="array" ref="C3836">IF(B3836="","",_xlfn.XLOOKUP(B3836,'Form responses 1'!$B$2:$B$2604,'Form responses 1'!$A$2:$A$2604,""))</f>
        <v/>
      </c>
      <c r="D3836" s="44" t="str">
        <f t="shared" si="3"/>
        <v/>
      </c>
      <c r="E3836" s="44" t="str">
        <f t="array" ref="E3836">IF(B3836="","",_xlfn.XLOOKUP(B3836,'Form responses 1'!$B$2:$B$2604,'Form responses 1'!$C$2:$C$2604,""))</f>
        <v/>
      </c>
      <c r="F3836" s="44" t="str">
        <f t="array" ref="F3836">IF(B3836="","",_xlfn.XLOOKUP(B3836,'Form responses 1'!$B$2:$B$2604,'Form responses 1'!$D$2:$D$2604,""))</f>
        <v/>
      </c>
      <c r="G3836" s="44" t="str">
        <f t="array" ref="G3836">IF(B3836="","",_xlfn.XLOOKUP(B3836,'Form responses 1'!$B$2:$B$2604,'Form responses 1'!$E$2:$E$2604,""))</f>
        <v/>
      </c>
      <c r="H3836" s="44" t="str">
        <f t="array" ref="H3836">IF(B3836="","",_xlfn.XLOOKUP(B3836,'Form responses 1'!$B$2:$B$2604,'Form responses 1'!$F$2:$F$2604,""))</f>
        <v/>
      </c>
      <c r="I3836" s="44" t="str">
        <f t="array" ref="I3836">IF(B3836="","",_xlfn.XLOOKUP(B3836,'Form responses 1'!$B$2:$B$2604,'Form responses 1'!$I$2:$I$2604,""))</f>
        <v/>
      </c>
      <c r="J3836" s="44" t="str">
        <f t="array" ref="J3836">IF(B3836="","",_xlfn.XLOOKUP(B3836,'Form responses 1'!$B$2:$B$2604,'Form responses 1'!$G$2:$G$2604,""))</f>
        <v/>
      </c>
      <c r="K3836" s="56"/>
      <c r="L3836" s="58" t="str">
        <f t="shared" si="7"/>
        <v/>
      </c>
      <c r="M3836" s="49"/>
      <c r="N3836" s="49"/>
      <c r="O3836" s="49"/>
      <c r="P3836" s="49"/>
      <c r="Q3836" s="49"/>
      <c r="R3836" s="49"/>
      <c r="S3836" s="49"/>
      <c r="T3836" s="49"/>
      <c r="U3836" s="49"/>
      <c r="V3836" s="49"/>
      <c r="W3836" s="56"/>
      <c r="X3836" s="51" t="str">
        <f t="shared" si="5"/>
        <v/>
      </c>
      <c r="Y3836" s="50" t="s">
        <v>482</v>
      </c>
      <c r="Z3836" s="49">
        <f t="shared" si="6"/>
        <v>0</v>
      </c>
    </row>
    <row r="3837" ht="22.5" customHeight="1">
      <c r="B3837" s="57"/>
      <c r="C3837" s="43" t="str">
        <f t="array" ref="C3837">IF(B3837="","",_xlfn.XLOOKUP(B3837,'Form responses 1'!$B$2:$B$2604,'Form responses 1'!$A$2:$A$2604,""))</f>
        <v/>
      </c>
      <c r="D3837" s="44" t="str">
        <f t="shared" si="3"/>
        <v/>
      </c>
      <c r="E3837" s="44" t="str">
        <f t="array" ref="E3837">IF(B3837="","",_xlfn.XLOOKUP(B3837,'Form responses 1'!$B$2:$B$2604,'Form responses 1'!$C$2:$C$2604,""))</f>
        <v/>
      </c>
      <c r="F3837" s="44" t="str">
        <f t="array" ref="F3837">IF(B3837="","",_xlfn.XLOOKUP(B3837,'Form responses 1'!$B$2:$B$2604,'Form responses 1'!$D$2:$D$2604,""))</f>
        <v/>
      </c>
      <c r="G3837" s="44" t="str">
        <f t="array" ref="G3837">IF(B3837="","",_xlfn.XLOOKUP(B3837,'Form responses 1'!$B$2:$B$2604,'Form responses 1'!$E$2:$E$2604,""))</f>
        <v/>
      </c>
      <c r="H3837" s="44" t="str">
        <f t="array" ref="H3837">IF(B3837="","",_xlfn.XLOOKUP(B3837,'Form responses 1'!$B$2:$B$2604,'Form responses 1'!$F$2:$F$2604,""))</f>
        <v/>
      </c>
      <c r="I3837" s="44" t="str">
        <f t="array" ref="I3837">IF(B3837="","",_xlfn.XLOOKUP(B3837,'Form responses 1'!$B$2:$B$2604,'Form responses 1'!$I$2:$I$2604,""))</f>
        <v/>
      </c>
      <c r="J3837" s="44" t="str">
        <f t="array" ref="J3837">IF(B3837="","",_xlfn.XLOOKUP(B3837,'Form responses 1'!$B$2:$B$2604,'Form responses 1'!$G$2:$G$2604,""))</f>
        <v/>
      </c>
      <c r="K3837" s="56"/>
      <c r="L3837" s="58" t="str">
        <f t="shared" si="7"/>
        <v/>
      </c>
      <c r="M3837" s="49"/>
      <c r="N3837" s="49"/>
      <c r="O3837" s="49"/>
      <c r="P3837" s="49"/>
      <c r="Q3837" s="49"/>
      <c r="R3837" s="49"/>
      <c r="S3837" s="49"/>
      <c r="T3837" s="49"/>
      <c r="U3837" s="49"/>
      <c r="V3837" s="49"/>
      <c r="W3837" s="56"/>
      <c r="X3837" s="51" t="str">
        <f t="shared" si="5"/>
        <v/>
      </c>
      <c r="Y3837" s="50" t="s">
        <v>482</v>
      </c>
      <c r="Z3837" s="49">
        <f t="shared" si="6"/>
        <v>0</v>
      </c>
    </row>
    <row r="3838" ht="22.5" customHeight="1">
      <c r="B3838" s="57"/>
      <c r="C3838" s="43" t="str">
        <f t="array" ref="C3838">IF(B3838="","",_xlfn.XLOOKUP(B3838,'Form responses 1'!$B$2:$B$2604,'Form responses 1'!$A$2:$A$2604,""))</f>
        <v/>
      </c>
      <c r="D3838" s="44" t="str">
        <f t="shared" si="3"/>
        <v/>
      </c>
      <c r="E3838" s="44" t="str">
        <f t="array" ref="E3838">IF(B3838="","",_xlfn.XLOOKUP(B3838,'Form responses 1'!$B$2:$B$2604,'Form responses 1'!$C$2:$C$2604,""))</f>
        <v/>
      </c>
      <c r="F3838" s="44" t="str">
        <f t="array" ref="F3838">IF(B3838="","",_xlfn.XLOOKUP(B3838,'Form responses 1'!$B$2:$B$2604,'Form responses 1'!$D$2:$D$2604,""))</f>
        <v/>
      </c>
      <c r="G3838" s="44" t="str">
        <f t="array" ref="G3838">IF(B3838="","",_xlfn.XLOOKUP(B3838,'Form responses 1'!$B$2:$B$2604,'Form responses 1'!$E$2:$E$2604,""))</f>
        <v/>
      </c>
      <c r="H3838" s="44" t="str">
        <f t="array" ref="H3838">IF(B3838="","",_xlfn.XLOOKUP(B3838,'Form responses 1'!$B$2:$B$2604,'Form responses 1'!$F$2:$F$2604,""))</f>
        <v/>
      </c>
      <c r="I3838" s="44" t="str">
        <f t="array" ref="I3838">IF(B3838="","",_xlfn.XLOOKUP(B3838,'Form responses 1'!$B$2:$B$2604,'Form responses 1'!$I$2:$I$2604,""))</f>
        <v/>
      </c>
      <c r="J3838" s="44" t="str">
        <f t="array" ref="J3838">IF(B3838="","",_xlfn.XLOOKUP(B3838,'Form responses 1'!$B$2:$B$2604,'Form responses 1'!$G$2:$G$2604,""))</f>
        <v/>
      </c>
      <c r="K3838" s="56"/>
      <c r="L3838" s="58" t="str">
        <f t="shared" si="7"/>
        <v/>
      </c>
      <c r="M3838" s="49"/>
      <c r="N3838" s="49"/>
      <c r="O3838" s="49"/>
      <c r="P3838" s="49"/>
      <c r="Q3838" s="49"/>
      <c r="R3838" s="49"/>
      <c r="S3838" s="49"/>
      <c r="T3838" s="49"/>
      <c r="U3838" s="49"/>
      <c r="V3838" s="49"/>
      <c r="W3838" s="56"/>
      <c r="X3838" s="51" t="str">
        <f t="shared" si="5"/>
        <v/>
      </c>
      <c r="Y3838" s="50" t="s">
        <v>482</v>
      </c>
      <c r="Z3838" s="49">
        <f t="shared" si="6"/>
        <v>0</v>
      </c>
    </row>
    <row r="3839" ht="22.5" customHeight="1">
      <c r="B3839" s="57"/>
      <c r="C3839" s="43" t="str">
        <f t="array" ref="C3839">IF(B3839="","",_xlfn.XLOOKUP(B3839,'Form responses 1'!$B$2:$B$2604,'Form responses 1'!$A$2:$A$2604,""))</f>
        <v/>
      </c>
      <c r="D3839" s="44" t="str">
        <f t="shared" si="3"/>
        <v/>
      </c>
      <c r="E3839" s="44" t="str">
        <f t="array" ref="E3839">IF(B3839="","",_xlfn.XLOOKUP(B3839,'Form responses 1'!$B$2:$B$2604,'Form responses 1'!$C$2:$C$2604,""))</f>
        <v/>
      </c>
      <c r="F3839" s="44" t="str">
        <f t="array" ref="F3839">IF(B3839="","",_xlfn.XLOOKUP(B3839,'Form responses 1'!$B$2:$B$2604,'Form responses 1'!$D$2:$D$2604,""))</f>
        <v/>
      </c>
      <c r="G3839" s="44" t="str">
        <f t="array" ref="G3839">IF(B3839="","",_xlfn.XLOOKUP(B3839,'Form responses 1'!$B$2:$B$2604,'Form responses 1'!$E$2:$E$2604,""))</f>
        <v/>
      </c>
      <c r="H3839" s="44" t="str">
        <f t="array" ref="H3839">IF(B3839="","",_xlfn.XLOOKUP(B3839,'Form responses 1'!$B$2:$B$2604,'Form responses 1'!$F$2:$F$2604,""))</f>
        <v/>
      </c>
      <c r="I3839" s="44" t="str">
        <f t="array" ref="I3839">IF(B3839="","",_xlfn.XLOOKUP(B3839,'Form responses 1'!$B$2:$B$2604,'Form responses 1'!$I$2:$I$2604,""))</f>
        <v/>
      </c>
      <c r="J3839" s="44" t="str">
        <f t="array" ref="J3839">IF(B3839="","",_xlfn.XLOOKUP(B3839,'Form responses 1'!$B$2:$B$2604,'Form responses 1'!$G$2:$G$2604,""))</f>
        <v/>
      </c>
      <c r="K3839" s="56"/>
      <c r="L3839" s="58" t="str">
        <f t="shared" si="7"/>
        <v/>
      </c>
      <c r="M3839" s="49"/>
      <c r="N3839" s="49"/>
      <c r="O3839" s="49"/>
      <c r="P3839" s="49"/>
      <c r="Q3839" s="49"/>
      <c r="R3839" s="49"/>
      <c r="S3839" s="49"/>
      <c r="T3839" s="49"/>
      <c r="U3839" s="49"/>
      <c r="V3839" s="49"/>
      <c r="W3839" s="56"/>
      <c r="X3839" s="51" t="str">
        <f t="shared" si="5"/>
        <v/>
      </c>
      <c r="Y3839" s="50" t="s">
        <v>482</v>
      </c>
      <c r="Z3839" s="49">
        <f t="shared" si="6"/>
        <v>0</v>
      </c>
    </row>
    <row r="3840" ht="22.5" customHeight="1">
      <c r="B3840" s="57"/>
      <c r="C3840" s="43" t="str">
        <f t="array" ref="C3840">IF(B3840="","",_xlfn.XLOOKUP(B3840,'Form responses 1'!$B$2:$B$2604,'Form responses 1'!$A$2:$A$2604,""))</f>
        <v/>
      </c>
      <c r="D3840" s="44" t="str">
        <f t="shared" si="3"/>
        <v/>
      </c>
      <c r="E3840" s="44" t="str">
        <f t="array" ref="E3840">IF(B3840="","",_xlfn.XLOOKUP(B3840,'Form responses 1'!$B$2:$B$2604,'Form responses 1'!$C$2:$C$2604,""))</f>
        <v/>
      </c>
      <c r="F3840" s="44" t="str">
        <f t="array" ref="F3840">IF(B3840="","",_xlfn.XLOOKUP(B3840,'Form responses 1'!$B$2:$B$2604,'Form responses 1'!$D$2:$D$2604,""))</f>
        <v/>
      </c>
      <c r="G3840" s="44" t="str">
        <f t="array" ref="G3840">IF(B3840="","",_xlfn.XLOOKUP(B3840,'Form responses 1'!$B$2:$B$2604,'Form responses 1'!$E$2:$E$2604,""))</f>
        <v/>
      </c>
      <c r="H3840" s="44" t="str">
        <f t="array" ref="H3840">IF(B3840="","",_xlfn.XLOOKUP(B3840,'Form responses 1'!$B$2:$B$2604,'Form responses 1'!$F$2:$F$2604,""))</f>
        <v/>
      </c>
      <c r="I3840" s="44" t="str">
        <f t="array" ref="I3840">IF(B3840="","",_xlfn.XLOOKUP(B3840,'Form responses 1'!$B$2:$B$2604,'Form responses 1'!$I$2:$I$2604,""))</f>
        <v/>
      </c>
      <c r="J3840" s="44" t="str">
        <f t="array" ref="J3840">IF(B3840="","",_xlfn.XLOOKUP(B3840,'Form responses 1'!$B$2:$B$2604,'Form responses 1'!$G$2:$G$2604,""))</f>
        <v/>
      </c>
      <c r="K3840" s="56"/>
      <c r="L3840" s="58" t="str">
        <f t="shared" si="7"/>
        <v/>
      </c>
      <c r="M3840" s="49"/>
      <c r="N3840" s="49"/>
      <c r="O3840" s="49"/>
      <c r="P3840" s="49"/>
      <c r="Q3840" s="49"/>
      <c r="R3840" s="49"/>
      <c r="S3840" s="49"/>
      <c r="T3840" s="49"/>
      <c r="U3840" s="49"/>
      <c r="V3840" s="49"/>
      <c r="W3840" s="56"/>
      <c r="X3840" s="51" t="str">
        <f t="shared" si="5"/>
        <v/>
      </c>
      <c r="Y3840" s="50" t="s">
        <v>482</v>
      </c>
      <c r="Z3840" s="49">
        <f t="shared" si="6"/>
        <v>0</v>
      </c>
    </row>
    <row r="3841" ht="22.5" customHeight="1">
      <c r="B3841" s="57"/>
      <c r="C3841" s="43" t="str">
        <f t="array" ref="C3841">IF(B3841="","",_xlfn.XLOOKUP(B3841,'Form responses 1'!$B$2:$B$2604,'Form responses 1'!$A$2:$A$2604,""))</f>
        <v/>
      </c>
      <c r="D3841" s="44" t="str">
        <f t="shared" si="3"/>
        <v/>
      </c>
      <c r="E3841" s="44" t="str">
        <f t="array" ref="E3841">IF(B3841="","",_xlfn.XLOOKUP(B3841,'Form responses 1'!$B$2:$B$2604,'Form responses 1'!$C$2:$C$2604,""))</f>
        <v/>
      </c>
      <c r="F3841" s="44" t="str">
        <f t="array" ref="F3841">IF(B3841="","",_xlfn.XLOOKUP(B3841,'Form responses 1'!$B$2:$B$2604,'Form responses 1'!$D$2:$D$2604,""))</f>
        <v/>
      </c>
      <c r="G3841" s="44" t="str">
        <f t="array" ref="G3841">IF(B3841="","",_xlfn.XLOOKUP(B3841,'Form responses 1'!$B$2:$B$2604,'Form responses 1'!$E$2:$E$2604,""))</f>
        <v/>
      </c>
      <c r="H3841" s="44" t="str">
        <f t="array" ref="H3841">IF(B3841="","",_xlfn.XLOOKUP(B3841,'Form responses 1'!$B$2:$B$2604,'Form responses 1'!$F$2:$F$2604,""))</f>
        <v/>
      </c>
      <c r="I3841" s="44" t="str">
        <f t="array" ref="I3841">IF(B3841="","",_xlfn.XLOOKUP(B3841,'Form responses 1'!$B$2:$B$2604,'Form responses 1'!$I$2:$I$2604,""))</f>
        <v/>
      </c>
      <c r="J3841" s="44" t="str">
        <f t="array" ref="J3841">IF(B3841="","",_xlfn.XLOOKUP(B3841,'Form responses 1'!$B$2:$B$2604,'Form responses 1'!$G$2:$G$2604,""))</f>
        <v/>
      </c>
      <c r="K3841" s="56"/>
      <c r="L3841" s="58" t="str">
        <f t="shared" si="7"/>
        <v/>
      </c>
      <c r="M3841" s="49"/>
      <c r="N3841" s="49"/>
      <c r="O3841" s="49"/>
      <c r="P3841" s="49"/>
      <c r="Q3841" s="49"/>
      <c r="R3841" s="49"/>
      <c r="S3841" s="49"/>
      <c r="T3841" s="49"/>
      <c r="U3841" s="49"/>
      <c r="V3841" s="49"/>
      <c r="W3841" s="56"/>
      <c r="X3841" s="51" t="str">
        <f t="shared" si="5"/>
        <v/>
      </c>
      <c r="Y3841" s="50" t="s">
        <v>482</v>
      </c>
      <c r="Z3841" s="49">
        <f t="shared" si="6"/>
        <v>0</v>
      </c>
    </row>
    <row r="3842" ht="22.5" customHeight="1">
      <c r="B3842" s="57"/>
      <c r="C3842" s="43" t="str">
        <f t="array" ref="C3842">IF(B3842="","",_xlfn.XLOOKUP(B3842,'Form responses 1'!$B$2:$B$2604,'Form responses 1'!$A$2:$A$2604,""))</f>
        <v/>
      </c>
      <c r="D3842" s="44" t="str">
        <f t="shared" si="3"/>
        <v/>
      </c>
      <c r="E3842" s="44" t="str">
        <f t="array" ref="E3842">IF(B3842="","",_xlfn.XLOOKUP(B3842,'Form responses 1'!$B$2:$B$2604,'Form responses 1'!$C$2:$C$2604,""))</f>
        <v/>
      </c>
      <c r="F3842" s="44" t="str">
        <f t="array" ref="F3842">IF(B3842="","",_xlfn.XLOOKUP(B3842,'Form responses 1'!$B$2:$B$2604,'Form responses 1'!$D$2:$D$2604,""))</f>
        <v/>
      </c>
      <c r="G3842" s="44" t="str">
        <f t="array" ref="G3842">IF(B3842="","",_xlfn.XLOOKUP(B3842,'Form responses 1'!$B$2:$B$2604,'Form responses 1'!$E$2:$E$2604,""))</f>
        <v/>
      </c>
      <c r="H3842" s="44" t="str">
        <f t="array" ref="H3842">IF(B3842="","",_xlfn.XLOOKUP(B3842,'Form responses 1'!$B$2:$B$2604,'Form responses 1'!$F$2:$F$2604,""))</f>
        <v/>
      </c>
      <c r="I3842" s="44" t="str">
        <f t="array" ref="I3842">IF(B3842="","",_xlfn.XLOOKUP(B3842,'Form responses 1'!$B$2:$B$2604,'Form responses 1'!$I$2:$I$2604,""))</f>
        <v/>
      </c>
      <c r="J3842" s="44" t="str">
        <f t="array" ref="J3842">IF(B3842="","",_xlfn.XLOOKUP(B3842,'Form responses 1'!$B$2:$B$2604,'Form responses 1'!$G$2:$G$2604,""))</f>
        <v/>
      </c>
      <c r="K3842" s="56"/>
      <c r="L3842" s="58" t="str">
        <f t="shared" si="7"/>
        <v/>
      </c>
      <c r="M3842" s="49"/>
      <c r="N3842" s="49"/>
      <c r="O3842" s="49"/>
      <c r="P3842" s="49"/>
      <c r="Q3842" s="49"/>
      <c r="R3842" s="49"/>
      <c r="S3842" s="49"/>
      <c r="T3842" s="49"/>
      <c r="U3842" s="49"/>
      <c r="V3842" s="49"/>
      <c r="W3842" s="56"/>
      <c r="X3842" s="51" t="str">
        <f t="shared" si="5"/>
        <v/>
      </c>
      <c r="Y3842" s="50" t="s">
        <v>482</v>
      </c>
      <c r="Z3842" s="49">
        <f t="shared" si="6"/>
        <v>0</v>
      </c>
    </row>
    <row r="3843" ht="22.5" customHeight="1">
      <c r="B3843" s="57"/>
      <c r="C3843" s="43" t="str">
        <f t="array" ref="C3843">IF(B3843="","",_xlfn.XLOOKUP(B3843,'Form responses 1'!$B$2:$B$2604,'Form responses 1'!$A$2:$A$2604,""))</f>
        <v/>
      </c>
      <c r="D3843" s="44" t="str">
        <f t="shared" si="3"/>
        <v/>
      </c>
      <c r="E3843" s="44" t="str">
        <f t="array" ref="E3843">IF(B3843="","",_xlfn.XLOOKUP(B3843,'Form responses 1'!$B$2:$B$2604,'Form responses 1'!$C$2:$C$2604,""))</f>
        <v/>
      </c>
      <c r="F3843" s="44" t="str">
        <f t="array" ref="F3843">IF(B3843="","",_xlfn.XLOOKUP(B3843,'Form responses 1'!$B$2:$B$2604,'Form responses 1'!$D$2:$D$2604,""))</f>
        <v/>
      </c>
      <c r="G3843" s="44" t="str">
        <f t="array" ref="G3843">IF(B3843="","",_xlfn.XLOOKUP(B3843,'Form responses 1'!$B$2:$B$2604,'Form responses 1'!$E$2:$E$2604,""))</f>
        <v/>
      </c>
      <c r="H3843" s="44" t="str">
        <f t="array" ref="H3843">IF(B3843="","",_xlfn.XLOOKUP(B3843,'Form responses 1'!$B$2:$B$2604,'Form responses 1'!$F$2:$F$2604,""))</f>
        <v/>
      </c>
      <c r="I3843" s="44" t="str">
        <f t="array" ref="I3843">IF(B3843="","",_xlfn.XLOOKUP(B3843,'Form responses 1'!$B$2:$B$2604,'Form responses 1'!$I$2:$I$2604,""))</f>
        <v/>
      </c>
      <c r="J3843" s="44" t="str">
        <f t="array" ref="J3843">IF(B3843="","",_xlfn.XLOOKUP(B3843,'Form responses 1'!$B$2:$B$2604,'Form responses 1'!$G$2:$G$2604,""))</f>
        <v/>
      </c>
      <c r="K3843" s="56"/>
      <c r="L3843" s="58" t="str">
        <f t="shared" si="7"/>
        <v/>
      </c>
      <c r="M3843" s="49"/>
      <c r="N3843" s="49"/>
      <c r="O3843" s="49"/>
      <c r="P3843" s="49"/>
      <c r="Q3843" s="49"/>
      <c r="R3843" s="49"/>
      <c r="S3843" s="49"/>
      <c r="T3843" s="49"/>
      <c r="U3843" s="49"/>
      <c r="V3843" s="49"/>
      <c r="W3843" s="56"/>
      <c r="X3843" s="51" t="str">
        <f t="shared" si="5"/>
        <v/>
      </c>
      <c r="Y3843" s="50" t="s">
        <v>482</v>
      </c>
      <c r="Z3843" s="49">
        <f t="shared" si="6"/>
        <v>0</v>
      </c>
    </row>
    <row r="3844" ht="22.5" customHeight="1">
      <c r="B3844" s="57"/>
      <c r="C3844" s="43" t="str">
        <f t="array" ref="C3844">IF(B3844="","",_xlfn.XLOOKUP(B3844,'Form responses 1'!$B$2:$B$2604,'Form responses 1'!$A$2:$A$2604,""))</f>
        <v/>
      </c>
      <c r="D3844" s="44" t="str">
        <f t="shared" si="3"/>
        <v/>
      </c>
      <c r="E3844" s="44" t="str">
        <f t="array" ref="E3844">IF(B3844="","",_xlfn.XLOOKUP(B3844,'Form responses 1'!$B$2:$B$2604,'Form responses 1'!$C$2:$C$2604,""))</f>
        <v/>
      </c>
      <c r="F3844" s="44" t="str">
        <f t="array" ref="F3844">IF(B3844="","",_xlfn.XLOOKUP(B3844,'Form responses 1'!$B$2:$B$2604,'Form responses 1'!$D$2:$D$2604,""))</f>
        <v/>
      </c>
      <c r="G3844" s="44" t="str">
        <f t="array" ref="G3844">IF(B3844="","",_xlfn.XLOOKUP(B3844,'Form responses 1'!$B$2:$B$2604,'Form responses 1'!$E$2:$E$2604,""))</f>
        <v/>
      </c>
      <c r="H3844" s="44" t="str">
        <f t="array" ref="H3844">IF(B3844="","",_xlfn.XLOOKUP(B3844,'Form responses 1'!$B$2:$B$2604,'Form responses 1'!$F$2:$F$2604,""))</f>
        <v/>
      </c>
      <c r="I3844" s="44" t="str">
        <f t="array" ref="I3844">IF(B3844="","",_xlfn.XLOOKUP(B3844,'Form responses 1'!$B$2:$B$2604,'Form responses 1'!$I$2:$I$2604,""))</f>
        <v/>
      </c>
      <c r="J3844" s="44" t="str">
        <f t="array" ref="J3844">IF(B3844="","",_xlfn.XLOOKUP(B3844,'Form responses 1'!$B$2:$B$2604,'Form responses 1'!$G$2:$G$2604,""))</f>
        <v/>
      </c>
      <c r="K3844" s="56"/>
      <c r="L3844" s="58" t="str">
        <f t="shared" si="7"/>
        <v/>
      </c>
      <c r="M3844" s="49"/>
      <c r="N3844" s="49"/>
      <c r="O3844" s="49"/>
      <c r="P3844" s="49"/>
      <c r="Q3844" s="49"/>
      <c r="R3844" s="49"/>
      <c r="S3844" s="49"/>
      <c r="T3844" s="49"/>
      <c r="U3844" s="49"/>
      <c r="V3844" s="49"/>
      <c r="W3844" s="56"/>
      <c r="X3844" s="51" t="str">
        <f t="shared" si="5"/>
        <v/>
      </c>
      <c r="Y3844" s="50" t="s">
        <v>482</v>
      </c>
      <c r="Z3844" s="49">
        <f t="shared" si="6"/>
        <v>0</v>
      </c>
    </row>
    <row r="3845" ht="22.5" customHeight="1">
      <c r="B3845" s="57"/>
      <c r="C3845" s="43" t="str">
        <f t="array" ref="C3845">IF(B3845="","",_xlfn.XLOOKUP(B3845,'Form responses 1'!$B$2:$B$2604,'Form responses 1'!$A$2:$A$2604,""))</f>
        <v/>
      </c>
      <c r="D3845" s="44" t="str">
        <f t="shared" si="3"/>
        <v/>
      </c>
      <c r="E3845" s="44" t="str">
        <f t="array" ref="E3845">IF(B3845="","",_xlfn.XLOOKUP(B3845,'Form responses 1'!$B$2:$B$2604,'Form responses 1'!$C$2:$C$2604,""))</f>
        <v/>
      </c>
      <c r="F3845" s="44" t="str">
        <f t="array" ref="F3845">IF(B3845="","",_xlfn.XLOOKUP(B3845,'Form responses 1'!$B$2:$B$2604,'Form responses 1'!$D$2:$D$2604,""))</f>
        <v/>
      </c>
      <c r="G3845" s="44" t="str">
        <f t="array" ref="G3845">IF(B3845="","",_xlfn.XLOOKUP(B3845,'Form responses 1'!$B$2:$B$2604,'Form responses 1'!$E$2:$E$2604,""))</f>
        <v/>
      </c>
      <c r="H3845" s="44" t="str">
        <f t="array" ref="H3845">IF(B3845="","",_xlfn.XLOOKUP(B3845,'Form responses 1'!$B$2:$B$2604,'Form responses 1'!$F$2:$F$2604,""))</f>
        <v/>
      </c>
      <c r="I3845" s="44" t="str">
        <f t="array" ref="I3845">IF(B3845="","",_xlfn.XLOOKUP(B3845,'Form responses 1'!$B$2:$B$2604,'Form responses 1'!$I$2:$I$2604,""))</f>
        <v/>
      </c>
      <c r="J3845" s="44" t="str">
        <f t="array" ref="J3845">IF(B3845="","",_xlfn.XLOOKUP(B3845,'Form responses 1'!$B$2:$B$2604,'Form responses 1'!$G$2:$G$2604,""))</f>
        <v/>
      </c>
      <c r="K3845" s="56"/>
      <c r="L3845" s="58" t="str">
        <f t="shared" si="7"/>
        <v/>
      </c>
      <c r="M3845" s="49"/>
      <c r="N3845" s="49"/>
      <c r="O3845" s="49"/>
      <c r="P3845" s="49"/>
      <c r="Q3845" s="49"/>
      <c r="R3845" s="49"/>
      <c r="S3845" s="49"/>
      <c r="T3845" s="49"/>
      <c r="U3845" s="49"/>
      <c r="V3845" s="49"/>
      <c r="W3845" s="56"/>
      <c r="X3845" s="51" t="str">
        <f t="shared" si="5"/>
        <v/>
      </c>
      <c r="Y3845" s="50" t="s">
        <v>482</v>
      </c>
      <c r="Z3845" s="49">
        <f t="shared" si="6"/>
        <v>0</v>
      </c>
    </row>
    <row r="3846" ht="22.5" customHeight="1">
      <c r="B3846" s="57"/>
      <c r="C3846" s="43" t="str">
        <f t="array" ref="C3846">IF(B3846="","",_xlfn.XLOOKUP(B3846,'Form responses 1'!$B$2:$B$2604,'Form responses 1'!$A$2:$A$2604,""))</f>
        <v/>
      </c>
      <c r="D3846" s="44" t="str">
        <f t="shared" si="3"/>
        <v/>
      </c>
      <c r="E3846" s="44" t="str">
        <f t="array" ref="E3846">IF(B3846="","",_xlfn.XLOOKUP(B3846,'Form responses 1'!$B$2:$B$2604,'Form responses 1'!$C$2:$C$2604,""))</f>
        <v/>
      </c>
      <c r="F3846" s="44" t="str">
        <f t="array" ref="F3846">IF(B3846="","",_xlfn.XLOOKUP(B3846,'Form responses 1'!$B$2:$B$2604,'Form responses 1'!$D$2:$D$2604,""))</f>
        <v/>
      </c>
      <c r="G3846" s="44" t="str">
        <f t="array" ref="G3846">IF(B3846="","",_xlfn.XLOOKUP(B3846,'Form responses 1'!$B$2:$B$2604,'Form responses 1'!$E$2:$E$2604,""))</f>
        <v/>
      </c>
      <c r="H3846" s="44" t="str">
        <f t="array" ref="H3846">IF(B3846="","",_xlfn.XLOOKUP(B3846,'Form responses 1'!$B$2:$B$2604,'Form responses 1'!$F$2:$F$2604,""))</f>
        <v/>
      </c>
      <c r="I3846" s="44" t="str">
        <f t="array" ref="I3846">IF(B3846="","",_xlfn.XLOOKUP(B3846,'Form responses 1'!$B$2:$B$2604,'Form responses 1'!$I$2:$I$2604,""))</f>
        <v/>
      </c>
      <c r="J3846" s="44" t="str">
        <f t="array" ref="J3846">IF(B3846="","",_xlfn.XLOOKUP(B3846,'Form responses 1'!$B$2:$B$2604,'Form responses 1'!$G$2:$G$2604,""))</f>
        <v/>
      </c>
      <c r="K3846" s="56"/>
      <c r="L3846" s="58" t="str">
        <f t="shared" si="7"/>
        <v/>
      </c>
      <c r="M3846" s="49"/>
      <c r="N3846" s="49"/>
      <c r="O3846" s="49"/>
      <c r="P3846" s="49"/>
      <c r="Q3846" s="49"/>
      <c r="R3846" s="49"/>
      <c r="S3846" s="49"/>
      <c r="T3846" s="49"/>
      <c r="U3846" s="49"/>
      <c r="V3846" s="49"/>
      <c r="W3846" s="56"/>
      <c r="X3846" s="51" t="str">
        <f t="shared" si="5"/>
        <v/>
      </c>
      <c r="Y3846" s="50" t="s">
        <v>482</v>
      </c>
      <c r="Z3846" s="49">
        <f t="shared" si="6"/>
        <v>0</v>
      </c>
    </row>
    <row r="3847" ht="22.5" customHeight="1">
      <c r="B3847" s="57"/>
      <c r="C3847" s="43" t="str">
        <f t="array" ref="C3847">IF(B3847="","",_xlfn.XLOOKUP(B3847,'Form responses 1'!$B$2:$B$2604,'Form responses 1'!$A$2:$A$2604,""))</f>
        <v/>
      </c>
      <c r="D3847" s="44" t="str">
        <f t="shared" si="3"/>
        <v/>
      </c>
      <c r="E3847" s="44" t="str">
        <f t="array" ref="E3847">IF(B3847="","",_xlfn.XLOOKUP(B3847,'Form responses 1'!$B$2:$B$2604,'Form responses 1'!$C$2:$C$2604,""))</f>
        <v/>
      </c>
      <c r="F3847" s="44" t="str">
        <f t="array" ref="F3847">IF(B3847="","",_xlfn.XLOOKUP(B3847,'Form responses 1'!$B$2:$B$2604,'Form responses 1'!$D$2:$D$2604,""))</f>
        <v/>
      </c>
      <c r="G3847" s="44" t="str">
        <f t="array" ref="G3847">IF(B3847="","",_xlfn.XLOOKUP(B3847,'Form responses 1'!$B$2:$B$2604,'Form responses 1'!$E$2:$E$2604,""))</f>
        <v/>
      </c>
      <c r="H3847" s="44" t="str">
        <f t="array" ref="H3847">IF(B3847="","",_xlfn.XLOOKUP(B3847,'Form responses 1'!$B$2:$B$2604,'Form responses 1'!$F$2:$F$2604,""))</f>
        <v/>
      </c>
      <c r="I3847" s="44" t="str">
        <f t="array" ref="I3847">IF(B3847="","",_xlfn.XLOOKUP(B3847,'Form responses 1'!$B$2:$B$2604,'Form responses 1'!$I$2:$I$2604,""))</f>
        <v/>
      </c>
      <c r="J3847" s="44" t="str">
        <f t="array" ref="J3847">IF(B3847="","",_xlfn.XLOOKUP(B3847,'Form responses 1'!$B$2:$B$2604,'Form responses 1'!$G$2:$G$2604,""))</f>
        <v/>
      </c>
      <c r="K3847" s="56"/>
      <c r="L3847" s="58" t="str">
        <f t="shared" si="7"/>
        <v/>
      </c>
      <c r="M3847" s="49"/>
      <c r="N3847" s="49"/>
      <c r="O3847" s="49"/>
      <c r="P3847" s="49"/>
      <c r="Q3847" s="49"/>
      <c r="R3847" s="49"/>
      <c r="S3847" s="49"/>
      <c r="T3847" s="49"/>
      <c r="U3847" s="49"/>
      <c r="V3847" s="49"/>
      <c r="W3847" s="56"/>
      <c r="X3847" s="51" t="str">
        <f t="shared" si="5"/>
        <v/>
      </c>
      <c r="Y3847" s="50" t="s">
        <v>482</v>
      </c>
      <c r="Z3847" s="49">
        <f t="shared" si="6"/>
        <v>0</v>
      </c>
    </row>
    <row r="3848" ht="22.5" customHeight="1">
      <c r="B3848" s="57"/>
      <c r="C3848" s="43" t="str">
        <f t="array" ref="C3848">IF(B3848="","",_xlfn.XLOOKUP(B3848,'Form responses 1'!$B$2:$B$2604,'Form responses 1'!$A$2:$A$2604,""))</f>
        <v/>
      </c>
      <c r="D3848" s="44" t="str">
        <f t="shared" si="3"/>
        <v/>
      </c>
      <c r="E3848" s="44" t="str">
        <f t="array" ref="E3848">IF(B3848="","",_xlfn.XLOOKUP(B3848,'Form responses 1'!$B$2:$B$2604,'Form responses 1'!$C$2:$C$2604,""))</f>
        <v/>
      </c>
      <c r="F3848" s="44" t="str">
        <f t="array" ref="F3848">IF(B3848="","",_xlfn.XLOOKUP(B3848,'Form responses 1'!$B$2:$B$2604,'Form responses 1'!$D$2:$D$2604,""))</f>
        <v/>
      </c>
      <c r="G3848" s="44" t="str">
        <f t="array" ref="G3848">IF(B3848="","",_xlfn.XLOOKUP(B3848,'Form responses 1'!$B$2:$B$2604,'Form responses 1'!$E$2:$E$2604,""))</f>
        <v/>
      </c>
      <c r="H3848" s="44" t="str">
        <f t="array" ref="H3848">IF(B3848="","",_xlfn.XLOOKUP(B3848,'Form responses 1'!$B$2:$B$2604,'Form responses 1'!$F$2:$F$2604,""))</f>
        <v/>
      </c>
      <c r="I3848" s="44" t="str">
        <f t="array" ref="I3848">IF(B3848="","",_xlfn.XLOOKUP(B3848,'Form responses 1'!$B$2:$B$2604,'Form responses 1'!$I$2:$I$2604,""))</f>
        <v/>
      </c>
      <c r="J3848" s="44" t="str">
        <f t="array" ref="J3848">IF(B3848="","",_xlfn.XLOOKUP(B3848,'Form responses 1'!$B$2:$B$2604,'Form responses 1'!$G$2:$G$2604,""))</f>
        <v/>
      </c>
      <c r="K3848" s="56"/>
      <c r="L3848" s="58" t="str">
        <f t="shared" si="7"/>
        <v/>
      </c>
      <c r="M3848" s="49"/>
      <c r="N3848" s="49"/>
      <c r="O3848" s="49"/>
      <c r="P3848" s="49"/>
      <c r="Q3848" s="49"/>
      <c r="R3848" s="49"/>
      <c r="S3848" s="49"/>
      <c r="T3848" s="49"/>
      <c r="U3848" s="49"/>
      <c r="V3848" s="49"/>
      <c r="W3848" s="56"/>
      <c r="X3848" s="51" t="str">
        <f t="shared" si="5"/>
        <v/>
      </c>
      <c r="Y3848" s="50" t="s">
        <v>482</v>
      </c>
      <c r="Z3848" s="49">
        <f t="shared" si="6"/>
        <v>0</v>
      </c>
    </row>
    <row r="3849" ht="22.5" customHeight="1">
      <c r="B3849" s="57"/>
      <c r="C3849" s="43" t="str">
        <f t="array" ref="C3849">IF(B3849="","",_xlfn.XLOOKUP(B3849,'Form responses 1'!$B$2:$B$2604,'Form responses 1'!$A$2:$A$2604,""))</f>
        <v/>
      </c>
      <c r="D3849" s="44" t="str">
        <f t="shared" si="3"/>
        <v/>
      </c>
      <c r="E3849" s="44" t="str">
        <f t="array" ref="E3849">IF(B3849="","",_xlfn.XLOOKUP(B3849,'Form responses 1'!$B$2:$B$2604,'Form responses 1'!$C$2:$C$2604,""))</f>
        <v/>
      </c>
      <c r="F3849" s="44" t="str">
        <f t="array" ref="F3849">IF(B3849="","",_xlfn.XLOOKUP(B3849,'Form responses 1'!$B$2:$B$2604,'Form responses 1'!$D$2:$D$2604,""))</f>
        <v/>
      </c>
      <c r="G3849" s="44" t="str">
        <f t="array" ref="G3849">IF(B3849="","",_xlfn.XLOOKUP(B3849,'Form responses 1'!$B$2:$B$2604,'Form responses 1'!$E$2:$E$2604,""))</f>
        <v/>
      </c>
      <c r="H3849" s="44" t="str">
        <f t="array" ref="H3849">IF(B3849="","",_xlfn.XLOOKUP(B3849,'Form responses 1'!$B$2:$B$2604,'Form responses 1'!$F$2:$F$2604,""))</f>
        <v/>
      </c>
      <c r="I3849" s="44" t="str">
        <f t="array" ref="I3849">IF(B3849="","",_xlfn.XLOOKUP(B3849,'Form responses 1'!$B$2:$B$2604,'Form responses 1'!$I$2:$I$2604,""))</f>
        <v/>
      </c>
      <c r="J3849" s="44" t="str">
        <f t="array" ref="J3849">IF(B3849="","",_xlfn.XLOOKUP(B3849,'Form responses 1'!$B$2:$B$2604,'Form responses 1'!$G$2:$G$2604,""))</f>
        <v/>
      </c>
      <c r="K3849" s="56"/>
      <c r="L3849" s="58" t="str">
        <f t="shared" si="7"/>
        <v/>
      </c>
      <c r="M3849" s="49"/>
      <c r="N3849" s="49"/>
      <c r="O3849" s="49"/>
      <c r="P3849" s="49"/>
      <c r="Q3849" s="49"/>
      <c r="R3849" s="49"/>
      <c r="S3849" s="49"/>
      <c r="T3849" s="49"/>
      <c r="U3849" s="49"/>
      <c r="V3849" s="49"/>
      <c r="W3849" s="56"/>
      <c r="X3849" s="51" t="str">
        <f t="shared" si="5"/>
        <v/>
      </c>
      <c r="Y3849" s="50" t="s">
        <v>482</v>
      </c>
      <c r="Z3849" s="49">
        <f t="shared" si="6"/>
        <v>0</v>
      </c>
    </row>
    <row r="3850" ht="22.5" customHeight="1">
      <c r="B3850" s="57"/>
      <c r="C3850" s="43" t="str">
        <f t="array" ref="C3850">IF(B3850="","",_xlfn.XLOOKUP(B3850,'Form responses 1'!$B$2:$B$2604,'Form responses 1'!$A$2:$A$2604,""))</f>
        <v/>
      </c>
      <c r="D3850" s="44" t="str">
        <f t="shared" si="3"/>
        <v/>
      </c>
      <c r="E3850" s="44" t="str">
        <f t="array" ref="E3850">IF(B3850="","",_xlfn.XLOOKUP(B3850,'Form responses 1'!$B$2:$B$2604,'Form responses 1'!$C$2:$C$2604,""))</f>
        <v/>
      </c>
      <c r="F3850" s="44" t="str">
        <f t="array" ref="F3850">IF(B3850="","",_xlfn.XLOOKUP(B3850,'Form responses 1'!$B$2:$B$2604,'Form responses 1'!$D$2:$D$2604,""))</f>
        <v/>
      </c>
      <c r="G3850" s="44" t="str">
        <f t="array" ref="G3850">IF(B3850="","",_xlfn.XLOOKUP(B3850,'Form responses 1'!$B$2:$B$2604,'Form responses 1'!$E$2:$E$2604,""))</f>
        <v/>
      </c>
      <c r="H3850" s="44" t="str">
        <f t="array" ref="H3850">IF(B3850="","",_xlfn.XLOOKUP(B3850,'Form responses 1'!$B$2:$B$2604,'Form responses 1'!$F$2:$F$2604,""))</f>
        <v/>
      </c>
      <c r="I3850" s="44" t="str">
        <f t="array" ref="I3850">IF(B3850="","",_xlfn.XLOOKUP(B3850,'Form responses 1'!$B$2:$B$2604,'Form responses 1'!$I$2:$I$2604,""))</f>
        <v/>
      </c>
      <c r="J3850" s="44" t="str">
        <f t="array" ref="J3850">IF(B3850="","",_xlfn.XLOOKUP(B3850,'Form responses 1'!$B$2:$B$2604,'Form responses 1'!$G$2:$G$2604,""))</f>
        <v/>
      </c>
      <c r="K3850" s="56"/>
      <c r="L3850" s="58" t="str">
        <f t="shared" si="7"/>
        <v/>
      </c>
      <c r="M3850" s="49"/>
      <c r="N3850" s="49"/>
      <c r="O3850" s="49"/>
      <c r="P3850" s="49"/>
      <c r="Q3850" s="49"/>
      <c r="R3850" s="49"/>
      <c r="S3850" s="49"/>
      <c r="T3850" s="49"/>
      <c r="U3850" s="49"/>
      <c r="V3850" s="49"/>
      <c r="W3850" s="56"/>
      <c r="X3850" s="51" t="str">
        <f t="shared" si="5"/>
        <v/>
      </c>
      <c r="Y3850" s="50" t="s">
        <v>482</v>
      </c>
      <c r="Z3850" s="49">
        <f t="shared" si="6"/>
        <v>0</v>
      </c>
    </row>
    <row r="3851" ht="22.5" customHeight="1">
      <c r="B3851" s="57"/>
      <c r="C3851" s="43" t="str">
        <f t="array" ref="C3851">IF(B3851="","",_xlfn.XLOOKUP(B3851,'Form responses 1'!$B$2:$B$2604,'Form responses 1'!$A$2:$A$2604,""))</f>
        <v/>
      </c>
      <c r="D3851" s="44" t="str">
        <f t="shared" si="3"/>
        <v/>
      </c>
      <c r="E3851" s="44" t="str">
        <f t="array" ref="E3851">IF(B3851="","",_xlfn.XLOOKUP(B3851,'Form responses 1'!$B$2:$B$2604,'Form responses 1'!$C$2:$C$2604,""))</f>
        <v/>
      </c>
      <c r="F3851" s="44" t="str">
        <f t="array" ref="F3851">IF(B3851="","",_xlfn.XLOOKUP(B3851,'Form responses 1'!$B$2:$B$2604,'Form responses 1'!$D$2:$D$2604,""))</f>
        <v/>
      </c>
      <c r="G3851" s="44" t="str">
        <f t="array" ref="G3851">IF(B3851="","",_xlfn.XLOOKUP(B3851,'Form responses 1'!$B$2:$B$2604,'Form responses 1'!$E$2:$E$2604,""))</f>
        <v/>
      </c>
      <c r="H3851" s="44" t="str">
        <f t="array" ref="H3851">IF(B3851="","",_xlfn.XLOOKUP(B3851,'Form responses 1'!$B$2:$B$2604,'Form responses 1'!$F$2:$F$2604,""))</f>
        <v/>
      </c>
      <c r="I3851" s="44" t="str">
        <f t="array" ref="I3851">IF(B3851="","",_xlfn.XLOOKUP(B3851,'Form responses 1'!$B$2:$B$2604,'Form responses 1'!$I$2:$I$2604,""))</f>
        <v/>
      </c>
      <c r="J3851" s="44" t="str">
        <f t="array" ref="J3851">IF(B3851="","",_xlfn.XLOOKUP(B3851,'Form responses 1'!$B$2:$B$2604,'Form responses 1'!$G$2:$G$2604,""))</f>
        <v/>
      </c>
      <c r="K3851" s="56"/>
      <c r="L3851" s="58" t="str">
        <f t="shared" si="7"/>
        <v/>
      </c>
      <c r="M3851" s="49"/>
      <c r="N3851" s="49"/>
      <c r="O3851" s="49"/>
      <c r="P3851" s="49"/>
      <c r="Q3851" s="49"/>
      <c r="R3851" s="49"/>
      <c r="S3851" s="49"/>
      <c r="T3851" s="49"/>
      <c r="U3851" s="49"/>
      <c r="V3851" s="49"/>
      <c r="W3851" s="56"/>
      <c r="X3851" s="51" t="str">
        <f t="shared" si="5"/>
        <v/>
      </c>
      <c r="Y3851" s="50" t="s">
        <v>482</v>
      </c>
      <c r="Z3851" s="49">
        <f t="shared" si="6"/>
        <v>0</v>
      </c>
    </row>
    <row r="3852" ht="22.5" customHeight="1">
      <c r="B3852" s="57"/>
      <c r="C3852" s="43" t="str">
        <f t="array" ref="C3852">IF(B3852="","",_xlfn.XLOOKUP(B3852,'Form responses 1'!$B$2:$B$2604,'Form responses 1'!$A$2:$A$2604,""))</f>
        <v/>
      </c>
      <c r="D3852" s="44" t="str">
        <f t="shared" si="3"/>
        <v/>
      </c>
      <c r="E3852" s="44" t="str">
        <f t="array" ref="E3852">IF(B3852="","",_xlfn.XLOOKUP(B3852,'Form responses 1'!$B$2:$B$2604,'Form responses 1'!$C$2:$C$2604,""))</f>
        <v/>
      </c>
      <c r="F3852" s="44" t="str">
        <f t="array" ref="F3852">IF(B3852="","",_xlfn.XLOOKUP(B3852,'Form responses 1'!$B$2:$B$2604,'Form responses 1'!$D$2:$D$2604,""))</f>
        <v/>
      </c>
      <c r="G3852" s="44" t="str">
        <f t="array" ref="G3852">IF(B3852="","",_xlfn.XLOOKUP(B3852,'Form responses 1'!$B$2:$B$2604,'Form responses 1'!$E$2:$E$2604,""))</f>
        <v/>
      </c>
      <c r="H3852" s="44" t="str">
        <f t="array" ref="H3852">IF(B3852="","",_xlfn.XLOOKUP(B3852,'Form responses 1'!$B$2:$B$2604,'Form responses 1'!$F$2:$F$2604,""))</f>
        <v/>
      </c>
      <c r="I3852" s="44" t="str">
        <f t="array" ref="I3852">IF(B3852="","",_xlfn.XLOOKUP(B3852,'Form responses 1'!$B$2:$B$2604,'Form responses 1'!$I$2:$I$2604,""))</f>
        <v/>
      </c>
      <c r="J3852" s="44" t="str">
        <f t="array" ref="J3852">IF(B3852="","",_xlfn.XLOOKUP(B3852,'Form responses 1'!$B$2:$B$2604,'Form responses 1'!$G$2:$G$2604,""))</f>
        <v/>
      </c>
      <c r="K3852" s="56"/>
      <c r="L3852" s="58" t="str">
        <f t="shared" si="7"/>
        <v/>
      </c>
      <c r="M3852" s="49"/>
      <c r="N3852" s="49"/>
      <c r="O3852" s="49"/>
      <c r="P3852" s="49"/>
      <c r="Q3852" s="49"/>
      <c r="R3852" s="49"/>
      <c r="S3852" s="49"/>
      <c r="T3852" s="49"/>
      <c r="U3852" s="49"/>
      <c r="V3852" s="49"/>
      <c r="W3852" s="56"/>
      <c r="X3852" s="51" t="str">
        <f t="shared" si="5"/>
        <v/>
      </c>
      <c r="Y3852" s="50" t="s">
        <v>482</v>
      </c>
      <c r="Z3852" s="49">
        <f t="shared" si="6"/>
        <v>0</v>
      </c>
    </row>
    <row r="3853" ht="22.5" customHeight="1">
      <c r="B3853" s="57"/>
      <c r="C3853" s="43" t="str">
        <f t="array" ref="C3853">IF(B3853="","",_xlfn.XLOOKUP(B3853,'Form responses 1'!$B$2:$B$2604,'Form responses 1'!$A$2:$A$2604,""))</f>
        <v/>
      </c>
      <c r="D3853" s="44" t="str">
        <f t="shared" si="3"/>
        <v/>
      </c>
      <c r="E3853" s="44" t="str">
        <f t="array" ref="E3853">IF(B3853="","",_xlfn.XLOOKUP(B3853,'Form responses 1'!$B$2:$B$2604,'Form responses 1'!$C$2:$C$2604,""))</f>
        <v/>
      </c>
      <c r="F3853" s="44" t="str">
        <f t="array" ref="F3853">IF(B3853="","",_xlfn.XLOOKUP(B3853,'Form responses 1'!$B$2:$B$2604,'Form responses 1'!$D$2:$D$2604,""))</f>
        <v/>
      </c>
      <c r="G3853" s="44" t="str">
        <f t="array" ref="G3853">IF(B3853="","",_xlfn.XLOOKUP(B3853,'Form responses 1'!$B$2:$B$2604,'Form responses 1'!$E$2:$E$2604,""))</f>
        <v/>
      </c>
      <c r="H3853" s="44" t="str">
        <f t="array" ref="H3853">IF(B3853="","",_xlfn.XLOOKUP(B3853,'Form responses 1'!$B$2:$B$2604,'Form responses 1'!$F$2:$F$2604,""))</f>
        <v/>
      </c>
      <c r="I3853" s="44" t="str">
        <f t="array" ref="I3853">IF(B3853="","",_xlfn.XLOOKUP(B3853,'Form responses 1'!$B$2:$B$2604,'Form responses 1'!$I$2:$I$2604,""))</f>
        <v/>
      </c>
      <c r="J3853" s="44" t="str">
        <f t="array" ref="J3853">IF(B3853="","",_xlfn.XLOOKUP(B3853,'Form responses 1'!$B$2:$B$2604,'Form responses 1'!$G$2:$G$2604,""))</f>
        <v/>
      </c>
      <c r="K3853" s="56"/>
      <c r="L3853" s="58" t="str">
        <f t="shared" si="7"/>
        <v/>
      </c>
      <c r="M3853" s="49"/>
      <c r="N3853" s="49"/>
      <c r="O3853" s="49"/>
      <c r="P3853" s="49"/>
      <c r="Q3853" s="49"/>
      <c r="R3853" s="49"/>
      <c r="S3853" s="49"/>
      <c r="T3853" s="49"/>
      <c r="U3853" s="49"/>
      <c r="V3853" s="49"/>
      <c r="W3853" s="56"/>
      <c r="X3853" s="51" t="str">
        <f t="shared" si="5"/>
        <v/>
      </c>
      <c r="Y3853" s="50" t="s">
        <v>482</v>
      </c>
      <c r="Z3853" s="49">
        <f t="shared" si="6"/>
        <v>0</v>
      </c>
    </row>
    <row r="3854" ht="22.5" customHeight="1">
      <c r="B3854" s="57"/>
      <c r="C3854" s="43" t="str">
        <f t="array" ref="C3854">IF(B3854="","",_xlfn.XLOOKUP(B3854,'Form responses 1'!$B$2:$B$2604,'Form responses 1'!$A$2:$A$2604,""))</f>
        <v/>
      </c>
      <c r="D3854" s="44" t="str">
        <f t="shared" si="3"/>
        <v/>
      </c>
      <c r="E3854" s="44" t="str">
        <f t="array" ref="E3854">IF(B3854="","",_xlfn.XLOOKUP(B3854,'Form responses 1'!$B$2:$B$2604,'Form responses 1'!$C$2:$C$2604,""))</f>
        <v/>
      </c>
      <c r="F3854" s="44" t="str">
        <f t="array" ref="F3854">IF(B3854="","",_xlfn.XLOOKUP(B3854,'Form responses 1'!$B$2:$B$2604,'Form responses 1'!$D$2:$D$2604,""))</f>
        <v/>
      </c>
      <c r="G3854" s="44" t="str">
        <f t="array" ref="G3854">IF(B3854="","",_xlfn.XLOOKUP(B3854,'Form responses 1'!$B$2:$B$2604,'Form responses 1'!$E$2:$E$2604,""))</f>
        <v/>
      </c>
      <c r="H3854" s="44" t="str">
        <f t="array" ref="H3854">IF(B3854="","",_xlfn.XLOOKUP(B3854,'Form responses 1'!$B$2:$B$2604,'Form responses 1'!$F$2:$F$2604,""))</f>
        <v/>
      </c>
      <c r="I3854" s="44" t="str">
        <f t="array" ref="I3854">IF(B3854="","",_xlfn.XLOOKUP(B3854,'Form responses 1'!$B$2:$B$2604,'Form responses 1'!$I$2:$I$2604,""))</f>
        <v/>
      </c>
      <c r="J3854" s="44" t="str">
        <f t="array" ref="J3854">IF(B3854="","",_xlfn.XLOOKUP(B3854,'Form responses 1'!$B$2:$B$2604,'Form responses 1'!$G$2:$G$2604,""))</f>
        <v/>
      </c>
      <c r="K3854" s="56"/>
      <c r="L3854" s="58" t="str">
        <f t="shared" si="7"/>
        <v/>
      </c>
      <c r="M3854" s="49"/>
      <c r="N3854" s="49"/>
      <c r="O3854" s="49"/>
      <c r="P3854" s="49"/>
      <c r="Q3854" s="49"/>
      <c r="R3854" s="49"/>
      <c r="S3854" s="49"/>
      <c r="T3854" s="49"/>
      <c r="U3854" s="49"/>
      <c r="V3854" s="49"/>
      <c r="W3854" s="56"/>
      <c r="X3854" s="51" t="str">
        <f t="shared" si="5"/>
        <v/>
      </c>
      <c r="Y3854" s="50" t="s">
        <v>482</v>
      </c>
      <c r="Z3854" s="49">
        <f t="shared" si="6"/>
        <v>0</v>
      </c>
    </row>
    <row r="3855" ht="22.5" customHeight="1">
      <c r="B3855" s="57"/>
      <c r="C3855" s="43" t="str">
        <f t="array" ref="C3855">IF(B3855="","",_xlfn.XLOOKUP(B3855,'Form responses 1'!$B$2:$B$2604,'Form responses 1'!$A$2:$A$2604,""))</f>
        <v/>
      </c>
      <c r="D3855" s="44" t="str">
        <f t="shared" si="3"/>
        <v/>
      </c>
      <c r="E3855" s="44" t="str">
        <f t="array" ref="E3855">IF(B3855="","",_xlfn.XLOOKUP(B3855,'Form responses 1'!$B$2:$B$2604,'Form responses 1'!$C$2:$C$2604,""))</f>
        <v/>
      </c>
      <c r="F3855" s="44" t="str">
        <f t="array" ref="F3855">IF(B3855="","",_xlfn.XLOOKUP(B3855,'Form responses 1'!$B$2:$B$2604,'Form responses 1'!$D$2:$D$2604,""))</f>
        <v/>
      </c>
      <c r="G3855" s="44" t="str">
        <f t="array" ref="G3855">IF(B3855="","",_xlfn.XLOOKUP(B3855,'Form responses 1'!$B$2:$B$2604,'Form responses 1'!$E$2:$E$2604,""))</f>
        <v/>
      </c>
      <c r="H3855" s="44" t="str">
        <f t="array" ref="H3855">IF(B3855="","",_xlfn.XLOOKUP(B3855,'Form responses 1'!$B$2:$B$2604,'Form responses 1'!$F$2:$F$2604,""))</f>
        <v/>
      </c>
      <c r="I3855" s="44" t="str">
        <f t="array" ref="I3855">IF(B3855="","",_xlfn.XLOOKUP(B3855,'Form responses 1'!$B$2:$B$2604,'Form responses 1'!$I$2:$I$2604,""))</f>
        <v/>
      </c>
      <c r="J3855" s="44" t="str">
        <f t="array" ref="J3855">IF(B3855="","",_xlfn.XLOOKUP(B3855,'Form responses 1'!$B$2:$B$2604,'Form responses 1'!$G$2:$G$2604,""))</f>
        <v/>
      </c>
      <c r="K3855" s="56"/>
      <c r="L3855" s="58" t="str">
        <f t="shared" si="7"/>
        <v/>
      </c>
      <c r="M3855" s="49"/>
      <c r="N3855" s="49"/>
      <c r="O3855" s="49"/>
      <c r="P3855" s="49"/>
      <c r="Q3855" s="49"/>
      <c r="R3855" s="49"/>
      <c r="S3855" s="49"/>
      <c r="T3855" s="49"/>
      <c r="U3855" s="49"/>
      <c r="V3855" s="49"/>
      <c r="W3855" s="56"/>
      <c r="X3855" s="51" t="str">
        <f t="shared" si="5"/>
        <v/>
      </c>
      <c r="Y3855" s="50" t="s">
        <v>482</v>
      </c>
      <c r="Z3855" s="49">
        <f t="shared" si="6"/>
        <v>0</v>
      </c>
    </row>
    <row r="3856" ht="22.5" customHeight="1">
      <c r="B3856" s="57"/>
      <c r="C3856" s="43" t="str">
        <f t="array" ref="C3856">IF(B3856="","",_xlfn.XLOOKUP(B3856,'Form responses 1'!$B$2:$B$2604,'Form responses 1'!$A$2:$A$2604,""))</f>
        <v/>
      </c>
      <c r="D3856" s="44" t="str">
        <f t="shared" si="3"/>
        <v/>
      </c>
      <c r="E3856" s="44" t="str">
        <f t="array" ref="E3856">IF(B3856="","",_xlfn.XLOOKUP(B3856,'Form responses 1'!$B$2:$B$2604,'Form responses 1'!$C$2:$C$2604,""))</f>
        <v/>
      </c>
      <c r="F3856" s="44" t="str">
        <f t="array" ref="F3856">IF(B3856="","",_xlfn.XLOOKUP(B3856,'Form responses 1'!$B$2:$B$2604,'Form responses 1'!$D$2:$D$2604,""))</f>
        <v/>
      </c>
      <c r="G3856" s="44" t="str">
        <f t="array" ref="G3856">IF(B3856="","",_xlfn.XLOOKUP(B3856,'Form responses 1'!$B$2:$B$2604,'Form responses 1'!$E$2:$E$2604,""))</f>
        <v/>
      </c>
      <c r="H3856" s="44" t="str">
        <f t="array" ref="H3856">IF(B3856="","",_xlfn.XLOOKUP(B3856,'Form responses 1'!$B$2:$B$2604,'Form responses 1'!$F$2:$F$2604,""))</f>
        <v/>
      </c>
      <c r="I3856" s="44" t="str">
        <f t="array" ref="I3856">IF(B3856="","",_xlfn.XLOOKUP(B3856,'Form responses 1'!$B$2:$B$2604,'Form responses 1'!$I$2:$I$2604,""))</f>
        <v/>
      </c>
      <c r="J3856" s="44" t="str">
        <f t="array" ref="J3856">IF(B3856="","",_xlfn.XLOOKUP(B3856,'Form responses 1'!$B$2:$B$2604,'Form responses 1'!$G$2:$G$2604,""))</f>
        <v/>
      </c>
      <c r="K3856" s="56"/>
      <c r="L3856" s="58" t="str">
        <f t="shared" si="7"/>
        <v/>
      </c>
      <c r="M3856" s="49"/>
      <c r="N3856" s="49"/>
      <c r="O3856" s="49"/>
      <c r="P3856" s="49"/>
      <c r="Q3856" s="49"/>
      <c r="R3856" s="49"/>
      <c r="S3856" s="49"/>
      <c r="T3856" s="49"/>
      <c r="U3856" s="49"/>
      <c r="V3856" s="49"/>
      <c r="W3856" s="56"/>
      <c r="X3856" s="51" t="str">
        <f t="shared" si="5"/>
        <v/>
      </c>
      <c r="Y3856" s="50" t="s">
        <v>482</v>
      </c>
      <c r="Z3856" s="49">
        <f t="shared" si="6"/>
        <v>0</v>
      </c>
    </row>
    <row r="3857" ht="22.5" customHeight="1">
      <c r="B3857" s="57"/>
      <c r="C3857" s="43" t="str">
        <f t="array" ref="C3857">IF(B3857="","",_xlfn.XLOOKUP(B3857,'Form responses 1'!$B$2:$B$2604,'Form responses 1'!$A$2:$A$2604,""))</f>
        <v/>
      </c>
      <c r="D3857" s="44" t="str">
        <f t="shared" si="3"/>
        <v/>
      </c>
      <c r="E3857" s="44" t="str">
        <f t="array" ref="E3857">IF(B3857="","",_xlfn.XLOOKUP(B3857,'Form responses 1'!$B$2:$B$2604,'Form responses 1'!$C$2:$C$2604,""))</f>
        <v/>
      </c>
      <c r="F3857" s="44" t="str">
        <f t="array" ref="F3857">IF(B3857="","",_xlfn.XLOOKUP(B3857,'Form responses 1'!$B$2:$B$2604,'Form responses 1'!$D$2:$D$2604,""))</f>
        <v/>
      </c>
      <c r="G3857" s="44" t="str">
        <f t="array" ref="G3857">IF(B3857="","",_xlfn.XLOOKUP(B3857,'Form responses 1'!$B$2:$B$2604,'Form responses 1'!$E$2:$E$2604,""))</f>
        <v/>
      </c>
      <c r="H3857" s="44" t="str">
        <f t="array" ref="H3857">IF(B3857="","",_xlfn.XLOOKUP(B3857,'Form responses 1'!$B$2:$B$2604,'Form responses 1'!$F$2:$F$2604,""))</f>
        <v/>
      </c>
      <c r="I3857" s="44" t="str">
        <f t="array" ref="I3857">IF(B3857="","",_xlfn.XLOOKUP(B3857,'Form responses 1'!$B$2:$B$2604,'Form responses 1'!$I$2:$I$2604,""))</f>
        <v/>
      </c>
      <c r="J3857" s="44" t="str">
        <f t="array" ref="J3857">IF(B3857="","",_xlfn.XLOOKUP(B3857,'Form responses 1'!$B$2:$B$2604,'Form responses 1'!$G$2:$G$2604,""))</f>
        <v/>
      </c>
      <c r="K3857" s="56"/>
      <c r="L3857" s="58" t="str">
        <f t="shared" si="7"/>
        <v/>
      </c>
      <c r="M3857" s="49"/>
      <c r="N3857" s="49"/>
      <c r="O3857" s="49"/>
      <c r="P3857" s="49"/>
      <c r="Q3857" s="49"/>
      <c r="R3857" s="49"/>
      <c r="S3857" s="49"/>
      <c r="T3857" s="49"/>
      <c r="U3857" s="49"/>
      <c r="V3857" s="49"/>
      <c r="W3857" s="56"/>
      <c r="X3857" s="51" t="str">
        <f t="shared" si="5"/>
        <v/>
      </c>
      <c r="Y3857" s="50" t="s">
        <v>482</v>
      </c>
      <c r="Z3857" s="49">
        <f t="shared" si="6"/>
        <v>0</v>
      </c>
    </row>
    <row r="3858" ht="22.5" customHeight="1">
      <c r="B3858" s="57"/>
      <c r="C3858" s="43" t="str">
        <f t="array" ref="C3858">IF(B3858="","",_xlfn.XLOOKUP(B3858,'Form responses 1'!$B$2:$B$2604,'Form responses 1'!$A$2:$A$2604,""))</f>
        <v/>
      </c>
      <c r="D3858" s="44" t="str">
        <f t="shared" si="3"/>
        <v/>
      </c>
      <c r="E3858" s="44" t="str">
        <f t="array" ref="E3858">IF(B3858="","",_xlfn.XLOOKUP(B3858,'Form responses 1'!$B$2:$B$2604,'Form responses 1'!$C$2:$C$2604,""))</f>
        <v/>
      </c>
      <c r="F3858" s="44" t="str">
        <f t="array" ref="F3858">IF(B3858="","",_xlfn.XLOOKUP(B3858,'Form responses 1'!$B$2:$B$2604,'Form responses 1'!$D$2:$D$2604,""))</f>
        <v/>
      </c>
      <c r="G3858" s="44" t="str">
        <f t="array" ref="G3858">IF(B3858="","",_xlfn.XLOOKUP(B3858,'Form responses 1'!$B$2:$B$2604,'Form responses 1'!$E$2:$E$2604,""))</f>
        <v/>
      </c>
      <c r="H3858" s="44" t="str">
        <f t="array" ref="H3858">IF(B3858="","",_xlfn.XLOOKUP(B3858,'Form responses 1'!$B$2:$B$2604,'Form responses 1'!$F$2:$F$2604,""))</f>
        <v/>
      </c>
      <c r="I3858" s="44" t="str">
        <f t="array" ref="I3858">IF(B3858="","",_xlfn.XLOOKUP(B3858,'Form responses 1'!$B$2:$B$2604,'Form responses 1'!$I$2:$I$2604,""))</f>
        <v/>
      </c>
      <c r="J3858" s="44" t="str">
        <f t="array" ref="J3858">IF(B3858="","",_xlfn.XLOOKUP(B3858,'Form responses 1'!$B$2:$B$2604,'Form responses 1'!$G$2:$G$2604,""))</f>
        <v/>
      </c>
      <c r="K3858" s="56"/>
      <c r="L3858" s="58" t="str">
        <f t="shared" si="7"/>
        <v/>
      </c>
      <c r="M3858" s="49"/>
      <c r="N3858" s="49"/>
      <c r="O3858" s="49"/>
      <c r="P3858" s="49"/>
      <c r="Q3858" s="49"/>
      <c r="R3858" s="49"/>
      <c r="S3858" s="49"/>
      <c r="T3858" s="49"/>
      <c r="U3858" s="49"/>
      <c r="V3858" s="49"/>
      <c r="W3858" s="56"/>
      <c r="X3858" s="51" t="str">
        <f t="shared" si="5"/>
        <v/>
      </c>
      <c r="Y3858" s="50" t="s">
        <v>482</v>
      </c>
      <c r="Z3858" s="49">
        <f t="shared" si="6"/>
        <v>0</v>
      </c>
    </row>
    <row r="3859" ht="22.5" customHeight="1">
      <c r="B3859" s="57"/>
      <c r="C3859" s="43" t="str">
        <f t="array" ref="C3859">IF(B3859="","",_xlfn.XLOOKUP(B3859,'Form responses 1'!$B$2:$B$2604,'Form responses 1'!$A$2:$A$2604,""))</f>
        <v/>
      </c>
      <c r="D3859" s="44" t="str">
        <f t="shared" si="3"/>
        <v/>
      </c>
      <c r="E3859" s="44" t="str">
        <f t="array" ref="E3859">IF(B3859="","",_xlfn.XLOOKUP(B3859,'Form responses 1'!$B$2:$B$2604,'Form responses 1'!$C$2:$C$2604,""))</f>
        <v/>
      </c>
      <c r="F3859" s="44" t="str">
        <f t="array" ref="F3859">IF(B3859="","",_xlfn.XLOOKUP(B3859,'Form responses 1'!$B$2:$B$2604,'Form responses 1'!$D$2:$D$2604,""))</f>
        <v/>
      </c>
      <c r="G3859" s="44" t="str">
        <f t="array" ref="G3859">IF(B3859="","",_xlfn.XLOOKUP(B3859,'Form responses 1'!$B$2:$B$2604,'Form responses 1'!$E$2:$E$2604,""))</f>
        <v/>
      </c>
      <c r="H3859" s="44" t="str">
        <f t="array" ref="H3859">IF(B3859="","",_xlfn.XLOOKUP(B3859,'Form responses 1'!$B$2:$B$2604,'Form responses 1'!$F$2:$F$2604,""))</f>
        <v/>
      </c>
      <c r="I3859" s="44" t="str">
        <f t="array" ref="I3859">IF(B3859="","",_xlfn.XLOOKUP(B3859,'Form responses 1'!$B$2:$B$2604,'Form responses 1'!$I$2:$I$2604,""))</f>
        <v/>
      </c>
      <c r="J3859" s="44" t="str">
        <f t="array" ref="J3859">IF(B3859="","",_xlfn.XLOOKUP(B3859,'Form responses 1'!$B$2:$B$2604,'Form responses 1'!$G$2:$G$2604,""))</f>
        <v/>
      </c>
      <c r="K3859" s="56"/>
      <c r="L3859" s="58" t="str">
        <f t="shared" si="7"/>
        <v/>
      </c>
      <c r="M3859" s="49"/>
      <c r="N3859" s="49"/>
      <c r="O3859" s="49"/>
      <c r="P3859" s="49"/>
      <c r="Q3859" s="49"/>
      <c r="R3859" s="49"/>
      <c r="S3859" s="49"/>
      <c r="T3859" s="49"/>
      <c r="U3859" s="49"/>
      <c r="V3859" s="49"/>
      <c r="W3859" s="56"/>
      <c r="X3859" s="51" t="str">
        <f t="shared" si="5"/>
        <v/>
      </c>
      <c r="Y3859" s="50" t="s">
        <v>482</v>
      </c>
      <c r="Z3859" s="49">
        <f t="shared" si="6"/>
        <v>0</v>
      </c>
    </row>
    <row r="3860" ht="22.5" customHeight="1">
      <c r="B3860" s="57"/>
      <c r="C3860" s="43" t="str">
        <f t="array" ref="C3860">IF(B3860="","",_xlfn.XLOOKUP(B3860,'Form responses 1'!$B$2:$B$2604,'Form responses 1'!$A$2:$A$2604,""))</f>
        <v/>
      </c>
      <c r="D3860" s="44" t="str">
        <f t="shared" si="3"/>
        <v/>
      </c>
      <c r="E3860" s="44" t="str">
        <f t="array" ref="E3860">IF(B3860="","",_xlfn.XLOOKUP(B3860,'Form responses 1'!$B$2:$B$2604,'Form responses 1'!$C$2:$C$2604,""))</f>
        <v/>
      </c>
      <c r="F3860" s="44" t="str">
        <f t="array" ref="F3860">IF(B3860="","",_xlfn.XLOOKUP(B3860,'Form responses 1'!$B$2:$B$2604,'Form responses 1'!$D$2:$D$2604,""))</f>
        <v/>
      </c>
      <c r="G3860" s="44" t="str">
        <f t="array" ref="G3860">IF(B3860="","",_xlfn.XLOOKUP(B3860,'Form responses 1'!$B$2:$B$2604,'Form responses 1'!$E$2:$E$2604,""))</f>
        <v/>
      </c>
      <c r="H3860" s="44" t="str">
        <f t="array" ref="H3860">IF(B3860="","",_xlfn.XLOOKUP(B3860,'Form responses 1'!$B$2:$B$2604,'Form responses 1'!$F$2:$F$2604,""))</f>
        <v/>
      </c>
      <c r="I3860" s="44" t="str">
        <f t="array" ref="I3860">IF(B3860="","",_xlfn.XLOOKUP(B3860,'Form responses 1'!$B$2:$B$2604,'Form responses 1'!$I$2:$I$2604,""))</f>
        <v/>
      </c>
      <c r="J3860" s="44" t="str">
        <f t="array" ref="J3860">IF(B3860="","",_xlfn.XLOOKUP(B3860,'Form responses 1'!$B$2:$B$2604,'Form responses 1'!$G$2:$G$2604,""))</f>
        <v/>
      </c>
      <c r="K3860" s="56"/>
      <c r="L3860" s="58" t="str">
        <f t="shared" si="7"/>
        <v/>
      </c>
      <c r="M3860" s="49"/>
      <c r="N3860" s="49"/>
      <c r="O3860" s="49"/>
      <c r="P3860" s="49"/>
      <c r="Q3860" s="49"/>
      <c r="R3860" s="49"/>
      <c r="S3860" s="49"/>
      <c r="T3860" s="49"/>
      <c r="U3860" s="49"/>
      <c r="V3860" s="49"/>
      <c r="W3860" s="56"/>
      <c r="X3860" s="51" t="str">
        <f t="shared" si="5"/>
        <v/>
      </c>
      <c r="Y3860" s="50" t="s">
        <v>482</v>
      </c>
      <c r="Z3860" s="49">
        <f t="shared" si="6"/>
        <v>0</v>
      </c>
    </row>
    <row r="3861" ht="22.5" customHeight="1">
      <c r="B3861" s="57"/>
      <c r="C3861" s="43" t="str">
        <f t="array" ref="C3861">IF(B3861="","",_xlfn.XLOOKUP(B3861,'Form responses 1'!$B$2:$B$2604,'Form responses 1'!$A$2:$A$2604,""))</f>
        <v/>
      </c>
      <c r="D3861" s="44" t="str">
        <f t="shared" si="3"/>
        <v/>
      </c>
      <c r="E3861" s="44" t="str">
        <f t="array" ref="E3861">IF(B3861="","",_xlfn.XLOOKUP(B3861,'Form responses 1'!$B$2:$B$2604,'Form responses 1'!$C$2:$C$2604,""))</f>
        <v/>
      </c>
      <c r="F3861" s="44" t="str">
        <f t="array" ref="F3861">IF(B3861="","",_xlfn.XLOOKUP(B3861,'Form responses 1'!$B$2:$B$2604,'Form responses 1'!$D$2:$D$2604,""))</f>
        <v/>
      </c>
      <c r="G3861" s="44" t="str">
        <f t="array" ref="G3861">IF(B3861="","",_xlfn.XLOOKUP(B3861,'Form responses 1'!$B$2:$B$2604,'Form responses 1'!$E$2:$E$2604,""))</f>
        <v/>
      </c>
      <c r="H3861" s="44" t="str">
        <f t="array" ref="H3861">IF(B3861="","",_xlfn.XLOOKUP(B3861,'Form responses 1'!$B$2:$B$2604,'Form responses 1'!$F$2:$F$2604,""))</f>
        <v/>
      </c>
      <c r="I3861" s="44" t="str">
        <f t="array" ref="I3861">IF(B3861="","",_xlfn.XLOOKUP(B3861,'Form responses 1'!$B$2:$B$2604,'Form responses 1'!$I$2:$I$2604,""))</f>
        <v/>
      </c>
      <c r="J3861" s="44" t="str">
        <f t="array" ref="J3861">IF(B3861="","",_xlfn.XLOOKUP(B3861,'Form responses 1'!$B$2:$B$2604,'Form responses 1'!$G$2:$G$2604,""))</f>
        <v/>
      </c>
      <c r="K3861" s="56"/>
      <c r="L3861" s="58" t="str">
        <f t="shared" si="7"/>
        <v/>
      </c>
      <c r="M3861" s="49"/>
      <c r="N3861" s="49"/>
      <c r="O3861" s="49"/>
      <c r="P3861" s="49"/>
      <c r="Q3861" s="49"/>
      <c r="R3861" s="49"/>
      <c r="S3861" s="49"/>
      <c r="T3861" s="49"/>
      <c r="U3861" s="49"/>
      <c r="V3861" s="49"/>
      <c r="W3861" s="56"/>
      <c r="X3861" s="51" t="str">
        <f t="shared" si="5"/>
        <v/>
      </c>
      <c r="Y3861" s="50" t="s">
        <v>482</v>
      </c>
      <c r="Z3861" s="49">
        <f t="shared" si="6"/>
        <v>0</v>
      </c>
    </row>
    <row r="3862" ht="22.5" customHeight="1">
      <c r="B3862" s="57"/>
      <c r="C3862" s="43" t="str">
        <f t="array" ref="C3862">IF(B3862="","",_xlfn.XLOOKUP(B3862,'Form responses 1'!$B$2:$B$2604,'Form responses 1'!$A$2:$A$2604,""))</f>
        <v/>
      </c>
      <c r="D3862" s="44" t="str">
        <f t="shared" si="3"/>
        <v/>
      </c>
      <c r="E3862" s="44" t="str">
        <f t="array" ref="E3862">IF(B3862="","",_xlfn.XLOOKUP(B3862,'Form responses 1'!$B$2:$B$2604,'Form responses 1'!$C$2:$C$2604,""))</f>
        <v/>
      </c>
      <c r="F3862" s="44" t="str">
        <f t="array" ref="F3862">IF(B3862="","",_xlfn.XLOOKUP(B3862,'Form responses 1'!$B$2:$B$2604,'Form responses 1'!$D$2:$D$2604,""))</f>
        <v/>
      </c>
      <c r="G3862" s="44" t="str">
        <f t="array" ref="G3862">IF(B3862="","",_xlfn.XLOOKUP(B3862,'Form responses 1'!$B$2:$B$2604,'Form responses 1'!$E$2:$E$2604,""))</f>
        <v/>
      </c>
      <c r="H3862" s="44" t="str">
        <f t="array" ref="H3862">IF(B3862="","",_xlfn.XLOOKUP(B3862,'Form responses 1'!$B$2:$B$2604,'Form responses 1'!$F$2:$F$2604,""))</f>
        <v/>
      </c>
      <c r="I3862" s="44" t="str">
        <f t="array" ref="I3862">IF(B3862="","",_xlfn.XLOOKUP(B3862,'Form responses 1'!$B$2:$B$2604,'Form responses 1'!$I$2:$I$2604,""))</f>
        <v/>
      </c>
      <c r="J3862" s="44" t="str">
        <f t="array" ref="J3862">IF(B3862="","",_xlfn.XLOOKUP(B3862,'Form responses 1'!$B$2:$B$2604,'Form responses 1'!$G$2:$G$2604,""))</f>
        <v/>
      </c>
      <c r="K3862" s="56"/>
      <c r="L3862" s="58" t="str">
        <f t="shared" si="7"/>
        <v/>
      </c>
      <c r="M3862" s="49"/>
      <c r="N3862" s="49"/>
      <c r="O3862" s="49"/>
      <c r="P3862" s="49"/>
      <c r="Q3862" s="49"/>
      <c r="R3862" s="49"/>
      <c r="S3862" s="49"/>
      <c r="T3862" s="49"/>
      <c r="U3862" s="49"/>
      <c r="V3862" s="49"/>
      <c r="W3862" s="56"/>
      <c r="X3862" s="51" t="str">
        <f t="shared" si="5"/>
        <v/>
      </c>
      <c r="Y3862" s="50" t="s">
        <v>482</v>
      </c>
      <c r="Z3862" s="49">
        <f t="shared" si="6"/>
        <v>0</v>
      </c>
    </row>
    <row r="3863" ht="22.5" customHeight="1">
      <c r="B3863" s="57"/>
      <c r="C3863" s="43" t="str">
        <f t="array" ref="C3863">IF(B3863="","",_xlfn.XLOOKUP(B3863,'Form responses 1'!$B$2:$B$2604,'Form responses 1'!$A$2:$A$2604,""))</f>
        <v/>
      </c>
      <c r="D3863" s="44" t="str">
        <f t="shared" si="3"/>
        <v/>
      </c>
      <c r="E3863" s="44" t="str">
        <f t="array" ref="E3863">IF(B3863="","",_xlfn.XLOOKUP(B3863,'Form responses 1'!$B$2:$B$2604,'Form responses 1'!$C$2:$C$2604,""))</f>
        <v/>
      </c>
      <c r="F3863" s="44" t="str">
        <f t="array" ref="F3863">IF(B3863="","",_xlfn.XLOOKUP(B3863,'Form responses 1'!$B$2:$B$2604,'Form responses 1'!$D$2:$D$2604,""))</f>
        <v/>
      </c>
      <c r="G3863" s="44" t="str">
        <f t="array" ref="G3863">IF(B3863="","",_xlfn.XLOOKUP(B3863,'Form responses 1'!$B$2:$B$2604,'Form responses 1'!$E$2:$E$2604,""))</f>
        <v/>
      </c>
      <c r="H3863" s="44" t="str">
        <f t="array" ref="H3863">IF(B3863="","",_xlfn.XLOOKUP(B3863,'Form responses 1'!$B$2:$B$2604,'Form responses 1'!$F$2:$F$2604,""))</f>
        <v/>
      </c>
      <c r="I3863" s="44" t="str">
        <f t="array" ref="I3863">IF(B3863="","",_xlfn.XLOOKUP(B3863,'Form responses 1'!$B$2:$B$2604,'Form responses 1'!$I$2:$I$2604,""))</f>
        <v/>
      </c>
      <c r="J3863" s="44" t="str">
        <f t="array" ref="J3863">IF(B3863="","",_xlfn.XLOOKUP(B3863,'Form responses 1'!$B$2:$B$2604,'Form responses 1'!$G$2:$G$2604,""))</f>
        <v/>
      </c>
      <c r="K3863" s="56"/>
      <c r="L3863" s="58" t="str">
        <f t="shared" si="7"/>
        <v/>
      </c>
      <c r="M3863" s="49"/>
      <c r="N3863" s="49"/>
      <c r="O3863" s="49"/>
      <c r="P3863" s="49"/>
      <c r="Q3863" s="49"/>
      <c r="R3863" s="49"/>
      <c r="S3863" s="49"/>
      <c r="T3863" s="49"/>
      <c r="U3863" s="49"/>
      <c r="V3863" s="49"/>
      <c r="W3863" s="56"/>
      <c r="X3863" s="51" t="str">
        <f t="shared" si="5"/>
        <v/>
      </c>
      <c r="Y3863" s="50" t="s">
        <v>482</v>
      </c>
      <c r="Z3863" s="49">
        <f t="shared" si="6"/>
        <v>0</v>
      </c>
    </row>
    <row r="3864" ht="22.5" customHeight="1">
      <c r="B3864" s="57"/>
      <c r="C3864" s="43" t="str">
        <f t="array" ref="C3864">IF(B3864="","",_xlfn.XLOOKUP(B3864,'Form responses 1'!$B$2:$B$2604,'Form responses 1'!$A$2:$A$2604,""))</f>
        <v/>
      </c>
      <c r="D3864" s="44" t="str">
        <f t="shared" si="3"/>
        <v/>
      </c>
      <c r="E3864" s="44" t="str">
        <f t="array" ref="E3864">IF(B3864="","",_xlfn.XLOOKUP(B3864,'Form responses 1'!$B$2:$B$2604,'Form responses 1'!$C$2:$C$2604,""))</f>
        <v/>
      </c>
      <c r="F3864" s="44" t="str">
        <f t="array" ref="F3864">IF(B3864="","",_xlfn.XLOOKUP(B3864,'Form responses 1'!$B$2:$B$2604,'Form responses 1'!$D$2:$D$2604,""))</f>
        <v/>
      </c>
      <c r="G3864" s="44" t="str">
        <f t="array" ref="G3864">IF(B3864="","",_xlfn.XLOOKUP(B3864,'Form responses 1'!$B$2:$B$2604,'Form responses 1'!$E$2:$E$2604,""))</f>
        <v/>
      </c>
      <c r="H3864" s="44" t="str">
        <f t="array" ref="H3864">IF(B3864="","",_xlfn.XLOOKUP(B3864,'Form responses 1'!$B$2:$B$2604,'Form responses 1'!$F$2:$F$2604,""))</f>
        <v/>
      </c>
      <c r="I3864" s="44" t="str">
        <f t="array" ref="I3864">IF(B3864="","",_xlfn.XLOOKUP(B3864,'Form responses 1'!$B$2:$B$2604,'Form responses 1'!$I$2:$I$2604,""))</f>
        <v/>
      </c>
      <c r="J3864" s="44" t="str">
        <f t="array" ref="J3864">IF(B3864="","",_xlfn.XLOOKUP(B3864,'Form responses 1'!$B$2:$B$2604,'Form responses 1'!$G$2:$G$2604,""))</f>
        <v/>
      </c>
      <c r="K3864" s="56"/>
      <c r="L3864" s="58" t="str">
        <f t="shared" si="7"/>
        <v/>
      </c>
      <c r="M3864" s="49"/>
      <c r="N3864" s="49"/>
      <c r="O3864" s="49"/>
      <c r="P3864" s="49"/>
      <c r="Q3864" s="49"/>
      <c r="R3864" s="49"/>
      <c r="S3864" s="49"/>
      <c r="T3864" s="49"/>
      <c r="U3864" s="49"/>
      <c r="V3864" s="49"/>
      <c r="W3864" s="56"/>
      <c r="X3864" s="51" t="str">
        <f t="shared" si="5"/>
        <v/>
      </c>
      <c r="Y3864" s="50" t="s">
        <v>482</v>
      </c>
      <c r="Z3864" s="49">
        <f t="shared" si="6"/>
        <v>0</v>
      </c>
    </row>
    <row r="3865" ht="22.5" customHeight="1">
      <c r="B3865" s="57"/>
      <c r="C3865" s="43" t="str">
        <f t="array" ref="C3865">IF(B3865="","",_xlfn.XLOOKUP(B3865,'Form responses 1'!$B$2:$B$2604,'Form responses 1'!$A$2:$A$2604,""))</f>
        <v/>
      </c>
      <c r="D3865" s="44" t="str">
        <f t="shared" si="3"/>
        <v/>
      </c>
      <c r="E3865" s="44" t="str">
        <f t="array" ref="E3865">IF(B3865="","",_xlfn.XLOOKUP(B3865,'Form responses 1'!$B$2:$B$2604,'Form responses 1'!$C$2:$C$2604,""))</f>
        <v/>
      </c>
      <c r="F3865" s="44" t="str">
        <f t="array" ref="F3865">IF(B3865="","",_xlfn.XLOOKUP(B3865,'Form responses 1'!$B$2:$B$2604,'Form responses 1'!$D$2:$D$2604,""))</f>
        <v/>
      </c>
      <c r="G3865" s="44" t="str">
        <f t="array" ref="G3865">IF(B3865="","",_xlfn.XLOOKUP(B3865,'Form responses 1'!$B$2:$B$2604,'Form responses 1'!$E$2:$E$2604,""))</f>
        <v/>
      </c>
      <c r="H3865" s="44" t="str">
        <f t="array" ref="H3865">IF(B3865="","",_xlfn.XLOOKUP(B3865,'Form responses 1'!$B$2:$B$2604,'Form responses 1'!$F$2:$F$2604,""))</f>
        <v/>
      </c>
      <c r="I3865" s="44" t="str">
        <f t="array" ref="I3865">IF(B3865="","",_xlfn.XLOOKUP(B3865,'Form responses 1'!$B$2:$B$2604,'Form responses 1'!$I$2:$I$2604,""))</f>
        <v/>
      </c>
      <c r="J3865" s="44" t="str">
        <f t="array" ref="J3865">IF(B3865="","",_xlfn.XLOOKUP(B3865,'Form responses 1'!$B$2:$B$2604,'Form responses 1'!$G$2:$G$2604,""))</f>
        <v/>
      </c>
      <c r="K3865" s="56"/>
      <c r="L3865" s="58" t="str">
        <f t="shared" si="7"/>
        <v/>
      </c>
      <c r="M3865" s="49"/>
      <c r="N3865" s="49"/>
      <c r="O3865" s="49"/>
      <c r="P3865" s="49"/>
      <c r="Q3865" s="49"/>
      <c r="R3865" s="49"/>
      <c r="S3865" s="49"/>
      <c r="T3865" s="49"/>
      <c r="U3865" s="49"/>
      <c r="V3865" s="49"/>
      <c r="W3865" s="56"/>
      <c r="X3865" s="51" t="str">
        <f t="shared" si="5"/>
        <v/>
      </c>
      <c r="Y3865" s="50" t="s">
        <v>482</v>
      </c>
      <c r="Z3865" s="49">
        <f t="shared" si="6"/>
        <v>0</v>
      </c>
    </row>
    <row r="3866" ht="22.5" customHeight="1">
      <c r="B3866" s="57"/>
      <c r="C3866" s="43" t="str">
        <f t="array" ref="C3866">IF(B3866="","",_xlfn.XLOOKUP(B3866,'Form responses 1'!$B$2:$B$2604,'Form responses 1'!$A$2:$A$2604,""))</f>
        <v/>
      </c>
      <c r="D3866" s="44" t="str">
        <f t="shared" si="3"/>
        <v/>
      </c>
      <c r="E3866" s="44" t="str">
        <f t="array" ref="E3866">IF(B3866="","",_xlfn.XLOOKUP(B3866,'Form responses 1'!$B$2:$B$2604,'Form responses 1'!$C$2:$C$2604,""))</f>
        <v/>
      </c>
      <c r="F3866" s="44" t="str">
        <f t="array" ref="F3866">IF(B3866="","",_xlfn.XLOOKUP(B3866,'Form responses 1'!$B$2:$B$2604,'Form responses 1'!$D$2:$D$2604,""))</f>
        <v/>
      </c>
      <c r="G3866" s="44" t="str">
        <f t="array" ref="G3866">IF(B3866="","",_xlfn.XLOOKUP(B3866,'Form responses 1'!$B$2:$B$2604,'Form responses 1'!$E$2:$E$2604,""))</f>
        <v/>
      </c>
      <c r="H3866" s="44" t="str">
        <f t="array" ref="H3866">IF(B3866="","",_xlfn.XLOOKUP(B3866,'Form responses 1'!$B$2:$B$2604,'Form responses 1'!$F$2:$F$2604,""))</f>
        <v/>
      </c>
      <c r="I3866" s="44" t="str">
        <f t="array" ref="I3866">IF(B3866="","",_xlfn.XLOOKUP(B3866,'Form responses 1'!$B$2:$B$2604,'Form responses 1'!$I$2:$I$2604,""))</f>
        <v/>
      </c>
      <c r="J3866" s="44" t="str">
        <f t="array" ref="J3866">IF(B3866="","",_xlfn.XLOOKUP(B3866,'Form responses 1'!$B$2:$B$2604,'Form responses 1'!$G$2:$G$2604,""))</f>
        <v/>
      </c>
      <c r="K3866" s="56"/>
      <c r="L3866" s="58" t="str">
        <f t="shared" si="7"/>
        <v/>
      </c>
      <c r="M3866" s="49"/>
      <c r="N3866" s="49"/>
      <c r="O3866" s="49"/>
      <c r="P3866" s="49"/>
      <c r="Q3866" s="49"/>
      <c r="R3866" s="49"/>
      <c r="S3866" s="49"/>
      <c r="T3866" s="49"/>
      <c r="U3866" s="49"/>
      <c r="V3866" s="49"/>
      <c r="W3866" s="56"/>
      <c r="X3866" s="51" t="str">
        <f t="shared" si="5"/>
        <v/>
      </c>
      <c r="Y3866" s="50" t="s">
        <v>482</v>
      </c>
      <c r="Z3866" s="49">
        <f t="shared" si="6"/>
        <v>0</v>
      </c>
    </row>
    <row r="3867" ht="22.5" customHeight="1">
      <c r="B3867" s="57"/>
      <c r="C3867" s="43" t="str">
        <f t="array" ref="C3867">IF(B3867="","",_xlfn.XLOOKUP(B3867,'Form responses 1'!$B$2:$B$2604,'Form responses 1'!$A$2:$A$2604,""))</f>
        <v/>
      </c>
      <c r="D3867" s="44" t="str">
        <f t="shared" si="3"/>
        <v/>
      </c>
      <c r="E3867" s="44" t="str">
        <f t="array" ref="E3867">IF(B3867="","",_xlfn.XLOOKUP(B3867,'Form responses 1'!$B$2:$B$2604,'Form responses 1'!$C$2:$C$2604,""))</f>
        <v/>
      </c>
      <c r="F3867" s="44" t="str">
        <f t="array" ref="F3867">IF(B3867="","",_xlfn.XLOOKUP(B3867,'Form responses 1'!$B$2:$B$2604,'Form responses 1'!$D$2:$D$2604,""))</f>
        <v/>
      </c>
      <c r="G3867" s="44" t="str">
        <f t="array" ref="G3867">IF(B3867="","",_xlfn.XLOOKUP(B3867,'Form responses 1'!$B$2:$B$2604,'Form responses 1'!$E$2:$E$2604,""))</f>
        <v/>
      </c>
      <c r="H3867" s="44" t="str">
        <f t="array" ref="H3867">IF(B3867="","",_xlfn.XLOOKUP(B3867,'Form responses 1'!$B$2:$B$2604,'Form responses 1'!$F$2:$F$2604,""))</f>
        <v/>
      </c>
      <c r="I3867" s="44" t="str">
        <f t="array" ref="I3867">IF(B3867="","",_xlfn.XLOOKUP(B3867,'Form responses 1'!$B$2:$B$2604,'Form responses 1'!$I$2:$I$2604,""))</f>
        <v/>
      </c>
      <c r="J3867" s="44" t="str">
        <f t="array" ref="J3867">IF(B3867="","",_xlfn.XLOOKUP(B3867,'Form responses 1'!$B$2:$B$2604,'Form responses 1'!$G$2:$G$2604,""))</f>
        <v/>
      </c>
      <c r="K3867" s="56"/>
      <c r="L3867" s="58" t="str">
        <f t="shared" si="7"/>
        <v/>
      </c>
      <c r="M3867" s="49"/>
      <c r="N3867" s="49"/>
      <c r="O3867" s="49"/>
      <c r="P3867" s="49"/>
      <c r="Q3867" s="49"/>
      <c r="R3867" s="49"/>
      <c r="S3867" s="49"/>
      <c r="T3867" s="49"/>
      <c r="U3867" s="49"/>
      <c r="V3867" s="49"/>
      <c r="W3867" s="56"/>
      <c r="X3867" s="51" t="str">
        <f t="shared" si="5"/>
        <v/>
      </c>
      <c r="Y3867" s="50" t="s">
        <v>482</v>
      </c>
      <c r="Z3867" s="49">
        <f t="shared" si="6"/>
        <v>0</v>
      </c>
    </row>
    <row r="3868" ht="22.5" customHeight="1">
      <c r="B3868" s="57"/>
      <c r="C3868" s="43" t="str">
        <f t="array" ref="C3868">IF(B3868="","",_xlfn.XLOOKUP(B3868,'Form responses 1'!$B$2:$B$2604,'Form responses 1'!$A$2:$A$2604,""))</f>
        <v/>
      </c>
      <c r="D3868" s="44" t="str">
        <f t="shared" si="3"/>
        <v/>
      </c>
      <c r="E3868" s="44" t="str">
        <f t="array" ref="E3868">IF(B3868="","",_xlfn.XLOOKUP(B3868,'Form responses 1'!$B$2:$B$2604,'Form responses 1'!$C$2:$C$2604,""))</f>
        <v/>
      </c>
      <c r="F3868" s="44" t="str">
        <f t="array" ref="F3868">IF(B3868="","",_xlfn.XLOOKUP(B3868,'Form responses 1'!$B$2:$B$2604,'Form responses 1'!$D$2:$D$2604,""))</f>
        <v/>
      </c>
      <c r="G3868" s="44" t="str">
        <f t="array" ref="G3868">IF(B3868="","",_xlfn.XLOOKUP(B3868,'Form responses 1'!$B$2:$B$2604,'Form responses 1'!$E$2:$E$2604,""))</f>
        <v/>
      </c>
      <c r="H3868" s="44" t="str">
        <f t="array" ref="H3868">IF(B3868="","",_xlfn.XLOOKUP(B3868,'Form responses 1'!$B$2:$B$2604,'Form responses 1'!$F$2:$F$2604,""))</f>
        <v/>
      </c>
      <c r="I3868" s="44" t="str">
        <f t="array" ref="I3868">IF(B3868="","",_xlfn.XLOOKUP(B3868,'Form responses 1'!$B$2:$B$2604,'Form responses 1'!$I$2:$I$2604,""))</f>
        <v/>
      </c>
      <c r="J3868" s="44" t="str">
        <f t="array" ref="J3868">IF(B3868="","",_xlfn.XLOOKUP(B3868,'Form responses 1'!$B$2:$B$2604,'Form responses 1'!$G$2:$G$2604,""))</f>
        <v/>
      </c>
      <c r="K3868" s="56"/>
      <c r="L3868" s="58" t="str">
        <f t="shared" si="7"/>
        <v/>
      </c>
      <c r="M3868" s="49"/>
      <c r="N3868" s="49"/>
      <c r="O3868" s="49"/>
      <c r="P3868" s="49"/>
      <c r="Q3868" s="49"/>
      <c r="R3868" s="49"/>
      <c r="S3868" s="49"/>
      <c r="T3868" s="49"/>
      <c r="U3868" s="49"/>
      <c r="V3868" s="49"/>
      <c r="W3868" s="56"/>
      <c r="X3868" s="51" t="str">
        <f t="shared" si="5"/>
        <v/>
      </c>
      <c r="Y3868" s="50" t="s">
        <v>482</v>
      </c>
      <c r="Z3868" s="49">
        <f t="shared" si="6"/>
        <v>0</v>
      </c>
    </row>
    <row r="3869" ht="22.5" customHeight="1">
      <c r="B3869" s="57"/>
      <c r="C3869" s="43" t="str">
        <f t="array" ref="C3869">IF(B3869="","",_xlfn.XLOOKUP(B3869,'Form responses 1'!$B$2:$B$2604,'Form responses 1'!$A$2:$A$2604,""))</f>
        <v/>
      </c>
      <c r="D3869" s="44" t="str">
        <f t="shared" si="3"/>
        <v/>
      </c>
      <c r="E3869" s="44" t="str">
        <f t="array" ref="E3869">IF(B3869="","",_xlfn.XLOOKUP(B3869,'Form responses 1'!$B$2:$B$2604,'Form responses 1'!$C$2:$C$2604,""))</f>
        <v/>
      </c>
      <c r="F3869" s="44" t="str">
        <f t="array" ref="F3869">IF(B3869="","",_xlfn.XLOOKUP(B3869,'Form responses 1'!$B$2:$B$2604,'Form responses 1'!$D$2:$D$2604,""))</f>
        <v/>
      </c>
      <c r="G3869" s="44" t="str">
        <f t="array" ref="G3869">IF(B3869="","",_xlfn.XLOOKUP(B3869,'Form responses 1'!$B$2:$B$2604,'Form responses 1'!$E$2:$E$2604,""))</f>
        <v/>
      </c>
      <c r="H3869" s="44" t="str">
        <f t="array" ref="H3869">IF(B3869="","",_xlfn.XLOOKUP(B3869,'Form responses 1'!$B$2:$B$2604,'Form responses 1'!$F$2:$F$2604,""))</f>
        <v/>
      </c>
      <c r="I3869" s="44" t="str">
        <f t="array" ref="I3869">IF(B3869="","",_xlfn.XLOOKUP(B3869,'Form responses 1'!$B$2:$B$2604,'Form responses 1'!$I$2:$I$2604,""))</f>
        <v/>
      </c>
      <c r="J3869" s="44" t="str">
        <f t="array" ref="J3869">IF(B3869="","",_xlfn.XLOOKUP(B3869,'Form responses 1'!$B$2:$B$2604,'Form responses 1'!$G$2:$G$2604,""))</f>
        <v/>
      </c>
      <c r="K3869" s="56"/>
      <c r="L3869" s="58" t="str">
        <f t="shared" si="7"/>
        <v/>
      </c>
      <c r="M3869" s="49"/>
      <c r="N3869" s="49"/>
      <c r="O3869" s="49"/>
      <c r="P3869" s="49"/>
      <c r="Q3869" s="49"/>
      <c r="R3869" s="49"/>
      <c r="S3869" s="49"/>
      <c r="T3869" s="49"/>
      <c r="U3869" s="49"/>
      <c r="V3869" s="49"/>
      <c r="W3869" s="56"/>
      <c r="X3869" s="51" t="str">
        <f t="shared" si="5"/>
        <v/>
      </c>
      <c r="Y3869" s="50" t="s">
        <v>482</v>
      </c>
      <c r="Z3869" s="49">
        <f t="shared" si="6"/>
        <v>0</v>
      </c>
    </row>
    <row r="3870" ht="22.5" customHeight="1">
      <c r="B3870" s="57"/>
      <c r="C3870" s="43" t="str">
        <f t="array" ref="C3870">IF(B3870="","",_xlfn.XLOOKUP(B3870,'Form responses 1'!$B$2:$B$2604,'Form responses 1'!$A$2:$A$2604,""))</f>
        <v/>
      </c>
      <c r="D3870" s="44" t="str">
        <f t="shared" si="3"/>
        <v/>
      </c>
      <c r="E3870" s="44" t="str">
        <f t="array" ref="E3870">IF(B3870="","",_xlfn.XLOOKUP(B3870,'Form responses 1'!$B$2:$B$2604,'Form responses 1'!$C$2:$C$2604,""))</f>
        <v/>
      </c>
      <c r="F3870" s="44" t="str">
        <f t="array" ref="F3870">IF(B3870="","",_xlfn.XLOOKUP(B3870,'Form responses 1'!$B$2:$B$2604,'Form responses 1'!$D$2:$D$2604,""))</f>
        <v/>
      </c>
      <c r="G3870" s="44" t="str">
        <f t="array" ref="G3870">IF(B3870="","",_xlfn.XLOOKUP(B3870,'Form responses 1'!$B$2:$B$2604,'Form responses 1'!$E$2:$E$2604,""))</f>
        <v/>
      </c>
      <c r="H3870" s="44" t="str">
        <f t="array" ref="H3870">IF(B3870="","",_xlfn.XLOOKUP(B3870,'Form responses 1'!$B$2:$B$2604,'Form responses 1'!$F$2:$F$2604,""))</f>
        <v/>
      </c>
      <c r="I3870" s="44" t="str">
        <f t="array" ref="I3870">IF(B3870="","",_xlfn.XLOOKUP(B3870,'Form responses 1'!$B$2:$B$2604,'Form responses 1'!$I$2:$I$2604,""))</f>
        <v/>
      </c>
      <c r="J3870" s="44" t="str">
        <f t="array" ref="J3870">IF(B3870="","",_xlfn.XLOOKUP(B3870,'Form responses 1'!$B$2:$B$2604,'Form responses 1'!$G$2:$G$2604,""))</f>
        <v/>
      </c>
      <c r="K3870" s="56"/>
      <c r="L3870" s="58" t="str">
        <f t="shared" si="7"/>
        <v/>
      </c>
      <c r="M3870" s="49"/>
      <c r="N3870" s="49"/>
      <c r="O3870" s="49"/>
      <c r="P3870" s="49"/>
      <c r="Q3870" s="49"/>
      <c r="R3870" s="49"/>
      <c r="S3870" s="49"/>
      <c r="T3870" s="49"/>
      <c r="U3870" s="49"/>
      <c r="V3870" s="49"/>
      <c r="W3870" s="56"/>
      <c r="X3870" s="51" t="str">
        <f t="shared" si="5"/>
        <v/>
      </c>
      <c r="Y3870" s="50" t="s">
        <v>482</v>
      </c>
      <c r="Z3870" s="49">
        <f t="shared" si="6"/>
        <v>0</v>
      </c>
    </row>
    <row r="3871" ht="22.5" customHeight="1">
      <c r="B3871" s="57"/>
      <c r="C3871" s="43" t="str">
        <f t="array" ref="C3871">IF(B3871="","",_xlfn.XLOOKUP(B3871,'Form responses 1'!$B$2:$B$2604,'Form responses 1'!$A$2:$A$2604,""))</f>
        <v/>
      </c>
      <c r="D3871" s="44" t="str">
        <f t="shared" si="3"/>
        <v/>
      </c>
      <c r="E3871" s="44" t="str">
        <f t="array" ref="E3871">IF(B3871="","",_xlfn.XLOOKUP(B3871,'Form responses 1'!$B$2:$B$2604,'Form responses 1'!$C$2:$C$2604,""))</f>
        <v/>
      </c>
      <c r="F3871" s="44" t="str">
        <f t="array" ref="F3871">IF(B3871="","",_xlfn.XLOOKUP(B3871,'Form responses 1'!$B$2:$B$2604,'Form responses 1'!$D$2:$D$2604,""))</f>
        <v/>
      </c>
      <c r="G3871" s="44" t="str">
        <f t="array" ref="G3871">IF(B3871="","",_xlfn.XLOOKUP(B3871,'Form responses 1'!$B$2:$B$2604,'Form responses 1'!$E$2:$E$2604,""))</f>
        <v/>
      </c>
      <c r="H3871" s="44" t="str">
        <f t="array" ref="H3871">IF(B3871="","",_xlfn.XLOOKUP(B3871,'Form responses 1'!$B$2:$B$2604,'Form responses 1'!$F$2:$F$2604,""))</f>
        <v/>
      </c>
      <c r="I3871" s="44" t="str">
        <f t="array" ref="I3871">IF(B3871="","",_xlfn.XLOOKUP(B3871,'Form responses 1'!$B$2:$B$2604,'Form responses 1'!$I$2:$I$2604,""))</f>
        <v/>
      </c>
      <c r="J3871" s="44" t="str">
        <f t="array" ref="J3871">IF(B3871="","",_xlfn.XLOOKUP(B3871,'Form responses 1'!$B$2:$B$2604,'Form responses 1'!$G$2:$G$2604,""))</f>
        <v/>
      </c>
      <c r="K3871" s="56"/>
      <c r="L3871" s="58" t="str">
        <f t="shared" si="7"/>
        <v/>
      </c>
      <c r="M3871" s="49"/>
      <c r="N3871" s="49"/>
      <c r="O3871" s="49"/>
      <c r="P3871" s="49"/>
      <c r="Q3871" s="49"/>
      <c r="R3871" s="49"/>
      <c r="S3871" s="49"/>
      <c r="T3871" s="49"/>
      <c r="U3871" s="49"/>
      <c r="V3871" s="49"/>
      <c r="W3871" s="56"/>
      <c r="X3871" s="51" t="str">
        <f t="shared" si="5"/>
        <v/>
      </c>
      <c r="Y3871" s="50" t="s">
        <v>482</v>
      </c>
      <c r="Z3871" s="49">
        <f t="shared" si="6"/>
        <v>0</v>
      </c>
    </row>
    <row r="3872" ht="22.5" customHeight="1">
      <c r="B3872" s="57"/>
      <c r="C3872" s="43" t="str">
        <f t="array" ref="C3872">IF(B3872="","",_xlfn.XLOOKUP(B3872,'Form responses 1'!$B$2:$B$2604,'Form responses 1'!$A$2:$A$2604,""))</f>
        <v/>
      </c>
      <c r="D3872" s="44" t="str">
        <f t="shared" si="3"/>
        <v/>
      </c>
      <c r="E3872" s="44" t="str">
        <f t="array" ref="E3872">IF(B3872="","",_xlfn.XLOOKUP(B3872,'Form responses 1'!$B$2:$B$2604,'Form responses 1'!$C$2:$C$2604,""))</f>
        <v/>
      </c>
      <c r="F3872" s="44" t="str">
        <f t="array" ref="F3872">IF(B3872="","",_xlfn.XLOOKUP(B3872,'Form responses 1'!$B$2:$B$2604,'Form responses 1'!$D$2:$D$2604,""))</f>
        <v/>
      </c>
      <c r="G3872" s="44" t="str">
        <f t="array" ref="G3872">IF(B3872="","",_xlfn.XLOOKUP(B3872,'Form responses 1'!$B$2:$B$2604,'Form responses 1'!$E$2:$E$2604,""))</f>
        <v/>
      </c>
      <c r="H3872" s="44" t="str">
        <f t="array" ref="H3872">IF(B3872="","",_xlfn.XLOOKUP(B3872,'Form responses 1'!$B$2:$B$2604,'Form responses 1'!$F$2:$F$2604,""))</f>
        <v/>
      </c>
      <c r="I3872" s="44" t="str">
        <f t="array" ref="I3872">IF(B3872="","",_xlfn.XLOOKUP(B3872,'Form responses 1'!$B$2:$B$2604,'Form responses 1'!$I$2:$I$2604,""))</f>
        <v/>
      </c>
      <c r="J3872" s="44" t="str">
        <f t="array" ref="J3872">IF(B3872="","",_xlfn.XLOOKUP(B3872,'Form responses 1'!$B$2:$B$2604,'Form responses 1'!$G$2:$G$2604,""))</f>
        <v/>
      </c>
      <c r="K3872" s="56"/>
      <c r="L3872" s="58" t="str">
        <f t="shared" si="7"/>
        <v/>
      </c>
      <c r="M3872" s="49"/>
      <c r="N3872" s="49"/>
      <c r="O3872" s="49"/>
      <c r="P3872" s="49"/>
      <c r="Q3872" s="49"/>
      <c r="R3872" s="49"/>
      <c r="S3872" s="49"/>
      <c r="T3872" s="49"/>
      <c r="U3872" s="49"/>
      <c r="V3872" s="49"/>
      <c r="W3872" s="56"/>
      <c r="X3872" s="51" t="str">
        <f t="shared" si="5"/>
        <v/>
      </c>
      <c r="Y3872" s="50" t="s">
        <v>482</v>
      </c>
      <c r="Z3872" s="49">
        <f t="shared" si="6"/>
        <v>0</v>
      </c>
    </row>
    <row r="3873" ht="22.5" customHeight="1">
      <c r="B3873" s="57"/>
      <c r="C3873" s="43" t="str">
        <f t="array" ref="C3873">IF(B3873="","",_xlfn.XLOOKUP(B3873,'Form responses 1'!$B$2:$B$2604,'Form responses 1'!$A$2:$A$2604,""))</f>
        <v/>
      </c>
      <c r="D3873" s="44" t="str">
        <f t="shared" si="3"/>
        <v/>
      </c>
      <c r="E3873" s="44" t="str">
        <f t="array" ref="E3873">IF(B3873="","",_xlfn.XLOOKUP(B3873,'Form responses 1'!$B$2:$B$2604,'Form responses 1'!$C$2:$C$2604,""))</f>
        <v/>
      </c>
      <c r="F3873" s="44" t="str">
        <f t="array" ref="F3873">IF(B3873="","",_xlfn.XLOOKUP(B3873,'Form responses 1'!$B$2:$B$2604,'Form responses 1'!$D$2:$D$2604,""))</f>
        <v/>
      </c>
      <c r="G3873" s="44" t="str">
        <f t="array" ref="G3873">IF(B3873="","",_xlfn.XLOOKUP(B3873,'Form responses 1'!$B$2:$B$2604,'Form responses 1'!$E$2:$E$2604,""))</f>
        <v/>
      </c>
      <c r="H3873" s="44" t="str">
        <f t="array" ref="H3873">IF(B3873="","",_xlfn.XLOOKUP(B3873,'Form responses 1'!$B$2:$B$2604,'Form responses 1'!$F$2:$F$2604,""))</f>
        <v/>
      </c>
      <c r="I3873" s="44" t="str">
        <f t="array" ref="I3873">IF(B3873="","",_xlfn.XLOOKUP(B3873,'Form responses 1'!$B$2:$B$2604,'Form responses 1'!$I$2:$I$2604,""))</f>
        <v/>
      </c>
      <c r="J3873" s="44" t="str">
        <f t="array" ref="J3873">IF(B3873="","",_xlfn.XLOOKUP(B3873,'Form responses 1'!$B$2:$B$2604,'Form responses 1'!$G$2:$G$2604,""))</f>
        <v/>
      </c>
      <c r="K3873" s="56"/>
      <c r="L3873" s="58" t="str">
        <f t="shared" si="7"/>
        <v/>
      </c>
      <c r="M3873" s="49"/>
      <c r="N3873" s="49"/>
      <c r="O3873" s="49"/>
      <c r="P3873" s="49"/>
      <c r="Q3873" s="49"/>
      <c r="R3873" s="49"/>
      <c r="S3873" s="49"/>
      <c r="T3873" s="49"/>
      <c r="U3873" s="49"/>
      <c r="V3873" s="49"/>
      <c r="W3873" s="56"/>
      <c r="X3873" s="51" t="str">
        <f t="shared" si="5"/>
        <v/>
      </c>
      <c r="Y3873" s="50" t="s">
        <v>482</v>
      </c>
      <c r="Z3873" s="49">
        <f t="shared" si="6"/>
        <v>0</v>
      </c>
    </row>
    <row r="3874" ht="22.5" customHeight="1">
      <c r="B3874" s="57"/>
      <c r="C3874" s="43" t="str">
        <f t="array" ref="C3874">IF(B3874="","",_xlfn.XLOOKUP(B3874,'Form responses 1'!$B$2:$B$2604,'Form responses 1'!$A$2:$A$2604,""))</f>
        <v/>
      </c>
      <c r="D3874" s="44" t="str">
        <f t="shared" si="3"/>
        <v/>
      </c>
      <c r="E3874" s="44" t="str">
        <f t="array" ref="E3874">IF(B3874="","",_xlfn.XLOOKUP(B3874,'Form responses 1'!$B$2:$B$2604,'Form responses 1'!$C$2:$C$2604,""))</f>
        <v/>
      </c>
      <c r="F3874" s="44" t="str">
        <f t="array" ref="F3874">IF(B3874="","",_xlfn.XLOOKUP(B3874,'Form responses 1'!$B$2:$B$2604,'Form responses 1'!$D$2:$D$2604,""))</f>
        <v/>
      </c>
      <c r="G3874" s="44" t="str">
        <f t="array" ref="G3874">IF(B3874="","",_xlfn.XLOOKUP(B3874,'Form responses 1'!$B$2:$B$2604,'Form responses 1'!$E$2:$E$2604,""))</f>
        <v/>
      </c>
      <c r="H3874" s="44" t="str">
        <f t="array" ref="H3874">IF(B3874="","",_xlfn.XLOOKUP(B3874,'Form responses 1'!$B$2:$B$2604,'Form responses 1'!$F$2:$F$2604,""))</f>
        <v/>
      </c>
      <c r="I3874" s="44" t="str">
        <f t="array" ref="I3874">IF(B3874="","",_xlfn.XLOOKUP(B3874,'Form responses 1'!$B$2:$B$2604,'Form responses 1'!$I$2:$I$2604,""))</f>
        <v/>
      </c>
      <c r="J3874" s="44" t="str">
        <f t="array" ref="J3874">IF(B3874="","",_xlfn.XLOOKUP(B3874,'Form responses 1'!$B$2:$B$2604,'Form responses 1'!$G$2:$G$2604,""))</f>
        <v/>
      </c>
      <c r="K3874" s="56"/>
      <c r="L3874" s="58" t="str">
        <f t="shared" si="7"/>
        <v/>
      </c>
      <c r="M3874" s="49"/>
      <c r="N3874" s="49"/>
      <c r="O3874" s="49"/>
      <c r="P3874" s="49"/>
      <c r="Q3874" s="49"/>
      <c r="R3874" s="49"/>
      <c r="S3874" s="49"/>
      <c r="T3874" s="49"/>
      <c r="U3874" s="49"/>
      <c r="V3874" s="49"/>
      <c r="W3874" s="56"/>
      <c r="X3874" s="51" t="str">
        <f t="shared" si="5"/>
        <v/>
      </c>
      <c r="Y3874" s="50" t="s">
        <v>482</v>
      </c>
      <c r="Z3874" s="49">
        <f t="shared" si="6"/>
        <v>0</v>
      </c>
    </row>
    <row r="3875" ht="22.5" customHeight="1">
      <c r="B3875" s="57"/>
      <c r="C3875" s="43" t="str">
        <f t="array" ref="C3875">IF(B3875="","",_xlfn.XLOOKUP(B3875,'Form responses 1'!$B$2:$B$2604,'Form responses 1'!$A$2:$A$2604,""))</f>
        <v/>
      </c>
      <c r="D3875" s="44" t="str">
        <f t="shared" si="3"/>
        <v/>
      </c>
      <c r="E3875" s="44" t="str">
        <f t="array" ref="E3875">IF(B3875="","",_xlfn.XLOOKUP(B3875,'Form responses 1'!$B$2:$B$2604,'Form responses 1'!$C$2:$C$2604,""))</f>
        <v/>
      </c>
      <c r="F3875" s="44" t="str">
        <f t="array" ref="F3875">IF(B3875="","",_xlfn.XLOOKUP(B3875,'Form responses 1'!$B$2:$B$2604,'Form responses 1'!$D$2:$D$2604,""))</f>
        <v/>
      </c>
      <c r="G3875" s="44" t="str">
        <f t="array" ref="G3875">IF(B3875="","",_xlfn.XLOOKUP(B3875,'Form responses 1'!$B$2:$B$2604,'Form responses 1'!$E$2:$E$2604,""))</f>
        <v/>
      </c>
      <c r="H3875" s="44" t="str">
        <f t="array" ref="H3875">IF(B3875="","",_xlfn.XLOOKUP(B3875,'Form responses 1'!$B$2:$B$2604,'Form responses 1'!$F$2:$F$2604,""))</f>
        <v/>
      </c>
      <c r="I3875" s="44" t="str">
        <f t="array" ref="I3875">IF(B3875="","",_xlfn.XLOOKUP(B3875,'Form responses 1'!$B$2:$B$2604,'Form responses 1'!$I$2:$I$2604,""))</f>
        <v/>
      </c>
      <c r="J3875" s="44" t="str">
        <f t="array" ref="J3875">IF(B3875="","",_xlfn.XLOOKUP(B3875,'Form responses 1'!$B$2:$B$2604,'Form responses 1'!$G$2:$G$2604,""))</f>
        <v/>
      </c>
      <c r="K3875" s="56"/>
      <c r="L3875" s="58" t="str">
        <f t="shared" si="7"/>
        <v/>
      </c>
      <c r="M3875" s="49"/>
      <c r="N3875" s="49"/>
      <c r="O3875" s="49"/>
      <c r="P3875" s="49"/>
      <c r="Q3875" s="49"/>
      <c r="R3875" s="49"/>
      <c r="S3875" s="49"/>
      <c r="T3875" s="49"/>
      <c r="U3875" s="49"/>
      <c r="V3875" s="49"/>
      <c r="W3875" s="56"/>
      <c r="X3875" s="51" t="str">
        <f t="shared" si="5"/>
        <v/>
      </c>
      <c r="Y3875" s="50" t="s">
        <v>482</v>
      </c>
      <c r="Z3875" s="49">
        <f t="shared" si="6"/>
        <v>0</v>
      </c>
    </row>
    <row r="3876" ht="22.5" customHeight="1">
      <c r="B3876" s="57"/>
      <c r="C3876" s="43" t="str">
        <f t="array" ref="C3876">IF(B3876="","",_xlfn.XLOOKUP(B3876,'Form responses 1'!$B$2:$B$2604,'Form responses 1'!$A$2:$A$2604,""))</f>
        <v/>
      </c>
      <c r="D3876" s="44" t="str">
        <f t="shared" si="3"/>
        <v/>
      </c>
      <c r="E3876" s="44" t="str">
        <f t="array" ref="E3876">IF(B3876="","",_xlfn.XLOOKUP(B3876,'Form responses 1'!$B$2:$B$2604,'Form responses 1'!$C$2:$C$2604,""))</f>
        <v/>
      </c>
      <c r="F3876" s="44" t="str">
        <f t="array" ref="F3876">IF(B3876="","",_xlfn.XLOOKUP(B3876,'Form responses 1'!$B$2:$B$2604,'Form responses 1'!$D$2:$D$2604,""))</f>
        <v/>
      </c>
      <c r="G3876" s="44" t="str">
        <f t="array" ref="G3876">IF(B3876="","",_xlfn.XLOOKUP(B3876,'Form responses 1'!$B$2:$B$2604,'Form responses 1'!$E$2:$E$2604,""))</f>
        <v/>
      </c>
      <c r="H3876" s="44" t="str">
        <f t="array" ref="H3876">IF(B3876="","",_xlfn.XLOOKUP(B3876,'Form responses 1'!$B$2:$B$2604,'Form responses 1'!$F$2:$F$2604,""))</f>
        <v/>
      </c>
      <c r="I3876" s="44" t="str">
        <f t="array" ref="I3876">IF(B3876="","",_xlfn.XLOOKUP(B3876,'Form responses 1'!$B$2:$B$2604,'Form responses 1'!$I$2:$I$2604,""))</f>
        <v/>
      </c>
      <c r="J3876" s="44" t="str">
        <f t="array" ref="J3876">IF(B3876="","",_xlfn.XLOOKUP(B3876,'Form responses 1'!$B$2:$B$2604,'Form responses 1'!$G$2:$G$2604,""))</f>
        <v/>
      </c>
      <c r="K3876" s="56"/>
      <c r="L3876" s="58" t="str">
        <f t="shared" si="7"/>
        <v/>
      </c>
      <c r="M3876" s="49"/>
      <c r="N3876" s="49"/>
      <c r="O3876" s="49"/>
      <c r="P3876" s="49"/>
      <c r="Q3876" s="49"/>
      <c r="R3876" s="49"/>
      <c r="S3876" s="49"/>
      <c r="T3876" s="49"/>
      <c r="U3876" s="49"/>
      <c r="V3876" s="49"/>
      <c r="W3876" s="56"/>
      <c r="X3876" s="51" t="str">
        <f t="shared" si="5"/>
        <v/>
      </c>
      <c r="Y3876" s="50" t="s">
        <v>482</v>
      </c>
      <c r="Z3876" s="49">
        <f t="shared" si="6"/>
        <v>0</v>
      </c>
    </row>
    <row r="3877" ht="22.5" customHeight="1">
      <c r="B3877" s="57"/>
      <c r="C3877" s="43" t="str">
        <f t="array" ref="C3877">IF(B3877="","",_xlfn.XLOOKUP(B3877,'Form responses 1'!$B$2:$B$2604,'Form responses 1'!$A$2:$A$2604,""))</f>
        <v/>
      </c>
      <c r="D3877" s="44" t="str">
        <f t="shared" si="3"/>
        <v/>
      </c>
      <c r="E3877" s="44" t="str">
        <f t="array" ref="E3877">IF(B3877="","",_xlfn.XLOOKUP(B3877,'Form responses 1'!$B$2:$B$2604,'Form responses 1'!$C$2:$C$2604,""))</f>
        <v/>
      </c>
      <c r="F3877" s="44" t="str">
        <f t="array" ref="F3877">IF(B3877="","",_xlfn.XLOOKUP(B3877,'Form responses 1'!$B$2:$B$2604,'Form responses 1'!$D$2:$D$2604,""))</f>
        <v/>
      </c>
      <c r="G3877" s="44" t="str">
        <f t="array" ref="G3877">IF(B3877="","",_xlfn.XLOOKUP(B3877,'Form responses 1'!$B$2:$B$2604,'Form responses 1'!$E$2:$E$2604,""))</f>
        <v/>
      </c>
      <c r="H3877" s="44" t="str">
        <f t="array" ref="H3877">IF(B3877="","",_xlfn.XLOOKUP(B3877,'Form responses 1'!$B$2:$B$2604,'Form responses 1'!$F$2:$F$2604,""))</f>
        <v/>
      </c>
      <c r="I3877" s="44" t="str">
        <f t="array" ref="I3877">IF(B3877="","",_xlfn.XLOOKUP(B3877,'Form responses 1'!$B$2:$B$2604,'Form responses 1'!$I$2:$I$2604,""))</f>
        <v/>
      </c>
      <c r="J3877" s="44" t="str">
        <f t="array" ref="J3877">IF(B3877="","",_xlfn.XLOOKUP(B3877,'Form responses 1'!$B$2:$B$2604,'Form responses 1'!$G$2:$G$2604,""))</f>
        <v/>
      </c>
      <c r="K3877" s="56"/>
      <c r="L3877" s="58" t="str">
        <f t="shared" si="7"/>
        <v/>
      </c>
      <c r="M3877" s="49"/>
      <c r="N3877" s="49"/>
      <c r="O3877" s="49"/>
      <c r="P3877" s="49"/>
      <c r="Q3877" s="49"/>
      <c r="R3877" s="49"/>
      <c r="S3877" s="49"/>
      <c r="T3877" s="49"/>
      <c r="U3877" s="49"/>
      <c r="V3877" s="49"/>
      <c r="W3877" s="56"/>
      <c r="X3877" s="51" t="str">
        <f t="shared" si="5"/>
        <v/>
      </c>
      <c r="Y3877" s="50" t="s">
        <v>482</v>
      </c>
      <c r="Z3877" s="49">
        <f t="shared" si="6"/>
        <v>0</v>
      </c>
    </row>
    <row r="3878" ht="22.5" customHeight="1">
      <c r="B3878" s="57"/>
      <c r="C3878" s="43" t="str">
        <f t="array" ref="C3878">IF(B3878="","",_xlfn.XLOOKUP(B3878,'Form responses 1'!$B$2:$B$2604,'Form responses 1'!$A$2:$A$2604,""))</f>
        <v/>
      </c>
      <c r="D3878" s="44" t="str">
        <f t="shared" si="3"/>
        <v/>
      </c>
      <c r="E3878" s="44" t="str">
        <f t="array" ref="E3878">IF(B3878="","",_xlfn.XLOOKUP(B3878,'Form responses 1'!$B$2:$B$2604,'Form responses 1'!$C$2:$C$2604,""))</f>
        <v/>
      </c>
      <c r="F3878" s="44" t="str">
        <f t="array" ref="F3878">IF(B3878="","",_xlfn.XLOOKUP(B3878,'Form responses 1'!$B$2:$B$2604,'Form responses 1'!$D$2:$D$2604,""))</f>
        <v/>
      </c>
      <c r="G3878" s="44" t="str">
        <f t="array" ref="G3878">IF(B3878="","",_xlfn.XLOOKUP(B3878,'Form responses 1'!$B$2:$B$2604,'Form responses 1'!$E$2:$E$2604,""))</f>
        <v/>
      </c>
      <c r="H3878" s="44" t="str">
        <f t="array" ref="H3878">IF(B3878="","",_xlfn.XLOOKUP(B3878,'Form responses 1'!$B$2:$B$2604,'Form responses 1'!$F$2:$F$2604,""))</f>
        <v/>
      </c>
      <c r="I3878" s="44" t="str">
        <f t="array" ref="I3878">IF(B3878="","",_xlfn.XLOOKUP(B3878,'Form responses 1'!$B$2:$B$2604,'Form responses 1'!$I$2:$I$2604,""))</f>
        <v/>
      </c>
      <c r="J3878" s="44" t="str">
        <f t="array" ref="J3878">IF(B3878="","",_xlfn.XLOOKUP(B3878,'Form responses 1'!$B$2:$B$2604,'Form responses 1'!$G$2:$G$2604,""))</f>
        <v/>
      </c>
      <c r="K3878" s="56"/>
      <c r="L3878" s="58" t="str">
        <f t="shared" si="7"/>
        <v/>
      </c>
      <c r="M3878" s="49"/>
      <c r="N3878" s="49"/>
      <c r="O3878" s="49"/>
      <c r="P3878" s="49"/>
      <c r="Q3878" s="49"/>
      <c r="R3878" s="49"/>
      <c r="S3878" s="49"/>
      <c r="T3878" s="49"/>
      <c r="U3878" s="49"/>
      <c r="V3878" s="49"/>
      <c r="W3878" s="56"/>
      <c r="X3878" s="51" t="str">
        <f t="shared" si="5"/>
        <v/>
      </c>
      <c r="Y3878" s="50" t="s">
        <v>482</v>
      </c>
      <c r="Z3878" s="49">
        <f t="shared" si="6"/>
        <v>0</v>
      </c>
    </row>
    <row r="3879" ht="22.5" customHeight="1">
      <c r="B3879" s="57"/>
      <c r="C3879" s="43" t="str">
        <f t="array" ref="C3879">IF(B3879="","",_xlfn.XLOOKUP(B3879,'Form responses 1'!$B$2:$B$2604,'Form responses 1'!$A$2:$A$2604,""))</f>
        <v/>
      </c>
      <c r="D3879" s="44" t="str">
        <f t="shared" si="3"/>
        <v/>
      </c>
      <c r="E3879" s="44" t="str">
        <f t="array" ref="E3879">IF(B3879="","",_xlfn.XLOOKUP(B3879,'Form responses 1'!$B$2:$B$2604,'Form responses 1'!$C$2:$C$2604,""))</f>
        <v/>
      </c>
      <c r="F3879" s="44" t="str">
        <f t="array" ref="F3879">IF(B3879="","",_xlfn.XLOOKUP(B3879,'Form responses 1'!$B$2:$B$2604,'Form responses 1'!$D$2:$D$2604,""))</f>
        <v/>
      </c>
      <c r="G3879" s="44" t="str">
        <f t="array" ref="G3879">IF(B3879="","",_xlfn.XLOOKUP(B3879,'Form responses 1'!$B$2:$B$2604,'Form responses 1'!$E$2:$E$2604,""))</f>
        <v/>
      </c>
      <c r="H3879" s="44" t="str">
        <f t="array" ref="H3879">IF(B3879="","",_xlfn.XLOOKUP(B3879,'Form responses 1'!$B$2:$B$2604,'Form responses 1'!$F$2:$F$2604,""))</f>
        <v/>
      </c>
      <c r="I3879" s="44" t="str">
        <f t="array" ref="I3879">IF(B3879="","",_xlfn.XLOOKUP(B3879,'Form responses 1'!$B$2:$B$2604,'Form responses 1'!$I$2:$I$2604,""))</f>
        <v/>
      </c>
      <c r="J3879" s="44" t="str">
        <f t="array" ref="J3879">IF(B3879="","",_xlfn.XLOOKUP(B3879,'Form responses 1'!$B$2:$B$2604,'Form responses 1'!$G$2:$G$2604,""))</f>
        <v/>
      </c>
      <c r="K3879" s="56"/>
      <c r="L3879" s="58" t="str">
        <f t="shared" si="7"/>
        <v/>
      </c>
      <c r="M3879" s="49"/>
      <c r="N3879" s="49"/>
      <c r="O3879" s="49"/>
      <c r="P3879" s="49"/>
      <c r="Q3879" s="49"/>
      <c r="R3879" s="49"/>
      <c r="S3879" s="49"/>
      <c r="T3879" s="49"/>
      <c r="U3879" s="49"/>
      <c r="V3879" s="49"/>
      <c r="W3879" s="56"/>
      <c r="X3879" s="51" t="str">
        <f t="shared" si="5"/>
        <v/>
      </c>
      <c r="Y3879" s="50" t="s">
        <v>482</v>
      </c>
      <c r="Z3879" s="49">
        <f t="shared" si="6"/>
        <v>0</v>
      </c>
    </row>
    <row r="3880" ht="22.5" customHeight="1">
      <c r="B3880" s="57"/>
      <c r="C3880" s="43" t="str">
        <f t="array" ref="C3880">IF(B3880="","",_xlfn.XLOOKUP(B3880,'Form responses 1'!$B$2:$B$2604,'Form responses 1'!$A$2:$A$2604,""))</f>
        <v/>
      </c>
      <c r="D3880" s="44" t="str">
        <f t="shared" si="3"/>
        <v/>
      </c>
      <c r="E3880" s="44" t="str">
        <f t="array" ref="E3880">IF(B3880="","",_xlfn.XLOOKUP(B3880,'Form responses 1'!$B$2:$B$2604,'Form responses 1'!$C$2:$C$2604,""))</f>
        <v/>
      </c>
      <c r="F3880" s="44" t="str">
        <f t="array" ref="F3880">IF(B3880="","",_xlfn.XLOOKUP(B3880,'Form responses 1'!$B$2:$B$2604,'Form responses 1'!$D$2:$D$2604,""))</f>
        <v/>
      </c>
      <c r="G3880" s="44" t="str">
        <f t="array" ref="G3880">IF(B3880="","",_xlfn.XLOOKUP(B3880,'Form responses 1'!$B$2:$B$2604,'Form responses 1'!$E$2:$E$2604,""))</f>
        <v/>
      </c>
      <c r="H3880" s="44" t="str">
        <f t="array" ref="H3880">IF(B3880="","",_xlfn.XLOOKUP(B3880,'Form responses 1'!$B$2:$B$2604,'Form responses 1'!$F$2:$F$2604,""))</f>
        <v/>
      </c>
      <c r="I3880" s="44" t="str">
        <f t="array" ref="I3880">IF(B3880="","",_xlfn.XLOOKUP(B3880,'Form responses 1'!$B$2:$B$2604,'Form responses 1'!$I$2:$I$2604,""))</f>
        <v/>
      </c>
      <c r="J3880" s="44" t="str">
        <f t="array" ref="J3880">IF(B3880="","",_xlfn.XLOOKUP(B3880,'Form responses 1'!$B$2:$B$2604,'Form responses 1'!$G$2:$G$2604,""))</f>
        <v/>
      </c>
      <c r="K3880" s="56"/>
      <c r="L3880" s="58" t="str">
        <f t="shared" si="7"/>
        <v/>
      </c>
      <c r="M3880" s="49"/>
      <c r="N3880" s="49"/>
      <c r="O3880" s="49"/>
      <c r="P3880" s="49"/>
      <c r="Q3880" s="49"/>
      <c r="R3880" s="49"/>
      <c r="S3880" s="49"/>
      <c r="T3880" s="49"/>
      <c r="U3880" s="49"/>
      <c r="V3880" s="49"/>
      <c r="W3880" s="56"/>
      <c r="X3880" s="51" t="str">
        <f t="shared" si="5"/>
        <v/>
      </c>
      <c r="Y3880" s="50" t="s">
        <v>482</v>
      </c>
      <c r="Z3880" s="49">
        <f t="shared" si="6"/>
        <v>0</v>
      </c>
    </row>
    <row r="3881" ht="22.5" customHeight="1">
      <c r="B3881" s="57"/>
      <c r="C3881" s="43" t="str">
        <f t="array" ref="C3881">IF(B3881="","",_xlfn.XLOOKUP(B3881,'Form responses 1'!$B$2:$B$2604,'Form responses 1'!$A$2:$A$2604,""))</f>
        <v/>
      </c>
      <c r="D3881" s="44" t="str">
        <f t="shared" si="3"/>
        <v/>
      </c>
      <c r="E3881" s="44" t="str">
        <f t="array" ref="E3881">IF(B3881="","",_xlfn.XLOOKUP(B3881,'Form responses 1'!$B$2:$B$2604,'Form responses 1'!$C$2:$C$2604,""))</f>
        <v/>
      </c>
      <c r="F3881" s="44" t="str">
        <f t="array" ref="F3881">IF(B3881="","",_xlfn.XLOOKUP(B3881,'Form responses 1'!$B$2:$B$2604,'Form responses 1'!$D$2:$D$2604,""))</f>
        <v/>
      </c>
      <c r="G3881" s="44" t="str">
        <f t="array" ref="G3881">IF(B3881="","",_xlfn.XLOOKUP(B3881,'Form responses 1'!$B$2:$B$2604,'Form responses 1'!$E$2:$E$2604,""))</f>
        <v/>
      </c>
      <c r="H3881" s="44" t="str">
        <f t="array" ref="H3881">IF(B3881="","",_xlfn.XLOOKUP(B3881,'Form responses 1'!$B$2:$B$2604,'Form responses 1'!$F$2:$F$2604,""))</f>
        <v/>
      </c>
      <c r="I3881" s="44" t="str">
        <f t="array" ref="I3881">IF(B3881="","",_xlfn.XLOOKUP(B3881,'Form responses 1'!$B$2:$B$2604,'Form responses 1'!$I$2:$I$2604,""))</f>
        <v/>
      </c>
      <c r="J3881" s="44" t="str">
        <f t="array" ref="J3881">IF(B3881="","",_xlfn.XLOOKUP(B3881,'Form responses 1'!$B$2:$B$2604,'Form responses 1'!$G$2:$G$2604,""))</f>
        <v/>
      </c>
      <c r="K3881" s="56"/>
      <c r="L3881" s="58" t="str">
        <f t="shared" si="7"/>
        <v/>
      </c>
      <c r="M3881" s="49"/>
      <c r="N3881" s="49"/>
      <c r="O3881" s="49"/>
      <c r="P3881" s="49"/>
      <c r="Q3881" s="49"/>
      <c r="R3881" s="49"/>
      <c r="S3881" s="49"/>
      <c r="T3881" s="49"/>
      <c r="U3881" s="49"/>
      <c r="V3881" s="49"/>
      <c r="W3881" s="56"/>
      <c r="X3881" s="51" t="str">
        <f t="shared" si="5"/>
        <v/>
      </c>
      <c r="Y3881" s="50" t="s">
        <v>482</v>
      </c>
      <c r="Z3881" s="49">
        <f t="shared" si="6"/>
        <v>0</v>
      </c>
    </row>
    <row r="3882" ht="22.5" customHeight="1">
      <c r="B3882" s="57"/>
      <c r="C3882" s="43" t="str">
        <f t="array" ref="C3882">IF(B3882="","",_xlfn.XLOOKUP(B3882,'Form responses 1'!$B$2:$B$2604,'Form responses 1'!$A$2:$A$2604,""))</f>
        <v/>
      </c>
      <c r="D3882" s="44" t="str">
        <f t="shared" si="3"/>
        <v/>
      </c>
      <c r="E3882" s="44" t="str">
        <f t="array" ref="E3882">IF(B3882="","",_xlfn.XLOOKUP(B3882,'Form responses 1'!$B$2:$B$2604,'Form responses 1'!$C$2:$C$2604,""))</f>
        <v/>
      </c>
      <c r="F3882" s="44" t="str">
        <f t="array" ref="F3882">IF(B3882="","",_xlfn.XLOOKUP(B3882,'Form responses 1'!$B$2:$B$2604,'Form responses 1'!$D$2:$D$2604,""))</f>
        <v/>
      </c>
      <c r="G3882" s="44" t="str">
        <f t="array" ref="G3882">IF(B3882="","",_xlfn.XLOOKUP(B3882,'Form responses 1'!$B$2:$B$2604,'Form responses 1'!$E$2:$E$2604,""))</f>
        <v/>
      </c>
      <c r="H3882" s="44" t="str">
        <f t="array" ref="H3882">IF(B3882="","",_xlfn.XLOOKUP(B3882,'Form responses 1'!$B$2:$B$2604,'Form responses 1'!$F$2:$F$2604,""))</f>
        <v/>
      </c>
      <c r="I3882" s="44" t="str">
        <f t="array" ref="I3882">IF(B3882="","",_xlfn.XLOOKUP(B3882,'Form responses 1'!$B$2:$B$2604,'Form responses 1'!$I$2:$I$2604,""))</f>
        <v/>
      </c>
      <c r="J3882" s="44" t="str">
        <f t="array" ref="J3882">IF(B3882="","",_xlfn.XLOOKUP(B3882,'Form responses 1'!$B$2:$B$2604,'Form responses 1'!$G$2:$G$2604,""))</f>
        <v/>
      </c>
      <c r="K3882" s="56"/>
      <c r="L3882" s="58" t="str">
        <f t="shared" si="7"/>
        <v/>
      </c>
      <c r="M3882" s="49"/>
      <c r="N3882" s="49"/>
      <c r="O3882" s="49"/>
      <c r="P3882" s="49"/>
      <c r="Q3882" s="49"/>
      <c r="R3882" s="49"/>
      <c r="S3882" s="49"/>
      <c r="T3882" s="49"/>
      <c r="U3882" s="49"/>
      <c r="V3882" s="49"/>
      <c r="W3882" s="56"/>
      <c r="X3882" s="51" t="str">
        <f t="shared" si="5"/>
        <v/>
      </c>
      <c r="Y3882" s="50" t="s">
        <v>482</v>
      </c>
      <c r="Z3882" s="49">
        <f t="shared" si="6"/>
        <v>0</v>
      </c>
    </row>
    <row r="3883" ht="22.5" customHeight="1">
      <c r="B3883" s="57"/>
      <c r="C3883" s="43" t="str">
        <f t="array" ref="C3883">IF(B3883="","",_xlfn.XLOOKUP(B3883,'Form responses 1'!$B$2:$B$2604,'Form responses 1'!$A$2:$A$2604,""))</f>
        <v/>
      </c>
      <c r="D3883" s="44" t="str">
        <f t="shared" si="3"/>
        <v/>
      </c>
      <c r="E3883" s="44" t="str">
        <f t="array" ref="E3883">IF(B3883="","",_xlfn.XLOOKUP(B3883,'Form responses 1'!$B$2:$B$2604,'Form responses 1'!$C$2:$C$2604,""))</f>
        <v/>
      </c>
      <c r="F3883" s="44" t="str">
        <f t="array" ref="F3883">IF(B3883="","",_xlfn.XLOOKUP(B3883,'Form responses 1'!$B$2:$B$2604,'Form responses 1'!$D$2:$D$2604,""))</f>
        <v/>
      </c>
      <c r="G3883" s="44" t="str">
        <f t="array" ref="G3883">IF(B3883="","",_xlfn.XLOOKUP(B3883,'Form responses 1'!$B$2:$B$2604,'Form responses 1'!$E$2:$E$2604,""))</f>
        <v/>
      </c>
      <c r="H3883" s="44" t="str">
        <f t="array" ref="H3883">IF(B3883="","",_xlfn.XLOOKUP(B3883,'Form responses 1'!$B$2:$B$2604,'Form responses 1'!$F$2:$F$2604,""))</f>
        <v/>
      </c>
      <c r="I3883" s="44" t="str">
        <f t="array" ref="I3883">IF(B3883="","",_xlfn.XLOOKUP(B3883,'Form responses 1'!$B$2:$B$2604,'Form responses 1'!$I$2:$I$2604,""))</f>
        <v/>
      </c>
      <c r="J3883" s="44" t="str">
        <f t="array" ref="J3883">IF(B3883="","",_xlfn.XLOOKUP(B3883,'Form responses 1'!$B$2:$B$2604,'Form responses 1'!$G$2:$G$2604,""))</f>
        <v/>
      </c>
      <c r="K3883" s="56"/>
      <c r="L3883" s="58" t="str">
        <f t="shared" si="7"/>
        <v/>
      </c>
      <c r="M3883" s="49"/>
      <c r="N3883" s="49"/>
      <c r="O3883" s="49"/>
      <c r="P3883" s="49"/>
      <c r="Q3883" s="49"/>
      <c r="R3883" s="49"/>
      <c r="S3883" s="49"/>
      <c r="T3883" s="49"/>
      <c r="U3883" s="49"/>
      <c r="V3883" s="49"/>
      <c r="W3883" s="56"/>
      <c r="X3883" s="51" t="str">
        <f t="shared" si="5"/>
        <v/>
      </c>
      <c r="Y3883" s="50" t="s">
        <v>482</v>
      </c>
      <c r="Z3883" s="49">
        <f t="shared" si="6"/>
        <v>0</v>
      </c>
    </row>
    <row r="3884" ht="22.5" customHeight="1">
      <c r="B3884" s="57"/>
      <c r="C3884" s="43" t="str">
        <f t="array" ref="C3884">IF(B3884="","",_xlfn.XLOOKUP(B3884,'Form responses 1'!$B$2:$B$2604,'Form responses 1'!$A$2:$A$2604,""))</f>
        <v/>
      </c>
      <c r="D3884" s="44" t="str">
        <f t="shared" si="3"/>
        <v/>
      </c>
      <c r="E3884" s="44" t="str">
        <f t="array" ref="E3884">IF(B3884="","",_xlfn.XLOOKUP(B3884,'Form responses 1'!$B$2:$B$2604,'Form responses 1'!$C$2:$C$2604,""))</f>
        <v/>
      </c>
      <c r="F3884" s="44" t="str">
        <f t="array" ref="F3884">IF(B3884="","",_xlfn.XLOOKUP(B3884,'Form responses 1'!$B$2:$B$2604,'Form responses 1'!$D$2:$D$2604,""))</f>
        <v/>
      </c>
      <c r="G3884" s="44" t="str">
        <f t="array" ref="G3884">IF(B3884="","",_xlfn.XLOOKUP(B3884,'Form responses 1'!$B$2:$B$2604,'Form responses 1'!$E$2:$E$2604,""))</f>
        <v/>
      </c>
      <c r="H3884" s="44" t="str">
        <f t="array" ref="H3884">IF(B3884="","",_xlfn.XLOOKUP(B3884,'Form responses 1'!$B$2:$B$2604,'Form responses 1'!$F$2:$F$2604,""))</f>
        <v/>
      </c>
      <c r="I3884" s="44" t="str">
        <f t="array" ref="I3884">IF(B3884="","",_xlfn.XLOOKUP(B3884,'Form responses 1'!$B$2:$B$2604,'Form responses 1'!$I$2:$I$2604,""))</f>
        <v/>
      </c>
      <c r="J3884" s="44" t="str">
        <f t="array" ref="J3884">IF(B3884="","",_xlfn.XLOOKUP(B3884,'Form responses 1'!$B$2:$B$2604,'Form responses 1'!$G$2:$G$2604,""))</f>
        <v/>
      </c>
      <c r="K3884" s="56"/>
      <c r="L3884" s="58" t="str">
        <f t="shared" si="7"/>
        <v/>
      </c>
      <c r="M3884" s="49"/>
      <c r="N3884" s="49"/>
      <c r="O3884" s="49"/>
      <c r="P3884" s="49"/>
      <c r="Q3884" s="49"/>
      <c r="R3884" s="49"/>
      <c r="S3884" s="49"/>
      <c r="T3884" s="49"/>
      <c r="U3884" s="49"/>
      <c r="V3884" s="49"/>
      <c r="W3884" s="56"/>
      <c r="X3884" s="51" t="str">
        <f t="shared" si="5"/>
        <v/>
      </c>
      <c r="Y3884" s="50" t="s">
        <v>482</v>
      </c>
      <c r="Z3884" s="49">
        <f t="shared" si="6"/>
        <v>0</v>
      </c>
    </row>
    <row r="3885" ht="22.5" customHeight="1">
      <c r="B3885" s="57"/>
      <c r="C3885" s="43" t="str">
        <f t="array" ref="C3885">IF(B3885="","",_xlfn.XLOOKUP(B3885,'Form responses 1'!$B$2:$B$2604,'Form responses 1'!$A$2:$A$2604,""))</f>
        <v/>
      </c>
      <c r="D3885" s="44" t="str">
        <f t="shared" si="3"/>
        <v/>
      </c>
      <c r="E3885" s="44" t="str">
        <f t="array" ref="E3885">IF(B3885="","",_xlfn.XLOOKUP(B3885,'Form responses 1'!$B$2:$B$2604,'Form responses 1'!$C$2:$C$2604,""))</f>
        <v/>
      </c>
      <c r="F3885" s="44" t="str">
        <f t="array" ref="F3885">IF(B3885="","",_xlfn.XLOOKUP(B3885,'Form responses 1'!$B$2:$B$2604,'Form responses 1'!$D$2:$D$2604,""))</f>
        <v/>
      </c>
      <c r="G3885" s="44" t="str">
        <f t="array" ref="G3885">IF(B3885="","",_xlfn.XLOOKUP(B3885,'Form responses 1'!$B$2:$B$2604,'Form responses 1'!$E$2:$E$2604,""))</f>
        <v/>
      </c>
      <c r="H3885" s="44" t="str">
        <f t="array" ref="H3885">IF(B3885="","",_xlfn.XLOOKUP(B3885,'Form responses 1'!$B$2:$B$2604,'Form responses 1'!$F$2:$F$2604,""))</f>
        <v/>
      </c>
      <c r="I3885" s="44" t="str">
        <f t="array" ref="I3885">IF(B3885="","",_xlfn.XLOOKUP(B3885,'Form responses 1'!$B$2:$B$2604,'Form responses 1'!$I$2:$I$2604,""))</f>
        <v/>
      </c>
      <c r="J3885" s="44" t="str">
        <f t="array" ref="J3885">IF(B3885="","",_xlfn.XLOOKUP(B3885,'Form responses 1'!$B$2:$B$2604,'Form responses 1'!$G$2:$G$2604,""))</f>
        <v/>
      </c>
      <c r="K3885" s="56"/>
      <c r="L3885" s="58" t="str">
        <f t="shared" si="7"/>
        <v/>
      </c>
      <c r="M3885" s="49"/>
      <c r="N3885" s="49"/>
      <c r="O3885" s="49"/>
      <c r="P3885" s="49"/>
      <c r="Q3885" s="49"/>
      <c r="R3885" s="49"/>
      <c r="S3885" s="49"/>
      <c r="T3885" s="49"/>
      <c r="U3885" s="49"/>
      <c r="V3885" s="49"/>
      <c r="W3885" s="56"/>
      <c r="X3885" s="51" t="str">
        <f t="shared" si="5"/>
        <v/>
      </c>
      <c r="Y3885" s="50" t="s">
        <v>482</v>
      </c>
      <c r="Z3885" s="49">
        <f t="shared" si="6"/>
        <v>0</v>
      </c>
    </row>
    <row r="3886" ht="22.5" customHeight="1">
      <c r="B3886" s="57"/>
      <c r="C3886" s="43" t="str">
        <f t="array" ref="C3886">IF(B3886="","",_xlfn.XLOOKUP(B3886,'Form responses 1'!$B$2:$B$2604,'Form responses 1'!$A$2:$A$2604,""))</f>
        <v/>
      </c>
      <c r="D3886" s="44" t="str">
        <f t="shared" si="3"/>
        <v/>
      </c>
      <c r="E3886" s="44" t="str">
        <f t="array" ref="E3886">IF(B3886="","",_xlfn.XLOOKUP(B3886,'Form responses 1'!$B$2:$B$2604,'Form responses 1'!$C$2:$C$2604,""))</f>
        <v/>
      </c>
      <c r="F3886" s="44" t="str">
        <f t="array" ref="F3886">IF(B3886="","",_xlfn.XLOOKUP(B3886,'Form responses 1'!$B$2:$B$2604,'Form responses 1'!$D$2:$D$2604,""))</f>
        <v/>
      </c>
      <c r="G3886" s="44" t="str">
        <f t="array" ref="G3886">IF(B3886="","",_xlfn.XLOOKUP(B3886,'Form responses 1'!$B$2:$B$2604,'Form responses 1'!$E$2:$E$2604,""))</f>
        <v/>
      </c>
      <c r="H3886" s="44" t="str">
        <f t="array" ref="H3886">IF(B3886="","",_xlfn.XLOOKUP(B3886,'Form responses 1'!$B$2:$B$2604,'Form responses 1'!$F$2:$F$2604,""))</f>
        <v/>
      </c>
      <c r="I3886" s="44" t="str">
        <f t="array" ref="I3886">IF(B3886="","",_xlfn.XLOOKUP(B3886,'Form responses 1'!$B$2:$B$2604,'Form responses 1'!$I$2:$I$2604,""))</f>
        <v/>
      </c>
      <c r="J3886" s="44" t="str">
        <f t="array" ref="J3886">IF(B3886="","",_xlfn.XLOOKUP(B3886,'Form responses 1'!$B$2:$B$2604,'Form responses 1'!$G$2:$G$2604,""))</f>
        <v/>
      </c>
      <c r="K3886" s="56"/>
      <c r="L3886" s="58" t="str">
        <f t="shared" si="7"/>
        <v/>
      </c>
      <c r="M3886" s="49"/>
      <c r="N3886" s="49"/>
      <c r="O3886" s="49"/>
      <c r="P3886" s="49"/>
      <c r="Q3886" s="49"/>
      <c r="R3886" s="49"/>
      <c r="S3886" s="49"/>
      <c r="T3886" s="49"/>
      <c r="U3886" s="49"/>
      <c r="V3886" s="49"/>
      <c r="W3886" s="56"/>
      <c r="X3886" s="51" t="str">
        <f t="shared" si="5"/>
        <v/>
      </c>
      <c r="Y3886" s="50" t="s">
        <v>482</v>
      </c>
      <c r="Z3886" s="49">
        <f t="shared" si="6"/>
        <v>0</v>
      </c>
    </row>
    <row r="3887" ht="22.5" customHeight="1">
      <c r="B3887" s="57"/>
      <c r="C3887" s="43" t="str">
        <f t="array" ref="C3887">IF(B3887="","",_xlfn.XLOOKUP(B3887,'Form responses 1'!$B$2:$B$2604,'Form responses 1'!$A$2:$A$2604,""))</f>
        <v/>
      </c>
      <c r="D3887" s="44" t="str">
        <f t="shared" si="3"/>
        <v/>
      </c>
      <c r="E3887" s="44" t="str">
        <f t="array" ref="E3887">IF(B3887="","",_xlfn.XLOOKUP(B3887,'Form responses 1'!$B$2:$B$2604,'Form responses 1'!$C$2:$C$2604,""))</f>
        <v/>
      </c>
      <c r="F3887" s="44" t="str">
        <f t="array" ref="F3887">IF(B3887="","",_xlfn.XLOOKUP(B3887,'Form responses 1'!$B$2:$B$2604,'Form responses 1'!$D$2:$D$2604,""))</f>
        <v/>
      </c>
      <c r="G3887" s="44" t="str">
        <f t="array" ref="G3887">IF(B3887="","",_xlfn.XLOOKUP(B3887,'Form responses 1'!$B$2:$B$2604,'Form responses 1'!$E$2:$E$2604,""))</f>
        <v/>
      </c>
      <c r="H3887" s="44" t="str">
        <f t="array" ref="H3887">IF(B3887="","",_xlfn.XLOOKUP(B3887,'Form responses 1'!$B$2:$B$2604,'Form responses 1'!$F$2:$F$2604,""))</f>
        <v/>
      </c>
      <c r="I3887" s="44" t="str">
        <f t="array" ref="I3887">IF(B3887="","",_xlfn.XLOOKUP(B3887,'Form responses 1'!$B$2:$B$2604,'Form responses 1'!$I$2:$I$2604,""))</f>
        <v/>
      </c>
      <c r="J3887" s="44" t="str">
        <f t="array" ref="J3887">IF(B3887="","",_xlfn.XLOOKUP(B3887,'Form responses 1'!$B$2:$B$2604,'Form responses 1'!$G$2:$G$2604,""))</f>
        <v/>
      </c>
      <c r="K3887" s="56"/>
      <c r="L3887" s="58" t="str">
        <f t="shared" si="7"/>
        <v/>
      </c>
      <c r="M3887" s="49"/>
      <c r="N3887" s="49"/>
      <c r="O3887" s="49"/>
      <c r="P3887" s="49"/>
      <c r="Q3887" s="49"/>
      <c r="R3887" s="49"/>
      <c r="S3887" s="49"/>
      <c r="T3887" s="49"/>
      <c r="U3887" s="49"/>
      <c r="V3887" s="49"/>
      <c r="W3887" s="56"/>
      <c r="X3887" s="51" t="str">
        <f t="shared" si="5"/>
        <v/>
      </c>
      <c r="Y3887" s="50" t="s">
        <v>482</v>
      </c>
      <c r="Z3887" s="49">
        <f t="shared" si="6"/>
        <v>0</v>
      </c>
    </row>
    <row r="3888" ht="22.5" customHeight="1">
      <c r="B3888" s="57"/>
      <c r="C3888" s="43" t="str">
        <f t="array" ref="C3888">IF(B3888="","",_xlfn.XLOOKUP(B3888,'Form responses 1'!$B$2:$B$2604,'Form responses 1'!$A$2:$A$2604,""))</f>
        <v/>
      </c>
      <c r="D3888" s="44" t="str">
        <f t="shared" si="3"/>
        <v/>
      </c>
      <c r="E3888" s="44" t="str">
        <f t="array" ref="E3888">IF(B3888="","",_xlfn.XLOOKUP(B3888,'Form responses 1'!$B$2:$B$2604,'Form responses 1'!$C$2:$C$2604,""))</f>
        <v/>
      </c>
      <c r="F3888" s="44" t="str">
        <f t="array" ref="F3888">IF(B3888="","",_xlfn.XLOOKUP(B3888,'Form responses 1'!$B$2:$B$2604,'Form responses 1'!$D$2:$D$2604,""))</f>
        <v/>
      </c>
      <c r="G3888" s="44" t="str">
        <f t="array" ref="G3888">IF(B3888="","",_xlfn.XLOOKUP(B3888,'Form responses 1'!$B$2:$B$2604,'Form responses 1'!$E$2:$E$2604,""))</f>
        <v/>
      </c>
      <c r="H3888" s="44" t="str">
        <f t="array" ref="H3888">IF(B3888="","",_xlfn.XLOOKUP(B3888,'Form responses 1'!$B$2:$B$2604,'Form responses 1'!$F$2:$F$2604,""))</f>
        <v/>
      </c>
      <c r="I3888" s="44" t="str">
        <f t="array" ref="I3888">IF(B3888="","",_xlfn.XLOOKUP(B3888,'Form responses 1'!$B$2:$B$2604,'Form responses 1'!$I$2:$I$2604,""))</f>
        <v/>
      </c>
      <c r="J3888" s="44" t="str">
        <f t="array" ref="J3888">IF(B3888="","",_xlfn.XLOOKUP(B3888,'Form responses 1'!$B$2:$B$2604,'Form responses 1'!$G$2:$G$2604,""))</f>
        <v/>
      </c>
      <c r="K3888" s="56"/>
      <c r="L3888" s="58" t="str">
        <f t="shared" si="7"/>
        <v/>
      </c>
      <c r="M3888" s="49"/>
      <c r="N3888" s="49"/>
      <c r="O3888" s="49"/>
      <c r="P3888" s="49"/>
      <c r="Q3888" s="49"/>
      <c r="R3888" s="49"/>
      <c r="S3888" s="49"/>
      <c r="T3888" s="49"/>
      <c r="U3888" s="49"/>
      <c r="V3888" s="49"/>
      <c r="W3888" s="56"/>
      <c r="X3888" s="51" t="str">
        <f t="shared" si="5"/>
        <v/>
      </c>
      <c r="Y3888" s="50" t="s">
        <v>482</v>
      </c>
      <c r="Z3888" s="49">
        <f t="shared" si="6"/>
        <v>0</v>
      </c>
    </row>
    <row r="3889" ht="22.5" customHeight="1">
      <c r="B3889" s="57"/>
      <c r="C3889" s="43" t="str">
        <f t="array" ref="C3889">IF(B3889="","",_xlfn.XLOOKUP(B3889,'Form responses 1'!$B$2:$B$2604,'Form responses 1'!$A$2:$A$2604,""))</f>
        <v/>
      </c>
      <c r="D3889" s="44" t="str">
        <f t="shared" si="3"/>
        <v/>
      </c>
      <c r="E3889" s="44" t="str">
        <f t="array" ref="E3889">IF(B3889="","",_xlfn.XLOOKUP(B3889,'Form responses 1'!$B$2:$B$2604,'Form responses 1'!$C$2:$C$2604,""))</f>
        <v/>
      </c>
      <c r="F3889" s="44" t="str">
        <f t="array" ref="F3889">IF(B3889="","",_xlfn.XLOOKUP(B3889,'Form responses 1'!$B$2:$B$2604,'Form responses 1'!$D$2:$D$2604,""))</f>
        <v/>
      </c>
      <c r="G3889" s="44" t="str">
        <f t="array" ref="G3889">IF(B3889="","",_xlfn.XLOOKUP(B3889,'Form responses 1'!$B$2:$B$2604,'Form responses 1'!$E$2:$E$2604,""))</f>
        <v/>
      </c>
      <c r="H3889" s="44" t="str">
        <f t="array" ref="H3889">IF(B3889="","",_xlfn.XLOOKUP(B3889,'Form responses 1'!$B$2:$B$2604,'Form responses 1'!$F$2:$F$2604,""))</f>
        <v/>
      </c>
      <c r="I3889" s="44" t="str">
        <f t="array" ref="I3889">IF(B3889="","",_xlfn.XLOOKUP(B3889,'Form responses 1'!$B$2:$B$2604,'Form responses 1'!$I$2:$I$2604,""))</f>
        <v/>
      </c>
      <c r="J3889" s="44" t="str">
        <f t="array" ref="J3889">IF(B3889="","",_xlfn.XLOOKUP(B3889,'Form responses 1'!$B$2:$B$2604,'Form responses 1'!$G$2:$G$2604,""))</f>
        <v/>
      </c>
      <c r="K3889" s="56"/>
      <c r="L3889" s="58" t="str">
        <f t="shared" si="7"/>
        <v/>
      </c>
      <c r="M3889" s="49"/>
      <c r="N3889" s="49"/>
      <c r="O3889" s="49"/>
      <c r="P3889" s="49"/>
      <c r="Q3889" s="49"/>
      <c r="R3889" s="49"/>
      <c r="S3889" s="49"/>
      <c r="T3889" s="49"/>
      <c r="U3889" s="49"/>
      <c r="V3889" s="49"/>
      <c r="W3889" s="56"/>
      <c r="X3889" s="51" t="str">
        <f t="shared" si="5"/>
        <v/>
      </c>
      <c r="Y3889" s="50" t="s">
        <v>482</v>
      </c>
      <c r="Z3889" s="49">
        <f t="shared" si="6"/>
        <v>0</v>
      </c>
    </row>
    <row r="3890" ht="22.5" customHeight="1">
      <c r="B3890" s="57"/>
      <c r="C3890" s="43" t="str">
        <f t="array" ref="C3890">IF(B3890="","",_xlfn.XLOOKUP(B3890,'Form responses 1'!$B$2:$B$2604,'Form responses 1'!$A$2:$A$2604,""))</f>
        <v/>
      </c>
      <c r="D3890" s="44" t="str">
        <f t="shared" si="3"/>
        <v/>
      </c>
      <c r="E3890" s="44" t="str">
        <f t="array" ref="E3890">IF(B3890="","",_xlfn.XLOOKUP(B3890,'Form responses 1'!$B$2:$B$2604,'Form responses 1'!$C$2:$C$2604,""))</f>
        <v/>
      </c>
      <c r="F3890" s="44" t="str">
        <f t="array" ref="F3890">IF(B3890="","",_xlfn.XLOOKUP(B3890,'Form responses 1'!$B$2:$B$2604,'Form responses 1'!$D$2:$D$2604,""))</f>
        <v/>
      </c>
      <c r="G3890" s="44" t="str">
        <f t="array" ref="G3890">IF(B3890="","",_xlfn.XLOOKUP(B3890,'Form responses 1'!$B$2:$B$2604,'Form responses 1'!$E$2:$E$2604,""))</f>
        <v/>
      </c>
      <c r="H3890" s="44" t="str">
        <f t="array" ref="H3890">IF(B3890="","",_xlfn.XLOOKUP(B3890,'Form responses 1'!$B$2:$B$2604,'Form responses 1'!$F$2:$F$2604,""))</f>
        <v/>
      </c>
      <c r="I3890" s="44" t="str">
        <f t="array" ref="I3890">IF(B3890="","",_xlfn.XLOOKUP(B3890,'Form responses 1'!$B$2:$B$2604,'Form responses 1'!$I$2:$I$2604,""))</f>
        <v/>
      </c>
      <c r="J3890" s="44" t="str">
        <f t="array" ref="J3890">IF(B3890="","",_xlfn.XLOOKUP(B3890,'Form responses 1'!$B$2:$B$2604,'Form responses 1'!$G$2:$G$2604,""))</f>
        <v/>
      </c>
      <c r="K3890" s="56"/>
      <c r="L3890" s="58" t="str">
        <f t="shared" si="7"/>
        <v/>
      </c>
      <c r="M3890" s="49"/>
      <c r="N3890" s="49"/>
      <c r="O3890" s="49"/>
      <c r="P3890" s="49"/>
      <c r="Q3890" s="49"/>
      <c r="R3890" s="49"/>
      <c r="S3890" s="49"/>
      <c r="T3890" s="49"/>
      <c r="U3890" s="49"/>
      <c r="V3890" s="49"/>
      <c r="W3890" s="56"/>
      <c r="X3890" s="51" t="str">
        <f t="shared" si="5"/>
        <v/>
      </c>
      <c r="Y3890" s="50" t="s">
        <v>482</v>
      </c>
      <c r="Z3890" s="49">
        <f t="shared" si="6"/>
        <v>0</v>
      </c>
    </row>
    <row r="3891" ht="22.5" customHeight="1">
      <c r="B3891" s="57"/>
      <c r="C3891" s="43" t="str">
        <f t="array" ref="C3891">IF(B3891="","",_xlfn.XLOOKUP(B3891,'Form responses 1'!$B$2:$B$2604,'Form responses 1'!$A$2:$A$2604,""))</f>
        <v/>
      </c>
      <c r="D3891" s="44" t="str">
        <f t="shared" si="3"/>
        <v/>
      </c>
      <c r="E3891" s="44" t="str">
        <f t="array" ref="E3891">IF(B3891="","",_xlfn.XLOOKUP(B3891,'Form responses 1'!$B$2:$B$2604,'Form responses 1'!$C$2:$C$2604,""))</f>
        <v/>
      </c>
      <c r="F3891" s="44" t="str">
        <f t="array" ref="F3891">IF(B3891="","",_xlfn.XLOOKUP(B3891,'Form responses 1'!$B$2:$B$2604,'Form responses 1'!$D$2:$D$2604,""))</f>
        <v/>
      </c>
      <c r="G3891" s="44" t="str">
        <f t="array" ref="G3891">IF(B3891="","",_xlfn.XLOOKUP(B3891,'Form responses 1'!$B$2:$B$2604,'Form responses 1'!$E$2:$E$2604,""))</f>
        <v/>
      </c>
      <c r="H3891" s="44" t="str">
        <f t="array" ref="H3891">IF(B3891="","",_xlfn.XLOOKUP(B3891,'Form responses 1'!$B$2:$B$2604,'Form responses 1'!$F$2:$F$2604,""))</f>
        <v/>
      </c>
      <c r="I3891" s="44" t="str">
        <f t="array" ref="I3891">IF(B3891="","",_xlfn.XLOOKUP(B3891,'Form responses 1'!$B$2:$B$2604,'Form responses 1'!$I$2:$I$2604,""))</f>
        <v/>
      </c>
      <c r="J3891" s="44" t="str">
        <f t="array" ref="J3891">IF(B3891="","",_xlfn.XLOOKUP(B3891,'Form responses 1'!$B$2:$B$2604,'Form responses 1'!$G$2:$G$2604,""))</f>
        <v/>
      </c>
      <c r="K3891" s="56"/>
      <c r="L3891" s="58" t="str">
        <f t="shared" si="7"/>
        <v/>
      </c>
      <c r="M3891" s="49"/>
      <c r="N3891" s="49"/>
      <c r="O3891" s="49"/>
      <c r="P3891" s="49"/>
      <c r="Q3891" s="49"/>
      <c r="R3891" s="49"/>
      <c r="S3891" s="49"/>
      <c r="T3891" s="49"/>
      <c r="U3891" s="49"/>
      <c r="V3891" s="49"/>
      <c r="W3891" s="56"/>
      <c r="X3891" s="51" t="str">
        <f t="shared" si="5"/>
        <v/>
      </c>
      <c r="Y3891" s="50" t="s">
        <v>482</v>
      </c>
      <c r="Z3891" s="49">
        <f t="shared" si="6"/>
        <v>0</v>
      </c>
    </row>
    <row r="3892" ht="22.5" customHeight="1">
      <c r="B3892" s="57"/>
      <c r="C3892" s="43" t="str">
        <f t="array" ref="C3892">IF(B3892="","",_xlfn.XLOOKUP(B3892,'Form responses 1'!$B$2:$B$2604,'Form responses 1'!$A$2:$A$2604,""))</f>
        <v/>
      </c>
      <c r="D3892" s="44" t="str">
        <f t="shared" si="3"/>
        <v/>
      </c>
      <c r="E3892" s="44" t="str">
        <f t="array" ref="E3892">IF(B3892="","",_xlfn.XLOOKUP(B3892,'Form responses 1'!$B$2:$B$2604,'Form responses 1'!$C$2:$C$2604,""))</f>
        <v/>
      </c>
      <c r="F3892" s="44" t="str">
        <f t="array" ref="F3892">IF(B3892="","",_xlfn.XLOOKUP(B3892,'Form responses 1'!$B$2:$B$2604,'Form responses 1'!$D$2:$D$2604,""))</f>
        <v/>
      </c>
      <c r="G3892" s="44" t="str">
        <f t="array" ref="G3892">IF(B3892="","",_xlfn.XLOOKUP(B3892,'Form responses 1'!$B$2:$B$2604,'Form responses 1'!$E$2:$E$2604,""))</f>
        <v/>
      </c>
      <c r="H3892" s="44" t="str">
        <f t="array" ref="H3892">IF(B3892="","",_xlfn.XLOOKUP(B3892,'Form responses 1'!$B$2:$B$2604,'Form responses 1'!$F$2:$F$2604,""))</f>
        <v/>
      </c>
      <c r="I3892" s="44" t="str">
        <f t="array" ref="I3892">IF(B3892="","",_xlfn.XLOOKUP(B3892,'Form responses 1'!$B$2:$B$2604,'Form responses 1'!$I$2:$I$2604,""))</f>
        <v/>
      </c>
      <c r="J3892" s="44" t="str">
        <f t="array" ref="J3892">IF(B3892="","",_xlfn.XLOOKUP(B3892,'Form responses 1'!$B$2:$B$2604,'Form responses 1'!$G$2:$G$2604,""))</f>
        <v/>
      </c>
      <c r="K3892" s="56"/>
      <c r="L3892" s="58" t="str">
        <f t="shared" si="7"/>
        <v/>
      </c>
      <c r="M3892" s="49"/>
      <c r="N3892" s="49"/>
      <c r="O3892" s="49"/>
      <c r="P3892" s="49"/>
      <c r="Q3892" s="49"/>
      <c r="R3892" s="49"/>
      <c r="S3892" s="49"/>
      <c r="T3892" s="49"/>
      <c r="U3892" s="49"/>
      <c r="V3892" s="49"/>
      <c r="W3892" s="56"/>
      <c r="X3892" s="51" t="str">
        <f t="shared" si="5"/>
        <v/>
      </c>
      <c r="Y3892" s="50" t="s">
        <v>482</v>
      </c>
      <c r="Z3892" s="49">
        <f t="shared" si="6"/>
        <v>0</v>
      </c>
    </row>
    <row r="3893" ht="22.5" customHeight="1">
      <c r="B3893" s="57"/>
      <c r="C3893" s="43" t="str">
        <f t="array" ref="C3893">IF(B3893="","",_xlfn.XLOOKUP(B3893,'Form responses 1'!$B$2:$B$2604,'Form responses 1'!$A$2:$A$2604,""))</f>
        <v/>
      </c>
      <c r="D3893" s="44" t="str">
        <f t="shared" si="3"/>
        <v/>
      </c>
      <c r="E3893" s="44" t="str">
        <f t="array" ref="E3893">IF(B3893="","",_xlfn.XLOOKUP(B3893,'Form responses 1'!$B$2:$B$2604,'Form responses 1'!$C$2:$C$2604,""))</f>
        <v/>
      </c>
      <c r="F3893" s="44" t="str">
        <f t="array" ref="F3893">IF(B3893="","",_xlfn.XLOOKUP(B3893,'Form responses 1'!$B$2:$B$2604,'Form responses 1'!$D$2:$D$2604,""))</f>
        <v/>
      </c>
      <c r="G3893" s="44" t="str">
        <f t="array" ref="G3893">IF(B3893="","",_xlfn.XLOOKUP(B3893,'Form responses 1'!$B$2:$B$2604,'Form responses 1'!$E$2:$E$2604,""))</f>
        <v/>
      </c>
      <c r="H3893" s="44" t="str">
        <f t="array" ref="H3893">IF(B3893="","",_xlfn.XLOOKUP(B3893,'Form responses 1'!$B$2:$B$2604,'Form responses 1'!$F$2:$F$2604,""))</f>
        <v/>
      </c>
      <c r="I3893" s="44" t="str">
        <f t="array" ref="I3893">IF(B3893="","",_xlfn.XLOOKUP(B3893,'Form responses 1'!$B$2:$B$2604,'Form responses 1'!$I$2:$I$2604,""))</f>
        <v/>
      </c>
      <c r="J3893" s="44" t="str">
        <f t="array" ref="J3893">IF(B3893="","",_xlfn.XLOOKUP(B3893,'Form responses 1'!$B$2:$B$2604,'Form responses 1'!$G$2:$G$2604,""))</f>
        <v/>
      </c>
      <c r="K3893" s="56"/>
      <c r="L3893" s="58" t="str">
        <f t="shared" si="7"/>
        <v/>
      </c>
      <c r="M3893" s="49"/>
      <c r="N3893" s="49"/>
      <c r="O3893" s="49"/>
      <c r="P3893" s="49"/>
      <c r="Q3893" s="49"/>
      <c r="R3893" s="49"/>
      <c r="S3893" s="49"/>
      <c r="T3893" s="49"/>
      <c r="U3893" s="49"/>
      <c r="V3893" s="49"/>
      <c r="W3893" s="56"/>
      <c r="X3893" s="51" t="str">
        <f t="shared" si="5"/>
        <v/>
      </c>
      <c r="Y3893" s="50" t="s">
        <v>482</v>
      </c>
      <c r="Z3893" s="49">
        <f t="shared" si="6"/>
        <v>0</v>
      </c>
    </row>
    <row r="3894" ht="22.5" customHeight="1">
      <c r="B3894" s="57"/>
      <c r="C3894" s="43" t="str">
        <f t="array" ref="C3894">IF(B3894="","",_xlfn.XLOOKUP(B3894,'Form responses 1'!$B$2:$B$2604,'Form responses 1'!$A$2:$A$2604,""))</f>
        <v/>
      </c>
      <c r="D3894" s="44" t="str">
        <f t="shared" si="3"/>
        <v/>
      </c>
      <c r="E3894" s="44" t="str">
        <f t="array" ref="E3894">IF(B3894="","",_xlfn.XLOOKUP(B3894,'Form responses 1'!$B$2:$B$2604,'Form responses 1'!$C$2:$C$2604,""))</f>
        <v/>
      </c>
      <c r="F3894" s="44" t="str">
        <f t="array" ref="F3894">IF(B3894="","",_xlfn.XLOOKUP(B3894,'Form responses 1'!$B$2:$B$2604,'Form responses 1'!$D$2:$D$2604,""))</f>
        <v/>
      </c>
      <c r="G3894" s="44" t="str">
        <f t="array" ref="G3894">IF(B3894="","",_xlfn.XLOOKUP(B3894,'Form responses 1'!$B$2:$B$2604,'Form responses 1'!$E$2:$E$2604,""))</f>
        <v/>
      </c>
      <c r="H3894" s="44" t="str">
        <f t="array" ref="H3894">IF(B3894="","",_xlfn.XLOOKUP(B3894,'Form responses 1'!$B$2:$B$2604,'Form responses 1'!$F$2:$F$2604,""))</f>
        <v/>
      </c>
      <c r="I3894" s="44" t="str">
        <f t="array" ref="I3894">IF(B3894="","",_xlfn.XLOOKUP(B3894,'Form responses 1'!$B$2:$B$2604,'Form responses 1'!$I$2:$I$2604,""))</f>
        <v/>
      </c>
      <c r="J3894" s="44" t="str">
        <f t="array" ref="J3894">IF(B3894="","",_xlfn.XLOOKUP(B3894,'Form responses 1'!$B$2:$B$2604,'Form responses 1'!$G$2:$G$2604,""))</f>
        <v/>
      </c>
      <c r="K3894" s="56"/>
      <c r="L3894" s="58" t="str">
        <f t="shared" si="7"/>
        <v/>
      </c>
      <c r="M3894" s="49"/>
      <c r="N3894" s="49"/>
      <c r="O3894" s="49"/>
      <c r="P3894" s="49"/>
      <c r="Q3894" s="49"/>
      <c r="R3894" s="49"/>
      <c r="S3894" s="49"/>
      <c r="T3894" s="49"/>
      <c r="U3894" s="49"/>
      <c r="V3894" s="49"/>
      <c r="W3894" s="56"/>
      <c r="X3894" s="51" t="str">
        <f t="shared" si="5"/>
        <v/>
      </c>
      <c r="Y3894" s="50" t="s">
        <v>482</v>
      </c>
      <c r="Z3894" s="49">
        <f t="shared" si="6"/>
        <v>0</v>
      </c>
    </row>
    <row r="3895" ht="22.5" customHeight="1">
      <c r="B3895" s="57"/>
      <c r="C3895" s="43" t="str">
        <f t="array" ref="C3895">IF(B3895="","",_xlfn.XLOOKUP(B3895,'Form responses 1'!$B$2:$B$2604,'Form responses 1'!$A$2:$A$2604,""))</f>
        <v/>
      </c>
      <c r="D3895" s="44" t="str">
        <f t="shared" si="3"/>
        <v/>
      </c>
      <c r="E3895" s="44" t="str">
        <f t="array" ref="E3895">IF(B3895="","",_xlfn.XLOOKUP(B3895,'Form responses 1'!$B$2:$B$2604,'Form responses 1'!$C$2:$C$2604,""))</f>
        <v/>
      </c>
      <c r="F3895" s="44" t="str">
        <f t="array" ref="F3895">IF(B3895="","",_xlfn.XLOOKUP(B3895,'Form responses 1'!$B$2:$B$2604,'Form responses 1'!$D$2:$D$2604,""))</f>
        <v/>
      </c>
      <c r="G3895" s="44" t="str">
        <f t="array" ref="G3895">IF(B3895="","",_xlfn.XLOOKUP(B3895,'Form responses 1'!$B$2:$B$2604,'Form responses 1'!$E$2:$E$2604,""))</f>
        <v/>
      </c>
      <c r="H3895" s="44" t="str">
        <f t="array" ref="H3895">IF(B3895="","",_xlfn.XLOOKUP(B3895,'Form responses 1'!$B$2:$B$2604,'Form responses 1'!$F$2:$F$2604,""))</f>
        <v/>
      </c>
      <c r="I3895" s="44" t="str">
        <f t="array" ref="I3895">IF(B3895="","",_xlfn.XLOOKUP(B3895,'Form responses 1'!$B$2:$B$2604,'Form responses 1'!$I$2:$I$2604,""))</f>
        <v/>
      </c>
      <c r="J3895" s="44" t="str">
        <f t="array" ref="J3895">IF(B3895="","",_xlfn.XLOOKUP(B3895,'Form responses 1'!$B$2:$B$2604,'Form responses 1'!$G$2:$G$2604,""))</f>
        <v/>
      </c>
      <c r="K3895" s="56"/>
      <c r="L3895" s="58" t="str">
        <f t="shared" si="7"/>
        <v/>
      </c>
      <c r="M3895" s="49"/>
      <c r="N3895" s="49"/>
      <c r="O3895" s="49"/>
      <c r="P3895" s="49"/>
      <c r="Q3895" s="49"/>
      <c r="R3895" s="49"/>
      <c r="S3895" s="49"/>
      <c r="T3895" s="49"/>
      <c r="U3895" s="49"/>
      <c r="V3895" s="49"/>
      <c r="W3895" s="56"/>
      <c r="X3895" s="51" t="str">
        <f t="shared" si="5"/>
        <v/>
      </c>
      <c r="Y3895" s="50" t="s">
        <v>482</v>
      </c>
      <c r="Z3895" s="49">
        <f t="shared" si="6"/>
        <v>0</v>
      </c>
    </row>
    <row r="3896" ht="22.5" customHeight="1">
      <c r="B3896" s="57"/>
      <c r="C3896" s="43" t="str">
        <f t="array" ref="C3896">IF(B3896="","",_xlfn.XLOOKUP(B3896,'Form responses 1'!$B$2:$B$2604,'Form responses 1'!$A$2:$A$2604,""))</f>
        <v/>
      </c>
      <c r="D3896" s="44" t="str">
        <f t="shared" si="3"/>
        <v/>
      </c>
      <c r="E3896" s="44" t="str">
        <f t="array" ref="E3896">IF(B3896="","",_xlfn.XLOOKUP(B3896,'Form responses 1'!$B$2:$B$2604,'Form responses 1'!$C$2:$C$2604,""))</f>
        <v/>
      </c>
      <c r="F3896" s="44" t="str">
        <f t="array" ref="F3896">IF(B3896="","",_xlfn.XLOOKUP(B3896,'Form responses 1'!$B$2:$B$2604,'Form responses 1'!$D$2:$D$2604,""))</f>
        <v/>
      </c>
      <c r="G3896" s="44" t="str">
        <f t="array" ref="G3896">IF(B3896="","",_xlfn.XLOOKUP(B3896,'Form responses 1'!$B$2:$B$2604,'Form responses 1'!$E$2:$E$2604,""))</f>
        <v/>
      </c>
      <c r="H3896" s="44" t="str">
        <f t="array" ref="H3896">IF(B3896="","",_xlfn.XLOOKUP(B3896,'Form responses 1'!$B$2:$B$2604,'Form responses 1'!$F$2:$F$2604,""))</f>
        <v/>
      </c>
      <c r="I3896" s="44" t="str">
        <f t="array" ref="I3896">IF(B3896="","",_xlfn.XLOOKUP(B3896,'Form responses 1'!$B$2:$B$2604,'Form responses 1'!$I$2:$I$2604,""))</f>
        <v/>
      </c>
      <c r="J3896" s="44" t="str">
        <f t="array" ref="J3896">IF(B3896="","",_xlfn.XLOOKUP(B3896,'Form responses 1'!$B$2:$B$2604,'Form responses 1'!$G$2:$G$2604,""))</f>
        <v/>
      </c>
      <c r="K3896" s="56"/>
      <c r="L3896" s="58" t="str">
        <f t="shared" si="7"/>
        <v/>
      </c>
      <c r="M3896" s="49"/>
      <c r="N3896" s="49"/>
      <c r="O3896" s="49"/>
      <c r="P3896" s="49"/>
      <c r="Q3896" s="49"/>
      <c r="R3896" s="49"/>
      <c r="S3896" s="49"/>
      <c r="T3896" s="49"/>
      <c r="U3896" s="49"/>
      <c r="V3896" s="49"/>
      <c r="W3896" s="56"/>
      <c r="X3896" s="51" t="str">
        <f t="shared" si="5"/>
        <v/>
      </c>
      <c r="Y3896" s="50" t="s">
        <v>482</v>
      </c>
      <c r="Z3896" s="49">
        <f t="shared" si="6"/>
        <v>0</v>
      </c>
    </row>
    <row r="3897" ht="22.5" customHeight="1">
      <c r="B3897" s="57"/>
      <c r="C3897" s="43" t="str">
        <f t="array" ref="C3897">IF(B3897="","",_xlfn.XLOOKUP(B3897,'Form responses 1'!$B$2:$B$2604,'Form responses 1'!$A$2:$A$2604,""))</f>
        <v/>
      </c>
      <c r="D3897" s="44" t="str">
        <f t="shared" si="3"/>
        <v/>
      </c>
      <c r="E3897" s="44" t="str">
        <f t="array" ref="E3897">IF(B3897="","",_xlfn.XLOOKUP(B3897,'Form responses 1'!$B$2:$B$2604,'Form responses 1'!$C$2:$C$2604,""))</f>
        <v/>
      </c>
      <c r="F3897" s="44" t="str">
        <f t="array" ref="F3897">IF(B3897="","",_xlfn.XLOOKUP(B3897,'Form responses 1'!$B$2:$B$2604,'Form responses 1'!$D$2:$D$2604,""))</f>
        <v/>
      </c>
      <c r="G3897" s="44" t="str">
        <f t="array" ref="G3897">IF(B3897="","",_xlfn.XLOOKUP(B3897,'Form responses 1'!$B$2:$B$2604,'Form responses 1'!$E$2:$E$2604,""))</f>
        <v/>
      </c>
      <c r="H3897" s="44" t="str">
        <f t="array" ref="H3897">IF(B3897="","",_xlfn.XLOOKUP(B3897,'Form responses 1'!$B$2:$B$2604,'Form responses 1'!$F$2:$F$2604,""))</f>
        <v/>
      </c>
      <c r="I3897" s="44" t="str">
        <f t="array" ref="I3897">IF(B3897="","",_xlfn.XLOOKUP(B3897,'Form responses 1'!$B$2:$B$2604,'Form responses 1'!$I$2:$I$2604,""))</f>
        <v/>
      </c>
      <c r="J3897" s="44" t="str">
        <f t="array" ref="J3897">IF(B3897="","",_xlfn.XLOOKUP(B3897,'Form responses 1'!$B$2:$B$2604,'Form responses 1'!$G$2:$G$2604,""))</f>
        <v/>
      </c>
      <c r="K3897" s="56"/>
      <c r="L3897" s="58" t="str">
        <f t="shared" si="7"/>
        <v/>
      </c>
      <c r="M3897" s="49"/>
      <c r="N3897" s="49"/>
      <c r="O3897" s="49"/>
      <c r="P3897" s="49"/>
      <c r="Q3897" s="49"/>
      <c r="R3897" s="49"/>
      <c r="S3897" s="49"/>
      <c r="T3897" s="49"/>
      <c r="U3897" s="49"/>
      <c r="V3897" s="49"/>
      <c r="W3897" s="56"/>
      <c r="X3897" s="51" t="str">
        <f t="shared" si="5"/>
        <v/>
      </c>
      <c r="Y3897" s="50" t="s">
        <v>482</v>
      </c>
      <c r="Z3897" s="49">
        <f t="shared" si="6"/>
        <v>0</v>
      </c>
    </row>
    <row r="3898" ht="22.5" customHeight="1">
      <c r="B3898" s="57"/>
      <c r="C3898" s="43" t="str">
        <f t="array" ref="C3898">IF(B3898="","",_xlfn.XLOOKUP(B3898,'Form responses 1'!$B$2:$B$2604,'Form responses 1'!$A$2:$A$2604,""))</f>
        <v/>
      </c>
      <c r="D3898" s="44" t="str">
        <f t="shared" si="3"/>
        <v/>
      </c>
      <c r="E3898" s="44" t="str">
        <f t="array" ref="E3898">IF(B3898="","",_xlfn.XLOOKUP(B3898,'Form responses 1'!$B$2:$B$2604,'Form responses 1'!$C$2:$C$2604,""))</f>
        <v/>
      </c>
      <c r="F3898" s="44" t="str">
        <f t="array" ref="F3898">IF(B3898="","",_xlfn.XLOOKUP(B3898,'Form responses 1'!$B$2:$B$2604,'Form responses 1'!$D$2:$D$2604,""))</f>
        <v/>
      </c>
      <c r="G3898" s="44" t="str">
        <f t="array" ref="G3898">IF(B3898="","",_xlfn.XLOOKUP(B3898,'Form responses 1'!$B$2:$B$2604,'Form responses 1'!$E$2:$E$2604,""))</f>
        <v/>
      </c>
      <c r="H3898" s="44" t="str">
        <f t="array" ref="H3898">IF(B3898="","",_xlfn.XLOOKUP(B3898,'Form responses 1'!$B$2:$B$2604,'Form responses 1'!$F$2:$F$2604,""))</f>
        <v/>
      </c>
      <c r="I3898" s="44" t="str">
        <f t="array" ref="I3898">IF(B3898="","",_xlfn.XLOOKUP(B3898,'Form responses 1'!$B$2:$B$2604,'Form responses 1'!$I$2:$I$2604,""))</f>
        <v/>
      </c>
      <c r="J3898" s="44" t="str">
        <f t="array" ref="J3898">IF(B3898="","",_xlfn.XLOOKUP(B3898,'Form responses 1'!$B$2:$B$2604,'Form responses 1'!$G$2:$G$2604,""))</f>
        <v/>
      </c>
      <c r="K3898" s="56"/>
      <c r="L3898" s="58" t="str">
        <f t="shared" si="7"/>
        <v/>
      </c>
      <c r="M3898" s="49"/>
      <c r="N3898" s="49"/>
      <c r="O3898" s="49"/>
      <c r="P3898" s="49"/>
      <c r="Q3898" s="49"/>
      <c r="R3898" s="49"/>
      <c r="S3898" s="49"/>
      <c r="T3898" s="49"/>
      <c r="U3898" s="49"/>
      <c r="V3898" s="49"/>
      <c r="W3898" s="56"/>
      <c r="X3898" s="51" t="str">
        <f t="shared" si="5"/>
        <v/>
      </c>
      <c r="Y3898" s="50" t="s">
        <v>482</v>
      </c>
      <c r="Z3898" s="49">
        <f t="shared" si="6"/>
        <v>0</v>
      </c>
    </row>
    <row r="3899" ht="22.5" customHeight="1">
      <c r="B3899" s="57"/>
      <c r="C3899" s="43" t="str">
        <f t="array" ref="C3899">IF(B3899="","",_xlfn.XLOOKUP(B3899,'Form responses 1'!$B$2:$B$2604,'Form responses 1'!$A$2:$A$2604,""))</f>
        <v/>
      </c>
      <c r="D3899" s="44" t="str">
        <f t="shared" si="3"/>
        <v/>
      </c>
      <c r="E3899" s="44" t="str">
        <f t="array" ref="E3899">IF(B3899="","",_xlfn.XLOOKUP(B3899,'Form responses 1'!$B$2:$B$2604,'Form responses 1'!$C$2:$C$2604,""))</f>
        <v/>
      </c>
      <c r="F3899" s="44" t="str">
        <f t="array" ref="F3899">IF(B3899="","",_xlfn.XLOOKUP(B3899,'Form responses 1'!$B$2:$B$2604,'Form responses 1'!$D$2:$D$2604,""))</f>
        <v/>
      </c>
      <c r="G3899" s="44" t="str">
        <f t="array" ref="G3899">IF(B3899="","",_xlfn.XLOOKUP(B3899,'Form responses 1'!$B$2:$B$2604,'Form responses 1'!$E$2:$E$2604,""))</f>
        <v/>
      </c>
      <c r="H3899" s="44" t="str">
        <f t="array" ref="H3899">IF(B3899="","",_xlfn.XLOOKUP(B3899,'Form responses 1'!$B$2:$B$2604,'Form responses 1'!$F$2:$F$2604,""))</f>
        <v/>
      </c>
      <c r="I3899" s="44" t="str">
        <f t="array" ref="I3899">IF(B3899="","",_xlfn.XLOOKUP(B3899,'Form responses 1'!$B$2:$B$2604,'Form responses 1'!$I$2:$I$2604,""))</f>
        <v/>
      </c>
      <c r="J3899" s="44" t="str">
        <f t="array" ref="J3899">IF(B3899="","",_xlfn.XLOOKUP(B3899,'Form responses 1'!$B$2:$B$2604,'Form responses 1'!$G$2:$G$2604,""))</f>
        <v/>
      </c>
      <c r="K3899" s="56"/>
      <c r="L3899" s="58" t="str">
        <f t="shared" si="7"/>
        <v/>
      </c>
      <c r="M3899" s="49"/>
      <c r="N3899" s="49"/>
      <c r="O3899" s="49"/>
      <c r="P3899" s="49"/>
      <c r="Q3899" s="49"/>
      <c r="R3899" s="49"/>
      <c r="S3899" s="49"/>
      <c r="T3899" s="49"/>
      <c r="U3899" s="49"/>
      <c r="V3899" s="49"/>
      <c r="W3899" s="56"/>
      <c r="X3899" s="51" t="str">
        <f t="shared" si="5"/>
        <v/>
      </c>
      <c r="Y3899" s="50" t="s">
        <v>482</v>
      </c>
      <c r="Z3899" s="49">
        <f t="shared" si="6"/>
        <v>0</v>
      </c>
    </row>
    <row r="3900" ht="22.5" customHeight="1">
      <c r="B3900" s="57"/>
      <c r="C3900" s="43" t="str">
        <f t="array" ref="C3900">IF(B3900="","",_xlfn.XLOOKUP(B3900,'Form responses 1'!$B$2:$B$2604,'Form responses 1'!$A$2:$A$2604,""))</f>
        <v/>
      </c>
      <c r="D3900" s="44" t="str">
        <f t="shared" si="3"/>
        <v/>
      </c>
      <c r="E3900" s="44" t="str">
        <f t="array" ref="E3900">IF(B3900="","",_xlfn.XLOOKUP(B3900,'Form responses 1'!$B$2:$B$2604,'Form responses 1'!$C$2:$C$2604,""))</f>
        <v/>
      </c>
      <c r="F3900" s="44" t="str">
        <f t="array" ref="F3900">IF(B3900="","",_xlfn.XLOOKUP(B3900,'Form responses 1'!$B$2:$B$2604,'Form responses 1'!$D$2:$D$2604,""))</f>
        <v/>
      </c>
      <c r="G3900" s="44" t="str">
        <f t="array" ref="G3900">IF(B3900="","",_xlfn.XLOOKUP(B3900,'Form responses 1'!$B$2:$B$2604,'Form responses 1'!$E$2:$E$2604,""))</f>
        <v/>
      </c>
      <c r="H3900" s="44" t="str">
        <f t="array" ref="H3900">IF(B3900="","",_xlfn.XLOOKUP(B3900,'Form responses 1'!$B$2:$B$2604,'Form responses 1'!$F$2:$F$2604,""))</f>
        <v/>
      </c>
      <c r="I3900" s="44" t="str">
        <f t="array" ref="I3900">IF(B3900="","",_xlfn.XLOOKUP(B3900,'Form responses 1'!$B$2:$B$2604,'Form responses 1'!$I$2:$I$2604,""))</f>
        <v/>
      </c>
      <c r="J3900" s="44" t="str">
        <f t="array" ref="J3900">IF(B3900="","",_xlfn.XLOOKUP(B3900,'Form responses 1'!$B$2:$B$2604,'Form responses 1'!$G$2:$G$2604,""))</f>
        <v/>
      </c>
      <c r="K3900" s="56"/>
      <c r="L3900" s="58" t="str">
        <f t="shared" si="7"/>
        <v/>
      </c>
      <c r="M3900" s="49"/>
      <c r="N3900" s="49"/>
      <c r="O3900" s="49"/>
      <c r="P3900" s="49"/>
      <c r="Q3900" s="49"/>
      <c r="R3900" s="49"/>
      <c r="S3900" s="49"/>
      <c r="T3900" s="49"/>
      <c r="U3900" s="49"/>
      <c r="V3900" s="49"/>
      <c r="W3900" s="56"/>
      <c r="X3900" s="51" t="str">
        <f t="shared" si="5"/>
        <v/>
      </c>
      <c r="Y3900" s="50" t="s">
        <v>482</v>
      </c>
      <c r="Z3900" s="49">
        <f t="shared" si="6"/>
        <v>0</v>
      </c>
    </row>
    <row r="3901" ht="22.5" customHeight="1">
      <c r="B3901" s="57"/>
      <c r="C3901" s="43" t="str">
        <f t="array" ref="C3901">IF(B3901="","",_xlfn.XLOOKUP(B3901,'Form responses 1'!$B$2:$B$2604,'Form responses 1'!$A$2:$A$2604,""))</f>
        <v/>
      </c>
      <c r="D3901" s="44" t="str">
        <f t="shared" si="3"/>
        <v/>
      </c>
      <c r="E3901" s="44" t="str">
        <f t="array" ref="E3901">IF(B3901="","",_xlfn.XLOOKUP(B3901,'Form responses 1'!$B$2:$B$2604,'Form responses 1'!$C$2:$C$2604,""))</f>
        <v/>
      </c>
      <c r="F3901" s="44" t="str">
        <f t="array" ref="F3901">IF(B3901="","",_xlfn.XLOOKUP(B3901,'Form responses 1'!$B$2:$B$2604,'Form responses 1'!$D$2:$D$2604,""))</f>
        <v/>
      </c>
      <c r="G3901" s="44" t="str">
        <f t="array" ref="G3901">IF(B3901="","",_xlfn.XLOOKUP(B3901,'Form responses 1'!$B$2:$B$2604,'Form responses 1'!$E$2:$E$2604,""))</f>
        <v/>
      </c>
      <c r="H3901" s="44" t="str">
        <f t="array" ref="H3901">IF(B3901="","",_xlfn.XLOOKUP(B3901,'Form responses 1'!$B$2:$B$2604,'Form responses 1'!$F$2:$F$2604,""))</f>
        <v/>
      </c>
      <c r="I3901" s="44" t="str">
        <f t="array" ref="I3901">IF(B3901="","",_xlfn.XLOOKUP(B3901,'Form responses 1'!$B$2:$B$2604,'Form responses 1'!$I$2:$I$2604,""))</f>
        <v/>
      </c>
      <c r="J3901" s="44" t="str">
        <f t="array" ref="J3901">IF(B3901="","",_xlfn.XLOOKUP(B3901,'Form responses 1'!$B$2:$B$2604,'Form responses 1'!$G$2:$G$2604,""))</f>
        <v/>
      </c>
      <c r="K3901" s="56"/>
      <c r="L3901" s="58" t="str">
        <f t="shared" si="7"/>
        <v/>
      </c>
      <c r="M3901" s="49"/>
      <c r="N3901" s="49"/>
      <c r="O3901" s="49"/>
      <c r="P3901" s="49"/>
      <c r="Q3901" s="49"/>
      <c r="R3901" s="49"/>
      <c r="S3901" s="49"/>
      <c r="T3901" s="49"/>
      <c r="U3901" s="49"/>
      <c r="V3901" s="49"/>
      <c r="W3901" s="56"/>
      <c r="X3901" s="51" t="str">
        <f t="shared" si="5"/>
        <v/>
      </c>
      <c r="Y3901" s="50" t="s">
        <v>482</v>
      </c>
      <c r="Z3901" s="49">
        <f t="shared" si="6"/>
        <v>0</v>
      </c>
    </row>
    <row r="3902" ht="22.5" customHeight="1">
      <c r="B3902" s="57"/>
      <c r="C3902" s="43" t="str">
        <f t="array" ref="C3902">IF(B3902="","",_xlfn.XLOOKUP(B3902,'Form responses 1'!$B$2:$B$2604,'Form responses 1'!$A$2:$A$2604,""))</f>
        <v/>
      </c>
      <c r="D3902" s="44" t="str">
        <f t="shared" si="3"/>
        <v/>
      </c>
      <c r="E3902" s="44" t="str">
        <f t="array" ref="E3902">IF(B3902="","",_xlfn.XLOOKUP(B3902,'Form responses 1'!$B$2:$B$2604,'Form responses 1'!$C$2:$C$2604,""))</f>
        <v/>
      </c>
      <c r="F3902" s="44" t="str">
        <f t="array" ref="F3902">IF(B3902="","",_xlfn.XLOOKUP(B3902,'Form responses 1'!$B$2:$B$2604,'Form responses 1'!$D$2:$D$2604,""))</f>
        <v/>
      </c>
      <c r="G3902" s="44" t="str">
        <f t="array" ref="G3902">IF(B3902="","",_xlfn.XLOOKUP(B3902,'Form responses 1'!$B$2:$B$2604,'Form responses 1'!$E$2:$E$2604,""))</f>
        <v/>
      </c>
      <c r="H3902" s="44" t="str">
        <f t="array" ref="H3902">IF(B3902="","",_xlfn.XLOOKUP(B3902,'Form responses 1'!$B$2:$B$2604,'Form responses 1'!$F$2:$F$2604,""))</f>
        <v/>
      </c>
      <c r="I3902" s="44" t="str">
        <f t="array" ref="I3902">IF(B3902="","",_xlfn.XLOOKUP(B3902,'Form responses 1'!$B$2:$B$2604,'Form responses 1'!$I$2:$I$2604,""))</f>
        <v/>
      </c>
      <c r="J3902" s="44" t="str">
        <f t="array" ref="J3902">IF(B3902="","",_xlfn.XLOOKUP(B3902,'Form responses 1'!$B$2:$B$2604,'Form responses 1'!$G$2:$G$2604,""))</f>
        <v/>
      </c>
      <c r="K3902" s="56"/>
      <c r="L3902" s="58" t="str">
        <f t="shared" si="7"/>
        <v/>
      </c>
      <c r="M3902" s="49"/>
      <c r="N3902" s="49"/>
      <c r="O3902" s="49"/>
      <c r="P3902" s="49"/>
      <c r="Q3902" s="49"/>
      <c r="R3902" s="49"/>
      <c r="S3902" s="49"/>
      <c r="T3902" s="49"/>
      <c r="U3902" s="49"/>
      <c r="V3902" s="49"/>
      <c r="W3902" s="56"/>
      <c r="X3902" s="51" t="str">
        <f t="shared" si="5"/>
        <v/>
      </c>
      <c r="Y3902" s="50" t="s">
        <v>482</v>
      </c>
      <c r="Z3902" s="49">
        <f t="shared" si="6"/>
        <v>0</v>
      </c>
    </row>
    <row r="3903" ht="22.5" customHeight="1">
      <c r="B3903" s="57"/>
      <c r="C3903" s="43" t="str">
        <f t="array" ref="C3903">IF(B3903="","",_xlfn.XLOOKUP(B3903,'Form responses 1'!$B$2:$B$2604,'Form responses 1'!$A$2:$A$2604,""))</f>
        <v/>
      </c>
      <c r="D3903" s="44" t="str">
        <f t="shared" si="3"/>
        <v/>
      </c>
      <c r="E3903" s="44" t="str">
        <f t="array" ref="E3903">IF(B3903="","",_xlfn.XLOOKUP(B3903,'Form responses 1'!$B$2:$B$2604,'Form responses 1'!$C$2:$C$2604,""))</f>
        <v/>
      </c>
      <c r="F3903" s="44" t="str">
        <f t="array" ref="F3903">IF(B3903="","",_xlfn.XLOOKUP(B3903,'Form responses 1'!$B$2:$B$2604,'Form responses 1'!$D$2:$D$2604,""))</f>
        <v/>
      </c>
      <c r="G3903" s="44" t="str">
        <f t="array" ref="G3903">IF(B3903="","",_xlfn.XLOOKUP(B3903,'Form responses 1'!$B$2:$B$2604,'Form responses 1'!$E$2:$E$2604,""))</f>
        <v/>
      </c>
      <c r="H3903" s="44" t="str">
        <f t="array" ref="H3903">IF(B3903="","",_xlfn.XLOOKUP(B3903,'Form responses 1'!$B$2:$B$2604,'Form responses 1'!$F$2:$F$2604,""))</f>
        <v/>
      </c>
      <c r="I3903" s="44" t="str">
        <f t="array" ref="I3903">IF(B3903="","",_xlfn.XLOOKUP(B3903,'Form responses 1'!$B$2:$B$2604,'Form responses 1'!$I$2:$I$2604,""))</f>
        <v/>
      </c>
      <c r="J3903" s="44" t="str">
        <f t="array" ref="J3903">IF(B3903="","",_xlfn.XLOOKUP(B3903,'Form responses 1'!$B$2:$B$2604,'Form responses 1'!$G$2:$G$2604,""))</f>
        <v/>
      </c>
      <c r="K3903" s="56"/>
      <c r="L3903" s="58" t="str">
        <f t="shared" si="7"/>
        <v/>
      </c>
      <c r="M3903" s="49"/>
      <c r="N3903" s="49"/>
      <c r="O3903" s="49"/>
      <c r="P3903" s="49"/>
      <c r="Q3903" s="49"/>
      <c r="R3903" s="49"/>
      <c r="S3903" s="49"/>
      <c r="T3903" s="49"/>
      <c r="U3903" s="49"/>
      <c r="V3903" s="49"/>
      <c r="W3903" s="56"/>
      <c r="X3903" s="51" t="str">
        <f t="shared" si="5"/>
        <v/>
      </c>
      <c r="Y3903" s="50" t="s">
        <v>482</v>
      </c>
      <c r="Z3903" s="49">
        <f t="shared" si="6"/>
        <v>0</v>
      </c>
    </row>
    <row r="3904" ht="22.5" customHeight="1">
      <c r="B3904" s="57"/>
      <c r="C3904" s="43" t="str">
        <f t="array" ref="C3904">IF(B3904="","",_xlfn.XLOOKUP(B3904,'Form responses 1'!$B$2:$B$2604,'Form responses 1'!$A$2:$A$2604,""))</f>
        <v/>
      </c>
      <c r="D3904" s="44" t="str">
        <f t="shared" si="3"/>
        <v/>
      </c>
      <c r="E3904" s="44" t="str">
        <f t="array" ref="E3904">IF(B3904="","",_xlfn.XLOOKUP(B3904,'Form responses 1'!$B$2:$B$2604,'Form responses 1'!$C$2:$C$2604,""))</f>
        <v/>
      </c>
      <c r="F3904" s="44" t="str">
        <f t="array" ref="F3904">IF(B3904="","",_xlfn.XLOOKUP(B3904,'Form responses 1'!$B$2:$B$2604,'Form responses 1'!$D$2:$D$2604,""))</f>
        <v/>
      </c>
      <c r="G3904" s="44" t="str">
        <f t="array" ref="G3904">IF(B3904="","",_xlfn.XLOOKUP(B3904,'Form responses 1'!$B$2:$B$2604,'Form responses 1'!$E$2:$E$2604,""))</f>
        <v/>
      </c>
      <c r="H3904" s="44" t="str">
        <f t="array" ref="H3904">IF(B3904="","",_xlfn.XLOOKUP(B3904,'Form responses 1'!$B$2:$B$2604,'Form responses 1'!$F$2:$F$2604,""))</f>
        <v/>
      </c>
      <c r="I3904" s="44" t="str">
        <f t="array" ref="I3904">IF(B3904="","",_xlfn.XLOOKUP(B3904,'Form responses 1'!$B$2:$B$2604,'Form responses 1'!$I$2:$I$2604,""))</f>
        <v/>
      </c>
      <c r="J3904" s="44" t="str">
        <f t="array" ref="J3904">IF(B3904="","",_xlfn.XLOOKUP(B3904,'Form responses 1'!$B$2:$B$2604,'Form responses 1'!$G$2:$G$2604,""))</f>
        <v/>
      </c>
      <c r="K3904" s="56"/>
      <c r="L3904" s="58" t="str">
        <f t="shared" si="7"/>
        <v/>
      </c>
      <c r="M3904" s="49"/>
      <c r="N3904" s="49"/>
      <c r="O3904" s="49"/>
      <c r="P3904" s="49"/>
      <c r="Q3904" s="49"/>
      <c r="R3904" s="49"/>
      <c r="S3904" s="49"/>
      <c r="T3904" s="49"/>
      <c r="U3904" s="49"/>
      <c r="V3904" s="49"/>
      <c r="W3904" s="56"/>
      <c r="X3904" s="51" t="str">
        <f t="shared" si="5"/>
        <v/>
      </c>
      <c r="Y3904" s="50" t="s">
        <v>482</v>
      </c>
      <c r="Z3904" s="49">
        <f t="shared" si="6"/>
        <v>0</v>
      </c>
    </row>
    <row r="3905" ht="22.5" customHeight="1">
      <c r="B3905" s="57"/>
      <c r="C3905" s="43" t="str">
        <f t="array" ref="C3905">IF(B3905="","",_xlfn.XLOOKUP(B3905,'Form responses 1'!$B$2:$B$2604,'Form responses 1'!$A$2:$A$2604,""))</f>
        <v/>
      </c>
      <c r="D3905" s="44" t="str">
        <f t="shared" si="3"/>
        <v/>
      </c>
      <c r="E3905" s="44" t="str">
        <f t="array" ref="E3905">IF(B3905="","",_xlfn.XLOOKUP(B3905,'Form responses 1'!$B$2:$B$2604,'Form responses 1'!$C$2:$C$2604,""))</f>
        <v/>
      </c>
      <c r="F3905" s="44" t="str">
        <f t="array" ref="F3905">IF(B3905="","",_xlfn.XLOOKUP(B3905,'Form responses 1'!$B$2:$B$2604,'Form responses 1'!$D$2:$D$2604,""))</f>
        <v/>
      </c>
      <c r="G3905" s="44" t="str">
        <f t="array" ref="G3905">IF(B3905="","",_xlfn.XLOOKUP(B3905,'Form responses 1'!$B$2:$B$2604,'Form responses 1'!$E$2:$E$2604,""))</f>
        <v/>
      </c>
      <c r="H3905" s="44" t="str">
        <f t="array" ref="H3905">IF(B3905="","",_xlfn.XLOOKUP(B3905,'Form responses 1'!$B$2:$B$2604,'Form responses 1'!$F$2:$F$2604,""))</f>
        <v/>
      </c>
      <c r="I3905" s="44" t="str">
        <f t="array" ref="I3905">IF(B3905="","",_xlfn.XLOOKUP(B3905,'Form responses 1'!$B$2:$B$2604,'Form responses 1'!$I$2:$I$2604,""))</f>
        <v/>
      </c>
      <c r="J3905" s="44" t="str">
        <f t="array" ref="J3905">IF(B3905="","",_xlfn.XLOOKUP(B3905,'Form responses 1'!$B$2:$B$2604,'Form responses 1'!$G$2:$G$2604,""))</f>
        <v/>
      </c>
      <c r="K3905" s="56"/>
      <c r="L3905" s="58" t="str">
        <f t="shared" si="7"/>
        <v/>
      </c>
      <c r="M3905" s="49"/>
      <c r="N3905" s="49"/>
      <c r="O3905" s="49"/>
      <c r="P3905" s="49"/>
      <c r="Q3905" s="49"/>
      <c r="R3905" s="49"/>
      <c r="S3905" s="49"/>
      <c r="T3905" s="49"/>
      <c r="U3905" s="49"/>
      <c r="V3905" s="49"/>
      <c r="W3905" s="56"/>
      <c r="X3905" s="51" t="str">
        <f t="shared" si="5"/>
        <v/>
      </c>
      <c r="Y3905" s="50" t="s">
        <v>482</v>
      </c>
      <c r="Z3905" s="49">
        <f t="shared" si="6"/>
        <v>0</v>
      </c>
    </row>
    <row r="3906" ht="22.5" customHeight="1">
      <c r="B3906" s="57"/>
      <c r="C3906" s="43" t="str">
        <f t="array" ref="C3906">IF(B3906="","",_xlfn.XLOOKUP(B3906,'Form responses 1'!$B$2:$B$2604,'Form responses 1'!$A$2:$A$2604,""))</f>
        <v/>
      </c>
      <c r="D3906" s="44" t="str">
        <f t="shared" si="3"/>
        <v/>
      </c>
      <c r="E3906" s="44" t="str">
        <f t="array" ref="E3906">IF(B3906="","",_xlfn.XLOOKUP(B3906,'Form responses 1'!$B$2:$B$2604,'Form responses 1'!$C$2:$C$2604,""))</f>
        <v/>
      </c>
      <c r="F3906" s="44" t="str">
        <f t="array" ref="F3906">IF(B3906="","",_xlfn.XLOOKUP(B3906,'Form responses 1'!$B$2:$B$2604,'Form responses 1'!$D$2:$D$2604,""))</f>
        <v/>
      </c>
      <c r="G3906" s="44" t="str">
        <f t="array" ref="G3906">IF(B3906="","",_xlfn.XLOOKUP(B3906,'Form responses 1'!$B$2:$B$2604,'Form responses 1'!$E$2:$E$2604,""))</f>
        <v/>
      </c>
      <c r="H3906" s="44" t="str">
        <f t="array" ref="H3906">IF(B3906="","",_xlfn.XLOOKUP(B3906,'Form responses 1'!$B$2:$B$2604,'Form responses 1'!$F$2:$F$2604,""))</f>
        <v/>
      </c>
      <c r="I3906" s="44" t="str">
        <f t="array" ref="I3906">IF(B3906="","",_xlfn.XLOOKUP(B3906,'Form responses 1'!$B$2:$B$2604,'Form responses 1'!$I$2:$I$2604,""))</f>
        <v/>
      </c>
      <c r="J3906" s="44" t="str">
        <f t="array" ref="J3906">IF(B3906="","",_xlfn.XLOOKUP(B3906,'Form responses 1'!$B$2:$B$2604,'Form responses 1'!$G$2:$G$2604,""))</f>
        <v/>
      </c>
      <c r="K3906" s="56"/>
      <c r="L3906" s="58" t="str">
        <f t="shared" si="7"/>
        <v/>
      </c>
      <c r="M3906" s="49"/>
      <c r="N3906" s="49"/>
      <c r="O3906" s="49"/>
      <c r="P3906" s="49"/>
      <c r="Q3906" s="49"/>
      <c r="R3906" s="49"/>
      <c r="S3906" s="49"/>
      <c r="T3906" s="49"/>
      <c r="U3906" s="49"/>
      <c r="V3906" s="49"/>
      <c r="W3906" s="56"/>
      <c r="X3906" s="51" t="str">
        <f t="shared" si="5"/>
        <v/>
      </c>
      <c r="Y3906" s="50" t="s">
        <v>482</v>
      </c>
      <c r="Z3906" s="49">
        <f t="shared" si="6"/>
        <v>0</v>
      </c>
    </row>
    <row r="3907" ht="22.5" customHeight="1">
      <c r="B3907" s="57"/>
      <c r="C3907" s="43" t="str">
        <f t="array" ref="C3907">IF(B3907="","",_xlfn.XLOOKUP(B3907,'Form responses 1'!$B$2:$B$2604,'Form responses 1'!$A$2:$A$2604,""))</f>
        <v/>
      </c>
      <c r="D3907" s="44" t="str">
        <f t="shared" si="3"/>
        <v/>
      </c>
      <c r="E3907" s="44" t="str">
        <f t="array" ref="E3907">IF(B3907="","",_xlfn.XLOOKUP(B3907,'Form responses 1'!$B$2:$B$2604,'Form responses 1'!$C$2:$C$2604,""))</f>
        <v/>
      </c>
      <c r="F3907" s="44" t="str">
        <f t="array" ref="F3907">IF(B3907="","",_xlfn.XLOOKUP(B3907,'Form responses 1'!$B$2:$B$2604,'Form responses 1'!$D$2:$D$2604,""))</f>
        <v/>
      </c>
      <c r="G3907" s="44" t="str">
        <f t="array" ref="G3907">IF(B3907="","",_xlfn.XLOOKUP(B3907,'Form responses 1'!$B$2:$B$2604,'Form responses 1'!$E$2:$E$2604,""))</f>
        <v/>
      </c>
      <c r="H3907" s="44" t="str">
        <f t="array" ref="H3907">IF(B3907="","",_xlfn.XLOOKUP(B3907,'Form responses 1'!$B$2:$B$2604,'Form responses 1'!$F$2:$F$2604,""))</f>
        <v/>
      </c>
      <c r="I3907" s="44" t="str">
        <f t="array" ref="I3907">IF(B3907="","",_xlfn.XLOOKUP(B3907,'Form responses 1'!$B$2:$B$2604,'Form responses 1'!$I$2:$I$2604,""))</f>
        <v/>
      </c>
      <c r="J3907" s="44" t="str">
        <f t="array" ref="J3907">IF(B3907="","",_xlfn.XLOOKUP(B3907,'Form responses 1'!$B$2:$B$2604,'Form responses 1'!$G$2:$G$2604,""))</f>
        <v/>
      </c>
      <c r="K3907" s="56"/>
      <c r="L3907" s="58" t="str">
        <f t="shared" si="7"/>
        <v/>
      </c>
      <c r="M3907" s="49"/>
      <c r="N3907" s="49"/>
      <c r="O3907" s="49"/>
      <c r="P3907" s="49"/>
      <c r="Q3907" s="49"/>
      <c r="R3907" s="49"/>
      <c r="S3907" s="49"/>
      <c r="T3907" s="49"/>
      <c r="U3907" s="49"/>
      <c r="V3907" s="49"/>
      <c r="W3907" s="56"/>
      <c r="X3907" s="51" t="str">
        <f t="shared" si="5"/>
        <v/>
      </c>
      <c r="Y3907" s="50" t="s">
        <v>482</v>
      </c>
      <c r="Z3907" s="49">
        <f t="shared" si="6"/>
        <v>0</v>
      </c>
    </row>
    <row r="3908" ht="22.5" customHeight="1">
      <c r="B3908" s="57"/>
      <c r="C3908" s="43" t="str">
        <f t="array" ref="C3908">IF(B3908="","",_xlfn.XLOOKUP(B3908,'Form responses 1'!$B$2:$B$2604,'Form responses 1'!$A$2:$A$2604,""))</f>
        <v/>
      </c>
      <c r="D3908" s="44" t="str">
        <f t="shared" si="3"/>
        <v/>
      </c>
      <c r="E3908" s="44" t="str">
        <f t="array" ref="E3908">IF(B3908="","",_xlfn.XLOOKUP(B3908,'Form responses 1'!$B$2:$B$2604,'Form responses 1'!$C$2:$C$2604,""))</f>
        <v/>
      </c>
      <c r="F3908" s="44" t="str">
        <f t="array" ref="F3908">IF(B3908="","",_xlfn.XLOOKUP(B3908,'Form responses 1'!$B$2:$B$2604,'Form responses 1'!$D$2:$D$2604,""))</f>
        <v/>
      </c>
      <c r="G3908" s="44" t="str">
        <f t="array" ref="G3908">IF(B3908="","",_xlfn.XLOOKUP(B3908,'Form responses 1'!$B$2:$B$2604,'Form responses 1'!$E$2:$E$2604,""))</f>
        <v/>
      </c>
      <c r="H3908" s="44" t="str">
        <f t="array" ref="H3908">IF(B3908="","",_xlfn.XLOOKUP(B3908,'Form responses 1'!$B$2:$B$2604,'Form responses 1'!$F$2:$F$2604,""))</f>
        <v/>
      </c>
      <c r="I3908" s="44" t="str">
        <f t="array" ref="I3908">IF(B3908="","",_xlfn.XLOOKUP(B3908,'Form responses 1'!$B$2:$B$2604,'Form responses 1'!$I$2:$I$2604,""))</f>
        <v/>
      </c>
      <c r="J3908" s="44" t="str">
        <f t="array" ref="J3908">IF(B3908="","",_xlfn.XLOOKUP(B3908,'Form responses 1'!$B$2:$B$2604,'Form responses 1'!$G$2:$G$2604,""))</f>
        <v/>
      </c>
      <c r="K3908" s="56"/>
      <c r="L3908" s="58" t="str">
        <f t="shared" si="7"/>
        <v/>
      </c>
      <c r="M3908" s="49"/>
      <c r="N3908" s="49"/>
      <c r="O3908" s="49"/>
      <c r="P3908" s="49"/>
      <c r="Q3908" s="49"/>
      <c r="R3908" s="49"/>
      <c r="S3908" s="49"/>
      <c r="T3908" s="49"/>
      <c r="U3908" s="49"/>
      <c r="V3908" s="49"/>
      <c r="W3908" s="56"/>
      <c r="X3908" s="51" t="str">
        <f t="shared" si="5"/>
        <v/>
      </c>
      <c r="Y3908" s="50" t="s">
        <v>482</v>
      </c>
      <c r="Z3908" s="49">
        <f t="shared" si="6"/>
        <v>0</v>
      </c>
    </row>
    <row r="3909" ht="22.5" customHeight="1">
      <c r="B3909" s="57"/>
      <c r="C3909" s="43" t="str">
        <f t="array" ref="C3909">IF(B3909="","",_xlfn.XLOOKUP(B3909,'Form responses 1'!$B$2:$B$2604,'Form responses 1'!$A$2:$A$2604,""))</f>
        <v/>
      </c>
      <c r="D3909" s="44" t="str">
        <f t="shared" si="3"/>
        <v/>
      </c>
      <c r="E3909" s="44" t="str">
        <f t="array" ref="E3909">IF(B3909="","",_xlfn.XLOOKUP(B3909,'Form responses 1'!$B$2:$B$2604,'Form responses 1'!$C$2:$C$2604,""))</f>
        <v/>
      </c>
      <c r="F3909" s="44" t="str">
        <f t="array" ref="F3909">IF(B3909="","",_xlfn.XLOOKUP(B3909,'Form responses 1'!$B$2:$B$2604,'Form responses 1'!$D$2:$D$2604,""))</f>
        <v/>
      </c>
      <c r="G3909" s="44" t="str">
        <f t="array" ref="G3909">IF(B3909="","",_xlfn.XLOOKUP(B3909,'Form responses 1'!$B$2:$B$2604,'Form responses 1'!$E$2:$E$2604,""))</f>
        <v/>
      </c>
      <c r="H3909" s="44" t="str">
        <f t="array" ref="H3909">IF(B3909="","",_xlfn.XLOOKUP(B3909,'Form responses 1'!$B$2:$B$2604,'Form responses 1'!$F$2:$F$2604,""))</f>
        <v/>
      </c>
      <c r="I3909" s="44" t="str">
        <f t="array" ref="I3909">IF(B3909="","",_xlfn.XLOOKUP(B3909,'Form responses 1'!$B$2:$B$2604,'Form responses 1'!$I$2:$I$2604,""))</f>
        <v/>
      </c>
      <c r="J3909" s="44" t="str">
        <f t="array" ref="J3909">IF(B3909="","",_xlfn.XLOOKUP(B3909,'Form responses 1'!$B$2:$B$2604,'Form responses 1'!$G$2:$G$2604,""))</f>
        <v/>
      </c>
      <c r="K3909" s="56"/>
      <c r="L3909" s="58" t="str">
        <f t="shared" si="7"/>
        <v/>
      </c>
      <c r="M3909" s="49"/>
      <c r="N3909" s="49"/>
      <c r="O3909" s="49"/>
      <c r="P3909" s="49"/>
      <c r="Q3909" s="49"/>
      <c r="R3909" s="49"/>
      <c r="S3909" s="49"/>
      <c r="T3909" s="49"/>
      <c r="U3909" s="49"/>
      <c r="V3909" s="49"/>
      <c r="W3909" s="56"/>
      <c r="X3909" s="51" t="str">
        <f t="shared" si="5"/>
        <v/>
      </c>
      <c r="Y3909" s="50" t="s">
        <v>482</v>
      </c>
      <c r="Z3909" s="49">
        <f t="shared" si="6"/>
        <v>0</v>
      </c>
    </row>
    <row r="3910" ht="22.5" customHeight="1">
      <c r="B3910" s="57"/>
      <c r="C3910" s="43" t="str">
        <f t="array" ref="C3910">IF(B3910="","",_xlfn.XLOOKUP(B3910,'Form responses 1'!$B$2:$B$2604,'Form responses 1'!$A$2:$A$2604,""))</f>
        <v/>
      </c>
      <c r="D3910" s="44" t="str">
        <f t="shared" si="3"/>
        <v/>
      </c>
      <c r="E3910" s="44" t="str">
        <f t="array" ref="E3910">IF(B3910="","",_xlfn.XLOOKUP(B3910,'Form responses 1'!$B$2:$B$2604,'Form responses 1'!$C$2:$C$2604,""))</f>
        <v/>
      </c>
      <c r="F3910" s="44" t="str">
        <f t="array" ref="F3910">IF(B3910="","",_xlfn.XLOOKUP(B3910,'Form responses 1'!$B$2:$B$2604,'Form responses 1'!$D$2:$D$2604,""))</f>
        <v/>
      </c>
      <c r="G3910" s="44" t="str">
        <f t="array" ref="G3910">IF(B3910="","",_xlfn.XLOOKUP(B3910,'Form responses 1'!$B$2:$B$2604,'Form responses 1'!$E$2:$E$2604,""))</f>
        <v/>
      </c>
      <c r="H3910" s="44" t="str">
        <f t="array" ref="H3910">IF(B3910="","",_xlfn.XLOOKUP(B3910,'Form responses 1'!$B$2:$B$2604,'Form responses 1'!$F$2:$F$2604,""))</f>
        <v/>
      </c>
      <c r="I3910" s="44" t="str">
        <f t="array" ref="I3910">IF(B3910="","",_xlfn.XLOOKUP(B3910,'Form responses 1'!$B$2:$B$2604,'Form responses 1'!$I$2:$I$2604,""))</f>
        <v/>
      </c>
      <c r="J3910" s="44" t="str">
        <f t="array" ref="J3910">IF(B3910="","",_xlfn.XLOOKUP(B3910,'Form responses 1'!$B$2:$B$2604,'Form responses 1'!$G$2:$G$2604,""))</f>
        <v/>
      </c>
      <c r="K3910" s="56"/>
      <c r="L3910" s="58" t="str">
        <f t="shared" si="7"/>
        <v/>
      </c>
      <c r="M3910" s="49"/>
      <c r="N3910" s="49"/>
      <c r="O3910" s="49"/>
      <c r="P3910" s="49"/>
      <c r="Q3910" s="49"/>
      <c r="R3910" s="49"/>
      <c r="S3910" s="49"/>
      <c r="T3910" s="49"/>
      <c r="U3910" s="49"/>
      <c r="V3910" s="49"/>
      <c r="W3910" s="56"/>
      <c r="X3910" s="51" t="str">
        <f t="shared" si="5"/>
        <v/>
      </c>
      <c r="Y3910" s="50" t="s">
        <v>482</v>
      </c>
      <c r="Z3910" s="49">
        <f t="shared" si="6"/>
        <v>0</v>
      </c>
    </row>
    <row r="3911" ht="22.5" customHeight="1">
      <c r="B3911" s="57"/>
      <c r="C3911" s="43" t="str">
        <f t="array" ref="C3911">IF(B3911="","",_xlfn.XLOOKUP(B3911,'Form responses 1'!$B$2:$B$2604,'Form responses 1'!$A$2:$A$2604,""))</f>
        <v/>
      </c>
      <c r="D3911" s="44" t="str">
        <f t="shared" si="3"/>
        <v/>
      </c>
      <c r="E3911" s="44" t="str">
        <f t="array" ref="E3911">IF(B3911="","",_xlfn.XLOOKUP(B3911,'Form responses 1'!$B$2:$B$2604,'Form responses 1'!$C$2:$C$2604,""))</f>
        <v/>
      </c>
      <c r="F3911" s="44" t="str">
        <f t="array" ref="F3911">IF(B3911="","",_xlfn.XLOOKUP(B3911,'Form responses 1'!$B$2:$B$2604,'Form responses 1'!$D$2:$D$2604,""))</f>
        <v/>
      </c>
      <c r="G3911" s="44" t="str">
        <f t="array" ref="G3911">IF(B3911="","",_xlfn.XLOOKUP(B3911,'Form responses 1'!$B$2:$B$2604,'Form responses 1'!$E$2:$E$2604,""))</f>
        <v/>
      </c>
      <c r="H3911" s="44" t="str">
        <f t="array" ref="H3911">IF(B3911="","",_xlfn.XLOOKUP(B3911,'Form responses 1'!$B$2:$B$2604,'Form responses 1'!$F$2:$F$2604,""))</f>
        <v/>
      </c>
      <c r="I3911" s="44" t="str">
        <f t="array" ref="I3911">IF(B3911="","",_xlfn.XLOOKUP(B3911,'Form responses 1'!$B$2:$B$2604,'Form responses 1'!$I$2:$I$2604,""))</f>
        <v/>
      </c>
      <c r="J3911" s="44" t="str">
        <f t="array" ref="J3911">IF(B3911="","",_xlfn.XLOOKUP(B3911,'Form responses 1'!$B$2:$B$2604,'Form responses 1'!$G$2:$G$2604,""))</f>
        <v/>
      </c>
      <c r="K3911" s="56"/>
      <c r="L3911" s="58" t="str">
        <f t="shared" si="7"/>
        <v/>
      </c>
      <c r="M3911" s="49"/>
      <c r="N3911" s="49"/>
      <c r="O3911" s="49"/>
      <c r="P3911" s="49"/>
      <c r="Q3911" s="49"/>
      <c r="R3911" s="49"/>
      <c r="S3911" s="49"/>
      <c r="T3911" s="49"/>
      <c r="U3911" s="49"/>
      <c r="V3911" s="49"/>
      <c r="W3911" s="56"/>
      <c r="X3911" s="51" t="str">
        <f t="shared" si="5"/>
        <v/>
      </c>
      <c r="Y3911" s="50" t="s">
        <v>482</v>
      </c>
      <c r="Z3911" s="49">
        <f t="shared" si="6"/>
        <v>0</v>
      </c>
    </row>
    <row r="3912" ht="22.5" customHeight="1">
      <c r="B3912" s="57"/>
      <c r="C3912" s="43" t="str">
        <f t="array" ref="C3912">IF(B3912="","",_xlfn.XLOOKUP(B3912,'Form responses 1'!$B$2:$B$2604,'Form responses 1'!$A$2:$A$2604,""))</f>
        <v/>
      </c>
      <c r="D3912" s="44" t="str">
        <f t="shared" si="3"/>
        <v/>
      </c>
      <c r="E3912" s="44" t="str">
        <f t="array" ref="E3912">IF(B3912="","",_xlfn.XLOOKUP(B3912,'Form responses 1'!$B$2:$B$2604,'Form responses 1'!$C$2:$C$2604,""))</f>
        <v/>
      </c>
      <c r="F3912" s="44" t="str">
        <f t="array" ref="F3912">IF(B3912="","",_xlfn.XLOOKUP(B3912,'Form responses 1'!$B$2:$B$2604,'Form responses 1'!$D$2:$D$2604,""))</f>
        <v/>
      </c>
      <c r="G3912" s="44" t="str">
        <f t="array" ref="G3912">IF(B3912="","",_xlfn.XLOOKUP(B3912,'Form responses 1'!$B$2:$B$2604,'Form responses 1'!$E$2:$E$2604,""))</f>
        <v/>
      </c>
      <c r="H3912" s="44" t="str">
        <f t="array" ref="H3912">IF(B3912="","",_xlfn.XLOOKUP(B3912,'Form responses 1'!$B$2:$B$2604,'Form responses 1'!$F$2:$F$2604,""))</f>
        <v/>
      </c>
      <c r="I3912" s="44" t="str">
        <f t="array" ref="I3912">IF(B3912="","",_xlfn.XLOOKUP(B3912,'Form responses 1'!$B$2:$B$2604,'Form responses 1'!$I$2:$I$2604,""))</f>
        <v/>
      </c>
      <c r="J3912" s="44" t="str">
        <f t="array" ref="J3912">IF(B3912="","",_xlfn.XLOOKUP(B3912,'Form responses 1'!$B$2:$B$2604,'Form responses 1'!$G$2:$G$2604,""))</f>
        <v/>
      </c>
      <c r="K3912" s="56"/>
      <c r="L3912" s="58" t="str">
        <f t="shared" si="7"/>
        <v/>
      </c>
      <c r="M3912" s="49"/>
      <c r="N3912" s="49"/>
      <c r="O3912" s="49"/>
      <c r="P3912" s="49"/>
      <c r="Q3912" s="49"/>
      <c r="R3912" s="49"/>
      <c r="S3912" s="49"/>
      <c r="T3912" s="49"/>
      <c r="U3912" s="49"/>
      <c r="V3912" s="49"/>
      <c r="W3912" s="56"/>
      <c r="X3912" s="51" t="str">
        <f t="shared" si="5"/>
        <v/>
      </c>
      <c r="Y3912" s="50" t="s">
        <v>482</v>
      </c>
      <c r="Z3912" s="49">
        <f t="shared" si="6"/>
        <v>0</v>
      </c>
    </row>
    <row r="3913" ht="22.5" customHeight="1">
      <c r="B3913" s="57"/>
      <c r="C3913" s="43" t="str">
        <f t="array" ref="C3913">IF(B3913="","",_xlfn.XLOOKUP(B3913,'Form responses 1'!$B$2:$B$2604,'Form responses 1'!$A$2:$A$2604,""))</f>
        <v/>
      </c>
      <c r="D3913" s="44" t="str">
        <f t="shared" si="3"/>
        <v/>
      </c>
      <c r="E3913" s="44" t="str">
        <f t="array" ref="E3913">IF(B3913="","",_xlfn.XLOOKUP(B3913,'Form responses 1'!$B$2:$B$2604,'Form responses 1'!$C$2:$C$2604,""))</f>
        <v/>
      </c>
      <c r="F3913" s="44" t="str">
        <f t="array" ref="F3913">IF(B3913="","",_xlfn.XLOOKUP(B3913,'Form responses 1'!$B$2:$B$2604,'Form responses 1'!$D$2:$D$2604,""))</f>
        <v/>
      </c>
      <c r="G3913" s="44" t="str">
        <f t="array" ref="G3913">IF(B3913="","",_xlfn.XLOOKUP(B3913,'Form responses 1'!$B$2:$B$2604,'Form responses 1'!$E$2:$E$2604,""))</f>
        <v/>
      </c>
      <c r="H3913" s="44" t="str">
        <f t="array" ref="H3913">IF(B3913="","",_xlfn.XLOOKUP(B3913,'Form responses 1'!$B$2:$B$2604,'Form responses 1'!$F$2:$F$2604,""))</f>
        <v/>
      </c>
      <c r="I3913" s="44" t="str">
        <f t="array" ref="I3913">IF(B3913="","",_xlfn.XLOOKUP(B3913,'Form responses 1'!$B$2:$B$2604,'Form responses 1'!$I$2:$I$2604,""))</f>
        <v/>
      </c>
      <c r="J3913" s="44" t="str">
        <f t="array" ref="J3913">IF(B3913="","",_xlfn.XLOOKUP(B3913,'Form responses 1'!$B$2:$B$2604,'Form responses 1'!$G$2:$G$2604,""))</f>
        <v/>
      </c>
      <c r="K3913" s="56"/>
      <c r="L3913" s="58" t="str">
        <f t="shared" si="7"/>
        <v/>
      </c>
      <c r="M3913" s="49"/>
      <c r="N3913" s="49"/>
      <c r="O3913" s="49"/>
      <c r="P3913" s="49"/>
      <c r="Q3913" s="49"/>
      <c r="R3913" s="49"/>
      <c r="S3913" s="49"/>
      <c r="T3913" s="49"/>
      <c r="U3913" s="49"/>
      <c r="V3913" s="49"/>
      <c r="W3913" s="56"/>
      <c r="X3913" s="51" t="str">
        <f t="shared" si="5"/>
        <v/>
      </c>
      <c r="Y3913" s="50" t="s">
        <v>482</v>
      </c>
      <c r="Z3913" s="49">
        <f t="shared" si="6"/>
        <v>0</v>
      </c>
    </row>
    <row r="3914" ht="22.5" customHeight="1">
      <c r="B3914" s="57"/>
      <c r="C3914" s="43" t="str">
        <f t="array" ref="C3914">IF(B3914="","",_xlfn.XLOOKUP(B3914,'Form responses 1'!$B$2:$B$2604,'Form responses 1'!$A$2:$A$2604,""))</f>
        <v/>
      </c>
      <c r="D3914" s="44" t="str">
        <f t="shared" si="3"/>
        <v/>
      </c>
      <c r="E3914" s="44" t="str">
        <f t="array" ref="E3914">IF(B3914="","",_xlfn.XLOOKUP(B3914,'Form responses 1'!$B$2:$B$2604,'Form responses 1'!$C$2:$C$2604,""))</f>
        <v/>
      </c>
      <c r="F3914" s="44" t="str">
        <f t="array" ref="F3914">IF(B3914="","",_xlfn.XLOOKUP(B3914,'Form responses 1'!$B$2:$B$2604,'Form responses 1'!$D$2:$D$2604,""))</f>
        <v/>
      </c>
      <c r="G3914" s="44" t="str">
        <f t="array" ref="G3914">IF(B3914="","",_xlfn.XLOOKUP(B3914,'Form responses 1'!$B$2:$B$2604,'Form responses 1'!$E$2:$E$2604,""))</f>
        <v/>
      </c>
      <c r="H3914" s="44" t="str">
        <f t="array" ref="H3914">IF(B3914="","",_xlfn.XLOOKUP(B3914,'Form responses 1'!$B$2:$B$2604,'Form responses 1'!$F$2:$F$2604,""))</f>
        <v/>
      </c>
      <c r="I3914" s="44" t="str">
        <f t="array" ref="I3914">IF(B3914="","",_xlfn.XLOOKUP(B3914,'Form responses 1'!$B$2:$B$2604,'Form responses 1'!$I$2:$I$2604,""))</f>
        <v/>
      </c>
      <c r="J3914" s="44" t="str">
        <f t="array" ref="J3914">IF(B3914="","",_xlfn.XLOOKUP(B3914,'Form responses 1'!$B$2:$B$2604,'Form responses 1'!$G$2:$G$2604,""))</f>
        <v/>
      </c>
      <c r="K3914" s="56"/>
      <c r="L3914" s="58" t="str">
        <f t="shared" si="7"/>
        <v/>
      </c>
      <c r="M3914" s="49"/>
      <c r="N3914" s="49"/>
      <c r="O3914" s="49"/>
      <c r="P3914" s="49"/>
      <c r="Q3914" s="49"/>
      <c r="R3914" s="49"/>
      <c r="S3914" s="49"/>
      <c r="T3914" s="49"/>
      <c r="U3914" s="49"/>
      <c r="V3914" s="49"/>
      <c r="W3914" s="56"/>
      <c r="X3914" s="51" t="str">
        <f t="shared" si="5"/>
        <v/>
      </c>
      <c r="Y3914" s="50" t="s">
        <v>482</v>
      </c>
      <c r="Z3914" s="49">
        <f t="shared" si="6"/>
        <v>0</v>
      </c>
    </row>
    <row r="3915" ht="22.5" customHeight="1">
      <c r="B3915" s="57"/>
      <c r="C3915" s="43" t="str">
        <f t="array" ref="C3915">IF(B3915="","",_xlfn.XLOOKUP(B3915,'Form responses 1'!$B$2:$B$2604,'Form responses 1'!$A$2:$A$2604,""))</f>
        <v/>
      </c>
      <c r="D3915" s="44" t="str">
        <f t="shared" si="3"/>
        <v/>
      </c>
      <c r="E3915" s="44" t="str">
        <f t="array" ref="E3915">IF(B3915="","",_xlfn.XLOOKUP(B3915,'Form responses 1'!$B$2:$B$2604,'Form responses 1'!$C$2:$C$2604,""))</f>
        <v/>
      </c>
      <c r="F3915" s="44" t="str">
        <f t="array" ref="F3915">IF(B3915="","",_xlfn.XLOOKUP(B3915,'Form responses 1'!$B$2:$B$2604,'Form responses 1'!$D$2:$D$2604,""))</f>
        <v/>
      </c>
      <c r="G3915" s="44" t="str">
        <f t="array" ref="G3915">IF(B3915="","",_xlfn.XLOOKUP(B3915,'Form responses 1'!$B$2:$B$2604,'Form responses 1'!$E$2:$E$2604,""))</f>
        <v/>
      </c>
      <c r="H3915" s="44" t="str">
        <f t="array" ref="H3915">IF(B3915="","",_xlfn.XLOOKUP(B3915,'Form responses 1'!$B$2:$B$2604,'Form responses 1'!$F$2:$F$2604,""))</f>
        <v/>
      </c>
      <c r="I3915" s="44" t="str">
        <f t="array" ref="I3915">IF(B3915="","",_xlfn.XLOOKUP(B3915,'Form responses 1'!$B$2:$B$2604,'Form responses 1'!$I$2:$I$2604,""))</f>
        <v/>
      </c>
      <c r="J3915" s="44" t="str">
        <f t="array" ref="J3915">IF(B3915="","",_xlfn.XLOOKUP(B3915,'Form responses 1'!$B$2:$B$2604,'Form responses 1'!$G$2:$G$2604,""))</f>
        <v/>
      </c>
      <c r="K3915" s="56"/>
      <c r="L3915" s="58" t="str">
        <f t="shared" si="7"/>
        <v/>
      </c>
      <c r="M3915" s="49"/>
      <c r="N3915" s="49"/>
      <c r="O3915" s="49"/>
      <c r="P3915" s="49"/>
      <c r="Q3915" s="49"/>
      <c r="R3915" s="49"/>
      <c r="S3915" s="49"/>
      <c r="T3915" s="49"/>
      <c r="U3915" s="49"/>
      <c r="V3915" s="49"/>
      <c r="W3915" s="56"/>
      <c r="X3915" s="51" t="str">
        <f t="shared" si="5"/>
        <v/>
      </c>
      <c r="Y3915" s="50" t="s">
        <v>482</v>
      </c>
      <c r="Z3915" s="49">
        <f t="shared" si="6"/>
        <v>0</v>
      </c>
    </row>
    <row r="3916" ht="22.5" customHeight="1">
      <c r="B3916" s="57"/>
      <c r="C3916" s="43" t="str">
        <f t="array" ref="C3916">IF(B3916="","",_xlfn.XLOOKUP(B3916,'Form responses 1'!$B$2:$B$2604,'Form responses 1'!$A$2:$A$2604,""))</f>
        <v/>
      </c>
      <c r="D3916" s="44" t="str">
        <f t="shared" si="3"/>
        <v/>
      </c>
      <c r="E3916" s="44" t="str">
        <f t="array" ref="E3916">IF(B3916="","",_xlfn.XLOOKUP(B3916,'Form responses 1'!$B$2:$B$2604,'Form responses 1'!$C$2:$C$2604,""))</f>
        <v/>
      </c>
      <c r="F3916" s="44" t="str">
        <f t="array" ref="F3916">IF(B3916="","",_xlfn.XLOOKUP(B3916,'Form responses 1'!$B$2:$B$2604,'Form responses 1'!$D$2:$D$2604,""))</f>
        <v/>
      </c>
      <c r="G3916" s="44" t="str">
        <f t="array" ref="G3916">IF(B3916="","",_xlfn.XLOOKUP(B3916,'Form responses 1'!$B$2:$B$2604,'Form responses 1'!$E$2:$E$2604,""))</f>
        <v/>
      </c>
      <c r="H3916" s="44" t="str">
        <f t="array" ref="H3916">IF(B3916="","",_xlfn.XLOOKUP(B3916,'Form responses 1'!$B$2:$B$2604,'Form responses 1'!$F$2:$F$2604,""))</f>
        <v/>
      </c>
      <c r="I3916" s="44" t="str">
        <f t="array" ref="I3916">IF(B3916="","",_xlfn.XLOOKUP(B3916,'Form responses 1'!$B$2:$B$2604,'Form responses 1'!$I$2:$I$2604,""))</f>
        <v/>
      </c>
      <c r="J3916" s="44" t="str">
        <f t="array" ref="J3916">IF(B3916="","",_xlfn.XLOOKUP(B3916,'Form responses 1'!$B$2:$B$2604,'Form responses 1'!$G$2:$G$2604,""))</f>
        <v/>
      </c>
      <c r="K3916" s="56"/>
      <c r="L3916" s="58" t="str">
        <f t="shared" si="7"/>
        <v/>
      </c>
      <c r="M3916" s="49"/>
      <c r="N3916" s="49"/>
      <c r="O3916" s="49"/>
      <c r="P3916" s="49"/>
      <c r="Q3916" s="49"/>
      <c r="R3916" s="49"/>
      <c r="S3916" s="49"/>
      <c r="T3916" s="49"/>
      <c r="U3916" s="49"/>
      <c r="V3916" s="49"/>
      <c r="W3916" s="56"/>
      <c r="X3916" s="51" t="str">
        <f t="shared" si="5"/>
        <v/>
      </c>
      <c r="Y3916" s="50" t="s">
        <v>482</v>
      </c>
      <c r="Z3916" s="49">
        <f t="shared" si="6"/>
        <v>0</v>
      </c>
    </row>
    <row r="3917" ht="22.5" customHeight="1">
      <c r="B3917" s="57"/>
      <c r="C3917" s="43" t="str">
        <f t="array" ref="C3917">IF(B3917="","",_xlfn.XLOOKUP(B3917,'Form responses 1'!$B$2:$B$2604,'Form responses 1'!$A$2:$A$2604,""))</f>
        <v/>
      </c>
      <c r="D3917" s="44" t="str">
        <f t="shared" si="3"/>
        <v/>
      </c>
      <c r="E3917" s="44" t="str">
        <f t="array" ref="E3917">IF(B3917="","",_xlfn.XLOOKUP(B3917,'Form responses 1'!$B$2:$B$2604,'Form responses 1'!$C$2:$C$2604,""))</f>
        <v/>
      </c>
      <c r="F3917" s="44" t="str">
        <f t="array" ref="F3917">IF(B3917="","",_xlfn.XLOOKUP(B3917,'Form responses 1'!$B$2:$B$2604,'Form responses 1'!$D$2:$D$2604,""))</f>
        <v/>
      </c>
      <c r="G3917" s="44" t="str">
        <f t="array" ref="G3917">IF(B3917="","",_xlfn.XLOOKUP(B3917,'Form responses 1'!$B$2:$B$2604,'Form responses 1'!$E$2:$E$2604,""))</f>
        <v/>
      </c>
      <c r="H3917" s="44" t="str">
        <f t="array" ref="H3917">IF(B3917="","",_xlfn.XLOOKUP(B3917,'Form responses 1'!$B$2:$B$2604,'Form responses 1'!$F$2:$F$2604,""))</f>
        <v/>
      </c>
      <c r="I3917" s="44" t="str">
        <f t="array" ref="I3917">IF(B3917="","",_xlfn.XLOOKUP(B3917,'Form responses 1'!$B$2:$B$2604,'Form responses 1'!$I$2:$I$2604,""))</f>
        <v/>
      </c>
      <c r="J3917" s="44" t="str">
        <f t="array" ref="J3917">IF(B3917="","",_xlfn.XLOOKUP(B3917,'Form responses 1'!$B$2:$B$2604,'Form responses 1'!$G$2:$G$2604,""))</f>
        <v/>
      </c>
      <c r="K3917" s="56"/>
      <c r="L3917" s="58" t="str">
        <f t="shared" si="7"/>
        <v/>
      </c>
      <c r="M3917" s="49"/>
      <c r="N3917" s="49"/>
      <c r="O3917" s="49"/>
      <c r="P3917" s="49"/>
      <c r="Q3917" s="49"/>
      <c r="R3917" s="49"/>
      <c r="S3917" s="49"/>
      <c r="T3917" s="49"/>
      <c r="U3917" s="49"/>
      <c r="V3917" s="49"/>
      <c r="W3917" s="56"/>
      <c r="X3917" s="51" t="str">
        <f t="shared" si="5"/>
        <v/>
      </c>
      <c r="Y3917" s="50" t="s">
        <v>482</v>
      </c>
      <c r="Z3917" s="49">
        <f t="shared" si="6"/>
        <v>0</v>
      </c>
    </row>
    <row r="3918" ht="22.5" customHeight="1">
      <c r="B3918" s="57"/>
      <c r="C3918" s="43" t="str">
        <f t="array" ref="C3918">IF(B3918="","",_xlfn.XLOOKUP(B3918,'Form responses 1'!$B$2:$B$2604,'Form responses 1'!$A$2:$A$2604,""))</f>
        <v/>
      </c>
      <c r="D3918" s="44" t="str">
        <f t="shared" si="3"/>
        <v/>
      </c>
      <c r="E3918" s="44" t="str">
        <f t="array" ref="E3918">IF(B3918="","",_xlfn.XLOOKUP(B3918,'Form responses 1'!$B$2:$B$2604,'Form responses 1'!$C$2:$C$2604,""))</f>
        <v/>
      </c>
      <c r="F3918" s="44" t="str">
        <f t="array" ref="F3918">IF(B3918="","",_xlfn.XLOOKUP(B3918,'Form responses 1'!$B$2:$B$2604,'Form responses 1'!$D$2:$D$2604,""))</f>
        <v/>
      </c>
      <c r="G3918" s="44" t="str">
        <f t="array" ref="G3918">IF(B3918="","",_xlfn.XLOOKUP(B3918,'Form responses 1'!$B$2:$B$2604,'Form responses 1'!$E$2:$E$2604,""))</f>
        <v/>
      </c>
      <c r="H3918" s="44" t="str">
        <f t="array" ref="H3918">IF(B3918="","",_xlfn.XLOOKUP(B3918,'Form responses 1'!$B$2:$B$2604,'Form responses 1'!$F$2:$F$2604,""))</f>
        <v/>
      </c>
      <c r="I3918" s="44" t="str">
        <f t="array" ref="I3918">IF(B3918="","",_xlfn.XLOOKUP(B3918,'Form responses 1'!$B$2:$B$2604,'Form responses 1'!$I$2:$I$2604,""))</f>
        <v/>
      </c>
      <c r="J3918" s="44" t="str">
        <f t="array" ref="J3918">IF(B3918="","",_xlfn.XLOOKUP(B3918,'Form responses 1'!$B$2:$B$2604,'Form responses 1'!$G$2:$G$2604,""))</f>
        <v/>
      </c>
      <c r="K3918" s="56"/>
      <c r="L3918" s="58" t="str">
        <f t="shared" si="7"/>
        <v/>
      </c>
      <c r="M3918" s="49"/>
      <c r="N3918" s="49"/>
      <c r="O3918" s="49"/>
      <c r="P3918" s="49"/>
      <c r="Q3918" s="49"/>
      <c r="R3918" s="49"/>
      <c r="S3918" s="49"/>
      <c r="T3918" s="49"/>
      <c r="U3918" s="49"/>
      <c r="V3918" s="49"/>
      <c r="W3918" s="56"/>
      <c r="X3918" s="51" t="str">
        <f t="shared" si="5"/>
        <v/>
      </c>
      <c r="Y3918" s="50" t="s">
        <v>482</v>
      </c>
      <c r="Z3918" s="49">
        <f t="shared" si="6"/>
        <v>0</v>
      </c>
    </row>
    <row r="3919" ht="22.5" customHeight="1">
      <c r="B3919" s="57"/>
      <c r="C3919" s="43" t="str">
        <f t="array" ref="C3919">IF(B3919="","",_xlfn.XLOOKUP(B3919,'Form responses 1'!$B$2:$B$2604,'Form responses 1'!$A$2:$A$2604,""))</f>
        <v/>
      </c>
      <c r="D3919" s="44" t="str">
        <f t="shared" si="3"/>
        <v/>
      </c>
      <c r="E3919" s="44" t="str">
        <f t="array" ref="E3919">IF(B3919="","",_xlfn.XLOOKUP(B3919,'Form responses 1'!$B$2:$B$2604,'Form responses 1'!$C$2:$C$2604,""))</f>
        <v/>
      </c>
      <c r="F3919" s="44" t="str">
        <f t="array" ref="F3919">IF(B3919="","",_xlfn.XLOOKUP(B3919,'Form responses 1'!$B$2:$B$2604,'Form responses 1'!$D$2:$D$2604,""))</f>
        <v/>
      </c>
      <c r="G3919" s="44" t="str">
        <f t="array" ref="G3919">IF(B3919="","",_xlfn.XLOOKUP(B3919,'Form responses 1'!$B$2:$B$2604,'Form responses 1'!$E$2:$E$2604,""))</f>
        <v/>
      </c>
      <c r="H3919" s="44" t="str">
        <f t="array" ref="H3919">IF(B3919="","",_xlfn.XLOOKUP(B3919,'Form responses 1'!$B$2:$B$2604,'Form responses 1'!$F$2:$F$2604,""))</f>
        <v/>
      </c>
      <c r="I3919" s="44" t="str">
        <f t="array" ref="I3919">IF(B3919="","",_xlfn.XLOOKUP(B3919,'Form responses 1'!$B$2:$B$2604,'Form responses 1'!$I$2:$I$2604,""))</f>
        <v/>
      </c>
      <c r="J3919" s="44" t="str">
        <f t="array" ref="J3919">IF(B3919="","",_xlfn.XLOOKUP(B3919,'Form responses 1'!$B$2:$B$2604,'Form responses 1'!$G$2:$G$2604,""))</f>
        <v/>
      </c>
      <c r="K3919" s="56"/>
      <c r="L3919" s="58" t="str">
        <f t="shared" si="7"/>
        <v/>
      </c>
      <c r="M3919" s="49"/>
      <c r="N3919" s="49"/>
      <c r="O3919" s="49"/>
      <c r="P3919" s="49"/>
      <c r="Q3919" s="49"/>
      <c r="R3919" s="49"/>
      <c r="S3919" s="49"/>
      <c r="T3919" s="49"/>
      <c r="U3919" s="49"/>
      <c r="V3919" s="49"/>
      <c r="W3919" s="56"/>
      <c r="X3919" s="51" t="str">
        <f t="shared" si="5"/>
        <v/>
      </c>
      <c r="Y3919" s="50" t="s">
        <v>482</v>
      </c>
      <c r="Z3919" s="49">
        <f t="shared" si="6"/>
        <v>0</v>
      </c>
    </row>
    <row r="3920" ht="22.5" customHeight="1">
      <c r="B3920" s="57"/>
      <c r="C3920" s="43" t="str">
        <f t="array" ref="C3920">IF(B3920="","",_xlfn.XLOOKUP(B3920,'Form responses 1'!$B$2:$B$2604,'Form responses 1'!$A$2:$A$2604,""))</f>
        <v/>
      </c>
      <c r="D3920" s="44" t="str">
        <f t="shared" si="3"/>
        <v/>
      </c>
      <c r="E3920" s="44" t="str">
        <f t="array" ref="E3920">IF(B3920="","",_xlfn.XLOOKUP(B3920,'Form responses 1'!$B$2:$B$2604,'Form responses 1'!$C$2:$C$2604,""))</f>
        <v/>
      </c>
      <c r="F3920" s="44" t="str">
        <f t="array" ref="F3920">IF(B3920="","",_xlfn.XLOOKUP(B3920,'Form responses 1'!$B$2:$B$2604,'Form responses 1'!$D$2:$D$2604,""))</f>
        <v/>
      </c>
      <c r="G3920" s="44" t="str">
        <f t="array" ref="G3920">IF(B3920="","",_xlfn.XLOOKUP(B3920,'Form responses 1'!$B$2:$B$2604,'Form responses 1'!$E$2:$E$2604,""))</f>
        <v/>
      </c>
      <c r="H3920" s="44" t="str">
        <f t="array" ref="H3920">IF(B3920="","",_xlfn.XLOOKUP(B3920,'Form responses 1'!$B$2:$B$2604,'Form responses 1'!$F$2:$F$2604,""))</f>
        <v/>
      </c>
      <c r="I3920" s="44" t="str">
        <f t="array" ref="I3920">IF(B3920="","",_xlfn.XLOOKUP(B3920,'Form responses 1'!$B$2:$B$2604,'Form responses 1'!$I$2:$I$2604,""))</f>
        <v/>
      </c>
      <c r="J3920" s="44" t="str">
        <f t="array" ref="J3920">IF(B3920="","",_xlfn.XLOOKUP(B3920,'Form responses 1'!$B$2:$B$2604,'Form responses 1'!$G$2:$G$2604,""))</f>
        <v/>
      </c>
      <c r="K3920" s="56"/>
      <c r="L3920" s="58" t="str">
        <f t="shared" si="7"/>
        <v/>
      </c>
      <c r="M3920" s="49"/>
      <c r="N3920" s="49"/>
      <c r="O3920" s="49"/>
      <c r="P3920" s="49"/>
      <c r="Q3920" s="49"/>
      <c r="R3920" s="49"/>
      <c r="S3920" s="49"/>
      <c r="T3920" s="49"/>
      <c r="U3920" s="49"/>
      <c r="V3920" s="49"/>
      <c r="W3920" s="56"/>
      <c r="X3920" s="51" t="str">
        <f t="shared" si="5"/>
        <v/>
      </c>
      <c r="Y3920" s="50" t="s">
        <v>482</v>
      </c>
      <c r="Z3920" s="49">
        <f t="shared" si="6"/>
        <v>0</v>
      </c>
    </row>
    <row r="3921" ht="22.5" customHeight="1">
      <c r="B3921" s="57"/>
      <c r="C3921" s="43" t="str">
        <f t="array" ref="C3921">IF(B3921="","",_xlfn.XLOOKUP(B3921,'Form responses 1'!$B$2:$B$2604,'Form responses 1'!$A$2:$A$2604,""))</f>
        <v/>
      </c>
      <c r="D3921" s="44" t="str">
        <f t="shared" si="3"/>
        <v/>
      </c>
      <c r="E3921" s="44" t="str">
        <f t="array" ref="E3921">IF(B3921="","",_xlfn.XLOOKUP(B3921,'Form responses 1'!$B$2:$B$2604,'Form responses 1'!$C$2:$C$2604,""))</f>
        <v/>
      </c>
      <c r="F3921" s="44" t="str">
        <f t="array" ref="F3921">IF(B3921="","",_xlfn.XLOOKUP(B3921,'Form responses 1'!$B$2:$B$2604,'Form responses 1'!$D$2:$D$2604,""))</f>
        <v/>
      </c>
      <c r="G3921" s="44" t="str">
        <f t="array" ref="G3921">IF(B3921="","",_xlfn.XLOOKUP(B3921,'Form responses 1'!$B$2:$B$2604,'Form responses 1'!$E$2:$E$2604,""))</f>
        <v/>
      </c>
      <c r="H3921" s="44" t="str">
        <f t="array" ref="H3921">IF(B3921="","",_xlfn.XLOOKUP(B3921,'Form responses 1'!$B$2:$B$2604,'Form responses 1'!$F$2:$F$2604,""))</f>
        <v/>
      </c>
      <c r="I3921" s="44" t="str">
        <f t="array" ref="I3921">IF(B3921="","",_xlfn.XLOOKUP(B3921,'Form responses 1'!$B$2:$B$2604,'Form responses 1'!$I$2:$I$2604,""))</f>
        <v/>
      </c>
      <c r="J3921" s="44" t="str">
        <f t="array" ref="J3921">IF(B3921="","",_xlfn.XLOOKUP(B3921,'Form responses 1'!$B$2:$B$2604,'Form responses 1'!$G$2:$G$2604,""))</f>
        <v/>
      </c>
      <c r="K3921" s="56"/>
      <c r="L3921" s="58" t="str">
        <f t="shared" si="7"/>
        <v/>
      </c>
      <c r="M3921" s="49"/>
      <c r="N3921" s="49"/>
      <c r="O3921" s="49"/>
      <c r="P3921" s="49"/>
      <c r="Q3921" s="49"/>
      <c r="R3921" s="49"/>
      <c r="S3921" s="49"/>
      <c r="T3921" s="49"/>
      <c r="U3921" s="49"/>
      <c r="V3921" s="49"/>
      <c r="W3921" s="56"/>
      <c r="X3921" s="51" t="str">
        <f t="shared" si="5"/>
        <v/>
      </c>
      <c r="Y3921" s="50" t="s">
        <v>482</v>
      </c>
      <c r="Z3921" s="49">
        <f t="shared" si="6"/>
        <v>0</v>
      </c>
    </row>
    <row r="3922" ht="22.5" customHeight="1">
      <c r="B3922" s="57"/>
      <c r="C3922" s="43" t="str">
        <f t="array" ref="C3922">IF(B3922="","",_xlfn.XLOOKUP(B3922,'Form responses 1'!$B$2:$B$2604,'Form responses 1'!$A$2:$A$2604,""))</f>
        <v/>
      </c>
      <c r="D3922" s="44" t="str">
        <f t="shared" si="3"/>
        <v/>
      </c>
      <c r="E3922" s="44" t="str">
        <f t="array" ref="E3922">IF(B3922="","",_xlfn.XLOOKUP(B3922,'Form responses 1'!$B$2:$B$2604,'Form responses 1'!$C$2:$C$2604,""))</f>
        <v/>
      </c>
      <c r="F3922" s="44" t="str">
        <f t="array" ref="F3922">IF(B3922="","",_xlfn.XLOOKUP(B3922,'Form responses 1'!$B$2:$B$2604,'Form responses 1'!$D$2:$D$2604,""))</f>
        <v/>
      </c>
      <c r="G3922" s="44" t="str">
        <f t="array" ref="G3922">IF(B3922="","",_xlfn.XLOOKUP(B3922,'Form responses 1'!$B$2:$B$2604,'Form responses 1'!$E$2:$E$2604,""))</f>
        <v/>
      </c>
      <c r="H3922" s="44" t="str">
        <f t="array" ref="H3922">IF(B3922="","",_xlfn.XLOOKUP(B3922,'Form responses 1'!$B$2:$B$2604,'Form responses 1'!$F$2:$F$2604,""))</f>
        <v/>
      </c>
      <c r="I3922" s="44" t="str">
        <f t="array" ref="I3922">IF(B3922="","",_xlfn.XLOOKUP(B3922,'Form responses 1'!$B$2:$B$2604,'Form responses 1'!$I$2:$I$2604,""))</f>
        <v/>
      </c>
      <c r="J3922" s="44" t="str">
        <f t="array" ref="J3922">IF(B3922="","",_xlfn.XLOOKUP(B3922,'Form responses 1'!$B$2:$B$2604,'Form responses 1'!$G$2:$G$2604,""))</f>
        <v/>
      </c>
      <c r="K3922" s="56"/>
      <c r="L3922" s="58" t="str">
        <f t="shared" si="7"/>
        <v/>
      </c>
      <c r="M3922" s="49"/>
      <c r="N3922" s="49"/>
      <c r="O3922" s="49"/>
      <c r="P3922" s="49"/>
      <c r="Q3922" s="49"/>
      <c r="R3922" s="49"/>
      <c r="S3922" s="49"/>
      <c r="T3922" s="49"/>
      <c r="U3922" s="49"/>
      <c r="V3922" s="49"/>
      <c r="W3922" s="56"/>
      <c r="X3922" s="51" t="str">
        <f t="shared" si="5"/>
        <v/>
      </c>
      <c r="Y3922" s="50" t="s">
        <v>482</v>
      </c>
      <c r="Z3922" s="49">
        <f t="shared" si="6"/>
        <v>0</v>
      </c>
    </row>
    <row r="3923" ht="22.5" customHeight="1">
      <c r="B3923" s="57"/>
      <c r="C3923" s="43" t="str">
        <f t="array" ref="C3923">IF(B3923="","",_xlfn.XLOOKUP(B3923,'Form responses 1'!$B$2:$B$2604,'Form responses 1'!$A$2:$A$2604,""))</f>
        <v/>
      </c>
      <c r="D3923" s="44" t="str">
        <f t="shared" si="3"/>
        <v/>
      </c>
      <c r="E3923" s="44" t="str">
        <f t="array" ref="E3923">IF(B3923="","",_xlfn.XLOOKUP(B3923,'Form responses 1'!$B$2:$B$2604,'Form responses 1'!$C$2:$C$2604,""))</f>
        <v/>
      </c>
      <c r="F3923" s="44" t="str">
        <f t="array" ref="F3923">IF(B3923="","",_xlfn.XLOOKUP(B3923,'Form responses 1'!$B$2:$B$2604,'Form responses 1'!$D$2:$D$2604,""))</f>
        <v/>
      </c>
      <c r="G3923" s="44" t="str">
        <f t="array" ref="G3923">IF(B3923="","",_xlfn.XLOOKUP(B3923,'Form responses 1'!$B$2:$B$2604,'Form responses 1'!$E$2:$E$2604,""))</f>
        <v/>
      </c>
      <c r="H3923" s="44" t="str">
        <f t="array" ref="H3923">IF(B3923="","",_xlfn.XLOOKUP(B3923,'Form responses 1'!$B$2:$B$2604,'Form responses 1'!$F$2:$F$2604,""))</f>
        <v/>
      </c>
      <c r="I3923" s="44" t="str">
        <f t="array" ref="I3923">IF(B3923="","",_xlfn.XLOOKUP(B3923,'Form responses 1'!$B$2:$B$2604,'Form responses 1'!$I$2:$I$2604,""))</f>
        <v/>
      </c>
      <c r="J3923" s="44" t="str">
        <f t="array" ref="J3923">IF(B3923="","",_xlfn.XLOOKUP(B3923,'Form responses 1'!$B$2:$B$2604,'Form responses 1'!$G$2:$G$2604,""))</f>
        <v/>
      </c>
      <c r="K3923" s="56"/>
      <c r="L3923" s="58" t="str">
        <f t="shared" si="7"/>
        <v/>
      </c>
      <c r="M3923" s="49"/>
      <c r="N3923" s="49"/>
      <c r="O3923" s="49"/>
      <c r="P3923" s="49"/>
      <c r="Q3923" s="49"/>
      <c r="R3923" s="49"/>
      <c r="S3923" s="49"/>
      <c r="T3923" s="49"/>
      <c r="U3923" s="49"/>
      <c r="V3923" s="49"/>
      <c r="W3923" s="56"/>
      <c r="X3923" s="51" t="str">
        <f t="shared" si="5"/>
        <v/>
      </c>
      <c r="Y3923" s="50" t="s">
        <v>482</v>
      </c>
      <c r="Z3923" s="49">
        <f t="shared" si="6"/>
        <v>0</v>
      </c>
    </row>
    <row r="3924" ht="22.5" customHeight="1">
      <c r="B3924" s="57"/>
      <c r="C3924" s="43" t="str">
        <f t="array" ref="C3924">IF(B3924="","",_xlfn.XLOOKUP(B3924,'Form responses 1'!$B$2:$B$2604,'Form responses 1'!$A$2:$A$2604,""))</f>
        <v/>
      </c>
      <c r="D3924" s="44" t="str">
        <f t="shared" si="3"/>
        <v/>
      </c>
      <c r="E3924" s="44" t="str">
        <f t="array" ref="E3924">IF(B3924="","",_xlfn.XLOOKUP(B3924,'Form responses 1'!$B$2:$B$2604,'Form responses 1'!$C$2:$C$2604,""))</f>
        <v/>
      </c>
      <c r="F3924" s="44" t="str">
        <f t="array" ref="F3924">IF(B3924="","",_xlfn.XLOOKUP(B3924,'Form responses 1'!$B$2:$B$2604,'Form responses 1'!$D$2:$D$2604,""))</f>
        <v/>
      </c>
      <c r="G3924" s="44" t="str">
        <f t="array" ref="G3924">IF(B3924="","",_xlfn.XLOOKUP(B3924,'Form responses 1'!$B$2:$B$2604,'Form responses 1'!$E$2:$E$2604,""))</f>
        <v/>
      </c>
      <c r="H3924" s="44" t="str">
        <f t="array" ref="H3924">IF(B3924="","",_xlfn.XLOOKUP(B3924,'Form responses 1'!$B$2:$B$2604,'Form responses 1'!$F$2:$F$2604,""))</f>
        <v/>
      </c>
      <c r="I3924" s="44" t="str">
        <f t="array" ref="I3924">IF(B3924="","",_xlfn.XLOOKUP(B3924,'Form responses 1'!$B$2:$B$2604,'Form responses 1'!$I$2:$I$2604,""))</f>
        <v/>
      </c>
      <c r="J3924" s="44" t="str">
        <f t="array" ref="J3924">IF(B3924="","",_xlfn.XLOOKUP(B3924,'Form responses 1'!$B$2:$B$2604,'Form responses 1'!$G$2:$G$2604,""))</f>
        <v/>
      </c>
      <c r="K3924" s="56"/>
      <c r="L3924" s="58" t="str">
        <f t="shared" si="7"/>
        <v/>
      </c>
      <c r="M3924" s="49"/>
      <c r="N3924" s="49"/>
      <c r="O3924" s="49"/>
      <c r="P3924" s="49"/>
      <c r="Q3924" s="49"/>
      <c r="R3924" s="49"/>
      <c r="S3924" s="49"/>
      <c r="T3924" s="49"/>
      <c r="U3924" s="49"/>
      <c r="V3924" s="49"/>
      <c r="W3924" s="56"/>
      <c r="X3924" s="51" t="str">
        <f t="shared" si="5"/>
        <v/>
      </c>
      <c r="Y3924" s="50" t="s">
        <v>482</v>
      </c>
      <c r="Z3924" s="49">
        <f t="shared" si="6"/>
        <v>0</v>
      </c>
    </row>
    <row r="3925" ht="22.5" customHeight="1">
      <c r="B3925" s="57"/>
      <c r="C3925" s="43" t="str">
        <f t="array" ref="C3925">IF(B3925="","",_xlfn.XLOOKUP(B3925,'Form responses 1'!$B$2:$B$2604,'Form responses 1'!$A$2:$A$2604,""))</f>
        <v/>
      </c>
      <c r="D3925" s="44" t="str">
        <f t="shared" si="3"/>
        <v/>
      </c>
      <c r="E3925" s="44" t="str">
        <f t="array" ref="E3925">IF(B3925="","",_xlfn.XLOOKUP(B3925,'Form responses 1'!$B$2:$B$2604,'Form responses 1'!$C$2:$C$2604,""))</f>
        <v/>
      </c>
      <c r="F3925" s="44" t="str">
        <f t="array" ref="F3925">IF(B3925="","",_xlfn.XLOOKUP(B3925,'Form responses 1'!$B$2:$B$2604,'Form responses 1'!$D$2:$D$2604,""))</f>
        <v/>
      </c>
      <c r="G3925" s="44" t="str">
        <f t="array" ref="G3925">IF(B3925="","",_xlfn.XLOOKUP(B3925,'Form responses 1'!$B$2:$B$2604,'Form responses 1'!$E$2:$E$2604,""))</f>
        <v/>
      </c>
      <c r="H3925" s="44" t="str">
        <f t="array" ref="H3925">IF(B3925="","",_xlfn.XLOOKUP(B3925,'Form responses 1'!$B$2:$B$2604,'Form responses 1'!$F$2:$F$2604,""))</f>
        <v/>
      </c>
      <c r="I3925" s="44" t="str">
        <f t="array" ref="I3925">IF(B3925="","",_xlfn.XLOOKUP(B3925,'Form responses 1'!$B$2:$B$2604,'Form responses 1'!$I$2:$I$2604,""))</f>
        <v/>
      </c>
      <c r="J3925" s="44" t="str">
        <f t="array" ref="J3925">IF(B3925="","",_xlfn.XLOOKUP(B3925,'Form responses 1'!$B$2:$B$2604,'Form responses 1'!$G$2:$G$2604,""))</f>
        <v/>
      </c>
      <c r="K3925" s="56"/>
      <c r="L3925" s="58" t="str">
        <f t="shared" si="7"/>
        <v/>
      </c>
      <c r="M3925" s="49"/>
      <c r="N3925" s="49"/>
      <c r="O3925" s="49"/>
      <c r="P3925" s="49"/>
      <c r="Q3925" s="49"/>
      <c r="R3925" s="49"/>
      <c r="S3925" s="49"/>
      <c r="T3925" s="49"/>
      <c r="U3925" s="49"/>
      <c r="V3925" s="49"/>
      <c r="W3925" s="56"/>
      <c r="X3925" s="51" t="str">
        <f t="shared" si="5"/>
        <v/>
      </c>
      <c r="Y3925" s="50" t="s">
        <v>482</v>
      </c>
      <c r="Z3925" s="49">
        <f t="shared" si="6"/>
        <v>0</v>
      </c>
    </row>
    <row r="3926" ht="22.5" customHeight="1">
      <c r="B3926" s="57"/>
      <c r="C3926" s="43" t="str">
        <f t="array" ref="C3926">IF(B3926="","",_xlfn.XLOOKUP(B3926,'Form responses 1'!$B$2:$B$2604,'Form responses 1'!$A$2:$A$2604,""))</f>
        <v/>
      </c>
      <c r="D3926" s="44" t="str">
        <f t="shared" si="3"/>
        <v/>
      </c>
      <c r="E3926" s="44" t="str">
        <f t="array" ref="E3926">IF(B3926="","",_xlfn.XLOOKUP(B3926,'Form responses 1'!$B$2:$B$2604,'Form responses 1'!$C$2:$C$2604,""))</f>
        <v/>
      </c>
      <c r="F3926" s="44" t="str">
        <f t="array" ref="F3926">IF(B3926="","",_xlfn.XLOOKUP(B3926,'Form responses 1'!$B$2:$B$2604,'Form responses 1'!$D$2:$D$2604,""))</f>
        <v/>
      </c>
      <c r="G3926" s="44" t="str">
        <f t="array" ref="G3926">IF(B3926="","",_xlfn.XLOOKUP(B3926,'Form responses 1'!$B$2:$B$2604,'Form responses 1'!$E$2:$E$2604,""))</f>
        <v/>
      </c>
      <c r="H3926" s="44" t="str">
        <f t="array" ref="H3926">IF(B3926="","",_xlfn.XLOOKUP(B3926,'Form responses 1'!$B$2:$B$2604,'Form responses 1'!$F$2:$F$2604,""))</f>
        <v/>
      </c>
      <c r="I3926" s="44" t="str">
        <f t="array" ref="I3926">IF(B3926="","",_xlfn.XLOOKUP(B3926,'Form responses 1'!$B$2:$B$2604,'Form responses 1'!$I$2:$I$2604,""))</f>
        <v/>
      </c>
      <c r="J3926" s="44" t="str">
        <f t="array" ref="J3926">IF(B3926="","",_xlfn.XLOOKUP(B3926,'Form responses 1'!$B$2:$B$2604,'Form responses 1'!$G$2:$G$2604,""))</f>
        <v/>
      </c>
      <c r="K3926" s="56"/>
      <c r="L3926" s="58" t="str">
        <f t="shared" si="7"/>
        <v/>
      </c>
      <c r="M3926" s="49"/>
      <c r="N3926" s="49"/>
      <c r="O3926" s="49"/>
      <c r="P3926" s="49"/>
      <c r="Q3926" s="49"/>
      <c r="R3926" s="49"/>
      <c r="S3926" s="49"/>
      <c r="T3926" s="49"/>
      <c r="U3926" s="49"/>
      <c r="V3926" s="49"/>
      <c r="W3926" s="56"/>
      <c r="X3926" s="51" t="str">
        <f t="shared" si="5"/>
        <v/>
      </c>
      <c r="Y3926" s="50" t="s">
        <v>482</v>
      </c>
      <c r="Z3926" s="49">
        <f t="shared" si="6"/>
        <v>0</v>
      </c>
    </row>
    <row r="3927" ht="22.5" customHeight="1">
      <c r="B3927" s="57"/>
      <c r="C3927" s="43" t="str">
        <f t="array" ref="C3927">IF(B3927="","",_xlfn.XLOOKUP(B3927,'Form responses 1'!$B$2:$B$2604,'Form responses 1'!$A$2:$A$2604,""))</f>
        <v/>
      </c>
      <c r="D3927" s="44" t="str">
        <f t="shared" si="3"/>
        <v/>
      </c>
      <c r="E3927" s="44" t="str">
        <f t="array" ref="E3927">IF(B3927="","",_xlfn.XLOOKUP(B3927,'Form responses 1'!$B$2:$B$2604,'Form responses 1'!$C$2:$C$2604,""))</f>
        <v/>
      </c>
      <c r="F3927" s="44" t="str">
        <f t="array" ref="F3927">IF(B3927="","",_xlfn.XLOOKUP(B3927,'Form responses 1'!$B$2:$B$2604,'Form responses 1'!$D$2:$D$2604,""))</f>
        <v/>
      </c>
      <c r="G3927" s="44" t="str">
        <f t="array" ref="G3927">IF(B3927="","",_xlfn.XLOOKUP(B3927,'Form responses 1'!$B$2:$B$2604,'Form responses 1'!$E$2:$E$2604,""))</f>
        <v/>
      </c>
      <c r="H3927" s="44" t="str">
        <f t="array" ref="H3927">IF(B3927="","",_xlfn.XLOOKUP(B3927,'Form responses 1'!$B$2:$B$2604,'Form responses 1'!$F$2:$F$2604,""))</f>
        <v/>
      </c>
      <c r="I3927" s="44" t="str">
        <f t="array" ref="I3927">IF(B3927="","",_xlfn.XLOOKUP(B3927,'Form responses 1'!$B$2:$B$2604,'Form responses 1'!$I$2:$I$2604,""))</f>
        <v/>
      </c>
      <c r="J3927" s="44" t="str">
        <f t="array" ref="J3927">IF(B3927="","",_xlfn.XLOOKUP(B3927,'Form responses 1'!$B$2:$B$2604,'Form responses 1'!$G$2:$G$2604,""))</f>
        <v/>
      </c>
      <c r="K3927" s="56"/>
      <c r="L3927" s="58" t="str">
        <f t="shared" si="7"/>
        <v/>
      </c>
      <c r="M3927" s="49"/>
      <c r="N3927" s="49"/>
      <c r="O3927" s="49"/>
      <c r="P3927" s="49"/>
      <c r="Q3927" s="49"/>
      <c r="R3927" s="49"/>
      <c r="S3927" s="49"/>
      <c r="T3927" s="49"/>
      <c r="U3927" s="49"/>
      <c r="V3927" s="49"/>
      <c r="W3927" s="56"/>
      <c r="X3927" s="51" t="str">
        <f t="shared" si="5"/>
        <v/>
      </c>
      <c r="Y3927" s="50" t="s">
        <v>482</v>
      </c>
      <c r="Z3927" s="49">
        <f t="shared" si="6"/>
        <v>0</v>
      </c>
    </row>
    <row r="3928" ht="22.5" customHeight="1">
      <c r="B3928" s="57"/>
      <c r="C3928" s="43" t="str">
        <f t="array" ref="C3928">IF(B3928="","",_xlfn.XLOOKUP(B3928,'Form responses 1'!$B$2:$B$2604,'Form responses 1'!$A$2:$A$2604,""))</f>
        <v/>
      </c>
      <c r="D3928" s="44" t="str">
        <f t="shared" si="3"/>
        <v/>
      </c>
      <c r="E3928" s="44" t="str">
        <f t="array" ref="E3928">IF(B3928="","",_xlfn.XLOOKUP(B3928,'Form responses 1'!$B$2:$B$2604,'Form responses 1'!$C$2:$C$2604,""))</f>
        <v/>
      </c>
      <c r="F3928" s="44" t="str">
        <f t="array" ref="F3928">IF(B3928="","",_xlfn.XLOOKUP(B3928,'Form responses 1'!$B$2:$B$2604,'Form responses 1'!$D$2:$D$2604,""))</f>
        <v/>
      </c>
      <c r="G3928" s="44" t="str">
        <f t="array" ref="G3928">IF(B3928="","",_xlfn.XLOOKUP(B3928,'Form responses 1'!$B$2:$B$2604,'Form responses 1'!$E$2:$E$2604,""))</f>
        <v/>
      </c>
      <c r="H3928" s="44" t="str">
        <f t="array" ref="H3928">IF(B3928="","",_xlfn.XLOOKUP(B3928,'Form responses 1'!$B$2:$B$2604,'Form responses 1'!$F$2:$F$2604,""))</f>
        <v/>
      </c>
      <c r="I3928" s="44" t="str">
        <f t="array" ref="I3928">IF(B3928="","",_xlfn.XLOOKUP(B3928,'Form responses 1'!$B$2:$B$2604,'Form responses 1'!$I$2:$I$2604,""))</f>
        <v/>
      </c>
      <c r="J3928" s="44" t="str">
        <f t="array" ref="J3928">IF(B3928="","",_xlfn.XLOOKUP(B3928,'Form responses 1'!$B$2:$B$2604,'Form responses 1'!$G$2:$G$2604,""))</f>
        <v/>
      </c>
      <c r="K3928" s="56"/>
      <c r="L3928" s="58" t="str">
        <f t="shared" si="7"/>
        <v/>
      </c>
      <c r="M3928" s="49"/>
      <c r="N3928" s="49"/>
      <c r="O3928" s="49"/>
      <c r="P3928" s="49"/>
      <c r="Q3928" s="49"/>
      <c r="R3928" s="49"/>
      <c r="S3928" s="49"/>
      <c r="T3928" s="49"/>
      <c r="U3928" s="49"/>
      <c r="V3928" s="49"/>
      <c r="W3928" s="56"/>
      <c r="X3928" s="51" t="str">
        <f t="shared" si="5"/>
        <v/>
      </c>
      <c r="Y3928" s="50" t="s">
        <v>482</v>
      </c>
      <c r="Z3928" s="49">
        <f t="shared" si="6"/>
        <v>0</v>
      </c>
    </row>
    <row r="3929" ht="22.5" customHeight="1">
      <c r="B3929" s="57"/>
      <c r="C3929" s="43" t="str">
        <f t="array" ref="C3929">IF(B3929="","",_xlfn.XLOOKUP(B3929,'Form responses 1'!$B$2:$B$2604,'Form responses 1'!$A$2:$A$2604,""))</f>
        <v/>
      </c>
      <c r="D3929" s="44" t="str">
        <f t="shared" si="3"/>
        <v/>
      </c>
      <c r="E3929" s="44" t="str">
        <f t="array" ref="E3929">IF(B3929="","",_xlfn.XLOOKUP(B3929,'Form responses 1'!$B$2:$B$2604,'Form responses 1'!$C$2:$C$2604,""))</f>
        <v/>
      </c>
      <c r="F3929" s="44" t="str">
        <f t="array" ref="F3929">IF(B3929="","",_xlfn.XLOOKUP(B3929,'Form responses 1'!$B$2:$B$2604,'Form responses 1'!$D$2:$D$2604,""))</f>
        <v/>
      </c>
      <c r="G3929" s="44" t="str">
        <f t="array" ref="G3929">IF(B3929="","",_xlfn.XLOOKUP(B3929,'Form responses 1'!$B$2:$B$2604,'Form responses 1'!$E$2:$E$2604,""))</f>
        <v/>
      </c>
      <c r="H3929" s="44" t="str">
        <f t="array" ref="H3929">IF(B3929="","",_xlfn.XLOOKUP(B3929,'Form responses 1'!$B$2:$B$2604,'Form responses 1'!$F$2:$F$2604,""))</f>
        <v/>
      </c>
      <c r="I3929" s="44" t="str">
        <f t="array" ref="I3929">IF(B3929="","",_xlfn.XLOOKUP(B3929,'Form responses 1'!$B$2:$B$2604,'Form responses 1'!$I$2:$I$2604,""))</f>
        <v/>
      </c>
      <c r="J3929" s="44" t="str">
        <f t="array" ref="J3929">IF(B3929="","",_xlfn.XLOOKUP(B3929,'Form responses 1'!$B$2:$B$2604,'Form responses 1'!$G$2:$G$2604,""))</f>
        <v/>
      </c>
      <c r="K3929" s="56"/>
      <c r="L3929" s="58" t="str">
        <f t="shared" si="7"/>
        <v/>
      </c>
      <c r="M3929" s="49"/>
      <c r="N3929" s="49"/>
      <c r="O3929" s="49"/>
      <c r="P3929" s="49"/>
      <c r="Q3929" s="49"/>
      <c r="R3929" s="49"/>
      <c r="S3929" s="49"/>
      <c r="T3929" s="49"/>
      <c r="U3929" s="49"/>
      <c r="V3929" s="49"/>
      <c r="W3929" s="56"/>
      <c r="X3929" s="51" t="str">
        <f t="shared" si="5"/>
        <v/>
      </c>
      <c r="Y3929" s="50" t="s">
        <v>482</v>
      </c>
      <c r="Z3929" s="49">
        <f t="shared" si="6"/>
        <v>0</v>
      </c>
    </row>
    <row r="3930" ht="22.5" customHeight="1">
      <c r="B3930" s="57"/>
      <c r="C3930" s="43" t="str">
        <f t="array" ref="C3930">IF(B3930="","",_xlfn.XLOOKUP(B3930,'Form responses 1'!$B$2:$B$2604,'Form responses 1'!$A$2:$A$2604,""))</f>
        <v/>
      </c>
      <c r="D3930" s="44" t="str">
        <f t="shared" si="3"/>
        <v/>
      </c>
      <c r="E3930" s="44" t="str">
        <f t="array" ref="E3930">IF(B3930="","",_xlfn.XLOOKUP(B3930,'Form responses 1'!$B$2:$B$2604,'Form responses 1'!$C$2:$C$2604,""))</f>
        <v/>
      </c>
      <c r="F3930" s="44" t="str">
        <f t="array" ref="F3930">IF(B3930="","",_xlfn.XLOOKUP(B3930,'Form responses 1'!$B$2:$B$2604,'Form responses 1'!$D$2:$D$2604,""))</f>
        <v/>
      </c>
      <c r="G3930" s="44" t="str">
        <f t="array" ref="G3930">IF(B3930="","",_xlfn.XLOOKUP(B3930,'Form responses 1'!$B$2:$B$2604,'Form responses 1'!$E$2:$E$2604,""))</f>
        <v/>
      </c>
      <c r="H3930" s="44" t="str">
        <f t="array" ref="H3930">IF(B3930="","",_xlfn.XLOOKUP(B3930,'Form responses 1'!$B$2:$B$2604,'Form responses 1'!$F$2:$F$2604,""))</f>
        <v/>
      </c>
      <c r="I3930" s="44" t="str">
        <f t="array" ref="I3930">IF(B3930="","",_xlfn.XLOOKUP(B3930,'Form responses 1'!$B$2:$B$2604,'Form responses 1'!$I$2:$I$2604,""))</f>
        <v/>
      </c>
      <c r="J3930" s="44" t="str">
        <f t="array" ref="J3930">IF(B3930="","",_xlfn.XLOOKUP(B3930,'Form responses 1'!$B$2:$B$2604,'Form responses 1'!$G$2:$G$2604,""))</f>
        <v/>
      </c>
      <c r="K3930" s="56"/>
      <c r="L3930" s="58" t="str">
        <f t="shared" si="7"/>
        <v/>
      </c>
      <c r="M3930" s="49"/>
      <c r="N3930" s="49"/>
      <c r="O3930" s="49"/>
      <c r="P3930" s="49"/>
      <c r="Q3930" s="49"/>
      <c r="R3930" s="49"/>
      <c r="S3930" s="49"/>
      <c r="T3930" s="49"/>
      <c r="U3930" s="49"/>
      <c r="V3930" s="49"/>
      <c r="W3930" s="56"/>
      <c r="X3930" s="51" t="str">
        <f t="shared" si="5"/>
        <v/>
      </c>
      <c r="Y3930" s="50" t="s">
        <v>482</v>
      </c>
      <c r="Z3930" s="49">
        <f t="shared" si="6"/>
        <v>0</v>
      </c>
    </row>
    <row r="3931" ht="22.5" customHeight="1">
      <c r="B3931" s="57"/>
      <c r="C3931" s="43" t="str">
        <f t="array" ref="C3931">IF(B3931="","",_xlfn.XLOOKUP(B3931,'Form responses 1'!$B$2:$B$2604,'Form responses 1'!$A$2:$A$2604,""))</f>
        <v/>
      </c>
      <c r="D3931" s="44" t="str">
        <f t="shared" si="3"/>
        <v/>
      </c>
      <c r="E3931" s="44" t="str">
        <f t="array" ref="E3931">IF(B3931="","",_xlfn.XLOOKUP(B3931,'Form responses 1'!$B$2:$B$2604,'Form responses 1'!$C$2:$C$2604,""))</f>
        <v/>
      </c>
      <c r="F3931" s="44" t="str">
        <f t="array" ref="F3931">IF(B3931="","",_xlfn.XLOOKUP(B3931,'Form responses 1'!$B$2:$B$2604,'Form responses 1'!$D$2:$D$2604,""))</f>
        <v/>
      </c>
      <c r="G3931" s="44" t="str">
        <f t="array" ref="G3931">IF(B3931="","",_xlfn.XLOOKUP(B3931,'Form responses 1'!$B$2:$B$2604,'Form responses 1'!$E$2:$E$2604,""))</f>
        <v/>
      </c>
      <c r="H3931" s="44" t="str">
        <f t="array" ref="H3931">IF(B3931="","",_xlfn.XLOOKUP(B3931,'Form responses 1'!$B$2:$B$2604,'Form responses 1'!$F$2:$F$2604,""))</f>
        <v/>
      </c>
      <c r="I3931" s="44" t="str">
        <f t="array" ref="I3931">IF(B3931="","",_xlfn.XLOOKUP(B3931,'Form responses 1'!$B$2:$B$2604,'Form responses 1'!$I$2:$I$2604,""))</f>
        <v/>
      </c>
      <c r="J3931" s="44" t="str">
        <f t="array" ref="J3931">IF(B3931="","",_xlfn.XLOOKUP(B3931,'Form responses 1'!$B$2:$B$2604,'Form responses 1'!$G$2:$G$2604,""))</f>
        <v/>
      </c>
      <c r="K3931" s="56"/>
      <c r="L3931" s="58" t="str">
        <f t="shared" si="7"/>
        <v/>
      </c>
      <c r="M3931" s="49"/>
      <c r="N3931" s="49"/>
      <c r="O3931" s="49"/>
      <c r="P3931" s="49"/>
      <c r="Q3931" s="49"/>
      <c r="R3931" s="49"/>
      <c r="S3931" s="49"/>
      <c r="T3931" s="49"/>
      <c r="U3931" s="49"/>
      <c r="V3931" s="49"/>
      <c r="W3931" s="56"/>
      <c r="X3931" s="51" t="str">
        <f t="shared" si="5"/>
        <v/>
      </c>
      <c r="Y3931" s="50" t="s">
        <v>482</v>
      </c>
      <c r="Z3931" s="49">
        <f t="shared" si="6"/>
        <v>0</v>
      </c>
    </row>
    <row r="3932" ht="22.5" customHeight="1">
      <c r="B3932" s="57"/>
      <c r="C3932" s="43" t="str">
        <f t="array" ref="C3932">IF(B3932="","",_xlfn.XLOOKUP(B3932,'Form responses 1'!$B$2:$B$2604,'Form responses 1'!$A$2:$A$2604,""))</f>
        <v/>
      </c>
      <c r="D3932" s="44" t="str">
        <f t="shared" si="3"/>
        <v/>
      </c>
      <c r="E3932" s="44" t="str">
        <f t="array" ref="E3932">IF(B3932="","",_xlfn.XLOOKUP(B3932,'Form responses 1'!$B$2:$B$2604,'Form responses 1'!$C$2:$C$2604,""))</f>
        <v/>
      </c>
      <c r="F3932" s="44" t="str">
        <f t="array" ref="F3932">IF(B3932="","",_xlfn.XLOOKUP(B3932,'Form responses 1'!$B$2:$B$2604,'Form responses 1'!$D$2:$D$2604,""))</f>
        <v/>
      </c>
      <c r="G3932" s="44" t="str">
        <f t="array" ref="G3932">IF(B3932="","",_xlfn.XLOOKUP(B3932,'Form responses 1'!$B$2:$B$2604,'Form responses 1'!$E$2:$E$2604,""))</f>
        <v/>
      </c>
      <c r="H3932" s="44" t="str">
        <f t="array" ref="H3932">IF(B3932="","",_xlfn.XLOOKUP(B3932,'Form responses 1'!$B$2:$B$2604,'Form responses 1'!$F$2:$F$2604,""))</f>
        <v/>
      </c>
      <c r="I3932" s="44" t="str">
        <f t="array" ref="I3932">IF(B3932="","",_xlfn.XLOOKUP(B3932,'Form responses 1'!$B$2:$B$2604,'Form responses 1'!$I$2:$I$2604,""))</f>
        <v/>
      </c>
      <c r="J3932" s="44" t="str">
        <f t="array" ref="J3932">IF(B3932="","",_xlfn.XLOOKUP(B3932,'Form responses 1'!$B$2:$B$2604,'Form responses 1'!$G$2:$G$2604,""))</f>
        <v/>
      </c>
      <c r="K3932" s="56"/>
      <c r="L3932" s="58" t="str">
        <f t="shared" si="7"/>
        <v/>
      </c>
      <c r="M3932" s="49"/>
      <c r="N3932" s="49"/>
      <c r="O3932" s="49"/>
      <c r="P3932" s="49"/>
      <c r="Q3932" s="49"/>
      <c r="R3932" s="49"/>
      <c r="S3932" s="49"/>
      <c r="T3932" s="49"/>
      <c r="U3932" s="49"/>
      <c r="V3932" s="49"/>
      <c r="W3932" s="56"/>
      <c r="X3932" s="51" t="str">
        <f t="shared" si="5"/>
        <v/>
      </c>
      <c r="Y3932" s="50" t="s">
        <v>482</v>
      </c>
      <c r="Z3932" s="49">
        <f t="shared" si="6"/>
        <v>0</v>
      </c>
    </row>
    <row r="3933" ht="22.5" customHeight="1">
      <c r="B3933" s="57"/>
      <c r="C3933" s="43" t="str">
        <f t="array" ref="C3933">IF(B3933="","",_xlfn.XLOOKUP(B3933,'Form responses 1'!$B$2:$B$2604,'Form responses 1'!$A$2:$A$2604,""))</f>
        <v/>
      </c>
      <c r="D3933" s="44" t="str">
        <f t="shared" si="3"/>
        <v/>
      </c>
      <c r="E3933" s="44" t="str">
        <f t="array" ref="E3933">IF(B3933="","",_xlfn.XLOOKUP(B3933,'Form responses 1'!$B$2:$B$2604,'Form responses 1'!$C$2:$C$2604,""))</f>
        <v/>
      </c>
      <c r="F3933" s="44" t="str">
        <f t="array" ref="F3933">IF(B3933="","",_xlfn.XLOOKUP(B3933,'Form responses 1'!$B$2:$B$2604,'Form responses 1'!$D$2:$D$2604,""))</f>
        <v/>
      </c>
      <c r="G3933" s="44" t="str">
        <f t="array" ref="G3933">IF(B3933="","",_xlfn.XLOOKUP(B3933,'Form responses 1'!$B$2:$B$2604,'Form responses 1'!$E$2:$E$2604,""))</f>
        <v/>
      </c>
      <c r="H3933" s="44" t="str">
        <f t="array" ref="H3933">IF(B3933="","",_xlfn.XLOOKUP(B3933,'Form responses 1'!$B$2:$B$2604,'Form responses 1'!$F$2:$F$2604,""))</f>
        <v/>
      </c>
      <c r="I3933" s="44" t="str">
        <f t="array" ref="I3933">IF(B3933="","",_xlfn.XLOOKUP(B3933,'Form responses 1'!$B$2:$B$2604,'Form responses 1'!$I$2:$I$2604,""))</f>
        <v/>
      </c>
      <c r="J3933" s="44" t="str">
        <f t="array" ref="J3933">IF(B3933="","",_xlfn.XLOOKUP(B3933,'Form responses 1'!$B$2:$B$2604,'Form responses 1'!$G$2:$G$2604,""))</f>
        <v/>
      </c>
      <c r="K3933" s="56"/>
      <c r="L3933" s="58" t="str">
        <f t="shared" si="7"/>
        <v/>
      </c>
      <c r="M3933" s="49"/>
      <c r="N3933" s="49"/>
      <c r="O3933" s="49"/>
      <c r="P3933" s="49"/>
      <c r="Q3933" s="49"/>
      <c r="R3933" s="49"/>
      <c r="S3933" s="49"/>
      <c r="T3933" s="49"/>
      <c r="U3933" s="49"/>
      <c r="V3933" s="49"/>
      <c r="W3933" s="56"/>
      <c r="X3933" s="51" t="str">
        <f t="shared" si="5"/>
        <v/>
      </c>
      <c r="Y3933" s="50" t="s">
        <v>482</v>
      </c>
      <c r="Z3933" s="49">
        <f t="shared" si="6"/>
        <v>0</v>
      </c>
    </row>
    <row r="3934" ht="22.5" customHeight="1">
      <c r="B3934" s="57"/>
      <c r="C3934" s="43" t="str">
        <f t="array" ref="C3934">IF(B3934="","",_xlfn.XLOOKUP(B3934,'Form responses 1'!$B$2:$B$2604,'Form responses 1'!$A$2:$A$2604,""))</f>
        <v/>
      </c>
      <c r="D3934" s="44" t="str">
        <f t="shared" si="3"/>
        <v/>
      </c>
      <c r="E3934" s="44" t="str">
        <f t="array" ref="E3934">IF(B3934="","",_xlfn.XLOOKUP(B3934,'Form responses 1'!$B$2:$B$2604,'Form responses 1'!$C$2:$C$2604,""))</f>
        <v/>
      </c>
      <c r="F3934" s="44" t="str">
        <f t="array" ref="F3934">IF(B3934="","",_xlfn.XLOOKUP(B3934,'Form responses 1'!$B$2:$B$2604,'Form responses 1'!$D$2:$D$2604,""))</f>
        <v/>
      </c>
      <c r="G3934" s="44" t="str">
        <f t="array" ref="G3934">IF(B3934="","",_xlfn.XLOOKUP(B3934,'Form responses 1'!$B$2:$B$2604,'Form responses 1'!$E$2:$E$2604,""))</f>
        <v/>
      </c>
      <c r="H3934" s="44" t="str">
        <f t="array" ref="H3934">IF(B3934="","",_xlfn.XLOOKUP(B3934,'Form responses 1'!$B$2:$B$2604,'Form responses 1'!$F$2:$F$2604,""))</f>
        <v/>
      </c>
      <c r="I3934" s="44" t="str">
        <f t="array" ref="I3934">IF(B3934="","",_xlfn.XLOOKUP(B3934,'Form responses 1'!$B$2:$B$2604,'Form responses 1'!$I$2:$I$2604,""))</f>
        <v/>
      </c>
      <c r="J3934" s="44" t="str">
        <f t="array" ref="J3934">IF(B3934="","",_xlfn.XLOOKUP(B3934,'Form responses 1'!$B$2:$B$2604,'Form responses 1'!$G$2:$G$2604,""))</f>
        <v/>
      </c>
      <c r="K3934" s="56"/>
      <c r="L3934" s="58" t="str">
        <f t="shared" si="7"/>
        <v/>
      </c>
      <c r="M3934" s="49"/>
      <c r="N3934" s="49"/>
      <c r="O3934" s="49"/>
      <c r="P3934" s="49"/>
      <c r="Q3934" s="49"/>
      <c r="R3934" s="49"/>
      <c r="S3934" s="49"/>
      <c r="T3934" s="49"/>
      <c r="U3934" s="49"/>
      <c r="V3934" s="49"/>
      <c r="W3934" s="56"/>
      <c r="X3934" s="51" t="str">
        <f t="shared" si="5"/>
        <v/>
      </c>
      <c r="Y3934" s="50" t="s">
        <v>482</v>
      </c>
      <c r="Z3934" s="49">
        <f t="shared" si="6"/>
        <v>0</v>
      </c>
    </row>
    <row r="3935" ht="22.5" customHeight="1">
      <c r="B3935" s="57"/>
      <c r="C3935" s="43" t="str">
        <f t="array" ref="C3935">IF(B3935="","",_xlfn.XLOOKUP(B3935,'Form responses 1'!$B$2:$B$2604,'Form responses 1'!$A$2:$A$2604,""))</f>
        <v/>
      </c>
      <c r="D3935" s="44" t="str">
        <f t="shared" si="3"/>
        <v/>
      </c>
      <c r="E3935" s="44" t="str">
        <f t="array" ref="E3935">IF(B3935="","",_xlfn.XLOOKUP(B3935,'Form responses 1'!$B$2:$B$2604,'Form responses 1'!$C$2:$C$2604,""))</f>
        <v/>
      </c>
      <c r="F3935" s="44" t="str">
        <f t="array" ref="F3935">IF(B3935="","",_xlfn.XLOOKUP(B3935,'Form responses 1'!$B$2:$B$2604,'Form responses 1'!$D$2:$D$2604,""))</f>
        <v/>
      </c>
      <c r="G3935" s="44" t="str">
        <f t="array" ref="G3935">IF(B3935="","",_xlfn.XLOOKUP(B3935,'Form responses 1'!$B$2:$B$2604,'Form responses 1'!$E$2:$E$2604,""))</f>
        <v/>
      </c>
      <c r="H3935" s="44" t="str">
        <f t="array" ref="H3935">IF(B3935="","",_xlfn.XLOOKUP(B3935,'Form responses 1'!$B$2:$B$2604,'Form responses 1'!$F$2:$F$2604,""))</f>
        <v/>
      </c>
      <c r="I3935" s="44" t="str">
        <f t="array" ref="I3935">IF(B3935="","",_xlfn.XLOOKUP(B3935,'Form responses 1'!$B$2:$B$2604,'Form responses 1'!$I$2:$I$2604,""))</f>
        <v/>
      </c>
      <c r="J3935" s="44" t="str">
        <f t="array" ref="J3935">IF(B3935="","",_xlfn.XLOOKUP(B3935,'Form responses 1'!$B$2:$B$2604,'Form responses 1'!$G$2:$G$2604,""))</f>
        <v/>
      </c>
      <c r="K3935" s="56"/>
      <c r="L3935" s="58" t="str">
        <f t="shared" si="7"/>
        <v/>
      </c>
      <c r="M3935" s="49"/>
      <c r="N3935" s="49"/>
      <c r="O3935" s="49"/>
      <c r="P3935" s="49"/>
      <c r="Q3935" s="49"/>
      <c r="R3935" s="49"/>
      <c r="S3935" s="49"/>
      <c r="T3935" s="49"/>
      <c r="U3935" s="49"/>
      <c r="V3935" s="49"/>
      <c r="W3935" s="56"/>
      <c r="X3935" s="51" t="str">
        <f t="shared" si="5"/>
        <v/>
      </c>
      <c r="Y3935" s="50" t="s">
        <v>482</v>
      </c>
      <c r="Z3935" s="49">
        <f t="shared" si="6"/>
        <v>0</v>
      </c>
    </row>
    <row r="3936" ht="22.5" customHeight="1">
      <c r="B3936" s="57"/>
      <c r="C3936" s="43" t="str">
        <f t="array" ref="C3936">IF(B3936="","",_xlfn.XLOOKUP(B3936,'Form responses 1'!$B$2:$B$2604,'Form responses 1'!$A$2:$A$2604,""))</f>
        <v/>
      </c>
      <c r="D3936" s="44" t="str">
        <f t="shared" si="3"/>
        <v/>
      </c>
      <c r="E3936" s="44" t="str">
        <f t="array" ref="E3936">IF(B3936="","",_xlfn.XLOOKUP(B3936,'Form responses 1'!$B$2:$B$2604,'Form responses 1'!$C$2:$C$2604,""))</f>
        <v/>
      </c>
      <c r="F3936" s="44" t="str">
        <f t="array" ref="F3936">IF(B3936="","",_xlfn.XLOOKUP(B3936,'Form responses 1'!$B$2:$B$2604,'Form responses 1'!$D$2:$D$2604,""))</f>
        <v/>
      </c>
      <c r="G3936" s="44" t="str">
        <f t="array" ref="G3936">IF(B3936="","",_xlfn.XLOOKUP(B3936,'Form responses 1'!$B$2:$B$2604,'Form responses 1'!$E$2:$E$2604,""))</f>
        <v/>
      </c>
      <c r="H3936" s="44" t="str">
        <f t="array" ref="H3936">IF(B3936="","",_xlfn.XLOOKUP(B3936,'Form responses 1'!$B$2:$B$2604,'Form responses 1'!$F$2:$F$2604,""))</f>
        <v/>
      </c>
      <c r="I3936" s="44" t="str">
        <f t="array" ref="I3936">IF(B3936="","",_xlfn.XLOOKUP(B3936,'Form responses 1'!$B$2:$B$2604,'Form responses 1'!$I$2:$I$2604,""))</f>
        <v/>
      </c>
      <c r="J3936" s="44" t="str">
        <f t="array" ref="J3936">IF(B3936="","",_xlfn.XLOOKUP(B3936,'Form responses 1'!$B$2:$B$2604,'Form responses 1'!$G$2:$G$2604,""))</f>
        <v/>
      </c>
      <c r="K3936" s="56"/>
      <c r="L3936" s="58" t="str">
        <f t="shared" si="7"/>
        <v/>
      </c>
      <c r="M3936" s="49"/>
      <c r="N3936" s="49"/>
      <c r="O3936" s="49"/>
      <c r="P3936" s="49"/>
      <c r="Q3936" s="49"/>
      <c r="R3936" s="49"/>
      <c r="S3936" s="49"/>
      <c r="T3936" s="49"/>
      <c r="U3936" s="49"/>
      <c r="V3936" s="49"/>
      <c r="W3936" s="56"/>
      <c r="X3936" s="51" t="str">
        <f t="shared" si="5"/>
        <v/>
      </c>
      <c r="Y3936" s="50" t="s">
        <v>482</v>
      </c>
      <c r="Z3936" s="49">
        <f t="shared" si="6"/>
        <v>0</v>
      </c>
    </row>
    <row r="3937" ht="22.5" customHeight="1">
      <c r="B3937" s="57"/>
      <c r="C3937" s="43" t="str">
        <f t="array" ref="C3937">IF(B3937="","",_xlfn.XLOOKUP(B3937,'Form responses 1'!$B$2:$B$2604,'Form responses 1'!$A$2:$A$2604,""))</f>
        <v/>
      </c>
      <c r="D3937" s="44" t="str">
        <f t="shared" si="3"/>
        <v/>
      </c>
      <c r="E3937" s="44" t="str">
        <f t="array" ref="E3937">IF(B3937="","",_xlfn.XLOOKUP(B3937,'Form responses 1'!$B$2:$B$2604,'Form responses 1'!$C$2:$C$2604,""))</f>
        <v/>
      </c>
      <c r="F3937" s="44" t="str">
        <f t="array" ref="F3937">IF(B3937="","",_xlfn.XLOOKUP(B3937,'Form responses 1'!$B$2:$B$2604,'Form responses 1'!$D$2:$D$2604,""))</f>
        <v/>
      </c>
      <c r="G3937" s="44" t="str">
        <f t="array" ref="G3937">IF(B3937="","",_xlfn.XLOOKUP(B3937,'Form responses 1'!$B$2:$B$2604,'Form responses 1'!$E$2:$E$2604,""))</f>
        <v/>
      </c>
      <c r="H3937" s="44" t="str">
        <f t="array" ref="H3937">IF(B3937="","",_xlfn.XLOOKUP(B3937,'Form responses 1'!$B$2:$B$2604,'Form responses 1'!$F$2:$F$2604,""))</f>
        <v/>
      </c>
      <c r="I3937" s="44" t="str">
        <f t="array" ref="I3937">IF(B3937="","",_xlfn.XLOOKUP(B3937,'Form responses 1'!$B$2:$B$2604,'Form responses 1'!$I$2:$I$2604,""))</f>
        <v/>
      </c>
      <c r="J3937" s="44" t="str">
        <f t="array" ref="J3937">IF(B3937="","",_xlfn.XLOOKUP(B3937,'Form responses 1'!$B$2:$B$2604,'Form responses 1'!$G$2:$G$2604,""))</f>
        <v/>
      </c>
      <c r="K3937" s="56"/>
      <c r="L3937" s="58" t="str">
        <f t="shared" si="7"/>
        <v/>
      </c>
      <c r="M3937" s="49"/>
      <c r="N3937" s="49"/>
      <c r="O3937" s="49"/>
      <c r="P3937" s="49"/>
      <c r="Q3937" s="49"/>
      <c r="R3937" s="49"/>
      <c r="S3937" s="49"/>
      <c r="T3937" s="49"/>
      <c r="U3937" s="49"/>
      <c r="V3937" s="49"/>
      <c r="W3937" s="56"/>
      <c r="X3937" s="51" t="str">
        <f t="shared" si="5"/>
        <v/>
      </c>
      <c r="Y3937" s="50" t="s">
        <v>482</v>
      </c>
      <c r="Z3937" s="49">
        <f t="shared" si="6"/>
        <v>0</v>
      </c>
    </row>
    <row r="3938" ht="22.5" customHeight="1">
      <c r="B3938" s="57"/>
      <c r="C3938" s="43" t="str">
        <f t="array" ref="C3938">IF(B3938="","",_xlfn.XLOOKUP(B3938,'Form responses 1'!$B$2:$B$2604,'Form responses 1'!$A$2:$A$2604,""))</f>
        <v/>
      </c>
      <c r="D3938" s="44" t="str">
        <f t="shared" si="3"/>
        <v/>
      </c>
      <c r="E3938" s="44" t="str">
        <f t="array" ref="E3938">IF(B3938="","",_xlfn.XLOOKUP(B3938,'Form responses 1'!$B$2:$B$2604,'Form responses 1'!$C$2:$C$2604,""))</f>
        <v/>
      </c>
      <c r="F3938" s="44" t="str">
        <f t="array" ref="F3938">IF(B3938="","",_xlfn.XLOOKUP(B3938,'Form responses 1'!$B$2:$B$2604,'Form responses 1'!$D$2:$D$2604,""))</f>
        <v/>
      </c>
      <c r="G3938" s="44" t="str">
        <f t="array" ref="G3938">IF(B3938="","",_xlfn.XLOOKUP(B3938,'Form responses 1'!$B$2:$B$2604,'Form responses 1'!$E$2:$E$2604,""))</f>
        <v/>
      </c>
      <c r="H3938" s="44" t="str">
        <f t="array" ref="H3938">IF(B3938="","",_xlfn.XLOOKUP(B3938,'Form responses 1'!$B$2:$B$2604,'Form responses 1'!$F$2:$F$2604,""))</f>
        <v/>
      </c>
      <c r="I3938" s="44" t="str">
        <f t="array" ref="I3938">IF(B3938="","",_xlfn.XLOOKUP(B3938,'Form responses 1'!$B$2:$B$2604,'Form responses 1'!$I$2:$I$2604,""))</f>
        <v/>
      </c>
      <c r="J3938" s="44" t="str">
        <f t="array" ref="J3938">IF(B3938="","",_xlfn.XLOOKUP(B3938,'Form responses 1'!$B$2:$B$2604,'Form responses 1'!$G$2:$G$2604,""))</f>
        <v/>
      </c>
      <c r="K3938" s="56"/>
      <c r="L3938" s="58" t="str">
        <f t="shared" si="7"/>
        <v/>
      </c>
      <c r="M3938" s="49"/>
      <c r="N3938" s="49"/>
      <c r="O3938" s="49"/>
      <c r="P3938" s="49"/>
      <c r="Q3938" s="49"/>
      <c r="R3938" s="49"/>
      <c r="S3938" s="49"/>
      <c r="T3938" s="49"/>
      <c r="U3938" s="49"/>
      <c r="V3938" s="49"/>
      <c r="W3938" s="56"/>
      <c r="X3938" s="51" t="str">
        <f t="shared" si="5"/>
        <v/>
      </c>
      <c r="Y3938" s="50" t="s">
        <v>482</v>
      </c>
      <c r="Z3938" s="49">
        <f t="shared" si="6"/>
        <v>0</v>
      </c>
    </row>
    <row r="3939" ht="22.5" customHeight="1">
      <c r="B3939" s="57"/>
      <c r="C3939" s="43" t="str">
        <f t="array" ref="C3939">IF(B3939="","",_xlfn.XLOOKUP(B3939,'Form responses 1'!$B$2:$B$2604,'Form responses 1'!$A$2:$A$2604,""))</f>
        <v/>
      </c>
      <c r="D3939" s="44" t="str">
        <f t="shared" si="3"/>
        <v/>
      </c>
      <c r="E3939" s="44" t="str">
        <f t="array" ref="E3939">IF(B3939="","",_xlfn.XLOOKUP(B3939,'Form responses 1'!$B$2:$B$2604,'Form responses 1'!$C$2:$C$2604,""))</f>
        <v/>
      </c>
      <c r="F3939" s="44" t="str">
        <f t="array" ref="F3939">IF(B3939="","",_xlfn.XLOOKUP(B3939,'Form responses 1'!$B$2:$B$2604,'Form responses 1'!$D$2:$D$2604,""))</f>
        <v/>
      </c>
      <c r="G3939" s="44" t="str">
        <f t="array" ref="G3939">IF(B3939="","",_xlfn.XLOOKUP(B3939,'Form responses 1'!$B$2:$B$2604,'Form responses 1'!$E$2:$E$2604,""))</f>
        <v/>
      </c>
      <c r="H3939" s="44" t="str">
        <f t="array" ref="H3939">IF(B3939="","",_xlfn.XLOOKUP(B3939,'Form responses 1'!$B$2:$B$2604,'Form responses 1'!$F$2:$F$2604,""))</f>
        <v/>
      </c>
      <c r="I3939" s="44" t="str">
        <f t="array" ref="I3939">IF(B3939="","",_xlfn.XLOOKUP(B3939,'Form responses 1'!$B$2:$B$2604,'Form responses 1'!$I$2:$I$2604,""))</f>
        <v/>
      </c>
      <c r="J3939" s="44" t="str">
        <f t="array" ref="J3939">IF(B3939="","",_xlfn.XLOOKUP(B3939,'Form responses 1'!$B$2:$B$2604,'Form responses 1'!$G$2:$G$2604,""))</f>
        <v/>
      </c>
      <c r="K3939" s="56"/>
      <c r="L3939" s="58" t="str">
        <f t="shared" si="7"/>
        <v/>
      </c>
      <c r="M3939" s="49"/>
      <c r="N3939" s="49"/>
      <c r="O3939" s="49"/>
      <c r="P3939" s="49"/>
      <c r="Q3939" s="49"/>
      <c r="R3939" s="49"/>
      <c r="S3939" s="49"/>
      <c r="T3939" s="49"/>
      <c r="U3939" s="49"/>
      <c r="V3939" s="49"/>
      <c r="W3939" s="56"/>
      <c r="X3939" s="51" t="str">
        <f t="shared" si="5"/>
        <v/>
      </c>
      <c r="Y3939" s="50" t="s">
        <v>482</v>
      </c>
      <c r="Z3939" s="49">
        <f t="shared" si="6"/>
        <v>0</v>
      </c>
    </row>
    <row r="3940" ht="22.5" customHeight="1">
      <c r="B3940" s="57"/>
      <c r="C3940" s="43" t="str">
        <f t="array" ref="C3940">IF(B3940="","",_xlfn.XLOOKUP(B3940,'Form responses 1'!$B$2:$B$2604,'Form responses 1'!$A$2:$A$2604,""))</f>
        <v/>
      </c>
      <c r="D3940" s="44" t="str">
        <f t="shared" si="3"/>
        <v/>
      </c>
      <c r="E3940" s="44" t="str">
        <f t="array" ref="E3940">IF(B3940="","",_xlfn.XLOOKUP(B3940,'Form responses 1'!$B$2:$B$2604,'Form responses 1'!$C$2:$C$2604,""))</f>
        <v/>
      </c>
      <c r="F3940" s="44" t="str">
        <f t="array" ref="F3940">IF(B3940="","",_xlfn.XLOOKUP(B3940,'Form responses 1'!$B$2:$B$2604,'Form responses 1'!$D$2:$D$2604,""))</f>
        <v/>
      </c>
      <c r="G3940" s="44" t="str">
        <f t="array" ref="G3940">IF(B3940="","",_xlfn.XLOOKUP(B3940,'Form responses 1'!$B$2:$B$2604,'Form responses 1'!$E$2:$E$2604,""))</f>
        <v/>
      </c>
      <c r="H3940" s="44" t="str">
        <f t="array" ref="H3940">IF(B3940="","",_xlfn.XLOOKUP(B3940,'Form responses 1'!$B$2:$B$2604,'Form responses 1'!$F$2:$F$2604,""))</f>
        <v/>
      </c>
      <c r="I3940" s="44" t="str">
        <f t="array" ref="I3940">IF(B3940="","",_xlfn.XLOOKUP(B3940,'Form responses 1'!$B$2:$B$2604,'Form responses 1'!$I$2:$I$2604,""))</f>
        <v/>
      </c>
      <c r="J3940" s="44" t="str">
        <f t="array" ref="J3940">IF(B3940="","",_xlfn.XLOOKUP(B3940,'Form responses 1'!$B$2:$B$2604,'Form responses 1'!$G$2:$G$2604,""))</f>
        <v/>
      </c>
      <c r="K3940" s="56"/>
      <c r="L3940" s="58" t="str">
        <f t="shared" si="7"/>
        <v/>
      </c>
      <c r="M3940" s="49"/>
      <c r="N3940" s="49"/>
      <c r="O3940" s="49"/>
      <c r="P3940" s="49"/>
      <c r="Q3940" s="49"/>
      <c r="R3940" s="49"/>
      <c r="S3940" s="49"/>
      <c r="T3940" s="49"/>
      <c r="U3940" s="49"/>
      <c r="V3940" s="49"/>
      <c r="W3940" s="56"/>
      <c r="X3940" s="51" t="str">
        <f t="shared" si="5"/>
        <v/>
      </c>
      <c r="Y3940" s="50" t="s">
        <v>482</v>
      </c>
      <c r="Z3940" s="49">
        <f t="shared" si="6"/>
        <v>0</v>
      </c>
    </row>
    <row r="3941" ht="22.5" customHeight="1">
      <c r="B3941" s="57"/>
      <c r="C3941" s="43" t="str">
        <f t="array" ref="C3941">IF(B3941="","",_xlfn.XLOOKUP(B3941,'Form responses 1'!$B$2:$B$2604,'Form responses 1'!$A$2:$A$2604,""))</f>
        <v/>
      </c>
      <c r="D3941" s="44" t="str">
        <f t="shared" si="3"/>
        <v/>
      </c>
      <c r="E3941" s="44" t="str">
        <f t="array" ref="E3941">IF(B3941="","",_xlfn.XLOOKUP(B3941,'Form responses 1'!$B$2:$B$2604,'Form responses 1'!$C$2:$C$2604,""))</f>
        <v/>
      </c>
      <c r="F3941" s="44" t="str">
        <f t="array" ref="F3941">IF(B3941="","",_xlfn.XLOOKUP(B3941,'Form responses 1'!$B$2:$B$2604,'Form responses 1'!$D$2:$D$2604,""))</f>
        <v/>
      </c>
      <c r="G3941" s="44" t="str">
        <f t="array" ref="G3941">IF(B3941="","",_xlfn.XLOOKUP(B3941,'Form responses 1'!$B$2:$B$2604,'Form responses 1'!$E$2:$E$2604,""))</f>
        <v/>
      </c>
      <c r="H3941" s="44" t="str">
        <f t="array" ref="H3941">IF(B3941="","",_xlfn.XLOOKUP(B3941,'Form responses 1'!$B$2:$B$2604,'Form responses 1'!$F$2:$F$2604,""))</f>
        <v/>
      </c>
      <c r="I3941" s="44" t="str">
        <f t="array" ref="I3941">IF(B3941="","",_xlfn.XLOOKUP(B3941,'Form responses 1'!$B$2:$B$2604,'Form responses 1'!$I$2:$I$2604,""))</f>
        <v/>
      </c>
      <c r="J3941" s="44" t="str">
        <f t="array" ref="J3941">IF(B3941="","",_xlfn.XLOOKUP(B3941,'Form responses 1'!$B$2:$B$2604,'Form responses 1'!$G$2:$G$2604,""))</f>
        <v/>
      </c>
      <c r="K3941" s="56"/>
      <c r="L3941" s="58" t="str">
        <f t="shared" si="7"/>
        <v/>
      </c>
      <c r="M3941" s="49"/>
      <c r="N3941" s="49"/>
      <c r="O3941" s="49"/>
      <c r="P3941" s="49"/>
      <c r="Q3941" s="49"/>
      <c r="R3941" s="49"/>
      <c r="S3941" s="49"/>
      <c r="T3941" s="49"/>
      <c r="U3941" s="49"/>
      <c r="V3941" s="49"/>
      <c r="W3941" s="56"/>
      <c r="X3941" s="51" t="str">
        <f t="shared" si="5"/>
        <v/>
      </c>
      <c r="Y3941" s="50" t="s">
        <v>482</v>
      </c>
      <c r="Z3941" s="49">
        <f t="shared" si="6"/>
        <v>0</v>
      </c>
    </row>
    <row r="3942" ht="22.5" customHeight="1">
      <c r="B3942" s="57"/>
      <c r="C3942" s="43" t="str">
        <f t="array" ref="C3942">IF(B3942="","",_xlfn.XLOOKUP(B3942,'Form responses 1'!$B$2:$B$2604,'Form responses 1'!$A$2:$A$2604,""))</f>
        <v/>
      </c>
      <c r="D3942" s="44" t="str">
        <f t="shared" si="3"/>
        <v/>
      </c>
      <c r="E3942" s="44" t="str">
        <f t="array" ref="E3942">IF(B3942="","",_xlfn.XLOOKUP(B3942,'Form responses 1'!$B$2:$B$2604,'Form responses 1'!$C$2:$C$2604,""))</f>
        <v/>
      </c>
      <c r="F3942" s="44" t="str">
        <f t="array" ref="F3942">IF(B3942="","",_xlfn.XLOOKUP(B3942,'Form responses 1'!$B$2:$B$2604,'Form responses 1'!$D$2:$D$2604,""))</f>
        <v/>
      </c>
      <c r="G3942" s="44" t="str">
        <f t="array" ref="G3942">IF(B3942="","",_xlfn.XLOOKUP(B3942,'Form responses 1'!$B$2:$B$2604,'Form responses 1'!$E$2:$E$2604,""))</f>
        <v/>
      </c>
      <c r="H3942" s="44" t="str">
        <f t="array" ref="H3942">IF(B3942="","",_xlfn.XLOOKUP(B3942,'Form responses 1'!$B$2:$B$2604,'Form responses 1'!$F$2:$F$2604,""))</f>
        <v/>
      </c>
      <c r="I3942" s="44" t="str">
        <f t="array" ref="I3942">IF(B3942="","",_xlfn.XLOOKUP(B3942,'Form responses 1'!$B$2:$B$2604,'Form responses 1'!$I$2:$I$2604,""))</f>
        <v/>
      </c>
      <c r="J3942" s="44" t="str">
        <f t="array" ref="J3942">IF(B3942="","",_xlfn.XLOOKUP(B3942,'Form responses 1'!$B$2:$B$2604,'Form responses 1'!$G$2:$G$2604,""))</f>
        <v/>
      </c>
      <c r="K3942" s="56"/>
      <c r="L3942" s="58" t="str">
        <f t="shared" si="7"/>
        <v/>
      </c>
      <c r="M3942" s="49"/>
      <c r="N3942" s="49"/>
      <c r="O3942" s="49"/>
      <c r="P3942" s="49"/>
      <c r="Q3942" s="49"/>
      <c r="R3942" s="49"/>
      <c r="S3942" s="49"/>
      <c r="T3942" s="49"/>
      <c r="U3942" s="49"/>
      <c r="V3942" s="49"/>
      <c r="W3942" s="56"/>
      <c r="X3942" s="51" t="str">
        <f t="shared" si="5"/>
        <v/>
      </c>
      <c r="Y3942" s="50" t="s">
        <v>482</v>
      </c>
      <c r="Z3942" s="49">
        <f t="shared" si="6"/>
        <v>0</v>
      </c>
    </row>
    <row r="3943" ht="22.5" customHeight="1">
      <c r="B3943" s="57"/>
      <c r="C3943" s="43" t="str">
        <f t="array" ref="C3943">IF(B3943="","",_xlfn.XLOOKUP(B3943,'Form responses 1'!$B$2:$B$2604,'Form responses 1'!$A$2:$A$2604,""))</f>
        <v/>
      </c>
      <c r="D3943" s="44" t="str">
        <f t="shared" si="3"/>
        <v/>
      </c>
      <c r="E3943" s="44" t="str">
        <f t="array" ref="E3943">IF(B3943="","",_xlfn.XLOOKUP(B3943,'Form responses 1'!$B$2:$B$2604,'Form responses 1'!$C$2:$C$2604,""))</f>
        <v/>
      </c>
      <c r="F3943" s="44" t="str">
        <f t="array" ref="F3943">IF(B3943="","",_xlfn.XLOOKUP(B3943,'Form responses 1'!$B$2:$B$2604,'Form responses 1'!$D$2:$D$2604,""))</f>
        <v/>
      </c>
      <c r="G3943" s="44" t="str">
        <f t="array" ref="G3943">IF(B3943="","",_xlfn.XLOOKUP(B3943,'Form responses 1'!$B$2:$B$2604,'Form responses 1'!$E$2:$E$2604,""))</f>
        <v/>
      </c>
      <c r="H3943" s="44" t="str">
        <f t="array" ref="H3943">IF(B3943="","",_xlfn.XLOOKUP(B3943,'Form responses 1'!$B$2:$B$2604,'Form responses 1'!$F$2:$F$2604,""))</f>
        <v/>
      </c>
      <c r="I3943" s="44" t="str">
        <f t="array" ref="I3943">IF(B3943="","",_xlfn.XLOOKUP(B3943,'Form responses 1'!$B$2:$B$2604,'Form responses 1'!$I$2:$I$2604,""))</f>
        <v/>
      </c>
      <c r="J3943" s="44" t="str">
        <f t="array" ref="J3943">IF(B3943="","",_xlfn.XLOOKUP(B3943,'Form responses 1'!$B$2:$B$2604,'Form responses 1'!$G$2:$G$2604,""))</f>
        <v/>
      </c>
      <c r="K3943" s="56"/>
      <c r="L3943" s="58" t="str">
        <f t="shared" si="7"/>
        <v/>
      </c>
      <c r="M3943" s="49"/>
      <c r="N3943" s="49"/>
      <c r="O3943" s="49"/>
      <c r="P3943" s="49"/>
      <c r="Q3943" s="49"/>
      <c r="R3943" s="49"/>
      <c r="S3943" s="49"/>
      <c r="T3943" s="49"/>
      <c r="U3943" s="49"/>
      <c r="V3943" s="49"/>
      <c r="W3943" s="56"/>
      <c r="X3943" s="51" t="str">
        <f t="shared" si="5"/>
        <v/>
      </c>
      <c r="Y3943" s="50" t="s">
        <v>482</v>
      </c>
      <c r="Z3943" s="49">
        <f t="shared" si="6"/>
        <v>0</v>
      </c>
    </row>
    <row r="3944" ht="22.5" customHeight="1">
      <c r="B3944" s="57"/>
      <c r="C3944" s="43" t="str">
        <f t="array" ref="C3944">IF(B3944="","",_xlfn.XLOOKUP(B3944,'Form responses 1'!$B$2:$B$2604,'Form responses 1'!$A$2:$A$2604,""))</f>
        <v/>
      </c>
      <c r="D3944" s="44" t="str">
        <f t="shared" si="3"/>
        <v/>
      </c>
      <c r="E3944" s="44" t="str">
        <f t="array" ref="E3944">IF(B3944="","",_xlfn.XLOOKUP(B3944,'Form responses 1'!$B$2:$B$2604,'Form responses 1'!$C$2:$C$2604,""))</f>
        <v/>
      </c>
      <c r="F3944" s="44" t="str">
        <f t="array" ref="F3944">IF(B3944="","",_xlfn.XLOOKUP(B3944,'Form responses 1'!$B$2:$B$2604,'Form responses 1'!$D$2:$D$2604,""))</f>
        <v/>
      </c>
      <c r="G3944" s="44" t="str">
        <f t="array" ref="G3944">IF(B3944="","",_xlfn.XLOOKUP(B3944,'Form responses 1'!$B$2:$B$2604,'Form responses 1'!$E$2:$E$2604,""))</f>
        <v/>
      </c>
      <c r="H3944" s="44" t="str">
        <f t="array" ref="H3944">IF(B3944="","",_xlfn.XLOOKUP(B3944,'Form responses 1'!$B$2:$B$2604,'Form responses 1'!$F$2:$F$2604,""))</f>
        <v/>
      </c>
      <c r="I3944" s="44" t="str">
        <f t="array" ref="I3944">IF(B3944="","",_xlfn.XLOOKUP(B3944,'Form responses 1'!$B$2:$B$2604,'Form responses 1'!$I$2:$I$2604,""))</f>
        <v/>
      </c>
      <c r="J3944" s="44" t="str">
        <f t="array" ref="J3944">IF(B3944="","",_xlfn.XLOOKUP(B3944,'Form responses 1'!$B$2:$B$2604,'Form responses 1'!$G$2:$G$2604,""))</f>
        <v/>
      </c>
      <c r="K3944" s="56"/>
      <c r="L3944" s="58" t="str">
        <f t="shared" si="7"/>
        <v/>
      </c>
      <c r="M3944" s="49"/>
      <c r="N3944" s="49"/>
      <c r="O3944" s="49"/>
      <c r="P3944" s="49"/>
      <c r="Q3944" s="49"/>
      <c r="R3944" s="49"/>
      <c r="S3944" s="49"/>
      <c r="T3944" s="49"/>
      <c r="U3944" s="49"/>
      <c r="V3944" s="49"/>
      <c r="W3944" s="56"/>
      <c r="X3944" s="51" t="str">
        <f t="shared" si="5"/>
        <v/>
      </c>
      <c r="Y3944" s="50" t="s">
        <v>482</v>
      </c>
      <c r="Z3944" s="49">
        <f t="shared" si="6"/>
        <v>0</v>
      </c>
    </row>
    <row r="3945" ht="22.5" customHeight="1">
      <c r="B3945" s="57"/>
      <c r="C3945" s="43" t="str">
        <f t="array" ref="C3945">IF(B3945="","",_xlfn.XLOOKUP(B3945,'Form responses 1'!$B$2:$B$2604,'Form responses 1'!$A$2:$A$2604,""))</f>
        <v/>
      </c>
      <c r="D3945" s="44" t="str">
        <f t="shared" si="3"/>
        <v/>
      </c>
      <c r="E3945" s="44" t="str">
        <f t="array" ref="E3945">IF(B3945="","",_xlfn.XLOOKUP(B3945,'Form responses 1'!$B$2:$B$2604,'Form responses 1'!$C$2:$C$2604,""))</f>
        <v/>
      </c>
      <c r="F3945" s="44" t="str">
        <f t="array" ref="F3945">IF(B3945="","",_xlfn.XLOOKUP(B3945,'Form responses 1'!$B$2:$B$2604,'Form responses 1'!$D$2:$D$2604,""))</f>
        <v/>
      </c>
      <c r="G3945" s="44" t="str">
        <f t="array" ref="G3945">IF(B3945="","",_xlfn.XLOOKUP(B3945,'Form responses 1'!$B$2:$B$2604,'Form responses 1'!$E$2:$E$2604,""))</f>
        <v/>
      </c>
      <c r="H3945" s="44" t="str">
        <f t="array" ref="H3945">IF(B3945="","",_xlfn.XLOOKUP(B3945,'Form responses 1'!$B$2:$B$2604,'Form responses 1'!$F$2:$F$2604,""))</f>
        <v/>
      </c>
      <c r="I3945" s="44" t="str">
        <f t="array" ref="I3945">IF(B3945="","",_xlfn.XLOOKUP(B3945,'Form responses 1'!$B$2:$B$2604,'Form responses 1'!$I$2:$I$2604,""))</f>
        <v/>
      </c>
      <c r="J3945" s="44" t="str">
        <f t="array" ref="J3945">IF(B3945="","",_xlfn.XLOOKUP(B3945,'Form responses 1'!$B$2:$B$2604,'Form responses 1'!$G$2:$G$2604,""))</f>
        <v/>
      </c>
      <c r="K3945" s="56"/>
      <c r="L3945" s="58" t="str">
        <f t="shared" si="7"/>
        <v/>
      </c>
      <c r="M3945" s="49"/>
      <c r="N3945" s="49"/>
      <c r="O3945" s="49"/>
      <c r="P3945" s="49"/>
      <c r="Q3945" s="49"/>
      <c r="R3945" s="49"/>
      <c r="S3945" s="49"/>
      <c r="T3945" s="49"/>
      <c r="U3945" s="49"/>
      <c r="V3945" s="49"/>
      <c r="W3945" s="56"/>
      <c r="X3945" s="51" t="str">
        <f t="shared" si="5"/>
        <v/>
      </c>
      <c r="Y3945" s="50" t="s">
        <v>482</v>
      </c>
      <c r="Z3945" s="49">
        <f t="shared" si="6"/>
        <v>0</v>
      </c>
    </row>
    <row r="3946" ht="22.5" customHeight="1">
      <c r="B3946" s="57"/>
      <c r="C3946" s="43" t="str">
        <f t="array" ref="C3946">IF(B3946="","",_xlfn.XLOOKUP(B3946,'Form responses 1'!$B$2:$B$2604,'Form responses 1'!$A$2:$A$2604,""))</f>
        <v/>
      </c>
      <c r="D3946" s="44" t="str">
        <f t="shared" si="3"/>
        <v/>
      </c>
      <c r="E3946" s="44" t="str">
        <f t="array" ref="E3946">IF(B3946="","",_xlfn.XLOOKUP(B3946,'Form responses 1'!$B$2:$B$2604,'Form responses 1'!$C$2:$C$2604,""))</f>
        <v/>
      </c>
      <c r="F3946" s="44" t="str">
        <f t="array" ref="F3946">IF(B3946="","",_xlfn.XLOOKUP(B3946,'Form responses 1'!$B$2:$B$2604,'Form responses 1'!$D$2:$D$2604,""))</f>
        <v/>
      </c>
      <c r="G3946" s="44" t="str">
        <f t="array" ref="G3946">IF(B3946="","",_xlfn.XLOOKUP(B3946,'Form responses 1'!$B$2:$B$2604,'Form responses 1'!$E$2:$E$2604,""))</f>
        <v/>
      </c>
      <c r="H3946" s="44" t="str">
        <f t="array" ref="H3946">IF(B3946="","",_xlfn.XLOOKUP(B3946,'Form responses 1'!$B$2:$B$2604,'Form responses 1'!$F$2:$F$2604,""))</f>
        <v/>
      </c>
      <c r="I3946" s="44" t="str">
        <f t="array" ref="I3946">IF(B3946="","",_xlfn.XLOOKUP(B3946,'Form responses 1'!$B$2:$B$2604,'Form responses 1'!$I$2:$I$2604,""))</f>
        <v/>
      </c>
      <c r="J3946" s="44" t="str">
        <f t="array" ref="J3946">IF(B3946="","",_xlfn.XLOOKUP(B3946,'Form responses 1'!$B$2:$B$2604,'Form responses 1'!$G$2:$G$2604,""))</f>
        <v/>
      </c>
      <c r="K3946" s="56"/>
      <c r="L3946" s="58" t="str">
        <f t="shared" si="7"/>
        <v/>
      </c>
      <c r="M3946" s="49"/>
      <c r="N3946" s="49"/>
      <c r="O3946" s="49"/>
      <c r="P3946" s="49"/>
      <c r="Q3946" s="49"/>
      <c r="R3946" s="49"/>
      <c r="S3946" s="49"/>
      <c r="T3946" s="49"/>
      <c r="U3946" s="49"/>
      <c r="V3946" s="49"/>
      <c r="W3946" s="56"/>
      <c r="X3946" s="51" t="str">
        <f t="shared" si="5"/>
        <v/>
      </c>
      <c r="Y3946" s="50" t="s">
        <v>482</v>
      </c>
      <c r="Z3946" s="49">
        <f t="shared" si="6"/>
        <v>0</v>
      </c>
    </row>
    <row r="3947" ht="22.5" customHeight="1">
      <c r="B3947" s="57"/>
      <c r="C3947" s="43" t="str">
        <f t="array" ref="C3947">IF(B3947="","",_xlfn.XLOOKUP(B3947,'Form responses 1'!$B$2:$B$2604,'Form responses 1'!$A$2:$A$2604,""))</f>
        <v/>
      </c>
      <c r="D3947" s="44" t="str">
        <f t="shared" si="3"/>
        <v/>
      </c>
      <c r="E3947" s="44" t="str">
        <f t="array" ref="E3947">IF(B3947="","",_xlfn.XLOOKUP(B3947,'Form responses 1'!$B$2:$B$2604,'Form responses 1'!$C$2:$C$2604,""))</f>
        <v/>
      </c>
      <c r="F3947" s="44" t="str">
        <f t="array" ref="F3947">IF(B3947="","",_xlfn.XLOOKUP(B3947,'Form responses 1'!$B$2:$B$2604,'Form responses 1'!$D$2:$D$2604,""))</f>
        <v/>
      </c>
      <c r="G3947" s="44" t="str">
        <f t="array" ref="G3947">IF(B3947="","",_xlfn.XLOOKUP(B3947,'Form responses 1'!$B$2:$B$2604,'Form responses 1'!$E$2:$E$2604,""))</f>
        <v/>
      </c>
      <c r="H3947" s="44" t="str">
        <f t="array" ref="H3947">IF(B3947="","",_xlfn.XLOOKUP(B3947,'Form responses 1'!$B$2:$B$2604,'Form responses 1'!$F$2:$F$2604,""))</f>
        <v/>
      </c>
      <c r="I3947" s="44" t="str">
        <f t="array" ref="I3947">IF(B3947="","",_xlfn.XLOOKUP(B3947,'Form responses 1'!$B$2:$B$2604,'Form responses 1'!$I$2:$I$2604,""))</f>
        <v/>
      </c>
      <c r="J3947" s="44" t="str">
        <f t="array" ref="J3947">IF(B3947="","",_xlfn.XLOOKUP(B3947,'Form responses 1'!$B$2:$B$2604,'Form responses 1'!$G$2:$G$2604,""))</f>
        <v/>
      </c>
      <c r="K3947" s="56"/>
      <c r="L3947" s="58" t="str">
        <f t="shared" si="7"/>
        <v/>
      </c>
      <c r="M3947" s="49"/>
      <c r="N3947" s="49"/>
      <c r="O3947" s="49"/>
      <c r="P3947" s="49"/>
      <c r="Q3947" s="49"/>
      <c r="R3947" s="49"/>
      <c r="S3947" s="49"/>
      <c r="T3947" s="49"/>
      <c r="U3947" s="49"/>
      <c r="V3947" s="49"/>
      <c r="W3947" s="56"/>
      <c r="X3947" s="51" t="str">
        <f t="shared" si="5"/>
        <v/>
      </c>
      <c r="Y3947" s="50" t="s">
        <v>482</v>
      </c>
      <c r="Z3947" s="49">
        <f t="shared" si="6"/>
        <v>0</v>
      </c>
    </row>
    <row r="3948" ht="22.5" customHeight="1">
      <c r="B3948" s="57"/>
      <c r="C3948" s="43" t="str">
        <f t="array" ref="C3948">IF(B3948="","",_xlfn.XLOOKUP(B3948,'Form responses 1'!$B$2:$B$2604,'Form responses 1'!$A$2:$A$2604,""))</f>
        <v/>
      </c>
      <c r="D3948" s="44" t="str">
        <f t="shared" si="3"/>
        <v/>
      </c>
      <c r="E3948" s="44" t="str">
        <f t="array" ref="E3948">IF(B3948="","",_xlfn.XLOOKUP(B3948,'Form responses 1'!$B$2:$B$2604,'Form responses 1'!$C$2:$C$2604,""))</f>
        <v/>
      </c>
      <c r="F3948" s="44" t="str">
        <f t="array" ref="F3948">IF(B3948="","",_xlfn.XLOOKUP(B3948,'Form responses 1'!$B$2:$B$2604,'Form responses 1'!$D$2:$D$2604,""))</f>
        <v/>
      </c>
      <c r="G3948" s="44" t="str">
        <f t="array" ref="G3948">IF(B3948="","",_xlfn.XLOOKUP(B3948,'Form responses 1'!$B$2:$B$2604,'Form responses 1'!$E$2:$E$2604,""))</f>
        <v/>
      </c>
      <c r="H3948" s="44" t="str">
        <f t="array" ref="H3948">IF(B3948="","",_xlfn.XLOOKUP(B3948,'Form responses 1'!$B$2:$B$2604,'Form responses 1'!$F$2:$F$2604,""))</f>
        <v/>
      </c>
      <c r="I3948" s="44" t="str">
        <f t="array" ref="I3948">IF(B3948="","",_xlfn.XLOOKUP(B3948,'Form responses 1'!$B$2:$B$2604,'Form responses 1'!$I$2:$I$2604,""))</f>
        <v/>
      </c>
      <c r="J3948" s="44" t="str">
        <f t="array" ref="J3948">IF(B3948="","",_xlfn.XLOOKUP(B3948,'Form responses 1'!$B$2:$B$2604,'Form responses 1'!$G$2:$G$2604,""))</f>
        <v/>
      </c>
      <c r="K3948" s="56"/>
      <c r="L3948" s="58" t="str">
        <f t="shared" si="7"/>
        <v/>
      </c>
      <c r="M3948" s="49"/>
      <c r="N3948" s="49"/>
      <c r="O3948" s="49"/>
      <c r="P3948" s="49"/>
      <c r="Q3948" s="49"/>
      <c r="R3948" s="49"/>
      <c r="S3948" s="49"/>
      <c r="T3948" s="49"/>
      <c r="U3948" s="49"/>
      <c r="V3948" s="49"/>
      <c r="W3948" s="56"/>
      <c r="X3948" s="51" t="str">
        <f t="shared" si="5"/>
        <v/>
      </c>
      <c r="Y3948" s="50" t="s">
        <v>482</v>
      </c>
      <c r="Z3948" s="49">
        <f t="shared" si="6"/>
        <v>0</v>
      </c>
    </row>
    <row r="3949" ht="22.5" customHeight="1">
      <c r="B3949" s="57"/>
      <c r="C3949" s="43" t="str">
        <f t="array" ref="C3949">IF(B3949="","",_xlfn.XLOOKUP(B3949,'Form responses 1'!$B$2:$B$2604,'Form responses 1'!$A$2:$A$2604,""))</f>
        <v/>
      </c>
      <c r="D3949" s="44" t="str">
        <f t="shared" si="3"/>
        <v/>
      </c>
      <c r="E3949" s="44" t="str">
        <f t="array" ref="E3949">IF(B3949="","",_xlfn.XLOOKUP(B3949,'Form responses 1'!$B$2:$B$2604,'Form responses 1'!$C$2:$C$2604,""))</f>
        <v/>
      </c>
      <c r="F3949" s="44" t="str">
        <f t="array" ref="F3949">IF(B3949="","",_xlfn.XLOOKUP(B3949,'Form responses 1'!$B$2:$B$2604,'Form responses 1'!$D$2:$D$2604,""))</f>
        <v/>
      </c>
      <c r="G3949" s="44" t="str">
        <f t="array" ref="G3949">IF(B3949="","",_xlfn.XLOOKUP(B3949,'Form responses 1'!$B$2:$B$2604,'Form responses 1'!$E$2:$E$2604,""))</f>
        <v/>
      </c>
      <c r="H3949" s="44" t="str">
        <f t="array" ref="H3949">IF(B3949="","",_xlfn.XLOOKUP(B3949,'Form responses 1'!$B$2:$B$2604,'Form responses 1'!$F$2:$F$2604,""))</f>
        <v/>
      </c>
      <c r="I3949" s="44" t="str">
        <f t="array" ref="I3949">IF(B3949="","",_xlfn.XLOOKUP(B3949,'Form responses 1'!$B$2:$B$2604,'Form responses 1'!$I$2:$I$2604,""))</f>
        <v/>
      </c>
      <c r="J3949" s="44" t="str">
        <f t="array" ref="J3949">IF(B3949="","",_xlfn.XLOOKUP(B3949,'Form responses 1'!$B$2:$B$2604,'Form responses 1'!$G$2:$G$2604,""))</f>
        <v/>
      </c>
      <c r="K3949" s="56"/>
      <c r="L3949" s="58" t="str">
        <f t="shared" si="7"/>
        <v/>
      </c>
      <c r="M3949" s="49"/>
      <c r="N3949" s="49"/>
      <c r="O3949" s="49"/>
      <c r="P3949" s="49"/>
      <c r="Q3949" s="49"/>
      <c r="R3949" s="49"/>
      <c r="S3949" s="49"/>
      <c r="T3949" s="49"/>
      <c r="U3949" s="49"/>
      <c r="V3949" s="49"/>
      <c r="W3949" s="56"/>
      <c r="X3949" s="51" t="str">
        <f t="shared" si="5"/>
        <v/>
      </c>
      <c r="Y3949" s="50" t="s">
        <v>482</v>
      </c>
      <c r="Z3949" s="49">
        <f t="shared" si="6"/>
        <v>0</v>
      </c>
    </row>
    <row r="3950" ht="22.5" customHeight="1">
      <c r="B3950" s="57"/>
      <c r="C3950" s="43" t="str">
        <f t="array" ref="C3950">IF(B3950="","",_xlfn.XLOOKUP(B3950,'Form responses 1'!$B$2:$B$2604,'Form responses 1'!$A$2:$A$2604,""))</f>
        <v/>
      </c>
      <c r="D3950" s="44" t="str">
        <f t="shared" si="3"/>
        <v/>
      </c>
      <c r="E3950" s="44" t="str">
        <f t="array" ref="E3950">IF(B3950="","",_xlfn.XLOOKUP(B3950,'Form responses 1'!$B$2:$B$2604,'Form responses 1'!$C$2:$C$2604,""))</f>
        <v/>
      </c>
      <c r="F3950" s="44" t="str">
        <f t="array" ref="F3950">IF(B3950="","",_xlfn.XLOOKUP(B3950,'Form responses 1'!$B$2:$B$2604,'Form responses 1'!$D$2:$D$2604,""))</f>
        <v/>
      </c>
      <c r="G3950" s="44" t="str">
        <f t="array" ref="G3950">IF(B3950="","",_xlfn.XLOOKUP(B3950,'Form responses 1'!$B$2:$B$2604,'Form responses 1'!$E$2:$E$2604,""))</f>
        <v/>
      </c>
      <c r="H3950" s="44" t="str">
        <f t="array" ref="H3950">IF(B3950="","",_xlfn.XLOOKUP(B3950,'Form responses 1'!$B$2:$B$2604,'Form responses 1'!$F$2:$F$2604,""))</f>
        <v/>
      </c>
      <c r="I3950" s="44" t="str">
        <f t="array" ref="I3950">IF(B3950="","",_xlfn.XLOOKUP(B3950,'Form responses 1'!$B$2:$B$2604,'Form responses 1'!$I$2:$I$2604,""))</f>
        <v/>
      </c>
      <c r="J3950" s="44" t="str">
        <f t="array" ref="J3950">IF(B3950="","",_xlfn.XLOOKUP(B3950,'Form responses 1'!$B$2:$B$2604,'Form responses 1'!$G$2:$G$2604,""))</f>
        <v/>
      </c>
      <c r="K3950" s="56"/>
      <c r="L3950" s="58" t="str">
        <f t="shared" si="7"/>
        <v/>
      </c>
      <c r="M3950" s="49"/>
      <c r="N3950" s="49"/>
      <c r="O3950" s="49"/>
      <c r="P3950" s="49"/>
      <c r="Q3950" s="49"/>
      <c r="R3950" s="49"/>
      <c r="S3950" s="49"/>
      <c r="T3950" s="49"/>
      <c r="U3950" s="49"/>
      <c r="V3950" s="49"/>
      <c r="W3950" s="56"/>
      <c r="X3950" s="51" t="str">
        <f t="shared" si="5"/>
        <v/>
      </c>
      <c r="Y3950" s="50" t="s">
        <v>482</v>
      </c>
      <c r="Z3950" s="49">
        <f t="shared" si="6"/>
        <v>0</v>
      </c>
    </row>
    <row r="3951" ht="22.5" customHeight="1">
      <c r="B3951" s="57"/>
      <c r="C3951" s="43" t="str">
        <f t="array" ref="C3951">IF(B3951="","",_xlfn.XLOOKUP(B3951,'Form responses 1'!$B$2:$B$2604,'Form responses 1'!$A$2:$A$2604,""))</f>
        <v/>
      </c>
      <c r="D3951" s="44" t="str">
        <f t="shared" si="3"/>
        <v/>
      </c>
      <c r="E3951" s="44" t="str">
        <f t="array" ref="E3951">IF(B3951="","",_xlfn.XLOOKUP(B3951,'Form responses 1'!$B$2:$B$2604,'Form responses 1'!$C$2:$C$2604,""))</f>
        <v/>
      </c>
      <c r="F3951" s="44" t="str">
        <f t="array" ref="F3951">IF(B3951="","",_xlfn.XLOOKUP(B3951,'Form responses 1'!$B$2:$B$2604,'Form responses 1'!$D$2:$D$2604,""))</f>
        <v/>
      </c>
      <c r="G3951" s="44" t="str">
        <f t="array" ref="G3951">IF(B3951="","",_xlfn.XLOOKUP(B3951,'Form responses 1'!$B$2:$B$2604,'Form responses 1'!$E$2:$E$2604,""))</f>
        <v/>
      </c>
      <c r="H3951" s="44" t="str">
        <f t="array" ref="H3951">IF(B3951="","",_xlfn.XLOOKUP(B3951,'Form responses 1'!$B$2:$B$2604,'Form responses 1'!$F$2:$F$2604,""))</f>
        <v/>
      </c>
      <c r="I3951" s="44" t="str">
        <f t="array" ref="I3951">IF(B3951="","",_xlfn.XLOOKUP(B3951,'Form responses 1'!$B$2:$B$2604,'Form responses 1'!$I$2:$I$2604,""))</f>
        <v/>
      </c>
      <c r="J3951" s="44" t="str">
        <f t="array" ref="J3951">IF(B3951="","",_xlfn.XLOOKUP(B3951,'Form responses 1'!$B$2:$B$2604,'Form responses 1'!$G$2:$G$2604,""))</f>
        <v/>
      </c>
      <c r="K3951" s="56"/>
      <c r="L3951" s="58" t="str">
        <f t="shared" si="7"/>
        <v/>
      </c>
      <c r="M3951" s="49"/>
      <c r="N3951" s="49"/>
      <c r="O3951" s="49"/>
      <c r="P3951" s="49"/>
      <c r="Q3951" s="49"/>
      <c r="R3951" s="49"/>
      <c r="S3951" s="49"/>
      <c r="T3951" s="49"/>
      <c r="U3951" s="49"/>
      <c r="V3951" s="49"/>
      <c r="W3951" s="56"/>
      <c r="X3951" s="51" t="str">
        <f t="shared" si="5"/>
        <v/>
      </c>
      <c r="Y3951" s="50" t="s">
        <v>482</v>
      </c>
      <c r="Z3951" s="49">
        <f t="shared" si="6"/>
        <v>0</v>
      </c>
    </row>
    <row r="3952" ht="22.5" customHeight="1">
      <c r="B3952" s="57"/>
      <c r="C3952" s="43" t="str">
        <f t="array" ref="C3952">IF(B3952="","",_xlfn.XLOOKUP(B3952,'Form responses 1'!$B$2:$B$2604,'Form responses 1'!$A$2:$A$2604,""))</f>
        <v/>
      </c>
      <c r="D3952" s="44" t="str">
        <f t="shared" si="3"/>
        <v/>
      </c>
      <c r="E3952" s="44" t="str">
        <f t="array" ref="E3952">IF(B3952="","",_xlfn.XLOOKUP(B3952,'Form responses 1'!$B$2:$B$2604,'Form responses 1'!$C$2:$C$2604,""))</f>
        <v/>
      </c>
      <c r="F3952" s="44" t="str">
        <f t="array" ref="F3952">IF(B3952="","",_xlfn.XLOOKUP(B3952,'Form responses 1'!$B$2:$B$2604,'Form responses 1'!$D$2:$D$2604,""))</f>
        <v/>
      </c>
      <c r="G3952" s="44" t="str">
        <f t="array" ref="G3952">IF(B3952="","",_xlfn.XLOOKUP(B3952,'Form responses 1'!$B$2:$B$2604,'Form responses 1'!$E$2:$E$2604,""))</f>
        <v/>
      </c>
      <c r="H3952" s="44" t="str">
        <f t="array" ref="H3952">IF(B3952="","",_xlfn.XLOOKUP(B3952,'Form responses 1'!$B$2:$B$2604,'Form responses 1'!$F$2:$F$2604,""))</f>
        <v/>
      </c>
      <c r="I3952" s="44" t="str">
        <f t="array" ref="I3952">IF(B3952="","",_xlfn.XLOOKUP(B3952,'Form responses 1'!$B$2:$B$2604,'Form responses 1'!$I$2:$I$2604,""))</f>
        <v/>
      </c>
      <c r="J3952" s="44" t="str">
        <f t="array" ref="J3952">IF(B3952="","",_xlfn.XLOOKUP(B3952,'Form responses 1'!$B$2:$B$2604,'Form responses 1'!$G$2:$G$2604,""))</f>
        <v/>
      </c>
      <c r="K3952" s="56"/>
      <c r="L3952" s="58" t="str">
        <f t="shared" si="7"/>
        <v/>
      </c>
      <c r="M3952" s="49"/>
      <c r="N3952" s="49"/>
      <c r="O3952" s="49"/>
      <c r="P3952" s="49"/>
      <c r="Q3952" s="49"/>
      <c r="R3952" s="49"/>
      <c r="S3952" s="49"/>
      <c r="T3952" s="49"/>
      <c r="U3952" s="49"/>
      <c r="V3952" s="49"/>
      <c r="W3952" s="56"/>
      <c r="X3952" s="51" t="str">
        <f t="shared" si="5"/>
        <v/>
      </c>
      <c r="Y3952" s="50" t="s">
        <v>482</v>
      </c>
      <c r="Z3952" s="49">
        <f t="shared" si="6"/>
        <v>0</v>
      </c>
    </row>
    <row r="3953" ht="22.5" customHeight="1">
      <c r="B3953" s="57"/>
      <c r="C3953" s="43" t="str">
        <f t="array" ref="C3953">IF(B3953="","",_xlfn.XLOOKUP(B3953,'Form responses 1'!$B$2:$B$2604,'Form responses 1'!$A$2:$A$2604,""))</f>
        <v/>
      </c>
      <c r="D3953" s="44" t="str">
        <f t="shared" si="3"/>
        <v/>
      </c>
      <c r="E3953" s="44" t="str">
        <f t="array" ref="E3953">IF(B3953="","",_xlfn.XLOOKUP(B3953,'Form responses 1'!$B$2:$B$2604,'Form responses 1'!$C$2:$C$2604,""))</f>
        <v/>
      </c>
      <c r="F3953" s="44" t="str">
        <f t="array" ref="F3953">IF(B3953="","",_xlfn.XLOOKUP(B3953,'Form responses 1'!$B$2:$B$2604,'Form responses 1'!$D$2:$D$2604,""))</f>
        <v/>
      </c>
      <c r="G3953" s="44" t="str">
        <f t="array" ref="G3953">IF(B3953="","",_xlfn.XLOOKUP(B3953,'Form responses 1'!$B$2:$B$2604,'Form responses 1'!$E$2:$E$2604,""))</f>
        <v/>
      </c>
      <c r="H3953" s="44" t="str">
        <f t="array" ref="H3953">IF(B3953="","",_xlfn.XLOOKUP(B3953,'Form responses 1'!$B$2:$B$2604,'Form responses 1'!$F$2:$F$2604,""))</f>
        <v/>
      </c>
      <c r="I3953" s="44" t="str">
        <f t="array" ref="I3953">IF(B3953="","",_xlfn.XLOOKUP(B3953,'Form responses 1'!$B$2:$B$2604,'Form responses 1'!$I$2:$I$2604,""))</f>
        <v/>
      </c>
      <c r="J3953" s="44" t="str">
        <f t="array" ref="J3953">IF(B3953="","",_xlfn.XLOOKUP(B3953,'Form responses 1'!$B$2:$B$2604,'Form responses 1'!$G$2:$G$2604,""))</f>
        <v/>
      </c>
      <c r="K3953" s="56"/>
      <c r="L3953" s="58" t="str">
        <f t="shared" si="7"/>
        <v/>
      </c>
      <c r="M3953" s="49"/>
      <c r="N3953" s="49"/>
      <c r="O3953" s="49"/>
      <c r="P3953" s="49"/>
      <c r="Q3953" s="49"/>
      <c r="R3953" s="49"/>
      <c r="S3953" s="49"/>
      <c r="T3953" s="49"/>
      <c r="U3953" s="49"/>
      <c r="V3953" s="49"/>
      <c r="W3953" s="56"/>
      <c r="X3953" s="51" t="str">
        <f t="shared" si="5"/>
        <v/>
      </c>
      <c r="Y3953" s="50" t="s">
        <v>482</v>
      </c>
      <c r="Z3953" s="49">
        <f t="shared" si="6"/>
        <v>0</v>
      </c>
    </row>
    <row r="3954" ht="22.5" customHeight="1">
      <c r="B3954" s="57"/>
      <c r="C3954" s="43" t="str">
        <f t="array" ref="C3954">IF(B3954="","",_xlfn.XLOOKUP(B3954,'Form responses 1'!$B$2:$B$2604,'Form responses 1'!$A$2:$A$2604,""))</f>
        <v/>
      </c>
      <c r="D3954" s="44" t="str">
        <f t="shared" si="3"/>
        <v/>
      </c>
      <c r="E3954" s="44" t="str">
        <f t="array" ref="E3954">IF(B3954="","",_xlfn.XLOOKUP(B3954,'Form responses 1'!$B$2:$B$2604,'Form responses 1'!$C$2:$C$2604,""))</f>
        <v/>
      </c>
      <c r="F3954" s="44" t="str">
        <f t="array" ref="F3954">IF(B3954="","",_xlfn.XLOOKUP(B3954,'Form responses 1'!$B$2:$B$2604,'Form responses 1'!$D$2:$D$2604,""))</f>
        <v/>
      </c>
      <c r="G3954" s="44" t="str">
        <f t="array" ref="G3954">IF(B3954="","",_xlfn.XLOOKUP(B3954,'Form responses 1'!$B$2:$B$2604,'Form responses 1'!$E$2:$E$2604,""))</f>
        <v/>
      </c>
      <c r="H3954" s="44" t="str">
        <f t="array" ref="H3954">IF(B3954="","",_xlfn.XLOOKUP(B3954,'Form responses 1'!$B$2:$B$2604,'Form responses 1'!$F$2:$F$2604,""))</f>
        <v/>
      </c>
      <c r="I3954" s="44" t="str">
        <f t="array" ref="I3954">IF(B3954="","",_xlfn.XLOOKUP(B3954,'Form responses 1'!$B$2:$B$2604,'Form responses 1'!$I$2:$I$2604,""))</f>
        <v/>
      </c>
      <c r="J3954" s="44" t="str">
        <f t="array" ref="J3954">IF(B3954="","",_xlfn.XLOOKUP(B3954,'Form responses 1'!$B$2:$B$2604,'Form responses 1'!$G$2:$G$2604,""))</f>
        <v/>
      </c>
      <c r="K3954" s="56"/>
      <c r="L3954" s="58" t="str">
        <f t="shared" si="7"/>
        <v/>
      </c>
      <c r="M3954" s="49"/>
      <c r="N3954" s="49"/>
      <c r="O3954" s="49"/>
      <c r="P3954" s="49"/>
      <c r="Q3954" s="49"/>
      <c r="R3954" s="49"/>
      <c r="S3954" s="49"/>
      <c r="T3954" s="49"/>
      <c r="U3954" s="49"/>
      <c r="V3954" s="49"/>
      <c r="W3954" s="56"/>
      <c r="X3954" s="51" t="str">
        <f t="shared" si="5"/>
        <v/>
      </c>
      <c r="Y3954" s="50" t="s">
        <v>482</v>
      </c>
      <c r="Z3954" s="49">
        <f t="shared" si="6"/>
        <v>0</v>
      </c>
    </row>
    <row r="3955" ht="22.5" customHeight="1">
      <c r="B3955" s="57"/>
      <c r="C3955" s="43" t="str">
        <f t="array" ref="C3955">IF(B3955="","",_xlfn.XLOOKUP(B3955,'Form responses 1'!$B$2:$B$2604,'Form responses 1'!$A$2:$A$2604,""))</f>
        <v/>
      </c>
      <c r="D3955" s="44" t="str">
        <f t="shared" si="3"/>
        <v/>
      </c>
      <c r="E3955" s="44" t="str">
        <f t="array" ref="E3955">IF(B3955="","",_xlfn.XLOOKUP(B3955,'Form responses 1'!$B$2:$B$2604,'Form responses 1'!$C$2:$C$2604,""))</f>
        <v/>
      </c>
      <c r="F3955" s="44" t="str">
        <f t="array" ref="F3955">IF(B3955="","",_xlfn.XLOOKUP(B3955,'Form responses 1'!$B$2:$B$2604,'Form responses 1'!$D$2:$D$2604,""))</f>
        <v/>
      </c>
      <c r="G3955" s="44" t="str">
        <f t="array" ref="G3955">IF(B3955="","",_xlfn.XLOOKUP(B3955,'Form responses 1'!$B$2:$B$2604,'Form responses 1'!$E$2:$E$2604,""))</f>
        <v/>
      </c>
      <c r="H3955" s="44" t="str">
        <f t="array" ref="H3955">IF(B3955="","",_xlfn.XLOOKUP(B3955,'Form responses 1'!$B$2:$B$2604,'Form responses 1'!$F$2:$F$2604,""))</f>
        <v/>
      </c>
      <c r="I3955" s="44" t="str">
        <f t="array" ref="I3955">IF(B3955="","",_xlfn.XLOOKUP(B3955,'Form responses 1'!$B$2:$B$2604,'Form responses 1'!$I$2:$I$2604,""))</f>
        <v/>
      </c>
      <c r="J3955" s="44" t="str">
        <f t="array" ref="J3955">IF(B3955="","",_xlfn.XLOOKUP(B3955,'Form responses 1'!$B$2:$B$2604,'Form responses 1'!$G$2:$G$2604,""))</f>
        <v/>
      </c>
      <c r="K3955" s="56"/>
      <c r="L3955" s="58" t="str">
        <f t="shared" si="7"/>
        <v/>
      </c>
      <c r="M3955" s="49"/>
      <c r="N3955" s="49"/>
      <c r="O3955" s="49"/>
      <c r="P3955" s="49"/>
      <c r="Q3955" s="49"/>
      <c r="R3955" s="49"/>
      <c r="S3955" s="49"/>
      <c r="T3955" s="49"/>
      <c r="U3955" s="49"/>
      <c r="V3955" s="49"/>
      <c r="W3955" s="56"/>
      <c r="X3955" s="51" t="str">
        <f t="shared" si="5"/>
        <v/>
      </c>
      <c r="Y3955" s="50" t="s">
        <v>482</v>
      </c>
      <c r="Z3955" s="49">
        <f t="shared" si="6"/>
        <v>0</v>
      </c>
    </row>
    <row r="3956" ht="22.5" customHeight="1">
      <c r="B3956" s="57"/>
      <c r="C3956" s="43" t="str">
        <f t="array" ref="C3956">IF(B3956="","",_xlfn.XLOOKUP(B3956,'Form responses 1'!$B$2:$B$2604,'Form responses 1'!$A$2:$A$2604,""))</f>
        <v/>
      </c>
      <c r="D3956" s="44" t="str">
        <f t="shared" si="3"/>
        <v/>
      </c>
      <c r="E3956" s="44" t="str">
        <f t="array" ref="E3956">IF(B3956="","",_xlfn.XLOOKUP(B3956,'Form responses 1'!$B$2:$B$2604,'Form responses 1'!$C$2:$C$2604,""))</f>
        <v/>
      </c>
      <c r="F3956" s="44" t="str">
        <f t="array" ref="F3956">IF(B3956="","",_xlfn.XLOOKUP(B3956,'Form responses 1'!$B$2:$B$2604,'Form responses 1'!$D$2:$D$2604,""))</f>
        <v/>
      </c>
      <c r="G3956" s="44" t="str">
        <f t="array" ref="G3956">IF(B3956="","",_xlfn.XLOOKUP(B3956,'Form responses 1'!$B$2:$B$2604,'Form responses 1'!$E$2:$E$2604,""))</f>
        <v/>
      </c>
      <c r="H3956" s="44" t="str">
        <f t="array" ref="H3956">IF(B3956="","",_xlfn.XLOOKUP(B3956,'Form responses 1'!$B$2:$B$2604,'Form responses 1'!$F$2:$F$2604,""))</f>
        <v/>
      </c>
      <c r="I3956" s="44" t="str">
        <f t="array" ref="I3956">IF(B3956="","",_xlfn.XLOOKUP(B3956,'Form responses 1'!$B$2:$B$2604,'Form responses 1'!$I$2:$I$2604,""))</f>
        <v/>
      </c>
      <c r="J3956" s="44" t="str">
        <f t="array" ref="J3956">IF(B3956="","",_xlfn.XLOOKUP(B3956,'Form responses 1'!$B$2:$B$2604,'Form responses 1'!$G$2:$G$2604,""))</f>
        <v/>
      </c>
      <c r="K3956" s="56"/>
      <c r="L3956" s="58" t="str">
        <f t="shared" si="7"/>
        <v/>
      </c>
      <c r="M3956" s="49"/>
      <c r="N3956" s="49"/>
      <c r="O3956" s="49"/>
      <c r="P3956" s="49"/>
      <c r="Q3956" s="49"/>
      <c r="R3956" s="49"/>
      <c r="S3956" s="49"/>
      <c r="T3956" s="49"/>
      <c r="U3956" s="49"/>
      <c r="V3956" s="49"/>
      <c r="W3956" s="56"/>
      <c r="X3956" s="51" t="str">
        <f t="shared" si="5"/>
        <v/>
      </c>
      <c r="Y3956" s="50" t="s">
        <v>482</v>
      </c>
      <c r="Z3956" s="49">
        <f t="shared" si="6"/>
        <v>0</v>
      </c>
    </row>
    <row r="3957" ht="22.5" customHeight="1">
      <c r="B3957" s="57"/>
      <c r="C3957" s="43" t="str">
        <f t="array" ref="C3957">IF(B3957="","",_xlfn.XLOOKUP(B3957,'Form responses 1'!$B$2:$B$2604,'Form responses 1'!$A$2:$A$2604,""))</f>
        <v/>
      </c>
      <c r="D3957" s="44" t="str">
        <f t="shared" si="3"/>
        <v/>
      </c>
      <c r="E3957" s="44" t="str">
        <f t="array" ref="E3957">IF(B3957="","",_xlfn.XLOOKUP(B3957,'Form responses 1'!$B$2:$B$2604,'Form responses 1'!$C$2:$C$2604,""))</f>
        <v/>
      </c>
      <c r="F3957" s="44" t="str">
        <f t="array" ref="F3957">IF(B3957="","",_xlfn.XLOOKUP(B3957,'Form responses 1'!$B$2:$B$2604,'Form responses 1'!$D$2:$D$2604,""))</f>
        <v/>
      </c>
      <c r="G3957" s="44" t="str">
        <f t="array" ref="G3957">IF(B3957="","",_xlfn.XLOOKUP(B3957,'Form responses 1'!$B$2:$B$2604,'Form responses 1'!$E$2:$E$2604,""))</f>
        <v/>
      </c>
      <c r="H3957" s="44" t="str">
        <f t="array" ref="H3957">IF(B3957="","",_xlfn.XLOOKUP(B3957,'Form responses 1'!$B$2:$B$2604,'Form responses 1'!$F$2:$F$2604,""))</f>
        <v/>
      </c>
      <c r="I3957" s="44" t="str">
        <f t="array" ref="I3957">IF(B3957="","",_xlfn.XLOOKUP(B3957,'Form responses 1'!$B$2:$B$2604,'Form responses 1'!$I$2:$I$2604,""))</f>
        <v/>
      </c>
      <c r="J3957" s="44" t="str">
        <f t="array" ref="J3957">IF(B3957="","",_xlfn.XLOOKUP(B3957,'Form responses 1'!$B$2:$B$2604,'Form responses 1'!$G$2:$G$2604,""))</f>
        <v/>
      </c>
      <c r="K3957" s="56"/>
      <c r="L3957" s="58" t="str">
        <f t="shared" si="7"/>
        <v/>
      </c>
      <c r="M3957" s="49"/>
      <c r="N3957" s="49"/>
      <c r="O3957" s="49"/>
      <c r="P3957" s="49"/>
      <c r="Q3957" s="49"/>
      <c r="R3957" s="49"/>
      <c r="S3957" s="49"/>
      <c r="T3957" s="49"/>
      <c r="U3957" s="49"/>
      <c r="V3957" s="49"/>
      <c r="W3957" s="56"/>
      <c r="X3957" s="51" t="str">
        <f t="shared" si="5"/>
        <v/>
      </c>
      <c r="Y3957" s="50" t="s">
        <v>482</v>
      </c>
      <c r="Z3957" s="49">
        <f t="shared" si="6"/>
        <v>0</v>
      </c>
    </row>
    <row r="3958" ht="22.5" customHeight="1">
      <c r="B3958" s="57"/>
      <c r="C3958" s="43" t="str">
        <f t="array" ref="C3958">IF(B3958="","",_xlfn.XLOOKUP(B3958,'Form responses 1'!$B$2:$B$2604,'Form responses 1'!$A$2:$A$2604,""))</f>
        <v/>
      </c>
      <c r="D3958" s="44" t="str">
        <f t="shared" si="3"/>
        <v/>
      </c>
      <c r="E3958" s="44" t="str">
        <f t="array" ref="E3958">IF(B3958="","",_xlfn.XLOOKUP(B3958,'Form responses 1'!$B$2:$B$2604,'Form responses 1'!$C$2:$C$2604,""))</f>
        <v/>
      </c>
      <c r="F3958" s="44" t="str">
        <f t="array" ref="F3958">IF(B3958="","",_xlfn.XLOOKUP(B3958,'Form responses 1'!$B$2:$B$2604,'Form responses 1'!$D$2:$D$2604,""))</f>
        <v/>
      </c>
      <c r="G3958" s="44" t="str">
        <f t="array" ref="G3958">IF(B3958="","",_xlfn.XLOOKUP(B3958,'Form responses 1'!$B$2:$B$2604,'Form responses 1'!$E$2:$E$2604,""))</f>
        <v/>
      </c>
      <c r="H3958" s="44" t="str">
        <f t="array" ref="H3958">IF(B3958="","",_xlfn.XLOOKUP(B3958,'Form responses 1'!$B$2:$B$2604,'Form responses 1'!$F$2:$F$2604,""))</f>
        <v/>
      </c>
      <c r="I3958" s="44" t="str">
        <f t="array" ref="I3958">IF(B3958="","",_xlfn.XLOOKUP(B3958,'Form responses 1'!$B$2:$B$2604,'Form responses 1'!$I$2:$I$2604,""))</f>
        <v/>
      </c>
      <c r="J3958" s="44" t="str">
        <f t="array" ref="J3958">IF(B3958="","",_xlfn.XLOOKUP(B3958,'Form responses 1'!$B$2:$B$2604,'Form responses 1'!$G$2:$G$2604,""))</f>
        <v/>
      </c>
      <c r="K3958" s="56"/>
      <c r="L3958" s="58" t="str">
        <f t="shared" si="7"/>
        <v/>
      </c>
      <c r="M3958" s="49"/>
      <c r="N3958" s="49"/>
      <c r="O3958" s="49"/>
      <c r="P3958" s="49"/>
      <c r="Q3958" s="49"/>
      <c r="R3958" s="49"/>
      <c r="S3958" s="49"/>
      <c r="T3958" s="49"/>
      <c r="U3958" s="49"/>
      <c r="V3958" s="49"/>
      <c r="W3958" s="56"/>
      <c r="X3958" s="51" t="str">
        <f t="shared" si="5"/>
        <v/>
      </c>
      <c r="Y3958" s="50" t="s">
        <v>482</v>
      </c>
      <c r="Z3958" s="49">
        <f t="shared" si="6"/>
        <v>0</v>
      </c>
    </row>
    <row r="3959" ht="22.5" customHeight="1">
      <c r="B3959" s="57"/>
      <c r="C3959" s="43" t="str">
        <f t="array" ref="C3959">IF(B3959="","",_xlfn.XLOOKUP(B3959,'Form responses 1'!$B$2:$B$2604,'Form responses 1'!$A$2:$A$2604,""))</f>
        <v/>
      </c>
      <c r="D3959" s="44" t="str">
        <f t="shared" si="3"/>
        <v/>
      </c>
      <c r="E3959" s="44" t="str">
        <f t="array" ref="E3959">IF(B3959="","",_xlfn.XLOOKUP(B3959,'Form responses 1'!$B$2:$B$2604,'Form responses 1'!$C$2:$C$2604,""))</f>
        <v/>
      </c>
      <c r="F3959" s="44" t="str">
        <f t="array" ref="F3959">IF(B3959="","",_xlfn.XLOOKUP(B3959,'Form responses 1'!$B$2:$B$2604,'Form responses 1'!$D$2:$D$2604,""))</f>
        <v/>
      </c>
      <c r="G3959" s="44" t="str">
        <f t="array" ref="G3959">IF(B3959="","",_xlfn.XLOOKUP(B3959,'Form responses 1'!$B$2:$B$2604,'Form responses 1'!$E$2:$E$2604,""))</f>
        <v/>
      </c>
      <c r="H3959" s="44" t="str">
        <f t="array" ref="H3959">IF(B3959="","",_xlfn.XLOOKUP(B3959,'Form responses 1'!$B$2:$B$2604,'Form responses 1'!$F$2:$F$2604,""))</f>
        <v/>
      </c>
      <c r="I3959" s="44" t="str">
        <f t="array" ref="I3959">IF(B3959="","",_xlfn.XLOOKUP(B3959,'Form responses 1'!$B$2:$B$2604,'Form responses 1'!$I$2:$I$2604,""))</f>
        <v/>
      </c>
      <c r="J3959" s="44" t="str">
        <f t="array" ref="J3959">IF(B3959="","",_xlfn.XLOOKUP(B3959,'Form responses 1'!$B$2:$B$2604,'Form responses 1'!$G$2:$G$2604,""))</f>
        <v/>
      </c>
      <c r="K3959" s="56"/>
      <c r="L3959" s="58" t="str">
        <f t="shared" si="7"/>
        <v/>
      </c>
      <c r="M3959" s="49"/>
      <c r="N3959" s="49"/>
      <c r="O3959" s="49"/>
      <c r="P3959" s="49"/>
      <c r="Q3959" s="49"/>
      <c r="R3959" s="49"/>
      <c r="S3959" s="49"/>
      <c r="T3959" s="49"/>
      <c r="U3959" s="49"/>
      <c r="V3959" s="49"/>
      <c r="W3959" s="56"/>
      <c r="X3959" s="51" t="str">
        <f t="shared" si="5"/>
        <v/>
      </c>
      <c r="Y3959" s="50" t="s">
        <v>482</v>
      </c>
      <c r="Z3959" s="49">
        <f t="shared" si="6"/>
        <v>0</v>
      </c>
    </row>
    <row r="3960" ht="22.5" customHeight="1">
      <c r="B3960" s="57"/>
      <c r="C3960" s="43" t="str">
        <f t="array" ref="C3960">IF(B3960="","",_xlfn.XLOOKUP(B3960,'Form responses 1'!$B$2:$B$2604,'Form responses 1'!$A$2:$A$2604,""))</f>
        <v/>
      </c>
      <c r="D3960" s="44" t="str">
        <f t="shared" si="3"/>
        <v/>
      </c>
      <c r="E3960" s="44" t="str">
        <f t="array" ref="E3960">IF(B3960="","",_xlfn.XLOOKUP(B3960,'Form responses 1'!$B$2:$B$2604,'Form responses 1'!$C$2:$C$2604,""))</f>
        <v/>
      </c>
      <c r="F3960" s="44" t="str">
        <f t="array" ref="F3960">IF(B3960="","",_xlfn.XLOOKUP(B3960,'Form responses 1'!$B$2:$B$2604,'Form responses 1'!$D$2:$D$2604,""))</f>
        <v/>
      </c>
      <c r="G3960" s="44" t="str">
        <f t="array" ref="G3960">IF(B3960="","",_xlfn.XLOOKUP(B3960,'Form responses 1'!$B$2:$B$2604,'Form responses 1'!$E$2:$E$2604,""))</f>
        <v/>
      </c>
      <c r="H3960" s="44" t="str">
        <f t="array" ref="H3960">IF(B3960="","",_xlfn.XLOOKUP(B3960,'Form responses 1'!$B$2:$B$2604,'Form responses 1'!$F$2:$F$2604,""))</f>
        <v/>
      </c>
      <c r="I3960" s="44" t="str">
        <f t="array" ref="I3960">IF(B3960="","",_xlfn.XLOOKUP(B3960,'Form responses 1'!$B$2:$B$2604,'Form responses 1'!$I$2:$I$2604,""))</f>
        <v/>
      </c>
      <c r="J3960" s="44" t="str">
        <f t="array" ref="J3960">IF(B3960="","",_xlfn.XLOOKUP(B3960,'Form responses 1'!$B$2:$B$2604,'Form responses 1'!$G$2:$G$2604,""))</f>
        <v/>
      </c>
      <c r="K3960" s="56"/>
      <c r="L3960" s="58" t="str">
        <f t="shared" si="7"/>
        <v/>
      </c>
      <c r="M3960" s="49"/>
      <c r="N3960" s="49"/>
      <c r="O3960" s="49"/>
      <c r="P3960" s="49"/>
      <c r="Q3960" s="49"/>
      <c r="R3960" s="49"/>
      <c r="S3960" s="49"/>
      <c r="T3960" s="49"/>
      <c r="U3960" s="49"/>
      <c r="V3960" s="49"/>
      <c r="W3960" s="56"/>
      <c r="X3960" s="51" t="str">
        <f t="shared" si="5"/>
        <v/>
      </c>
      <c r="Y3960" s="50" t="s">
        <v>482</v>
      </c>
      <c r="Z3960" s="49">
        <f t="shared" si="6"/>
        <v>0</v>
      </c>
    </row>
    <row r="3961" ht="22.5" customHeight="1">
      <c r="B3961" s="57"/>
      <c r="C3961" s="43" t="str">
        <f t="array" ref="C3961">IF(B3961="","",_xlfn.XLOOKUP(B3961,'Form responses 1'!$B$2:$B$2604,'Form responses 1'!$A$2:$A$2604,""))</f>
        <v/>
      </c>
      <c r="D3961" s="44" t="str">
        <f t="shared" si="3"/>
        <v/>
      </c>
      <c r="E3961" s="44" t="str">
        <f t="array" ref="E3961">IF(B3961="","",_xlfn.XLOOKUP(B3961,'Form responses 1'!$B$2:$B$2604,'Form responses 1'!$C$2:$C$2604,""))</f>
        <v/>
      </c>
      <c r="F3961" s="44" t="str">
        <f t="array" ref="F3961">IF(B3961="","",_xlfn.XLOOKUP(B3961,'Form responses 1'!$B$2:$B$2604,'Form responses 1'!$D$2:$D$2604,""))</f>
        <v/>
      </c>
      <c r="G3961" s="44" t="str">
        <f t="array" ref="G3961">IF(B3961="","",_xlfn.XLOOKUP(B3961,'Form responses 1'!$B$2:$B$2604,'Form responses 1'!$E$2:$E$2604,""))</f>
        <v/>
      </c>
      <c r="H3961" s="44" t="str">
        <f t="array" ref="H3961">IF(B3961="","",_xlfn.XLOOKUP(B3961,'Form responses 1'!$B$2:$B$2604,'Form responses 1'!$F$2:$F$2604,""))</f>
        <v/>
      </c>
      <c r="I3961" s="44" t="str">
        <f t="array" ref="I3961">IF(B3961="","",_xlfn.XLOOKUP(B3961,'Form responses 1'!$B$2:$B$2604,'Form responses 1'!$I$2:$I$2604,""))</f>
        <v/>
      </c>
      <c r="J3961" s="44" t="str">
        <f t="array" ref="J3961">IF(B3961="","",_xlfn.XLOOKUP(B3961,'Form responses 1'!$B$2:$B$2604,'Form responses 1'!$G$2:$G$2604,""))</f>
        <v/>
      </c>
      <c r="K3961" s="56"/>
      <c r="L3961" s="58" t="str">
        <f t="shared" si="7"/>
        <v/>
      </c>
      <c r="M3961" s="49"/>
      <c r="N3961" s="49"/>
      <c r="O3961" s="49"/>
      <c r="P3961" s="49"/>
      <c r="Q3961" s="49"/>
      <c r="R3961" s="49"/>
      <c r="S3961" s="49"/>
      <c r="T3961" s="49"/>
      <c r="U3961" s="49"/>
      <c r="V3961" s="49"/>
      <c r="W3961" s="56"/>
      <c r="X3961" s="51" t="str">
        <f t="shared" si="5"/>
        <v/>
      </c>
      <c r="Y3961" s="50" t="s">
        <v>482</v>
      </c>
      <c r="Z3961" s="49">
        <f t="shared" si="6"/>
        <v>0</v>
      </c>
    </row>
    <row r="3962" ht="22.5" customHeight="1">
      <c r="B3962" s="57"/>
      <c r="C3962" s="43" t="str">
        <f t="array" ref="C3962">IF(B3962="","",_xlfn.XLOOKUP(B3962,'Form responses 1'!$B$2:$B$2604,'Form responses 1'!$A$2:$A$2604,""))</f>
        <v/>
      </c>
      <c r="D3962" s="44" t="str">
        <f t="shared" si="3"/>
        <v/>
      </c>
      <c r="E3962" s="44" t="str">
        <f t="array" ref="E3962">IF(B3962="","",_xlfn.XLOOKUP(B3962,'Form responses 1'!$B$2:$B$2604,'Form responses 1'!$C$2:$C$2604,""))</f>
        <v/>
      </c>
      <c r="F3962" s="44" t="str">
        <f t="array" ref="F3962">IF(B3962="","",_xlfn.XLOOKUP(B3962,'Form responses 1'!$B$2:$B$2604,'Form responses 1'!$D$2:$D$2604,""))</f>
        <v/>
      </c>
      <c r="G3962" s="44" t="str">
        <f t="array" ref="G3962">IF(B3962="","",_xlfn.XLOOKUP(B3962,'Form responses 1'!$B$2:$B$2604,'Form responses 1'!$E$2:$E$2604,""))</f>
        <v/>
      </c>
      <c r="H3962" s="44" t="str">
        <f t="array" ref="H3962">IF(B3962="","",_xlfn.XLOOKUP(B3962,'Form responses 1'!$B$2:$B$2604,'Form responses 1'!$F$2:$F$2604,""))</f>
        <v/>
      </c>
      <c r="I3962" s="44" t="str">
        <f t="array" ref="I3962">IF(B3962="","",_xlfn.XLOOKUP(B3962,'Form responses 1'!$B$2:$B$2604,'Form responses 1'!$I$2:$I$2604,""))</f>
        <v/>
      </c>
      <c r="J3962" s="44" t="str">
        <f t="array" ref="J3962">IF(B3962="","",_xlfn.XLOOKUP(B3962,'Form responses 1'!$B$2:$B$2604,'Form responses 1'!$G$2:$G$2604,""))</f>
        <v/>
      </c>
      <c r="K3962" s="56"/>
      <c r="L3962" s="58" t="str">
        <f t="shared" si="7"/>
        <v/>
      </c>
      <c r="M3962" s="49"/>
      <c r="N3962" s="49"/>
      <c r="O3962" s="49"/>
      <c r="P3962" s="49"/>
      <c r="Q3962" s="49"/>
      <c r="R3962" s="49"/>
      <c r="S3962" s="49"/>
      <c r="T3962" s="49"/>
      <c r="U3962" s="49"/>
      <c r="V3962" s="49"/>
      <c r="W3962" s="56"/>
      <c r="X3962" s="51" t="str">
        <f t="shared" si="5"/>
        <v/>
      </c>
      <c r="Y3962" s="50" t="s">
        <v>482</v>
      </c>
      <c r="Z3962" s="49">
        <f t="shared" si="6"/>
        <v>0</v>
      </c>
    </row>
    <row r="3963" ht="22.5" customHeight="1">
      <c r="B3963" s="57"/>
      <c r="C3963" s="43" t="str">
        <f t="array" ref="C3963">IF(B3963="","",_xlfn.XLOOKUP(B3963,'Form responses 1'!$B$2:$B$2604,'Form responses 1'!$A$2:$A$2604,""))</f>
        <v/>
      </c>
      <c r="D3963" s="44" t="str">
        <f t="shared" si="3"/>
        <v/>
      </c>
      <c r="E3963" s="44" t="str">
        <f t="array" ref="E3963">IF(B3963="","",_xlfn.XLOOKUP(B3963,'Form responses 1'!$B$2:$B$2604,'Form responses 1'!$C$2:$C$2604,""))</f>
        <v/>
      </c>
      <c r="F3963" s="44" t="str">
        <f t="array" ref="F3963">IF(B3963="","",_xlfn.XLOOKUP(B3963,'Form responses 1'!$B$2:$B$2604,'Form responses 1'!$D$2:$D$2604,""))</f>
        <v/>
      </c>
      <c r="G3963" s="44" t="str">
        <f t="array" ref="G3963">IF(B3963="","",_xlfn.XLOOKUP(B3963,'Form responses 1'!$B$2:$B$2604,'Form responses 1'!$E$2:$E$2604,""))</f>
        <v/>
      </c>
      <c r="H3963" s="44" t="str">
        <f t="array" ref="H3963">IF(B3963="","",_xlfn.XLOOKUP(B3963,'Form responses 1'!$B$2:$B$2604,'Form responses 1'!$F$2:$F$2604,""))</f>
        <v/>
      </c>
      <c r="I3963" s="44" t="str">
        <f t="array" ref="I3963">IF(B3963="","",_xlfn.XLOOKUP(B3963,'Form responses 1'!$B$2:$B$2604,'Form responses 1'!$I$2:$I$2604,""))</f>
        <v/>
      </c>
      <c r="J3963" s="44" t="str">
        <f t="array" ref="J3963">IF(B3963="","",_xlfn.XLOOKUP(B3963,'Form responses 1'!$B$2:$B$2604,'Form responses 1'!$G$2:$G$2604,""))</f>
        <v/>
      </c>
      <c r="K3963" s="56"/>
      <c r="L3963" s="58" t="str">
        <f t="shared" si="7"/>
        <v/>
      </c>
      <c r="M3963" s="49"/>
      <c r="N3963" s="49"/>
      <c r="O3963" s="49"/>
      <c r="P3963" s="49"/>
      <c r="Q3963" s="49"/>
      <c r="R3963" s="49"/>
      <c r="S3963" s="49"/>
      <c r="T3963" s="49"/>
      <c r="U3963" s="49"/>
      <c r="V3963" s="49"/>
      <c r="W3963" s="56"/>
      <c r="X3963" s="51" t="str">
        <f t="shared" si="5"/>
        <v/>
      </c>
      <c r="Y3963" s="50" t="s">
        <v>482</v>
      </c>
      <c r="Z3963" s="49">
        <f t="shared" si="6"/>
        <v>0</v>
      </c>
    </row>
    <row r="3964" ht="22.5" customHeight="1">
      <c r="B3964" s="57"/>
      <c r="C3964" s="43" t="str">
        <f t="array" ref="C3964">IF(B3964="","",_xlfn.XLOOKUP(B3964,'Form responses 1'!$B$2:$B$2604,'Form responses 1'!$A$2:$A$2604,""))</f>
        <v/>
      </c>
      <c r="D3964" s="44" t="str">
        <f t="shared" si="3"/>
        <v/>
      </c>
      <c r="E3964" s="44" t="str">
        <f t="array" ref="E3964">IF(B3964="","",_xlfn.XLOOKUP(B3964,'Form responses 1'!$B$2:$B$2604,'Form responses 1'!$C$2:$C$2604,""))</f>
        <v/>
      </c>
      <c r="F3964" s="44" t="str">
        <f t="array" ref="F3964">IF(B3964="","",_xlfn.XLOOKUP(B3964,'Form responses 1'!$B$2:$B$2604,'Form responses 1'!$D$2:$D$2604,""))</f>
        <v/>
      </c>
      <c r="G3964" s="44" t="str">
        <f t="array" ref="G3964">IF(B3964="","",_xlfn.XLOOKUP(B3964,'Form responses 1'!$B$2:$B$2604,'Form responses 1'!$E$2:$E$2604,""))</f>
        <v/>
      </c>
      <c r="H3964" s="44" t="str">
        <f t="array" ref="H3964">IF(B3964="","",_xlfn.XLOOKUP(B3964,'Form responses 1'!$B$2:$B$2604,'Form responses 1'!$F$2:$F$2604,""))</f>
        <v/>
      </c>
      <c r="I3964" s="44" t="str">
        <f t="array" ref="I3964">IF(B3964="","",_xlfn.XLOOKUP(B3964,'Form responses 1'!$B$2:$B$2604,'Form responses 1'!$I$2:$I$2604,""))</f>
        <v/>
      </c>
      <c r="J3964" s="44" t="str">
        <f t="array" ref="J3964">IF(B3964="","",_xlfn.XLOOKUP(B3964,'Form responses 1'!$B$2:$B$2604,'Form responses 1'!$G$2:$G$2604,""))</f>
        <v/>
      </c>
      <c r="K3964" s="56"/>
      <c r="L3964" s="58" t="str">
        <f t="shared" si="7"/>
        <v/>
      </c>
      <c r="M3964" s="49"/>
      <c r="N3964" s="49"/>
      <c r="O3964" s="49"/>
      <c r="P3964" s="49"/>
      <c r="Q3964" s="49"/>
      <c r="R3964" s="49"/>
      <c r="S3964" s="49"/>
      <c r="T3964" s="49"/>
      <c r="U3964" s="49"/>
      <c r="V3964" s="49"/>
      <c r="W3964" s="56"/>
      <c r="X3964" s="51" t="str">
        <f t="shared" si="5"/>
        <v/>
      </c>
      <c r="Y3964" s="50" t="s">
        <v>482</v>
      </c>
      <c r="Z3964" s="49">
        <f t="shared" si="6"/>
        <v>0</v>
      </c>
    </row>
    <row r="3965" ht="22.5" customHeight="1">
      <c r="B3965" s="57"/>
      <c r="C3965" s="43" t="str">
        <f t="array" ref="C3965">IF(B3965="","",_xlfn.XLOOKUP(B3965,'Form responses 1'!$B$2:$B$2604,'Form responses 1'!$A$2:$A$2604,""))</f>
        <v/>
      </c>
      <c r="D3965" s="44" t="str">
        <f t="shared" si="3"/>
        <v/>
      </c>
      <c r="E3965" s="44" t="str">
        <f t="array" ref="E3965">IF(B3965="","",_xlfn.XLOOKUP(B3965,'Form responses 1'!$B$2:$B$2604,'Form responses 1'!$C$2:$C$2604,""))</f>
        <v/>
      </c>
      <c r="F3965" s="44" t="str">
        <f t="array" ref="F3965">IF(B3965="","",_xlfn.XLOOKUP(B3965,'Form responses 1'!$B$2:$B$2604,'Form responses 1'!$D$2:$D$2604,""))</f>
        <v/>
      </c>
      <c r="G3965" s="44" t="str">
        <f t="array" ref="G3965">IF(B3965="","",_xlfn.XLOOKUP(B3965,'Form responses 1'!$B$2:$B$2604,'Form responses 1'!$E$2:$E$2604,""))</f>
        <v/>
      </c>
      <c r="H3965" s="44" t="str">
        <f t="array" ref="H3965">IF(B3965="","",_xlfn.XLOOKUP(B3965,'Form responses 1'!$B$2:$B$2604,'Form responses 1'!$F$2:$F$2604,""))</f>
        <v/>
      </c>
      <c r="I3965" s="44" t="str">
        <f t="array" ref="I3965">IF(B3965="","",_xlfn.XLOOKUP(B3965,'Form responses 1'!$B$2:$B$2604,'Form responses 1'!$I$2:$I$2604,""))</f>
        <v/>
      </c>
      <c r="J3965" s="44" t="str">
        <f t="array" ref="J3965">IF(B3965="","",_xlfn.XLOOKUP(B3965,'Form responses 1'!$B$2:$B$2604,'Form responses 1'!$G$2:$G$2604,""))</f>
        <v/>
      </c>
      <c r="K3965" s="56"/>
      <c r="L3965" s="58" t="str">
        <f t="shared" si="7"/>
        <v/>
      </c>
      <c r="M3965" s="49"/>
      <c r="N3965" s="49"/>
      <c r="O3965" s="49"/>
      <c r="P3965" s="49"/>
      <c r="Q3965" s="49"/>
      <c r="R3965" s="49"/>
      <c r="S3965" s="49"/>
      <c r="T3965" s="49"/>
      <c r="U3965" s="49"/>
      <c r="V3965" s="49"/>
      <c r="W3965" s="56"/>
      <c r="X3965" s="51" t="str">
        <f t="shared" si="5"/>
        <v/>
      </c>
      <c r="Y3965" s="50" t="s">
        <v>482</v>
      </c>
      <c r="Z3965" s="49">
        <f t="shared" si="6"/>
        <v>0</v>
      </c>
    </row>
    <row r="3966" ht="22.5" customHeight="1">
      <c r="B3966" s="57"/>
      <c r="C3966" s="43" t="str">
        <f t="array" ref="C3966">IF(B3966="","",_xlfn.XLOOKUP(B3966,'Form responses 1'!$B$2:$B$2604,'Form responses 1'!$A$2:$A$2604,""))</f>
        <v/>
      </c>
      <c r="D3966" s="44" t="str">
        <f t="shared" si="3"/>
        <v/>
      </c>
      <c r="E3966" s="44" t="str">
        <f t="array" ref="E3966">IF(B3966="","",_xlfn.XLOOKUP(B3966,'Form responses 1'!$B$2:$B$2604,'Form responses 1'!$C$2:$C$2604,""))</f>
        <v/>
      </c>
      <c r="F3966" s="44" t="str">
        <f t="array" ref="F3966">IF(B3966="","",_xlfn.XLOOKUP(B3966,'Form responses 1'!$B$2:$B$2604,'Form responses 1'!$D$2:$D$2604,""))</f>
        <v/>
      </c>
      <c r="G3966" s="44" t="str">
        <f t="array" ref="G3966">IF(B3966="","",_xlfn.XLOOKUP(B3966,'Form responses 1'!$B$2:$B$2604,'Form responses 1'!$E$2:$E$2604,""))</f>
        <v/>
      </c>
      <c r="H3966" s="44" t="str">
        <f t="array" ref="H3966">IF(B3966="","",_xlfn.XLOOKUP(B3966,'Form responses 1'!$B$2:$B$2604,'Form responses 1'!$F$2:$F$2604,""))</f>
        <v/>
      </c>
      <c r="I3966" s="44" t="str">
        <f t="array" ref="I3966">IF(B3966="","",_xlfn.XLOOKUP(B3966,'Form responses 1'!$B$2:$B$2604,'Form responses 1'!$I$2:$I$2604,""))</f>
        <v/>
      </c>
      <c r="J3966" s="44" t="str">
        <f t="array" ref="J3966">IF(B3966="","",_xlfn.XLOOKUP(B3966,'Form responses 1'!$B$2:$B$2604,'Form responses 1'!$G$2:$G$2604,""))</f>
        <v/>
      </c>
      <c r="K3966" s="56"/>
      <c r="L3966" s="58" t="str">
        <f t="shared" si="7"/>
        <v/>
      </c>
      <c r="M3966" s="49"/>
      <c r="N3966" s="49"/>
      <c r="O3966" s="49"/>
      <c r="P3966" s="49"/>
      <c r="Q3966" s="49"/>
      <c r="R3966" s="49"/>
      <c r="S3966" s="49"/>
      <c r="T3966" s="49"/>
      <c r="U3966" s="49"/>
      <c r="V3966" s="49"/>
      <c r="W3966" s="56"/>
      <c r="X3966" s="51" t="str">
        <f t="shared" si="5"/>
        <v/>
      </c>
      <c r="Y3966" s="50" t="s">
        <v>482</v>
      </c>
      <c r="Z3966" s="49">
        <f t="shared" si="6"/>
        <v>0</v>
      </c>
    </row>
    <row r="3967" ht="22.5" customHeight="1">
      <c r="B3967" s="57"/>
      <c r="C3967" s="43" t="str">
        <f t="array" ref="C3967">IF(B3967="","",_xlfn.XLOOKUP(B3967,'Form responses 1'!$B$2:$B$2604,'Form responses 1'!$A$2:$A$2604,""))</f>
        <v/>
      </c>
      <c r="D3967" s="44" t="str">
        <f t="shared" si="3"/>
        <v/>
      </c>
      <c r="E3967" s="44" t="str">
        <f t="array" ref="E3967">IF(B3967="","",_xlfn.XLOOKUP(B3967,'Form responses 1'!$B$2:$B$2604,'Form responses 1'!$C$2:$C$2604,""))</f>
        <v/>
      </c>
      <c r="F3967" s="44" t="str">
        <f t="array" ref="F3967">IF(B3967="","",_xlfn.XLOOKUP(B3967,'Form responses 1'!$B$2:$B$2604,'Form responses 1'!$D$2:$D$2604,""))</f>
        <v/>
      </c>
      <c r="G3967" s="44" t="str">
        <f t="array" ref="G3967">IF(B3967="","",_xlfn.XLOOKUP(B3967,'Form responses 1'!$B$2:$B$2604,'Form responses 1'!$E$2:$E$2604,""))</f>
        <v/>
      </c>
      <c r="H3967" s="44" t="str">
        <f t="array" ref="H3967">IF(B3967="","",_xlfn.XLOOKUP(B3967,'Form responses 1'!$B$2:$B$2604,'Form responses 1'!$F$2:$F$2604,""))</f>
        <v/>
      </c>
      <c r="I3967" s="44" t="str">
        <f t="array" ref="I3967">IF(B3967="","",_xlfn.XLOOKUP(B3967,'Form responses 1'!$B$2:$B$2604,'Form responses 1'!$I$2:$I$2604,""))</f>
        <v/>
      </c>
      <c r="J3967" s="44" t="str">
        <f t="array" ref="J3967">IF(B3967="","",_xlfn.XLOOKUP(B3967,'Form responses 1'!$B$2:$B$2604,'Form responses 1'!$G$2:$G$2604,""))</f>
        <v/>
      </c>
      <c r="K3967" s="56"/>
      <c r="L3967" s="58" t="str">
        <f t="shared" si="7"/>
        <v/>
      </c>
      <c r="M3967" s="49"/>
      <c r="N3967" s="49"/>
      <c r="O3967" s="49"/>
      <c r="P3967" s="49"/>
      <c r="Q3967" s="49"/>
      <c r="R3967" s="49"/>
      <c r="S3967" s="49"/>
      <c r="T3967" s="49"/>
      <c r="U3967" s="49"/>
      <c r="V3967" s="49"/>
      <c r="W3967" s="56"/>
      <c r="X3967" s="51" t="str">
        <f t="shared" si="5"/>
        <v/>
      </c>
      <c r="Y3967" s="50" t="s">
        <v>482</v>
      </c>
      <c r="Z3967" s="49">
        <f t="shared" si="6"/>
        <v>0</v>
      </c>
    </row>
    <row r="3968" ht="22.5" customHeight="1">
      <c r="B3968" s="57"/>
      <c r="C3968" s="43" t="str">
        <f t="array" ref="C3968">IF(B3968="","",_xlfn.XLOOKUP(B3968,'Form responses 1'!$B$2:$B$2604,'Form responses 1'!$A$2:$A$2604,""))</f>
        <v/>
      </c>
      <c r="D3968" s="44" t="str">
        <f t="shared" si="3"/>
        <v/>
      </c>
      <c r="E3968" s="44" t="str">
        <f t="array" ref="E3968">IF(B3968="","",_xlfn.XLOOKUP(B3968,'Form responses 1'!$B$2:$B$2604,'Form responses 1'!$C$2:$C$2604,""))</f>
        <v/>
      </c>
      <c r="F3968" s="44" t="str">
        <f t="array" ref="F3968">IF(B3968="","",_xlfn.XLOOKUP(B3968,'Form responses 1'!$B$2:$B$2604,'Form responses 1'!$D$2:$D$2604,""))</f>
        <v/>
      </c>
      <c r="G3968" s="44" t="str">
        <f t="array" ref="G3968">IF(B3968="","",_xlfn.XLOOKUP(B3968,'Form responses 1'!$B$2:$B$2604,'Form responses 1'!$E$2:$E$2604,""))</f>
        <v/>
      </c>
      <c r="H3968" s="44" t="str">
        <f t="array" ref="H3968">IF(B3968="","",_xlfn.XLOOKUP(B3968,'Form responses 1'!$B$2:$B$2604,'Form responses 1'!$F$2:$F$2604,""))</f>
        <v/>
      </c>
      <c r="I3968" s="44" t="str">
        <f t="array" ref="I3968">IF(B3968="","",_xlfn.XLOOKUP(B3968,'Form responses 1'!$B$2:$B$2604,'Form responses 1'!$I$2:$I$2604,""))</f>
        <v/>
      </c>
      <c r="J3968" s="44" t="str">
        <f t="array" ref="J3968">IF(B3968="","",_xlfn.XLOOKUP(B3968,'Form responses 1'!$B$2:$B$2604,'Form responses 1'!$G$2:$G$2604,""))</f>
        <v/>
      </c>
      <c r="K3968" s="56"/>
      <c r="L3968" s="58" t="str">
        <f t="shared" si="7"/>
        <v/>
      </c>
      <c r="M3968" s="49"/>
      <c r="N3968" s="49"/>
      <c r="O3968" s="49"/>
      <c r="P3968" s="49"/>
      <c r="Q3968" s="49"/>
      <c r="R3968" s="49"/>
      <c r="S3968" s="49"/>
      <c r="T3968" s="49"/>
      <c r="U3968" s="49"/>
      <c r="V3968" s="49"/>
      <c r="W3968" s="56"/>
      <c r="X3968" s="51" t="str">
        <f t="shared" si="5"/>
        <v/>
      </c>
      <c r="Y3968" s="50" t="s">
        <v>482</v>
      </c>
      <c r="Z3968" s="49">
        <f t="shared" si="6"/>
        <v>0</v>
      </c>
    </row>
    <row r="3969" ht="22.5" customHeight="1">
      <c r="B3969" s="57"/>
      <c r="C3969" s="43" t="str">
        <f t="array" ref="C3969">IF(B3969="","",_xlfn.XLOOKUP(B3969,'Form responses 1'!$B$2:$B$2604,'Form responses 1'!$A$2:$A$2604,""))</f>
        <v/>
      </c>
      <c r="D3969" s="44" t="str">
        <f t="shared" si="3"/>
        <v/>
      </c>
      <c r="E3969" s="44" t="str">
        <f t="array" ref="E3969">IF(B3969="","",_xlfn.XLOOKUP(B3969,'Form responses 1'!$B$2:$B$2604,'Form responses 1'!$C$2:$C$2604,""))</f>
        <v/>
      </c>
      <c r="F3969" s="44" t="str">
        <f t="array" ref="F3969">IF(B3969="","",_xlfn.XLOOKUP(B3969,'Form responses 1'!$B$2:$B$2604,'Form responses 1'!$D$2:$D$2604,""))</f>
        <v/>
      </c>
      <c r="G3969" s="44" t="str">
        <f t="array" ref="G3969">IF(B3969="","",_xlfn.XLOOKUP(B3969,'Form responses 1'!$B$2:$B$2604,'Form responses 1'!$E$2:$E$2604,""))</f>
        <v/>
      </c>
      <c r="H3969" s="44" t="str">
        <f t="array" ref="H3969">IF(B3969="","",_xlfn.XLOOKUP(B3969,'Form responses 1'!$B$2:$B$2604,'Form responses 1'!$F$2:$F$2604,""))</f>
        <v/>
      </c>
      <c r="I3969" s="44" t="str">
        <f t="array" ref="I3969">IF(B3969="","",_xlfn.XLOOKUP(B3969,'Form responses 1'!$B$2:$B$2604,'Form responses 1'!$I$2:$I$2604,""))</f>
        <v/>
      </c>
      <c r="J3969" s="44" t="str">
        <f t="array" ref="J3969">IF(B3969="","",_xlfn.XLOOKUP(B3969,'Form responses 1'!$B$2:$B$2604,'Form responses 1'!$G$2:$G$2604,""))</f>
        <v/>
      </c>
      <c r="K3969" s="56"/>
      <c r="L3969" s="58" t="str">
        <f t="shared" si="7"/>
        <v/>
      </c>
      <c r="M3969" s="49"/>
      <c r="N3969" s="49"/>
      <c r="O3969" s="49"/>
      <c r="P3969" s="49"/>
      <c r="Q3969" s="49"/>
      <c r="R3969" s="49"/>
      <c r="S3969" s="49"/>
      <c r="T3969" s="49"/>
      <c r="U3969" s="49"/>
      <c r="V3969" s="49"/>
      <c r="W3969" s="56"/>
      <c r="X3969" s="51" t="str">
        <f t="shared" si="5"/>
        <v/>
      </c>
      <c r="Y3969" s="50" t="s">
        <v>482</v>
      </c>
      <c r="Z3969" s="49">
        <f t="shared" si="6"/>
        <v>0</v>
      </c>
    </row>
    <row r="3970" ht="22.5" customHeight="1">
      <c r="B3970" s="57"/>
      <c r="C3970" s="43" t="str">
        <f t="array" ref="C3970">IF(B3970="","",_xlfn.XLOOKUP(B3970,'Form responses 1'!$B$2:$B$2604,'Form responses 1'!$A$2:$A$2604,""))</f>
        <v/>
      </c>
      <c r="D3970" s="44" t="str">
        <f t="shared" si="3"/>
        <v/>
      </c>
      <c r="E3970" s="44" t="str">
        <f t="array" ref="E3970">IF(B3970="","",_xlfn.XLOOKUP(B3970,'Form responses 1'!$B$2:$B$2604,'Form responses 1'!$C$2:$C$2604,""))</f>
        <v/>
      </c>
      <c r="F3970" s="44" t="str">
        <f t="array" ref="F3970">IF(B3970="","",_xlfn.XLOOKUP(B3970,'Form responses 1'!$B$2:$B$2604,'Form responses 1'!$D$2:$D$2604,""))</f>
        <v/>
      </c>
      <c r="G3970" s="44" t="str">
        <f t="array" ref="G3970">IF(B3970="","",_xlfn.XLOOKUP(B3970,'Form responses 1'!$B$2:$B$2604,'Form responses 1'!$E$2:$E$2604,""))</f>
        <v/>
      </c>
      <c r="H3970" s="44" t="str">
        <f t="array" ref="H3970">IF(B3970="","",_xlfn.XLOOKUP(B3970,'Form responses 1'!$B$2:$B$2604,'Form responses 1'!$F$2:$F$2604,""))</f>
        <v/>
      </c>
      <c r="I3970" s="44" t="str">
        <f t="array" ref="I3970">IF(B3970="","",_xlfn.XLOOKUP(B3970,'Form responses 1'!$B$2:$B$2604,'Form responses 1'!$I$2:$I$2604,""))</f>
        <v/>
      </c>
      <c r="J3970" s="44" t="str">
        <f t="array" ref="J3970">IF(B3970="","",_xlfn.XLOOKUP(B3970,'Form responses 1'!$B$2:$B$2604,'Form responses 1'!$G$2:$G$2604,""))</f>
        <v/>
      </c>
      <c r="K3970" s="56"/>
      <c r="L3970" s="58" t="str">
        <f t="shared" si="7"/>
        <v/>
      </c>
      <c r="M3970" s="49"/>
      <c r="N3970" s="49"/>
      <c r="O3970" s="49"/>
      <c r="P3970" s="49"/>
      <c r="Q3970" s="49"/>
      <c r="R3970" s="49"/>
      <c r="S3970" s="49"/>
      <c r="T3970" s="49"/>
      <c r="U3970" s="49"/>
      <c r="V3970" s="49"/>
      <c r="W3970" s="56"/>
      <c r="X3970" s="51" t="str">
        <f t="shared" si="5"/>
        <v/>
      </c>
      <c r="Y3970" s="50" t="s">
        <v>482</v>
      </c>
      <c r="Z3970" s="49">
        <f t="shared" si="6"/>
        <v>0</v>
      </c>
    </row>
    <row r="3971" ht="22.5" customHeight="1">
      <c r="B3971" s="57"/>
      <c r="C3971" s="43" t="str">
        <f t="array" ref="C3971">IF(B3971="","",_xlfn.XLOOKUP(B3971,'Form responses 1'!$B$2:$B$2604,'Form responses 1'!$A$2:$A$2604,""))</f>
        <v/>
      </c>
      <c r="D3971" s="44" t="str">
        <f t="shared" si="3"/>
        <v/>
      </c>
      <c r="E3971" s="44" t="str">
        <f t="array" ref="E3971">IF(B3971="","",_xlfn.XLOOKUP(B3971,'Form responses 1'!$B$2:$B$2604,'Form responses 1'!$C$2:$C$2604,""))</f>
        <v/>
      </c>
      <c r="F3971" s="44" t="str">
        <f t="array" ref="F3971">IF(B3971="","",_xlfn.XLOOKUP(B3971,'Form responses 1'!$B$2:$B$2604,'Form responses 1'!$D$2:$D$2604,""))</f>
        <v/>
      </c>
      <c r="G3971" s="44" t="str">
        <f t="array" ref="G3971">IF(B3971="","",_xlfn.XLOOKUP(B3971,'Form responses 1'!$B$2:$B$2604,'Form responses 1'!$E$2:$E$2604,""))</f>
        <v/>
      </c>
      <c r="H3971" s="44" t="str">
        <f t="array" ref="H3971">IF(B3971="","",_xlfn.XLOOKUP(B3971,'Form responses 1'!$B$2:$B$2604,'Form responses 1'!$F$2:$F$2604,""))</f>
        <v/>
      </c>
      <c r="I3971" s="44" t="str">
        <f t="array" ref="I3971">IF(B3971="","",_xlfn.XLOOKUP(B3971,'Form responses 1'!$B$2:$B$2604,'Form responses 1'!$I$2:$I$2604,""))</f>
        <v/>
      </c>
      <c r="J3971" s="44" t="str">
        <f t="array" ref="J3971">IF(B3971="","",_xlfn.XLOOKUP(B3971,'Form responses 1'!$B$2:$B$2604,'Form responses 1'!$G$2:$G$2604,""))</f>
        <v/>
      </c>
      <c r="K3971" s="56"/>
      <c r="L3971" s="58" t="str">
        <f t="shared" si="7"/>
        <v/>
      </c>
      <c r="M3971" s="49"/>
      <c r="N3971" s="49"/>
      <c r="O3971" s="49"/>
      <c r="P3971" s="49"/>
      <c r="Q3971" s="49"/>
      <c r="R3971" s="49"/>
      <c r="S3971" s="49"/>
      <c r="T3971" s="49"/>
      <c r="U3971" s="49"/>
      <c r="V3971" s="49"/>
      <c r="W3971" s="56"/>
      <c r="X3971" s="51" t="str">
        <f t="shared" si="5"/>
        <v/>
      </c>
      <c r="Y3971" s="50" t="s">
        <v>482</v>
      </c>
      <c r="Z3971" s="49">
        <f t="shared" si="6"/>
        <v>0</v>
      </c>
    </row>
    <row r="3972" ht="22.5" customHeight="1">
      <c r="B3972" s="57"/>
      <c r="C3972" s="43" t="str">
        <f t="array" ref="C3972">IF(B3972="","",_xlfn.XLOOKUP(B3972,'Form responses 1'!$B$2:$B$2604,'Form responses 1'!$A$2:$A$2604,""))</f>
        <v/>
      </c>
      <c r="D3972" s="44" t="str">
        <f t="shared" si="3"/>
        <v/>
      </c>
      <c r="E3972" s="44" t="str">
        <f t="array" ref="E3972">IF(B3972="","",_xlfn.XLOOKUP(B3972,'Form responses 1'!$B$2:$B$2604,'Form responses 1'!$C$2:$C$2604,""))</f>
        <v/>
      </c>
      <c r="F3972" s="44" t="str">
        <f t="array" ref="F3972">IF(B3972="","",_xlfn.XLOOKUP(B3972,'Form responses 1'!$B$2:$B$2604,'Form responses 1'!$D$2:$D$2604,""))</f>
        <v/>
      </c>
      <c r="G3972" s="44" t="str">
        <f t="array" ref="G3972">IF(B3972="","",_xlfn.XLOOKUP(B3972,'Form responses 1'!$B$2:$B$2604,'Form responses 1'!$E$2:$E$2604,""))</f>
        <v/>
      </c>
      <c r="H3972" s="44" t="str">
        <f t="array" ref="H3972">IF(B3972="","",_xlfn.XLOOKUP(B3972,'Form responses 1'!$B$2:$B$2604,'Form responses 1'!$F$2:$F$2604,""))</f>
        <v/>
      </c>
      <c r="I3972" s="44" t="str">
        <f t="array" ref="I3972">IF(B3972="","",_xlfn.XLOOKUP(B3972,'Form responses 1'!$B$2:$B$2604,'Form responses 1'!$I$2:$I$2604,""))</f>
        <v/>
      </c>
      <c r="J3972" s="44" t="str">
        <f t="array" ref="J3972">IF(B3972="","",_xlfn.XLOOKUP(B3972,'Form responses 1'!$B$2:$B$2604,'Form responses 1'!$G$2:$G$2604,""))</f>
        <v/>
      </c>
      <c r="K3972" s="56"/>
      <c r="L3972" s="58" t="str">
        <f t="shared" si="7"/>
        <v/>
      </c>
      <c r="M3972" s="49"/>
      <c r="N3972" s="49"/>
      <c r="O3972" s="49"/>
      <c r="P3972" s="49"/>
      <c r="Q3972" s="49"/>
      <c r="R3972" s="49"/>
      <c r="S3972" s="49"/>
      <c r="T3972" s="49"/>
      <c r="U3972" s="49"/>
      <c r="V3972" s="49"/>
      <c r="W3972" s="56"/>
      <c r="X3972" s="51" t="str">
        <f t="shared" si="5"/>
        <v/>
      </c>
      <c r="Y3972" s="50" t="s">
        <v>482</v>
      </c>
      <c r="Z3972" s="49">
        <f t="shared" si="6"/>
        <v>0</v>
      </c>
    </row>
    <row r="3973" ht="22.5" customHeight="1">
      <c r="B3973" s="57"/>
      <c r="C3973" s="43" t="str">
        <f t="array" ref="C3973">IF(B3973="","",_xlfn.XLOOKUP(B3973,'Form responses 1'!$B$2:$B$2604,'Form responses 1'!$A$2:$A$2604,""))</f>
        <v/>
      </c>
      <c r="D3973" s="44" t="str">
        <f t="shared" si="3"/>
        <v/>
      </c>
      <c r="E3973" s="44" t="str">
        <f t="array" ref="E3973">IF(B3973="","",_xlfn.XLOOKUP(B3973,'Form responses 1'!$B$2:$B$2604,'Form responses 1'!$C$2:$C$2604,""))</f>
        <v/>
      </c>
      <c r="F3973" s="44" t="str">
        <f t="array" ref="F3973">IF(B3973="","",_xlfn.XLOOKUP(B3973,'Form responses 1'!$B$2:$B$2604,'Form responses 1'!$D$2:$D$2604,""))</f>
        <v/>
      </c>
      <c r="G3973" s="44" t="str">
        <f t="array" ref="G3973">IF(B3973="","",_xlfn.XLOOKUP(B3973,'Form responses 1'!$B$2:$B$2604,'Form responses 1'!$E$2:$E$2604,""))</f>
        <v/>
      </c>
      <c r="H3973" s="44" t="str">
        <f t="array" ref="H3973">IF(B3973="","",_xlfn.XLOOKUP(B3973,'Form responses 1'!$B$2:$B$2604,'Form responses 1'!$F$2:$F$2604,""))</f>
        <v/>
      </c>
      <c r="I3973" s="44" t="str">
        <f t="array" ref="I3973">IF(B3973="","",_xlfn.XLOOKUP(B3973,'Form responses 1'!$B$2:$B$2604,'Form responses 1'!$I$2:$I$2604,""))</f>
        <v/>
      </c>
      <c r="J3973" s="44" t="str">
        <f t="array" ref="J3973">IF(B3973="","",_xlfn.XLOOKUP(B3973,'Form responses 1'!$B$2:$B$2604,'Form responses 1'!$G$2:$G$2604,""))</f>
        <v/>
      </c>
      <c r="K3973" s="56"/>
      <c r="L3973" s="58" t="str">
        <f t="shared" si="7"/>
        <v/>
      </c>
      <c r="M3973" s="49"/>
      <c r="N3973" s="49"/>
      <c r="O3973" s="49"/>
      <c r="P3973" s="49"/>
      <c r="Q3973" s="49"/>
      <c r="R3973" s="49"/>
      <c r="S3973" s="49"/>
      <c r="T3973" s="49"/>
      <c r="U3973" s="49"/>
      <c r="V3973" s="49"/>
      <c r="W3973" s="56"/>
      <c r="X3973" s="51" t="str">
        <f t="shared" si="5"/>
        <v/>
      </c>
      <c r="Y3973" s="50" t="s">
        <v>482</v>
      </c>
      <c r="Z3973" s="49">
        <f t="shared" si="6"/>
        <v>0</v>
      </c>
    </row>
    <row r="3974" ht="22.5" customHeight="1">
      <c r="B3974" s="57"/>
      <c r="C3974" s="43" t="str">
        <f t="array" ref="C3974">IF(B3974="","",_xlfn.XLOOKUP(B3974,'Form responses 1'!$B$2:$B$2604,'Form responses 1'!$A$2:$A$2604,""))</f>
        <v/>
      </c>
      <c r="D3974" s="44" t="str">
        <f t="shared" si="3"/>
        <v/>
      </c>
      <c r="E3974" s="44" t="str">
        <f t="array" ref="E3974">IF(B3974="","",_xlfn.XLOOKUP(B3974,'Form responses 1'!$B$2:$B$2604,'Form responses 1'!$C$2:$C$2604,""))</f>
        <v/>
      </c>
      <c r="F3974" s="44" t="str">
        <f t="array" ref="F3974">IF(B3974="","",_xlfn.XLOOKUP(B3974,'Form responses 1'!$B$2:$B$2604,'Form responses 1'!$D$2:$D$2604,""))</f>
        <v/>
      </c>
      <c r="G3974" s="44" t="str">
        <f t="array" ref="G3974">IF(B3974="","",_xlfn.XLOOKUP(B3974,'Form responses 1'!$B$2:$B$2604,'Form responses 1'!$E$2:$E$2604,""))</f>
        <v/>
      </c>
      <c r="H3974" s="44" t="str">
        <f t="array" ref="H3974">IF(B3974="","",_xlfn.XLOOKUP(B3974,'Form responses 1'!$B$2:$B$2604,'Form responses 1'!$F$2:$F$2604,""))</f>
        <v/>
      </c>
      <c r="I3974" s="44" t="str">
        <f t="array" ref="I3974">IF(B3974="","",_xlfn.XLOOKUP(B3974,'Form responses 1'!$B$2:$B$2604,'Form responses 1'!$I$2:$I$2604,""))</f>
        <v/>
      </c>
      <c r="J3974" s="44" t="str">
        <f t="array" ref="J3974">IF(B3974="","",_xlfn.XLOOKUP(B3974,'Form responses 1'!$B$2:$B$2604,'Form responses 1'!$G$2:$G$2604,""))</f>
        <v/>
      </c>
      <c r="K3974" s="56"/>
      <c r="L3974" s="58" t="str">
        <f t="shared" si="7"/>
        <v/>
      </c>
      <c r="M3974" s="49"/>
      <c r="N3974" s="49"/>
      <c r="O3974" s="49"/>
      <c r="P3974" s="49"/>
      <c r="Q3974" s="49"/>
      <c r="R3974" s="49"/>
      <c r="S3974" s="49"/>
      <c r="T3974" s="49"/>
      <c r="U3974" s="49"/>
      <c r="V3974" s="49"/>
      <c r="W3974" s="56"/>
      <c r="X3974" s="51" t="str">
        <f t="shared" si="5"/>
        <v/>
      </c>
      <c r="Y3974" s="50" t="s">
        <v>482</v>
      </c>
      <c r="Z3974" s="49">
        <f t="shared" si="6"/>
        <v>0</v>
      </c>
    </row>
    <row r="3975" ht="22.5" customHeight="1">
      <c r="B3975" s="57"/>
      <c r="C3975" s="43" t="str">
        <f t="array" ref="C3975">IF(B3975="","",_xlfn.XLOOKUP(B3975,'Form responses 1'!$B$2:$B$2604,'Form responses 1'!$A$2:$A$2604,""))</f>
        <v/>
      </c>
      <c r="D3975" s="44" t="str">
        <f t="shared" si="3"/>
        <v/>
      </c>
      <c r="E3975" s="44" t="str">
        <f t="array" ref="E3975">IF(B3975="","",_xlfn.XLOOKUP(B3975,'Form responses 1'!$B$2:$B$2604,'Form responses 1'!$C$2:$C$2604,""))</f>
        <v/>
      </c>
      <c r="F3975" s="44" t="str">
        <f t="array" ref="F3975">IF(B3975="","",_xlfn.XLOOKUP(B3975,'Form responses 1'!$B$2:$B$2604,'Form responses 1'!$D$2:$D$2604,""))</f>
        <v/>
      </c>
      <c r="G3975" s="44" t="str">
        <f t="array" ref="G3975">IF(B3975="","",_xlfn.XLOOKUP(B3975,'Form responses 1'!$B$2:$B$2604,'Form responses 1'!$E$2:$E$2604,""))</f>
        <v/>
      </c>
      <c r="H3975" s="44" t="str">
        <f t="array" ref="H3975">IF(B3975="","",_xlfn.XLOOKUP(B3975,'Form responses 1'!$B$2:$B$2604,'Form responses 1'!$F$2:$F$2604,""))</f>
        <v/>
      </c>
      <c r="I3975" s="44" t="str">
        <f t="array" ref="I3975">IF(B3975="","",_xlfn.XLOOKUP(B3975,'Form responses 1'!$B$2:$B$2604,'Form responses 1'!$I$2:$I$2604,""))</f>
        <v/>
      </c>
      <c r="J3975" s="44" t="str">
        <f t="array" ref="J3975">IF(B3975="","",_xlfn.XLOOKUP(B3975,'Form responses 1'!$B$2:$B$2604,'Form responses 1'!$G$2:$G$2604,""))</f>
        <v/>
      </c>
      <c r="K3975" s="56"/>
      <c r="L3975" s="58" t="str">
        <f t="shared" si="7"/>
        <v/>
      </c>
      <c r="M3975" s="49"/>
      <c r="N3975" s="49"/>
      <c r="O3975" s="49"/>
      <c r="P3975" s="49"/>
      <c r="Q3975" s="49"/>
      <c r="R3975" s="49"/>
      <c r="S3975" s="49"/>
      <c r="T3975" s="49"/>
      <c r="U3975" s="49"/>
      <c r="V3975" s="49"/>
      <c r="W3975" s="56"/>
      <c r="X3975" s="51" t="str">
        <f t="shared" si="5"/>
        <v/>
      </c>
      <c r="Y3975" s="50" t="s">
        <v>482</v>
      </c>
      <c r="Z3975" s="49">
        <f t="shared" si="6"/>
        <v>0</v>
      </c>
    </row>
    <row r="3976" ht="22.5" customHeight="1">
      <c r="B3976" s="57"/>
      <c r="C3976" s="43" t="str">
        <f t="array" ref="C3976">IF(B3976="","",_xlfn.XLOOKUP(B3976,'Form responses 1'!$B$2:$B$2604,'Form responses 1'!$A$2:$A$2604,""))</f>
        <v/>
      </c>
      <c r="D3976" s="44" t="str">
        <f t="shared" si="3"/>
        <v/>
      </c>
      <c r="E3976" s="44" t="str">
        <f t="array" ref="E3976">IF(B3976="","",_xlfn.XLOOKUP(B3976,'Form responses 1'!$B$2:$B$2604,'Form responses 1'!$C$2:$C$2604,""))</f>
        <v/>
      </c>
      <c r="F3976" s="44" t="str">
        <f t="array" ref="F3976">IF(B3976="","",_xlfn.XLOOKUP(B3976,'Form responses 1'!$B$2:$B$2604,'Form responses 1'!$D$2:$D$2604,""))</f>
        <v/>
      </c>
      <c r="G3976" s="44" t="str">
        <f t="array" ref="G3976">IF(B3976="","",_xlfn.XLOOKUP(B3976,'Form responses 1'!$B$2:$B$2604,'Form responses 1'!$E$2:$E$2604,""))</f>
        <v/>
      </c>
      <c r="H3976" s="44" t="str">
        <f t="array" ref="H3976">IF(B3976="","",_xlfn.XLOOKUP(B3976,'Form responses 1'!$B$2:$B$2604,'Form responses 1'!$F$2:$F$2604,""))</f>
        <v/>
      </c>
      <c r="I3976" s="44" t="str">
        <f t="array" ref="I3976">IF(B3976="","",_xlfn.XLOOKUP(B3976,'Form responses 1'!$B$2:$B$2604,'Form responses 1'!$I$2:$I$2604,""))</f>
        <v/>
      </c>
      <c r="J3976" s="44" t="str">
        <f t="array" ref="J3976">IF(B3976="","",_xlfn.XLOOKUP(B3976,'Form responses 1'!$B$2:$B$2604,'Form responses 1'!$G$2:$G$2604,""))</f>
        <v/>
      </c>
      <c r="K3976" s="56"/>
      <c r="L3976" s="58" t="str">
        <f t="shared" si="7"/>
        <v/>
      </c>
      <c r="M3976" s="49"/>
      <c r="N3976" s="49"/>
      <c r="O3976" s="49"/>
      <c r="P3976" s="49"/>
      <c r="Q3976" s="49"/>
      <c r="R3976" s="49"/>
      <c r="S3976" s="49"/>
      <c r="T3976" s="49"/>
      <c r="U3976" s="49"/>
      <c r="V3976" s="49"/>
      <c r="W3976" s="56"/>
      <c r="X3976" s="51" t="str">
        <f t="shared" si="5"/>
        <v/>
      </c>
      <c r="Y3976" s="50" t="s">
        <v>482</v>
      </c>
      <c r="Z3976" s="49">
        <f t="shared" si="6"/>
        <v>0</v>
      </c>
    </row>
    <row r="3977" ht="22.5" customHeight="1">
      <c r="B3977" s="57"/>
      <c r="C3977" s="43" t="str">
        <f t="array" ref="C3977">IF(B3977="","",_xlfn.XLOOKUP(B3977,'Form responses 1'!$B$2:$B$2604,'Form responses 1'!$A$2:$A$2604,""))</f>
        <v/>
      </c>
      <c r="D3977" s="44" t="str">
        <f t="shared" si="3"/>
        <v/>
      </c>
      <c r="E3977" s="44" t="str">
        <f t="array" ref="E3977">IF(B3977="","",_xlfn.XLOOKUP(B3977,'Form responses 1'!$B$2:$B$2604,'Form responses 1'!$C$2:$C$2604,""))</f>
        <v/>
      </c>
      <c r="F3977" s="44" t="str">
        <f t="array" ref="F3977">IF(B3977="","",_xlfn.XLOOKUP(B3977,'Form responses 1'!$B$2:$B$2604,'Form responses 1'!$D$2:$D$2604,""))</f>
        <v/>
      </c>
      <c r="G3977" s="44" t="str">
        <f t="array" ref="G3977">IF(B3977="","",_xlfn.XLOOKUP(B3977,'Form responses 1'!$B$2:$B$2604,'Form responses 1'!$E$2:$E$2604,""))</f>
        <v/>
      </c>
      <c r="H3977" s="44" t="str">
        <f t="array" ref="H3977">IF(B3977="","",_xlfn.XLOOKUP(B3977,'Form responses 1'!$B$2:$B$2604,'Form responses 1'!$F$2:$F$2604,""))</f>
        <v/>
      </c>
      <c r="I3977" s="44" t="str">
        <f t="array" ref="I3977">IF(B3977="","",_xlfn.XLOOKUP(B3977,'Form responses 1'!$B$2:$B$2604,'Form responses 1'!$I$2:$I$2604,""))</f>
        <v/>
      </c>
      <c r="J3977" s="44" t="str">
        <f t="array" ref="J3977">IF(B3977="","",_xlfn.XLOOKUP(B3977,'Form responses 1'!$B$2:$B$2604,'Form responses 1'!$G$2:$G$2604,""))</f>
        <v/>
      </c>
      <c r="K3977" s="56"/>
      <c r="L3977" s="58" t="str">
        <f t="shared" si="7"/>
        <v/>
      </c>
      <c r="M3977" s="49"/>
      <c r="N3977" s="49"/>
      <c r="O3977" s="49"/>
      <c r="P3977" s="49"/>
      <c r="Q3977" s="49"/>
      <c r="R3977" s="49"/>
      <c r="S3977" s="49"/>
      <c r="T3977" s="49"/>
      <c r="U3977" s="49"/>
      <c r="V3977" s="49"/>
      <c r="W3977" s="56"/>
      <c r="X3977" s="51" t="str">
        <f t="shared" si="5"/>
        <v/>
      </c>
      <c r="Y3977" s="50" t="s">
        <v>482</v>
      </c>
      <c r="Z3977" s="49">
        <f t="shared" si="6"/>
        <v>0</v>
      </c>
    </row>
    <row r="3978" ht="22.5" customHeight="1">
      <c r="B3978" s="57"/>
      <c r="C3978" s="43" t="str">
        <f t="array" ref="C3978">IF(B3978="","",_xlfn.XLOOKUP(B3978,'Form responses 1'!$B$2:$B$2604,'Form responses 1'!$A$2:$A$2604,""))</f>
        <v/>
      </c>
      <c r="D3978" s="44" t="str">
        <f t="shared" si="3"/>
        <v/>
      </c>
      <c r="E3978" s="44" t="str">
        <f t="array" ref="E3978">IF(B3978="","",_xlfn.XLOOKUP(B3978,'Form responses 1'!$B$2:$B$2604,'Form responses 1'!$C$2:$C$2604,""))</f>
        <v/>
      </c>
      <c r="F3978" s="44" t="str">
        <f t="array" ref="F3978">IF(B3978="","",_xlfn.XLOOKUP(B3978,'Form responses 1'!$B$2:$B$2604,'Form responses 1'!$D$2:$D$2604,""))</f>
        <v/>
      </c>
      <c r="G3978" s="44" t="str">
        <f t="array" ref="G3978">IF(B3978="","",_xlfn.XLOOKUP(B3978,'Form responses 1'!$B$2:$B$2604,'Form responses 1'!$E$2:$E$2604,""))</f>
        <v/>
      </c>
      <c r="H3978" s="44" t="str">
        <f t="array" ref="H3978">IF(B3978="","",_xlfn.XLOOKUP(B3978,'Form responses 1'!$B$2:$B$2604,'Form responses 1'!$F$2:$F$2604,""))</f>
        <v/>
      </c>
      <c r="I3978" s="44" t="str">
        <f t="array" ref="I3978">IF(B3978="","",_xlfn.XLOOKUP(B3978,'Form responses 1'!$B$2:$B$2604,'Form responses 1'!$I$2:$I$2604,""))</f>
        <v/>
      </c>
      <c r="J3978" s="44" t="str">
        <f t="array" ref="J3978">IF(B3978="","",_xlfn.XLOOKUP(B3978,'Form responses 1'!$B$2:$B$2604,'Form responses 1'!$G$2:$G$2604,""))</f>
        <v/>
      </c>
      <c r="K3978" s="56"/>
      <c r="L3978" s="58" t="str">
        <f t="shared" si="7"/>
        <v/>
      </c>
      <c r="M3978" s="49"/>
      <c r="N3978" s="49"/>
      <c r="O3978" s="49"/>
      <c r="P3978" s="49"/>
      <c r="Q3978" s="49"/>
      <c r="R3978" s="49"/>
      <c r="S3978" s="49"/>
      <c r="T3978" s="49"/>
      <c r="U3978" s="49"/>
      <c r="V3978" s="49"/>
      <c r="W3978" s="56"/>
      <c r="X3978" s="51" t="str">
        <f t="shared" si="5"/>
        <v/>
      </c>
      <c r="Y3978" s="50" t="s">
        <v>482</v>
      </c>
      <c r="Z3978" s="49">
        <f t="shared" si="6"/>
        <v>0</v>
      </c>
    </row>
    <row r="3979" ht="22.5" customHeight="1">
      <c r="B3979" s="57"/>
      <c r="C3979" s="43" t="str">
        <f t="array" ref="C3979">IF(B3979="","",_xlfn.XLOOKUP(B3979,'Form responses 1'!$B$2:$B$2604,'Form responses 1'!$A$2:$A$2604,""))</f>
        <v/>
      </c>
      <c r="D3979" s="44" t="str">
        <f t="shared" si="3"/>
        <v/>
      </c>
      <c r="E3979" s="44" t="str">
        <f t="array" ref="E3979">IF(B3979="","",_xlfn.XLOOKUP(B3979,'Form responses 1'!$B$2:$B$2604,'Form responses 1'!$C$2:$C$2604,""))</f>
        <v/>
      </c>
      <c r="F3979" s="44" t="str">
        <f t="array" ref="F3979">IF(B3979="","",_xlfn.XLOOKUP(B3979,'Form responses 1'!$B$2:$B$2604,'Form responses 1'!$D$2:$D$2604,""))</f>
        <v/>
      </c>
      <c r="G3979" s="44" t="str">
        <f t="array" ref="G3979">IF(B3979="","",_xlfn.XLOOKUP(B3979,'Form responses 1'!$B$2:$B$2604,'Form responses 1'!$E$2:$E$2604,""))</f>
        <v/>
      </c>
      <c r="H3979" s="44" t="str">
        <f t="array" ref="H3979">IF(B3979="","",_xlfn.XLOOKUP(B3979,'Form responses 1'!$B$2:$B$2604,'Form responses 1'!$F$2:$F$2604,""))</f>
        <v/>
      </c>
      <c r="I3979" s="44" t="str">
        <f t="array" ref="I3979">IF(B3979="","",_xlfn.XLOOKUP(B3979,'Form responses 1'!$B$2:$B$2604,'Form responses 1'!$I$2:$I$2604,""))</f>
        <v/>
      </c>
      <c r="J3979" s="44" t="str">
        <f t="array" ref="J3979">IF(B3979="","",_xlfn.XLOOKUP(B3979,'Form responses 1'!$B$2:$B$2604,'Form responses 1'!$G$2:$G$2604,""))</f>
        <v/>
      </c>
      <c r="K3979" s="56"/>
      <c r="L3979" s="58" t="str">
        <f t="shared" si="7"/>
        <v/>
      </c>
      <c r="M3979" s="49"/>
      <c r="N3979" s="49"/>
      <c r="O3979" s="49"/>
      <c r="P3979" s="49"/>
      <c r="Q3979" s="49"/>
      <c r="R3979" s="49"/>
      <c r="S3979" s="49"/>
      <c r="T3979" s="49"/>
      <c r="U3979" s="49"/>
      <c r="V3979" s="49"/>
      <c r="W3979" s="56"/>
      <c r="X3979" s="51" t="str">
        <f t="shared" si="5"/>
        <v/>
      </c>
      <c r="Y3979" s="50" t="s">
        <v>482</v>
      </c>
      <c r="Z3979" s="49">
        <f t="shared" si="6"/>
        <v>0</v>
      </c>
    </row>
    <row r="3980" ht="22.5" customHeight="1">
      <c r="B3980" s="57"/>
      <c r="C3980" s="43" t="str">
        <f t="array" ref="C3980">IF(B3980="","",_xlfn.XLOOKUP(B3980,'Form responses 1'!$B$2:$B$2604,'Form responses 1'!$A$2:$A$2604,""))</f>
        <v/>
      </c>
      <c r="D3980" s="44" t="str">
        <f t="shared" si="3"/>
        <v/>
      </c>
      <c r="E3980" s="44" t="str">
        <f t="array" ref="E3980">IF(B3980="","",_xlfn.XLOOKUP(B3980,'Form responses 1'!$B$2:$B$2604,'Form responses 1'!$C$2:$C$2604,""))</f>
        <v/>
      </c>
      <c r="F3980" s="44" t="str">
        <f t="array" ref="F3980">IF(B3980="","",_xlfn.XLOOKUP(B3980,'Form responses 1'!$B$2:$B$2604,'Form responses 1'!$D$2:$D$2604,""))</f>
        <v/>
      </c>
      <c r="G3980" s="44" t="str">
        <f t="array" ref="G3980">IF(B3980="","",_xlfn.XLOOKUP(B3980,'Form responses 1'!$B$2:$B$2604,'Form responses 1'!$E$2:$E$2604,""))</f>
        <v/>
      </c>
      <c r="H3980" s="44" t="str">
        <f t="array" ref="H3980">IF(B3980="","",_xlfn.XLOOKUP(B3980,'Form responses 1'!$B$2:$B$2604,'Form responses 1'!$F$2:$F$2604,""))</f>
        <v/>
      </c>
      <c r="I3980" s="44" t="str">
        <f t="array" ref="I3980">IF(B3980="","",_xlfn.XLOOKUP(B3980,'Form responses 1'!$B$2:$B$2604,'Form responses 1'!$I$2:$I$2604,""))</f>
        <v/>
      </c>
      <c r="J3980" s="44" t="str">
        <f t="array" ref="J3980">IF(B3980="","",_xlfn.XLOOKUP(B3980,'Form responses 1'!$B$2:$B$2604,'Form responses 1'!$G$2:$G$2604,""))</f>
        <v/>
      </c>
      <c r="K3980" s="56"/>
      <c r="L3980" s="58" t="str">
        <f t="shared" si="7"/>
        <v/>
      </c>
      <c r="M3980" s="49"/>
      <c r="N3980" s="49"/>
      <c r="O3980" s="49"/>
      <c r="P3980" s="49"/>
      <c r="Q3980" s="49"/>
      <c r="R3980" s="49"/>
      <c r="S3980" s="49"/>
      <c r="T3980" s="49"/>
      <c r="U3980" s="49"/>
      <c r="V3980" s="49"/>
      <c r="W3980" s="56"/>
      <c r="X3980" s="51" t="str">
        <f t="shared" si="5"/>
        <v/>
      </c>
      <c r="Y3980" s="50" t="s">
        <v>482</v>
      </c>
      <c r="Z3980" s="49">
        <f t="shared" si="6"/>
        <v>0</v>
      </c>
    </row>
    <row r="3981" ht="22.5" customHeight="1">
      <c r="B3981" s="57"/>
      <c r="C3981" s="43" t="str">
        <f t="array" ref="C3981">IF(B3981="","",_xlfn.XLOOKUP(B3981,'Form responses 1'!$B$2:$B$2604,'Form responses 1'!$A$2:$A$2604,""))</f>
        <v/>
      </c>
      <c r="D3981" s="44" t="str">
        <f t="shared" si="3"/>
        <v/>
      </c>
      <c r="E3981" s="44" t="str">
        <f t="array" ref="E3981">IF(B3981="","",_xlfn.XLOOKUP(B3981,'Form responses 1'!$B$2:$B$2604,'Form responses 1'!$C$2:$C$2604,""))</f>
        <v/>
      </c>
      <c r="F3981" s="44" t="str">
        <f t="array" ref="F3981">IF(B3981="","",_xlfn.XLOOKUP(B3981,'Form responses 1'!$B$2:$B$2604,'Form responses 1'!$D$2:$D$2604,""))</f>
        <v/>
      </c>
      <c r="G3981" s="44" t="str">
        <f t="array" ref="G3981">IF(B3981="","",_xlfn.XLOOKUP(B3981,'Form responses 1'!$B$2:$B$2604,'Form responses 1'!$E$2:$E$2604,""))</f>
        <v/>
      </c>
      <c r="H3981" s="44" t="str">
        <f t="array" ref="H3981">IF(B3981="","",_xlfn.XLOOKUP(B3981,'Form responses 1'!$B$2:$B$2604,'Form responses 1'!$F$2:$F$2604,""))</f>
        <v/>
      </c>
      <c r="I3981" s="44" t="str">
        <f t="array" ref="I3981">IF(B3981="","",_xlfn.XLOOKUP(B3981,'Form responses 1'!$B$2:$B$2604,'Form responses 1'!$I$2:$I$2604,""))</f>
        <v/>
      </c>
      <c r="J3981" s="44" t="str">
        <f t="array" ref="J3981">IF(B3981="","",_xlfn.XLOOKUP(B3981,'Form responses 1'!$B$2:$B$2604,'Form responses 1'!$G$2:$G$2604,""))</f>
        <v/>
      </c>
      <c r="K3981" s="56"/>
      <c r="L3981" s="58" t="str">
        <f t="shared" si="7"/>
        <v/>
      </c>
      <c r="M3981" s="49"/>
      <c r="N3981" s="49"/>
      <c r="O3981" s="49"/>
      <c r="P3981" s="49"/>
      <c r="Q3981" s="49"/>
      <c r="R3981" s="49"/>
      <c r="S3981" s="49"/>
      <c r="T3981" s="49"/>
      <c r="U3981" s="49"/>
      <c r="V3981" s="49"/>
      <c r="W3981" s="56"/>
      <c r="X3981" s="51" t="str">
        <f t="shared" si="5"/>
        <v/>
      </c>
      <c r="Y3981" s="50" t="s">
        <v>482</v>
      </c>
      <c r="Z3981" s="49">
        <f t="shared" si="6"/>
        <v>0</v>
      </c>
    </row>
    <row r="3982" ht="22.5" customHeight="1">
      <c r="B3982" s="57"/>
      <c r="C3982" s="43" t="str">
        <f t="array" ref="C3982">IF(B3982="","",_xlfn.XLOOKUP(B3982,'Form responses 1'!$B$2:$B$2604,'Form responses 1'!$A$2:$A$2604,""))</f>
        <v/>
      </c>
      <c r="D3982" s="44" t="str">
        <f t="shared" si="3"/>
        <v/>
      </c>
      <c r="E3982" s="44" t="str">
        <f t="array" ref="E3982">IF(B3982="","",_xlfn.XLOOKUP(B3982,'Form responses 1'!$B$2:$B$2604,'Form responses 1'!$C$2:$C$2604,""))</f>
        <v/>
      </c>
      <c r="F3982" s="44" t="str">
        <f t="array" ref="F3982">IF(B3982="","",_xlfn.XLOOKUP(B3982,'Form responses 1'!$B$2:$B$2604,'Form responses 1'!$D$2:$D$2604,""))</f>
        <v/>
      </c>
      <c r="G3982" s="44" t="str">
        <f t="array" ref="G3982">IF(B3982="","",_xlfn.XLOOKUP(B3982,'Form responses 1'!$B$2:$B$2604,'Form responses 1'!$E$2:$E$2604,""))</f>
        <v/>
      </c>
      <c r="H3982" s="44" t="str">
        <f t="array" ref="H3982">IF(B3982="","",_xlfn.XLOOKUP(B3982,'Form responses 1'!$B$2:$B$2604,'Form responses 1'!$F$2:$F$2604,""))</f>
        <v/>
      </c>
      <c r="I3982" s="44" t="str">
        <f t="array" ref="I3982">IF(B3982="","",_xlfn.XLOOKUP(B3982,'Form responses 1'!$B$2:$B$2604,'Form responses 1'!$I$2:$I$2604,""))</f>
        <v/>
      </c>
      <c r="J3982" s="44" t="str">
        <f t="array" ref="J3982">IF(B3982="","",_xlfn.XLOOKUP(B3982,'Form responses 1'!$B$2:$B$2604,'Form responses 1'!$G$2:$G$2604,""))</f>
        <v/>
      </c>
      <c r="K3982" s="56"/>
      <c r="L3982" s="58" t="str">
        <f t="shared" si="7"/>
        <v/>
      </c>
      <c r="M3982" s="49"/>
      <c r="N3982" s="49"/>
      <c r="O3982" s="49"/>
      <c r="P3982" s="49"/>
      <c r="Q3982" s="49"/>
      <c r="R3982" s="49"/>
      <c r="S3982" s="49"/>
      <c r="T3982" s="49"/>
      <c r="U3982" s="49"/>
      <c r="V3982" s="49"/>
      <c r="W3982" s="56"/>
      <c r="X3982" s="51" t="str">
        <f t="shared" si="5"/>
        <v/>
      </c>
      <c r="Y3982" s="50" t="s">
        <v>482</v>
      </c>
      <c r="Z3982" s="49">
        <f t="shared" si="6"/>
        <v>0</v>
      </c>
    </row>
    <row r="3983" ht="22.5" customHeight="1">
      <c r="B3983" s="57"/>
      <c r="C3983" s="43" t="str">
        <f t="array" ref="C3983">IF(B3983="","",_xlfn.XLOOKUP(B3983,'Form responses 1'!$B$2:$B$2604,'Form responses 1'!$A$2:$A$2604,""))</f>
        <v/>
      </c>
      <c r="D3983" s="44" t="str">
        <f t="shared" si="3"/>
        <v/>
      </c>
      <c r="E3983" s="44" t="str">
        <f t="array" ref="E3983">IF(B3983="","",_xlfn.XLOOKUP(B3983,'Form responses 1'!$B$2:$B$2604,'Form responses 1'!$C$2:$C$2604,""))</f>
        <v/>
      </c>
      <c r="F3983" s="44" t="str">
        <f t="array" ref="F3983">IF(B3983="","",_xlfn.XLOOKUP(B3983,'Form responses 1'!$B$2:$B$2604,'Form responses 1'!$D$2:$D$2604,""))</f>
        <v/>
      </c>
      <c r="G3983" s="44" t="str">
        <f t="array" ref="G3983">IF(B3983="","",_xlfn.XLOOKUP(B3983,'Form responses 1'!$B$2:$B$2604,'Form responses 1'!$E$2:$E$2604,""))</f>
        <v/>
      </c>
      <c r="H3983" s="44" t="str">
        <f t="array" ref="H3983">IF(B3983="","",_xlfn.XLOOKUP(B3983,'Form responses 1'!$B$2:$B$2604,'Form responses 1'!$F$2:$F$2604,""))</f>
        <v/>
      </c>
      <c r="I3983" s="44" t="str">
        <f t="array" ref="I3983">IF(B3983="","",_xlfn.XLOOKUP(B3983,'Form responses 1'!$B$2:$B$2604,'Form responses 1'!$I$2:$I$2604,""))</f>
        <v/>
      </c>
      <c r="J3983" s="44" t="str">
        <f t="array" ref="J3983">IF(B3983="","",_xlfn.XLOOKUP(B3983,'Form responses 1'!$B$2:$B$2604,'Form responses 1'!$G$2:$G$2604,""))</f>
        <v/>
      </c>
      <c r="K3983" s="56"/>
      <c r="L3983" s="58" t="str">
        <f t="shared" si="7"/>
        <v/>
      </c>
      <c r="M3983" s="49"/>
      <c r="N3983" s="49"/>
      <c r="O3983" s="49"/>
      <c r="P3983" s="49"/>
      <c r="Q3983" s="49"/>
      <c r="R3983" s="49"/>
      <c r="S3983" s="49"/>
      <c r="T3983" s="49"/>
      <c r="U3983" s="49"/>
      <c r="V3983" s="49"/>
      <c r="W3983" s="56"/>
      <c r="X3983" s="51" t="str">
        <f t="shared" si="5"/>
        <v/>
      </c>
      <c r="Y3983" s="50" t="s">
        <v>482</v>
      </c>
      <c r="Z3983" s="49">
        <f t="shared" si="6"/>
        <v>0</v>
      </c>
    </row>
    <row r="3984" ht="22.5" customHeight="1">
      <c r="B3984" s="57"/>
      <c r="C3984" s="43" t="str">
        <f t="array" ref="C3984">IF(B3984="","",_xlfn.XLOOKUP(B3984,'Form responses 1'!$B$2:$B$2604,'Form responses 1'!$A$2:$A$2604,""))</f>
        <v/>
      </c>
      <c r="D3984" s="44" t="str">
        <f t="shared" si="3"/>
        <v/>
      </c>
      <c r="E3984" s="44" t="str">
        <f t="array" ref="E3984">IF(B3984="","",_xlfn.XLOOKUP(B3984,'Form responses 1'!$B$2:$B$2604,'Form responses 1'!$C$2:$C$2604,""))</f>
        <v/>
      </c>
      <c r="F3984" s="44" t="str">
        <f t="array" ref="F3984">IF(B3984="","",_xlfn.XLOOKUP(B3984,'Form responses 1'!$B$2:$B$2604,'Form responses 1'!$D$2:$D$2604,""))</f>
        <v/>
      </c>
      <c r="G3984" s="44" t="str">
        <f t="array" ref="G3984">IF(B3984="","",_xlfn.XLOOKUP(B3984,'Form responses 1'!$B$2:$B$2604,'Form responses 1'!$E$2:$E$2604,""))</f>
        <v/>
      </c>
      <c r="H3984" s="44" t="str">
        <f t="array" ref="H3984">IF(B3984="","",_xlfn.XLOOKUP(B3984,'Form responses 1'!$B$2:$B$2604,'Form responses 1'!$F$2:$F$2604,""))</f>
        <v/>
      </c>
      <c r="I3984" s="44" t="str">
        <f t="array" ref="I3984">IF(B3984="","",_xlfn.XLOOKUP(B3984,'Form responses 1'!$B$2:$B$2604,'Form responses 1'!$I$2:$I$2604,""))</f>
        <v/>
      </c>
      <c r="J3984" s="44" t="str">
        <f t="array" ref="J3984">IF(B3984="","",_xlfn.XLOOKUP(B3984,'Form responses 1'!$B$2:$B$2604,'Form responses 1'!$G$2:$G$2604,""))</f>
        <v/>
      </c>
      <c r="K3984" s="56"/>
      <c r="L3984" s="58" t="str">
        <f t="shared" si="7"/>
        <v/>
      </c>
      <c r="M3984" s="49"/>
      <c r="N3984" s="49"/>
      <c r="O3984" s="49"/>
      <c r="P3984" s="49"/>
      <c r="Q3984" s="49"/>
      <c r="R3984" s="49"/>
      <c r="S3984" s="49"/>
      <c r="T3984" s="49"/>
      <c r="U3984" s="49"/>
      <c r="V3984" s="49"/>
      <c r="W3984" s="56"/>
      <c r="X3984" s="51" t="str">
        <f t="shared" si="5"/>
        <v/>
      </c>
      <c r="Y3984" s="50" t="s">
        <v>482</v>
      </c>
      <c r="Z3984" s="49">
        <f t="shared" si="6"/>
        <v>0</v>
      </c>
    </row>
    <row r="3985" ht="22.5" customHeight="1">
      <c r="B3985" s="57"/>
      <c r="C3985" s="43" t="str">
        <f t="array" ref="C3985">IF(B3985="","",_xlfn.XLOOKUP(B3985,'Form responses 1'!$B$2:$B$2604,'Form responses 1'!$A$2:$A$2604,""))</f>
        <v/>
      </c>
      <c r="D3985" s="44" t="str">
        <f t="shared" si="3"/>
        <v/>
      </c>
      <c r="E3985" s="44" t="str">
        <f t="array" ref="E3985">IF(B3985="","",_xlfn.XLOOKUP(B3985,'Form responses 1'!$B$2:$B$2604,'Form responses 1'!$C$2:$C$2604,""))</f>
        <v/>
      </c>
      <c r="F3985" s="44" t="str">
        <f t="array" ref="F3985">IF(B3985="","",_xlfn.XLOOKUP(B3985,'Form responses 1'!$B$2:$B$2604,'Form responses 1'!$D$2:$D$2604,""))</f>
        <v/>
      </c>
      <c r="G3985" s="44" t="str">
        <f t="array" ref="G3985">IF(B3985="","",_xlfn.XLOOKUP(B3985,'Form responses 1'!$B$2:$B$2604,'Form responses 1'!$E$2:$E$2604,""))</f>
        <v/>
      </c>
      <c r="H3985" s="44" t="str">
        <f t="array" ref="H3985">IF(B3985="","",_xlfn.XLOOKUP(B3985,'Form responses 1'!$B$2:$B$2604,'Form responses 1'!$F$2:$F$2604,""))</f>
        <v/>
      </c>
      <c r="I3985" s="44" t="str">
        <f t="array" ref="I3985">IF(B3985="","",_xlfn.XLOOKUP(B3985,'Form responses 1'!$B$2:$B$2604,'Form responses 1'!$I$2:$I$2604,""))</f>
        <v/>
      </c>
      <c r="J3985" s="44" t="str">
        <f t="array" ref="J3985">IF(B3985="","",_xlfn.XLOOKUP(B3985,'Form responses 1'!$B$2:$B$2604,'Form responses 1'!$G$2:$G$2604,""))</f>
        <v/>
      </c>
      <c r="K3985" s="56"/>
      <c r="L3985" s="58" t="str">
        <f t="shared" si="7"/>
        <v/>
      </c>
      <c r="M3985" s="49"/>
      <c r="N3985" s="49"/>
      <c r="O3985" s="49"/>
      <c r="P3985" s="49"/>
      <c r="Q3985" s="49"/>
      <c r="R3985" s="49"/>
      <c r="S3985" s="49"/>
      <c r="T3985" s="49"/>
      <c r="U3985" s="49"/>
      <c r="V3985" s="49"/>
      <c r="W3985" s="56"/>
      <c r="X3985" s="51" t="str">
        <f t="shared" si="5"/>
        <v/>
      </c>
      <c r="Y3985" s="50" t="s">
        <v>482</v>
      </c>
      <c r="Z3985" s="49">
        <f t="shared" si="6"/>
        <v>0</v>
      </c>
    </row>
    <row r="3986" ht="22.5" customHeight="1">
      <c r="B3986" s="57"/>
      <c r="C3986" s="43" t="str">
        <f t="array" ref="C3986">IF(B3986="","",_xlfn.XLOOKUP(B3986,'Form responses 1'!$B$2:$B$2604,'Form responses 1'!$A$2:$A$2604,""))</f>
        <v/>
      </c>
      <c r="D3986" s="44" t="str">
        <f t="shared" si="3"/>
        <v/>
      </c>
      <c r="E3986" s="44" t="str">
        <f t="array" ref="E3986">IF(B3986="","",_xlfn.XLOOKUP(B3986,'Form responses 1'!$B$2:$B$2604,'Form responses 1'!$C$2:$C$2604,""))</f>
        <v/>
      </c>
      <c r="F3986" s="44" t="str">
        <f t="array" ref="F3986">IF(B3986="","",_xlfn.XLOOKUP(B3986,'Form responses 1'!$B$2:$B$2604,'Form responses 1'!$D$2:$D$2604,""))</f>
        <v/>
      </c>
      <c r="G3986" s="44" t="str">
        <f t="array" ref="G3986">IF(B3986="","",_xlfn.XLOOKUP(B3986,'Form responses 1'!$B$2:$B$2604,'Form responses 1'!$E$2:$E$2604,""))</f>
        <v/>
      </c>
      <c r="H3986" s="44" t="str">
        <f t="array" ref="H3986">IF(B3986="","",_xlfn.XLOOKUP(B3986,'Form responses 1'!$B$2:$B$2604,'Form responses 1'!$F$2:$F$2604,""))</f>
        <v/>
      </c>
      <c r="I3986" s="44" t="str">
        <f t="array" ref="I3986">IF(B3986="","",_xlfn.XLOOKUP(B3986,'Form responses 1'!$B$2:$B$2604,'Form responses 1'!$I$2:$I$2604,""))</f>
        <v/>
      </c>
      <c r="J3986" s="44" t="str">
        <f t="array" ref="J3986">IF(B3986="","",_xlfn.XLOOKUP(B3986,'Form responses 1'!$B$2:$B$2604,'Form responses 1'!$G$2:$G$2604,""))</f>
        <v/>
      </c>
      <c r="K3986" s="56"/>
      <c r="L3986" s="58" t="str">
        <f t="shared" si="7"/>
        <v/>
      </c>
      <c r="M3986" s="49"/>
      <c r="N3986" s="49"/>
      <c r="O3986" s="49"/>
      <c r="P3986" s="49"/>
      <c r="Q3986" s="49"/>
      <c r="R3986" s="49"/>
      <c r="S3986" s="49"/>
      <c r="T3986" s="49"/>
      <c r="U3986" s="49"/>
      <c r="V3986" s="49"/>
      <c r="W3986" s="56"/>
      <c r="X3986" s="51" t="str">
        <f t="shared" si="5"/>
        <v/>
      </c>
      <c r="Y3986" s="50" t="s">
        <v>482</v>
      </c>
      <c r="Z3986" s="49">
        <f t="shared" si="6"/>
        <v>0</v>
      </c>
    </row>
    <row r="3987" ht="22.5" customHeight="1">
      <c r="B3987" s="57"/>
      <c r="C3987" s="43" t="str">
        <f t="array" ref="C3987">IF(B3987="","",_xlfn.XLOOKUP(B3987,'Form responses 1'!$B$2:$B$2604,'Form responses 1'!$A$2:$A$2604,""))</f>
        <v/>
      </c>
      <c r="D3987" s="44" t="str">
        <f t="shared" si="3"/>
        <v/>
      </c>
      <c r="E3987" s="44" t="str">
        <f t="array" ref="E3987">IF(B3987="","",_xlfn.XLOOKUP(B3987,'Form responses 1'!$B$2:$B$2604,'Form responses 1'!$C$2:$C$2604,""))</f>
        <v/>
      </c>
      <c r="F3987" s="44" t="str">
        <f t="array" ref="F3987">IF(B3987="","",_xlfn.XLOOKUP(B3987,'Form responses 1'!$B$2:$B$2604,'Form responses 1'!$D$2:$D$2604,""))</f>
        <v/>
      </c>
      <c r="G3987" s="44" t="str">
        <f t="array" ref="G3987">IF(B3987="","",_xlfn.XLOOKUP(B3987,'Form responses 1'!$B$2:$B$2604,'Form responses 1'!$E$2:$E$2604,""))</f>
        <v/>
      </c>
      <c r="H3987" s="44" t="str">
        <f t="array" ref="H3987">IF(B3987="","",_xlfn.XLOOKUP(B3987,'Form responses 1'!$B$2:$B$2604,'Form responses 1'!$F$2:$F$2604,""))</f>
        <v/>
      </c>
      <c r="I3987" s="44" t="str">
        <f t="array" ref="I3987">IF(B3987="","",_xlfn.XLOOKUP(B3987,'Form responses 1'!$B$2:$B$2604,'Form responses 1'!$I$2:$I$2604,""))</f>
        <v/>
      </c>
      <c r="J3987" s="44" t="str">
        <f t="array" ref="J3987">IF(B3987="","",_xlfn.XLOOKUP(B3987,'Form responses 1'!$B$2:$B$2604,'Form responses 1'!$G$2:$G$2604,""))</f>
        <v/>
      </c>
      <c r="K3987" s="56"/>
      <c r="L3987" s="58" t="str">
        <f t="shared" si="7"/>
        <v/>
      </c>
      <c r="M3987" s="49"/>
      <c r="N3987" s="49"/>
      <c r="O3987" s="49"/>
      <c r="P3987" s="49"/>
      <c r="Q3987" s="49"/>
      <c r="R3987" s="49"/>
      <c r="S3987" s="49"/>
      <c r="T3987" s="49"/>
      <c r="U3987" s="49"/>
      <c r="V3987" s="49"/>
      <c r="W3987" s="56"/>
      <c r="X3987" s="51" t="str">
        <f t="shared" si="5"/>
        <v/>
      </c>
      <c r="Y3987" s="50" t="s">
        <v>482</v>
      </c>
      <c r="Z3987" s="49">
        <f t="shared" si="6"/>
        <v>0</v>
      </c>
    </row>
    <row r="3988" ht="22.5" customHeight="1">
      <c r="B3988" s="57"/>
      <c r="C3988" s="43" t="str">
        <f t="array" ref="C3988">IF(B3988="","",_xlfn.XLOOKUP(B3988,'Form responses 1'!$B$2:$B$2604,'Form responses 1'!$A$2:$A$2604,""))</f>
        <v/>
      </c>
      <c r="D3988" s="44" t="str">
        <f t="shared" si="3"/>
        <v/>
      </c>
      <c r="E3988" s="44" t="str">
        <f t="array" ref="E3988">IF(B3988="","",_xlfn.XLOOKUP(B3988,'Form responses 1'!$B$2:$B$2604,'Form responses 1'!$C$2:$C$2604,""))</f>
        <v/>
      </c>
      <c r="F3988" s="44" t="str">
        <f t="array" ref="F3988">IF(B3988="","",_xlfn.XLOOKUP(B3988,'Form responses 1'!$B$2:$B$2604,'Form responses 1'!$D$2:$D$2604,""))</f>
        <v/>
      </c>
      <c r="G3988" s="44" t="str">
        <f t="array" ref="G3988">IF(B3988="","",_xlfn.XLOOKUP(B3988,'Form responses 1'!$B$2:$B$2604,'Form responses 1'!$E$2:$E$2604,""))</f>
        <v/>
      </c>
      <c r="H3988" s="44" t="str">
        <f t="array" ref="H3988">IF(B3988="","",_xlfn.XLOOKUP(B3988,'Form responses 1'!$B$2:$B$2604,'Form responses 1'!$F$2:$F$2604,""))</f>
        <v/>
      </c>
      <c r="I3988" s="44" t="str">
        <f t="array" ref="I3988">IF(B3988="","",_xlfn.XLOOKUP(B3988,'Form responses 1'!$B$2:$B$2604,'Form responses 1'!$I$2:$I$2604,""))</f>
        <v/>
      </c>
      <c r="J3988" s="44" t="str">
        <f t="array" ref="J3988">IF(B3988="","",_xlfn.XLOOKUP(B3988,'Form responses 1'!$B$2:$B$2604,'Form responses 1'!$G$2:$G$2604,""))</f>
        <v/>
      </c>
      <c r="K3988" s="56"/>
      <c r="L3988" s="58" t="str">
        <f t="shared" si="7"/>
        <v/>
      </c>
      <c r="M3988" s="49"/>
      <c r="N3988" s="49"/>
      <c r="O3988" s="49"/>
      <c r="P3988" s="49"/>
      <c r="Q3988" s="49"/>
      <c r="R3988" s="49"/>
      <c r="S3988" s="49"/>
      <c r="T3988" s="49"/>
      <c r="U3988" s="49"/>
      <c r="V3988" s="49"/>
      <c r="W3988" s="56"/>
      <c r="X3988" s="51" t="str">
        <f t="shared" si="5"/>
        <v/>
      </c>
      <c r="Y3988" s="50" t="s">
        <v>482</v>
      </c>
      <c r="Z3988" s="49">
        <f t="shared" si="6"/>
        <v>0</v>
      </c>
    </row>
    <row r="3989" ht="22.5" customHeight="1">
      <c r="B3989" s="57"/>
      <c r="C3989" s="43" t="str">
        <f t="array" ref="C3989">IF(B3989="","",_xlfn.XLOOKUP(B3989,'Form responses 1'!$B$2:$B$2604,'Form responses 1'!$A$2:$A$2604,""))</f>
        <v/>
      </c>
      <c r="D3989" s="44" t="str">
        <f t="shared" si="3"/>
        <v/>
      </c>
      <c r="E3989" s="44" t="str">
        <f t="array" ref="E3989">IF(B3989="","",_xlfn.XLOOKUP(B3989,'Form responses 1'!$B$2:$B$2604,'Form responses 1'!$C$2:$C$2604,""))</f>
        <v/>
      </c>
      <c r="F3989" s="44" t="str">
        <f t="array" ref="F3989">IF(B3989="","",_xlfn.XLOOKUP(B3989,'Form responses 1'!$B$2:$B$2604,'Form responses 1'!$D$2:$D$2604,""))</f>
        <v/>
      </c>
      <c r="G3989" s="44" t="str">
        <f t="array" ref="G3989">IF(B3989="","",_xlfn.XLOOKUP(B3989,'Form responses 1'!$B$2:$B$2604,'Form responses 1'!$E$2:$E$2604,""))</f>
        <v/>
      </c>
      <c r="H3989" s="44" t="str">
        <f t="array" ref="H3989">IF(B3989="","",_xlfn.XLOOKUP(B3989,'Form responses 1'!$B$2:$B$2604,'Form responses 1'!$F$2:$F$2604,""))</f>
        <v/>
      </c>
      <c r="I3989" s="44" t="str">
        <f t="array" ref="I3989">IF(B3989="","",_xlfn.XLOOKUP(B3989,'Form responses 1'!$B$2:$B$2604,'Form responses 1'!$I$2:$I$2604,""))</f>
        <v/>
      </c>
      <c r="J3989" s="44" t="str">
        <f t="array" ref="J3989">IF(B3989="","",_xlfn.XLOOKUP(B3989,'Form responses 1'!$B$2:$B$2604,'Form responses 1'!$G$2:$G$2604,""))</f>
        <v/>
      </c>
      <c r="K3989" s="56"/>
      <c r="L3989" s="58" t="str">
        <f t="shared" si="7"/>
        <v/>
      </c>
      <c r="M3989" s="49"/>
      <c r="N3989" s="49"/>
      <c r="O3989" s="49"/>
      <c r="P3989" s="49"/>
      <c r="Q3989" s="49"/>
      <c r="R3989" s="49"/>
      <c r="S3989" s="49"/>
      <c r="T3989" s="49"/>
      <c r="U3989" s="49"/>
      <c r="V3989" s="49"/>
      <c r="W3989" s="56"/>
      <c r="X3989" s="51" t="str">
        <f t="shared" si="5"/>
        <v/>
      </c>
      <c r="Y3989" s="50" t="s">
        <v>482</v>
      </c>
      <c r="Z3989" s="49">
        <f t="shared" si="6"/>
        <v>0</v>
      </c>
    </row>
    <row r="3990" ht="22.5" customHeight="1">
      <c r="B3990" s="57"/>
      <c r="C3990" s="43" t="str">
        <f t="array" ref="C3990">IF(B3990="","",_xlfn.XLOOKUP(B3990,'Form responses 1'!$B$2:$B$2604,'Form responses 1'!$A$2:$A$2604,""))</f>
        <v/>
      </c>
      <c r="D3990" s="44" t="str">
        <f t="shared" si="3"/>
        <v/>
      </c>
      <c r="E3990" s="44" t="str">
        <f t="array" ref="E3990">IF(B3990="","",_xlfn.XLOOKUP(B3990,'Form responses 1'!$B$2:$B$2604,'Form responses 1'!$C$2:$C$2604,""))</f>
        <v/>
      </c>
      <c r="F3990" s="44" t="str">
        <f t="array" ref="F3990">IF(B3990="","",_xlfn.XLOOKUP(B3990,'Form responses 1'!$B$2:$B$2604,'Form responses 1'!$D$2:$D$2604,""))</f>
        <v/>
      </c>
      <c r="G3990" s="44" t="str">
        <f t="array" ref="G3990">IF(B3990="","",_xlfn.XLOOKUP(B3990,'Form responses 1'!$B$2:$B$2604,'Form responses 1'!$E$2:$E$2604,""))</f>
        <v/>
      </c>
      <c r="H3990" s="44" t="str">
        <f t="array" ref="H3990">IF(B3990="","",_xlfn.XLOOKUP(B3990,'Form responses 1'!$B$2:$B$2604,'Form responses 1'!$F$2:$F$2604,""))</f>
        <v/>
      </c>
      <c r="I3990" s="44" t="str">
        <f t="array" ref="I3990">IF(B3990="","",_xlfn.XLOOKUP(B3990,'Form responses 1'!$B$2:$B$2604,'Form responses 1'!$I$2:$I$2604,""))</f>
        <v/>
      </c>
      <c r="J3990" s="44" t="str">
        <f t="array" ref="J3990">IF(B3990="","",_xlfn.XLOOKUP(B3990,'Form responses 1'!$B$2:$B$2604,'Form responses 1'!$G$2:$G$2604,""))</f>
        <v/>
      </c>
      <c r="K3990" s="56"/>
      <c r="L3990" s="58" t="str">
        <f t="shared" si="7"/>
        <v/>
      </c>
      <c r="M3990" s="49"/>
      <c r="N3990" s="49"/>
      <c r="O3990" s="49"/>
      <c r="P3990" s="49"/>
      <c r="Q3990" s="49"/>
      <c r="R3990" s="49"/>
      <c r="S3990" s="49"/>
      <c r="T3990" s="49"/>
      <c r="U3990" s="49"/>
      <c r="V3990" s="49"/>
      <c r="W3990" s="56"/>
      <c r="X3990" s="51" t="str">
        <f t="shared" si="5"/>
        <v/>
      </c>
      <c r="Y3990" s="50" t="s">
        <v>482</v>
      </c>
      <c r="Z3990" s="49">
        <f t="shared" si="6"/>
        <v>0</v>
      </c>
    </row>
    <row r="3991" ht="22.5" customHeight="1">
      <c r="B3991" s="57"/>
      <c r="C3991" s="43" t="str">
        <f t="array" ref="C3991">IF(B3991="","",_xlfn.XLOOKUP(B3991,'Form responses 1'!$B$2:$B$2604,'Form responses 1'!$A$2:$A$2604,""))</f>
        <v/>
      </c>
      <c r="D3991" s="44" t="str">
        <f t="shared" si="3"/>
        <v/>
      </c>
      <c r="E3991" s="44" t="str">
        <f t="array" ref="E3991">IF(B3991="","",_xlfn.XLOOKUP(B3991,'Form responses 1'!$B$2:$B$2604,'Form responses 1'!$C$2:$C$2604,""))</f>
        <v/>
      </c>
      <c r="F3991" s="44" t="str">
        <f t="array" ref="F3991">IF(B3991="","",_xlfn.XLOOKUP(B3991,'Form responses 1'!$B$2:$B$2604,'Form responses 1'!$D$2:$D$2604,""))</f>
        <v/>
      </c>
      <c r="G3991" s="44" t="str">
        <f t="array" ref="G3991">IF(B3991="","",_xlfn.XLOOKUP(B3991,'Form responses 1'!$B$2:$B$2604,'Form responses 1'!$E$2:$E$2604,""))</f>
        <v/>
      </c>
      <c r="H3991" s="44" t="str">
        <f t="array" ref="H3991">IF(B3991="","",_xlfn.XLOOKUP(B3991,'Form responses 1'!$B$2:$B$2604,'Form responses 1'!$F$2:$F$2604,""))</f>
        <v/>
      </c>
      <c r="I3991" s="44" t="str">
        <f t="array" ref="I3991">IF(B3991="","",_xlfn.XLOOKUP(B3991,'Form responses 1'!$B$2:$B$2604,'Form responses 1'!$I$2:$I$2604,""))</f>
        <v/>
      </c>
      <c r="J3991" s="44" t="str">
        <f t="array" ref="J3991">IF(B3991="","",_xlfn.XLOOKUP(B3991,'Form responses 1'!$B$2:$B$2604,'Form responses 1'!$G$2:$G$2604,""))</f>
        <v/>
      </c>
      <c r="K3991" s="56"/>
      <c r="L3991" s="58" t="str">
        <f t="shared" si="7"/>
        <v/>
      </c>
      <c r="M3991" s="49"/>
      <c r="N3991" s="49"/>
      <c r="O3991" s="49"/>
      <c r="P3991" s="49"/>
      <c r="Q3991" s="49"/>
      <c r="R3991" s="49"/>
      <c r="S3991" s="49"/>
      <c r="T3991" s="49"/>
      <c r="U3991" s="49"/>
      <c r="V3991" s="49"/>
      <c r="W3991" s="56"/>
      <c r="X3991" s="51" t="str">
        <f t="shared" si="5"/>
        <v/>
      </c>
      <c r="Y3991" s="50" t="s">
        <v>482</v>
      </c>
      <c r="Z3991" s="49">
        <f t="shared" si="6"/>
        <v>0</v>
      </c>
    </row>
    <row r="3992" ht="22.5" customHeight="1">
      <c r="B3992" s="57"/>
      <c r="C3992" s="43" t="str">
        <f t="array" ref="C3992">IF(B3992="","",_xlfn.XLOOKUP(B3992,'Form responses 1'!$B$2:$B$2604,'Form responses 1'!$A$2:$A$2604,""))</f>
        <v/>
      </c>
      <c r="D3992" s="44" t="str">
        <f t="shared" si="3"/>
        <v/>
      </c>
      <c r="E3992" s="44" t="str">
        <f t="array" ref="E3992">IF(B3992="","",_xlfn.XLOOKUP(B3992,'Form responses 1'!$B$2:$B$2604,'Form responses 1'!$C$2:$C$2604,""))</f>
        <v/>
      </c>
      <c r="F3992" s="44" t="str">
        <f t="array" ref="F3992">IF(B3992="","",_xlfn.XLOOKUP(B3992,'Form responses 1'!$B$2:$B$2604,'Form responses 1'!$D$2:$D$2604,""))</f>
        <v/>
      </c>
      <c r="G3992" s="44" t="str">
        <f t="array" ref="G3992">IF(B3992="","",_xlfn.XLOOKUP(B3992,'Form responses 1'!$B$2:$B$2604,'Form responses 1'!$E$2:$E$2604,""))</f>
        <v/>
      </c>
      <c r="H3992" s="44" t="str">
        <f t="array" ref="H3992">IF(B3992="","",_xlfn.XLOOKUP(B3992,'Form responses 1'!$B$2:$B$2604,'Form responses 1'!$F$2:$F$2604,""))</f>
        <v/>
      </c>
      <c r="I3992" s="44" t="str">
        <f t="array" ref="I3992">IF(B3992="","",_xlfn.XLOOKUP(B3992,'Form responses 1'!$B$2:$B$2604,'Form responses 1'!$I$2:$I$2604,""))</f>
        <v/>
      </c>
      <c r="J3992" s="44" t="str">
        <f t="array" ref="J3992">IF(B3992="","",_xlfn.XLOOKUP(B3992,'Form responses 1'!$B$2:$B$2604,'Form responses 1'!$G$2:$G$2604,""))</f>
        <v/>
      </c>
      <c r="K3992" s="56"/>
      <c r="L3992" s="58" t="str">
        <f t="shared" si="7"/>
        <v/>
      </c>
      <c r="M3992" s="47"/>
      <c r="N3992" s="47"/>
      <c r="O3992" s="49"/>
      <c r="P3992" s="49"/>
      <c r="Q3992" s="49"/>
      <c r="R3992" s="49"/>
      <c r="S3992" s="49"/>
      <c r="T3992" s="49"/>
      <c r="U3992" s="49"/>
      <c r="V3992" s="49"/>
      <c r="W3992" s="56"/>
      <c r="X3992" s="51" t="str">
        <f t="shared" si="5"/>
        <v/>
      </c>
      <c r="Y3992" s="50" t="s">
        <v>482</v>
      </c>
      <c r="Z3992" s="49">
        <f t="shared" si="6"/>
        <v>0</v>
      </c>
    </row>
    <row r="3993" ht="22.5" customHeight="1">
      <c r="B3993" s="57"/>
      <c r="C3993" s="43" t="str">
        <f t="array" ref="C3993">IF(B3993="","",_xlfn.XLOOKUP(B3993,'Form responses 1'!$B$2:$B$2604,'Form responses 1'!$A$2:$A$2604,""))</f>
        <v/>
      </c>
      <c r="D3993" s="44" t="str">
        <f t="shared" si="3"/>
        <v/>
      </c>
      <c r="E3993" s="44" t="str">
        <f t="array" ref="E3993">IF(B3993="","",_xlfn.XLOOKUP(B3993,'Form responses 1'!$B$2:$B$2604,'Form responses 1'!$C$2:$C$2604,""))</f>
        <v/>
      </c>
      <c r="F3993" s="44" t="str">
        <f t="array" ref="F3993">IF(B3993="","",_xlfn.XLOOKUP(B3993,'Form responses 1'!$B$2:$B$2604,'Form responses 1'!$D$2:$D$2604,""))</f>
        <v/>
      </c>
      <c r="G3993" s="44" t="str">
        <f t="array" ref="G3993">IF(B3993="","",_xlfn.XLOOKUP(B3993,'Form responses 1'!$B$2:$B$2604,'Form responses 1'!$E$2:$E$2604,""))</f>
        <v/>
      </c>
      <c r="H3993" s="44" t="str">
        <f t="array" ref="H3993">IF(B3993="","",_xlfn.XLOOKUP(B3993,'Form responses 1'!$B$2:$B$2604,'Form responses 1'!$F$2:$F$2604,""))</f>
        <v/>
      </c>
      <c r="I3993" s="44" t="str">
        <f t="array" ref="I3993">IF(B3993="","",_xlfn.XLOOKUP(B3993,'Form responses 1'!$B$2:$B$2604,'Form responses 1'!$I$2:$I$2604,""))</f>
        <v/>
      </c>
      <c r="J3993" s="44" t="str">
        <f t="array" ref="J3993">IF(B3993="","",_xlfn.XLOOKUP(B3993,'Form responses 1'!$B$2:$B$2604,'Form responses 1'!$G$2:$G$2604,""))</f>
        <v/>
      </c>
      <c r="K3993" s="56"/>
      <c r="L3993" s="58" t="str">
        <f t="shared" si="7"/>
        <v/>
      </c>
      <c r="M3993" s="49"/>
      <c r="N3993" s="49"/>
      <c r="O3993" s="49"/>
      <c r="P3993" s="49"/>
      <c r="Q3993" s="49"/>
      <c r="R3993" s="49"/>
      <c r="S3993" s="49"/>
      <c r="T3993" s="49"/>
      <c r="U3993" s="49"/>
      <c r="V3993" s="49"/>
      <c r="W3993" s="56"/>
      <c r="X3993" s="51" t="str">
        <f t="shared" si="5"/>
        <v/>
      </c>
      <c r="Y3993" s="50" t="s">
        <v>482</v>
      </c>
      <c r="Z3993" s="49">
        <f t="shared" si="6"/>
        <v>0</v>
      </c>
    </row>
    <row r="3994" ht="22.5" customHeight="1">
      <c r="B3994" s="57"/>
      <c r="C3994" s="43" t="str">
        <f t="array" ref="C3994">IF(B3994="","",_xlfn.XLOOKUP(B3994,'Form responses 1'!$B$2:$B$2604,'Form responses 1'!$A$2:$A$2604,""))</f>
        <v/>
      </c>
      <c r="D3994" s="44" t="str">
        <f t="shared" si="3"/>
        <v/>
      </c>
      <c r="E3994" s="44" t="str">
        <f t="array" ref="E3994">IF(B3994="","",_xlfn.XLOOKUP(B3994,'Form responses 1'!$B$2:$B$2604,'Form responses 1'!$C$2:$C$2604,""))</f>
        <v/>
      </c>
      <c r="F3994" s="44" t="str">
        <f t="array" ref="F3994">IF(B3994="","",_xlfn.XLOOKUP(B3994,'Form responses 1'!$B$2:$B$2604,'Form responses 1'!$D$2:$D$2604,""))</f>
        <v/>
      </c>
      <c r="G3994" s="44" t="str">
        <f t="array" ref="G3994">IF(B3994="","",_xlfn.XLOOKUP(B3994,'Form responses 1'!$B$2:$B$2604,'Form responses 1'!$E$2:$E$2604,""))</f>
        <v/>
      </c>
      <c r="H3994" s="44" t="str">
        <f t="array" ref="H3994">IF(B3994="","",_xlfn.XLOOKUP(B3994,'Form responses 1'!$B$2:$B$2604,'Form responses 1'!$F$2:$F$2604,""))</f>
        <v/>
      </c>
      <c r="I3994" s="44" t="str">
        <f t="array" ref="I3994">IF(B3994="","",_xlfn.XLOOKUP(B3994,'Form responses 1'!$B$2:$B$2604,'Form responses 1'!$I$2:$I$2604,""))</f>
        <v/>
      </c>
      <c r="J3994" s="44" t="str">
        <f t="array" ref="J3994">IF(B3994="","",_xlfn.XLOOKUP(B3994,'Form responses 1'!$B$2:$B$2604,'Form responses 1'!$G$2:$G$2604,""))</f>
        <v/>
      </c>
      <c r="K3994" s="56"/>
      <c r="L3994" s="58" t="str">
        <f t="shared" si="7"/>
        <v/>
      </c>
      <c r="M3994" s="49"/>
      <c r="N3994" s="49"/>
      <c r="O3994" s="49"/>
      <c r="P3994" s="49"/>
      <c r="Q3994" s="49"/>
      <c r="R3994" s="49"/>
      <c r="S3994" s="49"/>
      <c r="T3994" s="49"/>
      <c r="U3994" s="49"/>
      <c r="V3994" s="49"/>
      <c r="W3994" s="56"/>
      <c r="X3994" s="51" t="str">
        <f t="shared" si="5"/>
        <v/>
      </c>
      <c r="Y3994" s="50" t="s">
        <v>482</v>
      </c>
      <c r="Z3994" s="49">
        <f t="shared" si="6"/>
        <v>0</v>
      </c>
    </row>
    <row r="3995" ht="22.5" customHeight="1">
      <c r="B3995" s="57"/>
      <c r="C3995" s="43" t="str">
        <f t="array" ref="C3995">IF(B3995="","",_xlfn.XLOOKUP(B3995,'Form responses 1'!$B$2:$B$2604,'Form responses 1'!$A$2:$A$2604,""))</f>
        <v/>
      </c>
      <c r="D3995" s="44" t="str">
        <f t="shared" si="3"/>
        <v/>
      </c>
      <c r="E3995" s="44" t="str">
        <f t="array" ref="E3995">IF(B3995="","",_xlfn.XLOOKUP(B3995,'Form responses 1'!$B$2:$B$2604,'Form responses 1'!$C$2:$C$2604,""))</f>
        <v/>
      </c>
      <c r="F3995" s="44" t="str">
        <f t="array" ref="F3995">IF(B3995="","",_xlfn.XLOOKUP(B3995,'Form responses 1'!$B$2:$B$2604,'Form responses 1'!$D$2:$D$2604,""))</f>
        <v/>
      </c>
      <c r="G3995" s="44" t="str">
        <f t="array" ref="G3995">IF(B3995="","",_xlfn.XLOOKUP(B3995,'Form responses 1'!$B$2:$B$2604,'Form responses 1'!$E$2:$E$2604,""))</f>
        <v/>
      </c>
      <c r="H3995" s="44" t="str">
        <f t="array" ref="H3995">IF(B3995="","",_xlfn.XLOOKUP(B3995,'Form responses 1'!$B$2:$B$2604,'Form responses 1'!$F$2:$F$2604,""))</f>
        <v/>
      </c>
      <c r="I3995" s="44" t="str">
        <f t="array" ref="I3995">IF(B3995="","",_xlfn.XLOOKUP(B3995,'Form responses 1'!$B$2:$B$2604,'Form responses 1'!$I$2:$I$2604,""))</f>
        <v/>
      </c>
      <c r="J3995" s="44" t="str">
        <f t="array" ref="J3995">IF(B3995="","",_xlfn.XLOOKUP(B3995,'Form responses 1'!$B$2:$B$2604,'Form responses 1'!$G$2:$G$2604,""))</f>
        <v/>
      </c>
      <c r="K3995" s="56"/>
      <c r="L3995" s="58" t="str">
        <f t="shared" si="7"/>
        <v/>
      </c>
      <c r="M3995" s="49"/>
      <c r="N3995" s="49"/>
      <c r="O3995" s="49"/>
      <c r="P3995" s="49"/>
      <c r="Q3995" s="49"/>
      <c r="R3995" s="49"/>
      <c r="S3995" s="49"/>
      <c r="T3995" s="49"/>
      <c r="U3995" s="49"/>
      <c r="V3995" s="49"/>
      <c r="W3995" s="56"/>
      <c r="X3995" s="51" t="str">
        <f t="shared" si="5"/>
        <v/>
      </c>
      <c r="Y3995" s="50" t="s">
        <v>482</v>
      </c>
      <c r="Z3995" s="49">
        <f t="shared" si="6"/>
        <v>0</v>
      </c>
    </row>
    <row r="3996" ht="22.5" customHeight="1">
      <c r="B3996" s="57"/>
      <c r="C3996" s="43" t="str">
        <f t="array" ref="C3996">IF(B3996="","",_xlfn.XLOOKUP(B3996,'Form responses 1'!$B$2:$B$2604,'Form responses 1'!$A$2:$A$2604,""))</f>
        <v/>
      </c>
      <c r="D3996" s="44" t="str">
        <f t="shared" si="3"/>
        <v/>
      </c>
      <c r="E3996" s="44" t="str">
        <f t="array" ref="E3996">IF(B3996="","",_xlfn.XLOOKUP(B3996,'Form responses 1'!$B$2:$B$2604,'Form responses 1'!$C$2:$C$2604,""))</f>
        <v/>
      </c>
      <c r="F3996" s="44" t="str">
        <f t="array" ref="F3996">IF(B3996="","",_xlfn.XLOOKUP(B3996,'Form responses 1'!$B$2:$B$2604,'Form responses 1'!$D$2:$D$2604,""))</f>
        <v/>
      </c>
      <c r="G3996" s="44" t="str">
        <f t="array" ref="G3996">IF(B3996="","",_xlfn.XLOOKUP(B3996,'Form responses 1'!$B$2:$B$2604,'Form responses 1'!$E$2:$E$2604,""))</f>
        <v/>
      </c>
      <c r="H3996" s="44" t="str">
        <f t="array" ref="H3996">IF(B3996="","",_xlfn.XLOOKUP(B3996,'Form responses 1'!$B$2:$B$2604,'Form responses 1'!$F$2:$F$2604,""))</f>
        <v/>
      </c>
      <c r="I3996" s="44" t="str">
        <f t="array" ref="I3996">IF(B3996="","",_xlfn.XLOOKUP(B3996,'Form responses 1'!$B$2:$B$2604,'Form responses 1'!$I$2:$I$2604,""))</f>
        <v/>
      </c>
      <c r="J3996" s="44" t="str">
        <f t="array" ref="J3996">IF(B3996="","",_xlfn.XLOOKUP(B3996,'Form responses 1'!$B$2:$B$2604,'Form responses 1'!$G$2:$G$2604,""))</f>
        <v/>
      </c>
      <c r="K3996" s="56"/>
      <c r="L3996" s="58" t="str">
        <f t="shared" si="7"/>
        <v/>
      </c>
      <c r="M3996" s="49"/>
      <c r="N3996" s="49"/>
      <c r="O3996" s="49"/>
      <c r="P3996" s="49"/>
      <c r="Q3996" s="49"/>
      <c r="R3996" s="49"/>
      <c r="S3996" s="49"/>
      <c r="T3996" s="49"/>
      <c r="U3996" s="49"/>
      <c r="V3996" s="49"/>
      <c r="W3996" s="56"/>
      <c r="X3996" s="51" t="str">
        <f t="shared" si="5"/>
        <v/>
      </c>
      <c r="Y3996" s="50" t="s">
        <v>482</v>
      </c>
      <c r="Z3996" s="49">
        <f t="shared" si="6"/>
        <v>0</v>
      </c>
    </row>
    <row r="3997" ht="22.5" customHeight="1">
      <c r="B3997" s="57"/>
      <c r="C3997" s="43" t="str">
        <f t="array" ref="C3997">IF(B3997="","",_xlfn.XLOOKUP(B3997,'Form responses 1'!$B$2:$B$2604,'Form responses 1'!$A$2:$A$2604,""))</f>
        <v/>
      </c>
      <c r="D3997" s="44" t="str">
        <f t="shared" si="3"/>
        <v/>
      </c>
      <c r="E3997" s="44" t="str">
        <f t="array" ref="E3997">IF(B3997="","",_xlfn.XLOOKUP(B3997,'Form responses 1'!$B$2:$B$2604,'Form responses 1'!$C$2:$C$2604,""))</f>
        <v/>
      </c>
      <c r="F3997" s="44" t="str">
        <f t="array" ref="F3997">IF(B3997="","",_xlfn.XLOOKUP(B3997,'Form responses 1'!$B$2:$B$2604,'Form responses 1'!$D$2:$D$2604,""))</f>
        <v/>
      </c>
      <c r="G3997" s="44" t="str">
        <f t="array" ref="G3997">IF(B3997="","",_xlfn.XLOOKUP(B3997,'Form responses 1'!$B$2:$B$2604,'Form responses 1'!$E$2:$E$2604,""))</f>
        <v/>
      </c>
      <c r="H3997" s="44" t="str">
        <f t="array" ref="H3997">IF(B3997="","",_xlfn.XLOOKUP(B3997,'Form responses 1'!$B$2:$B$2604,'Form responses 1'!$F$2:$F$2604,""))</f>
        <v/>
      </c>
      <c r="I3997" s="44" t="str">
        <f t="array" ref="I3997">IF(B3997="","",_xlfn.XLOOKUP(B3997,'Form responses 1'!$B$2:$B$2604,'Form responses 1'!$I$2:$I$2604,""))</f>
        <v/>
      </c>
      <c r="J3997" s="44" t="str">
        <f t="array" ref="J3997">IF(B3997="","",_xlfn.XLOOKUP(B3997,'Form responses 1'!$B$2:$B$2604,'Form responses 1'!$G$2:$G$2604,""))</f>
        <v/>
      </c>
      <c r="K3997" s="56"/>
      <c r="L3997" s="58" t="str">
        <f t="shared" si="7"/>
        <v/>
      </c>
      <c r="M3997" s="49"/>
      <c r="N3997" s="49"/>
      <c r="O3997" s="49"/>
      <c r="P3997" s="49"/>
      <c r="Q3997" s="49"/>
      <c r="R3997" s="49"/>
      <c r="S3997" s="49"/>
      <c r="T3997" s="49"/>
      <c r="U3997" s="49"/>
      <c r="V3997" s="49"/>
      <c r="W3997" s="56"/>
      <c r="X3997" s="51" t="str">
        <f t="shared" si="5"/>
        <v/>
      </c>
      <c r="Y3997" s="50" t="s">
        <v>482</v>
      </c>
      <c r="Z3997" s="49">
        <f t="shared" si="6"/>
        <v>0</v>
      </c>
    </row>
    <row r="3998" ht="22.5" customHeight="1">
      <c r="B3998" s="57"/>
      <c r="C3998" s="43" t="str">
        <f t="array" ref="C3998">IF(B3998="","",_xlfn.XLOOKUP(B3998,'Form responses 1'!$B$2:$B$2604,'Form responses 1'!$A$2:$A$2604,""))</f>
        <v/>
      </c>
      <c r="D3998" s="44" t="str">
        <f t="shared" si="3"/>
        <v/>
      </c>
      <c r="E3998" s="44" t="str">
        <f t="array" ref="E3998">IF(B3998="","",_xlfn.XLOOKUP(B3998,'Form responses 1'!$B$2:$B$2604,'Form responses 1'!$C$2:$C$2604,""))</f>
        <v/>
      </c>
      <c r="F3998" s="44" t="str">
        <f t="array" ref="F3998">IF(B3998="","",_xlfn.XLOOKUP(B3998,'Form responses 1'!$B$2:$B$2604,'Form responses 1'!$D$2:$D$2604,""))</f>
        <v/>
      </c>
      <c r="G3998" s="44" t="str">
        <f t="array" ref="G3998">IF(B3998="","",_xlfn.XLOOKUP(B3998,'Form responses 1'!$B$2:$B$2604,'Form responses 1'!$E$2:$E$2604,""))</f>
        <v/>
      </c>
      <c r="H3998" s="44" t="str">
        <f t="array" ref="H3998">IF(B3998="","",_xlfn.XLOOKUP(B3998,'Form responses 1'!$B$2:$B$2604,'Form responses 1'!$F$2:$F$2604,""))</f>
        <v/>
      </c>
      <c r="I3998" s="44" t="str">
        <f t="array" ref="I3998">IF(B3998="","",_xlfn.XLOOKUP(B3998,'Form responses 1'!$B$2:$B$2604,'Form responses 1'!$I$2:$I$2604,""))</f>
        <v/>
      </c>
      <c r="J3998" s="44" t="str">
        <f t="array" ref="J3998">IF(B3998="","",_xlfn.XLOOKUP(B3998,'Form responses 1'!$B$2:$B$2604,'Form responses 1'!$G$2:$G$2604,""))</f>
        <v/>
      </c>
      <c r="K3998" s="56"/>
      <c r="L3998" s="58" t="str">
        <f t="shared" si="7"/>
        <v/>
      </c>
      <c r="M3998" s="49"/>
      <c r="N3998" s="49"/>
      <c r="O3998" s="49"/>
      <c r="P3998" s="49"/>
      <c r="Q3998" s="49"/>
      <c r="R3998" s="49"/>
      <c r="S3998" s="49"/>
      <c r="T3998" s="49"/>
      <c r="U3998" s="49"/>
      <c r="V3998" s="49"/>
      <c r="W3998" s="56"/>
      <c r="X3998" s="51" t="str">
        <f t="shared" si="5"/>
        <v/>
      </c>
      <c r="Y3998" s="50" t="s">
        <v>482</v>
      </c>
      <c r="Z3998" s="49">
        <f t="shared" si="6"/>
        <v>0</v>
      </c>
    </row>
    <row r="3999" ht="22.5" customHeight="1">
      <c r="B3999" s="57"/>
      <c r="C3999" s="43" t="str">
        <f t="array" ref="C3999">IF(B3999="","",_xlfn.XLOOKUP(B3999,'Form responses 1'!$B$2:$B$2604,'Form responses 1'!$A$2:$A$2604,""))</f>
        <v/>
      </c>
      <c r="D3999" s="44" t="str">
        <f t="shared" si="3"/>
        <v/>
      </c>
      <c r="E3999" s="44" t="str">
        <f t="array" ref="E3999">IF(B3999="","",_xlfn.XLOOKUP(B3999,'Form responses 1'!$B$2:$B$2604,'Form responses 1'!$C$2:$C$2604,""))</f>
        <v/>
      </c>
      <c r="F3999" s="44" t="str">
        <f t="array" ref="F3999">IF(B3999="","",_xlfn.XLOOKUP(B3999,'Form responses 1'!$B$2:$B$2604,'Form responses 1'!$D$2:$D$2604,""))</f>
        <v/>
      </c>
      <c r="G3999" s="44" t="str">
        <f t="array" ref="G3999">IF(B3999="","",_xlfn.XLOOKUP(B3999,'Form responses 1'!$B$2:$B$2604,'Form responses 1'!$E$2:$E$2604,""))</f>
        <v/>
      </c>
      <c r="H3999" s="44" t="str">
        <f t="array" ref="H3999">IF(B3999="","",_xlfn.XLOOKUP(B3999,'Form responses 1'!$B$2:$B$2604,'Form responses 1'!$F$2:$F$2604,""))</f>
        <v/>
      </c>
      <c r="I3999" s="44" t="str">
        <f t="array" ref="I3999">IF(B3999="","",_xlfn.XLOOKUP(B3999,'Form responses 1'!$B$2:$B$2604,'Form responses 1'!$I$2:$I$2604,""))</f>
        <v/>
      </c>
      <c r="J3999" s="44" t="str">
        <f t="array" ref="J3999">IF(B3999="","",_xlfn.XLOOKUP(B3999,'Form responses 1'!$B$2:$B$2604,'Form responses 1'!$G$2:$G$2604,""))</f>
        <v/>
      </c>
      <c r="K3999" s="56"/>
      <c r="L3999" s="58" t="str">
        <f t="shared" si="7"/>
        <v/>
      </c>
      <c r="M3999" s="49"/>
      <c r="N3999" s="49"/>
      <c r="O3999" s="49"/>
      <c r="P3999" s="49"/>
      <c r="Q3999" s="49"/>
      <c r="R3999" s="49"/>
      <c r="S3999" s="49"/>
      <c r="T3999" s="49"/>
      <c r="U3999" s="49"/>
      <c r="V3999" s="49"/>
      <c r="W3999" s="56"/>
      <c r="X3999" s="51" t="str">
        <f t="shared" si="5"/>
        <v/>
      </c>
      <c r="Y3999" s="50" t="s">
        <v>482</v>
      </c>
      <c r="Z3999" s="49">
        <f t="shared" si="6"/>
        <v>0</v>
      </c>
    </row>
    <row r="4000" ht="22.5" customHeight="1">
      <c r="B4000" s="57"/>
      <c r="C4000" s="43" t="str">
        <f t="array" ref="C4000">IF(B4000="","",_xlfn.XLOOKUP(B4000,'Form responses 1'!$B$2:$B$2604,'Form responses 1'!$A$2:$A$2604,""))</f>
        <v/>
      </c>
      <c r="D4000" s="44" t="str">
        <f t="shared" si="3"/>
        <v/>
      </c>
      <c r="E4000" s="44" t="str">
        <f t="array" ref="E4000">IF(B4000="","",_xlfn.XLOOKUP(B4000,'Form responses 1'!$B$2:$B$2604,'Form responses 1'!$C$2:$C$2604,""))</f>
        <v/>
      </c>
      <c r="F4000" s="44" t="str">
        <f t="array" ref="F4000">IF(B4000="","",_xlfn.XLOOKUP(B4000,'Form responses 1'!$B$2:$B$2604,'Form responses 1'!$D$2:$D$2604,""))</f>
        <v/>
      </c>
      <c r="G4000" s="44" t="str">
        <f t="array" ref="G4000">IF(B4000="","",_xlfn.XLOOKUP(B4000,'Form responses 1'!$B$2:$B$2604,'Form responses 1'!$E$2:$E$2604,""))</f>
        <v/>
      </c>
      <c r="H4000" s="44" t="str">
        <f t="array" ref="H4000">IF(B4000="","",_xlfn.XLOOKUP(B4000,'Form responses 1'!$B$2:$B$2604,'Form responses 1'!$F$2:$F$2604,""))</f>
        <v/>
      </c>
      <c r="I4000" s="44" t="str">
        <f t="array" ref="I4000">IF(B4000="","",_xlfn.XLOOKUP(B4000,'Form responses 1'!$B$2:$B$2604,'Form responses 1'!$I$2:$I$2604,""))</f>
        <v/>
      </c>
      <c r="J4000" s="44" t="str">
        <f t="array" ref="J4000">IF(B4000="","",_xlfn.XLOOKUP(B4000,'Form responses 1'!$B$2:$B$2604,'Form responses 1'!$G$2:$G$2604,""))</f>
        <v/>
      </c>
      <c r="K4000" s="56"/>
      <c r="L4000" s="58" t="str">
        <f t="shared" si="7"/>
        <v/>
      </c>
      <c r="M4000" s="49"/>
      <c r="N4000" s="49"/>
      <c r="O4000" s="49"/>
      <c r="P4000" s="49"/>
      <c r="Q4000" s="49"/>
      <c r="R4000" s="49"/>
      <c r="S4000" s="49"/>
      <c r="T4000" s="49"/>
      <c r="U4000" s="49"/>
      <c r="V4000" s="49"/>
      <c r="W4000" s="56"/>
      <c r="X4000" s="51" t="str">
        <f t="shared" si="5"/>
        <v/>
      </c>
      <c r="Y4000" s="50" t="s">
        <v>482</v>
      </c>
      <c r="Z4000" s="49">
        <f t="shared" si="6"/>
        <v>0</v>
      </c>
    </row>
    <row r="4001" ht="22.5" customHeight="1">
      <c r="B4001" s="57"/>
      <c r="C4001" s="43" t="str">
        <f t="array" ref="C4001">IF(B4001="","",_xlfn.XLOOKUP(B4001,'Form responses 1'!$B$2:$B$2604,'Form responses 1'!$A$2:$A$2604,""))</f>
        <v/>
      </c>
      <c r="D4001" s="44" t="str">
        <f t="shared" si="3"/>
        <v/>
      </c>
      <c r="E4001" s="44" t="str">
        <f t="array" ref="E4001">IF(B4001="","",_xlfn.XLOOKUP(B4001,'Form responses 1'!$B$2:$B$2604,'Form responses 1'!$C$2:$C$2604,""))</f>
        <v/>
      </c>
      <c r="F4001" s="44" t="str">
        <f t="array" ref="F4001">IF(B4001="","",_xlfn.XLOOKUP(B4001,'Form responses 1'!$B$2:$B$2604,'Form responses 1'!$D$2:$D$2604,""))</f>
        <v/>
      </c>
      <c r="G4001" s="44" t="str">
        <f t="array" ref="G4001">IF(B4001="","",_xlfn.XLOOKUP(B4001,'Form responses 1'!$B$2:$B$2604,'Form responses 1'!$E$2:$E$2604,""))</f>
        <v/>
      </c>
      <c r="H4001" s="44" t="str">
        <f t="array" ref="H4001">IF(B4001="","",_xlfn.XLOOKUP(B4001,'Form responses 1'!$B$2:$B$2604,'Form responses 1'!$F$2:$F$2604,""))</f>
        <v/>
      </c>
      <c r="I4001" s="44" t="str">
        <f t="array" ref="I4001">IF(B4001="","",_xlfn.XLOOKUP(B4001,'Form responses 1'!$B$2:$B$2604,'Form responses 1'!$I$2:$I$2604,""))</f>
        <v/>
      </c>
      <c r="J4001" s="44" t="str">
        <f t="array" ref="J4001">IF(B4001="","",_xlfn.XLOOKUP(B4001,'Form responses 1'!$B$2:$B$2604,'Form responses 1'!$G$2:$G$2604,""))</f>
        <v/>
      </c>
      <c r="K4001" s="56"/>
      <c r="L4001" s="58" t="str">
        <f t="shared" si="7"/>
        <v/>
      </c>
      <c r="M4001" s="49"/>
      <c r="N4001" s="49"/>
      <c r="O4001" s="49"/>
      <c r="P4001" s="49"/>
      <c r="Q4001" s="49"/>
      <c r="R4001" s="49"/>
      <c r="S4001" s="49"/>
      <c r="T4001" s="49"/>
      <c r="U4001" s="49"/>
      <c r="V4001" s="49"/>
      <c r="W4001" s="56"/>
      <c r="X4001" s="51" t="str">
        <f t="shared" si="5"/>
        <v/>
      </c>
      <c r="Y4001" s="50" t="s">
        <v>482</v>
      </c>
      <c r="Z4001" s="49">
        <f t="shared" si="6"/>
        <v>0</v>
      </c>
    </row>
    <row r="4002" ht="22.5" customHeight="1">
      <c r="B4002" s="57"/>
      <c r="C4002" s="43" t="str">
        <f t="array" ref="C4002">IF(B4002="","",_xlfn.XLOOKUP(B4002,'Form responses 1'!$B$2:$B$2604,'Form responses 1'!$A$2:$A$2604,""))</f>
        <v/>
      </c>
      <c r="D4002" s="44" t="str">
        <f t="shared" si="3"/>
        <v/>
      </c>
      <c r="E4002" s="44" t="str">
        <f t="array" ref="E4002">IF(B4002="","",_xlfn.XLOOKUP(B4002,'Form responses 1'!$B$2:$B$2604,'Form responses 1'!$C$2:$C$2604,""))</f>
        <v/>
      </c>
      <c r="F4002" s="44" t="str">
        <f t="array" ref="F4002">IF(B4002="","",_xlfn.XLOOKUP(B4002,'Form responses 1'!$B$2:$B$2604,'Form responses 1'!$D$2:$D$2604,""))</f>
        <v/>
      </c>
      <c r="G4002" s="44" t="str">
        <f t="array" ref="G4002">IF(B4002="","",_xlfn.XLOOKUP(B4002,'Form responses 1'!$B$2:$B$2604,'Form responses 1'!$E$2:$E$2604,""))</f>
        <v/>
      </c>
      <c r="H4002" s="44" t="str">
        <f t="array" ref="H4002">IF(B4002="","",_xlfn.XLOOKUP(B4002,'Form responses 1'!$B$2:$B$2604,'Form responses 1'!$F$2:$F$2604,""))</f>
        <v/>
      </c>
      <c r="I4002" s="44" t="str">
        <f t="array" ref="I4002">IF(B4002="","",_xlfn.XLOOKUP(B4002,'Form responses 1'!$B$2:$B$2604,'Form responses 1'!$I$2:$I$2604,""))</f>
        <v/>
      </c>
      <c r="J4002" s="44" t="str">
        <f t="array" ref="J4002">IF(B4002="","",_xlfn.XLOOKUP(B4002,'Form responses 1'!$B$2:$B$2604,'Form responses 1'!$G$2:$G$2604,""))</f>
        <v/>
      </c>
      <c r="K4002" s="56"/>
      <c r="L4002" s="58" t="str">
        <f t="shared" si="7"/>
        <v/>
      </c>
      <c r="M4002" s="49"/>
      <c r="N4002" s="49"/>
      <c r="O4002" s="49"/>
      <c r="P4002" s="49"/>
      <c r="Q4002" s="49"/>
      <c r="R4002" s="49"/>
      <c r="S4002" s="49"/>
      <c r="T4002" s="49"/>
      <c r="U4002" s="49"/>
      <c r="V4002" s="49"/>
      <c r="W4002" s="56"/>
      <c r="X4002" s="51" t="str">
        <f t="shared" si="5"/>
        <v/>
      </c>
      <c r="Y4002" s="50" t="s">
        <v>482</v>
      </c>
      <c r="Z4002" s="49">
        <f t="shared" si="6"/>
        <v>0</v>
      </c>
    </row>
  </sheetData>
  <dataValidations>
    <dataValidation type="list" allowBlank="1" sqref="W4:W4002">
      <formula1>"PERBAIKAN,SELESAI (LENGKAP),DIBATALKAN"</formula1>
    </dataValidation>
    <dataValidation type="list" allowBlank="1" sqref="K4:K4002">
      <formula1>"Zevina,Ila Nofri,Ginta Monita,Fikka,Kholfa,Maharani"</formula1>
    </dataValidation>
    <dataValidation type="custom" allowBlank="1" showDropDown="1" sqref="C4:C4002">
      <formula1>OR(NOT(ISERROR(DATEVALUE(C4))), AND(ISNUMBER(C4), LEFT(CELL("format", C4))="D"))</formula1>
    </dataValidation>
    <dataValidation type="list" allowBlank="1" sqref="B4:B4002">
      <formula1>#REF!</formula1>
    </dataValidation>
  </dataValidations>
  <hyperlinks>
    <hyperlink display="Cetak" location="JS!A1" ref="Y4"/>
    <hyperlink display="Cetak" location="JS!A1" ref="Y5"/>
    <hyperlink display="Cetak" location="JS!A1" ref="Y6"/>
    <hyperlink display="Cetak" location="JS!A1" ref="Y7"/>
    <hyperlink display="Cetak" location="JS!A1" ref="Y8"/>
    <hyperlink display="Cetak" location="JS!A1" ref="Y9"/>
    <hyperlink display="Cetak" location="JS!A1" ref="Y10"/>
    <hyperlink display="Cetak" location="JS!A1" ref="Y11"/>
    <hyperlink display="Cetak" location="JS!A1" ref="Y12"/>
    <hyperlink display="Cetak" location="JS!A1" ref="Y13"/>
    <hyperlink display="Cetak" location="JS!A1" ref="Y14"/>
    <hyperlink display="Cetak" location="JS!A1" ref="Y15"/>
    <hyperlink display="Cetak" location="JS!A1" ref="Y16"/>
    <hyperlink display="Cetak" location="JS!A1" ref="Y17"/>
    <hyperlink display="Cetak" location="JS!A1" ref="Y18"/>
    <hyperlink display="Cetak" location="JS!A1" ref="Y19"/>
    <hyperlink display="Cetak" location="JS!A1" ref="Y20"/>
    <hyperlink display="Cetak" location="JS!A1" ref="Y21"/>
    <hyperlink display="Cetak" location="JS!A1" ref="Y22"/>
    <hyperlink display="Cetak" location="JS!A1" ref="Y23"/>
    <hyperlink display="Cetak" location="JS!A1" ref="Y24"/>
    <hyperlink display="Cetak" location="JS!A1" ref="Y25"/>
    <hyperlink display="Cetak" location="JS!A1" ref="Y26"/>
    <hyperlink display="Cetak" location="JS!A1" ref="Y27"/>
    <hyperlink display="Cetak" location="JS!A1" ref="Y28"/>
    <hyperlink display="Cetak" location="JS!A1" ref="Y29"/>
    <hyperlink display="Cetak" location="JS!A1" ref="Y30"/>
    <hyperlink display="Cetak" location="JS!A1" ref="Y31"/>
    <hyperlink display="Cetak" location="JS!A1" ref="Y32"/>
    <hyperlink display="Cetak" location="JS!A1" ref="Y33"/>
    <hyperlink display="Cetak" location="JS!A1" ref="Y34"/>
    <hyperlink display="Cetak" location="JS!A1" ref="Y35"/>
    <hyperlink display="Cetak" location="JS!A1" ref="Y36"/>
    <hyperlink display="Cetak" location="JS!A1" ref="Y37"/>
    <hyperlink display="Cetak" location="JS!A1" ref="Y38"/>
    <hyperlink display="Cetak" location="JS!A1" ref="Y39"/>
    <hyperlink display="Cetak" location="JS!A1" ref="Y40"/>
    <hyperlink display="Cetak" location="JS!A1" ref="Y41"/>
    <hyperlink display="Cetak" location="JS!A1" ref="Y42"/>
    <hyperlink display="Cetak" location="JS!A1" ref="Y43"/>
    <hyperlink display="Cetak" location="JS!A1" ref="Y44"/>
    <hyperlink display="Cetak" location="JS!A1" ref="Y45"/>
    <hyperlink display="Cetak" location="JS!A1" ref="Y46"/>
    <hyperlink display="Cetak" location="JS!A1" ref="Y47"/>
    <hyperlink display="Cetak" location="JS!A1" ref="Y48"/>
    <hyperlink display="Cetak" location="JS!A1" ref="Y49"/>
    <hyperlink display="Cetak" location="JS!A1" ref="Y50"/>
    <hyperlink display="Cetak" location="JS!A1" ref="Y51"/>
    <hyperlink display="Cetak" location="JS!A1" ref="Y52"/>
    <hyperlink display="Cetak" location="JS!A1" ref="Y53"/>
    <hyperlink display="Cetak" location="JS!A1" ref="Y54"/>
    <hyperlink display="Cetak" location="JS!A1" ref="Y55"/>
    <hyperlink display="Cetak" location="JS!A1" ref="Y56"/>
    <hyperlink display="Cetak" location="JS!A1" ref="Y57"/>
    <hyperlink display="Cetak" location="JS!A1" ref="Y58"/>
    <hyperlink display="Cetak" location="JS!A1" ref="Y59"/>
    <hyperlink display="Cetak" location="JS!A1" ref="Y60"/>
    <hyperlink display="Cetak" location="JS!A1" ref="Y61"/>
    <hyperlink display="Cetak" location="JS!A1" ref="Y62"/>
    <hyperlink display="Cetak" location="JS!A1" ref="Y63"/>
    <hyperlink display="Cetak" location="JS!A1" ref="Y64"/>
    <hyperlink display="Cetak" location="JS!A1" ref="Y65"/>
    <hyperlink display="Cetak" location="JS!A1" ref="Y66"/>
    <hyperlink display="Cetak" location="JS!A1" ref="Y67"/>
    <hyperlink display="Cetak" location="JS!A1" ref="Y68"/>
    <hyperlink display="Cetak" location="JS!A1" ref="Y69"/>
    <hyperlink display="Cetak" location="JS!A1" ref="Y70"/>
    <hyperlink display="Cetak" location="JS!A1" ref="Y71"/>
    <hyperlink display="Cetak" location="JS!A1" ref="Y72"/>
    <hyperlink display="Cetak" location="JS!A1" ref="Y73"/>
    <hyperlink display="Cetak" location="JS!A1" ref="Y74"/>
    <hyperlink display="Cetak" location="JS!A1" ref="Y75"/>
    <hyperlink display="Cetak" location="JS!A1" ref="Y76"/>
    <hyperlink display="Cetak" location="JS!A1" ref="Y77"/>
    <hyperlink display="Cetak" location="JS!A1" ref="Y78"/>
    <hyperlink display="Cetak" location="JS!A1" ref="Y79"/>
    <hyperlink display="Cetak" location="JS!A1" ref="Y80"/>
    <hyperlink display="Cetak" location="JS!A1" ref="Y81"/>
    <hyperlink display="Cetak" location="JS!A1" ref="Y82"/>
    <hyperlink display="Cetak" location="JS!A1" ref="Y83"/>
    <hyperlink display="Cetak" location="JS!A1" ref="Y84"/>
    <hyperlink display="Cetak" location="JS!A1" ref="Y85"/>
    <hyperlink display="Cetak" location="JS!A1" ref="Y86"/>
    <hyperlink display="Cetak" location="JS!A1" ref="Y87"/>
    <hyperlink display="Cetak" location="JS!A1" ref="Y88"/>
    <hyperlink display="Cetak" location="JS!A1" ref="Y89"/>
    <hyperlink display="Cetak" location="JS!A1" ref="Y90"/>
    <hyperlink display="Cetak" location="JS!A1" ref="Y91"/>
    <hyperlink display="Cetak" location="JS!A1" ref="Y92"/>
    <hyperlink display="Cetak" location="JS!A1" ref="Y93"/>
    <hyperlink display="Cetak" location="JS!A1" ref="Y94"/>
    <hyperlink display="Cetak" location="JS!A1" ref="Y95"/>
    <hyperlink display="Cetak" location="JS!A1" ref="Y96"/>
    <hyperlink display="Cetak" location="JS!A1" ref="Y97"/>
    <hyperlink display="Cetak" location="JS!A1" ref="Y98"/>
    <hyperlink display="Cetak" location="JS!A1" ref="Y99"/>
    <hyperlink display="Cetak" location="JS!A1" ref="Y100"/>
    <hyperlink display="Cetak" location="JS!A1" ref="Y101"/>
    <hyperlink display="Cetak" location="JS!A1" ref="Y102"/>
    <hyperlink display="Cetak" location="JS!A1" ref="Y103"/>
    <hyperlink display="Cetak" location="JS!A1" ref="Y104"/>
    <hyperlink display="Cetak" location="JS!A1" ref="Y105"/>
    <hyperlink display="Cetak" location="JS!A1" ref="Y106"/>
    <hyperlink display="Cetak" location="JS!A1" ref="Y107"/>
    <hyperlink display="Cetak" location="JS!A1" ref="Y108"/>
    <hyperlink display="Cetak" location="JS!A1" ref="Y109"/>
    <hyperlink display="Cetak" location="JS!A1" ref="Y110"/>
    <hyperlink display="Cetak" location="JS!A1" ref="Y111"/>
    <hyperlink display="Cetak" location="JS!A1" ref="Y112"/>
    <hyperlink display="Cetak" location="JS!A1" ref="Y113"/>
    <hyperlink display="Cetak" location="JS!A1" ref="Y114"/>
    <hyperlink display="Cetak" location="JS!A1" ref="Y115"/>
    <hyperlink display="Cetak" location="JS!A1" ref="Y116"/>
    <hyperlink display="Cetak" location="JS!A1" ref="Y117"/>
    <hyperlink display="Cetak" location="JS!A1" ref="Y118"/>
    <hyperlink display="Cetak" location="JS!A1" ref="Y119"/>
    <hyperlink display="Cetak" location="JS!A1" ref="Y120"/>
    <hyperlink display="Cetak" location="JS!A1" ref="Y121"/>
    <hyperlink display="Cetak" location="JS!A1" ref="Y122"/>
    <hyperlink display="Cetak" location="JS!A1" ref="Y123"/>
    <hyperlink display="Cetak" location="JS!A1" ref="Y124"/>
    <hyperlink display="Cetak" location="JS!A1" ref="Y125"/>
    <hyperlink display="Cetak" location="JS!A1" ref="Y126"/>
    <hyperlink display="Cetak" location="JS!A1" ref="Y127"/>
    <hyperlink display="Cetak" location="JS!A1" ref="Y128"/>
    <hyperlink display="Cetak" location="JS!A1" ref="Y129"/>
    <hyperlink display="Cetak" location="JS!A1" ref="Y130"/>
    <hyperlink display="Cetak" location="JS!A1" ref="Y131"/>
    <hyperlink display="Cetak" location="JS!A1" ref="Y132"/>
    <hyperlink display="Cetak" location="JS!A1" ref="Y133"/>
    <hyperlink display="Cetak" location="JS!A1" ref="Y134"/>
    <hyperlink display="Cetak" location="JS!A1" ref="Y135"/>
    <hyperlink display="Cetak" location="JS!A1" ref="Y136"/>
    <hyperlink display="Cetak" location="JS!A1" ref="Y137"/>
    <hyperlink display="Cetak" location="JS!A1" ref="Y138"/>
    <hyperlink display="Cetak" location="JS!A1" ref="Y139"/>
    <hyperlink display="Cetak" location="JS!A1" ref="Y140"/>
    <hyperlink display="Cetak" location="JS!A1" ref="Y141"/>
    <hyperlink display="Cetak" location="JS!A1" ref="Y142"/>
    <hyperlink display="Cetak" location="JS!A1" ref="Y143"/>
    <hyperlink display="Cetak" location="JS!A1" ref="Y144"/>
    <hyperlink display="Cetak" location="JS!A1" ref="Y145"/>
    <hyperlink display="Cetak" location="JS!A1" ref="Y146"/>
    <hyperlink display="Cetak" location="JS!A1" ref="Y147"/>
    <hyperlink display="Cetak" location="JS!A1" ref="Y148"/>
    <hyperlink display="Cetak" location="JS!A1" ref="Y149"/>
    <hyperlink display="Cetak" location="JS!A1" ref="Y150"/>
    <hyperlink display="Cetak" location="JS!A1" ref="Y151"/>
    <hyperlink display="Cetak" location="JS!A1" ref="Y152"/>
    <hyperlink display="Cetak" location="JS!A1" ref="Y153"/>
    <hyperlink display="Cetak" location="JS!A1" ref="Y154"/>
    <hyperlink display="Cetak" location="JS!A1" ref="Y155"/>
    <hyperlink display="Cetak" location="JS!A1" ref="Y156"/>
    <hyperlink display="Cetak" location="JS!A1" ref="Y157"/>
    <hyperlink display="Cetak" location="JS!A1" ref="Y158"/>
    <hyperlink display="Cetak" location="JS!A1" ref="Y159"/>
    <hyperlink display="Cetak" location="JS!A1" ref="Y160"/>
    <hyperlink display="Cetak" location="JS!A1" ref="Y161"/>
    <hyperlink display="Cetak" location="JS!A1" ref="Y162"/>
    <hyperlink display="Cetak" location="JS!A1" ref="Y163"/>
    <hyperlink display="Cetak" location="JS!A1" ref="Y164"/>
    <hyperlink display="Cetak" location="JS!A1" ref="Y165"/>
    <hyperlink display="Cetak" location="JS!A1" ref="Y166"/>
    <hyperlink display="Cetak" location="JS!A1" ref="Y167"/>
    <hyperlink display="Cetak" location="JS!A1" ref="Y168"/>
    <hyperlink display="Cetak" location="JS!A1" ref="Y169"/>
    <hyperlink display="Cetak" location="JS!A1" ref="Y170"/>
    <hyperlink display="Cetak" location="JS!A1" ref="Y171"/>
    <hyperlink display="Cetak" location="JS!A1" ref="Y172"/>
    <hyperlink display="Cetak" location="JS!A1" ref="Y173"/>
    <hyperlink display="Cetak" location="JS!A1" ref="Y174"/>
    <hyperlink display="Cetak" location="JS!A1" ref="Y175"/>
    <hyperlink display="Cetak" location="JS!A1" ref="Y176"/>
    <hyperlink display="Cetak" location="JS!A1" ref="Y177"/>
    <hyperlink display="Cetak" location="JS!A1" ref="Y178"/>
    <hyperlink display="Cetak" location="JS!A1" ref="Y179"/>
    <hyperlink display="Cetak" location="JS!A1" ref="Y180"/>
    <hyperlink display="Cetak" location="JS!A1" ref="Y181"/>
    <hyperlink display="Cetak" location="JS!A1" ref="Y182"/>
    <hyperlink display="Cetak" location="JS!A1" ref="Y183"/>
    <hyperlink display="Cetak" location="JS!A1" ref="Y184"/>
    <hyperlink display="Cetak" location="JS!A1" ref="Y185"/>
    <hyperlink display="Cetak" location="JS!A1" ref="Y186"/>
    <hyperlink display="Cetak" location="JS!A1" ref="Y187"/>
    <hyperlink display="Cetak" location="JS!A1" ref="Y188"/>
    <hyperlink display="Cetak" location="JS!A1" ref="Y189"/>
    <hyperlink display="Cetak" location="JS!A1" ref="Y190"/>
    <hyperlink display="Cetak" location="JS!A1" ref="Y191"/>
    <hyperlink display="Cetak" location="JS!A1" ref="Y192"/>
    <hyperlink display="Cetak" location="JS!A1" ref="Y193"/>
    <hyperlink display="Cetak" location="JS!A1" ref="Y194"/>
    <hyperlink display="Cetak" location="JS!A1" ref="Y195"/>
    <hyperlink display="Cetak" location="JS!A1" ref="Y196"/>
    <hyperlink display="Cetak" location="JS!A1" ref="Y197"/>
    <hyperlink display="Cetak" location="JS!A1" ref="Y198"/>
    <hyperlink display="Cetak" location="JS!A1" ref="Y199"/>
    <hyperlink display="Cetak" location="JS!A1" ref="Y200"/>
    <hyperlink display="Cetak" location="JS!A1" ref="Y201"/>
    <hyperlink display="Cetak" location="JS!A1" ref="Y202"/>
    <hyperlink display="Cetak" location="JS!A1" ref="Y203"/>
    <hyperlink display="Cetak" location="JS!A1" ref="Y204"/>
    <hyperlink display="Cetak" location="JS!A1" ref="Y205"/>
    <hyperlink display="Cetak" location="JS!A1" ref="Y206"/>
    <hyperlink display="Cetak" location="JS!A1" ref="Y207"/>
    <hyperlink display="Cetak" location="JS!A1" ref="Y208"/>
    <hyperlink display="Cetak" location="JS!A1" ref="Y209"/>
    <hyperlink display="Cetak" location="JS!A1" ref="Y210"/>
    <hyperlink display="Cetak" location="JS!A1" ref="Y211"/>
    <hyperlink display="Cetak" location="JS!A1" ref="Y212"/>
    <hyperlink display="Cetak" location="JS!A1" ref="Y213"/>
    <hyperlink display="Cetak" location="JS!A1" ref="Y214"/>
    <hyperlink display="Cetak" location="JS!A1" ref="Y215"/>
    <hyperlink display="Cetak" location="JS!A1" ref="Y216"/>
    <hyperlink display="Cetak" location="JS!A1" ref="Y217"/>
    <hyperlink display="Cetak" location="JS!A1" ref="Y218"/>
    <hyperlink display="Cetak" location="JS!A1" ref="Y219"/>
    <hyperlink display="Cetak" location="JS!A1" ref="Y220"/>
    <hyperlink display="Cetak" location="JS!A1" ref="Y221"/>
    <hyperlink display="Cetak" location="JS!A1" ref="Y222"/>
    <hyperlink display="Cetak" location="JS!A1" ref="Y223"/>
    <hyperlink display="Cetak" location="JS!A1" ref="Y224"/>
    <hyperlink display="Cetak" location="JS!A1" ref="Y225"/>
    <hyperlink display="Cetak" location="JS!A1" ref="Y226"/>
    <hyperlink display="Cetak" location="JS!A1" ref="Y227"/>
    <hyperlink display="Cetak" location="JS!A1" ref="Y228"/>
    <hyperlink display="Cetak" location="JS!A1" ref="Y229"/>
    <hyperlink display="Cetak" location="JS!A1" ref="Y230"/>
    <hyperlink display="Cetak" location="JS!A1" ref="Y231"/>
    <hyperlink display="Cetak" location="JS!A1" ref="Y232"/>
    <hyperlink display="Cetak" location="JS!A1" ref="Y233"/>
    <hyperlink display="Cetak" location="JS!A1" ref="Y234"/>
    <hyperlink display="Cetak" location="JS!A1" ref="Y235"/>
    <hyperlink display="Cetak" location="JS!A1" ref="Y236"/>
    <hyperlink display="Cetak" location="JS!A1" ref="Y237"/>
    <hyperlink display="Cetak" location="JS!A1" ref="Y238"/>
    <hyperlink display="Cetak" location="JS!A1" ref="Y239"/>
    <hyperlink display="Cetak" location="JS!A1" ref="Y240"/>
    <hyperlink display="Cetak" location="JS!A1" ref="Y241"/>
    <hyperlink display="Cetak" location="JS!A1" ref="Y242"/>
    <hyperlink display="Cetak" location="JS!A1" ref="Y243"/>
    <hyperlink display="Cetak" location="JS!A1" ref="Y244"/>
    <hyperlink display="Cetak" location="JS!A1" ref="Y245"/>
    <hyperlink display="Cetak" location="JS!A1" ref="Y246"/>
    <hyperlink display="Cetak" location="JS!A1" ref="Y247"/>
    <hyperlink display="Cetak" location="JS!A1" ref="Y248"/>
    <hyperlink display="Cetak" location="JS!A1" ref="Y249"/>
    <hyperlink display="Cetak" location="JS!A1" ref="Y250"/>
    <hyperlink display="Cetak" location="JS!A1" ref="Y251"/>
    <hyperlink display="Cetak" location="JS!A1" ref="Y252"/>
    <hyperlink display="Cetak" location="JS!A1" ref="Y253"/>
    <hyperlink display="Cetak" location="JS!A1" ref="Y254"/>
    <hyperlink display="Cetak" location="JS!A1" ref="Y255"/>
    <hyperlink display="Cetak" location="JS!A1" ref="Y256"/>
    <hyperlink display="Cetak" location="JS!A1" ref="Y257"/>
    <hyperlink display="Cetak" location="JS!A1" ref="Y258"/>
    <hyperlink display="Cetak" location="JS!A1" ref="Y259"/>
    <hyperlink display="Cetak" location="JS!A1" ref="Y260"/>
    <hyperlink display="Cetak" location="JS!A1" ref="Y261"/>
    <hyperlink display="Cetak" location="JS!A1" ref="Y262"/>
    <hyperlink display="Cetak" location="JS!A1" ref="Y263"/>
    <hyperlink display="Cetak" location="JS!A1" ref="Y264"/>
    <hyperlink display="Cetak" location="JS!A1" ref="Y265"/>
    <hyperlink display="Cetak" location="JS!A1" ref="Y266"/>
    <hyperlink display="Cetak" location="JS!A1" ref="Y267"/>
    <hyperlink display="Cetak" location="JS!A1" ref="Y268"/>
    <hyperlink display="Cetak" location="JS!A1" ref="Y269"/>
    <hyperlink display="Cetak" location="JS!A1" ref="Y270"/>
    <hyperlink display="Cetak" location="JS!A1" ref="Y271"/>
    <hyperlink display="Cetak" location="JS!A1" ref="Y272"/>
    <hyperlink display="Cetak" location="JS!A1" ref="Y273"/>
    <hyperlink display="Cetak" location="JS!A1" ref="Y274"/>
    <hyperlink display="Cetak" location="JS!A1" ref="Y275"/>
    <hyperlink display="Cetak" location="JS!A1" ref="Y276"/>
    <hyperlink display="Cetak" location="JS!A1" ref="Y277"/>
    <hyperlink display="Cetak" location="JS!A1" ref="Y278"/>
    <hyperlink display="Cetak" location="JS!A1" ref="Y279"/>
    <hyperlink display="Cetak" location="JS!A1" ref="Y280"/>
    <hyperlink display="Cetak" location="JS!A1" ref="Y281"/>
    <hyperlink display="Cetak" location="JS!A1" ref="Y282"/>
    <hyperlink display="Cetak" location="JS!A1" ref="Y283"/>
    <hyperlink display="Cetak" location="JS!A1" ref="Y284"/>
    <hyperlink display="Cetak" location="JS!A1" ref="Y285"/>
    <hyperlink display="Cetak" location="JS!A1" ref="Y286"/>
    <hyperlink display="Cetak" location="JS!A1" ref="Y287"/>
    <hyperlink display="Cetak" location="JS!A1" ref="Y288"/>
    <hyperlink display="Cetak" location="JS!A1" ref="Y289"/>
    <hyperlink display="Cetak" location="JS!A1" ref="Y290"/>
    <hyperlink display="Cetak" location="JS!A1" ref="Y291"/>
    <hyperlink display="Cetak" location="JS!A1" ref="Y292"/>
    <hyperlink display="Cetak" location="JS!A1" ref="Y293"/>
    <hyperlink display="Cetak" location="JS!A1" ref="Y294"/>
    <hyperlink display="Cetak" location="JS!A1" ref="Y295"/>
    <hyperlink display="Cetak" location="JS!A1" ref="Y296"/>
    <hyperlink display="Cetak" location="JS!A1" ref="Y297"/>
    <hyperlink display="Cetak" location="JS!A1" ref="Y298"/>
    <hyperlink display="Cetak" location="JS!A1" ref="Y299"/>
    <hyperlink display="Cetak" location="JS!A1" ref="Y300"/>
    <hyperlink display="Cetak" location="JS!A1" ref="Y301"/>
    <hyperlink display="Cetak" location="JS!A1" ref="Y302"/>
    <hyperlink display="Cetak" location="JS!A1" ref="Y303"/>
    <hyperlink display="Cetak" location="JS!A1" ref="Y304"/>
    <hyperlink display="Cetak" location="JS!A1" ref="Y305"/>
    <hyperlink display="Cetak" location="JS!A1" ref="Y306"/>
    <hyperlink display="Cetak" location="JS!A1" ref="Y307"/>
    <hyperlink display="Cetak" location="JS!A1" ref="Y308"/>
    <hyperlink display="Cetak" location="JS!A1" ref="Y309"/>
    <hyperlink display="Cetak" location="JS!A1" ref="Y310"/>
    <hyperlink display="Cetak" location="JS!A1" ref="Y311"/>
    <hyperlink display="Cetak" location="JS!A1" ref="Y312"/>
    <hyperlink display="Cetak" location="JS!A1" ref="Y313"/>
    <hyperlink display="Cetak" location="JS!A1" ref="Y314"/>
    <hyperlink display="Cetak" location="JS!A1" ref="Y315"/>
    <hyperlink display="Cetak" location="JS!A1" ref="Y316"/>
    <hyperlink display="Cetak" location="JS!A1" ref="Y317"/>
    <hyperlink display="Cetak" location="JS!A1" ref="Y318"/>
    <hyperlink display="Cetak" location="JS!A1" ref="Y319"/>
    <hyperlink display="Cetak" location="JS!A1" ref="Y320"/>
    <hyperlink display="Cetak" location="JS!A1" ref="Y321"/>
    <hyperlink display="Cetak" location="JS!A1" ref="Y322"/>
    <hyperlink display="Cetak" location="JS!A1" ref="Y323"/>
    <hyperlink display="Cetak" location="JS!A1" ref="Y324"/>
    <hyperlink display="Cetak" location="JS!A1" ref="Y325"/>
    <hyperlink display="Cetak" location="JS!A1" ref="Y326"/>
    <hyperlink display="Cetak" location="JS!A1" ref="Y327"/>
    <hyperlink display="Cetak" location="JS!A1" ref="Y328"/>
    <hyperlink display="Cetak" location="JS!A1" ref="Y329"/>
    <hyperlink display="Cetak" location="JS!A1" ref="Y330"/>
    <hyperlink display="Cetak" location="JS!A1" ref="Y331"/>
    <hyperlink display="Cetak" location="JS!A1" ref="Y332"/>
    <hyperlink display="Cetak" location="JS!A1" ref="Y333"/>
    <hyperlink display="Cetak" location="JS!A1" ref="Y334"/>
    <hyperlink display="Cetak" location="JS!A1" ref="Y335"/>
    <hyperlink display="Cetak" location="JS!A1" ref="Y336"/>
    <hyperlink display="Cetak" location="JS!A1" ref="Y337"/>
    <hyperlink display="Cetak" location="JS!A1" ref="Y338"/>
    <hyperlink display="Cetak" location="JS!A1" ref="Y339"/>
    <hyperlink display="Cetak" location="JS!A1" ref="Y340"/>
    <hyperlink display="Cetak" location="JS!A1" ref="Y341"/>
    <hyperlink display="Cetak" location="JS!A1" ref="Y342"/>
    <hyperlink display="Cetak" location="JS!A1" ref="Y343"/>
    <hyperlink display="Cetak" location="JS!A1" ref="Y344"/>
    <hyperlink display="Cetak" location="JS!A1" ref="Y345"/>
    <hyperlink display="Cetak" location="JS!A1" ref="Y346"/>
    <hyperlink display="Cetak" location="JS!A1" ref="Y347"/>
    <hyperlink display="Cetak" location="JS!A1" ref="Y348"/>
    <hyperlink display="Cetak" location="JS!A1" ref="Y349"/>
    <hyperlink display="Cetak" location="JS!A1" ref="Y350"/>
    <hyperlink display="Cetak" location="JS!A1" ref="Y351"/>
    <hyperlink display="Cetak" location="JS!A1" ref="Y352"/>
    <hyperlink display="Cetak" location="JS!A1" ref="Y353"/>
    <hyperlink display="Cetak" location="JS!A1" ref="Y354"/>
    <hyperlink display="Cetak" location="JS!A1" ref="Y355"/>
    <hyperlink display="Cetak" location="JS!A1" ref="Y356"/>
    <hyperlink display="Cetak" location="JS!A1" ref="Y357"/>
    <hyperlink display="Cetak" location="JS!A1" ref="Y358"/>
    <hyperlink display="Cetak" location="JS!A1" ref="Y359"/>
    <hyperlink display="Cetak" location="JS!A1" ref="Y360"/>
    <hyperlink display="Cetak" location="JS!A1" ref="Y361"/>
    <hyperlink display="Cetak" location="JS!A1" ref="Y362"/>
    <hyperlink display="Cetak" location="JS!A1" ref="Y363"/>
    <hyperlink display="Cetak" location="JS!A1" ref="Y364"/>
    <hyperlink display="Cetak" location="JS!A1" ref="Y365"/>
    <hyperlink display="Cetak" location="JS!A1" ref="Y366"/>
    <hyperlink display="Cetak" location="JS!A1" ref="Y367"/>
    <hyperlink display="Cetak" location="JS!A1" ref="Y368"/>
    <hyperlink display="Cetak" location="JS!A1" ref="Y369"/>
    <hyperlink display="Cetak" location="JS!A1" ref="Y370"/>
    <hyperlink display="Cetak" location="JS!A1" ref="Y371"/>
    <hyperlink display="Cetak" location="JS!A1" ref="Y372"/>
    <hyperlink display="Cetak" location="JS!A1" ref="Y373"/>
    <hyperlink display="Cetak" location="JS!A1" ref="Y374"/>
    <hyperlink display="Cetak" location="JS!A1" ref="Y375"/>
    <hyperlink display="Cetak" location="JS!A1" ref="Y376"/>
    <hyperlink display="Cetak" location="JS!A1" ref="Y377"/>
    <hyperlink display="Cetak" location="JS!A1" ref="Y378"/>
    <hyperlink display="Cetak" location="JS!A1" ref="Y379"/>
    <hyperlink display="Cetak" location="JS!A1" ref="Y380"/>
    <hyperlink display="Cetak" location="JS!A1" ref="Y381"/>
    <hyperlink display="Cetak" location="JS!A1" ref="Y382"/>
    <hyperlink display="Cetak" location="JS!A1" ref="Y383"/>
    <hyperlink display="Cetak" location="JS!A1" ref="Y384"/>
    <hyperlink display="Cetak" location="JS!A1" ref="Y385"/>
    <hyperlink display="Cetak" location="JS!A1" ref="Y386"/>
    <hyperlink display="Cetak" location="JS!A1" ref="Y387"/>
    <hyperlink display="Cetak" location="JS!A1" ref="Y388"/>
    <hyperlink display="Cetak" location="JS!A1" ref="Y389"/>
    <hyperlink display="Cetak" location="JS!A1" ref="Y390"/>
    <hyperlink display="Cetak" location="JS!A1" ref="Y391"/>
    <hyperlink display="Cetak" location="JS!A1" ref="Y392"/>
    <hyperlink display="Cetak" location="JS!A1" ref="Y393"/>
    <hyperlink display="Cetak" location="JS!A1" ref="Y394"/>
    <hyperlink display="Cetak" location="JS!A1" ref="Y395"/>
    <hyperlink display="Cetak" location="JS!A1" ref="Y396"/>
    <hyperlink display="Cetak" location="JS!A1" ref="Y397"/>
    <hyperlink display="Cetak" location="JS!A1" ref="Y398"/>
    <hyperlink display="Cetak" location="JS!A1" ref="Y399"/>
    <hyperlink display="Cetak" location="JS!A1" ref="Y400"/>
    <hyperlink display="Cetak" location="JS!A1" ref="Y401"/>
    <hyperlink display="Cetak" location="JS!A1" ref="Y402"/>
    <hyperlink display="Cetak" location="JS!A1" ref="Y403"/>
    <hyperlink display="Cetak" location="JS!A1" ref="Y404"/>
    <hyperlink display="Cetak" location="JS!A1" ref="Y405"/>
    <hyperlink display="Cetak" location="JS!A1" ref="Y406"/>
    <hyperlink display="Cetak" location="JS!A1" ref="Y407"/>
    <hyperlink display="Cetak" location="JS!A1" ref="Y408"/>
    <hyperlink display="Cetak" location="JS!A1" ref="Y409"/>
    <hyperlink display="Cetak" location="JS!A1" ref="Y410"/>
    <hyperlink display="Cetak" location="JS!A1" ref="Y411"/>
    <hyperlink display="Cetak" location="JS!A1" ref="Y412"/>
    <hyperlink display="Cetak" location="JS!A1" ref="Y413"/>
    <hyperlink display="Cetak" location="JS!A1" ref="Y414"/>
    <hyperlink display="Cetak" location="JS!A1" ref="Y415"/>
    <hyperlink display="Cetak" location="JS!A1" ref="Y416"/>
    <hyperlink display="Cetak" location="JS!A1" ref="Y417"/>
    <hyperlink display="Cetak" location="JS!A1" ref="Y418"/>
    <hyperlink display="Cetak" location="JS!A1" ref="Y419"/>
    <hyperlink display="Cetak" location="JS!A1" ref="Y420"/>
    <hyperlink display="Cetak" location="JS!A1" ref="Y421"/>
    <hyperlink display="Cetak" location="JS!A1" ref="Y422"/>
    <hyperlink display="Cetak" location="JS!A1" ref="Y423"/>
    <hyperlink display="Cetak" location="JS!A1" ref="Y424"/>
    <hyperlink display="Cetak" location="JS!A1" ref="Y425"/>
    <hyperlink display="Cetak" location="JS!A1" ref="Y426"/>
    <hyperlink display="Cetak" location="JS!A1" ref="Y427"/>
    <hyperlink display="Cetak" location="JS!A1" ref="Y428"/>
    <hyperlink display="Cetak" location="JS!A1" ref="Y429"/>
    <hyperlink display="Cetak" location="JS!A1" ref="Y430"/>
    <hyperlink display="Cetak" location="JS!A1" ref="Y431"/>
    <hyperlink display="Cetak" location="JS!A1" ref="Y432"/>
    <hyperlink display="Cetak" location="JS!A1" ref="Y433"/>
    <hyperlink display="Cetak" location="JS!A1" ref="Y434"/>
    <hyperlink display="Cetak" location="JS!A1" ref="Y435"/>
    <hyperlink display="Cetak" location="JS!A1" ref="Y436"/>
    <hyperlink display="Cetak" location="JS!A1" ref="Y437"/>
    <hyperlink display="Cetak" location="JS!A1" ref="Y438"/>
    <hyperlink display="Cetak" location="JS!A1" ref="Y439"/>
    <hyperlink display="Cetak" location="JS!A1" ref="Y440"/>
    <hyperlink display="Cetak" location="JS!A1" ref="Y441"/>
    <hyperlink display="Cetak" location="JS!A1" ref="Y442"/>
    <hyperlink display="Cetak" location="JS!A1" ref="Y443"/>
    <hyperlink display="Cetak" location="JS!A1" ref="Y444"/>
    <hyperlink display="Cetak" location="JS!A1" ref="Y445"/>
    <hyperlink display="Cetak" location="JS!A1" ref="Y446"/>
    <hyperlink display="Cetak" location="JS!A1" ref="Y447"/>
    <hyperlink display="Cetak" location="JS!A1" ref="Y448"/>
    <hyperlink display="Cetak" location="JS!A1" ref="Y449"/>
    <hyperlink display="Cetak" location="JS!A1" ref="Y450"/>
    <hyperlink display="Cetak" location="JS!A1" ref="Y451"/>
    <hyperlink display="Cetak" location="JS!A1" ref="Y452"/>
    <hyperlink display="Cetak" location="JS!A1" ref="Y453"/>
    <hyperlink display="Cetak" location="JS!A1" ref="Y454"/>
    <hyperlink display="Cetak" location="JS!A1" ref="Y455"/>
    <hyperlink display="Cetak" location="JS!A1" ref="Y456"/>
    <hyperlink display="Cetak" location="JS!A1" ref="Y457"/>
    <hyperlink display="Cetak" location="JS!A1" ref="Y458"/>
    <hyperlink display="Cetak" location="JS!A1" ref="Y459"/>
    <hyperlink display="Cetak" location="JS!A1" ref="Y460"/>
    <hyperlink display="Cetak" location="JS!A1" ref="Y461"/>
    <hyperlink display="Cetak" location="JS!A1" ref="Y462"/>
    <hyperlink display="Cetak" location="JS!A1" ref="Y463"/>
    <hyperlink display="Cetak" location="JS!A1" ref="Y464"/>
    <hyperlink display="Cetak" location="JS!A1" ref="Y465"/>
    <hyperlink display="Cetak" location="JS!A1" ref="Y466"/>
    <hyperlink display="Cetak" location="JS!A1" ref="Y467"/>
    <hyperlink display="Cetak" location="JS!A1" ref="Y468"/>
    <hyperlink display="Cetak" location="JS!A1" ref="Y469"/>
    <hyperlink display="Cetak" location="JS!A1" ref="Y470"/>
    <hyperlink display="Cetak" location="JS!A1" ref="Y471"/>
    <hyperlink display="Cetak" location="JS!A1" ref="Y472"/>
    <hyperlink display="Cetak" location="JS!A1" ref="Y473"/>
    <hyperlink display="Cetak" location="JS!A1" ref="Y474"/>
    <hyperlink display="Cetak" location="JS!A1" ref="Y475"/>
    <hyperlink display="Cetak" location="JS!A1" ref="Y476"/>
    <hyperlink display="Cetak" location="JS!A1" ref="Y477"/>
    <hyperlink display="Cetak" location="JS!A1" ref="Y478"/>
    <hyperlink display="Cetak" location="JS!A1" ref="Y479"/>
    <hyperlink display="Cetak" location="JS!A1" ref="Y480"/>
    <hyperlink display="Cetak" location="JS!A1" ref="Y481"/>
    <hyperlink display="Cetak" location="JS!A1" ref="Y482"/>
    <hyperlink display="Cetak" location="JS!A1" ref="Y483"/>
    <hyperlink display="Cetak" location="JS!A1" ref="Y484"/>
    <hyperlink display="Cetak" location="JS!A1" ref="Y485"/>
    <hyperlink display="Cetak" location="JS!A1" ref="Y486"/>
    <hyperlink display="Cetak" location="JS!A1" ref="Y487"/>
    <hyperlink display="Cetak" location="JS!A1" ref="Y488"/>
    <hyperlink display="Cetak" location="JS!A1" ref="Y489"/>
    <hyperlink display="Cetak" location="JS!A1" ref="Y490"/>
    <hyperlink display="Cetak" location="JS!A1" ref="Y491"/>
    <hyperlink display="Cetak" location="JS!A1" ref="Y492"/>
    <hyperlink display="Cetak" location="JS!A1" ref="Y493"/>
    <hyperlink display="Cetak" location="JS!A1" ref="Y494"/>
    <hyperlink display="Cetak" location="JS!A1" ref="Y495"/>
    <hyperlink display="Cetak" location="JS!A1" ref="Y496"/>
    <hyperlink display="Cetak" location="JS!A1" ref="Y497"/>
    <hyperlink display="Cetak" location="JS!A1" ref="Y498"/>
    <hyperlink display="Cetak" location="JS!A1" ref="Y499"/>
    <hyperlink display="Cetak" location="JS!A1" ref="Y500"/>
    <hyperlink display="Cetak" location="JS!A1" ref="Y501"/>
    <hyperlink display="Cetak" location="JS!A1" ref="Y502"/>
    <hyperlink display="Cetak" location="JS!A1" ref="Y503"/>
    <hyperlink display="Cetak" location="JS!A1" ref="Y504"/>
    <hyperlink display="Cetak" location="JS!A1" ref="Y505"/>
    <hyperlink display="Cetak" location="JS!A1" ref="Y506"/>
    <hyperlink display="Cetak" location="JS!A1" ref="Y507"/>
    <hyperlink display="Cetak" location="JS!A1" ref="Y508"/>
    <hyperlink display="Cetak" location="JS!A1" ref="Y509"/>
    <hyperlink display="Cetak" location="JS!A1" ref="Y510"/>
    <hyperlink display="Cetak" location="JS!A1" ref="Y511"/>
    <hyperlink display="Cetak" location="JS!A1" ref="Y512"/>
    <hyperlink display="Cetak" location="JS!A1" ref="Y513"/>
    <hyperlink display="Cetak" location="JS!A1" ref="Y514"/>
    <hyperlink display="Cetak" location="JS!A1" ref="Y515"/>
    <hyperlink display="Cetak" location="JS!A1" ref="Y516"/>
    <hyperlink display="Cetak" location="JS!A1" ref="Y517"/>
    <hyperlink display="Cetak" location="JS!A1" ref="Y518"/>
    <hyperlink display="Cetak" location="JS!A1" ref="Y519"/>
    <hyperlink display="Cetak" location="JS!A1" ref="Y520"/>
    <hyperlink display="Cetak" location="JS!A1" ref="Y521"/>
    <hyperlink display="Cetak" location="JS!A1" ref="Y522"/>
    <hyperlink display="Cetak" location="JS!A1" ref="Y523"/>
    <hyperlink display="Cetak" location="JS!A1" ref="Y524"/>
    <hyperlink display="Cetak" location="JS!A1" ref="Y525"/>
    <hyperlink display="Cetak" location="JS!A1" ref="Y526"/>
    <hyperlink display="Cetak" location="JS!A1" ref="Y527"/>
    <hyperlink display="Cetak" location="JS!A1" ref="Y528"/>
    <hyperlink display="Cetak" location="JS!A1" ref="Y529"/>
    <hyperlink display="Cetak" location="JS!A1" ref="Y530"/>
    <hyperlink display="Cetak" location="JS!A1" ref="Y531"/>
    <hyperlink display="Cetak" location="JS!A1" ref="Y532"/>
    <hyperlink display="Cetak" location="JS!A1" ref="Y533"/>
    <hyperlink display="Cetak" location="JS!A1" ref="Y534"/>
    <hyperlink display="Cetak" location="JS!A1" ref="Y535"/>
    <hyperlink display="Cetak" location="JS!A1" ref="Y536"/>
    <hyperlink display="Cetak" location="JS!A1" ref="Y537"/>
    <hyperlink display="Cetak" location="JS!A1" ref="Y538"/>
    <hyperlink display="Cetak" location="JS!A1" ref="Y539"/>
    <hyperlink display="Cetak" location="JS!A1" ref="Y540"/>
    <hyperlink display="Cetak" location="JS!A1" ref="Y541"/>
    <hyperlink display="Cetak" location="JS!A1" ref="Y542"/>
    <hyperlink display="Cetak" location="JS!A1" ref="Y543"/>
    <hyperlink display="Cetak" location="JS!A1" ref="Y544"/>
    <hyperlink display="Cetak" location="JS!A1" ref="Y545"/>
    <hyperlink display="Cetak" location="JS!A1" ref="Y546"/>
    <hyperlink display="Cetak" location="JS!A1" ref="Y547"/>
    <hyperlink display="Cetak" location="JS!A1" ref="Y548"/>
    <hyperlink display="Cetak" location="JS!A1" ref="Y549"/>
    <hyperlink display="Cetak" location="JS!A1" ref="Y550"/>
    <hyperlink display="Cetak" location="JS!A1" ref="Y551"/>
    <hyperlink display="Cetak" location="JS!A1" ref="Y552"/>
    <hyperlink display="Cetak" location="JS!A1" ref="Y553"/>
    <hyperlink display="Cetak" location="JS!A1" ref="Y554"/>
    <hyperlink display="Cetak" location="JS!A1" ref="Y555"/>
    <hyperlink display="Cetak" location="JS!A1" ref="Y556"/>
    <hyperlink display="Cetak" location="JS!A1" ref="Y557"/>
    <hyperlink display="Cetak" location="JS!A1" ref="Y558"/>
    <hyperlink display="Cetak" location="JS!A1" ref="Y559"/>
    <hyperlink display="Cetak" location="JS!A1" ref="Y560"/>
    <hyperlink display="Cetak" location="JS!A1" ref="Y561"/>
    <hyperlink display="Cetak" location="JS!A1" ref="Y562"/>
    <hyperlink display="Cetak" location="JS!A1" ref="Y563"/>
    <hyperlink display="Cetak" location="JS!A1" ref="Y564"/>
    <hyperlink display="Cetak" location="JS!A1" ref="Y565"/>
    <hyperlink display="Cetak" location="JS!A1" ref="Y566"/>
    <hyperlink display="Cetak" location="JS!A1" ref="Y567"/>
    <hyperlink display="Cetak" location="JS!A1" ref="Y568"/>
    <hyperlink display="Cetak" location="JS!A1" ref="Y569"/>
    <hyperlink display="Cetak" location="JS!A1" ref="Y570"/>
    <hyperlink display="Cetak" location="JS!A1" ref="Y571"/>
    <hyperlink display="Cetak" location="JS!A1" ref="Y572"/>
    <hyperlink display="Cetak" location="JS!A1" ref="Y573"/>
    <hyperlink display="Cetak" location="JS!A1" ref="Y574"/>
    <hyperlink display="Cetak" location="JS!A1" ref="Y575"/>
    <hyperlink display="Cetak" location="JS!A1" ref="Y576"/>
    <hyperlink display="Cetak" location="JS!A1" ref="Y577"/>
    <hyperlink display="Cetak" location="JS!A1" ref="Y578"/>
    <hyperlink display="Cetak" location="JS!A1" ref="Y579"/>
    <hyperlink display="Cetak" location="JS!A1" ref="Y580"/>
    <hyperlink display="Cetak" location="JS!A1" ref="Y581"/>
    <hyperlink display="Cetak" location="JS!A1" ref="Y582"/>
    <hyperlink display="Cetak" location="JS!A1" ref="Y583"/>
    <hyperlink display="Cetak" location="JS!A1" ref="Y584"/>
    <hyperlink display="Cetak" location="JS!A1" ref="Y585"/>
    <hyperlink display="Cetak" location="JS!A1" ref="Y586"/>
    <hyperlink display="Cetak" location="JS!A1" ref="Y587"/>
    <hyperlink display="Cetak" location="JS!A1" ref="Y588"/>
    <hyperlink display="Cetak" location="JS!A1" ref="Y589"/>
    <hyperlink display="Cetak" location="JS!A1" ref="Y590"/>
    <hyperlink display="Cetak" location="JS!A1" ref="Y591"/>
    <hyperlink display="Cetak" location="JS!A1" ref="Y592"/>
    <hyperlink display="Cetak" location="JS!A1" ref="Y593"/>
    <hyperlink display="Cetak" location="JS!A1" ref="Y594"/>
    <hyperlink display="Cetak" location="JS!A1" ref="Y595"/>
    <hyperlink display="Cetak" location="JS!A1" ref="Y596"/>
    <hyperlink display="Cetak" location="JS!A1" ref="Y597"/>
    <hyperlink display="Cetak" location="JS!A1" ref="Y598"/>
    <hyperlink display="Cetak" location="JS!A1" ref="Y599"/>
    <hyperlink display="Cetak" location="JS!A1" ref="Y600"/>
    <hyperlink display="Cetak" location="JS!A1" ref="Y601"/>
    <hyperlink display="Cetak" location="JS!A1" ref="Y602"/>
    <hyperlink display="Cetak" location="JS!A1" ref="Y603"/>
    <hyperlink display="Cetak" location="JS!A1" ref="Y604"/>
    <hyperlink display="Cetak" location="JS!A1" ref="Y605"/>
    <hyperlink display="Cetak" location="JS!A1" ref="Y606"/>
    <hyperlink display="Cetak" location="JS!A1" ref="Y607"/>
    <hyperlink display="Cetak" location="JS!A1" ref="Y608"/>
    <hyperlink display="Cetak" location="JS!A1" ref="Y609"/>
    <hyperlink display="Cetak" location="JS!A1" ref="Y610"/>
    <hyperlink display="Cetak" location="JS!A1" ref="Y611"/>
    <hyperlink display="Cetak" location="JS!A1" ref="Y612"/>
    <hyperlink display="Cetak" location="JS!A1" ref="Y613"/>
    <hyperlink display="Cetak" location="JS!A1" ref="Y614"/>
    <hyperlink display="Cetak" location="JS!A1" ref="Y615"/>
    <hyperlink display="Cetak" location="JS!A1" ref="Y616"/>
    <hyperlink display="Cetak" location="JS!A1" ref="Y617"/>
    <hyperlink display="Cetak" location="JS!A1" ref="Y618"/>
    <hyperlink display="Cetak" location="JS!A1" ref="Y619"/>
    <hyperlink display="Cetak" location="JS!A1" ref="Y620"/>
    <hyperlink display="Cetak" location="JS!A1" ref="Y621"/>
    <hyperlink display="Cetak" location="JS!A1" ref="Y622"/>
    <hyperlink display="Cetak" location="JS!A1" ref="Y623"/>
    <hyperlink display="Cetak" location="JS!A1" ref="Y624"/>
    <hyperlink display="Cetak" location="JS!A1" ref="Y625"/>
    <hyperlink display="Cetak" location="JS!A1" ref="Y626"/>
    <hyperlink display="Cetak" location="JS!A1" ref="Y627"/>
    <hyperlink display="Cetak" location="JS!A1" ref="Y628"/>
    <hyperlink display="Cetak" location="JS!A1" ref="Y629"/>
    <hyperlink display="Cetak" location="JS!A1" ref="Y630"/>
    <hyperlink display="Cetak" location="JS!A1" ref="Y631"/>
    <hyperlink display="Cetak" location="JS!A1" ref="Y632"/>
    <hyperlink display="Cetak" location="JS!A1" ref="Y633"/>
    <hyperlink display="Cetak" location="JS!A1" ref="Y634"/>
    <hyperlink display="Cetak" location="JS!A1" ref="Y635"/>
    <hyperlink display="Cetak" location="JS!A1" ref="Y636"/>
    <hyperlink display="Cetak" location="JS!A1" ref="Y637"/>
    <hyperlink display="Cetak" location="JS!A1" ref="Y638"/>
    <hyperlink display="Cetak" location="JS!A1" ref="Y639"/>
    <hyperlink display="Cetak" location="JS!A1" ref="Y640"/>
    <hyperlink display="Cetak" location="JS!A1" ref="Y641"/>
    <hyperlink display="Cetak" location="JS!A1" ref="Y642"/>
    <hyperlink display="Cetak" location="JS!A1" ref="Y643"/>
    <hyperlink display="Cetak" location="JS!A1" ref="Y644"/>
    <hyperlink display="Cetak" location="JS!A1" ref="Y645"/>
    <hyperlink display="Cetak" location="JS!A1" ref="Y646"/>
    <hyperlink display="Cetak" location="JS!A1" ref="Y647"/>
    <hyperlink display="Cetak" location="JS!A1" ref="Y648"/>
    <hyperlink display="Cetak" location="JS!A1" ref="Y649"/>
    <hyperlink display="Cetak" location="JS!A1" ref="Y650"/>
    <hyperlink display="Cetak" location="JS!A1" ref="Y651"/>
    <hyperlink display="Cetak" location="JS!A1" ref="Y652"/>
    <hyperlink display="Cetak" location="JS!A1" ref="Y653"/>
    <hyperlink display="Cetak" location="JS!A1" ref="Y654"/>
    <hyperlink display="Cetak" location="JS!A1" ref="Y655"/>
    <hyperlink display="Cetak" location="JS!A1" ref="Y656"/>
    <hyperlink display="Cetak" location="JS!A1" ref="Y657"/>
    <hyperlink display="Cetak" location="JS!A1" ref="Y658"/>
    <hyperlink display="Cetak" location="JS!A1" ref="Y659"/>
    <hyperlink display="Cetak" location="JS!A1" ref="Y660"/>
    <hyperlink display="Cetak" location="JS!A1" ref="Y661"/>
    <hyperlink display="Cetak" location="JS!A1" ref="Y662"/>
    <hyperlink display="Cetak" location="JS!A1" ref="Y663"/>
    <hyperlink display="Cetak" location="JS!A1" ref="Y664"/>
    <hyperlink display="Cetak" location="JS!A1" ref="Y665"/>
    <hyperlink display="Cetak" location="JS!A1" ref="Y666"/>
    <hyperlink display="Cetak" location="JS!A1" ref="Y667"/>
    <hyperlink display="Cetak" location="JS!A1" ref="Y668"/>
    <hyperlink display="Cetak" location="JS!A1" ref="Y669"/>
    <hyperlink display="Cetak" location="JS!A1" ref="Y670"/>
    <hyperlink display="Cetak" location="JS!A1" ref="Y671"/>
    <hyperlink display="Cetak" location="JS!A1" ref="Y672"/>
    <hyperlink display="Cetak" location="JS!A1" ref="Y673"/>
    <hyperlink display="Cetak" location="JS!A1" ref="Y674"/>
    <hyperlink display="Cetak" location="JS!A1" ref="Y675"/>
    <hyperlink display="Cetak" location="JS!A1" ref="Y676"/>
    <hyperlink display="Cetak" location="JS!A1" ref="Y677"/>
    <hyperlink display="Cetak" location="JS!A1" ref="Y678"/>
    <hyperlink display="Cetak" location="JS!A1" ref="Y679"/>
    <hyperlink display="Cetak" location="JS!A1" ref="Y680"/>
    <hyperlink display="Cetak" location="JS!A1" ref="Y681"/>
    <hyperlink display="Cetak" location="JS!A1" ref="Y682"/>
    <hyperlink display="Cetak" location="JS!A1" ref="Y683"/>
    <hyperlink display="Cetak" location="JS!A1" ref="Y684"/>
    <hyperlink display="Cetak" location="JS!A1" ref="Y685"/>
    <hyperlink display="Cetak" location="JS!A1" ref="Y686"/>
    <hyperlink display="Cetak" location="JS!A1" ref="Y687"/>
    <hyperlink display="Cetak" location="JS!A1" ref="Y688"/>
    <hyperlink display="Cetak" location="JS!A1" ref="Y689"/>
    <hyperlink display="Cetak" location="JS!A1" ref="Y690"/>
    <hyperlink display="Cetak" location="JS!A1" ref="Y691"/>
    <hyperlink display="Cetak" location="JS!A1" ref="Y692"/>
    <hyperlink display="Cetak" location="JS!A1" ref="Y693"/>
    <hyperlink display="Cetak" location="JS!A1" ref="Y694"/>
    <hyperlink display="Cetak" location="JS!A1" ref="Y695"/>
    <hyperlink display="Cetak" location="JS!A1" ref="Y696"/>
    <hyperlink display="Cetak" location="JS!A1" ref="Y697"/>
    <hyperlink display="Cetak" location="JS!A1" ref="Y698"/>
    <hyperlink display="Cetak" location="JS!A1" ref="Y699"/>
    <hyperlink display="Cetak" location="JS!A1" ref="Y700"/>
    <hyperlink display="Cetak" location="JS!A1" ref="Y701"/>
    <hyperlink display="Cetak" location="JS!A1" ref="Y702"/>
    <hyperlink display="Cetak" location="JS!A1" ref="Y703"/>
    <hyperlink display="Cetak" location="JS!A1" ref="Y704"/>
    <hyperlink display="Cetak" location="JS!A1" ref="Y705"/>
    <hyperlink display="Cetak" location="JS!A1" ref="Y706"/>
    <hyperlink display="Cetak" location="JS!A1" ref="Y707"/>
    <hyperlink display="Cetak" location="JS!A1" ref="Y708"/>
    <hyperlink display="Cetak" location="JS!A1" ref="Y709"/>
    <hyperlink display="Cetak" location="JS!A1" ref="Y710"/>
    <hyperlink display="Cetak" location="JS!A1" ref="Y711"/>
    <hyperlink display="Cetak" location="JS!A1" ref="Y712"/>
    <hyperlink display="Cetak" location="JS!A1" ref="Y713"/>
    <hyperlink display="Cetak" location="JS!A1" ref="Y714"/>
    <hyperlink display="Cetak" location="JS!A1" ref="Y715"/>
    <hyperlink display="Cetak" location="JS!A1" ref="Y716"/>
    <hyperlink display="Cetak" location="JS!A1" ref="Y717"/>
    <hyperlink display="Cetak" location="JS!A1" ref="Y718"/>
    <hyperlink display="Cetak" location="JS!A1" ref="Y719"/>
    <hyperlink display="Cetak" location="JS!A1" ref="Y720"/>
    <hyperlink display="Cetak" location="JS!A1" ref="Y721"/>
    <hyperlink display="Cetak" location="JS!A1" ref="Y722"/>
    <hyperlink display="Cetak" location="JS!A1" ref="Y723"/>
    <hyperlink display="Cetak" location="JS!A1" ref="Y724"/>
    <hyperlink display="Cetak" location="JS!A1" ref="Y725"/>
    <hyperlink display="Cetak" location="JS!A1" ref="Y726"/>
    <hyperlink display="Cetak" location="JS!A1" ref="Y727"/>
    <hyperlink display="Cetak" location="JS!A1" ref="Y728"/>
    <hyperlink display="Cetak" location="JS!A1" ref="Y729"/>
    <hyperlink display="Cetak" location="JS!A1" ref="Y730"/>
    <hyperlink display="Cetak" location="JS!A1" ref="Y731"/>
    <hyperlink display="Cetak" location="JS!A1" ref="Y732"/>
    <hyperlink display="Cetak" location="JS!A1" ref="Y733"/>
    <hyperlink display="Cetak" location="JS!A1" ref="Y734"/>
    <hyperlink display="Cetak" location="JS!A1" ref="Y735"/>
    <hyperlink display="Cetak" location="JS!A1" ref="Y736"/>
    <hyperlink display="Cetak" location="JS!A1" ref="Y737"/>
    <hyperlink display="Cetak" location="JS!A1" ref="Y738"/>
    <hyperlink display="Cetak" location="JS!A1" ref="Y739"/>
    <hyperlink display="Cetak" location="JS!A1" ref="Y740"/>
    <hyperlink display="Cetak" location="JS!A1" ref="Y741"/>
    <hyperlink display="Cetak" location="JS!A1" ref="Y742"/>
    <hyperlink display="Cetak" location="JS!A1" ref="Y743"/>
    <hyperlink display="Cetak" location="JS!A1" ref="Y744"/>
    <hyperlink display="Cetak" location="JS!A1" ref="Y745"/>
    <hyperlink display="Cetak" location="JS!A1" ref="Y746"/>
    <hyperlink display="Cetak" location="JS!A1" ref="Y747"/>
    <hyperlink display="Cetak" location="JS!A1" ref="Y748"/>
    <hyperlink display="Cetak" location="JS!A1" ref="Y749"/>
    <hyperlink display="Cetak" location="JS!A1" ref="Y750"/>
    <hyperlink display="Cetak" location="JS!A1" ref="Y751"/>
    <hyperlink display="Cetak" location="JS!A1" ref="Y752"/>
    <hyperlink display="Cetak" location="JS!A1" ref="Y753"/>
    <hyperlink display="Cetak" location="JS!A1" ref="Y754"/>
    <hyperlink display="Cetak" location="JS!A1" ref="Y755"/>
    <hyperlink display="Cetak" location="JS!A1" ref="Y756"/>
    <hyperlink display="Cetak" location="JS!A1" ref="Y757"/>
    <hyperlink display="Cetak" location="JS!A1" ref="Y758"/>
    <hyperlink display="Cetak" location="JS!A1" ref="Y759"/>
    <hyperlink display="Cetak" location="JS!A1" ref="Y760"/>
    <hyperlink display="Cetak" location="JS!A1" ref="Y761"/>
    <hyperlink display="Cetak" location="JS!A1" ref="Y762"/>
    <hyperlink display="Cetak" location="JS!A1" ref="Y763"/>
    <hyperlink display="Cetak" location="JS!A1" ref="Y764"/>
    <hyperlink display="Cetak" location="JS!A1" ref="Y765"/>
    <hyperlink display="Cetak" location="JS!A1" ref="Y766"/>
    <hyperlink display="Cetak" location="JS!A1" ref="Y767"/>
    <hyperlink display="Cetak" location="JS!A1" ref="Y768"/>
    <hyperlink display="Cetak" location="JS!A1" ref="Y769"/>
    <hyperlink display="Cetak" location="JS!A1" ref="Y770"/>
    <hyperlink display="Cetak" location="JS!A1" ref="Y771"/>
    <hyperlink display="Cetak" location="JS!A1" ref="Y772"/>
    <hyperlink display="Cetak" location="JS!A1" ref="Y773"/>
    <hyperlink display="Cetak" location="JS!A1" ref="Y774"/>
    <hyperlink display="Cetak" location="JS!A1" ref="Y775"/>
    <hyperlink display="Cetak" location="JS!A1" ref="Y776"/>
    <hyperlink display="Cetak" location="JS!A1" ref="Y777"/>
    <hyperlink display="Cetak" location="JS!A1" ref="Y778"/>
    <hyperlink display="Cetak" location="JS!A1" ref="Y779"/>
    <hyperlink display="Cetak" location="JS!A1" ref="Y780"/>
    <hyperlink display="Cetak" location="JS!A1" ref="Y781"/>
    <hyperlink display="Cetak" location="JS!A1" ref="Y782"/>
    <hyperlink display="Cetak" location="JS!A1" ref="Y783"/>
    <hyperlink display="Cetak" location="JS!A1" ref="Y784"/>
    <hyperlink display="Cetak" location="JS!A1" ref="Y785"/>
    <hyperlink display="Cetak" location="JS!A1" ref="Y786"/>
    <hyperlink display="Cetak" location="JS!A1" ref="Y787"/>
    <hyperlink display="Cetak" location="JS!A1" ref="Y788"/>
    <hyperlink display="Cetak" location="JS!A1" ref="Y789"/>
    <hyperlink display="Cetak" location="JS!A1" ref="Y790"/>
    <hyperlink display="Cetak" location="JS!A1" ref="Y791"/>
    <hyperlink display="Cetak" location="JS!A1" ref="Y792"/>
    <hyperlink display="Cetak" location="JS!A1" ref="Y793"/>
    <hyperlink display="Cetak" location="JS!A1" ref="Y794"/>
    <hyperlink display="Cetak" location="JS!A1" ref="Y795"/>
    <hyperlink display="Cetak" location="JS!A1" ref="Y796"/>
    <hyperlink display="Cetak" location="JS!A1" ref="Y797"/>
    <hyperlink display="Cetak" location="JS!A1" ref="Y798"/>
    <hyperlink display="Cetak" location="JS!A1" ref="Y799"/>
    <hyperlink display="Cetak" location="JS!A1" ref="Y800"/>
    <hyperlink display="Cetak" location="JS!A1" ref="Y801"/>
    <hyperlink display="Cetak" location="JS!A1" ref="Y802"/>
    <hyperlink display="Cetak" location="JS!A1" ref="Y803"/>
    <hyperlink display="Cetak" location="JS!A1" ref="Y804"/>
    <hyperlink display="Cetak" location="JS!A1" ref="Y805"/>
    <hyperlink display="Cetak" location="JS!A1" ref="Y806"/>
    <hyperlink display="Cetak" location="JS!A1" ref="Y807"/>
    <hyperlink display="Cetak" location="JS!A1" ref="Y808"/>
    <hyperlink display="Cetak" location="JS!A1" ref="Y809"/>
    <hyperlink display="Cetak" location="JS!A1" ref="Y810"/>
    <hyperlink display="Cetak" location="JS!A1" ref="Y811"/>
    <hyperlink display="Cetak" location="JS!A1" ref="Y812"/>
    <hyperlink display="Cetak" location="JS!A1" ref="Y813"/>
    <hyperlink display="Cetak" location="JS!A1" ref="Y814"/>
    <hyperlink display="Cetak" location="JS!A1" ref="Y815"/>
    <hyperlink display="Cetak" location="JS!A1" ref="Y816"/>
    <hyperlink display="Cetak" location="JS!A1" ref="Y817"/>
    <hyperlink display="Cetak" location="JS!A1" ref="Y818"/>
    <hyperlink display="Cetak" location="JS!A1" ref="Y819"/>
    <hyperlink display="Cetak" location="JS!A1" ref="Y820"/>
    <hyperlink display="Cetak" location="JS!A1" ref="Y821"/>
    <hyperlink display="Cetak" location="JS!A1" ref="Y822"/>
    <hyperlink display="Cetak" location="JS!A1" ref="Y823"/>
    <hyperlink display="Cetak" location="JS!A1" ref="Y824"/>
    <hyperlink display="Cetak" location="JS!A1" ref="Y825"/>
    <hyperlink display="Cetak" location="JS!A1" ref="Y826"/>
    <hyperlink display="Cetak" location="JS!A1" ref="Y827"/>
    <hyperlink display="Cetak" location="JS!A1" ref="Y828"/>
    <hyperlink display="Cetak" location="JS!A1" ref="Y829"/>
    <hyperlink display="Cetak" location="JS!A1" ref="Y830"/>
    <hyperlink display="Cetak" location="JS!A1" ref="Y831"/>
    <hyperlink display="Cetak" location="JS!A1" ref="Y832"/>
    <hyperlink display="Cetak" location="JS!A1" ref="Y833"/>
    <hyperlink display="Cetak" location="JS!A1" ref="Y834"/>
    <hyperlink display="Cetak" location="JS!A1" ref="Y835"/>
    <hyperlink display="Cetak" location="JS!A1" ref="Y836"/>
    <hyperlink display="Cetak" location="JS!A1" ref="Y837"/>
    <hyperlink display="Cetak" location="JS!A1" ref="Y838"/>
    <hyperlink display="Cetak" location="JS!A1" ref="Y839"/>
    <hyperlink display="Cetak" location="JS!A1" ref="Y840"/>
    <hyperlink display="Cetak" location="JS!A1" ref="Y841"/>
    <hyperlink display="Cetak" location="JS!A1" ref="Y842"/>
    <hyperlink display="Cetak" location="JS!A1" ref="Y843"/>
    <hyperlink display="Cetak" location="JS!A1" ref="Y844"/>
    <hyperlink display="Cetak" location="JS!A1" ref="Y845"/>
    <hyperlink display="Cetak" location="JS!A1" ref="Y846"/>
    <hyperlink display="Cetak" location="JS!A1" ref="Y847"/>
    <hyperlink display="Cetak" location="JS!A1" ref="Y848"/>
    <hyperlink display="Cetak" location="JS!A1" ref="Y849"/>
    <hyperlink display="Cetak" location="JS!A1" ref="Y850"/>
    <hyperlink display="Cetak" location="JS!A1" ref="Y851"/>
    <hyperlink display="Cetak" location="JS!A1" ref="Y852"/>
    <hyperlink display="Cetak" location="JS!A1" ref="Y853"/>
    <hyperlink display="Cetak" location="JS!A1" ref="Y854"/>
    <hyperlink display="Cetak" location="JS!A1" ref="Y855"/>
    <hyperlink display="Cetak" location="JS!A1" ref="Y856"/>
    <hyperlink display="Cetak" location="JS!A1" ref="Y857"/>
    <hyperlink display="Cetak" location="JS!A1" ref="Y858"/>
    <hyperlink display="Cetak" location="JS!A1" ref="Y859"/>
    <hyperlink display="Cetak" location="JS!A1" ref="Y860"/>
    <hyperlink display="Cetak" location="JS!A1" ref="Y861"/>
    <hyperlink display="Cetak" location="JS!A1" ref="Y862"/>
    <hyperlink display="Cetak" location="JS!A1" ref="Y863"/>
    <hyperlink display="Cetak" location="JS!A1" ref="Y864"/>
    <hyperlink display="Cetak" location="JS!A1" ref="Y865"/>
    <hyperlink display="Cetak" location="JS!A1" ref="Y866"/>
    <hyperlink display="Cetak" location="JS!A1" ref="Y867"/>
    <hyperlink display="Cetak" location="JS!A1" ref="Y868"/>
    <hyperlink display="Cetak" location="JS!A1" ref="Y869"/>
    <hyperlink display="Cetak" location="JS!A1" ref="Y870"/>
    <hyperlink display="Cetak" location="JS!A1" ref="Y871"/>
    <hyperlink display="Cetak" location="JS!A1" ref="Y872"/>
    <hyperlink display="Cetak" location="JS!A1" ref="Y873"/>
    <hyperlink display="Cetak" location="JS!A1" ref="Y874"/>
    <hyperlink display="Cetak" location="JS!A1" ref="Y875"/>
    <hyperlink display="Cetak" location="JS!A1" ref="Y876"/>
    <hyperlink display="Cetak" location="JS!A1" ref="Y877"/>
    <hyperlink display="Cetak" location="JS!A1" ref="Y878"/>
    <hyperlink display="Cetak" location="JS!A1" ref="Y879"/>
    <hyperlink display="Cetak" location="JS!A1" ref="Y880"/>
    <hyperlink display="Cetak" location="JS!A1" ref="Y881"/>
    <hyperlink display="Cetak" location="JS!A1" ref="Y882"/>
    <hyperlink display="Cetak" location="JS!A1" ref="Y883"/>
    <hyperlink display="Cetak" location="JS!A1" ref="Y884"/>
    <hyperlink display="Cetak" location="JS!A1" ref="Y885"/>
    <hyperlink display="Cetak" location="JS!A1" ref="Y886"/>
    <hyperlink display="Cetak" location="JS!A1" ref="Y887"/>
    <hyperlink display="Cetak" location="JS!A1" ref="Y888"/>
    <hyperlink display="Cetak" location="JS!A1" ref="Y889"/>
    <hyperlink display="Cetak" location="JS!A1" ref="Y890"/>
    <hyperlink display="Cetak" location="JS!A1" ref="Y891"/>
    <hyperlink display="Cetak" location="JS!A1" ref="Y892"/>
    <hyperlink display="Cetak" location="JS!A1" ref="Y893"/>
    <hyperlink display="Cetak" location="JS!A1" ref="Y894"/>
    <hyperlink display="Cetak" location="JS!A1" ref="Y895"/>
    <hyperlink display="Cetak" location="JS!A1" ref="Y896"/>
    <hyperlink display="Cetak" location="JS!A1" ref="Y897"/>
    <hyperlink display="Cetak" location="JS!A1" ref="Y898"/>
    <hyperlink display="Cetak" location="JS!A1" ref="Y899"/>
    <hyperlink display="Cetak" location="JS!A1" ref="Y900"/>
    <hyperlink display="Cetak" location="JS!A1" ref="Y901"/>
    <hyperlink display="Cetak" location="JS!A1" ref="Y902"/>
    <hyperlink display="Cetak" location="JS!A1" ref="Y903"/>
    <hyperlink display="Cetak" location="JS!A1" ref="Y904"/>
    <hyperlink display="Cetak" location="JS!A1" ref="Y905"/>
    <hyperlink display="Cetak" location="JS!A1" ref="Y906"/>
    <hyperlink display="Cetak" location="JS!A1" ref="Y907"/>
    <hyperlink display="Cetak" location="JS!A1" ref="Y908"/>
    <hyperlink display="Cetak" location="JS!A1" ref="Y909"/>
    <hyperlink display="Cetak" location="JS!A1" ref="Y910"/>
    <hyperlink display="Cetak" location="JS!A1" ref="Y911"/>
    <hyperlink display="Cetak" location="JS!A1" ref="Y912"/>
    <hyperlink display="Cetak" location="JS!A1" ref="Y913"/>
    <hyperlink display="Cetak" location="JS!A1" ref="Y914"/>
    <hyperlink display="Cetak" location="JS!A1" ref="Y915"/>
    <hyperlink display="Cetak" location="JS!A1" ref="Y916"/>
    <hyperlink display="Cetak" location="JS!A1" ref="Y917"/>
    <hyperlink display="Cetak" location="JS!A1" ref="Y918"/>
    <hyperlink display="Cetak" location="JS!A1" ref="Y919"/>
    <hyperlink display="Cetak" location="JS!A1" ref="Y920"/>
    <hyperlink display="Cetak" location="JS!A1" ref="Y921"/>
    <hyperlink display="Cetak" location="JS!A1" ref="Y922"/>
    <hyperlink display="Cetak" location="JS!A1" ref="Y923"/>
    <hyperlink display="Cetak" location="JS!A1" ref="Y924"/>
    <hyperlink display="Cetak" location="JS!A1" ref="Y925"/>
    <hyperlink display="Cetak" location="JS!A1" ref="Y926"/>
    <hyperlink display="Cetak" location="JS!A1" ref="Y927"/>
    <hyperlink display="Cetak" location="JS!A1" ref="Y928"/>
    <hyperlink display="Cetak" location="JS!A1" ref="Y929"/>
    <hyperlink display="Cetak" location="JS!A1" ref="Y930"/>
    <hyperlink display="Cetak" location="JS!A1" ref="Y931"/>
    <hyperlink display="Cetak" location="JS!A1" ref="Y932"/>
    <hyperlink display="Cetak" location="JS!A1" ref="Y933"/>
    <hyperlink display="Cetak" location="JS!A1" ref="Y934"/>
    <hyperlink display="Cetak" location="JS!A1" ref="Y935"/>
    <hyperlink display="Cetak" location="JS!A1" ref="Y936"/>
    <hyperlink display="Cetak" location="JS!A1" ref="Y937"/>
    <hyperlink display="Cetak" location="JS!A1" ref="Y938"/>
    <hyperlink display="Cetak" location="JS!A1" ref="Y939"/>
    <hyperlink display="Cetak" location="JS!A1" ref="Y940"/>
    <hyperlink display="Cetak" location="JS!A1" ref="Y941"/>
    <hyperlink display="Cetak" location="JS!A1" ref="Y942"/>
    <hyperlink display="Cetak" location="JS!A1" ref="Y943"/>
    <hyperlink display="Cetak" location="JS!A1" ref="Y944"/>
    <hyperlink display="Cetak" location="JS!A1" ref="Y945"/>
    <hyperlink display="Cetak" location="JS!A1" ref="Y946"/>
    <hyperlink display="Cetak" location="JS!A1" ref="Y947"/>
    <hyperlink display="Cetak" location="JS!A1" ref="Y948"/>
    <hyperlink display="Cetak" location="JS!A1" ref="Y949"/>
    <hyperlink display="Cetak" location="JS!A1" ref="Y950"/>
    <hyperlink display="Cetak" location="JS!A1" ref="Y951"/>
    <hyperlink display="Cetak" location="JS!A1" ref="Y952"/>
    <hyperlink display="Cetak" location="JS!A1" ref="Y953"/>
    <hyperlink display="Cetak" location="JS!A1" ref="Y954"/>
    <hyperlink display="Cetak" location="JS!A1" ref="Y955"/>
    <hyperlink display="Cetak" location="JS!A1" ref="Y956"/>
    <hyperlink display="Cetak" location="JS!A1" ref="Y957"/>
    <hyperlink display="Cetak" location="JS!A1" ref="Y958"/>
    <hyperlink display="Cetak" location="JS!A1" ref="Y959"/>
    <hyperlink display="Cetak" location="JS!A1" ref="Y960"/>
    <hyperlink display="Cetak" location="JS!A1" ref="Y961"/>
    <hyperlink display="Cetak" location="JS!A1" ref="Y962"/>
    <hyperlink display="Cetak" location="JS!A1" ref="Y963"/>
    <hyperlink display="Cetak" location="JS!A1" ref="Y964"/>
    <hyperlink display="Cetak" location="JS!A1" ref="Y965"/>
    <hyperlink display="Cetak" location="JS!A1" ref="Y966"/>
    <hyperlink display="Cetak" location="JS!A1" ref="Y967"/>
    <hyperlink display="Cetak" location="JS!A1" ref="Y968"/>
    <hyperlink display="Cetak" location="JS!A1" ref="Y969"/>
    <hyperlink display="Cetak" location="JS!A1" ref="Y970"/>
    <hyperlink display="Cetak" location="JS!A1" ref="Y971"/>
    <hyperlink display="Cetak" location="JS!A1" ref="Y972"/>
    <hyperlink display="Cetak" location="JS!A1" ref="Y973"/>
    <hyperlink display="Cetak" location="JS!A1" ref="Y974"/>
    <hyperlink display="Cetak" location="JS!A1" ref="Y975"/>
    <hyperlink display="Cetak" location="JS!A1" ref="Y976"/>
    <hyperlink display="Cetak" location="JS!A1" ref="Y977"/>
    <hyperlink display="Cetak" location="JS!A1" ref="Y978"/>
    <hyperlink display="Cetak" location="JS!A1" ref="Y979"/>
    <hyperlink display="Cetak" location="JS!A1" ref="Y980"/>
    <hyperlink display="Cetak" location="JS!A1" ref="Y981"/>
    <hyperlink display="Cetak" location="JS!A1" ref="Y982"/>
    <hyperlink display="Cetak" location="JS!A1" ref="Y983"/>
    <hyperlink display="Cetak" location="JS!A1" ref="Y984"/>
    <hyperlink display="Cetak" location="JS!A1" ref="Y985"/>
    <hyperlink display="Cetak" location="JS!A1" ref="Y986"/>
    <hyperlink display="Cetak" location="JS!A1" ref="Y987"/>
    <hyperlink display="Cetak" location="JS!A1" ref="Y988"/>
    <hyperlink display="Cetak" location="JS!A1" ref="Y989"/>
    <hyperlink display="Cetak" location="JS!A1" ref="Y990"/>
    <hyperlink display="Cetak" location="JS!A1" ref="Y991"/>
    <hyperlink display="Cetak" location="JS!A1" ref="Y992"/>
    <hyperlink display="Cetak" location="JS!A1" ref="Y993"/>
    <hyperlink display="Cetak" location="JS!A1" ref="Y994"/>
    <hyperlink display="Cetak" location="JS!A1" ref="Y995"/>
    <hyperlink display="Cetak" location="JS!A1" ref="Y996"/>
    <hyperlink display="Cetak" location="JS!A1" ref="Y997"/>
    <hyperlink display="Cetak" location="JS!A1" ref="Y998"/>
    <hyperlink display="Cetak" location="JS!A1" ref="Y999"/>
    <hyperlink display="Cetak" location="JS!A1" ref="Y1000"/>
    <hyperlink display="Cetak" location="JS!A1" ref="Y1001"/>
    <hyperlink display="Cetak" location="JS!A1" ref="Y1002"/>
    <hyperlink display="Cetak" location="JS!A1" ref="Y1003"/>
    <hyperlink display="Cetak" location="JS!A1" ref="Y1004"/>
    <hyperlink display="Cetak" location="JS!A1" ref="Y1005"/>
    <hyperlink display="Cetak" location="JS!A1" ref="Y1006"/>
    <hyperlink display="Cetak" location="JS!A1" ref="Y1007"/>
    <hyperlink display="Cetak" location="JS!A1" ref="Y1008"/>
    <hyperlink display="Cetak" location="JS!A1" ref="Y1009"/>
    <hyperlink display="Cetak" location="JS!A1" ref="Y1010"/>
    <hyperlink display="Cetak" location="JS!A1" ref="Y1011"/>
    <hyperlink display="Cetak" location="JS!A1" ref="Y1012"/>
    <hyperlink display="Cetak" location="JS!A1" ref="Y1013"/>
    <hyperlink display="Cetak" location="JS!A1" ref="Y1014"/>
    <hyperlink display="Cetak" location="JS!A1" ref="Y1015"/>
    <hyperlink display="Cetak" location="JS!A1" ref="Y1016"/>
    <hyperlink display="Cetak" location="JS!A1" ref="Y1017"/>
    <hyperlink display="Cetak" location="JS!A1" ref="Y1018"/>
    <hyperlink display="Cetak" location="JS!A1" ref="Y1019"/>
    <hyperlink display="Cetak" location="JS!A1" ref="Y1020"/>
    <hyperlink display="Cetak" location="JS!A1" ref="Y1021"/>
    <hyperlink display="Cetak" location="JS!A1" ref="Y1022"/>
    <hyperlink display="Cetak" location="JS!A1" ref="Y1023"/>
    <hyperlink display="Cetak" location="JS!A1" ref="Y1024"/>
    <hyperlink display="Cetak" location="JS!A1" ref="Y1025"/>
    <hyperlink display="Cetak" location="JS!A1" ref="Y1026"/>
    <hyperlink display="Cetak" location="JS!A1" ref="Y1027"/>
    <hyperlink display="Cetak" location="JS!A1" ref="Y1028"/>
    <hyperlink display="Cetak" location="JS!A1" ref="Y1029"/>
    <hyperlink display="Cetak" location="JS!A1" ref="Y1030"/>
    <hyperlink display="Cetak" location="JS!A1" ref="Y1031"/>
    <hyperlink display="Cetak" location="JS!A1" ref="Y1032"/>
    <hyperlink display="Cetak" location="JS!A1" ref="Y1033"/>
    <hyperlink display="Cetak" location="JS!A1" ref="Y1034"/>
    <hyperlink display="Cetak" location="JS!A1" ref="Y1035"/>
    <hyperlink display="Cetak" location="JS!A1" ref="Y1036"/>
    <hyperlink display="Cetak" location="JS!A1" ref="Y1037"/>
    <hyperlink display="Cetak" location="JS!A1" ref="Y1038"/>
    <hyperlink display="Cetak" location="JS!A1" ref="Y1039"/>
    <hyperlink display="Cetak" location="JS!A1" ref="Y1040"/>
    <hyperlink display="Cetak" location="JS!A1" ref="Y1041"/>
    <hyperlink display="Cetak" location="JS!A1" ref="Y1042"/>
    <hyperlink display="Cetak" location="JS!A1" ref="Y1043"/>
    <hyperlink display="Cetak" location="JS!A1" ref="Y1044"/>
    <hyperlink display="Cetak" location="JS!A1" ref="Y1045"/>
    <hyperlink display="Cetak" location="JS!A1" ref="Y1046"/>
    <hyperlink display="Cetak" location="JS!A1" ref="Y1047"/>
    <hyperlink display="Cetak" location="JS!A1" ref="Y1048"/>
    <hyperlink display="Cetak" location="JS!A1" ref="Y1049"/>
    <hyperlink display="Cetak" location="JS!A1" ref="Y1050"/>
    <hyperlink display="Cetak" location="JS!A1" ref="Y1051"/>
    <hyperlink display="Cetak" location="JS!A1" ref="Y1052"/>
    <hyperlink display="Cetak" location="JS!A1" ref="Y1053"/>
    <hyperlink display="Cetak" location="JS!A1" ref="Y1054"/>
    <hyperlink display="Cetak" location="JS!A1" ref="Y1055"/>
    <hyperlink display="Cetak" location="JS!A1" ref="Y1056"/>
    <hyperlink display="Cetak" location="JS!A1" ref="Y1057"/>
    <hyperlink display="Cetak" location="JS!A1" ref="Y1058"/>
    <hyperlink display="Cetak" location="JS!A1" ref="Y1059"/>
    <hyperlink display="Cetak" location="JS!A1" ref="Y1060"/>
    <hyperlink display="Cetak" location="JS!A1" ref="Y1061"/>
    <hyperlink display="Cetak" location="JS!A1" ref="Y1062"/>
    <hyperlink display="Cetak" location="JS!A1" ref="Y1063"/>
    <hyperlink display="Cetak" location="JS!A1" ref="Y1064"/>
    <hyperlink display="Cetak" location="JS!A1" ref="Y1065"/>
    <hyperlink display="Cetak" location="JS!A1" ref="Y1066"/>
    <hyperlink display="Cetak" location="JS!A1" ref="Y1067"/>
    <hyperlink display="Cetak" location="JS!A1" ref="Y1068"/>
    <hyperlink display="Cetak" location="JS!A1" ref="Y1069"/>
    <hyperlink display="Cetak" location="JS!A1" ref="Y1070"/>
    <hyperlink display="Cetak" location="JS!A1" ref="Y1071"/>
    <hyperlink display="Cetak" location="JS!A1" ref="Y1072"/>
    <hyperlink display="Cetak" location="JS!A1" ref="Y1073"/>
    <hyperlink display="Cetak" location="JS!A1" ref="Y1074"/>
    <hyperlink display="Cetak" location="JS!A1" ref="Y1075"/>
    <hyperlink display="Cetak" location="JS!A1" ref="Y1076"/>
    <hyperlink display="Cetak" location="JS!A1" ref="Y1077"/>
    <hyperlink display="Cetak" location="JS!A1" ref="Y1078"/>
    <hyperlink display="Cetak" location="JS!A1" ref="Y1079"/>
    <hyperlink display="Cetak" location="JS!A1" ref="Y1080"/>
    <hyperlink display="Cetak" location="JS!A1" ref="Y1081"/>
    <hyperlink display="Cetak" location="JS!A1" ref="Y1082"/>
    <hyperlink display="Cetak" location="JS!A1" ref="Y1083"/>
    <hyperlink display="Cetak" location="JS!A1" ref="Y1084"/>
    <hyperlink display="Cetak" location="JS!A1" ref="Y1085"/>
    <hyperlink display="Cetak" location="JS!A1" ref="Y1086"/>
    <hyperlink display="Cetak" location="JS!A1" ref="Y1087"/>
    <hyperlink display="Cetak" location="JS!A1" ref="Y1088"/>
    <hyperlink display="Cetak" location="JS!A1" ref="Y1089"/>
    <hyperlink display="Cetak" location="JS!A1" ref="Y1090"/>
    <hyperlink display="Cetak" location="JS!A1" ref="Y1091"/>
    <hyperlink display="Cetak" location="JS!A1" ref="Y1092"/>
    <hyperlink display="Cetak" location="JS!A1" ref="Y1093"/>
    <hyperlink display="Cetak" location="JS!A1" ref="Y1094"/>
    <hyperlink display="Cetak" location="JS!A1" ref="Y1095"/>
    <hyperlink display="Cetak" location="JS!A1" ref="Y1096"/>
    <hyperlink display="Cetak" location="JS!A1" ref="Y1097"/>
    <hyperlink display="Cetak" location="JS!A1" ref="Y1098"/>
    <hyperlink display="Cetak" location="JS!A1" ref="Y1099"/>
    <hyperlink display="Cetak" location="JS!A1" ref="Y1100"/>
    <hyperlink display="Cetak" location="JS!A1" ref="Y1101"/>
    <hyperlink display="Cetak" location="JS!A1" ref="Y1102"/>
    <hyperlink display="Cetak" location="JS!A1" ref="Y1103"/>
    <hyperlink display="Cetak" location="JS!A1" ref="Y1104"/>
    <hyperlink display="Cetak" location="JS!A1" ref="Y1105"/>
    <hyperlink display="Cetak" location="JS!A1" ref="Y1106"/>
    <hyperlink display="Cetak" location="JS!A1" ref="Y1107"/>
    <hyperlink display="Cetak" location="JS!A1" ref="Y1108"/>
    <hyperlink display="Cetak" location="JS!A1" ref="Y1109"/>
    <hyperlink display="Cetak" location="JS!A1" ref="Y1110"/>
    <hyperlink display="Cetak" location="JS!A1" ref="Y1111"/>
    <hyperlink display="Cetak" location="JS!A1" ref="Y1112"/>
    <hyperlink display="Cetak" location="JS!A1" ref="Y1113"/>
    <hyperlink display="Cetak" location="JS!A1" ref="Y1114"/>
    <hyperlink display="Cetak" location="JS!A1" ref="Y1115"/>
    <hyperlink display="Cetak" location="JS!A1" ref="Y1116"/>
    <hyperlink display="Cetak" location="JS!A1" ref="Y1117"/>
    <hyperlink display="Cetak" location="JS!A1" ref="Y1118"/>
    <hyperlink display="Cetak" location="JS!A1" ref="Y1119"/>
    <hyperlink display="Cetak" location="JS!A1" ref="Y1120"/>
    <hyperlink display="Cetak" location="JS!A1" ref="Y1121"/>
    <hyperlink display="Cetak" location="JS!A1" ref="Y1122"/>
    <hyperlink display="Cetak" location="JS!A1" ref="Y1123"/>
    <hyperlink display="Cetak" location="JS!A1" ref="Y1124"/>
    <hyperlink display="Cetak" location="JS!A1" ref="Y1125"/>
    <hyperlink display="Cetak" location="JS!A1" ref="Y1126"/>
    <hyperlink display="Cetak" location="JS!A1" ref="Y1127"/>
    <hyperlink display="Cetak" location="JS!A1" ref="Y1128"/>
    <hyperlink display="Cetak" location="JS!A1" ref="Y1129"/>
    <hyperlink display="Cetak" location="JS!A1" ref="Y1130"/>
    <hyperlink display="Cetak" location="JS!A1" ref="Y1131"/>
    <hyperlink display="Cetak" location="JS!A1" ref="Y1132"/>
    <hyperlink display="Cetak" location="JS!A1" ref="Y1133"/>
    <hyperlink display="Cetak" location="JS!A1" ref="Y1134"/>
    <hyperlink display="Cetak" location="JS!A1" ref="Y1135"/>
    <hyperlink display="Cetak" location="JS!A1" ref="Y1136"/>
    <hyperlink display="Cetak" location="JS!A1" ref="Y1137"/>
    <hyperlink display="Cetak" location="JS!A1" ref="Y1138"/>
    <hyperlink display="Cetak" location="JS!A1" ref="Y1139"/>
    <hyperlink display="Cetak" location="JS!A1" ref="Y1140"/>
    <hyperlink display="Cetak" location="JS!A1" ref="Y1141"/>
    <hyperlink display="Cetak" location="JS!A1" ref="Y1142"/>
    <hyperlink display="Cetak" location="JS!A1" ref="Y1143"/>
    <hyperlink display="Cetak" location="JS!A1" ref="Y1144"/>
    <hyperlink display="Cetak" location="JS!A1" ref="Y1145"/>
    <hyperlink display="Cetak" location="JS!A1" ref="Y1146"/>
    <hyperlink display="Cetak" location="JS!A1" ref="Y1147"/>
    <hyperlink display="Cetak" location="JS!A1" ref="Y1148"/>
    <hyperlink display="Cetak" location="JS!A1" ref="Y1149"/>
    <hyperlink display="Cetak" location="JS!A1" ref="Y1150"/>
    <hyperlink display="Cetak" location="JS!A1" ref="Y1151"/>
    <hyperlink display="Cetak" location="JS!A1" ref="Y1152"/>
    <hyperlink display="Cetak" location="JS!A1" ref="Y1153"/>
    <hyperlink display="Cetak" location="JS!A1" ref="Y1154"/>
    <hyperlink display="Cetak" location="JS!A1" ref="Y1155"/>
    <hyperlink display="Cetak" location="JS!A1" ref="Y1156"/>
    <hyperlink display="Cetak" location="JS!A1" ref="Y1157"/>
    <hyperlink display="Cetak" location="JS!A1" ref="Y1158"/>
    <hyperlink display="Cetak" location="JS!A1" ref="Y1159"/>
    <hyperlink display="Cetak" location="JS!A1" ref="Y1160"/>
    <hyperlink display="Cetak" location="JS!A1" ref="Y1161"/>
    <hyperlink display="Cetak" location="JS!A1" ref="Y1162"/>
    <hyperlink display="Cetak" location="JS!A1" ref="Y1163"/>
    <hyperlink display="Cetak" location="JS!A1" ref="Y1164"/>
    <hyperlink display="Cetak" location="JS!A1" ref="Y1165"/>
    <hyperlink display="Cetak" location="JS!A1" ref="Y1166"/>
    <hyperlink display="Cetak" location="JS!A1" ref="Y1167"/>
    <hyperlink display="Cetak" location="JS!A1" ref="Y1168"/>
    <hyperlink display="Cetak" location="JS!A1" ref="Y1169"/>
    <hyperlink display="Cetak" location="JS!A1" ref="Y1170"/>
    <hyperlink display="Cetak" location="JS!A1" ref="Y1171"/>
    <hyperlink display="Cetak" location="JS!A1" ref="Y1172"/>
    <hyperlink display="Cetak" location="JS!A1" ref="Y1173"/>
    <hyperlink display="Cetak" location="JS!A1" ref="Y1174"/>
    <hyperlink display="Cetak" location="JS!A1" ref="Y1175"/>
    <hyperlink display="Cetak" location="JS!A1" ref="Y1176"/>
    <hyperlink display="Cetak" location="JS!A1" ref="Y1177"/>
    <hyperlink display="Cetak" location="JS!A1" ref="Y1178"/>
    <hyperlink display="Cetak" location="JS!A1" ref="Y1179"/>
    <hyperlink display="Cetak" location="JS!A1" ref="Y1180"/>
    <hyperlink display="Cetak" location="JS!A1" ref="Y1181"/>
    <hyperlink display="Cetak" location="JS!A1" ref="Y1182"/>
    <hyperlink display="Cetak" location="JS!A1" ref="Y1183"/>
    <hyperlink display="Cetak" location="JS!A1" ref="Y1184"/>
    <hyperlink display="Cetak" location="JS!A1" ref="Y1185"/>
    <hyperlink display="Cetak" location="JS!A1" ref="Y1186"/>
    <hyperlink display="Cetak" location="JS!A1" ref="Y1187"/>
    <hyperlink display="Cetak" location="JS!A1" ref="Y1188"/>
    <hyperlink display="Cetak" location="JS!A1" ref="Y1189"/>
    <hyperlink display="Cetak" location="JS!A1" ref="Y1190"/>
    <hyperlink display="Cetak" location="JS!A1" ref="Y1191"/>
    <hyperlink display="Cetak" location="JS!A1" ref="Y1192"/>
    <hyperlink display="Cetak" location="JS!A1" ref="Y1193"/>
    <hyperlink display="Cetak" location="JS!A1" ref="Y1194"/>
    <hyperlink display="Cetak" location="JS!A1" ref="Y1195"/>
    <hyperlink display="Cetak" location="JS!A1" ref="Y1196"/>
    <hyperlink display="Cetak" location="JS!A1" ref="Y1197"/>
    <hyperlink display="Cetak" location="JS!A1" ref="Y1198"/>
    <hyperlink display="Cetak" location="JS!A1" ref="Y1199"/>
    <hyperlink display="Cetak" location="JS!A1" ref="Y1200"/>
    <hyperlink display="Cetak" location="JS!A1" ref="Y1201"/>
    <hyperlink display="Cetak" location="JS!A1" ref="Y1202"/>
    <hyperlink display="Cetak" location="JS!A1" ref="Y1203"/>
    <hyperlink display="Cetak" location="JS!A1" ref="Y1204"/>
    <hyperlink display="Cetak" location="JS!A1" ref="Y1205"/>
    <hyperlink display="Cetak" location="JS!A1" ref="Y1206"/>
    <hyperlink display="Cetak" location="JS!A1" ref="Y1207"/>
    <hyperlink display="Cetak" location="JS!A1" ref="Y1208"/>
    <hyperlink display="Cetak" location="JS!A1" ref="Y1209"/>
    <hyperlink display="Cetak" location="JS!A1" ref="Y1210"/>
    <hyperlink display="Cetak" location="JS!A1" ref="Y1211"/>
    <hyperlink display="Cetak" location="JS!A1" ref="Y1212"/>
    <hyperlink display="Cetak" location="JS!A1" ref="Y1213"/>
    <hyperlink display="Cetak" location="JS!A1" ref="Y1214"/>
    <hyperlink display="Cetak" location="JS!A1" ref="Y1215"/>
    <hyperlink display="Cetak" location="JS!A1" ref="Y1216"/>
    <hyperlink display="Cetak" location="JS!A1" ref="Y1217"/>
    <hyperlink display="Cetak" location="JS!A1" ref="Y1218"/>
    <hyperlink display="Cetak" location="JS!A1" ref="Y1219"/>
    <hyperlink display="Cetak" location="JS!A1" ref="Y1220"/>
    <hyperlink display="Cetak" location="JS!A1" ref="Y1221"/>
    <hyperlink display="Cetak" location="JS!A1" ref="Y1222"/>
    <hyperlink display="Cetak" location="JS!A1" ref="Y1223"/>
    <hyperlink display="Cetak" location="JS!A1" ref="Y1224"/>
    <hyperlink display="Cetak" location="JS!A1" ref="Y1225"/>
    <hyperlink display="Cetak" location="JS!A1" ref="Y1226"/>
    <hyperlink display="Cetak" location="JS!A1" ref="Y1227"/>
    <hyperlink display="Cetak" location="JS!A1" ref="Y1228"/>
    <hyperlink display="Cetak" location="JS!A1" ref="Y1229"/>
    <hyperlink display="Cetak" location="JS!A1" ref="Y1230"/>
    <hyperlink display="Cetak" location="JS!A1" ref="Y1231"/>
    <hyperlink display="Cetak" location="JS!A1" ref="Y1232"/>
    <hyperlink display="Cetak" location="JS!A1" ref="Y1233"/>
    <hyperlink display="Cetak" location="JS!A1" ref="Y1234"/>
    <hyperlink display="Cetak" location="JS!A1" ref="Y1235"/>
    <hyperlink display="Cetak" location="JS!A1" ref="Y1236"/>
    <hyperlink display="Cetak" location="JS!A1" ref="Y1237"/>
    <hyperlink display="Cetak" location="JS!A1" ref="Y1238"/>
    <hyperlink display="Cetak" location="JS!A1" ref="Y1239"/>
    <hyperlink display="Cetak" location="JS!A1" ref="Y1240"/>
    <hyperlink display="Cetak" location="JS!A1" ref="Y1241"/>
    <hyperlink display="Cetak" location="JS!A1" ref="Y1242"/>
    <hyperlink display="Cetak" location="JS!A1" ref="Y1243"/>
    <hyperlink display="Cetak" location="JS!A1" ref="Y1244"/>
    <hyperlink display="Cetak" location="JS!A1" ref="Y1245"/>
    <hyperlink display="Cetak" location="JS!A1" ref="Y1246"/>
    <hyperlink display="Cetak" location="JS!A1" ref="Y1247"/>
    <hyperlink display="Cetak" location="JS!A1" ref="Y1248"/>
    <hyperlink display="Cetak" location="JS!A1" ref="Y1249"/>
    <hyperlink display="Cetak" location="JS!A1" ref="Y1250"/>
    <hyperlink display="Cetak" location="JS!A1" ref="Y1251"/>
    <hyperlink display="Cetak" location="JS!A1" ref="Y1252"/>
    <hyperlink display="Cetak" location="JS!A1" ref="Y1253"/>
    <hyperlink display="Cetak" location="JS!A1" ref="Y1254"/>
    <hyperlink display="Cetak" location="JS!A1" ref="Y1255"/>
    <hyperlink display="Cetak" location="JS!A1" ref="Y1256"/>
    <hyperlink display="Cetak" location="JS!A1" ref="Y1257"/>
    <hyperlink display="Cetak" location="JS!A1" ref="Y1258"/>
    <hyperlink display="Cetak" location="JS!A1" ref="Y1259"/>
    <hyperlink display="Cetak" location="JS!A1" ref="Y1260"/>
    <hyperlink display="Cetak" location="JS!A1" ref="Y1261"/>
    <hyperlink display="Cetak" location="JS!A1" ref="Y1262"/>
    <hyperlink display="Cetak" location="JS!A1" ref="Y1263"/>
    <hyperlink display="Cetak" location="JS!A1" ref="Y1264"/>
    <hyperlink display="Cetak" location="JS!A1" ref="Y1265"/>
    <hyperlink display="Cetak" location="JS!A1" ref="Y1266"/>
    <hyperlink display="Cetak" location="JS!A1" ref="Y1267"/>
    <hyperlink display="Cetak" location="JS!A1" ref="Y1268"/>
    <hyperlink display="Cetak" location="JS!A1" ref="Y1269"/>
    <hyperlink display="Cetak" location="JS!A1" ref="Y1270"/>
    <hyperlink display="Cetak" location="JS!A1" ref="Y1271"/>
    <hyperlink display="Cetak" location="JS!A1" ref="Y1272"/>
    <hyperlink display="Cetak" location="JS!A1" ref="Y1273"/>
    <hyperlink display="Cetak" location="JS!A1" ref="Y1274"/>
    <hyperlink display="Cetak" location="JS!A1" ref="Y1275"/>
    <hyperlink display="Cetak" location="JS!A1" ref="Y1276"/>
    <hyperlink display="Cetak" location="JS!A1" ref="Y1277"/>
    <hyperlink display="Cetak" location="JS!A1" ref="Y1278"/>
    <hyperlink display="Cetak" location="JS!A1" ref="Y1279"/>
    <hyperlink display="Cetak" location="JS!A1" ref="Y1280"/>
    <hyperlink display="Cetak" location="JS!A1" ref="Y1281"/>
    <hyperlink display="Cetak" location="JS!A1" ref="Y1282"/>
    <hyperlink display="Cetak" location="JS!A1" ref="Y1283"/>
    <hyperlink display="Cetak" location="JS!A1" ref="Y1284"/>
    <hyperlink display="Cetak" location="JS!A1" ref="Y1285"/>
    <hyperlink display="Cetak" location="JS!A1" ref="Y1286"/>
    <hyperlink display="Cetak" location="JS!A1" ref="Y1287"/>
    <hyperlink display="Cetak" location="JS!A1" ref="Y1288"/>
    <hyperlink display="Cetak" location="JS!A1" ref="Y1289"/>
    <hyperlink display="Cetak" location="JS!A1" ref="Y1290"/>
    <hyperlink display="Cetak" location="JS!A1" ref="Y1291"/>
    <hyperlink display="Cetak" location="JS!A1" ref="Y1292"/>
    <hyperlink display="Cetak" location="JS!A1" ref="Y1293"/>
    <hyperlink display="Cetak" location="JS!A1" ref="Y1294"/>
    <hyperlink display="Cetak" location="JS!A1" ref="Y1295"/>
    <hyperlink display="Cetak" location="JS!A1" ref="Y1296"/>
    <hyperlink display="Cetak" location="JS!A1" ref="Y1297"/>
    <hyperlink display="Cetak" location="JS!A1" ref="Y1298"/>
    <hyperlink display="Cetak" location="JS!A1" ref="Y1299"/>
    <hyperlink display="Cetak" location="JS!A1" ref="Y1300"/>
    <hyperlink display="Cetak" location="JS!A1" ref="Y1301"/>
    <hyperlink display="Cetak" location="JS!A1" ref="Y1302"/>
    <hyperlink display="Cetak" location="JS!A1" ref="Y1303"/>
    <hyperlink display="Cetak" location="JS!A1" ref="Y1304"/>
    <hyperlink display="Cetak" location="JS!A1" ref="Y1305"/>
    <hyperlink display="Cetak" location="JS!A1" ref="Y1306"/>
    <hyperlink display="Cetak" location="JS!A1" ref="Y1307"/>
    <hyperlink display="Cetak" location="JS!A1" ref="Y1308"/>
    <hyperlink display="Cetak" location="JS!A1" ref="Y1309"/>
    <hyperlink display="Cetak" location="JS!A1" ref="Y1310"/>
    <hyperlink display="Cetak" location="JS!A1" ref="Y1311"/>
    <hyperlink display="Cetak" location="JS!A1" ref="Y1312"/>
    <hyperlink display="Cetak" location="JS!A1" ref="Y1313"/>
    <hyperlink display="Cetak" location="JS!A1" ref="Y1314"/>
    <hyperlink display="Cetak" location="JS!A1" ref="Y1315"/>
    <hyperlink display="Cetak" location="JS!A1" ref="Y1316"/>
    <hyperlink display="Cetak" location="JS!A1" ref="Y1317"/>
    <hyperlink display="Cetak" location="JS!A1" ref="Y1318"/>
    <hyperlink display="Cetak" location="JS!A1" ref="Y1319"/>
    <hyperlink display="Cetak" location="JS!A1" ref="Y1320"/>
    <hyperlink display="Cetak" location="JS!A1" ref="Y1321"/>
    <hyperlink display="Cetak" location="JS!A1" ref="Y1322"/>
    <hyperlink display="Cetak" location="JS!A1" ref="Y1323"/>
    <hyperlink display="Cetak" location="JS!A1" ref="Y1324"/>
    <hyperlink display="Cetak" location="JS!A1" ref="Y1325"/>
    <hyperlink display="Cetak" location="JS!A1" ref="Y1326"/>
    <hyperlink display="Cetak" location="JS!A1" ref="Y1327"/>
    <hyperlink display="Cetak" location="JS!A1" ref="Y1328"/>
    <hyperlink display="Cetak" location="JS!A1" ref="Y1329"/>
    <hyperlink display="Cetak" location="JS!A1" ref="Y1330"/>
    <hyperlink display="Cetak" location="JS!A1" ref="Y1331"/>
    <hyperlink display="Cetak" location="JS!A1" ref="Y1332"/>
    <hyperlink display="Cetak" location="JS!A1" ref="Y1333"/>
    <hyperlink display="Cetak" location="JS!A1" ref="Y1334"/>
    <hyperlink display="Cetak" location="JS!A1" ref="Y1335"/>
    <hyperlink display="Cetak" location="JS!A1" ref="Y1336"/>
    <hyperlink display="Cetak" location="JS!A1" ref="Y1337"/>
    <hyperlink display="Cetak" location="JS!A1" ref="Y1338"/>
    <hyperlink display="Cetak" location="JS!A1" ref="Y1339"/>
    <hyperlink display="Cetak" location="JS!A1" ref="Y1340"/>
    <hyperlink display="Cetak" location="JS!A1" ref="Y1341"/>
    <hyperlink display="Cetak" location="JS!A1" ref="Y1342"/>
    <hyperlink display="Cetak" location="JS!A1" ref="Y1343"/>
    <hyperlink display="Cetak" location="JS!A1" ref="Y1344"/>
    <hyperlink display="Cetak" location="JS!A1" ref="Y1345"/>
    <hyperlink display="Cetak" location="JS!A1" ref="Y1346"/>
    <hyperlink display="Cetak" location="JS!A1" ref="Y1347"/>
    <hyperlink display="Cetak" location="JS!A1" ref="Y1348"/>
    <hyperlink display="Cetak" location="JS!A1" ref="Y1349"/>
    <hyperlink display="Cetak" location="JS!A1" ref="Y1350"/>
    <hyperlink display="Cetak" location="JS!A1" ref="Y1351"/>
    <hyperlink display="Cetak" location="JS!A1" ref="Y1352"/>
    <hyperlink display="Cetak" location="JS!A1" ref="Y1353"/>
    <hyperlink display="Cetak" location="JS!A1" ref="Y1354"/>
    <hyperlink display="Cetak" location="JS!A1" ref="Y1355"/>
    <hyperlink display="Cetak" location="JS!A1" ref="Y1356"/>
    <hyperlink display="Cetak" location="JS!A1" ref="Y1357"/>
    <hyperlink display="Cetak" location="JS!A1" ref="Y1358"/>
    <hyperlink display="Cetak" location="JS!A1" ref="Y1359"/>
    <hyperlink display="Cetak" location="JS!A1" ref="Y1360"/>
    <hyperlink display="Cetak" location="JS!A1" ref="Y1361"/>
    <hyperlink display="Cetak" location="JS!A1" ref="Y1362"/>
    <hyperlink display="Cetak" location="JS!A1" ref="Y1363"/>
    <hyperlink display="Cetak" location="JS!A1" ref="Y1364"/>
    <hyperlink display="Cetak" location="JS!A1" ref="Y1365"/>
    <hyperlink display="Cetak" location="JS!A1" ref="Y1366"/>
    <hyperlink display="Cetak" location="JS!A1" ref="Y1367"/>
    <hyperlink display="Cetak" location="JS!A1" ref="Y1368"/>
    <hyperlink display="Cetak" location="JS!A1" ref="Y1369"/>
    <hyperlink display="Cetak" location="JS!A1" ref="Y1370"/>
    <hyperlink display="Cetak" location="JS!A1" ref="Y1371"/>
    <hyperlink display="Cetak" location="JS!A1" ref="Y1372"/>
    <hyperlink display="Cetak" location="JS!A1" ref="Y1373"/>
    <hyperlink display="Cetak" location="JS!A1" ref="Y1374"/>
    <hyperlink display="Cetak" location="JS!A1" ref="Y1375"/>
    <hyperlink display="Cetak" location="JS!A1" ref="Y1376"/>
    <hyperlink display="Cetak" location="JS!A1" ref="Y1377"/>
    <hyperlink display="Cetak" location="JS!A1" ref="Y1378"/>
    <hyperlink display="Cetak" location="JS!A1" ref="Y1379"/>
    <hyperlink display="Cetak" location="JS!A1" ref="Y1380"/>
    <hyperlink display="Cetak" location="JS!A1" ref="Y1381"/>
    <hyperlink display="Cetak" location="JS!A1" ref="Y1382"/>
    <hyperlink display="Cetak" location="JS!A1" ref="Y1383"/>
    <hyperlink display="Cetak" location="JS!A1" ref="Y1384"/>
    <hyperlink display="Cetak" location="JS!A1" ref="Y1385"/>
    <hyperlink display="Cetak" location="JS!A1" ref="Y1386"/>
    <hyperlink display="Cetak" location="JS!A1" ref="Y1387"/>
    <hyperlink display="Cetak" location="JS!A1" ref="Y1388"/>
    <hyperlink display="Cetak" location="JS!A1" ref="Y1389"/>
    <hyperlink display="Cetak" location="JS!A1" ref="Y1390"/>
    <hyperlink display="Cetak" location="JS!A1" ref="Y1391"/>
    <hyperlink display="Cetak" location="JS!A1" ref="Y1392"/>
    <hyperlink display="Cetak" location="JS!A1" ref="Y1393"/>
    <hyperlink display="Cetak" location="JS!A1" ref="Y1394"/>
    <hyperlink display="Cetak" location="JS!A1" ref="Y1395"/>
    <hyperlink display="Cetak" location="JS!A1" ref="Y1396"/>
    <hyperlink display="Cetak" location="JS!A1" ref="Y1397"/>
    <hyperlink display="Cetak" location="JS!A1" ref="Y1398"/>
    <hyperlink display="Cetak" location="JS!A1" ref="Y1399"/>
    <hyperlink display="Cetak" location="JS!A1" ref="Y1400"/>
    <hyperlink display="Cetak" location="JS!A1" ref="Y1401"/>
    <hyperlink display="Cetak" location="JS!A1" ref="Y1402"/>
    <hyperlink display="Cetak" location="JS!A1" ref="Y1403"/>
    <hyperlink display="Cetak" location="JS!A1" ref="Y1404"/>
    <hyperlink display="Cetak" location="JS!A1" ref="Y1405"/>
    <hyperlink display="Cetak" location="JS!A1" ref="Y1406"/>
    <hyperlink display="Cetak" location="JS!A1" ref="Y1407"/>
    <hyperlink display="Cetak" location="JS!A1" ref="Y1408"/>
    <hyperlink display="Cetak" location="JS!A1" ref="Y1409"/>
    <hyperlink display="Cetak" location="JS!A1" ref="Y1410"/>
    <hyperlink display="Cetak" location="JS!A1" ref="Y1411"/>
    <hyperlink display="Cetak" location="JS!A1" ref="Y1412"/>
    <hyperlink display="Cetak" location="JS!A1" ref="Y1413"/>
    <hyperlink display="Cetak" location="JS!A1" ref="Y1414"/>
    <hyperlink display="Cetak" location="JS!A1" ref="Y1415"/>
    <hyperlink display="Cetak" location="JS!A1" ref="Y1416"/>
    <hyperlink display="Cetak" location="JS!A1" ref="Y1417"/>
    <hyperlink display="Cetak" location="JS!A1" ref="Y1418"/>
    <hyperlink display="Cetak" location="JS!A1" ref="Y1419"/>
    <hyperlink display="Cetak" location="JS!A1" ref="Y1420"/>
    <hyperlink display="Cetak" location="JS!A1" ref="Y1421"/>
    <hyperlink display="Cetak" location="JS!A1" ref="Y1422"/>
    <hyperlink display="Cetak" location="JS!A1" ref="Y1423"/>
    <hyperlink display="Cetak" location="JS!A1" ref="Y1424"/>
    <hyperlink display="Cetak" location="JS!A1" ref="Y1425"/>
    <hyperlink display="Cetak" location="JS!A1" ref="Y1426"/>
    <hyperlink display="Cetak" location="JS!A1" ref="Y1427"/>
    <hyperlink display="Cetak" location="JS!A1" ref="Y1428"/>
    <hyperlink display="Cetak" location="JS!A1" ref="Y1429"/>
    <hyperlink display="Cetak" location="JS!A1" ref="Y1430"/>
    <hyperlink display="Cetak" location="JS!A1" ref="Y1431"/>
    <hyperlink display="Cetak" location="JS!A1" ref="Y1432"/>
    <hyperlink display="Cetak" location="JS!A1" ref="Y1433"/>
    <hyperlink display="Cetak" location="JS!A1" ref="Y1434"/>
    <hyperlink display="Cetak" location="JS!A1" ref="Y1435"/>
    <hyperlink display="Cetak" location="JS!A1" ref="Y1436"/>
    <hyperlink display="Cetak" location="JS!A1" ref="Y1437"/>
    <hyperlink display="Cetak" location="JS!A1" ref="Y1438"/>
    <hyperlink display="Cetak" location="JS!A1" ref="Y1439"/>
    <hyperlink display="Cetak" location="JS!A1" ref="Y1440"/>
    <hyperlink display="Cetak" location="JS!A1" ref="Y1441"/>
    <hyperlink display="Cetak" location="JS!A1" ref="Y1442"/>
    <hyperlink display="Cetak" location="JS!A1" ref="Y1443"/>
    <hyperlink display="Cetak" location="JS!A1" ref="Y1444"/>
    <hyperlink display="Cetak" location="JS!A1" ref="Y1445"/>
    <hyperlink display="Cetak" location="JS!A1" ref="Y1446"/>
    <hyperlink display="Cetak" location="JS!A1" ref="Y1447"/>
    <hyperlink display="Cetak" location="JS!A1" ref="Y1448"/>
    <hyperlink display="Cetak" location="JS!A1" ref="Y1449"/>
    <hyperlink display="Cetak" location="JS!A1" ref="Y1450"/>
    <hyperlink display="Cetak" location="JS!A1" ref="Y1451"/>
    <hyperlink display="Cetak" location="JS!A1" ref="Y1452"/>
    <hyperlink display="Cetak" location="JS!A1" ref="Y1453"/>
    <hyperlink display="Cetak" location="JS!A1" ref="Y1454"/>
    <hyperlink display="Cetak" location="JS!A1" ref="Y1455"/>
    <hyperlink display="Cetak" location="JS!A1" ref="Y1456"/>
    <hyperlink display="Cetak" location="JS!A1" ref="Y1457"/>
    <hyperlink display="Cetak" location="JS!A1" ref="Y1458"/>
    <hyperlink display="Cetak" location="JS!A1" ref="Y1459"/>
    <hyperlink display="Cetak" location="JS!A1" ref="Y1460"/>
    <hyperlink display="Cetak" location="JS!A1" ref="Y1461"/>
    <hyperlink display="Cetak" location="JS!A1" ref="Y1462"/>
    <hyperlink display="Cetak" location="JS!A1" ref="Y1463"/>
    <hyperlink display="Cetak" location="JS!A1" ref="Y1464"/>
    <hyperlink display="Cetak" location="JS!A1" ref="Y1465"/>
    <hyperlink display="Cetak" location="JS!A1" ref="Y1466"/>
    <hyperlink display="Cetak" location="JS!A1" ref="Y1467"/>
    <hyperlink display="Cetak" location="JS!A1" ref="Y1468"/>
    <hyperlink display="Cetak" location="JS!A1" ref="Y1469"/>
    <hyperlink display="Cetak" location="JS!A1" ref="Y1470"/>
    <hyperlink display="Cetak" location="JS!A1" ref="Y1471"/>
    <hyperlink display="Cetak" location="JS!A1" ref="Y1472"/>
    <hyperlink display="Cetak" location="JS!A1" ref="Y1473"/>
    <hyperlink display="Cetak" location="JS!A1" ref="Y1474"/>
    <hyperlink display="Cetak" location="JS!A1" ref="Y1475"/>
    <hyperlink display="Cetak" location="JS!A1" ref="Y1476"/>
    <hyperlink display="Cetak" location="JS!A1" ref="Y1477"/>
    <hyperlink display="Cetak" location="JS!A1" ref="Y1478"/>
    <hyperlink display="Cetak" location="JS!A1" ref="Y1479"/>
    <hyperlink display="Cetak" location="JS!A1" ref="Y1480"/>
    <hyperlink display="Cetak" location="JS!A1" ref="Y1481"/>
    <hyperlink display="Cetak" location="JS!A1" ref="Y1482"/>
    <hyperlink display="Cetak" location="JS!A1" ref="Y1483"/>
    <hyperlink display="Cetak" location="JS!A1" ref="Y1484"/>
    <hyperlink display="Cetak" location="JS!A1" ref="Y1485"/>
    <hyperlink display="Cetak" location="JS!A1" ref="Y1486"/>
    <hyperlink display="Cetak" location="JS!A1" ref="Y1487"/>
    <hyperlink display="Cetak" location="JS!A1" ref="Y1488"/>
    <hyperlink display="Cetak" location="JS!A1" ref="Y1489"/>
    <hyperlink display="Cetak" location="JS!A1" ref="Y1490"/>
    <hyperlink display="Cetak" location="JS!A1" ref="Y1491"/>
    <hyperlink display="Cetak" location="JS!A1" ref="Y1492"/>
    <hyperlink display="Cetak" location="JS!A1" ref="Y1493"/>
    <hyperlink display="Cetak" location="JS!A1" ref="Y1494"/>
    <hyperlink display="Cetak" location="JS!A1" ref="Y1495"/>
    <hyperlink display="Cetak" location="JS!A1" ref="Y1496"/>
    <hyperlink display="Cetak" location="JS!A1" ref="Y1497"/>
    <hyperlink display="Cetak" location="JS!A1" ref="Y1498"/>
    <hyperlink display="Cetak" location="JS!A1" ref="Y1499"/>
    <hyperlink display="Cetak" location="JS!A1" ref="Y1500"/>
    <hyperlink display="Cetak" location="JS!A1" ref="Y1501"/>
    <hyperlink display="Cetak" location="JS!A1" ref="Y1502"/>
    <hyperlink display="Cetak" location="JS!A1" ref="Y1503"/>
    <hyperlink display="Cetak" location="JS!A1" ref="Y1504"/>
    <hyperlink display="Cetak" location="JS!A1" ref="Y1505"/>
    <hyperlink display="Cetak" location="JS!A1" ref="Y1506"/>
    <hyperlink display="Cetak" location="JS!A1" ref="Y1507"/>
    <hyperlink display="Cetak" location="JS!A1" ref="Y1508"/>
    <hyperlink display="Cetak" location="JS!A1" ref="Y1509"/>
    <hyperlink display="Cetak" location="JS!A1" ref="Y1510"/>
    <hyperlink display="Cetak" location="JS!A1" ref="Y1511"/>
    <hyperlink display="Cetak" location="JS!A1" ref="Y1512"/>
    <hyperlink display="Cetak" location="JS!A1" ref="Y1513"/>
    <hyperlink display="Cetak" location="JS!A1" ref="Y1514"/>
    <hyperlink display="Cetak" location="JS!A1" ref="Y1515"/>
    <hyperlink display="Cetak" location="JS!A1" ref="Y1516"/>
    <hyperlink display="Cetak" location="JS!A1" ref="Y1517"/>
    <hyperlink display="Cetak" location="JS!A1" ref="Y1518"/>
    <hyperlink display="Cetak" location="JS!A1" ref="Y1519"/>
    <hyperlink display="Cetak" location="JS!A1" ref="Y1520"/>
    <hyperlink display="Cetak" location="JS!A1" ref="Y1521"/>
    <hyperlink display="Cetak" location="JS!A1" ref="Y1522"/>
    <hyperlink display="Cetak" location="JS!A1" ref="Y1523"/>
    <hyperlink display="Cetak" location="JS!A1" ref="Y1524"/>
    <hyperlink display="Cetak" location="JS!A1" ref="Y1525"/>
    <hyperlink display="Cetak" location="JS!A1" ref="Y1526"/>
    <hyperlink display="Cetak" location="JS!A1" ref="Y1527"/>
    <hyperlink display="Cetak" location="JS!A1" ref="Y1528"/>
    <hyperlink display="Cetak" location="JS!A1" ref="Y1529"/>
    <hyperlink display="Cetak" location="JS!A1" ref="Y1530"/>
    <hyperlink display="Cetak" location="JS!A1" ref="Y1531"/>
    <hyperlink display="Cetak" location="JS!A1" ref="Y1532"/>
    <hyperlink display="Cetak" location="JS!A1" ref="Y1533"/>
    <hyperlink display="Cetak" location="JS!A1" ref="Y1534"/>
    <hyperlink display="Cetak" location="JS!A1" ref="Y1535"/>
    <hyperlink display="Cetak" location="JS!A1" ref="Y1536"/>
    <hyperlink display="Cetak" location="JS!A1" ref="Y1537"/>
    <hyperlink display="Cetak" location="JS!A1" ref="Y1538"/>
    <hyperlink display="Cetak" location="JS!A1" ref="Y1539"/>
    <hyperlink display="Cetak" location="JS!A1" ref="Y1540"/>
    <hyperlink display="Cetak" location="JS!A1" ref="Y1541"/>
    <hyperlink display="Cetak" location="JS!A1" ref="Y1542"/>
    <hyperlink display="Cetak" location="JS!A1" ref="Y1543"/>
    <hyperlink display="Cetak" location="JS!A1" ref="Y1544"/>
    <hyperlink display="Cetak" location="JS!A1" ref="Y1545"/>
    <hyperlink display="Cetak" location="JS!A1" ref="Y1546"/>
    <hyperlink display="Cetak" location="JS!A1" ref="Y1547"/>
    <hyperlink display="Cetak" location="JS!A1" ref="Y1548"/>
    <hyperlink display="Cetak" location="JS!A1" ref="Y1549"/>
    <hyperlink display="Cetak" location="JS!A1" ref="Y1550"/>
    <hyperlink display="Cetak" location="JS!A1" ref="Y1551"/>
    <hyperlink display="Cetak" location="JS!A1" ref="Y1552"/>
    <hyperlink display="Cetak" location="JS!A1" ref="Y1553"/>
    <hyperlink display="Cetak" location="JS!A1" ref="Y1554"/>
    <hyperlink display="Cetak" location="JS!A1" ref="Y1555"/>
    <hyperlink display="Cetak" location="JS!A1" ref="Y1556"/>
    <hyperlink display="Cetak" location="JS!A1" ref="Y1557"/>
    <hyperlink display="Cetak" location="JS!A1" ref="Y1558"/>
    <hyperlink display="Cetak" location="JS!A1" ref="Y1559"/>
    <hyperlink display="Cetak" location="JS!A1" ref="Y1560"/>
    <hyperlink display="Cetak" location="JS!A1" ref="Y1561"/>
    <hyperlink display="Cetak" location="JS!A1" ref="Y1562"/>
    <hyperlink display="Cetak" location="JS!A1" ref="Y1563"/>
    <hyperlink display="Cetak" location="JS!A1" ref="Y1564"/>
    <hyperlink display="Cetak" location="JS!A1" ref="Y1565"/>
    <hyperlink display="Cetak" location="JS!A1" ref="Y1566"/>
    <hyperlink display="Cetak" location="JS!A1" ref="Y1567"/>
    <hyperlink display="Cetak" location="JS!A1" ref="Y1568"/>
    <hyperlink display="Cetak" location="JS!A1" ref="Y1569"/>
    <hyperlink display="Cetak" location="JS!A1" ref="Y1570"/>
    <hyperlink display="Cetak" location="JS!A1" ref="Y1571"/>
    <hyperlink display="Cetak" location="JS!A1" ref="Y1572"/>
    <hyperlink display="Cetak" location="JS!A1" ref="Y1573"/>
    <hyperlink display="Cetak" location="JS!A1" ref="Y1574"/>
    <hyperlink display="Cetak" location="JS!A1" ref="Y1575"/>
    <hyperlink display="Cetak" location="JS!A1" ref="Y1576"/>
    <hyperlink display="Cetak" location="JS!A1" ref="Y1577"/>
    <hyperlink display="Cetak" location="JS!A1" ref="Y1578"/>
    <hyperlink display="Cetak" location="JS!A1" ref="Y1579"/>
    <hyperlink display="Cetak" location="JS!A1" ref="Y1580"/>
    <hyperlink display="Cetak" location="JS!A1" ref="Y1581"/>
    <hyperlink display="Cetak" location="JS!A1" ref="Y1582"/>
    <hyperlink display="Cetak" location="JS!A1" ref="Y1583"/>
    <hyperlink display="Cetak" location="JS!A1" ref="Y1584"/>
    <hyperlink display="Cetak" location="JS!A1" ref="Y1585"/>
    <hyperlink display="Cetak" location="JS!A1" ref="Y1586"/>
    <hyperlink display="Cetak" location="JS!A1" ref="Y1587"/>
    <hyperlink display="Cetak" location="JS!A1" ref="Y1588"/>
    <hyperlink display="Cetak" location="JS!A1" ref="Y1589"/>
    <hyperlink display="Cetak" location="JS!A1" ref="Y1590"/>
    <hyperlink display="Cetak" location="JS!A1" ref="Y1591"/>
    <hyperlink display="Cetak" location="JS!A1" ref="Y1592"/>
    <hyperlink display="Cetak" location="JS!A1" ref="Y1593"/>
    <hyperlink display="Cetak" location="JS!A1" ref="Y1594"/>
    <hyperlink display="Cetak" location="JS!A1" ref="Y1595"/>
    <hyperlink display="Cetak" location="JS!A1" ref="Y1596"/>
    <hyperlink display="Cetak" location="JS!A1" ref="Y1597"/>
    <hyperlink display="Cetak" location="JS!A1" ref="Y1598"/>
    <hyperlink display="Cetak" location="JS!A1" ref="Y1599"/>
    <hyperlink display="Cetak" location="JS!A1" ref="Y1600"/>
    <hyperlink display="Cetak" location="JS!A1" ref="Y1601"/>
    <hyperlink display="Cetak" location="JS!A1" ref="Y1602"/>
    <hyperlink display="Cetak" location="JS!A1" ref="Y1603"/>
    <hyperlink display="Cetak" location="JS!A1" ref="Y1604"/>
    <hyperlink display="Cetak" location="JS!A1" ref="Y1605"/>
    <hyperlink display="Cetak" location="JS!A1" ref="Y1606"/>
    <hyperlink display="Cetak" location="JS!A1" ref="Y1607"/>
    <hyperlink display="Cetak" location="JS!A1" ref="Y1608"/>
    <hyperlink display="Cetak" location="JS!A1" ref="Y1609"/>
    <hyperlink display="Cetak" location="JS!A1" ref="Y1610"/>
    <hyperlink display="Cetak" location="JS!A1" ref="Y1611"/>
    <hyperlink display="Cetak" location="JS!A1" ref="Y1612"/>
    <hyperlink display="Cetak" location="JS!A1" ref="Y1613"/>
    <hyperlink display="Cetak" location="JS!A1" ref="Y1614"/>
    <hyperlink display="Cetak" location="JS!A1" ref="Y1615"/>
    <hyperlink display="Cetak" location="JS!A1" ref="Y1616"/>
    <hyperlink display="Cetak" location="JS!A1" ref="Y1617"/>
    <hyperlink display="Cetak" location="JS!A1" ref="Y1618"/>
    <hyperlink display="Cetak" location="JS!A1" ref="Y1619"/>
    <hyperlink display="Cetak" location="JS!A1" ref="Y1620"/>
    <hyperlink display="Cetak" location="JS!A1" ref="Y1621"/>
    <hyperlink display="Cetak" location="JS!A1" ref="Y1622"/>
    <hyperlink display="Cetak" location="JS!A1" ref="Y1623"/>
    <hyperlink display="Cetak" location="JS!A1" ref="Y1624"/>
    <hyperlink display="Cetak" location="JS!A1" ref="Y1625"/>
    <hyperlink display="Cetak" location="JS!A1" ref="Y1626"/>
    <hyperlink display="Cetak" location="JS!A1" ref="Y1627"/>
    <hyperlink display="Cetak" location="JS!A1" ref="Y1628"/>
    <hyperlink display="Cetak" location="JS!A1" ref="Y1629"/>
    <hyperlink display="Cetak" location="JS!A1" ref="Y1630"/>
    <hyperlink display="Cetak" location="JS!A1" ref="Y1631"/>
    <hyperlink display="Cetak" location="JS!A1" ref="Y1632"/>
    <hyperlink display="Cetak" location="JS!A1" ref="Y1633"/>
    <hyperlink display="Cetak" location="JS!A1" ref="Y1634"/>
    <hyperlink display="Cetak" location="JS!A1" ref="Y1635"/>
    <hyperlink display="Cetak" location="JS!A1" ref="Y1636"/>
    <hyperlink display="Cetak" location="JS!A1" ref="Y1637"/>
    <hyperlink display="Cetak" location="JS!A1" ref="Y1638"/>
    <hyperlink display="Cetak" location="JS!A1" ref="Y1639"/>
    <hyperlink display="Cetak" location="JS!A1" ref="Y1640"/>
    <hyperlink display="Cetak" location="JS!A1" ref="Y1641"/>
    <hyperlink display="Cetak" location="JS!A1" ref="Y1642"/>
    <hyperlink display="Cetak" location="JS!A1" ref="Y1643"/>
    <hyperlink display="Cetak" location="JS!A1" ref="Y1644"/>
    <hyperlink display="Cetak" location="JS!A1" ref="Y1645"/>
    <hyperlink display="Cetak" location="JS!A1" ref="Y1646"/>
    <hyperlink display="Cetak" location="JS!A1" ref="Y1647"/>
    <hyperlink display="Cetak" location="JS!A1" ref="Y1648"/>
    <hyperlink display="Cetak" location="JS!A1" ref="Y1649"/>
    <hyperlink display="Cetak" location="JS!A1" ref="Y1650"/>
    <hyperlink display="Cetak" location="JS!A1" ref="Y1651"/>
    <hyperlink display="Cetak" location="JS!A1" ref="Y1652"/>
    <hyperlink display="Cetak" location="JS!A1" ref="Y1653"/>
    <hyperlink display="Cetak" location="JS!A1" ref="Y1654"/>
    <hyperlink display="Cetak" location="JS!A1" ref="Y1655"/>
    <hyperlink display="Cetak" location="JS!A1" ref="Y1656"/>
    <hyperlink display="Cetak" location="JS!A1" ref="Y1657"/>
    <hyperlink display="Cetak" location="JS!A1" ref="Y1658"/>
    <hyperlink display="Cetak" location="JS!A1" ref="Y1659"/>
    <hyperlink display="Cetak" location="JS!A1" ref="Y1660"/>
    <hyperlink display="Cetak" location="JS!A1" ref="Y1661"/>
    <hyperlink display="Cetak" location="JS!A1" ref="Y1662"/>
    <hyperlink display="Cetak" location="JS!A1" ref="Y1663"/>
    <hyperlink display="Cetak" location="JS!A1" ref="Y1664"/>
    <hyperlink display="Cetak" location="JS!A1" ref="Y1665"/>
    <hyperlink display="Cetak" location="JS!A1" ref="Y1666"/>
    <hyperlink display="Cetak" location="JS!A1" ref="Y1667"/>
    <hyperlink display="Cetak" location="JS!A1" ref="Y1668"/>
    <hyperlink display="Cetak" location="JS!A1" ref="Y1669"/>
    <hyperlink display="Cetak" location="JS!A1" ref="Y1670"/>
    <hyperlink display="Cetak" location="JS!A1" ref="Y1671"/>
    <hyperlink display="Cetak" location="JS!A1" ref="Y1672"/>
    <hyperlink display="Cetak" location="JS!A1" ref="Y1673"/>
    <hyperlink display="Cetak" location="JS!A1" ref="Y1674"/>
    <hyperlink display="Cetak" location="JS!A1" ref="Y1675"/>
    <hyperlink display="Cetak" location="JS!A1" ref="Y1676"/>
    <hyperlink display="Cetak" location="JS!A1" ref="Y1677"/>
    <hyperlink display="Cetak" location="JS!A1" ref="Y1678"/>
    <hyperlink display="Cetak" location="JS!A1" ref="Y1679"/>
    <hyperlink display="Cetak" location="JS!A1" ref="Y1680"/>
    <hyperlink display="Cetak" location="JS!A1" ref="Y1681"/>
    <hyperlink display="Cetak" location="JS!A1" ref="Y1682"/>
    <hyperlink display="Cetak" location="JS!A1" ref="Y1683"/>
    <hyperlink display="Cetak" location="JS!A1" ref="Y1684"/>
    <hyperlink display="Cetak" location="JS!A1" ref="Y1685"/>
    <hyperlink display="Cetak" location="JS!A1" ref="Y1686"/>
    <hyperlink display="Cetak" location="JS!A1" ref="Y1687"/>
    <hyperlink display="Cetak" location="JS!A1" ref="Y1688"/>
    <hyperlink display="Cetak" location="JS!A1" ref="Y1689"/>
    <hyperlink display="Cetak" location="JS!A1" ref="Y1690"/>
    <hyperlink display="Cetak" location="JS!A1" ref="Y1691"/>
    <hyperlink display="Cetak" location="JS!A1" ref="Y1692"/>
    <hyperlink display="Cetak" location="JS!A1" ref="Y1693"/>
    <hyperlink display="Cetak" location="JS!A1" ref="Y1694"/>
    <hyperlink display="Cetak" location="JS!A1" ref="Y1695"/>
    <hyperlink display="Cetak" location="JS!A1" ref="Y1696"/>
    <hyperlink display="Cetak" location="JS!A1" ref="Y1697"/>
    <hyperlink display="Cetak" location="JS!A1" ref="Y1698"/>
    <hyperlink display="Cetak" location="JS!A1" ref="Y1699"/>
    <hyperlink display="Cetak" location="JS!A1" ref="Y1700"/>
    <hyperlink display="Cetak" location="JS!A1" ref="Y1701"/>
    <hyperlink display="Cetak" location="JS!A1" ref="Y1702"/>
    <hyperlink display="Cetak" location="JS!A1" ref="Y1703"/>
    <hyperlink display="Cetak" location="JS!A1" ref="Y1704"/>
    <hyperlink display="Cetak" location="JS!A1" ref="Y1705"/>
    <hyperlink display="Cetak" location="JS!A1" ref="Y1706"/>
    <hyperlink display="Cetak" location="JS!A1" ref="Y1707"/>
    <hyperlink display="Cetak" location="JS!A1" ref="Y1708"/>
    <hyperlink display="Cetak" location="JS!A1" ref="Y1709"/>
    <hyperlink display="Cetak" location="JS!A1" ref="Y1710"/>
    <hyperlink display="Cetak" location="JS!A1" ref="Y1711"/>
    <hyperlink display="Cetak" location="JS!A1" ref="Y1712"/>
    <hyperlink display="Cetak" location="JS!A1" ref="Y1713"/>
    <hyperlink display="Cetak" location="JS!A1" ref="Y1714"/>
    <hyperlink display="Cetak" location="JS!A1" ref="Y1715"/>
    <hyperlink display="Cetak" location="JS!A1" ref="Y1716"/>
    <hyperlink display="Cetak" location="JS!A1" ref="Y1717"/>
    <hyperlink display="Cetak" location="JS!A1" ref="Y1718"/>
    <hyperlink display="Cetak" location="JS!A1" ref="Y1719"/>
    <hyperlink display="Cetak" location="JS!A1" ref="Y1720"/>
    <hyperlink display="Cetak" location="JS!A1" ref="Y1721"/>
    <hyperlink display="Cetak" location="JS!A1" ref="Y1722"/>
    <hyperlink display="Cetak" location="JS!A1" ref="Y1723"/>
    <hyperlink display="Cetak" location="JS!A1" ref="Y1724"/>
    <hyperlink display="Cetak" location="JS!A1" ref="Y1725"/>
    <hyperlink display="Cetak" location="JS!A1" ref="Y1726"/>
    <hyperlink display="Cetak" location="JS!A1" ref="Y1727"/>
    <hyperlink display="Cetak" location="JS!A1" ref="Y1728"/>
    <hyperlink display="Cetak" location="JS!A1" ref="Y1729"/>
    <hyperlink display="Cetak" location="JS!A1" ref="Y1730"/>
    <hyperlink display="Cetak" location="JS!A1" ref="Y1731"/>
    <hyperlink display="Cetak" location="JS!A1" ref="Y1732"/>
    <hyperlink display="Cetak" location="JS!A1" ref="Y1733"/>
    <hyperlink display="Cetak" location="JS!A1" ref="Y1734"/>
    <hyperlink display="Cetak" location="JS!A1" ref="Y1735"/>
    <hyperlink display="Cetak" location="JS!A1" ref="Y1736"/>
    <hyperlink display="Cetak" location="JS!A1" ref="Y1737"/>
    <hyperlink display="Cetak" location="JS!A1" ref="Y1738"/>
    <hyperlink display="Cetak" location="JS!A1" ref="Y1739"/>
    <hyperlink display="Cetak" location="JS!A1" ref="Y1740"/>
    <hyperlink display="Cetak" location="JS!A1" ref="Y1741"/>
    <hyperlink display="Cetak" location="JS!A1" ref="Y1742"/>
    <hyperlink display="Cetak" location="JS!A1" ref="Y1743"/>
    <hyperlink display="Cetak" location="JS!A1" ref="Y1744"/>
    <hyperlink display="Cetak" location="JS!A1" ref="Y1745"/>
    <hyperlink display="Cetak" location="JS!A1" ref="Y1746"/>
    <hyperlink display="Cetak" location="JS!A1" ref="Y1747"/>
    <hyperlink display="Cetak" location="JS!A1" ref="Y1748"/>
    <hyperlink display="Cetak" location="JS!A1" ref="Y1749"/>
    <hyperlink display="Cetak" location="JS!A1" ref="Y1750"/>
    <hyperlink display="Cetak" location="JS!A1" ref="Y1751"/>
    <hyperlink display="Cetak" location="JS!A1" ref="Y1752"/>
    <hyperlink display="Cetak" location="JS!A1" ref="Y1753"/>
    <hyperlink display="Cetak" location="JS!A1" ref="Y1754"/>
    <hyperlink display="Cetak" location="JS!A1" ref="Y1755"/>
    <hyperlink display="Cetak" location="JS!A1" ref="Y1756"/>
    <hyperlink display="Cetak" location="JS!A1" ref="Y1757"/>
    <hyperlink display="Cetak" location="JS!A1" ref="Y1758"/>
    <hyperlink display="Cetak" location="JS!A1" ref="Y1759"/>
    <hyperlink display="Cetak" location="JS!A1" ref="Y1760"/>
    <hyperlink display="Cetak" location="JS!A1" ref="Y1761"/>
    <hyperlink display="Cetak" location="JS!A1" ref="Y1762"/>
    <hyperlink display="Cetak" location="JS!A1" ref="Y1763"/>
    <hyperlink display="Cetak" location="JS!A1" ref="Y1764"/>
    <hyperlink display="Cetak" location="JS!A1" ref="Y1765"/>
    <hyperlink display="Cetak" location="JS!A1" ref="Y1766"/>
    <hyperlink display="Cetak" location="JS!A1" ref="Y1767"/>
    <hyperlink display="Cetak" location="JS!A1" ref="Y1768"/>
    <hyperlink display="Cetak" location="JS!A1" ref="Y1769"/>
    <hyperlink display="Cetak" location="JS!A1" ref="Y1770"/>
    <hyperlink display="Cetak" location="JS!A1" ref="Y1771"/>
    <hyperlink display="Cetak" location="JS!A1" ref="Y1772"/>
    <hyperlink display="Cetak" location="JS!A1" ref="Y1773"/>
    <hyperlink display="Cetak" location="JS!A1" ref="Y1774"/>
    <hyperlink display="Cetak" location="JS!A1" ref="Y1775"/>
    <hyperlink display="Cetak" location="JS!A1" ref="Y1776"/>
    <hyperlink display="Cetak" location="JS!A1" ref="Y1777"/>
    <hyperlink display="Cetak" location="JS!A1" ref="Y1778"/>
    <hyperlink display="Cetak" location="JS!A1" ref="Y1779"/>
    <hyperlink display="Cetak" location="JS!A1" ref="Y1780"/>
    <hyperlink display="Cetak" location="JS!A1" ref="Y1781"/>
    <hyperlink display="Cetak" location="JS!A1" ref="Y1782"/>
    <hyperlink display="Cetak" location="JS!A1" ref="Y1783"/>
    <hyperlink display="Cetak" location="JS!A1" ref="Y1784"/>
    <hyperlink display="Cetak" location="JS!A1" ref="Y1785"/>
    <hyperlink display="Cetak" location="JS!A1" ref="Y1786"/>
    <hyperlink display="Cetak" location="JS!A1" ref="Y1787"/>
    <hyperlink display="Cetak" location="JS!A1" ref="Y1788"/>
    <hyperlink display="Cetak" location="JS!A1" ref="Y1789"/>
    <hyperlink display="Cetak" location="JS!A1" ref="Y1790"/>
    <hyperlink display="Cetak" location="JS!A1" ref="Y1791"/>
    <hyperlink display="Cetak" location="JS!A1" ref="Y1792"/>
    <hyperlink display="Cetak" location="JS!A1" ref="Y1793"/>
    <hyperlink display="Cetak" location="JS!A1" ref="Y1794"/>
    <hyperlink display="Cetak" location="JS!A1" ref="Y1795"/>
    <hyperlink display="Cetak" location="JS!A1" ref="Y1796"/>
    <hyperlink display="Cetak" location="JS!A1" ref="Y1797"/>
    <hyperlink display="Cetak" location="JS!A1" ref="Y1798"/>
    <hyperlink display="Cetak" location="JS!A1" ref="Y1799"/>
    <hyperlink display="Cetak" location="JS!A1" ref="Y1800"/>
    <hyperlink display="Cetak" location="JS!A1" ref="Y1801"/>
    <hyperlink display="Cetak" location="JS!A1" ref="Y1802"/>
    <hyperlink display="Cetak" location="JS!A1" ref="Y1803"/>
    <hyperlink display="Cetak" location="JS!A1" ref="Y1804"/>
    <hyperlink display="Cetak" location="JS!A1" ref="Y1805"/>
    <hyperlink display="Cetak" location="JS!A1" ref="Y1806"/>
    <hyperlink display="Cetak" location="JS!A1" ref="Y1807"/>
    <hyperlink display="Cetak" location="JS!A1" ref="Y1808"/>
    <hyperlink display="Cetak" location="JS!A1" ref="Y1809"/>
    <hyperlink display="Cetak" location="JS!A1" ref="Y1810"/>
    <hyperlink display="Cetak" location="JS!A1" ref="Y1811"/>
    <hyperlink display="Cetak" location="JS!A1" ref="Y1812"/>
    <hyperlink display="Cetak" location="JS!A1" ref="Y1813"/>
    <hyperlink display="Cetak" location="JS!A1" ref="Y1814"/>
    <hyperlink display="Cetak" location="JS!A1" ref="Y1815"/>
    <hyperlink display="Cetak" location="JS!A1" ref="Y1816"/>
    <hyperlink display="Cetak" location="JS!A1" ref="Y1817"/>
    <hyperlink display="Cetak" location="JS!A1" ref="Y1818"/>
    <hyperlink display="Cetak" location="JS!A1" ref="Y1819"/>
    <hyperlink display="Cetak" location="JS!A1" ref="Y1820"/>
    <hyperlink display="Cetak" location="JS!A1" ref="Y1821"/>
    <hyperlink display="Cetak" location="JS!A1" ref="Y1822"/>
    <hyperlink display="Cetak" location="JS!A1" ref="Y1823"/>
    <hyperlink display="Cetak" location="JS!A1" ref="Y1824"/>
    <hyperlink display="Cetak" location="JS!A1" ref="Y1825"/>
    <hyperlink display="Cetak" location="JS!A1" ref="Y1826"/>
    <hyperlink display="Cetak" location="JS!A1" ref="Y1827"/>
    <hyperlink display="Cetak" location="JS!A1" ref="Y1828"/>
    <hyperlink display="Cetak" location="JS!A1" ref="Y1829"/>
    <hyperlink display="Cetak" location="JS!A1" ref="Y1830"/>
    <hyperlink display="Cetak" location="JS!A1" ref="Y1831"/>
    <hyperlink display="Cetak" location="JS!A1" ref="Y1832"/>
    <hyperlink display="Cetak" location="JS!A1" ref="Y1833"/>
    <hyperlink display="Cetak" location="JS!A1" ref="Y1834"/>
    <hyperlink display="Cetak" location="JS!A1" ref="Y1835"/>
    <hyperlink display="Cetak" location="JS!A1" ref="Y1836"/>
    <hyperlink display="Cetak" location="JS!A1" ref="Y1837"/>
    <hyperlink display="Cetak" location="JS!A1" ref="Y1838"/>
    <hyperlink display="Cetak" location="JS!A1" ref="Y1839"/>
    <hyperlink display="Cetak" location="JS!A1" ref="Y1840"/>
    <hyperlink display="Cetak" location="JS!A1" ref="Y1841"/>
    <hyperlink display="Cetak" location="JS!A1" ref="Y1842"/>
    <hyperlink display="Cetak" location="JS!A1" ref="Y1843"/>
    <hyperlink display="Cetak" location="JS!A1" ref="Y1844"/>
    <hyperlink display="Cetak" location="JS!A1" ref="Y1845"/>
    <hyperlink display="Cetak" location="JS!A1" ref="Y1846"/>
    <hyperlink display="Cetak" location="JS!A1" ref="Y1847"/>
    <hyperlink display="Cetak" location="JS!A1" ref="Y1848"/>
    <hyperlink display="Cetak" location="JS!A1" ref="Y1849"/>
    <hyperlink display="Cetak" location="JS!A1" ref="Y1850"/>
    <hyperlink display="Cetak" location="JS!A1" ref="Y1851"/>
    <hyperlink display="Cetak" location="JS!A1" ref="Y1852"/>
    <hyperlink display="Cetak" location="JS!A1" ref="Y1853"/>
    <hyperlink display="Cetak" location="JS!A1" ref="Y1854"/>
    <hyperlink display="Cetak" location="JS!A1" ref="Y1855"/>
    <hyperlink display="Cetak" location="JS!A1" ref="Y1856"/>
    <hyperlink display="Cetak" location="JS!A1" ref="Y1857"/>
    <hyperlink display="Cetak" location="JS!A1" ref="Y1858"/>
    <hyperlink display="Cetak" location="JS!A1" ref="Y1859"/>
    <hyperlink display="Cetak" location="JS!A1" ref="Y1860"/>
    <hyperlink display="Cetak" location="JS!A1" ref="Y1861"/>
    <hyperlink display="Cetak" location="JS!A1" ref="Y1862"/>
    <hyperlink display="Cetak" location="JS!A1" ref="Y1863"/>
    <hyperlink display="Cetak" location="JS!A1" ref="Y1864"/>
    <hyperlink display="Cetak" location="JS!A1" ref="Y1865"/>
    <hyperlink display="Cetak" location="JS!A1" ref="Y1866"/>
    <hyperlink display="Cetak" location="JS!A1" ref="Y1867"/>
    <hyperlink display="Cetak" location="JS!A1" ref="Y1868"/>
    <hyperlink display="Cetak" location="JS!A1" ref="Y1869"/>
    <hyperlink display="Cetak" location="JS!A1" ref="Y1870"/>
    <hyperlink display="Cetak" location="JS!A1" ref="Y1871"/>
    <hyperlink display="Cetak" location="JS!A1" ref="Y1872"/>
    <hyperlink display="Cetak" location="JS!A1" ref="Y1873"/>
    <hyperlink display="Cetak" location="JS!A1" ref="Y1874"/>
    <hyperlink display="Cetak" location="JS!A1" ref="Y1875"/>
    <hyperlink display="Cetak" location="JS!A1" ref="Y1876"/>
    <hyperlink display="Cetak" location="JS!A1" ref="Y1877"/>
    <hyperlink display="Cetak" location="JS!A1" ref="Y1878"/>
    <hyperlink display="Cetak" location="JS!A1" ref="Y1879"/>
    <hyperlink display="Cetak" location="JS!A1" ref="Y1880"/>
    <hyperlink display="Cetak" location="JS!A1" ref="Y1881"/>
    <hyperlink display="Cetak" location="JS!A1" ref="Y1882"/>
    <hyperlink display="Cetak" location="JS!A1" ref="Y1883"/>
    <hyperlink display="Cetak" location="JS!A1" ref="Y1884"/>
    <hyperlink display="Cetak" location="JS!A1" ref="Y1885"/>
    <hyperlink display="Cetak" location="JS!A1" ref="Y1886"/>
    <hyperlink display="Cetak" location="JS!A1" ref="Y1887"/>
    <hyperlink display="Cetak" location="JS!A1" ref="Y1888"/>
    <hyperlink display="Cetak" location="JS!A1" ref="Y1889"/>
    <hyperlink display="Cetak" location="JS!A1" ref="Y1890"/>
    <hyperlink display="Cetak" location="JS!A1" ref="Y1891"/>
    <hyperlink display="Cetak" location="JS!A1" ref="Y1892"/>
    <hyperlink display="Cetak" location="JS!A1" ref="Y1893"/>
    <hyperlink display="Cetak" location="JS!A1" ref="Y1894"/>
    <hyperlink display="Cetak" location="JS!A1" ref="Y1895"/>
    <hyperlink display="Cetak" location="JS!A1" ref="Y1896"/>
    <hyperlink display="Cetak" location="JS!A1" ref="Y1897"/>
    <hyperlink display="Cetak" location="JS!A1" ref="Y1898"/>
    <hyperlink display="Cetak" location="JS!A1" ref="Y1899"/>
    <hyperlink display="Cetak" location="JS!A1" ref="Y1900"/>
    <hyperlink display="Cetak" location="JS!A1" ref="Y1901"/>
    <hyperlink display="Cetak" location="JS!A1" ref="Y1902"/>
    <hyperlink display="Cetak" location="JS!A1" ref="Y1903"/>
    <hyperlink display="Cetak" location="JS!A1" ref="Y1904"/>
    <hyperlink display="Cetak" location="JS!A1" ref="Y1905"/>
    <hyperlink display="Cetak" location="JS!A1" ref="Y1906"/>
    <hyperlink display="Cetak" location="JS!A1" ref="Y1907"/>
    <hyperlink display="Cetak" location="JS!A1" ref="Y1908"/>
    <hyperlink display="Cetak" location="JS!A1" ref="Y1909"/>
    <hyperlink display="Cetak" location="JS!A1" ref="Y1910"/>
    <hyperlink display="Cetak" location="JS!A1" ref="Y1911"/>
    <hyperlink display="Cetak" location="JS!A1" ref="Y1912"/>
    <hyperlink display="Cetak" location="JS!A1" ref="Y1913"/>
    <hyperlink display="Cetak" location="JS!A1" ref="Y1914"/>
    <hyperlink display="Cetak" location="JS!A1" ref="Y1915"/>
    <hyperlink display="Cetak" location="JS!A1" ref="Y1916"/>
    <hyperlink display="Cetak" location="JS!A1" ref="Y1917"/>
    <hyperlink display="Cetak" location="JS!A1" ref="Y1918"/>
    <hyperlink display="Cetak" location="JS!A1" ref="Y1919"/>
    <hyperlink display="Cetak" location="JS!A1" ref="Y1920"/>
    <hyperlink display="Cetak" location="JS!A1" ref="Y1921"/>
    <hyperlink display="Cetak" location="JS!A1" ref="Y1922"/>
    <hyperlink display="Cetak" location="JS!A1" ref="Y1923"/>
    <hyperlink display="Cetak" location="JS!A1" ref="Y1924"/>
    <hyperlink display="Cetak" location="JS!A1" ref="Y1925"/>
    <hyperlink display="Cetak" location="JS!A1" ref="Y1926"/>
    <hyperlink display="Cetak" location="JS!A1" ref="Y1927"/>
    <hyperlink display="Cetak" location="JS!A1" ref="Y1928"/>
    <hyperlink display="Cetak" location="JS!A1" ref="Y1929"/>
    <hyperlink display="Cetak" location="JS!A1" ref="Y1930"/>
    <hyperlink display="Cetak" location="JS!A1" ref="Y1931"/>
    <hyperlink display="Cetak" location="JS!A1" ref="Y1932"/>
    <hyperlink display="Cetak" location="JS!A1" ref="Y1933"/>
    <hyperlink display="Cetak" location="JS!A1" ref="Y1934"/>
    <hyperlink display="Cetak" location="JS!A1" ref="Y1935"/>
    <hyperlink display="Cetak" location="JS!A1" ref="Y1936"/>
    <hyperlink display="Cetak" location="JS!A1" ref="Y1937"/>
    <hyperlink display="Cetak" location="JS!A1" ref="Y1938"/>
    <hyperlink display="Cetak" location="JS!A1" ref="Y1939"/>
    <hyperlink display="Cetak" location="JS!A1" ref="Y1940"/>
    <hyperlink display="Cetak" location="JS!A1" ref="Y1941"/>
    <hyperlink display="Cetak" location="JS!A1" ref="Y1942"/>
    <hyperlink display="Cetak" location="JS!A1" ref="Y1943"/>
    <hyperlink display="Cetak" location="JS!A1" ref="Y1944"/>
    <hyperlink display="Cetak" location="JS!A1" ref="Y1945"/>
    <hyperlink display="Cetak" location="JS!A1" ref="Y1946"/>
    <hyperlink display="Cetak" location="JS!A1" ref="Y1947"/>
    <hyperlink display="Cetak" location="JS!A1" ref="Y1948"/>
    <hyperlink display="Cetak" location="JS!A1" ref="Y1949"/>
    <hyperlink display="Cetak" location="JS!A1" ref="Y1950"/>
    <hyperlink display="Cetak" location="JS!A1" ref="Y1951"/>
    <hyperlink display="Cetak" location="JS!A1" ref="Y1952"/>
    <hyperlink display="Cetak" location="JS!A1" ref="Y1953"/>
    <hyperlink display="Cetak" location="JS!A1" ref="Y1954"/>
    <hyperlink display="Cetak" location="JS!A1" ref="Y1955"/>
    <hyperlink display="Cetak" location="JS!A1" ref="Y1956"/>
    <hyperlink display="Cetak" location="JS!A1" ref="Y1957"/>
    <hyperlink display="Cetak" location="JS!A1" ref="Y1958"/>
    <hyperlink display="Cetak" location="JS!A1" ref="Y1959"/>
    <hyperlink display="Cetak" location="JS!A1" ref="Y1960"/>
    <hyperlink display="Cetak" location="JS!A1" ref="Y1961"/>
    <hyperlink display="Cetak" location="JS!A1" ref="Y1962"/>
    <hyperlink display="Cetak" location="JS!A1" ref="Y1963"/>
    <hyperlink display="Cetak" location="JS!A1" ref="Y1964"/>
    <hyperlink display="Cetak" location="JS!A1" ref="Y1965"/>
    <hyperlink display="Cetak" location="JS!A1" ref="Y1966"/>
    <hyperlink display="Cetak" location="JS!A1" ref="Y1967"/>
    <hyperlink display="Cetak" location="JS!A1" ref="Y1968"/>
    <hyperlink display="Cetak" location="JS!A1" ref="Y1969"/>
    <hyperlink display="Cetak" location="JS!A1" ref="Y1970"/>
    <hyperlink display="Cetak" location="JS!A1" ref="Y1971"/>
    <hyperlink display="Cetak" location="JS!A1" ref="Y1972"/>
    <hyperlink display="Cetak" location="JS!A1" ref="Y1973"/>
    <hyperlink display="Cetak" location="JS!A1" ref="Y1974"/>
    <hyperlink display="Cetak" location="JS!A1" ref="Y1975"/>
    <hyperlink display="Cetak" location="JS!A1" ref="Y1976"/>
    <hyperlink display="Cetak" location="JS!A1" ref="Y1977"/>
    <hyperlink display="Cetak" location="JS!A1" ref="Y1978"/>
    <hyperlink display="Cetak" location="JS!A1" ref="Y1979"/>
    <hyperlink display="Cetak" location="JS!A1" ref="Y1980"/>
    <hyperlink display="Cetak" location="JS!A1" ref="Y1981"/>
    <hyperlink display="Cetak" location="JS!A1" ref="Y1982"/>
    <hyperlink display="Cetak" location="JS!A1" ref="Y1983"/>
    <hyperlink display="Cetak" location="JS!A1" ref="Y1984"/>
    <hyperlink display="Cetak" location="JS!A1" ref="Y1985"/>
    <hyperlink display="Cetak" location="JS!A1" ref="Y1986"/>
    <hyperlink display="Cetak" location="JS!A1" ref="Y1987"/>
    <hyperlink display="Cetak" location="JS!A1" ref="Y1988"/>
    <hyperlink display="Cetak" location="JS!A1" ref="Y1989"/>
    <hyperlink display="Cetak" location="JS!A1" ref="Y1990"/>
    <hyperlink display="Cetak" location="JS!A1" ref="Y1991"/>
    <hyperlink display="Cetak" location="JS!A1" ref="Y1992"/>
    <hyperlink display="Cetak" location="JS!A1" ref="Y1993"/>
    <hyperlink display="Cetak" location="JS!A1" ref="Y1994"/>
    <hyperlink display="Cetak" location="JS!A1" ref="Y1995"/>
    <hyperlink display="Cetak" location="JS!A1" ref="Y1996"/>
    <hyperlink display="Cetak" location="JS!A1" ref="Y1997"/>
    <hyperlink display="Cetak" location="JS!A1" ref="Y1998"/>
    <hyperlink display="Cetak" location="JS!A1" ref="Y1999"/>
    <hyperlink display="Cetak" location="JS!A1" ref="Y2000"/>
    <hyperlink display="Cetak" location="JS!A1" ref="Y2001"/>
    <hyperlink display="Cetak" location="JS!A1" ref="Y2002"/>
    <hyperlink display="Cetak" location="JS!A1" ref="Y2003"/>
    <hyperlink display="Cetak" location="JS!A1" ref="Y2004"/>
    <hyperlink display="Cetak" location="JS!A1" ref="Y2005"/>
    <hyperlink display="Cetak" location="JS!A1" ref="Y2006"/>
    <hyperlink display="Cetak" location="JS!A1" ref="Y2007"/>
    <hyperlink display="Cetak" location="JS!A1" ref="Y2008"/>
    <hyperlink display="Cetak" location="JS!A1" ref="Y2009"/>
    <hyperlink display="Cetak" location="JS!A1" ref="Y2010"/>
    <hyperlink display="Cetak" location="JS!A1" ref="Y2011"/>
    <hyperlink display="Cetak" location="JS!A1" ref="Y2012"/>
    <hyperlink display="Cetak" location="JS!A1" ref="Y2013"/>
    <hyperlink display="Cetak" location="JS!A1" ref="Y2014"/>
    <hyperlink display="Cetak" location="JS!A1" ref="Y2015"/>
    <hyperlink display="Cetak" location="JS!A1" ref="Y2016"/>
    <hyperlink display="Cetak" location="JS!A1" ref="Y2017"/>
    <hyperlink display="Cetak" location="JS!A1" ref="Y2018"/>
    <hyperlink display="Cetak" location="JS!A1" ref="Y2019"/>
    <hyperlink display="Cetak" location="JS!A1" ref="Y2020"/>
    <hyperlink display="Cetak" location="JS!A1" ref="Y2021"/>
    <hyperlink display="Cetak" location="JS!A1" ref="Y2022"/>
    <hyperlink display="Cetak" location="JS!A1" ref="Y2023"/>
    <hyperlink display="Cetak" location="JS!A1" ref="Y2024"/>
    <hyperlink display="Cetak" location="JS!A1" ref="Y2025"/>
    <hyperlink display="Cetak" location="JS!A1" ref="Y2026"/>
    <hyperlink display="Cetak" location="JS!A1" ref="Y2027"/>
    <hyperlink display="Cetak" location="JS!A1" ref="Y2028"/>
    <hyperlink display="Cetak" location="JS!A1" ref="Y2029"/>
    <hyperlink display="Cetak" location="JS!A1" ref="Y2030"/>
    <hyperlink display="Cetak" location="JS!A1" ref="Y2031"/>
    <hyperlink display="Cetak" location="JS!A1" ref="Y2032"/>
    <hyperlink display="Cetak" location="JS!A1" ref="Y2033"/>
    <hyperlink display="Cetak" location="JS!A1" ref="Y2034"/>
    <hyperlink display="Cetak" location="JS!A1" ref="Y2035"/>
    <hyperlink display="Cetak" location="JS!A1" ref="Y2036"/>
    <hyperlink display="Cetak" location="JS!A1" ref="Y2037"/>
    <hyperlink display="Cetak" location="JS!A1" ref="Y2038"/>
    <hyperlink display="Cetak" location="JS!A1" ref="Y2039"/>
    <hyperlink display="Cetak" location="JS!A1" ref="Y2040"/>
    <hyperlink display="Cetak" location="JS!A1" ref="Y2041"/>
    <hyperlink display="Cetak" location="JS!A1" ref="Y2042"/>
    <hyperlink display="Cetak" location="JS!A1" ref="Y2043"/>
    <hyperlink display="Cetak" location="JS!A1" ref="Y2044"/>
    <hyperlink display="Cetak" location="JS!A1" ref="Y2045"/>
    <hyperlink display="Cetak" location="JS!A1" ref="Y2046"/>
    <hyperlink display="Cetak" location="JS!A1" ref="Y2047"/>
    <hyperlink display="Cetak" location="JS!A1" ref="Y2048"/>
    <hyperlink display="Cetak" location="JS!A1" ref="Y2049"/>
    <hyperlink display="Cetak" location="JS!A1" ref="Y2050"/>
    <hyperlink display="Cetak" location="JS!A1" ref="Y2051"/>
    <hyperlink display="Cetak" location="JS!A1" ref="Y2052"/>
    <hyperlink display="Cetak" location="JS!A1" ref="Y2053"/>
    <hyperlink display="Cetak" location="JS!A1" ref="Y2054"/>
    <hyperlink display="Cetak" location="JS!A1" ref="Y2055"/>
    <hyperlink display="Cetak" location="JS!A1" ref="Y2056"/>
    <hyperlink display="Cetak" location="JS!A1" ref="Y2057"/>
    <hyperlink display="Cetak" location="JS!A1" ref="Y2058"/>
    <hyperlink display="Cetak" location="JS!A1" ref="Y2059"/>
    <hyperlink display="Cetak" location="JS!A1" ref="Y2060"/>
    <hyperlink display="Cetak" location="JS!A1" ref="Y2061"/>
    <hyperlink display="Cetak" location="JS!A1" ref="Y2062"/>
    <hyperlink display="Cetak" location="JS!A1" ref="Y2063"/>
    <hyperlink display="Cetak" location="JS!A1" ref="Y2064"/>
    <hyperlink display="Cetak" location="JS!A1" ref="Y2065"/>
    <hyperlink display="Cetak" location="JS!A1" ref="Y2066"/>
    <hyperlink display="Cetak" location="JS!A1" ref="Y2067"/>
    <hyperlink display="Cetak" location="JS!A1" ref="Y2068"/>
    <hyperlink display="Cetak" location="JS!A1" ref="Y2069"/>
    <hyperlink display="Cetak" location="JS!A1" ref="Y2070"/>
    <hyperlink display="Cetak" location="JS!A1" ref="Y2071"/>
    <hyperlink display="Cetak" location="JS!A1" ref="Y2072"/>
    <hyperlink display="Cetak" location="JS!A1" ref="Y2073"/>
    <hyperlink display="Cetak" location="JS!A1" ref="Y2074"/>
    <hyperlink display="Cetak" location="JS!A1" ref="Y2075"/>
    <hyperlink display="Cetak" location="JS!A1" ref="Y2076"/>
    <hyperlink display="Cetak" location="JS!A1" ref="Y2077"/>
    <hyperlink display="Cetak" location="JS!A1" ref="Y2078"/>
    <hyperlink display="Cetak" location="JS!A1" ref="Y2079"/>
    <hyperlink display="Cetak" location="JS!A1" ref="Y2080"/>
    <hyperlink display="Cetak" location="JS!A1" ref="Y2081"/>
    <hyperlink display="Cetak" location="JS!A1" ref="Y2082"/>
    <hyperlink display="Cetak" location="JS!A1" ref="Y2083"/>
    <hyperlink display="Cetak" location="JS!A1" ref="Y2084"/>
    <hyperlink display="Cetak" location="JS!A1" ref="Y2085"/>
    <hyperlink display="Cetak" location="JS!A1" ref="Y2086"/>
    <hyperlink display="Cetak" location="JS!A1" ref="Y2087"/>
    <hyperlink display="Cetak" location="JS!A1" ref="Y2088"/>
    <hyperlink display="Cetak" location="JS!A1" ref="Y2089"/>
    <hyperlink display="Cetak" location="JS!A1" ref="Y2090"/>
    <hyperlink display="Cetak" location="JS!A1" ref="Y2091"/>
    <hyperlink display="Cetak" location="JS!A1" ref="Y2092"/>
    <hyperlink display="Cetak" location="JS!A1" ref="Y2093"/>
    <hyperlink display="Cetak" location="JS!A1" ref="Y2094"/>
    <hyperlink display="Cetak" location="JS!A1" ref="Y2095"/>
    <hyperlink display="Cetak" location="JS!A1" ref="Y2096"/>
    <hyperlink display="Cetak" location="JS!A1" ref="Y2097"/>
    <hyperlink display="Cetak" location="JS!A1" ref="Y2098"/>
    <hyperlink display="Cetak" location="JS!A1" ref="Y2099"/>
    <hyperlink display="Cetak" location="JS!A1" ref="Y2100"/>
    <hyperlink display="Cetak" location="JS!A1" ref="Y2101"/>
    <hyperlink display="Cetak" location="JS!A1" ref="Y2102"/>
    <hyperlink display="Cetak" location="JS!A1" ref="Y2103"/>
    <hyperlink display="Cetak" location="JS!A1" ref="Y2104"/>
    <hyperlink display="Cetak" location="JS!A1" ref="Y2105"/>
    <hyperlink display="Cetak" location="JS!A1" ref="Y2106"/>
    <hyperlink display="Cetak" location="JS!A1" ref="Y2107"/>
    <hyperlink display="Cetak" location="JS!A1" ref="Y2108"/>
    <hyperlink display="Cetak" location="JS!A1" ref="Y2109"/>
    <hyperlink display="Cetak" location="JS!A1" ref="Y2110"/>
    <hyperlink display="Cetak" location="JS!A1" ref="Y2111"/>
    <hyperlink display="Cetak" location="JS!A1" ref="Y2112"/>
    <hyperlink display="Cetak" location="JS!A1" ref="Y2113"/>
    <hyperlink display="Cetak" location="JS!A1" ref="Y2114"/>
    <hyperlink display="Cetak" location="JS!A1" ref="Y2115"/>
    <hyperlink display="Cetak" location="JS!A1" ref="Y2116"/>
    <hyperlink display="Cetak" location="JS!A1" ref="Y2117"/>
    <hyperlink display="Cetak" location="JS!A1" ref="Y2118"/>
    <hyperlink display="Cetak" location="JS!A1" ref="Y2119"/>
    <hyperlink display="Cetak" location="JS!A1" ref="Y2120"/>
    <hyperlink display="Cetak" location="JS!A1" ref="Y2121"/>
    <hyperlink display="Cetak" location="JS!A1" ref="Y2122"/>
    <hyperlink display="Cetak" location="JS!A1" ref="Y2123"/>
    <hyperlink display="Cetak" location="JS!A1" ref="Y2124"/>
    <hyperlink display="Cetak" location="JS!A1" ref="Y2125"/>
    <hyperlink display="Cetak" location="JS!A1" ref="Y2126"/>
    <hyperlink display="Cetak" location="JS!A1" ref="Y2127"/>
    <hyperlink display="Cetak" location="JS!A1" ref="Y2128"/>
    <hyperlink display="Cetak" location="JS!A1" ref="Y2129"/>
    <hyperlink display="Cetak" location="JS!A1" ref="Y2130"/>
    <hyperlink display="Cetak" location="JS!A1" ref="Y2131"/>
    <hyperlink display="Cetak" location="JS!A1" ref="Y2132"/>
    <hyperlink display="Cetak" location="JS!A1" ref="Y2133"/>
    <hyperlink display="Cetak" location="JS!A1" ref="Y2134"/>
    <hyperlink display="Cetak" location="JS!A1" ref="Y2135"/>
    <hyperlink display="Cetak" location="JS!A1" ref="Y2136"/>
    <hyperlink display="Cetak" location="JS!A1" ref="Y2137"/>
    <hyperlink display="Cetak" location="JS!A1" ref="Y2138"/>
    <hyperlink display="Cetak" location="JS!A1" ref="Y2139"/>
    <hyperlink display="Cetak" location="JS!A1" ref="Y2140"/>
    <hyperlink display="Cetak" location="JS!A1" ref="Y2141"/>
    <hyperlink display="Cetak" location="JS!A1" ref="Y2142"/>
    <hyperlink display="Cetak" location="JS!A1" ref="Y2143"/>
    <hyperlink display="Cetak" location="JS!A1" ref="Y2144"/>
    <hyperlink display="Cetak" location="JS!A1" ref="Y2145"/>
    <hyperlink display="Cetak" location="JS!A1" ref="Y2146"/>
    <hyperlink display="Cetak" location="JS!A1" ref="Y2147"/>
    <hyperlink display="Cetak" location="JS!A1" ref="Y2148"/>
    <hyperlink display="Cetak" location="JS!A1" ref="Y2149"/>
    <hyperlink display="Cetak" location="JS!A1" ref="Y2150"/>
    <hyperlink display="Cetak" location="JS!A1" ref="Y2151"/>
    <hyperlink display="Cetak" location="JS!A1" ref="Y2152"/>
    <hyperlink display="Cetak" location="JS!A1" ref="Y2153"/>
    <hyperlink display="Cetak" location="JS!A1" ref="Y2154"/>
    <hyperlink display="Cetak" location="JS!A1" ref="Y2155"/>
    <hyperlink display="Cetak" location="JS!A1" ref="Y2156"/>
    <hyperlink display="Cetak" location="JS!A1" ref="Y2157"/>
    <hyperlink display="Cetak" location="JS!A1" ref="Y2158"/>
    <hyperlink display="Cetak" location="JS!A1" ref="Y2159"/>
    <hyperlink display="Cetak" location="JS!A1" ref="Y2160"/>
    <hyperlink display="Cetak" location="JS!A1" ref="Y2161"/>
    <hyperlink display="Cetak" location="JS!A1" ref="Y2162"/>
    <hyperlink display="Cetak" location="JS!A1" ref="Y2163"/>
    <hyperlink display="Cetak" location="JS!A1" ref="Y2164"/>
    <hyperlink display="Cetak" location="JS!A1" ref="Y2165"/>
    <hyperlink display="Cetak" location="JS!A1" ref="Y2166"/>
    <hyperlink display="Cetak" location="JS!A1" ref="Y2167"/>
    <hyperlink display="Cetak" location="JS!A1" ref="Y2168"/>
    <hyperlink display="Cetak" location="JS!A1" ref="Y2169"/>
    <hyperlink display="Cetak" location="JS!A1" ref="Y2170"/>
    <hyperlink display="Cetak" location="JS!A1" ref="Y2171"/>
    <hyperlink display="Cetak" location="JS!A1" ref="Y2172"/>
    <hyperlink display="Cetak" location="JS!A1" ref="Y2173"/>
    <hyperlink display="Cetak" location="JS!A1" ref="Y2174"/>
    <hyperlink display="Cetak" location="JS!A1" ref="Y2175"/>
    <hyperlink display="Cetak" location="JS!A1" ref="Y2176"/>
    <hyperlink display="Cetak" location="JS!A1" ref="Y2177"/>
    <hyperlink display="Cetak" location="JS!A1" ref="Y2178"/>
    <hyperlink display="Cetak" location="JS!A1" ref="Y2179"/>
    <hyperlink display="Cetak" location="JS!A1" ref="Y2180"/>
    <hyperlink display="Cetak" location="JS!A1" ref="Y2181"/>
    <hyperlink display="Cetak" location="JS!A1" ref="Y2182"/>
    <hyperlink display="Cetak" location="JS!A1" ref="Y2183"/>
    <hyperlink display="Cetak" location="JS!A1" ref="Y2184"/>
    <hyperlink display="Cetak" location="JS!A1" ref="Y2185"/>
    <hyperlink display="Cetak" location="JS!A1" ref="Y2186"/>
    <hyperlink display="Cetak" location="JS!A1" ref="Y2187"/>
    <hyperlink display="Cetak" location="JS!A1" ref="Y2188"/>
    <hyperlink display="Cetak" location="JS!A1" ref="Y2189"/>
    <hyperlink display="Cetak" location="JS!A1" ref="Y2190"/>
    <hyperlink display="Cetak" location="JS!A1" ref="Y2191"/>
    <hyperlink display="Cetak" location="JS!A1" ref="Y2192"/>
    <hyperlink display="Cetak" location="JS!A1" ref="Y2193"/>
    <hyperlink display="Cetak" location="JS!A1" ref="Y2194"/>
    <hyperlink display="Cetak" location="JS!A1" ref="Y2195"/>
    <hyperlink display="Cetak" location="JS!A1" ref="Y2196"/>
    <hyperlink display="Cetak" location="JS!A1" ref="Y2197"/>
    <hyperlink display="Cetak" location="JS!A1" ref="Y2198"/>
    <hyperlink display="Cetak" location="JS!A1" ref="Y2199"/>
    <hyperlink display="Cetak" location="JS!A1" ref="Y2200"/>
    <hyperlink display="Cetak" location="JS!A1" ref="Y2201"/>
    <hyperlink display="Cetak" location="JS!A1" ref="Y2202"/>
    <hyperlink display="Cetak" location="JS!A1" ref="Y2203"/>
    <hyperlink display="Cetak" location="JS!A1" ref="Y2204"/>
    <hyperlink display="Cetak" location="JS!A1" ref="Y2205"/>
    <hyperlink display="Cetak" location="JS!A1" ref="Y2206"/>
    <hyperlink display="Cetak" location="JS!A1" ref="Y2207"/>
    <hyperlink display="Cetak" location="JS!A1" ref="Y2208"/>
    <hyperlink display="Cetak" location="JS!A1" ref="Y2209"/>
    <hyperlink display="Cetak" location="JS!A1" ref="Y2210"/>
    <hyperlink display="Cetak" location="JS!A1" ref="Y2211"/>
    <hyperlink display="Cetak" location="JS!A1" ref="Y2212"/>
    <hyperlink display="Cetak" location="JS!A1" ref="Y2213"/>
    <hyperlink display="Cetak" location="JS!A1" ref="Y2214"/>
    <hyperlink display="Cetak" location="JS!A1" ref="Y2215"/>
    <hyperlink display="Cetak" location="JS!A1" ref="Y2216"/>
    <hyperlink display="Cetak" location="JS!A1" ref="Y2217"/>
    <hyperlink display="Cetak" location="JS!A1" ref="Y2218"/>
    <hyperlink display="Cetak" location="JS!A1" ref="Y2219"/>
    <hyperlink display="Cetak" location="JS!A1" ref="Y2220"/>
    <hyperlink display="Cetak" location="JS!A1" ref="Y2221"/>
    <hyperlink display="Cetak" location="JS!A1" ref="Y2222"/>
    <hyperlink display="Cetak" location="JS!A1" ref="Y2223"/>
    <hyperlink display="Cetak" location="JS!A1" ref="Y2224"/>
    <hyperlink display="Cetak" location="JS!A1" ref="Y2225"/>
    <hyperlink display="Cetak" location="JS!A1" ref="Y2226"/>
    <hyperlink display="Cetak" location="JS!A1" ref="Y2227"/>
    <hyperlink display="Cetak" location="JS!A1" ref="Y2228"/>
    <hyperlink display="Cetak" location="JS!A1" ref="Y2229"/>
    <hyperlink display="Cetak" location="JS!A1" ref="Y2230"/>
    <hyperlink display="Cetak" location="JS!A1" ref="Y2231"/>
    <hyperlink display="Cetak" location="JS!A1" ref="Y2232"/>
    <hyperlink display="Cetak" location="JS!A1" ref="Y2233"/>
    <hyperlink display="Cetak" location="JS!A1" ref="Y2234"/>
    <hyperlink display="Cetak" location="JS!A1" ref="Y2235"/>
    <hyperlink display="Cetak" location="JS!A1" ref="Y2236"/>
    <hyperlink display="Cetak" location="JS!A1" ref="Y2237"/>
    <hyperlink display="Cetak" location="JS!A1" ref="Y2238"/>
    <hyperlink display="Cetak" location="JS!A1" ref="Y2239"/>
    <hyperlink display="Cetak" location="JS!A1" ref="Y2240"/>
    <hyperlink display="Cetak" location="JS!A1" ref="Y2241"/>
    <hyperlink display="Cetak" location="JS!A1" ref="Y2242"/>
    <hyperlink display="Cetak" location="JS!A1" ref="Y2243"/>
    <hyperlink display="Cetak" location="JS!A1" ref="Y2244"/>
    <hyperlink display="Cetak" location="JS!A1" ref="Y2245"/>
    <hyperlink display="Cetak" location="JS!A1" ref="Y2246"/>
    <hyperlink display="Cetak" location="JS!A1" ref="Y2247"/>
    <hyperlink display="Cetak" location="JS!A1" ref="Y2248"/>
    <hyperlink display="Cetak" location="JS!A1" ref="Y2249"/>
    <hyperlink display="Cetak" location="JS!A1" ref="Y2250"/>
    <hyperlink display="Cetak" location="JS!A1" ref="Y2251"/>
    <hyperlink display="Cetak" location="JS!A1" ref="Y2252"/>
    <hyperlink display="Cetak" location="JS!A1" ref="Y2253"/>
    <hyperlink display="Cetak" location="JS!A1" ref="Y2254"/>
    <hyperlink display="Cetak" location="JS!A1" ref="Y2255"/>
    <hyperlink display="Cetak" location="JS!A1" ref="Y2256"/>
    <hyperlink display="Cetak" location="JS!A1" ref="Y2257"/>
    <hyperlink display="Cetak" location="JS!A1" ref="Y2258"/>
    <hyperlink display="Cetak" location="JS!A1" ref="Y2259"/>
    <hyperlink display="Cetak" location="JS!A1" ref="Y2260"/>
    <hyperlink display="Cetak" location="JS!A1" ref="Y2261"/>
    <hyperlink display="Cetak" location="JS!A1" ref="Y2262"/>
    <hyperlink display="Cetak" location="JS!A1" ref="Y2263"/>
    <hyperlink display="Cetak" location="JS!A1" ref="Y2264"/>
    <hyperlink display="Cetak" location="JS!A1" ref="Y2265"/>
    <hyperlink display="Cetak" location="JS!A1" ref="Y2266"/>
    <hyperlink display="Cetak" location="JS!A1" ref="Y2267"/>
    <hyperlink display="Cetak" location="JS!A1" ref="Y2268"/>
    <hyperlink display="Cetak" location="JS!A1" ref="Y2269"/>
    <hyperlink display="Cetak" location="JS!A1" ref="Y2270"/>
    <hyperlink display="Cetak" location="JS!A1" ref="Y2271"/>
    <hyperlink display="Cetak" location="JS!A1" ref="Y2272"/>
    <hyperlink display="Cetak" location="JS!A1" ref="Y2273"/>
    <hyperlink display="Cetak" location="JS!A1" ref="Y2274"/>
    <hyperlink display="Cetak" location="JS!A1" ref="Y2275"/>
    <hyperlink display="Cetak" location="JS!A1" ref="Y2276"/>
    <hyperlink display="Cetak" location="JS!A1" ref="Y2277"/>
    <hyperlink display="Cetak" location="JS!A1" ref="Y2278"/>
    <hyperlink display="Cetak" location="JS!A1" ref="Y2279"/>
    <hyperlink display="Cetak" location="JS!A1" ref="Y2280"/>
    <hyperlink display="Cetak" location="JS!A1" ref="Y2281"/>
    <hyperlink display="Cetak" location="JS!A1" ref="Y2282"/>
    <hyperlink display="Cetak" location="JS!A1" ref="Y2283"/>
    <hyperlink display="Cetak" location="JS!A1" ref="Y2284"/>
    <hyperlink display="Cetak" location="JS!A1" ref="Y2285"/>
    <hyperlink display="Cetak" location="JS!A1" ref="Y2286"/>
    <hyperlink display="Cetak" location="JS!A1" ref="Y2287"/>
    <hyperlink display="Cetak" location="JS!A1" ref="Y2288"/>
    <hyperlink display="Cetak" location="JS!A1" ref="Y2289"/>
    <hyperlink display="Cetak" location="JS!A1" ref="Y2290"/>
    <hyperlink display="Cetak" location="JS!A1" ref="Y2291"/>
    <hyperlink display="Cetak" location="JS!A1" ref="Y2292"/>
    <hyperlink display="Cetak" location="JS!A1" ref="Y2293"/>
    <hyperlink display="Cetak" location="JS!A1" ref="Y2294"/>
    <hyperlink display="Cetak" location="JS!A1" ref="Y2295"/>
    <hyperlink display="Cetak" location="JS!A1" ref="Y2296"/>
    <hyperlink display="Cetak" location="JS!A1" ref="Y2297"/>
    <hyperlink display="Cetak" location="JS!A1" ref="Y2298"/>
    <hyperlink display="Cetak" location="JS!A1" ref="Y2299"/>
    <hyperlink display="Cetak" location="JS!A1" ref="Y2300"/>
    <hyperlink display="Cetak" location="JS!A1" ref="Y2301"/>
    <hyperlink display="Cetak" location="JS!A1" ref="Y2302"/>
    <hyperlink display="Cetak" location="JS!A1" ref="Y2303"/>
    <hyperlink display="Cetak" location="JS!A1" ref="Y2304"/>
    <hyperlink display="Cetak" location="JS!A1" ref="Y2305"/>
    <hyperlink display="Cetak" location="JS!A1" ref="Y2306"/>
    <hyperlink display="Cetak" location="JS!A1" ref="Y2307"/>
    <hyperlink display="Cetak" location="JS!A1" ref="Y2308"/>
    <hyperlink display="Cetak" location="JS!A1" ref="Y2309"/>
    <hyperlink display="Cetak" location="JS!A1" ref="Y2310"/>
    <hyperlink display="Cetak" location="JS!A1" ref="Y2311"/>
    <hyperlink display="Cetak" location="JS!A1" ref="Y2312"/>
    <hyperlink display="Cetak" location="JS!A1" ref="Y2313"/>
    <hyperlink display="Cetak" location="JS!A1" ref="Y2314"/>
    <hyperlink display="Cetak" location="JS!A1" ref="Y2315"/>
    <hyperlink display="Cetak" location="JS!A1" ref="Y2316"/>
    <hyperlink display="Cetak" location="JS!A1" ref="Y2317"/>
    <hyperlink display="Cetak" location="JS!A1" ref="Y2318"/>
    <hyperlink display="Cetak" location="JS!A1" ref="Y2319"/>
    <hyperlink display="Cetak" location="JS!A1" ref="Y2320"/>
    <hyperlink display="Cetak" location="JS!A1" ref="Y2321"/>
    <hyperlink display="Cetak" location="JS!A1" ref="Y2322"/>
    <hyperlink display="Cetak" location="JS!A1" ref="Y2323"/>
    <hyperlink display="Cetak" location="JS!A1" ref="Y2324"/>
    <hyperlink display="Cetak" location="JS!A1" ref="Y2325"/>
    <hyperlink display="Cetak" location="JS!A1" ref="Y2326"/>
    <hyperlink display="Cetak" location="JS!A1" ref="Y2327"/>
    <hyperlink display="Cetak" location="JS!A1" ref="Y2328"/>
    <hyperlink display="Cetak" location="JS!A1" ref="Y2329"/>
    <hyperlink display="Cetak" location="JS!A1" ref="Y2330"/>
    <hyperlink display="Cetak" location="JS!A1" ref="Y2331"/>
    <hyperlink display="Cetak" location="JS!A1" ref="Y2332"/>
    <hyperlink display="Cetak" location="JS!A1" ref="Y2333"/>
    <hyperlink display="Cetak" location="JS!A1" ref="Y2334"/>
    <hyperlink display="Cetak" location="JS!A1" ref="Y2335"/>
    <hyperlink display="Cetak" location="JS!A1" ref="Y2336"/>
    <hyperlink display="Cetak" location="JS!A1" ref="Y2337"/>
    <hyperlink display="Cetak" location="JS!A1" ref="Y2338"/>
    <hyperlink display="Cetak" location="JS!A1" ref="Y2339"/>
    <hyperlink display="Cetak" location="JS!A1" ref="Y2340"/>
    <hyperlink display="Cetak" location="JS!A1" ref="Y2341"/>
    <hyperlink display="Cetak" location="JS!A1" ref="Y2342"/>
    <hyperlink display="Cetak" location="JS!A1" ref="Y2343"/>
    <hyperlink display="Cetak" location="JS!A1" ref="Y2344"/>
    <hyperlink display="Cetak" location="JS!A1" ref="Y2345"/>
    <hyperlink display="Cetak" location="JS!A1" ref="Y2346"/>
    <hyperlink display="Cetak" location="JS!A1" ref="Y2347"/>
    <hyperlink display="Cetak" location="JS!A1" ref="Y2348"/>
    <hyperlink display="Cetak" location="JS!A1" ref="Y2349"/>
    <hyperlink display="Cetak" location="JS!A1" ref="Y2350"/>
    <hyperlink display="Cetak" location="JS!A1" ref="Y2351"/>
    <hyperlink display="Cetak" location="JS!A1" ref="Y2352"/>
    <hyperlink display="Cetak" location="JS!A1" ref="Y2353"/>
    <hyperlink display="Cetak" location="JS!A1" ref="Y2354"/>
    <hyperlink display="Cetak" location="JS!A1" ref="Y2355"/>
    <hyperlink display="Cetak" location="JS!A1" ref="Y2356"/>
    <hyperlink display="Cetak" location="JS!A1" ref="Y2357"/>
    <hyperlink display="Cetak" location="JS!A1" ref="Y2358"/>
    <hyperlink display="Cetak" location="JS!A1" ref="Y2359"/>
    <hyperlink display="Cetak" location="JS!A1" ref="Y2360"/>
    <hyperlink display="Cetak" location="JS!A1" ref="Y2361"/>
    <hyperlink display="Cetak" location="JS!A1" ref="Y2362"/>
    <hyperlink display="Cetak" location="JS!A1" ref="Y2363"/>
    <hyperlink display="Cetak" location="JS!A1" ref="Y2364"/>
    <hyperlink display="Cetak" location="JS!A1" ref="Y2365"/>
    <hyperlink display="Cetak" location="JS!A1" ref="Y2366"/>
    <hyperlink display="Cetak" location="JS!A1" ref="Y2367"/>
    <hyperlink display="Cetak" location="JS!A1" ref="Y2368"/>
    <hyperlink display="Cetak" location="JS!A1" ref="Y2369"/>
    <hyperlink display="Cetak" location="JS!A1" ref="Y2370"/>
    <hyperlink display="Cetak" location="JS!A1" ref="Y2371"/>
    <hyperlink display="Cetak" location="JS!A1" ref="Y2372"/>
    <hyperlink display="Cetak" location="JS!A1" ref="Y2373"/>
    <hyperlink display="Cetak" location="JS!A1" ref="Y2374"/>
    <hyperlink display="Cetak" location="JS!A1" ref="Y2375"/>
    <hyperlink display="Cetak" location="JS!A1" ref="Y2376"/>
    <hyperlink display="Cetak" location="JS!A1" ref="Y2377"/>
    <hyperlink display="Cetak" location="JS!A1" ref="Y2378"/>
    <hyperlink display="Cetak" location="JS!A1" ref="Y2379"/>
    <hyperlink display="Cetak" location="JS!A1" ref="Y2380"/>
    <hyperlink display="Cetak" location="JS!A1" ref="Y2381"/>
    <hyperlink display="Cetak" location="JS!A1" ref="Y2382"/>
    <hyperlink display="Cetak" location="JS!A1" ref="Y2383"/>
    <hyperlink display="Cetak" location="JS!A1" ref="Y2384"/>
    <hyperlink display="Cetak" location="JS!A1" ref="Y2385"/>
    <hyperlink display="Cetak" location="JS!A1" ref="Y2386"/>
    <hyperlink display="Cetak" location="JS!A1" ref="Y2387"/>
    <hyperlink display="Cetak" location="JS!A1" ref="Y2388"/>
    <hyperlink display="Cetak" location="JS!A1" ref="Y2389"/>
    <hyperlink display="Cetak" location="JS!A1" ref="Y2390"/>
    <hyperlink display="Cetak" location="JS!A1" ref="Y2391"/>
    <hyperlink display="Cetak" location="JS!A1" ref="Y2392"/>
    <hyperlink display="Cetak" location="JS!A1" ref="Y2393"/>
    <hyperlink display="Cetak" location="JS!A1" ref="Y2394"/>
    <hyperlink display="Cetak" location="JS!A1" ref="Y2395"/>
    <hyperlink display="Cetak" location="JS!A1" ref="Y2396"/>
    <hyperlink display="Cetak" location="JS!A1" ref="Y2397"/>
    <hyperlink display="Cetak" location="JS!A1" ref="Y2398"/>
    <hyperlink display="Cetak" location="JS!A1" ref="Y2399"/>
    <hyperlink display="Cetak" location="JS!A1" ref="Y2400"/>
    <hyperlink display="Cetak" location="JS!A1" ref="Y2401"/>
    <hyperlink display="Cetak" location="JS!A1" ref="Y2402"/>
    <hyperlink display="Cetak" location="JS!A1" ref="Y2403"/>
    <hyperlink display="Cetak" location="JS!A1" ref="Y2404"/>
    <hyperlink display="Cetak" location="JS!A1" ref="Y2405"/>
    <hyperlink display="Cetak" location="JS!A1" ref="Y2406"/>
    <hyperlink display="Cetak" location="JS!A1" ref="Y2407"/>
    <hyperlink display="Cetak" location="JS!A1" ref="Y2408"/>
    <hyperlink display="Cetak" location="JS!A1" ref="Y2409"/>
    <hyperlink display="Cetak" location="JS!A1" ref="Y2410"/>
    <hyperlink display="Cetak" location="JS!A1" ref="Y2411"/>
    <hyperlink display="Cetak" location="JS!A1" ref="Y2412"/>
    <hyperlink display="Cetak" location="JS!A1" ref="Y2413"/>
    <hyperlink display="Cetak" location="JS!A1" ref="Y2414"/>
    <hyperlink display="Cetak" location="JS!A1" ref="Y2415"/>
    <hyperlink display="Cetak" location="JS!A1" ref="Y2416"/>
    <hyperlink display="Cetak" location="JS!A1" ref="Y2417"/>
    <hyperlink display="Cetak" location="JS!A1" ref="Y2418"/>
    <hyperlink display="Cetak" location="JS!A1" ref="Y2419"/>
    <hyperlink display="Cetak" location="JS!A1" ref="Y2420"/>
    <hyperlink display="Cetak" location="JS!A1" ref="Y2421"/>
    <hyperlink display="Cetak" location="JS!A1" ref="Y2422"/>
    <hyperlink display="Cetak" location="JS!A1" ref="Y2423"/>
    <hyperlink display="Cetak" location="JS!A1" ref="Y2424"/>
    <hyperlink display="Cetak" location="JS!A1" ref="Y2425"/>
    <hyperlink display="Cetak" location="JS!A1" ref="Y2426"/>
    <hyperlink display="Cetak" location="JS!A1" ref="Y2427"/>
    <hyperlink display="Cetak" location="JS!A1" ref="Y2428"/>
    <hyperlink display="Cetak" location="JS!A1" ref="Y2429"/>
    <hyperlink display="Cetak" location="JS!A1" ref="Y2430"/>
    <hyperlink display="Cetak" location="JS!A1" ref="Y2431"/>
    <hyperlink display="Cetak" location="JS!A1" ref="Y2432"/>
    <hyperlink display="Cetak" location="JS!A1" ref="Y2433"/>
    <hyperlink display="Cetak" location="JS!A1" ref="Y2434"/>
    <hyperlink display="Cetak" location="JS!A1" ref="Y2435"/>
    <hyperlink display="Cetak" location="JS!A1" ref="Y2436"/>
    <hyperlink display="Cetak" location="JS!A1" ref="Y2437"/>
    <hyperlink display="Cetak" location="JS!A1" ref="Y2438"/>
    <hyperlink display="Cetak" location="JS!A1" ref="Y2439"/>
    <hyperlink display="Cetak" location="JS!A1" ref="Y2440"/>
    <hyperlink display="Cetak" location="JS!A1" ref="Y2441"/>
    <hyperlink display="Cetak" location="JS!A1" ref="Y2442"/>
    <hyperlink display="Cetak" location="JS!A1" ref="Y2443"/>
    <hyperlink display="Cetak" location="JS!A1" ref="Y2444"/>
    <hyperlink display="Cetak" location="JS!A1" ref="Y2445"/>
    <hyperlink display="Cetak" location="JS!A1" ref="Y2446"/>
    <hyperlink display="Cetak" location="JS!A1" ref="Y2447"/>
    <hyperlink display="Cetak" location="JS!A1" ref="Y2448"/>
    <hyperlink display="Cetak" location="JS!A1" ref="Y2449"/>
    <hyperlink display="Cetak" location="JS!A1" ref="Y2450"/>
    <hyperlink display="Cetak" location="JS!A1" ref="Y2451"/>
    <hyperlink display="Cetak" location="JS!A1" ref="Y2452"/>
    <hyperlink display="Cetak" location="JS!A1" ref="Y2453"/>
    <hyperlink display="Cetak" location="JS!A1" ref="Y2454"/>
    <hyperlink display="Cetak" location="JS!A1" ref="Y2455"/>
    <hyperlink display="Cetak" location="JS!A1" ref="Y2456"/>
    <hyperlink display="Cetak" location="JS!A1" ref="Y2457"/>
    <hyperlink display="Cetak" location="JS!A1" ref="Y2458"/>
    <hyperlink display="Cetak" location="JS!A1" ref="Y2459"/>
    <hyperlink display="Cetak" location="JS!A1" ref="Y2460"/>
    <hyperlink display="Cetak" location="JS!A1" ref="Y2461"/>
    <hyperlink display="Cetak" location="JS!A1" ref="Y2462"/>
    <hyperlink display="Cetak" location="JS!A1" ref="Y2463"/>
    <hyperlink display="Cetak" location="JS!A1" ref="Y2464"/>
    <hyperlink display="Cetak" location="JS!A1" ref="Y2465"/>
    <hyperlink display="Cetak" location="JS!A1" ref="Y2466"/>
    <hyperlink display="Cetak" location="JS!A1" ref="Y2467"/>
    <hyperlink display="Cetak" location="JS!A1" ref="Y2468"/>
    <hyperlink display="Cetak" location="JS!A1" ref="Y2469"/>
    <hyperlink display="Cetak" location="JS!A1" ref="Y2470"/>
    <hyperlink display="Cetak" location="JS!A1" ref="Y2471"/>
    <hyperlink display="Cetak" location="JS!A1" ref="Y2472"/>
    <hyperlink display="Cetak" location="JS!A1" ref="Y2473"/>
    <hyperlink display="Cetak" location="JS!A1" ref="Y2474"/>
    <hyperlink display="Cetak" location="JS!A1" ref="Y2475"/>
    <hyperlink display="Cetak" location="JS!A1" ref="Y2476"/>
    <hyperlink display="Cetak" location="JS!A1" ref="Y2477"/>
    <hyperlink display="Cetak" location="JS!A1" ref="Y2478"/>
    <hyperlink display="Cetak" location="JS!A1" ref="Y2479"/>
    <hyperlink display="Cetak" location="JS!A1" ref="Y2480"/>
    <hyperlink display="Cetak" location="JS!A1" ref="Y2481"/>
    <hyperlink display="Cetak" location="JS!A1" ref="Y2482"/>
    <hyperlink display="Cetak" location="JS!A1" ref="Y2483"/>
    <hyperlink display="Cetak" location="JS!A1" ref="Y2484"/>
    <hyperlink display="Cetak" location="JS!A1" ref="Y2485"/>
    <hyperlink display="Cetak" location="JS!A1" ref="Y2486"/>
    <hyperlink display="Cetak" location="JS!A1" ref="Y2487"/>
    <hyperlink display="Cetak" location="JS!A1" ref="Y2488"/>
    <hyperlink display="Cetak" location="JS!A1" ref="Y2489"/>
    <hyperlink display="Cetak" location="JS!A1" ref="Y2490"/>
    <hyperlink display="Cetak" location="JS!A1" ref="Y2491"/>
    <hyperlink display="Cetak" location="JS!A1" ref="Y2492"/>
    <hyperlink display="Cetak" location="JS!A1" ref="Y2493"/>
    <hyperlink display="Cetak" location="JS!A1" ref="Y2494"/>
    <hyperlink display="Cetak" location="JS!A1" ref="Y2495"/>
    <hyperlink display="Cetak" location="JS!A1" ref="Y2496"/>
    <hyperlink display="Cetak" location="JS!A1" ref="Y2497"/>
    <hyperlink display="Cetak" location="JS!A1" ref="Y2498"/>
    <hyperlink display="Cetak" location="JS!A1" ref="Y2499"/>
    <hyperlink display="Cetak" location="JS!A1" ref="Y2500"/>
    <hyperlink display="Cetak" location="JS!A1" ref="Y2501"/>
    <hyperlink display="Cetak" location="JS!A1" ref="Y2502"/>
    <hyperlink display="Cetak" location="JS!A1" ref="Y2503"/>
    <hyperlink display="Cetak" location="JS!A1" ref="Y2504"/>
    <hyperlink display="Cetak" location="JS!A1" ref="Y2505"/>
    <hyperlink display="Cetak" location="JS!A1" ref="Y2506"/>
    <hyperlink display="Cetak" location="JS!A1" ref="Y2507"/>
    <hyperlink display="Cetak" location="JS!A1" ref="Y2508"/>
    <hyperlink display="Cetak" location="JS!A1" ref="Y2509"/>
    <hyperlink display="Cetak" location="JS!A1" ref="Y2510"/>
    <hyperlink display="Cetak" location="JS!A1" ref="Y2511"/>
    <hyperlink display="Cetak" location="JS!A1" ref="Y2512"/>
    <hyperlink display="Cetak" location="JS!A1" ref="Y2513"/>
    <hyperlink display="Cetak" location="JS!A1" ref="Y2514"/>
    <hyperlink display="Cetak" location="JS!A1" ref="Y2515"/>
    <hyperlink display="Cetak" location="JS!A1" ref="Y2516"/>
    <hyperlink display="Cetak" location="JS!A1" ref="Y2517"/>
    <hyperlink display="Cetak" location="JS!A1" ref="Y2518"/>
    <hyperlink display="Cetak" location="JS!A1" ref="Y2519"/>
    <hyperlink display="Cetak" location="JS!A1" ref="Y2520"/>
    <hyperlink display="Cetak" location="JS!A1" ref="Y2521"/>
    <hyperlink display="Cetak" location="JS!A1" ref="Y2522"/>
    <hyperlink display="Cetak" location="JS!A1" ref="Y2523"/>
    <hyperlink display="Cetak" location="JS!A1" ref="Y2524"/>
    <hyperlink display="Cetak" location="JS!A1" ref="Y2525"/>
    <hyperlink display="Cetak" location="JS!A1" ref="Y2526"/>
    <hyperlink display="Cetak" location="JS!A1" ref="Y2527"/>
    <hyperlink display="Cetak" location="JS!A1" ref="Y2528"/>
    <hyperlink display="Cetak" location="JS!A1" ref="Y2529"/>
    <hyperlink display="Cetak" location="JS!A1" ref="Y2530"/>
    <hyperlink display="Cetak" location="JS!A1" ref="Y2531"/>
    <hyperlink display="Cetak" location="JS!A1" ref="Y2532"/>
    <hyperlink display="Cetak" location="JS!A1" ref="Y2533"/>
    <hyperlink display="Cetak" location="JS!A1" ref="Y2534"/>
    <hyperlink display="Cetak" location="JS!A1" ref="Y2535"/>
    <hyperlink display="Cetak" location="JS!A1" ref="Y2536"/>
    <hyperlink display="Cetak" location="JS!A1" ref="Y2537"/>
    <hyperlink display="Cetak" location="JS!A1" ref="Y2538"/>
    <hyperlink display="Cetak" location="JS!A1" ref="Y2539"/>
    <hyperlink display="Cetak" location="JS!A1" ref="Y2540"/>
    <hyperlink display="Cetak" location="JS!A1" ref="Y2541"/>
    <hyperlink display="Cetak" location="JS!A1" ref="Y2542"/>
    <hyperlink display="Cetak" location="JS!A1" ref="Y2543"/>
    <hyperlink display="Cetak" location="JS!A1" ref="Y2544"/>
    <hyperlink display="Cetak" location="JS!A1" ref="Y2545"/>
    <hyperlink display="Cetak" location="JS!A1" ref="Y2546"/>
    <hyperlink display="Cetak" location="JS!A1" ref="Y2547"/>
    <hyperlink display="Cetak" location="JS!A1" ref="Y2548"/>
    <hyperlink display="Cetak" location="JS!A1" ref="Y2549"/>
    <hyperlink display="Cetak" location="JS!A1" ref="Y2550"/>
    <hyperlink display="Cetak" location="JS!A1" ref="Y2551"/>
    <hyperlink display="Cetak" location="JS!A1" ref="Y2552"/>
    <hyperlink display="Cetak" location="JS!A1" ref="Y2553"/>
    <hyperlink display="Cetak" location="JS!A1" ref="Y2554"/>
    <hyperlink display="Cetak" location="JS!A1" ref="Y2555"/>
    <hyperlink display="Cetak" location="JS!A1" ref="Y2556"/>
    <hyperlink display="Cetak" location="JS!A1" ref="Y2557"/>
    <hyperlink display="Cetak" location="JS!A1" ref="Y2558"/>
    <hyperlink display="Cetak" location="JS!A1" ref="Y2559"/>
    <hyperlink display="Cetak" location="JS!A1" ref="Y2560"/>
    <hyperlink display="Cetak" location="JS!A1" ref="Y2561"/>
    <hyperlink display="Cetak" location="JS!A1" ref="Y2562"/>
    <hyperlink display="Cetak" location="JS!A1" ref="Y2563"/>
    <hyperlink display="Cetak" location="JS!A1" ref="Y2564"/>
    <hyperlink display="Cetak" location="JS!A1" ref="Y2565"/>
    <hyperlink display="Cetak" location="JS!A1" ref="Y2566"/>
    <hyperlink display="Cetak" location="JS!A1" ref="Y2567"/>
    <hyperlink display="Cetak" location="JS!A1" ref="Y2568"/>
    <hyperlink display="Cetak" location="JS!A1" ref="Y2569"/>
    <hyperlink display="Cetak" location="JS!A1" ref="Y2570"/>
    <hyperlink display="Cetak" location="JS!A1" ref="Y2571"/>
    <hyperlink display="Cetak" location="JS!A1" ref="Y2572"/>
    <hyperlink display="Cetak" location="JS!A1" ref="Y2573"/>
    <hyperlink display="Cetak" location="JS!A1" ref="Y2574"/>
    <hyperlink display="Cetak" location="JS!A1" ref="Y2575"/>
    <hyperlink display="Cetak" location="JS!A1" ref="Y2576"/>
    <hyperlink display="Cetak" location="JS!A1" ref="Y2577"/>
    <hyperlink display="Cetak" location="JS!A1" ref="Y2578"/>
    <hyperlink display="Cetak" location="JS!A1" ref="Y2579"/>
    <hyperlink display="Cetak" location="JS!A1" ref="Y2580"/>
    <hyperlink display="Cetak" location="JS!A1" ref="Y2581"/>
    <hyperlink display="Cetak" location="JS!A1" ref="Y2582"/>
    <hyperlink display="Cetak" location="JS!A1" ref="Y2583"/>
    <hyperlink display="Cetak" location="JS!A1" ref="Y2584"/>
    <hyperlink display="Cetak" location="JS!A1" ref="Y2585"/>
    <hyperlink display="Cetak" location="JS!A1" ref="Y2586"/>
    <hyperlink display="Cetak" location="JS!A1" ref="Y2587"/>
    <hyperlink display="Cetak" location="JS!A1" ref="Y2588"/>
    <hyperlink display="Cetak" location="JS!A1" ref="Y2589"/>
    <hyperlink display="Cetak" location="JS!A1" ref="Y2590"/>
    <hyperlink display="Cetak" location="JS!A1" ref="Y2591"/>
    <hyperlink display="Cetak" location="JS!A1" ref="Y2592"/>
    <hyperlink display="Cetak" location="JS!A1" ref="Y2593"/>
    <hyperlink display="Cetak" location="JS!A1" ref="Y2594"/>
    <hyperlink display="Cetak" location="JS!A1" ref="Y2595"/>
    <hyperlink display="Cetak" location="JS!A1" ref="Y2596"/>
    <hyperlink display="Cetak" location="JS!A1" ref="Y2597"/>
    <hyperlink display="Cetak" location="JS!A1" ref="Y2598"/>
    <hyperlink display="Cetak" location="JS!A1" ref="Y2599"/>
    <hyperlink display="Cetak" location="JS!A1" ref="Y2600"/>
    <hyperlink display="Cetak" location="JS!A1" ref="Y2601"/>
    <hyperlink display="Cetak" location="JS!A1" ref="Y2602"/>
    <hyperlink display="Cetak" location="JS!A1" ref="Y2603"/>
    <hyperlink display="Cetak" location="JS!A1" ref="Y2604"/>
    <hyperlink display="Cetak" location="JS!A1" ref="Y2605"/>
    <hyperlink display="Cetak" location="JS!A1" ref="Y2606"/>
    <hyperlink display="Cetak" location="JS!A1" ref="Y2607"/>
    <hyperlink display="Cetak" location="JS!A1" ref="Y2608"/>
    <hyperlink display="Cetak" location="JS!A1" ref="Y2609"/>
    <hyperlink display="Cetak" location="JS!A1" ref="Y2610"/>
    <hyperlink display="Cetak" location="JS!A1" ref="Y2611"/>
    <hyperlink display="Cetak" location="JS!A1" ref="Y2612"/>
    <hyperlink display="Cetak" location="JS!A1" ref="Y2613"/>
    <hyperlink display="Cetak" location="JS!A1" ref="Y2614"/>
    <hyperlink display="Cetak" location="JS!A1" ref="Y2615"/>
    <hyperlink display="Cetak" location="JS!A1" ref="Y2616"/>
    <hyperlink display="Cetak" location="JS!A1" ref="Y2617"/>
    <hyperlink display="Cetak" location="JS!A1" ref="Y2618"/>
    <hyperlink display="Cetak" location="JS!A1" ref="Y2619"/>
    <hyperlink display="Cetak" location="JS!A1" ref="Y2620"/>
    <hyperlink display="Cetak" location="JS!A1" ref="Y2621"/>
    <hyperlink display="Cetak" location="JS!A1" ref="Y2622"/>
    <hyperlink display="Cetak" location="JS!A1" ref="Y2623"/>
    <hyperlink display="Cetak" location="JS!A1" ref="Y2624"/>
    <hyperlink display="Cetak" location="JS!A1" ref="Y2625"/>
    <hyperlink display="Cetak" location="JS!A1" ref="Y2626"/>
    <hyperlink display="Cetak" location="JS!A1" ref="Y2627"/>
    <hyperlink display="Cetak" location="JS!A1" ref="Y2628"/>
    <hyperlink display="Cetak" location="JS!A1" ref="Y2629"/>
    <hyperlink display="Cetak" location="JS!A1" ref="Y2630"/>
    <hyperlink display="Cetak" location="JS!A1" ref="Y2631"/>
    <hyperlink display="Cetak" location="JS!A1" ref="Y2632"/>
    <hyperlink display="Cetak" location="JS!A1" ref="Y2633"/>
    <hyperlink display="Cetak" location="JS!A1" ref="Y2634"/>
    <hyperlink display="Cetak" location="JS!A1" ref="Y2635"/>
    <hyperlink display="Cetak" location="JS!A1" ref="Y2636"/>
    <hyperlink display="Cetak" location="JS!A1" ref="Y2637"/>
    <hyperlink display="Cetak" location="JS!A1" ref="Y2638"/>
    <hyperlink display="Cetak" location="JS!A1" ref="Y2639"/>
    <hyperlink display="Cetak" location="JS!A1" ref="Y2640"/>
    <hyperlink display="Cetak" location="JS!A1" ref="Y2641"/>
    <hyperlink display="Cetak" location="JS!A1" ref="Y2642"/>
    <hyperlink display="Cetak" location="JS!A1" ref="Y2643"/>
    <hyperlink display="Cetak" location="JS!A1" ref="Y2644"/>
    <hyperlink display="Cetak" location="JS!A1" ref="Y2645"/>
    <hyperlink display="Cetak" location="JS!A1" ref="Y2646"/>
    <hyperlink display="Cetak" location="JS!A1" ref="Y2647"/>
    <hyperlink display="Cetak" location="JS!A1" ref="Y2648"/>
    <hyperlink display="Cetak" location="JS!A1" ref="Y2649"/>
    <hyperlink display="Cetak" location="JS!A1" ref="Y2650"/>
    <hyperlink display="Cetak" location="JS!A1" ref="Y2651"/>
    <hyperlink display="Cetak" location="JS!A1" ref="Y2652"/>
    <hyperlink display="Cetak" location="JS!A1" ref="Y2653"/>
    <hyperlink display="Cetak" location="JS!A1" ref="Y2654"/>
    <hyperlink display="Cetak" location="JS!A1" ref="Y2655"/>
    <hyperlink display="Cetak" location="JS!A1" ref="Y2656"/>
    <hyperlink display="Cetak" location="JS!A1" ref="Y2657"/>
    <hyperlink display="Cetak" location="JS!A1" ref="Y2658"/>
    <hyperlink display="Cetak" location="JS!A1" ref="Y2659"/>
    <hyperlink display="Cetak" location="JS!A1" ref="Y2660"/>
    <hyperlink display="Cetak" location="JS!A1" ref="Y2661"/>
    <hyperlink display="Cetak" location="JS!A1" ref="Y2662"/>
    <hyperlink display="Cetak" location="JS!A1" ref="Y2663"/>
    <hyperlink display="Cetak" location="JS!A1" ref="Y2664"/>
    <hyperlink display="Cetak" location="JS!A1" ref="Y2665"/>
    <hyperlink display="Cetak" location="JS!A1" ref="Y2666"/>
    <hyperlink display="Cetak" location="JS!A1" ref="Y2667"/>
    <hyperlink display="Cetak" location="JS!A1" ref="Y2668"/>
    <hyperlink display="Cetak" location="JS!A1" ref="Y2669"/>
    <hyperlink display="Cetak" location="JS!A1" ref="Y2670"/>
    <hyperlink display="Cetak" location="JS!A1" ref="Y2671"/>
    <hyperlink display="Cetak" location="JS!A1" ref="Y2672"/>
    <hyperlink display="Cetak" location="JS!A1" ref="Y2673"/>
    <hyperlink display="Cetak" location="JS!A1" ref="Y2674"/>
    <hyperlink display="Cetak" location="JS!A1" ref="Y2675"/>
    <hyperlink display="Cetak" location="JS!A1" ref="Y2676"/>
    <hyperlink display="Cetak" location="JS!A1" ref="Y2677"/>
    <hyperlink display="Cetak" location="JS!A1" ref="Y2678"/>
    <hyperlink display="Cetak" location="JS!A1" ref="Y2679"/>
    <hyperlink display="Cetak" location="JS!A1" ref="Y2680"/>
    <hyperlink display="Cetak" location="JS!A1" ref="Y2681"/>
    <hyperlink display="Cetak" location="JS!A1" ref="Y2682"/>
    <hyperlink display="Cetak" location="JS!A1" ref="Y2683"/>
    <hyperlink display="Cetak" location="JS!A1" ref="Y2684"/>
    <hyperlink display="Cetak" location="JS!A1" ref="Y2685"/>
    <hyperlink display="Cetak" location="JS!A1" ref="Y2686"/>
    <hyperlink display="Cetak" location="JS!A1" ref="Y2687"/>
    <hyperlink display="Cetak" location="JS!A1" ref="Y2688"/>
    <hyperlink display="Cetak" location="JS!A1" ref="Y2689"/>
    <hyperlink display="Cetak" location="JS!A1" ref="Y2690"/>
    <hyperlink display="Cetak" location="JS!A1" ref="Y2691"/>
    <hyperlink display="Cetak" location="JS!A1" ref="Y2692"/>
    <hyperlink display="Cetak" location="JS!A1" ref="Y2693"/>
    <hyperlink display="Cetak" location="JS!A1" ref="Y2694"/>
    <hyperlink display="Cetak" location="JS!A1" ref="Y2695"/>
    <hyperlink display="Cetak" location="JS!A1" ref="Y2696"/>
    <hyperlink display="Cetak" location="JS!A1" ref="Y2697"/>
    <hyperlink display="Cetak" location="JS!A1" ref="Y2698"/>
    <hyperlink display="Cetak" location="JS!A1" ref="Y2699"/>
    <hyperlink display="Cetak" location="JS!A1" ref="Y2700"/>
    <hyperlink display="Cetak" location="JS!A1" ref="Y2701"/>
    <hyperlink display="Cetak" location="JS!A1" ref="Y2702"/>
    <hyperlink display="Cetak" location="JS!A1" ref="Y2703"/>
    <hyperlink display="Cetak" location="JS!A1" ref="Y2704"/>
    <hyperlink display="Cetak" location="JS!A1" ref="Y2705"/>
    <hyperlink display="Cetak" location="JS!A1" ref="Y2706"/>
    <hyperlink display="Cetak" location="JS!A1" ref="Y2707"/>
    <hyperlink display="Cetak" location="JS!A1" ref="Y2708"/>
    <hyperlink display="Cetak" location="JS!A1" ref="Y2709"/>
    <hyperlink display="Cetak" location="JS!A1" ref="Y2710"/>
    <hyperlink display="Cetak" location="JS!A1" ref="Y2711"/>
    <hyperlink display="Cetak" location="JS!A1" ref="Y2712"/>
    <hyperlink display="Cetak" location="JS!A1" ref="Y2713"/>
    <hyperlink display="Cetak" location="JS!A1" ref="Y2714"/>
    <hyperlink display="Cetak" location="JS!A1" ref="Y2715"/>
    <hyperlink display="Cetak" location="JS!A1" ref="Y2716"/>
    <hyperlink display="Cetak" location="JS!A1" ref="Y2717"/>
    <hyperlink display="Cetak" location="JS!A1" ref="Y2718"/>
    <hyperlink display="Cetak" location="JS!A1" ref="Y2719"/>
    <hyperlink display="Cetak" location="JS!A1" ref="Y2720"/>
    <hyperlink display="Cetak" location="JS!A1" ref="Y2721"/>
    <hyperlink display="Cetak" location="JS!A1" ref="Y2722"/>
    <hyperlink display="Cetak" location="JS!A1" ref="Y2723"/>
    <hyperlink display="Cetak" location="JS!A1" ref="Y2724"/>
    <hyperlink display="Cetak" location="JS!A1" ref="Y2725"/>
    <hyperlink display="Cetak" location="JS!A1" ref="Y2726"/>
    <hyperlink display="Cetak" location="JS!A1" ref="Y2727"/>
    <hyperlink display="Cetak" location="JS!A1" ref="Y2728"/>
    <hyperlink display="Cetak" location="JS!A1" ref="Y2729"/>
    <hyperlink display="Cetak" location="JS!A1" ref="Y2730"/>
    <hyperlink display="Cetak" location="JS!A1" ref="Y2731"/>
    <hyperlink display="Cetak" location="JS!A1" ref="Y2732"/>
    <hyperlink display="Cetak" location="JS!A1" ref="Y2733"/>
    <hyperlink display="Cetak" location="JS!A1" ref="Y2734"/>
    <hyperlink display="Cetak" location="JS!A1" ref="Y2735"/>
    <hyperlink display="Cetak" location="JS!A1" ref="Y2736"/>
    <hyperlink display="Cetak" location="JS!A1" ref="Y2737"/>
    <hyperlink display="Cetak" location="JS!A1" ref="Y2738"/>
    <hyperlink display="Cetak" location="JS!A1" ref="Y2739"/>
    <hyperlink display="Cetak" location="JS!A1" ref="Y2740"/>
    <hyperlink display="Cetak" location="JS!A1" ref="Y2741"/>
    <hyperlink display="Cetak" location="JS!A1" ref="Y2742"/>
    <hyperlink display="Cetak" location="JS!A1" ref="Y2743"/>
    <hyperlink display="Cetak" location="JS!A1" ref="Y2744"/>
    <hyperlink display="Cetak" location="JS!A1" ref="Y2745"/>
    <hyperlink display="Cetak" location="JS!A1" ref="Y2746"/>
    <hyperlink display="Cetak" location="JS!A1" ref="Y2747"/>
    <hyperlink display="Cetak" location="JS!A1" ref="Y2748"/>
    <hyperlink display="Cetak" location="JS!A1" ref="Y2749"/>
    <hyperlink display="Cetak" location="JS!A1" ref="Y2750"/>
    <hyperlink display="Cetak" location="JS!A1" ref="Y2751"/>
    <hyperlink display="Cetak" location="JS!A1" ref="Y2752"/>
    <hyperlink display="Cetak" location="JS!A1" ref="Y2753"/>
    <hyperlink display="Cetak" location="JS!A1" ref="Y2754"/>
    <hyperlink display="Cetak" location="JS!A1" ref="Y2755"/>
    <hyperlink display="Cetak" location="JS!A1" ref="Y2756"/>
    <hyperlink display="Cetak" location="JS!A1" ref="Y2757"/>
    <hyperlink display="Cetak" location="JS!A1" ref="Y2758"/>
    <hyperlink display="Cetak" location="JS!A1" ref="Y2759"/>
    <hyperlink display="Cetak" location="JS!A1" ref="Y2760"/>
    <hyperlink display="Cetak" location="JS!A1" ref="Y2761"/>
    <hyperlink display="Cetak" location="JS!A1" ref="Y2762"/>
    <hyperlink display="Cetak" location="JS!A1" ref="Y2763"/>
    <hyperlink display="Cetak" location="JS!A1" ref="Y2764"/>
    <hyperlink display="Cetak" location="JS!A1" ref="Y2765"/>
    <hyperlink display="Cetak" location="JS!A1" ref="Y2766"/>
    <hyperlink display="Cetak" location="JS!A1" ref="Y2767"/>
    <hyperlink display="Cetak" location="JS!A1" ref="Y2768"/>
    <hyperlink display="Cetak" location="JS!A1" ref="Y2769"/>
    <hyperlink display="Cetak" location="JS!A1" ref="Y2770"/>
    <hyperlink display="Cetak" location="JS!A1" ref="Y2771"/>
    <hyperlink display="Cetak" location="JS!A1" ref="Y2772"/>
    <hyperlink display="Cetak" location="JS!A1" ref="Y2773"/>
    <hyperlink display="Cetak" location="JS!A1" ref="Y2774"/>
    <hyperlink display="Cetak" location="JS!A1" ref="Y2775"/>
    <hyperlink display="Cetak" location="JS!A1" ref="Y2776"/>
    <hyperlink display="Cetak" location="JS!A1" ref="Y2777"/>
    <hyperlink display="Cetak" location="JS!A1" ref="Y2778"/>
    <hyperlink display="Cetak" location="JS!A1" ref="Y2779"/>
    <hyperlink display="Cetak" location="JS!A1" ref="Y2780"/>
    <hyperlink display="Cetak" location="JS!A1" ref="Y2781"/>
    <hyperlink display="Cetak" location="JS!A1" ref="Y2782"/>
    <hyperlink display="Cetak" location="JS!A1" ref="Y2783"/>
    <hyperlink display="Cetak" location="JS!A1" ref="Y2784"/>
    <hyperlink display="Cetak" location="JS!A1" ref="Y2785"/>
    <hyperlink display="Cetak" location="JS!A1" ref="Y2786"/>
    <hyperlink display="Cetak" location="JS!A1" ref="Y2787"/>
    <hyperlink display="Cetak" location="JS!A1" ref="Y2788"/>
    <hyperlink display="Cetak" location="JS!A1" ref="Y2789"/>
    <hyperlink display="Cetak" location="JS!A1" ref="Y2790"/>
    <hyperlink display="Cetak" location="JS!A1" ref="Y2791"/>
    <hyperlink display="Cetak" location="JS!A1" ref="Y2792"/>
    <hyperlink display="Cetak" location="JS!A1" ref="Y2793"/>
    <hyperlink display="Cetak" location="JS!A1" ref="Y2794"/>
    <hyperlink display="Cetak" location="JS!A1" ref="Y2795"/>
    <hyperlink display="Cetak" location="JS!A1" ref="Y2796"/>
    <hyperlink display="Cetak" location="JS!A1" ref="Y2797"/>
    <hyperlink display="Cetak" location="JS!A1" ref="Y2798"/>
    <hyperlink display="Cetak" location="JS!A1" ref="Y2799"/>
    <hyperlink display="Cetak" location="JS!A1" ref="Y2800"/>
    <hyperlink display="Cetak" location="JS!A1" ref="Y2801"/>
    <hyperlink display="Cetak" location="JS!A1" ref="Y2802"/>
    <hyperlink display="Cetak" location="JS!A1" ref="Y2803"/>
    <hyperlink display="Cetak" location="JS!A1" ref="Y2804"/>
    <hyperlink display="Cetak" location="JS!A1" ref="Y2805"/>
    <hyperlink display="Cetak" location="JS!A1" ref="Y2806"/>
    <hyperlink display="Cetak" location="JS!A1" ref="Y2807"/>
    <hyperlink display="Cetak" location="JS!A1" ref="Y2808"/>
    <hyperlink display="Cetak" location="JS!A1" ref="Y2809"/>
    <hyperlink display="Cetak" location="JS!A1" ref="Y2810"/>
    <hyperlink display="Cetak" location="JS!A1" ref="Y2811"/>
    <hyperlink display="Cetak" location="JS!A1" ref="Y2812"/>
    <hyperlink display="Cetak" location="JS!A1" ref="Y2813"/>
    <hyperlink display="Cetak" location="JS!A1" ref="Y2814"/>
    <hyperlink display="Cetak" location="JS!A1" ref="Y2815"/>
    <hyperlink display="Cetak" location="JS!A1" ref="Y2816"/>
    <hyperlink display="Cetak" location="JS!A1" ref="Y2817"/>
    <hyperlink display="Cetak" location="JS!A1" ref="Y2818"/>
    <hyperlink display="Cetak" location="JS!A1" ref="Y2819"/>
    <hyperlink display="Cetak" location="JS!A1" ref="Y2820"/>
    <hyperlink display="Cetak" location="JS!A1" ref="Y2821"/>
    <hyperlink display="Cetak" location="JS!A1" ref="Y2822"/>
    <hyperlink display="Cetak" location="JS!A1" ref="Y2823"/>
    <hyperlink display="Cetak" location="JS!A1" ref="Y2824"/>
    <hyperlink display="Cetak" location="JS!A1" ref="Y2825"/>
    <hyperlink display="Cetak" location="JS!A1" ref="Y2826"/>
    <hyperlink display="Cetak" location="JS!A1" ref="Y2827"/>
    <hyperlink display="Cetak" location="JS!A1" ref="Y2828"/>
    <hyperlink display="Cetak" location="JS!A1" ref="Y2829"/>
    <hyperlink display="Cetak" location="JS!A1" ref="Y2830"/>
    <hyperlink display="Cetak" location="JS!A1" ref="Y2831"/>
    <hyperlink display="Cetak" location="JS!A1" ref="Y2832"/>
    <hyperlink display="Cetak" location="JS!A1" ref="Y2833"/>
    <hyperlink display="Cetak" location="JS!A1" ref="Y2834"/>
    <hyperlink display="Cetak" location="JS!A1" ref="Y2835"/>
    <hyperlink display="Cetak" location="JS!A1" ref="Y2836"/>
    <hyperlink display="Cetak" location="JS!A1" ref="Y2837"/>
    <hyperlink display="Cetak" location="JS!A1" ref="Y2838"/>
    <hyperlink display="Cetak" location="JS!A1" ref="Y2839"/>
    <hyperlink display="Cetak" location="JS!A1" ref="Y2840"/>
    <hyperlink display="Cetak" location="JS!A1" ref="Y2841"/>
    <hyperlink display="Cetak" location="JS!A1" ref="Y2842"/>
    <hyperlink display="Cetak" location="JS!A1" ref="Y2843"/>
    <hyperlink display="Cetak" location="JS!A1" ref="Y2844"/>
    <hyperlink display="Cetak" location="JS!A1" ref="Y2845"/>
    <hyperlink display="Cetak" location="JS!A1" ref="Y2846"/>
    <hyperlink display="Cetak" location="JS!A1" ref="Y2847"/>
    <hyperlink display="Cetak" location="JS!A1" ref="Y2848"/>
    <hyperlink display="Cetak" location="JS!A1" ref="Y2849"/>
    <hyperlink display="Cetak" location="JS!A1" ref="Y2850"/>
    <hyperlink display="Cetak" location="JS!A1" ref="Y2851"/>
    <hyperlink display="Cetak" location="JS!A1" ref="Y2852"/>
    <hyperlink display="Cetak" location="JS!A1" ref="Y2853"/>
    <hyperlink display="Cetak" location="JS!A1" ref="Y2854"/>
    <hyperlink display="Cetak" location="JS!A1" ref="Y2855"/>
    <hyperlink display="Cetak" location="JS!A1" ref="Y2856"/>
    <hyperlink display="Cetak" location="JS!A1" ref="Y2857"/>
    <hyperlink display="Cetak" location="JS!A1" ref="Y2858"/>
    <hyperlink display="Cetak" location="JS!A1" ref="Y2859"/>
    <hyperlink display="Cetak" location="JS!A1" ref="Y2860"/>
    <hyperlink display="Cetak" location="JS!A1" ref="Y2861"/>
    <hyperlink display="Cetak" location="JS!A1" ref="Y2862"/>
    <hyperlink display="Cetak" location="JS!A1" ref="Y2863"/>
    <hyperlink display="Cetak" location="JS!A1" ref="Y2864"/>
    <hyperlink display="Cetak" location="JS!A1" ref="Y2865"/>
    <hyperlink display="Cetak" location="JS!A1" ref="Y2866"/>
    <hyperlink display="Cetak" location="JS!A1" ref="Y2867"/>
    <hyperlink display="Cetak" location="JS!A1" ref="Y2868"/>
    <hyperlink display="Cetak" location="JS!A1" ref="Y2869"/>
    <hyperlink display="Cetak" location="JS!A1" ref="Y2870"/>
    <hyperlink display="Cetak" location="JS!A1" ref="Y2871"/>
    <hyperlink display="Cetak" location="JS!A1" ref="Y2872"/>
    <hyperlink display="Cetak" location="JS!A1" ref="Y2873"/>
    <hyperlink display="Cetak" location="JS!A1" ref="Y2874"/>
    <hyperlink display="Cetak" location="JS!A1" ref="Y2875"/>
    <hyperlink display="Cetak" location="JS!A1" ref="Y2876"/>
    <hyperlink display="Cetak" location="JS!A1" ref="Y2877"/>
    <hyperlink display="Cetak" location="JS!A1" ref="Y2878"/>
    <hyperlink display="Cetak" location="JS!A1" ref="Y2879"/>
    <hyperlink display="Cetak" location="JS!A1" ref="Y2880"/>
    <hyperlink display="Cetak" location="JS!A1" ref="Y2881"/>
    <hyperlink display="Cetak" location="JS!A1" ref="Y2882"/>
    <hyperlink display="Cetak" location="JS!A1" ref="Y2883"/>
    <hyperlink display="Cetak" location="JS!A1" ref="Y2884"/>
    <hyperlink display="Cetak" location="JS!A1" ref="Y2885"/>
    <hyperlink display="Cetak" location="JS!A1" ref="Y2886"/>
    <hyperlink display="Cetak" location="JS!A1" ref="Y2887"/>
    <hyperlink display="Cetak" location="JS!A1" ref="Y2888"/>
    <hyperlink display="Cetak" location="JS!A1" ref="Y2889"/>
    <hyperlink display="Cetak" location="JS!A1" ref="Y2890"/>
    <hyperlink display="Cetak" location="JS!A1" ref="Y2891"/>
    <hyperlink display="Cetak" location="JS!A1" ref="Y2892"/>
    <hyperlink display="Cetak" location="JS!A1" ref="Y2893"/>
    <hyperlink display="Cetak" location="JS!A1" ref="Y2894"/>
    <hyperlink display="Cetak" location="JS!A1" ref="Y2895"/>
    <hyperlink display="Cetak" location="JS!A1" ref="Y2896"/>
    <hyperlink display="Cetak" location="JS!A1" ref="Y2897"/>
    <hyperlink display="Cetak" location="JS!A1" ref="Y2898"/>
    <hyperlink display="Cetak" location="JS!A1" ref="Y2899"/>
    <hyperlink display="Cetak" location="JS!A1" ref="Y2900"/>
    <hyperlink display="Cetak" location="JS!A1" ref="Y2901"/>
    <hyperlink display="Cetak" location="JS!A1" ref="Y2902"/>
    <hyperlink display="Cetak" location="JS!A1" ref="Y2903"/>
    <hyperlink display="Cetak" location="JS!A1" ref="Y2904"/>
    <hyperlink display="Cetak" location="JS!A1" ref="Y2905"/>
    <hyperlink display="Cetak" location="JS!A1" ref="Y2906"/>
    <hyperlink display="Cetak" location="JS!A1" ref="Y2907"/>
    <hyperlink display="Cetak" location="JS!A1" ref="Y2908"/>
    <hyperlink display="Cetak" location="JS!A1" ref="Y2909"/>
    <hyperlink display="Cetak" location="JS!A1" ref="Y2910"/>
    <hyperlink display="Cetak" location="JS!A1" ref="Y2911"/>
    <hyperlink display="Cetak" location="JS!A1" ref="Y2912"/>
    <hyperlink display="Cetak" location="JS!A1" ref="Y2913"/>
    <hyperlink display="Cetak" location="JS!A1" ref="Y2914"/>
    <hyperlink display="Cetak" location="JS!A1" ref="Y2915"/>
    <hyperlink display="Cetak" location="JS!A1" ref="Y2916"/>
    <hyperlink display="Cetak" location="JS!A1" ref="Y2917"/>
    <hyperlink display="Cetak" location="JS!A1" ref="Y2918"/>
    <hyperlink display="Cetak" location="JS!A1" ref="Y2919"/>
    <hyperlink display="Cetak" location="JS!A1" ref="Y2920"/>
    <hyperlink display="Cetak" location="JS!A1" ref="Y2921"/>
    <hyperlink display="Cetak" location="JS!A1" ref="Y2922"/>
    <hyperlink display="Cetak" location="JS!A1" ref="Y2923"/>
    <hyperlink display="Cetak" location="JS!A1" ref="Y2924"/>
    <hyperlink display="Cetak" location="JS!A1" ref="Y2925"/>
    <hyperlink display="Cetak" location="JS!A1" ref="Y2926"/>
    <hyperlink display="Cetak" location="JS!A1" ref="Y2927"/>
    <hyperlink display="Cetak" location="JS!A1" ref="Y2928"/>
    <hyperlink display="Cetak" location="JS!A1" ref="Y2929"/>
    <hyperlink display="Cetak" location="JS!A1" ref="Y2930"/>
    <hyperlink display="Cetak" location="JS!A1" ref="Y2931"/>
    <hyperlink display="Cetak" location="JS!A1" ref="Y2932"/>
    <hyperlink display="Cetak" location="JS!A1" ref="Y2933"/>
    <hyperlink display="Cetak" location="JS!A1" ref="Y2934"/>
    <hyperlink display="Cetak" location="JS!A1" ref="Y2935"/>
    <hyperlink display="Cetak" location="JS!A1" ref="Y2936"/>
    <hyperlink display="Cetak" location="JS!A1" ref="Y2937"/>
    <hyperlink display="Cetak" location="JS!A1" ref="Y2938"/>
    <hyperlink display="Cetak" location="JS!A1" ref="Y2939"/>
    <hyperlink display="Cetak" location="JS!A1" ref="Y2940"/>
    <hyperlink display="Cetak" location="JS!A1" ref="Y2941"/>
    <hyperlink display="Cetak" location="JS!A1" ref="Y2942"/>
    <hyperlink display="Cetak" location="JS!A1" ref="Y2943"/>
    <hyperlink display="Cetak" location="JS!A1" ref="Y2944"/>
    <hyperlink display="Cetak" location="JS!A1" ref="Y2945"/>
    <hyperlink display="Cetak" location="JS!A1" ref="Y2946"/>
    <hyperlink display="Cetak" location="JS!A1" ref="Y2947"/>
    <hyperlink display="Cetak" location="JS!A1" ref="Y2948"/>
    <hyperlink display="Cetak" location="JS!A1" ref="Y2949"/>
    <hyperlink display="Cetak" location="JS!A1" ref="Y2950"/>
    <hyperlink display="Cetak" location="JS!A1" ref="Y2951"/>
    <hyperlink display="Cetak" location="JS!A1" ref="Y2952"/>
    <hyperlink display="Cetak" location="JS!A1" ref="Y2953"/>
    <hyperlink display="Cetak" location="JS!A1" ref="Y2954"/>
    <hyperlink display="Cetak" location="JS!A1" ref="Y2955"/>
    <hyperlink display="Cetak" location="JS!A1" ref="Y2956"/>
    <hyperlink display="Cetak" location="JS!A1" ref="Y2957"/>
    <hyperlink display="Cetak" location="JS!A1" ref="Y2958"/>
    <hyperlink display="Cetak" location="JS!A1" ref="Y2959"/>
    <hyperlink display="Cetak" location="JS!A1" ref="Y2960"/>
    <hyperlink display="Cetak" location="JS!A1" ref="Y2961"/>
    <hyperlink display="Cetak" location="JS!A1" ref="Y2962"/>
    <hyperlink display="Cetak" location="JS!A1" ref="Y2963"/>
    <hyperlink display="Cetak" location="JS!A1" ref="Y2964"/>
    <hyperlink display="Cetak" location="JS!A1" ref="Y2965"/>
    <hyperlink display="Cetak" location="JS!A1" ref="Y2966"/>
    <hyperlink display="Cetak" location="JS!A1" ref="Y2967"/>
    <hyperlink display="Cetak" location="JS!A1" ref="Y2968"/>
    <hyperlink display="Cetak" location="JS!A1" ref="Y2969"/>
    <hyperlink display="Cetak" location="JS!A1" ref="Y2970"/>
    <hyperlink display="Cetak" location="JS!A1" ref="Y2971"/>
    <hyperlink display="Cetak" location="JS!A1" ref="Y2972"/>
    <hyperlink display="Cetak" location="JS!A1" ref="Y2973"/>
    <hyperlink display="Cetak" location="JS!A1" ref="Y2974"/>
    <hyperlink display="Cetak" location="JS!A1" ref="Y2975"/>
    <hyperlink display="Cetak" location="JS!A1" ref="Y2976"/>
    <hyperlink display="Cetak" location="JS!A1" ref="Y2977"/>
    <hyperlink display="Cetak" location="JS!A1" ref="Y2978"/>
    <hyperlink display="Cetak" location="JS!A1" ref="Y2979"/>
    <hyperlink display="Cetak" location="JS!A1" ref="Y2980"/>
    <hyperlink display="Cetak" location="JS!A1" ref="Y2981"/>
    <hyperlink display="Cetak" location="JS!A1" ref="Y2982"/>
    <hyperlink display="Cetak" location="JS!A1" ref="Y2983"/>
    <hyperlink display="Cetak" location="JS!A1" ref="Y2984"/>
    <hyperlink display="Cetak" location="JS!A1" ref="Y2985"/>
    <hyperlink display="Cetak" location="JS!A1" ref="Y2986"/>
    <hyperlink display="Cetak" location="JS!A1" ref="Y2987"/>
    <hyperlink display="Cetak" location="JS!A1" ref="Y2988"/>
    <hyperlink display="Cetak" location="JS!A1" ref="Y2989"/>
    <hyperlink display="Cetak" location="JS!A1" ref="Y2990"/>
    <hyperlink display="Cetak" location="JS!A1" ref="Y2991"/>
    <hyperlink display="Cetak" location="JS!A1" ref="Y2992"/>
    <hyperlink display="Cetak" location="JS!A1" ref="Y2993"/>
    <hyperlink display="Cetak" location="JS!A1" ref="Y2994"/>
    <hyperlink display="Cetak" location="JS!A1" ref="Y2995"/>
    <hyperlink display="Cetak" location="JS!A1" ref="Y2996"/>
    <hyperlink display="Cetak" location="JS!A1" ref="Y2997"/>
    <hyperlink display="Cetak" location="JS!A1" ref="Y2998"/>
    <hyperlink display="Cetak" location="JS!A1" ref="Y2999"/>
    <hyperlink display="Cetak" location="JS!A1" ref="Y3000"/>
    <hyperlink display="Cetak" location="JS!A1" ref="Y3001"/>
    <hyperlink display="Cetak" location="JS!A1" ref="Y3002"/>
    <hyperlink display="Cetak" location="JS!A1" ref="Y3003"/>
    <hyperlink display="Cetak" location="JS!A1" ref="Y3004"/>
    <hyperlink display="Cetak" location="JS!A1" ref="Y3005"/>
    <hyperlink display="Cetak" location="JS!A1" ref="Y3006"/>
    <hyperlink display="Cetak" location="JS!A1" ref="Y3007"/>
    <hyperlink display="Cetak" location="JS!A1" ref="Y3008"/>
    <hyperlink display="Cetak" location="JS!A1" ref="Y3009"/>
    <hyperlink display="Cetak" location="JS!A1" ref="Y3010"/>
    <hyperlink display="Cetak" location="JS!A1" ref="Y3011"/>
    <hyperlink display="Cetak" location="JS!A1" ref="Y3012"/>
    <hyperlink display="Cetak" location="JS!A1" ref="Y3013"/>
    <hyperlink display="Cetak" location="JS!A1" ref="Y3014"/>
    <hyperlink display="Cetak" location="JS!A1" ref="Y3015"/>
    <hyperlink display="Cetak" location="JS!A1" ref="Y3016"/>
    <hyperlink display="Cetak" location="JS!A1" ref="Y3017"/>
    <hyperlink display="Cetak" location="JS!A1" ref="Y3018"/>
    <hyperlink display="Cetak" location="JS!A1" ref="Y3019"/>
    <hyperlink display="Cetak" location="JS!A1" ref="Y3020"/>
    <hyperlink display="Cetak" location="JS!A1" ref="Y3021"/>
    <hyperlink display="Cetak" location="JS!A1" ref="Y3022"/>
    <hyperlink display="Cetak" location="JS!A1" ref="Y3023"/>
    <hyperlink display="Cetak" location="JS!A1" ref="Y3024"/>
    <hyperlink display="Cetak" location="JS!A1" ref="Y3025"/>
    <hyperlink display="Cetak" location="JS!A1" ref="Y3026"/>
    <hyperlink display="Cetak" location="JS!A1" ref="Y3027"/>
    <hyperlink display="Cetak" location="JS!A1" ref="Y3028"/>
    <hyperlink display="Cetak" location="JS!A1" ref="Y3029"/>
    <hyperlink display="Cetak" location="JS!A1" ref="Y3030"/>
    <hyperlink display="Cetak" location="JS!A1" ref="Y3031"/>
    <hyperlink display="Cetak" location="JS!A1" ref="Y3032"/>
    <hyperlink display="Cetak" location="JS!A1" ref="Y3033"/>
    <hyperlink display="Cetak" location="JS!A1" ref="Y3034"/>
    <hyperlink display="Cetak" location="JS!A1" ref="Y3035"/>
    <hyperlink display="Cetak" location="JS!A1" ref="Y3036"/>
    <hyperlink display="Cetak" location="JS!A1" ref="Y3037"/>
    <hyperlink display="Cetak" location="JS!A1" ref="Y3038"/>
    <hyperlink display="Cetak" location="JS!A1" ref="Y3039"/>
    <hyperlink display="Cetak" location="JS!A1" ref="Y3040"/>
    <hyperlink display="Cetak" location="JS!A1" ref="Y3041"/>
    <hyperlink display="Cetak" location="JS!A1" ref="Y3042"/>
    <hyperlink display="Cetak" location="JS!A1" ref="Y3043"/>
    <hyperlink display="Cetak" location="JS!A1" ref="Y3044"/>
    <hyperlink display="Cetak" location="JS!A1" ref="Y3045"/>
    <hyperlink display="Cetak" location="JS!A1" ref="Y3046"/>
    <hyperlink display="Cetak" location="JS!A1" ref="Y3047"/>
    <hyperlink display="Cetak" location="JS!A1" ref="Y3048"/>
    <hyperlink display="Cetak" location="JS!A1" ref="Y3049"/>
    <hyperlink display="Cetak" location="JS!A1" ref="Y3050"/>
    <hyperlink display="Cetak" location="JS!A1" ref="Y3051"/>
    <hyperlink display="Cetak" location="JS!A1" ref="Y3052"/>
    <hyperlink display="Cetak" location="JS!A1" ref="Y3053"/>
    <hyperlink display="Cetak" location="JS!A1" ref="Y3054"/>
    <hyperlink display="Cetak" location="JS!A1" ref="Y3055"/>
    <hyperlink display="Cetak" location="JS!A1" ref="Y3056"/>
    <hyperlink display="Cetak" location="JS!A1" ref="Y3057"/>
    <hyperlink display="Cetak" location="JS!A1" ref="Y3058"/>
    <hyperlink display="Cetak" location="JS!A1" ref="Y3059"/>
    <hyperlink display="Cetak" location="JS!A1" ref="Y3060"/>
    <hyperlink display="Cetak" location="JS!A1" ref="Y3061"/>
    <hyperlink display="Cetak" location="JS!A1" ref="Y3062"/>
    <hyperlink display="Cetak" location="JS!A1" ref="Y3063"/>
    <hyperlink display="Cetak" location="JS!A1" ref="Y3064"/>
    <hyperlink display="Cetak" location="JS!A1" ref="Y3065"/>
    <hyperlink display="Cetak" location="JS!A1" ref="Y3066"/>
    <hyperlink display="Cetak" location="JS!A1" ref="Y3067"/>
    <hyperlink display="Cetak" location="JS!A1" ref="Y3068"/>
    <hyperlink display="Cetak" location="JS!A1" ref="Y3069"/>
    <hyperlink display="Cetak" location="JS!A1" ref="Y3070"/>
    <hyperlink display="Cetak" location="JS!A1" ref="Y3071"/>
    <hyperlink display="Cetak" location="JS!A1" ref="Y3072"/>
    <hyperlink display="Cetak" location="JS!A1" ref="Y3073"/>
    <hyperlink display="Cetak" location="JS!A1" ref="Y3074"/>
    <hyperlink display="Cetak" location="JS!A1" ref="Y3075"/>
    <hyperlink display="Cetak" location="JS!A1" ref="Y3076"/>
    <hyperlink display="Cetak" location="JS!A1" ref="Y3077"/>
    <hyperlink display="Cetak" location="JS!A1" ref="Y3078"/>
    <hyperlink display="Cetak" location="JS!A1" ref="Y3079"/>
    <hyperlink display="Cetak" location="JS!A1" ref="Y3080"/>
    <hyperlink display="Cetak" location="JS!A1" ref="Y3081"/>
    <hyperlink display="Cetak" location="JS!A1" ref="Y3082"/>
    <hyperlink display="Cetak" location="JS!A1" ref="Y3083"/>
    <hyperlink display="Cetak" location="JS!A1" ref="Y3084"/>
    <hyperlink display="Cetak" location="JS!A1" ref="Y3085"/>
    <hyperlink display="Cetak" location="JS!A1" ref="Y3086"/>
    <hyperlink display="Cetak" location="JS!A1" ref="Y3087"/>
    <hyperlink display="Cetak" location="JS!A1" ref="Y3088"/>
    <hyperlink display="Cetak" location="JS!A1" ref="Y3089"/>
    <hyperlink display="Cetak" location="JS!A1" ref="Y3090"/>
    <hyperlink display="Cetak" location="JS!A1" ref="Y3091"/>
    <hyperlink display="Cetak" location="JS!A1" ref="Y3092"/>
    <hyperlink display="Cetak" location="JS!A1" ref="Y3093"/>
    <hyperlink display="Cetak" location="JS!A1" ref="Y3094"/>
    <hyperlink display="Cetak" location="JS!A1" ref="Y3095"/>
    <hyperlink display="Cetak" location="JS!A1" ref="Y3096"/>
    <hyperlink display="Cetak" location="JS!A1" ref="Y3097"/>
    <hyperlink display="Cetak" location="JS!A1" ref="Y3098"/>
    <hyperlink display="Cetak" location="JS!A1" ref="Y3099"/>
    <hyperlink display="Cetak" location="JS!A1" ref="Y3100"/>
    <hyperlink display="Cetak" location="JS!A1" ref="Y3101"/>
    <hyperlink display="Cetak" location="JS!A1" ref="Y3102"/>
    <hyperlink display="Cetak" location="JS!A1" ref="Y3103"/>
    <hyperlink display="Cetak" location="JS!A1" ref="Y3104"/>
    <hyperlink display="Cetak" location="JS!A1" ref="Y3105"/>
    <hyperlink display="Cetak" location="JS!A1" ref="Y3106"/>
    <hyperlink display="Cetak" location="JS!A1" ref="Y3107"/>
    <hyperlink display="Cetak" location="JS!A1" ref="Y3108"/>
    <hyperlink display="Cetak" location="JS!A1" ref="Y3109"/>
    <hyperlink display="Cetak" location="JS!A1" ref="Y3110"/>
    <hyperlink display="Cetak" location="JS!A1" ref="Y3111"/>
    <hyperlink display="Cetak" location="JS!A1" ref="Y3112"/>
    <hyperlink display="Cetak" location="JS!A1" ref="Y3113"/>
    <hyperlink display="Cetak" location="JS!A1" ref="Y3114"/>
    <hyperlink display="Cetak" location="JS!A1" ref="Y3115"/>
    <hyperlink display="Cetak" location="JS!A1" ref="Y3116"/>
    <hyperlink display="Cetak" location="JS!A1" ref="Y3117"/>
    <hyperlink display="Cetak" location="JS!A1" ref="Y3118"/>
    <hyperlink display="Cetak" location="JS!A1" ref="Y3119"/>
    <hyperlink display="Cetak" location="JS!A1" ref="Y3120"/>
    <hyperlink display="Cetak" location="JS!A1" ref="Y3121"/>
    <hyperlink display="Cetak" location="JS!A1" ref="Y3122"/>
    <hyperlink display="Cetak" location="JS!A1" ref="Y3123"/>
    <hyperlink display="Cetak" location="JS!A1" ref="Y3124"/>
    <hyperlink display="Cetak" location="JS!A1" ref="Y3125"/>
    <hyperlink display="Cetak" location="JS!A1" ref="Y3126"/>
    <hyperlink display="Cetak" location="JS!A1" ref="Y3127"/>
    <hyperlink display="Cetak" location="JS!A1" ref="Y3128"/>
    <hyperlink display="Cetak" location="JS!A1" ref="Y3129"/>
    <hyperlink display="Cetak" location="JS!A1" ref="Y3130"/>
    <hyperlink display="Cetak" location="JS!A1" ref="Y3131"/>
    <hyperlink display="Cetak" location="JS!A1" ref="Y3132"/>
    <hyperlink display="Cetak" location="JS!A1" ref="Y3133"/>
    <hyperlink display="Cetak" location="JS!A1" ref="Y3134"/>
    <hyperlink display="Cetak" location="JS!A1" ref="Y3135"/>
    <hyperlink display="Cetak" location="JS!A1" ref="Y3136"/>
    <hyperlink display="Cetak" location="JS!A1" ref="Y3137"/>
    <hyperlink display="Cetak" location="JS!A1" ref="Y3138"/>
    <hyperlink display="Cetak" location="JS!A1" ref="Y3139"/>
    <hyperlink display="Cetak" location="JS!A1" ref="Y3140"/>
    <hyperlink display="Cetak" location="JS!A1" ref="Y3141"/>
    <hyperlink display="Cetak" location="JS!A1" ref="Y3142"/>
    <hyperlink display="Cetak" location="JS!A1" ref="Y3143"/>
    <hyperlink display="Cetak" location="JS!A1" ref="Y3144"/>
    <hyperlink display="Cetak" location="JS!A1" ref="Y3145"/>
    <hyperlink display="Cetak" location="JS!A1" ref="Y3146"/>
    <hyperlink display="Cetak" location="JS!A1" ref="Y3147"/>
    <hyperlink display="Cetak" location="JS!A1" ref="Y3148"/>
    <hyperlink display="Cetak" location="JS!A1" ref="Y3149"/>
    <hyperlink display="Cetak" location="JS!A1" ref="Y3150"/>
    <hyperlink display="Cetak" location="JS!A1" ref="Y3151"/>
    <hyperlink display="Cetak" location="JS!A1" ref="Y3152"/>
    <hyperlink display="Cetak" location="JS!A1" ref="Y3153"/>
    <hyperlink display="Cetak" location="JS!A1" ref="Y3154"/>
    <hyperlink display="Cetak" location="JS!A1" ref="Y3155"/>
    <hyperlink display="Cetak" location="JS!A1" ref="Y3156"/>
    <hyperlink display="Cetak" location="JS!A1" ref="Y3157"/>
    <hyperlink display="Cetak" location="JS!A1" ref="Y3158"/>
    <hyperlink display="Cetak" location="JS!A1" ref="Y3159"/>
    <hyperlink display="Cetak" location="JS!A1" ref="Y3160"/>
    <hyperlink display="Cetak" location="JS!A1" ref="Y3161"/>
    <hyperlink display="Cetak" location="JS!A1" ref="Y3162"/>
    <hyperlink display="Cetak" location="JS!A1" ref="Y3163"/>
    <hyperlink display="Cetak" location="JS!A1" ref="Y3164"/>
    <hyperlink display="Cetak" location="JS!A1" ref="Y3165"/>
    <hyperlink display="Cetak" location="JS!A1" ref="Y3166"/>
    <hyperlink display="Cetak" location="JS!A1" ref="Y3167"/>
    <hyperlink display="Cetak" location="JS!A1" ref="Y3168"/>
    <hyperlink display="Cetak" location="JS!A1" ref="Y3169"/>
    <hyperlink display="Cetak" location="JS!A1" ref="Y3170"/>
    <hyperlink display="Cetak" location="JS!A1" ref="Y3171"/>
    <hyperlink display="Cetak" location="JS!A1" ref="Y3172"/>
    <hyperlink display="Cetak" location="JS!A1" ref="Y3173"/>
    <hyperlink display="Cetak" location="JS!A1" ref="Y3174"/>
    <hyperlink display="Cetak" location="JS!A1" ref="Y3175"/>
    <hyperlink display="Cetak" location="JS!A1" ref="Y3176"/>
    <hyperlink display="Cetak" location="JS!A1" ref="Y3177"/>
    <hyperlink display="Cetak" location="JS!A1" ref="Y3178"/>
    <hyperlink display="Cetak" location="JS!A1" ref="Y3179"/>
    <hyperlink display="Cetak" location="JS!A1" ref="Y3180"/>
    <hyperlink display="Cetak" location="JS!A1" ref="Y3181"/>
    <hyperlink display="Cetak" location="JS!A1" ref="Y3182"/>
    <hyperlink display="Cetak" location="JS!A1" ref="Y3183"/>
    <hyperlink display="Cetak" location="JS!A1" ref="Y3184"/>
    <hyperlink display="Cetak" location="JS!A1" ref="Y3185"/>
    <hyperlink display="Cetak" location="JS!A1" ref="Y3186"/>
    <hyperlink display="Cetak" location="JS!A1" ref="Y3187"/>
    <hyperlink display="Cetak" location="JS!A1" ref="Y3188"/>
    <hyperlink display="Cetak" location="JS!A1" ref="Y3189"/>
    <hyperlink display="Cetak" location="JS!A1" ref="Y3190"/>
    <hyperlink display="Cetak" location="JS!A1" ref="Y3191"/>
    <hyperlink display="Cetak" location="JS!A1" ref="Y3192"/>
    <hyperlink display="Cetak" location="JS!A1" ref="Y3193"/>
    <hyperlink display="Cetak" location="JS!A1" ref="Y3194"/>
    <hyperlink display="Cetak" location="JS!A1" ref="Y3195"/>
    <hyperlink display="Cetak" location="JS!A1" ref="Y3196"/>
    <hyperlink display="Cetak" location="JS!A1" ref="Y3197"/>
    <hyperlink display="Cetak" location="JS!A1" ref="Y3198"/>
    <hyperlink display="Cetak" location="JS!A1" ref="Y3199"/>
    <hyperlink display="Cetak" location="JS!A1" ref="Y3200"/>
    <hyperlink display="Cetak" location="JS!A1" ref="Y3201"/>
    <hyperlink display="Cetak" location="JS!A1" ref="Y3202"/>
    <hyperlink display="Cetak" location="JS!A1" ref="Y3203"/>
    <hyperlink display="Cetak" location="JS!A1" ref="Y3204"/>
    <hyperlink display="Cetak" location="JS!A1" ref="Y3205"/>
    <hyperlink display="Cetak" location="JS!A1" ref="Y3206"/>
    <hyperlink display="Cetak" location="JS!A1" ref="Y3207"/>
    <hyperlink display="Cetak" location="JS!A1" ref="Y3208"/>
    <hyperlink display="Cetak" location="JS!A1" ref="Y3209"/>
    <hyperlink display="Cetak" location="JS!A1" ref="Y3210"/>
    <hyperlink display="Cetak" location="JS!A1" ref="Y3211"/>
    <hyperlink display="Cetak" location="JS!A1" ref="Y3212"/>
    <hyperlink display="Cetak" location="JS!A1" ref="Y3213"/>
    <hyperlink display="Cetak" location="JS!A1" ref="Y3214"/>
    <hyperlink display="Cetak" location="JS!A1" ref="Y3215"/>
    <hyperlink display="Cetak" location="JS!A1" ref="Y3216"/>
    <hyperlink display="Cetak" location="JS!A1" ref="Y3217"/>
    <hyperlink display="Cetak" location="JS!A1" ref="Y3218"/>
    <hyperlink display="Cetak" location="JS!A1" ref="Y3219"/>
    <hyperlink display="Cetak" location="JS!A1" ref="Y3220"/>
    <hyperlink display="Cetak" location="JS!A1" ref="Y3221"/>
    <hyperlink display="Cetak" location="JS!A1" ref="Y3222"/>
    <hyperlink display="Cetak" location="JS!A1" ref="Y3223"/>
    <hyperlink display="Cetak" location="JS!A1" ref="Y3224"/>
    <hyperlink display="Cetak" location="JS!A1" ref="Y3225"/>
    <hyperlink display="Cetak" location="JS!A1" ref="Y3226"/>
    <hyperlink display="Cetak" location="JS!A1" ref="Y3227"/>
    <hyperlink display="Cetak" location="JS!A1" ref="Y3228"/>
    <hyperlink display="Cetak" location="JS!A1" ref="Y3229"/>
    <hyperlink display="Cetak" location="JS!A1" ref="Y3230"/>
    <hyperlink display="Cetak" location="JS!A1" ref="Y3231"/>
    <hyperlink display="Cetak" location="JS!A1" ref="Y3232"/>
    <hyperlink display="Cetak" location="JS!A1" ref="Y3233"/>
    <hyperlink display="Cetak" location="JS!A1" ref="Y3234"/>
    <hyperlink display="Cetak" location="JS!A1" ref="Y3235"/>
    <hyperlink display="Cetak" location="JS!A1" ref="Y3236"/>
    <hyperlink display="Cetak" location="JS!A1" ref="Y3237"/>
    <hyperlink display="Cetak" location="JS!A1" ref="Y3238"/>
    <hyperlink display="Cetak" location="JS!A1" ref="Y3239"/>
    <hyperlink display="Cetak" location="JS!A1" ref="Y3240"/>
    <hyperlink display="Cetak" location="JS!A1" ref="Y3241"/>
    <hyperlink display="Cetak" location="JS!A1" ref="Y3242"/>
    <hyperlink display="Cetak" location="JS!A1" ref="Y3243"/>
    <hyperlink display="Cetak" location="JS!A1" ref="Y3244"/>
    <hyperlink display="Cetak" location="JS!A1" ref="Y3245"/>
    <hyperlink display="Cetak" location="JS!A1" ref="Y3246"/>
    <hyperlink display="Cetak" location="JS!A1" ref="Y3247"/>
    <hyperlink display="Cetak" location="JS!A1" ref="Y3248"/>
    <hyperlink display="Cetak" location="JS!A1" ref="Y3249"/>
    <hyperlink display="Cetak" location="JS!A1" ref="Y3250"/>
    <hyperlink display="Cetak" location="JS!A1" ref="Y3251"/>
    <hyperlink display="Cetak" location="JS!A1" ref="Y3252"/>
    <hyperlink display="Cetak" location="JS!A1" ref="Y3253"/>
    <hyperlink display="Cetak" location="JS!A1" ref="Y3254"/>
    <hyperlink display="Cetak" location="JS!A1" ref="Y3255"/>
    <hyperlink display="Cetak" location="JS!A1" ref="Y3256"/>
    <hyperlink display="Cetak" location="JS!A1" ref="Y3257"/>
    <hyperlink display="Cetak" location="JS!A1" ref="Y3258"/>
    <hyperlink display="Cetak" location="JS!A1" ref="Y3259"/>
    <hyperlink display="Cetak" location="JS!A1" ref="Y3260"/>
    <hyperlink display="Cetak" location="JS!A1" ref="Y3261"/>
    <hyperlink display="Cetak" location="JS!A1" ref="Y3262"/>
    <hyperlink display="Cetak" location="JS!A1" ref="Y3263"/>
    <hyperlink display="Cetak" location="JS!A1" ref="Y3264"/>
    <hyperlink display="Cetak" location="JS!A1" ref="Y3265"/>
    <hyperlink display="Cetak" location="JS!A1" ref="Y3266"/>
    <hyperlink display="Cetak" location="JS!A1" ref="Y3267"/>
    <hyperlink display="Cetak" location="JS!A1" ref="Y3268"/>
    <hyperlink display="Cetak" location="JS!A1" ref="Y3269"/>
    <hyperlink display="Cetak" location="JS!A1" ref="Y3270"/>
    <hyperlink display="Cetak" location="JS!A1" ref="Y3271"/>
    <hyperlink display="Cetak" location="JS!A1" ref="Y3272"/>
    <hyperlink display="Cetak" location="JS!A1" ref="Y3273"/>
    <hyperlink display="Cetak" location="JS!A1" ref="Y3274"/>
    <hyperlink display="Cetak" location="JS!A1" ref="Y3275"/>
    <hyperlink display="Cetak" location="JS!A1" ref="Y3276"/>
    <hyperlink display="Cetak" location="JS!A1" ref="Y3277"/>
    <hyperlink display="Cetak" location="JS!A1" ref="Y3278"/>
    <hyperlink display="Cetak" location="JS!A1" ref="Y3279"/>
    <hyperlink display="Cetak" location="JS!A1" ref="Y3280"/>
    <hyperlink display="Cetak" location="JS!A1" ref="Y3281"/>
    <hyperlink display="Cetak" location="JS!A1" ref="Y3282"/>
    <hyperlink display="Cetak" location="JS!A1" ref="Y3283"/>
    <hyperlink display="Cetak" location="JS!A1" ref="Y3284"/>
    <hyperlink display="Cetak" location="JS!A1" ref="Y3285"/>
    <hyperlink display="Cetak" location="JS!A1" ref="Y3286"/>
    <hyperlink display="Cetak" location="JS!A1" ref="Y3287"/>
    <hyperlink display="Cetak" location="JS!A1" ref="Y3288"/>
    <hyperlink display="Cetak" location="JS!A1" ref="Y3289"/>
    <hyperlink display="Cetak" location="JS!A1" ref="Y3290"/>
    <hyperlink display="Cetak" location="JS!A1" ref="Y3291"/>
    <hyperlink display="Cetak" location="JS!A1" ref="Y3292"/>
    <hyperlink display="Cetak" location="JS!A1" ref="Y3293"/>
    <hyperlink display="Cetak" location="JS!A1" ref="Y3294"/>
    <hyperlink display="Cetak" location="JS!A1" ref="Y3295"/>
    <hyperlink display="Cetak" location="JS!A1" ref="Y3296"/>
    <hyperlink display="Cetak" location="JS!A1" ref="Y3297"/>
    <hyperlink display="Cetak" location="JS!A1" ref="Y3298"/>
    <hyperlink display="Cetak" location="JS!A1" ref="Y3299"/>
    <hyperlink display="Cetak" location="JS!A1" ref="Y3300"/>
    <hyperlink display="Cetak" location="JS!A1" ref="Y3301"/>
    <hyperlink display="Cetak" location="JS!A1" ref="Y3302"/>
    <hyperlink display="Cetak" location="JS!A1" ref="Y3303"/>
    <hyperlink display="Cetak" location="JS!A1" ref="Y3304"/>
    <hyperlink display="Cetak" location="JS!A1" ref="Y3305"/>
    <hyperlink display="Cetak" location="JS!A1" ref="Y3306"/>
    <hyperlink display="Cetak" location="JS!A1" ref="Y3307"/>
    <hyperlink display="Cetak" location="JS!A1" ref="Y3308"/>
    <hyperlink display="Cetak" location="JS!A1" ref="Y3309"/>
    <hyperlink display="Cetak" location="JS!A1" ref="Y3310"/>
    <hyperlink display="Cetak" location="JS!A1" ref="Y3311"/>
    <hyperlink display="Cetak" location="JS!A1" ref="Y3312"/>
    <hyperlink display="Cetak" location="JS!A1" ref="Y3313"/>
    <hyperlink display="Cetak" location="JS!A1" ref="Y3314"/>
    <hyperlink display="Cetak" location="JS!A1" ref="Y3315"/>
    <hyperlink display="Cetak" location="JS!A1" ref="Y3316"/>
    <hyperlink display="Cetak" location="JS!A1" ref="Y3317"/>
    <hyperlink display="Cetak" location="JS!A1" ref="Y3318"/>
    <hyperlink display="Cetak" location="JS!A1" ref="Y3319"/>
    <hyperlink display="Cetak" location="JS!A1" ref="Y3320"/>
    <hyperlink display="Cetak" location="JS!A1" ref="Y3321"/>
    <hyperlink display="Cetak" location="JS!A1" ref="Y3322"/>
    <hyperlink display="Cetak" location="JS!A1" ref="Y3323"/>
    <hyperlink display="Cetak" location="JS!A1" ref="Y3324"/>
    <hyperlink display="Cetak" location="JS!A1" ref="Y3325"/>
    <hyperlink display="Cetak" location="JS!A1" ref="Y3326"/>
    <hyperlink display="Cetak" location="JS!A1" ref="Y3327"/>
    <hyperlink display="Cetak" location="JS!A1" ref="Y3328"/>
    <hyperlink display="Cetak" location="JS!A1" ref="Y3329"/>
    <hyperlink display="Cetak" location="JS!A1" ref="Y3330"/>
    <hyperlink display="Cetak" location="JS!A1" ref="Y3331"/>
    <hyperlink display="Cetak" location="JS!A1" ref="Y3332"/>
    <hyperlink display="Cetak" location="JS!A1" ref="Y3333"/>
    <hyperlink display="Cetak" location="JS!A1" ref="Y3334"/>
    <hyperlink display="Cetak" location="JS!A1" ref="Y3335"/>
    <hyperlink display="Cetak" location="JS!A1" ref="Y3336"/>
    <hyperlink display="Cetak" location="JS!A1" ref="Y3337"/>
    <hyperlink display="Cetak" location="JS!A1" ref="Y3338"/>
    <hyperlink display="Cetak" location="JS!A1" ref="Y3339"/>
    <hyperlink display="Cetak" location="JS!A1" ref="Y3340"/>
    <hyperlink display="Cetak" location="JS!A1" ref="Y3341"/>
    <hyperlink display="Cetak" location="JS!A1" ref="Y3342"/>
    <hyperlink display="Cetak" location="JS!A1" ref="Y3343"/>
    <hyperlink display="Cetak" location="JS!A1" ref="Y3344"/>
    <hyperlink display="Cetak" location="JS!A1" ref="Y3345"/>
    <hyperlink display="Cetak" location="JS!A1" ref="Y3346"/>
    <hyperlink display="Cetak" location="JS!A1" ref="Y3347"/>
    <hyperlink display="Cetak" location="JS!A1" ref="Y3348"/>
    <hyperlink display="Cetak" location="JS!A1" ref="Y3349"/>
    <hyperlink display="Cetak" location="JS!A1" ref="Y3350"/>
    <hyperlink display="Cetak" location="JS!A1" ref="Y3351"/>
    <hyperlink display="Cetak" location="JS!A1" ref="Y3352"/>
    <hyperlink display="Cetak" location="JS!A1" ref="Y3353"/>
    <hyperlink display="Cetak" location="JS!A1" ref="Y3354"/>
    <hyperlink display="Cetak" location="JS!A1" ref="Y3355"/>
    <hyperlink display="Cetak" location="JS!A1" ref="Y3356"/>
    <hyperlink display="Cetak" location="JS!A1" ref="Y3357"/>
    <hyperlink display="Cetak" location="JS!A1" ref="Y3358"/>
    <hyperlink display="Cetak" location="JS!A1" ref="Y3359"/>
    <hyperlink display="Cetak" location="JS!A1" ref="Y3360"/>
    <hyperlink display="Cetak" location="JS!A1" ref="Y3361"/>
    <hyperlink display="Cetak" location="JS!A1" ref="Y3362"/>
    <hyperlink display="Cetak" location="JS!A1" ref="Y3363"/>
    <hyperlink display="Cetak" location="JS!A1" ref="Y3364"/>
    <hyperlink display="Cetak" location="JS!A1" ref="Y3365"/>
    <hyperlink display="Cetak" location="JS!A1" ref="Y3366"/>
    <hyperlink display="Cetak" location="JS!A1" ref="Y3367"/>
    <hyperlink display="Cetak" location="JS!A1" ref="Y3368"/>
    <hyperlink display="Cetak" location="JS!A1" ref="Y3369"/>
    <hyperlink display="Cetak" location="JS!A1" ref="Y3370"/>
    <hyperlink display="Cetak" location="JS!A1" ref="Y3371"/>
    <hyperlink display="Cetak" location="JS!A1" ref="Y3372"/>
    <hyperlink display="Cetak" location="JS!A1" ref="Y3373"/>
    <hyperlink display="Cetak" location="JS!A1" ref="Y3374"/>
    <hyperlink display="Cetak" location="JS!A1" ref="Y3375"/>
    <hyperlink display="Cetak" location="JS!A1" ref="Y3376"/>
    <hyperlink display="Cetak" location="JS!A1" ref="Y3377"/>
    <hyperlink display="Cetak" location="JS!A1" ref="Y3378"/>
    <hyperlink display="Cetak" location="JS!A1" ref="Y3379"/>
    <hyperlink display="Cetak" location="JS!A1" ref="Y3380"/>
    <hyperlink display="Cetak" location="JS!A1" ref="Y3381"/>
    <hyperlink display="Cetak" location="JS!A1" ref="Y3382"/>
    <hyperlink display="Cetak" location="JS!A1" ref="Y3383"/>
    <hyperlink display="Cetak" location="JS!A1" ref="Y3384"/>
    <hyperlink display="Cetak" location="JS!A1" ref="Y3385"/>
    <hyperlink display="Cetak" location="JS!A1" ref="Y3386"/>
    <hyperlink display="Cetak" location="JS!A1" ref="Y3387"/>
    <hyperlink display="Cetak" location="JS!A1" ref="Y3388"/>
    <hyperlink display="Cetak" location="JS!A1" ref="Y3389"/>
    <hyperlink display="Cetak" location="JS!A1" ref="Y3390"/>
    <hyperlink display="Cetak" location="JS!A1" ref="Y3391"/>
    <hyperlink display="Cetak" location="JS!A1" ref="Y3392"/>
    <hyperlink display="Cetak" location="JS!A1" ref="Y3393"/>
    <hyperlink display="Cetak" location="JS!A1" ref="Y3394"/>
    <hyperlink display="Cetak" location="JS!A1" ref="Y3395"/>
    <hyperlink display="Cetak" location="JS!A1" ref="Y3396"/>
    <hyperlink display="Cetak" location="JS!A1" ref="Y3397"/>
    <hyperlink display="Cetak" location="JS!A1" ref="Y3398"/>
    <hyperlink display="Cetak" location="JS!A1" ref="Y3399"/>
    <hyperlink display="Cetak" location="JS!A1" ref="Y3400"/>
    <hyperlink display="Cetak" location="JS!A1" ref="Y3401"/>
    <hyperlink display="Cetak" location="JS!A1" ref="Y3402"/>
    <hyperlink display="Cetak" location="JS!A1" ref="Y3403"/>
    <hyperlink display="Cetak" location="JS!A1" ref="Y3404"/>
    <hyperlink display="Cetak" location="JS!A1" ref="Y3405"/>
    <hyperlink display="Cetak" location="JS!A1" ref="Y3406"/>
    <hyperlink display="Cetak" location="JS!A1" ref="Y3407"/>
    <hyperlink display="Cetak" location="JS!A1" ref="Y3408"/>
    <hyperlink display="Cetak" location="JS!A1" ref="Y3409"/>
    <hyperlink display="Cetak" location="JS!A1" ref="Y3410"/>
    <hyperlink display="Cetak" location="JS!A1" ref="Y3411"/>
    <hyperlink display="Cetak" location="JS!A1" ref="Y3412"/>
    <hyperlink display="Cetak" location="JS!A1" ref="Y3413"/>
    <hyperlink display="Cetak" location="JS!A1" ref="Y3414"/>
    <hyperlink display="Cetak" location="JS!A1" ref="Y3415"/>
    <hyperlink display="Cetak" location="JS!A1" ref="Y3416"/>
    <hyperlink display="Cetak" location="JS!A1" ref="Y3417"/>
    <hyperlink display="Cetak" location="JS!A1" ref="Y3418"/>
    <hyperlink display="Cetak" location="JS!A1" ref="Y3419"/>
    <hyperlink display="Cetak" location="JS!A1" ref="Y3420"/>
    <hyperlink display="Cetak" location="JS!A1" ref="Y3421"/>
    <hyperlink display="Cetak" location="JS!A1" ref="Y3422"/>
    <hyperlink display="Cetak" location="JS!A1" ref="Y3423"/>
    <hyperlink display="Cetak" location="JS!A1" ref="Y3424"/>
    <hyperlink display="Cetak" location="JS!A1" ref="Y3425"/>
    <hyperlink display="Cetak" location="JS!A1" ref="Y3426"/>
    <hyperlink display="Cetak" location="JS!A1" ref="Y3427"/>
    <hyperlink display="Cetak" location="JS!A1" ref="Y3428"/>
    <hyperlink display="Cetak" location="JS!A1" ref="Y3429"/>
    <hyperlink display="Cetak" location="JS!A1" ref="Y3430"/>
    <hyperlink display="Cetak" location="JS!A1" ref="Y3431"/>
    <hyperlink display="Cetak" location="JS!A1" ref="Y3432"/>
    <hyperlink display="Cetak" location="JS!A1" ref="Y3433"/>
    <hyperlink display="Cetak" location="JS!A1" ref="Y3434"/>
    <hyperlink display="Cetak" location="JS!A1" ref="Y3435"/>
    <hyperlink display="Cetak" location="JS!A1" ref="Y3436"/>
    <hyperlink display="Cetak" location="JS!A1" ref="Y3437"/>
    <hyperlink display="Cetak" location="JS!A1" ref="Y3438"/>
    <hyperlink display="Cetak" location="JS!A1" ref="Y3439"/>
    <hyperlink display="Cetak" location="JS!A1" ref="Y3440"/>
    <hyperlink display="Cetak" location="JS!A1" ref="Y3441"/>
    <hyperlink display="Cetak" location="JS!A1" ref="Y3442"/>
    <hyperlink display="Cetak" location="JS!A1" ref="Y3443"/>
    <hyperlink display="Cetak" location="JS!A1" ref="Y3444"/>
    <hyperlink display="Cetak" location="JS!A1" ref="Y3445"/>
    <hyperlink display="Cetak" location="JS!A1" ref="Y3446"/>
    <hyperlink display="Cetak" location="JS!A1" ref="Y3447"/>
    <hyperlink display="Cetak" location="JS!A1" ref="Y3448"/>
    <hyperlink display="Cetak" location="JS!A1" ref="Y3449"/>
    <hyperlink display="Cetak" location="JS!A1" ref="Y3450"/>
    <hyperlink display="Cetak" location="JS!A1" ref="Y3451"/>
    <hyperlink display="Cetak" location="JS!A1" ref="Y3452"/>
    <hyperlink display="Cetak" location="JS!A1" ref="Y3453"/>
    <hyperlink display="Cetak" location="JS!A1" ref="Y3454"/>
    <hyperlink display="Cetak" location="JS!A1" ref="Y3455"/>
    <hyperlink display="Cetak" location="JS!A1" ref="Y3456"/>
    <hyperlink display="Cetak" location="JS!A1" ref="Y3457"/>
    <hyperlink display="Cetak" location="JS!A1" ref="Y3458"/>
    <hyperlink display="Cetak" location="JS!A1" ref="Y3459"/>
    <hyperlink display="Cetak" location="JS!A1" ref="Y3460"/>
    <hyperlink display="Cetak" location="JS!A1" ref="Y3461"/>
    <hyperlink display="Cetak" location="JS!A1" ref="Y3462"/>
    <hyperlink display="Cetak" location="JS!A1" ref="Y3463"/>
    <hyperlink display="Cetak" location="JS!A1" ref="Y3464"/>
    <hyperlink display="Cetak" location="JS!A1" ref="Y3465"/>
    <hyperlink display="Cetak" location="JS!A1" ref="Y3466"/>
    <hyperlink display="Cetak" location="JS!A1" ref="Y3467"/>
    <hyperlink display="Cetak" location="JS!A1" ref="Y3468"/>
    <hyperlink display="Cetak" location="JS!A1" ref="Y3469"/>
    <hyperlink display="Cetak" location="JS!A1" ref="Y3470"/>
    <hyperlink display="Cetak" location="JS!A1" ref="Y3471"/>
    <hyperlink display="Cetak" location="JS!A1" ref="Y3472"/>
    <hyperlink display="Cetak" location="JS!A1" ref="Y3473"/>
    <hyperlink display="Cetak" location="JS!A1" ref="Y3474"/>
    <hyperlink display="Cetak" location="JS!A1" ref="Y3475"/>
    <hyperlink display="Cetak" location="JS!A1" ref="Y3476"/>
    <hyperlink display="Cetak" location="JS!A1" ref="Y3477"/>
    <hyperlink display="Cetak" location="JS!A1" ref="Y3478"/>
    <hyperlink display="Cetak" location="JS!A1" ref="Y3479"/>
    <hyperlink display="Cetak" location="JS!A1" ref="Y3480"/>
    <hyperlink display="Cetak" location="JS!A1" ref="Y3481"/>
    <hyperlink display="Cetak" location="JS!A1" ref="Y3482"/>
    <hyperlink display="Cetak" location="JS!A1" ref="Y3483"/>
    <hyperlink display="Cetak" location="JS!A1" ref="Y3484"/>
    <hyperlink display="Cetak" location="JS!A1" ref="Y3485"/>
    <hyperlink display="Cetak" location="JS!A1" ref="Y3486"/>
    <hyperlink display="Cetak" location="JS!A1" ref="Y3487"/>
    <hyperlink display="Cetak" location="JS!A1" ref="Y3488"/>
    <hyperlink display="Cetak" location="JS!A1" ref="Y3489"/>
    <hyperlink display="Cetak" location="JS!A1" ref="Y3490"/>
    <hyperlink display="Cetak" location="JS!A1" ref="Y3491"/>
    <hyperlink display="Cetak" location="JS!A1" ref="Y3492"/>
    <hyperlink display="Cetak" location="JS!A1" ref="Y3493"/>
    <hyperlink display="Cetak" location="JS!A1" ref="Y3494"/>
    <hyperlink display="Cetak" location="JS!A1" ref="Y3495"/>
    <hyperlink display="Cetak" location="JS!A1" ref="Y3496"/>
    <hyperlink display="Cetak" location="JS!A1" ref="Y3497"/>
    <hyperlink display="Cetak" location="JS!A1" ref="Y3498"/>
    <hyperlink display="Cetak" location="JS!A1" ref="Y3499"/>
    <hyperlink display="Cetak" location="JS!A1" ref="Y3500"/>
    <hyperlink display="Cetak" location="JS!A1" ref="Y3501"/>
    <hyperlink display="Cetak" location="JS!A1" ref="Y3502"/>
    <hyperlink display="Cetak" location="JS!A1" ref="Y3503"/>
    <hyperlink display="Cetak" location="JS!A1" ref="Y3504"/>
    <hyperlink display="Cetak" location="JS!A1" ref="Y3505"/>
    <hyperlink display="Cetak" location="JS!A1" ref="Y3506"/>
    <hyperlink display="Cetak" location="JS!A1" ref="Y3507"/>
    <hyperlink display="Cetak" location="JS!A1" ref="Y3508"/>
    <hyperlink display="Cetak" location="JS!A1" ref="Y3509"/>
    <hyperlink display="Cetak" location="JS!A1" ref="Y3510"/>
    <hyperlink display="Cetak" location="JS!A1" ref="Y3511"/>
    <hyperlink display="Cetak" location="JS!A1" ref="Y3512"/>
    <hyperlink display="Cetak" location="JS!A1" ref="Y3513"/>
    <hyperlink display="Cetak" location="JS!A1" ref="Y3514"/>
    <hyperlink display="Cetak" location="JS!A1" ref="Y3515"/>
    <hyperlink display="Cetak" location="JS!A1" ref="Y3516"/>
    <hyperlink display="Cetak" location="JS!A1" ref="Y3517"/>
    <hyperlink display="Cetak" location="JS!A1" ref="Y3518"/>
    <hyperlink display="Cetak" location="JS!A1" ref="Y3519"/>
    <hyperlink display="Cetak" location="JS!A1" ref="Y3520"/>
    <hyperlink display="Cetak" location="JS!A1" ref="Y3521"/>
    <hyperlink display="Cetak" location="JS!A1" ref="Y3522"/>
    <hyperlink display="Cetak" location="JS!A1" ref="Y3523"/>
    <hyperlink display="Cetak" location="JS!A1" ref="Y3524"/>
    <hyperlink display="Cetak" location="JS!A1" ref="Y3525"/>
    <hyperlink display="Cetak" location="JS!A1" ref="Y3526"/>
    <hyperlink display="Cetak" location="JS!A1" ref="Y3527"/>
    <hyperlink display="Cetak" location="JS!A1" ref="Y3528"/>
    <hyperlink display="Cetak" location="JS!A1" ref="Y3529"/>
    <hyperlink display="Cetak" location="JS!A1" ref="Y3530"/>
    <hyperlink display="Cetak" location="JS!A1" ref="Y3531"/>
    <hyperlink display="Cetak" location="JS!A1" ref="Y3532"/>
    <hyperlink display="Cetak" location="JS!A1" ref="Y3533"/>
    <hyperlink display="Cetak" location="JS!A1" ref="Y3534"/>
    <hyperlink display="Cetak" location="JS!A1" ref="Y3535"/>
    <hyperlink display="Cetak" location="JS!A1" ref="Y3536"/>
    <hyperlink display="Cetak" location="JS!A1" ref="Y3537"/>
    <hyperlink display="Cetak" location="JS!A1" ref="Y3538"/>
    <hyperlink display="Cetak" location="JS!A1" ref="Y3539"/>
    <hyperlink display="Cetak" location="JS!A1" ref="Y3540"/>
    <hyperlink display="Cetak" location="JS!A1" ref="Y3541"/>
    <hyperlink display="Cetak" location="JS!A1" ref="Y3542"/>
    <hyperlink display="Cetak" location="JS!A1" ref="Y3543"/>
    <hyperlink display="Cetak" location="JS!A1" ref="Y3544"/>
    <hyperlink display="Cetak" location="JS!A1" ref="Y3545"/>
    <hyperlink display="Cetak" location="JS!A1" ref="Y3546"/>
    <hyperlink display="Cetak" location="JS!A1" ref="Y3547"/>
    <hyperlink display="Cetak" location="JS!A1" ref="Y3548"/>
    <hyperlink display="Cetak" location="JS!A1" ref="Y3549"/>
    <hyperlink display="Cetak" location="JS!A1" ref="Y3550"/>
    <hyperlink display="Cetak" location="JS!A1" ref="Y3551"/>
    <hyperlink display="Cetak" location="JS!A1" ref="Y3552"/>
    <hyperlink display="Cetak" location="JS!A1" ref="Y3553"/>
    <hyperlink display="Cetak" location="JS!A1" ref="Y3554"/>
    <hyperlink display="Cetak" location="JS!A1" ref="Y3555"/>
    <hyperlink display="Cetak" location="JS!A1" ref="Y3556"/>
    <hyperlink display="Cetak" location="JS!A1" ref="Y3557"/>
    <hyperlink display="Cetak" location="JS!A1" ref="Y3558"/>
    <hyperlink display="Cetak" location="JS!A1" ref="Y3559"/>
    <hyperlink display="Cetak" location="JS!A1" ref="Y3560"/>
    <hyperlink display="Cetak" location="JS!A1" ref="Y3561"/>
    <hyperlink display="Cetak" location="JS!A1" ref="Y3562"/>
    <hyperlink display="Cetak" location="JS!A1" ref="Y3563"/>
    <hyperlink display="Cetak" location="JS!A1" ref="Y3564"/>
    <hyperlink display="Cetak" location="JS!A1" ref="Y3565"/>
    <hyperlink display="Cetak" location="JS!A1" ref="Y3566"/>
    <hyperlink display="Cetak" location="JS!A1" ref="Y3567"/>
    <hyperlink display="Cetak" location="JS!A1" ref="Y3568"/>
    <hyperlink display="Cetak" location="JS!A1" ref="Y3569"/>
    <hyperlink display="Cetak" location="JS!A1" ref="Y3570"/>
    <hyperlink display="Cetak" location="JS!A1" ref="Y3571"/>
    <hyperlink display="Cetak" location="JS!A1" ref="Y3572"/>
    <hyperlink display="Cetak" location="JS!A1" ref="Y3573"/>
    <hyperlink display="Cetak" location="JS!A1" ref="Y3574"/>
    <hyperlink display="Cetak" location="JS!A1" ref="Y3575"/>
    <hyperlink display="Cetak" location="JS!A1" ref="Y3576"/>
    <hyperlink display="Cetak" location="JS!A1" ref="Y3577"/>
    <hyperlink display="Cetak" location="JS!A1" ref="Y3578"/>
    <hyperlink display="Cetak" location="JS!A1" ref="Y3579"/>
    <hyperlink display="Cetak" location="JS!A1" ref="Y3580"/>
    <hyperlink display="Cetak" location="JS!A1" ref="Y3581"/>
    <hyperlink display="Cetak" location="JS!A1" ref="Y3582"/>
    <hyperlink display="Cetak" location="JS!A1" ref="Y3583"/>
    <hyperlink display="Cetak" location="JS!A1" ref="Y3584"/>
    <hyperlink display="Cetak" location="JS!A1" ref="Y3585"/>
    <hyperlink display="Cetak" location="JS!A1" ref="Y3586"/>
    <hyperlink display="Cetak" location="JS!A1" ref="Y3587"/>
    <hyperlink display="Cetak" location="JS!A1" ref="Y3588"/>
    <hyperlink display="Cetak" location="JS!A1" ref="Y3589"/>
    <hyperlink display="Cetak" location="JS!A1" ref="Y3590"/>
    <hyperlink display="Cetak" location="JS!A1" ref="Y3591"/>
    <hyperlink display="Cetak" location="JS!A1" ref="Y3592"/>
    <hyperlink display="Cetak" location="JS!A1" ref="Y3593"/>
    <hyperlink display="Cetak" location="JS!A1" ref="Y3594"/>
    <hyperlink display="Cetak" location="JS!A1" ref="Y3595"/>
    <hyperlink display="Cetak" location="JS!A1" ref="Y3596"/>
    <hyperlink display="Cetak" location="JS!A1" ref="Y3597"/>
    <hyperlink display="Cetak" location="JS!A1" ref="Y3598"/>
    <hyperlink display="Cetak" location="JS!A1" ref="Y3599"/>
    <hyperlink display="Cetak" location="JS!A1" ref="Y3600"/>
    <hyperlink display="Cetak" location="JS!A1" ref="Y3601"/>
    <hyperlink display="Cetak" location="JS!A1" ref="Y3602"/>
    <hyperlink display="Cetak" location="JS!A1" ref="Y3603"/>
    <hyperlink display="Cetak" location="JS!A1" ref="Y3604"/>
    <hyperlink display="Cetak" location="JS!A1" ref="Y3605"/>
    <hyperlink display="Cetak" location="JS!A1" ref="Y3606"/>
    <hyperlink display="Cetak" location="JS!A1" ref="Y3607"/>
    <hyperlink display="Cetak" location="JS!A1" ref="Y3608"/>
    <hyperlink display="Cetak" location="JS!A1" ref="Y3609"/>
    <hyperlink display="Cetak" location="JS!A1" ref="Y3610"/>
    <hyperlink display="Cetak" location="JS!A1" ref="Y3611"/>
    <hyperlink display="Cetak" location="JS!A1" ref="Y3612"/>
    <hyperlink display="Cetak" location="JS!A1" ref="Y3613"/>
    <hyperlink display="Cetak" location="JS!A1" ref="Y3614"/>
    <hyperlink display="Cetak" location="JS!A1" ref="Y3615"/>
    <hyperlink display="Cetak" location="JS!A1" ref="Y3616"/>
    <hyperlink display="Cetak" location="JS!A1" ref="Y3617"/>
    <hyperlink display="Cetak" location="JS!A1" ref="Y3618"/>
    <hyperlink display="Cetak" location="JS!A1" ref="Y3619"/>
    <hyperlink display="Cetak" location="JS!A1" ref="Y3620"/>
    <hyperlink display="Cetak" location="JS!A1" ref="Y3621"/>
    <hyperlink display="Cetak" location="JS!A1" ref="Y3622"/>
    <hyperlink display="Cetak" location="JS!A1" ref="Y3623"/>
    <hyperlink display="Cetak" location="JS!A1" ref="Y3624"/>
    <hyperlink display="Cetak" location="JS!A1" ref="Y3625"/>
    <hyperlink display="Cetak" location="JS!A1" ref="Y3626"/>
    <hyperlink display="Cetak" location="JS!A1" ref="Y3627"/>
    <hyperlink display="Cetak" location="JS!A1" ref="Y3628"/>
    <hyperlink display="Cetak" location="JS!A1" ref="Y3629"/>
    <hyperlink display="Cetak" location="JS!A1" ref="Y3630"/>
    <hyperlink display="Cetak" location="JS!A1" ref="Y3631"/>
    <hyperlink display="Cetak" location="JS!A1" ref="Y3632"/>
    <hyperlink display="Cetak" location="JS!A1" ref="Y3633"/>
    <hyperlink display="Cetak" location="JS!A1" ref="Y3634"/>
    <hyperlink display="Cetak" location="JS!A1" ref="Y3635"/>
    <hyperlink display="Cetak" location="JS!A1" ref="Y3636"/>
    <hyperlink display="Cetak" location="JS!A1" ref="Y3637"/>
    <hyperlink display="Cetak" location="JS!A1" ref="Y3638"/>
    <hyperlink display="Cetak" location="JS!A1" ref="Y3639"/>
    <hyperlink display="Cetak" location="JS!A1" ref="Y3640"/>
    <hyperlink display="Cetak" location="JS!A1" ref="Y3641"/>
    <hyperlink display="Cetak" location="JS!A1" ref="Y3642"/>
    <hyperlink display="Cetak" location="JS!A1" ref="Y3643"/>
    <hyperlink display="Cetak" location="JS!A1" ref="Y3644"/>
    <hyperlink display="Cetak" location="JS!A1" ref="Y3645"/>
    <hyperlink display="Cetak" location="JS!A1" ref="Y3646"/>
    <hyperlink display="Cetak" location="JS!A1" ref="Y3647"/>
    <hyperlink display="Cetak" location="JS!A1" ref="Y3648"/>
    <hyperlink display="Cetak" location="JS!A1" ref="Y3649"/>
    <hyperlink display="Cetak" location="JS!A1" ref="Y3650"/>
    <hyperlink display="Cetak" location="JS!A1" ref="Y3651"/>
    <hyperlink display="Cetak" location="JS!A1" ref="Y3652"/>
    <hyperlink display="Cetak" location="JS!A1" ref="Y3653"/>
    <hyperlink display="Cetak" location="JS!A1" ref="Y3654"/>
    <hyperlink display="Cetak" location="JS!A1" ref="Y3655"/>
    <hyperlink display="Cetak" location="JS!A1" ref="Y3656"/>
    <hyperlink display="Cetak" location="JS!A1" ref="Y3657"/>
    <hyperlink display="Cetak" location="JS!A1" ref="Y3658"/>
    <hyperlink display="Cetak" location="JS!A1" ref="Y3659"/>
    <hyperlink display="Cetak" location="JS!A1" ref="Y3660"/>
    <hyperlink display="Cetak" location="JS!A1" ref="Y3661"/>
    <hyperlink display="Cetak" location="JS!A1" ref="Y3662"/>
    <hyperlink display="Cetak" location="JS!A1" ref="Y3663"/>
    <hyperlink display="Cetak" location="JS!A1" ref="Y3664"/>
    <hyperlink display="Cetak" location="JS!A1" ref="Y3665"/>
    <hyperlink display="Cetak" location="JS!A1" ref="Y3666"/>
    <hyperlink display="Cetak" location="JS!A1" ref="Y3667"/>
    <hyperlink display="Cetak" location="JS!A1" ref="Y3668"/>
    <hyperlink display="Cetak" location="JS!A1" ref="Y3669"/>
    <hyperlink display="Cetak" location="JS!A1" ref="Y3670"/>
    <hyperlink display="Cetak" location="JS!A1" ref="Y3671"/>
    <hyperlink display="Cetak" location="JS!A1" ref="Y3672"/>
    <hyperlink display="Cetak" location="JS!A1" ref="Y3673"/>
    <hyperlink display="Cetak" location="JS!A1" ref="Y3674"/>
    <hyperlink display="Cetak" location="JS!A1" ref="Y3675"/>
    <hyperlink display="Cetak" location="JS!A1" ref="Y3676"/>
    <hyperlink display="Cetak" location="JS!A1" ref="Y3677"/>
    <hyperlink display="Cetak" location="JS!A1" ref="Y3678"/>
    <hyperlink display="Cetak" location="JS!A1" ref="Y3679"/>
    <hyperlink display="Cetak" location="JS!A1" ref="Y3680"/>
    <hyperlink display="Cetak" location="JS!A1" ref="Y3681"/>
    <hyperlink display="Cetak" location="JS!A1" ref="Y3682"/>
    <hyperlink display="Cetak" location="JS!A1" ref="Y3683"/>
    <hyperlink display="Cetak" location="JS!A1" ref="Y3684"/>
    <hyperlink display="Cetak" location="JS!A1" ref="Y3685"/>
    <hyperlink display="Cetak" location="JS!A1" ref="Y3686"/>
    <hyperlink display="Cetak" location="JS!A1" ref="Y3687"/>
    <hyperlink display="Cetak" location="JS!A1" ref="Y3688"/>
    <hyperlink display="Cetak" location="JS!A1" ref="Y3689"/>
    <hyperlink display="Cetak" location="JS!A1" ref="Y3690"/>
    <hyperlink display="Cetak" location="JS!A1" ref="Y3691"/>
    <hyperlink display="Cetak" location="JS!A1" ref="Y3692"/>
    <hyperlink display="Cetak" location="JS!A1" ref="Y3693"/>
    <hyperlink display="Cetak" location="JS!A1" ref="Y3694"/>
    <hyperlink display="Cetak" location="JS!A1" ref="Y3695"/>
    <hyperlink display="Cetak" location="JS!A1" ref="Y3696"/>
    <hyperlink display="Cetak" location="JS!A1" ref="Y3697"/>
    <hyperlink display="Cetak" location="JS!A1" ref="Y3698"/>
    <hyperlink display="Cetak" location="JS!A1" ref="Y3699"/>
    <hyperlink display="Cetak" location="JS!A1" ref="Y3700"/>
    <hyperlink display="Cetak" location="JS!A1" ref="Y3701"/>
    <hyperlink display="Cetak" location="JS!A1" ref="Y3702"/>
    <hyperlink display="Cetak" location="JS!A1" ref="Y3703"/>
    <hyperlink display="Cetak" location="JS!A1" ref="Y3704"/>
    <hyperlink display="Cetak" location="JS!A1" ref="Y3705"/>
    <hyperlink display="Cetak" location="JS!A1" ref="Y3706"/>
    <hyperlink display="Cetak" location="JS!A1" ref="Y3707"/>
    <hyperlink display="Cetak" location="JS!A1" ref="Y3708"/>
    <hyperlink display="Cetak" location="JS!A1" ref="Y3709"/>
    <hyperlink display="Cetak" location="JS!A1" ref="Y3710"/>
    <hyperlink display="Cetak" location="JS!A1" ref="Y3711"/>
    <hyperlink display="Cetak" location="JS!A1" ref="Y3712"/>
    <hyperlink display="Cetak" location="JS!A1" ref="Y3713"/>
    <hyperlink display="Cetak" location="JS!A1" ref="Y3714"/>
    <hyperlink display="Cetak" location="JS!A1" ref="Y3715"/>
    <hyperlink display="Cetak" location="JS!A1" ref="Y3716"/>
    <hyperlink display="Cetak" location="JS!A1" ref="Y3717"/>
    <hyperlink display="Cetak" location="JS!A1" ref="Y3718"/>
    <hyperlink display="Cetak" location="JS!A1" ref="Y3719"/>
    <hyperlink display="Cetak" location="JS!A1" ref="Y3720"/>
    <hyperlink display="Cetak" location="JS!A1" ref="Y3721"/>
    <hyperlink display="Cetak" location="JS!A1" ref="Y3722"/>
    <hyperlink display="Cetak" location="JS!A1" ref="Y3723"/>
    <hyperlink display="Cetak" location="JS!A1" ref="Y3724"/>
    <hyperlink display="Cetak" location="JS!A1" ref="Y3725"/>
    <hyperlink display="Cetak" location="JS!A1" ref="Y3726"/>
    <hyperlink display="Cetak" location="JS!A1" ref="Y3727"/>
    <hyperlink display="Cetak" location="JS!A1" ref="Y3728"/>
    <hyperlink display="Cetak" location="JS!A1" ref="Y3729"/>
    <hyperlink display="Cetak" location="JS!A1" ref="Y3730"/>
    <hyperlink display="Cetak" location="JS!A1" ref="Y3731"/>
    <hyperlink display="Cetak" location="JS!A1" ref="Y3732"/>
    <hyperlink display="Cetak" location="JS!A1" ref="Y3733"/>
    <hyperlink display="Cetak" location="JS!A1" ref="Y3734"/>
    <hyperlink display="Cetak" location="JS!A1" ref="Y3735"/>
    <hyperlink display="Cetak" location="JS!A1" ref="Y3736"/>
    <hyperlink display="Cetak" location="JS!A1" ref="Y3737"/>
    <hyperlink display="Cetak" location="JS!A1" ref="Y3738"/>
    <hyperlink display="Cetak" location="JS!A1" ref="Y3739"/>
    <hyperlink display="Cetak" location="JS!A1" ref="Y3740"/>
    <hyperlink display="Cetak" location="JS!A1" ref="Y3741"/>
    <hyperlink display="Cetak" location="JS!A1" ref="Y3742"/>
    <hyperlink display="Cetak" location="JS!A1" ref="Y3743"/>
    <hyperlink display="Cetak" location="JS!A1" ref="Y3744"/>
    <hyperlink display="Cetak" location="JS!A1" ref="Y3745"/>
    <hyperlink display="Cetak" location="JS!A1" ref="Y3746"/>
    <hyperlink display="Cetak" location="JS!A1" ref="Y3747"/>
    <hyperlink display="Cetak" location="JS!A1" ref="Y3748"/>
    <hyperlink display="Cetak" location="JS!A1" ref="Y3749"/>
    <hyperlink display="Cetak" location="JS!A1" ref="Y3750"/>
    <hyperlink display="Cetak" location="JS!A1" ref="Y3751"/>
    <hyperlink display="Cetak" location="JS!A1" ref="Y3752"/>
    <hyperlink display="Cetak" location="JS!A1" ref="Y3753"/>
    <hyperlink display="Cetak" location="JS!A1" ref="Y3754"/>
    <hyperlink display="Cetak" location="JS!A1" ref="Y3755"/>
    <hyperlink display="Cetak" location="JS!A1" ref="Y3756"/>
    <hyperlink display="Cetak" location="JS!A1" ref="Y3757"/>
    <hyperlink display="Cetak" location="JS!A1" ref="Y3758"/>
    <hyperlink display="Cetak" location="JS!A1" ref="Y3759"/>
    <hyperlink display="Cetak" location="JS!A1" ref="Y3760"/>
    <hyperlink display="Cetak" location="JS!A1" ref="Y3761"/>
    <hyperlink display="Cetak" location="JS!A1" ref="Y3762"/>
    <hyperlink display="Cetak" location="JS!A1" ref="Y3763"/>
    <hyperlink display="Cetak" location="JS!A1" ref="Y3764"/>
    <hyperlink display="Cetak" location="JS!A1" ref="Y3765"/>
    <hyperlink display="Cetak" location="JS!A1" ref="Y3766"/>
    <hyperlink display="Cetak" location="JS!A1" ref="Y3767"/>
    <hyperlink display="Cetak" location="JS!A1" ref="Y3768"/>
    <hyperlink display="Cetak" location="JS!A1" ref="Y3769"/>
    <hyperlink display="Cetak" location="JS!A1" ref="Y3770"/>
    <hyperlink display="Cetak" location="JS!A1" ref="Y3771"/>
    <hyperlink display="Cetak" location="JS!A1" ref="Y3772"/>
    <hyperlink display="Cetak" location="JS!A1" ref="Y3773"/>
    <hyperlink display="Cetak" location="JS!A1" ref="Y3774"/>
    <hyperlink display="Cetak" location="JS!A1" ref="Y3775"/>
    <hyperlink display="Cetak" location="JS!A1" ref="Y3776"/>
    <hyperlink display="Cetak" location="JS!A1" ref="Y3777"/>
    <hyperlink display="Cetak" location="JS!A1" ref="Y3778"/>
    <hyperlink display="Cetak" location="JS!A1" ref="Y3779"/>
    <hyperlink display="Cetak" location="JS!A1" ref="Y3780"/>
    <hyperlink display="Cetak" location="JS!A1" ref="Y3781"/>
    <hyperlink display="Cetak" location="JS!A1" ref="Y3782"/>
    <hyperlink display="Cetak" location="JS!A1" ref="Y3783"/>
    <hyperlink display="Cetak" location="JS!A1" ref="Y3784"/>
    <hyperlink display="Cetak" location="JS!A1" ref="Y3785"/>
    <hyperlink display="Cetak" location="JS!A1" ref="Y3786"/>
    <hyperlink display="Cetak" location="JS!A1" ref="Y3787"/>
    <hyperlink display="Cetak" location="JS!A1" ref="Y3788"/>
    <hyperlink display="Cetak" location="JS!A1" ref="Y3789"/>
    <hyperlink display="Cetak" location="JS!A1" ref="Y3790"/>
    <hyperlink display="Cetak" location="JS!A1" ref="Y3791"/>
    <hyperlink display="Cetak" location="JS!A1" ref="Y3792"/>
    <hyperlink display="Cetak" location="JS!A1" ref="Y3793"/>
    <hyperlink display="Cetak" location="JS!A1" ref="Y3794"/>
    <hyperlink display="Cetak" location="JS!A1" ref="Y3795"/>
    <hyperlink display="Cetak" location="JS!A1" ref="Y3796"/>
    <hyperlink display="Cetak" location="JS!A1" ref="Y3797"/>
    <hyperlink display="Cetak" location="JS!A1" ref="Y3798"/>
    <hyperlink display="Cetak" location="JS!A1" ref="Y3799"/>
    <hyperlink display="Cetak" location="JS!A1" ref="Y3800"/>
    <hyperlink display="Cetak" location="JS!A1" ref="Y3801"/>
    <hyperlink display="Cetak" location="JS!A1" ref="Y3802"/>
    <hyperlink display="Cetak" location="JS!A1" ref="Y3803"/>
    <hyperlink display="Cetak" location="JS!A1" ref="Y3804"/>
    <hyperlink display="Cetak" location="JS!A1" ref="Y3805"/>
    <hyperlink display="Cetak" location="JS!A1" ref="Y3806"/>
    <hyperlink display="Cetak" location="JS!A1" ref="Y3807"/>
    <hyperlink display="Cetak" location="JS!A1" ref="Y3808"/>
    <hyperlink display="Cetak" location="JS!A1" ref="Y3809"/>
    <hyperlink display="Cetak" location="JS!A1" ref="Y3810"/>
    <hyperlink display="Cetak" location="JS!A1" ref="Y3811"/>
    <hyperlink display="Cetak" location="JS!A1" ref="Y3812"/>
    <hyperlink display="Cetak" location="JS!A1" ref="Y3813"/>
    <hyperlink display="Cetak" location="JS!A1" ref="Y3814"/>
    <hyperlink display="Cetak" location="JS!A1" ref="Y3815"/>
    <hyperlink display="Cetak" location="JS!A1" ref="Y3816"/>
    <hyperlink display="Cetak" location="JS!A1" ref="Y3817"/>
    <hyperlink display="Cetak" location="JS!A1" ref="Y3818"/>
    <hyperlink display="Cetak" location="JS!A1" ref="Y3819"/>
    <hyperlink display="Cetak" location="JS!A1" ref="Y3820"/>
    <hyperlink display="Cetak" location="JS!A1" ref="Y3821"/>
    <hyperlink display="Cetak" location="JS!A1" ref="Y3822"/>
    <hyperlink display="Cetak" location="JS!A1" ref="Y3823"/>
    <hyperlink display="Cetak" location="JS!A1" ref="Y3824"/>
    <hyperlink display="Cetak" location="JS!A1" ref="Y3825"/>
    <hyperlink display="Cetak" location="JS!A1" ref="Y3826"/>
    <hyperlink display="Cetak" location="JS!A1" ref="Y3827"/>
    <hyperlink display="Cetak" location="JS!A1" ref="Y3828"/>
    <hyperlink display="Cetak" location="JS!A1" ref="Y3829"/>
    <hyperlink display="Cetak" location="JS!A1" ref="Y3830"/>
    <hyperlink display="Cetak" location="JS!A1" ref="Y3831"/>
    <hyperlink display="Cetak" location="JS!A1" ref="Y3832"/>
    <hyperlink display="Cetak" location="JS!A1" ref="Y3833"/>
    <hyperlink display="Cetak" location="JS!A1" ref="Y3834"/>
    <hyperlink display="Cetak" location="JS!A1" ref="Y3835"/>
    <hyperlink display="Cetak" location="JS!A1" ref="Y3836"/>
    <hyperlink display="Cetak" location="JS!A1" ref="Y3837"/>
    <hyperlink display="Cetak" location="JS!A1" ref="Y3838"/>
    <hyperlink display="Cetak" location="JS!A1" ref="Y3839"/>
    <hyperlink display="Cetak" location="JS!A1" ref="Y3840"/>
    <hyperlink display="Cetak" location="JS!A1" ref="Y3841"/>
    <hyperlink display="Cetak" location="JS!A1" ref="Y3842"/>
    <hyperlink display="Cetak" location="JS!A1" ref="Y3843"/>
    <hyperlink display="Cetak" location="JS!A1" ref="Y3844"/>
    <hyperlink display="Cetak" location="JS!A1" ref="Y3845"/>
    <hyperlink display="Cetak" location="JS!A1" ref="Y3846"/>
    <hyperlink display="Cetak" location="JS!A1" ref="Y3847"/>
    <hyperlink display="Cetak" location="JS!A1" ref="Y3848"/>
    <hyperlink display="Cetak" location="JS!A1" ref="Y3849"/>
    <hyperlink display="Cetak" location="JS!A1" ref="Y3850"/>
    <hyperlink display="Cetak" location="JS!A1" ref="Y3851"/>
    <hyperlink display="Cetak" location="JS!A1" ref="Y3852"/>
    <hyperlink display="Cetak" location="JS!A1" ref="Y3853"/>
    <hyperlink display="Cetak" location="JS!A1" ref="Y3854"/>
    <hyperlink display="Cetak" location="JS!A1" ref="Y3855"/>
    <hyperlink display="Cetak" location="JS!A1" ref="Y3856"/>
    <hyperlink display="Cetak" location="JS!A1" ref="Y3857"/>
    <hyperlink display="Cetak" location="JS!A1" ref="Y3858"/>
    <hyperlink display="Cetak" location="JS!A1" ref="Y3859"/>
    <hyperlink display="Cetak" location="JS!A1" ref="Y3860"/>
    <hyperlink display="Cetak" location="JS!A1" ref="Y3861"/>
    <hyperlink display="Cetak" location="JS!A1" ref="Y3862"/>
    <hyperlink display="Cetak" location="JS!A1" ref="Y3863"/>
    <hyperlink display="Cetak" location="JS!A1" ref="Y3864"/>
    <hyperlink display="Cetak" location="JS!A1" ref="Y3865"/>
    <hyperlink display="Cetak" location="JS!A1" ref="Y3866"/>
    <hyperlink display="Cetak" location="JS!A1" ref="Y3867"/>
    <hyperlink display="Cetak" location="JS!A1" ref="Y3868"/>
    <hyperlink display="Cetak" location="JS!A1" ref="Y3869"/>
    <hyperlink display="Cetak" location="JS!A1" ref="Y3870"/>
    <hyperlink display="Cetak" location="JS!A1" ref="Y3871"/>
    <hyperlink display="Cetak" location="JS!A1" ref="Y3872"/>
    <hyperlink display="Cetak" location="JS!A1" ref="Y3873"/>
    <hyperlink display="Cetak" location="JS!A1" ref="Y3874"/>
    <hyperlink display="Cetak" location="JS!A1" ref="Y3875"/>
    <hyperlink display="Cetak" location="JS!A1" ref="Y3876"/>
    <hyperlink display="Cetak" location="JS!A1" ref="Y3877"/>
    <hyperlink display="Cetak" location="JS!A1" ref="Y3878"/>
    <hyperlink display="Cetak" location="JS!A1" ref="Y3879"/>
    <hyperlink display="Cetak" location="JS!A1" ref="Y3880"/>
    <hyperlink display="Cetak" location="JS!A1" ref="Y3881"/>
    <hyperlink display="Cetak" location="JS!A1" ref="Y3882"/>
    <hyperlink display="Cetak" location="JS!A1" ref="Y3883"/>
    <hyperlink display="Cetak" location="JS!A1" ref="Y3884"/>
    <hyperlink display="Cetak" location="JS!A1" ref="Y3885"/>
    <hyperlink display="Cetak" location="JS!A1" ref="Y3886"/>
    <hyperlink display="Cetak" location="JS!A1" ref="Y3887"/>
    <hyperlink display="Cetak" location="JS!A1" ref="Y3888"/>
    <hyperlink display="Cetak" location="JS!A1" ref="Y3889"/>
    <hyperlink display="Cetak" location="JS!A1" ref="Y3890"/>
    <hyperlink display="Cetak" location="JS!A1" ref="Y3891"/>
    <hyperlink display="Cetak" location="JS!A1" ref="Y3892"/>
    <hyperlink display="Cetak" location="JS!A1" ref="Y3893"/>
    <hyperlink display="Cetak" location="JS!A1" ref="Y3894"/>
    <hyperlink display="Cetak" location="JS!A1" ref="Y3895"/>
    <hyperlink display="Cetak" location="JS!A1" ref="Y3896"/>
    <hyperlink display="Cetak" location="JS!A1" ref="Y3897"/>
    <hyperlink display="Cetak" location="JS!A1" ref="Y3898"/>
    <hyperlink display="Cetak" location="JS!A1" ref="Y3899"/>
    <hyperlink display="Cetak" location="JS!A1" ref="Y3900"/>
    <hyperlink display="Cetak" location="JS!A1" ref="Y3901"/>
    <hyperlink display="Cetak" location="JS!A1" ref="Y3902"/>
    <hyperlink display="Cetak" location="JS!A1" ref="Y3903"/>
    <hyperlink display="Cetak" location="JS!A1" ref="Y3904"/>
    <hyperlink display="Cetak" location="JS!A1" ref="Y3905"/>
    <hyperlink display="Cetak" location="JS!A1" ref="Y3906"/>
    <hyperlink display="Cetak" location="JS!A1" ref="Y3907"/>
    <hyperlink display="Cetak" location="JS!A1" ref="Y3908"/>
    <hyperlink display="Cetak" location="JS!A1" ref="Y3909"/>
    <hyperlink display="Cetak" location="JS!A1" ref="Y3910"/>
    <hyperlink display="Cetak" location="JS!A1" ref="Y3911"/>
    <hyperlink display="Cetak" location="JS!A1" ref="Y3912"/>
    <hyperlink display="Cetak" location="JS!A1" ref="Y3913"/>
    <hyperlink display="Cetak" location="JS!A1" ref="Y3914"/>
    <hyperlink display="Cetak" location="JS!A1" ref="Y3915"/>
    <hyperlink display="Cetak" location="JS!A1" ref="Y3916"/>
    <hyperlink display="Cetak" location="JS!A1" ref="Y3917"/>
    <hyperlink display="Cetak" location="JS!A1" ref="Y3918"/>
    <hyperlink display="Cetak" location="JS!A1" ref="Y3919"/>
    <hyperlink display="Cetak" location="JS!A1" ref="Y3920"/>
    <hyperlink display="Cetak" location="JS!A1" ref="Y3921"/>
    <hyperlink display="Cetak" location="JS!A1" ref="Y3922"/>
    <hyperlink display="Cetak" location="JS!A1" ref="Y3923"/>
    <hyperlink display="Cetak" location="JS!A1" ref="Y3924"/>
    <hyperlink display="Cetak" location="JS!A1" ref="Y3925"/>
    <hyperlink display="Cetak" location="JS!A1" ref="Y3926"/>
    <hyperlink display="Cetak" location="JS!A1" ref="Y3927"/>
    <hyperlink display="Cetak" location="JS!A1" ref="Y3928"/>
    <hyperlink display="Cetak" location="JS!A1" ref="Y3929"/>
    <hyperlink display="Cetak" location="JS!A1" ref="Y3930"/>
    <hyperlink display="Cetak" location="JS!A1" ref="Y3931"/>
    <hyperlink display="Cetak" location="JS!A1" ref="Y3932"/>
    <hyperlink display="Cetak" location="JS!A1" ref="Y3933"/>
    <hyperlink display="Cetak" location="JS!A1" ref="Y3934"/>
    <hyperlink display="Cetak" location="JS!A1" ref="Y3935"/>
    <hyperlink display="Cetak" location="JS!A1" ref="Y3936"/>
    <hyperlink display="Cetak" location="JS!A1" ref="Y3937"/>
    <hyperlink display="Cetak" location="JS!A1" ref="Y3938"/>
    <hyperlink display="Cetak" location="JS!A1" ref="Y3939"/>
    <hyperlink display="Cetak" location="JS!A1" ref="Y3940"/>
    <hyperlink display="Cetak" location="JS!A1" ref="Y3941"/>
    <hyperlink display="Cetak" location="JS!A1" ref="Y3942"/>
    <hyperlink display="Cetak" location="JS!A1" ref="Y3943"/>
    <hyperlink display="Cetak" location="JS!A1" ref="Y3944"/>
    <hyperlink display="Cetak" location="JS!A1" ref="Y3945"/>
    <hyperlink display="Cetak" location="JS!A1" ref="Y3946"/>
    <hyperlink display="Cetak" location="JS!A1" ref="Y3947"/>
    <hyperlink display="Cetak" location="JS!A1" ref="Y3948"/>
    <hyperlink display="Cetak" location="JS!A1" ref="Y3949"/>
    <hyperlink display="Cetak" location="JS!A1" ref="Y3950"/>
    <hyperlink display="Cetak" location="JS!A1" ref="Y3951"/>
    <hyperlink display="Cetak" location="JS!A1" ref="Y3952"/>
    <hyperlink display="Cetak" location="JS!A1" ref="Y3953"/>
    <hyperlink display="Cetak" location="JS!A1" ref="Y3954"/>
    <hyperlink display="Cetak" location="JS!A1" ref="Y3955"/>
    <hyperlink display="Cetak" location="JS!A1" ref="Y3956"/>
    <hyperlink display="Cetak" location="JS!A1" ref="Y3957"/>
    <hyperlink display="Cetak" location="JS!A1" ref="Y3958"/>
    <hyperlink display="Cetak" location="JS!A1" ref="Y3959"/>
    <hyperlink display="Cetak" location="JS!A1" ref="Y3960"/>
    <hyperlink display="Cetak" location="JS!A1" ref="Y3961"/>
    <hyperlink display="Cetak" location="JS!A1" ref="Y3962"/>
    <hyperlink display="Cetak" location="JS!A1" ref="Y3963"/>
    <hyperlink display="Cetak" location="JS!A1" ref="Y3964"/>
    <hyperlink display="Cetak" location="JS!A1" ref="Y3965"/>
    <hyperlink display="Cetak" location="JS!A1" ref="Y3966"/>
    <hyperlink display="Cetak" location="JS!A1" ref="Y3967"/>
    <hyperlink display="Cetak" location="JS!A1" ref="Y3968"/>
    <hyperlink display="Cetak" location="JS!A1" ref="Y3969"/>
    <hyperlink display="Cetak" location="JS!A1" ref="Y3970"/>
    <hyperlink display="Cetak" location="JS!A1" ref="Y3971"/>
    <hyperlink display="Cetak" location="JS!A1" ref="Y3972"/>
    <hyperlink display="Cetak" location="JS!A1" ref="Y3973"/>
    <hyperlink display="Cetak" location="JS!A1" ref="Y3974"/>
    <hyperlink display="Cetak" location="JS!A1" ref="Y3975"/>
    <hyperlink display="Cetak" location="JS!A1" ref="Y3976"/>
    <hyperlink display="Cetak" location="JS!A1" ref="Y3977"/>
    <hyperlink display="Cetak" location="JS!A1" ref="Y3978"/>
    <hyperlink display="Cetak" location="JS!A1" ref="Y3979"/>
    <hyperlink display="Cetak" location="JS!A1" ref="Y3980"/>
    <hyperlink display="Cetak" location="JS!A1" ref="Y3981"/>
    <hyperlink display="Cetak" location="JS!A1" ref="Y3982"/>
    <hyperlink display="Cetak" location="JS!A1" ref="Y3983"/>
    <hyperlink display="Cetak" location="JS!A1" ref="Y3984"/>
    <hyperlink display="Cetak" location="JS!A1" ref="Y3985"/>
    <hyperlink display="Cetak" location="JS!A1" ref="Y3986"/>
    <hyperlink display="Cetak" location="JS!A1" ref="Y3987"/>
    <hyperlink display="Cetak" location="JS!A1" ref="Y3988"/>
    <hyperlink display="Cetak" location="JS!A1" ref="Y3989"/>
    <hyperlink display="Cetak" location="JS!A1" ref="Y3990"/>
    <hyperlink display="Cetak" location="JS!A1" ref="Y3991"/>
    <hyperlink display="Cetak" location="JS!A1" ref="Y3992"/>
    <hyperlink display="Cetak" location="JS!A1" ref="Y3993"/>
    <hyperlink display="Cetak" location="JS!A1" ref="Y3994"/>
    <hyperlink display="Cetak" location="JS!A1" ref="Y3995"/>
    <hyperlink display="Cetak" location="JS!A1" ref="Y3996"/>
    <hyperlink display="Cetak" location="JS!A1" ref="Y3997"/>
    <hyperlink display="Cetak" location="JS!A1" ref="Y3998"/>
    <hyperlink display="Cetak" location="JS!A1" ref="Y3999"/>
    <hyperlink display="Cetak" location="JS!A1" ref="Y4000"/>
    <hyperlink display="Cetak" location="JS!A1" ref="Y4001"/>
    <hyperlink display="Cetak" location="JS!A1" ref="Y4002"/>
  </hyperlin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s>
  <sheetData>
    <row r="3">
      <c r="B3" s="3" t="s">
        <v>1</v>
      </c>
      <c r="C3" s="10" t="s">
        <v>11</v>
      </c>
    </row>
    <row r="4">
      <c r="B4" s="3" t="s">
        <v>34</v>
      </c>
      <c r="C4" s="10" t="s">
        <v>11</v>
      </c>
    </row>
    <row r="5">
      <c r="B5" s="3" t="s">
        <v>63</v>
      </c>
      <c r="C5" s="10" t="s">
        <v>11</v>
      </c>
    </row>
    <row r="6">
      <c r="B6" s="3" t="s">
        <v>73</v>
      </c>
      <c r="C6" s="10" t="s">
        <v>11</v>
      </c>
    </row>
    <row r="7">
      <c r="B7" s="3" t="s">
        <v>79</v>
      </c>
      <c r="C7" s="10" t="s">
        <v>11</v>
      </c>
    </row>
    <row r="8">
      <c r="B8" s="3" t="s">
        <v>84</v>
      </c>
      <c r="C8" s="10" t="s">
        <v>11</v>
      </c>
    </row>
  </sheetData>
  <hyperlinks>
    <hyperlink display="Klik Disini" location="'C1'!A1" ref="C3"/>
    <hyperlink display="Klik Disini" location="'C2'!A1" ref="C4"/>
    <hyperlink display="Klik Disini" location="'C3'!A1" ref="C5"/>
    <hyperlink display="Klik Disini" location="'C4'!A1" ref="C6"/>
    <hyperlink display="Klik Disini" location="'C5'!A1" ref="C7"/>
    <hyperlink display="Klik Disini" location="'C6'!A1" ref="C8"/>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sheetPr>
  <sheetViews>
    <sheetView workbookViewId="0"/>
  </sheetViews>
  <sheetFormatPr customHeight="1" defaultColWidth="12.63" defaultRowHeight="15.75"/>
  <cols>
    <col customWidth="1" hidden="1" min="1" max="1" width="4.13"/>
    <col customWidth="1" min="2" max="2" width="12.13"/>
    <col customWidth="1" min="3" max="3" width="51.25"/>
  </cols>
  <sheetData>
    <row r="1">
      <c r="A1" s="2">
        <v>25.0</v>
      </c>
      <c r="C1" s="4" t="s">
        <v>5</v>
      </c>
    </row>
    <row r="2">
      <c r="A2" s="6"/>
      <c r="D2" s="11" t="s">
        <v>39</v>
      </c>
    </row>
    <row r="3">
      <c r="A3" s="6"/>
      <c r="B3" s="12" t="s">
        <v>65</v>
      </c>
      <c r="F3" s="13"/>
    </row>
    <row r="4">
      <c r="A4" s="6"/>
      <c r="B4" s="4"/>
      <c r="C4" s="4"/>
    </row>
    <row r="5">
      <c r="A5" s="6"/>
      <c r="B5" s="14" t="s">
        <v>75</v>
      </c>
      <c r="C5" s="4" t="s">
        <v>90</v>
      </c>
      <c r="D5" s="23">
        <f>IF(C5="","",VLOOKUP(C5,Table_Kerja_Verifiaktor_Berkas[],A1,0))</f>
        <v>2</v>
      </c>
    </row>
    <row r="6" hidden="1">
      <c r="A6" s="6"/>
      <c r="B6" s="25" t="s">
        <v>207</v>
      </c>
      <c r="C6" s="4" t="s">
        <v>20</v>
      </c>
      <c r="D6" s="26"/>
    </row>
    <row r="7" ht="6.75" customHeight="1">
      <c r="A7" s="6"/>
      <c r="B7" s="4"/>
      <c r="C7" s="28" t="str">
        <f>CONCATENATE(C5,"_",C6)</f>
        <v>K/24/211024/1_P0</v>
      </c>
    </row>
    <row r="8">
      <c r="A8" s="6"/>
      <c r="B8" s="30" t="s">
        <v>223</v>
      </c>
      <c r="C8" s="30" t="s">
        <v>228</v>
      </c>
    </row>
    <row r="9" ht="114.0" customHeight="1">
      <c r="A9" s="31">
        <v>12.0</v>
      </c>
      <c r="B9" s="33">
        <v>1.0</v>
      </c>
      <c r="C9" s="36" t="str">
        <f>IF(C5="","",VLOOKUP($C$5,Verifikator!$B$4:$V$4002,$A9,0))</f>
        <v>Tanggal. 25-10-2024
1.  Validasi bidang
2.  PBB kurang bayar tahun
3.  Perbaiki Alamat ahli waris (nurmasnyah extrasona) pada permohonan, surat kuasa,surat pernyataan
4.  Lampirkan surat keterangan beda nama pewaris pada akta kelahiran ahli waris</v>
      </c>
      <c r="D9" s="37"/>
      <c r="E9" s="37"/>
      <c r="F9" s="37"/>
      <c r="G9" s="37"/>
      <c r="H9" s="37"/>
      <c r="I9" s="37"/>
      <c r="J9" s="37"/>
      <c r="K9" s="37"/>
      <c r="L9" s="37"/>
      <c r="M9" s="37"/>
      <c r="N9" s="37"/>
      <c r="O9" s="37"/>
      <c r="P9" s="37"/>
      <c r="Q9" s="37"/>
      <c r="R9" s="37"/>
      <c r="S9" s="37"/>
      <c r="T9" s="37"/>
      <c r="U9" s="37"/>
      <c r="V9" s="37"/>
      <c r="W9" s="37"/>
    </row>
    <row r="10" ht="44.25" customHeight="1">
      <c r="A10" s="2">
        <f t="shared" ref="A10:A18" si="1">A9+1</f>
        <v>13</v>
      </c>
      <c r="B10" s="39">
        <f t="shared" ref="B10:B18" si="2">IF(B9&lt;$D$5,B9+1,"")</f>
        <v>2</v>
      </c>
      <c r="C10" s="38" t="str">
        <f>IF(C6="","",VLOOKUP($C$5,Verifikator!$B$4:$V$4002,$A10,0))</f>
        <v>SELESAI</v>
      </c>
    </row>
    <row r="11" ht="44.25" customHeight="1">
      <c r="A11" s="6">
        <f t="shared" si="1"/>
        <v>14</v>
      </c>
      <c r="B11" s="39" t="str">
        <f t="shared" si="2"/>
        <v/>
      </c>
      <c r="C11" s="38" t="str">
        <f>IF(C7="","",VLOOKUP($C$5,Verifikator!$B$4:$V$4002,$A11,0))</f>
        <v/>
      </c>
    </row>
    <row r="12" ht="44.25" customHeight="1">
      <c r="A12" s="6">
        <f t="shared" si="1"/>
        <v>15</v>
      </c>
      <c r="B12" s="39" t="str">
        <f t="shared" si="2"/>
        <v/>
      </c>
      <c r="C12" s="38" t="str">
        <f>IF(C8="","",VLOOKUP($C$5,Verifikator!$B$4:$V$4002,$A12,0))</f>
        <v/>
      </c>
      <c r="F12" s="42"/>
    </row>
    <row r="13" ht="44.25" customHeight="1">
      <c r="A13" s="6">
        <f t="shared" si="1"/>
        <v>16</v>
      </c>
      <c r="B13" s="39" t="str">
        <f t="shared" si="2"/>
        <v/>
      </c>
      <c r="C13" s="38" t="str">
        <f>IF(C9="","",VLOOKUP($C$5,Verifikator!$B$4:$V$4002,$A13,0))</f>
        <v/>
      </c>
    </row>
    <row r="14" ht="44.2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44.2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paperSize="9" cellComments="atEnd" orientation="portrait" pageOrder="overThenDown"/>
  <rowBreaks count="2" manualBreakCount="2">
    <brk id="9" man="1"/>
    <brk id="11" man="1"/>
  </rowBreaks>
  <colBreaks count="2" manualBreakCount="2">
    <brk man="1"/>
    <brk id="3"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0.5"/>
    <col customWidth="1" min="3" max="3" width="51.25"/>
  </cols>
  <sheetData>
    <row r="1">
      <c r="A1" s="2">
        <v>25.0</v>
      </c>
    </row>
    <row r="2">
      <c r="A2" s="6"/>
      <c r="D2" s="11" t="s">
        <v>39</v>
      </c>
    </row>
    <row r="3">
      <c r="A3" s="6"/>
      <c r="B3" s="12" t="s">
        <v>65</v>
      </c>
    </row>
    <row r="4">
      <c r="A4" s="6"/>
      <c r="B4" s="4"/>
      <c r="C4" s="4"/>
    </row>
    <row r="5">
      <c r="A5" s="6"/>
      <c r="B5" s="14" t="s">
        <v>75</v>
      </c>
      <c r="C5" s="4" t="s">
        <v>199</v>
      </c>
      <c r="D5" s="27">
        <f>IF(C5="","",VLOOKUP(C5,Table_Kerja_Verifiaktor_Berkas[],A1,0))</f>
        <v>2</v>
      </c>
    </row>
    <row r="6" hidden="1">
      <c r="A6" s="6"/>
      <c r="B6" s="25" t="s">
        <v>207</v>
      </c>
      <c r="C6" s="4" t="s">
        <v>20</v>
      </c>
      <c r="D6" s="26"/>
    </row>
    <row r="7" ht="6.75" customHeight="1">
      <c r="A7" s="6"/>
      <c r="B7" s="4"/>
      <c r="C7" s="28" t="str">
        <f>CONCATENATE(C5,"_",C6)</f>
        <v>K/11/211024/2_P0</v>
      </c>
    </row>
    <row r="8">
      <c r="A8" s="6"/>
      <c r="B8" s="30" t="s">
        <v>223</v>
      </c>
      <c r="C8" s="30" t="s">
        <v>228</v>
      </c>
    </row>
    <row r="9" ht="44.25" customHeight="1">
      <c r="A9" s="2">
        <v>12.0</v>
      </c>
      <c r="B9" s="35">
        <v>1.0</v>
      </c>
      <c r="C9" s="38" t="str">
        <f>IF(C5="","",VLOOKUP($C$5,Verifikator!$B$4:$V$4002,$A9,0))</f>
        <v>Isi lengkap SPernyataan BPHTB</v>
      </c>
    </row>
    <row r="10" ht="44.25" customHeight="1">
      <c r="A10" s="2">
        <f t="shared" ref="A10:A18" si="1">A9+1</f>
        <v>13</v>
      </c>
      <c r="B10" s="39">
        <f t="shared" ref="B10:B18" si="2">IF(B9&lt;$D$5,B9+1,"")</f>
        <v>2</v>
      </c>
      <c r="C10" s="38" t="str">
        <f>IF(C6="","",VLOOKUP($C$5,Verifikator!$B$4:$V$4002,$A10,0))</f>
        <v>Fc RUPS dan Akta pendirian PT terlampir blm di cap &amp;paraf notaris tiap halaman</v>
      </c>
    </row>
    <row r="11" ht="44.25" customHeight="1">
      <c r="A11" s="6">
        <f t="shared" si="1"/>
        <v>14</v>
      </c>
      <c r="B11" s="39" t="str">
        <f t="shared" si="2"/>
        <v/>
      </c>
      <c r="C11" s="38" t="str">
        <f>IF(C7="","",VLOOKUP($C$5,Verifikator!$B$4:$V$4002,$A11,0))</f>
        <v/>
      </c>
    </row>
    <row r="12" ht="44.25" customHeight="1">
      <c r="A12" s="6">
        <f t="shared" si="1"/>
        <v>15</v>
      </c>
      <c r="B12" s="39" t="str">
        <f t="shared" si="2"/>
        <v/>
      </c>
      <c r="C12" s="38" t="str">
        <f>IF(C8="","",VLOOKUP($C$5,Verifikator!$B$4:$V$4002,$A12,0))</f>
        <v/>
      </c>
    </row>
    <row r="13" ht="44.25" customHeight="1">
      <c r="A13" s="6">
        <f t="shared" si="1"/>
        <v>16</v>
      </c>
      <c r="B13" s="39" t="str">
        <f t="shared" si="2"/>
        <v/>
      </c>
      <c r="C13" s="38" t="str">
        <f>IF(C9="","",VLOOKUP($C$5,Verifikator!$B$4:$V$4002,$A13,0))</f>
        <v/>
      </c>
    </row>
    <row r="14" ht="44.2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44.2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3.63"/>
    <col customWidth="1" min="3" max="3" width="51.25"/>
  </cols>
  <sheetData>
    <row r="1">
      <c r="A1" s="2">
        <v>25.0</v>
      </c>
    </row>
    <row r="2">
      <c r="A2" s="6"/>
      <c r="D2" s="11" t="s">
        <v>39</v>
      </c>
    </row>
    <row r="3">
      <c r="A3" s="6"/>
      <c r="B3" s="12" t="s">
        <v>65</v>
      </c>
    </row>
    <row r="4">
      <c r="A4" s="6"/>
      <c r="B4" s="4"/>
      <c r="C4" s="4"/>
    </row>
    <row r="5">
      <c r="A5" s="6"/>
      <c r="B5" s="14" t="s">
        <v>75</v>
      </c>
      <c r="C5" s="4" t="s">
        <v>1105</v>
      </c>
      <c r="D5" s="27">
        <f>IF(C5="","",VLOOKUP(C5,Table_Kerja_Verifiaktor_Berkas[],A1,0))</f>
        <v>3</v>
      </c>
    </row>
    <row r="6" hidden="1">
      <c r="A6" s="6"/>
      <c r="B6" s="25" t="s">
        <v>207</v>
      </c>
      <c r="C6" s="4" t="s">
        <v>20</v>
      </c>
      <c r="D6" s="26"/>
    </row>
    <row r="7" ht="6.75" customHeight="1">
      <c r="A7" s="6"/>
      <c r="B7" s="4"/>
      <c r="C7" s="28" t="str">
        <f>CONCATENATE(C5,"_",C6)</f>
        <v>K/36/131124/1_P0</v>
      </c>
    </row>
    <row r="8">
      <c r="A8" s="6"/>
      <c r="B8" s="30" t="s">
        <v>223</v>
      </c>
      <c r="C8" s="30" t="s">
        <v>228</v>
      </c>
    </row>
    <row r="9" ht="57.75" customHeight="1">
      <c r="A9" s="2">
        <v>12.0</v>
      </c>
      <c r="B9" s="35">
        <v>1.0</v>
      </c>
      <c r="C9" s="38" t="str">
        <f>IF(C5="","",VLOOKUP($C$5,Verifikator!$B$4:$V$4002,$A9,0))</f>
        <v>SURAT KUASA DAN PERNYATAAN TGL 4-9-2019? MENGAPA? APAKAH MASIH BERLAKU</v>
      </c>
    </row>
    <row r="10" ht="37.5" customHeight="1">
      <c r="A10" s="2">
        <f t="shared" ref="A10:A18" si="1">A9+1</f>
        <v>13</v>
      </c>
      <c r="B10" s="39">
        <f t="shared" ref="B10:B18" si="2">IF(B9&lt;$D$5,B9+1,"")</f>
        <v>2</v>
      </c>
      <c r="C10" s="38" t="str">
        <f>IF(C6="","",VLOOKUP($C$5,Verifikator!$B$4:$V$4002,$A10,0))</f>
        <v>MENGAPA MEMBUAT AJB TAHUN 2019 BARU DI DAFTARKAN SEKARANG?</v>
      </c>
    </row>
    <row r="11" ht="38.25" customHeight="1">
      <c r="A11" s="6">
        <f t="shared" si="1"/>
        <v>14</v>
      </c>
      <c r="B11" s="39">
        <f t="shared" si="2"/>
        <v>3</v>
      </c>
      <c r="C11" s="38" t="str">
        <f>IF(C7="","",VLOOKUP($C$5,Verifikator!$B$4:$V$4002,$A11,0))</f>
        <v>RENVOI NOMOR SURAT PERSETUJUAN ANAK DI AJB</v>
      </c>
    </row>
    <row r="12" ht="32.25" customHeight="1">
      <c r="A12" s="6">
        <f t="shared" si="1"/>
        <v>15</v>
      </c>
      <c r="B12" s="39" t="str">
        <f t="shared" si="2"/>
        <v/>
      </c>
      <c r="C12" s="38" t="str">
        <f>IF(C8="","",VLOOKUP($C$5,Verifikator!$B$4:$V$4002,$A12,0))</f>
        <v/>
      </c>
    </row>
    <row r="13" ht="30.0" customHeight="1">
      <c r="A13" s="6">
        <f t="shared" si="1"/>
        <v>16</v>
      </c>
      <c r="B13" s="39" t="str">
        <f t="shared" si="2"/>
        <v/>
      </c>
      <c r="C13" s="38" t="str">
        <f>IF(C9="","",VLOOKUP($C$5,Verifikator!$B$4:$V$4002,$A13,0))</f>
        <v/>
      </c>
    </row>
    <row r="14" ht="28.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54.7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0.5"/>
    <col customWidth="1" min="3" max="3" width="51.25"/>
  </cols>
  <sheetData>
    <row r="1">
      <c r="A1" s="2">
        <v>25.0</v>
      </c>
    </row>
    <row r="2">
      <c r="A2" s="6"/>
      <c r="D2" s="11" t="s">
        <v>39</v>
      </c>
    </row>
    <row r="3">
      <c r="A3" s="6"/>
      <c r="B3" s="12" t="s">
        <v>65</v>
      </c>
    </row>
    <row r="4">
      <c r="A4" s="6"/>
      <c r="B4" s="4"/>
      <c r="C4" s="4"/>
    </row>
    <row r="5">
      <c r="A5" s="6"/>
      <c r="B5" s="14" t="s">
        <v>75</v>
      </c>
      <c r="C5" s="4" t="s">
        <v>1338</v>
      </c>
      <c r="D5" s="23">
        <f>IF(C5="","",VLOOKUP(C5,Table_Kerja_Verifiaktor_Berkas[],A1,0))</f>
        <v>1</v>
      </c>
    </row>
    <row r="6" hidden="1">
      <c r="A6" s="6"/>
      <c r="B6" s="25" t="s">
        <v>207</v>
      </c>
      <c r="C6" s="4" t="s">
        <v>20</v>
      </c>
      <c r="D6" s="26"/>
    </row>
    <row r="7" ht="6.75" customHeight="1">
      <c r="A7" s="6"/>
      <c r="B7" s="4"/>
      <c r="C7" s="28" t="str">
        <f>CONCATENATE(C5,"_",C6)</f>
        <v>K/25/011124/2_P0</v>
      </c>
    </row>
    <row r="8">
      <c r="A8" s="6"/>
      <c r="B8" s="30" t="s">
        <v>223</v>
      </c>
      <c r="C8" s="30" t="s">
        <v>228</v>
      </c>
    </row>
    <row r="9" ht="45.0" customHeight="1">
      <c r="A9" s="2">
        <v>12.0</v>
      </c>
      <c r="B9" s="35">
        <v>1.0</v>
      </c>
      <c r="C9" s="38" t="str">
        <f>IF(C5="","",VLOOKUP($C$5,Verifikator!$B$4:$V$4002,$A9,0))</f>
        <v>1. TT
2. Cek luas pemecahan pada sket lokasi yang digambarkan</v>
      </c>
    </row>
    <row r="10" ht="44.25" customHeight="1">
      <c r="A10" s="2">
        <f t="shared" ref="A10:A18" si="1">A9+1</f>
        <v>13</v>
      </c>
      <c r="B10" s="39" t="str">
        <f t="shared" ref="B10:B18" si="2">IF(B9&lt;$D$5,B9+1,"")</f>
        <v/>
      </c>
      <c r="C10" s="38" t="str">
        <f>IF(C6="","",VLOOKUP($C$5,Verifikator!$B$4:$V$4002,$A10,0))</f>
        <v/>
      </c>
    </row>
    <row r="11" ht="55.5" customHeight="1">
      <c r="A11" s="6">
        <f t="shared" si="1"/>
        <v>14</v>
      </c>
      <c r="B11" s="39" t="str">
        <f t="shared" si="2"/>
        <v/>
      </c>
      <c r="C11" s="38" t="str">
        <f>IF(C7="","",VLOOKUP($C$5,Verifikator!$B$4:$V$4002,$A11,0))</f>
        <v/>
      </c>
    </row>
    <row r="12" ht="44.25" customHeight="1">
      <c r="A12" s="6">
        <f t="shared" si="1"/>
        <v>15</v>
      </c>
      <c r="B12" s="39" t="str">
        <f t="shared" si="2"/>
        <v/>
      </c>
      <c r="C12" s="38" t="str">
        <f>IF(C8="","",VLOOKUP($C$5,Verifikator!$B$4:$V$4002,$A12,0))</f>
        <v/>
      </c>
    </row>
    <row r="13" ht="44.25" customHeight="1">
      <c r="A13" s="6">
        <f t="shared" si="1"/>
        <v>16</v>
      </c>
      <c r="B13" s="39" t="str">
        <f t="shared" si="2"/>
        <v/>
      </c>
      <c r="C13" s="38" t="str">
        <f>IF(C9="","",VLOOKUP($C$5,Verifikator!$B$4:$V$4002,$A13,0))</f>
        <v/>
      </c>
    </row>
    <row r="14" ht="44.2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44.2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hidden="1" min="1" max="1" width="4.13"/>
    <col customWidth="1" min="2" max="2" width="12.25"/>
    <col customWidth="1" min="3" max="3" width="51.25"/>
  </cols>
  <sheetData>
    <row r="1">
      <c r="A1" s="2">
        <v>25.0</v>
      </c>
    </row>
    <row r="2">
      <c r="A2" s="6"/>
      <c r="D2" s="11" t="s">
        <v>39</v>
      </c>
    </row>
    <row r="3">
      <c r="A3" s="6"/>
      <c r="B3" s="12" t="s">
        <v>65</v>
      </c>
    </row>
    <row r="4">
      <c r="A4" s="6"/>
      <c r="B4" s="4"/>
      <c r="C4" s="4"/>
    </row>
    <row r="5">
      <c r="A5" s="6"/>
      <c r="B5" s="14" t="s">
        <v>75</v>
      </c>
      <c r="C5" s="4" t="s">
        <v>104</v>
      </c>
      <c r="D5" s="23">
        <f>IF(C5="","",VLOOKUP(C5,Table_Kerja_Verifiaktor_Berkas[],A1,0))</f>
        <v>2</v>
      </c>
    </row>
    <row r="6" hidden="1">
      <c r="A6" s="6"/>
      <c r="B6" s="25" t="s">
        <v>207</v>
      </c>
      <c r="C6" s="4" t="s">
        <v>20</v>
      </c>
      <c r="D6" s="26"/>
    </row>
    <row r="7" ht="6.75" customHeight="1">
      <c r="A7" s="6"/>
      <c r="B7" s="4"/>
      <c r="C7" s="28" t="str">
        <f>CONCATENATE(C5,"_",C6)</f>
        <v>L/17/141024/1_P0</v>
      </c>
    </row>
    <row r="8">
      <c r="A8" s="6"/>
      <c r="B8" s="30" t="s">
        <v>223</v>
      </c>
      <c r="C8" s="30" t="s">
        <v>228</v>
      </c>
    </row>
    <row r="9" ht="44.25" customHeight="1">
      <c r="A9" s="2">
        <v>12.0</v>
      </c>
      <c r="B9" s="35">
        <v>1.0</v>
      </c>
      <c r="C9" s="38" t="str">
        <f>IF(C5="","",VLOOKUP($C$5,Verifikator!$B$4:$V$4002,$A9,0))</f>
        <v>PLOTING + VALBID</v>
      </c>
    </row>
    <row r="10" ht="44.25" customHeight="1">
      <c r="A10" s="2">
        <f t="shared" ref="A10:A18" si="1">A9+1</f>
        <v>13</v>
      </c>
      <c r="B10" s="39">
        <f t="shared" ref="B10:B18" si="2">IF(B9&lt;$D$5,B9+1,"")</f>
        <v>2</v>
      </c>
      <c r="C10" s="38" t="str">
        <f>IF(C6="","",VLOOKUP($C$5,Verifikator!$B$4:$V$4002,$A10,0))</f>
        <v>BEDA NAMA PEMILIK ANTARA SERTIPIKAT DAN KTP</v>
      </c>
    </row>
    <row r="11" ht="44.25" customHeight="1">
      <c r="A11" s="6">
        <f t="shared" si="1"/>
        <v>14</v>
      </c>
      <c r="B11" s="39" t="str">
        <f t="shared" si="2"/>
        <v/>
      </c>
      <c r="C11" s="38" t="str">
        <f>IF(C7="","",VLOOKUP($C$5,Verifikator!$B$4:$V$4002,$A11,0))</f>
        <v/>
      </c>
    </row>
    <row r="12" ht="44.25" customHeight="1">
      <c r="A12" s="6">
        <f t="shared" si="1"/>
        <v>15</v>
      </c>
      <c r="B12" s="39" t="str">
        <f t="shared" si="2"/>
        <v/>
      </c>
      <c r="C12" s="38" t="str">
        <f>IF(C8="","",VLOOKUP($C$5,Verifikator!$B$4:$V$4002,$A12,0))</f>
        <v/>
      </c>
    </row>
    <row r="13" ht="44.25" customHeight="1">
      <c r="A13" s="6">
        <f t="shared" si="1"/>
        <v>16</v>
      </c>
      <c r="B13" s="39" t="str">
        <f t="shared" si="2"/>
        <v/>
      </c>
      <c r="C13" s="38" t="str">
        <f>IF(C9="","",VLOOKUP($C$5,Verifikator!$B$4:$V$4002,$A13,0))</f>
        <v/>
      </c>
    </row>
    <row r="14" ht="44.2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44.2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2.25"/>
    <col customWidth="1" min="3" max="3" width="51.25"/>
  </cols>
  <sheetData>
    <row r="1">
      <c r="A1" s="2">
        <v>25.0</v>
      </c>
    </row>
    <row r="2">
      <c r="A2" s="6"/>
      <c r="D2" s="11" t="s">
        <v>39</v>
      </c>
    </row>
    <row r="3">
      <c r="A3" s="6"/>
      <c r="B3" s="12" t="s">
        <v>65</v>
      </c>
    </row>
    <row r="4">
      <c r="A4" s="6"/>
      <c r="B4" s="4"/>
      <c r="C4" s="4"/>
    </row>
    <row r="5">
      <c r="A5" s="6"/>
      <c r="B5" s="14" t="s">
        <v>75</v>
      </c>
      <c r="C5" s="4" t="s">
        <v>1165</v>
      </c>
      <c r="D5" s="27">
        <f>IF(C5="","",VLOOKUP(C5,Table_Kerja_Verifiaktor_Berkas[],A1,0))</f>
        <v>1</v>
      </c>
    </row>
    <row r="6" hidden="1">
      <c r="A6" s="6"/>
      <c r="B6" s="25" t="s">
        <v>207</v>
      </c>
      <c r="C6" s="4" t="s">
        <v>20</v>
      </c>
      <c r="D6" s="26"/>
    </row>
    <row r="7" ht="6.75" customHeight="1">
      <c r="A7" s="6"/>
      <c r="B7" s="4"/>
      <c r="C7" s="28" t="str">
        <f>CONCATENATE(C5,"_",C6)</f>
        <v>K/46/181024/2_P0</v>
      </c>
    </row>
    <row r="8">
      <c r="A8" s="6"/>
      <c r="B8" s="30" t="s">
        <v>223</v>
      </c>
      <c r="C8" s="30" t="s">
        <v>228</v>
      </c>
    </row>
    <row r="9" ht="44.25" customHeight="1">
      <c r="A9" s="2">
        <v>12.0</v>
      </c>
      <c r="B9" s="35">
        <v>1.0</v>
      </c>
      <c r="C9" s="38" t="str">
        <f>IF(C5="","",VLOOKUP($C$5,Verifikator!$B$4:$V$4002,$A9,0))</f>
        <v>PERBAIKI SP BPHTB</v>
      </c>
    </row>
    <row r="10" ht="44.25" customHeight="1">
      <c r="A10" s="2">
        <f t="shared" ref="A10:A18" si="1">A9+1</f>
        <v>13</v>
      </c>
      <c r="B10" s="39" t="str">
        <f t="shared" ref="B10:B18" si="2">IF(B9&lt;$D$5,B9+1,"")</f>
        <v/>
      </c>
      <c r="C10" s="38" t="str">
        <f>IF(C6="","",VLOOKUP($C$5,Verifikator!$B$4:$V$4002,$A10,0))</f>
        <v/>
      </c>
    </row>
    <row r="11" ht="44.25" customHeight="1">
      <c r="A11" s="6">
        <f t="shared" si="1"/>
        <v>14</v>
      </c>
      <c r="B11" s="39" t="str">
        <f t="shared" si="2"/>
        <v/>
      </c>
      <c r="C11" s="38" t="str">
        <f>IF(C7="","",VLOOKUP($C$5,Verifikator!$B$4:$V$4002,$A11,0))</f>
        <v/>
      </c>
    </row>
    <row r="12" ht="44.25" customHeight="1">
      <c r="A12" s="6">
        <f t="shared" si="1"/>
        <v>15</v>
      </c>
      <c r="B12" s="39" t="str">
        <f t="shared" si="2"/>
        <v/>
      </c>
      <c r="C12" s="38" t="str">
        <f>IF(C8="","",VLOOKUP($C$5,Verifikator!$B$4:$V$4002,$A12,0))</f>
        <v/>
      </c>
    </row>
    <row r="13" ht="44.25" customHeight="1">
      <c r="A13" s="6">
        <f t="shared" si="1"/>
        <v>16</v>
      </c>
      <c r="B13" s="39" t="str">
        <f t="shared" si="2"/>
        <v/>
      </c>
      <c r="C13" s="38" t="str">
        <f>IF(C9="","",VLOOKUP($C$5,Verifikator!$B$4:$V$4002,$A13,0))</f>
        <v/>
      </c>
    </row>
    <row r="14" ht="44.25" customHeight="1">
      <c r="A14" s="6">
        <f t="shared" si="1"/>
        <v>17</v>
      </c>
      <c r="B14" s="39" t="str">
        <f t="shared" si="2"/>
        <v/>
      </c>
      <c r="C14" s="38" t="str">
        <f>IF(C10="","",VLOOKUP($C$5,Verifikator!$B$4:$V$4002,$A14,0))</f>
        <v/>
      </c>
    </row>
    <row r="15" ht="44.25" customHeight="1">
      <c r="A15" s="6">
        <f t="shared" si="1"/>
        <v>18</v>
      </c>
      <c r="B15" s="39" t="str">
        <f t="shared" si="2"/>
        <v/>
      </c>
      <c r="C15" s="38" t="str">
        <f>IF(C11="","",VLOOKUP($C$5,Verifikator!$B$4:$V$4002,$A15,0))</f>
        <v/>
      </c>
    </row>
    <row r="16" ht="44.25" customHeight="1">
      <c r="A16" s="6">
        <f t="shared" si="1"/>
        <v>19</v>
      </c>
      <c r="B16" s="39" t="str">
        <f t="shared" si="2"/>
        <v/>
      </c>
      <c r="C16" s="38" t="str">
        <f>IF(C12="","",VLOOKUP($C$5,Verifikator!$B$4:$V$4002,$A16,0))</f>
        <v/>
      </c>
    </row>
    <row r="17" ht="44.25" customHeight="1">
      <c r="A17" s="6">
        <f t="shared" si="1"/>
        <v>20</v>
      </c>
      <c r="B17" s="39" t="str">
        <f t="shared" si="2"/>
        <v/>
      </c>
      <c r="C17" s="38" t="str">
        <f>IF(C13="","",VLOOKUP($C$5,Verifikator!$B$4:$V$4002,$A17,0))</f>
        <v/>
      </c>
    </row>
    <row r="18" ht="44.25" customHeight="1">
      <c r="A18" s="6">
        <f t="shared" si="1"/>
        <v>21</v>
      </c>
      <c r="B18" s="39" t="str">
        <f t="shared" si="2"/>
        <v/>
      </c>
      <c r="C18" s="38" t="str">
        <f>IF(C14="","",VLOOKUP($C$5,Verifikator!$B$4:$V$4002,$A18,0))</f>
        <v/>
      </c>
    </row>
    <row r="19">
      <c r="A19" s="6"/>
    </row>
    <row r="20">
      <c r="A20" s="6"/>
      <c r="C20" s="45">
        <f>Today()</f>
        <v>46261</v>
      </c>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